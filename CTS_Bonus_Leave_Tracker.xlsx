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ettings" sheetId="2" state="visible" r:id="rId4"/>
    <sheet name="Employees" sheetId="3" state="visible" r:id="rId5"/>
    <sheet name="EH Export" sheetId="4" state="visible" r:id="rId6"/>
    <sheet name="EH Leave Taken" sheetId="5" state="visible" r:id="rId7"/>
    <sheet name="Not Yet Set Up" sheetId="6" state="visible" r:id="rId8"/>
    <sheet name="Top-Ups Due" sheetId="7" state="visible" r:id="rId9"/>
    <sheet name="Action Required" sheetId="8" state="visible" r:id="rId10"/>
    <sheet name="Summary" sheetId="9" state="visible" r:id="rId11"/>
    <sheet name="Milestone Schedule" sheetId="10" state="visible" r:id="rId12"/>
  </sheets>
  <definedNames>
    <definedName function="false" hidden="true" localSheetId="2" name="_xlnm._FilterDatabase" vbProcedure="false">Employees!$A$5:$AN$205</definedName>
    <definedName function="false" hidden="false" name="AsOfDate" vbProcedure="false">Settings!$C$6</definedName>
    <definedName function="false" hidden="false" name="BonusCat" vbProcedure="false">Settings!$C$8</definedName>
    <definedName function="false" hidden="false" name="DeptList" vbProcedure="false">Settings!$F$47:$F$66</definedName>
    <definedName function="false" hidden="false" name="EHUnit" vbProcedure="false">Settings!$C$9</definedName>
    <definedName function="false" hidden="false" name="EH_ColBal" vbProcedure="false">Settings!$G$29</definedName>
    <definedName function="false" hidden="false" name="EH_ColCat" vbProcedure="false">Settings!$G$28</definedName>
    <definedName function="false" hidden="false" name="EH_ColFirst" vbProcedure="false">Settings!$G$26</definedName>
    <definedName function="false" hidden="false" name="EH_ColID" vbProcedure="false">Settings!$G$25</definedName>
    <definedName function="false" hidden="false" name="EH_ColSur" vbProcedure="false">Settings!$G$27</definedName>
    <definedName function="false" hidden="false" name="EH_ColVal" vbProcedure="false">Settings!$G$30</definedName>
    <definedName function="false" hidden="false" name="EH_Data" vbProcedure="false">'EH Export'!$A$2:$AZ$5000</definedName>
    <definedName function="false" hidden="false" name="EH_Hdr" vbProcedure="false">'EH Export'!$A$1:$AZ$1</definedName>
    <definedName function="false" hidden="false" name="EH_HdrBal" vbProcedure="false">Settings!$C$29</definedName>
    <definedName function="false" hidden="false" name="EH_HdrCat" vbProcedure="false">Settings!$C$28</definedName>
    <definedName function="false" hidden="false" name="EH_HdrFirst" vbProcedure="false">Settings!$C$26</definedName>
    <definedName function="false" hidden="false" name="EH_HdrID" vbProcedure="false">Settings!$C$25</definedName>
    <definedName function="false" hidden="false" name="EH_HdrSur" vbProcedure="false">Settings!$C$27</definedName>
    <definedName function="false" hidden="false" name="EH_HdrVal" vbProcedure="false">Settings!$C$30</definedName>
    <definedName function="false" hidden="false" name="EH_Ready" vbProcedure="false">Settings!$G$31</definedName>
    <definedName function="false" hidden="false" name="EH_ValReady" vbProcedure="false">Settings!$G$32</definedName>
    <definedName function="false" hidden="false" name="FT_AnnivDays" vbProcedure="false">Settings!$C$16</definedName>
    <definedName function="false" hidden="false" name="FT_First" vbProcedure="false">Settings!$C$13</definedName>
    <definedName function="false" hidden="false" name="FT_Int1" vbProcedure="false">Settings!$C$14</definedName>
    <definedName function="false" hidden="false" name="FT_Int2" vbProcedure="false">Settings!$C$17</definedName>
    <definedName function="false" hidden="false" name="FT_PerYear" vbProcedure="false">Settings!$C$22</definedName>
    <definedName function="false" hidden="false" name="FT_PreY5" vbProcedure="false">Settings!$C$21</definedName>
    <definedName function="false" hidden="false" name="FT_Y5" vbProcedure="false">Settings!$C$15</definedName>
    <definedName function="false" hidden="false" name="HoursPerDay" vbProcedure="false">Settings!$C$7</definedName>
    <definedName function="false" hidden="false" name="MatchMode" vbProcedure="false">Settings!$C$10</definedName>
    <definedName function="false" hidden="false" name="PT_First" vbProcedure="false">Settings!$C$18</definedName>
    <definedName function="false" hidden="false" name="PT_Int" vbProcedure="false">Settings!$C$19</definedName>
    <definedName function="false" hidden="false" name="PT_MinHours" vbProcedure="false">Settings!$C$20</definedName>
    <definedName function="false" hidden="false" name="TKUnit" vbProcedure="false">Settings!$C$40</definedName>
    <definedName function="false" hidden="false" name="TK_ColAmt" vbProcedure="false">Settings!$G$39</definedName>
    <definedName function="false" hidden="false" name="TK_ColCat" vbProcedure="false">Settings!$G$38</definedName>
    <definedName function="false" hidden="false" name="TK_ColFirst" vbProcedure="false">Settings!$G$36</definedName>
    <definedName function="false" hidden="false" name="TK_ColID" vbProcedure="false">Settings!$G$35</definedName>
    <definedName function="false" hidden="false" name="TK_ColSur" vbProcedure="false">Settings!$G$37</definedName>
    <definedName function="false" hidden="false" name="TK_Data" vbProcedure="false">'EH Leave Taken'!$A$2:$AZ$5000</definedName>
    <definedName function="false" hidden="false" name="TK_Hdr" vbProcedure="false">'EH Leave Taken'!$A$1:$AZ$1</definedName>
    <definedName function="false" hidden="false" name="TK_HdrAmt" vbProcedure="false">Settings!$C$39</definedName>
    <definedName function="false" hidden="false" name="TK_HdrCat" vbProcedure="false">Settings!$C$38</definedName>
    <definedName function="false" hidden="false" name="TK_HdrFirst" vbProcedure="false">Settings!$C$36</definedName>
    <definedName function="false" hidden="false" name="TK_HdrID" vbProcedure="false">Settings!$C$35</definedName>
    <definedName function="false" hidden="false" name="TK_HdrSur" vbProcedure="false">Settings!$C$37</definedName>
    <definedName function="false" hidden="false" name="TK_Ready" vbProcedure="false">Settings!$G$41</definedName>
    <definedName function="false" hidden="false" name="TypeList" vbProcedure="false">Settings!$B$45:$B$52</definedName>
    <definedName function="false" hidden="false" name="TypeTable" vbProcedure="false">Settings!$B$45:$C$52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<sst xmlns="http://schemas.openxmlformats.org/spreadsheetml/2006/main" count="459" uniqueCount="326">
  <si>
    <t xml:space="preserve">CTS Bonus Leave Tracker</t>
  </si>
  <si>
    <t xml:space="preserve">Built from: CTS Bonus Leave Scheme Policy &amp; Procedure 2026 - v1.0 (effective 08 September 2026). Page references below are to that document.</t>
  </si>
  <si>
    <t xml:space="preserve">HOW TO USE (in order)</t>
  </si>
  <si>
    <t xml:space="preserve">1. Settings tab: check the as-of date, the exact name of the Bonus Leave category as it appears in Employment Hero (EH), and the EH column headers. Fill in your department list.</t>
  </si>
  <si>
    <t xml:space="preserve">2. Employees tab: fill the yellow input columns (A to R) for every employee. Everything from column S onwards is formula-driven - do not type over it.</t>
  </si>
  <si>
    <t xml:space="preserve">3. EH Export tab: open the Leave Liability Report export from EH, select all, and paste it into cell A1 (row 1 must be the header row). Paste as values.</t>
  </si>
  <si>
    <t xml:space="preserve">4. Optional - EH Leave Taken tab: paste a leave-taken / leave-history export in the same way if you want the 'used' figure. If left empty, used = 0 and remaining = EH balance.</t>
  </si>
  <si>
    <t xml:space="preserve">5. Read the results: Employees (columns S to AM), Not Yet Set Up, Top-Ups Due, Summary. Use Milestone Schedule to audit any single employee accrual by accrual.</t>
  </si>
  <si>
    <t xml:space="preserve">COLOUR LEGEND</t>
  </si>
  <si>
    <t xml:space="preserve">Yellow cells = you type here.   Grey cells = formulas (leave alone).   Green rows on the Employees tab = example data. Delete the example rows before you use the file for real.</t>
  </si>
  <si>
    <t xml:space="preserve">Blue text = hardcoded input.  Black text = formula.</t>
  </si>
  <si>
    <t xml:space="preserve">POLICY RULES BUILT INTO THE FORMULAS</t>
  </si>
  <si>
    <t xml:space="preserve">Full-time (policy p.5, Schedule 1 p.9): first Bonus Leave day at 3 years of qualifying service, then 1 day every 4 months until year 5 (3 days a year). At 5 years: 2 days. After that 1 day every 3 months, and 2 days on every later anniversary (5 days a year).</t>
  </si>
  <si>
    <t xml:space="preserve">Part-time at 24 or more contracted hours per week (policy p.5-6, Schedule 1 p.9): nothing before 5 years. At 5 years: 1 day, then 1 day every 4 months forever (3 days a year). Part-timers never move to the 5-days-a-year pathway.</t>
  </si>
  <si>
    <t xml:space="preserve">Not eligible (policy p.3-4): casuals, contractors, consultants, part-timers under 24 hours per week.</t>
  </si>
  <si>
    <t xml:space="preserve">No pro-rata (p.7): a day is only earned on the exact milestone date. The formulas count only milestones that have already passed as at the as-of date.</t>
  </si>
  <si>
    <t xml:space="preserve">Qualifying service pauses during parental leave or leave without pay (p.4-5). Enter the leave dates in columns N and O; every later milestone is pushed out by that number of days. Column P is for a manual HR adjustment in days.</t>
  </si>
  <si>
    <t xml:space="preserve">Status changes (p.7-8): the accrual pathway is the one that applies on each accrual date. Enter up to two changes (columns H to M). Days already earned are kept; no retrospective or pro-rata adjustment is made. Column S shows the change in words, column W tells you whether it changed the pathway.</t>
  </si>
  <si>
    <t xml:space="preserve">Termination (p.8): the balance is forfeited. Enter the termination date in column Q; the Action column will tell you to zero the EH balance.</t>
  </si>
  <si>
    <t xml:space="preserve">1 Bonus Leave day = 8 hours (definition, p.3). Change this on Settings if CTS determines otherwise in writing.</t>
  </si>
  <si>
    <t xml:space="preserve">ASSUMPTIONS I MADE (change on Settings if wrong)</t>
  </si>
  <si>
    <t xml:space="preserve">- The termination date is the last day of employment. A milestone that falls on that day still counts, but the whole balance is forfeited anyway.</t>
  </si>
  <si>
    <t xml:space="preserve">- EH stores Bonus Leave in hours (Settings &gt; EH balance unit). Switch to Days if your export shows days.</t>
  </si>
  <si>
    <t xml:space="preserve">- The EH export column headers on Settings are a best guess of the Leave Liability Report layout. Make them match your export exactly - the 'Found?' column on Settings turns green when they do.</t>
  </si>
  <si>
    <t xml:space="preserve">- Employees are matched to the EH export by Employee ID (Settings &gt; Match EH rows on). Switch to Name if you do not keep EH IDs in this file. IDs must be the same type in both places (both text or both numbers).</t>
  </si>
  <si>
    <t xml:space="preserve">- If Change 2 is entered, Change 1 must also be entered and must be earlier. The Data Check column (column AN) flags this.</t>
  </si>
  <si>
    <t xml:space="preserve">WHAT THE RESULT COLUMNS MEAN (Employees tab)</t>
  </si>
  <si>
    <t xml:space="preserve">V Accrual Pathway: Full-Time / Part-Time / Not eligible, based on the employee's status today.</t>
  </si>
  <si>
    <t xml:space="preserve">AA Qualifies?: Yes - accruing / Not yet - qualifies on &lt;date&gt; / Not eligible / No longer accruing / Terminated.</t>
  </si>
  <si>
    <t xml:space="preserve">AB-AC Policy days and hours accrued to date: what the policy says the employee should have received in total since commencement.</t>
  </si>
  <si>
    <t xml:space="preserve">AD-AE Next accrual date and how many days it will be.</t>
  </si>
  <si>
    <t xml:space="preserve">AF-AJ What EH shows: found in export, balance, used (from the Leave Taken tab), total received (balance + used), dollar value if that column is mapped.</t>
  </si>
  <si>
    <t xml:space="preserve">AK-AM Days/hours still to be added in EH (policy minus EH received) and a plain-English action.</t>
  </si>
  <si>
    <t xml:space="preserve">SETTINGS</t>
  </si>
  <si>
    <t xml:space="preserve">Yellow cells are inputs. Grey cells are calculated. Names in column D are the workbook names used by the formulas.</t>
  </si>
  <si>
    <t xml:space="preserve">General</t>
  </si>
  <si>
    <t xml:space="preserve">Value</t>
  </si>
  <si>
    <t xml:space="preserve">Name</t>
  </si>
  <si>
    <t xml:space="preserve">As-of date (report date)</t>
  </si>
  <si>
    <t xml:space="preserve">AsOfDate</t>
  </si>
  <si>
    <t xml:space="preserve">Defaults to today. Type a fixed date (e.g. month end) for a point-in-time report.</t>
  </si>
  <si>
    <t xml:space="preserve">Hours per Bonus Leave day</t>
  </si>
  <si>
    <t xml:space="preserve">HoursPerDay</t>
  </si>
  <si>
    <t xml:space="preserve">Policy definition p.3: one day = 8 hours.</t>
  </si>
  <si>
    <t xml:space="preserve">Bonus Leave category name in EH (exact)</t>
  </si>
  <si>
    <t xml:space="preserve">Bonus Leave</t>
  </si>
  <si>
    <t xml:space="preserve">BonusCat</t>
  </si>
  <si>
    <t xml:space="preserve">Must match the Leave Category text in the EH export exactly.</t>
  </si>
  <si>
    <t xml:space="preserve">EH balance unit</t>
  </si>
  <si>
    <t xml:space="preserve">Hours</t>
  </si>
  <si>
    <t xml:space="preserve">EHUnit</t>
  </si>
  <si>
    <t xml:space="preserve">Hours or Days - how the EH export shows the balance.</t>
  </si>
  <si>
    <t xml:space="preserve">Match EH rows on</t>
  </si>
  <si>
    <t xml:space="preserve">Employee ID</t>
  </si>
  <si>
    <t xml:space="preserve">MatchMode</t>
  </si>
  <si>
    <t xml:space="preserve">Employee ID or Name (First Name + Surname).</t>
  </si>
  <si>
    <t xml:space="preserve">Policy parameters (from the 2026 policy)</t>
  </si>
  <si>
    <t xml:space="preserve">Full-time: first accrual at (months of qualifying service)</t>
  </si>
  <si>
    <t xml:space="preserve">FT_First</t>
  </si>
  <si>
    <t xml:space="preserve">3 years - policy p.5</t>
  </si>
  <si>
    <t xml:space="preserve">Full-time: months between accruals, year 3 to 5</t>
  </si>
  <si>
    <t xml:space="preserve">FT_Int1</t>
  </si>
  <si>
    <t xml:space="preserve">1 day every 4 months - p.5</t>
  </si>
  <si>
    <t xml:space="preserve">Full-time: year-5 milestone (months)</t>
  </si>
  <si>
    <t xml:space="preserve">FT_Y5</t>
  </si>
  <si>
    <t xml:space="preserve">5 years - p.5</t>
  </si>
  <si>
    <t xml:space="preserve">Full-time: days credited on 5-yr and later anniversaries</t>
  </si>
  <si>
    <t xml:space="preserve">FT_AnnivDays</t>
  </si>
  <si>
    <t xml:space="preserve">2 days = 16 hours - p.5 and Schedule 1</t>
  </si>
  <si>
    <t xml:space="preserve">Full-time: months between accruals after year 5</t>
  </si>
  <si>
    <t xml:space="preserve">FT_Int2</t>
  </si>
  <si>
    <t xml:space="preserve">1 day every 3 months - p.5</t>
  </si>
  <si>
    <t xml:space="preserve">Part-time: first accrual at (months)</t>
  </si>
  <si>
    <t xml:space="preserve">PT_First</t>
  </si>
  <si>
    <t xml:space="preserve">5 years - p.5-6</t>
  </si>
  <si>
    <t xml:space="preserve">Part-time: months between accruals</t>
  </si>
  <si>
    <t xml:space="preserve">PT_Int</t>
  </si>
  <si>
    <t xml:space="preserve">1 day every 4 months - p.6</t>
  </si>
  <si>
    <t xml:space="preserve">Part-time: minimum contracted hours per week</t>
  </si>
  <si>
    <t xml:space="preserve">PT_MinHours</t>
  </si>
  <si>
    <t xml:space="preserve">Under 24 hrs = not eligible - p.4</t>
  </si>
  <si>
    <t xml:space="preserve">Full-time: days accrued before the year-5 milestone (calc)</t>
  </si>
  <si>
    <t xml:space="preserve">FT_PreY5</t>
  </si>
  <si>
    <t xml:space="preserve">Equals 6 days (3y, 3y4m, 3y8m, 4y, 4y4m, 4y8m)</t>
  </si>
  <si>
    <t xml:space="preserve">Full-time: days per year from year 6 (calc)</t>
  </si>
  <si>
    <t xml:space="preserve">FT_PerYear</t>
  </si>
  <si>
    <t xml:space="preserve">Equals 5 days a year</t>
  </si>
  <si>
    <t xml:space="preserve">EH Export tab - column headers (row 1 of your paste)</t>
  </si>
  <si>
    <t xml:space="preserve">Header text in export</t>
  </si>
  <si>
    <t xml:space="preserve">Found?</t>
  </si>
  <si>
    <t xml:space="preserve">Employee ID column</t>
  </si>
  <si>
    <t xml:space="preserve">EH_HdrID / EH_ColID (column no.)</t>
  </si>
  <si>
    <t xml:space="preserve">First name column</t>
  </si>
  <si>
    <t xml:space="preserve">First Name</t>
  </si>
  <si>
    <t xml:space="preserve">EH_HdrFirst / EH_ColFirst (column no.)</t>
  </si>
  <si>
    <t xml:space="preserve">Surname column</t>
  </si>
  <si>
    <t xml:space="preserve">Surname</t>
  </si>
  <si>
    <t xml:space="preserve">EH_HdrSur / EH_ColSur (column no.)</t>
  </si>
  <si>
    <t xml:space="preserve">Leave category column</t>
  </si>
  <si>
    <t xml:space="preserve">Leave Category</t>
  </si>
  <si>
    <t xml:space="preserve">EH_HdrCat / EH_ColCat (column no.)</t>
  </si>
  <si>
    <t xml:space="preserve">Balance column (accrued balance, hours or days)</t>
  </si>
  <si>
    <t xml:space="preserve">Accrued Amount</t>
  </si>
  <si>
    <t xml:space="preserve">EH_HdrBal / EH_ColBal (column no.)</t>
  </si>
  <si>
    <t xml:space="preserve">Balance value column ($) - optional</t>
  </si>
  <si>
    <t xml:space="preserve">Accrued Value</t>
  </si>
  <si>
    <t xml:space="preserve">EH_HdrVal / EH_ColVal (column no.)</t>
  </si>
  <si>
    <t xml:space="preserve">EH export ready to use?</t>
  </si>
  <si>
    <t xml:space="preserve">Dollar value column mapped? (optional)</t>
  </si>
  <si>
    <t xml:space="preserve">EH Leave Taken tab - column headers (optional)</t>
  </si>
  <si>
    <t xml:space="preserve">TK_HdrID / TK_ColID (column no.)</t>
  </si>
  <si>
    <t xml:space="preserve">TK_HdrFirst / TK_ColFirst (column no.)</t>
  </si>
  <si>
    <t xml:space="preserve">TK_HdrSur / TK_ColSur (column no.)</t>
  </si>
  <si>
    <t xml:space="preserve">TK_HdrCat / TK_ColCat (column no.)</t>
  </si>
  <si>
    <t xml:space="preserve">Amount taken column (hours or days)</t>
  </si>
  <si>
    <t xml:space="preserve">TK_HdrAmt / TK_ColAmt (column no.)</t>
  </si>
  <si>
    <t xml:space="preserve">Leave Taken unit</t>
  </si>
  <si>
    <t xml:space="preserve">TKUnit</t>
  </si>
  <si>
    <t xml:space="preserve">Hours or Days.</t>
  </si>
  <si>
    <t xml:space="preserve">Leave Taken tab ready to use?</t>
  </si>
  <si>
    <t xml:space="preserve">Employment type (dropdown list)</t>
  </si>
  <si>
    <t xml:space="preserve">Accrual pathway</t>
  </si>
  <si>
    <t xml:space="preserve">Pathway codes: FT = full-time rules, PT = part-time rules (still needs 24+ hrs), None = not eligible. Add rows if you use other type names.</t>
  </si>
  <si>
    <t xml:space="preserve">Full-Time</t>
  </si>
  <si>
    <t xml:space="preserve">FT</t>
  </si>
  <si>
    <t xml:space="preserve">Part-Time</t>
  </si>
  <si>
    <t xml:space="preserve">PT</t>
  </si>
  <si>
    <t xml:space="preserve">Departments (dropdown list)</t>
  </si>
  <si>
    <t xml:space="preserve">Casual</t>
  </si>
  <si>
    <t xml:space="preserve">None</t>
  </si>
  <si>
    <t xml:space="preserve">Operations</t>
  </si>
  <si>
    <t xml:space="preserve">Contractor</t>
  </si>
  <si>
    <t xml:space="preserve">Sales</t>
  </si>
  <si>
    <t xml:space="preserve">Fixed-Term FT</t>
  </si>
  <si>
    <t xml:space="preserve">Technical</t>
  </si>
  <si>
    <t xml:space="preserve">Fixed-Term PT</t>
  </si>
  <si>
    <t xml:space="preserve">Warehouse</t>
  </si>
  <si>
    <t xml:space="preserve">Administration</t>
  </si>
  <si>
    <t xml:space="preserve">Finance</t>
  </si>
  <si>
    <t xml:space="preserve">Management</t>
  </si>
  <si>
    <t xml:space="preserve">EMPLOYEES - Bonus Leave eligibility, accrual and EH reconciliation</t>
  </si>
  <si>
    <t xml:space="preserve">Fill the yellow columns A to R. Grey columns are formulas. Green rows are examples - delete them. Helper columns AO onwards are grouped (click + above column BK to expand).</t>
  </si>
  <si>
    <t xml:space="preserve">INPUTS - type here</t>
  </si>
  <si>
    <t xml:space="preserve">POLICY RESULT - what the employee should have (formulas)</t>
  </si>
  <si>
    <t xml:space="preserve">EH RECONCILIATION - what EH shows vs policy (formulas)</t>
  </si>
  <si>
    <t xml:space="preserve">CALCULATION HELPERS - do not edit</t>
  </si>
  <si>
    <t xml:space="preserve">Employee ID (as in EH)</t>
  </si>
  <si>
    <t xml:space="preserve">Department</t>
  </si>
  <si>
    <t xml:space="preserve">Commencement Date</t>
  </si>
  <si>
    <t xml:space="preserve">Employment Type at Commencement</t>
  </si>
  <si>
    <t xml:space="preserve">Contracted Hrs/Week</t>
  </si>
  <si>
    <t xml:space="preserve">Change 1 - Date</t>
  </si>
  <si>
    <t xml:space="preserve">Change 1 - New Type</t>
  </si>
  <si>
    <t xml:space="preserve">Change 1 - New Hrs/Week</t>
  </si>
  <si>
    <t xml:space="preserve">Change 2 - Date</t>
  </si>
  <si>
    <t xml:space="preserve">Change 2 - New Type</t>
  </si>
  <si>
    <t xml:space="preserve">Change 2 - New Hrs/Week</t>
  </si>
  <si>
    <t xml:space="preserve">Extended Leave From (parental / LWOP)</t>
  </si>
  <si>
    <t xml:space="preserve">Extended Leave To</t>
  </si>
  <si>
    <t xml:space="preserve">Extra Paused Days (HR adj.)</t>
  </si>
  <si>
    <t xml:space="preserve">Termination Date</t>
  </si>
  <si>
    <t xml:space="preserve">Notes</t>
  </si>
  <si>
    <t xml:space="preserve">Status Change Summary</t>
  </si>
  <si>
    <t xml:space="preserve">Current Type</t>
  </si>
  <si>
    <t xml:space="preserve">Current Hrs/Week</t>
  </si>
  <si>
    <t xml:space="preserve">Accrual Pathway</t>
  </si>
  <si>
    <t xml:space="preserve">Pathway Change Flag</t>
  </si>
  <si>
    <t xml:space="preserve">Service Counted To</t>
  </si>
  <si>
    <t xml:space="preserve">Qualifying Service (months)</t>
  </si>
  <si>
    <t xml:space="preserve">Qualifying Service</t>
  </si>
  <si>
    <t xml:space="preserve">Qualifies for Bonus Leave?</t>
  </si>
  <si>
    <t xml:space="preserve">Policy Days Accrued To Date</t>
  </si>
  <si>
    <t xml:space="preserve">Policy Hours Accrued To Date</t>
  </si>
  <si>
    <t xml:space="preserve">Next Accrual Date</t>
  </si>
  <si>
    <t xml:space="preserve">Days at Next Accrual</t>
  </si>
  <si>
    <t xml:space="preserve">In EH Export?</t>
  </si>
  <si>
    <t xml:space="preserve">EH Balance (days)</t>
  </si>
  <si>
    <t xml:space="preserve">EH Used (days)</t>
  </si>
  <si>
    <t xml:space="preserve">EH Total Received (days)</t>
  </si>
  <si>
    <t xml:space="preserve">EH Balance Value ($)</t>
  </si>
  <si>
    <t xml:space="preserve">Days To Add in EH</t>
  </si>
  <si>
    <t xml:space="preserve">Hours To Add in EH</t>
  </si>
  <si>
    <t xml:space="preserve">Action</t>
  </si>
  <si>
    <t xml:space="preserve">Data Check</t>
  </si>
  <si>
    <t xml:space="preserve">h: Row active</t>
  </si>
  <si>
    <t xml:space="preserve">h: Paused days to as-of</t>
  </si>
  <si>
    <t xml:space="preserve">h: M0 months at as-of</t>
  </si>
  <si>
    <t xml:space="preserve">h: Change 1 effective</t>
  </si>
  <si>
    <t xml:space="preserve">h: Change 2 effective</t>
  </si>
  <si>
    <t xml:space="preserve">h: B1 months at change 1</t>
  </si>
  <si>
    <t xml:space="preserve">h: B2 months at change 2</t>
  </si>
  <si>
    <t xml:space="preserve">h: Pathway 0</t>
  </si>
  <si>
    <t xml:space="preserve">h: Pathway 1</t>
  </si>
  <si>
    <t xml:space="preserve">h: Pathway 2</t>
  </si>
  <si>
    <t xml:space="preserve">h: Current pathway</t>
  </si>
  <si>
    <t xml:space="preserve">h: F(P0,B1)</t>
  </si>
  <si>
    <t xml:space="preserve">h: F(P1,B1)</t>
  </si>
  <si>
    <t xml:space="preserve">h: F(P1,B2)</t>
  </si>
  <si>
    <t xml:space="preserve">h: F(P2,B2)</t>
  </si>
  <si>
    <t xml:space="preserve">h: F(P2,M0)</t>
  </si>
  <si>
    <t xml:space="preserve">h: Next offset (months)</t>
  </si>
  <si>
    <t xml:space="preserve">h: Terminated</t>
  </si>
  <si>
    <t xml:space="preserve">h: Seq not set up</t>
  </si>
  <si>
    <t xml:space="preserve">h: Seq top-up</t>
  </si>
  <si>
    <t xml:space="preserve">h: Seq action</t>
  </si>
  <si>
    <t xml:space="preserve">h: Name key</t>
  </si>
  <si>
    <t xml:space="preserve">E001</t>
  </si>
  <si>
    <t xml:space="preserve">Jane</t>
  </si>
  <si>
    <t xml:space="preserve">Citizen</t>
  </si>
  <si>
    <t xml:space="preserve">EXAMPLE - delete. FT 5y7m: 10 days per policy</t>
  </si>
  <si>
    <t xml:space="preserve">E002</t>
  </si>
  <si>
    <t xml:space="preserve">Tom</t>
  </si>
  <si>
    <t xml:space="preserve">Nguyen</t>
  </si>
  <si>
    <t xml:space="preserve">EXAMPLE - delete. PT 24h, 6y3m: 4 days</t>
  </si>
  <si>
    <t xml:space="preserve">E003</t>
  </si>
  <si>
    <t xml:space="preserve">Sam</t>
  </si>
  <si>
    <t xml:space="preserve">Lee</t>
  </si>
  <si>
    <t xml:space="preserve">EXAMPLE - delete. Casual: not eligible</t>
  </si>
  <si>
    <t xml:space="preserve">E004</t>
  </si>
  <si>
    <t xml:space="preserve">Priya</t>
  </si>
  <si>
    <t xml:space="preserve">Patel</t>
  </si>
  <si>
    <t xml:space="preserve">EXAMPLE - delete. FT earned 1 day at 3y, then PT 20h = stopped</t>
  </si>
  <si>
    <t xml:space="preserve">E005</t>
  </si>
  <si>
    <t xml:space="preserve">Liam</t>
  </si>
  <si>
    <t xml:space="preserve">Brown</t>
  </si>
  <si>
    <t xml:space="preserve">EXAMPLE - delete. PT (0 days) then FT from 1/1/2024</t>
  </si>
  <si>
    <t xml:space="preserve">E006</t>
  </si>
  <si>
    <t xml:space="preserve">Olivia</t>
  </si>
  <si>
    <t xml:space="preserve">Smith</t>
  </si>
  <si>
    <t xml:space="preserve">EXAMPLE - delete. Parental leave 181 days pauses service</t>
  </si>
  <si>
    <t xml:space="preserve">E007</t>
  </si>
  <si>
    <t xml:space="preserve">Noah</t>
  </si>
  <si>
    <t xml:space="preserve">Wilson</t>
  </si>
  <si>
    <t xml:space="preserve">EXAMPLE - delete. Terminated - forfeit</t>
  </si>
  <si>
    <t xml:space="preserve">E008</t>
  </si>
  <si>
    <t xml:space="preserve">Ava</t>
  </si>
  <si>
    <t xml:space="preserve">Jones</t>
  </si>
  <si>
    <t xml:space="preserve">EXAMPLE - delete. Not yet 3 years</t>
  </si>
  <si>
    <t xml:space="preserve">Location</t>
  </si>
  <si>
    <t xml:space="preserve">SAMPLE DATA - clear this sheet and paste the Employment Hero Leave Liability Report export at A1 (headers in row 1). Paste as values only.</t>
  </si>
  <si>
    <t xml:space="preserve">Head Office</t>
  </si>
  <si>
    <t xml:space="preserve">Annual Leave</t>
  </si>
  <si>
    <t xml:space="preserve">The workbook reads columns A to AZ, rows 2 to 5000, by header name (see Settings). Extra columns are ignored.</t>
  </si>
  <si>
    <t xml:space="preserve">Start Date</t>
  </si>
  <si>
    <t xml:space="preserve">End Date</t>
  </si>
  <si>
    <t xml:space="preserve">OPTIONAL. SAMPLE DATA - clear and paste an EH leave taken / leave history export at A1 if you want 'used' figures. Leave empty to skip.</t>
  </si>
  <si>
    <t xml:space="preserve">Only rows whose Leave Category equals the Bonus Leave name on Settings are counted.</t>
  </si>
  <si>
    <t xml:space="preserve">NOT YET SET UP</t>
  </si>
  <si>
    <t xml:space="preserve">Employees who qualify under the policy but have received NOTHING in EH yet (no Bonus Leave row, or balance and used both zero). Set up the category and add the days shown.</t>
  </si>
  <si>
    <t xml:space="preserve">#</t>
  </si>
  <si>
    <t xml:space="preserve">Hrs/Week</t>
  </si>
  <si>
    <t xml:space="preserve">Commencement</t>
  </si>
  <si>
    <t xml:space="preserve">Policy Days Due</t>
  </si>
  <si>
    <t xml:space="preserve">Policy Hours Due</t>
  </si>
  <si>
    <t xml:space="preserve">TOP-UPS DUE</t>
  </si>
  <si>
    <t xml:space="preserve">Employees already receiving Bonus Leave in EH whose EH total (balance + used) is BEHIND the policy. Add the days shown.</t>
  </si>
  <si>
    <t xml:space="preserve">Policy Days To Date</t>
  </si>
  <si>
    <t xml:space="preserve">EH Received (days)</t>
  </si>
  <si>
    <t xml:space="preserve">Days To Add</t>
  </si>
  <si>
    <t xml:space="preserve">Hours To Add</t>
  </si>
  <si>
    <t xml:space="preserve">ACTION REQUIRED</t>
  </si>
  <si>
    <t xml:space="preserve">Every employee with an outstanding action: set-ups, top-ups, over-accruals to check, and terminated staff with a balance to forfeit.</t>
  </si>
  <si>
    <t xml:space="preserve">SUMMARY</t>
  </si>
  <si>
    <t xml:space="preserve">Key figures</t>
  </si>
  <si>
    <t xml:space="preserve">Employees</t>
  </si>
  <si>
    <t xml:space="preserve">Accruing</t>
  </si>
  <si>
    <t xml:space="preserve">Not yet</t>
  </si>
  <si>
    <t xml:space="preserve">Not eligible</t>
  </si>
  <si>
    <t xml:space="preserve">Policy days</t>
  </si>
  <si>
    <t xml:space="preserve">EH balance days</t>
  </si>
  <si>
    <t xml:space="preserve">Days to add</t>
  </si>
  <si>
    <t xml:space="preserve">Employees entered</t>
  </si>
  <si>
    <t xml:space="preserve">Active (not terminated)</t>
  </si>
  <si>
    <t xml:space="preserve">Currently accruing (Yes)</t>
  </si>
  <si>
    <t xml:space="preserve">Eligible type but not yet at first milestone</t>
  </si>
  <si>
    <t xml:space="preserve">Not eligible (casual / contractor / under 24 hrs)</t>
  </si>
  <si>
    <t xml:space="preserve">Stopped accruing after status change</t>
  </si>
  <si>
    <t xml:space="preserve">Terminated</t>
  </si>
  <si>
    <t xml:space="preserve">Policy days accrued to date (active staff)</t>
  </si>
  <si>
    <t xml:space="preserve">Policy hours accrued to date (active staff)</t>
  </si>
  <si>
    <t xml:space="preserve">EH balance - days (active staff)</t>
  </si>
  <si>
    <t xml:space="preserve">EH balance - hours (active staff)</t>
  </si>
  <si>
    <t xml:space="preserve">EH used - days (from Leave Taken tab)</t>
  </si>
  <si>
    <t xml:space="preserve">EH balance value $ (if mapped)</t>
  </si>
  <si>
    <t xml:space="preserve">Qualify but not set up in EH (count)</t>
  </si>
  <si>
    <t xml:space="preserve">Top-ups due (count)</t>
  </si>
  <si>
    <t xml:space="preserve">Total days to add in EH</t>
  </si>
  <si>
    <t xml:space="preserve">Total hours to add in EH</t>
  </si>
  <si>
    <t xml:space="preserve">Over-accrued to check (count)</t>
  </si>
  <si>
    <t xml:space="preserve">Terminated with a balance still in EH (count)</t>
  </si>
  <si>
    <t xml:space="preserve">Total</t>
  </si>
  <si>
    <t xml:space="preserve">Rows with data-check warnings</t>
  </si>
  <si>
    <t xml:space="preserve">Employees with no department, or a department not on the Settings list, are excluded from this table but included in the key figures.</t>
  </si>
  <si>
    <t xml:space="preserve">MILESTONE SCHEDULE - audit one employee accrual by accrual</t>
  </si>
  <si>
    <t xml:space="preserve">Pick an employee in the yellow cell. Every milestone date is listed with the employment type that applied on that date, and whether the day was credited (date has passed and the pathway matched).</t>
  </si>
  <si>
    <t xml:space="preserve">Select employee</t>
  </si>
  <si>
    <t xml:space="preserve">Row found?</t>
  </si>
  <si>
    <t xml:space="preserve">Commencement date</t>
  </si>
  <si>
    <t xml:space="preserve">Extended leave from</t>
  </si>
  <si>
    <t xml:space="preserve">Type at commencement</t>
  </si>
  <si>
    <t xml:space="preserve">Extended leave to</t>
  </si>
  <si>
    <t xml:space="preserve">Hours at commencement</t>
  </si>
  <si>
    <t xml:space="preserve">Extra paused days</t>
  </si>
  <si>
    <t xml:space="preserve">Change 1 date</t>
  </si>
  <si>
    <t xml:space="preserve">Termination date</t>
  </si>
  <si>
    <t xml:space="preserve">Change 1 new type</t>
  </si>
  <si>
    <t xml:space="preserve">Service counted to (as-of)</t>
  </si>
  <si>
    <t xml:space="preserve">Change 1 new hours</t>
  </si>
  <si>
    <t xml:space="preserve">Current accrual pathway</t>
  </si>
  <si>
    <t xml:space="preserve">Change 2 date</t>
  </si>
  <si>
    <t xml:space="preserve">Policy days accrued (Employees tab)</t>
  </si>
  <si>
    <t xml:space="preserve">Change 2 new type</t>
  </si>
  <si>
    <t xml:space="preserve">Schedule total below (check)</t>
  </si>
  <si>
    <t xml:space="preserve">Change 2 new hours</t>
  </si>
  <si>
    <t xml:space="preserve">Reconciles?</t>
  </si>
  <si>
    <t xml:space="preserve">Paused days (leave)</t>
  </si>
  <si>
    <t xml:space="preserve">FULL-TIME milestones (credited only if full-time on that date)</t>
  </si>
  <si>
    <t xml:space="preserve">PART-TIME (24+ hrs) milestones (credited only if eligible part-time on that date)</t>
  </si>
  <si>
    <t xml:space="preserve">Offset (months)</t>
  </si>
  <si>
    <t xml:space="preserve">Milestone</t>
  </si>
  <si>
    <t xml:space="preserve">Milestone date</t>
  </si>
  <si>
    <t xml:space="preserve">Type on that date</t>
  </si>
  <si>
    <t xml:space="preserve">Hrs</t>
  </si>
  <si>
    <t xml:space="preserve">Pathway</t>
  </si>
  <si>
    <t xml:space="preserve">Days if pathway matches</t>
  </si>
  <si>
    <t xml:space="preserve">Credited (days)</t>
  </si>
</sst>
</file>

<file path=xl/styles.xml><?xml version="1.0" encoding="utf-8"?>
<styleSheet xmlns="http://schemas.openxmlformats.org/spreadsheetml/2006/main">
  <numFmts count="6">
    <numFmt numFmtId="164" formatCode="General"/>
    <numFmt numFmtId="165" formatCode="dd/mm/yyyy"/>
    <numFmt numFmtId="166" formatCode="General"/>
    <numFmt numFmtId="167" formatCode="0.##;\-0.##;\-"/>
    <numFmt numFmtId="168" formatCode="\$#,##0.00;&quot;($&quot;#,##0.00\);\-"/>
    <numFmt numFmtId="169" formatCode="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sz val="10"/>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b val="true"/>
      <sz val="10"/>
      <color rgb="FFC00000"/>
      <name val="&lt;function F at 0x7ff3b4de3100&gt;"/>
      <family val="0"/>
      <charset val="1"/>
    </font>
    <font>
      <sz val="10"/>
      <color rgb="FF008000"/>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F2F2F2"/>
        <bgColor rgb="FFE2EFDA"/>
      </patternFill>
    </fill>
    <fill>
      <patternFill patternType="solid">
        <fgColor rgb="FF2E75B6"/>
        <bgColor rgb="FF0066CC"/>
      </patternFill>
    </fill>
    <fill>
      <patternFill patternType="solid">
        <fgColor rgb="FF7F7F7F"/>
        <bgColor rgb="FF70AD47"/>
      </patternFill>
    </fill>
    <fill>
      <patternFill patternType="solid">
        <fgColor rgb="FFE2EFDA"/>
        <bgColor rgb="FFF2F2F2"/>
      </patternFill>
    </fill>
    <fill>
      <patternFill patternType="solid">
        <fgColor rgb="FFFFFF00"/>
        <bgColor rgb="FFFFFF00"/>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6" fontId="5" fillId="4"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8" fillId="5" borderId="2" xfId="0" applyFont="true" applyBorder="true" applyAlignment="true" applyProtection="false">
      <alignment horizontal="center" vertical="center" textRotation="0" wrapText="true" indent="0" shrinkToFit="false"/>
      <protection locked="true" hidden="false"/>
    </xf>
    <xf numFmtId="164" fontId="8" fillId="2" borderId="2" xfId="0" applyFont="true" applyBorder="true" applyAlignment="true" applyProtection="false">
      <alignment horizontal="center" vertical="center" textRotation="0" wrapText="true" indent="0" shrinkToFit="false"/>
      <protection locked="true" hidden="false"/>
    </xf>
    <xf numFmtId="164" fontId="8" fillId="6" borderId="2"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6" fillId="4"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5" fontId="6" fillId="4" borderId="1" xfId="0" applyFont="true" applyBorder="true" applyAlignment="false" applyProtection="false">
      <alignment horizontal="general" vertical="bottom" textRotation="0" wrapText="false" indent="0" shrinkToFit="false"/>
      <protection locked="true" hidden="false"/>
    </xf>
    <xf numFmtId="168" fontId="6" fillId="4" borderId="1" xfId="0" applyFont="true" applyBorder="true" applyAlignment="false" applyProtection="false">
      <alignment horizontal="general" vertical="bottom" textRotation="0" wrapText="false" indent="0" shrinkToFit="false"/>
      <protection locked="true" hidden="false"/>
    </xf>
    <xf numFmtId="167" fontId="9"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9" fontId="6" fillId="4"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9" fillId="8"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7" fontId="11" fillId="4"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patternType="solid">
          <fgColor rgb="FF2E75B6"/>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CE4D6"/>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C00000"/>
          <bgColor rgb="FF000000"/>
        </patternFill>
      </fill>
    </dxf>
    <dxf>
      <font>
        <name val="&lt;function F at 0x7ff3b4de3100&gt;"/>
        <charset val="1"/>
        <family val="0"/>
        <b val="1"/>
        <color rgb="FFC00000"/>
        <sz val="10"/>
      </font>
      <fill>
        <patternFill>
          <bgColor rgb="FFFCE4D6"/>
        </patternFill>
      </fill>
    </dxf>
    <dxf>
      <font>
        <name val="&lt;function F at 0x7ff3b4de3100&gt;"/>
        <charset val="1"/>
        <family val="0"/>
        <b val="1"/>
        <color rgb="FF9C0006"/>
        <sz val="10"/>
      </font>
      <fill>
        <patternFill>
          <bgColor rgb="FFFFC7CE"/>
        </patternFill>
      </fill>
    </dxf>
    <dxf>
      <font>
        <name val="&lt;function F at 0x7ff3b4de3100&gt;"/>
        <charset val="1"/>
        <family val="0"/>
        <color rgb="FF006100"/>
        <sz val="10"/>
      </font>
      <fill>
        <patternFill>
          <bgColor rgb="FFC6EFCE"/>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5B9BD5"/>
      <rgbColor rgb="FF7030A0"/>
      <rgbColor rgb="FFFFF2CC"/>
      <rgbColor rgb="FFE2EFDA"/>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F2F2F2"/>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70AD47"/>
      <rgbColor rgb="FF003366"/>
      <rgbColor rgb="FF339966"/>
      <rgbColor rgb="FF0061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2: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20"/>
  </cols>
  <sheetData>
    <row r="2" customFormat="false" ht="17.35"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row>
    <row r="5" customFormat="false" ht="15" hidden="false" customHeight="false" outlineLevel="0" collapsed="false">
      <c r="B5" s="4" t="s">
        <v>2</v>
      </c>
    </row>
    <row r="6" customFormat="false" ht="15" hidden="false" customHeight="false" outlineLevel="0" collapsed="false">
      <c r="B6" s="3" t="s">
        <v>3</v>
      </c>
    </row>
    <row r="7" customFormat="false" ht="15" hidden="false" customHeight="false" outlineLevel="0" collapsed="false">
      <c r="B7" s="3" t="s">
        <v>4</v>
      </c>
    </row>
    <row r="8" customFormat="false" ht="15" hidden="false" customHeight="false" outlineLevel="0" collapsed="false">
      <c r="B8" s="3" t="s">
        <v>5</v>
      </c>
    </row>
    <row r="9" customFormat="false" ht="15" hidden="false" customHeight="false" outlineLevel="0" collapsed="false">
      <c r="B9" s="3" t="s">
        <v>6</v>
      </c>
    </row>
    <row r="10" customFormat="false" ht="15" hidden="false" customHeight="false" outlineLevel="0" collapsed="false">
      <c r="B10" s="3" t="s">
        <v>7</v>
      </c>
    </row>
    <row r="11" customFormat="false" ht="15" hidden="false" customHeight="false" outlineLevel="0" collapsed="false">
      <c r="B11" s="3"/>
    </row>
    <row r="12" customFormat="false" ht="15" hidden="false" customHeight="false" outlineLevel="0" collapsed="false">
      <c r="B12" s="4" t="s">
        <v>8</v>
      </c>
    </row>
    <row r="13" customFormat="false" ht="15" hidden="false" customHeight="false" outlineLevel="0" collapsed="false">
      <c r="B13" s="3" t="s">
        <v>9</v>
      </c>
    </row>
    <row r="14" customFormat="false" ht="15" hidden="false" customHeight="false" outlineLevel="0" collapsed="false">
      <c r="B14" s="3" t="s">
        <v>10</v>
      </c>
    </row>
    <row r="15" customFormat="false" ht="15" hidden="false" customHeight="false" outlineLevel="0" collapsed="false">
      <c r="B15" s="3"/>
    </row>
    <row r="16" customFormat="false" ht="15" hidden="false" customHeight="false" outlineLevel="0" collapsed="false">
      <c r="B16" s="4" t="s">
        <v>11</v>
      </c>
    </row>
    <row r="17" customFormat="false" ht="23.85" hidden="false" customHeight="false" outlineLevel="0" collapsed="false">
      <c r="B17" s="3" t="s">
        <v>12</v>
      </c>
    </row>
    <row r="18" customFormat="false" ht="23.85" hidden="false" customHeight="false" outlineLevel="0" collapsed="false">
      <c r="B18" s="3" t="s">
        <v>13</v>
      </c>
    </row>
    <row r="19" customFormat="false" ht="15" hidden="false" customHeight="false" outlineLevel="0" collapsed="false">
      <c r="B19" s="3" t="s">
        <v>14</v>
      </c>
    </row>
    <row r="20" customFormat="false" ht="15" hidden="false" customHeight="false" outlineLevel="0" collapsed="false">
      <c r="B20" s="3" t="s">
        <v>15</v>
      </c>
    </row>
    <row r="21" customFormat="false" ht="23.85" hidden="false" customHeight="false" outlineLevel="0" collapsed="false">
      <c r="B21" s="3" t="s">
        <v>16</v>
      </c>
    </row>
    <row r="22" customFormat="false" ht="23.85" hidden="false" customHeight="false" outlineLevel="0" collapsed="false">
      <c r="B22" s="3" t="s">
        <v>17</v>
      </c>
    </row>
    <row r="23" customFormat="false" ht="15" hidden="false" customHeight="false" outlineLevel="0" collapsed="false">
      <c r="B23" s="3" t="s">
        <v>18</v>
      </c>
    </row>
    <row r="24" customFormat="false" ht="15" hidden="false" customHeight="false" outlineLevel="0" collapsed="false">
      <c r="B24" s="3" t="s">
        <v>19</v>
      </c>
    </row>
    <row r="25" customFormat="false" ht="15" hidden="false" customHeight="false" outlineLevel="0" collapsed="false">
      <c r="B25" s="3"/>
    </row>
    <row r="26" customFormat="false" ht="15" hidden="false" customHeight="false" outlineLevel="0" collapsed="false">
      <c r="B26" s="4" t="s">
        <v>20</v>
      </c>
    </row>
    <row r="27" customFormat="false" ht="15" hidden="false" customHeight="false" outlineLevel="0" collapsed="false">
      <c r="B27" s="3" t="s">
        <v>21</v>
      </c>
    </row>
    <row r="28" customFormat="false" ht="15" hidden="false" customHeight="false" outlineLevel="0" collapsed="false">
      <c r="B28" s="3" t="s">
        <v>22</v>
      </c>
    </row>
    <row r="29" customFormat="false" ht="23.85" hidden="false" customHeight="false" outlineLevel="0" collapsed="false">
      <c r="B29" s="3" t="s">
        <v>23</v>
      </c>
    </row>
    <row r="30" customFormat="false" ht="23.85" hidden="false" customHeight="false" outlineLevel="0" collapsed="false">
      <c r="B30" s="3" t="s">
        <v>24</v>
      </c>
    </row>
    <row r="31" customFormat="false" ht="15" hidden="false" customHeight="false" outlineLevel="0" collapsed="false">
      <c r="B31" s="3" t="s">
        <v>25</v>
      </c>
    </row>
    <row r="32" customFormat="false" ht="15" hidden="false" customHeight="false" outlineLevel="0" collapsed="false">
      <c r="B32" s="3"/>
    </row>
    <row r="33" customFormat="false" ht="15" hidden="false" customHeight="false" outlineLevel="0" collapsed="false">
      <c r="B33" s="4" t="s">
        <v>26</v>
      </c>
    </row>
    <row r="34" customFormat="false" ht="15" hidden="false" customHeight="false" outlineLevel="0" collapsed="false">
      <c r="B34" s="3" t="s">
        <v>27</v>
      </c>
    </row>
    <row r="35" customFormat="false" ht="15" hidden="false" customHeight="false" outlineLevel="0" collapsed="false">
      <c r="B35" s="3" t="s">
        <v>28</v>
      </c>
    </row>
    <row r="36" customFormat="false" ht="15" hidden="false" customHeight="false" outlineLevel="0" collapsed="false">
      <c r="B36" s="3" t="s">
        <v>29</v>
      </c>
    </row>
    <row r="37" customFormat="false" ht="15" hidden="false" customHeight="false" outlineLevel="0" collapsed="false">
      <c r="B37" s="3" t="s">
        <v>30</v>
      </c>
    </row>
    <row r="38" customFormat="false" ht="15" hidden="false" customHeight="false" outlineLevel="0" collapsed="false">
      <c r="B38" s="3" t="s">
        <v>31</v>
      </c>
    </row>
    <row r="39" customFormat="false" ht="15" hidden="false" customHeight="false" outlineLevel="0" collapsed="false">
      <c r="B39" s="3"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26"/>
    <col collapsed="false" customWidth="true" hidden="false" outlineLevel="0" max="4" min="4" style="0" width="14"/>
    <col collapsed="false" customWidth="true" hidden="false" outlineLevel="0" max="5" min="5" style="0" width="3"/>
    <col collapsed="false" customWidth="true" hidden="false" outlineLevel="0" max="7" min="6" style="0" width="30"/>
    <col collapsed="false" customWidth="true" hidden="false" outlineLevel="0" max="8" min="8" style="0" width="3"/>
  </cols>
  <sheetData>
    <row r="2" customFormat="false" ht="17.35" hidden="false" customHeight="false" outlineLevel="0" collapsed="false">
      <c r="B2" s="5" t="s">
        <v>33</v>
      </c>
    </row>
    <row r="3" customFormat="false" ht="15" hidden="false" customHeight="false" outlineLevel="0" collapsed="false">
      <c r="B3" s="6" t="s">
        <v>34</v>
      </c>
    </row>
    <row r="5" customFormat="false" ht="15" hidden="false" customHeight="false" outlineLevel="0" collapsed="false">
      <c r="B5" s="7" t="s">
        <v>35</v>
      </c>
      <c r="C5" s="7" t="s">
        <v>36</v>
      </c>
      <c r="D5" s="7" t="s">
        <v>37</v>
      </c>
    </row>
    <row r="6" customFormat="false" ht="15" hidden="false" customHeight="false" outlineLevel="0" collapsed="false">
      <c r="B6" s="8" t="s">
        <v>38</v>
      </c>
      <c r="C6" s="9" t="n">
        <f aca="true">TODAY()</f>
        <v>46295</v>
      </c>
      <c r="D6" s="6" t="s">
        <v>39</v>
      </c>
      <c r="F6" s="6" t="s">
        <v>40</v>
      </c>
    </row>
    <row r="7" customFormat="false" ht="15" hidden="false" customHeight="false" outlineLevel="0" collapsed="false">
      <c r="B7" s="8" t="s">
        <v>41</v>
      </c>
      <c r="C7" s="10" t="n">
        <v>8</v>
      </c>
      <c r="D7" s="6" t="s">
        <v>42</v>
      </c>
      <c r="F7" s="6" t="s">
        <v>43</v>
      </c>
    </row>
    <row r="8" customFormat="false" ht="15" hidden="false" customHeight="false" outlineLevel="0" collapsed="false">
      <c r="B8" s="8" t="s">
        <v>44</v>
      </c>
      <c r="C8" s="10" t="s">
        <v>45</v>
      </c>
      <c r="D8" s="6" t="s">
        <v>46</v>
      </c>
      <c r="F8" s="6" t="s">
        <v>47</v>
      </c>
    </row>
    <row r="9" customFormat="false" ht="15" hidden="false" customHeight="false" outlineLevel="0" collapsed="false">
      <c r="B9" s="8" t="s">
        <v>48</v>
      </c>
      <c r="C9" s="10" t="s">
        <v>49</v>
      </c>
      <c r="D9" s="6" t="s">
        <v>50</v>
      </c>
      <c r="F9" s="6" t="s">
        <v>51</v>
      </c>
    </row>
    <row r="10" customFormat="false" ht="15" hidden="false" customHeight="false" outlineLevel="0" collapsed="false">
      <c r="B10" s="8" t="s">
        <v>52</v>
      </c>
      <c r="C10" s="10" t="s">
        <v>53</v>
      </c>
      <c r="D10" s="6" t="s">
        <v>54</v>
      </c>
      <c r="F10" s="6" t="s">
        <v>55</v>
      </c>
    </row>
    <row r="12" customFormat="false" ht="15" hidden="false" customHeight="false" outlineLevel="0" collapsed="false">
      <c r="B12" s="7" t="s">
        <v>56</v>
      </c>
      <c r="C12" s="7" t="s">
        <v>36</v>
      </c>
      <c r="D12" s="7" t="s">
        <v>37</v>
      </c>
    </row>
    <row r="13" customFormat="false" ht="15" hidden="false" customHeight="false" outlineLevel="0" collapsed="false">
      <c r="B13" s="8" t="s">
        <v>57</v>
      </c>
      <c r="C13" s="10" t="n">
        <v>36</v>
      </c>
      <c r="D13" s="6" t="s">
        <v>58</v>
      </c>
      <c r="F13" s="6" t="s">
        <v>59</v>
      </c>
    </row>
    <row r="14" customFormat="false" ht="15" hidden="false" customHeight="false" outlineLevel="0" collapsed="false">
      <c r="B14" s="8" t="s">
        <v>60</v>
      </c>
      <c r="C14" s="10" t="n">
        <v>4</v>
      </c>
      <c r="D14" s="6" t="s">
        <v>61</v>
      </c>
      <c r="F14" s="6" t="s">
        <v>62</v>
      </c>
    </row>
    <row r="15" customFormat="false" ht="15" hidden="false" customHeight="false" outlineLevel="0" collapsed="false">
      <c r="B15" s="8" t="s">
        <v>63</v>
      </c>
      <c r="C15" s="10" t="n">
        <v>60</v>
      </c>
      <c r="D15" s="6" t="s">
        <v>64</v>
      </c>
      <c r="F15" s="6" t="s">
        <v>65</v>
      </c>
    </row>
    <row r="16" customFormat="false" ht="15" hidden="false" customHeight="false" outlineLevel="0" collapsed="false">
      <c r="B16" s="8" t="s">
        <v>66</v>
      </c>
      <c r="C16" s="10" t="n">
        <v>2</v>
      </c>
      <c r="D16" s="6" t="s">
        <v>67</v>
      </c>
      <c r="F16" s="6" t="s">
        <v>68</v>
      </c>
    </row>
    <row r="17" customFormat="false" ht="15" hidden="false" customHeight="false" outlineLevel="0" collapsed="false">
      <c r="B17" s="8" t="s">
        <v>69</v>
      </c>
      <c r="C17" s="10" t="n">
        <v>3</v>
      </c>
      <c r="D17" s="6" t="s">
        <v>70</v>
      </c>
      <c r="F17" s="6" t="s">
        <v>71</v>
      </c>
    </row>
    <row r="18" customFormat="false" ht="15" hidden="false" customHeight="false" outlineLevel="0" collapsed="false">
      <c r="B18" s="8" t="s">
        <v>72</v>
      </c>
      <c r="C18" s="10" t="n">
        <v>60</v>
      </c>
      <c r="D18" s="6" t="s">
        <v>73</v>
      </c>
      <c r="F18" s="6" t="s">
        <v>74</v>
      </c>
    </row>
    <row r="19" customFormat="false" ht="15" hidden="false" customHeight="false" outlineLevel="0" collapsed="false">
      <c r="B19" s="8" t="s">
        <v>75</v>
      </c>
      <c r="C19" s="10" t="n">
        <v>4</v>
      </c>
      <c r="D19" s="6" t="s">
        <v>76</v>
      </c>
      <c r="F19" s="6" t="s">
        <v>77</v>
      </c>
    </row>
    <row r="20" customFormat="false" ht="15" hidden="false" customHeight="false" outlineLevel="0" collapsed="false">
      <c r="B20" s="8" t="s">
        <v>78</v>
      </c>
      <c r="C20" s="10" t="n">
        <v>24</v>
      </c>
      <c r="D20" s="6" t="s">
        <v>79</v>
      </c>
      <c r="F20" s="6" t="s">
        <v>80</v>
      </c>
    </row>
    <row r="21" customFormat="false" ht="15" hidden="false" customHeight="false" outlineLevel="0" collapsed="false">
      <c r="B21" s="8" t="s">
        <v>81</v>
      </c>
      <c r="C21" s="11" t="n">
        <f aca="false">1+INT((FT_Y5-1-FT_First)/FT_Int1)</f>
        <v>6</v>
      </c>
      <c r="D21" s="6" t="s">
        <v>82</v>
      </c>
      <c r="F21" s="6" t="s">
        <v>83</v>
      </c>
    </row>
    <row r="22" customFormat="false" ht="15" hidden="false" customHeight="false" outlineLevel="0" collapsed="false">
      <c r="B22" s="8" t="s">
        <v>84</v>
      </c>
      <c r="C22" s="11" t="n">
        <f aca="false">FT_AnnivDays+INT(11/FT_Int2)</f>
        <v>5</v>
      </c>
      <c r="D22" s="6" t="s">
        <v>85</v>
      </c>
      <c r="F22" s="6" t="s">
        <v>86</v>
      </c>
    </row>
    <row r="24" customFormat="false" ht="15" hidden="false" customHeight="false" outlineLevel="0" collapsed="false">
      <c r="B24" s="7" t="s">
        <v>87</v>
      </c>
      <c r="C24" s="7" t="s">
        <v>88</v>
      </c>
      <c r="D24" s="7" t="s">
        <v>89</v>
      </c>
    </row>
    <row r="25" customFormat="false" ht="15" hidden="false" customHeight="false" outlineLevel="0" collapsed="false">
      <c r="B25" s="8" t="s">
        <v>90</v>
      </c>
      <c r="C25" s="10" t="s">
        <v>53</v>
      </c>
      <c r="D25" s="12" t="str">
        <f aca="false">IF(ISNUMBER(MATCH(C25,EH_Hdr,0)),"Yes","NO")</f>
        <v>Yes</v>
      </c>
      <c r="F25" s="6" t="s">
        <v>91</v>
      </c>
      <c r="G25" s="13" t="n">
        <f aca="false">IFERROR(MATCH(C25,EH_Hdr,0),0)</f>
        <v>1</v>
      </c>
    </row>
    <row r="26" customFormat="false" ht="15" hidden="false" customHeight="false" outlineLevel="0" collapsed="false">
      <c r="B26" s="8" t="s">
        <v>92</v>
      </c>
      <c r="C26" s="10" t="s">
        <v>93</v>
      </c>
      <c r="D26" s="12" t="str">
        <f aca="false">IF(ISNUMBER(MATCH(C26,EH_Hdr,0)),"Yes","NO")</f>
        <v>Yes</v>
      </c>
      <c r="F26" s="6" t="s">
        <v>94</v>
      </c>
      <c r="G26" s="13" t="n">
        <f aca="false">IFERROR(MATCH(C26,EH_Hdr,0),0)</f>
        <v>2</v>
      </c>
    </row>
    <row r="27" customFormat="false" ht="15" hidden="false" customHeight="false" outlineLevel="0" collapsed="false">
      <c r="B27" s="8" t="s">
        <v>95</v>
      </c>
      <c r="C27" s="10" t="s">
        <v>96</v>
      </c>
      <c r="D27" s="12" t="str">
        <f aca="false">IF(ISNUMBER(MATCH(C27,EH_Hdr,0)),"Yes","NO")</f>
        <v>Yes</v>
      </c>
      <c r="F27" s="6" t="s">
        <v>97</v>
      </c>
      <c r="G27" s="13" t="n">
        <f aca="false">IFERROR(MATCH(C27,EH_Hdr,0),0)</f>
        <v>3</v>
      </c>
    </row>
    <row r="28" customFormat="false" ht="15" hidden="false" customHeight="false" outlineLevel="0" collapsed="false">
      <c r="B28" s="8" t="s">
        <v>98</v>
      </c>
      <c r="C28" s="10" t="s">
        <v>99</v>
      </c>
      <c r="D28" s="12" t="str">
        <f aca="false">IF(ISNUMBER(MATCH(C28,EH_Hdr,0)),"Yes","NO")</f>
        <v>Yes</v>
      </c>
      <c r="F28" s="6" t="s">
        <v>100</v>
      </c>
      <c r="G28" s="13" t="n">
        <f aca="false">IFERROR(MATCH(C28,EH_Hdr,0),0)</f>
        <v>5</v>
      </c>
    </row>
    <row r="29" customFormat="false" ht="15" hidden="false" customHeight="false" outlineLevel="0" collapsed="false">
      <c r="B29" s="8" t="s">
        <v>101</v>
      </c>
      <c r="C29" s="10" t="s">
        <v>102</v>
      </c>
      <c r="D29" s="12" t="str">
        <f aca="false">IF(ISNUMBER(MATCH(C29,EH_Hdr,0)),"Yes","NO")</f>
        <v>Yes</v>
      </c>
      <c r="F29" s="6" t="s">
        <v>103</v>
      </c>
      <c r="G29" s="13" t="n">
        <f aca="false">IFERROR(MATCH(C29,EH_Hdr,0),0)</f>
        <v>6</v>
      </c>
    </row>
    <row r="30" customFormat="false" ht="15" hidden="false" customHeight="false" outlineLevel="0" collapsed="false">
      <c r="B30" s="8" t="s">
        <v>104</v>
      </c>
      <c r="C30" s="10" t="s">
        <v>105</v>
      </c>
      <c r="D30" s="12" t="str">
        <f aca="false">IF(ISNUMBER(MATCH(C30,EH_Hdr,0)),"Yes","NO")</f>
        <v>Yes</v>
      </c>
      <c r="F30" s="6" t="s">
        <v>106</v>
      </c>
      <c r="G30" s="13" t="n">
        <f aca="false">IFERROR(MATCH(C30,EH_Hdr,0),0)</f>
        <v>7</v>
      </c>
    </row>
    <row r="31" customFormat="false" ht="15" hidden="false" customHeight="false" outlineLevel="0" collapsed="false">
      <c r="B31" s="14" t="s">
        <v>107</v>
      </c>
      <c r="C31" s="15" t="str">
        <f aca="false">IF(AND(EH_ColCat&gt;0,EH_ColBal&gt;0,IF(MatchMode="Employee ID",EH_ColID&gt;0,AND(EH_ColFirst&gt;0,EH_ColSur&gt;0))),"YES","NO - fix headers above")</f>
        <v>YES</v>
      </c>
      <c r="G31" s="16" t="b">
        <f aca="false">AND(EH_ColCat&gt;0,EH_ColBal&gt;0,IF(MatchMode="Employee ID",EH_ColID&gt;0,AND(EH_ColFirst&gt;0,EH_ColSur&gt;0)))</f>
        <v>1</v>
      </c>
    </row>
    <row r="32" customFormat="false" ht="15" hidden="false" customHeight="false" outlineLevel="0" collapsed="false">
      <c r="B32" s="8" t="s">
        <v>108</v>
      </c>
      <c r="C32" s="11" t="str">
        <f aca="false">IF(EH_ColVal&gt;0,"Yes","No - $ column left blank")</f>
        <v>Yes</v>
      </c>
      <c r="G32" s="16" t="b">
        <f aca="false">EH_ColVal&gt;0</f>
        <v>1</v>
      </c>
    </row>
    <row r="34" customFormat="false" ht="15" hidden="false" customHeight="false" outlineLevel="0" collapsed="false">
      <c r="B34" s="7" t="s">
        <v>109</v>
      </c>
      <c r="C34" s="7" t="s">
        <v>88</v>
      </c>
      <c r="D34" s="7" t="s">
        <v>89</v>
      </c>
    </row>
    <row r="35" customFormat="false" ht="15" hidden="false" customHeight="false" outlineLevel="0" collapsed="false">
      <c r="B35" s="8" t="s">
        <v>90</v>
      </c>
      <c r="C35" s="10" t="s">
        <v>53</v>
      </c>
      <c r="D35" s="12" t="str">
        <f aca="false">IF(ISNUMBER(MATCH(C35,TK_Hdr,0)),"Yes","NO")</f>
        <v>Yes</v>
      </c>
      <c r="F35" s="6" t="s">
        <v>110</v>
      </c>
      <c r="G35" s="13" t="n">
        <f aca="false">IFERROR(MATCH(C35,TK_Hdr,0),0)</f>
        <v>1</v>
      </c>
    </row>
    <row r="36" customFormat="false" ht="15" hidden="false" customHeight="false" outlineLevel="0" collapsed="false">
      <c r="B36" s="8" t="s">
        <v>92</v>
      </c>
      <c r="C36" s="10" t="s">
        <v>93</v>
      </c>
      <c r="D36" s="12" t="str">
        <f aca="false">IF(ISNUMBER(MATCH(C36,TK_Hdr,0)),"Yes","NO")</f>
        <v>Yes</v>
      </c>
      <c r="F36" s="6" t="s">
        <v>111</v>
      </c>
      <c r="G36" s="13" t="n">
        <f aca="false">IFERROR(MATCH(C36,TK_Hdr,0),0)</f>
        <v>2</v>
      </c>
    </row>
    <row r="37" customFormat="false" ht="15" hidden="false" customHeight="false" outlineLevel="0" collapsed="false">
      <c r="B37" s="8" t="s">
        <v>95</v>
      </c>
      <c r="C37" s="10" t="s">
        <v>96</v>
      </c>
      <c r="D37" s="12" t="str">
        <f aca="false">IF(ISNUMBER(MATCH(C37,TK_Hdr,0)),"Yes","NO")</f>
        <v>Yes</v>
      </c>
      <c r="F37" s="6" t="s">
        <v>112</v>
      </c>
      <c r="G37" s="13" t="n">
        <f aca="false">IFERROR(MATCH(C37,TK_Hdr,0),0)</f>
        <v>3</v>
      </c>
    </row>
    <row r="38" customFormat="false" ht="15" hidden="false" customHeight="false" outlineLevel="0" collapsed="false">
      <c r="B38" s="8" t="s">
        <v>98</v>
      </c>
      <c r="C38" s="10" t="s">
        <v>99</v>
      </c>
      <c r="D38" s="12" t="str">
        <f aca="false">IF(ISNUMBER(MATCH(C38,TK_Hdr,0)),"Yes","NO")</f>
        <v>Yes</v>
      </c>
      <c r="F38" s="6" t="s">
        <v>113</v>
      </c>
      <c r="G38" s="13" t="n">
        <f aca="false">IFERROR(MATCH(C38,TK_Hdr,0),0)</f>
        <v>4</v>
      </c>
    </row>
    <row r="39" customFormat="false" ht="15" hidden="false" customHeight="false" outlineLevel="0" collapsed="false">
      <c r="B39" s="8" t="s">
        <v>114</v>
      </c>
      <c r="C39" s="10" t="s">
        <v>49</v>
      </c>
      <c r="D39" s="12" t="str">
        <f aca="false">IF(ISNUMBER(MATCH(C39,TK_Hdr,0)),"Yes","NO")</f>
        <v>Yes</v>
      </c>
      <c r="F39" s="6" t="s">
        <v>115</v>
      </c>
      <c r="G39" s="13" t="n">
        <f aca="false">IFERROR(MATCH(C39,TK_Hdr,0),0)</f>
        <v>7</v>
      </c>
    </row>
    <row r="40" customFormat="false" ht="15" hidden="false" customHeight="false" outlineLevel="0" collapsed="false">
      <c r="B40" s="8" t="s">
        <v>116</v>
      </c>
      <c r="C40" s="10" t="s">
        <v>49</v>
      </c>
      <c r="D40" s="6" t="s">
        <v>117</v>
      </c>
      <c r="F40" s="6" t="s">
        <v>118</v>
      </c>
    </row>
    <row r="41" customFormat="false" ht="15" hidden="false" customHeight="false" outlineLevel="0" collapsed="false">
      <c r="B41" s="14" t="s">
        <v>119</v>
      </c>
      <c r="C41" s="15" t="str">
        <f aca="false">IF(TK_Ready,"YES","NO - tab empty or headers not mapped (used = 0)")</f>
        <v>YES</v>
      </c>
      <c r="G41" s="16" t="b">
        <f aca="false">AND(TK_ColCat&gt;0,TK_ColAmt&gt;0,IF(MatchMode="Employee ID",TK_ColID&gt;0,AND(TK_ColFirst&gt;0,TK_ColSur&gt;0)))</f>
        <v>1</v>
      </c>
    </row>
    <row r="44" customFormat="false" ht="15" hidden="false" customHeight="false" outlineLevel="0" collapsed="false">
      <c r="B44" s="7" t="s">
        <v>120</v>
      </c>
      <c r="C44" s="7" t="s">
        <v>121</v>
      </c>
      <c r="D44" s="7"/>
      <c r="F44" s="6" t="s">
        <v>122</v>
      </c>
    </row>
    <row r="45" customFormat="false" ht="15" hidden="false" customHeight="false" outlineLevel="0" collapsed="false">
      <c r="B45" s="10" t="s">
        <v>123</v>
      </c>
      <c r="C45" s="10" t="s">
        <v>124</v>
      </c>
    </row>
    <row r="46" customFormat="false" ht="15" hidden="false" customHeight="false" outlineLevel="0" collapsed="false">
      <c r="B46" s="10" t="s">
        <v>125</v>
      </c>
      <c r="C46" s="10" t="s">
        <v>126</v>
      </c>
      <c r="F46" s="7" t="s">
        <v>127</v>
      </c>
    </row>
    <row r="47" customFormat="false" ht="15" hidden="false" customHeight="false" outlineLevel="0" collapsed="false">
      <c r="B47" s="10" t="s">
        <v>128</v>
      </c>
      <c r="C47" s="10" t="s">
        <v>129</v>
      </c>
      <c r="F47" s="10" t="s">
        <v>130</v>
      </c>
    </row>
    <row r="48" customFormat="false" ht="15" hidden="false" customHeight="false" outlineLevel="0" collapsed="false">
      <c r="B48" s="10" t="s">
        <v>131</v>
      </c>
      <c r="C48" s="10" t="s">
        <v>129</v>
      </c>
      <c r="F48" s="10" t="s">
        <v>132</v>
      </c>
    </row>
    <row r="49" customFormat="false" ht="15" hidden="false" customHeight="false" outlineLevel="0" collapsed="false">
      <c r="B49" s="10" t="s">
        <v>133</v>
      </c>
      <c r="C49" s="10" t="s">
        <v>124</v>
      </c>
      <c r="F49" s="10" t="s">
        <v>134</v>
      </c>
    </row>
    <row r="50" customFormat="false" ht="15" hidden="false" customHeight="false" outlineLevel="0" collapsed="false">
      <c r="B50" s="10" t="s">
        <v>135</v>
      </c>
      <c r="C50" s="10" t="s">
        <v>126</v>
      </c>
      <c r="F50" s="10" t="s">
        <v>136</v>
      </c>
    </row>
    <row r="51" customFormat="false" ht="15" hidden="false" customHeight="false" outlineLevel="0" collapsed="false">
      <c r="B51" s="17"/>
      <c r="C51" s="17"/>
      <c r="F51" s="10" t="s">
        <v>137</v>
      </c>
    </row>
    <row r="52" customFormat="false" ht="15" hidden="false" customHeight="false" outlineLevel="0" collapsed="false">
      <c r="B52" s="17"/>
      <c r="C52" s="17"/>
      <c r="F52" s="10" t="s">
        <v>138</v>
      </c>
    </row>
    <row r="53" customFormat="false" ht="15" hidden="false" customHeight="false" outlineLevel="0" collapsed="false">
      <c r="F53" s="10" t="s">
        <v>139</v>
      </c>
    </row>
    <row r="54" customFormat="false" ht="15" hidden="false" customHeight="false" outlineLevel="0" collapsed="false">
      <c r="F54" s="10"/>
    </row>
    <row r="55" customFormat="false" ht="15" hidden="false" customHeight="false" outlineLevel="0" collapsed="false">
      <c r="F55" s="10"/>
    </row>
    <row r="56" customFormat="false" ht="15" hidden="false" customHeight="false" outlineLevel="0" collapsed="false">
      <c r="F56" s="10"/>
    </row>
    <row r="57" customFormat="false" ht="15" hidden="false" customHeight="false" outlineLevel="0" collapsed="false">
      <c r="F57" s="10"/>
    </row>
    <row r="58" customFormat="false" ht="15" hidden="false" customHeight="false" outlineLevel="0" collapsed="false">
      <c r="F58" s="10"/>
    </row>
    <row r="59" customFormat="false" ht="15" hidden="false" customHeight="false" outlineLevel="0" collapsed="false">
      <c r="F59" s="10"/>
    </row>
    <row r="60" customFormat="false" ht="15" hidden="false" customHeight="false" outlineLevel="0" collapsed="false">
      <c r="F60" s="10"/>
    </row>
    <row r="61" customFormat="false" ht="15" hidden="false" customHeight="false" outlineLevel="0" collapsed="false">
      <c r="F61" s="10"/>
    </row>
    <row r="62" customFormat="false" ht="15" hidden="false" customHeight="false" outlineLevel="0" collapsed="false">
      <c r="F62" s="10"/>
    </row>
    <row r="63" customFormat="false" ht="15" hidden="false" customHeight="false" outlineLevel="0" collapsed="false">
      <c r="F63" s="10"/>
    </row>
    <row r="64" customFormat="false" ht="15" hidden="false" customHeight="false" outlineLevel="0" collapsed="false">
      <c r="F64" s="10"/>
    </row>
    <row r="65" customFormat="false" ht="15" hidden="false" customHeight="false" outlineLevel="0" collapsed="false">
      <c r="F65" s="10"/>
    </row>
    <row r="66" customFormat="false" ht="15" hidden="false" customHeight="false" outlineLevel="0" collapsed="false">
      <c r="F66" s="10"/>
    </row>
  </sheetData>
  <dataValidations count="3">
    <dataValidation allowBlank="true" errorStyle="stop" operator="between" showDropDown="false" showErrorMessage="false" showInputMessage="false" sqref="C9 C40" type="list">
      <formula1>"Hours,Days"</formula1>
      <formula2>0</formula2>
    </dataValidation>
    <dataValidation allowBlank="true" errorStyle="stop" operator="between" showDropDown="false" showErrorMessage="false" showInputMessage="false" sqref="C10" type="list">
      <formula1>"Employee ID,Name"</formula1>
      <formula2>0</formula2>
    </dataValidation>
    <dataValidation allowBlank="true" errorStyle="stop" operator="between" showDropDown="false" showErrorMessage="false" showInputMessage="false" sqref="C45:C52" type="list">
      <formula1>"FT,PT,None"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J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4"/>
    <col collapsed="false" customWidth="true" hidden="false" outlineLevel="0" max="4" min="4" style="0" width="15"/>
    <col collapsed="false" customWidth="true" hidden="false" outlineLevel="0" max="5" min="5" style="0" width="13"/>
    <col collapsed="false" customWidth="true" hidden="false" outlineLevel="0" max="6" min="6" style="0" width="15"/>
    <col collapsed="false" customWidth="true" hidden="false" outlineLevel="0" max="7" min="7" style="0" width="10"/>
    <col collapsed="false" customWidth="true" hidden="false" outlineLevel="0" max="8" min="8" style="0" width="12"/>
    <col collapsed="false" customWidth="true" hidden="false" outlineLevel="0" max="9" min="9" style="0" width="14"/>
    <col collapsed="false" customWidth="true" hidden="false" outlineLevel="0" max="10" min="10" style="0" width="10"/>
    <col collapsed="false" customWidth="true" hidden="false" outlineLevel="0" max="11" min="11" style="0" width="12"/>
    <col collapsed="false" customWidth="true" hidden="false" outlineLevel="0" max="12" min="12" style="0" width="14"/>
    <col collapsed="false" customWidth="true" hidden="false" outlineLevel="0" max="13" min="13" style="0" width="10"/>
    <col collapsed="false" customWidth="true" hidden="false" outlineLevel="0" max="15" min="14" style="0" width="13"/>
    <col collapsed="false" customWidth="true" hidden="false" outlineLevel="0" max="16" min="16" style="0" width="10"/>
    <col collapsed="false" customWidth="true" hidden="false" outlineLevel="0" max="17" min="17" style="0" width="12"/>
    <col collapsed="false" customWidth="true" hidden="false" outlineLevel="0" max="18" min="18" style="0" width="22"/>
    <col collapsed="false" customWidth="true" hidden="false" outlineLevel="0" max="19" min="19" style="0" width="30"/>
    <col collapsed="false" customWidth="true" hidden="false" outlineLevel="0" max="20" min="20" style="0" width="13"/>
    <col collapsed="false" customWidth="true" hidden="false" outlineLevel="0" max="21" min="21" style="0" width="9"/>
    <col collapsed="false" customWidth="true" hidden="false" outlineLevel="0" max="22" min="22" style="0" width="13"/>
    <col collapsed="false" customWidth="true" hidden="false" outlineLevel="0" max="23" min="23" style="0" width="28"/>
    <col collapsed="false" customWidth="true" hidden="false" outlineLevel="0" max="24" min="24" style="0" width="12"/>
    <col collapsed="false" customWidth="true" hidden="false" outlineLevel="0" max="25" min="25" style="0" width="10"/>
    <col collapsed="false" customWidth="true" hidden="false" outlineLevel="0" max="26" min="26" style="0" width="11"/>
    <col collapsed="false" customWidth="true" hidden="false" outlineLevel="0" max="27" min="27" style="0" width="26"/>
    <col collapsed="false" customWidth="true" hidden="false" outlineLevel="0" max="29" min="28" style="0" width="11"/>
    <col collapsed="false" customWidth="true" hidden="false" outlineLevel="0" max="30" min="30" style="0" width="12"/>
    <col collapsed="false" customWidth="true" hidden="false" outlineLevel="0" max="31" min="31" style="0" width="9"/>
    <col collapsed="false" customWidth="true" hidden="false" outlineLevel="0" max="34" min="32" style="0" width="10"/>
    <col collapsed="false" customWidth="true" hidden="false" outlineLevel="0" max="35" min="35" style="0" width="11"/>
    <col collapsed="false" customWidth="true" hidden="false" outlineLevel="0" max="36" min="36" style="0" width="12"/>
    <col collapsed="false" customWidth="true" hidden="false" outlineLevel="0" max="38" min="37" style="0" width="10"/>
    <col collapsed="false" customWidth="true" hidden="false" outlineLevel="0" max="39" min="39" style="0" width="40"/>
    <col collapsed="false" customWidth="true" hidden="false" outlineLevel="0" max="40" min="40" style="0" width="34"/>
    <col collapsed="false" customWidth="true" hidden="true" outlineLevel="1" max="62" min="41" style="0" width="8"/>
  </cols>
  <sheetData>
    <row r="1" customFormat="false" ht="17.35" hidden="false" customHeight="false" outlineLevel="0" collapsed="false">
      <c r="A1" s="5" t="s">
        <v>140</v>
      </c>
    </row>
    <row r="2" customFormat="false" ht="15" hidden="false" customHeight="false" outlineLevel="0" collapsed="false">
      <c r="A2" s="6" t="s">
        <v>141</v>
      </c>
    </row>
    <row r="3" customFormat="false" ht="15" hidden="false" customHeight="false" outlineLevel="0" collapsed="false">
      <c r="A3" s="14" t="str">
        <f aca="false">"As-of date: "&amp;TEXT(AsOfDate,"dd/mm/yyyy")&amp;"   |   EH export: "&amp;IF(EH_Ready,"mapped OK","NOT mapped - see Settings")&amp;"   |   Leave Taken tab: "&amp;IF(TK_Ready,"mapped OK","not used (used = 0)")</f>
        <v>As-of date: 30/09/2026   |   EH export: mapped OK   |   Leave Taken tab: mapped OK</v>
      </c>
    </row>
    <row r="4" customFormat="false" ht="57.45" hidden="false" customHeight="true" outlineLevel="0" collapsed="false">
      <c r="A4" s="18" t="s">
        <v>142</v>
      </c>
      <c r="B4" s="18"/>
      <c r="C4" s="18"/>
      <c r="D4" s="18"/>
      <c r="E4" s="18"/>
      <c r="F4" s="18"/>
      <c r="G4" s="18"/>
      <c r="H4" s="18"/>
      <c r="I4" s="18"/>
      <c r="J4" s="18"/>
      <c r="K4" s="18"/>
      <c r="L4" s="18"/>
      <c r="M4" s="18"/>
      <c r="N4" s="18"/>
      <c r="O4" s="18"/>
      <c r="P4" s="18"/>
      <c r="Q4" s="18"/>
      <c r="R4" s="18"/>
      <c r="S4" s="19" t="s">
        <v>143</v>
      </c>
      <c r="T4" s="19"/>
      <c r="U4" s="19"/>
      <c r="V4" s="19"/>
      <c r="W4" s="19"/>
      <c r="X4" s="19"/>
      <c r="Y4" s="19"/>
      <c r="Z4" s="19"/>
      <c r="AA4" s="19"/>
      <c r="AB4" s="19"/>
      <c r="AC4" s="19"/>
      <c r="AD4" s="19"/>
      <c r="AE4" s="19"/>
      <c r="AF4" s="19" t="s">
        <v>144</v>
      </c>
      <c r="AG4" s="19"/>
      <c r="AH4" s="19"/>
      <c r="AI4" s="19"/>
      <c r="AJ4" s="19"/>
      <c r="AK4" s="19"/>
      <c r="AL4" s="19"/>
      <c r="AM4" s="19"/>
      <c r="AN4" s="19"/>
      <c r="AO4" s="20" t="s">
        <v>145</v>
      </c>
      <c r="AP4" s="20"/>
      <c r="AQ4" s="20"/>
      <c r="AR4" s="20"/>
      <c r="AS4" s="20"/>
      <c r="AT4" s="20"/>
      <c r="AU4" s="20"/>
      <c r="AV4" s="20"/>
      <c r="AW4" s="20"/>
      <c r="AX4" s="20"/>
      <c r="AY4" s="20"/>
      <c r="AZ4" s="20"/>
      <c r="BA4" s="20"/>
      <c r="BB4" s="20"/>
      <c r="BC4" s="20"/>
      <c r="BD4" s="20"/>
      <c r="BE4" s="20"/>
      <c r="BF4" s="20"/>
      <c r="BG4" s="20"/>
      <c r="BH4" s="20"/>
      <c r="BI4" s="20"/>
      <c r="BJ4" s="20"/>
    </row>
    <row r="5" customFormat="false" ht="54" hidden="false" customHeight="true" outlineLevel="0" collapsed="false">
      <c r="A5" s="21" t="s">
        <v>146</v>
      </c>
      <c r="B5" s="21" t="s">
        <v>93</v>
      </c>
      <c r="C5" s="21" t="s">
        <v>96</v>
      </c>
      <c r="D5" s="21" t="s">
        <v>147</v>
      </c>
      <c r="E5" s="21" t="s">
        <v>148</v>
      </c>
      <c r="F5" s="21" t="s">
        <v>149</v>
      </c>
      <c r="G5" s="21" t="s">
        <v>150</v>
      </c>
      <c r="H5" s="21" t="s">
        <v>151</v>
      </c>
      <c r="I5" s="21" t="s">
        <v>152</v>
      </c>
      <c r="J5" s="21" t="s">
        <v>153</v>
      </c>
      <c r="K5" s="21" t="s">
        <v>154</v>
      </c>
      <c r="L5" s="21" t="s">
        <v>155</v>
      </c>
      <c r="M5" s="21" t="s">
        <v>156</v>
      </c>
      <c r="N5" s="21" t="s">
        <v>157</v>
      </c>
      <c r="O5" s="21" t="s">
        <v>158</v>
      </c>
      <c r="P5" s="21" t="s">
        <v>159</v>
      </c>
      <c r="Q5" s="21" t="s">
        <v>160</v>
      </c>
      <c r="R5" s="21" t="s">
        <v>161</v>
      </c>
      <c r="S5" s="7" t="s">
        <v>162</v>
      </c>
      <c r="T5" s="7" t="s">
        <v>163</v>
      </c>
      <c r="U5" s="7" t="s">
        <v>164</v>
      </c>
      <c r="V5" s="7" t="s">
        <v>165</v>
      </c>
      <c r="W5" s="7" t="s">
        <v>166</v>
      </c>
      <c r="X5" s="7" t="s">
        <v>167</v>
      </c>
      <c r="Y5" s="7" t="s">
        <v>168</v>
      </c>
      <c r="Z5" s="7" t="s">
        <v>169</v>
      </c>
      <c r="AA5" s="7" t="s">
        <v>170</v>
      </c>
      <c r="AB5" s="7" t="s">
        <v>171</v>
      </c>
      <c r="AC5" s="7" t="s">
        <v>172</v>
      </c>
      <c r="AD5" s="7" t="s">
        <v>173</v>
      </c>
      <c r="AE5" s="7" t="s">
        <v>174</v>
      </c>
      <c r="AF5" s="7" t="s">
        <v>175</v>
      </c>
      <c r="AG5" s="7" t="s">
        <v>176</v>
      </c>
      <c r="AH5" s="7" t="s">
        <v>177</v>
      </c>
      <c r="AI5" s="7" t="s">
        <v>178</v>
      </c>
      <c r="AJ5" s="7" t="s">
        <v>179</v>
      </c>
      <c r="AK5" s="7" t="s">
        <v>180</v>
      </c>
      <c r="AL5" s="7" t="s">
        <v>181</v>
      </c>
      <c r="AM5" s="7" t="s">
        <v>182</v>
      </c>
      <c r="AN5" s="7" t="s">
        <v>183</v>
      </c>
      <c r="AO5" s="22" t="s">
        <v>184</v>
      </c>
      <c r="AP5" s="22" t="s">
        <v>185</v>
      </c>
      <c r="AQ5" s="22" t="s">
        <v>186</v>
      </c>
      <c r="AR5" s="22" t="s">
        <v>187</v>
      </c>
      <c r="AS5" s="22" t="s">
        <v>188</v>
      </c>
      <c r="AT5" s="22" t="s">
        <v>189</v>
      </c>
      <c r="AU5" s="22" t="s">
        <v>190</v>
      </c>
      <c r="AV5" s="22" t="s">
        <v>191</v>
      </c>
      <c r="AW5" s="22" t="s">
        <v>192</v>
      </c>
      <c r="AX5" s="22" t="s">
        <v>193</v>
      </c>
      <c r="AY5" s="22" t="s">
        <v>194</v>
      </c>
      <c r="AZ5" s="22" t="s">
        <v>195</v>
      </c>
      <c r="BA5" s="22" t="s">
        <v>196</v>
      </c>
      <c r="BB5" s="22" t="s">
        <v>197</v>
      </c>
      <c r="BC5" s="22" t="s">
        <v>198</v>
      </c>
      <c r="BD5" s="22" t="s">
        <v>199</v>
      </c>
      <c r="BE5" s="22" t="s">
        <v>200</v>
      </c>
      <c r="BF5" s="22" t="s">
        <v>201</v>
      </c>
      <c r="BG5" s="22" t="s">
        <v>202</v>
      </c>
      <c r="BH5" s="22" t="s">
        <v>203</v>
      </c>
      <c r="BI5" s="22" t="s">
        <v>204</v>
      </c>
      <c r="BJ5" s="22" t="s">
        <v>205</v>
      </c>
    </row>
    <row r="6" customFormat="false" ht="15" hidden="false" customHeight="false" outlineLevel="0" collapsed="false">
      <c r="A6" s="23" t="s">
        <v>206</v>
      </c>
      <c r="B6" s="23" t="s">
        <v>207</v>
      </c>
      <c r="C6" s="23" t="s">
        <v>208</v>
      </c>
      <c r="D6" s="23" t="s">
        <v>130</v>
      </c>
      <c r="E6" s="24" t="n">
        <v>44242</v>
      </c>
      <c r="F6" s="23" t="s">
        <v>123</v>
      </c>
      <c r="G6" s="25" t="n">
        <v>38</v>
      </c>
      <c r="H6" s="24"/>
      <c r="I6" s="23"/>
      <c r="J6" s="25"/>
      <c r="K6" s="24"/>
      <c r="L6" s="23"/>
      <c r="M6" s="25"/>
      <c r="N6" s="24"/>
      <c r="O6" s="24"/>
      <c r="P6" s="25"/>
      <c r="Q6" s="24"/>
      <c r="R6" s="23" t="s">
        <v>209</v>
      </c>
      <c r="S6" s="11" t="str">
        <f aca="false">IF(AO6=0,"",IF($H6="","",$F6&amp;" -&gt; "&amp;$I6&amp;IF($I6="Part-Time"," ("&amp;N($J6)&amp;" hrs)","")&amp;" on "&amp;TEXT($H6,"dd/mm/yyyy")&amp;IF($H6&gt;AsOfDate," (FUTURE)","")&amp;IF($K6="","","; "&amp;$I6&amp;" -&gt; "&amp;$L6&amp;IF($L6="Part-Time"," ("&amp;N($M6)&amp;" hrs)","")&amp;" on "&amp;TEXT($K6,"dd/mm/yyyy")&amp;IF($K6&gt;AsOfDate," (FUTURE)",""))))</f>
        <v/>
      </c>
      <c r="T6" s="11" t="str">
        <f aca="false">IF(AO6=0,"",IF(AS6&lt;&gt;"",$L6,IF(AR6&lt;&gt;"",$I6,$F6)))</f>
        <v>Full-Time</v>
      </c>
      <c r="U6" s="26" t="n">
        <f aca="false">IF(AO6=0,"",IF(AS6&lt;&gt;"",$M6,IF(AR6&lt;&gt;"",$J6,$G6)))</f>
        <v>38</v>
      </c>
      <c r="V6" s="11" t="str">
        <f aca="false">IF(AO6=0,"",IF(AY6="FT","Full-Time",IF(AY6="PT","Part-Time","Not eligible")))</f>
        <v>Full-Time</v>
      </c>
      <c r="W6" s="27" t="str">
        <f aca="false">IF(AO6=0,"",IF(AR6="",IF(AND($H6&lt;&gt;"",$H6&gt;AsOfDate),"Future change - not yet applied",""),IF(AND(AV6=AY6,OR(AS6="",AW6=AV6)),"Type changed - same accrual pathway",IF(AY6="None","STOPPED accruing from "&amp;TEXT(IF(AS6&lt;&gt;"",AS6,AR6),"dd/mm/yyyy"),IF(AV6="None","STARTED qualifying from "&amp;TEXT(IF(AS6&lt;&gt;"",AS6,AR6),"dd/mm/yyyy"),"Pathway changed "&amp;AV6&amp;" -&gt; "&amp;AW6&amp;IF(AS6&lt;&gt;""," -&gt; "&amp;AX6,"")&amp;" from "&amp;TEXT(IF(AS6&lt;&gt;"",AS6,AR6),"dd/mm/yyyy"))))))</f>
        <v/>
      </c>
      <c r="X6" s="28" t="n">
        <f aca="false">IF(AO6=0,"",IF($Q6="",AsOfDate,MIN(AsOfDate,$Q6)))</f>
        <v>46295</v>
      </c>
      <c r="Y6" s="26" t="n">
        <f aca="false">IF(AO6=0,"",MAX(0,AQ6))</f>
        <v>67</v>
      </c>
      <c r="Z6" s="11" t="str">
        <f aca="false">IF(AO6=0,"",IF(AQ6&lt;0,"Not started",INT(AQ6/12)&amp;"y "&amp;MOD(AQ6,12)&amp;"m"))</f>
        <v>5y 7m</v>
      </c>
      <c r="AA6" s="27" t="str">
        <f aca="false">IF(AO6=0,"",IF(BF6=1,"Terminated - balance forfeited",IF(AY6="None",IF(AB6&gt;0,"No longer accruing - "&amp;T6,"Not eligible - "&amp;T6&amp;IF(AND(IFERROR(VLOOKUP(T6,TypeTable,2,0),"None")="PT",N(U6)&lt;PT_MinHours)," (under "&amp;PT_MinHours&amp;" hrs)","")),IF(AB6&gt;0,"Yes - accruing","Not yet - qualifies "&amp;TEXT(AD6,"dd/mm/yyyy")))))</f>
        <v>Yes - accruing</v>
      </c>
      <c r="AB6" s="26" t="n">
        <f aca="false">IF(AO6=0,"",AZ6+IF(AR6="",0,BB6-BA6)+IF(AS6="",0,BD6-BC6))</f>
        <v>10</v>
      </c>
      <c r="AC6" s="26" t="n">
        <f aca="false">IF(AO6=0,"",AB6*HoursPerDay)</f>
        <v>80</v>
      </c>
      <c r="AD6" s="28" t="n">
        <f aca="false">IF(AO6=0,"",IF(OR(BF6=1,AY6="None"),"",EDATE($E6+AP6,BE6)))</f>
        <v>46341</v>
      </c>
      <c r="AE6" s="26" t="n">
        <f aca="false">IF(AD6="","",IF(AY6="PT",1,IF(BE6&lt;FT_Y5,1,IF(MOD(BE6-FT_Y5,12)=0,FT_AnnivDays,1))))</f>
        <v>1</v>
      </c>
      <c r="AF6" s="27" t="str">
        <f aca="false">IF(AO6=0,"",IF(NOT(EH_Ready),"Map headers",IF(IF(MatchMode="Employee ID",COUNTIFS(INDEX(EH_Data,0,EH_ColID),$A6,INDEX(EH_Data,0,EH_ColCat),BonusCat),COUNTIFS(INDEX(EH_Data,0,EH_ColFirst),$B6,INDEX(EH_Data,0,EH_ColSur),$C6,INDEX(EH_Data,0,EH_ColCat),BonusCat))&gt;0,"Yes","No")))</f>
        <v>Yes</v>
      </c>
      <c r="AG6" s="26" t="n">
        <f aca="false">IF(AO6=0,"",IF(NOT(EH_Ready),"",IF(MatchMode="Employee ID",SUMIFS(INDEX(EH_Data,0,EH_ColBal),INDEX(EH_Data,0,EH_ColID),$A6,INDEX(EH_Data,0,EH_ColCat),BonusCat),SUMIFS(INDEX(EH_Data,0,EH_ColBal),INDEX(EH_Data,0,EH_ColFirst),$B6,INDEX(EH_Data,0,EH_ColSur),$C6,INDEX(EH_Data,0,EH_ColCat),BonusCat))/IF(EHUnit="Hours",HoursPerDay,1)))</f>
        <v>8</v>
      </c>
      <c r="AH6" s="26" t="n">
        <f aca="false">IF(AO6=0,"",IF(NOT(TK_Ready),0,IF(MatchMode="Employee ID",SUMIFS(INDEX(TK_Data,0,TK_ColAmt),INDEX(TK_Data,0,TK_ColID),$A6,INDEX(TK_Data,0,TK_ColCat),BonusCat),SUMIFS(INDEX(TK_Data,0,TK_ColAmt),INDEX(TK_Data,0,TK_ColFirst),$B6,INDEX(TK_Data,0,TK_ColSur),$C6,INDEX(TK_Data,0,TK_ColCat),BonusCat))/IF(TKUnit="Hours",HoursPerDay,1)))</f>
        <v>1</v>
      </c>
      <c r="AI6" s="26" t="n">
        <f aca="false">IF(AO6=0,"",N(AG6)+N(AH6))</f>
        <v>9</v>
      </c>
      <c r="AJ6" s="29" t="n">
        <f aca="false">IF(AO6=0,"",IF(NOT(AND(EH_Ready,EH_ValReady)),"",IF(MatchMode="Employee ID",SUMIFS(INDEX(EH_Data,0,EH_ColVal),INDEX(EH_Data,0,EH_ColID),$A6,INDEX(EH_Data,0,EH_ColCat),BonusCat),SUMIFS(INDEX(EH_Data,0,EH_ColVal),INDEX(EH_Data,0,EH_ColFirst),$B6,INDEX(EH_Data,0,EH_ColSur),$C6,INDEX(EH_Data,0,EH_ColCat),BonusCat))))</f>
        <v>2560</v>
      </c>
      <c r="AK6" s="26" t="n">
        <f aca="false">IF(AO6=0,"",IF(OR(NOT(EH_Ready),BF6=1),"",AB6-AI6))</f>
        <v>1</v>
      </c>
      <c r="AL6" s="26" t="n">
        <f aca="false">IF(AK6="","",AK6*HoursPerDay)</f>
        <v>8</v>
      </c>
      <c r="AM6" s="27" t="str">
        <f aca="false">IF(AO6=0,"",IF(BF6=1,IF(N(AG6)&gt;0,"TERMINATED - forfeit "&amp;TEXT(AG6,"0.##")&amp;" days still in EH","Terminated - nothing in EH"),IF(NOT(EH_Ready),"Paste EH export and map headers on Settings",IF(AND(AB6&gt;0,AF6="No"),"SET UP in EH - add "&amp;TEXT(AB6,"0.##")&amp;" day(s) ("&amp;TEXT(AC6,"0.##")&amp;" hrs)",IF(AK6&gt;0,"ADD "&amp;TEXT(AK6,"0.##")&amp;" day(s) ("&amp;TEXT(AL6,"0.##")&amp;" hrs) in EH",IF(AK6&lt;0,"CHECK - EH shows "&amp;TEXT(-AK6,"0.##")&amp;" days more than policy",IF(AB6&gt;0,"OK - up to date",IF(AY6="None","No action - not eligible","No action - not yet qualified"))))))))</f>
        <v>ADD 1 day(s) (8 hrs) in EH</v>
      </c>
      <c r="AN6" s="27" t="str">
        <f aca="false">IF(AO6=0,"",TRIM(IF(AND($K6&lt;&gt;"",$H6=""),"Change 2 entered without Change 1. ","")&amp;IF(AND($K6&lt;&gt;"",$H6&lt;&gt;"",$K6&lt;=$H6),"Change 2 date not after Change 1. ","")&amp;IF(AND($N6&lt;&gt;"",$O6&lt;&gt;"",$O6&lt;$N6),"Leave To is before Leave From. ","")&amp;IF(AND($N6&lt;&gt;"",$O6=""),"Leave From entered without Leave To. ","")&amp;IF(AND(IFERROR(VLOOKUP(T6,TypeTable,2,0),"None")="PT",U6=""),"Part-time with no hours entered. ","")&amp;IF(AND($H6&lt;&gt;"",$H6&gt;AsOfDate,AD6&lt;&gt;"",$H6&lt;=AD6),"Status change lands before next accrual - review. ","")&amp;IF(AND($Q6&lt;&gt;"",$Q6&lt;$E6),"Termination before commencement. ","")))</f>
        <v/>
      </c>
      <c r="AO6" s="11" t="n">
        <f aca="false">IF(LEN($A6&amp;$B6&amp;$C6)=0,0,IF($E6="",0,1))</f>
        <v>1</v>
      </c>
      <c r="AP6" s="11" t="n">
        <f aca="false">IF(AO6=0,"",(IF(OR($N6="",$O6=""),0,MAX(0,MIN(X6,$O6)-MAX($N6,$E6)+1))+N($P6)))</f>
        <v>0</v>
      </c>
      <c r="AQ6" s="11" t="n">
        <f aca="false">IF(AO6=0,"",IF(X6&lt;($E6+(IF(OR($N6="",$O6=""),0,MAX(0,MIN(X6,$O6)-MAX($N6,$E6)+1))+N($P6))),-1,12*(YEAR(X6)-YEAR(($E6+(IF(OR($N6="",$O6=""),0,MAX(0,MIN(X6,$O6)-MAX($N6,$E6)+1))+N($P6)))))+MONTH(X6)-MONTH(($E6+(IF(OR($N6="",$O6=""),0,MAX(0,MIN(X6,$O6)-MAX($N6,$E6)+1))+N($P6))))-IF(DAY(X6)&lt;MIN(DAY(($E6+(IF(OR($N6="",$O6=""),0,MAX(0,MIN(X6,$O6)-MAX($N6,$E6)+1))+N($P6)))),DAY(EOMONTH(X6,0))),1,0)))</f>
        <v>67</v>
      </c>
      <c r="AR6" s="28" t="str">
        <f aca="false">IF(AO6=0,"",IF($H6="","",IF($H6&gt;X6,"",$H6)))</f>
        <v/>
      </c>
      <c r="AS6" s="28" t="str">
        <f aca="false">IF(AO6=0,"",IF(AR6="","",IF($K6="","",IF($K6&gt;X6,"",$K6))))</f>
        <v/>
      </c>
      <c r="AT6" s="11" t="n">
        <f aca="false">IF(AO6=0,"",IF(AR6="",AQ6,IF((AR6-1)&lt;($E6+(IF(OR($N6="",$O6=""),0,MAX(0,MIN((AR6-1),$O6)-MAX($N6,$E6)+1))+N($P6))),-1,12*(YEAR((AR6-1))-YEAR(($E6+(IF(OR($N6="",$O6=""),0,MAX(0,MIN((AR6-1),$O6)-MAX($N6,$E6)+1))+N($P6)))))+MONTH((AR6-1))-MONTH(($E6+(IF(OR($N6="",$O6=""),0,MAX(0,MIN((AR6-1),$O6)-MAX($N6,$E6)+1))+N($P6))))-IF(DAY((AR6-1))&lt;MIN(DAY(($E6+(IF(OR($N6="",$O6=""),0,MAX(0,MIN((AR6-1),$O6)-MAX($N6,$E6)+1))+N($P6)))),DAY(EOMONTH((AR6-1),0))),1,0))))</f>
        <v>67</v>
      </c>
      <c r="AU6" s="11" t="n">
        <f aca="false">IF(AO6=0,"",IF(AS6="",AQ6,IF((AS6-1)&lt;($E6+(IF(OR($N6="",$O6=""),0,MAX(0,MIN((AS6-1),$O6)-MAX($N6,$E6)+1))+N($P6))),-1,12*(YEAR((AS6-1))-YEAR(($E6+(IF(OR($N6="",$O6=""),0,MAX(0,MIN((AS6-1),$O6)-MAX($N6,$E6)+1))+N($P6)))))+MONTH((AS6-1))-MONTH(($E6+(IF(OR($N6="",$O6=""),0,MAX(0,MIN((AS6-1),$O6)-MAX($N6,$E6)+1))+N($P6))))-IF(DAY((AS6-1))&lt;MIN(DAY(($E6+(IF(OR($N6="",$O6=""),0,MAX(0,MIN((AS6-1),$O6)-MAX($N6,$E6)+1))+N($P6)))),DAY(EOMONTH((AS6-1),0))),1,0))))</f>
        <v>67</v>
      </c>
      <c r="AV6" s="11" t="str">
        <f aca="false">IF(AO6=0,"",IF($F6="","None",IF(IFERROR(VLOOKUP($F6,TypeTable,2,0),"None")="PT",IF(N($G6)&gt;=PT_MinHours,"PT","None"),IFERROR(VLOOKUP($F6,TypeTable,2,0),"None"))))</f>
        <v>FT</v>
      </c>
      <c r="AW6" s="11" t="str">
        <f aca="false">IF(AO6=0,"",IF($I6="","None",IF(IFERROR(VLOOKUP($I6,TypeTable,2,0),"None")="PT",IF(N($J6)&gt;=PT_MinHours,"PT","None"),IFERROR(VLOOKUP($I6,TypeTable,2,0),"None"))))</f>
        <v>None</v>
      </c>
      <c r="AX6" s="11" t="str">
        <f aca="false">IF(AO6=0,"",IF($L6="","None",IF(IFERROR(VLOOKUP($L6,TypeTable,2,0),"None")="PT",IF(N($M6)&gt;=PT_MinHours,"PT","None"),IFERROR(VLOOKUP($L6,TypeTable,2,0),"None"))))</f>
        <v>None</v>
      </c>
      <c r="AY6" s="11" t="str">
        <f aca="false">IF(AO6=0,"",IF(AS6&lt;&gt;"",AX6,IF(AR6&lt;&gt;"",AW6,AV6)))</f>
        <v>FT</v>
      </c>
      <c r="AZ6" s="11" t="n">
        <f aca="false">IF(AO6=0,"",IF(AV6="FT",IF(AT6&lt;FT_First,0,IF(AT6&lt;FT_Y5,1+INT((AT6-FT_First)/FT_Int1),FT_PreY5+FT_PerYear*INT((AT6-FT_Y5)/12)+FT_AnnivDays+INT(MOD(AT6-FT_Y5,12)/FT_Int2))),IF(AV6="PT",IF(AT6&lt;PT_First,0,1+INT((AT6-PT_First)/PT_Int)),0)))</f>
        <v>10</v>
      </c>
      <c r="BA6" s="11" t="n">
        <f aca="false">IF(AO6=0,"",IF(AW6="FT",IF(AT6&lt;FT_First,0,IF(AT6&lt;FT_Y5,1+INT((AT6-FT_First)/FT_Int1),FT_PreY5+FT_PerYear*INT((AT6-FT_Y5)/12)+FT_AnnivDays+INT(MOD(AT6-FT_Y5,12)/FT_Int2))),IF(AW6="PT",IF(AT6&lt;PT_First,0,1+INT((AT6-PT_First)/PT_Int)),0)))</f>
        <v>0</v>
      </c>
      <c r="BB6" s="11" t="n">
        <f aca="false">IF(AO6=0,"",IF(AW6="FT",IF(AU6&lt;FT_First,0,IF(AU6&lt;FT_Y5,1+INT((AU6-FT_First)/FT_Int1),FT_PreY5+FT_PerYear*INT((AU6-FT_Y5)/12)+FT_AnnivDays+INT(MOD(AU6-FT_Y5,12)/FT_Int2))),IF(AW6="PT",IF(AU6&lt;PT_First,0,1+INT((AU6-PT_First)/PT_Int)),0)))</f>
        <v>0</v>
      </c>
      <c r="BC6" s="11" t="n">
        <f aca="false">IF(AO6=0,"",IF(AX6="FT",IF(AU6&lt;FT_First,0,IF(AU6&lt;FT_Y5,1+INT((AU6-FT_First)/FT_Int1),FT_PreY5+FT_PerYear*INT((AU6-FT_Y5)/12)+FT_AnnivDays+INT(MOD(AU6-FT_Y5,12)/FT_Int2))),IF(AX6="PT",IF(AU6&lt;PT_First,0,1+INT((AU6-PT_First)/PT_Int)),0)))</f>
        <v>0</v>
      </c>
      <c r="BD6" s="11" t="n">
        <f aca="false">IF(AO6=0,"",IF(AX6="FT",IF(AQ6&lt;FT_First,0,IF(AQ6&lt;FT_Y5,1+INT((AQ6-FT_First)/FT_Int1),FT_PreY5+FT_PerYear*INT((AQ6-FT_Y5)/12)+FT_AnnivDays+INT(MOD(AQ6-FT_Y5,12)/FT_Int2))),IF(AX6="PT",IF(AQ6&lt;PT_First,0,1+INT((AQ6-PT_First)/PT_Int)),0)))</f>
        <v>0</v>
      </c>
      <c r="BE6" s="11" t="n">
        <f aca="false">IF(AO6=0,"",IF(AY6="FT",IF(AQ6&lt;FT_First,FT_First,IF(AQ6&lt;FT_Y5,MIN(FT_Y5,FT_First+FT_Int1*(INT((AQ6-FT_First)/FT_Int1)+1)),FT_Y5+12*INT((AQ6-FT_Y5)/12)+FT_Int2*(INT(MOD(AQ6-FT_Y5,12)/FT_Int2)+1))),IF(AY6="PT",IF(AQ6&lt;PT_First,PT_First,PT_First+PT_Int*(INT((AQ6-PT_First)/PT_Int)+1)),"")))</f>
        <v>69</v>
      </c>
      <c r="BF6" s="11" t="n">
        <f aca="false">IF(AO6=0,0,IF(AND($Q6&lt;&gt;"",$Q6&lt;=AsOfDate),1,0))</f>
        <v>0</v>
      </c>
      <c r="BG6" s="11" t="str">
        <f aca="false">IF(AND(AO6=1,BF6=0,EH_Ready,N(AB6)&gt;0,N(AI6)=0),COUNT($BG$5:BG5)+1,"")</f>
        <v/>
      </c>
      <c r="BH6" s="11" t="n">
        <f aca="false">IF(AND(AO6=1,BF6=0,EH_Ready,N(AB6)&gt;0,N(AI6)&gt;0,N(AK6)&gt;0),COUNT($BH$5:BH5)+1,"")</f>
        <v>1</v>
      </c>
      <c r="BI6" s="11" t="n">
        <f aca="false">IF(AND(AO6=1,OR(LEFT(AM6,3)="ADD",LEFT(AM6,3)="SET",LEFT(AM6,5)="CHECK",LEFT(AM6,10)="TERMINATED")),COUNT($BI$5:BI5)+1,"")</f>
        <v>1</v>
      </c>
      <c r="BJ6" s="11" t="str">
        <f aca="false">IF(AO6=0,"",$A6&amp;" - "&amp;$B6&amp;" "&amp;$C6)</f>
        <v>E001 - Jane Citizen</v>
      </c>
    </row>
    <row r="7" customFormat="false" ht="15" hidden="false" customHeight="false" outlineLevel="0" collapsed="false">
      <c r="A7" s="23" t="s">
        <v>210</v>
      </c>
      <c r="B7" s="23" t="s">
        <v>211</v>
      </c>
      <c r="C7" s="23" t="s">
        <v>212</v>
      </c>
      <c r="D7" s="23" t="s">
        <v>132</v>
      </c>
      <c r="E7" s="24" t="n">
        <v>43983</v>
      </c>
      <c r="F7" s="23" t="s">
        <v>125</v>
      </c>
      <c r="G7" s="25" t="n">
        <v>24</v>
      </c>
      <c r="H7" s="24"/>
      <c r="I7" s="23"/>
      <c r="J7" s="25"/>
      <c r="K7" s="24"/>
      <c r="L7" s="23"/>
      <c r="M7" s="25"/>
      <c r="N7" s="24"/>
      <c r="O7" s="24"/>
      <c r="P7" s="25"/>
      <c r="Q7" s="24"/>
      <c r="R7" s="23" t="s">
        <v>213</v>
      </c>
      <c r="S7" s="11" t="str">
        <f aca="false">IF(AO7=0,"",IF($H7="","",$F7&amp;" -&gt; "&amp;$I7&amp;IF($I7="Part-Time"," ("&amp;N($J7)&amp;" hrs)","")&amp;" on "&amp;TEXT($H7,"dd/mm/yyyy")&amp;IF($H7&gt;AsOfDate," (FUTURE)","")&amp;IF($K7="","","; "&amp;$I7&amp;" -&gt; "&amp;$L7&amp;IF($L7="Part-Time"," ("&amp;N($M7)&amp;" hrs)","")&amp;" on "&amp;TEXT($K7,"dd/mm/yyyy")&amp;IF($K7&gt;AsOfDate," (FUTURE)",""))))</f>
        <v/>
      </c>
      <c r="T7" s="11" t="str">
        <f aca="false">IF(AO7=0,"",IF(AS7&lt;&gt;"",$L7,IF(AR7&lt;&gt;"",$I7,$F7)))</f>
        <v>Part-Time</v>
      </c>
      <c r="U7" s="26" t="n">
        <f aca="false">IF(AO7=0,"",IF(AS7&lt;&gt;"",$M7,IF(AR7&lt;&gt;"",$J7,$G7)))</f>
        <v>24</v>
      </c>
      <c r="V7" s="11" t="str">
        <f aca="false">IF(AO7=0,"",IF(AY7="FT","Full-Time",IF(AY7="PT","Part-Time","Not eligible")))</f>
        <v>Part-Time</v>
      </c>
      <c r="W7" s="27" t="str">
        <f aca="false">IF(AO7=0,"",IF(AR7="",IF(AND($H7&lt;&gt;"",$H7&gt;AsOfDate),"Future change - not yet applied",""),IF(AND(AV7=AY7,OR(AS7="",AW7=AV7)),"Type changed - same accrual pathway",IF(AY7="None","STOPPED accruing from "&amp;TEXT(IF(AS7&lt;&gt;"",AS7,AR7),"dd/mm/yyyy"),IF(AV7="None","STARTED qualifying from "&amp;TEXT(IF(AS7&lt;&gt;"",AS7,AR7),"dd/mm/yyyy"),"Pathway changed "&amp;AV7&amp;" -&gt; "&amp;AW7&amp;IF(AS7&lt;&gt;""," -&gt; "&amp;AX7,"")&amp;" from "&amp;TEXT(IF(AS7&lt;&gt;"",AS7,AR7),"dd/mm/yyyy"))))))</f>
        <v/>
      </c>
      <c r="X7" s="28" t="n">
        <f aca="false">IF(AO7=0,"",IF($Q7="",AsOfDate,MIN(AsOfDate,$Q7)))</f>
        <v>46295</v>
      </c>
      <c r="Y7" s="26" t="n">
        <f aca="false">IF(AO7=0,"",MAX(0,AQ7))</f>
        <v>75</v>
      </c>
      <c r="Z7" s="11" t="str">
        <f aca="false">IF(AO7=0,"",IF(AQ7&lt;0,"Not started",INT(AQ7/12)&amp;"y "&amp;MOD(AQ7,12)&amp;"m"))</f>
        <v>6y 3m</v>
      </c>
      <c r="AA7" s="27" t="str">
        <f aca="false">IF(AO7=0,"",IF(BF7=1,"Terminated - balance forfeited",IF(AY7="None",IF(AB7&gt;0,"No longer accruing - "&amp;T7,"Not eligible - "&amp;T7&amp;IF(AND(IFERROR(VLOOKUP(T7,TypeTable,2,0),"None")="PT",N(U7)&lt;PT_MinHours)," (under "&amp;PT_MinHours&amp;" hrs)","")),IF(AB7&gt;0,"Yes - accruing","Not yet - qualifies "&amp;TEXT(AD7,"dd/mm/yyyy")))))</f>
        <v>Yes - accruing</v>
      </c>
      <c r="AB7" s="26" t="n">
        <f aca="false">IF(AO7=0,"",AZ7+IF(AR7="",0,BB7-BA7)+IF(AS7="",0,BD7-BC7))</f>
        <v>4</v>
      </c>
      <c r="AC7" s="26" t="n">
        <f aca="false">IF(AO7=0,"",AB7*HoursPerDay)</f>
        <v>32</v>
      </c>
      <c r="AD7" s="28" t="n">
        <f aca="false">IF(AO7=0,"",IF(OR(BF7=1,AY7="None"),"",EDATE($E7+AP7,BE7)))</f>
        <v>46296</v>
      </c>
      <c r="AE7" s="26" t="n">
        <f aca="false">IF(AD7="","",IF(AY7="PT",1,IF(BE7&lt;FT_Y5,1,IF(MOD(BE7-FT_Y5,12)=0,FT_AnnivDays,1))))</f>
        <v>1</v>
      </c>
      <c r="AF7" s="27" t="str">
        <f aca="false">IF(AO7=0,"",IF(NOT(EH_Ready),"Map headers",IF(IF(MatchMode="Employee ID",COUNTIFS(INDEX(EH_Data,0,EH_ColID),$A7,INDEX(EH_Data,0,EH_ColCat),BonusCat),COUNTIFS(INDEX(EH_Data,0,EH_ColFirst),$B7,INDEX(EH_Data,0,EH_ColSur),$C7,INDEX(EH_Data,0,EH_ColCat),BonusCat))&gt;0,"Yes","No")))</f>
        <v>Yes</v>
      </c>
      <c r="AG7" s="26" t="n">
        <f aca="false">IF(AO7=0,"",IF(NOT(EH_Ready),"",IF(MatchMode="Employee ID",SUMIFS(INDEX(EH_Data,0,EH_ColBal),INDEX(EH_Data,0,EH_ColID),$A7,INDEX(EH_Data,0,EH_ColCat),BonusCat),SUMIFS(INDEX(EH_Data,0,EH_ColBal),INDEX(EH_Data,0,EH_ColFirst),$B7,INDEX(EH_Data,0,EH_ColSur),$C7,INDEX(EH_Data,0,EH_ColCat),BonusCat))/IF(EHUnit="Hours",HoursPerDay,1)))</f>
        <v>4</v>
      </c>
      <c r="AH7" s="26" t="n">
        <f aca="false">IF(AO7=0,"",IF(NOT(TK_Ready),0,IF(MatchMode="Employee ID",SUMIFS(INDEX(TK_Data,0,TK_ColAmt),INDEX(TK_Data,0,TK_ColID),$A7,INDEX(TK_Data,0,TK_ColCat),BonusCat),SUMIFS(INDEX(TK_Data,0,TK_ColAmt),INDEX(TK_Data,0,TK_ColFirst),$B7,INDEX(TK_Data,0,TK_ColSur),$C7,INDEX(TK_Data,0,TK_ColCat),BonusCat))/IF(TKUnit="Hours",HoursPerDay,1)))</f>
        <v>0</v>
      </c>
      <c r="AI7" s="26" t="n">
        <f aca="false">IF(AO7=0,"",N(AG7)+N(AH7))</f>
        <v>4</v>
      </c>
      <c r="AJ7" s="29" t="n">
        <f aca="false">IF(AO7=0,"",IF(NOT(AND(EH_Ready,EH_ValReady)),"",IF(MatchMode="Employee ID",SUMIFS(INDEX(EH_Data,0,EH_ColVal),INDEX(EH_Data,0,EH_ColID),$A7,INDEX(EH_Data,0,EH_ColCat),BonusCat),SUMIFS(INDEX(EH_Data,0,EH_ColVal),INDEX(EH_Data,0,EH_ColFirst),$B7,INDEX(EH_Data,0,EH_ColSur),$C7,INDEX(EH_Data,0,EH_ColCat),BonusCat))))</f>
        <v>1024</v>
      </c>
      <c r="AK7" s="26" t="n">
        <f aca="false">IF(AO7=0,"",IF(OR(NOT(EH_Ready),BF7=1),"",AB7-AI7))</f>
        <v>0</v>
      </c>
      <c r="AL7" s="26" t="n">
        <f aca="false">IF(AK7="","",AK7*HoursPerDay)</f>
        <v>0</v>
      </c>
      <c r="AM7" s="27" t="str">
        <f aca="false">IF(AO7=0,"",IF(BF7=1,IF(N(AG7)&gt;0,"TERMINATED - forfeit "&amp;TEXT(AG7,"0.##")&amp;" days still in EH","Terminated - nothing in EH"),IF(NOT(EH_Ready),"Paste EH export and map headers on Settings",IF(AND(AB7&gt;0,AF7="No"),"SET UP in EH - add "&amp;TEXT(AB7,"0.##")&amp;" day(s) ("&amp;TEXT(AC7,"0.##")&amp;" hrs)",IF(AK7&gt;0,"ADD "&amp;TEXT(AK7,"0.##")&amp;" day(s) ("&amp;TEXT(AL7,"0.##")&amp;" hrs) in EH",IF(AK7&lt;0,"CHECK - EH shows "&amp;TEXT(-AK7,"0.##")&amp;" days more than policy",IF(AB7&gt;0,"OK - up to date",IF(AY7="None","No action - not eligible","No action - not yet qualified"))))))))</f>
        <v>OK - up to date</v>
      </c>
      <c r="AN7" s="27" t="str">
        <f aca="false">IF(AO7=0,"",TRIM(IF(AND($K7&lt;&gt;"",$H7=""),"Change 2 entered without Change 1. ","")&amp;IF(AND($K7&lt;&gt;"",$H7&lt;&gt;"",$K7&lt;=$H7),"Change 2 date not after Change 1. ","")&amp;IF(AND($N7&lt;&gt;"",$O7&lt;&gt;"",$O7&lt;$N7),"Leave To is before Leave From. ","")&amp;IF(AND($N7&lt;&gt;"",$O7=""),"Leave From entered without Leave To. ","")&amp;IF(AND(IFERROR(VLOOKUP(T7,TypeTable,2,0),"None")="PT",U7=""),"Part-time with no hours entered. ","")&amp;IF(AND($H7&lt;&gt;"",$H7&gt;AsOfDate,AD7&lt;&gt;"",$H7&lt;=AD7),"Status change lands before next accrual - review. ","")&amp;IF(AND($Q7&lt;&gt;"",$Q7&lt;$E7),"Termination before commencement. ","")))</f>
        <v/>
      </c>
      <c r="AO7" s="11" t="n">
        <f aca="false">IF(LEN($A7&amp;$B7&amp;$C7)=0,0,IF($E7="",0,1))</f>
        <v>1</v>
      </c>
      <c r="AP7" s="11" t="n">
        <f aca="false">IF(AO7=0,"",(IF(OR($N7="",$O7=""),0,MAX(0,MIN(X7,$O7)-MAX($N7,$E7)+1))+N($P7)))</f>
        <v>0</v>
      </c>
      <c r="AQ7" s="11" t="n">
        <f aca="false">IF(AO7=0,"",IF(X7&lt;($E7+(IF(OR($N7="",$O7=""),0,MAX(0,MIN(X7,$O7)-MAX($N7,$E7)+1))+N($P7))),-1,12*(YEAR(X7)-YEAR(($E7+(IF(OR($N7="",$O7=""),0,MAX(0,MIN(X7,$O7)-MAX($N7,$E7)+1))+N($P7)))))+MONTH(X7)-MONTH(($E7+(IF(OR($N7="",$O7=""),0,MAX(0,MIN(X7,$O7)-MAX($N7,$E7)+1))+N($P7))))-IF(DAY(X7)&lt;MIN(DAY(($E7+(IF(OR($N7="",$O7=""),0,MAX(0,MIN(X7,$O7)-MAX($N7,$E7)+1))+N($P7)))),DAY(EOMONTH(X7,0))),1,0)))</f>
        <v>75</v>
      </c>
      <c r="AR7" s="28" t="str">
        <f aca="false">IF(AO7=0,"",IF($H7="","",IF($H7&gt;X7,"",$H7)))</f>
        <v/>
      </c>
      <c r="AS7" s="28" t="str">
        <f aca="false">IF(AO7=0,"",IF(AR7="","",IF($K7="","",IF($K7&gt;X7,"",$K7))))</f>
        <v/>
      </c>
      <c r="AT7" s="11" t="n">
        <f aca="false">IF(AO7=0,"",IF(AR7="",AQ7,IF((AR7-1)&lt;($E7+(IF(OR($N7="",$O7=""),0,MAX(0,MIN((AR7-1),$O7)-MAX($N7,$E7)+1))+N($P7))),-1,12*(YEAR((AR7-1))-YEAR(($E7+(IF(OR($N7="",$O7=""),0,MAX(0,MIN((AR7-1),$O7)-MAX($N7,$E7)+1))+N($P7)))))+MONTH((AR7-1))-MONTH(($E7+(IF(OR($N7="",$O7=""),0,MAX(0,MIN((AR7-1),$O7)-MAX($N7,$E7)+1))+N($P7))))-IF(DAY((AR7-1))&lt;MIN(DAY(($E7+(IF(OR($N7="",$O7=""),0,MAX(0,MIN((AR7-1),$O7)-MAX($N7,$E7)+1))+N($P7)))),DAY(EOMONTH((AR7-1),0))),1,0))))</f>
        <v>75</v>
      </c>
      <c r="AU7" s="11" t="n">
        <f aca="false">IF(AO7=0,"",IF(AS7="",AQ7,IF((AS7-1)&lt;($E7+(IF(OR($N7="",$O7=""),0,MAX(0,MIN((AS7-1),$O7)-MAX($N7,$E7)+1))+N($P7))),-1,12*(YEAR((AS7-1))-YEAR(($E7+(IF(OR($N7="",$O7=""),0,MAX(0,MIN((AS7-1),$O7)-MAX($N7,$E7)+1))+N($P7)))))+MONTH((AS7-1))-MONTH(($E7+(IF(OR($N7="",$O7=""),0,MAX(0,MIN((AS7-1),$O7)-MAX($N7,$E7)+1))+N($P7))))-IF(DAY((AS7-1))&lt;MIN(DAY(($E7+(IF(OR($N7="",$O7=""),0,MAX(0,MIN((AS7-1),$O7)-MAX($N7,$E7)+1))+N($P7)))),DAY(EOMONTH((AS7-1),0))),1,0))))</f>
        <v>75</v>
      </c>
      <c r="AV7" s="11" t="str">
        <f aca="false">IF(AO7=0,"",IF($F7="","None",IF(IFERROR(VLOOKUP($F7,TypeTable,2,0),"None")="PT",IF(N($G7)&gt;=PT_MinHours,"PT","None"),IFERROR(VLOOKUP($F7,TypeTable,2,0),"None"))))</f>
        <v>PT</v>
      </c>
      <c r="AW7" s="11" t="str">
        <f aca="false">IF(AO7=0,"",IF($I7="","None",IF(IFERROR(VLOOKUP($I7,TypeTable,2,0),"None")="PT",IF(N($J7)&gt;=PT_MinHours,"PT","None"),IFERROR(VLOOKUP($I7,TypeTable,2,0),"None"))))</f>
        <v>None</v>
      </c>
      <c r="AX7" s="11" t="str">
        <f aca="false">IF(AO7=0,"",IF($L7="","None",IF(IFERROR(VLOOKUP($L7,TypeTable,2,0),"None")="PT",IF(N($M7)&gt;=PT_MinHours,"PT","None"),IFERROR(VLOOKUP($L7,TypeTable,2,0),"None"))))</f>
        <v>None</v>
      </c>
      <c r="AY7" s="11" t="str">
        <f aca="false">IF(AO7=0,"",IF(AS7&lt;&gt;"",AX7,IF(AR7&lt;&gt;"",AW7,AV7)))</f>
        <v>PT</v>
      </c>
      <c r="AZ7" s="11" t="n">
        <f aca="false">IF(AO7=0,"",IF(AV7="FT",IF(AT7&lt;FT_First,0,IF(AT7&lt;FT_Y5,1+INT((AT7-FT_First)/FT_Int1),FT_PreY5+FT_PerYear*INT((AT7-FT_Y5)/12)+FT_AnnivDays+INT(MOD(AT7-FT_Y5,12)/FT_Int2))),IF(AV7="PT",IF(AT7&lt;PT_First,0,1+INT((AT7-PT_First)/PT_Int)),0)))</f>
        <v>4</v>
      </c>
      <c r="BA7" s="11" t="n">
        <f aca="false">IF(AO7=0,"",IF(AW7="FT",IF(AT7&lt;FT_First,0,IF(AT7&lt;FT_Y5,1+INT((AT7-FT_First)/FT_Int1),FT_PreY5+FT_PerYear*INT((AT7-FT_Y5)/12)+FT_AnnivDays+INT(MOD(AT7-FT_Y5,12)/FT_Int2))),IF(AW7="PT",IF(AT7&lt;PT_First,0,1+INT((AT7-PT_First)/PT_Int)),0)))</f>
        <v>0</v>
      </c>
      <c r="BB7" s="11" t="n">
        <f aca="false">IF(AO7=0,"",IF(AW7="FT",IF(AU7&lt;FT_First,0,IF(AU7&lt;FT_Y5,1+INT((AU7-FT_First)/FT_Int1),FT_PreY5+FT_PerYear*INT((AU7-FT_Y5)/12)+FT_AnnivDays+INT(MOD(AU7-FT_Y5,12)/FT_Int2))),IF(AW7="PT",IF(AU7&lt;PT_First,0,1+INT((AU7-PT_First)/PT_Int)),0)))</f>
        <v>0</v>
      </c>
      <c r="BC7" s="11" t="n">
        <f aca="false">IF(AO7=0,"",IF(AX7="FT",IF(AU7&lt;FT_First,0,IF(AU7&lt;FT_Y5,1+INT((AU7-FT_First)/FT_Int1),FT_PreY5+FT_PerYear*INT((AU7-FT_Y5)/12)+FT_AnnivDays+INT(MOD(AU7-FT_Y5,12)/FT_Int2))),IF(AX7="PT",IF(AU7&lt;PT_First,0,1+INT((AU7-PT_First)/PT_Int)),0)))</f>
        <v>0</v>
      </c>
      <c r="BD7" s="11" t="n">
        <f aca="false">IF(AO7=0,"",IF(AX7="FT",IF(AQ7&lt;FT_First,0,IF(AQ7&lt;FT_Y5,1+INT((AQ7-FT_First)/FT_Int1),FT_PreY5+FT_PerYear*INT((AQ7-FT_Y5)/12)+FT_AnnivDays+INT(MOD(AQ7-FT_Y5,12)/FT_Int2))),IF(AX7="PT",IF(AQ7&lt;PT_First,0,1+INT((AQ7-PT_First)/PT_Int)),0)))</f>
        <v>0</v>
      </c>
      <c r="BE7" s="11" t="n">
        <f aca="false">IF(AO7=0,"",IF(AY7="FT",IF(AQ7&lt;FT_First,FT_First,IF(AQ7&lt;FT_Y5,MIN(FT_Y5,FT_First+FT_Int1*(INT((AQ7-FT_First)/FT_Int1)+1)),FT_Y5+12*INT((AQ7-FT_Y5)/12)+FT_Int2*(INT(MOD(AQ7-FT_Y5,12)/FT_Int2)+1))),IF(AY7="PT",IF(AQ7&lt;PT_First,PT_First,PT_First+PT_Int*(INT((AQ7-PT_First)/PT_Int)+1)),"")))</f>
        <v>76</v>
      </c>
      <c r="BF7" s="11" t="n">
        <f aca="false">IF(AO7=0,0,IF(AND($Q7&lt;&gt;"",$Q7&lt;=AsOfDate),1,0))</f>
        <v>0</v>
      </c>
      <c r="BG7" s="11" t="str">
        <f aca="false">IF(AND(AO7=1,BF7=0,EH_Ready,N(AB7)&gt;0,N(AI7)=0),COUNT($BG$5:BG6)+1,"")</f>
        <v/>
      </c>
      <c r="BH7" s="11" t="str">
        <f aca="false">IF(AND(AO7=1,BF7=0,EH_Ready,N(AB7)&gt;0,N(AI7)&gt;0,N(AK7)&gt;0),COUNT($BH$5:BH6)+1,"")</f>
        <v/>
      </c>
      <c r="BI7" s="11" t="str">
        <f aca="false">IF(AND(AO7=1,OR(LEFT(AM7,3)="ADD",LEFT(AM7,3)="SET",LEFT(AM7,5)="CHECK",LEFT(AM7,10)="TERMINATED")),COUNT($BI$5:BI6)+1,"")</f>
        <v/>
      </c>
      <c r="BJ7" s="11" t="str">
        <f aca="false">IF(AO7=0,"",$A7&amp;" - "&amp;$B7&amp;" "&amp;$C7)</f>
        <v>E002 - Tom Nguyen</v>
      </c>
    </row>
    <row r="8" customFormat="false" ht="15" hidden="false" customHeight="false" outlineLevel="0" collapsed="false">
      <c r="A8" s="23" t="s">
        <v>214</v>
      </c>
      <c r="B8" s="23" t="s">
        <v>215</v>
      </c>
      <c r="C8" s="23" t="s">
        <v>216</v>
      </c>
      <c r="D8" s="23" t="s">
        <v>136</v>
      </c>
      <c r="E8" s="24" t="n">
        <v>43528</v>
      </c>
      <c r="F8" s="23" t="s">
        <v>128</v>
      </c>
      <c r="G8" s="25"/>
      <c r="H8" s="24"/>
      <c r="I8" s="23"/>
      <c r="J8" s="25"/>
      <c r="K8" s="24"/>
      <c r="L8" s="23"/>
      <c r="M8" s="25"/>
      <c r="N8" s="24"/>
      <c r="O8" s="24"/>
      <c r="P8" s="25"/>
      <c r="Q8" s="24"/>
      <c r="R8" s="23" t="s">
        <v>217</v>
      </c>
      <c r="S8" s="11" t="str">
        <f aca="false">IF(AO8=0,"",IF($H8="","",$F8&amp;" -&gt; "&amp;$I8&amp;IF($I8="Part-Time"," ("&amp;N($J8)&amp;" hrs)","")&amp;" on "&amp;TEXT($H8,"dd/mm/yyyy")&amp;IF($H8&gt;AsOfDate," (FUTURE)","")&amp;IF($K8="","","; "&amp;$I8&amp;" -&gt; "&amp;$L8&amp;IF($L8="Part-Time"," ("&amp;N($M8)&amp;" hrs)","")&amp;" on "&amp;TEXT($K8,"dd/mm/yyyy")&amp;IF($K8&gt;AsOfDate," (FUTURE)",""))))</f>
        <v/>
      </c>
      <c r="T8" s="11" t="str">
        <f aca="false">IF(AO8=0,"",IF(AS8&lt;&gt;"",$L8,IF(AR8&lt;&gt;"",$I8,$F8)))</f>
        <v>Casual</v>
      </c>
      <c r="U8" s="26" t="n">
        <f aca="false">IF(AO8=0,"",IF(AS8&lt;&gt;"",$M8,IF(AR8&lt;&gt;"",$J8,$G8)))</f>
        <v>0</v>
      </c>
      <c r="V8" s="11" t="str">
        <f aca="false">IF(AO8=0,"",IF(AY8="FT","Full-Time",IF(AY8="PT","Part-Time","Not eligible")))</f>
        <v>Not eligible</v>
      </c>
      <c r="W8" s="27" t="str">
        <f aca="false">IF(AO8=0,"",IF(AR8="",IF(AND($H8&lt;&gt;"",$H8&gt;AsOfDate),"Future change - not yet applied",""),IF(AND(AV8=AY8,OR(AS8="",AW8=AV8)),"Type changed - same accrual pathway",IF(AY8="None","STOPPED accruing from "&amp;TEXT(IF(AS8&lt;&gt;"",AS8,AR8),"dd/mm/yyyy"),IF(AV8="None","STARTED qualifying from "&amp;TEXT(IF(AS8&lt;&gt;"",AS8,AR8),"dd/mm/yyyy"),"Pathway changed "&amp;AV8&amp;" -&gt; "&amp;AW8&amp;IF(AS8&lt;&gt;""," -&gt; "&amp;AX8,"")&amp;" from "&amp;TEXT(IF(AS8&lt;&gt;"",AS8,AR8),"dd/mm/yyyy"))))))</f>
        <v/>
      </c>
      <c r="X8" s="28" t="n">
        <f aca="false">IF(AO8=0,"",IF($Q8="",AsOfDate,MIN(AsOfDate,$Q8)))</f>
        <v>46295</v>
      </c>
      <c r="Y8" s="26" t="n">
        <f aca="false">IF(AO8=0,"",MAX(0,AQ8))</f>
        <v>90</v>
      </c>
      <c r="Z8" s="11" t="str">
        <f aca="false">IF(AO8=0,"",IF(AQ8&lt;0,"Not started",INT(AQ8/12)&amp;"y "&amp;MOD(AQ8,12)&amp;"m"))</f>
        <v>7y 6m</v>
      </c>
      <c r="AA8" s="27" t="str">
        <f aca="false">IF(AO8=0,"",IF(BF8=1,"Terminated - balance forfeited",IF(AY8="None",IF(AB8&gt;0,"No longer accruing - "&amp;T8,"Not eligible - "&amp;T8&amp;IF(AND(IFERROR(VLOOKUP(T8,TypeTable,2,0),"None")="PT",N(U8)&lt;PT_MinHours)," (under "&amp;PT_MinHours&amp;" hrs)","")),IF(AB8&gt;0,"Yes - accruing","Not yet - qualifies "&amp;TEXT(AD8,"dd/mm/yyyy")))))</f>
        <v>Not eligible - Casual</v>
      </c>
      <c r="AB8" s="26" t="n">
        <f aca="false">IF(AO8=0,"",AZ8+IF(AR8="",0,BB8-BA8)+IF(AS8="",0,BD8-BC8))</f>
        <v>0</v>
      </c>
      <c r="AC8" s="26" t="n">
        <f aca="false">IF(AO8=0,"",AB8*HoursPerDay)</f>
        <v>0</v>
      </c>
      <c r="AD8" s="28" t="str">
        <f aca="false">IF(AO8=0,"",IF(OR(BF8=1,AY8="None"),"",EDATE($E8+AP8,BE8)))</f>
        <v/>
      </c>
      <c r="AE8" s="26" t="str">
        <f aca="false">IF(AD8="","",IF(AY8="PT",1,IF(BE8&lt;FT_Y5,1,IF(MOD(BE8-FT_Y5,12)=0,FT_AnnivDays,1))))</f>
        <v/>
      </c>
      <c r="AF8" s="27" t="str">
        <f aca="false">IF(AO8=0,"",IF(NOT(EH_Ready),"Map headers",IF(IF(MatchMode="Employee ID",COUNTIFS(INDEX(EH_Data,0,EH_ColID),$A8,INDEX(EH_Data,0,EH_ColCat),BonusCat),COUNTIFS(INDEX(EH_Data,0,EH_ColFirst),$B8,INDEX(EH_Data,0,EH_ColSur),$C8,INDEX(EH_Data,0,EH_ColCat),BonusCat))&gt;0,"Yes","No")))</f>
        <v>No</v>
      </c>
      <c r="AG8" s="26" t="n">
        <f aca="false">IF(AO8=0,"",IF(NOT(EH_Ready),"",IF(MatchMode="Employee ID",SUMIFS(INDEX(EH_Data,0,EH_ColBal),INDEX(EH_Data,0,EH_ColID),$A8,INDEX(EH_Data,0,EH_ColCat),BonusCat),SUMIFS(INDEX(EH_Data,0,EH_ColBal),INDEX(EH_Data,0,EH_ColFirst),$B8,INDEX(EH_Data,0,EH_ColSur),$C8,INDEX(EH_Data,0,EH_ColCat),BonusCat))/IF(EHUnit="Hours",HoursPerDay,1)))</f>
        <v>0</v>
      </c>
      <c r="AH8" s="26" t="n">
        <f aca="false">IF(AO8=0,"",IF(NOT(TK_Ready),0,IF(MatchMode="Employee ID",SUMIFS(INDEX(TK_Data,0,TK_ColAmt),INDEX(TK_Data,0,TK_ColID),$A8,INDEX(TK_Data,0,TK_ColCat),BonusCat),SUMIFS(INDEX(TK_Data,0,TK_ColAmt),INDEX(TK_Data,0,TK_ColFirst),$B8,INDEX(TK_Data,0,TK_ColSur),$C8,INDEX(TK_Data,0,TK_ColCat),BonusCat))/IF(TKUnit="Hours",HoursPerDay,1)))</f>
        <v>0</v>
      </c>
      <c r="AI8" s="26" t="n">
        <f aca="false">IF(AO8=0,"",N(AG8)+N(AH8))</f>
        <v>0</v>
      </c>
      <c r="AJ8" s="29" t="n">
        <f aca="false">IF(AO8=0,"",IF(NOT(AND(EH_Ready,EH_ValReady)),"",IF(MatchMode="Employee ID",SUMIFS(INDEX(EH_Data,0,EH_ColVal),INDEX(EH_Data,0,EH_ColID),$A8,INDEX(EH_Data,0,EH_ColCat),BonusCat),SUMIFS(INDEX(EH_Data,0,EH_ColVal),INDEX(EH_Data,0,EH_ColFirst),$B8,INDEX(EH_Data,0,EH_ColSur),$C8,INDEX(EH_Data,0,EH_ColCat),BonusCat))))</f>
        <v>0</v>
      </c>
      <c r="AK8" s="26" t="n">
        <f aca="false">IF(AO8=0,"",IF(OR(NOT(EH_Ready),BF8=1),"",AB8-AI8))</f>
        <v>0</v>
      </c>
      <c r="AL8" s="26" t="n">
        <f aca="false">IF(AK8="","",AK8*HoursPerDay)</f>
        <v>0</v>
      </c>
      <c r="AM8" s="27" t="str">
        <f aca="false">IF(AO8=0,"",IF(BF8=1,IF(N(AG8)&gt;0,"TERMINATED - forfeit "&amp;TEXT(AG8,"0.##")&amp;" days still in EH","Terminated - nothing in EH"),IF(NOT(EH_Ready),"Paste EH export and map headers on Settings",IF(AND(AB8&gt;0,AF8="No"),"SET UP in EH - add "&amp;TEXT(AB8,"0.##")&amp;" day(s) ("&amp;TEXT(AC8,"0.##")&amp;" hrs)",IF(AK8&gt;0,"ADD "&amp;TEXT(AK8,"0.##")&amp;" day(s) ("&amp;TEXT(AL8,"0.##")&amp;" hrs) in EH",IF(AK8&lt;0,"CHECK - EH shows "&amp;TEXT(-AK8,"0.##")&amp;" days more than policy",IF(AB8&gt;0,"OK - up to date",IF(AY8="None","No action - not eligible","No action - not yet qualified"))))))))</f>
        <v>No action - not eligible</v>
      </c>
      <c r="AN8" s="27" t="str">
        <f aca="false">IF(AO8=0,"",TRIM(IF(AND($K8&lt;&gt;"",$H8=""),"Change 2 entered without Change 1. ","")&amp;IF(AND($K8&lt;&gt;"",$H8&lt;&gt;"",$K8&lt;=$H8),"Change 2 date not after Change 1. ","")&amp;IF(AND($N8&lt;&gt;"",$O8&lt;&gt;"",$O8&lt;$N8),"Leave To is before Leave From. ","")&amp;IF(AND($N8&lt;&gt;"",$O8=""),"Leave From entered without Leave To. ","")&amp;IF(AND(IFERROR(VLOOKUP(T8,TypeTable,2,0),"None")="PT",U8=""),"Part-time with no hours entered. ","")&amp;IF(AND($H8&lt;&gt;"",$H8&gt;AsOfDate,AD8&lt;&gt;"",$H8&lt;=AD8),"Status change lands before next accrual - review. ","")&amp;IF(AND($Q8&lt;&gt;"",$Q8&lt;$E8),"Termination before commencement. ","")))</f>
        <v/>
      </c>
      <c r="AO8" s="11" t="n">
        <f aca="false">IF(LEN($A8&amp;$B8&amp;$C8)=0,0,IF($E8="",0,1))</f>
        <v>1</v>
      </c>
      <c r="AP8" s="11" t="n">
        <f aca="false">IF(AO8=0,"",(IF(OR($N8="",$O8=""),0,MAX(0,MIN(X8,$O8)-MAX($N8,$E8)+1))+N($P8)))</f>
        <v>0</v>
      </c>
      <c r="AQ8" s="11" t="n">
        <f aca="false">IF(AO8=0,"",IF(X8&lt;($E8+(IF(OR($N8="",$O8=""),0,MAX(0,MIN(X8,$O8)-MAX($N8,$E8)+1))+N($P8))),-1,12*(YEAR(X8)-YEAR(($E8+(IF(OR($N8="",$O8=""),0,MAX(0,MIN(X8,$O8)-MAX($N8,$E8)+1))+N($P8)))))+MONTH(X8)-MONTH(($E8+(IF(OR($N8="",$O8=""),0,MAX(0,MIN(X8,$O8)-MAX($N8,$E8)+1))+N($P8))))-IF(DAY(X8)&lt;MIN(DAY(($E8+(IF(OR($N8="",$O8=""),0,MAX(0,MIN(X8,$O8)-MAX($N8,$E8)+1))+N($P8)))),DAY(EOMONTH(X8,0))),1,0)))</f>
        <v>90</v>
      </c>
      <c r="AR8" s="28" t="str">
        <f aca="false">IF(AO8=0,"",IF($H8="","",IF($H8&gt;X8,"",$H8)))</f>
        <v/>
      </c>
      <c r="AS8" s="28" t="str">
        <f aca="false">IF(AO8=0,"",IF(AR8="","",IF($K8="","",IF($K8&gt;X8,"",$K8))))</f>
        <v/>
      </c>
      <c r="AT8" s="11" t="n">
        <f aca="false">IF(AO8=0,"",IF(AR8="",AQ8,IF((AR8-1)&lt;($E8+(IF(OR($N8="",$O8=""),0,MAX(0,MIN((AR8-1),$O8)-MAX($N8,$E8)+1))+N($P8))),-1,12*(YEAR((AR8-1))-YEAR(($E8+(IF(OR($N8="",$O8=""),0,MAX(0,MIN((AR8-1),$O8)-MAX($N8,$E8)+1))+N($P8)))))+MONTH((AR8-1))-MONTH(($E8+(IF(OR($N8="",$O8=""),0,MAX(0,MIN((AR8-1),$O8)-MAX($N8,$E8)+1))+N($P8))))-IF(DAY((AR8-1))&lt;MIN(DAY(($E8+(IF(OR($N8="",$O8=""),0,MAX(0,MIN((AR8-1),$O8)-MAX($N8,$E8)+1))+N($P8)))),DAY(EOMONTH((AR8-1),0))),1,0))))</f>
        <v>90</v>
      </c>
      <c r="AU8" s="11" t="n">
        <f aca="false">IF(AO8=0,"",IF(AS8="",AQ8,IF((AS8-1)&lt;($E8+(IF(OR($N8="",$O8=""),0,MAX(0,MIN((AS8-1),$O8)-MAX($N8,$E8)+1))+N($P8))),-1,12*(YEAR((AS8-1))-YEAR(($E8+(IF(OR($N8="",$O8=""),0,MAX(0,MIN((AS8-1),$O8)-MAX($N8,$E8)+1))+N($P8)))))+MONTH((AS8-1))-MONTH(($E8+(IF(OR($N8="",$O8=""),0,MAX(0,MIN((AS8-1),$O8)-MAX($N8,$E8)+1))+N($P8))))-IF(DAY((AS8-1))&lt;MIN(DAY(($E8+(IF(OR($N8="",$O8=""),0,MAX(0,MIN((AS8-1),$O8)-MAX($N8,$E8)+1))+N($P8)))),DAY(EOMONTH((AS8-1),0))),1,0))))</f>
        <v>90</v>
      </c>
      <c r="AV8" s="11" t="str">
        <f aca="false">IF(AO8=0,"",IF($F8="","None",IF(IFERROR(VLOOKUP($F8,TypeTable,2,0),"None")="PT",IF(N($G8)&gt;=PT_MinHours,"PT","None"),IFERROR(VLOOKUP($F8,TypeTable,2,0),"None"))))</f>
        <v>None</v>
      </c>
      <c r="AW8" s="11" t="str">
        <f aca="false">IF(AO8=0,"",IF($I8="","None",IF(IFERROR(VLOOKUP($I8,TypeTable,2,0),"None")="PT",IF(N($J8)&gt;=PT_MinHours,"PT","None"),IFERROR(VLOOKUP($I8,TypeTable,2,0),"None"))))</f>
        <v>None</v>
      </c>
      <c r="AX8" s="11" t="str">
        <f aca="false">IF(AO8=0,"",IF($L8="","None",IF(IFERROR(VLOOKUP($L8,TypeTable,2,0),"None")="PT",IF(N($M8)&gt;=PT_MinHours,"PT","None"),IFERROR(VLOOKUP($L8,TypeTable,2,0),"None"))))</f>
        <v>None</v>
      </c>
      <c r="AY8" s="11" t="str">
        <f aca="false">IF(AO8=0,"",IF(AS8&lt;&gt;"",AX8,IF(AR8&lt;&gt;"",AW8,AV8)))</f>
        <v>None</v>
      </c>
      <c r="AZ8" s="11" t="n">
        <f aca="false">IF(AO8=0,"",IF(AV8="FT",IF(AT8&lt;FT_First,0,IF(AT8&lt;FT_Y5,1+INT((AT8-FT_First)/FT_Int1),FT_PreY5+FT_PerYear*INT((AT8-FT_Y5)/12)+FT_AnnivDays+INT(MOD(AT8-FT_Y5,12)/FT_Int2))),IF(AV8="PT",IF(AT8&lt;PT_First,0,1+INT((AT8-PT_First)/PT_Int)),0)))</f>
        <v>0</v>
      </c>
      <c r="BA8" s="11" t="n">
        <f aca="false">IF(AO8=0,"",IF(AW8="FT",IF(AT8&lt;FT_First,0,IF(AT8&lt;FT_Y5,1+INT((AT8-FT_First)/FT_Int1),FT_PreY5+FT_PerYear*INT((AT8-FT_Y5)/12)+FT_AnnivDays+INT(MOD(AT8-FT_Y5,12)/FT_Int2))),IF(AW8="PT",IF(AT8&lt;PT_First,0,1+INT((AT8-PT_First)/PT_Int)),0)))</f>
        <v>0</v>
      </c>
      <c r="BB8" s="11" t="n">
        <f aca="false">IF(AO8=0,"",IF(AW8="FT",IF(AU8&lt;FT_First,0,IF(AU8&lt;FT_Y5,1+INT((AU8-FT_First)/FT_Int1),FT_PreY5+FT_PerYear*INT((AU8-FT_Y5)/12)+FT_AnnivDays+INT(MOD(AU8-FT_Y5,12)/FT_Int2))),IF(AW8="PT",IF(AU8&lt;PT_First,0,1+INT((AU8-PT_First)/PT_Int)),0)))</f>
        <v>0</v>
      </c>
      <c r="BC8" s="11" t="n">
        <f aca="false">IF(AO8=0,"",IF(AX8="FT",IF(AU8&lt;FT_First,0,IF(AU8&lt;FT_Y5,1+INT((AU8-FT_First)/FT_Int1),FT_PreY5+FT_PerYear*INT((AU8-FT_Y5)/12)+FT_AnnivDays+INT(MOD(AU8-FT_Y5,12)/FT_Int2))),IF(AX8="PT",IF(AU8&lt;PT_First,0,1+INT((AU8-PT_First)/PT_Int)),0)))</f>
        <v>0</v>
      </c>
      <c r="BD8" s="11" t="n">
        <f aca="false">IF(AO8=0,"",IF(AX8="FT",IF(AQ8&lt;FT_First,0,IF(AQ8&lt;FT_Y5,1+INT((AQ8-FT_First)/FT_Int1),FT_PreY5+FT_PerYear*INT((AQ8-FT_Y5)/12)+FT_AnnivDays+INT(MOD(AQ8-FT_Y5,12)/FT_Int2))),IF(AX8="PT",IF(AQ8&lt;PT_First,0,1+INT((AQ8-PT_First)/PT_Int)),0)))</f>
        <v>0</v>
      </c>
      <c r="BE8" s="11" t="str">
        <f aca="false">IF(AO8=0,"",IF(AY8="FT",IF(AQ8&lt;FT_First,FT_First,IF(AQ8&lt;FT_Y5,MIN(FT_Y5,FT_First+FT_Int1*(INT((AQ8-FT_First)/FT_Int1)+1)),FT_Y5+12*INT((AQ8-FT_Y5)/12)+FT_Int2*(INT(MOD(AQ8-FT_Y5,12)/FT_Int2)+1))),IF(AY8="PT",IF(AQ8&lt;PT_First,PT_First,PT_First+PT_Int*(INT((AQ8-PT_First)/PT_Int)+1)),"")))</f>
        <v/>
      </c>
      <c r="BF8" s="11" t="n">
        <f aca="false">IF(AO8=0,0,IF(AND($Q8&lt;&gt;"",$Q8&lt;=AsOfDate),1,0))</f>
        <v>0</v>
      </c>
      <c r="BG8" s="11" t="str">
        <f aca="false">IF(AND(AO8=1,BF8=0,EH_Ready,N(AB8)&gt;0,N(AI8)=0),COUNT($BG$5:BG7)+1,"")</f>
        <v/>
      </c>
      <c r="BH8" s="11" t="str">
        <f aca="false">IF(AND(AO8=1,BF8=0,EH_Ready,N(AB8)&gt;0,N(AI8)&gt;0,N(AK8)&gt;0),COUNT($BH$5:BH7)+1,"")</f>
        <v/>
      </c>
      <c r="BI8" s="11" t="str">
        <f aca="false">IF(AND(AO8=1,OR(LEFT(AM8,3)="ADD",LEFT(AM8,3)="SET",LEFT(AM8,5)="CHECK",LEFT(AM8,10)="TERMINATED")),COUNT($BI$5:BI7)+1,"")</f>
        <v/>
      </c>
      <c r="BJ8" s="11" t="str">
        <f aca="false">IF(AO8=0,"",$A8&amp;" - "&amp;$B8&amp;" "&amp;$C8)</f>
        <v>E003 - Sam Lee</v>
      </c>
    </row>
    <row r="9" customFormat="false" ht="15" hidden="false" customHeight="false" outlineLevel="0" collapsed="false">
      <c r="A9" s="23" t="s">
        <v>218</v>
      </c>
      <c r="B9" s="23" t="s">
        <v>219</v>
      </c>
      <c r="C9" s="23" t="s">
        <v>220</v>
      </c>
      <c r="D9" s="23" t="s">
        <v>137</v>
      </c>
      <c r="E9" s="24" t="n">
        <v>44621</v>
      </c>
      <c r="F9" s="23" t="s">
        <v>123</v>
      </c>
      <c r="G9" s="25" t="n">
        <v>38</v>
      </c>
      <c r="H9" s="24" t="n">
        <v>45839</v>
      </c>
      <c r="I9" s="23" t="s">
        <v>125</v>
      </c>
      <c r="J9" s="25" t="n">
        <v>20</v>
      </c>
      <c r="K9" s="24"/>
      <c r="L9" s="23"/>
      <c r="M9" s="25"/>
      <c r="N9" s="24"/>
      <c r="O9" s="24"/>
      <c r="P9" s="25"/>
      <c r="Q9" s="24"/>
      <c r="R9" s="23" t="s">
        <v>221</v>
      </c>
      <c r="S9" s="11" t="str">
        <f aca="false">IF(AO9=0,"",IF($H9="","",$F9&amp;" -&gt; "&amp;$I9&amp;IF($I9="Part-Time"," ("&amp;N($J9)&amp;" hrs)","")&amp;" on "&amp;TEXT($H9,"dd/mm/yyyy")&amp;IF($H9&gt;AsOfDate," (FUTURE)","")&amp;IF($K9="","","; "&amp;$I9&amp;" -&gt; "&amp;$L9&amp;IF($L9="Part-Time"," ("&amp;N($M9)&amp;" hrs)","")&amp;" on "&amp;TEXT($K9,"dd/mm/yyyy")&amp;IF($K9&gt;AsOfDate," (FUTURE)",""))))</f>
        <v>Full-Time -&gt; Part-Time (20 hrs) on 01/07/2025</v>
      </c>
      <c r="T9" s="11" t="str">
        <f aca="false">IF(AO9=0,"",IF(AS9&lt;&gt;"",$L9,IF(AR9&lt;&gt;"",$I9,$F9)))</f>
        <v>Part-Time</v>
      </c>
      <c r="U9" s="26" t="n">
        <f aca="false">IF(AO9=0,"",IF(AS9&lt;&gt;"",$M9,IF(AR9&lt;&gt;"",$J9,$G9)))</f>
        <v>20</v>
      </c>
      <c r="V9" s="11" t="str">
        <f aca="false">IF(AO9=0,"",IF(AY9="FT","Full-Time",IF(AY9="PT","Part-Time","Not eligible")))</f>
        <v>Not eligible</v>
      </c>
      <c r="W9" s="27" t="str">
        <f aca="false">IF(AO9=0,"",IF(AR9="",IF(AND($H9&lt;&gt;"",$H9&gt;AsOfDate),"Future change - not yet applied",""),IF(AND(AV9=AY9,OR(AS9="",AW9=AV9)),"Type changed - same accrual pathway",IF(AY9="None","STOPPED accruing from "&amp;TEXT(IF(AS9&lt;&gt;"",AS9,AR9),"dd/mm/yyyy"),IF(AV9="None","STARTED qualifying from "&amp;TEXT(IF(AS9&lt;&gt;"",AS9,AR9),"dd/mm/yyyy"),"Pathway changed "&amp;AV9&amp;" -&gt; "&amp;AW9&amp;IF(AS9&lt;&gt;""," -&gt; "&amp;AX9,"")&amp;" from "&amp;TEXT(IF(AS9&lt;&gt;"",AS9,AR9),"dd/mm/yyyy"))))))</f>
        <v>STOPPED accruing from 01/07/2025</v>
      </c>
      <c r="X9" s="28" t="n">
        <f aca="false">IF(AO9=0,"",IF($Q9="",AsOfDate,MIN(AsOfDate,$Q9)))</f>
        <v>46295</v>
      </c>
      <c r="Y9" s="26" t="n">
        <f aca="false">IF(AO9=0,"",MAX(0,AQ9))</f>
        <v>54</v>
      </c>
      <c r="Z9" s="11" t="str">
        <f aca="false">IF(AO9=0,"",IF(AQ9&lt;0,"Not started",INT(AQ9/12)&amp;"y "&amp;MOD(AQ9,12)&amp;"m"))</f>
        <v>4y 6m</v>
      </c>
      <c r="AA9" s="27" t="str">
        <f aca="false">IF(AO9=0,"",IF(BF9=1,"Terminated - balance forfeited",IF(AY9="None",IF(AB9&gt;0,"No longer accruing - "&amp;T9,"Not eligible - "&amp;T9&amp;IF(AND(IFERROR(VLOOKUP(T9,TypeTable,2,0),"None")="PT",N(U9)&lt;PT_MinHours)," (under "&amp;PT_MinHours&amp;" hrs)","")),IF(AB9&gt;0,"Yes - accruing","Not yet - qualifies "&amp;TEXT(AD9,"dd/mm/yyyy")))))</f>
        <v>No longer accruing - Part-Time</v>
      </c>
      <c r="AB9" s="26" t="n">
        <f aca="false">IF(AO9=0,"",AZ9+IF(AR9="",0,BB9-BA9)+IF(AS9="",0,BD9-BC9))</f>
        <v>1</v>
      </c>
      <c r="AC9" s="26" t="n">
        <f aca="false">IF(AO9=0,"",AB9*HoursPerDay)</f>
        <v>8</v>
      </c>
      <c r="AD9" s="28" t="str">
        <f aca="false">IF(AO9=0,"",IF(OR(BF9=1,AY9="None"),"",EDATE($E9+AP9,BE9)))</f>
        <v/>
      </c>
      <c r="AE9" s="26" t="str">
        <f aca="false">IF(AD9="","",IF(AY9="PT",1,IF(BE9&lt;FT_Y5,1,IF(MOD(BE9-FT_Y5,12)=0,FT_AnnivDays,1))))</f>
        <v/>
      </c>
      <c r="AF9" s="27" t="str">
        <f aca="false">IF(AO9=0,"",IF(NOT(EH_Ready),"Map headers",IF(IF(MatchMode="Employee ID",COUNTIFS(INDEX(EH_Data,0,EH_ColID),$A9,INDEX(EH_Data,0,EH_ColCat),BonusCat),COUNTIFS(INDEX(EH_Data,0,EH_ColFirst),$B9,INDEX(EH_Data,0,EH_ColSur),$C9,INDEX(EH_Data,0,EH_ColCat),BonusCat))&gt;0,"Yes","No")))</f>
        <v>Yes</v>
      </c>
      <c r="AG9" s="26" t="n">
        <f aca="false">IF(AO9=0,"",IF(NOT(EH_Ready),"",IF(MatchMode="Employee ID",SUMIFS(INDEX(EH_Data,0,EH_ColBal),INDEX(EH_Data,0,EH_ColID),$A9,INDEX(EH_Data,0,EH_ColCat),BonusCat),SUMIFS(INDEX(EH_Data,0,EH_ColBal),INDEX(EH_Data,0,EH_ColFirst),$B9,INDEX(EH_Data,0,EH_ColSur),$C9,INDEX(EH_Data,0,EH_ColCat),BonusCat))/IF(EHUnit="Hours",HoursPerDay,1)))</f>
        <v>1</v>
      </c>
      <c r="AH9" s="26" t="n">
        <f aca="false">IF(AO9=0,"",IF(NOT(TK_Ready),0,IF(MatchMode="Employee ID",SUMIFS(INDEX(TK_Data,0,TK_ColAmt),INDEX(TK_Data,0,TK_ColID),$A9,INDEX(TK_Data,0,TK_ColCat),BonusCat),SUMIFS(INDEX(TK_Data,0,TK_ColAmt),INDEX(TK_Data,0,TK_ColFirst),$B9,INDEX(TK_Data,0,TK_ColSur),$C9,INDEX(TK_Data,0,TK_ColCat),BonusCat))/IF(TKUnit="Hours",HoursPerDay,1)))</f>
        <v>0</v>
      </c>
      <c r="AI9" s="26" t="n">
        <f aca="false">IF(AO9=0,"",N(AG9)+N(AH9))</f>
        <v>1</v>
      </c>
      <c r="AJ9" s="29" t="n">
        <f aca="false">IF(AO9=0,"",IF(NOT(AND(EH_Ready,EH_ValReady)),"",IF(MatchMode="Employee ID",SUMIFS(INDEX(EH_Data,0,EH_ColVal),INDEX(EH_Data,0,EH_ColID),$A9,INDEX(EH_Data,0,EH_ColCat),BonusCat),SUMIFS(INDEX(EH_Data,0,EH_ColVal),INDEX(EH_Data,0,EH_ColFirst),$B9,INDEX(EH_Data,0,EH_ColSur),$C9,INDEX(EH_Data,0,EH_ColCat),BonusCat))))</f>
        <v>300</v>
      </c>
      <c r="AK9" s="26" t="n">
        <f aca="false">IF(AO9=0,"",IF(OR(NOT(EH_Ready),BF9=1),"",AB9-AI9))</f>
        <v>0</v>
      </c>
      <c r="AL9" s="26" t="n">
        <f aca="false">IF(AK9="","",AK9*HoursPerDay)</f>
        <v>0</v>
      </c>
      <c r="AM9" s="27" t="str">
        <f aca="false">IF(AO9=0,"",IF(BF9=1,IF(N(AG9)&gt;0,"TERMINATED - forfeit "&amp;TEXT(AG9,"0.##")&amp;" days still in EH","Terminated - nothing in EH"),IF(NOT(EH_Ready),"Paste EH export and map headers on Settings",IF(AND(AB9&gt;0,AF9="No"),"SET UP in EH - add "&amp;TEXT(AB9,"0.##")&amp;" day(s) ("&amp;TEXT(AC9,"0.##")&amp;" hrs)",IF(AK9&gt;0,"ADD "&amp;TEXT(AK9,"0.##")&amp;" day(s) ("&amp;TEXT(AL9,"0.##")&amp;" hrs) in EH",IF(AK9&lt;0,"CHECK - EH shows "&amp;TEXT(-AK9,"0.##")&amp;" days more than policy",IF(AB9&gt;0,"OK - up to date",IF(AY9="None","No action - not eligible","No action - not yet qualified"))))))))</f>
        <v>OK - up to date</v>
      </c>
      <c r="AN9" s="27" t="str">
        <f aca="false">IF(AO9=0,"",TRIM(IF(AND($K9&lt;&gt;"",$H9=""),"Change 2 entered without Change 1. ","")&amp;IF(AND($K9&lt;&gt;"",$H9&lt;&gt;"",$K9&lt;=$H9),"Change 2 date not after Change 1. ","")&amp;IF(AND($N9&lt;&gt;"",$O9&lt;&gt;"",$O9&lt;$N9),"Leave To is before Leave From. ","")&amp;IF(AND($N9&lt;&gt;"",$O9=""),"Leave From entered without Leave To. ","")&amp;IF(AND(IFERROR(VLOOKUP(T9,TypeTable,2,0),"None")="PT",U9=""),"Part-time with no hours entered. ","")&amp;IF(AND($H9&lt;&gt;"",$H9&gt;AsOfDate,AD9&lt;&gt;"",$H9&lt;=AD9),"Status change lands before next accrual - review. ","")&amp;IF(AND($Q9&lt;&gt;"",$Q9&lt;$E9),"Termination before commencement. ","")))</f>
        <v/>
      </c>
      <c r="AO9" s="11" t="n">
        <f aca="false">IF(LEN($A9&amp;$B9&amp;$C9)=0,0,IF($E9="",0,1))</f>
        <v>1</v>
      </c>
      <c r="AP9" s="11" t="n">
        <f aca="false">IF(AO9=0,"",(IF(OR($N9="",$O9=""),0,MAX(0,MIN(X9,$O9)-MAX($N9,$E9)+1))+N($P9)))</f>
        <v>0</v>
      </c>
      <c r="AQ9" s="11" t="n">
        <f aca="false">IF(AO9=0,"",IF(X9&lt;($E9+(IF(OR($N9="",$O9=""),0,MAX(0,MIN(X9,$O9)-MAX($N9,$E9)+1))+N($P9))),-1,12*(YEAR(X9)-YEAR(($E9+(IF(OR($N9="",$O9=""),0,MAX(0,MIN(X9,$O9)-MAX($N9,$E9)+1))+N($P9)))))+MONTH(X9)-MONTH(($E9+(IF(OR($N9="",$O9=""),0,MAX(0,MIN(X9,$O9)-MAX($N9,$E9)+1))+N($P9))))-IF(DAY(X9)&lt;MIN(DAY(($E9+(IF(OR($N9="",$O9=""),0,MAX(0,MIN(X9,$O9)-MAX($N9,$E9)+1))+N($P9)))),DAY(EOMONTH(X9,0))),1,0)))</f>
        <v>54</v>
      </c>
      <c r="AR9" s="28" t="n">
        <f aca="false">IF(AO9=0,"",IF($H9="","",IF($H9&gt;X9,"",$H9)))</f>
        <v>45839</v>
      </c>
      <c r="AS9" s="28" t="str">
        <f aca="false">IF(AO9=0,"",IF(AR9="","",IF($K9="","",IF($K9&gt;X9,"",$K9))))</f>
        <v/>
      </c>
      <c r="AT9" s="11" t="n">
        <f aca="false">IF(AO9=0,"",IF(AR9="",AQ9,IF((AR9-1)&lt;($E9+(IF(OR($N9="",$O9=""),0,MAX(0,MIN((AR9-1),$O9)-MAX($N9,$E9)+1))+N($P9))),-1,12*(YEAR((AR9-1))-YEAR(($E9+(IF(OR($N9="",$O9=""),0,MAX(0,MIN((AR9-1),$O9)-MAX($N9,$E9)+1))+N($P9)))))+MONTH((AR9-1))-MONTH(($E9+(IF(OR($N9="",$O9=""),0,MAX(0,MIN((AR9-1),$O9)-MAX($N9,$E9)+1))+N($P9))))-IF(DAY((AR9-1))&lt;MIN(DAY(($E9+(IF(OR($N9="",$O9=""),0,MAX(0,MIN((AR9-1),$O9)-MAX($N9,$E9)+1))+N($P9)))),DAY(EOMONTH((AR9-1),0))),1,0))))</f>
        <v>39</v>
      </c>
      <c r="AU9" s="11" t="n">
        <f aca="false">IF(AO9=0,"",IF(AS9="",AQ9,IF((AS9-1)&lt;($E9+(IF(OR($N9="",$O9=""),0,MAX(0,MIN((AS9-1),$O9)-MAX($N9,$E9)+1))+N($P9))),-1,12*(YEAR((AS9-1))-YEAR(($E9+(IF(OR($N9="",$O9=""),0,MAX(0,MIN((AS9-1),$O9)-MAX($N9,$E9)+1))+N($P9)))))+MONTH((AS9-1))-MONTH(($E9+(IF(OR($N9="",$O9=""),0,MAX(0,MIN((AS9-1),$O9)-MAX($N9,$E9)+1))+N($P9))))-IF(DAY((AS9-1))&lt;MIN(DAY(($E9+(IF(OR($N9="",$O9=""),0,MAX(0,MIN((AS9-1),$O9)-MAX($N9,$E9)+1))+N($P9)))),DAY(EOMONTH((AS9-1),0))),1,0))))</f>
        <v>54</v>
      </c>
      <c r="AV9" s="11" t="str">
        <f aca="false">IF(AO9=0,"",IF($F9="","None",IF(IFERROR(VLOOKUP($F9,TypeTable,2,0),"None")="PT",IF(N($G9)&gt;=PT_MinHours,"PT","None"),IFERROR(VLOOKUP($F9,TypeTable,2,0),"None"))))</f>
        <v>FT</v>
      </c>
      <c r="AW9" s="11" t="str">
        <f aca="false">IF(AO9=0,"",IF($I9="","None",IF(IFERROR(VLOOKUP($I9,TypeTable,2,0),"None")="PT",IF(N($J9)&gt;=PT_MinHours,"PT","None"),IFERROR(VLOOKUP($I9,TypeTable,2,0),"None"))))</f>
        <v>None</v>
      </c>
      <c r="AX9" s="11" t="str">
        <f aca="false">IF(AO9=0,"",IF($L9="","None",IF(IFERROR(VLOOKUP($L9,TypeTable,2,0),"None")="PT",IF(N($M9)&gt;=PT_MinHours,"PT","None"),IFERROR(VLOOKUP($L9,TypeTable,2,0),"None"))))</f>
        <v>None</v>
      </c>
      <c r="AY9" s="11" t="str">
        <f aca="false">IF(AO9=0,"",IF(AS9&lt;&gt;"",AX9,IF(AR9&lt;&gt;"",AW9,AV9)))</f>
        <v>None</v>
      </c>
      <c r="AZ9" s="11" t="n">
        <f aca="false">IF(AO9=0,"",IF(AV9="FT",IF(AT9&lt;FT_First,0,IF(AT9&lt;FT_Y5,1+INT((AT9-FT_First)/FT_Int1),FT_PreY5+FT_PerYear*INT((AT9-FT_Y5)/12)+FT_AnnivDays+INT(MOD(AT9-FT_Y5,12)/FT_Int2))),IF(AV9="PT",IF(AT9&lt;PT_First,0,1+INT((AT9-PT_First)/PT_Int)),0)))</f>
        <v>1</v>
      </c>
      <c r="BA9" s="11" t="n">
        <f aca="false">IF(AO9=0,"",IF(AW9="FT",IF(AT9&lt;FT_First,0,IF(AT9&lt;FT_Y5,1+INT((AT9-FT_First)/FT_Int1),FT_PreY5+FT_PerYear*INT((AT9-FT_Y5)/12)+FT_AnnivDays+INT(MOD(AT9-FT_Y5,12)/FT_Int2))),IF(AW9="PT",IF(AT9&lt;PT_First,0,1+INT((AT9-PT_First)/PT_Int)),0)))</f>
        <v>0</v>
      </c>
      <c r="BB9" s="11" t="n">
        <f aca="false">IF(AO9=0,"",IF(AW9="FT",IF(AU9&lt;FT_First,0,IF(AU9&lt;FT_Y5,1+INT((AU9-FT_First)/FT_Int1),FT_PreY5+FT_PerYear*INT((AU9-FT_Y5)/12)+FT_AnnivDays+INT(MOD(AU9-FT_Y5,12)/FT_Int2))),IF(AW9="PT",IF(AU9&lt;PT_First,0,1+INT((AU9-PT_First)/PT_Int)),0)))</f>
        <v>0</v>
      </c>
      <c r="BC9" s="11" t="n">
        <f aca="false">IF(AO9=0,"",IF(AX9="FT",IF(AU9&lt;FT_First,0,IF(AU9&lt;FT_Y5,1+INT((AU9-FT_First)/FT_Int1),FT_PreY5+FT_PerYear*INT((AU9-FT_Y5)/12)+FT_AnnivDays+INT(MOD(AU9-FT_Y5,12)/FT_Int2))),IF(AX9="PT",IF(AU9&lt;PT_First,0,1+INT((AU9-PT_First)/PT_Int)),0)))</f>
        <v>0</v>
      </c>
      <c r="BD9" s="11" t="n">
        <f aca="false">IF(AO9=0,"",IF(AX9="FT",IF(AQ9&lt;FT_First,0,IF(AQ9&lt;FT_Y5,1+INT((AQ9-FT_First)/FT_Int1),FT_PreY5+FT_PerYear*INT((AQ9-FT_Y5)/12)+FT_AnnivDays+INT(MOD(AQ9-FT_Y5,12)/FT_Int2))),IF(AX9="PT",IF(AQ9&lt;PT_First,0,1+INT((AQ9-PT_First)/PT_Int)),0)))</f>
        <v>0</v>
      </c>
      <c r="BE9" s="11" t="str">
        <f aca="false">IF(AO9=0,"",IF(AY9="FT",IF(AQ9&lt;FT_First,FT_First,IF(AQ9&lt;FT_Y5,MIN(FT_Y5,FT_First+FT_Int1*(INT((AQ9-FT_First)/FT_Int1)+1)),FT_Y5+12*INT((AQ9-FT_Y5)/12)+FT_Int2*(INT(MOD(AQ9-FT_Y5,12)/FT_Int2)+1))),IF(AY9="PT",IF(AQ9&lt;PT_First,PT_First,PT_First+PT_Int*(INT((AQ9-PT_First)/PT_Int)+1)),"")))</f>
        <v/>
      </c>
      <c r="BF9" s="11" t="n">
        <f aca="false">IF(AO9=0,0,IF(AND($Q9&lt;&gt;"",$Q9&lt;=AsOfDate),1,0))</f>
        <v>0</v>
      </c>
      <c r="BG9" s="11" t="str">
        <f aca="false">IF(AND(AO9=1,BF9=0,EH_Ready,N(AB9)&gt;0,N(AI9)=0),COUNT($BG$5:BG8)+1,"")</f>
        <v/>
      </c>
      <c r="BH9" s="11" t="str">
        <f aca="false">IF(AND(AO9=1,BF9=0,EH_Ready,N(AB9)&gt;0,N(AI9)&gt;0,N(AK9)&gt;0),COUNT($BH$5:BH8)+1,"")</f>
        <v/>
      </c>
      <c r="BI9" s="11" t="str">
        <f aca="false">IF(AND(AO9=1,OR(LEFT(AM9,3)="ADD",LEFT(AM9,3)="SET",LEFT(AM9,5)="CHECK",LEFT(AM9,10)="TERMINATED")),COUNT($BI$5:BI8)+1,"")</f>
        <v/>
      </c>
      <c r="BJ9" s="11" t="str">
        <f aca="false">IF(AO9=0,"",$A9&amp;" - "&amp;$B9&amp;" "&amp;$C9)</f>
        <v>E004 - Priya Patel</v>
      </c>
    </row>
    <row r="10" customFormat="false" ht="15" hidden="false" customHeight="false" outlineLevel="0" collapsed="false">
      <c r="A10" s="23" t="s">
        <v>222</v>
      </c>
      <c r="B10" s="23" t="s">
        <v>223</v>
      </c>
      <c r="C10" s="23" t="s">
        <v>224</v>
      </c>
      <c r="D10" s="23" t="s">
        <v>134</v>
      </c>
      <c r="E10" s="24" t="n">
        <v>43840</v>
      </c>
      <c r="F10" s="23" t="s">
        <v>125</v>
      </c>
      <c r="G10" s="25" t="n">
        <v>30</v>
      </c>
      <c r="H10" s="24" t="n">
        <v>45292</v>
      </c>
      <c r="I10" s="23" t="s">
        <v>123</v>
      </c>
      <c r="J10" s="25" t="n">
        <v>38</v>
      </c>
      <c r="K10" s="24"/>
      <c r="L10" s="23"/>
      <c r="M10" s="25"/>
      <c r="N10" s="24"/>
      <c r="O10" s="24"/>
      <c r="P10" s="25"/>
      <c r="Q10" s="24"/>
      <c r="R10" s="23" t="s">
        <v>225</v>
      </c>
      <c r="S10" s="11" t="str">
        <f aca="false">IF(AO10=0,"",IF($H10="","",$F10&amp;" -&gt; "&amp;$I10&amp;IF($I10="Part-Time"," ("&amp;N($J10)&amp;" hrs)","")&amp;" on "&amp;TEXT($H10,"dd/mm/yyyy")&amp;IF($H10&gt;AsOfDate," (FUTURE)","")&amp;IF($K10="","","; "&amp;$I10&amp;" -&gt; "&amp;$L10&amp;IF($L10="Part-Time"," ("&amp;N($M10)&amp;" hrs)","")&amp;" on "&amp;TEXT($K10,"dd/mm/yyyy")&amp;IF($K10&gt;AsOfDate," (FUTURE)",""))))</f>
        <v>Part-Time -&gt; Full-Time on 01/01/2024</v>
      </c>
      <c r="T10" s="11" t="str">
        <f aca="false">IF(AO10=0,"",IF(AS10&lt;&gt;"",$L10,IF(AR10&lt;&gt;"",$I10,$F10)))</f>
        <v>Full-Time</v>
      </c>
      <c r="U10" s="26" t="n">
        <f aca="false">IF(AO10=0,"",IF(AS10&lt;&gt;"",$M10,IF(AR10&lt;&gt;"",$J10,$G10)))</f>
        <v>38</v>
      </c>
      <c r="V10" s="11" t="str">
        <f aca="false">IF(AO10=0,"",IF(AY10="FT","Full-Time",IF(AY10="PT","Part-Time","Not eligible")))</f>
        <v>Full-Time</v>
      </c>
      <c r="W10" s="27" t="str">
        <f aca="false">IF(AO10=0,"",IF(AR10="",IF(AND($H10&lt;&gt;"",$H10&gt;AsOfDate),"Future change - not yet applied",""),IF(AND(AV10=AY10,OR(AS10="",AW10=AV10)),"Type changed - same accrual pathway",IF(AY10="None","STOPPED accruing from "&amp;TEXT(IF(AS10&lt;&gt;"",AS10,AR10),"dd/mm/yyyy"),IF(AV10="None","STARTED qualifying from "&amp;TEXT(IF(AS10&lt;&gt;"",AS10,AR10),"dd/mm/yyyy"),"Pathway changed "&amp;AV10&amp;" -&gt; "&amp;AW10&amp;IF(AS10&lt;&gt;""," -&gt; "&amp;AX10,"")&amp;" from "&amp;TEXT(IF(AS10&lt;&gt;"",AS10,AR10),"dd/mm/yyyy"))))))</f>
        <v>Pathway changed PT -&gt; FT from 01/01/2024</v>
      </c>
      <c r="X10" s="28" t="n">
        <f aca="false">IF(AO10=0,"",IF($Q10="",AsOfDate,MIN(AsOfDate,$Q10)))</f>
        <v>46295</v>
      </c>
      <c r="Y10" s="26" t="n">
        <f aca="false">IF(AO10=0,"",MAX(0,AQ10))</f>
        <v>80</v>
      </c>
      <c r="Z10" s="11" t="str">
        <f aca="false">IF(AO10=0,"",IF(AQ10&lt;0,"Not started",INT(AQ10/12)&amp;"y "&amp;MOD(AQ10,12)&amp;"m"))</f>
        <v>6y 8m</v>
      </c>
      <c r="AA10" s="27" t="str">
        <f aca="false">IF(AO10=0,"",IF(BF10=1,"Terminated - balance forfeited",IF(AY10="None",IF(AB10&gt;0,"No longer accruing - "&amp;T10,"Not eligible - "&amp;T10&amp;IF(AND(IFERROR(VLOOKUP(T10,TypeTable,2,0),"None")="PT",N(U10)&lt;PT_MinHours)," (under "&amp;PT_MinHours&amp;" hrs)","")),IF(AB10&gt;0,"Yes - accruing","Not yet - qualifies "&amp;TEXT(AD10,"dd/mm/yyyy")))))</f>
        <v>Yes - accruing</v>
      </c>
      <c r="AB10" s="26" t="n">
        <f aca="false">IF(AO10=0,"",AZ10+IF(AR10="",0,BB10-BA10)+IF(AS10="",0,BD10-BC10))</f>
        <v>12</v>
      </c>
      <c r="AC10" s="26" t="n">
        <f aca="false">IF(AO10=0,"",AB10*HoursPerDay)</f>
        <v>96</v>
      </c>
      <c r="AD10" s="28" t="n">
        <f aca="false">IF(AO10=0,"",IF(OR(BF10=1,AY10="None"),"",EDATE($E10+AP10,BE10)))</f>
        <v>46305</v>
      </c>
      <c r="AE10" s="26" t="n">
        <f aca="false">IF(AD10="","",IF(AY10="PT",1,IF(BE10&lt;FT_Y5,1,IF(MOD(BE10-FT_Y5,12)=0,FT_AnnivDays,1))))</f>
        <v>1</v>
      </c>
      <c r="AF10" s="27" t="str">
        <f aca="false">IF(AO10=0,"",IF(NOT(EH_Ready),"Map headers",IF(IF(MatchMode="Employee ID",COUNTIFS(INDEX(EH_Data,0,EH_ColID),$A10,INDEX(EH_Data,0,EH_ColCat),BonusCat),COUNTIFS(INDEX(EH_Data,0,EH_ColFirst),$B10,INDEX(EH_Data,0,EH_ColSur),$C10,INDEX(EH_Data,0,EH_ColCat),BonusCat))&gt;0,"Yes","No")))</f>
        <v>Yes</v>
      </c>
      <c r="AG10" s="26" t="n">
        <f aca="false">IF(AO10=0,"",IF(NOT(EH_Ready),"",IF(MatchMode="Employee ID",SUMIFS(INDEX(EH_Data,0,EH_ColBal),INDEX(EH_Data,0,EH_ColID),$A10,INDEX(EH_Data,0,EH_ColCat),BonusCat),SUMIFS(INDEX(EH_Data,0,EH_ColBal),INDEX(EH_Data,0,EH_ColFirst),$B10,INDEX(EH_Data,0,EH_ColSur),$C10,INDEX(EH_Data,0,EH_ColCat),BonusCat))/IF(EHUnit="Hours",HoursPerDay,1)))</f>
        <v>10</v>
      </c>
      <c r="AH10" s="26" t="n">
        <f aca="false">IF(AO10=0,"",IF(NOT(TK_Ready),0,IF(MatchMode="Employee ID",SUMIFS(INDEX(TK_Data,0,TK_ColAmt),INDEX(TK_Data,0,TK_ColID),$A10,INDEX(TK_Data,0,TK_ColCat),BonusCat),SUMIFS(INDEX(TK_Data,0,TK_ColAmt),INDEX(TK_Data,0,TK_ColFirst),$B10,INDEX(TK_Data,0,TK_ColSur),$C10,INDEX(TK_Data,0,TK_ColCat),BonusCat))/IF(TKUnit="Hours",HoursPerDay,1)))</f>
        <v>0</v>
      </c>
      <c r="AI10" s="26" t="n">
        <f aca="false">IF(AO10=0,"",N(AG10)+N(AH10))</f>
        <v>10</v>
      </c>
      <c r="AJ10" s="29" t="n">
        <f aca="false">IF(AO10=0,"",IF(NOT(AND(EH_Ready,EH_ValReady)),"",IF(MatchMode="Employee ID",SUMIFS(INDEX(EH_Data,0,EH_ColVal),INDEX(EH_Data,0,EH_ColID),$A10,INDEX(EH_Data,0,EH_ColCat),BonusCat),SUMIFS(INDEX(EH_Data,0,EH_ColVal),INDEX(EH_Data,0,EH_ColFirst),$B10,INDEX(EH_Data,0,EH_ColSur),$C10,INDEX(EH_Data,0,EH_ColCat),BonusCat))))</f>
        <v>3600</v>
      </c>
      <c r="AK10" s="26" t="n">
        <f aca="false">IF(AO10=0,"",IF(OR(NOT(EH_Ready),BF10=1),"",AB10-AI10))</f>
        <v>2</v>
      </c>
      <c r="AL10" s="26" t="n">
        <f aca="false">IF(AK10="","",AK10*HoursPerDay)</f>
        <v>16</v>
      </c>
      <c r="AM10" s="27" t="str">
        <f aca="false">IF(AO10=0,"",IF(BF10=1,IF(N(AG10)&gt;0,"TERMINATED - forfeit "&amp;TEXT(AG10,"0.##")&amp;" days still in EH","Terminated - nothing in EH"),IF(NOT(EH_Ready),"Paste EH export and map headers on Settings",IF(AND(AB10&gt;0,AF10="No"),"SET UP in EH - add "&amp;TEXT(AB10,"0.##")&amp;" day(s) ("&amp;TEXT(AC10,"0.##")&amp;" hrs)",IF(AK10&gt;0,"ADD "&amp;TEXT(AK10,"0.##")&amp;" day(s) ("&amp;TEXT(AL10,"0.##")&amp;" hrs) in EH",IF(AK10&lt;0,"CHECK - EH shows "&amp;TEXT(-AK10,"0.##")&amp;" days more than policy",IF(AB10&gt;0,"OK - up to date",IF(AY10="None","No action - not eligible","No action - not yet qualified"))))))))</f>
        <v>ADD 2 day(s) (16 hrs) in EH</v>
      </c>
      <c r="AN10" s="27" t="str">
        <f aca="false">IF(AO10=0,"",TRIM(IF(AND($K10&lt;&gt;"",$H10=""),"Change 2 entered without Change 1. ","")&amp;IF(AND($K10&lt;&gt;"",$H10&lt;&gt;"",$K10&lt;=$H10),"Change 2 date not after Change 1. ","")&amp;IF(AND($N10&lt;&gt;"",$O10&lt;&gt;"",$O10&lt;$N10),"Leave To is before Leave From. ","")&amp;IF(AND($N10&lt;&gt;"",$O10=""),"Leave From entered without Leave To. ","")&amp;IF(AND(IFERROR(VLOOKUP(T10,TypeTable,2,0),"None")="PT",U10=""),"Part-time with no hours entered. ","")&amp;IF(AND($H10&lt;&gt;"",$H10&gt;AsOfDate,AD10&lt;&gt;"",$H10&lt;=AD10),"Status change lands before next accrual - review. ","")&amp;IF(AND($Q10&lt;&gt;"",$Q10&lt;$E10),"Termination before commencement. ","")))</f>
        <v/>
      </c>
      <c r="AO10" s="11" t="n">
        <f aca="false">IF(LEN($A10&amp;$B10&amp;$C10)=0,0,IF($E10="",0,1))</f>
        <v>1</v>
      </c>
      <c r="AP10" s="11" t="n">
        <f aca="false">IF(AO10=0,"",(IF(OR($N10="",$O10=""),0,MAX(0,MIN(X10,$O10)-MAX($N10,$E10)+1))+N($P10)))</f>
        <v>0</v>
      </c>
      <c r="AQ10" s="11" t="n">
        <f aca="false">IF(AO10=0,"",IF(X10&lt;($E10+(IF(OR($N10="",$O10=""),0,MAX(0,MIN(X10,$O10)-MAX($N10,$E10)+1))+N($P10))),-1,12*(YEAR(X10)-YEAR(($E10+(IF(OR($N10="",$O10=""),0,MAX(0,MIN(X10,$O10)-MAX($N10,$E10)+1))+N($P10)))))+MONTH(X10)-MONTH(($E10+(IF(OR($N10="",$O10=""),0,MAX(0,MIN(X10,$O10)-MAX($N10,$E10)+1))+N($P10))))-IF(DAY(X10)&lt;MIN(DAY(($E10+(IF(OR($N10="",$O10=""),0,MAX(0,MIN(X10,$O10)-MAX($N10,$E10)+1))+N($P10)))),DAY(EOMONTH(X10,0))),1,0)))</f>
        <v>80</v>
      </c>
      <c r="AR10" s="28" t="n">
        <f aca="false">IF(AO10=0,"",IF($H10="","",IF($H10&gt;X10,"",$H10)))</f>
        <v>45292</v>
      </c>
      <c r="AS10" s="28" t="str">
        <f aca="false">IF(AO10=0,"",IF(AR10="","",IF($K10="","",IF($K10&gt;X10,"",$K10))))</f>
        <v/>
      </c>
      <c r="AT10" s="11" t="n">
        <f aca="false">IF(AO10=0,"",IF(AR10="",AQ10,IF((AR10-1)&lt;($E10+(IF(OR($N10="",$O10=""),0,MAX(0,MIN((AR10-1),$O10)-MAX($N10,$E10)+1))+N($P10))),-1,12*(YEAR((AR10-1))-YEAR(($E10+(IF(OR($N10="",$O10=""),0,MAX(0,MIN((AR10-1),$O10)-MAX($N10,$E10)+1))+N($P10)))))+MONTH((AR10-1))-MONTH(($E10+(IF(OR($N10="",$O10=""),0,MAX(0,MIN((AR10-1),$O10)-MAX($N10,$E10)+1))+N($P10))))-IF(DAY((AR10-1))&lt;MIN(DAY(($E10+(IF(OR($N10="",$O10=""),0,MAX(0,MIN((AR10-1),$O10)-MAX($N10,$E10)+1))+N($P10)))),DAY(EOMONTH((AR10-1),0))),1,0))))</f>
        <v>47</v>
      </c>
      <c r="AU10" s="11" t="n">
        <f aca="false">IF(AO10=0,"",IF(AS10="",AQ10,IF((AS10-1)&lt;($E10+(IF(OR($N10="",$O10=""),0,MAX(0,MIN((AS10-1),$O10)-MAX($N10,$E10)+1))+N($P10))),-1,12*(YEAR((AS10-1))-YEAR(($E10+(IF(OR($N10="",$O10=""),0,MAX(0,MIN((AS10-1),$O10)-MAX($N10,$E10)+1))+N($P10)))))+MONTH((AS10-1))-MONTH(($E10+(IF(OR($N10="",$O10=""),0,MAX(0,MIN((AS10-1),$O10)-MAX($N10,$E10)+1))+N($P10))))-IF(DAY((AS10-1))&lt;MIN(DAY(($E10+(IF(OR($N10="",$O10=""),0,MAX(0,MIN((AS10-1),$O10)-MAX($N10,$E10)+1))+N($P10)))),DAY(EOMONTH((AS10-1),0))),1,0))))</f>
        <v>80</v>
      </c>
      <c r="AV10" s="11" t="str">
        <f aca="false">IF(AO10=0,"",IF($F10="","None",IF(IFERROR(VLOOKUP($F10,TypeTable,2,0),"None")="PT",IF(N($G10)&gt;=PT_MinHours,"PT","None"),IFERROR(VLOOKUP($F10,TypeTable,2,0),"None"))))</f>
        <v>PT</v>
      </c>
      <c r="AW10" s="11" t="str">
        <f aca="false">IF(AO10=0,"",IF($I10="","None",IF(IFERROR(VLOOKUP($I10,TypeTable,2,0),"None")="PT",IF(N($J10)&gt;=PT_MinHours,"PT","None"),IFERROR(VLOOKUP($I10,TypeTable,2,0),"None"))))</f>
        <v>FT</v>
      </c>
      <c r="AX10" s="11" t="str">
        <f aca="false">IF(AO10=0,"",IF($L10="","None",IF(IFERROR(VLOOKUP($L10,TypeTable,2,0),"None")="PT",IF(N($M10)&gt;=PT_MinHours,"PT","None"),IFERROR(VLOOKUP($L10,TypeTable,2,0),"None"))))</f>
        <v>None</v>
      </c>
      <c r="AY10" s="11" t="str">
        <f aca="false">IF(AO10=0,"",IF(AS10&lt;&gt;"",AX10,IF(AR10&lt;&gt;"",AW10,AV10)))</f>
        <v>FT</v>
      </c>
      <c r="AZ10" s="11" t="n">
        <f aca="false">IF(AO10=0,"",IF(AV10="FT",IF(AT10&lt;FT_First,0,IF(AT10&lt;FT_Y5,1+INT((AT10-FT_First)/FT_Int1),FT_PreY5+FT_PerYear*INT((AT10-FT_Y5)/12)+FT_AnnivDays+INT(MOD(AT10-FT_Y5,12)/FT_Int2))),IF(AV10="PT",IF(AT10&lt;PT_First,0,1+INT((AT10-PT_First)/PT_Int)),0)))</f>
        <v>0</v>
      </c>
      <c r="BA10" s="11" t="n">
        <f aca="false">IF(AO10=0,"",IF(AW10="FT",IF(AT10&lt;FT_First,0,IF(AT10&lt;FT_Y5,1+INT((AT10-FT_First)/FT_Int1),FT_PreY5+FT_PerYear*INT((AT10-FT_Y5)/12)+FT_AnnivDays+INT(MOD(AT10-FT_Y5,12)/FT_Int2))),IF(AW10="PT",IF(AT10&lt;PT_First,0,1+INT((AT10-PT_First)/PT_Int)),0)))</f>
        <v>3</v>
      </c>
      <c r="BB10" s="11" t="n">
        <f aca="false">IF(AO10=0,"",IF(AW10="FT",IF(AU10&lt;FT_First,0,IF(AU10&lt;FT_Y5,1+INT((AU10-FT_First)/FT_Int1),FT_PreY5+FT_PerYear*INT((AU10-FT_Y5)/12)+FT_AnnivDays+INT(MOD(AU10-FT_Y5,12)/FT_Int2))),IF(AW10="PT",IF(AU10&lt;PT_First,0,1+INT((AU10-PT_First)/PT_Int)),0)))</f>
        <v>15</v>
      </c>
      <c r="BC10" s="11" t="n">
        <f aca="false">IF(AO10=0,"",IF(AX10="FT",IF(AU10&lt;FT_First,0,IF(AU10&lt;FT_Y5,1+INT((AU10-FT_First)/FT_Int1),FT_PreY5+FT_PerYear*INT((AU10-FT_Y5)/12)+FT_AnnivDays+INT(MOD(AU10-FT_Y5,12)/FT_Int2))),IF(AX10="PT",IF(AU10&lt;PT_First,0,1+INT((AU10-PT_First)/PT_Int)),0)))</f>
        <v>0</v>
      </c>
      <c r="BD10" s="11" t="n">
        <f aca="false">IF(AO10=0,"",IF(AX10="FT",IF(AQ10&lt;FT_First,0,IF(AQ10&lt;FT_Y5,1+INT((AQ10-FT_First)/FT_Int1),FT_PreY5+FT_PerYear*INT((AQ10-FT_Y5)/12)+FT_AnnivDays+INT(MOD(AQ10-FT_Y5,12)/FT_Int2))),IF(AX10="PT",IF(AQ10&lt;PT_First,0,1+INT((AQ10-PT_First)/PT_Int)),0)))</f>
        <v>0</v>
      </c>
      <c r="BE10" s="11" t="n">
        <f aca="false">IF(AO10=0,"",IF(AY10="FT",IF(AQ10&lt;FT_First,FT_First,IF(AQ10&lt;FT_Y5,MIN(FT_Y5,FT_First+FT_Int1*(INT((AQ10-FT_First)/FT_Int1)+1)),FT_Y5+12*INT((AQ10-FT_Y5)/12)+FT_Int2*(INT(MOD(AQ10-FT_Y5,12)/FT_Int2)+1))),IF(AY10="PT",IF(AQ10&lt;PT_First,PT_First,PT_First+PT_Int*(INT((AQ10-PT_First)/PT_Int)+1)),"")))</f>
        <v>81</v>
      </c>
      <c r="BF10" s="11" t="n">
        <f aca="false">IF(AO10=0,0,IF(AND($Q10&lt;&gt;"",$Q10&lt;=AsOfDate),1,0))</f>
        <v>0</v>
      </c>
      <c r="BG10" s="11" t="str">
        <f aca="false">IF(AND(AO10=1,BF10=0,EH_Ready,N(AB10)&gt;0,N(AI10)=0),COUNT($BG$5:BG9)+1,"")</f>
        <v/>
      </c>
      <c r="BH10" s="11" t="n">
        <f aca="false">IF(AND(AO10=1,BF10=0,EH_Ready,N(AB10)&gt;0,N(AI10)&gt;0,N(AK10)&gt;0),COUNT($BH$5:BH9)+1,"")</f>
        <v>2</v>
      </c>
      <c r="BI10" s="11" t="n">
        <f aca="false">IF(AND(AO10=1,OR(LEFT(AM10,3)="ADD",LEFT(AM10,3)="SET",LEFT(AM10,5)="CHECK",LEFT(AM10,10)="TERMINATED")),COUNT($BI$5:BI9)+1,"")</f>
        <v>2</v>
      </c>
      <c r="BJ10" s="11" t="str">
        <f aca="false">IF(AO10=0,"",$A10&amp;" - "&amp;$B10&amp;" "&amp;$C10)</f>
        <v>E005 - Liam Brown</v>
      </c>
    </row>
    <row r="11" customFormat="false" ht="15" hidden="false" customHeight="false" outlineLevel="0" collapsed="false">
      <c r="A11" s="23" t="s">
        <v>226</v>
      </c>
      <c r="B11" s="23" t="s">
        <v>227</v>
      </c>
      <c r="C11" s="23" t="s">
        <v>228</v>
      </c>
      <c r="D11" s="23" t="s">
        <v>130</v>
      </c>
      <c r="E11" s="24" t="n">
        <v>44686</v>
      </c>
      <c r="F11" s="23" t="s">
        <v>123</v>
      </c>
      <c r="G11" s="25" t="n">
        <v>38</v>
      </c>
      <c r="H11" s="24"/>
      <c r="I11" s="23"/>
      <c r="J11" s="25"/>
      <c r="K11" s="24"/>
      <c r="L11" s="23"/>
      <c r="M11" s="25"/>
      <c r="N11" s="24" t="n">
        <v>45689</v>
      </c>
      <c r="O11" s="24" t="n">
        <v>45869</v>
      </c>
      <c r="P11" s="25"/>
      <c r="Q11" s="24"/>
      <c r="R11" s="23" t="s">
        <v>229</v>
      </c>
      <c r="S11" s="11" t="str">
        <f aca="false">IF(AO11=0,"",IF($H11="","",$F11&amp;" -&gt; "&amp;$I11&amp;IF($I11="Part-Time"," ("&amp;N($J11)&amp;" hrs)","")&amp;" on "&amp;TEXT($H11,"dd/mm/yyyy")&amp;IF($H11&gt;AsOfDate," (FUTURE)","")&amp;IF($K11="","","; "&amp;$I11&amp;" -&gt; "&amp;$L11&amp;IF($L11="Part-Time"," ("&amp;N($M11)&amp;" hrs)","")&amp;" on "&amp;TEXT($K11,"dd/mm/yyyy")&amp;IF($K11&gt;AsOfDate," (FUTURE)",""))))</f>
        <v/>
      </c>
      <c r="T11" s="11" t="str">
        <f aca="false">IF(AO11=0,"",IF(AS11&lt;&gt;"",$L11,IF(AR11&lt;&gt;"",$I11,$F11)))</f>
        <v>Full-Time</v>
      </c>
      <c r="U11" s="26" t="n">
        <f aca="false">IF(AO11=0,"",IF(AS11&lt;&gt;"",$M11,IF(AR11&lt;&gt;"",$J11,$G11)))</f>
        <v>38</v>
      </c>
      <c r="V11" s="11" t="str">
        <f aca="false">IF(AO11=0,"",IF(AY11="FT","Full-Time",IF(AY11="PT","Part-Time","Not eligible")))</f>
        <v>Full-Time</v>
      </c>
      <c r="W11" s="27" t="str">
        <f aca="false">IF(AO11=0,"",IF(AR11="",IF(AND($H11&lt;&gt;"",$H11&gt;AsOfDate),"Future change - not yet applied",""),IF(AND(AV11=AY11,OR(AS11="",AW11=AV11)),"Type changed - same accrual pathway",IF(AY11="None","STOPPED accruing from "&amp;TEXT(IF(AS11&lt;&gt;"",AS11,AR11),"dd/mm/yyyy"),IF(AV11="None","STARTED qualifying from "&amp;TEXT(IF(AS11&lt;&gt;"",AS11,AR11),"dd/mm/yyyy"),"Pathway changed "&amp;AV11&amp;" -&gt; "&amp;AW11&amp;IF(AS11&lt;&gt;""," -&gt; "&amp;AX11,"")&amp;" from "&amp;TEXT(IF(AS11&lt;&gt;"",AS11,AR11),"dd/mm/yyyy"))))))</f>
        <v/>
      </c>
      <c r="X11" s="28" t="n">
        <f aca="false">IF(AO11=0,"",IF($Q11="",AsOfDate,MIN(AsOfDate,$Q11)))</f>
        <v>46295</v>
      </c>
      <c r="Y11" s="26" t="n">
        <f aca="false">IF(AO11=0,"",MAX(0,AQ11))</f>
        <v>46</v>
      </c>
      <c r="Z11" s="11" t="str">
        <f aca="false">IF(AO11=0,"",IF(AQ11&lt;0,"Not started",INT(AQ11/12)&amp;"y "&amp;MOD(AQ11,12)&amp;"m"))</f>
        <v>3y 10m</v>
      </c>
      <c r="AA11" s="27" t="str">
        <f aca="false">IF(AO11=0,"",IF(BF11=1,"Terminated - balance forfeited",IF(AY11="None",IF(AB11&gt;0,"No longer accruing - "&amp;T11,"Not eligible - "&amp;T11&amp;IF(AND(IFERROR(VLOOKUP(T11,TypeTable,2,0),"None")="PT",N(U11)&lt;PT_MinHours)," (under "&amp;PT_MinHours&amp;" hrs)","")),IF(AB11&gt;0,"Yes - accruing","Not yet - qualifies "&amp;TEXT(AD11,"dd/mm/yyyy")))))</f>
        <v>Yes - accruing</v>
      </c>
      <c r="AB11" s="26" t="n">
        <f aca="false">IF(AO11=0,"",AZ11+IF(AR11="",0,BB11-BA11)+IF(AS11="",0,BD11-BC11))</f>
        <v>3</v>
      </c>
      <c r="AC11" s="26" t="n">
        <f aca="false">IF(AO11=0,"",AB11*HoursPerDay)</f>
        <v>24</v>
      </c>
      <c r="AD11" s="28" t="n">
        <f aca="false">IF(AO11=0,"",IF(OR(BF11=1,AY11="None"),"",EDATE($E11+AP11,BE11)))</f>
        <v>46328</v>
      </c>
      <c r="AE11" s="26" t="n">
        <f aca="false">IF(AD11="","",IF(AY11="PT",1,IF(BE11&lt;FT_Y5,1,IF(MOD(BE11-FT_Y5,12)=0,FT_AnnivDays,1))))</f>
        <v>1</v>
      </c>
      <c r="AF11" s="27" t="str">
        <f aca="false">IF(AO11=0,"",IF(NOT(EH_Ready),"Map headers",IF(IF(MatchMode="Employee ID",COUNTIFS(INDEX(EH_Data,0,EH_ColID),$A11,INDEX(EH_Data,0,EH_ColCat),BonusCat),COUNTIFS(INDEX(EH_Data,0,EH_ColFirst),$B11,INDEX(EH_Data,0,EH_ColSur),$C11,INDEX(EH_Data,0,EH_ColCat),BonusCat))&gt;0,"Yes","No")))</f>
        <v>No</v>
      </c>
      <c r="AG11" s="26" t="n">
        <f aca="false">IF(AO11=0,"",IF(NOT(EH_Ready),"",IF(MatchMode="Employee ID",SUMIFS(INDEX(EH_Data,0,EH_ColBal),INDEX(EH_Data,0,EH_ColID),$A11,INDEX(EH_Data,0,EH_ColCat),BonusCat),SUMIFS(INDEX(EH_Data,0,EH_ColBal),INDEX(EH_Data,0,EH_ColFirst),$B11,INDEX(EH_Data,0,EH_ColSur),$C11,INDEX(EH_Data,0,EH_ColCat),BonusCat))/IF(EHUnit="Hours",HoursPerDay,1)))</f>
        <v>0</v>
      </c>
      <c r="AH11" s="26" t="n">
        <f aca="false">IF(AO11=0,"",IF(NOT(TK_Ready),0,IF(MatchMode="Employee ID",SUMIFS(INDEX(TK_Data,0,TK_ColAmt),INDEX(TK_Data,0,TK_ColID),$A11,INDEX(TK_Data,0,TK_ColCat),BonusCat),SUMIFS(INDEX(TK_Data,0,TK_ColAmt),INDEX(TK_Data,0,TK_ColFirst),$B11,INDEX(TK_Data,0,TK_ColSur),$C11,INDEX(TK_Data,0,TK_ColCat),BonusCat))/IF(TKUnit="Hours",HoursPerDay,1)))</f>
        <v>0</v>
      </c>
      <c r="AI11" s="26" t="n">
        <f aca="false">IF(AO11=0,"",N(AG11)+N(AH11))</f>
        <v>0</v>
      </c>
      <c r="AJ11" s="29" t="n">
        <f aca="false">IF(AO11=0,"",IF(NOT(AND(EH_Ready,EH_ValReady)),"",IF(MatchMode="Employee ID",SUMIFS(INDEX(EH_Data,0,EH_ColVal),INDEX(EH_Data,0,EH_ColID),$A11,INDEX(EH_Data,0,EH_ColCat),BonusCat),SUMIFS(INDEX(EH_Data,0,EH_ColVal),INDEX(EH_Data,0,EH_ColFirst),$B11,INDEX(EH_Data,0,EH_ColSur),$C11,INDEX(EH_Data,0,EH_ColCat),BonusCat))))</f>
        <v>0</v>
      </c>
      <c r="AK11" s="26" t="n">
        <f aca="false">IF(AO11=0,"",IF(OR(NOT(EH_Ready),BF11=1),"",AB11-AI11))</f>
        <v>3</v>
      </c>
      <c r="AL11" s="26" t="n">
        <f aca="false">IF(AK11="","",AK11*HoursPerDay)</f>
        <v>24</v>
      </c>
      <c r="AM11" s="27" t="str">
        <f aca="false">IF(AO11=0,"",IF(BF11=1,IF(N(AG11)&gt;0,"TERMINATED - forfeit "&amp;TEXT(AG11,"0.##")&amp;" days still in EH","Terminated - nothing in EH"),IF(NOT(EH_Ready),"Paste EH export and map headers on Settings",IF(AND(AB11&gt;0,AF11="No"),"SET UP in EH - add "&amp;TEXT(AB11,"0.##")&amp;" day(s) ("&amp;TEXT(AC11,"0.##")&amp;" hrs)",IF(AK11&gt;0,"ADD "&amp;TEXT(AK11,"0.##")&amp;" day(s) ("&amp;TEXT(AL11,"0.##")&amp;" hrs) in EH",IF(AK11&lt;0,"CHECK - EH shows "&amp;TEXT(-AK11,"0.##")&amp;" days more than policy",IF(AB11&gt;0,"OK - up to date",IF(AY11="None","No action - not eligible","No action - not yet qualified"))))))))</f>
        <v>SET UP in EH - add 3 day(s) (24 hrs)</v>
      </c>
      <c r="AN11" s="27" t="str">
        <f aca="false">IF(AO11=0,"",TRIM(IF(AND($K11&lt;&gt;"",$H11=""),"Change 2 entered without Change 1. ","")&amp;IF(AND($K11&lt;&gt;"",$H11&lt;&gt;"",$K11&lt;=$H11),"Change 2 date not after Change 1. ","")&amp;IF(AND($N11&lt;&gt;"",$O11&lt;&gt;"",$O11&lt;$N11),"Leave To is before Leave From. ","")&amp;IF(AND($N11&lt;&gt;"",$O11=""),"Leave From entered without Leave To. ","")&amp;IF(AND(IFERROR(VLOOKUP(T11,TypeTable,2,0),"None")="PT",U11=""),"Part-time with no hours entered. ","")&amp;IF(AND($H11&lt;&gt;"",$H11&gt;AsOfDate,AD11&lt;&gt;"",$H11&lt;=AD11),"Status change lands before next accrual - review. ","")&amp;IF(AND($Q11&lt;&gt;"",$Q11&lt;$E11),"Termination before commencement. ","")))</f>
        <v/>
      </c>
      <c r="AO11" s="11" t="n">
        <f aca="false">IF(LEN($A11&amp;$B11&amp;$C11)=0,0,IF($E11="",0,1))</f>
        <v>1</v>
      </c>
      <c r="AP11" s="11" t="n">
        <f aca="false">IF(AO11=0,"",(IF(OR($N11="",$O11=""),0,MAX(0,MIN(X11,$O11)-MAX($N11,$E11)+1))+N($P11)))</f>
        <v>181</v>
      </c>
      <c r="AQ11" s="11" t="n">
        <f aca="false">IF(AO11=0,"",IF(X11&lt;($E11+(IF(OR($N11="",$O11=""),0,MAX(0,MIN(X11,$O11)-MAX($N11,$E11)+1))+N($P11))),-1,12*(YEAR(X11)-YEAR(($E11+(IF(OR($N11="",$O11=""),0,MAX(0,MIN(X11,$O11)-MAX($N11,$E11)+1))+N($P11)))))+MONTH(X11)-MONTH(($E11+(IF(OR($N11="",$O11=""),0,MAX(0,MIN(X11,$O11)-MAX($N11,$E11)+1))+N($P11))))-IF(DAY(X11)&lt;MIN(DAY(($E11+(IF(OR($N11="",$O11=""),0,MAX(0,MIN(X11,$O11)-MAX($N11,$E11)+1))+N($P11)))),DAY(EOMONTH(X11,0))),1,0)))</f>
        <v>46</v>
      </c>
      <c r="AR11" s="28" t="str">
        <f aca="false">IF(AO11=0,"",IF($H11="","",IF($H11&gt;X11,"",$H11)))</f>
        <v/>
      </c>
      <c r="AS11" s="28" t="str">
        <f aca="false">IF(AO11=0,"",IF(AR11="","",IF($K11="","",IF($K11&gt;X11,"",$K11))))</f>
        <v/>
      </c>
      <c r="AT11" s="11" t="n">
        <f aca="false">IF(AO11=0,"",IF(AR11="",AQ11,IF((AR11-1)&lt;($E11+(IF(OR($N11="",$O11=""),0,MAX(0,MIN((AR11-1),$O11)-MAX($N11,$E11)+1))+N($P11))),-1,12*(YEAR((AR11-1))-YEAR(($E11+(IF(OR($N11="",$O11=""),0,MAX(0,MIN((AR11-1),$O11)-MAX($N11,$E11)+1))+N($P11)))))+MONTH((AR11-1))-MONTH(($E11+(IF(OR($N11="",$O11=""),0,MAX(0,MIN((AR11-1),$O11)-MAX($N11,$E11)+1))+N($P11))))-IF(DAY((AR11-1))&lt;MIN(DAY(($E11+(IF(OR($N11="",$O11=""),0,MAX(0,MIN((AR11-1),$O11)-MAX($N11,$E11)+1))+N($P11)))),DAY(EOMONTH((AR11-1),0))),1,0))))</f>
        <v>46</v>
      </c>
      <c r="AU11" s="11" t="n">
        <f aca="false">IF(AO11=0,"",IF(AS11="",AQ11,IF((AS11-1)&lt;($E11+(IF(OR($N11="",$O11=""),0,MAX(0,MIN((AS11-1),$O11)-MAX($N11,$E11)+1))+N($P11))),-1,12*(YEAR((AS11-1))-YEAR(($E11+(IF(OR($N11="",$O11=""),0,MAX(0,MIN((AS11-1),$O11)-MAX($N11,$E11)+1))+N($P11)))))+MONTH((AS11-1))-MONTH(($E11+(IF(OR($N11="",$O11=""),0,MAX(0,MIN((AS11-1),$O11)-MAX($N11,$E11)+1))+N($P11))))-IF(DAY((AS11-1))&lt;MIN(DAY(($E11+(IF(OR($N11="",$O11=""),0,MAX(0,MIN((AS11-1),$O11)-MAX($N11,$E11)+1))+N($P11)))),DAY(EOMONTH((AS11-1),0))),1,0))))</f>
        <v>46</v>
      </c>
      <c r="AV11" s="11" t="str">
        <f aca="false">IF(AO11=0,"",IF($F11="","None",IF(IFERROR(VLOOKUP($F11,TypeTable,2,0),"None")="PT",IF(N($G11)&gt;=PT_MinHours,"PT","None"),IFERROR(VLOOKUP($F11,TypeTable,2,0),"None"))))</f>
        <v>FT</v>
      </c>
      <c r="AW11" s="11" t="str">
        <f aca="false">IF(AO11=0,"",IF($I11="","None",IF(IFERROR(VLOOKUP($I11,TypeTable,2,0),"None")="PT",IF(N($J11)&gt;=PT_MinHours,"PT","None"),IFERROR(VLOOKUP($I11,TypeTable,2,0),"None"))))</f>
        <v>None</v>
      </c>
      <c r="AX11" s="11" t="str">
        <f aca="false">IF(AO11=0,"",IF($L11="","None",IF(IFERROR(VLOOKUP($L11,TypeTable,2,0),"None")="PT",IF(N($M11)&gt;=PT_MinHours,"PT","None"),IFERROR(VLOOKUP($L11,TypeTable,2,0),"None"))))</f>
        <v>None</v>
      </c>
      <c r="AY11" s="11" t="str">
        <f aca="false">IF(AO11=0,"",IF(AS11&lt;&gt;"",AX11,IF(AR11&lt;&gt;"",AW11,AV11)))</f>
        <v>FT</v>
      </c>
      <c r="AZ11" s="11" t="n">
        <f aca="false">IF(AO11=0,"",IF(AV11="FT",IF(AT11&lt;FT_First,0,IF(AT11&lt;FT_Y5,1+INT((AT11-FT_First)/FT_Int1),FT_PreY5+FT_PerYear*INT((AT11-FT_Y5)/12)+FT_AnnivDays+INT(MOD(AT11-FT_Y5,12)/FT_Int2))),IF(AV11="PT",IF(AT11&lt;PT_First,0,1+INT((AT11-PT_First)/PT_Int)),0)))</f>
        <v>3</v>
      </c>
      <c r="BA11" s="11" t="n">
        <f aca="false">IF(AO11=0,"",IF(AW11="FT",IF(AT11&lt;FT_First,0,IF(AT11&lt;FT_Y5,1+INT((AT11-FT_First)/FT_Int1),FT_PreY5+FT_PerYear*INT((AT11-FT_Y5)/12)+FT_AnnivDays+INT(MOD(AT11-FT_Y5,12)/FT_Int2))),IF(AW11="PT",IF(AT11&lt;PT_First,0,1+INT((AT11-PT_First)/PT_Int)),0)))</f>
        <v>0</v>
      </c>
      <c r="BB11" s="11" t="n">
        <f aca="false">IF(AO11=0,"",IF(AW11="FT",IF(AU11&lt;FT_First,0,IF(AU11&lt;FT_Y5,1+INT((AU11-FT_First)/FT_Int1),FT_PreY5+FT_PerYear*INT((AU11-FT_Y5)/12)+FT_AnnivDays+INT(MOD(AU11-FT_Y5,12)/FT_Int2))),IF(AW11="PT",IF(AU11&lt;PT_First,0,1+INT((AU11-PT_First)/PT_Int)),0)))</f>
        <v>0</v>
      </c>
      <c r="BC11" s="11" t="n">
        <f aca="false">IF(AO11=0,"",IF(AX11="FT",IF(AU11&lt;FT_First,0,IF(AU11&lt;FT_Y5,1+INT((AU11-FT_First)/FT_Int1),FT_PreY5+FT_PerYear*INT((AU11-FT_Y5)/12)+FT_AnnivDays+INT(MOD(AU11-FT_Y5,12)/FT_Int2))),IF(AX11="PT",IF(AU11&lt;PT_First,0,1+INT((AU11-PT_First)/PT_Int)),0)))</f>
        <v>0</v>
      </c>
      <c r="BD11" s="11" t="n">
        <f aca="false">IF(AO11=0,"",IF(AX11="FT",IF(AQ11&lt;FT_First,0,IF(AQ11&lt;FT_Y5,1+INT((AQ11-FT_First)/FT_Int1),FT_PreY5+FT_PerYear*INT((AQ11-FT_Y5)/12)+FT_AnnivDays+INT(MOD(AQ11-FT_Y5,12)/FT_Int2))),IF(AX11="PT",IF(AQ11&lt;PT_First,0,1+INT((AQ11-PT_First)/PT_Int)),0)))</f>
        <v>0</v>
      </c>
      <c r="BE11" s="11" t="n">
        <f aca="false">IF(AO11=0,"",IF(AY11="FT",IF(AQ11&lt;FT_First,FT_First,IF(AQ11&lt;FT_Y5,MIN(FT_Y5,FT_First+FT_Int1*(INT((AQ11-FT_First)/FT_Int1)+1)),FT_Y5+12*INT((AQ11-FT_Y5)/12)+FT_Int2*(INT(MOD(AQ11-FT_Y5,12)/FT_Int2)+1))),IF(AY11="PT",IF(AQ11&lt;PT_First,PT_First,PT_First+PT_Int*(INT((AQ11-PT_First)/PT_Int)+1)),"")))</f>
        <v>48</v>
      </c>
      <c r="BF11" s="11" t="n">
        <f aca="false">IF(AO11=0,0,IF(AND($Q11&lt;&gt;"",$Q11&lt;=AsOfDate),1,0))</f>
        <v>0</v>
      </c>
      <c r="BG11" s="11" t="n">
        <f aca="false">IF(AND(AO11=1,BF11=0,EH_Ready,N(AB11)&gt;0,N(AI11)=0),COUNT($BG$5:BG10)+1,"")</f>
        <v>1</v>
      </c>
      <c r="BH11" s="11" t="str">
        <f aca="false">IF(AND(AO11=1,BF11=0,EH_Ready,N(AB11)&gt;0,N(AI11)&gt;0,N(AK11)&gt;0),COUNT($BH$5:BH10)+1,"")</f>
        <v/>
      </c>
      <c r="BI11" s="11" t="n">
        <f aca="false">IF(AND(AO11=1,OR(LEFT(AM11,3)="ADD",LEFT(AM11,3)="SET",LEFT(AM11,5)="CHECK",LEFT(AM11,10)="TERMINATED")),COUNT($BI$5:BI10)+1,"")</f>
        <v>3</v>
      </c>
      <c r="BJ11" s="11" t="str">
        <f aca="false">IF(AO11=0,"",$A11&amp;" - "&amp;$B11&amp;" "&amp;$C11)</f>
        <v>E006 - Olivia Smith</v>
      </c>
    </row>
    <row r="12" customFormat="false" ht="15" hidden="false" customHeight="false" outlineLevel="0" collapsed="false">
      <c r="A12" s="23" t="s">
        <v>230</v>
      </c>
      <c r="B12" s="23" t="s">
        <v>231</v>
      </c>
      <c r="C12" s="23" t="s">
        <v>232</v>
      </c>
      <c r="D12" s="23" t="s">
        <v>132</v>
      </c>
      <c r="E12" s="24" t="n">
        <v>43313</v>
      </c>
      <c r="F12" s="23" t="s">
        <v>123</v>
      </c>
      <c r="G12" s="25" t="n">
        <v>38</v>
      </c>
      <c r="H12" s="24"/>
      <c r="I12" s="23"/>
      <c r="J12" s="25"/>
      <c r="K12" s="24"/>
      <c r="L12" s="23"/>
      <c r="M12" s="25"/>
      <c r="N12" s="24"/>
      <c r="O12" s="24"/>
      <c r="P12" s="25"/>
      <c r="Q12" s="24" t="n">
        <v>46249</v>
      </c>
      <c r="R12" s="23" t="s">
        <v>233</v>
      </c>
      <c r="S12" s="11" t="str">
        <f aca="false">IF(AO12=0,"",IF($H12="","",$F12&amp;" -&gt; "&amp;$I12&amp;IF($I12="Part-Time"," ("&amp;N($J12)&amp;" hrs)","")&amp;" on "&amp;TEXT($H12,"dd/mm/yyyy")&amp;IF($H12&gt;AsOfDate," (FUTURE)","")&amp;IF($K12="","","; "&amp;$I12&amp;" -&gt; "&amp;$L12&amp;IF($L12="Part-Time"," ("&amp;N($M12)&amp;" hrs)","")&amp;" on "&amp;TEXT($K12,"dd/mm/yyyy")&amp;IF($K12&gt;AsOfDate," (FUTURE)",""))))</f>
        <v/>
      </c>
      <c r="T12" s="11" t="str">
        <f aca="false">IF(AO12=0,"",IF(AS12&lt;&gt;"",$L12,IF(AR12&lt;&gt;"",$I12,$F12)))</f>
        <v>Full-Time</v>
      </c>
      <c r="U12" s="26" t="n">
        <f aca="false">IF(AO12=0,"",IF(AS12&lt;&gt;"",$M12,IF(AR12&lt;&gt;"",$J12,$G12)))</f>
        <v>38</v>
      </c>
      <c r="V12" s="11" t="str">
        <f aca="false">IF(AO12=0,"",IF(AY12="FT","Full-Time",IF(AY12="PT","Part-Time","Not eligible")))</f>
        <v>Full-Time</v>
      </c>
      <c r="W12" s="27" t="str">
        <f aca="false">IF(AO12=0,"",IF(AR12="",IF(AND($H12&lt;&gt;"",$H12&gt;AsOfDate),"Future change - not yet applied",""),IF(AND(AV12=AY12,OR(AS12="",AW12=AV12)),"Type changed - same accrual pathway",IF(AY12="None","STOPPED accruing from "&amp;TEXT(IF(AS12&lt;&gt;"",AS12,AR12),"dd/mm/yyyy"),IF(AV12="None","STARTED qualifying from "&amp;TEXT(IF(AS12&lt;&gt;"",AS12,AR12),"dd/mm/yyyy"),"Pathway changed "&amp;AV12&amp;" -&gt; "&amp;AW12&amp;IF(AS12&lt;&gt;""," -&gt; "&amp;AX12,"")&amp;" from "&amp;TEXT(IF(AS12&lt;&gt;"",AS12,AR12),"dd/mm/yyyy"))))))</f>
        <v/>
      </c>
      <c r="X12" s="28" t="n">
        <f aca="false">IF(AO12=0,"",IF($Q12="",AsOfDate,MIN(AsOfDate,$Q12)))</f>
        <v>46249</v>
      </c>
      <c r="Y12" s="26" t="n">
        <f aca="false">IF(AO12=0,"",MAX(0,AQ12))</f>
        <v>96</v>
      </c>
      <c r="Z12" s="11" t="str">
        <f aca="false">IF(AO12=0,"",IF(AQ12&lt;0,"Not started",INT(AQ12/12)&amp;"y "&amp;MOD(AQ12,12)&amp;"m"))</f>
        <v>8y 0m</v>
      </c>
      <c r="AA12" s="27" t="str">
        <f aca="false">IF(AO12=0,"",IF(BF12=1,"Terminated - balance forfeited",IF(AY12="None",IF(AB12&gt;0,"No longer accruing - "&amp;T12,"Not eligible - "&amp;T12&amp;IF(AND(IFERROR(VLOOKUP(T12,TypeTable,2,0),"None")="PT",N(U12)&lt;PT_MinHours)," (under "&amp;PT_MinHours&amp;" hrs)","")),IF(AB12&gt;0,"Yes - accruing","Not yet - qualifies "&amp;TEXT(AD12,"dd/mm/yyyy")))))</f>
        <v>Terminated - balance forfeited</v>
      </c>
      <c r="AB12" s="26" t="n">
        <f aca="false">IF(AO12=0,"",AZ12+IF(AR12="",0,BB12-BA12)+IF(AS12="",0,BD12-BC12))</f>
        <v>23</v>
      </c>
      <c r="AC12" s="26" t="n">
        <f aca="false">IF(AO12=0,"",AB12*HoursPerDay)</f>
        <v>184</v>
      </c>
      <c r="AD12" s="28" t="str">
        <f aca="false">IF(AO12=0,"",IF(OR(BF12=1,AY12="None"),"",EDATE($E12+AP12,BE12)))</f>
        <v/>
      </c>
      <c r="AE12" s="26" t="str">
        <f aca="false">IF(AD12="","",IF(AY12="PT",1,IF(BE12&lt;FT_Y5,1,IF(MOD(BE12-FT_Y5,12)=0,FT_AnnivDays,1))))</f>
        <v/>
      </c>
      <c r="AF12" s="27" t="str">
        <f aca="false">IF(AO12=0,"",IF(NOT(EH_Ready),"Map headers",IF(IF(MatchMode="Employee ID",COUNTIFS(INDEX(EH_Data,0,EH_ColID),$A12,INDEX(EH_Data,0,EH_ColCat),BonusCat),COUNTIFS(INDEX(EH_Data,0,EH_ColFirst),$B12,INDEX(EH_Data,0,EH_ColSur),$C12,INDEX(EH_Data,0,EH_ColCat),BonusCat))&gt;0,"Yes","No")))</f>
        <v>Yes</v>
      </c>
      <c r="AG12" s="26" t="n">
        <f aca="false">IF(AO12=0,"",IF(NOT(EH_Ready),"",IF(MatchMode="Employee ID",SUMIFS(INDEX(EH_Data,0,EH_ColBal),INDEX(EH_Data,0,EH_ColID),$A12,INDEX(EH_Data,0,EH_ColCat),BonusCat),SUMIFS(INDEX(EH_Data,0,EH_ColBal),INDEX(EH_Data,0,EH_ColFirst),$B12,INDEX(EH_Data,0,EH_ColSur),$C12,INDEX(EH_Data,0,EH_ColCat),BonusCat))/IF(EHUnit="Hours",HoursPerDay,1)))</f>
        <v>5</v>
      </c>
      <c r="AH12" s="26" t="n">
        <f aca="false">IF(AO12=0,"",IF(NOT(TK_Ready),0,IF(MatchMode="Employee ID",SUMIFS(INDEX(TK_Data,0,TK_ColAmt),INDEX(TK_Data,0,TK_ColID),$A12,INDEX(TK_Data,0,TK_ColCat),BonusCat),SUMIFS(INDEX(TK_Data,0,TK_ColAmt),INDEX(TK_Data,0,TK_ColFirst),$B12,INDEX(TK_Data,0,TK_ColSur),$C12,INDEX(TK_Data,0,TK_ColCat),BonusCat))/IF(TKUnit="Hours",HoursPerDay,1)))</f>
        <v>0</v>
      </c>
      <c r="AI12" s="26" t="n">
        <f aca="false">IF(AO12=0,"",N(AG12)+N(AH12))</f>
        <v>5</v>
      </c>
      <c r="AJ12" s="29" t="n">
        <f aca="false">IF(AO12=0,"",IF(NOT(AND(EH_Ready,EH_ValReady)),"",IF(MatchMode="Employee ID",SUMIFS(INDEX(EH_Data,0,EH_ColVal),INDEX(EH_Data,0,EH_ColID),$A12,INDEX(EH_Data,0,EH_ColCat),BonusCat),SUMIFS(INDEX(EH_Data,0,EH_ColVal),INDEX(EH_Data,0,EH_ColFirst),$B12,INDEX(EH_Data,0,EH_ColSur),$C12,INDEX(EH_Data,0,EH_ColCat),BonusCat))))</f>
        <v>1800</v>
      </c>
      <c r="AK12" s="26" t="str">
        <f aca="false">IF(AO12=0,"",IF(OR(NOT(EH_Ready),BF12=1),"",AB12-AI12))</f>
        <v/>
      </c>
      <c r="AL12" s="26" t="str">
        <f aca="false">IF(AK12="","",AK12*HoursPerDay)</f>
        <v/>
      </c>
      <c r="AM12" s="27" t="str">
        <f aca="false">IF(AO12=0,"",IF(BF12=1,IF(N(AG12)&gt;0,"TERMINATED - forfeit "&amp;TEXT(AG12,"0.##")&amp;" days still in EH","Terminated - nothing in EH"),IF(NOT(EH_Ready),"Paste EH export and map headers on Settings",IF(AND(AB12&gt;0,AF12="No"),"SET UP in EH - add "&amp;TEXT(AB12,"0.##")&amp;" day(s) ("&amp;TEXT(AC12,"0.##")&amp;" hrs)",IF(AK12&gt;0,"ADD "&amp;TEXT(AK12,"0.##")&amp;" day(s) ("&amp;TEXT(AL12,"0.##")&amp;" hrs) in EH",IF(AK12&lt;0,"CHECK - EH shows "&amp;TEXT(-AK12,"0.##")&amp;" days more than policy",IF(AB12&gt;0,"OK - up to date",IF(AY12="None","No action - not eligible","No action - not yet qualified"))))))))</f>
        <v>TERMINATED - forfeit 5 days still in EH</v>
      </c>
      <c r="AN12" s="27" t="str">
        <f aca="false">IF(AO12=0,"",TRIM(IF(AND($K12&lt;&gt;"",$H12=""),"Change 2 entered without Change 1. ","")&amp;IF(AND($K12&lt;&gt;"",$H12&lt;&gt;"",$K12&lt;=$H12),"Change 2 date not after Change 1. ","")&amp;IF(AND($N12&lt;&gt;"",$O12&lt;&gt;"",$O12&lt;$N12),"Leave To is before Leave From. ","")&amp;IF(AND($N12&lt;&gt;"",$O12=""),"Leave From entered without Leave To. ","")&amp;IF(AND(IFERROR(VLOOKUP(T12,TypeTable,2,0),"None")="PT",U12=""),"Part-time with no hours entered. ","")&amp;IF(AND($H12&lt;&gt;"",$H12&gt;AsOfDate,AD12&lt;&gt;"",$H12&lt;=AD12),"Status change lands before next accrual - review. ","")&amp;IF(AND($Q12&lt;&gt;"",$Q12&lt;$E12),"Termination before commencement. ","")))</f>
        <v/>
      </c>
      <c r="AO12" s="11" t="n">
        <f aca="false">IF(LEN($A12&amp;$B12&amp;$C12)=0,0,IF($E12="",0,1))</f>
        <v>1</v>
      </c>
      <c r="AP12" s="11" t="n">
        <f aca="false">IF(AO12=0,"",(IF(OR($N12="",$O12=""),0,MAX(0,MIN(X12,$O12)-MAX($N12,$E12)+1))+N($P12)))</f>
        <v>0</v>
      </c>
      <c r="AQ12" s="11" t="n">
        <f aca="false">IF(AO12=0,"",IF(X12&lt;($E12+(IF(OR($N12="",$O12=""),0,MAX(0,MIN(X12,$O12)-MAX($N12,$E12)+1))+N($P12))),-1,12*(YEAR(X12)-YEAR(($E12+(IF(OR($N12="",$O12=""),0,MAX(0,MIN(X12,$O12)-MAX($N12,$E12)+1))+N($P12)))))+MONTH(X12)-MONTH(($E12+(IF(OR($N12="",$O12=""),0,MAX(0,MIN(X12,$O12)-MAX($N12,$E12)+1))+N($P12))))-IF(DAY(X12)&lt;MIN(DAY(($E12+(IF(OR($N12="",$O12=""),0,MAX(0,MIN(X12,$O12)-MAX($N12,$E12)+1))+N($P12)))),DAY(EOMONTH(X12,0))),1,0)))</f>
        <v>96</v>
      </c>
      <c r="AR12" s="28" t="str">
        <f aca="false">IF(AO12=0,"",IF($H12="","",IF($H12&gt;X12,"",$H12)))</f>
        <v/>
      </c>
      <c r="AS12" s="28" t="str">
        <f aca="false">IF(AO12=0,"",IF(AR12="","",IF($K12="","",IF($K12&gt;X12,"",$K12))))</f>
        <v/>
      </c>
      <c r="AT12" s="11" t="n">
        <f aca="false">IF(AO12=0,"",IF(AR12="",AQ12,IF((AR12-1)&lt;($E12+(IF(OR($N12="",$O12=""),0,MAX(0,MIN((AR12-1),$O12)-MAX($N12,$E12)+1))+N($P12))),-1,12*(YEAR((AR12-1))-YEAR(($E12+(IF(OR($N12="",$O12=""),0,MAX(0,MIN((AR12-1),$O12)-MAX($N12,$E12)+1))+N($P12)))))+MONTH((AR12-1))-MONTH(($E12+(IF(OR($N12="",$O12=""),0,MAX(0,MIN((AR12-1),$O12)-MAX($N12,$E12)+1))+N($P12))))-IF(DAY((AR12-1))&lt;MIN(DAY(($E12+(IF(OR($N12="",$O12=""),0,MAX(0,MIN((AR12-1),$O12)-MAX($N12,$E12)+1))+N($P12)))),DAY(EOMONTH((AR12-1),0))),1,0))))</f>
        <v>96</v>
      </c>
      <c r="AU12" s="11" t="n">
        <f aca="false">IF(AO12=0,"",IF(AS12="",AQ12,IF((AS12-1)&lt;($E12+(IF(OR($N12="",$O12=""),0,MAX(0,MIN((AS12-1),$O12)-MAX($N12,$E12)+1))+N($P12))),-1,12*(YEAR((AS12-1))-YEAR(($E12+(IF(OR($N12="",$O12=""),0,MAX(0,MIN((AS12-1),$O12)-MAX($N12,$E12)+1))+N($P12)))))+MONTH((AS12-1))-MONTH(($E12+(IF(OR($N12="",$O12=""),0,MAX(0,MIN((AS12-1),$O12)-MAX($N12,$E12)+1))+N($P12))))-IF(DAY((AS12-1))&lt;MIN(DAY(($E12+(IF(OR($N12="",$O12=""),0,MAX(0,MIN((AS12-1),$O12)-MAX($N12,$E12)+1))+N($P12)))),DAY(EOMONTH((AS12-1),0))),1,0))))</f>
        <v>96</v>
      </c>
      <c r="AV12" s="11" t="str">
        <f aca="false">IF(AO12=0,"",IF($F12="","None",IF(IFERROR(VLOOKUP($F12,TypeTable,2,0),"None")="PT",IF(N($G12)&gt;=PT_MinHours,"PT","None"),IFERROR(VLOOKUP($F12,TypeTable,2,0),"None"))))</f>
        <v>FT</v>
      </c>
      <c r="AW12" s="11" t="str">
        <f aca="false">IF(AO12=0,"",IF($I12="","None",IF(IFERROR(VLOOKUP($I12,TypeTable,2,0),"None")="PT",IF(N($J12)&gt;=PT_MinHours,"PT","None"),IFERROR(VLOOKUP($I12,TypeTable,2,0),"None"))))</f>
        <v>None</v>
      </c>
      <c r="AX12" s="11" t="str">
        <f aca="false">IF(AO12=0,"",IF($L12="","None",IF(IFERROR(VLOOKUP($L12,TypeTable,2,0),"None")="PT",IF(N($M12)&gt;=PT_MinHours,"PT","None"),IFERROR(VLOOKUP($L12,TypeTable,2,0),"None"))))</f>
        <v>None</v>
      </c>
      <c r="AY12" s="11" t="str">
        <f aca="false">IF(AO12=0,"",IF(AS12&lt;&gt;"",AX12,IF(AR12&lt;&gt;"",AW12,AV12)))</f>
        <v>FT</v>
      </c>
      <c r="AZ12" s="11" t="n">
        <f aca="false">IF(AO12=0,"",IF(AV12="FT",IF(AT12&lt;FT_First,0,IF(AT12&lt;FT_Y5,1+INT((AT12-FT_First)/FT_Int1),FT_PreY5+FT_PerYear*INT((AT12-FT_Y5)/12)+FT_AnnivDays+INT(MOD(AT12-FT_Y5,12)/FT_Int2))),IF(AV12="PT",IF(AT12&lt;PT_First,0,1+INT((AT12-PT_First)/PT_Int)),0)))</f>
        <v>23</v>
      </c>
      <c r="BA12" s="11" t="n">
        <f aca="false">IF(AO12=0,"",IF(AW12="FT",IF(AT12&lt;FT_First,0,IF(AT12&lt;FT_Y5,1+INT((AT12-FT_First)/FT_Int1),FT_PreY5+FT_PerYear*INT((AT12-FT_Y5)/12)+FT_AnnivDays+INT(MOD(AT12-FT_Y5,12)/FT_Int2))),IF(AW12="PT",IF(AT12&lt;PT_First,0,1+INT((AT12-PT_First)/PT_Int)),0)))</f>
        <v>0</v>
      </c>
      <c r="BB12" s="11" t="n">
        <f aca="false">IF(AO12=0,"",IF(AW12="FT",IF(AU12&lt;FT_First,0,IF(AU12&lt;FT_Y5,1+INT((AU12-FT_First)/FT_Int1),FT_PreY5+FT_PerYear*INT((AU12-FT_Y5)/12)+FT_AnnivDays+INT(MOD(AU12-FT_Y5,12)/FT_Int2))),IF(AW12="PT",IF(AU12&lt;PT_First,0,1+INT((AU12-PT_First)/PT_Int)),0)))</f>
        <v>0</v>
      </c>
      <c r="BC12" s="11" t="n">
        <f aca="false">IF(AO12=0,"",IF(AX12="FT",IF(AU12&lt;FT_First,0,IF(AU12&lt;FT_Y5,1+INT((AU12-FT_First)/FT_Int1),FT_PreY5+FT_PerYear*INT((AU12-FT_Y5)/12)+FT_AnnivDays+INT(MOD(AU12-FT_Y5,12)/FT_Int2))),IF(AX12="PT",IF(AU12&lt;PT_First,0,1+INT((AU12-PT_First)/PT_Int)),0)))</f>
        <v>0</v>
      </c>
      <c r="BD12" s="11" t="n">
        <f aca="false">IF(AO12=0,"",IF(AX12="FT",IF(AQ12&lt;FT_First,0,IF(AQ12&lt;FT_Y5,1+INT((AQ12-FT_First)/FT_Int1),FT_PreY5+FT_PerYear*INT((AQ12-FT_Y5)/12)+FT_AnnivDays+INT(MOD(AQ12-FT_Y5,12)/FT_Int2))),IF(AX12="PT",IF(AQ12&lt;PT_First,0,1+INT((AQ12-PT_First)/PT_Int)),0)))</f>
        <v>0</v>
      </c>
      <c r="BE12" s="11" t="n">
        <f aca="false">IF(AO12=0,"",IF(AY12="FT",IF(AQ12&lt;FT_First,FT_First,IF(AQ12&lt;FT_Y5,MIN(FT_Y5,FT_First+FT_Int1*(INT((AQ12-FT_First)/FT_Int1)+1)),FT_Y5+12*INT((AQ12-FT_Y5)/12)+FT_Int2*(INT(MOD(AQ12-FT_Y5,12)/FT_Int2)+1))),IF(AY12="PT",IF(AQ12&lt;PT_First,PT_First,PT_First+PT_Int*(INT((AQ12-PT_First)/PT_Int)+1)),"")))</f>
        <v>99</v>
      </c>
      <c r="BF12" s="11" t="n">
        <f aca="false">IF(AO12=0,0,IF(AND($Q12&lt;&gt;"",$Q12&lt;=AsOfDate),1,0))</f>
        <v>1</v>
      </c>
      <c r="BG12" s="11" t="str">
        <f aca="false">IF(AND(AO12=1,BF12=0,EH_Ready,N(AB12)&gt;0,N(AI12)=0),COUNT($BG$5:BG11)+1,"")</f>
        <v/>
      </c>
      <c r="BH12" s="11" t="str">
        <f aca="false">IF(AND(AO12=1,BF12=0,EH_Ready,N(AB12)&gt;0,N(AI12)&gt;0,N(AK12)&gt;0),COUNT($BH$5:BH11)+1,"")</f>
        <v/>
      </c>
      <c r="BI12" s="11" t="n">
        <f aca="false">IF(AND(AO12=1,OR(LEFT(AM12,3)="ADD",LEFT(AM12,3)="SET",LEFT(AM12,5)="CHECK",LEFT(AM12,10)="TERMINATED")),COUNT($BI$5:BI11)+1,"")</f>
        <v>4</v>
      </c>
      <c r="BJ12" s="11" t="str">
        <f aca="false">IF(AO12=0,"",$A12&amp;" - "&amp;$B12&amp;" "&amp;$C12)</f>
        <v>E007 - Noah Wilson</v>
      </c>
    </row>
    <row r="13" customFormat="false" ht="15" hidden="false" customHeight="false" outlineLevel="0" collapsed="false">
      <c r="A13" s="23" t="s">
        <v>234</v>
      </c>
      <c r="B13" s="23" t="s">
        <v>235</v>
      </c>
      <c r="C13" s="23" t="s">
        <v>236</v>
      </c>
      <c r="D13" s="23" t="s">
        <v>137</v>
      </c>
      <c r="E13" s="24" t="n">
        <v>45627</v>
      </c>
      <c r="F13" s="23" t="s">
        <v>123</v>
      </c>
      <c r="G13" s="25" t="n">
        <v>38</v>
      </c>
      <c r="H13" s="24"/>
      <c r="I13" s="23"/>
      <c r="J13" s="25"/>
      <c r="K13" s="24"/>
      <c r="L13" s="23"/>
      <c r="M13" s="25"/>
      <c r="N13" s="24"/>
      <c r="O13" s="24"/>
      <c r="P13" s="25"/>
      <c r="Q13" s="24"/>
      <c r="R13" s="23" t="s">
        <v>237</v>
      </c>
      <c r="S13" s="11" t="str">
        <f aca="false">IF(AO13=0,"",IF($H13="","",$F13&amp;" -&gt; "&amp;$I13&amp;IF($I13="Part-Time"," ("&amp;N($J13)&amp;" hrs)","")&amp;" on "&amp;TEXT($H13,"dd/mm/yyyy")&amp;IF($H13&gt;AsOfDate," (FUTURE)","")&amp;IF($K13="","","; "&amp;$I13&amp;" -&gt; "&amp;$L13&amp;IF($L13="Part-Time"," ("&amp;N($M13)&amp;" hrs)","")&amp;" on "&amp;TEXT($K13,"dd/mm/yyyy")&amp;IF($K13&gt;AsOfDate," (FUTURE)",""))))</f>
        <v/>
      </c>
      <c r="T13" s="11" t="str">
        <f aca="false">IF(AO13=0,"",IF(AS13&lt;&gt;"",$L13,IF(AR13&lt;&gt;"",$I13,$F13)))</f>
        <v>Full-Time</v>
      </c>
      <c r="U13" s="26" t="n">
        <f aca="false">IF(AO13=0,"",IF(AS13&lt;&gt;"",$M13,IF(AR13&lt;&gt;"",$J13,$G13)))</f>
        <v>38</v>
      </c>
      <c r="V13" s="11" t="str">
        <f aca="false">IF(AO13=0,"",IF(AY13="FT","Full-Time",IF(AY13="PT","Part-Time","Not eligible")))</f>
        <v>Full-Time</v>
      </c>
      <c r="W13" s="27" t="str">
        <f aca="false">IF(AO13=0,"",IF(AR13="",IF(AND($H13&lt;&gt;"",$H13&gt;AsOfDate),"Future change - not yet applied",""),IF(AND(AV13=AY13,OR(AS13="",AW13=AV13)),"Type changed - same accrual pathway",IF(AY13="None","STOPPED accruing from "&amp;TEXT(IF(AS13&lt;&gt;"",AS13,AR13),"dd/mm/yyyy"),IF(AV13="None","STARTED qualifying from "&amp;TEXT(IF(AS13&lt;&gt;"",AS13,AR13),"dd/mm/yyyy"),"Pathway changed "&amp;AV13&amp;" -&gt; "&amp;AW13&amp;IF(AS13&lt;&gt;""," -&gt; "&amp;AX13,"")&amp;" from "&amp;TEXT(IF(AS13&lt;&gt;"",AS13,AR13),"dd/mm/yyyy"))))))</f>
        <v/>
      </c>
      <c r="X13" s="28" t="n">
        <f aca="false">IF(AO13=0,"",IF($Q13="",AsOfDate,MIN(AsOfDate,$Q13)))</f>
        <v>46295</v>
      </c>
      <c r="Y13" s="26" t="n">
        <f aca="false">IF(AO13=0,"",MAX(0,AQ13))</f>
        <v>21</v>
      </c>
      <c r="Z13" s="11" t="str">
        <f aca="false">IF(AO13=0,"",IF(AQ13&lt;0,"Not started",INT(AQ13/12)&amp;"y "&amp;MOD(AQ13,12)&amp;"m"))</f>
        <v>1y 9m</v>
      </c>
      <c r="AA13" s="27" t="str">
        <f aca="false">IF(AO13=0,"",IF(BF13=1,"Terminated - balance forfeited",IF(AY13="None",IF(AB13&gt;0,"No longer accruing - "&amp;T13,"Not eligible - "&amp;T13&amp;IF(AND(IFERROR(VLOOKUP(T13,TypeTable,2,0),"None")="PT",N(U13)&lt;PT_MinHours)," (under "&amp;PT_MinHours&amp;" hrs)","")),IF(AB13&gt;0,"Yes - accruing","Not yet - qualifies "&amp;TEXT(AD13,"dd/mm/yyyy")))))</f>
        <v>Not yet - qualifies 01/12/2027</v>
      </c>
      <c r="AB13" s="26" t="n">
        <f aca="false">IF(AO13=0,"",AZ13+IF(AR13="",0,BB13-BA13)+IF(AS13="",0,BD13-BC13))</f>
        <v>0</v>
      </c>
      <c r="AC13" s="26" t="n">
        <f aca="false">IF(AO13=0,"",AB13*HoursPerDay)</f>
        <v>0</v>
      </c>
      <c r="AD13" s="28" t="n">
        <f aca="false">IF(AO13=0,"",IF(OR(BF13=1,AY13="None"),"",EDATE($E13+AP13,BE13)))</f>
        <v>46722</v>
      </c>
      <c r="AE13" s="26" t="n">
        <f aca="false">IF(AD13="","",IF(AY13="PT",1,IF(BE13&lt;FT_Y5,1,IF(MOD(BE13-FT_Y5,12)=0,FT_AnnivDays,1))))</f>
        <v>1</v>
      </c>
      <c r="AF13" s="27" t="str">
        <f aca="false">IF(AO13=0,"",IF(NOT(EH_Ready),"Map headers",IF(IF(MatchMode="Employee ID",COUNTIFS(INDEX(EH_Data,0,EH_ColID),$A13,INDEX(EH_Data,0,EH_ColCat),BonusCat),COUNTIFS(INDEX(EH_Data,0,EH_ColFirst),$B13,INDEX(EH_Data,0,EH_ColSur),$C13,INDEX(EH_Data,0,EH_ColCat),BonusCat))&gt;0,"Yes","No")))</f>
        <v>No</v>
      </c>
      <c r="AG13" s="26" t="n">
        <f aca="false">IF(AO13=0,"",IF(NOT(EH_Ready),"",IF(MatchMode="Employee ID",SUMIFS(INDEX(EH_Data,0,EH_ColBal),INDEX(EH_Data,0,EH_ColID),$A13,INDEX(EH_Data,0,EH_ColCat),BonusCat),SUMIFS(INDEX(EH_Data,0,EH_ColBal),INDEX(EH_Data,0,EH_ColFirst),$B13,INDEX(EH_Data,0,EH_ColSur),$C13,INDEX(EH_Data,0,EH_ColCat),BonusCat))/IF(EHUnit="Hours",HoursPerDay,1)))</f>
        <v>0</v>
      </c>
      <c r="AH13" s="26" t="n">
        <f aca="false">IF(AO13=0,"",IF(NOT(TK_Ready),0,IF(MatchMode="Employee ID",SUMIFS(INDEX(TK_Data,0,TK_ColAmt),INDEX(TK_Data,0,TK_ColID),$A13,INDEX(TK_Data,0,TK_ColCat),BonusCat),SUMIFS(INDEX(TK_Data,0,TK_ColAmt),INDEX(TK_Data,0,TK_ColFirst),$B13,INDEX(TK_Data,0,TK_ColSur),$C13,INDEX(TK_Data,0,TK_ColCat),BonusCat))/IF(TKUnit="Hours",HoursPerDay,1)))</f>
        <v>0</v>
      </c>
      <c r="AI13" s="26" t="n">
        <f aca="false">IF(AO13=0,"",N(AG13)+N(AH13))</f>
        <v>0</v>
      </c>
      <c r="AJ13" s="29" t="n">
        <f aca="false">IF(AO13=0,"",IF(NOT(AND(EH_Ready,EH_ValReady)),"",IF(MatchMode="Employee ID",SUMIFS(INDEX(EH_Data,0,EH_ColVal),INDEX(EH_Data,0,EH_ColID),$A13,INDEX(EH_Data,0,EH_ColCat),BonusCat),SUMIFS(INDEX(EH_Data,0,EH_ColVal),INDEX(EH_Data,0,EH_ColFirst),$B13,INDEX(EH_Data,0,EH_ColSur),$C13,INDEX(EH_Data,0,EH_ColCat),BonusCat))))</f>
        <v>0</v>
      </c>
      <c r="AK13" s="26" t="n">
        <f aca="false">IF(AO13=0,"",IF(OR(NOT(EH_Ready),BF13=1),"",AB13-AI13))</f>
        <v>0</v>
      </c>
      <c r="AL13" s="26" t="n">
        <f aca="false">IF(AK13="","",AK13*HoursPerDay)</f>
        <v>0</v>
      </c>
      <c r="AM13" s="27" t="str">
        <f aca="false">IF(AO13=0,"",IF(BF13=1,IF(N(AG13)&gt;0,"TERMINATED - forfeit "&amp;TEXT(AG13,"0.##")&amp;" days still in EH","Terminated - nothing in EH"),IF(NOT(EH_Ready),"Paste EH export and map headers on Settings",IF(AND(AB13&gt;0,AF13="No"),"SET UP in EH - add "&amp;TEXT(AB13,"0.##")&amp;" day(s) ("&amp;TEXT(AC13,"0.##")&amp;" hrs)",IF(AK13&gt;0,"ADD "&amp;TEXT(AK13,"0.##")&amp;" day(s) ("&amp;TEXT(AL13,"0.##")&amp;" hrs) in EH",IF(AK13&lt;0,"CHECK - EH shows "&amp;TEXT(-AK13,"0.##")&amp;" days more than policy",IF(AB13&gt;0,"OK - up to date",IF(AY13="None","No action - not eligible","No action - not yet qualified"))))))))</f>
        <v>No action - not yet qualified</v>
      </c>
      <c r="AN13" s="27" t="str">
        <f aca="false">IF(AO13=0,"",TRIM(IF(AND($K13&lt;&gt;"",$H13=""),"Change 2 entered without Change 1. ","")&amp;IF(AND($K13&lt;&gt;"",$H13&lt;&gt;"",$K13&lt;=$H13),"Change 2 date not after Change 1. ","")&amp;IF(AND($N13&lt;&gt;"",$O13&lt;&gt;"",$O13&lt;$N13),"Leave To is before Leave From. ","")&amp;IF(AND($N13&lt;&gt;"",$O13=""),"Leave From entered without Leave To. ","")&amp;IF(AND(IFERROR(VLOOKUP(T13,TypeTable,2,0),"None")="PT",U13=""),"Part-time with no hours entered. ","")&amp;IF(AND($H13&lt;&gt;"",$H13&gt;AsOfDate,AD13&lt;&gt;"",$H13&lt;=AD13),"Status change lands before next accrual - review. ","")&amp;IF(AND($Q13&lt;&gt;"",$Q13&lt;$E13),"Termination before commencement. ","")))</f>
        <v/>
      </c>
      <c r="AO13" s="11" t="n">
        <f aca="false">IF(LEN($A13&amp;$B13&amp;$C13)=0,0,IF($E13="",0,1))</f>
        <v>1</v>
      </c>
      <c r="AP13" s="11" t="n">
        <f aca="false">IF(AO13=0,"",(IF(OR($N13="",$O13=""),0,MAX(0,MIN(X13,$O13)-MAX($N13,$E13)+1))+N($P13)))</f>
        <v>0</v>
      </c>
      <c r="AQ13" s="11" t="n">
        <f aca="false">IF(AO13=0,"",IF(X13&lt;($E13+(IF(OR($N13="",$O13=""),0,MAX(0,MIN(X13,$O13)-MAX($N13,$E13)+1))+N($P13))),-1,12*(YEAR(X13)-YEAR(($E13+(IF(OR($N13="",$O13=""),0,MAX(0,MIN(X13,$O13)-MAX($N13,$E13)+1))+N($P13)))))+MONTH(X13)-MONTH(($E13+(IF(OR($N13="",$O13=""),0,MAX(0,MIN(X13,$O13)-MAX($N13,$E13)+1))+N($P13))))-IF(DAY(X13)&lt;MIN(DAY(($E13+(IF(OR($N13="",$O13=""),0,MAX(0,MIN(X13,$O13)-MAX($N13,$E13)+1))+N($P13)))),DAY(EOMONTH(X13,0))),1,0)))</f>
        <v>21</v>
      </c>
      <c r="AR13" s="28" t="str">
        <f aca="false">IF(AO13=0,"",IF($H13="","",IF($H13&gt;X13,"",$H13)))</f>
        <v/>
      </c>
      <c r="AS13" s="28" t="str">
        <f aca="false">IF(AO13=0,"",IF(AR13="","",IF($K13="","",IF($K13&gt;X13,"",$K13))))</f>
        <v/>
      </c>
      <c r="AT13" s="11" t="n">
        <f aca="false">IF(AO13=0,"",IF(AR13="",AQ13,IF((AR13-1)&lt;($E13+(IF(OR($N13="",$O13=""),0,MAX(0,MIN((AR13-1),$O13)-MAX($N13,$E13)+1))+N($P13))),-1,12*(YEAR((AR13-1))-YEAR(($E13+(IF(OR($N13="",$O13=""),0,MAX(0,MIN((AR13-1),$O13)-MAX($N13,$E13)+1))+N($P13)))))+MONTH((AR13-1))-MONTH(($E13+(IF(OR($N13="",$O13=""),0,MAX(0,MIN((AR13-1),$O13)-MAX($N13,$E13)+1))+N($P13))))-IF(DAY((AR13-1))&lt;MIN(DAY(($E13+(IF(OR($N13="",$O13=""),0,MAX(0,MIN((AR13-1),$O13)-MAX($N13,$E13)+1))+N($P13)))),DAY(EOMONTH((AR13-1),0))),1,0))))</f>
        <v>21</v>
      </c>
      <c r="AU13" s="11" t="n">
        <f aca="false">IF(AO13=0,"",IF(AS13="",AQ13,IF((AS13-1)&lt;($E13+(IF(OR($N13="",$O13=""),0,MAX(0,MIN((AS13-1),$O13)-MAX($N13,$E13)+1))+N($P13))),-1,12*(YEAR((AS13-1))-YEAR(($E13+(IF(OR($N13="",$O13=""),0,MAX(0,MIN((AS13-1),$O13)-MAX($N13,$E13)+1))+N($P13)))))+MONTH((AS13-1))-MONTH(($E13+(IF(OR($N13="",$O13=""),0,MAX(0,MIN((AS13-1),$O13)-MAX($N13,$E13)+1))+N($P13))))-IF(DAY((AS13-1))&lt;MIN(DAY(($E13+(IF(OR($N13="",$O13=""),0,MAX(0,MIN((AS13-1),$O13)-MAX($N13,$E13)+1))+N($P13)))),DAY(EOMONTH((AS13-1),0))),1,0))))</f>
        <v>21</v>
      </c>
      <c r="AV13" s="11" t="str">
        <f aca="false">IF(AO13=0,"",IF($F13="","None",IF(IFERROR(VLOOKUP($F13,TypeTable,2,0),"None")="PT",IF(N($G13)&gt;=PT_MinHours,"PT","None"),IFERROR(VLOOKUP($F13,TypeTable,2,0),"None"))))</f>
        <v>FT</v>
      </c>
      <c r="AW13" s="11" t="str">
        <f aca="false">IF(AO13=0,"",IF($I13="","None",IF(IFERROR(VLOOKUP($I13,TypeTable,2,0),"None")="PT",IF(N($J13)&gt;=PT_MinHours,"PT","None"),IFERROR(VLOOKUP($I13,TypeTable,2,0),"None"))))</f>
        <v>None</v>
      </c>
      <c r="AX13" s="11" t="str">
        <f aca="false">IF(AO13=0,"",IF($L13="","None",IF(IFERROR(VLOOKUP($L13,TypeTable,2,0),"None")="PT",IF(N($M13)&gt;=PT_MinHours,"PT","None"),IFERROR(VLOOKUP($L13,TypeTable,2,0),"None"))))</f>
        <v>None</v>
      </c>
      <c r="AY13" s="11" t="str">
        <f aca="false">IF(AO13=0,"",IF(AS13&lt;&gt;"",AX13,IF(AR13&lt;&gt;"",AW13,AV13)))</f>
        <v>FT</v>
      </c>
      <c r="AZ13" s="11" t="n">
        <f aca="false">IF(AO13=0,"",IF(AV13="FT",IF(AT13&lt;FT_First,0,IF(AT13&lt;FT_Y5,1+INT((AT13-FT_First)/FT_Int1),FT_PreY5+FT_PerYear*INT((AT13-FT_Y5)/12)+FT_AnnivDays+INT(MOD(AT13-FT_Y5,12)/FT_Int2))),IF(AV13="PT",IF(AT13&lt;PT_First,0,1+INT((AT13-PT_First)/PT_Int)),0)))</f>
        <v>0</v>
      </c>
      <c r="BA13" s="11" t="n">
        <f aca="false">IF(AO13=0,"",IF(AW13="FT",IF(AT13&lt;FT_First,0,IF(AT13&lt;FT_Y5,1+INT((AT13-FT_First)/FT_Int1),FT_PreY5+FT_PerYear*INT((AT13-FT_Y5)/12)+FT_AnnivDays+INT(MOD(AT13-FT_Y5,12)/FT_Int2))),IF(AW13="PT",IF(AT13&lt;PT_First,0,1+INT((AT13-PT_First)/PT_Int)),0)))</f>
        <v>0</v>
      </c>
      <c r="BB13" s="11" t="n">
        <f aca="false">IF(AO13=0,"",IF(AW13="FT",IF(AU13&lt;FT_First,0,IF(AU13&lt;FT_Y5,1+INT((AU13-FT_First)/FT_Int1),FT_PreY5+FT_PerYear*INT((AU13-FT_Y5)/12)+FT_AnnivDays+INT(MOD(AU13-FT_Y5,12)/FT_Int2))),IF(AW13="PT",IF(AU13&lt;PT_First,0,1+INT((AU13-PT_First)/PT_Int)),0)))</f>
        <v>0</v>
      </c>
      <c r="BC13" s="11" t="n">
        <f aca="false">IF(AO13=0,"",IF(AX13="FT",IF(AU13&lt;FT_First,0,IF(AU13&lt;FT_Y5,1+INT((AU13-FT_First)/FT_Int1),FT_PreY5+FT_PerYear*INT((AU13-FT_Y5)/12)+FT_AnnivDays+INT(MOD(AU13-FT_Y5,12)/FT_Int2))),IF(AX13="PT",IF(AU13&lt;PT_First,0,1+INT((AU13-PT_First)/PT_Int)),0)))</f>
        <v>0</v>
      </c>
      <c r="BD13" s="11" t="n">
        <f aca="false">IF(AO13=0,"",IF(AX13="FT",IF(AQ13&lt;FT_First,0,IF(AQ13&lt;FT_Y5,1+INT((AQ13-FT_First)/FT_Int1),FT_PreY5+FT_PerYear*INT((AQ13-FT_Y5)/12)+FT_AnnivDays+INT(MOD(AQ13-FT_Y5,12)/FT_Int2))),IF(AX13="PT",IF(AQ13&lt;PT_First,0,1+INT((AQ13-PT_First)/PT_Int)),0)))</f>
        <v>0</v>
      </c>
      <c r="BE13" s="11" t="n">
        <f aca="false">IF(AO13=0,"",IF(AY13="FT",IF(AQ13&lt;FT_First,FT_First,IF(AQ13&lt;FT_Y5,MIN(FT_Y5,FT_First+FT_Int1*(INT((AQ13-FT_First)/FT_Int1)+1)),FT_Y5+12*INT((AQ13-FT_Y5)/12)+FT_Int2*(INT(MOD(AQ13-FT_Y5,12)/FT_Int2)+1))),IF(AY13="PT",IF(AQ13&lt;PT_First,PT_First,PT_First+PT_Int*(INT((AQ13-PT_First)/PT_Int)+1)),"")))</f>
        <v>36</v>
      </c>
      <c r="BF13" s="11" t="n">
        <f aca="false">IF(AO13=0,0,IF(AND($Q13&lt;&gt;"",$Q13&lt;=AsOfDate),1,0))</f>
        <v>0</v>
      </c>
      <c r="BG13" s="11" t="str">
        <f aca="false">IF(AND(AO13=1,BF13=0,EH_Ready,N(AB13)&gt;0,N(AI13)=0),COUNT($BG$5:BG12)+1,"")</f>
        <v/>
      </c>
      <c r="BH13" s="11" t="str">
        <f aca="false">IF(AND(AO13=1,BF13=0,EH_Ready,N(AB13)&gt;0,N(AI13)&gt;0,N(AK13)&gt;0),COUNT($BH$5:BH12)+1,"")</f>
        <v/>
      </c>
      <c r="BI13" s="11" t="str">
        <f aca="false">IF(AND(AO13=1,OR(LEFT(AM13,3)="ADD",LEFT(AM13,3)="SET",LEFT(AM13,5)="CHECK",LEFT(AM13,10)="TERMINATED")),COUNT($BI$5:BI12)+1,"")</f>
        <v/>
      </c>
      <c r="BJ13" s="11" t="str">
        <f aca="false">IF(AO13=0,"",$A13&amp;" - "&amp;$B13&amp;" "&amp;$C13)</f>
        <v>E008 - Ava Jones</v>
      </c>
    </row>
    <row r="14" customFormat="false" ht="15" hidden="false" customHeight="false" outlineLevel="0" collapsed="false">
      <c r="A14" s="10"/>
      <c r="B14" s="10"/>
      <c r="C14" s="10"/>
      <c r="D14" s="10"/>
      <c r="E14" s="9"/>
      <c r="F14" s="10"/>
      <c r="G14" s="30"/>
      <c r="H14" s="9"/>
      <c r="I14" s="10"/>
      <c r="J14" s="30"/>
      <c r="K14" s="9"/>
      <c r="L14" s="10"/>
      <c r="M14" s="30"/>
      <c r="N14" s="9"/>
      <c r="O14" s="9"/>
      <c r="P14" s="30"/>
      <c r="Q14" s="9"/>
      <c r="R14" s="10"/>
      <c r="S14" s="11" t="str">
        <f aca="false">IF(AO14=0,"",IF($H14="","",$F14&amp;" -&gt; "&amp;$I14&amp;IF($I14="Part-Time"," ("&amp;N($J14)&amp;" hrs)","")&amp;" on "&amp;TEXT($H14,"dd/mm/yyyy")&amp;IF($H14&gt;AsOfDate," (FUTURE)","")&amp;IF($K14="","","; "&amp;$I14&amp;" -&gt; "&amp;$L14&amp;IF($L14="Part-Time"," ("&amp;N($M14)&amp;" hrs)","")&amp;" on "&amp;TEXT($K14,"dd/mm/yyyy")&amp;IF($K14&gt;AsOfDate," (FUTURE)",""))))</f>
        <v/>
      </c>
      <c r="T14" s="11" t="str">
        <f aca="false">IF(AO14=0,"",IF(AS14&lt;&gt;"",$L14,IF(AR14&lt;&gt;"",$I14,$F14)))</f>
        <v/>
      </c>
      <c r="U14" s="26" t="str">
        <f aca="false">IF(AO14=0,"",IF(AS14&lt;&gt;"",$M14,IF(AR14&lt;&gt;"",$J14,$G14)))</f>
        <v/>
      </c>
      <c r="V14" s="11" t="str">
        <f aca="false">IF(AO14=0,"",IF(AY14="FT","Full-Time",IF(AY14="PT","Part-Time","Not eligible")))</f>
        <v/>
      </c>
      <c r="W14" s="27" t="str">
        <f aca="false">IF(AO14=0,"",IF(AR14="",IF(AND($H14&lt;&gt;"",$H14&gt;AsOfDate),"Future change - not yet applied",""),IF(AND(AV14=AY14,OR(AS14="",AW14=AV14)),"Type changed - same accrual pathway",IF(AY14="None","STOPPED accruing from "&amp;TEXT(IF(AS14&lt;&gt;"",AS14,AR14),"dd/mm/yyyy"),IF(AV14="None","STARTED qualifying from "&amp;TEXT(IF(AS14&lt;&gt;"",AS14,AR14),"dd/mm/yyyy"),"Pathway changed "&amp;AV14&amp;" -&gt; "&amp;AW14&amp;IF(AS14&lt;&gt;""," -&gt; "&amp;AX14,"")&amp;" from "&amp;TEXT(IF(AS14&lt;&gt;"",AS14,AR14),"dd/mm/yyyy"))))))</f>
        <v/>
      </c>
      <c r="X14" s="28" t="str">
        <f aca="false">IF(AO14=0,"",IF($Q14="",AsOfDate,MIN(AsOfDate,$Q14)))</f>
        <v/>
      </c>
      <c r="Y14" s="26" t="str">
        <f aca="false">IF(AO14=0,"",MAX(0,AQ14))</f>
        <v/>
      </c>
      <c r="Z14" s="11" t="str">
        <f aca="false">IF(AO14=0,"",IF(AQ14&lt;0,"Not started",INT(AQ14/12)&amp;"y "&amp;MOD(AQ14,12)&amp;"m"))</f>
        <v/>
      </c>
      <c r="AA14" s="27" t="str">
        <f aca="false">IF(AO14=0,"",IF(BF14=1,"Terminated - balance forfeited",IF(AY14="None",IF(AB14&gt;0,"No longer accruing - "&amp;T14,"Not eligible - "&amp;T14&amp;IF(AND(IFERROR(VLOOKUP(T14,TypeTable,2,0),"None")="PT",N(U14)&lt;PT_MinHours)," (under "&amp;PT_MinHours&amp;" hrs)","")),IF(AB14&gt;0,"Yes - accruing","Not yet - qualifies "&amp;TEXT(AD14,"dd/mm/yyyy")))))</f>
        <v/>
      </c>
      <c r="AB14" s="26" t="str">
        <f aca="false">IF(AO14=0,"",AZ14+IF(AR14="",0,BB14-BA14)+IF(AS14="",0,BD14-BC14))</f>
        <v/>
      </c>
      <c r="AC14" s="26" t="str">
        <f aca="false">IF(AO14=0,"",AB14*HoursPerDay)</f>
        <v/>
      </c>
      <c r="AD14" s="28" t="str">
        <f aca="false">IF(AO14=0,"",IF(OR(BF14=1,AY14="None"),"",EDATE($E14+AP14,BE14)))</f>
        <v/>
      </c>
      <c r="AE14" s="26" t="str">
        <f aca="false">IF(AD14="","",IF(AY14="PT",1,IF(BE14&lt;FT_Y5,1,IF(MOD(BE14-FT_Y5,12)=0,FT_AnnivDays,1))))</f>
        <v/>
      </c>
      <c r="AF14" s="27" t="str">
        <f aca="false">IF(AO14=0,"",IF(NOT(EH_Ready),"Map headers",IF(IF(MatchMode="Employee ID",COUNTIFS(INDEX(EH_Data,0,EH_ColID),$A14,INDEX(EH_Data,0,EH_ColCat),BonusCat),COUNTIFS(INDEX(EH_Data,0,EH_ColFirst),$B14,INDEX(EH_Data,0,EH_ColSur),$C14,INDEX(EH_Data,0,EH_ColCat),BonusCat))&gt;0,"Yes","No")))</f>
        <v/>
      </c>
      <c r="AG14" s="26" t="str">
        <f aca="false">IF(AO14=0,"",IF(NOT(EH_Ready),"",IF(MatchMode="Employee ID",SUMIFS(INDEX(EH_Data,0,EH_ColBal),INDEX(EH_Data,0,EH_ColID),$A14,INDEX(EH_Data,0,EH_ColCat),BonusCat),SUMIFS(INDEX(EH_Data,0,EH_ColBal),INDEX(EH_Data,0,EH_ColFirst),$B14,INDEX(EH_Data,0,EH_ColSur),$C14,INDEX(EH_Data,0,EH_ColCat),BonusCat))/IF(EHUnit="Hours",HoursPerDay,1)))</f>
        <v/>
      </c>
      <c r="AH14" s="26" t="str">
        <f aca="false">IF(AO14=0,"",IF(NOT(TK_Ready),0,IF(MatchMode="Employee ID",SUMIFS(INDEX(TK_Data,0,TK_ColAmt),INDEX(TK_Data,0,TK_ColID),$A14,INDEX(TK_Data,0,TK_ColCat),BonusCat),SUMIFS(INDEX(TK_Data,0,TK_ColAmt),INDEX(TK_Data,0,TK_ColFirst),$B14,INDEX(TK_Data,0,TK_ColSur),$C14,INDEX(TK_Data,0,TK_ColCat),BonusCat))/IF(TKUnit="Hours",HoursPerDay,1)))</f>
        <v/>
      </c>
      <c r="AI14" s="26" t="str">
        <f aca="false">IF(AO14=0,"",N(AG14)+N(AH14))</f>
        <v/>
      </c>
      <c r="AJ14" s="29" t="str">
        <f aca="false">IF(AO14=0,"",IF(NOT(AND(EH_Ready,EH_ValReady)),"",IF(MatchMode="Employee ID",SUMIFS(INDEX(EH_Data,0,EH_ColVal),INDEX(EH_Data,0,EH_ColID),$A14,INDEX(EH_Data,0,EH_ColCat),BonusCat),SUMIFS(INDEX(EH_Data,0,EH_ColVal),INDEX(EH_Data,0,EH_ColFirst),$B14,INDEX(EH_Data,0,EH_ColSur),$C14,INDEX(EH_Data,0,EH_ColCat),BonusCat))))</f>
        <v/>
      </c>
      <c r="AK14" s="26" t="str">
        <f aca="false">IF(AO14=0,"",IF(OR(NOT(EH_Ready),BF14=1),"",AB14-AI14))</f>
        <v/>
      </c>
      <c r="AL14" s="26" t="str">
        <f aca="false">IF(AK14="","",AK14*HoursPerDay)</f>
        <v/>
      </c>
      <c r="AM14" s="27" t="str">
        <f aca="false">IF(AO14=0,"",IF(BF14=1,IF(N(AG14)&gt;0,"TERMINATED - forfeit "&amp;TEXT(AG14,"0.##")&amp;" days still in EH","Terminated - nothing in EH"),IF(NOT(EH_Ready),"Paste EH export and map headers on Settings",IF(AND(AB14&gt;0,AF14="No"),"SET UP in EH - add "&amp;TEXT(AB14,"0.##")&amp;" day(s) ("&amp;TEXT(AC14,"0.##")&amp;" hrs)",IF(AK14&gt;0,"ADD "&amp;TEXT(AK14,"0.##")&amp;" day(s) ("&amp;TEXT(AL14,"0.##")&amp;" hrs) in EH",IF(AK14&lt;0,"CHECK - EH shows "&amp;TEXT(-AK14,"0.##")&amp;" days more than policy",IF(AB14&gt;0,"OK - up to date",IF(AY14="None","No action - not eligible","No action - not yet qualified"))))))))</f>
        <v/>
      </c>
      <c r="AN14" s="27" t="str">
        <f aca="false">IF(AO14=0,"",TRIM(IF(AND($K14&lt;&gt;"",$H14=""),"Change 2 entered without Change 1. ","")&amp;IF(AND($K14&lt;&gt;"",$H14&lt;&gt;"",$K14&lt;=$H14),"Change 2 date not after Change 1. ","")&amp;IF(AND($N14&lt;&gt;"",$O14&lt;&gt;"",$O14&lt;$N14),"Leave To is before Leave From. ","")&amp;IF(AND($N14&lt;&gt;"",$O14=""),"Leave From entered without Leave To. ","")&amp;IF(AND(IFERROR(VLOOKUP(T14,TypeTable,2,0),"None")="PT",U14=""),"Part-time with no hours entered. ","")&amp;IF(AND($H14&lt;&gt;"",$H14&gt;AsOfDate,AD14&lt;&gt;"",$H14&lt;=AD14),"Status change lands before next accrual - review. ","")&amp;IF(AND($Q14&lt;&gt;"",$Q14&lt;$E14),"Termination before commencement. ","")))</f>
        <v/>
      </c>
      <c r="AO14" s="11" t="n">
        <f aca="false">IF(LEN($A14&amp;$B14&amp;$C14)=0,0,IF($E14="",0,1))</f>
        <v>0</v>
      </c>
      <c r="AP14" s="11" t="str">
        <f aca="false">IF(AO14=0,"",(IF(OR($N14="",$O14=""),0,MAX(0,MIN(X14,$O14)-MAX($N14,$E14)+1))+N($P14)))</f>
        <v/>
      </c>
      <c r="AQ14" s="11" t="str">
        <f aca="false">IF(AO14=0,"",IF(X14&lt;($E14+(IF(OR($N14="",$O14=""),0,MAX(0,MIN(X14,$O14)-MAX($N14,$E14)+1))+N($P14))),-1,12*(YEAR(X14)-YEAR(($E14+(IF(OR($N14="",$O14=""),0,MAX(0,MIN(X14,$O14)-MAX($N14,$E14)+1))+N($P14)))))+MONTH(X14)-MONTH(($E14+(IF(OR($N14="",$O14=""),0,MAX(0,MIN(X14,$O14)-MAX($N14,$E14)+1))+N($P14))))-IF(DAY(X14)&lt;MIN(DAY(($E14+(IF(OR($N14="",$O14=""),0,MAX(0,MIN(X14,$O14)-MAX($N14,$E14)+1))+N($P14)))),DAY(EOMONTH(X14,0))),1,0)))</f>
        <v/>
      </c>
      <c r="AR14" s="28" t="str">
        <f aca="false">IF(AO14=0,"",IF($H14="","",IF($H14&gt;X14,"",$H14)))</f>
        <v/>
      </c>
      <c r="AS14" s="28" t="str">
        <f aca="false">IF(AO14=0,"",IF(AR14="","",IF($K14="","",IF($K14&gt;X14,"",$K14))))</f>
        <v/>
      </c>
      <c r="AT14" s="11" t="str">
        <f aca="false">IF(AO14=0,"",IF(AR14="",AQ14,IF((AR14-1)&lt;($E14+(IF(OR($N14="",$O14=""),0,MAX(0,MIN((AR14-1),$O14)-MAX($N14,$E14)+1))+N($P14))),-1,12*(YEAR((AR14-1))-YEAR(($E14+(IF(OR($N14="",$O14=""),0,MAX(0,MIN((AR14-1),$O14)-MAX($N14,$E14)+1))+N($P14)))))+MONTH((AR14-1))-MONTH(($E14+(IF(OR($N14="",$O14=""),0,MAX(0,MIN((AR14-1),$O14)-MAX($N14,$E14)+1))+N($P14))))-IF(DAY((AR14-1))&lt;MIN(DAY(($E14+(IF(OR($N14="",$O14=""),0,MAX(0,MIN((AR14-1),$O14)-MAX($N14,$E14)+1))+N($P14)))),DAY(EOMONTH((AR14-1),0))),1,0))))</f>
        <v/>
      </c>
      <c r="AU14" s="11" t="str">
        <f aca="false">IF(AO14=0,"",IF(AS14="",AQ14,IF((AS14-1)&lt;($E14+(IF(OR($N14="",$O14=""),0,MAX(0,MIN((AS14-1),$O14)-MAX($N14,$E14)+1))+N($P14))),-1,12*(YEAR((AS14-1))-YEAR(($E14+(IF(OR($N14="",$O14=""),0,MAX(0,MIN((AS14-1),$O14)-MAX($N14,$E14)+1))+N($P14)))))+MONTH((AS14-1))-MONTH(($E14+(IF(OR($N14="",$O14=""),0,MAX(0,MIN((AS14-1),$O14)-MAX($N14,$E14)+1))+N($P14))))-IF(DAY((AS14-1))&lt;MIN(DAY(($E14+(IF(OR($N14="",$O14=""),0,MAX(0,MIN((AS14-1),$O14)-MAX($N14,$E14)+1))+N($P14)))),DAY(EOMONTH((AS14-1),0))),1,0))))</f>
        <v/>
      </c>
      <c r="AV14" s="11" t="str">
        <f aca="false">IF(AO14=0,"",IF($F14="","None",IF(IFERROR(VLOOKUP($F14,TypeTable,2,0),"None")="PT",IF(N($G14)&gt;=PT_MinHours,"PT","None"),IFERROR(VLOOKUP($F14,TypeTable,2,0),"None"))))</f>
        <v/>
      </c>
      <c r="AW14" s="11" t="str">
        <f aca="false">IF(AO14=0,"",IF($I14="","None",IF(IFERROR(VLOOKUP($I14,TypeTable,2,0),"None")="PT",IF(N($J14)&gt;=PT_MinHours,"PT","None"),IFERROR(VLOOKUP($I14,TypeTable,2,0),"None"))))</f>
        <v/>
      </c>
      <c r="AX14" s="11" t="str">
        <f aca="false">IF(AO14=0,"",IF($L14="","None",IF(IFERROR(VLOOKUP($L14,TypeTable,2,0),"None")="PT",IF(N($M14)&gt;=PT_MinHours,"PT","None"),IFERROR(VLOOKUP($L14,TypeTable,2,0),"None"))))</f>
        <v/>
      </c>
      <c r="AY14" s="11" t="str">
        <f aca="false">IF(AO14=0,"",IF(AS14&lt;&gt;"",AX14,IF(AR14&lt;&gt;"",AW14,AV14)))</f>
        <v/>
      </c>
      <c r="AZ14" s="11" t="str">
        <f aca="false">IF(AO14=0,"",IF(AV14="FT",IF(AT14&lt;FT_First,0,IF(AT14&lt;FT_Y5,1+INT((AT14-FT_First)/FT_Int1),FT_PreY5+FT_PerYear*INT((AT14-FT_Y5)/12)+FT_AnnivDays+INT(MOD(AT14-FT_Y5,12)/FT_Int2))),IF(AV14="PT",IF(AT14&lt;PT_First,0,1+INT((AT14-PT_First)/PT_Int)),0)))</f>
        <v/>
      </c>
      <c r="BA14" s="11" t="str">
        <f aca="false">IF(AO14=0,"",IF(AW14="FT",IF(AT14&lt;FT_First,0,IF(AT14&lt;FT_Y5,1+INT((AT14-FT_First)/FT_Int1),FT_PreY5+FT_PerYear*INT((AT14-FT_Y5)/12)+FT_AnnivDays+INT(MOD(AT14-FT_Y5,12)/FT_Int2))),IF(AW14="PT",IF(AT14&lt;PT_First,0,1+INT((AT14-PT_First)/PT_Int)),0)))</f>
        <v/>
      </c>
      <c r="BB14" s="11" t="str">
        <f aca="false">IF(AO14=0,"",IF(AW14="FT",IF(AU14&lt;FT_First,0,IF(AU14&lt;FT_Y5,1+INT((AU14-FT_First)/FT_Int1),FT_PreY5+FT_PerYear*INT((AU14-FT_Y5)/12)+FT_AnnivDays+INT(MOD(AU14-FT_Y5,12)/FT_Int2))),IF(AW14="PT",IF(AU14&lt;PT_First,0,1+INT((AU14-PT_First)/PT_Int)),0)))</f>
        <v/>
      </c>
      <c r="BC14" s="11" t="str">
        <f aca="false">IF(AO14=0,"",IF(AX14="FT",IF(AU14&lt;FT_First,0,IF(AU14&lt;FT_Y5,1+INT((AU14-FT_First)/FT_Int1),FT_PreY5+FT_PerYear*INT((AU14-FT_Y5)/12)+FT_AnnivDays+INT(MOD(AU14-FT_Y5,12)/FT_Int2))),IF(AX14="PT",IF(AU14&lt;PT_First,0,1+INT((AU14-PT_First)/PT_Int)),0)))</f>
        <v/>
      </c>
      <c r="BD14" s="11" t="str">
        <f aca="false">IF(AO14=0,"",IF(AX14="FT",IF(AQ14&lt;FT_First,0,IF(AQ14&lt;FT_Y5,1+INT((AQ14-FT_First)/FT_Int1),FT_PreY5+FT_PerYear*INT((AQ14-FT_Y5)/12)+FT_AnnivDays+INT(MOD(AQ14-FT_Y5,12)/FT_Int2))),IF(AX14="PT",IF(AQ14&lt;PT_First,0,1+INT((AQ14-PT_First)/PT_Int)),0)))</f>
        <v/>
      </c>
      <c r="BE14" s="11" t="str">
        <f aca="false">IF(AO14=0,"",IF(AY14="FT",IF(AQ14&lt;FT_First,FT_First,IF(AQ14&lt;FT_Y5,MIN(FT_Y5,FT_First+FT_Int1*(INT((AQ14-FT_First)/FT_Int1)+1)),FT_Y5+12*INT((AQ14-FT_Y5)/12)+FT_Int2*(INT(MOD(AQ14-FT_Y5,12)/FT_Int2)+1))),IF(AY14="PT",IF(AQ14&lt;PT_First,PT_First,PT_First+PT_Int*(INT((AQ14-PT_First)/PT_Int)+1)),"")))</f>
        <v/>
      </c>
      <c r="BF14" s="11" t="n">
        <f aca="false">IF(AO14=0,0,IF(AND($Q14&lt;&gt;"",$Q14&lt;=AsOfDate),1,0))</f>
        <v>0</v>
      </c>
      <c r="BG14" s="11" t="str">
        <f aca="false">IF(AND(AO14=1,BF14=0,EH_Ready,N(AB14)&gt;0,N(AI14)=0),COUNT($BG$5:BG13)+1,"")</f>
        <v/>
      </c>
      <c r="BH14" s="11" t="str">
        <f aca="false">IF(AND(AO14=1,BF14=0,EH_Ready,N(AB14)&gt;0,N(AI14)&gt;0,N(AK14)&gt;0),COUNT($BH$5:BH13)+1,"")</f>
        <v/>
      </c>
      <c r="BI14" s="11" t="str">
        <f aca="false">IF(AND(AO14=1,OR(LEFT(AM14,3)="ADD",LEFT(AM14,3)="SET",LEFT(AM14,5)="CHECK",LEFT(AM14,10)="TERMINATED")),COUNT($BI$5:BI13)+1,"")</f>
        <v/>
      </c>
      <c r="BJ14" s="11" t="str">
        <f aca="false">IF(AO14=0,"",$A14&amp;" - "&amp;$B14&amp;" "&amp;$C14)</f>
        <v/>
      </c>
    </row>
    <row r="15" customFormat="false" ht="15" hidden="false" customHeight="false" outlineLevel="0" collapsed="false">
      <c r="A15" s="10"/>
      <c r="B15" s="10"/>
      <c r="C15" s="10"/>
      <c r="D15" s="10"/>
      <c r="E15" s="9"/>
      <c r="F15" s="10"/>
      <c r="G15" s="30"/>
      <c r="H15" s="9"/>
      <c r="I15" s="10"/>
      <c r="J15" s="30"/>
      <c r="K15" s="9"/>
      <c r="L15" s="10"/>
      <c r="M15" s="30"/>
      <c r="N15" s="9"/>
      <c r="O15" s="9"/>
      <c r="P15" s="30"/>
      <c r="Q15" s="9"/>
      <c r="R15" s="10"/>
      <c r="S15" s="11" t="str">
        <f aca="false">IF(AO15=0,"",IF($H15="","",$F15&amp;" -&gt; "&amp;$I15&amp;IF($I15="Part-Time"," ("&amp;N($J15)&amp;" hrs)","")&amp;" on "&amp;TEXT($H15,"dd/mm/yyyy")&amp;IF($H15&gt;AsOfDate," (FUTURE)","")&amp;IF($K15="","","; "&amp;$I15&amp;" -&gt; "&amp;$L15&amp;IF($L15="Part-Time"," ("&amp;N($M15)&amp;" hrs)","")&amp;" on "&amp;TEXT($K15,"dd/mm/yyyy")&amp;IF($K15&gt;AsOfDate," (FUTURE)",""))))</f>
        <v/>
      </c>
      <c r="T15" s="11" t="str">
        <f aca="false">IF(AO15=0,"",IF(AS15&lt;&gt;"",$L15,IF(AR15&lt;&gt;"",$I15,$F15)))</f>
        <v/>
      </c>
      <c r="U15" s="26" t="str">
        <f aca="false">IF(AO15=0,"",IF(AS15&lt;&gt;"",$M15,IF(AR15&lt;&gt;"",$J15,$G15)))</f>
        <v/>
      </c>
      <c r="V15" s="11" t="str">
        <f aca="false">IF(AO15=0,"",IF(AY15="FT","Full-Time",IF(AY15="PT","Part-Time","Not eligible")))</f>
        <v/>
      </c>
      <c r="W15" s="27" t="str">
        <f aca="false">IF(AO15=0,"",IF(AR15="",IF(AND($H15&lt;&gt;"",$H15&gt;AsOfDate),"Future change - not yet applied",""),IF(AND(AV15=AY15,OR(AS15="",AW15=AV15)),"Type changed - same accrual pathway",IF(AY15="None","STOPPED accruing from "&amp;TEXT(IF(AS15&lt;&gt;"",AS15,AR15),"dd/mm/yyyy"),IF(AV15="None","STARTED qualifying from "&amp;TEXT(IF(AS15&lt;&gt;"",AS15,AR15),"dd/mm/yyyy"),"Pathway changed "&amp;AV15&amp;" -&gt; "&amp;AW15&amp;IF(AS15&lt;&gt;""," -&gt; "&amp;AX15,"")&amp;" from "&amp;TEXT(IF(AS15&lt;&gt;"",AS15,AR15),"dd/mm/yyyy"))))))</f>
        <v/>
      </c>
      <c r="X15" s="28" t="str">
        <f aca="false">IF(AO15=0,"",IF($Q15="",AsOfDate,MIN(AsOfDate,$Q15)))</f>
        <v/>
      </c>
      <c r="Y15" s="26" t="str">
        <f aca="false">IF(AO15=0,"",MAX(0,AQ15))</f>
        <v/>
      </c>
      <c r="Z15" s="11" t="str">
        <f aca="false">IF(AO15=0,"",IF(AQ15&lt;0,"Not started",INT(AQ15/12)&amp;"y "&amp;MOD(AQ15,12)&amp;"m"))</f>
        <v/>
      </c>
      <c r="AA15" s="27" t="str">
        <f aca="false">IF(AO15=0,"",IF(BF15=1,"Terminated - balance forfeited",IF(AY15="None",IF(AB15&gt;0,"No longer accruing - "&amp;T15,"Not eligible - "&amp;T15&amp;IF(AND(IFERROR(VLOOKUP(T15,TypeTable,2,0),"None")="PT",N(U15)&lt;PT_MinHours)," (under "&amp;PT_MinHours&amp;" hrs)","")),IF(AB15&gt;0,"Yes - accruing","Not yet - qualifies "&amp;TEXT(AD15,"dd/mm/yyyy")))))</f>
        <v/>
      </c>
      <c r="AB15" s="26" t="str">
        <f aca="false">IF(AO15=0,"",AZ15+IF(AR15="",0,BB15-BA15)+IF(AS15="",0,BD15-BC15))</f>
        <v/>
      </c>
      <c r="AC15" s="26" t="str">
        <f aca="false">IF(AO15=0,"",AB15*HoursPerDay)</f>
        <v/>
      </c>
      <c r="AD15" s="28" t="str">
        <f aca="false">IF(AO15=0,"",IF(OR(BF15=1,AY15="None"),"",EDATE($E15+AP15,BE15)))</f>
        <v/>
      </c>
      <c r="AE15" s="26" t="str">
        <f aca="false">IF(AD15="","",IF(AY15="PT",1,IF(BE15&lt;FT_Y5,1,IF(MOD(BE15-FT_Y5,12)=0,FT_AnnivDays,1))))</f>
        <v/>
      </c>
      <c r="AF15" s="27" t="str">
        <f aca="false">IF(AO15=0,"",IF(NOT(EH_Ready),"Map headers",IF(IF(MatchMode="Employee ID",COUNTIFS(INDEX(EH_Data,0,EH_ColID),$A15,INDEX(EH_Data,0,EH_ColCat),BonusCat),COUNTIFS(INDEX(EH_Data,0,EH_ColFirst),$B15,INDEX(EH_Data,0,EH_ColSur),$C15,INDEX(EH_Data,0,EH_ColCat),BonusCat))&gt;0,"Yes","No")))</f>
        <v/>
      </c>
      <c r="AG15" s="26" t="str">
        <f aca="false">IF(AO15=0,"",IF(NOT(EH_Ready),"",IF(MatchMode="Employee ID",SUMIFS(INDEX(EH_Data,0,EH_ColBal),INDEX(EH_Data,0,EH_ColID),$A15,INDEX(EH_Data,0,EH_ColCat),BonusCat),SUMIFS(INDEX(EH_Data,0,EH_ColBal),INDEX(EH_Data,0,EH_ColFirst),$B15,INDEX(EH_Data,0,EH_ColSur),$C15,INDEX(EH_Data,0,EH_ColCat),BonusCat))/IF(EHUnit="Hours",HoursPerDay,1)))</f>
        <v/>
      </c>
      <c r="AH15" s="26" t="str">
        <f aca="false">IF(AO15=0,"",IF(NOT(TK_Ready),0,IF(MatchMode="Employee ID",SUMIFS(INDEX(TK_Data,0,TK_ColAmt),INDEX(TK_Data,0,TK_ColID),$A15,INDEX(TK_Data,0,TK_ColCat),BonusCat),SUMIFS(INDEX(TK_Data,0,TK_ColAmt),INDEX(TK_Data,0,TK_ColFirst),$B15,INDEX(TK_Data,0,TK_ColSur),$C15,INDEX(TK_Data,0,TK_ColCat),BonusCat))/IF(TKUnit="Hours",HoursPerDay,1)))</f>
        <v/>
      </c>
      <c r="AI15" s="26" t="str">
        <f aca="false">IF(AO15=0,"",N(AG15)+N(AH15))</f>
        <v/>
      </c>
      <c r="AJ15" s="29" t="str">
        <f aca="false">IF(AO15=0,"",IF(NOT(AND(EH_Ready,EH_ValReady)),"",IF(MatchMode="Employee ID",SUMIFS(INDEX(EH_Data,0,EH_ColVal),INDEX(EH_Data,0,EH_ColID),$A15,INDEX(EH_Data,0,EH_ColCat),BonusCat),SUMIFS(INDEX(EH_Data,0,EH_ColVal),INDEX(EH_Data,0,EH_ColFirst),$B15,INDEX(EH_Data,0,EH_ColSur),$C15,INDEX(EH_Data,0,EH_ColCat),BonusCat))))</f>
        <v/>
      </c>
      <c r="AK15" s="26" t="str">
        <f aca="false">IF(AO15=0,"",IF(OR(NOT(EH_Ready),BF15=1),"",AB15-AI15))</f>
        <v/>
      </c>
      <c r="AL15" s="26" t="str">
        <f aca="false">IF(AK15="","",AK15*HoursPerDay)</f>
        <v/>
      </c>
      <c r="AM15" s="27" t="str">
        <f aca="false">IF(AO15=0,"",IF(BF15=1,IF(N(AG15)&gt;0,"TERMINATED - forfeit "&amp;TEXT(AG15,"0.##")&amp;" days still in EH","Terminated - nothing in EH"),IF(NOT(EH_Ready),"Paste EH export and map headers on Settings",IF(AND(AB15&gt;0,AF15="No"),"SET UP in EH - add "&amp;TEXT(AB15,"0.##")&amp;" day(s) ("&amp;TEXT(AC15,"0.##")&amp;" hrs)",IF(AK15&gt;0,"ADD "&amp;TEXT(AK15,"0.##")&amp;" day(s) ("&amp;TEXT(AL15,"0.##")&amp;" hrs) in EH",IF(AK15&lt;0,"CHECK - EH shows "&amp;TEXT(-AK15,"0.##")&amp;" days more than policy",IF(AB15&gt;0,"OK - up to date",IF(AY15="None","No action - not eligible","No action - not yet qualified"))))))))</f>
        <v/>
      </c>
      <c r="AN15" s="27" t="str">
        <f aca="false">IF(AO15=0,"",TRIM(IF(AND($K15&lt;&gt;"",$H15=""),"Change 2 entered without Change 1. ","")&amp;IF(AND($K15&lt;&gt;"",$H15&lt;&gt;"",$K15&lt;=$H15),"Change 2 date not after Change 1. ","")&amp;IF(AND($N15&lt;&gt;"",$O15&lt;&gt;"",$O15&lt;$N15),"Leave To is before Leave From. ","")&amp;IF(AND($N15&lt;&gt;"",$O15=""),"Leave From entered without Leave To. ","")&amp;IF(AND(IFERROR(VLOOKUP(T15,TypeTable,2,0),"None")="PT",U15=""),"Part-time with no hours entered. ","")&amp;IF(AND($H15&lt;&gt;"",$H15&gt;AsOfDate,AD15&lt;&gt;"",$H15&lt;=AD15),"Status change lands before next accrual - review. ","")&amp;IF(AND($Q15&lt;&gt;"",$Q15&lt;$E15),"Termination before commencement. ","")))</f>
        <v/>
      </c>
      <c r="AO15" s="11" t="n">
        <f aca="false">IF(LEN($A15&amp;$B15&amp;$C15)=0,0,IF($E15="",0,1))</f>
        <v>0</v>
      </c>
      <c r="AP15" s="11" t="str">
        <f aca="false">IF(AO15=0,"",(IF(OR($N15="",$O15=""),0,MAX(0,MIN(X15,$O15)-MAX($N15,$E15)+1))+N($P15)))</f>
        <v/>
      </c>
      <c r="AQ15" s="11" t="str">
        <f aca="false">IF(AO15=0,"",IF(X15&lt;($E15+(IF(OR($N15="",$O15=""),0,MAX(0,MIN(X15,$O15)-MAX($N15,$E15)+1))+N($P15))),-1,12*(YEAR(X15)-YEAR(($E15+(IF(OR($N15="",$O15=""),0,MAX(0,MIN(X15,$O15)-MAX($N15,$E15)+1))+N($P15)))))+MONTH(X15)-MONTH(($E15+(IF(OR($N15="",$O15=""),0,MAX(0,MIN(X15,$O15)-MAX($N15,$E15)+1))+N($P15))))-IF(DAY(X15)&lt;MIN(DAY(($E15+(IF(OR($N15="",$O15=""),0,MAX(0,MIN(X15,$O15)-MAX($N15,$E15)+1))+N($P15)))),DAY(EOMONTH(X15,0))),1,0)))</f>
        <v/>
      </c>
      <c r="AR15" s="28" t="str">
        <f aca="false">IF(AO15=0,"",IF($H15="","",IF($H15&gt;X15,"",$H15)))</f>
        <v/>
      </c>
      <c r="AS15" s="28" t="str">
        <f aca="false">IF(AO15=0,"",IF(AR15="","",IF($K15="","",IF($K15&gt;X15,"",$K15))))</f>
        <v/>
      </c>
      <c r="AT15" s="11" t="str">
        <f aca="false">IF(AO15=0,"",IF(AR15="",AQ15,IF((AR15-1)&lt;($E15+(IF(OR($N15="",$O15=""),0,MAX(0,MIN((AR15-1),$O15)-MAX($N15,$E15)+1))+N($P15))),-1,12*(YEAR((AR15-1))-YEAR(($E15+(IF(OR($N15="",$O15=""),0,MAX(0,MIN((AR15-1),$O15)-MAX($N15,$E15)+1))+N($P15)))))+MONTH((AR15-1))-MONTH(($E15+(IF(OR($N15="",$O15=""),0,MAX(0,MIN((AR15-1),$O15)-MAX($N15,$E15)+1))+N($P15))))-IF(DAY((AR15-1))&lt;MIN(DAY(($E15+(IF(OR($N15="",$O15=""),0,MAX(0,MIN((AR15-1),$O15)-MAX($N15,$E15)+1))+N($P15)))),DAY(EOMONTH((AR15-1),0))),1,0))))</f>
        <v/>
      </c>
      <c r="AU15" s="11" t="str">
        <f aca="false">IF(AO15=0,"",IF(AS15="",AQ15,IF((AS15-1)&lt;($E15+(IF(OR($N15="",$O15=""),0,MAX(0,MIN((AS15-1),$O15)-MAX($N15,$E15)+1))+N($P15))),-1,12*(YEAR((AS15-1))-YEAR(($E15+(IF(OR($N15="",$O15=""),0,MAX(0,MIN((AS15-1),$O15)-MAX($N15,$E15)+1))+N($P15)))))+MONTH((AS15-1))-MONTH(($E15+(IF(OR($N15="",$O15=""),0,MAX(0,MIN((AS15-1),$O15)-MAX($N15,$E15)+1))+N($P15))))-IF(DAY((AS15-1))&lt;MIN(DAY(($E15+(IF(OR($N15="",$O15=""),0,MAX(0,MIN((AS15-1),$O15)-MAX($N15,$E15)+1))+N($P15)))),DAY(EOMONTH((AS15-1),0))),1,0))))</f>
        <v/>
      </c>
      <c r="AV15" s="11" t="str">
        <f aca="false">IF(AO15=0,"",IF($F15="","None",IF(IFERROR(VLOOKUP($F15,TypeTable,2,0),"None")="PT",IF(N($G15)&gt;=PT_MinHours,"PT","None"),IFERROR(VLOOKUP($F15,TypeTable,2,0),"None"))))</f>
        <v/>
      </c>
      <c r="AW15" s="11" t="str">
        <f aca="false">IF(AO15=0,"",IF($I15="","None",IF(IFERROR(VLOOKUP($I15,TypeTable,2,0),"None")="PT",IF(N($J15)&gt;=PT_MinHours,"PT","None"),IFERROR(VLOOKUP($I15,TypeTable,2,0),"None"))))</f>
        <v/>
      </c>
      <c r="AX15" s="11" t="str">
        <f aca="false">IF(AO15=0,"",IF($L15="","None",IF(IFERROR(VLOOKUP($L15,TypeTable,2,0),"None")="PT",IF(N($M15)&gt;=PT_MinHours,"PT","None"),IFERROR(VLOOKUP($L15,TypeTable,2,0),"None"))))</f>
        <v/>
      </c>
      <c r="AY15" s="11" t="str">
        <f aca="false">IF(AO15=0,"",IF(AS15&lt;&gt;"",AX15,IF(AR15&lt;&gt;"",AW15,AV15)))</f>
        <v/>
      </c>
      <c r="AZ15" s="11" t="str">
        <f aca="false">IF(AO15=0,"",IF(AV15="FT",IF(AT15&lt;FT_First,0,IF(AT15&lt;FT_Y5,1+INT((AT15-FT_First)/FT_Int1),FT_PreY5+FT_PerYear*INT((AT15-FT_Y5)/12)+FT_AnnivDays+INT(MOD(AT15-FT_Y5,12)/FT_Int2))),IF(AV15="PT",IF(AT15&lt;PT_First,0,1+INT((AT15-PT_First)/PT_Int)),0)))</f>
        <v/>
      </c>
      <c r="BA15" s="11" t="str">
        <f aca="false">IF(AO15=0,"",IF(AW15="FT",IF(AT15&lt;FT_First,0,IF(AT15&lt;FT_Y5,1+INT((AT15-FT_First)/FT_Int1),FT_PreY5+FT_PerYear*INT((AT15-FT_Y5)/12)+FT_AnnivDays+INT(MOD(AT15-FT_Y5,12)/FT_Int2))),IF(AW15="PT",IF(AT15&lt;PT_First,0,1+INT((AT15-PT_First)/PT_Int)),0)))</f>
        <v/>
      </c>
      <c r="BB15" s="11" t="str">
        <f aca="false">IF(AO15=0,"",IF(AW15="FT",IF(AU15&lt;FT_First,0,IF(AU15&lt;FT_Y5,1+INT((AU15-FT_First)/FT_Int1),FT_PreY5+FT_PerYear*INT((AU15-FT_Y5)/12)+FT_AnnivDays+INT(MOD(AU15-FT_Y5,12)/FT_Int2))),IF(AW15="PT",IF(AU15&lt;PT_First,0,1+INT((AU15-PT_First)/PT_Int)),0)))</f>
        <v/>
      </c>
      <c r="BC15" s="11" t="str">
        <f aca="false">IF(AO15=0,"",IF(AX15="FT",IF(AU15&lt;FT_First,0,IF(AU15&lt;FT_Y5,1+INT((AU15-FT_First)/FT_Int1),FT_PreY5+FT_PerYear*INT((AU15-FT_Y5)/12)+FT_AnnivDays+INT(MOD(AU15-FT_Y5,12)/FT_Int2))),IF(AX15="PT",IF(AU15&lt;PT_First,0,1+INT((AU15-PT_First)/PT_Int)),0)))</f>
        <v/>
      </c>
      <c r="BD15" s="11" t="str">
        <f aca="false">IF(AO15=0,"",IF(AX15="FT",IF(AQ15&lt;FT_First,0,IF(AQ15&lt;FT_Y5,1+INT((AQ15-FT_First)/FT_Int1),FT_PreY5+FT_PerYear*INT((AQ15-FT_Y5)/12)+FT_AnnivDays+INT(MOD(AQ15-FT_Y5,12)/FT_Int2))),IF(AX15="PT",IF(AQ15&lt;PT_First,0,1+INT((AQ15-PT_First)/PT_Int)),0)))</f>
        <v/>
      </c>
      <c r="BE15" s="11" t="str">
        <f aca="false">IF(AO15=0,"",IF(AY15="FT",IF(AQ15&lt;FT_First,FT_First,IF(AQ15&lt;FT_Y5,MIN(FT_Y5,FT_First+FT_Int1*(INT((AQ15-FT_First)/FT_Int1)+1)),FT_Y5+12*INT((AQ15-FT_Y5)/12)+FT_Int2*(INT(MOD(AQ15-FT_Y5,12)/FT_Int2)+1))),IF(AY15="PT",IF(AQ15&lt;PT_First,PT_First,PT_First+PT_Int*(INT((AQ15-PT_First)/PT_Int)+1)),"")))</f>
        <v/>
      </c>
      <c r="BF15" s="11" t="n">
        <f aca="false">IF(AO15=0,0,IF(AND($Q15&lt;&gt;"",$Q15&lt;=AsOfDate),1,0))</f>
        <v>0</v>
      </c>
      <c r="BG15" s="11" t="str">
        <f aca="false">IF(AND(AO15=1,BF15=0,EH_Ready,N(AB15)&gt;0,N(AI15)=0),COUNT($BG$5:BG14)+1,"")</f>
        <v/>
      </c>
      <c r="BH15" s="11" t="str">
        <f aca="false">IF(AND(AO15=1,BF15=0,EH_Ready,N(AB15)&gt;0,N(AI15)&gt;0,N(AK15)&gt;0),COUNT($BH$5:BH14)+1,"")</f>
        <v/>
      </c>
      <c r="BI15" s="11" t="str">
        <f aca="false">IF(AND(AO15=1,OR(LEFT(AM15,3)="ADD",LEFT(AM15,3)="SET",LEFT(AM15,5)="CHECK",LEFT(AM15,10)="TERMINATED")),COUNT($BI$5:BI14)+1,"")</f>
        <v/>
      </c>
      <c r="BJ15" s="11" t="str">
        <f aca="false">IF(AO15=0,"",$A15&amp;" - "&amp;$B15&amp;" "&amp;$C15)</f>
        <v/>
      </c>
    </row>
    <row r="16" customFormat="false" ht="15" hidden="false" customHeight="false" outlineLevel="0" collapsed="false">
      <c r="A16" s="10"/>
      <c r="B16" s="10"/>
      <c r="C16" s="10"/>
      <c r="D16" s="10"/>
      <c r="E16" s="9"/>
      <c r="F16" s="10"/>
      <c r="G16" s="30"/>
      <c r="H16" s="9"/>
      <c r="I16" s="10"/>
      <c r="J16" s="30"/>
      <c r="K16" s="9"/>
      <c r="L16" s="10"/>
      <c r="M16" s="30"/>
      <c r="N16" s="9"/>
      <c r="O16" s="9"/>
      <c r="P16" s="30"/>
      <c r="Q16" s="9"/>
      <c r="R16" s="10"/>
      <c r="S16" s="11" t="str">
        <f aca="false">IF(AO16=0,"",IF($H16="","",$F16&amp;" -&gt; "&amp;$I16&amp;IF($I16="Part-Time"," ("&amp;N($J16)&amp;" hrs)","")&amp;" on "&amp;TEXT($H16,"dd/mm/yyyy")&amp;IF($H16&gt;AsOfDate," (FUTURE)","")&amp;IF($K16="","","; "&amp;$I16&amp;" -&gt; "&amp;$L16&amp;IF($L16="Part-Time"," ("&amp;N($M16)&amp;" hrs)","")&amp;" on "&amp;TEXT($K16,"dd/mm/yyyy")&amp;IF($K16&gt;AsOfDate," (FUTURE)",""))))</f>
        <v/>
      </c>
      <c r="T16" s="11" t="str">
        <f aca="false">IF(AO16=0,"",IF(AS16&lt;&gt;"",$L16,IF(AR16&lt;&gt;"",$I16,$F16)))</f>
        <v/>
      </c>
      <c r="U16" s="26" t="str">
        <f aca="false">IF(AO16=0,"",IF(AS16&lt;&gt;"",$M16,IF(AR16&lt;&gt;"",$J16,$G16)))</f>
        <v/>
      </c>
      <c r="V16" s="11" t="str">
        <f aca="false">IF(AO16=0,"",IF(AY16="FT","Full-Time",IF(AY16="PT","Part-Time","Not eligible")))</f>
        <v/>
      </c>
      <c r="W16" s="27" t="str">
        <f aca="false">IF(AO16=0,"",IF(AR16="",IF(AND($H16&lt;&gt;"",$H16&gt;AsOfDate),"Future change - not yet applied",""),IF(AND(AV16=AY16,OR(AS16="",AW16=AV16)),"Type changed - same accrual pathway",IF(AY16="None","STOPPED accruing from "&amp;TEXT(IF(AS16&lt;&gt;"",AS16,AR16),"dd/mm/yyyy"),IF(AV16="None","STARTED qualifying from "&amp;TEXT(IF(AS16&lt;&gt;"",AS16,AR16),"dd/mm/yyyy"),"Pathway changed "&amp;AV16&amp;" -&gt; "&amp;AW16&amp;IF(AS16&lt;&gt;""," -&gt; "&amp;AX16,"")&amp;" from "&amp;TEXT(IF(AS16&lt;&gt;"",AS16,AR16),"dd/mm/yyyy"))))))</f>
        <v/>
      </c>
      <c r="X16" s="28" t="str">
        <f aca="false">IF(AO16=0,"",IF($Q16="",AsOfDate,MIN(AsOfDate,$Q16)))</f>
        <v/>
      </c>
      <c r="Y16" s="26" t="str">
        <f aca="false">IF(AO16=0,"",MAX(0,AQ16))</f>
        <v/>
      </c>
      <c r="Z16" s="11" t="str">
        <f aca="false">IF(AO16=0,"",IF(AQ16&lt;0,"Not started",INT(AQ16/12)&amp;"y "&amp;MOD(AQ16,12)&amp;"m"))</f>
        <v/>
      </c>
      <c r="AA16" s="27" t="str">
        <f aca="false">IF(AO16=0,"",IF(BF16=1,"Terminated - balance forfeited",IF(AY16="None",IF(AB16&gt;0,"No longer accruing - "&amp;T16,"Not eligible - "&amp;T16&amp;IF(AND(IFERROR(VLOOKUP(T16,TypeTable,2,0),"None")="PT",N(U16)&lt;PT_MinHours)," (under "&amp;PT_MinHours&amp;" hrs)","")),IF(AB16&gt;0,"Yes - accruing","Not yet - qualifies "&amp;TEXT(AD16,"dd/mm/yyyy")))))</f>
        <v/>
      </c>
      <c r="AB16" s="26" t="str">
        <f aca="false">IF(AO16=0,"",AZ16+IF(AR16="",0,BB16-BA16)+IF(AS16="",0,BD16-BC16))</f>
        <v/>
      </c>
      <c r="AC16" s="26" t="str">
        <f aca="false">IF(AO16=0,"",AB16*HoursPerDay)</f>
        <v/>
      </c>
      <c r="AD16" s="28" t="str">
        <f aca="false">IF(AO16=0,"",IF(OR(BF16=1,AY16="None"),"",EDATE($E16+AP16,BE16)))</f>
        <v/>
      </c>
      <c r="AE16" s="26" t="str">
        <f aca="false">IF(AD16="","",IF(AY16="PT",1,IF(BE16&lt;FT_Y5,1,IF(MOD(BE16-FT_Y5,12)=0,FT_AnnivDays,1))))</f>
        <v/>
      </c>
      <c r="AF16" s="27" t="str">
        <f aca="false">IF(AO16=0,"",IF(NOT(EH_Ready),"Map headers",IF(IF(MatchMode="Employee ID",COUNTIFS(INDEX(EH_Data,0,EH_ColID),$A16,INDEX(EH_Data,0,EH_ColCat),BonusCat),COUNTIFS(INDEX(EH_Data,0,EH_ColFirst),$B16,INDEX(EH_Data,0,EH_ColSur),$C16,INDEX(EH_Data,0,EH_ColCat),BonusCat))&gt;0,"Yes","No")))</f>
        <v/>
      </c>
      <c r="AG16" s="26" t="str">
        <f aca="false">IF(AO16=0,"",IF(NOT(EH_Ready),"",IF(MatchMode="Employee ID",SUMIFS(INDEX(EH_Data,0,EH_ColBal),INDEX(EH_Data,0,EH_ColID),$A16,INDEX(EH_Data,0,EH_ColCat),BonusCat),SUMIFS(INDEX(EH_Data,0,EH_ColBal),INDEX(EH_Data,0,EH_ColFirst),$B16,INDEX(EH_Data,0,EH_ColSur),$C16,INDEX(EH_Data,0,EH_ColCat),BonusCat))/IF(EHUnit="Hours",HoursPerDay,1)))</f>
        <v/>
      </c>
      <c r="AH16" s="26" t="str">
        <f aca="false">IF(AO16=0,"",IF(NOT(TK_Ready),0,IF(MatchMode="Employee ID",SUMIFS(INDEX(TK_Data,0,TK_ColAmt),INDEX(TK_Data,0,TK_ColID),$A16,INDEX(TK_Data,0,TK_ColCat),BonusCat),SUMIFS(INDEX(TK_Data,0,TK_ColAmt),INDEX(TK_Data,0,TK_ColFirst),$B16,INDEX(TK_Data,0,TK_ColSur),$C16,INDEX(TK_Data,0,TK_ColCat),BonusCat))/IF(TKUnit="Hours",HoursPerDay,1)))</f>
        <v/>
      </c>
      <c r="AI16" s="26" t="str">
        <f aca="false">IF(AO16=0,"",N(AG16)+N(AH16))</f>
        <v/>
      </c>
      <c r="AJ16" s="29" t="str">
        <f aca="false">IF(AO16=0,"",IF(NOT(AND(EH_Ready,EH_ValReady)),"",IF(MatchMode="Employee ID",SUMIFS(INDEX(EH_Data,0,EH_ColVal),INDEX(EH_Data,0,EH_ColID),$A16,INDEX(EH_Data,0,EH_ColCat),BonusCat),SUMIFS(INDEX(EH_Data,0,EH_ColVal),INDEX(EH_Data,0,EH_ColFirst),$B16,INDEX(EH_Data,0,EH_ColSur),$C16,INDEX(EH_Data,0,EH_ColCat),BonusCat))))</f>
        <v/>
      </c>
      <c r="AK16" s="26" t="str">
        <f aca="false">IF(AO16=0,"",IF(OR(NOT(EH_Ready),BF16=1),"",AB16-AI16))</f>
        <v/>
      </c>
      <c r="AL16" s="26" t="str">
        <f aca="false">IF(AK16="","",AK16*HoursPerDay)</f>
        <v/>
      </c>
      <c r="AM16" s="27" t="str">
        <f aca="false">IF(AO16=0,"",IF(BF16=1,IF(N(AG16)&gt;0,"TERMINATED - forfeit "&amp;TEXT(AG16,"0.##")&amp;" days still in EH","Terminated - nothing in EH"),IF(NOT(EH_Ready),"Paste EH export and map headers on Settings",IF(AND(AB16&gt;0,AF16="No"),"SET UP in EH - add "&amp;TEXT(AB16,"0.##")&amp;" day(s) ("&amp;TEXT(AC16,"0.##")&amp;" hrs)",IF(AK16&gt;0,"ADD "&amp;TEXT(AK16,"0.##")&amp;" day(s) ("&amp;TEXT(AL16,"0.##")&amp;" hrs) in EH",IF(AK16&lt;0,"CHECK - EH shows "&amp;TEXT(-AK16,"0.##")&amp;" days more than policy",IF(AB16&gt;0,"OK - up to date",IF(AY16="None","No action - not eligible","No action - not yet qualified"))))))))</f>
        <v/>
      </c>
      <c r="AN16" s="27" t="str">
        <f aca="false">IF(AO16=0,"",TRIM(IF(AND($K16&lt;&gt;"",$H16=""),"Change 2 entered without Change 1. ","")&amp;IF(AND($K16&lt;&gt;"",$H16&lt;&gt;"",$K16&lt;=$H16),"Change 2 date not after Change 1. ","")&amp;IF(AND($N16&lt;&gt;"",$O16&lt;&gt;"",$O16&lt;$N16),"Leave To is before Leave From. ","")&amp;IF(AND($N16&lt;&gt;"",$O16=""),"Leave From entered without Leave To. ","")&amp;IF(AND(IFERROR(VLOOKUP(T16,TypeTable,2,0),"None")="PT",U16=""),"Part-time with no hours entered. ","")&amp;IF(AND($H16&lt;&gt;"",$H16&gt;AsOfDate,AD16&lt;&gt;"",$H16&lt;=AD16),"Status change lands before next accrual - review. ","")&amp;IF(AND($Q16&lt;&gt;"",$Q16&lt;$E16),"Termination before commencement. ","")))</f>
        <v/>
      </c>
      <c r="AO16" s="11" t="n">
        <f aca="false">IF(LEN($A16&amp;$B16&amp;$C16)=0,0,IF($E16="",0,1))</f>
        <v>0</v>
      </c>
      <c r="AP16" s="11" t="str">
        <f aca="false">IF(AO16=0,"",(IF(OR($N16="",$O16=""),0,MAX(0,MIN(X16,$O16)-MAX($N16,$E16)+1))+N($P16)))</f>
        <v/>
      </c>
      <c r="AQ16" s="11" t="str">
        <f aca="false">IF(AO16=0,"",IF(X16&lt;($E16+(IF(OR($N16="",$O16=""),0,MAX(0,MIN(X16,$O16)-MAX($N16,$E16)+1))+N($P16))),-1,12*(YEAR(X16)-YEAR(($E16+(IF(OR($N16="",$O16=""),0,MAX(0,MIN(X16,$O16)-MAX($N16,$E16)+1))+N($P16)))))+MONTH(X16)-MONTH(($E16+(IF(OR($N16="",$O16=""),0,MAX(0,MIN(X16,$O16)-MAX($N16,$E16)+1))+N($P16))))-IF(DAY(X16)&lt;MIN(DAY(($E16+(IF(OR($N16="",$O16=""),0,MAX(0,MIN(X16,$O16)-MAX($N16,$E16)+1))+N($P16)))),DAY(EOMONTH(X16,0))),1,0)))</f>
        <v/>
      </c>
      <c r="AR16" s="28" t="str">
        <f aca="false">IF(AO16=0,"",IF($H16="","",IF($H16&gt;X16,"",$H16)))</f>
        <v/>
      </c>
      <c r="AS16" s="28" t="str">
        <f aca="false">IF(AO16=0,"",IF(AR16="","",IF($K16="","",IF($K16&gt;X16,"",$K16))))</f>
        <v/>
      </c>
      <c r="AT16" s="11" t="str">
        <f aca="false">IF(AO16=0,"",IF(AR16="",AQ16,IF((AR16-1)&lt;($E16+(IF(OR($N16="",$O16=""),0,MAX(0,MIN((AR16-1),$O16)-MAX($N16,$E16)+1))+N($P16))),-1,12*(YEAR((AR16-1))-YEAR(($E16+(IF(OR($N16="",$O16=""),0,MAX(0,MIN((AR16-1),$O16)-MAX($N16,$E16)+1))+N($P16)))))+MONTH((AR16-1))-MONTH(($E16+(IF(OR($N16="",$O16=""),0,MAX(0,MIN((AR16-1),$O16)-MAX($N16,$E16)+1))+N($P16))))-IF(DAY((AR16-1))&lt;MIN(DAY(($E16+(IF(OR($N16="",$O16=""),0,MAX(0,MIN((AR16-1),$O16)-MAX($N16,$E16)+1))+N($P16)))),DAY(EOMONTH((AR16-1),0))),1,0))))</f>
        <v/>
      </c>
      <c r="AU16" s="11" t="str">
        <f aca="false">IF(AO16=0,"",IF(AS16="",AQ16,IF((AS16-1)&lt;($E16+(IF(OR($N16="",$O16=""),0,MAX(0,MIN((AS16-1),$O16)-MAX($N16,$E16)+1))+N($P16))),-1,12*(YEAR((AS16-1))-YEAR(($E16+(IF(OR($N16="",$O16=""),0,MAX(0,MIN((AS16-1),$O16)-MAX($N16,$E16)+1))+N($P16)))))+MONTH((AS16-1))-MONTH(($E16+(IF(OR($N16="",$O16=""),0,MAX(0,MIN((AS16-1),$O16)-MAX($N16,$E16)+1))+N($P16))))-IF(DAY((AS16-1))&lt;MIN(DAY(($E16+(IF(OR($N16="",$O16=""),0,MAX(0,MIN((AS16-1),$O16)-MAX($N16,$E16)+1))+N($P16)))),DAY(EOMONTH((AS16-1),0))),1,0))))</f>
        <v/>
      </c>
      <c r="AV16" s="11" t="str">
        <f aca="false">IF(AO16=0,"",IF($F16="","None",IF(IFERROR(VLOOKUP($F16,TypeTable,2,0),"None")="PT",IF(N($G16)&gt;=PT_MinHours,"PT","None"),IFERROR(VLOOKUP($F16,TypeTable,2,0),"None"))))</f>
        <v/>
      </c>
      <c r="AW16" s="11" t="str">
        <f aca="false">IF(AO16=0,"",IF($I16="","None",IF(IFERROR(VLOOKUP($I16,TypeTable,2,0),"None")="PT",IF(N($J16)&gt;=PT_MinHours,"PT","None"),IFERROR(VLOOKUP($I16,TypeTable,2,0),"None"))))</f>
        <v/>
      </c>
      <c r="AX16" s="11" t="str">
        <f aca="false">IF(AO16=0,"",IF($L16="","None",IF(IFERROR(VLOOKUP($L16,TypeTable,2,0),"None")="PT",IF(N($M16)&gt;=PT_MinHours,"PT","None"),IFERROR(VLOOKUP($L16,TypeTable,2,0),"None"))))</f>
        <v/>
      </c>
      <c r="AY16" s="11" t="str">
        <f aca="false">IF(AO16=0,"",IF(AS16&lt;&gt;"",AX16,IF(AR16&lt;&gt;"",AW16,AV16)))</f>
        <v/>
      </c>
      <c r="AZ16" s="11" t="str">
        <f aca="false">IF(AO16=0,"",IF(AV16="FT",IF(AT16&lt;FT_First,0,IF(AT16&lt;FT_Y5,1+INT((AT16-FT_First)/FT_Int1),FT_PreY5+FT_PerYear*INT((AT16-FT_Y5)/12)+FT_AnnivDays+INT(MOD(AT16-FT_Y5,12)/FT_Int2))),IF(AV16="PT",IF(AT16&lt;PT_First,0,1+INT((AT16-PT_First)/PT_Int)),0)))</f>
        <v/>
      </c>
      <c r="BA16" s="11" t="str">
        <f aca="false">IF(AO16=0,"",IF(AW16="FT",IF(AT16&lt;FT_First,0,IF(AT16&lt;FT_Y5,1+INT((AT16-FT_First)/FT_Int1),FT_PreY5+FT_PerYear*INT((AT16-FT_Y5)/12)+FT_AnnivDays+INT(MOD(AT16-FT_Y5,12)/FT_Int2))),IF(AW16="PT",IF(AT16&lt;PT_First,0,1+INT((AT16-PT_First)/PT_Int)),0)))</f>
        <v/>
      </c>
      <c r="BB16" s="11" t="str">
        <f aca="false">IF(AO16=0,"",IF(AW16="FT",IF(AU16&lt;FT_First,0,IF(AU16&lt;FT_Y5,1+INT((AU16-FT_First)/FT_Int1),FT_PreY5+FT_PerYear*INT((AU16-FT_Y5)/12)+FT_AnnivDays+INT(MOD(AU16-FT_Y5,12)/FT_Int2))),IF(AW16="PT",IF(AU16&lt;PT_First,0,1+INT((AU16-PT_First)/PT_Int)),0)))</f>
        <v/>
      </c>
      <c r="BC16" s="11" t="str">
        <f aca="false">IF(AO16=0,"",IF(AX16="FT",IF(AU16&lt;FT_First,0,IF(AU16&lt;FT_Y5,1+INT((AU16-FT_First)/FT_Int1),FT_PreY5+FT_PerYear*INT((AU16-FT_Y5)/12)+FT_AnnivDays+INT(MOD(AU16-FT_Y5,12)/FT_Int2))),IF(AX16="PT",IF(AU16&lt;PT_First,0,1+INT((AU16-PT_First)/PT_Int)),0)))</f>
        <v/>
      </c>
      <c r="BD16" s="11" t="str">
        <f aca="false">IF(AO16=0,"",IF(AX16="FT",IF(AQ16&lt;FT_First,0,IF(AQ16&lt;FT_Y5,1+INT((AQ16-FT_First)/FT_Int1),FT_PreY5+FT_PerYear*INT((AQ16-FT_Y5)/12)+FT_AnnivDays+INT(MOD(AQ16-FT_Y5,12)/FT_Int2))),IF(AX16="PT",IF(AQ16&lt;PT_First,0,1+INT((AQ16-PT_First)/PT_Int)),0)))</f>
        <v/>
      </c>
      <c r="BE16" s="11" t="str">
        <f aca="false">IF(AO16=0,"",IF(AY16="FT",IF(AQ16&lt;FT_First,FT_First,IF(AQ16&lt;FT_Y5,MIN(FT_Y5,FT_First+FT_Int1*(INT((AQ16-FT_First)/FT_Int1)+1)),FT_Y5+12*INT((AQ16-FT_Y5)/12)+FT_Int2*(INT(MOD(AQ16-FT_Y5,12)/FT_Int2)+1))),IF(AY16="PT",IF(AQ16&lt;PT_First,PT_First,PT_First+PT_Int*(INT((AQ16-PT_First)/PT_Int)+1)),"")))</f>
        <v/>
      </c>
      <c r="BF16" s="11" t="n">
        <f aca="false">IF(AO16=0,0,IF(AND($Q16&lt;&gt;"",$Q16&lt;=AsOfDate),1,0))</f>
        <v>0</v>
      </c>
      <c r="BG16" s="11" t="str">
        <f aca="false">IF(AND(AO16=1,BF16=0,EH_Ready,N(AB16)&gt;0,N(AI16)=0),COUNT($BG$5:BG15)+1,"")</f>
        <v/>
      </c>
      <c r="BH16" s="11" t="str">
        <f aca="false">IF(AND(AO16=1,BF16=0,EH_Ready,N(AB16)&gt;0,N(AI16)&gt;0,N(AK16)&gt;0),COUNT($BH$5:BH15)+1,"")</f>
        <v/>
      </c>
      <c r="BI16" s="11" t="str">
        <f aca="false">IF(AND(AO16=1,OR(LEFT(AM16,3)="ADD",LEFT(AM16,3)="SET",LEFT(AM16,5)="CHECK",LEFT(AM16,10)="TERMINATED")),COUNT($BI$5:BI15)+1,"")</f>
        <v/>
      </c>
      <c r="BJ16" s="11" t="str">
        <f aca="false">IF(AO16=0,"",$A16&amp;" - "&amp;$B16&amp;" "&amp;$C16)</f>
        <v/>
      </c>
    </row>
    <row r="17" customFormat="false" ht="15" hidden="false" customHeight="false" outlineLevel="0" collapsed="false">
      <c r="A17" s="10"/>
      <c r="B17" s="10"/>
      <c r="C17" s="10"/>
      <c r="D17" s="10"/>
      <c r="E17" s="9"/>
      <c r="F17" s="10"/>
      <c r="G17" s="30"/>
      <c r="H17" s="9"/>
      <c r="I17" s="10"/>
      <c r="J17" s="30"/>
      <c r="K17" s="9"/>
      <c r="L17" s="10"/>
      <c r="M17" s="30"/>
      <c r="N17" s="9"/>
      <c r="O17" s="9"/>
      <c r="P17" s="30"/>
      <c r="Q17" s="9"/>
      <c r="R17" s="10"/>
      <c r="S17" s="11" t="str">
        <f aca="false">IF(AO17=0,"",IF($H17="","",$F17&amp;" -&gt; "&amp;$I17&amp;IF($I17="Part-Time"," ("&amp;N($J17)&amp;" hrs)","")&amp;" on "&amp;TEXT($H17,"dd/mm/yyyy")&amp;IF($H17&gt;AsOfDate," (FUTURE)","")&amp;IF($K17="","","; "&amp;$I17&amp;" -&gt; "&amp;$L17&amp;IF($L17="Part-Time"," ("&amp;N($M17)&amp;" hrs)","")&amp;" on "&amp;TEXT($K17,"dd/mm/yyyy")&amp;IF($K17&gt;AsOfDate," (FUTURE)",""))))</f>
        <v/>
      </c>
      <c r="T17" s="11" t="str">
        <f aca="false">IF(AO17=0,"",IF(AS17&lt;&gt;"",$L17,IF(AR17&lt;&gt;"",$I17,$F17)))</f>
        <v/>
      </c>
      <c r="U17" s="26" t="str">
        <f aca="false">IF(AO17=0,"",IF(AS17&lt;&gt;"",$M17,IF(AR17&lt;&gt;"",$J17,$G17)))</f>
        <v/>
      </c>
      <c r="V17" s="11" t="str">
        <f aca="false">IF(AO17=0,"",IF(AY17="FT","Full-Time",IF(AY17="PT","Part-Time","Not eligible")))</f>
        <v/>
      </c>
      <c r="W17" s="27" t="str">
        <f aca="false">IF(AO17=0,"",IF(AR17="",IF(AND($H17&lt;&gt;"",$H17&gt;AsOfDate),"Future change - not yet applied",""),IF(AND(AV17=AY17,OR(AS17="",AW17=AV17)),"Type changed - same accrual pathway",IF(AY17="None","STOPPED accruing from "&amp;TEXT(IF(AS17&lt;&gt;"",AS17,AR17),"dd/mm/yyyy"),IF(AV17="None","STARTED qualifying from "&amp;TEXT(IF(AS17&lt;&gt;"",AS17,AR17),"dd/mm/yyyy"),"Pathway changed "&amp;AV17&amp;" -&gt; "&amp;AW17&amp;IF(AS17&lt;&gt;""," -&gt; "&amp;AX17,"")&amp;" from "&amp;TEXT(IF(AS17&lt;&gt;"",AS17,AR17),"dd/mm/yyyy"))))))</f>
        <v/>
      </c>
      <c r="X17" s="28" t="str">
        <f aca="false">IF(AO17=0,"",IF($Q17="",AsOfDate,MIN(AsOfDate,$Q17)))</f>
        <v/>
      </c>
      <c r="Y17" s="26" t="str">
        <f aca="false">IF(AO17=0,"",MAX(0,AQ17))</f>
        <v/>
      </c>
      <c r="Z17" s="11" t="str">
        <f aca="false">IF(AO17=0,"",IF(AQ17&lt;0,"Not started",INT(AQ17/12)&amp;"y "&amp;MOD(AQ17,12)&amp;"m"))</f>
        <v/>
      </c>
      <c r="AA17" s="27" t="str">
        <f aca="false">IF(AO17=0,"",IF(BF17=1,"Terminated - balance forfeited",IF(AY17="None",IF(AB17&gt;0,"No longer accruing - "&amp;T17,"Not eligible - "&amp;T17&amp;IF(AND(IFERROR(VLOOKUP(T17,TypeTable,2,0),"None")="PT",N(U17)&lt;PT_MinHours)," (under "&amp;PT_MinHours&amp;" hrs)","")),IF(AB17&gt;0,"Yes - accruing","Not yet - qualifies "&amp;TEXT(AD17,"dd/mm/yyyy")))))</f>
        <v/>
      </c>
      <c r="AB17" s="26" t="str">
        <f aca="false">IF(AO17=0,"",AZ17+IF(AR17="",0,BB17-BA17)+IF(AS17="",0,BD17-BC17))</f>
        <v/>
      </c>
      <c r="AC17" s="26" t="str">
        <f aca="false">IF(AO17=0,"",AB17*HoursPerDay)</f>
        <v/>
      </c>
      <c r="AD17" s="28" t="str">
        <f aca="false">IF(AO17=0,"",IF(OR(BF17=1,AY17="None"),"",EDATE($E17+AP17,BE17)))</f>
        <v/>
      </c>
      <c r="AE17" s="26" t="str">
        <f aca="false">IF(AD17="","",IF(AY17="PT",1,IF(BE17&lt;FT_Y5,1,IF(MOD(BE17-FT_Y5,12)=0,FT_AnnivDays,1))))</f>
        <v/>
      </c>
      <c r="AF17" s="27" t="str">
        <f aca="false">IF(AO17=0,"",IF(NOT(EH_Ready),"Map headers",IF(IF(MatchMode="Employee ID",COUNTIFS(INDEX(EH_Data,0,EH_ColID),$A17,INDEX(EH_Data,0,EH_ColCat),BonusCat),COUNTIFS(INDEX(EH_Data,0,EH_ColFirst),$B17,INDEX(EH_Data,0,EH_ColSur),$C17,INDEX(EH_Data,0,EH_ColCat),BonusCat))&gt;0,"Yes","No")))</f>
        <v/>
      </c>
      <c r="AG17" s="26" t="str">
        <f aca="false">IF(AO17=0,"",IF(NOT(EH_Ready),"",IF(MatchMode="Employee ID",SUMIFS(INDEX(EH_Data,0,EH_ColBal),INDEX(EH_Data,0,EH_ColID),$A17,INDEX(EH_Data,0,EH_ColCat),BonusCat),SUMIFS(INDEX(EH_Data,0,EH_ColBal),INDEX(EH_Data,0,EH_ColFirst),$B17,INDEX(EH_Data,0,EH_ColSur),$C17,INDEX(EH_Data,0,EH_ColCat),BonusCat))/IF(EHUnit="Hours",HoursPerDay,1)))</f>
        <v/>
      </c>
      <c r="AH17" s="26" t="str">
        <f aca="false">IF(AO17=0,"",IF(NOT(TK_Ready),0,IF(MatchMode="Employee ID",SUMIFS(INDEX(TK_Data,0,TK_ColAmt),INDEX(TK_Data,0,TK_ColID),$A17,INDEX(TK_Data,0,TK_ColCat),BonusCat),SUMIFS(INDEX(TK_Data,0,TK_ColAmt),INDEX(TK_Data,0,TK_ColFirst),$B17,INDEX(TK_Data,0,TK_ColSur),$C17,INDEX(TK_Data,0,TK_ColCat),BonusCat))/IF(TKUnit="Hours",HoursPerDay,1)))</f>
        <v/>
      </c>
      <c r="AI17" s="26" t="str">
        <f aca="false">IF(AO17=0,"",N(AG17)+N(AH17))</f>
        <v/>
      </c>
      <c r="AJ17" s="29" t="str">
        <f aca="false">IF(AO17=0,"",IF(NOT(AND(EH_Ready,EH_ValReady)),"",IF(MatchMode="Employee ID",SUMIFS(INDEX(EH_Data,0,EH_ColVal),INDEX(EH_Data,0,EH_ColID),$A17,INDEX(EH_Data,0,EH_ColCat),BonusCat),SUMIFS(INDEX(EH_Data,0,EH_ColVal),INDEX(EH_Data,0,EH_ColFirst),$B17,INDEX(EH_Data,0,EH_ColSur),$C17,INDEX(EH_Data,0,EH_ColCat),BonusCat))))</f>
        <v/>
      </c>
      <c r="AK17" s="26" t="str">
        <f aca="false">IF(AO17=0,"",IF(OR(NOT(EH_Ready),BF17=1),"",AB17-AI17))</f>
        <v/>
      </c>
      <c r="AL17" s="26" t="str">
        <f aca="false">IF(AK17="","",AK17*HoursPerDay)</f>
        <v/>
      </c>
      <c r="AM17" s="27" t="str">
        <f aca="false">IF(AO17=0,"",IF(BF17=1,IF(N(AG17)&gt;0,"TERMINATED - forfeit "&amp;TEXT(AG17,"0.##")&amp;" days still in EH","Terminated - nothing in EH"),IF(NOT(EH_Ready),"Paste EH export and map headers on Settings",IF(AND(AB17&gt;0,AF17="No"),"SET UP in EH - add "&amp;TEXT(AB17,"0.##")&amp;" day(s) ("&amp;TEXT(AC17,"0.##")&amp;" hrs)",IF(AK17&gt;0,"ADD "&amp;TEXT(AK17,"0.##")&amp;" day(s) ("&amp;TEXT(AL17,"0.##")&amp;" hrs) in EH",IF(AK17&lt;0,"CHECK - EH shows "&amp;TEXT(-AK17,"0.##")&amp;" days more than policy",IF(AB17&gt;0,"OK - up to date",IF(AY17="None","No action - not eligible","No action - not yet qualified"))))))))</f>
        <v/>
      </c>
      <c r="AN17" s="27" t="str">
        <f aca="false">IF(AO17=0,"",TRIM(IF(AND($K17&lt;&gt;"",$H17=""),"Change 2 entered without Change 1. ","")&amp;IF(AND($K17&lt;&gt;"",$H17&lt;&gt;"",$K17&lt;=$H17),"Change 2 date not after Change 1. ","")&amp;IF(AND($N17&lt;&gt;"",$O17&lt;&gt;"",$O17&lt;$N17),"Leave To is before Leave From. ","")&amp;IF(AND($N17&lt;&gt;"",$O17=""),"Leave From entered without Leave To. ","")&amp;IF(AND(IFERROR(VLOOKUP(T17,TypeTable,2,0),"None")="PT",U17=""),"Part-time with no hours entered. ","")&amp;IF(AND($H17&lt;&gt;"",$H17&gt;AsOfDate,AD17&lt;&gt;"",$H17&lt;=AD17),"Status change lands before next accrual - review. ","")&amp;IF(AND($Q17&lt;&gt;"",$Q17&lt;$E17),"Termination before commencement. ","")))</f>
        <v/>
      </c>
      <c r="AO17" s="11" t="n">
        <f aca="false">IF(LEN($A17&amp;$B17&amp;$C17)=0,0,IF($E17="",0,1))</f>
        <v>0</v>
      </c>
      <c r="AP17" s="11" t="str">
        <f aca="false">IF(AO17=0,"",(IF(OR($N17="",$O17=""),0,MAX(0,MIN(X17,$O17)-MAX($N17,$E17)+1))+N($P17)))</f>
        <v/>
      </c>
      <c r="AQ17" s="11" t="str">
        <f aca="false">IF(AO17=0,"",IF(X17&lt;($E17+(IF(OR($N17="",$O17=""),0,MAX(0,MIN(X17,$O17)-MAX($N17,$E17)+1))+N($P17))),-1,12*(YEAR(X17)-YEAR(($E17+(IF(OR($N17="",$O17=""),0,MAX(0,MIN(X17,$O17)-MAX($N17,$E17)+1))+N($P17)))))+MONTH(X17)-MONTH(($E17+(IF(OR($N17="",$O17=""),0,MAX(0,MIN(X17,$O17)-MAX($N17,$E17)+1))+N($P17))))-IF(DAY(X17)&lt;MIN(DAY(($E17+(IF(OR($N17="",$O17=""),0,MAX(0,MIN(X17,$O17)-MAX($N17,$E17)+1))+N($P17)))),DAY(EOMONTH(X17,0))),1,0)))</f>
        <v/>
      </c>
      <c r="AR17" s="28" t="str">
        <f aca="false">IF(AO17=0,"",IF($H17="","",IF($H17&gt;X17,"",$H17)))</f>
        <v/>
      </c>
      <c r="AS17" s="28" t="str">
        <f aca="false">IF(AO17=0,"",IF(AR17="","",IF($K17="","",IF($K17&gt;X17,"",$K17))))</f>
        <v/>
      </c>
      <c r="AT17" s="11" t="str">
        <f aca="false">IF(AO17=0,"",IF(AR17="",AQ17,IF((AR17-1)&lt;($E17+(IF(OR($N17="",$O17=""),0,MAX(0,MIN((AR17-1),$O17)-MAX($N17,$E17)+1))+N($P17))),-1,12*(YEAR((AR17-1))-YEAR(($E17+(IF(OR($N17="",$O17=""),0,MAX(0,MIN((AR17-1),$O17)-MAX($N17,$E17)+1))+N($P17)))))+MONTH((AR17-1))-MONTH(($E17+(IF(OR($N17="",$O17=""),0,MAX(0,MIN((AR17-1),$O17)-MAX($N17,$E17)+1))+N($P17))))-IF(DAY((AR17-1))&lt;MIN(DAY(($E17+(IF(OR($N17="",$O17=""),0,MAX(0,MIN((AR17-1),$O17)-MAX($N17,$E17)+1))+N($P17)))),DAY(EOMONTH((AR17-1),0))),1,0))))</f>
        <v/>
      </c>
      <c r="AU17" s="11" t="str">
        <f aca="false">IF(AO17=0,"",IF(AS17="",AQ17,IF((AS17-1)&lt;($E17+(IF(OR($N17="",$O17=""),0,MAX(0,MIN((AS17-1),$O17)-MAX($N17,$E17)+1))+N($P17))),-1,12*(YEAR((AS17-1))-YEAR(($E17+(IF(OR($N17="",$O17=""),0,MAX(0,MIN((AS17-1),$O17)-MAX($N17,$E17)+1))+N($P17)))))+MONTH((AS17-1))-MONTH(($E17+(IF(OR($N17="",$O17=""),0,MAX(0,MIN((AS17-1),$O17)-MAX($N17,$E17)+1))+N($P17))))-IF(DAY((AS17-1))&lt;MIN(DAY(($E17+(IF(OR($N17="",$O17=""),0,MAX(0,MIN((AS17-1),$O17)-MAX($N17,$E17)+1))+N($P17)))),DAY(EOMONTH((AS17-1),0))),1,0))))</f>
        <v/>
      </c>
      <c r="AV17" s="11" t="str">
        <f aca="false">IF(AO17=0,"",IF($F17="","None",IF(IFERROR(VLOOKUP($F17,TypeTable,2,0),"None")="PT",IF(N($G17)&gt;=PT_MinHours,"PT","None"),IFERROR(VLOOKUP($F17,TypeTable,2,0),"None"))))</f>
        <v/>
      </c>
      <c r="AW17" s="11" t="str">
        <f aca="false">IF(AO17=0,"",IF($I17="","None",IF(IFERROR(VLOOKUP($I17,TypeTable,2,0),"None")="PT",IF(N($J17)&gt;=PT_MinHours,"PT","None"),IFERROR(VLOOKUP($I17,TypeTable,2,0),"None"))))</f>
        <v/>
      </c>
      <c r="AX17" s="11" t="str">
        <f aca="false">IF(AO17=0,"",IF($L17="","None",IF(IFERROR(VLOOKUP($L17,TypeTable,2,0),"None")="PT",IF(N($M17)&gt;=PT_MinHours,"PT","None"),IFERROR(VLOOKUP($L17,TypeTable,2,0),"None"))))</f>
        <v/>
      </c>
      <c r="AY17" s="11" t="str">
        <f aca="false">IF(AO17=0,"",IF(AS17&lt;&gt;"",AX17,IF(AR17&lt;&gt;"",AW17,AV17)))</f>
        <v/>
      </c>
      <c r="AZ17" s="11" t="str">
        <f aca="false">IF(AO17=0,"",IF(AV17="FT",IF(AT17&lt;FT_First,0,IF(AT17&lt;FT_Y5,1+INT((AT17-FT_First)/FT_Int1),FT_PreY5+FT_PerYear*INT((AT17-FT_Y5)/12)+FT_AnnivDays+INT(MOD(AT17-FT_Y5,12)/FT_Int2))),IF(AV17="PT",IF(AT17&lt;PT_First,0,1+INT((AT17-PT_First)/PT_Int)),0)))</f>
        <v/>
      </c>
      <c r="BA17" s="11" t="str">
        <f aca="false">IF(AO17=0,"",IF(AW17="FT",IF(AT17&lt;FT_First,0,IF(AT17&lt;FT_Y5,1+INT((AT17-FT_First)/FT_Int1),FT_PreY5+FT_PerYear*INT((AT17-FT_Y5)/12)+FT_AnnivDays+INT(MOD(AT17-FT_Y5,12)/FT_Int2))),IF(AW17="PT",IF(AT17&lt;PT_First,0,1+INT((AT17-PT_First)/PT_Int)),0)))</f>
        <v/>
      </c>
      <c r="BB17" s="11" t="str">
        <f aca="false">IF(AO17=0,"",IF(AW17="FT",IF(AU17&lt;FT_First,0,IF(AU17&lt;FT_Y5,1+INT((AU17-FT_First)/FT_Int1),FT_PreY5+FT_PerYear*INT((AU17-FT_Y5)/12)+FT_AnnivDays+INT(MOD(AU17-FT_Y5,12)/FT_Int2))),IF(AW17="PT",IF(AU17&lt;PT_First,0,1+INT((AU17-PT_First)/PT_Int)),0)))</f>
        <v/>
      </c>
      <c r="BC17" s="11" t="str">
        <f aca="false">IF(AO17=0,"",IF(AX17="FT",IF(AU17&lt;FT_First,0,IF(AU17&lt;FT_Y5,1+INT((AU17-FT_First)/FT_Int1),FT_PreY5+FT_PerYear*INT((AU17-FT_Y5)/12)+FT_AnnivDays+INT(MOD(AU17-FT_Y5,12)/FT_Int2))),IF(AX17="PT",IF(AU17&lt;PT_First,0,1+INT((AU17-PT_First)/PT_Int)),0)))</f>
        <v/>
      </c>
      <c r="BD17" s="11" t="str">
        <f aca="false">IF(AO17=0,"",IF(AX17="FT",IF(AQ17&lt;FT_First,0,IF(AQ17&lt;FT_Y5,1+INT((AQ17-FT_First)/FT_Int1),FT_PreY5+FT_PerYear*INT((AQ17-FT_Y5)/12)+FT_AnnivDays+INT(MOD(AQ17-FT_Y5,12)/FT_Int2))),IF(AX17="PT",IF(AQ17&lt;PT_First,0,1+INT((AQ17-PT_First)/PT_Int)),0)))</f>
        <v/>
      </c>
      <c r="BE17" s="11" t="str">
        <f aca="false">IF(AO17=0,"",IF(AY17="FT",IF(AQ17&lt;FT_First,FT_First,IF(AQ17&lt;FT_Y5,MIN(FT_Y5,FT_First+FT_Int1*(INT((AQ17-FT_First)/FT_Int1)+1)),FT_Y5+12*INT((AQ17-FT_Y5)/12)+FT_Int2*(INT(MOD(AQ17-FT_Y5,12)/FT_Int2)+1))),IF(AY17="PT",IF(AQ17&lt;PT_First,PT_First,PT_First+PT_Int*(INT((AQ17-PT_First)/PT_Int)+1)),"")))</f>
        <v/>
      </c>
      <c r="BF17" s="11" t="n">
        <f aca="false">IF(AO17=0,0,IF(AND($Q17&lt;&gt;"",$Q17&lt;=AsOfDate),1,0))</f>
        <v>0</v>
      </c>
      <c r="BG17" s="11" t="str">
        <f aca="false">IF(AND(AO17=1,BF17=0,EH_Ready,N(AB17)&gt;0,N(AI17)=0),COUNT($BG$5:BG16)+1,"")</f>
        <v/>
      </c>
      <c r="BH17" s="11" t="str">
        <f aca="false">IF(AND(AO17=1,BF17=0,EH_Ready,N(AB17)&gt;0,N(AI17)&gt;0,N(AK17)&gt;0),COUNT($BH$5:BH16)+1,"")</f>
        <v/>
      </c>
      <c r="BI17" s="11" t="str">
        <f aca="false">IF(AND(AO17=1,OR(LEFT(AM17,3)="ADD",LEFT(AM17,3)="SET",LEFT(AM17,5)="CHECK",LEFT(AM17,10)="TERMINATED")),COUNT($BI$5:BI16)+1,"")</f>
        <v/>
      </c>
      <c r="BJ17" s="11" t="str">
        <f aca="false">IF(AO17=0,"",$A17&amp;" - "&amp;$B17&amp;" "&amp;$C17)</f>
        <v/>
      </c>
    </row>
    <row r="18" customFormat="false" ht="15" hidden="false" customHeight="false" outlineLevel="0" collapsed="false">
      <c r="A18" s="10"/>
      <c r="B18" s="10"/>
      <c r="C18" s="10"/>
      <c r="D18" s="10"/>
      <c r="E18" s="9"/>
      <c r="F18" s="10"/>
      <c r="G18" s="30"/>
      <c r="H18" s="9"/>
      <c r="I18" s="10"/>
      <c r="J18" s="30"/>
      <c r="K18" s="9"/>
      <c r="L18" s="10"/>
      <c r="M18" s="30"/>
      <c r="N18" s="9"/>
      <c r="O18" s="9"/>
      <c r="P18" s="30"/>
      <c r="Q18" s="9"/>
      <c r="R18" s="10"/>
      <c r="S18" s="11" t="str">
        <f aca="false">IF(AO18=0,"",IF($H18="","",$F18&amp;" -&gt; "&amp;$I18&amp;IF($I18="Part-Time"," ("&amp;N($J18)&amp;" hrs)","")&amp;" on "&amp;TEXT($H18,"dd/mm/yyyy")&amp;IF($H18&gt;AsOfDate," (FUTURE)","")&amp;IF($K18="","","; "&amp;$I18&amp;" -&gt; "&amp;$L18&amp;IF($L18="Part-Time"," ("&amp;N($M18)&amp;" hrs)","")&amp;" on "&amp;TEXT($K18,"dd/mm/yyyy")&amp;IF($K18&gt;AsOfDate," (FUTURE)",""))))</f>
        <v/>
      </c>
      <c r="T18" s="11" t="str">
        <f aca="false">IF(AO18=0,"",IF(AS18&lt;&gt;"",$L18,IF(AR18&lt;&gt;"",$I18,$F18)))</f>
        <v/>
      </c>
      <c r="U18" s="26" t="str">
        <f aca="false">IF(AO18=0,"",IF(AS18&lt;&gt;"",$M18,IF(AR18&lt;&gt;"",$J18,$G18)))</f>
        <v/>
      </c>
      <c r="V18" s="11" t="str">
        <f aca="false">IF(AO18=0,"",IF(AY18="FT","Full-Time",IF(AY18="PT","Part-Time","Not eligible")))</f>
        <v/>
      </c>
      <c r="W18" s="27" t="str">
        <f aca="false">IF(AO18=0,"",IF(AR18="",IF(AND($H18&lt;&gt;"",$H18&gt;AsOfDate),"Future change - not yet applied",""),IF(AND(AV18=AY18,OR(AS18="",AW18=AV18)),"Type changed - same accrual pathway",IF(AY18="None","STOPPED accruing from "&amp;TEXT(IF(AS18&lt;&gt;"",AS18,AR18),"dd/mm/yyyy"),IF(AV18="None","STARTED qualifying from "&amp;TEXT(IF(AS18&lt;&gt;"",AS18,AR18),"dd/mm/yyyy"),"Pathway changed "&amp;AV18&amp;" -&gt; "&amp;AW18&amp;IF(AS18&lt;&gt;""," -&gt; "&amp;AX18,"")&amp;" from "&amp;TEXT(IF(AS18&lt;&gt;"",AS18,AR18),"dd/mm/yyyy"))))))</f>
        <v/>
      </c>
      <c r="X18" s="28" t="str">
        <f aca="false">IF(AO18=0,"",IF($Q18="",AsOfDate,MIN(AsOfDate,$Q18)))</f>
        <v/>
      </c>
      <c r="Y18" s="26" t="str">
        <f aca="false">IF(AO18=0,"",MAX(0,AQ18))</f>
        <v/>
      </c>
      <c r="Z18" s="11" t="str">
        <f aca="false">IF(AO18=0,"",IF(AQ18&lt;0,"Not started",INT(AQ18/12)&amp;"y "&amp;MOD(AQ18,12)&amp;"m"))</f>
        <v/>
      </c>
      <c r="AA18" s="27" t="str">
        <f aca="false">IF(AO18=0,"",IF(BF18=1,"Terminated - balance forfeited",IF(AY18="None",IF(AB18&gt;0,"No longer accruing - "&amp;T18,"Not eligible - "&amp;T18&amp;IF(AND(IFERROR(VLOOKUP(T18,TypeTable,2,0),"None")="PT",N(U18)&lt;PT_MinHours)," (under "&amp;PT_MinHours&amp;" hrs)","")),IF(AB18&gt;0,"Yes - accruing","Not yet - qualifies "&amp;TEXT(AD18,"dd/mm/yyyy")))))</f>
        <v/>
      </c>
      <c r="AB18" s="26" t="str">
        <f aca="false">IF(AO18=0,"",AZ18+IF(AR18="",0,BB18-BA18)+IF(AS18="",0,BD18-BC18))</f>
        <v/>
      </c>
      <c r="AC18" s="26" t="str">
        <f aca="false">IF(AO18=0,"",AB18*HoursPerDay)</f>
        <v/>
      </c>
      <c r="AD18" s="28" t="str">
        <f aca="false">IF(AO18=0,"",IF(OR(BF18=1,AY18="None"),"",EDATE($E18+AP18,BE18)))</f>
        <v/>
      </c>
      <c r="AE18" s="26" t="str">
        <f aca="false">IF(AD18="","",IF(AY18="PT",1,IF(BE18&lt;FT_Y5,1,IF(MOD(BE18-FT_Y5,12)=0,FT_AnnivDays,1))))</f>
        <v/>
      </c>
      <c r="AF18" s="27" t="str">
        <f aca="false">IF(AO18=0,"",IF(NOT(EH_Ready),"Map headers",IF(IF(MatchMode="Employee ID",COUNTIFS(INDEX(EH_Data,0,EH_ColID),$A18,INDEX(EH_Data,0,EH_ColCat),BonusCat),COUNTIFS(INDEX(EH_Data,0,EH_ColFirst),$B18,INDEX(EH_Data,0,EH_ColSur),$C18,INDEX(EH_Data,0,EH_ColCat),BonusCat))&gt;0,"Yes","No")))</f>
        <v/>
      </c>
      <c r="AG18" s="26" t="str">
        <f aca="false">IF(AO18=0,"",IF(NOT(EH_Ready),"",IF(MatchMode="Employee ID",SUMIFS(INDEX(EH_Data,0,EH_ColBal),INDEX(EH_Data,0,EH_ColID),$A18,INDEX(EH_Data,0,EH_ColCat),BonusCat),SUMIFS(INDEX(EH_Data,0,EH_ColBal),INDEX(EH_Data,0,EH_ColFirst),$B18,INDEX(EH_Data,0,EH_ColSur),$C18,INDEX(EH_Data,0,EH_ColCat),BonusCat))/IF(EHUnit="Hours",HoursPerDay,1)))</f>
        <v/>
      </c>
      <c r="AH18" s="26" t="str">
        <f aca="false">IF(AO18=0,"",IF(NOT(TK_Ready),0,IF(MatchMode="Employee ID",SUMIFS(INDEX(TK_Data,0,TK_ColAmt),INDEX(TK_Data,0,TK_ColID),$A18,INDEX(TK_Data,0,TK_ColCat),BonusCat),SUMIFS(INDEX(TK_Data,0,TK_ColAmt),INDEX(TK_Data,0,TK_ColFirst),$B18,INDEX(TK_Data,0,TK_ColSur),$C18,INDEX(TK_Data,0,TK_ColCat),BonusCat))/IF(TKUnit="Hours",HoursPerDay,1)))</f>
        <v/>
      </c>
      <c r="AI18" s="26" t="str">
        <f aca="false">IF(AO18=0,"",N(AG18)+N(AH18))</f>
        <v/>
      </c>
      <c r="AJ18" s="29" t="str">
        <f aca="false">IF(AO18=0,"",IF(NOT(AND(EH_Ready,EH_ValReady)),"",IF(MatchMode="Employee ID",SUMIFS(INDEX(EH_Data,0,EH_ColVal),INDEX(EH_Data,0,EH_ColID),$A18,INDEX(EH_Data,0,EH_ColCat),BonusCat),SUMIFS(INDEX(EH_Data,0,EH_ColVal),INDEX(EH_Data,0,EH_ColFirst),$B18,INDEX(EH_Data,0,EH_ColSur),$C18,INDEX(EH_Data,0,EH_ColCat),BonusCat))))</f>
        <v/>
      </c>
      <c r="AK18" s="26" t="str">
        <f aca="false">IF(AO18=0,"",IF(OR(NOT(EH_Ready),BF18=1),"",AB18-AI18))</f>
        <v/>
      </c>
      <c r="AL18" s="26" t="str">
        <f aca="false">IF(AK18="","",AK18*HoursPerDay)</f>
        <v/>
      </c>
      <c r="AM18" s="27" t="str">
        <f aca="false">IF(AO18=0,"",IF(BF18=1,IF(N(AG18)&gt;0,"TERMINATED - forfeit "&amp;TEXT(AG18,"0.##")&amp;" days still in EH","Terminated - nothing in EH"),IF(NOT(EH_Ready),"Paste EH export and map headers on Settings",IF(AND(AB18&gt;0,AF18="No"),"SET UP in EH - add "&amp;TEXT(AB18,"0.##")&amp;" day(s) ("&amp;TEXT(AC18,"0.##")&amp;" hrs)",IF(AK18&gt;0,"ADD "&amp;TEXT(AK18,"0.##")&amp;" day(s) ("&amp;TEXT(AL18,"0.##")&amp;" hrs) in EH",IF(AK18&lt;0,"CHECK - EH shows "&amp;TEXT(-AK18,"0.##")&amp;" days more than policy",IF(AB18&gt;0,"OK - up to date",IF(AY18="None","No action - not eligible","No action - not yet qualified"))))))))</f>
        <v/>
      </c>
      <c r="AN18" s="27" t="str">
        <f aca="false">IF(AO18=0,"",TRIM(IF(AND($K18&lt;&gt;"",$H18=""),"Change 2 entered without Change 1. ","")&amp;IF(AND($K18&lt;&gt;"",$H18&lt;&gt;"",$K18&lt;=$H18),"Change 2 date not after Change 1. ","")&amp;IF(AND($N18&lt;&gt;"",$O18&lt;&gt;"",$O18&lt;$N18),"Leave To is before Leave From. ","")&amp;IF(AND($N18&lt;&gt;"",$O18=""),"Leave From entered without Leave To. ","")&amp;IF(AND(IFERROR(VLOOKUP(T18,TypeTable,2,0),"None")="PT",U18=""),"Part-time with no hours entered. ","")&amp;IF(AND($H18&lt;&gt;"",$H18&gt;AsOfDate,AD18&lt;&gt;"",$H18&lt;=AD18),"Status change lands before next accrual - review. ","")&amp;IF(AND($Q18&lt;&gt;"",$Q18&lt;$E18),"Termination before commencement. ","")))</f>
        <v/>
      </c>
      <c r="AO18" s="11" t="n">
        <f aca="false">IF(LEN($A18&amp;$B18&amp;$C18)=0,0,IF($E18="",0,1))</f>
        <v>0</v>
      </c>
      <c r="AP18" s="11" t="str">
        <f aca="false">IF(AO18=0,"",(IF(OR($N18="",$O18=""),0,MAX(0,MIN(X18,$O18)-MAX($N18,$E18)+1))+N($P18)))</f>
        <v/>
      </c>
      <c r="AQ18" s="11" t="str">
        <f aca="false">IF(AO18=0,"",IF(X18&lt;($E18+(IF(OR($N18="",$O18=""),0,MAX(0,MIN(X18,$O18)-MAX($N18,$E18)+1))+N($P18))),-1,12*(YEAR(X18)-YEAR(($E18+(IF(OR($N18="",$O18=""),0,MAX(0,MIN(X18,$O18)-MAX($N18,$E18)+1))+N($P18)))))+MONTH(X18)-MONTH(($E18+(IF(OR($N18="",$O18=""),0,MAX(0,MIN(X18,$O18)-MAX($N18,$E18)+1))+N($P18))))-IF(DAY(X18)&lt;MIN(DAY(($E18+(IF(OR($N18="",$O18=""),0,MAX(0,MIN(X18,$O18)-MAX($N18,$E18)+1))+N($P18)))),DAY(EOMONTH(X18,0))),1,0)))</f>
        <v/>
      </c>
      <c r="AR18" s="28" t="str">
        <f aca="false">IF(AO18=0,"",IF($H18="","",IF($H18&gt;X18,"",$H18)))</f>
        <v/>
      </c>
      <c r="AS18" s="28" t="str">
        <f aca="false">IF(AO18=0,"",IF(AR18="","",IF($K18="","",IF($K18&gt;X18,"",$K18))))</f>
        <v/>
      </c>
      <c r="AT18" s="11" t="str">
        <f aca="false">IF(AO18=0,"",IF(AR18="",AQ18,IF((AR18-1)&lt;($E18+(IF(OR($N18="",$O18=""),0,MAX(0,MIN((AR18-1),$O18)-MAX($N18,$E18)+1))+N($P18))),-1,12*(YEAR((AR18-1))-YEAR(($E18+(IF(OR($N18="",$O18=""),0,MAX(0,MIN((AR18-1),$O18)-MAX($N18,$E18)+1))+N($P18)))))+MONTH((AR18-1))-MONTH(($E18+(IF(OR($N18="",$O18=""),0,MAX(0,MIN((AR18-1),$O18)-MAX($N18,$E18)+1))+N($P18))))-IF(DAY((AR18-1))&lt;MIN(DAY(($E18+(IF(OR($N18="",$O18=""),0,MAX(0,MIN((AR18-1),$O18)-MAX($N18,$E18)+1))+N($P18)))),DAY(EOMONTH((AR18-1),0))),1,0))))</f>
        <v/>
      </c>
      <c r="AU18" s="11" t="str">
        <f aca="false">IF(AO18=0,"",IF(AS18="",AQ18,IF((AS18-1)&lt;($E18+(IF(OR($N18="",$O18=""),0,MAX(0,MIN((AS18-1),$O18)-MAX($N18,$E18)+1))+N($P18))),-1,12*(YEAR((AS18-1))-YEAR(($E18+(IF(OR($N18="",$O18=""),0,MAX(0,MIN((AS18-1),$O18)-MAX($N18,$E18)+1))+N($P18)))))+MONTH((AS18-1))-MONTH(($E18+(IF(OR($N18="",$O18=""),0,MAX(0,MIN((AS18-1),$O18)-MAX($N18,$E18)+1))+N($P18))))-IF(DAY((AS18-1))&lt;MIN(DAY(($E18+(IF(OR($N18="",$O18=""),0,MAX(0,MIN((AS18-1),$O18)-MAX($N18,$E18)+1))+N($P18)))),DAY(EOMONTH((AS18-1),0))),1,0))))</f>
        <v/>
      </c>
      <c r="AV18" s="11" t="str">
        <f aca="false">IF(AO18=0,"",IF($F18="","None",IF(IFERROR(VLOOKUP($F18,TypeTable,2,0),"None")="PT",IF(N($G18)&gt;=PT_MinHours,"PT","None"),IFERROR(VLOOKUP($F18,TypeTable,2,0),"None"))))</f>
        <v/>
      </c>
      <c r="AW18" s="11" t="str">
        <f aca="false">IF(AO18=0,"",IF($I18="","None",IF(IFERROR(VLOOKUP($I18,TypeTable,2,0),"None")="PT",IF(N($J18)&gt;=PT_MinHours,"PT","None"),IFERROR(VLOOKUP($I18,TypeTable,2,0),"None"))))</f>
        <v/>
      </c>
      <c r="AX18" s="11" t="str">
        <f aca="false">IF(AO18=0,"",IF($L18="","None",IF(IFERROR(VLOOKUP($L18,TypeTable,2,0),"None")="PT",IF(N($M18)&gt;=PT_MinHours,"PT","None"),IFERROR(VLOOKUP($L18,TypeTable,2,0),"None"))))</f>
        <v/>
      </c>
      <c r="AY18" s="11" t="str">
        <f aca="false">IF(AO18=0,"",IF(AS18&lt;&gt;"",AX18,IF(AR18&lt;&gt;"",AW18,AV18)))</f>
        <v/>
      </c>
      <c r="AZ18" s="11" t="str">
        <f aca="false">IF(AO18=0,"",IF(AV18="FT",IF(AT18&lt;FT_First,0,IF(AT18&lt;FT_Y5,1+INT((AT18-FT_First)/FT_Int1),FT_PreY5+FT_PerYear*INT((AT18-FT_Y5)/12)+FT_AnnivDays+INT(MOD(AT18-FT_Y5,12)/FT_Int2))),IF(AV18="PT",IF(AT18&lt;PT_First,0,1+INT((AT18-PT_First)/PT_Int)),0)))</f>
        <v/>
      </c>
      <c r="BA18" s="11" t="str">
        <f aca="false">IF(AO18=0,"",IF(AW18="FT",IF(AT18&lt;FT_First,0,IF(AT18&lt;FT_Y5,1+INT((AT18-FT_First)/FT_Int1),FT_PreY5+FT_PerYear*INT((AT18-FT_Y5)/12)+FT_AnnivDays+INT(MOD(AT18-FT_Y5,12)/FT_Int2))),IF(AW18="PT",IF(AT18&lt;PT_First,0,1+INT((AT18-PT_First)/PT_Int)),0)))</f>
        <v/>
      </c>
      <c r="BB18" s="11" t="str">
        <f aca="false">IF(AO18=0,"",IF(AW18="FT",IF(AU18&lt;FT_First,0,IF(AU18&lt;FT_Y5,1+INT((AU18-FT_First)/FT_Int1),FT_PreY5+FT_PerYear*INT((AU18-FT_Y5)/12)+FT_AnnivDays+INT(MOD(AU18-FT_Y5,12)/FT_Int2))),IF(AW18="PT",IF(AU18&lt;PT_First,0,1+INT((AU18-PT_First)/PT_Int)),0)))</f>
        <v/>
      </c>
      <c r="BC18" s="11" t="str">
        <f aca="false">IF(AO18=0,"",IF(AX18="FT",IF(AU18&lt;FT_First,0,IF(AU18&lt;FT_Y5,1+INT((AU18-FT_First)/FT_Int1),FT_PreY5+FT_PerYear*INT((AU18-FT_Y5)/12)+FT_AnnivDays+INT(MOD(AU18-FT_Y5,12)/FT_Int2))),IF(AX18="PT",IF(AU18&lt;PT_First,0,1+INT((AU18-PT_First)/PT_Int)),0)))</f>
        <v/>
      </c>
      <c r="BD18" s="11" t="str">
        <f aca="false">IF(AO18=0,"",IF(AX18="FT",IF(AQ18&lt;FT_First,0,IF(AQ18&lt;FT_Y5,1+INT((AQ18-FT_First)/FT_Int1),FT_PreY5+FT_PerYear*INT((AQ18-FT_Y5)/12)+FT_AnnivDays+INT(MOD(AQ18-FT_Y5,12)/FT_Int2))),IF(AX18="PT",IF(AQ18&lt;PT_First,0,1+INT((AQ18-PT_First)/PT_Int)),0)))</f>
        <v/>
      </c>
      <c r="BE18" s="11" t="str">
        <f aca="false">IF(AO18=0,"",IF(AY18="FT",IF(AQ18&lt;FT_First,FT_First,IF(AQ18&lt;FT_Y5,MIN(FT_Y5,FT_First+FT_Int1*(INT((AQ18-FT_First)/FT_Int1)+1)),FT_Y5+12*INT((AQ18-FT_Y5)/12)+FT_Int2*(INT(MOD(AQ18-FT_Y5,12)/FT_Int2)+1))),IF(AY18="PT",IF(AQ18&lt;PT_First,PT_First,PT_First+PT_Int*(INT((AQ18-PT_First)/PT_Int)+1)),"")))</f>
        <v/>
      </c>
      <c r="BF18" s="11" t="n">
        <f aca="false">IF(AO18=0,0,IF(AND($Q18&lt;&gt;"",$Q18&lt;=AsOfDate),1,0))</f>
        <v>0</v>
      </c>
      <c r="BG18" s="11" t="str">
        <f aca="false">IF(AND(AO18=1,BF18=0,EH_Ready,N(AB18)&gt;0,N(AI18)=0),COUNT($BG$5:BG17)+1,"")</f>
        <v/>
      </c>
      <c r="BH18" s="11" t="str">
        <f aca="false">IF(AND(AO18=1,BF18=0,EH_Ready,N(AB18)&gt;0,N(AI18)&gt;0,N(AK18)&gt;0),COUNT($BH$5:BH17)+1,"")</f>
        <v/>
      </c>
      <c r="BI18" s="11" t="str">
        <f aca="false">IF(AND(AO18=1,OR(LEFT(AM18,3)="ADD",LEFT(AM18,3)="SET",LEFT(AM18,5)="CHECK",LEFT(AM18,10)="TERMINATED")),COUNT($BI$5:BI17)+1,"")</f>
        <v/>
      </c>
      <c r="BJ18" s="11" t="str">
        <f aca="false">IF(AO18=0,"",$A18&amp;" - "&amp;$B18&amp;" "&amp;$C18)</f>
        <v/>
      </c>
    </row>
    <row r="19" customFormat="false" ht="15" hidden="false" customHeight="false" outlineLevel="0" collapsed="false">
      <c r="A19" s="10"/>
      <c r="B19" s="10"/>
      <c r="C19" s="10"/>
      <c r="D19" s="10"/>
      <c r="E19" s="9"/>
      <c r="F19" s="10"/>
      <c r="G19" s="30"/>
      <c r="H19" s="9"/>
      <c r="I19" s="10"/>
      <c r="J19" s="30"/>
      <c r="K19" s="9"/>
      <c r="L19" s="10"/>
      <c r="M19" s="30"/>
      <c r="N19" s="9"/>
      <c r="O19" s="9"/>
      <c r="P19" s="30"/>
      <c r="Q19" s="9"/>
      <c r="R19" s="10"/>
      <c r="S19" s="11" t="str">
        <f aca="false">IF(AO19=0,"",IF($H19="","",$F19&amp;" -&gt; "&amp;$I19&amp;IF($I19="Part-Time"," ("&amp;N($J19)&amp;" hrs)","")&amp;" on "&amp;TEXT($H19,"dd/mm/yyyy")&amp;IF($H19&gt;AsOfDate," (FUTURE)","")&amp;IF($K19="","","; "&amp;$I19&amp;" -&gt; "&amp;$L19&amp;IF($L19="Part-Time"," ("&amp;N($M19)&amp;" hrs)","")&amp;" on "&amp;TEXT($K19,"dd/mm/yyyy")&amp;IF($K19&gt;AsOfDate," (FUTURE)",""))))</f>
        <v/>
      </c>
      <c r="T19" s="11" t="str">
        <f aca="false">IF(AO19=0,"",IF(AS19&lt;&gt;"",$L19,IF(AR19&lt;&gt;"",$I19,$F19)))</f>
        <v/>
      </c>
      <c r="U19" s="26" t="str">
        <f aca="false">IF(AO19=0,"",IF(AS19&lt;&gt;"",$M19,IF(AR19&lt;&gt;"",$J19,$G19)))</f>
        <v/>
      </c>
      <c r="V19" s="11" t="str">
        <f aca="false">IF(AO19=0,"",IF(AY19="FT","Full-Time",IF(AY19="PT","Part-Time","Not eligible")))</f>
        <v/>
      </c>
      <c r="W19" s="27" t="str">
        <f aca="false">IF(AO19=0,"",IF(AR19="",IF(AND($H19&lt;&gt;"",$H19&gt;AsOfDate),"Future change - not yet applied",""),IF(AND(AV19=AY19,OR(AS19="",AW19=AV19)),"Type changed - same accrual pathway",IF(AY19="None","STOPPED accruing from "&amp;TEXT(IF(AS19&lt;&gt;"",AS19,AR19),"dd/mm/yyyy"),IF(AV19="None","STARTED qualifying from "&amp;TEXT(IF(AS19&lt;&gt;"",AS19,AR19),"dd/mm/yyyy"),"Pathway changed "&amp;AV19&amp;" -&gt; "&amp;AW19&amp;IF(AS19&lt;&gt;""," -&gt; "&amp;AX19,"")&amp;" from "&amp;TEXT(IF(AS19&lt;&gt;"",AS19,AR19),"dd/mm/yyyy"))))))</f>
        <v/>
      </c>
      <c r="X19" s="28" t="str">
        <f aca="false">IF(AO19=0,"",IF($Q19="",AsOfDate,MIN(AsOfDate,$Q19)))</f>
        <v/>
      </c>
      <c r="Y19" s="26" t="str">
        <f aca="false">IF(AO19=0,"",MAX(0,AQ19))</f>
        <v/>
      </c>
      <c r="Z19" s="11" t="str">
        <f aca="false">IF(AO19=0,"",IF(AQ19&lt;0,"Not started",INT(AQ19/12)&amp;"y "&amp;MOD(AQ19,12)&amp;"m"))</f>
        <v/>
      </c>
      <c r="AA19" s="27" t="str">
        <f aca="false">IF(AO19=0,"",IF(BF19=1,"Terminated - balance forfeited",IF(AY19="None",IF(AB19&gt;0,"No longer accruing - "&amp;T19,"Not eligible - "&amp;T19&amp;IF(AND(IFERROR(VLOOKUP(T19,TypeTable,2,0),"None")="PT",N(U19)&lt;PT_MinHours)," (under "&amp;PT_MinHours&amp;" hrs)","")),IF(AB19&gt;0,"Yes - accruing","Not yet - qualifies "&amp;TEXT(AD19,"dd/mm/yyyy")))))</f>
        <v/>
      </c>
      <c r="AB19" s="26" t="str">
        <f aca="false">IF(AO19=0,"",AZ19+IF(AR19="",0,BB19-BA19)+IF(AS19="",0,BD19-BC19))</f>
        <v/>
      </c>
      <c r="AC19" s="26" t="str">
        <f aca="false">IF(AO19=0,"",AB19*HoursPerDay)</f>
        <v/>
      </c>
      <c r="AD19" s="28" t="str">
        <f aca="false">IF(AO19=0,"",IF(OR(BF19=1,AY19="None"),"",EDATE($E19+AP19,BE19)))</f>
        <v/>
      </c>
      <c r="AE19" s="26" t="str">
        <f aca="false">IF(AD19="","",IF(AY19="PT",1,IF(BE19&lt;FT_Y5,1,IF(MOD(BE19-FT_Y5,12)=0,FT_AnnivDays,1))))</f>
        <v/>
      </c>
      <c r="AF19" s="27" t="str">
        <f aca="false">IF(AO19=0,"",IF(NOT(EH_Ready),"Map headers",IF(IF(MatchMode="Employee ID",COUNTIFS(INDEX(EH_Data,0,EH_ColID),$A19,INDEX(EH_Data,0,EH_ColCat),BonusCat),COUNTIFS(INDEX(EH_Data,0,EH_ColFirst),$B19,INDEX(EH_Data,0,EH_ColSur),$C19,INDEX(EH_Data,0,EH_ColCat),BonusCat))&gt;0,"Yes","No")))</f>
        <v/>
      </c>
      <c r="AG19" s="26" t="str">
        <f aca="false">IF(AO19=0,"",IF(NOT(EH_Ready),"",IF(MatchMode="Employee ID",SUMIFS(INDEX(EH_Data,0,EH_ColBal),INDEX(EH_Data,0,EH_ColID),$A19,INDEX(EH_Data,0,EH_ColCat),BonusCat),SUMIFS(INDEX(EH_Data,0,EH_ColBal),INDEX(EH_Data,0,EH_ColFirst),$B19,INDEX(EH_Data,0,EH_ColSur),$C19,INDEX(EH_Data,0,EH_ColCat),BonusCat))/IF(EHUnit="Hours",HoursPerDay,1)))</f>
        <v/>
      </c>
      <c r="AH19" s="26" t="str">
        <f aca="false">IF(AO19=0,"",IF(NOT(TK_Ready),0,IF(MatchMode="Employee ID",SUMIFS(INDEX(TK_Data,0,TK_ColAmt),INDEX(TK_Data,0,TK_ColID),$A19,INDEX(TK_Data,0,TK_ColCat),BonusCat),SUMIFS(INDEX(TK_Data,0,TK_ColAmt),INDEX(TK_Data,0,TK_ColFirst),$B19,INDEX(TK_Data,0,TK_ColSur),$C19,INDEX(TK_Data,0,TK_ColCat),BonusCat))/IF(TKUnit="Hours",HoursPerDay,1)))</f>
        <v/>
      </c>
      <c r="AI19" s="26" t="str">
        <f aca="false">IF(AO19=0,"",N(AG19)+N(AH19))</f>
        <v/>
      </c>
      <c r="AJ19" s="29" t="str">
        <f aca="false">IF(AO19=0,"",IF(NOT(AND(EH_Ready,EH_ValReady)),"",IF(MatchMode="Employee ID",SUMIFS(INDEX(EH_Data,0,EH_ColVal),INDEX(EH_Data,0,EH_ColID),$A19,INDEX(EH_Data,0,EH_ColCat),BonusCat),SUMIFS(INDEX(EH_Data,0,EH_ColVal),INDEX(EH_Data,0,EH_ColFirst),$B19,INDEX(EH_Data,0,EH_ColSur),$C19,INDEX(EH_Data,0,EH_ColCat),BonusCat))))</f>
        <v/>
      </c>
      <c r="AK19" s="26" t="str">
        <f aca="false">IF(AO19=0,"",IF(OR(NOT(EH_Ready),BF19=1),"",AB19-AI19))</f>
        <v/>
      </c>
      <c r="AL19" s="26" t="str">
        <f aca="false">IF(AK19="","",AK19*HoursPerDay)</f>
        <v/>
      </c>
      <c r="AM19" s="27" t="str">
        <f aca="false">IF(AO19=0,"",IF(BF19=1,IF(N(AG19)&gt;0,"TERMINATED - forfeit "&amp;TEXT(AG19,"0.##")&amp;" days still in EH","Terminated - nothing in EH"),IF(NOT(EH_Ready),"Paste EH export and map headers on Settings",IF(AND(AB19&gt;0,AF19="No"),"SET UP in EH - add "&amp;TEXT(AB19,"0.##")&amp;" day(s) ("&amp;TEXT(AC19,"0.##")&amp;" hrs)",IF(AK19&gt;0,"ADD "&amp;TEXT(AK19,"0.##")&amp;" day(s) ("&amp;TEXT(AL19,"0.##")&amp;" hrs) in EH",IF(AK19&lt;0,"CHECK - EH shows "&amp;TEXT(-AK19,"0.##")&amp;" days more than policy",IF(AB19&gt;0,"OK - up to date",IF(AY19="None","No action - not eligible","No action - not yet qualified"))))))))</f>
        <v/>
      </c>
      <c r="AN19" s="27" t="str">
        <f aca="false">IF(AO19=0,"",TRIM(IF(AND($K19&lt;&gt;"",$H19=""),"Change 2 entered without Change 1. ","")&amp;IF(AND($K19&lt;&gt;"",$H19&lt;&gt;"",$K19&lt;=$H19),"Change 2 date not after Change 1. ","")&amp;IF(AND($N19&lt;&gt;"",$O19&lt;&gt;"",$O19&lt;$N19),"Leave To is before Leave From. ","")&amp;IF(AND($N19&lt;&gt;"",$O19=""),"Leave From entered without Leave To. ","")&amp;IF(AND(IFERROR(VLOOKUP(T19,TypeTable,2,0),"None")="PT",U19=""),"Part-time with no hours entered. ","")&amp;IF(AND($H19&lt;&gt;"",$H19&gt;AsOfDate,AD19&lt;&gt;"",$H19&lt;=AD19),"Status change lands before next accrual - review. ","")&amp;IF(AND($Q19&lt;&gt;"",$Q19&lt;$E19),"Termination before commencement. ","")))</f>
        <v/>
      </c>
      <c r="AO19" s="11" t="n">
        <f aca="false">IF(LEN($A19&amp;$B19&amp;$C19)=0,0,IF($E19="",0,1))</f>
        <v>0</v>
      </c>
      <c r="AP19" s="11" t="str">
        <f aca="false">IF(AO19=0,"",(IF(OR($N19="",$O19=""),0,MAX(0,MIN(X19,$O19)-MAX($N19,$E19)+1))+N($P19)))</f>
        <v/>
      </c>
      <c r="AQ19" s="11" t="str">
        <f aca="false">IF(AO19=0,"",IF(X19&lt;($E19+(IF(OR($N19="",$O19=""),0,MAX(0,MIN(X19,$O19)-MAX($N19,$E19)+1))+N($P19))),-1,12*(YEAR(X19)-YEAR(($E19+(IF(OR($N19="",$O19=""),0,MAX(0,MIN(X19,$O19)-MAX($N19,$E19)+1))+N($P19)))))+MONTH(X19)-MONTH(($E19+(IF(OR($N19="",$O19=""),0,MAX(0,MIN(X19,$O19)-MAX($N19,$E19)+1))+N($P19))))-IF(DAY(X19)&lt;MIN(DAY(($E19+(IF(OR($N19="",$O19=""),0,MAX(0,MIN(X19,$O19)-MAX($N19,$E19)+1))+N($P19)))),DAY(EOMONTH(X19,0))),1,0)))</f>
        <v/>
      </c>
      <c r="AR19" s="28" t="str">
        <f aca="false">IF(AO19=0,"",IF($H19="","",IF($H19&gt;X19,"",$H19)))</f>
        <v/>
      </c>
      <c r="AS19" s="28" t="str">
        <f aca="false">IF(AO19=0,"",IF(AR19="","",IF($K19="","",IF($K19&gt;X19,"",$K19))))</f>
        <v/>
      </c>
      <c r="AT19" s="11" t="str">
        <f aca="false">IF(AO19=0,"",IF(AR19="",AQ19,IF((AR19-1)&lt;($E19+(IF(OR($N19="",$O19=""),0,MAX(0,MIN((AR19-1),$O19)-MAX($N19,$E19)+1))+N($P19))),-1,12*(YEAR((AR19-1))-YEAR(($E19+(IF(OR($N19="",$O19=""),0,MAX(0,MIN((AR19-1),$O19)-MAX($N19,$E19)+1))+N($P19)))))+MONTH((AR19-1))-MONTH(($E19+(IF(OR($N19="",$O19=""),0,MAX(0,MIN((AR19-1),$O19)-MAX($N19,$E19)+1))+N($P19))))-IF(DAY((AR19-1))&lt;MIN(DAY(($E19+(IF(OR($N19="",$O19=""),0,MAX(0,MIN((AR19-1),$O19)-MAX($N19,$E19)+1))+N($P19)))),DAY(EOMONTH((AR19-1),0))),1,0))))</f>
        <v/>
      </c>
      <c r="AU19" s="11" t="str">
        <f aca="false">IF(AO19=0,"",IF(AS19="",AQ19,IF((AS19-1)&lt;($E19+(IF(OR($N19="",$O19=""),0,MAX(0,MIN((AS19-1),$O19)-MAX($N19,$E19)+1))+N($P19))),-1,12*(YEAR((AS19-1))-YEAR(($E19+(IF(OR($N19="",$O19=""),0,MAX(0,MIN((AS19-1),$O19)-MAX($N19,$E19)+1))+N($P19)))))+MONTH((AS19-1))-MONTH(($E19+(IF(OR($N19="",$O19=""),0,MAX(0,MIN((AS19-1),$O19)-MAX($N19,$E19)+1))+N($P19))))-IF(DAY((AS19-1))&lt;MIN(DAY(($E19+(IF(OR($N19="",$O19=""),0,MAX(0,MIN((AS19-1),$O19)-MAX($N19,$E19)+1))+N($P19)))),DAY(EOMONTH((AS19-1),0))),1,0))))</f>
        <v/>
      </c>
      <c r="AV19" s="11" t="str">
        <f aca="false">IF(AO19=0,"",IF($F19="","None",IF(IFERROR(VLOOKUP($F19,TypeTable,2,0),"None")="PT",IF(N($G19)&gt;=PT_MinHours,"PT","None"),IFERROR(VLOOKUP($F19,TypeTable,2,0),"None"))))</f>
        <v/>
      </c>
      <c r="AW19" s="11" t="str">
        <f aca="false">IF(AO19=0,"",IF($I19="","None",IF(IFERROR(VLOOKUP($I19,TypeTable,2,0),"None")="PT",IF(N($J19)&gt;=PT_MinHours,"PT","None"),IFERROR(VLOOKUP($I19,TypeTable,2,0),"None"))))</f>
        <v/>
      </c>
      <c r="AX19" s="11" t="str">
        <f aca="false">IF(AO19=0,"",IF($L19="","None",IF(IFERROR(VLOOKUP($L19,TypeTable,2,0),"None")="PT",IF(N($M19)&gt;=PT_MinHours,"PT","None"),IFERROR(VLOOKUP($L19,TypeTable,2,0),"None"))))</f>
        <v/>
      </c>
      <c r="AY19" s="11" t="str">
        <f aca="false">IF(AO19=0,"",IF(AS19&lt;&gt;"",AX19,IF(AR19&lt;&gt;"",AW19,AV19)))</f>
        <v/>
      </c>
      <c r="AZ19" s="11" t="str">
        <f aca="false">IF(AO19=0,"",IF(AV19="FT",IF(AT19&lt;FT_First,0,IF(AT19&lt;FT_Y5,1+INT((AT19-FT_First)/FT_Int1),FT_PreY5+FT_PerYear*INT((AT19-FT_Y5)/12)+FT_AnnivDays+INT(MOD(AT19-FT_Y5,12)/FT_Int2))),IF(AV19="PT",IF(AT19&lt;PT_First,0,1+INT((AT19-PT_First)/PT_Int)),0)))</f>
        <v/>
      </c>
      <c r="BA19" s="11" t="str">
        <f aca="false">IF(AO19=0,"",IF(AW19="FT",IF(AT19&lt;FT_First,0,IF(AT19&lt;FT_Y5,1+INT((AT19-FT_First)/FT_Int1),FT_PreY5+FT_PerYear*INT((AT19-FT_Y5)/12)+FT_AnnivDays+INT(MOD(AT19-FT_Y5,12)/FT_Int2))),IF(AW19="PT",IF(AT19&lt;PT_First,0,1+INT((AT19-PT_First)/PT_Int)),0)))</f>
        <v/>
      </c>
      <c r="BB19" s="11" t="str">
        <f aca="false">IF(AO19=0,"",IF(AW19="FT",IF(AU19&lt;FT_First,0,IF(AU19&lt;FT_Y5,1+INT((AU19-FT_First)/FT_Int1),FT_PreY5+FT_PerYear*INT((AU19-FT_Y5)/12)+FT_AnnivDays+INT(MOD(AU19-FT_Y5,12)/FT_Int2))),IF(AW19="PT",IF(AU19&lt;PT_First,0,1+INT((AU19-PT_First)/PT_Int)),0)))</f>
        <v/>
      </c>
      <c r="BC19" s="11" t="str">
        <f aca="false">IF(AO19=0,"",IF(AX19="FT",IF(AU19&lt;FT_First,0,IF(AU19&lt;FT_Y5,1+INT((AU19-FT_First)/FT_Int1),FT_PreY5+FT_PerYear*INT((AU19-FT_Y5)/12)+FT_AnnivDays+INT(MOD(AU19-FT_Y5,12)/FT_Int2))),IF(AX19="PT",IF(AU19&lt;PT_First,0,1+INT((AU19-PT_First)/PT_Int)),0)))</f>
        <v/>
      </c>
      <c r="BD19" s="11" t="str">
        <f aca="false">IF(AO19=0,"",IF(AX19="FT",IF(AQ19&lt;FT_First,0,IF(AQ19&lt;FT_Y5,1+INT((AQ19-FT_First)/FT_Int1),FT_PreY5+FT_PerYear*INT((AQ19-FT_Y5)/12)+FT_AnnivDays+INT(MOD(AQ19-FT_Y5,12)/FT_Int2))),IF(AX19="PT",IF(AQ19&lt;PT_First,0,1+INT((AQ19-PT_First)/PT_Int)),0)))</f>
        <v/>
      </c>
      <c r="BE19" s="11" t="str">
        <f aca="false">IF(AO19=0,"",IF(AY19="FT",IF(AQ19&lt;FT_First,FT_First,IF(AQ19&lt;FT_Y5,MIN(FT_Y5,FT_First+FT_Int1*(INT((AQ19-FT_First)/FT_Int1)+1)),FT_Y5+12*INT((AQ19-FT_Y5)/12)+FT_Int2*(INT(MOD(AQ19-FT_Y5,12)/FT_Int2)+1))),IF(AY19="PT",IF(AQ19&lt;PT_First,PT_First,PT_First+PT_Int*(INT((AQ19-PT_First)/PT_Int)+1)),"")))</f>
        <v/>
      </c>
      <c r="BF19" s="11" t="n">
        <f aca="false">IF(AO19=0,0,IF(AND($Q19&lt;&gt;"",$Q19&lt;=AsOfDate),1,0))</f>
        <v>0</v>
      </c>
      <c r="BG19" s="11" t="str">
        <f aca="false">IF(AND(AO19=1,BF19=0,EH_Ready,N(AB19)&gt;0,N(AI19)=0),COUNT($BG$5:BG18)+1,"")</f>
        <v/>
      </c>
      <c r="BH19" s="11" t="str">
        <f aca="false">IF(AND(AO19=1,BF19=0,EH_Ready,N(AB19)&gt;0,N(AI19)&gt;0,N(AK19)&gt;0),COUNT($BH$5:BH18)+1,"")</f>
        <v/>
      </c>
      <c r="BI19" s="11" t="str">
        <f aca="false">IF(AND(AO19=1,OR(LEFT(AM19,3)="ADD",LEFT(AM19,3)="SET",LEFT(AM19,5)="CHECK",LEFT(AM19,10)="TERMINATED")),COUNT($BI$5:BI18)+1,"")</f>
        <v/>
      </c>
      <c r="BJ19" s="11" t="str">
        <f aca="false">IF(AO19=0,"",$A19&amp;" - "&amp;$B19&amp;" "&amp;$C19)</f>
        <v/>
      </c>
    </row>
    <row r="20" customFormat="false" ht="15" hidden="false" customHeight="false" outlineLevel="0" collapsed="false">
      <c r="A20" s="10"/>
      <c r="B20" s="10"/>
      <c r="C20" s="10"/>
      <c r="D20" s="10"/>
      <c r="E20" s="9"/>
      <c r="F20" s="10"/>
      <c r="G20" s="30"/>
      <c r="H20" s="9"/>
      <c r="I20" s="10"/>
      <c r="J20" s="30"/>
      <c r="K20" s="9"/>
      <c r="L20" s="10"/>
      <c r="M20" s="30"/>
      <c r="N20" s="9"/>
      <c r="O20" s="9"/>
      <c r="P20" s="30"/>
      <c r="Q20" s="9"/>
      <c r="R20" s="10"/>
      <c r="S20" s="11" t="str">
        <f aca="false">IF(AO20=0,"",IF($H20="","",$F20&amp;" -&gt; "&amp;$I20&amp;IF($I20="Part-Time"," ("&amp;N($J20)&amp;" hrs)","")&amp;" on "&amp;TEXT($H20,"dd/mm/yyyy")&amp;IF($H20&gt;AsOfDate," (FUTURE)","")&amp;IF($K20="","","; "&amp;$I20&amp;" -&gt; "&amp;$L20&amp;IF($L20="Part-Time"," ("&amp;N($M20)&amp;" hrs)","")&amp;" on "&amp;TEXT($K20,"dd/mm/yyyy")&amp;IF($K20&gt;AsOfDate," (FUTURE)",""))))</f>
        <v/>
      </c>
      <c r="T20" s="11" t="str">
        <f aca="false">IF(AO20=0,"",IF(AS20&lt;&gt;"",$L20,IF(AR20&lt;&gt;"",$I20,$F20)))</f>
        <v/>
      </c>
      <c r="U20" s="26" t="str">
        <f aca="false">IF(AO20=0,"",IF(AS20&lt;&gt;"",$M20,IF(AR20&lt;&gt;"",$J20,$G20)))</f>
        <v/>
      </c>
      <c r="V20" s="11" t="str">
        <f aca="false">IF(AO20=0,"",IF(AY20="FT","Full-Time",IF(AY20="PT","Part-Time","Not eligible")))</f>
        <v/>
      </c>
      <c r="W20" s="27" t="str">
        <f aca="false">IF(AO20=0,"",IF(AR20="",IF(AND($H20&lt;&gt;"",$H20&gt;AsOfDate),"Future change - not yet applied",""),IF(AND(AV20=AY20,OR(AS20="",AW20=AV20)),"Type changed - same accrual pathway",IF(AY20="None","STOPPED accruing from "&amp;TEXT(IF(AS20&lt;&gt;"",AS20,AR20),"dd/mm/yyyy"),IF(AV20="None","STARTED qualifying from "&amp;TEXT(IF(AS20&lt;&gt;"",AS20,AR20),"dd/mm/yyyy"),"Pathway changed "&amp;AV20&amp;" -&gt; "&amp;AW20&amp;IF(AS20&lt;&gt;""," -&gt; "&amp;AX20,"")&amp;" from "&amp;TEXT(IF(AS20&lt;&gt;"",AS20,AR20),"dd/mm/yyyy"))))))</f>
        <v/>
      </c>
      <c r="X20" s="28" t="str">
        <f aca="false">IF(AO20=0,"",IF($Q20="",AsOfDate,MIN(AsOfDate,$Q20)))</f>
        <v/>
      </c>
      <c r="Y20" s="26" t="str">
        <f aca="false">IF(AO20=0,"",MAX(0,AQ20))</f>
        <v/>
      </c>
      <c r="Z20" s="11" t="str">
        <f aca="false">IF(AO20=0,"",IF(AQ20&lt;0,"Not started",INT(AQ20/12)&amp;"y "&amp;MOD(AQ20,12)&amp;"m"))</f>
        <v/>
      </c>
      <c r="AA20" s="27" t="str">
        <f aca="false">IF(AO20=0,"",IF(BF20=1,"Terminated - balance forfeited",IF(AY20="None",IF(AB20&gt;0,"No longer accruing - "&amp;T20,"Not eligible - "&amp;T20&amp;IF(AND(IFERROR(VLOOKUP(T20,TypeTable,2,0),"None")="PT",N(U20)&lt;PT_MinHours)," (under "&amp;PT_MinHours&amp;" hrs)","")),IF(AB20&gt;0,"Yes - accruing","Not yet - qualifies "&amp;TEXT(AD20,"dd/mm/yyyy")))))</f>
        <v/>
      </c>
      <c r="AB20" s="26" t="str">
        <f aca="false">IF(AO20=0,"",AZ20+IF(AR20="",0,BB20-BA20)+IF(AS20="",0,BD20-BC20))</f>
        <v/>
      </c>
      <c r="AC20" s="26" t="str">
        <f aca="false">IF(AO20=0,"",AB20*HoursPerDay)</f>
        <v/>
      </c>
      <c r="AD20" s="28" t="str">
        <f aca="false">IF(AO20=0,"",IF(OR(BF20=1,AY20="None"),"",EDATE($E20+AP20,BE20)))</f>
        <v/>
      </c>
      <c r="AE20" s="26" t="str">
        <f aca="false">IF(AD20="","",IF(AY20="PT",1,IF(BE20&lt;FT_Y5,1,IF(MOD(BE20-FT_Y5,12)=0,FT_AnnivDays,1))))</f>
        <v/>
      </c>
      <c r="AF20" s="27" t="str">
        <f aca="false">IF(AO20=0,"",IF(NOT(EH_Ready),"Map headers",IF(IF(MatchMode="Employee ID",COUNTIFS(INDEX(EH_Data,0,EH_ColID),$A20,INDEX(EH_Data,0,EH_ColCat),BonusCat),COUNTIFS(INDEX(EH_Data,0,EH_ColFirst),$B20,INDEX(EH_Data,0,EH_ColSur),$C20,INDEX(EH_Data,0,EH_ColCat),BonusCat))&gt;0,"Yes","No")))</f>
        <v/>
      </c>
      <c r="AG20" s="26" t="str">
        <f aca="false">IF(AO20=0,"",IF(NOT(EH_Ready),"",IF(MatchMode="Employee ID",SUMIFS(INDEX(EH_Data,0,EH_ColBal),INDEX(EH_Data,0,EH_ColID),$A20,INDEX(EH_Data,0,EH_ColCat),BonusCat),SUMIFS(INDEX(EH_Data,0,EH_ColBal),INDEX(EH_Data,0,EH_ColFirst),$B20,INDEX(EH_Data,0,EH_ColSur),$C20,INDEX(EH_Data,0,EH_ColCat),BonusCat))/IF(EHUnit="Hours",HoursPerDay,1)))</f>
        <v/>
      </c>
      <c r="AH20" s="26" t="str">
        <f aca="false">IF(AO20=0,"",IF(NOT(TK_Ready),0,IF(MatchMode="Employee ID",SUMIFS(INDEX(TK_Data,0,TK_ColAmt),INDEX(TK_Data,0,TK_ColID),$A20,INDEX(TK_Data,0,TK_ColCat),BonusCat),SUMIFS(INDEX(TK_Data,0,TK_ColAmt),INDEX(TK_Data,0,TK_ColFirst),$B20,INDEX(TK_Data,0,TK_ColSur),$C20,INDEX(TK_Data,0,TK_ColCat),BonusCat))/IF(TKUnit="Hours",HoursPerDay,1)))</f>
        <v/>
      </c>
      <c r="AI20" s="26" t="str">
        <f aca="false">IF(AO20=0,"",N(AG20)+N(AH20))</f>
        <v/>
      </c>
      <c r="AJ20" s="29" t="str">
        <f aca="false">IF(AO20=0,"",IF(NOT(AND(EH_Ready,EH_ValReady)),"",IF(MatchMode="Employee ID",SUMIFS(INDEX(EH_Data,0,EH_ColVal),INDEX(EH_Data,0,EH_ColID),$A20,INDEX(EH_Data,0,EH_ColCat),BonusCat),SUMIFS(INDEX(EH_Data,0,EH_ColVal),INDEX(EH_Data,0,EH_ColFirst),$B20,INDEX(EH_Data,0,EH_ColSur),$C20,INDEX(EH_Data,0,EH_ColCat),BonusCat))))</f>
        <v/>
      </c>
      <c r="AK20" s="26" t="str">
        <f aca="false">IF(AO20=0,"",IF(OR(NOT(EH_Ready),BF20=1),"",AB20-AI20))</f>
        <v/>
      </c>
      <c r="AL20" s="26" t="str">
        <f aca="false">IF(AK20="","",AK20*HoursPerDay)</f>
        <v/>
      </c>
      <c r="AM20" s="27" t="str">
        <f aca="false">IF(AO20=0,"",IF(BF20=1,IF(N(AG20)&gt;0,"TERMINATED - forfeit "&amp;TEXT(AG20,"0.##")&amp;" days still in EH","Terminated - nothing in EH"),IF(NOT(EH_Ready),"Paste EH export and map headers on Settings",IF(AND(AB20&gt;0,AF20="No"),"SET UP in EH - add "&amp;TEXT(AB20,"0.##")&amp;" day(s) ("&amp;TEXT(AC20,"0.##")&amp;" hrs)",IF(AK20&gt;0,"ADD "&amp;TEXT(AK20,"0.##")&amp;" day(s) ("&amp;TEXT(AL20,"0.##")&amp;" hrs) in EH",IF(AK20&lt;0,"CHECK - EH shows "&amp;TEXT(-AK20,"0.##")&amp;" days more than policy",IF(AB20&gt;0,"OK - up to date",IF(AY20="None","No action - not eligible","No action - not yet qualified"))))))))</f>
        <v/>
      </c>
      <c r="AN20" s="27" t="str">
        <f aca="false">IF(AO20=0,"",TRIM(IF(AND($K20&lt;&gt;"",$H20=""),"Change 2 entered without Change 1. ","")&amp;IF(AND($K20&lt;&gt;"",$H20&lt;&gt;"",$K20&lt;=$H20),"Change 2 date not after Change 1. ","")&amp;IF(AND($N20&lt;&gt;"",$O20&lt;&gt;"",$O20&lt;$N20),"Leave To is before Leave From. ","")&amp;IF(AND($N20&lt;&gt;"",$O20=""),"Leave From entered without Leave To. ","")&amp;IF(AND(IFERROR(VLOOKUP(T20,TypeTable,2,0),"None")="PT",U20=""),"Part-time with no hours entered. ","")&amp;IF(AND($H20&lt;&gt;"",$H20&gt;AsOfDate,AD20&lt;&gt;"",$H20&lt;=AD20),"Status change lands before next accrual - review. ","")&amp;IF(AND($Q20&lt;&gt;"",$Q20&lt;$E20),"Termination before commencement. ","")))</f>
        <v/>
      </c>
      <c r="AO20" s="11" t="n">
        <f aca="false">IF(LEN($A20&amp;$B20&amp;$C20)=0,0,IF($E20="",0,1))</f>
        <v>0</v>
      </c>
      <c r="AP20" s="11" t="str">
        <f aca="false">IF(AO20=0,"",(IF(OR($N20="",$O20=""),0,MAX(0,MIN(X20,$O20)-MAX($N20,$E20)+1))+N($P20)))</f>
        <v/>
      </c>
      <c r="AQ20" s="11" t="str">
        <f aca="false">IF(AO20=0,"",IF(X20&lt;($E20+(IF(OR($N20="",$O20=""),0,MAX(0,MIN(X20,$O20)-MAX($N20,$E20)+1))+N($P20))),-1,12*(YEAR(X20)-YEAR(($E20+(IF(OR($N20="",$O20=""),0,MAX(0,MIN(X20,$O20)-MAX($N20,$E20)+1))+N($P20)))))+MONTH(X20)-MONTH(($E20+(IF(OR($N20="",$O20=""),0,MAX(0,MIN(X20,$O20)-MAX($N20,$E20)+1))+N($P20))))-IF(DAY(X20)&lt;MIN(DAY(($E20+(IF(OR($N20="",$O20=""),0,MAX(0,MIN(X20,$O20)-MAX($N20,$E20)+1))+N($P20)))),DAY(EOMONTH(X20,0))),1,0)))</f>
        <v/>
      </c>
      <c r="AR20" s="28" t="str">
        <f aca="false">IF(AO20=0,"",IF($H20="","",IF($H20&gt;X20,"",$H20)))</f>
        <v/>
      </c>
      <c r="AS20" s="28" t="str">
        <f aca="false">IF(AO20=0,"",IF(AR20="","",IF($K20="","",IF($K20&gt;X20,"",$K20))))</f>
        <v/>
      </c>
      <c r="AT20" s="11" t="str">
        <f aca="false">IF(AO20=0,"",IF(AR20="",AQ20,IF((AR20-1)&lt;($E20+(IF(OR($N20="",$O20=""),0,MAX(0,MIN((AR20-1),$O20)-MAX($N20,$E20)+1))+N($P20))),-1,12*(YEAR((AR20-1))-YEAR(($E20+(IF(OR($N20="",$O20=""),0,MAX(0,MIN((AR20-1),$O20)-MAX($N20,$E20)+1))+N($P20)))))+MONTH((AR20-1))-MONTH(($E20+(IF(OR($N20="",$O20=""),0,MAX(0,MIN((AR20-1),$O20)-MAX($N20,$E20)+1))+N($P20))))-IF(DAY((AR20-1))&lt;MIN(DAY(($E20+(IF(OR($N20="",$O20=""),0,MAX(0,MIN((AR20-1),$O20)-MAX($N20,$E20)+1))+N($P20)))),DAY(EOMONTH((AR20-1),0))),1,0))))</f>
        <v/>
      </c>
      <c r="AU20" s="11" t="str">
        <f aca="false">IF(AO20=0,"",IF(AS20="",AQ20,IF((AS20-1)&lt;($E20+(IF(OR($N20="",$O20=""),0,MAX(0,MIN((AS20-1),$O20)-MAX($N20,$E20)+1))+N($P20))),-1,12*(YEAR((AS20-1))-YEAR(($E20+(IF(OR($N20="",$O20=""),0,MAX(0,MIN((AS20-1),$O20)-MAX($N20,$E20)+1))+N($P20)))))+MONTH((AS20-1))-MONTH(($E20+(IF(OR($N20="",$O20=""),0,MAX(0,MIN((AS20-1),$O20)-MAX($N20,$E20)+1))+N($P20))))-IF(DAY((AS20-1))&lt;MIN(DAY(($E20+(IF(OR($N20="",$O20=""),0,MAX(0,MIN((AS20-1),$O20)-MAX($N20,$E20)+1))+N($P20)))),DAY(EOMONTH((AS20-1),0))),1,0))))</f>
        <v/>
      </c>
      <c r="AV20" s="11" t="str">
        <f aca="false">IF(AO20=0,"",IF($F20="","None",IF(IFERROR(VLOOKUP($F20,TypeTable,2,0),"None")="PT",IF(N($G20)&gt;=PT_MinHours,"PT","None"),IFERROR(VLOOKUP($F20,TypeTable,2,0),"None"))))</f>
        <v/>
      </c>
      <c r="AW20" s="11" t="str">
        <f aca="false">IF(AO20=0,"",IF($I20="","None",IF(IFERROR(VLOOKUP($I20,TypeTable,2,0),"None")="PT",IF(N($J20)&gt;=PT_MinHours,"PT","None"),IFERROR(VLOOKUP($I20,TypeTable,2,0),"None"))))</f>
        <v/>
      </c>
      <c r="AX20" s="11" t="str">
        <f aca="false">IF(AO20=0,"",IF($L20="","None",IF(IFERROR(VLOOKUP($L20,TypeTable,2,0),"None")="PT",IF(N($M20)&gt;=PT_MinHours,"PT","None"),IFERROR(VLOOKUP($L20,TypeTable,2,0),"None"))))</f>
        <v/>
      </c>
      <c r="AY20" s="11" t="str">
        <f aca="false">IF(AO20=0,"",IF(AS20&lt;&gt;"",AX20,IF(AR20&lt;&gt;"",AW20,AV20)))</f>
        <v/>
      </c>
      <c r="AZ20" s="11" t="str">
        <f aca="false">IF(AO20=0,"",IF(AV20="FT",IF(AT20&lt;FT_First,0,IF(AT20&lt;FT_Y5,1+INT((AT20-FT_First)/FT_Int1),FT_PreY5+FT_PerYear*INT((AT20-FT_Y5)/12)+FT_AnnivDays+INT(MOD(AT20-FT_Y5,12)/FT_Int2))),IF(AV20="PT",IF(AT20&lt;PT_First,0,1+INT((AT20-PT_First)/PT_Int)),0)))</f>
        <v/>
      </c>
      <c r="BA20" s="11" t="str">
        <f aca="false">IF(AO20=0,"",IF(AW20="FT",IF(AT20&lt;FT_First,0,IF(AT20&lt;FT_Y5,1+INT((AT20-FT_First)/FT_Int1),FT_PreY5+FT_PerYear*INT((AT20-FT_Y5)/12)+FT_AnnivDays+INT(MOD(AT20-FT_Y5,12)/FT_Int2))),IF(AW20="PT",IF(AT20&lt;PT_First,0,1+INT((AT20-PT_First)/PT_Int)),0)))</f>
        <v/>
      </c>
      <c r="BB20" s="11" t="str">
        <f aca="false">IF(AO20=0,"",IF(AW20="FT",IF(AU20&lt;FT_First,0,IF(AU20&lt;FT_Y5,1+INT((AU20-FT_First)/FT_Int1),FT_PreY5+FT_PerYear*INT((AU20-FT_Y5)/12)+FT_AnnivDays+INT(MOD(AU20-FT_Y5,12)/FT_Int2))),IF(AW20="PT",IF(AU20&lt;PT_First,0,1+INT((AU20-PT_First)/PT_Int)),0)))</f>
        <v/>
      </c>
      <c r="BC20" s="11" t="str">
        <f aca="false">IF(AO20=0,"",IF(AX20="FT",IF(AU20&lt;FT_First,0,IF(AU20&lt;FT_Y5,1+INT((AU20-FT_First)/FT_Int1),FT_PreY5+FT_PerYear*INT((AU20-FT_Y5)/12)+FT_AnnivDays+INT(MOD(AU20-FT_Y5,12)/FT_Int2))),IF(AX20="PT",IF(AU20&lt;PT_First,0,1+INT((AU20-PT_First)/PT_Int)),0)))</f>
        <v/>
      </c>
      <c r="BD20" s="11" t="str">
        <f aca="false">IF(AO20=0,"",IF(AX20="FT",IF(AQ20&lt;FT_First,0,IF(AQ20&lt;FT_Y5,1+INT((AQ20-FT_First)/FT_Int1),FT_PreY5+FT_PerYear*INT((AQ20-FT_Y5)/12)+FT_AnnivDays+INT(MOD(AQ20-FT_Y5,12)/FT_Int2))),IF(AX20="PT",IF(AQ20&lt;PT_First,0,1+INT((AQ20-PT_First)/PT_Int)),0)))</f>
        <v/>
      </c>
      <c r="BE20" s="11" t="str">
        <f aca="false">IF(AO20=0,"",IF(AY20="FT",IF(AQ20&lt;FT_First,FT_First,IF(AQ20&lt;FT_Y5,MIN(FT_Y5,FT_First+FT_Int1*(INT((AQ20-FT_First)/FT_Int1)+1)),FT_Y5+12*INT((AQ20-FT_Y5)/12)+FT_Int2*(INT(MOD(AQ20-FT_Y5,12)/FT_Int2)+1))),IF(AY20="PT",IF(AQ20&lt;PT_First,PT_First,PT_First+PT_Int*(INT((AQ20-PT_First)/PT_Int)+1)),"")))</f>
        <v/>
      </c>
      <c r="BF20" s="11" t="n">
        <f aca="false">IF(AO20=0,0,IF(AND($Q20&lt;&gt;"",$Q20&lt;=AsOfDate),1,0))</f>
        <v>0</v>
      </c>
      <c r="BG20" s="11" t="str">
        <f aca="false">IF(AND(AO20=1,BF20=0,EH_Ready,N(AB20)&gt;0,N(AI20)=0),COUNT($BG$5:BG19)+1,"")</f>
        <v/>
      </c>
      <c r="BH20" s="11" t="str">
        <f aca="false">IF(AND(AO20=1,BF20=0,EH_Ready,N(AB20)&gt;0,N(AI20)&gt;0,N(AK20)&gt;0),COUNT($BH$5:BH19)+1,"")</f>
        <v/>
      </c>
      <c r="BI20" s="11" t="str">
        <f aca="false">IF(AND(AO20=1,OR(LEFT(AM20,3)="ADD",LEFT(AM20,3)="SET",LEFT(AM20,5)="CHECK",LEFT(AM20,10)="TERMINATED")),COUNT($BI$5:BI19)+1,"")</f>
        <v/>
      </c>
      <c r="BJ20" s="11" t="str">
        <f aca="false">IF(AO20=0,"",$A20&amp;" - "&amp;$B20&amp;" "&amp;$C20)</f>
        <v/>
      </c>
    </row>
    <row r="21" customFormat="false" ht="15" hidden="false" customHeight="false" outlineLevel="0" collapsed="false">
      <c r="A21" s="10"/>
      <c r="B21" s="10"/>
      <c r="C21" s="10"/>
      <c r="D21" s="10"/>
      <c r="E21" s="9"/>
      <c r="F21" s="10"/>
      <c r="G21" s="30"/>
      <c r="H21" s="9"/>
      <c r="I21" s="10"/>
      <c r="J21" s="30"/>
      <c r="K21" s="9"/>
      <c r="L21" s="10"/>
      <c r="M21" s="30"/>
      <c r="N21" s="9"/>
      <c r="O21" s="9"/>
      <c r="P21" s="30"/>
      <c r="Q21" s="9"/>
      <c r="R21" s="10"/>
      <c r="S21" s="11" t="str">
        <f aca="false">IF(AO21=0,"",IF($H21="","",$F21&amp;" -&gt; "&amp;$I21&amp;IF($I21="Part-Time"," ("&amp;N($J21)&amp;" hrs)","")&amp;" on "&amp;TEXT($H21,"dd/mm/yyyy")&amp;IF($H21&gt;AsOfDate," (FUTURE)","")&amp;IF($K21="","","; "&amp;$I21&amp;" -&gt; "&amp;$L21&amp;IF($L21="Part-Time"," ("&amp;N($M21)&amp;" hrs)","")&amp;" on "&amp;TEXT($K21,"dd/mm/yyyy")&amp;IF($K21&gt;AsOfDate," (FUTURE)",""))))</f>
        <v/>
      </c>
      <c r="T21" s="11" t="str">
        <f aca="false">IF(AO21=0,"",IF(AS21&lt;&gt;"",$L21,IF(AR21&lt;&gt;"",$I21,$F21)))</f>
        <v/>
      </c>
      <c r="U21" s="26" t="str">
        <f aca="false">IF(AO21=0,"",IF(AS21&lt;&gt;"",$M21,IF(AR21&lt;&gt;"",$J21,$G21)))</f>
        <v/>
      </c>
      <c r="V21" s="11" t="str">
        <f aca="false">IF(AO21=0,"",IF(AY21="FT","Full-Time",IF(AY21="PT","Part-Time","Not eligible")))</f>
        <v/>
      </c>
      <c r="W21" s="27" t="str">
        <f aca="false">IF(AO21=0,"",IF(AR21="",IF(AND($H21&lt;&gt;"",$H21&gt;AsOfDate),"Future change - not yet applied",""),IF(AND(AV21=AY21,OR(AS21="",AW21=AV21)),"Type changed - same accrual pathway",IF(AY21="None","STOPPED accruing from "&amp;TEXT(IF(AS21&lt;&gt;"",AS21,AR21),"dd/mm/yyyy"),IF(AV21="None","STARTED qualifying from "&amp;TEXT(IF(AS21&lt;&gt;"",AS21,AR21),"dd/mm/yyyy"),"Pathway changed "&amp;AV21&amp;" -&gt; "&amp;AW21&amp;IF(AS21&lt;&gt;""," -&gt; "&amp;AX21,"")&amp;" from "&amp;TEXT(IF(AS21&lt;&gt;"",AS21,AR21),"dd/mm/yyyy"))))))</f>
        <v/>
      </c>
      <c r="X21" s="28" t="str">
        <f aca="false">IF(AO21=0,"",IF($Q21="",AsOfDate,MIN(AsOfDate,$Q21)))</f>
        <v/>
      </c>
      <c r="Y21" s="26" t="str">
        <f aca="false">IF(AO21=0,"",MAX(0,AQ21))</f>
        <v/>
      </c>
      <c r="Z21" s="11" t="str">
        <f aca="false">IF(AO21=0,"",IF(AQ21&lt;0,"Not started",INT(AQ21/12)&amp;"y "&amp;MOD(AQ21,12)&amp;"m"))</f>
        <v/>
      </c>
      <c r="AA21" s="27" t="str">
        <f aca="false">IF(AO21=0,"",IF(BF21=1,"Terminated - balance forfeited",IF(AY21="None",IF(AB21&gt;0,"No longer accruing - "&amp;T21,"Not eligible - "&amp;T21&amp;IF(AND(IFERROR(VLOOKUP(T21,TypeTable,2,0),"None")="PT",N(U21)&lt;PT_MinHours)," (under "&amp;PT_MinHours&amp;" hrs)","")),IF(AB21&gt;0,"Yes - accruing","Not yet - qualifies "&amp;TEXT(AD21,"dd/mm/yyyy")))))</f>
        <v/>
      </c>
      <c r="AB21" s="26" t="str">
        <f aca="false">IF(AO21=0,"",AZ21+IF(AR21="",0,BB21-BA21)+IF(AS21="",0,BD21-BC21))</f>
        <v/>
      </c>
      <c r="AC21" s="26" t="str">
        <f aca="false">IF(AO21=0,"",AB21*HoursPerDay)</f>
        <v/>
      </c>
      <c r="AD21" s="28" t="str">
        <f aca="false">IF(AO21=0,"",IF(OR(BF21=1,AY21="None"),"",EDATE($E21+AP21,BE21)))</f>
        <v/>
      </c>
      <c r="AE21" s="26" t="str">
        <f aca="false">IF(AD21="","",IF(AY21="PT",1,IF(BE21&lt;FT_Y5,1,IF(MOD(BE21-FT_Y5,12)=0,FT_AnnivDays,1))))</f>
        <v/>
      </c>
      <c r="AF21" s="27" t="str">
        <f aca="false">IF(AO21=0,"",IF(NOT(EH_Ready),"Map headers",IF(IF(MatchMode="Employee ID",COUNTIFS(INDEX(EH_Data,0,EH_ColID),$A21,INDEX(EH_Data,0,EH_ColCat),BonusCat),COUNTIFS(INDEX(EH_Data,0,EH_ColFirst),$B21,INDEX(EH_Data,0,EH_ColSur),$C21,INDEX(EH_Data,0,EH_ColCat),BonusCat))&gt;0,"Yes","No")))</f>
        <v/>
      </c>
      <c r="AG21" s="26" t="str">
        <f aca="false">IF(AO21=0,"",IF(NOT(EH_Ready),"",IF(MatchMode="Employee ID",SUMIFS(INDEX(EH_Data,0,EH_ColBal),INDEX(EH_Data,0,EH_ColID),$A21,INDEX(EH_Data,0,EH_ColCat),BonusCat),SUMIFS(INDEX(EH_Data,0,EH_ColBal),INDEX(EH_Data,0,EH_ColFirst),$B21,INDEX(EH_Data,0,EH_ColSur),$C21,INDEX(EH_Data,0,EH_ColCat),BonusCat))/IF(EHUnit="Hours",HoursPerDay,1)))</f>
        <v/>
      </c>
      <c r="AH21" s="26" t="str">
        <f aca="false">IF(AO21=0,"",IF(NOT(TK_Ready),0,IF(MatchMode="Employee ID",SUMIFS(INDEX(TK_Data,0,TK_ColAmt),INDEX(TK_Data,0,TK_ColID),$A21,INDEX(TK_Data,0,TK_ColCat),BonusCat),SUMIFS(INDEX(TK_Data,0,TK_ColAmt),INDEX(TK_Data,0,TK_ColFirst),$B21,INDEX(TK_Data,0,TK_ColSur),$C21,INDEX(TK_Data,0,TK_ColCat),BonusCat))/IF(TKUnit="Hours",HoursPerDay,1)))</f>
        <v/>
      </c>
      <c r="AI21" s="26" t="str">
        <f aca="false">IF(AO21=0,"",N(AG21)+N(AH21))</f>
        <v/>
      </c>
      <c r="AJ21" s="29" t="str">
        <f aca="false">IF(AO21=0,"",IF(NOT(AND(EH_Ready,EH_ValReady)),"",IF(MatchMode="Employee ID",SUMIFS(INDEX(EH_Data,0,EH_ColVal),INDEX(EH_Data,0,EH_ColID),$A21,INDEX(EH_Data,0,EH_ColCat),BonusCat),SUMIFS(INDEX(EH_Data,0,EH_ColVal),INDEX(EH_Data,0,EH_ColFirst),$B21,INDEX(EH_Data,0,EH_ColSur),$C21,INDEX(EH_Data,0,EH_ColCat),BonusCat))))</f>
        <v/>
      </c>
      <c r="AK21" s="26" t="str">
        <f aca="false">IF(AO21=0,"",IF(OR(NOT(EH_Ready),BF21=1),"",AB21-AI21))</f>
        <v/>
      </c>
      <c r="AL21" s="26" t="str">
        <f aca="false">IF(AK21="","",AK21*HoursPerDay)</f>
        <v/>
      </c>
      <c r="AM21" s="27" t="str">
        <f aca="false">IF(AO21=0,"",IF(BF21=1,IF(N(AG21)&gt;0,"TERMINATED - forfeit "&amp;TEXT(AG21,"0.##")&amp;" days still in EH","Terminated - nothing in EH"),IF(NOT(EH_Ready),"Paste EH export and map headers on Settings",IF(AND(AB21&gt;0,AF21="No"),"SET UP in EH - add "&amp;TEXT(AB21,"0.##")&amp;" day(s) ("&amp;TEXT(AC21,"0.##")&amp;" hrs)",IF(AK21&gt;0,"ADD "&amp;TEXT(AK21,"0.##")&amp;" day(s) ("&amp;TEXT(AL21,"0.##")&amp;" hrs) in EH",IF(AK21&lt;0,"CHECK - EH shows "&amp;TEXT(-AK21,"0.##")&amp;" days more than policy",IF(AB21&gt;0,"OK - up to date",IF(AY21="None","No action - not eligible","No action - not yet qualified"))))))))</f>
        <v/>
      </c>
      <c r="AN21" s="27" t="str">
        <f aca="false">IF(AO21=0,"",TRIM(IF(AND($K21&lt;&gt;"",$H21=""),"Change 2 entered without Change 1. ","")&amp;IF(AND($K21&lt;&gt;"",$H21&lt;&gt;"",$K21&lt;=$H21),"Change 2 date not after Change 1. ","")&amp;IF(AND($N21&lt;&gt;"",$O21&lt;&gt;"",$O21&lt;$N21),"Leave To is before Leave From. ","")&amp;IF(AND($N21&lt;&gt;"",$O21=""),"Leave From entered without Leave To. ","")&amp;IF(AND(IFERROR(VLOOKUP(T21,TypeTable,2,0),"None")="PT",U21=""),"Part-time with no hours entered. ","")&amp;IF(AND($H21&lt;&gt;"",$H21&gt;AsOfDate,AD21&lt;&gt;"",$H21&lt;=AD21),"Status change lands before next accrual - review. ","")&amp;IF(AND($Q21&lt;&gt;"",$Q21&lt;$E21),"Termination before commencement. ","")))</f>
        <v/>
      </c>
      <c r="AO21" s="11" t="n">
        <f aca="false">IF(LEN($A21&amp;$B21&amp;$C21)=0,0,IF($E21="",0,1))</f>
        <v>0</v>
      </c>
      <c r="AP21" s="11" t="str">
        <f aca="false">IF(AO21=0,"",(IF(OR($N21="",$O21=""),0,MAX(0,MIN(X21,$O21)-MAX($N21,$E21)+1))+N($P21)))</f>
        <v/>
      </c>
      <c r="AQ21" s="11" t="str">
        <f aca="false">IF(AO21=0,"",IF(X21&lt;($E21+(IF(OR($N21="",$O21=""),0,MAX(0,MIN(X21,$O21)-MAX($N21,$E21)+1))+N($P21))),-1,12*(YEAR(X21)-YEAR(($E21+(IF(OR($N21="",$O21=""),0,MAX(0,MIN(X21,$O21)-MAX($N21,$E21)+1))+N($P21)))))+MONTH(X21)-MONTH(($E21+(IF(OR($N21="",$O21=""),0,MAX(0,MIN(X21,$O21)-MAX($N21,$E21)+1))+N($P21))))-IF(DAY(X21)&lt;MIN(DAY(($E21+(IF(OR($N21="",$O21=""),0,MAX(0,MIN(X21,$O21)-MAX($N21,$E21)+1))+N($P21)))),DAY(EOMONTH(X21,0))),1,0)))</f>
        <v/>
      </c>
      <c r="AR21" s="28" t="str">
        <f aca="false">IF(AO21=0,"",IF($H21="","",IF($H21&gt;X21,"",$H21)))</f>
        <v/>
      </c>
      <c r="AS21" s="28" t="str">
        <f aca="false">IF(AO21=0,"",IF(AR21="","",IF($K21="","",IF($K21&gt;X21,"",$K21))))</f>
        <v/>
      </c>
      <c r="AT21" s="11" t="str">
        <f aca="false">IF(AO21=0,"",IF(AR21="",AQ21,IF((AR21-1)&lt;($E21+(IF(OR($N21="",$O21=""),0,MAX(0,MIN((AR21-1),$O21)-MAX($N21,$E21)+1))+N($P21))),-1,12*(YEAR((AR21-1))-YEAR(($E21+(IF(OR($N21="",$O21=""),0,MAX(0,MIN((AR21-1),$O21)-MAX($N21,$E21)+1))+N($P21)))))+MONTH((AR21-1))-MONTH(($E21+(IF(OR($N21="",$O21=""),0,MAX(0,MIN((AR21-1),$O21)-MAX($N21,$E21)+1))+N($P21))))-IF(DAY((AR21-1))&lt;MIN(DAY(($E21+(IF(OR($N21="",$O21=""),0,MAX(0,MIN((AR21-1),$O21)-MAX($N21,$E21)+1))+N($P21)))),DAY(EOMONTH((AR21-1),0))),1,0))))</f>
        <v/>
      </c>
      <c r="AU21" s="11" t="str">
        <f aca="false">IF(AO21=0,"",IF(AS21="",AQ21,IF((AS21-1)&lt;($E21+(IF(OR($N21="",$O21=""),0,MAX(0,MIN((AS21-1),$O21)-MAX($N21,$E21)+1))+N($P21))),-1,12*(YEAR((AS21-1))-YEAR(($E21+(IF(OR($N21="",$O21=""),0,MAX(0,MIN((AS21-1),$O21)-MAX($N21,$E21)+1))+N($P21)))))+MONTH((AS21-1))-MONTH(($E21+(IF(OR($N21="",$O21=""),0,MAX(0,MIN((AS21-1),$O21)-MAX($N21,$E21)+1))+N($P21))))-IF(DAY((AS21-1))&lt;MIN(DAY(($E21+(IF(OR($N21="",$O21=""),0,MAX(0,MIN((AS21-1),$O21)-MAX($N21,$E21)+1))+N($P21)))),DAY(EOMONTH((AS21-1),0))),1,0))))</f>
        <v/>
      </c>
      <c r="AV21" s="11" t="str">
        <f aca="false">IF(AO21=0,"",IF($F21="","None",IF(IFERROR(VLOOKUP($F21,TypeTable,2,0),"None")="PT",IF(N($G21)&gt;=PT_MinHours,"PT","None"),IFERROR(VLOOKUP($F21,TypeTable,2,0),"None"))))</f>
        <v/>
      </c>
      <c r="AW21" s="11" t="str">
        <f aca="false">IF(AO21=0,"",IF($I21="","None",IF(IFERROR(VLOOKUP($I21,TypeTable,2,0),"None")="PT",IF(N($J21)&gt;=PT_MinHours,"PT","None"),IFERROR(VLOOKUP($I21,TypeTable,2,0),"None"))))</f>
        <v/>
      </c>
      <c r="AX21" s="11" t="str">
        <f aca="false">IF(AO21=0,"",IF($L21="","None",IF(IFERROR(VLOOKUP($L21,TypeTable,2,0),"None")="PT",IF(N($M21)&gt;=PT_MinHours,"PT","None"),IFERROR(VLOOKUP($L21,TypeTable,2,0),"None"))))</f>
        <v/>
      </c>
      <c r="AY21" s="11" t="str">
        <f aca="false">IF(AO21=0,"",IF(AS21&lt;&gt;"",AX21,IF(AR21&lt;&gt;"",AW21,AV21)))</f>
        <v/>
      </c>
      <c r="AZ21" s="11" t="str">
        <f aca="false">IF(AO21=0,"",IF(AV21="FT",IF(AT21&lt;FT_First,0,IF(AT21&lt;FT_Y5,1+INT((AT21-FT_First)/FT_Int1),FT_PreY5+FT_PerYear*INT((AT21-FT_Y5)/12)+FT_AnnivDays+INT(MOD(AT21-FT_Y5,12)/FT_Int2))),IF(AV21="PT",IF(AT21&lt;PT_First,0,1+INT((AT21-PT_First)/PT_Int)),0)))</f>
        <v/>
      </c>
      <c r="BA21" s="11" t="str">
        <f aca="false">IF(AO21=0,"",IF(AW21="FT",IF(AT21&lt;FT_First,0,IF(AT21&lt;FT_Y5,1+INT((AT21-FT_First)/FT_Int1),FT_PreY5+FT_PerYear*INT((AT21-FT_Y5)/12)+FT_AnnivDays+INT(MOD(AT21-FT_Y5,12)/FT_Int2))),IF(AW21="PT",IF(AT21&lt;PT_First,0,1+INT((AT21-PT_First)/PT_Int)),0)))</f>
        <v/>
      </c>
      <c r="BB21" s="11" t="str">
        <f aca="false">IF(AO21=0,"",IF(AW21="FT",IF(AU21&lt;FT_First,0,IF(AU21&lt;FT_Y5,1+INT((AU21-FT_First)/FT_Int1),FT_PreY5+FT_PerYear*INT((AU21-FT_Y5)/12)+FT_AnnivDays+INT(MOD(AU21-FT_Y5,12)/FT_Int2))),IF(AW21="PT",IF(AU21&lt;PT_First,0,1+INT((AU21-PT_First)/PT_Int)),0)))</f>
        <v/>
      </c>
      <c r="BC21" s="11" t="str">
        <f aca="false">IF(AO21=0,"",IF(AX21="FT",IF(AU21&lt;FT_First,0,IF(AU21&lt;FT_Y5,1+INT((AU21-FT_First)/FT_Int1),FT_PreY5+FT_PerYear*INT((AU21-FT_Y5)/12)+FT_AnnivDays+INT(MOD(AU21-FT_Y5,12)/FT_Int2))),IF(AX21="PT",IF(AU21&lt;PT_First,0,1+INT((AU21-PT_First)/PT_Int)),0)))</f>
        <v/>
      </c>
      <c r="BD21" s="11" t="str">
        <f aca="false">IF(AO21=0,"",IF(AX21="FT",IF(AQ21&lt;FT_First,0,IF(AQ21&lt;FT_Y5,1+INT((AQ21-FT_First)/FT_Int1),FT_PreY5+FT_PerYear*INT((AQ21-FT_Y5)/12)+FT_AnnivDays+INT(MOD(AQ21-FT_Y5,12)/FT_Int2))),IF(AX21="PT",IF(AQ21&lt;PT_First,0,1+INT((AQ21-PT_First)/PT_Int)),0)))</f>
        <v/>
      </c>
      <c r="BE21" s="11" t="str">
        <f aca="false">IF(AO21=0,"",IF(AY21="FT",IF(AQ21&lt;FT_First,FT_First,IF(AQ21&lt;FT_Y5,MIN(FT_Y5,FT_First+FT_Int1*(INT((AQ21-FT_First)/FT_Int1)+1)),FT_Y5+12*INT((AQ21-FT_Y5)/12)+FT_Int2*(INT(MOD(AQ21-FT_Y5,12)/FT_Int2)+1))),IF(AY21="PT",IF(AQ21&lt;PT_First,PT_First,PT_First+PT_Int*(INT((AQ21-PT_First)/PT_Int)+1)),"")))</f>
        <v/>
      </c>
      <c r="BF21" s="11" t="n">
        <f aca="false">IF(AO21=0,0,IF(AND($Q21&lt;&gt;"",$Q21&lt;=AsOfDate),1,0))</f>
        <v>0</v>
      </c>
      <c r="BG21" s="11" t="str">
        <f aca="false">IF(AND(AO21=1,BF21=0,EH_Ready,N(AB21)&gt;0,N(AI21)=0),COUNT($BG$5:BG20)+1,"")</f>
        <v/>
      </c>
      <c r="BH21" s="11" t="str">
        <f aca="false">IF(AND(AO21=1,BF21=0,EH_Ready,N(AB21)&gt;0,N(AI21)&gt;0,N(AK21)&gt;0),COUNT($BH$5:BH20)+1,"")</f>
        <v/>
      </c>
      <c r="BI21" s="11" t="str">
        <f aca="false">IF(AND(AO21=1,OR(LEFT(AM21,3)="ADD",LEFT(AM21,3)="SET",LEFT(AM21,5)="CHECK",LEFT(AM21,10)="TERMINATED")),COUNT($BI$5:BI20)+1,"")</f>
        <v/>
      </c>
      <c r="BJ21" s="11" t="str">
        <f aca="false">IF(AO21=0,"",$A21&amp;" - "&amp;$B21&amp;" "&amp;$C21)</f>
        <v/>
      </c>
    </row>
    <row r="22" customFormat="false" ht="15" hidden="false" customHeight="false" outlineLevel="0" collapsed="false">
      <c r="A22" s="10"/>
      <c r="B22" s="10"/>
      <c r="C22" s="10"/>
      <c r="D22" s="10"/>
      <c r="E22" s="9"/>
      <c r="F22" s="10"/>
      <c r="G22" s="30"/>
      <c r="H22" s="9"/>
      <c r="I22" s="10"/>
      <c r="J22" s="30"/>
      <c r="K22" s="9"/>
      <c r="L22" s="10"/>
      <c r="M22" s="30"/>
      <c r="N22" s="9"/>
      <c r="O22" s="9"/>
      <c r="P22" s="30"/>
      <c r="Q22" s="9"/>
      <c r="R22" s="10"/>
      <c r="S22" s="11" t="str">
        <f aca="false">IF(AO22=0,"",IF($H22="","",$F22&amp;" -&gt; "&amp;$I22&amp;IF($I22="Part-Time"," ("&amp;N($J22)&amp;" hrs)","")&amp;" on "&amp;TEXT($H22,"dd/mm/yyyy")&amp;IF($H22&gt;AsOfDate," (FUTURE)","")&amp;IF($K22="","","; "&amp;$I22&amp;" -&gt; "&amp;$L22&amp;IF($L22="Part-Time"," ("&amp;N($M22)&amp;" hrs)","")&amp;" on "&amp;TEXT($K22,"dd/mm/yyyy")&amp;IF($K22&gt;AsOfDate," (FUTURE)",""))))</f>
        <v/>
      </c>
      <c r="T22" s="11" t="str">
        <f aca="false">IF(AO22=0,"",IF(AS22&lt;&gt;"",$L22,IF(AR22&lt;&gt;"",$I22,$F22)))</f>
        <v/>
      </c>
      <c r="U22" s="26" t="str">
        <f aca="false">IF(AO22=0,"",IF(AS22&lt;&gt;"",$M22,IF(AR22&lt;&gt;"",$J22,$G22)))</f>
        <v/>
      </c>
      <c r="V22" s="11" t="str">
        <f aca="false">IF(AO22=0,"",IF(AY22="FT","Full-Time",IF(AY22="PT","Part-Time","Not eligible")))</f>
        <v/>
      </c>
      <c r="W22" s="27" t="str">
        <f aca="false">IF(AO22=0,"",IF(AR22="",IF(AND($H22&lt;&gt;"",$H22&gt;AsOfDate),"Future change - not yet applied",""),IF(AND(AV22=AY22,OR(AS22="",AW22=AV22)),"Type changed - same accrual pathway",IF(AY22="None","STOPPED accruing from "&amp;TEXT(IF(AS22&lt;&gt;"",AS22,AR22),"dd/mm/yyyy"),IF(AV22="None","STARTED qualifying from "&amp;TEXT(IF(AS22&lt;&gt;"",AS22,AR22),"dd/mm/yyyy"),"Pathway changed "&amp;AV22&amp;" -&gt; "&amp;AW22&amp;IF(AS22&lt;&gt;""," -&gt; "&amp;AX22,"")&amp;" from "&amp;TEXT(IF(AS22&lt;&gt;"",AS22,AR22),"dd/mm/yyyy"))))))</f>
        <v/>
      </c>
      <c r="X22" s="28" t="str">
        <f aca="false">IF(AO22=0,"",IF($Q22="",AsOfDate,MIN(AsOfDate,$Q22)))</f>
        <v/>
      </c>
      <c r="Y22" s="26" t="str">
        <f aca="false">IF(AO22=0,"",MAX(0,AQ22))</f>
        <v/>
      </c>
      <c r="Z22" s="11" t="str">
        <f aca="false">IF(AO22=0,"",IF(AQ22&lt;0,"Not started",INT(AQ22/12)&amp;"y "&amp;MOD(AQ22,12)&amp;"m"))</f>
        <v/>
      </c>
      <c r="AA22" s="27" t="str">
        <f aca="false">IF(AO22=0,"",IF(BF22=1,"Terminated - balance forfeited",IF(AY22="None",IF(AB22&gt;0,"No longer accruing - "&amp;T22,"Not eligible - "&amp;T22&amp;IF(AND(IFERROR(VLOOKUP(T22,TypeTable,2,0),"None")="PT",N(U22)&lt;PT_MinHours)," (under "&amp;PT_MinHours&amp;" hrs)","")),IF(AB22&gt;0,"Yes - accruing","Not yet - qualifies "&amp;TEXT(AD22,"dd/mm/yyyy")))))</f>
        <v/>
      </c>
      <c r="AB22" s="26" t="str">
        <f aca="false">IF(AO22=0,"",AZ22+IF(AR22="",0,BB22-BA22)+IF(AS22="",0,BD22-BC22))</f>
        <v/>
      </c>
      <c r="AC22" s="26" t="str">
        <f aca="false">IF(AO22=0,"",AB22*HoursPerDay)</f>
        <v/>
      </c>
      <c r="AD22" s="28" t="str">
        <f aca="false">IF(AO22=0,"",IF(OR(BF22=1,AY22="None"),"",EDATE($E22+AP22,BE22)))</f>
        <v/>
      </c>
      <c r="AE22" s="26" t="str">
        <f aca="false">IF(AD22="","",IF(AY22="PT",1,IF(BE22&lt;FT_Y5,1,IF(MOD(BE22-FT_Y5,12)=0,FT_AnnivDays,1))))</f>
        <v/>
      </c>
      <c r="AF22" s="27" t="str">
        <f aca="false">IF(AO22=0,"",IF(NOT(EH_Ready),"Map headers",IF(IF(MatchMode="Employee ID",COUNTIFS(INDEX(EH_Data,0,EH_ColID),$A22,INDEX(EH_Data,0,EH_ColCat),BonusCat),COUNTIFS(INDEX(EH_Data,0,EH_ColFirst),$B22,INDEX(EH_Data,0,EH_ColSur),$C22,INDEX(EH_Data,0,EH_ColCat),BonusCat))&gt;0,"Yes","No")))</f>
        <v/>
      </c>
      <c r="AG22" s="26" t="str">
        <f aca="false">IF(AO22=0,"",IF(NOT(EH_Ready),"",IF(MatchMode="Employee ID",SUMIFS(INDEX(EH_Data,0,EH_ColBal),INDEX(EH_Data,0,EH_ColID),$A22,INDEX(EH_Data,0,EH_ColCat),BonusCat),SUMIFS(INDEX(EH_Data,0,EH_ColBal),INDEX(EH_Data,0,EH_ColFirst),$B22,INDEX(EH_Data,0,EH_ColSur),$C22,INDEX(EH_Data,0,EH_ColCat),BonusCat))/IF(EHUnit="Hours",HoursPerDay,1)))</f>
        <v/>
      </c>
      <c r="AH22" s="26" t="str">
        <f aca="false">IF(AO22=0,"",IF(NOT(TK_Ready),0,IF(MatchMode="Employee ID",SUMIFS(INDEX(TK_Data,0,TK_ColAmt),INDEX(TK_Data,0,TK_ColID),$A22,INDEX(TK_Data,0,TK_ColCat),BonusCat),SUMIFS(INDEX(TK_Data,0,TK_ColAmt),INDEX(TK_Data,0,TK_ColFirst),$B22,INDEX(TK_Data,0,TK_ColSur),$C22,INDEX(TK_Data,0,TK_ColCat),BonusCat))/IF(TKUnit="Hours",HoursPerDay,1)))</f>
        <v/>
      </c>
      <c r="AI22" s="26" t="str">
        <f aca="false">IF(AO22=0,"",N(AG22)+N(AH22))</f>
        <v/>
      </c>
      <c r="AJ22" s="29" t="str">
        <f aca="false">IF(AO22=0,"",IF(NOT(AND(EH_Ready,EH_ValReady)),"",IF(MatchMode="Employee ID",SUMIFS(INDEX(EH_Data,0,EH_ColVal),INDEX(EH_Data,0,EH_ColID),$A22,INDEX(EH_Data,0,EH_ColCat),BonusCat),SUMIFS(INDEX(EH_Data,0,EH_ColVal),INDEX(EH_Data,0,EH_ColFirst),$B22,INDEX(EH_Data,0,EH_ColSur),$C22,INDEX(EH_Data,0,EH_ColCat),BonusCat))))</f>
        <v/>
      </c>
      <c r="AK22" s="26" t="str">
        <f aca="false">IF(AO22=0,"",IF(OR(NOT(EH_Ready),BF22=1),"",AB22-AI22))</f>
        <v/>
      </c>
      <c r="AL22" s="26" t="str">
        <f aca="false">IF(AK22="","",AK22*HoursPerDay)</f>
        <v/>
      </c>
      <c r="AM22" s="27" t="str">
        <f aca="false">IF(AO22=0,"",IF(BF22=1,IF(N(AG22)&gt;0,"TERMINATED - forfeit "&amp;TEXT(AG22,"0.##")&amp;" days still in EH","Terminated - nothing in EH"),IF(NOT(EH_Ready),"Paste EH export and map headers on Settings",IF(AND(AB22&gt;0,AF22="No"),"SET UP in EH - add "&amp;TEXT(AB22,"0.##")&amp;" day(s) ("&amp;TEXT(AC22,"0.##")&amp;" hrs)",IF(AK22&gt;0,"ADD "&amp;TEXT(AK22,"0.##")&amp;" day(s) ("&amp;TEXT(AL22,"0.##")&amp;" hrs) in EH",IF(AK22&lt;0,"CHECK - EH shows "&amp;TEXT(-AK22,"0.##")&amp;" days more than policy",IF(AB22&gt;0,"OK - up to date",IF(AY22="None","No action - not eligible","No action - not yet qualified"))))))))</f>
        <v/>
      </c>
      <c r="AN22" s="27" t="str">
        <f aca="false">IF(AO22=0,"",TRIM(IF(AND($K22&lt;&gt;"",$H22=""),"Change 2 entered without Change 1. ","")&amp;IF(AND($K22&lt;&gt;"",$H22&lt;&gt;"",$K22&lt;=$H22),"Change 2 date not after Change 1. ","")&amp;IF(AND($N22&lt;&gt;"",$O22&lt;&gt;"",$O22&lt;$N22),"Leave To is before Leave From. ","")&amp;IF(AND($N22&lt;&gt;"",$O22=""),"Leave From entered without Leave To. ","")&amp;IF(AND(IFERROR(VLOOKUP(T22,TypeTable,2,0),"None")="PT",U22=""),"Part-time with no hours entered. ","")&amp;IF(AND($H22&lt;&gt;"",$H22&gt;AsOfDate,AD22&lt;&gt;"",$H22&lt;=AD22),"Status change lands before next accrual - review. ","")&amp;IF(AND($Q22&lt;&gt;"",$Q22&lt;$E22),"Termination before commencement. ","")))</f>
        <v/>
      </c>
      <c r="AO22" s="11" t="n">
        <f aca="false">IF(LEN($A22&amp;$B22&amp;$C22)=0,0,IF($E22="",0,1))</f>
        <v>0</v>
      </c>
      <c r="AP22" s="11" t="str">
        <f aca="false">IF(AO22=0,"",(IF(OR($N22="",$O22=""),0,MAX(0,MIN(X22,$O22)-MAX($N22,$E22)+1))+N($P22)))</f>
        <v/>
      </c>
      <c r="AQ22" s="11" t="str">
        <f aca="false">IF(AO22=0,"",IF(X22&lt;($E22+(IF(OR($N22="",$O22=""),0,MAX(0,MIN(X22,$O22)-MAX($N22,$E22)+1))+N($P22))),-1,12*(YEAR(X22)-YEAR(($E22+(IF(OR($N22="",$O22=""),0,MAX(0,MIN(X22,$O22)-MAX($N22,$E22)+1))+N($P22)))))+MONTH(X22)-MONTH(($E22+(IF(OR($N22="",$O22=""),0,MAX(0,MIN(X22,$O22)-MAX($N22,$E22)+1))+N($P22))))-IF(DAY(X22)&lt;MIN(DAY(($E22+(IF(OR($N22="",$O22=""),0,MAX(0,MIN(X22,$O22)-MAX($N22,$E22)+1))+N($P22)))),DAY(EOMONTH(X22,0))),1,0)))</f>
        <v/>
      </c>
      <c r="AR22" s="28" t="str">
        <f aca="false">IF(AO22=0,"",IF($H22="","",IF($H22&gt;X22,"",$H22)))</f>
        <v/>
      </c>
      <c r="AS22" s="28" t="str">
        <f aca="false">IF(AO22=0,"",IF(AR22="","",IF($K22="","",IF($K22&gt;X22,"",$K22))))</f>
        <v/>
      </c>
      <c r="AT22" s="11" t="str">
        <f aca="false">IF(AO22=0,"",IF(AR22="",AQ22,IF((AR22-1)&lt;($E22+(IF(OR($N22="",$O22=""),0,MAX(0,MIN((AR22-1),$O22)-MAX($N22,$E22)+1))+N($P22))),-1,12*(YEAR((AR22-1))-YEAR(($E22+(IF(OR($N22="",$O22=""),0,MAX(0,MIN((AR22-1),$O22)-MAX($N22,$E22)+1))+N($P22)))))+MONTH((AR22-1))-MONTH(($E22+(IF(OR($N22="",$O22=""),0,MAX(0,MIN((AR22-1),$O22)-MAX($N22,$E22)+1))+N($P22))))-IF(DAY((AR22-1))&lt;MIN(DAY(($E22+(IF(OR($N22="",$O22=""),0,MAX(0,MIN((AR22-1),$O22)-MAX($N22,$E22)+1))+N($P22)))),DAY(EOMONTH((AR22-1),0))),1,0))))</f>
        <v/>
      </c>
      <c r="AU22" s="11" t="str">
        <f aca="false">IF(AO22=0,"",IF(AS22="",AQ22,IF((AS22-1)&lt;($E22+(IF(OR($N22="",$O22=""),0,MAX(0,MIN((AS22-1),$O22)-MAX($N22,$E22)+1))+N($P22))),-1,12*(YEAR((AS22-1))-YEAR(($E22+(IF(OR($N22="",$O22=""),0,MAX(0,MIN((AS22-1),$O22)-MAX($N22,$E22)+1))+N($P22)))))+MONTH((AS22-1))-MONTH(($E22+(IF(OR($N22="",$O22=""),0,MAX(0,MIN((AS22-1),$O22)-MAX($N22,$E22)+1))+N($P22))))-IF(DAY((AS22-1))&lt;MIN(DAY(($E22+(IF(OR($N22="",$O22=""),0,MAX(0,MIN((AS22-1),$O22)-MAX($N22,$E22)+1))+N($P22)))),DAY(EOMONTH((AS22-1),0))),1,0))))</f>
        <v/>
      </c>
      <c r="AV22" s="11" t="str">
        <f aca="false">IF(AO22=0,"",IF($F22="","None",IF(IFERROR(VLOOKUP($F22,TypeTable,2,0),"None")="PT",IF(N($G22)&gt;=PT_MinHours,"PT","None"),IFERROR(VLOOKUP($F22,TypeTable,2,0),"None"))))</f>
        <v/>
      </c>
      <c r="AW22" s="11" t="str">
        <f aca="false">IF(AO22=0,"",IF($I22="","None",IF(IFERROR(VLOOKUP($I22,TypeTable,2,0),"None")="PT",IF(N($J22)&gt;=PT_MinHours,"PT","None"),IFERROR(VLOOKUP($I22,TypeTable,2,0),"None"))))</f>
        <v/>
      </c>
      <c r="AX22" s="11" t="str">
        <f aca="false">IF(AO22=0,"",IF($L22="","None",IF(IFERROR(VLOOKUP($L22,TypeTable,2,0),"None")="PT",IF(N($M22)&gt;=PT_MinHours,"PT","None"),IFERROR(VLOOKUP($L22,TypeTable,2,0),"None"))))</f>
        <v/>
      </c>
      <c r="AY22" s="11" t="str">
        <f aca="false">IF(AO22=0,"",IF(AS22&lt;&gt;"",AX22,IF(AR22&lt;&gt;"",AW22,AV22)))</f>
        <v/>
      </c>
      <c r="AZ22" s="11" t="str">
        <f aca="false">IF(AO22=0,"",IF(AV22="FT",IF(AT22&lt;FT_First,0,IF(AT22&lt;FT_Y5,1+INT((AT22-FT_First)/FT_Int1),FT_PreY5+FT_PerYear*INT((AT22-FT_Y5)/12)+FT_AnnivDays+INT(MOD(AT22-FT_Y5,12)/FT_Int2))),IF(AV22="PT",IF(AT22&lt;PT_First,0,1+INT((AT22-PT_First)/PT_Int)),0)))</f>
        <v/>
      </c>
      <c r="BA22" s="11" t="str">
        <f aca="false">IF(AO22=0,"",IF(AW22="FT",IF(AT22&lt;FT_First,0,IF(AT22&lt;FT_Y5,1+INT((AT22-FT_First)/FT_Int1),FT_PreY5+FT_PerYear*INT((AT22-FT_Y5)/12)+FT_AnnivDays+INT(MOD(AT22-FT_Y5,12)/FT_Int2))),IF(AW22="PT",IF(AT22&lt;PT_First,0,1+INT((AT22-PT_First)/PT_Int)),0)))</f>
        <v/>
      </c>
      <c r="BB22" s="11" t="str">
        <f aca="false">IF(AO22=0,"",IF(AW22="FT",IF(AU22&lt;FT_First,0,IF(AU22&lt;FT_Y5,1+INT((AU22-FT_First)/FT_Int1),FT_PreY5+FT_PerYear*INT((AU22-FT_Y5)/12)+FT_AnnivDays+INT(MOD(AU22-FT_Y5,12)/FT_Int2))),IF(AW22="PT",IF(AU22&lt;PT_First,0,1+INT((AU22-PT_First)/PT_Int)),0)))</f>
        <v/>
      </c>
      <c r="BC22" s="11" t="str">
        <f aca="false">IF(AO22=0,"",IF(AX22="FT",IF(AU22&lt;FT_First,0,IF(AU22&lt;FT_Y5,1+INT((AU22-FT_First)/FT_Int1),FT_PreY5+FT_PerYear*INT((AU22-FT_Y5)/12)+FT_AnnivDays+INT(MOD(AU22-FT_Y5,12)/FT_Int2))),IF(AX22="PT",IF(AU22&lt;PT_First,0,1+INT((AU22-PT_First)/PT_Int)),0)))</f>
        <v/>
      </c>
      <c r="BD22" s="11" t="str">
        <f aca="false">IF(AO22=0,"",IF(AX22="FT",IF(AQ22&lt;FT_First,0,IF(AQ22&lt;FT_Y5,1+INT((AQ22-FT_First)/FT_Int1),FT_PreY5+FT_PerYear*INT((AQ22-FT_Y5)/12)+FT_AnnivDays+INT(MOD(AQ22-FT_Y5,12)/FT_Int2))),IF(AX22="PT",IF(AQ22&lt;PT_First,0,1+INT((AQ22-PT_First)/PT_Int)),0)))</f>
        <v/>
      </c>
      <c r="BE22" s="11" t="str">
        <f aca="false">IF(AO22=0,"",IF(AY22="FT",IF(AQ22&lt;FT_First,FT_First,IF(AQ22&lt;FT_Y5,MIN(FT_Y5,FT_First+FT_Int1*(INT((AQ22-FT_First)/FT_Int1)+1)),FT_Y5+12*INT((AQ22-FT_Y5)/12)+FT_Int2*(INT(MOD(AQ22-FT_Y5,12)/FT_Int2)+1))),IF(AY22="PT",IF(AQ22&lt;PT_First,PT_First,PT_First+PT_Int*(INT((AQ22-PT_First)/PT_Int)+1)),"")))</f>
        <v/>
      </c>
      <c r="BF22" s="11" t="n">
        <f aca="false">IF(AO22=0,0,IF(AND($Q22&lt;&gt;"",$Q22&lt;=AsOfDate),1,0))</f>
        <v>0</v>
      </c>
      <c r="BG22" s="11" t="str">
        <f aca="false">IF(AND(AO22=1,BF22=0,EH_Ready,N(AB22)&gt;0,N(AI22)=0),COUNT($BG$5:BG21)+1,"")</f>
        <v/>
      </c>
      <c r="BH22" s="11" t="str">
        <f aca="false">IF(AND(AO22=1,BF22=0,EH_Ready,N(AB22)&gt;0,N(AI22)&gt;0,N(AK22)&gt;0),COUNT($BH$5:BH21)+1,"")</f>
        <v/>
      </c>
      <c r="BI22" s="11" t="str">
        <f aca="false">IF(AND(AO22=1,OR(LEFT(AM22,3)="ADD",LEFT(AM22,3)="SET",LEFT(AM22,5)="CHECK",LEFT(AM22,10)="TERMINATED")),COUNT($BI$5:BI21)+1,"")</f>
        <v/>
      </c>
      <c r="BJ22" s="11" t="str">
        <f aca="false">IF(AO22=0,"",$A22&amp;" - "&amp;$B22&amp;" "&amp;$C22)</f>
        <v/>
      </c>
    </row>
    <row r="23" customFormat="false" ht="15" hidden="false" customHeight="false" outlineLevel="0" collapsed="false">
      <c r="A23" s="10"/>
      <c r="B23" s="10"/>
      <c r="C23" s="10"/>
      <c r="D23" s="10"/>
      <c r="E23" s="9"/>
      <c r="F23" s="10"/>
      <c r="G23" s="30"/>
      <c r="H23" s="9"/>
      <c r="I23" s="10"/>
      <c r="J23" s="30"/>
      <c r="K23" s="9"/>
      <c r="L23" s="10"/>
      <c r="M23" s="30"/>
      <c r="N23" s="9"/>
      <c r="O23" s="9"/>
      <c r="P23" s="30"/>
      <c r="Q23" s="9"/>
      <c r="R23" s="10"/>
      <c r="S23" s="11" t="str">
        <f aca="false">IF(AO23=0,"",IF($H23="","",$F23&amp;" -&gt; "&amp;$I23&amp;IF($I23="Part-Time"," ("&amp;N($J23)&amp;" hrs)","")&amp;" on "&amp;TEXT($H23,"dd/mm/yyyy")&amp;IF($H23&gt;AsOfDate," (FUTURE)","")&amp;IF($K23="","","; "&amp;$I23&amp;" -&gt; "&amp;$L23&amp;IF($L23="Part-Time"," ("&amp;N($M23)&amp;" hrs)","")&amp;" on "&amp;TEXT($K23,"dd/mm/yyyy")&amp;IF($K23&gt;AsOfDate," (FUTURE)",""))))</f>
        <v/>
      </c>
      <c r="T23" s="11" t="str">
        <f aca="false">IF(AO23=0,"",IF(AS23&lt;&gt;"",$L23,IF(AR23&lt;&gt;"",$I23,$F23)))</f>
        <v/>
      </c>
      <c r="U23" s="26" t="str">
        <f aca="false">IF(AO23=0,"",IF(AS23&lt;&gt;"",$M23,IF(AR23&lt;&gt;"",$J23,$G23)))</f>
        <v/>
      </c>
      <c r="V23" s="11" t="str">
        <f aca="false">IF(AO23=0,"",IF(AY23="FT","Full-Time",IF(AY23="PT","Part-Time","Not eligible")))</f>
        <v/>
      </c>
      <c r="W23" s="27" t="str">
        <f aca="false">IF(AO23=0,"",IF(AR23="",IF(AND($H23&lt;&gt;"",$H23&gt;AsOfDate),"Future change - not yet applied",""),IF(AND(AV23=AY23,OR(AS23="",AW23=AV23)),"Type changed - same accrual pathway",IF(AY23="None","STOPPED accruing from "&amp;TEXT(IF(AS23&lt;&gt;"",AS23,AR23),"dd/mm/yyyy"),IF(AV23="None","STARTED qualifying from "&amp;TEXT(IF(AS23&lt;&gt;"",AS23,AR23),"dd/mm/yyyy"),"Pathway changed "&amp;AV23&amp;" -&gt; "&amp;AW23&amp;IF(AS23&lt;&gt;""," -&gt; "&amp;AX23,"")&amp;" from "&amp;TEXT(IF(AS23&lt;&gt;"",AS23,AR23),"dd/mm/yyyy"))))))</f>
        <v/>
      </c>
      <c r="X23" s="28" t="str">
        <f aca="false">IF(AO23=0,"",IF($Q23="",AsOfDate,MIN(AsOfDate,$Q23)))</f>
        <v/>
      </c>
      <c r="Y23" s="26" t="str">
        <f aca="false">IF(AO23=0,"",MAX(0,AQ23))</f>
        <v/>
      </c>
      <c r="Z23" s="11" t="str">
        <f aca="false">IF(AO23=0,"",IF(AQ23&lt;0,"Not started",INT(AQ23/12)&amp;"y "&amp;MOD(AQ23,12)&amp;"m"))</f>
        <v/>
      </c>
      <c r="AA23" s="27" t="str">
        <f aca="false">IF(AO23=0,"",IF(BF23=1,"Terminated - balance forfeited",IF(AY23="None",IF(AB23&gt;0,"No longer accruing - "&amp;T23,"Not eligible - "&amp;T23&amp;IF(AND(IFERROR(VLOOKUP(T23,TypeTable,2,0),"None")="PT",N(U23)&lt;PT_MinHours)," (under "&amp;PT_MinHours&amp;" hrs)","")),IF(AB23&gt;0,"Yes - accruing","Not yet - qualifies "&amp;TEXT(AD23,"dd/mm/yyyy")))))</f>
        <v/>
      </c>
      <c r="AB23" s="26" t="str">
        <f aca="false">IF(AO23=0,"",AZ23+IF(AR23="",0,BB23-BA23)+IF(AS23="",0,BD23-BC23))</f>
        <v/>
      </c>
      <c r="AC23" s="26" t="str">
        <f aca="false">IF(AO23=0,"",AB23*HoursPerDay)</f>
        <v/>
      </c>
      <c r="AD23" s="28" t="str">
        <f aca="false">IF(AO23=0,"",IF(OR(BF23=1,AY23="None"),"",EDATE($E23+AP23,BE23)))</f>
        <v/>
      </c>
      <c r="AE23" s="26" t="str">
        <f aca="false">IF(AD23="","",IF(AY23="PT",1,IF(BE23&lt;FT_Y5,1,IF(MOD(BE23-FT_Y5,12)=0,FT_AnnivDays,1))))</f>
        <v/>
      </c>
      <c r="AF23" s="27" t="str">
        <f aca="false">IF(AO23=0,"",IF(NOT(EH_Ready),"Map headers",IF(IF(MatchMode="Employee ID",COUNTIFS(INDEX(EH_Data,0,EH_ColID),$A23,INDEX(EH_Data,0,EH_ColCat),BonusCat),COUNTIFS(INDEX(EH_Data,0,EH_ColFirst),$B23,INDEX(EH_Data,0,EH_ColSur),$C23,INDEX(EH_Data,0,EH_ColCat),BonusCat))&gt;0,"Yes","No")))</f>
        <v/>
      </c>
      <c r="AG23" s="26" t="str">
        <f aca="false">IF(AO23=0,"",IF(NOT(EH_Ready),"",IF(MatchMode="Employee ID",SUMIFS(INDEX(EH_Data,0,EH_ColBal),INDEX(EH_Data,0,EH_ColID),$A23,INDEX(EH_Data,0,EH_ColCat),BonusCat),SUMIFS(INDEX(EH_Data,0,EH_ColBal),INDEX(EH_Data,0,EH_ColFirst),$B23,INDEX(EH_Data,0,EH_ColSur),$C23,INDEX(EH_Data,0,EH_ColCat),BonusCat))/IF(EHUnit="Hours",HoursPerDay,1)))</f>
        <v/>
      </c>
      <c r="AH23" s="26" t="str">
        <f aca="false">IF(AO23=0,"",IF(NOT(TK_Ready),0,IF(MatchMode="Employee ID",SUMIFS(INDEX(TK_Data,0,TK_ColAmt),INDEX(TK_Data,0,TK_ColID),$A23,INDEX(TK_Data,0,TK_ColCat),BonusCat),SUMIFS(INDEX(TK_Data,0,TK_ColAmt),INDEX(TK_Data,0,TK_ColFirst),$B23,INDEX(TK_Data,0,TK_ColSur),$C23,INDEX(TK_Data,0,TK_ColCat),BonusCat))/IF(TKUnit="Hours",HoursPerDay,1)))</f>
        <v/>
      </c>
      <c r="AI23" s="26" t="str">
        <f aca="false">IF(AO23=0,"",N(AG23)+N(AH23))</f>
        <v/>
      </c>
      <c r="AJ23" s="29" t="str">
        <f aca="false">IF(AO23=0,"",IF(NOT(AND(EH_Ready,EH_ValReady)),"",IF(MatchMode="Employee ID",SUMIFS(INDEX(EH_Data,0,EH_ColVal),INDEX(EH_Data,0,EH_ColID),$A23,INDEX(EH_Data,0,EH_ColCat),BonusCat),SUMIFS(INDEX(EH_Data,0,EH_ColVal),INDEX(EH_Data,0,EH_ColFirst),$B23,INDEX(EH_Data,0,EH_ColSur),$C23,INDEX(EH_Data,0,EH_ColCat),BonusCat))))</f>
        <v/>
      </c>
      <c r="AK23" s="26" t="str">
        <f aca="false">IF(AO23=0,"",IF(OR(NOT(EH_Ready),BF23=1),"",AB23-AI23))</f>
        <v/>
      </c>
      <c r="AL23" s="26" t="str">
        <f aca="false">IF(AK23="","",AK23*HoursPerDay)</f>
        <v/>
      </c>
      <c r="AM23" s="27" t="str">
        <f aca="false">IF(AO23=0,"",IF(BF23=1,IF(N(AG23)&gt;0,"TERMINATED - forfeit "&amp;TEXT(AG23,"0.##")&amp;" days still in EH","Terminated - nothing in EH"),IF(NOT(EH_Ready),"Paste EH export and map headers on Settings",IF(AND(AB23&gt;0,AF23="No"),"SET UP in EH - add "&amp;TEXT(AB23,"0.##")&amp;" day(s) ("&amp;TEXT(AC23,"0.##")&amp;" hrs)",IF(AK23&gt;0,"ADD "&amp;TEXT(AK23,"0.##")&amp;" day(s) ("&amp;TEXT(AL23,"0.##")&amp;" hrs) in EH",IF(AK23&lt;0,"CHECK - EH shows "&amp;TEXT(-AK23,"0.##")&amp;" days more than policy",IF(AB23&gt;0,"OK - up to date",IF(AY23="None","No action - not eligible","No action - not yet qualified"))))))))</f>
        <v/>
      </c>
      <c r="AN23" s="27" t="str">
        <f aca="false">IF(AO23=0,"",TRIM(IF(AND($K23&lt;&gt;"",$H23=""),"Change 2 entered without Change 1. ","")&amp;IF(AND($K23&lt;&gt;"",$H23&lt;&gt;"",$K23&lt;=$H23),"Change 2 date not after Change 1. ","")&amp;IF(AND($N23&lt;&gt;"",$O23&lt;&gt;"",$O23&lt;$N23),"Leave To is before Leave From. ","")&amp;IF(AND($N23&lt;&gt;"",$O23=""),"Leave From entered without Leave To. ","")&amp;IF(AND(IFERROR(VLOOKUP(T23,TypeTable,2,0),"None")="PT",U23=""),"Part-time with no hours entered. ","")&amp;IF(AND($H23&lt;&gt;"",$H23&gt;AsOfDate,AD23&lt;&gt;"",$H23&lt;=AD23),"Status change lands before next accrual - review. ","")&amp;IF(AND($Q23&lt;&gt;"",$Q23&lt;$E23),"Termination before commencement. ","")))</f>
        <v/>
      </c>
      <c r="AO23" s="11" t="n">
        <f aca="false">IF(LEN($A23&amp;$B23&amp;$C23)=0,0,IF($E23="",0,1))</f>
        <v>0</v>
      </c>
      <c r="AP23" s="11" t="str">
        <f aca="false">IF(AO23=0,"",(IF(OR($N23="",$O23=""),0,MAX(0,MIN(X23,$O23)-MAX($N23,$E23)+1))+N($P23)))</f>
        <v/>
      </c>
      <c r="AQ23" s="11" t="str">
        <f aca="false">IF(AO23=0,"",IF(X23&lt;($E23+(IF(OR($N23="",$O23=""),0,MAX(0,MIN(X23,$O23)-MAX($N23,$E23)+1))+N($P23))),-1,12*(YEAR(X23)-YEAR(($E23+(IF(OR($N23="",$O23=""),0,MAX(0,MIN(X23,$O23)-MAX($N23,$E23)+1))+N($P23)))))+MONTH(X23)-MONTH(($E23+(IF(OR($N23="",$O23=""),0,MAX(0,MIN(X23,$O23)-MAX($N23,$E23)+1))+N($P23))))-IF(DAY(X23)&lt;MIN(DAY(($E23+(IF(OR($N23="",$O23=""),0,MAX(0,MIN(X23,$O23)-MAX($N23,$E23)+1))+N($P23)))),DAY(EOMONTH(X23,0))),1,0)))</f>
        <v/>
      </c>
      <c r="AR23" s="28" t="str">
        <f aca="false">IF(AO23=0,"",IF($H23="","",IF($H23&gt;X23,"",$H23)))</f>
        <v/>
      </c>
      <c r="AS23" s="28" t="str">
        <f aca="false">IF(AO23=0,"",IF(AR23="","",IF($K23="","",IF($K23&gt;X23,"",$K23))))</f>
        <v/>
      </c>
      <c r="AT23" s="11" t="str">
        <f aca="false">IF(AO23=0,"",IF(AR23="",AQ23,IF((AR23-1)&lt;($E23+(IF(OR($N23="",$O23=""),0,MAX(0,MIN((AR23-1),$O23)-MAX($N23,$E23)+1))+N($P23))),-1,12*(YEAR((AR23-1))-YEAR(($E23+(IF(OR($N23="",$O23=""),0,MAX(0,MIN((AR23-1),$O23)-MAX($N23,$E23)+1))+N($P23)))))+MONTH((AR23-1))-MONTH(($E23+(IF(OR($N23="",$O23=""),0,MAX(0,MIN((AR23-1),$O23)-MAX($N23,$E23)+1))+N($P23))))-IF(DAY((AR23-1))&lt;MIN(DAY(($E23+(IF(OR($N23="",$O23=""),0,MAX(0,MIN((AR23-1),$O23)-MAX($N23,$E23)+1))+N($P23)))),DAY(EOMONTH((AR23-1),0))),1,0))))</f>
        <v/>
      </c>
      <c r="AU23" s="11" t="str">
        <f aca="false">IF(AO23=0,"",IF(AS23="",AQ23,IF((AS23-1)&lt;($E23+(IF(OR($N23="",$O23=""),0,MAX(0,MIN((AS23-1),$O23)-MAX($N23,$E23)+1))+N($P23))),-1,12*(YEAR((AS23-1))-YEAR(($E23+(IF(OR($N23="",$O23=""),0,MAX(0,MIN((AS23-1),$O23)-MAX($N23,$E23)+1))+N($P23)))))+MONTH((AS23-1))-MONTH(($E23+(IF(OR($N23="",$O23=""),0,MAX(0,MIN((AS23-1),$O23)-MAX($N23,$E23)+1))+N($P23))))-IF(DAY((AS23-1))&lt;MIN(DAY(($E23+(IF(OR($N23="",$O23=""),0,MAX(0,MIN((AS23-1),$O23)-MAX($N23,$E23)+1))+N($P23)))),DAY(EOMONTH((AS23-1),0))),1,0))))</f>
        <v/>
      </c>
      <c r="AV23" s="11" t="str">
        <f aca="false">IF(AO23=0,"",IF($F23="","None",IF(IFERROR(VLOOKUP($F23,TypeTable,2,0),"None")="PT",IF(N($G23)&gt;=PT_MinHours,"PT","None"),IFERROR(VLOOKUP($F23,TypeTable,2,0),"None"))))</f>
        <v/>
      </c>
      <c r="AW23" s="11" t="str">
        <f aca="false">IF(AO23=0,"",IF($I23="","None",IF(IFERROR(VLOOKUP($I23,TypeTable,2,0),"None")="PT",IF(N($J23)&gt;=PT_MinHours,"PT","None"),IFERROR(VLOOKUP($I23,TypeTable,2,0),"None"))))</f>
        <v/>
      </c>
      <c r="AX23" s="11" t="str">
        <f aca="false">IF(AO23=0,"",IF($L23="","None",IF(IFERROR(VLOOKUP($L23,TypeTable,2,0),"None")="PT",IF(N($M23)&gt;=PT_MinHours,"PT","None"),IFERROR(VLOOKUP($L23,TypeTable,2,0),"None"))))</f>
        <v/>
      </c>
      <c r="AY23" s="11" t="str">
        <f aca="false">IF(AO23=0,"",IF(AS23&lt;&gt;"",AX23,IF(AR23&lt;&gt;"",AW23,AV23)))</f>
        <v/>
      </c>
      <c r="AZ23" s="11" t="str">
        <f aca="false">IF(AO23=0,"",IF(AV23="FT",IF(AT23&lt;FT_First,0,IF(AT23&lt;FT_Y5,1+INT((AT23-FT_First)/FT_Int1),FT_PreY5+FT_PerYear*INT((AT23-FT_Y5)/12)+FT_AnnivDays+INT(MOD(AT23-FT_Y5,12)/FT_Int2))),IF(AV23="PT",IF(AT23&lt;PT_First,0,1+INT((AT23-PT_First)/PT_Int)),0)))</f>
        <v/>
      </c>
      <c r="BA23" s="11" t="str">
        <f aca="false">IF(AO23=0,"",IF(AW23="FT",IF(AT23&lt;FT_First,0,IF(AT23&lt;FT_Y5,1+INT((AT23-FT_First)/FT_Int1),FT_PreY5+FT_PerYear*INT((AT23-FT_Y5)/12)+FT_AnnivDays+INT(MOD(AT23-FT_Y5,12)/FT_Int2))),IF(AW23="PT",IF(AT23&lt;PT_First,0,1+INT((AT23-PT_First)/PT_Int)),0)))</f>
        <v/>
      </c>
      <c r="BB23" s="11" t="str">
        <f aca="false">IF(AO23=0,"",IF(AW23="FT",IF(AU23&lt;FT_First,0,IF(AU23&lt;FT_Y5,1+INT((AU23-FT_First)/FT_Int1),FT_PreY5+FT_PerYear*INT((AU23-FT_Y5)/12)+FT_AnnivDays+INT(MOD(AU23-FT_Y5,12)/FT_Int2))),IF(AW23="PT",IF(AU23&lt;PT_First,0,1+INT((AU23-PT_First)/PT_Int)),0)))</f>
        <v/>
      </c>
      <c r="BC23" s="11" t="str">
        <f aca="false">IF(AO23=0,"",IF(AX23="FT",IF(AU23&lt;FT_First,0,IF(AU23&lt;FT_Y5,1+INT((AU23-FT_First)/FT_Int1),FT_PreY5+FT_PerYear*INT((AU23-FT_Y5)/12)+FT_AnnivDays+INT(MOD(AU23-FT_Y5,12)/FT_Int2))),IF(AX23="PT",IF(AU23&lt;PT_First,0,1+INT((AU23-PT_First)/PT_Int)),0)))</f>
        <v/>
      </c>
      <c r="BD23" s="11" t="str">
        <f aca="false">IF(AO23=0,"",IF(AX23="FT",IF(AQ23&lt;FT_First,0,IF(AQ23&lt;FT_Y5,1+INT((AQ23-FT_First)/FT_Int1),FT_PreY5+FT_PerYear*INT((AQ23-FT_Y5)/12)+FT_AnnivDays+INT(MOD(AQ23-FT_Y5,12)/FT_Int2))),IF(AX23="PT",IF(AQ23&lt;PT_First,0,1+INT((AQ23-PT_First)/PT_Int)),0)))</f>
        <v/>
      </c>
      <c r="BE23" s="11" t="str">
        <f aca="false">IF(AO23=0,"",IF(AY23="FT",IF(AQ23&lt;FT_First,FT_First,IF(AQ23&lt;FT_Y5,MIN(FT_Y5,FT_First+FT_Int1*(INT((AQ23-FT_First)/FT_Int1)+1)),FT_Y5+12*INT((AQ23-FT_Y5)/12)+FT_Int2*(INT(MOD(AQ23-FT_Y5,12)/FT_Int2)+1))),IF(AY23="PT",IF(AQ23&lt;PT_First,PT_First,PT_First+PT_Int*(INT((AQ23-PT_First)/PT_Int)+1)),"")))</f>
        <v/>
      </c>
      <c r="BF23" s="11" t="n">
        <f aca="false">IF(AO23=0,0,IF(AND($Q23&lt;&gt;"",$Q23&lt;=AsOfDate),1,0))</f>
        <v>0</v>
      </c>
      <c r="BG23" s="11" t="str">
        <f aca="false">IF(AND(AO23=1,BF23=0,EH_Ready,N(AB23)&gt;0,N(AI23)=0),COUNT($BG$5:BG22)+1,"")</f>
        <v/>
      </c>
      <c r="BH23" s="11" t="str">
        <f aca="false">IF(AND(AO23=1,BF23=0,EH_Ready,N(AB23)&gt;0,N(AI23)&gt;0,N(AK23)&gt;0),COUNT($BH$5:BH22)+1,"")</f>
        <v/>
      </c>
      <c r="BI23" s="11" t="str">
        <f aca="false">IF(AND(AO23=1,OR(LEFT(AM23,3)="ADD",LEFT(AM23,3)="SET",LEFT(AM23,5)="CHECK",LEFT(AM23,10)="TERMINATED")),COUNT($BI$5:BI22)+1,"")</f>
        <v/>
      </c>
      <c r="BJ23" s="11" t="str">
        <f aca="false">IF(AO23=0,"",$A23&amp;" - "&amp;$B23&amp;" "&amp;$C23)</f>
        <v/>
      </c>
    </row>
    <row r="24" customFormat="false" ht="15" hidden="false" customHeight="false" outlineLevel="0" collapsed="false">
      <c r="A24" s="10"/>
      <c r="B24" s="10"/>
      <c r="C24" s="10"/>
      <c r="D24" s="10"/>
      <c r="E24" s="9"/>
      <c r="F24" s="10"/>
      <c r="G24" s="30"/>
      <c r="H24" s="9"/>
      <c r="I24" s="10"/>
      <c r="J24" s="30"/>
      <c r="K24" s="9"/>
      <c r="L24" s="10"/>
      <c r="M24" s="30"/>
      <c r="N24" s="9"/>
      <c r="O24" s="9"/>
      <c r="P24" s="30"/>
      <c r="Q24" s="9"/>
      <c r="R24" s="10"/>
      <c r="S24" s="11" t="str">
        <f aca="false">IF(AO24=0,"",IF($H24="","",$F24&amp;" -&gt; "&amp;$I24&amp;IF($I24="Part-Time"," ("&amp;N($J24)&amp;" hrs)","")&amp;" on "&amp;TEXT($H24,"dd/mm/yyyy")&amp;IF($H24&gt;AsOfDate," (FUTURE)","")&amp;IF($K24="","","; "&amp;$I24&amp;" -&gt; "&amp;$L24&amp;IF($L24="Part-Time"," ("&amp;N($M24)&amp;" hrs)","")&amp;" on "&amp;TEXT($K24,"dd/mm/yyyy")&amp;IF($K24&gt;AsOfDate," (FUTURE)",""))))</f>
        <v/>
      </c>
      <c r="T24" s="11" t="str">
        <f aca="false">IF(AO24=0,"",IF(AS24&lt;&gt;"",$L24,IF(AR24&lt;&gt;"",$I24,$F24)))</f>
        <v/>
      </c>
      <c r="U24" s="26" t="str">
        <f aca="false">IF(AO24=0,"",IF(AS24&lt;&gt;"",$M24,IF(AR24&lt;&gt;"",$J24,$G24)))</f>
        <v/>
      </c>
      <c r="V24" s="11" t="str">
        <f aca="false">IF(AO24=0,"",IF(AY24="FT","Full-Time",IF(AY24="PT","Part-Time","Not eligible")))</f>
        <v/>
      </c>
      <c r="W24" s="27" t="str">
        <f aca="false">IF(AO24=0,"",IF(AR24="",IF(AND($H24&lt;&gt;"",$H24&gt;AsOfDate),"Future change - not yet applied",""),IF(AND(AV24=AY24,OR(AS24="",AW24=AV24)),"Type changed - same accrual pathway",IF(AY24="None","STOPPED accruing from "&amp;TEXT(IF(AS24&lt;&gt;"",AS24,AR24),"dd/mm/yyyy"),IF(AV24="None","STARTED qualifying from "&amp;TEXT(IF(AS24&lt;&gt;"",AS24,AR24),"dd/mm/yyyy"),"Pathway changed "&amp;AV24&amp;" -&gt; "&amp;AW24&amp;IF(AS24&lt;&gt;""," -&gt; "&amp;AX24,"")&amp;" from "&amp;TEXT(IF(AS24&lt;&gt;"",AS24,AR24),"dd/mm/yyyy"))))))</f>
        <v/>
      </c>
      <c r="X24" s="28" t="str">
        <f aca="false">IF(AO24=0,"",IF($Q24="",AsOfDate,MIN(AsOfDate,$Q24)))</f>
        <v/>
      </c>
      <c r="Y24" s="26" t="str">
        <f aca="false">IF(AO24=0,"",MAX(0,AQ24))</f>
        <v/>
      </c>
      <c r="Z24" s="11" t="str">
        <f aca="false">IF(AO24=0,"",IF(AQ24&lt;0,"Not started",INT(AQ24/12)&amp;"y "&amp;MOD(AQ24,12)&amp;"m"))</f>
        <v/>
      </c>
      <c r="AA24" s="27" t="str">
        <f aca="false">IF(AO24=0,"",IF(BF24=1,"Terminated - balance forfeited",IF(AY24="None",IF(AB24&gt;0,"No longer accruing - "&amp;T24,"Not eligible - "&amp;T24&amp;IF(AND(IFERROR(VLOOKUP(T24,TypeTable,2,0),"None")="PT",N(U24)&lt;PT_MinHours)," (under "&amp;PT_MinHours&amp;" hrs)","")),IF(AB24&gt;0,"Yes - accruing","Not yet - qualifies "&amp;TEXT(AD24,"dd/mm/yyyy")))))</f>
        <v/>
      </c>
      <c r="AB24" s="26" t="str">
        <f aca="false">IF(AO24=0,"",AZ24+IF(AR24="",0,BB24-BA24)+IF(AS24="",0,BD24-BC24))</f>
        <v/>
      </c>
      <c r="AC24" s="26" t="str">
        <f aca="false">IF(AO24=0,"",AB24*HoursPerDay)</f>
        <v/>
      </c>
      <c r="AD24" s="28" t="str">
        <f aca="false">IF(AO24=0,"",IF(OR(BF24=1,AY24="None"),"",EDATE($E24+AP24,BE24)))</f>
        <v/>
      </c>
      <c r="AE24" s="26" t="str">
        <f aca="false">IF(AD24="","",IF(AY24="PT",1,IF(BE24&lt;FT_Y5,1,IF(MOD(BE24-FT_Y5,12)=0,FT_AnnivDays,1))))</f>
        <v/>
      </c>
      <c r="AF24" s="27" t="str">
        <f aca="false">IF(AO24=0,"",IF(NOT(EH_Ready),"Map headers",IF(IF(MatchMode="Employee ID",COUNTIFS(INDEX(EH_Data,0,EH_ColID),$A24,INDEX(EH_Data,0,EH_ColCat),BonusCat),COUNTIFS(INDEX(EH_Data,0,EH_ColFirst),$B24,INDEX(EH_Data,0,EH_ColSur),$C24,INDEX(EH_Data,0,EH_ColCat),BonusCat))&gt;0,"Yes","No")))</f>
        <v/>
      </c>
      <c r="AG24" s="26" t="str">
        <f aca="false">IF(AO24=0,"",IF(NOT(EH_Ready),"",IF(MatchMode="Employee ID",SUMIFS(INDEX(EH_Data,0,EH_ColBal),INDEX(EH_Data,0,EH_ColID),$A24,INDEX(EH_Data,0,EH_ColCat),BonusCat),SUMIFS(INDEX(EH_Data,0,EH_ColBal),INDEX(EH_Data,0,EH_ColFirst),$B24,INDEX(EH_Data,0,EH_ColSur),$C24,INDEX(EH_Data,0,EH_ColCat),BonusCat))/IF(EHUnit="Hours",HoursPerDay,1)))</f>
        <v/>
      </c>
      <c r="AH24" s="26" t="str">
        <f aca="false">IF(AO24=0,"",IF(NOT(TK_Ready),0,IF(MatchMode="Employee ID",SUMIFS(INDEX(TK_Data,0,TK_ColAmt),INDEX(TK_Data,0,TK_ColID),$A24,INDEX(TK_Data,0,TK_ColCat),BonusCat),SUMIFS(INDEX(TK_Data,0,TK_ColAmt),INDEX(TK_Data,0,TK_ColFirst),$B24,INDEX(TK_Data,0,TK_ColSur),$C24,INDEX(TK_Data,0,TK_ColCat),BonusCat))/IF(TKUnit="Hours",HoursPerDay,1)))</f>
        <v/>
      </c>
      <c r="AI24" s="26" t="str">
        <f aca="false">IF(AO24=0,"",N(AG24)+N(AH24))</f>
        <v/>
      </c>
      <c r="AJ24" s="29" t="str">
        <f aca="false">IF(AO24=0,"",IF(NOT(AND(EH_Ready,EH_ValReady)),"",IF(MatchMode="Employee ID",SUMIFS(INDEX(EH_Data,0,EH_ColVal),INDEX(EH_Data,0,EH_ColID),$A24,INDEX(EH_Data,0,EH_ColCat),BonusCat),SUMIFS(INDEX(EH_Data,0,EH_ColVal),INDEX(EH_Data,0,EH_ColFirst),$B24,INDEX(EH_Data,0,EH_ColSur),$C24,INDEX(EH_Data,0,EH_ColCat),BonusCat))))</f>
        <v/>
      </c>
      <c r="AK24" s="26" t="str">
        <f aca="false">IF(AO24=0,"",IF(OR(NOT(EH_Ready),BF24=1),"",AB24-AI24))</f>
        <v/>
      </c>
      <c r="AL24" s="26" t="str">
        <f aca="false">IF(AK24="","",AK24*HoursPerDay)</f>
        <v/>
      </c>
      <c r="AM24" s="27" t="str">
        <f aca="false">IF(AO24=0,"",IF(BF24=1,IF(N(AG24)&gt;0,"TERMINATED - forfeit "&amp;TEXT(AG24,"0.##")&amp;" days still in EH","Terminated - nothing in EH"),IF(NOT(EH_Ready),"Paste EH export and map headers on Settings",IF(AND(AB24&gt;0,AF24="No"),"SET UP in EH - add "&amp;TEXT(AB24,"0.##")&amp;" day(s) ("&amp;TEXT(AC24,"0.##")&amp;" hrs)",IF(AK24&gt;0,"ADD "&amp;TEXT(AK24,"0.##")&amp;" day(s) ("&amp;TEXT(AL24,"0.##")&amp;" hrs) in EH",IF(AK24&lt;0,"CHECK - EH shows "&amp;TEXT(-AK24,"0.##")&amp;" days more than policy",IF(AB24&gt;0,"OK - up to date",IF(AY24="None","No action - not eligible","No action - not yet qualified"))))))))</f>
        <v/>
      </c>
      <c r="AN24" s="27" t="str">
        <f aca="false">IF(AO24=0,"",TRIM(IF(AND($K24&lt;&gt;"",$H24=""),"Change 2 entered without Change 1. ","")&amp;IF(AND($K24&lt;&gt;"",$H24&lt;&gt;"",$K24&lt;=$H24),"Change 2 date not after Change 1. ","")&amp;IF(AND($N24&lt;&gt;"",$O24&lt;&gt;"",$O24&lt;$N24),"Leave To is before Leave From. ","")&amp;IF(AND($N24&lt;&gt;"",$O24=""),"Leave From entered without Leave To. ","")&amp;IF(AND(IFERROR(VLOOKUP(T24,TypeTable,2,0),"None")="PT",U24=""),"Part-time with no hours entered. ","")&amp;IF(AND($H24&lt;&gt;"",$H24&gt;AsOfDate,AD24&lt;&gt;"",$H24&lt;=AD24),"Status change lands before next accrual - review. ","")&amp;IF(AND($Q24&lt;&gt;"",$Q24&lt;$E24),"Termination before commencement. ","")))</f>
        <v/>
      </c>
      <c r="AO24" s="11" t="n">
        <f aca="false">IF(LEN($A24&amp;$B24&amp;$C24)=0,0,IF($E24="",0,1))</f>
        <v>0</v>
      </c>
      <c r="AP24" s="11" t="str">
        <f aca="false">IF(AO24=0,"",(IF(OR($N24="",$O24=""),0,MAX(0,MIN(X24,$O24)-MAX($N24,$E24)+1))+N($P24)))</f>
        <v/>
      </c>
      <c r="AQ24" s="11" t="str">
        <f aca="false">IF(AO24=0,"",IF(X24&lt;($E24+(IF(OR($N24="",$O24=""),0,MAX(0,MIN(X24,$O24)-MAX($N24,$E24)+1))+N($P24))),-1,12*(YEAR(X24)-YEAR(($E24+(IF(OR($N24="",$O24=""),0,MAX(0,MIN(X24,$O24)-MAX($N24,$E24)+1))+N($P24)))))+MONTH(X24)-MONTH(($E24+(IF(OR($N24="",$O24=""),0,MAX(0,MIN(X24,$O24)-MAX($N24,$E24)+1))+N($P24))))-IF(DAY(X24)&lt;MIN(DAY(($E24+(IF(OR($N24="",$O24=""),0,MAX(0,MIN(X24,$O24)-MAX($N24,$E24)+1))+N($P24)))),DAY(EOMONTH(X24,0))),1,0)))</f>
        <v/>
      </c>
      <c r="AR24" s="28" t="str">
        <f aca="false">IF(AO24=0,"",IF($H24="","",IF($H24&gt;X24,"",$H24)))</f>
        <v/>
      </c>
      <c r="AS24" s="28" t="str">
        <f aca="false">IF(AO24=0,"",IF(AR24="","",IF($K24="","",IF($K24&gt;X24,"",$K24))))</f>
        <v/>
      </c>
      <c r="AT24" s="11" t="str">
        <f aca="false">IF(AO24=0,"",IF(AR24="",AQ24,IF((AR24-1)&lt;($E24+(IF(OR($N24="",$O24=""),0,MAX(0,MIN((AR24-1),$O24)-MAX($N24,$E24)+1))+N($P24))),-1,12*(YEAR((AR24-1))-YEAR(($E24+(IF(OR($N24="",$O24=""),0,MAX(0,MIN((AR24-1),$O24)-MAX($N24,$E24)+1))+N($P24)))))+MONTH((AR24-1))-MONTH(($E24+(IF(OR($N24="",$O24=""),0,MAX(0,MIN((AR24-1),$O24)-MAX($N24,$E24)+1))+N($P24))))-IF(DAY((AR24-1))&lt;MIN(DAY(($E24+(IF(OR($N24="",$O24=""),0,MAX(0,MIN((AR24-1),$O24)-MAX($N24,$E24)+1))+N($P24)))),DAY(EOMONTH((AR24-1),0))),1,0))))</f>
        <v/>
      </c>
      <c r="AU24" s="11" t="str">
        <f aca="false">IF(AO24=0,"",IF(AS24="",AQ24,IF((AS24-1)&lt;($E24+(IF(OR($N24="",$O24=""),0,MAX(0,MIN((AS24-1),$O24)-MAX($N24,$E24)+1))+N($P24))),-1,12*(YEAR((AS24-1))-YEAR(($E24+(IF(OR($N24="",$O24=""),0,MAX(0,MIN((AS24-1),$O24)-MAX($N24,$E24)+1))+N($P24)))))+MONTH((AS24-1))-MONTH(($E24+(IF(OR($N24="",$O24=""),0,MAX(0,MIN((AS24-1),$O24)-MAX($N24,$E24)+1))+N($P24))))-IF(DAY((AS24-1))&lt;MIN(DAY(($E24+(IF(OR($N24="",$O24=""),0,MAX(0,MIN((AS24-1),$O24)-MAX($N24,$E24)+1))+N($P24)))),DAY(EOMONTH((AS24-1),0))),1,0))))</f>
        <v/>
      </c>
      <c r="AV24" s="11" t="str">
        <f aca="false">IF(AO24=0,"",IF($F24="","None",IF(IFERROR(VLOOKUP($F24,TypeTable,2,0),"None")="PT",IF(N($G24)&gt;=PT_MinHours,"PT","None"),IFERROR(VLOOKUP($F24,TypeTable,2,0),"None"))))</f>
        <v/>
      </c>
      <c r="AW24" s="11" t="str">
        <f aca="false">IF(AO24=0,"",IF($I24="","None",IF(IFERROR(VLOOKUP($I24,TypeTable,2,0),"None")="PT",IF(N($J24)&gt;=PT_MinHours,"PT","None"),IFERROR(VLOOKUP($I24,TypeTable,2,0),"None"))))</f>
        <v/>
      </c>
      <c r="AX24" s="11" t="str">
        <f aca="false">IF(AO24=0,"",IF($L24="","None",IF(IFERROR(VLOOKUP($L24,TypeTable,2,0),"None")="PT",IF(N($M24)&gt;=PT_MinHours,"PT","None"),IFERROR(VLOOKUP($L24,TypeTable,2,0),"None"))))</f>
        <v/>
      </c>
      <c r="AY24" s="11" t="str">
        <f aca="false">IF(AO24=0,"",IF(AS24&lt;&gt;"",AX24,IF(AR24&lt;&gt;"",AW24,AV24)))</f>
        <v/>
      </c>
      <c r="AZ24" s="11" t="str">
        <f aca="false">IF(AO24=0,"",IF(AV24="FT",IF(AT24&lt;FT_First,0,IF(AT24&lt;FT_Y5,1+INT((AT24-FT_First)/FT_Int1),FT_PreY5+FT_PerYear*INT((AT24-FT_Y5)/12)+FT_AnnivDays+INT(MOD(AT24-FT_Y5,12)/FT_Int2))),IF(AV24="PT",IF(AT24&lt;PT_First,0,1+INT((AT24-PT_First)/PT_Int)),0)))</f>
        <v/>
      </c>
      <c r="BA24" s="11" t="str">
        <f aca="false">IF(AO24=0,"",IF(AW24="FT",IF(AT24&lt;FT_First,0,IF(AT24&lt;FT_Y5,1+INT((AT24-FT_First)/FT_Int1),FT_PreY5+FT_PerYear*INT((AT24-FT_Y5)/12)+FT_AnnivDays+INT(MOD(AT24-FT_Y5,12)/FT_Int2))),IF(AW24="PT",IF(AT24&lt;PT_First,0,1+INT((AT24-PT_First)/PT_Int)),0)))</f>
        <v/>
      </c>
      <c r="BB24" s="11" t="str">
        <f aca="false">IF(AO24=0,"",IF(AW24="FT",IF(AU24&lt;FT_First,0,IF(AU24&lt;FT_Y5,1+INT((AU24-FT_First)/FT_Int1),FT_PreY5+FT_PerYear*INT((AU24-FT_Y5)/12)+FT_AnnivDays+INT(MOD(AU24-FT_Y5,12)/FT_Int2))),IF(AW24="PT",IF(AU24&lt;PT_First,0,1+INT((AU24-PT_First)/PT_Int)),0)))</f>
        <v/>
      </c>
      <c r="BC24" s="11" t="str">
        <f aca="false">IF(AO24=0,"",IF(AX24="FT",IF(AU24&lt;FT_First,0,IF(AU24&lt;FT_Y5,1+INT((AU24-FT_First)/FT_Int1),FT_PreY5+FT_PerYear*INT((AU24-FT_Y5)/12)+FT_AnnivDays+INT(MOD(AU24-FT_Y5,12)/FT_Int2))),IF(AX24="PT",IF(AU24&lt;PT_First,0,1+INT((AU24-PT_First)/PT_Int)),0)))</f>
        <v/>
      </c>
      <c r="BD24" s="11" t="str">
        <f aca="false">IF(AO24=0,"",IF(AX24="FT",IF(AQ24&lt;FT_First,0,IF(AQ24&lt;FT_Y5,1+INT((AQ24-FT_First)/FT_Int1),FT_PreY5+FT_PerYear*INT((AQ24-FT_Y5)/12)+FT_AnnivDays+INT(MOD(AQ24-FT_Y5,12)/FT_Int2))),IF(AX24="PT",IF(AQ24&lt;PT_First,0,1+INT((AQ24-PT_First)/PT_Int)),0)))</f>
        <v/>
      </c>
      <c r="BE24" s="11" t="str">
        <f aca="false">IF(AO24=0,"",IF(AY24="FT",IF(AQ24&lt;FT_First,FT_First,IF(AQ24&lt;FT_Y5,MIN(FT_Y5,FT_First+FT_Int1*(INT((AQ24-FT_First)/FT_Int1)+1)),FT_Y5+12*INT((AQ24-FT_Y5)/12)+FT_Int2*(INT(MOD(AQ24-FT_Y5,12)/FT_Int2)+1))),IF(AY24="PT",IF(AQ24&lt;PT_First,PT_First,PT_First+PT_Int*(INT((AQ24-PT_First)/PT_Int)+1)),"")))</f>
        <v/>
      </c>
      <c r="BF24" s="11" t="n">
        <f aca="false">IF(AO24=0,0,IF(AND($Q24&lt;&gt;"",$Q24&lt;=AsOfDate),1,0))</f>
        <v>0</v>
      </c>
      <c r="BG24" s="11" t="str">
        <f aca="false">IF(AND(AO24=1,BF24=0,EH_Ready,N(AB24)&gt;0,N(AI24)=0),COUNT($BG$5:BG23)+1,"")</f>
        <v/>
      </c>
      <c r="BH24" s="11" t="str">
        <f aca="false">IF(AND(AO24=1,BF24=0,EH_Ready,N(AB24)&gt;0,N(AI24)&gt;0,N(AK24)&gt;0),COUNT($BH$5:BH23)+1,"")</f>
        <v/>
      </c>
      <c r="BI24" s="11" t="str">
        <f aca="false">IF(AND(AO24=1,OR(LEFT(AM24,3)="ADD",LEFT(AM24,3)="SET",LEFT(AM24,5)="CHECK",LEFT(AM24,10)="TERMINATED")),COUNT($BI$5:BI23)+1,"")</f>
        <v/>
      </c>
      <c r="BJ24" s="11" t="str">
        <f aca="false">IF(AO24=0,"",$A24&amp;" - "&amp;$B24&amp;" "&amp;$C24)</f>
        <v/>
      </c>
    </row>
    <row r="25" customFormat="false" ht="15" hidden="false" customHeight="false" outlineLevel="0" collapsed="false">
      <c r="A25" s="10"/>
      <c r="B25" s="10"/>
      <c r="C25" s="10"/>
      <c r="D25" s="10"/>
      <c r="E25" s="9"/>
      <c r="F25" s="10"/>
      <c r="G25" s="30"/>
      <c r="H25" s="9"/>
      <c r="I25" s="10"/>
      <c r="J25" s="30"/>
      <c r="K25" s="9"/>
      <c r="L25" s="10"/>
      <c r="M25" s="30"/>
      <c r="N25" s="9"/>
      <c r="O25" s="9"/>
      <c r="P25" s="30"/>
      <c r="Q25" s="9"/>
      <c r="R25" s="10"/>
      <c r="S25" s="11" t="str">
        <f aca="false">IF(AO25=0,"",IF($H25="","",$F25&amp;" -&gt; "&amp;$I25&amp;IF($I25="Part-Time"," ("&amp;N($J25)&amp;" hrs)","")&amp;" on "&amp;TEXT($H25,"dd/mm/yyyy")&amp;IF($H25&gt;AsOfDate," (FUTURE)","")&amp;IF($K25="","","; "&amp;$I25&amp;" -&gt; "&amp;$L25&amp;IF($L25="Part-Time"," ("&amp;N($M25)&amp;" hrs)","")&amp;" on "&amp;TEXT($K25,"dd/mm/yyyy")&amp;IF($K25&gt;AsOfDate," (FUTURE)",""))))</f>
        <v/>
      </c>
      <c r="T25" s="11" t="str">
        <f aca="false">IF(AO25=0,"",IF(AS25&lt;&gt;"",$L25,IF(AR25&lt;&gt;"",$I25,$F25)))</f>
        <v/>
      </c>
      <c r="U25" s="26" t="str">
        <f aca="false">IF(AO25=0,"",IF(AS25&lt;&gt;"",$M25,IF(AR25&lt;&gt;"",$J25,$G25)))</f>
        <v/>
      </c>
      <c r="V25" s="11" t="str">
        <f aca="false">IF(AO25=0,"",IF(AY25="FT","Full-Time",IF(AY25="PT","Part-Time","Not eligible")))</f>
        <v/>
      </c>
      <c r="W25" s="27" t="str">
        <f aca="false">IF(AO25=0,"",IF(AR25="",IF(AND($H25&lt;&gt;"",$H25&gt;AsOfDate),"Future change - not yet applied",""),IF(AND(AV25=AY25,OR(AS25="",AW25=AV25)),"Type changed - same accrual pathway",IF(AY25="None","STOPPED accruing from "&amp;TEXT(IF(AS25&lt;&gt;"",AS25,AR25),"dd/mm/yyyy"),IF(AV25="None","STARTED qualifying from "&amp;TEXT(IF(AS25&lt;&gt;"",AS25,AR25),"dd/mm/yyyy"),"Pathway changed "&amp;AV25&amp;" -&gt; "&amp;AW25&amp;IF(AS25&lt;&gt;""," -&gt; "&amp;AX25,"")&amp;" from "&amp;TEXT(IF(AS25&lt;&gt;"",AS25,AR25),"dd/mm/yyyy"))))))</f>
        <v/>
      </c>
      <c r="X25" s="28" t="str">
        <f aca="false">IF(AO25=0,"",IF($Q25="",AsOfDate,MIN(AsOfDate,$Q25)))</f>
        <v/>
      </c>
      <c r="Y25" s="26" t="str">
        <f aca="false">IF(AO25=0,"",MAX(0,AQ25))</f>
        <v/>
      </c>
      <c r="Z25" s="11" t="str">
        <f aca="false">IF(AO25=0,"",IF(AQ25&lt;0,"Not started",INT(AQ25/12)&amp;"y "&amp;MOD(AQ25,12)&amp;"m"))</f>
        <v/>
      </c>
      <c r="AA25" s="27" t="str">
        <f aca="false">IF(AO25=0,"",IF(BF25=1,"Terminated - balance forfeited",IF(AY25="None",IF(AB25&gt;0,"No longer accruing - "&amp;T25,"Not eligible - "&amp;T25&amp;IF(AND(IFERROR(VLOOKUP(T25,TypeTable,2,0),"None")="PT",N(U25)&lt;PT_MinHours)," (under "&amp;PT_MinHours&amp;" hrs)","")),IF(AB25&gt;0,"Yes - accruing","Not yet - qualifies "&amp;TEXT(AD25,"dd/mm/yyyy")))))</f>
        <v/>
      </c>
      <c r="AB25" s="26" t="str">
        <f aca="false">IF(AO25=0,"",AZ25+IF(AR25="",0,BB25-BA25)+IF(AS25="",0,BD25-BC25))</f>
        <v/>
      </c>
      <c r="AC25" s="26" t="str">
        <f aca="false">IF(AO25=0,"",AB25*HoursPerDay)</f>
        <v/>
      </c>
      <c r="AD25" s="28" t="str">
        <f aca="false">IF(AO25=0,"",IF(OR(BF25=1,AY25="None"),"",EDATE($E25+AP25,BE25)))</f>
        <v/>
      </c>
      <c r="AE25" s="26" t="str">
        <f aca="false">IF(AD25="","",IF(AY25="PT",1,IF(BE25&lt;FT_Y5,1,IF(MOD(BE25-FT_Y5,12)=0,FT_AnnivDays,1))))</f>
        <v/>
      </c>
      <c r="AF25" s="27" t="str">
        <f aca="false">IF(AO25=0,"",IF(NOT(EH_Ready),"Map headers",IF(IF(MatchMode="Employee ID",COUNTIFS(INDEX(EH_Data,0,EH_ColID),$A25,INDEX(EH_Data,0,EH_ColCat),BonusCat),COUNTIFS(INDEX(EH_Data,0,EH_ColFirst),$B25,INDEX(EH_Data,0,EH_ColSur),$C25,INDEX(EH_Data,0,EH_ColCat),BonusCat))&gt;0,"Yes","No")))</f>
        <v/>
      </c>
      <c r="AG25" s="26" t="str">
        <f aca="false">IF(AO25=0,"",IF(NOT(EH_Ready),"",IF(MatchMode="Employee ID",SUMIFS(INDEX(EH_Data,0,EH_ColBal),INDEX(EH_Data,0,EH_ColID),$A25,INDEX(EH_Data,0,EH_ColCat),BonusCat),SUMIFS(INDEX(EH_Data,0,EH_ColBal),INDEX(EH_Data,0,EH_ColFirst),$B25,INDEX(EH_Data,0,EH_ColSur),$C25,INDEX(EH_Data,0,EH_ColCat),BonusCat))/IF(EHUnit="Hours",HoursPerDay,1)))</f>
        <v/>
      </c>
      <c r="AH25" s="26" t="str">
        <f aca="false">IF(AO25=0,"",IF(NOT(TK_Ready),0,IF(MatchMode="Employee ID",SUMIFS(INDEX(TK_Data,0,TK_ColAmt),INDEX(TK_Data,0,TK_ColID),$A25,INDEX(TK_Data,0,TK_ColCat),BonusCat),SUMIFS(INDEX(TK_Data,0,TK_ColAmt),INDEX(TK_Data,0,TK_ColFirst),$B25,INDEX(TK_Data,0,TK_ColSur),$C25,INDEX(TK_Data,0,TK_ColCat),BonusCat))/IF(TKUnit="Hours",HoursPerDay,1)))</f>
        <v/>
      </c>
      <c r="AI25" s="26" t="str">
        <f aca="false">IF(AO25=0,"",N(AG25)+N(AH25))</f>
        <v/>
      </c>
      <c r="AJ25" s="29" t="str">
        <f aca="false">IF(AO25=0,"",IF(NOT(AND(EH_Ready,EH_ValReady)),"",IF(MatchMode="Employee ID",SUMIFS(INDEX(EH_Data,0,EH_ColVal),INDEX(EH_Data,0,EH_ColID),$A25,INDEX(EH_Data,0,EH_ColCat),BonusCat),SUMIFS(INDEX(EH_Data,0,EH_ColVal),INDEX(EH_Data,0,EH_ColFirst),$B25,INDEX(EH_Data,0,EH_ColSur),$C25,INDEX(EH_Data,0,EH_ColCat),BonusCat))))</f>
        <v/>
      </c>
      <c r="AK25" s="26" t="str">
        <f aca="false">IF(AO25=0,"",IF(OR(NOT(EH_Ready),BF25=1),"",AB25-AI25))</f>
        <v/>
      </c>
      <c r="AL25" s="26" t="str">
        <f aca="false">IF(AK25="","",AK25*HoursPerDay)</f>
        <v/>
      </c>
      <c r="AM25" s="27" t="str">
        <f aca="false">IF(AO25=0,"",IF(BF25=1,IF(N(AG25)&gt;0,"TERMINATED - forfeit "&amp;TEXT(AG25,"0.##")&amp;" days still in EH","Terminated - nothing in EH"),IF(NOT(EH_Ready),"Paste EH export and map headers on Settings",IF(AND(AB25&gt;0,AF25="No"),"SET UP in EH - add "&amp;TEXT(AB25,"0.##")&amp;" day(s) ("&amp;TEXT(AC25,"0.##")&amp;" hrs)",IF(AK25&gt;0,"ADD "&amp;TEXT(AK25,"0.##")&amp;" day(s) ("&amp;TEXT(AL25,"0.##")&amp;" hrs) in EH",IF(AK25&lt;0,"CHECK - EH shows "&amp;TEXT(-AK25,"0.##")&amp;" days more than policy",IF(AB25&gt;0,"OK - up to date",IF(AY25="None","No action - not eligible","No action - not yet qualified"))))))))</f>
        <v/>
      </c>
      <c r="AN25" s="27" t="str">
        <f aca="false">IF(AO25=0,"",TRIM(IF(AND($K25&lt;&gt;"",$H25=""),"Change 2 entered without Change 1. ","")&amp;IF(AND($K25&lt;&gt;"",$H25&lt;&gt;"",$K25&lt;=$H25),"Change 2 date not after Change 1. ","")&amp;IF(AND($N25&lt;&gt;"",$O25&lt;&gt;"",$O25&lt;$N25),"Leave To is before Leave From. ","")&amp;IF(AND($N25&lt;&gt;"",$O25=""),"Leave From entered without Leave To. ","")&amp;IF(AND(IFERROR(VLOOKUP(T25,TypeTable,2,0),"None")="PT",U25=""),"Part-time with no hours entered. ","")&amp;IF(AND($H25&lt;&gt;"",$H25&gt;AsOfDate,AD25&lt;&gt;"",$H25&lt;=AD25),"Status change lands before next accrual - review. ","")&amp;IF(AND($Q25&lt;&gt;"",$Q25&lt;$E25),"Termination before commencement. ","")))</f>
        <v/>
      </c>
      <c r="AO25" s="11" t="n">
        <f aca="false">IF(LEN($A25&amp;$B25&amp;$C25)=0,0,IF($E25="",0,1))</f>
        <v>0</v>
      </c>
      <c r="AP25" s="11" t="str">
        <f aca="false">IF(AO25=0,"",(IF(OR($N25="",$O25=""),0,MAX(0,MIN(X25,$O25)-MAX($N25,$E25)+1))+N($P25)))</f>
        <v/>
      </c>
      <c r="AQ25" s="11" t="str">
        <f aca="false">IF(AO25=0,"",IF(X25&lt;($E25+(IF(OR($N25="",$O25=""),0,MAX(0,MIN(X25,$O25)-MAX($N25,$E25)+1))+N($P25))),-1,12*(YEAR(X25)-YEAR(($E25+(IF(OR($N25="",$O25=""),0,MAX(0,MIN(X25,$O25)-MAX($N25,$E25)+1))+N($P25)))))+MONTH(X25)-MONTH(($E25+(IF(OR($N25="",$O25=""),0,MAX(0,MIN(X25,$O25)-MAX($N25,$E25)+1))+N($P25))))-IF(DAY(X25)&lt;MIN(DAY(($E25+(IF(OR($N25="",$O25=""),0,MAX(0,MIN(X25,$O25)-MAX($N25,$E25)+1))+N($P25)))),DAY(EOMONTH(X25,0))),1,0)))</f>
        <v/>
      </c>
      <c r="AR25" s="28" t="str">
        <f aca="false">IF(AO25=0,"",IF($H25="","",IF($H25&gt;X25,"",$H25)))</f>
        <v/>
      </c>
      <c r="AS25" s="28" t="str">
        <f aca="false">IF(AO25=0,"",IF(AR25="","",IF($K25="","",IF($K25&gt;X25,"",$K25))))</f>
        <v/>
      </c>
      <c r="AT25" s="11" t="str">
        <f aca="false">IF(AO25=0,"",IF(AR25="",AQ25,IF((AR25-1)&lt;($E25+(IF(OR($N25="",$O25=""),0,MAX(0,MIN((AR25-1),$O25)-MAX($N25,$E25)+1))+N($P25))),-1,12*(YEAR((AR25-1))-YEAR(($E25+(IF(OR($N25="",$O25=""),0,MAX(0,MIN((AR25-1),$O25)-MAX($N25,$E25)+1))+N($P25)))))+MONTH((AR25-1))-MONTH(($E25+(IF(OR($N25="",$O25=""),0,MAX(0,MIN((AR25-1),$O25)-MAX($N25,$E25)+1))+N($P25))))-IF(DAY((AR25-1))&lt;MIN(DAY(($E25+(IF(OR($N25="",$O25=""),0,MAX(0,MIN((AR25-1),$O25)-MAX($N25,$E25)+1))+N($P25)))),DAY(EOMONTH((AR25-1),0))),1,0))))</f>
        <v/>
      </c>
      <c r="AU25" s="11" t="str">
        <f aca="false">IF(AO25=0,"",IF(AS25="",AQ25,IF((AS25-1)&lt;($E25+(IF(OR($N25="",$O25=""),0,MAX(0,MIN((AS25-1),$O25)-MAX($N25,$E25)+1))+N($P25))),-1,12*(YEAR((AS25-1))-YEAR(($E25+(IF(OR($N25="",$O25=""),0,MAX(0,MIN((AS25-1),$O25)-MAX($N25,$E25)+1))+N($P25)))))+MONTH((AS25-1))-MONTH(($E25+(IF(OR($N25="",$O25=""),0,MAX(0,MIN((AS25-1),$O25)-MAX($N25,$E25)+1))+N($P25))))-IF(DAY((AS25-1))&lt;MIN(DAY(($E25+(IF(OR($N25="",$O25=""),0,MAX(0,MIN((AS25-1),$O25)-MAX($N25,$E25)+1))+N($P25)))),DAY(EOMONTH((AS25-1),0))),1,0))))</f>
        <v/>
      </c>
      <c r="AV25" s="11" t="str">
        <f aca="false">IF(AO25=0,"",IF($F25="","None",IF(IFERROR(VLOOKUP($F25,TypeTable,2,0),"None")="PT",IF(N($G25)&gt;=PT_MinHours,"PT","None"),IFERROR(VLOOKUP($F25,TypeTable,2,0),"None"))))</f>
        <v/>
      </c>
      <c r="AW25" s="11" t="str">
        <f aca="false">IF(AO25=0,"",IF($I25="","None",IF(IFERROR(VLOOKUP($I25,TypeTable,2,0),"None")="PT",IF(N($J25)&gt;=PT_MinHours,"PT","None"),IFERROR(VLOOKUP($I25,TypeTable,2,0),"None"))))</f>
        <v/>
      </c>
      <c r="AX25" s="11" t="str">
        <f aca="false">IF(AO25=0,"",IF($L25="","None",IF(IFERROR(VLOOKUP($L25,TypeTable,2,0),"None")="PT",IF(N($M25)&gt;=PT_MinHours,"PT","None"),IFERROR(VLOOKUP($L25,TypeTable,2,0),"None"))))</f>
        <v/>
      </c>
      <c r="AY25" s="11" t="str">
        <f aca="false">IF(AO25=0,"",IF(AS25&lt;&gt;"",AX25,IF(AR25&lt;&gt;"",AW25,AV25)))</f>
        <v/>
      </c>
      <c r="AZ25" s="11" t="str">
        <f aca="false">IF(AO25=0,"",IF(AV25="FT",IF(AT25&lt;FT_First,0,IF(AT25&lt;FT_Y5,1+INT((AT25-FT_First)/FT_Int1),FT_PreY5+FT_PerYear*INT((AT25-FT_Y5)/12)+FT_AnnivDays+INT(MOD(AT25-FT_Y5,12)/FT_Int2))),IF(AV25="PT",IF(AT25&lt;PT_First,0,1+INT((AT25-PT_First)/PT_Int)),0)))</f>
        <v/>
      </c>
      <c r="BA25" s="11" t="str">
        <f aca="false">IF(AO25=0,"",IF(AW25="FT",IF(AT25&lt;FT_First,0,IF(AT25&lt;FT_Y5,1+INT((AT25-FT_First)/FT_Int1),FT_PreY5+FT_PerYear*INT((AT25-FT_Y5)/12)+FT_AnnivDays+INT(MOD(AT25-FT_Y5,12)/FT_Int2))),IF(AW25="PT",IF(AT25&lt;PT_First,0,1+INT((AT25-PT_First)/PT_Int)),0)))</f>
        <v/>
      </c>
      <c r="BB25" s="11" t="str">
        <f aca="false">IF(AO25=0,"",IF(AW25="FT",IF(AU25&lt;FT_First,0,IF(AU25&lt;FT_Y5,1+INT((AU25-FT_First)/FT_Int1),FT_PreY5+FT_PerYear*INT((AU25-FT_Y5)/12)+FT_AnnivDays+INT(MOD(AU25-FT_Y5,12)/FT_Int2))),IF(AW25="PT",IF(AU25&lt;PT_First,0,1+INT((AU25-PT_First)/PT_Int)),0)))</f>
        <v/>
      </c>
      <c r="BC25" s="11" t="str">
        <f aca="false">IF(AO25=0,"",IF(AX25="FT",IF(AU25&lt;FT_First,0,IF(AU25&lt;FT_Y5,1+INT((AU25-FT_First)/FT_Int1),FT_PreY5+FT_PerYear*INT((AU25-FT_Y5)/12)+FT_AnnivDays+INT(MOD(AU25-FT_Y5,12)/FT_Int2))),IF(AX25="PT",IF(AU25&lt;PT_First,0,1+INT((AU25-PT_First)/PT_Int)),0)))</f>
        <v/>
      </c>
      <c r="BD25" s="11" t="str">
        <f aca="false">IF(AO25=0,"",IF(AX25="FT",IF(AQ25&lt;FT_First,0,IF(AQ25&lt;FT_Y5,1+INT((AQ25-FT_First)/FT_Int1),FT_PreY5+FT_PerYear*INT((AQ25-FT_Y5)/12)+FT_AnnivDays+INT(MOD(AQ25-FT_Y5,12)/FT_Int2))),IF(AX25="PT",IF(AQ25&lt;PT_First,0,1+INT((AQ25-PT_First)/PT_Int)),0)))</f>
        <v/>
      </c>
      <c r="BE25" s="11" t="str">
        <f aca="false">IF(AO25=0,"",IF(AY25="FT",IF(AQ25&lt;FT_First,FT_First,IF(AQ25&lt;FT_Y5,MIN(FT_Y5,FT_First+FT_Int1*(INT((AQ25-FT_First)/FT_Int1)+1)),FT_Y5+12*INT((AQ25-FT_Y5)/12)+FT_Int2*(INT(MOD(AQ25-FT_Y5,12)/FT_Int2)+1))),IF(AY25="PT",IF(AQ25&lt;PT_First,PT_First,PT_First+PT_Int*(INT((AQ25-PT_First)/PT_Int)+1)),"")))</f>
        <v/>
      </c>
      <c r="BF25" s="11" t="n">
        <f aca="false">IF(AO25=0,0,IF(AND($Q25&lt;&gt;"",$Q25&lt;=AsOfDate),1,0))</f>
        <v>0</v>
      </c>
      <c r="BG25" s="11" t="str">
        <f aca="false">IF(AND(AO25=1,BF25=0,EH_Ready,N(AB25)&gt;0,N(AI25)=0),COUNT($BG$5:BG24)+1,"")</f>
        <v/>
      </c>
      <c r="BH25" s="11" t="str">
        <f aca="false">IF(AND(AO25=1,BF25=0,EH_Ready,N(AB25)&gt;0,N(AI25)&gt;0,N(AK25)&gt;0),COUNT($BH$5:BH24)+1,"")</f>
        <v/>
      </c>
      <c r="BI25" s="11" t="str">
        <f aca="false">IF(AND(AO25=1,OR(LEFT(AM25,3)="ADD",LEFT(AM25,3)="SET",LEFT(AM25,5)="CHECK",LEFT(AM25,10)="TERMINATED")),COUNT($BI$5:BI24)+1,"")</f>
        <v/>
      </c>
      <c r="BJ25" s="11" t="str">
        <f aca="false">IF(AO25=0,"",$A25&amp;" - "&amp;$B25&amp;" "&amp;$C25)</f>
        <v/>
      </c>
    </row>
    <row r="26" customFormat="false" ht="15" hidden="false" customHeight="false" outlineLevel="0" collapsed="false">
      <c r="A26" s="10"/>
      <c r="B26" s="10"/>
      <c r="C26" s="10"/>
      <c r="D26" s="10"/>
      <c r="E26" s="9"/>
      <c r="F26" s="10"/>
      <c r="G26" s="30"/>
      <c r="H26" s="9"/>
      <c r="I26" s="10"/>
      <c r="J26" s="30"/>
      <c r="K26" s="9"/>
      <c r="L26" s="10"/>
      <c r="M26" s="30"/>
      <c r="N26" s="9"/>
      <c r="O26" s="9"/>
      <c r="P26" s="30"/>
      <c r="Q26" s="9"/>
      <c r="R26" s="10"/>
      <c r="S26" s="11" t="str">
        <f aca="false">IF(AO26=0,"",IF($H26="","",$F26&amp;" -&gt; "&amp;$I26&amp;IF($I26="Part-Time"," ("&amp;N($J26)&amp;" hrs)","")&amp;" on "&amp;TEXT($H26,"dd/mm/yyyy")&amp;IF($H26&gt;AsOfDate," (FUTURE)","")&amp;IF($K26="","","; "&amp;$I26&amp;" -&gt; "&amp;$L26&amp;IF($L26="Part-Time"," ("&amp;N($M26)&amp;" hrs)","")&amp;" on "&amp;TEXT($K26,"dd/mm/yyyy")&amp;IF($K26&gt;AsOfDate," (FUTURE)",""))))</f>
        <v/>
      </c>
      <c r="T26" s="11" t="str">
        <f aca="false">IF(AO26=0,"",IF(AS26&lt;&gt;"",$L26,IF(AR26&lt;&gt;"",$I26,$F26)))</f>
        <v/>
      </c>
      <c r="U26" s="26" t="str">
        <f aca="false">IF(AO26=0,"",IF(AS26&lt;&gt;"",$M26,IF(AR26&lt;&gt;"",$J26,$G26)))</f>
        <v/>
      </c>
      <c r="V26" s="11" t="str">
        <f aca="false">IF(AO26=0,"",IF(AY26="FT","Full-Time",IF(AY26="PT","Part-Time","Not eligible")))</f>
        <v/>
      </c>
      <c r="W26" s="27" t="str">
        <f aca="false">IF(AO26=0,"",IF(AR26="",IF(AND($H26&lt;&gt;"",$H26&gt;AsOfDate),"Future change - not yet applied",""),IF(AND(AV26=AY26,OR(AS26="",AW26=AV26)),"Type changed - same accrual pathway",IF(AY26="None","STOPPED accruing from "&amp;TEXT(IF(AS26&lt;&gt;"",AS26,AR26),"dd/mm/yyyy"),IF(AV26="None","STARTED qualifying from "&amp;TEXT(IF(AS26&lt;&gt;"",AS26,AR26),"dd/mm/yyyy"),"Pathway changed "&amp;AV26&amp;" -&gt; "&amp;AW26&amp;IF(AS26&lt;&gt;""," -&gt; "&amp;AX26,"")&amp;" from "&amp;TEXT(IF(AS26&lt;&gt;"",AS26,AR26),"dd/mm/yyyy"))))))</f>
        <v/>
      </c>
      <c r="X26" s="28" t="str">
        <f aca="false">IF(AO26=0,"",IF($Q26="",AsOfDate,MIN(AsOfDate,$Q26)))</f>
        <v/>
      </c>
      <c r="Y26" s="26" t="str">
        <f aca="false">IF(AO26=0,"",MAX(0,AQ26))</f>
        <v/>
      </c>
      <c r="Z26" s="11" t="str">
        <f aca="false">IF(AO26=0,"",IF(AQ26&lt;0,"Not started",INT(AQ26/12)&amp;"y "&amp;MOD(AQ26,12)&amp;"m"))</f>
        <v/>
      </c>
      <c r="AA26" s="27" t="str">
        <f aca="false">IF(AO26=0,"",IF(BF26=1,"Terminated - balance forfeited",IF(AY26="None",IF(AB26&gt;0,"No longer accruing - "&amp;T26,"Not eligible - "&amp;T26&amp;IF(AND(IFERROR(VLOOKUP(T26,TypeTable,2,0),"None")="PT",N(U26)&lt;PT_MinHours)," (under "&amp;PT_MinHours&amp;" hrs)","")),IF(AB26&gt;0,"Yes - accruing","Not yet - qualifies "&amp;TEXT(AD26,"dd/mm/yyyy")))))</f>
        <v/>
      </c>
      <c r="AB26" s="26" t="str">
        <f aca="false">IF(AO26=0,"",AZ26+IF(AR26="",0,BB26-BA26)+IF(AS26="",0,BD26-BC26))</f>
        <v/>
      </c>
      <c r="AC26" s="26" t="str">
        <f aca="false">IF(AO26=0,"",AB26*HoursPerDay)</f>
        <v/>
      </c>
      <c r="AD26" s="28" t="str">
        <f aca="false">IF(AO26=0,"",IF(OR(BF26=1,AY26="None"),"",EDATE($E26+AP26,BE26)))</f>
        <v/>
      </c>
      <c r="AE26" s="26" t="str">
        <f aca="false">IF(AD26="","",IF(AY26="PT",1,IF(BE26&lt;FT_Y5,1,IF(MOD(BE26-FT_Y5,12)=0,FT_AnnivDays,1))))</f>
        <v/>
      </c>
      <c r="AF26" s="27" t="str">
        <f aca="false">IF(AO26=0,"",IF(NOT(EH_Ready),"Map headers",IF(IF(MatchMode="Employee ID",COUNTIFS(INDEX(EH_Data,0,EH_ColID),$A26,INDEX(EH_Data,0,EH_ColCat),BonusCat),COUNTIFS(INDEX(EH_Data,0,EH_ColFirst),$B26,INDEX(EH_Data,0,EH_ColSur),$C26,INDEX(EH_Data,0,EH_ColCat),BonusCat))&gt;0,"Yes","No")))</f>
        <v/>
      </c>
      <c r="AG26" s="26" t="str">
        <f aca="false">IF(AO26=0,"",IF(NOT(EH_Ready),"",IF(MatchMode="Employee ID",SUMIFS(INDEX(EH_Data,0,EH_ColBal),INDEX(EH_Data,0,EH_ColID),$A26,INDEX(EH_Data,0,EH_ColCat),BonusCat),SUMIFS(INDEX(EH_Data,0,EH_ColBal),INDEX(EH_Data,0,EH_ColFirst),$B26,INDEX(EH_Data,0,EH_ColSur),$C26,INDEX(EH_Data,0,EH_ColCat),BonusCat))/IF(EHUnit="Hours",HoursPerDay,1)))</f>
        <v/>
      </c>
      <c r="AH26" s="26" t="str">
        <f aca="false">IF(AO26=0,"",IF(NOT(TK_Ready),0,IF(MatchMode="Employee ID",SUMIFS(INDEX(TK_Data,0,TK_ColAmt),INDEX(TK_Data,0,TK_ColID),$A26,INDEX(TK_Data,0,TK_ColCat),BonusCat),SUMIFS(INDEX(TK_Data,0,TK_ColAmt),INDEX(TK_Data,0,TK_ColFirst),$B26,INDEX(TK_Data,0,TK_ColSur),$C26,INDEX(TK_Data,0,TK_ColCat),BonusCat))/IF(TKUnit="Hours",HoursPerDay,1)))</f>
        <v/>
      </c>
      <c r="AI26" s="26" t="str">
        <f aca="false">IF(AO26=0,"",N(AG26)+N(AH26))</f>
        <v/>
      </c>
      <c r="AJ26" s="29" t="str">
        <f aca="false">IF(AO26=0,"",IF(NOT(AND(EH_Ready,EH_ValReady)),"",IF(MatchMode="Employee ID",SUMIFS(INDEX(EH_Data,0,EH_ColVal),INDEX(EH_Data,0,EH_ColID),$A26,INDEX(EH_Data,0,EH_ColCat),BonusCat),SUMIFS(INDEX(EH_Data,0,EH_ColVal),INDEX(EH_Data,0,EH_ColFirst),$B26,INDEX(EH_Data,0,EH_ColSur),$C26,INDEX(EH_Data,0,EH_ColCat),BonusCat))))</f>
        <v/>
      </c>
      <c r="AK26" s="26" t="str">
        <f aca="false">IF(AO26=0,"",IF(OR(NOT(EH_Ready),BF26=1),"",AB26-AI26))</f>
        <v/>
      </c>
      <c r="AL26" s="26" t="str">
        <f aca="false">IF(AK26="","",AK26*HoursPerDay)</f>
        <v/>
      </c>
      <c r="AM26" s="27" t="str">
        <f aca="false">IF(AO26=0,"",IF(BF26=1,IF(N(AG26)&gt;0,"TERMINATED - forfeit "&amp;TEXT(AG26,"0.##")&amp;" days still in EH","Terminated - nothing in EH"),IF(NOT(EH_Ready),"Paste EH export and map headers on Settings",IF(AND(AB26&gt;0,AF26="No"),"SET UP in EH - add "&amp;TEXT(AB26,"0.##")&amp;" day(s) ("&amp;TEXT(AC26,"0.##")&amp;" hrs)",IF(AK26&gt;0,"ADD "&amp;TEXT(AK26,"0.##")&amp;" day(s) ("&amp;TEXT(AL26,"0.##")&amp;" hrs) in EH",IF(AK26&lt;0,"CHECK - EH shows "&amp;TEXT(-AK26,"0.##")&amp;" days more than policy",IF(AB26&gt;0,"OK - up to date",IF(AY26="None","No action - not eligible","No action - not yet qualified"))))))))</f>
        <v/>
      </c>
      <c r="AN26" s="27" t="str">
        <f aca="false">IF(AO26=0,"",TRIM(IF(AND($K26&lt;&gt;"",$H26=""),"Change 2 entered without Change 1. ","")&amp;IF(AND($K26&lt;&gt;"",$H26&lt;&gt;"",$K26&lt;=$H26),"Change 2 date not after Change 1. ","")&amp;IF(AND($N26&lt;&gt;"",$O26&lt;&gt;"",$O26&lt;$N26),"Leave To is before Leave From. ","")&amp;IF(AND($N26&lt;&gt;"",$O26=""),"Leave From entered without Leave To. ","")&amp;IF(AND(IFERROR(VLOOKUP(T26,TypeTable,2,0),"None")="PT",U26=""),"Part-time with no hours entered. ","")&amp;IF(AND($H26&lt;&gt;"",$H26&gt;AsOfDate,AD26&lt;&gt;"",$H26&lt;=AD26),"Status change lands before next accrual - review. ","")&amp;IF(AND($Q26&lt;&gt;"",$Q26&lt;$E26),"Termination before commencement. ","")))</f>
        <v/>
      </c>
      <c r="AO26" s="11" t="n">
        <f aca="false">IF(LEN($A26&amp;$B26&amp;$C26)=0,0,IF($E26="",0,1))</f>
        <v>0</v>
      </c>
      <c r="AP26" s="11" t="str">
        <f aca="false">IF(AO26=0,"",(IF(OR($N26="",$O26=""),0,MAX(0,MIN(X26,$O26)-MAX($N26,$E26)+1))+N($P26)))</f>
        <v/>
      </c>
      <c r="AQ26" s="11" t="str">
        <f aca="false">IF(AO26=0,"",IF(X26&lt;($E26+(IF(OR($N26="",$O26=""),0,MAX(0,MIN(X26,$O26)-MAX($N26,$E26)+1))+N($P26))),-1,12*(YEAR(X26)-YEAR(($E26+(IF(OR($N26="",$O26=""),0,MAX(0,MIN(X26,$O26)-MAX($N26,$E26)+1))+N($P26)))))+MONTH(X26)-MONTH(($E26+(IF(OR($N26="",$O26=""),0,MAX(0,MIN(X26,$O26)-MAX($N26,$E26)+1))+N($P26))))-IF(DAY(X26)&lt;MIN(DAY(($E26+(IF(OR($N26="",$O26=""),0,MAX(0,MIN(X26,$O26)-MAX($N26,$E26)+1))+N($P26)))),DAY(EOMONTH(X26,0))),1,0)))</f>
        <v/>
      </c>
      <c r="AR26" s="28" t="str">
        <f aca="false">IF(AO26=0,"",IF($H26="","",IF($H26&gt;X26,"",$H26)))</f>
        <v/>
      </c>
      <c r="AS26" s="28" t="str">
        <f aca="false">IF(AO26=0,"",IF(AR26="","",IF($K26="","",IF($K26&gt;X26,"",$K26))))</f>
        <v/>
      </c>
      <c r="AT26" s="11" t="str">
        <f aca="false">IF(AO26=0,"",IF(AR26="",AQ26,IF((AR26-1)&lt;($E26+(IF(OR($N26="",$O26=""),0,MAX(0,MIN((AR26-1),$O26)-MAX($N26,$E26)+1))+N($P26))),-1,12*(YEAR((AR26-1))-YEAR(($E26+(IF(OR($N26="",$O26=""),0,MAX(0,MIN((AR26-1),$O26)-MAX($N26,$E26)+1))+N($P26)))))+MONTH((AR26-1))-MONTH(($E26+(IF(OR($N26="",$O26=""),0,MAX(0,MIN((AR26-1),$O26)-MAX($N26,$E26)+1))+N($P26))))-IF(DAY((AR26-1))&lt;MIN(DAY(($E26+(IF(OR($N26="",$O26=""),0,MAX(0,MIN((AR26-1),$O26)-MAX($N26,$E26)+1))+N($P26)))),DAY(EOMONTH((AR26-1),0))),1,0))))</f>
        <v/>
      </c>
      <c r="AU26" s="11" t="str">
        <f aca="false">IF(AO26=0,"",IF(AS26="",AQ26,IF((AS26-1)&lt;($E26+(IF(OR($N26="",$O26=""),0,MAX(0,MIN((AS26-1),$O26)-MAX($N26,$E26)+1))+N($P26))),-1,12*(YEAR((AS26-1))-YEAR(($E26+(IF(OR($N26="",$O26=""),0,MAX(0,MIN((AS26-1),$O26)-MAX($N26,$E26)+1))+N($P26)))))+MONTH((AS26-1))-MONTH(($E26+(IF(OR($N26="",$O26=""),0,MAX(0,MIN((AS26-1),$O26)-MAX($N26,$E26)+1))+N($P26))))-IF(DAY((AS26-1))&lt;MIN(DAY(($E26+(IF(OR($N26="",$O26=""),0,MAX(0,MIN((AS26-1),$O26)-MAX($N26,$E26)+1))+N($P26)))),DAY(EOMONTH((AS26-1),0))),1,0))))</f>
        <v/>
      </c>
      <c r="AV26" s="11" t="str">
        <f aca="false">IF(AO26=0,"",IF($F26="","None",IF(IFERROR(VLOOKUP($F26,TypeTable,2,0),"None")="PT",IF(N($G26)&gt;=PT_MinHours,"PT","None"),IFERROR(VLOOKUP($F26,TypeTable,2,0),"None"))))</f>
        <v/>
      </c>
      <c r="AW26" s="11" t="str">
        <f aca="false">IF(AO26=0,"",IF($I26="","None",IF(IFERROR(VLOOKUP($I26,TypeTable,2,0),"None")="PT",IF(N($J26)&gt;=PT_MinHours,"PT","None"),IFERROR(VLOOKUP($I26,TypeTable,2,0),"None"))))</f>
        <v/>
      </c>
      <c r="AX26" s="11" t="str">
        <f aca="false">IF(AO26=0,"",IF($L26="","None",IF(IFERROR(VLOOKUP($L26,TypeTable,2,0),"None")="PT",IF(N($M26)&gt;=PT_MinHours,"PT","None"),IFERROR(VLOOKUP($L26,TypeTable,2,0),"None"))))</f>
        <v/>
      </c>
      <c r="AY26" s="11" t="str">
        <f aca="false">IF(AO26=0,"",IF(AS26&lt;&gt;"",AX26,IF(AR26&lt;&gt;"",AW26,AV26)))</f>
        <v/>
      </c>
      <c r="AZ26" s="11" t="str">
        <f aca="false">IF(AO26=0,"",IF(AV26="FT",IF(AT26&lt;FT_First,0,IF(AT26&lt;FT_Y5,1+INT((AT26-FT_First)/FT_Int1),FT_PreY5+FT_PerYear*INT((AT26-FT_Y5)/12)+FT_AnnivDays+INT(MOD(AT26-FT_Y5,12)/FT_Int2))),IF(AV26="PT",IF(AT26&lt;PT_First,0,1+INT((AT26-PT_First)/PT_Int)),0)))</f>
        <v/>
      </c>
      <c r="BA26" s="11" t="str">
        <f aca="false">IF(AO26=0,"",IF(AW26="FT",IF(AT26&lt;FT_First,0,IF(AT26&lt;FT_Y5,1+INT((AT26-FT_First)/FT_Int1),FT_PreY5+FT_PerYear*INT((AT26-FT_Y5)/12)+FT_AnnivDays+INT(MOD(AT26-FT_Y5,12)/FT_Int2))),IF(AW26="PT",IF(AT26&lt;PT_First,0,1+INT((AT26-PT_First)/PT_Int)),0)))</f>
        <v/>
      </c>
      <c r="BB26" s="11" t="str">
        <f aca="false">IF(AO26=0,"",IF(AW26="FT",IF(AU26&lt;FT_First,0,IF(AU26&lt;FT_Y5,1+INT((AU26-FT_First)/FT_Int1),FT_PreY5+FT_PerYear*INT((AU26-FT_Y5)/12)+FT_AnnivDays+INT(MOD(AU26-FT_Y5,12)/FT_Int2))),IF(AW26="PT",IF(AU26&lt;PT_First,0,1+INT((AU26-PT_First)/PT_Int)),0)))</f>
        <v/>
      </c>
      <c r="BC26" s="11" t="str">
        <f aca="false">IF(AO26=0,"",IF(AX26="FT",IF(AU26&lt;FT_First,0,IF(AU26&lt;FT_Y5,1+INT((AU26-FT_First)/FT_Int1),FT_PreY5+FT_PerYear*INT((AU26-FT_Y5)/12)+FT_AnnivDays+INT(MOD(AU26-FT_Y5,12)/FT_Int2))),IF(AX26="PT",IF(AU26&lt;PT_First,0,1+INT((AU26-PT_First)/PT_Int)),0)))</f>
        <v/>
      </c>
      <c r="BD26" s="11" t="str">
        <f aca="false">IF(AO26=0,"",IF(AX26="FT",IF(AQ26&lt;FT_First,0,IF(AQ26&lt;FT_Y5,1+INT((AQ26-FT_First)/FT_Int1),FT_PreY5+FT_PerYear*INT((AQ26-FT_Y5)/12)+FT_AnnivDays+INT(MOD(AQ26-FT_Y5,12)/FT_Int2))),IF(AX26="PT",IF(AQ26&lt;PT_First,0,1+INT((AQ26-PT_First)/PT_Int)),0)))</f>
        <v/>
      </c>
      <c r="BE26" s="11" t="str">
        <f aca="false">IF(AO26=0,"",IF(AY26="FT",IF(AQ26&lt;FT_First,FT_First,IF(AQ26&lt;FT_Y5,MIN(FT_Y5,FT_First+FT_Int1*(INT((AQ26-FT_First)/FT_Int1)+1)),FT_Y5+12*INT((AQ26-FT_Y5)/12)+FT_Int2*(INT(MOD(AQ26-FT_Y5,12)/FT_Int2)+1))),IF(AY26="PT",IF(AQ26&lt;PT_First,PT_First,PT_First+PT_Int*(INT((AQ26-PT_First)/PT_Int)+1)),"")))</f>
        <v/>
      </c>
      <c r="BF26" s="11" t="n">
        <f aca="false">IF(AO26=0,0,IF(AND($Q26&lt;&gt;"",$Q26&lt;=AsOfDate),1,0))</f>
        <v>0</v>
      </c>
      <c r="BG26" s="11" t="str">
        <f aca="false">IF(AND(AO26=1,BF26=0,EH_Ready,N(AB26)&gt;0,N(AI26)=0),COUNT($BG$5:BG25)+1,"")</f>
        <v/>
      </c>
      <c r="BH26" s="11" t="str">
        <f aca="false">IF(AND(AO26=1,BF26=0,EH_Ready,N(AB26)&gt;0,N(AI26)&gt;0,N(AK26)&gt;0),COUNT($BH$5:BH25)+1,"")</f>
        <v/>
      </c>
      <c r="BI26" s="11" t="str">
        <f aca="false">IF(AND(AO26=1,OR(LEFT(AM26,3)="ADD",LEFT(AM26,3)="SET",LEFT(AM26,5)="CHECK",LEFT(AM26,10)="TERMINATED")),COUNT($BI$5:BI25)+1,"")</f>
        <v/>
      </c>
      <c r="BJ26" s="11" t="str">
        <f aca="false">IF(AO26=0,"",$A26&amp;" - "&amp;$B26&amp;" "&amp;$C26)</f>
        <v/>
      </c>
    </row>
    <row r="27" customFormat="false" ht="15" hidden="false" customHeight="false" outlineLevel="0" collapsed="false">
      <c r="A27" s="10"/>
      <c r="B27" s="10"/>
      <c r="C27" s="10"/>
      <c r="D27" s="10"/>
      <c r="E27" s="9"/>
      <c r="F27" s="10"/>
      <c r="G27" s="30"/>
      <c r="H27" s="9"/>
      <c r="I27" s="10"/>
      <c r="J27" s="30"/>
      <c r="K27" s="9"/>
      <c r="L27" s="10"/>
      <c r="M27" s="30"/>
      <c r="N27" s="9"/>
      <c r="O27" s="9"/>
      <c r="P27" s="30"/>
      <c r="Q27" s="9"/>
      <c r="R27" s="10"/>
      <c r="S27" s="11" t="str">
        <f aca="false">IF(AO27=0,"",IF($H27="","",$F27&amp;" -&gt; "&amp;$I27&amp;IF($I27="Part-Time"," ("&amp;N($J27)&amp;" hrs)","")&amp;" on "&amp;TEXT($H27,"dd/mm/yyyy")&amp;IF($H27&gt;AsOfDate," (FUTURE)","")&amp;IF($K27="","","; "&amp;$I27&amp;" -&gt; "&amp;$L27&amp;IF($L27="Part-Time"," ("&amp;N($M27)&amp;" hrs)","")&amp;" on "&amp;TEXT($K27,"dd/mm/yyyy")&amp;IF($K27&gt;AsOfDate," (FUTURE)",""))))</f>
        <v/>
      </c>
      <c r="T27" s="11" t="str">
        <f aca="false">IF(AO27=0,"",IF(AS27&lt;&gt;"",$L27,IF(AR27&lt;&gt;"",$I27,$F27)))</f>
        <v/>
      </c>
      <c r="U27" s="26" t="str">
        <f aca="false">IF(AO27=0,"",IF(AS27&lt;&gt;"",$M27,IF(AR27&lt;&gt;"",$J27,$G27)))</f>
        <v/>
      </c>
      <c r="V27" s="11" t="str">
        <f aca="false">IF(AO27=0,"",IF(AY27="FT","Full-Time",IF(AY27="PT","Part-Time","Not eligible")))</f>
        <v/>
      </c>
      <c r="W27" s="27" t="str">
        <f aca="false">IF(AO27=0,"",IF(AR27="",IF(AND($H27&lt;&gt;"",$H27&gt;AsOfDate),"Future change - not yet applied",""),IF(AND(AV27=AY27,OR(AS27="",AW27=AV27)),"Type changed - same accrual pathway",IF(AY27="None","STOPPED accruing from "&amp;TEXT(IF(AS27&lt;&gt;"",AS27,AR27),"dd/mm/yyyy"),IF(AV27="None","STARTED qualifying from "&amp;TEXT(IF(AS27&lt;&gt;"",AS27,AR27),"dd/mm/yyyy"),"Pathway changed "&amp;AV27&amp;" -&gt; "&amp;AW27&amp;IF(AS27&lt;&gt;""," -&gt; "&amp;AX27,"")&amp;" from "&amp;TEXT(IF(AS27&lt;&gt;"",AS27,AR27),"dd/mm/yyyy"))))))</f>
        <v/>
      </c>
      <c r="X27" s="28" t="str">
        <f aca="false">IF(AO27=0,"",IF($Q27="",AsOfDate,MIN(AsOfDate,$Q27)))</f>
        <v/>
      </c>
      <c r="Y27" s="26" t="str">
        <f aca="false">IF(AO27=0,"",MAX(0,AQ27))</f>
        <v/>
      </c>
      <c r="Z27" s="11" t="str">
        <f aca="false">IF(AO27=0,"",IF(AQ27&lt;0,"Not started",INT(AQ27/12)&amp;"y "&amp;MOD(AQ27,12)&amp;"m"))</f>
        <v/>
      </c>
      <c r="AA27" s="27" t="str">
        <f aca="false">IF(AO27=0,"",IF(BF27=1,"Terminated - balance forfeited",IF(AY27="None",IF(AB27&gt;0,"No longer accruing - "&amp;T27,"Not eligible - "&amp;T27&amp;IF(AND(IFERROR(VLOOKUP(T27,TypeTable,2,0),"None")="PT",N(U27)&lt;PT_MinHours)," (under "&amp;PT_MinHours&amp;" hrs)","")),IF(AB27&gt;0,"Yes - accruing","Not yet - qualifies "&amp;TEXT(AD27,"dd/mm/yyyy")))))</f>
        <v/>
      </c>
      <c r="AB27" s="26" t="str">
        <f aca="false">IF(AO27=0,"",AZ27+IF(AR27="",0,BB27-BA27)+IF(AS27="",0,BD27-BC27))</f>
        <v/>
      </c>
      <c r="AC27" s="26" t="str">
        <f aca="false">IF(AO27=0,"",AB27*HoursPerDay)</f>
        <v/>
      </c>
      <c r="AD27" s="28" t="str">
        <f aca="false">IF(AO27=0,"",IF(OR(BF27=1,AY27="None"),"",EDATE($E27+AP27,BE27)))</f>
        <v/>
      </c>
      <c r="AE27" s="26" t="str">
        <f aca="false">IF(AD27="","",IF(AY27="PT",1,IF(BE27&lt;FT_Y5,1,IF(MOD(BE27-FT_Y5,12)=0,FT_AnnivDays,1))))</f>
        <v/>
      </c>
      <c r="AF27" s="27" t="str">
        <f aca="false">IF(AO27=0,"",IF(NOT(EH_Ready),"Map headers",IF(IF(MatchMode="Employee ID",COUNTIFS(INDEX(EH_Data,0,EH_ColID),$A27,INDEX(EH_Data,0,EH_ColCat),BonusCat),COUNTIFS(INDEX(EH_Data,0,EH_ColFirst),$B27,INDEX(EH_Data,0,EH_ColSur),$C27,INDEX(EH_Data,0,EH_ColCat),BonusCat))&gt;0,"Yes","No")))</f>
        <v/>
      </c>
      <c r="AG27" s="26" t="str">
        <f aca="false">IF(AO27=0,"",IF(NOT(EH_Ready),"",IF(MatchMode="Employee ID",SUMIFS(INDEX(EH_Data,0,EH_ColBal),INDEX(EH_Data,0,EH_ColID),$A27,INDEX(EH_Data,0,EH_ColCat),BonusCat),SUMIFS(INDEX(EH_Data,0,EH_ColBal),INDEX(EH_Data,0,EH_ColFirst),$B27,INDEX(EH_Data,0,EH_ColSur),$C27,INDEX(EH_Data,0,EH_ColCat),BonusCat))/IF(EHUnit="Hours",HoursPerDay,1)))</f>
        <v/>
      </c>
      <c r="AH27" s="26" t="str">
        <f aca="false">IF(AO27=0,"",IF(NOT(TK_Ready),0,IF(MatchMode="Employee ID",SUMIFS(INDEX(TK_Data,0,TK_ColAmt),INDEX(TK_Data,0,TK_ColID),$A27,INDEX(TK_Data,0,TK_ColCat),BonusCat),SUMIFS(INDEX(TK_Data,0,TK_ColAmt),INDEX(TK_Data,0,TK_ColFirst),$B27,INDEX(TK_Data,0,TK_ColSur),$C27,INDEX(TK_Data,0,TK_ColCat),BonusCat))/IF(TKUnit="Hours",HoursPerDay,1)))</f>
        <v/>
      </c>
      <c r="AI27" s="26" t="str">
        <f aca="false">IF(AO27=0,"",N(AG27)+N(AH27))</f>
        <v/>
      </c>
      <c r="AJ27" s="29" t="str">
        <f aca="false">IF(AO27=0,"",IF(NOT(AND(EH_Ready,EH_ValReady)),"",IF(MatchMode="Employee ID",SUMIFS(INDEX(EH_Data,0,EH_ColVal),INDEX(EH_Data,0,EH_ColID),$A27,INDEX(EH_Data,0,EH_ColCat),BonusCat),SUMIFS(INDEX(EH_Data,0,EH_ColVal),INDEX(EH_Data,0,EH_ColFirst),$B27,INDEX(EH_Data,0,EH_ColSur),$C27,INDEX(EH_Data,0,EH_ColCat),BonusCat))))</f>
        <v/>
      </c>
      <c r="AK27" s="26" t="str">
        <f aca="false">IF(AO27=0,"",IF(OR(NOT(EH_Ready),BF27=1),"",AB27-AI27))</f>
        <v/>
      </c>
      <c r="AL27" s="26" t="str">
        <f aca="false">IF(AK27="","",AK27*HoursPerDay)</f>
        <v/>
      </c>
      <c r="AM27" s="27" t="str">
        <f aca="false">IF(AO27=0,"",IF(BF27=1,IF(N(AG27)&gt;0,"TERMINATED - forfeit "&amp;TEXT(AG27,"0.##")&amp;" days still in EH","Terminated - nothing in EH"),IF(NOT(EH_Ready),"Paste EH export and map headers on Settings",IF(AND(AB27&gt;0,AF27="No"),"SET UP in EH - add "&amp;TEXT(AB27,"0.##")&amp;" day(s) ("&amp;TEXT(AC27,"0.##")&amp;" hrs)",IF(AK27&gt;0,"ADD "&amp;TEXT(AK27,"0.##")&amp;" day(s) ("&amp;TEXT(AL27,"0.##")&amp;" hrs) in EH",IF(AK27&lt;0,"CHECK - EH shows "&amp;TEXT(-AK27,"0.##")&amp;" days more than policy",IF(AB27&gt;0,"OK - up to date",IF(AY27="None","No action - not eligible","No action - not yet qualified"))))))))</f>
        <v/>
      </c>
      <c r="AN27" s="27" t="str">
        <f aca="false">IF(AO27=0,"",TRIM(IF(AND($K27&lt;&gt;"",$H27=""),"Change 2 entered without Change 1. ","")&amp;IF(AND($K27&lt;&gt;"",$H27&lt;&gt;"",$K27&lt;=$H27),"Change 2 date not after Change 1. ","")&amp;IF(AND($N27&lt;&gt;"",$O27&lt;&gt;"",$O27&lt;$N27),"Leave To is before Leave From. ","")&amp;IF(AND($N27&lt;&gt;"",$O27=""),"Leave From entered without Leave To. ","")&amp;IF(AND(IFERROR(VLOOKUP(T27,TypeTable,2,0),"None")="PT",U27=""),"Part-time with no hours entered. ","")&amp;IF(AND($H27&lt;&gt;"",$H27&gt;AsOfDate,AD27&lt;&gt;"",$H27&lt;=AD27),"Status change lands before next accrual - review. ","")&amp;IF(AND($Q27&lt;&gt;"",$Q27&lt;$E27),"Termination before commencement. ","")))</f>
        <v/>
      </c>
      <c r="AO27" s="11" t="n">
        <f aca="false">IF(LEN($A27&amp;$B27&amp;$C27)=0,0,IF($E27="",0,1))</f>
        <v>0</v>
      </c>
      <c r="AP27" s="11" t="str">
        <f aca="false">IF(AO27=0,"",(IF(OR($N27="",$O27=""),0,MAX(0,MIN(X27,$O27)-MAX($N27,$E27)+1))+N($P27)))</f>
        <v/>
      </c>
      <c r="AQ27" s="11" t="str">
        <f aca="false">IF(AO27=0,"",IF(X27&lt;($E27+(IF(OR($N27="",$O27=""),0,MAX(0,MIN(X27,$O27)-MAX($N27,$E27)+1))+N($P27))),-1,12*(YEAR(X27)-YEAR(($E27+(IF(OR($N27="",$O27=""),0,MAX(0,MIN(X27,$O27)-MAX($N27,$E27)+1))+N($P27)))))+MONTH(X27)-MONTH(($E27+(IF(OR($N27="",$O27=""),0,MAX(0,MIN(X27,$O27)-MAX($N27,$E27)+1))+N($P27))))-IF(DAY(X27)&lt;MIN(DAY(($E27+(IF(OR($N27="",$O27=""),0,MAX(0,MIN(X27,$O27)-MAX($N27,$E27)+1))+N($P27)))),DAY(EOMONTH(X27,0))),1,0)))</f>
        <v/>
      </c>
      <c r="AR27" s="28" t="str">
        <f aca="false">IF(AO27=0,"",IF($H27="","",IF($H27&gt;X27,"",$H27)))</f>
        <v/>
      </c>
      <c r="AS27" s="28" t="str">
        <f aca="false">IF(AO27=0,"",IF(AR27="","",IF($K27="","",IF($K27&gt;X27,"",$K27))))</f>
        <v/>
      </c>
      <c r="AT27" s="11" t="str">
        <f aca="false">IF(AO27=0,"",IF(AR27="",AQ27,IF((AR27-1)&lt;($E27+(IF(OR($N27="",$O27=""),0,MAX(0,MIN((AR27-1),$O27)-MAX($N27,$E27)+1))+N($P27))),-1,12*(YEAR((AR27-1))-YEAR(($E27+(IF(OR($N27="",$O27=""),0,MAX(0,MIN((AR27-1),$O27)-MAX($N27,$E27)+1))+N($P27)))))+MONTH((AR27-1))-MONTH(($E27+(IF(OR($N27="",$O27=""),0,MAX(0,MIN((AR27-1),$O27)-MAX($N27,$E27)+1))+N($P27))))-IF(DAY((AR27-1))&lt;MIN(DAY(($E27+(IF(OR($N27="",$O27=""),0,MAX(0,MIN((AR27-1),$O27)-MAX($N27,$E27)+1))+N($P27)))),DAY(EOMONTH((AR27-1),0))),1,0))))</f>
        <v/>
      </c>
      <c r="AU27" s="11" t="str">
        <f aca="false">IF(AO27=0,"",IF(AS27="",AQ27,IF((AS27-1)&lt;($E27+(IF(OR($N27="",$O27=""),0,MAX(0,MIN((AS27-1),$O27)-MAX($N27,$E27)+1))+N($P27))),-1,12*(YEAR((AS27-1))-YEAR(($E27+(IF(OR($N27="",$O27=""),0,MAX(0,MIN((AS27-1),$O27)-MAX($N27,$E27)+1))+N($P27)))))+MONTH((AS27-1))-MONTH(($E27+(IF(OR($N27="",$O27=""),0,MAX(0,MIN((AS27-1),$O27)-MAX($N27,$E27)+1))+N($P27))))-IF(DAY((AS27-1))&lt;MIN(DAY(($E27+(IF(OR($N27="",$O27=""),0,MAX(0,MIN((AS27-1),$O27)-MAX($N27,$E27)+1))+N($P27)))),DAY(EOMONTH((AS27-1),0))),1,0))))</f>
        <v/>
      </c>
      <c r="AV27" s="11" t="str">
        <f aca="false">IF(AO27=0,"",IF($F27="","None",IF(IFERROR(VLOOKUP($F27,TypeTable,2,0),"None")="PT",IF(N($G27)&gt;=PT_MinHours,"PT","None"),IFERROR(VLOOKUP($F27,TypeTable,2,0),"None"))))</f>
        <v/>
      </c>
      <c r="AW27" s="11" t="str">
        <f aca="false">IF(AO27=0,"",IF($I27="","None",IF(IFERROR(VLOOKUP($I27,TypeTable,2,0),"None")="PT",IF(N($J27)&gt;=PT_MinHours,"PT","None"),IFERROR(VLOOKUP($I27,TypeTable,2,0),"None"))))</f>
        <v/>
      </c>
      <c r="AX27" s="11" t="str">
        <f aca="false">IF(AO27=0,"",IF($L27="","None",IF(IFERROR(VLOOKUP($L27,TypeTable,2,0),"None")="PT",IF(N($M27)&gt;=PT_MinHours,"PT","None"),IFERROR(VLOOKUP($L27,TypeTable,2,0),"None"))))</f>
        <v/>
      </c>
      <c r="AY27" s="11" t="str">
        <f aca="false">IF(AO27=0,"",IF(AS27&lt;&gt;"",AX27,IF(AR27&lt;&gt;"",AW27,AV27)))</f>
        <v/>
      </c>
      <c r="AZ27" s="11" t="str">
        <f aca="false">IF(AO27=0,"",IF(AV27="FT",IF(AT27&lt;FT_First,0,IF(AT27&lt;FT_Y5,1+INT((AT27-FT_First)/FT_Int1),FT_PreY5+FT_PerYear*INT((AT27-FT_Y5)/12)+FT_AnnivDays+INT(MOD(AT27-FT_Y5,12)/FT_Int2))),IF(AV27="PT",IF(AT27&lt;PT_First,0,1+INT((AT27-PT_First)/PT_Int)),0)))</f>
        <v/>
      </c>
      <c r="BA27" s="11" t="str">
        <f aca="false">IF(AO27=0,"",IF(AW27="FT",IF(AT27&lt;FT_First,0,IF(AT27&lt;FT_Y5,1+INT((AT27-FT_First)/FT_Int1),FT_PreY5+FT_PerYear*INT((AT27-FT_Y5)/12)+FT_AnnivDays+INT(MOD(AT27-FT_Y5,12)/FT_Int2))),IF(AW27="PT",IF(AT27&lt;PT_First,0,1+INT((AT27-PT_First)/PT_Int)),0)))</f>
        <v/>
      </c>
      <c r="BB27" s="11" t="str">
        <f aca="false">IF(AO27=0,"",IF(AW27="FT",IF(AU27&lt;FT_First,0,IF(AU27&lt;FT_Y5,1+INT((AU27-FT_First)/FT_Int1),FT_PreY5+FT_PerYear*INT((AU27-FT_Y5)/12)+FT_AnnivDays+INT(MOD(AU27-FT_Y5,12)/FT_Int2))),IF(AW27="PT",IF(AU27&lt;PT_First,0,1+INT((AU27-PT_First)/PT_Int)),0)))</f>
        <v/>
      </c>
      <c r="BC27" s="11" t="str">
        <f aca="false">IF(AO27=0,"",IF(AX27="FT",IF(AU27&lt;FT_First,0,IF(AU27&lt;FT_Y5,1+INT((AU27-FT_First)/FT_Int1),FT_PreY5+FT_PerYear*INT((AU27-FT_Y5)/12)+FT_AnnivDays+INT(MOD(AU27-FT_Y5,12)/FT_Int2))),IF(AX27="PT",IF(AU27&lt;PT_First,0,1+INT((AU27-PT_First)/PT_Int)),0)))</f>
        <v/>
      </c>
      <c r="BD27" s="11" t="str">
        <f aca="false">IF(AO27=0,"",IF(AX27="FT",IF(AQ27&lt;FT_First,0,IF(AQ27&lt;FT_Y5,1+INT((AQ27-FT_First)/FT_Int1),FT_PreY5+FT_PerYear*INT((AQ27-FT_Y5)/12)+FT_AnnivDays+INT(MOD(AQ27-FT_Y5,12)/FT_Int2))),IF(AX27="PT",IF(AQ27&lt;PT_First,0,1+INT((AQ27-PT_First)/PT_Int)),0)))</f>
        <v/>
      </c>
      <c r="BE27" s="11" t="str">
        <f aca="false">IF(AO27=0,"",IF(AY27="FT",IF(AQ27&lt;FT_First,FT_First,IF(AQ27&lt;FT_Y5,MIN(FT_Y5,FT_First+FT_Int1*(INT((AQ27-FT_First)/FT_Int1)+1)),FT_Y5+12*INT((AQ27-FT_Y5)/12)+FT_Int2*(INT(MOD(AQ27-FT_Y5,12)/FT_Int2)+1))),IF(AY27="PT",IF(AQ27&lt;PT_First,PT_First,PT_First+PT_Int*(INT((AQ27-PT_First)/PT_Int)+1)),"")))</f>
        <v/>
      </c>
      <c r="BF27" s="11" t="n">
        <f aca="false">IF(AO27=0,0,IF(AND($Q27&lt;&gt;"",$Q27&lt;=AsOfDate),1,0))</f>
        <v>0</v>
      </c>
      <c r="BG27" s="11" t="str">
        <f aca="false">IF(AND(AO27=1,BF27=0,EH_Ready,N(AB27)&gt;0,N(AI27)=0),COUNT($BG$5:BG26)+1,"")</f>
        <v/>
      </c>
      <c r="BH27" s="11" t="str">
        <f aca="false">IF(AND(AO27=1,BF27=0,EH_Ready,N(AB27)&gt;0,N(AI27)&gt;0,N(AK27)&gt;0),COUNT($BH$5:BH26)+1,"")</f>
        <v/>
      </c>
      <c r="BI27" s="11" t="str">
        <f aca="false">IF(AND(AO27=1,OR(LEFT(AM27,3)="ADD",LEFT(AM27,3)="SET",LEFT(AM27,5)="CHECK",LEFT(AM27,10)="TERMINATED")),COUNT($BI$5:BI26)+1,"")</f>
        <v/>
      </c>
      <c r="BJ27" s="11" t="str">
        <f aca="false">IF(AO27=0,"",$A27&amp;" - "&amp;$B27&amp;" "&amp;$C27)</f>
        <v/>
      </c>
    </row>
    <row r="28" customFormat="false" ht="15" hidden="false" customHeight="false" outlineLevel="0" collapsed="false">
      <c r="A28" s="10"/>
      <c r="B28" s="10"/>
      <c r="C28" s="10"/>
      <c r="D28" s="10"/>
      <c r="E28" s="9"/>
      <c r="F28" s="10"/>
      <c r="G28" s="30"/>
      <c r="H28" s="9"/>
      <c r="I28" s="10"/>
      <c r="J28" s="30"/>
      <c r="K28" s="9"/>
      <c r="L28" s="10"/>
      <c r="M28" s="30"/>
      <c r="N28" s="9"/>
      <c r="O28" s="9"/>
      <c r="P28" s="30"/>
      <c r="Q28" s="9"/>
      <c r="R28" s="10"/>
      <c r="S28" s="11" t="str">
        <f aca="false">IF(AO28=0,"",IF($H28="","",$F28&amp;" -&gt; "&amp;$I28&amp;IF($I28="Part-Time"," ("&amp;N($J28)&amp;" hrs)","")&amp;" on "&amp;TEXT($H28,"dd/mm/yyyy")&amp;IF($H28&gt;AsOfDate," (FUTURE)","")&amp;IF($K28="","","; "&amp;$I28&amp;" -&gt; "&amp;$L28&amp;IF($L28="Part-Time"," ("&amp;N($M28)&amp;" hrs)","")&amp;" on "&amp;TEXT($K28,"dd/mm/yyyy")&amp;IF($K28&gt;AsOfDate," (FUTURE)",""))))</f>
        <v/>
      </c>
      <c r="T28" s="11" t="str">
        <f aca="false">IF(AO28=0,"",IF(AS28&lt;&gt;"",$L28,IF(AR28&lt;&gt;"",$I28,$F28)))</f>
        <v/>
      </c>
      <c r="U28" s="26" t="str">
        <f aca="false">IF(AO28=0,"",IF(AS28&lt;&gt;"",$M28,IF(AR28&lt;&gt;"",$J28,$G28)))</f>
        <v/>
      </c>
      <c r="V28" s="11" t="str">
        <f aca="false">IF(AO28=0,"",IF(AY28="FT","Full-Time",IF(AY28="PT","Part-Time","Not eligible")))</f>
        <v/>
      </c>
      <c r="W28" s="27" t="str">
        <f aca="false">IF(AO28=0,"",IF(AR28="",IF(AND($H28&lt;&gt;"",$H28&gt;AsOfDate),"Future change - not yet applied",""),IF(AND(AV28=AY28,OR(AS28="",AW28=AV28)),"Type changed - same accrual pathway",IF(AY28="None","STOPPED accruing from "&amp;TEXT(IF(AS28&lt;&gt;"",AS28,AR28),"dd/mm/yyyy"),IF(AV28="None","STARTED qualifying from "&amp;TEXT(IF(AS28&lt;&gt;"",AS28,AR28),"dd/mm/yyyy"),"Pathway changed "&amp;AV28&amp;" -&gt; "&amp;AW28&amp;IF(AS28&lt;&gt;""," -&gt; "&amp;AX28,"")&amp;" from "&amp;TEXT(IF(AS28&lt;&gt;"",AS28,AR28),"dd/mm/yyyy"))))))</f>
        <v/>
      </c>
      <c r="X28" s="28" t="str">
        <f aca="false">IF(AO28=0,"",IF($Q28="",AsOfDate,MIN(AsOfDate,$Q28)))</f>
        <v/>
      </c>
      <c r="Y28" s="26" t="str">
        <f aca="false">IF(AO28=0,"",MAX(0,AQ28))</f>
        <v/>
      </c>
      <c r="Z28" s="11" t="str">
        <f aca="false">IF(AO28=0,"",IF(AQ28&lt;0,"Not started",INT(AQ28/12)&amp;"y "&amp;MOD(AQ28,12)&amp;"m"))</f>
        <v/>
      </c>
      <c r="AA28" s="27" t="str">
        <f aca="false">IF(AO28=0,"",IF(BF28=1,"Terminated - balance forfeited",IF(AY28="None",IF(AB28&gt;0,"No longer accruing - "&amp;T28,"Not eligible - "&amp;T28&amp;IF(AND(IFERROR(VLOOKUP(T28,TypeTable,2,0),"None")="PT",N(U28)&lt;PT_MinHours)," (under "&amp;PT_MinHours&amp;" hrs)","")),IF(AB28&gt;0,"Yes - accruing","Not yet - qualifies "&amp;TEXT(AD28,"dd/mm/yyyy")))))</f>
        <v/>
      </c>
      <c r="AB28" s="26" t="str">
        <f aca="false">IF(AO28=0,"",AZ28+IF(AR28="",0,BB28-BA28)+IF(AS28="",0,BD28-BC28))</f>
        <v/>
      </c>
      <c r="AC28" s="26" t="str">
        <f aca="false">IF(AO28=0,"",AB28*HoursPerDay)</f>
        <v/>
      </c>
      <c r="AD28" s="28" t="str">
        <f aca="false">IF(AO28=0,"",IF(OR(BF28=1,AY28="None"),"",EDATE($E28+AP28,BE28)))</f>
        <v/>
      </c>
      <c r="AE28" s="26" t="str">
        <f aca="false">IF(AD28="","",IF(AY28="PT",1,IF(BE28&lt;FT_Y5,1,IF(MOD(BE28-FT_Y5,12)=0,FT_AnnivDays,1))))</f>
        <v/>
      </c>
      <c r="AF28" s="27" t="str">
        <f aca="false">IF(AO28=0,"",IF(NOT(EH_Ready),"Map headers",IF(IF(MatchMode="Employee ID",COUNTIFS(INDEX(EH_Data,0,EH_ColID),$A28,INDEX(EH_Data,0,EH_ColCat),BonusCat),COUNTIFS(INDEX(EH_Data,0,EH_ColFirst),$B28,INDEX(EH_Data,0,EH_ColSur),$C28,INDEX(EH_Data,0,EH_ColCat),BonusCat))&gt;0,"Yes","No")))</f>
        <v/>
      </c>
      <c r="AG28" s="26" t="str">
        <f aca="false">IF(AO28=0,"",IF(NOT(EH_Ready),"",IF(MatchMode="Employee ID",SUMIFS(INDEX(EH_Data,0,EH_ColBal),INDEX(EH_Data,0,EH_ColID),$A28,INDEX(EH_Data,0,EH_ColCat),BonusCat),SUMIFS(INDEX(EH_Data,0,EH_ColBal),INDEX(EH_Data,0,EH_ColFirst),$B28,INDEX(EH_Data,0,EH_ColSur),$C28,INDEX(EH_Data,0,EH_ColCat),BonusCat))/IF(EHUnit="Hours",HoursPerDay,1)))</f>
        <v/>
      </c>
      <c r="AH28" s="26" t="str">
        <f aca="false">IF(AO28=0,"",IF(NOT(TK_Ready),0,IF(MatchMode="Employee ID",SUMIFS(INDEX(TK_Data,0,TK_ColAmt),INDEX(TK_Data,0,TK_ColID),$A28,INDEX(TK_Data,0,TK_ColCat),BonusCat),SUMIFS(INDEX(TK_Data,0,TK_ColAmt),INDEX(TK_Data,0,TK_ColFirst),$B28,INDEX(TK_Data,0,TK_ColSur),$C28,INDEX(TK_Data,0,TK_ColCat),BonusCat))/IF(TKUnit="Hours",HoursPerDay,1)))</f>
        <v/>
      </c>
      <c r="AI28" s="26" t="str">
        <f aca="false">IF(AO28=0,"",N(AG28)+N(AH28))</f>
        <v/>
      </c>
      <c r="AJ28" s="29" t="str">
        <f aca="false">IF(AO28=0,"",IF(NOT(AND(EH_Ready,EH_ValReady)),"",IF(MatchMode="Employee ID",SUMIFS(INDEX(EH_Data,0,EH_ColVal),INDEX(EH_Data,0,EH_ColID),$A28,INDEX(EH_Data,0,EH_ColCat),BonusCat),SUMIFS(INDEX(EH_Data,0,EH_ColVal),INDEX(EH_Data,0,EH_ColFirst),$B28,INDEX(EH_Data,0,EH_ColSur),$C28,INDEX(EH_Data,0,EH_ColCat),BonusCat))))</f>
        <v/>
      </c>
      <c r="AK28" s="26" t="str">
        <f aca="false">IF(AO28=0,"",IF(OR(NOT(EH_Ready),BF28=1),"",AB28-AI28))</f>
        <v/>
      </c>
      <c r="AL28" s="26" t="str">
        <f aca="false">IF(AK28="","",AK28*HoursPerDay)</f>
        <v/>
      </c>
      <c r="AM28" s="27" t="str">
        <f aca="false">IF(AO28=0,"",IF(BF28=1,IF(N(AG28)&gt;0,"TERMINATED - forfeit "&amp;TEXT(AG28,"0.##")&amp;" days still in EH","Terminated - nothing in EH"),IF(NOT(EH_Ready),"Paste EH export and map headers on Settings",IF(AND(AB28&gt;0,AF28="No"),"SET UP in EH - add "&amp;TEXT(AB28,"0.##")&amp;" day(s) ("&amp;TEXT(AC28,"0.##")&amp;" hrs)",IF(AK28&gt;0,"ADD "&amp;TEXT(AK28,"0.##")&amp;" day(s) ("&amp;TEXT(AL28,"0.##")&amp;" hrs) in EH",IF(AK28&lt;0,"CHECK - EH shows "&amp;TEXT(-AK28,"0.##")&amp;" days more than policy",IF(AB28&gt;0,"OK - up to date",IF(AY28="None","No action - not eligible","No action - not yet qualified"))))))))</f>
        <v/>
      </c>
      <c r="AN28" s="27" t="str">
        <f aca="false">IF(AO28=0,"",TRIM(IF(AND($K28&lt;&gt;"",$H28=""),"Change 2 entered without Change 1. ","")&amp;IF(AND($K28&lt;&gt;"",$H28&lt;&gt;"",$K28&lt;=$H28),"Change 2 date not after Change 1. ","")&amp;IF(AND($N28&lt;&gt;"",$O28&lt;&gt;"",$O28&lt;$N28),"Leave To is before Leave From. ","")&amp;IF(AND($N28&lt;&gt;"",$O28=""),"Leave From entered without Leave To. ","")&amp;IF(AND(IFERROR(VLOOKUP(T28,TypeTable,2,0),"None")="PT",U28=""),"Part-time with no hours entered. ","")&amp;IF(AND($H28&lt;&gt;"",$H28&gt;AsOfDate,AD28&lt;&gt;"",$H28&lt;=AD28),"Status change lands before next accrual - review. ","")&amp;IF(AND($Q28&lt;&gt;"",$Q28&lt;$E28),"Termination before commencement. ","")))</f>
        <v/>
      </c>
      <c r="AO28" s="11" t="n">
        <f aca="false">IF(LEN($A28&amp;$B28&amp;$C28)=0,0,IF($E28="",0,1))</f>
        <v>0</v>
      </c>
      <c r="AP28" s="11" t="str">
        <f aca="false">IF(AO28=0,"",(IF(OR($N28="",$O28=""),0,MAX(0,MIN(X28,$O28)-MAX($N28,$E28)+1))+N($P28)))</f>
        <v/>
      </c>
      <c r="AQ28" s="11" t="str">
        <f aca="false">IF(AO28=0,"",IF(X28&lt;($E28+(IF(OR($N28="",$O28=""),0,MAX(0,MIN(X28,$O28)-MAX($N28,$E28)+1))+N($P28))),-1,12*(YEAR(X28)-YEAR(($E28+(IF(OR($N28="",$O28=""),0,MAX(0,MIN(X28,$O28)-MAX($N28,$E28)+1))+N($P28)))))+MONTH(X28)-MONTH(($E28+(IF(OR($N28="",$O28=""),0,MAX(0,MIN(X28,$O28)-MAX($N28,$E28)+1))+N($P28))))-IF(DAY(X28)&lt;MIN(DAY(($E28+(IF(OR($N28="",$O28=""),0,MAX(0,MIN(X28,$O28)-MAX($N28,$E28)+1))+N($P28)))),DAY(EOMONTH(X28,0))),1,0)))</f>
        <v/>
      </c>
      <c r="AR28" s="28" t="str">
        <f aca="false">IF(AO28=0,"",IF($H28="","",IF($H28&gt;X28,"",$H28)))</f>
        <v/>
      </c>
      <c r="AS28" s="28" t="str">
        <f aca="false">IF(AO28=0,"",IF(AR28="","",IF($K28="","",IF($K28&gt;X28,"",$K28))))</f>
        <v/>
      </c>
      <c r="AT28" s="11" t="str">
        <f aca="false">IF(AO28=0,"",IF(AR28="",AQ28,IF((AR28-1)&lt;($E28+(IF(OR($N28="",$O28=""),0,MAX(0,MIN((AR28-1),$O28)-MAX($N28,$E28)+1))+N($P28))),-1,12*(YEAR((AR28-1))-YEAR(($E28+(IF(OR($N28="",$O28=""),0,MAX(0,MIN((AR28-1),$O28)-MAX($N28,$E28)+1))+N($P28)))))+MONTH((AR28-1))-MONTH(($E28+(IF(OR($N28="",$O28=""),0,MAX(0,MIN((AR28-1),$O28)-MAX($N28,$E28)+1))+N($P28))))-IF(DAY((AR28-1))&lt;MIN(DAY(($E28+(IF(OR($N28="",$O28=""),0,MAX(0,MIN((AR28-1),$O28)-MAX($N28,$E28)+1))+N($P28)))),DAY(EOMONTH((AR28-1),0))),1,0))))</f>
        <v/>
      </c>
      <c r="AU28" s="11" t="str">
        <f aca="false">IF(AO28=0,"",IF(AS28="",AQ28,IF((AS28-1)&lt;($E28+(IF(OR($N28="",$O28=""),0,MAX(0,MIN((AS28-1),$O28)-MAX($N28,$E28)+1))+N($P28))),-1,12*(YEAR((AS28-1))-YEAR(($E28+(IF(OR($N28="",$O28=""),0,MAX(0,MIN((AS28-1),$O28)-MAX($N28,$E28)+1))+N($P28)))))+MONTH((AS28-1))-MONTH(($E28+(IF(OR($N28="",$O28=""),0,MAX(0,MIN((AS28-1),$O28)-MAX($N28,$E28)+1))+N($P28))))-IF(DAY((AS28-1))&lt;MIN(DAY(($E28+(IF(OR($N28="",$O28=""),0,MAX(0,MIN((AS28-1),$O28)-MAX($N28,$E28)+1))+N($P28)))),DAY(EOMONTH((AS28-1),0))),1,0))))</f>
        <v/>
      </c>
      <c r="AV28" s="11" t="str">
        <f aca="false">IF(AO28=0,"",IF($F28="","None",IF(IFERROR(VLOOKUP($F28,TypeTable,2,0),"None")="PT",IF(N($G28)&gt;=PT_MinHours,"PT","None"),IFERROR(VLOOKUP($F28,TypeTable,2,0),"None"))))</f>
        <v/>
      </c>
      <c r="AW28" s="11" t="str">
        <f aca="false">IF(AO28=0,"",IF($I28="","None",IF(IFERROR(VLOOKUP($I28,TypeTable,2,0),"None")="PT",IF(N($J28)&gt;=PT_MinHours,"PT","None"),IFERROR(VLOOKUP($I28,TypeTable,2,0),"None"))))</f>
        <v/>
      </c>
      <c r="AX28" s="11" t="str">
        <f aca="false">IF(AO28=0,"",IF($L28="","None",IF(IFERROR(VLOOKUP($L28,TypeTable,2,0),"None")="PT",IF(N($M28)&gt;=PT_MinHours,"PT","None"),IFERROR(VLOOKUP($L28,TypeTable,2,0),"None"))))</f>
        <v/>
      </c>
      <c r="AY28" s="11" t="str">
        <f aca="false">IF(AO28=0,"",IF(AS28&lt;&gt;"",AX28,IF(AR28&lt;&gt;"",AW28,AV28)))</f>
        <v/>
      </c>
      <c r="AZ28" s="11" t="str">
        <f aca="false">IF(AO28=0,"",IF(AV28="FT",IF(AT28&lt;FT_First,0,IF(AT28&lt;FT_Y5,1+INT((AT28-FT_First)/FT_Int1),FT_PreY5+FT_PerYear*INT((AT28-FT_Y5)/12)+FT_AnnivDays+INT(MOD(AT28-FT_Y5,12)/FT_Int2))),IF(AV28="PT",IF(AT28&lt;PT_First,0,1+INT((AT28-PT_First)/PT_Int)),0)))</f>
        <v/>
      </c>
      <c r="BA28" s="11" t="str">
        <f aca="false">IF(AO28=0,"",IF(AW28="FT",IF(AT28&lt;FT_First,0,IF(AT28&lt;FT_Y5,1+INT((AT28-FT_First)/FT_Int1),FT_PreY5+FT_PerYear*INT((AT28-FT_Y5)/12)+FT_AnnivDays+INT(MOD(AT28-FT_Y5,12)/FT_Int2))),IF(AW28="PT",IF(AT28&lt;PT_First,0,1+INT((AT28-PT_First)/PT_Int)),0)))</f>
        <v/>
      </c>
      <c r="BB28" s="11" t="str">
        <f aca="false">IF(AO28=0,"",IF(AW28="FT",IF(AU28&lt;FT_First,0,IF(AU28&lt;FT_Y5,1+INT((AU28-FT_First)/FT_Int1),FT_PreY5+FT_PerYear*INT((AU28-FT_Y5)/12)+FT_AnnivDays+INT(MOD(AU28-FT_Y5,12)/FT_Int2))),IF(AW28="PT",IF(AU28&lt;PT_First,0,1+INT((AU28-PT_First)/PT_Int)),0)))</f>
        <v/>
      </c>
      <c r="BC28" s="11" t="str">
        <f aca="false">IF(AO28=0,"",IF(AX28="FT",IF(AU28&lt;FT_First,0,IF(AU28&lt;FT_Y5,1+INT((AU28-FT_First)/FT_Int1),FT_PreY5+FT_PerYear*INT((AU28-FT_Y5)/12)+FT_AnnivDays+INT(MOD(AU28-FT_Y5,12)/FT_Int2))),IF(AX28="PT",IF(AU28&lt;PT_First,0,1+INT((AU28-PT_First)/PT_Int)),0)))</f>
        <v/>
      </c>
      <c r="BD28" s="11" t="str">
        <f aca="false">IF(AO28=0,"",IF(AX28="FT",IF(AQ28&lt;FT_First,0,IF(AQ28&lt;FT_Y5,1+INT((AQ28-FT_First)/FT_Int1),FT_PreY5+FT_PerYear*INT((AQ28-FT_Y5)/12)+FT_AnnivDays+INT(MOD(AQ28-FT_Y5,12)/FT_Int2))),IF(AX28="PT",IF(AQ28&lt;PT_First,0,1+INT((AQ28-PT_First)/PT_Int)),0)))</f>
        <v/>
      </c>
      <c r="BE28" s="11" t="str">
        <f aca="false">IF(AO28=0,"",IF(AY28="FT",IF(AQ28&lt;FT_First,FT_First,IF(AQ28&lt;FT_Y5,MIN(FT_Y5,FT_First+FT_Int1*(INT((AQ28-FT_First)/FT_Int1)+1)),FT_Y5+12*INT((AQ28-FT_Y5)/12)+FT_Int2*(INT(MOD(AQ28-FT_Y5,12)/FT_Int2)+1))),IF(AY28="PT",IF(AQ28&lt;PT_First,PT_First,PT_First+PT_Int*(INT((AQ28-PT_First)/PT_Int)+1)),"")))</f>
        <v/>
      </c>
      <c r="BF28" s="11" t="n">
        <f aca="false">IF(AO28=0,0,IF(AND($Q28&lt;&gt;"",$Q28&lt;=AsOfDate),1,0))</f>
        <v>0</v>
      </c>
      <c r="BG28" s="11" t="str">
        <f aca="false">IF(AND(AO28=1,BF28=0,EH_Ready,N(AB28)&gt;0,N(AI28)=0),COUNT($BG$5:BG27)+1,"")</f>
        <v/>
      </c>
      <c r="BH28" s="11" t="str">
        <f aca="false">IF(AND(AO28=1,BF28=0,EH_Ready,N(AB28)&gt;0,N(AI28)&gt;0,N(AK28)&gt;0),COUNT($BH$5:BH27)+1,"")</f>
        <v/>
      </c>
      <c r="BI28" s="11" t="str">
        <f aca="false">IF(AND(AO28=1,OR(LEFT(AM28,3)="ADD",LEFT(AM28,3)="SET",LEFT(AM28,5)="CHECK",LEFT(AM28,10)="TERMINATED")),COUNT($BI$5:BI27)+1,"")</f>
        <v/>
      </c>
      <c r="BJ28" s="11" t="str">
        <f aca="false">IF(AO28=0,"",$A28&amp;" - "&amp;$B28&amp;" "&amp;$C28)</f>
        <v/>
      </c>
    </row>
    <row r="29" customFormat="false" ht="15" hidden="false" customHeight="false" outlineLevel="0" collapsed="false">
      <c r="A29" s="10"/>
      <c r="B29" s="10"/>
      <c r="C29" s="10"/>
      <c r="D29" s="10"/>
      <c r="E29" s="9"/>
      <c r="F29" s="10"/>
      <c r="G29" s="30"/>
      <c r="H29" s="9"/>
      <c r="I29" s="10"/>
      <c r="J29" s="30"/>
      <c r="K29" s="9"/>
      <c r="L29" s="10"/>
      <c r="M29" s="30"/>
      <c r="N29" s="9"/>
      <c r="O29" s="9"/>
      <c r="P29" s="30"/>
      <c r="Q29" s="9"/>
      <c r="R29" s="10"/>
      <c r="S29" s="11" t="str">
        <f aca="false">IF(AO29=0,"",IF($H29="","",$F29&amp;" -&gt; "&amp;$I29&amp;IF($I29="Part-Time"," ("&amp;N($J29)&amp;" hrs)","")&amp;" on "&amp;TEXT($H29,"dd/mm/yyyy")&amp;IF($H29&gt;AsOfDate," (FUTURE)","")&amp;IF($K29="","","; "&amp;$I29&amp;" -&gt; "&amp;$L29&amp;IF($L29="Part-Time"," ("&amp;N($M29)&amp;" hrs)","")&amp;" on "&amp;TEXT($K29,"dd/mm/yyyy")&amp;IF($K29&gt;AsOfDate," (FUTURE)",""))))</f>
        <v/>
      </c>
      <c r="T29" s="11" t="str">
        <f aca="false">IF(AO29=0,"",IF(AS29&lt;&gt;"",$L29,IF(AR29&lt;&gt;"",$I29,$F29)))</f>
        <v/>
      </c>
      <c r="U29" s="26" t="str">
        <f aca="false">IF(AO29=0,"",IF(AS29&lt;&gt;"",$M29,IF(AR29&lt;&gt;"",$J29,$G29)))</f>
        <v/>
      </c>
      <c r="V29" s="11" t="str">
        <f aca="false">IF(AO29=0,"",IF(AY29="FT","Full-Time",IF(AY29="PT","Part-Time","Not eligible")))</f>
        <v/>
      </c>
      <c r="W29" s="27" t="str">
        <f aca="false">IF(AO29=0,"",IF(AR29="",IF(AND($H29&lt;&gt;"",$H29&gt;AsOfDate),"Future change - not yet applied",""),IF(AND(AV29=AY29,OR(AS29="",AW29=AV29)),"Type changed - same accrual pathway",IF(AY29="None","STOPPED accruing from "&amp;TEXT(IF(AS29&lt;&gt;"",AS29,AR29),"dd/mm/yyyy"),IF(AV29="None","STARTED qualifying from "&amp;TEXT(IF(AS29&lt;&gt;"",AS29,AR29),"dd/mm/yyyy"),"Pathway changed "&amp;AV29&amp;" -&gt; "&amp;AW29&amp;IF(AS29&lt;&gt;""," -&gt; "&amp;AX29,"")&amp;" from "&amp;TEXT(IF(AS29&lt;&gt;"",AS29,AR29),"dd/mm/yyyy"))))))</f>
        <v/>
      </c>
      <c r="X29" s="28" t="str">
        <f aca="false">IF(AO29=0,"",IF($Q29="",AsOfDate,MIN(AsOfDate,$Q29)))</f>
        <v/>
      </c>
      <c r="Y29" s="26" t="str">
        <f aca="false">IF(AO29=0,"",MAX(0,AQ29))</f>
        <v/>
      </c>
      <c r="Z29" s="11" t="str">
        <f aca="false">IF(AO29=0,"",IF(AQ29&lt;0,"Not started",INT(AQ29/12)&amp;"y "&amp;MOD(AQ29,12)&amp;"m"))</f>
        <v/>
      </c>
      <c r="AA29" s="27" t="str">
        <f aca="false">IF(AO29=0,"",IF(BF29=1,"Terminated - balance forfeited",IF(AY29="None",IF(AB29&gt;0,"No longer accruing - "&amp;T29,"Not eligible - "&amp;T29&amp;IF(AND(IFERROR(VLOOKUP(T29,TypeTable,2,0),"None")="PT",N(U29)&lt;PT_MinHours)," (under "&amp;PT_MinHours&amp;" hrs)","")),IF(AB29&gt;0,"Yes - accruing","Not yet - qualifies "&amp;TEXT(AD29,"dd/mm/yyyy")))))</f>
        <v/>
      </c>
      <c r="AB29" s="26" t="str">
        <f aca="false">IF(AO29=0,"",AZ29+IF(AR29="",0,BB29-BA29)+IF(AS29="",0,BD29-BC29))</f>
        <v/>
      </c>
      <c r="AC29" s="26" t="str">
        <f aca="false">IF(AO29=0,"",AB29*HoursPerDay)</f>
        <v/>
      </c>
      <c r="AD29" s="28" t="str">
        <f aca="false">IF(AO29=0,"",IF(OR(BF29=1,AY29="None"),"",EDATE($E29+AP29,BE29)))</f>
        <v/>
      </c>
      <c r="AE29" s="26" t="str">
        <f aca="false">IF(AD29="","",IF(AY29="PT",1,IF(BE29&lt;FT_Y5,1,IF(MOD(BE29-FT_Y5,12)=0,FT_AnnivDays,1))))</f>
        <v/>
      </c>
      <c r="AF29" s="27" t="str">
        <f aca="false">IF(AO29=0,"",IF(NOT(EH_Ready),"Map headers",IF(IF(MatchMode="Employee ID",COUNTIFS(INDEX(EH_Data,0,EH_ColID),$A29,INDEX(EH_Data,0,EH_ColCat),BonusCat),COUNTIFS(INDEX(EH_Data,0,EH_ColFirst),$B29,INDEX(EH_Data,0,EH_ColSur),$C29,INDEX(EH_Data,0,EH_ColCat),BonusCat))&gt;0,"Yes","No")))</f>
        <v/>
      </c>
      <c r="AG29" s="26" t="str">
        <f aca="false">IF(AO29=0,"",IF(NOT(EH_Ready),"",IF(MatchMode="Employee ID",SUMIFS(INDEX(EH_Data,0,EH_ColBal),INDEX(EH_Data,0,EH_ColID),$A29,INDEX(EH_Data,0,EH_ColCat),BonusCat),SUMIFS(INDEX(EH_Data,0,EH_ColBal),INDEX(EH_Data,0,EH_ColFirst),$B29,INDEX(EH_Data,0,EH_ColSur),$C29,INDEX(EH_Data,0,EH_ColCat),BonusCat))/IF(EHUnit="Hours",HoursPerDay,1)))</f>
        <v/>
      </c>
      <c r="AH29" s="26" t="str">
        <f aca="false">IF(AO29=0,"",IF(NOT(TK_Ready),0,IF(MatchMode="Employee ID",SUMIFS(INDEX(TK_Data,0,TK_ColAmt),INDEX(TK_Data,0,TK_ColID),$A29,INDEX(TK_Data,0,TK_ColCat),BonusCat),SUMIFS(INDEX(TK_Data,0,TK_ColAmt),INDEX(TK_Data,0,TK_ColFirst),$B29,INDEX(TK_Data,0,TK_ColSur),$C29,INDEX(TK_Data,0,TK_ColCat),BonusCat))/IF(TKUnit="Hours",HoursPerDay,1)))</f>
        <v/>
      </c>
      <c r="AI29" s="26" t="str">
        <f aca="false">IF(AO29=0,"",N(AG29)+N(AH29))</f>
        <v/>
      </c>
      <c r="AJ29" s="29" t="str">
        <f aca="false">IF(AO29=0,"",IF(NOT(AND(EH_Ready,EH_ValReady)),"",IF(MatchMode="Employee ID",SUMIFS(INDEX(EH_Data,0,EH_ColVal),INDEX(EH_Data,0,EH_ColID),$A29,INDEX(EH_Data,0,EH_ColCat),BonusCat),SUMIFS(INDEX(EH_Data,0,EH_ColVal),INDEX(EH_Data,0,EH_ColFirst),$B29,INDEX(EH_Data,0,EH_ColSur),$C29,INDEX(EH_Data,0,EH_ColCat),BonusCat))))</f>
        <v/>
      </c>
      <c r="AK29" s="26" t="str">
        <f aca="false">IF(AO29=0,"",IF(OR(NOT(EH_Ready),BF29=1),"",AB29-AI29))</f>
        <v/>
      </c>
      <c r="AL29" s="26" t="str">
        <f aca="false">IF(AK29="","",AK29*HoursPerDay)</f>
        <v/>
      </c>
      <c r="AM29" s="27" t="str">
        <f aca="false">IF(AO29=0,"",IF(BF29=1,IF(N(AG29)&gt;0,"TERMINATED - forfeit "&amp;TEXT(AG29,"0.##")&amp;" days still in EH","Terminated - nothing in EH"),IF(NOT(EH_Ready),"Paste EH export and map headers on Settings",IF(AND(AB29&gt;0,AF29="No"),"SET UP in EH - add "&amp;TEXT(AB29,"0.##")&amp;" day(s) ("&amp;TEXT(AC29,"0.##")&amp;" hrs)",IF(AK29&gt;0,"ADD "&amp;TEXT(AK29,"0.##")&amp;" day(s) ("&amp;TEXT(AL29,"0.##")&amp;" hrs) in EH",IF(AK29&lt;0,"CHECK - EH shows "&amp;TEXT(-AK29,"0.##")&amp;" days more than policy",IF(AB29&gt;0,"OK - up to date",IF(AY29="None","No action - not eligible","No action - not yet qualified"))))))))</f>
        <v/>
      </c>
      <c r="AN29" s="27" t="str">
        <f aca="false">IF(AO29=0,"",TRIM(IF(AND($K29&lt;&gt;"",$H29=""),"Change 2 entered without Change 1. ","")&amp;IF(AND($K29&lt;&gt;"",$H29&lt;&gt;"",$K29&lt;=$H29),"Change 2 date not after Change 1. ","")&amp;IF(AND($N29&lt;&gt;"",$O29&lt;&gt;"",$O29&lt;$N29),"Leave To is before Leave From. ","")&amp;IF(AND($N29&lt;&gt;"",$O29=""),"Leave From entered without Leave To. ","")&amp;IF(AND(IFERROR(VLOOKUP(T29,TypeTable,2,0),"None")="PT",U29=""),"Part-time with no hours entered. ","")&amp;IF(AND($H29&lt;&gt;"",$H29&gt;AsOfDate,AD29&lt;&gt;"",$H29&lt;=AD29),"Status change lands before next accrual - review. ","")&amp;IF(AND($Q29&lt;&gt;"",$Q29&lt;$E29),"Termination before commencement. ","")))</f>
        <v/>
      </c>
      <c r="AO29" s="11" t="n">
        <f aca="false">IF(LEN($A29&amp;$B29&amp;$C29)=0,0,IF($E29="",0,1))</f>
        <v>0</v>
      </c>
      <c r="AP29" s="11" t="str">
        <f aca="false">IF(AO29=0,"",(IF(OR($N29="",$O29=""),0,MAX(0,MIN(X29,$O29)-MAX($N29,$E29)+1))+N($P29)))</f>
        <v/>
      </c>
      <c r="AQ29" s="11" t="str">
        <f aca="false">IF(AO29=0,"",IF(X29&lt;($E29+(IF(OR($N29="",$O29=""),0,MAX(0,MIN(X29,$O29)-MAX($N29,$E29)+1))+N($P29))),-1,12*(YEAR(X29)-YEAR(($E29+(IF(OR($N29="",$O29=""),0,MAX(0,MIN(X29,$O29)-MAX($N29,$E29)+1))+N($P29)))))+MONTH(X29)-MONTH(($E29+(IF(OR($N29="",$O29=""),0,MAX(0,MIN(X29,$O29)-MAX($N29,$E29)+1))+N($P29))))-IF(DAY(X29)&lt;MIN(DAY(($E29+(IF(OR($N29="",$O29=""),0,MAX(0,MIN(X29,$O29)-MAX($N29,$E29)+1))+N($P29)))),DAY(EOMONTH(X29,0))),1,0)))</f>
        <v/>
      </c>
      <c r="AR29" s="28" t="str">
        <f aca="false">IF(AO29=0,"",IF($H29="","",IF($H29&gt;X29,"",$H29)))</f>
        <v/>
      </c>
      <c r="AS29" s="28" t="str">
        <f aca="false">IF(AO29=0,"",IF(AR29="","",IF($K29="","",IF($K29&gt;X29,"",$K29))))</f>
        <v/>
      </c>
      <c r="AT29" s="11" t="str">
        <f aca="false">IF(AO29=0,"",IF(AR29="",AQ29,IF((AR29-1)&lt;($E29+(IF(OR($N29="",$O29=""),0,MAX(0,MIN((AR29-1),$O29)-MAX($N29,$E29)+1))+N($P29))),-1,12*(YEAR((AR29-1))-YEAR(($E29+(IF(OR($N29="",$O29=""),0,MAX(0,MIN((AR29-1),$O29)-MAX($N29,$E29)+1))+N($P29)))))+MONTH((AR29-1))-MONTH(($E29+(IF(OR($N29="",$O29=""),0,MAX(0,MIN((AR29-1),$O29)-MAX($N29,$E29)+1))+N($P29))))-IF(DAY((AR29-1))&lt;MIN(DAY(($E29+(IF(OR($N29="",$O29=""),0,MAX(0,MIN((AR29-1),$O29)-MAX($N29,$E29)+1))+N($P29)))),DAY(EOMONTH((AR29-1),0))),1,0))))</f>
        <v/>
      </c>
      <c r="AU29" s="11" t="str">
        <f aca="false">IF(AO29=0,"",IF(AS29="",AQ29,IF((AS29-1)&lt;($E29+(IF(OR($N29="",$O29=""),0,MAX(0,MIN((AS29-1),$O29)-MAX($N29,$E29)+1))+N($P29))),-1,12*(YEAR((AS29-1))-YEAR(($E29+(IF(OR($N29="",$O29=""),0,MAX(0,MIN((AS29-1),$O29)-MAX($N29,$E29)+1))+N($P29)))))+MONTH((AS29-1))-MONTH(($E29+(IF(OR($N29="",$O29=""),0,MAX(0,MIN((AS29-1),$O29)-MAX($N29,$E29)+1))+N($P29))))-IF(DAY((AS29-1))&lt;MIN(DAY(($E29+(IF(OR($N29="",$O29=""),0,MAX(0,MIN((AS29-1),$O29)-MAX($N29,$E29)+1))+N($P29)))),DAY(EOMONTH((AS29-1),0))),1,0))))</f>
        <v/>
      </c>
      <c r="AV29" s="11" t="str">
        <f aca="false">IF(AO29=0,"",IF($F29="","None",IF(IFERROR(VLOOKUP($F29,TypeTable,2,0),"None")="PT",IF(N($G29)&gt;=PT_MinHours,"PT","None"),IFERROR(VLOOKUP($F29,TypeTable,2,0),"None"))))</f>
        <v/>
      </c>
      <c r="AW29" s="11" t="str">
        <f aca="false">IF(AO29=0,"",IF($I29="","None",IF(IFERROR(VLOOKUP($I29,TypeTable,2,0),"None")="PT",IF(N($J29)&gt;=PT_MinHours,"PT","None"),IFERROR(VLOOKUP($I29,TypeTable,2,0),"None"))))</f>
        <v/>
      </c>
      <c r="AX29" s="11" t="str">
        <f aca="false">IF(AO29=0,"",IF($L29="","None",IF(IFERROR(VLOOKUP($L29,TypeTable,2,0),"None")="PT",IF(N($M29)&gt;=PT_MinHours,"PT","None"),IFERROR(VLOOKUP($L29,TypeTable,2,0),"None"))))</f>
        <v/>
      </c>
      <c r="AY29" s="11" t="str">
        <f aca="false">IF(AO29=0,"",IF(AS29&lt;&gt;"",AX29,IF(AR29&lt;&gt;"",AW29,AV29)))</f>
        <v/>
      </c>
      <c r="AZ29" s="11" t="str">
        <f aca="false">IF(AO29=0,"",IF(AV29="FT",IF(AT29&lt;FT_First,0,IF(AT29&lt;FT_Y5,1+INT((AT29-FT_First)/FT_Int1),FT_PreY5+FT_PerYear*INT((AT29-FT_Y5)/12)+FT_AnnivDays+INT(MOD(AT29-FT_Y5,12)/FT_Int2))),IF(AV29="PT",IF(AT29&lt;PT_First,0,1+INT((AT29-PT_First)/PT_Int)),0)))</f>
        <v/>
      </c>
      <c r="BA29" s="11" t="str">
        <f aca="false">IF(AO29=0,"",IF(AW29="FT",IF(AT29&lt;FT_First,0,IF(AT29&lt;FT_Y5,1+INT((AT29-FT_First)/FT_Int1),FT_PreY5+FT_PerYear*INT((AT29-FT_Y5)/12)+FT_AnnivDays+INT(MOD(AT29-FT_Y5,12)/FT_Int2))),IF(AW29="PT",IF(AT29&lt;PT_First,0,1+INT((AT29-PT_First)/PT_Int)),0)))</f>
        <v/>
      </c>
      <c r="BB29" s="11" t="str">
        <f aca="false">IF(AO29=0,"",IF(AW29="FT",IF(AU29&lt;FT_First,0,IF(AU29&lt;FT_Y5,1+INT((AU29-FT_First)/FT_Int1),FT_PreY5+FT_PerYear*INT((AU29-FT_Y5)/12)+FT_AnnivDays+INT(MOD(AU29-FT_Y5,12)/FT_Int2))),IF(AW29="PT",IF(AU29&lt;PT_First,0,1+INT((AU29-PT_First)/PT_Int)),0)))</f>
        <v/>
      </c>
      <c r="BC29" s="11" t="str">
        <f aca="false">IF(AO29=0,"",IF(AX29="FT",IF(AU29&lt;FT_First,0,IF(AU29&lt;FT_Y5,1+INT((AU29-FT_First)/FT_Int1),FT_PreY5+FT_PerYear*INT((AU29-FT_Y5)/12)+FT_AnnivDays+INT(MOD(AU29-FT_Y5,12)/FT_Int2))),IF(AX29="PT",IF(AU29&lt;PT_First,0,1+INT((AU29-PT_First)/PT_Int)),0)))</f>
        <v/>
      </c>
      <c r="BD29" s="11" t="str">
        <f aca="false">IF(AO29=0,"",IF(AX29="FT",IF(AQ29&lt;FT_First,0,IF(AQ29&lt;FT_Y5,1+INT((AQ29-FT_First)/FT_Int1),FT_PreY5+FT_PerYear*INT((AQ29-FT_Y5)/12)+FT_AnnivDays+INT(MOD(AQ29-FT_Y5,12)/FT_Int2))),IF(AX29="PT",IF(AQ29&lt;PT_First,0,1+INT((AQ29-PT_First)/PT_Int)),0)))</f>
        <v/>
      </c>
      <c r="BE29" s="11" t="str">
        <f aca="false">IF(AO29=0,"",IF(AY29="FT",IF(AQ29&lt;FT_First,FT_First,IF(AQ29&lt;FT_Y5,MIN(FT_Y5,FT_First+FT_Int1*(INT((AQ29-FT_First)/FT_Int1)+1)),FT_Y5+12*INT((AQ29-FT_Y5)/12)+FT_Int2*(INT(MOD(AQ29-FT_Y5,12)/FT_Int2)+1))),IF(AY29="PT",IF(AQ29&lt;PT_First,PT_First,PT_First+PT_Int*(INT((AQ29-PT_First)/PT_Int)+1)),"")))</f>
        <v/>
      </c>
      <c r="BF29" s="11" t="n">
        <f aca="false">IF(AO29=0,0,IF(AND($Q29&lt;&gt;"",$Q29&lt;=AsOfDate),1,0))</f>
        <v>0</v>
      </c>
      <c r="BG29" s="11" t="str">
        <f aca="false">IF(AND(AO29=1,BF29=0,EH_Ready,N(AB29)&gt;0,N(AI29)=0),COUNT($BG$5:BG28)+1,"")</f>
        <v/>
      </c>
      <c r="BH29" s="11" t="str">
        <f aca="false">IF(AND(AO29=1,BF29=0,EH_Ready,N(AB29)&gt;0,N(AI29)&gt;0,N(AK29)&gt;0),COUNT($BH$5:BH28)+1,"")</f>
        <v/>
      </c>
      <c r="BI29" s="11" t="str">
        <f aca="false">IF(AND(AO29=1,OR(LEFT(AM29,3)="ADD",LEFT(AM29,3)="SET",LEFT(AM29,5)="CHECK",LEFT(AM29,10)="TERMINATED")),COUNT($BI$5:BI28)+1,"")</f>
        <v/>
      </c>
      <c r="BJ29" s="11" t="str">
        <f aca="false">IF(AO29=0,"",$A29&amp;" - "&amp;$B29&amp;" "&amp;$C29)</f>
        <v/>
      </c>
    </row>
    <row r="30" customFormat="false" ht="15" hidden="false" customHeight="false" outlineLevel="0" collapsed="false">
      <c r="A30" s="10"/>
      <c r="B30" s="10"/>
      <c r="C30" s="10"/>
      <c r="D30" s="10"/>
      <c r="E30" s="9"/>
      <c r="F30" s="10"/>
      <c r="G30" s="30"/>
      <c r="H30" s="9"/>
      <c r="I30" s="10"/>
      <c r="J30" s="30"/>
      <c r="K30" s="9"/>
      <c r="L30" s="10"/>
      <c r="M30" s="30"/>
      <c r="N30" s="9"/>
      <c r="O30" s="9"/>
      <c r="P30" s="30"/>
      <c r="Q30" s="9"/>
      <c r="R30" s="10"/>
      <c r="S30" s="11" t="str">
        <f aca="false">IF(AO30=0,"",IF($H30="","",$F30&amp;" -&gt; "&amp;$I30&amp;IF($I30="Part-Time"," ("&amp;N($J30)&amp;" hrs)","")&amp;" on "&amp;TEXT($H30,"dd/mm/yyyy")&amp;IF($H30&gt;AsOfDate," (FUTURE)","")&amp;IF($K30="","","; "&amp;$I30&amp;" -&gt; "&amp;$L30&amp;IF($L30="Part-Time"," ("&amp;N($M30)&amp;" hrs)","")&amp;" on "&amp;TEXT($K30,"dd/mm/yyyy")&amp;IF($K30&gt;AsOfDate," (FUTURE)",""))))</f>
        <v/>
      </c>
      <c r="T30" s="11" t="str">
        <f aca="false">IF(AO30=0,"",IF(AS30&lt;&gt;"",$L30,IF(AR30&lt;&gt;"",$I30,$F30)))</f>
        <v/>
      </c>
      <c r="U30" s="26" t="str">
        <f aca="false">IF(AO30=0,"",IF(AS30&lt;&gt;"",$M30,IF(AR30&lt;&gt;"",$J30,$G30)))</f>
        <v/>
      </c>
      <c r="V30" s="11" t="str">
        <f aca="false">IF(AO30=0,"",IF(AY30="FT","Full-Time",IF(AY30="PT","Part-Time","Not eligible")))</f>
        <v/>
      </c>
      <c r="W30" s="27" t="str">
        <f aca="false">IF(AO30=0,"",IF(AR30="",IF(AND($H30&lt;&gt;"",$H30&gt;AsOfDate),"Future change - not yet applied",""),IF(AND(AV30=AY30,OR(AS30="",AW30=AV30)),"Type changed - same accrual pathway",IF(AY30="None","STOPPED accruing from "&amp;TEXT(IF(AS30&lt;&gt;"",AS30,AR30),"dd/mm/yyyy"),IF(AV30="None","STARTED qualifying from "&amp;TEXT(IF(AS30&lt;&gt;"",AS30,AR30),"dd/mm/yyyy"),"Pathway changed "&amp;AV30&amp;" -&gt; "&amp;AW30&amp;IF(AS30&lt;&gt;""," -&gt; "&amp;AX30,"")&amp;" from "&amp;TEXT(IF(AS30&lt;&gt;"",AS30,AR30),"dd/mm/yyyy"))))))</f>
        <v/>
      </c>
      <c r="X30" s="28" t="str">
        <f aca="false">IF(AO30=0,"",IF($Q30="",AsOfDate,MIN(AsOfDate,$Q30)))</f>
        <v/>
      </c>
      <c r="Y30" s="26" t="str">
        <f aca="false">IF(AO30=0,"",MAX(0,AQ30))</f>
        <v/>
      </c>
      <c r="Z30" s="11" t="str">
        <f aca="false">IF(AO30=0,"",IF(AQ30&lt;0,"Not started",INT(AQ30/12)&amp;"y "&amp;MOD(AQ30,12)&amp;"m"))</f>
        <v/>
      </c>
      <c r="AA30" s="27" t="str">
        <f aca="false">IF(AO30=0,"",IF(BF30=1,"Terminated - balance forfeited",IF(AY30="None",IF(AB30&gt;0,"No longer accruing - "&amp;T30,"Not eligible - "&amp;T30&amp;IF(AND(IFERROR(VLOOKUP(T30,TypeTable,2,0),"None")="PT",N(U30)&lt;PT_MinHours)," (under "&amp;PT_MinHours&amp;" hrs)","")),IF(AB30&gt;0,"Yes - accruing","Not yet - qualifies "&amp;TEXT(AD30,"dd/mm/yyyy")))))</f>
        <v/>
      </c>
      <c r="AB30" s="26" t="str">
        <f aca="false">IF(AO30=0,"",AZ30+IF(AR30="",0,BB30-BA30)+IF(AS30="",0,BD30-BC30))</f>
        <v/>
      </c>
      <c r="AC30" s="26" t="str">
        <f aca="false">IF(AO30=0,"",AB30*HoursPerDay)</f>
        <v/>
      </c>
      <c r="AD30" s="28" t="str">
        <f aca="false">IF(AO30=0,"",IF(OR(BF30=1,AY30="None"),"",EDATE($E30+AP30,BE30)))</f>
        <v/>
      </c>
      <c r="AE30" s="26" t="str">
        <f aca="false">IF(AD30="","",IF(AY30="PT",1,IF(BE30&lt;FT_Y5,1,IF(MOD(BE30-FT_Y5,12)=0,FT_AnnivDays,1))))</f>
        <v/>
      </c>
      <c r="AF30" s="27" t="str">
        <f aca="false">IF(AO30=0,"",IF(NOT(EH_Ready),"Map headers",IF(IF(MatchMode="Employee ID",COUNTIFS(INDEX(EH_Data,0,EH_ColID),$A30,INDEX(EH_Data,0,EH_ColCat),BonusCat),COUNTIFS(INDEX(EH_Data,0,EH_ColFirst),$B30,INDEX(EH_Data,0,EH_ColSur),$C30,INDEX(EH_Data,0,EH_ColCat),BonusCat))&gt;0,"Yes","No")))</f>
        <v/>
      </c>
      <c r="AG30" s="26" t="str">
        <f aca="false">IF(AO30=0,"",IF(NOT(EH_Ready),"",IF(MatchMode="Employee ID",SUMIFS(INDEX(EH_Data,0,EH_ColBal),INDEX(EH_Data,0,EH_ColID),$A30,INDEX(EH_Data,0,EH_ColCat),BonusCat),SUMIFS(INDEX(EH_Data,0,EH_ColBal),INDEX(EH_Data,0,EH_ColFirst),$B30,INDEX(EH_Data,0,EH_ColSur),$C30,INDEX(EH_Data,0,EH_ColCat),BonusCat))/IF(EHUnit="Hours",HoursPerDay,1)))</f>
        <v/>
      </c>
      <c r="AH30" s="26" t="str">
        <f aca="false">IF(AO30=0,"",IF(NOT(TK_Ready),0,IF(MatchMode="Employee ID",SUMIFS(INDEX(TK_Data,0,TK_ColAmt),INDEX(TK_Data,0,TK_ColID),$A30,INDEX(TK_Data,0,TK_ColCat),BonusCat),SUMIFS(INDEX(TK_Data,0,TK_ColAmt),INDEX(TK_Data,0,TK_ColFirst),$B30,INDEX(TK_Data,0,TK_ColSur),$C30,INDEX(TK_Data,0,TK_ColCat),BonusCat))/IF(TKUnit="Hours",HoursPerDay,1)))</f>
        <v/>
      </c>
      <c r="AI30" s="26" t="str">
        <f aca="false">IF(AO30=0,"",N(AG30)+N(AH30))</f>
        <v/>
      </c>
      <c r="AJ30" s="29" t="str">
        <f aca="false">IF(AO30=0,"",IF(NOT(AND(EH_Ready,EH_ValReady)),"",IF(MatchMode="Employee ID",SUMIFS(INDEX(EH_Data,0,EH_ColVal),INDEX(EH_Data,0,EH_ColID),$A30,INDEX(EH_Data,0,EH_ColCat),BonusCat),SUMIFS(INDEX(EH_Data,0,EH_ColVal),INDEX(EH_Data,0,EH_ColFirst),$B30,INDEX(EH_Data,0,EH_ColSur),$C30,INDEX(EH_Data,0,EH_ColCat),BonusCat))))</f>
        <v/>
      </c>
      <c r="AK30" s="26" t="str">
        <f aca="false">IF(AO30=0,"",IF(OR(NOT(EH_Ready),BF30=1),"",AB30-AI30))</f>
        <v/>
      </c>
      <c r="AL30" s="26" t="str">
        <f aca="false">IF(AK30="","",AK30*HoursPerDay)</f>
        <v/>
      </c>
      <c r="AM30" s="27" t="str">
        <f aca="false">IF(AO30=0,"",IF(BF30=1,IF(N(AG30)&gt;0,"TERMINATED - forfeit "&amp;TEXT(AG30,"0.##")&amp;" days still in EH","Terminated - nothing in EH"),IF(NOT(EH_Ready),"Paste EH export and map headers on Settings",IF(AND(AB30&gt;0,AF30="No"),"SET UP in EH - add "&amp;TEXT(AB30,"0.##")&amp;" day(s) ("&amp;TEXT(AC30,"0.##")&amp;" hrs)",IF(AK30&gt;0,"ADD "&amp;TEXT(AK30,"0.##")&amp;" day(s) ("&amp;TEXT(AL30,"0.##")&amp;" hrs) in EH",IF(AK30&lt;0,"CHECK - EH shows "&amp;TEXT(-AK30,"0.##")&amp;" days more than policy",IF(AB30&gt;0,"OK - up to date",IF(AY30="None","No action - not eligible","No action - not yet qualified"))))))))</f>
        <v/>
      </c>
      <c r="AN30" s="27" t="str">
        <f aca="false">IF(AO30=0,"",TRIM(IF(AND($K30&lt;&gt;"",$H30=""),"Change 2 entered without Change 1. ","")&amp;IF(AND($K30&lt;&gt;"",$H30&lt;&gt;"",$K30&lt;=$H30),"Change 2 date not after Change 1. ","")&amp;IF(AND($N30&lt;&gt;"",$O30&lt;&gt;"",$O30&lt;$N30),"Leave To is before Leave From. ","")&amp;IF(AND($N30&lt;&gt;"",$O30=""),"Leave From entered without Leave To. ","")&amp;IF(AND(IFERROR(VLOOKUP(T30,TypeTable,2,0),"None")="PT",U30=""),"Part-time with no hours entered. ","")&amp;IF(AND($H30&lt;&gt;"",$H30&gt;AsOfDate,AD30&lt;&gt;"",$H30&lt;=AD30),"Status change lands before next accrual - review. ","")&amp;IF(AND($Q30&lt;&gt;"",$Q30&lt;$E30),"Termination before commencement. ","")))</f>
        <v/>
      </c>
      <c r="AO30" s="11" t="n">
        <f aca="false">IF(LEN($A30&amp;$B30&amp;$C30)=0,0,IF($E30="",0,1))</f>
        <v>0</v>
      </c>
      <c r="AP30" s="11" t="str">
        <f aca="false">IF(AO30=0,"",(IF(OR($N30="",$O30=""),0,MAX(0,MIN(X30,$O30)-MAX($N30,$E30)+1))+N($P30)))</f>
        <v/>
      </c>
      <c r="AQ30" s="11" t="str">
        <f aca="false">IF(AO30=0,"",IF(X30&lt;($E30+(IF(OR($N30="",$O30=""),0,MAX(0,MIN(X30,$O30)-MAX($N30,$E30)+1))+N($P30))),-1,12*(YEAR(X30)-YEAR(($E30+(IF(OR($N30="",$O30=""),0,MAX(0,MIN(X30,$O30)-MAX($N30,$E30)+1))+N($P30)))))+MONTH(X30)-MONTH(($E30+(IF(OR($N30="",$O30=""),0,MAX(0,MIN(X30,$O30)-MAX($N30,$E30)+1))+N($P30))))-IF(DAY(X30)&lt;MIN(DAY(($E30+(IF(OR($N30="",$O30=""),0,MAX(0,MIN(X30,$O30)-MAX($N30,$E30)+1))+N($P30)))),DAY(EOMONTH(X30,0))),1,0)))</f>
        <v/>
      </c>
      <c r="AR30" s="28" t="str">
        <f aca="false">IF(AO30=0,"",IF($H30="","",IF($H30&gt;X30,"",$H30)))</f>
        <v/>
      </c>
      <c r="AS30" s="28" t="str">
        <f aca="false">IF(AO30=0,"",IF(AR30="","",IF($K30="","",IF($K30&gt;X30,"",$K30))))</f>
        <v/>
      </c>
      <c r="AT30" s="11" t="str">
        <f aca="false">IF(AO30=0,"",IF(AR30="",AQ30,IF((AR30-1)&lt;($E30+(IF(OR($N30="",$O30=""),0,MAX(0,MIN((AR30-1),$O30)-MAX($N30,$E30)+1))+N($P30))),-1,12*(YEAR((AR30-1))-YEAR(($E30+(IF(OR($N30="",$O30=""),0,MAX(0,MIN((AR30-1),$O30)-MAX($N30,$E30)+1))+N($P30)))))+MONTH((AR30-1))-MONTH(($E30+(IF(OR($N30="",$O30=""),0,MAX(0,MIN((AR30-1),$O30)-MAX($N30,$E30)+1))+N($P30))))-IF(DAY((AR30-1))&lt;MIN(DAY(($E30+(IF(OR($N30="",$O30=""),0,MAX(0,MIN((AR30-1),$O30)-MAX($N30,$E30)+1))+N($P30)))),DAY(EOMONTH((AR30-1),0))),1,0))))</f>
        <v/>
      </c>
      <c r="AU30" s="11" t="str">
        <f aca="false">IF(AO30=0,"",IF(AS30="",AQ30,IF((AS30-1)&lt;($E30+(IF(OR($N30="",$O30=""),0,MAX(0,MIN((AS30-1),$O30)-MAX($N30,$E30)+1))+N($P30))),-1,12*(YEAR((AS30-1))-YEAR(($E30+(IF(OR($N30="",$O30=""),0,MAX(0,MIN((AS30-1),$O30)-MAX($N30,$E30)+1))+N($P30)))))+MONTH((AS30-1))-MONTH(($E30+(IF(OR($N30="",$O30=""),0,MAX(0,MIN((AS30-1),$O30)-MAX($N30,$E30)+1))+N($P30))))-IF(DAY((AS30-1))&lt;MIN(DAY(($E30+(IF(OR($N30="",$O30=""),0,MAX(0,MIN((AS30-1),$O30)-MAX($N30,$E30)+1))+N($P30)))),DAY(EOMONTH((AS30-1),0))),1,0))))</f>
        <v/>
      </c>
      <c r="AV30" s="11" t="str">
        <f aca="false">IF(AO30=0,"",IF($F30="","None",IF(IFERROR(VLOOKUP($F30,TypeTable,2,0),"None")="PT",IF(N($G30)&gt;=PT_MinHours,"PT","None"),IFERROR(VLOOKUP($F30,TypeTable,2,0),"None"))))</f>
        <v/>
      </c>
      <c r="AW30" s="11" t="str">
        <f aca="false">IF(AO30=0,"",IF($I30="","None",IF(IFERROR(VLOOKUP($I30,TypeTable,2,0),"None")="PT",IF(N($J30)&gt;=PT_MinHours,"PT","None"),IFERROR(VLOOKUP($I30,TypeTable,2,0),"None"))))</f>
        <v/>
      </c>
      <c r="AX30" s="11" t="str">
        <f aca="false">IF(AO30=0,"",IF($L30="","None",IF(IFERROR(VLOOKUP($L30,TypeTable,2,0),"None")="PT",IF(N($M30)&gt;=PT_MinHours,"PT","None"),IFERROR(VLOOKUP($L30,TypeTable,2,0),"None"))))</f>
        <v/>
      </c>
      <c r="AY30" s="11" t="str">
        <f aca="false">IF(AO30=0,"",IF(AS30&lt;&gt;"",AX30,IF(AR30&lt;&gt;"",AW30,AV30)))</f>
        <v/>
      </c>
      <c r="AZ30" s="11" t="str">
        <f aca="false">IF(AO30=0,"",IF(AV30="FT",IF(AT30&lt;FT_First,0,IF(AT30&lt;FT_Y5,1+INT((AT30-FT_First)/FT_Int1),FT_PreY5+FT_PerYear*INT((AT30-FT_Y5)/12)+FT_AnnivDays+INT(MOD(AT30-FT_Y5,12)/FT_Int2))),IF(AV30="PT",IF(AT30&lt;PT_First,0,1+INT((AT30-PT_First)/PT_Int)),0)))</f>
        <v/>
      </c>
      <c r="BA30" s="11" t="str">
        <f aca="false">IF(AO30=0,"",IF(AW30="FT",IF(AT30&lt;FT_First,0,IF(AT30&lt;FT_Y5,1+INT((AT30-FT_First)/FT_Int1),FT_PreY5+FT_PerYear*INT((AT30-FT_Y5)/12)+FT_AnnivDays+INT(MOD(AT30-FT_Y5,12)/FT_Int2))),IF(AW30="PT",IF(AT30&lt;PT_First,0,1+INT((AT30-PT_First)/PT_Int)),0)))</f>
        <v/>
      </c>
      <c r="BB30" s="11" t="str">
        <f aca="false">IF(AO30=0,"",IF(AW30="FT",IF(AU30&lt;FT_First,0,IF(AU30&lt;FT_Y5,1+INT((AU30-FT_First)/FT_Int1),FT_PreY5+FT_PerYear*INT((AU30-FT_Y5)/12)+FT_AnnivDays+INT(MOD(AU30-FT_Y5,12)/FT_Int2))),IF(AW30="PT",IF(AU30&lt;PT_First,0,1+INT((AU30-PT_First)/PT_Int)),0)))</f>
        <v/>
      </c>
      <c r="BC30" s="11" t="str">
        <f aca="false">IF(AO30=0,"",IF(AX30="FT",IF(AU30&lt;FT_First,0,IF(AU30&lt;FT_Y5,1+INT((AU30-FT_First)/FT_Int1),FT_PreY5+FT_PerYear*INT((AU30-FT_Y5)/12)+FT_AnnivDays+INT(MOD(AU30-FT_Y5,12)/FT_Int2))),IF(AX30="PT",IF(AU30&lt;PT_First,0,1+INT((AU30-PT_First)/PT_Int)),0)))</f>
        <v/>
      </c>
      <c r="BD30" s="11" t="str">
        <f aca="false">IF(AO30=0,"",IF(AX30="FT",IF(AQ30&lt;FT_First,0,IF(AQ30&lt;FT_Y5,1+INT((AQ30-FT_First)/FT_Int1),FT_PreY5+FT_PerYear*INT((AQ30-FT_Y5)/12)+FT_AnnivDays+INT(MOD(AQ30-FT_Y5,12)/FT_Int2))),IF(AX30="PT",IF(AQ30&lt;PT_First,0,1+INT((AQ30-PT_First)/PT_Int)),0)))</f>
        <v/>
      </c>
      <c r="BE30" s="11" t="str">
        <f aca="false">IF(AO30=0,"",IF(AY30="FT",IF(AQ30&lt;FT_First,FT_First,IF(AQ30&lt;FT_Y5,MIN(FT_Y5,FT_First+FT_Int1*(INT((AQ30-FT_First)/FT_Int1)+1)),FT_Y5+12*INT((AQ30-FT_Y5)/12)+FT_Int2*(INT(MOD(AQ30-FT_Y5,12)/FT_Int2)+1))),IF(AY30="PT",IF(AQ30&lt;PT_First,PT_First,PT_First+PT_Int*(INT((AQ30-PT_First)/PT_Int)+1)),"")))</f>
        <v/>
      </c>
      <c r="BF30" s="11" t="n">
        <f aca="false">IF(AO30=0,0,IF(AND($Q30&lt;&gt;"",$Q30&lt;=AsOfDate),1,0))</f>
        <v>0</v>
      </c>
      <c r="BG30" s="11" t="str">
        <f aca="false">IF(AND(AO30=1,BF30=0,EH_Ready,N(AB30)&gt;0,N(AI30)=0),COUNT($BG$5:BG29)+1,"")</f>
        <v/>
      </c>
      <c r="BH30" s="11" t="str">
        <f aca="false">IF(AND(AO30=1,BF30=0,EH_Ready,N(AB30)&gt;0,N(AI30)&gt;0,N(AK30)&gt;0),COUNT($BH$5:BH29)+1,"")</f>
        <v/>
      </c>
      <c r="BI30" s="11" t="str">
        <f aca="false">IF(AND(AO30=1,OR(LEFT(AM30,3)="ADD",LEFT(AM30,3)="SET",LEFT(AM30,5)="CHECK",LEFT(AM30,10)="TERMINATED")),COUNT($BI$5:BI29)+1,"")</f>
        <v/>
      </c>
      <c r="BJ30" s="11" t="str">
        <f aca="false">IF(AO30=0,"",$A30&amp;" - "&amp;$B30&amp;" "&amp;$C30)</f>
        <v/>
      </c>
    </row>
    <row r="31" customFormat="false" ht="15" hidden="false" customHeight="false" outlineLevel="0" collapsed="false">
      <c r="A31" s="10"/>
      <c r="B31" s="10"/>
      <c r="C31" s="10"/>
      <c r="D31" s="10"/>
      <c r="E31" s="9"/>
      <c r="F31" s="10"/>
      <c r="G31" s="30"/>
      <c r="H31" s="9"/>
      <c r="I31" s="10"/>
      <c r="J31" s="30"/>
      <c r="K31" s="9"/>
      <c r="L31" s="10"/>
      <c r="M31" s="30"/>
      <c r="N31" s="9"/>
      <c r="O31" s="9"/>
      <c r="P31" s="30"/>
      <c r="Q31" s="9"/>
      <c r="R31" s="10"/>
      <c r="S31" s="11" t="str">
        <f aca="false">IF(AO31=0,"",IF($H31="","",$F31&amp;" -&gt; "&amp;$I31&amp;IF($I31="Part-Time"," ("&amp;N($J31)&amp;" hrs)","")&amp;" on "&amp;TEXT($H31,"dd/mm/yyyy")&amp;IF($H31&gt;AsOfDate," (FUTURE)","")&amp;IF($K31="","","; "&amp;$I31&amp;" -&gt; "&amp;$L31&amp;IF($L31="Part-Time"," ("&amp;N($M31)&amp;" hrs)","")&amp;" on "&amp;TEXT($K31,"dd/mm/yyyy")&amp;IF($K31&gt;AsOfDate," (FUTURE)",""))))</f>
        <v/>
      </c>
      <c r="T31" s="11" t="str">
        <f aca="false">IF(AO31=0,"",IF(AS31&lt;&gt;"",$L31,IF(AR31&lt;&gt;"",$I31,$F31)))</f>
        <v/>
      </c>
      <c r="U31" s="26" t="str">
        <f aca="false">IF(AO31=0,"",IF(AS31&lt;&gt;"",$M31,IF(AR31&lt;&gt;"",$J31,$G31)))</f>
        <v/>
      </c>
      <c r="V31" s="11" t="str">
        <f aca="false">IF(AO31=0,"",IF(AY31="FT","Full-Time",IF(AY31="PT","Part-Time","Not eligible")))</f>
        <v/>
      </c>
      <c r="W31" s="27" t="str">
        <f aca="false">IF(AO31=0,"",IF(AR31="",IF(AND($H31&lt;&gt;"",$H31&gt;AsOfDate),"Future change - not yet applied",""),IF(AND(AV31=AY31,OR(AS31="",AW31=AV31)),"Type changed - same accrual pathway",IF(AY31="None","STOPPED accruing from "&amp;TEXT(IF(AS31&lt;&gt;"",AS31,AR31),"dd/mm/yyyy"),IF(AV31="None","STARTED qualifying from "&amp;TEXT(IF(AS31&lt;&gt;"",AS31,AR31),"dd/mm/yyyy"),"Pathway changed "&amp;AV31&amp;" -&gt; "&amp;AW31&amp;IF(AS31&lt;&gt;""," -&gt; "&amp;AX31,"")&amp;" from "&amp;TEXT(IF(AS31&lt;&gt;"",AS31,AR31),"dd/mm/yyyy"))))))</f>
        <v/>
      </c>
      <c r="X31" s="28" t="str">
        <f aca="false">IF(AO31=0,"",IF($Q31="",AsOfDate,MIN(AsOfDate,$Q31)))</f>
        <v/>
      </c>
      <c r="Y31" s="26" t="str">
        <f aca="false">IF(AO31=0,"",MAX(0,AQ31))</f>
        <v/>
      </c>
      <c r="Z31" s="11" t="str">
        <f aca="false">IF(AO31=0,"",IF(AQ31&lt;0,"Not started",INT(AQ31/12)&amp;"y "&amp;MOD(AQ31,12)&amp;"m"))</f>
        <v/>
      </c>
      <c r="AA31" s="27" t="str">
        <f aca="false">IF(AO31=0,"",IF(BF31=1,"Terminated - balance forfeited",IF(AY31="None",IF(AB31&gt;0,"No longer accruing - "&amp;T31,"Not eligible - "&amp;T31&amp;IF(AND(IFERROR(VLOOKUP(T31,TypeTable,2,0),"None")="PT",N(U31)&lt;PT_MinHours)," (under "&amp;PT_MinHours&amp;" hrs)","")),IF(AB31&gt;0,"Yes - accruing","Not yet - qualifies "&amp;TEXT(AD31,"dd/mm/yyyy")))))</f>
        <v/>
      </c>
      <c r="AB31" s="26" t="str">
        <f aca="false">IF(AO31=0,"",AZ31+IF(AR31="",0,BB31-BA31)+IF(AS31="",0,BD31-BC31))</f>
        <v/>
      </c>
      <c r="AC31" s="26" t="str">
        <f aca="false">IF(AO31=0,"",AB31*HoursPerDay)</f>
        <v/>
      </c>
      <c r="AD31" s="28" t="str">
        <f aca="false">IF(AO31=0,"",IF(OR(BF31=1,AY31="None"),"",EDATE($E31+AP31,BE31)))</f>
        <v/>
      </c>
      <c r="AE31" s="26" t="str">
        <f aca="false">IF(AD31="","",IF(AY31="PT",1,IF(BE31&lt;FT_Y5,1,IF(MOD(BE31-FT_Y5,12)=0,FT_AnnivDays,1))))</f>
        <v/>
      </c>
      <c r="AF31" s="27" t="str">
        <f aca="false">IF(AO31=0,"",IF(NOT(EH_Ready),"Map headers",IF(IF(MatchMode="Employee ID",COUNTIFS(INDEX(EH_Data,0,EH_ColID),$A31,INDEX(EH_Data,0,EH_ColCat),BonusCat),COUNTIFS(INDEX(EH_Data,0,EH_ColFirst),$B31,INDEX(EH_Data,0,EH_ColSur),$C31,INDEX(EH_Data,0,EH_ColCat),BonusCat))&gt;0,"Yes","No")))</f>
        <v/>
      </c>
      <c r="AG31" s="26" t="str">
        <f aca="false">IF(AO31=0,"",IF(NOT(EH_Ready),"",IF(MatchMode="Employee ID",SUMIFS(INDEX(EH_Data,0,EH_ColBal),INDEX(EH_Data,0,EH_ColID),$A31,INDEX(EH_Data,0,EH_ColCat),BonusCat),SUMIFS(INDEX(EH_Data,0,EH_ColBal),INDEX(EH_Data,0,EH_ColFirst),$B31,INDEX(EH_Data,0,EH_ColSur),$C31,INDEX(EH_Data,0,EH_ColCat),BonusCat))/IF(EHUnit="Hours",HoursPerDay,1)))</f>
        <v/>
      </c>
      <c r="AH31" s="26" t="str">
        <f aca="false">IF(AO31=0,"",IF(NOT(TK_Ready),0,IF(MatchMode="Employee ID",SUMIFS(INDEX(TK_Data,0,TK_ColAmt),INDEX(TK_Data,0,TK_ColID),$A31,INDEX(TK_Data,0,TK_ColCat),BonusCat),SUMIFS(INDEX(TK_Data,0,TK_ColAmt),INDEX(TK_Data,0,TK_ColFirst),$B31,INDEX(TK_Data,0,TK_ColSur),$C31,INDEX(TK_Data,0,TK_ColCat),BonusCat))/IF(TKUnit="Hours",HoursPerDay,1)))</f>
        <v/>
      </c>
      <c r="AI31" s="26" t="str">
        <f aca="false">IF(AO31=0,"",N(AG31)+N(AH31))</f>
        <v/>
      </c>
      <c r="AJ31" s="29" t="str">
        <f aca="false">IF(AO31=0,"",IF(NOT(AND(EH_Ready,EH_ValReady)),"",IF(MatchMode="Employee ID",SUMIFS(INDEX(EH_Data,0,EH_ColVal),INDEX(EH_Data,0,EH_ColID),$A31,INDEX(EH_Data,0,EH_ColCat),BonusCat),SUMIFS(INDEX(EH_Data,0,EH_ColVal),INDEX(EH_Data,0,EH_ColFirst),$B31,INDEX(EH_Data,0,EH_ColSur),$C31,INDEX(EH_Data,0,EH_ColCat),BonusCat))))</f>
        <v/>
      </c>
      <c r="AK31" s="26" t="str">
        <f aca="false">IF(AO31=0,"",IF(OR(NOT(EH_Ready),BF31=1),"",AB31-AI31))</f>
        <v/>
      </c>
      <c r="AL31" s="26" t="str">
        <f aca="false">IF(AK31="","",AK31*HoursPerDay)</f>
        <v/>
      </c>
      <c r="AM31" s="27" t="str">
        <f aca="false">IF(AO31=0,"",IF(BF31=1,IF(N(AG31)&gt;0,"TERMINATED - forfeit "&amp;TEXT(AG31,"0.##")&amp;" days still in EH","Terminated - nothing in EH"),IF(NOT(EH_Ready),"Paste EH export and map headers on Settings",IF(AND(AB31&gt;0,AF31="No"),"SET UP in EH - add "&amp;TEXT(AB31,"0.##")&amp;" day(s) ("&amp;TEXT(AC31,"0.##")&amp;" hrs)",IF(AK31&gt;0,"ADD "&amp;TEXT(AK31,"0.##")&amp;" day(s) ("&amp;TEXT(AL31,"0.##")&amp;" hrs) in EH",IF(AK31&lt;0,"CHECK - EH shows "&amp;TEXT(-AK31,"0.##")&amp;" days more than policy",IF(AB31&gt;0,"OK - up to date",IF(AY31="None","No action - not eligible","No action - not yet qualified"))))))))</f>
        <v/>
      </c>
      <c r="AN31" s="27" t="str">
        <f aca="false">IF(AO31=0,"",TRIM(IF(AND($K31&lt;&gt;"",$H31=""),"Change 2 entered without Change 1. ","")&amp;IF(AND($K31&lt;&gt;"",$H31&lt;&gt;"",$K31&lt;=$H31),"Change 2 date not after Change 1. ","")&amp;IF(AND($N31&lt;&gt;"",$O31&lt;&gt;"",$O31&lt;$N31),"Leave To is before Leave From. ","")&amp;IF(AND($N31&lt;&gt;"",$O31=""),"Leave From entered without Leave To. ","")&amp;IF(AND(IFERROR(VLOOKUP(T31,TypeTable,2,0),"None")="PT",U31=""),"Part-time with no hours entered. ","")&amp;IF(AND($H31&lt;&gt;"",$H31&gt;AsOfDate,AD31&lt;&gt;"",$H31&lt;=AD31),"Status change lands before next accrual - review. ","")&amp;IF(AND($Q31&lt;&gt;"",$Q31&lt;$E31),"Termination before commencement. ","")))</f>
        <v/>
      </c>
      <c r="AO31" s="11" t="n">
        <f aca="false">IF(LEN($A31&amp;$B31&amp;$C31)=0,0,IF($E31="",0,1))</f>
        <v>0</v>
      </c>
      <c r="AP31" s="11" t="str">
        <f aca="false">IF(AO31=0,"",(IF(OR($N31="",$O31=""),0,MAX(0,MIN(X31,$O31)-MAX($N31,$E31)+1))+N($P31)))</f>
        <v/>
      </c>
      <c r="AQ31" s="11" t="str">
        <f aca="false">IF(AO31=0,"",IF(X31&lt;($E31+(IF(OR($N31="",$O31=""),0,MAX(0,MIN(X31,$O31)-MAX($N31,$E31)+1))+N($P31))),-1,12*(YEAR(X31)-YEAR(($E31+(IF(OR($N31="",$O31=""),0,MAX(0,MIN(X31,$O31)-MAX($N31,$E31)+1))+N($P31)))))+MONTH(X31)-MONTH(($E31+(IF(OR($N31="",$O31=""),0,MAX(0,MIN(X31,$O31)-MAX($N31,$E31)+1))+N($P31))))-IF(DAY(X31)&lt;MIN(DAY(($E31+(IF(OR($N31="",$O31=""),0,MAX(0,MIN(X31,$O31)-MAX($N31,$E31)+1))+N($P31)))),DAY(EOMONTH(X31,0))),1,0)))</f>
        <v/>
      </c>
      <c r="AR31" s="28" t="str">
        <f aca="false">IF(AO31=0,"",IF($H31="","",IF($H31&gt;X31,"",$H31)))</f>
        <v/>
      </c>
      <c r="AS31" s="28" t="str">
        <f aca="false">IF(AO31=0,"",IF(AR31="","",IF($K31="","",IF($K31&gt;X31,"",$K31))))</f>
        <v/>
      </c>
      <c r="AT31" s="11" t="str">
        <f aca="false">IF(AO31=0,"",IF(AR31="",AQ31,IF((AR31-1)&lt;($E31+(IF(OR($N31="",$O31=""),0,MAX(0,MIN((AR31-1),$O31)-MAX($N31,$E31)+1))+N($P31))),-1,12*(YEAR((AR31-1))-YEAR(($E31+(IF(OR($N31="",$O31=""),0,MAX(0,MIN((AR31-1),$O31)-MAX($N31,$E31)+1))+N($P31)))))+MONTH((AR31-1))-MONTH(($E31+(IF(OR($N31="",$O31=""),0,MAX(0,MIN((AR31-1),$O31)-MAX($N31,$E31)+1))+N($P31))))-IF(DAY((AR31-1))&lt;MIN(DAY(($E31+(IF(OR($N31="",$O31=""),0,MAX(0,MIN((AR31-1),$O31)-MAX($N31,$E31)+1))+N($P31)))),DAY(EOMONTH((AR31-1),0))),1,0))))</f>
        <v/>
      </c>
      <c r="AU31" s="11" t="str">
        <f aca="false">IF(AO31=0,"",IF(AS31="",AQ31,IF((AS31-1)&lt;($E31+(IF(OR($N31="",$O31=""),0,MAX(0,MIN((AS31-1),$O31)-MAX($N31,$E31)+1))+N($P31))),-1,12*(YEAR((AS31-1))-YEAR(($E31+(IF(OR($N31="",$O31=""),0,MAX(0,MIN((AS31-1),$O31)-MAX($N31,$E31)+1))+N($P31)))))+MONTH((AS31-1))-MONTH(($E31+(IF(OR($N31="",$O31=""),0,MAX(0,MIN((AS31-1),$O31)-MAX($N31,$E31)+1))+N($P31))))-IF(DAY((AS31-1))&lt;MIN(DAY(($E31+(IF(OR($N31="",$O31=""),0,MAX(0,MIN((AS31-1),$O31)-MAX($N31,$E31)+1))+N($P31)))),DAY(EOMONTH((AS31-1),0))),1,0))))</f>
        <v/>
      </c>
      <c r="AV31" s="11" t="str">
        <f aca="false">IF(AO31=0,"",IF($F31="","None",IF(IFERROR(VLOOKUP($F31,TypeTable,2,0),"None")="PT",IF(N($G31)&gt;=PT_MinHours,"PT","None"),IFERROR(VLOOKUP($F31,TypeTable,2,0),"None"))))</f>
        <v/>
      </c>
      <c r="AW31" s="11" t="str">
        <f aca="false">IF(AO31=0,"",IF($I31="","None",IF(IFERROR(VLOOKUP($I31,TypeTable,2,0),"None")="PT",IF(N($J31)&gt;=PT_MinHours,"PT","None"),IFERROR(VLOOKUP($I31,TypeTable,2,0),"None"))))</f>
        <v/>
      </c>
      <c r="AX31" s="11" t="str">
        <f aca="false">IF(AO31=0,"",IF($L31="","None",IF(IFERROR(VLOOKUP($L31,TypeTable,2,0),"None")="PT",IF(N($M31)&gt;=PT_MinHours,"PT","None"),IFERROR(VLOOKUP($L31,TypeTable,2,0),"None"))))</f>
        <v/>
      </c>
      <c r="AY31" s="11" t="str">
        <f aca="false">IF(AO31=0,"",IF(AS31&lt;&gt;"",AX31,IF(AR31&lt;&gt;"",AW31,AV31)))</f>
        <v/>
      </c>
      <c r="AZ31" s="11" t="str">
        <f aca="false">IF(AO31=0,"",IF(AV31="FT",IF(AT31&lt;FT_First,0,IF(AT31&lt;FT_Y5,1+INT((AT31-FT_First)/FT_Int1),FT_PreY5+FT_PerYear*INT((AT31-FT_Y5)/12)+FT_AnnivDays+INT(MOD(AT31-FT_Y5,12)/FT_Int2))),IF(AV31="PT",IF(AT31&lt;PT_First,0,1+INT((AT31-PT_First)/PT_Int)),0)))</f>
        <v/>
      </c>
      <c r="BA31" s="11" t="str">
        <f aca="false">IF(AO31=0,"",IF(AW31="FT",IF(AT31&lt;FT_First,0,IF(AT31&lt;FT_Y5,1+INT((AT31-FT_First)/FT_Int1),FT_PreY5+FT_PerYear*INT((AT31-FT_Y5)/12)+FT_AnnivDays+INT(MOD(AT31-FT_Y5,12)/FT_Int2))),IF(AW31="PT",IF(AT31&lt;PT_First,0,1+INT((AT31-PT_First)/PT_Int)),0)))</f>
        <v/>
      </c>
      <c r="BB31" s="11" t="str">
        <f aca="false">IF(AO31=0,"",IF(AW31="FT",IF(AU31&lt;FT_First,0,IF(AU31&lt;FT_Y5,1+INT((AU31-FT_First)/FT_Int1),FT_PreY5+FT_PerYear*INT((AU31-FT_Y5)/12)+FT_AnnivDays+INT(MOD(AU31-FT_Y5,12)/FT_Int2))),IF(AW31="PT",IF(AU31&lt;PT_First,0,1+INT((AU31-PT_First)/PT_Int)),0)))</f>
        <v/>
      </c>
      <c r="BC31" s="11" t="str">
        <f aca="false">IF(AO31=0,"",IF(AX31="FT",IF(AU31&lt;FT_First,0,IF(AU31&lt;FT_Y5,1+INT((AU31-FT_First)/FT_Int1),FT_PreY5+FT_PerYear*INT((AU31-FT_Y5)/12)+FT_AnnivDays+INT(MOD(AU31-FT_Y5,12)/FT_Int2))),IF(AX31="PT",IF(AU31&lt;PT_First,0,1+INT((AU31-PT_First)/PT_Int)),0)))</f>
        <v/>
      </c>
      <c r="BD31" s="11" t="str">
        <f aca="false">IF(AO31=0,"",IF(AX31="FT",IF(AQ31&lt;FT_First,0,IF(AQ31&lt;FT_Y5,1+INT((AQ31-FT_First)/FT_Int1),FT_PreY5+FT_PerYear*INT((AQ31-FT_Y5)/12)+FT_AnnivDays+INT(MOD(AQ31-FT_Y5,12)/FT_Int2))),IF(AX31="PT",IF(AQ31&lt;PT_First,0,1+INT((AQ31-PT_First)/PT_Int)),0)))</f>
        <v/>
      </c>
      <c r="BE31" s="11" t="str">
        <f aca="false">IF(AO31=0,"",IF(AY31="FT",IF(AQ31&lt;FT_First,FT_First,IF(AQ31&lt;FT_Y5,MIN(FT_Y5,FT_First+FT_Int1*(INT((AQ31-FT_First)/FT_Int1)+1)),FT_Y5+12*INT((AQ31-FT_Y5)/12)+FT_Int2*(INT(MOD(AQ31-FT_Y5,12)/FT_Int2)+1))),IF(AY31="PT",IF(AQ31&lt;PT_First,PT_First,PT_First+PT_Int*(INT((AQ31-PT_First)/PT_Int)+1)),"")))</f>
        <v/>
      </c>
      <c r="BF31" s="11" t="n">
        <f aca="false">IF(AO31=0,0,IF(AND($Q31&lt;&gt;"",$Q31&lt;=AsOfDate),1,0))</f>
        <v>0</v>
      </c>
      <c r="BG31" s="11" t="str">
        <f aca="false">IF(AND(AO31=1,BF31=0,EH_Ready,N(AB31)&gt;0,N(AI31)=0),COUNT($BG$5:BG30)+1,"")</f>
        <v/>
      </c>
      <c r="BH31" s="11" t="str">
        <f aca="false">IF(AND(AO31=1,BF31=0,EH_Ready,N(AB31)&gt;0,N(AI31)&gt;0,N(AK31)&gt;0),COUNT($BH$5:BH30)+1,"")</f>
        <v/>
      </c>
      <c r="BI31" s="11" t="str">
        <f aca="false">IF(AND(AO31=1,OR(LEFT(AM31,3)="ADD",LEFT(AM31,3)="SET",LEFT(AM31,5)="CHECK",LEFT(AM31,10)="TERMINATED")),COUNT($BI$5:BI30)+1,"")</f>
        <v/>
      </c>
      <c r="BJ31" s="11" t="str">
        <f aca="false">IF(AO31=0,"",$A31&amp;" - "&amp;$B31&amp;" "&amp;$C31)</f>
        <v/>
      </c>
    </row>
    <row r="32" customFormat="false" ht="15" hidden="false" customHeight="false" outlineLevel="0" collapsed="false">
      <c r="A32" s="10"/>
      <c r="B32" s="10"/>
      <c r="C32" s="10"/>
      <c r="D32" s="10"/>
      <c r="E32" s="9"/>
      <c r="F32" s="10"/>
      <c r="G32" s="30"/>
      <c r="H32" s="9"/>
      <c r="I32" s="10"/>
      <c r="J32" s="30"/>
      <c r="K32" s="9"/>
      <c r="L32" s="10"/>
      <c r="M32" s="30"/>
      <c r="N32" s="9"/>
      <c r="O32" s="9"/>
      <c r="P32" s="30"/>
      <c r="Q32" s="9"/>
      <c r="R32" s="10"/>
      <c r="S32" s="11" t="str">
        <f aca="false">IF(AO32=0,"",IF($H32="","",$F32&amp;" -&gt; "&amp;$I32&amp;IF($I32="Part-Time"," ("&amp;N($J32)&amp;" hrs)","")&amp;" on "&amp;TEXT($H32,"dd/mm/yyyy")&amp;IF($H32&gt;AsOfDate," (FUTURE)","")&amp;IF($K32="","","; "&amp;$I32&amp;" -&gt; "&amp;$L32&amp;IF($L32="Part-Time"," ("&amp;N($M32)&amp;" hrs)","")&amp;" on "&amp;TEXT($K32,"dd/mm/yyyy")&amp;IF($K32&gt;AsOfDate," (FUTURE)",""))))</f>
        <v/>
      </c>
      <c r="T32" s="11" t="str">
        <f aca="false">IF(AO32=0,"",IF(AS32&lt;&gt;"",$L32,IF(AR32&lt;&gt;"",$I32,$F32)))</f>
        <v/>
      </c>
      <c r="U32" s="26" t="str">
        <f aca="false">IF(AO32=0,"",IF(AS32&lt;&gt;"",$M32,IF(AR32&lt;&gt;"",$J32,$G32)))</f>
        <v/>
      </c>
      <c r="V32" s="11" t="str">
        <f aca="false">IF(AO32=0,"",IF(AY32="FT","Full-Time",IF(AY32="PT","Part-Time","Not eligible")))</f>
        <v/>
      </c>
      <c r="W32" s="27" t="str">
        <f aca="false">IF(AO32=0,"",IF(AR32="",IF(AND($H32&lt;&gt;"",$H32&gt;AsOfDate),"Future change - not yet applied",""),IF(AND(AV32=AY32,OR(AS32="",AW32=AV32)),"Type changed - same accrual pathway",IF(AY32="None","STOPPED accruing from "&amp;TEXT(IF(AS32&lt;&gt;"",AS32,AR32),"dd/mm/yyyy"),IF(AV32="None","STARTED qualifying from "&amp;TEXT(IF(AS32&lt;&gt;"",AS32,AR32),"dd/mm/yyyy"),"Pathway changed "&amp;AV32&amp;" -&gt; "&amp;AW32&amp;IF(AS32&lt;&gt;""," -&gt; "&amp;AX32,"")&amp;" from "&amp;TEXT(IF(AS32&lt;&gt;"",AS32,AR32),"dd/mm/yyyy"))))))</f>
        <v/>
      </c>
      <c r="X32" s="28" t="str">
        <f aca="false">IF(AO32=0,"",IF($Q32="",AsOfDate,MIN(AsOfDate,$Q32)))</f>
        <v/>
      </c>
      <c r="Y32" s="26" t="str">
        <f aca="false">IF(AO32=0,"",MAX(0,AQ32))</f>
        <v/>
      </c>
      <c r="Z32" s="11" t="str">
        <f aca="false">IF(AO32=0,"",IF(AQ32&lt;0,"Not started",INT(AQ32/12)&amp;"y "&amp;MOD(AQ32,12)&amp;"m"))</f>
        <v/>
      </c>
      <c r="AA32" s="27" t="str">
        <f aca="false">IF(AO32=0,"",IF(BF32=1,"Terminated - balance forfeited",IF(AY32="None",IF(AB32&gt;0,"No longer accruing - "&amp;T32,"Not eligible - "&amp;T32&amp;IF(AND(IFERROR(VLOOKUP(T32,TypeTable,2,0),"None")="PT",N(U32)&lt;PT_MinHours)," (under "&amp;PT_MinHours&amp;" hrs)","")),IF(AB32&gt;0,"Yes - accruing","Not yet - qualifies "&amp;TEXT(AD32,"dd/mm/yyyy")))))</f>
        <v/>
      </c>
      <c r="AB32" s="26" t="str">
        <f aca="false">IF(AO32=0,"",AZ32+IF(AR32="",0,BB32-BA32)+IF(AS32="",0,BD32-BC32))</f>
        <v/>
      </c>
      <c r="AC32" s="26" t="str">
        <f aca="false">IF(AO32=0,"",AB32*HoursPerDay)</f>
        <v/>
      </c>
      <c r="AD32" s="28" t="str">
        <f aca="false">IF(AO32=0,"",IF(OR(BF32=1,AY32="None"),"",EDATE($E32+AP32,BE32)))</f>
        <v/>
      </c>
      <c r="AE32" s="26" t="str">
        <f aca="false">IF(AD32="","",IF(AY32="PT",1,IF(BE32&lt;FT_Y5,1,IF(MOD(BE32-FT_Y5,12)=0,FT_AnnivDays,1))))</f>
        <v/>
      </c>
      <c r="AF32" s="27" t="str">
        <f aca="false">IF(AO32=0,"",IF(NOT(EH_Ready),"Map headers",IF(IF(MatchMode="Employee ID",COUNTIFS(INDEX(EH_Data,0,EH_ColID),$A32,INDEX(EH_Data,0,EH_ColCat),BonusCat),COUNTIFS(INDEX(EH_Data,0,EH_ColFirst),$B32,INDEX(EH_Data,0,EH_ColSur),$C32,INDEX(EH_Data,0,EH_ColCat),BonusCat))&gt;0,"Yes","No")))</f>
        <v/>
      </c>
      <c r="AG32" s="26" t="str">
        <f aca="false">IF(AO32=0,"",IF(NOT(EH_Ready),"",IF(MatchMode="Employee ID",SUMIFS(INDEX(EH_Data,0,EH_ColBal),INDEX(EH_Data,0,EH_ColID),$A32,INDEX(EH_Data,0,EH_ColCat),BonusCat),SUMIFS(INDEX(EH_Data,0,EH_ColBal),INDEX(EH_Data,0,EH_ColFirst),$B32,INDEX(EH_Data,0,EH_ColSur),$C32,INDEX(EH_Data,0,EH_ColCat),BonusCat))/IF(EHUnit="Hours",HoursPerDay,1)))</f>
        <v/>
      </c>
      <c r="AH32" s="26" t="str">
        <f aca="false">IF(AO32=0,"",IF(NOT(TK_Ready),0,IF(MatchMode="Employee ID",SUMIFS(INDEX(TK_Data,0,TK_ColAmt),INDEX(TK_Data,0,TK_ColID),$A32,INDEX(TK_Data,0,TK_ColCat),BonusCat),SUMIFS(INDEX(TK_Data,0,TK_ColAmt),INDEX(TK_Data,0,TK_ColFirst),$B32,INDEX(TK_Data,0,TK_ColSur),$C32,INDEX(TK_Data,0,TK_ColCat),BonusCat))/IF(TKUnit="Hours",HoursPerDay,1)))</f>
        <v/>
      </c>
      <c r="AI32" s="26" t="str">
        <f aca="false">IF(AO32=0,"",N(AG32)+N(AH32))</f>
        <v/>
      </c>
      <c r="AJ32" s="29" t="str">
        <f aca="false">IF(AO32=0,"",IF(NOT(AND(EH_Ready,EH_ValReady)),"",IF(MatchMode="Employee ID",SUMIFS(INDEX(EH_Data,0,EH_ColVal),INDEX(EH_Data,0,EH_ColID),$A32,INDEX(EH_Data,0,EH_ColCat),BonusCat),SUMIFS(INDEX(EH_Data,0,EH_ColVal),INDEX(EH_Data,0,EH_ColFirst),$B32,INDEX(EH_Data,0,EH_ColSur),$C32,INDEX(EH_Data,0,EH_ColCat),BonusCat))))</f>
        <v/>
      </c>
      <c r="AK32" s="26" t="str">
        <f aca="false">IF(AO32=0,"",IF(OR(NOT(EH_Ready),BF32=1),"",AB32-AI32))</f>
        <v/>
      </c>
      <c r="AL32" s="26" t="str">
        <f aca="false">IF(AK32="","",AK32*HoursPerDay)</f>
        <v/>
      </c>
      <c r="AM32" s="27" t="str">
        <f aca="false">IF(AO32=0,"",IF(BF32=1,IF(N(AG32)&gt;0,"TERMINATED - forfeit "&amp;TEXT(AG32,"0.##")&amp;" days still in EH","Terminated - nothing in EH"),IF(NOT(EH_Ready),"Paste EH export and map headers on Settings",IF(AND(AB32&gt;0,AF32="No"),"SET UP in EH - add "&amp;TEXT(AB32,"0.##")&amp;" day(s) ("&amp;TEXT(AC32,"0.##")&amp;" hrs)",IF(AK32&gt;0,"ADD "&amp;TEXT(AK32,"0.##")&amp;" day(s) ("&amp;TEXT(AL32,"0.##")&amp;" hrs) in EH",IF(AK32&lt;0,"CHECK - EH shows "&amp;TEXT(-AK32,"0.##")&amp;" days more than policy",IF(AB32&gt;0,"OK - up to date",IF(AY32="None","No action - not eligible","No action - not yet qualified"))))))))</f>
        <v/>
      </c>
      <c r="AN32" s="27" t="str">
        <f aca="false">IF(AO32=0,"",TRIM(IF(AND($K32&lt;&gt;"",$H32=""),"Change 2 entered without Change 1. ","")&amp;IF(AND($K32&lt;&gt;"",$H32&lt;&gt;"",$K32&lt;=$H32),"Change 2 date not after Change 1. ","")&amp;IF(AND($N32&lt;&gt;"",$O32&lt;&gt;"",$O32&lt;$N32),"Leave To is before Leave From. ","")&amp;IF(AND($N32&lt;&gt;"",$O32=""),"Leave From entered without Leave To. ","")&amp;IF(AND(IFERROR(VLOOKUP(T32,TypeTable,2,0),"None")="PT",U32=""),"Part-time with no hours entered. ","")&amp;IF(AND($H32&lt;&gt;"",$H32&gt;AsOfDate,AD32&lt;&gt;"",$H32&lt;=AD32),"Status change lands before next accrual - review. ","")&amp;IF(AND($Q32&lt;&gt;"",$Q32&lt;$E32),"Termination before commencement. ","")))</f>
        <v/>
      </c>
      <c r="AO32" s="11" t="n">
        <f aca="false">IF(LEN($A32&amp;$B32&amp;$C32)=0,0,IF($E32="",0,1))</f>
        <v>0</v>
      </c>
      <c r="AP32" s="11" t="str">
        <f aca="false">IF(AO32=0,"",(IF(OR($N32="",$O32=""),0,MAX(0,MIN(X32,$O32)-MAX($N32,$E32)+1))+N($P32)))</f>
        <v/>
      </c>
      <c r="AQ32" s="11" t="str">
        <f aca="false">IF(AO32=0,"",IF(X32&lt;($E32+(IF(OR($N32="",$O32=""),0,MAX(0,MIN(X32,$O32)-MAX($N32,$E32)+1))+N($P32))),-1,12*(YEAR(X32)-YEAR(($E32+(IF(OR($N32="",$O32=""),0,MAX(0,MIN(X32,$O32)-MAX($N32,$E32)+1))+N($P32)))))+MONTH(X32)-MONTH(($E32+(IF(OR($N32="",$O32=""),0,MAX(0,MIN(X32,$O32)-MAX($N32,$E32)+1))+N($P32))))-IF(DAY(X32)&lt;MIN(DAY(($E32+(IF(OR($N32="",$O32=""),0,MAX(0,MIN(X32,$O32)-MAX($N32,$E32)+1))+N($P32)))),DAY(EOMONTH(X32,0))),1,0)))</f>
        <v/>
      </c>
      <c r="AR32" s="28" t="str">
        <f aca="false">IF(AO32=0,"",IF($H32="","",IF($H32&gt;X32,"",$H32)))</f>
        <v/>
      </c>
      <c r="AS32" s="28" t="str">
        <f aca="false">IF(AO32=0,"",IF(AR32="","",IF($K32="","",IF($K32&gt;X32,"",$K32))))</f>
        <v/>
      </c>
      <c r="AT32" s="11" t="str">
        <f aca="false">IF(AO32=0,"",IF(AR32="",AQ32,IF((AR32-1)&lt;($E32+(IF(OR($N32="",$O32=""),0,MAX(0,MIN((AR32-1),$O32)-MAX($N32,$E32)+1))+N($P32))),-1,12*(YEAR((AR32-1))-YEAR(($E32+(IF(OR($N32="",$O32=""),0,MAX(0,MIN((AR32-1),$O32)-MAX($N32,$E32)+1))+N($P32)))))+MONTH((AR32-1))-MONTH(($E32+(IF(OR($N32="",$O32=""),0,MAX(0,MIN((AR32-1),$O32)-MAX($N32,$E32)+1))+N($P32))))-IF(DAY((AR32-1))&lt;MIN(DAY(($E32+(IF(OR($N32="",$O32=""),0,MAX(0,MIN((AR32-1),$O32)-MAX($N32,$E32)+1))+N($P32)))),DAY(EOMONTH((AR32-1),0))),1,0))))</f>
        <v/>
      </c>
      <c r="AU32" s="11" t="str">
        <f aca="false">IF(AO32=0,"",IF(AS32="",AQ32,IF((AS32-1)&lt;($E32+(IF(OR($N32="",$O32=""),0,MAX(0,MIN((AS32-1),$O32)-MAX($N32,$E32)+1))+N($P32))),-1,12*(YEAR((AS32-1))-YEAR(($E32+(IF(OR($N32="",$O32=""),0,MAX(0,MIN((AS32-1),$O32)-MAX($N32,$E32)+1))+N($P32)))))+MONTH((AS32-1))-MONTH(($E32+(IF(OR($N32="",$O32=""),0,MAX(0,MIN((AS32-1),$O32)-MAX($N32,$E32)+1))+N($P32))))-IF(DAY((AS32-1))&lt;MIN(DAY(($E32+(IF(OR($N32="",$O32=""),0,MAX(0,MIN((AS32-1),$O32)-MAX($N32,$E32)+1))+N($P32)))),DAY(EOMONTH((AS32-1),0))),1,0))))</f>
        <v/>
      </c>
      <c r="AV32" s="11" t="str">
        <f aca="false">IF(AO32=0,"",IF($F32="","None",IF(IFERROR(VLOOKUP($F32,TypeTable,2,0),"None")="PT",IF(N($G32)&gt;=PT_MinHours,"PT","None"),IFERROR(VLOOKUP($F32,TypeTable,2,0),"None"))))</f>
        <v/>
      </c>
      <c r="AW32" s="11" t="str">
        <f aca="false">IF(AO32=0,"",IF($I32="","None",IF(IFERROR(VLOOKUP($I32,TypeTable,2,0),"None")="PT",IF(N($J32)&gt;=PT_MinHours,"PT","None"),IFERROR(VLOOKUP($I32,TypeTable,2,0),"None"))))</f>
        <v/>
      </c>
      <c r="AX32" s="11" t="str">
        <f aca="false">IF(AO32=0,"",IF($L32="","None",IF(IFERROR(VLOOKUP($L32,TypeTable,2,0),"None")="PT",IF(N($M32)&gt;=PT_MinHours,"PT","None"),IFERROR(VLOOKUP($L32,TypeTable,2,0),"None"))))</f>
        <v/>
      </c>
      <c r="AY32" s="11" t="str">
        <f aca="false">IF(AO32=0,"",IF(AS32&lt;&gt;"",AX32,IF(AR32&lt;&gt;"",AW32,AV32)))</f>
        <v/>
      </c>
      <c r="AZ32" s="11" t="str">
        <f aca="false">IF(AO32=0,"",IF(AV32="FT",IF(AT32&lt;FT_First,0,IF(AT32&lt;FT_Y5,1+INT((AT32-FT_First)/FT_Int1),FT_PreY5+FT_PerYear*INT((AT32-FT_Y5)/12)+FT_AnnivDays+INT(MOD(AT32-FT_Y5,12)/FT_Int2))),IF(AV32="PT",IF(AT32&lt;PT_First,0,1+INT((AT32-PT_First)/PT_Int)),0)))</f>
        <v/>
      </c>
      <c r="BA32" s="11" t="str">
        <f aca="false">IF(AO32=0,"",IF(AW32="FT",IF(AT32&lt;FT_First,0,IF(AT32&lt;FT_Y5,1+INT((AT32-FT_First)/FT_Int1),FT_PreY5+FT_PerYear*INT((AT32-FT_Y5)/12)+FT_AnnivDays+INT(MOD(AT32-FT_Y5,12)/FT_Int2))),IF(AW32="PT",IF(AT32&lt;PT_First,0,1+INT((AT32-PT_First)/PT_Int)),0)))</f>
        <v/>
      </c>
      <c r="BB32" s="11" t="str">
        <f aca="false">IF(AO32=0,"",IF(AW32="FT",IF(AU32&lt;FT_First,0,IF(AU32&lt;FT_Y5,1+INT((AU32-FT_First)/FT_Int1),FT_PreY5+FT_PerYear*INT((AU32-FT_Y5)/12)+FT_AnnivDays+INT(MOD(AU32-FT_Y5,12)/FT_Int2))),IF(AW32="PT",IF(AU32&lt;PT_First,0,1+INT((AU32-PT_First)/PT_Int)),0)))</f>
        <v/>
      </c>
      <c r="BC32" s="11" t="str">
        <f aca="false">IF(AO32=0,"",IF(AX32="FT",IF(AU32&lt;FT_First,0,IF(AU32&lt;FT_Y5,1+INT((AU32-FT_First)/FT_Int1),FT_PreY5+FT_PerYear*INT((AU32-FT_Y5)/12)+FT_AnnivDays+INT(MOD(AU32-FT_Y5,12)/FT_Int2))),IF(AX32="PT",IF(AU32&lt;PT_First,0,1+INT((AU32-PT_First)/PT_Int)),0)))</f>
        <v/>
      </c>
      <c r="BD32" s="11" t="str">
        <f aca="false">IF(AO32=0,"",IF(AX32="FT",IF(AQ32&lt;FT_First,0,IF(AQ32&lt;FT_Y5,1+INT((AQ32-FT_First)/FT_Int1),FT_PreY5+FT_PerYear*INT((AQ32-FT_Y5)/12)+FT_AnnivDays+INT(MOD(AQ32-FT_Y5,12)/FT_Int2))),IF(AX32="PT",IF(AQ32&lt;PT_First,0,1+INT((AQ32-PT_First)/PT_Int)),0)))</f>
        <v/>
      </c>
      <c r="BE32" s="11" t="str">
        <f aca="false">IF(AO32=0,"",IF(AY32="FT",IF(AQ32&lt;FT_First,FT_First,IF(AQ32&lt;FT_Y5,MIN(FT_Y5,FT_First+FT_Int1*(INT((AQ32-FT_First)/FT_Int1)+1)),FT_Y5+12*INT((AQ32-FT_Y5)/12)+FT_Int2*(INT(MOD(AQ32-FT_Y5,12)/FT_Int2)+1))),IF(AY32="PT",IF(AQ32&lt;PT_First,PT_First,PT_First+PT_Int*(INT((AQ32-PT_First)/PT_Int)+1)),"")))</f>
        <v/>
      </c>
      <c r="BF32" s="11" t="n">
        <f aca="false">IF(AO32=0,0,IF(AND($Q32&lt;&gt;"",$Q32&lt;=AsOfDate),1,0))</f>
        <v>0</v>
      </c>
      <c r="BG32" s="11" t="str">
        <f aca="false">IF(AND(AO32=1,BF32=0,EH_Ready,N(AB32)&gt;0,N(AI32)=0),COUNT($BG$5:BG31)+1,"")</f>
        <v/>
      </c>
      <c r="BH32" s="11" t="str">
        <f aca="false">IF(AND(AO32=1,BF32=0,EH_Ready,N(AB32)&gt;0,N(AI32)&gt;0,N(AK32)&gt;0),COUNT($BH$5:BH31)+1,"")</f>
        <v/>
      </c>
      <c r="BI32" s="11" t="str">
        <f aca="false">IF(AND(AO32=1,OR(LEFT(AM32,3)="ADD",LEFT(AM32,3)="SET",LEFT(AM32,5)="CHECK",LEFT(AM32,10)="TERMINATED")),COUNT($BI$5:BI31)+1,"")</f>
        <v/>
      </c>
      <c r="BJ32" s="11" t="str">
        <f aca="false">IF(AO32=0,"",$A32&amp;" - "&amp;$B32&amp;" "&amp;$C32)</f>
        <v/>
      </c>
    </row>
    <row r="33" customFormat="false" ht="15" hidden="false" customHeight="false" outlineLevel="0" collapsed="false">
      <c r="A33" s="10"/>
      <c r="B33" s="10"/>
      <c r="C33" s="10"/>
      <c r="D33" s="10"/>
      <c r="E33" s="9"/>
      <c r="F33" s="10"/>
      <c r="G33" s="30"/>
      <c r="H33" s="9"/>
      <c r="I33" s="10"/>
      <c r="J33" s="30"/>
      <c r="K33" s="9"/>
      <c r="L33" s="10"/>
      <c r="M33" s="30"/>
      <c r="N33" s="9"/>
      <c r="O33" s="9"/>
      <c r="P33" s="30"/>
      <c r="Q33" s="9"/>
      <c r="R33" s="10"/>
      <c r="S33" s="11" t="str">
        <f aca="false">IF(AO33=0,"",IF($H33="","",$F33&amp;" -&gt; "&amp;$I33&amp;IF($I33="Part-Time"," ("&amp;N($J33)&amp;" hrs)","")&amp;" on "&amp;TEXT($H33,"dd/mm/yyyy")&amp;IF($H33&gt;AsOfDate," (FUTURE)","")&amp;IF($K33="","","; "&amp;$I33&amp;" -&gt; "&amp;$L33&amp;IF($L33="Part-Time"," ("&amp;N($M33)&amp;" hrs)","")&amp;" on "&amp;TEXT($K33,"dd/mm/yyyy")&amp;IF($K33&gt;AsOfDate," (FUTURE)",""))))</f>
        <v/>
      </c>
      <c r="T33" s="11" t="str">
        <f aca="false">IF(AO33=0,"",IF(AS33&lt;&gt;"",$L33,IF(AR33&lt;&gt;"",$I33,$F33)))</f>
        <v/>
      </c>
      <c r="U33" s="26" t="str">
        <f aca="false">IF(AO33=0,"",IF(AS33&lt;&gt;"",$M33,IF(AR33&lt;&gt;"",$J33,$G33)))</f>
        <v/>
      </c>
      <c r="V33" s="11" t="str">
        <f aca="false">IF(AO33=0,"",IF(AY33="FT","Full-Time",IF(AY33="PT","Part-Time","Not eligible")))</f>
        <v/>
      </c>
      <c r="W33" s="27" t="str">
        <f aca="false">IF(AO33=0,"",IF(AR33="",IF(AND($H33&lt;&gt;"",$H33&gt;AsOfDate),"Future change - not yet applied",""),IF(AND(AV33=AY33,OR(AS33="",AW33=AV33)),"Type changed - same accrual pathway",IF(AY33="None","STOPPED accruing from "&amp;TEXT(IF(AS33&lt;&gt;"",AS33,AR33),"dd/mm/yyyy"),IF(AV33="None","STARTED qualifying from "&amp;TEXT(IF(AS33&lt;&gt;"",AS33,AR33),"dd/mm/yyyy"),"Pathway changed "&amp;AV33&amp;" -&gt; "&amp;AW33&amp;IF(AS33&lt;&gt;""," -&gt; "&amp;AX33,"")&amp;" from "&amp;TEXT(IF(AS33&lt;&gt;"",AS33,AR33),"dd/mm/yyyy"))))))</f>
        <v/>
      </c>
      <c r="X33" s="28" t="str">
        <f aca="false">IF(AO33=0,"",IF($Q33="",AsOfDate,MIN(AsOfDate,$Q33)))</f>
        <v/>
      </c>
      <c r="Y33" s="26" t="str">
        <f aca="false">IF(AO33=0,"",MAX(0,AQ33))</f>
        <v/>
      </c>
      <c r="Z33" s="11" t="str">
        <f aca="false">IF(AO33=0,"",IF(AQ33&lt;0,"Not started",INT(AQ33/12)&amp;"y "&amp;MOD(AQ33,12)&amp;"m"))</f>
        <v/>
      </c>
      <c r="AA33" s="27" t="str">
        <f aca="false">IF(AO33=0,"",IF(BF33=1,"Terminated - balance forfeited",IF(AY33="None",IF(AB33&gt;0,"No longer accruing - "&amp;T33,"Not eligible - "&amp;T33&amp;IF(AND(IFERROR(VLOOKUP(T33,TypeTable,2,0),"None")="PT",N(U33)&lt;PT_MinHours)," (under "&amp;PT_MinHours&amp;" hrs)","")),IF(AB33&gt;0,"Yes - accruing","Not yet - qualifies "&amp;TEXT(AD33,"dd/mm/yyyy")))))</f>
        <v/>
      </c>
      <c r="AB33" s="26" t="str">
        <f aca="false">IF(AO33=0,"",AZ33+IF(AR33="",0,BB33-BA33)+IF(AS33="",0,BD33-BC33))</f>
        <v/>
      </c>
      <c r="AC33" s="26" t="str">
        <f aca="false">IF(AO33=0,"",AB33*HoursPerDay)</f>
        <v/>
      </c>
      <c r="AD33" s="28" t="str">
        <f aca="false">IF(AO33=0,"",IF(OR(BF33=1,AY33="None"),"",EDATE($E33+AP33,BE33)))</f>
        <v/>
      </c>
      <c r="AE33" s="26" t="str">
        <f aca="false">IF(AD33="","",IF(AY33="PT",1,IF(BE33&lt;FT_Y5,1,IF(MOD(BE33-FT_Y5,12)=0,FT_AnnivDays,1))))</f>
        <v/>
      </c>
      <c r="AF33" s="27" t="str">
        <f aca="false">IF(AO33=0,"",IF(NOT(EH_Ready),"Map headers",IF(IF(MatchMode="Employee ID",COUNTIFS(INDEX(EH_Data,0,EH_ColID),$A33,INDEX(EH_Data,0,EH_ColCat),BonusCat),COUNTIFS(INDEX(EH_Data,0,EH_ColFirst),$B33,INDEX(EH_Data,0,EH_ColSur),$C33,INDEX(EH_Data,0,EH_ColCat),BonusCat))&gt;0,"Yes","No")))</f>
        <v/>
      </c>
      <c r="AG33" s="26" t="str">
        <f aca="false">IF(AO33=0,"",IF(NOT(EH_Ready),"",IF(MatchMode="Employee ID",SUMIFS(INDEX(EH_Data,0,EH_ColBal),INDEX(EH_Data,0,EH_ColID),$A33,INDEX(EH_Data,0,EH_ColCat),BonusCat),SUMIFS(INDEX(EH_Data,0,EH_ColBal),INDEX(EH_Data,0,EH_ColFirst),$B33,INDEX(EH_Data,0,EH_ColSur),$C33,INDEX(EH_Data,0,EH_ColCat),BonusCat))/IF(EHUnit="Hours",HoursPerDay,1)))</f>
        <v/>
      </c>
      <c r="AH33" s="26" t="str">
        <f aca="false">IF(AO33=0,"",IF(NOT(TK_Ready),0,IF(MatchMode="Employee ID",SUMIFS(INDEX(TK_Data,0,TK_ColAmt),INDEX(TK_Data,0,TK_ColID),$A33,INDEX(TK_Data,0,TK_ColCat),BonusCat),SUMIFS(INDEX(TK_Data,0,TK_ColAmt),INDEX(TK_Data,0,TK_ColFirst),$B33,INDEX(TK_Data,0,TK_ColSur),$C33,INDEX(TK_Data,0,TK_ColCat),BonusCat))/IF(TKUnit="Hours",HoursPerDay,1)))</f>
        <v/>
      </c>
      <c r="AI33" s="26" t="str">
        <f aca="false">IF(AO33=0,"",N(AG33)+N(AH33))</f>
        <v/>
      </c>
      <c r="AJ33" s="29" t="str">
        <f aca="false">IF(AO33=0,"",IF(NOT(AND(EH_Ready,EH_ValReady)),"",IF(MatchMode="Employee ID",SUMIFS(INDEX(EH_Data,0,EH_ColVal),INDEX(EH_Data,0,EH_ColID),$A33,INDEX(EH_Data,0,EH_ColCat),BonusCat),SUMIFS(INDEX(EH_Data,0,EH_ColVal),INDEX(EH_Data,0,EH_ColFirst),$B33,INDEX(EH_Data,0,EH_ColSur),$C33,INDEX(EH_Data,0,EH_ColCat),BonusCat))))</f>
        <v/>
      </c>
      <c r="AK33" s="26" t="str">
        <f aca="false">IF(AO33=0,"",IF(OR(NOT(EH_Ready),BF33=1),"",AB33-AI33))</f>
        <v/>
      </c>
      <c r="AL33" s="26" t="str">
        <f aca="false">IF(AK33="","",AK33*HoursPerDay)</f>
        <v/>
      </c>
      <c r="AM33" s="27" t="str">
        <f aca="false">IF(AO33=0,"",IF(BF33=1,IF(N(AG33)&gt;0,"TERMINATED - forfeit "&amp;TEXT(AG33,"0.##")&amp;" days still in EH","Terminated - nothing in EH"),IF(NOT(EH_Ready),"Paste EH export and map headers on Settings",IF(AND(AB33&gt;0,AF33="No"),"SET UP in EH - add "&amp;TEXT(AB33,"0.##")&amp;" day(s) ("&amp;TEXT(AC33,"0.##")&amp;" hrs)",IF(AK33&gt;0,"ADD "&amp;TEXT(AK33,"0.##")&amp;" day(s) ("&amp;TEXT(AL33,"0.##")&amp;" hrs) in EH",IF(AK33&lt;0,"CHECK - EH shows "&amp;TEXT(-AK33,"0.##")&amp;" days more than policy",IF(AB33&gt;0,"OK - up to date",IF(AY33="None","No action - not eligible","No action - not yet qualified"))))))))</f>
        <v/>
      </c>
      <c r="AN33" s="27" t="str">
        <f aca="false">IF(AO33=0,"",TRIM(IF(AND($K33&lt;&gt;"",$H33=""),"Change 2 entered without Change 1. ","")&amp;IF(AND($K33&lt;&gt;"",$H33&lt;&gt;"",$K33&lt;=$H33),"Change 2 date not after Change 1. ","")&amp;IF(AND($N33&lt;&gt;"",$O33&lt;&gt;"",$O33&lt;$N33),"Leave To is before Leave From. ","")&amp;IF(AND($N33&lt;&gt;"",$O33=""),"Leave From entered without Leave To. ","")&amp;IF(AND(IFERROR(VLOOKUP(T33,TypeTable,2,0),"None")="PT",U33=""),"Part-time with no hours entered. ","")&amp;IF(AND($H33&lt;&gt;"",$H33&gt;AsOfDate,AD33&lt;&gt;"",$H33&lt;=AD33),"Status change lands before next accrual - review. ","")&amp;IF(AND($Q33&lt;&gt;"",$Q33&lt;$E33),"Termination before commencement. ","")))</f>
        <v/>
      </c>
      <c r="AO33" s="11" t="n">
        <f aca="false">IF(LEN($A33&amp;$B33&amp;$C33)=0,0,IF($E33="",0,1))</f>
        <v>0</v>
      </c>
      <c r="AP33" s="11" t="str">
        <f aca="false">IF(AO33=0,"",(IF(OR($N33="",$O33=""),0,MAX(0,MIN(X33,$O33)-MAX($N33,$E33)+1))+N($P33)))</f>
        <v/>
      </c>
      <c r="AQ33" s="11" t="str">
        <f aca="false">IF(AO33=0,"",IF(X33&lt;($E33+(IF(OR($N33="",$O33=""),0,MAX(0,MIN(X33,$O33)-MAX($N33,$E33)+1))+N($P33))),-1,12*(YEAR(X33)-YEAR(($E33+(IF(OR($N33="",$O33=""),0,MAX(0,MIN(X33,$O33)-MAX($N33,$E33)+1))+N($P33)))))+MONTH(X33)-MONTH(($E33+(IF(OR($N33="",$O33=""),0,MAX(0,MIN(X33,$O33)-MAX($N33,$E33)+1))+N($P33))))-IF(DAY(X33)&lt;MIN(DAY(($E33+(IF(OR($N33="",$O33=""),0,MAX(0,MIN(X33,$O33)-MAX($N33,$E33)+1))+N($P33)))),DAY(EOMONTH(X33,0))),1,0)))</f>
        <v/>
      </c>
      <c r="AR33" s="28" t="str">
        <f aca="false">IF(AO33=0,"",IF($H33="","",IF($H33&gt;X33,"",$H33)))</f>
        <v/>
      </c>
      <c r="AS33" s="28" t="str">
        <f aca="false">IF(AO33=0,"",IF(AR33="","",IF($K33="","",IF($K33&gt;X33,"",$K33))))</f>
        <v/>
      </c>
      <c r="AT33" s="11" t="str">
        <f aca="false">IF(AO33=0,"",IF(AR33="",AQ33,IF((AR33-1)&lt;($E33+(IF(OR($N33="",$O33=""),0,MAX(0,MIN((AR33-1),$O33)-MAX($N33,$E33)+1))+N($P33))),-1,12*(YEAR((AR33-1))-YEAR(($E33+(IF(OR($N33="",$O33=""),0,MAX(0,MIN((AR33-1),$O33)-MAX($N33,$E33)+1))+N($P33)))))+MONTH((AR33-1))-MONTH(($E33+(IF(OR($N33="",$O33=""),0,MAX(0,MIN((AR33-1),$O33)-MAX($N33,$E33)+1))+N($P33))))-IF(DAY((AR33-1))&lt;MIN(DAY(($E33+(IF(OR($N33="",$O33=""),0,MAX(0,MIN((AR33-1),$O33)-MAX($N33,$E33)+1))+N($P33)))),DAY(EOMONTH((AR33-1),0))),1,0))))</f>
        <v/>
      </c>
      <c r="AU33" s="11" t="str">
        <f aca="false">IF(AO33=0,"",IF(AS33="",AQ33,IF((AS33-1)&lt;($E33+(IF(OR($N33="",$O33=""),0,MAX(0,MIN((AS33-1),$O33)-MAX($N33,$E33)+1))+N($P33))),-1,12*(YEAR((AS33-1))-YEAR(($E33+(IF(OR($N33="",$O33=""),0,MAX(0,MIN((AS33-1),$O33)-MAX($N33,$E33)+1))+N($P33)))))+MONTH((AS33-1))-MONTH(($E33+(IF(OR($N33="",$O33=""),0,MAX(0,MIN((AS33-1),$O33)-MAX($N33,$E33)+1))+N($P33))))-IF(DAY((AS33-1))&lt;MIN(DAY(($E33+(IF(OR($N33="",$O33=""),0,MAX(0,MIN((AS33-1),$O33)-MAX($N33,$E33)+1))+N($P33)))),DAY(EOMONTH((AS33-1),0))),1,0))))</f>
        <v/>
      </c>
      <c r="AV33" s="11" t="str">
        <f aca="false">IF(AO33=0,"",IF($F33="","None",IF(IFERROR(VLOOKUP($F33,TypeTable,2,0),"None")="PT",IF(N($G33)&gt;=PT_MinHours,"PT","None"),IFERROR(VLOOKUP($F33,TypeTable,2,0),"None"))))</f>
        <v/>
      </c>
      <c r="AW33" s="11" t="str">
        <f aca="false">IF(AO33=0,"",IF($I33="","None",IF(IFERROR(VLOOKUP($I33,TypeTable,2,0),"None")="PT",IF(N($J33)&gt;=PT_MinHours,"PT","None"),IFERROR(VLOOKUP($I33,TypeTable,2,0),"None"))))</f>
        <v/>
      </c>
      <c r="AX33" s="11" t="str">
        <f aca="false">IF(AO33=0,"",IF($L33="","None",IF(IFERROR(VLOOKUP($L33,TypeTable,2,0),"None")="PT",IF(N($M33)&gt;=PT_MinHours,"PT","None"),IFERROR(VLOOKUP($L33,TypeTable,2,0),"None"))))</f>
        <v/>
      </c>
      <c r="AY33" s="11" t="str">
        <f aca="false">IF(AO33=0,"",IF(AS33&lt;&gt;"",AX33,IF(AR33&lt;&gt;"",AW33,AV33)))</f>
        <v/>
      </c>
      <c r="AZ33" s="11" t="str">
        <f aca="false">IF(AO33=0,"",IF(AV33="FT",IF(AT33&lt;FT_First,0,IF(AT33&lt;FT_Y5,1+INT((AT33-FT_First)/FT_Int1),FT_PreY5+FT_PerYear*INT((AT33-FT_Y5)/12)+FT_AnnivDays+INT(MOD(AT33-FT_Y5,12)/FT_Int2))),IF(AV33="PT",IF(AT33&lt;PT_First,0,1+INT((AT33-PT_First)/PT_Int)),0)))</f>
        <v/>
      </c>
      <c r="BA33" s="11" t="str">
        <f aca="false">IF(AO33=0,"",IF(AW33="FT",IF(AT33&lt;FT_First,0,IF(AT33&lt;FT_Y5,1+INT((AT33-FT_First)/FT_Int1),FT_PreY5+FT_PerYear*INT((AT33-FT_Y5)/12)+FT_AnnivDays+INT(MOD(AT33-FT_Y5,12)/FT_Int2))),IF(AW33="PT",IF(AT33&lt;PT_First,0,1+INT((AT33-PT_First)/PT_Int)),0)))</f>
        <v/>
      </c>
      <c r="BB33" s="11" t="str">
        <f aca="false">IF(AO33=0,"",IF(AW33="FT",IF(AU33&lt;FT_First,0,IF(AU33&lt;FT_Y5,1+INT((AU33-FT_First)/FT_Int1),FT_PreY5+FT_PerYear*INT((AU33-FT_Y5)/12)+FT_AnnivDays+INT(MOD(AU33-FT_Y5,12)/FT_Int2))),IF(AW33="PT",IF(AU33&lt;PT_First,0,1+INT((AU33-PT_First)/PT_Int)),0)))</f>
        <v/>
      </c>
      <c r="BC33" s="11" t="str">
        <f aca="false">IF(AO33=0,"",IF(AX33="FT",IF(AU33&lt;FT_First,0,IF(AU33&lt;FT_Y5,1+INT((AU33-FT_First)/FT_Int1),FT_PreY5+FT_PerYear*INT((AU33-FT_Y5)/12)+FT_AnnivDays+INT(MOD(AU33-FT_Y5,12)/FT_Int2))),IF(AX33="PT",IF(AU33&lt;PT_First,0,1+INT((AU33-PT_First)/PT_Int)),0)))</f>
        <v/>
      </c>
      <c r="BD33" s="11" t="str">
        <f aca="false">IF(AO33=0,"",IF(AX33="FT",IF(AQ33&lt;FT_First,0,IF(AQ33&lt;FT_Y5,1+INT((AQ33-FT_First)/FT_Int1),FT_PreY5+FT_PerYear*INT((AQ33-FT_Y5)/12)+FT_AnnivDays+INT(MOD(AQ33-FT_Y5,12)/FT_Int2))),IF(AX33="PT",IF(AQ33&lt;PT_First,0,1+INT((AQ33-PT_First)/PT_Int)),0)))</f>
        <v/>
      </c>
      <c r="BE33" s="11" t="str">
        <f aca="false">IF(AO33=0,"",IF(AY33="FT",IF(AQ33&lt;FT_First,FT_First,IF(AQ33&lt;FT_Y5,MIN(FT_Y5,FT_First+FT_Int1*(INT((AQ33-FT_First)/FT_Int1)+1)),FT_Y5+12*INT((AQ33-FT_Y5)/12)+FT_Int2*(INT(MOD(AQ33-FT_Y5,12)/FT_Int2)+1))),IF(AY33="PT",IF(AQ33&lt;PT_First,PT_First,PT_First+PT_Int*(INT((AQ33-PT_First)/PT_Int)+1)),"")))</f>
        <v/>
      </c>
      <c r="BF33" s="11" t="n">
        <f aca="false">IF(AO33=0,0,IF(AND($Q33&lt;&gt;"",$Q33&lt;=AsOfDate),1,0))</f>
        <v>0</v>
      </c>
      <c r="BG33" s="11" t="str">
        <f aca="false">IF(AND(AO33=1,BF33=0,EH_Ready,N(AB33)&gt;0,N(AI33)=0),COUNT($BG$5:BG32)+1,"")</f>
        <v/>
      </c>
      <c r="BH33" s="11" t="str">
        <f aca="false">IF(AND(AO33=1,BF33=0,EH_Ready,N(AB33)&gt;0,N(AI33)&gt;0,N(AK33)&gt;0),COUNT($BH$5:BH32)+1,"")</f>
        <v/>
      </c>
      <c r="BI33" s="11" t="str">
        <f aca="false">IF(AND(AO33=1,OR(LEFT(AM33,3)="ADD",LEFT(AM33,3)="SET",LEFT(AM33,5)="CHECK",LEFT(AM33,10)="TERMINATED")),COUNT($BI$5:BI32)+1,"")</f>
        <v/>
      </c>
      <c r="BJ33" s="11" t="str">
        <f aca="false">IF(AO33=0,"",$A33&amp;" - "&amp;$B33&amp;" "&amp;$C33)</f>
        <v/>
      </c>
    </row>
    <row r="34" customFormat="false" ht="15" hidden="false" customHeight="false" outlineLevel="0" collapsed="false">
      <c r="A34" s="10"/>
      <c r="B34" s="10"/>
      <c r="C34" s="10"/>
      <c r="D34" s="10"/>
      <c r="E34" s="9"/>
      <c r="F34" s="10"/>
      <c r="G34" s="30"/>
      <c r="H34" s="9"/>
      <c r="I34" s="10"/>
      <c r="J34" s="30"/>
      <c r="K34" s="9"/>
      <c r="L34" s="10"/>
      <c r="M34" s="30"/>
      <c r="N34" s="9"/>
      <c r="O34" s="9"/>
      <c r="P34" s="30"/>
      <c r="Q34" s="9"/>
      <c r="R34" s="10"/>
      <c r="S34" s="11" t="str">
        <f aca="false">IF(AO34=0,"",IF($H34="","",$F34&amp;" -&gt; "&amp;$I34&amp;IF($I34="Part-Time"," ("&amp;N($J34)&amp;" hrs)","")&amp;" on "&amp;TEXT($H34,"dd/mm/yyyy")&amp;IF($H34&gt;AsOfDate," (FUTURE)","")&amp;IF($K34="","","; "&amp;$I34&amp;" -&gt; "&amp;$L34&amp;IF($L34="Part-Time"," ("&amp;N($M34)&amp;" hrs)","")&amp;" on "&amp;TEXT($K34,"dd/mm/yyyy")&amp;IF($K34&gt;AsOfDate," (FUTURE)",""))))</f>
        <v/>
      </c>
      <c r="T34" s="11" t="str">
        <f aca="false">IF(AO34=0,"",IF(AS34&lt;&gt;"",$L34,IF(AR34&lt;&gt;"",$I34,$F34)))</f>
        <v/>
      </c>
      <c r="U34" s="26" t="str">
        <f aca="false">IF(AO34=0,"",IF(AS34&lt;&gt;"",$M34,IF(AR34&lt;&gt;"",$J34,$G34)))</f>
        <v/>
      </c>
      <c r="V34" s="11" t="str">
        <f aca="false">IF(AO34=0,"",IF(AY34="FT","Full-Time",IF(AY34="PT","Part-Time","Not eligible")))</f>
        <v/>
      </c>
      <c r="W34" s="27" t="str">
        <f aca="false">IF(AO34=0,"",IF(AR34="",IF(AND($H34&lt;&gt;"",$H34&gt;AsOfDate),"Future change - not yet applied",""),IF(AND(AV34=AY34,OR(AS34="",AW34=AV34)),"Type changed - same accrual pathway",IF(AY34="None","STOPPED accruing from "&amp;TEXT(IF(AS34&lt;&gt;"",AS34,AR34),"dd/mm/yyyy"),IF(AV34="None","STARTED qualifying from "&amp;TEXT(IF(AS34&lt;&gt;"",AS34,AR34),"dd/mm/yyyy"),"Pathway changed "&amp;AV34&amp;" -&gt; "&amp;AW34&amp;IF(AS34&lt;&gt;""," -&gt; "&amp;AX34,"")&amp;" from "&amp;TEXT(IF(AS34&lt;&gt;"",AS34,AR34),"dd/mm/yyyy"))))))</f>
        <v/>
      </c>
      <c r="X34" s="28" t="str">
        <f aca="false">IF(AO34=0,"",IF($Q34="",AsOfDate,MIN(AsOfDate,$Q34)))</f>
        <v/>
      </c>
      <c r="Y34" s="26" t="str">
        <f aca="false">IF(AO34=0,"",MAX(0,AQ34))</f>
        <v/>
      </c>
      <c r="Z34" s="11" t="str">
        <f aca="false">IF(AO34=0,"",IF(AQ34&lt;0,"Not started",INT(AQ34/12)&amp;"y "&amp;MOD(AQ34,12)&amp;"m"))</f>
        <v/>
      </c>
      <c r="AA34" s="27" t="str">
        <f aca="false">IF(AO34=0,"",IF(BF34=1,"Terminated - balance forfeited",IF(AY34="None",IF(AB34&gt;0,"No longer accruing - "&amp;T34,"Not eligible - "&amp;T34&amp;IF(AND(IFERROR(VLOOKUP(T34,TypeTable,2,0),"None")="PT",N(U34)&lt;PT_MinHours)," (under "&amp;PT_MinHours&amp;" hrs)","")),IF(AB34&gt;0,"Yes - accruing","Not yet - qualifies "&amp;TEXT(AD34,"dd/mm/yyyy")))))</f>
        <v/>
      </c>
      <c r="AB34" s="26" t="str">
        <f aca="false">IF(AO34=0,"",AZ34+IF(AR34="",0,BB34-BA34)+IF(AS34="",0,BD34-BC34))</f>
        <v/>
      </c>
      <c r="AC34" s="26" t="str">
        <f aca="false">IF(AO34=0,"",AB34*HoursPerDay)</f>
        <v/>
      </c>
      <c r="AD34" s="28" t="str">
        <f aca="false">IF(AO34=0,"",IF(OR(BF34=1,AY34="None"),"",EDATE($E34+AP34,BE34)))</f>
        <v/>
      </c>
      <c r="AE34" s="26" t="str">
        <f aca="false">IF(AD34="","",IF(AY34="PT",1,IF(BE34&lt;FT_Y5,1,IF(MOD(BE34-FT_Y5,12)=0,FT_AnnivDays,1))))</f>
        <v/>
      </c>
      <c r="AF34" s="27" t="str">
        <f aca="false">IF(AO34=0,"",IF(NOT(EH_Ready),"Map headers",IF(IF(MatchMode="Employee ID",COUNTIFS(INDEX(EH_Data,0,EH_ColID),$A34,INDEX(EH_Data,0,EH_ColCat),BonusCat),COUNTIFS(INDEX(EH_Data,0,EH_ColFirst),$B34,INDEX(EH_Data,0,EH_ColSur),$C34,INDEX(EH_Data,0,EH_ColCat),BonusCat))&gt;0,"Yes","No")))</f>
        <v/>
      </c>
      <c r="AG34" s="26" t="str">
        <f aca="false">IF(AO34=0,"",IF(NOT(EH_Ready),"",IF(MatchMode="Employee ID",SUMIFS(INDEX(EH_Data,0,EH_ColBal),INDEX(EH_Data,0,EH_ColID),$A34,INDEX(EH_Data,0,EH_ColCat),BonusCat),SUMIFS(INDEX(EH_Data,0,EH_ColBal),INDEX(EH_Data,0,EH_ColFirst),$B34,INDEX(EH_Data,0,EH_ColSur),$C34,INDEX(EH_Data,0,EH_ColCat),BonusCat))/IF(EHUnit="Hours",HoursPerDay,1)))</f>
        <v/>
      </c>
      <c r="AH34" s="26" t="str">
        <f aca="false">IF(AO34=0,"",IF(NOT(TK_Ready),0,IF(MatchMode="Employee ID",SUMIFS(INDEX(TK_Data,0,TK_ColAmt),INDEX(TK_Data,0,TK_ColID),$A34,INDEX(TK_Data,0,TK_ColCat),BonusCat),SUMIFS(INDEX(TK_Data,0,TK_ColAmt),INDEX(TK_Data,0,TK_ColFirst),$B34,INDEX(TK_Data,0,TK_ColSur),$C34,INDEX(TK_Data,0,TK_ColCat),BonusCat))/IF(TKUnit="Hours",HoursPerDay,1)))</f>
        <v/>
      </c>
      <c r="AI34" s="26" t="str">
        <f aca="false">IF(AO34=0,"",N(AG34)+N(AH34))</f>
        <v/>
      </c>
      <c r="AJ34" s="29" t="str">
        <f aca="false">IF(AO34=0,"",IF(NOT(AND(EH_Ready,EH_ValReady)),"",IF(MatchMode="Employee ID",SUMIFS(INDEX(EH_Data,0,EH_ColVal),INDEX(EH_Data,0,EH_ColID),$A34,INDEX(EH_Data,0,EH_ColCat),BonusCat),SUMIFS(INDEX(EH_Data,0,EH_ColVal),INDEX(EH_Data,0,EH_ColFirst),$B34,INDEX(EH_Data,0,EH_ColSur),$C34,INDEX(EH_Data,0,EH_ColCat),BonusCat))))</f>
        <v/>
      </c>
      <c r="AK34" s="26" t="str">
        <f aca="false">IF(AO34=0,"",IF(OR(NOT(EH_Ready),BF34=1),"",AB34-AI34))</f>
        <v/>
      </c>
      <c r="AL34" s="26" t="str">
        <f aca="false">IF(AK34="","",AK34*HoursPerDay)</f>
        <v/>
      </c>
      <c r="AM34" s="27" t="str">
        <f aca="false">IF(AO34=0,"",IF(BF34=1,IF(N(AG34)&gt;0,"TERMINATED - forfeit "&amp;TEXT(AG34,"0.##")&amp;" days still in EH","Terminated - nothing in EH"),IF(NOT(EH_Ready),"Paste EH export and map headers on Settings",IF(AND(AB34&gt;0,AF34="No"),"SET UP in EH - add "&amp;TEXT(AB34,"0.##")&amp;" day(s) ("&amp;TEXT(AC34,"0.##")&amp;" hrs)",IF(AK34&gt;0,"ADD "&amp;TEXT(AK34,"0.##")&amp;" day(s) ("&amp;TEXT(AL34,"0.##")&amp;" hrs) in EH",IF(AK34&lt;0,"CHECK - EH shows "&amp;TEXT(-AK34,"0.##")&amp;" days more than policy",IF(AB34&gt;0,"OK - up to date",IF(AY34="None","No action - not eligible","No action - not yet qualified"))))))))</f>
        <v/>
      </c>
      <c r="AN34" s="27" t="str">
        <f aca="false">IF(AO34=0,"",TRIM(IF(AND($K34&lt;&gt;"",$H34=""),"Change 2 entered without Change 1. ","")&amp;IF(AND($K34&lt;&gt;"",$H34&lt;&gt;"",$K34&lt;=$H34),"Change 2 date not after Change 1. ","")&amp;IF(AND($N34&lt;&gt;"",$O34&lt;&gt;"",$O34&lt;$N34),"Leave To is before Leave From. ","")&amp;IF(AND($N34&lt;&gt;"",$O34=""),"Leave From entered without Leave To. ","")&amp;IF(AND(IFERROR(VLOOKUP(T34,TypeTable,2,0),"None")="PT",U34=""),"Part-time with no hours entered. ","")&amp;IF(AND($H34&lt;&gt;"",$H34&gt;AsOfDate,AD34&lt;&gt;"",$H34&lt;=AD34),"Status change lands before next accrual - review. ","")&amp;IF(AND($Q34&lt;&gt;"",$Q34&lt;$E34),"Termination before commencement. ","")))</f>
        <v/>
      </c>
      <c r="AO34" s="11" t="n">
        <f aca="false">IF(LEN($A34&amp;$B34&amp;$C34)=0,0,IF($E34="",0,1))</f>
        <v>0</v>
      </c>
      <c r="AP34" s="11" t="str">
        <f aca="false">IF(AO34=0,"",(IF(OR($N34="",$O34=""),0,MAX(0,MIN(X34,$O34)-MAX($N34,$E34)+1))+N($P34)))</f>
        <v/>
      </c>
      <c r="AQ34" s="11" t="str">
        <f aca="false">IF(AO34=0,"",IF(X34&lt;($E34+(IF(OR($N34="",$O34=""),0,MAX(0,MIN(X34,$O34)-MAX($N34,$E34)+1))+N($P34))),-1,12*(YEAR(X34)-YEAR(($E34+(IF(OR($N34="",$O34=""),0,MAX(0,MIN(X34,$O34)-MAX($N34,$E34)+1))+N($P34)))))+MONTH(X34)-MONTH(($E34+(IF(OR($N34="",$O34=""),0,MAX(0,MIN(X34,$O34)-MAX($N34,$E34)+1))+N($P34))))-IF(DAY(X34)&lt;MIN(DAY(($E34+(IF(OR($N34="",$O34=""),0,MAX(0,MIN(X34,$O34)-MAX($N34,$E34)+1))+N($P34)))),DAY(EOMONTH(X34,0))),1,0)))</f>
        <v/>
      </c>
      <c r="AR34" s="28" t="str">
        <f aca="false">IF(AO34=0,"",IF($H34="","",IF($H34&gt;X34,"",$H34)))</f>
        <v/>
      </c>
      <c r="AS34" s="28" t="str">
        <f aca="false">IF(AO34=0,"",IF(AR34="","",IF($K34="","",IF($K34&gt;X34,"",$K34))))</f>
        <v/>
      </c>
      <c r="AT34" s="11" t="str">
        <f aca="false">IF(AO34=0,"",IF(AR34="",AQ34,IF((AR34-1)&lt;($E34+(IF(OR($N34="",$O34=""),0,MAX(0,MIN((AR34-1),$O34)-MAX($N34,$E34)+1))+N($P34))),-1,12*(YEAR((AR34-1))-YEAR(($E34+(IF(OR($N34="",$O34=""),0,MAX(0,MIN((AR34-1),$O34)-MAX($N34,$E34)+1))+N($P34)))))+MONTH((AR34-1))-MONTH(($E34+(IF(OR($N34="",$O34=""),0,MAX(0,MIN((AR34-1),$O34)-MAX($N34,$E34)+1))+N($P34))))-IF(DAY((AR34-1))&lt;MIN(DAY(($E34+(IF(OR($N34="",$O34=""),0,MAX(0,MIN((AR34-1),$O34)-MAX($N34,$E34)+1))+N($P34)))),DAY(EOMONTH((AR34-1),0))),1,0))))</f>
        <v/>
      </c>
      <c r="AU34" s="11" t="str">
        <f aca="false">IF(AO34=0,"",IF(AS34="",AQ34,IF((AS34-1)&lt;($E34+(IF(OR($N34="",$O34=""),0,MAX(0,MIN((AS34-1),$O34)-MAX($N34,$E34)+1))+N($P34))),-1,12*(YEAR((AS34-1))-YEAR(($E34+(IF(OR($N34="",$O34=""),0,MAX(0,MIN((AS34-1),$O34)-MAX($N34,$E34)+1))+N($P34)))))+MONTH((AS34-1))-MONTH(($E34+(IF(OR($N34="",$O34=""),0,MAX(0,MIN((AS34-1),$O34)-MAX($N34,$E34)+1))+N($P34))))-IF(DAY((AS34-1))&lt;MIN(DAY(($E34+(IF(OR($N34="",$O34=""),0,MAX(0,MIN((AS34-1),$O34)-MAX($N34,$E34)+1))+N($P34)))),DAY(EOMONTH((AS34-1),0))),1,0))))</f>
        <v/>
      </c>
      <c r="AV34" s="11" t="str">
        <f aca="false">IF(AO34=0,"",IF($F34="","None",IF(IFERROR(VLOOKUP($F34,TypeTable,2,0),"None")="PT",IF(N($G34)&gt;=PT_MinHours,"PT","None"),IFERROR(VLOOKUP($F34,TypeTable,2,0),"None"))))</f>
        <v/>
      </c>
      <c r="AW34" s="11" t="str">
        <f aca="false">IF(AO34=0,"",IF($I34="","None",IF(IFERROR(VLOOKUP($I34,TypeTable,2,0),"None")="PT",IF(N($J34)&gt;=PT_MinHours,"PT","None"),IFERROR(VLOOKUP($I34,TypeTable,2,0),"None"))))</f>
        <v/>
      </c>
      <c r="AX34" s="11" t="str">
        <f aca="false">IF(AO34=0,"",IF($L34="","None",IF(IFERROR(VLOOKUP($L34,TypeTable,2,0),"None")="PT",IF(N($M34)&gt;=PT_MinHours,"PT","None"),IFERROR(VLOOKUP($L34,TypeTable,2,0),"None"))))</f>
        <v/>
      </c>
      <c r="AY34" s="11" t="str">
        <f aca="false">IF(AO34=0,"",IF(AS34&lt;&gt;"",AX34,IF(AR34&lt;&gt;"",AW34,AV34)))</f>
        <v/>
      </c>
      <c r="AZ34" s="11" t="str">
        <f aca="false">IF(AO34=0,"",IF(AV34="FT",IF(AT34&lt;FT_First,0,IF(AT34&lt;FT_Y5,1+INT((AT34-FT_First)/FT_Int1),FT_PreY5+FT_PerYear*INT((AT34-FT_Y5)/12)+FT_AnnivDays+INT(MOD(AT34-FT_Y5,12)/FT_Int2))),IF(AV34="PT",IF(AT34&lt;PT_First,0,1+INT((AT34-PT_First)/PT_Int)),0)))</f>
        <v/>
      </c>
      <c r="BA34" s="11" t="str">
        <f aca="false">IF(AO34=0,"",IF(AW34="FT",IF(AT34&lt;FT_First,0,IF(AT34&lt;FT_Y5,1+INT((AT34-FT_First)/FT_Int1),FT_PreY5+FT_PerYear*INT((AT34-FT_Y5)/12)+FT_AnnivDays+INT(MOD(AT34-FT_Y5,12)/FT_Int2))),IF(AW34="PT",IF(AT34&lt;PT_First,0,1+INT((AT34-PT_First)/PT_Int)),0)))</f>
        <v/>
      </c>
      <c r="BB34" s="11" t="str">
        <f aca="false">IF(AO34=0,"",IF(AW34="FT",IF(AU34&lt;FT_First,0,IF(AU34&lt;FT_Y5,1+INT((AU34-FT_First)/FT_Int1),FT_PreY5+FT_PerYear*INT((AU34-FT_Y5)/12)+FT_AnnivDays+INT(MOD(AU34-FT_Y5,12)/FT_Int2))),IF(AW34="PT",IF(AU34&lt;PT_First,0,1+INT((AU34-PT_First)/PT_Int)),0)))</f>
        <v/>
      </c>
      <c r="BC34" s="11" t="str">
        <f aca="false">IF(AO34=0,"",IF(AX34="FT",IF(AU34&lt;FT_First,0,IF(AU34&lt;FT_Y5,1+INT((AU34-FT_First)/FT_Int1),FT_PreY5+FT_PerYear*INT((AU34-FT_Y5)/12)+FT_AnnivDays+INT(MOD(AU34-FT_Y5,12)/FT_Int2))),IF(AX34="PT",IF(AU34&lt;PT_First,0,1+INT((AU34-PT_First)/PT_Int)),0)))</f>
        <v/>
      </c>
      <c r="BD34" s="11" t="str">
        <f aca="false">IF(AO34=0,"",IF(AX34="FT",IF(AQ34&lt;FT_First,0,IF(AQ34&lt;FT_Y5,1+INT((AQ34-FT_First)/FT_Int1),FT_PreY5+FT_PerYear*INT((AQ34-FT_Y5)/12)+FT_AnnivDays+INT(MOD(AQ34-FT_Y5,12)/FT_Int2))),IF(AX34="PT",IF(AQ34&lt;PT_First,0,1+INT((AQ34-PT_First)/PT_Int)),0)))</f>
        <v/>
      </c>
      <c r="BE34" s="11" t="str">
        <f aca="false">IF(AO34=0,"",IF(AY34="FT",IF(AQ34&lt;FT_First,FT_First,IF(AQ34&lt;FT_Y5,MIN(FT_Y5,FT_First+FT_Int1*(INT((AQ34-FT_First)/FT_Int1)+1)),FT_Y5+12*INT((AQ34-FT_Y5)/12)+FT_Int2*(INT(MOD(AQ34-FT_Y5,12)/FT_Int2)+1))),IF(AY34="PT",IF(AQ34&lt;PT_First,PT_First,PT_First+PT_Int*(INT((AQ34-PT_First)/PT_Int)+1)),"")))</f>
        <v/>
      </c>
      <c r="BF34" s="11" t="n">
        <f aca="false">IF(AO34=0,0,IF(AND($Q34&lt;&gt;"",$Q34&lt;=AsOfDate),1,0))</f>
        <v>0</v>
      </c>
      <c r="BG34" s="11" t="str">
        <f aca="false">IF(AND(AO34=1,BF34=0,EH_Ready,N(AB34)&gt;0,N(AI34)=0),COUNT($BG$5:BG33)+1,"")</f>
        <v/>
      </c>
      <c r="BH34" s="11" t="str">
        <f aca="false">IF(AND(AO34=1,BF34=0,EH_Ready,N(AB34)&gt;0,N(AI34)&gt;0,N(AK34)&gt;0),COUNT($BH$5:BH33)+1,"")</f>
        <v/>
      </c>
      <c r="BI34" s="11" t="str">
        <f aca="false">IF(AND(AO34=1,OR(LEFT(AM34,3)="ADD",LEFT(AM34,3)="SET",LEFT(AM34,5)="CHECK",LEFT(AM34,10)="TERMINATED")),COUNT($BI$5:BI33)+1,"")</f>
        <v/>
      </c>
      <c r="BJ34" s="11" t="str">
        <f aca="false">IF(AO34=0,"",$A34&amp;" - "&amp;$B34&amp;" "&amp;$C34)</f>
        <v/>
      </c>
    </row>
    <row r="35" customFormat="false" ht="15" hidden="false" customHeight="false" outlineLevel="0" collapsed="false">
      <c r="A35" s="10"/>
      <c r="B35" s="10"/>
      <c r="C35" s="10"/>
      <c r="D35" s="10"/>
      <c r="E35" s="9"/>
      <c r="F35" s="10"/>
      <c r="G35" s="30"/>
      <c r="H35" s="9"/>
      <c r="I35" s="10"/>
      <c r="J35" s="30"/>
      <c r="K35" s="9"/>
      <c r="L35" s="10"/>
      <c r="M35" s="30"/>
      <c r="N35" s="9"/>
      <c r="O35" s="9"/>
      <c r="P35" s="30"/>
      <c r="Q35" s="9"/>
      <c r="R35" s="10"/>
      <c r="S35" s="11" t="str">
        <f aca="false">IF(AO35=0,"",IF($H35="","",$F35&amp;" -&gt; "&amp;$I35&amp;IF($I35="Part-Time"," ("&amp;N($J35)&amp;" hrs)","")&amp;" on "&amp;TEXT($H35,"dd/mm/yyyy")&amp;IF($H35&gt;AsOfDate," (FUTURE)","")&amp;IF($K35="","","; "&amp;$I35&amp;" -&gt; "&amp;$L35&amp;IF($L35="Part-Time"," ("&amp;N($M35)&amp;" hrs)","")&amp;" on "&amp;TEXT($K35,"dd/mm/yyyy")&amp;IF($K35&gt;AsOfDate," (FUTURE)",""))))</f>
        <v/>
      </c>
      <c r="T35" s="11" t="str">
        <f aca="false">IF(AO35=0,"",IF(AS35&lt;&gt;"",$L35,IF(AR35&lt;&gt;"",$I35,$F35)))</f>
        <v/>
      </c>
      <c r="U35" s="26" t="str">
        <f aca="false">IF(AO35=0,"",IF(AS35&lt;&gt;"",$M35,IF(AR35&lt;&gt;"",$J35,$G35)))</f>
        <v/>
      </c>
      <c r="V35" s="11" t="str">
        <f aca="false">IF(AO35=0,"",IF(AY35="FT","Full-Time",IF(AY35="PT","Part-Time","Not eligible")))</f>
        <v/>
      </c>
      <c r="W35" s="27" t="str">
        <f aca="false">IF(AO35=0,"",IF(AR35="",IF(AND($H35&lt;&gt;"",$H35&gt;AsOfDate),"Future change - not yet applied",""),IF(AND(AV35=AY35,OR(AS35="",AW35=AV35)),"Type changed - same accrual pathway",IF(AY35="None","STOPPED accruing from "&amp;TEXT(IF(AS35&lt;&gt;"",AS35,AR35),"dd/mm/yyyy"),IF(AV35="None","STARTED qualifying from "&amp;TEXT(IF(AS35&lt;&gt;"",AS35,AR35),"dd/mm/yyyy"),"Pathway changed "&amp;AV35&amp;" -&gt; "&amp;AW35&amp;IF(AS35&lt;&gt;""," -&gt; "&amp;AX35,"")&amp;" from "&amp;TEXT(IF(AS35&lt;&gt;"",AS35,AR35),"dd/mm/yyyy"))))))</f>
        <v/>
      </c>
      <c r="X35" s="28" t="str">
        <f aca="false">IF(AO35=0,"",IF($Q35="",AsOfDate,MIN(AsOfDate,$Q35)))</f>
        <v/>
      </c>
      <c r="Y35" s="26" t="str">
        <f aca="false">IF(AO35=0,"",MAX(0,AQ35))</f>
        <v/>
      </c>
      <c r="Z35" s="11" t="str">
        <f aca="false">IF(AO35=0,"",IF(AQ35&lt;0,"Not started",INT(AQ35/12)&amp;"y "&amp;MOD(AQ35,12)&amp;"m"))</f>
        <v/>
      </c>
      <c r="AA35" s="27" t="str">
        <f aca="false">IF(AO35=0,"",IF(BF35=1,"Terminated - balance forfeited",IF(AY35="None",IF(AB35&gt;0,"No longer accruing - "&amp;T35,"Not eligible - "&amp;T35&amp;IF(AND(IFERROR(VLOOKUP(T35,TypeTable,2,0),"None")="PT",N(U35)&lt;PT_MinHours)," (under "&amp;PT_MinHours&amp;" hrs)","")),IF(AB35&gt;0,"Yes - accruing","Not yet - qualifies "&amp;TEXT(AD35,"dd/mm/yyyy")))))</f>
        <v/>
      </c>
      <c r="AB35" s="26" t="str">
        <f aca="false">IF(AO35=0,"",AZ35+IF(AR35="",0,BB35-BA35)+IF(AS35="",0,BD35-BC35))</f>
        <v/>
      </c>
      <c r="AC35" s="26" t="str">
        <f aca="false">IF(AO35=0,"",AB35*HoursPerDay)</f>
        <v/>
      </c>
      <c r="AD35" s="28" t="str">
        <f aca="false">IF(AO35=0,"",IF(OR(BF35=1,AY35="None"),"",EDATE($E35+AP35,BE35)))</f>
        <v/>
      </c>
      <c r="AE35" s="26" t="str">
        <f aca="false">IF(AD35="","",IF(AY35="PT",1,IF(BE35&lt;FT_Y5,1,IF(MOD(BE35-FT_Y5,12)=0,FT_AnnivDays,1))))</f>
        <v/>
      </c>
      <c r="AF35" s="27" t="str">
        <f aca="false">IF(AO35=0,"",IF(NOT(EH_Ready),"Map headers",IF(IF(MatchMode="Employee ID",COUNTIFS(INDEX(EH_Data,0,EH_ColID),$A35,INDEX(EH_Data,0,EH_ColCat),BonusCat),COUNTIFS(INDEX(EH_Data,0,EH_ColFirst),$B35,INDEX(EH_Data,0,EH_ColSur),$C35,INDEX(EH_Data,0,EH_ColCat),BonusCat))&gt;0,"Yes","No")))</f>
        <v/>
      </c>
      <c r="AG35" s="26" t="str">
        <f aca="false">IF(AO35=0,"",IF(NOT(EH_Ready),"",IF(MatchMode="Employee ID",SUMIFS(INDEX(EH_Data,0,EH_ColBal),INDEX(EH_Data,0,EH_ColID),$A35,INDEX(EH_Data,0,EH_ColCat),BonusCat),SUMIFS(INDEX(EH_Data,0,EH_ColBal),INDEX(EH_Data,0,EH_ColFirst),$B35,INDEX(EH_Data,0,EH_ColSur),$C35,INDEX(EH_Data,0,EH_ColCat),BonusCat))/IF(EHUnit="Hours",HoursPerDay,1)))</f>
        <v/>
      </c>
      <c r="AH35" s="26" t="str">
        <f aca="false">IF(AO35=0,"",IF(NOT(TK_Ready),0,IF(MatchMode="Employee ID",SUMIFS(INDEX(TK_Data,0,TK_ColAmt),INDEX(TK_Data,0,TK_ColID),$A35,INDEX(TK_Data,0,TK_ColCat),BonusCat),SUMIFS(INDEX(TK_Data,0,TK_ColAmt),INDEX(TK_Data,0,TK_ColFirst),$B35,INDEX(TK_Data,0,TK_ColSur),$C35,INDEX(TK_Data,0,TK_ColCat),BonusCat))/IF(TKUnit="Hours",HoursPerDay,1)))</f>
        <v/>
      </c>
      <c r="AI35" s="26" t="str">
        <f aca="false">IF(AO35=0,"",N(AG35)+N(AH35))</f>
        <v/>
      </c>
      <c r="AJ35" s="29" t="str">
        <f aca="false">IF(AO35=0,"",IF(NOT(AND(EH_Ready,EH_ValReady)),"",IF(MatchMode="Employee ID",SUMIFS(INDEX(EH_Data,0,EH_ColVal),INDEX(EH_Data,0,EH_ColID),$A35,INDEX(EH_Data,0,EH_ColCat),BonusCat),SUMIFS(INDEX(EH_Data,0,EH_ColVal),INDEX(EH_Data,0,EH_ColFirst),$B35,INDEX(EH_Data,0,EH_ColSur),$C35,INDEX(EH_Data,0,EH_ColCat),BonusCat))))</f>
        <v/>
      </c>
      <c r="AK35" s="26" t="str">
        <f aca="false">IF(AO35=0,"",IF(OR(NOT(EH_Ready),BF35=1),"",AB35-AI35))</f>
        <v/>
      </c>
      <c r="AL35" s="26" t="str">
        <f aca="false">IF(AK35="","",AK35*HoursPerDay)</f>
        <v/>
      </c>
      <c r="AM35" s="27" t="str">
        <f aca="false">IF(AO35=0,"",IF(BF35=1,IF(N(AG35)&gt;0,"TERMINATED - forfeit "&amp;TEXT(AG35,"0.##")&amp;" days still in EH","Terminated - nothing in EH"),IF(NOT(EH_Ready),"Paste EH export and map headers on Settings",IF(AND(AB35&gt;0,AF35="No"),"SET UP in EH - add "&amp;TEXT(AB35,"0.##")&amp;" day(s) ("&amp;TEXT(AC35,"0.##")&amp;" hrs)",IF(AK35&gt;0,"ADD "&amp;TEXT(AK35,"0.##")&amp;" day(s) ("&amp;TEXT(AL35,"0.##")&amp;" hrs) in EH",IF(AK35&lt;0,"CHECK - EH shows "&amp;TEXT(-AK35,"0.##")&amp;" days more than policy",IF(AB35&gt;0,"OK - up to date",IF(AY35="None","No action - not eligible","No action - not yet qualified"))))))))</f>
        <v/>
      </c>
      <c r="AN35" s="27" t="str">
        <f aca="false">IF(AO35=0,"",TRIM(IF(AND($K35&lt;&gt;"",$H35=""),"Change 2 entered without Change 1. ","")&amp;IF(AND($K35&lt;&gt;"",$H35&lt;&gt;"",$K35&lt;=$H35),"Change 2 date not after Change 1. ","")&amp;IF(AND($N35&lt;&gt;"",$O35&lt;&gt;"",$O35&lt;$N35),"Leave To is before Leave From. ","")&amp;IF(AND($N35&lt;&gt;"",$O35=""),"Leave From entered without Leave To. ","")&amp;IF(AND(IFERROR(VLOOKUP(T35,TypeTable,2,0),"None")="PT",U35=""),"Part-time with no hours entered. ","")&amp;IF(AND($H35&lt;&gt;"",$H35&gt;AsOfDate,AD35&lt;&gt;"",$H35&lt;=AD35),"Status change lands before next accrual - review. ","")&amp;IF(AND($Q35&lt;&gt;"",$Q35&lt;$E35),"Termination before commencement. ","")))</f>
        <v/>
      </c>
      <c r="AO35" s="11" t="n">
        <f aca="false">IF(LEN($A35&amp;$B35&amp;$C35)=0,0,IF($E35="",0,1))</f>
        <v>0</v>
      </c>
      <c r="AP35" s="11" t="str">
        <f aca="false">IF(AO35=0,"",(IF(OR($N35="",$O35=""),0,MAX(0,MIN(X35,$O35)-MAX($N35,$E35)+1))+N($P35)))</f>
        <v/>
      </c>
      <c r="AQ35" s="11" t="str">
        <f aca="false">IF(AO35=0,"",IF(X35&lt;($E35+(IF(OR($N35="",$O35=""),0,MAX(0,MIN(X35,$O35)-MAX($N35,$E35)+1))+N($P35))),-1,12*(YEAR(X35)-YEAR(($E35+(IF(OR($N35="",$O35=""),0,MAX(0,MIN(X35,$O35)-MAX($N35,$E35)+1))+N($P35)))))+MONTH(X35)-MONTH(($E35+(IF(OR($N35="",$O35=""),0,MAX(0,MIN(X35,$O35)-MAX($N35,$E35)+1))+N($P35))))-IF(DAY(X35)&lt;MIN(DAY(($E35+(IF(OR($N35="",$O35=""),0,MAX(0,MIN(X35,$O35)-MAX($N35,$E35)+1))+N($P35)))),DAY(EOMONTH(X35,0))),1,0)))</f>
        <v/>
      </c>
      <c r="AR35" s="28" t="str">
        <f aca="false">IF(AO35=0,"",IF($H35="","",IF($H35&gt;X35,"",$H35)))</f>
        <v/>
      </c>
      <c r="AS35" s="28" t="str">
        <f aca="false">IF(AO35=0,"",IF(AR35="","",IF($K35="","",IF($K35&gt;X35,"",$K35))))</f>
        <v/>
      </c>
      <c r="AT35" s="11" t="str">
        <f aca="false">IF(AO35=0,"",IF(AR35="",AQ35,IF((AR35-1)&lt;($E35+(IF(OR($N35="",$O35=""),0,MAX(0,MIN((AR35-1),$O35)-MAX($N35,$E35)+1))+N($P35))),-1,12*(YEAR((AR35-1))-YEAR(($E35+(IF(OR($N35="",$O35=""),0,MAX(0,MIN((AR35-1),$O35)-MAX($N35,$E35)+1))+N($P35)))))+MONTH((AR35-1))-MONTH(($E35+(IF(OR($N35="",$O35=""),0,MAX(0,MIN((AR35-1),$O35)-MAX($N35,$E35)+1))+N($P35))))-IF(DAY((AR35-1))&lt;MIN(DAY(($E35+(IF(OR($N35="",$O35=""),0,MAX(0,MIN((AR35-1),$O35)-MAX($N35,$E35)+1))+N($P35)))),DAY(EOMONTH((AR35-1),0))),1,0))))</f>
        <v/>
      </c>
      <c r="AU35" s="11" t="str">
        <f aca="false">IF(AO35=0,"",IF(AS35="",AQ35,IF((AS35-1)&lt;($E35+(IF(OR($N35="",$O35=""),0,MAX(0,MIN((AS35-1),$O35)-MAX($N35,$E35)+1))+N($P35))),-1,12*(YEAR((AS35-1))-YEAR(($E35+(IF(OR($N35="",$O35=""),0,MAX(0,MIN((AS35-1),$O35)-MAX($N35,$E35)+1))+N($P35)))))+MONTH((AS35-1))-MONTH(($E35+(IF(OR($N35="",$O35=""),0,MAX(0,MIN((AS35-1),$O35)-MAX($N35,$E35)+1))+N($P35))))-IF(DAY((AS35-1))&lt;MIN(DAY(($E35+(IF(OR($N35="",$O35=""),0,MAX(0,MIN((AS35-1),$O35)-MAX($N35,$E35)+1))+N($P35)))),DAY(EOMONTH((AS35-1),0))),1,0))))</f>
        <v/>
      </c>
      <c r="AV35" s="11" t="str">
        <f aca="false">IF(AO35=0,"",IF($F35="","None",IF(IFERROR(VLOOKUP($F35,TypeTable,2,0),"None")="PT",IF(N($G35)&gt;=PT_MinHours,"PT","None"),IFERROR(VLOOKUP($F35,TypeTable,2,0),"None"))))</f>
        <v/>
      </c>
      <c r="AW35" s="11" t="str">
        <f aca="false">IF(AO35=0,"",IF($I35="","None",IF(IFERROR(VLOOKUP($I35,TypeTable,2,0),"None")="PT",IF(N($J35)&gt;=PT_MinHours,"PT","None"),IFERROR(VLOOKUP($I35,TypeTable,2,0),"None"))))</f>
        <v/>
      </c>
      <c r="AX35" s="11" t="str">
        <f aca="false">IF(AO35=0,"",IF($L35="","None",IF(IFERROR(VLOOKUP($L35,TypeTable,2,0),"None")="PT",IF(N($M35)&gt;=PT_MinHours,"PT","None"),IFERROR(VLOOKUP($L35,TypeTable,2,0),"None"))))</f>
        <v/>
      </c>
      <c r="AY35" s="11" t="str">
        <f aca="false">IF(AO35=0,"",IF(AS35&lt;&gt;"",AX35,IF(AR35&lt;&gt;"",AW35,AV35)))</f>
        <v/>
      </c>
      <c r="AZ35" s="11" t="str">
        <f aca="false">IF(AO35=0,"",IF(AV35="FT",IF(AT35&lt;FT_First,0,IF(AT35&lt;FT_Y5,1+INT((AT35-FT_First)/FT_Int1),FT_PreY5+FT_PerYear*INT((AT35-FT_Y5)/12)+FT_AnnivDays+INT(MOD(AT35-FT_Y5,12)/FT_Int2))),IF(AV35="PT",IF(AT35&lt;PT_First,0,1+INT((AT35-PT_First)/PT_Int)),0)))</f>
        <v/>
      </c>
      <c r="BA35" s="11" t="str">
        <f aca="false">IF(AO35=0,"",IF(AW35="FT",IF(AT35&lt;FT_First,0,IF(AT35&lt;FT_Y5,1+INT((AT35-FT_First)/FT_Int1),FT_PreY5+FT_PerYear*INT((AT35-FT_Y5)/12)+FT_AnnivDays+INT(MOD(AT35-FT_Y5,12)/FT_Int2))),IF(AW35="PT",IF(AT35&lt;PT_First,0,1+INT((AT35-PT_First)/PT_Int)),0)))</f>
        <v/>
      </c>
      <c r="BB35" s="11" t="str">
        <f aca="false">IF(AO35=0,"",IF(AW35="FT",IF(AU35&lt;FT_First,0,IF(AU35&lt;FT_Y5,1+INT((AU35-FT_First)/FT_Int1),FT_PreY5+FT_PerYear*INT((AU35-FT_Y5)/12)+FT_AnnivDays+INT(MOD(AU35-FT_Y5,12)/FT_Int2))),IF(AW35="PT",IF(AU35&lt;PT_First,0,1+INT((AU35-PT_First)/PT_Int)),0)))</f>
        <v/>
      </c>
      <c r="BC35" s="11" t="str">
        <f aca="false">IF(AO35=0,"",IF(AX35="FT",IF(AU35&lt;FT_First,0,IF(AU35&lt;FT_Y5,1+INT((AU35-FT_First)/FT_Int1),FT_PreY5+FT_PerYear*INT((AU35-FT_Y5)/12)+FT_AnnivDays+INT(MOD(AU35-FT_Y5,12)/FT_Int2))),IF(AX35="PT",IF(AU35&lt;PT_First,0,1+INT((AU35-PT_First)/PT_Int)),0)))</f>
        <v/>
      </c>
      <c r="BD35" s="11" t="str">
        <f aca="false">IF(AO35=0,"",IF(AX35="FT",IF(AQ35&lt;FT_First,0,IF(AQ35&lt;FT_Y5,1+INT((AQ35-FT_First)/FT_Int1),FT_PreY5+FT_PerYear*INT((AQ35-FT_Y5)/12)+FT_AnnivDays+INT(MOD(AQ35-FT_Y5,12)/FT_Int2))),IF(AX35="PT",IF(AQ35&lt;PT_First,0,1+INT((AQ35-PT_First)/PT_Int)),0)))</f>
        <v/>
      </c>
      <c r="BE35" s="11" t="str">
        <f aca="false">IF(AO35=0,"",IF(AY35="FT",IF(AQ35&lt;FT_First,FT_First,IF(AQ35&lt;FT_Y5,MIN(FT_Y5,FT_First+FT_Int1*(INT((AQ35-FT_First)/FT_Int1)+1)),FT_Y5+12*INT((AQ35-FT_Y5)/12)+FT_Int2*(INT(MOD(AQ35-FT_Y5,12)/FT_Int2)+1))),IF(AY35="PT",IF(AQ35&lt;PT_First,PT_First,PT_First+PT_Int*(INT((AQ35-PT_First)/PT_Int)+1)),"")))</f>
        <v/>
      </c>
      <c r="BF35" s="11" t="n">
        <f aca="false">IF(AO35=0,0,IF(AND($Q35&lt;&gt;"",$Q35&lt;=AsOfDate),1,0))</f>
        <v>0</v>
      </c>
      <c r="BG35" s="11" t="str">
        <f aca="false">IF(AND(AO35=1,BF35=0,EH_Ready,N(AB35)&gt;0,N(AI35)=0),COUNT($BG$5:BG34)+1,"")</f>
        <v/>
      </c>
      <c r="BH35" s="11" t="str">
        <f aca="false">IF(AND(AO35=1,BF35=0,EH_Ready,N(AB35)&gt;0,N(AI35)&gt;0,N(AK35)&gt;0),COUNT($BH$5:BH34)+1,"")</f>
        <v/>
      </c>
      <c r="BI35" s="11" t="str">
        <f aca="false">IF(AND(AO35=1,OR(LEFT(AM35,3)="ADD",LEFT(AM35,3)="SET",LEFT(AM35,5)="CHECK",LEFT(AM35,10)="TERMINATED")),COUNT($BI$5:BI34)+1,"")</f>
        <v/>
      </c>
      <c r="BJ35" s="11" t="str">
        <f aca="false">IF(AO35=0,"",$A35&amp;" - "&amp;$B35&amp;" "&amp;$C35)</f>
        <v/>
      </c>
    </row>
    <row r="36" customFormat="false" ht="15" hidden="false" customHeight="false" outlineLevel="0" collapsed="false">
      <c r="A36" s="10"/>
      <c r="B36" s="10"/>
      <c r="C36" s="10"/>
      <c r="D36" s="10"/>
      <c r="E36" s="9"/>
      <c r="F36" s="10"/>
      <c r="G36" s="30"/>
      <c r="H36" s="9"/>
      <c r="I36" s="10"/>
      <c r="J36" s="30"/>
      <c r="K36" s="9"/>
      <c r="L36" s="10"/>
      <c r="M36" s="30"/>
      <c r="N36" s="9"/>
      <c r="O36" s="9"/>
      <c r="P36" s="30"/>
      <c r="Q36" s="9"/>
      <c r="R36" s="10"/>
      <c r="S36" s="11" t="str">
        <f aca="false">IF(AO36=0,"",IF($H36="","",$F36&amp;" -&gt; "&amp;$I36&amp;IF($I36="Part-Time"," ("&amp;N($J36)&amp;" hrs)","")&amp;" on "&amp;TEXT($H36,"dd/mm/yyyy")&amp;IF($H36&gt;AsOfDate," (FUTURE)","")&amp;IF($K36="","","; "&amp;$I36&amp;" -&gt; "&amp;$L36&amp;IF($L36="Part-Time"," ("&amp;N($M36)&amp;" hrs)","")&amp;" on "&amp;TEXT($K36,"dd/mm/yyyy")&amp;IF($K36&gt;AsOfDate," (FUTURE)",""))))</f>
        <v/>
      </c>
      <c r="T36" s="11" t="str">
        <f aca="false">IF(AO36=0,"",IF(AS36&lt;&gt;"",$L36,IF(AR36&lt;&gt;"",$I36,$F36)))</f>
        <v/>
      </c>
      <c r="U36" s="26" t="str">
        <f aca="false">IF(AO36=0,"",IF(AS36&lt;&gt;"",$M36,IF(AR36&lt;&gt;"",$J36,$G36)))</f>
        <v/>
      </c>
      <c r="V36" s="11" t="str">
        <f aca="false">IF(AO36=0,"",IF(AY36="FT","Full-Time",IF(AY36="PT","Part-Time","Not eligible")))</f>
        <v/>
      </c>
      <c r="W36" s="27" t="str">
        <f aca="false">IF(AO36=0,"",IF(AR36="",IF(AND($H36&lt;&gt;"",$H36&gt;AsOfDate),"Future change - not yet applied",""),IF(AND(AV36=AY36,OR(AS36="",AW36=AV36)),"Type changed - same accrual pathway",IF(AY36="None","STOPPED accruing from "&amp;TEXT(IF(AS36&lt;&gt;"",AS36,AR36),"dd/mm/yyyy"),IF(AV36="None","STARTED qualifying from "&amp;TEXT(IF(AS36&lt;&gt;"",AS36,AR36),"dd/mm/yyyy"),"Pathway changed "&amp;AV36&amp;" -&gt; "&amp;AW36&amp;IF(AS36&lt;&gt;""," -&gt; "&amp;AX36,"")&amp;" from "&amp;TEXT(IF(AS36&lt;&gt;"",AS36,AR36),"dd/mm/yyyy"))))))</f>
        <v/>
      </c>
      <c r="X36" s="28" t="str">
        <f aca="false">IF(AO36=0,"",IF($Q36="",AsOfDate,MIN(AsOfDate,$Q36)))</f>
        <v/>
      </c>
      <c r="Y36" s="26" t="str">
        <f aca="false">IF(AO36=0,"",MAX(0,AQ36))</f>
        <v/>
      </c>
      <c r="Z36" s="11" t="str">
        <f aca="false">IF(AO36=0,"",IF(AQ36&lt;0,"Not started",INT(AQ36/12)&amp;"y "&amp;MOD(AQ36,12)&amp;"m"))</f>
        <v/>
      </c>
      <c r="AA36" s="27" t="str">
        <f aca="false">IF(AO36=0,"",IF(BF36=1,"Terminated - balance forfeited",IF(AY36="None",IF(AB36&gt;0,"No longer accruing - "&amp;T36,"Not eligible - "&amp;T36&amp;IF(AND(IFERROR(VLOOKUP(T36,TypeTable,2,0),"None")="PT",N(U36)&lt;PT_MinHours)," (under "&amp;PT_MinHours&amp;" hrs)","")),IF(AB36&gt;0,"Yes - accruing","Not yet - qualifies "&amp;TEXT(AD36,"dd/mm/yyyy")))))</f>
        <v/>
      </c>
      <c r="AB36" s="26" t="str">
        <f aca="false">IF(AO36=0,"",AZ36+IF(AR36="",0,BB36-BA36)+IF(AS36="",0,BD36-BC36))</f>
        <v/>
      </c>
      <c r="AC36" s="26" t="str">
        <f aca="false">IF(AO36=0,"",AB36*HoursPerDay)</f>
        <v/>
      </c>
      <c r="AD36" s="28" t="str">
        <f aca="false">IF(AO36=0,"",IF(OR(BF36=1,AY36="None"),"",EDATE($E36+AP36,BE36)))</f>
        <v/>
      </c>
      <c r="AE36" s="26" t="str">
        <f aca="false">IF(AD36="","",IF(AY36="PT",1,IF(BE36&lt;FT_Y5,1,IF(MOD(BE36-FT_Y5,12)=0,FT_AnnivDays,1))))</f>
        <v/>
      </c>
      <c r="AF36" s="27" t="str">
        <f aca="false">IF(AO36=0,"",IF(NOT(EH_Ready),"Map headers",IF(IF(MatchMode="Employee ID",COUNTIFS(INDEX(EH_Data,0,EH_ColID),$A36,INDEX(EH_Data,0,EH_ColCat),BonusCat),COUNTIFS(INDEX(EH_Data,0,EH_ColFirst),$B36,INDEX(EH_Data,0,EH_ColSur),$C36,INDEX(EH_Data,0,EH_ColCat),BonusCat))&gt;0,"Yes","No")))</f>
        <v/>
      </c>
      <c r="AG36" s="26" t="str">
        <f aca="false">IF(AO36=0,"",IF(NOT(EH_Ready),"",IF(MatchMode="Employee ID",SUMIFS(INDEX(EH_Data,0,EH_ColBal),INDEX(EH_Data,0,EH_ColID),$A36,INDEX(EH_Data,0,EH_ColCat),BonusCat),SUMIFS(INDEX(EH_Data,0,EH_ColBal),INDEX(EH_Data,0,EH_ColFirst),$B36,INDEX(EH_Data,0,EH_ColSur),$C36,INDEX(EH_Data,0,EH_ColCat),BonusCat))/IF(EHUnit="Hours",HoursPerDay,1)))</f>
        <v/>
      </c>
      <c r="AH36" s="26" t="str">
        <f aca="false">IF(AO36=0,"",IF(NOT(TK_Ready),0,IF(MatchMode="Employee ID",SUMIFS(INDEX(TK_Data,0,TK_ColAmt),INDEX(TK_Data,0,TK_ColID),$A36,INDEX(TK_Data,0,TK_ColCat),BonusCat),SUMIFS(INDEX(TK_Data,0,TK_ColAmt),INDEX(TK_Data,0,TK_ColFirst),$B36,INDEX(TK_Data,0,TK_ColSur),$C36,INDEX(TK_Data,0,TK_ColCat),BonusCat))/IF(TKUnit="Hours",HoursPerDay,1)))</f>
        <v/>
      </c>
      <c r="AI36" s="26" t="str">
        <f aca="false">IF(AO36=0,"",N(AG36)+N(AH36))</f>
        <v/>
      </c>
      <c r="AJ36" s="29" t="str">
        <f aca="false">IF(AO36=0,"",IF(NOT(AND(EH_Ready,EH_ValReady)),"",IF(MatchMode="Employee ID",SUMIFS(INDEX(EH_Data,0,EH_ColVal),INDEX(EH_Data,0,EH_ColID),$A36,INDEX(EH_Data,0,EH_ColCat),BonusCat),SUMIFS(INDEX(EH_Data,0,EH_ColVal),INDEX(EH_Data,0,EH_ColFirst),$B36,INDEX(EH_Data,0,EH_ColSur),$C36,INDEX(EH_Data,0,EH_ColCat),BonusCat))))</f>
        <v/>
      </c>
      <c r="AK36" s="26" t="str">
        <f aca="false">IF(AO36=0,"",IF(OR(NOT(EH_Ready),BF36=1),"",AB36-AI36))</f>
        <v/>
      </c>
      <c r="AL36" s="26" t="str">
        <f aca="false">IF(AK36="","",AK36*HoursPerDay)</f>
        <v/>
      </c>
      <c r="AM36" s="27" t="str">
        <f aca="false">IF(AO36=0,"",IF(BF36=1,IF(N(AG36)&gt;0,"TERMINATED - forfeit "&amp;TEXT(AG36,"0.##")&amp;" days still in EH","Terminated - nothing in EH"),IF(NOT(EH_Ready),"Paste EH export and map headers on Settings",IF(AND(AB36&gt;0,AF36="No"),"SET UP in EH - add "&amp;TEXT(AB36,"0.##")&amp;" day(s) ("&amp;TEXT(AC36,"0.##")&amp;" hrs)",IF(AK36&gt;0,"ADD "&amp;TEXT(AK36,"0.##")&amp;" day(s) ("&amp;TEXT(AL36,"0.##")&amp;" hrs) in EH",IF(AK36&lt;0,"CHECK - EH shows "&amp;TEXT(-AK36,"0.##")&amp;" days more than policy",IF(AB36&gt;0,"OK - up to date",IF(AY36="None","No action - not eligible","No action - not yet qualified"))))))))</f>
        <v/>
      </c>
      <c r="AN36" s="27" t="str">
        <f aca="false">IF(AO36=0,"",TRIM(IF(AND($K36&lt;&gt;"",$H36=""),"Change 2 entered without Change 1. ","")&amp;IF(AND($K36&lt;&gt;"",$H36&lt;&gt;"",$K36&lt;=$H36),"Change 2 date not after Change 1. ","")&amp;IF(AND($N36&lt;&gt;"",$O36&lt;&gt;"",$O36&lt;$N36),"Leave To is before Leave From. ","")&amp;IF(AND($N36&lt;&gt;"",$O36=""),"Leave From entered without Leave To. ","")&amp;IF(AND(IFERROR(VLOOKUP(T36,TypeTable,2,0),"None")="PT",U36=""),"Part-time with no hours entered. ","")&amp;IF(AND($H36&lt;&gt;"",$H36&gt;AsOfDate,AD36&lt;&gt;"",$H36&lt;=AD36),"Status change lands before next accrual - review. ","")&amp;IF(AND($Q36&lt;&gt;"",$Q36&lt;$E36),"Termination before commencement. ","")))</f>
        <v/>
      </c>
      <c r="AO36" s="11" t="n">
        <f aca="false">IF(LEN($A36&amp;$B36&amp;$C36)=0,0,IF($E36="",0,1))</f>
        <v>0</v>
      </c>
      <c r="AP36" s="11" t="str">
        <f aca="false">IF(AO36=0,"",(IF(OR($N36="",$O36=""),0,MAX(0,MIN(X36,$O36)-MAX($N36,$E36)+1))+N($P36)))</f>
        <v/>
      </c>
      <c r="AQ36" s="11" t="str">
        <f aca="false">IF(AO36=0,"",IF(X36&lt;($E36+(IF(OR($N36="",$O36=""),0,MAX(0,MIN(X36,$O36)-MAX($N36,$E36)+1))+N($P36))),-1,12*(YEAR(X36)-YEAR(($E36+(IF(OR($N36="",$O36=""),0,MAX(0,MIN(X36,$O36)-MAX($N36,$E36)+1))+N($P36)))))+MONTH(X36)-MONTH(($E36+(IF(OR($N36="",$O36=""),0,MAX(0,MIN(X36,$O36)-MAX($N36,$E36)+1))+N($P36))))-IF(DAY(X36)&lt;MIN(DAY(($E36+(IF(OR($N36="",$O36=""),0,MAX(0,MIN(X36,$O36)-MAX($N36,$E36)+1))+N($P36)))),DAY(EOMONTH(X36,0))),1,0)))</f>
        <v/>
      </c>
      <c r="AR36" s="28" t="str">
        <f aca="false">IF(AO36=0,"",IF($H36="","",IF($H36&gt;X36,"",$H36)))</f>
        <v/>
      </c>
      <c r="AS36" s="28" t="str">
        <f aca="false">IF(AO36=0,"",IF(AR36="","",IF($K36="","",IF($K36&gt;X36,"",$K36))))</f>
        <v/>
      </c>
      <c r="AT36" s="11" t="str">
        <f aca="false">IF(AO36=0,"",IF(AR36="",AQ36,IF((AR36-1)&lt;($E36+(IF(OR($N36="",$O36=""),0,MAX(0,MIN((AR36-1),$O36)-MAX($N36,$E36)+1))+N($P36))),-1,12*(YEAR((AR36-1))-YEAR(($E36+(IF(OR($N36="",$O36=""),0,MAX(0,MIN((AR36-1),$O36)-MAX($N36,$E36)+1))+N($P36)))))+MONTH((AR36-1))-MONTH(($E36+(IF(OR($N36="",$O36=""),0,MAX(0,MIN((AR36-1),$O36)-MAX($N36,$E36)+1))+N($P36))))-IF(DAY((AR36-1))&lt;MIN(DAY(($E36+(IF(OR($N36="",$O36=""),0,MAX(0,MIN((AR36-1),$O36)-MAX($N36,$E36)+1))+N($P36)))),DAY(EOMONTH((AR36-1),0))),1,0))))</f>
        <v/>
      </c>
      <c r="AU36" s="11" t="str">
        <f aca="false">IF(AO36=0,"",IF(AS36="",AQ36,IF((AS36-1)&lt;($E36+(IF(OR($N36="",$O36=""),0,MAX(0,MIN((AS36-1),$O36)-MAX($N36,$E36)+1))+N($P36))),-1,12*(YEAR((AS36-1))-YEAR(($E36+(IF(OR($N36="",$O36=""),0,MAX(0,MIN((AS36-1),$O36)-MAX($N36,$E36)+1))+N($P36)))))+MONTH((AS36-1))-MONTH(($E36+(IF(OR($N36="",$O36=""),0,MAX(0,MIN((AS36-1),$O36)-MAX($N36,$E36)+1))+N($P36))))-IF(DAY((AS36-1))&lt;MIN(DAY(($E36+(IF(OR($N36="",$O36=""),0,MAX(0,MIN((AS36-1),$O36)-MAX($N36,$E36)+1))+N($P36)))),DAY(EOMONTH((AS36-1),0))),1,0))))</f>
        <v/>
      </c>
      <c r="AV36" s="11" t="str">
        <f aca="false">IF(AO36=0,"",IF($F36="","None",IF(IFERROR(VLOOKUP($F36,TypeTable,2,0),"None")="PT",IF(N($G36)&gt;=PT_MinHours,"PT","None"),IFERROR(VLOOKUP($F36,TypeTable,2,0),"None"))))</f>
        <v/>
      </c>
      <c r="AW36" s="11" t="str">
        <f aca="false">IF(AO36=0,"",IF($I36="","None",IF(IFERROR(VLOOKUP($I36,TypeTable,2,0),"None")="PT",IF(N($J36)&gt;=PT_MinHours,"PT","None"),IFERROR(VLOOKUP($I36,TypeTable,2,0),"None"))))</f>
        <v/>
      </c>
      <c r="AX36" s="11" t="str">
        <f aca="false">IF(AO36=0,"",IF($L36="","None",IF(IFERROR(VLOOKUP($L36,TypeTable,2,0),"None")="PT",IF(N($M36)&gt;=PT_MinHours,"PT","None"),IFERROR(VLOOKUP($L36,TypeTable,2,0),"None"))))</f>
        <v/>
      </c>
      <c r="AY36" s="11" t="str">
        <f aca="false">IF(AO36=0,"",IF(AS36&lt;&gt;"",AX36,IF(AR36&lt;&gt;"",AW36,AV36)))</f>
        <v/>
      </c>
      <c r="AZ36" s="11" t="str">
        <f aca="false">IF(AO36=0,"",IF(AV36="FT",IF(AT36&lt;FT_First,0,IF(AT36&lt;FT_Y5,1+INT((AT36-FT_First)/FT_Int1),FT_PreY5+FT_PerYear*INT((AT36-FT_Y5)/12)+FT_AnnivDays+INT(MOD(AT36-FT_Y5,12)/FT_Int2))),IF(AV36="PT",IF(AT36&lt;PT_First,0,1+INT((AT36-PT_First)/PT_Int)),0)))</f>
        <v/>
      </c>
      <c r="BA36" s="11" t="str">
        <f aca="false">IF(AO36=0,"",IF(AW36="FT",IF(AT36&lt;FT_First,0,IF(AT36&lt;FT_Y5,1+INT((AT36-FT_First)/FT_Int1),FT_PreY5+FT_PerYear*INT((AT36-FT_Y5)/12)+FT_AnnivDays+INT(MOD(AT36-FT_Y5,12)/FT_Int2))),IF(AW36="PT",IF(AT36&lt;PT_First,0,1+INT((AT36-PT_First)/PT_Int)),0)))</f>
        <v/>
      </c>
      <c r="BB36" s="11" t="str">
        <f aca="false">IF(AO36=0,"",IF(AW36="FT",IF(AU36&lt;FT_First,0,IF(AU36&lt;FT_Y5,1+INT((AU36-FT_First)/FT_Int1),FT_PreY5+FT_PerYear*INT((AU36-FT_Y5)/12)+FT_AnnivDays+INT(MOD(AU36-FT_Y5,12)/FT_Int2))),IF(AW36="PT",IF(AU36&lt;PT_First,0,1+INT((AU36-PT_First)/PT_Int)),0)))</f>
        <v/>
      </c>
      <c r="BC36" s="11" t="str">
        <f aca="false">IF(AO36=0,"",IF(AX36="FT",IF(AU36&lt;FT_First,0,IF(AU36&lt;FT_Y5,1+INT((AU36-FT_First)/FT_Int1),FT_PreY5+FT_PerYear*INT((AU36-FT_Y5)/12)+FT_AnnivDays+INT(MOD(AU36-FT_Y5,12)/FT_Int2))),IF(AX36="PT",IF(AU36&lt;PT_First,0,1+INT((AU36-PT_First)/PT_Int)),0)))</f>
        <v/>
      </c>
      <c r="BD36" s="11" t="str">
        <f aca="false">IF(AO36=0,"",IF(AX36="FT",IF(AQ36&lt;FT_First,0,IF(AQ36&lt;FT_Y5,1+INT((AQ36-FT_First)/FT_Int1),FT_PreY5+FT_PerYear*INT((AQ36-FT_Y5)/12)+FT_AnnivDays+INT(MOD(AQ36-FT_Y5,12)/FT_Int2))),IF(AX36="PT",IF(AQ36&lt;PT_First,0,1+INT((AQ36-PT_First)/PT_Int)),0)))</f>
        <v/>
      </c>
      <c r="BE36" s="11" t="str">
        <f aca="false">IF(AO36=0,"",IF(AY36="FT",IF(AQ36&lt;FT_First,FT_First,IF(AQ36&lt;FT_Y5,MIN(FT_Y5,FT_First+FT_Int1*(INT((AQ36-FT_First)/FT_Int1)+1)),FT_Y5+12*INT((AQ36-FT_Y5)/12)+FT_Int2*(INT(MOD(AQ36-FT_Y5,12)/FT_Int2)+1))),IF(AY36="PT",IF(AQ36&lt;PT_First,PT_First,PT_First+PT_Int*(INT((AQ36-PT_First)/PT_Int)+1)),"")))</f>
        <v/>
      </c>
      <c r="BF36" s="11" t="n">
        <f aca="false">IF(AO36=0,0,IF(AND($Q36&lt;&gt;"",$Q36&lt;=AsOfDate),1,0))</f>
        <v>0</v>
      </c>
      <c r="BG36" s="11" t="str">
        <f aca="false">IF(AND(AO36=1,BF36=0,EH_Ready,N(AB36)&gt;0,N(AI36)=0),COUNT($BG$5:BG35)+1,"")</f>
        <v/>
      </c>
      <c r="BH36" s="11" t="str">
        <f aca="false">IF(AND(AO36=1,BF36=0,EH_Ready,N(AB36)&gt;0,N(AI36)&gt;0,N(AK36)&gt;0),COUNT($BH$5:BH35)+1,"")</f>
        <v/>
      </c>
      <c r="BI36" s="11" t="str">
        <f aca="false">IF(AND(AO36=1,OR(LEFT(AM36,3)="ADD",LEFT(AM36,3)="SET",LEFT(AM36,5)="CHECK",LEFT(AM36,10)="TERMINATED")),COUNT($BI$5:BI35)+1,"")</f>
        <v/>
      </c>
      <c r="BJ36" s="11" t="str">
        <f aca="false">IF(AO36=0,"",$A36&amp;" - "&amp;$B36&amp;" "&amp;$C36)</f>
        <v/>
      </c>
    </row>
    <row r="37" customFormat="false" ht="15" hidden="false" customHeight="false" outlineLevel="0" collapsed="false">
      <c r="A37" s="10"/>
      <c r="B37" s="10"/>
      <c r="C37" s="10"/>
      <c r="D37" s="10"/>
      <c r="E37" s="9"/>
      <c r="F37" s="10"/>
      <c r="G37" s="30"/>
      <c r="H37" s="9"/>
      <c r="I37" s="10"/>
      <c r="J37" s="30"/>
      <c r="K37" s="9"/>
      <c r="L37" s="10"/>
      <c r="M37" s="30"/>
      <c r="N37" s="9"/>
      <c r="O37" s="9"/>
      <c r="P37" s="30"/>
      <c r="Q37" s="9"/>
      <c r="R37" s="10"/>
      <c r="S37" s="11" t="str">
        <f aca="false">IF(AO37=0,"",IF($H37="","",$F37&amp;" -&gt; "&amp;$I37&amp;IF($I37="Part-Time"," ("&amp;N($J37)&amp;" hrs)","")&amp;" on "&amp;TEXT($H37,"dd/mm/yyyy")&amp;IF($H37&gt;AsOfDate," (FUTURE)","")&amp;IF($K37="","","; "&amp;$I37&amp;" -&gt; "&amp;$L37&amp;IF($L37="Part-Time"," ("&amp;N($M37)&amp;" hrs)","")&amp;" on "&amp;TEXT($K37,"dd/mm/yyyy")&amp;IF($K37&gt;AsOfDate," (FUTURE)",""))))</f>
        <v/>
      </c>
      <c r="T37" s="11" t="str">
        <f aca="false">IF(AO37=0,"",IF(AS37&lt;&gt;"",$L37,IF(AR37&lt;&gt;"",$I37,$F37)))</f>
        <v/>
      </c>
      <c r="U37" s="26" t="str">
        <f aca="false">IF(AO37=0,"",IF(AS37&lt;&gt;"",$M37,IF(AR37&lt;&gt;"",$J37,$G37)))</f>
        <v/>
      </c>
      <c r="V37" s="11" t="str">
        <f aca="false">IF(AO37=0,"",IF(AY37="FT","Full-Time",IF(AY37="PT","Part-Time","Not eligible")))</f>
        <v/>
      </c>
      <c r="W37" s="27" t="str">
        <f aca="false">IF(AO37=0,"",IF(AR37="",IF(AND($H37&lt;&gt;"",$H37&gt;AsOfDate),"Future change - not yet applied",""),IF(AND(AV37=AY37,OR(AS37="",AW37=AV37)),"Type changed - same accrual pathway",IF(AY37="None","STOPPED accruing from "&amp;TEXT(IF(AS37&lt;&gt;"",AS37,AR37),"dd/mm/yyyy"),IF(AV37="None","STARTED qualifying from "&amp;TEXT(IF(AS37&lt;&gt;"",AS37,AR37),"dd/mm/yyyy"),"Pathway changed "&amp;AV37&amp;" -&gt; "&amp;AW37&amp;IF(AS37&lt;&gt;""," -&gt; "&amp;AX37,"")&amp;" from "&amp;TEXT(IF(AS37&lt;&gt;"",AS37,AR37),"dd/mm/yyyy"))))))</f>
        <v/>
      </c>
      <c r="X37" s="28" t="str">
        <f aca="false">IF(AO37=0,"",IF($Q37="",AsOfDate,MIN(AsOfDate,$Q37)))</f>
        <v/>
      </c>
      <c r="Y37" s="26" t="str">
        <f aca="false">IF(AO37=0,"",MAX(0,AQ37))</f>
        <v/>
      </c>
      <c r="Z37" s="11" t="str">
        <f aca="false">IF(AO37=0,"",IF(AQ37&lt;0,"Not started",INT(AQ37/12)&amp;"y "&amp;MOD(AQ37,12)&amp;"m"))</f>
        <v/>
      </c>
      <c r="AA37" s="27" t="str">
        <f aca="false">IF(AO37=0,"",IF(BF37=1,"Terminated - balance forfeited",IF(AY37="None",IF(AB37&gt;0,"No longer accruing - "&amp;T37,"Not eligible - "&amp;T37&amp;IF(AND(IFERROR(VLOOKUP(T37,TypeTable,2,0),"None")="PT",N(U37)&lt;PT_MinHours)," (under "&amp;PT_MinHours&amp;" hrs)","")),IF(AB37&gt;0,"Yes - accruing","Not yet - qualifies "&amp;TEXT(AD37,"dd/mm/yyyy")))))</f>
        <v/>
      </c>
      <c r="AB37" s="26" t="str">
        <f aca="false">IF(AO37=0,"",AZ37+IF(AR37="",0,BB37-BA37)+IF(AS37="",0,BD37-BC37))</f>
        <v/>
      </c>
      <c r="AC37" s="26" t="str">
        <f aca="false">IF(AO37=0,"",AB37*HoursPerDay)</f>
        <v/>
      </c>
      <c r="AD37" s="28" t="str">
        <f aca="false">IF(AO37=0,"",IF(OR(BF37=1,AY37="None"),"",EDATE($E37+AP37,BE37)))</f>
        <v/>
      </c>
      <c r="AE37" s="26" t="str">
        <f aca="false">IF(AD37="","",IF(AY37="PT",1,IF(BE37&lt;FT_Y5,1,IF(MOD(BE37-FT_Y5,12)=0,FT_AnnivDays,1))))</f>
        <v/>
      </c>
      <c r="AF37" s="27" t="str">
        <f aca="false">IF(AO37=0,"",IF(NOT(EH_Ready),"Map headers",IF(IF(MatchMode="Employee ID",COUNTIFS(INDEX(EH_Data,0,EH_ColID),$A37,INDEX(EH_Data,0,EH_ColCat),BonusCat),COUNTIFS(INDEX(EH_Data,0,EH_ColFirst),$B37,INDEX(EH_Data,0,EH_ColSur),$C37,INDEX(EH_Data,0,EH_ColCat),BonusCat))&gt;0,"Yes","No")))</f>
        <v/>
      </c>
      <c r="AG37" s="26" t="str">
        <f aca="false">IF(AO37=0,"",IF(NOT(EH_Ready),"",IF(MatchMode="Employee ID",SUMIFS(INDEX(EH_Data,0,EH_ColBal),INDEX(EH_Data,0,EH_ColID),$A37,INDEX(EH_Data,0,EH_ColCat),BonusCat),SUMIFS(INDEX(EH_Data,0,EH_ColBal),INDEX(EH_Data,0,EH_ColFirst),$B37,INDEX(EH_Data,0,EH_ColSur),$C37,INDEX(EH_Data,0,EH_ColCat),BonusCat))/IF(EHUnit="Hours",HoursPerDay,1)))</f>
        <v/>
      </c>
      <c r="AH37" s="26" t="str">
        <f aca="false">IF(AO37=0,"",IF(NOT(TK_Ready),0,IF(MatchMode="Employee ID",SUMIFS(INDEX(TK_Data,0,TK_ColAmt),INDEX(TK_Data,0,TK_ColID),$A37,INDEX(TK_Data,0,TK_ColCat),BonusCat),SUMIFS(INDEX(TK_Data,0,TK_ColAmt),INDEX(TK_Data,0,TK_ColFirst),$B37,INDEX(TK_Data,0,TK_ColSur),$C37,INDEX(TK_Data,0,TK_ColCat),BonusCat))/IF(TKUnit="Hours",HoursPerDay,1)))</f>
        <v/>
      </c>
      <c r="AI37" s="26" t="str">
        <f aca="false">IF(AO37=0,"",N(AG37)+N(AH37))</f>
        <v/>
      </c>
      <c r="AJ37" s="29" t="str">
        <f aca="false">IF(AO37=0,"",IF(NOT(AND(EH_Ready,EH_ValReady)),"",IF(MatchMode="Employee ID",SUMIFS(INDEX(EH_Data,0,EH_ColVal),INDEX(EH_Data,0,EH_ColID),$A37,INDEX(EH_Data,0,EH_ColCat),BonusCat),SUMIFS(INDEX(EH_Data,0,EH_ColVal),INDEX(EH_Data,0,EH_ColFirst),$B37,INDEX(EH_Data,0,EH_ColSur),$C37,INDEX(EH_Data,0,EH_ColCat),BonusCat))))</f>
        <v/>
      </c>
      <c r="AK37" s="26" t="str">
        <f aca="false">IF(AO37=0,"",IF(OR(NOT(EH_Ready),BF37=1),"",AB37-AI37))</f>
        <v/>
      </c>
      <c r="AL37" s="26" t="str">
        <f aca="false">IF(AK37="","",AK37*HoursPerDay)</f>
        <v/>
      </c>
      <c r="AM37" s="27" t="str">
        <f aca="false">IF(AO37=0,"",IF(BF37=1,IF(N(AG37)&gt;0,"TERMINATED - forfeit "&amp;TEXT(AG37,"0.##")&amp;" days still in EH","Terminated - nothing in EH"),IF(NOT(EH_Ready),"Paste EH export and map headers on Settings",IF(AND(AB37&gt;0,AF37="No"),"SET UP in EH - add "&amp;TEXT(AB37,"0.##")&amp;" day(s) ("&amp;TEXT(AC37,"0.##")&amp;" hrs)",IF(AK37&gt;0,"ADD "&amp;TEXT(AK37,"0.##")&amp;" day(s) ("&amp;TEXT(AL37,"0.##")&amp;" hrs) in EH",IF(AK37&lt;0,"CHECK - EH shows "&amp;TEXT(-AK37,"0.##")&amp;" days more than policy",IF(AB37&gt;0,"OK - up to date",IF(AY37="None","No action - not eligible","No action - not yet qualified"))))))))</f>
        <v/>
      </c>
      <c r="AN37" s="27" t="str">
        <f aca="false">IF(AO37=0,"",TRIM(IF(AND($K37&lt;&gt;"",$H37=""),"Change 2 entered without Change 1. ","")&amp;IF(AND($K37&lt;&gt;"",$H37&lt;&gt;"",$K37&lt;=$H37),"Change 2 date not after Change 1. ","")&amp;IF(AND($N37&lt;&gt;"",$O37&lt;&gt;"",$O37&lt;$N37),"Leave To is before Leave From. ","")&amp;IF(AND($N37&lt;&gt;"",$O37=""),"Leave From entered without Leave To. ","")&amp;IF(AND(IFERROR(VLOOKUP(T37,TypeTable,2,0),"None")="PT",U37=""),"Part-time with no hours entered. ","")&amp;IF(AND($H37&lt;&gt;"",$H37&gt;AsOfDate,AD37&lt;&gt;"",$H37&lt;=AD37),"Status change lands before next accrual - review. ","")&amp;IF(AND($Q37&lt;&gt;"",$Q37&lt;$E37),"Termination before commencement. ","")))</f>
        <v/>
      </c>
      <c r="AO37" s="11" t="n">
        <f aca="false">IF(LEN($A37&amp;$B37&amp;$C37)=0,0,IF($E37="",0,1))</f>
        <v>0</v>
      </c>
      <c r="AP37" s="11" t="str">
        <f aca="false">IF(AO37=0,"",(IF(OR($N37="",$O37=""),0,MAX(0,MIN(X37,$O37)-MAX($N37,$E37)+1))+N($P37)))</f>
        <v/>
      </c>
      <c r="AQ37" s="11" t="str">
        <f aca="false">IF(AO37=0,"",IF(X37&lt;($E37+(IF(OR($N37="",$O37=""),0,MAX(0,MIN(X37,$O37)-MAX($N37,$E37)+1))+N($P37))),-1,12*(YEAR(X37)-YEAR(($E37+(IF(OR($N37="",$O37=""),0,MAX(0,MIN(X37,$O37)-MAX($N37,$E37)+1))+N($P37)))))+MONTH(X37)-MONTH(($E37+(IF(OR($N37="",$O37=""),0,MAX(0,MIN(X37,$O37)-MAX($N37,$E37)+1))+N($P37))))-IF(DAY(X37)&lt;MIN(DAY(($E37+(IF(OR($N37="",$O37=""),0,MAX(0,MIN(X37,$O37)-MAX($N37,$E37)+1))+N($P37)))),DAY(EOMONTH(X37,0))),1,0)))</f>
        <v/>
      </c>
      <c r="AR37" s="28" t="str">
        <f aca="false">IF(AO37=0,"",IF($H37="","",IF($H37&gt;X37,"",$H37)))</f>
        <v/>
      </c>
      <c r="AS37" s="28" t="str">
        <f aca="false">IF(AO37=0,"",IF(AR37="","",IF($K37="","",IF($K37&gt;X37,"",$K37))))</f>
        <v/>
      </c>
      <c r="AT37" s="11" t="str">
        <f aca="false">IF(AO37=0,"",IF(AR37="",AQ37,IF((AR37-1)&lt;($E37+(IF(OR($N37="",$O37=""),0,MAX(0,MIN((AR37-1),$O37)-MAX($N37,$E37)+1))+N($P37))),-1,12*(YEAR((AR37-1))-YEAR(($E37+(IF(OR($N37="",$O37=""),0,MAX(0,MIN((AR37-1),$O37)-MAX($N37,$E37)+1))+N($P37)))))+MONTH((AR37-1))-MONTH(($E37+(IF(OR($N37="",$O37=""),0,MAX(0,MIN((AR37-1),$O37)-MAX($N37,$E37)+1))+N($P37))))-IF(DAY((AR37-1))&lt;MIN(DAY(($E37+(IF(OR($N37="",$O37=""),0,MAX(0,MIN((AR37-1),$O37)-MAX($N37,$E37)+1))+N($P37)))),DAY(EOMONTH((AR37-1),0))),1,0))))</f>
        <v/>
      </c>
      <c r="AU37" s="11" t="str">
        <f aca="false">IF(AO37=0,"",IF(AS37="",AQ37,IF((AS37-1)&lt;($E37+(IF(OR($N37="",$O37=""),0,MAX(0,MIN((AS37-1),$O37)-MAX($N37,$E37)+1))+N($P37))),-1,12*(YEAR((AS37-1))-YEAR(($E37+(IF(OR($N37="",$O37=""),0,MAX(0,MIN((AS37-1),$O37)-MAX($N37,$E37)+1))+N($P37)))))+MONTH((AS37-1))-MONTH(($E37+(IF(OR($N37="",$O37=""),0,MAX(0,MIN((AS37-1),$O37)-MAX($N37,$E37)+1))+N($P37))))-IF(DAY((AS37-1))&lt;MIN(DAY(($E37+(IF(OR($N37="",$O37=""),0,MAX(0,MIN((AS37-1),$O37)-MAX($N37,$E37)+1))+N($P37)))),DAY(EOMONTH((AS37-1),0))),1,0))))</f>
        <v/>
      </c>
      <c r="AV37" s="11" t="str">
        <f aca="false">IF(AO37=0,"",IF($F37="","None",IF(IFERROR(VLOOKUP($F37,TypeTable,2,0),"None")="PT",IF(N($G37)&gt;=PT_MinHours,"PT","None"),IFERROR(VLOOKUP($F37,TypeTable,2,0),"None"))))</f>
        <v/>
      </c>
      <c r="AW37" s="11" t="str">
        <f aca="false">IF(AO37=0,"",IF($I37="","None",IF(IFERROR(VLOOKUP($I37,TypeTable,2,0),"None")="PT",IF(N($J37)&gt;=PT_MinHours,"PT","None"),IFERROR(VLOOKUP($I37,TypeTable,2,0),"None"))))</f>
        <v/>
      </c>
      <c r="AX37" s="11" t="str">
        <f aca="false">IF(AO37=0,"",IF($L37="","None",IF(IFERROR(VLOOKUP($L37,TypeTable,2,0),"None")="PT",IF(N($M37)&gt;=PT_MinHours,"PT","None"),IFERROR(VLOOKUP($L37,TypeTable,2,0),"None"))))</f>
        <v/>
      </c>
      <c r="AY37" s="11" t="str">
        <f aca="false">IF(AO37=0,"",IF(AS37&lt;&gt;"",AX37,IF(AR37&lt;&gt;"",AW37,AV37)))</f>
        <v/>
      </c>
      <c r="AZ37" s="11" t="str">
        <f aca="false">IF(AO37=0,"",IF(AV37="FT",IF(AT37&lt;FT_First,0,IF(AT37&lt;FT_Y5,1+INT((AT37-FT_First)/FT_Int1),FT_PreY5+FT_PerYear*INT((AT37-FT_Y5)/12)+FT_AnnivDays+INT(MOD(AT37-FT_Y5,12)/FT_Int2))),IF(AV37="PT",IF(AT37&lt;PT_First,0,1+INT((AT37-PT_First)/PT_Int)),0)))</f>
        <v/>
      </c>
      <c r="BA37" s="11" t="str">
        <f aca="false">IF(AO37=0,"",IF(AW37="FT",IF(AT37&lt;FT_First,0,IF(AT37&lt;FT_Y5,1+INT((AT37-FT_First)/FT_Int1),FT_PreY5+FT_PerYear*INT((AT37-FT_Y5)/12)+FT_AnnivDays+INT(MOD(AT37-FT_Y5,12)/FT_Int2))),IF(AW37="PT",IF(AT37&lt;PT_First,0,1+INT((AT37-PT_First)/PT_Int)),0)))</f>
        <v/>
      </c>
      <c r="BB37" s="11" t="str">
        <f aca="false">IF(AO37=0,"",IF(AW37="FT",IF(AU37&lt;FT_First,0,IF(AU37&lt;FT_Y5,1+INT((AU37-FT_First)/FT_Int1),FT_PreY5+FT_PerYear*INT((AU37-FT_Y5)/12)+FT_AnnivDays+INT(MOD(AU37-FT_Y5,12)/FT_Int2))),IF(AW37="PT",IF(AU37&lt;PT_First,0,1+INT((AU37-PT_First)/PT_Int)),0)))</f>
        <v/>
      </c>
      <c r="BC37" s="11" t="str">
        <f aca="false">IF(AO37=0,"",IF(AX37="FT",IF(AU37&lt;FT_First,0,IF(AU37&lt;FT_Y5,1+INT((AU37-FT_First)/FT_Int1),FT_PreY5+FT_PerYear*INT((AU37-FT_Y5)/12)+FT_AnnivDays+INT(MOD(AU37-FT_Y5,12)/FT_Int2))),IF(AX37="PT",IF(AU37&lt;PT_First,0,1+INT((AU37-PT_First)/PT_Int)),0)))</f>
        <v/>
      </c>
      <c r="BD37" s="11" t="str">
        <f aca="false">IF(AO37=0,"",IF(AX37="FT",IF(AQ37&lt;FT_First,0,IF(AQ37&lt;FT_Y5,1+INT((AQ37-FT_First)/FT_Int1),FT_PreY5+FT_PerYear*INT((AQ37-FT_Y5)/12)+FT_AnnivDays+INT(MOD(AQ37-FT_Y5,12)/FT_Int2))),IF(AX37="PT",IF(AQ37&lt;PT_First,0,1+INT((AQ37-PT_First)/PT_Int)),0)))</f>
        <v/>
      </c>
      <c r="BE37" s="11" t="str">
        <f aca="false">IF(AO37=0,"",IF(AY37="FT",IF(AQ37&lt;FT_First,FT_First,IF(AQ37&lt;FT_Y5,MIN(FT_Y5,FT_First+FT_Int1*(INT((AQ37-FT_First)/FT_Int1)+1)),FT_Y5+12*INT((AQ37-FT_Y5)/12)+FT_Int2*(INT(MOD(AQ37-FT_Y5,12)/FT_Int2)+1))),IF(AY37="PT",IF(AQ37&lt;PT_First,PT_First,PT_First+PT_Int*(INT((AQ37-PT_First)/PT_Int)+1)),"")))</f>
        <v/>
      </c>
      <c r="BF37" s="11" t="n">
        <f aca="false">IF(AO37=0,0,IF(AND($Q37&lt;&gt;"",$Q37&lt;=AsOfDate),1,0))</f>
        <v>0</v>
      </c>
      <c r="BG37" s="11" t="str">
        <f aca="false">IF(AND(AO37=1,BF37=0,EH_Ready,N(AB37)&gt;0,N(AI37)=0),COUNT($BG$5:BG36)+1,"")</f>
        <v/>
      </c>
      <c r="BH37" s="11" t="str">
        <f aca="false">IF(AND(AO37=1,BF37=0,EH_Ready,N(AB37)&gt;0,N(AI37)&gt;0,N(AK37)&gt;0),COUNT($BH$5:BH36)+1,"")</f>
        <v/>
      </c>
      <c r="BI37" s="11" t="str">
        <f aca="false">IF(AND(AO37=1,OR(LEFT(AM37,3)="ADD",LEFT(AM37,3)="SET",LEFT(AM37,5)="CHECK",LEFT(AM37,10)="TERMINATED")),COUNT($BI$5:BI36)+1,"")</f>
        <v/>
      </c>
      <c r="BJ37" s="11" t="str">
        <f aca="false">IF(AO37=0,"",$A37&amp;" - "&amp;$B37&amp;" "&amp;$C37)</f>
        <v/>
      </c>
    </row>
    <row r="38" customFormat="false" ht="15" hidden="false" customHeight="false" outlineLevel="0" collapsed="false">
      <c r="A38" s="10"/>
      <c r="B38" s="10"/>
      <c r="C38" s="10"/>
      <c r="D38" s="10"/>
      <c r="E38" s="9"/>
      <c r="F38" s="10"/>
      <c r="G38" s="30"/>
      <c r="H38" s="9"/>
      <c r="I38" s="10"/>
      <c r="J38" s="30"/>
      <c r="K38" s="9"/>
      <c r="L38" s="10"/>
      <c r="M38" s="30"/>
      <c r="N38" s="9"/>
      <c r="O38" s="9"/>
      <c r="P38" s="30"/>
      <c r="Q38" s="9"/>
      <c r="R38" s="10"/>
      <c r="S38" s="11" t="str">
        <f aca="false">IF(AO38=0,"",IF($H38="","",$F38&amp;" -&gt; "&amp;$I38&amp;IF($I38="Part-Time"," ("&amp;N($J38)&amp;" hrs)","")&amp;" on "&amp;TEXT($H38,"dd/mm/yyyy")&amp;IF($H38&gt;AsOfDate," (FUTURE)","")&amp;IF($K38="","","; "&amp;$I38&amp;" -&gt; "&amp;$L38&amp;IF($L38="Part-Time"," ("&amp;N($M38)&amp;" hrs)","")&amp;" on "&amp;TEXT($K38,"dd/mm/yyyy")&amp;IF($K38&gt;AsOfDate," (FUTURE)",""))))</f>
        <v/>
      </c>
      <c r="T38" s="11" t="str">
        <f aca="false">IF(AO38=0,"",IF(AS38&lt;&gt;"",$L38,IF(AR38&lt;&gt;"",$I38,$F38)))</f>
        <v/>
      </c>
      <c r="U38" s="26" t="str">
        <f aca="false">IF(AO38=0,"",IF(AS38&lt;&gt;"",$M38,IF(AR38&lt;&gt;"",$J38,$G38)))</f>
        <v/>
      </c>
      <c r="V38" s="11" t="str">
        <f aca="false">IF(AO38=0,"",IF(AY38="FT","Full-Time",IF(AY38="PT","Part-Time","Not eligible")))</f>
        <v/>
      </c>
      <c r="W38" s="27" t="str">
        <f aca="false">IF(AO38=0,"",IF(AR38="",IF(AND($H38&lt;&gt;"",$H38&gt;AsOfDate),"Future change - not yet applied",""),IF(AND(AV38=AY38,OR(AS38="",AW38=AV38)),"Type changed - same accrual pathway",IF(AY38="None","STOPPED accruing from "&amp;TEXT(IF(AS38&lt;&gt;"",AS38,AR38),"dd/mm/yyyy"),IF(AV38="None","STARTED qualifying from "&amp;TEXT(IF(AS38&lt;&gt;"",AS38,AR38),"dd/mm/yyyy"),"Pathway changed "&amp;AV38&amp;" -&gt; "&amp;AW38&amp;IF(AS38&lt;&gt;""," -&gt; "&amp;AX38,"")&amp;" from "&amp;TEXT(IF(AS38&lt;&gt;"",AS38,AR38),"dd/mm/yyyy"))))))</f>
        <v/>
      </c>
      <c r="X38" s="28" t="str">
        <f aca="false">IF(AO38=0,"",IF($Q38="",AsOfDate,MIN(AsOfDate,$Q38)))</f>
        <v/>
      </c>
      <c r="Y38" s="26" t="str">
        <f aca="false">IF(AO38=0,"",MAX(0,AQ38))</f>
        <v/>
      </c>
      <c r="Z38" s="11" t="str">
        <f aca="false">IF(AO38=0,"",IF(AQ38&lt;0,"Not started",INT(AQ38/12)&amp;"y "&amp;MOD(AQ38,12)&amp;"m"))</f>
        <v/>
      </c>
      <c r="AA38" s="27" t="str">
        <f aca="false">IF(AO38=0,"",IF(BF38=1,"Terminated - balance forfeited",IF(AY38="None",IF(AB38&gt;0,"No longer accruing - "&amp;T38,"Not eligible - "&amp;T38&amp;IF(AND(IFERROR(VLOOKUP(T38,TypeTable,2,0),"None")="PT",N(U38)&lt;PT_MinHours)," (under "&amp;PT_MinHours&amp;" hrs)","")),IF(AB38&gt;0,"Yes - accruing","Not yet - qualifies "&amp;TEXT(AD38,"dd/mm/yyyy")))))</f>
        <v/>
      </c>
      <c r="AB38" s="26" t="str">
        <f aca="false">IF(AO38=0,"",AZ38+IF(AR38="",0,BB38-BA38)+IF(AS38="",0,BD38-BC38))</f>
        <v/>
      </c>
      <c r="AC38" s="26" t="str">
        <f aca="false">IF(AO38=0,"",AB38*HoursPerDay)</f>
        <v/>
      </c>
      <c r="AD38" s="28" t="str">
        <f aca="false">IF(AO38=0,"",IF(OR(BF38=1,AY38="None"),"",EDATE($E38+AP38,BE38)))</f>
        <v/>
      </c>
      <c r="AE38" s="26" t="str">
        <f aca="false">IF(AD38="","",IF(AY38="PT",1,IF(BE38&lt;FT_Y5,1,IF(MOD(BE38-FT_Y5,12)=0,FT_AnnivDays,1))))</f>
        <v/>
      </c>
      <c r="AF38" s="27" t="str">
        <f aca="false">IF(AO38=0,"",IF(NOT(EH_Ready),"Map headers",IF(IF(MatchMode="Employee ID",COUNTIFS(INDEX(EH_Data,0,EH_ColID),$A38,INDEX(EH_Data,0,EH_ColCat),BonusCat),COUNTIFS(INDEX(EH_Data,0,EH_ColFirst),$B38,INDEX(EH_Data,0,EH_ColSur),$C38,INDEX(EH_Data,0,EH_ColCat),BonusCat))&gt;0,"Yes","No")))</f>
        <v/>
      </c>
      <c r="AG38" s="26" t="str">
        <f aca="false">IF(AO38=0,"",IF(NOT(EH_Ready),"",IF(MatchMode="Employee ID",SUMIFS(INDEX(EH_Data,0,EH_ColBal),INDEX(EH_Data,0,EH_ColID),$A38,INDEX(EH_Data,0,EH_ColCat),BonusCat),SUMIFS(INDEX(EH_Data,0,EH_ColBal),INDEX(EH_Data,0,EH_ColFirst),$B38,INDEX(EH_Data,0,EH_ColSur),$C38,INDEX(EH_Data,0,EH_ColCat),BonusCat))/IF(EHUnit="Hours",HoursPerDay,1)))</f>
        <v/>
      </c>
      <c r="AH38" s="26" t="str">
        <f aca="false">IF(AO38=0,"",IF(NOT(TK_Ready),0,IF(MatchMode="Employee ID",SUMIFS(INDEX(TK_Data,0,TK_ColAmt),INDEX(TK_Data,0,TK_ColID),$A38,INDEX(TK_Data,0,TK_ColCat),BonusCat),SUMIFS(INDEX(TK_Data,0,TK_ColAmt),INDEX(TK_Data,0,TK_ColFirst),$B38,INDEX(TK_Data,0,TK_ColSur),$C38,INDEX(TK_Data,0,TK_ColCat),BonusCat))/IF(TKUnit="Hours",HoursPerDay,1)))</f>
        <v/>
      </c>
      <c r="AI38" s="26" t="str">
        <f aca="false">IF(AO38=0,"",N(AG38)+N(AH38))</f>
        <v/>
      </c>
      <c r="AJ38" s="29" t="str">
        <f aca="false">IF(AO38=0,"",IF(NOT(AND(EH_Ready,EH_ValReady)),"",IF(MatchMode="Employee ID",SUMIFS(INDEX(EH_Data,0,EH_ColVal),INDEX(EH_Data,0,EH_ColID),$A38,INDEX(EH_Data,0,EH_ColCat),BonusCat),SUMIFS(INDEX(EH_Data,0,EH_ColVal),INDEX(EH_Data,0,EH_ColFirst),$B38,INDEX(EH_Data,0,EH_ColSur),$C38,INDEX(EH_Data,0,EH_ColCat),BonusCat))))</f>
        <v/>
      </c>
      <c r="AK38" s="26" t="str">
        <f aca="false">IF(AO38=0,"",IF(OR(NOT(EH_Ready),BF38=1),"",AB38-AI38))</f>
        <v/>
      </c>
      <c r="AL38" s="26" t="str">
        <f aca="false">IF(AK38="","",AK38*HoursPerDay)</f>
        <v/>
      </c>
      <c r="AM38" s="27" t="str">
        <f aca="false">IF(AO38=0,"",IF(BF38=1,IF(N(AG38)&gt;0,"TERMINATED - forfeit "&amp;TEXT(AG38,"0.##")&amp;" days still in EH","Terminated - nothing in EH"),IF(NOT(EH_Ready),"Paste EH export and map headers on Settings",IF(AND(AB38&gt;0,AF38="No"),"SET UP in EH - add "&amp;TEXT(AB38,"0.##")&amp;" day(s) ("&amp;TEXT(AC38,"0.##")&amp;" hrs)",IF(AK38&gt;0,"ADD "&amp;TEXT(AK38,"0.##")&amp;" day(s) ("&amp;TEXT(AL38,"0.##")&amp;" hrs) in EH",IF(AK38&lt;0,"CHECK - EH shows "&amp;TEXT(-AK38,"0.##")&amp;" days more than policy",IF(AB38&gt;0,"OK - up to date",IF(AY38="None","No action - not eligible","No action - not yet qualified"))))))))</f>
        <v/>
      </c>
      <c r="AN38" s="27" t="str">
        <f aca="false">IF(AO38=0,"",TRIM(IF(AND($K38&lt;&gt;"",$H38=""),"Change 2 entered without Change 1. ","")&amp;IF(AND($K38&lt;&gt;"",$H38&lt;&gt;"",$K38&lt;=$H38),"Change 2 date not after Change 1. ","")&amp;IF(AND($N38&lt;&gt;"",$O38&lt;&gt;"",$O38&lt;$N38),"Leave To is before Leave From. ","")&amp;IF(AND($N38&lt;&gt;"",$O38=""),"Leave From entered without Leave To. ","")&amp;IF(AND(IFERROR(VLOOKUP(T38,TypeTable,2,0),"None")="PT",U38=""),"Part-time with no hours entered. ","")&amp;IF(AND($H38&lt;&gt;"",$H38&gt;AsOfDate,AD38&lt;&gt;"",$H38&lt;=AD38),"Status change lands before next accrual - review. ","")&amp;IF(AND($Q38&lt;&gt;"",$Q38&lt;$E38),"Termination before commencement. ","")))</f>
        <v/>
      </c>
      <c r="AO38" s="11" t="n">
        <f aca="false">IF(LEN($A38&amp;$B38&amp;$C38)=0,0,IF($E38="",0,1))</f>
        <v>0</v>
      </c>
      <c r="AP38" s="11" t="str">
        <f aca="false">IF(AO38=0,"",(IF(OR($N38="",$O38=""),0,MAX(0,MIN(X38,$O38)-MAX($N38,$E38)+1))+N($P38)))</f>
        <v/>
      </c>
      <c r="AQ38" s="11" t="str">
        <f aca="false">IF(AO38=0,"",IF(X38&lt;($E38+(IF(OR($N38="",$O38=""),0,MAX(0,MIN(X38,$O38)-MAX($N38,$E38)+1))+N($P38))),-1,12*(YEAR(X38)-YEAR(($E38+(IF(OR($N38="",$O38=""),0,MAX(0,MIN(X38,$O38)-MAX($N38,$E38)+1))+N($P38)))))+MONTH(X38)-MONTH(($E38+(IF(OR($N38="",$O38=""),0,MAX(0,MIN(X38,$O38)-MAX($N38,$E38)+1))+N($P38))))-IF(DAY(X38)&lt;MIN(DAY(($E38+(IF(OR($N38="",$O38=""),0,MAX(0,MIN(X38,$O38)-MAX($N38,$E38)+1))+N($P38)))),DAY(EOMONTH(X38,0))),1,0)))</f>
        <v/>
      </c>
      <c r="AR38" s="28" t="str">
        <f aca="false">IF(AO38=0,"",IF($H38="","",IF($H38&gt;X38,"",$H38)))</f>
        <v/>
      </c>
      <c r="AS38" s="28" t="str">
        <f aca="false">IF(AO38=0,"",IF(AR38="","",IF($K38="","",IF($K38&gt;X38,"",$K38))))</f>
        <v/>
      </c>
      <c r="AT38" s="11" t="str">
        <f aca="false">IF(AO38=0,"",IF(AR38="",AQ38,IF((AR38-1)&lt;($E38+(IF(OR($N38="",$O38=""),0,MAX(0,MIN((AR38-1),$O38)-MAX($N38,$E38)+1))+N($P38))),-1,12*(YEAR((AR38-1))-YEAR(($E38+(IF(OR($N38="",$O38=""),0,MAX(0,MIN((AR38-1),$O38)-MAX($N38,$E38)+1))+N($P38)))))+MONTH((AR38-1))-MONTH(($E38+(IF(OR($N38="",$O38=""),0,MAX(0,MIN((AR38-1),$O38)-MAX($N38,$E38)+1))+N($P38))))-IF(DAY((AR38-1))&lt;MIN(DAY(($E38+(IF(OR($N38="",$O38=""),0,MAX(0,MIN((AR38-1),$O38)-MAX($N38,$E38)+1))+N($P38)))),DAY(EOMONTH((AR38-1),0))),1,0))))</f>
        <v/>
      </c>
      <c r="AU38" s="11" t="str">
        <f aca="false">IF(AO38=0,"",IF(AS38="",AQ38,IF((AS38-1)&lt;($E38+(IF(OR($N38="",$O38=""),0,MAX(0,MIN((AS38-1),$O38)-MAX($N38,$E38)+1))+N($P38))),-1,12*(YEAR((AS38-1))-YEAR(($E38+(IF(OR($N38="",$O38=""),0,MAX(0,MIN((AS38-1),$O38)-MAX($N38,$E38)+1))+N($P38)))))+MONTH((AS38-1))-MONTH(($E38+(IF(OR($N38="",$O38=""),0,MAX(0,MIN((AS38-1),$O38)-MAX($N38,$E38)+1))+N($P38))))-IF(DAY((AS38-1))&lt;MIN(DAY(($E38+(IF(OR($N38="",$O38=""),0,MAX(0,MIN((AS38-1),$O38)-MAX($N38,$E38)+1))+N($P38)))),DAY(EOMONTH((AS38-1),0))),1,0))))</f>
        <v/>
      </c>
      <c r="AV38" s="11" t="str">
        <f aca="false">IF(AO38=0,"",IF($F38="","None",IF(IFERROR(VLOOKUP($F38,TypeTable,2,0),"None")="PT",IF(N($G38)&gt;=PT_MinHours,"PT","None"),IFERROR(VLOOKUP($F38,TypeTable,2,0),"None"))))</f>
        <v/>
      </c>
      <c r="AW38" s="11" t="str">
        <f aca="false">IF(AO38=0,"",IF($I38="","None",IF(IFERROR(VLOOKUP($I38,TypeTable,2,0),"None")="PT",IF(N($J38)&gt;=PT_MinHours,"PT","None"),IFERROR(VLOOKUP($I38,TypeTable,2,0),"None"))))</f>
        <v/>
      </c>
      <c r="AX38" s="11" t="str">
        <f aca="false">IF(AO38=0,"",IF($L38="","None",IF(IFERROR(VLOOKUP($L38,TypeTable,2,0),"None")="PT",IF(N($M38)&gt;=PT_MinHours,"PT","None"),IFERROR(VLOOKUP($L38,TypeTable,2,0),"None"))))</f>
        <v/>
      </c>
      <c r="AY38" s="11" t="str">
        <f aca="false">IF(AO38=0,"",IF(AS38&lt;&gt;"",AX38,IF(AR38&lt;&gt;"",AW38,AV38)))</f>
        <v/>
      </c>
      <c r="AZ38" s="11" t="str">
        <f aca="false">IF(AO38=0,"",IF(AV38="FT",IF(AT38&lt;FT_First,0,IF(AT38&lt;FT_Y5,1+INT((AT38-FT_First)/FT_Int1),FT_PreY5+FT_PerYear*INT((AT38-FT_Y5)/12)+FT_AnnivDays+INT(MOD(AT38-FT_Y5,12)/FT_Int2))),IF(AV38="PT",IF(AT38&lt;PT_First,0,1+INT((AT38-PT_First)/PT_Int)),0)))</f>
        <v/>
      </c>
      <c r="BA38" s="11" t="str">
        <f aca="false">IF(AO38=0,"",IF(AW38="FT",IF(AT38&lt;FT_First,0,IF(AT38&lt;FT_Y5,1+INT((AT38-FT_First)/FT_Int1),FT_PreY5+FT_PerYear*INT((AT38-FT_Y5)/12)+FT_AnnivDays+INT(MOD(AT38-FT_Y5,12)/FT_Int2))),IF(AW38="PT",IF(AT38&lt;PT_First,0,1+INT((AT38-PT_First)/PT_Int)),0)))</f>
        <v/>
      </c>
      <c r="BB38" s="11" t="str">
        <f aca="false">IF(AO38=0,"",IF(AW38="FT",IF(AU38&lt;FT_First,0,IF(AU38&lt;FT_Y5,1+INT((AU38-FT_First)/FT_Int1),FT_PreY5+FT_PerYear*INT((AU38-FT_Y5)/12)+FT_AnnivDays+INT(MOD(AU38-FT_Y5,12)/FT_Int2))),IF(AW38="PT",IF(AU38&lt;PT_First,0,1+INT((AU38-PT_First)/PT_Int)),0)))</f>
        <v/>
      </c>
      <c r="BC38" s="11" t="str">
        <f aca="false">IF(AO38=0,"",IF(AX38="FT",IF(AU38&lt;FT_First,0,IF(AU38&lt;FT_Y5,1+INT((AU38-FT_First)/FT_Int1),FT_PreY5+FT_PerYear*INT((AU38-FT_Y5)/12)+FT_AnnivDays+INT(MOD(AU38-FT_Y5,12)/FT_Int2))),IF(AX38="PT",IF(AU38&lt;PT_First,0,1+INT((AU38-PT_First)/PT_Int)),0)))</f>
        <v/>
      </c>
      <c r="BD38" s="11" t="str">
        <f aca="false">IF(AO38=0,"",IF(AX38="FT",IF(AQ38&lt;FT_First,0,IF(AQ38&lt;FT_Y5,1+INT((AQ38-FT_First)/FT_Int1),FT_PreY5+FT_PerYear*INT((AQ38-FT_Y5)/12)+FT_AnnivDays+INT(MOD(AQ38-FT_Y5,12)/FT_Int2))),IF(AX38="PT",IF(AQ38&lt;PT_First,0,1+INT((AQ38-PT_First)/PT_Int)),0)))</f>
        <v/>
      </c>
      <c r="BE38" s="11" t="str">
        <f aca="false">IF(AO38=0,"",IF(AY38="FT",IF(AQ38&lt;FT_First,FT_First,IF(AQ38&lt;FT_Y5,MIN(FT_Y5,FT_First+FT_Int1*(INT((AQ38-FT_First)/FT_Int1)+1)),FT_Y5+12*INT((AQ38-FT_Y5)/12)+FT_Int2*(INT(MOD(AQ38-FT_Y5,12)/FT_Int2)+1))),IF(AY38="PT",IF(AQ38&lt;PT_First,PT_First,PT_First+PT_Int*(INT((AQ38-PT_First)/PT_Int)+1)),"")))</f>
        <v/>
      </c>
      <c r="BF38" s="11" t="n">
        <f aca="false">IF(AO38=0,0,IF(AND($Q38&lt;&gt;"",$Q38&lt;=AsOfDate),1,0))</f>
        <v>0</v>
      </c>
      <c r="BG38" s="11" t="str">
        <f aca="false">IF(AND(AO38=1,BF38=0,EH_Ready,N(AB38)&gt;0,N(AI38)=0),COUNT($BG$5:BG37)+1,"")</f>
        <v/>
      </c>
      <c r="BH38" s="11" t="str">
        <f aca="false">IF(AND(AO38=1,BF38=0,EH_Ready,N(AB38)&gt;0,N(AI38)&gt;0,N(AK38)&gt;0),COUNT($BH$5:BH37)+1,"")</f>
        <v/>
      </c>
      <c r="BI38" s="11" t="str">
        <f aca="false">IF(AND(AO38=1,OR(LEFT(AM38,3)="ADD",LEFT(AM38,3)="SET",LEFT(AM38,5)="CHECK",LEFT(AM38,10)="TERMINATED")),COUNT($BI$5:BI37)+1,"")</f>
        <v/>
      </c>
      <c r="BJ38" s="11" t="str">
        <f aca="false">IF(AO38=0,"",$A38&amp;" - "&amp;$B38&amp;" "&amp;$C38)</f>
        <v/>
      </c>
    </row>
    <row r="39" customFormat="false" ht="15" hidden="false" customHeight="false" outlineLevel="0" collapsed="false">
      <c r="A39" s="10"/>
      <c r="B39" s="10"/>
      <c r="C39" s="10"/>
      <c r="D39" s="10"/>
      <c r="E39" s="9"/>
      <c r="F39" s="10"/>
      <c r="G39" s="30"/>
      <c r="H39" s="9"/>
      <c r="I39" s="10"/>
      <c r="J39" s="30"/>
      <c r="K39" s="9"/>
      <c r="L39" s="10"/>
      <c r="M39" s="30"/>
      <c r="N39" s="9"/>
      <c r="O39" s="9"/>
      <c r="P39" s="30"/>
      <c r="Q39" s="9"/>
      <c r="R39" s="10"/>
      <c r="S39" s="11" t="str">
        <f aca="false">IF(AO39=0,"",IF($H39="","",$F39&amp;" -&gt; "&amp;$I39&amp;IF($I39="Part-Time"," ("&amp;N($J39)&amp;" hrs)","")&amp;" on "&amp;TEXT($H39,"dd/mm/yyyy")&amp;IF($H39&gt;AsOfDate," (FUTURE)","")&amp;IF($K39="","","; "&amp;$I39&amp;" -&gt; "&amp;$L39&amp;IF($L39="Part-Time"," ("&amp;N($M39)&amp;" hrs)","")&amp;" on "&amp;TEXT($K39,"dd/mm/yyyy")&amp;IF($K39&gt;AsOfDate," (FUTURE)",""))))</f>
        <v/>
      </c>
      <c r="T39" s="11" t="str">
        <f aca="false">IF(AO39=0,"",IF(AS39&lt;&gt;"",$L39,IF(AR39&lt;&gt;"",$I39,$F39)))</f>
        <v/>
      </c>
      <c r="U39" s="26" t="str">
        <f aca="false">IF(AO39=0,"",IF(AS39&lt;&gt;"",$M39,IF(AR39&lt;&gt;"",$J39,$G39)))</f>
        <v/>
      </c>
      <c r="V39" s="11" t="str">
        <f aca="false">IF(AO39=0,"",IF(AY39="FT","Full-Time",IF(AY39="PT","Part-Time","Not eligible")))</f>
        <v/>
      </c>
      <c r="W39" s="27" t="str">
        <f aca="false">IF(AO39=0,"",IF(AR39="",IF(AND($H39&lt;&gt;"",$H39&gt;AsOfDate),"Future change - not yet applied",""),IF(AND(AV39=AY39,OR(AS39="",AW39=AV39)),"Type changed - same accrual pathway",IF(AY39="None","STOPPED accruing from "&amp;TEXT(IF(AS39&lt;&gt;"",AS39,AR39),"dd/mm/yyyy"),IF(AV39="None","STARTED qualifying from "&amp;TEXT(IF(AS39&lt;&gt;"",AS39,AR39),"dd/mm/yyyy"),"Pathway changed "&amp;AV39&amp;" -&gt; "&amp;AW39&amp;IF(AS39&lt;&gt;""," -&gt; "&amp;AX39,"")&amp;" from "&amp;TEXT(IF(AS39&lt;&gt;"",AS39,AR39),"dd/mm/yyyy"))))))</f>
        <v/>
      </c>
      <c r="X39" s="28" t="str">
        <f aca="false">IF(AO39=0,"",IF($Q39="",AsOfDate,MIN(AsOfDate,$Q39)))</f>
        <v/>
      </c>
      <c r="Y39" s="26" t="str">
        <f aca="false">IF(AO39=0,"",MAX(0,AQ39))</f>
        <v/>
      </c>
      <c r="Z39" s="11" t="str">
        <f aca="false">IF(AO39=0,"",IF(AQ39&lt;0,"Not started",INT(AQ39/12)&amp;"y "&amp;MOD(AQ39,12)&amp;"m"))</f>
        <v/>
      </c>
      <c r="AA39" s="27" t="str">
        <f aca="false">IF(AO39=0,"",IF(BF39=1,"Terminated - balance forfeited",IF(AY39="None",IF(AB39&gt;0,"No longer accruing - "&amp;T39,"Not eligible - "&amp;T39&amp;IF(AND(IFERROR(VLOOKUP(T39,TypeTable,2,0),"None")="PT",N(U39)&lt;PT_MinHours)," (under "&amp;PT_MinHours&amp;" hrs)","")),IF(AB39&gt;0,"Yes - accruing","Not yet - qualifies "&amp;TEXT(AD39,"dd/mm/yyyy")))))</f>
        <v/>
      </c>
      <c r="AB39" s="26" t="str">
        <f aca="false">IF(AO39=0,"",AZ39+IF(AR39="",0,BB39-BA39)+IF(AS39="",0,BD39-BC39))</f>
        <v/>
      </c>
      <c r="AC39" s="26" t="str">
        <f aca="false">IF(AO39=0,"",AB39*HoursPerDay)</f>
        <v/>
      </c>
      <c r="AD39" s="28" t="str">
        <f aca="false">IF(AO39=0,"",IF(OR(BF39=1,AY39="None"),"",EDATE($E39+AP39,BE39)))</f>
        <v/>
      </c>
      <c r="AE39" s="26" t="str">
        <f aca="false">IF(AD39="","",IF(AY39="PT",1,IF(BE39&lt;FT_Y5,1,IF(MOD(BE39-FT_Y5,12)=0,FT_AnnivDays,1))))</f>
        <v/>
      </c>
      <c r="AF39" s="27" t="str">
        <f aca="false">IF(AO39=0,"",IF(NOT(EH_Ready),"Map headers",IF(IF(MatchMode="Employee ID",COUNTIFS(INDEX(EH_Data,0,EH_ColID),$A39,INDEX(EH_Data,0,EH_ColCat),BonusCat),COUNTIFS(INDEX(EH_Data,0,EH_ColFirst),$B39,INDEX(EH_Data,0,EH_ColSur),$C39,INDEX(EH_Data,0,EH_ColCat),BonusCat))&gt;0,"Yes","No")))</f>
        <v/>
      </c>
      <c r="AG39" s="26" t="str">
        <f aca="false">IF(AO39=0,"",IF(NOT(EH_Ready),"",IF(MatchMode="Employee ID",SUMIFS(INDEX(EH_Data,0,EH_ColBal),INDEX(EH_Data,0,EH_ColID),$A39,INDEX(EH_Data,0,EH_ColCat),BonusCat),SUMIFS(INDEX(EH_Data,0,EH_ColBal),INDEX(EH_Data,0,EH_ColFirst),$B39,INDEX(EH_Data,0,EH_ColSur),$C39,INDEX(EH_Data,0,EH_ColCat),BonusCat))/IF(EHUnit="Hours",HoursPerDay,1)))</f>
        <v/>
      </c>
      <c r="AH39" s="26" t="str">
        <f aca="false">IF(AO39=0,"",IF(NOT(TK_Ready),0,IF(MatchMode="Employee ID",SUMIFS(INDEX(TK_Data,0,TK_ColAmt),INDEX(TK_Data,0,TK_ColID),$A39,INDEX(TK_Data,0,TK_ColCat),BonusCat),SUMIFS(INDEX(TK_Data,0,TK_ColAmt),INDEX(TK_Data,0,TK_ColFirst),$B39,INDEX(TK_Data,0,TK_ColSur),$C39,INDEX(TK_Data,0,TK_ColCat),BonusCat))/IF(TKUnit="Hours",HoursPerDay,1)))</f>
        <v/>
      </c>
      <c r="AI39" s="26" t="str">
        <f aca="false">IF(AO39=0,"",N(AG39)+N(AH39))</f>
        <v/>
      </c>
      <c r="AJ39" s="29" t="str">
        <f aca="false">IF(AO39=0,"",IF(NOT(AND(EH_Ready,EH_ValReady)),"",IF(MatchMode="Employee ID",SUMIFS(INDEX(EH_Data,0,EH_ColVal),INDEX(EH_Data,0,EH_ColID),$A39,INDEX(EH_Data,0,EH_ColCat),BonusCat),SUMIFS(INDEX(EH_Data,0,EH_ColVal),INDEX(EH_Data,0,EH_ColFirst),$B39,INDEX(EH_Data,0,EH_ColSur),$C39,INDEX(EH_Data,0,EH_ColCat),BonusCat))))</f>
        <v/>
      </c>
      <c r="AK39" s="26" t="str">
        <f aca="false">IF(AO39=0,"",IF(OR(NOT(EH_Ready),BF39=1),"",AB39-AI39))</f>
        <v/>
      </c>
      <c r="AL39" s="26" t="str">
        <f aca="false">IF(AK39="","",AK39*HoursPerDay)</f>
        <v/>
      </c>
      <c r="AM39" s="27" t="str">
        <f aca="false">IF(AO39=0,"",IF(BF39=1,IF(N(AG39)&gt;0,"TERMINATED - forfeit "&amp;TEXT(AG39,"0.##")&amp;" days still in EH","Terminated - nothing in EH"),IF(NOT(EH_Ready),"Paste EH export and map headers on Settings",IF(AND(AB39&gt;0,AF39="No"),"SET UP in EH - add "&amp;TEXT(AB39,"0.##")&amp;" day(s) ("&amp;TEXT(AC39,"0.##")&amp;" hrs)",IF(AK39&gt;0,"ADD "&amp;TEXT(AK39,"0.##")&amp;" day(s) ("&amp;TEXT(AL39,"0.##")&amp;" hrs) in EH",IF(AK39&lt;0,"CHECK - EH shows "&amp;TEXT(-AK39,"0.##")&amp;" days more than policy",IF(AB39&gt;0,"OK - up to date",IF(AY39="None","No action - not eligible","No action - not yet qualified"))))))))</f>
        <v/>
      </c>
      <c r="AN39" s="27" t="str">
        <f aca="false">IF(AO39=0,"",TRIM(IF(AND($K39&lt;&gt;"",$H39=""),"Change 2 entered without Change 1. ","")&amp;IF(AND($K39&lt;&gt;"",$H39&lt;&gt;"",$K39&lt;=$H39),"Change 2 date not after Change 1. ","")&amp;IF(AND($N39&lt;&gt;"",$O39&lt;&gt;"",$O39&lt;$N39),"Leave To is before Leave From. ","")&amp;IF(AND($N39&lt;&gt;"",$O39=""),"Leave From entered without Leave To. ","")&amp;IF(AND(IFERROR(VLOOKUP(T39,TypeTable,2,0),"None")="PT",U39=""),"Part-time with no hours entered. ","")&amp;IF(AND($H39&lt;&gt;"",$H39&gt;AsOfDate,AD39&lt;&gt;"",$H39&lt;=AD39),"Status change lands before next accrual - review. ","")&amp;IF(AND($Q39&lt;&gt;"",$Q39&lt;$E39),"Termination before commencement. ","")))</f>
        <v/>
      </c>
      <c r="AO39" s="11" t="n">
        <f aca="false">IF(LEN($A39&amp;$B39&amp;$C39)=0,0,IF($E39="",0,1))</f>
        <v>0</v>
      </c>
      <c r="AP39" s="11" t="str">
        <f aca="false">IF(AO39=0,"",(IF(OR($N39="",$O39=""),0,MAX(0,MIN(X39,$O39)-MAX($N39,$E39)+1))+N($P39)))</f>
        <v/>
      </c>
      <c r="AQ39" s="11" t="str">
        <f aca="false">IF(AO39=0,"",IF(X39&lt;($E39+(IF(OR($N39="",$O39=""),0,MAX(0,MIN(X39,$O39)-MAX($N39,$E39)+1))+N($P39))),-1,12*(YEAR(X39)-YEAR(($E39+(IF(OR($N39="",$O39=""),0,MAX(0,MIN(X39,$O39)-MAX($N39,$E39)+1))+N($P39)))))+MONTH(X39)-MONTH(($E39+(IF(OR($N39="",$O39=""),0,MAX(0,MIN(X39,$O39)-MAX($N39,$E39)+1))+N($P39))))-IF(DAY(X39)&lt;MIN(DAY(($E39+(IF(OR($N39="",$O39=""),0,MAX(0,MIN(X39,$O39)-MAX($N39,$E39)+1))+N($P39)))),DAY(EOMONTH(X39,0))),1,0)))</f>
        <v/>
      </c>
      <c r="AR39" s="28" t="str">
        <f aca="false">IF(AO39=0,"",IF($H39="","",IF($H39&gt;X39,"",$H39)))</f>
        <v/>
      </c>
      <c r="AS39" s="28" t="str">
        <f aca="false">IF(AO39=0,"",IF(AR39="","",IF($K39="","",IF($K39&gt;X39,"",$K39))))</f>
        <v/>
      </c>
      <c r="AT39" s="11" t="str">
        <f aca="false">IF(AO39=0,"",IF(AR39="",AQ39,IF((AR39-1)&lt;($E39+(IF(OR($N39="",$O39=""),0,MAX(0,MIN((AR39-1),$O39)-MAX($N39,$E39)+1))+N($P39))),-1,12*(YEAR((AR39-1))-YEAR(($E39+(IF(OR($N39="",$O39=""),0,MAX(0,MIN((AR39-1),$O39)-MAX($N39,$E39)+1))+N($P39)))))+MONTH((AR39-1))-MONTH(($E39+(IF(OR($N39="",$O39=""),0,MAX(0,MIN((AR39-1),$O39)-MAX($N39,$E39)+1))+N($P39))))-IF(DAY((AR39-1))&lt;MIN(DAY(($E39+(IF(OR($N39="",$O39=""),0,MAX(0,MIN((AR39-1),$O39)-MAX($N39,$E39)+1))+N($P39)))),DAY(EOMONTH((AR39-1),0))),1,0))))</f>
        <v/>
      </c>
      <c r="AU39" s="11" t="str">
        <f aca="false">IF(AO39=0,"",IF(AS39="",AQ39,IF((AS39-1)&lt;($E39+(IF(OR($N39="",$O39=""),0,MAX(0,MIN((AS39-1),$O39)-MAX($N39,$E39)+1))+N($P39))),-1,12*(YEAR((AS39-1))-YEAR(($E39+(IF(OR($N39="",$O39=""),0,MAX(0,MIN((AS39-1),$O39)-MAX($N39,$E39)+1))+N($P39)))))+MONTH((AS39-1))-MONTH(($E39+(IF(OR($N39="",$O39=""),0,MAX(0,MIN((AS39-1),$O39)-MAX($N39,$E39)+1))+N($P39))))-IF(DAY((AS39-1))&lt;MIN(DAY(($E39+(IF(OR($N39="",$O39=""),0,MAX(0,MIN((AS39-1),$O39)-MAX($N39,$E39)+1))+N($P39)))),DAY(EOMONTH((AS39-1),0))),1,0))))</f>
        <v/>
      </c>
      <c r="AV39" s="11" t="str">
        <f aca="false">IF(AO39=0,"",IF($F39="","None",IF(IFERROR(VLOOKUP($F39,TypeTable,2,0),"None")="PT",IF(N($G39)&gt;=PT_MinHours,"PT","None"),IFERROR(VLOOKUP($F39,TypeTable,2,0),"None"))))</f>
        <v/>
      </c>
      <c r="AW39" s="11" t="str">
        <f aca="false">IF(AO39=0,"",IF($I39="","None",IF(IFERROR(VLOOKUP($I39,TypeTable,2,0),"None")="PT",IF(N($J39)&gt;=PT_MinHours,"PT","None"),IFERROR(VLOOKUP($I39,TypeTable,2,0),"None"))))</f>
        <v/>
      </c>
      <c r="AX39" s="11" t="str">
        <f aca="false">IF(AO39=0,"",IF($L39="","None",IF(IFERROR(VLOOKUP($L39,TypeTable,2,0),"None")="PT",IF(N($M39)&gt;=PT_MinHours,"PT","None"),IFERROR(VLOOKUP($L39,TypeTable,2,0),"None"))))</f>
        <v/>
      </c>
      <c r="AY39" s="11" t="str">
        <f aca="false">IF(AO39=0,"",IF(AS39&lt;&gt;"",AX39,IF(AR39&lt;&gt;"",AW39,AV39)))</f>
        <v/>
      </c>
      <c r="AZ39" s="11" t="str">
        <f aca="false">IF(AO39=0,"",IF(AV39="FT",IF(AT39&lt;FT_First,0,IF(AT39&lt;FT_Y5,1+INT((AT39-FT_First)/FT_Int1),FT_PreY5+FT_PerYear*INT((AT39-FT_Y5)/12)+FT_AnnivDays+INT(MOD(AT39-FT_Y5,12)/FT_Int2))),IF(AV39="PT",IF(AT39&lt;PT_First,0,1+INT((AT39-PT_First)/PT_Int)),0)))</f>
        <v/>
      </c>
      <c r="BA39" s="11" t="str">
        <f aca="false">IF(AO39=0,"",IF(AW39="FT",IF(AT39&lt;FT_First,0,IF(AT39&lt;FT_Y5,1+INT((AT39-FT_First)/FT_Int1),FT_PreY5+FT_PerYear*INT((AT39-FT_Y5)/12)+FT_AnnivDays+INT(MOD(AT39-FT_Y5,12)/FT_Int2))),IF(AW39="PT",IF(AT39&lt;PT_First,0,1+INT((AT39-PT_First)/PT_Int)),0)))</f>
        <v/>
      </c>
      <c r="BB39" s="11" t="str">
        <f aca="false">IF(AO39=0,"",IF(AW39="FT",IF(AU39&lt;FT_First,0,IF(AU39&lt;FT_Y5,1+INT((AU39-FT_First)/FT_Int1),FT_PreY5+FT_PerYear*INT((AU39-FT_Y5)/12)+FT_AnnivDays+INT(MOD(AU39-FT_Y5,12)/FT_Int2))),IF(AW39="PT",IF(AU39&lt;PT_First,0,1+INT((AU39-PT_First)/PT_Int)),0)))</f>
        <v/>
      </c>
      <c r="BC39" s="11" t="str">
        <f aca="false">IF(AO39=0,"",IF(AX39="FT",IF(AU39&lt;FT_First,0,IF(AU39&lt;FT_Y5,1+INT((AU39-FT_First)/FT_Int1),FT_PreY5+FT_PerYear*INT((AU39-FT_Y5)/12)+FT_AnnivDays+INT(MOD(AU39-FT_Y5,12)/FT_Int2))),IF(AX39="PT",IF(AU39&lt;PT_First,0,1+INT((AU39-PT_First)/PT_Int)),0)))</f>
        <v/>
      </c>
      <c r="BD39" s="11" t="str">
        <f aca="false">IF(AO39=0,"",IF(AX39="FT",IF(AQ39&lt;FT_First,0,IF(AQ39&lt;FT_Y5,1+INT((AQ39-FT_First)/FT_Int1),FT_PreY5+FT_PerYear*INT((AQ39-FT_Y5)/12)+FT_AnnivDays+INT(MOD(AQ39-FT_Y5,12)/FT_Int2))),IF(AX39="PT",IF(AQ39&lt;PT_First,0,1+INT((AQ39-PT_First)/PT_Int)),0)))</f>
        <v/>
      </c>
      <c r="BE39" s="11" t="str">
        <f aca="false">IF(AO39=0,"",IF(AY39="FT",IF(AQ39&lt;FT_First,FT_First,IF(AQ39&lt;FT_Y5,MIN(FT_Y5,FT_First+FT_Int1*(INT((AQ39-FT_First)/FT_Int1)+1)),FT_Y5+12*INT((AQ39-FT_Y5)/12)+FT_Int2*(INT(MOD(AQ39-FT_Y5,12)/FT_Int2)+1))),IF(AY39="PT",IF(AQ39&lt;PT_First,PT_First,PT_First+PT_Int*(INT((AQ39-PT_First)/PT_Int)+1)),"")))</f>
        <v/>
      </c>
      <c r="BF39" s="11" t="n">
        <f aca="false">IF(AO39=0,0,IF(AND($Q39&lt;&gt;"",$Q39&lt;=AsOfDate),1,0))</f>
        <v>0</v>
      </c>
      <c r="BG39" s="11" t="str">
        <f aca="false">IF(AND(AO39=1,BF39=0,EH_Ready,N(AB39)&gt;0,N(AI39)=0),COUNT($BG$5:BG38)+1,"")</f>
        <v/>
      </c>
      <c r="BH39" s="11" t="str">
        <f aca="false">IF(AND(AO39=1,BF39=0,EH_Ready,N(AB39)&gt;0,N(AI39)&gt;0,N(AK39)&gt;0),COUNT($BH$5:BH38)+1,"")</f>
        <v/>
      </c>
      <c r="BI39" s="11" t="str">
        <f aca="false">IF(AND(AO39=1,OR(LEFT(AM39,3)="ADD",LEFT(AM39,3)="SET",LEFT(AM39,5)="CHECK",LEFT(AM39,10)="TERMINATED")),COUNT($BI$5:BI38)+1,"")</f>
        <v/>
      </c>
      <c r="BJ39" s="11" t="str">
        <f aca="false">IF(AO39=0,"",$A39&amp;" - "&amp;$B39&amp;" "&amp;$C39)</f>
        <v/>
      </c>
    </row>
    <row r="40" customFormat="false" ht="15" hidden="false" customHeight="false" outlineLevel="0" collapsed="false">
      <c r="A40" s="10"/>
      <c r="B40" s="10"/>
      <c r="C40" s="10"/>
      <c r="D40" s="10"/>
      <c r="E40" s="9"/>
      <c r="F40" s="10"/>
      <c r="G40" s="30"/>
      <c r="H40" s="9"/>
      <c r="I40" s="10"/>
      <c r="J40" s="30"/>
      <c r="K40" s="9"/>
      <c r="L40" s="10"/>
      <c r="M40" s="30"/>
      <c r="N40" s="9"/>
      <c r="O40" s="9"/>
      <c r="P40" s="30"/>
      <c r="Q40" s="9"/>
      <c r="R40" s="10"/>
      <c r="S40" s="11" t="str">
        <f aca="false">IF(AO40=0,"",IF($H40="","",$F40&amp;" -&gt; "&amp;$I40&amp;IF($I40="Part-Time"," ("&amp;N($J40)&amp;" hrs)","")&amp;" on "&amp;TEXT($H40,"dd/mm/yyyy")&amp;IF($H40&gt;AsOfDate," (FUTURE)","")&amp;IF($K40="","","; "&amp;$I40&amp;" -&gt; "&amp;$L40&amp;IF($L40="Part-Time"," ("&amp;N($M40)&amp;" hrs)","")&amp;" on "&amp;TEXT($K40,"dd/mm/yyyy")&amp;IF($K40&gt;AsOfDate," (FUTURE)",""))))</f>
        <v/>
      </c>
      <c r="T40" s="11" t="str">
        <f aca="false">IF(AO40=0,"",IF(AS40&lt;&gt;"",$L40,IF(AR40&lt;&gt;"",$I40,$F40)))</f>
        <v/>
      </c>
      <c r="U40" s="26" t="str">
        <f aca="false">IF(AO40=0,"",IF(AS40&lt;&gt;"",$M40,IF(AR40&lt;&gt;"",$J40,$G40)))</f>
        <v/>
      </c>
      <c r="V40" s="11" t="str">
        <f aca="false">IF(AO40=0,"",IF(AY40="FT","Full-Time",IF(AY40="PT","Part-Time","Not eligible")))</f>
        <v/>
      </c>
      <c r="W40" s="27" t="str">
        <f aca="false">IF(AO40=0,"",IF(AR40="",IF(AND($H40&lt;&gt;"",$H40&gt;AsOfDate),"Future change - not yet applied",""),IF(AND(AV40=AY40,OR(AS40="",AW40=AV40)),"Type changed - same accrual pathway",IF(AY40="None","STOPPED accruing from "&amp;TEXT(IF(AS40&lt;&gt;"",AS40,AR40),"dd/mm/yyyy"),IF(AV40="None","STARTED qualifying from "&amp;TEXT(IF(AS40&lt;&gt;"",AS40,AR40),"dd/mm/yyyy"),"Pathway changed "&amp;AV40&amp;" -&gt; "&amp;AW40&amp;IF(AS40&lt;&gt;""," -&gt; "&amp;AX40,"")&amp;" from "&amp;TEXT(IF(AS40&lt;&gt;"",AS40,AR40),"dd/mm/yyyy"))))))</f>
        <v/>
      </c>
      <c r="X40" s="28" t="str">
        <f aca="false">IF(AO40=0,"",IF($Q40="",AsOfDate,MIN(AsOfDate,$Q40)))</f>
        <v/>
      </c>
      <c r="Y40" s="26" t="str">
        <f aca="false">IF(AO40=0,"",MAX(0,AQ40))</f>
        <v/>
      </c>
      <c r="Z40" s="11" t="str">
        <f aca="false">IF(AO40=0,"",IF(AQ40&lt;0,"Not started",INT(AQ40/12)&amp;"y "&amp;MOD(AQ40,12)&amp;"m"))</f>
        <v/>
      </c>
      <c r="AA40" s="27" t="str">
        <f aca="false">IF(AO40=0,"",IF(BF40=1,"Terminated - balance forfeited",IF(AY40="None",IF(AB40&gt;0,"No longer accruing - "&amp;T40,"Not eligible - "&amp;T40&amp;IF(AND(IFERROR(VLOOKUP(T40,TypeTable,2,0),"None")="PT",N(U40)&lt;PT_MinHours)," (under "&amp;PT_MinHours&amp;" hrs)","")),IF(AB40&gt;0,"Yes - accruing","Not yet - qualifies "&amp;TEXT(AD40,"dd/mm/yyyy")))))</f>
        <v/>
      </c>
      <c r="AB40" s="26" t="str">
        <f aca="false">IF(AO40=0,"",AZ40+IF(AR40="",0,BB40-BA40)+IF(AS40="",0,BD40-BC40))</f>
        <v/>
      </c>
      <c r="AC40" s="26" t="str">
        <f aca="false">IF(AO40=0,"",AB40*HoursPerDay)</f>
        <v/>
      </c>
      <c r="AD40" s="28" t="str">
        <f aca="false">IF(AO40=0,"",IF(OR(BF40=1,AY40="None"),"",EDATE($E40+AP40,BE40)))</f>
        <v/>
      </c>
      <c r="AE40" s="26" t="str">
        <f aca="false">IF(AD40="","",IF(AY40="PT",1,IF(BE40&lt;FT_Y5,1,IF(MOD(BE40-FT_Y5,12)=0,FT_AnnivDays,1))))</f>
        <v/>
      </c>
      <c r="AF40" s="27" t="str">
        <f aca="false">IF(AO40=0,"",IF(NOT(EH_Ready),"Map headers",IF(IF(MatchMode="Employee ID",COUNTIFS(INDEX(EH_Data,0,EH_ColID),$A40,INDEX(EH_Data,0,EH_ColCat),BonusCat),COUNTIFS(INDEX(EH_Data,0,EH_ColFirst),$B40,INDEX(EH_Data,0,EH_ColSur),$C40,INDEX(EH_Data,0,EH_ColCat),BonusCat))&gt;0,"Yes","No")))</f>
        <v/>
      </c>
      <c r="AG40" s="26" t="str">
        <f aca="false">IF(AO40=0,"",IF(NOT(EH_Ready),"",IF(MatchMode="Employee ID",SUMIFS(INDEX(EH_Data,0,EH_ColBal),INDEX(EH_Data,0,EH_ColID),$A40,INDEX(EH_Data,0,EH_ColCat),BonusCat),SUMIFS(INDEX(EH_Data,0,EH_ColBal),INDEX(EH_Data,0,EH_ColFirst),$B40,INDEX(EH_Data,0,EH_ColSur),$C40,INDEX(EH_Data,0,EH_ColCat),BonusCat))/IF(EHUnit="Hours",HoursPerDay,1)))</f>
        <v/>
      </c>
      <c r="AH40" s="26" t="str">
        <f aca="false">IF(AO40=0,"",IF(NOT(TK_Ready),0,IF(MatchMode="Employee ID",SUMIFS(INDEX(TK_Data,0,TK_ColAmt),INDEX(TK_Data,0,TK_ColID),$A40,INDEX(TK_Data,0,TK_ColCat),BonusCat),SUMIFS(INDEX(TK_Data,0,TK_ColAmt),INDEX(TK_Data,0,TK_ColFirst),$B40,INDEX(TK_Data,0,TK_ColSur),$C40,INDEX(TK_Data,0,TK_ColCat),BonusCat))/IF(TKUnit="Hours",HoursPerDay,1)))</f>
        <v/>
      </c>
      <c r="AI40" s="26" t="str">
        <f aca="false">IF(AO40=0,"",N(AG40)+N(AH40))</f>
        <v/>
      </c>
      <c r="AJ40" s="29" t="str">
        <f aca="false">IF(AO40=0,"",IF(NOT(AND(EH_Ready,EH_ValReady)),"",IF(MatchMode="Employee ID",SUMIFS(INDEX(EH_Data,0,EH_ColVal),INDEX(EH_Data,0,EH_ColID),$A40,INDEX(EH_Data,0,EH_ColCat),BonusCat),SUMIFS(INDEX(EH_Data,0,EH_ColVal),INDEX(EH_Data,0,EH_ColFirst),$B40,INDEX(EH_Data,0,EH_ColSur),$C40,INDEX(EH_Data,0,EH_ColCat),BonusCat))))</f>
        <v/>
      </c>
      <c r="AK40" s="26" t="str">
        <f aca="false">IF(AO40=0,"",IF(OR(NOT(EH_Ready),BF40=1),"",AB40-AI40))</f>
        <v/>
      </c>
      <c r="AL40" s="26" t="str">
        <f aca="false">IF(AK40="","",AK40*HoursPerDay)</f>
        <v/>
      </c>
      <c r="AM40" s="27" t="str">
        <f aca="false">IF(AO40=0,"",IF(BF40=1,IF(N(AG40)&gt;0,"TERMINATED - forfeit "&amp;TEXT(AG40,"0.##")&amp;" days still in EH","Terminated - nothing in EH"),IF(NOT(EH_Ready),"Paste EH export and map headers on Settings",IF(AND(AB40&gt;0,AF40="No"),"SET UP in EH - add "&amp;TEXT(AB40,"0.##")&amp;" day(s) ("&amp;TEXT(AC40,"0.##")&amp;" hrs)",IF(AK40&gt;0,"ADD "&amp;TEXT(AK40,"0.##")&amp;" day(s) ("&amp;TEXT(AL40,"0.##")&amp;" hrs) in EH",IF(AK40&lt;0,"CHECK - EH shows "&amp;TEXT(-AK40,"0.##")&amp;" days more than policy",IF(AB40&gt;0,"OK - up to date",IF(AY40="None","No action - not eligible","No action - not yet qualified"))))))))</f>
        <v/>
      </c>
      <c r="AN40" s="27" t="str">
        <f aca="false">IF(AO40=0,"",TRIM(IF(AND($K40&lt;&gt;"",$H40=""),"Change 2 entered without Change 1. ","")&amp;IF(AND($K40&lt;&gt;"",$H40&lt;&gt;"",$K40&lt;=$H40),"Change 2 date not after Change 1. ","")&amp;IF(AND($N40&lt;&gt;"",$O40&lt;&gt;"",$O40&lt;$N40),"Leave To is before Leave From. ","")&amp;IF(AND($N40&lt;&gt;"",$O40=""),"Leave From entered without Leave To. ","")&amp;IF(AND(IFERROR(VLOOKUP(T40,TypeTable,2,0),"None")="PT",U40=""),"Part-time with no hours entered. ","")&amp;IF(AND($H40&lt;&gt;"",$H40&gt;AsOfDate,AD40&lt;&gt;"",$H40&lt;=AD40),"Status change lands before next accrual - review. ","")&amp;IF(AND($Q40&lt;&gt;"",$Q40&lt;$E40),"Termination before commencement. ","")))</f>
        <v/>
      </c>
      <c r="AO40" s="11" t="n">
        <f aca="false">IF(LEN($A40&amp;$B40&amp;$C40)=0,0,IF($E40="",0,1))</f>
        <v>0</v>
      </c>
      <c r="AP40" s="11" t="str">
        <f aca="false">IF(AO40=0,"",(IF(OR($N40="",$O40=""),0,MAX(0,MIN(X40,$O40)-MAX($N40,$E40)+1))+N($P40)))</f>
        <v/>
      </c>
      <c r="AQ40" s="11" t="str">
        <f aca="false">IF(AO40=0,"",IF(X40&lt;($E40+(IF(OR($N40="",$O40=""),0,MAX(0,MIN(X40,$O40)-MAX($N40,$E40)+1))+N($P40))),-1,12*(YEAR(X40)-YEAR(($E40+(IF(OR($N40="",$O40=""),0,MAX(0,MIN(X40,$O40)-MAX($N40,$E40)+1))+N($P40)))))+MONTH(X40)-MONTH(($E40+(IF(OR($N40="",$O40=""),0,MAX(0,MIN(X40,$O40)-MAX($N40,$E40)+1))+N($P40))))-IF(DAY(X40)&lt;MIN(DAY(($E40+(IF(OR($N40="",$O40=""),0,MAX(0,MIN(X40,$O40)-MAX($N40,$E40)+1))+N($P40)))),DAY(EOMONTH(X40,0))),1,0)))</f>
        <v/>
      </c>
      <c r="AR40" s="28" t="str">
        <f aca="false">IF(AO40=0,"",IF($H40="","",IF($H40&gt;X40,"",$H40)))</f>
        <v/>
      </c>
      <c r="AS40" s="28" t="str">
        <f aca="false">IF(AO40=0,"",IF(AR40="","",IF($K40="","",IF($K40&gt;X40,"",$K40))))</f>
        <v/>
      </c>
      <c r="AT40" s="11" t="str">
        <f aca="false">IF(AO40=0,"",IF(AR40="",AQ40,IF((AR40-1)&lt;($E40+(IF(OR($N40="",$O40=""),0,MAX(0,MIN((AR40-1),$O40)-MAX($N40,$E40)+1))+N($P40))),-1,12*(YEAR((AR40-1))-YEAR(($E40+(IF(OR($N40="",$O40=""),0,MAX(0,MIN((AR40-1),$O40)-MAX($N40,$E40)+1))+N($P40)))))+MONTH((AR40-1))-MONTH(($E40+(IF(OR($N40="",$O40=""),0,MAX(0,MIN((AR40-1),$O40)-MAX($N40,$E40)+1))+N($P40))))-IF(DAY((AR40-1))&lt;MIN(DAY(($E40+(IF(OR($N40="",$O40=""),0,MAX(0,MIN((AR40-1),$O40)-MAX($N40,$E40)+1))+N($P40)))),DAY(EOMONTH((AR40-1),0))),1,0))))</f>
        <v/>
      </c>
      <c r="AU40" s="11" t="str">
        <f aca="false">IF(AO40=0,"",IF(AS40="",AQ40,IF((AS40-1)&lt;($E40+(IF(OR($N40="",$O40=""),0,MAX(0,MIN((AS40-1),$O40)-MAX($N40,$E40)+1))+N($P40))),-1,12*(YEAR((AS40-1))-YEAR(($E40+(IF(OR($N40="",$O40=""),0,MAX(0,MIN((AS40-1),$O40)-MAX($N40,$E40)+1))+N($P40)))))+MONTH((AS40-1))-MONTH(($E40+(IF(OR($N40="",$O40=""),0,MAX(0,MIN((AS40-1),$O40)-MAX($N40,$E40)+1))+N($P40))))-IF(DAY((AS40-1))&lt;MIN(DAY(($E40+(IF(OR($N40="",$O40=""),0,MAX(0,MIN((AS40-1),$O40)-MAX($N40,$E40)+1))+N($P40)))),DAY(EOMONTH((AS40-1),0))),1,0))))</f>
        <v/>
      </c>
      <c r="AV40" s="11" t="str">
        <f aca="false">IF(AO40=0,"",IF($F40="","None",IF(IFERROR(VLOOKUP($F40,TypeTable,2,0),"None")="PT",IF(N($G40)&gt;=PT_MinHours,"PT","None"),IFERROR(VLOOKUP($F40,TypeTable,2,0),"None"))))</f>
        <v/>
      </c>
      <c r="AW40" s="11" t="str">
        <f aca="false">IF(AO40=0,"",IF($I40="","None",IF(IFERROR(VLOOKUP($I40,TypeTable,2,0),"None")="PT",IF(N($J40)&gt;=PT_MinHours,"PT","None"),IFERROR(VLOOKUP($I40,TypeTable,2,0),"None"))))</f>
        <v/>
      </c>
      <c r="AX40" s="11" t="str">
        <f aca="false">IF(AO40=0,"",IF($L40="","None",IF(IFERROR(VLOOKUP($L40,TypeTable,2,0),"None")="PT",IF(N($M40)&gt;=PT_MinHours,"PT","None"),IFERROR(VLOOKUP($L40,TypeTable,2,0),"None"))))</f>
        <v/>
      </c>
      <c r="AY40" s="11" t="str">
        <f aca="false">IF(AO40=0,"",IF(AS40&lt;&gt;"",AX40,IF(AR40&lt;&gt;"",AW40,AV40)))</f>
        <v/>
      </c>
      <c r="AZ40" s="11" t="str">
        <f aca="false">IF(AO40=0,"",IF(AV40="FT",IF(AT40&lt;FT_First,0,IF(AT40&lt;FT_Y5,1+INT((AT40-FT_First)/FT_Int1),FT_PreY5+FT_PerYear*INT((AT40-FT_Y5)/12)+FT_AnnivDays+INT(MOD(AT40-FT_Y5,12)/FT_Int2))),IF(AV40="PT",IF(AT40&lt;PT_First,0,1+INT((AT40-PT_First)/PT_Int)),0)))</f>
        <v/>
      </c>
      <c r="BA40" s="11" t="str">
        <f aca="false">IF(AO40=0,"",IF(AW40="FT",IF(AT40&lt;FT_First,0,IF(AT40&lt;FT_Y5,1+INT((AT40-FT_First)/FT_Int1),FT_PreY5+FT_PerYear*INT((AT40-FT_Y5)/12)+FT_AnnivDays+INT(MOD(AT40-FT_Y5,12)/FT_Int2))),IF(AW40="PT",IF(AT40&lt;PT_First,0,1+INT((AT40-PT_First)/PT_Int)),0)))</f>
        <v/>
      </c>
      <c r="BB40" s="11" t="str">
        <f aca="false">IF(AO40=0,"",IF(AW40="FT",IF(AU40&lt;FT_First,0,IF(AU40&lt;FT_Y5,1+INT((AU40-FT_First)/FT_Int1),FT_PreY5+FT_PerYear*INT((AU40-FT_Y5)/12)+FT_AnnivDays+INT(MOD(AU40-FT_Y5,12)/FT_Int2))),IF(AW40="PT",IF(AU40&lt;PT_First,0,1+INT((AU40-PT_First)/PT_Int)),0)))</f>
        <v/>
      </c>
      <c r="BC40" s="11" t="str">
        <f aca="false">IF(AO40=0,"",IF(AX40="FT",IF(AU40&lt;FT_First,0,IF(AU40&lt;FT_Y5,1+INT((AU40-FT_First)/FT_Int1),FT_PreY5+FT_PerYear*INT((AU40-FT_Y5)/12)+FT_AnnivDays+INT(MOD(AU40-FT_Y5,12)/FT_Int2))),IF(AX40="PT",IF(AU40&lt;PT_First,0,1+INT((AU40-PT_First)/PT_Int)),0)))</f>
        <v/>
      </c>
      <c r="BD40" s="11" t="str">
        <f aca="false">IF(AO40=0,"",IF(AX40="FT",IF(AQ40&lt;FT_First,0,IF(AQ40&lt;FT_Y5,1+INT((AQ40-FT_First)/FT_Int1),FT_PreY5+FT_PerYear*INT((AQ40-FT_Y5)/12)+FT_AnnivDays+INT(MOD(AQ40-FT_Y5,12)/FT_Int2))),IF(AX40="PT",IF(AQ40&lt;PT_First,0,1+INT((AQ40-PT_First)/PT_Int)),0)))</f>
        <v/>
      </c>
      <c r="BE40" s="11" t="str">
        <f aca="false">IF(AO40=0,"",IF(AY40="FT",IF(AQ40&lt;FT_First,FT_First,IF(AQ40&lt;FT_Y5,MIN(FT_Y5,FT_First+FT_Int1*(INT((AQ40-FT_First)/FT_Int1)+1)),FT_Y5+12*INT((AQ40-FT_Y5)/12)+FT_Int2*(INT(MOD(AQ40-FT_Y5,12)/FT_Int2)+1))),IF(AY40="PT",IF(AQ40&lt;PT_First,PT_First,PT_First+PT_Int*(INT((AQ40-PT_First)/PT_Int)+1)),"")))</f>
        <v/>
      </c>
      <c r="BF40" s="11" t="n">
        <f aca="false">IF(AO40=0,0,IF(AND($Q40&lt;&gt;"",$Q40&lt;=AsOfDate),1,0))</f>
        <v>0</v>
      </c>
      <c r="BG40" s="11" t="str">
        <f aca="false">IF(AND(AO40=1,BF40=0,EH_Ready,N(AB40)&gt;0,N(AI40)=0),COUNT($BG$5:BG39)+1,"")</f>
        <v/>
      </c>
      <c r="BH40" s="11" t="str">
        <f aca="false">IF(AND(AO40=1,BF40=0,EH_Ready,N(AB40)&gt;0,N(AI40)&gt;0,N(AK40)&gt;0),COUNT($BH$5:BH39)+1,"")</f>
        <v/>
      </c>
      <c r="BI40" s="11" t="str">
        <f aca="false">IF(AND(AO40=1,OR(LEFT(AM40,3)="ADD",LEFT(AM40,3)="SET",LEFT(AM40,5)="CHECK",LEFT(AM40,10)="TERMINATED")),COUNT($BI$5:BI39)+1,"")</f>
        <v/>
      </c>
      <c r="BJ40" s="11" t="str">
        <f aca="false">IF(AO40=0,"",$A40&amp;" - "&amp;$B40&amp;" "&amp;$C40)</f>
        <v/>
      </c>
    </row>
    <row r="41" customFormat="false" ht="15" hidden="false" customHeight="false" outlineLevel="0" collapsed="false">
      <c r="A41" s="10"/>
      <c r="B41" s="10"/>
      <c r="C41" s="10"/>
      <c r="D41" s="10"/>
      <c r="E41" s="9"/>
      <c r="F41" s="10"/>
      <c r="G41" s="30"/>
      <c r="H41" s="9"/>
      <c r="I41" s="10"/>
      <c r="J41" s="30"/>
      <c r="K41" s="9"/>
      <c r="L41" s="10"/>
      <c r="M41" s="30"/>
      <c r="N41" s="9"/>
      <c r="O41" s="9"/>
      <c r="P41" s="30"/>
      <c r="Q41" s="9"/>
      <c r="R41" s="10"/>
      <c r="S41" s="11" t="str">
        <f aca="false">IF(AO41=0,"",IF($H41="","",$F41&amp;" -&gt; "&amp;$I41&amp;IF($I41="Part-Time"," ("&amp;N($J41)&amp;" hrs)","")&amp;" on "&amp;TEXT($H41,"dd/mm/yyyy")&amp;IF($H41&gt;AsOfDate," (FUTURE)","")&amp;IF($K41="","","; "&amp;$I41&amp;" -&gt; "&amp;$L41&amp;IF($L41="Part-Time"," ("&amp;N($M41)&amp;" hrs)","")&amp;" on "&amp;TEXT($K41,"dd/mm/yyyy")&amp;IF($K41&gt;AsOfDate," (FUTURE)",""))))</f>
        <v/>
      </c>
      <c r="T41" s="11" t="str">
        <f aca="false">IF(AO41=0,"",IF(AS41&lt;&gt;"",$L41,IF(AR41&lt;&gt;"",$I41,$F41)))</f>
        <v/>
      </c>
      <c r="U41" s="26" t="str">
        <f aca="false">IF(AO41=0,"",IF(AS41&lt;&gt;"",$M41,IF(AR41&lt;&gt;"",$J41,$G41)))</f>
        <v/>
      </c>
      <c r="V41" s="11" t="str">
        <f aca="false">IF(AO41=0,"",IF(AY41="FT","Full-Time",IF(AY41="PT","Part-Time","Not eligible")))</f>
        <v/>
      </c>
      <c r="W41" s="27" t="str">
        <f aca="false">IF(AO41=0,"",IF(AR41="",IF(AND($H41&lt;&gt;"",$H41&gt;AsOfDate),"Future change - not yet applied",""),IF(AND(AV41=AY41,OR(AS41="",AW41=AV41)),"Type changed - same accrual pathway",IF(AY41="None","STOPPED accruing from "&amp;TEXT(IF(AS41&lt;&gt;"",AS41,AR41),"dd/mm/yyyy"),IF(AV41="None","STARTED qualifying from "&amp;TEXT(IF(AS41&lt;&gt;"",AS41,AR41),"dd/mm/yyyy"),"Pathway changed "&amp;AV41&amp;" -&gt; "&amp;AW41&amp;IF(AS41&lt;&gt;""," -&gt; "&amp;AX41,"")&amp;" from "&amp;TEXT(IF(AS41&lt;&gt;"",AS41,AR41),"dd/mm/yyyy"))))))</f>
        <v/>
      </c>
      <c r="X41" s="28" t="str">
        <f aca="false">IF(AO41=0,"",IF($Q41="",AsOfDate,MIN(AsOfDate,$Q41)))</f>
        <v/>
      </c>
      <c r="Y41" s="26" t="str">
        <f aca="false">IF(AO41=0,"",MAX(0,AQ41))</f>
        <v/>
      </c>
      <c r="Z41" s="11" t="str">
        <f aca="false">IF(AO41=0,"",IF(AQ41&lt;0,"Not started",INT(AQ41/12)&amp;"y "&amp;MOD(AQ41,12)&amp;"m"))</f>
        <v/>
      </c>
      <c r="AA41" s="27" t="str">
        <f aca="false">IF(AO41=0,"",IF(BF41=1,"Terminated - balance forfeited",IF(AY41="None",IF(AB41&gt;0,"No longer accruing - "&amp;T41,"Not eligible - "&amp;T41&amp;IF(AND(IFERROR(VLOOKUP(T41,TypeTable,2,0),"None")="PT",N(U41)&lt;PT_MinHours)," (under "&amp;PT_MinHours&amp;" hrs)","")),IF(AB41&gt;0,"Yes - accruing","Not yet - qualifies "&amp;TEXT(AD41,"dd/mm/yyyy")))))</f>
        <v/>
      </c>
      <c r="AB41" s="26" t="str">
        <f aca="false">IF(AO41=0,"",AZ41+IF(AR41="",0,BB41-BA41)+IF(AS41="",0,BD41-BC41))</f>
        <v/>
      </c>
      <c r="AC41" s="26" t="str">
        <f aca="false">IF(AO41=0,"",AB41*HoursPerDay)</f>
        <v/>
      </c>
      <c r="AD41" s="28" t="str">
        <f aca="false">IF(AO41=0,"",IF(OR(BF41=1,AY41="None"),"",EDATE($E41+AP41,BE41)))</f>
        <v/>
      </c>
      <c r="AE41" s="26" t="str">
        <f aca="false">IF(AD41="","",IF(AY41="PT",1,IF(BE41&lt;FT_Y5,1,IF(MOD(BE41-FT_Y5,12)=0,FT_AnnivDays,1))))</f>
        <v/>
      </c>
      <c r="AF41" s="27" t="str">
        <f aca="false">IF(AO41=0,"",IF(NOT(EH_Ready),"Map headers",IF(IF(MatchMode="Employee ID",COUNTIFS(INDEX(EH_Data,0,EH_ColID),$A41,INDEX(EH_Data,0,EH_ColCat),BonusCat),COUNTIFS(INDEX(EH_Data,0,EH_ColFirst),$B41,INDEX(EH_Data,0,EH_ColSur),$C41,INDEX(EH_Data,0,EH_ColCat),BonusCat))&gt;0,"Yes","No")))</f>
        <v/>
      </c>
      <c r="AG41" s="26" t="str">
        <f aca="false">IF(AO41=0,"",IF(NOT(EH_Ready),"",IF(MatchMode="Employee ID",SUMIFS(INDEX(EH_Data,0,EH_ColBal),INDEX(EH_Data,0,EH_ColID),$A41,INDEX(EH_Data,0,EH_ColCat),BonusCat),SUMIFS(INDEX(EH_Data,0,EH_ColBal),INDEX(EH_Data,0,EH_ColFirst),$B41,INDEX(EH_Data,0,EH_ColSur),$C41,INDEX(EH_Data,0,EH_ColCat),BonusCat))/IF(EHUnit="Hours",HoursPerDay,1)))</f>
        <v/>
      </c>
      <c r="AH41" s="26" t="str">
        <f aca="false">IF(AO41=0,"",IF(NOT(TK_Ready),0,IF(MatchMode="Employee ID",SUMIFS(INDEX(TK_Data,0,TK_ColAmt),INDEX(TK_Data,0,TK_ColID),$A41,INDEX(TK_Data,0,TK_ColCat),BonusCat),SUMIFS(INDEX(TK_Data,0,TK_ColAmt),INDEX(TK_Data,0,TK_ColFirst),$B41,INDEX(TK_Data,0,TK_ColSur),$C41,INDEX(TK_Data,0,TK_ColCat),BonusCat))/IF(TKUnit="Hours",HoursPerDay,1)))</f>
        <v/>
      </c>
      <c r="AI41" s="26" t="str">
        <f aca="false">IF(AO41=0,"",N(AG41)+N(AH41))</f>
        <v/>
      </c>
      <c r="AJ41" s="29" t="str">
        <f aca="false">IF(AO41=0,"",IF(NOT(AND(EH_Ready,EH_ValReady)),"",IF(MatchMode="Employee ID",SUMIFS(INDEX(EH_Data,0,EH_ColVal),INDEX(EH_Data,0,EH_ColID),$A41,INDEX(EH_Data,0,EH_ColCat),BonusCat),SUMIFS(INDEX(EH_Data,0,EH_ColVal),INDEX(EH_Data,0,EH_ColFirst),$B41,INDEX(EH_Data,0,EH_ColSur),$C41,INDEX(EH_Data,0,EH_ColCat),BonusCat))))</f>
        <v/>
      </c>
      <c r="AK41" s="26" t="str">
        <f aca="false">IF(AO41=0,"",IF(OR(NOT(EH_Ready),BF41=1),"",AB41-AI41))</f>
        <v/>
      </c>
      <c r="AL41" s="26" t="str">
        <f aca="false">IF(AK41="","",AK41*HoursPerDay)</f>
        <v/>
      </c>
      <c r="AM41" s="27" t="str">
        <f aca="false">IF(AO41=0,"",IF(BF41=1,IF(N(AG41)&gt;0,"TERMINATED - forfeit "&amp;TEXT(AG41,"0.##")&amp;" days still in EH","Terminated - nothing in EH"),IF(NOT(EH_Ready),"Paste EH export and map headers on Settings",IF(AND(AB41&gt;0,AF41="No"),"SET UP in EH - add "&amp;TEXT(AB41,"0.##")&amp;" day(s) ("&amp;TEXT(AC41,"0.##")&amp;" hrs)",IF(AK41&gt;0,"ADD "&amp;TEXT(AK41,"0.##")&amp;" day(s) ("&amp;TEXT(AL41,"0.##")&amp;" hrs) in EH",IF(AK41&lt;0,"CHECK - EH shows "&amp;TEXT(-AK41,"0.##")&amp;" days more than policy",IF(AB41&gt;0,"OK - up to date",IF(AY41="None","No action - not eligible","No action - not yet qualified"))))))))</f>
        <v/>
      </c>
      <c r="AN41" s="27" t="str">
        <f aca="false">IF(AO41=0,"",TRIM(IF(AND($K41&lt;&gt;"",$H41=""),"Change 2 entered without Change 1. ","")&amp;IF(AND($K41&lt;&gt;"",$H41&lt;&gt;"",$K41&lt;=$H41),"Change 2 date not after Change 1. ","")&amp;IF(AND($N41&lt;&gt;"",$O41&lt;&gt;"",$O41&lt;$N41),"Leave To is before Leave From. ","")&amp;IF(AND($N41&lt;&gt;"",$O41=""),"Leave From entered without Leave To. ","")&amp;IF(AND(IFERROR(VLOOKUP(T41,TypeTable,2,0),"None")="PT",U41=""),"Part-time with no hours entered. ","")&amp;IF(AND($H41&lt;&gt;"",$H41&gt;AsOfDate,AD41&lt;&gt;"",$H41&lt;=AD41),"Status change lands before next accrual - review. ","")&amp;IF(AND($Q41&lt;&gt;"",$Q41&lt;$E41),"Termination before commencement. ","")))</f>
        <v/>
      </c>
      <c r="AO41" s="11" t="n">
        <f aca="false">IF(LEN($A41&amp;$B41&amp;$C41)=0,0,IF($E41="",0,1))</f>
        <v>0</v>
      </c>
      <c r="AP41" s="11" t="str">
        <f aca="false">IF(AO41=0,"",(IF(OR($N41="",$O41=""),0,MAX(0,MIN(X41,$O41)-MAX($N41,$E41)+1))+N($P41)))</f>
        <v/>
      </c>
      <c r="AQ41" s="11" t="str">
        <f aca="false">IF(AO41=0,"",IF(X41&lt;($E41+(IF(OR($N41="",$O41=""),0,MAX(0,MIN(X41,$O41)-MAX($N41,$E41)+1))+N($P41))),-1,12*(YEAR(X41)-YEAR(($E41+(IF(OR($N41="",$O41=""),0,MAX(0,MIN(X41,$O41)-MAX($N41,$E41)+1))+N($P41)))))+MONTH(X41)-MONTH(($E41+(IF(OR($N41="",$O41=""),0,MAX(0,MIN(X41,$O41)-MAX($N41,$E41)+1))+N($P41))))-IF(DAY(X41)&lt;MIN(DAY(($E41+(IF(OR($N41="",$O41=""),0,MAX(0,MIN(X41,$O41)-MAX($N41,$E41)+1))+N($P41)))),DAY(EOMONTH(X41,0))),1,0)))</f>
        <v/>
      </c>
      <c r="AR41" s="28" t="str">
        <f aca="false">IF(AO41=0,"",IF($H41="","",IF($H41&gt;X41,"",$H41)))</f>
        <v/>
      </c>
      <c r="AS41" s="28" t="str">
        <f aca="false">IF(AO41=0,"",IF(AR41="","",IF($K41="","",IF($K41&gt;X41,"",$K41))))</f>
        <v/>
      </c>
      <c r="AT41" s="11" t="str">
        <f aca="false">IF(AO41=0,"",IF(AR41="",AQ41,IF((AR41-1)&lt;($E41+(IF(OR($N41="",$O41=""),0,MAX(0,MIN((AR41-1),$O41)-MAX($N41,$E41)+1))+N($P41))),-1,12*(YEAR((AR41-1))-YEAR(($E41+(IF(OR($N41="",$O41=""),0,MAX(0,MIN((AR41-1),$O41)-MAX($N41,$E41)+1))+N($P41)))))+MONTH((AR41-1))-MONTH(($E41+(IF(OR($N41="",$O41=""),0,MAX(0,MIN((AR41-1),$O41)-MAX($N41,$E41)+1))+N($P41))))-IF(DAY((AR41-1))&lt;MIN(DAY(($E41+(IF(OR($N41="",$O41=""),0,MAX(0,MIN((AR41-1),$O41)-MAX($N41,$E41)+1))+N($P41)))),DAY(EOMONTH((AR41-1),0))),1,0))))</f>
        <v/>
      </c>
      <c r="AU41" s="11" t="str">
        <f aca="false">IF(AO41=0,"",IF(AS41="",AQ41,IF((AS41-1)&lt;($E41+(IF(OR($N41="",$O41=""),0,MAX(0,MIN((AS41-1),$O41)-MAX($N41,$E41)+1))+N($P41))),-1,12*(YEAR((AS41-1))-YEAR(($E41+(IF(OR($N41="",$O41=""),0,MAX(0,MIN((AS41-1),$O41)-MAX($N41,$E41)+1))+N($P41)))))+MONTH((AS41-1))-MONTH(($E41+(IF(OR($N41="",$O41=""),0,MAX(0,MIN((AS41-1),$O41)-MAX($N41,$E41)+1))+N($P41))))-IF(DAY((AS41-1))&lt;MIN(DAY(($E41+(IF(OR($N41="",$O41=""),0,MAX(0,MIN((AS41-1),$O41)-MAX($N41,$E41)+1))+N($P41)))),DAY(EOMONTH((AS41-1),0))),1,0))))</f>
        <v/>
      </c>
      <c r="AV41" s="11" t="str">
        <f aca="false">IF(AO41=0,"",IF($F41="","None",IF(IFERROR(VLOOKUP($F41,TypeTable,2,0),"None")="PT",IF(N($G41)&gt;=PT_MinHours,"PT","None"),IFERROR(VLOOKUP($F41,TypeTable,2,0),"None"))))</f>
        <v/>
      </c>
      <c r="AW41" s="11" t="str">
        <f aca="false">IF(AO41=0,"",IF($I41="","None",IF(IFERROR(VLOOKUP($I41,TypeTable,2,0),"None")="PT",IF(N($J41)&gt;=PT_MinHours,"PT","None"),IFERROR(VLOOKUP($I41,TypeTable,2,0),"None"))))</f>
        <v/>
      </c>
      <c r="AX41" s="11" t="str">
        <f aca="false">IF(AO41=0,"",IF($L41="","None",IF(IFERROR(VLOOKUP($L41,TypeTable,2,0),"None")="PT",IF(N($M41)&gt;=PT_MinHours,"PT","None"),IFERROR(VLOOKUP($L41,TypeTable,2,0),"None"))))</f>
        <v/>
      </c>
      <c r="AY41" s="11" t="str">
        <f aca="false">IF(AO41=0,"",IF(AS41&lt;&gt;"",AX41,IF(AR41&lt;&gt;"",AW41,AV41)))</f>
        <v/>
      </c>
      <c r="AZ41" s="11" t="str">
        <f aca="false">IF(AO41=0,"",IF(AV41="FT",IF(AT41&lt;FT_First,0,IF(AT41&lt;FT_Y5,1+INT((AT41-FT_First)/FT_Int1),FT_PreY5+FT_PerYear*INT((AT41-FT_Y5)/12)+FT_AnnivDays+INT(MOD(AT41-FT_Y5,12)/FT_Int2))),IF(AV41="PT",IF(AT41&lt;PT_First,0,1+INT((AT41-PT_First)/PT_Int)),0)))</f>
        <v/>
      </c>
      <c r="BA41" s="11" t="str">
        <f aca="false">IF(AO41=0,"",IF(AW41="FT",IF(AT41&lt;FT_First,0,IF(AT41&lt;FT_Y5,1+INT((AT41-FT_First)/FT_Int1),FT_PreY5+FT_PerYear*INT((AT41-FT_Y5)/12)+FT_AnnivDays+INT(MOD(AT41-FT_Y5,12)/FT_Int2))),IF(AW41="PT",IF(AT41&lt;PT_First,0,1+INT((AT41-PT_First)/PT_Int)),0)))</f>
        <v/>
      </c>
      <c r="BB41" s="11" t="str">
        <f aca="false">IF(AO41=0,"",IF(AW41="FT",IF(AU41&lt;FT_First,0,IF(AU41&lt;FT_Y5,1+INT((AU41-FT_First)/FT_Int1),FT_PreY5+FT_PerYear*INT((AU41-FT_Y5)/12)+FT_AnnivDays+INT(MOD(AU41-FT_Y5,12)/FT_Int2))),IF(AW41="PT",IF(AU41&lt;PT_First,0,1+INT((AU41-PT_First)/PT_Int)),0)))</f>
        <v/>
      </c>
      <c r="BC41" s="11" t="str">
        <f aca="false">IF(AO41=0,"",IF(AX41="FT",IF(AU41&lt;FT_First,0,IF(AU41&lt;FT_Y5,1+INT((AU41-FT_First)/FT_Int1),FT_PreY5+FT_PerYear*INT((AU41-FT_Y5)/12)+FT_AnnivDays+INT(MOD(AU41-FT_Y5,12)/FT_Int2))),IF(AX41="PT",IF(AU41&lt;PT_First,0,1+INT((AU41-PT_First)/PT_Int)),0)))</f>
        <v/>
      </c>
      <c r="BD41" s="11" t="str">
        <f aca="false">IF(AO41=0,"",IF(AX41="FT",IF(AQ41&lt;FT_First,0,IF(AQ41&lt;FT_Y5,1+INT((AQ41-FT_First)/FT_Int1),FT_PreY5+FT_PerYear*INT((AQ41-FT_Y5)/12)+FT_AnnivDays+INT(MOD(AQ41-FT_Y5,12)/FT_Int2))),IF(AX41="PT",IF(AQ41&lt;PT_First,0,1+INT((AQ41-PT_First)/PT_Int)),0)))</f>
        <v/>
      </c>
      <c r="BE41" s="11" t="str">
        <f aca="false">IF(AO41=0,"",IF(AY41="FT",IF(AQ41&lt;FT_First,FT_First,IF(AQ41&lt;FT_Y5,MIN(FT_Y5,FT_First+FT_Int1*(INT((AQ41-FT_First)/FT_Int1)+1)),FT_Y5+12*INT((AQ41-FT_Y5)/12)+FT_Int2*(INT(MOD(AQ41-FT_Y5,12)/FT_Int2)+1))),IF(AY41="PT",IF(AQ41&lt;PT_First,PT_First,PT_First+PT_Int*(INT((AQ41-PT_First)/PT_Int)+1)),"")))</f>
        <v/>
      </c>
      <c r="BF41" s="11" t="n">
        <f aca="false">IF(AO41=0,0,IF(AND($Q41&lt;&gt;"",$Q41&lt;=AsOfDate),1,0))</f>
        <v>0</v>
      </c>
      <c r="BG41" s="11" t="str">
        <f aca="false">IF(AND(AO41=1,BF41=0,EH_Ready,N(AB41)&gt;0,N(AI41)=0),COUNT($BG$5:BG40)+1,"")</f>
        <v/>
      </c>
      <c r="BH41" s="11" t="str">
        <f aca="false">IF(AND(AO41=1,BF41=0,EH_Ready,N(AB41)&gt;0,N(AI41)&gt;0,N(AK41)&gt;0),COUNT($BH$5:BH40)+1,"")</f>
        <v/>
      </c>
      <c r="BI41" s="11" t="str">
        <f aca="false">IF(AND(AO41=1,OR(LEFT(AM41,3)="ADD",LEFT(AM41,3)="SET",LEFT(AM41,5)="CHECK",LEFT(AM41,10)="TERMINATED")),COUNT($BI$5:BI40)+1,"")</f>
        <v/>
      </c>
      <c r="BJ41" s="11" t="str">
        <f aca="false">IF(AO41=0,"",$A41&amp;" - "&amp;$B41&amp;" "&amp;$C41)</f>
        <v/>
      </c>
    </row>
    <row r="42" customFormat="false" ht="15" hidden="false" customHeight="false" outlineLevel="0" collapsed="false">
      <c r="A42" s="10"/>
      <c r="B42" s="10"/>
      <c r="C42" s="10"/>
      <c r="D42" s="10"/>
      <c r="E42" s="9"/>
      <c r="F42" s="10"/>
      <c r="G42" s="30"/>
      <c r="H42" s="9"/>
      <c r="I42" s="10"/>
      <c r="J42" s="30"/>
      <c r="K42" s="9"/>
      <c r="L42" s="10"/>
      <c r="M42" s="30"/>
      <c r="N42" s="9"/>
      <c r="O42" s="9"/>
      <c r="P42" s="30"/>
      <c r="Q42" s="9"/>
      <c r="R42" s="10"/>
      <c r="S42" s="11" t="str">
        <f aca="false">IF(AO42=0,"",IF($H42="","",$F42&amp;" -&gt; "&amp;$I42&amp;IF($I42="Part-Time"," ("&amp;N($J42)&amp;" hrs)","")&amp;" on "&amp;TEXT($H42,"dd/mm/yyyy")&amp;IF($H42&gt;AsOfDate," (FUTURE)","")&amp;IF($K42="","","; "&amp;$I42&amp;" -&gt; "&amp;$L42&amp;IF($L42="Part-Time"," ("&amp;N($M42)&amp;" hrs)","")&amp;" on "&amp;TEXT($K42,"dd/mm/yyyy")&amp;IF($K42&gt;AsOfDate," (FUTURE)",""))))</f>
        <v/>
      </c>
      <c r="T42" s="11" t="str">
        <f aca="false">IF(AO42=0,"",IF(AS42&lt;&gt;"",$L42,IF(AR42&lt;&gt;"",$I42,$F42)))</f>
        <v/>
      </c>
      <c r="U42" s="26" t="str">
        <f aca="false">IF(AO42=0,"",IF(AS42&lt;&gt;"",$M42,IF(AR42&lt;&gt;"",$J42,$G42)))</f>
        <v/>
      </c>
      <c r="V42" s="11" t="str">
        <f aca="false">IF(AO42=0,"",IF(AY42="FT","Full-Time",IF(AY42="PT","Part-Time","Not eligible")))</f>
        <v/>
      </c>
      <c r="W42" s="27" t="str">
        <f aca="false">IF(AO42=0,"",IF(AR42="",IF(AND($H42&lt;&gt;"",$H42&gt;AsOfDate),"Future change - not yet applied",""),IF(AND(AV42=AY42,OR(AS42="",AW42=AV42)),"Type changed - same accrual pathway",IF(AY42="None","STOPPED accruing from "&amp;TEXT(IF(AS42&lt;&gt;"",AS42,AR42),"dd/mm/yyyy"),IF(AV42="None","STARTED qualifying from "&amp;TEXT(IF(AS42&lt;&gt;"",AS42,AR42),"dd/mm/yyyy"),"Pathway changed "&amp;AV42&amp;" -&gt; "&amp;AW42&amp;IF(AS42&lt;&gt;""," -&gt; "&amp;AX42,"")&amp;" from "&amp;TEXT(IF(AS42&lt;&gt;"",AS42,AR42),"dd/mm/yyyy"))))))</f>
        <v/>
      </c>
      <c r="X42" s="28" t="str">
        <f aca="false">IF(AO42=0,"",IF($Q42="",AsOfDate,MIN(AsOfDate,$Q42)))</f>
        <v/>
      </c>
      <c r="Y42" s="26" t="str">
        <f aca="false">IF(AO42=0,"",MAX(0,AQ42))</f>
        <v/>
      </c>
      <c r="Z42" s="11" t="str">
        <f aca="false">IF(AO42=0,"",IF(AQ42&lt;0,"Not started",INT(AQ42/12)&amp;"y "&amp;MOD(AQ42,12)&amp;"m"))</f>
        <v/>
      </c>
      <c r="AA42" s="27" t="str">
        <f aca="false">IF(AO42=0,"",IF(BF42=1,"Terminated - balance forfeited",IF(AY42="None",IF(AB42&gt;0,"No longer accruing - "&amp;T42,"Not eligible - "&amp;T42&amp;IF(AND(IFERROR(VLOOKUP(T42,TypeTable,2,0),"None")="PT",N(U42)&lt;PT_MinHours)," (under "&amp;PT_MinHours&amp;" hrs)","")),IF(AB42&gt;0,"Yes - accruing","Not yet - qualifies "&amp;TEXT(AD42,"dd/mm/yyyy")))))</f>
        <v/>
      </c>
      <c r="AB42" s="26" t="str">
        <f aca="false">IF(AO42=0,"",AZ42+IF(AR42="",0,BB42-BA42)+IF(AS42="",0,BD42-BC42))</f>
        <v/>
      </c>
      <c r="AC42" s="26" t="str">
        <f aca="false">IF(AO42=0,"",AB42*HoursPerDay)</f>
        <v/>
      </c>
      <c r="AD42" s="28" t="str">
        <f aca="false">IF(AO42=0,"",IF(OR(BF42=1,AY42="None"),"",EDATE($E42+AP42,BE42)))</f>
        <v/>
      </c>
      <c r="AE42" s="26" t="str">
        <f aca="false">IF(AD42="","",IF(AY42="PT",1,IF(BE42&lt;FT_Y5,1,IF(MOD(BE42-FT_Y5,12)=0,FT_AnnivDays,1))))</f>
        <v/>
      </c>
      <c r="AF42" s="27" t="str">
        <f aca="false">IF(AO42=0,"",IF(NOT(EH_Ready),"Map headers",IF(IF(MatchMode="Employee ID",COUNTIFS(INDEX(EH_Data,0,EH_ColID),$A42,INDEX(EH_Data,0,EH_ColCat),BonusCat),COUNTIFS(INDEX(EH_Data,0,EH_ColFirst),$B42,INDEX(EH_Data,0,EH_ColSur),$C42,INDEX(EH_Data,0,EH_ColCat),BonusCat))&gt;0,"Yes","No")))</f>
        <v/>
      </c>
      <c r="AG42" s="26" t="str">
        <f aca="false">IF(AO42=0,"",IF(NOT(EH_Ready),"",IF(MatchMode="Employee ID",SUMIFS(INDEX(EH_Data,0,EH_ColBal),INDEX(EH_Data,0,EH_ColID),$A42,INDEX(EH_Data,0,EH_ColCat),BonusCat),SUMIFS(INDEX(EH_Data,0,EH_ColBal),INDEX(EH_Data,0,EH_ColFirst),$B42,INDEX(EH_Data,0,EH_ColSur),$C42,INDEX(EH_Data,0,EH_ColCat),BonusCat))/IF(EHUnit="Hours",HoursPerDay,1)))</f>
        <v/>
      </c>
      <c r="AH42" s="26" t="str">
        <f aca="false">IF(AO42=0,"",IF(NOT(TK_Ready),0,IF(MatchMode="Employee ID",SUMIFS(INDEX(TK_Data,0,TK_ColAmt),INDEX(TK_Data,0,TK_ColID),$A42,INDEX(TK_Data,0,TK_ColCat),BonusCat),SUMIFS(INDEX(TK_Data,0,TK_ColAmt),INDEX(TK_Data,0,TK_ColFirst),$B42,INDEX(TK_Data,0,TK_ColSur),$C42,INDEX(TK_Data,0,TK_ColCat),BonusCat))/IF(TKUnit="Hours",HoursPerDay,1)))</f>
        <v/>
      </c>
      <c r="AI42" s="26" t="str">
        <f aca="false">IF(AO42=0,"",N(AG42)+N(AH42))</f>
        <v/>
      </c>
      <c r="AJ42" s="29" t="str">
        <f aca="false">IF(AO42=0,"",IF(NOT(AND(EH_Ready,EH_ValReady)),"",IF(MatchMode="Employee ID",SUMIFS(INDEX(EH_Data,0,EH_ColVal),INDEX(EH_Data,0,EH_ColID),$A42,INDEX(EH_Data,0,EH_ColCat),BonusCat),SUMIFS(INDEX(EH_Data,0,EH_ColVal),INDEX(EH_Data,0,EH_ColFirst),$B42,INDEX(EH_Data,0,EH_ColSur),$C42,INDEX(EH_Data,0,EH_ColCat),BonusCat))))</f>
        <v/>
      </c>
      <c r="AK42" s="26" t="str">
        <f aca="false">IF(AO42=0,"",IF(OR(NOT(EH_Ready),BF42=1),"",AB42-AI42))</f>
        <v/>
      </c>
      <c r="AL42" s="26" t="str">
        <f aca="false">IF(AK42="","",AK42*HoursPerDay)</f>
        <v/>
      </c>
      <c r="AM42" s="27" t="str">
        <f aca="false">IF(AO42=0,"",IF(BF42=1,IF(N(AG42)&gt;0,"TERMINATED - forfeit "&amp;TEXT(AG42,"0.##")&amp;" days still in EH","Terminated - nothing in EH"),IF(NOT(EH_Ready),"Paste EH export and map headers on Settings",IF(AND(AB42&gt;0,AF42="No"),"SET UP in EH - add "&amp;TEXT(AB42,"0.##")&amp;" day(s) ("&amp;TEXT(AC42,"0.##")&amp;" hrs)",IF(AK42&gt;0,"ADD "&amp;TEXT(AK42,"0.##")&amp;" day(s) ("&amp;TEXT(AL42,"0.##")&amp;" hrs) in EH",IF(AK42&lt;0,"CHECK - EH shows "&amp;TEXT(-AK42,"0.##")&amp;" days more than policy",IF(AB42&gt;0,"OK - up to date",IF(AY42="None","No action - not eligible","No action - not yet qualified"))))))))</f>
        <v/>
      </c>
      <c r="AN42" s="27" t="str">
        <f aca="false">IF(AO42=0,"",TRIM(IF(AND($K42&lt;&gt;"",$H42=""),"Change 2 entered without Change 1. ","")&amp;IF(AND($K42&lt;&gt;"",$H42&lt;&gt;"",$K42&lt;=$H42),"Change 2 date not after Change 1. ","")&amp;IF(AND($N42&lt;&gt;"",$O42&lt;&gt;"",$O42&lt;$N42),"Leave To is before Leave From. ","")&amp;IF(AND($N42&lt;&gt;"",$O42=""),"Leave From entered without Leave To. ","")&amp;IF(AND(IFERROR(VLOOKUP(T42,TypeTable,2,0),"None")="PT",U42=""),"Part-time with no hours entered. ","")&amp;IF(AND($H42&lt;&gt;"",$H42&gt;AsOfDate,AD42&lt;&gt;"",$H42&lt;=AD42),"Status change lands before next accrual - review. ","")&amp;IF(AND($Q42&lt;&gt;"",$Q42&lt;$E42),"Termination before commencement. ","")))</f>
        <v/>
      </c>
      <c r="AO42" s="11" t="n">
        <f aca="false">IF(LEN($A42&amp;$B42&amp;$C42)=0,0,IF($E42="",0,1))</f>
        <v>0</v>
      </c>
      <c r="AP42" s="11" t="str">
        <f aca="false">IF(AO42=0,"",(IF(OR($N42="",$O42=""),0,MAX(0,MIN(X42,$O42)-MAX($N42,$E42)+1))+N($P42)))</f>
        <v/>
      </c>
      <c r="AQ42" s="11" t="str">
        <f aca="false">IF(AO42=0,"",IF(X42&lt;($E42+(IF(OR($N42="",$O42=""),0,MAX(0,MIN(X42,$O42)-MAX($N42,$E42)+1))+N($P42))),-1,12*(YEAR(X42)-YEAR(($E42+(IF(OR($N42="",$O42=""),0,MAX(0,MIN(X42,$O42)-MAX($N42,$E42)+1))+N($P42)))))+MONTH(X42)-MONTH(($E42+(IF(OR($N42="",$O42=""),0,MAX(0,MIN(X42,$O42)-MAX($N42,$E42)+1))+N($P42))))-IF(DAY(X42)&lt;MIN(DAY(($E42+(IF(OR($N42="",$O42=""),0,MAX(0,MIN(X42,$O42)-MAX($N42,$E42)+1))+N($P42)))),DAY(EOMONTH(X42,0))),1,0)))</f>
        <v/>
      </c>
      <c r="AR42" s="28" t="str">
        <f aca="false">IF(AO42=0,"",IF($H42="","",IF($H42&gt;X42,"",$H42)))</f>
        <v/>
      </c>
      <c r="AS42" s="28" t="str">
        <f aca="false">IF(AO42=0,"",IF(AR42="","",IF($K42="","",IF($K42&gt;X42,"",$K42))))</f>
        <v/>
      </c>
      <c r="AT42" s="11" t="str">
        <f aca="false">IF(AO42=0,"",IF(AR42="",AQ42,IF((AR42-1)&lt;($E42+(IF(OR($N42="",$O42=""),0,MAX(0,MIN((AR42-1),$O42)-MAX($N42,$E42)+1))+N($P42))),-1,12*(YEAR((AR42-1))-YEAR(($E42+(IF(OR($N42="",$O42=""),0,MAX(0,MIN((AR42-1),$O42)-MAX($N42,$E42)+1))+N($P42)))))+MONTH((AR42-1))-MONTH(($E42+(IF(OR($N42="",$O42=""),0,MAX(0,MIN((AR42-1),$O42)-MAX($N42,$E42)+1))+N($P42))))-IF(DAY((AR42-1))&lt;MIN(DAY(($E42+(IF(OR($N42="",$O42=""),0,MAX(0,MIN((AR42-1),$O42)-MAX($N42,$E42)+1))+N($P42)))),DAY(EOMONTH((AR42-1),0))),1,0))))</f>
        <v/>
      </c>
      <c r="AU42" s="11" t="str">
        <f aca="false">IF(AO42=0,"",IF(AS42="",AQ42,IF((AS42-1)&lt;($E42+(IF(OR($N42="",$O42=""),0,MAX(0,MIN((AS42-1),$O42)-MAX($N42,$E42)+1))+N($P42))),-1,12*(YEAR((AS42-1))-YEAR(($E42+(IF(OR($N42="",$O42=""),0,MAX(0,MIN((AS42-1),$O42)-MAX($N42,$E42)+1))+N($P42)))))+MONTH((AS42-1))-MONTH(($E42+(IF(OR($N42="",$O42=""),0,MAX(0,MIN((AS42-1),$O42)-MAX($N42,$E42)+1))+N($P42))))-IF(DAY((AS42-1))&lt;MIN(DAY(($E42+(IF(OR($N42="",$O42=""),0,MAX(0,MIN((AS42-1),$O42)-MAX($N42,$E42)+1))+N($P42)))),DAY(EOMONTH((AS42-1),0))),1,0))))</f>
        <v/>
      </c>
      <c r="AV42" s="11" t="str">
        <f aca="false">IF(AO42=0,"",IF($F42="","None",IF(IFERROR(VLOOKUP($F42,TypeTable,2,0),"None")="PT",IF(N($G42)&gt;=PT_MinHours,"PT","None"),IFERROR(VLOOKUP($F42,TypeTable,2,0),"None"))))</f>
        <v/>
      </c>
      <c r="AW42" s="11" t="str">
        <f aca="false">IF(AO42=0,"",IF($I42="","None",IF(IFERROR(VLOOKUP($I42,TypeTable,2,0),"None")="PT",IF(N($J42)&gt;=PT_MinHours,"PT","None"),IFERROR(VLOOKUP($I42,TypeTable,2,0),"None"))))</f>
        <v/>
      </c>
      <c r="AX42" s="11" t="str">
        <f aca="false">IF(AO42=0,"",IF($L42="","None",IF(IFERROR(VLOOKUP($L42,TypeTable,2,0),"None")="PT",IF(N($M42)&gt;=PT_MinHours,"PT","None"),IFERROR(VLOOKUP($L42,TypeTable,2,0),"None"))))</f>
        <v/>
      </c>
      <c r="AY42" s="11" t="str">
        <f aca="false">IF(AO42=0,"",IF(AS42&lt;&gt;"",AX42,IF(AR42&lt;&gt;"",AW42,AV42)))</f>
        <v/>
      </c>
      <c r="AZ42" s="11" t="str">
        <f aca="false">IF(AO42=0,"",IF(AV42="FT",IF(AT42&lt;FT_First,0,IF(AT42&lt;FT_Y5,1+INT((AT42-FT_First)/FT_Int1),FT_PreY5+FT_PerYear*INT((AT42-FT_Y5)/12)+FT_AnnivDays+INT(MOD(AT42-FT_Y5,12)/FT_Int2))),IF(AV42="PT",IF(AT42&lt;PT_First,0,1+INT((AT42-PT_First)/PT_Int)),0)))</f>
        <v/>
      </c>
      <c r="BA42" s="11" t="str">
        <f aca="false">IF(AO42=0,"",IF(AW42="FT",IF(AT42&lt;FT_First,0,IF(AT42&lt;FT_Y5,1+INT((AT42-FT_First)/FT_Int1),FT_PreY5+FT_PerYear*INT((AT42-FT_Y5)/12)+FT_AnnivDays+INT(MOD(AT42-FT_Y5,12)/FT_Int2))),IF(AW42="PT",IF(AT42&lt;PT_First,0,1+INT((AT42-PT_First)/PT_Int)),0)))</f>
        <v/>
      </c>
      <c r="BB42" s="11" t="str">
        <f aca="false">IF(AO42=0,"",IF(AW42="FT",IF(AU42&lt;FT_First,0,IF(AU42&lt;FT_Y5,1+INT((AU42-FT_First)/FT_Int1),FT_PreY5+FT_PerYear*INT((AU42-FT_Y5)/12)+FT_AnnivDays+INT(MOD(AU42-FT_Y5,12)/FT_Int2))),IF(AW42="PT",IF(AU42&lt;PT_First,0,1+INT((AU42-PT_First)/PT_Int)),0)))</f>
        <v/>
      </c>
      <c r="BC42" s="11" t="str">
        <f aca="false">IF(AO42=0,"",IF(AX42="FT",IF(AU42&lt;FT_First,0,IF(AU42&lt;FT_Y5,1+INT((AU42-FT_First)/FT_Int1),FT_PreY5+FT_PerYear*INT((AU42-FT_Y5)/12)+FT_AnnivDays+INT(MOD(AU42-FT_Y5,12)/FT_Int2))),IF(AX42="PT",IF(AU42&lt;PT_First,0,1+INT((AU42-PT_First)/PT_Int)),0)))</f>
        <v/>
      </c>
      <c r="BD42" s="11" t="str">
        <f aca="false">IF(AO42=0,"",IF(AX42="FT",IF(AQ42&lt;FT_First,0,IF(AQ42&lt;FT_Y5,1+INT((AQ42-FT_First)/FT_Int1),FT_PreY5+FT_PerYear*INT((AQ42-FT_Y5)/12)+FT_AnnivDays+INT(MOD(AQ42-FT_Y5,12)/FT_Int2))),IF(AX42="PT",IF(AQ42&lt;PT_First,0,1+INT((AQ42-PT_First)/PT_Int)),0)))</f>
        <v/>
      </c>
      <c r="BE42" s="11" t="str">
        <f aca="false">IF(AO42=0,"",IF(AY42="FT",IF(AQ42&lt;FT_First,FT_First,IF(AQ42&lt;FT_Y5,MIN(FT_Y5,FT_First+FT_Int1*(INT((AQ42-FT_First)/FT_Int1)+1)),FT_Y5+12*INT((AQ42-FT_Y5)/12)+FT_Int2*(INT(MOD(AQ42-FT_Y5,12)/FT_Int2)+1))),IF(AY42="PT",IF(AQ42&lt;PT_First,PT_First,PT_First+PT_Int*(INT((AQ42-PT_First)/PT_Int)+1)),"")))</f>
        <v/>
      </c>
      <c r="BF42" s="11" t="n">
        <f aca="false">IF(AO42=0,0,IF(AND($Q42&lt;&gt;"",$Q42&lt;=AsOfDate),1,0))</f>
        <v>0</v>
      </c>
      <c r="BG42" s="11" t="str">
        <f aca="false">IF(AND(AO42=1,BF42=0,EH_Ready,N(AB42)&gt;0,N(AI42)=0),COUNT($BG$5:BG41)+1,"")</f>
        <v/>
      </c>
      <c r="BH42" s="11" t="str">
        <f aca="false">IF(AND(AO42=1,BF42=0,EH_Ready,N(AB42)&gt;0,N(AI42)&gt;0,N(AK42)&gt;0),COUNT($BH$5:BH41)+1,"")</f>
        <v/>
      </c>
      <c r="BI42" s="11" t="str">
        <f aca="false">IF(AND(AO42=1,OR(LEFT(AM42,3)="ADD",LEFT(AM42,3)="SET",LEFT(AM42,5)="CHECK",LEFT(AM42,10)="TERMINATED")),COUNT($BI$5:BI41)+1,"")</f>
        <v/>
      </c>
      <c r="BJ42" s="11" t="str">
        <f aca="false">IF(AO42=0,"",$A42&amp;" - "&amp;$B42&amp;" "&amp;$C42)</f>
        <v/>
      </c>
    </row>
    <row r="43" customFormat="false" ht="15" hidden="false" customHeight="false" outlineLevel="0" collapsed="false">
      <c r="A43" s="10"/>
      <c r="B43" s="10"/>
      <c r="C43" s="10"/>
      <c r="D43" s="10"/>
      <c r="E43" s="9"/>
      <c r="F43" s="10"/>
      <c r="G43" s="30"/>
      <c r="H43" s="9"/>
      <c r="I43" s="10"/>
      <c r="J43" s="30"/>
      <c r="K43" s="9"/>
      <c r="L43" s="10"/>
      <c r="M43" s="30"/>
      <c r="N43" s="9"/>
      <c r="O43" s="9"/>
      <c r="P43" s="30"/>
      <c r="Q43" s="9"/>
      <c r="R43" s="10"/>
      <c r="S43" s="11" t="str">
        <f aca="false">IF(AO43=0,"",IF($H43="","",$F43&amp;" -&gt; "&amp;$I43&amp;IF($I43="Part-Time"," ("&amp;N($J43)&amp;" hrs)","")&amp;" on "&amp;TEXT($H43,"dd/mm/yyyy")&amp;IF($H43&gt;AsOfDate," (FUTURE)","")&amp;IF($K43="","","; "&amp;$I43&amp;" -&gt; "&amp;$L43&amp;IF($L43="Part-Time"," ("&amp;N($M43)&amp;" hrs)","")&amp;" on "&amp;TEXT($K43,"dd/mm/yyyy")&amp;IF($K43&gt;AsOfDate," (FUTURE)",""))))</f>
        <v/>
      </c>
      <c r="T43" s="11" t="str">
        <f aca="false">IF(AO43=0,"",IF(AS43&lt;&gt;"",$L43,IF(AR43&lt;&gt;"",$I43,$F43)))</f>
        <v/>
      </c>
      <c r="U43" s="26" t="str">
        <f aca="false">IF(AO43=0,"",IF(AS43&lt;&gt;"",$M43,IF(AR43&lt;&gt;"",$J43,$G43)))</f>
        <v/>
      </c>
      <c r="V43" s="11" t="str">
        <f aca="false">IF(AO43=0,"",IF(AY43="FT","Full-Time",IF(AY43="PT","Part-Time","Not eligible")))</f>
        <v/>
      </c>
      <c r="W43" s="27" t="str">
        <f aca="false">IF(AO43=0,"",IF(AR43="",IF(AND($H43&lt;&gt;"",$H43&gt;AsOfDate),"Future change - not yet applied",""),IF(AND(AV43=AY43,OR(AS43="",AW43=AV43)),"Type changed - same accrual pathway",IF(AY43="None","STOPPED accruing from "&amp;TEXT(IF(AS43&lt;&gt;"",AS43,AR43),"dd/mm/yyyy"),IF(AV43="None","STARTED qualifying from "&amp;TEXT(IF(AS43&lt;&gt;"",AS43,AR43),"dd/mm/yyyy"),"Pathway changed "&amp;AV43&amp;" -&gt; "&amp;AW43&amp;IF(AS43&lt;&gt;""," -&gt; "&amp;AX43,"")&amp;" from "&amp;TEXT(IF(AS43&lt;&gt;"",AS43,AR43),"dd/mm/yyyy"))))))</f>
        <v/>
      </c>
      <c r="X43" s="28" t="str">
        <f aca="false">IF(AO43=0,"",IF($Q43="",AsOfDate,MIN(AsOfDate,$Q43)))</f>
        <v/>
      </c>
      <c r="Y43" s="26" t="str">
        <f aca="false">IF(AO43=0,"",MAX(0,AQ43))</f>
        <v/>
      </c>
      <c r="Z43" s="11" t="str">
        <f aca="false">IF(AO43=0,"",IF(AQ43&lt;0,"Not started",INT(AQ43/12)&amp;"y "&amp;MOD(AQ43,12)&amp;"m"))</f>
        <v/>
      </c>
      <c r="AA43" s="27" t="str">
        <f aca="false">IF(AO43=0,"",IF(BF43=1,"Terminated - balance forfeited",IF(AY43="None",IF(AB43&gt;0,"No longer accruing - "&amp;T43,"Not eligible - "&amp;T43&amp;IF(AND(IFERROR(VLOOKUP(T43,TypeTable,2,0),"None")="PT",N(U43)&lt;PT_MinHours)," (under "&amp;PT_MinHours&amp;" hrs)","")),IF(AB43&gt;0,"Yes - accruing","Not yet - qualifies "&amp;TEXT(AD43,"dd/mm/yyyy")))))</f>
        <v/>
      </c>
      <c r="AB43" s="26" t="str">
        <f aca="false">IF(AO43=0,"",AZ43+IF(AR43="",0,BB43-BA43)+IF(AS43="",0,BD43-BC43))</f>
        <v/>
      </c>
      <c r="AC43" s="26" t="str">
        <f aca="false">IF(AO43=0,"",AB43*HoursPerDay)</f>
        <v/>
      </c>
      <c r="AD43" s="28" t="str">
        <f aca="false">IF(AO43=0,"",IF(OR(BF43=1,AY43="None"),"",EDATE($E43+AP43,BE43)))</f>
        <v/>
      </c>
      <c r="AE43" s="26" t="str">
        <f aca="false">IF(AD43="","",IF(AY43="PT",1,IF(BE43&lt;FT_Y5,1,IF(MOD(BE43-FT_Y5,12)=0,FT_AnnivDays,1))))</f>
        <v/>
      </c>
      <c r="AF43" s="27" t="str">
        <f aca="false">IF(AO43=0,"",IF(NOT(EH_Ready),"Map headers",IF(IF(MatchMode="Employee ID",COUNTIFS(INDEX(EH_Data,0,EH_ColID),$A43,INDEX(EH_Data,0,EH_ColCat),BonusCat),COUNTIFS(INDEX(EH_Data,0,EH_ColFirst),$B43,INDEX(EH_Data,0,EH_ColSur),$C43,INDEX(EH_Data,0,EH_ColCat),BonusCat))&gt;0,"Yes","No")))</f>
        <v/>
      </c>
      <c r="AG43" s="26" t="str">
        <f aca="false">IF(AO43=0,"",IF(NOT(EH_Ready),"",IF(MatchMode="Employee ID",SUMIFS(INDEX(EH_Data,0,EH_ColBal),INDEX(EH_Data,0,EH_ColID),$A43,INDEX(EH_Data,0,EH_ColCat),BonusCat),SUMIFS(INDEX(EH_Data,0,EH_ColBal),INDEX(EH_Data,0,EH_ColFirst),$B43,INDEX(EH_Data,0,EH_ColSur),$C43,INDEX(EH_Data,0,EH_ColCat),BonusCat))/IF(EHUnit="Hours",HoursPerDay,1)))</f>
        <v/>
      </c>
      <c r="AH43" s="26" t="str">
        <f aca="false">IF(AO43=0,"",IF(NOT(TK_Ready),0,IF(MatchMode="Employee ID",SUMIFS(INDEX(TK_Data,0,TK_ColAmt),INDEX(TK_Data,0,TK_ColID),$A43,INDEX(TK_Data,0,TK_ColCat),BonusCat),SUMIFS(INDEX(TK_Data,0,TK_ColAmt),INDEX(TK_Data,0,TK_ColFirst),$B43,INDEX(TK_Data,0,TK_ColSur),$C43,INDEX(TK_Data,0,TK_ColCat),BonusCat))/IF(TKUnit="Hours",HoursPerDay,1)))</f>
        <v/>
      </c>
      <c r="AI43" s="26" t="str">
        <f aca="false">IF(AO43=0,"",N(AG43)+N(AH43))</f>
        <v/>
      </c>
      <c r="AJ43" s="29" t="str">
        <f aca="false">IF(AO43=0,"",IF(NOT(AND(EH_Ready,EH_ValReady)),"",IF(MatchMode="Employee ID",SUMIFS(INDEX(EH_Data,0,EH_ColVal),INDEX(EH_Data,0,EH_ColID),$A43,INDEX(EH_Data,0,EH_ColCat),BonusCat),SUMIFS(INDEX(EH_Data,0,EH_ColVal),INDEX(EH_Data,0,EH_ColFirst),$B43,INDEX(EH_Data,0,EH_ColSur),$C43,INDEX(EH_Data,0,EH_ColCat),BonusCat))))</f>
        <v/>
      </c>
      <c r="AK43" s="26" t="str">
        <f aca="false">IF(AO43=0,"",IF(OR(NOT(EH_Ready),BF43=1),"",AB43-AI43))</f>
        <v/>
      </c>
      <c r="AL43" s="26" t="str">
        <f aca="false">IF(AK43="","",AK43*HoursPerDay)</f>
        <v/>
      </c>
      <c r="AM43" s="27" t="str">
        <f aca="false">IF(AO43=0,"",IF(BF43=1,IF(N(AG43)&gt;0,"TERMINATED - forfeit "&amp;TEXT(AG43,"0.##")&amp;" days still in EH","Terminated - nothing in EH"),IF(NOT(EH_Ready),"Paste EH export and map headers on Settings",IF(AND(AB43&gt;0,AF43="No"),"SET UP in EH - add "&amp;TEXT(AB43,"0.##")&amp;" day(s) ("&amp;TEXT(AC43,"0.##")&amp;" hrs)",IF(AK43&gt;0,"ADD "&amp;TEXT(AK43,"0.##")&amp;" day(s) ("&amp;TEXT(AL43,"0.##")&amp;" hrs) in EH",IF(AK43&lt;0,"CHECK - EH shows "&amp;TEXT(-AK43,"0.##")&amp;" days more than policy",IF(AB43&gt;0,"OK - up to date",IF(AY43="None","No action - not eligible","No action - not yet qualified"))))))))</f>
        <v/>
      </c>
      <c r="AN43" s="27" t="str">
        <f aca="false">IF(AO43=0,"",TRIM(IF(AND($K43&lt;&gt;"",$H43=""),"Change 2 entered without Change 1. ","")&amp;IF(AND($K43&lt;&gt;"",$H43&lt;&gt;"",$K43&lt;=$H43),"Change 2 date not after Change 1. ","")&amp;IF(AND($N43&lt;&gt;"",$O43&lt;&gt;"",$O43&lt;$N43),"Leave To is before Leave From. ","")&amp;IF(AND($N43&lt;&gt;"",$O43=""),"Leave From entered without Leave To. ","")&amp;IF(AND(IFERROR(VLOOKUP(T43,TypeTable,2,0),"None")="PT",U43=""),"Part-time with no hours entered. ","")&amp;IF(AND($H43&lt;&gt;"",$H43&gt;AsOfDate,AD43&lt;&gt;"",$H43&lt;=AD43),"Status change lands before next accrual - review. ","")&amp;IF(AND($Q43&lt;&gt;"",$Q43&lt;$E43),"Termination before commencement. ","")))</f>
        <v/>
      </c>
      <c r="AO43" s="11" t="n">
        <f aca="false">IF(LEN($A43&amp;$B43&amp;$C43)=0,0,IF($E43="",0,1))</f>
        <v>0</v>
      </c>
      <c r="AP43" s="11" t="str">
        <f aca="false">IF(AO43=0,"",(IF(OR($N43="",$O43=""),0,MAX(0,MIN(X43,$O43)-MAX($N43,$E43)+1))+N($P43)))</f>
        <v/>
      </c>
      <c r="AQ43" s="11" t="str">
        <f aca="false">IF(AO43=0,"",IF(X43&lt;($E43+(IF(OR($N43="",$O43=""),0,MAX(0,MIN(X43,$O43)-MAX($N43,$E43)+1))+N($P43))),-1,12*(YEAR(X43)-YEAR(($E43+(IF(OR($N43="",$O43=""),0,MAX(0,MIN(X43,$O43)-MAX($N43,$E43)+1))+N($P43)))))+MONTH(X43)-MONTH(($E43+(IF(OR($N43="",$O43=""),0,MAX(0,MIN(X43,$O43)-MAX($N43,$E43)+1))+N($P43))))-IF(DAY(X43)&lt;MIN(DAY(($E43+(IF(OR($N43="",$O43=""),0,MAX(0,MIN(X43,$O43)-MAX($N43,$E43)+1))+N($P43)))),DAY(EOMONTH(X43,0))),1,0)))</f>
        <v/>
      </c>
      <c r="AR43" s="28" t="str">
        <f aca="false">IF(AO43=0,"",IF($H43="","",IF($H43&gt;X43,"",$H43)))</f>
        <v/>
      </c>
      <c r="AS43" s="28" t="str">
        <f aca="false">IF(AO43=0,"",IF(AR43="","",IF($K43="","",IF($K43&gt;X43,"",$K43))))</f>
        <v/>
      </c>
      <c r="AT43" s="11" t="str">
        <f aca="false">IF(AO43=0,"",IF(AR43="",AQ43,IF((AR43-1)&lt;($E43+(IF(OR($N43="",$O43=""),0,MAX(0,MIN((AR43-1),$O43)-MAX($N43,$E43)+1))+N($P43))),-1,12*(YEAR((AR43-1))-YEAR(($E43+(IF(OR($N43="",$O43=""),0,MAX(0,MIN((AR43-1),$O43)-MAX($N43,$E43)+1))+N($P43)))))+MONTH((AR43-1))-MONTH(($E43+(IF(OR($N43="",$O43=""),0,MAX(0,MIN((AR43-1),$O43)-MAX($N43,$E43)+1))+N($P43))))-IF(DAY((AR43-1))&lt;MIN(DAY(($E43+(IF(OR($N43="",$O43=""),0,MAX(0,MIN((AR43-1),$O43)-MAX($N43,$E43)+1))+N($P43)))),DAY(EOMONTH((AR43-1),0))),1,0))))</f>
        <v/>
      </c>
      <c r="AU43" s="11" t="str">
        <f aca="false">IF(AO43=0,"",IF(AS43="",AQ43,IF((AS43-1)&lt;($E43+(IF(OR($N43="",$O43=""),0,MAX(0,MIN((AS43-1),$O43)-MAX($N43,$E43)+1))+N($P43))),-1,12*(YEAR((AS43-1))-YEAR(($E43+(IF(OR($N43="",$O43=""),0,MAX(0,MIN((AS43-1),$O43)-MAX($N43,$E43)+1))+N($P43)))))+MONTH((AS43-1))-MONTH(($E43+(IF(OR($N43="",$O43=""),0,MAX(0,MIN((AS43-1),$O43)-MAX($N43,$E43)+1))+N($P43))))-IF(DAY((AS43-1))&lt;MIN(DAY(($E43+(IF(OR($N43="",$O43=""),0,MAX(0,MIN((AS43-1),$O43)-MAX($N43,$E43)+1))+N($P43)))),DAY(EOMONTH((AS43-1),0))),1,0))))</f>
        <v/>
      </c>
      <c r="AV43" s="11" t="str">
        <f aca="false">IF(AO43=0,"",IF($F43="","None",IF(IFERROR(VLOOKUP($F43,TypeTable,2,0),"None")="PT",IF(N($G43)&gt;=PT_MinHours,"PT","None"),IFERROR(VLOOKUP($F43,TypeTable,2,0),"None"))))</f>
        <v/>
      </c>
      <c r="AW43" s="11" t="str">
        <f aca="false">IF(AO43=0,"",IF($I43="","None",IF(IFERROR(VLOOKUP($I43,TypeTable,2,0),"None")="PT",IF(N($J43)&gt;=PT_MinHours,"PT","None"),IFERROR(VLOOKUP($I43,TypeTable,2,0),"None"))))</f>
        <v/>
      </c>
      <c r="AX43" s="11" t="str">
        <f aca="false">IF(AO43=0,"",IF($L43="","None",IF(IFERROR(VLOOKUP($L43,TypeTable,2,0),"None")="PT",IF(N($M43)&gt;=PT_MinHours,"PT","None"),IFERROR(VLOOKUP($L43,TypeTable,2,0),"None"))))</f>
        <v/>
      </c>
      <c r="AY43" s="11" t="str">
        <f aca="false">IF(AO43=0,"",IF(AS43&lt;&gt;"",AX43,IF(AR43&lt;&gt;"",AW43,AV43)))</f>
        <v/>
      </c>
      <c r="AZ43" s="11" t="str">
        <f aca="false">IF(AO43=0,"",IF(AV43="FT",IF(AT43&lt;FT_First,0,IF(AT43&lt;FT_Y5,1+INT((AT43-FT_First)/FT_Int1),FT_PreY5+FT_PerYear*INT((AT43-FT_Y5)/12)+FT_AnnivDays+INT(MOD(AT43-FT_Y5,12)/FT_Int2))),IF(AV43="PT",IF(AT43&lt;PT_First,0,1+INT((AT43-PT_First)/PT_Int)),0)))</f>
        <v/>
      </c>
      <c r="BA43" s="11" t="str">
        <f aca="false">IF(AO43=0,"",IF(AW43="FT",IF(AT43&lt;FT_First,0,IF(AT43&lt;FT_Y5,1+INT((AT43-FT_First)/FT_Int1),FT_PreY5+FT_PerYear*INT((AT43-FT_Y5)/12)+FT_AnnivDays+INT(MOD(AT43-FT_Y5,12)/FT_Int2))),IF(AW43="PT",IF(AT43&lt;PT_First,0,1+INT((AT43-PT_First)/PT_Int)),0)))</f>
        <v/>
      </c>
      <c r="BB43" s="11" t="str">
        <f aca="false">IF(AO43=0,"",IF(AW43="FT",IF(AU43&lt;FT_First,0,IF(AU43&lt;FT_Y5,1+INT((AU43-FT_First)/FT_Int1),FT_PreY5+FT_PerYear*INT((AU43-FT_Y5)/12)+FT_AnnivDays+INT(MOD(AU43-FT_Y5,12)/FT_Int2))),IF(AW43="PT",IF(AU43&lt;PT_First,0,1+INT((AU43-PT_First)/PT_Int)),0)))</f>
        <v/>
      </c>
      <c r="BC43" s="11" t="str">
        <f aca="false">IF(AO43=0,"",IF(AX43="FT",IF(AU43&lt;FT_First,0,IF(AU43&lt;FT_Y5,1+INT((AU43-FT_First)/FT_Int1),FT_PreY5+FT_PerYear*INT((AU43-FT_Y5)/12)+FT_AnnivDays+INT(MOD(AU43-FT_Y5,12)/FT_Int2))),IF(AX43="PT",IF(AU43&lt;PT_First,0,1+INT((AU43-PT_First)/PT_Int)),0)))</f>
        <v/>
      </c>
      <c r="BD43" s="11" t="str">
        <f aca="false">IF(AO43=0,"",IF(AX43="FT",IF(AQ43&lt;FT_First,0,IF(AQ43&lt;FT_Y5,1+INT((AQ43-FT_First)/FT_Int1),FT_PreY5+FT_PerYear*INT((AQ43-FT_Y5)/12)+FT_AnnivDays+INT(MOD(AQ43-FT_Y5,12)/FT_Int2))),IF(AX43="PT",IF(AQ43&lt;PT_First,0,1+INT((AQ43-PT_First)/PT_Int)),0)))</f>
        <v/>
      </c>
      <c r="BE43" s="11" t="str">
        <f aca="false">IF(AO43=0,"",IF(AY43="FT",IF(AQ43&lt;FT_First,FT_First,IF(AQ43&lt;FT_Y5,MIN(FT_Y5,FT_First+FT_Int1*(INT((AQ43-FT_First)/FT_Int1)+1)),FT_Y5+12*INT((AQ43-FT_Y5)/12)+FT_Int2*(INT(MOD(AQ43-FT_Y5,12)/FT_Int2)+1))),IF(AY43="PT",IF(AQ43&lt;PT_First,PT_First,PT_First+PT_Int*(INT((AQ43-PT_First)/PT_Int)+1)),"")))</f>
        <v/>
      </c>
      <c r="BF43" s="11" t="n">
        <f aca="false">IF(AO43=0,0,IF(AND($Q43&lt;&gt;"",$Q43&lt;=AsOfDate),1,0))</f>
        <v>0</v>
      </c>
      <c r="BG43" s="11" t="str">
        <f aca="false">IF(AND(AO43=1,BF43=0,EH_Ready,N(AB43)&gt;0,N(AI43)=0),COUNT($BG$5:BG42)+1,"")</f>
        <v/>
      </c>
      <c r="BH43" s="11" t="str">
        <f aca="false">IF(AND(AO43=1,BF43=0,EH_Ready,N(AB43)&gt;0,N(AI43)&gt;0,N(AK43)&gt;0),COUNT($BH$5:BH42)+1,"")</f>
        <v/>
      </c>
      <c r="BI43" s="11" t="str">
        <f aca="false">IF(AND(AO43=1,OR(LEFT(AM43,3)="ADD",LEFT(AM43,3)="SET",LEFT(AM43,5)="CHECK",LEFT(AM43,10)="TERMINATED")),COUNT($BI$5:BI42)+1,"")</f>
        <v/>
      </c>
      <c r="BJ43" s="11" t="str">
        <f aca="false">IF(AO43=0,"",$A43&amp;" - "&amp;$B43&amp;" "&amp;$C43)</f>
        <v/>
      </c>
    </row>
    <row r="44" customFormat="false" ht="15" hidden="false" customHeight="false" outlineLevel="0" collapsed="false">
      <c r="A44" s="10"/>
      <c r="B44" s="10"/>
      <c r="C44" s="10"/>
      <c r="D44" s="10"/>
      <c r="E44" s="9"/>
      <c r="F44" s="10"/>
      <c r="G44" s="30"/>
      <c r="H44" s="9"/>
      <c r="I44" s="10"/>
      <c r="J44" s="30"/>
      <c r="K44" s="9"/>
      <c r="L44" s="10"/>
      <c r="M44" s="30"/>
      <c r="N44" s="9"/>
      <c r="O44" s="9"/>
      <c r="P44" s="30"/>
      <c r="Q44" s="9"/>
      <c r="R44" s="10"/>
      <c r="S44" s="11" t="str">
        <f aca="false">IF(AO44=0,"",IF($H44="","",$F44&amp;" -&gt; "&amp;$I44&amp;IF($I44="Part-Time"," ("&amp;N($J44)&amp;" hrs)","")&amp;" on "&amp;TEXT($H44,"dd/mm/yyyy")&amp;IF($H44&gt;AsOfDate," (FUTURE)","")&amp;IF($K44="","","; "&amp;$I44&amp;" -&gt; "&amp;$L44&amp;IF($L44="Part-Time"," ("&amp;N($M44)&amp;" hrs)","")&amp;" on "&amp;TEXT($K44,"dd/mm/yyyy")&amp;IF($K44&gt;AsOfDate," (FUTURE)",""))))</f>
        <v/>
      </c>
      <c r="T44" s="11" t="str">
        <f aca="false">IF(AO44=0,"",IF(AS44&lt;&gt;"",$L44,IF(AR44&lt;&gt;"",$I44,$F44)))</f>
        <v/>
      </c>
      <c r="U44" s="26" t="str">
        <f aca="false">IF(AO44=0,"",IF(AS44&lt;&gt;"",$M44,IF(AR44&lt;&gt;"",$J44,$G44)))</f>
        <v/>
      </c>
      <c r="V44" s="11" t="str">
        <f aca="false">IF(AO44=0,"",IF(AY44="FT","Full-Time",IF(AY44="PT","Part-Time","Not eligible")))</f>
        <v/>
      </c>
      <c r="W44" s="27" t="str">
        <f aca="false">IF(AO44=0,"",IF(AR44="",IF(AND($H44&lt;&gt;"",$H44&gt;AsOfDate),"Future change - not yet applied",""),IF(AND(AV44=AY44,OR(AS44="",AW44=AV44)),"Type changed - same accrual pathway",IF(AY44="None","STOPPED accruing from "&amp;TEXT(IF(AS44&lt;&gt;"",AS44,AR44),"dd/mm/yyyy"),IF(AV44="None","STARTED qualifying from "&amp;TEXT(IF(AS44&lt;&gt;"",AS44,AR44),"dd/mm/yyyy"),"Pathway changed "&amp;AV44&amp;" -&gt; "&amp;AW44&amp;IF(AS44&lt;&gt;""," -&gt; "&amp;AX44,"")&amp;" from "&amp;TEXT(IF(AS44&lt;&gt;"",AS44,AR44),"dd/mm/yyyy"))))))</f>
        <v/>
      </c>
      <c r="X44" s="28" t="str">
        <f aca="false">IF(AO44=0,"",IF($Q44="",AsOfDate,MIN(AsOfDate,$Q44)))</f>
        <v/>
      </c>
      <c r="Y44" s="26" t="str">
        <f aca="false">IF(AO44=0,"",MAX(0,AQ44))</f>
        <v/>
      </c>
      <c r="Z44" s="11" t="str">
        <f aca="false">IF(AO44=0,"",IF(AQ44&lt;0,"Not started",INT(AQ44/12)&amp;"y "&amp;MOD(AQ44,12)&amp;"m"))</f>
        <v/>
      </c>
      <c r="AA44" s="27" t="str">
        <f aca="false">IF(AO44=0,"",IF(BF44=1,"Terminated - balance forfeited",IF(AY44="None",IF(AB44&gt;0,"No longer accruing - "&amp;T44,"Not eligible - "&amp;T44&amp;IF(AND(IFERROR(VLOOKUP(T44,TypeTable,2,0),"None")="PT",N(U44)&lt;PT_MinHours)," (under "&amp;PT_MinHours&amp;" hrs)","")),IF(AB44&gt;0,"Yes - accruing","Not yet - qualifies "&amp;TEXT(AD44,"dd/mm/yyyy")))))</f>
        <v/>
      </c>
      <c r="AB44" s="26" t="str">
        <f aca="false">IF(AO44=0,"",AZ44+IF(AR44="",0,BB44-BA44)+IF(AS44="",0,BD44-BC44))</f>
        <v/>
      </c>
      <c r="AC44" s="26" t="str">
        <f aca="false">IF(AO44=0,"",AB44*HoursPerDay)</f>
        <v/>
      </c>
      <c r="AD44" s="28" t="str">
        <f aca="false">IF(AO44=0,"",IF(OR(BF44=1,AY44="None"),"",EDATE($E44+AP44,BE44)))</f>
        <v/>
      </c>
      <c r="AE44" s="26" t="str">
        <f aca="false">IF(AD44="","",IF(AY44="PT",1,IF(BE44&lt;FT_Y5,1,IF(MOD(BE44-FT_Y5,12)=0,FT_AnnivDays,1))))</f>
        <v/>
      </c>
      <c r="AF44" s="27" t="str">
        <f aca="false">IF(AO44=0,"",IF(NOT(EH_Ready),"Map headers",IF(IF(MatchMode="Employee ID",COUNTIFS(INDEX(EH_Data,0,EH_ColID),$A44,INDEX(EH_Data,0,EH_ColCat),BonusCat),COUNTIFS(INDEX(EH_Data,0,EH_ColFirst),$B44,INDEX(EH_Data,0,EH_ColSur),$C44,INDEX(EH_Data,0,EH_ColCat),BonusCat))&gt;0,"Yes","No")))</f>
        <v/>
      </c>
      <c r="AG44" s="26" t="str">
        <f aca="false">IF(AO44=0,"",IF(NOT(EH_Ready),"",IF(MatchMode="Employee ID",SUMIFS(INDEX(EH_Data,0,EH_ColBal),INDEX(EH_Data,0,EH_ColID),$A44,INDEX(EH_Data,0,EH_ColCat),BonusCat),SUMIFS(INDEX(EH_Data,0,EH_ColBal),INDEX(EH_Data,0,EH_ColFirst),$B44,INDEX(EH_Data,0,EH_ColSur),$C44,INDEX(EH_Data,0,EH_ColCat),BonusCat))/IF(EHUnit="Hours",HoursPerDay,1)))</f>
        <v/>
      </c>
      <c r="AH44" s="26" t="str">
        <f aca="false">IF(AO44=0,"",IF(NOT(TK_Ready),0,IF(MatchMode="Employee ID",SUMIFS(INDEX(TK_Data,0,TK_ColAmt),INDEX(TK_Data,0,TK_ColID),$A44,INDEX(TK_Data,0,TK_ColCat),BonusCat),SUMIFS(INDEX(TK_Data,0,TK_ColAmt),INDEX(TK_Data,0,TK_ColFirst),$B44,INDEX(TK_Data,0,TK_ColSur),$C44,INDEX(TK_Data,0,TK_ColCat),BonusCat))/IF(TKUnit="Hours",HoursPerDay,1)))</f>
        <v/>
      </c>
      <c r="AI44" s="26" t="str">
        <f aca="false">IF(AO44=0,"",N(AG44)+N(AH44))</f>
        <v/>
      </c>
      <c r="AJ44" s="29" t="str">
        <f aca="false">IF(AO44=0,"",IF(NOT(AND(EH_Ready,EH_ValReady)),"",IF(MatchMode="Employee ID",SUMIFS(INDEX(EH_Data,0,EH_ColVal),INDEX(EH_Data,0,EH_ColID),$A44,INDEX(EH_Data,0,EH_ColCat),BonusCat),SUMIFS(INDEX(EH_Data,0,EH_ColVal),INDEX(EH_Data,0,EH_ColFirst),$B44,INDEX(EH_Data,0,EH_ColSur),$C44,INDEX(EH_Data,0,EH_ColCat),BonusCat))))</f>
        <v/>
      </c>
      <c r="AK44" s="26" t="str">
        <f aca="false">IF(AO44=0,"",IF(OR(NOT(EH_Ready),BF44=1),"",AB44-AI44))</f>
        <v/>
      </c>
      <c r="AL44" s="26" t="str">
        <f aca="false">IF(AK44="","",AK44*HoursPerDay)</f>
        <v/>
      </c>
      <c r="AM44" s="27" t="str">
        <f aca="false">IF(AO44=0,"",IF(BF44=1,IF(N(AG44)&gt;0,"TERMINATED - forfeit "&amp;TEXT(AG44,"0.##")&amp;" days still in EH","Terminated - nothing in EH"),IF(NOT(EH_Ready),"Paste EH export and map headers on Settings",IF(AND(AB44&gt;0,AF44="No"),"SET UP in EH - add "&amp;TEXT(AB44,"0.##")&amp;" day(s) ("&amp;TEXT(AC44,"0.##")&amp;" hrs)",IF(AK44&gt;0,"ADD "&amp;TEXT(AK44,"0.##")&amp;" day(s) ("&amp;TEXT(AL44,"0.##")&amp;" hrs) in EH",IF(AK44&lt;0,"CHECK - EH shows "&amp;TEXT(-AK44,"0.##")&amp;" days more than policy",IF(AB44&gt;0,"OK - up to date",IF(AY44="None","No action - not eligible","No action - not yet qualified"))))))))</f>
        <v/>
      </c>
      <c r="AN44" s="27" t="str">
        <f aca="false">IF(AO44=0,"",TRIM(IF(AND($K44&lt;&gt;"",$H44=""),"Change 2 entered without Change 1. ","")&amp;IF(AND($K44&lt;&gt;"",$H44&lt;&gt;"",$K44&lt;=$H44),"Change 2 date not after Change 1. ","")&amp;IF(AND($N44&lt;&gt;"",$O44&lt;&gt;"",$O44&lt;$N44),"Leave To is before Leave From. ","")&amp;IF(AND($N44&lt;&gt;"",$O44=""),"Leave From entered without Leave To. ","")&amp;IF(AND(IFERROR(VLOOKUP(T44,TypeTable,2,0),"None")="PT",U44=""),"Part-time with no hours entered. ","")&amp;IF(AND($H44&lt;&gt;"",$H44&gt;AsOfDate,AD44&lt;&gt;"",$H44&lt;=AD44),"Status change lands before next accrual - review. ","")&amp;IF(AND($Q44&lt;&gt;"",$Q44&lt;$E44),"Termination before commencement. ","")))</f>
        <v/>
      </c>
      <c r="AO44" s="11" t="n">
        <f aca="false">IF(LEN($A44&amp;$B44&amp;$C44)=0,0,IF($E44="",0,1))</f>
        <v>0</v>
      </c>
      <c r="AP44" s="11" t="str">
        <f aca="false">IF(AO44=0,"",(IF(OR($N44="",$O44=""),0,MAX(0,MIN(X44,$O44)-MAX($N44,$E44)+1))+N($P44)))</f>
        <v/>
      </c>
      <c r="AQ44" s="11" t="str">
        <f aca="false">IF(AO44=0,"",IF(X44&lt;($E44+(IF(OR($N44="",$O44=""),0,MAX(0,MIN(X44,$O44)-MAX($N44,$E44)+1))+N($P44))),-1,12*(YEAR(X44)-YEAR(($E44+(IF(OR($N44="",$O44=""),0,MAX(0,MIN(X44,$O44)-MAX($N44,$E44)+1))+N($P44)))))+MONTH(X44)-MONTH(($E44+(IF(OR($N44="",$O44=""),0,MAX(0,MIN(X44,$O44)-MAX($N44,$E44)+1))+N($P44))))-IF(DAY(X44)&lt;MIN(DAY(($E44+(IF(OR($N44="",$O44=""),0,MAX(0,MIN(X44,$O44)-MAX($N44,$E44)+1))+N($P44)))),DAY(EOMONTH(X44,0))),1,0)))</f>
        <v/>
      </c>
      <c r="AR44" s="28" t="str">
        <f aca="false">IF(AO44=0,"",IF($H44="","",IF($H44&gt;X44,"",$H44)))</f>
        <v/>
      </c>
      <c r="AS44" s="28" t="str">
        <f aca="false">IF(AO44=0,"",IF(AR44="","",IF($K44="","",IF($K44&gt;X44,"",$K44))))</f>
        <v/>
      </c>
      <c r="AT44" s="11" t="str">
        <f aca="false">IF(AO44=0,"",IF(AR44="",AQ44,IF((AR44-1)&lt;($E44+(IF(OR($N44="",$O44=""),0,MAX(0,MIN((AR44-1),$O44)-MAX($N44,$E44)+1))+N($P44))),-1,12*(YEAR((AR44-1))-YEAR(($E44+(IF(OR($N44="",$O44=""),0,MAX(0,MIN((AR44-1),$O44)-MAX($N44,$E44)+1))+N($P44)))))+MONTH((AR44-1))-MONTH(($E44+(IF(OR($N44="",$O44=""),0,MAX(0,MIN((AR44-1),$O44)-MAX($N44,$E44)+1))+N($P44))))-IF(DAY((AR44-1))&lt;MIN(DAY(($E44+(IF(OR($N44="",$O44=""),0,MAX(0,MIN((AR44-1),$O44)-MAX($N44,$E44)+1))+N($P44)))),DAY(EOMONTH((AR44-1),0))),1,0))))</f>
        <v/>
      </c>
      <c r="AU44" s="11" t="str">
        <f aca="false">IF(AO44=0,"",IF(AS44="",AQ44,IF((AS44-1)&lt;($E44+(IF(OR($N44="",$O44=""),0,MAX(0,MIN((AS44-1),$O44)-MAX($N44,$E44)+1))+N($P44))),-1,12*(YEAR((AS44-1))-YEAR(($E44+(IF(OR($N44="",$O44=""),0,MAX(0,MIN((AS44-1),$O44)-MAX($N44,$E44)+1))+N($P44)))))+MONTH((AS44-1))-MONTH(($E44+(IF(OR($N44="",$O44=""),0,MAX(0,MIN((AS44-1),$O44)-MAX($N44,$E44)+1))+N($P44))))-IF(DAY((AS44-1))&lt;MIN(DAY(($E44+(IF(OR($N44="",$O44=""),0,MAX(0,MIN((AS44-1),$O44)-MAX($N44,$E44)+1))+N($P44)))),DAY(EOMONTH((AS44-1),0))),1,0))))</f>
        <v/>
      </c>
      <c r="AV44" s="11" t="str">
        <f aca="false">IF(AO44=0,"",IF($F44="","None",IF(IFERROR(VLOOKUP($F44,TypeTable,2,0),"None")="PT",IF(N($G44)&gt;=PT_MinHours,"PT","None"),IFERROR(VLOOKUP($F44,TypeTable,2,0),"None"))))</f>
        <v/>
      </c>
      <c r="AW44" s="11" t="str">
        <f aca="false">IF(AO44=0,"",IF($I44="","None",IF(IFERROR(VLOOKUP($I44,TypeTable,2,0),"None")="PT",IF(N($J44)&gt;=PT_MinHours,"PT","None"),IFERROR(VLOOKUP($I44,TypeTable,2,0),"None"))))</f>
        <v/>
      </c>
      <c r="AX44" s="11" t="str">
        <f aca="false">IF(AO44=0,"",IF($L44="","None",IF(IFERROR(VLOOKUP($L44,TypeTable,2,0),"None")="PT",IF(N($M44)&gt;=PT_MinHours,"PT","None"),IFERROR(VLOOKUP($L44,TypeTable,2,0),"None"))))</f>
        <v/>
      </c>
      <c r="AY44" s="11" t="str">
        <f aca="false">IF(AO44=0,"",IF(AS44&lt;&gt;"",AX44,IF(AR44&lt;&gt;"",AW44,AV44)))</f>
        <v/>
      </c>
      <c r="AZ44" s="11" t="str">
        <f aca="false">IF(AO44=0,"",IF(AV44="FT",IF(AT44&lt;FT_First,0,IF(AT44&lt;FT_Y5,1+INT((AT44-FT_First)/FT_Int1),FT_PreY5+FT_PerYear*INT((AT44-FT_Y5)/12)+FT_AnnivDays+INT(MOD(AT44-FT_Y5,12)/FT_Int2))),IF(AV44="PT",IF(AT44&lt;PT_First,0,1+INT((AT44-PT_First)/PT_Int)),0)))</f>
        <v/>
      </c>
      <c r="BA44" s="11" t="str">
        <f aca="false">IF(AO44=0,"",IF(AW44="FT",IF(AT44&lt;FT_First,0,IF(AT44&lt;FT_Y5,1+INT((AT44-FT_First)/FT_Int1),FT_PreY5+FT_PerYear*INT((AT44-FT_Y5)/12)+FT_AnnivDays+INT(MOD(AT44-FT_Y5,12)/FT_Int2))),IF(AW44="PT",IF(AT44&lt;PT_First,0,1+INT((AT44-PT_First)/PT_Int)),0)))</f>
        <v/>
      </c>
      <c r="BB44" s="11" t="str">
        <f aca="false">IF(AO44=0,"",IF(AW44="FT",IF(AU44&lt;FT_First,0,IF(AU44&lt;FT_Y5,1+INT((AU44-FT_First)/FT_Int1),FT_PreY5+FT_PerYear*INT((AU44-FT_Y5)/12)+FT_AnnivDays+INT(MOD(AU44-FT_Y5,12)/FT_Int2))),IF(AW44="PT",IF(AU44&lt;PT_First,0,1+INT((AU44-PT_First)/PT_Int)),0)))</f>
        <v/>
      </c>
      <c r="BC44" s="11" t="str">
        <f aca="false">IF(AO44=0,"",IF(AX44="FT",IF(AU44&lt;FT_First,0,IF(AU44&lt;FT_Y5,1+INT((AU44-FT_First)/FT_Int1),FT_PreY5+FT_PerYear*INT((AU44-FT_Y5)/12)+FT_AnnivDays+INT(MOD(AU44-FT_Y5,12)/FT_Int2))),IF(AX44="PT",IF(AU44&lt;PT_First,0,1+INT((AU44-PT_First)/PT_Int)),0)))</f>
        <v/>
      </c>
      <c r="BD44" s="11" t="str">
        <f aca="false">IF(AO44=0,"",IF(AX44="FT",IF(AQ44&lt;FT_First,0,IF(AQ44&lt;FT_Y5,1+INT((AQ44-FT_First)/FT_Int1),FT_PreY5+FT_PerYear*INT((AQ44-FT_Y5)/12)+FT_AnnivDays+INT(MOD(AQ44-FT_Y5,12)/FT_Int2))),IF(AX44="PT",IF(AQ44&lt;PT_First,0,1+INT((AQ44-PT_First)/PT_Int)),0)))</f>
        <v/>
      </c>
      <c r="BE44" s="11" t="str">
        <f aca="false">IF(AO44=0,"",IF(AY44="FT",IF(AQ44&lt;FT_First,FT_First,IF(AQ44&lt;FT_Y5,MIN(FT_Y5,FT_First+FT_Int1*(INT((AQ44-FT_First)/FT_Int1)+1)),FT_Y5+12*INT((AQ44-FT_Y5)/12)+FT_Int2*(INT(MOD(AQ44-FT_Y5,12)/FT_Int2)+1))),IF(AY44="PT",IF(AQ44&lt;PT_First,PT_First,PT_First+PT_Int*(INT((AQ44-PT_First)/PT_Int)+1)),"")))</f>
        <v/>
      </c>
      <c r="BF44" s="11" t="n">
        <f aca="false">IF(AO44=0,0,IF(AND($Q44&lt;&gt;"",$Q44&lt;=AsOfDate),1,0))</f>
        <v>0</v>
      </c>
      <c r="BG44" s="11" t="str">
        <f aca="false">IF(AND(AO44=1,BF44=0,EH_Ready,N(AB44)&gt;0,N(AI44)=0),COUNT($BG$5:BG43)+1,"")</f>
        <v/>
      </c>
      <c r="BH44" s="11" t="str">
        <f aca="false">IF(AND(AO44=1,BF44=0,EH_Ready,N(AB44)&gt;0,N(AI44)&gt;0,N(AK44)&gt;0),COUNT($BH$5:BH43)+1,"")</f>
        <v/>
      </c>
      <c r="BI44" s="11" t="str">
        <f aca="false">IF(AND(AO44=1,OR(LEFT(AM44,3)="ADD",LEFT(AM44,3)="SET",LEFT(AM44,5)="CHECK",LEFT(AM44,10)="TERMINATED")),COUNT($BI$5:BI43)+1,"")</f>
        <v/>
      </c>
      <c r="BJ44" s="11" t="str">
        <f aca="false">IF(AO44=0,"",$A44&amp;" - "&amp;$B44&amp;" "&amp;$C44)</f>
        <v/>
      </c>
    </row>
    <row r="45" customFormat="false" ht="15" hidden="false" customHeight="false" outlineLevel="0" collapsed="false">
      <c r="A45" s="10"/>
      <c r="B45" s="10"/>
      <c r="C45" s="10"/>
      <c r="D45" s="10"/>
      <c r="E45" s="9"/>
      <c r="F45" s="10"/>
      <c r="G45" s="30"/>
      <c r="H45" s="9"/>
      <c r="I45" s="10"/>
      <c r="J45" s="30"/>
      <c r="K45" s="9"/>
      <c r="L45" s="10"/>
      <c r="M45" s="30"/>
      <c r="N45" s="9"/>
      <c r="O45" s="9"/>
      <c r="P45" s="30"/>
      <c r="Q45" s="9"/>
      <c r="R45" s="10"/>
      <c r="S45" s="11" t="str">
        <f aca="false">IF(AO45=0,"",IF($H45="","",$F45&amp;" -&gt; "&amp;$I45&amp;IF($I45="Part-Time"," ("&amp;N($J45)&amp;" hrs)","")&amp;" on "&amp;TEXT($H45,"dd/mm/yyyy")&amp;IF($H45&gt;AsOfDate," (FUTURE)","")&amp;IF($K45="","","; "&amp;$I45&amp;" -&gt; "&amp;$L45&amp;IF($L45="Part-Time"," ("&amp;N($M45)&amp;" hrs)","")&amp;" on "&amp;TEXT($K45,"dd/mm/yyyy")&amp;IF($K45&gt;AsOfDate," (FUTURE)",""))))</f>
        <v/>
      </c>
      <c r="T45" s="11" t="str">
        <f aca="false">IF(AO45=0,"",IF(AS45&lt;&gt;"",$L45,IF(AR45&lt;&gt;"",$I45,$F45)))</f>
        <v/>
      </c>
      <c r="U45" s="26" t="str">
        <f aca="false">IF(AO45=0,"",IF(AS45&lt;&gt;"",$M45,IF(AR45&lt;&gt;"",$J45,$G45)))</f>
        <v/>
      </c>
      <c r="V45" s="11" t="str">
        <f aca="false">IF(AO45=0,"",IF(AY45="FT","Full-Time",IF(AY45="PT","Part-Time","Not eligible")))</f>
        <v/>
      </c>
      <c r="W45" s="27" t="str">
        <f aca="false">IF(AO45=0,"",IF(AR45="",IF(AND($H45&lt;&gt;"",$H45&gt;AsOfDate),"Future change - not yet applied",""),IF(AND(AV45=AY45,OR(AS45="",AW45=AV45)),"Type changed - same accrual pathway",IF(AY45="None","STOPPED accruing from "&amp;TEXT(IF(AS45&lt;&gt;"",AS45,AR45),"dd/mm/yyyy"),IF(AV45="None","STARTED qualifying from "&amp;TEXT(IF(AS45&lt;&gt;"",AS45,AR45),"dd/mm/yyyy"),"Pathway changed "&amp;AV45&amp;" -&gt; "&amp;AW45&amp;IF(AS45&lt;&gt;""," -&gt; "&amp;AX45,"")&amp;" from "&amp;TEXT(IF(AS45&lt;&gt;"",AS45,AR45),"dd/mm/yyyy"))))))</f>
        <v/>
      </c>
      <c r="X45" s="28" t="str">
        <f aca="false">IF(AO45=0,"",IF($Q45="",AsOfDate,MIN(AsOfDate,$Q45)))</f>
        <v/>
      </c>
      <c r="Y45" s="26" t="str">
        <f aca="false">IF(AO45=0,"",MAX(0,AQ45))</f>
        <v/>
      </c>
      <c r="Z45" s="11" t="str">
        <f aca="false">IF(AO45=0,"",IF(AQ45&lt;0,"Not started",INT(AQ45/12)&amp;"y "&amp;MOD(AQ45,12)&amp;"m"))</f>
        <v/>
      </c>
      <c r="AA45" s="27" t="str">
        <f aca="false">IF(AO45=0,"",IF(BF45=1,"Terminated - balance forfeited",IF(AY45="None",IF(AB45&gt;0,"No longer accruing - "&amp;T45,"Not eligible - "&amp;T45&amp;IF(AND(IFERROR(VLOOKUP(T45,TypeTable,2,0),"None")="PT",N(U45)&lt;PT_MinHours)," (under "&amp;PT_MinHours&amp;" hrs)","")),IF(AB45&gt;0,"Yes - accruing","Not yet - qualifies "&amp;TEXT(AD45,"dd/mm/yyyy")))))</f>
        <v/>
      </c>
      <c r="AB45" s="26" t="str">
        <f aca="false">IF(AO45=0,"",AZ45+IF(AR45="",0,BB45-BA45)+IF(AS45="",0,BD45-BC45))</f>
        <v/>
      </c>
      <c r="AC45" s="26" t="str">
        <f aca="false">IF(AO45=0,"",AB45*HoursPerDay)</f>
        <v/>
      </c>
      <c r="AD45" s="28" t="str">
        <f aca="false">IF(AO45=0,"",IF(OR(BF45=1,AY45="None"),"",EDATE($E45+AP45,BE45)))</f>
        <v/>
      </c>
      <c r="AE45" s="26" t="str">
        <f aca="false">IF(AD45="","",IF(AY45="PT",1,IF(BE45&lt;FT_Y5,1,IF(MOD(BE45-FT_Y5,12)=0,FT_AnnivDays,1))))</f>
        <v/>
      </c>
      <c r="AF45" s="27" t="str">
        <f aca="false">IF(AO45=0,"",IF(NOT(EH_Ready),"Map headers",IF(IF(MatchMode="Employee ID",COUNTIFS(INDEX(EH_Data,0,EH_ColID),$A45,INDEX(EH_Data,0,EH_ColCat),BonusCat),COUNTIFS(INDEX(EH_Data,0,EH_ColFirst),$B45,INDEX(EH_Data,0,EH_ColSur),$C45,INDEX(EH_Data,0,EH_ColCat),BonusCat))&gt;0,"Yes","No")))</f>
        <v/>
      </c>
      <c r="AG45" s="26" t="str">
        <f aca="false">IF(AO45=0,"",IF(NOT(EH_Ready),"",IF(MatchMode="Employee ID",SUMIFS(INDEX(EH_Data,0,EH_ColBal),INDEX(EH_Data,0,EH_ColID),$A45,INDEX(EH_Data,0,EH_ColCat),BonusCat),SUMIFS(INDEX(EH_Data,0,EH_ColBal),INDEX(EH_Data,0,EH_ColFirst),$B45,INDEX(EH_Data,0,EH_ColSur),$C45,INDEX(EH_Data,0,EH_ColCat),BonusCat))/IF(EHUnit="Hours",HoursPerDay,1)))</f>
        <v/>
      </c>
      <c r="AH45" s="26" t="str">
        <f aca="false">IF(AO45=0,"",IF(NOT(TK_Ready),0,IF(MatchMode="Employee ID",SUMIFS(INDEX(TK_Data,0,TK_ColAmt),INDEX(TK_Data,0,TK_ColID),$A45,INDEX(TK_Data,0,TK_ColCat),BonusCat),SUMIFS(INDEX(TK_Data,0,TK_ColAmt),INDEX(TK_Data,0,TK_ColFirst),$B45,INDEX(TK_Data,0,TK_ColSur),$C45,INDEX(TK_Data,0,TK_ColCat),BonusCat))/IF(TKUnit="Hours",HoursPerDay,1)))</f>
        <v/>
      </c>
      <c r="AI45" s="26" t="str">
        <f aca="false">IF(AO45=0,"",N(AG45)+N(AH45))</f>
        <v/>
      </c>
      <c r="AJ45" s="29" t="str">
        <f aca="false">IF(AO45=0,"",IF(NOT(AND(EH_Ready,EH_ValReady)),"",IF(MatchMode="Employee ID",SUMIFS(INDEX(EH_Data,0,EH_ColVal),INDEX(EH_Data,0,EH_ColID),$A45,INDEX(EH_Data,0,EH_ColCat),BonusCat),SUMIFS(INDEX(EH_Data,0,EH_ColVal),INDEX(EH_Data,0,EH_ColFirst),$B45,INDEX(EH_Data,0,EH_ColSur),$C45,INDEX(EH_Data,0,EH_ColCat),BonusCat))))</f>
        <v/>
      </c>
      <c r="AK45" s="26" t="str">
        <f aca="false">IF(AO45=0,"",IF(OR(NOT(EH_Ready),BF45=1),"",AB45-AI45))</f>
        <v/>
      </c>
      <c r="AL45" s="26" t="str">
        <f aca="false">IF(AK45="","",AK45*HoursPerDay)</f>
        <v/>
      </c>
      <c r="AM45" s="27" t="str">
        <f aca="false">IF(AO45=0,"",IF(BF45=1,IF(N(AG45)&gt;0,"TERMINATED - forfeit "&amp;TEXT(AG45,"0.##")&amp;" days still in EH","Terminated - nothing in EH"),IF(NOT(EH_Ready),"Paste EH export and map headers on Settings",IF(AND(AB45&gt;0,AF45="No"),"SET UP in EH - add "&amp;TEXT(AB45,"0.##")&amp;" day(s) ("&amp;TEXT(AC45,"0.##")&amp;" hrs)",IF(AK45&gt;0,"ADD "&amp;TEXT(AK45,"0.##")&amp;" day(s) ("&amp;TEXT(AL45,"0.##")&amp;" hrs) in EH",IF(AK45&lt;0,"CHECK - EH shows "&amp;TEXT(-AK45,"0.##")&amp;" days more than policy",IF(AB45&gt;0,"OK - up to date",IF(AY45="None","No action - not eligible","No action - not yet qualified"))))))))</f>
        <v/>
      </c>
      <c r="AN45" s="27" t="str">
        <f aca="false">IF(AO45=0,"",TRIM(IF(AND($K45&lt;&gt;"",$H45=""),"Change 2 entered without Change 1. ","")&amp;IF(AND($K45&lt;&gt;"",$H45&lt;&gt;"",$K45&lt;=$H45),"Change 2 date not after Change 1. ","")&amp;IF(AND($N45&lt;&gt;"",$O45&lt;&gt;"",$O45&lt;$N45),"Leave To is before Leave From. ","")&amp;IF(AND($N45&lt;&gt;"",$O45=""),"Leave From entered without Leave To. ","")&amp;IF(AND(IFERROR(VLOOKUP(T45,TypeTable,2,0),"None")="PT",U45=""),"Part-time with no hours entered. ","")&amp;IF(AND($H45&lt;&gt;"",$H45&gt;AsOfDate,AD45&lt;&gt;"",$H45&lt;=AD45),"Status change lands before next accrual - review. ","")&amp;IF(AND($Q45&lt;&gt;"",$Q45&lt;$E45),"Termination before commencement. ","")))</f>
        <v/>
      </c>
      <c r="AO45" s="11" t="n">
        <f aca="false">IF(LEN($A45&amp;$B45&amp;$C45)=0,0,IF($E45="",0,1))</f>
        <v>0</v>
      </c>
      <c r="AP45" s="11" t="str">
        <f aca="false">IF(AO45=0,"",(IF(OR($N45="",$O45=""),0,MAX(0,MIN(X45,$O45)-MAX($N45,$E45)+1))+N($P45)))</f>
        <v/>
      </c>
      <c r="AQ45" s="11" t="str">
        <f aca="false">IF(AO45=0,"",IF(X45&lt;($E45+(IF(OR($N45="",$O45=""),0,MAX(0,MIN(X45,$O45)-MAX($N45,$E45)+1))+N($P45))),-1,12*(YEAR(X45)-YEAR(($E45+(IF(OR($N45="",$O45=""),0,MAX(0,MIN(X45,$O45)-MAX($N45,$E45)+1))+N($P45)))))+MONTH(X45)-MONTH(($E45+(IF(OR($N45="",$O45=""),0,MAX(0,MIN(X45,$O45)-MAX($N45,$E45)+1))+N($P45))))-IF(DAY(X45)&lt;MIN(DAY(($E45+(IF(OR($N45="",$O45=""),0,MAX(0,MIN(X45,$O45)-MAX($N45,$E45)+1))+N($P45)))),DAY(EOMONTH(X45,0))),1,0)))</f>
        <v/>
      </c>
      <c r="AR45" s="28" t="str">
        <f aca="false">IF(AO45=0,"",IF($H45="","",IF($H45&gt;X45,"",$H45)))</f>
        <v/>
      </c>
      <c r="AS45" s="28" t="str">
        <f aca="false">IF(AO45=0,"",IF(AR45="","",IF($K45="","",IF($K45&gt;X45,"",$K45))))</f>
        <v/>
      </c>
      <c r="AT45" s="11" t="str">
        <f aca="false">IF(AO45=0,"",IF(AR45="",AQ45,IF((AR45-1)&lt;($E45+(IF(OR($N45="",$O45=""),0,MAX(0,MIN((AR45-1),$O45)-MAX($N45,$E45)+1))+N($P45))),-1,12*(YEAR((AR45-1))-YEAR(($E45+(IF(OR($N45="",$O45=""),0,MAX(0,MIN((AR45-1),$O45)-MAX($N45,$E45)+1))+N($P45)))))+MONTH((AR45-1))-MONTH(($E45+(IF(OR($N45="",$O45=""),0,MAX(0,MIN((AR45-1),$O45)-MAX($N45,$E45)+1))+N($P45))))-IF(DAY((AR45-1))&lt;MIN(DAY(($E45+(IF(OR($N45="",$O45=""),0,MAX(0,MIN((AR45-1),$O45)-MAX($N45,$E45)+1))+N($P45)))),DAY(EOMONTH((AR45-1),0))),1,0))))</f>
        <v/>
      </c>
      <c r="AU45" s="11" t="str">
        <f aca="false">IF(AO45=0,"",IF(AS45="",AQ45,IF((AS45-1)&lt;($E45+(IF(OR($N45="",$O45=""),0,MAX(0,MIN((AS45-1),$O45)-MAX($N45,$E45)+1))+N($P45))),-1,12*(YEAR((AS45-1))-YEAR(($E45+(IF(OR($N45="",$O45=""),0,MAX(0,MIN((AS45-1),$O45)-MAX($N45,$E45)+1))+N($P45)))))+MONTH((AS45-1))-MONTH(($E45+(IF(OR($N45="",$O45=""),0,MAX(0,MIN((AS45-1),$O45)-MAX($N45,$E45)+1))+N($P45))))-IF(DAY((AS45-1))&lt;MIN(DAY(($E45+(IF(OR($N45="",$O45=""),0,MAX(0,MIN((AS45-1),$O45)-MAX($N45,$E45)+1))+N($P45)))),DAY(EOMONTH((AS45-1),0))),1,0))))</f>
        <v/>
      </c>
      <c r="AV45" s="11" t="str">
        <f aca="false">IF(AO45=0,"",IF($F45="","None",IF(IFERROR(VLOOKUP($F45,TypeTable,2,0),"None")="PT",IF(N($G45)&gt;=PT_MinHours,"PT","None"),IFERROR(VLOOKUP($F45,TypeTable,2,0),"None"))))</f>
        <v/>
      </c>
      <c r="AW45" s="11" t="str">
        <f aca="false">IF(AO45=0,"",IF($I45="","None",IF(IFERROR(VLOOKUP($I45,TypeTable,2,0),"None")="PT",IF(N($J45)&gt;=PT_MinHours,"PT","None"),IFERROR(VLOOKUP($I45,TypeTable,2,0),"None"))))</f>
        <v/>
      </c>
      <c r="AX45" s="11" t="str">
        <f aca="false">IF(AO45=0,"",IF($L45="","None",IF(IFERROR(VLOOKUP($L45,TypeTable,2,0),"None")="PT",IF(N($M45)&gt;=PT_MinHours,"PT","None"),IFERROR(VLOOKUP($L45,TypeTable,2,0),"None"))))</f>
        <v/>
      </c>
      <c r="AY45" s="11" t="str">
        <f aca="false">IF(AO45=0,"",IF(AS45&lt;&gt;"",AX45,IF(AR45&lt;&gt;"",AW45,AV45)))</f>
        <v/>
      </c>
      <c r="AZ45" s="11" t="str">
        <f aca="false">IF(AO45=0,"",IF(AV45="FT",IF(AT45&lt;FT_First,0,IF(AT45&lt;FT_Y5,1+INT((AT45-FT_First)/FT_Int1),FT_PreY5+FT_PerYear*INT((AT45-FT_Y5)/12)+FT_AnnivDays+INT(MOD(AT45-FT_Y5,12)/FT_Int2))),IF(AV45="PT",IF(AT45&lt;PT_First,0,1+INT((AT45-PT_First)/PT_Int)),0)))</f>
        <v/>
      </c>
      <c r="BA45" s="11" t="str">
        <f aca="false">IF(AO45=0,"",IF(AW45="FT",IF(AT45&lt;FT_First,0,IF(AT45&lt;FT_Y5,1+INT((AT45-FT_First)/FT_Int1),FT_PreY5+FT_PerYear*INT((AT45-FT_Y5)/12)+FT_AnnivDays+INT(MOD(AT45-FT_Y5,12)/FT_Int2))),IF(AW45="PT",IF(AT45&lt;PT_First,0,1+INT((AT45-PT_First)/PT_Int)),0)))</f>
        <v/>
      </c>
      <c r="BB45" s="11" t="str">
        <f aca="false">IF(AO45=0,"",IF(AW45="FT",IF(AU45&lt;FT_First,0,IF(AU45&lt;FT_Y5,1+INT((AU45-FT_First)/FT_Int1),FT_PreY5+FT_PerYear*INT((AU45-FT_Y5)/12)+FT_AnnivDays+INT(MOD(AU45-FT_Y5,12)/FT_Int2))),IF(AW45="PT",IF(AU45&lt;PT_First,0,1+INT((AU45-PT_First)/PT_Int)),0)))</f>
        <v/>
      </c>
      <c r="BC45" s="11" t="str">
        <f aca="false">IF(AO45=0,"",IF(AX45="FT",IF(AU45&lt;FT_First,0,IF(AU45&lt;FT_Y5,1+INT((AU45-FT_First)/FT_Int1),FT_PreY5+FT_PerYear*INT((AU45-FT_Y5)/12)+FT_AnnivDays+INT(MOD(AU45-FT_Y5,12)/FT_Int2))),IF(AX45="PT",IF(AU45&lt;PT_First,0,1+INT((AU45-PT_First)/PT_Int)),0)))</f>
        <v/>
      </c>
      <c r="BD45" s="11" t="str">
        <f aca="false">IF(AO45=0,"",IF(AX45="FT",IF(AQ45&lt;FT_First,0,IF(AQ45&lt;FT_Y5,1+INT((AQ45-FT_First)/FT_Int1),FT_PreY5+FT_PerYear*INT((AQ45-FT_Y5)/12)+FT_AnnivDays+INT(MOD(AQ45-FT_Y5,12)/FT_Int2))),IF(AX45="PT",IF(AQ45&lt;PT_First,0,1+INT((AQ45-PT_First)/PT_Int)),0)))</f>
        <v/>
      </c>
      <c r="BE45" s="11" t="str">
        <f aca="false">IF(AO45=0,"",IF(AY45="FT",IF(AQ45&lt;FT_First,FT_First,IF(AQ45&lt;FT_Y5,MIN(FT_Y5,FT_First+FT_Int1*(INT((AQ45-FT_First)/FT_Int1)+1)),FT_Y5+12*INT((AQ45-FT_Y5)/12)+FT_Int2*(INT(MOD(AQ45-FT_Y5,12)/FT_Int2)+1))),IF(AY45="PT",IF(AQ45&lt;PT_First,PT_First,PT_First+PT_Int*(INT((AQ45-PT_First)/PT_Int)+1)),"")))</f>
        <v/>
      </c>
      <c r="BF45" s="11" t="n">
        <f aca="false">IF(AO45=0,0,IF(AND($Q45&lt;&gt;"",$Q45&lt;=AsOfDate),1,0))</f>
        <v>0</v>
      </c>
      <c r="BG45" s="11" t="str">
        <f aca="false">IF(AND(AO45=1,BF45=0,EH_Ready,N(AB45)&gt;0,N(AI45)=0),COUNT($BG$5:BG44)+1,"")</f>
        <v/>
      </c>
      <c r="BH45" s="11" t="str">
        <f aca="false">IF(AND(AO45=1,BF45=0,EH_Ready,N(AB45)&gt;0,N(AI45)&gt;0,N(AK45)&gt;0),COUNT($BH$5:BH44)+1,"")</f>
        <v/>
      </c>
      <c r="BI45" s="11" t="str">
        <f aca="false">IF(AND(AO45=1,OR(LEFT(AM45,3)="ADD",LEFT(AM45,3)="SET",LEFT(AM45,5)="CHECK",LEFT(AM45,10)="TERMINATED")),COUNT($BI$5:BI44)+1,"")</f>
        <v/>
      </c>
      <c r="BJ45" s="11" t="str">
        <f aca="false">IF(AO45=0,"",$A45&amp;" - "&amp;$B45&amp;" "&amp;$C45)</f>
        <v/>
      </c>
    </row>
    <row r="46" customFormat="false" ht="15" hidden="false" customHeight="false" outlineLevel="0" collapsed="false">
      <c r="A46" s="10"/>
      <c r="B46" s="10"/>
      <c r="C46" s="10"/>
      <c r="D46" s="10"/>
      <c r="E46" s="9"/>
      <c r="F46" s="10"/>
      <c r="G46" s="30"/>
      <c r="H46" s="9"/>
      <c r="I46" s="10"/>
      <c r="J46" s="30"/>
      <c r="K46" s="9"/>
      <c r="L46" s="10"/>
      <c r="M46" s="30"/>
      <c r="N46" s="9"/>
      <c r="O46" s="9"/>
      <c r="P46" s="30"/>
      <c r="Q46" s="9"/>
      <c r="R46" s="10"/>
      <c r="S46" s="11" t="str">
        <f aca="false">IF(AO46=0,"",IF($H46="","",$F46&amp;" -&gt; "&amp;$I46&amp;IF($I46="Part-Time"," ("&amp;N($J46)&amp;" hrs)","")&amp;" on "&amp;TEXT($H46,"dd/mm/yyyy")&amp;IF($H46&gt;AsOfDate," (FUTURE)","")&amp;IF($K46="","","; "&amp;$I46&amp;" -&gt; "&amp;$L46&amp;IF($L46="Part-Time"," ("&amp;N($M46)&amp;" hrs)","")&amp;" on "&amp;TEXT($K46,"dd/mm/yyyy")&amp;IF($K46&gt;AsOfDate," (FUTURE)",""))))</f>
        <v/>
      </c>
      <c r="T46" s="11" t="str">
        <f aca="false">IF(AO46=0,"",IF(AS46&lt;&gt;"",$L46,IF(AR46&lt;&gt;"",$I46,$F46)))</f>
        <v/>
      </c>
      <c r="U46" s="26" t="str">
        <f aca="false">IF(AO46=0,"",IF(AS46&lt;&gt;"",$M46,IF(AR46&lt;&gt;"",$J46,$G46)))</f>
        <v/>
      </c>
      <c r="V46" s="11" t="str">
        <f aca="false">IF(AO46=0,"",IF(AY46="FT","Full-Time",IF(AY46="PT","Part-Time","Not eligible")))</f>
        <v/>
      </c>
      <c r="W46" s="27" t="str">
        <f aca="false">IF(AO46=0,"",IF(AR46="",IF(AND($H46&lt;&gt;"",$H46&gt;AsOfDate),"Future change - not yet applied",""),IF(AND(AV46=AY46,OR(AS46="",AW46=AV46)),"Type changed - same accrual pathway",IF(AY46="None","STOPPED accruing from "&amp;TEXT(IF(AS46&lt;&gt;"",AS46,AR46),"dd/mm/yyyy"),IF(AV46="None","STARTED qualifying from "&amp;TEXT(IF(AS46&lt;&gt;"",AS46,AR46),"dd/mm/yyyy"),"Pathway changed "&amp;AV46&amp;" -&gt; "&amp;AW46&amp;IF(AS46&lt;&gt;""," -&gt; "&amp;AX46,"")&amp;" from "&amp;TEXT(IF(AS46&lt;&gt;"",AS46,AR46),"dd/mm/yyyy"))))))</f>
        <v/>
      </c>
      <c r="X46" s="28" t="str">
        <f aca="false">IF(AO46=0,"",IF($Q46="",AsOfDate,MIN(AsOfDate,$Q46)))</f>
        <v/>
      </c>
      <c r="Y46" s="26" t="str">
        <f aca="false">IF(AO46=0,"",MAX(0,AQ46))</f>
        <v/>
      </c>
      <c r="Z46" s="11" t="str">
        <f aca="false">IF(AO46=0,"",IF(AQ46&lt;0,"Not started",INT(AQ46/12)&amp;"y "&amp;MOD(AQ46,12)&amp;"m"))</f>
        <v/>
      </c>
      <c r="AA46" s="27" t="str">
        <f aca="false">IF(AO46=0,"",IF(BF46=1,"Terminated - balance forfeited",IF(AY46="None",IF(AB46&gt;0,"No longer accruing - "&amp;T46,"Not eligible - "&amp;T46&amp;IF(AND(IFERROR(VLOOKUP(T46,TypeTable,2,0),"None")="PT",N(U46)&lt;PT_MinHours)," (under "&amp;PT_MinHours&amp;" hrs)","")),IF(AB46&gt;0,"Yes - accruing","Not yet - qualifies "&amp;TEXT(AD46,"dd/mm/yyyy")))))</f>
        <v/>
      </c>
      <c r="AB46" s="26" t="str">
        <f aca="false">IF(AO46=0,"",AZ46+IF(AR46="",0,BB46-BA46)+IF(AS46="",0,BD46-BC46))</f>
        <v/>
      </c>
      <c r="AC46" s="26" t="str">
        <f aca="false">IF(AO46=0,"",AB46*HoursPerDay)</f>
        <v/>
      </c>
      <c r="AD46" s="28" t="str">
        <f aca="false">IF(AO46=0,"",IF(OR(BF46=1,AY46="None"),"",EDATE($E46+AP46,BE46)))</f>
        <v/>
      </c>
      <c r="AE46" s="26" t="str">
        <f aca="false">IF(AD46="","",IF(AY46="PT",1,IF(BE46&lt;FT_Y5,1,IF(MOD(BE46-FT_Y5,12)=0,FT_AnnivDays,1))))</f>
        <v/>
      </c>
      <c r="AF46" s="27" t="str">
        <f aca="false">IF(AO46=0,"",IF(NOT(EH_Ready),"Map headers",IF(IF(MatchMode="Employee ID",COUNTIFS(INDEX(EH_Data,0,EH_ColID),$A46,INDEX(EH_Data,0,EH_ColCat),BonusCat),COUNTIFS(INDEX(EH_Data,0,EH_ColFirst),$B46,INDEX(EH_Data,0,EH_ColSur),$C46,INDEX(EH_Data,0,EH_ColCat),BonusCat))&gt;0,"Yes","No")))</f>
        <v/>
      </c>
      <c r="AG46" s="26" t="str">
        <f aca="false">IF(AO46=0,"",IF(NOT(EH_Ready),"",IF(MatchMode="Employee ID",SUMIFS(INDEX(EH_Data,0,EH_ColBal),INDEX(EH_Data,0,EH_ColID),$A46,INDEX(EH_Data,0,EH_ColCat),BonusCat),SUMIFS(INDEX(EH_Data,0,EH_ColBal),INDEX(EH_Data,0,EH_ColFirst),$B46,INDEX(EH_Data,0,EH_ColSur),$C46,INDEX(EH_Data,0,EH_ColCat),BonusCat))/IF(EHUnit="Hours",HoursPerDay,1)))</f>
        <v/>
      </c>
      <c r="AH46" s="26" t="str">
        <f aca="false">IF(AO46=0,"",IF(NOT(TK_Ready),0,IF(MatchMode="Employee ID",SUMIFS(INDEX(TK_Data,0,TK_ColAmt),INDEX(TK_Data,0,TK_ColID),$A46,INDEX(TK_Data,0,TK_ColCat),BonusCat),SUMIFS(INDEX(TK_Data,0,TK_ColAmt),INDEX(TK_Data,0,TK_ColFirst),$B46,INDEX(TK_Data,0,TK_ColSur),$C46,INDEX(TK_Data,0,TK_ColCat),BonusCat))/IF(TKUnit="Hours",HoursPerDay,1)))</f>
        <v/>
      </c>
      <c r="AI46" s="26" t="str">
        <f aca="false">IF(AO46=0,"",N(AG46)+N(AH46))</f>
        <v/>
      </c>
      <c r="AJ46" s="29" t="str">
        <f aca="false">IF(AO46=0,"",IF(NOT(AND(EH_Ready,EH_ValReady)),"",IF(MatchMode="Employee ID",SUMIFS(INDEX(EH_Data,0,EH_ColVal),INDEX(EH_Data,0,EH_ColID),$A46,INDEX(EH_Data,0,EH_ColCat),BonusCat),SUMIFS(INDEX(EH_Data,0,EH_ColVal),INDEX(EH_Data,0,EH_ColFirst),$B46,INDEX(EH_Data,0,EH_ColSur),$C46,INDEX(EH_Data,0,EH_ColCat),BonusCat))))</f>
        <v/>
      </c>
      <c r="AK46" s="26" t="str">
        <f aca="false">IF(AO46=0,"",IF(OR(NOT(EH_Ready),BF46=1),"",AB46-AI46))</f>
        <v/>
      </c>
      <c r="AL46" s="26" t="str">
        <f aca="false">IF(AK46="","",AK46*HoursPerDay)</f>
        <v/>
      </c>
      <c r="AM46" s="27" t="str">
        <f aca="false">IF(AO46=0,"",IF(BF46=1,IF(N(AG46)&gt;0,"TERMINATED - forfeit "&amp;TEXT(AG46,"0.##")&amp;" days still in EH","Terminated - nothing in EH"),IF(NOT(EH_Ready),"Paste EH export and map headers on Settings",IF(AND(AB46&gt;0,AF46="No"),"SET UP in EH - add "&amp;TEXT(AB46,"0.##")&amp;" day(s) ("&amp;TEXT(AC46,"0.##")&amp;" hrs)",IF(AK46&gt;0,"ADD "&amp;TEXT(AK46,"0.##")&amp;" day(s) ("&amp;TEXT(AL46,"0.##")&amp;" hrs) in EH",IF(AK46&lt;0,"CHECK - EH shows "&amp;TEXT(-AK46,"0.##")&amp;" days more than policy",IF(AB46&gt;0,"OK - up to date",IF(AY46="None","No action - not eligible","No action - not yet qualified"))))))))</f>
        <v/>
      </c>
      <c r="AN46" s="27" t="str">
        <f aca="false">IF(AO46=0,"",TRIM(IF(AND($K46&lt;&gt;"",$H46=""),"Change 2 entered without Change 1. ","")&amp;IF(AND($K46&lt;&gt;"",$H46&lt;&gt;"",$K46&lt;=$H46),"Change 2 date not after Change 1. ","")&amp;IF(AND($N46&lt;&gt;"",$O46&lt;&gt;"",$O46&lt;$N46),"Leave To is before Leave From. ","")&amp;IF(AND($N46&lt;&gt;"",$O46=""),"Leave From entered without Leave To. ","")&amp;IF(AND(IFERROR(VLOOKUP(T46,TypeTable,2,0),"None")="PT",U46=""),"Part-time with no hours entered. ","")&amp;IF(AND($H46&lt;&gt;"",$H46&gt;AsOfDate,AD46&lt;&gt;"",$H46&lt;=AD46),"Status change lands before next accrual - review. ","")&amp;IF(AND($Q46&lt;&gt;"",$Q46&lt;$E46),"Termination before commencement. ","")))</f>
        <v/>
      </c>
      <c r="AO46" s="11" t="n">
        <f aca="false">IF(LEN($A46&amp;$B46&amp;$C46)=0,0,IF($E46="",0,1))</f>
        <v>0</v>
      </c>
      <c r="AP46" s="11" t="str">
        <f aca="false">IF(AO46=0,"",(IF(OR($N46="",$O46=""),0,MAX(0,MIN(X46,$O46)-MAX($N46,$E46)+1))+N($P46)))</f>
        <v/>
      </c>
      <c r="AQ46" s="11" t="str">
        <f aca="false">IF(AO46=0,"",IF(X46&lt;($E46+(IF(OR($N46="",$O46=""),0,MAX(0,MIN(X46,$O46)-MAX($N46,$E46)+1))+N($P46))),-1,12*(YEAR(X46)-YEAR(($E46+(IF(OR($N46="",$O46=""),0,MAX(0,MIN(X46,$O46)-MAX($N46,$E46)+1))+N($P46)))))+MONTH(X46)-MONTH(($E46+(IF(OR($N46="",$O46=""),0,MAX(0,MIN(X46,$O46)-MAX($N46,$E46)+1))+N($P46))))-IF(DAY(X46)&lt;MIN(DAY(($E46+(IF(OR($N46="",$O46=""),0,MAX(0,MIN(X46,$O46)-MAX($N46,$E46)+1))+N($P46)))),DAY(EOMONTH(X46,0))),1,0)))</f>
        <v/>
      </c>
      <c r="AR46" s="28" t="str">
        <f aca="false">IF(AO46=0,"",IF($H46="","",IF($H46&gt;X46,"",$H46)))</f>
        <v/>
      </c>
      <c r="AS46" s="28" t="str">
        <f aca="false">IF(AO46=0,"",IF(AR46="","",IF($K46="","",IF($K46&gt;X46,"",$K46))))</f>
        <v/>
      </c>
      <c r="AT46" s="11" t="str">
        <f aca="false">IF(AO46=0,"",IF(AR46="",AQ46,IF((AR46-1)&lt;($E46+(IF(OR($N46="",$O46=""),0,MAX(0,MIN((AR46-1),$O46)-MAX($N46,$E46)+1))+N($P46))),-1,12*(YEAR((AR46-1))-YEAR(($E46+(IF(OR($N46="",$O46=""),0,MAX(0,MIN((AR46-1),$O46)-MAX($N46,$E46)+1))+N($P46)))))+MONTH((AR46-1))-MONTH(($E46+(IF(OR($N46="",$O46=""),0,MAX(0,MIN((AR46-1),$O46)-MAX($N46,$E46)+1))+N($P46))))-IF(DAY((AR46-1))&lt;MIN(DAY(($E46+(IF(OR($N46="",$O46=""),0,MAX(0,MIN((AR46-1),$O46)-MAX($N46,$E46)+1))+N($P46)))),DAY(EOMONTH((AR46-1),0))),1,0))))</f>
        <v/>
      </c>
      <c r="AU46" s="11" t="str">
        <f aca="false">IF(AO46=0,"",IF(AS46="",AQ46,IF((AS46-1)&lt;($E46+(IF(OR($N46="",$O46=""),0,MAX(0,MIN((AS46-1),$O46)-MAX($N46,$E46)+1))+N($P46))),-1,12*(YEAR((AS46-1))-YEAR(($E46+(IF(OR($N46="",$O46=""),0,MAX(0,MIN((AS46-1),$O46)-MAX($N46,$E46)+1))+N($P46)))))+MONTH((AS46-1))-MONTH(($E46+(IF(OR($N46="",$O46=""),0,MAX(0,MIN((AS46-1),$O46)-MAX($N46,$E46)+1))+N($P46))))-IF(DAY((AS46-1))&lt;MIN(DAY(($E46+(IF(OR($N46="",$O46=""),0,MAX(0,MIN((AS46-1),$O46)-MAX($N46,$E46)+1))+N($P46)))),DAY(EOMONTH((AS46-1),0))),1,0))))</f>
        <v/>
      </c>
      <c r="AV46" s="11" t="str">
        <f aca="false">IF(AO46=0,"",IF($F46="","None",IF(IFERROR(VLOOKUP($F46,TypeTable,2,0),"None")="PT",IF(N($G46)&gt;=PT_MinHours,"PT","None"),IFERROR(VLOOKUP($F46,TypeTable,2,0),"None"))))</f>
        <v/>
      </c>
      <c r="AW46" s="11" t="str">
        <f aca="false">IF(AO46=0,"",IF($I46="","None",IF(IFERROR(VLOOKUP($I46,TypeTable,2,0),"None")="PT",IF(N($J46)&gt;=PT_MinHours,"PT","None"),IFERROR(VLOOKUP($I46,TypeTable,2,0),"None"))))</f>
        <v/>
      </c>
      <c r="AX46" s="11" t="str">
        <f aca="false">IF(AO46=0,"",IF($L46="","None",IF(IFERROR(VLOOKUP($L46,TypeTable,2,0),"None")="PT",IF(N($M46)&gt;=PT_MinHours,"PT","None"),IFERROR(VLOOKUP($L46,TypeTable,2,0),"None"))))</f>
        <v/>
      </c>
      <c r="AY46" s="11" t="str">
        <f aca="false">IF(AO46=0,"",IF(AS46&lt;&gt;"",AX46,IF(AR46&lt;&gt;"",AW46,AV46)))</f>
        <v/>
      </c>
      <c r="AZ46" s="11" t="str">
        <f aca="false">IF(AO46=0,"",IF(AV46="FT",IF(AT46&lt;FT_First,0,IF(AT46&lt;FT_Y5,1+INT((AT46-FT_First)/FT_Int1),FT_PreY5+FT_PerYear*INT((AT46-FT_Y5)/12)+FT_AnnivDays+INT(MOD(AT46-FT_Y5,12)/FT_Int2))),IF(AV46="PT",IF(AT46&lt;PT_First,0,1+INT((AT46-PT_First)/PT_Int)),0)))</f>
        <v/>
      </c>
      <c r="BA46" s="11" t="str">
        <f aca="false">IF(AO46=0,"",IF(AW46="FT",IF(AT46&lt;FT_First,0,IF(AT46&lt;FT_Y5,1+INT((AT46-FT_First)/FT_Int1),FT_PreY5+FT_PerYear*INT((AT46-FT_Y5)/12)+FT_AnnivDays+INT(MOD(AT46-FT_Y5,12)/FT_Int2))),IF(AW46="PT",IF(AT46&lt;PT_First,0,1+INT((AT46-PT_First)/PT_Int)),0)))</f>
        <v/>
      </c>
      <c r="BB46" s="11" t="str">
        <f aca="false">IF(AO46=0,"",IF(AW46="FT",IF(AU46&lt;FT_First,0,IF(AU46&lt;FT_Y5,1+INT((AU46-FT_First)/FT_Int1),FT_PreY5+FT_PerYear*INT((AU46-FT_Y5)/12)+FT_AnnivDays+INT(MOD(AU46-FT_Y5,12)/FT_Int2))),IF(AW46="PT",IF(AU46&lt;PT_First,0,1+INT((AU46-PT_First)/PT_Int)),0)))</f>
        <v/>
      </c>
      <c r="BC46" s="11" t="str">
        <f aca="false">IF(AO46=0,"",IF(AX46="FT",IF(AU46&lt;FT_First,0,IF(AU46&lt;FT_Y5,1+INT((AU46-FT_First)/FT_Int1),FT_PreY5+FT_PerYear*INT((AU46-FT_Y5)/12)+FT_AnnivDays+INT(MOD(AU46-FT_Y5,12)/FT_Int2))),IF(AX46="PT",IF(AU46&lt;PT_First,0,1+INT((AU46-PT_First)/PT_Int)),0)))</f>
        <v/>
      </c>
      <c r="BD46" s="11" t="str">
        <f aca="false">IF(AO46=0,"",IF(AX46="FT",IF(AQ46&lt;FT_First,0,IF(AQ46&lt;FT_Y5,1+INT((AQ46-FT_First)/FT_Int1),FT_PreY5+FT_PerYear*INT((AQ46-FT_Y5)/12)+FT_AnnivDays+INT(MOD(AQ46-FT_Y5,12)/FT_Int2))),IF(AX46="PT",IF(AQ46&lt;PT_First,0,1+INT((AQ46-PT_First)/PT_Int)),0)))</f>
        <v/>
      </c>
      <c r="BE46" s="11" t="str">
        <f aca="false">IF(AO46=0,"",IF(AY46="FT",IF(AQ46&lt;FT_First,FT_First,IF(AQ46&lt;FT_Y5,MIN(FT_Y5,FT_First+FT_Int1*(INT((AQ46-FT_First)/FT_Int1)+1)),FT_Y5+12*INT((AQ46-FT_Y5)/12)+FT_Int2*(INT(MOD(AQ46-FT_Y5,12)/FT_Int2)+1))),IF(AY46="PT",IF(AQ46&lt;PT_First,PT_First,PT_First+PT_Int*(INT((AQ46-PT_First)/PT_Int)+1)),"")))</f>
        <v/>
      </c>
      <c r="BF46" s="11" t="n">
        <f aca="false">IF(AO46=0,0,IF(AND($Q46&lt;&gt;"",$Q46&lt;=AsOfDate),1,0))</f>
        <v>0</v>
      </c>
      <c r="BG46" s="11" t="str">
        <f aca="false">IF(AND(AO46=1,BF46=0,EH_Ready,N(AB46)&gt;0,N(AI46)=0),COUNT($BG$5:BG45)+1,"")</f>
        <v/>
      </c>
      <c r="BH46" s="11" t="str">
        <f aca="false">IF(AND(AO46=1,BF46=0,EH_Ready,N(AB46)&gt;0,N(AI46)&gt;0,N(AK46)&gt;0),COUNT($BH$5:BH45)+1,"")</f>
        <v/>
      </c>
      <c r="BI46" s="11" t="str">
        <f aca="false">IF(AND(AO46=1,OR(LEFT(AM46,3)="ADD",LEFT(AM46,3)="SET",LEFT(AM46,5)="CHECK",LEFT(AM46,10)="TERMINATED")),COUNT($BI$5:BI45)+1,"")</f>
        <v/>
      </c>
      <c r="BJ46" s="11" t="str">
        <f aca="false">IF(AO46=0,"",$A46&amp;" - "&amp;$B46&amp;" "&amp;$C46)</f>
        <v/>
      </c>
    </row>
    <row r="47" customFormat="false" ht="15" hidden="false" customHeight="false" outlineLevel="0" collapsed="false">
      <c r="A47" s="10"/>
      <c r="B47" s="10"/>
      <c r="C47" s="10"/>
      <c r="D47" s="10"/>
      <c r="E47" s="9"/>
      <c r="F47" s="10"/>
      <c r="G47" s="30"/>
      <c r="H47" s="9"/>
      <c r="I47" s="10"/>
      <c r="J47" s="30"/>
      <c r="K47" s="9"/>
      <c r="L47" s="10"/>
      <c r="M47" s="30"/>
      <c r="N47" s="9"/>
      <c r="O47" s="9"/>
      <c r="P47" s="30"/>
      <c r="Q47" s="9"/>
      <c r="R47" s="10"/>
      <c r="S47" s="11" t="str">
        <f aca="false">IF(AO47=0,"",IF($H47="","",$F47&amp;" -&gt; "&amp;$I47&amp;IF($I47="Part-Time"," ("&amp;N($J47)&amp;" hrs)","")&amp;" on "&amp;TEXT($H47,"dd/mm/yyyy")&amp;IF($H47&gt;AsOfDate," (FUTURE)","")&amp;IF($K47="","","; "&amp;$I47&amp;" -&gt; "&amp;$L47&amp;IF($L47="Part-Time"," ("&amp;N($M47)&amp;" hrs)","")&amp;" on "&amp;TEXT($K47,"dd/mm/yyyy")&amp;IF($K47&gt;AsOfDate," (FUTURE)",""))))</f>
        <v/>
      </c>
      <c r="T47" s="11" t="str">
        <f aca="false">IF(AO47=0,"",IF(AS47&lt;&gt;"",$L47,IF(AR47&lt;&gt;"",$I47,$F47)))</f>
        <v/>
      </c>
      <c r="U47" s="26" t="str">
        <f aca="false">IF(AO47=0,"",IF(AS47&lt;&gt;"",$M47,IF(AR47&lt;&gt;"",$J47,$G47)))</f>
        <v/>
      </c>
      <c r="V47" s="11" t="str">
        <f aca="false">IF(AO47=0,"",IF(AY47="FT","Full-Time",IF(AY47="PT","Part-Time","Not eligible")))</f>
        <v/>
      </c>
      <c r="W47" s="27" t="str">
        <f aca="false">IF(AO47=0,"",IF(AR47="",IF(AND($H47&lt;&gt;"",$H47&gt;AsOfDate),"Future change - not yet applied",""),IF(AND(AV47=AY47,OR(AS47="",AW47=AV47)),"Type changed - same accrual pathway",IF(AY47="None","STOPPED accruing from "&amp;TEXT(IF(AS47&lt;&gt;"",AS47,AR47),"dd/mm/yyyy"),IF(AV47="None","STARTED qualifying from "&amp;TEXT(IF(AS47&lt;&gt;"",AS47,AR47),"dd/mm/yyyy"),"Pathway changed "&amp;AV47&amp;" -&gt; "&amp;AW47&amp;IF(AS47&lt;&gt;""," -&gt; "&amp;AX47,"")&amp;" from "&amp;TEXT(IF(AS47&lt;&gt;"",AS47,AR47),"dd/mm/yyyy"))))))</f>
        <v/>
      </c>
      <c r="X47" s="28" t="str">
        <f aca="false">IF(AO47=0,"",IF($Q47="",AsOfDate,MIN(AsOfDate,$Q47)))</f>
        <v/>
      </c>
      <c r="Y47" s="26" t="str">
        <f aca="false">IF(AO47=0,"",MAX(0,AQ47))</f>
        <v/>
      </c>
      <c r="Z47" s="11" t="str">
        <f aca="false">IF(AO47=0,"",IF(AQ47&lt;0,"Not started",INT(AQ47/12)&amp;"y "&amp;MOD(AQ47,12)&amp;"m"))</f>
        <v/>
      </c>
      <c r="AA47" s="27" t="str">
        <f aca="false">IF(AO47=0,"",IF(BF47=1,"Terminated - balance forfeited",IF(AY47="None",IF(AB47&gt;0,"No longer accruing - "&amp;T47,"Not eligible - "&amp;T47&amp;IF(AND(IFERROR(VLOOKUP(T47,TypeTable,2,0),"None")="PT",N(U47)&lt;PT_MinHours)," (under "&amp;PT_MinHours&amp;" hrs)","")),IF(AB47&gt;0,"Yes - accruing","Not yet - qualifies "&amp;TEXT(AD47,"dd/mm/yyyy")))))</f>
        <v/>
      </c>
      <c r="AB47" s="26" t="str">
        <f aca="false">IF(AO47=0,"",AZ47+IF(AR47="",0,BB47-BA47)+IF(AS47="",0,BD47-BC47))</f>
        <v/>
      </c>
      <c r="AC47" s="26" t="str">
        <f aca="false">IF(AO47=0,"",AB47*HoursPerDay)</f>
        <v/>
      </c>
      <c r="AD47" s="28" t="str">
        <f aca="false">IF(AO47=0,"",IF(OR(BF47=1,AY47="None"),"",EDATE($E47+AP47,BE47)))</f>
        <v/>
      </c>
      <c r="AE47" s="26" t="str">
        <f aca="false">IF(AD47="","",IF(AY47="PT",1,IF(BE47&lt;FT_Y5,1,IF(MOD(BE47-FT_Y5,12)=0,FT_AnnivDays,1))))</f>
        <v/>
      </c>
      <c r="AF47" s="27" t="str">
        <f aca="false">IF(AO47=0,"",IF(NOT(EH_Ready),"Map headers",IF(IF(MatchMode="Employee ID",COUNTIFS(INDEX(EH_Data,0,EH_ColID),$A47,INDEX(EH_Data,0,EH_ColCat),BonusCat),COUNTIFS(INDEX(EH_Data,0,EH_ColFirst),$B47,INDEX(EH_Data,0,EH_ColSur),$C47,INDEX(EH_Data,0,EH_ColCat),BonusCat))&gt;0,"Yes","No")))</f>
        <v/>
      </c>
      <c r="AG47" s="26" t="str">
        <f aca="false">IF(AO47=0,"",IF(NOT(EH_Ready),"",IF(MatchMode="Employee ID",SUMIFS(INDEX(EH_Data,0,EH_ColBal),INDEX(EH_Data,0,EH_ColID),$A47,INDEX(EH_Data,0,EH_ColCat),BonusCat),SUMIFS(INDEX(EH_Data,0,EH_ColBal),INDEX(EH_Data,0,EH_ColFirst),$B47,INDEX(EH_Data,0,EH_ColSur),$C47,INDEX(EH_Data,0,EH_ColCat),BonusCat))/IF(EHUnit="Hours",HoursPerDay,1)))</f>
        <v/>
      </c>
      <c r="AH47" s="26" t="str">
        <f aca="false">IF(AO47=0,"",IF(NOT(TK_Ready),0,IF(MatchMode="Employee ID",SUMIFS(INDEX(TK_Data,0,TK_ColAmt),INDEX(TK_Data,0,TK_ColID),$A47,INDEX(TK_Data,0,TK_ColCat),BonusCat),SUMIFS(INDEX(TK_Data,0,TK_ColAmt),INDEX(TK_Data,0,TK_ColFirst),$B47,INDEX(TK_Data,0,TK_ColSur),$C47,INDEX(TK_Data,0,TK_ColCat),BonusCat))/IF(TKUnit="Hours",HoursPerDay,1)))</f>
        <v/>
      </c>
      <c r="AI47" s="26" t="str">
        <f aca="false">IF(AO47=0,"",N(AG47)+N(AH47))</f>
        <v/>
      </c>
      <c r="AJ47" s="29" t="str">
        <f aca="false">IF(AO47=0,"",IF(NOT(AND(EH_Ready,EH_ValReady)),"",IF(MatchMode="Employee ID",SUMIFS(INDEX(EH_Data,0,EH_ColVal),INDEX(EH_Data,0,EH_ColID),$A47,INDEX(EH_Data,0,EH_ColCat),BonusCat),SUMIFS(INDEX(EH_Data,0,EH_ColVal),INDEX(EH_Data,0,EH_ColFirst),$B47,INDEX(EH_Data,0,EH_ColSur),$C47,INDEX(EH_Data,0,EH_ColCat),BonusCat))))</f>
        <v/>
      </c>
      <c r="AK47" s="26" t="str">
        <f aca="false">IF(AO47=0,"",IF(OR(NOT(EH_Ready),BF47=1),"",AB47-AI47))</f>
        <v/>
      </c>
      <c r="AL47" s="26" t="str">
        <f aca="false">IF(AK47="","",AK47*HoursPerDay)</f>
        <v/>
      </c>
      <c r="AM47" s="27" t="str">
        <f aca="false">IF(AO47=0,"",IF(BF47=1,IF(N(AG47)&gt;0,"TERMINATED - forfeit "&amp;TEXT(AG47,"0.##")&amp;" days still in EH","Terminated - nothing in EH"),IF(NOT(EH_Ready),"Paste EH export and map headers on Settings",IF(AND(AB47&gt;0,AF47="No"),"SET UP in EH - add "&amp;TEXT(AB47,"0.##")&amp;" day(s) ("&amp;TEXT(AC47,"0.##")&amp;" hrs)",IF(AK47&gt;0,"ADD "&amp;TEXT(AK47,"0.##")&amp;" day(s) ("&amp;TEXT(AL47,"0.##")&amp;" hrs) in EH",IF(AK47&lt;0,"CHECK - EH shows "&amp;TEXT(-AK47,"0.##")&amp;" days more than policy",IF(AB47&gt;0,"OK - up to date",IF(AY47="None","No action - not eligible","No action - not yet qualified"))))))))</f>
        <v/>
      </c>
      <c r="AN47" s="27" t="str">
        <f aca="false">IF(AO47=0,"",TRIM(IF(AND($K47&lt;&gt;"",$H47=""),"Change 2 entered without Change 1. ","")&amp;IF(AND($K47&lt;&gt;"",$H47&lt;&gt;"",$K47&lt;=$H47),"Change 2 date not after Change 1. ","")&amp;IF(AND($N47&lt;&gt;"",$O47&lt;&gt;"",$O47&lt;$N47),"Leave To is before Leave From. ","")&amp;IF(AND($N47&lt;&gt;"",$O47=""),"Leave From entered without Leave To. ","")&amp;IF(AND(IFERROR(VLOOKUP(T47,TypeTable,2,0),"None")="PT",U47=""),"Part-time with no hours entered. ","")&amp;IF(AND($H47&lt;&gt;"",$H47&gt;AsOfDate,AD47&lt;&gt;"",$H47&lt;=AD47),"Status change lands before next accrual - review. ","")&amp;IF(AND($Q47&lt;&gt;"",$Q47&lt;$E47),"Termination before commencement. ","")))</f>
        <v/>
      </c>
      <c r="AO47" s="11" t="n">
        <f aca="false">IF(LEN($A47&amp;$B47&amp;$C47)=0,0,IF($E47="",0,1))</f>
        <v>0</v>
      </c>
      <c r="AP47" s="11" t="str">
        <f aca="false">IF(AO47=0,"",(IF(OR($N47="",$O47=""),0,MAX(0,MIN(X47,$O47)-MAX($N47,$E47)+1))+N($P47)))</f>
        <v/>
      </c>
      <c r="AQ47" s="11" t="str">
        <f aca="false">IF(AO47=0,"",IF(X47&lt;($E47+(IF(OR($N47="",$O47=""),0,MAX(0,MIN(X47,$O47)-MAX($N47,$E47)+1))+N($P47))),-1,12*(YEAR(X47)-YEAR(($E47+(IF(OR($N47="",$O47=""),0,MAX(0,MIN(X47,$O47)-MAX($N47,$E47)+1))+N($P47)))))+MONTH(X47)-MONTH(($E47+(IF(OR($N47="",$O47=""),0,MAX(0,MIN(X47,$O47)-MAX($N47,$E47)+1))+N($P47))))-IF(DAY(X47)&lt;MIN(DAY(($E47+(IF(OR($N47="",$O47=""),0,MAX(0,MIN(X47,$O47)-MAX($N47,$E47)+1))+N($P47)))),DAY(EOMONTH(X47,0))),1,0)))</f>
        <v/>
      </c>
      <c r="AR47" s="28" t="str">
        <f aca="false">IF(AO47=0,"",IF($H47="","",IF($H47&gt;X47,"",$H47)))</f>
        <v/>
      </c>
      <c r="AS47" s="28" t="str">
        <f aca="false">IF(AO47=0,"",IF(AR47="","",IF($K47="","",IF($K47&gt;X47,"",$K47))))</f>
        <v/>
      </c>
      <c r="AT47" s="11" t="str">
        <f aca="false">IF(AO47=0,"",IF(AR47="",AQ47,IF((AR47-1)&lt;($E47+(IF(OR($N47="",$O47=""),0,MAX(0,MIN((AR47-1),$O47)-MAX($N47,$E47)+1))+N($P47))),-1,12*(YEAR((AR47-1))-YEAR(($E47+(IF(OR($N47="",$O47=""),0,MAX(0,MIN((AR47-1),$O47)-MAX($N47,$E47)+1))+N($P47)))))+MONTH((AR47-1))-MONTH(($E47+(IF(OR($N47="",$O47=""),0,MAX(0,MIN((AR47-1),$O47)-MAX($N47,$E47)+1))+N($P47))))-IF(DAY((AR47-1))&lt;MIN(DAY(($E47+(IF(OR($N47="",$O47=""),0,MAX(0,MIN((AR47-1),$O47)-MAX($N47,$E47)+1))+N($P47)))),DAY(EOMONTH((AR47-1),0))),1,0))))</f>
        <v/>
      </c>
      <c r="AU47" s="11" t="str">
        <f aca="false">IF(AO47=0,"",IF(AS47="",AQ47,IF((AS47-1)&lt;($E47+(IF(OR($N47="",$O47=""),0,MAX(0,MIN((AS47-1),$O47)-MAX($N47,$E47)+1))+N($P47))),-1,12*(YEAR((AS47-1))-YEAR(($E47+(IF(OR($N47="",$O47=""),0,MAX(0,MIN((AS47-1),$O47)-MAX($N47,$E47)+1))+N($P47)))))+MONTH((AS47-1))-MONTH(($E47+(IF(OR($N47="",$O47=""),0,MAX(0,MIN((AS47-1),$O47)-MAX($N47,$E47)+1))+N($P47))))-IF(DAY((AS47-1))&lt;MIN(DAY(($E47+(IF(OR($N47="",$O47=""),0,MAX(0,MIN((AS47-1),$O47)-MAX($N47,$E47)+1))+N($P47)))),DAY(EOMONTH((AS47-1),0))),1,0))))</f>
        <v/>
      </c>
      <c r="AV47" s="11" t="str">
        <f aca="false">IF(AO47=0,"",IF($F47="","None",IF(IFERROR(VLOOKUP($F47,TypeTable,2,0),"None")="PT",IF(N($G47)&gt;=PT_MinHours,"PT","None"),IFERROR(VLOOKUP($F47,TypeTable,2,0),"None"))))</f>
        <v/>
      </c>
      <c r="AW47" s="11" t="str">
        <f aca="false">IF(AO47=0,"",IF($I47="","None",IF(IFERROR(VLOOKUP($I47,TypeTable,2,0),"None")="PT",IF(N($J47)&gt;=PT_MinHours,"PT","None"),IFERROR(VLOOKUP($I47,TypeTable,2,0),"None"))))</f>
        <v/>
      </c>
      <c r="AX47" s="11" t="str">
        <f aca="false">IF(AO47=0,"",IF($L47="","None",IF(IFERROR(VLOOKUP($L47,TypeTable,2,0),"None")="PT",IF(N($M47)&gt;=PT_MinHours,"PT","None"),IFERROR(VLOOKUP($L47,TypeTable,2,0),"None"))))</f>
        <v/>
      </c>
      <c r="AY47" s="11" t="str">
        <f aca="false">IF(AO47=0,"",IF(AS47&lt;&gt;"",AX47,IF(AR47&lt;&gt;"",AW47,AV47)))</f>
        <v/>
      </c>
      <c r="AZ47" s="11" t="str">
        <f aca="false">IF(AO47=0,"",IF(AV47="FT",IF(AT47&lt;FT_First,0,IF(AT47&lt;FT_Y5,1+INT((AT47-FT_First)/FT_Int1),FT_PreY5+FT_PerYear*INT((AT47-FT_Y5)/12)+FT_AnnivDays+INT(MOD(AT47-FT_Y5,12)/FT_Int2))),IF(AV47="PT",IF(AT47&lt;PT_First,0,1+INT((AT47-PT_First)/PT_Int)),0)))</f>
        <v/>
      </c>
      <c r="BA47" s="11" t="str">
        <f aca="false">IF(AO47=0,"",IF(AW47="FT",IF(AT47&lt;FT_First,0,IF(AT47&lt;FT_Y5,1+INT((AT47-FT_First)/FT_Int1),FT_PreY5+FT_PerYear*INT((AT47-FT_Y5)/12)+FT_AnnivDays+INT(MOD(AT47-FT_Y5,12)/FT_Int2))),IF(AW47="PT",IF(AT47&lt;PT_First,0,1+INT((AT47-PT_First)/PT_Int)),0)))</f>
        <v/>
      </c>
      <c r="BB47" s="11" t="str">
        <f aca="false">IF(AO47=0,"",IF(AW47="FT",IF(AU47&lt;FT_First,0,IF(AU47&lt;FT_Y5,1+INT((AU47-FT_First)/FT_Int1),FT_PreY5+FT_PerYear*INT((AU47-FT_Y5)/12)+FT_AnnivDays+INT(MOD(AU47-FT_Y5,12)/FT_Int2))),IF(AW47="PT",IF(AU47&lt;PT_First,0,1+INT((AU47-PT_First)/PT_Int)),0)))</f>
        <v/>
      </c>
      <c r="BC47" s="11" t="str">
        <f aca="false">IF(AO47=0,"",IF(AX47="FT",IF(AU47&lt;FT_First,0,IF(AU47&lt;FT_Y5,1+INT((AU47-FT_First)/FT_Int1),FT_PreY5+FT_PerYear*INT((AU47-FT_Y5)/12)+FT_AnnivDays+INT(MOD(AU47-FT_Y5,12)/FT_Int2))),IF(AX47="PT",IF(AU47&lt;PT_First,0,1+INT((AU47-PT_First)/PT_Int)),0)))</f>
        <v/>
      </c>
      <c r="BD47" s="11" t="str">
        <f aca="false">IF(AO47=0,"",IF(AX47="FT",IF(AQ47&lt;FT_First,0,IF(AQ47&lt;FT_Y5,1+INT((AQ47-FT_First)/FT_Int1),FT_PreY5+FT_PerYear*INT((AQ47-FT_Y5)/12)+FT_AnnivDays+INT(MOD(AQ47-FT_Y5,12)/FT_Int2))),IF(AX47="PT",IF(AQ47&lt;PT_First,0,1+INT((AQ47-PT_First)/PT_Int)),0)))</f>
        <v/>
      </c>
      <c r="BE47" s="11" t="str">
        <f aca="false">IF(AO47=0,"",IF(AY47="FT",IF(AQ47&lt;FT_First,FT_First,IF(AQ47&lt;FT_Y5,MIN(FT_Y5,FT_First+FT_Int1*(INT((AQ47-FT_First)/FT_Int1)+1)),FT_Y5+12*INT((AQ47-FT_Y5)/12)+FT_Int2*(INT(MOD(AQ47-FT_Y5,12)/FT_Int2)+1))),IF(AY47="PT",IF(AQ47&lt;PT_First,PT_First,PT_First+PT_Int*(INT((AQ47-PT_First)/PT_Int)+1)),"")))</f>
        <v/>
      </c>
      <c r="BF47" s="11" t="n">
        <f aca="false">IF(AO47=0,0,IF(AND($Q47&lt;&gt;"",$Q47&lt;=AsOfDate),1,0))</f>
        <v>0</v>
      </c>
      <c r="BG47" s="11" t="str">
        <f aca="false">IF(AND(AO47=1,BF47=0,EH_Ready,N(AB47)&gt;0,N(AI47)=0),COUNT($BG$5:BG46)+1,"")</f>
        <v/>
      </c>
      <c r="BH47" s="11" t="str">
        <f aca="false">IF(AND(AO47=1,BF47=0,EH_Ready,N(AB47)&gt;0,N(AI47)&gt;0,N(AK47)&gt;0),COUNT($BH$5:BH46)+1,"")</f>
        <v/>
      </c>
      <c r="BI47" s="11" t="str">
        <f aca="false">IF(AND(AO47=1,OR(LEFT(AM47,3)="ADD",LEFT(AM47,3)="SET",LEFT(AM47,5)="CHECK",LEFT(AM47,10)="TERMINATED")),COUNT($BI$5:BI46)+1,"")</f>
        <v/>
      </c>
      <c r="BJ47" s="11" t="str">
        <f aca="false">IF(AO47=0,"",$A47&amp;" - "&amp;$B47&amp;" "&amp;$C47)</f>
        <v/>
      </c>
    </row>
    <row r="48" customFormat="false" ht="15" hidden="false" customHeight="false" outlineLevel="0" collapsed="false">
      <c r="A48" s="10"/>
      <c r="B48" s="10"/>
      <c r="C48" s="10"/>
      <c r="D48" s="10"/>
      <c r="E48" s="9"/>
      <c r="F48" s="10"/>
      <c r="G48" s="30"/>
      <c r="H48" s="9"/>
      <c r="I48" s="10"/>
      <c r="J48" s="30"/>
      <c r="K48" s="9"/>
      <c r="L48" s="10"/>
      <c r="M48" s="30"/>
      <c r="N48" s="9"/>
      <c r="O48" s="9"/>
      <c r="P48" s="30"/>
      <c r="Q48" s="9"/>
      <c r="R48" s="10"/>
      <c r="S48" s="11" t="str">
        <f aca="false">IF(AO48=0,"",IF($H48="","",$F48&amp;" -&gt; "&amp;$I48&amp;IF($I48="Part-Time"," ("&amp;N($J48)&amp;" hrs)","")&amp;" on "&amp;TEXT($H48,"dd/mm/yyyy")&amp;IF($H48&gt;AsOfDate," (FUTURE)","")&amp;IF($K48="","","; "&amp;$I48&amp;" -&gt; "&amp;$L48&amp;IF($L48="Part-Time"," ("&amp;N($M48)&amp;" hrs)","")&amp;" on "&amp;TEXT($K48,"dd/mm/yyyy")&amp;IF($K48&gt;AsOfDate," (FUTURE)",""))))</f>
        <v/>
      </c>
      <c r="T48" s="11" t="str">
        <f aca="false">IF(AO48=0,"",IF(AS48&lt;&gt;"",$L48,IF(AR48&lt;&gt;"",$I48,$F48)))</f>
        <v/>
      </c>
      <c r="U48" s="26" t="str">
        <f aca="false">IF(AO48=0,"",IF(AS48&lt;&gt;"",$M48,IF(AR48&lt;&gt;"",$J48,$G48)))</f>
        <v/>
      </c>
      <c r="V48" s="11" t="str">
        <f aca="false">IF(AO48=0,"",IF(AY48="FT","Full-Time",IF(AY48="PT","Part-Time","Not eligible")))</f>
        <v/>
      </c>
      <c r="W48" s="27" t="str">
        <f aca="false">IF(AO48=0,"",IF(AR48="",IF(AND($H48&lt;&gt;"",$H48&gt;AsOfDate),"Future change - not yet applied",""),IF(AND(AV48=AY48,OR(AS48="",AW48=AV48)),"Type changed - same accrual pathway",IF(AY48="None","STOPPED accruing from "&amp;TEXT(IF(AS48&lt;&gt;"",AS48,AR48),"dd/mm/yyyy"),IF(AV48="None","STARTED qualifying from "&amp;TEXT(IF(AS48&lt;&gt;"",AS48,AR48),"dd/mm/yyyy"),"Pathway changed "&amp;AV48&amp;" -&gt; "&amp;AW48&amp;IF(AS48&lt;&gt;""," -&gt; "&amp;AX48,"")&amp;" from "&amp;TEXT(IF(AS48&lt;&gt;"",AS48,AR48),"dd/mm/yyyy"))))))</f>
        <v/>
      </c>
      <c r="X48" s="28" t="str">
        <f aca="false">IF(AO48=0,"",IF($Q48="",AsOfDate,MIN(AsOfDate,$Q48)))</f>
        <v/>
      </c>
      <c r="Y48" s="26" t="str">
        <f aca="false">IF(AO48=0,"",MAX(0,AQ48))</f>
        <v/>
      </c>
      <c r="Z48" s="11" t="str">
        <f aca="false">IF(AO48=0,"",IF(AQ48&lt;0,"Not started",INT(AQ48/12)&amp;"y "&amp;MOD(AQ48,12)&amp;"m"))</f>
        <v/>
      </c>
      <c r="AA48" s="27" t="str">
        <f aca="false">IF(AO48=0,"",IF(BF48=1,"Terminated - balance forfeited",IF(AY48="None",IF(AB48&gt;0,"No longer accruing - "&amp;T48,"Not eligible - "&amp;T48&amp;IF(AND(IFERROR(VLOOKUP(T48,TypeTable,2,0),"None")="PT",N(U48)&lt;PT_MinHours)," (under "&amp;PT_MinHours&amp;" hrs)","")),IF(AB48&gt;0,"Yes - accruing","Not yet - qualifies "&amp;TEXT(AD48,"dd/mm/yyyy")))))</f>
        <v/>
      </c>
      <c r="AB48" s="26" t="str">
        <f aca="false">IF(AO48=0,"",AZ48+IF(AR48="",0,BB48-BA48)+IF(AS48="",0,BD48-BC48))</f>
        <v/>
      </c>
      <c r="AC48" s="26" t="str">
        <f aca="false">IF(AO48=0,"",AB48*HoursPerDay)</f>
        <v/>
      </c>
      <c r="AD48" s="28" t="str">
        <f aca="false">IF(AO48=0,"",IF(OR(BF48=1,AY48="None"),"",EDATE($E48+AP48,BE48)))</f>
        <v/>
      </c>
      <c r="AE48" s="26" t="str">
        <f aca="false">IF(AD48="","",IF(AY48="PT",1,IF(BE48&lt;FT_Y5,1,IF(MOD(BE48-FT_Y5,12)=0,FT_AnnivDays,1))))</f>
        <v/>
      </c>
      <c r="AF48" s="27" t="str">
        <f aca="false">IF(AO48=0,"",IF(NOT(EH_Ready),"Map headers",IF(IF(MatchMode="Employee ID",COUNTIFS(INDEX(EH_Data,0,EH_ColID),$A48,INDEX(EH_Data,0,EH_ColCat),BonusCat),COUNTIFS(INDEX(EH_Data,0,EH_ColFirst),$B48,INDEX(EH_Data,0,EH_ColSur),$C48,INDEX(EH_Data,0,EH_ColCat),BonusCat))&gt;0,"Yes","No")))</f>
        <v/>
      </c>
      <c r="AG48" s="26" t="str">
        <f aca="false">IF(AO48=0,"",IF(NOT(EH_Ready),"",IF(MatchMode="Employee ID",SUMIFS(INDEX(EH_Data,0,EH_ColBal),INDEX(EH_Data,0,EH_ColID),$A48,INDEX(EH_Data,0,EH_ColCat),BonusCat),SUMIFS(INDEX(EH_Data,0,EH_ColBal),INDEX(EH_Data,0,EH_ColFirst),$B48,INDEX(EH_Data,0,EH_ColSur),$C48,INDEX(EH_Data,0,EH_ColCat),BonusCat))/IF(EHUnit="Hours",HoursPerDay,1)))</f>
        <v/>
      </c>
      <c r="AH48" s="26" t="str">
        <f aca="false">IF(AO48=0,"",IF(NOT(TK_Ready),0,IF(MatchMode="Employee ID",SUMIFS(INDEX(TK_Data,0,TK_ColAmt),INDEX(TK_Data,0,TK_ColID),$A48,INDEX(TK_Data,0,TK_ColCat),BonusCat),SUMIFS(INDEX(TK_Data,0,TK_ColAmt),INDEX(TK_Data,0,TK_ColFirst),$B48,INDEX(TK_Data,0,TK_ColSur),$C48,INDEX(TK_Data,0,TK_ColCat),BonusCat))/IF(TKUnit="Hours",HoursPerDay,1)))</f>
        <v/>
      </c>
      <c r="AI48" s="26" t="str">
        <f aca="false">IF(AO48=0,"",N(AG48)+N(AH48))</f>
        <v/>
      </c>
      <c r="AJ48" s="29" t="str">
        <f aca="false">IF(AO48=0,"",IF(NOT(AND(EH_Ready,EH_ValReady)),"",IF(MatchMode="Employee ID",SUMIFS(INDEX(EH_Data,0,EH_ColVal),INDEX(EH_Data,0,EH_ColID),$A48,INDEX(EH_Data,0,EH_ColCat),BonusCat),SUMIFS(INDEX(EH_Data,0,EH_ColVal),INDEX(EH_Data,0,EH_ColFirst),$B48,INDEX(EH_Data,0,EH_ColSur),$C48,INDEX(EH_Data,0,EH_ColCat),BonusCat))))</f>
        <v/>
      </c>
      <c r="AK48" s="26" t="str">
        <f aca="false">IF(AO48=0,"",IF(OR(NOT(EH_Ready),BF48=1),"",AB48-AI48))</f>
        <v/>
      </c>
      <c r="AL48" s="26" t="str">
        <f aca="false">IF(AK48="","",AK48*HoursPerDay)</f>
        <v/>
      </c>
      <c r="AM48" s="27" t="str">
        <f aca="false">IF(AO48=0,"",IF(BF48=1,IF(N(AG48)&gt;0,"TERMINATED - forfeit "&amp;TEXT(AG48,"0.##")&amp;" days still in EH","Terminated - nothing in EH"),IF(NOT(EH_Ready),"Paste EH export and map headers on Settings",IF(AND(AB48&gt;0,AF48="No"),"SET UP in EH - add "&amp;TEXT(AB48,"0.##")&amp;" day(s) ("&amp;TEXT(AC48,"0.##")&amp;" hrs)",IF(AK48&gt;0,"ADD "&amp;TEXT(AK48,"0.##")&amp;" day(s) ("&amp;TEXT(AL48,"0.##")&amp;" hrs) in EH",IF(AK48&lt;0,"CHECK - EH shows "&amp;TEXT(-AK48,"0.##")&amp;" days more than policy",IF(AB48&gt;0,"OK - up to date",IF(AY48="None","No action - not eligible","No action - not yet qualified"))))))))</f>
        <v/>
      </c>
      <c r="AN48" s="27" t="str">
        <f aca="false">IF(AO48=0,"",TRIM(IF(AND($K48&lt;&gt;"",$H48=""),"Change 2 entered without Change 1. ","")&amp;IF(AND($K48&lt;&gt;"",$H48&lt;&gt;"",$K48&lt;=$H48),"Change 2 date not after Change 1. ","")&amp;IF(AND($N48&lt;&gt;"",$O48&lt;&gt;"",$O48&lt;$N48),"Leave To is before Leave From. ","")&amp;IF(AND($N48&lt;&gt;"",$O48=""),"Leave From entered without Leave To. ","")&amp;IF(AND(IFERROR(VLOOKUP(T48,TypeTable,2,0),"None")="PT",U48=""),"Part-time with no hours entered. ","")&amp;IF(AND($H48&lt;&gt;"",$H48&gt;AsOfDate,AD48&lt;&gt;"",$H48&lt;=AD48),"Status change lands before next accrual - review. ","")&amp;IF(AND($Q48&lt;&gt;"",$Q48&lt;$E48),"Termination before commencement. ","")))</f>
        <v/>
      </c>
      <c r="AO48" s="11" t="n">
        <f aca="false">IF(LEN($A48&amp;$B48&amp;$C48)=0,0,IF($E48="",0,1))</f>
        <v>0</v>
      </c>
      <c r="AP48" s="11" t="str">
        <f aca="false">IF(AO48=0,"",(IF(OR($N48="",$O48=""),0,MAX(0,MIN(X48,$O48)-MAX($N48,$E48)+1))+N($P48)))</f>
        <v/>
      </c>
      <c r="AQ48" s="11" t="str">
        <f aca="false">IF(AO48=0,"",IF(X48&lt;($E48+(IF(OR($N48="",$O48=""),0,MAX(0,MIN(X48,$O48)-MAX($N48,$E48)+1))+N($P48))),-1,12*(YEAR(X48)-YEAR(($E48+(IF(OR($N48="",$O48=""),0,MAX(0,MIN(X48,$O48)-MAX($N48,$E48)+1))+N($P48)))))+MONTH(X48)-MONTH(($E48+(IF(OR($N48="",$O48=""),0,MAX(0,MIN(X48,$O48)-MAX($N48,$E48)+1))+N($P48))))-IF(DAY(X48)&lt;MIN(DAY(($E48+(IF(OR($N48="",$O48=""),0,MAX(0,MIN(X48,$O48)-MAX($N48,$E48)+1))+N($P48)))),DAY(EOMONTH(X48,0))),1,0)))</f>
        <v/>
      </c>
      <c r="AR48" s="28" t="str">
        <f aca="false">IF(AO48=0,"",IF($H48="","",IF($H48&gt;X48,"",$H48)))</f>
        <v/>
      </c>
      <c r="AS48" s="28" t="str">
        <f aca="false">IF(AO48=0,"",IF(AR48="","",IF($K48="","",IF($K48&gt;X48,"",$K48))))</f>
        <v/>
      </c>
      <c r="AT48" s="11" t="str">
        <f aca="false">IF(AO48=0,"",IF(AR48="",AQ48,IF((AR48-1)&lt;($E48+(IF(OR($N48="",$O48=""),0,MAX(0,MIN((AR48-1),$O48)-MAX($N48,$E48)+1))+N($P48))),-1,12*(YEAR((AR48-1))-YEAR(($E48+(IF(OR($N48="",$O48=""),0,MAX(0,MIN((AR48-1),$O48)-MAX($N48,$E48)+1))+N($P48)))))+MONTH((AR48-1))-MONTH(($E48+(IF(OR($N48="",$O48=""),0,MAX(0,MIN((AR48-1),$O48)-MAX($N48,$E48)+1))+N($P48))))-IF(DAY((AR48-1))&lt;MIN(DAY(($E48+(IF(OR($N48="",$O48=""),0,MAX(0,MIN((AR48-1),$O48)-MAX($N48,$E48)+1))+N($P48)))),DAY(EOMONTH((AR48-1),0))),1,0))))</f>
        <v/>
      </c>
      <c r="AU48" s="11" t="str">
        <f aca="false">IF(AO48=0,"",IF(AS48="",AQ48,IF((AS48-1)&lt;($E48+(IF(OR($N48="",$O48=""),0,MAX(0,MIN((AS48-1),$O48)-MAX($N48,$E48)+1))+N($P48))),-1,12*(YEAR((AS48-1))-YEAR(($E48+(IF(OR($N48="",$O48=""),0,MAX(0,MIN((AS48-1),$O48)-MAX($N48,$E48)+1))+N($P48)))))+MONTH((AS48-1))-MONTH(($E48+(IF(OR($N48="",$O48=""),0,MAX(0,MIN((AS48-1),$O48)-MAX($N48,$E48)+1))+N($P48))))-IF(DAY((AS48-1))&lt;MIN(DAY(($E48+(IF(OR($N48="",$O48=""),0,MAX(0,MIN((AS48-1),$O48)-MAX($N48,$E48)+1))+N($P48)))),DAY(EOMONTH((AS48-1),0))),1,0))))</f>
        <v/>
      </c>
      <c r="AV48" s="11" t="str">
        <f aca="false">IF(AO48=0,"",IF($F48="","None",IF(IFERROR(VLOOKUP($F48,TypeTable,2,0),"None")="PT",IF(N($G48)&gt;=PT_MinHours,"PT","None"),IFERROR(VLOOKUP($F48,TypeTable,2,0),"None"))))</f>
        <v/>
      </c>
      <c r="AW48" s="11" t="str">
        <f aca="false">IF(AO48=0,"",IF($I48="","None",IF(IFERROR(VLOOKUP($I48,TypeTable,2,0),"None")="PT",IF(N($J48)&gt;=PT_MinHours,"PT","None"),IFERROR(VLOOKUP($I48,TypeTable,2,0),"None"))))</f>
        <v/>
      </c>
      <c r="AX48" s="11" t="str">
        <f aca="false">IF(AO48=0,"",IF($L48="","None",IF(IFERROR(VLOOKUP($L48,TypeTable,2,0),"None")="PT",IF(N($M48)&gt;=PT_MinHours,"PT","None"),IFERROR(VLOOKUP($L48,TypeTable,2,0),"None"))))</f>
        <v/>
      </c>
      <c r="AY48" s="11" t="str">
        <f aca="false">IF(AO48=0,"",IF(AS48&lt;&gt;"",AX48,IF(AR48&lt;&gt;"",AW48,AV48)))</f>
        <v/>
      </c>
      <c r="AZ48" s="11" t="str">
        <f aca="false">IF(AO48=0,"",IF(AV48="FT",IF(AT48&lt;FT_First,0,IF(AT48&lt;FT_Y5,1+INT((AT48-FT_First)/FT_Int1),FT_PreY5+FT_PerYear*INT((AT48-FT_Y5)/12)+FT_AnnivDays+INT(MOD(AT48-FT_Y5,12)/FT_Int2))),IF(AV48="PT",IF(AT48&lt;PT_First,0,1+INT((AT48-PT_First)/PT_Int)),0)))</f>
        <v/>
      </c>
      <c r="BA48" s="11" t="str">
        <f aca="false">IF(AO48=0,"",IF(AW48="FT",IF(AT48&lt;FT_First,0,IF(AT48&lt;FT_Y5,1+INT((AT48-FT_First)/FT_Int1),FT_PreY5+FT_PerYear*INT((AT48-FT_Y5)/12)+FT_AnnivDays+INT(MOD(AT48-FT_Y5,12)/FT_Int2))),IF(AW48="PT",IF(AT48&lt;PT_First,0,1+INT((AT48-PT_First)/PT_Int)),0)))</f>
        <v/>
      </c>
      <c r="BB48" s="11" t="str">
        <f aca="false">IF(AO48=0,"",IF(AW48="FT",IF(AU48&lt;FT_First,0,IF(AU48&lt;FT_Y5,1+INT((AU48-FT_First)/FT_Int1),FT_PreY5+FT_PerYear*INT((AU48-FT_Y5)/12)+FT_AnnivDays+INT(MOD(AU48-FT_Y5,12)/FT_Int2))),IF(AW48="PT",IF(AU48&lt;PT_First,0,1+INT((AU48-PT_First)/PT_Int)),0)))</f>
        <v/>
      </c>
      <c r="BC48" s="11" t="str">
        <f aca="false">IF(AO48=0,"",IF(AX48="FT",IF(AU48&lt;FT_First,0,IF(AU48&lt;FT_Y5,1+INT((AU48-FT_First)/FT_Int1),FT_PreY5+FT_PerYear*INT((AU48-FT_Y5)/12)+FT_AnnivDays+INT(MOD(AU48-FT_Y5,12)/FT_Int2))),IF(AX48="PT",IF(AU48&lt;PT_First,0,1+INT((AU48-PT_First)/PT_Int)),0)))</f>
        <v/>
      </c>
      <c r="BD48" s="11" t="str">
        <f aca="false">IF(AO48=0,"",IF(AX48="FT",IF(AQ48&lt;FT_First,0,IF(AQ48&lt;FT_Y5,1+INT((AQ48-FT_First)/FT_Int1),FT_PreY5+FT_PerYear*INT((AQ48-FT_Y5)/12)+FT_AnnivDays+INT(MOD(AQ48-FT_Y5,12)/FT_Int2))),IF(AX48="PT",IF(AQ48&lt;PT_First,0,1+INT((AQ48-PT_First)/PT_Int)),0)))</f>
        <v/>
      </c>
      <c r="BE48" s="11" t="str">
        <f aca="false">IF(AO48=0,"",IF(AY48="FT",IF(AQ48&lt;FT_First,FT_First,IF(AQ48&lt;FT_Y5,MIN(FT_Y5,FT_First+FT_Int1*(INT((AQ48-FT_First)/FT_Int1)+1)),FT_Y5+12*INT((AQ48-FT_Y5)/12)+FT_Int2*(INT(MOD(AQ48-FT_Y5,12)/FT_Int2)+1))),IF(AY48="PT",IF(AQ48&lt;PT_First,PT_First,PT_First+PT_Int*(INT((AQ48-PT_First)/PT_Int)+1)),"")))</f>
        <v/>
      </c>
      <c r="BF48" s="11" t="n">
        <f aca="false">IF(AO48=0,0,IF(AND($Q48&lt;&gt;"",$Q48&lt;=AsOfDate),1,0))</f>
        <v>0</v>
      </c>
      <c r="BG48" s="11" t="str">
        <f aca="false">IF(AND(AO48=1,BF48=0,EH_Ready,N(AB48)&gt;0,N(AI48)=0),COUNT($BG$5:BG47)+1,"")</f>
        <v/>
      </c>
      <c r="BH48" s="11" t="str">
        <f aca="false">IF(AND(AO48=1,BF48=0,EH_Ready,N(AB48)&gt;0,N(AI48)&gt;0,N(AK48)&gt;0),COUNT($BH$5:BH47)+1,"")</f>
        <v/>
      </c>
      <c r="BI48" s="11" t="str">
        <f aca="false">IF(AND(AO48=1,OR(LEFT(AM48,3)="ADD",LEFT(AM48,3)="SET",LEFT(AM48,5)="CHECK",LEFT(AM48,10)="TERMINATED")),COUNT($BI$5:BI47)+1,"")</f>
        <v/>
      </c>
      <c r="BJ48" s="11" t="str">
        <f aca="false">IF(AO48=0,"",$A48&amp;" - "&amp;$B48&amp;" "&amp;$C48)</f>
        <v/>
      </c>
    </row>
    <row r="49" customFormat="false" ht="15" hidden="false" customHeight="false" outlineLevel="0" collapsed="false">
      <c r="A49" s="10"/>
      <c r="B49" s="10"/>
      <c r="C49" s="10"/>
      <c r="D49" s="10"/>
      <c r="E49" s="9"/>
      <c r="F49" s="10"/>
      <c r="G49" s="30"/>
      <c r="H49" s="9"/>
      <c r="I49" s="10"/>
      <c r="J49" s="30"/>
      <c r="K49" s="9"/>
      <c r="L49" s="10"/>
      <c r="M49" s="30"/>
      <c r="N49" s="9"/>
      <c r="O49" s="9"/>
      <c r="P49" s="30"/>
      <c r="Q49" s="9"/>
      <c r="R49" s="10"/>
      <c r="S49" s="11" t="str">
        <f aca="false">IF(AO49=0,"",IF($H49="","",$F49&amp;" -&gt; "&amp;$I49&amp;IF($I49="Part-Time"," ("&amp;N($J49)&amp;" hrs)","")&amp;" on "&amp;TEXT($H49,"dd/mm/yyyy")&amp;IF($H49&gt;AsOfDate," (FUTURE)","")&amp;IF($K49="","","; "&amp;$I49&amp;" -&gt; "&amp;$L49&amp;IF($L49="Part-Time"," ("&amp;N($M49)&amp;" hrs)","")&amp;" on "&amp;TEXT($K49,"dd/mm/yyyy")&amp;IF($K49&gt;AsOfDate," (FUTURE)",""))))</f>
        <v/>
      </c>
      <c r="T49" s="11" t="str">
        <f aca="false">IF(AO49=0,"",IF(AS49&lt;&gt;"",$L49,IF(AR49&lt;&gt;"",$I49,$F49)))</f>
        <v/>
      </c>
      <c r="U49" s="26" t="str">
        <f aca="false">IF(AO49=0,"",IF(AS49&lt;&gt;"",$M49,IF(AR49&lt;&gt;"",$J49,$G49)))</f>
        <v/>
      </c>
      <c r="V49" s="11" t="str">
        <f aca="false">IF(AO49=0,"",IF(AY49="FT","Full-Time",IF(AY49="PT","Part-Time","Not eligible")))</f>
        <v/>
      </c>
      <c r="W49" s="27" t="str">
        <f aca="false">IF(AO49=0,"",IF(AR49="",IF(AND($H49&lt;&gt;"",$H49&gt;AsOfDate),"Future change - not yet applied",""),IF(AND(AV49=AY49,OR(AS49="",AW49=AV49)),"Type changed - same accrual pathway",IF(AY49="None","STOPPED accruing from "&amp;TEXT(IF(AS49&lt;&gt;"",AS49,AR49),"dd/mm/yyyy"),IF(AV49="None","STARTED qualifying from "&amp;TEXT(IF(AS49&lt;&gt;"",AS49,AR49),"dd/mm/yyyy"),"Pathway changed "&amp;AV49&amp;" -&gt; "&amp;AW49&amp;IF(AS49&lt;&gt;""," -&gt; "&amp;AX49,"")&amp;" from "&amp;TEXT(IF(AS49&lt;&gt;"",AS49,AR49),"dd/mm/yyyy"))))))</f>
        <v/>
      </c>
      <c r="X49" s="28" t="str">
        <f aca="false">IF(AO49=0,"",IF($Q49="",AsOfDate,MIN(AsOfDate,$Q49)))</f>
        <v/>
      </c>
      <c r="Y49" s="26" t="str">
        <f aca="false">IF(AO49=0,"",MAX(0,AQ49))</f>
        <v/>
      </c>
      <c r="Z49" s="11" t="str">
        <f aca="false">IF(AO49=0,"",IF(AQ49&lt;0,"Not started",INT(AQ49/12)&amp;"y "&amp;MOD(AQ49,12)&amp;"m"))</f>
        <v/>
      </c>
      <c r="AA49" s="27" t="str">
        <f aca="false">IF(AO49=0,"",IF(BF49=1,"Terminated - balance forfeited",IF(AY49="None",IF(AB49&gt;0,"No longer accruing - "&amp;T49,"Not eligible - "&amp;T49&amp;IF(AND(IFERROR(VLOOKUP(T49,TypeTable,2,0),"None")="PT",N(U49)&lt;PT_MinHours)," (under "&amp;PT_MinHours&amp;" hrs)","")),IF(AB49&gt;0,"Yes - accruing","Not yet - qualifies "&amp;TEXT(AD49,"dd/mm/yyyy")))))</f>
        <v/>
      </c>
      <c r="AB49" s="26" t="str">
        <f aca="false">IF(AO49=0,"",AZ49+IF(AR49="",0,BB49-BA49)+IF(AS49="",0,BD49-BC49))</f>
        <v/>
      </c>
      <c r="AC49" s="26" t="str">
        <f aca="false">IF(AO49=0,"",AB49*HoursPerDay)</f>
        <v/>
      </c>
      <c r="AD49" s="28" t="str">
        <f aca="false">IF(AO49=0,"",IF(OR(BF49=1,AY49="None"),"",EDATE($E49+AP49,BE49)))</f>
        <v/>
      </c>
      <c r="AE49" s="26" t="str">
        <f aca="false">IF(AD49="","",IF(AY49="PT",1,IF(BE49&lt;FT_Y5,1,IF(MOD(BE49-FT_Y5,12)=0,FT_AnnivDays,1))))</f>
        <v/>
      </c>
      <c r="AF49" s="27" t="str">
        <f aca="false">IF(AO49=0,"",IF(NOT(EH_Ready),"Map headers",IF(IF(MatchMode="Employee ID",COUNTIFS(INDEX(EH_Data,0,EH_ColID),$A49,INDEX(EH_Data,0,EH_ColCat),BonusCat),COUNTIFS(INDEX(EH_Data,0,EH_ColFirst),$B49,INDEX(EH_Data,0,EH_ColSur),$C49,INDEX(EH_Data,0,EH_ColCat),BonusCat))&gt;0,"Yes","No")))</f>
        <v/>
      </c>
      <c r="AG49" s="26" t="str">
        <f aca="false">IF(AO49=0,"",IF(NOT(EH_Ready),"",IF(MatchMode="Employee ID",SUMIFS(INDEX(EH_Data,0,EH_ColBal),INDEX(EH_Data,0,EH_ColID),$A49,INDEX(EH_Data,0,EH_ColCat),BonusCat),SUMIFS(INDEX(EH_Data,0,EH_ColBal),INDEX(EH_Data,0,EH_ColFirst),$B49,INDEX(EH_Data,0,EH_ColSur),$C49,INDEX(EH_Data,0,EH_ColCat),BonusCat))/IF(EHUnit="Hours",HoursPerDay,1)))</f>
        <v/>
      </c>
      <c r="AH49" s="26" t="str">
        <f aca="false">IF(AO49=0,"",IF(NOT(TK_Ready),0,IF(MatchMode="Employee ID",SUMIFS(INDEX(TK_Data,0,TK_ColAmt),INDEX(TK_Data,0,TK_ColID),$A49,INDEX(TK_Data,0,TK_ColCat),BonusCat),SUMIFS(INDEX(TK_Data,0,TK_ColAmt),INDEX(TK_Data,0,TK_ColFirst),$B49,INDEX(TK_Data,0,TK_ColSur),$C49,INDEX(TK_Data,0,TK_ColCat),BonusCat))/IF(TKUnit="Hours",HoursPerDay,1)))</f>
        <v/>
      </c>
      <c r="AI49" s="26" t="str">
        <f aca="false">IF(AO49=0,"",N(AG49)+N(AH49))</f>
        <v/>
      </c>
      <c r="AJ49" s="29" t="str">
        <f aca="false">IF(AO49=0,"",IF(NOT(AND(EH_Ready,EH_ValReady)),"",IF(MatchMode="Employee ID",SUMIFS(INDEX(EH_Data,0,EH_ColVal),INDEX(EH_Data,0,EH_ColID),$A49,INDEX(EH_Data,0,EH_ColCat),BonusCat),SUMIFS(INDEX(EH_Data,0,EH_ColVal),INDEX(EH_Data,0,EH_ColFirst),$B49,INDEX(EH_Data,0,EH_ColSur),$C49,INDEX(EH_Data,0,EH_ColCat),BonusCat))))</f>
        <v/>
      </c>
      <c r="AK49" s="26" t="str">
        <f aca="false">IF(AO49=0,"",IF(OR(NOT(EH_Ready),BF49=1),"",AB49-AI49))</f>
        <v/>
      </c>
      <c r="AL49" s="26" t="str">
        <f aca="false">IF(AK49="","",AK49*HoursPerDay)</f>
        <v/>
      </c>
      <c r="AM49" s="27" t="str">
        <f aca="false">IF(AO49=0,"",IF(BF49=1,IF(N(AG49)&gt;0,"TERMINATED - forfeit "&amp;TEXT(AG49,"0.##")&amp;" days still in EH","Terminated - nothing in EH"),IF(NOT(EH_Ready),"Paste EH export and map headers on Settings",IF(AND(AB49&gt;0,AF49="No"),"SET UP in EH - add "&amp;TEXT(AB49,"0.##")&amp;" day(s) ("&amp;TEXT(AC49,"0.##")&amp;" hrs)",IF(AK49&gt;0,"ADD "&amp;TEXT(AK49,"0.##")&amp;" day(s) ("&amp;TEXT(AL49,"0.##")&amp;" hrs) in EH",IF(AK49&lt;0,"CHECK - EH shows "&amp;TEXT(-AK49,"0.##")&amp;" days more than policy",IF(AB49&gt;0,"OK - up to date",IF(AY49="None","No action - not eligible","No action - not yet qualified"))))))))</f>
        <v/>
      </c>
      <c r="AN49" s="27" t="str">
        <f aca="false">IF(AO49=0,"",TRIM(IF(AND($K49&lt;&gt;"",$H49=""),"Change 2 entered without Change 1. ","")&amp;IF(AND($K49&lt;&gt;"",$H49&lt;&gt;"",$K49&lt;=$H49),"Change 2 date not after Change 1. ","")&amp;IF(AND($N49&lt;&gt;"",$O49&lt;&gt;"",$O49&lt;$N49),"Leave To is before Leave From. ","")&amp;IF(AND($N49&lt;&gt;"",$O49=""),"Leave From entered without Leave To. ","")&amp;IF(AND(IFERROR(VLOOKUP(T49,TypeTable,2,0),"None")="PT",U49=""),"Part-time with no hours entered. ","")&amp;IF(AND($H49&lt;&gt;"",$H49&gt;AsOfDate,AD49&lt;&gt;"",$H49&lt;=AD49),"Status change lands before next accrual - review. ","")&amp;IF(AND($Q49&lt;&gt;"",$Q49&lt;$E49),"Termination before commencement. ","")))</f>
        <v/>
      </c>
      <c r="AO49" s="11" t="n">
        <f aca="false">IF(LEN($A49&amp;$B49&amp;$C49)=0,0,IF($E49="",0,1))</f>
        <v>0</v>
      </c>
      <c r="AP49" s="11" t="str">
        <f aca="false">IF(AO49=0,"",(IF(OR($N49="",$O49=""),0,MAX(0,MIN(X49,$O49)-MAX($N49,$E49)+1))+N($P49)))</f>
        <v/>
      </c>
      <c r="AQ49" s="11" t="str">
        <f aca="false">IF(AO49=0,"",IF(X49&lt;($E49+(IF(OR($N49="",$O49=""),0,MAX(0,MIN(X49,$O49)-MAX($N49,$E49)+1))+N($P49))),-1,12*(YEAR(X49)-YEAR(($E49+(IF(OR($N49="",$O49=""),0,MAX(0,MIN(X49,$O49)-MAX($N49,$E49)+1))+N($P49)))))+MONTH(X49)-MONTH(($E49+(IF(OR($N49="",$O49=""),0,MAX(0,MIN(X49,$O49)-MAX($N49,$E49)+1))+N($P49))))-IF(DAY(X49)&lt;MIN(DAY(($E49+(IF(OR($N49="",$O49=""),0,MAX(0,MIN(X49,$O49)-MAX($N49,$E49)+1))+N($P49)))),DAY(EOMONTH(X49,0))),1,0)))</f>
        <v/>
      </c>
      <c r="AR49" s="28" t="str">
        <f aca="false">IF(AO49=0,"",IF($H49="","",IF($H49&gt;X49,"",$H49)))</f>
        <v/>
      </c>
      <c r="AS49" s="28" t="str">
        <f aca="false">IF(AO49=0,"",IF(AR49="","",IF($K49="","",IF($K49&gt;X49,"",$K49))))</f>
        <v/>
      </c>
      <c r="AT49" s="11" t="str">
        <f aca="false">IF(AO49=0,"",IF(AR49="",AQ49,IF((AR49-1)&lt;($E49+(IF(OR($N49="",$O49=""),0,MAX(0,MIN((AR49-1),$O49)-MAX($N49,$E49)+1))+N($P49))),-1,12*(YEAR((AR49-1))-YEAR(($E49+(IF(OR($N49="",$O49=""),0,MAX(0,MIN((AR49-1),$O49)-MAX($N49,$E49)+1))+N($P49)))))+MONTH((AR49-1))-MONTH(($E49+(IF(OR($N49="",$O49=""),0,MAX(0,MIN((AR49-1),$O49)-MAX($N49,$E49)+1))+N($P49))))-IF(DAY((AR49-1))&lt;MIN(DAY(($E49+(IF(OR($N49="",$O49=""),0,MAX(0,MIN((AR49-1),$O49)-MAX($N49,$E49)+1))+N($P49)))),DAY(EOMONTH((AR49-1),0))),1,0))))</f>
        <v/>
      </c>
      <c r="AU49" s="11" t="str">
        <f aca="false">IF(AO49=0,"",IF(AS49="",AQ49,IF((AS49-1)&lt;($E49+(IF(OR($N49="",$O49=""),0,MAX(0,MIN((AS49-1),$O49)-MAX($N49,$E49)+1))+N($P49))),-1,12*(YEAR((AS49-1))-YEAR(($E49+(IF(OR($N49="",$O49=""),0,MAX(0,MIN((AS49-1),$O49)-MAX($N49,$E49)+1))+N($P49)))))+MONTH((AS49-1))-MONTH(($E49+(IF(OR($N49="",$O49=""),0,MAX(0,MIN((AS49-1),$O49)-MAX($N49,$E49)+1))+N($P49))))-IF(DAY((AS49-1))&lt;MIN(DAY(($E49+(IF(OR($N49="",$O49=""),0,MAX(0,MIN((AS49-1),$O49)-MAX($N49,$E49)+1))+N($P49)))),DAY(EOMONTH((AS49-1),0))),1,0))))</f>
        <v/>
      </c>
      <c r="AV49" s="11" t="str">
        <f aca="false">IF(AO49=0,"",IF($F49="","None",IF(IFERROR(VLOOKUP($F49,TypeTable,2,0),"None")="PT",IF(N($G49)&gt;=PT_MinHours,"PT","None"),IFERROR(VLOOKUP($F49,TypeTable,2,0),"None"))))</f>
        <v/>
      </c>
      <c r="AW49" s="11" t="str">
        <f aca="false">IF(AO49=0,"",IF($I49="","None",IF(IFERROR(VLOOKUP($I49,TypeTable,2,0),"None")="PT",IF(N($J49)&gt;=PT_MinHours,"PT","None"),IFERROR(VLOOKUP($I49,TypeTable,2,0),"None"))))</f>
        <v/>
      </c>
      <c r="AX49" s="11" t="str">
        <f aca="false">IF(AO49=0,"",IF($L49="","None",IF(IFERROR(VLOOKUP($L49,TypeTable,2,0),"None")="PT",IF(N($M49)&gt;=PT_MinHours,"PT","None"),IFERROR(VLOOKUP($L49,TypeTable,2,0),"None"))))</f>
        <v/>
      </c>
      <c r="AY49" s="11" t="str">
        <f aca="false">IF(AO49=0,"",IF(AS49&lt;&gt;"",AX49,IF(AR49&lt;&gt;"",AW49,AV49)))</f>
        <v/>
      </c>
      <c r="AZ49" s="11" t="str">
        <f aca="false">IF(AO49=0,"",IF(AV49="FT",IF(AT49&lt;FT_First,0,IF(AT49&lt;FT_Y5,1+INT((AT49-FT_First)/FT_Int1),FT_PreY5+FT_PerYear*INT((AT49-FT_Y5)/12)+FT_AnnivDays+INT(MOD(AT49-FT_Y5,12)/FT_Int2))),IF(AV49="PT",IF(AT49&lt;PT_First,0,1+INT((AT49-PT_First)/PT_Int)),0)))</f>
        <v/>
      </c>
      <c r="BA49" s="11" t="str">
        <f aca="false">IF(AO49=0,"",IF(AW49="FT",IF(AT49&lt;FT_First,0,IF(AT49&lt;FT_Y5,1+INT((AT49-FT_First)/FT_Int1),FT_PreY5+FT_PerYear*INT((AT49-FT_Y5)/12)+FT_AnnivDays+INT(MOD(AT49-FT_Y5,12)/FT_Int2))),IF(AW49="PT",IF(AT49&lt;PT_First,0,1+INT((AT49-PT_First)/PT_Int)),0)))</f>
        <v/>
      </c>
      <c r="BB49" s="11" t="str">
        <f aca="false">IF(AO49=0,"",IF(AW49="FT",IF(AU49&lt;FT_First,0,IF(AU49&lt;FT_Y5,1+INT((AU49-FT_First)/FT_Int1),FT_PreY5+FT_PerYear*INT((AU49-FT_Y5)/12)+FT_AnnivDays+INT(MOD(AU49-FT_Y5,12)/FT_Int2))),IF(AW49="PT",IF(AU49&lt;PT_First,0,1+INT((AU49-PT_First)/PT_Int)),0)))</f>
        <v/>
      </c>
      <c r="BC49" s="11" t="str">
        <f aca="false">IF(AO49=0,"",IF(AX49="FT",IF(AU49&lt;FT_First,0,IF(AU49&lt;FT_Y5,1+INT((AU49-FT_First)/FT_Int1),FT_PreY5+FT_PerYear*INT((AU49-FT_Y5)/12)+FT_AnnivDays+INT(MOD(AU49-FT_Y5,12)/FT_Int2))),IF(AX49="PT",IF(AU49&lt;PT_First,0,1+INT((AU49-PT_First)/PT_Int)),0)))</f>
        <v/>
      </c>
      <c r="BD49" s="11" t="str">
        <f aca="false">IF(AO49=0,"",IF(AX49="FT",IF(AQ49&lt;FT_First,0,IF(AQ49&lt;FT_Y5,1+INT((AQ49-FT_First)/FT_Int1),FT_PreY5+FT_PerYear*INT((AQ49-FT_Y5)/12)+FT_AnnivDays+INT(MOD(AQ49-FT_Y5,12)/FT_Int2))),IF(AX49="PT",IF(AQ49&lt;PT_First,0,1+INT((AQ49-PT_First)/PT_Int)),0)))</f>
        <v/>
      </c>
      <c r="BE49" s="11" t="str">
        <f aca="false">IF(AO49=0,"",IF(AY49="FT",IF(AQ49&lt;FT_First,FT_First,IF(AQ49&lt;FT_Y5,MIN(FT_Y5,FT_First+FT_Int1*(INT((AQ49-FT_First)/FT_Int1)+1)),FT_Y5+12*INT((AQ49-FT_Y5)/12)+FT_Int2*(INT(MOD(AQ49-FT_Y5,12)/FT_Int2)+1))),IF(AY49="PT",IF(AQ49&lt;PT_First,PT_First,PT_First+PT_Int*(INT((AQ49-PT_First)/PT_Int)+1)),"")))</f>
        <v/>
      </c>
      <c r="BF49" s="11" t="n">
        <f aca="false">IF(AO49=0,0,IF(AND($Q49&lt;&gt;"",$Q49&lt;=AsOfDate),1,0))</f>
        <v>0</v>
      </c>
      <c r="BG49" s="11" t="str">
        <f aca="false">IF(AND(AO49=1,BF49=0,EH_Ready,N(AB49)&gt;0,N(AI49)=0),COUNT($BG$5:BG48)+1,"")</f>
        <v/>
      </c>
      <c r="BH49" s="11" t="str">
        <f aca="false">IF(AND(AO49=1,BF49=0,EH_Ready,N(AB49)&gt;0,N(AI49)&gt;0,N(AK49)&gt;0),COUNT($BH$5:BH48)+1,"")</f>
        <v/>
      </c>
      <c r="BI49" s="11" t="str">
        <f aca="false">IF(AND(AO49=1,OR(LEFT(AM49,3)="ADD",LEFT(AM49,3)="SET",LEFT(AM49,5)="CHECK",LEFT(AM49,10)="TERMINATED")),COUNT($BI$5:BI48)+1,"")</f>
        <v/>
      </c>
      <c r="BJ49" s="11" t="str">
        <f aca="false">IF(AO49=0,"",$A49&amp;" - "&amp;$B49&amp;" "&amp;$C49)</f>
        <v/>
      </c>
    </row>
    <row r="50" customFormat="false" ht="15" hidden="false" customHeight="false" outlineLevel="0" collapsed="false">
      <c r="A50" s="10"/>
      <c r="B50" s="10"/>
      <c r="C50" s="10"/>
      <c r="D50" s="10"/>
      <c r="E50" s="9"/>
      <c r="F50" s="10"/>
      <c r="G50" s="30"/>
      <c r="H50" s="9"/>
      <c r="I50" s="10"/>
      <c r="J50" s="30"/>
      <c r="K50" s="9"/>
      <c r="L50" s="10"/>
      <c r="M50" s="30"/>
      <c r="N50" s="9"/>
      <c r="O50" s="9"/>
      <c r="P50" s="30"/>
      <c r="Q50" s="9"/>
      <c r="R50" s="10"/>
      <c r="S50" s="11" t="str">
        <f aca="false">IF(AO50=0,"",IF($H50="","",$F50&amp;" -&gt; "&amp;$I50&amp;IF($I50="Part-Time"," ("&amp;N($J50)&amp;" hrs)","")&amp;" on "&amp;TEXT($H50,"dd/mm/yyyy")&amp;IF($H50&gt;AsOfDate," (FUTURE)","")&amp;IF($K50="","","; "&amp;$I50&amp;" -&gt; "&amp;$L50&amp;IF($L50="Part-Time"," ("&amp;N($M50)&amp;" hrs)","")&amp;" on "&amp;TEXT($K50,"dd/mm/yyyy")&amp;IF($K50&gt;AsOfDate," (FUTURE)",""))))</f>
        <v/>
      </c>
      <c r="T50" s="11" t="str">
        <f aca="false">IF(AO50=0,"",IF(AS50&lt;&gt;"",$L50,IF(AR50&lt;&gt;"",$I50,$F50)))</f>
        <v/>
      </c>
      <c r="U50" s="26" t="str">
        <f aca="false">IF(AO50=0,"",IF(AS50&lt;&gt;"",$M50,IF(AR50&lt;&gt;"",$J50,$G50)))</f>
        <v/>
      </c>
      <c r="V50" s="11" t="str">
        <f aca="false">IF(AO50=0,"",IF(AY50="FT","Full-Time",IF(AY50="PT","Part-Time","Not eligible")))</f>
        <v/>
      </c>
      <c r="W50" s="27" t="str">
        <f aca="false">IF(AO50=0,"",IF(AR50="",IF(AND($H50&lt;&gt;"",$H50&gt;AsOfDate),"Future change - not yet applied",""),IF(AND(AV50=AY50,OR(AS50="",AW50=AV50)),"Type changed - same accrual pathway",IF(AY50="None","STOPPED accruing from "&amp;TEXT(IF(AS50&lt;&gt;"",AS50,AR50),"dd/mm/yyyy"),IF(AV50="None","STARTED qualifying from "&amp;TEXT(IF(AS50&lt;&gt;"",AS50,AR50),"dd/mm/yyyy"),"Pathway changed "&amp;AV50&amp;" -&gt; "&amp;AW50&amp;IF(AS50&lt;&gt;""," -&gt; "&amp;AX50,"")&amp;" from "&amp;TEXT(IF(AS50&lt;&gt;"",AS50,AR50),"dd/mm/yyyy"))))))</f>
        <v/>
      </c>
      <c r="X50" s="28" t="str">
        <f aca="false">IF(AO50=0,"",IF($Q50="",AsOfDate,MIN(AsOfDate,$Q50)))</f>
        <v/>
      </c>
      <c r="Y50" s="26" t="str">
        <f aca="false">IF(AO50=0,"",MAX(0,AQ50))</f>
        <v/>
      </c>
      <c r="Z50" s="11" t="str">
        <f aca="false">IF(AO50=0,"",IF(AQ50&lt;0,"Not started",INT(AQ50/12)&amp;"y "&amp;MOD(AQ50,12)&amp;"m"))</f>
        <v/>
      </c>
      <c r="AA50" s="27" t="str">
        <f aca="false">IF(AO50=0,"",IF(BF50=1,"Terminated - balance forfeited",IF(AY50="None",IF(AB50&gt;0,"No longer accruing - "&amp;T50,"Not eligible - "&amp;T50&amp;IF(AND(IFERROR(VLOOKUP(T50,TypeTable,2,0),"None")="PT",N(U50)&lt;PT_MinHours)," (under "&amp;PT_MinHours&amp;" hrs)","")),IF(AB50&gt;0,"Yes - accruing","Not yet - qualifies "&amp;TEXT(AD50,"dd/mm/yyyy")))))</f>
        <v/>
      </c>
      <c r="AB50" s="26" t="str">
        <f aca="false">IF(AO50=0,"",AZ50+IF(AR50="",0,BB50-BA50)+IF(AS50="",0,BD50-BC50))</f>
        <v/>
      </c>
      <c r="AC50" s="26" t="str">
        <f aca="false">IF(AO50=0,"",AB50*HoursPerDay)</f>
        <v/>
      </c>
      <c r="AD50" s="28" t="str">
        <f aca="false">IF(AO50=0,"",IF(OR(BF50=1,AY50="None"),"",EDATE($E50+AP50,BE50)))</f>
        <v/>
      </c>
      <c r="AE50" s="26" t="str">
        <f aca="false">IF(AD50="","",IF(AY50="PT",1,IF(BE50&lt;FT_Y5,1,IF(MOD(BE50-FT_Y5,12)=0,FT_AnnivDays,1))))</f>
        <v/>
      </c>
      <c r="AF50" s="27" t="str">
        <f aca="false">IF(AO50=0,"",IF(NOT(EH_Ready),"Map headers",IF(IF(MatchMode="Employee ID",COUNTIFS(INDEX(EH_Data,0,EH_ColID),$A50,INDEX(EH_Data,0,EH_ColCat),BonusCat),COUNTIFS(INDEX(EH_Data,0,EH_ColFirst),$B50,INDEX(EH_Data,0,EH_ColSur),$C50,INDEX(EH_Data,0,EH_ColCat),BonusCat))&gt;0,"Yes","No")))</f>
        <v/>
      </c>
      <c r="AG50" s="26" t="str">
        <f aca="false">IF(AO50=0,"",IF(NOT(EH_Ready),"",IF(MatchMode="Employee ID",SUMIFS(INDEX(EH_Data,0,EH_ColBal),INDEX(EH_Data,0,EH_ColID),$A50,INDEX(EH_Data,0,EH_ColCat),BonusCat),SUMIFS(INDEX(EH_Data,0,EH_ColBal),INDEX(EH_Data,0,EH_ColFirst),$B50,INDEX(EH_Data,0,EH_ColSur),$C50,INDEX(EH_Data,0,EH_ColCat),BonusCat))/IF(EHUnit="Hours",HoursPerDay,1)))</f>
        <v/>
      </c>
      <c r="AH50" s="26" t="str">
        <f aca="false">IF(AO50=0,"",IF(NOT(TK_Ready),0,IF(MatchMode="Employee ID",SUMIFS(INDEX(TK_Data,0,TK_ColAmt),INDEX(TK_Data,0,TK_ColID),$A50,INDEX(TK_Data,0,TK_ColCat),BonusCat),SUMIFS(INDEX(TK_Data,0,TK_ColAmt),INDEX(TK_Data,0,TK_ColFirst),$B50,INDEX(TK_Data,0,TK_ColSur),$C50,INDEX(TK_Data,0,TK_ColCat),BonusCat))/IF(TKUnit="Hours",HoursPerDay,1)))</f>
        <v/>
      </c>
      <c r="AI50" s="26" t="str">
        <f aca="false">IF(AO50=0,"",N(AG50)+N(AH50))</f>
        <v/>
      </c>
      <c r="AJ50" s="29" t="str">
        <f aca="false">IF(AO50=0,"",IF(NOT(AND(EH_Ready,EH_ValReady)),"",IF(MatchMode="Employee ID",SUMIFS(INDEX(EH_Data,0,EH_ColVal),INDEX(EH_Data,0,EH_ColID),$A50,INDEX(EH_Data,0,EH_ColCat),BonusCat),SUMIFS(INDEX(EH_Data,0,EH_ColVal),INDEX(EH_Data,0,EH_ColFirst),$B50,INDEX(EH_Data,0,EH_ColSur),$C50,INDEX(EH_Data,0,EH_ColCat),BonusCat))))</f>
        <v/>
      </c>
      <c r="AK50" s="26" t="str">
        <f aca="false">IF(AO50=0,"",IF(OR(NOT(EH_Ready),BF50=1),"",AB50-AI50))</f>
        <v/>
      </c>
      <c r="AL50" s="26" t="str">
        <f aca="false">IF(AK50="","",AK50*HoursPerDay)</f>
        <v/>
      </c>
      <c r="AM50" s="27" t="str">
        <f aca="false">IF(AO50=0,"",IF(BF50=1,IF(N(AG50)&gt;0,"TERMINATED - forfeit "&amp;TEXT(AG50,"0.##")&amp;" days still in EH","Terminated - nothing in EH"),IF(NOT(EH_Ready),"Paste EH export and map headers on Settings",IF(AND(AB50&gt;0,AF50="No"),"SET UP in EH - add "&amp;TEXT(AB50,"0.##")&amp;" day(s) ("&amp;TEXT(AC50,"0.##")&amp;" hrs)",IF(AK50&gt;0,"ADD "&amp;TEXT(AK50,"0.##")&amp;" day(s) ("&amp;TEXT(AL50,"0.##")&amp;" hrs) in EH",IF(AK50&lt;0,"CHECK - EH shows "&amp;TEXT(-AK50,"0.##")&amp;" days more than policy",IF(AB50&gt;0,"OK - up to date",IF(AY50="None","No action - not eligible","No action - not yet qualified"))))))))</f>
        <v/>
      </c>
      <c r="AN50" s="27" t="str">
        <f aca="false">IF(AO50=0,"",TRIM(IF(AND($K50&lt;&gt;"",$H50=""),"Change 2 entered without Change 1. ","")&amp;IF(AND($K50&lt;&gt;"",$H50&lt;&gt;"",$K50&lt;=$H50),"Change 2 date not after Change 1. ","")&amp;IF(AND($N50&lt;&gt;"",$O50&lt;&gt;"",$O50&lt;$N50),"Leave To is before Leave From. ","")&amp;IF(AND($N50&lt;&gt;"",$O50=""),"Leave From entered without Leave To. ","")&amp;IF(AND(IFERROR(VLOOKUP(T50,TypeTable,2,0),"None")="PT",U50=""),"Part-time with no hours entered. ","")&amp;IF(AND($H50&lt;&gt;"",$H50&gt;AsOfDate,AD50&lt;&gt;"",$H50&lt;=AD50),"Status change lands before next accrual - review. ","")&amp;IF(AND($Q50&lt;&gt;"",$Q50&lt;$E50),"Termination before commencement. ","")))</f>
        <v/>
      </c>
      <c r="AO50" s="11" t="n">
        <f aca="false">IF(LEN($A50&amp;$B50&amp;$C50)=0,0,IF($E50="",0,1))</f>
        <v>0</v>
      </c>
      <c r="AP50" s="11" t="str">
        <f aca="false">IF(AO50=0,"",(IF(OR($N50="",$O50=""),0,MAX(0,MIN(X50,$O50)-MAX($N50,$E50)+1))+N($P50)))</f>
        <v/>
      </c>
      <c r="AQ50" s="11" t="str">
        <f aca="false">IF(AO50=0,"",IF(X50&lt;($E50+(IF(OR($N50="",$O50=""),0,MAX(0,MIN(X50,$O50)-MAX($N50,$E50)+1))+N($P50))),-1,12*(YEAR(X50)-YEAR(($E50+(IF(OR($N50="",$O50=""),0,MAX(0,MIN(X50,$O50)-MAX($N50,$E50)+1))+N($P50)))))+MONTH(X50)-MONTH(($E50+(IF(OR($N50="",$O50=""),0,MAX(0,MIN(X50,$O50)-MAX($N50,$E50)+1))+N($P50))))-IF(DAY(X50)&lt;MIN(DAY(($E50+(IF(OR($N50="",$O50=""),0,MAX(0,MIN(X50,$O50)-MAX($N50,$E50)+1))+N($P50)))),DAY(EOMONTH(X50,0))),1,0)))</f>
        <v/>
      </c>
      <c r="AR50" s="28" t="str">
        <f aca="false">IF(AO50=0,"",IF($H50="","",IF($H50&gt;X50,"",$H50)))</f>
        <v/>
      </c>
      <c r="AS50" s="28" t="str">
        <f aca="false">IF(AO50=0,"",IF(AR50="","",IF($K50="","",IF($K50&gt;X50,"",$K50))))</f>
        <v/>
      </c>
      <c r="AT50" s="11" t="str">
        <f aca="false">IF(AO50=0,"",IF(AR50="",AQ50,IF((AR50-1)&lt;($E50+(IF(OR($N50="",$O50=""),0,MAX(0,MIN((AR50-1),$O50)-MAX($N50,$E50)+1))+N($P50))),-1,12*(YEAR((AR50-1))-YEAR(($E50+(IF(OR($N50="",$O50=""),0,MAX(0,MIN((AR50-1),$O50)-MAX($N50,$E50)+1))+N($P50)))))+MONTH((AR50-1))-MONTH(($E50+(IF(OR($N50="",$O50=""),0,MAX(0,MIN((AR50-1),$O50)-MAX($N50,$E50)+1))+N($P50))))-IF(DAY((AR50-1))&lt;MIN(DAY(($E50+(IF(OR($N50="",$O50=""),0,MAX(0,MIN((AR50-1),$O50)-MAX($N50,$E50)+1))+N($P50)))),DAY(EOMONTH((AR50-1),0))),1,0))))</f>
        <v/>
      </c>
      <c r="AU50" s="11" t="str">
        <f aca="false">IF(AO50=0,"",IF(AS50="",AQ50,IF((AS50-1)&lt;($E50+(IF(OR($N50="",$O50=""),0,MAX(0,MIN((AS50-1),$O50)-MAX($N50,$E50)+1))+N($P50))),-1,12*(YEAR((AS50-1))-YEAR(($E50+(IF(OR($N50="",$O50=""),0,MAX(0,MIN((AS50-1),$O50)-MAX($N50,$E50)+1))+N($P50)))))+MONTH((AS50-1))-MONTH(($E50+(IF(OR($N50="",$O50=""),0,MAX(0,MIN((AS50-1),$O50)-MAX($N50,$E50)+1))+N($P50))))-IF(DAY((AS50-1))&lt;MIN(DAY(($E50+(IF(OR($N50="",$O50=""),0,MAX(0,MIN((AS50-1),$O50)-MAX($N50,$E50)+1))+N($P50)))),DAY(EOMONTH((AS50-1),0))),1,0))))</f>
        <v/>
      </c>
      <c r="AV50" s="11" t="str">
        <f aca="false">IF(AO50=0,"",IF($F50="","None",IF(IFERROR(VLOOKUP($F50,TypeTable,2,0),"None")="PT",IF(N($G50)&gt;=PT_MinHours,"PT","None"),IFERROR(VLOOKUP($F50,TypeTable,2,0),"None"))))</f>
        <v/>
      </c>
      <c r="AW50" s="11" t="str">
        <f aca="false">IF(AO50=0,"",IF($I50="","None",IF(IFERROR(VLOOKUP($I50,TypeTable,2,0),"None")="PT",IF(N($J50)&gt;=PT_MinHours,"PT","None"),IFERROR(VLOOKUP($I50,TypeTable,2,0),"None"))))</f>
        <v/>
      </c>
      <c r="AX50" s="11" t="str">
        <f aca="false">IF(AO50=0,"",IF($L50="","None",IF(IFERROR(VLOOKUP($L50,TypeTable,2,0),"None")="PT",IF(N($M50)&gt;=PT_MinHours,"PT","None"),IFERROR(VLOOKUP($L50,TypeTable,2,0),"None"))))</f>
        <v/>
      </c>
      <c r="AY50" s="11" t="str">
        <f aca="false">IF(AO50=0,"",IF(AS50&lt;&gt;"",AX50,IF(AR50&lt;&gt;"",AW50,AV50)))</f>
        <v/>
      </c>
      <c r="AZ50" s="11" t="str">
        <f aca="false">IF(AO50=0,"",IF(AV50="FT",IF(AT50&lt;FT_First,0,IF(AT50&lt;FT_Y5,1+INT((AT50-FT_First)/FT_Int1),FT_PreY5+FT_PerYear*INT((AT50-FT_Y5)/12)+FT_AnnivDays+INT(MOD(AT50-FT_Y5,12)/FT_Int2))),IF(AV50="PT",IF(AT50&lt;PT_First,0,1+INT((AT50-PT_First)/PT_Int)),0)))</f>
        <v/>
      </c>
      <c r="BA50" s="11" t="str">
        <f aca="false">IF(AO50=0,"",IF(AW50="FT",IF(AT50&lt;FT_First,0,IF(AT50&lt;FT_Y5,1+INT((AT50-FT_First)/FT_Int1),FT_PreY5+FT_PerYear*INT((AT50-FT_Y5)/12)+FT_AnnivDays+INT(MOD(AT50-FT_Y5,12)/FT_Int2))),IF(AW50="PT",IF(AT50&lt;PT_First,0,1+INT((AT50-PT_First)/PT_Int)),0)))</f>
        <v/>
      </c>
      <c r="BB50" s="11" t="str">
        <f aca="false">IF(AO50=0,"",IF(AW50="FT",IF(AU50&lt;FT_First,0,IF(AU50&lt;FT_Y5,1+INT((AU50-FT_First)/FT_Int1),FT_PreY5+FT_PerYear*INT((AU50-FT_Y5)/12)+FT_AnnivDays+INT(MOD(AU50-FT_Y5,12)/FT_Int2))),IF(AW50="PT",IF(AU50&lt;PT_First,0,1+INT((AU50-PT_First)/PT_Int)),0)))</f>
        <v/>
      </c>
      <c r="BC50" s="11" t="str">
        <f aca="false">IF(AO50=0,"",IF(AX50="FT",IF(AU50&lt;FT_First,0,IF(AU50&lt;FT_Y5,1+INT((AU50-FT_First)/FT_Int1),FT_PreY5+FT_PerYear*INT((AU50-FT_Y5)/12)+FT_AnnivDays+INT(MOD(AU50-FT_Y5,12)/FT_Int2))),IF(AX50="PT",IF(AU50&lt;PT_First,0,1+INT((AU50-PT_First)/PT_Int)),0)))</f>
        <v/>
      </c>
      <c r="BD50" s="11" t="str">
        <f aca="false">IF(AO50=0,"",IF(AX50="FT",IF(AQ50&lt;FT_First,0,IF(AQ50&lt;FT_Y5,1+INT((AQ50-FT_First)/FT_Int1),FT_PreY5+FT_PerYear*INT((AQ50-FT_Y5)/12)+FT_AnnivDays+INT(MOD(AQ50-FT_Y5,12)/FT_Int2))),IF(AX50="PT",IF(AQ50&lt;PT_First,0,1+INT((AQ50-PT_First)/PT_Int)),0)))</f>
        <v/>
      </c>
      <c r="BE50" s="11" t="str">
        <f aca="false">IF(AO50=0,"",IF(AY50="FT",IF(AQ50&lt;FT_First,FT_First,IF(AQ50&lt;FT_Y5,MIN(FT_Y5,FT_First+FT_Int1*(INT((AQ50-FT_First)/FT_Int1)+1)),FT_Y5+12*INT((AQ50-FT_Y5)/12)+FT_Int2*(INT(MOD(AQ50-FT_Y5,12)/FT_Int2)+1))),IF(AY50="PT",IF(AQ50&lt;PT_First,PT_First,PT_First+PT_Int*(INT((AQ50-PT_First)/PT_Int)+1)),"")))</f>
        <v/>
      </c>
      <c r="BF50" s="11" t="n">
        <f aca="false">IF(AO50=0,0,IF(AND($Q50&lt;&gt;"",$Q50&lt;=AsOfDate),1,0))</f>
        <v>0</v>
      </c>
      <c r="BG50" s="11" t="str">
        <f aca="false">IF(AND(AO50=1,BF50=0,EH_Ready,N(AB50)&gt;0,N(AI50)=0),COUNT($BG$5:BG49)+1,"")</f>
        <v/>
      </c>
      <c r="BH50" s="11" t="str">
        <f aca="false">IF(AND(AO50=1,BF50=0,EH_Ready,N(AB50)&gt;0,N(AI50)&gt;0,N(AK50)&gt;0),COUNT($BH$5:BH49)+1,"")</f>
        <v/>
      </c>
      <c r="BI50" s="11" t="str">
        <f aca="false">IF(AND(AO50=1,OR(LEFT(AM50,3)="ADD",LEFT(AM50,3)="SET",LEFT(AM50,5)="CHECK",LEFT(AM50,10)="TERMINATED")),COUNT($BI$5:BI49)+1,"")</f>
        <v/>
      </c>
      <c r="BJ50" s="11" t="str">
        <f aca="false">IF(AO50=0,"",$A50&amp;" - "&amp;$B50&amp;" "&amp;$C50)</f>
        <v/>
      </c>
    </row>
    <row r="51" customFormat="false" ht="15" hidden="false" customHeight="false" outlineLevel="0" collapsed="false">
      <c r="A51" s="10"/>
      <c r="B51" s="10"/>
      <c r="C51" s="10"/>
      <c r="D51" s="10"/>
      <c r="E51" s="9"/>
      <c r="F51" s="10"/>
      <c r="G51" s="30"/>
      <c r="H51" s="9"/>
      <c r="I51" s="10"/>
      <c r="J51" s="30"/>
      <c r="K51" s="9"/>
      <c r="L51" s="10"/>
      <c r="M51" s="30"/>
      <c r="N51" s="9"/>
      <c r="O51" s="9"/>
      <c r="P51" s="30"/>
      <c r="Q51" s="9"/>
      <c r="R51" s="10"/>
      <c r="S51" s="11" t="str">
        <f aca="false">IF(AO51=0,"",IF($H51="","",$F51&amp;" -&gt; "&amp;$I51&amp;IF($I51="Part-Time"," ("&amp;N($J51)&amp;" hrs)","")&amp;" on "&amp;TEXT($H51,"dd/mm/yyyy")&amp;IF($H51&gt;AsOfDate," (FUTURE)","")&amp;IF($K51="","","; "&amp;$I51&amp;" -&gt; "&amp;$L51&amp;IF($L51="Part-Time"," ("&amp;N($M51)&amp;" hrs)","")&amp;" on "&amp;TEXT($K51,"dd/mm/yyyy")&amp;IF($K51&gt;AsOfDate," (FUTURE)",""))))</f>
        <v/>
      </c>
      <c r="T51" s="11" t="str">
        <f aca="false">IF(AO51=0,"",IF(AS51&lt;&gt;"",$L51,IF(AR51&lt;&gt;"",$I51,$F51)))</f>
        <v/>
      </c>
      <c r="U51" s="26" t="str">
        <f aca="false">IF(AO51=0,"",IF(AS51&lt;&gt;"",$M51,IF(AR51&lt;&gt;"",$J51,$G51)))</f>
        <v/>
      </c>
      <c r="V51" s="11" t="str">
        <f aca="false">IF(AO51=0,"",IF(AY51="FT","Full-Time",IF(AY51="PT","Part-Time","Not eligible")))</f>
        <v/>
      </c>
      <c r="W51" s="27" t="str">
        <f aca="false">IF(AO51=0,"",IF(AR51="",IF(AND($H51&lt;&gt;"",$H51&gt;AsOfDate),"Future change - not yet applied",""),IF(AND(AV51=AY51,OR(AS51="",AW51=AV51)),"Type changed - same accrual pathway",IF(AY51="None","STOPPED accruing from "&amp;TEXT(IF(AS51&lt;&gt;"",AS51,AR51),"dd/mm/yyyy"),IF(AV51="None","STARTED qualifying from "&amp;TEXT(IF(AS51&lt;&gt;"",AS51,AR51),"dd/mm/yyyy"),"Pathway changed "&amp;AV51&amp;" -&gt; "&amp;AW51&amp;IF(AS51&lt;&gt;""," -&gt; "&amp;AX51,"")&amp;" from "&amp;TEXT(IF(AS51&lt;&gt;"",AS51,AR51),"dd/mm/yyyy"))))))</f>
        <v/>
      </c>
      <c r="X51" s="28" t="str">
        <f aca="false">IF(AO51=0,"",IF($Q51="",AsOfDate,MIN(AsOfDate,$Q51)))</f>
        <v/>
      </c>
      <c r="Y51" s="26" t="str">
        <f aca="false">IF(AO51=0,"",MAX(0,AQ51))</f>
        <v/>
      </c>
      <c r="Z51" s="11" t="str">
        <f aca="false">IF(AO51=0,"",IF(AQ51&lt;0,"Not started",INT(AQ51/12)&amp;"y "&amp;MOD(AQ51,12)&amp;"m"))</f>
        <v/>
      </c>
      <c r="AA51" s="27" t="str">
        <f aca="false">IF(AO51=0,"",IF(BF51=1,"Terminated - balance forfeited",IF(AY51="None",IF(AB51&gt;0,"No longer accruing - "&amp;T51,"Not eligible - "&amp;T51&amp;IF(AND(IFERROR(VLOOKUP(T51,TypeTable,2,0),"None")="PT",N(U51)&lt;PT_MinHours)," (under "&amp;PT_MinHours&amp;" hrs)","")),IF(AB51&gt;0,"Yes - accruing","Not yet - qualifies "&amp;TEXT(AD51,"dd/mm/yyyy")))))</f>
        <v/>
      </c>
      <c r="AB51" s="26" t="str">
        <f aca="false">IF(AO51=0,"",AZ51+IF(AR51="",0,BB51-BA51)+IF(AS51="",0,BD51-BC51))</f>
        <v/>
      </c>
      <c r="AC51" s="26" t="str">
        <f aca="false">IF(AO51=0,"",AB51*HoursPerDay)</f>
        <v/>
      </c>
      <c r="AD51" s="28" t="str">
        <f aca="false">IF(AO51=0,"",IF(OR(BF51=1,AY51="None"),"",EDATE($E51+AP51,BE51)))</f>
        <v/>
      </c>
      <c r="AE51" s="26" t="str">
        <f aca="false">IF(AD51="","",IF(AY51="PT",1,IF(BE51&lt;FT_Y5,1,IF(MOD(BE51-FT_Y5,12)=0,FT_AnnivDays,1))))</f>
        <v/>
      </c>
      <c r="AF51" s="27" t="str">
        <f aca="false">IF(AO51=0,"",IF(NOT(EH_Ready),"Map headers",IF(IF(MatchMode="Employee ID",COUNTIFS(INDEX(EH_Data,0,EH_ColID),$A51,INDEX(EH_Data,0,EH_ColCat),BonusCat),COUNTIFS(INDEX(EH_Data,0,EH_ColFirst),$B51,INDEX(EH_Data,0,EH_ColSur),$C51,INDEX(EH_Data,0,EH_ColCat),BonusCat))&gt;0,"Yes","No")))</f>
        <v/>
      </c>
      <c r="AG51" s="26" t="str">
        <f aca="false">IF(AO51=0,"",IF(NOT(EH_Ready),"",IF(MatchMode="Employee ID",SUMIFS(INDEX(EH_Data,0,EH_ColBal),INDEX(EH_Data,0,EH_ColID),$A51,INDEX(EH_Data,0,EH_ColCat),BonusCat),SUMIFS(INDEX(EH_Data,0,EH_ColBal),INDEX(EH_Data,0,EH_ColFirst),$B51,INDEX(EH_Data,0,EH_ColSur),$C51,INDEX(EH_Data,0,EH_ColCat),BonusCat))/IF(EHUnit="Hours",HoursPerDay,1)))</f>
        <v/>
      </c>
      <c r="AH51" s="26" t="str">
        <f aca="false">IF(AO51=0,"",IF(NOT(TK_Ready),0,IF(MatchMode="Employee ID",SUMIFS(INDEX(TK_Data,0,TK_ColAmt),INDEX(TK_Data,0,TK_ColID),$A51,INDEX(TK_Data,0,TK_ColCat),BonusCat),SUMIFS(INDEX(TK_Data,0,TK_ColAmt),INDEX(TK_Data,0,TK_ColFirst),$B51,INDEX(TK_Data,0,TK_ColSur),$C51,INDEX(TK_Data,0,TK_ColCat),BonusCat))/IF(TKUnit="Hours",HoursPerDay,1)))</f>
        <v/>
      </c>
      <c r="AI51" s="26" t="str">
        <f aca="false">IF(AO51=0,"",N(AG51)+N(AH51))</f>
        <v/>
      </c>
      <c r="AJ51" s="29" t="str">
        <f aca="false">IF(AO51=0,"",IF(NOT(AND(EH_Ready,EH_ValReady)),"",IF(MatchMode="Employee ID",SUMIFS(INDEX(EH_Data,0,EH_ColVal),INDEX(EH_Data,0,EH_ColID),$A51,INDEX(EH_Data,0,EH_ColCat),BonusCat),SUMIFS(INDEX(EH_Data,0,EH_ColVal),INDEX(EH_Data,0,EH_ColFirst),$B51,INDEX(EH_Data,0,EH_ColSur),$C51,INDEX(EH_Data,0,EH_ColCat),BonusCat))))</f>
        <v/>
      </c>
      <c r="AK51" s="26" t="str">
        <f aca="false">IF(AO51=0,"",IF(OR(NOT(EH_Ready),BF51=1),"",AB51-AI51))</f>
        <v/>
      </c>
      <c r="AL51" s="26" t="str">
        <f aca="false">IF(AK51="","",AK51*HoursPerDay)</f>
        <v/>
      </c>
      <c r="AM51" s="27" t="str">
        <f aca="false">IF(AO51=0,"",IF(BF51=1,IF(N(AG51)&gt;0,"TERMINATED - forfeit "&amp;TEXT(AG51,"0.##")&amp;" days still in EH","Terminated - nothing in EH"),IF(NOT(EH_Ready),"Paste EH export and map headers on Settings",IF(AND(AB51&gt;0,AF51="No"),"SET UP in EH - add "&amp;TEXT(AB51,"0.##")&amp;" day(s) ("&amp;TEXT(AC51,"0.##")&amp;" hrs)",IF(AK51&gt;0,"ADD "&amp;TEXT(AK51,"0.##")&amp;" day(s) ("&amp;TEXT(AL51,"0.##")&amp;" hrs) in EH",IF(AK51&lt;0,"CHECK - EH shows "&amp;TEXT(-AK51,"0.##")&amp;" days more than policy",IF(AB51&gt;0,"OK - up to date",IF(AY51="None","No action - not eligible","No action - not yet qualified"))))))))</f>
        <v/>
      </c>
      <c r="AN51" s="27" t="str">
        <f aca="false">IF(AO51=0,"",TRIM(IF(AND($K51&lt;&gt;"",$H51=""),"Change 2 entered without Change 1. ","")&amp;IF(AND($K51&lt;&gt;"",$H51&lt;&gt;"",$K51&lt;=$H51),"Change 2 date not after Change 1. ","")&amp;IF(AND($N51&lt;&gt;"",$O51&lt;&gt;"",$O51&lt;$N51),"Leave To is before Leave From. ","")&amp;IF(AND($N51&lt;&gt;"",$O51=""),"Leave From entered without Leave To. ","")&amp;IF(AND(IFERROR(VLOOKUP(T51,TypeTable,2,0),"None")="PT",U51=""),"Part-time with no hours entered. ","")&amp;IF(AND($H51&lt;&gt;"",$H51&gt;AsOfDate,AD51&lt;&gt;"",$H51&lt;=AD51),"Status change lands before next accrual - review. ","")&amp;IF(AND($Q51&lt;&gt;"",$Q51&lt;$E51),"Termination before commencement. ","")))</f>
        <v/>
      </c>
      <c r="AO51" s="11" t="n">
        <f aca="false">IF(LEN($A51&amp;$B51&amp;$C51)=0,0,IF($E51="",0,1))</f>
        <v>0</v>
      </c>
      <c r="AP51" s="11" t="str">
        <f aca="false">IF(AO51=0,"",(IF(OR($N51="",$O51=""),0,MAX(0,MIN(X51,$O51)-MAX($N51,$E51)+1))+N($P51)))</f>
        <v/>
      </c>
      <c r="AQ51" s="11" t="str">
        <f aca="false">IF(AO51=0,"",IF(X51&lt;($E51+(IF(OR($N51="",$O51=""),0,MAX(0,MIN(X51,$O51)-MAX($N51,$E51)+1))+N($P51))),-1,12*(YEAR(X51)-YEAR(($E51+(IF(OR($N51="",$O51=""),0,MAX(0,MIN(X51,$O51)-MAX($N51,$E51)+1))+N($P51)))))+MONTH(X51)-MONTH(($E51+(IF(OR($N51="",$O51=""),0,MAX(0,MIN(X51,$O51)-MAX($N51,$E51)+1))+N($P51))))-IF(DAY(X51)&lt;MIN(DAY(($E51+(IF(OR($N51="",$O51=""),0,MAX(0,MIN(X51,$O51)-MAX($N51,$E51)+1))+N($P51)))),DAY(EOMONTH(X51,0))),1,0)))</f>
        <v/>
      </c>
      <c r="AR51" s="28" t="str">
        <f aca="false">IF(AO51=0,"",IF($H51="","",IF($H51&gt;X51,"",$H51)))</f>
        <v/>
      </c>
      <c r="AS51" s="28" t="str">
        <f aca="false">IF(AO51=0,"",IF(AR51="","",IF($K51="","",IF($K51&gt;X51,"",$K51))))</f>
        <v/>
      </c>
      <c r="AT51" s="11" t="str">
        <f aca="false">IF(AO51=0,"",IF(AR51="",AQ51,IF((AR51-1)&lt;($E51+(IF(OR($N51="",$O51=""),0,MAX(0,MIN((AR51-1),$O51)-MAX($N51,$E51)+1))+N($P51))),-1,12*(YEAR((AR51-1))-YEAR(($E51+(IF(OR($N51="",$O51=""),0,MAX(0,MIN((AR51-1),$O51)-MAX($N51,$E51)+1))+N($P51)))))+MONTH((AR51-1))-MONTH(($E51+(IF(OR($N51="",$O51=""),0,MAX(0,MIN((AR51-1),$O51)-MAX($N51,$E51)+1))+N($P51))))-IF(DAY((AR51-1))&lt;MIN(DAY(($E51+(IF(OR($N51="",$O51=""),0,MAX(0,MIN((AR51-1),$O51)-MAX($N51,$E51)+1))+N($P51)))),DAY(EOMONTH((AR51-1),0))),1,0))))</f>
        <v/>
      </c>
      <c r="AU51" s="11" t="str">
        <f aca="false">IF(AO51=0,"",IF(AS51="",AQ51,IF((AS51-1)&lt;($E51+(IF(OR($N51="",$O51=""),0,MAX(0,MIN((AS51-1),$O51)-MAX($N51,$E51)+1))+N($P51))),-1,12*(YEAR((AS51-1))-YEAR(($E51+(IF(OR($N51="",$O51=""),0,MAX(0,MIN((AS51-1),$O51)-MAX($N51,$E51)+1))+N($P51)))))+MONTH((AS51-1))-MONTH(($E51+(IF(OR($N51="",$O51=""),0,MAX(0,MIN((AS51-1),$O51)-MAX($N51,$E51)+1))+N($P51))))-IF(DAY((AS51-1))&lt;MIN(DAY(($E51+(IF(OR($N51="",$O51=""),0,MAX(0,MIN((AS51-1),$O51)-MAX($N51,$E51)+1))+N($P51)))),DAY(EOMONTH((AS51-1),0))),1,0))))</f>
        <v/>
      </c>
      <c r="AV51" s="11" t="str">
        <f aca="false">IF(AO51=0,"",IF($F51="","None",IF(IFERROR(VLOOKUP($F51,TypeTable,2,0),"None")="PT",IF(N($G51)&gt;=PT_MinHours,"PT","None"),IFERROR(VLOOKUP($F51,TypeTable,2,0),"None"))))</f>
        <v/>
      </c>
      <c r="AW51" s="11" t="str">
        <f aca="false">IF(AO51=0,"",IF($I51="","None",IF(IFERROR(VLOOKUP($I51,TypeTable,2,0),"None")="PT",IF(N($J51)&gt;=PT_MinHours,"PT","None"),IFERROR(VLOOKUP($I51,TypeTable,2,0),"None"))))</f>
        <v/>
      </c>
      <c r="AX51" s="11" t="str">
        <f aca="false">IF(AO51=0,"",IF($L51="","None",IF(IFERROR(VLOOKUP($L51,TypeTable,2,0),"None")="PT",IF(N($M51)&gt;=PT_MinHours,"PT","None"),IFERROR(VLOOKUP($L51,TypeTable,2,0),"None"))))</f>
        <v/>
      </c>
      <c r="AY51" s="11" t="str">
        <f aca="false">IF(AO51=0,"",IF(AS51&lt;&gt;"",AX51,IF(AR51&lt;&gt;"",AW51,AV51)))</f>
        <v/>
      </c>
      <c r="AZ51" s="11" t="str">
        <f aca="false">IF(AO51=0,"",IF(AV51="FT",IF(AT51&lt;FT_First,0,IF(AT51&lt;FT_Y5,1+INT((AT51-FT_First)/FT_Int1),FT_PreY5+FT_PerYear*INT((AT51-FT_Y5)/12)+FT_AnnivDays+INT(MOD(AT51-FT_Y5,12)/FT_Int2))),IF(AV51="PT",IF(AT51&lt;PT_First,0,1+INT((AT51-PT_First)/PT_Int)),0)))</f>
        <v/>
      </c>
      <c r="BA51" s="11" t="str">
        <f aca="false">IF(AO51=0,"",IF(AW51="FT",IF(AT51&lt;FT_First,0,IF(AT51&lt;FT_Y5,1+INT((AT51-FT_First)/FT_Int1),FT_PreY5+FT_PerYear*INT((AT51-FT_Y5)/12)+FT_AnnivDays+INT(MOD(AT51-FT_Y5,12)/FT_Int2))),IF(AW51="PT",IF(AT51&lt;PT_First,0,1+INT((AT51-PT_First)/PT_Int)),0)))</f>
        <v/>
      </c>
      <c r="BB51" s="11" t="str">
        <f aca="false">IF(AO51=0,"",IF(AW51="FT",IF(AU51&lt;FT_First,0,IF(AU51&lt;FT_Y5,1+INT((AU51-FT_First)/FT_Int1),FT_PreY5+FT_PerYear*INT((AU51-FT_Y5)/12)+FT_AnnivDays+INT(MOD(AU51-FT_Y5,12)/FT_Int2))),IF(AW51="PT",IF(AU51&lt;PT_First,0,1+INT((AU51-PT_First)/PT_Int)),0)))</f>
        <v/>
      </c>
      <c r="BC51" s="11" t="str">
        <f aca="false">IF(AO51=0,"",IF(AX51="FT",IF(AU51&lt;FT_First,0,IF(AU51&lt;FT_Y5,1+INT((AU51-FT_First)/FT_Int1),FT_PreY5+FT_PerYear*INT((AU51-FT_Y5)/12)+FT_AnnivDays+INT(MOD(AU51-FT_Y5,12)/FT_Int2))),IF(AX51="PT",IF(AU51&lt;PT_First,0,1+INT((AU51-PT_First)/PT_Int)),0)))</f>
        <v/>
      </c>
      <c r="BD51" s="11" t="str">
        <f aca="false">IF(AO51=0,"",IF(AX51="FT",IF(AQ51&lt;FT_First,0,IF(AQ51&lt;FT_Y5,1+INT((AQ51-FT_First)/FT_Int1),FT_PreY5+FT_PerYear*INT((AQ51-FT_Y5)/12)+FT_AnnivDays+INT(MOD(AQ51-FT_Y5,12)/FT_Int2))),IF(AX51="PT",IF(AQ51&lt;PT_First,0,1+INT((AQ51-PT_First)/PT_Int)),0)))</f>
        <v/>
      </c>
      <c r="BE51" s="11" t="str">
        <f aca="false">IF(AO51=0,"",IF(AY51="FT",IF(AQ51&lt;FT_First,FT_First,IF(AQ51&lt;FT_Y5,MIN(FT_Y5,FT_First+FT_Int1*(INT((AQ51-FT_First)/FT_Int1)+1)),FT_Y5+12*INT((AQ51-FT_Y5)/12)+FT_Int2*(INT(MOD(AQ51-FT_Y5,12)/FT_Int2)+1))),IF(AY51="PT",IF(AQ51&lt;PT_First,PT_First,PT_First+PT_Int*(INT((AQ51-PT_First)/PT_Int)+1)),"")))</f>
        <v/>
      </c>
      <c r="BF51" s="11" t="n">
        <f aca="false">IF(AO51=0,0,IF(AND($Q51&lt;&gt;"",$Q51&lt;=AsOfDate),1,0))</f>
        <v>0</v>
      </c>
      <c r="BG51" s="11" t="str">
        <f aca="false">IF(AND(AO51=1,BF51=0,EH_Ready,N(AB51)&gt;0,N(AI51)=0),COUNT($BG$5:BG50)+1,"")</f>
        <v/>
      </c>
      <c r="BH51" s="11" t="str">
        <f aca="false">IF(AND(AO51=1,BF51=0,EH_Ready,N(AB51)&gt;0,N(AI51)&gt;0,N(AK51)&gt;0),COUNT($BH$5:BH50)+1,"")</f>
        <v/>
      </c>
      <c r="BI51" s="11" t="str">
        <f aca="false">IF(AND(AO51=1,OR(LEFT(AM51,3)="ADD",LEFT(AM51,3)="SET",LEFT(AM51,5)="CHECK",LEFT(AM51,10)="TERMINATED")),COUNT($BI$5:BI50)+1,"")</f>
        <v/>
      </c>
      <c r="BJ51" s="11" t="str">
        <f aca="false">IF(AO51=0,"",$A51&amp;" - "&amp;$B51&amp;" "&amp;$C51)</f>
        <v/>
      </c>
    </row>
    <row r="52" customFormat="false" ht="15" hidden="false" customHeight="false" outlineLevel="0" collapsed="false">
      <c r="A52" s="10"/>
      <c r="B52" s="10"/>
      <c r="C52" s="10"/>
      <c r="D52" s="10"/>
      <c r="E52" s="9"/>
      <c r="F52" s="10"/>
      <c r="G52" s="30"/>
      <c r="H52" s="9"/>
      <c r="I52" s="10"/>
      <c r="J52" s="30"/>
      <c r="K52" s="9"/>
      <c r="L52" s="10"/>
      <c r="M52" s="30"/>
      <c r="N52" s="9"/>
      <c r="O52" s="9"/>
      <c r="P52" s="30"/>
      <c r="Q52" s="9"/>
      <c r="R52" s="10"/>
      <c r="S52" s="11" t="str">
        <f aca="false">IF(AO52=0,"",IF($H52="","",$F52&amp;" -&gt; "&amp;$I52&amp;IF($I52="Part-Time"," ("&amp;N($J52)&amp;" hrs)","")&amp;" on "&amp;TEXT($H52,"dd/mm/yyyy")&amp;IF($H52&gt;AsOfDate," (FUTURE)","")&amp;IF($K52="","","; "&amp;$I52&amp;" -&gt; "&amp;$L52&amp;IF($L52="Part-Time"," ("&amp;N($M52)&amp;" hrs)","")&amp;" on "&amp;TEXT($K52,"dd/mm/yyyy")&amp;IF($K52&gt;AsOfDate," (FUTURE)",""))))</f>
        <v/>
      </c>
      <c r="T52" s="11" t="str">
        <f aca="false">IF(AO52=0,"",IF(AS52&lt;&gt;"",$L52,IF(AR52&lt;&gt;"",$I52,$F52)))</f>
        <v/>
      </c>
      <c r="U52" s="26" t="str">
        <f aca="false">IF(AO52=0,"",IF(AS52&lt;&gt;"",$M52,IF(AR52&lt;&gt;"",$J52,$G52)))</f>
        <v/>
      </c>
      <c r="V52" s="11" t="str">
        <f aca="false">IF(AO52=0,"",IF(AY52="FT","Full-Time",IF(AY52="PT","Part-Time","Not eligible")))</f>
        <v/>
      </c>
      <c r="W52" s="27" t="str">
        <f aca="false">IF(AO52=0,"",IF(AR52="",IF(AND($H52&lt;&gt;"",$H52&gt;AsOfDate),"Future change - not yet applied",""),IF(AND(AV52=AY52,OR(AS52="",AW52=AV52)),"Type changed - same accrual pathway",IF(AY52="None","STOPPED accruing from "&amp;TEXT(IF(AS52&lt;&gt;"",AS52,AR52),"dd/mm/yyyy"),IF(AV52="None","STARTED qualifying from "&amp;TEXT(IF(AS52&lt;&gt;"",AS52,AR52),"dd/mm/yyyy"),"Pathway changed "&amp;AV52&amp;" -&gt; "&amp;AW52&amp;IF(AS52&lt;&gt;""," -&gt; "&amp;AX52,"")&amp;" from "&amp;TEXT(IF(AS52&lt;&gt;"",AS52,AR52),"dd/mm/yyyy"))))))</f>
        <v/>
      </c>
      <c r="X52" s="28" t="str">
        <f aca="false">IF(AO52=0,"",IF($Q52="",AsOfDate,MIN(AsOfDate,$Q52)))</f>
        <v/>
      </c>
      <c r="Y52" s="26" t="str">
        <f aca="false">IF(AO52=0,"",MAX(0,AQ52))</f>
        <v/>
      </c>
      <c r="Z52" s="11" t="str">
        <f aca="false">IF(AO52=0,"",IF(AQ52&lt;0,"Not started",INT(AQ52/12)&amp;"y "&amp;MOD(AQ52,12)&amp;"m"))</f>
        <v/>
      </c>
      <c r="AA52" s="27" t="str">
        <f aca="false">IF(AO52=0,"",IF(BF52=1,"Terminated - balance forfeited",IF(AY52="None",IF(AB52&gt;0,"No longer accruing - "&amp;T52,"Not eligible - "&amp;T52&amp;IF(AND(IFERROR(VLOOKUP(T52,TypeTable,2,0),"None")="PT",N(U52)&lt;PT_MinHours)," (under "&amp;PT_MinHours&amp;" hrs)","")),IF(AB52&gt;0,"Yes - accruing","Not yet - qualifies "&amp;TEXT(AD52,"dd/mm/yyyy")))))</f>
        <v/>
      </c>
      <c r="AB52" s="26" t="str">
        <f aca="false">IF(AO52=0,"",AZ52+IF(AR52="",0,BB52-BA52)+IF(AS52="",0,BD52-BC52))</f>
        <v/>
      </c>
      <c r="AC52" s="26" t="str">
        <f aca="false">IF(AO52=0,"",AB52*HoursPerDay)</f>
        <v/>
      </c>
      <c r="AD52" s="28" t="str">
        <f aca="false">IF(AO52=0,"",IF(OR(BF52=1,AY52="None"),"",EDATE($E52+AP52,BE52)))</f>
        <v/>
      </c>
      <c r="AE52" s="26" t="str">
        <f aca="false">IF(AD52="","",IF(AY52="PT",1,IF(BE52&lt;FT_Y5,1,IF(MOD(BE52-FT_Y5,12)=0,FT_AnnivDays,1))))</f>
        <v/>
      </c>
      <c r="AF52" s="27" t="str">
        <f aca="false">IF(AO52=0,"",IF(NOT(EH_Ready),"Map headers",IF(IF(MatchMode="Employee ID",COUNTIFS(INDEX(EH_Data,0,EH_ColID),$A52,INDEX(EH_Data,0,EH_ColCat),BonusCat),COUNTIFS(INDEX(EH_Data,0,EH_ColFirst),$B52,INDEX(EH_Data,0,EH_ColSur),$C52,INDEX(EH_Data,0,EH_ColCat),BonusCat))&gt;0,"Yes","No")))</f>
        <v/>
      </c>
      <c r="AG52" s="26" t="str">
        <f aca="false">IF(AO52=0,"",IF(NOT(EH_Ready),"",IF(MatchMode="Employee ID",SUMIFS(INDEX(EH_Data,0,EH_ColBal),INDEX(EH_Data,0,EH_ColID),$A52,INDEX(EH_Data,0,EH_ColCat),BonusCat),SUMIFS(INDEX(EH_Data,0,EH_ColBal),INDEX(EH_Data,0,EH_ColFirst),$B52,INDEX(EH_Data,0,EH_ColSur),$C52,INDEX(EH_Data,0,EH_ColCat),BonusCat))/IF(EHUnit="Hours",HoursPerDay,1)))</f>
        <v/>
      </c>
      <c r="AH52" s="26" t="str">
        <f aca="false">IF(AO52=0,"",IF(NOT(TK_Ready),0,IF(MatchMode="Employee ID",SUMIFS(INDEX(TK_Data,0,TK_ColAmt),INDEX(TK_Data,0,TK_ColID),$A52,INDEX(TK_Data,0,TK_ColCat),BonusCat),SUMIFS(INDEX(TK_Data,0,TK_ColAmt),INDEX(TK_Data,0,TK_ColFirst),$B52,INDEX(TK_Data,0,TK_ColSur),$C52,INDEX(TK_Data,0,TK_ColCat),BonusCat))/IF(TKUnit="Hours",HoursPerDay,1)))</f>
        <v/>
      </c>
      <c r="AI52" s="26" t="str">
        <f aca="false">IF(AO52=0,"",N(AG52)+N(AH52))</f>
        <v/>
      </c>
      <c r="AJ52" s="29" t="str">
        <f aca="false">IF(AO52=0,"",IF(NOT(AND(EH_Ready,EH_ValReady)),"",IF(MatchMode="Employee ID",SUMIFS(INDEX(EH_Data,0,EH_ColVal),INDEX(EH_Data,0,EH_ColID),$A52,INDEX(EH_Data,0,EH_ColCat),BonusCat),SUMIFS(INDEX(EH_Data,0,EH_ColVal),INDEX(EH_Data,0,EH_ColFirst),$B52,INDEX(EH_Data,0,EH_ColSur),$C52,INDEX(EH_Data,0,EH_ColCat),BonusCat))))</f>
        <v/>
      </c>
      <c r="AK52" s="26" t="str">
        <f aca="false">IF(AO52=0,"",IF(OR(NOT(EH_Ready),BF52=1),"",AB52-AI52))</f>
        <v/>
      </c>
      <c r="AL52" s="26" t="str">
        <f aca="false">IF(AK52="","",AK52*HoursPerDay)</f>
        <v/>
      </c>
      <c r="AM52" s="27" t="str">
        <f aca="false">IF(AO52=0,"",IF(BF52=1,IF(N(AG52)&gt;0,"TERMINATED - forfeit "&amp;TEXT(AG52,"0.##")&amp;" days still in EH","Terminated - nothing in EH"),IF(NOT(EH_Ready),"Paste EH export and map headers on Settings",IF(AND(AB52&gt;0,AF52="No"),"SET UP in EH - add "&amp;TEXT(AB52,"0.##")&amp;" day(s) ("&amp;TEXT(AC52,"0.##")&amp;" hrs)",IF(AK52&gt;0,"ADD "&amp;TEXT(AK52,"0.##")&amp;" day(s) ("&amp;TEXT(AL52,"0.##")&amp;" hrs) in EH",IF(AK52&lt;0,"CHECK - EH shows "&amp;TEXT(-AK52,"0.##")&amp;" days more than policy",IF(AB52&gt;0,"OK - up to date",IF(AY52="None","No action - not eligible","No action - not yet qualified"))))))))</f>
        <v/>
      </c>
      <c r="AN52" s="27" t="str">
        <f aca="false">IF(AO52=0,"",TRIM(IF(AND($K52&lt;&gt;"",$H52=""),"Change 2 entered without Change 1. ","")&amp;IF(AND($K52&lt;&gt;"",$H52&lt;&gt;"",$K52&lt;=$H52),"Change 2 date not after Change 1. ","")&amp;IF(AND($N52&lt;&gt;"",$O52&lt;&gt;"",$O52&lt;$N52),"Leave To is before Leave From. ","")&amp;IF(AND($N52&lt;&gt;"",$O52=""),"Leave From entered without Leave To. ","")&amp;IF(AND(IFERROR(VLOOKUP(T52,TypeTable,2,0),"None")="PT",U52=""),"Part-time with no hours entered. ","")&amp;IF(AND($H52&lt;&gt;"",$H52&gt;AsOfDate,AD52&lt;&gt;"",$H52&lt;=AD52),"Status change lands before next accrual - review. ","")&amp;IF(AND($Q52&lt;&gt;"",$Q52&lt;$E52),"Termination before commencement. ","")))</f>
        <v/>
      </c>
      <c r="AO52" s="11" t="n">
        <f aca="false">IF(LEN($A52&amp;$B52&amp;$C52)=0,0,IF($E52="",0,1))</f>
        <v>0</v>
      </c>
      <c r="AP52" s="11" t="str">
        <f aca="false">IF(AO52=0,"",(IF(OR($N52="",$O52=""),0,MAX(0,MIN(X52,$O52)-MAX($N52,$E52)+1))+N($P52)))</f>
        <v/>
      </c>
      <c r="AQ52" s="11" t="str">
        <f aca="false">IF(AO52=0,"",IF(X52&lt;($E52+(IF(OR($N52="",$O52=""),0,MAX(0,MIN(X52,$O52)-MAX($N52,$E52)+1))+N($P52))),-1,12*(YEAR(X52)-YEAR(($E52+(IF(OR($N52="",$O52=""),0,MAX(0,MIN(X52,$O52)-MAX($N52,$E52)+1))+N($P52)))))+MONTH(X52)-MONTH(($E52+(IF(OR($N52="",$O52=""),0,MAX(0,MIN(X52,$O52)-MAX($N52,$E52)+1))+N($P52))))-IF(DAY(X52)&lt;MIN(DAY(($E52+(IF(OR($N52="",$O52=""),0,MAX(0,MIN(X52,$O52)-MAX($N52,$E52)+1))+N($P52)))),DAY(EOMONTH(X52,0))),1,0)))</f>
        <v/>
      </c>
      <c r="AR52" s="28" t="str">
        <f aca="false">IF(AO52=0,"",IF($H52="","",IF($H52&gt;X52,"",$H52)))</f>
        <v/>
      </c>
      <c r="AS52" s="28" t="str">
        <f aca="false">IF(AO52=0,"",IF(AR52="","",IF($K52="","",IF($K52&gt;X52,"",$K52))))</f>
        <v/>
      </c>
      <c r="AT52" s="11" t="str">
        <f aca="false">IF(AO52=0,"",IF(AR52="",AQ52,IF((AR52-1)&lt;($E52+(IF(OR($N52="",$O52=""),0,MAX(0,MIN((AR52-1),$O52)-MAX($N52,$E52)+1))+N($P52))),-1,12*(YEAR((AR52-1))-YEAR(($E52+(IF(OR($N52="",$O52=""),0,MAX(0,MIN((AR52-1),$O52)-MAX($N52,$E52)+1))+N($P52)))))+MONTH((AR52-1))-MONTH(($E52+(IF(OR($N52="",$O52=""),0,MAX(0,MIN((AR52-1),$O52)-MAX($N52,$E52)+1))+N($P52))))-IF(DAY((AR52-1))&lt;MIN(DAY(($E52+(IF(OR($N52="",$O52=""),0,MAX(0,MIN((AR52-1),$O52)-MAX($N52,$E52)+1))+N($P52)))),DAY(EOMONTH((AR52-1),0))),1,0))))</f>
        <v/>
      </c>
      <c r="AU52" s="11" t="str">
        <f aca="false">IF(AO52=0,"",IF(AS52="",AQ52,IF((AS52-1)&lt;($E52+(IF(OR($N52="",$O52=""),0,MAX(0,MIN((AS52-1),$O52)-MAX($N52,$E52)+1))+N($P52))),-1,12*(YEAR((AS52-1))-YEAR(($E52+(IF(OR($N52="",$O52=""),0,MAX(0,MIN((AS52-1),$O52)-MAX($N52,$E52)+1))+N($P52)))))+MONTH((AS52-1))-MONTH(($E52+(IF(OR($N52="",$O52=""),0,MAX(0,MIN((AS52-1),$O52)-MAX($N52,$E52)+1))+N($P52))))-IF(DAY((AS52-1))&lt;MIN(DAY(($E52+(IF(OR($N52="",$O52=""),0,MAX(0,MIN((AS52-1),$O52)-MAX($N52,$E52)+1))+N($P52)))),DAY(EOMONTH((AS52-1),0))),1,0))))</f>
        <v/>
      </c>
      <c r="AV52" s="11" t="str">
        <f aca="false">IF(AO52=0,"",IF($F52="","None",IF(IFERROR(VLOOKUP($F52,TypeTable,2,0),"None")="PT",IF(N($G52)&gt;=PT_MinHours,"PT","None"),IFERROR(VLOOKUP($F52,TypeTable,2,0),"None"))))</f>
        <v/>
      </c>
      <c r="AW52" s="11" t="str">
        <f aca="false">IF(AO52=0,"",IF($I52="","None",IF(IFERROR(VLOOKUP($I52,TypeTable,2,0),"None")="PT",IF(N($J52)&gt;=PT_MinHours,"PT","None"),IFERROR(VLOOKUP($I52,TypeTable,2,0),"None"))))</f>
        <v/>
      </c>
      <c r="AX52" s="11" t="str">
        <f aca="false">IF(AO52=0,"",IF($L52="","None",IF(IFERROR(VLOOKUP($L52,TypeTable,2,0),"None")="PT",IF(N($M52)&gt;=PT_MinHours,"PT","None"),IFERROR(VLOOKUP($L52,TypeTable,2,0),"None"))))</f>
        <v/>
      </c>
      <c r="AY52" s="11" t="str">
        <f aca="false">IF(AO52=0,"",IF(AS52&lt;&gt;"",AX52,IF(AR52&lt;&gt;"",AW52,AV52)))</f>
        <v/>
      </c>
      <c r="AZ52" s="11" t="str">
        <f aca="false">IF(AO52=0,"",IF(AV52="FT",IF(AT52&lt;FT_First,0,IF(AT52&lt;FT_Y5,1+INT((AT52-FT_First)/FT_Int1),FT_PreY5+FT_PerYear*INT((AT52-FT_Y5)/12)+FT_AnnivDays+INT(MOD(AT52-FT_Y5,12)/FT_Int2))),IF(AV52="PT",IF(AT52&lt;PT_First,0,1+INT((AT52-PT_First)/PT_Int)),0)))</f>
        <v/>
      </c>
      <c r="BA52" s="11" t="str">
        <f aca="false">IF(AO52=0,"",IF(AW52="FT",IF(AT52&lt;FT_First,0,IF(AT52&lt;FT_Y5,1+INT((AT52-FT_First)/FT_Int1),FT_PreY5+FT_PerYear*INT((AT52-FT_Y5)/12)+FT_AnnivDays+INT(MOD(AT52-FT_Y5,12)/FT_Int2))),IF(AW52="PT",IF(AT52&lt;PT_First,0,1+INT((AT52-PT_First)/PT_Int)),0)))</f>
        <v/>
      </c>
      <c r="BB52" s="11" t="str">
        <f aca="false">IF(AO52=0,"",IF(AW52="FT",IF(AU52&lt;FT_First,0,IF(AU52&lt;FT_Y5,1+INT((AU52-FT_First)/FT_Int1),FT_PreY5+FT_PerYear*INT((AU52-FT_Y5)/12)+FT_AnnivDays+INT(MOD(AU52-FT_Y5,12)/FT_Int2))),IF(AW52="PT",IF(AU52&lt;PT_First,0,1+INT((AU52-PT_First)/PT_Int)),0)))</f>
        <v/>
      </c>
      <c r="BC52" s="11" t="str">
        <f aca="false">IF(AO52=0,"",IF(AX52="FT",IF(AU52&lt;FT_First,0,IF(AU52&lt;FT_Y5,1+INT((AU52-FT_First)/FT_Int1),FT_PreY5+FT_PerYear*INT((AU52-FT_Y5)/12)+FT_AnnivDays+INT(MOD(AU52-FT_Y5,12)/FT_Int2))),IF(AX52="PT",IF(AU52&lt;PT_First,0,1+INT((AU52-PT_First)/PT_Int)),0)))</f>
        <v/>
      </c>
      <c r="BD52" s="11" t="str">
        <f aca="false">IF(AO52=0,"",IF(AX52="FT",IF(AQ52&lt;FT_First,0,IF(AQ52&lt;FT_Y5,1+INT((AQ52-FT_First)/FT_Int1),FT_PreY5+FT_PerYear*INT((AQ52-FT_Y5)/12)+FT_AnnivDays+INT(MOD(AQ52-FT_Y5,12)/FT_Int2))),IF(AX52="PT",IF(AQ52&lt;PT_First,0,1+INT((AQ52-PT_First)/PT_Int)),0)))</f>
        <v/>
      </c>
      <c r="BE52" s="11" t="str">
        <f aca="false">IF(AO52=0,"",IF(AY52="FT",IF(AQ52&lt;FT_First,FT_First,IF(AQ52&lt;FT_Y5,MIN(FT_Y5,FT_First+FT_Int1*(INT((AQ52-FT_First)/FT_Int1)+1)),FT_Y5+12*INT((AQ52-FT_Y5)/12)+FT_Int2*(INT(MOD(AQ52-FT_Y5,12)/FT_Int2)+1))),IF(AY52="PT",IF(AQ52&lt;PT_First,PT_First,PT_First+PT_Int*(INT((AQ52-PT_First)/PT_Int)+1)),"")))</f>
        <v/>
      </c>
      <c r="BF52" s="11" t="n">
        <f aca="false">IF(AO52=0,0,IF(AND($Q52&lt;&gt;"",$Q52&lt;=AsOfDate),1,0))</f>
        <v>0</v>
      </c>
      <c r="BG52" s="11" t="str">
        <f aca="false">IF(AND(AO52=1,BF52=0,EH_Ready,N(AB52)&gt;0,N(AI52)=0),COUNT($BG$5:BG51)+1,"")</f>
        <v/>
      </c>
      <c r="BH52" s="11" t="str">
        <f aca="false">IF(AND(AO52=1,BF52=0,EH_Ready,N(AB52)&gt;0,N(AI52)&gt;0,N(AK52)&gt;0),COUNT($BH$5:BH51)+1,"")</f>
        <v/>
      </c>
      <c r="BI52" s="11" t="str">
        <f aca="false">IF(AND(AO52=1,OR(LEFT(AM52,3)="ADD",LEFT(AM52,3)="SET",LEFT(AM52,5)="CHECK",LEFT(AM52,10)="TERMINATED")),COUNT($BI$5:BI51)+1,"")</f>
        <v/>
      </c>
      <c r="BJ52" s="11" t="str">
        <f aca="false">IF(AO52=0,"",$A52&amp;" - "&amp;$B52&amp;" "&amp;$C52)</f>
        <v/>
      </c>
    </row>
    <row r="53" customFormat="false" ht="15" hidden="false" customHeight="false" outlineLevel="0" collapsed="false">
      <c r="A53" s="10"/>
      <c r="B53" s="10"/>
      <c r="C53" s="10"/>
      <c r="D53" s="10"/>
      <c r="E53" s="9"/>
      <c r="F53" s="10"/>
      <c r="G53" s="30"/>
      <c r="H53" s="9"/>
      <c r="I53" s="10"/>
      <c r="J53" s="30"/>
      <c r="K53" s="9"/>
      <c r="L53" s="10"/>
      <c r="M53" s="30"/>
      <c r="N53" s="9"/>
      <c r="O53" s="9"/>
      <c r="P53" s="30"/>
      <c r="Q53" s="9"/>
      <c r="R53" s="10"/>
      <c r="S53" s="11" t="str">
        <f aca="false">IF(AO53=0,"",IF($H53="","",$F53&amp;" -&gt; "&amp;$I53&amp;IF($I53="Part-Time"," ("&amp;N($J53)&amp;" hrs)","")&amp;" on "&amp;TEXT($H53,"dd/mm/yyyy")&amp;IF($H53&gt;AsOfDate," (FUTURE)","")&amp;IF($K53="","","; "&amp;$I53&amp;" -&gt; "&amp;$L53&amp;IF($L53="Part-Time"," ("&amp;N($M53)&amp;" hrs)","")&amp;" on "&amp;TEXT($K53,"dd/mm/yyyy")&amp;IF($K53&gt;AsOfDate," (FUTURE)",""))))</f>
        <v/>
      </c>
      <c r="T53" s="11" t="str">
        <f aca="false">IF(AO53=0,"",IF(AS53&lt;&gt;"",$L53,IF(AR53&lt;&gt;"",$I53,$F53)))</f>
        <v/>
      </c>
      <c r="U53" s="26" t="str">
        <f aca="false">IF(AO53=0,"",IF(AS53&lt;&gt;"",$M53,IF(AR53&lt;&gt;"",$J53,$G53)))</f>
        <v/>
      </c>
      <c r="V53" s="11" t="str">
        <f aca="false">IF(AO53=0,"",IF(AY53="FT","Full-Time",IF(AY53="PT","Part-Time","Not eligible")))</f>
        <v/>
      </c>
      <c r="W53" s="27" t="str">
        <f aca="false">IF(AO53=0,"",IF(AR53="",IF(AND($H53&lt;&gt;"",$H53&gt;AsOfDate),"Future change - not yet applied",""),IF(AND(AV53=AY53,OR(AS53="",AW53=AV53)),"Type changed - same accrual pathway",IF(AY53="None","STOPPED accruing from "&amp;TEXT(IF(AS53&lt;&gt;"",AS53,AR53),"dd/mm/yyyy"),IF(AV53="None","STARTED qualifying from "&amp;TEXT(IF(AS53&lt;&gt;"",AS53,AR53),"dd/mm/yyyy"),"Pathway changed "&amp;AV53&amp;" -&gt; "&amp;AW53&amp;IF(AS53&lt;&gt;""," -&gt; "&amp;AX53,"")&amp;" from "&amp;TEXT(IF(AS53&lt;&gt;"",AS53,AR53),"dd/mm/yyyy"))))))</f>
        <v/>
      </c>
      <c r="X53" s="28" t="str">
        <f aca="false">IF(AO53=0,"",IF($Q53="",AsOfDate,MIN(AsOfDate,$Q53)))</f>
        <v/>
      </c>
      <c r="Y53" s="26" t="str">
        <f aca="false">IF(AO53=0,"",MAX(0,AQ53))</f>
        <v/>
      </c>
      <c r="Z53" s="11" t="str">
        <f aca="false">IF(AO53=0,"",IF(AQ53&lt;0,"Not started",INT(AQ53/12)&amp;"y "&amp;MOD(AQ53,12)&amp;"m"))</f>
        <v/>
      </c>
      <c r="AA53" s="27" t="str">
        <f aca="false">IF(AO53=0,"",IF(BF53=1,"Terminated - balance forfeited",IF(AY53="None",IF(AB53&gt;0,"No longer accruing - "&amp;T53,"Not eligible - "&amp;T53&amp;IF(AND(IFERROR(VLOOKUP(T53,TypeTable,2,0),"None")="PT",N(U53)&lt;PT_MinHours)," (under "&amp;PT_MinHours&amp;" hrs)","")),IF(AB53&gt;0,"Yes - accruing","Not yet - qualifies "&amp;TEXT(AD53,"dd/mm/yyyy")))))</f>
        <v/>
      </c>
      <c r="AB53" s="26" t="str">
        <f aca="false">IF(AO53=0,"",AZ53+IF(AR53="",0,BB53-BA53)+IF(AS53="",0,BD53-BC53))</f>
        <v/>
      </c>
      <c r="AC53" s="26" t="str">
        <f aca="false">IF(AO53=0,"",AB53*HoursPerDay)</f>
        <v/>
      </c>
      <c r="AD53" s="28" t="str">
        <f aca="false">IF(AO53=0,"",IF(OR(BF53=1,AY53="None"),"",EDATE($E53+AP53,BE53)))</f>
        <v/>
      </c>
      <c r="AE53" s="26" t="str">
        <f aca="false">IF(AD53="","",IF(AY53="PT",1,IF(BE53&lt;FT_Y5,1,IF(MOD(BE53-FT_Y5,12)=0,FT_AnnivDays,1))))</f>
        <v/>
      </c>
      <c r="AF53" s="27" t="str">
        <f aca="false">IF(AO53=0,"",IF(NOT(EH_Ready),"Map headers",IF(IF(MatchMode="Employee ID",COUNTIFS(INDEX(EH_Data,0,EH_ColID),$A53,INDEX(EH_Data,0,EH_ColCat),BonusCat),COUNTIFS(INDEX(EH_Data,0,EH_ColFirst),$B53,INDEX(EH_Data,0,EH_ColSur),$C53,INDEX(EH_Data,0,EH_ColCat),BonusCat))&gt;0,"Yes","No")))</f>
        <v/>
      </c>
      <c r="AG53" s="26" t="str">
        <f aca="false">IF(AO53=0,"",IF(NOT(EH_Ready),"",IF(MatchMode="Employee ID",SUMIFS(INDEX(EH_Data,0,EH_ColBal),INDEX(EH_Data,0,EH_ColID),$A53,INDEX(EH_Data,0,EH_ColCat),BonusCat),SUMIFS(INDEX(EH_Data,0,EH_ColBal),INDEX(EH_Data,0,EH_ColFirst),$B53,INDEX(EH_Data,0,EH_ColSur),$C53,INDEX(EH_Data,0,EH_ColCat),BonusCat))/IF(EHUnit="Hours",HoursPerDay,1)))</f>
        <v/>
      </c>
      <c r="AH53" s="26" t="str">
        <f aca="false">IF(AO53=0,"",IF(NOT(TK_Ready),0,IF(MatchMode="Employee ID",SUMIFS(INDEX(TK_Data,0,TK_ColAmt),INDEX(TK_Data,0,TK_ColID),$A53,INDEX(TK_Data,0,TK_ColCat),BonusCat),SUMIFS(INDEX(TK_Data,0,TK_ColAmt),INDEX(TK_Data,0,TK_ColFirst),$B53,INDEX(TK_Data,0,TK_ColSur),$C53,INDEX(TK_Data,0,TK_ColCat),BonusCat))/IF(TKUnit="Hours",HoursPerDay,1)))</f>
        <v/>
      </c>
      <c r="AI53" s="26" t="str">
        <f aca="false">IF(AO53=0,"",N(AG53)+N(AH53))</f>
        <v/>
      </c>
      <c r="AJ53" s="29" t="str">
        <f aca="false">IF(AO53=0,"",IF(NOT(AND(EH_Ready,EH_ValReady)),"",IF(MatchMode="Employee ID",SUMIFS(INDEX(EH_Data,0,EH_ColVal),INDEX(EH_Data,0,EH_ColID),$A53,INDEX(EH_Data,0,EH_ColCat),BonusCat),SUMIFS(INDEX(EH_Data,0,EH_ColVal),INDEX(EH_Data,0,EH_ColFirst),$B53,INDEX(EH_Data,0,EH_ColSur),$C53,INDEX(EH_Data,0,EH_ColCat),BonusCat))))</f>
        <v/>
      </c>
      <c r="AK53" s="26" t="str">
        <f aca="false">IF(AO53=0,"",IF(OR(NOT(EH_Ready),BF53=1),"",AB53-AI53))</f>
        <v/>
      </c>
      <c r="AL53" s="26" t="str">
        <f aca="false">IF(AK53="","",AK53*HoursPerDay)</f>
        <v/>
      </c>
      <c r="AM53" s="27" t="str">
        <f aca="false">IF(AO53=0,"",IF(BF53=1,IF(N(AG53)&gt;0,"TERMINATED - forfeit "&amp;TEXT(AG53,"0.##")&amp;" days still in EH","Terminated - nothing in EH"),IF(NOT(EH_Ready),"Paste EH export and map headers on Settings",IF(AND(AB53&gt;0,AF53="No"),"SET UP in EH - add "&amp;TEXT(AB53,"0.##")&amp;" day(s) ("&amp;TEXT(AC53,"0.##")&amp;" hrs)",IF(AK53&gt;0,"ADD "&amp;TEXT(AK53,"0.##")&amp;" day(s) ("&amp;TEXT(AL53,"0.##")&amp;" hrs) in EH",IF(AK53&lt;0,"CHECK - EH shows "&amp;TEXT(-AK53,"0.##")&amp;" days more than policy",IF(AB53&gt;0,"OK - up to date",IF(AY53="None","No action - not eligible","No action - not yet qualified"))))))))</f>
        <v/>
      </c>
      <c r="AN53" s="27" t="str">
        <f aca="false">IF(AO53=0,"",TRIM(IF(AND($K53&lt;&gt;"",$H53=""),"Change 2 entered without Change 1. ","")&amp;IF(AND($K53&lt;&gt;"",$H53&lt;&gt;"",$K53&lt;=$H53),"Change 2 date not after Change 1. ","")&amp;IF(AND($N53&lt;&gt;"",$O53&lt;&gt;"",$O53&lt;$N53),"Leave To is before Leave From. ","")&amp;IF(AND($N53&lt;&gt;"",$O53=""),"Leave From entered without Leave To. ","")&amp;IF(AND(IFERROR(VLOOKUP(T53,TypeTable,2,0),"None")="PT",U53=""),"Part-time with no hours entered. ","")&amp;IF(AND($H53&lt;&gt;"",$H53&gt;AsOfDate,AD53&lt;&gt;"",$H53&lt;=AD53),"Status change lands before next accrual - review. ","")&amp;IF(AND($Q53&lt;&gt;"",$Q53&lt;$E53),"Termination before commencement. ","")))</f>
        <v/>
      </c>
      <c r="AO53" s="11" t="n">
        <f aca="false">IF(LEN($A53&amp;$B53&amp;$C53)=0,0,IF($E53="",0,1))</f>
        <v>0</v>
      </c>
      <c r="AP53" s="11" t="str">
        <f aca="false">IF(AO53=0,"",(IF(OR($N53="",$O53=""),0,MAX(0,MIN(X53,$O53)-MAX($N53,$E53)+1))+N($P53)))</f>
        <v/>
      </c>
      <c r="AQ53" s="11" t="str">
        <f aca="false">IF(AO53=0,"",IF(X53&lt;($E53+(IF(OR($N53="",$O53=""),0,MAX(0,MIN(X53,$O53)-MAX($N53,$E53)+1))+N($P53))),-1,12*(YEAR(X53)-YEAR(($E53+(IF(OR($N53="",$O53=""),0,MAX(0,MIN(X53,$O53)-MAX($N53,$E53)+1))+N($P53)))))+MONTH(X53)-MONTH(($E53+(IF(OR($N53="",$O53=""),0,MAX(0,MIN(X53,$O53)-MAX($N53,$E53)+1))+N($P53))))-IF(DAY(X53)&lt;MIN(DAY(($E53+(IF(OR($N53="",$O53=""),0,MAX(0,MIN(X53,$O53)-MAX($N53,$E53)+1))+N($P53)))),DAY(EOMONTH(X53,0))),1,0)))</f>
        <v/>
      </c>
      <c r="AR53" s="28" t="str">
        <f aca="false">IF(AO53=0,"",IF($H53="","",IF($H53&gt;X53,"",$H53)))</f>
        <v/>
      </c>
      <c r="AS53" s="28" t="str">
        <f aca="false">IF(AO53=0,"",IF(AR53="","",IF($K53="","",IF($K53&gt;X53,"",$K53))))</f>
        <v/>
      </c>
      <c r="AT53" s="11" t="str">
        <f aca="false">IF(AO53=0,"",IF(AR53="",AQ53,IF((AR53-1)&lt;($E53+(IF(OR($N53="",$O53=""),0,MAX(0,MIN((AR53-1),$O53)-MAX($N53,$E53)+1))+N($P53))),-1,12*(YEAR((AR53-1))-YEAR(($E53+(IF(OR($N53="",$O53=""),0,MAX(0,MIN((AR53-1),$O53)-MAX($N53,$E53)+1))+N($P53)))))+MONTH((AR53-1))-MONTH(($E53+(IF(OR($N53="",$O53=""),0,MAX(0,MIN((AR53-1),$O53)-MAX($N53,$E53)+1))+N($P53))))-IF(DAY((AR53-1))&lt;MIN(DAY(($E53+(IF(OR($N53="",$O53=""),0,MAX(0,MIN((AR53-1),$O53)-MAX($N53,$E53)+1))+N($P53)))),DAY(EOMONTH((AR53-1),0))),1,0))))</f>
        <v/>
      </c>
      <c r="AU53" s="11" t="str">
        <f aca="false">IF(AO53=0,"",IF(AS53="",AQ53,IF((AS53-1)&lt;($E53+(IF(OR($N53="",$O53=""),0,MAX(0,MIN((AS53-1),$O53)-MAX($N53,$E53)+1))+N($P53))),-1,12*(YEAR((AS53-1))-YEAR(($E53+(IF(OR($N53="",$O53=""),0,MAX(0,MIN((AS53-1),$O53)-MAX($N53,$E53)+1))+N($P53)))))+MONTH((AS53-1))-MONTH(($E53+(IF(OR($N53="",$O53=""),0,MAX(0,MIN((AS53-1),$O53)-MAX($N53,$E53)+1))+N($P53))))-IF(DAY((AS53-1))&lt;MIN(DAY(($E53+(IF(OR($N53="",$O53=""),0,MAX(0,MIN((AS53-1),$O53)-MAX($N53,$E53)+1))+N($P53)))),DAY(EOMONTH((AS53-1),0))),1,0))))</f>
        <v/>
      </c>
      <c r="AV53" s="11" t="str">
        <f aca="false">IF(AO53=0,"",IF($F53="","None",IF(IFERROR(VLOOKUP($F53,TypeTable,2,0),"None")="PT",IF(N($G53)&gt;=PT_MinHours,"PT","None"),IFERROR(VLOOKUP($F53,TypeTable,2,0),"None"))))</f>
        <v/>
      </c>
      <c r="AW53" s="11" t="str">
        <f aca="false">IF(AO53=0,"",IF($I53="","None",IF(IFERROR(VLOOKUP($I53,TypeTable,2,0),"None")="PT",IF(N($J53)&gt;=PT_MinHours,"PT","None"),IFERROR(VLOOKUP($I53,TypeTable,2,0),"None"))))</f>
        <v/>
      </c>
      <c r="AX53" s="11" t="str">
        <f aca="false">IF(AO53=0,"",IF($L53="","None",IF(IFERROR(VLOOKUP($L53,TypeTable,2,0),"None")="PT",IF(N($M53)&gt;=PT_MinHours,"PT","None"),IFERROR(VLOOKUP($L53,TypeTable,2,0),"None"))))</f>
        <v/>
      </c>
      <c r="AY53" s="11" t="str">
        <f aca="false">IF(AO53=0,"",IF(AS53&lt;&gt;"",AX53,IF(AR53&lt;&gt;"",AW53,AV53)))</f>
        <v/>
      </c>
      <c r="AZ53" s="11" t="str">
        <f aca="false">IF(AO53=0,"",IF(AV53="FT",IF(AT53&lt;FT_First,0,IF(AT53&lt;FT_Y5,1+INT((AT53-FT_First)/FT_Int1),FT_PreY5+FT_PerYear*INT((AT53-FT_Y5)/12)+FT_AnnivDays+INT(MOD(AT53-FT_Y5,12)/FT_Int2))),IF(AV53="PT",IF(AT53&lt;PT_First,0,1+INT((AT53-PT_First)/PT_Int)),0)))</f>
        <v/>
      </c>
      <c r="BA53" s="11" t="str">
        <f aca="false">IF(AO53=0,"",IF(AW53="FT",IF(AT53&lt;FT_First,0,IF(AT53&lt;FT_Y5,1+INT((AT53-FT_First)/FT_Int1),FT_PreY5+FT_PerYear*INT((AT53-FT_Y5)/12)+FT_AnnivDays+INT(MOD(AT53-FT_Y5,12)/FT_Int2))),IF(AW53="PT",IF(AT53&lt;PT_First,0,1+INT((AT53-PT_First)/PT_Int)),0)))</f>
        <v/>
      </c>
      <c r="BB53" s="11" t="str">
        <f aca="false">IF(AO53=0,"",IF(AW53="FT",IF(AU53&lt;FT_First,0,IF(AU53&lt;FT_Y5,1+INT((AU53-FT_First)/FT_Int1),FT_PreY5+FT_PerYear*INT((AU53-FT_Y5)/12)+FT_AnnivDays+INT(MOD(AU53-FT_Y5,12)/FT_Int2))),IF(AW53="PT",IF(AU53&lt;PT_First,0,1+INT((AU53-PT_First)/PT_Int)),0)))</f>
        <v/>
      </c>
      <c r="BC53" s="11" t="str">
        <f aca="false">IF(AO53=0,"",IF(AX53="FT",IF(AU53&lt;FT_First,0,IF(AU53&lt;FT_Y5,1+INT((AU53-FT_First)/FT_Int1),FT_PreY5+FT_PerYear*INT((AU53-FT_Y5)/12)+FT_AnnivDays+INT(MOD(AU53-FT_Y5,12)/FT_Int2))),IF(AX53="PT",IF(AU53&lt;PT_First,0,1+INT((AU53-PT_First)/PT_Int)),0)))</f>
        <v/>
      </c>
      <c r="BD53" s="11" t="str">
        <f aca="false">IF(AO53=0,"",IF(AX53="FT",IF(AQ53&lt;FT_First,0,IF(AQ53&lt;FT_Y5,1+INT((AQ53-FT_First)/FT_Int1),FT_PreY5+FT_PerYear*INT((AQ53-FT_Y5)/12)+FT_AnnivDays+INT(MOD(AQ53-FT_Y5,12)/FT_Int2))),IF(AX53="PT",IF(AQ53&lt;PT_First,0,1+INT((AQ53-PT_First)/PT_Int)),0)))</f>
        <v/>
      </c>
      <c r="BE53" s="11" t="str">
        <f aca="false">IF(AO53=0,"",IF(AY53="FT",IF(AQ53&lt;FT_First,FT_First,IF(AQ53&lt;FT_Y5,MIN(FT_Y5,FT_First+FT_Int1*(INT((AQ53-FT_First)/FT_Int1)+1)),FT_Y5+12*INT((AQ53-FT_Y5)/12)+FT_Int2*(INT(MOD(AQ53-FT_Y5,12)/FT_Int2)+1))),IF(AY53="PT",IF(AQ53&lt;PT_First,PT_First,PT_First+PT_Int*(INT((AQ53-PT_First)/PT_Int)+1)),"")))</f>
        <v/>
      </c>
      <c r="BF53" s="11" t="n">
        <f aca="false">IF(AO53=0,0,IF(AND($Q53&lt;&gt;"",$Q53&lt;=AsOfDate),1,0))</f>
        <v>0</v>
      </c>
      <c r="BG53" s="11" t="str">
        <f aca="false">IF(AND(AO53=1,BF53=0,EH_Ready,N(AB53)&gt;0,N(AI53)=0),COUNT($BG$5:BG52)+1,"")</f>
        <v/>
      </c>
      <c r="BH53" s="11" t="str">
        <f aca="false">IF(AND(AO53=1,BF53=0,EH_Ready,N(AB53)&gt;0,N(AI53)&gt;0,N(AK53)&gt;0),COUNT($BH$5:BH52)+1,"")</f>
        <v/>
      </c>
      <c r="BI53" s="11" t="str">
        <f aca="false">IF(AND(AO53=1,OR(LEFT(AM53,3)="ADD",LEFT(AM53,3)="SET",LEFT(AM53,5)="CHECK",LEFT(AM53,10)="TERMINATED")),COUNT($BI$5:BI52)+1,"")</f>
        <v/>
      </c>
      <c r="BJ53" s="11" t="str">
        <f aca="false">IF(AO53=0,"",$A53&amp;" - "&amp;$B53&amp;" "&amp;$C53)</f>
        <v/>
      </c>
    </row>
    <row r="54" customFormat="false" ht="15" hidden="false" customHeight="false" outlineLevel="0" collapsed="false">
      <c r="A54" s="10"/>
      <c r="B54" s="10"/>
      <c r="C54" s="10"/>
      <c r="D54" s="10"/>
      <c r="E54" s="9"/>
      <c r="F54" s="10"/>
      <c r="G54" s="30"/>
      <c r="H54" s="9"/>
      <c r="I54" s="10"/>
      <c r="J54" s="30"/>
      <c r="K54" s="9"/>
      <c r="L54" s="10"/>
      <c r="M54" s="30"/>
      <c r="N54" s="9"/>
      <c r="O54" s="9"/>
      <c r="P54" s="30"/>
      <c r="Q54" s="9"/>
      <c r="R54" s="10"/>
      <c r="S54" s="11" t="str">
        <f aca="false">IF(AO54=0,"",IF($H54="","",$F54&amp;" -&gt; "&amp;$I54&amp;IF($I54="Part-Time"," ("&amp;N($J54)&amp;" hrs)","")&amp;" on "&amp;TEXT($H54,"dd/mm/yyyy")&amp;IF($H54&gt;AsOfDate," (FUTURE)","")&amp;IF($K54="","","; "&amp;$I54&amp;" -&gt; "&amp;$L54&amp;IF($L54="Part-Time"," ("&amp;N($M54)&amp;" hrs)","")&amp;" on "&amp;TEXT($K54,"dd/mm/yyyy")&amp;IF($K54&gt;AsOfDate," (FUTURE)",""))))</f>
        <v/>
      </c>
      <c r="T54" s="11" t="str">
        <f aca="false">IF(AO54=0,"",IF(AS54&lt;&gt;"",$L54,IF(AR54&lt;&gt;"",$I54,$F54)))</f>
        <v/>
      </c>
      <c r="U54" s="26" t="str">
        <f aca="false">IF(AO54=0,"",IF(AS54&lt;&gt;"",$M54,IF(AR54&lt;&gt;"",$J54,$G54)))</f>
        <v/>
      </c>
      <c r="V54" s="11" t="str">
        <f aca="false">IF(AO54=0,"",IF(AY54="FT","Full-Time",IF(AY54="PT","Part-Time","Not eligible")))</f>
        <v/>
      </c>
      <c r="W54" s="27" t="str">
        <f aca="false">IF(AO54=0,"",IF(AR54="",IF(AND($H54&lt;&gt;"",$H54&gt;AsOfDate),"Future change - not yet applied",""),IF(AND(AV54=AY54,OR(AS54="",AW54=AV54)),"Type changed - same accrual pathway",IF(AY54="None","STOPPED accruing from "&amp;TEXT(IF(AS54&lt;&gt;"",AS54,AR54),"dd/mm/yyyy"),IF(AV54="None","STARTED qualifying from "&amp;TEXT(IF(AS54&lt;&gt;"",AS54,AR54),"dd/mm/yyyy"),"Pathway changed "&amp;AV54&amp;" -&gt; "&amp;AW54&amp;IF(AS54&lt;&gt;""," -&gt; "&amp;AX54,"")&amp;" from "&amp;TEXT(IF(AS54&lt;&gt;"",AS54,AR54),"dd/mm/yyyy"))))))</f>
        <v/>
      </c>
      <c r="X54" s="28" t="str">
        <f aca="false">IF(AO54=0,"",IF($Q54="",AsOfDate,MIN(AsOfDate,$Q54)))</f>
        <v/>
      </c>
      <c r="Y54" s="26" t="str">
        <f aca="false">IF(AO54=0,"",MAX(0,AQ54))</f>
        <v/>
      </c>
      <c r="Z54" s="11" t="str">
        <f aca="false">IF(AO54=0,"",IF(AQ54&lt;0,"Not started",INT(AQ54/12)&amp;"y "&amp;MOD(AQ54,12)&amp;"m"))</f>
        <v/>
      </c>
      <c r="AA54" s="27" t="str">
        <f aca="false">IF(AO54=0,"",IF(BF54=1,"Terminated - balance forfeited",IF(AY54="None",IF(AB54&gt;0,"No longer accruing - "&amp;T54,"Not eligible - "&amp;T54&amp;IF(AND(IFERROR(VLOOKUP(T54,TypeTable,2,0),"None")="PT",N(U54)&lt;PT_MinHours)," (under "&amp;PT_MinHours&amp;" hrs)","")),IF(AB54&gt;0,"Yes - accruing","Not yet - qualifies "&amp;TEXT(AD54,"dd/mm/yyyy")))))</f>
        <v/>
      </c>
      <c r="AB54" s="26" t="str">
        <f aca="false">IF(AO54=0,"",AZ54+IF(AR54="",0,BB54-BA54)+IF(AS54="",0,BD54-BC54))</f>
        <v/>
      </c>
      <c r="AC54" s="26" t="str">
        <f aca="false">IF(AO54=0,"",AB54*HoursPerDay)</f>
        <v/>
      </c>
      <c r="AD54" s="28" t="str">
        <f aca="false">IF(AO54=0,"",IF(OR(BF54=1,AY54="None"),"",EDATE($E54+AP54,BE54)))</f>
        <v/>
      </c>
      <c r="AE54" s="26" t="str">
        <f aca="false">IF(AD54="","",IF(AY54="PT",1,IF(BE54&lt;FT_Y5,1,IF(MOD(BE54-FT_Y5,12)=0,FT_AnnivDays,1))))</f>
        <v/>
      </c>
      <c r="AF54" s="27" t="str">
        <f aca="false">IF(AO54=0,"",IF(NOT(EH_Ready),"Map headers",IF(IF(MatchMode="Employee ID",COUNTIFS(INDEX(EH_Data,0,EH_ColID),$A54,INDEX(EH_Data,0,EH_ColCat),BonusCat),COUNTIFS(INDEX(EH_Data,0,EH_ColFirst),$B54,INDEX(EH_Data,0,EH_ColSur),$C54,INDEX(EH_Data,0,EH_ColCat),BonusCat))&gt;0,"Yes","No")))</f>
        <v/>
      </c>
      <c r="AG54" s="26" t="str">
        <f aca="false">IF(AO54=0,"",IF(NOT(EH_Ready),"",IF(MatchMode="Employee ID",SUMIFS(INDEX(EH_Data,0,EH_ColBal),INDEX(EH_Data,0,EH_ColID),$A54,INDEX(EH_Data,0,EH_ColCat),BonusCat),SUMIFS(INDEX(EH_Data,0,EH_ColBal),INDEX(EH_Data,0,EH_ColFirst),$B54,INDEX(EH_Data,0,EH_ColSur),$C54,INDEX(EH_Data,0,EH_ColCat),BonusCat))/IF(EHUnit="Hours",HoursPerDay,1)))</f>
        <v/>
      </c>
      <c r="AH54" s="26" t="str">
        <f aca="false">IF(AO54=0,"",IF(NOT(TK_Ready),0,IF(MatchMode="Employee ID",SUMIFS(INDEX(TK_Data,0,TK_ColAmt),INDEX(TK_Data,0,TK_ColID),$A54,INDEX(TK_Data,0,TK_ColCat),BonusCat),SUMIFS(INDEX(TK_Data,0,TK_ColAmt),INDEX(TK_Data,0,TK_ColFirst),$B54,INDEX(TK_Data,0,TK_ColSur),$C54,INDEX(TK_Data,0,TK_ColCat),BonusCat))/IF(TKUnit="Hours",HoursPerDay,1)))</f>
        <v/>
      </c>
      <c r="AI54" s="26" t="str">
        <f aca="false">IF(AO54=0,"",N(AG54)+N(AH54))</f>
        <v/>
      </c>
      <c r="AJ54" s="29" t="str">
        <f aca="false">IF(AO54=0,"",IF(NOT(AND(EH_Ready,EH_ValReady)),"",IF(MatchMode="Employee ID",SUMIFS(INDEX(EH_Data,0,EH_ColVal),INDEX(EH_Data,0,EH_ColID),$A54,INDEX(EH_Data,0,EH_ColCat),BonusCat),SUMIFS(INDEX(EH_Data,0,EH_ColVal),INDEX(EH_Data,0,EH_ColFirst),$B54,INDEX(EH_Data,0,EH_ColSur),$C54,INDEX(EH_Data,0,EH_ColCat),BonusCat))))</f>
        <v/>
      </c>
      <c r="AK54" s="26" t="str">
        <f aca="false">IF(AO54=0,"",IF(OR(NOT(EH_Ready),BF54=1),"",AB54-AI54))</f>
        <v/>
      </c>
      <c r="AL54" s="26" t="str">
        <f aca="false">IF(AK54="","",AK54*HoursPerDay)</f>
        <v/>
      </c>
      <c r="AM54" s="27" t="str">
        <f aca="false">IF(AO54=0,"",IF(BF54=1,IF(N(AG54)&gt;0,"TERMINATED - forfeit "&amp;TEXT(AG54,"0.##")&amp;" days still in EH","Terminated - nothing in EH"),IF(NOT(EH_Ready),"Paste EH export and map headers on Settings",IF(AND(AB54&gt;0,AF54="No"),"SET UP in EH - add "&amp;TEXT(AB54,"0.##")&amp;" day(s) ("&amp;TEXT(AC54,"0.##")&amp;" hrs)",IF(AK54&gt;0,"ADD "&amp;TEXT(AK54,"0.##")&amp;" day(s) ("&amp;TEXT(AL54,"0.##")&amp;" hrs) in EH",IF(AK54&lt;0,"CHECK - EH shows "&amp;TEXT(-AK54,"0.##")&amp;" days more than policy",IF(AB54&gt;0,"OK - up to date",IF(AY54="None","No action - not eligible","No action - not yet qualified"))))))))</f>
        <v/>
      </c>
      <c r="AN54" s="27" t="str">
        <f aca="false">IF(AO54=0,"",TRIM(IF(AND($K54&lt;&gt;"",$H54=""),"Change 2 entered without Change 1. ","")&amp;IF(AND($K54&lt;&gt;"",$H54&lt;&gt;"",$K54&lt;=$H54),"Change 2 date not after Change 1. ","")&amp;IF(AND($N54&lt;&gt;"",$O54&lt;&gt;"",$O54&lt;$N54),"Leave To is before Leave From. ","")&amp;IF(AND($N54&lt;&gt;"",$O54=""),"Leave From entered without Leave To. ","")&amp;IF(AND(IFERROR(VLOOKUP(T54,TypeTable,2,0),"None")="PT",U54=""),"Part-time with no hours entered. ","")&amp;IF(AND($H54&lt;&gt;"",$H54&gt;AsOfDate,AD54&lt;&gt;"",$H54&lt;=AD54),"Status change lands before next accrual - review. ","")&amp;IF(AND($Q54&lt;&gt;"",$Q54&lt;$E54),"Termination before commencement. ","")))</f>
        <v/>
      </c>
      <c r="AO54" s="11" t="n">
        <f aca="false">IF(LEN($A54&amp;$B54&amp;$C54)=0,0,IF($E54="",0,1))</f>
        <v>0</v>
      </c>
      <c r="AP54" s="11" t="str">
        <f aca="false">IF(AO54=0,"",(IF(OR($N54="",$O54=""),0,MAX(0,MIN(X54,$O54)-MAX($N54,$E54)+1))+N($P54)))</f>
        <v/>
      </c>
      <c r="AQ54" s="11" t="str">
        <f aca="false">IF(AO54=0,"",IF(X54&lt;($E54+(IF(OR($N54="",$O54=""),0,MAX(0,MIN(X54,$O54)-MAX($N54,$E54)+1))+N($P54))),-1,12*(YEAR(X54)-YEAR(($E54+(IF(OR($N54="",$O54=""),0,MAX(0,MIN(X54,$O54)-MAX($N54,$E54)+1))+N($P54)))))+MONTH(X54)-MONTH(($E54+(IF(OR($N54="",$O54=""),0,MAX(0,MIN(X54,$O54)-MAX($N54,$E54)+1))+N($P54))))-IF(DAY(X54)&lt;MIN(DAY(($E54+(IF(OR($N54="",$O54=""),0,MAX(0,MIN(X54,$O54)-MAX($N54,$E54)+1))+N($P54)))),DAY(EOMONTH(X54,0))),1,0)))</f>
        <v/>
      </c>
      <c r="AR54" s="28" t="str">
        <f aca="false">IF(AO54=0,"",IF($H54="","",IF($H54&gt;X54,"",$H54)))</f>
        <v/>
      </c>
      <c r="AS54" s="28" t="str">
        <f aca="false">IF(AO54=0,"",IF(AR54="","",IF($K54="","",IF($K54&gt;X54,"",$K54))))</f>
        <v/>
      </c>
      <c r="AT54" s="11" t="str">
        <f aca="false">IF(AO54=0,"",IF(AR54="",AQ54,IF((AR54-1)&lt;($E54+(IF(OR($N54="",$O54=""),0,MAX(0,MIN((AR54-1),$O54)-MAX($N54,$E54)+1))+N($P54))),-1,12*(YEAR((AR54-1))-YEAR(($E54+(IF(OR($N54="",$O54=""),0,MAX(0,MIN((AR54-1),$O54)-MAX($N54,$E54)+1))+N($P54)))))+MONTH((AR54-1))-MONTH(($E54+(IF(OR($N54="",$O54=""),0,MAX(0,MIN((AR54-1),$O54)-MAX($N54,$E54)+1))+N($P54))))-IF(DAY((AR54-1))&lt;MIN(DAY(($E54+(IF(OR($N54="",$O54=""),0,MAX(0,MIN((AR54-1),$O54)-MAX($N54,$E54)+1))+N($P54)))),DAY(EOMONTH((AR54-1),0))),1,0))))</f>
        <v/>
      </c>
      <c r="AU54" s="11" t="str">
        <f aca="false">IF(AO54=0,"",IF(AS54="",AQ54,IF((AS54-1)&lt;($E54+(IF(OR($N54="",$O54=""),0,MAX(0,MIN((AS54-1),$O54)-MAX($N54,$E54)+1))+N($P54))),-1,12*(YEAR((AS54-1))-YEAR(($E54+(IF(OR($N54="",$O54=""),0,MAX(0,MIN((AS54-1),$O54)-MAX($N54,$E54)+1))+N($P54)))))+MONTH((AS54-1))-MONTH(($E54+(IF(OR($N54="",$O54=""),0,MAX(0,MIN((AS54-1),$O54)-MAX($N54,$E54)+1))+N($P54))))-IF(DAY((AS54-1))&lt;MIN(DAY(($E54+(IF(OR($N54="",$O54=""),0,MAX(0,MIN((AS54-1),$O54)-MAX($N54,$E54)+1))+N($P54)))),DAY(EOMONTH((AS54-1),0))),1,0))))</f>
        <v/>
      </c>
      <c r="AV54" s="11" t="str">
        <f aca="false">IF(AO54=0,"",IF($F54="","None",IF(IFERROR(VLOOKUP($F54,TypeTable,2,0),"None")="PT",IF(N($G54)&gt;=PT_MinHours,"PT","None"),IFERROR(VLOOKUP($F54,TypeTable,2,0),"None"))))</f>
        <v/>
      </c>
      <c r="AW54" s="11" t="str">
        <f aca="false">IF(AO54=0,"",IF($I54="","None",IF(IFERROR(VLOOKUP($I54,TypeTable,2,0),"None")="PT",IF(N($J54)&gt;=PT_MinHours,"PT","None"),IFERROR(VLOOKUP($I54,TypeTable,2,0),"None"))))</f>
        <v/>
      </c>
      <c r="AX54" s="11" t="str">
        <f aca="false">IF(AO54=0,"",IF($L54="","None",IF(IFERROR(VLOOKUP($L54,TypeTable,2,0),"None")="PT",IF(N($M54)&gt;=PT_MinHours,"PT","None"),IFERROR(VLOOKUP($L54,TypeTable,2,0),"None"))))</f>
        <v/>
      </c>
      <c r="AY54" s="11" t="str">
        <f aca="false">IF(AO54=0,"",IF(AS54&lt;&gt;"",AX54,IF(AR54&lt;&gt;"",AW54,AV54)))</f>
        <v/>
      </c>
      <c r="AZ54" s="11" t="str">
        <f aca="false">IF(AO54=0,"",IF(AV54="FT",IF(AT54&lt;FT_First,0,IF(AT54&lt;FT_Y5,1+INT((AT54-FT_First)/FT_Int1),FT_PreY5+FT_PerYear*INT((AT54-FT_Y5)/12)+FT_AnnivDays+INT(MOD(AT54-FT_Y5,12)/FT_Int2))),IF(AV54="PT",IF(AT54&lt;PT_First,0,1+INT((AT54-PT_First)/PT_Int)),0)))</f>
        <v/>
      </c>
      <c r="BA54" s="11" t="str">
        <f aca="false">IF(AO54=0,"",IF(AW54="FT",IF(AT54&lt;FT_First,0,IF(AT54&lt;FT_Y5,1+INT((AT54-FT_First)/FT_Int1),FT_PreY5+FT_PerYear*INT((AT54-FT_Y5)/12)+FT_AnnivDays+INT(MOD(AT54-FT_Y5,12)/FT_Int2))),IF(AW54="PT",IF(AT54&lt;PT_First,0,1+INT((AT54-PT_First)/PT_Int)),0)))</f>
        <v/>
      </c>
      <c r="BB54" s="11" t="str">
        <f aca="false">IF(AO54=0,"",IF(AW54="FT",IF(AU54&lt;FT_First,0,IF(AU54&lt;FT_Y5,1+INT((AU54-FT_First)/FT_Int1),FT_PreY5+FT_PerYear*INT((AU54-FT_Y5)/12)+FT_AnnivDays+INT(MOD(AU54-FT_Y5,12)/FT_Int2))),IF(AW54="PT",IF(AU54&lt;PT_First,0,1+INT((AU54-PT_First)/PT_Int)),0)))</f>
        <v/>
      </c>
      <c r="BC54" s="11" t="str">
        <f aca="false">IF(AO54=0,"",IF(AX54="FT",IF(AU54&lt;FT_First,0,IF(AU54&lt;FT_Y5,1+INT((AU54-FT_First)/FT_Int1),FT_PreY5+FT_PerYear*INT((AU54-FT_Y5)/12)+FT_AnnivDays+INT(MOD(AU54-FT_Y5,12)/FT_Int2))),IF(AX54="PT",IF(AU54&lt;PT_First,0,1+INT((AU54-PT_First)/PT_Int)),0)))</f>
        <v/>
      </c>
      <c r="BD54" s="11" t="str">
        <f aca="false">IF(AO54=0,"",IF(AX54="FT",IF(AQ54&lt;FT_First,0,IF(AQ54&lt;FT_Y5,1+INT((AQ54-FT_First)/FT_Int1),FT_PreY5+FT_PerYear*INT((AQ54-FT_Y5)/12)+FT_AnnivDays+INT(MOD(AQ54-FT_Y5,12)/FT_Int2))),IF(AX54="PT",IF(AQ54&lt;PT_First,0,1+INT((AQ54-PT_First)/PT_Int)),0)))</f>
        <v/>
      </c>
      <c r="BE54" s="11" t="str">
        <f aca="false">IF(AO54=0,"",IF(AY54="FT",IF(AQ54&lt;FT_First,FT_First,IF(AQ54&lt;FT_Y5,MIN(FT_Y5,FT_First+FT_Int1*(INT((AQ54-FT_First)/FT_Int1)+1)),FT_Y5+12*INT((AQ54-FT_Y5)/12)+FT_Int2*(INT(MOD(AQ54-FT_Y5,12)/FT_Int2)+1))),IF(AY54="PT",IF(AQ54&lt;PT_First,PT_First,PT_First+PT_Int*(INT((AQ54-PT_First)/PT_Int)+1)),"")))</f>
        <v/>
      </c>
      <c r="BF54" s="11" t="n">
        <f aca="false">IF(AO54=0,0,IF(AND($Q54&lt;&gt;"",$Q54&lt;=AsOfDate),1,0))</f>
        <v>0</v>
      </c>
      <c r="BG54" s="11" t="str">
        <f aca="false">IF(AND(AO54=1,BF54=0,EH_Ready,N(AB54)&gt;0,N(AI54)=0),COUNT($BG$5:BG53)+1,"")</f>
        <v/>
      </c>
      <c r="BH54" s="11" t="str">
        <f aca="false">IF(AND(AO54=1,BF54=0,EH_Ready,N(AB54)&gt;0,N(AI54)&gt;0,N(AK54)&gt;0),COUNT($BH$5:BH53)+1,"")</f>
        <v/>
      </c>
      <c r="BI54" s="11" t="str">
        <f aca="false">IF(AND(AO54=1,OR(LEFT(AM54,3)="ADD",LEFT(AM54,3)="SET",LEFT(AM54,5)="CHECK",LEFT(AM54,10)="TERMINATED")),COUNT($BI$5:BI53)+1,"")</f>
        <v/>
      </c>
      <c r="BJ54" s="11" t="str">
        <f aca="false">IF(AO54=0,"",$A54&amp;" - "&amp;$B54&amp;" "&amp;$C54)</f>
        <v/>
      </c>
    </row>
    <row r="55" customFormat="false" ht="15" hidden="false" customHeight="false" outlineLevel="0" collapsed="false">
      <c r="A55" s="10"/>
      <c r="B55" s="10"/>
      <c r="C55" s="10"/>
      <c r="D55" s="10"/>
      <c r="E55" s="9"/>
      <c r="F55" s="10"/>
      <c r="G55" s="30"/>
      <c r="H55" s="9"/>
      <c r="I55" s="10"/>
      <c r="J55" s="30"/>
      <c r="K55" s="9"/>
      <c r="L55" s="10"/>
      <c r="M55" s="30"/>
      <c r="N55" s="9"/>
      <c r="O55" s="9"/>
      <c r="P55" s="30"/>
      <c r="Q55" s="9"/>
      <c r="R55" s="10"/>
      <c r="S55" s="11" t="str">
        <f aca="false">IF(AO55=0,"",IF($H55="","",$F55&amp;" -&gt; "&amp;$I55&amp;IF($I55="Part-Time"," ("&amp;N($J55)&amp;" hrs)","")&amp;" on "&amp;TEXT($H55,"dd/mm/yyyy")&amp;IF($H55&gt;AsOfDate," (FUTURE)","")&amp;IF($K55="","","; "&amp;$I55&amp;" -&gt; "&amp;$L55&amp;IF($L55="Part-Time"," ("&amp;N($M55)&amp;" hrs)","")&amp;" on "&amp;TEXT($K55,"dd/mm/yyyy")&amp;IF($K55&gt;AsOfDate," (FUTURE)",""))))</f>
        <v/>
      </c>
      <c r="T55" s="11" t="str">
        <f aca="false">IF(AO55=0,"",IF(AS55&lt;&gt;"",$L55,IF(AR55&lt;&gt;"",$I55,$F55)))</f>
        <v/>
      </c>
      <c r="U55" s="26" t="str">
        <f aca="false">IF(AO55=0,"",IF(AS55&lt;&gt;"",$M55,IF(AR55&lt;&gt;"",$J55,$G55)))</f>
        <v/>
      </c>
      <c r="V55" s="11" t="str">
        <f aca="false">IF(AO55=0,"",IF(AY55="FT","Full-Time",IF(AY55="PT","Part-Time","Not eligible")))</f>
        <v/>
      </c>
      <c r="W55" s="27" t="str">
        <f aca="false">IF(AO55=0,"",IF(AR55="",IF(AND($H55&lt;&gt;"",$H55&gt;AsOfDate),"Future change - not yet applied",""),IF(AND(AV55=AY55,OR(AS55="",AW55=AV55)),"Type changed - same accrual pathway",IF(AY55="None","STOPPED accruing from "&amp;TEXT(IF(AS55&lt;&gt;"",AS55,AR55),"dd/mm/yyyy"),IF(AV55="None","STARTED qualifying from "&amp;TEXT(IF(AS55&lt;&gt;"",AS55,AR55),"dd/mm/yyyy"),"Pathway changed "&amp;AV55&amp;" -&gt; "&amp;AW55&amp;IF(AS55&lt;&gt;""," -&gt; "&amp;AX55,"")&amp;" from "&amp;TEXT(IF(AS55&lt;&gt;"",AS55,AR55),"dd/mm/yyyy"))))))</f>
        <v/>
      </c>
      <c r="X55" s="28" t="str">
        <f aca="false">IF(AO55=0,"",IF($Q55="",AsOfDate,MIN(AsOfDate,$Q55)))</f>
        <v/>
      </c>
      <c r="Y55" s="26" t="str">
        <f aca="false">IF(AO55=0,"",MAX(0,AQ55))</f>
        <v/>
      </c>
      <c r="Z55" s="11" t="str">
        <f aca="false">IF(AO55=0,"",IF(AQ55&lt;0,"Not started",INT(AQ55/12)&amp;"y "&amp;MOD(AQ55,12)&amp;"m"))</f>
        <v/>
      </c>
      <c r="AA55" s="27" t="str">
        <f aca="false">IF(AO55=0,"",IF(BF55=1,"Terminated - balance forfeited",IF(AY55="None",IF(AB55&gt;0,"No longer accruing - "&amp;T55,"Not eligible - "&amp;T55&amp;IF(AND(IFERROR(VLOOKUP(T55,TypeTable,2,0),"None")="PT",N(U55)&lt;PT_MinHours)," (under "&amp;PT_MinHours&amp;" hrs)","")),IF(AB55&gt;0,"Yes - accruing","Not yet - qualifies "&amp;TEXT(AD55,"dd/mm/yyyy")))))</f>
        <v/>
      </c>
      <c r="AB55" s="26" t="str">
        <f aca="false">IF(AO55=0,"",AZ55+IF(AR55="",0,BB55-BA55)+IF(AS55="",0,BD55-BC55))</f>
        <v/>
      </c>
      <c r="AC55" s="26" t="str">
        <f aca="false">IF(AO55=0,"",AB55*HoursPerDay)</f>
        <v/>
      </c>
      <c r="AD55" s="28" t="str">
        <f aca="false">IF(AO55=0,"",IF(OR(BF55=1,AY55="None"),"",EDATE($E55+AP55,BE55)))</f>
        <v/>
      </c>
      <c r="AE55" s="26" t="str">
        <f aca="false">IF(AD55="","",IF(AY55="PT",1,IF(BE55&lt;FT_Y5,1,IF(MOD(BE55-FT_Y5,12)=0,FT_AnnivDays,1))))</f>
        <v/>
      </c>
      <c r="AF55" s="27" t="str">
        <f aca="false">IF(AO55=0,"",IF(NOT(EH_Ready),"Map headers",IF(IF(MatchMode="Employee ID",COUNTIFS(INDEX(EH_Data,0,EH_ColID),$A55,INDEX(EH_Data,0,EH_ColCat),BonusCat),COUNTIFS(INDEX(EH_Data,0,EH_ColFirst),$B55,INDEX(EH_Data,0,EH_ColSur),$C55,INDEX(EH_Data,0,EH_ColCat),BonusCat))&gt;0,"Yes","No")))</f>
        <v/>
      </c>
      <c r="AG55" s="26" t="str">
        <f aca="false">IF(AO55=0,"",IF(NOT(EH_Ready),"",IF(MatchMode="Employee ID",SUMIFS(INDEX(EH_Data,0,EH_ColBal),INDEX(EH_Data,0,EH_ColID),$A55,INDEX(EH_Data,0,EH_ColCat),BonusCat),SUMIFS(INDEX(EH_Data,0,EH_ColBal),INDEX(EH_Data,0,EH_ColFirst),$B55,INDEX(EH_Data,0,EH_ColSur),$C55,INDEX(EH_Data,0,EH_ColCat),BonusCat))/IF(EHUnit="Hours",HoursPerDay,1)))</f>
        <v/>
      </c>
      <c r="AH55" s="26" t="str">
        <f aca="false">IF(AO55=0,"",IF(NOT(TK_Ready),0,IF(MatchMode="Employee ID",SUMIFS(INDEX(TK_Data,0,TK_ColAmt),INDEX(TK_Data,0,TK_ColID),$A55,INDEX(TK_Data,0,TK_ColCat),BonusCat),SUMIFS(INDEX(TK_Data,0,TK_ColAmt),INDEX(TK_Data,0,TK_ColFirst),$B55,INDEX(TK_Data,0,TK_ColSur),$C55,INDEX(TK_Data,0,TK_ColCat),BonusCat))/IF(TKUnit="Hours",HoursPerDay,1)))</f>
        <v/>
      </c>
      <c r="AI55" s="26" t="str">
        <f aca="false">IF(AO55=0,"",N(AG55)+N(AH55))</f>
        <v/>
      </c>
      <c r="AJ55" s="29" t="str">
        <f aca="false">IF(AO55=0,"",IF(NOT(AND(EH_Ready,EH_ValReady)),"",IF(MatchMode="Employee ID",SUMIFS(INDEX(EH_Data,0,EH_ColVal),INDEX(EH_Data,0,EH_ColID),$A55,INDEX(EH_Data,0,EH_ColCat),BonusCat),SUMIFS(INDEX(EH_Data,0,EH_ColVal),INDEX(EH_Data,0,EH_ColFirst),$B55,INDEX(EH_Data,0,EH_ColSur),$C55,INDEX(EH_Data,0,EH_ColCat),BonusCat))))</f>
        <v/>
      </c>
      <c r="AK55" s="26" t="str">
        <f aca="false">IF(AO55=0,"",IF(OR(NOT(EH_Ready),BF55=1),"",AB55-AI55))</f>
        <v/>
      </c>
      <c r="AL55" s="26" t="str">
        <f aca="false">IF(AK55="","",AK55*HoursPerDay)</f>
        <v/>
      </c>
      <c r="AM55" s="27" t="str">
        <f aca="false">IF(AO55=0,"",IF(BF55=1,IF(N(AG55)&gt;0,"TERMINATED - forfeit "&amp;TEXT(AG55,"0.##")&amp;" days still in EH","Terminated - nothing in EH"),IF(NOT(EH_Ready),"Paste EH export and map headers on Settings",IF(AND(AB55&gt;0,AF55="No"),"SET UP in EH - add "&amp;TEXT(AB55,"0.##")&amp;" day(s) ("&amp;TEXT(AC55,"0.##")&amp;" hrs)",IF(AK55&gt;0,"ADD "&amp;TEXT(AK55,"0.##")&amp;" day(s) ("&amp;TEXT(AL55,"0.##")&amp;" hrs) in EH",IF(AK55&lt;0,"CHECK - EH shows "&amp;TEXT(-AK55,"0.##")&amp;" days more than policy",IF(AB55&gt;0,"OK - up to date",IF(AY55="None","No action - not eligible","No action - not yet qualified"))))))))</f>
        <v/>
      </c>
      <c r="AN55" s="27" t="str">
        <f aca="false">IF(AO55=0,"",TRIM(IF(AND($K55&lt;&gt;"",$H55=""),"Change 2 entered without Change 1. ","")&amp;IF(AND($K55&lt;&gt;"",$H55&lt;&gt;"",$K55&lt;=$H55),"Change 2 date not after Change 1. ","")&amp;IF(AND($N55&lt;&gt;"",$O55&lt;&gt;"",$O55&lt;$N55),"Leave To is before Leave From. ","")&amp;IF(AND($N55&lt;&gt;"",$O55=""),"Leave From entered without Leave To. ","")&amp;IF(AND(IFERROR(VLOOKUP(T55,TypeTable,2,0),"None")="PT",U55=""),"Part-time with no hours entered. ","")&amp;IF(AND($H55&lt;&gt;"",$H55&gt;AsOfDate,AD55&lt;&gt;"",$H55&lt;=AD55),"Status change lands before next accrual - review. ","")&amp;IF(AND($Q55&lt;&gt;"",$Q55&lt;$E55),"Termination before commencement. ","")))</f>
        <v/>
      </c>
      <c r="AO55" s="11" t="n">
        <f aca="false">IF(LEN($A55&amp;$B55&amp;$C55)=0,0,IF($E55="",0,1))</f>
        <v>0</v>
      </c>
      <c r="AP55" s="11" t="str">
        <f aca="false">IF(AO55=0,"",(IF(OR($N55="",$O55=""),0,MAX(0,MIN(X55,$O55)-MAX($N55,$E55)+1))+N($P55)))</f>
        <v/>
      </c>
      <c r="AQ55" s="11" t="str">
        <f aca="false">IF(AO55=0,"",IF(X55&lt;($E55+(IF(OR($N55="",$O55=""),0,MAX(0,MIN(X55,$O55)-MAX($N55,$E55)+1))+N($P55))),-1,12*(YEAR(X55)-YEAR(($E55+(IF(OR($N55="",$O55=""),0,MAX(0,MIN(X55,$O55)-MAX($N55,$E55)+1))+N($P55)))))+MONTH(X55)-MONTH(($E55+(IF(OR($N55="",$O55=""),0,MAX(0,MIN(X55,$O55)-MAX($N55,$E55)+1))+N($P55))))-IF(DAY(X55)&lt;MIN(DAY(($E55+(IF(OR($N55="",$O55=""),0,MAX(0,MIN(X55,$O55)-MAX($N55,$E55)+1))+N($P55)))),DAY(EOMONTH(X55,0))),1,0)))</f>
        <v/>
      </c>
      <c r="AR55" s="28" t="str">
        <f aca="false">IF(AO55=0,"",IF($H55="","",IF($H55&gt;X55,"",$H55)))</f>
        <v/>
      </c>
      <c r="AS55" s="28" t="str">
        <f aca="false">IF(AO55=0,"",IF(AR55="","",IF($K55="","",IF($K55&gt;X55,"",$K55))))</f>
        <v/>
      </c>
      <c r="AT55" s="11" t="str">
        <f aca="false">IF(AO55=0,"",IF(AR55="",AQ55,IF((AR55-1)&lt;($E55+(IF(OR($N55="",$O55=""),0,MAX(0,MIN((AR55-1),$O55)-MAX($N55,$E55)+1))+N($P55))),-1,12*(YEAR((AR55-1))-YEAR(($E55+(IF(OR($N55="",$O55=""),0,MAX(0,MIN((AR55-1),$O55)-MAX($N55,$E55)+1))+N($P55)))))+MONTH((AR55-1))-MONTH(($E55+(IF(OR($N55="",$O55=""),0,MAX(0,MIN((AR55-1),$O55)-MAX($N55,$E55)+1))+N($P55))))-IF(DAY((AR55-1))&lt;MIN(DAY(($E55+(IF(OR($N55="",$O55=""),0,MAX(0,MIN((AR55-1),$O55)-MAX($N55,$E55)+1))+N($P55)))),DAY(EOMONTH((AR55-1),0))),1,0))))</f>
        <v/>
      </c>
      <c r="AU55" s="11" t="str">
        <f aca="false">IF(AO55=0,"",IF(AS55="",AQ55,IF((AS55-1)&lt;($E55+(IF(OR($N55="",$O55=""),0,MAX(0,MIN((AS55-1),$O55)-MAX($N55,$E55)+1))+N($P55))),-1,12*(YEAR((AS55-1))-YEAR(($E55+(IF(OR($N55="",$O55=""),0,MAX(0,MIN((AS55-1),$O55)-MAX($N55,$E55)+1))+N($P55)))))+MONTH((AS55-1))-MONTH(($E55+(IF(OR($N55="",$O55=""),0,MAX(0,MIN((AS55-1),$O55)-MAX($N55,$E55)+1))+N($P55))))-IF(DAY((AS55-1))&lt;MIN(DAY(($E55+(IF(OR($N55="",$O55=""),0,MAX(0,MIN((AS55-1),$O55)-MAX($N55,$E55)+1))+N($P55)))),DAY(EOMONTH((AS55-1),0))),1,0))))</f>
        <v/>
      </c>
      <c r="AV55" s="11" t="str">
        <f aca="false">IF(AO55=0,"",IF($F55="","None",IF(IFERROR(VLOOKUP($F55,TypeTable,2,0),"None")="PT",IF(N($G55)&gt;=PT_MinHours,"PT","None"),IFERROR(VLOOKUP($F55,TypeTable,2,0),"None"))))</f>
        <v/>
      </c>
      <c r="AW55" s="11" t="str">
        <f aca="false">IF(AO55=0,"",IF($I55="","None",IF(IFERROR(VLOOKUP($I55,TypeTable,2,0),"None")="PT",IF(N($J55)&gt;=PT_MinHours,"PT","None"),IFERROR(VLOOKUP($I55,TypeTable,2,0),"None"))))</f>
        <v/>
      </c>
      <c r="AX55" s="11" t="str">
        <f aca="false">IF(AO55=0,"",IF($L55="","None",IF(IFERROR(VLOOKUP($L55,TypeTable,2,0),"None")="PT",IF(N($M55)&gt;=PT_MinHours,"PT","None"),IFERROR(VLOOKUP($L55,TypeTable,2,0),"None"))))</f>
        <v/>
      </c>
      <c r="AY55" s="11" t="str">
        <f aca="false">IF(AO55=0,"",IF(AS55&lt;&gt;"",AX55,IF(AR55&lt;&gt;"",AW55,AV55)))</f>
        <v/>
      </c>
      <c r="AZ55" s="11" t="str">
        <f aca="false">IF(AO55=0,"",IF(AV55="FT",IF(AT55&lt;FT_First,0,IF(AT55&lt;FT_Y5,1+INT((AT55-FT_First)/FT_Int1),FT_PreY5+FT_PerYear*INT((AT55-FT_Y5)/12)+FT_AnnivDays+INT(MOD(AT55-FT_Y5,12)/FT_Int2))),IF(AV55="PT",IF(AT55&lt;PT_First,0,1+INT((AT55-PT_First)/PT_Int)),0)))</f>
        <v/>
      </c>
      <c r="BA55" s="11" t="str">
        <f aca="false">IF(AO55=0,"",IF(AW55="FT",IF(AT55&lt;FT_First,0,IF(AT55&lt;FT_Y5,1+INT((AT55-FT_First)/FT_Int1),FT_PreY5+FT_PerYear*INT((AT55-FT_Y5)/12)+FT_AnnivDays+INT(MOD(AT55-FT_Y5,12)/FT_Int2))),IF(AW55="PT",IF(AT55&lt;PT_First,0,1+INT((AT55-PT_First)/PT_Int)),0)))</f>
        <v/>
      </c>
      <c r="BB55" s="11" t="str">
        <f aca="false">IF(AO55=0,"",IF(AW55="FT",IF(AU55&lt;FT_First,0,IF(AU55&lt;FT_Y5,1+INT((AU55-FT_First)/FT_Int1),FT_PreY5+FT_PerYear*INT((AU55-FT_Y5)/12)+FT_AnnivDays+INT(MOD(AU55-FT_Y5,12)/FT_Int2))),IF(AW55="PT",IF(AU55&lt;PT_First,0,1+INT((AU55-PT_First)/PT_Int)),0)))</f>
        <v/>
      </c>
      <c r="BC55" s="11" t="str">
        <f aca="false">IF(AO55=0,"",IF(AX55="FT",IF(AU55&lt;FT_First,0,IF(AU55&lt;FT_Y5,1+INT((AU55-FT_First)/FT_Int1),FT_PreY5+FT_PerYear*INT((AU55-FT_Y5)/12)+FT_AnnivDays+INT(MOD(AU55-FT_Y5,12)/FT_Int2))),IF(AX55="PT",IF(AU55&lt;PT_First,0,1+INT((AU55-PT_First)/PT_Int)),0)))</f>
        <v/>
      </c>
      <c r="BD55" s="11" t="str">
        <f aca="false">IF(AO55=0,"",IF(AX55="FT",IF(AQ55&lt;FT_First,0,IF(AQ55&lt;FT_Y5,1+INT((AQ55-FT_First)/FT_Int1),FT_PreY5+FT_PerYear*INT((AQ55-FT_Y5)/12)+FT_AnnivDays+INT(MOD(AQ55-FT_Y5,12)/FT_Int2))),IF(AX55="PT",IF(AQ55&lt;PT_First,0,1+INT((AQ55-PT_First)/PT_Int)),0)))</f>
        <v/>
      </c>
      <c r="BE55" s="11" t="str">
        <f aca="false">IF(AO55=0,"",IF(AY55="FT",IF(AQ55&lt;FT_First,FT_First,IF(AQ55&lt;FT_Y5,MIN(FT_Y5,FT_First+FT_Int1*(INT((AQ55-FT_First)/FT_Int1)+1)),FT_Y5+12*INT((AQ55-FT_Y5)/12)+FT_Int2*(INT(MOD(AQ55-FT_Y5,12)/FT_Int2)+1))),IF(AY55="PT",IF(AQ55&lt;PT_First,PT_First,PT_First+PT_Int*(INT((AQ55-PT_First)/PT_Int)+1)),"")))</f>
        <v/>
      </c>
      <c r="BF55" s="11" t="n">
        <f aca="false">IF(AO55=0,0,IF(AND($Q55&lt;&gt;"",$Q55&lt;=AsOfDate),1,0))</f>
        <v>0</v>
      </c>
      <c r="BG55" s="11" t="str">
        <f aca="false">IF(AND(AO55=1,BF55=0,EH_Ready,N(AB55)&gt;0,N(AI55)=0),COUNT($BG$5:BG54)+1,"")</f>
        <v/>
      </c>
      <c r="BH55" s="11" t="str">
        <f aca="false">IF(AND(AO55=1,BF55=0,EH_Ready,N(AB55)&gt;0,N(AI55)&gt;0,N(AK55)&gt;0),COUNT($BH$5:BH54)+1,"")</f>
        <v/>
      </c>
      <c r="BI55" s="11" t="str">
        <f aca="false">IF(AND(AO55=1,OR(LEFT(AM55,3)="ADD",LEFT(AM55,3)="SET",LEFT(AM55,5)="CHECK",LEFT(AM55,10)="TERMINATED")),COUNT($BI$5:BI54)+1,"")</f>
        <v/>
      </c>
      <c r="BJ55" s="11" t="str">
        <f aca="false">IF(AO55=0,"",$A55&amp;" - "&amp;$B55&amp;" "&amp;$C55)</f>
        <v/>
      </c>
    </row>
    <row r="56" customFormat="false" ht="15" hidden="false" customHeight="false" outlineLevel="0" collapsed="false">
      <c r="A56" s="10"/>
      <c r="B56" s="10"/>
      <c r="C56" s="10"/>
      <c r="D56" s="10"/>
      <c r="E56" s="9"/>
      <c r="F56" s="10"/>
      <c r="G56" s="30"/>
      <c r="H56" s="9"/>
      <c r="I56" s="10"/>
      <c r="J56" s="30"/>
      <c r="K56" s="9"/>
      <c r="L56" s="10"/>
      <c r="M56" s="30"/>
      <c r="N56" s="9"/>
      <c r="O56" s="9"/>
      <c r="P56" s="30"/>
      <c r="Q56" s="9"/>
      <c r="R56" s="10"/>
      <c r="S56" s="11" t="str">
        <f aca="false">IF(AO56=0,"",IF($H56="","",$F56&amp;" -&gt; "&amp;$I56&amp;IF($I56="Part-Time"," ("&amp;N($J56)&amp;" hrs)","")&amp;" on "&amp;TEXT($H56,"dd/mm/yyyy")&amp;IF($H56&gt;AsOfDate," (FUTURE)","")&amp;IF($K56="","","; "&amp;$I56&amp;" -&gt; "&amp;$L56&amp;IF($L56="Part-Time"," ("&amp;N($M56)&amp;" hrs)","")&amp;" on "&amp;TEXT($K56,"dd/mm/yyyy")&amp;IF($K56&gt;AsOfDate," (FUTURE)",""))))</f>
        <v/>
      </c>
      <c r="T56" s="11" t="str">
        <f aca="false">IF(AO56=0,"",IF(AS56&lt;&gt;"",$L56,IF(AR56&lt;&gt;"",$I56,$F56)))</f>
        <v/>
      </c>
      <c r="U56" s="26" t="str">
        <f aca="false">IF(AO56=0,"",IF(AS56&lt;&gt;"",$M56,IF(AR56&lt;&gt;"",$J56,$G56)))</f>
        <v/>
      </c>
      <c r="V56" s="11" t="str">
        <f aca="false">IF(AO56=0,"",IF(AY56="FT","Full-Time",IF(AY56="PT","Part-Time","Not eligible")))</f>
        <v/>
      </c>
      <c r="W56" s="27" t="str">
        <f aca="false">IF(AO56=0,"",IF(AR56="",IF(AND($H56&lt;&gt;"",$H56&gt;AsOfDate),"Future change - not yet applied",""),IF(AND(AV56=AY56,OR(AS56="",AW56=AV56)),"Type changed - same accrual pathway",IF(AY56="None","STOPPED accruing from "&amp;TEXT(IF(AS56&lt;&gt;"",AS56,AR56),"dd/mm/yyyy"),IF(AV56="None","STARTED qualifying from "&amp;TEXT(IF(AS56&lt;&gt;"",AS56,AR56),"dd/mm/yyyy"),"Pathway changed "&amp;AV56&amp;" -&gt; "&amp;AW56&amp;IF(AS56&lt;&gt;""," -&gt; "&amp;AX56,"")&amp;" from "&amp;TEXT(IF(AS56&lt;&gt;"",AS56,AR56),"dd/mm/yyyy"))))))</f>
        <v/>
      </c>
      <c r="X56" s="28" t="str">
        <f aca="false">IF(AO56=0,"",IF($Q56="",AsOfDate,MIN(AsOfDate,$Q56)))</f>
        <v/>
      </c>
      <c r="Y56" s="26" t="str">
        <f aca="false">IF(AO56=0,"",MAX(0,AQ56))</f>
        <v/>
      </c>
      <c r="Z56" s="11" t="str">
        <f aca="false">IF(AO56=0,"",IF(AQ56&lt;0,"Not started",INT(AQ56/12)&amp;"y "&amp;MOD(AQ56,12)&amp;"m"))</f>
        <v/>
      </c>
      <c r="AA56" s="27" t="str">
        <f aca="false">IF(AO56=0,"",IF(BF56=1,"Terminated - balance forfeited",IF(AY56="None",IF(AB56&gt;0,"No longer accruing - "&amp;T56,"Not eligible - "&amp;T56&amp;IF(AND(IFERROR(VLOOKUP(T56,TypeTable,2,0),"None")="PT",N(U56)&lt;PT_MinHours)," (under "&amp;PT_MinHours&amp;" hrs)","")),IF(AB56&gt;0,"Yes - accruing","Not yet - qualifies "&amp;TEXT(AD56,"dd/mm/yyyy")))))</f>
        <v/>
      </c>
      <c r="AB56" s="26" t="str">
        <f aca="false">IF(AO56=0,"",AZ56+IF(AR56="",0,BB56-BA56)+IF(AS56="",0,BD56-BC56))</f>
        <v/>
      </c>
      <c r="AC56" s="26" t="str">
        <f aca="false">IF(AO56=0,"",AB56*HoursPerDay)</f>
        <v/>
      </c>
      <c r="AD56" s="28" t="str">
        <f aca="false">IF(AO56=0,"",IF(OR(BF56=1,AY56="None"),"",EDATE($E56+AP56,BE56)))</f>
        <v/>
      </c>
      <c r="AE56" s="26" t="str">
        <f aca="false">IF(AD56="","",IF(AY56="PT",1,IF(BE56&lt;FT_Y5,1,IF(MOD(BE56-FT_Y5,12)=0,FT_AnnivDays,1))))</f>
        <v/>
      </c>
      <c r="AF56" s="27" t="str">
        <f aca="false">IF(AO56=0,"",IF(NOT(EH_Ready),"Map headers",IF(IF(MatchMode="Employee ID",COUNTIFS(INDEX(EH_Data,0,EH_ColID),$A56,INDEX(EH_Data,0,EH_ColCat),BonusCat),COUNTIFS(INDEX(EH_Data,0,EH_ColFirst),$B56,INDEX(EH_Data,0,EH_ColSur),$C56,INDEX(EH_Data,0,EH_ColCat),BonusCat))&gt;0,"Yes","No")))</f>
        <v/>
      </c>
      <c r="AG56" s="26" t="str">
        <f aca="false">IF(AO56=0,"",IF(NOT(EH_Ready),"",IF(MatchMode="Employee ID",SUMIFS(INDEX(EH_Data,0,EH_ColBal),INDEX(EH_Data,0,EH_ColID),$A56,INDEX(EH_Data,0,EH_ColCat),BonusCat),SUMIFS(INDEX(EH_Data,0,EH_ColBal),INDEX(EH_Data,0,EH_ColFirst),$B56,INDEX(EH_Data,0,EH_ColSur),$C56,INDEX(EH_Data,0,EH_ColCat),BonusCat))/IF(EHUnit="Hours",HoursPerDay,1)))</f>
        <v/>
      </c>
      <c r="AH56" s="26" t="str">
        <f aca="false">IF(AO56=0,"",IF(NOT(TK_Ready),0,IF(MatchMode="Employee ID",SUMIFS(INDEX(TK_Data,0,TK_ColAmt),INDEX(TK_Data,0,TK_ColID),$A56,INDEX(TK_Data,0,TK_ColCat),BonusCat),SUMIFS(INDEX(TK_Data,0,TK_ColAmt),INDEX(TK_Data,0,TK_ColFirst),$B56,INDEX(TK_Data,0,TK_ColSur),$C56,INDEX(TK_Data,0,TK_ColCat),BonusCat))/IF(TKUnit="Hours",HoursPerDay,1)))</f>
        <v/>
      </c>
      <c r="AI56" s="26" t="str">
        <f aca="false">IF(AO56=0,"",N(AG56)+N(AH56))</f>
        <v/>
      </c>
      <c r="AJ56" s="29" t="str">
        <f aca="false">IF(AO56=0,"",IF(NOT(AND(EH_Ready,EH_ValReady)),"",IF(MatchMode="Employee ID",SUMIFS(INDEX(EH_Data,0,EH_ColVal),INDEX(EH_Data,0,EH_ColID),$A56,INDEX(EH_Data,0,EH_ColCat),BonusCat),SUMIFS(INDEX(EH_Data,0,EH_ColVal),INDEX(EH_Data,0,EH_ColFirst),$B56,INDEX(EH_Data,0,EH_ColSur),$C56,INDEX(EH_Data,0,EH_ColCat),BonusCat))))</f>
        <v/>
      </c>
      <c r="AK56" s="26" t="str">
        <f aca="false">IF(AO56=0,"",IF(OR(NOT(EH_Ready),BF56=1),"",AB56-AI56))</f>
        <v/>
      </c>
      <c r="AL56" s="26" t="str">
        <f aca="false">IF(AK56="","",AK56*HoursPerDay)</f>
        <v/>
      </c>
      <c r="AM56" s="27" t="str">
        <f aca="false">IF(AO56=0,"",IF(BF56=1,IF(N(AG56)&gt;0,"TERMINATED - forfeit "&amp;TEXT(AG56,"0.##")&amp;" days still in EH","Terminated - nothing in EH"),IF(NOT(EH_Ready),"Paste EH export and map headers on Settings",IF(AND(AB56&gt;0,AF56="No"),"SET UP in EH - add "&amp;TEXT(AB56,"0.##")&amp;" day(s) ("&amp;TEXT(AC56,"0.##")&amp;" hrs)",IF(AK56&gt;0,"ADD "&amp;TEXT(AK56,"0.##")&amp;" day(s) ("&amp;TEXT(AL56,"0.##")&amp;" hrs) in EH",IF(AK56&lt;0,"CHECK - EH shows "&amp;TEXT(-AK56,"0.##")&amp;" days more than policy",IF(AB56&gt;0,"OK - up to date",IF(AY56="None","No action - not eligible","No action - not yet qualified"))))))))</f>
        <v/>
      </c>
      <c r="AN56" s="27" t="str">
        <f aca="false">IF(AO56=0,"",TRIM(IF(AND($K56&lt;&gt;"",$H56=""),"Change 2 entered without Change 1. ","")&amp;IF(AND($K56&lt;&gt;"",$H56&lt;&gt;"",$K56&lt;=$H56),"Change 2 date not after Change 1. ","")&amp;IF(AND($N56&lt;&gt;"",$O56&lt;&gt;"",$O56&lt;$N56),"Leave To is before Leave From. ","")&amp;IF(AND($N56&lt;&gt;"",$O56=""),"Leave From entered without Leave To. ","")&amp;IF(AND(IFERROR(VLOOKUP(T56,TypeTable,2,0),"None")="PT",U56=""),"Part-time with no hours entered. ","")&amp;IF(AND($H56&lt;&gt;"",$H56&gt;AsOfDate,AD56&lt;&gt;"",$H56&lt;=AD56),"Status change lands before next accrual - review. ","")&amp;IF(AND($Q56&lt;&gt;"",$Q56&lt;$E56),"Termination before commencement. ","")))</f>
        <v/>
      </c>
      <c r="AO56" s="11" t="n">
        <f aca="false">IF(LEN($A56&amp;$B56&amp;$C56)=0,0,IF($E56="",0,1))</f>
        <v>0</v>
      </c>
      <c r="AP56" s="11" t="str">
        <f aca="false">IF(AO56=0,"",(IF(OR($N56="",$O56=""),0,MAX(0,MIN(X56,$O56)-MAX($N56,$E56)+1))+N($P56)))</f>
        <v/>
      </c>
      <c r="AQ56" s="11" t="str">
        <f aca="false">IF(AO56=0,"",IF(X56&lt;($E56+(IF(OR($N56="",$O56=""),0,MAX(0,MIN(X56,$O56)-MAX($N56,$E56)+1))+N($P56))),-1,12*(YEAR(X56)-YEAR(($E56+(IF(OR($N56="",$O56=""),0,MAX(0,MIN(X56,$O56)-MAX($N56,$E56)+1))+N($P56)))))+MONTH(X56)-MONTH(($E56+(IF(OR($N56="",$O56=""),0,MAX(0,MIN(X56,$O56)-MAX($N56,$E56)+1))+N($P56))))-IF(DAY(X56)&lt;MIN(DAY(($E56+(IF(OR($N56="",$O56=""),0,MAX(0,MIN(X56,$O56)-MAX($N56,$E56)+1))+N($P56)))),DAY(EOMONTH(X56,0))),1,0)))</f>
        <v/>
      </c>
      <c r="AR56" s="28" t="str">
        <f aca="false">IF(AO56=0,"",IF($H56="","",IF($H56&gt;X56,"",$H56)))</f>
        <v/>
      </c>
      <c r="AS56" s="28" t="str">
        <f aca="false">IF(AO56=0,"",IF(AR56="","",IF($K56="","",IF($K56&gt;X56,"",$K56))))</f>
        <v/>
      </c>
      <c r="AT56" s="11" t="str">
        <f aca="false">IF(AO56=0,"",IF(AR56="",AQ56,IF((AR56-1)&lt;($E56+(IF(OR($N56="",$O56=""),0,MAX(0,MIN((AR56-1),$O56)-MAX($N56,$E56)+1))+N($P56))),-1,12*(YEAR((AR56-1))-YEAR(($E56+(IF(OR($N56="",$O56=""),0,MAX(0,MIN((AR56-1),$O56)-MAX($N56,$E56)+1))+N($P56)))))+MONTH((AR56-1))-MONTH(($E56+(IF(OR($N56="",$O56=""),0,MAX(0,MIN((AR56-1),$O56)-MAX($N56,$E56)+1))+N($P56))))-IF(DAY((AR56-1))&lt;MIN(DAY(($E56+(IF(OR($N56="",$O56=""),0,MAX(0,MIN((AR56-1),$O56)-MAX($N56,$E56)+1))+N($P56)))),DAY(EOMONTH((AR56-1),0))),1,0))))</f>
        <v/>
      </c>
      <c r="AU56" s="11" t="str">
        <f aca="false">IF(AO56=0,"",IF(AS56="",AQ56,IF((AS56-1)&lt;($E56+(IF(OR($N56="",$O56=""),0,MAX(0,MIN((AS56-1),$O56)-MAX($N56,$E56)+1))+N($P56))),-1,12*(YEAR((AS56-1))-YEAR(($E56+(IF(OR($N56="",$O56=""),0,MAX(0,MIN((AS56-1),$O56)-MAX($N56,$E56)+1))+N($P56)))))+MONTH((AS56-1))-MONTH(($E56+(IF(OR($N56="",$O56=""),0,MAX(0,MIN((AS56-1),$O56)-MAX($N56,$E56)+1))+N($P56))))-IF(DAY((AS56-1))&lt;MIN(DAY(($E56+(IF(OR($N56="",$O56=""),0,MAX(0,MIN((AS56-1),$O56)-MAX($N56,$E56)+1))+N($P56)))),DAY(EOMONTH((AS56-1),0))),1,0))))</f>
        <v/>
      </c>
      <c r="AV56" s="11" t="str">
        <f aca="false">IF(AO56=0,"",IF($F56="","None",IF(IFERROR(VLOOKUP($F56,TypeTable,2,0),"None")="PT",IF(N($G56)&gt;=PT_MinHours,"PT","None"),IFERROR(VLOOKUP($F56,TypeTable,2,0),"None"))))</f>
        <v/>
      </c>
      <c r="AW56" s="11" t="str">
        <f aca="false">IF(AO56=0,"",IF($I56="","None",IF(IFERROR(VLOOKUP($I56,TypeTable,2,0),"None")="PT",IF(N($J56)&gt;=PT_MinHours,"PT","None"),IFERROR(VLOOKUP($I56,TypeTable,2,0),"None"))))</f>
        <v/>
      </c>
      <c r="AX56" s="11" t="str">
        <f aca="false">IF(AO56=0,"",IF($L56="","None",IF(IFERROR(VLOOKUP($L56,TypeTable,2,0),"None")="PT",IF(N($M56)&gt;=PT_MinHours,"PT","None"),IFERROR(VLOOKUP($L56,TypeTable,2,0),"None"))))</f>
        <v/>
      </c>
      <c r="AY56" s="11" t="str">
        <f aca="false">IF(AO56=0,"",IF(AS56&lt;&gt;"",AX56,IF(AR56&lt;&gt;"",AW56,AV56)))</f>
        <v/>
      </c>
      <c r="AZ56" s="11" t="str">
        <f aca="false">IF(AO56=0,"",IF(AV56="FT",IF(AT56&lt;FT_First,0,IF(AT56&lt;FT_Y5,1+INT((AT56-FT_First)/FT_Int1),FT_PreY5+FT_PerYear*INT((AT56-FT_Y5)/12)+FT_AnnivDays+INT(MOD(AT56-FT_Y5,12)/FT_Int2))),IF(AV56="PT",IF(AT56&lt;PT_First,0,1+INT((AT56-PT_First)/PT_Int)),0)))</f>
        <v/>
      </c>
      <c r="BA56" s="11" t="str">
        <f aca="false">IF(AO56=0,"",IF(AW56="FT",IF(AT56&lt;FT_First,0,IF(AT56&lt;FT_Y5,1+INT((AT56-FT_First)/FT_Int1),FT_PreY5+FT_PerYear*INT((AT56-FT_Y5)/12)+FT_AnnivDays+INT(MOD(AT56-FT_Y5,12)/FT_Int2))),IF(AW56="PT",IF(AT56&lt;PT_First,0,1+INT((AT56-PT_First)/PT_Int)),0)))</f>
        <v/>
      </c>
      <c r="BB56" s="11" t="str">
        <f aca="false">IF(AO56=0,"",IF(AW56="FT",IF(AU56&lt;FT_First,0,IF(AU56&lt;FT_Y5,1+INT((AU56-FT_First)/FT_Int1),FT_PreY5+FT_PerYear*INT((AU56-FT_Y5)/12)+FT_AnnivDays+INT(MOD(AU56-FT_Y5,12)/FT_Int2))),IF(AW56="PT",IF(AU56&lt;PT_First,0,1+INT((AU56-PT_First)/PT_Int)),0)))</f>
        <v/>
      </c>
      <c r="BC56" s="11" t="str">
        <f aca="false">IF(AO56=0,"",IF(AX56="FT",IF(AU56&lt;FT_First,0,IF(AU56&lt;FT_Y5,1+INT((AU56-FT_First)/FT_Int1),FT_PreY5+FT_PerYear*INT((AU56-FT_Y5)/12)+FT_AnnivDays+INT(MOD(AU56-FT_Y5,12)/FT_Int2))),IF(AX56="PT",IF(AU56&lt;PT_First,0,1+INT((AU56-PT_First)/PT_Int)),0)))</f>
        <v/>
      </c>
      <c r="BD56" s="11" t="str">
        <f aca="false">IF(AO56=0,"",IF(AX56="FT",IF(AQ56&lt;FT_First,0,IF(AQ56&lt;FT_Y5,1+INT((AQ56-FT_First)/FT_Int1),FT_PreY5+FT_PerYear*INT((AQ56-FT_Y5)/12)+FT_AnnivDays+INT(MOD(AQ56-FT_Y5,12)/FT_Int2))),IF(AX56="PT",IF(AQ56&lt;PT_First,0,1+INT((AQ56-PT_First)/PT_Int)),0)))</f>
        <v/>
      </c>
      <c r="BE56" s="11" t="str">
        <f aca="false">IF(AO56=0,"",IF(AY56="FT",IF(AQ56&lt;FT_First,FT_First,IF(AQ56&lt;FT_Y5,MIN(FT_Y5,FT_First+FT_Int1*(INT((AQ56-FT_First)/FT_Int1)+1)),FT_Y5+12*INT((AQ56-FT_Y5)/12)+FT_Int2*(INT(MOD(AQ56-FT_Y5,12)/FT_Int2)+1))),IF(AY56="PT",IF(AQ56&lt;PT_First,PT_First,PT_First+PT_Int*(INT((AQ56-PT_First)/PT_Int)+1)),"")))</f>
        <v/>
      </c>
      <c r="BF56" s="11" t="n">
        <f aca="false">IF(AO56=0,0,IF(AND($Q56&lt;&gt;"",$Q56&lt;=AsOfDate),1,0))</f>
        <v>0</v>
      </c>
      <c r="BG56" s="11" t="str">
        <f aca="false">IF(AND(AO56=1,BF56=0,EH_Ready,N(AB56)&gt;0,N(AI56)=0),COUNT($BG$5:BG55)+1,"")</f>
        <v/>
      </c>
      <c r="BH56" s="11" t="str">
        <f aca="false">IF(AND(AO56=1,BF56=0,EH_Ready,N(AB56)&gt;0,N(AI56)&gt;0,N(AK56)&gt;0),COUNT($BH$5:BH55)+1,"")</f>
        <v/>
      </c>
      <c r="BI56" s="11" t="str">
        <f aca="false">IF(AND(AO56=1,OR(LEFT(AM56,3)="ADD",LEFT(AM56,3)="SET",LEFT(AM56,5)="CHECK",LEFT(AM56,10)="TERMINATED")),COUNT($BI$5:BI55)+1,"")</f>
        <v/>
      </c>
      <c r="BJ56" s="11" t="str">
        <f aca="false">IF(AO56=0,"",$A56&amp;" - "&amp;$B56&amp;" "&amp;$C56)</f>
        <v/>
      </c>
    </row>
    <row r="57" customFormat="false" ht="15" hidden="false" customHeight="false" outlineLevel="0" collapsed="false">
      <c r="A57" s="10"/>
      <c r="B57" s="10"/>
      <c r="C57" s="10"/>
      <c r="D57" s="10"/>
      <c r="E57" s="9"/>
      <c r="F57" s="10"/>
      <c r="G57" s="30"/>
      <c r="H57" s="9"/>
      <c r="I57" s="10"/>
      <c r="J57" s="30"/>
      <c r="K57" s="9"/>
      <c r="L57" s="10"/>
      <c r="M57" s="30"/>
      <c r="N57" s="9"/>
      <c r="O57" s="9"/>
      <c r="P57" s="30"/>
      <c r="Q57" s="9"/>
      <c r="R57" s="10"/>
      <c r="S57" s="11" t="str">
        <f aca="false">IF(AO57=0,"",IF($H57="","",$F57&amp;" -&gt; "&amp;$I57&amp;IF($I57="Part-Time"," ("&amp;N($J57)&amp;" hrs)","")&amp;" on "&amp;TEXT($H57,"dd/mm/yyyy")&amp;IF($H57&gt;AsOfDate," (FUTURE)","")&amp;IF($K57="","","; "&amp;$I57&amp;" -&gt; "&amp;$L57&amp;IF($L57="Part-Time"," ("&amp;N($M57)&amp;" hrs)","")&amp;" on "&amp;TEXT($K57,"dd/mm/yyyy")&amp;IF($K57&gt;AsOfDate," (FUTURE)",""))))</f>
        <v/>
      </c>
      <c r="T57" s="11" t="str">
        <f aca="false">IF(AO57=0,"",IF(AS57&lt;&gt;"",$L57,IF(AR57&lt;&gt;"",$I57,$F57)))</f>
        <v/>
      </c>
      <c r="U57" s="26" t="str">
        <f aca="false">IF(AO57=0,"",IF(AS57&lt;&gt;"",$M57,IF(AR57&lt;&gt;"",$J57,$G57)))</f>
        <v/>
      </c>
      <c r="V57" s="11" t="str">
        <f aca="false">IF(AO57=0,"",IF(AY57="FT","Full-Time",IF(AY57="PT","Part-Time","Not eligible")))</f>
        <v/>
      </c>
      <c r="W57" s="27" t="str">
        <f aca="false">IF(AO57=0,"",IF(AR57="",IF(AND($H57&lt;&gt;"",$H57&gt;AsOfDate),"Future change - not yet applied",""),IF(AND(AV57=AY57,OR(AS57="",AW57=AV57)),"Type changed - same accrual pathway",IF(AY57="None","STOPPED accruing from "&amp;TEXT(IF(AS57&lt;&gt;"",AS57,AR57),"dd/mm/yyyy"),IF(AV57="None","STARTED qualifying from "&amp;TEXT(IF(AS57&lt;&gt;"",AS57,AR57),"dd/mm/yyyy"),"Pathway changed "&amp;AV57&amp;" -&gt; "&amp;AW57&amp;IF(AS57&lt;&gt;""," -&gt; "&amp;AX57,"")&amp;" from "&amp;TEXT(IF(AS57&lt;&gt;"",AS57,AR57),"dd/mm/yyyy"))))))</f>
        <v/>
      </c>
      <c r="X57" s="28" t="str">
        <f aca="false">IF(AO57=0,"",IF($Q57="",AsOfDate,MIN(AsOfDate,$Q57)))</f>
        <v/>
      </c>
      <c r="Y57" s="26" t="str">
        <f aca="false">IF(AO57=0,"",MAX(0,AQ57))</f>
        <v/>
      </c>
      <c r="Z57" s="11" t="str">
        <f aca="false">IF(AO57=0,"",IF(AQ57&lt;0,"Not started",INT(AQ57/12)&amp;"y "&amp;MOD(AQ57,12)&amp;"m"))</f>
        <v/>
      </c>
      <c r="AA57" s="27" t="str">
        <f aca="false">IF(AO57=0,"",IF(BF57=1,"Terminated - balance forfeited",IF(AY57="None",IF(AB57&gt;0,"No longer accruing - "&amp;T57,"Not eligible - "&amp;T57&amp;IF(AND(IFERROR(VLOOKUP(T57,TypeTable,2,0),"None")="PT",N(U57)&lt;PT_MinHours)," (under "&amp;PT_MinHours&amp;" hrs)","")),IF(AB57&gt;0,"Yes - accruing","Not yet - qualifies "&amp;TEXT(AD57,"dd/mm/yyyy")))))</f>
        <v/>
      </c>
      <c r="AB57" s="26" t="str">
        <f aca="false">IF(AO57=0,"",AZ57+IF(AR57="",0,BB57-BA57)+IF(AS57="",0,BD57-BC57))</f>
        <v/>
      </c>
      <c r="AC57" s="26" t="str">
        <f aca="false">IF(AO57=0,"",AB57*HoursPerDay)</f>
        <v/>
      </c>
      <c r="AD57" s="28" t="str">
        <f aca="false">IF(AO57=0,"",IF(OR(BF57=1,AY57="None"),"",EDATE($E57+AP57,BE57)))</f>
        <v/>
      </c>
      <c r="AE57" s="26" t="str">
        <f aca="false">IF(AD57="","",IF(AY57="PT",1,IF(BE57&lt;FT_Y5,1,IF(MOD(BE57-FT_Y5,12)=0,FT_AnnivDays,1))))</f>
        <v/>
      </c>
      <c r="AF57" s="27" t="str">
        <f aca="false">IF(AO57=0,"",IF(NOT(EH_Ready),"Map headers",IF(IF(MatchMode="Employee ID",COUNTIFS(INDEX(EH_Data,0,EH_ColID),$A57,INDEX(EH_Data,0,EH_ColCat),BonusCat),COUNTIFS(INDEX(EH_Data,0,EH_ColFirst),$B57,INDEX(EH_Data,0,EH_ColSur),$C57,INDEX(EH_Data,0,EH_ColCat),BonusCat))&gt;0,"Yes","No")))</f>
        <v/>
      </c>
      <c r="AG57" s="26" t="str">
        <f aca="false">IF(AO57=0,"",IF(NOT(EH_Ready),"",IF(MatchMode="Employee ID",SUMIFS(INDEX(EH_Data,0,EH_ColBal),INDEX(EH_Data,0,EH_ColID),$A57,INDEX(EH_Data,0,EH_ColCat),BonusCat),SUMIFS(INDEX(EH_Data,0,EH_ColBal),INDEX(EH_Data,0,EH_ColFirst),$B57,INDEX(EH_Data,0,EH_ColSur),$C57,INDEX(EH_Data,0,EH_ColCat),BonusCat))/IF(EHUnit="Hours",HoursPerDay,1)))</f>
        <v/>
      </c>
      <c r="AH57" s="26" t="str">
        <f aca="false">IF(AO57=0,"",IF(NOT(TK_Ready),0,IF(MatchMode="Employee ID",SUMIFS(INDEX(TK_Data,0,TK_ColAmt),INDEX(TK_Data,0,TK_ColID),$A57,INDEX(TK_Data,0,TK_ColCat),BonusCat),SUMIFS(INDEX(TK_Data,0,TK_ColAmt),INDEX(TK_Data,0,TK_ColFirst),$B57,INDEX(TK_Data,0,TK_ColSur),$C57,INDEX(TK_Data,0,TK_ColCat),BonusCat))/IF(TKUnit="Hours",HoursPerDay,1)))</f>
        <v/>
      </c>
      <c r="AI57" s="26" t="str">
        <f aca="false">IF(AO57=0,"",N(AG57)+N(AH57))</f>
        <v/>
      </c>
      <c r="AJ57" s="29" t="str">
        <f aca="false">IF(AO57=0,"",IF(NOT(AND(EH_Ready,EH_ValReady)),"",IF(MatchMode="Employee ID",SUMIFS(INDEX(EH_Data,0,EH_ColVal),INDEX(EH_Data,0,EH_ColID),$A57,INDEX(EH_Data,0,EH_ColCat),BonusCat),SUMIFS(INDEX(EH_Data,0,EH_ColVal),INDEX(EH_Data,0,EH_ColFirst),$B57,INDEX(EH_Data,0,EH_ColSur),$C57,INDEX(EH_Data,0,EH_ColCat),BonusCat))))</f>
        <v/>
      </c>
      <c r="AK57" s="26" t="str">
        <f aca="false">IF(AO57=0,"",IF(OR(NOT(EH_Ready),BF57=1),"",AB57-AI57))</f>
        <v/>
      </c>
      <c r="AL57" s="26" t="str">
        <f aca="false">IF(AK57="","",AK57*HoursPerDay)</f>
        <v/>
      </c>
      <c r="AM57" s="27" t="str">
        <f aca="false">IF(AO57=0,"",IF(BF57=1,IF(N(AG57)&gt;0,"TERMINATED - forfeit "&amp;TEXT(AG57,"0.##")&amp;" days still in EH","Terminated - nothing in EH"),IF(NOT(EH_Ready),"Paste EH export and map headers on Settings",IF(AND(AB57&gt;0,AF57="No"),"SET UP in EH - add "&amp;TEXT(AB57,"0.##")&amp;" day(s) ("&amp;TEXT(AC57,"0.##")&amp;" hrs)",IF(AK57&gt;0,"ADD "&amp;TEXT(AK57,"0.##")&amp;" day(s) ("&amp;TEXT(AL57,"0.##")&amp;" hrs) in EH",IF(AK57&lt;0,"CHECK - EH shows "&amp;TEXT(-AK57,"0.##")&amp;" days more than policy",IF(AB57&gt;0,"OK - up to date",IF(AY57="None","No action - not eligible","No action - not yet qualified"))))))))</f>
        <v/>
      </c>
      <c r="AN57" s="27" t="str">
        <f aca="false">IF(AO57=0,"",TRIM(IF(AND($K57&lt;&gt;"",$H57=""),"Change 2 entered without Change 1. ","")&amp;IF(AND($K57&lt;&gt;"",$H57&lt;&gt;"",$K57&lt;=$H57),"Change 2 date not after Change 1. ","")&amp;IF(AND($N57&lt;&gt;"",$O57&lt;&gt;"",$O57&lt;$N57),"Leave To is before Leave From. ","")&amp;IF(AND($N57&lt;&gt;"",$O57=""),"Leave From entered without Leave To. ","")&amp;IF(AND(IFERROR(VLOOKUP(T57,TypeTable,2,0),"None")="PT",U57=""),"Part-time with no hours entered. ","")&amp;IF(AND($H57&lt;&gt;"",$H57&gt;AsOfDate,AD57&lt;&gt;"",$H57&lt;=AD57),"Status change lands before next accrual - review. ","")&amp;IF(AND($Q57&lt;&gt;"",$Q57&lt;$E57),"Termination before commencement. ","")))</f>
        <v/>
      </c>
      <c r="AO57" s="11" t="n">
        <f aca="false">IF(LEN($A57&amp;$B57&amp;$C57)=0,0,IF($E57="",0,1))</f>
        <v>0</v>
      </c>
      <c r="AP57" s="11" t="str">
        <f aca="false">IF(AO57=0,"",(IF(OR($N57="",$O57=""),0,MAX(0,MIN(X57,$O57)-MAX($N57,$E57)+1))+N($P57)))</f>
        <v/>
      </c>
      <c r="AQ57" s="11" t="str">
        <f aca="false">IF(AO57=0,"",IF(X57&lt;($E57+(IF(OR($N57="",$O57=""),0,MAX(0,MIN(X57,$O57)-MAX($N57,$E57)+1))+N($P57))),-1,12*(YEAR(X57)-YEAR(($E57+(IF(OR($N57="",$O57=""),0,MAX(0,MIN(X57,$O57)-MAX($N57,$E57)+1))+N($P57)))))+MONTH(X57)-MONTH(($E57+(IF(OR($N57="",$O57=""),0,MAX(0,MIN(X57,$O57)-MAX($N57,$E57)+1))+N($P57))))-IF(DAY(X57)&lt;MIN(DAY(($E57+(IF(OR($N57="",$O57=""),0,MAX(0,MIN(X57,$O57)-MAX($N57,$E57)+1))+N($P57)))),DAY(EOMONTH(X57,0))),1,0)))</f>
        <v/>
      </c>
      <c r="AR57" s="28" t="str">
        <f aca="false">IF(AO57=0,"",IF($H57="","",IF($H57&gt;X57,"",$H57)))</f>
        <v/>
      </c>
      <c r="AS57" s="28" t="str">
        <f aca="false">IF(AO57=0,"",IF(AR57="","",IF($K57="","",IF($K57&gt;X57,"",$K57))))</f>
        <v/>
      </c>
      <c r="AT57" s="11" t="str">
        <f aca="false">IF(AO57=0,"",IF(AR57="",AQ57,IF((AR57-1)&lt;($E57+(IF(OR($N57="",$O57=""),0,MAX(0,MIN((AR57-1),$O57)-MAX($N57,$E57)+1))+N($P57))),-1,12*(YEAR((AR57-1))-YEAR(($E57+(IF(OR($N57="",$O57=""),0,MAX(0,MIN((AR57-1),$O57)-MAX($N57,$E57)+1))+N($P57)))))+MONTH((AR57-1))-MONTH(($E57+(IF(OR($N57="",$O57=""),0,MAX(0,MIN((AR57-1),$O57)-MAX($N57,$E57)+1))+N($P57))))-IF(DAY((AR57-1))&lt;MIN(DAY(($E57+(IF(OR($N57="",$O57=""),0,MAX(0,MIN((AR57-1),$O57)-MAX($N57,$E57)+1))+N($P57)))),DAY(EOMONTH((AR57-1),0))),1,0))))</f>
        <v/>
      </c>
      <c r="AU57" s="11" t="str">
        <f aca="false">IF(AO57=0,"",IF(AS57="",AQ57,IF((AS57-1)&lt;($E57+(IF(OR($N57="",$O57=""),0,MAX(0,MIN((AS57-1),$O57)-MAX($N57,$E57)+1))+N($P57))),-1,12*(YEAR((AS57-1))-YEAR(($E57+(IF(OR($N57="",$O57=""),0,MAX(0,MIN((AS57-1),$O57)-MAX($N57,$E57)+1))+N($P57)))))+MONTH((AS57-1))-MONTH(($E57+(IF(OR($N57="",$O57=""),0,MAX(0,MIN((AS57-1),$O57)-MAX($N57,$E57)+1))+N($P57))))-IF(DAY((AS57-1))&lt;MIN(DAY(($E57+(IF(OR($N57="",$O57=""),0,MAX(0,MIN((AS57-1),$O57)-MAX($N57,$E57)+1))+N($P57)))),DAY(EOMONTH((AS57-1),0))),1,0))))</f>
        <v/>
      </c>
      <c r="AV57" s="11" t="str">
        <f aca="false">IF(AO57=0,"",IF($F57="","None",IF(IFERROR(VLOOKUP($F57,TypeTable,2,0),"None")="PT",IF(N($G57)&gt;=PT_MinHours,"PT","None"),IFERROR(VLOOKUP($F57,TypeTable,2,0),"None"))))</f>
        <v/>
      </c>
      <c r="AW57" s="11" t="str">
        <f aca="false">IF(AO57=0,"",IF($I57="","None",IF(IFERROR(VLOOKUP($I57,TypeTable,2,0),"None")="PT",IF(N($J57)&gt;=PT_MinHours,"PT","None"),IFERROR(VLOOKUP($I57,TypeTable,2,0),"None"))))</f>
        <v/>
      </c>
      <c r="AX57" s="11" t="str">
        <f aca="false">IF(AO57=0,"",IF($L57="","None",IF(IFERROR(VLOOKUP($L57,TypeTable,2,0),"None")="PT",IF(N($M57)&gt;=PT_MinHours,"PT","None"),IFERROR(VLOOKUP($L57,TypeTable,2,0),"None"))))</f>
        <v/>
      </c>
      <c r="AY57" s="11" t="str">
        <f aca="false">IF(AO57=0,"",IF(AS57&lt;&gt;"",AX57,IF(AR57&lt;&gt;"",AW57,AV57)))</f>
        <v/>
      </c>
      <c r="AZ57" s="11" t="str">
        <f aca="false">IF(AO57=0,"",IF(AV57="FT",IF(AT57&lt;FT_First,0,IF(AT57&lt;FT_Y5,1+INT((AT57-FT_First)/FT_Int1),FT_PreY5+FT_PerYear*INT((AT57-FT_Y5)/12)+FT_AnnivDays+INT(MOD(AT57-FT_Y5,12)/FT_Int2))),IF(AV57="PT",IF(AT57&lt;PT_First,0,1+INT((AT57-PT_First)/PT_Int)),0)))</f>
        <v/>
      </c>
      <c r="BA57" s="11" t="str">
        <f aca="false">IF(AO57=0,"",IF(AW57="FT",IF(AT57&lt;FT_First,0,IF(AT57&lt;FT_Y5,1+INT((AT57-FT_First)/FT_Int1),FT_PreY5+FT_PerYear*INT((AT57-FT_Y5)/12)+FT_AnnivDays+INT(MOD(AT57-FT_Y5,12)/FT_Int2))),IF(AW57="PT",IF(AT57&lt;PT_First,0,1+INT((AT57-PT_First)/PT_Int)),0)))</f>
        <v/>
      </c>
      <c r="BB57" s="11" t="str">
        <f aca="false">IF(AO57=0,"",IF(AW57="FT",IF(AU57&lt;FT_First,0,IF(AU57&lt;FT_Y5,1+INT((AU57-FT_First)/FT_Int1),FT_PreY5+FT_PerYear*INT((AU57-FT_Y5)/12)+FT_AnnivDays+INT(MOD(AU57-FT_Y5,12)/FT_Int2))),IF(AW57="PT",IF(AU57&lt;PT_First,0,1+INT((AU57-PT_First)/PT_Int)),0)))</f>
        <v/>
      </c>
      <c r="BC57" s="11" t="str">
        <f aca="false">IF(AO57=0,"",IF(AX57="FT",IF(AU57&lt;FT_First,0,IF(AU57&lt;FT_Y5,1+INT((AU57-FT_First)/FT_Int1),FT_PreY5+FT_PerYear*INT((AU57-FT_Y5)/12)+FT_AnnivDays+INT(MOD(AU57-FT_Y5,12)/FT_Int2))),IF(AX57="PT",IF(AU57&lt;PT_First,0,1+INT((AU57-PT_First)/PT_Int)),0)))</f>
        <v/>
      </c>
      <c r="BD57" s="11" t="str">
        <f aca="false">IF(AO57=0,"",IF(AX57="FT",IF(AQ57&lt;FT_First,0,IF(AQ57&lt;FT_Y5,1+INT((AQ57-FT_First)/FT_Int1),FT_PreY5+FT_PerYear*INT((AQ57-FT_Y5)/12)+FT_AnnivDays+INT(MOD(AQ57-FT_Y5,12)/FT_Int2))),IF(AX57="PT",IF(AQ57&lt;PT_First,0,1+INT((AQ57-PT_First)/PT_Int)),0)))</f>
        <v/>
      </c>
      <c r="BE57" s="11" t="str">
        <f aca="false">IF(AO57=0,"",IF(AY57="FT",IF(AQ57&lt;FT_First,FT_First,IF(AQ57&lt;FT_Y5,MIN(FT_Y5,FT_First+FT_Int1*(INT((AQ57-FT_First)/FT_Int1)+1)),FT_Y5+12*INT((AQ57-FT_Y5)/12)+FT_Int2*(INT(MOD(AQ57-FT_Y5,12)/FT_Int2)+1))),IF(AY57="PT",IF(AQ57&lt;PT_First,PT_First,PT_First+PT_Int*(INT((AQ57-PT_First)/PT_Int)+1)),"")))</f>
        <v/>
      </c>
      <c r="BF57" s="11" t="n">
        <f aca="false">IF(AO57=0,0,IF(AND($Q57&lt;&gt;"",$Q57&lt;=AsOfDate),1,0))</f>
        <v>0</v>
      </c>
      <c r="BG57" s="11" t="str">
        <f aca="false">IF(AND(AO57=1,BF57=0,EH_Ready,N(AB57)&gt;0,N(AI57)=0),COUNT($BG$5:BG56)+1,"")</f>
        <v/>
      </c>
      <c r="BH57" s="11" t="str">
        <f aca="false">IF(AND(AO57=1,BF57=0,EH_Ready,N(AB57)&gt;0,N(AI57)&gt;0,N(AK57)&gt;0),COUNT($BH$5:BH56)+1,"")</f>
        <v/>
      </c>
      <c r="BI57" s="11" t="str">
        <f aca="false">IF(AND(AO57=1,OR(LEFT(AM57,3)="ADD",LEFT(AM57,3)="SET",LEFT(AM57,5)="CHECK",LEFT(AM57,10)="TERMINATED")),COUNT($BI$5:BI56)+1,"")</f>
        <v/>
      </c>
      <c r="BJ57" s="11" t="str">
        <f aca="false">IF(AO57=0,"",$A57&amp;" - "&amp;$B57&amp;" "&amp;$C57)</f>
        <v/>
      </c>
    </row>
    <row r="58" customFormat="false" ht="15" hidden="false" customHeight="false" outlineLevel="0" collapsed="false">
      <c r="A58" s="10"/>
      <c r="B58" s="10"/>
      <c r="C58" s="10"/>
      <c r="D58" s="10"/>
      <c r="E58" s="9"/>
      <c r="F58" s="10"/>
      <c r="G58" s="30"/>
      <c r="H58" s="9"/>
      <c r="I58" s="10"/>
      <c r="J58" s="30"/>
      <c r="K58" s="9"/>
      <c r="L58" s="10"/>
      <c r="M58" s="30"/>
      <c r="N58" s="9"/>
      <c r="O58" s="9"/>
      <c r="P58" s="30"/>
      <c r="Q58" s="9"/>
      <c r="R58" s="10"/>
      <c r="S58" s="11" t="str">
        <f aca="false">IF(AO58=0,"",IF($H58="","",$F58&amp;" -&gt; "&amp;$I58&amp;IF($I58="Part-Time"," ("&amp;N($J58)&amp;" hrs)","")&amp;" on "&amp;TEXT($H58,"dd/mm/yyyy")&amp;IF($H58&gt;AsOfDate," (FUTURE)","")&amp;IF($K58="","","; "&amp;$I58&amp;" -&gt; "&amp;$L58&amp;IF($L58="Part-Time"," ("&amp;N($M58)&amp;" hrs)","")&amp;" on "&amp;TEXT($K58,"dd/mm/yyyy")&amp;IF($K58&gt;AsOfDate," (FUTURE)",""))))</f>
        <v/>
      </c>
      <c r="T58" s="11" t="str">
        <f aca="false">IF(AO58=0,"",IF(AS58&lt;&gt;"",$L58,IF(AR58&lt;&gt;"",$I58,$F58)))</f>
        <v/>
      </c>
      <c r="U58" s="26" t="str">
        <f aca="false">IF(AO58=0,"",IF(AS58&lt;&gt;"",$M58,IF(AR58&lt;&gt;"",$J58,$G58)))</f>
        <v/>
      </c>
      <c r="V58" s="11" t="str">
        <f aca="false">IF(AO58=0,"",IF(AY58="FT","Full-Time",IF(AY58="PT","Part-Time","Not eligible")))</f>
        <v/>
      </c>
      <c r="W58" s="27" t="str">
        <f aca="false">IF(AO58=0,"",IF(AR58="",IF(AND($H58&lt;&gt;"",$H58&gt;AsOfDate),"Future change - not yet applied",""),IF(AND(AV58=AY58,OR(AS58="",AW58=AV58)),"Type changed - same accrual pathway",IF(AY58="None","STOPPED accruing from "&amp;TEXT(IF(AS58&lt;&gt;"",AS58,AR58),"dd/mm/yyyy"),IF(AV58="None","STARTED qualifying from "&amp;TEXT(IF(AS58&lt;&gt;"",AS58,AR58),"dd/mm/yyyy"),"Pathway changed "&amp;AV58&amp;" -&gt; "&amp;AW58&amp;IF(AS58&lt;&gt;""," -&gt; "&amp;AX58,"")&amp;" from "&amp;TEXT(IF(AS58&lt;&gt;"",AS58,AR58),"dd/mm/yyyy"))))))</f>
        <v/>
      </c>
      <c r="X58" s="28" t="str">
        <f aca="false">IF(AO58=0,"",IF($Q58="",AsOfDate,MIN(AsOfDate,$Q58)))</f>
        <v/>
      </c>
      <c r="Y58" s="26" t="str">
        <f aca="false">IF(AO58=0,"",MAX(0,AQ58))</f>
        <v/>
      </c>
      <c r="Z58" s="11" t="str">
        <f aca="false">IF(AO58=0,"",IF(AQ58&lt;0,"Not started",INT(AQ58/12)&amp;"y "&amp;MOD(AQ58,12)&amp;"m"))</f>
        <v/>
      </c>
      <c r="AA58" s="27" t="str">
        <f aca="false">IF(AO58=0,"",IF(BF58=1,"Terminated - balance forfeited",IF(AY58="None",IF(AB58&gt;0,"No longer accruing - "&amp;T58,"Not eligible - "&amp;T58&amp;IF(AND(IFERROR(VLOOKUP(T58,TypeTable,2,0),"None")="PT",N(U58)&lt;PT_MinHours)," (under "&amp;PT_MinHours&amp;" hrs)","")),IF(AB58&gt;0,"Yes - accruing","Not yet - qualifies "&amp;TEXT(AD58,"dd/mm/yyyy")))))</f>
        <v/>
      </c>
      <c r="AB58" s="26" t="str">
        <f aca="false">IF(AO58=0,"",AZ58+IF(AR58="",0,BB58-BA58)+IF(AS58="",0,BD58-BC58))</f>
        <v/>
      </c>
      <c r="AC58" s="26" t="str">
        <f aca="false">IF(AO58=0,"",AB58*HoursPerDay)</f>
        <v/>
      </c>
      <c r="AD58" s="28" t="str">
        <f aca="false">IF(AO58=0,"",IF(OR(BF58=1,AY58="None"),"",EDATE($E58+AP58,BE58)))</f>
        <v/>
      </c>
      <c r="AE58" s="26" t="str">
        <f aca="false">IF(AD58="","",IF(AY58="PT",1,IF(BE58&lt;FT_Y5,1,IF(MOD(BE58-FT_Y5,12)=0,FT_AnnivDays,1))))</f>
        <v/>
      </c>
      <c r="AF58" s="27" t="str">
        <f aca="false">IF(AO58=0,"",IF(NOT(EH_Ready),"Map headers",IF(IF(MatchMode="Employee ID",COUNTIFS(INDEX(EH_Data,0,EH_ColID),$A58,INDEX(EH_Data,0,EH_ColCat),BonusCat),COUNTIFS(INDEX(EH_Data,0,EH_ColFirst),$B58,INDEX(EH_Data,0,EH_ColSur),$C58,INDEX(EH_Data,0,EH_ColCat),BonusCat))&gt;0,"Yes","No")))</f>
        <v/>
      </c>
      <c r="AG58" s="26" t="str">
        <f aca="false">IF(AO58=0,"",IF(NOT(EH_Ready),"",IF(MatchMode="Employee ID",SUMIFS(INDEX(EH_Data,0,EH_ColBal),INDEX(EH_Data,0,EH_ColID),$A58,INDEX(EH_Data,0,EH_ColCat),BonusCat),SUMIFS(INDEX(EH_Data,0,EH_ColBal),INDEX(EH_Data,0,EH_ColFirst),$B58,INDEX(EH_Data,0,EH_ColSur),$C58,INDEX(EH_Data,0,EH_ColCat),BonusCat))/IF(EHUnit="Hours",HoursPerDay,1)))</f>
        <v/>
      </c>
      <c r="AH58" s="26" t="str">
        <f aca="false">IF(AO58=0,"",IF(NOT(TK_Ready),0,IF(MatchMode="Employee ID",SUMIFS(INDEX(TK_Data,0,TK_ColAmt),INDEX(TK_Data,0,TK_ColID),$A58,INDEX(TK_Data,0,TK_ColCat),BonusCat),SUMIFS(INDEX(TK_Data,0,TK_ColAmt),INDEX(TK_Data,0,TK_ColFirst),$B58,INDEX(TK_Data,0,TK_ColSur),$C58,INDEX(TK_Data,0,TK_ColCat),BonusCat))/IF(TKUnit="Hours",HoursPerDay,1)))</f>
        <v/>
      </c>
      <c r="AI58" s="26" t="str">
        <f aca="false">IF(AO58=0,"",N(AG58)+N(AH58))</f>
        <v/>
      </c>
      <c r="AJ58" s="29" t="str">
        <f aca="false">IF(AO58=0,"",IF(NOT(AND(EH_Ready,EH_ValReady)),"",IF(MatchMode="Employee ID",SUMIFS(INDEX(EH_Data,0,EH_ColVal),INDEX(EH_Data,0,EH_ColID),$A58,INDEX(EH_Data,0,EH_ColCat),BonusCat),SUMIFS(INDEX(EH_Data,0,EH_ColVal),INDEX(EH_Data,0,EH_ColFirst),$B58,INDEX(EH_Data,0,EH_ColSur),$C58,INDEX(EH_Data,0,EH_ColCat),BonusCat))))</f>
        <v/>
      </c>
      <c r="AK58" s="26" t="str">
        <f aca="false">IF(AO58=0,"",IF(OR(NOT(EH_Ready),BF58=1),"",AB58-AI58))</f>
        <v/>
      </c>
      <c r="AL58" s="26" t="str">
        <f aca="false">IF(AK58="","",AK58*HoursPerDay)</f>
        <v/>
      </c>
      <c r="AM58" s="27" t="str">
        <f aca="false">IF(AO58=0,"",IF(BF58=1,IF(N(AG58)&gt;0,"TERMINATED - forfeit "&amp;TEXT(AG58,"0.##")&amp;" days still in EH","Terminated - nothing in EH"),IF(NOT(EH_Ready),"Paste EH export and map headers on Settings",IF(AND(AB58&gt;0,AF58="No"),"SET UP in EH - add "&amp;TEXT(AB58,"0.##")&amp;" day(s) ("&amp;TEXT(AC58,"0.##")&amp;" hrs)",IF(AK58&gt;0,"ADD "&amp;TEXT(AK58,"0.##")&amp;" day(s) ("&amp;TEXT(AL58,"0.##")&amp;" hrs) in EH",IF(AK58&lt;0,"CHECK - EH shows "&amp;TEXT(-AK58,"0.##")&amp;" days more than policy",IF(AB58&gt;0,"OK - up to date",IF(AY58="None","No action - not eligible","No action - not yet qualified"))))))))</f>
        <v/>
      </c>
      <c r="AN58" s="27" t="str">
        <f aca="false">IF(AO58=0,"",TRIM(IF(AND($K58&lt;&gt;"",$H58=""),"Change 2 entered without Change 1. ","")&amp;IF(AND($K58&lt;&gt;"",$H58&lt;&gt;"",$K58&lt;=$H58),"Change 2 date not after Change 1. ","")&amp;IF(AND($N58&lt;&gt;"",$O58&lt;&gt;"",$O58&lt;$N58),"Leave To is before Leave From. ","")&amp;IF(AND($N58&lt;&gt;"",$O58=""),"Leave From entered without Leave To. ","")&amp;IF(AND(IFERROR(VLOOKUP(T58,TypeTable,2,0),"None")="PT",U58=""),"Part-time with no hours entered. ","")&amp;IF(AND($H58&lt;&gt;"",$H58&gt;AsOfDate,AD58&lt;&gt;"",$H58&lt;=AD58),"Status change lands before next accrual - review. ","")&amp;IF(AND($Q58&lt;&gt;"",$Q58&lt;$E58),"Termination before commencement. ","")))</f>
        <v/>
      </c>
      <c r="AO58" s="11" t="n">
        <f aca="false">IF(LEN($A58&amp;$B58&amp;$C58)=0,0,IF($E58="",0,1))</f>
        <v>0</v>
      </c>
      <c r="AP58" s="11" t="str">
        <f aca="false">IF(AO58=0,"",(IF(OR($N58="",$O58=""),0,MAX(0,MIN(X58,$O58)-MAX($N58,$E58)+1))+N($P58)))</f>
        <v/>
      </c>
      <c r="AQ58" s="11" t="str">
        <f aca="false">IF(AO58=0,"",IF(X58&lt;($E58+(IF(OR($N58="",$O58=""),0,MAX(0,MIN(X58,$O58)-MAX($N58,$E58)+1))+N($P58))),-1,12*(YEAR(X58)-YEAR(($E58+(IF(OR($N58="",$O58=""),0,MAX(0,MIN(X58,$O58)-MAX($N58,$E58)+1))+N($P58)))))+MONTH(X58)-MONTH(($E58+(IF(OR($N58="",$O58=""),0,MAX(0,MIN(X58,$O58)-MAX($N58,$E58)+1))+N($P58))))-IF(DAY(X58)&lt;MIN(DAY(($E58+(IF(OR($N58="",$O58=""),0,MAX(0,MIN(X58,$O58)-MAX($N58,$E58)+1))+N($P58)))),DAY(EOMONTH(X58,0))),1,0)))</f>
        <v/>
      </c>
      <c r="AR58" s="28" t="str">
        <f aca="false">IF(AO58=0,"",IF($H58="","",IF($H58&gt;X58,"",$H58)))</f>
        <v/>
      </c>
      <c r="AS58" s="28" t="str">
        <f aca="false">IF(AO58=0,"",IF(AR58="","",IF($K58="","",IF($K58&gt;X58,"",$K58))))</f>
        <v/>
      </c>
      <c r="AT58" s="11" t="str">
        <f aca="false">IF(AO58=0,"",IF(AR58="",AQ58,IF((AR58-1)&lt;($E58+(IF(OR($N58="",$O58=""),0,MAX(0,MIN((AR58-1),$O58)-MAX($N58,$E58)+1))+N($P58))),-1,12*(YEAR((AR58-1))-YEAR(($E58+(IF(OR($N58="",$O58=""),0,MAX(0,MIN((AR58-1),$O58)-MAX($N58,$E58)+1))+N($P58)))))+MONTH((AR58-1))-MONTH(($E58+(IF(OR($N58="",$O58=""),0,MAX(0,MIN((AR58-1),$O58)-MAX($N58,$E58)+1))+N($P58))))-IF(DAY((AR58-1))&lt;MIN(DAY(($E58+(IF(OR($N58="",$O58=""),0,MAX(0,MIN((AR58-1),$O58)-MAX($N58,$E58)+1))+N($P58)))),DAY(EOMONTH((AR58-1),0))),1,0))))</f>
        <v/>
      </c>
      <c r="AU58" s="11" t="str">
        <f aca="false">IF(AO58=0,"",IF(AS58="",AQ58,IF((AS58-1)&lt;($E58+(IF(OR($N58="",$O58=""),0,MAX(0,MIN((AS58-1),$O58)-MAX($N58,$E58)+1))+N($P58))),-1,12*(YEAR((AS58-1))-YEAR(($E58+(IF(OR($N58="",$O58=""),0,MAX(0,MIN((AS58-1),$O58)-MAX($N58,$E58)+1))+N($P58)))))+MONTH((AS58-1))-MONTH(($E58+(IF(OR($N58="",$O58=""),0,MAX(0,MIN((AS58-1),$O58)-MAX($N58,$E58)+1))+N($P58))))-IF(DAY((AS58-1))&lt;MIN(DAY(($E58+(IF(OR($N58="",$O58=""),0,MAX(0,MIN((AS58-1),$O58)-MAX($N58,$E58)+1))+N($P58)))),DAY(EOMONTH((AS58-1),0))),1,0))))</f>
        <v/>
      </c>
      <c r="AV58" s="11" t="str">
        <f aca="false">IF(AO58=0,"",IF($F58="","None",IF(IFERROR(VLOOKUP($F58,TypeTable,2,0),"None")="PT",IF(N($G58)&gt;=PT_MinHours,"PT","None"),IFERROR(VLOOKUP($F58,TypeTable,2,0),"None"))))</f>
        <v/>
      </c>
      <c r="AW58" s="11" t="str">
        <f aca="false">IF(AO58=0,"",IF($I58="","None",IF(IFERROR(VLOOKUP($I58,TypeTable,2,0),"None")="PT",IF(N($J58)&gt;=PT_MinHours,"PT","None"),IFERROR(VLOOKUP($I58,TypeTable,2,0),"None"))))</f>
        <v/>
      </c>
      <c r="AX58" s="11" t="str">
        <f aca="false">IF(AO58=0,"",IF($L58="","None",IF(IFERROR(VLOOKUP($L58,TypeTable,2,0),"None")="PT",IF(N($M58)&gt;=PT_MinHours,"PT","None"),IFERROR(VLOOKUP($L58,TypeTable,2,0),"None"))))</f>
        <v/>
      </c>
      <c r="AY58" s="11" t="str">
        <f aca="false">IF(AO58=0,"",IF(AS58&lt;&gt;"",AX58,IF(AR58&lt;&gt;"",AW58,AV58)))</f>
        <v/>
      </c>
      <c r="AZ58" s="11" t="str">
        <f aca="false">IF(AO58=0,"",IF(AV58="FT",IF(AT58&lt;FT_First,0,IF(AT58&lt;FT_Y5,1+INT((AT58-FT_First)/FT_Int1),FT_PreY5+FT_PerYear*INT((AT58-FT_Y5)/12)+FT_AnnivDays+INT(MOD(AT58-FT_Y5,12)/FT_Int2))),IF(AV58="PT",IF(AT58&lt;PT_First,0,1+INT((AT58-PT_First)/PT_Int)),0)))</f>
        <v/>
      </c>
      <c r="BA58" s="11" t="str">
        <f aca="false">IF(AO58=0,"",IF(AW58="FT",IF(AT58&lt;FT_First,0,IF(AT58&lt;FT_Y5,1+INT((AT58-FT_First)/FT_Int1),FT_PreY5+FT_PerYear*INT((AT58-FT_Y5)/12)+FT_AnnivDays+INT(MOD(AT58-FT_Y5,12)/FT_Int2))),IF(AW58="PT",IF(AT58&lt;PT_First,0,1+INT((AT58-PT_First)/PT_Int)),0)))</f>
        <v/>
      </c>
      <c r="BB58" s="11" t="str">
        <f aca="false">IF(AO58=0,"",IF(AW58="FT",IF(AU58&lt;FT_First,0,IF(AU58&lt;FT_Y5,1+INT((AU58-FT_First)/FT_Int1),FT_PreY5+FT_PerYear*INT((AU58-FT_Y5)/12)+FT_AnnivDays+INT(MOD(AU58-FT_Y5,12)/FT_Int2))),IF(AW58="PT",IF(AU58&lt;PT_First,0,1+INT((AU58-PT_First)/PT_Int)),0)))</f>
        <v/>
      </c>
      <c r="BC58" s="11" t="str">
        <f aca="false">IF(AO58=0,"",IF(AX58="FT",IF(AU58&lt;FT_First,0,IF(AU58&lt;FT_Y5,1+INT((AU58-FT_First)/FT_Int1),FT_PreY5+FT_PerYear*INT((AU58-FT_Y5)/12)+FT_AnnivDays+INT(MOD(AU58-FT_Y5,12)/FT_Int2))),IF(AX58="PT",IF(AU58&lt;PT_First,0,1+INT((AU58-PT_First)/PT_Int)),0)))</f>
        <v/>
      </c>
      <c r="BD58" s="11" t="str">
        <f aca="false">IF(AO58=0,"",IF(AX58="FT",IF(AQ58&lt;FT_First,0,IF(AQ58&lt;FT_Y5,1+INT((AQ58-FT_First)/FT_Int1),FT_PreY5+FT_PerYear*INT((AQ58-FT_Y5)/12)+FT_AnnivDays+INT(MOD(AQ58-FT_Y5,12)/FT_Int2))),IF(AX58="PT",IF(AQ58&lt;PT_First,0,1+INT((AQ58-PT_First)/PT_Int)),0)))</f>
        <v/>
      </c>
      <c r="BE58" s="11" t="str">
        <f aca="false">IF(AO58=0,"",IF(AY58="FT",IF(AQ58&lt;FT_First,FT_First,IF(AQ58&lt;FT_Y5,MIN(FT_Y5,FT_First+FT_Int1*(INT((AQ58-FT_First)/FT_Int1)+1)),FT_Y5+12*INT((AQ58-FT_Y5)/12)+FT_Int2*(INT(MOD(AQ58-FT_Y5,12)/FT_Int2)+1))),IF(AY58="PT",IF(AQ58&lt;PT_First,PT_First,PT_First+PT_Int*(INT((AQ58-PT_First)/PT_Int)+1)),"")))</f>
        <v/>
      </c>
      <c r="BF58" s="11" t="n">
        <f aca="false">IF(AO58=0,0,IF(AND($Q58&lt;&gt;"",$Q58&lt;=AsOfDate),1,0))</f>
        <v>0</v>
      </c>
      <c r="BG58" s="11" t="str">
        <f aca="false">IF(AND(AO58=1,BF58=0,EH_Ready,N(AB58)&gt;0,N(AI58)=0),COUNT($BG$5:BG57)+1,"")</f>
        <v/>
      </c>
      <c r="BH58" s="11" t="str">
        <f aca="false">IF(AND(AO58=1,BF58=0,EH_Ready,N(AB58)&gt;0,N(AI58)&gt;0,N(AK58)&gt;0),COUNT($BH$5:BH57)+1,"")</f>
        <v/>
      </c>
      <c r="BI58" s="11" t="str">
        <f aca="false">IF(AND(AO58=1,OR(LEFT(AM58,3)="ADD",LEFT(AM58,3)="SET",LEFT(AM58,5)="CHECK",LEFT(AM58,10)="TERMINATED")),COUNT($BI$5:BI57)+1,"")</f>
        <v/>
      </c>
      <c r="BJ58" s="11" t="str">
        <f aca="false">IF(AO58=0,"",$A58&amp;" - "&amp;$B58&amp;" "&amp;$C58)</f>
        <v/>
      </c>
    </row>
    <row r="59" customFormat="false" ht="15" hidden="false" customHeight="false" outlineLevel="0" collapsed="false">
      <c r="A59" s="10"/>
      <c r="B59" s="10"/>
      <c r="C59" s="10"/>
      <c r="D59" s="10"/>
      <c r="E59" s="9"/>
      <c r="F59" s="10"/>
      <c r="G59" s="30"/>
      <c r="H59" s="9"/>
      <c r="I59" s="10"/>
      <c r="J59" s="30"/>
      <c r="K59" s="9"/>
      <c r="L59" s="10"/>
      <c r="M59" s="30"/>
      <c r="N59" s="9"/>
      <c r="O59" s="9"/>
      <c r="P59" s="30"/>
      <c r="Q59" s="9"/>
      <c r="R59" s="10"/>
      <c r="S59" s="11" t="str">
        <f aca="false">IF(AO59=0,"",IF($H59="","",$F59&amp;" -&gt; "&amp;$I59&amp;IF($I59="Part-Time"," ("&amp;N($J59)&amp;" hrs)","")&amp;" on "&amp;TEXT($H59,"dd/mm/yyyy")&amp;IF($H59&gt;AsOfDate," (FUTURE)","")&amp;IF($K59="","","; "&amp;$I59&amp;" -&gt; "&amp;$L59&amp;IF($L59="Part-Time"," ("&amp;N($M59)&amp;" hrs)","")&amp;" on "&amp;TEXT($K59,"dd/mm/yyyy")&amp;IF($K59&gt;AsOfDate," (FUTURE)",""))))</f>
        <v/>
      </c>
      <c r="T59" s="11" t="str">
        <f aca="false">IF(AO59=0,"",IF(AS59&lt;&gt;"",$L59,IF(AR59&lt;&gt;"",$I59,$F59)))</f>
        <v/>
      </c>
      <c r="U59" s="26" t="str">
        <f aca="false">IF(AO59=0,"",IF(AS59&lt;&gt;"",$M59,IF(AR59&lt;&gt;"",$J59,$G59)))</f>
        <v/>
      </c>
      <c r="V59" s="11" t="str">
        <f aca="false">IF(AO59=0,"",IF(AY59="FT","Full-Time",IF(AY59="PT","Part-Time","Not eligible")))</f>
        <v/>
      </c>
      <c r="W59" s="27" t="str">
        <f aca="false">IF(AO59=0,"",IF(AR59="",IF(AND($H59&lt;&gt;"",$H59&gt;AsOfDate),"Future change - not yet applied",""),IF(AND(AV59=AY59,OR(AS59="",AW59=AV59)),"Type changed - same accrual pathway",IF(AY59="None","STOPPED accruing from "&amp;TEXT(IF(AS59&lt;&gt;"",AS59,AR59),"dd/mm/yyyy"),IF(AV59="None","STARTED qualifying from "&amp;TEXT(IF(AS59&lt;&gt;"",AS59,AR59),"dd/mm/yyyy"),"Pathway changed "&amp;AV59&amp;" -&gt; "&amp;AW59&amp;IF(AS59&lt;&gt;""," -&gt; "&amp;AX59,"")&amp;" from "&amp;TEXT(IF(AS59&lt;&gt;"",AS59,AR59),"dd/mm/yyyy"))))))</f>
        <v/>
      </c>
      <c r="X59" s="28" t="str">
        <f aca="false">IF(AO59=0,"",IF($Q59="",AsOfDate,MIN(AsOfDate,$Q59)))</f>
        <v/>
      </c>
      <c r="Y59" s="26" t="str">
        <f aca="false">IF(AO59=0,"",MAX(0,AQ59))</f>
        <v/>
      </c>
      <c r="Z59" s="11" t="str">
        <f aca="false">IF(AO59=0,"",IF(AQ59&lt;0,"Not started",INT(AQ59/12)&amp;"y "&amp;MOD(AQ59,12)&amp;"m"))</f>
        <v/>
      </c>
      <c r="AA59" s="27" t="str">
        <f aca="false">IF(AO59=0,"",IF(BF59=1,"Terminated - balance forfeited",IF(AY59="None",IF(AB59&gt;0,"No longer accruing - "&amp;T59,"Not eligible - "&amp;T59&amp;IF(AND(IFERROR(VLOOKUP(T59,TypeTable,2,0),"None")="PT",N(U59)&lt;PT_MinHours)," (under "&amp;PT_MinHours&amp;" hrs)","")),IF(AB59&gt;0,"Yes - accruing","Not yet - qualifies "&amp;TEXT(AD59,"dd/mm/yyyy")))))</f>
        <v/>
      </c>
      <c r="AB59" s="26" t="str">
        <f aca="false">IF(AO59=0,"",AZ59+IF(AR59="",0,BB59-BA59)+IF(AS59="",0,BD59-BC59))</f>
        <v/>
      </c>
      <c r="AC59" s="26" t="str">
        <f aca="false">IF(AO59=0,"",AB59*HoursPerDay)</f>
        <v/>
      </c>
      <c r="AD59" s="28" t="str">
        <f aca="false">IF(AO59=0,"",IF(OR(BF59=1,AY59="None"),"",EDATE($E59+AP59,BE59)))</f>
        <v/>
      </c>
      <c r="AE59" s="26" t="str">
        <f aca="false">IF(AD59="","",IF(AY59="PT",1,IF(BE59&lt;FT_Y5,1,IF(MOD(BE59-FT_Y5,12)=0,FT_AnnivDays,1))))</f>
        <v/>
      </c>
      <c r="AF59" s="27" t="str">
        <f aca="false">IF(AO59=0,"",IF(NOT(EH_Ready),"Map headers",IF(IF(MatchMode="Employee ID",COUNTIFS(INDEX(EH_Data,0,EH_ColID),$A59,INDEX(EH_Data,0,EH_ColCat),BonusCat),COUNTIFS(INDEX(EH_Data,0,EH_ColFirst),$B59,INDEX(EH_Data,0,EH_ColSur),$C59,INDEX(EH_Data,0,EH_ColCat),BonusCat))&gt;0,"Yes","No")))</f>
        <v/>
      </c>
      <c r="AG59" s="26" t="str">
        <f aca="false">IF(AO59=0,"",IF(NOT(EH_Ready),"",IF(MatchMode="Employee ID",SUMIFS(INDEX(EH_Data,0,EH_ColBal),INDEX(EH_Data,0,EH_ColID),$A59,INDEX(EH_Data,0,EH_ColCat),BonusCat),SUMIFS(INDEX(EH_Data,0,EH_ColBal),INDEX(EH_Data,0,EH_ColFirst),$B59,INDEX(EH_Data,0,EH_ColSur),$C59,INDEX(EH_Data,0,EH_ColCat),BonusCat))/IF(EHUnit="Hours",HoursPerDay,1)))</f>
        <v/>
      </c>
      <c r="AH59" s="26" t="str">
        <f aca="false">IF(AO59=0,"",IF(NOT(TK_Ready),0,IF(MatchMode="Employee ID",SUMIFS(INDEX(TK_Data,0,TK_ColAmt),INDEX(TK_Data,0,TK_ColID),$A59,INDEX(TK_Data,0,TK_ColCat),BonusCat),SUMIFS(INDEX(TK_Data,0,TK_ColAmt),INDEX(TK_Data,0,TK_ColFirst),$B59,INDEX(TK_Data,0,TK_ColSur),$C59,INDEX(TK_Data,0,TK_ColCat),BonusCat))/IF(TKUnit="Hours",HoursPerDay,1)))</f>
        <v/>
      </c>
      <c r="AI59" s="26" t="str">
        <f aca="false">IF(AO59=0,"",N(AG59)+N(AH59))</f>
        <v/>
      </c>
      <c r="AJ59" s="29" t="str">
        <f aca="false">IF(AO59=0,"",IF(NOT(AND(EH_Ready,EH_ValReady)),"",IF(MatchMode="Employee ID",SUMIFS(INDEX(EH_Data,0,EH_ColVal),INDEX(EH_Data,0,EH_ColID),$A59,INDEX(EH_Data,0,EH_ColCat),BonusCat),SUMIFS(INDEX(EH_Data,0,EH_ColVal),INDEX(EH_Data,0,EH_ColFirst),$B59,INDEX(EH_Data,0,EH_ColSur),$C59,INDEX(EH_Data,0,EH_ColCat),BonusCat))))</f>
        <v/>
      </c>
      <c r="AK59" s="26" t="str">
        <f aca="false">IF(AO59=0,"",IF(OR(NOT(EH_Ready),BF59=1),"",AB59-AI59))</f>
        <v/>
      </c>
      <c r="AL59" s="26" t="str">
        <f aca="false">IF(AK59="","",AK59*HoursPerDay)</f>
        <v/>
      </c>
      <c r="AM59" s="27" t="str">
        <f aca="false">IF(AO59=0,"",IF(BF59=1,IF(N(AG59)&gt;0,"TERMINATED - forfeit "&amp;TEXT(AG59,"0.##")&amp;" days still in EH","Terminated - nothing in EH"),IF(NOT(EH_Ready),"Paste EH export and map headers on Settings",IF(AND(AB59&gt;0,AF59="No"),"SET UP in EH - add "&amp;TEXT(AB59,"0.##")&amp;" day(s) ("&amp;TEXT(AC59,"0.##")&amp;" hrs)",IF(AK59&gt;0,"ADD "&amp;TEXT(AK59,"0.##")&amp;" day(s) ("&amp;TEXT(AL59,"0.##")&amp;" hrs) in EH",IF(AK59&lt;0,"CHECK - EH shows "&amp;TEXT(-AK59,"0.##")&amp;" days more than policy",IF(AB59&gt;0,"OK - up to date",IF(AY59="None","No action - not eligible","No action - not yet qualified"))))))))</f>
        <v/>
      </c>
      <c r="AN59" s="27" t="str">
        <f aca="false">IF(AO59=0,"",TRIM(IF(AND($K59&lt;&gt;"",$H59=""),"Change 2 entered without Change 1. ","")&amp;IF(AND($K59&lt;&gt;"",$H59&lt;&gt;"",$K59&lt;=$H59),"Change 2 date not after Change 1. ","")&amp;IF(AND($N59&lt;&gt;"",$O59&lt;&gt;"",$O59&lt;$N59),"Leave To is before Leave From. ","")&amp;IF(AND($N59&lt;&gt;"",$O59=""),"Leave From entered without Leave To. ","")&amp;IF(AND(IFERROR(VLOOKUP(T59,TypeTable,2,0),"None")="PT",U59=""),"Part-time with no hours entered. ","")&amp;IF(AND($H59&lt;&gt;"",$H59&gt;AsOfDate,AD59&lt;&gt;"",$H59&lt;=AD59),"Status change lands before next accrual - review. ","")&amp;IF(AND($Q59&lt;&gt;"",$Q59&lt;$E59),"Termination before commencement. ","")))</f>
        <v/>
      </c>
      <c r="AO59" s="11" t="n">
        <f aca="false">IF(LEN($A59&amp;$B59&amp;$C59)=0,0,IF($E59="",0,1))</f>
        <v>0</v>
      </c>
      <c r="AP59" s="11" t="str">
        <f aca="false">IF(AO59=0,"",(IF(OR($N59="",$O59=""),0,MAX(0,MIN(X59,$O59)-MAX($N59,$E59)+1))+N($P59)))</f>
        <v/>
      </c>
      <c r="AQ59" s="11" t="str">
        <f aca="false">IF(AO59=0,"",IF(X59&lt;($E59+(IF(OR($N59="",$O59=""),0,MAX(0,MIN(X59,$O59)-MAX($N59,$E59)+1))+N($P59))),-1,12*(YEAR(X59)-YEAR(($E59+(IF(OR($N59="",$O59=""),0,MAX(0,MIN(X59,$O59)-MAX($N59,$E59)+1))+N($P59)))))+MONTH(X59)-MONTH(($E59+(IF(OR($N59="",$O59=""),0,MAX(0,MIN(X59,$O59)-MAX($N59,$E59)+1))+N($P59))))-IF(DAY(X59)&lt;MIN(DAY(($E59+(IF(OR($N59="",$O59=""),0,MAX(0,MIN(X59,$O59)-MAX($N59,$E59)+1))+N($P59)))),DAY(EOMONTH(X59,0))),1,0)))</f>
        <v/>
      </c>
      <c r="AR59" s="28" t="str">
        <f aca="false">IF(AO59=0,"",IF($H59="","",IF($H59&gt;X59,"",$H59)))</f>
        <v/>
      </c>
      <c r="AS59" s="28" t="str">
        <f aca="false">IF(AO59=0,"",IF(AR59="","",IF($K59="","",IF($K59&gt;X59,"",$K59))))</f>
        <v/>
      </c>
      <c r="AT59" s="11" t="str">
        <f aca="false">IF(AO59=0,"",IF(AR59="",AQ59,IF((AR59-1)&lt;($E59+(IF(OR($N59="",$O59=""),0,MAX(0,MIN((AR59-1),$O59)-MAX($N59,$E59)+1))+N($P59))),-1,12*(YEAR((AR59-1))-YEAR(($E59+(IF(OR($N59="",$O59=""),0,MAX(0,MIN((AR59-1),$O59)-MAX($N59,$E59)+1))+N($P59)))))+MONTH((AR59-1))-MONTH(($E59+(IF(OR($N59="",$O59=""),0,MAX(0,MIN((AR59-1),$O59)-MAX($N59,$E59)+1))+N($P59))))-IF(DAY((AR59-1))&lt;MIN(DAY(($E59+(IF(OR($N59="",$O59=""),0,MAX(0,MIN((AR59-1),$O59)-MAX($N59,$E59)+1))+N($P59)))),DAY(EOMONTH((AR59-1),0))),1,0))))</f>
        <v/>
      </c>
      <c r="AU59" s="11" t="str">
        <f aca="false">IF(AO59=0,"",IF(AS59="",AQ59,IF((AS59-1)&lt;($E59+(IF(OR($N59="",$O59=""),0,MAX(0,MIN((AS59-1),$O59)-MAX($N59,$E59)+1))+N($P59))),-1,12*(YEAR((AS59-1))-YEAR(($E59+(IF(OR($N59="",$O59=""),0,MAX(0,MIN((AS59-1),$O59)-MAX($N59,$E59)+1))+N($P59)))))+MONTH((AS59-1))-MONTH(($E59+(IF(OR($N59="",$O59=""),0,MAX(0,MIN((AS59-1),$O59)-MAX($N59,$E59)+1))+N($P59))))-IF(DAY((AS59-1))&lt;MIN(DAY(($E59+(IF(OR($N59="",$O59=""),0,MAX(0,MIN((AS59-1),$O59)-MAX($N59,$E59)+1))+N($P59)))),DAY(EOMONTH((AS59-1),0))),1,0))))</f>
        <v/>
      </c>
      <c r="AV59" s="11" t="str">
        <f aca="false">IF(AO59=0,"",IF($F59="","None",IF(IFERROR(VLOOKUP($F59,TypeTable,2,0),"None")="PT",IF(N($G59)&gt;=PT_MinHours,"PT","None"),IFERROR(VLOOKUP($F59,TypeTable,2,0),"None"))))</f>
        <v/>
      </c>
      <c r="AW59" s="11" t="str">
        <f aca="false">IF(AO59=0,"",IF($I59="","None",IF(IFERROR(VLOOKUP($I59,TypeTable,2,0),"None")="PT",IF(N($J59)&gt;=PT_MinHours,"PT","None"),IFERROR(VLOOKUP($I59,TypeTable,2,0),"None"))))</f>
        <v/>
      </c>
      <c r="AX59" s="11" t="str">
        <f aca="false">IF(AO59=0,"",IF($L59="","None",IF(IFERROR(VLOOKUP($L59,TypeTable,2,0),"None")="PT",IF(N($M59)&gt;=PT_MinHours,"PT","None"),IFERROR(VLOOKUP($L59,TypeTable,2,0),"None"))))</f>
        <v/>
      </c>
      <c r="AY59" s="11" t="str">
        <f aca="false">IF(AO59=0,"",IF(AS59&lt;&gt;"",AX59,IF(AR59&lt;&gt;"",AW59,AV59)))</f>
        <v/>
      </c>
      <c r="AZ59" s="11" t="str">
        <f aca="false">IF(AO59=0,"",IF(AV59="FT",IF(AT59&lt;FT_First,0,IF(AT59&lt;FT_Y5,1+INT((AT59-FT_First)/FT_Int1),FT_PreY5+FT_PerYear*INT((AT59-FT_Y5)/12)+FT_AnnivDays+INT(MOD(AT59-FT_Y5,12)/FT_Int2))),IF(AV59="PT",IF(AT59&lt;PT_First,0,1+INT((AT59-PT_First)/PT_Int)),0)))</f>
        <v/>
      </c>
      <c r="BA59" s="11" t="str">
        <f aca="false">IF(AO59=0,"",IF(AW59="FT",IF(AT59&lt;FT_First,0,IF(AT59&lt;FT_Y5,1+INT((AT59-FT_First)/FT_Int1),FT_PreY5+FT_PerYear*INT((AT59-FT_Y5)/12)+FT_AnnivDays+INT(MOD(AT59-FT_Y5,12)/FT_Int2))),IF(AW59="PT",IF(AT59&lt;PT_First,0,1+INT((AT59-PT_First)/PT_Int)),0)))</f>
        <v/>
      </c>
      <c r="BB59" s="11" t="str">
        <f aca="false">IF(AO59=0,"",IF(AW59="FT",IF(AU59&lt;FT_First,0,IF(AU59&lt;FT_Y5,1+INT((AU59-FT_First)/FT_Int1),FT_PreY5+FT_PerYear*INT((AU59-FT_Y5)/12)+FT_AnnivDays+INT(MOD(AU59-FT_Y5,12)/FT_Int2))),IF(AW59="PT",IF(AU59&lt;PT_First,0,1+INT((AU59-PT_First)/PT_Int)),0)))</f>
        <v/>
      </c>
      <c r="BC59" s="11" t="str">
        <f aca="false">IF(AO59=0,"",IF(AX59="FT",IF(AU59&lt;FT_First,0,IF(AU59&lt;FT_Y5,1+INT((AU59-FT_First)/FT_Int1),FT_PreY5+FT_PerYear*INT((AU59-FT_Y5)/12)+FT_AnnivDays+INT(MOD(AU59-FT_Y5,12)/FT_Int2))),IF(AX59="PT",IF(AU59&lt;PT_First,0,1+INT((AU59-PT_First)/PT_Int)),0)))</f>
        <v/>
      </c>
      <c r="BD59" s="11" t="str">
        <f aca="false">IF(AO59=0,"",IF(AX59="FT",IF(AQ59&lt;FT_First,0,IF(AQ59&lt;FT_Y5,1+INT((AQ59-FT_First)/FT_Int1),FT_PreY5+FT_PerYear*INT((AQ59-FT_Y5)/12)+FT_AnnivDays+INT(MOD(AQ59-FT_Y5,12)/FT_Int2))),IF(AX59="PT",IF(AQ59&lt;PT_First,0,1+INT((AQ59-PT_First)/PT_Int)),0)))</f>
        <v/>
      </c>
      <c r="BE59" s="11" t="str">
        <f aca="false">IF(AO59=0,"",IF(AY59="FT",IF(AQ59&lt;FT_First,FT_First,IF(AQ59&lt;FT_Y5,MIN(FT_Y5,FT_First+FT_Int1*(INT((AQ59-FT_First)/FT_Int1)+1)),FT_Y5+12*INT((AQ59-FT_Y5)/12)+FT_Int2*(INT(MOD(AQ59-FT_Y5,12)/FT_Int2)+1))),IF(AY59="PT",IF(AQ59&lt;PT_First,PT_First,PT_First+PT_Int*(INT((AQ59-PT_First)/PT_Int)+1)),"")))</f>
        <v/>
      </c>
      <c r="BF59" s="11" t="n">
        <f aca="false">IF(AO59=0,0,IF(AND($Q59&lt;&gt;"",$Q59&lt;=AsOfDate),1,0))</f>
        <v>0</v>
      </c>
      <c r="BG59" s="11" t="str">
        <f aca="false">IF(AND(AO59=1,BF59=0,EH_Ready,N(AB59)&gt;0,N(AI59)=0),COUNT($BG$5:BG58)+1,"")</f>
        <v/>
      </c>
      <c r="BH59" s="11" t="str">
        <f aca="false">IF(AND(AO59=1,BF59=0,EH_Ready,N(AB59)&gt;0,N(AI59)&gt;0,N(AK59)&gt;0),COUNT($BH$5:BH58)+1,"")</f>
        <v/>
      </c>
      <c r="BI59" s="11" t="str">
        <f aca="false">IF(AND(AO59=1,OR(LEFT(AM59,3)="ADD",LEFT(AM59,3)="SET",LEFT(AM59,5)="CHECK",LEFT(AM59,10)="TERMINATED")),COUNT($BI$5:BI58)+1,"")</f>
        <v/>
      </c>
      <c r="BJ59" s="11" t="str">
        <f aca="false">IF(AO59=0,"",$A59&amp;" - "&amp;$B59&amp;" "&amp;$C59)</f>
        <v/>
      </c>
    </row>
    <row r="60" customFormat="false" ht="15" hidden="false" customHeight="false" outlineLevel="0" collapsed="false">
      <c r="A60" s="10"/>
      <c r="B60" s="10"/>
      <c r="C60" s="10"/>
      <c r="D60" s="10"/>
      <c r="E60" s="9"/>
      <c r="F60" s="10"/>
      <c r="G60" s="30"/>
      <c r="H60" s="9"/>
      <c r="I60" s="10"/>
      <c r="J60" s="30"/>
      <c r="K60" s="9"/>
      <c r="L60" s="10"/>
      <c r="M60" s="30"/>
      <c r="N60" s="9"/>
      <c r="O60" s="9"/>
      <c r="P60" s="30"/>
      <c r="Q60" s="9"/>
      <c r="R60" s="10"/>
      <c r="S60" s="11" t="str">
        <f aca="false">IF(AO60=0,"",IF($H60="","",$F60&amp;" -&gt; "&amp;$I60&amp;IF($I60="Part-Time"," ("&amp;N($J60)&amp;" hrs)","")&amp;" on "&amp;TEXT($H60,"dd/mm/yyyy")&amp;IF($H60&gt;AsOfDate," (FUTURE)","")&amp;IF($K60="","","; "&amp;$I60&amp;" -&gt; "&amp;$L60&amp;IF($L60="Part-Time"," ("&amp;N($M60)&amp;" hrs)","")&amp;" on "&amp;TEXT($K60,"dd/mm/yyyy")&amp;IF($K60&gt;AsOfDate," (FUTURE)",""))))</f>
        <v/>
      </c>
      <c r="T60" s="11" t="str">
        <f aca="false">IF(AO60=0,"",IF(AS60&lt;&gt;"",$L60,IF(AR60&lt;&gt;"",$I60,$F60)))</f>
        <v/>
      </c>
      <c r="U60" s="26" t="str">
        <f aca="false">IF(AO60=0,"",IF(AS60&lt;&gt;"",$M60,IF(AR60&lt;&gt;"",$J60,$G60)))</f>
        <v/>
      </c>
      <c r="V60" s="11" t="str">
        <f aca="false">IF(AO60=0,"",IF(AY60="FT","Full-Time",IF(AY60="PT","Part-Time","Not eligible")))</f>
        <v/>
      </c>
      <c r="W60" s="27" t="str">
        <f aca="false">IF(AO60=0,"",IF(AR60="",IF(AND($H60&lt;&gt;"",$H60&gt;AsOfDate),"Future change - not yet applied",""),IF(AND(AV60=AY60,OR(AS60="",AW60=AV60)),"Type changed - same accrual pathway",IF(AY60="None","STOPPED accruing from "&amp;TEXT(IF(AS60&lt;&gt;"",AS60,AR60),"dd/mm/yyyy"),IF(AV60="None","STARTED qualifying from "&amp;TEXT(IF(AS60&lt;&gt;"",AS60,AR60),"dd/mm/yyyy"),"Pathway changed "&amp;AV60&amp;" -&gt; "&amp;AW60&amp;IF(AS60&lt;&gt;""," -&gt; "&amp;AX60,"")&amp;" from "&amp;TEXT(IF(AS60&lt;&gt;"",AS60,AR60),"dd/mm/yyyy"))))))</f>
        <v/>
      </c>
      <c r="X60" s="28" t="str">
        <f aca="false">IF(AO60=0,"",IF($Q60="",AsOfDate,MIN(AsOfDate,$Q60)))</f>
        <v/>
      </c>
      <c r="Y60" s="26" t="str">
        <f aca="false">IF(AO60=0,"",MAX(0,AQ60))</f>
        <v/>
      </c>
      <c r="Z60" s="11" t="str">
        <f aca="false">IF(AO60=0,"",IF(AQ60&lt;0,"Not started",INT(AQ60/12)&amp;"y "&amp;MOD(AQ60,12)&amp;"m"))</f>
        <v/>
      </c>
      <c r="AA60" s="27" t="str">
        <f aca="false">IF(AO60=0,"",IF(BF60=1,"Terminated - balance forfeited",IF(AY60="None",IF(AB60&gt;0,"No longer accruing - "&amp;T60,"Not eligible - "&amp;T60&amp;IF(AND(IFERROR(VLOOKUP(T60,TypeTable,2,0),"None")="PT",N(U60)&lt;PT_MinHours)," (under "&amp;PT_MinHours&amp;" hrs)","")),IF(AB60&gt;0,"Yes - accruing","Not yet - qualifies "&amp;TEXT(AD60,"dd/mm/yyyy")))))</f>
        <v/>
      </c>
      <c r="AB60" s="26" t="str">
        <f aca="false">IF(AO60=0,"",AZ60+IF(AR60="",0,BB60-BA60)+IF(AS60="",0,BD60-BC60))</f>
        <v/>
      </c>
      <c r="AC60" s="26" t="str">
        <f aca="false">IF(AO60=0,"",AB60*HoursPerDay)</f>
        <v/>
      </c>
      <c r="AD60" s="28" t="str">
        <f aca="false">IF(AO60=0,"",IF(OR(BF60=1,AY60="None"),"",EDATE($E60+AP60,BE60)))</f>
        <v/>
      </c>
      <c r="AE60" s="26" t="str">
        <f aca="false">IF(AD60="","",IF(AY60="PT",1,IF(BE60&lt;FT_Y5,1,IF(MOD(BE60-FT_Y5,12)=0,FT_AnnivDays,1))))</f>
        <v/>
      </c>
      <c r="AF60" s="27" t="str">
        <f aca="false">IF(AO60=0,"",IF(NOT(EH_Ready),"Map headers",IF(IF(MatchMode="Employee ID",COUNTIFS(INDEX(EH_Data,0,EH_ColID),$A60,INDEX(EH_Data,0,EH_ColCat),BonusCat),COUNTIFS(INDEX(EH_Data,0,EH_ColFirst),$B60,INDEX(EH_Data,0,EH_ColSur),$C60,INDEX(EH_Data,0,EH_ColCat),BonusCat))&gt;0,"Yes","No")))</f>
        <v/>
      </c>
      <c r="AG60" s="26" t="str">
        <f aca="false">IF(AO60=0,"",IF(NOT(EH_Ready),"",IF(MatchMode="Employee ID",SUMIFS(INDEX(EH_Data,0,EH_ColBal),INDEX(EH_Data,0,EH_ColID),$A60,INDEX(EH_Data,0,EH_ColCat),BonusCat),SUMIFS(INDEX(EH_Data,0,EH_ColBal),INDEX(EH_Data,0,EH_ColFirst),$B60,INDEX(EH_Data,0,EH_ColSur),$C60,INDEX(EH_Data,0,EH_ColCat),BonusCat))/IF(EHUnit="Hours",HoursPerDay,1)))</f>
        <v/>
      </c>
      <c r="AH60" s="26" t="str">
        <f aca="false">IF(AO60=0,"",IF(NOT(TK_Ready),0,IF(MatchMode="Employee ID",SUMIFS(INDEX(TK_Data,0,TK_ColAmt),INDEX(TK_Data,0,TK_ColID),$A60,INDEX(TK_Data,0,TK_ColCat),BonusCat),SUMIFS(INDEX(TK_Data,0,TK_ColAmt),INDEX(TK_Data,0,TK_ColFirst),$B60,INDEX(TK_Data,0,TK_ColSur),$C60,INDEX(TK_Data,0,TK_ColCat),BonusCat))/IF(TKUnit="Hours",HoursPerDay,1)))</f>
        <v/>
      </c>
      <c r="AI60" s="26" t="str">
        <f aca="false">IF(AO60=0,"",N(AG60)+N(AH60))</f>
        <v/>
      </c>
      <c r="AJ60" s="29" t="str">
        <f aca="false">IF(AO60=0,"",IF(NOT(AND(EH_Ready,EH_ValReady)),"",IF(MatchMode="Employee ID",SUMIFS(INDEX(EH_Data,0,EH_ColVal),INDEX(EH_Data,0,EH_ColID),$A60,INDEX(EH_Data,0,EH_ColCat),BonusCat),SUMIFS(INDEX(EH_Data,0,EH_ColVal),INDEX(EH_Data,0,EH_ColFirst),$B60,INDEX(EH_Data,0,EH_ColSur),$C60,INDEX(EH_Data,0,EH_ColCat),BonusCat))))</f>
        <v/>
      </c>
      <c r="AK60" s="26" t="str">
        <f aca="false">IF(AO60=0,"",IF(OR(NOT(EH_Ready),BF60=1),"",AB60-AI60))</f>
        <v/>
      </c>
      <c r="AL60" s="26" t="str">
        <f aca="false">IF(AK60="","",AK60*HoursPerDay)</f>
        <v/>
      </c>
      <c r="AM60" s="27" t="str">
        <f aca="false">IF(AO60=0,"",IF(BF60=1,IF(N(AG60)&gt;0,"TERMINATED - forfeit "&amp;TEXT(AG60,"0.##")&amp;" days still in EH","Terminated - nothing in EH"),IF(NOT(EH_Ready),"Paste EH export and map headers on Settings",IF(AND(AB60&gt;0,AF60="No"),"SET UP in EH - add "&amp;TEXT(AB60,"0.##")&amp;" day(s) ("&amp;TEXT(AC60,"0.##")&amp;" hrs)",IF(AK60&gt;0,"ADD "&amp;TEXT(AK60,"0.##")&amp;" day(s) ("&amp;TEXT(AL60,"0.##")&amp;" hrs) in EH",IF(AK60&lt;0,"CHECK - EH shows "&amp;TEXT(-AK60,"0.##")&amp;" days more than policy",IF(AB60&gt;0,"OK - up to date",IF(AY60="None","No action - not eligible","No action - not yet qualified"))))))))</f>
        <v/>
      </c>
      <c r="AN60" s="27" t="str">
        <f aca="false">IF(AO60=0,"",TRIM(IF(AND($K60&lt;&gt;"",$H60=""),"Change 2 entered without Change 1. ","")&amp;IF(AND($K60&lt;&gt;"",$H60&lt;&gt;"",$K60&lt;=$H60),"Change 2 date not after Change 1. ","")&amp;IF(AND($N60&lt;&gt;"",$O60&lt;&gt;"",$O60&lt;$N60),"Leave To is before Leave From. ","")&amp;IF(AND($N60&lt;&gt;"",$O60=""),"Leave From entered without Leave To. ","")&amp;IF(AND(IFERROR(VLOOKUP(T60,TypeTable,2,0),"None")="PT",U60=""),"Part-time with no hours entered. ","")&amp;IF(AND($H60&lt;&gt;"",$H60&gt;AsOfDate,AD60&lt;&gt;"",$H60&lt;=AD60),"Status change lands before next accrual - review. ","")&amp;IF(AND($Q60&lt;&gt;"",$Q60&lt;$E60),"Termination before commencement. ","")))</f>
        <v/>
      </c>
      <c r="AO60" s="11" t="n">
        <f aca="false">IF(LEN($A60&amp;$B60&amp;$C60)=0,0,IF($E60="",0,1))</f>
        <v>0</v>
      </c>
      <c r="AP60" s="11" t="str">
        <f aca="false">IF(AO60=0,"",(IF(OR($N60="",$O60=""),0,MAX(0,MIN(X60,$O60)-MAX($N60,$E60)+1))+N($P60)))</f>
        <v/>
      </c>
      <c r="AQ60" s="11" t="str">
        <f aca="false">IF(AO60=0,"",IF(X60&lt;($E60+(IF(OR($N60="",$O60=""),0,MAX(0,MIN(X60,$O60)-MAX($N60,$E60)+1))+N($P60))),-1,12*(YEAR(X60)-YEAR(($E60+(IF(OR($N60="",$O60=""),0,MAX(0,MIN(X60,$O60)-MAX($N60,$E60)+1))+N($P60)))))+MONTH(X60)-MONTH(($E60+(IF(OR($N60="",$O60=""),0,MAX(0,MIN(X60,$O60)-MAX($N60,$E60)+1))+N($P60))))-IF(DAY(X60)&lt;MIN(DAY(($E60+(IF(OR($N60="",$O60=""),0,MAX(0,MIN(X60,$O60)-MAX($N60,$E60)+1))+N($P60)))),DAY(EOMONTH(X60,0))),1,0)))</f>
        <v/>
      </c>
      <c r="AR60" s="28" t="str">
        <f aca="false">IF(AO60=0,"",IF($H60="","",IF($H60&gt;X60,"",$H60)))</f>
        <v/>
      </c>
      <c r="AS60" s="28" t="str">
        <f aca="false">IF(AO60=0,"",IF(AR60="","",IF($K60="","",IF($K60&gt;X60,"",$K60))))</f>
        <v/>
      </c>
      <c r="AT60" s="11" t="str">
        <f aca="false">IF(AO60=0,"",IF(AR60="",AQ60,IF((AR60-1)&lt;($E60+(IF(OR($N60="",$O60=""),0,MAX(0,MIN((AR60-1),$O60)-MAX($N60,$E60)+1))+N($P60))),-1,12*(YEAR((AR60-1))-YEAR(($E60+(IF(OR($N60="",$O60=""),0,MAX(0,MIN((AR60-1),$O60)-MAX($N60,$E60)+1))+N($P60)))))+MONTH((AR60-1))-MONTH(($E60+(IF(OR($N60="",$O60=""),0,MAX(0,MIN((AR60-1),$O60)-MAX($N60,$E60)+1))+N($P60))))-IF(DAY((AR60-1))&lt;MIN(DAY(($E60+(IF(OR($N60="",$O60=""),0,MAX(0,MIN((AR60-1),$O60)-MAX($N60,$E60)+1))+N($P60)))),DAY(EOMONTH((AR60-1),0))),1,0))))</f>
        <v/>
      </c>
      <c r="AU60" s="11" t="str">
        <f aca="false">IF(AO60=0,"",IF(AS60="",AQ60,IF((AS60-1)&lt;($E60+(IF(OR($N60="",$O60=""),0,MAX(0,MIN((AS60-1),$O60)-MAX($N60,$E60)+1))+N($P60))),-1,12*(YEAR((AS60-1))-YEAR(($E60+(IF(OR($N60="",$O60=""),0,MAX(0,MIN((AS60-1),$O60)-MAX($N60,$E60)+1))+N($P60)))))+MONTH((AS60-1))-MONTH(($E60+(IF(OR($N60="",$O60=""),0,MAX(0,MIN((AS60-1),$O60)-MAX($N60,$E60)+1))+N($P60))))-IF(DAY((AS60-1))&lt;MIN(DAY(($E60+(IF(OR($N60="",$O60=""),0,MAX(0,MIN((AS60-1),$O60)-MAX($N60,$E60)+1))+N($P60)))),DAY(EOMONTH((AS60-1),0))),1,0))))</f>
        <v/>
      </c>
      <c r="AV60" s="11" t="str">
        <f aca="false">IF(AO60=0,"",IF($F60="","None",IF(IFERROR(VLOOKUP($F60,TypeTable,2,0),"None")="PT",IF(N($G60)&gt;=PT_MinHours,"PT","None"),IFERROR(VLOOKUP($F60,TypeTable,2,0),"None"))))</f>
        <v/>
      </c>
      <c r="AW60" s="11" t="str">
        <f aca="false">IF(AO60=0,"",IF($I60="","None",IF(IFERROR(VLOOKUP($I60,TypeTable,2,0),"None")="PT",IF(N($J60)&gt;=PT_MinHours,"PT","None"),IFERROR(VLOOKUP($I60,TypeTable,2,0),"None"))))</f>
        <v/>
      </c>
      <c r="AX60" s="11" t="str">
        <f aca="false">IF(AO60=0,"",IF($L60="","None",IF(IFERROR(VLOOKUP($L60,TypeTable,2,0),"None")="PT",IF(N($M60)&gt;=PT_MinHours,"PT","None"),IFERROR(VLOOKUP($L60,TypeTable,2,0),"None"))))</f>
        <v/>
      </c>
      <c r="AY60" s="11" t="str">
        <f aca="false">IF(AO60=0,"",IF(AS60&lt;&gt;"",AX60,IF(AR60&lt;&gt;"",AW60,AV60)))</f>
        <v/>
      </c>
      <c r="AZ60" s="11" t="str">
        <f aca="false">IF(AO60=0,"",IF(AV60="FT",IF(AT60&lt;FT_First,0,IF(AT60&lt;FT_Y5,1+INT((AT60-FT_First)/FT_Int1),FT_PreY5+FT_PerYear*INT((AT60-FT_Y5)/12)+FT_AnnivDays+INT(MOD(AT60-FT_Y5,12)/FT_Int2))),IF(AV60="PT",IF(AT60&lt;PT_First,0,1+INT((AT60-PT_First)/PT_Int)),0)))</f>
        <v/>
      </c>
      <c r="BA60" s="11" t="str">
        <f aca="false">IF(AO60=0,"",IF(AW60="FT",IF(AT60&lt;FT_First,0,IF(AT60&lt;FT_Y5,1+INT((AT60-FT_First)/FT_Int1),FT_PreY5+FT_PerYear*INT((AT60-FT_Y5)/12)+FT_AnnivDays+INT(MOD(AT60-FT_Y5,12)/FT_Int2))),IF(AW60="PT",IF(AT60&lt;PT_First,0,1+INT((AT60-PT_First)/PT_Int)),0)))</f>
        <v/>
      </c>
      <c r="BB60" s="11" t="str">
        <f aca="false">IF(AO60=0,"",IF(AW60="FT",IF(AU60&lt;FT_First,0,IF(AU60&lt;FT_Y5,1+INT((AU60-FT_First)/FT_Int1),FT_PreY5+FT_PerYear*INT((AU60-FT_Y5)/12)+FT_AnnivDays+INT(MOD(AU60-FT_Y5,12)/FT_Int2))),IF(AW60="PT",IF(AU60&lt;PT_First,0,1+INT((AU60-PT_First)/PT_Int)),0)))</f>
        <v/>
      </c>
      <c r="BC60" s="11" t="str">
        <f aca="false">IF(AO60=0,"",IF(AX60="FT",IF(AU60&lt;FT_First,0,IF(AU60&lt;FT_Y5,1+INT((AU60-FT_First)/FT_Int1),FT_PreY5+FT_PerYear*INT((AU60-FT_Y5)/12)+FT_AnnivDays+INT(MOD(AU60-FT_Y5,12)/FT_Int2))),IF(AX60="PT",IF(AU60&lt;PT_First,0,1+INT((AU60-PT_First)/PT_Int)),0)))</f>
        <v/>
      </c>
      <c r="BD60" s="11" t="str">
        <f aca="false">IF(AO60=0,"",IF(AX60="FT",IF(AQ60&lt;FT_First,0,IF(AQ60&lt;FT_Y5,1+INT((AQ60-FT_First)/FT_Int1),FT_PreY5+FT_PerYear*INT((AQ60-FT_Y5)/12)+FT_AnnivDays+INT(MOD(AQ60-FT_Y5,12)/FT_Int2))),IF(AX60="PT",IF(AQ60&lt;PT_First,0,1+INT((AQ60-PT_First)/PT_Int)),0)))</f>
        <v/>
      </c>
      <c r="BE60" s="11" t="str">
        <f aca="false">IF(AO60=0,"",IF(AY60="FT",IF(AQ60&lt;FT_First,FT_First,IF(AQ60&lt;FT_Y5,MIN(FT_Y5,FT_First+FT_Int1*(INT((AQ60-FT_First)/FT_Int1)+1)),FT_Y5+12*INT((AQ60-FT_Y5)/12)+FT_Int2*(INT(MOD(AQ60-FT_Y5,12)/FT_Int2)+1))),IF(AY60="PT",IF(AQ60&lt;PT_First,PT_First,PT_First+PT_Int*(INT((AQ60-PT_First)/PT_Int)+1)),"")))</f>
        <v/>
      </c>
      <c r="BF60" s="11" t="n">
        <f aca="false">IF(AO60=0,0,IF(AND($Q60&lt;&gt;"",$Q60&lt;=AsOfDate),1,0))</f>
        <v>0</v>
      </c>
      <c r="BG60" s="11" t="str">
        <f aca="false">IF(AND(AO60=1,BF60=0,EH_Ready,N(AB60)&gt;0,N(AI60)=0),COUNT($BG$5:BG59)+1,"")</f>
        <v/>
      </c>
      <c r="BH60" s="11" t="str">
        <f aca="false">IF(AND(AO60=1,BF60=0,EH_Ready,N(AB60)&gt;0,N(AI60)&gt;0,N(AK60)&gt;0),COUNT($BH$5:BH59)+1,"")</f>
        <v/>
      </c>
      <c r="BI60" s="11" t="str">
        <f aca="false">IF(AND(AO60=1,OR(LEFT(AM60,3)="ADD",LEFT(AM60,3)="SET",LEFT(AM60,5)="CHECK",LEFT(AM60,10)="TERMINATED")),COUNT($BI$5:BI59)+1,"")</f>
        <v/>
      </c>
      <c r="BJ60" s="11" t="str">
        <f aca="false">IF(AO60=0,"",$A60&amp;" - "&amp;$B60&amp;" "&amp;$C60)</f>
        <v/>
      </c>
    </row>
    <row r="61" customFormat="false" ht="15" hidden="false" customHeight="false" outlineLevel="0" collapsed="false">
      <c r="A61" s="10"/>
      <c r="B61" s="10"/>
      <c r="C61" s="10"/>
      <c r="D61" s="10"/>
      <c r="E61" s="9"/>
      <c r="F61" s="10"/>
      <c r="G61" s="30"/>
      <c r="H61" s="9"/>
      <c r="I61" s="10"/>
      <c r="J61" s="30"/>
      <c r="K61" s="9"/>
      <c r="L61" s="10"/>
      <c r="M61" s="30"/>
      <c r="N61" s="9"/>
      <c r="O61" s="9"/>
      <c r="P61" s="30"/>
      <c r="Q61" s="9"/>
      <c r="R61" s="10"/>
      <c r="S61" s="11" t="str">
        <f aca="false">IF(AO61=0,"",IF($H61="","",$F61&amp;" -&gt; "&amp;$I61&amp;IF($I61="Part-Time"," ("&amp;N($J61)&amp;" hrs)","")&amp;" on "&amp;TEXT($H61,"dd/mm/yyyy")&amp;IF($H61&gt;AsOfDate," (FUTURE)","")&amp;IF($K61="","","; "&amp;$I61&amp;" -&gt; "&amp;$L61&amp;IF($L61="Part-Time"," ("&amp;N($M61)&amp;" hrs)","")&amp;" on "&amp;TEXT($K61,"dd/mm/yyyy")&amp;IF($K61&gt;AsOfDate," (FUTURE)",""))))</f>
        <v/>
      </c>
      <c r="T61" s="11" t="str">
        <f aca="false">IF(AO61=0,"",IF(AS61&lt;&gt;"",$L61,IF(AR61&lt;&gt;"",$I61,$F61)))</f>
        <v/>
      </c>
      <c r="U61" s="26" t="str">
        <f aca="false">IF(AO61=0,"",IF(AS61&lt;&gt;"",$M61,IF(AR61&lt;&gt;"",$J61,$G61)))</f>
        <v/>
      </c>
      <c r="V61" s="11" t="str">
        <f aca="false">IF(AO61=0,"",IF(AY61="FT","Full-Time",IF(AY61="PT","Part-Time","Not eligible")))</f>
        <v/>
      </c>
      <c r="W61" s="27" t="str">
        <f aca="false">IF(AO61=0,"",IF(AR61="",IF(AND($H61&lt;&gt;"",$H61&gt;AsOfDate),"Future change - not yet applied",""),IF(AND(AV61=AY61,OR(AS61="",AW61=AV61)),"Type changed - same accrual pathway",IF(AY61="None","STOPPED accruing from "&amp;TEXT(IF(AS61&lt;&gt;"",AS61,AR61),"dd/mm/yyyy"),IF(AV61="None","STARTED qualifying from "&amp;TEXT(IF(AS61&lt;&gt;"",AS61,AR61),"dd/mm/yyyy"),"Pathway changed "&amp;AV61&amp;" -&gt; "&amp;AW61&amp;IF(AS61&lt;&gt;""," -&gt; "&amp;AX61,"")&amp;" from "&amp;TEXT(IF(AS61&lt;&gt;"",AS61,AR61),"dd/mm/yyyy"))))))</f>
        <v/>
      </c>
      <c r="X61" s="28" t="str">
        <f aca="false">IF(AO61=0,"",IF($Q61="",AsOfDate,MIN(AsOfDate,$Q61)))</f>
        <v/>
      </c>
      <c r="Y61" s="26" t="str">
        <f aca="false">IF(AO61=0,"",MAX(0,AQ61))</f>
        <v/>
      </c>
      <c r="Z61" s="11" t="str">
        <f aca="false">IF(AO61=0,"",IF(AQ61&lt;0,"Not started",INT(AQ61/12)&amp;"y "&amp;MOD(AQ61,12)&amp;"m"))</f>
        <v/>
      </c>
      <c r="AA61" s="27" t="str">
        <f aca="false">IF(AO61=0,"",IF(BF61=1,"Terminated - balance forfeited",IF(AY61="None",IF(AB61&gt;0,"No longer accruing - "&amp;T61,"Not eligible - "&amp;T61&amp;IF(AND(IFERROR(VLOOKUP(T61,TypeTable,2,0),"None")="PT",N(U61)&lt;PT_MinHours)," (under "&amp;PT_MinHours&amp;" hrs)","")),IF(AB61&gt;0,"Yes - accruing","Not yet - qualifies "&amp;TEXT(AD61,"dd/mm/yyyy")))))</f>
        <v/>
      </c>
      <c r="AB61" s="26" t="str">
        <f aca="false">IF(AO61=0,"",AZ61+IF(AR61="",0,BB61-BA61)+IF(AS61="",0,BD61-BC61))</f>
        <v/>
      </c>
      <c r="AC61" s="26" t="str">
        <f aca="false">IF(AO61=0,"",AB61*HoursPerDay)</f>
        <v/>
      </c>
      <c r="AD61" s="28" t="str">
        <f aca="false">IF(AO61=0,"",IF(OR(BF61=1,AY61="None"),"",EDATE($E61+AP61,BE61)))</f>
        <v/>
      </c>
      <c r="AE61" s="26" t="str">
        <f aca="false">IF(AD61="","",IF(AY61="PT",1,IF(BE61&lt;FT_Y5,1,IF(MOD(BE61-FT_Y5,12)=0,FT_AnnivDays,1))))</f>
        <v/>
      </c>
      <c r="AF61" s="27" t="str">
        <f aca="false">IF(AO61=0,"",IF(NOT(EH_Ready),"Map headers",IF(IF(MatchMode="Employee ID",COUNTIFS(INDEX(EH_Data,0,EH_ColID),$A61,INDEX(EH_Data,0,EH_ColCat),BonusCat),COUNTIFS(INDEX(EH_Data,0,EH_ColFirst),$B61,INDEX(EH_Data,0,EH_ColSur),$C61,INDEX(EH_Data,0,EH_ColCat),BonusCat))&gt;0,"Yes","No")))</f>
        <v/>
      </c>
      <c r="AG61" s="26" t="str">
        <f aca="false">IF(AO61=0,"",IF(NOT(EH_Ready),"",IF(MatchMode="Employee ID",SUMIFS(INDEX(EH_Data,0,EH_ColBal),INDEX(EH_Data,0,EH_ColID),$A61,INDEX(EH_Data,0,EH_ColCat),BonusCat),SUMIFS(INDEX(EH_Data,0,EH_ColBal),INDEX(EH_Data,0,EH_ColFirst),$B61,INDEX(EH_Data,0,EH_ColSur),$C61,INDEX(EH_Data,0,EH_ColCat),BonusCat))/IF(EHUnit="Hours",HoursPerDay,1)))</f>
        <v/>
      </c>
      <c r="AH61" s="26" t="str">
        <f aca="false">IF(AO61=0,"",IF(NOT(TK_Ready),0,IF(MatchMode="Employee ID",SUMIFS(INDEX(TK_Data,0,TK_ColAmt),INDEX(TK_Data,0,TK_ColID),$A61,INDEX(TK_Data,0,TK_ColCat),BonusCat),SUMIFS(INDEX(TK_Data,0,TK_ColAmt),INDEX(TK_Data,0,TK_ColFirst),$B61,INDEX(TK_Data,0,TK_ColSur),$C61,INDEX(TK_Data,0,TK_ColCat),BonusCat))/IF(TKUnit="Hours",HoursPerDay,1)))</f>
        <v/>
      </c>
      <c r="AI61" s="26" t="str">
        <f aca="false">IF(AO61=0,"",N(AG61)+N(AH61))</f>
        <v/>
      </c>
      <c r="AJ61" s="29" t="str">
        <f aca="false">IF(AO61=0,"",IF(NOT(AND(EH_Ready,EH_ValReady)),"",IF(MatchMode="Employee ID",SUMIFS(INDEX(EH_Data,0,EH_ColVal),INDEX(EH_Data,0,EH_ColID),$A61,INDEX(EH_Data,0,EH_ColCat),BonusCat),SUMIFS(INDEX(EH_Data,0,EH_ColVal),INDEX(EH_Data,0,EH_ColFirst),$B61,INDEX(EH_Data,0,EH_ColSur),$C61,INDEX(EH_Data,0,EH_ColCat),BonusCat))))</f>
        <v/>
      </c>
      <c r="AK61" s="26" t="str">
        <f aca="false">IF(AO61=0,"",IF(OR(NOT(EH_Ready),BF61=1),"",AB61-AI61))</f>
        <v/>
      </c>
      <c r="AL61" s="26" t="str">
        <f aca="false">IF(AK61="","",AK61*HoursPerDay)</f>
        <v/>
      </c>
      <c r="AM61" s="27" t="str">
        <f aca="false">IF(AO61=0,"",IF(BF61=1,IF(N(AG61)&gt;0,"TERMINATED - forfeit "&amp;TEXT(AG61,"0.##")&amp;" days still in EH","Terminated - nothing in EH"),IF(NOT(EH_Ready),"Paste EH export and map headers on Settings",IF(AND(AB61&gt;0,AF61="No"),"SET UP in EH - add "&amp;TEXT(AB61,"0.##")&amp;" day(s) ("&amp;TEXT(AC61,"0.##")&amp;" hrs)",IF(AK61&gt;0,"ADD "&amp;TEXT(AK61,"0.##")&amp;" day(s) ("&amp;TEXT(AL61,"0.##")&amp;" hrs) in EH",IF(AK61&lt;0,"CHECK - EH shows "&amp;TEXT(-AK61,"0.##")&amp;" days more than policy",IF(AB61&gt;0,"OK - up to date",IF(AY61="None","No action - not eligible","No action - not yet qualified"))))))))</f>
        <v/>
      </c>
      <c r="AN61" s="27" t="str">
        <f aca="false">IF(AO61=0,"",TRIM(IF(AND($K61&lt;&gt;"",$H61=""),"Change 2 entered without Change 1. ","")&amp;IF(AND($K61&lt;&gt;"",$H61&lt;&gt;"",$K61&lt;=$H61),"Change 2 date not after Change 1. ","")&amp;IF(AND($N61&lt;&gt;"",$O61&lt;&gt;"",$O61&lt;$N61),"Leave To is before Leave From. ","")&amp;IF(AND($N61&lt;&gt;"",$O61=""),"Leave From entered without Leave To. ","")&amp;IF(AND(IFERROR(VLOOKUP(T61,TypeTable,2,0),"None")="PT",U61=""),"Part-time with no hours entered. ","")&amp;IF(AND($H61&lt;&gt;"",$H61&gt;AsOfDate,AD61&lt;&gt;"",$H61&lt;=AD61),"Status change lands before next accrual - review. ","")&amp;IF(AND($Q61&lt;&gt;"",$Q61&lt;$E61),"Termination before commencement. ","")))</f>
        <v/>
      </c>
      <c r="AO61" s="11" t="n">
        <f aca="false">IF(LEN($A61&amp;$B61&amp;$C61)=0,0,IF($E61="",0,1))</f>
        <v>0</v>
      </c>
      <c r="AP61" s="11" t="str">
        <f aca="false">IF(AO61=0,"",(IF(OR($N61="",$O61=""),0,MAX(0,MIN(X61,$O61)-MAX($N61,$E61)+1))+N($P61)))</f>
        <v/>
      </c>
      <c r="AQ61" s="11" t="str">
        <f aca="false">IF(AO61=0,"",IF(X61&lt;($E61+(IF(OR($N61="",$O61=""),0,MAX(0,MIN(X61,$O61)-MAX($N61,$E61)+1))+N($P61))),-1,12*(YEAR(X61)-YEAR(($E61+(IF(OR($N61="",$O61=""),0,MAX(0,MIN(X61,$O61)-MAX($N61,$E61)+1))+N($P61)))))+MONTH(X61)-MONTH(($E61+(IF(OR($N61="",$O61=""),0,MAX(0,MIN(X61,$O61)-MAX($N61,$E61)+1))+N($P61))))-IF(DAY(X61)&lt;MIN(DAY(($E61+(IF(OR($N61="",$O61=""),0,MAX(0,MIN(X61,$O61)-MAX($N61,$E61)+1))+N($P61)))),DAY(EOMONTH(X61,0))),1,0)))</f>
        <v/>
      </c>
      <c r="AR61" s="28" t="str">
        <f aca="false">IF(AO61=0,"",IF($H61="","",IF($H61&gt;X61,"",$H61)))</f>
        <v/>
      </c>
      <c r="AS61" s="28" t="str">
        <f aca="false">IF(AO61=0,"",IF(AR61="","",IF($K61="","",IF($K61&gt;X61,"",$K61))))</f>
        <v/>
      </c>
      <c r="AT61" s="11" t="str">
        <f aca="false">IF(AO61=0,"",IF(AR61="",AQ61,IF((AR61-1)&lt;($E61+(IF(OR($N61="",$O61=""),0,MAX(0,MIN((AR61-1),$O61)-MAX($N61,$E61)+1))+N($P61))),-1,12*(YEAR((AR61-1))-YEAR(($E61+(IF(OR($N61="",$O61=""),0,MAX(0,MIN((AR61-1),$O61)-MAX($N61,$E61)+1))+N($P61)))))+MONTH((AR61-1))-MONTH(($E61+(IF(OR($N61="",$O61=""),0,MAX(0,MIN((AR61-1),$O61)-MAX($N61,$E61)+1))+N($P61))))-IF(DAY((AR61-1))&lt;MIN(DAY(($E61+(IF(OR($N61="",$O61=""),0,MAX(0,MIN((AR61-1),$O61)-MAX($N61,$E61)+1))+N($P61)))),DAY(EOMONTH((AR61-1),0))),1,0))))</f>
        <v/>
      </c>
      <c r="AU61" s="11" t="str">
        <f aca="false">IF(AO61=0,"",IF(AS61="",AQ61,IF((AS61-1)&lt;($E61+(IF(OR($N61="",$O61=""),0,MAX(0,MIN((AS61-1),$O61)-MAX($N61,$E61)+1))+N($P61))),-1,12*(YEAR((AS61-1))-YEAR(($E61+(IF(OR($N61="",$O61=""),0,MAX(0,MIN((AS61-1),$O61)-MAX($N61,$E61)+1))+N($P61)))))+MONTH((AS61-1))-MONTH(($E61+(IF(OR($N61="",$O61=""),0,MAX(0,MIN((AS61-1),$O61)-MAX($N61,$E61)+1))+N($P61))))-IF(DAY((AS61-1))&lt;MIN(DAY(($E61+(IF(OR($N61="",$O61=""),0,MAX(0,MIN((AS61-1),$O61)-MAX($N61,$E61)+1))+N($P61)))),DAY(EOMONTH((AS61-1),0))),1,0))))</f>
        <v/>
      </c>
      <c r="AV61" s="11" t="str">
        <f aca="false">IF(AO61=0,"",IF($F61="","None",IF(IFERROR(VLOOKUP($F61,TypeTable,2,0),"None")="PT",IF(N($G61)&gt;=PT_MinHours,"PT","None"),IFERROR(VLOOKUP($F61,TypeTable,2,0),"None"))))</f>
        <v/>
      </c>
      <c r="AW61" s="11" t="str">
        <f aca="false">IF(AO61=0,"",IF($I61="","None",IF(IFERROR(VLOOKUP($I61,TypeTable,2,0),"None")="PT",IF(N($J61)&gt;=PT_MinHours,"PT","None"),IFERROR(VLOOKUP($I61,TypeTable,2,0),"None"))))</f>
        <v/>
      </c>
      <c r="AX61" s="11" t="str">
        <f aca="false">IF(AO61=0,"",IF($L61="","None",IF(IFERROR(VLOOKUP($L61,TypeTable,2,0),"None")="PT",IF(N($M61)&gt;=PT_MinHours,"PT","None"),IFERROR(VLOOKUP($L61,TypeTable,2,0),"None"))))</f>
        <v/>
      </c>
      <c r="AY61" s="11" t="str">
        <f aca="false">IF(AO61=0,"",IF(AS61&lt;&gt;"",AX61,IF(AR61&lt;&gt;"",AW61,AV61)))</f>
        <v/>
      </c>
      <c r="AZ61" s="11" t="str">
        <f aca="false">IF(AO61=0,"",IF(AV61="FT",IF(AT61&lt;FT_First,0,IF(AT61&lt;FT_Y5,1+INT((AT61-FT_First)/FT_Int1),FT_PreY5+FT_PerYear*INT((AT61-FT_Y5)/12)+FT_AnnivDays+INT(MOD(AT61-FT_Y5,12)/FT_Int2))),IF(AV61="PT",IF(AT61&lt;PT_First,0,1+INT((AT61-PT_First)/PT_Int)),0)))</f>
        <v/>
      </c>
      <c r="BA61" s="11" t="str">
        <f aca="false">IF(AO61=0,"",IF(AW61="FT",IF(AT61&lt;FT_First,0,IF(AT61&lt;FT_Y5,1+INT((AT61-FT_First)/FT_Int1),FT_PreY5+FT_PerYear*INT((AT61-FT_Y5)/12)+FT_AnnivDays+INT(MOD(AT61-FT_Y5,12)/FT_Int2))),IF(AW61="PT",IF(AT61&lt;PT_First,0,1+INT((AT61-PT_First)/PT_Int)),0)))</f>
        <v/>
      </c>
      <c r="BB61" s="11" t="str">
        <f aca="false">IF(AO61=0,"",IF(AW61="FT",IF(AU61&lt;FT_First,0,IF(AU61&lt;FT_Y5,1+INT((AU61-FT_First)/FT_Int1),FT_PreY5+FT_PerYear*INT((AU61-FT_Y5)/12)+FT_AnnivDays+INT(MOD(AU61-FT_Y5,12)/FT_Int2))),IF(AW61="PT",IF(AU61&lt;PT_First,0,1+INT((AU61-PT_First)/PT_Int)),0)))</f>
        <v/>
      </c>
      <c r="BC61" s="11" t="str">
        <f aca="false">IF(AO61=0,"",IF(AX61="FT",IF(AU61&lt;FT_First,0,IF(AU61&lt;FT_Y5,1+INT((AU61-FT_First)/FT_Int1),FT_PreY5+FT_PerYear*INT((AU61-FT_Y5)/12)+FT_AnnivDays+INT(MOD(AU61-FT_Y5,12)/FT_Int2))),IF(AX61="PT",IF(AU61&lt;PT_First,0,1+INT((AU61-PT_First)/PT_Int)),0)))</f>
        <v/>
      </c>
      <c r="BD61" s="11" t="str">
        <f aca="false">IF(AO61=0,"",IF(AX61="FT",IF(AQ61&lt;FT_First,0,IF(AQ61&lt;FT_Y5,1+INT((AQ61-FT_First)/FT_Int1),FT_PreY5+FT_PerYear*INT((AQ61-FT_Y5)/12)+FT_AnnivDays+INT(MOD(AQ61-FT_Y5,12)/FT_Int2))),IF(AX61="PT",IF(AQ61&lt;PT_First,0,1+INT((AQ61-PT_First)/PT_Int)),0)))</f>
        <v/>
      </c>
      <c r="BE61" s="11" t="str">
        <f aca="false">IF(AO61=0,"",IF(AY61="FT",IF(AQ61&lt;FT_First,FT_First,IF(AQ61&lt;FT_Y5,MIN(FT_Y5,FT_First+FT_Int1*(INT((AQ61-FT_First)/FT_Int1)+1)),FT_Y5+12*INT((AQ61-FT_Y5)/12)+FT_Int2*(INT(MOD(AQ61-FT_Y5,12)/FT_Int2)+1))),IF(AY61="PT",IF(AQ61&lt;PT_First,PT_First,PT_First+PT_Int*(INT((AQ61-PT_First)/PT_Int)+1)),"")))</f>
        <v/>
      </c>
      <c r="BF61" s="11" t="n">
        <f aca="false">IF(AO61=0,0,IF(AND($Q61&lt;&gt;"",$Q61&lt;=AsOfDate),1,0))</f>
        <v>0</v>
      </c>
      <c r="BG61" s="11" t="str">
        <f aca="false">IF(AND(AO61=1,BF61=0,EH_Ready,N(AB61)&gt;0,N(AI61)=0),COUNT($BG$5:BG60)+1,"")</f>
        <v/>
      </c>
      <c r="BH61" s="11" t="str">
        <f aca="false">IF(AND(AO61=1,BF61=0,EH_Ready,N(AB61)&gt;0,N(AI61)&gt;0,N(AK61)&gt;0),COUNT($BH$5:BH60)+1,"")</f>
        <v/>
      </c>
      <c r="BI61" s="11" t="str">
        <f aca="false">IF(AND(AO61=1,OR(LEFT(AM61,3)="ADD",LEFT(AM61,3)="SET",LEFT(AM61,5)="CHECK",LEFT(AM61,10)="TERMINATED")),COUNT($BI$5:BI60)+1,"")</f>
        <v/>
      </c>
      <c r="BJ61" s="11" t="str">
        <f aca="false">IF(AO61=0,"",$A61&amp;" - "&amp;$B61&amp;" "&amp;$C61)</f>
        <v/>
      </c>
    </row>
    <row r="62" customFormat="false" ht="15" hidden="false" customHeight="false" outlineLevel="0" collapsed="false">
      <c r="A62" s="10"/>
      <c r="B62" s="10"/>
      <c r="C62" s="10"/>
      <c r="D62" s="10"/>
      <c r="E62" s="9"/>
      <c r="F62" s="10"/>
      <c r="G62" s="30"/>
      <c r="H62" s="9"/>
      <c r="I62" s="10"/>
      <c r="J62" s="30"/>
      <c r="K62" s="9"/>
      <c r="L62" s="10"/>
      <c r="M62" s="30"/>
      <c r="N62" s="9"/>
      <c r="O62" s="9"/>
      <c r="P62" s="30"/>
      <c r="Q62" s="9"/>
      <c r="R62" s="10"/>
      <c r="S62" s="11" t="str">
        <f aca="false">IF(AO62=0,"",IF($H62="","",$F62&amp;" -&gt; "&amp;$I62&amp;IF($I62="Part-Time"," ("&amp;N($J62)&amp;" hrs)","")&amp;" on "&amp;TEXT($H62,"dd/mm/yyyy")&amp;IF($H62&gt;AsOfDate," (FUTURE)","")&amp;IF($K62="","","; "&amp;$I62&amp;" -&gt; "&amp;$L62&amp;IF($L62="Part-Time"," ("&amp;N($M62)&amp;" hrs)","")&amp;" on "&amp;TEXT($K62,"dd/mm/yyyy")&amp;IF($K62&gt;AsOfDate," (FUTURE)",""))))</f>
        <v/>
      </c>
      <c r="T62" s="11" t="str">
        <f aca="false">IF(AO62=0,"",IF(AS62&lt;&gt;"",$L62,IF(AR62&lt;&gt;"",$I62,$F62)))</f>
        <v/>
      </c>
      <c r="U62" s="26" t="str">
        <f aca="false">IF(AO62=0,"",IF(AS62&lt;&gt;"",$M62,IF(AR62&lt;&gt;"",$J62,$G62)))</f>
        <v/>
      </c>
      <c r="V62" s="11" t="str">
        <f aca="false">IF(AO62=0,"",IF(AY62="FT","Full-Time",IF(AY62="PT","Part-Time","Not eligible")))</f>
        <v/>
      </c>
      <c r="W62" s="27" t="str">
        <f aca="false">IF(AO62=0,"",IF(AR62="",IF(AND($H62&lt;&gt;"",$H62&gt;AsOfDate),"Future change - not yet applied",""),IF(AND(AV62=AY62,OR(AS62="",AW62=AV62)),"Type changed - same accrual pathway",IF(AY62="None","STOPPED accruing from "&amp;TEXT(IF(AS62&lt;&gt;"",AS62,AR62),"dd/mm/yyyy"),IF(AV62="None","STARTED qualifying from "&amp;TEXT(IF(AS62&lt;&gt;"",AS62,AR62),"dd/mm/yyyy"),"Pathway changed "&amp;AV62&amp;" -&gt; "&amp;AW62&amp;IF(AS62&lt;&gt;""," -&gt; "&amp;AX62,"")&amp;" from "&amp;TEXT(IF(AS62&lt;&gt;"",AS62,AR62),"dd/mm/yyyy"))))))</f>
        <v/>
      </c>
      <c r="X62" s="28" t="str">
        <f aca="false">IF(AO62=0,"",IF($Q62="",AsOfDate,MIN(AsOfDate,$Q62)))</f>
        <v/>
      </c>
      <c r="Y62" s="26" t="str">
        <f aca="false">IF(AO62=0,"",MAX(0,AQ62))</f>
        <v/>
      </c>
      <c r="Z62" s="11" t="str">
        <f aca="false">IF(AO62=0,"",IF(AQ62&lt;0,"Not started",INT(AQ62/12)&amp;"y "&amp;MOD(AQ62,12)&amp;"m"))</f>
        <v/>
      </c>
      <c r="AA62" s="27" t="str">
        <f aca="false">IF(AO62=0,"",IF(BF62=1,"Terminated - balance forfeited",IF(AY62="None",IF(AB62&gt;0,"No longer accruing - "&amp;T62,"Not eligible - "&amp;T62&amp;IF(AND(IFERROR(VLOOKUP(T62,TypeTable,2,0),"None")="PT",N(U62)&lt;PT_MinHours)," (under "&amp;PT_MinHours&amp;" hrs)","")),IF(AB62&gt;0,"Yes - accruing","Not yet - qualifies "&amp;TEXT(AD62,"dd/mm/yyyy")))))</f>
        <v/>
      </c>
      <c r="AB62" s="26" t="str">
        <f aca="false">IF(AO62=0,"",AZ62+IF(AR62="",0,BB62-BA62)+IF(AS62="",0,BD62-BC62))</f>
        <v/>
      </c>
      <c r="AC62" s="26" t="str">
        <f aca="false">IF(AO62=0,"",AB62*HoursPerDay)</f>
        <v/>
      </c>
      <c r="AD62" s="28" t="str">
        <f aca="false">IF(AO62=0,"",IF(OR(BF62=1,AY62="None"),"",EDATE($E62+AP62,BE62)))</f>
        <v/>
      </c>
      <c r="AE62" s="26" t="str">
        <f aca="false">IF(AD62="","",IF(AY62="PT",1,IF(BE62&lt;FT_Y5,1,IF(MOD(BE62-FT_Y5,12)=0,FT_AnnivDays,1))))</f>
        <v/>
      </c>
      <c r="AF62" s="27" t="str">
        <f aca="false">IF(AO62=0,"",IF(NOT(EH_Ready),"Map headers",IF(IF(MatchMode="Employee ID",COUNTIFS(INDEX(EH_Data,0,EH_ColID),$A62,INDEX(EH_Data,0,EH_ColCat),BonusCat),COUNTIFS(INDEX(EH_Data,0,EH_ColFirst),$B62,INDEX(EH_Data,0,EH_ColSur),$C62,INDEX(EH_Data,0,EH_ColCat),BonusCat))&gt;0,"Yes","No")))</f>
        <v/>
      </c>
      <c r="AG62" s="26" t="str">
        <f aca="false">IF(AO62=0,"",IF(NOT(EH_Ready),"",IF(MatchMode="Employee ID",SUMIFS(INDEX(EH_Data,0,EH_ColBal),INDEX(EH_Data,0,EH_ColID),$A62,INDEX(EH_Data,0,EH_ColCat),BonusCat),SUMIFS(INDEX(EH_Data,0,EH_ColBal),INDEX(EH_Data,0,EH_ColFirst),$B62,INDEX(EH_Data,0,EH_ColSur),$C62,INDEX(EH_Data,0,EH_ColCat),BonusCat))/IF(EHUnit="Hours",HoursPerDay,1)))</f>
        <v/>
      </c>
      <c r="AH62" s="26" t="str">
        <f aca="false">IF(AO62=0,"",IF(NOT(TK_Ready),0,IF(MatchMode="Employee ID",SUMIFS(INDEX(TK_Data,0,TK_ColAmt),INDEX(TK_Data,0,TK_ColID),$A62,INDEX(TK_Data,0,TK_ColCat),BonusCat),SUMIFS(INDEX(TK_Data,0,TK_ColAmt),INDEX(TK_Data,0,TK_ColFirst),$B62,INDEX(TK_Data,0,TK_ColSur),$C62,INDEX(TK_Data,0,TK_ColCat),BonusCat))/IF(TKUnit="Hours",HoursPerDay,1)))</f>
        <v/>
      </c>
      <c r="AI62" s="26" t="str">
        <f aca="false">IF(AO62=0,"",N(AG62)+N(AH62))</f>
        <v/>
      </c>
      <c r="AJ62" s="29" t="str">
        <f aca="false">IF(AO62=0,"",IF(NOT(AND(EH_Ready,EH_ValReady)),"",IF(MatchMode="Employee ID",SUMIFS(INDEX(EH_Data,0,EH_ColVal),INDEX(EH_Data,0,EH_ColID),$A62,INDEX(EH_Data,0,EH_ColCat),BonusCat),SUMIFS(INDEX(EH_Data,0,EH_ColVal),INDEX(EH_Data,0,EH_ColFirst),$B62,INDEX(EH_Data,0,EH_ColSur),$C62,INDEX(EH_Data,0,EH_ColCat),BonusCat))))</f>
        <v/>
      </c>
      <c r="AK62" s="26" t="str">
        <f aca="false">IF(AO62=0,"",IF(OR(NOT(EH_Ready),BF62=1),"",AB62-AI62))</f>
        <v/>
      </c>
      <c r="AL62" s="26" t="str">
        <f aca="false">IF(AK62="","",AK62*HoursPerDay)</f>
        <v/>
      </c>
      <c r="AM62" s="27" t="str">
        <f aca="false">IF(AO62=0,"",IF(BF62=1,IF(N(AG62)&gt;0,"TERMINATED - forfeit "&amp;TEXT(AG62,"0.##")&amp;" days still in EH","Terminated - nothing in EH"),IF(NOT(EH_Ready),"Paste EH export and map headers on Settings",IF(AND(AB62&gt;0,AF62="No"),"SET UP in EH - add "&amp;TEXT(AB62,"0.##")&amp;" day(s) ("&amp;TEXT(AC62,"0.##")&amp;" hrs)",IF(AK62&gt;0,"ADD "&amp;TEXT(AK62,"0.##")&amp;" day(s) ("&amp;TEXT(AL62,"0.##")&amp;" hrs) in EH",IF(AK62&lt;0,"CHECK - EH shows "&amp;TEXT(-AK62,"0.##")&amp;" days more than policy",IF(AB62&gt;0,"OK - up to date",IF(AY62="None","No action - not eligible","No action - not yet qualified"))))))))</f>
        <v/>
      </c>
      <c r="AN62" s="27" t="str">
        <f aca="false">IF(AO62=0,"",TRIM(IF(AND($K62&lt;&gt;"",$H62=""),"Change 2 entered without Change 1. ","")&amp;IF(AND($K62&lt;&gt;"",$H62&lt;&gt;"",$K62&lt;=$H62),"Change 2 date not after Change 1. ","")&amp;IF(AND($N62&lt;&gt;"",$O62&lt;&gt;"",$O62&lt;$N62),"Leave To is before Leave From. ","")&amp;IF(AND($N62&lt;&gt;"",$O62=""),"Leave From entered without Leave To. ","")&amp;IF(AND(IFERROR(VLOOKUP(T62,TypeTable,2,0),"None")="PT",U62=""),"Part-time with no hours entered. ","")&amp;IF(AND($H62&lt;&gt;"",$H62&gt;AsOfDate,AD62&lt;&gt;"",$H62&lt;=AD62),"Status change lands before next accrual - review. ","")&amp;IF(AND($Q62&lt;&gt;"",$Q62&lt;$E62),"Termination before commencement. ","")))</f>
        <v/>
      </c>
      <c r="AO62" s="11" t="n">
        <f aca="false">IF(LEN($A62&amp;$B62&amp;$C62)=0,0,IF($E62="",0,1))</f>
        <v>0</v>
      </c>
      <c r="AP62" s="11" t="str">
        <f aca="false">IF(AO62=0,"",(IF(OR($N62="",$O62=""),0,MAX(0,MIN(X62,$O62)-MAX($N62,$E62)+1))+N($P62)))</f>
        <v/>
      </c>
      <c r="AQ62" s="11" t="str">
        <f aca="false">IF(AO62=0,"",IF(X62&lt;($E62+(IF(OR($N62="",$O62=""),0,MAX(0,MIN(X62,$O62)-MAX($N62,$E62)+1))+N($P62))),-1,12*(YEAR(X62)-YEAR(($E62+(IF(OR($N62="",$O62=""),0,MAX(0,MIN(X62,$O62)-MAX($N62,$E62)+1))+N($P62)))))+MONTH(X62)-MONTH(($E62+(IF(OR($N62="",$O62=""),0,MAX(0,MIN(X62,$O62)-MAX($N62,$E62)+1))+N($P62))))-IF(DAY(X62)&lt;MIN(DAY(($E62+(IF(OR($N62="",$O62=""),0,MAX(0,MIN(X62,$O62)-MAX($N62,$E62)+1))+N($P62)))),DAY(EOMONTH(X62,0))),1,0)))</f>
        <v/>
      </c>
      <c r="AR62" s="28" t="str">
        <f aca="false">IF(AO62=0,"",IF($H62="","",IF($H62&gt;X62,"",$H62)))</f>
        <v/>
      </c>
      <c r="AS62" s="28" t="str">
        <f aca="false">IF(AO62=0,"",IF(AR62="","",IF($K62="","",IF($K62&gt;X62,"",$K62))))</f>
        <v/>
      </c>
      <c r="AT62" s="11" t="str">
        <f aca="false">IF(AO62=0,"",IF(AR62="",AQ62,IF((AR62-1)&lt;($E62+(IF(OR($N62="",$O62=""),0,MAX(0,MIN((AR62-1),$O62)-MAX($N62,$E62)+1))+N($P62))),-1,12*(YEAR((AR62-1))-YEAR(($E62+(IF(OR($N62="",$O62=""),0,MAX(0,MIN((AR62-1),$O62)-MAX($N62,$E62)+1))+N($P62)))))+MONTH((AR62-1))-MONTH(($E62+(IF(OR($N62="",$O62=""),0,MAX(0,MIN((AR62-1),$O62)-MAX($N62,$E62)+1))+N($P62))))-IF(DAY((AR62-1))&lt;MIN(DAY(($E62+(IF(OR($N62="",$O62=""),0,MAX(0,MIN((AR62-1),$O62)-MAX($N62,$E62)+1))+N($P62)))),DAY(EOMONTH((AR62-1),0))),1,0))))</f>
        <v/>
      </c>
      <c r="AU62" s="11" t="str">
        <f aca="false">IF(AO62=0,"",IF(AS62="",AQ62,IF((AS62-1)&lt;($E62+(IF(OR($N62="",$O62=""),0,MAX(0,MIN((AS62-1),$O62)-MAX($N62,$E62)+1))+N($P62))),-1,12*(YEAR((AS62-1))-YEAR(($E62+(IF(OR($N62="",$O62=""),0,MAX(0,MIN((AS62-1),$O62)-MAX($N62,$E62)+1))+N($P62)))))+MONTH((AS62-1))-MONTH(($E62+(IF(OR($N62="",$O62=""),0,MAX(0,MIN((AS62-1),$O62)-MAX($N62,$E62)+1))+N($P62))))-IF(DAY((AS62-1))&lt;MIN(DAY(($E62+(IF(OR($N62="",$O62=""),0,MAX(0,MIN((AS62-1),$O62)-MAX($N62,$E62)+1))+N($P62)))),DAY(EOMONTH((AS62-1),0))),1,0))))</f>
        <v/>
      </c>
      <c r="AV62" s="11" t="str">
        <f aca="false">IF(AO62=0,"",IF($F62="","None",IF(IFERROR(VLOOKUP($F62,TypeTable,2,0),"None")="PT",IF(N($G62)&gt;=PT_MinHours,"PT","None"),IFERROR(VLOOKUP($F62,TypeTable,2,0),"None"))))</f>
        <v/>
      </c>
      <c r="AW62" s="11" t="str">
        <f aca="false">IF(AO62=0,"",IF($I62="","None",IF(IFERROR(VLOOKUP($I62,TypeTable,2,0),"None")="PT",IF(N($J62)&gt;=PT_MinHours,"PT","None"),IFERROR(VLOOKUP($I62,TypeTable,2,0),"None"))))</f>
        <v/>
      </c>
      <c r="AX62" s="11" t="str">
        <f aca="false">IF(AO62=0,"",IF($L62="","None",IF(IFERROR(VLOOKUP($L62,TypeTable,2,0),"None")="PT",IF(N($M62)&gt;=PT_MinHours,"PT","None"),IFERROR(VLOOKUP($L62,TypeTable,2,0),"None"))))</f>
        <v/>
      </c>
      <c r="AY62" s="11" t="str">
        <f aca="false">IF(AO62=0,"",IF(AS62&lt;&gt;"",AX62,IF(AR62&lt;&gt;"",AW62,AV62)))</f>
        <v/>
      </c>
      <c r="AZ62" s="11" t="str">
        <f aca="false">IF(AO62=0,"",IF(AV62="FT",IF(AT62&lt;FT_First,0,IF(AT62&lt;FT_Y5,1+INT((AT62-FT_First)/FT_Int1),FT_PreY5+FT_PerYear*INT((AT62-FT_Y5)/12)+FT_AnnivDays+INT(MOD(AT62-FT_Y5,12)/FT_Int2))),IF(AV62="PT",IF(AT62&lt;PT_First,0,1+INT((AT62-PT_First)/PT_Int)),0)))</f>
        <v/>
      </c>
      <c r="BA62" s="11" t="str">
        <f aca="false">IF(AO62=0,"",IF(AW62="FT",IF(AT62&lt;FT_First,0,IF(AT62&lt;FT_Y5,1+INT((AT62-FT_First)/FT_Int1),FT_PreY5+FT_PerYear*INT((AT62-FT_Y5)/12)+FT_AnnivDays+INT(MOD(AT62-FT_Y5,12)/FT_Int2))),IF(AW62="PT",IF(AT62&lt;PT_First,0,1+INT((AT62-PT_First)/PT_Int)),0)))</f>
        <v/>
      </c>
      <c r="BB62" s="11" t="str">
        <f aca="false">IF(AO62=0,"",IF(AW62="FT",IF(AU62&lt;FT_First,0,IF(AU62&lt;FT_Y5,1+INT((AU62-FT_First)/FT_Int1),FT_PreY5+FT_PerYear*INT((AU62-FT_Y5)/12)+FT_AnnivDays+INT(MOD(AU62-FT_Y5,12)/FT_Int2))),IF(AW62="PT",IF(AU62&lt;PT_First,0,1+INT((AU62-PT_First)/PT_Int)),0)))</f>
        <v/>
      </c>
      <c r="BC62" s="11" t="str">
        <f aca="false">IF(AO62=0,"",IF(AX62="FT",IF(AU62&lt;FT_First,0,IF(AU62&lt;FT_Y5,1+INT((AU62-FT_First)/FT_Int1),FT_PreY5+FT_PerYear*INT((AU62-FT_Y5)/12)+FT_AnnivDays+INT(MOD(AU62-FT_Y5,12)/FT_Int2))),IF(AX62="PT",IF(AU62&lt;PT_First,0,1+INT((AU62-PT_First)/PT_Int)),0)))</f>
        <v/>
      </c>
      <c r="BD62" s="11" t="str">
        <f aca="false">IF(AO62=0,"",IF(AX62="FT",IF(AQ62&lt;FT_First,0,IF(AQ62&lt;FT_Y5,1+INT((AQ62-FT_First)/FT_Int1),FT_PreY5+FT_PerYear*INT((AQ62-FT_Y5)/12)+FT_AnnivDays+INT(MOD(AQ62-FT_Y5,12)/FT_Int2))),IF(AX62="PT",IF(AQ62&lt;PT_First,0,1+INT((AQ62-PT_First)/PT_Int)),0)))</f>
        <v/>
      </c>
      <c r="BE62" s="11" t="str">
        <f aca="false">IF(AO62=0,"",IF(AY62="FT",IF(AQ62&lt;FT_First,FT_First,IF(AQ62&lt;FT_Y5,MIN(FT_Y5,FT_First+FT_Int1*(INT((AQ62-FT_First)/FT_Int1)+1)),FT_Y5+12*INT((AQ62-FT_Y5)/12)+FT_Int2*(INT(MOD(AQ62-FT_Y5,12)/FT_Int2)+1))),IF(AY62="PT",IF(AQ62&lt;PT_First,PT_First,PT_First+PT_Int*(INT((AQ62-PT_First)/PT_Int)+1)),"")))</f>
        <v/>
      </c>
      <c r="BF62" s="11" t="n">
        <f aca="false">IF(AO62=0,0,IF(AND($Q62&lt;&gt;"",$Q62&lt;=AsOfDate),1,0))</f>
        <v>0</v>
      </c>
      <c r="BG62" s="11" t="str">
        <f aca="false">IF(AND(AO62=1,BF62=0,EH_Ready,N(AB62)&gt;0,N(AI62)=0),COUNT($BG$5:BG61)+1,"")</f>
        <v/>
      </c>
      <c r="BH62" s="11" t="str">
        <f aca="false">IF(AND(AO62=1,BF62=0,EH_Ready,N(AB62)&gt;0,N(AI62)&gt;0,N(AK62)&gt;0),COUNT($BH$5:BH61)+1,"")</f>
        <v/>
      </c>
      <c r="BI62" s="11" t="str">
        <f aca="false">IF(AND(AO62=1,OR(LEFT(AM62,3)="ADD",LEFT(AM62,3)="SET",LEFT(AM62,5)="CHECK",LEFT(AM62,10)="TERMINATED")),COUNT($BI$5:BI61)+1,"")</f>
        <v/>
      </c>
      <c r="BJ62" s="11" t="str">
        <f aca="false">IF(AO62=0,"",$A62&amp;" - "&amp;$B62&amp;" "&amp;$C62)</f>
        <v/>
      </c>
    </row>
    <row r="63" customFormat="false" ht="15" hidden="false" customHeight="false" outlineLevel="0" collapsed="false">
      <c r="A63" s="10"/>
      <c r="B63" s="10"/>
      <c r="C63" s="10"/>
      <c r="D63" s="10"/>
      <c r="E63" s="9"/>
      <c r="F63" s="10"/>
      <c r="G63" s="30"/>
      <c r="H63" s="9"/>
      <c r="I63" s="10"/>
      <c r="J63" s="30"/>
      <c r="K63" s="9"/>
      <c r="L63" s="10"/>
      <c r="M63" s="30"/>
      <c r="N63" s="9"/>
      <c r="O63" s="9"/>
      <c r="P63" s="30"/>
      <c r="Q63" s="9"/>
      <c r="R63" s="10"/>
      <c r="S63" s="11" t="str">
        <f aca="false">IF(AO63=0,"",IF($H63="","",$F63&amp;" -&gt; "&amp;$I63&amp;IF($I63="Part-Time"," ("&amp;N($J63)&amp;" hrs)","")&amp;" on "&amp;TEXT($H63,"dd/mm/yyyy")&amp;IF($H63&gt;AsOfDate," (FUTURE)","")&amp;IF($K63="","","; "&amp;$I63&amp;" -&gt; "&amp;$L63&amp;IF($L63="Part-Time"," ("&amp;N($M63)&amp;" hrs)","")&amp;" on "&amp;TEXT($K63,"dd/mm/yyyy")&amp;IF($K63&gt;AsOfDate," (FUTURE)",""))))</f>
        <v/>
      </c>
      <c r="T63" s="11" t="str">
        <f aca="false">IF(AO63=0,"",IF(AS63&lt;&gt;"",$L63,IF(AR63&lt;&gt;"",$I63,$F63)))</f>
        <v/>
      </c>
      <c r="U63" s="26" t="str">
        <f aca="false">IF(AO63=0,"",IF(AS63&lt;&gt;"",$M63,IF(AR63&lt;&gt;"",$J63,$G63)))</f>
        <v/>
      </c>
      <c r="V63" s="11" t="str">
        <f aca="false">IF(AO63=0,"",IF(AY63="FT","Full-Time",IF(AY63="PT","Part-Time","Not eligible")))</f>
        <v/>
      </c>
      <c r="W63" s="27" t="str">
        <f aca="false">IF(AO63=0,"",IF(AR63="",IF(AND($H63&lt;&gt;"",$H63&gt;AsOfDate),"Future change - not yet applied",""),IF(AND(AV63=AY63,OR(AS63="",AW63=AV63)),"Type changed - same accrual pathway",IF(AY63="None","STOPPED accruing from "&amp;TEXT(IF(AS63&lt;&gt;"",AS63,AR63),"dd/mm/yyyy"),IF(AV63="None","STARTED qualifying from "&amp;TEXT(IF(AS63&lt;&gt;"",AS63,AR63),"dd/mm/yyyy"),"Pathway changed "&amp;AV63&amp;" -&gt; "&amp;AW63&amp;IF(AS63&lt;&gt;""," -&gt; "&amp;AX63,"")&amp;" from "&amp;TEXT(IF(AS63&lt;&gt;"",AS63,AR63),"dd/mm/yyyy"))))))</f>
        <v/>
      </c>
      <c r="X63" s="28" t="str">
        <f aca="false">IF(AO63=0,"",IF($Q63="",AsOfDate,MIN(AsOfDate,$Q63)))</f>
        <v/>
      </c>
      <c r="Y63" s="26" t="str">
        <f aca="false">IF(AO63=0,"",MAX(0,AQ63))</f>
        <v/>
      </c>
      <c r="Z63" s="11" t="str">
        <f aca="false">IF(AO63=0,"",IF(AQ63&lt;0,"Not started",INT(AQ63/12)&amp;"y "&amp;MOD(AQ63,12)&amp;"m"))</f>
        <v/>
      </c>
      <c r="AA63" s="27" t="str">
        <f aca="false">IF(AO63=0,"",IF(BF63=1,"Terminated - balance forfeited",IF(AY63="None",IF(AB63&gt;0,"No longer accruing - "&amp;T63,"Not eligible - "&amp;T63&amp;IF(AND(IFERROR(VLOOKUP(T63,TypeTable,2,0),"None")="PT",N(U63)&lt;PT_MinHours)," (under "&amp;PT_MinHours&amp;" hrs)","")),IF(AB63&gt;0,"Yes - accruing","Not yet - qualifies "&amp;TEXT(AD63,"dd/mm/yyyy")))))</f>
        <v/>
      </c>
      <c r="AB63" s="26" t="str">
        <f aca="false">IF(AO63=0,"",AZ63+IF(AR63="",0,BB63-BA63)+IF(AS63="",0,BD63-BC63))</f>
        <v/>
      </c>
      <c r="AC63" s="26" t="str">
        <f aca="false">IF(AO63=0,"",AB63*HoursPerDay)</f>
        <v/>
      </c>
      <c r="AD63" s="28" t="str">
        <f aca="false">IF(AO63=0,"",IF(OR(BF63=1,AY63="None"),"",EDATE($E63+AP63,BE63)))</f>
        <v/>
      </c>
      <c r="AE63" s="26" t="str">
        <f aca="false">IF(AD63="","",IF(AY63="PT",1,IF(BE63&lt;FT_Y5,1,IF(MOD(BE63-FT_Y5,12)=0,FT_AnnivDays,1))))</f>
        <v/>
      </c>
      <c r="AF63" s="27" t="str">
        <f aca="false">IF(AO63=0,"",IF(NOT(EH_Ready),"Map headers",IF(IF(MatchMode="Employee ID",COUNTIFS(INDEX(EH_Data,0,EH_ColID),$A63,INDEX(EH_Data,0,EH_ColCat),BonusCat),COUNTIFS(INDEX(EH_Data,0,EH_ColFirst),$B63,INDEX(EH_Data,0,EH_ColSur),$C63,INDEX(EH_Data,0,EH_ColCat),BonusCat))&gt;0,"Yes","No")))</f>
        <v/>
      </c>
      <c r="AG63" s="26" t="str">
        <f aca="false">IF(AO63=0,"",IF(NOT(EH_Ready),"",IF(MatchMode="Employee ID",SUMIFS(INDEX(EH_Data,0,EH_ColBal),INDEX(EH_Data,0,EH_ColID),$A63,INDEX(EH_Data,0,EH_ColCat),BonusCat),SUMIFS(INDEX(EH_Data,0,EH_ColBal),INDEX(EH_Data,0,EH_ColFirst),$B63,INDEX(EH_Data,0,EH_ColSur),$C63,INDEX(EH_Data,0,EH_ColCat),BonusCat))/IF(EHUnit="Hours",HoursPerDay,1)))</f>
        <v/>
      </c>
      <c r="AH63" s="26" t="str">
        <f aca="false">IF(AO63=0,"",IF(NOT(TK_Ready),0,IF(MatchMode="Employee ID",SUMIFS(INDEX(TK_Data,0,TK_ColAmt),INDEX(TK_Data,0,TK_ColID),$A63,INDEX(TK_Data,0,TK_ColCat),BonusCat),SUMIFS(INDEX(TK_Data,0,TK_ColAmt),INDEX(TK_Data,0,TK_ColFirst),$B63,INDEX(TK_Data,0,TK_ColSur),$C63,INDEX(TK_Data,0,TK_ColCat),BonusCat))/IF(TKUnit="Hours",HoursPerDay,1)))</f>
        <v/>
      </c>
      <c r="AI63" s="26" t="str">
        <f aca="false">IF(AO63=0,"",N(AG63)+N(AH63))</f>
        <v/>
      </c>
      <c r="AJ63" s="29" t="str">
        <f aca="false">IF(AO63=0,"",IF(NOT(AND(EH_Ready,EH_ValReady)),"",IF(MatchMode="Employee ID",SUMIFS(INDEX(EH_Data,0,EH_ColVal),INDEX(EH_Data,0,EH_ColID),$A63,INDEX(EH_Data,0,EH_ColCat),BonusCat),SUMIFS(INDEX(EH_Data,0,EH_ColVal),INDEX(EH_Data,0,EH_ColFirst),$B63,INDEX(EH_Data,0,EH_ColSur),$C63,INDEX(EH_Data,0,EH_ColCat),BonusCat))))</f>
        <v/>
      </c>
      <c r="AK63" s="26" t="str">
        <f aca="false">IF(AO63=0,"",IF(OR(NOT(EH_Ready),BF63=1),"",AB63-AI63))</f>
        <v/>
      </c>
      <c r="AL63" s="26" t="str">
        <f aca="false">IF(AK63="","",AK63*HoursPerDay)</f>
        <v/>
      </c>
      <c r="AM63" s="27" t="str">
        <f aca="false">IF(AO63=0,"",IF(BF63=1,IF(N(AG63)&gt;0,"TERMINATED - forfeit "&amp;TEXT(AG63,"0.##")&amp;" days still in EH","Terminated - nothing in EH"),IF(NOT(EH_Ready),"Paste EH export and map headers on Settings",IF(AND(AB63&gt;0,AF63="No"),"SET UP in EH - add "&amp;TEXT(AB63,"0.##")&amp;" day(s) ("&amp;TEXT(AC63,"0.##")&amp;" hrs)",IF(AK63&gt;0,"ADD "&amp;TEXT(AK63,"0.##")&amp;" day(s) ("&amp;TEXT(AL63,"0.##")&amp;" hrs) in EH",IF(AK63&lt;0,"CHECK - EH shows "&amp;TEXT(-AK63,"0.##")&amp;" days more than policy",IF(AB63&gt;0,"OK - up to date",IF(AY63="None","No action - not eligible","No action - not yet qualified"))))))))</f>
        <v/>
      </c>
      <c r="AN63" s="27" t="str">
        <f aca="false">IF(AO63=0,"",TRIM(IF(AND($K63&lt;&gt;"",$H63=""),"Change 2 entered without Change 1. ","")&amp;IF(AND($K63&lt;&gt;"",$H63&lt;&gt;"",$K63&lt;=$H63),"Change 2 date not after Change 1. ","")&amp;IF(AND($N63&lt;&gt;"",$O63&lt;&gt;"",$O63&lt;$N63),"Leave To is before Leave From. ","")&amp;IF(AND($N63&lt;&gt;"",$O63=""),"Leave From entered without Leave To. ","")&amp;IF(AND(IFERROR(VLOOKUP(T63,TypeTable,2,0),"None")="PT",U63=""),"Part-time with no hours entered. ","")&amp;IF(AND($H63&lt;&gt;"",$H63&gt;AsOfDate,AD63&lt;&gt;"",$H63&lt;=AD63),"Status change lands before next accrual - review. ","")&amp;IF(AND($Q63&lt;&gt;"",$Q63&lt;$E63),"Termination before commencement. ","")))</f>
        <v/>
      </c>
      <c r="AO63" s="11" t="n">
        <f aca="false">IF(LEN($A63&amp;$B63&amp;$C63)=0,0,IF($E63="",0,1))</f>
        <v>0</v>
      </c>
      <c r="AP63" s="11" t="str">
        <f aca="false">IF(AO63=0,"",(IF(OR($N63="",$O63=""),0,MAX(0,MIN(X63,$O63)-MAX($N63,$E63)+1))+N($P63)))</f>
        <v/>
      </c>
      <c r="AQ63" s="11" t="str">
        <f aca="false">IF(AO63=0,"",IF(X63&lt;($E63+(IF(OR($N63="",$O63=""),0,MAX(0,MIN(X63,$O63)-MAX($N63,$E63)+1))+N($P63))),-1,12*(YEAR(X63)-YEAR(($E63+(IF(OR($N63="",$O63=""),0,MAX(0,MIN(X63,$O63)-MAX($N63,$E63)+1))+N($P63)))))+MONTH(X63)-MONTH(($E63+(IF(OR($N63="",$O63=""),0,MAX(0,MIN(X63,$O63)-MAX($N63,$E63)+1))+N($P63))))-IF(DAY(X63)&lt;MIN(DAY(($E63+(IF(OR($N63="",$O63=""),0,MAX(0,MIN(X63,$O63)-MAX($N63,$E63)+1))+N($P63)))),DAY(EOMONTH(X63,0))),1,0)))</f>
        <v/>
      </c>
      <c r="AR63" s="28" t="str">
        <f aca="false">IF(AO63=0,"",IF($H63="","",IF($H63&gt;X63,"",$H63)))</f>
        <v/>
      </c>
      <c r="AS63" s="28" t="str">
        <f aca="false">IF(AO63=0,"",IF(AR63="","",IF($K63="","",IF($K63&gt;X63,"",$K63))))</f>
        <v/>
      </c>
      <c r="AT63" s="11" t="str">
        <f aca="false">IF(AO63=0,"",IF(AR63="",AQ63,IF((AR63-1)&lt;($E63+(IF(OR($N63="",$O63=""),0,MAX(0,MIN((AR63-1),$O63)-MAX($N63,$E63)+1))+N($P63))),-1,12*(YEAR((AR63-1))-YEAR(($E63+(IF(OR($N63="",$O63=""),0,MAX(0,MIN((AR63-1),$O63)-MAX($N63,$E63)+1))+N($P63)))))+MONTH((AR63-1))-MONTH(($E63+(IF(OR($N63="",$O63=""),0,MAX(0,MIN((AR63-1),$O63)-MAX($N63,$E63)+1))+N($P63))))-IF(DAY((AR63-1))&lt;MIN(DAY(($E63+(IF(OR($N63="",$O63=""),0,MAX(0,MIN((AR63-1),$O63)-MAX($N63,$E63)+1))+N($P63)))),DAY(EOMONTH((AR63-1),0))),1,0))))</f>
        <v/>
      </c>
      <c r="AU63" s="11" t="str">
        <f aca="false">IF(AO63=0,"",IF(AS63="",AQ63,IF((AS63-1)&lt;($E63+(IF(OR($N63="",$O63=""),0,MAX(0,MIN((AS63-1),$O63)-MAX($N63,$E63)+1))+N($P63))),-1,12*(YEAR((AS63-1))-YEAR(($E63+(IF(OR($N63="",$O63=""),0,MAX(0,MIN((AS63-1),$O63)-MAX($N63,$E63)+1))+N($P63)))))+MONTH((AS63-1))-MONTH(($E63+(IF(OR($N63="",$O63=""),0,MAX(0,MIN((AS63-1),$O63)-MAX($N63,$E63)+1))+N($P63))))-IF(DAY((AS63-1))&lt;MIN(DAY(($E63+(IF(OR($N63="",$O63=""),0,MAX(0,MIN((AS63-1),$O63)-MAX($N63,$E63)+1))+N($P63)))),DAY(EOMONTH((AS63-1),0))),1,0))))</f>
        <v/>
      </c>
      <c r="AV63" s="11" t="str">
        <f aca="false">IF(AO63=0,"",IF($F63="","None",IF(IFERROR(VLOOKUP($F63,TypeTable,2,0),"None")="PT",IF(N($G63)&gt;=PT_MinHours,"PT","None"),IFERROR(VLOOKUP($F63,TypeTable,2,0),"None"))))</f>
        <v/>
      </c>
      <c r="AW63" s="11" t="str">
        <f aca="false">IF(AO63=0,"",IF($I63="","None",IF(IFERROR(VLOOKUP($I63,TypeTable,2,0),"None")="PT",IF(N($J63)&gt;=PT_MinHours,"PT","None"),IFERROR(VLOOKUP($I63,TypeTable,2,0),"None"))))</f>
        <v/>
      </c>
      <c r="AX63" s="11" t="str">
        <f aca="false">IF(AO63=0,"",IF($L63="","None",IF(IFERROR(VLOOKUP($L63,TypeTable,2,0),"None")="PT",IF(N($M63)&gt;=PT_MinHours,"PT","None"),IFERROR(VLOOKUP($L63,TypeTable,2,0),"None"))))</f>
        <v/>
      </c>
      <c r="AY63" s="11" t="str">
        <f aca="false">IF(AO63=0,"",IF(AS63&lt;&gt;"",AX63,IF(AR63&lt;&gt;"",AW63,AV63)))</f>
        <v/>
      </c>
      <c r="AZ63" s="11" t="str">
        <f aca="false">IF(AO63=0,"",IF(AV63="FT",IF(AT63&lt;FT_First,0,IF(AT63&lt;FT_Y5,1+INT((AT63-FT_First)/FT_Int1),FT_PreY5+FT_PerYear*INT((AT63-FT_Y5)/12)+FT_AnnivDays+INT(MOD(AT63-FT_Y5,12)/FT_Int2))),IF(AV63="PT",IF(AT63&lt;PT_First,0,1+INT((AT63-PT_First)/PT_Int)),0)))</f>
        <v/>
      </c>
      <c r="BA63" s="11" t="str">
        <f aca="false">IF(AO63=0,"",IF(AW63="FT",IF(AT63&lt;FT_First,0,IF(AT63&lt;FT_Y5,1+INT((AT63-FT_First)/FT_Int1),FT_PreY5+FT_PerYear*INT((AT63-FT_Y5)/12)+FT_AnnivDays+INT(MOD(AT63-FT_Y5,12)/FT_Int2))),IF(AW63="PT",IF(AT63&lt;PT_First,0,1+INT((AT63-PT_First)/PT_Int)),0)))</f>
        <v/>
      </c>
      <c r="BB63" s="11" t="str">
        <f aca="false">IF(AO63=0,"",IF(AW63="FT",IF(AU63&lt;FT_First,0,IF(AU63&lt;FT_Y5,1+INT((AU63-FT_First)/FT_Int1),FT_PreY5+FT_PerYear*INT((AU63-FT_Y5)/12)+FT_AnnivDays+INT(MOD(AU63-FT_Y5,12)/FT_Int2))),IF(AW63="PT",IF(AU63&lt;PT_First,0,1+INT((AU63-PT_First)/PT_Int)),0)))</f>
        <v/>
      </c>
      <c r="BC63" s="11" t="str">
        <f aca="false">IF(AO63=0,"",IF(AX63="FT",IF(AU63&lt;FT_First,0,IF(AU63&lt;FT_Y5,1+INT((AU63-FT_First)/FT_Int1),FT_PreY5+FT_PerYear*INT((AU63-FT_Y5)/12)+FT_AnnivDays+INT(MOD(AU63-FT_Y5,12)/FT_Int2))),IF(AX63="PT",IF(AU63&lt;PT_First,0,1+INT((AU63-PT_First)/PT_Int)),0)))</f>
        <v/>
      </c>
      <c r="BD63" s="11" t="str">
        <f aca="false">IF(AO63=0,"",IF(AX63="FT",IF(AQ63&lt;FT_First,0,IF(AQ63&lt;FT_Y5,1+INT((AQ63-FT_First)/FT_Int1),FT_PreY5+FT_PerYear*INT((AQ63-FT_Y5)/12)+FT_AnnivDays+INT(MOD(AQ63-FT_Y5,12)/FT_Int2))),IF(AX63="PT",IF(AQ63&lt;PT_First,0,1+INT((AQ63-PT_First)/PT_Int)),0)))</f>
        <v/>
      </c>
      <c r="BE63" s="11" t="str">
        <f aca="false">IF(AO63=0,"",IF(AY63="FT",IF(AQ63&lt;FT_First,FT_First,IF(AQ63&lt;FT_Y5,MIN(FT_Y5,FT_First+FT_Int1*(INT((AQ63-FT_First)/FT_Int1)+1)),FT_Y5+12*INT((AQ63-FT_Y5)/12)+FT_Int2*(INT(MOD(AQ63-FT_Y5,12)/FT_Int2)+1))),IF(AY63="PT",IF(AQ63&lt;PT_First,PT_First,PT_First+PT_Int*(INT((AQ63-PT_First)/PT_Int)+1)),"")))</f>
        <v/>
      </c>
      <c r="BF63" s="11" t="n">
        <f aca="false">IF(AO63=0,0,IF(AND($Q63&lt;&gt;"",$Q63&lt;=AsOfDate),1,0))</f>
        <v>0</v>
      </c>
      <c r="BG63" s="11" t="str">
        <f aca="false">IF(AND(AO63=1,BF63=0,EH_Ready,N(AB63)&gt;0,N(AI63)=0),COUNT($BG$5:BG62)+1,"")</f>
        <v/>
      </c>
      <c r="BH63" s="11" t="str">
        <f aca="false">IF(AND(AO63=1,BF63=0,EH_Ready,N(AB63)&gt;0,N(AI63)&gt;0,N(AK63)&gt;0),COUNT($BH$5:BH62)+1,"")</f>
        <v/>
      </c>
      <c r="BI63" s="11" t="str">
        <f aca="false">IF(AND(AO63=1,OR(LEFT(AM63,3)="ADD",LEFT(AM63,3)="SET",LEFT(AM63,5)="CHECK",LEFT(AM63,10)="TERMINATED")),COUNT($BI$5:BI62)+1,"")</f>
        <v/>
      </c>
      <c r="BJ63" s="11" t="str">
        <f aca="false">IF(AO63=0,"",$A63&amp;" - "&amp;$B63&amp;" "&amp;$C63)</f>
        <v/>
      </c>
    </row>
    <row r="64" customFormat="false" ht="15" hidden="false" customHeight="false" outlineLevel="0" collapsed="false">
      <c r="A64" s="10"/>
      <c r="B64" s="10"/>
      <c r="C64" s="10"/>
      <c r="D64" s="10"/>
      <c r="E64" s="9"/>
      <c r="F64" s="10"/>
      <c r="G64" s="30"/>
      <c r="H64" s="9"/>
      <c r="I64" s="10"/>
      <c r="J64" s="30"/>
      <c r="K64" s="9"/>
      <c r="L64" s="10"/>
      <c r="M64" s="30"/>
      <c r="N64" s="9"/>
      <c r="O64" s="9"/>
      <c r="P64" s="30"/>
      <c r="Q64" s="9"/>
      <c r="R64" s="10"/>
      <c r="S64" s="11" t="str">
        <f aca="false">IF(AO64=0,"",IF($H64="","",$F64&amp;" -&gt; "&amp;$I64&amp;IF($I64="Part-Time"," ("&amp;N($J64)&amp;" hrs)","")&amp;" on "&amp;TEXT($H64,"dd/mm/yyyy")&amp;IF($H64&gt;AsOfDate," (FUTURE)","")&amp;IF($K64="","","; "&amp;$I64&amp;" -&gt; "&amp;$L64&amp;IF($L64="Part-Time"," ("&amp;N($M64)&amp;" hrs)","")&amp;" on "&amp;TEXT($K64,"dd/mm/yyyy")&amp;IF($K64&gt;AsOfDate," (FUTURE)",""))))</f>
        <v/>
      </c>
      <c r="T64" s="11" t="str">
        <f aca="false">IF(AO64=0,"",IF(AS64&lt;&gt;"",$L64,IF(AR64&lt;&gt;"",$I64,$F64)))</f>
        <v/>
      </c>
      <c r="U64" s="26" t="str">
        <f aca="false">IF(AO64=0,"",IF(AS64&lt;&gt;"",$M64,IF(AR64&lt;&gt;"",$J64,$G64)))</f>
        <v/>
      </c>
      <c r="V64" s="11" t="str">
        <f aca="false">IF(AO64=0,"",IF(AY64="FT","Full-Time",IF(AY64="PT","Part-Time","Not eligible")))</f>
        <v/>
      </c>
      <c r="W64" s="27" t="str">
        <f aca="false">IF(AO64=0,"",IF(AR64="",IF(AND($H64&lt;&gt;"",$H64&gt;AsOfDate),"Future change - not yet applied",""),IF(AND(AV64=AY64,OR(AS64="",AW64=AV64)),"Type changed - same accrual pathway",IF(AY64="None","STOPPED accruing from "&amp;TEXT(IF(AS64&lt;&gt;"",AS64,AR64),"dd/mm/yyyy"),IF(AV64="None","STARTED qualifying from "&amp;TEXT(IF(AS64&lt;&gt;"",AS64,AR64),"dd/mm/yyyy"),"Pathway changed "&amp;AV64&amp;" -&gt; "&amp;AW64&amp;IF(AS64&lt;&gt;""," -&gt; "&amp;AX64,"")&amp;" from "&amp;TEXT(IF(AS64&lt;&gt;"",AS64,AR64),"dd/mm/yyyy"))))))</f>
        <v/>
      </c>
      <c r="X64" s="28" t="str">
        <f aca="false">IF(AO64=0,"",IF($Q64="",AsOfDate,MIN(AsOfDate,$Q64)))</f>
        <v/>
      </c>
      <c r="Y64" s="26" t="str">
        <f aca="false">IF(AO64=0,"",MAX(0,AQ64))</f>
        <v/>
      </c>
      <c r="Z64" s="11" t="str">
        <f aca="false">IF(AO64=0,"",IF(AQ64&lt;0,"Not started",INT(AQ64/12)&amp;"y "&amp;MOD(AQ64,12)&amp;"m"))</f>
        <v/>
      </c>
      <c r="AA64" s="27" t="str">
        <f aca="false">IF(AO64=0,"",IF(BF64=1,"Terminated - balance forfeited",IF(AY64="None",IF(AB64&gt;0,"No longer accruing - "&amp;T64,"Not eligible - "&amp;T64&amp;IF(AND(IFERROR(VLOOKUP(T64,TypeTable,2,0),"None")="PT",N(U64)&lt;PT_MinHours)," (under "&amp;PT_MinHours&amp;" hrs)","")),IF(AB64&gt;0,"Yes - accruing","Not yet - qualifies "&amp;TEXT(AD64,"dd/mm/yyyy")))))</f>
        <v/>
      </c>
      <c r="AB64" s="26" t="str">
        <f aca="false">IF(AO64=0,"",AZ64+IF(AR64="",0,BB64-BA64)+IF(AS64="",0,BD64-BC64))</f>
        <v/>
      </c>
      <c r="AC64" s="26" t="str">
        <f aca="false">IF(AO64=0,"",AB64*HoursPerDay)</f>
        <v/>
      </c>
      <c r="AD64" s="28" t="str">
        <f aca="false">IF(AO64=0,"",IF(OR(BF64=1,AY64="None"),"",EDATE($E64+AP64,BE64)))</f>
        <v/>
      </c>
      <c r="AE64" s="26" t="str">
        <f aca="false">IF(AD64="","",IF(AY64="PT",1,IF(BE64&lt;FT_Y5,1,IF(MOD(BE64-FT_Y5,12)=0,FT_AnnivDays,1))))</f>
        <v/>
      </c>
      <c r="AF64" s="27" t="str">
        <f aca="false">IF(AO64=0,"",IF(NOT(EH_Ready),"Map headers",IF(IF(MatchMode="Employee ID",COUNTIFS(INDEX(EH_Data,0,EH_ColID),$A64,INDEX(EH_Data,0,EH_ColCat),BonusCat),COUNTIFS(INDEX(EH_Data,0,EH_ColFirst),$B64,INDEX(EH_Data,0,EH_ColSur),$C64,INDEX(EH_Data,0,EH_ColCat),BonusCat))&gt;0,"Yes","No")))</f>
        <v/>
      </c>
      <c r="AG64" s="26" t="str">
        <f aca="false">IF(AO64=0,"",IF(NOT(EH_Ready),"",IF(MatchMode="Employee ID",SUMIFS(INDEX(EH_Data,0,EH_ColBal),INDEX(EH_Data,0,EH_ColID),$A64,INDEX(EH_Data,0,EH_ColCat),BonusCat),SUMIFS(INDEX(EH_Data,0,EH_ColBal),INDEX(EH_Data,0,EH_ColFirst),$B64,INDEX(EH_Data,0,EH_ColSur),$C64,INDEX(EH_Data,0,EH_ColCat),BonusCat))/IF(EHUnit="Hours",HoursPerDay,1)))</f>
        <v/>
      </c>
      <c r="AH64" s="26" t="str">
        <f aca="false">IF(AO64=0,"",IF(NOT(TK_Ready),0,IF(MatchMode="Employee ID",SUMIFS(INDEX(TK_Data,0,TK_ColAmt),INDEX(TK_Data,0,TK_ColID),$A64,INDEX(TK_Data,0,TK_ColCat),BonusCat),SUMIFS(INDEX(TK_Data,0,TK_ColAmt),INDEX(TK_Data,0,TK_ColFirst),$B64,INDEX(TK_Data,0,TK_ColSur),$C64,INDEX(TK_Data,0,TK_ColCat),BonusCat))/IF(TKUnit="Hours",HoursPerDay,1)))</f>
        <v/>
      </c>
      <c r="AI64" s="26" t="str">
        <f aca="false">IF(AO64=0,"",N(AG64)+N(AH64))</f>
        <v/>
      </c>
      <c r="AJ64" s="29" t="str">
        <f aca="false">IF(AO64=0,"",IF(NOT(AND(EH_Ready,EH_ValReady)),"",IF(MatchMode="Employee ID",SUMIFS(INDEX(EH_Data,0,EH_ColVal),INDEX(EH_Data,0,EH_ColID),$A64,INDEX(EH_Data,0,EH_ColCat),BonusCat),SUMIFS(INDEX(EH_Data,0,EH_ColVal),INDEX(EH_Data,0,EH_ColFirst),$B64,INDEX(EH_Data,0,EH_ColSur),$C64,INDEX(EH_Data,0,EH_ColCat),BonusCat))))</f>
        <v/>
      </c>
      <c r="AK64" s="26" t="str">
        <f aca="false">IF(AO64=0,"",IF(OR(NOT(EH_Ready),BF64=1),"",AB64-AI64))</f>
        <v/>
      </c>
      <c r="AL64" s="26" t="str">
        <f aca="false">IF(AK64="","",AK64*HoursPerDay)</f>
        <v/>
      </c>
      <c r="AM64" s="27" t="str">
        <f aca="false">IF(AO64=0,"",IF(BF64=1,IF(N(AG64)&gt;0,"TERMINATED - forfeit "&amp;TEXT(AG64,"0.##")&amp;" days still in EH","Terminated - nothing in EH"),IF(NOT(EH_Ready),"Paste EH export and map headers on Settings",IF(AND(AB64&gt;0,AF64="No"),"SET UP in EH - add "&amp;TEXT(AB64,"0.##")&amp;" day(s) ("&amp;TEXT(AC64,"0.##")&amp;" hrs)",IF(AK64&gt;0,"ADD "&amp;TEXT(AK64,"0.##")&amp;" day(s) ("&amp;TEXT(AL64,"0.##")&amp;" hrs) in EH",IF(AK64&lt;0,"CHECK - EH shows "&amp;TEXT(-AK64,"0.##")&amp;" days more than policy",IF(AB64&gt;0,"OK - up to date",IF(AY64="None","No action - not eligible","No action - not yet qualified"))))))))</f>
        <v/>
      </c>
      <c r="AN64" s="27" t="str">
        <f aca="false">IF(AO64=0,"",TRIM(IF(AND($K64&lt;&gt;"",$H64=""),"Change 2 entered without Change 1. ","")&amp;IF(AND($K64&lt;&gt;"",$H64&lt;&gt;"",$K64&lt;=$H64),"Change 2 date not after Change 1. ","")&amp;IF(AND($N64&lt;&gt;"",$O64&lt;&gt;"",$O64&lt;$N64),"Leave To is before Leave From. ","")&amp;IF(AND($N64&lt;&gt;"",$O64=""),"Leave From entered without Leave To. ","")&amp;IF(AND(IFERROR(VLOOKUP(T64,TypeTable,2,0),"None")="PT",U64=""),"Part-time with no hours entered. ","")&amp;IF(AND($H64&lt;&gt;"",$H64&gt;AsOfDate,AD64&lt;&gt;"",$H64&lt;=AD64),"Status change lands before next accrual - review. ","")&amp;IF(AND($Q64&lt;&gt;"",$Q64&lt;$E64),"Termination before commencement. ","")))</f>
        <v/>
      </c>
      <c r="AO64" s="11" t="n">
        <f aca="false">IF(LEN($A64&amp;$B64&amp;$C64)=0,0,IF($E64="",0,1))</f>
        <v>0</v>
      </c>
      <c r="AP64" s="11" t="str">
        <f aca="false">IF(AO64=0,"",(IF(OR($N64="",$O64=""),0,MAX(0,MIN(X64,$O64)-MAX($N64,$E64)+1))+N($P64)))</f>
        <v/>
      </c>
      <c r="AQ64" s="11" t="str">
        <f aca="false">IF(AO64=0,"",IF(X64&lt;($E64+(IF(OR($N64="",$O64=""),0,MAX(0,MIN(X64,$O64)-MAX($N64,$E64)+1))+N($P64))),-1,12*(YEAR(X64)-YEAR(($E64+(IF(OR($N64="",$O64=""),0,MAX(0,MIN(X64,$O64)-MAX($N64,$E64)+1))+N($P64)))))+MONTH(X64)-MONTH(($E64+(IF(OR($N64="",$O64=""),0,MAX(0,MIN(X64,$O64)-MAX($N64,$E64)+1))+N($P64))))-IF(DAY(X64)&lt;MIN(DAY(($E64+(IF(OR($N64="",$O64=""),0,MAX(0,MIN(X64,$O64)-MAX($N64,$E64)+1))+N($P64)))),DAY(EOMONTH(X64,0))),1,0)))</f>
        <v/>
      </c>
      <c r="AR64" s="28" t="str">
        <f aca="false">IF(AO64=0,"",IF($H64="","",IF($H64&gt;X64,"",$H64)))</f>
        <v/>
      </c>
      <c r="AS64" s="28" t="str">
        <f aca="false">IF(AO64=0,"",IF(AR64="","",IF($K64="","",IF($K64&gt;X64,"",$K64))))</f>
        <v/>
      </c>
      <c r="AT64" s="11" t="str">
        <f aca="false">IF(AO64=0,"",IF(AR64="",AQ64,IF((AR64-1)&lt;($E64+(IF(OR($N64="",$O64=""),0,MAX(0,MIN((AR64-1),$O64)-MAX($N64,$E64)+1))+N($P64))),-1,12*(YEAR((AR64-1))-YEAR(($E64+(IF(OR($N64="",$O64=""),0,MAX(0,MIN((AR64-1),$O64)-MAX($N64,$E64)+1))+N($P64)))))+MONTH((AR64-1))-MONTH(($E64+(IF(OR($N64="",$O64=""),0,MAX(0,MIN((AR64-1),$O64)-MAX($N64,$E64)+1))+N($P64))))-IF(DAY((AR64-1))&lt;MIN(DAY(($E64+(IF(OR($N64="",$O64=""),0,MAX(0,MIN((AR64-1),$O64)-MAX($N64,$E64)+1))+N($P64)))),DAY(EOMONTH((AR64-1),0))),1,0))))</f>
        <v/>
      </c>
      <c r="AU64" s="11" t="str">
        <f aca="false">IF(AO64=0,"",IF(AS64="",AQ64,IF((AS64-1)&lt;($E64+(IF(OR($N64="",$O64=""),0,MAX(0,MIN((AS64-1),$O64)-MAX($N64,$E64)+1))+N($P64))),-1,12*(YEAR((AS64-1))-YEAR(($E64+(IF(OR($N64="",$O64=""),0,MAX(0,MIN((AS64-1),$O64)-MAX($N64,$E64)+1))+N($P64)))))+MONTH((AS64-1))-MONTH(($E64+(IF(OR($N64="",$O64=""),0,MAX(0,MIN((AS64-1),$O64)-MAX($N64,$E64)+1))+N($P64))))-IF(DAY((AS64-1))&lt;MIN(DAY(($E64+(IF(OR($N64="",$O64=""),0,MAX(0,MIN((AS64-1),$O64)-MAX($N64,$E64)+1))+N($P64)))),DAY(EOMONTH((AS64-1),0))),1,0))))</f>
        <v/>
      </c>
      <c r="AV64" s="11" t="str">
        <f aca="false">IF(AO64=0,"",IF($F64="","None",IF(IFERROR(VLOOKUP($F64,TypeTable,2,0),"None")="PT",IF(N($G64)&gt;=PT_MinHours,"PT","None"),IFERROR(VLOOKUP($F64,TypeTable,2,0),"None"))))</f>
        <v/>
      </c>
      <c r="AW64" s="11" t="str">
        <f aca="false">IF(AO64=0,"",IF($I64="","None",IF(IFERROR(VLOOKUP($I64,TypeTable,2,0),"None")="PT",IF(N($J64)&gt;=PT_MinHours,"PT","None"),IFERROR(VLOOKUP($I64,TypeTable,2,0),"None"))))</f>
        <v/>
      </c>
      <c r="AX64" s="11" t="str">
        <f aca="false">IF(AO64=0,"",IF($L64="","None",IF(IFERROR(VLOOKUP($L64,TypeTable,2,0),"None")="PT",IF(N($M64)&gt;=PT_MinHours,"PT","None"),IFERROR(VLOOKUP($L64,TypeTable,2,0),"None"))))</f>
        <v/>
      </c>
      <c r="AY64" s="11" t="str">
        <f aca="false">IF(AO64=0,"",IF(AS64&lt;&gt;"",AX64,IF(AR64&lt;&gt;"",AW64,AV64)))</f>
        <v/>
      </c>
      <c r="AZ64" s="11" t="str">
        <f aca="false">IF(AO64=0,"",IF(AV64="FT",IF(AT64&lt;FT_First,0,IF(AT64&lt;FT_Y5,1+INT((AT64-FT_First)/FT_Int1),FT_PreY5+FT_PerYear*INT((AT64-FT_Y5)/12)+FT_AnnivDays+INT(MOD(AT64-FT_Y5,12)/FT_Int2))),IF(AV64="PT",IF(AT64&lt;PT_First,0,1+INT((AT64-PT_First)/PT_Int)),0)))</f>
        <v/>
      </c>
      <c r="BA64" s="11" t="str">
        <f aca="false">IF(AO64=0,"",IF(AW64="FT",IF(AT64&lt;FT_First,0,IF(AT64&lt;FT_Y5,1+INT((AT64-FT_First)/FT_Int1),FT_PreY5+FT_PerYear*INT((AT64-FT_Y5)/12)+FT_AnnivDays+INT(MOD(AT64-FT_Y5,12)/FT_Int2))),IF(AW64="PT",IF(AT64&lt;PT_First,0,1+INT((AT64-PT_First)/PT_Int)),0)))</f>
        <v/>
      </c>
      <c r="BB64" s="11" t="str">
        <f aca="false">IF(AO64=0,"",IF(AW64="FT",IF(AU64&lt;FT_First,0,IF(AU64&lt;FT_Y5,1+INT((AU64-FT_First)/FT_Int1),FT_PreY5+FT_PerYear*INT((AU64-FT_Y5)/12)+FT_AnnivDays+INT(MOD(AU64-FT_Y5,12)/FT_Int2))),IF(AW64="PT",IF(AU64&lt;PT_First,0,1+INT((AU64-PT_First)/PT_Int)),0)))</f>
        <v/>
      </c>
      <c r="BC64" s="11" t="str">
        <f aca="false">IF(AO64=0,"",IF(AX64="FT",IF(AU64&lt;FT_First,0,IF(AU64&lt;FT_Y5,1+INT((AU64-FT_First)/FT_Int1),FT_PreY5+FT_PerYear*INT((AU64-FT_Y5)/12)+FT_AnnivDays+INT(MOD(AU64-FT_Y5,12)/FT_Int2))),IF(AX64="PT",IF(AU64&lt;PT_First,0,1+INT((AU64-PT_First)/PT_Int)),0)))</f>
        <v/>
      </c>
      <c r="BD64" s="11" t="str">
        <f aca="false">IF(AO64=0,"",IF(AX64="FT",IF(AQ64&lt;FT_First,0,IF(AQ64&lt;FT_Y5,1+INT((AQ64-FT_First)/FT_Int1),FT_PreY5+FT_PerYear*INT((AQ64-FT_Y5)/12)+FT_AnnivDays+INT(MOD(AQ64-FT_Y5,12)/FT_Int2))),IF(AX64="PT",IF(AQ64&lt;PT_First,0,1+INT((AQ64-PT_First)/PT_Int)),0)))</f>
        <v/>
      </c>
      <c r="BE64" s="11" t="str">
        <f aca="false">IF(AO64=0,"",IF(AY64="FT",IF(AQ64&lt;FT_First,FT_First,IF(AQ64&lt;FT_Y5,MIN(FT_Y5,FT_First+FT_Int1*(INT((AQ64-FT_First)/FT_Int1)+1)),FT_Y5+12*INT((AQ64-FT_Y5)/12)+FT_Int2*(INT(MOD(AQ64-FT_Y5,12)/FT_Int2)+1))),IF(AY64="PT",IF(AQ64&lt;PT_First,PT_First,PT_First+PT_Int*(INT((AQ64-PT_First)/PT_Int)+1)),"")))</f>
        <v/>
      </c>
      <c r="BF64" s="11" t="n">
        <f aca="false">IF(AO64=0,0,IF(AND($Q64&lt;&gt;"",$Q64&lt;=AsOfDate),1,0))</f>
        <v>0</v>
      </c>
      <c r="BG64" s="11" t="str">
        <f aca="false">IF(AND(AO64=1,BF64=0,EH_Ready,N(AB64)&gt;0,N(AI64)=0),COUNT($BG$5:BG63)+1,"")</f>
        <v/>
      </c>
      <c r="BH64" s="11" t="str">
        <f aca="false">IF(AND(AO64=1,BF64=0,EH_Ready,N(AB64)&gt;0,N(AI64)&gt;0,N(AK64)&gt;0),COUNT($BH$5:BH63)+1,"")</f>
        <v/>
      </c>
      <c r="BI64" s="11" t="str">
        <f aca="false">IF(AND(AO64=1,OR(LEFT(AM64,3)="ADD",LEFT(AM64,3)="SET",LEFT(AM64,5)="CHECK",LEFT(AM64,10)="TERMINATED")),COUNT($BI$5:BI63)+1,"")</f>
        <v/>
      </c>
      <c r="BJ64" s="11" t="str">
        <f aca="false">IF(AO64=0,"",$A64&amp;" - "&amp;$B64&amp;" "&amp;$C64)</f>
        <v/>
      </c>
    </row>
    <row r="65" customFormat="false" ht="15" hidden="false" customHeight="false" outlineLevel="0" collapsed="false">
      <c r="A65" s="10"/>
      <c r="B65" s="10"/>
      <c r="C65" s="10"/>
      <c r="D65" s="10"/>
      <c r="E65" s="9"/>
      <c r="F65" s="10"/>
      <c r="G65" s="30"/>
      <c r="H65" s="9"/>
      <c r="I65" s="10"/>
      <c r="J65" s="30"/>
      <c r="K65" s="9"/>
      <c r="L65" s="10"/>
      <c r="M65" s="30"/>
      <c r="N65" s="9"/>
      <c r="O65" s="9"/>
      <c r="P65" s="30"/>
      <c r="Q65" s="9"/>
      <c r="R65" s="10"/>
      <c r="S65" s="11" t="str">
        <f aca="false">IF(AO65=0,"",IF($H65="","",$F65&amp;" -&gt; "&amp;$I65&amp;IF($I65="Part-Time"," ("&amp;N($J65)&amp;" hrs)","")&amp;" on "&amp;TEXT($H65,"dd/mm/yyyy")&amp;IF($H65&gt;AsOfDate," (FUTURE)","")&amp;IF($K65="","","; "&amp;$I65&amp;" -&gt; "&amp;$L65&amp;IF($L65="Part-Time"," ("&amp;N($M65)&amp;" hrs)","")&amp;" on "&amp;TEXT($K65,"dd/mm/yyyy")&amp;IF($K65&gt;AsOfDate," (FUTURE)",""))))</f>
        <v/>
      </c>
      <c r="T65" s="11" t="str">
        <f aca="false">IF(AO65=0,"",IF(AS65&lt;&gt;"",$L65,IF(AR65&lt;&gt;"",$I65,$F65)))</f>
        <v/>
      </c>
      <c r="U65" s="26" t="str">
        <f aca="false">IF(AO65=0,"",IF(AS65&lt;&gt;"",$M65,IF(AR65&lt;&gt;"",$J65,$G65)))</f>
        <v/>
      </c>
      <c r="V65" s="11" t="str">
        <f aca="false">IF(AO65=0,"",IF(AY65="FT","Full-Time",IF(AY65="PT","Part-Time","Not eligible")))</f>
        <v/>
      </c>
      <c r="W65" s="27" t="str">
        <f aca="false">IF(AO65=0,"",IF(AR65="",IF(AND($H65&lt;&gt;"",$H65&gt;AsOfDate),"Future change - not yet applied",""),IF(AND(AV65=AY65,OR(AS65="",AW65=AV65)),"Type changed - same accrual pathway",IF(AY65="None","STOPPED accruing from "&amp;TEXT(IF(AS65&lt;&gt;"",AS65,AR65),"dd/mm/yyyy"),IF(AV65="None","STARTED qualifying from "&amp;TEXT(IF(AS65&lt;&gt;"",AS65,AR65),"dd/mm/yyyy"),"Pathway changed "&amp;AV65&amp;" -&gt; "&amp;AW65&amp;IF(AS65&lt;&gt;""," -&gt; "&amp;AX65,"")&amp;" from "&amp;TEXT(IF(AS65&lt;&gt;"",AS65,AR65),"dd/mm/yyyy"))))))</f>
        <v/>
      </c>
      <c r="X65" s="28" t="str">
        <f aca="false">IF(AO65=0,"",IF($Q65="",AsOfDate,MIN(AsOfDate,$Q65)))</f>
        <v/>
      </c>
      <c r="Y65" s="26" t="str">
        <f aca="false">IF(AO65=0,"",MAX(0,AQ65))</f>
        <v/>
      </c>
      <c r="Z65" s="11" t="str">
        <f aca="false">IF(AO65=0,"",IF(AQ65&lt;0,"Not started",INT(AQ65/12)&amp;"y "&amp;MOD(AQ65,12)&amp;"m"))</f>
        <v/>
      </c>
      <c r="AA65" s="27" t="str">
        <f aca="false">IF(AO65=0,"",IF(BF65=1,"Terminated - balance forfeited",IF(AY65="None",IF(AB65&gt;0,"No longer accruing - "&amp;T65,"Not eligible - "&amp;T65&amp;IF(AND(IFERROR(VLOOKUP(T65,TypeTable,2,0),"None")="PT",N(U65)&lt;PT_MinHours)," (under "&amp;PT_MinHours&amp;" hrs)","")),IF(AB65&gt;0,"Yes - accruing","Not yet - qualifies "&amp;TEXT(AD65,"dd/mm/yyyy")))))</f>
        <v/>
      </c>
      <c r="AB65" s="26" t="str">
        <f aca="false">IF(AO65=0,"",AZ65+IF(AR65="",0,BB65-BA65)+IF(AS65="",0,BD65-BC65))</f>
        <v/>
      </c>
      <c r="AC65" s="26" t="str">
        <f aca="false">IF(AO65=0,"",AB65*HoursPerDay)</f>
        <v/>
      </c>
      <c r="AD65" s="28" t="str">
        <f aca="false">IF(AO65=0,"",IF(OR(BF65=1,AY65="None"),"",EDATE($E65+AP65,BE65)))</f>
        <v/>
      </c>
      <c r="AE65" s="26" t="str">
        <f aca="false">IF(AD65="","",IF(AY65="PT",1,IF(BE65&lt;FT_Y5,1,IF(MOD(BE65-FT_Y5,12)=0,FT_AnnivDays,1))))</f>
        <v/>
      </c>
      <c r="AF65" s="27" t="str">
        <f aca="false">IF(AO65=0,"",IF(NOT(EH_Ready),"Map headers",IF(IF(MatchMode="Employee ID",COUNTIFS(INDEX(EH_Data,0,EH_ColID),$A65,INDEX(EH_Data,0,EH_ColCat),BonusCat),COUNTIFS(INDEX(EH_Data,0,EH_ColFirst),$B65,INDEX(EH_Data,0,EH_ColSur),$C65,INDEX(EH_Data,0,EH_ColCat),BonusCat))&gt;0,"Yes","No")))</f>
        <v/>
      </c>
      <c r="AG65" s="26" t="str">
        <f aca="false">IF(AO65=0,"",IF(NOT(EH_Ready),"",IF(MatchMode="Employee ID",SUMIFS(INDEX(EH_Data,0,EH_ColBal),INDEX(EH_Data,0,EH_ColID),$A65,INDEX(EH_Data,0,EH_ColCat),BonusCat),SUMIFS(INDEX(EH_Data,0,EH_ColBal),INDEX(EH_Data,0,EH_ColFirst),$B65,INDEX(EH_Data,0,EH_ColSur),$C65,INDEX(EH_Data,0,EH_ColCat),BonusCat))/IF(EHUnit="Hours",HoursPerDay,1)))</f>
        <v/>
      </c>
      <c r="AH65" s="26" t="str">
        <f aca="false">IF(AO65=0,"",IF(NOT(TK_Ready),0,IF(MatchMode="Employee ID",SUMIFS(INDEX(TK_Data,0,TK_ColAmt),INDEX(TK_Data,0,TK_ColID),$A65,INDEX(TK_Data,0,TK_ColCat),BonusCat),SUMIFS(INDEX(TK_Data,0,TK_ColAmt),INDEX(TK_Data,0,TK_ColFirst),$B65,INDEX(TK_Data,0,TK_ColSur),$C65,INDEX(TK_Data,0,TK_ColCat),BonusCat))/IF(TKUnit="Hours",HoursPerDay,1)))</f>
        <v/>
      </c>
      <c r="AI65" s="26" t="str">
        <f aca="false">IF(AO65=0,"",N(AG65)+N(AH65))</f>
        <v/>
      </c>
      <c r="AJ65" s="29" t="str">
        <f aca="false">IF(AO65=0,"",IF(NOT(AND(EH_Ready,EH_ValReady)),"",IF(MatchMode="Employee ID",SUMIFS(INDEX(EH_Data,0,EH_ColVal),INDEX(EH_Data,0,EH_ColID),$A65,INDEX(EH_Data,0,EH_ColCat),BonusCat),SUMIFS(INDEX(EH_Data,0,EH_ColVal),INDEX(EH_Data,0,EH_ColFirst),$B65,INDEX(EH_Data,0,EH_ColSur),$C65,INDEX(EH_Data,0,EH_ColCat),BonusCat))))</f>
        <v/>
      </c>
      <c r="AK65" s="26" t="str">
        <f aca="false">IF(AO65=0,"",IF(OR(NOT(EH_Ready),BF65=1),"",AB65-AI65))</f>
        <v/>
      </c>
      <c r="AL65" s="26" t="str">
        <f aca="false">IF(AK65="","",AK65*HoursPerDay)</f>
        <v/>
      </c>
      <c r="AM65" s="27" t="str">
        <f aca="false">IF(AO65=0,"",IF(BF65=1,IF(N(AG65)&gt;0,"TERMINATED - forfeit "&amp;TEXT(AG65,"0.##")&amp;" days still in EH","Terminated - nothing in EH"),IF(NOT(EH_Ready),"Paste EH export and map headers on Settings",IF(AND(AB65&gt;0,AF65="No"),"SET UP in EH - add "&amp;TEXT(AB65,"0.##")&amp;" day(s) ("&amp;TEXT(AC65,"0.##")&amp;" hrs)",IF(AK65&gt;0,"ADD "&amp;TEXT(AK65,"0.##")&amp;" day(s) ("&amp;TEXT(AL65,"0.##")&amp;" hrs) in EH",IF(AK65&lt;0,"CHECK - EH shows "&amp;TEXT(-AK65,"0.##")&amp;" days more than policy",IF(AB65&gt;0,"OK - up to date",IF(AY65="None","No action - not eligible","No action - not yet qualified"))))))))</f>
        <v/>
      </c>
      <c r="AN65" s="27" t="str">
        <f aca="false">IF(AO65=0,"",TRIM(IF(AND($K65&lt;&gt;"",$H65=""),"Change 2 entered without Change 1. ","")&amp;IF(AND($K65&lt;&gt;"",$H65&lt;&gt;"",$K65&lt;=$H65),"Change 2 date not after Change 1. ","")&amp;IF(AND($N65&lt;&gt;"",$O65&lt;&gt;"",$O65&lt;$N65),"Leave To is before Leave From. ","")&amp;IF(AND($N65&lt;&gt;"",$O65=""),"Leave From entered without Leave To. ","")&amp;IF(AND(IFERROR(VLOOKUP(T65,TypeTable,2,0),"None")="PT",U65=""),"Part-time with no hours entered. ","")&amp;IF(AND($H65&lt;&gt;"",$H65&gt;AsOfDate,AD65&lt;&gt;"",$H65&lt;=AD65),"Status change lands before next accrual - review. ","")&amp;IF(AND($Q65&lt;&gt;"",$Q65&lt;$E65),"Termination before commencement. ","")))</f>
        <v/>
      </c>
      <c r="AO65" s="11" t="n">
        <f aca="false">IF(LEN($A65&amp;$B65&amp;$C65)=0,0,IF($E65="",0,1))</f>
        <v>0</v>
      </c>
      <c r="AP65" s="11" t="str">
        <f aca="false">IF(AO65=0,"",(IF(OR($N65="",$O65=""),0,MAX(0,MIN(X65,$O65)-MAX($N65,$E65)+1))+N($P65)))</f>
        <v/>
      </c>
      <c r="AQ65" s="11" t="str">
        <f aca="false">IF(AO65=0,"",IF(X65&lt;($E65+(IF(OR($N65="",$O65=""),0,MAX(0,MIN(X65,$O65)-MAX($N65,$E65)+1))+N($P65))),-1,12*(YEAR(X65)-YEAR(($E65+(IF(OR($N65="",$O65=""),0,MAX(0,MIN(X65,$O65)-MAX($N65,$E65)+1))+N($P65)))))+MONTH(X65)-MONTH(($E65+(IF(OR($N65="",$O65=""),0,MAX(0,MIN(X65,$O65)-MAX($N65,$E65)+1))+N($P65))))-IF(DAY(X65)&lt;MIN(DAY(($E65+(IF(OR($N65="",$O65=""),0,MAX(0,MIN(X65,$O65)-MAX($N65,$E65)+1))+N($P65)))),DAY(EOMONTH(X65,0))),1,0)))</f>
        <v/>
      </c>
      <c r="AR65" s="28" t="str">
        <f aca="false">IF(AO65=0,"",IF($H65="","",IF($H65&gt;X65,"",$H65)))</f>
        <v/>
      </c>
      <c r="AS65" s="28" t="str">
        <f aca="false">IF(AO65=0,"",IF(AR65="","",IF($K65="","",IF($K65&gt;X65,"",$K65))))</f>
        <v/>
      </c>
      <c r="AT65" s="11" t="str">
        <f aca="false">IF(AO65=0,"",IF(AR65="",AQ65,IF((AR65-1)&lt;($E65+(IF(OR($N65="",$O65=""),0,MAX(0,MIN((AR65-1),$O65)-MAX($N65,$E65)+1))+N($P65))),-1,12*(YEAR((AR65-1))-YEAR(($E65+(IF(OR($N65="",$O65=""),0,MAX(0,MIN((AR65-1),$O65)-MAX($N65,$E65)+1))+N($P65)))))+MONTH((AR65-1))-MONTH(($E65+(IF(OR($N65="",$O65=""),0,MAX(0,MIN((AR65-1),$O65)-MAX($N65,$E65)+1))+N($P65))))-IF(DAY((AR65-1))&lt;MIN(DAY(($E65+(IF(OR($N65="",$O65=""),0,MAX(0,MIN((AR65-1),$O65)-MAX($N65,$E65)+1))+N($P65)))),DAY(EOMONTH((AR65-1),0))),1,0))))</f>
        <v/>
      </c>
      <c r="AU65" s="11" t="str">
        <f aca="false">IF(AO65=0,"",IF(AS65="",AQ65,IF((AS65-1)&lt;($E65+(IF(OR($N65="",$O65=""),0,MAX(0,MIN((AS65-1),$O65)-MAX($N65,$E65)+1))+N($P65))),-1,12*(YEAR((AS65-1))-YEAR(($E65+(IF(OR($N65="",$O65=""),0,MAX(0,MIN((AS65-1),$O65)-MAX($N65,$E65)+1))+N($P65)))))+MONTH((AS65-1))-MONTH(($E65+(IF(OR($N65="",$O65=""),0,MAX(0,MIN((AS65-1),$O65)-MAX($N65,$E65)+1))+N($P65))))-IF(DAY((AS65-1))&lt;MIN(DAY(($E65+(IF(OR($N65="",$O65=""),0,MAX(0,MIN((AS65-1),$O65)-MAX($N65,$E65)+1))+N($P65)))),DAY(EOMONTH((AS65-1),0))),1,0))))</f>
        <v/>
      </c>
      <c r="AV65" s="11" t="str">
        <f aca="false">IF(AO65=0,"",IF($F65="","None",IF(IFERROR(VLOOKUP($F65,TypeTable,2,0),"None")="PT",IF(N($G65)&gt;=PT_MinHours,"PT","None"),IFERROR(VLOOKUP($F65,TypeTable,2,0),"None"))))</f>
        <v/>
      </c>
      <c r="AW65" s="11" t="str">
        <f aca="false">IF(AO65=0,"",IF($I65="","None",IF(IFERROR(VLOOKUP($I65,TypeTable,2,0),"None")="PT",IF(N($J65)&gt;=PT_MinHours,"PT","None"),IFERROR(VLOOKUP($I65,TypeTable,2,0),"None"))))</f>
        <v/>
      </c>
      <c r="AX65" s="11" t="str">
        <f aca="false">IF(AO65=0,"",IF($L65="","None",IF(IFERROR(VLOOKUP($L65,TypeTable,2,0),"None")="PT",IF(N($M65)&gt;=PT_MinHours,"PT","None"),IFERROR(VLOOKUP($L65,TypeTable,2,0),"None"))))</f>
        <v/>
      </c>
      <c r="AY65" s="11" t="str">
        <f aca="false">IF(AO65=0,"",IF(AS65&lt;&gt;"",AX65,IF(AR65&lt;&gt;"",AW65,AV65)))</f>
        <v/>
      </c>
      <c r="AZ65" s="11" t="str">
        <f aca="false">IF(AO65=0,"",IF(AV65="FT",IF(AT65&lt;FT_First,0,IF(AT65&lt;FT_Y5,1+INT((AT65-FT_First)/FT_Int1),FT_PreY5+FT_PerYear*INT((AT65-FT_Y5)/12)+FT_AnnivDays+INT(MOD(AT65-FT_Y5,12)/FT_Int2))),IF(AV65="PT",IF(AT65&lt;PT_First,0,1+INT((AT65-PT_First)/PT_Int)),0)))</f>
        <v/>
      </c>
      <c r="BA65" s="11" t="str">
        <f aca="false">IF(AO65=0,"",IF(AW65="FT",IF(AT65&lt;FT_First,0,IF(AT65&lt;FT_Y5,1+INT((AT65-FT_First)/FT_Int1),FT_PreY5+FT_PerYear*INT((AT65-FT_Y5)/12)+FT_AnnivDays+INT(MOD(AT65-FT_Y5,12)/FT_Int2))),IF(AW65="PT",IF(AT65&lt;PT_First,0,1+INT((AT65-PT_First)/PT_Int)),0)))</f>
        <v/>
      </c>
      <c r="BB65" s="11" t="str">
        <f aca="false">IF(AO65=0,"",IF(AW65="FT",IF(AU65&lt;FT_First,0,IF(AU65&lt;FT_Y5,1+INT((AU65-FT_First)/FT_Int1),FT_PreY5+FT_PerYear*INT((AU65-FT_Y5)/12)+FT_AnnivDays+INT(MOD(AU65-FT_Y5,12)/FT_Int2))),IF(AW65="PT",IF(AU65&lt;PT_First,0,1+INT((AU65-PT_First)/PT_Int)),0)))</f>
        <v/>
      </c>
      <c r="BC65" s="11" t="str">
        <f aca="false">IF(AO65=0,"",IF(AX65="FT",IF(AU65&lt;FT_First,0,IF(AU65&lt;FT_Y5,1+INT((AU65-FT_First)/FT_Int1),FT_PreY5+FT_PerYear*INT((AU65-FT_Y5)/12)+FT_AnnivDays+INT(MOD(AU65-FT_Y5,12)/FT_Int2))),IF(AX65="PT",IF(AU65&lt;PT_First,0,1+INT((AU65-PT_First)/PT_Int)),0)))</f>
        <v/>
      </c>
      <c r="BD65" s="11" t="str">
        <f aca="false">IF(AO65=0,"",IF(AX65="FT",IF(AQ65&lt;FT_First,0,IF(AQ65&lt;FT_Y5,1+INT((AQ65-FT_First)/FT_Int1),FT_PreY5+FT_PerYear*INT((AQ65-FT_Y5)/12)+FT_AnnivDays+INT(MOD(AQ65-FT_Y5,12)/FT_Int2))),IF(AX65="PT",IF(AQ65&lt;PT_First,0,1+INT((AQ65-PT_First)/PT_Int)),0)))</f>
        <v/>
      </c>
      <c r="BE65" s="11" t="str">
        <f aca="false">IF(AO65=0,"",IF(AY65="FT",IF(AQ65&lt;FT_First,FT_First,IF(AQ65&lt;FT_Y5,MIN(FT_Y5,FT_First+FT_Int1*(INT((AQ65-FT_First)/FT_Int1)+1)),FT_Y5+12*INT((AQ65-FT_Y5)/12)+FT_Int2*(INT(MOD(AQ65-FT_Y5,12)/FT_Int2)+1))),IF(AY65="PT",IF(AQ65&lt;PT_First,PT_First,PT_First+PT_Int*(INT((AQ65-PT_First)/PT_Int)+1)),"")))</f>
        <v/>
      </c>
      <c r="BF65" s="11" t="n">
        <f aca="false">IF(AO65=0,0,IF(AND($Q65&lt;&gt;"",$Q65&lt;=AsOfDate),1,0))</f>
        <v>0</v>
      </c>
      <c r="BG65" s="11" t="str">
        <f aca="false">IF(AND(AO65=1,BF65=0,EH_Ready,N(AB65)&gt;0,N(AI65)=0),COUNT($BG$5:BG64)+1,"")</f>
        <v/>
      </c>
      <c r="BH65" s="11" t="str">
        <f aca="false">IF(AND(AO65=1,BF65=0,EH_Ready,N(AB65)&gt;0,N(AI65)&gt;0,N(AK65)&gt;0),COUNT($BH$5:BH64)+1,"")</f>
        <v/>
      </c>
      <c r="BI65" s="11" t="str">
        <f aca="false">IF(AND(AO65=1,OR(LEFT(AM65,3)="ADD",LEFT(AM65,3)="SET",LEFT(AM65,5)="CHECK",LEFT(AM65,10)="TERMINATED")),COUNT($BI$5:BI64)+1,"")</f>
        <v/>
      </c>
      <c r="BJ65" s="11" t="str">
        <f aca="false">IF(AO65=0,"",$A65&amp;" - "&amp;$B65&amp;" "&amp;$C65)</f>
        <v/>
      </c>
    </row>
    <row r="66" customFormat="false" ht="15" hidden="false" customHeight="false" outlineLevel="0" collapsed="false">
      <c r="A66" s="10"/>
      <c r="B66" s="10"/>
      <c r="C66" s="10"/>
      <c r="D66" s="10"/>
      <c r="E66" s="9"/>
      <c r="F66" s="10"/>
      <c r="G66" s="30"/>
      <c r="H66" s="9"/>
      <c r="I66" s="10"/>
      <c r="J66" s="30"/>
      <c r="K66" s="9"/>
      <c r="L66" s="10"/>
      <c r="M66" s="30"/>
      <c r="N66" s="9"/>
      <c r="O66" s="9"/>
      <c r="P66" s="30"/>
      <c r="Q66" s="9"/>
      <c r="R66" s="10"/>
      <c r="S66" s="11" t="str">
        <f aca="false">IF(AO66=0,"",IF($H66="","",$F66&amp;" -&gt; "&amp;$I66&amp;IF($I66="Part-Time"," ("&amp;N($J66)&amp;" hrs)","")&amp;" on "&amp;TEXT($H66,"dd/mm/yyyy")&amp;IF($H66&gt;AsOfDate," (FUTURE)","")&amp;IF($K66="","","; "&amp;$I66&amp;" -&gt; "&amp;$L66&amp;IF($L66="Part-Time"," ("&amp;N($M66)&amp;" hrs)","")&amp;" on "&amp;TEXT($K66,"dd/mm/yyyy")&amp;IF($K66&gt;AsOfDate," (FUTURE)",""))))</f>
        <v/>
      </c>
      <c r="T66" s="11" t="str">
        <f aca="false">IF(AO66=0,"",IF(AS66&lt;&gt;"",$L66,IF(AR66&lt;&gt;"",$I66,$F66)))</f>
        <v/>
      </c>
      <c r="U66" s="26" t="str">
        <f aca="false">IF(AO66=0,"",IF(AS66&lt;&gt;"",$M66,IF(AR66&lt;&gt;"",$J66,$G66)))</f>
        <v/>
      </c>
      <c r="V66" s="11" t="str">
        <f aca="false">IF(AO66=0,"",IF(AY66="FT","Full-Time",IF(AY66="PT","Part-Time","Not eligible")))</f>
        <v/>
      </c>
      <c r="W66" s="27" t="str">
        <f aca="false">IF(AO66=0,"",IF(AR66="",IF(AND($H66&lt;&gt;"",$H66&gt;AsOfDate),"Future change - not yet applied",""),IF(AND(AV66=AY66,OR(AS66="",AW66=AV66)),"Type changed - same accrual pathway",IF(AY66="None","STOPPED accruing from "&amp;TEXT(IF(AS66&lt;&gt;"",AS66,AR66),"dd/mm/yyyy"),IF(AV66="None","STARTED qualifying from "&amp;TEXT(IF(AS66&lt;&gt;"",AS66,AR66),"dd/mm/yyyy"),"Pathway changed "&amp;AV66&amp;" -&gt; "&amp;AW66&amp;IF(AS66&lt;&gt;""," -&gt; "&amp;AX66,"")&amp;" from "&amp;TEXT(IF(AS66&lt;&gt;"",AS66,AR66),"dd/mm/yyyy"))))))</f>
        <v/>
      </c>
      <c r="X66" s="28" t="str">
        <f aca="false">IF(AO66=0,"",IF($Q66="",AsOfDate,MIN(AsOfDate,$Q66)))</f>
        <v/>
      </c>
      <c r="Y66" s="26" t="str">
        <f aca="false">IF(AO66=0,"",MAX(0,AQ66))</f>
        <v/>
      </c>
      <c r="Z66" s="11" t="str">
        <f aca="false">IF(AO66=0,"",IF(AQ66&lt;0,"Not started",INT(AQ66/12)&amp;"y "&amp;MOD(AQ66,12)&amp;"m"))</f>
        <v/>
      </c>
      <c r="AA66" s="27" t="str">
        <f aca="false">IF(AO66=0,"",IF(BF66=1,"Terminated - balance forfeited",IF(AY66="None",IF(AB66&gt;0,"No longer accruing - "&amp;T66,"Not eligible - "&amp;T66&amp;IF(AND(IFERROR(VLOOKUP(T66,TypeTable,2,0),"None")="PT",N(U66)&lt;PT_MinHours)," (under "&amp;PT_MinHours&amp;" hrs)","")),IF(AB66&gt;0,"Yes - accruing","Not yet - qualifies "&amp;TEXT(AD66,"dd/mm/yyyy")))))</f>
        <v/>
      </c>
      <c r="AB66" s="26" t="str">
        <f aca="false">IF(AO66=0,"",AZ66+IF(AR66="",0,BB66-BA66)+IF(AS66="",0,BD66-BC66))</f>
        <v/>
      </c>
      <c r="AC66" s="26" t="str">
        <f aca="false">IF(AO66=0,"",AB66*HoursPerDay)</f>
        <v/>
      </c>
      <c r="AD66" s="28" t="str">
        <f aca="false">IF(AO66=0,"",IF(OR(BF66=1,AY66="None"),"",EDATE($E66+AP66,BE66)))</f>
        <v/>
      </c>
      <c r="AE66" s="26" t="str">
        <f aca="false">IF(AD66="","",IF(AY66="PT",1,IF(BE66&lt;FT_Y5,1,IF(MOD(BE66-FT_Y5,12)=0,FT_AnnivDays,1))))</f>
        <v/>
      </c>
      <c r="AF66" s="27" t="str">
        <f aca="false">IF(AO66=0,"",IF(NOT(EH_Ready),"Map headers",IF(IF(MatchMode="Employee ID",COUNTIFS(INDEX(EH_Data,0,EH_ColID),$A66,INDEX(EH_Data,0,EH_ColCat),BonusCat),COUNTIFS(INDEX(EH_Data,0,EH_ColFirst),$B66,INDEX(EH_Data,0,EH_ColSur),$C66,INDEX(EH_Data,0,EH_ColCat),BonusCat))&gt;0,"Yes","No")))</f>
        <v/>
      </c>
      <c r="AG66" s="26" t="str">
        <f aca="false">IF(AO66=0,"",IF(NOT(EH_Ready),"",IF(MatchMode="Employee ID",SUMIFS(INDEX(EH_Data,0,EH_ColBal),INDEX(EH_Data,0,EH_ColID),$A66,INDEX(EH_Data,0,EH_ColCat),BonusCat),SUMIFS(INDEX(EH_Data,0,EH_ColBal),INDEX(EH_Data,0,EH_ColFirst),$B66,INDEX(EH_Data,0,EH_ColSur),$C66,INDEX(EH_Data,0,EH_ColCat),BonusCat))/IF(EHUnit="Hours",HoursPerDay,1)))</f>
        <v/>
      </c>
      <c r="AH66" s="26" t="str">
        <f aca="false">IF(AO66=0,"",IF(NOT(TK_Ready),0,IF(MatchMode="Employee ID",SUMIFS(INDEX(TK_Data,0,TK_ColAmt),INDEX(TK_Data,0,TK_ColID),$A66,INDEX(TK_Data,0,TK_ColCat),BonusCat),SUMIFS(INDEX(TK_Data,0,TK_ColAmt),INDEX(TK_Data,0,TK_ColFirst),$B66,INDEX(TK_Data,0,TK_ColSur),$C66,INDEX(TK_Data,0,TK_ColCat),BonusCat))/IF(TKUnit="Hours",HoursPerDay,1)))</f>
        <v/>
      </c>
      <c r="AI66" s="26" t="str">
        <f aca="false">IF(AO66=0,"",N(AG66)+N(AH66))</f>
        <v/>
      </c>
      <c r="AJ66" s="29" t="str">
        <f aca="false">IF(AO66=0,"",IF(NOT(AND(EH_Ready,EH_ValReady)),"",IF(MatchMode="Employee ID",SUMIFS(INDEX(EH_Data,0,EH_ColVal),INDEX(EH_Data,0,EH_ColID),$A66,INDEX(EH_Data,0,EH_ColCat),BonusCat),SUMIFS(INDEX(EH_Data,0,EH_ColVal),INDEX(EH_Data,0,EH_ColFirst),$B66,INDEX(EH_Data,0,EH_ColSur),$C66,INDEX(EH_Data,0,EH_ColCat),BonusCat))))</f>
        <v/>
      </c>
      <c r="AK66" s="26" t="str">
        <f aca="false">IF(AO66=0,"",IF(OR(NOT(EH_Ready),BF66=1),"",AB66-AI66))</f>
        <v/>
      </c>
      <c r="AL66" s="26" t="str">
        <f aca="false">IF(AK66="","",AK66*HoursPerDay)</f>
        <v/>
      </c>
      <c r="AM66" s="27" t="str">
        <f aca="false">IF(AO66=0,"",IF(BF66=1,IF(N(AG66)&gt;0,"TERMINATED - forfeit "&amp;TEXT(AG66,"0.##")&amp;" days still in EH","Terminated - nothing in EH"),IF(NOT(EH_Ready),"Paste EH export and map headers on Settings",IF(AND(AB66&gt;0,AF66="No"),"SET UP in EH - add "&amp;TEXT(AB66,"0.##")&amp;" day(s) ("&amp;TEXT(AC66,"0.##")&amp;" hrs)",IF(AK66&gt;0,"ADD "&amp;TEXT(AK66,"0.##")&amp;" day(s) ("&amp;TEXT(AL66,"0.##")&amp;" hrs) in EH",IF(AK66&lt;0,"CHECK - EH shows "&amp;TEXT(-AK66,"0.##")&amp;" days more than policy",IF(AB66&gt;0,"OK - up to date",IF(AY66="None","No action - not eligible","No action - not yet qualified"))))))))</f>
        <v/>
      </c>
      <c r="AN66" s="27" t="str">
        <f aca="false">IF(AO66=0,"",TRIM(IF(AND($K66&lt;&gt;"",$H66=""),"Change 2 entered without Change 1. ","")&amp;IF(AND($K66&lt;&gt;"",$H66&lt;&gt;"",$K66&lt;=$H66),"Change 2 date not after Change 1. ","")&amp;IF(AND($N66&lt;&gt;"",$O66&lt;&gt;"",$O66&lt;$N66),"Leave To is before Leave From. ","")&amp;IF(AND($N66&lt;&gt;"",$O66=""),"Leave From entered without Leave To. ","")&amp;IF(AND(IFERROR(VLOOKUP(T66,TypeTable,2,0),"None")="PT",U66=""),"Part-time with no hours entered. ","")&amp;IF(AND($H66&lt;&gt;"",$H66&gt;AsOfDate,AD66&lt;&gt;"",$H66&lt;=AD66),"Status change lands before next accrual - review. ","")&amp;IF(AND($Q66&lt;&gt;"",$Q66&lt;$E66),"Termination before commencement. ","")))</f>
        <v/>
      </c>
      <c r="AO66" s="11" t="n">
        <f aca="false">IF(LEN($A66&amp;$B66&amp;$C66)=0,0,IF($E66="",0,1))</f>
        <v>0</v>
      </c>
      <c r="AP66" s="11" t="str">
        <f aca="false">IF(AO66=0,"",(IF(OR($N66="",$O66=""),0,MAX(0,MIN(X66,$O66)-MAX($N66,$E66)+1))+N($P66)))</f>
        <v/>
      </c>
      <c r="AQ66" s="11" t="str">
        <f aca="false">IF(AO66=0,"",IF(X66&lt;($E66+(IF(OR($N66="",$O66=""),0,MAX(0,MIN(X66,$O66)-MAX($N66,$E66)+1))+N($P66))),-1,12*(YEAR(X66)-YEAR(($E66+(IF(OR($N66="",$O66=""),0,MAX(0,MIN(X66,$O66)-MAX($N66,$E66)+1))+N($P66)))))+MONTH(X66)-MONTH(($E66+(IF(OR($N66="",$O66=""),0,MAX(0,MIN(X66,$O66)-MAX($N66,$E66)+1))+N($P66))))-IF(DAY(X66)&lt;MIN(DAY(($E66+(IF(OR($N66="",$O66=""),0,MAX(0,MIN(X66,$O66)-MAX($N66,$E66)+1))+N($P66)))),DAY(EOMONTH(X66,0))),1,0)))</f>
        <v/>
      </c>
      <c r="AR66" s="28" t="str">
        <f aca="false">IF(AO66=0,"",IF($H66="","",IF($H66&gt;X66,"",$H66)))</f>
        <v/>
      </c>
      <c r="AS66" s="28" t="str">
        <f aca="false">IF(AO66=0,"",IF(AR66="","",IF($K66="","",IF($K66&gt;X66,"",$K66))))</f>
        <v/>
      </c>
      <c r="AT66" s="11" t="str">
        <f aca="false">IF(AO66=0,"",IF(AR66="",AQ66,IF((AR66-1)&lt;($E66+(IF(OR($N66="",$O66=""),0,MAX(0,MIN((AR66-1),$O66)-MAX($N66,$E66)+1))+N($P66))),-1,12*(YEAR((AR66-1))-YEAR(($E66+(IF(OR($N66="",$O66=""),0,MAX(0,MIN((AR66-1),$O66)-MAX($N66,$E66)+1))+N($P66)))))+MONTH((AR66-1))-MONTH(($E66+(IF(OR($N66="",$O66=""),0,MAX(0,MIN((AR66-1),$O66)-MAX($N66,$E66)+1))+N($P66))))-IF(DAY((AR66-1))&lt;MIN(DAY(($E66+(IF(OR($N66="",$O66=""),0,MAX(0,MIN((AR66-1),$O66)-MAX($N66,$E66)+1))+N($P66)))),DAY(EOMONTH((AR66-1),0))),1,0))))</f>
        <v/>
      </c>
      <c r="AU66" s="11" t="str">
        <f aca="false">IF(AO66=0,"",IF(AS66="",AQ66,IF((AS66-1)&lt;($E66+(IF(OR($N66="",$O66=""),0,MAX(0,MIN((AS66-1),$O66)-MAX($N66,$E66)+1))+N($P66))),-1,12*(YEAR((AS66-1))-YEAR(($E66+(IF(OR($N66="",$O66=""),0,MAX(0,MIN((AS66-1),$O66)-MAX($N66,$E66)+1))+N($P66)))))+MONTH((AS66-1))-MONTH(($E66+(IF(OR($N66="",$O66=""),0,MAX(0,MIN((AS66-1),$O66)-MAX($N66,$E66)+1))+N($P66))))-IF(DAY((AS66-1))&lt;MIN(DAY(($E66+(IF(OR($N66="",$O66=""),0,MAX(0,MIN((AS66-1),$O66)-MAX($N66,$E66)+1))+N($P66)))),DAY(EOMONTH((AS66-1),0))),1,0))))</f>
        <v/>
      </c>
      <c r="AV66" s="11" t="str">
        <f aca="false">IF(AO66=0,"",IF($F66="","None",IF(IFERROR(VLOOKUP($F66,TypeTable,2,0),"None")="PT",IF(N($G66)&gt;=PT_MinHours,"PT","None"),IFERROR(VLOOKUP($F66,TypeTable,2,0),"None"))))</f>
        <v/>
      </c>
      <c r="AW66" s="11" t="str">
        <f aca="false">IF(AO66=0,"",IF($I66="","None",IF(IFERROR(VLOOKUP($I66,TypeTable,2,0),"None")="PT",IF(N($J66)&gt;=PT_MinHours,"PT","None"),IFERROR(VLOOKUP($I66,TypeTable,2,0),"None"))))</f>
        <v/>
      </c>
      <c r="AX66" s="11" t="str">
        <f aca="false">IF(AO66=0,"",IF($L66="","None",IF(IFERROR(VLOOKUP($L66,TypeTable,2,0),"None")="PT",IF(N($M66)&gt;=PT_MinHours,"PT","None"),IFERROR(VLOOKUP($L66,TypeTable,2,0),"None"))))</f>
        <v/>
      </c>
      <c r="AY66" s="11" t="str">
        <f aca="false">IF(AO66=0,"",IF(AS66&lt;&gt;"",AX66,IF(AR66&lt;&gt;"",AW66,AV66)))</f>
        <v/>
      </c>
      <c r="AZ66" s="11" t="str">
        <f aca="false">IF(AO66=0,"",IF(AV66="FT",IF(AT66&lt;FT_First,0,IF(AT66&lt;FT_Y5,1+INT((AT66-FT_First)/FT_Int1),FT_PreY5+FT_PerYear*INT((AT66-FT_Y5)/12)+FT_AnnivDays+INT(MOD(AT66-FT_Y5,12)/FT_Int2))),IF(AV66="PT",IF(AT66&lt;PT_First,0,1+INT((AT66-PT_First)/PT_Int)),0)))</f>
        <v/>
      </c>
      <c r="BA66" s="11" t="str">
        <f aca="false">IF(AO66=0,"",IF(AW66="FT",IF(AT66&lt;FT_First,0,IF(AT66&lt;FT_Y5,1+INT((AT66-FT_First)/FT_Int1),FT_PreY5+FT_PerYear*INT((AT66-FT_Y5)/12)+FT_AnnivDays+INT(MOD(AT66-FT_Y5,12)/FT_Int2))),IF(AW66="PT",IF(AT66&lt;PT_First,0,1+INT((AT66-PT_First)/PT_Int)),0)))</f>
        <v/>
      </c>
      <c r="BB66" s="11" t="str">
        <f aca="false">IF(AO66=0,"",IF(AW66="FT",IF(AU66&lt;FT_First,0,IF(AU66&lt;FT_Y5,1+INT((AU66-FT_First)/FT_Int1),FT_PreY5+FT_PerYear*INT((AU66-FT_Y5)/12)+FT_AnnivDays+INT(MOD(AU66-FT_Y5,12)/FT_Int2))),IF(AW66="PT",IF(AU66&lt;PT_First,0,1+INT((AU66-PT_First)/PT_Int)),0)))</f>
        <v/>
      </c>
      <c r="BC66" s="11" t="str">
        <f aca="false">IF(AO66=0,"",IF(AX66="FT",IF(AU66&lt;FT_First,0,IF(AU66&lt;FT_Y5,1+INT((AU66-FT_First)/FT_Int1),FT_PreY5+FT_PerYear*INT((AU66-FT_Y5)/12)+FT_AnnivDays+INT(MOD(AU66-FT_Y5,12)/FT_Int2))),IF(AX66="PT",IF(AU66&lt;PT_First,0,1+INT((AU66-PT_First)/PT_Int)),0)))</f>
        <v/>
      </c>
      <c r="BD66" s="11" t="str">
        <f aca="false">IF(AO66=0,"",IF(AX66="FT",IF(AQ66&lt;FT_First,0,IF(AQ66&lt;FT_Y5,1+INT((AQ66-FT_First)/FT_Int1),FT_PreY5+FT_PerYear*INT((AQ66-FT_Y5)/12)+FT_AnnivDays+INT(MOD(AQ66-FT_Y5,12)/FT_Int2))),IF(AX66="PT",IF(AQ66&lt;PT_First,0,1+INT((AQ66-PT_First)/PT_Int)),0)))</f>
        <v/>
      </c>
      <c r="BE66" s="11" t="str">
        <f aca="false">IF(AO66=0,"",IF(AY66="FT",IF(AQ66&lt;FT_First,FT_First,IF(AQ66&lt;FT_Y5,MIN(FT_Y5,FT_First+FT_Int1*(INT((AQ66-FT_First)/FT_Int1)+1)),FT_Y5+12*INT((AQ66-FT_Y5)/12)+FT_Int2*(INT(MOD(AQ66-FT_Y5,12)/FT_Int2)+1))),IF(AY66="PT",IF(AQ66&lt;PT_First,PT_First,PT_First+PT_Int*(INT((AQ66-PT_First)/PT_Int)+1)),"")))</f>
        <v/>
      </c>
      <c r="BF66" s="11" t="n">
        <f aca="false">IF(AO66=0,0,IF(AND($Q66&lt;&gt;"",$Q66&lt;=AsOfDate),1,0))</f>
        <v>0</v>
      </c>
      <c r="BG66" s="11" t="str">
        <f aca="false">IF(AND(AO66=1,BF66=0,EH_Ready,N(AB66)&gt;0,N(AI66)=0),COUNT($BG$5:BG65)+1,"")</f>
        <v/>
      </c>
      <c r="BH66" s="11" t="str">
        <f aca="false">IF(AND(AO66=1,BF66=0,EH_Ready,N(AB66)&gt;0,N(AI66)&gt;0,N(AK66)&gt;0),COUNT($BH$5:BH65)+1,"")</f>
        <v/>
      </c>
      <c r="BI66" s="11" t="str">
        <f aca="false">IF(AND(AO66=1,OR(LEFT(AM66,3)="ADD",LEFT(AM66,3)="SET",LEFT(AM66,5)="CHECK",LEFT(AM66,10)="TERMINATED")),COUNT($BI$5:BI65)+1,"")</f>
        <v/>
      </c>
      <c r="BJ66" s="11" t="str">
        <f aca="false">IF(AO66=0,"",$A66&amp;" - "&amp;$B66&amp;" "&amp;$C66)</f>
        <v/>
      </c>
    </row>
    <row r="67" customFormat="false" ht="15" hidden="false" customHeight="false" outlineLevel="0" collapsed="false">
      <c r="A67" s="10"/>
      <c r="B67" s="10"/>
      <c r="C67" s="10"/>
      <c r="D67" s="10"/>
      <c r="E67" s="9"/>
      <c r="F67" s="10"/>
      <c r="G67" s="30"/>
      <c r="H67" s="9"/>
      <c r="I67" s="10"/>
      <c r="J67" s="30"/>
      <c r="K67" s="9"/>
      <c r="L67" s="10"/>
      <c r="M67" s="30"/>
      <c r="N67" s="9"/>
      <c r="O67" s="9"/>
      <c r="P67" s="30"/>
      <c r="Q67" s="9"/>
      <c r="R67" s="10"/>
      <c r="S67" s="11" t="str">
        <f aca="false">IF(AO67=0,"",IF($H67="","",$F67&amp;" -&gt; "&amp;$I67&amp;IF($I67="Part-Time"," ("&amp;N($J67)&amp;" hrs)","")&amp;" on "&amp;TEXT($H67,"dd/mm/yyyy")&amp;IF($H67&gt;AsOfDate," (FUTURE)","")&amp;IF($K67="","","; "&amp;$I67&amp;" -&gt; "&amp;$L67&amp;IF($L67="Part-Time"," ("&amp;N($M67)&amp;" hrs)","")&amp;" on "&amp;TEXT($K67,"dd/mm/yyyy")&amp;IF($K67&gt;AsOfDate," (FUTURE)",""))))</f>
        <v/>
      </c>
      <c r="T67" s="11" t="str">
        <f aca="false">IF(AO67=0,"",IF(AS67&lt;&gt;"",$L67,IF(AR67&lt;&gt;"",$I67,$F67)))</f>
        <v/>
      </c>
      <c r="U67" s="26" t="str">
        <f aca="false">IF(AO67=0,"",IF(AS67&lt;&gt;"",$M67,IF(AR67&lt;&gt;"",$J67,$G67)))</f>
        <v/>
      </c>
      <c r="V67" s="11" t="str">
        <f aca="false">IF(AO67=0,"",IF(AY67="FT","Full-Time",IF(AY67="PT","Part-Time","Not eligible")))</f>
        <v/>
      </c>
      <c r="W67" s="27" t="str">
        <f aca="false">IF(AO67=0,"",IF(AR67="",IF(AND($H67&lt;&gt;"",$H67&gt;AsOfDate),"Future change - not yet applied",""),IF(AND(AV67=AY67,OR(AS67="",AW67=AV67)),"Type changed - same accrual pathway",IF(AY67="None","STOPPED accruing from "&amp;TEXT(IF(AS67&lt;&gt;"",AS67,AR67),"dd/mm/yyyy"),IF(AV67="None","STARTED qualifying from "&amp;TEXT(IF(AS67&lt;&gt;"",AS67,AR67),"dd/mm/yyyy"),"Pathway changed "&amp;AV67&amp;" -&gt; "&amp;AW67&amp;IF(AS67&lt;&gt;""," -&gt; "&amp;AX67,"")&amp;" from "&amp;TEXT(IF(AS67&lt;&gt;"",AS67,AR67),"dd/mm/yyyy"))))))</f>
        <v/>
      </c>
      <c r="X67" s="28" t="str">
        <f aca="false">IF(AO67=0,"",IF($Q67="",AsOfDate,MIN(AsOfDate,$Q67)))</f>
        <v/>
      </c>
      <c r="Y67" s="26" t="str">
        <f aca="false">IF(AO67=0,"",MAX(0,AQ67))</f>
        <v/>
      </c>
      <c r="Z67" s="11" t="str">
        <f aca="false">IF(AO67=0,"",IF(AQ67&lt;0,"Not started",INT(AQ67/12)&amp;"y "&amp;MOD(AQ67,12)&amp;"m"))</f>
        <v/>
      </c>
      <c r="AA67" s="27" t="str">
        <f aca="false">IF(AO67=0,"",IF(BF67=1,"Terminated - balance forfeited",IF(AY67="None",IF(AB67&gt;0,"No longer accruing - "&amp;T67,"Not eligible - "&amp;T67&amp;IF(AND(IFERROR(VLOOKUP(T67,TypeTable,2,0),"None")="PT",N(U67)&lt;PT_MinHours)," (under "&amp;PT_MinHours&amp;" hrs)","")),IF(AB67&gt;0,"Yes - accruing","Not yet - qualifies "&amp;TEXT(AD67,"dd/mm/yyyy")))))</f>
        <v/>
      </c>
      <c r="AB67" s="26" t="str">
        <f aca="false">IF(AO67=0,"",AZ67+IF(AR67="",0,BB67-BA67)+IF(AS67="",0,BD67-BC67))</f>
        <v/>
      </c>
      <c r="AC67" s="26" t="str">
        <f aca="false">IF(AO67=0,"",AB67*HoursPerDay)</f>
        <v/>
      </c>
      <c r="AD67" s="28" t="str">
        <f aca="false">IF(AO67=0,"",IF(OR(BF67=1,AY67="None"),"",EDATE($E67+AP67,BE67)))</f>
        <v/>
      </c>
      <c r="AE67" s="26" t="str">
        <f aca="false">IF(AD67="","",IF(AY67="PT",1,IF(BE67&lt;FT_Y5,1,IF(MOD(BE67-FT_Y5,12)=0,FT_AnnivDays,1))))</f>
        <v/>
      </c>
      <c r="AF67" s="27" t="str">
        <f aca="false">IF(AO67=0,"",IF(NOT(EH_Ready),"Map headers",IF(IF(MatchMode="Employee ID",COUNTIFS(INDEX(EH_Data,0,EH_ColID),$A67,INDEX(EH_Data,0,EH_ColCat),BonusCat),COUNTIFS(INDEX(EH_Data,0,EH_ColFirst),$B67,INDEX(EH_Data,0,EH_ColSur),$C67,INDEX(EH_Data,0,EH_ColCat),BonusCat))&gt;0,"Yes","No")))</f>
        <v/>
      </c>
      <c r="AG67" s="26" t="str">
        <f aca="false">IF(AO67=0,"",IF(NOT(EH_Ready),"",IF(MatchMode="Employee ID",SUMIFS(INDEX(EH_Data,0,EH_ColBal),INDEX(EH_Data,0,EH_ColID),$A67,INDEX(EH_Data,0,EH_ColCat),BonusCat),SUMIFS(INDEX(EH_Data,0,EH_ColBal),INDEX(EH_Data,0,EH_ColFirst),$B67,INDEX(EH_Data,0,EH_ColSur),$C67,INDEX(EH_Data,0,EH_ColCat),BonusCat))/IF(EHUnit="Hours",HoursPerDay,1)))</f>
        <v/>
      </c>
      <c r="AH67" s="26" t="str">
        <f aca="false">IF(AO67=0,"",IF(NOT(TK_Ready),0,IF(MatchMode="Employee ID",SUMIFS(INDEX(TK_Data,0,TK_ColAmt),INDEX(TK_Data,0,TK_ColID),$A67,INDEX(TK_Data,0,TK_ColCat),BonusCat),SUMIFS(INDEX(TK_Data,0,TK_ColAmt),INDEX(TK_Data,0,TK_ColFirst),$B67,INDEX(TK_Data,0,TK_ColSur),$C67,INDEX(TK_Data,0,TK_ColCat),BonusCat))/IF(TKUnit="Hours",HoursPerDay,1)))</f>
        <v/>
      </c>
      <c r="AI67" s="26" t="str">
        <f aca="false">IF(AO67=0,"",N(AG67)+N(AH67))</f>
        <v/>
      </c>
      <c r="AJ67" s="29" t="str">
        <f aca="false">IF(AO67=0,"",IF(NOT(AND(EH_Ready,EH_ValReady)),"",IF(MatchMode="Employee ID",SUMIFS(INDEX(EH_Data,0,EH_ColVal),INDEX(EH_Data,0,EH_ColID),$A67,INDEX(EH_Data,0,EH_ColCat),BonusCat),SUMIFS(INDEX(EH_Data,0,EH_ColVal),INDEX(EH_Data,0,EH_ColFirst),$B67,INDEX(EH_Data,0,EH_ColSur),$C67,INDEX(EH_Data,0,EH_ColCat),BonusCat))))</f>
        <v/>
      </c>
      <c r="AK67" s="26" t="str">
        <f aca="false">IF(AO67=0,"",IF(OR(NOT(EH_Ready),BF67=1),"",AB67-AI67))</f>
        <v/>
      </c>
      <c r="AL67" s="26" t="str">
        <f aca="false">IF(AK67="","",AK67*HoursPerDay)</f>
        <v/>
      </c>
      <c r="AM67" s="27" t="str">
        <f aca="false">IF(AO67=0,"",IF(BF67=1,IF(N(AG67)&gt;0,"TERMINATED - forfeit "&amp;TEXT(AG67,"0.##")&amp;" days still in EH","Terminated - nothing in EH"),IF(NOT(EH_Ready),"Paste EH export and map headers on Settings",IF(AND(AB67&gt;0,AF67="No"),"SET UP in EH - add "&amp;TEXT(AB67,"0.##")&amp;" day(s) ("&amp;TEXT(AC67,"0.##")&amp;" hrs)",IF(AK67&gt;0,"ADD "&amp;TEXT(AK67,"0.##")&amp;" day(s) ("&amp;TEXT(AL67,"0.##")&amp;" hrs) in EH",IF(AK67&lt;0,"CHECK - EH shows "&amp;TEXT(-AK67,"0.##")&amp;" days more than policy",IF(AB67&gt;0,"OK - up to date",IF(AY67="None","No action - not eligible","No action - not yet qualified"))))))))</f>
        <v/>
      </c>
      <c r="AN67" s="27" t="str">
        <f aca="false">IF(AO67=0,"",TRIM(IF(AND($K67&lt;&gt;"",$H67=""),"Change 2 entered without Change 1. ","")&amp;IF(AND($K67&lt;&gt;"",$H67&lt;&gt;"",$K67&lt;=$H67),"Change 2 date not after Change 1. ","")&amp;IF(AND($N67&lt;&gt;"",$O67&lt;&gt;"",$O67&lt;$N67),"Leave To is before Leave From. ","")&amp;IF(AND($N67&lt;&gt;"",$O67=""),"Leave From entered without Leave To. ","")&amp;IF(AND(IFERROR(VLOOKUP(T67,TypeTable,2,0),"None")="PT",U67=""),"Part-time with no hours entered. ","")&amp;IF(AND($H67&lt;&gt;"",$H67&gt;AsOfDate,AD67&lt;&gt;"",$H67&lt;=AD67),"Status change lands before next accrual - review. ","")&amp;IF(AND($Q67&lt;&gt;"",$Q67&lt;$E67),"Termination before commencement. ","")))</f>
        <v/>
      </c>
      <c r="AO67" s="11" t="n">
        <f aca="false">IF(LEN($A67&amp;$B67&amp;$C67)=0,0,IF($E67="",0,1))</f>
        <v>0</v>
      </c>
      <c r="AP67" s="11" t="str">
        <f aca="false">IF(AO67=0,"",(IF(OR($N67="",$O67=""),0,MAX(0,MIN(X67,$O67)-MAX($N67,$E67)+1))+N($P67)))</f>
        <v/>
      </c>
      <c r="AQ67" s="11" t="str">
        <f aca="false">IF(AO67=0,"",IF(X67&lt;($E67+(IF(OR($N67="",$O67=""),0,MAX(0,MIN(X67,$O67)-MAX($N67,$E67)+1))+N($P67))),-1,12*(YEAR(X67)-YEAR(($E67+(IF(OR($N67="",$O67=""),0,MAX(0,MIN(X67,$O67)-MAX($N67,$E67)+1))+N($P67)))))+MONTH(X67)-MONTH(($E67+(IF(OR($N67="",$O67=""),0,MAX(0,MIN(X67,$O67)-MAX($N67,$E67)+1))+N($P67))))-IF(DAY(X67)&lt;MIN(DAY(($E67+(IF(OR($N67="",$O67=""),0,MAX(0,MIN(X67,$O67)-MAX($N67,$E67)+1))+N($P67)))),DAY(EOMONTH(X67,0))),1,0)))</f>
        <v/>
      </c>
      <c r="AR67" s="28" t="str">
        <f aca="false">IF(AO67=0,"",IF($H67="","",IF($H67&gt;X67,"",$H67)))</f>
        <v/>
      </c>
      <c r="AS67" s="28" t="str">
        <f aca="false">IF(AO67=0,"",IF(AR67="","",IF($K67="","",IF($K67&gt;X67,"",$K67))))</f>
        <v/>
      </c>
      <c r="AT67" s="11" t="str">
        <f aca="false">IF(AO67=0,"",IF(AR67="",AQ67,IF((AR67-1)&lt;($E67+(IF(OR($N67="",$O67=""),0,MAX(0,MIN((AR67-1),$O67)-MAX($N67,$E67)+1))+N($P67))),-1,12*(YEAR((AR67-1))-YEAR(($E67+(IF(OR($N67="",$O67=""),0,MAX(0,MIN((AR67-1),$O67)-MAX($N67,$E67)+1))+N($P67)))))+MONTH((AR67-1))-MONTH(($E67+(IF(OR($N67="",$O67=""),0,MAX(0,MIN((AR67-1),$O67)-MAX($N67,$E67)+1))+N($P67))))-IF(DAY((AR67-1))&lt;MIN(DAY(($E67+(IF(OR($N67="",$O67=""),0,MAX(0,MIN((AR67-1),$O67)-MAX($N67,$E67)+1))+N($P67)))),DAY(EOMONTH((AR67-1),0))),1,0))))</f>
        <v/>
      </c>
      <c r="AU67" s="11" t="str">
        <f aca="false">IF(AO67=0,"",IF(AS67="",AQ67,IF((AS67-1)&lt;($E67+(IF(OR($N67="",$O67=""),0,MAX(0,MIN((AS67-1),$O67)-MAX($N67,$E67)+1))+N($P67))),-1,12*(YEAR((AS67-1))-YEAR(($E67+(IF(OR($N67="",$O67=""),0,MAX(0,MIN((AS67-1),$O67)-MAX($N67,$E67)+1))+N($P67)))))+MONTH((AS67-1))-MONTH(($E67+(IF(OR($N67="",$O67=""),0,MAX(0,MIN((AS67-1),$O67)-MAX($N67,$E67)+1))+N($P67))))-IF(DAY((AS67-1))&lt;MIN(DAY(($E67+(IF(OR($N67="",$O67=""),0,MAX(0,MIN((AS67-1),$O67)-MAX($N67,$E67)+1))+N($P67)))),DAY(EOMONTH((AS67-1),0))),1,0))))</f>
        <v/>
      </c>
      <c r="AV67" s="11" t="str">
        <f aca="false">IF(AO67=0,"",IF($F67="","None",IF(IFERROR(VLOOKUP($F67,TypeTable,2,0),"None")="PT",IF(N($G67)&gt;=PT_MinHours,"PT","None"),IFERROR(VLOOKUP($F67,TypeTable,2,0),"None"))))</f>
        <v/>
      </c>
      <c r="AW67" s="11" t="str">
        <f aca="false">IF(AO67=0,"",IF($I67="","None",IF(IFERROR(VLOOKUP($I67,TypeTable,2,0),"None")="PT",IF(N($J67)&gt;=PT_MinHours,"PT","None"),IFERROR(VLOOKUP($I67,TypeTable,2,0),"None"))))</f>
        <v/>
      </c>
      <c r="AX67" s="11" t="str">
        <f aca="false">IF(AO67=0,"",IF($L67="","None",IF(IFERROR(VLOOKUP($L67,TypeTable,2,0),"None")="PT",IF(N($M67)&gt;=PT_MinHours,"PT","None"),IFERROR(VLOOKUP($L67,TypeTable,2,0),"None"))))</f>
        <v/>
      </c>
      <c r="AY67" s="11" t="str">
        <f aca="false">IF(AO67=0,"",IF(AS67&lt;&gt;"",AX67,IF(AR67&lt;&gt;"",AW67,AV67)))</f>
        <v/>
      </c>
      <c r="AZ67" s="11" t="str">
        <f aca="false">IF(AO67=0,"",IF(AV67="FT",IF(AT67&lt;FT_First,0,IF(AT67&lt;FT_Y5,1+INT((AT67-FT_First)/FT_Int1),FT_PreY5+FT_PerYear*INT((AT67-FT_Y5)/12)+FT_AnnivDays+INT(MOD(AT67-FT_Y5,12)/FT_Int2))),IF(AV67="PT",IF(AT67&lt;PT_First,0,1+INT((AT67-PT_First)/PT_Int)),0)))</f>
        <v/>
      </c>
      <c r="BA67" s="11" t="str">
        <f aca="false">IF(AO67=0,"",IF(AW67="FT",IF(AT67&lt;FT_First,0,IF(AT67&lt;FT_Y5,1+INT((AT67-FT_First)/FT_Int1),FT_PreY5+FT_PerYear*INT((AT67-FT_Y5)/12)+FT_AnnivDays+INT(MOD(AT67-FT_Y5,12)/FT_Int2))),IF(AW67="PT",IF(AT67&lt;PT_First,0,1+INT((AT67-PT_First)/PT_Int)),0)))</f>
        <v/>
      </c>
      <c r="BB67" s="11" t="str">
        <f aca="false">IF(AO67=0,"",IF(AW67="FT",IF(AU67&lt;FT_First,0,IF(AU67&lt;FT_Y5,1+INT((AU67-FT_First)/FT_Int1),FT_PreY5+FT_PerYear*INT((AU67-FT_Y5)/12)+FT_AnnivDays+INT(MOD(AU67-FT_Y5,12)/FT_Int2))),IF(AW67="PT",IF(AU67&lt;PT_First,0,1+INT((AU67-PT_First)/PT_Int)),0)))</f>
        <v/>
      </c>
      <c r="BC67" s="11" t="str">
        <f aca="false">IF(AO67=0,"",IF(AX67="FT",IF(AU67&lt;FT_First,0,IF(AU67&lt;FT_Y5,1+INT((AU67-FT_First)/FT_Int1),FT_PreY5+FT_PerYear*INT((AU67-FT_Y5)/12)+FT_AnnivDays+INT(MOD(AU67-FT_Y5,12)/FT_Int2))),IF(AX67="PT",IF(AU67&lt;PT_First,0,1+INT((AU67-PT_First)/PT_Int)),0)))</f>
        <v/>
      </c>
      <c r="BD67" s="11" t="str">
        <f aca="false">IF(AO67=0,"",IF(AX67="FT",IF(AQ67&lt;FT_First,0,IF(AQ67&lt;FT_Y5,1+INT((AQ67-FT_First)/FT_Int1),FT_PreY5+FT_PerYear*INT((AQ67-FT_Y5)/12)+FT_AnnivDays+INT(MOD(AQ67-FT_Y5,12)/FT_Int2))),IF(AX67="PT",IF(AQ67&lt;PT_First,0,1+INT((AQ67-PT_First)/PT_Int)),0)))</f>
        <v/>
      </c>
      <c r="BE67" s="11" t="str">
        <f aca="false">IF(AO67=0,"",IF(AY67="FT",IF(AQ67&lt;FT_First,FT_First,IF(AQ67&lt;FT_Y5,MIN(FT_Y5,FT_First+FT_Int1*(INT((AQ67-FT_First)/FT_Int1)+1)),FT_Y5+12*INT((AQ67-FT_Y5)/12)+FT_Int2*(INT(MOD(AQ67-FT_Y5,12)/FT_Int2)+1))),IF(AY67="PT",IF(AQ67&lt;PT_First,PT_First,PT_First+PT_Int*(INT((AQ67-PT_First)/PT_Int)+1)),"")))</f>
        <v/>
      </c>
      <c r="BF67" s="11" t="n">
        <f aca="false">IF(AO67=0,0,IF(AND($Q67&lt;&gt;"",$Q67&lt;=AsOfDate),1,0))</f>
        <v>0</v>
      </c>
      <c r="BG67" s="11" t="str">
        <f aca="false">IF(AND(AO67=1,BF67=0,EH_Ready,N(AB67)&gt;0,N(AI67)=0),COUNT($BG$5:BG66)+1,"")</f>
        <v/>
      </c>
      <c r="BH67" s="11" t="str">
        <f aca="false">IF(AND(AO67=1,BF67=0,EH_Ready,N(AB67)&gt;0,N(AI67)&gt;0,N(AK67)&gt;0),COUNT($BH$5:BH66)+1,"")</f>
        <v/>
      </c>
      <c r="BI67" s="11" t="str">
        <f aca="false">IF(AND(AO67=1,OR(LEFT(AM67,3)="ADD",LEFT(AM67,3)="SET",LEFT(AM67,5)="CHECK",LEFT(AM67,10)="TERMINATED")),COUNT($BI$5:BI66)+1,"")</f>
        <v/>
      </c>
      <c r="BJ67" s="11" t="str">
        <f aca="false">IF(AO67=0,"",$A67&amp;" - "&amp;$B67&amp;" "&amp;$C67)</f>
        <v/>
      </c>
    </row>
    <row r="68" customFormat="false" ht="15" hidden="false" customHeight="false" outlineLevel="0" collapsed="false">
      <c r="A68" s="10"/>
      <c r="B68" s="10"/>
      <c r="C68" s="10"/>
      <c r="D68" s="10"/>
      <c r="E68" s="9"/>
      <c r="F68" s="10"/>
      <c r="G68" s="30"/>
      <c r="H68" s="9"/>
      <c r="I68" s="10"/>
      <c r="J68" s="30"/>
      <c r="K68" s="9"/>
      <c r="L68" s="10"/>
      <c r="M68" s="30"/>
      <c r="N68" s="9"/>
      <c r="O68" s="9"/>
      <c r="P68" s="30"/>
      <c r="Q68" s="9"/>
      <c r="R68" s="10"/>
      <c r="S68" s="11" t="str">
        <f aca="false">IF(AO68=0,"",IF($H68="","",$F68&amp;" -&gt; "&amp;$I68&amp;IF($I68="Part-Time"," ("&amp;N($J68)&amp;" hrs)","")&amp;" on "&amp;TEXT($H68,"dd/mm/yyyy")&amp;IF($H68&gt;AsOfDate," (FUTURE)","")&amp;IF($K68="","","; "&amp;$I68&amp;" -&gt; "&amp;$L68&amp;IF($L68="Part-Time"," ("&amp;N($M68)&amp;" hrs)","")&amp;" on "&amp;TEXT($K68,"dd/mm/yyyy")&amp;IF($K68&gt;AsOfDate," (FUTURE)",""))))</f>
        <v/>
      </c>
      <c r="T68" s="11" t="str">
        <f aca="false">IF(AO68=0,"",IF(AS68&lt;&gt;"",$L68,IF(AR68&lt;&gt;"",$I68,$F68)))</f>
        <v/>
      </c>
      <c r="U68" s="26" t="str">
        <f aca="false">IF(AO68=0,"",IF(AS68&lt;&gt;"",$M68,IF(AR68&lt;&gt;"",$J68,$G68)))</f>
        <v/>
      </c>
      <c r="V68" s="11" t="str">
        <f aca="false">IF(AO68=0,"",IF(AY68="FT","Full-Time",IF(AY68="PT","Part-Time","Not eligible")))</f>
        <v/>
      </c>
      <c r="W68" s="27" t="str">
        <f aca="false">IF(AO68=0,"",IF(AR68="",IF(AND($H68&lt;&gt;"",$H68&gt;AsOfDate),"Future change - not yet applied",""),IF(AND(AV68=AY68,OR(AS68="",AW68=AV68)),"Type changed - same accrual pathway",IF(AY68="None","STOPPED accruing from "&amp;TEXT(IF(AS68&lt;&gt;"",AS68,AR68),"dd/mm/yyyy"),IF(AV68="None","STARTED qualifying from "&amp;TEXT(IF(AS68&lt;&gt;"",AS68,AR68),"dd/mm/yyyy"),"Pathway changed "&amp;AV68&amp;" -&gt; "&amp;AW68&amp;IF(AS68&lt;&gt;""," -&gt; "&amp;AX68,"")&amp;" from "&amp;TEXT(IF(AS68&lt;&gt;"",AS68,AR68),"dd/mm/yyyy"))))))</f>
        <v/>
      </c>
      <c r="X68" s="28" t="str">
        <f aca="false">IF(AO68=0,"",IF($Q68="",AsOfDate,MIN(AsOfDate,$Q68)))</f>
        <v/>
      </c>
      <c r="Y68" s="26" t="str">
        <f aca="false">IF(AO68=0,"",MAX(0,AQ68))</f>
        <v/>
      </c>
      <c r="Z68" s="11" t="str">
        <f aca="false">IF(AO68=0,"",IF(AQ68&lt;0,"Not started",INT(AQ68/12)&amp;"y "&amp;MOD(AQ68,12)&amp;"m"))</f>
        <v/>
      </c>
      <c r="AA68" s="27" t="str">
        <f aca="false">IF(AO68=0,"",IF(BF68=1,"Terminated - balance forfeited",IF(AY68="None",IF(AB68&gt;0,"No longer accruing - "&amp;T68,"Not eligible - "&amp;T68&amp;IF(AND(IFERROR(VLOOKUP(T68,TypeTable,2,0),"None")="PT",N(U68)&lt;PT_MinHours)," (under "&amp;PT_MinHours&amp;" hrs)","")),IF(AB68&gt;0,"Yes - accruing","Not yet - qualifies "&amp;TEXT(AD68,"dd/mm/yyyy")))))</f>
        <v/>
      </c>
      <c r="AB68" s="26" t="str">
        <f aca="false">IF(AO68=0,"",AZ68+IF(AR68="",0,BB68-BA68)+IF(AS68="",0,BD68-BC68))</f>
        <v/>
      </c>
      <c r="AC68" s="26" t="str">
        <f aca="false">IF(AO68=0,"",AB68*HoursPerDay)</f>
        <v/>
      </c>
      <c r="AD68" s="28" t="str">
        <f aca="false">IF(AO68=0,"",IF(OR(BF68=1,AY68="None"),"",EDATE($E68+AP68,BE68)))</f>
        <v/>
      </c>
      <c r="AE68" s="26" t="str">
        <f aca="false">IF(AD68="","",IF(AY68="PT",1,IF(BE68&lt;FT_Y5,1,IF(MOD(BE68-FT_Y5,12)=0,FT_AnnivDays,1))))</f>
        <v/>
      </c>
      <c r="AF68" s="27" t="str">
        <f aca="false">IF(AO68=0,"",IF(NOT(EH_Ready),"Map headers",IF(IF(MatchMode="Employee ID",COUNTIFS(INDEX(EH_Data,0,EH_ColID),$A68,INDEX(EH_Data,0,EH_ColCat),BonusCat),COUNTIFS(INDEX(EH_Data,0,EH_ColFirst),$B68,INDEX(EH_Data,0,EH_ColSur),$C68,INDEX(EH_Data,0,EH_ColCat),BonusCat))&gt;0,"Yes","No")))</f>
        <v/>
      </c>
      <c r="AG68" s="26" t="str">
        <f aca="false">IF(AO68=0,"",IF(NOT(EH_Ready),"",IF(MatchMode="Employee ID",SUMIFS(INDEX(EH_Data,0,EH_ColBal),INDEX(EH_Data,0,EH_ColID),$A68,INDEX(EH_Data,0,EH_ColCat),BonusCat),SUMIFS(INDEX(EH_Data,0,EH_ColBal),INDEX(EH_Data,0,EH_ColFirst),$B68,INDEX(EH_Data,0,EH_ColSur),$C68,INDEX(EH_Data,0,EH_ColCat),BonusCat))/IF(EHUnit="Hours",HoursPerDay,1)))</f>
        <v/>
      </c>
      <c r="AH68" s="26" t="str">
        <f aca="false">IF(AO68=0,"",IF(NOT(TK_Ready),0,IF(MatchMode="Employee ID",SUMIFS(INDEX(TK_Data,0,TK_ColAmt),INDEX(TK_Data,0,TK_ColID),$A68,INDEX(TK_Data,0,TK_ColCat),BonusCat),SUMIFS(INDEX(TK_Data,0,TK_ColAmt),INDEX(TK_Data,0,TK_ColFirst),$B68,INDEX(TK_Data,0,TK_ColSur),$C68,INDEX(TK_Data,0,TK_ColCat),BonusCat))/IF(TKUnit="Hours",HoursPerDay,1)))</f>
        <v/>
      </c>
      <c r="AI68" s="26" t="str">
        <f aca="false">IF(AO68=0,"",N(AG68)+N(AH68))</f>
        <v/>
      </c>
      <c r="AJ68" s="29" t="str">
        <f aca="false">IF(AO68=0,"",IF(NOT(AND(EH_Ready,EH_ValReady)),"",IF(MatchMode="Employee ID",SUMIFS(INDEX(EH_Data,0,EH_ColVal),INDEX(EH_Data,0,EH_ColID),$A68,INDEX(EH_Data,0,EH_ColCat),BonusCat),SUMIFS(INDEX(EH_Data,0,EH_ColVal),INDEX(EH_Data,0,EH_ColFirst),$B68,INDEX(EH_Data,0,EH_ColSur),$C68,INDEX(EH_Data,0,EH_ColCat),BonusCat))))</f>
        <v/>
      </c>
      <c r="AK68" s="26" t="str">
        <f aca="false">IF(AO68=0,"",IF(OR(NOT(EH_Ready),BF68=1),"",AB68-AI68))</f>
        <v/>
      </c>
      <c r="AL68" s="26" t="str">
        <f aca="false">IF(AK68="","",AK68*HoursPerDay)</f>
        <v/>
      </c>
      <c r="AM68" s="27" t="str">
        <f aca="false">IF(AO68=0,"",IF(BF68=1,IF(N(AG68)&gt;0,"TERMINATED - forfeit "&amp;TEXT(AG68,"0.##")&amp;" days still in EH","Terminated - nothing in EH"),IF(NOT(EH_Ready),"Paste EH export and map headers on Settings",IF(AND(AB68&gt;0,AF68="No"),"SET UP in EH - add "&amp;TEXT(AB68,"0.##")&amp;" day(s) ("&amp;TEXT(AC68,"0.##")&amp;" hrs)",IF(AK68&gt;0,"ADD "&amp;TEXT(AK68,"0.##")&amp;" day(s) ("&amp;TEXT(AL68,"0.##")&amp;" hrs) in EH",IF(AK68&lt;0,"CHECK - EH shows "&amp;TEXT(-AK68,"0.##")&amp;" days more than policy",IF(AB68&gt;0,"OK - up to date",IF(AY68="None","No action - not eligible","No action - not yet qualified"))))))))</f>
        <v/>
      </c>
      <c r="AN68" s="27" t="str">
        <f aca="false">IF(AO68=0,"",TRIM(IF(AND($K68&lt;&gt;"",$H68=""),"Change 2 entered without Change 1. ","")&amp;IF(AND($K68&lt;&gt;"",$H68&lt;&gt;"",$K68&lt;=$H68),"Change 2 date not after Change 1. ","")&amp;IF(AND($N68&lt;&gt;"",$O68&lt;&gt;"",$O68&lt;$N68),"Leave To is before Leave From. ","")&amp;IF(AND($N68&lt;&gt;"",$O68=""),"Leave From entered without Leave To. ","")&amp;IF(AND(IFERROR(VLOOKUP(T68,TypeTable,2,0),"None")="PT",U68=""),"Part-time with no hours entered. ","")&amp;IF(AND($H68&lt;&gt;"",$H68&gt;AsOfDate,AD68&lt;&gt;"",$H68&lt;=AD68),"Status change lands before next accrual - review. ","")&amp;IF(AND($Q68&lt;&gt;"",$Q68&lt;$E68),"Termination before commencement. ","")))</f>
        <v/>
      </c>
      <c r="AO68" s="11" t="n">
        <f aca="false">IF(LEN($A68&amp;$B68&amp;$C68)=0,0,IF($E68="",0,1))</f>
        <v>0</v>
      </c>
      <c r="AP68" s="11" t="str">
        <f aca="false">IF(AO68=0,"",(IF(OR($N68="",$O68=""),0,MAX(0,MIN(X68,$O68)-MAX($N68,$E68)+1))+N($P68)))</f>
        <v/>
      </c>
      <c r="AQ68" s="11" t="str">
        <f aca="false">IF(AO68=0,"",IF(X68&lt;($E68+(IF(OR($N68="",$O68=""),0,MAX(0,MIN(X68,$O68)-MAX($N68,$E68)+1))+N($P68))),-1,12*(YEAR(X68)-YEAR(($E68+(IF(OR($N68="",$O68=""),0,MAX(0,MIN(X68,$O68)-MAX($N68,$E68)+1))+N($P68)))))+MONTH(X68)-MONTH(($E68+(IF(OR($N68="",$O68=""),0,MAX(0,MIN(X68,$O68)-MAX($N68,$E68)+1))+N($P68))))-IF(DAY(X68)&lt;MIN(DAY(($E68+(IF(OR($N68="",$O68=""),0,MAX(0,MIN(X68,$O68)-MAX($N68,$E68)+1))+N($P68)))),DAY(EOMONTH(X68,0))),1,0)))</f>
        <v/>
      </c>
      <c r="AR68" s="28" t="str">
        <f aca="false">IF(AO68=0,"",IF($H68="","",IF($H68&gt;X68,"",$H68)))</f>
        <v/>
      </c>
      <c r="AS68" s="28" t="str">
        <f aca="false">IF(AO68=0,"",IF(AR68="","",IF($K68="","",IF($K68&gt;X68,"",$K68))))</f>
        <v/>
      </c>
      <c r="AT68" s="11" t="str">
        <f aca="false">IF(AO68=0,"",IF(AR68="",AQ68,IF((AR68-1)&lt;($E68+(IF(OR($N68="",$O68=""),0,MAX(0,MIN((AR68-1),$O68)-MAX($N68,$E68)+1))+N($P68))),-1,12*(YEAR((AR68-1))-YEAR(($E68+(IF(OR($N68="",$O68=""),0,MAX(0,MIN((AR68-1),$O68)-MAX($N68,$E68)+1))+N($P68)))))+MONTH((AR68-1))-MONTH(($E68+(IF(OR($N68="",$O68=""),0,MAX(0,MIN((AR68-1),$O68)-MAX($N68,$E68)+1))+N($P68))))-IF(DAY((AR68-1))&lt;MIN(DAY(($E68+(IF(OR($N68="",$O68=""),0,MAX(0,MIN((AR68-1),$O68)-MAX($N68,$E68)+1))+N($P68)))),DAY(EOMONTH((AR68-1),0))),1,0))))</f>
        <v/>
      </c>
      <c r="AU68" s="11" t="str">
        <f aca="false">IF(AO68=0,"",IF(AS68="",AQ68,IF((AS68-1)&lt;($E68+(IF(OR($N68="",$O68=""),0,MAX(0,MIN((AS68-1),$O68)-MAX($N68,$E68)+1))+N($P68))),-1,12*(YEAR((AS68-1))-YEAR(($E68+(IF(OR($N68="",$O68=""),0,MAX(0,MIN((AS68-1),$O68)-MAX($N68,$E68)+1))+N($P68)))))+MONTH((AS68-1))-MONTH(($E68+(IF(OR($N68="",$O68=""),0,MAX(0,MIN((AS68-1),$O68)-MAX($N68,$E68)+1))+N($P68))))-IF(DAY((AS68-1))&lt;MIN(DAY(($E68+(IF(OR($N68="",$O68=""),0,MAX(0,MIN((AS68-1),$O68)-MAX($N68,$E68)+1))+N($P68)))),DAY(EOMONTH((AS68-1),0))),1,0))))</f>
        <v/>
      </c>
      <c r="AV68" s="11" t="str">
        <f aca="false">IF(AO68=0,"",IF($F68="","None",IF(IFERROR(VLOOKUP($F68,TypeTable,2,0),"None")="PT",IF(N($G68)&gt;=PT_MinHours,"PT","None"),IFERROR(VLOOKUP($F68,TypeTable,2,0),"None"))))</f>
        <v/>
      </c>
      <c r="AW68" s="11" t="str">
        <f aca="false">IF(AO68=0,"",IF($I68="","None",IF(IFERROR(VLOOKUP($I68,TypeTable,2,0),"None")="PT",IF(N($J68)&gt;=PT_MinHours,"PT","None"),IFERROR(VLOOKUP($I68,TypeTable,2,0),"None"))))</f>
        <v/>
      </c>
      <c r="AX68" s="11" t="str">
        <f aca="false">IF(AO68=0,"",IF($L68="","None",IF(IFERROR(VLOOKUP($L68,TypeTable,2,0),"None")="PT",IF(N($M68)&gt;=PT_MinHours,"PT","None"),IFERROR(VLOOKUP($L68,TypeTable,2,0),"None"))))</f>
        <v/>
      </c>
      <c r="AY68" s="11" t="str">
        <f aca="false">IF(AO68=0,"",IF(AS68&lt;&gt;"",AX68,IF(AR68&lt;&gt;"",AW68,AV68)))</f>
        <v/>
      </c>
      <c r="AZ68" s="11" t="str">
        <f aca="false">IF(AO68=0,"",IF(AV68="FT",IF(AT68&lt;FT_First,0,IF(AT68&lt;FT_Y5,1+INT((AT68-FT_First)/FT_Int1),FT_PreY5+FT_PerYear*INT((AT68-FT_Y5)/12)+FT_AnnivDays+INT(MOD(AT68-FT_Y5,12)/FT_Int2))),IF(AV68="PT",IF(AT68&lt;PT_First,0,1+INT((AT68-PT_First)/PT_Int)),0)))</f>
        <v/>
      </c>
      <c r="BA68" s="11" t="str">
        <f aca="false">IF(AO68=0,"",IF(AW68="FT",IF(AT68&lt;FT_First,0,IF(AT68&lt;FT_Y5,1+INT((AT68-FT_First)/FT_Int1),FT_PreY5+FT_PerYear*INT((AT68-FT_Y5)/12)+FT_AnnivDays+INT(MOD(AT68-FT_Y5,12)/FT_Int2))),IF(AW68="PT",IF(AT68&lt;PT_First,0,1+INT((AT68-PT_First)/PT_Int)),0)))</f>
        <v/>
      </c>
      <c r="BB68" s="11" t="str">
        <f aca="false">IF(AO68=0,"",IF(AW68="FT",IF(AU68&lt;FT_First,0,IF(AU68&lt;FT_Y5,1+INT((AU68-FT_First)/FT_Int1),FT_PreY5+FT_PerYear*INT((AU68-FT_Y5)/12)+FT_AnnivDays+INT(MOD(AU68-FT_Y5,12)/FT_Int2))),IF(AW68="PT",IF(AU68&lt;PT_First,0,1+INT((AU68-PT_First)/PT_Int)),0)))</f>
        <v/>
      </c>
      <c r="BC68" s="11" t="str">
        <f aca="false">IF(AO68=0,"",IF(AX68="FT",IF(AU68&lt;FT_First,0,IF(AU68&lt;FT_Y5,1+INT((AU68-FT_First)/FT_Int1),FT_PreY5+FT_PerYear*INT((AU68-FT_Y5)/12)+FT_AnnivDays+INT(MOD(AU68-FT_Y5,12)/FT_Int2))),IF(AX68="PT",IF(AU68&lt;PT_First,0,1+INT((AU68-PT_First)/PT_Int)),0)))</f>
        <v/>
      </c>
      <c r="BD68" s="11" t="str">
        <f aca="false">IF(AO68=0,"",IF(AX68="FT",IF(AQ68&lt;FT_First,0,IF(AQ68&lt;FT_Y5,1+INT((AQ68-FT_First)/FT_Int1),FT_PreY5+FT_PerYear*INT((AQ68-FT_Y5)/12)+FT_AnnivDays+INT(MOD(AQ68-FT_Y5,12)/FT_Int2))),IF(AX68="PT",IF(AQ68&lt;PT_First,0,1+INT((AQ68-PT_First)/PT_Int)),0)))</f>
        <v/>
      </c>
      <c r="BE68" s="11" t="str">
        <f aca="false">IF(AO68=0,"",IF(AY68="FT",IF(AQ68&lt;FT_First,FT_First,IF(AQ68&lt;FT_Y5,MIN(FT_Y5,FT_First+FT_Int1*(INT((AQ68-FT_First)/FT_Int1)+1)),FT_Y5+12*INT((AQ68-FT_Y5)/12)+FT_Int2*(INT(MOD(AQ68-FT_Y5,12)/FT_Int2)+1))),IF(AY68="PT",IF(AQ68&lt;PT_First,PT_First,PT_First+PT_Int*(INT((AQ68-PT_First)/PT_Int)+1)),"")))</f>
        <v/>
      </c>
      <c r="BF68" s="11" t="n">
        <f aca="false">IF(AO68=0,0,IF(AND($Q68&lt;&gt;"",$Q68&lt;=AsOfDate),1,0))</f>
        <v>0</v>
      </c>
      <c r="BG68" s="11" t="str">
        <f aca="false">IF(AND(AO68=1,BF68=0,EH_Ready,N(AB68)&gt;0,N(AI68)=0),COUNT($BG$5:BG67)+1,"")</f>
        <v/>
      </c>
      <c r="BH68" s="11" t="str">
        <f aca="false">IF(AND(AO68=1,BF68=0,EH_Ready,N(AB68)&gt;0,N(AI68)&gt;0,N(AK68)&gt;0),COUNT($BH$5:BH67)+1,"")</f>
        <v/>
      </c>
      <c r="BI68" s="11" t="str">
        <f aca="false">IF(AND(AO68=1,OR(LEFT(AM68,3)="ADD",LEFT(AM68,3)="SET",LEFT(AM68,5)="CHECK",LEFT(AM68,10)="TERMINATED")),COUNT($BI$5:BI67)+1,"")</f>
        <v/>
      </c>
      <c r="BJ68" s="11" t="str">
        <f aca="false">IF(AO68=0,"",$A68&amp;" - "&amp;$B68&amp;" "&amp;$C68)</f>
        <v/>
      </c>
    </row>
    <row r="69" customFormat="false" ht="15" hidden="false" customHeight="false" outlineLevel="0" collapsed="false">
      <c r="A69" s="10"/>
      <c r="B69" s="10"/>
      <c r="C69" s="10"/>
      <c r="D69" s="10"/>
      <c r="E69" s="9"/>
      <c r="F69" s="10"/>
      <c r="G69" s="30"/>
      <c r="H69" s="9"/>
      <c r="I69" s="10"/>
      <c r="J69" s="30"/>
      <c r="K69" s="9"/>
      <c r="L69" s="10"/>
      <c r="M69" s="30"/>
      <c r="N69" s="9"/>
      <c r="O69" s="9"/>
      <c r="P69" s="30"/>
      <c r="Q69" s="9"/>
      <c r="R69" s="10"/>
      <c r="S69" s="11" t="str">
        <f aca="false">IF(AO69=0,"",IF($H69="","",$F69&amp;" -&gt; "&amp;$I69&amp;IF($I69="Part-Time"," ("&amp;N($J69)&amp;" hrs)","")&amp;" on "&amp;TEXT($H69,"dd/mm/yyyy")&amp;IF($H69&gt;AsOfDate," (FUTURE)","")&amp;IF($K69="","","; "&amp;$I69&amp;" -&gt; "&amp;$L69&amp;IF($L69="Part-Time"," ("&amp;N($M69)&amp;" hrs)","")&amp;" on "&amp;TEXT($K69,"dd/mm/yyyy")&amp;IF($K69&gt;AsOfDate," (FUTURE)",""))))</f>
        <v/>
      </c>
      <c r="T69" s="11" t="str">
        <f aca="false">IF(AO69=0,"",IF(AS69&lt;&gt;"",$L69,IF(AR69&lt;&gt;"",$I69,$F69)))</f>
        <v/>
      </c>
      <c r="U69" s="26" t="str">
        <f aca="false">IF(AO69=0,"",IF(AS69&lt;&gt;"",$M69,IF(AR69&lt;&gt;"",$J69,$G69)))</f>
        <v/>
      </c>
      <c r="V69" s="11" t="str">
        <f aca="false">IF(AO69=0,"",IF(AY69="FT","Full-Time",IF(AY69="PT","Part-Time","Not eligible")))</f>
        <v/>
      </c>
      <c r="W69" s="27" t="str">
        <f aca="false">IF(AO69=0,"",IF(AR69="",IF(AND($H69&lt;&gt;"",$H69&gt;AsOfDate),"Future change - not yet applied",""),IF(AND(AV69=AY69,OR(AS69="",AW69=AV69)),"Type changed - same accrual pathway",IF(AY69="None","STOPPED accruing from "&amp;TEXT(IF(AS69&lt;&gt;"",AS69,AR69),"dd/mm/yyyy"),IF(AV69="None","STARTED qualifying from "&amp;TEXT(IF(AS69&lt;&gt;"",AS69,AR69),"dd/mm/yyyy"),"Pathway changed "&amp;AV69&amp;" -&gt; "&amp;AW69&amp;IF(AS69&lt;&gt;""," -&gt; "&amp;AX69,"")&amp;" from "&amp;TEXT(IF(AS69&lt;&gt;"",AS69,AR69),"dd/mm/yyyy"))))))</f>
        <v/>
      </c>
      <c r="X69" s="28" t="str">
        <f aca="false">IF(AO69=0,"",IF($Q69="",AsOfDate,MIN(AsOfDate,$Q69)))</f>
        <v/>
      </c>
      <c r="Y69" s="26" t="str">
        <f aca="false">IF(AO69=0,"",MAX(0,AQ69))</f>
        <v/>
      </c>
      <c r="Z69" s="11" t="str">
        <f aca="false">IF(AO69=0,"",IF(AQ69&lt;0,"Not started",INT(AQ69/12)&amp;"y "&amp;MOD(AQ69,12)&amp;"m"))</f>
        <v/>
      </c>
      <c r="AA69" s="27" t="str">
        <f aca="false">IF(AO69=0,"",IF(BF69=1,"Terminated - balance forfeited",IF(AY69="None",IF(AB69&gt;0,"No longer accruing - "&amp;T69,"Not eligible - "&amp;T69&amp;IF(AND(IFERROR(VLOOKUP(T69,TypeTable,2,0),"None")="PT",N(U69)&lt;PT_MinHours)," (under "&amp;PT_MinHours&amp;" hrs)","")),IF(AB69&gt;0,"Yes - accruing","Not yet - qualifies "&amp;TEXT(AD69,"dd/mm/yyyy")))))</f>
        <v/>
      </c>
      <c r="AB69" s="26" t="str">
        <f aca="false">IF(AO69=0,"",AZ69+IF(AR69="",0,BB69-BA69)+IF(AS69="",0,BD69-BC69))</f>
        <v/>
      </c>
      <c r="AC69" s="26" t="str">
        <f aca="false">IF(AO69=0,"",AB69*HoursPerDay)</f>
        <v/>
      </c>
      <c r="AD69" s="28" t="str">
        <f aca="false">IF(AO69=0,"",IF(OR(BF69=1,AY69="None"),"",EDATE($E69+AP69,BE69)))</f>
        <v/>
      </c>
      <c r="AE69" s="26" t="str">
        <f aca="false">IF(AD69="","",IF(AY69="PT",1,IF(BE69&lt;FT_Y5,1,IF(MOD(BE69-FT_Y5,12)=0,FT_AnnivDays,1))))</f>
        <v/>
      </c>
      <c r="AF69" s="27" t="str">
        <f aca="false">IF(AO69=0,"",IF(NOT(EH_Ready),"Map headers",IF(IF(MatchMode="Employee ID",COUNTIFS(INDEX(EH_Data,0,EH_ColID),$A69,INDEX(EH_Data,0,EH_ColCat),BonusCat),COUNTIFS(INDEX(EH_Data,0,EH_ColFirst),$B69,INDEX(EH_Data,0,EH_ColSur),$C69,INDEX(EH_Data,0,EH_ColCat),BonusCat))&gt;0,"Yes","No")))</f>
        <v/>
      </c>
      <c r="AG69" s="26" t="str">
        <f aca="false">IF(AO69=0,"",IF(NOT(EH_Ready),"",IF(MatchMode="Employee ID",SUMIFS(INDEX(EH_Data,0,EH_ColBal),INDEX(EH_Data,0,EH_ColID),$A69,INDEX(EH_Data,0,EH_ColCat),BonusCat),SUMIFS(INDEX(EH_Data,0,EH_ColBal),INDEX(EH_Data,0,EH_ColFirst),$B69,INDEX(EH_Data,0,EH_ColSur),$C69,INDEX(EH_Data,0,EH_ColCat),BonusCat))/IF(EHUnit="Hours",HoursPerDay,1)))</f>
        <v/>
      </c>
      <c r="AH69" s="26" t="str">
        <f aca="false">IF(AO69=0,"",IF(NOT(TK_Ready),0,IF(MatchMode="Employee ID",SUMIFS(INDEX(TK_Data,0,TK_ColAmt),INDEX(TK_Data,0,TK_ColID),$A69,INDEX(TK_Data,0,TK_ColCat),BonusCat),SUMIFS(INDEX(TK_Data,0,TK_ColAmt),INDEX(TK_Data,0,TK_ColFirst),$B69,INDEX(TK_Data,0,TK_ColSur),$C69,INDEX(TK_Data,0,TK_ColCat),BonusCat))/IF(TKUnit="Hours",HoursPerDay,1)))</f>
        <v/>
      </c>
      <c r="AI69" s="26" t="str">
        <f aca="false">IF(AO69=0,"",N(AG69)+N(AH69))</f>
        <v/>
      </c>
      <c r="AJ69" s="29" t="str">
        <f aca="false">IF(AO69=0,"",IF(NOT(AND(EH_Ready,EH_ValReady)),"",IF(MatchMode="Employee ID",SUMIFS(INDEX(EH_Data,0,EH_ColVal),INDEX(EH_Data,0,EH_ColID),$A69,INDEX(EH_Data,0,EH_ColCat),BonusCat),SUMIFS(INDEX(EH_Data,0,EH_ColVal),INDEX(EH_Data,0,EH_ColFirst),$B69,INDEX(EH_Data,0,EH_ColSur),$C69,INDEX(EH_Data,0,EH_ColCat),BonusCat))))</f>
        <v/>
      </c>
      <c r="AK69" s="26" t="str">
        <f aca="false">IF(AO69=0,"",IF(OR(NOT(EH_Ready),BF69=1),"",AB69-AI69))</f>
        <v/>
      </c>
      <c r="AL69" s="26" t="str">
        <f aca="false">IF(AK69="","",AK69*HoursPerDay)</f>
        <v/>
      </c>
      <c r="AM69" s="27" t="str">
        <f aca="false">IF(AO69=0,"",IF(BF69=1,IF(N(AG69)&gt;0,"TERMINATED - forfeit "&amp;TEXT(AG69,"0.##")&amp;" days still in EH","Terminated - nothing in EH"),IF(NOT(EH_Ready),"Paste EH export and map headers on Settings",IF(AND(AB69&gt;0,AF69="No"),"SET UP in EH - add "&amp;TEXT(AB69,"0.##")&amp;" day(s) ("&amp;TEXT(AC69,"0.##")&amp;" hrs)",IF(AK69&gt;0,"ADD "&amp;TEXT(AK69,"0.##")&amp;" day(s) ("&amp;TEXT(AL69,"0.##")&amp;" hrs) in EH",IF(AK69&lt;0,"CHECK - EH shows "&amp;TEXT(-AK69,"0.##")&amp;" days more than policy",IF(AB69&gt;0,"OK - up to date",IF(AY69="None","No action - not eligible","No action - not yet qualified"))))))))</f>
        <v/>
      </c>
      <c r="AN69" s="27" t="str">
        <f aca="false">IF(AO69=0,"",TRIM(IF(AND($K69&lt;&gt;"",$H69=""),"Change 2 entered without Change 1. ","")&amp;IF(AND($K69&lt;&gt;"",$H69&lt;&gt;"",$K69&lt;=$H69),"Change 2 date not after Change 1. ","")&amp;IF(AND($N69&lt;&gt;"",$O69&lt;&gt;"",$O69&lt;$N69),"Leave To is before Leave From. ","")&amp;IF(AND($N69&lt;&gt;"",$O69=""),"Leave From entered without Leave To. ","")&amp;IF(AND(IFERROR(VLOOKUP(T69,TypeTable,2,0),"None")="PT",U69=""),"Part-time with no hours entered. ","")&amp;IF(AND($H69&lt;&gt;"",$H69&gt;AsOfDate,AD69&lt;&gt;"",$H69&lt;=AD69),"Status change lands before next accrual - review. ","")&amp;IF(AND($Q69&lt;&gt;"",$Q69&lt;$E69),"Termination before commencement. ","")))</f>
        <v/>
      </c>
      <c r="AO69" s="11" t="n">
        <f aca="false">IF(LEN($A69&amp;$B69&amp;$C69)=0,0,IF($E69="",0,1))</f>
        <v>0</v>
      </c>
      <c r="AP69" s="11" t="str">
        <f aca="false">IF(AO69=0,"",(IF(OR($N69="",$O69=""),0,MAX(0,MIN(X69,$O69)-MAX($N69,$E69)+1))+N($P69)))</f>
        <v/>
      </c>
      <c r="AQ69" s="11" t="str">
        <f aca="false">IF(AO69=0,"",IF(X69&lt;($E69+(IF(OR($N69="",$O69=""),0,MAX(0,MIN(X69,$O69)-MAX($N69,$E69)+1))+N($P69))),-1,12*(YEAR(X69)-YEAR(($E69+(IF(OR($N69="",$O69=""),0,MAX(0,MIN(X69,$O69)-MAX($N69,$E69)+1))+N($P69)))))+MONTH(X69)-MONTH(($E69+(IF(OR($N69="",$O69=""),0,MAX(0,MIN(X69,$O69)-MAX($N69,$E69)+1))+N($P69))))-IF(DAY(X69)&lt;MIN(DAY(($E69+(IF(OR($N69="",$O69=""),0,MAX(0,MIN(X69,$O69)-MAX($N69,$E69)+1))+N($P69)))),DAY(EOMONTH(X69,0))),1,0)))</f>
        <v/>
      </c>
      <c r="AR69" s="28" t="str">
        <f aca="false">IF(AO69=0,"",IF($H69="","",IF($H69&gt;X69,"",$H69)))</f>
        <v/>
      </c>
      <c r="AS69" s="28" t="str">
        <f aca="false">IF(AO69=0,"",IF(AR69="","",IF($K69="","",IF($K69&gt;X69,"",$K69))))</f>
        <v/>
      </c>
      <c r="AT69" s="11" t="str">
        <f aca="false">IF(AO69=0,"",IF(AR69="",AQ69,IF((AR69-1)&lt;($E69+(IF(OR($N69="",$O69=""),0,MAX(0,MIN((AR69-1),$O69)-MAX($N69,$E69)+1))+N($P69))),-1,12*(YEAR((AR69-1))-YEAR(($E69+(IF(OR($N69="",$O69=""),0,MAX(0,MIN((AR69-1),$O69)-MAX($N69,$E69)+1))+N($P69)))))+MONTH((AR69-1))-MONTH(($E69+(IF(OR($N69="",$O69=""),0,MAX(0,MIN((AR69-1),$O69)-MAX($N69,$E69)+1))+N($P69))))-IF(DAY((AR69-1))&lt;MIN(DAY(($E69+(IF(OR($N69="",$O69=""),0,MAX(0,MIN((AR69-1),$O69)-MAX($N69,$E69)+1))+N($P69)))),DAY(EOMONTH((AR69-1),0))),1,0))))</f>
        <v/>
      </c>
      <c r="AU69" s="11" t="str">
        <f aca="false">IF(AO69=0,"",IF(AS69="",AQ69,IF((AS69-1)&lt;($E69+(IF(OR($N69="",$O69=""),0,MAX(0,MIN((AS69-1),$O69)-MAX($N69,$E69)+1))+N($P69))),-1,12*(YEAR((AS69-1))-YEAR(($E69+(IF(OR($N69="",$O69=""),0,MAX(0,MIN((AS69-1),$O69)-MAX($N69,$E69)+1))+N($P69)))))+MONTH((AS69-1))-MONTH(($E69+(IF(OR($N69="",$O69=""),0,MAX(0,MIN((AS69-1),$O69)-MAX($N69,$E69)+1))+N($P69))))-IF(DAY((AS69-1))&lt;MIN(DAY(($E69+(IF(OR($N69="",$O69=""),0,MAX(0,MIN((AS69-1),$O69)-MAX($N69,$E69)+1))+N($P69)))),DAY(EOMONTH((AS69-1),0))),1,0))))</f>
        <v/>
      </c>
      <c r="AV69" s="11" t="str">
        <f aca="false">IF(AO69=0,"",IF($F69="","None",IF(IFERROR(VLOOKUP($F69,TypeTable,2,0),"None")="PT",IF(N($G69)&gt;=PT_MinHours,"PT","None"),IFERROR(VLOOKUP($F69,TypeTable,2,0),"None"))))</f>
        <v/>
      </c>
      <c r="AW69" s="11" t="str">
        <f aca="false">IF(AO69=0,"",IF($I69="","None",IF(IFERROR(VLOOKUP($I69,TypeTable,2,0),"None")="PT",IF(N($J69)&gt;=PT_MinHours,"PT","None"),IFERROR(VLOOKUP($I69,TypeTable,2,0),"None"))))</f>
        <v/>
      </c>
      <c r="AX69" s="11" t="str">
        <f aca="false">IF(AO69=0,"",IF($L69="","None",IF(IFERROR(VLOOKUP($L69,TypeTable,2,0),"None")="PT",IF(N($M69)&gt;=PT_MinHours,"PT","None"),IFERROR(VLOOKUP($L69,TypeTable,2,0),"None"))))</f>
        <v/>
      </c>
      <c r="AY69" s="11" t="str">
        <f aca="false">IF(AO69=0,"",IF(AS69&lt;&gt;"",AX69,IF(AR69&lt;&gt;"",AW69,AV69)))</f>
        <v/>
      </c>
      <c r="AZ69" s="11" t="str">
        <f aca="false">IF(AO69=0,"",IF(AV69="FT",IF(AT69&lt;FT_First,0,IF(AT69&lt;FT_Y5,1+INT((AT69-FT_First)/FT_Int1),FT_PreY5+FT_PerYear*INT((AT69-FT_Y5)/12)+FT_AnnivDays+INT(MOD(AT69-FT_Y5,12)/FT_Int2))),IF(AV69="PT",IF(AT69&lt;PT_First,0,1+INT((AT69-PT_First)/PT_Int)),0)))</f>
        <v/>
      </c>
      <c r="BA69" s="11" t="str">
        <f aca="false">IF(AO69=0,"",IF(AW69="FT",IF(AT69&lt;FT_First,0,IF(AT69&lt;FT_Y5,1+INT((AT69-FT_First)/FT_Int1),FT_PreY5+FT_PerYear*INT((AT69-FT_Y5)/12)+FT_AnnivDays+INT(MOD(AT69-FT_Y5,12)/FT_Int2))),IF(AW69="PT",IF(AT69&lt;PT_First,0,1+INT((AT69-PT_First)/PT_Int)),0)))</f>
        <v/>
      </c>
      <c r="BB69" s="11" t="str">
        <f aca="false">IF(AO69=0,"",IF(AW69="FT",IF(AU69&lt;FT_First,0,IF(AU69&lt;FT_Y5,1+INT((AU69-FT_First)/FT_Int1),FT_PreY5+FT_PerYear*INT((AU69-FT_Y5)/12)+FT_AnnivDays+INT(MOD(AU69-FT_Y5,12)/FT_Int2))),IF(AW69="PT",IF(AU69&lt;PT_First,0,1+INT((AU69-PT_First)/PT_Int)),0)))</f>
        <v/>
      </c>
      <c r="BC69" s="11" t="str">
        <f aca="false">IF(AO69=0,"",IF(AX69="FT",IF(AU69&lt;FT_First,0,IF(AU69&lt;FT_Y5,1+INT((AU69-FT_First)/FT_Int1),FT_PreY5+FT_PerYear*INT((AU69-FT_Y5)/12)+FT_AnnivDays+INT(MOD(AU69-FT_Y5,12)/FT_Int2))),IF(AX69="PT",IF(AU69&lt;PT_First,0,1+INT((AU69-PT_First)/PT_Int)),0)))</f>
        <v/>
      </c>
      <c r="BD69" s="11" t="str">
        <f aca="false">IF(AO69=0,"",IF(AX69="FT",IF(AQ69&lt;FT_First,0,IF(AQ69&lt;FT_Y5,1+INT((AQ69-FT_First)/FT_Int1),FT_PreY5+FT_PerYear*INT((AQ69-FT_Y5)/12)+FT_AnnivDays+INT(MOD(AQ69-FT_Y5,12)/FT_Int2))),IF(AX69="PT",IF(AQ69&lt;PT_First,0,1+INT((AQ69-PT_First)/PT_Int)),0)))</f>
        <v/>
      </c>
      <c r="BE69" s="11" t="str">
        <f aca="false">IF(AO69=0,"",IF(AY69="FT",IF(AQ69&lt;FT_First,FT_First,IF(AQ69&lt;FT_Y5,MIN(FT_Y5,FT_First+FT_Int1*(INT((AQ69-FT_First)/FT_Int1)+1)),FT_Y5+12*INT((AQ69-FT_Y5)/12)+FT_Int2*(INT(MOD(AQ69-FT_Y5,12)/FT_Int2)+1))),IF(AY69="PT",IF(AQ69&lt;PT_First,PT_First,PT_First+PT_Int*(INT((AQ69-PT_First)/PT_Int)+1)),"")))</f>
        <v/>
      </c>
      <c r="BF69" s="11" t="n">
        <f aca="false">IF(AO69=0,0,IF(AND($Q69&lt;&gt;"",$Q69&lt;=AsOfDate),1,0))</f>
        <v>0</v>
      </c>
      <c r="BG69" s="11" t="str">
        <f aca="false">IF(AND(AO69=1,BF69=0,EH_Ready,N(AB69)&gt;0,N(AI69)=0),COUNT($BG$5:BG68)+1,"")</f>
        <v/>
      </c>
      <c r="BH69" s="11" t="str">
        <f aca="false">IF(AND(AO69=1,BF69=0,EH_Ready,N(AB69)&gt;0,N(AI69)&gt;0,N(AK69)&gt;0),COUNT($BH$5:BH68)+1,"")</f>
        <v/>
      </c>
      <c r="BI69" s="11" t="str">
        <f aca="false">IF(AND(AO69=1,OR(LEFT(AM69,3)="ADD",LEFT(AM69,3)="SET",LEFT(AM69,5)="CHECK",LEFT(AM69,10)="TERMINATED")),COUNT($BI$5:BI68)+1,"")</f>
        <v/>
      </c>
      <c r="BJ69" s="11" t="str">
        <f aca="false">IF(AO69=0,"",$A69&amp;" - "&amp;$B69&amp;" "&amp;$C69)</f>
        <v/>
      </c>
    </row>
    <row r="70" customFormat="false" ht="15" hidden="false" customHeight="false" outlineLevel="0" collapsed="false">
      <c r="A70" s="10"/>
      <c r="B70" s="10"/>
      <c r="C70" s="10"/>
      <c r="D70" s="10"/>
      <c r="E70" s="9"/>
      <c r="F70" s="10"/>
      <c r="G70" s="30"/>
      <c r="H70" s="9"/>
      <c r="I70" s="10"/>
      <c r="J70" s="30"/>
      <c r="K70" s="9"/>
      <c r="L70" s="10"/>
      <c r="M70" s="30"/>
      <c r="N70" s="9"/>
      <c r="O70" s="9"/>
      <c r="P70" s="30"/>
      <c r="Q70" s="9"/>
      <c r="R70" s="10"/>
      <c r="S70" s="11" t="str">
        <f aca="false">IF(AO70=0,"",IF($H70="","",$F70&amp;" -&gt; "&amp;$I70&amp;IF($I70="Part-Time"," ("&amp;N($J70)&amp;" hrs)","")&amp;" on "&amp;TEXT($H70,"dd/mm/yyyy")&amp;IF($H70&gt;AsOfDate," (FUTURE)","")&amp;IF($K70="","","; "&amp;$I70&amp;" -&gt; "&amp;$L70&amp;IF($L70="Part-Time"," ("&amp;N($M70)&amp;" hrs)","")&amp;" on "&amp;TEXT($K70,"dd/mm/yyyy")&amp;IF($K70&gt;AsOfDate," (FUTURE)",""))))</f>
        <v/>
      </c>
      <c r="T70" s="11" t="str">
        <f aca="false">IF(AO70=0,"",IF(AS70&lt;&gt;"",$L70,IF(AR70&lt;&gt;"",$I70,$F70)))</f>
        <v/>
      </c>
      <c r="U70" s="26" t="str">
        <f aca="false">IF(AO70=0,"",IF(AS70&lt;&gt;"",$M70,IF(AR70&lt;&gt;"",$J70,$G70)))</f>
        <v/>
      </c>
      <c r="V70" s="11" t="str">
        <f aca="false">IF(AO70=0,"",IF(AY70="FT","Full-Time",IF(AY70="PT","Part-Time","Not eligible")))</f>
        <v/>
      </c>
      <c r="W70" s="27" t="str">
        <f aca="false">IF(AO70=0,"",IF(AR70="",IF(AND($H70&lt;&gt;"",$H70&gt;AsOfDate),"Future change - not yet applied",""),IF(AND(AV70=AY70,OR(AS70="",AW70=AV70)),"Type changed - same accrual pathway",IF(AY70="None","STOPPED accruing from "&amp;TEXT(IF(AS70&lt;&gt;"",AS70,AR70),"dd/mm/yyyy"),IF(AV70="None","STARTED qualifying from "&amp;TEXT(IF(AS70&lt;&gt;"",AS70,AR70),"dd/mm/yyyy"),"Pathway changed "&amp;AV70&amp;" -&gt; "&amp;AW70&amp;IF(AS70&lt;&gt;""," -&gt; "&amp;AX70,"")&amp;" from "&amp;TEXT(IF(AS70&lt;&gt;"",AS70,AR70),"dd/mm/yyyy"))))))</f>
        <v/>
      </c>
      <c r="X70" s="28" t="str">
        <f aca="false">IF(AO70=0,"",IF($Q70="",AsOfDate,MIN(AsOfDate,$Q70)))</f>
        <v/>
      </c>
      <c r="Y70" s="26" t="str">
        <f aca="false">IF(AO70=0,"",MAX(0,AQ70))</f>
        <v/>
      </c>
      <c r="Z70" s="11" t="str">
        <f aca="false">IF(AO70=0,"",IF(AQ70&lt;0,"Not started",INT(AQ70/12)&amp;"y "&amp;MOD(AQ70,12)&amp;"m"))</f>
        <v/>
      </c>
      <c r="AA70" s="27" t="str">
        <f aca="false">IF(AO70=0,"",IF(BF70=1,"Terminated - balance forfeited",IF(AY70="None",IF(AB70&gt;0,"No longer accruing - "&amp;T70,"Not eligible - "&amp;T70&amp;IF(AND(IFERROR(VLOOKUP(T70,TypeTable,2,0),"None")="PT",N(U70)&lt;PT_MinHours)," (under "&amp;PT_MinHours&amp;" hrs)","")),IF(AB70&gt;0,"Yes - accruing","Not yet - qualifies "&amp;TEXT(AD70,"dd/mm/yyyy")))))</f>
        <v/>
      </c>
      <c r="AB70" s="26" t="str">
        <f aca="false">IF(AO70=0,"",AZ70+IF(AR70="",0,BB70-BA70)+IF(AS70="",0,BD70-BC70))</f>
        <v/>
      </c>
      <c r="AC70" s="26" t="str">
        <f aca="false">IF(AO70=0,"",AB70*HoursPerDay)</f>
        <v/>
      </c>
      <c r="AD70" s="28" t="str">
        <f aca="false">IF(AO70=0,"",IF(OR(BF70=1,AY70="None"),"",EDATE($E70+AP70,BE70)))</f>
        <v/>
      </c>
      <c r="AE70" s="26" t="str">
        <f aca="false">IF(AD70="","",IF(AY70="PT",1,IF(BE70&lt;FT_Y5,1,IF(MOD(BE70-FT_Y5,12)=0,FT_AnnivDays,1))))</f>
        <v/>
      </c>
      <c r="AF70" s="27" t="str">
        <f aca="false">IF(AO70=0,"",IF(NOT(EH_Ready),"Map headers",IF(IF(MatchMode="Employee ID",COUNTIFS(INDEX(EH_Data,0,EH_ColID),$A70,INDEX(EH_Data,0,EH_ColCat),BonusCat),COUNTIFS(INDEX(EH_Data,0,EH_ColFirst),$B70,INDEX(EH_Data,0,EH_ColSur),$C70,INDEX(EH_Data,0,EH_ColCat),BonusCat))&gt;0,"Yes","No")))</f>
        <v/>
      </c>
      <c r="AG70" s="26" t="str">
        <f aca="false">IF(AO70=0,"",IF(NOT(EH_Ready),"",IF(MatchMode="Employee ID",SUMIFS(INDEX(EH_Data,0,EH_ColBal),INDEX(EH_Data,0,EH_ColID),$A70,INDEX(EH_Data,0,EH_ColCat),BonusCat),SUMIFS(INDEX(EH_Data,0,EH_ColBal),INDEX(EH_Data,0,EH_ColFirst),$B70,INDEX(EH_Data,0,EH_ColSur),$C70,INDEX(EH_Data,0,EH_ColCat),BonusCat))/IF(EHUnit="Hours",HoursPerDay,1)))</f>
        <v/>
      </c>
      <c r="AH70" s="26" t="str">
        <f aca="false">IF(AO70=0,"",IF(NOT(TK_Ready),0,IF(MatchMode="Employee ID",SUMIFS(INDEX(TK_Data,0,TK_ColAmt),INDEX(TK_Data,0,TK_ColID),$A70,INDEX(TK_Data,0,TK_ColCat),BonusCat),SUMIFS(INDEX(TK_Data,0,TK_ColAmt),INDEX(TK_Data,0,TK_ColFirst),$B70,INDEX(TK_Data,0,TK_ColSur),$C70,INDEX(TK_Data,0,TK_ColCat),BonusCat))/IF(TKUnit="Hours",HoursPerDay,1)))</f>
        <v/>
      </c>
      <c r="AI70" s="26" t="str">
        <f aca="false">IF(AO70=0,"",N(AG70)+N(AH70))</f>
        <v/>
      </c>
      <c r="AJ70" s="29" t="str">
        <f aca="false">IF(AO70=0,"",IF(NOT(AND(EH_Ready,EH_ValReady)),"",IF(MatchMode="Employee ID",SUMIFS(INDEX(EH_Data,0,EH_ColVal),INDEX(EH_Data,0,EH_ColID),$A70,INDEX(EH_Data,0,EH_ColCat),BonusCat),SUMIFS(INDEX(EH_Data,0,EH_ColVal),INDEX(EH_Data,0,EH_ColFirst),$B70,INDEX(EH_Data,0,EH_ColSur),$C70,INDEX(EH_Data,0,EH_ColCat),BonusCat))))</f>
        <v/>
      </c>
      <c r="AK70" s="26" t="str">
        <f aca="false">IF(AO70=0,"",IF(OR(NOT(EH_Ready),BF70=1),"",AB70-AI70))</f>
        <v/>
      </c>
      <c r="AL70" s="26" t="str">
        <f aca="false">IF(AK70="","",AK70*HoursPerDay)</f>
        <v/>
      </c>
      <c r="AM70" s="27" t="str">
        <f aca="false">IF(AO70=0,"",IF(BF70=1,IF(N(AG70)&gt;0,"TERMINATED - forfeit "&amp;TEXT(AG70,"0.##")&amp;" days still in EH","Terminated - nothing in EH"),IF(NOT(EH_Ready),"Paste EH export and map headers on Settings",IF(AND(AB70&gt;0,AF70="No"),"SET UP in EH - add "&amp;TEXT(AB70,"0.##")&amp;" day(s) ("&amp;TEXT(AC70,"0.##")&amp;" hrs)",IF(AK70&gt;0,"ADD "&amp;TEXT(AK70,"0.##")&amp;" day(s) ("&amp;TEXT(AL70,"0.##")&amp;" hrs) in EH",IF(AK70&lt;0,"CHECK - EH shows "&amp;TEXT(-AK70,"0.##")&amp;" days more than policy",IF(AB70&gt;0,"OK - up to date",IF(AY70="None","No action - not eligible","No action - not yet qualified"))))))))</f>
        <v/>
      </c>
      <c r="AN70" s="27" t="str">
        <f aca="false">IF(AO70=0,"",TRIM(IF(AND($K70&lt;&gt;"",$H70=""),"Change 2 entered without Change 1. ","")&amp;IF(AND($K70&lt;&gt;"",$H70&lt;&gt;"",$K70&lt;=$H70),"Change 2 date not after Change 1. ","")&amp;IF(AND($N70&lt;&gt;"",$O70&lt;&gt;"",$O70&lt;$N70),"Leave To is before Leave From. ","")&amp;IF(AND($N70&lt;&gt;"",$O70=""),"Leave From entered without Leave To. ","")&amp;IF(AND(IFERROR(VLOOKUP(T70,TypeTable,2,0),"None")="PT",U70=""),"Part-time with no hours entered. ","")&amp;IF(AND($H70&lt;&gt;"",$H70&gt;AsOfDate,AD70&lt;&gt;"",$H70&lt;=AD70),"Status change lands before next accrual - review. ","")&amp;IF(AND($Q70&lt;&gt;"",$Q70&lt;$E70),"Termination before commencement. ","")))</f>
        <v/>
      </c>
      <c r="AO70" s="11" t="n">
        <f aca="false">IF(LEN($A70&amp;$B70&amp;$C70)=0,0,IF($E70="",0,1))</f>
        <v>0</v>
      </c>
      <c r="AP70" s="11" t="str">
        <f aca="false">IF(AO70=0,"",(IF(OR($N70="",$O70=""),0,MAX(0,MIN(X70,$O70)-MAX($N70,$E70)+1))+N($P70)))</f>
        <v/>
      </c>
      <c r="AQ70" s="11" t="str">
        <f aca="false">IF(AO70=0,"",IF(X70&lt;($E70+(IF(OR($N70="",$O70=""),0,MAX(0,MIN(X70,$O70)-MAX($N70,$E70)+1))+N($P70))),-1,12*(YEAR(X70)-YEAR(($E70+(IF(OR($N70="",$O70=""),0,MAX(0,MIN(X70,$O70)-MAX($N70,$E70)+1))+N($P70)))))+MONTH(X70)-MONTH(($E70+(IF(OR($N70="",$O70=""),0,MAX(0,MIN(X70,$O70)-MAX($N70,$E70)+1))+N($P70))))-IF(DAY(X70)&lt;MIN(DAY(($E70+(IF(OR($N70="",$O70=""),0,MAX(0,MIN(X70,$O70)-MAX($N70,$E70)+1))+N($P70)))),DAY(EOMONTH(X70,0))),1,0)))</f>
        <v/>
      </c>
      <c r="AR70" s="28" t="str">
        <f aca="false">IF(AO70=0,"",IF($H70="","",IF($H70&gt;X70,"",$H70)))</f>
        <v/>
      </c>
      <c r="AS70" s="28" t="str">
        <f aca="false">IF(AO70=0,"",IF(AR70="","",IF($K70="","",IF($K70&gt;X70,"",$K70))))</f>
        <v/>
      </c>
      <c r="AT70" s="11" t="str">
        <f aca="false">IF(AO70=0,"",IF(AR70="",AQ70,IF((AR70-1)&lt;($E70+(IF(OR($N70="",$O70=""),0,MAX(0,MIN((AR70-1),$O70)-MAX($N70,$E70)+1))+N($P70))),-1,12*(YEAR((AR70-1))-YEAR(($E70+(IF(OR($N70="",$O70=""),0,MAX(0,MIN((AR70-1),$O70)-MAX($N70,$E70)+1))+N($P70)))))+MONTH((AR70-1))-MONTH(($E70+(IF(OR($N70="",$O70=""),0,MAX(0,MIN((AR70-1),$O70)-MAX($N70,$E70)+1))+N($P70))))-IF(DAY((AR70-1))&lt;MIN(DAY(($E70+(IF(OR($N70="",$O70=""),0,MAX(0,MIN((AR70-1),$O70)-MAX($N70,$E70)+1))+N($P70)))),DAY(EOMONTH((AR70-1),0))),1,0))))</f>
        <v/>
      </c>
      <c r="AU70" s="11" t="str">
        <f aca="false">IF(AO70=0,"",IF(AS70="",AQ70,IF((AS70-1)&lt;($E70+(IF(OR($N70="",$O70=""),0,MAX(0,MIN((AS70-1),$O70)-MAX($N70,$E70)+1))+N($P70))),-1,12*(YEAR((AS70-1))-YEAR(($E70+(IF(OR($N70="",$O70=""),0,MAX(0,MIN((AS70-1),$O70)-MAX($N70,$E70)+1))+N($P70)))))+MONTH((AS70-1))-MONTH(($E70+(IF(OR($N70="",$O70=""),0,MAX(0,MIN((AS70-1),$O70)-MAX($N70,$E70)+1))+N($P70))))-IF(DAY((AS70-1))&lt;MIN(DAY(($E70+(IF(OR($N70="",$O70=""),0,MAX(0,MIN((AS70-1),$O70)-MAX($N70,$E70)+1))+N($P70)))),DAY(EOMONTH((AS70-1),0))),1,0))))</f>
        <v/>
      </c>
      <c r="AV70" s="11" t="str">
        <f aca="false">IF(AO70=0,"",IF($F70="","None",IF(IFERROR(VLOOKUP($F70,TypeTable,2,0),"None")="PT",IF(N($G70)&gt;=PT_MinHours,"PT","None"),IFERROR(VLOOKUP($F70,TypeTable,2,0),"None"))))</f>
        <v/>
      </c>
      <c r="AW70" s="11" t="str">
        <f aca="false">IF(AO70=0,"",IF($I70="","None",IF(IFERROR(VLOOKUP($I70,TypeTable,2,0),"None")="PT",IF(N($J70)&gt;=PT_MinHours,"PT","None"),IFERROR(VLOOKUP($I70,TypeTable,2,0),"None"))))</f>
        <v/>
      </c>
      <c r="AX70" s="11" t="str">
        <f aca="false">IF(AO70=0,"",IF($L70="","None",IF(IFERROR(VLOOKUP($L70,TypeTable,2,0),"None")="PT",IF(N($M70)&gt;=PT_MinHours,"PT","None"),IFERROR(VLOOKUP($L70,TypeTable,2,0),"None"))))</f>
        <v/>
      </c>
      <c r="AY70" s="11" t="str">
        <f aca="false">IF(AO70=0,"",IF(AS70&lt;&gt;"",AX70,IF(AR70&lt;&gt;"",AW70,AV70)))</f>
        <v/>
      </c>
      <c r="AZ70" s="11" t="str">
        <f aca="false">IF(AO70=0,"",IF(AV70="FT",IF(AT70&lt;FT_First,0,IF(AT70&lt;FT_Y5,1+INT((AT70-FT_First)/FT_Int1),FT_PreY5+FT_PerYear*INT((AT70-FT_Y5)/12)+FT_AnnivDays+INT(MOD(AT70-FT_Y5,12)/FT_Int2))),IF(AV70="PT",IF(AT70&lt;PT_First,0,1+INT((AT70-PT_First)/PT_Int)),0)))</f>
        <v/>
      </c>
      <c r="BA70" s="11" t="str">
        <f aca="false">IF(AO70=0,"",IF(AW70="FT",IF(AT70&lt;FT_First,0,IF(AT70&lt;FT_Y5,1+INT((AT70-FT_First)/FT_Int1),FT_PreY5+FT_PerYear*INT((AT70-FT_Y5)/12)+FT_AnnivDays+INT(MOD(AT70-FT_Y5,12)/FT_Int2))),IF(AW70="PT",IF(AT70&lt;PT_First,0,1+INT((AT70-PT_First)/PT_Int)),0)))</f>
        <v/>
      </c>
      <c r="BB70" s="11" t="str">
        <f aca="false">IF(AO70=0,"",IF(AW70="FT",IF(AU70&lt;FT_First,0,IF(AU70&lt;FT_Y5,1+INT((AU70-FT_First)/FT_Int1),FT_PreY5+FT_PerYear*INT((AU70-FT_Y5)/12)+FT_AnnivDays+INT(MOD(AU70-FT_Y5,12)/FT_Int2))),IF(AW70="PT",IF(AU70&lt;PT_First,0,1+INT((AU70-PT_First)/PT_Int)),0)))</f>
        <v/>
      </c>
      <c r="BC70" s="11" t="str">
        <f aca="false">IF(AO70=0,"",IF(AX70="FT",IF(AU70&lt;FT_First,0,IF(AU70&lt;FT_Y5,1+INT((AU70-FT_First)/FT_Int1),FT_PreY5+FT_PerYear*INT((AU70-FT_Y5)/12)+FT_AnnivDays+INT(MOD(AU70-FT_Y5,12)/FT_Int2))),IF(AX70="PT",IF(AU70&lt;PT_First,0,1+INT((AU70-PT_First)/PT_Int)),0)))</f>
        <v/>
      </c>
      <c r="BD70" s="11" t="str">
        <f aca="false">IF(AO70=0,"",IF(AX70="FT",IF(AQ70&lt;FT_First,0,IF(AQ70&lt;FT_Y5,1+INT((AQ70-FT_First)/FT_Int1),FT_PreY5+FT_PerYear*INT((AQ70-FT_Y5)/12)+FT_AnnivDays+INT(MOD(AQ70-FT_Y5,12)/FT_Int2))),IF(AX70="PT",IF(AQ70&lt;PT_First,0,1+INT((AQ70-PT_First)/PT_Int)),0)))</f>
        <v/>
      </c>
      <c r="BE70" s="11" t="str">
        <f aca="false">IF(AO70=0,"",IF(AY70="FT",IF(AQ70&lt;FT_First,FT_First,IF(AQ70&lt;FT_Y5,MIN(FT_Y5,FT_First+FT_Int1*(INT((AQ70-FT_First)/FT_Int1)+1)),FT_Y5+12*INT((AQ70-FT_Y5)/12)+FT_Int2*(INT(MOD(AQ70-FT_Y5,12)/FT_Int2)+1))),IF(AY70="PT",IF(AQ70&lt;PT_First,PT_First,PT_First+PT_Int*(INT((AQ70-PT_First)/PT_Int)+1)),"")))</f>
        <v/>
      </c>
      <c r="BF70" s="11" t="n">
        <f aca="false">IF(AO70=0,0,IF(AND($Q70&lt;&gt;"",$Q70&lt;=AsOfDate),1,0))</f>
        <v>0</v>
      </c>
      <c r="BG70" s="11" t="str">
        <f aca="false">IF(AND(AO70=1,BF70=0,EH_Ready,N(AB70)&gt;0,N(AI70)=0),COUNT($BG$5:BG69)+1,"")</f>
        <v/>
      </c>
      <c r="BH70" s="11" t="str">
        <f aca="false">IF(AND(AO70=1,BF70=0,EH_Ready,N(AB70)&gt;0,N(AI70)&gt;0,N(AK70)&gt;0),COUNT($BH$5:BH69)+1,"")</f>
        <v/>
      </c>
      <c r="BI70" s="11" t="str">
        <f aca="false">IF(AND(AO70=1,OR(LEFT(AM70,3)="ADD",LEFT(AM70,3)="SET",LEFT(AM70,5)="CHECK",LEFT(AM70,10)="TERMINATED")),COUNT($BI$5:BI69)+1,"")</f>
        <v/>
      </c>
      <c r="BJ70" s="11" t="str">
        <f aca="false">IF(AO70=0,"",$A70&amp;" - "&amp;$B70&amp;" "&amp;$C70)</f>
        <v/>
      </c>
    </row>
    <row r="71" customFormat="false" ht="15" hidden="false" customHeight="false" outlineLevel="0" collapsed="false">
      <c r="A71" s="10"/>
      <c r="B71" s="10"/>
      <c r="C71" s="10"/>
      <c r="D71" s="10"/>
      <c r="E71" s="9"/>
      <c r="F71" s="10"/>
      <c r="G71" s="30"/>
      <c r="H71" s="9"/>
      <c r="I71" s="10"/>
      <c r="J71" s="30"/>
      <c r="K71" s="9"/>
      <c r="L71" s="10"/>
      <c r="M71" s="30"/>
      <c r="N71" s="9"/>
      <c r="O71" s="9"/>
      <c r="P71" s="30"/>
      <c r="Q71" s="9"/>
      <c r="R71" s="10"/>
      <c r="S71" s="11" t="str">
        <f aca="false">IF(AO71=0,"",IF($H71="","",$F71&amp;" -&gt; "&amp;$I71&amp;IF($I71="Part-Time"," ("&amp;N($J71)&amp;" hrs)","")&amp;" on "&amp;TEXT($H71,"dd/mm/yyyy")&amp;IF($H71&gt;AsOfDate," (FUTURE)","")&amp;IF($K71="","","; "&amp;$I71&amp;" -&gt; "&amp;$L71&amp;IF($L71="Part-Time"," ("&amp;N($M71)&amp;" hrs)","")&amp;" on "&amp;TEXT($K71,"dd/mm/yyyy")&amp;IF($K71&gt;AsOfDate," (FUTURE)",""))))</f>
        <v/>
      </c>
      <c r="T71" s="11" t="str">
        <f aca="false">IF(AO71=0,"",IF(AS71&lt;&gt;"",$L71,IF(AR71&lt;&gt;"",$I71,$F71)))</f>
        <v/>
      </c>
      <c r="U71" s="26" t="str">
        <f aca="false">IF(AO71=0,"",IF(AS71&lt;&gt;"",$M71,IF(AR71&lt;&gt;"",$J71,$G71)))</f>
        <v/>
      </c>
      <c r="V71" s="11" t="str">
        <f aca="false">IF(AO71=0,"",IF(AY71="FT","Full-Time",IF(AY71="PT","Part-Time","Not eligible")))</f>
        <v/>
      </c>
      <c r="W71" s="27" t="str">
        <f aca="false">IF(AO71=0,"",IF(AR71="",IF(AND($H71&lt;&gt;"",$H71&gt;AsOfDate),"Future change - not yet applied",""),IF(AND(AV71=AY71,OR(AS71="",AW71=AV71)),"Type changed - same accrual pathway",IF(AY71="None","STOPPED accruing from "&amp;TEXT(IF(AS71&lt;&gt;"",AS71,AR71),"dd/mm/yyyy"),IF(AV71="None","STARTED qualifying from "&amp;TEXT(IF(AS71&lt;&gt;"",AS71,AR71),"dd/mm/yyyy"),"Pathway changed "&amp;AV71&amp;" -&gt; "&amp;AW71&amp;IF(AS71&lt;&gt;""," -&gt; "&amp;AX71,"")&amp;" from "&amp;TEXT(IF(AS71&lt;&gt;"",AS71,AR71),"dd/mm/yyyy"))))))</f>
        <v/>
      </c>
      <c r="X71" s="28" t="str">
        <f aca="false">IF(AO71=0,"",IF($Q71="",AsOfDate,MIN(AsOfDate,$Q71)))</f>
        <v/>
      </c>
      <c r="Y71" s="26" t="str">
        <f aca="false">IF(AO71=0,"",MAX(0,AQ71))</f>
        <v/>
      </c>
      <c r="Z71" s="11" t="str">
        <f aca="false">IF(AO71=0,"",IF(AQ71&lt;0,"Not started",INT(AQ71/12)&amp;"y "&amp;MOD(AQ71,12)&amp;"m"))</f>
        <v/>
      </c>
      <c r="AA71" s="27" t="str">
        <f aca="false">IF(AO71=0,"",IF(BF71=1,"Terminated - balance forfeited",IF(AY71="None",IF(AB71&gt;0,"No longer accruing - "&amp;T71,"Not eligible - "&amp;T71&amp;IF(AND(IFERROR(VLOOKUP(T71,TypeTable,2,0),"None")="PT",N(U71)&lt;PT_MinHours)," (under "&amp;PT_MinHours&amp;" hrs)","")),IF(AB71&gt;0,"Yes - accruing","Not yet - qualifies "&amp;TEXT(AD71,"dd/mm/yyyy")))))</f>
        <v/>
      </c>
      <c r="AB71" s="26" t="str">
        <f aca="false">IF(AO71=0,"",AZ71+IF(AR71="",0,BB71-BA71)+IF(AS71="",0,BD71-BC71))</f>
        <v/>
      </c>
      <c r="AC71" s="26" t="str">
        <f aca="false">IF(AO71=0,"",AB71*HoursPerDay)</f>
        <v/>
      </c>
      <c r="AD71" s="28" t="str">
        <f aca="false">IF(AO71=0,"",IF(OR(BF71=1,AY71="None"),"",EDATE($E71+AP71,BE71)))</f>
        <v/>
      </c>
      <c r="AE71" s="26" t="str">
        <f aca="false">IF(AD71="","",IF(AY71="PT",1,IF(BE71&lt;FT_Y5,1,IF(MOD(BE71-FT_Y5,12)=0,FT_AnnivDays,1))))</f>
        <v/>
      </c>
      <c r="AF71" s="27" t="str">
        <f aca="false">IF(AO71=0,"",IF(NOT(EH_Ready),"Map headers",IF(IF(MatchMode="Employee ID",COUNTIFS(INDEX(EH_Data,0,EH_ColID),$A71,INDEX(EH_Data,0,EH_ColCat),BonusCat),COUNTIFS(INDEX(EH_Data,0,EH_ColFirst),$B71,INDEX(EH_Data,0,EH_ColSur),$C71,INDEX(EH_Data,0,EH_ColCat),BonusCat))&gt;0,"Yes","No")))</f>
        <v/>
      </c>
      <c r="AG71" s="26" t="str">
        <f aca="false">IF(AO71=0,"",IF(NOT(EH_Ready),"",IF(MatchMode="Employee ID",SUMIFS(INDEX(EH_Data,0,EH_ColBal),INDEX(EH_Data,0,EH_ColID),$A71,INDEX(EH_Data,0,EH_ColCat),BonusCat),SUMIFS(INDEX(EH_Data,0,EH_ColBal),INDEX(EH_Data,0,EH_ColFirst),$B71,INDEX(EH_Data,0,EH_ColSur),$C71,INDEX(EH_Data,0,EH_ColCat),BonusCat))/IF(EHUnit="Hours",HoursPerDay,1)))</f>
        <v/>
      </c>
      <c r="AH71" s="26" t="str">
        <f aca="false">IF(AO71=0,"",IF(NOT(TK_Ready),0,IF(MatchMode="Employee ID",SUMIFS(INDEX(TK_Data,0,TK_ColAmt),INDEX(TK_Data,0,TK_ColID),$A71,INDEX(TK_Data,0,TK_ColCat),BonusCat),SUMIFS(INDEX(TK_Data,0,TK_ColAmt),INDEX(TK_Data,0,TK_ColFirst),$B71,INDEX(TK_Data,0,TK_ColSur),$C71,INDEX(TK_Data,0,TK_ColCat),BonusCat))/IF(TKUnit="Hours",HoursPerDay,1)))</f>
        <v/>
      </c>
      <c r="AI71" s="26" t="str">
        <f aca="false">IF(AO71=0,"",N(AG71)+N(AH71))</f>
        <v/>
      </c>
      <c r="AJ71" s="29" t="str">
        <f aca="false">IF(AO71=0,"",IF(NOT(AND(EH_Ready,EH_ValReady)),"",IF(MatchMode="Employee ID",SUMIFS(INDEX(EH_Data,0,EH_ColVal),INDEX(EH_Data,0,EH_ColID),$A71,INDEX(EH_Data,0,EH_ColCat),BonusCat),SUMIFS(INDEX(EH_Data,0,EH_ColVal),INDEX(EH_Data,0,EH_ColFirst),$B71,INDEX(EH_Data,0,EH_ColSur),$C71,INDEX(EH_Data,0,EH_ColCat),BonusCat))))</f>
        <v/>
      </c>
      <c r="AK71" s="26" t="str">
        <f aca="false">IF(AO71=0,"",IF(OR(NOT(EH_Ready),BF71=1),"",AB71-AI71))</f>
        <v/>
      </c>
      <c r="AL71" s="26" t="str">
        <f aca="false">IF(AK71="","",AK71*HoursPerDay)</f>
        <v/>
      </c>
      <c r="AM71" s="27" t="str">
        <f aca="false">IF(AO71=0,"",IF(BF71=1,IF(N(AG71)&gt;0,"TERMINATED - forfeit "&amp;TEXT(AG71,"0.##")&amp;" days still in EH","Terminated - nothing in EH"),IF(NOT(EH_Ready),"Paste EH export and map headers on Settings",IF(AND(AB71&gt;0,AF71="No"),"SET UP in EH - add "&amp;TEXT(AB71,"0.##")&amp;" day(s) ("&amp;TEXT(AC71,"0.##")&amp;" hrs)",IF(AK71&gt;0,"ADD "&amp;TEXT(AK71,"0.##")&amp;" day(s) ("&amp;TEXT(AL71,"0.##")&amp;" hrs) in EH",IF(AK71&lt;0,"CHECK - EH shows "&amp;TEXT(-AK71,"0.##")&amp;" days more than policy",IF(AB71&gt;0,"OK - up to date",IF(AY71="None","No action - not eligible","No action - not yet qualified"))))))))</f>
        <v/>
      </c>
      <c r="AN71" s="27" t="str">
        <f aca="false">IF(AO71=0,"",TRIM(IF(AND($K71&lt;&gt;"",$H71=""),"Change 2 entered without Change 1. ","")&amp;IF(AND($K71&lt;&gt;"",$H71&lt;&gt;"",$K71&lt;=$H71),"Change 2 date not after Change 1. ","")&amp;IF(AND($N71&lt;&gt;"",$O71&lt;&gt;"",$O71&lt;$N71),"Leave To is before Leave From. ","")&amp;IF(AND($N71&lt;&gt;"",$O71=""),"Leave From entered without Leave To. ","")&amp;IF(AND(IFERROR(VLOOKUP(T71,TypeTable,2,0),"None")="PT",U71=""),"Part-time with no hours entered. ","")&amp;IF(AND($H71&lt;&gt;"",$H71&gt;AsOfDate,AD71&lt;&gt;"",$H71&lt;=AD71),"Status change lands before next accrual - review. ","")&amp;IF(AND($Q71&lt;&gt;"",$Q71&lt;$E71),"Termination before commencement. ","")))</f>
        <v/>
      </c>
      <c r="AO71" s="11" t="n">
        <f aca="false">IF(LEN($A71&amp;$B71&amp;$C71)=0,0,IF($E71="",0,1))</f>
        <v>0</v>
      </c>
      <c r="AP71" s="11" t="str">
        <f aca="false">IF(AO71=0,"",(IF(OR($N71="",$O71=""),0,MAX(0,MIN(X71,$O71)-MAX($N71,$E71)+1))+N($P71)))</f>
        <v/>
      </c>
      <c r="AQ71" s="11" t="str">
        <f aca="false">IF(AO71=0,"",IF(X71&lt;($E71+(IF(OR($N71="",$O71=""),0,MAX(0,MIN(X71,$O71)-MAX($N71,$E71)+1))+N($P71))),-1,12*(YEAR(X71)-YEAR(($E71+(IF(OR($N71="",$O71=""),0,MAX(0,MIN(X71,$O71)-MAX($N71,$E71)+1))+N($P71)))))+MONTH(X71)-MONTH(($E71+(IF(OR($N71="",$O71=""),0,MAX(0,MIN(X71,$O71)-MAX($N71,$E71)+1))+N($P71))))-IF(DAY(X71)&lt;MIN(DAY(($E71+(IF(OR($N71="",$O71=""),0,MAX(0,MIN(X71,$O71)-MAX($N71,$E71)+1))+N($P71)))),DAY(EOMONTH(X71,0))),1,0)))</f>
        <v/>
      </c>
      <c r="AR71" s="28" t="str">
        <f aca="false">IF(AO71=0,"",IF($H71="","",IF($H71&gt;X71,"",$H71)))</f>
        <v/>
      </c>
      <c r="AS71" s="28" t="str">
        <f aca="false">IF(AO71=0,"",IF(AR71="","",IF($K71="","",IF($K71&gt;X71,"",$K71))))</f>
        <v/>
      </c>
      <c r="AT71" s="11" t="str">
        <f aca="false">IF(AO71=0,"",IF(AR71="",AQ71,IF((AR71-1)&lt;($E71+(IF(OR($N71="",$O71=""),0,MAX(0,MIN((AR71-1),$O71)-MAX($N71,$E71)+1))+N($P71))),-1,12*(YEAR((AR71-1))-YEAR(($E71+(IF(OR($N71="",$O71=""),0,MAX(0,MIN((AR71-1),$O71)-MAX($N71,$E71)+1))+N($P71)))))+MONTH((AR71-1))-MONTH(($E71+(IF(OR($N71="",$O71=""),0,MAX(0,MIN((AR71-1),$O71)-MAX($N71,$E71)+1))+N($P71))))-IF(DAY((AR71-1))&lt;MIN(DAY(($E71+(IF(OR($N71="",$O71=""),0,MAX(0,MIN((AR71-1),$O71)-MAX($N71,$E71)+1))+N($P71)))),DAY(EOMONTH((AR71-1),0))),1,0))))</f>
        <v/>
      </c>
      <c r="AU71" s="11" t="str">
        <f aca="false">IF(AO71=0,"",IF(AS71="",AQ71,IF((AS71-1)&lt;($E71+(IF(OR($N71="",$O71=""),0,MAX(0,MIN((AS71-1),$O71)-MAX($N71,$E71)+1))+N($P71))),-1,12*(YEAR((AS71-1))-YEAR(($E71+(IF(OR($N71="",$O71=""),0,MAX(0,MIN((AS71-1),$O71)-MAX($N71,$E71)+1))+N($P71)))))+MONTH((AS71-1))-MONTH(($E71+(IF(OR($N71="",$O71=""),0,MAX(0,MIN((AS71-1),$O71)-MAX($N71,$E71)+1))+N($P71))))-IF(DAY((AS71-1))&lt;MIN(DAY(($E71+(IF(OR($N71="",$O71=""),0,MAX(0,MIN((AS71-1),$O71)-MAX($N71,$E71)+1))+N($P71)))),DAY(EOMONTH((AS71-1),0))),1,0))))</f>
        <v/>
      </c>
      <c r="AV71" s="11" t="str">
        <f aca="false">IF(AO71=0,"",IF($F71="","None",IF(IFERROR(VLOOKUP($F71,TypeTable,2,0),"None")="PT",IF(N($G71)&gt;=PT_MinHours,"PT","None"),IFERROR(VLOOKUP($F71,TypeTable,2,0),"None"))))</f>
        <v/>
      </c>
      <c r="AW71" s="11" t="str">
        <f aca="false">IF(AO71=0,"",IF($I71="","None",IF(IFERROR(VLOOKUP($I71,TypeTable,2,0),"None")="PT",IF(N($J71)&gt;=PT_MinHours,"PT","None"),IFERROR(VLOOKUP($I71,TypeTable,2,0),"None"))))</f>
        <v/>
      </c>
      <c r="AX71" s="11" t="str">
        <f aca="false">IF(AO71=0,"",IF($L71="","None",IF(IFERROR(VLOOKUP($L71,TypeTable,2,0),"None")="PT",IF(N($M71)&gt;=PT_MinHours,"PT","None"),IFERROR(VLOOKUP($L71,TypeTable,2,0),"None"))))</f>
        <v/>
      </c>
      <c r="AY71" s="11" t="str">
        <f aca="false">IF(AO71=0,"",IF(AS71&lt;&gt;"",AX71,IF(AR71&lt;&gt;"",AW71,AV71)))</f>
        <v/>
      </c>
      <c r="AZ71" s="11" t="str">
        <f aca="false">IF(AO71=0,"",IF(AV71="FT",IF(AT71&lt;FT_First,0,IF(AT71&lt;FT_Y5,1+INT((AT71-FT_First)/FT_Int1),FT_PreY5+FT_PerYear*INT((AT71-FT_Y5)/12)+FT_AnnivDays+INT(MOD(AT71-FT_Y5,12)/FT_Int2))),IF(AV71="PT",IF(AT71&lt;PT_First,0,1+INT((AT71-PT_First)/PT_Int)),0)))</f>
        <v/>
      </c>
      <c r="BA71" s="11" t="str">
        <f aca="false">IF(AO71=0,"",IF(AW71="FT",IF(AT71&lt;FT_First,0,IF(AT71&lt;FT_Y5,1+INT((AT71-FT_First)/FT_Int1),FT_PreY5+FT_PerYear*INT((AT71-FT_Y5)/12)+FT_AnnivDays+INT(MOD(AT71-FT_Y5,12)/FT_Int2))),IF(AW71="PT",IF(AT71&lt;PT_First,0,1+INT((AT71-PT_First)/PT_Int)),0)))</f>
        <v/>
      </c>
      <c r="BB71" s="11" t="str">
        <f aca="false">IF(AO71=0,"",IF(AW71="FT",IF(AU71&lt;FT_First,0,IF(AU71&lt;FT_Y5,1+INT((AU71-FT_First)/FT_Int1),FT_PreY5+FT_PerYear*INT((AU71-FT_Y5)/12)+FT_AnnivDays+INT(MOD(AU71-FT_Y5,12)/FT_Int2))),IF(AW71="PT",IF(AU71&lt;PT_First,0,1+INT((AU71-PT_First)/PT_Int)),0)))</f>
        <v/>
      </c>
      <c r="BC71" s="11" t="str">
        <f aca="false">IF(AO71=0,"",IF(AX71="FT",IF(AU71&lt;FT_First,0,IF(AU71&lt;FT_Y5,1+INT((AU71-FT_First)/FT_Int1),FT_PreY5+FT_PerYear*INT((AU71-FT_Y5)/12)+FT_AnnivDays+INT(MOD(AU71-FT_Y5,12)/FT_Int2))),IF(AX71="PT",IF(AU71&lt;PT_First,0,1+INT((AU71-PT_First)/PT_Int)),0)))</f>
        <v/>
      </c>
      <c r="BD71" s="11" t="str">
        <f aca="false">IF(AO71=0,"",IF(AX71="FT",IF(AQ71&lt;FT_First,0,IF(AQ71&lt;FT_Y5,1+INT((AQ71-FT_First)/FT_Int1),FT_PreY5+FT_PerYear*INT((AQ71-FT_Y5)/12)+FT_AnnivDays+INT(MOD(AQ71-FT_Y5,12)/FT_Int2))),IF(AX71="PT",IF(AQ71&lt;PT_First,0,1+INT((AQ71-PT_First)/PT_Int)),0)))</f>
        <v/>
      </c>
      <c r="BE71" s="11" t="str">
        <f aca="false">IF(AO71=0,"",IF(AY71="FT",IF(AQ71&lt;FT_First,FT_First,IF(AQ71&lt;FT_Y5,MIN(FT_Y5,FT_First+FT_Int1*(INT((AQ71-FT_First)/FT_Int1)+1)),FT_Y5+12*INT((AQ71-FT_Y5)/12)+FT_Int2*(INT(MOD(AQ71-FT_Y5,12)/FT_Int2)+1))),IF(AY71="PT",IF(AQ71&lt;PT_First,PT_First,PT_First+PT_Int*(INT((AQ71-PT_First)/PT_Int)+1)),"")))</f>
        <v/>
      </c>
      <c r="BF71" s="11" t="n">
        <f aca="false">IF(AO71=0,0,IF(AND($Q71&lt;&gt;"",$Q71&lt;=AsOfDate),1,0))</f>
        <v>0</v>
      </c>
      <c r="BG71" s="11" t="str">
        <f aca="false">IF(AND(AO71=1,BF71=0,EH_Ready,N(AB71)&gt;0,N(AI71)=0),COUNT($BG$5:BG70)+1,"")</f>
        <v/>
      </c>
      <c r="BH71" s="11" t="str">
        <f aca="false">IF(AND(AO71=1,BF71=0,EH_Ready,N(AB71)&gt;0,N(AI71)&gt;0,N(AK71)&gt;0),COUNT($BH$5:BH70)+1,"")</f>
        <v/>
      </c>
      <c r="BI71" s="11" t="str">
        <f aca="false">IF(AND(AO71=1,OR(LEFT(AM71,3)="ADD",LEFT(AM71,3)="SET",LEFT(AM71,5)="CHECK",LEFT(AM71,10)="TERMINATED")),COUNT($BI$5:BI70)+1,"")</f>
        <v/>
      </c>
      <c r="BJ71" s="11" t="str">
        <f aca="false">IF(AO71=0,"",$A71&amp;" - "&amp;$B71&amp;" "&amp;$C71)</f>
        <v/>
      </c>
    </row>
    <row r="72" customFormat="false" ht="15" hidden="false" customHeight="false" outlineLevel="0" collapsed="false">
      <c r="A72" s="10"/>
      <c r="B72" s="10"/>
      <c r="C72" s="10"/>
      <c r="D72" s="10"/>
      <c r="E72" s="9"/>
      <c r="F72" s="10"/>
      <c r="G72" s="30"/>
      <c r="H72" s="9"/>
      <c r="I72" s="10"/>
      <c r="J72" s="30"/>
      <c r="K72" s="9"/>
      <c r="L72" s="10"/>
      <c r="M72" s="30"/>
      <c r="N72" s="9"/>
      <c r="O72" s="9"/>
      <c r="P72" s="30"/>
      <c r="Q72" s="9"/>
      <c r="R72" s="10"/>
      <c r="S72" s="11" t="str">
        <f aca="false">IF(AO72=0,"",IF($H72="","",$F72&amp;" -&gt; "&amp;$I72&amp;IF($I72="Part-Time"," ("&amp;N($J72)&amp;" hrs)","")&amp;" on "&amp;TEXT($H72,"dd/mm/yyyy")&amp;IF($H72&gt;AsOfDate," (FUTURE)","")&amp;IF($K72="","","; "&amp;$I72&amp;" -&gt; "&amp;$L72&amp;IF($L72="Part-Time"," ("&amp;N($M72)&amp;" hrs)","")&amp;" on "&amp;TEXT($K72,"dd/mm/yyyy")&amp;IF($K72&gt;AsOfDate," (FUTURE)",""))))</f>
        <v/>
      </c>
      <c r="T72" s="11" t="str">
        <f aca="false">IF(AO72=0,"",IF(AS72&lt;&gt;"",$L72,IF(AR72&lt;&gt;"",$I72,$F72)))</f>
        <v/>
      </c>
      <c r="U72" s="26" t="str">
        <f aca="false">IF(AO72=0,"",IF(AS72&lt;&gt;"",$M72,IF(AR72&lt;&gt;"",$J72,$G72)))</f>
        <v/>
      </c>
      <c r="V72" s="11" t="str">
        <f aca="false">IF(AO72=0,"",IF(AY72="FT","Full-Time",IF(AY72="PT","Part-Time","Not eligible")))</f>
        <v/>
      </c>
      <c r="W72" s="27" t="str">
        <f aca="false">IF(AO72=0,"",IF(AR72="",IF(AND($H72&lt;&gt;"",$H72&gt;AsOfDate),"Future change - not yet applied",""),IF(AND(AV72=AY72,OR(AS72="",AW72=AV72)),"Type changed - same accrual pathway",IF(AY72="None","STOPPED accruing from "&amp;TEXT(IF(AS72&lt;&gt;"",AS72,AR72),"dd/mm/yyyy"),IF(AV72="None","STARTED qualifying from "&amp;TEXT(IF(AS72&lt;&gt;"",AS72,AR72),"dd/mm/yyyy"),"Pathway changed "&amp;AV72&amp;" -&gt; "&amp;AW72&amp;IF(AS72&lt;&gt;""," -&gt; "&amp;AX72,"")&amp;" from "&amp;TEXT(IF(AS72&lt;&gt;"",AS72,AR72),"dd/mm/yyyy"))))))</f>
        <v/>
      </c>
      <c r="X72" s="28" t="str">
        <f aca="false">IF(AO72=0,"",IF($Q72="",AsOfDate,MIN(AsOfDate,$Q72)))</f>
        <v/>
      </c>
      <c r="Y72" s="26" t="str">
        <f aca="false">IF(AO72=0,"",MAX(0,AQ72))</f>
        <v/>
      </c>
      <c r="Z72" s="11" t="str">
        <f aca="false">IF(AO72=0,"",IF(AQ72&lt;0,"Not started",INT(AQ72/12)&amp;"y "&amp;MOD(AQ72,12)&amp;"m"))</f>
        <v/>
      </c>
      <c r="AA72" s="27" t="str">
        <f aca="false">IF(AO72=0,"",IF(BF72=1,"Terminated - balance forfeited",IF(AY72="None",IF(AB72&gt;0,"No longer accruing - "&amp;T72,"Not eligible - "&amp;T72&amp;IF(AND(IFERROR(VLOOKUP(T72,TypeTable,2,0),"None")="PT",N(U72)&lt;PT_MinHours)," (under "&amp;PT_MinHours&amp;" hrs)","")),IF(AB72&gt;0,"Yes - accruing","Not yet - qualifies "&amp;TEXT(AD72,"dd/mm/yyyy")))))</f>
        <v/>
      </c>
      <c r="AB72" s="26" t="str">
        <f aca="false">IF(AO72=0,"",AZ72+IF(AR72="",0,BB72-BA72)+IF(AS72="",0,BD72-BC72))</f>
        <v/>
      </c>
      <c r="AC72" s="26" t="str">
        <f aca="false">IF(AO72=0,"",AB72*HoursPerDay)</f>
        <v/>
      </c>
      <c r="AD72" s="28" t="str">
        <f aca="false">IF(AO72=0,"",IF(OR(BF72=1,AY72="None"),"",EDATE($E72+AP72,BE72)))</f>
        <v/>
      </c>
      <c r="AE72" s="26" t="str">
        <f aca="false">IF(AD72="","",IF(AY72="PT",1,IF(BE72&lt;FT_Y5,1,IF(MOD(BE72-FT_Y5,12)=0,FT_AnnivDays,1))))</f>
        <v/>
      </c>
      <c r="AF72" s="27" t="str">
        <f aca="false">IF(AO72=0,"",IF(NOT(EH_Ready),"Map headers",IF(IF(MatchMode="Employee ID",COUNTIFS(INDEX(EH_Data,0,EH_ColID),$A72,INDEX(EH_Data,0,EH_ColCat),BonusCat),COUNTIFS(INDEX(EH_Data,0,EH_ColFirst),$B72,INDEX(EH_Data,0,EH_ColSur),$C72,INDEX(EH_Data,0,EH_ColCat),BonusCat))&gt;0,"Yes","No")))</f>
        <v/>
      </c>
      <c r="AG72" s="26" t="str">
        <f aca="false">IF(AO72=0,"",IF(NOT(EH_Ready),"",IF(MatchMode="Employee ID",SUMIFS(INDEX(EH_Data,0,EH_ColBal),INDEX(EH_Data,0,EH_ColID),$A72,INDEX(EH_Data,0,EH_ColCat),BonusCat),SUMIFS(INDEX(EH_Data,0,EH_ColBal),INDEX(EH_Data,0,EH_ColFirst),$B72,INDEX(EH_Data,0,EH_ColSur),$C72,INDEX(EH_Data,0,EH_ColCat),BonusCat))/IF(EHUnit="Hours",HoursPerDay,1)))</f>
        <v/>
      </c>
      <c r="AH72" s="26" t="str">
        <f aca="false">IF(AO72=0,"",IF(NOT(TK_Ready),0,IF(MatchMode="Employee ID",SUMIFS(INDEX(TK_Data,0,TK_ColAmt),INDEX(TK_Data,0,TK_ColID),$A72,INDEX(TK_Data,0,TK_ColCat),BonusCat),SUMIFS(INDEX(TK_Data,0,TK_ColAmt),INDEX(TK_Data,0,TK_ColFirst),$B72,INDEX(TK_Data,0,TK_ColSur),$C72,INDEX(TK_Data,0,TK_ColCat),BonusCat))/IF(TKUnit="Hours",HoursPerDay,1)))</f>
        <v/>
      </c>
      <c r="AI72" s="26" t="str">
        <f aca="false">IF(AO72=0,"",N(AG72)+N(AH72))</f>
        <v/>
      </c>
      <c r="AJ72" s="29" t="str">
        <f aca="false">IF(AO72=0,"",IF(NOT(AND(EH_Ready,EH_ValReady)),"",IF(MatchMode="Employee ID",SUMIFS(INDEX(EH_Data,0,EH_ColVal),INDEX(EH_Data,0,EH_ColID),$A72,INDEX(EH_Data,0,EH_ColCat),BonusCat),SUMIFS(INDEX(EH_Data,0,EH_ColVal),INDEX(EH_Data,0,EH_ColFirst),$B72,INDEX(EH_Data,0,EH_ColSur),$C72,INDEX(EH_Data,0,EH_ColCat),BonusCat))))</f>
        <v/>
      </c>
      <c r="AK72" s="26" t="str">
        <f aca="false">IF(AO72=0,"",IF(OR(NOT(EH_Ready),BF72=1),"",AB72-AI72))</f>
        <v/>
      </c>
      <c r="AL72" s="26" t="str">
        <f aca="false">IF(AK72="","",AK72*HoursPerDay)</f>
        <v/>
      </c>
      <c r="AM72" s="27" t="str">
        <f aca="false">IF(AO72=0,"",IF(BF72=1,IF(N(AG72)&gt;0,"TERMINATED - forfeit "&amp;TEXT(AG72,"0.##")&amp;" days still in EH","Terminated - nothing in EH"),IF(NOT(EH_Ready),"Paste EH export and map headers on Settings",IF(AND(AB72&gt;0,AF72="No"),"SET UP in EH - add "&amp;TEXT(AB72,"0.##")&amp;" day(s) ("&amp;TEXT(AC72,"0.##")&amp;" hrs)",IF(AK72&gt;0,"ADD "&amp;TEXT(AK72,"0.##")&amp;" day(s) ("&amp;TEXT(AL72,"0.##")&amp;" hrs) in EH",IF(AK72&lt;0,"CHECK - EH shows "&amp;TEXT(-AK72,"0.##")&amp;" days more than policy",IF(AB72&gt;0,"OK - up to date",IF(AY72="None","No action - not eligible","No action - not yet qualified"))))))))</f>
        <v/>
      </c>
      <c r="AN72" s="27" t="str">
        <f aca="false">IF(AO72=0,"",TRIM(IF(AND($K72&lt;&gt;"",$H72=""),"Change 2 entered without Change 1. ","")&amp;IF(AND($K72&lt;&gt;"",$H72&lt;&gt;"",$K72&lt;=$H72),"Change 2 date not after Change 1. ","")&amp;IF(AND($N72&lt;&gt;"",$O72&lt;&gt;"",$O72&lt;$N72),"Leave To is before Leave From. ","")&amp;IF(AND($N72&lt;&gt;"",$O72=""),"Leave From entered without Leave To. ","")&amp;IF(AND(IFERROR(VLOOKUP(T72,TypeTable,2,0),"None")="PT",U72=""),"Part-time with no hours entered. ","")&amp;IF(AND($H72&lt;&gt;"",$H72&gt;AsOfDate,AD72&lt;&gt;"",$H72&lt;=AD72),"Status change lands before next accrual - review. ","")&amp;IF(AND($Q72&lt;&gt;"",$Q72&lt;$E72),"Termination before commencement. ","")))</f>
        <v/>
      </c>
      <c r="AO72" s="11" t="n">
        <f aca="false">IF(LEN($A72&amp;$B72&amp;$C72)=0,0,IF($E72="",0,1))</f>
        <v>0</v>
      </c>
      <c r="AP72" s="11" t="str">
        <f aca="false">IF(AO72=0,"",(IF(OR($N72="",$O72=""),0,MAX(0,MIN(X72,$O72)-MAX($N72,$E72)+1))+N($P72)))</f>
        <v/>
      </c>
      <c r="AQ72" s="11" t="str">
        <f aca="false">IF(AO72=0,"",IF(X72&lt;($E72+(IF(OR($N72="",$O72=""),0,MAX(0,MIN(X72,$O72)-MAX($N72,$E72)+1))+N($P72))),-1,12*(YEAR(X72)-YEAR(($E72+(IF(OR($N72="",$O72=""),0,MAX(0,MIN(X72,$O72)-MAX($N72,$E72)+1))+N($P72)))))+MONTH(X72)-MONTH(($E72+(IF(OR($N72="",$O72=""),0,MAX(0,MIN(X72,$O72)-MAX($N72,$E72)+1))+N($P72))))-IF(DAY(X72)&lt;MIN(DAY(($E72+(IF(OR($N72="",$O72=""),0,MAX(0,MIN(X72,$O72)-MAX($N72,$E72)+1))+N($P72)))),DAY(EOMONTH(X72,0))),1,0)))</f>
        <v/>
      </c>
      <c r="AR72" s="28" t="str">
        <f aca="false">IF(AO72=0,"",IF($H72="","",IF($H72&gt;X72,"",$H72)))</f>
        <v/>
      </c>
      <c r="AS72" s="28" t="str">
        <f aca="false">IF(AO72=0,"",IF(AR72="","",IF($K72="","",IF($K72&gt;X72,"",$K72))))</f>
        <v/>
      </c>
      <c r="AT72" s="11" t="str">
        <f aca="false">IF(AO72=0,"",IF(AR72="",AQ72,IF((AR72-1)&lt;($E72+(IF(OR($N72="",$O72=""),0,MAX(0,MIN((AR72-1),$O72)-MAX($N72,$E72)+1))+N($P72))),-1,12*(YEAR((AR72-1))-YEAR(($E72+(IF(OR($N72="",$O72=""),0,MAX(0,MIN((AR72-1),$O72)-MAX($N72,$E72)+1))+N($P72)))))+MONTH((AR72-1))-MONTH(($E72+(IF(OR($N72="",$O72=""),0,MAX(0,MIN((AR72-1),$O72)-MAX($N72,$E72)+1))+N($P72))))-IF(DAY((AR72-1))&lt;MIN(DAY(($E72+(IF(OR($N72="",$O72=""),0,MAX(0,MIN((AR72-1),$O72)-MAX($N72,$E72)+1))+N($P72)))),DAY(EOMONTH((AR72-1),0))),1,0))))</f>
        <v/>
      </c>
      <c r="AU72" s="11" t="str">
        <f aca="false">IF(AO72=0,"",IF(AS72="",AQ72,IF((AS72-1)&lt;($E72+(IF(OR($N72="",$O72=""),0,MAX(0,MIN((AS72-1),$O72)-MAX($N72,$E72)+1))+N($P72))),-1,12*(YEAR((AS72-1))-YEAR(($E72+(IF(OR($N72="",$O72=""),0,MAX(0,MIN((AS72-1),$O72)-MAX($N72,$E72)+1))+N($P72)))))+MONTH((AS72-1))-MONTH(($E72+(IF(OR($N72="",$O72=""),0,MAX(0,MIN((AS72-1),$O72)-MAX($N72,$E72)+1))+N($P72))))-IF(DAY((AS72-1))&lt;MIN(DAY(($E72+(IF(OR($N72="",$O72=""),0,MAX(0,MIN((AS72-1),$O72)-MAX($N72,$E72)+1))+N($P72)))),DAY(EOMONTH((AS72-1),0))),1,0))))</f>
        <v/>
      </c>
      <c r="AV72" s="11" t="str">
        <f aca="false">IF(AO72=0,"",IF($F72="","None",IF(IFERROR(VLOOKUP($F72,TypeTable,2,0),"None")="PT",IF(N($G72)&gt;=PT_MinHours,"PT","None"),IFERROR(VLOOKUP($F72,TypeTable,2,0),"None"))))</f>
        <v/>
      </c>
      <c r="AW72" s="11" t="str">
        <f aca="false">IF(AO72=0,"",IF($I72="","None",IF(IFERROR(VLOOKUP($I72,TypeTable,2,0),"None")="PT",IF(N($J72)&gt;=PT_MinHours,"PT","None"),IFERROR(VLOOKUP($I72,TypeTable,2,0),"None"))))</f>
        <v/>
      </c>
      <c r="AX72" s="11" t="str">
        <f aca="false">IF(AO72=0,"",IF($L72="","None",IF(IFERROR(VLOOKUP($L72,TypeTable,2,0),"None")="PT",IF(N($M72)&gt;=PT_MinHours,"PT","None"),IFERROR(VLOOKUP($L72,TypeTable,2,0),"None"))))</f>
        <v/>
      </c>
      <c r="AY72" s="11" t="str">
        <f aca="false">IF(AO72=0,"",IF(AS72&lt;&gt;"",AX72,IF(AR72&lt;&gt;"",AW72,AV72)))</f>
        <v/>
      </c>
      <c r="AZ72" s="11" t="str">
        <f aca="false">IF(AO72=0,"",IF(AV72="FT",IF(AT72&lt;FT_First,0,IF(AT72&lt;FT_Y5,1+INT((AT72-FT_First)/FT_Int1),FT_PreY5+FT_PerYear*INT((AT72-FT_Y5)/12)+FT_AnnivDays+INT(MOD(AT72-FT_Y5,12)/FT_Int2))),IF(AV72="PT",IF(AT72&lt;PT_First,0,1+INT((AT72-PT_First)/PT_Int)),0)))</f>
        <v/>
      </c>
      <c r="BA72" s="11" t="str">
        <f aca="false">IF(AO72=0,"",IF(AW72="FT",IF(AT72&lt;FT_First,0,IF(AT72&lt;FT_Y5,1+INT((AT72-FT_First)/FT_Int1),FT_PreY5+FT_PerYear*INT((AT72-FT_Y5)/12)+FT_AnnivDays+INT(MOD(AT72-FT_Y5,12)/FT_Int2))),IF(AW72="PT",IF(AT72&lt;PT_First,0,1+INT((AT72-PT_First)/PT_Int)),0)))</f>
        <v/>
      </c>
      <c r="BB72" s="11" t="str">
        <f aca="false">IF(AO72=0,"",IF(AW72="FT",IF(AU72&lt;FT_First,0,IF(AU72&lt;FT_Y5,1+INT((AU72-FT_First)/FT_Int1),FT_PreY5+FT_PerYear*INT((AU72-FT_Y5)/12)+FT_AnnivDays+INT(MOD(AU72-FT_Y5,12)/FT_Int2))),IF(AW72="PT",IF(AU72&lt;PT_First,0,1+INT((AU72-PT_First)/PT_Int)),0)))</f>
        <v/>
      </c>
      <c r="BC72" s="11" t="str">
        <f aca="false">IF(AO72=0,"",IF(AX72="FT",IF(AU72&lt;FT_First,0,IF(AU72&lt;FT_Y5,1+INT((AU72-FT_First)/FT_Int1),FT_PreY5+FT_PerYear*INT((AU72-FT_Y5)/12)+FT_AnnivDays+INT(MOD(AU72-FT_Y5,12)/FT_Int2))),IF(AX72="PT",IF(AU72&lt;PT_First,0,1+INT((AU72-PT_First)/PT_Int)),0)))</f>
        <v/>
      </c>
      <c r="BD72" s="11" t="str">
        <f aca="false">IF(AO72=0,"",IF(AX72="FT",IF(AQ72&lt;FT_First,0,IF(AQ72&lt;FT_Y5,1+INT((AQ72-FT_First)/FT_Int1),FT_PreY5+FT_PerYear*INT((AQ72-FT_Y5)/12)+FT_AnnivDays+INT(MOD(AQ72-FT_Y5,12)/FT_Int2))),IF(AX72="PT",IF(AQ72&lt;PT_First,0,1+INT((AQ72-PT_First)/PT_Int)),0)))</f>
        <v/>
      </c>
      <c r="BE72" s="11" t="str">
        <f aca="false">IF(AO72=0,"",IF(AY72="FT",IF(AQ72&lt;FT_First,FT_First,IF(AQ72&lt;FT_Y5,MIN(FT_Y5,FT_First+FT_Int1*(INT((AQ72-FT_First)/FT_Int1)+1)),FT_Y5+12*INT((AQ72-FT_Y5)/12)+FT_Int2*(INT(MOD(AQ72-FT_Y5,12)/FT_Int2)+1))),IF(AY72="PT",IF(AQ72&lt;PT_First,PT_First,PT_First+PT_Int*(INT((AQ72-PT_First)/PT_Int)+1)),"")))</f>
        <v/>
      </c>
      <c r="BF72" s="11" t="n">
        <f aca="false">IF(AO72=0,0,IF(AND($Q72&lt;&gt;"",$Q72&lt;=AsOfDate),1,0))</f>
        <v>0</v>
      </c>
      <c r="BG72" s="11" t="str">
        <f aca="false">IF(AND(AO72=1,BF72=0,EH_Ready,N(AB72)&gt;0,N(AI72)=0),COUNT($BG$5:BG71)+1,"")</f>
        <v/>
      </c>
      <c r="BH72" s="11" t="str">
        <f aca="false">IF(AND(AO72=1,BF72=0,EH_Ready,N(AB72)&gt;0,N(AI72)&gt;0,N(AK72)&gt;0),COUNT($BH$5:BH71)+1,"")</f>
        <v/>
      </c>
      <c r="BI72" s="11" t="str">
        <f aca="false">IF(AND(AO72=1,OR(LEFT(AM72,3)="ADD",LEFT(AM72,3)="SET",LEFT(AM72,5)="CHECK",LEFT(AM72,10)="TERMINATED")),COUNT($BI$5:BI71)+1,"")</f>
        <v/>
      </c>
      <c r="BJ72" s="11" t="str">
        <f aca="false">IF(AO72=0,"",$A72&amp;" - "&amp;$B72&amp;" "&amp;$C72)</f>
        <v/>
      </c>
    </row>
    <row r="73" customFormat="false" ht="15" hidden="false" customHeight="false" outlineLevel="0" collapsed="false">
      <c r="A73" s="10"/>
      <c r="B73" s="10"/>
      <c r="C73" s="10"/>
      <c r="D73" s="10"/>
      <c r="E73" s="9"/>
      <c r="F73" s="10"/>
      <c r="G73" s="30"/>
      <c r="H73" s="9"/>
      <c r="I73" s="10"/>
      <c r="J73" s="30"/>
      <c r="K73" s="9"/>
      <c r="L73" s="10"/>
      <c r="M73" s="30"/>
      <c r="N73" s="9"/>
      <c r="O73" s="9"/>
      <c r="P73" s="30"/>
      <c r="Q73" s="9"/>
      <c r="R73" s="10"/>
      <c r="S73" s="11" t="str">
        <f aca="false">IF(AO73=0,"",IF($H73="","",$F73&amp;" -&gt; "&amp;$I73&amp;IF($I73="Part-Time"," ("&amp;N($J73)&amp;" hrs)","")&amp;" on "&amp;TEXT($H73,"dd/mm/yyyy")&amp;IF($H73&gt;AsOfDate," (FUTURE)","")&amp;IF($K73="","","; "&amp;$I73&amp;" -&gt; "&amp;$L73&amp;IF($L73="Part-Time"," ("&amp;N($M73)&amp;" hrs)","")&amp;" on "&amp;TEXT($K73,"dd/mm/yyyy")&amp;IF($K73&gt;AsOfDate," (FUTURE)",""))))</f>
        <v/>
      </c>
      <c r="T73" s="11" t="str">
        <f aca="false">IF(AO73=0,"",IF(AS73&lt;&gt;"",$L73,IF(AR73&lt;&gt;"",$I73,$F73)))</f>
        <v/>
      </c>
      <c r="U73" s="26" t="str">
        <f aca="false">IF(AO73=0,"",IF(AS73&lt;&gt;"",$M73,IF(AR73&lt;&gt;"",$J73,$G73)))</f>
        <v/>
      </c>
      <c r="V73" s="11" t="str">
        <f aca="false">IF(AO73=0,"",IF(AY73="FT","Full-Time",IF(AY73="PT","Part-Time","Not eligible")))</f>
        <v/>
      </c>
      <c r="W73" s="27" t="str">
        <f aca="false">IF(AO73=0,"",IF(AR73="",IF(AND($H73&lt;&gt;"",$H73&gt;AsOfDate),"Future change - not yet applied",""),IF(AND(AV73=AY73,OR(AS73="",AW73=AV73)),"Type changed - same accrual pathway",IF(AY73="None","STOPPED accruing from "&amp;TEXT(IF(AS73&lt;&gt;"",AS73,AR73),"dd/mm/yyyy"),IF(AV73="None","STARTED qualifying from "&amp;TEXT(IF(AS73&lt;&gt;"",AS73,AR73),"dd/mm/yyyy"),"Pathway changed "&amp;AV73&amp;" -&gt; "&amp;AW73&amp;IF(AS73&lt;&gt;""," -&gt; "&amp;AX73,"")&amp;" from "&amp;TEXT(IF(AS73&lt;&gt;"",AS73,AR73),"dd/mm/yyyy"))))))</f>
        <v/>
      </c>
      <c r="X73" s="28" t="str">
        <f aca="false">IF(AO73=0,"",IF($Q73="",AsOfDate,MIN(AsOfDate,$Q73)))</f>
        <v/>
      </c>
      <c r="Y73" s="26" t="str">
        <f aca="false">IF(AO73=0,"",MAX(0,AQ73))</f>
        <v/>
      </c>
      <c r="Z73" s="11" t="str">
        <f aca="false">IF(AO73=0,"",IF(AQ73&lt;0,"Not started",INT(AQ73/12)&amp;"y "&amp;MOD(AQ73,12)&amp;"m"))</f>
        <v/>
      </c>
      <c r="AA73" s="27" t="str">
        <f aca="false">IF(AO73=0,"",IF(BF73=1,"Terminated - balance forfeited",IF(AY73="None",IF(AB73&gt;0,"No longer accruing - "&amp;T73,"Not eligible - "&amp;T73&amp;IF(AND(IFERROR(VLOOKUP(T73,TypeTable,2,0),"None")="PT",N(U73)&lt;PT_MinHours)," (under "&amp;PT_MinHours&amp;" hrs)","")),IF(AB73&gt;0,"Yes - accruing","Not yet - qualifies "&amp;TEXT(AD73,"dd/mm/yyyy")))))</f>
        <v/>
      </c>
      <c r="AB73" s="26" t="str">
        <f aca="false">IF(AO73=0,"",AZ73+IF(AR73="",0,BB73-BA73)+IF(AS73="",0,BD73-BC73))</f>
        <v/>
      </c>
      <c r="AC73" s="26" t="str">
        <f aca="false">IF(AO73=0,"",AB73*HoursPerDay)</f>
        <v/>
      </c>
      <c r="AD73" s="28" t="str">
        <f aca="false">IF(AO73=0,"",IF(OR(BF73=1,AY73="None"),"",EDATE($E73+AP73,BE73)))</f>
        <v/>
      </c>
      <c r="AE73" s="26" t="str">
        <f aca="false">IF(AD73="","",IF(AY73="PT",1,IF(BE73&lt;FT_Y5,1,IF(MOD(BE73-FT_Y5,12)=0,FT_AnnivDays,1))))</f>
        <v/>
      </c>
      <c r="AF73" s="27" t="str">
        <f aca="false">IF(AO73=0,"",IF(NOT(EH_Ready),"Map headers",IF(IF(MatchMode="Employee ID",COUNTIFS(INDEX(EH_Data,0,EH_ColID),$A73,INDEX(EH_Data,0,EH_ColCat),BonusCat),COUNTIFS(INDEX(EH_Data,0,EH_ColFirst),$B73,INDEX(EH_Data,0,EH_ColSur),$C73,INDEX(EH_Data,0,EH_ColCat),BonusCat))&gt;0,"Yes","No")))</f>
        <v/>
      </c>
      <c r="AG73" s="26" t="str">
        <f aca="false">IF(AO73=0,"",IF(NOT(EH_Ready),"",IF(MatchMode="Employee ID",SUMIFS(INDEX(EH_Data,0,EH_ColBal),INDEX(EH_Data,0,EH_ColID),$A73,INDEX(EH_Data,0,EH_ColCat),BonusCat),SUMIFS(INDEX(EH_Data,0,EH_ColBal),INDEX(EH_Data,0,EH_ColFirst),$B73,INDEX(EH_Data,0,EH_ColSur),$C73,INDEX(EH_Data,0,EH_ColCat),BonusCat))/IF(EHUnit="Hours",HoursPerDay,1)))</f>
        <v/>
      </c>
      <c r="AH73" s="26" t="str">
        <f aca="false">IF(AO73=0,"",IF(NOT(TK_Ready),0,IF(MatchMode="Employee ID",SUMIFS(INDEX(TK_Data,0,TK_ColAmt),INDEX(TK_Data,0,TK_ColID),$A73,INDEX(TK_Data,0,TK_ColCat),BonusCat),SUMIFS(INDEX(TK_Data,0,TK_ColAmt),INDEX(TK_Data,0,TK_ColFirst),$B73,INDEX(TK_Data,0,TK_ColSur),$C73,INDEX(TK_Data,0,TK_ColCat),BonusCat))/IF(TKUnit="Hours",HoursPerDay,1)))</f>
        <v/>
      </c>
      <c r="AI73" s="26" t="str">
        <f aca="false">IF(AO73=0,"",N(AG73)+N(AH73))</f>
        <v/>
      </c>
      <c r="AJ73" s="29" t="str">
        <f aca="false">IF(AO73=0,"",IF(NOT(AND(EH_Ready,EH_ValReady)),"",IF(MatchMode="Employee ID",SUMIFS(INDEX(EH_Data,0,EH_ColVal),INDEX(EH_Data,0,EH_ColID),$A73,INDEX(EH_Data,0,EH_ColCat),BonusCat),SUMIFS(INDEX(EH_Data,0,EH_ColVal),INDEX(EH_Data,0,EH_ColFirst),$B73,INDEX(EH_Data,0,EH_ColSur),$C73,INDEX(EH_Data,0,EH_ColCat),BonusCat))))</f>
        <v/>
      </c>
      <c r="AK73" s="26" t="str">
        <f aca="false">IF(AO73=0,"",IF(OR(NOT(EH_Ready),BF73=1),"",AB73-AI73))</f>
        <v/>
      </c>
      <c r="AL73" s="26" t="str">
        <f aca="false">IF(AK73="","",AK73*HoursPerDay)</f>
        <v/>
      </c>
      <c r="AM73" s="27" t="str">
        <f aca="false">IF(AO73=0,"",IF(BF73=1,IF(N(AG73)&gt;0,"TERMINATED - forfeit "&amp;TEXT(AG73,"0.##")&amp;" days still in EH","Terminated - nothing in EH"),IF(NOT(EH_Ready),"Paste EH export and map headers on Settings",IF(AND(AB73&gt;0,AF73="No"),"SET UP in EH - add "&amp;TEXT(AB73,"0.##")&amp;" day(s) ("&amp;TEXT(AC73,"0.##")&amp;" hrs)",IF(AK73&gt;0,"ADD "&amp;TEXT(AK73,"0.##")&amp;" day(s) ("&amp;TEXT(AL73,"0.##")&amp;" hrs) in EH",IF(AK73&lt;0,"CHECK - EH shows "&amp;TEXT(-AK73,"0.##")&amp;" days more than policy",IF(AB73&gt;0,"OK - up to date",IF(AY73="None","No action - not eligible","No action - not yet qualified"))))))))</f>
        <v/>
      </c>
      <c r="AN73" s="27" t="str">
        <f aca="false">IF(AO73=0,"",TRIM(IF(AND($K73&lt;&gt;"",$H73=""),"Change 2 entered without Change 1. ","")&amp;IF(AND($K73&lt;&gt;"",$H73&lt;&gt;"",$K73&lt;=$H73),"Change 2 date not after Change 1. ","")&amp;IF(AND($N73&lt;&gt;"",$O73&lt;&gt;"",$O73&lt;$N73),"Leave To is before Leave From. ","")&amp;IF(AND($N73&lt;&gt;"",$O73=""),"Leave From entered without Leave To. ","")&amp;IF(AND(IFERROR(VLOOKUP(T73,TypeTable,2,0),"None")="PT",U73=""),"Part-time with no hours entered. ","")&amp;IF(AND($H73&lt;&gt;"",$H73&gt;AsOfDate,AD73&lt;&gt;"",$H73&lt;=AD73),"Status change lands before next accrual - review. ","")&amp;IF(AND($Q73&lt;&gt;"",$Q73&lt;$E73),"Termination before commencement. ","")))</f>
        <v/>
      </c>
      <c r="AO73" s="11" t="n">
        <f aca="false">IF(LEN($A73&amp;$B73&amp;$C73)=0,0,IF($E73="",0,1))</f>
        <v>0</v>
      </c>
      <c r="AP73" s="11" t="str">
        <f aca="false">IF(AO73=0,"",(IF(OR($N73="",$O73=""),0,MAX(0,MIN(X73,$O73)-MAX($N73,$E73)+1))+N($P73)))</f>
        <v/>
      </c>
      <c r="AQ73" s="11" t="str">
        <f aca="false">IF(AO73=0,"",IF(X73&lt;($E73+(IF(OR($N73="",$O73=""),0,MAX(0,MIN(X73,$O73)-MAX($N73,$E73)+1))+N($P73))),-1,12*(YEAR(X73)-YEAR(($E73+(IF(OR($N73="",$O73=""),0,MAX(0,MIN(X73,$O73)-MAX($N73,$E73)+1))+N($P73)))))+MONTH(X73)-MONTH(($E73+(IF(OR($N73="",$O73=""),0,MAX(0,MIN(X73,$O73)-MAX($N73,$E73)+1))+N($P73))))-IF(DAY(X73)&lt;MIN(DAY(($E73+(IF(OR($N73="",$O73=""),0,MAX(0,MIN(X73,$O73)-MAX($N73,$E73)+1))+N($P73)))),DAY(EOMONTH(X73,0))),1,0)))</f>
        <v/>
      </c>
      <c r="AR73" s="28" t="str">
        <f aca="false">IF(AO73=0,"",IF($H73="","",IF($H73&gt;X73,"",$H73)))</f>
        <v/>
      </c>
      <c r="AS73" s="28" t="str">
        <f aca="false">IF(AO73=0,"",IF(AR73="","",IF($K73="","",IF($K73&gt;X73,"",$K73))))</f>
        <v/>
      </c>
      <c r="AT73" s="11" t="str">
        <f aca="false">IF(AO73=0,"",IF(AR73="",AQ73,IF((AR73-1)&lt;($E73+(IF(OR($N73="",$O73=""),0,MAX(0,MIN((AR73-1),$O73)-MAX($N73,$E73)+1))+N($P73))),-1,12*(YEAR((AR73-1))-YEAR(($E73+(IF(OR($N73="",$O73=""),0,MAX(0,MIN((AR73-1),$O73)-MAX($N73,$E73)+1))+N($P73)))))+MONTH((AR73-1))-MONTH(($E73+(IF(OR($N73="",$O73=""),0,MAX(0,MIN((AR73-1),$O73)-MAX($N73,$E73)+1))+N($P73))))-IF(DAY((AR73-1))&lt;MIN(DAY(($E73+(IF(OR($N73="",$O73=""),0,MAX(0,MIN((AR73-1),$O73)-MAX($N73,$E73)+1))+N($P73)))),DAY(EOMONTH((AR73-1),0))),1,0))))</f>
        <v/>
      </c>
      <c r="AU73" s="11" t="str">
        <f aca="false">IF(AO73=0,"",IF(AS73="",AQ73,IF((AS73-1)&lt;($E73+(IF(OR($N73="",$O73=""),0,MAX(0,MIN((AS73-1),$O73)-MAX($N73,$E73)+1))+N($P73))),-1,12*(YEAR((AS73-1))-YEAR(($E73+(IF(OR($N73="",$O73=""),0,MAX(0,MIN((AS73-1),$O73)-MAX($N73,$E73)+1))+N($P73)))))+MONTH((AS73-1))-MONTH(($E73+(IF(OR($N73="",$O73=""),0,MAX(0,MIN((AS73-1),$O73)-MAX($N73,$E73)+1))+N($P73))))-IF(DAY((AS73-1))&lt;MIN(DAY(($E73+(IF(OR($N73="",$O73=""),0,MAX(0,MIN((AS73-1),$O73)-MAX($N73,$E73)+1))+N($P73)))),DAY(EOMONTH((AS73-1),0))),1,0))))</f>
        <v/>
      </c>
      <c r="AV73" s="11" t="str">
        <f aca="false">IF(AO73=0,"",IF($F73="","None",IF(IFERROR(VLOOKUP($F73,TypeTable,2,0),"None")="PT",IF(N($G73)&gt;=PT_MinHours,"PT","None"),IFERROR(VLOOKUP($F73,TypeTable,2,0),"None"))))</f>
        <v/>
      </c>
      <c r="AW73" s="11" t="str">
        <f aca="false">IF(AO73=0,"",IF($I73="","None",IF(IFERROR(VLOOKUP($I73,TypeTable,2,0),"None")="PT",IF(N($J73)&gt;=PT_MinHours,"PT","None"),IFERROR(VLOOKUP($I73,TypeTable,2,0),"None"))))</f>
        <v/>
      </c>
      <c r="AX73" s="11" t="str">
        <f aca="false">IF(AO73=0,"",IF($L73="","None",IF(IFERROR(VLOOKUP($L73,TypeTable,2,0),"None")="PT",IF(N($M73)&gt;=PT_MinHours,"PT","None"),IFERROR(VLOOKUP($L73,TypeTable,2,0),"None"))))</f>
        <v/>
      </c>
      <c r="AY73" s="11" t="str">
        <f aca="false">IF(AO73=0,"",IF(AS73&lt;&gt;"",AX73,IF(AR73&lt;&gt;"",AW73,AV73)))</f>
        <v/>
      </c>
      <c r="AZ73" s="11" t="str">
        <f aca="false">IF(AO73=0,"",IF(AV73="FT",IF(AT73&lt;FT_First,0,IF(AT73&lt;FT_Y5,1+INT((AT73-FT_First)/FT_Int1),FT_PreY5+FT_PerYear*INT((AT73-FT_Y5)/12)+FT_AnnivDays+INT(MOD(AT73-FT_Y5,12)/FT_Int2))),IF(AV73="PT",IF(AT73&lt;PT_First,0,1+INT((AT73-PT_First)/PT_Int)),0)))</f>
        <v/>
      </c>
      <c r="BA73" s="11" t="str">
        <f aca="false">IF(AO73=0,"",IF(AW73="FT",IF(AT73&lt;FT_First,0,IF(AT73&lt;FT_Y5,1+INT((AT73-FT_First)/FT_Int1),FT_PreY5+FT_PerYear*INT((AT73-FT_Y5)/12)+FT_AnnivDays+INT(MOD(AT73-FT_Y5,12)/FT_Int2))),IF(AW73="PT",IF(AT73&lt;PT_First,0,1+INT((AT73-PT_First)/PT_Int)),0)))</f>
        <v/>
      </c>
      <c r="BB73" s="11" t="str">
        <f aca="false">IF(AO73=0,"",IF(AW73="FT",IF(AU73&lt;FT_First,0,IF(AU73&lt;FT_Y5,1+INT((AU73-FT_First)/FT_Int1),FT_PreY5+FT_PerYear*INT((AU73-FT_Y5)/12)+FT_AnnivDays+INT(MOD(AU73-FT_Y5,12)/FT_Int2))),IF(AW73="PT",IF(AU73&lt;PT_First,0,1+INT((AU73-PT_First)/PT_Int)),0)))</f>
        <v/>
      </c>
      <c r="BC73" s="11" t="str">
        <f aca="false">IF(AO73=0,"",IF(AX73="FT",IF(AU73&lt;FT_First,0,IF(AU73&lt;FT_Y5,1+INT((AU73-FT_First)/FT_Int1),FT_PreY5+FT_PerYear*INT((AU73-FT_Y5)/12)+FT_AnnivDays+INT(MOD(AU73-FT_Y5,12)/FT_Int2))),IF(AX73="PT",IF(AU73&lt;PT_First,0,1+INT((AU73-PT_First)/PT_Int)),0)))</f>
        <v/>
      </c>
      <c r="BD73" s="11" t="str">
        <f aca="false">IF(AO73=0,"",IF(AX73="FT",IF(AQ73&lt;FT_First,0,IF(AQ73&lt;FT_Y5,1+INT((AQ73-FT_First)/FT_Int1),FT_PreY5+FT_PerYear*INT((AQ73-FT_Y5)/12)+FT_AnnivDays+INT(MOD(AQ73-FT_Y5,12)/FT_Int2))),IF(AX73="PT",IF(AQ73&lt;PT_First,0,1+INT((AQ73-PT_First)/PT_Int)),0)))</f>
        <v/>
      </c>
      <c r="BE73" s="11" t="str">
        <f aca="false">IF(AO73=0,"",IF(AY73="FT",IF(AQ73&lt;FT_First,FT_First,IF(AQ73&lt;FT_Y5,MIN(FT_Y5,FT_First+FT_Int1*(INT((AQ73-FT_First)/FT_Int1)+1)),FT_Y5+12*INT((AQ73-FT_Y5)/12)+FT_Int2*(INT(MOD(AQ73-FT_Y5,12)/FT_Int2)+1))),IF(AY73="PT",IF(AQ73&lt;PT_First,PT_First,PT_First+PT_Int*(INT((AQ73-PT_First)/PT_Int)+1)),"")))</f>
        <v/>
      </c>
      <c r="BF73" s="11" t="n">
        <f aca="false">IF(AO73=0,0,IF(AND($Q73&lt;&gt;"",$Q73&lt;=AsOfDate),1,0))</f>
        <v>0</v>
      </c>
      <c r="BG73" s="11" t="str">
        <f aca="false">IF(AND(AO73=1,BF73=0,EH_Ready,N(AB73)&gt;0,N(AI73)=0),COUNT($BG$5:BG72)+1,"")</f>
        <v/>
      </c>
      <c r="BH73" s="11" t="str">
        <f aca="false">IF(AND(AO73=1,BF73=0,EH_Ready,N(AB73)&gt;0,N(AI73)&gt;0,N(AK73)&gt;0),COUNT($BH$5:BH72)+1,"")</f>
        <v/>
      </c>
      <c r="BI73" s="11" t="str">
        <f aca="false">IF(AND(AO73=1,OR(LEFT(AM73,3)="ADD",LEFT(AM73,3)="SET",LEFT(AM73,5)="CHECK",LEFT(AM73,10)="TERMINATED")),COUNT($BI$5:BI72)+1,"")</f>
        <v/>
      </c>
      <c r="BJ73" s="11" t="str">
        <f aca="false">IF(AO73=0,"",$A73&amp;" - "&amp;$B73&amp;" "&amp;$C73)</f>
        <v/>
      </c>
    </row>
    <row r="74" customFormat="false" ht="15" hidden="false" customHeight="false" outlineLevel="0" collapsed="false">
      <c r="A74" s="10"/>
      <c r="B74" s="10"/>
      <c r="C74" s="10"/>
      <c r="D74" s="10"/>
      <c r="E74" s="9"/>
      <c r="F74" s="10"/>
      <c r="G74" s="30"/>
      <c r="H74" s="9"/>
      <c r="I74" s="10"/>
      <c r="J74" s="30"/>
      <c r="K74" s="9"/>
      <c r="L74" s="10"/>
      <c r="M74" s="30"/>
      <c r="N74" s="9"/>
      <c r="O74" s="9"/>
      <c r="P74" s="30"/>
      <c r="Q74" s="9"/>
      <c r="R74" s="10"/>
      <c r="S74" s="11" t="str">
        <f aca="false">IF(AO74=0,"",IF($H74="","",$F74&amp;" -&gt; "&amp;$I74&amp;IF($I74="Part-Time"," ("&amp;N($J74)&amp;" hrs)","")&amp;" on "&amp;TEXT($H74,"dd/mm/yyyy")&amp;IF($H74&gt;AsOfDate," (FUTURE)","")&amp;IF($K74="","","; "&amp;$I74&amp;" -&gt; "&amp;$L74&amp;IF($L74="Part-Time"," ("&amp;N($M74)&amp;" hrs)","")&amp;" on "&amp;TEXT($K74,"dd/mm/yyyy")&amp;IF($K74&gt;AsOfDate," (FUTURE)",""))))</f>
        <v/>
      </c>
      <c r="T74" s="11" t="str">
        <f aca="false">IF(AO74=0,"",IF(AS74&lt;&gt;"",$L74,IF(AR74&lt;&gt;"",$I74,$F74)))</f>
        <v/>
      </c>
      <c r="U74" s="26" t="str">
        <f aca="false">IF(AO74=0,"",IF(AS74&lt;&gt;"",$M74,IF(AR74&lt;&gt;"",$J74,$G74)))</f>
        <v/>
      </c>
      <c r="V74" s="11" t="str">
        <f aca="false">IF(AO74=0,"",IF(AY74="FT","Full-Time",IF(AY74="PT","Part-Time","Not eligible")))</f>
        <v/>
      </c>
      <c r="W74" s="27" t="str">
        <f aca="false">IF(AO74=0,"",IF(AR74="",IF(AND($H74&lt;&gt;"",$H74&gt;AsOfDate),"Future change - not yet applied",""),IF(AND(AV74=AY74,OR(AS74="",AW74=AV74)),"Type changed - same accrual pathway",IF(AY74="None","STOPPED accruing from "&amp;TEXT(IF(AS74&lt;&gt;"",AS74,AR74),"dd/mm/yyyy"),IF(AV74="None","STARTED qualifying from "&amp;TEXT(IF(AS74&lt;&gt;"",AS74,AR74),"dd/mm/yyyy"),"Pathway changed "&amp;AV74&amp;" -&gt; "&amp;AW74&amp;IF(AS74&lt;&gt;""," -&gt; "&amp;AX74,"")&amp;" from "&amp;TEXT(IF(AS74&lt;&gt;"",AS74,AR74),"dd/mm/yyyy"))))))</f>
        <v/>
      </c>
      <c r="X74" s="28" t="str">
        <f aca="false">IF(AO74=0,"",IF($Q74="",AsOfDate,MIN(AsOfDate,$Q74)))</f>
        <v/>
      </c>
      <c r="Y74" s="26" t="str">
        <f aca="false">IF(AO74=0,"",MAX(0,AQ74))</f>
        <v/>
      </c>
      <c r="Z74" s="11" t="str">
        <f aca="false">IF(AO74=0,"",IF(AQ74&lt;0,"Not started",INT(AQ74/12)&amp;"y "&amp;MOD(AQ74,12)&amp;"m"))</f>
        <v/>
      </c>
      <c r="AA74" s="27" t="str">
        <f aca="false">IF(AO74=0,"",IF(BF74=1,"Terminated - balance forfeited",IF(AY74="None",IF(AB74&gt;0,"No longer accruing - "&amp;T74,"Not eligible - "&amp;T74&amp;IF(AND(IFERROR(VLOOKUP(T74,TypeTable,2,0),"None")="PT",N(U74)&lt;PT_MinHours)," (under "&amp;PT_MinHours&amp;" hrs)","")),IF(AB74&gt;0,"Yes - accruing","Not yet - qualifies "&amp;TEXT(AD74,"dd/mm/yyyy")))))</f>
        <v/>
      </c>
      <c r="AB74" s="26" t="str">
        <f aca="false">IF(AO74=0,"",AZ74+IF(AR74="",0,BB74-BA74)+IF(AS74="",0,BD74-BC74))</f>
        <v/>
      </c>
      <c r="AC74" s="26" t="str">
        <f aca="false">IF(AO74=0,"",AB74*HoursPerDay)</f>
        <v/>
      </c>
      <c r="AD74" s="28" t="str">
        <f aca="false">IF(AO74=0,"",IF(OR(BF74=1,AY74="None"),"",EDATE($E74+AP74,BE74)))</f>
        <v/>
      </c>
      <c r="AE74" s="26" t="str">
        <f aca="false">IF(AD74="","",IF(AY74="PT",1,IF(BE74&lt;FT_Y5,1,IF(MOD(BE74-FT_Y5,12)=0,FT_AnnivDays,1))))</f>
        <v/>
      </c>
      <c r="AF74" s="27" t="str">
        <f aca="false">IF(AO74=0,"",IF(NOT(EH_Ready),"Map headers",IF(IF(MatchMode="Employee ID",COUNTIFS(INDEX(EH_Data,0,EH_ColID),$A74,INDEX(EH_Data,0,EH_ColCat),BonusCat),COUNTIFS(INDEX(EH_Data,0,EH_ColFirst),$B74,INDEX(EH_Data,0,EH_ColSur),$C74,INDEX(EH_Data,0,EH_ColCat),BonusCat))&gt;0,"Yes","No")))</f>
        <v/>
      </c>
      <c r="AG74" s="26" t="str">
        <f aca="false">IF(AO74=0,"",IF(NOT(EH_Ready),"",IF(MatchMode="Employee ID",SUMIFS(INDEX(EH_Data,0,EH_ColBal),INDEX(EH_Data,0,EH_ColID),$A74,INDEX(EH_Data,0,EH_ColCat),BonusCat),SUMIFS(INDEX(EH_Data,0,EH_ColBal),INDEX(EH_Data,0,EH_ColFirst),$B74,INDEX(EH_Data,0,EH_ColSur),$C74,INDEX(EH_Data,0,EH_ColCat),BonusCat))/IF(EHUnit="Hours",HoursPerDay,1)))</f>
        <v/>
      </c>
      <c r="AH74" s="26" t="str">
        <f aca="false">IF(AO74=0,"",IF(NOT(TK_Ready),0,IF(MatchMode="Employee ID",SUMIFS(INDEX(TK_Data,0,TK_ColAmt),INDEX(TK_Data,0,TK_ColID),$A74,INDEX(TK_Data,0,TK_ColCat),BonusCat),SUMIFS(INDEX(TK_Data,0,TK_ColAmt),INDEX(TK_Data,0,TK_ColFirst),$B74,INDEX(TK_Data,0,TK_ColSur),$C74,INDEX(TK_Data,0,TK_ColCat),BonusCat))/IF(TKUnit="Hours",HoursPerDay,1)))</f>
        <v/>
      </c>
      <c r="AI74" s="26" t="str">
        <f aca="false">IF(AO74=0,"",N(AG74)+N(AH74))</f>
        <v/>
      </c>
      <c r="AJ74" s="29" t="str">
        <f aca="false">IF(AO74=0,"",IF(NOT(AND(EH_Ready,EH_ValReady)),"",IF(MatchMode="Employee ID",SUMIFS(INDEX(EH_Data,0,EH_ColVal),INDEX(EH_Data,0,EH_ColID),$A74,INDEX(EH_Data,0,EH_ColCat),BonusCat),SUMIFS(INDEX(EH_Data,0,EH_ColVal),INDEX(EH_Data,0,EH_ColFirst),$B74,INDEX(EH_Data,0,EH_ColSur),$C74,INDEX(EH_Data,0,EH_ColCat),BonusCat))))</f>
        <v/>
      </c>
      <c r="AK74" s="26" t="str">
        <f aca="false">IF(AO74=0,"",IF(OR(NOT(EH_Ready),BF74=1),"",AB74-AI74))</f>
        <v/>
      </c>
      <c r="AL74" s="26" t="str">
        <f aca="false">IF(AK74="","",AK74*HoursPerDay)</f>
        <v/>
      </c>
      <c r="AM74" s="27" t="str">
        <f aca="false">IF(AO74=0,"",IF(BF74=1,IF(N(AG74)&gt;0,"TERMINATED - forfeit "&amp;TEXT(AG74,"0.##")&amp;" days still in EH","Terminated - nothing in EH"),IF(NOT(EH_Ready),"Paste EH export and map headers on Settings",IF(AND(AB74&gt;0,AF74="No"),"SET UP in EH - add "&amp;TEXT(AB74,"0.##")&amp;" day(s) ("&amp;TEXT(AC74,"0.##")&amp;" hrs)",IF(AK74&gt;0,"ADD "&amp;TEXT(AK74,"0.##")&amp;" day(s) ("&amp;TEXT(AL74,"0.##")&amp;" hrs) in EH",IF(AK74&lt;0,"CHECK - EH shows "&amp;TEXT(-AK74,"0.##")&amp;" days more than policy",IF(AB74&gt;0,"OK - up to date",IF(AY74="None","No action - not eligible","No action - not yet qualified"))))))))</f>
        <v/>
      </c>
      <c r="AN74" s="27" t="str">
        <f aca="false">IF(AO74=0,"",TRIM(IF(AND($K74&lt;&gt;"",$H74=""),"Change 2 entered without Change 1. ","")&amp;IF(AND($K74&lt;&gt;"",$H74&lt;&gt;"",$K74&lt;=$H74),"Change 2 date not after Change 1. ","")&amp;IF(AND($N74&lt;&gt;"",$O74&lt;&gt;"",$O74&lt;$N74),"Leave To is before Leave From. ","")&amp;IF(AND($N74&lt;&gt;"",$O74=""),"Leave From entered without Leave To. ","")&amp;IF(AND(IFERROR(VLOOKUP(T74,TypeTable,2,0),"None")="PT",U74=""),"Part-time with no hours entered. ","")&amp;IF(AND($H74&lt;&gt;"",$H74&gt;AsOfDate,AD74&lt;&gt;"",$H74&lt;=AD74),"Status change lands before next accrual - review. ","")&amp;IF(AND($Q74&lt;&gt;"",$Q74&lt;$E74),"Termination before commencement. ","")))</f>
        <v/>
      </c>
      <c r="AO74" s="11" t="n">
        <f aca="false">IF(LEN($A74&amp;$B74&amp;$C74)=0,0,IF($E74="",0,1))</f>
        <v>0</v>
      </c>
      <c r="AP74" s="11" t="str">
        <f aca="false">IF(AO74=0,"",(IF(OR($N74="",$O74=""),0,MAX(0,MIN(X74,$O74)-MAX($N74,$E74)+1))+N($P74)))</f>
        <v/>
      </c>
      <c r="AQ74" s="11" t="str">
        <f aca="false">IF(AO74=0,"",IF(X74&lt;($E74+(IF(OR($N74="",$O74=""),0,MAX(0,MIN(X74,$O74)-MAX($N74,$E74)+1))+N($P74))),-1,12*(YEAR(X74)-YEAR(($E74+(IF(OR($N74="",$O74=""),0,MAX(0,MIN(X74,$O74)-MAX($N74,$E74)+1))+N($P74)))))+MONTH(X74)-MONTH(($E74+(IF(OR($N74="",$O74=""),0,MAX(0,MIN(X74,$O74)-MAX($N74,$E74)+1))+N($P74))))-IF(DAY(X74)&lt;MIN(DAY(($E74+(IF(OR($N74="",$O74=""),0,MAX(0,MIN(X74,$O74)-MAX($N74,$E74)+1))+N($P74)))),DAY(EOMONTH(X74,0))),1,0)))</f>
        <v/>
      </c>
      <c r="AR74" s="28" t="str">
        <f aca="false">IF(AO74=0,"",IF($H74="","",IF($H74&gt;X74,"",$H74)))</f>
        <v/>
      </c>
      <c r="AS74" s="28" t="str">
        <f aca="false">IF(AO74=0,"",IF(AR74="","",IF($K74="","",IF($K74&gt;X74,"",$K74))))</f>
        <v/>
      </c>
      <c r="AT74" s="11" t="str">
        <f aca="false">IF(AO74=0,"",IF(AR74="",AQ74,IF((AR74-1)&lt;($E74+(IF(OR($N74="",$O74=""),0,MAX(0,MIN((AR74-1),$O74)-MAX($N74,$E74)+1))+N($P74))),-1,12*(YEAR((AR74-1))-YEAR(($E74+(IF(OR($N74="",$O74=""),0,MAX(0,MIN((AR74-1),$O74)-MAX($N74,$E74)+1))+N($P74)))))+MONTH((AR74-1))-MONTH(($E74+(IF(OR($N74="",$O74=""),0,MAX(0,MIN((AR74-1),$O74)-MAX($N74,$E74)+1))+N($P74))))-IF(DAY((AR74-1))&lt;MIN(DAY(($E74+(IF(OR($N74="",$O74=""),0,MAX(0,MIN((AR74-1),$O74)-MAX($N74,$E74)+1))+N($P74)))),DAY(EOMONTH((AR74-1),0))),1,0))))</f>
        <v/>
      </c>
      <c r="AU74" s="11" t="str">
        <f aca="false">IF(AO74=0,"",IF(AS74="",AQ74,IF((AS74-1)&lt;($E74+(IF(OR($N74="",$O74=""),0,MAX(0,MIN((AS74-1),$O74)-MAX($N74,$E74)+1))+N($P74))),-1,12*(YEAR((AS74-1))-YEAR(($E74+(IF(OR($N74="",$O74=""),0,MAX(0,MIN((AS74-1),$O74)-MAX($N74,$E74)+1))+N($P74)))))+MONTH((AS74-1))-MONTH(($E74+(IF(OR($N74="",$O74=""),0,MAX(0,MIN((AS74-1),$O74)-MAX($N74,$E74)+1))+N($P74))))-IF(DAY((AS74-1))&lt;MIN(DAY(($E74+(IF(OR($N74="",$O74=""),0,MAX(0,MIN((AS74-1),$O74)-MAX($N74,$E74)+1))+N($P74)))),DAY(EOMONTH((AS74-1),0))),1,0))))</f>
        <v/>
      </c>
      <c r="AV74" s="11" t="str">
        <f aca="false">IF(AO74=0,"",IF($F74="","None",IF(IFERROR(VLOOKUP($F74,TypeTable,2,0),"None")="PT",IF(N($G74)&gt;=PT_MinHours,"PT","None"),IFERROR(VLOOKUP($F74,TypeTable,2,0),"None"))))</f>
        <v/>
      </c>
      <c r="AW74" s="11" t="str">
        <f aca="false">IF(AO74=0,"",IF($I74="","None",IF(IFERROR(VLOOKUP($I74,TypeTable,2,0),"None")="PT",IF(N($J74)&gt;=PT_MinHours,"PT","None"),IFERROR(VLOOKUP($I74,TypeTable,2,0),"None"))))</f>
        <v/>
      </c>
      <c r="AX74" s="11" t="str">
        <f aca="false">IF(AO74=0,"",IF($L74="","None",IF(IFERROR(VLOOKUP($L74,TypeTable,2,0),"None")="PT",IF(N($M74)&gt;=PT_MinHours,"PT","None"),IFERROR(VLOOKUP($L74,TypeTable,2,0),"None"))))</f>
        <v/>
      </c>
      <c r="AY74" s="11" t="str">
        <f aca="false">IF(AO74=0,"",IF(AS74&lt;&gt;"",AX74,IF(AR74&lt;&gt;"",AW74,AV74)))</f>
        <v/>
      </c>
      <c r="AZ74" s="11" t="str">
        <f aca="false">IF(AO74=0,"",IF(AV74="FT",IF(AT74&lt;FT_First,0,IF(AT74&lt;FT_Y5,1+INT((AT74-FT_First)/FT_Int1),FT_PreY5+FT_PerYear*INT((AT74-FT_Y5)/12)+FT_AnnivDays+INT(MOD(AT74-FT_Y5,12)/FT_Int2))),IF(AV74="PT",IF(AT74&lt;PT_First,0,1+INT((AT74-PT_First)/PT_Int)),0)))</f>
        <v/>
      </c>
      <c r="BA74" s="11" t="str">
        <f aca="false">IF(AO74=0,"",IF(AW74="FT",IF(AT74&lt;FT_First,0,IF(AT74&lt;FT_Y5,1+INT((AT74-FT_First)/FT_Int1),FT_PreY5+FT_PerYear*INT((AT74-FT_Y5)/12)+FT_AnnivDays+INT(MOD(AT74-FT_Y5,12)/FT_Int2))),IF(AW74="PT",IF(AT74&lt;PT_First,0,1+INT((AT74-PT_First)/PT_Int)),0)))</f>
        <v/>
      </c>
      <c r="BB74" s="11" t="str">
        <f aca="false">IF(AO74=0,"",IF(AW74="FT",IF(AU74&lt;FT_First,0,IF(AU74&lt;FT_Y5,1+INT((AU74-FT_First)/FT_Int1),FT_PreY5+FT_PerYear*INT((AU74-FT_Y5)/12)+FT_AnnivDays+INT(MOD(AU74-FT_Y5,12)/FT_Int2))),IF(AW74="PT",IF(AU74&lt;PT_First,0,1+INT((AU74-PT_First)/PT_Int)),0)))</f>
        <v/>
      </c>
      <c r="BC74" s="11" t="str">
        <f aca="false">IF(AO74=0,"",IF(AX74="FT",IF(AU74&lt;FT_First,0,IF(AU74&lt;FT_Y5,1+INT((AU74-FT_First)/FT_Int1),FT_PreY5+FT_PerYear*INT((AU74-FT_Y5)/12)+FT_AnnivDays+INT(MOD(AU74-FT_Y5,12)/FT_Int2))),IF(AX74="PT",IF(AU74&lt;PT_First,0,1+INT((AU74-PT_First)/PT_Int)),0)))</f>
        <v/>
      </c>
      <c r="BD74" s="11" t="str">
        <f aca="false">IF(AO74=0,"",IF(AX74="FT",IF(AQ74&lt;FT_First,0,IF(AQ74&lt;FT_Y5,1+INT((AQ74-FT_First)/FT_Int1),FT_PreY5+FT_PerYear*INT((AQ74-FT_Y5)/12)+FT_AnnivDays+INT(MOD(AQ74-FT_Y5,12)/FT_Int2))),IF(AX74="PT",IF(AQ74&lt;PT_First,0,1+INT((AQ74-PT_First)/PT_Int)),0)))</f>
        <v/>
      </c>
      <c r="BE74" s="11" t="str">
        <f aca="false">IF(AO74=0,"",IF(AY74="FT",IF(AQ74&lt;FT_First,FT_First,IF(AQ74&lt;FT_Y5,MIN(FT_Y5,FT_First+FT_Int1*(INT((AQ74-FT_First)/FT_Int1)+1)),FT_Y5+12*INT((AQ74-FT_Y5)/12)+FT_Int2*(INT(MOD(AQ74-FT_Y5,12)/FT_Int2)+1))),IF(AY74="PT",IF(AQ74&lt;PT_First,PT_First,PT_First+PT_Int*(INT((AQ74-PT_First)/PT_Int)+1)),"")))</f>
        <v/>
      </c>
      <c r="BF74" s="11" t="n">
        <f aca="false">IF(AO74=0,0,IF(AND($Q74&lt;&gt;"",$Q74&lt;=AsOfDate),1,0))</f>
        <v>0</v>
      </c>
      <c r="BG74" s="11" t="str">
        <f aca="false">IF(AND(AO74=1,BF74=0,EH_Ready,N(AB74)&gt;0,N(AI74)=0),COUNT($BG$5:BG73)+1,"")</f>
        <v/>
      </c>
      <c r="BH74" s="11" t="str">
        <f aca="false">IF(AND(AO74=1,BF74=0,EH_Ready,N(AB74)&gt;0,N(AI74)&gt;0,N(AK74)&gt;0),COUNT($BH$5:BH73)+1,"")</f>
        <v/>
      </c>
      <c r="BI74" s="11" t="str">
        <f aca="false">IF(AND(AO74=1,OR(LEFT(AM74,3)="ADD",LEFT(AM74,3)="SET",LEFT(AM74,5)="CHECK",LEFT(AM74,10)="TERMINATED")),COUNT($BI$5:BI73)+1,"")</f>
        <v/>
      </c>
      <c r="BJ74" s="11" t="str">
        <f aca="false">IF(AO74=0,"",$A74&amp;" - "&amp;$B74&amp;" "&amp;$C74)</f>
        <v/>
      </c>
    </row>
    <row r="75" customFormat="false" ht="15" hidden="false" customHeight="false" outlineLevel="0" collapsed="false">
      <c r="A75" s="10"/>
      <c r="B75" s="10"/>
      <c r="C75" s="10"/>
      <c r="D75" s="10"/>
      <c r="E75" s="9"/>
      <c r="F75" s="10"/>
      <c r="G75" s="30"/>
      <c r="H75" s="9"/>
      <c r="I75" s="10"/>
      <c r="J75" s="30"/>
      <c r="K75" s="9"/>
      <c r="L75" s="10"/>
      <c r="M75" s="30"/>
      <c r="N75" s="9"/>
      <c r="O75" s="9"/>
      <c r="P75" s="30"/>
      <c r="Q75" s="9"/>
      <c r="R75" s="10"/>
      <c r="S75" s="11" t="str">
        <f aca="false">IF(AO75=0,"",IF($H75="","",$F75&amp;" -&gt; "&amp;$I75&amp;IF($I75="Part-Time"," ("&amp;N($J75)&amp;" hrs)","")&amp;" on "&amp;TEXT($H75,"dd/mm/yyyy")&amp;IF($H75&gt;AsOfDate," (FUTURE)","")&amp;IF($K75="","","; "&amp;$I75&amp;" -&gt; "&amp;$L75&amp;IF($L75="Part-Time"," ("&amp;N($M75)&amp;" hrs)","")&amp;" on "&amp;TEXT($K75,"dd/mm/yyyy")&amp;IF($K75&gt;AsOfDate," (FUTURE)",""))))</f>
        <v/>
      </c>
      <c r="T75" s="11" t="str">
        <f aca="false">IF(AO75=0,"",IF(AS75&lt;&gt;"",$L75,IF(AR75&lt;&gt;"",$I75,$F75)))</f>
        <v/>
      </c>
      <c r="U75" s="26" t="str">
        <f aca="false">IF(AO75=0,"",IF(AS75&lt;&gt;"",$M75,IF(AR75&lt;&gt;"",$J75,$G75)))</f>
        <v/>
      </c>
      <c r="V75" s="11" t="str">
        <f aca="false">IF(AO75=0,"",IF(AY75="FT","Full-Time",IF(AY75="PT","Part-Time","Not eligible")))</f>
        <v/>
      </c>
      <c r="W75" s="27" t="str">
        <f aca="false">IF(AO75=0,"",IF(AR75="",IF(AND($H75&lt;&gt;"",$H75&gt;AsOfDate),"Future change - not yet applied",""),IF(AND(AV75=AY75,OR(AS75="",AW75=AV75)),"Type changed - same accrual pathway",IF(AY75="None","STOPPED accruing from "&amp;TEXT(IF(AS75&lt;&gt;"",AS75,AR75),"dd/mm/yyyy"),IF(AV75="None","STARTED qualifying from "&amp;TEXT(IF(AS75&lt;&gt;"",AS75,AR75),"dd/mm/yyyy"),"Pathway changed "&amp;AV75&amp;" -&gt; "&amp;AW75&amp;IF(AS75&lt;&gt;""," -&gt; "&amp;AX75,"")&amp;" from "&amp;TEXT(IF(AS75&lt;&gt;"",AS75,AR75),"dd/mm/yyyy"))))))</f>
        <v/>
      </c>
      <c r="X75" s="28" t="str">
        <f aca="false">IF(AO75=0,"",IF($Q75="",AsOfDate,MIN(AsOfDate,$Q75)))</f>
        <v/>
      </c>
      <c r="Y75" s="26" t="str">
        <f aca="false">IF(AO75=0,"",MAX(0,AQ75))</f>
        <v/>
      </c>
      <c r="Z75" s="11" t="str">
        <f aca="false">IF(AO75=0,"",IF(AQ75&lt;0,"Not started",INT(AQ75/12)&amp;"y "&amp;MOD(AQ75,12)&amp;"m"))</f>
        <v/>
      </c>
      <c r="AA75" s="27" t="str">
        <f aca="false">IF(AO75=0,"",IF(BF75=1,"Terminated - balance forfeited",IF(AY75="None",IF(AB75&gt;0,"No longer accruing - "&amp;T75,"Not eligible - "&amp;T75&amp;IF(AND(IFERROR(VLOOKUP(T75,TypeTable,2,0),"None")="PT",N(U75)&lt;PT_MinHours)," (under "&amp;PT_MinHours&amp;" hrs)","")),IF(AB75&gt;0,"Yes - accruing","Not yet - qualifies "&amp;TEXT(AD75,"dd/mm/yyyy")))))</f>
        <v/>
      </c>
      <c r="AB75" s="26" t="str">
        <f aca="false">IF(AO75=0,"",AZ75+IF(AR75="",0,BB75-BA75)+IF(AS75="",0,BD75-BC75))</f>
        <v/>
      </c>
      <c r="AC75" s="26" t="str">
        <f aca="false">IF(AO75=0,"",AB75*HoursPerDay)</f>
        <v/>
      </c>
      <c r="AD75" s="28" t="str">
        <f aca="false">IF(AO75=0,"",IF(OR(BF75=1,AY75="None"),"",EDATE($E75+AP75,BE75)))</f>
        <v/>
      </c>
      <c r="AE75" s="26" t="str">
        <f aca="false">IF(AD75="","",IF(AY75="PT",1,IF(BE75&lt;FT_Y5,1,IF(MOD(BE75-FT_Y5,12)=0,FT_AnnivDays,1))))</f>
        <v/>
      </c>
      <c r="AF75" s="27" t="str">
        <f aca="false">IF(AO75=0,"",IF(NOT(EH_Ready),"Map headers",IF(IF(MatchMode="Employee ID",COUNTIFS(INDEX(EH_Data,0,EH_ColID),$A75,INDEX(EH_Data,0,EH_ColCat),BonusCat),COUNTIFS(INDEX(EH_Data,0,EH_ColFirst),$B75,INDEX(EH_Data,0,EH_ColSur),$C75,INDEX(EH_Data,0,EH_ColCat),BonusCat))&gt;0,"Yes","No")))</f>
        <v/>
      </c>
      <c r="AG75" s="26" t="str">
        <f aca="false">IF(AO75=0,"",IF(NOT(EH_Ready),"",IF(MatchMode="Employee ID",SUMIFS(INDEX(EH_Data,0,EH_ColBal),INDEX(EH_Data,0,EH_ColID),$A75,INDEX(EH_Data,0,EH_ColCat),BonusCat),SUMIFS(INDEX(EH_Data,0,EH_ColBal),INDEX(EH_Data,0,EH_ColFirst),$B75,INDEX(EH_Data,0,EH_ColSur),$C75,INDEX(EH_Data,0,EH_ColCat),BonusCat))/IF(EHUnit="Hours",HoursPerDay,1)))</f>
        <v/>
      </c>
      <c r="AH75" s="26" t="str">
        <f aca="false">IF(AO75=0,"",IF(NOT(TK_Ready),0,IF(MatchMode="Employee ID",SUMIFS(INDEX(TK_Data,0,TK_ColAmt),INDEX(TK_Data,0,TK_ColID),$A75,INDEX(TK_Data,0,TK_ColCat),BonusCat),SUMIFS(INDEX(TK_Data,0,TK_ColAmt),INDEX(TK_Data,0,TK_ColFirst),$B75,INDEX(TK_Data,0,TK_ColSur),$C75,INDEX(TK_Data,0,TK_ColCat),BonusCat))/IF(TKUnit="Hours",HoursPerDay,1)))</f>
        <v/>
      </c>
      <c r="AI75" s="26" t="str">
        <f aca="false">IF(AO75=0,"",N(AG75)+N(AH75))</f>
        <v/>
      </c>
      <c r="AJ75" s="29" t="str">
        <f aca="false">IF(AO75=0,"",IF(NOT(AND(EH_Ready,EH_ValReady)),"",IF(MatchMode="Employee ID",SUMIFS(INDEX(EH_Data,0,EH_ColVal),INDEX(EH_Data,0,EH_ColID),$A75,INDEX(EH_Data,0,EH_ColCat),BonusCat),SUMIFS(INDEX(EH_Data,0,EH_ColVal),INDEX(EH_Data,0,EH_ColFirst),$B75,INDEX(EH_Data,0,EH_ColSur),$C75,INDEX(EH_Data,0,EH_ColCat),BonusCat))))</f>
        <v/>
      </c>
      <c r="AK75" s="26" t="str">
        <f aca="false">IF(AO75=0,"",IF(OR(NOT(EH_Ready),BF75=1),"",AB75-AI75))</f>
        <v/>
      </c>
      <c r="AL75" s="26" t="str">
        <f aca="false">IF(AK75="","",AK75*HoursPerDay)</f>
        <v/>
      </c>
      <c r="AM75" s="27" t="str">
        <f aca="false">IF(AO75=0,"",IF(BF75=1,IF(N(AG75)&gt;0,"TERMINATED - forfeit "&amp;TEXT(AG75,"0.##")&amp;" days still in EH","Terminated - nothing in EH"),IF(NOT(EH_Ready),"Paste EH export and map headers on Settings",IF(AND(AB75&gt;0,AF75="No"),"SET UP in EH - add "&amp;TEXT(AB75,"0.##")&amp;" day(s) ("&amp;TEXT(AC75,"0.##")&amp;" hrs)",IF(AK75&gt;0,"ADD "&amp;TEXT(AK75,"0.##")&amp;" day(s) ("&amp;TEXT(AL75,"0.##")&amp;" hrs) in EH",IF(AK75&lt;0,"CHECK - EH shows "&amp;TEXT(-AK75,"0.##")&amp;" days more than policy",IF(AB75&gt;0,"OK - up to date",IF(AY75="None","No action - not eligible","No action - not yet qualified"))))))))</f>
        <v/>
      </c>
      <c r="AN75" s="27" t="str">
        <f aca="false">IF(AO75=0,"",TRIM(IF(AND($K75&lt;&gt;"",$H75=""),"Change 2 entered without Change 1. ","")&amp;IF(AND($K75&lt;&gt;"",$H75&lt;&gt;"",$K75&lt;=$H75),"Change 2 date not after Change 1. ","")&amp;IF(AND($N75&lt;&gt;"",$O75&lt;&gt;"",$O75&lt;$N75),"Leave To is before Leave From. ","")&amp;IF(AND($N75&lt;&gt;"",$O75=""),"Leave From entered without Leave To. ","")&amp;IF(AND(IFERROR(VLOOKUP(T75,TypeTable,2,0),"None")="PT",U75=""),"Part-time with no hours entered. ","")&amp;IF(AND($H75&lt;&gt;"",$H75&gt;AsOfDate,AD75&lt;&gt;"",$H75&lt;=AD75),"Status change lands before next accrual - review. ","")&amp;IF(AND($Q75&lt;&gt;"",$Q75&lt;$E75),"Termination before commencement. ","")))</f>
        <v/>
      </c>
      <c r="AO75" s="11" t="n">
        <f aca="false">IF(LEN($A75&amp;$B75&amp;$C75)=0,0,IF($E75="",0,1))</f>
        <v>0</v>
      </c>
      <c r="AP75" s="11" t="str">
        <f aca="false">IF(AO75=0,"",(IF(OR($N75="",$O75=""),0,MAX(0,MIN(X75,$O75)-MAX($N75,$E75)+1))+N($P75)))</f>
        <v/>
      </c>
      <c r="AQ75" s="11" t="str">
        <f aca="false">IF(AO75=0,"",IF(X75&lt;($E75+(IF(OR($N75="",$O75=""),0,MAX(0,MIN(X75,$O75)-MAX($N75,$E75)+1))+N($P75))),-1,12*(YEAR(X75)-YEAR(($E75+(IF(OR($N75="",$O75=""),0,MAX(0,MIN(X75,$O75)-MAX($N75,$E75)+1))+N($P75)))))+MONTH(X75)-MONTH(($E75+(IF(OR($N75="",$O75=""),0,MAX(0,MIN(X75,$O75)-MAX($N75,$E75)+1))+N($P75))))-IF(DAY(X75)&lt;MIN(DAY(($E75+(IF(OR($N75="",$O75=""),0,MAX(0,MIN(X75,$O75)-MAX($N75,$E75)+1))+N($P75)))),DAY(EOMONTH(X75,0))),1,0)))</f>
        <v/>
      </c>
      <c r="AR75" s="28" t="str">
        <f aca="false">IF(AO75=0,"",IF($H75="","",IF($H75&gt;X75,"",$H75)))</f>
        <v/>
      </c>
      <c r="AS75" s="28" t="str">
        <f aca="false">IF(AO75=0,"",IF(AR75="","",IF($K75="","",IF($K75&gt;X75,"",$K75))))</f>
        <v/>
      </c>
      <c r="AT75" s="11" t="str">
        <f aca="false">IF(AO75=0,"",IF(AR75="",AQ75,IF((AR75-1)&lt;($E75+(IF(OR($N75="",$O75=""),0,MAX(0,MIN((AR75-1),$O75)-MAX($N75,$E75)+1))+N($P75))),-1,12*(YEAR((AR75-1))-YEAR(($E75+(IF(OR($N75="",$O75=""),0,MAX(0,MIN((AR75-1),$O75)-MAX($N75,$E75)+1))+N($P75)))))+MONTH((AR75-1))-MONTH(($E75+(IF(OR($N75="",$O75=""),0,MAX(0,MIN((AR75-1),$O75)-MAX($N75,$E75)+1))+N($P75))))-IF(DAY((AR75-1))&lt;MIN(DAY(($E75+(IF(OR($N75="",$O75=""),0,MAX(0,MIN((AR75-1),$O75)-MAX($N75,$E75)+1))+N($P75)))),DAY(EOMONTH((AR75-1),0))),1,0))))</f>
        <v/>
      </c>
      <c r="AU75" s="11" t="str">
        <f aca="false">IF(AO75=0,"",IF(AS75="",AQ75,IF((AS75-1)&lt;($E75+(IF(OR($N75="",$O75=""),0,MAX(0,MIN((AS75-1),$O75)-MAX($N75,$E75)+1))+N($P75))),-1,12*(YEAR((AS75-1))-YEAR(($E75+(IF(OR($N75="",$O75=""),0,MAX(0,MIN((AS75-1),$O75)-MAX($N75,$E75)+1))+N($P75)))))+MONTH((AS75-1))-MONTH(($E75+(IF(OR($N75="",$O75=""),0,MAX(0,MIN((AS75-1),$O75)-MAX($N75,$E75)+1))+N($P75))))-IF(DAY((AS75-1))&lt;MIN(DAY(($E75+(IF(OR($N75="",$O75=""),0,MAX(0,MIN((AS75-1),$O75)-MAX($N75,$E75)+1))+N($P75)))),DAY(EOMONTH((AS75-1),0))),1,0))))</f>
        <v/>
      </c>
      <c r="AV75" s="11" t="str">
        <f aca="false">IF(AO75=0,"",IF($F75="","None",IF(IFERROR(VLOOKUP($F75,TypeTable,2,0),"None")="PT",IF(N($G75)&gt;=PT_MinHours,"PT","None"),IFERROR(VLOOKUP($F75,TypeTable,2,0),"None"))))</f>
        <v/>
      </c>
      <c r="AW75" s="11" t="str">
        <f aca="false">IF(AO75=0,"",IF($I75="","None",IF(IFERROR(VLOOKUP($I75,TypeTable,2,0),"None")="PT",IF(N($J75)&gt;=PT_MinHours,"PT","None"),IFERROR(VLOOKUP($I75,TypeTable,2,0),"None"))))</f>
        <v/>
      </c>
      <c r="AX75" s="11" t="str">
        <f aca="false">IF(AO75=0,"",IF($L75="","None",IF(IFERROR(VLOOKUP($L75,TypeTable,2,0),"None")="PT",IF(N($M75)&gt;=PT_MinHours,"PT","None"),IFERROR(VLOOKUP($L75,TypeTable,2,0),"None"))))</f>
        <v/>
      </c>
      <c r="AY75" s="11" t="str">
        <f aca="false">IF(AO75=0,"",IF(AS75&lt;&gt;"",AX75,IF(AR75&lt;&gt;"",AW75,AV75)))</f>
        <v/>
      </c>
      <c r="AZ75" s="11" t="str">
        <f aca="false">IF(AO75=0,"",IF(AV75="FT",IF(AT75&lt;FT_First,0,IF(AT75&lt;FT_Y5,1+INT((AT75-FT_First)/FT_Int1),FT_PreY5+FT_PerYear*INT((AT75-FT_Y5)/12)+FT_AnnivDays+INT(MOD(AT75-FT_Y5,12)/FT_Int2))),IF(AV75="PT",IF(AT75&lt;PT_First,0,1+INT((AT75-PT_First)/PT_Int)),0)))</f>
        <v/>
      </c>
      <c r="BA75" s="11" t="str">
        <f aca="false">IF(AO75=0,"",IF(AW75="FT",IF(AT75&lt;FT_First,0,IF(AT75&lt;FT_Y5,1+INT((AT75-FT_First)/FT_Int1),FT_PreY5+FT_PerYear*INT((AT75-FT_Y5)/12)+FT_AnnivDays+INT(MOD(AT75-FT_Y5,12)/FT_Int2))),IF(AW75="PT",IF(AT75&lt;PT_First,0,1+INT((AT75-PT_First)/PT_Int)),0)))</f>
        <v/>
      </c>
      <c r="BB75" s="11" t="str">
        <f aca="false">IF(AO75=0,"",IF(AW75="FT",IF(AU75&lt;FT_First,0,IF(AU75&lt;FT_Y5,1+INT((AU75-FT_First)/FT_Int1),FT_PreY5+FT_PerYear*INT((AU75-FT_Y5)/12)+FT_AnnivDays+INT(MOD(AU75-FT_Y5,12)/FT_Int2))),IF(AW75="PT",IF(AU75&lt;PT_First,0,1+INT((AU75-PT_First)/PT_Int)),0)))</f>
        <v/>
      </c>
      <c r="BC75" s="11" t="str">
        <f aca="false">IF(AO75=0,"",IF(AX75="FT",IF(AU75&lt;FT_First,0,IF(AU75&lt;FT_Y5,1+INT((AU75-FT_First)/FT_Int1),FT_PreY5+FT_PerYear*INT((AU75-FT_Y5)/12)+FT_AnnivDays+INT(MOD(AU75-FT_Y5,12)/FT_Int2))),IF(AX75="PT",IF(AU75&lt;PT_First,0,1+INT((AU75-PT_First)/PT_Int)),0)))</f>
        <v/>
      </c>
      <c r="BD75" s="11" t="str">
        <f aca="false">IF(AO75=0,"",IF(AX75="FT",IF(AQ75&lt;FT_First,0,IF(AQ75&lt;FT_Y5,1+INT((AQ75-FT_First)/FT_Int1),FT_PreY5+FT_PerYear*INT((AQ75-FT_Y5)/12)+FT_AnnivDays+INT(MOD(AQ75-FT_Y5,12)/FT_Int2))),IF(AX75="PT",IF(AQ75&lt;PT_First,0,1+INT((AQ75-PT_First)/PT_Int)),0)))</f>
        <v/>
      </c>
      <c r="BE75" s="11" t="str">
        <f aca="false">IF(AO75=0,"",IF(AY75="FT",IF(AQ75&lt;FT_First,FT_First,IF(AQ75&lt;FT_Y5,MIN(FT_Y5,FT_First+FT_Int1*(INT((AQ75-FT_First)/FT_Int1)+1)),FT_Y5+12*INT((AQ75-FT_Y5)/12)+FT_Int2*(INT(MOD(AQ75-FT_Y5,12)/FT_Int2)+1))),IF(AY75="PT",IF(AQ75&lt;PT_First,PT_First,PT_First+PT_Int*(INT((AQ75-PT_First)/PT_Int)+1)),"")))</f>
        <v/>
      </c>
      <c r="BF75" s="11" t="n">
        <f aca="false">IF(AO75=0,0,IF(AND($Q75&lt;&gt;"",$Q75&lt;=AsOfDate),1,0))</f>
        <v>0</v>
      </c>
      <c r="BG75" s="11" t="str">
        <f aca="false">IF(AND(AO75=1,BF75=0,EH_Ready,N(AB75)&gt;0,N(AI75)=0),COUNT($BG$5:BG74)+1,"")</f>
        <v/>
      </c>
      <c r="BH75" s="11" t="str">
        <f aca="false">IF(AND(AO75=1,BF75=0,EH_Ready,N(AB75)&gt;0,N(AI75)&gt;0,N(AK75)&gt;0),COUNT($BH$5:BH74)+1,"")</f>
        <v/>
      </c>
      <c r="BI75" s="11" t="str">
        <f aca="false">IF(AND(AO75=1,OR(LEFT(AM75,3)="ADD",LEFT(AM75,3)="SET",LEFT(AM75,5)="CHECK",LEFT(AM75,10)="TERMINATED")),COUNT($BI$5:BI74)+1,"")</f>
        <v/>
      </c>
      <c r="BJ75" s="11" t="str">
        <f aca="false">IF(AO75=0,"",$A75&amp;" - "&amp;$B75&amp;" "&amp;$C75)</f>
        <v/>
      </c>
    </row>
    <row r="76" customFormat="false" ht="15" hidden="false" customHeight="false" outlineLevel="0" collapsed="false">
      <c r="A76" s="10"/>
      <c r="B76" s="10"/>
      <c r="C76" s="10"/>
      <c r="D76" s="10"/>
      <c r="E76" s="9"/>
      <c r="F76" s="10"/>
      <c r="G76" s="30"/>
      <c r="H76" s="9"/>
      <c r="I76" s="10"/>
      <c r="J76" s="30"/>
      <c r="K76" s="9"/>
      <c r="L76" s="10"/>
      <c r="M76" s="30"/>
      <c r="N76" s="9"/>
      <c r="O76" s="9"/>
      <c r="P76" s="30"/>
      <c r="Q76" s="9"/>
      <c r="R76" s="10"/>
      <c r="S76" s="11" t="str">
        <f aca="false">IF(AO76=0,"",IF($H76="","",$F76&amp;" -&gt; "&amp;$I76&amp;IF($I76="Part-Time"," ("&amp;N($J76)&amp;" hrs)","")&amp;" on "&amp;TEXT($H76,"dd/mm/yyyy")&amp;IF($H76&gt;AsOfDate," (FUTURE)","")&amp;IF($K76="","","; "&amp;$I76&amp;" -&gt; "&amp;$L76&amp;IF($L76="Part-Time"," ("&amp;N($M76)&amp;" hrs)","")&amp;" on "&amp;TEXT($K76,"dd/mm/yyyy")&amp;IF($K76&gt;AsOfDate," (FUTURE)",""))))</f>
        <v/>
      </c>
      <c r="T76" s="11" t="str">
        <f aca="false">IF(AO76=0,"",IF(AS76&lt;&gt;"",$L76,IF(AR76&lt;&gt;"",$I76,$F76)))</f>
        <v/>
      </c>
      <c r="U76" s="26" t="str">
        <f aca="false">IF(AO76=0,"",IF(AS76&lt;&gt;"",$M76,IF(AR76&lt;&gt;"",$J76,$G76)))</f>
        <v/>
      </c>
      <c r="V76" s="11" t="str">
        <f aca="false">IF(AO76=0,"",IF(AY76="FT","Full-Time",IF(AY76="PT","Part-Time","Not eligible")))</f>
        <v/>
      </c>
      <c r="W76" s="27" t="str">
        <f aca="false">IF(AO76=0,"",IF(AR76="",IF(AND($H76&lt;&gt;"",$H76&gt;AsOfDate),"Future change - not yet applied",""),IF(AND(AV76=AY76,OR(AS76="",AW76=AV76)),"Type changed - same accrual pathway",IF(AY76="None","STOPPED accruing from "&amp;TEXT(IF(AS76&lt;&gt;"",AS76,AR76),"dd/mm/yyyy"),IF(AV76="None","STARTED qualifying from "&amp;TEXT(IF(AS76&lt;&gt;"",AS76,AR76),"dd/mm/yyyy"),"Pathway changed "&amp;AV76&amp;" -&gt; "&amp;AW76&amp;IF(AS76&lt;&gt;""," -&gt; "&amp;AX76,"")&amp;" from "&amp;TEXT(IF(AS76&lt;&gt;"",AS76,AR76),"dd/mm/yyyy"))))))</f>
        <v/>
      </c>
      <c r="X76" s="28" t="str">
        <f aca="false">IF(AO76=0,"",IF($Q76="",AsOfDate,MIN(AsOfDate,$Q76)))</f>
        <v/>
      </c>
      <c r="Y76" s="26" t="str">
        <f aca="false">IF(AO76=0,"",MAX(0,AQ76))</f>
        <v/>
      </c>
      <c r="Z76" s="11" t="str">
        <f aca="false">IF(AO76=0,"",IF(AQ76&lt;0,"Not started",INT(AQ76/12)&amp;"y "&amp;MOD(AQ76,12)&amp;"m"))</f>
        <v/>
      </c>
      <c r="AA76" s="27" t="str">
        <f aca="false">IF(AO76=0,"",IF(BF76=1,"Terminated - balance forfeited",IF(AY76="None",IF(AB76&gt;0,"No longer accruing - "&amp;T76,"Not eligible - "&amp;T76&amp;IF(AND(IFERROR(VLOOKUP(T76,TypeTable,2,0),"None")="PT",N(U76)&lt;PT_MinHours)," (under "&amp;PT_MinHours&amp;" hrs)","")),IF(AB76&gt;0,"Yes - accruing","Not yet - qualifies "&amp;TEXT(AD76,"dd/mm/yyyy")))))</f>
        <v/>
      </c>
      <c r="AB76" s="26" t="str">
        <f aca="false">IF(AO76=0,"",AZ76+IF(AR76="",0,BB76-BA76)+IF(AS76="",0,BD76-BC76))</f>
        <v/>
      </c>
      <c r="AC76" s="26" t="str">
        <f aca="false">IF(AO76=0,"",AB76*HoursPerDay)</f>
        <v/>
      </c>
      <c r="AD76" s="28" t="str">
        <f aca="false">IF(AO76=0,"",IF(OR(BF76=1,AY76="None"),"",EDATE($E76+AP76,BE76)))</f>
        <v/>
      </c>
      <c r="AE76" s="26" t="str">
        <f aca="false">IF(AD76="","",IF(AY76="PT",1,IF(BE76&lt;FT_Y5,1,IF(MOD(BE76-FT_Y5,12)=0,FT_AnnivDays,1))))</f>
        <v/>
      </c>
      <c r="AF76" s="27" t="str">
        <f aca="false">IF(AO76=0,"",IF(NOT(EH_Ready),"Map headers",IF(IF(MatchMode="Employee ID",COUNTIFS(INDEX(EH_Data,0,EH_ColID),$A76,INDEX(EH_Data,0,EH_ColCat),BonusCat),COUNTIFS(INDEX(EH_Data,0,EH_ColFirst),$B76,INDEX(EH_Data,0,EH_ColSur),$C76,INDEX(EH_Data,0,EH_ColCat),BonusCat))&gt;0,"Yes","No")))</f>
        <v/>
      </c>
      <c r="AG76" s="26" t="str">
        <f aca="false">IF(AO76=0,"",IF(NOT(EH_Ready),"",IF(MatchMode="Employee ID",SUMIFS(INDEX(EH_Data,0,EH_ColBal),INDEX(EH_Data,0,EH_ColID),$A76,INDEX(EH_Data,0,EH_ColCat),BonusCat),SUMIFS(INDEX(EH_Data,0,EH_ColBal),INDEX(EH_Data,0,EH_ColFirst),$B76,INDEX(EH_Data,0,EH_ColSur),$C76,INDEX(EH_Data,0,EH_ColCat),BonusCat))/IF(EHUnit="Hours",HoursPerDay,1)))</f>
        <v/>
      </c>
      <c r="AH76" s="26" t="str">
        <f aca="false">IF(AO76=0,"",IF(NOT(TK_Ready),0,IF(MatchMode="Employee ID",SUMIFS(INDEX(TK_Data,0,TK_ColAmt),INDEX(TK_Data,0,TK_ColID),$A76,INDEX(TK_Data,0,TK_ColCat),BonusCat),SUMIFS(INDEX(TK_Data,0,TK_ColAmt),INDEX(TK_Data,0,TK_ColFirst),$B76,INDEX(TK_Data,0,TK_ColSur),$C76,INDEX(TK_Data,0,TK_ColCat),BonusCat))/IF(TKUnit="Hours",HoursPerDay,1)))</f>
        <v/>
      </c>
      <c r="AI76" s="26" t="str">
        <f aca="false">IF(AO76=0,"",N(AG76)+N(AH76))</f>
        <v/>
      </c>
      <c r="AJ76" s="29" t="str">
        <f aca="false">IF(AO76=0,"",IF(NOT(AND(EH_Ready,EH_ValReady)),"",IF(MatchMode="Employee ID",SUMIFS(INDEX(EH_Data,0,EH_ColVal),INDEX(EH_Data,0,EH_ColID),$A76,INDEX(EH_Data,0,EH_ColCat),BonusCat),SUMIFS(INDEX(EH_Data,0,EH_ColVal),INDEX(EH_Data,0,EH_ColFirst),$B76,INDEX(EH_Data,0,EH_ColSur),$C76,INDEX(EH_Data,0,EH_ColCat),BonusCat))))</f>
        <v/>
      </c>
      <c r="AK76" s="26" t="str">
        <f aca="false">IF(AO76=0,"",IF(OR(NOT(EH_Ready),BF76=1),"",AB76-AI76))</f>
        <v/>
      </c>
      <c r="AL76" s="26" t="str">
        <f aca="false">IF(AK76="","",AK76*HoursPerDay)</f>
        <v/>
      </c>
      <c r="AM76" s="27" t="str">
        <f aca="false">IF(AO76=0,"",IF(BF76=1,IF(N(AG76)&gt;0,"TERMINATED - forfeit "&amp;TEXT(AG76,"0.##")&amp;" days still in EH","Terminated - nothing in EH"),IF(NOT(EH_Ready),"Paste EH export and map headers on Settings",IF(AND(AB76&gt;0,AF76="No"),"SET UP in EH - add "&amp;TEXT(AB76,"0.##")&amp;" day(s) ("&amp;TEXT(AC76,"0.##")&amp;" hrs)",IF(AK76&gt;0,"ADD "&amp;TEXT(AK76,"0.##")&amp;" day(s) ("&amp;TEXT(AL76,"0.##")&amp;" hrs) in EH",IF(AK76&lt;0,"CHECK - EH shows "&amp;TEXT(-AK76,"0.##")&amp;" days more than policy",IF(AB76&gt;0,"OK - up to date",IF(AY76="None","No action - not eligible","No action - not yet qualified"))))))))</f>
        <v/>
      </c>
      <c r="AN76" s="27" t="str">
        <f aca="false">IF(AO76=0,"",TRIM(IF(AND($K76&lt;&gt;"",$H76=""),"Change 2 entered without Change 1. ","")&amp;IF(AND($K76&lt;&gt;"",$H76&lt;&gt;"",$K76&lt;=$H76),"Change 2 date not after Change 1. ","")&amp;IF(AND($N76&lt;&gt;"",$O76&lt;&gt;"",$O76&lt;$N76),"Leave To is before Leave From. ","")&amp;IF(AND($N76&lt;&gt;"",$O76=""),"Leave From entered without Leave To. ","")&amp;IF(AND(IFERROR(VLOOKUP(T76,TypeTable,2,0),"None")="PT",U76=""),"Part-time with no hours entered. ","")&amp;IF(AND($H76&lt;&gt;"",$H76&gt;AsOfDate,AD76&lt;&gt;"",$H76&lt;=AD76),"Status change lands before next accrual - review. ","")&amp;IF(AND($Q76&lt;&gt;"",$Q76&lt;$E76),"Termination before commencement. ","")))</f>
        <v/>
      </c>
      <c r="AO76" s="11" t="n">
        <f aca="false">IF(LEN($A76&amp;$B76&amp;$C76)=0,0,IF($E76="",0,1))</f>
        <v>0</v>
      </c>
      <c r="AP76" s="11" t="str">
        <f aca="false">IF(AO76=0,"",(IF(OR($N76="",$O76=""),0,MAX(0,MIN(X76,$O76)-MAX($N76,$E76)+1))+N($P76)))</f>
        <v/>
      </c>
      <c r="AQ76" s="11" t="str">
        <f aca="false">IF(AO76=0,"",IF(X76&lt;($E76+(IF(OR($N76="",$O76=""),0,MAX(0,MIN(X76,$O76)-MAX($N76,$E76)+1))+N($P76))),-1,12*(YEAR(X76)-YEAR(($E76+(IF(OR($N76="",$O76=""),0,MAX(0,MIN(X76,$O76)-MAX($N76,$E76)+1))+N($P76)))))+MONTH(X76)-MONTH(($E76+(IF(OR($N76="",$O76=""),0,MAX(0,MIN(X76,$O76)-MAX($N76,$E76)+1))+N($P76))))-IF(DAY(X76)&lt;MIN(DAY(($E76+(IF(OR($N76="",$O76=""),0,MAX(0,MIN(X76,$O76)-MAX($N76,$E76)+1))+N($P76)))),DAY(EOMONTH(X76,0))),1,0)))</f>
        <v/>
      </c>
      <c r="AR76" s="28" t="str">
        <f aca="false">IF(AO76=0,"",IF($H76="","",IF($H76&gt;X76,"",$H76)))</f>
        <v/>
      </c>
      <c r="AS76" s="28" t="str">
        <f aca="false">IF(AO76=0,"",IF(AR76="","",IF($K76="","",IF($K76&gt;X76,"",$K76))))</f>
        <v/>
      </c>
      <c r="AT76" s="11" t="str">
        <f aca="false">IF(AO76=0,"",IF(AR76="",AQ76,IF((AR76-1)&lt;($E76+(IF(OR($N76="",$O76=""),0,MAX(0,MIN((AR76-1),$O76)-MAX($N76,$E76)+1))+N($P76))),-1,12*(YEAR((AR76-1))-YEAR(($E76+(IF(OR($N76="",$O76=""),0,MAX(0,MIN((AR76-1),$O76)-MAX($N76,$E76)+1))+N($P76)))))+MONTH((AR76-1))-MONTH(($E76+(IF(OR($N76="",$O76=""),0,MAX(0,MIN((AR76-1),$O76)-MAX($N76,$E76)+1))+N($P76))))-IF(DAY((AR76-1))&lt;MIN(DAY(($E76+(IF(OR($N76="",$O76=""),0,MAX(0,MIN((AR76-1),$O76)-MAX($N76,$E76)+1))+N($P76)))),DAY(EOMONTH((AR76-1),0))),1,0))))</f>
        <v/>
      </c>
      <c r="AU76" s="11" t="str">
        <f aca="false">IF(AO76=0,"",IF(AS76="",AQ76,IF((AS76-1)&lt;($E76+(IF(OR($N76="",$O76=""),0,MAX(0,MIN((AS76-1),$O76)-MAX($N76,$E76)+1))+N($P76))),-1,12*(YEAR((AS76-1))-YEAR(($E76+(IF(OR($N76="",$O76=""),0,MAX(0,MIN((AS76-1),$O76)-MAX($N76,$E76)+1))+N($P76)))))+MONTH((AS76-1))-MONTH(($E76+(IF(OR($N76="",$O76=""),0,MAX(0,MIN((AS76-1),$O76)-MAX($N76,$E76)+1))+N($P76))))-IF(DAY((AS76-1))&lt;MIN(DAY(($E76+(IF(OR($N76="",$O76=""),0,MAX(0,MIN((AS76-1),$O76)-MAX($N76,$E76)+1))+N($P76)))),DAY(EOMONTH((AS76-1),0))),1,0))))</f>
        <v/>
      </c>
      <c r="AV76" s="11" t="str">
        <f aca="false">IF(AO76=0,"",IF($F76="","None",IF(IFERROR(VLOOKUP($F76,TypeTable,2,0),"None")="PT",IF(N($G76)&gt;=PT_MinHours,"PT","None"),IFERROR(VLOOKUP($F76,TypeTable,2,0),"None"))))</f>
        <v/>
      </c>
      <c r="AW76" s="11" t="str">
        <f aca="false">IF(AO76=0,"",IF($I76="","None",IF(IFERROR(VLOOKUP($I76,TypeTable,2,0),"None")="PT",IF(N($J76)&gt;=PT_MinHours,"PT","None"),IFERROR(VLOOKUP($I76,TypeTable,2,0),"None"))))</f>
        <v/>
      </c>
      <c r="AX76" s="11" t="str">
        <f aca="false">IF(AO76=0,"",IF($L76="","None",IF(IFERROR(VLOOKUP($L76,TypeTable,2,0),"None")="PT",IF(N($M76)&gt;=PT_MinHours,"PT","None"),IFERROR(VLOOKUP($L76,TypeTable,2,0),"None"))))</f>
        <v/>
      </c>
      <c r="AY76" s="11" t="str">
        <f aca="false">IF(AO76=0,"",IF(AS76&lt;&gt;"",AX76,IF(AR76&lt;&gt;"",AW76,AV76)))</f>
        <v/>
      </c>
      <c r="AZ76" s="11" t="str">
        <f aca="false">IF(AO76=0,"",IF(AV76="FT",IF(AT76&lt;FT_First,0,IF(AT76&lt;FT_Y5,1+INT((AT76-FT_First)/FT_Int1),FT_PreY5+FT_PerYear*INT((AT76-FT_Y5)/12)+FT_AnnivDays+INT(MOD(AT76-FT_Y5,12)/FT_Int2))),IF(AV76="PT",IF(AT76&lt;PT_First,0,1+INT((AT76-PT_First)/PT_Int)),0)))</f>
        <v/>
      </c>
      <c r="BA76" s="11" t="str">
        <f aca="false">IF(AO76=0,"",IF(AW76="FT",IF(AT76&lt;FT_First,0,IF(AT76&lt;FT_Y5,1+INT((AT76-FT_First)/FT_Int1),FT_PreY5+FT_PerYear*INT((AT76-FT_Y5)/12)+FT_AnnivDays+INT(MOD(AT76-FT_Y5,12)/FT_Int2))),IF(AW76="PT",IF(AT76&lt;PT_First,0,1+INT((AT76-PT_First)/PT_Int)),0)))</f>
        <v/>
      </c>
      <c r="BB76" s="11" t="str">
        <f aca="false">IF(AO76=0,"",IF(AW76="FT",IF(AU76&lt;FT_First,0,IF(AU76&lt;FT_Y5,1+INT((AU76-FT_First)/FT_Int1),FT_PreY5+FT_PerYear*INT((AU76-FT_Y5)/12)+FT_AnnivDays+INT(MOD(AU76-FT_Y5,12)/FT_Int2))),IF(AW76="PT",IF(AU76&lt;PT_First,0,1+INT((AU76-PT_First)/PT_Int)),0)))</f>
        <v/>
      </c>
      <c r="BC76" s="11" t="str">
        <f aca="false">IF(AO76=0,"",IF(AX76="FT",IF(AU76&lt;FT_First,0,IF(AU76&lt;FT_Y5,1+INT((AU76-FT_First)/FT_Int1),FT_PreY5+FT_PerYear*INT((AU76-FT_Y5)/12)+FT_AnnivDays+INT(MOD(AU76-FT_Y5,12)/FT_Int2))),IF(AX76="PT",IF(AU76&lt;PT_First,0,1+INT((AU76-PT_First)/PT_Int)),0)))</f>
        <v/>
      </c>
      <c r="BD76" s="11" t="str">
        <f aca="false">IF(AO76=0,"",IF(AX76="FT",IF(AQ76&lt;FT_First,0,IF(AQ76&lt;FT_Y5,1+INT((AQ76-FT_First)/FT_Int1),FT_PreY5+FT_PerYear*INT((AQ76-FT_Y5)/12)+FT_AnnivDays+INT(MOD(AQ76-FT_Y5,12)/FT_Int2))),IF(AX76="PT",IF(AQ76&lt;PT_First,0,1+INT((AQ76-PT_First)/PT_Int)),0)))</f>
        <v/>
      </c>
      <c r="BE76" s="11" t="str">
        <f aca="false">IF(AO76=0,"",IF(AY76="FT",IF(AQ76&lt;FT_First,FT_First,IF(AQ76&lt;FT_Y5,MIN(FT_Y5,FT_First+FT_Int1*(INT((AQ76-FT_First)/FT_Int1)+1)),FT_Y5+12*INT((AQ76-FT_Y5)/12)+FT_Int2*(INT(MOD(AQ76-FT_Y5,12)/FT_Int2)+1))),IF(AY76="PT",IF(AQ76&lt;PT_First,PT_First,PT_First+PT_Int*(INT((AQ76-PT_First)/PT_Int)+1)),"")))</f>
        <v/>
      </c>
      <c r="BF76" s="11" t="n">
        <f aca="false">IF(AO76=0,0,IF(AND($Q76&lt;&gt;"",$Q76&lt;=AsOfDate),1,0))</f>
        <v>0</v>
      </c>
      <c r="BG76" s="11" t="str">
        <f aca="false">IF(AND(AO76=1,BF76=0,EH_Ready,N(AB76)&gt;0,N(AI76)=0),COUNT($BG$5:BG75)+1,"")</f>
        <v/>
      </c>
      <c r="BH76" s="11" t="str">
        <f aca="false">IF(AND(AO76=1,BF76=0,EH_Ready,N(AB76)&gt;0,N(AI76)&gt;0,N(AK76)&gt;0),COUNT($BH$5:BH75)+1,"")</f>
        <v/>
      </c>
      <c r="BI76" s="11" t="str">
        <f aca="false">IF(AND(AO76=1,OR(LEFT(AM76,3)="ADD",LEFT(AM76,3)="SET",LEFT(AM76,5)="CHECK",LEFT(AM76,10)="TERMINATED")),COUNT($BI$5:BI75)+1,"")</f>
        <v/>
      </c>
      <c r="BJ76" s="11" t="str">
        <f aca="false">IF(AO76=0,"",$A76&amp;" - "&amp;$B76&amp;" "&amp;$C76)</f>
        <v/>
      </c>
    </row>
    <row r="77" customFormat="false" ht="15" hidden="false" customHeight="false" outlineLevel="0" collapsed="false">
      <c r="A77" s="10"/>
      <c r="B77" s="10"/>
      <c r="C77" s="10"/>
      <c r="D77" s="10"/>
      <c r="E77" s="9"/>
      <c r="F77" s="10"/>
      <c r="G77" s="30"/>
      <c r="H77" s="9"/>
      <c r="I77" s="10"/>
      <c r="J77" s="30"/>
      <c r="K77" s="9"/>
      <c r="L77" s="10"/>
      <c r="M77" s="30"/>
      <c r="N77" s="9"/>
      <c r="O77" s="9"/>
      <c r="P77" s="30"/>
      <c r="Q77" s="9"/>
      <c r="R77" s="10"/>
      <c r="S77" s="11" t="str">
        <f aca="false">IF(AO77=0,"",IF($H77="","",$F77&amp;" -&gt; "&amp;$I77&amp;IF($I77="Part-Time"," ("&amp;N($J77)&amp;" hrs)","")&amp;" on "&amp;TEXT($H77,"dd/mm/yyyy")&amp;IF($H77&gt;AsOfDate," (FUTURE)","")&amp;IF($K77="","","; "&amp;$I77&amp;" -&gt; "&amp;$L77&amp;IF($L77="Part-Time"," ("&amp;N($M77)&amp;" hrs)","")&amp;" on "&amp;TEXT($K77,"dd/mm/yyyy")&amp;IF($K77&gt;AsOfDate," (FUTURE)",""))))</f>
        <v/>
      </c>
      <c r="T77" s="11" t="str">
        <f aca="false">IF(AO77=0,"",IF(AS77&lt;&gt;"",$L77,IF(AR77&lt;&gt;"",$I77,$F77)))</f>
        <v/>
      </c>
      <c r="U77" s="26" t="str">
        <f aca="false">IF(AO77=0,"",IF(AS77&lt;&gt;"",$M77,IF(AR77&lt;&gt;"",$J77,$G77)))</f>
        <v/>
      </c>
      <c r="V77" s="11" t="str">
        <f aca="false">IF(AO77=0,"",IF(AY77="FT","Full-Time",IF(AY77="PT","Part-Time","Not eligible")))</f>
        <v/>
      </c>
      <c r="W77" s="27" t="str">
        <f aca="false">IF(AO77=0,"",IF(AR77="",IF(AND($H77&lt;&gt;"",$H77&gt;AsOfDate),"Future change - not yet applied",""),IF(AND(AV77=AY77,OR(AS77="",AW77=AV77)),"Type changed - same accrual pathway",IF(AY77="None","STOPPED accruing from "&amp;TEXT(IF(AS77&lt;&gt;"",AS77,AR77),"dd/mm/yyyy"),IF(AV77="None","STARTED qualifying from "&amp;TEXT(IF(AS77&lt;&gt;"",AS77,AR77),"dd/mm/yyyy"),"Pathway changed "&amp;AV77&amp;" -&gt; "&amp;AW77&amp;IF(AS77&lt;&gt;""," -&gt; "&amp;AX77,"")&amp;" from "&amp;TEXT(IF(AS77&lt;&gt;"",AS77,AR77),"dd/mm/yyyy"))))))</f>
        <v/>
      </c>
      <c r="X77" s="28" t="str">
        <f aca="false">IF(AO77=0,"",IF($Q77="",AsOfDate,MIN(AsOfDate,$Q77)))</f>
        <v/>
      </c>
      <c r="Y77" s="26" t="str">
        <f aca="false">IF(AO77=0,"",MAX(0,AQ77))</f>
        <v/>
      </c>
      <c r="Z77" s="11" t="str">
        <f aca="false">IF(AO77=0,"",IF(AQ77&lt;0,"Not started",INT(AQ77/12)&amp;"y "&amp;MOD(AQ77,12)&amp;"m"))</f>
        <v/>
      </c>
      <c r="AA77" s="27" t="str">
        <f aca="false">IF(AO77=0,"",IF(BF77=1,"Terminated - balance forfeited",IF(AY77="None",IF(AB77&gt;0,"No longer accruing - "&amp;T77,"Not eligible - "&amp;T77&amp;IF(AND(IFERROR(VLOOKUP(T77,TypeTable,2,0),"None")="PT",N(U77)&lt;PT_MinHours)," (under "&amp;PT_MinHours&amp;" hrs)","")),IF(AB77&gt;0,"Yes - accruing","Not yet - qualifies "&amp;TEXT(AD77,"dd/mm/yyyy")))))</f>
        <v/>
      </c>
      <c r="AB77" s="26" t="str">
        <f aca="false">IF(AO77=0,"",AZ77+IF(AR77="",0,BB77-BA77)+IF(AS77="",0,BD77-BC77))</f>
        <v/>
      </c>
      <c r="AC77" s="26" t="str">
        <f aca="false">IF(AO77=0,"",AB77*HoursPerDay)</f>
        <v/>
      </c>
      <c r="AD77" s="28" t="str">
        <f aca="false">IF(AO77=0,"",IF(OR(BF77=1,AY77="None"),"",EDATE($E77+AP77,BE77)))</f>
        <v/>
      </c>
      <c r="AE77" s="26" t="str">
        <f aca="false">IF(AD77="","",IF(AY77="PT",1,IF(BE77&lt;FT_Y5,1,IF(MOD(BE77-FT_Y5,12)=0,FT_AnnivDays,1))))</f>
        <v/>
      </c>
      <c r="AF77" s="27" t="str">
        <f aca="false">IF(AO77=0,"",IF(NOT(EH_Ready),"Map headers",IF(IF(MatchMode="Employee ID",COUNTIFS(INDEX(EH_Data,0,EH_ColID),$A77,INDEX(EH_Data,0,EH_ColCat),BonusCat),COUNTIFS(INDEX(EH_Data,0,EH_ColFirst),$B77,INDEX(EH_Data,0,EH_ColSur),$C77,INDEX(EH_Data,0,EH_ColCat),BonusCat))&gt;0,"Yes","No")))</f>
        <v/>
      </c>
      <c r="AG77" s="26" t="str">
        <f aca="false">IF(AO77=0,"",IF(NOT(EH_Ready),"",IF(MatchMode="Employee ID",SUMIFS(INDEX(EH_Data,0,EH_ColBal),INDEX(EH_Data,0,EH_ColID),$A77,INDEX(EH_Data,0,EH_ColCat),BonusCat),SUMIFS(INDEX(EH_Data,0,EH_ColBal),INDEX(EH_Data,0,EH_ColFirst),$B77,INDEX(EH_Data,0,EH_ColSur),$C77,INDEX(EH_Data,0,EH_ColCat),BonusCat))/IF(EHUnit="Hours",HoursPerDay,1)))</f>
        <v/>
      </c>
      <c r="AH77" s="26" t="str">
        <f aca="false">IF(AO77=0,"",IF(NOT(TK_Ready),0,IF(MatchMode="Employee ID",SUMIFS(INDEX(TK_Data,0,TK_ColAmt),INDEX(TK_Data,0,TK_ColID),$A77,INDEX(TK_Data,0,TK_ColCat),BonusCat),SUMIFS(INDEX(TK_Data,0,TK_ColAmt),INDEX(TK_Data,0,TK_ColFirst),$B77,INDEX(TK_Data,0,TK_ColSur),$C77,INDEX(TK_Data,0,TK_ColCat),BonusCat))/IF(TKUnit="Hours",HoursPerDay,1)))</f>
        <v/>
      </c>
      <c r="AI77" s="26" t="str">
        <f aca="false">IF(AO77=0,"",N(AG77)+N(AH77))</f>
        <v/>
      </c>
      <c r="AJ77" s="29" t="str">
        <f aca="false">IF(AO77=0,"",IF(NOT(AND(EH_Ready,EH_ValReady)),"",IF(MatchMode="Employee ID",SUMIFS(INDEX(EH_Data,0,EH_ColVal),INDEX(EH_Data,0,EH_ColID),$A77,INDEX(EH_Data,0,EH_ColCat),BonusCat),SUMIFS(INDEX(EH_Data,0,EH_ColVal),INDEX(EH_Data,0,EH_ColFirst),$B77,INDEX(EH_Data,0,EH_ColSur),$C77,INDEX(EH_Data,0,EH_ColCat),BonusCat))))</f>
        <v/>
      </c>
      <c r="AK77" s="26" t="str">
        <f aca="false">IF(AO77=0,"",IF(OR(NOT(EH_Ready),BF77=1),"",AB77-AI77))</f>
        <v/>
      </c>
      <c r="AL77" s="26" t="str">
        <f aca="false">IF(AK77="","",AK77*HoursPerDay)</f>
        <v/>
      </c>
      <c r="AM77" s="27" t="str">
        <f aca="false">IF(AO77=0,"",IF(BF77=1,IF(N(AG77)&gt;0,"TERMINATED - forfeit "&amp;TEXT(AG77,"0.##")&amp;" days still in EH","Terminated - nothing in EH"),IF(NOT(EH_Ready),"Paste EH export and map headers on Settings",IF(AND(AB77&gt;0,AF77="No"),"SET UP in EH - add "&amp;TEXT(AB77,"0.##")&amp;" day(s) ("&amp;TEXT(AC77,"0.##")&amp;" hrs)",IF(AK77&gt;0,"ADD "&amp;TEXT(AK77,"0.##")&amp;" day(s) ("&amp;TEXT(AL77,"0.##")&amp;" hrs) in EH",IF(AK77&lt;0,"CHECK - EH shows "&amp;TEXT(-AK77,"0.##")&amp;" days more than policy",IF(AB77&gt;0,"OK - up to date",IF(AY77="None","No action - not eligible","No action - not yet qualified"))))))))</f>
        <v/>
      </c>
      <c r="AN77" s="27" t="str">
        <f aca="false">IF(AO77=0,"",TRIM(IF(AND($K77&lt;&gt;"",$H77=""),"Change 2 entered without Change 1. ","")&amp;IF(AND($K77&lt;&gt;"",$H77&lt;&gt;"",$K77&lt;=$H77),"Change 2 date not after Change 1. ","")&amp;IF(AND($N77&lt;&gt;"",$O77&lt;&gt;"",$O77&lt;$N77),"Leave To is before Leave From. ","")&amp;IF(AND($N77&lt;&gt;"",$O77=""),"Leave From entered without Leave To. ","")&amp;IF(AND(IFERROR(VLOOKUP(T77,TypeTable,2,0),"None")="PT",U77=""),"Part-time with no hours entered. ","")&amp;IF(AND($H77&lt;&gt;"",$H77&gt;AsOfDate,AD77&lt;&gt;"",$H77&lt;=AD77),"Status change lands before next accrual - review. ","")&amp;IF(AND($Q77&lt;&gt;"",$Q77&lt;$E77),"Termination before commencement. ","")))</f>
        <v/>
      </c>
      <c r="AO77" s="11" t="n">
        <f aca="false">IF(LEN($A77&amp;$B77&amp;$C77)=0,0,IF($E77="",0,1))</f>
        <v>0</v>
      </c>
      <c r="AP77" s="11" t="str">
        <f aca="false">IF(AO77=0,"",(IF(OR($N77="",$O77=""),0,MAX(0,MIN(X77,$O77)-MAX($N77,$E77)+1))+N($P77)))</f>
        <v/>
      </c>
      <c r="AQ77" s="11" t="str">
        <f aca="false">IF(AO77=0,"",IF(X77&lt;($E77+(IF(OR($N77="",$O77=""),0,MAX(0,MIN(X77,$O77)-MAX($N77,$E77)+1))+N($P77))),-1,12*(YEAR(X77)-YEAR(($E77+(IF(OR($N77="",$O77=""),0,MAX(0,MIN(X77,$O77)-MAX($N77,$E77)+1))+N($P77)))))+MONTH(X77)-MONTH(($E77+(IF(OR($N77="",$O77=""),0,MAX(0,MIN(X77,$O77)-MAX($N77,$E77)+1))+N($P77))))-IF(DAY(X77)&lt;MIN(DAY(($E77+(IF(OR($N77="",$O77=""),0,MAX(0,MIN(X77,$O77)-MAX($N77,$E77)+1))+N($P77)))),DAY(EOMONTH(X77,0))),1,0)))</f>
        <v/>
      </c>
      <c r="AR77" s="28" t="str">
        <f aca="false">IF(AO77=0,"",IF($H77="","",IF($H77&gt;X77,"",$H77)))</f>
        <v/>
      </c>
      <c r="AS77" s="28" t="str">
        <f aca="false">IF(AO77=0,"",IF(AR77="","",IF($K77="","",IF($K77&gt;X77,"",$K77))))</f>
        <v/>
      </c>
      <c r="AT77" s="11" t="str">
        <f aca="false">IF(AO77=0,"",IF(AR77="",AQ77,IF((AR77-1)&lt;($E77+(IF(OR($N77="",$O77=""),0,MAX(0,MIN((AR77-1),$O77)-MAX($N77,$E77)+1))+N($P77))),-1,12*(YEAR((AR77-1))-YEAR(($E77+(IF(OR($N77="",$O77=""),0,MAX(0,MIN((AR77-1),$O77)-MAX($N77,$E77)+1))+N($P77)))))+MONTH((AR77-1))-MONTH(($E77+(IF(OR($N77="",$O77=""),0,MAX(0,MIN((AR77-1),$O77)-MAX($N77,$E77)+1))+N($P77))))-IF(DAY((AR77-1))&lt;MIN(DAY(($E77+(IF(OR($N77="",$O77=""),0,MAX(0,MIN((AR77-1),$O77)-MAX($N77,$E77)+1))+N($P77)))),DAY(EOMONTH((AR77-1),0))),1,0))))</f>
        <v/>
      </c>
      <c r="AU77" s="11" t="str">
        <f aca="false">IF(AO77=0,"",IF(AS77="",AQ77,IF((AS77-1)&lt;($E77+(IF(OR($N77="",$O77=""),0,MAX(0,MIN((AS77-1),$O77)-MAX($N77,$E77)+1))+N($P77))),-1,12*(YEAR((AS77-1))-YEAR(($E77+(IF(OR($N77="",$O77=""),0,MAX(0,MIN((AS77-1),$O77)-MAX($N77,$E77)+1))+N($P77)))))+MONTH((AS77-1))-MONTH(($E77+(IF(OR($N77="",$O77=""),0,MAX(0,MIN((AS77-1),$O77)-MAX($N77,$E77)+1))+N($P77))))-IF(DAY((AS77-1))&lt;MIN(DAY(($E77+(IF(OR($N77="",$O77=""),0,MAX(0,MIN((AS77-1),$O77)-MAX($N77,$E77)+1))+N($P77)))),DAY(EOMONTH((AS77-1),0))),1,0))))</f>
        <v/>
      </c>
      <c r="AV77" s="11" t="str">
        <f aca="false">IF(AO77=0,"",IF($F77="","None",IF(IFERROR(VLOOKUP($F77,TypeTable,2,0),"None")="PT",IF(N($G77)&gt;=PT_MinHours,"PT","None"),IFERROR(VLOOKUP($F77,TypeTable,2,0),"None"))))</f>
        <v/>
      </c>
      <c r="AW77" s="11" t="str">
        <f aca="false">IF(AO77=0,"",IF($I77="","None",IF(IFERROR(VLOOKUP($I77,TypeTable,2,0),"None")="PT",IF(N($J77)&gt;=PT_MinHours,"PT","None"),IFERROR(VLOOKUP($I77,TypeTable,2,0),"None"))))</f>
        <v/>
      </c>
      <c r="AX77" s="11" t="str">
        <f aca="false">IF(AO77=0,"",IF($L77="","None",IF(IFERROR(VLOOKUP($L77,TypeTable,2,0),"None")="PT",IF(N($M77)&gt;=PT_MinHours,"PT","None"),IFERROR(VLOOKUP($L77,TypeTable,2,0),"None"))))</f>
        <v/>
      </c>
      <c r="AY77" s="11" t="str">
        <f aca="false">IF(AO77=0,"",IF(AS77&lt;&gt;"",AX77,IF(AR77&lt;&gt;"",AW77,AV77)))</f>
        <v/>
      </c>
      <c r="AZ77" s="11" t="str">
        <f aca="false">IF(AO77=0,"",IF(AV77="FT",IF(AT77&lt;FT_First,0,IF(AT77&lt;FT_Y5,1+INT((AT77-FT_First)/FT_Int1),FT_PreY5+FT_PerYear*INT((AT77-FT_Y5)/12)+FT_AnnivDays+INT(MOD(AT77-FT_Y5,12)/FT_Int2))),IF(AV77="PT",IF(AT77&lt;PT_First,0,1+INT((AT77-PT_First)/PT_Int)),0)))</f>
        <v/>
      </c>
      <c r="BA77" s="11" t="str">
        <f aca="false">IF(AO77=0,"",IF(AW77="FT",IF(AT77&lt;FT_First,0,IF(AT77&lt;FT_Y5,1+INT((AT77-FT_First)/FT_Int1),FT_PreY5+FT_PerYear*INT((AT77-FT_Y5)/12)+FT_AnnivDays+INT(MOD(AT77-FT_Y5,12)/FT_Int2))),IF(AW77="PT",IF(AT77&lt;PT_First,0,1+INT((AT77-PT_First)/PT_Int)),0)))</f>
        <v/>
      </c>
      <c r="BB77" s="11" t="str">
        <f aca="false">IF(AO77=0,"",IF(AW77="FT",IF(AU77&lt;FT_First,0,IF(AU77&lt;FT_Y5,1+INT((AU77-FT_First)/FT_Int1),FT_PreY5+FT_PerYear*INT((AU77-FT_Y5)/12)+FT_AnnivDays+INT(MOD(AU77-FT_Y5,12)/FT_Int2))),IF(AW77="PT",IF(AU77&lt;PT_First,0,1+INT((AU77-PT_First)/PT_Int)),0)))</f>
        <v/>
      </c>
      <c r="BC77" s="11" t="str">
        <f aca="false">IF(AO77=0,"",IF(AX77="FT",IF(AU77&lt;FT_First,0,IF(AU77&lt;FT_Y5,1+INT((AU77-FT_First)/FT_Int1),FT_PreY5+FT_PerYear*INT((AU77-FT_Y5)/12)+FT_AnnivDays+INT(MOD(AU77-FT_Y5,12)/FT_Int2))),IF(AX77="PT",IF(AU77&lt;PT_First,0,1+INT((AU77-PT_First)/PT_Int)),0)))</f>
        <v/>
      </c>
      <c r="BD77" s="11" t="str">
        <f aca="false">IF(AO77=0,"",IF(AX77="FT",IF(AQ77&lt;FT_First,0,IF(AQ77&lt;FT_Y5,1+INT((AQ77-FT_First)/FT_Int1),FT_PreY5+FT_PerYear*INT((AQ77-FT_Y5)/12)+FT_AnnivDays+INT(MOD(AQ77-FT_Y5,12)/FT_Int2))),IF(AX77="PT",IF(AQ77&lt;PT_First,0,1+INT((AQ77-PT_First)/PT_Int)),0)))</f>
        <v/>
      </c>
      <c r="BE77" s="11" t="str">
        <f aca="false">IF(AO77=0,"",IF(AY77="FT",IF(AQ77&lt;FT_First,FT_First,IF(AQ77&lt;FT_Y5,MIN(FT_Y5,FT_First+FT_Int1*(INT((AQ77-FT_First)/FT_Int1)+1)),FT_Y5+12*INT((AQ77-FT_Y5)/12)+FT_Int2*(INT(MOD(AQ77-FT_Y5,12)/FT_Int2)+1))),IF(AY77="PT",IF(AQ77&lt;PT_First,PT_First,PT_First+PT_Int*(INT((AQ77-PT_First)/PT_Int)+1)),"")))</f>
        <v/>
      </c>
      <c r="BF77" s="11" t="n">
        <f aca="false">IF(AO77=0,0,IF(AND($Q77&lt;&gt;"",$Q77&lt;=AsOfDate),1,0))</f>
        <v>0</v>
      </c>
      <c r="BG77" s="11" t="str">
        <f aca="false">IF(AND(AO77=1,BF77=0,EH_Ready,N(AB77)&gt;0,N(AI77)=0),COUNT($BG$5:BG76)+1,"")</f>
        <v/>
      </c>
      <c r="BH77" s="11" t="str">
        <f aca="false">IF(AND(AO77=1,BF77=0,EH_Ready,N(AB77)&gt;0,N(AI77)&gt;0,N(AK77)&gt;0),COUNT($BH$5:BH76)+1,"")</f>
        <v/>
      </c>
      <c r="BI77" s="11" t="str">
        <f aca="false">IF(AND(AO77=1,OR(LEFT(AM77,3)="ADD",LEFT(AM77,3)="SET",LEFT(AM77,5)="CHECK",LEFT(AM77,10)="TERMINATED")),COUNT($BI$5:BI76)+1,"")</f>
        <v/>
      </c>
      <c r="BJ77" s="11" t="str">
        <f aca="false">IF(AO77=0,"",$A77&amp;" - "&amp;$B77&amp;" "&amp;$C77)</f>
        <v/>
      </c>
    </row>
    <row r="78" customFormat="false" ht="15" hidden="false" customHeight="false" outlineLevel="0" collapsed="false">
      <c r="A78" s="10"/>
      <c r="B78" s="10"/>
      <c r="C78" s="10"/>
      <c r="D78" s="10"/>
      <c r="E78" s="9"/>
      <c r="F78" s="10"/>
      <c r="G78" s="30"/>
      <c r="H78" s="9"/>
      <c r="I78" s="10"/>
      <c r="J78" s="30"/>
      <c r="K78" s="9"/>
      <c r="L78" s="10"/>
      <c r="M78" s="30"/>
      <c r="N78" s="9"/>
      <c r="O78" s="9"/>
      <c r="P78" s="30"/>
      <c r="Q78" s="9"/>
      <c r="R78" s="10"/>
      <c r="S78" s="11" t="str">
        <f aca="false">IF(AO78=0,"",IF($H78="","",$F78&amp;" -&gt; "&amp;$I78&amp;IF($I78="Part-Time"," ("&amp;N($J78)&amp;" hrs)","")&amp;" on "&amp;TEXT($H78,"dd/mm/yyyy")&amp;IF($H78&gt;AsOfDate," (FUTURE)","")&amp;IF($K78="","","; "&amp;$I78&amp;" -&gt; "&amp;$L78&amp;IF($L78="Part-Time"," ("&amp;N($M78)&amp;" hrs)","")&amp;" on "&amp;TEXT($K78,"dd/mm/yyyy")&amp;IF($K78&gt;AsOfDate," (FUTURE)",""))))</f>
        <v/>
      </c>
      <c r="T78" s="11" t="str">
        <f aca="false">IF(AO78=0,"",IF(AS78&lt;&gt;"",$L78,IF(AR78&lt;&gt;"",$I78,$F78)))</f>
        <v/>
      </c>
      <c r="U78" s="26" t="str">
        <f aca="false">IF(AO78=0,"",IF(AS78&lt;&gt;"",$M78,IF(AR78&lt;&gt;"",$J78,$G78)))</f>
        <v/>
      </c>
      <c r="V78" s="11" t="str">
        <f aca="false">IF(AO78=0,"",IF(AY78="FT","Full-Time",IF(AY78="PT","Part-Time","Not eligible")))</f>
        <v/>
      </c>
      <c r="W78" s="27" t="str">
        <f aca="false">IF(AO78=0,"",IF(AR78="",IF(AND($H78&lt;&gt;"",$H78&gt;AsOfDate),"Future change - not yet applied",""),IF(AND(AV78=AY78,OR(AS78="",AW78=AV78)),"Type changed - same accrual pathway",IF(AY78="None","STOPPED accruing from "&amp;TEXT(IF(AS78&lt;&gt;"",AS78,AR78),"dd/mm/yyyy"),IF(AV78="None","STARTED qualifying from "&amp;TEXT(IF(AS78&lt;&gt;"",AS78,AR78),"dd/mm/yyyy"),"Pathway changed "&amp;AV78&amp;" -&gt; "&amp;AW78&amp;IF(AS78&lt;&gt;""," -&gt; "&amp;AX78,"")&amp;" from "&amp;TEXT(IF(AS78&lt;&gt;"",AS78,AR78),"dd/mm/yyyy"))))))</f>
        <v/>
      </c>
      <c r="X78" s="28" t="str">
        <f aca="false">IF(AO78=0,"",IF($Q78="",AsOfDate,MIN(AsOfDate,$Q78)))</f>
        <v/>
      </c>
      <c r="Y78" s="26" t="str">
        <f aca="false">IF(AO78=0,"",MAX(0,AQ78))</f>
        <v/>
      </c>
      <c r="Z78" s="11" t="str">
        <f aca="false">IF(AO78=0,"",IF(AQ78&lt;0,"Not started",INT(AQ78/12)&amp;"y "&amp;MOD(AQ78,12)&amp;"m"))</f>
        <v/>
      </c>
      <c r="AA78" s="27" t="str">
        <f aca="false">IF(AO78=0,"",IF(BF78=1,"Terminated - balance forfeited",IF(AY78="None",IF(AB78&gt;0,"No longer accruing - "&amp;T78,"Not eligible - "&amp;T78&amp;IF(AND(IFERROR(VLOOKUP(T78,TypeTable,2,0),"None")="PT",N(U78)&lt;PT_MinHours)," (under "&amp;PT_MinHours&amp;" hrs)","")),IF(AB78&gt;0,"Yes - accruing","Not yet - qualifies "&amp;TEXT(AD78,"dd/mm/yyyy")))))</f>
        <v/>
      </c>
      <c r="AB78" s="26" t="str">
        <f aca="false">IF(AO78=0,"",AZ78+IF(AR78="",0,BB78-BA78)+IF(AS78="",0,BD78-BC78))</f>
        <v/>
      </c>
      <c r="AC78" s="26" t="str">
        <f aca="false">IF(AO78=0,"",AB78*HoursPerDay)</f>
        <v/>
      </c>
      <c r="AD78" s="28" t="str">
        <f aca="false">IF(AO78=0,"",IF(OR(BF78=1,AY78="None"),"",EDATE($E78+AP78,BE78)))</f>
        <v/>
      </c>
      <c r="AE78" s="26" t="str">
        <f aca="false">IF(AD78="","",IF(AY78="PT",1,IF(BE78&lt;FT_Y5,1,IF(MOD(BE78-FT_Y5,12)=0,FT_AnnivDays,1))))</f>
        <v/>
      </c>
      <c r="AF78" s="27" t="str">
        <f aca="false">IF(AO78=0,"",IF(NOT(EH_Ready),"Map headers",IF(IF(MatchMode="Employee ID",COUNTIFS(INDEX(EH_Data,0,EH_ColID),$A78,INDEX(EH_Data,0,EH_ColCat),BonusCat),COUNTIFS(INDEX(EH_Data,0,EH_ColFirst),$B78,INDEX(EH_Data,0,EH_ColSur),$C78,INDEX(EH_Data,0,EH_ColCat),BonusCat))&gt;0,"Yes","No")))</f>
        <v/>
      </c>
      <c r="AG78" s="26" t="str">
        <f aca="false">IF(AO78=0,"",IF(NOT(EH_Ready),"",IF(MatchMode="Employee ID",SUMIFS(INDEX(EH_Data,0,EH_ColBal),INDEX(EH_Data,0,EH_ColID),$A78,INDEX(EH_Data,0,EH_ColCat),BonusCat),SUMIFS(INDEX(EH_Data,0,EH_ColBal),INDEX(EH_Data,0,EH_ColFirst),$B78,INDEX(EH_Data,0,EH_ColSur),$C78,INDEX(EH_Data,0,EH_ColCat),BonusCat))/IF(EHUnit="Hours",HoursPerDay,1)))</f>
        <v/>
      </c>
      <c r="AH78" s="26" t="str">
        <f aca="false">IF(AO78=0,"",IF(NOT(TK_Ready),0,IF(MatchMode="Employee ID",SUMIFS(INDEX(TK_Data,0,TK_ColAmt),INDEX(TK_Data,0,TK_ColID),$A78,INDEX(TK_Data,0,TK_ColCat),BonusCat),SUMIFS(INDEX(TK_Data,0,TK_ColAmt),INDEX(TK_Data,0,TK_ColFirst),$B78,INDEX(TK_Data,0,TK_ColSur),$C78,INDEX(TK_Data,0,TK_ColCat),BonusCat))/IF(TKUnit="Hours",HoursPerDay,1)))</f>
        <v/>
      </c>
      <c r="AI78" s="26" t="str">
        <f aca="false">IF(AO78=0,"",N(AG78)+N(AH78))</f>
        <v/>
      </c>
      <c r="AJ78" s="29" t="str">
        <f aca="false">IF(AO78=0,"",IF(NOT(AND(EH_Ready,EH_ValReady)),"",IF(MatchMode="Employee ID",SUMIFS(INDEX(EH_Data,0,EH_ColVal),INDEX(EH_Data,0,EH_ColID),$A78,INDEX(EH_Data,0,EH_ColCat),BonusCat),SUMIFS(INDEX(EH_Data,0,EH_ColVal),INDEX(EH_Data,0,EH_ColFirst),$B78,INDEX(EH_Data,0,EH_ColSur),$C78,INDEX(EH_Data,0,EH_ColCat),BonusCat))))</f>
        <v/>
      </c>
      <c r="AK78" s="26" t="str">
        <f aca="false">IF(AO78=0,"",IF(OR(NOT(EH_Ready),BF78=1),"",AB78-AI78))</f>
        <v/>
      </c>
      <c r="AL78" s="26" t="str">
        <f aca="false">IF(AK78="","",AK78*HoursPerDay)</f>
        <v/>
      </c>
      <c r="AM78" s="27" t="str">
        <f aca="false">IF(AO78=0,"",IF(BF78=1,IF(N(AG78)&gt;0,"TERMINATED - forfeit "&amp;TEXT(AG78,"0.##")&amp;" days still in EH","Terminated - nothing in EH"),IF(NOT(EH_Ready),"Paste EH export and map headers on Settings",IF(AND(AB78&gt;0,AF78="No"),"SET UP in EH - add "&amp;TEXT(AB78,"0.##")&amp;" day(s) ("&amp;TEXT(AC78,"0.##")&amp;" hrs)",IF(AK78&gt;0,"ADD "&amp;TEXT(AK78,"0.##")&amp;" day(s) ("&amp;TEXT(AL78,"0.##")&amp;" hrs) in EH",IF(AK78&lt;0,"CHECK - EH shows "&amp;TEXT(-AK78,"0.##")&amp;" days more than policy",IF(AB78&gt;0,"OK - up to date",IF(AY78="None","No action - not eligible","No action - not yet qualified"))))))))</f>
        <v/>
      </c>
      <c r="AN78" s="27" t="str">
        <f aca="false">IF(AO78=0,"",TRIM(IF(AND($K78&lt;&gt;"",$H78=""),"Change 2 entered without Change 1. ","")&amp;IF(AND($K78&lt;&gt;"",$H78&lt;&gt;"",$K78&lt;=$H78),"Change 2 date not after Change 1. ","")&amp;IF(AND($N78&lt;&gt;"",$O78&lt;&gt;"",$O78&lt;$N78),"Leave To is before Leave From. ","")&amp;IF(AND($N78&lt;&gt;"",$O78=""),"Leave From entered without Leave To. ","")&amp;IF(AND(IFERROR(VLOOKUP(T78,TypeTable,2,0),"None")="PT",U78=""),"Part-time with no hours entered. ","")&amp;IF(AND($H78&lt;&gt;"",$H78&gt;AsOfDate,AD78&lt;&gt;"",$H78&lt;=AD78),"Status change lands before next accrual - review. ","")&amp;IF(AND($Q78&lt;&gt;"",$Q78&lt;$E78),"Termination before commencement. ","")))</f>
        <v/>
      </c>
      <c r="AO78" s="11" t="n">
        <f aca="false">IF(LEN($A78&amp;$B78&amp;$C78)=0,0,IF($E78="",0,1))</f>
        <v>0</v>
      </c>
      <c r="AP78" s="11" t="str">
        <f aca="false">IF(AO78=0,"",(IF(OR($N78="",$O78=""),0,MAX(0,MIN(X78,$O78)-MAX($N78,$E78)+1))+N($P78)))</f>
        <v/>
      </c>
      <c r="AQ78" s="11" t="str">
        <f aca="false">IF(AO78=0,"",IF(X78&lt;($E78+(IF(OR($N78="",$O78=""),0,MAX(0,MIN(X78,$O78)-MAX($N78,$E78)+1))+N($P78))),-1,12*(YEAR(X78)-YEAR(($E78+(IF(OR($N78="",$O78=""),0,MAX(0,MIN(X78,$O78)-MAX($N78,$E78)+1))+N($P78)))))+MONTH(X78)-MONTH(($E78+(IF(OR($N78="",$O78=""),0,MAX(0,MIN(X78,$O78)-MAX($N78,$E78)+1))+N($P78))))-IF(DAY(X78)&lt;MIN(DAY(($E78+(IF(OR($N78="",$O78=""),0,MAX(0,MIN(X78,$O78)-MAX($N78,$E78)+1))+N($P78)))),DAY(EOMONTH(X78,0))),1,0)))</f>
        <v/>
      </c>
      <c r="AR78" s="28" t="str">
        <f aca="false">IF(AO78=0,"",IF($H78="","",IF($H78&gt;X78,"",$H78)))</f>
        <v/>
      </c>
      <c r="AS78" s="28" t="str">
        <f aca="false">IF(AO78=0,"",IF(AR78="","",IF($K78="","",IF($K78&gt;X78,"",$K78))))</f>
        <v/>
      </c>
      <c r="AT78" s="11" t="str">
        <f aca="false">IF(AO78=0,"",IF(AR78="",AQ78,IF((AR78-1)&lt;($E78+(IF(OR($N78="",$O78=""),0,MAX(0,MIN((AR78-1),$O78)-MAX($N78,$E78)+1))+N($P78))),-1,12*(YEAR((AR78-1))-YEAR(($E78+(IF(OR($N78="",$O78=""),0,MAX(0,MIN((AR78-1),$O78)-MAX($N78,$E78)+1))+N($P78)))))+MONTH((AR78-1))-MONTH(($E78+(IF(OR($N78="",$O78=""),0,MAX(0,MIN((AR78-1),$O78)-MAX($N78,$E78)+1))+N($P78))))-IF(DAY((AR78-1))&lt;MIN(DAY(($E78+(IF(OR($N78="",$O78=""),0,MAX(0,MIN((AR78-1),$O78)-MAX($N78,$E78)+1))+N($P78)))),DAY(EOMONTH((AR78-1),0))),1,0))))</f>
        <v/>
      </c>
      <c r="AU78" s="11" t="str">
        <f aca="false">IF(AO78=0,"",IF(AS78="",AQ78,IF((AS78-1)&lt;($E78+(IF(OR($N78="",$O78=""),0,MAX(0,MIN((AS78-1),$O78)-MAX($N78,$E78)+1))+N($P78))),-1,12*(YEAR((AS78-1))-YEAR(($E78+(IF(OR($N78="",$O78=""),0,MAX(0,MIN((AS78-1),$O78)-MAX($N78,$E78)+1))+N($P78)))))+MONTH((AS78-1))-MONTH(($E78+(IF(OR($N78="",$O78=""),0,MAX(0,MIN((AS78-1),$O78)-MAX($N78,$E78)+1))+N($P78))))-IF(DAY((AS78-1))&lt;MIN(DAY(($E78+(IF(OR($N78="",$O78=""),0,MAX(0,MIN((AS78-1),$O78)-MAX($N78,$E78)+1))+N($P78)))),DAY(EOMONTH((AS78-1),0))),1,0))))</f>
        <v/>
      </c>
      <c r="AV78" s="11" t="str">
        <f aca="false">IF(AO78=0,"",IF($F78="","None",IF(IFERROR(VLOOKUP($F78,TypeTable,2,0),"None")="PT",IF(N($G78)&gt;=PT_MinHours,"PT","None"),IFERROR(VLOOKUP($F78,TypeTable,2,0),"None"))))</f>
        <v/>
      </c>
      <c r="AW78" s="11" t="str">
        <f aca="false">IF(AO78=0,"",IF($I78="","None",IF(IFERROR(VLOOKUP($I78,TypeTable,2,0),"None")="PT",IF(N($J78)&gt;=PT_MinHours,"PT","None"),IFERROR(VLOOKUP($I78,TypeTable,2,0),"None"))))</f>
        <v/>
      </c>
      <c r="AX78" s="11" t="str">
        <f aca="false">IF(AO78=0,"",IF($L78="","None",IF(IFERROR(VLOOKUP($L78,TypeTable,2,0),"None")="PT",IF(N($M78)&gt;=PT_MinHours,"PT","None"),IFERROR(VLOOKUP($L78,TypeTable,2,0),"None"))))</f>
        <v/>
      </c>
      <c r="AY78" s="11" t="str">
        <f aca="false">IF(AO78=0,"",IF(AS78&lt;&gt;"",AX78,IF(AR78&lt;&gt;"",AW78,AV78)))</f>
        <v/>
      </c>
      <c r="AZ78" s="11" t="str">
        <f aca="false">IF(AO78=0,"",IF(AV78="FT",IF(AT78&lt;FT_First,0,IF(AT78&lt;FT_Y5,1+INT((AT78-FT_First)/FT_Int1),FT_PreY5+FT_PerYear*INT((AT78-FT_Y5)/12)+FT_AnnivDays+INT(MOD(AT78-FT_Y5,12)/FT_Int2))),IF(AV78="PT",IF(AT78&lt;PT_First,0,1+INT((AT78-PT_First)/PT_Int)),0)))</f>
        <v/>
      </c>
      <c r="BA78" s="11" t="str">
        <f aca="false">IF(AO78=0,"",IF(AW78="FT",IF(AT78&lt;FT_First,0,IF(AT78&lt;FT_Y5,1+INT((AT78-FT_First)/FT_Int1),FT_PreY5+FT_PerYear*INT((AT78-FT_Y5)/12)+FT_AnnivDays+INT(MOD(AT78-FT_Y5,12)/FT_Int2))),IF(AW78="PT",IF(AT78&lt;PT_First,0,1+INT((AT78-PT_First)/PT_Int)),0)))</f>
        <v/>
      </c>
      <c r="BB78" s="11" t="str">
        <f aca="false">IF(AO78=0,"",IF(AW78="FT",IF(AU78&lt;FT_First,0,IF(AU78&lt;FT_Y5,1+INT((AU78-FT_First)/FT_Int1),FT_PreY5+FT_PerYear*INT((AU78-FT_Y5)/12)+FT_AnnivDays+INT(MOD(AU78-FT_Y5,12)/FT_Int2))),IF(AW78="PT",IF(AU78&lt;PT_First,0,1+INT((AU78-PT_First)/PT_Int)),0)))</f>
        <v/>
      </c>
      <c r="BC78" s="11" t="str">
        <f aca="false">IF(AO78=0,"",IF(AX78="FT",IF(AU78&lt;FT_First,0,IF(AU78&lt;FT_Y5,1+INT((AU78-FT_First)/FT_Int1),FT_PreY5+FT_PerYear*INT((AU78-FT_Y5)/12)+FT_AnnivDays+INT(MOD(AU78-FT_Y5,12)/FT_Int2))),IF(AX78="PT",IF(AU78&lt;PT_First,0,1+INT((AU78-PT_First)/PT_Int)),0)))</f>
        <v/>
      </c>
      <c r="BD78" s="11" t="str">
        <f aca="false">IF(AO78=0,"",IF(AX78="FT",IF(AQ78&lt;FT_First,0,IF(AQ78&lt;FT_Y5,1+INT((AQ78-FT_First)/FT_Int1),FT_PreY5+FT_PerYear*INT((AQ78-FT_Y5)/12)+FT_AnnivDays+INT(MOD(AQ78-FT_Y5,12)/FT_Int2))),IF(AX78="PT",IF(AQ78&lt;PT_First,0,1+INT((AQ78-PT_First)/PT_Int)),0)))</f>
        <v/>
      </c>
      <c r="BE78" s="11" t="str">
        <f aca="false">IF(AO78=0,"",IF(AY78="FT",IF(AQ78&lt;FT_First,FT_First,IF(AQ78&lt;FT_Y5,MIN(FT_Y5,FT_First+FT_Int1*(INT((AQ78-FT_First)/FT_Int1)+1)),FT_Y5+12*INT((AQ78-FT_Y5)/12)+FT_Int2*(INT(MOD(AQ78-FT_Y5,12)/FT_Int2)+1))),IF(AY78="PT",IF(AQ78&lt;PT_First,PT_First,PT_First+PT_Int*(INT((AQ78-PT_First)/PT_Int)+1)),"")))</f>
        <v/>
      </c>
      <c r="BF78" s="11" t="n">
        <f aca="false">IF(AO78=0,0,IF(AND($Q78&lt;&gt;"",$Q78&lt;=AsOfDate),1,0))</f>
        <v>0</v>
      </c>
      <c r="BG78" s="11" t="str">
        <f aca="false">IF(AND(AO78=1,BF78=0,EH_Ready,N(AB78)&gt;0,N(AI78)=0),COUNT($BG$5:BG77)+1,"")</f>
        <v/>
      </c>
      <c r="BH78" s="11" t="str">
        <f aca="false">IF(AND(AO78=1,BF78=0,EH_Ready,N(AB78)&gt;0,N(AI78)&gt;0,N(AK78)&gt;0),COUNT($BH$5:BH77)+1,"")</f>
        <v/>
      </c>
      <c r="BI78" s="11" t="str">
        <f aca="false">IF(AND(AO78=1,OR(LEFT(AM78,3)="ADD",LEFT(AM78,3)="SET",LEFT(AM78,5)="CHECK",LEFT(AM78,10)="TERMINATED")),COUNT($BI$5:BI77)+1,"")</f>
        <v/>
      </c>
      <c r="BJ78" s="11" t="str">
        <f aca="false">IF(AO78=0,"",$A78&amp;" - "&amp;$B78&amp;" "&amp;$C78)</f>
        <v/>
      </c>
    </row>
    <row r="79" customFormat="false" ht="15" hidden="false" customHeight="false" outlineLevel="0" collapsed="false">
      <c r="A79" s="10"/>
      <c r="B79" s="10"/>
      <c r="C79" s="10"/>
      <c r="D79" s="10"/>
      <c r="E79" s="9"/>
      <c r="F79" s="10"/>
      <c r="G79" s="30"/>
      <c r="H79" s="9"/>
      <c r="I79" s="10"/>
      <c r="J79" s="30"/>
      <c r="K79" s="9"/>
      <c r="L79" s="10"/>
      <c r="M79" s="30"/>
      <c r="N79" s="9"/>
      <c r="O79" s="9"/>
      <c r="P79" s="30"/>
      <c r="Q79" s="9"/>
      <c r="R79" s="10"/>
      <c r="S79" s="11" t="str">
        <f aca="false">IF(AO79=0,"",IF($H79="","",$F79&amp;" -&gt; "&amp;$I79&amp;IF($I79="Part-Time"," ("&amp;N($J79)&amp;" hrs)","")&amp;" on "&amp;TEXT($H79,"dd/mm/yyyy")&amp;IF($H79&gt;AsOfDate," (FUTURE)","")&amp;IF($K79="","","; "&amp;$I79&amp;" -&gt; "&amp;$L79&amp;IF($L79="Part-Time"," ("&amp;N($M79)&amp;" hrs)","")&amp;" on "&amp;TEXT($K79,"dd/mm/yyyy")&amp;IF($K79&gt;AsOfDate," (FUTURE)",""))))</f>
        <v/>
      </c>
      <c r="T79" s="11" t="str">
        <f aca="false">IF(AO79=0,"",IF(AS79&lt;&gt;"",$L79,IF(AR79&lt;&gt;"",$I79,$F79)))</f>
        <v/>
      </c>
      <c r="U79" s="26" t="str">
        <f aca="false">IF(AO79=0,"",IF(AS79&lt;&gt;"",$M79,IF(AR79&lt;&gt;"",$J79,$G79)))</f>
        <v/>
      </c>
      <c r="V79" s="11" t="str">
        <f aca="false">IF(AO79=0,"",IF(AY79="FT","Full-Time",IF(AY79="PT","Part-Time","Not eligible")))</f>
        <v/>
      </c>
      <c r="W79" s="27" t="str">
        <f aca="false">IF(AO79=0,"",IF(AR79="",IF(AND($H79&lt;&gt;"",$H79&gt;AsOfDate),"Future change - not yet applied",""),IF(AND(AV79=AY79,OR(AS79="",AW79=AV79)),"Type changed - same accrual pathway",IF(AY79="None","STOPPED accruing from "&amp;TEXT(IF(AS79&lt;&gt;"",AS79,AR79),"dd/mm/yyyy"),IF(AV79="None","STARTED qualifying from "&amp;TEXT(IF(AS79&lt;&gt;"",AS79,AR79),"dd/mm/yyyy"),"Pathway changed "&amp;AV79&amp;" -&gt; "&amp;AW79&amp;IF(AS79&lt;&gt;""," -&gt; "&amp;AX79,"")&amp;" from "&amp;TEXT(IF(AS79&lt;&gt;"",AS79,AR79),"dd/mm/yyyy"))))))</f>
        <v/>
      </c>
      <c r="X79" s="28" t="str">
        <f aca="false">IF(AO79=0,"",IF($Q79="",AsOfDate,MIN(AsOfDate,$Q79)))</f>
        <v/>
      </c>
      <c r="Y79" s="26" t="str">
        <f aca="false">IF(AO79=0,"",MAX(0,AQ79))</f>
        <v/>
      </c>
      <c r="Z79" s="11" t="str">
        <f aca="false">IF(AO79=0,"",IF(AQ79&lt;0,"Not started",INT(AQ79/12)&amp;"y "&amp;MOD(AQ79,12)&amp;"m"))</f>
        <v/>
      </c>
      <c r="AA79" s="27" t="str">
        <f aca="false">IF(AO79=0,"",IF(BF79=1,"Terminated - balance forfeited",IF(AY79="None",IF(AB79&gt;0,"No longer accruing - "&amp;T79,"Not eligible - "&amp;T79&amp;IF(AND(IFERROR(VLOOKUP(T79,TypeTable,2,0),"None")="PT",N(U79)&lt;PT_MinHours)," (under "&amp;PT_MinHours&amp;" hrs)","")),IF(AB79&gt;0,"Yes - accruing","Not yet - qualifies "&amp;TEXT(AD79,"dd/mm/yyyy")))))</f>
        <v/>
      </c>
      <c r="AB79" s="26" t="str">
        <f aca="false">IF(AO79=0,"",AZ79+IF(AR79="",0,BB79-BA79)+IF(AS79="",0,BD79-BC79))</f>
        <v/>
      </c>
      <c r="AC79" s="26" t="str">
        <f aca="false">IF(AO79=0,"",AB79*HoursPerDay)</f>
        <v/>
      </c>
      <c r="AD79" s="28" t="str">
        <f aca="false">IF(AO79=0,"",IF(OR(BF79=1,AY79="None"),"",EDATE($E79+AP79,BE79)))</f>
        <v/>
      </c>
      <c r="AE79" s="26" t="str">
        <f aca="false">IF(AD79="","",IF(AY79="PT",1,IF(BE79&lt;FT_Y5,1,IF(MOD(BE79-FT_Y5,12)=0,FT_AnnivDays,1))))</f>
        <v/>
      </c>
      <c r="AF79" s="27" t="str">
        <f aca="false">IF(AO79=0,"",IF(NOT(EH_Ready),"Map headers",IF(IF(MatchMode="Employee ID",COUNTIFS(INDEX(EH_Data,0,EH_ColID),$A79,INDEX(EH_Data,0,EH_ColCat),BonusCat),COUNTIFS(INDEX(EH_Data,0,EH_ColFirst),$B79,INDEX(EH_Data,0,EH_ColSur),$C79,INDEX(EH_Data,0,EH_ColCat),BonusCat))&gt;0,"Yes","No")))</f>
        <v/>
      </c>
      <c r="AG79" s="26" t="str">
        <f aca="false">IF(AO79=0,"",IF(NOT(EH_Ready),"",IF(MatchMode="Employee ID",SUMIFS(INDEX(EH_Data,0,EH_ColBal),INDEX(EH_Data,0,EH_ColID),$A79,INDEX(EH_Data,0,EH_ColCat),BonusCat),SUMIFS(INDEX(EH_Data,0,EH_ColBal),INDEX(EH_Data,0,EH_ColFirst),$B79,INDEX(EH_Data,0,EH_ColSur),$C79,INDEX(EH_Data,0,EH_ColCat),BonusCat))/IF(EHUnit="Hours",HoursPerDay,1)))</f>
        <v/>
      </c>
      <c r="AH79" s="26" t="str">
        <f aca="false">IF(AO79=0,"",IF(NOT(TK_Ready),0,IF(MatchMode="Employee ID",SUMIFS(INDEX(TK_Data,0,TK_ColAmt),INDEX(TK_Data,0,TK_ColID),$A79,INDEX(TK_Data,0,TK_ColCat),BonusCat),SUMIFS(INDEX(TK_Data,0,TK_ColAmt),INDEX(TK_Data,0,TK_ColFirst),$B79,INDEX(TK_Data,0,TK_ColSur),$C79,INDEX(TK_Data,0,TK_ColCat),BonusCat))/IF(TKUnit="Hours",HoursPerDay,1)))</f>
        <v/>
      </c>
      <c r="AI79" s="26" t="str">
        <f aca="false">IF(AO79=0,"",N(AG79)+N(AH79))</f>
        <v/>
      </c>
      <c r="AJ79" s="29" t="str">
        <f aca="false">IF(AO79=0,"",IF(NOT(AND(EH_Ready,EH_ValReady)),"",IF(MatchMode="Employee ID",SUMIFS(INDEX(EH_Data,0,EH_ColVal),INDEX(EH_Data,0,EH_ColID),$A79,INDEX(EH_Data,0,EH_ColCat),BonusCat),SUMIFS(INDEX(EH_Data,0,EH_ColVal),INDEX(EH_Data,0,EH_ColFirst),$B79,INDEX(EH_Data,0,EH_ColSur),$C79,INDEX(EH_Data,0,EH_ColCat),BonusCat))))</f>
        <v/>
      </c>
      <c r="AK79" s="26" t="str">
        <f aca="false">IF(AO79=0,"",IF(OR(NOT(EH_Ready),BF79=1),"",AB79-AI79))</f>
        <v/>
      </c>
      <c r="AL79" s="26" t="str">
        <f aca="false">IF(AK79="","",AK79*HoursPerDay)</f>
        <v/>
      </c>
      <c r="AM79" s="27" t="str">
        <f aca="false">IF(AO79=0,"",IF(BF79=1,IF(N(AG79)&gt;0,"TERMINATED - forfeit "&amp;TEXT(AG79,"0.##")&amp;" days still in EH","Terminated - nothing in EH"),IF(NOT(EH_Ready),"Paste EH export and map headers on Settings",IF(AND(AB79&gt;0,AF79="No"),"SET UP in EH - add "&amp;TEXT(AB79,"0.##")&amp;" day(s) ("&amp;TEXT(AC79,"0.##")&amp;" hrs)",IF(AK79&gt;0,"ADD "&amp;TEXT(AK79,"0.##")&amp;" day(s) ("&amp;TEXT(AL79,"0.##")&amp;" hrs) in EH",IF(AK79&lt;0,"CHECK - EH shows "&amp;TEXT(-AK79,"0.##")&amp;" days more than policy",IF(AB79&gt;0,"OK - up to date",IF(AY79="None","No action - not eligible","No action - not yet qualified"))))))))</f>
        <v/>
      </c>
      <c r="AN79" s="27" t="str">
        <f aca="false">IF(AO79=0,"",TRIM(IF(AND($K79&lt;&gt;"",$H79=""),"Change 2 entered without Change 1. ","")&amp;IF(AND($K79&lt;&gt;"",$H79&lt;&gt;"",$K79&lt;=$H79),"Change 2 date not after Change 1. ","")&amp;IF(AND($N79&lt;&gt;"",$O79&lt;&gt;"",$O79&lt;$N79),"Leave To is before Leave From. ","")&amp;IF(AND($N79&lt;&gt;"",$O79=""),"Leave From entered without Leave To. ","")&amp;IF(AND(IFERROR(VLOOKUP(T79,TypeTable,2,0),"None")="PT",U79=""),"Part-time with no hours entered. ","")&amp;IF(AND($H79&lt;&gt;"",$H79&gt;AsOfDate,AD79&lt;&gt;"",$H79&lt;=AD79),"Status change lands before next accrual - review. ","")&amp;IF(AND($Q79&lt;&gt;"",$Q79&lt;$E79),"Termination before commencement. ","")))</f>
        <v/>
      </c>
      <c r="AO79" s="11" t="n">
        <f aca="false">IF(LEN($A79&amp;$B79&amp;$C79)=0,0,IF($E79="",0,1))</f>
        <v>0</v>
      </c>
      <c r="AP79" s="11" t="str">
        <f aca="false">IF(AO79=0,"",(IF(OR($N79="",$O79=""),0,MAX(0,MIN(X79,$O79)-MAX($N79,$E79)+1))+N($P79)))</f>
        <v/>
      </c>
      <c r="AQ79" s="11" t="str">
        <f aca="false">IF(AO79=0,"",IF(X79&lt;($E79+(IF(OR($N79="",$O79=""),0,MAX(0,MIN(X79,$O79)-MAX($N79,$E79)+1))+N($P79))),-1,12*(YEAR(X79)-YEAR(($E79+(IF(OR($N79="",$O79=""),0,MAX(0,MIN(X79,$O79)-MAX($N79,$E79)+1))+N($P79)))))+MONTH(X79)-MONTH(($E79+(IF(OR($N79="",$O79=""),0,MAX(0,MIN(X79,$O79)-MAX($N79,$E79)+1))+N($P79))))-IF(DAY(X79)&lt;MIN(DAY(($E79+(IF(OR($N79="",$O79=""),0,MAX(0,MIN(X79,$O79)-MAX($N79,$E79)+1))+N($P79)))),DAY(EOMONTH(X79,0))),1,0)))</f>
        <v/>
      </c>
      <c r="AR79" s="28" t="str">
        <f aca="false">IF(AO79=0,"",IF($H79="","",IF($H79&gt;X79,"",$H79)))</f>
        <v/>
      </c>
      <c r="AS79" s="28" t="str">
        <f aca="false">IF(AO79=0,"",IF(AR79="","",IF($K79="","",IF($K79&gt;X79,"",$K79))))</f>
        <v/>
      </c>
      <c r="AT79" s="11" t="str">
        <f aca="false">IF(AO79=0,"",IF(AR79="",AQ79,IF((AR79-1)&lt;($E79+(IF(OR($N79="",$O79=""),0,MAX(0,MIN((AR79-1),$O79)-MAX($N79,$E79)+1))+N($P79))),-1,12*(YEAR((AR79-1))-YEAR(($E79+(IF(OR($N79="",$O79=""),0,MAX(0,MIN((AR79-1),$O79)-MAX($N79,$E79)+1))+N($P79)))))+MONTH((AR79-1))-MONTH(($E79+(IF(OR($N79="",$O79=""),0,MAX(0,MIN((AR79-1),$O79)-MAX($N79,$E79)+1))+N($P79))))-IF(DAY((AR79-1))&lt;MIN(DAY(($E79+(IF(OR($N79="",$O79=""),0,MAX(0,MIN((AR79-1),$O79)-MAX($N79,$E79)+1))+N($P79)))),DAY(EOMONTH((AR79-1),0))),1,0))))</f>
        <v/>
      </c>
      <c r="AU79" s="11" t="str">
        <f aca="false">IF(AO79=0,"",IF(AS79="",AQ79,IF((AS79-1)&lt;($E79+(IF(OR($N79="",$O79=""),0,MAX(0,MIN((AS79-1),$O79)-MAX($N79,$E79)+1))+N($P79))),-1,12*(YEAR((AS79-1))-YEAR(($E79+(IF(OR($N79="",$O79=""),0,MAX(0,MIN((AS79-1),$O79)-MAX($N79,$E79)+1))+N($P79)))))+MONTH((AS79-1))-MONTH(($E79+(IF(OR($N79="",$O79=""),0,MAX(0,MIN((AS79-1),$O79)-MAX($N79,$E79)+1))+N($P79))))-IF(DAY((AS79-1))&lt;MIN(DAY(($E79+(IF(OR($N79="",$O79=""),0,MAX(0,MIN((AS79-1),$O79)-MAX($N79,$E79)+1))+N($P79)))),DAY(EOMONTH((AS79-1),0))),1,0))))</f>
        <v/>
      </c>
      <c r="AV79" s="11" t="str">
        <f aca="false">IF(AO79=0,"",IF($F79="","None",IF(IFERROR(VLOOKUP($F79,TypeTable,2,0),"None")="PT",IF(N($G79)&gt;=PT_MinHours,"PT","None"),IFERROR(VLOOKUP($F79,TypeTable,2,0),"None"))))</f>
        <v/>
      </c>
      <c r="AW79" s="11" t="str">
        <f aca="false">IF(AO79=0,"",IF($I79="","None",IF(IFERROR(VLOOKUP($I79,TypeTable,2,0),"None")="PT",IF(N($J79)&gt;=PT_MinHours,"PT","None"),IFERROR(VLOOKUP($I79,TypeTable,2,0),"None"))))</f>
        <v/>
      </c>
      <c r="AX79" s="11" t="str">
        <f aca="false">IF(AO79=0,"",IF($L79="","None",IF(IFERROR(VLOOKUP($L79,TypeTable,2,0),"None")="PT",IF(N($M79)&gt;=PT_MinHours,"PT","None"),IFERROR(VLOOKUP($L79,TypeTable,2,0),"None"))))</f>
        <v/>
      </c>
      <c r="AY79" s="11" t="str">
        <f aca="false">IF(AO79=0,"",IF(AS79&lt;&gt;"",AX79,IF(AR79&lt;&gt;"",AW79,AV79)))</f>
        <v/>
      </c>
      <c r="AZ79" s="11" t="str">
        <f aca="false">IF(AO79=0,"",IF(AV79="FT",IF(AT79&lt;FT_First,0,IF(AT79&lt;FT_Y5,1+INT((AT79-FT_First)/FT_Int1),FT_PreY5+FT_PerYear*INT((AT79-FT_Y5)/12)+FT_AnnivDays+INT(MOD(AT79-FT_Y5,12)/FT_Int2))),IF(AV79="PT",IF(AT79&lt;PT_First,0,1+INT((AT79-PT_First)/PT_Int)),0)))</f>
        <v/>
      </c>
      <c r="BA79" s="11" t="str">
        <f aca="false">IF(AO79=0,"",IF(AW79="FT",IF(AT79&lt;FT_First,0,IF(AT79&lt;FT_Y5,1+INT((AT79-FT_First)/FT_Int1),FT_PreY5+FT_PerYear*INT((AT79-FT_Y5)/12)+FT_AnnivDays+INT(MOD(AT79-FT_Y5,12)/FT_Int2))),IF(AW79="PT",IF(AT79&lt;PT_First,0,1+INT((AT79-PT_First)/PT_Int)),0)))</f>
        <v/>
      </c>
      <c r="BB79" s="11" t="str">
        <f aca="false">IF(AO79=0,"",IF(AW79="FT",IF(AU79&lt;FT_First,0,IF(AU79&lt;FT_Y5,1+INT((AU79-FT_First)/FT_Int1),FT_PreY5+FT_PerYear*INT((AU79-FT_Y5)/12)+FT_AnnivDays+INT(MOD(AU79-FT_Y5,12)/FT_Int2))),IF(AW79="PT",IF(AU79&lt;PT_First,0,1+INT((AU79-PT_First)/PT_Int)),0)))</f>
        <v/>
      </c>
      <c r="BC79" s="11" t="str">
        <f aca="false">IF(AO79=0,"",IF(AX79="FT",IF(AU79&lt;FT_First,0,IF(AU79&lt;FT_Y5,1+INT((AU79-FT_First)/FT_Int1),FT_PreY5+FT_PerYear*INT((AU79-FT_Y5)/12)+FT_AnnivDays+INT(MOD(AU79-FT_Y5,12)/FT_Int2))),IF(AX79="PT",IF(AU79&lt;PT_First,0,1+INT((AU79-PT_First)/PT_Int)),0)))</f>
        <v/>
      </c>
      <c r="BD79" s="11" t="str">
        <f aca="false">IF(AO79=0,"",IF(AX79="FT",IF(AQ79&lt;FT_First,0,IF(AQ79&lt;FT_Y5,1+INT((AQ79-FT_First)/FT_Int1),FT_PreY5+FT_PerYear*INT((AQ79-FT_Y5)/12)+FT_AnnivDays+INT(MOD(AQ79-FT_Y5,12)/FT_Int2))),IF(AX79="PT",IF(AQ79&lt;PT_First,0,1+INT((AQ79-PT_First)/PT_Int)),0)))</f>
        <v/>
      </c>
      <c r="BE79" s="11" t="str">
        <f aca="false">IF(AO79=0,"",IF(AY79="FT",IF(AQ79&lt;FT_First,FT_First,IF(AQ79&lt;FT_Y5,MIN(FT_Y5,FT_First+FT_Int1*(INT((AQ79-FT_First)/FT_Int1)+1)),FT_Y5+12*INT((AQ79-FT_Y5)/12)+FT_Int2*(INT(MOD(AQ79-FT_Y5,12)/FT_Int2)+1))),IF(AY79="PT",IF(AQ79&lt;PT_First,PT_First,PT_First+PT_Int*(INT((AQ79-PT_First)/PT_Int)+1)),"")))</f>
        <v/>
      </c>
      <c r="BF79" s="11" t="n">
        <f aca="false">IF(AO79=0,0,IF(AND($Q79&lt;&gt;"",$Q79&lt;=AsOfDate),1,0))</f>
        <v>0</v>
      </c>
      <c r="BG79" s="11" t="str">
        <f aca="false">IF(AND(AO79=1,BF79=0,EH_Ready,N(AB79)&gt;0,N(AI79)=0),COUNT($BG$5:BG78)+1,"")</f>
        <v/>
      </c>
      <c r="BH79" s="11" t="str">
        <f aca="false">IF(AND(AO79=1,BF79=0,EH_Ready,N(AB79)&gt;0,N(AI79)&gt;0,N(AK79)&gt;0),COUNT($BH$5:BH78)+1,"")</f>
        <v/>
      </c>
      <c r="BI79" s="11" t="str">
        <f aca="false">IF(AND(AO79=1,OR(LEFT(AM79,3)="ADD",LEFT(AM79,3)="SET",LEFT(AM79,5)="CHECK",LEFT(AM79,10)="TERMINATED")),COUNT($BI$5:BI78)+1,"")</f>
        <v/>
      </c>
      <c r="BJ79" s="11" t="str">
        <f aca="false">IF(AO79=0,"",$A79&amp;" - "&amp;$B79&amp;" "&amp;$C79)</f>
        <v/>
      </c>
    </row>
    <row r="80" customFormat="false" ht="15" hidden="false" customHeight="false" outlineLevel="0" collapsed="false">
      <c r="A80" s="10"/>
      <c r="B80" s="10"/>
      <c r="C80" s="10"/>
      <c r="D80" s="10"/>
      <c r="E80" s="9"/>
      <c r="F80" s="10"/>
      <c r="G80" s="30"/>
      <c r="H80" s="9"/>
      <c r="I80" s="10"/>
      <c r="J80" s="30"/>
      <c r="K80" s="9"/>
      <c r="L80" s="10"/>
      <c r="M80" s="30"/>
      <c r="N80" s="9"/>
      <c r="O80" s="9"/>
      <c r="P80" s="30"/>
      <c r="Q80" s="9"/>
      <c r="R80" s="10"/>
      <c r="S80" s="11" t="str">
        <f aca="false">IF(AO80=0,"",IF($H80="","",$F80&amp;" -&gt; "&amp;$I80&amp;IF($I80="Part-Time"," ("&amp;N($J80)&amp;" hrs)","")&amp;" on "&amp;TEXT($H80,"dd/mm/yyyy")&amp;IF($H80&gt;AsOfDate," (FUTURE)","")&amp;IF($K80="","","; "&amp;$I80&amp;" -&gt; "&amp;$L80&amp;IF($L80="Part-Time"," ("&amp;N($M80)&amp;" hrs)","")&amp;" on "&amp;TEXT($K80,"dd/mm/yyyy")&amp;IF($K80&gt;AsOfDate," (FUTURE)",""))))</f>
        <v/>
      </c>
      <c r="T80" s="11" t="str">
        <f aca="false">IF(AO80=0,"",IF(AS80&lt;&gt;"",$L80,IF(AR80&lt;&gt;"",$I80,$F80)))</f>
        <v/>
      </c>
      <c r="U80" s="26" t="str">
        <f aca="false">IF(AO80=0,"",IF(AS80&lt;&gt;"",$M80,IF(AR80&lt;&gt;"",$J80,$G80)))</f>
        <v/>
      </c>
      <c r="V80" s="11" t="str">
        <f aca="false">IF(AO80=0,"",IF(AY80="FT","Full-Time",IF(AY80="PT","Part-Time","Not eligible")))</f>
        <v/>
      </c>
      <c r="W80" s="27" t="str">
        <f aca="false">IF(AO80=0,"",IF(AR80="",IF(AND($H80&lt;&gt;"",$H80&gt;AsOfDate),"Future change - not yet applied",""),IF(AND(AV80=AY80,OR(AS80="",AW80=AV80)),"Type changed - same accrual pathway",IF(AY80="None","STOPPED accruing from "&amp;TEXT(IF(AS80&lt;&gt;"",AS80,AR80),"dd/mm/yyyy"),IF(AV80="None","STARTED qualifying from "&amp;TEXT(IF(AS80&lt;&gt;"",AS80,AR80),"dd/mm/yyyy"),"Pathway changed "&amp;AV80&amp;" -&gt; "&amp;AW80&amp;IF(AS80&lt;&gt;""," -&gt; "&amp;AX80,"")&amp;" from "&amp;TEXT(IF(AS80&lt;&gt;"",AS80,AR80),"dd/mm/yyyy"))))))</f>
        <v/>
      </c>
      <c r="X80" s="28" t="str">
        <f aca="false">IF(AO80=0,"",IF($Q80="",AsOfDate,MIN(AsOfDate,$Q80)))</f>
        <v/>
      </c>
      <c r="Y80" s="26" t="str">
        <f aca="false">IF(AO80=0,"",MAX(0,AQ80))</f>
        <v/>
      </c>
      <c r="Z80" s="11" t="str">
        <f aca="false">IF(AO80=0,"",IF(AQ80&lt;0,"Not started",INT(AQ80/12)&amp;"y "&amp;MOD(AQ80,12)&amp;"m"))</f>
        <v/>
      </c>
      <c r="AA80" s="27" t="str">
        <f aca="false">IF(AO80=0,"",IF(BF80=1,"Terminated - balance forfeited",IF(AY80="None",IF(AB80&gt;0,"No longer accruing - "&amp;T80,"Not eligible - "&amp;T80&amp;IF(AND(IFERROR(VLOOKUP(T80,TypeTable,2,0),"None")="PT",N(U80)&lt;PT_MinHours)," (under "&amp;PT_MinHours&amp;" hrs)","")),IF(AB80&gt;0,"Yes - accruing","Not yet - qualifies "&amp;TEXT(AD80,"dd/mm/yyyy")))))</f>
        <v/>
      </c>
      <c r="AB80" s="26" t="str">
        <f aca="false">IF(AO80=0,"",AZ80+IF(AR80="",0,BB80-BA80)+IF(AS80="",0,BD80-BC80))</f>
        <v/>
      </c>
      <c r="AC80" s="26" t="str">
        <f aca="false">IF(AO80=0,"",AB80*HoursPerDay)</f>
        <v/>
      </c>
      <c r="AD80" s="28" t="str">
        <f aca="false">IF(AO80=0,"",IF(OR(BF80=1,AY80="None"),"",EDATE($E80+AP80,BE80)))</f>
        <v/>
      </c>
      <c r="AE80" s="26" t="str">
        <f aca="false">IF(AD80="","",IF(AY80="PT",1,IF(BE80&lt;FT_Y5,1,IF(MOD(BE80-FT_Y5,12)=0,FT_AnnivDays,1))))</f>
        <v/>
      </c>
      <c r="AF80" s="27" t="str">
        <f aca="false">IF(AO80=0,"",IF(NOT(EH_Ready),"Map headers",IF(IF(MatchMode="Employee ID",COUNTIFS(INDEX(EH_Data,0,EH_ColID),$A80,INDEX(EH_Data,0,EH_ColCat),BonusCat),COUNTIFS(INDEX(EH_Data,0,EH_ColFirst),$B80,INDEX(EH_Data,0,EH_ColSur),$C80,INDEX(EH_Data,0,EH_ColCat),BonusCat))&gt;0,"Yes","No")))</f>
        <v/>
      </c>
      <c r="AG80" s="26" t="str">
        <f aca="false">IF(AO80=0,"",IF(NOT(EH_Ready),"",IF(MatchMode="Employee ID",SUMIFS(INDEX(EH_Data,0,EH_ColBal),INDEX(EH_Data,0,EH_ColID),$A80,INDEX(EH_Data,0,EH_ColCat),BonusCat),SUMIFS(INDEX(EH_Data,0,EH_ColBal),INDEX(EH_Data,0,EH_ColFirst),$B80,INDEX(EH_Data,0,EH_ColSur),$C80,INDEX(EH_Data,0,EH_ColCat),BonusCat))/IF(EHUnit="Hours",HoursPerDay,1)))</f>
        <v/>
      </c>
      <c r="AH80" s="26" t="str">
        <f aca="false">IF(AO80=0,"",IF(NOT(TK_Ready),0,IF(MatchMode="Employee ID",SUMIFS(INDEX(TK_Data,0,TK_ColAmt),INDEX(TK_Data,0,TK_ColID),$A80,INDEX(TK_Data,0,TK_ColCat),BonusCat),SUMIFS(INDEX(TK_Data,0,TK_ColAmt),INDEX(TK_Data,0,TK_ColFirst),$B80,INDEX(TK_Data,0,TK_ColSur),$C80,INDEX(TK_Data,0,TK_ColCat),BonusCat))/IF(TKUnit="Hours",HoursPerDay,1)))</f>
        <v/>
      </c>
      <c r="AI80" s="26" t="str">
        <f aca="false">IF(AO80=0,"",N(AG80)+N(AH80))</f>
        <v/>
      </c>
      <c r="AJ80" s="29" t="str">
        <f aca="false">IF(AO80=0,"",IF(NOT(AND(EH_Ready,EH_ValReady)),"",IF(MatchMode="Employee ID",SUMIFS(INDEX(EH_Data,0,EH_ColVal),INDEX(EH_Data,0,EH_ColID),$A80,INDEX(EH_Data,0,EH_ColCat),BonusCat),SUMIFS(INDEX(EH_Data,0,EH_ColVal),INDEX(EH_Data,0,EH_ColFirst),$B80,INDEX(EH_Data,0,EH_ColSur),$C80,INDEX(EH_Data,0,EH_ColCat),BonusCat))))</f>
        <v/>
      </c>
      <c r="AK80" s="26" t="str">
        <f aca="false">IF(AO80=0,"",IF(OR(NOT(EH_Ready),BF80=1),"",AB80-AI80))</f>
        <v/>
      </c>
      <c r="AL80" s="26" t="str">
        <f aca="false">IF(AK80="","",AK80*HoursPerDay)</f>
        <v/>
      </c>
      <c r="AM80" s="27" t="str">
        <f aca="false">IF(AO80=0,"",IF(BF80=1,IF(N(AG80)&gt;0,"TERMINATED - forfeit "&amp;TEXT(AG80,"0.##")&amp;" days still in EH","Terminated - nothing in EH"),IF(NOT(EH_Ready),"Paste EH export and map headers on Settings",IF(AND(AB80&gt;0,AF80="No"),"SET UP in EH - add "&amp;TEXT(AB80,"0.##")&amp;" day(s) ("&amp;TEXT(AC80,"0.##")&amp;" hrs)",IF(AK80&gt;0,"ADD "&amp;TEXT(AK80,"0.##")&amp;" day(s) ("&amp;TEXT(AL80,"0.##")&amp;" hrs) in EH",IF(AK80&lt;0,"CHECK - EH shows "&amp;TEXT(-AK80,"0.##")&amp;" days more than policy",IF(AB80&gt;0,"OK - up to date",IF(AY80="None","No action - not eligible","No action - not yet qualified"))))))))</f>
        <v/>
      </c>
      <c r="AN80" s="27" t="str">
        <f aca="false">IF(AO80=0,"",TRIM(IF(AND($K80&lt;&gt;"",$H80=""),"Change 2 entered without Change 1. ","")&amp;IF(AND($K80&lt;&gt;"",$H80&lt;&gt;"",$K80&lt;=$H80),"Change 2 date not after Change 1. ","")&amp;IF(AND($N80&lt;&gt;"",$O80&lt;&gt;"",$O80&lt;$N80),"Leave To is before Leave From. ","")&amp;IF(AND($N80&lt;&gt;"",$O80=""),"Leave From entered without Leave To. ","")&amp;IF(AND(IFERROR(VLOOKUP(T80,TypeTable,2,0),"None")="PT",U80=""),"Part-time with no hours entered. ","")&amp;IF(AND($H80&lt;&gt;"",$H80&gt;AsOfDate,AD80&lt;&gt;"",$H80&lt;=AD80),"Status change lands before next accrual - review. ","")&amp;IF(AND($Q80&lt;&gt;"",$Q80&lt;$E80),"Termination before commencement. ","")))</f>
        <v/>
      </c>
      <c r="AO80" s="11" t="n">
        <f aca="false">IF(LEN($A80&amp;$B80&amp;$C80)=0,0,IF($E80="",0,1))</f>
        <v>0</v>
      </c>
      <c r="AP80" s="11" t="str">
        <f aca="false">IF(AO80=0,"",(IF(OR($N80="",$O80=""),0,MAX(0,MIN(X80,$O80)-MAX($N80,$E80)+1))+N($P80)))</f>
        <v/>
      </c>
      <c r="AQ80" s="11" t="str">
        <f aca="false">IF(AO80=0,"",IF(X80&lt;($E80+(IF(OR($N80="",$O80=""),0,MAX(0,MIN(X80,$O80)-MAX($N80,$E80)+1))+N($P80))),-1,12*(YEAR(X80)-YEAR(($E80+(IF(OR($N80="",$O80=""),0,MAX(0,MIN(X80,$O80)-MAX($N80,$E80)+1))+N($P80)))))+MONTH(X80)-MONTH(($E80+(IF(OR($N80="",$O80=""),0,MAX(0,MIN(X80,$O80)-MAX($N80,$E80)+1))+N($P80))))-IF(DAY(X80)&lt;MIN(DAY(($E80+(IF(OR($N80="",$O80=""),0,MAX(0,MIN(X80,$O80)-MAX($N80,$E80)+1))+N($P80)))),DAY(EOMONTH(X80,0))),1,0)))</f>
        <v/>
      </c>
      <c r="AR80" s="28" t="str">
        <f aca="false">IF(AO80=0,"",IF($H80="","",IF($H80&gt;X80,"",$H80)))</f>
        <v/>
      </c>
      <c r="AS80" s="28" t="str">
        <f aca="false">IF(AO80=0,"",IF(AR80="","",IF($K80="","",IF($K80&gt;X80,"",$K80))))</f>
        <v/>
      </c>
      <c r="AT80" s="11" t="str">
        <f aca="false">IF(AO80=0,"",IF(AR80="",AQ80,IF((AR80-1)&lt;($E80+(IF(OR($N80="",$O80=""),0,MAX(0,MIN((AR80-1),$O80)-MAX($N80,$E80)+1))+N($P80))),-1,12*(YEAR((AR80-1))-YEAR(($E80+(IF(OR($N80="",$O80=""),0,MAX(0,MIN((AR80-1),$O80)-MAX($N80,$E80)+1))+N($P80)))))+MONTH((AR80-1))-MONTH(($E80+(IF(OR($N80="",$O80=""),0,MAX(0,MIN((AR80-1),$O80)-MAX($N80,$E80)+1))+N($P80))))-IF(DAY((AR80-1))&lt;MIN(DAY(($E80+(IF(OR($N80="",$O80=""),0,MAX(0,MIN((AR80-1),$O80)-MAX($N80,$E80)+1))+N($P80)))),DAY(EOMONTH((AR80-1),0))),1,0))))</f>
        <v/>
      </c>
      <c r="AU80" s="11" t="str">
        <f aca="false">IF(AO80=0,"",IF(AS80="",AQ80,IF((AS80-1)&lt;($E80+(IF(OR($N80="",$O80=""),0,MAX(0,MIN((AS80-1),$O80)-MAX($N80,$E80)+1))+N($P80))),-1,12*(YEAR((AS80-1))-YEAR(($E80+(IF(OR($N80="",$O80=""),0,MAX(0,MIN((AS80-1),$O80)-MAX($N80,$E80)+1))+N($P80)))))+MONTH((AS80-1))-MONTH(($E80+(IF(OR($N80="",$O80=""),0,MAX(0,MIN((AS80-1),$O80)-MAX($N80,$E80)+1))+N($P80))))-IF(DAY((AS80-1))&lt;MIN(DAY(($E80+(IF(OR($N80="",$O80=""),0,MAX(0,MIN((AS80-1),$O80)-MAX($N80,$E80)+1))+N($P80)))),DAY(EOMONTH((AS80-1),0))),1,0))))</f>
        <v/>
      </c>
      <c r="AV80" s="11" t="str">
        <f aca="false">IF(AO80=0,"",IF($F80="","None",IF(IFERROR(VLOOKUP($F80,TypeTable,2,0),"None")="PT",IF(N($G80)&gt;=PT_MinHours,"PT","None"),IFERROR(VLOOKUP($F80,TypeTable,2,0),"None"))))</f>
        <v/>
      </c>
      <c r="AW80" s="11" t="str">
        <f aca="false">IF(AO80=0,"",IF($I80="","None",IF(IFERROR(VLOOKUP($I80,TypeTable,2,0),"None")="PT",IF(N($J80)&gt;=PT_MinHours,"PT","None"),IFERROR(VLOOKUP($I80,TypeTable,2,0),"None"))))</f>
        <v/>
      </c>
      <c r="AX80" s="11" t="str">
        <f aca="false">IF(AO80=0,"",IF($L80="","None",IF(IFERROR(VLOOKUP($L80,TypeTable,2,0),"None")="PT",IF(N($M80)&gt;=PT_MinHours,"PT","None"),IFERROR(VLOOKUP($L80,TypeTable,2,0),"None"))))</f>
        <v/>
      </c>
      <c r="AY80" s="11" t="str">
        <f aca="false">IF(AO80=0,"",IF(AS80&lt;&gt;"",AX80,IF(AR80&lt;&gt;"",AW80,AV80)))</f>
        <v/>
      </c>
      <c r="AZ80" s="11" t="str">
        <f aca="false">IF(AO80=0,"",IF(AV80="FT",IF(AT80&lt;FT_First,0,IF(AT80&lt;FT_Y5,1+INT((AT80-FT_First)/FT_Int1),FT_PreY5+FT_PerYear*INT((AT80-FT_Y5)/12)+FT_AnnivDays+INT(MOD(AT80-FT_Y5,12)/FT_Int2))),IF(AV80="PT",IF(AT80&lt;PT_First,0,1+INT((AT80-PT_First)/PT_Int)),0)))</f>
        <v/>
      </c>
      <c r="BA80" s="11" t="str">
        <f aca="false">IF(AO80=0,"",IF(AW80="FT",IF(AT80&lt;FT_First,0,IF(AT80&lt;FT_Y5,1+INT((AT80-FT_First)/FT_Int1),FT_PreY5+FT_PerYear*INT((AT80-FT_Y5)/12)+FT_AnnivDays+INT(MOD(AT80-FT_Y5,12)/FT_Int2))),IF(AW80="PT",IF(AT80&lt;PT_First,0,1+INT((AT80-PT_First)/PT_Int)),0)))</f>
        <v/>
      </c>
      <c r="BB80" s="11" t="str">
        <f aca="false">IF(AO80=0,"",IF(AW80="FT",IF(AU80&lt;FT_First,0,IF(AU80&lt;FT_Y5,1+INT((AU80-FT_First)/FT_Int1),FT_PreY5+FT_PerYear*INT((AU80-FT_Y5)/12)+FT_AnnivDays+INT(MOD(AU80-FT_Y5,12)/FT_Int2))),IF(AW80="PT",IF(AU80&lt;PT_First,0,1+INT((AU80-PT_First)/PT_Int)),0)))</f>
        <v/>
      </c>
      <c r="BC80" s="11" t="str">
        <f aca="false">IF(AO80=0,"",IF(AX80="FT",IF(AU80&lt;FT_First,0,IF(AU80&lt;FT_Y5,1+INT((AU80-FT_First)/FT_Int1),FT_PreY5+FT_PerYear*INT((AU80-FT_Y5)/12)+FT_AnnivDays+INT(MOD(AU80-FT_Y5,12)/FT_Int2))),IF(AX80="PT",IF(AU80&lt;PT_First,0,1+INT((AU80-PT_First)/PT_Int)),0)))</f>
        <v/>
      </c>
      <c r="BD80" s="11" t="str">
        <f aca="false">IF(AO80=0,"",IF(AX80="FT",IF(AQ80&lt;FT_First,0,IF(AQ80&lt;FT_Y5,1+INT((AQ80-FT_First)/FT_Int1),FT_PreY5+FT_PerYear*INT((AQ80-FT_Y5)/12)+FT_AnnivDays+INT(MOD(AQ80-FT_Y5,12)/FT_Int2))),IF(AX80="PT",IF(AQ80&lt;PT_First,0,1+INT((AQ80-PT_First)/PT_Int)),0)))</f>
        <v/>
      </c>
      <c r="BE80" s="11" t="str">
        <f aca="false">IF(AO80=0,"",IF(AY80="FT",IF(AQ80&lt;FT_First,FT_First,IF(AQ80&lt;FT_Y5,MIN(FT_Y5,FT_First+FT_Int1*(INT((AQ80-FT_First)/FT_Int1)+1)),FT_Y5+12*INT((AQ80-FT_Y5)/12)+FT_Int2*(INT(MOD(AQ80-FT_Y5,12)/FT_Int2)+1))),IF(AY80="PT",IF(AQ80&lt;PT_First,PT_First,PT_First+PT_Int*(INT((AQ80-PT_First)/PT_Int)+1)),"")))</f>
        <v/>
      </c>
      <c r="BF80" s="11" t="n">
        <f aca="false">IF(AO80=0,0,IF(AND($Q80&lt;&gt;"",$Q80&lt;=AsOfDate),1,0))</f>
        <v>0</v>
      </c>
      <c r="BG80" s="11" t="str">
        <f aca="false">IF(AND(AO80=1,BF80=0,EH_Ready,N(AB80)&gt;0,N(AI80)=0),COUNT($BG$5:BG79)+1,"")</f>
        <v/>
      </c>
      <c r="BH80" s="11" t="str">
        <f aca="false">IF(AND(AO80=1,BF80=0,EH_Ready,N(AB80)&gt;0,N(AI80)&gt;0,N(AK80)&gt;0),COUNT($BH$5:BH79)+1,"")</f>
        <v/>
      </c>
      <c r="BI80" s="11" t="str">
        <f aca="false">IF(AND(AO80=1,OR(LEFT(AM80,3)="ADD",LEFT(AM80,3)="SET",LEFT(AM80,5)="CHECK",LEFT(AM80,10)="TERMINATED")),COUNT($BI$5:BI79)+1,"")</f>
        <v/>
      </c>
      <c r="BJ80" s="11" t="str">
        <f aca="false">IF(AO80=0,"",$A80&amp;" - "&amp;$B80&amp;" "&amp;$C80)</f>
        <v/>
      </c>
    </row>
    <row r="81" customFormat="false" ht="15" hidden="false" customHeight="false" outlineLevel="0" collapsed="false">
      <c r="A81" s="10"/>
      <c r="B81" s="10"/>
      <c r="C81" s="10"/>
      <c r="D81" s="10"/>
      <c r="E81" s="9"/>
      <c r="F81" s="10"/>
      <c r="G81" s="30"/>
      <c r="H81" s="9"/>
      <c r="I81" s="10"/>
      <c r="J81" s="30"/>
      <c r="K81" s="9"/>
      <c r="L81" s="10"/>
      <c r="M81" s="30"/>
      <c r="N81" s="9"/>
      <c r="O81" s="9"/>
      <c r="P81" s="30"/>
      <c r="Q81" s="9"/>
      <c r="R81" s="10"/>
      <c r="S81" s="11" t="str">
        <f aca="false">IF(AO81=0,"",IF($H81="","",$F81&amp;" -&gt; "&amp;$I81&amp;IF($I81="Part-Time"," ("&amp;N($J81)&amp;" hrs)","")&amp;" on "&amp;TEXT($H81,"dd/mm/yyyy")&amp;IF($H81&gt;AsOfDate," (FUTURE)","")&amp;IF($K81="","","; "&amp;$I81&amp;" -&gt; "&amp;$L81&amp;IF($L81="Part-Time"," ("&amp;N($M81)&amp;" hrs)","")&amp;" on "&amp;TEXT($K81,"dd/mm/yyyy")&amp;IF($K81&gt;AsOfDate," (FUTURE)",""))))</f>
        <v/>
      </c>
      <c r="T81" s="11" t="str">
        <f aca="false">IF(AO81=0,"",IF(AS81&lt;&gt;"",$L81,IF(AR81&lt;&gt;"",$I81,$F81)))</f>
        <v/>
      </c>
      <c r="U81" s="26" t="str">
        <f aca="false">IF(AO81=0,"",IF(AS81&lt;&gt;"",$M81,IF(AR81&lt;&gt;"",$J81,$G81)))</f>
        <v/>
      </c>
      <c r="V81" s="11" t="str">
        <f aca="false">IF(AO81=0,"",IF(AY81="FT","Full-Time",IF(AY81="PT","Part-Time","Not eligible")))</f>
        <v/>
      </c>
      <c r="W81" s="27" t="str">
        <f aca="false">IF(AO81=0,"",IF(AR81="",IF(AND($H81&lt;&gt;"",$H81&gt;AsOfDate),"Future change - not yet applied",""),IF(AND(AV81=AY81,OR(AS81="",AW81=AV81)),"Type changed - same accrual pathway",IF(AY81="None","STOPPED accruing from "&amp;TEXT(IF(AS81&lt;&gt;"",AS81,AR81),"dd/mm/yyyy"),IF(AV81="None","STARTED qualifying from "&amp;TEXT(IF(AS81&lt;&gt;"",AS81,AR81),"dd/mm/yyyy"),"Pathway changed "&amp;AV81&amp;" -&gt; "&amp;AW81&amp;IF(AS81&lt;&gt;""," -&gt; "&amp;AX81,"")&amp;" from "&amp;TEXT(IF(AS81&lt;&gt;"",AS81,AR81),"dd/mm/yyyy"))))))</f>
        <v/>
      </c>
      <c r="X81" s="28" t="str">
        <f aca="false">IF(AO81=0,"",IF($Q81="",AsOfDate,MIN(AsOfDate,$Q81)))</f>
        <v/>
      </c>
      <c r="Y81" s="26" t="str">
        <f aca="false">IF(AO81=0,"",MAX(0,AQ81))</f>
        <v/>
      </c>
      <c r="Z81" s="11" t="str">
        <f aca="false">IF(AO81=0,"",IF(AQ81&lt;0,"Not started",INT(AQ81/12)&amp;"y "&amp;MOD(AQ81,12)&amp;"m"))</f>
        <v/>
      </c>
      <c r="AA81" s="27" t="str">
        <f aca="false">IF(AO81=0,"",IF(BF81=1,"Terminated - balance forfeited",IF(AY81="None",IF(AB81&gt;0,"No longer accruing - "&amp;T81,"Not eligible - "&amp;T81&amp;IF(AND(IFERROR(VLOOKUP(T81,TypeTable,2,0),"None")="PT",N(U81)&lt;PT_MinHours)," (under "&amp;PT_MinHours&amp;" hrs)","")),IF(AB81&gt;0,"Yes - accruing","Not yet - qualifies "&amp;TEXT(AD81,"dd/mm/yyyy")))))</f>
        <v/>
      </c>
      <c r="AB81" s="26" t="str">
        <f aca="false">IF(AO81=0,"",AZ81+IF(AR81="",0,BB81-BA81)+IF(AS81="",0,BD81-BC81))</f>
        <v/>
      </c>
      <c r="AC81" s="26" t="str">
        <f aca="false">IF(AO81=0,"",AB81*HoursPerDay)</f>
        <v/>
      </c>
      <c r="AD81" s="28" t="str">
        <f aca="false">IF(AO81=0,"",IF(OR(BF81=1,AY81="None"),"",EDATE($E81+AP81,BE81)))</f>
        <v/>
      </c>
      <c r="AE81" s="26" t="str">
        <f aca="false">IF(AD81="","",IF(AY81="PT",1,IF(BE81&lt;FT_Y5,1,IF(MOD(BE81-FT_Y5,12)=0,FT_AnnivDays,1))))</f>
        <v/>
      </c>
      <c r="AF81" s="27" t="str">
        <f aca="false">IF(AO81=0,"",IF(NOT(EH_Ready),"Map headers",IF(IF(MatchMode="Employee ID",COUNTIFS(INDEX(EH_Data,0,EH_ColID),$A81,INDEX(EH_Data,0,EH_ColCat),BonusCat),COUNTIFS(INDEX(EH_Data,0,EH_ColFirst),$B81,INDEX(EH_Data,0,EH_ColSur),$C81,INDEX(EH_Data,0,EH_ColCat),BonusCat))&gt;0,"Yes","No")))</f>
        <v/>
      </c>
      <c r="AG81" s="26" t="str">
        <f aca="false">IF(AO81=0,"",IF(NOT(EH_Ready),"",IF(MatchMode="Employee ID",SUMIFS(INDEX(EH_Data,0,EH_ColBal),INDEX(EH_Data,0,EH_ColID),$A81,INDEX(EH_Data,0,EH_ColCat),BonusCat),SUMIFS(INDEX(EH_Data,0,EH_ColBal),INDEX(EH_Data,0,EH_ColFirst),$B81,INDEX(EH_Data,0,EH_ColSur),$C81,INDEX(EH_Data,0,EH_ColCat),BonusCat))/IF(EHUnit="Hours",HoursPerDay,1)))</f>
        <v/>
      </c>
      <c r="AH81" s="26" t="str">
        <f aca="false">IF(AO81=0,"",IF(NOT(TK_Ready),0,IF(MatchMode="Employee ID",SUMIFS(INDEX(TK_Data,0,TK_ColAmt),INDEX(TK_Data,0,TK_ColID),$A81,INDEX(TK_Data,0,TK_ColCat),BonusCat),SUMIFS(INDEX(TK_Data,0,TK_ColAmt),INDEX(TK_Data,0,TK_ColFirst),$B81,INDEX(TK_Data,0,TK_ColSur),$C81,INDEX(TK_Data,0,TK_ColCat),BonusCat))/IF(TKUnit="Hours",HoursPerDay,1)))</f>
        <v/>
      </c>
      <c r="AI81" s="26" t="str">
        <f aca="false">IF(AO81=0,"",N(AG81)+N(AH81))</f>
        <v/>
      </c>
      <c r="AJ81" s="29" t="str">
        <f aca="false">IF(AO81=0,"",IF(NOT(AND(EH_Ready,EH_ValReady)),"",IF(MatchMode="Employee ID",SUMIFS(INDEX(EH_Data,0,EH_ColVal),INDEX(EH_Data,0,EH_ColID),$A81,INDEX(EH_Data,0,EH_ColCat),BonusCat),SUMIFS(INDEX(EH_Data,0,EH_ColVal),INDEX(EH_Data,0,EH_ColFirst),$B81,INDEX(EH_Data,0,EH_ColSur),$C81,INDEX(EH_Data,0,EH_ColCat),BonusCat))))</f>
        <v/>
      </c>
      <c r="AK81" s="26" t="str">
        <f aca="false">IF(AO81=0,"",IF(OR(NOT(EH_Ready),BF81=1),"",AB81-AI81))</f>
        <v/>
      </c>
      <c r="AL81" s="26" t="str">
        <f aca="false">IF(AK81="","",AK81*HoursPerDay)</f>
        <v/>
      </c>
      <c r="AM81" s="27" t="str">
        <f aca="false">IF(AO81=0,"",IF(BF81=1,IF(N(AG81)&gt;0,"TERMINATED - forfeit "&amp;TEXT(AG81,"0.##")&amp;" days still in EH","Terminated - nothing in EH"),IF(NOT(EH_Ready),"Paste EH export and map headers on Settings",IF(AND(AB81&gt;0,AF81="No"),"SET UP in EH - add "&amp;TEXT(AB81,"0.##")&amp;" day(s) ("&amp;TEXT(AC81,"0.##")&amp;" hrs)",IF(AK81&gt;0,"ADD "&amp;TEXT(AK81,"0.##")&amp;" day(s) ("&amp;TEXT(AL81,"0.##")&amp;" hrs) in EH",IF(AK81&lt;0,"CHECK - EH shows "&amp;TEXT(-AK81,"0.##")&amp;" days more than policy",IF(AB81&gt;0,"OK - up to date",IF(AY81="None","No action - not eligible","No action - not yet qualified"))))))))</f>
        <v/>
      </c>
      <c r="AN81" s="27" t="str">
        <f aca="false">IF(AO81=0,"",TRIM(IF(AND($K81&lt;&gt;"",$H81=""),"Change 2 entered without Change 1. ","")&amp;IF(AND($K81&lt;&gt;"",$H81&lt;&gt;"",$K81&lt;=$H81),"Change 2 date not after Change 1. ","")&amp;IF(AND($N81&lt;&gt;"",$O81&lt;&gt;"",$O81&lt;$N81),"Leave To is before Leave From. ","")&amp;IF(AND($N81&lt;&gt;"",$O81=""),"Leave From entered without Leave To. ","")&amp;IF(AND(IFERROR(VLOOKUP(T81,TypeTable,2,0),"None")="PT",U81=""),"Part-time with no hours entered. ","")&amp;IF(AND($H81&lt;&gt;"",$H81&gt;AsOfDate,AD81&lt;&gt;"",$H81&lt;=AD81),"Status change lands before next accrual - review. ","")&amp;IF(AND($Q81&lt;&gt;"",$Q81&lt;$E81),"Termination before commencement. ","")))</f>
        <v/>
      </c>
      <c r="AO81" s="11" t="n">
        <f aca="false">IF(LEN($A81&amp;$B81&amp;$C81)=0,0,IF($E81="",0,1))</f>
        <v>0</v>
      </c>
      <c r="AP81" s="11" t="str">
        <f aca="false">IF(AO81=0,"",(IF(OR($N81="",$O81=""),0,MAX(0,MIN(X81,$O81)-MAX($N81,$E81)+1))+N($P81)))</f>
        <v/>
      </c>
      <c r="AQ81" s="11" t="str">
        <f aca="false">IF(AO81=0,"",IF(X81&lt;($E81+(IF(OR($N81="",$O81=""),0,MAX(0,MIN(X81,$O81)-MAX($N81,$E81)+1))+N($P81))),-1,12*(YEAR(X81)-YEAR(($E81+(IF(OR($N81="",$O81=""),0,MAX(0,MIN(X81,$O81)-MAX($N81,$E81)+1))+N($P81)))))+MONTH(X81)-MONTH(($E81+(IF(OR($N81="",$O81=""),0,MAX(0,MIN(X81,$O81)-MAX($N81,$E81)+1))+N($P81))))-IF(DAY(X81)&lt;MIN(DAY(($E81+(IF(OR($N81="",$O81=""),0,MAX(0,MIN(X81,$O81)-MAX($N81,$E81)+1))+N($P81)))),DAY(EOMONTH(X81,0))),1,0)))</f>
        <v/>
      </c>
      <c r="AR81" s="28" t="str">
        <f aca="false">IF(AO81=0,"",IF($H81="","",IF($H81&gt;X81,"",$H81)))</f>
        <v/>
      </c>
      <c r="AS81" s="28" t="str">
        <f aca="false">IF(AO81=0,"",IF(AR81="","",IF($K81="","",IF($K81&gt;X81,"",$K81))))</f>
        <v/>
      </c>
      <c r="AT81" s="11" t="str">
        <f aca="false">IF(AO81=0,"",IF(AR81="",AQ81,IF((AR81-1)&lt;($E81+(IF(OR($N81="",$O81=""),0,MAX(0,MIN((AR81-1),$O81)-MAX($N81,$E81)+1))+N($P81))),-1,12*(YEAR((AR81-1))-YEAR(($E81+(IF(OR($N81="",$O81=""),0,MAX(0,MIN((AR81-1),$O81)-MAX($N81,$E81)+1))+N($P81)))))+MONTH((AR81-1))-MONTH(($E81+(IF(OR($N81="",$O81=""),0,MAX(0,MIN((AR81-1),$O81)-MAX($N81,$E81)+1))+N($P81))))-IF(DAY((AR81-1))&lt;MIN(DAY(($E81+(IF(OR($N81="",$O81=""),0,MAX(0,MIN((AR81-1),$O81)-MAX($N81,$E81)+1))+N($P81)))),DAY(EOMONTH((AR81-1),0))),1,0))))</f>
        <v/>
      </c>
      <c r="AU81" s="11" t="str">
        <f aca="false">IF(AO81=0,"",IF(AS81="",AQ81,IF((AS81-1)&lt;($E81+(IF(OR($N81="",$O81=""),0,MAX(0,MIN((AS81-1),$O81)-MAX($N81,$E81)+1))+N($P81))),-1,12*(YEAR((AS81-1))-YEAR(($E81+(IF(OR($N81="",$O81=""),0,MAX(0,MIN((AS81-1),$O81)-MAX($N81,$E81)+1))+N($P81)))))+MONTH((AS81-1))-MONTH(($E81+(IF(OR($N81="",$O81=""),0,MAX(0,MIN((AS81-1),$O81)-MAX($N81,$E81)+1))+N($P81))))-IF(DAY((AS81-1))&lt;MIN(DAY(($E81+(IF(OR($N81="",$O81=""),0,MAX(0,MIN((AS81-1),$O81)-MAX($N81,$E81)+1))+N($P81)))),DAY(EOMONTH((AS81-1),0))),1,0))))</f>
        <v/>
      </c>
      <c r="AV81" s="11" t="str">
        <f aca="false">IF(AO81=0,"",IF($F81="","None",IF(IFERROR(VLOOKUP($F81,TypeTable,2,0),"None")="PT",IF(N($G81)&gt;=PT_MinHours,"PT","None"),IFERROR(VLOOKUP($F81,TypeTable,2,0),"None"))))</f>
        <v/>
      </c>
      <c r="AW81" s="11" t="str">
        <f aca="false">IF(AO81=0,"",IF($I81="","None",IF(IFERROR(VLOOKUP($I81,TypeTable,2,0),"None")="PT",IF(N($J81)&gt;=PT_MinHours,"PT","None"),IFERROR(VLOOKUP($I81,TypeTable,2,0),"None"))))</f>
        <v/>
      </c>
      <c r="AX81" s="11" t="str">
        <f aca="false">IF(AO81=0,"",IF($L81="","None",IF(IFERROR(VLOOKUP($L81,TypeTable,2,0),"None")="PT",IF(N($M81)&gt;=PT_MinHours,"PT","None"),IFERROR(VLOOKUP($L81,TypeTable,2,0),"None"))))</f>
        <v/>
      </c>
      <c r="AY81" s="11" t="str">
        <f aca="false">IF(AO81=0,"",IF(AS81&lt;&gt;"",AX81,IF(AR81&lt;&gt;"",AW81,AV81)))</f>
        <v/>
      </c>
      <c r="AZ81" s="11" t="str">
        <f aca="false">IF(AO81=0,"",IF(AV81="FT",IF(AT81&lt;FT_First,0,IF(AT81&lt;FT_Y5,1+INT((AT81-FT_First)/FT_Int1),FT_PreY5+FT_PerYear*INT((AT81-FT_Y5)/12)+FT_AnnivDays+INT(MOD(AT81-FT_Y5,12)/FT_Int2))),IF(AV81="PT",IF(AT81&lt;PT_First,0,1+INT((AT81-PT_First)/PT_Int)),0)))</f>
        <v/>
      </c>
      <c r="BA81" s="11" t="str">
        <f aca="false">IF(AO81=0,"",IF(AW81="FT",IF(AT81&lt;FT_First,0,IF(AT81&lt;FT_Y5,1+INT((AT81-FT_First)/FT_Int1),FT_PreY5+FT_PerYear*INT((AT81-FT_Y5)/12)+FT_AnnivDays+INT(MOD(AT81-FT_Y5,12)/FT_Int2))),IF(AW81="PT",IF(AT81&lt;PT_First,0,1+INT((AT81-PT_First)/PT_Int)),0)))</f>
        <v/>
      </c>
      <c r="BB81" s="11" t="str">
        <f aca="false">IF(AO81=0,"",IF(AW81="FT",IF(AU81&lt;FT_First,0,IF(AU81&lt;FT_Y5,1+INT((AU81-FT_First)/FT_Int1),FT_PreY5+FT_PerYear*INT((AU81-FT_Y5)/12)+FT_AnnivDays+INT(MOD(AU81-FT_Y5,12)/FT_Int2))),IF(AW81="PT",IF(AU81&lt;PT_First,0,1+INT((AU81-PT_First)/PT_Int)),0)))</f>
        <v/>
      </c>
      <c r="BC81" s="11" t="str">
        <f aca="false">IF(AO81=0,"",IF(AX81="FT",IF(AU81&lt;FT_First,0,IF(AU81&lt;FT_Y5,1+INT((AU81-FT_First)/FT_Int1),FT_PreY5+FT_PerYear*INT((AU81-FT_Y5)/12)+FT_AnnivDays+INT(MOD(AU81-FT_Y5,12)/FT_Int2))),IF(AX81="PT",IF(AU81&lt;PT_First,0,1+INT((AU81-PT_First)/PT_Int)),0)))</f>
        <v/>
      </c>
      <c r="BD81" s="11" t="str">
        <f aca="false">IF(AO81=0,"",IF(AX81="FT",IF(AQ81&lt;FT_First,0,IF(AQ81&lt;FT_Y5,1+INT((AQ81-FT_First)/FT_Int1),FT_PreY5+FT_PerYear*INT((AQ81-FT_Y5)/12)+FT_AnnivDays+INT(MOD(AQ81-FT_Y5,12)/FT_Int2))),IF(AX81="PT",IF(AQ81&lt;PT_First,0,1+INT((AQ81-PT_First)/PT_Int)),0)))</f>
        <v/>
      </c>
      <c r="BE81" s="11" t="str">
        <f aca="false">IF(AO81=0,"",IF(AY81="FT",IF(AQ81&lt;FT_First,FT_First,IF(AQ81&lt;FT_Y5,MIN(FT_Y5,FT_First+FT_Int1*(INT((AQ81-FT_First)/FT_Int1)+1)),FT_Y5+12*INT((AQ81-FT_Y5)/12)+FT_Int2*(INT(MOD(AQ81-FT_Y5,12)/FT_Int2)+1))),IF(AY81="PT",IF(AQ81&lt;PT_First,PT_First,PT_First+PT_Int*(INT((AQ81-PT_First)/PT_Int)+1)),"")))</f>
        <v/>
      </c>
      <c r="BF81" s="11" t="n">
        <f aca="false">IF(AO81=0,0,IF(AND($Q81&lt;&gt;"",$Q81&lt;=AsOfDate),1,0))</f>
        <v>0</v>
      </c>
      <c r="BG81" s="11" t="str">
        <f aca="false">IF(AND(AO81=1,BF81=0,EH_Ready,N(AB81)&gt;0,N(AI81)=0),COUNT($BG$5:BG80)+1,"")</f>
        <v/>
      </c>
      <c r="BH81" s="11" t="str">
        <f aca="false">IF(AND(AO81=1,BF81=0,EH_Ready,N(AB81)&gt;0,N(AI81)&gt;0,N(AK81)&gt;0),COUNT($BH$5:BH80)+1,"")</f>
        <v/>
      </c>
      <c r="BI81" s="11" t="str">
        <f aca="false">IF(AND(AO81=1,OR(LEFT(AM81,3)="ADD",LEFT(AM81,3)="SET",LEFT(AM81,5)="CHECK",LEFT(AM81,10)="TERMINATED")),COUNT($BI$5:BI80)+1,"")</f>
        <v/>
      </c>
      <c r="BJ81" s="11" t="str">
        <f aca="false">IF(AO81=0,"",$A81&amp;" - "&amp;$B81&amp;" "&amp;$C81)</f>
        <v/>
      </c>
    </row>
    <row r="82" customFormat="false" ht="15" hidden="false" customHeight="false" outlineLevel="0" collapsed="false">
      <c r="A82" s="10"/>
      <c r="B82" s="10"/>
      <c r="C82" s="10"/>
      <c r="D82" s="10"/>
      <c r="E82" s="9"/>
      <c r="F82" s="10"/>
      <c r="G82" s="30"/>
      <c r="H82" s="9"/>
      <c r="I82" s="10"/>
      <c r="J82" s="30"/>
      <c r="K82" s="9"/>
      <c r="L82" s="10"/>
      <c r="M82" s="30"/>
      <c r="N82" s="9"/>
      <c r="O82" s="9"/>
      <c r="P82" s="30"/>
      <c r="Q82" s="9"/>
      <c r="R82" s="10"/>
      <c r="S82" s="11" t="str">
        <f aca="false">IF(AO82=0,"",IF($H82="","",$F82&amp;" -&gt; "&amp;$I82&amp;IF($I82="Part-Time"," ("&amp;N($J82)&amp;" hrs)","")&amp;" on "&amp;TEXT($H82,"dd/mm/yyyy")&amp;IF($H82&gt;AsOfDate," (FUTURE)","")&amp;IF($K82="","","; "&amp;$I82&amp;" -&gt; "&amp;$L82&amp;IF($L82="Part-Time"," ("&amp;N($M82)&amp;" hrs)","")&amp;" on "&amp;TEXT($K82,"dd/mm/yyyy")&amp;IF($K82&gt;AsOfDate," (FUTURE)",""))))</f>
        <v/>
      </c>
      <c r="T82" s="11" t="str">
        <f aca="false">IF(AO82=0,"",IF(AS82&lt;&gt;"",$L82,IF(AR82&lt;&gt;"",$I82,$F82)))</f>
        <v/>
      </c>
      <c r="U82" s="26" t="str">
        <f aca="false">IF(AO82=0,"",IF(AS82&lt;&gt;"",$M82,IF(AR82&lt;&gt;"",$J82,$G82)))</f>
        <v/>
      </c>
      <c r="V82" s="11" t="str">
        <f aca="false">IF(AO82=0,"",IF(AY82="FT","Full-Time",IF(AY82="PT","Part-Time","Not eligible")))</f>
        <v/>
      </c>
      <c r="W82" s="27" t="str">
        <f aca="false">IF(AO82=0,"",IF(AR82="",IF(AND($H82&lt;&gt;"",$H82&gt;AsOfDate),"Future change - not yet applied",""),IF(AND(AV82=AY82,OR(AS82="",AW82=AV82)),"Type changed - same accrual pathway",IF(AY82="None","STOPPED accruing from "&amp;TEXT(IF(AS82&lt;&gt;"",AS82,AR82),"dd/mm/yyyy"),IF(AV82="None","STARTED qualifying from "&amp;TEXT(IF(AS82&lt;&gt;"",AS82,AR82),"dd/mm/yyyy"),"Pathway changed "&amp;AV82&amp;" -&gt; "&amp;AW82&amp;IF(AS82&lt;&gt;""," -&gt; "&amp;AX82,"")&amp;" from "&amp;TEXT(IF(AS82&lt;&gt;"",AS82,AR82),"dd/mm/yyyy"))))))</f>
        <v/>
      </c>
      <c r="X82" s="28" t="str">
        <f aca="false">IF(AO82=0,"",IF($Q82="",AsOfDate,MIN(AsOfDate,$Q82)))</f>
        <v/>
      </c>
      <c r="Y82" s="26" t="str">
        <f aca="false">IF(AO82=0,"",MAX(0,AQ82))</f>
        <v/>
      </c>
      <c r="Z82" s="11" t="str">
        <f aca="false">IF(AO82=0,"",IF(AQ82&lt;0,"Not started",INT(AQ82/12)&amp;"y "&amp;MOD(AQ82,12)&amp;"m"))</f>
        <v/>
      </c>
      <c r="AA82" s="27" t="str">
        <f aca="false">IF(AO82=0,"",IF(BF82=1,"Terminated - balance forfeited",IF(AY82="None",IF(AB82&gt;0,"No longer accruing - "&amp;T82,"Not eligible - "&amp;T82&amp;IF(AND(IFERROR(VLOOKUP(T82,TypeTable,2,0),"None")="PT",N(U82)&lt;PT_MinHours)," (under "&amp;PT_MinHours&amp;" hrs)","")),IF(AB82&gt;0,"Yes - accruing","Not yet - qualifies "&amp;TEXT(AD82,"dd/mm/yyyy")))))</f>
        <v/>
      </c>
      <c r="AB82" s="26" t="str">
        <f aca="false">IF(AO82=0,"",AZ82+IF(AR82="",0,BB82-BA82)+IF(AS82="",0,BD82-BC82))</f>
        <v/>
      </c>
      <c r="AC82" s="26" t="str">
        <f aca="false">IF(AO82=0,"",AB82*HoursPerDay)</f>
        <v/>
      </c>
      <c r="AD82" s="28" t="str">
        <f aca="false">IF(AO82=0,"",IF(OR(BF82=1,AY82="None"),"",EDATE($E82+AP82,BE82)))</f>
        <v/>
      </c>
      <c r="AE82" s="26" t="str">
        <f aca="false">IF(AD82="","",IF(AY82="PT",1,IF(BE82&lt;FT_Y5,1,IF(MOD(BE82-FT_Y5,12)=0,FT_AnnivDays,1))))</f>
        <v/>
      </c>
      <c r="AF82" s="27" t="str">
        <f aca="false">IF(AO82=0,"",IF(NOT(EH_Ready),"Map headers",IF(IF(MatchMode="Employee ID",COUNTIFS(INDEX(EH_Data,0,EH_ColID),$A82,INDEX(EH_Data,0,EH_ColCat),BonusCat),COUNTIFS(INDEX(EH_Data,0,EH_ColFirst),$B82,INDEX(EH_Data,0,EH_ColSur),$C82,INDEX(EH_Data,0,EH_ColCat),BonusCat))&gt;0,"Yes","No")))</f>
        <v/>
      </c>
      <c r="AG82" s="26" t="str">
        <f aca="false">IF(AO82=0,"",IF(NOT(EH_Ready),"",IF(MatchMode="Employee ID",SUMIFS(INDEX(EH_Data,0,EH_ColBal),INDEX(EH_Data,0,EH_ColID),$A82,INDEX(EH_Data,0,EH_ColCat),BonusCat),SUMIFS(INDEX(EH_Data,0,EH_ColBal),INDEX(EH_Data,0,EH_ColFirst),$B82,INDEX(EH_Data,0,EH_ColSur),$C82,INDEX(EH_Data,0,EH_ColCat),BonusCat))/IF(EHUnit="Hours",HoursPerDay,1)))</f>
        <v/>
      </c>
      <c r="AH82" s="26" t="str">
        <f aca="false">IF(AO82=0,"",IF(NOT(TK_Ready),0,IF(MatchMode="Employee ID",SUMIFS(INDEX(TK_Data,0,TK_ColAmt),INDEX(TK_Data,0,TK_ColID),$A82,INDEX(TK_Data,0,TK_ColCat),BonusCat),SUMIFS(INDEX(TK_Data,0,TK_ColAmt),INDEX(TK_Data,0,TK_ColFirst),$B82,INDEX(TK_Data,0,TK_ColSur),$C82,INDEX(TK_Data,0,TK_ColCat),BonusCat))/IF(TKUnit="Hours",HoursPerDay,1)))</f>
        <v/>
      </c>
      <c r="AI82" s="26" t="str">
        <f aca="false">IF(AO82=0,"",N(AG82)+N(AH82))</f>
        <v/>
      </c>
      <c r="AJ82" s="29" t="str">
        <f aca="false">IF(AO82=0,"",IF(NOT(AND(EH_Ready,EH_ValReady)),"",IF(MatchMode="Employee ID",SUMIFS(INDEX(EH_Data,0,EH_ColVal),INDEX(EH_Data,0,EH_ColID),$A82,INDEX(EH_Data,0,EH_ColCat),BonusCat),SUMIFS(INDEX(EH_Data,0,EH_ColVal),INDEX(EH_Data,0,EH_ColFirst),$B82,INDEX(EH_Data,0,EH_ColSur),$C82,INDEX(EH_Data,0,EH_ColCat),BonusCat))))</f>
        <v/>
      </c>
      <c r="AK82" s="26" t="str">
        <f aca="false">IF(AO82=0,"",IF(OR(NOT(EH_Ready),BF82=1),"",AB82-AI82))</f>
        <v/>
      </c>
      <c r="AL82" s="26" t="str">
        <f aca="false">IF(AK82="","",AK82*HoursPerDay)</f>
        <v/>
      </c>
      <c r="AM82" s="27" t="str">
        <f aca="false">IF(AO82=0,"",IF(BF82=1,IF(N(AG82)&gt;0,"TERMINATED - forfeit "&amp;TEXT(AG82,"0.##")&amp;" days still in EH","Terminated - nothing in EH"),IF(NOT(EH_Ready),"Paste EH export and map headers on Settings",IF(AND(AB82&gt;0,AF82="No"),"SET UP in EH - add "&amp;TEXT(AB82,"0.##")&amp;" day(s) ("&amp;TEXT(AC82,"0.##")&amp;" hrs)",IF(AK82&gt;0,"ADD "&amp;TEXT(AK82,"0.##")&amp;" day(s) ("&amp;TEXT(AL82,"0.##")&amp;" hrs) in EH",IF(AK82&lt;0,"CHECK - EH shows "&amp;TEXT(-AK82,"0.##")&amp;" days more than policy",IF(AB82&gt;0,"OK - up to date",IF(AY82="None","No action - not eligible","No action - not yet qualified"))))))))</f>
        <v/>
      </c>
      <c r="AN82" s="27" t="str">
        <f aca="false">IF(AO82=0,"",TRIM(IF(AND($K82&lt;&gt;"",$H82=""),"Change 2 entered without Change 1. ","")&amp;IF(AND($K82&lt;&gt;"",$H82&lt;&gt;"",$K82&lt;=$H82),"Change 2 date not after Change 1. ","")&amp;IF(AND($N82&lt;&gt;"",$O82&lt;&gt;"",$O82&lt;$N82),"Leave To is before Leave From. ","")&amp;IF(AND($N82&lt;&gt;"",$O82=""),"Leave From entered without Leave To. ","")&amp;IF(AND(IFERROR(VLOOKUP(T82,TypeTable,2,0),"None")="PT",U82=""),"Part-time with no hours entered. ","")&amp;IF(AND($H82&lt;&gt;"",$H82&gt;AsOfDate,AD82&lt;&gt;"",$H82&lt;=AD82),"Status change lands before next accrual - review. ","")&amp;IF(AND($Q82&lt;&gt;"",$Q82&lt;$E82),"Termination before commencement. ","")))</f>
        <v/>
      </c>
      <c r="AO82" s="11" t="n">
        <f aca="false">IF(LEN($A82&amp;$B82&amp;$C82)=0,0,IF($E82="",0,1))</f>
        <v>0</v>
      </c>
      <c r="AP82" s="11" t="str">
        <f aca="false">IF(AO82=0,"",(IF(OR($N82="",$O82=""),0,MAX(0,MIN(X82,$O82)-MAX($N82,$E82)+1))+N($P82)))</f>
        <v/>
      </c>
      <c r="AQ82" s="11" t="str">
        <f aca="false">IF(AO82=0,"",IF(X82&lt;($E82+(IF(OR($N82="",$O82=""),0,MAX(0,MIN(X82,$O82)-MAX($N82,$E82)+1))+N($P82))),-1,12*(YEAR(X82)-YEAR(($E82+(IF(OR($N82="",$O82=""),0,MAX(0,MIN(X82,$O82)-MAX($N82,$E82)+1))+N($P82)))))+MONTH(X82)-MONTH(($E82+(IF(OR($N82="",$O82=""),0,MAX(0,MIN(X82,$O82)-MAX($N82,$E82)+1))+N($P82))))-IF(DAY(X82)&lt;MIN(DAY(($E82+(IF(OR($N82="",$O82=""),0,MAX(0,MIN(X82,$O82)-MAX($N82,$E82)+1))+N($P82)))),DAY(EOMONTH(X82,0))),1,0)))</f>
        <v/>
      </c>
      <c r="AR82" s="28" t="str">
        <f aca="false">IF(AO82=0,"",IF($H82="","",IF($H82&gt;X82,"",$H82)))</f>
        <v/>
      </c>
      <c r="AS82" s="28" t="str">
        <f aca="false">IF(AO82=0,"",IF(AR82="","",IF($K82="","",IF($K82&gt;X82,"",$K82))))</f>
        <v/>
      </c>
      <c r="AT82" s="11" t="str">
        <f aca="false">IF(AO82=0,"",IF(AR82="",AQ82,IF((AR82-1)&lt;($E82+(IF(OR($N82="",$O82=""),0,MAX(0,MIN((AR82-1),$O82)-MAX($N82,$E82)+1))+N($P82))),-1,12*(YEAR((AR82-1))-YEAR(($E82+(IF(OR($N82="",$O82=""),0,MAX(0,MIN((AR82-1),$O82)-MAX($N82,$E82)+1))+N($P82)))))+MONTH((AR82-1))-MONTH(($E82+(IF(OR($N82="",$O82=""),0,MAX(0,MIN((AR82-1),$O82)-MAX($N82,$E82)+1))+N($P82))))-IF(DAY((AR82-1))&lt;MIN(DAY(($E82+(IF(OR($N82="",$O82=""),0,MAX(0,MIN((AR82-1),$O82)-MAX($N82,$E82)+1))+N($P82)))),DAY(EOMONTH((AR82-1),0))),1,0))))</f>
        <v/>
      </c>
      <c r="AU82" s="11" t="str">
        <f aca="false">IF(AO82=0,"",IF(AS82="",AQ82,IF((AS82-1)&lt;($E82+(IF(OR($N82="",$O82=""),0,MAX(0,MIN((AS82-1),$O82)-MAX($N82,$E82)+1))+N($P82))),-1,12*(YEAR((AS82-1))-YEAR(($E82+(IF(OR($N82="",$O82=""),0,MAX(0,MIN((AS82-1),$O82)-MAX($N82,$E82)+1))+N($P82)))))+MONTH((AS82-1))-MONTH(($E82+(IF(OR($N82="",$O82=""),0,MAX(0,MIN((AS82-1),$O82)-MAX($N82,$E82)+1))+N($P82))))-IF(DAY((AS82-1))&lt;MIN(DAY(($E82+(IF(OR($N82="",$O82=""),0,MAX(0,MIN((AS82-1),$O82)-MAX($N82,$E82)+1))+N($P82)))),DAY(EOMONTH((AS82-1),0))),1,0))))</f>
        <v/>
      </c>
      <c r="AV82" s="11" t="str">
        <f aca="false">IF(AO82=0,"",IF($F82="","None",IF(IFERROR(VLOOKUP($F82,TypeTable,2,0),"None")="PT",IF(N($G82)&gt;=PT_MinHours,"PT","None"),IFERROR(VLOOKUP($F82,TypeTable,2,0),"None"))))</f>
        <v/>
      </c>
      <c r="AW82" s="11" t="str">
        <f aca="false">IF(AO82=0,"",IF($I82="","None",IF(IFERROR(VLOOKUP($I82,TypeTable,2,0),"None")="PT",IF(N($J82)&gt;=PT_MinHours,"PT","None"),IFERROR(VLOOKUP($I82,TypeTable,2,0),"None"))))</f>
        <v/>
      </c>
      <c r="AX82" s="11" t="str">
        <f aca="false">IF(AO82=0,"",IF($L82="","None",IF(IFERROR(VLOOKUP($L82,TypeTable,2,0),"None")="PT",IF(N($M82)&gt;=PT_MinHours,"PT","None"),IFERROR(VLOOKUP($L82,TypeTable,2,0),"None"))))</f>
        <v/>
      </c>
      <c r="AY82" s="11" t="str">
        <f aca="false">IF(AO82=0,"",IF(AS82&lt;&gt;"",AX82,IF(AR82&lt;&gt;"",AW82,AV82)))</f>
        <v/>
      </c>
      <c r="AZ82" s="11" t="str">
        <f aca="false">IF(AO82=0,"",IF(AV82="FT",IF(AT82&lt;FT_First,0,IF(AT82&lt;FT_Y5,1+INT((AT82-FT_First)/FT_Int1),FT_PreY5+FT_PerYear*INT((AT82-FT_Y5)/12)+FT_AnnivDays+INT(MOD(AT82-FT_Y5,12)/FT_Int2))),IF(AV82="PT",IF(AT82&lt;PT_First,0,1+INT((AT82-PT_First)/PT_Int)),0)))</f>
        <v/>
      </c>
      <c r="BA82" s="11" t="str">
        <f aca="false">IF(AO82=0,"",IF(AW82="FT",IF(AT82&lt;FT_First,0,IF(AT82&lt;FT_Y5,1+INT((AT82-FT_First)/FT_Int1),FT_PreY5+FT_PerYear*INT((AT82-FT_Y5)/12)+FT_AnnivDays+INT(MOD(AT82-FT_Y5,12)/FT_Int2))),IF(AW82="PT",IF(AT82&lt;PT_First,0,1+INT((AT82-PT_First)/PT_Int)),0)))</f>
        <v/>
      </c>
      <c r="BB82" s="11" t="str">
        <f aca="false">IF(AO82=0,"",IF(AW82="FT",IF(AU82&lt;FT_First,0,IF(AU82&lt;FT_Y5,1+INT((AU82-FT_First)/FT_Int1),FT_PreY5+FT_PerYear*INT((AU82-FT_Y5)/12)+FT_AnnivDays+INT(MOD(AU82-FT_Y5,12)/FT_Int2))),IF(AW82="PT",IF(AU82&lt;PT_First,0,1+INT((AU82-PT_First)/PT_Int)),0)))</f>
        <v/>
      </c>
      <c r="BC82" s="11" t="str">
        <f aca="false">IF(AO82=0,"",IF(AX82="FT",IF(AU82&lt;FT_First,0,IF(AU82&lt;FT_Y5,1+INT((AU82-FT_First)/FT_Int1),FT_PreY5+FT_PerYear*INT((AU82-FT_Y5)/12)+FT_AnnivDays+INT(MOD(AU82-FT_Y5,12)/FT_Int2))),IF(AX82="PT",IF(AU82&lt;PT_First,0,1+INT((AU82-PT_First)/PT_Int)),0)))</f>
        <v/>
      </c>
      <c r="BD82" s="11" t="str">
        <f aca="false">IF(AO82=0,"",IF(AX82="FT",IF(AQ82&lt;FT_First,0,IF(AQ82&lt;FT_Y5,1+INT((AQ82-FT_First)/FT_Int1),FT_PreY5+FT_PerYear*INT((AQ82-FT_Y5)/12)+FT_AnnivDays+INT(MOD(AQ82-FT_Y5,12)/FT_Int2))),IF(AX82="PT",IF(AQ82&lt;PT_First,0,1+INT((AQ82-PT_First)/PT_Int)),0)))</f>
        <v/>
      </c>
      <c r="BE82" s="11" t="str">
        <f aca="false">IF(AO82=0,"",IF(AY82="FT",IF(AQ82&lt;FT_First,FT_First,IF(AQ82&lt;FT_Y5,MIN(FT_Y5,FT_First+FT_Int1*(INT((AQ82-FT_First)/FT_Int1)+1)),FT_Y5+12*INT((AQ82-FT_Y5)/12)+FT_Int2*(INT(MOD(AQ82-FT_Y5,12)/FT_Int2)+1))),IF(AY82="PT",IF(AQ82&lt;PT_First,PT_First,PT_First+PT_Int*(INT((AQ82-PT_First)/PT_Int)+1)),"")))</f>
        <v/>
      </c>
      <c r="BF82" s="11" t="n">
        <f aca="false">IF(AO82=0,0,IF(AND($Q82&lt;&gt;"",$Q82&lt;=AsOfDate),1,0))</f>
        <v>0</v>
      </c>
      <c r="BG82" s="11" t="str">
        <f aca="false">IF(AND(AO82=1,BF82=0,EH_Ready,N(AB82)&gt;0,N(AI82)=0),COUNT($BG$5:BG81)+1,"")</f>
        <v/>
      </c>
      <c r="BH82" s="11" t="str">
        <f aca="false">IF(AND(AO82=1,BF82=0,EH_Ready,N(AB82)&gt;0,N(AI82)&gt;0,N(AK82)&gt;0),COUNT($BH$5:BH81)+1,"")</f>
        <v/>
      </c>
      <c r="BI82" s="11" t="str">
        <f aca="false">IF(AND(AO82=1,OR(LEFT(AM82,3)="ADD",LEFT(AM82,3)="SET",LEFT(AM82,5)="CHECK",LEFT(AM82,10)="TERMINATED")),COUNT($BI$5:BI81)+1,"")</f>
        <v/>
      </c>
      <c r="BJ82" s="11" t="str">
        <f aca="false">IF(AO82=0,"",$A82&amp;" - "&amp;$B82&amp;" "&amp;$C82)</f>
        <v/>
      </c>
    </row>
    <row r="83" customFormat="false" ht="15" hidden="false" customHeight="false" outlineLevel="0" collapsed="false">
      <c r="A83" s="10"/>
      <c r="B83" s="10"/>
      <c r="C83" s="10"/>
      <c r="D83" s="10"/>
      <c r="E83" s="9"/>
      <c r="F83" s="10"/>
      <c r="G83" s="30"/>
      <c r="H83" s="9"/>
      <c r="I83" s="10"/>
      <c r="J83" s="30"/>
      <c r="K83" s="9"/>
      <c r="L83" s="10"/>
      <c r="M83" s="30"/>
      <c r="N83" s="9"/>
      <c r="O83" s="9"/>
      <c r="P83" s="30"/>
      <c r="Q83" s="9"/>
      <c r="R83" s="10"/>
      <c r="S83" s="11" t="str">
        <f aca="false">IF(AO83=0,"",IF($H83="","",$F83&amp;" -&gt; "&amp;$I83&amp;IF($I83="Part-Time"," ("&amp;N($J83)&amp;" hrs)","")&amp;" on "&amp;TEXT($H83,"dd/mm/yyyy")&amp;IF($H83&gt;AsOfDate," (FUTURE)","")&amp;IF($K83="","","; "&amp;$I83&amp;" -&gt; "&amp;$L83&amp;IF($L83="Part-Time"," ("&amp;N($M83)&amp;" hrs)","")&amp;" on "&amp;TEXT($K83,"dd/mm/yyyy")&amp;IF($K83&gt;AsOfDate," (FUTURE)",""))))</f>
        <v/>
      </c>
      <c r="T83" s="11" t="str">
        <f aca="false">IF(AO83=0,"",IF(AS83&lt;&gt;"",$L83,IF(AR83&lt;&gt;"",$I83,$F83)))</f>
        <v/>
      </c>
      <c r="U83" s="26" t="str">
        <f aca="false">IF(AO83=0,"",IF(AS83&lt;&gt;"",$M83,IF(AR83&lt;&gt;"",$J83,$G83)))</f>
        <v/>
      </c>
      <c r="V83" s="11" t="str">
        <f aca="false">IF(AO83=0,"",IF(AY83="FT","Full-Time",IF(AY83="PT","Part-Time","Not eligible")))</f>
        <v/>
      </c>
      <c r="W83" s="27" t="str">
        <f aca="false">IF(AO83=0,"",IF(AR83="",IF(AND($H83&lt;&gt;"",$H83&gt;AsOfDate),"Future change - not yet applied",""),IF(AND(AV83=AY83,OR(AS83="",AW83=AV83)),"Type changed - same accrual pathway",IF(AY83="None","STOPPED accruing from "&amp;TEXT(IF(AS83&lt;&gt;"",AS83,AR83),"dd/mm/yyyy"),IF(AV83="None","STARTED qualifying from "&amp;TEXT(IF(AS83&lt;&gt;"",AS83,AR83),"dd/mm/yyyy"),"Pathway changed "&amp;AV83&amp;" -&gt; "&amp;AW83&amp;IF(AS83&lt;&gt;""," -&gt; "&amp;AX83,"")&amp;" from "&amp;TEXT(IF(AS83&lt;&gt;"",AS83,AR83),"dd/mm/yyyy"))))))</f>
        <v/>
      </c>
      <c r="X83" s="28" t="str">
        <f aca="false">IF(AO83=0,"",IF($Q83="",AsOfDate,MIN(AsOfDate,$Q83)))</f>
        <v/>
      </c>
      <c r="Y83" s="26" t="str">
        <f aca="false">IF(AO83=0,"",MAX(0,AQ83))</f>
        <v/>
      </c>
      <c r="Z83" s="11" t="str">
        <f aca="false">IF(AO83=0,"",IF(AQ83&lt;0,"Not started",INT(AQ83/12)&amp;"y "&amp;MOD(AQ83,12)&amp;"m"))</f>
        <v/>
      </c>
      <c r="AA83" s="27" t="str">
        <f aca="false">IF(AO83=0,"",IF(BF83=1,"Terminated - balance forfeited",IF(AY83="None",IF(AB83&gt;0,"No longer accruing - "&amp;T83,"Not eligible - "&amp;T83&amp;IF(AND(IFERROR(VLOOKUP(T83,TypeTable,2,0),"None")="PT",N(U83)&lt;PT_MinHours)," (under "&amp;PT_MinHours&amp;" hrs)","")),IF(AB83&gt;0,"Yes - accruing","Not yet - qualifies "&amp;TEXT(AD83,"dd/mm/yyyy")))))</f>
        <v/>
      </c>
      <c r="AB83" s="26" t="str">
        <f aca="false">IF(AO83=0,"",AZ83+IF(AR83="",0,BB83-BA83)+IF(AS83="",0,BD83-BC83))</f>
        <v/>
      </c>
      <c r="AC83" s="26" t="str">
        <f aca="false">IF(AO83=0,"",AB83*HoursPerDay)</f>
        <v/>
      </c>
      <c r="AD83" s="28" t="str">
        <f aca="false">IF(AO83=0,"",IF(OR(BF83=1,AY83="None"),"",EDATE($E83+AP83,BE83)))</f>
        <v/>
      </c>
      <c r="AE83" s="26" t="str">
        <f aca="false">IF(AD83="","",IF(AY83="PT",1,IF(BE83&lt;FT_Y5,1,IF(MOD(BE83-FT_Y5,12)=0,FT_AnnivDays,1))))</f>
        <v/>
      </c>
      <c r="AF83" s="27" t="str">
        <f aca="false">IF(AO83=0,"",IF(NOT(EH_Ready),"Map headers",IF(IF(MatchMode="Employee ID",COUNTIFS(INDEX(EH_Data,0,EH_ColID),$A83,INDEX(EH_Data,0,EH_ColCat),BonusCat),COUNTIFS(INDEX(EH_Data,0,EH_ColFirst),$B83,INDEX(EH_Data,0,EH_ColSur),$C83,INDEX(EH_Data,0,EH_ColCat),BonusCat))&gt;0,"Yes","No")))</f>
        <v/>
      </c>
      <c r="AG83" s="26" t="str">
        <f aca="false">IF(AO83=0,"",IF(NOT(EH_Ready),"",IF(MatchMode="Employee ID",SUMIFS(INDEX(EH_Data,0,EH_ColBal),INDEX(EH_Data,0,EH_ColID),$A83,INDEX(EH_Data,0,EH_ColCat),BonusCat),SUMIFS(INDEX(EH_Data,0,EH_ColBal),INDEX(EH_Data,0,EH_ColFirst),$B83,INDEX(EH_Data,0,EH_ColSur),$C83,INDEX(EH_Data,0,EH_ColCat),BonusCat))/IF(EHUnit="Hours",HoursPerDay,1)))</f>
        <v/>
      </c>
      <c r="AH83" s="26" t="str">
        <f aca="false">IF(AO83=0,"",IF(NOT(TK_Ready),0,IF(MatchMode="Employee ID",SUMIFS(INDEX(TK_Data,0,TK_ColAmt),INDEX(TK_Data,0,TK_ColID),$A83,INDEX(TK_Data,0,TK_ColCat),BonusCat),SUMIFS(INDEX(TK_Data,0,TK_ColAmt),INDEX(TK_Data,0,TK_ColFirst),$B83,INDEX(TK_Data,0,TK_ColSur),$C83,INDEX(TK_Data,0,TK_ColCat),BonusCat))/IF(TKUnit="Hours",HoursPerDay,1)))</f>
        <v/>
      </c>
      <c r="AI83" s="26" t="str">
        <f aca="false">IF(AO83=0,"",N(AG83)+N(AH83))</f>
        <v/>
      </c>
      <c r="AJ83" s="29" t="str">
        <f aca="false">IF(AO83=0,"",IF(NOT(AND(EH_Ready,EH_ValReady)),"",IF(MatchMode="Employee ID",SUMIFS(INDEX(EH_Data,0,EH_ColVal),INDEX(EH_Data,0,EH_ColID),$A83,INDEX(EH_Data,0,EH_ColCat),BonusCat),SUMIFS(INDEX(EH_Data,0,EH_ColVal),INDEX(EH_Data,0,EH_ColFirst),$B83,INDEX(EH_Data,0,EH_ColSur),$C83,INDEX(EH_Data,0,EH_ColCat),BonusCat))))</f>
        <v/>
      </c>
      <c r="AK83" s="26" t="str">
        <f aca="false">IF(AO83=0,"",IF(OR(NOT(EH_Ready),BF83=1),"",AB83-AI83))</f>
        <v/>
      </c>
      <c r="AL83" s="26" t="str">
        <f aca="false">IF(AK83="","",AK83*HoursPerDay)</f>
        <v/>
      </c>
      <c r="AM83" s="27" t="str">
        <f aca="false">IF(AO83=0,"",IF(BF83=1,IF(N(AG83)&gt;0,"TERMINATED - forfeit "&amp;TEXT(AG83,"0.##")&amp;" days still in EH","Terminated - nothing in EH"),IF(NOT(EH_Ready),"Paste EH export and map headers on Settings",IF(AND(AB83&gt;0,AF83="No"),"SET UP in EH - add "&amp;TEXT(AB83,"0.##")&amp;" day(s) ("&amp;TEXT(AC83,"0.##")&amp;" hrs)",IF(AK83&gt;0,"ADD "&amp;TEXT(AK83,"0.##")&amp;" day(s) ("&amp;TEXT(AL83,"0.##")&amp;" hrs) in EH",IF(AK83&lt;0,"CHECK - EH shows "&amp;TEXT(-AK83,"0.##")&amp;" days more than policy",IF(AB83&gt;0,"OK - up to date",IF(AY83="None","No action - not eligible","No action - not yet qualified"))))))))</f>
        <v/>
      </c>
      <c r="AN83" s="27" t="str">
        <f aca="false">IF(AO83=0,"",TRIM(IF(AND($K83&lt;&gt;"",$H83=""),"Change 2 entered without Change 1. ","")&amp;IF(AND($K83&lt;&gt;"",$H83&lt;&gt;"",$K83&lt;=$H83),"Change 2 date not after Change 1. ","")&amp;IF(AND($N83&lt;&gt;"",$O83&lt;&gt;"",$O83&lt;$N83),"Leave To is before Leave From. ","")&amp;IF(AND($N83&lt;&gt;"",$O83=""),"Leave From entered without Leave To. ","")&amp;IF(AND(IFERROR(VLOOKUP(T83,TypeTable,2,0),"None")="PT",U83=""),"Part-time with no hours entered. ","")&amp;IF(AND($H83&lt;&gt;"",$H83&gt;AsOfDate,AD83&lt;&gt;"",$H83&lt;=AD83),"Status change lands before next accrual - review. ","")&amp;IF(AND($Q83&lt;&gt;"",$Q83&lt;$E83),"Termination before commencement. ","")))</f>
        <v/>
      </c>
      <c r="AO83" s="11" t="n">
        <f aca="false">IF(LEN($A83&amp;$B83&amp;$C83)=0,0,IF($E83="",0,1))</f>
        <v>0</v>
      </c>
      <c r="AP83" s="11" t="str">
        <f aca="false">IF(AO83=0,"",(IF(OR($N83="",$O83=""),0,MAX(0,MIN(X83,$O83)-MAX($N83,$E83)+1))+N($P83)))</f>
        <v/>
      </c>
      <c r="AQ83" s="11" t="str">
        <f aca="false">IF(AO83=0,"",IF(X83&lt;($E83+(IF(OR($N83="",$O83=""),0,MAX(0,MIN(X83,$O83)-MAX($N83,$E83)+1))+N($P83))),-1,12*(YEAR(X83)-YEAR(($E83+(IF(OR($N83="",$O83=""),0,MAX(0,MIN(X83,$O83)-MAX($N83,$E83)+1))+N($P83)))))+MONTH(X83)-MONTH(($E83+(IF(OR($N83="",$O83=""),0,MAX(0,MIN(X83,$O83)-MAX($N83,$E83)+1))+N($P83))))-IF(DAY(X83)&lt;MIN(DAY(($E83+(IF(OR($N83="",$O83=""),0,MAX(0,MIN(X83,$O83)-MAX($N83,$E83)+1))+N($P83)))),DAY(EOMONTH(X83,0))),1,0)))</f>
        <v/>
      </c>
      <c r="AR83" s="28" t="str">
        <f aca="false">IF(AO83=0,"",IF($H83="","",IF($H83&gt;X83,"",$H83)))</f>
        <v/>
      </c>
      <c r="AS83" s="28" t="str">
        <f aca="false">IF(AO83=0,"",IF(AR83="","",IF($K83="","",IF($K83&gt;X83,"",$K83))))</f>
        <v/>
      </c>
      <c r="AT83" s="11" t="str">
        <f aca="false">IF(AO83=0,"",IF(AR83="",AQ83,IF((AR83-1)&lt;($E83+(IF(OR($N83="",$O83=""),0,MAX(0,MIN((AR83-1),$O83)-MAX($N83,$E83)+1))+N($P83))),-1,12*(YEAR((AR83-1))-YEAR(($E83+(IF(OR($N83="",$O83=""),0,MAX(0,MIN((AR83-1),$O83)-MAX($N83,$E83)+1))+N($P83)))))+MONTH((AR83-1))-MONTH(($E83+(IF(OR($N83="",$O83=""),0,MAX(0,MIN((AR83-1),$O83)-MAX($N83,$E83)+1))+N($P83))))-IF(DAY((AR83-1))&lt;MIN(DAY(($E83+(IF(OR($N83="",$O83=""),0,MAX(0,MIN((AR83-1),$O83)-MAX($N83,$E83)+1))+N($P83)))),DAY(EOMONTH((AR83-1),0))),1,0))))</f>
        <v/>
      </c>
      <c r="AU83" s="11" t="str">
        <f aca="false">IF(AO83=0,"",IF(AS83="",AQ83,IF((AS83-1)&lt;($E83+(IF(OR($N83="",$O83=""),0,MAX(0,MIN((AS83-1),$O83)-MAX($N83,$E83)+1))+N($P83))),-1,12*(YEAR((AS83-1))-YEAR(($E83+(IF(OR($N83="",$O83=""),0,MAX(0,MIN((AS83-1),$O83)-MAX($N83,$E83)+1))+N($P83)))))+MONTH((AS83-1))-MONTH(($E83+(IF(OR($N83="",$O83=""),0,MAX(0,MIN((AS83-1),$O83)-MAX($N83,$E83)+1))+N($P83))))-IF(DAY((AS83-1))&lt;MIN(DAY(($E83+(IF(OR($N83="",$O83=""),0,MAX(0,MIN((AS83-1),$O83)-MAX($N83,$E83)+1))+N($P83)))),DAY(EOMONTH((AS83-1),0))),1,0))))</f>
        <v/>
      </c>
      <c r="AV83" s="11" t="str">
        <f aca="false">IF(AO83=0,"",IF($F83="","None",IF(IFERROR(VLOOKUP($F83,TypeTable,2,0),"None")="PT",IF(N($G83)&gt;=PT_MinHours,"PT","None"),IFERROR(VLOOKUP($F83,TypeTable,2,0),"None"))))</f>
        <v/>
      </c>
      <c r="AW83" s="11" t="str">
        <f aca="false">IF(AO83=0,"",IF($I83="","None",IF(IFERROR(VLOOKUP($I83,TypeTable,2,0),"None")="PT",IF(N($J83)&gt;=PT_MinHours,"PT","None"),IFERROR(VLOOKUP($I83,TypeTable,2,0),"None"))))</f>
        <v/>
      </c>
      <c r="AX83" s="11" t="str">
        <f aca="false">IF(AO83=0,"",IF($L83="","None",IF(IFERROR(VLOOKUP($L83,TypeTable,2,0),"None")="PT",IF(N($M83)&gt;=PT_MinHours,"PT","None"),IFERROR(VLOOKUP($L83,TypeTable,2,0),"None"))))</f>
        <v/>
      </c>
      <c r="AY83" s="11" t="str">
        <f aca="false">IF(AO83=0,"",IF(AS83&lt;&gt;"",AX83,IF(AR83&lt;&gt;"",AW83,AV83)))</f>
        <v/>
      </c>
      <c r="AZ83" s="11" t="str">
        <f aca="false">IF(AO83=0,"",IF(AV83="FT",IF(AT83&lt;FT_First,0,IF(AT83&lt;FT_Y5,1+INT((AT83-FT_First)/FT_Int1),FT_PreY5+FT_PerYear*INT((AT83-FT_Y5)/12)+FT_AnnivDays+INT(MOD(AT83-FT_Y5,12)/FT_Int2))),IF(AV83="PT",IF(AT83&lt;PT_First,0,1+INT((AT83-PT_First)/PT_Int)),0)))</f>
        <v/>
      </c>
      <c r="BA83" s="11" t="str">
        <f aca="false">IF(AO83=0,"",IF(AW83="FT",IF(AT83&lt;FT_First,0,IF(AT83&lt;FT_Y5,1+INT((AT83-FT_First)/FT_Int1),FT_PreY5+FT_PerYear*INT((AT83-FT_Y5)/12)+FT_AnnivDays+INT(MOD(AT83-FT_Y5,12)/FT_Int2))),IF(AW83="PT",IF(AT83&lt;PT_First,0,1+INT((AT83-PT_First)/PT_Int)),0)))</f>
        <v/>
      </c>
      <c r="BB83" s="11" t="str">
        <f aca="false">IF(AO83=0,"",IF(AW83="FT",IF(AU83&lt;FT_First,0,IF(AU83&lt;FT_Y5,1+INT((AU83-FT_First)/FT_Int1),FT_PreY5+FT_PerYear*INT((AU83-FT_Y5)/12)+FT_AnnivDays+INT(MOD(AU83-FT_Y5,12)/FT_Int2))),IF(AW83="PT",IF(AU83&lt;PT_First,0,1+INT((AU83-PT_First)/PT_Int)),0)))</f>
        <v/>
      </c>
      <c r="BC83" s="11" t="str">
        <f aca="false">IF(AO83=0,"",IF(AX83="FT",IF(AU83&lt;FT_First,0,IF(AU83&lt;FT_Y5,1+INT((AU83-FT_First)/FT_Int1),FT_PreY5+FT_PerYear*INT((AU83-FT_Y5)/12)+FT_AnnivDays+INT(MOD(AU83-FT_Y5,12)/FT_Int2))),IF(AX83="PT",IF(AU83&lt;PT_First,0,1+INT((AU83-PT_First)/PT_Int)),0)))</f>
        <v/>
      </c>
      <c r="BD83" s="11" t="str">
        <f aca="false">IF(AO83=0,"",IF(AX83="FT",IF(AQ83&lt;FT_First,0,IF(AQ83&lt;FT_Y5,1+INT((AQ83-FT_First)/FT_Int1),FT_PreY5+FT_PerYear*INT((AQ83-FT_Y5)/12)+FT_AnnivDays+INT(MOD(AQ83-FT_Y5,12)/FT_Int2))),IF(AX83="PT",IF(AQ83&lt;PT_First,0,1+INT((AQ83-PT_First)/PT_Int)),0)))</f>
        <v/>
      </c>
      <c r="BE83" s="11" t="str">
        <f aca="false">IF(AO83=0,"",IF(AY83="FT",IF(AQ83&lt;FT_First,FT_First,IF(AQ83&lt;FT_Y5,MIN(FT_Y5,FT_First+FT_Int1*(INT((AQ83-FT_First)/FT_Int1)+1)),FT_Y5+12*INT((AQ83-FT_Y5)/12)+FT_Int2*(INT(MOD(AQ83-FT_Y5,12)/FT_Int2)+1))),IF(AY83="PT",IF(AQ83&lt;PT_First,PT_First,PT_First+PT_Int*(INT((AQ83-PT_First)/PT_Int)+1)),"")))</f>
        <v/>
      </c>
      <c r="BF83" s="11" t="n">
        <f aca="false">IF(AO83=0,0,IF(AND($Q83&lt;&gt;"",$Q83&lt;=AsOfDate),1,0))</f>
        <v>0</v>
      </c>
      <c r="BG83" s="11" t="str">
        <f aca="false">IF(AND(AO83=1,BF83=0,EH_Ready,N(AB83)&gt;0,N(AI83)=0),COUNT($BG$5:BG82)+1,"")</f>
        <v/>
      </c>
      <c r="BH83" s="11" t="str">
        <f aca="false">IF(AND(AO83=1,BF83=0,EH_Ready,N(AB83)&gt;0,N(AI83)&gt;0,N(AK83)&gt;0),COUNT($BH$5:BH82)+1,"")</f>
        <v/>
      </c>
      <c r="BI83" s="11" t="str">
        <f aca="false">IF(AND(AO83=1,OR(LEFT(AM83,3)="ADD",LEFT(AM83,3)="SET",LEFT(AM83,5)="CHECK",LEFT(AM83,10)="TERMINATED")),COUNT($BI$5:BI82)+1,"")</f>
        <v/>
      </c>
      <c r="BJ83" s="11" t="str">
        <f aca="false">IF(AO83=0,"",$A83&amp;" - "&amp;$B83&amp;" "&amp;$C83)</f>
        <v/>
      </c>
    </row>
    <row r="84" customFormat="false" ht="15" hidden="false" customHeight="false" outlineLevel="0" collapsed="false">
      <c r="A84" s="10"/>
      <c r="B84" s="10"/>
      <c r="C84" s="10"/>
      <c r="D84" s="10"/>
      <c r="E84" s="9"/>
      <c r="F84" s="10"/>
      <c r="G84" s="30"/>
      <c r="H84" s="9"/>
      <c r="I84" s="10"/>
      <c r="J84" s="30"/>
      <c r="K84" s="9"/>
      <c r="L84" s="10"/>
      <c r="M84" s="30"/>
      <c r="N84" s="9"/>
      <c r="O84" s="9"/>
      <c r="P84" s="30"/>
      <c r="Q84" s="9"/>
      <c r="R84" s="10"/>
      <c r="S84" s="11" t="str">
        <f aca="false">IF(AO84=0,"",IF($H84="","",$F84&amp;" -&gt; "&amp;$I84&amp;IF($I84="Part-Time"," ("&amp;N($J84)&amp;" hrs)","")&amp;" on "&amp;TEXT($H84,"dd/mm/yyyy")&amp;IF($H84&gt;AsOfDate," (FUTURE)","")&amp;IF($K84="","","; "&amp;$I84&amp;" -&gt; "&amp;$L84&amp;IF($L84="Part-Time"," ("&amp;N($M84)&amp;" hrs)","")&amp;" on "&amp;TEXT($K84,"dd/mm/yyyy")&amp;IF($K84&gt;AsOfDate," (FUTURE)",""))))</f>
        <v/>
      </c>
      <c r="T84" s="11" t="str">
        <f aca="false">IF(AO84=0,"",IF(AS84&lt;&gt;"",$L84,IF(AR84&lt;&gt;"",$I84,$F84)))</f>
        <v/>
      </c>
      <c r="U84" s="26" t="str">
        <f aca="false">IF(AO84=0,"",IF(AS84&lt;&gt;"",$M84,IF(AR84&lt;&gt;"",$J84,$G84)))</f>
        <v/>
      </c>
      <c r="V84" s="11" t="str">
        <f aca="false">IF(AO84=0,"",IF(AY84="FT","Full-Time",IF(AY84="PT","Part-Time","Not eligible")))</f>
        <v/>
      </c>
      <c r="W84" s="27" t="str">
        <f aca="false">IF(AO84=0,"",IF(AR84="",IF(AND($H84&lt;&gt;"",$H84&gt;AsOfDate),"Future change - not yet applied",""),IF(AND(AV84=AY84,OR(AS84="",AW84=AV84)),"Type changed - same accrual pathway",IF(AY84="None","STOPPED accruing from "&amp;TEXT(IF(AS84&lt;&gt;"",AS84,AR84),"dd/mm/yyyy"),IF(AV84="None","STARTED qualifying from "&amp;TEXT(IF(AS84&lt;&gt;"",AS84,AR84),"dd/mm/yyyy"),"Pathway changed "&amp;AV84&amp;" -&gt; "&amp;AW84&amp;IF(AS84&lt;&gt;""," -&gt; "&amp;AX84,"")&amp;" from "&amp;TEXT(IF(AS84&lt;&gt;"",AS84,AR84),"dd/mm/yyyy"))))))</f>
        <v/>
      </c>
      <c r="X84" s="28" t="str">
        <f aca="false">IF(AO84=0,"",IF($Q84="",AsOfDate,MIN(AsOfDate,$Q84)))</f>
        <v/>
      </c>
      <c r="Y84" s="26" t="str">
        <f aca="false">IF(AO84=0,"",MAX(0,AQ84))</f>
        <v/>
      </c>
      <c r="Z84" s="11" t="str">
        <f aca="false">IF(AO84=0,"",IF(AQ84&lt;0,"Not started",INT(AQ84/12)&amp;"y "&amp;MOD(AQ84,12)&amp;"m"))</f>
        <v/>
      </c>
      <c r="AA84" s="27" t="str">
        <f aca="false">IF(AO84=0,"",IF(BF84=1,"Terminated - balance forfeited",IF(AY84="None",IF(AB84&gt;0,"No longer accruing - "&amp;T84,"Not eligible - "&amp;T84&amp;IF(AND(IFERROR(VLOOKUP(T84,TypeTable,2,0),"None")="PT",N(U84)&lt;PT_MinHours)," (under "&amp;PT_MinHours&amp;" hrs)","")),IF(AB84&gt;0,"Yes - accruing","Not yet - qualifies "&amp;TEXT(AD84,"dd/mm/yyyy")))))</f>
        <v/>
      </c>
      <c r="AB84" s="26" t="str">
        <f aca="false">IF(AO84=0,"",AZ84+IF(AR84="",0,BB84-BA84)+IF(AS84="",0,BD84-BC84))</f>
        <v/>
      </c>
      <c r="AC84" s="26" t="str">
        <f aca="false">IF(AO84=0,"",AB84*HoursPerDay)</f>
        <v/>
      </c>
      <c r="AD84" s="28" t="str">
        <f aca="false">IF(AO84=0,"",IF(OR(BF84=1,AY84="None"),"",EDATE($E84+AP84,BE84)))</f>
        <v/>
      </c>
      <c r="AE84" s="26" t="str">
        <f aca="false">IF(AD84="","",IF(AY84="PT",1,IF(BE84&lt;FT_Y5,1,IF(MOD(BE84-FT_Y5,12)=0,FT_AnnivDays,1))))</f>
        <v/>
      </c>
      <c r="AF84" s="27" t="str">
        <f aca="false">IF(AO84=0,"",IF(NOT(EH_Ready),"Map headers",IF(IF(MatchMode="Employee ID",COUNTIFS(INDEX(EH_Data,0,EH_ColID),$A84,INDEX(EH_Data,0,EH_ColCat),BonusCat),COUNTIFS(INDEX(EH_Data,0,EH_ColFirst),$B84,INDEX(EH_Data,0,EH_ColSur),$C84,INDEX(EH_Data,0,EH_ColCat),BonusCat))&gt;0,"Yes","No")))</f>
        <v/>
      </c>
      <c r="AG84" s="26" t="str">
        <f aca="false">IF(AO84=0,"",IF(NOT(EH_Ready),"",IF(MatchMode="Employee ID",SUMIFS(INDEX(EH_Data,0,EH_ColBal),INDEX(EH_Data,0,EH_ColID),$A84,INDEX(EH_Data,0,EH_ColCat),BonusCat),SUMIFS(INDEX(EH_Data,0,EH_ColBal),INDEX(EH_Data,0,EH_ColFirst),$B84,INDEX(EH_Data,0,EH_ColSur),$C84,INDEX(EH_Data,0,EH_ColCat),BonusCat))/IF(EHUnit="Hours",HoursPerDay,1)))</f>
        <v/>
      </c>
      <c r="AH84" s="26" t="str">
        <f aca="false">IF(AO84=0,"",IF(NOT(TK_Ready),0,IF(MatchMode="Employee ID",SUMIFS(INDEX(TK_Data,0,TK_ColAmt),INDEX(TK_Data,0,TK_ColID),$A84,INDEX(TK_Data,0,TK_ColCat),BonusCat),SUMIFS(INDEX(TK_Data,0,TK_ColAmt),INDEX(TK_Data,0,TK_ColFirst),$B84,INDEX(TK_Data,0,TK_ColSur),$C84,INDEX(TK_Data,0,TK_ColCat),BonusCat))/IF(TKUnit="Hours",HoursPerDay,1)))</f>
        <v/>
      </c>
      <c r="AI84" s="26" t="str">
        <f aca="false">IF(AO84=0,"",N(AG84)+N(AH84))</f>
        <v/>
      </c>
      <c r="AJ84" s="29" t="str">
        <f aca="false">IF(AO84=0,"",IF(NOT(AND(EH_Ready,EH_ValReady)),"",IF(MatchMode="Employee ID",SUMIFS(INDEX(EH_Data,0,EH_ColVal),INDEX(EH_Data,0,EH_ColID),$A84,INDEX(EH_Data,0,EH_ColCat),BonusCat),SUMIFS(INDEX(EH_Data,0,EH_ColVal),INDEX(EH_Data,0,EH_ColFirst),$B84,INDEX(EH_Data,0,EH_ColSur),$C84,INDEX(EH_Data,0,EH_ColCat),BonusCat))))</f>
        <v/>
      </c>
      <c r="AK84" s="26" t="str">
        <f aca="false">IF(AO84=0,"",IF(OR(NOT(EH_Ready),BF84=1),"",AB84-AI84))</f>
        <v/>
      </c>
      <c r="AL84" s="26" t="str">
        <f aca="false">IF(AK84="","",AK84*HoursPerDay)</f>
        <v/>
      </c>
      <c r="AM84" s="27" t="str">
        <f aca="false">IF(AO84=0,"",IF(BF84=1,IF(N(AG84)&gt;0,"TERMINATED - forfeit "&amp;TEXT(AG84,"0.##")&amp;" days still in EH","Terminated - nothing in EH"),IF(NOT(EH_Ready),"Paste EH export and map headers on Settings",IF(AND(AB84&gt;0,AF84="No"),"SET UP in EH - add "&amp;TEXT(AB84,"0.##")&amp;" day(s) ("&amp;TEXT(AC84,"0.##")&amp;" hrs)",IF(AK84&gt;0,"ADD "&amp;TEXT(AK84,"0.##")&amp;" day(s) ("&amp;TEXT(AL84,"0.##")&amp;" hrs) in EH",IF(AK84&lt;0,"CHECK - EH shows "&amp;TEXT(-AK84,"0.##")&amp;" days more than policy",IF(AB84&gt;0,"OK - up to date",IF(AY84="None","No action - not eligible","No action - not yet qualified"))))))))</f>
        <v/>
      </c>
      <c r="AN84" s="27" t="str">
        <f aca="false">IF(AO84=0,"",TRIM(IF(AND($K84&lt;&gt;"",$H84=""),"Change 2 entered without Change 1. ","")&amp;IF(AND($K84&lt;&gt;"",$H84&lt;&gt;"",$K84&lt;=$H84),"Change 2 date not after Change 1. ","")&amp;IF(AND($N84&lt;&gt;"",$O84&lt;&gt;"",$O84&lt;$N84),"Leave To is before Leave From. ","")&amp;IF(AND($N84&lt;&gt;"",$O84=""),"Leave From entered without Leave To. ","")&amp;IF(AND(IFERROR(VLOOKUP(T84,TypeTable,2,0),"None")="PT",U84=""),"Part-time with no hours entered. ","")&amp;IF(AND($H84&lt;&gt;"",$H84&gt;AsOfDate,AD84&lt;&gt;"",$H84&lt;=AD84),"Status change lands before next accrual - review. ","")&amp;IF(AND($Q84&lt;&gt;"",$Q84&lt;$E84),"Termination before commencement. ","")))</f>
        <v/>
      </c>
      <c r="AO84" s="11" t="n">
        <f aca="false">IF(LEN($A84&amp;$B84&amp;$C84)=0,0,IF($E84="",0,1))</f>
        <v>0</v>
      </c>
      <c r="AP84" s="11" t="str">
        <f aca="false">IF(AO84=0,"",(IF(OR($N84="",$O84=""),0,MAX(0,MIN(X84,$O84)-MAX($N84,$E84)+1))+N($P84)))</f>
        <v/>
      </c>
      <c r="AQ84" s="11" t="str">
        <f aca="false">IF(AO84=0,"",IF(X84&lt;($E84+(IF(OR($N84="",$O84=""),0,MAX(0,MIN(X84,$O84)-MAX($N84,$E84)+1))+N($P84))),-1,12*(YEAR(X84)-YEAR(($E84+(IF(OR($N84="",$O84=""),0,MAX(0,MIN(X84,$O84)-MAX($N84,$E84)+1))+N($P84)))))+MONTH(X84)-MONTH(($E84+(IF(OR($N84="",$O84=""),0,MAX(0,MIN(X84,$O84)-MAX($N84,$E84)+1))+N($P84))))-IF(DAY(X84)&lt;MIN(DAY(($E84+(IF(OR($N84="",$O84=""),0,MAX(0,MIN(X84,$O84)-MAX($N84,$E84)+1))+N($P84)))),DAY(EOMONTH(X84,0))),1,0)))</f>
        <v/>
      </c>
      <c r="AR84" s="28" t="str">
        <f aca="false">IF(AO84=0,"",IF($H84="","",IF($H84&gt;X84,"",$H84)))</f>
        <v/>
      </c>
      <c r="AS84" s="28" t="str">
        <f aca="false">IF(AO84=0,"",IF(AR84="","",IF($K84="","",IF($K84&gt;X84,"",$K84))))</f>
        <v/>
      </c>
      <c r="AT84" s="11" t="str">
        <f aca="false">IF(AO84=0,"",IF(AR84="",AQ84,IF((AR84-1)&lt;($E84+(IF(OR($N84="",$O84=""),0,MAX(0,MIN((AR84-1),$O84)-MAX($N84,$E84)+1))+N($P84))),-1,12*(YEAR((AR84-1))-YEAR(($E84+(IF(OR($N84="",$O84=""),0,MAX(0,MIN((AR84-1),$O84)-MAX($N84,$E84)+1))+N($P84)))))+MONTH((AR84-1))-MONTH(($E84+(IF(OR($N84="",$O84=""),0,MAX(0,MIN((AR84-1),$O84)-MAX($N84,$E84)+1))+N($P84))))-IF(DAY((AR84-1))&lt;MIN(DAY(($E84+(IF(OR($N84="",$O84=""),0,MAX(0,MIN((AR84-1),$O84)-MAX($N84,$E84)+1))+N($P84)))),DAY(EOMONTH((AR84-1),0))),1,0))))</f>
        <v/>
      </c>
      <c r="AU84" s="11" t="str">
        <f aca="false">IF(AO84=0,"",IF(AS84="",AQ84,IF((AS84-1)&lt;($E84+(IF(OR($N84="",$O84=""),0,MAX(0,MIN((AS84-1),$O84)-MAX($N84,$E84)+1))+N($P84))),-1,12*(YEAR((AS84-1))-YEAR(($E84+(IF(OR($N84="",$O84=""),0,MAX(0,MIN((AS84-1),$O84)-MAX($N84,$E84)+1))+N($P84)))))+MONTH((AS84-1))-MONTH(($E84+(IF(OR($N84="",$O84=""),0,MAX(0,MIN((AS84-1),$O84)-MAX($N84,$E84)+1))+N($P84))))-IF(DAY((AS84-1))&lt;MIN(DAY(($E84+(IF(OR($N84="",$O84=""),0,MAX(0,MIN((AS84-1),$O84)-MAX($N84,$E84)+1))+N($P84)))),DAY(EOMONTH((AS84-1),0))),1,0))))</f>
        <v/>
      </c>
      <c r="AV84" s="11" t="str">
        <f aca="false">IF(AO84=0,"",IF($F84="","None",IF(IFERROR(VLOOKUP($F84,TypeTable,2,0),"None")="PT",IF(N($G84)&gt;=PT_MinHours,"PT","None"),IFERROR(VLOOKUP($F84,TypeTable,2,0),"None"))))</f>
        <v/>
      </c>
      <c r="AW84" s="11" t="str">
        <f aca="false">IF(AO84=0,"",IF($I84="","None",IF(IFERROR(VLOOKUP($I84,TypeTable,2,0),"None")="PT",IF(N($J84)&gt;=PT_MinHours,"PT","None"),IFERROR(VLOOKUP($I84,TypeTable,2,0),"None"))))</f>
        <v/>
      </c>
      <c r="AX84" s="11" t="str">
        <f aca="false">IF(AO84=0,"",IF($L84="","None",IF(IFERROR(VLOOKUP($L84,TypeTable,2,0),"None")="PT",IF(N($M84)&gt;=PT_MinHours,"PT","None"),IFERROR(VLOOKUP($L84,TypeTable,2,0),"None"))))</f>
        <v/>
      </c>
      <c r="AY84" s="11" t="str">
        <f aca="false">IF(AO84=0,"",IF(AS84&lt;&gt;"",AX84,IF(AR84&lt;&gt;"",AW84,AV84)))</f>
        <v/>
      </c>
      <c r="AZ84" s="11" t="str">
        <f aca="false">IF(AO84=0,"",IF(AV84="FT",IF(AT84&lt;FT_First,0,IF(AT84&lt;FT_Y5,1+INT((AT84-FT_First)/FT_Int1),FT_PreY5+FT_PerYear*INT((AT84-FT_Y5)/12)+FT_AnnivDays+INT(MOD(AT84-FT_Y5,12)/FT_Int2))),IF(AV84="PT",IF(AT84&lt;PT_First,0,1+INT((AT84-PT_First)/PT_Int)),0)))</f>
        <v/>
      </c>
      <c r="BA84" s="11" t="str">
        <f aca="false">IF(AO84=0,"",IF(AW84="FT",IF(AT84&lt;FT_First,0,IF(AT84&lt;FT_Y5,1+INT((AT84-FT_First)/FT_Int1),FT_PreY5+FT_PerYear*INT((AT84-FT_Y5)/12)+FT_AnnivDays+INT(MOD(AT84-FT_Y5,12)/FT_Int2))),IF(AW84="PT",IF(AT84&lt;PT_First,0,1+INT((AT84-PT_First)/PT_Int)),0)))</f>
        <v/>
      </c>
      <c r="BB84" s="11" t="str">
        <f aca="false">IF(AO84=0,"",IF(AW84="FT",IF(AU84&lt;FT_First,0,IF(AU84&lt;FT_Y5,1+INT((AU84-FT_First)/FT_Int1),FT_PreY5+FT_PerYear*INT((AU84-FT_Y5)/12)+FT_AnnivDays+INT(MOD(AU84-FT_Y5,12)/FT_Int2))),IF(AW84="PT",IF(AU84&lt;PT_First,0,1+INT((AU84-PT_First)/PT_Int)),0)))</f>
        <v/>
      </c>
      <c r="BC84" s="11" t="str">
        <f aca="false">IF(AO84=0,"",IF(AX84="FT",IF(AU84&lt;FT_First,0,IF(AU84&lt;FT_Y5,1+INT((AU84-FT_First)/FT_Int1),FT_PreY5+FT_PerYear*INT((AU84-FT_Y5)/12)+FT_AnnivDays+INT(MOD(AU84-FT_Y5,12)/FT_Int2))),IF(AX84="PT",IF(AU84&lt;PT_First,0,1+INT((AU84-PT_First)/PT_Int)),0)))</f>
        <v/>
      </c>
      <c r="BD84" s="11" t="str">
        <f aca="false">IF(AO84=0,"",IF(AX84="FT",IF(AQ84&lt;FT_First,0,IF(AQ84&lt;FT_Y5,1+INT((AQ84-FT_First)/FT_Int1),FT_PreY5+FT_PerYear*INT((AQ84-FT_Y5)/12)+FT_AnnivDays+INT(MOD(AQ84-FT_Y5,12)/FT_Int2))),IF(AX84="PT",IF(AQ84&lt;PT_First,0,1+INT((AQ84-PT_First)/PT_Int)),0)))</f>
        <v/>
      </c>
      <c r="BE84" s="11" t="str">
        <f aca="false">IF(AO84=0,"",IF(AY84="FT",IF(AQ84&lt;FT_First,FT_First,IF(AQ84&lt;FT_Y5,MIN(FT_Y5,FT_First+FT_Int1*(INT((AQ84-FT_First)/FT_Int1)+1)),FT_Y5+12*INT((AQ84-FT_Y5)/12)+FT_Int2*(INT(MOD(AQ84-FT_Y5,12)/FT_Int2)+1))),IF(AY84="PT",IF(AQ84&lt;PT_First,PT_First,PT_First+PT_Int*(INT((AQ84-PT_First)/PT_Int)+1)),"")))</f>
        <v/>
      </c>
      <c r="BF84" s="11" t="n">
        <f aca="false">IF(AO84=0,0,IF(AND($Q84&lt;&gt;"",$Q84&lt;=AsOfDate),1,0))</f>
        <v>0</v>
      </c>
      <c r="BG84" s="11" t="str">
        <f aca="false">IF(AND(AO84=1,BF84=0,EH_Ready,N(AB84)&gt;0,N(AI84)=0),COUNT($BG$5:BG83)+1,"")</f>
        <v/>
      </c>
      <c r="BH84" s="11" t="str">
        <f aca="false">IF(AND(AO84=1,BF84=0,EH_Ready,N(AB84)&gt;0,N(AI84)&gt;0,N(AK84)&gt;0),COUNT($BH$5:BH83)+1,"")</f>
        <v/>
      </c>
      <c r="BI84" s="11" t="str">
        <f aca="false">IF(AND(AO84=1,OR(LEFT(AM84,3)="ADD",LEFT(AM84,3)="SET",LEFT(AM84,5)="CHECK",LEFT(AM84,10)="TERMINATED")),COUNT($BI$5:BI83)+1,"")</f>
        <v/>
      </c>
      <c r="BJ84" s="11" t="str">
        <f aca="false">IF(AO84=0,"",$A84&amp;" - "&amp;$B84&amp;" "&amp;$C84)</f>
        <v/>
      </c>
    </row>
    <row r="85" customFormat="false" ht="15" hidden="false" customHeight="false" outlineLevel="0" collapsed="false">
      <c r="A85" s="10"/>
      <c r="B85" s="10"/>
      <c r="C85" s="10"/>
      <c r="D85" s="10"/>
      <c r="E85" s="9"/>
      <c r="F85" s="10"/>
      <c r="G85" s="30"/>
      <c r="H85" s="9"/>
      <c r="I85" s="10"/>
      <c r="J85" s="30"/>
      <c r="K85" s="9"/>
      <c r="L85" s="10"/>
      <c r="M85" s="30"/>
      <c r="N85" s="9"/>
      <c r="O85" s="9"/>
      <c r="P85" s="30"/>
      <c r="Q85" s="9"/>
      <c r="R85" s="10"/>
      <c r="S85" s="11" t="str">
        <f aca="false">IF(AO85=0,"",IF($H85="","",$F85&amp;" -&gt; "&amp;$I85&amp;IF($I85="Part-Time"," ("&amp;N($J85)&amp;" hrs)","")&amp;" on "&amp;TEXT($H85,"dd/mm/yyyy")&amp;IF($H85&gt;AsOfDate," (FUTURE)","")&amp;IF($K85="","","; "&amp;$I85&amp;" -&gt; "&amp;$L85&amp;IF($L85="Part-Time"," ("&amp;N($M85)&amp;" hrs)","")&amp;" on "&amp;TEXT($K85,"dd/mm/yyyy")&amp;IF($K85&gt;AsOfDate," (FUTURE)",""))))</f>
        <v/>
      </c>
      <c r="T85" s="11" t="str">
        <f aca="false">IF(AO85=0,"",IF(AS85&lt;&gt;"",$L85,IF(AR85&lt;&gt;"",$I85,$F85)))</f>
        <v/>
      </c>
      <c r="U85" s="26" t="str">
        <f aca="false">IF(AO85=0,"",IF(AS85&lt;&gt;"",$M85,IF(AR85&lt;&gt;"",$J85,$G85)))</f>
        <v/>
      </c>
      <c r="V85" s="11" t="str">
        <f aca="false">IF(AO85=0,"",IF(AY85="FT","Full-Time",IF(AY85="PT","Part-Time","Not eligible")))</f>
        <v/>
      </c>
      <c r="W85" s="27" t="str">
        <f aca="false">IF(AO85=0,"",IF(AR85="",IF(AND($H85&lt;&gt;"",$H85&gt;AsOfDate),"Future change - not yet applied",""),IF(AND(AV85=AY85,OR(AS85="",AW85=AV85)),"Type changed - same accrual pathway",IF(AY85="None","STOPPED accruing from "&amp;TEXT(IF(AS85&lt;&gt;"",AS85,AR85),"dd/mm/yyyy"),IF(AV85="None","STARTED qualifying from "&amp;TEXT(IF(AS85&lt;&gt;"",AS85,AR85),"dd/mm/yyyy"),"Pathway changed "&amp;AV85&amp;" -&gt; "&amp;AW85&amp;IF(AS85&lt;&gt;""," -&gt; "&amp;AX85,"")&amp;" from "&amp;TEXT(IF(AS85&lt;&gt;"",AS85,AR85),"dd/mm/yyyy"))))))</f>
        <v/>
      </c>
      <c r="X85" s="28" t="str">
        <f aca="false">IF(AO85=0,"",IF($Q85="",AsOfDate,MIN(AsOfDate,$Q85)))</f>
        <v/>
      </c>
      <c r="Y85" s="26" t="str">
        <f aca="false">IF(AO85=0,"",MAX(0,AQ85))</f>
        <v/>
      </c>
      <c r="Z85" s="11" t="str">
        <f aca="false">IF(AO85=0,"",IF(AQ85&lt;0,"Not started",INT(AQ85/12)&amp;"y "&amp;MOD(AQ85,12)&amp;"m"))</f>
        <v/>
      </c>
      <c r="AA85" s="27" t="str">
        <f aca="false">IF(AO85=0,"",IF(BF85=1,"Terminated - balance forfeited",IF(AY85="None",IF(AB85&gt;0,"No longer accruing - "&amp;T85,"Not eligible - "&amp;T85&amp;IF(AND(IFERROR(VLOOKUP(T85,TypeTable,2,0),"None")="PT",N(U85)&lt;PT_MinHours)," (under "&amp;PT_MinHours&amp;" hrs)","")),IF(AB85&gt;0,"Yes - accruing","Not yet - qualifies "&amp;TEXT(AD85,"dd/mm/yyyy")))))</f>
        <v/>
      </c>
      <c r="AB85" s="26" t="str">
        <f aca="false">IF(AO85=0,"",AZ85+IF(AR85="",0,BB85-BA85)+IF(AS85="",0,BD85-BC85))</f>
        <v/>
      </c>
      <c r="AC85" s="26" t="str">
        <f aca="false">IF(AO85=0,"",AB85*HoursPerDay)</f>
        <v/>
      </c>
      <c r="AD85" s="28" t="str">
        <f aca="false">IF(AO85=0,"",IF(OR(BF85=1,AY85="None"),"",EDATE($E85+AP85,BE85)))</f>
        <v/>
      </c>
      <c r="AE85" s="26" t="str">
        <f aca="false">IF(AD85="","",IF(AY85="PT",1,IF(BE85&lt;FT_Y5,1,IF(MOD(BE85-FT_Y5,12)=0,FT_AnnivDays,1))))</f>
        <v/>
      </c>
      <c r="AF85" s="27" t="str">
        <f aca="false">IF(AO85=0,"",IF(NOT(EH_Ready),"Map headers",IF(IF(MatchMode="Employee ID",COUNTIFS(INDEX(EH_Data,0,EH_ColID),$A85,INDEX(EH_Data,0,EH_ColCat),BonusCat),COUNTIFS(INDEX(EH_Data,0,EH_ColFirst),$B85,INDEX(EH_Data,0,EH_ColSur),$C85,INDEX(EH_Data,0,EH_ColCat),BonusCat))&gt;0,"Yes","No")))</f>
        <v/>
      </c>
      <c r="AG85" s="26" t="str">
        <f aca="false">IF(AO85=0,"",IF(NOT(EH_Ready),"",IF(MatchMode="Employee ID",SUMIFS(INDEX(EH_Data,0,EH_ColBal),INDEX(EH_Data,0,EH_ColID),$A85,INDEX(EH_Data,0,EH_ColCat),BonusCat),SUMIFS(INDEX(EH_Data,0,EH_ColBal),INDEX(EH_Data,0,EH_ColFirst),$B85,INDEX(EH_Data,0,EH_ColSur),$C85,INDEX(EH_Data,0,EH_ColCat),BonusCat))/IF(EHUnit="Hours",HoursPerDay,1)))</f>
        <v/>
      </c>
      <c r="AH85" s="26" t="str">
        <f aca="false">IF(AO85=0,"",IF(NOT(TK_Ready),0,IF(MatchMode="Employee ID",SUMIFS(INDEX(TK_Data,0,TK_ColAmt),INDEX(TK_Data,0,TK_ColID),$A85,INDEX(TK_Data,0,TK_ColCat),BonusCat),SUMIFS(INDEX(TK_Data,0,TK_ColAmt),INDEX(TK_Data,0,TK_ColFirst),$B85,INDEX(TK_Data,0,TK_ColSur),$C85,INDEX(TK_Data,0,TK_ColCat),BonusCat))/IF(TKUnit="Hours",HoursPerDay,1)))</f>
        <v/>
      </c>
      <c r="AI85" s="26" t="str">
        <f aca="false">IF(AO85=0,"",N(AG85)+N(AH85))</f>
        <v/>
      </c>
      <c r="AJ85" s="29" t="str">
        <f aca="false">IF(AO85=0,"",IF(NOT(AND(EH_Ready,EH_ValReady)),"",IF(MatchMode="Employee ID",SUMIFS(INDEX(EH_Data,0,EH_ColVal),INDEX(EH_Data,0,EH_ColID),$A85,INDEX(EH_Data,0,EH_ColCat),BonusCat),SUMIFS(INDEX(EH_Data,0,EH_ColVal),INDEX(EH_Data,0,EH_ColFirst),$B85,INDEX(EH_Data,0,EH_ColSur),$C85,INDEX(EH_Data,0,EH_ColCat),BonusCat))))</f>
        <v/>
      </c>
      <c r="AK85" s="26" t="str">
        <f aca="false">IF(AO85=0,"",IF(OR(NOT(EH_Ready),BF85=1),"",AB85-AI85))</f>
        <v/>
      </c>
      <c r="AL85" s="26" t="str">
        <f aca="false">IF(AK85="","",AK85*HoursPerDay)</f>
        <v/>
      </c>
      <c r="AM85" s="27" t="str">
        <f aca="false">IF(AO85=0,"",IF(BF85=1,IF(N(AG85)&gt;0,"TERMINATED - forfeit "&amp;TEXT(AG85,"0.##")&amp;" days still in EH","Terminated - nothing in EH"),IF(NOT(EH_Ready),"Paste EH export and map headers on Settings",IF(AND(AB85&gt;0,AF85="No"),"SET UP in EH - add "&amp;TEXT(AB85,"0.##")&amp;" day(s) ("&amp;TEXT(AC85,"0.##")&amp;" hrs)",IF(AK85&gt;0,"ADD "&amp;TEXT(AK85,"0.##")&amp;" day(s) ("&amp;TEXT(AL85,"0.##")&amp;" hrs) in EH",IF(AK85&lt;0,"CHECK - EH shows "&amp;TEXT(-AK85,"0.##")&amp;" days more than policy",IF(AB85&gt;0,"OK - up to date",IF(AY85="None","No action - not eligible","No action - not yet qualified"))))))))</f>
        <v/>
      </c>
      <c r="AN85" s="27" t="str">
        <f aca="false">IF(AO85=0,"",TRIM(IF(AND($K85&lt;&gt;"",$H85=""),"Change 2 entered without Change 1. ","")&amp;IF(AND($K85&lt;&gt;"",$H85&lt;&gt;"",$K85&lt;=$H85),"Change 2 date not after Change 1. ","")&amp;IF(AND($N85&lt;&gt;"",$O85&lt;&gt;"",$O85&lt;$N85),"Leave To is before Leave From. ","")&amp;IF(AND($N85&lt;&gt;"",$O85=""),"Leave From entered without Leave To. ","")&amp;IF(AND(IFERROR(VLOOKUP(T85,TypeTable,2,0),"None")="PT",U85=""),"Part-time with no hours entered. ","")&amp;IF(AND($H85&lt;&gt;"",$H85&gt;AsOfDate,AD85&lt;&gt;"",$H85&lt;=AD85),"Status change lands before next accrual - review. ","")&amp;IF(AND($Q85&lt;&gt;"",$Q85&lt;$E85),"Termination before commencement. ","")))</f>
        <v/>
      </c>
      <c r="AO85" s="11" t="n">
        <f aca="false">IF(LEN($A85&amp;$B85&amp;$C85)=0,0,IF($E85="",0,1))</f>
        <v>0</v>
      </c>
      <c r="AP85" s="11" t="str">
        <f aca="false">IF(AO85=0,"",(IF(OR($N85="",$O85=""),0,MAX(0,MIN(X85,$O85)-MAX($N85,$E85)+1))+N($P85)))</f>
        <v/>
      </c>
      <c r="AQ85" s="11" t="str">
        <f aca="false">IF(AO85=0,"",IF(X85&lt;($E85+(IF(OR($N85="",$O85=""),0,MAX(0,MIN(X85,$O85)-MAX($N85,$E85)+1))+N($P85))),-1,12*(YEAR(X85)-YEAR(($E85+(IF(OR($N85="",$O85=""),0,MAX(0,MIN(X85,$O85)-MAX($N85,$E85)+1))+N($P85)))))+MONTH(X85)-MONTH(($E85+(IF(OR($N85="",$O85=""),0,MAX(0,MIN(X85,$O85)-MAX($N85,$E85)+1))+N($P85))))-IF(DAY(X85)&lt;MIN(DAY(($E85+(IF(OR($N85="",$O85=""),0,MAX(0,MIN(X85,$O85)-MAX($N85,$E85)+1))+N($P85)))),DAY(EOMONTH(X85,0))),1,0)))</f>
        <v/>
      </c>
      <c r="AR85" s="28" t="str">
        <f aca="false">IF(AO85=0,"",IF($H85="","",IF($H85&gt;X85,"",$H85)))</f>
        <v/>
      </c>
      <c r="AS85" s="28" t="str">
        <f aca="false">IF(AO85=0,"",IF(AR85="","",IF($K85="","",IF($K85&gt;X85,"",$K85))))</f>
        <v/>
      </c>
      <c r="AT85" s="11" t="str">
        <f aca="false">IF(AO85=0,"",IF(AR85="",AQ85,IF((AR85-1)&lt;($E85+(IF(OR($N85="",$O85=""),0,MAX(0,MIN((AR85-1),$O85)-MAX($N85,$E85)+1))+N($P85))),-1,12*(YEAR((AR85-1))-YEAR(($E85+(IF(OR($N85="",$O85=""),0,MAX(0,MIN((AR85-1),$O85)-MAX($N85,$E85)+1))+N($P85)))))+MONTH((AR85-1))-MONTH(($E85+(IF(OR($N85="",$O85=""),0,MAX(0,MIN((AR85-1),$O85)-MAX($N85,$E85)+1))+N($P85))))-IF(DAY((AR85-1))&lt;MIN(DAY(($E85+(IF(OR($N85="",$O85=""),0,MAX(0,MIN((AR85-1),$O85)-MAX($N85,$E85)+1))+N($P85)))),DAY(EOMONTH((AR85-1),0))),1,0))))</f>
        <v/>
      </c>
      <c r="AU85" s="11" t="str">
        <f aca="false">IF(AO85=0,"",IF(AS85="",AQ85,IF((AS85-1)&lt;($E85+(IF(OR($N85="",$O85=""),0,MAX(0,MIN((AS85-1),$O85)-MAX($N85,$E85)+1))+N($P85))),-1,12*(YEAR((AS85-1))-YEAR(($E85+(IF(OR($N85="",$O85=""),0,MAX(0,MIN((AS85-1),$O85)-MAX($N85,$E85)+1))+N($P85)))))+MONTH((AS85-1))-MONTH(($E85+(IF(OR($N85="",$O85=""),0,MAX(0,MIN((AS85-1),$O85)-MAX($N85,$E85)+1))+N($P85))))-IF(DAY((AS85-1))&lt;MIN(DAY(($E85+(IF(OR($N85="",$O85=""),0,MAX(0,MIN((AS85-1),$O85)-MAX($N85,$E85)+1))+N($P85)))),DAY(EOMONTH((AS85-1),0))),1,0))))</f>
        <v/>
      </c>
      <c r="AV85" s="11" t="str">
        <f aca="false">IF(AO85=0,"",IF($F85="","None",IF(IFERROR(VLOOKUP($F85,TypeTable,2,0),"None")="PT",IF(N($G85)&gt;=PT_MinHours,"PT","None"),IFERROR(VLOOKUP($F85,TypeTable,2,0),"None"))))</f>
        <v/>
      </c>
      <c r="AW85" s="11" t="str">
        <f aca="false">IF(AO85=0,"",IF($I85="","None",IF(IFERROR(VLOOKUP($I85,TypeTable,2,0),"None")="PT",IF(N($J85)&gt;=PT_MinHours,"PT","None"),IFERROR(VLOOKUP($I85,TypeTable,2,0),"None"))))</f>
        <v/>
      </c>
      <c r="AX85" s="11" t="str">
        <f aca="false">IF(AO85=0,"",IF($L85="","None",IF(IFERROR(VLOOKUP($L85,TypeTable,2,0),"None")="PT",IF(N($M85)&gt;=PT_MinHours,"PT","None"),IFERROR(VLOOKUP($L85,TypeTable,2,0),"None"))))</f>
        <v/>
      </c>
      <c r="AY85" s="11" t="str">
        <f aca="false">IF(AO85=0,"",IF(AS85&lt;&gt;"",AX85,IF(AR85&lt;&gt;"",AW85,AV85)))</f>
        <v/>
      </c>
      <c r="AZ85" s="11" t="str">
        <f aca="false">IF(AO85=0,"",IF(AV85="FT",IF(AT85&lt;FT_First,0,IF(AT85&lt;FT_Y5,1+INT((AT85-FT_First)/FT_Int1),FT_PreY5+FT_PerYear*INT((AT85-FT_Y5)/12)+FT_AnnivDays+INT(MOD(AT85-FT_Y5,12)/FT_Int2))),IF(AV85="PT",IF(AT85&lt;PT_First,0,1+INT((AT85-PT_First)/PT_Int)),0)))</f>
        <v/>
      </c>
      <c r="BA85" s="11" t="str">
        <f aca="false">IF(AO85=0,"",IF(AW85="FT",IF(AT85&lt;FT_First,0,IF(AT85&lt;FT_Y5,1+INT((AT85-FT_First)/FT_Int1),FT_PreY5+FT_PerYear*INT((AT85-FT_Y5)/12)+FT_AnnivDays+INT(MOD(AT85-FT_Y5,12)/FT_Int2))),IF(AW85="PT",IF(AT85&lt;PT_First,0,1+INT((AT85-PT_First)/PT_Int)),0)))</f>
        <v/>
      </c>
      <c r="BB85" s="11" t="str">
        <f aca="false">IF(AO85=0,"",IF(AW85="FT",IF(AU85&lt;FT_First,0,IF(AU85&lt;FT_Y5,1+INT((AU85-FT_First)/FT_Int1),FT_PreY5+FT_PerYear*INT((AU85-FT_Y5)/12)+FT_AnnivDays+INT(MOD(AU85-FT_Y5,12)/FT_Int2))),IF(AW85="PT",IF(AU85&lt;PT_First,0,1+INT((AU85-PT_First)/PT_Int)),0)))</f>
        <v/>
      </c>
      <c r="BC85" s="11" t="str">
        <f aca="false">IF(AO85=0,"",IF(AX85="FT",IF(AU85&lt;FT_First,0,IF(AU85&lt;FT_Y5,1+INT((AU85-FT_First)/FT_Int1),FT_PreY5+FT_PerYear*INT((AU85-FT_Y5)/12)+FT_AnnivDays+INT(MOD(AU85-FT_Y5,12)/FT_Int2))),IF(AX85="PT",IF(AU85&lt;PT_First,0,1+INT((AU85-PT_First)/PT_Int)),0)))</f>
        <v/>
      </c>
      <c r="BD85" s="11" t="str">
        <f aca="false">IF(AO85=0,"",IF(AX85="FT",IF(AQ85&lt;FT_First,0,IF(AQ85&lt;FT_Y5,1+INT((AQ85-FT_First)/FT_Int1),FT_PreY5+FT_PerYear*INT((AQ85-FT_Y5)/12)+FT_AnnivDays+INT(MOD(AQ85-FT_Y5,12)/FT_Int2))),IF(AX85="PT",IF(AQ85&lt;PT_First,0,1+INT((AQ85-PT_First)/PT_Int)),0)))</f>
        <v/>
      </c>
      <c r="BE85" s="11" t="str">
        <f aca="false">IF(AO85=0,"",IF(AY85="FT",IF(AQ85&lt;FT_First,FT_First,IF(AQ85&lt;FT_Y5,MIN(FT_Y5,FT_First+FT_Int1*(INT((AQ85-FT_First)/FT_Int1)+1)),FT_Y5+12*INT((AQ85-FT_Y5)/12)+FT_Int2*(INT(MOD(AQ85-FT_Y5,12)/FT_Int2)+1))),IF(AY85="PT",IF(AQ85&lt;PT_First,PT_First,PT_First+PT_Int*(INT((AQ85-PT_First)/PT_Int)+1)),"")))</f>
        <v/>
      </c>
      <c r="BF85" s="11" t="n">
        <f aca="false">IF(AO85=0,0,IF(AND($Q85&lt;&gt;"",$Q85&lt;=AsOfDate),1,0))</f>
        <v>0</v>
      </c>
      <c r="BG85" s="11" t="str">
        <f aca="false">IF(AND(AO85=1,BF85=0,EH_Ready,N(AB85)&gt;0,N(AI85)=0),COUNT($BG$5:BG84)+1,"")</f>
        <v/>
      </c>
      <c r="BH85" s="11" t="str">
        <f aca="false">IF(AND(AO85=1,BF85=0,EH_Ready,N(AB85)&gt;0,N(AI85)&gt;0,N(AK85)&gt;0),COUNT($BH$5:BH84)+1,"")</f>
        <v/>
      </c>
      <c r="BI85" s="11" t="str">
        <f aca="false">IF(AND(AO85=1,OR(LEFT(AM85,3)="ADD",LEFT(AM85,3)="SET",LEFT(AM85,5)="CHECK",LEFT(AM85,10)="TERMINATED")),COUNT($BI$5:BI84)+1,"")</f>
        <v/>
      </c>
      <c r="BJ85" s="11" t="str">
        <f aca="false">IF(AO85=0,"",$A85&amp;" - "&amp;$B85&amp;" "&amp;$C85)</f>
        <v/>
      </c>
    </row>
    <row r="86" customFormat="false" ht="15" hidden="false" customHeight="false" outlineLevel="0" collapsed="false">
      <c r="A86" s="10"/>
      <c r="B86" s="10"/>
      <c r="C86" s="10"/>
      <c r="D86" s="10"/>
      <c r="E86" s="9"/>
      <c r="F86" s="10"/>
      <c r="G86" s="30"/>
      <c r="H86" s="9"/>
      <c r="I86" s="10"/>
      <c r="J86" s="30"/>
      <c r="K86" s="9"/>
      <c r="L86" s="10"/>
      <c r="M86" s="30"/>
      <c r="N86" s="9"/>
      <c r="O86" s="9"/>
      <c r="P86" s="30"/>
      <c r="Q86" s="9"/>
      <c r="R86" s="10"/>
      <c r="S86" s="11" t="str">
        <f aca="false">IF(AO86=0,"",IF($H86="","",$F86&amp;" -&gt; "&amp;$I86&amp;IF($I86="Part-Time"," ("&amp;N($J86)&amp;" hrs)","")&amp;" on "&amp;TEXT($H86,"dd/mm/yyyy")&amp;IF($H86&gt;AsOfDate," (FUTURE)","")&amp;IF($K86="","","; "&amp;$I86&amp;" -&gt; "&amp;$L86&amp;IF($L86="Part-Time"," ("&amp;N($M86)&amp;" hrs)","")&amp;" on "&amp;TEXT($K86,"dd/mm/yyyy")&amp;IF($K86&gt;AsOfDate," (FUTURE)",""))))</f>
        <v/>
      </c>
      <c r="T86" s="11" t="str">
        <f aca="false">IF(AO86=0,"",IF(AS86&lt;&gt;"",$L86,IF(AR86&lt;&gt;"",$I86,$F86)))</f>
        <v/>
      </c>
      <c r="U86" s="26" t="str">
        <f aca="false">IF(AO86=0,"",IF(AS86&lt;&gt;"",$M86,IF(AR86&lt;&gt;"",$J86,$G86)))</f>
        <v/>
      </c>
      <c r="V86" s="11" t="str">
        <f aca="false">IF(AO86=0,"",IF(AY86="FT","Full-Time",IF(AY86="PT","Part-Time","Not eligible")))</f>
        <v/>
      </c>
      <c r="W86" s="27" t="str">
        <f aca="false">IF(AO86=0,"",IF(AR86="",IF(AND($H86&lt;&gt;"",$H86&gt;AsOfDate),"Future change - not yet applied",""),IF(AND(AV86=AY86,OR(AS86="",AW86=AV86)),"Type changed - same accrual pathway",IF(AY86="None","STOPPED accruing from "&amp;TEXT(IF(AS86&lt;&gt;"",AS86,AR86),"dd/mm/yyyy"),IF(AV86="None","STARTED qualifying from "&amp;TEXT(IF(AS86&lt;&gt;"",AS86,AR86),"dd/mm/yyyy"),"Pathway changed "&amp;AV86&amp;" -&gt; "&amp;AW86&amp;IF(AS86&lt;&gt;""," -&gt; "&amp;AX86,"")&amp;" from "&amp;TEXT(IF(AS86&lt;&gt;"",AS86,AR86),"dd/mm/yyyy"))))))</f>
        <v/>
      </c>
      <c r="X86" s="28" t="str">
        <f aca="false">IF(AO86=0,"",IF($Q86="",AsOfDate,MIN(AsOfDate,$Q86)))</f>
        <v/>
      </c>
      <c r="Y86" s="26" t="str">
        <f aca="false">IF(AO86=0,"",MAX(0,AQ86))</f>
        <v/>
      </c>
      <c r="Z86" s="11" t="str">
        <f aca="false">IF(AO86=0,"",IF(AQ86&lt;0,"Not started",INT(AQ86/12)&amp;"y "&amp;MOD(AQ86,12)&amp;"m"))</f>
        <v/>
      </c>
      <c r="AA86" s="27" t="str">
        <f aca="false">IF(AO86=0,"",IF(BF86=1,"Terminated - balance forfeited",IF(AY86="None",IF(AB86&gt;0,"No longer accruing - "&amp;T86,"Not eligible - "&amp;T86&amp;IF(AND(IFERROR(VLOOKUP(T86,TypeTable,2,0),"None")="PT",N(U86)&lt;PT_MinHours)," (under "&amp;PT_MinHours&amp;" hrs)","")),IF(AB86&gt;0,"Yes - accruing","Not yet - qualifies "&amp;TEXT(AD86,"dd/mm/yyyy")))))</f>
        <v/>
      </c>
      <c r="AB86" s="26" t="str">
        <f aca="false">IF(AO86=0,"",AZ86+IF(AR86="",0,BB86-BA86)+IF(AS86="",0,BD86-BC86))</f>
        <v/>
      </c>
      <c r="AC86" s="26" t="str">
        <f aca="false">IF(AO86=0,"",AB86*HoursPerDay)</f>
        <v/>
      </c>
      <c r="AD86" s="28" t="str">
        <f aca="false">IF(AO86=0,"",IF(OR(BF86=1,AY86="None"),"",EDATE($E86+AP86,BE86)))</f>
        <v/>
      </c>
      <c r="AE86" s="26" t="str">
        <f aca="false">IF(AD86="","",IF(AY86="PT",1,IF(BE86&lt;FT_Y5,1,IF(MOD(BE86-FT_Y5,12)=0,FT_AnnivDays,1))))</f>
        <v/>
      </c>
      <c r="AF86" s="27" t="str">
        <f aca="false">IF(AO86=0,"",IF(NOT(EH_Ready),"Map headers",IF(IF(MatchMode="Employee ID",COUNTIFS(INDEX(EH_Data,0,EH_ColID),$A86,INDEX(EH_Data,0,EH_ColCat),BonusCat),COUNTIFS(INDEX(EH_Data,0,EH_ColFirst),$B86,INDEX(EH_Data,0,EH_ColSur),$C86,INDEX(EH_Data,0,EH_ColCat),BonusCat))&gt;0,"Yes","No")))</f>
        <v/>
      </c>
      <c r="AG86" s="26" t="str">
        <f aca="false">IF(AO86=0,"",IF(NOT(EH_Ready),"",IF(MatchMode="Employee ID",SUMIFS(INDEX(EH_Data,0,EH_ColBal),INDEX(EH_Data,0,EH_ColID),$A86,INDEX(EH_Data,0,EH_ColCat),BonusCat),SUMIFS(INDEX(EH_Data,0,EH_ColBal),INDEX(EH_Data,0,EH_ColFirst),$B86,INDEX(EH_Data,0,EH_ColSur),$C86,INDEX(EH_Data,0,EH_ColCat),BonusCat))/IF(EHUnit="Hours",HoursPerDay,1)))</f>
        <v/>
      </c>
      <c r="AH86" s="26" t="str">
        <f aca="false">IF(AO86=0,"",IF(NOT(TK_Ready),0,IF(MatchMode="Employee ID",SUMIFS(INDEX(TK_Data,0,TK_ColAmt),INDEX(TK_Data,0,TK_ColID),$A86,INDEX(TK_Data,0,TK_ColCat),BonusCat),SUMIFS(INDEX(TK_Data,0,TK_ColAmt),INDEX(TK_Data,0,TK_ColFirst),$B86,INDEX(TK_Data,0,TK_ColSur),$C86,INDEX(TK_Data,0,TK_ColCat),BonusCat))/IF(TKUnit="Hours",HoursPerDay,1)))</f>
        <v/>
      </c>
      <c r="AI86" s="26" t="str">
        <f aca="false">IF(AO86=0,"",N(AG86)+N(AH86))</f>
        <v/>
      </c>
      <c r="AJ86" s="29" t="str">
        <f aca="false">IF(AO86=0,"",IF(NOT(AND(EH_Ready,EH_ValReady)),"",IF(MatchMode="Employee ID",SUMIFS(INDEX(EH_Data,0,EH_ColVal),INDEX(EH_Data,0,EH_ColID),$A86,INDEX(EH_Data,0,EH_ColCat),BonusCat),SUMIFS(INDEX(EH_Data,0,EH_ColVal),INDEX(EH_Data,0,EH_ColFirst),$B86,INDEX(EH_Data,0,EH_ColSur),$C86,INDEX(EH_Data,0,EH_ColCat),BonusCat))))</f>
        <v/>
      </c>
      <c r="AK86" s="26" t="str">
        <f aca="false">IF(AO86=0,"",IF(OR(NOT(EH_Ready),BF86=1),"",AB86-AI86))</f>
        <v/>
      </c>
      <c r="AL86" s="26" t="str">
        <f aca="false">IF(AK86="","",AK86*HoursPerDay)</f>
        <v/>
      </c>
      <c r="AM86" s="27" t="str">
        <f aca="false">IF(AO86=0,"",IF(BF86=1,IF(N(AG86)&gt;0,"TERMINATED - forfeit "&amp;TEXT(AG86,"0.##")&amp;" days still in EH","Terminated - nothing in EH"),IF(NOT(EH_Ready),"Paste EH export and map headers on Settings",IF(AND(AB86&gt;0,AF86="No"),"SET UP in EH - add "&amp;TEXT(AB86,"0.##")&amp;" day(s) ("&amp;TEXT(AC86,"0.##")&amp;" hrs)",IF(AK86&gt;0,"ADD "&amp;TEXT(AK86,"0.##")&amp;" day(s) ("&amp;TEXT(AL86,"0.##")&amp;" hrs) in EH",IF(AK86&lt;0,"CHECK - EH shows "&amp;TEXT(-AK86,"0.##")&amp;" days more than policy",IF(AB86&gt;0,"OK - up to date",IF(AY86="None","No action - not eligible","No action - not yet qualified"))))))))</f>
        <v/>
      </c>
      <c r="AN86" s="27" t="str">
        <f aca="false">IF(AO86=0,"",TRIM(IF(AND($K86&lt;&gt;"",$H86=""),"Change 2 entered without Change 1. ","")&amp;IF(AND($K86&lt;&gt;"",$H86&lt;&gt;"",$K86&lt;=$H86),"Change 2 date not after Change 1. ","")&amp;IF(AND($N86&lt;&gt;"",$O86&lt;&gt;"",$O86&lt;$N86),"Leave To is before Leave From. ","")&amp;IF(AND($N86&lt;&gt;"",$O86=""),"Leave From entered without Leave To. ","")&amp;IF(AND(IFERROR(VLOOKUP(T86,TypeTable,2,0),"None")="PT",U86=""),"Part-time with no hours entered. ","")&amp;IF(AND($H86&lt;&gt;"",$H86&gt;AsOfDate,AD86&lt;&gt;"",$H86&lt;=AD86),"Status change lands before next accrual - review. ","")&amp;IF(AND($Q86&lt;&gt;"",$Q86&lt;$E86),"Termination before commencement. ","")))</f>
        <v/>
      </c>
      <c r="AO86" s="11" t="n">
        <f aca="false">IF(LEN($A86&amp;$B86&amp;$C86)=0,0,IF($E86="",0,1))</f>
        <v>0</v>
      </c>
      <c r="AP86" s="11" t="str">
        <f aca="false">IF(AO86=0,"",(IF(OR($N86="",$O86=""),0,MAX(0,MIN(X86,$O86)-MAX($N86,$E86)+1))+N($P86)))</f>
        <v/>
      </c>
      <c r="AQ86" s="11" t="str">
        <f aca="false">IF(AO86=0,"",IF(X86&lt;($E86+(IF(OR($N86="",$O86=""),0,MAX(0,MIN(X86,$O86)-MAX($N86,$E86)+1))+N($P86))),-1,12*(YEAR(X86)-YEAR(($E86+(IF(OR($N86="",$O86=""),0,MAX(0,MIN(X86,$O86)-MAX($N86,$E86)+1))+N($P86)))))+MONTH(X86)-MONTH(($E86+(IF(OR($N86="",$O86=""),0,MAX(0,MIN(X86,$O86)-MAX($N86,$E86)+1))+N($P86))))-IF(DAY(X86)&lt;MIN(DAY(($E86+(IF(OR($N86="",$O86=""),0,MAX(0,MIN(X86,$O86)-MAX($N86,$E86)+1))+N($P86)))),DAY(EOMONTH(X86,0))),1,0)))</f>
        <v/>
      </c>
      <c r="AR86" s="28" t="str">
        <f aca="false">IF(AO86=0,"",IF($H86="","",IF($H86&gt;X86,"",$H86)))</f>
        <v/>
      </c>
      <c r="AS86" s="28" t="str">
        <f aca="false">IF(AO86=0,"",IF(AR86="","",IF($K86="","",IF($K86&gt;X86,"",$K86))))</f>
        <v/>
      </c>
      <c r="AT86" s="11" t="str">
        <f aca="false">IF(AO86=0,"",IF(AR86="",AQ86,IF((AR86-1)&lt;($E86+(IF(OR($N86="",$O86=""),0,MAX(0,MIN((AR86-1),$O86)-MAX($N86,$E86)+1))+N($P86))),-1,12*(YEAR((AR86-1))-YEAR(($E86+(IF(OR($N86="",$O86=""),0,MAX(0,MIN((AR86-1),$O86)-MAX($N86,$E86)+1))+N($P86)))))+MONTH((AR86-1))-MONTH(($E86+(IF(OR($N86="",$O86=""),0,MAX(0,MIN((AR86-1),$O86)-MAX($N86,$E86)+1))+N($P86))))-IF(DAY((AR86-1))&lt;MIN(DAY(($E86+(IF(OR($N86="",$O86=""),0,MAX(0,MIN((AR86-1),$O86)-MAX($N86,$E86)+1))+N($P86)))),DAY(EOMONTH((AR86-1),0))),1,0))))</f>
        <v/>
      </c>
      <c r="AU86" s="11" t="str">
        <f aca="false">IF(AO86=0,"",IF(AS86="",AQ86,IF((AS86-1)&lt;($E86+(IF(OR($N86="",$O86=""),0,MAX(0,MIN((AS86-1),$O86)-MAX($N86,$E86)+1))+N($P86))),-1,12*(YEAR((AS86-1))-YEAR(($E86+(IF(OR($N86="",$O86=""),0,MAX(0,MIN((AS86-1),$O86)-MAX($N86,$E86)+1))+N($P86)))))+MONTH((AS86-1))-MONTH(($E86+(IF(OR($N86="",$O86=""),0,MAX(0,MIN((AS86-1),$O86)-MAX($N86,$E86)+1))+N($P86))))-IF(DAY((AS86-1))&lt;MIN(DAY(($E86+(IF(OR($N86="",$O86=""),0,MAX(0,MIN((AS86-1),$O86)-MAX($N86,$E86)+1))+N($P86)))),DAY(EOMONTH((AS86-1),0))),1,0))))</f>
        <v/>
      </c>
      <c r="AV86" s="11" t="str">
        <f aca="false">IF(AO86=0,"",IF($F86="","None",IF(IFERROR(VLOOKUP($F86,TypeTable,2,0),"None")="PT",IF(N($G86)&gt;=PT_MinHours,"PT","None"),IFERROR(VLOOKUP($F86,TypeTable,2,0),"None"))))</f>
        <v/>
      </c>
      <c r="AW86" s="11" t="str">
        <f aca="false">IF(AO86=0,"",IF($I86="","None",IF(IFERROR(VLOOKUP($I86,TypeTable,2,0),"None")="PT",IF(N($J86)&gt;=PT_MinHours,"PT","None"),IFERROR(VLOOKUP($I86,TypeTable,2,0),"None"))))</f>
        <v/>
      </c>
      <c r="AX86" s="11" t="str">
        <f aca="false">IF(AO86=0,"",IF($L86="","None",IF(IFERROR(VLOOKUP($L86,TypeTable,2,0),"None")="PT",IF(N($M86)&gt;=PT_MinHours,"PT","None"),IFERROR(VLOOKUP($L86,TypeTable,2,0),"None"))))</f>
        <v/>
      </c>
      <c r="AY86" s="11" t="str">
        <f aca="false">IF(AO86=0,"",IF(AS86&lt;&gt;"",AX86,IF(AR86&lt;&gt;"",AW86,AV86)))</f>
        <v/>
      </c>
      <c r="AZ86" s="11" t="str">
        <f aca="false">IF(AO86=0,"",IF(AV86="FT",IF(AT86&lt;FT_First,0,IF(AT86&lt;FT_Y5,1+INT((AT86-FT_First)/FT_Int1),FT_PreY5+FT_PerYear*INT((AT86-FT_Y5)/12)+FT_AnnivDays+INT(MOD(AT86-FT_Y5,12)/FT_Int2))),IF(AV86="PT",IF(AT86&lt;PT_First,0,1+INT((AT86-PT_First)/PT_Int)),0)))</f>
        <v/>
      </c>
      <c r="BA86" s="11" t="str">
        <f aca="false">IF(AO86=0,"",IF(AW86="FT",IF(AT86&lt;FT_First,0,IF(AT86&lt;FT_Y5,1+INT((AT86-FT_First)/FT_Int1),FT_PreY5+FT_PerYear*INT((AT86-FT_Y5)/12)+FT_AnnivDays+INT(MOD(AT86-FT_Y5,12)/FT_Int2))),IF(AW86="PT",IF(AT86&lt;PT_First,0,1+INT((AT86-PT_First)/PT_Int)),0)))</f>
        <v/>
      </c>
      <c r="BB86" s="11" t="str">
        <f aca="false">IF(AO86=0,"",IF(AW86="FT",IF(AU86&lt;FT_First,0,IF(AU86&lt;FT_Y5,1+INT((AU86-FT_First)/FT_Int1),FT_PreY5+FT_PerYear*INT((AU86-FT_Y5)/12)+FT_AnnivDays+INT(MOD(AU86-FT_Y5,12)/FT_Int2))),IF(AW86="PT",IF(AU86&lt;PT_First,0,1+INT((AU86-PT_First)/PT_Int)),0)))</f>
        <v/>
      </c>
      <c r="BC86" s="11" t="str">
        <f aca="false">IF(AO86=0,"",IF(AX86="FT",IF(AU86&lt;FT_First,0,IF(AU86&lt;FT_Y5,1+INT((AU86-FT_First)/FT_Int1),FT_PreY5+FT_PerYear*INT((AU86-FT_Y5)/12)+FT_AnnivDays+INT(MOD(AU86-FT_Y5,12)/FT_Int2))),IF(AX86="PT",IF(AU86&lt;PT_First,0,1+INT((AU86-PT_First)/PT_Int)),0)))</f>
        <v/>
      </c>
      <c r="BD86" s="11" t="str">
        <f aca="false">IF(AO86=0,"",IF(AX86="FT",IF(AQ86&lt;FT_First,0,IF(AQ86&lt;FT_Y5,1+INT((AQ86-FT_First)/FT_Int1),FT_PreY5+FT_PerYear*INT((AQ86-FT_Y5)/12)+FT_AnnivDays+INT(MOD(AQ86-FT_Y5,12)/FT_Int2))),IF(AX86="PT",IF(AQ86&lt;PT_First,0,1+INT((AQ86-PT_First)/PT_Int)),0)))</f>
        <v/>
      </c>
      <c r="BE86" s="11" t="str">
        <f aca="false">IF(AO86=0,"",IF(AY86="FT",IF(AQ86&lt;FT_First,FT_First,IF(AQ86&lt;FT_Y5,MIN(FT_Y5,FT_First+FT_Int1*(INT((AQ86-FT_First)/FT_Int1)+1)),FT_Y5+12*INT((AQ86-FT_Y5)/12)+FT_Int2*(INT(MOD(AQ86-FT_Y5,12)/FT_Int2)+1))),IF(AY86="PT",IF(AQ86&lt;PT_First,PT_First,PT_First+PT_Int*(INT((AQ86-PT_First)/PT_Int)+1)),"")))</f>
        <v/>
      </c>
      <c r="BF86" s="11" t="n">
        <f aca="false">IF(AO86=0,0,IF(AND($Q86&lt;&gt;"",$Q86&lt;=AsOfDate),1,0))</f>
        <v>0</v>
      </c>
      <c r="BG86" s="11" t="str">
        <f aca="false">IF(AND(AO86=1,BF86=0,EH_Ready,N(AB86)&gt;0,N(AI86)=0),COUNT($BG$5:BG85)+1,"")</f>
        <v/>
      </c>
      <c r="BH86" s="11" t="str">
        <f aca="false">IF(AND(AO86=1,BF86=0,EH_Ready,N(AB86)&gt;0,N(AI86)&gt;0,N(AK86)&gt;0),COUNT($BH$5:BH85)+1,"")</f>
        <v/>
      </c>
      <c r="BI86" s="11" t="str">
        <f aca="false">IF(AND(AO86=1,OR(LEFT(AM86,3)="ADD",LEFT(AM86,3)="SET",LEFT(AM86,5)="CHECK",LEFT(AM86,10)="TERMINATED")),COUNT($BI$5:BI85)+1,"")</f>
        <v/>
      </c>
      <c r="BJ86" s="11" t="str">
        <f aca="false">IF(AO86=0,"",$A86&amp;" - "&amp;$B86&amp;" "&amp;$C86)</f>
        <v/>
      </c>
    </row>
    <row r="87" customFormat="false" ht="15" hidden="false" customHeight="false" outlineLevel="0" collapsed="false">
      <c r="A87" s="10"/>
      <c r="B87" s="10"/>
      <c r="C87" s="10"/>
      <c r="D87" s="10"/>
      <c r="E87" s="9"/>
      <c r="F87" s="10"/>
      <c r="G87" s="30"/>
      <c r="H87" s="9"/>
      <c r="I87" s="10"/>
      <c r="J87" s="30"/>
      <c r="K87" s="9"/>
      <c r="L87" s="10"/>
      <c r="M87" s="30"/>
      <c r="N87" s="9"/>
      <c r="O87" s="9"/>
      <c r="P87" s="30"/>
      <c r="Q87" s="9"/>
      <c r="R87" s="10"/>
      <c r="S87" s="11" t="str">
        <f aca="false">IF(AO87=0,"",IF($H87="","",$F87&amp;" -&gt; "&amp;$I87&amp;IF($I87="Part-Time"," ("&amp;N($J87)&amp;" hrs)","")&amp;" on "&amp;TEXT($H87,"dd/mm/yyyy")&amp;IF($H87&gt;AsOfDate," (FUTURE)","")&amp;IF($K87="","","; "&amp;$I87&amp;" -&gt; "&amp;$L87&amp;IF($L87="Part-Time"," ("&amp;N($M87)&amp;" hrs)","")&amp;" on "&amp;TEXT($K87,"dd/mm/yyyy")&amp;IF($K87&gt;AsOfDate," (FUTURE)",""))))</f>
        <v/>
      </c>
      <c r="T87" s="11" t="str">
        <f aca="false">IF(AO87=0,"",IF(AS87&lt;&gt;"",$L87,IF(AR87&lt;&gt;"",$I87,$F87)))</f>
        <v/>
      </c>
      <c r="U87" s="26" t="str">
        <f aca="false">IF(AO87=0,"",IF(AS87&lt;&gt;"",$M87,IF(AR87&lt;&gt;"",$J87,$G87)))</f>
        <v/>
      </c>
      <c r="V87" s="11" t="str">
        <f aca="false">IF(AO87=0,"",IF(AY87="FT","Full-Time",IF(AY87="PT","Part-Time","Not eligible")))</f>
        <v/>
      </c>
      <c r="W87" s="27" t="str">
        <f aca="false">IF(AO87=0,"",IF(AR87="",IF(AND($H87&lt;&gt;"",$H87&gt;AsOfDate),"Future change - not yet applied",""),IF(AND(AV87=AY87,OR(AS87="",AW87=AV87)),"Type changed - same accrual pathway",IF(AY87="None","STOPPED accruing from "&amp;TEXT(IF(AS87&lt;&gt;"",AS87,AR87),"dd/mm/yyyy"),IF(AV87="None","STARTED qualifying from "&amp;TEXT(IF(AS87&lt;&gt;"",AS87,AR87),"dd/mm/yyyy"),"Pathway changed "&amp;AV87&amp;" -&gt; "&amp;AW87&amp;IF(AS87&lt;&gt;""," -&gt; "&amp;AX87,"")&amp;" from "&amp;TEXT(IF(AS87&lt;&gt;"",AS87,AR87),"dd/mm/yyyy"))))))</f>
        <v/>
      </c>
      <c r="X87" s="28" t="str">
        <f aca="false">IF(AO87=0,"",IF($Q87="",AsOfDate,MIN(AsOfDate,$Q87)))</f>
        <v/>
      </c>
      <c r="Y87" s="26" t="str">
        <f aca="false">IF(AO87=0,"",MAX(0,AQ87))</f>
        <v/>
      </c>
      <c r="Z87" s="11" t="str">
        <f aca="false">IF(AO87=0,"",IF(AQ87&lt;0,"Not started",INT(AQ87/12)&amp;"y "&amp;MOD(AQ87,12)&amp;"m"))</f>
        <v/>
      </c>
      <c r="AA87" s="27" t="str">
        <f aca="false">IF(AO87=0,"",IF(BF87=1,"Terminated - balance forfeited",IF(AY87="None",IF(AB87&gt;0,"No longer accruing - "&amp;T87,"Not eligible - "&amp;T87&amp;IF(AND(IFERROR(VLOOKUP(T87,TypeTable,2,0),"None")="PT",N(U87)&lt;PT_MinHours)," (under "&amp;PT_MinHours&amp;" hrs)","")),IF(AB87&gt;0,"Yes - accruing","Not yet - qualifies "&amp;TEXT(AD87,"dd/mm/yyyy")))))</f>
        <v/>
      </c>
      <c r="AB87" s="26" t="str">
        <f aca="false">IF(AO87=0,"",AZ87+IF(AR87="",0,BB87-BA87)+IF(AS87="",0,BD87-BC87))</f>
        <v/>
      </c>
      <c r="AC87" s="26" t="str">
        <f aca="false">IF(AO87=0,"",AB87*HoursPerDay)</f>
        <v/>
      </c>
      <c r="AD87" s="28" t="str">
        <f aca="false">IF(AO87=0,"",IF(OR(BF87=1,AY87="None"),"",EDATE($E87+AP87,BE87)))</f>
        <v/>
      </c>
      <c r="AE87" s="26" t="str">
        <f aca="false">IF(AD87="","",IF(AY87="PT",1,IF(BE87&lt;FT_Y5,1,IF(MOD(BE87-FT_Y5,12)=0,FT_AnnivDays,1))))</f>
        <v/>
      </c>
      <c r="AF87" s="27" t="str">
        <f aca="false">IF(AO87=0,"",IF(NOT(EH_Ready),"Map headers",IF(IF(MatchMode="Employee ID",COUNTIFS(INDEX(EH_Data,0,EH_ColID),$A87,INDEX(EH_Data,0,EH_ColCat),BonusCat),COUNTIFS(INDEX(EH_Data,0,EH_ColFirst),$B87,INDEX(EH_Data,0,EH_ColSur),$C87,INDEX(EH_Data,0,EH_ColCat),BonusCat))&gt;0,"Yes","No")))</f>
        <v/>
      </c>
      <c r="AG87" s="26" t="str">
        <f aca="false">IF(AO87=0,"",IF(NOT(EH_Ready),"",IF(MatchMode="Employee ID",SUMIFS(INDEX(EH_Data,0,EH_ColBal),INDEX(EH_Data,0,EH_ColID),$A87,INDEX(EH_Data,0,EH_ColCat),BonusCat),SUMIFS(INDEX(EH_Data,0,EH_ColBal),INDEX(EH_Data,0,EH_ColFirst),$B87,INDEX(EH_Data,0,EH_ColSur),$C87,INDEX(EH_Data,0,EH_ColCat),BonusCat))/IF(EHUnit="Hours",HoursPerDay,1)))</f>
        <v/>
      </c>
      <c r="AH87" s="26" t="str">
        <f aca="false">IF(AO87=0,"",IF(NOT(TK_Ready),0,IF(MatchMode="Employee ID",SUMIFS(INDEX(TK_Data,0,TK_ColAmt),INDEX(TK_Data,0,TK_ColID),$A87,INDEX(TK_Data,0,TK_ColCat),BonusCat),SUMIFS(INDEX(TK_Data,0,TK_ColAmt),INDEX(TK_Data,0,TK_ColFirst),$B87,INDEX(TK_Data,0,TK_ColSur),$C87,INDEX(TK_Data,0,TK_ColCat),BonusCat))/IF(TKUnit="Hours",HoursPerDay,1)))</f>
        <v/>
      </c>
      <c r="AI87" s="26" t="str">
        <f aca="false">IF(AO87=0,"",N(AG87)+N(AH87))</f>
        <v/>
      </c>
      <c r="AJ87" s="29" t="str">
        <f aca="false">IF(AO87=0,"",IF(NOT(AND(EH_Ready,EH_ValReady)),"",IF(MatchMode="Employee ID",SUMIFS(INDEX(EH_Data,0,EH_ColVal),INDEX(EH_Data,0,EH_ColID),$A87,INDEX(EH_Data,0,EH_ColCat),BonusCat),SUMIFS(INDEX(EH_Data,0,EH_ColVal),INDEX(EH_Data,0,EH_ColFirst),$B87,INDEX(EH_Data,0,EH_ColSur),$C87,INDEX(EH_Data,0,EH_ColCat),BonusCat))))</f>
        <v/>
      </c>
      <c r="AK87" s="26" t="str">
        <f aca="false">IF(AO87=0,"",IF(OR(NOT(EH_Ready),BF87=1),"",AB87-AI87))</f>
        <v/>
      </c>
      <c r="AL87" s="26" t="str">
        <f aca="false">IF(AK87="","",AK87*HoursPerDay)</f>
        <v/>
      </c>
      <c r="AM87" s="27" t="str">
        <f aca="false">IF(AO87=0,"",IF(BF87=1,IF(N(AG87)&gt;0,"TERMINATED - forfeit "&amp;TEXT(AG87,"0.##")&amp;" days still in EH","Terminated - nothing in EH"),IF(NOT(EH_Ready),"Paste EH export and map headers on Settings",IF(AND(AB87&gt;0,AF87="No"),"SET UP in EH - add "&amp;TEXT(AB87,"0.##")&amp;" day(s) ("&amp;TEXT(AC87,"0.##")&amp;" hrs)",IF(AK87&gt;0,"ADD "&amp;TEXT(AK87,"0.##")&amp;" day(s) ("&amp;TEXT(AL87,"0.##")&amp;" hrs) in EH",IF(AK87&lt;0,"CHECK - EH shows "&amp;TEXT(-AK87,"0.##")&amp;" days more than policy",IF(AB87&gt;0,"OK - up to date",IF(AY87="None","No action - not eligible","No action - not yet qualified"))))))))</f>
        <v/>
      </c>
      <c r="AN87" s="27" t="str">
        <f aca="false">IF(AO87=0,"",TRIM(IF(AND($K87&lt;&gt;"",$H87=""),"Change 2 entered without Change 1. ","")&amp;IF(AND($K87&lt;&gt;"",$H87&lt;&gt;"",$K87&lt;=$H87),"Change 2 date not after Change 1. ","")&amp;IF(AND($N87&lt;&gt;"",$O87&lt;&gt;"",$O87&lt;$N87),"Leave To is before Leave From. ","")&amp;IF(AND($N87&lt;&gt;"",$O87=""),"Leave From entered without Leave To. ","")&amp;IF(AND(IFERROR(VLOOKUP(T87,TypeTable,2,0),"None")="PT",U87=""),"Part-time with no hours entered. ","")&amp;IF(AND($H87&lt;&gt;"",$H87&gt;AsOfDate,AD87&lt;&gt;"",$H87&lt;=AD87),"Status change lands before next accrual - review. ","")&amp;IF(AND($Q87&lt;&gt;"",$Q87&lt;$E87),"Termination before commencement. ","")))</f>
        <v/>
      </c>
      <c r="AO87" s="11" t="n">
        <f aca="false">IF(LEN($A87&amp;$B87&amp;$C87)=0,0,IF($E87="",0,1))</f>
        <v>0</v>
      </c>
      <c r="AP87" s="11" t="str">
        <f aca="false">IF(AO87=0,"",(IF(OR($N87="",$O87=""),0,MAX(0,MIN(X87,$O87)-MAX($N87,$E87)+1))+N($P87)))</f>
        <v/>
      </c>
      <c r="AQ87" s="11" t="str">
        <f aca="false">IF(AO87=0,"",IF(X87&lt;($E87+(IF(OR($N87="",$O87=""),0,MAX(0,MIN(X87,$O87)-MAX($N87,$E87)+1))+N($P87))),-1,12*(YEAR(X87)-YEAR(($E87+(IF(OR($N87="",$O87=""),0,MAX(0,MIN(X87,$O87)-MAX($N87,$E87)+1))+N($P87)))))+MONTH(X87)-MONTH(($E87+(IF(OR($N87="",$O87=""),0,MAX(0,MIN(X87,$O87)-MAX($N87,$E87)+1))+N($P87))))-IF(DAY(X87)&lt;MIN(DAY(($E87+(IF(OR($N87="",$O87=""),0,MAX(0,MIN(X87,$O87)-MAX($N87,$E87)+1))+N($P87)))),DAY(EOMONTH(X87,0))),1,0)))</f>
        <v/>
      </c>
      <c r="AR87" s="28" t="str">
        <f aca="false">IF(AO87=0,"",IF($H87="","",IF($H87&gt;X87,"",$H87)))</f>
        <v/>
      </c>
      <c r="AS87" s="28" t="str">
        <f aca="false">IF(AO87=0,"",IF(AR87="","",IF($K87="","",IF($K87&gt;X87,"",$K87))))</f>
        <v/>
      </c>
      <c r="AT87" s="11" t="str">
        <f aca="false">IF(AO87=0,"",IF(AR87="",AQ87,IF((AR87-1)&lt;($E87+(IF(OR($N87="",$O87=""),0,MAX(0,MIN((AR87-1),$O87)-MAX($N87,$E87)+1))+N($P87))),-1,12*(YEAR((AR87-1))-YEAR(($E87+(IF(OR($N87="",$O87=""),0,MAX(0,MIN((AR87-1),$O87)-MAX($N87,$E87)+1))+N($P87)))))+MONTH((AR87-1))-MONTH(($E87+(IF(OR($N87="",$O87=""),0,MAX(0,MIN((AR87-1),$O87)-MAX($N87,$E87)+1))+N($P87))))-IF(DAY((AR87-1))&lt;MIN(DAY(($E87+(IF(OR($N87="",$O87=""),0,MAX(0,MIN((AR87-1),$O87)-MAX($N87,$E87)+1))+N($P87)))),DAY(EOMONTH((AR87-1),0))),1,0))))</f>
        <v/>
      </c>
      <c r="AU87" s="11" t="str">
        <f aca="false">IF(AO87=0,"",IF(AS87="",AQ87,IF((AS87-1)&lt;($E87+(IF(OR($N87="",$O87=""),0,MAX(0,MIN((AS87-1),$O87)-MAX($N87,$E87)+1))+N($P87))),-1,12*(YEAR((AS87-1))-YEAR(($E87+(IF(OR($N87="",$O87=""),0,MAX(0,MIN((AS87-1),$O87)-MAX($N87,$E87)+1))+N($P87)))))+MONTH((AS87-1))-MONTH(($E87+(IF(OR($N87="",$O87=""),0,MAX(0,MIN((AS87-1),$O87)-MAX($N87,$E87)+1))+N($P87))))-IF(DAY((AS87-1))&lt;MIN(DAY(($E87+(IF(OR($N87="",$O87=""),0,MAX(0,MIN((AS87-1),$O87)-MAX($N87,$E87)+1))+N($P87)))),DAY(EOMONTH((AS87-1),0))),1,0))))</f>
        <v/>
      </c>
      <c r="AV87" s="11" t="str">
        <f aca="false">IF(AO87=0,"",IF($F87="","None",IF(IFERROR(VLOOKUP($F87,TypeTable,2,0),"None")="PT",IF(N($G87)&gt;=PT_MinHours,"PT","None"),IFERROR(VLOOKUP($F87,TypeTable,2,0),"None"))))</f>
        <v/>
      </c>
      <c r="AW87" s="11" t="str">
        <f aca="false">IF(AO87=0,"",IF($I87="","None",IF(IFERROR(VLOOKUP($I87,TypeTable,2,0),"None")="PT",IF(N($J87)&gt;=PT_MinHours,"PT","None"),IFERROR(VLOOKUP($I87,TypeTable,2,0),"None"))))</f>
        <v/>
      </c>
      <c r="AX87" s="11" t="str">
        <f aca="false">IF(AO87=0,"",IF($L87="","None",IF(IFERROR(VLOOKUP($L87,TypeTable,2,0),"None")="PT",IF(N($M87)&gt;=PT_MinHours,"PT","None"),IFERROR(VLOOKUP($L87,TypeTable,2,0),"None"))))</f>
        <v/>
      </c>
      <c r="AY87" s="11" t="str">
        <f aca="false">IF(AO87=0,"",IF(AS87&lt;&gt;"",AX87,IF(AR87&lt;&gt;"",AW87,AV87)))</f>
        <v/>
      </c>
      <c r="AZ87" s="11" t="str">
        <f aca="false">IF(AO87=0,"",IF(AV87="FT",IF(AT87&lt;FT_First,0,IF(AT87&lt;FT_Y5,1+INT((AT87-FT_First)/FT_Int1),FT_PreY5+FT_PerYear*INT((AT87-FT_Y5)/12)+FT_AnnivDays+INT(MOD(AT87-FT_Y5,12)/FT_Int2))),IF(AV87="PT",IF(AT87&lt;PT_First,0,1+INT((AT87-PT_First)/PT_Int)),0)))</f>
        <v/>
      </c>
      <c r="BA87" s="11" t="str">
        <f aca="false">IF(AO87=0,"",IF(AW87="FT",IF(AT87&lt;FT_First,0,IF(AT87&lt;FT_Y5,1+INT((AT87-FT_First)/FT_Int1),FT_PreY5+FT_PerYear*INT((AT87-FT_Y5)/12)+FT_AnnivDays+INT(MOD(AT87-FT_Y5,12)/FT_Int2))),IF(AW87="PT",IF(AT87&lt;PT_First,0,1+INT((AT87-PT_First)/PT_Int)),0)))</f>
        <v/>
      </c>
      <c r="BB87" s="11" t="str">
        <f aca="false">IF(AO87=0,"",IF(AW87="FT",IF(AU87&lt;FT_First,0,IF(AU87&lt;FT_Y5,1+INT((AU87-FT_First)/FT_Int1),FT_PreY5+FT_PerYear*INT((AU87-FT_Y5)/12)+FT_AnnivDays+INT(MOD(AU87-FT_Y5,12)/FT_Int2))),IF(AW87="PT",IF(AU87&lt;PT_First,0,1+INT((AU87-PT_First)/PT_Int)),0)))</f>
        <v/>
      </c>
      <c r="BC87" s="11" t="str">
        <f aca="false">IF(AO87=0,"",IF(AX87="FT",IF(AU87&lt;FT_First,0,IF(AU87&lt;FT_Y5,1+INT((AU87-FT_First)/FT_Int1),FT_PreY5+FT_PerYear*INT((AU87-FT_Y5)/12)+FT_AnnivDays+INT(MOD(AU87-FT_Y5,12)/FT_Int2))),IF(AX87="PT",IF(AU87&lt;PT_First,0,1+INT((AU87-PT_First)/PT_Int)),0)))</f>
        <v/>
      </c>
      <c r="BD87" s="11" t="str">
        <f aca="false">IF(AO87=0,"",IF(AX87="FT",IF(AQ87&lt;FT_First,0,IF(AQ87&lt;FT_Y5,1+INT((AQ87-FT_First)/FT_Int1),FT_PreY5+FT_PerYear*INT((AQ87-FT_Y5)/12)+FT_AnnivDays+INT(MOD(AQ87-FT_Y5,12)/FT_Int2))),IF(AX87="PT",IF(AQ87&lt;PT_First,0,1+INT((AQ87-PT_First)/PT_Int)),0)))</f>
        <v/>
      </c>
      <c r="BE87" s="11" t="str">
        <f aca="false">IF(AO87=0,"",IF(AY87="FT",IF(AQ87&lt;FT_First,FT_First,IF(AQ87&lt;FT_Y5,MIN(FT_Y5,FT_First+FT_Int1*(INT((AQ87-FT_First)/FT_Int1)+1)),FT_Y5+12*INT((AQ87-FT_Y5)/12)+FT_Int2*(INT(MOD(AQ87-FT_Y5,12)/FT_Int2)+1))),IF(AY87="PT",IF(AQ87&lt;PT_First,PT_First,PT_First+PT_Int*(INT((AQ87-PT_First)/PT_Int)+1)),"")))</f>
        <v/>
      </c>
      <c r="BF87" s="11" t="n">
        <f aca="false">IF(AO87=0,0,IF(AND($Q87&lt;&gt;"",$Q87&lt;=AsOfDate),1,0))</f>
        <v>0</v>
      </c>
      <c r="BG87" s="11" t="str">
        <f aca="false">IF(AND(AO87=1,BF87=0,EH_Ready,N(AB87)&gt;0,N(AI87)=0),COUNT($BG$5:BG86)+1,"")</f>
        <v/>
      </c>
      <c r="BH87" s="11" t="str">
        <f aca="false">IF(AND(AO87=1,BF87=0,EH_Ready,N(AB87)&gt;0,N(AI87)&gt;0,N(AK87)&gt;0),COUNT($BH$5:BH86)+1,"")</f>
        <v/>
      </c>
      <c r="BI87" s="11" t="str">
        <f aca="false">IF(AND(AO87=1,OR(LEFT(AM87,3)="ADD",LEFT(AM87,3)="SET",LEFT(AM87,5)="CHECK",LEFT(AM87,10)="TERMINATED")),COUNT($BI$5:BI86)+1,"")</f>
        <v/>
      </c>
      <c r="BJ87" s="11" t="str">
        <f aca="false">IF(AO87=0,"",$A87&amp;" - "&amp;$B87&amp;" "&amp;$C87)</f>
        <v/>
      </c>
    </row>
    <row r="88" customFormat="false" ht="15" hidden="false" customHeight="false" outlineLevel="0" collapsed="false">
      <c r="A88" s="10"/>
      <c r="B88" s="10"/>
      <c r="C88" s="10"/>
      <c r="D88" s="10"/>
      <c r="E88" s="9"/>
      <c r="F88" s="10"/>
      <c r="G88" s="30"/>
      <c r="H88" s="9"/>
      <c r="I88" s="10"/>
      <c r="J88" s="30"/>
      <c r="K88" s="9"/>
      <c r="L88" s="10"/>
      <c r="M88" s="30"/>
      <c r="N88" s="9"/>
      <c r="O88" s="9"/>
      <c r="P88" s="30"/>
      <c r="Q88" s="9"/>
      <c r="R88" s="10"/>
      <c r="S88" s="11" t="str">
        <f aca="false">IF(AO88=0,"",IF($H88="","",$F88&amp;" -&gt; "&amp;$I88&amp;IF($I88="Part-Time"," ("&amp;N($J88)&amp;" hrs)","")&amp;" on "&amp;TEXT($H88,"dd/mm/yyyy")&amp;IF($H88&gt;AsOfDate," (FUTURE)","")&amp;IF($K88="","","; "&amp;$I88&amp;" -&gt; "&amp;$L88&amp;IF($L88="Part-Time"," ("&amp;N($M88)&amp;" hrs)","")&amp;" on "&amp;TEXT($K88,"dd/mm/yyyy")&amp;IF($K88&gt;AsOfDate," (FUTURE)",""))))</f>
        <v/>
      </c>
      <c r="T88" s="11" t="str">
        <f aca="false">IF(AO88=0,"",IF(AS88&lt;&gt;"",$L88,IF(AR88&lt;&gt;"",$I88,$F88)))</f>
        <v/>
      </c>
      <c r="U88" s="26" t="str">
        <f aca="false">IF(AO88=0,"",IF(AS88&lt;&gt;"",$M88,IF(AR88&lt;&gt;"",$J88,$G88)))</f>
        <v/>
      </c>
      <c r="V88" s="11" t="str">
        <f aca="false">IF(AO88=0,"",IF(AY88="FT","Full-Time",IF(AY88="PT","Part-Time","Not eligible")))</f>
        <v/>
      </c>
      <c r="W88" s="27" t="str">
        <f aca="false">IF(AO88=0,"",IF(AR88="",IF(AND($H88&lt;&gt;"",$H88&gt;AsOfDate),"Future change - not yet applied",""),IF(AND(AV88=AY88,OR(AS88="",AW88=AV88)),"Type changed - same accrual pathway",IF(AY88="None","STOPPED accruing from "&amp;TEXT(IF(AS88&lt;&gt;"",AS88,AR88),"dd/mm/yyyy"),IF(AV88="None","STARTED qualifying from "&amp;TEXT(IF(AS88&lt;&gt;"",AS88,AR88),"dd/mm/yyyy"),"Pathway changed "&amp;AV88&amp;" -&gt; "&amp;AW88&amp;IF(AS88&lt;&gt;""," -&gt; "&amp;AX88,"")&amp;" from "&amp;TEXT(IF(AS88&lt;&gt;"",AS88,AR88),"dd/mm/yyyy"))))))</f>
        <v/>
      </c>
      <c r="X88" s="28" t="str">
        <f aca="false">IF(AO88=0,"",IF($Q88="",AsOfDate,MIN(AsOfDate,$Q88)))</f>
        <v/>
      </c>
      <c r="Y88" s="26" t="str">
        <f aca="false">IF(AO88=0,"",MAX(0,AQ88))</f>
        <v/>
      </c>
      <c r="Z88" s="11" t="str">
        <f aca="false">IF(AO88=0,"",IF(AQ88&lt;0,"Not started",INT(AQ88/12)&amp;"y "&amp;MOD(AQ88,12)&amp;"m"))</f>
        <v/>
      </c>
      <c r="AA88" s="27" t="str">
        <f aca="false">IF(AO88=0,"",IF(BF88=1,"Terminated - balance forfeited",IF(AY88="None",IF(AB88&gt;0,"No longer accruing - "&amp;T88,"Not eligible - "&amp;T88&amp;IF(AND(IFERROR(VLOOKUP(T88,TypeTable,2,0),"None")="PT",N(U88)&lt;PT_MinHours)," (under "&amp;PT_MinHours&amp;" hrs)","")),IF(AB88&gt;0,"Yes - accruing","Not yet - qualifies "&amp;TEXT(AD88,"dd/mm/yyyy")))))</f>
        <v/>
      </c>
      <c r="AB88" s="26" t="str">
        <f aca="false">IF(AO88=0,"",AZ88+IF(AR88="",0,BB88-BA88)+IF(AS88="",0,BD88-BC88))</f>
        <v/>
      </c>
      <c r="AC88" s="26" t="str">
        <f aca="false">IF(AO88=0,"",AB88*HoursPerDay)</f>
        <v/>
      </c>
      <c r="AD88" s="28" t="str">
        <f aca="false">IF(AO88=0,"",IF(OR(BF88=1,AY88="None"),"",EDATE($E88+AP88,BE88)))</f>
        <v/>
      </c>
      <c r="AE88" s="26" t="str">
        <f aca="false">IF(AD88="","",IF(AY88="PT",1,IF(BE88&lt;FT_Y5,1,IF(MOD(BE88-FT_Y5,12)=0,FT_AnnivDays,1))))</f>
        <v/>
      </c>
      <c r="AF88" s="27" t="str">
        <f aca="false">IF(AO88=0,"",IF(NOT(EH_Ready),"Map headers",IF(IF(MatchMode="Employee ID",COUNTIFS(INDEX(EH_Data,0,EH_ColID),$A88,INDEX(EH_Data,0,EH_ColCat),BonusCat),COUNTIFS(INDEX(EH_Data,0,EH_ColFirst),$B88,INDEX(EH_Data,0,EH_ColSur),$C88,INDEX(EH_Data,0,EH_ColCat),BonusCat))&gt;0,"Yes","No")))</f>
        <v/>
      </c>
      <c r="AG88" s="26" t="str">
        <f aca="false">IF(AO88=0,"",IF(NOT(EH_Ready),"",IF(MatchMode="Employee ID",SUMIFS(INDEX(EH_Data,0,EH_ColBal),INDEX(EH_Data,0,EH_ColID),$A88,INDEX(EH_Data,0,EH_ColCat),BonusCat),SUMIFS(INDEX(EH_Data,0,EH_ColBal),INDEX(EH_Data,0,EH_ColFirst),$B88,INDEX(EH_Data,0,EH_ColSur),$C88,INDEX(EH_Data,0,EH_ColCat),BonusCat))/IF(EHUnit="Hours",HoursPerDay,1)))</f>
        <v/>
      </c>
      <c r="AH88" s="26" t="str">
        <f aca="false">IF(AO88=0,"",IF(NOT(TK_Ready),0,IF(MatchMode="Employee ID",SUMIFS(INDEX(TK_Data,0,TK_ColAmt),INDEX(TK_Data,0,TK_ColID),$A88,INDEX(TK_Data,0,TK_ColCat),BonusCat),SUMIFS(INDEX(TK_Data,0,TK_ColAmt),INDEX(TK_Data,0,TK_ColFirst),$B88,INDEX(TK_Data,0,TK_ColSur),$C88,INDEX(TK_Data,0,TK_ColCat),BonusCat))/IF(TKUnit="Hours",HoursPerDay,1)))</f>
        <v/>
      </c>
      <c r="AI88" s="26" t="str">
        <f aca="false">IF(AO88=0,"",N(AG88)+N(AH88))</f>
        <v/>
      </c>
      <c r="AJ88" s="29" t="str">
        <f aca="false">IF(AO88=0,"",IF(NOT(AND(EH_Ready,EH_ValReady)),"",IF(MatchMode="Employee ID",SUMIFS(INDEX(EH_Data,0,EH_ColVal),INDEX(EH_Data,0,EH_ColID),$A88,INDEX(EH_Data,0,EH_ColCat),BonusCat),SUMIFS(INDEX(EH_Data,0,EH_ColVal),INDEX(EH_Data,0,EH_ColFirst),$B88,INDEX(EH_Data,0,EH_ColSur),$C88,INDEX(EH_Data,0,EH_ColCat),BonusCat))))</f>
        <v/>
      </c>
      <c r="AK88" s="26" t="str">
        <f aca="false">IF(AO88=0,"",IF(OR(NOT(EH_Ready),BF88=1),"",AB88-AI88))</f>
        <v/>
      </c>
      <c r="AL88" s="26" t="str">
        <f aca="false">IF(AK88="","",AK88*HoursPerDay)</f>
        <v/>
      </c>
      <c r="AM88" s="27" t="str">
        <f aca="false">IF(AO88=0,"",IF(BF88=1,IF(N(AG88)&gt;0,"TERMINATED - forfeit "&amp;TEXT(AG88,"0.##")&amp;" days still in EH","Terminated - nothing in EH"),IF(NOT(EH_Ready),"Paste EH export and map headers on Settings",IF(AND(AB88&gt;0,AF88="No"),"SET UP in EH - add "&amp;TEXT(AB88,"0.##")&amp;" day(s) ("&amp;TEXT(AC88,"0.##")&amp;" hrs)",IF(AK88&gt;0,"ADD "&amp;TEXT(AK88,"0.##")&amp;" day(s) ("&amp;TEXT(AL88,"0.##")&amp;" hrs) in EH",IF(AK88&lt;0,"CHECK - EH shows "&amp;TEXT(-AK88,"0.##")&amp;" days more than policy",IF(AB88&gt;0,"OK - up to date",IF(AY88="None","No action - not eligible","No action - not yet qualified"))))))))</f>
        <v/>
      </c>
      <c r="AN88" s="27" t="str">
        <f aca="false">IF(AO88=0,"",TRIM(IF(AND($K88&lt;&gt;"",$H88=""),"Change 2 entered without Change 1. ","")&amp;IF(AND($K88&lt;&gt;"",$H88&lt;&gt;"",$K88&lt;=$H88),"Change 2 date not after Change 1. ","")&amp;IF(AND($N88&lt;&gt;"",$O88&lt;&gt;"",$O88&lt;$N88),"Leave To is before Leave From. ","")&amp;IF(AND($N88&lt;&gt;"",$O88=""),"Leave From entered without Leave To. ","")&amp;IF(AND(IFERROR(VLOOKUP(T88,TypeTable,2,0),"None")="PT",U88=""),"Part-time with no hours entered. ","")&amp;IF(AND($H88&lt;&gt;"",$H88&gt;AsOfDate,AD88&lt;&gt;"",$H88&lt;=AD88),"Status change lands before next accrual - review. ","")&amp;IF(AND($Q88&lt;&gt;"",$Q88&lt;$E88),"Termination before commencement. ","")))</f>
        <v/>
      </c>
      <c r="AO88" s="11" t="n">
        <f aca="false">IF(LEN($A88&amp;$B88&amp;$C88)=0,0,IF($E88="",0,1))</f>
        <v>0</v>
      </c>
      <c r="AP88" s="11" t="str">
        <f aca="false">IF(AO88=0,"",(IF(OR($N88="",$O88=""),0,MAX(0,MIN(X88,$O88)-MAX($N88,$E88)+1))+N($P88)))</f>
        <v/>
      </c>
      <c r="AQ88" s="11" t="str">
        <f aca="false">IF(AO88=0,"",IF(X88&lt;($E88+(IF(OR($N88="",$O88=""),0,MAX(0,MIN(X88,$O88)-MAX($N88,$E88)+1))+N($P88))),-1,12*(YEAR(X88)-YEAR(($E88+(IF(OR($N88="",$O88=""),0,MAX(0,MIN(X88,$O88)-MAX($N88,$E88)+1))+N($P88)))))+MONTH(X88)-MONTH(($E88+(IF(OR($N88="",$O88=""),0,MAX(0,MIN(X88,$O88)-MAX($N88,$E88)+1))+N($P88))))-IF(DAY(X88)&lt;MIN(DAY(($E88+(IF(OR($N88="",$O88=""),0,MAX(0,MIN(X88,$O88)-MAX($N88,$E88)+1))+N($P88)))),DAY(EOMONTH(X88,0))),1,0)))</f>
        <v/>
      </c>
      <c r="AR88" s="28" t="str">
        <f aca="false">IF(AO88=0,"",IF($H88="","",IF($H88&gt;X88,"",$H88)))</f>
        <v/>
      </c>
      <c r="AS88" s="28" t="str">
        <f aca="false">IF(AO88=0,"",IF(AR88="","",IF($K88="","",IF($K88&gt;X88,"",$K88))))</f>
        <v/>
      </c>
      <c r="AT88" s="11" t="str">
        <f aca="false">IF(AO88=0,"",IF(AR88="",AQ88,IF((AR88-1)&lt;($E88+(IF(OR($N88="",$O88=""),0,MAX(0,MIN((AR88-1),$O88)-MAX($N88,$E88)+1))+N($P88))),-1,12*(YEAR((AR88-1))-YEAR(($E88+(IF(OR($N88="",$O88=""),0,MAX(0,MIN((AR88-1),$O88)-MAX($N88,$E88)+1))+N($P88)))))+MONTH((AR88-1))-MONTH(($E88+(IF(OR($N88="",$O88=""),0,MAX(0,MIN((AR88-1),$O88)-MAX($N88,$E88)+1))+N($P88))))-IF(DAY((AR88-1))&lt;MIN(DAY(($E88+(IF(OR($N88="",$O88=""),0,MAX(0,MIN((AR88-1),$O88)-MAX($N88,$E88)+1))+N($P88)))),DAY(EOMONTH((AR88-1),0))),1,0))))</f>
        <v/>
      </c>
      <c r="AU88" s="11" t="str">
        <f aca="false">IF(AO88=0,"",IF(AS88="",AQ88,IF((AS88-1)&lt;($E88+(IF(OR($N88="",$O88=""),0,MAX(0,MIN((AS88-1),$O88)-MAX($N88,$E88)+1))+N($P88))),-1,12*(YEAR((AS88-1))-YEAR(($E88+(IF(OR($N88="",$O88=""),0,MAX(0,MIN((AS88-1),$O88)-MAX($N88,$E88)+1))+N($P88)))))+MONTH((AS88-1))-MONTH(($E88+(IF(OR($N88="",$O88=""),0,MAX(0,MIN((AS88-1),$O88)-MAX($N88,$E88)+1))+N($P88))))-IF(DAY((AS88-1))&lt;MIN(DAY(($E88+(IF(OR($N88="",$O88=""),0,MAX(0,MIN((AS88-1),$O88)-MAX($N88,$E88)+1))+N($P88)))),DAY(EOMONTH((AS88-1),0))),1,0))))</f>
        <v/>
      </c>
      <c r="AV88" s="11" t="str">
        <f aca="false">IF(AO88=0,"",IF($F88="","None",IF(IFERROR(VLOOKUP($F88,TypeTable,2,0),"None")="PT",IF(N($G88)&gt;=PT_MinHours,"PT","None"),IFERROR(VLOOKUP($F88,TypeTable,2,0),"None"))))</f>
        <v/>
      </c>
      <c r="AW88" s="11" t="str">
        <f aca="false">IF(AO88=0,"",IF($I88="","None",IF(IFERROR(VLOOKUP($I88,TypeTable,2,0),"None")="PT",IF(N($J88)&gt;=PT_MinHours,"PT","None"),IFERROR(VLOOKUP($I88,TypeTable,2,0),"None"))))</f>
        <v/>
      </c>
      <c r="AX88" s="11" t="str">
        <f aca="false">IF(AO88=0,"",IF($L88="","None",IF(IFERROR(VLOOKUP($L88,TypeTable,2,0),"None")="PT",IF(N($M88)&gt;=PT_MinHours,"PT","None"),IFERROR(VLOOKUP($L88,TypeTable,2,0),"None"))))</f>
        <v/>
      </c>
      <c r="AY88" s="11" t="str">
        <f aca="false">IF(AO88=0,"",IF(AS88&lt;&gt;"",AX88,IF(AR88&lt;&gt;"",AW88,AV88)))</f>
        <v/>
      </c>
      <c r="AZ88" s="11" t="str">
        <f aca="false">IF(AO88=0,"",IF(AV88="FT",IF(AT88&lt;FT_First,0,IF(AT88&lt;FT_Y5,1+INT((AT88-FT_First)/FT_Int1),FT_PreY5+FT_PerYear*INT((AT88-FT_Y5)/12)+FT_AnnivDays+INT(MOD(AT88-FT_Y5,12)/FT_Int2))),IF(AV88="PT",IF(AT88&lt;PT_First,0,1+INT((AT88-PT_First)/PT_Int)),0)))</f>
        <v/>
      </c>
      <c r="BA88" s="11" t="str">
        <f aca="false">IF(AO88=0,"",IF(AW88="FT",IF(AT88&lt;FT_First,0,IF(AT88&lt;FT_Y5,1+INT((AT88-FT_First)/FT_Int1),FT_PreY5+FT_PerYear*INT((AT88-FT_Y5)/12)+FT_AnnivDays+INT(MOD(AT88-FT_Y5,12)/FT_Int2))),IF(AW88="PT",IF(AT88&lt;PT_First,0,1+INT((AT88-PT_First)/PT_Int)),0)))</f>
        <v/>
      </c>
      <c r="BB88" s="11" t="str">
        <f aca="false">IF(AO88=0,"",IF(AW88="FT",IF(AU88&lt;FT_First,0,IF(AU88&lt;FT_Y5,1+INT((AU88-FT_First)/FT_Int1),FT_PreY5+FT_PerYear*INT((AU88-FT_Y5)/12)+FT_AnnivDays+INT(MOD(AU88-FT_Y5,12)/FT_Int2))),IF(AW88="PT",IF(AU88&lt;PT_First,0,1+INT((AU88-PT_First)/PT_Int)),0)))</f>
        <v/>
      </c>
      <c r="BC88" s="11" t="str">
        <f aca="false">IF(AO88=0,"",IF(AX88="FT",IF(AU88&lt;FT_First,0,IF(AU88&lt;FT_Y5,1+INT((AU88-FT_First)/FT_Int1),FT_PreY5+FT_PerYear*INT((AU88-FT_Y5)/12)+FT_AnnivDays+INT(MOD(AU88-FT_Y5,12)/FT_Int2))),IF(AX88="PT",IF(AU88&lt;PT_First,0,1+INT((AU88-PT_First)/PT_Int)),0)))</f>
        <v/>
      </c>
      <c r="BD88" s="11" t="str">
        <f aca="false">IF(AO88=0,"",IF(AX88="FT",IF(AQ88&lt;FT_First,0,IF(AQ88&lt;FT_Y5,1+INT((AQ88-FT_First)/FT_Int1),FT_PreY5+FT_PerYear*INT((AQ88-FT_Y5)/12)+FT_AnnivDays+INT(MOD(AQ88-FT_Y5,12)/FT_Int2))),IF(AX88="PT",IF(AQ88&lt;PT_First,0,1+INT((AQ88-PT_First)/PT_Int)),0)))</f>
        <v/>
      </c>
      <c r="BE88" s="11" t="str">
        <f aca="false">IF(AO88=0,"",IF(AY88="FT",IF(AQ88&lt;FT_First,FT_First,IF(AQ88&lt;FT_Y5,MIN(FT_Y5,FT_First+FT_Int1*(INT((AQ88-FT_First)/FT_Int1)+1)),FT_Y5+12*INT((AQ88-FT_Y5)/12)+FT_Int2*(INT(MOD(AQ88-FT_Y5,12)/FT_Int2)+1))),IF(AY88="PT",IF(AQ88&lt;PT_First,PT_First,PT_First+PT_Int*(INT((AQ88-PT_First)/PT_Int)+1)),"")))</f>
        <v/>
      </c>
      <c r="BF88" s="11" t="n">
        <f aca="false">IF(AO88=0,0,IF(AND($Q88&lt;&gt;"",$Q88&lt;=AsOfDate),1,0))</f>
        <v>0</v>
      </c>
      <c r="BG88" s="11" t="str">
        <f aca="false">IF(AND(AO88=1,BF88=0,EH_Ready,N(AB88)&gt;0,N(AI88)=0),COUNT($BG$5:BG87)+1,"")</f>
        <v/>
      </c>
      <c r="BH88" s="11" t="str">
        <f aca="false">IF(AND(AO88=1,BF88=0,EH_Ready,N(AB88)&gt;0,N(AI88)&gt;0,N(AK88)&gt;0),COUNT($BH$5:BH87)+1,"")</f>
        <v/>
      </c>
      <c r="BI88" s="11" t="str">
        <f aca="false">IF(AND(AO88=1,OR(LEFT(AM88,3)="ADD",LEFT(AM88,3)="SET",LEFT(AM88,5)="CHECK",LEFT(AM88,10)="TERMINATED")),COUNT($BI$5:BI87)+1,"")</f>
        <v/>
      </c>
      <c r="BJ88" s="11" t="str">
        <f aca="false">IF(AO88=0,"",$A88&amp;" - "&amp;$B88&amp;" "&amp;$C88)</f>
        <v/>
      </c>
    </row>
    <row r="89" customFormat="false" ht="15" hidden="false" customHeight="false" outlineLevel="0" collapsed="false">
      <c r="A89" s="10"/>
      <c r="B89" s="10"/>
      <c r="C89" s="10"/>
      <c r="D89" s="10"/>
      <c r="E89" s="9"/>
      <c r="F89" s="10"/>
      <c r="G89" s="30"/>
      <c r="H89" s="9"/>
      <c r="I89" s="10"/>
      <c r="J89" s="30"/>
      <c r="K89" s="9"/>
      <c r="L89" s="10"/>
      <c r="M89" s="30"/>
      <c r="N89" s="9"/>
      <c r="O89" s="9"/>
      <c r="P89" s="30"/>
      <c r="Q89" s="9"/>
      <c r="R89" s="10"/>
      <c r="S89" s="11" t="str">
        <f aca="false">IF(AO89=0,"",IF($H89="","",$F89&amp;" -&gt; "&amp;$I89&amp;IF($I89="Part-Time"," ("&amp;N($J89)&amp;" hrs)","")&amp;" on "&amp;TEXT($H89,"dd/mm/yyyy")&amp;IF($H89&gt;AsOfDate," (FUTURE)","")&amp;IF($K89="","","; "&amp;$I89&amp;" -&gt; "&amp;$L89&amp;IF($L89="Part-Time"," ("&amp;N($M89)&amp;" hrs)","")&amp;" on "&amp;TEXT($K89,"dd/mm/yyyy")&amp;IF($K89&gt;AsOfDate," (FUTURE)",""))))</f>
        <v/>
      </c>
      <c r="T89" s="11" t="str">
        <f aca="false">IF(AO89=0,"",IF(AS89&lt;&gt;"",$L89,IF(AR89&lt;&gt;"",$I89,$F89)))</f>
        <v/>
      </c>
      <c r="U89" s="26" t="str">
        <f aca="false">IF(AO89=0,"",IF(AS89&lt;&gt;"",$M89,IF(AR89&lt;&gt;"",$J89,$G89)))</f>
        <v/>
      </c>
      <c r="V89" s="11" t="str">
        <f aca="false">IF(AO89=0,"",IF(AY89="FT","Full-Time",IF(AY89="PT","Part-Time","Not eligible")))</f>
        <v/>
      </c>
      <c r="W89" s="27" t="str">
        <f aca="false">IF(AO89=0,"",IF(AR89="",IF(AND($H89&lt;&gt;"",$H89&gt;AsOfDate),"Future change - not yet applied",""),IF(AND(AV89=AY89,OR(AS89="",AW89=AV89)),"Type changed - same accrual pathway",IF(AY89="None","STOPPED accruing from "&amp;TEXT(IF(AS89&lt;&gt;"",AS89,AR89),"dd/mm/yyyy"),IF(AV89="None","STARTED qualifying from "&amp;TEXT(IF(AS89&lt;&gt;"",AS89,AR89),"dd/mm/yyyy"),"Pathway changed "&amp;AV89&amp;" -&gt; "&amp;AW89&amp;IF(AS89&lt;&gt;""," -&gt; "&amp;AX89,"")&amp;" from "&amp;TEXT(IF(AS89&lt;&gt;"",AS89,AR89),"dd/mm/yyyy"))))))</f>
        <v/>
      </c>
      <c r="X89" s="28" t="str">
        <f aca="false">IF(AO89=0,"",IF($Q89="",AsOfDate,MIN(AsOfDate,$Q89)))</f>
        <v/>
      </c>
      <c r="Y89" s="26" t="str">
        <f aca="false">IF(AO89=0,"",MAX(0,AQ89))</f>
        <v/>
      </c>
      <c r="Z89" s="11" t="str">
        <f aca="false">IF(AO89=0,"",IF(AQ89&lt;0,"Not started",INT(AQ89/12)&amp;"y "&amp;MOD(AQ89,12)&amp;"m"))</f>
        <v/>
      </c>
      <c r="AA89" s="27" t="str">
        <f aca="false">IF(AO89=0,"",IF(BF89=1,"Terminated - balance forfeited",IF(AY89="None",IF(AB89&gt;0,"No longer accruing - "&amp;T89,"Not eligible - "&amp;T89&amp;IF(AND(IFERROR(VLOOKUP(T89,TypeTable,2,0),"None")="PT",N(U89)&lt;PT_MinHours)," (under "&amp;PT_MinHours&amp;" hrs)","")),IF(AB89&gt;0,"Yes - accruing","Not yet - qualifies "&amp;TEXT(AD89,"dd/mm/yyyy")))))</f>
        <v/>
      </c>
      <c r="AB89" s="26" t="str">
        <f aca="false">IF(AO89=0,"",AZ89+IF(AR89="",0,BB89-BA89)+IF(AS89="",0,BD89-BC89))</f>
        <v/>
      </c>
      <c r="AC89" s="26" t="str">
        <f aca="false">IF(AO89=0,"",AB89*HoursPerDay)</f>
        <v/>
      </c>
      <c r="AD89" s="28" t="str">
        <f aca="false">IF(AO89=0,"",IF(OR(BF89=1,AY89="None"),"",EDATE($E89+AP89,BE89)))</f>
        <v/>
      </c>
      <c r="AE89" s="26" t="str">
        <f aca="false">IF(AD89="","",IF(AY89="PT",1,IF(BE89&lt;FT_Y5,1,IF(MOD(BE89-FT_Y5,12)=0,FT_AnnivDays,1))))</f>
        <v/>
      </c>
      <c r="AF89" s="27" t="str">
        <f aca="false">IF(AO89=0,"",IF(NOT(EH_Ready),"Map headers",IF(IF(MatchMode="Employee ID",COUNTIFS(INDEX(EH_Data,0,EH_ColID),$A89,INDEX(EH_Data,0,EH_ColCat),BonusCat),COUNTIFS(INDEX(EH_Data,0,EH_ColFirst),$B89,INDEX(EH_Data,0,EH_ColSur),$C89,INDEX(EH_Data,0,EH_ColCat),BonusCat))&gt;0,"Yes","No")))</f>
        <v/>
      </c>
      <c r="AG89" s="26" t="str">
        <f aca="false">IF(AO89=0,"",IF(NOT(EH_Ready),"",IF(MatchMode="Employee ID",SUMIFS(INDEX(EH_Data,0,EH_ColBal),INDEX(EH_Data,0,EH_ColID),$A89,INDEX(EH_Data,0,EH_ColCat),BonusCat),SUMIFS(INDEX(EH_Data,0,EH_ColBal),INDEX(EH_Data,0,EH_ColFirst),$B89,INDEX(EH_Data,0,EH_ColSur),$C89,INDEX(EH_Data,0,EH_ColCat),BonusCat))/IF(EHUnit="Hours",HoursPerDay,1)))</f>
        <v/>
      </c>
      <c r="AH89" s="26" t="str">
        <f aca="false">IF(AO89=0,"",IF(NOT(TK_Ready),0,IF(MatchMode="Employee ID",SUMIFS(INDEX(TK_Data,0,TK_ColAmt),INDEX(TK_Data,0,TK_ColID),$A89,INDEX(TK_Data,0,TK_ColCat),BonusCat),SUMIFS(INDEX(TK_Data,0,TK_ColAmt),INDEX(TK_Data,0,TK_ColFirst),$B89,INDEX(TK_Data,0,TK_ColSur),$C89,INDEX(TK_Data,0,TK_ColCat),BonusCat))/IF(TKUnit="Hours",HoursPerDay,1)))</f>
        <v/>
      </c>
      <c r="AI89" s="26" t="str">
        <f aca="false">IF(AO89=0,"",N(AG89)+N(AH89))</f>
        <v/>
      </c>
      <c r="AJ89" s="29" t="str">
        <f aca="false">IF(AO89=0,"",IF(NOT(AND(EH_Ready,EH_ValReady)),"",IF(MatchMode="Employee ID",SUMIFS(INDEX(EH_Data,0,EH_ColVal),INDEX(EH_Data,0,EH_ColID),$A89,INDEX(EH_Data,0,EH_ColCat),BonusCat),SUMIFS(INDEX(EH_Data,0,EH_ColVal),INDEX(EH_Data,0,EH_ColFirst),$B89,INDEX(EH_Data,0,EH_ColSur),$C89,INDEX(EH_Data,0,EH_ColCat),BonusCat))))</f>
        <v/>
      </c>
      <c r="AK89" s="26" t="str">
        <f aca="false">IF(AO89=0,"",IF(OR(NOT(EH_Ready),BF89=1),"",AB89-AI89))</f>
        <v/>
      </c>
      <c r="AL89" s="26" t="str">
        <f aca="false">IF(AK89="","",AK89*HoursPerDay)</f>
        <v/>
      </c>
      <c r="AM89" s="27" t="str">
        <f aca="false">IF(AO89=0,"",IF(BF89=1,IF(N(AG89)&gt;0,"TERMINATED - forfeit "&amp;TEXT(AG89,"0.##")&amp;" days still in EH","Terminated - nothing in EH"),IF(NOT(EH_Ready),"Paste EH export and map headers on Settings",IF(AND(AB89&gt;0,AF89="No"),"SET UP in EH - add "&amp;TEXT(AB89,"0.##")&amp;" day(s) ("&amp;TEXT(AC89,"0.##")&amp;" hrs)",IF(AK89&gt;0,"ADD "&amp;TEXT(AK89,"0.##")&amp;" day(s) ("&amp;TEXT(AL89,"0.##")&amp;" hrs) in EH",IF(AK89&lt;0,"CHECK - EH shows "&amp;TEXT(-AK89,"0.##")&amp;" days more than policy",IF(AB89&gt;0,"OK - up to date",IF(AY89="None","No action - not eligible","No action - not yet qualified"))))))))</f>
        <v/>
      </c>
      <c r="AN89" s="27" t="str">
        <f aca="false">IF(AO89=0,"",TRIM(IF(AND($K89&lt;&gt;"",$H89=""),"Change 2 entered without Change 1. ","")&amp;IF(AND($K89&lt;&gt;"",$H89&lt;&gt;"",$K89&lt;=$H89),"Change 2 date not after Change 1. ","")&amp;IF(AND($N89&lt;&gt;"",$O89&lt;&gt;"",$O89&lt;$N89),"Leave To is before Leave From. ","")&amp;IF(AND($N89&lt;&gt;"",$O89=""),"Leave From entered without Leave To. ","")&amp;IF(AND(IFERROR(VLOOKUP(T89,TypeTable,2,0),"None")="PT",U89=""),"Part-time with no hours entered. ","")&amp;IF(AND($H89&lt;&gt;"",$H89&gt;AsOfDate,AD89&lt;&gt;"",$H89&lt;=AD89),"Status change lands before next accrual - review. ","")&amp;IF(AND($Q89&lt;&gt;"",$Q89&lt;$E89),"Termination before commencement. ","")))</f>
        <v/>
      </c>
      <c r="AO89" s="11" t="n">
        <f aca="false">IF(LEN($A89&amp;$B89&amp;$C89)=0,0,IF($E89="",0,1))</f>
        <v>0</v>
      </c>
      <c r="AP89" s="11" t="str">
        <f aca="false">IF(AO89=0,"",(IF(OR($N89="",$O89=""),0,MAX(0,MIN(X89,$O89)-MAX($N89,$E89)+1))+N($P89)))</f>
        <v/>
      </c>
      <c r="AQ89" s="11" t="str">
        <f aca="false">IF(AO89=0,"",IF(X89&lt;($E89+(IF(OR($N89="",$O89=""),0,MAX(0,MIN(X89,$O89)-MAX($N89,$E89)+1))+N($P89))),-1,12*(YEAR(X89)-YEAR(($E89+(IF(OR($N89="",$O89=""),0,MAX(0,MIN(X89,$O89)-MAX($N89,$E89)+1))+N($P89)))))+MONTH(X89)-MONTH(($E89+(IF(OR($N89="",$O89=""),0,MAX(0,MIN(X89,$O89)-MAX($N89,$E89)+1))+N($P89))))-IF(DAY(X89)&lt;MIN(DAY(($E89+(IF(OR($N89="",$O89=""),0,MAX(0,MIN(X89,$O89)-MAX($N89,$E89)+1))+N($P89)))),DAY(EOMONTH(X89,0))),1,0)))</f>
        <v/>
      </c>
      <c r="AR89" s="28" t="str">
        <f aca="false">IF(AO89=0,"",IF($H89="","",IF($H89&gt;X89,"",$H89)))</f>
        <v/>
      </c>
      <c r="AS89" s="28" t="str">
        <f aca="false">IF(AO89=0,"",IF(AR89="","",IF($K89="","",IF($K89&gt;X89,"",$K89))))</f>
        <v/>
      </c>
      <c r="AT89" s="11" t="str">
        <f aca="false">IF(AO89=0,"",IF(AR89="",AQ89,IF((AR89-1)&lt;($E89+(IF(OR($N89="",$O89=""),0,MAX(0,MIN((AR89-1),$O89)-MAX($N89,$E89)+1))+N($P89))),-1,12*(YEAR((AR89-1))-YEAR(($E89+(IF(OR($N89="",$O89=""),0,MAX(0,MIN((AR89-1),$O89)-MAX($N89,$E89)+1))+N($P89)))))+MONTH((AR89-1))-MONTH(($E89+(IF(OR($N89="",$O89=""),0,MAX(0,MIN((AR89-1),$O89)-MAX($N89,$E89)+1))+N($P89))))-IF(DAY((AR89-1))&lt;MIN(DAY(($E89+(IF(OR($N89="",$O89=""),0,MAX(0,MIN((AR89-1),$O89)-MAX($N89,$E89)+1))+N($P89)))),DAY(EOMONTH((AR89-1),0))),1,0))))</f>
        <v/>
      </c>
      <c r="AU89" s="11" t="str">
        <f aca="false">IF(AO89=0,"",IF(AS89="",AQ89,IF((AS89-1)&lt;($E89+(IF(OR($N89="",$O89=""),0,MAX(0,MIN((AS89-1),$O89)-MAX($N89,$E89)+1))+N($P89))),-1,12*(YEAR((AS89-1))-YEAR(($E89+(IF(OR($N89="",$O89=""),0,MAX(0,MIN((AS89-1),$O89)-MAX($N89,$E89)+1))+N($P89)))))+MONTH((AS89-1))-MONTH(($E89+(IF(OR($N89="",$O89=""),0,MAX(0,MIN((AS89-1),$O89)-MAX($N89,$E89)+1))+N($P89))))-IF(DAY((AS89-1))&lt;MIN(DAY(($E89+(IF(OR($N89="",$O89=""),0,MAX(0,MIN((AS89-1),$O89)-MAX($N89,$E89)+1))+N($P89)))),DAY(EOMONTH((AS89-1),0))),1,0))))</f>
        <v/>
      </c>
      <c r="AV89" s="11" t="str">
        <f aca="false">IF(AO89=0,"",IF($F89="","None",IF(IFERROR(VLOOKUP($F89,TypeTable,2,0),"None")="PT",IF(N($G89)&gt;=PT_MinHours,"PT","None"),IFERROR(VLOOKUP($F89,TypeTable,2,0),"None"))))</f>
        <v/>
      </c>
      <c r="AW89" s="11" t="str">
        <f aca="false">IF(AO89=0,"",IF($I89="","None",IF(IFERROR(VLOOKUP($I89,TypeTable,2,0),"None")="PT",IF(N($J89)&gt;=PT_MinHours,"PT","None"),IFERROR(VLOOKUP($I89,TypeTable,2,0),"None"))))</f>
        <v/>
      </c>
      <c r="AX89" s="11" t="str">
        <f aca="false">IF(AO89=0,"",IF($L89="","None",IF(IFERROR(VLOOKUP($L89,TypeTable,2,0),"None")="PT",IF(N($M89)&gt;=PT_MinHours,"PT","None"),IFERROR(VLOOKUP($L89,TypeTable,2,0),"None"))))</f>
        <v/>
      </c>
      <c r="AY89" s="11" t="str">
        <f aca="false">IF(AO89=0,"",IF(AS89&lt;&gt;"",AX89,IF(AR89&lt;&gt;"",AW89,AV89)))</f>
        <v/>
      </c>
      <c r="AZ89" s="11" t="str">
        <f aca="false">IF(AO89=0,"",IF(AV89="FT",IF(AT89&lt;FT_First,0,IF(AT89&lt;FT_Y5,1+INT((AT89-FT_First)/FT_Int1),FT_PreY5+FT_PerYear*INT((AT89-FT_Y5)/12)+FT_AnnivDays+INT(MOD(AT89-FT_Y5,12)/FT_Int2))),IF(AV89="PT",IF(AT89&lt;PT_First,0,1+INT((AT89-PT_First)/PT_Int)),0)))</f>
        <v/>
      </c>
      <c r="BA89" s="11" t="str">
        <f aca="false">IF(AO89=0,"",IF(AW89="FT",IF(AT89&lt;FT_First,0,IF(AT89&lt;FT_Y5,1+INT((AT89-FT_First)/FT_Int1),FT_PreY5+FT_PerYear*INT((AT89-FT_Y5)/12)+FT_AnnivDays+INT(MOD(AT89-FT_Y5,12)/FT_Int2))),IF(AW89="PT",IF(AT89&lt;PT_First,0,1+INT((AT89-PT_First)/PT_Int)),0)))</f>
        <v/>
      </c>
      <c r="BB89" s="11" t="str">
        <f aca="false">IF(AO89=0,"",IF(AW89="FT",IF(AU89&lt;FT_First,0,IF(AU89&lt;FT_Y5,1+INT((AU89-FT_First)/FT_Int1),FT_PreY5+FT_PerYear*INT((AU89-FT_Y5)/12)+FT_AnnivDays+INT(MOD(AU89-FT_Y5,12)/FT_Int2))),IF(AW89="PT",IF(AU89&lt;PT_First,0,1+INT((AU89-PT_First)/PT_Int)),0)))</f>
        <v/>
      </c>
      <c r="BC89" s="11" t="str">
        <f aca="false">IF(AO89=0,"",IF(AX89="FT",IF(AU89&lt;FT_First,0,IF(AU89&lt;FT_Y5,1+INT((AU89-FT_First)/FT_Int1),FT_PreY5+FT_PerYear*INT((AU89-FT_Y5)/12)+FT_AnnivDays+INT(MOD(AU89-FT_Y5,12)/FT_Int2))),IF(AX89="PT",IF(AU89&lt;PT_First,0,1+INT((AU89-PT_First)/PT_Int)),0)))</f>
        <v/>
      </c>
      <c r="BD89" s="11" t="str">
        <f aca="false">IF(AO89=0,"",IF(AX89="FT",IF(AQ89&lt;FT_First,0,IF(AQ89&lt;FT_Y5,1+INT((AQ89-FT_First)/FT_Int1),FT_PreY5+FT_PerYear*INT((AQ89-FT_Y5)/12)+FT_AnnivDays+INT(MOD(AQ89-FT_Y5,12)/FT_Int2))),IF(AX89="PT",IF(AQ89&lt;PT_First,0,1+INT((AQ89-PT_First)/PT_Int)),0)))</f>
        <v/>
      </c>
      <c r="BE89" s="11" t="str">
        <f aca="false">IF(AO89=0,"",IF(AY89="FT",IF(AQ89&lt;FT_First,FT_First,IF(AQ89&lt;FT_Y5,MIN(FT_Y5,FT_First+FT_Int1*(INT((AQ89-FT_First)/FT_Int1)+1)),FT_Y5+12*INT((AQ89-FT_Y5)/12)+FT_Int2*(INT(MOD(AQ89-FT_Y5,12)/FT_Int2)+1))),IF(AY89="PT",IF(AQ89&lt;PT_First,PT_First,PT_First+PT_Int*(INT((AQ89-PT_First)/PT_Int)+1)),"")))</f>
        <v/>
      </c>
      <c r="BF89" s="11" t="n">
        <f aca="false">IF(AO89=0,0,IF(AND($Q89&lt;&gt;"",$Q89&lt;=AsOfDate),1,0))</f>
        <v>0</v>
      </c>
      <c r="BG89" s="11" t="str">
        <f aca="false">IF(AND(AO89=1,BF89=0,EH_Ready,N(AB89)&gt;0,N(AI89)=0),COUNT($BG$5:BG88)+1,"")</f>
        <v/>
      </c>
      <c r="BH89" s="11" t="str">
        <f aca="false">IF(AND(AO89=1,BF89=0,EH_Ready,N(AB89)&gt;0,N(AI89)&gt;0,N(AK89)&gt;0),COUNT($BH$5:BH88)+1,"")</f>
        <v/>
      </c>
      <c r="BI89" s="11" t="str">
        <f aca="false">IF(AND(AO89=1,OR(LEFT(AM89,3)="ADD",LEFT(AM89,3)="SET",LEFT(AM89,5)="CHECK",LEFT(AM89,10)="TERMINATED")),COUNT($BI$5:BI88)+1,"")</f>
        <v/>
      </c>
      <c r="BJ89" s="11" t="str">
        <f aca="false">IF(AO89=0,"",$A89&amp;" - "&amp;$B89&amp;" "&amp;$C89)</f>
        <v/>
      </c>
    </row>
    <row r="90" customFormat="false" ht="15" hidden="false" customHeight="false" outlineLevel="0" collapsed="false">
      <c r="A90" s="10"/>
      <c r="B90" s="10"/>
      <c r="C90" s="10"/>
      <c r="D90" s="10"/>
      <c r="E90" s="9"/>
      <c r="F90" s="10"/>
      <c r="G90" s="30"/>
      <c r="H90" s="9"/>
      <c r="I90" s="10"/>
      <c r="J90" s="30"/>
      <c r="K90" s="9"/>
      <c r="L90" s="10"/>
      <c r="M90" s="30"/>
      <c r="N90" s="9"/>
      <c r="O90" s="9"/>
      <c r="P90" s="30"/>
      <c r="Q90" s="9"/>
      <c r="R90" s="10"/>
      <c r="S90" s="11" t="str">
        <f aca="false">IF(AO90=0,"",IF($H90="","",$F90&amp;" -&gt; "&amp;$I90&amp;IF($I90="Part-Time"," ("&amp;N($J90)&amp;" hrs)","")&amp;" on "&amp;TEXT($H90,"dd/mm/yyyy")&amp;IF($H90&gt;AsOfDate," (FUTURE)","")&amp;IF($K90="","","; "&amp;$I90&amp;" -&gt; "&amp;$L90&amp;IF($L90="Part-Time"," ("&amp;N($M90)&amp;" hrs)","")&amp;" on "&amp;TEXT($K90,"dd/mm/yyyy")&amp;IF($K90&gt;AsOfDate," (FUTURE)",""))))</f>
        <v/>
      </c>
      <c r="T90" s="11" t="str">
        <f aca="false">IF(AO90=0,"",IF(AS90&lt;&gt;"",$L90,IF(AR90&lt;&gt;"",$I90,$F90)))</f>
        <v/>
      </c>
      <c r="U90" s="26" t="str">
        <f aca="false">IF(AO90=0,"",IF(AS90&lt;&gt;"",$M90,IF(AR90&lt;&gt;"",$J90,$G90)))</f>
        <v/>
      </c>
      <c r="V90" s="11" t="str">
        <f aca="false">IF(AO90=0,"",IF(AY90="FT","Full-Time",IF(AY90="PT","Part-Time","Not eligible")))</f>
        <v/>
      </c>
      <c r="W90" s="27" t="str">
        <f aca="false">IF(AO90=0,"",IF(AR90="",IF(AND($H90&lt;&gt;"",$H90&gt;AsOfDate),"Future change - not yet applied",""),IF(AND(AV90=AY90,OR(AS90="",AW90=AV90)),"Type changed - same accrual pathway",IF(AY90="None","STOPPED accruing from "&amp;TEXT(IF(AS90&lt;&gt;"",AS90,AR90),"dd/mm/yyyy"),IF(AV90="None","STARTED qualifying from "&amp;TEXT(IF(AS90&lt;&gt;"",AS90,AR90),"dd/mm/yyyy"),"Pathway changed "&amp;AV90&amp;" -&gt; "&amp;AW90&amp;IF(AS90&lt;&gt;""," -&gt; "&amp;AX90,"")&amp;" from "&amp;TEXT(IF(AS90&lt;&gt;"",AS90,AR90),"dd/mm/yyyy"))))))</f>
        <v/>
      </c>
      <c r="X90" s="28" t="str">
        <f aca="false">IF(AO90=0,"",IF($Q90="",AsOfDate,MIN(AsOfDate,$Q90)))</f>
        <v/>
      </c>
      <c r="Y90" s="26" t="str">
        <f aca="false">IF(AO90=0,"",MAX(0,AQ90))</f>
        <v/>
      </c>
      <c r="Z90" s="11" t="str">
        <f aca="false">IF(AO90=0,"",IF(AQ90&lt;0,"Not started",INT(AQ90/12)&amp;"y "&amp;MOD(AQ90,12)&amp;"m"))</f>
        <v/>
      </c>
      <c r="AA90" s="27" t="str">
        <f aca="false">IF(AO90=0,"",IF(BF90=1,"Terminated - balance forfeited",IF(AY90="None",IF(AB90&gt;0,"No longer accruing - "&amp;T90,"Not eligible - "&amp;T90&amp;IF(AND(IFERROR(VLOOKUP(T90,TypeTable,2,0),"None")="PT",N(U90)&lt;PT_MinHours)," (under "&amp;PT_MinHours&amp;" hrs)","")),IF(AB90&gt;0,"Yes - accruing","Not yet - qualifies "&amp;TEXT(AD90,"dd/mm/yyyy")))))</f>
        <v/>
      </c>
      <c r="AB90" s="26" t="str">
        <f aca="false">IF(AO90=0,"",AZ90+IF(AR90="",0,BB90-BA90)+IF(AS90="",0,BD90-BC90))</f>
        <v/>
      </c>
      <c r="AC90" s="26" t="str">
        <f aca="false">IF(AO90=0,"",AB90*HoursPerDay)</f>
        <v/>
      </c>
      <c r="AD90" s="28" t="str">
        <f aca="false">IF(AO90=0,"",IF(OR(BF90=1,AY90="None"),"",EDATE($E90+AP90,BE90)))</f>
        <v/>
      </c>
      <c r="AE90" s="26" t="str">
        <f aca="false">IF(AD90="","",IF(AY90="PT",1,IF(BE90&lt;FT_Y5,1,IF(MOD(BE90-FT_Y5,12)=0,FT_AnnivDays,1))))</f>
        <v/>
      </c>
      <c r="AF90" s="27" t="str">
        <f aca="false">IF(AO90=0,"",IF(NOT(EH_Ready),"Map headers",IF(IF(MatchMode="Employee ID",COUNTIFS(INDEX(EH_Data,0,EH_ColID),$A90,INDEX(EH_Data,0,EH_ColCat),BonusCat),COUNTIFS(INDEX(EH_Data,0,EH_ColFirst),$B90,INDEX(EH_Data,0,EH_ColSur),$C90,INDEX(EH_Data,0,EH_ColCat),BonusCat))&gt;0,"Yes","No")))</f>
        <v/>
      </c>
      <c r="AG90" s="26" t="str">
        <f aca="false">IF(AO90=0,"",IF(NOT(EH_Ready),"",IF(MatchMode="Employee ID",SUMIFS(INDEX(EH_Data,0,EH_ColBal),INDEX(EH_Data,0,EH_ColID),$A90,INDEX(EH_Data,0,EH_ColCat),BonusCat),SUMIFS(INDEX(EH_Data,0,EH_ColBal),INDEX(EH_Data,0,EH_ColFirst),$B90,INDEX(EH_Data,0,EH_ColSur),$C90,INDEX(EH_Data,0,EH_ColCat),BonusCat))/IF(EHUnit="Hours",HoursPerDay,1)))</f>
        <v/>
      </c>
      <c r="AH90" s="26" t="str">
        <f aca="false">IF(AO90=0,"",IF(NOT(TK_Ready),0,IF(MatchMode="Employee ID",SUMIFS(INDEX(TK_Data,0,TK_ColAmt),INDEX(TK_Data,0,TK_ColID),$A90,INDEX(TK_Data,0,TK_ColCat),BonusCat),SUMIFS(INDEX(TK_Data,0,TK_ColAmt),INDEX(TK_Data,0,TK_ColFirst),$B90,INDEX(TK_Data,0,TK_ColSur),$C90,INDEX(TK_Data,0,TK_ColCat),BonusCat))/IF(TKUnit="Hours",HoursPerDay,1)))</f>
        <v/>
      </c>
      <c r="AI90" s="26" t="str">
        <f aca="false">IF(AO90=0,"",N(AG90)+N(AH90))</f>
        <v/>
      </c>
      <c r="AJ90" s="29" t="str">
        <f aca="false">IF(AO90=0,"",IF(NOT(AND(EH_Ready,EH_ValReady)),"",IF(MatchMode="Employee ID",SUMIFS(INDEX(EH_Data,0,EH_ColVal),INDEX(EH_Data,0,EH_ColID),$A90,INDEX(EH_Data,0,EH_ColCat),BonusCat),SUMIFS(INDEX(EH_Data,0,EH_ColVal),INDEX(EH_Data,0,EH_ColFirst),$B90,INDEX(EH_Data,0,EH_ColSur),$C90,INDEX(EH_Data,0,EH_ColCat),BonusCat))))</f>
        <v/>
      </c>
      <c r="AK90" s="26" t="str">
        <f aca="false">IF(AO90=0,"",IF(OR(NOT(EH_Ready),BF90=1),"",AB90-AI90))</f>
        <v/>
      </c>
      <c r="AL90" s="26" t="str">
        <f aca="false">IF(AK90="","",AK90*HoursPerDay)</f>
        <v/>
      </c>
      <c r="AM90" s="27" t="str">
        <f aca="false">IF(AO90=0,"",IF(BF90=1,IF(N(AG90)&gt;0,"TERMINATED - forfeit "&amp;TEXT(AG90,"0.##")&amp;" days still in EH","Terminated - nothing in EH"),IF(NOT(EH_Ready),"Paste EH export and map headers on Settings",IF(AND(AB90&gt;0,AF90="No"),"SET UP in EH - add "&amp;TEXT(AB90,"0.##")&amp;" day(s) ("&amp;TEXT(AC90,"0.##")&amp;" hrs)",IF(AK90&gt;0,"ADD "&amp;TEXT(AK90,"0.##")&amp;" day(s) ("&amp;TEXT(AL90,"0.##")&amp;" hrs) in EH",IF(AK90&lt;0,"CHECK - EH shows "&amp;TEXT(-AK90,"0.##")&amp;" days more than policy",IF(AB90&gt;0,"OK - up to date",IF(AY90="None","No action - not eligible","No action - not yet qualified"))))))))</f>
        <v/>
      </c>
      <c r="AN90" s="27" t="str">
        <f aca="false">IF(AO90=0,"",TRIM(IF(AND($K90&lt;&gt;"",$H90=""),"Change 2 entered without Change 1. ","")&amp;IF(AND($K90&lt;&gt;"",$H90&lt;&gt;"",$K90&lt;=$H90),"Change 2 date not after Change 1. ","")&amp;IF(AND($N90&lt;&gt;"",$O90&lt;&gt;"",$O90&lt;$N90),"Leave To is before Leave From. ","")&amp;IF(AND($N90&lt;&gt;"",$O90=""),"Leave From entered without Leave To. ","")&amp;IF(AND(IFERROR(VLOOKUP(T90,TypeTable,2,0),"None")="PT",U90=""),"Part-time with no hours entered. ","")&amp;IF(AND($H90&lt;&gt;"",$H90&gt;AsOfDate,AD90&lt;&gt;"",$H90&lt;=AD90),"Status change lands before next accrual - review. ","")&amp;IF(AND($Q90&lt;&gt;"",$Q90&lt;$E90),"Termination before commencement. ","")))</f>
        <v/>
      </c>
      <c r="AO90" s="11" t="n">
        <f aca="false">IF(LEN($A90&amp;$B90&amp;$C90)=0,0,IF($E90="",0,1))</f>
        <v>0</v>
      </c>
      <c r="AP90" s="11" t="str">
        <f aca="false">IF(AO90=0,"",(IF(OR($N90="",$O90=""),0,MAX(0,MIN(X90,$O90)-MAX($N90,$E90)+1))+N($P90)))</f>
        <v/>
      </c>
      <c r="AQ90" s="11" t="str">
        <f aca="false">IF(AO90=0,"",IF(X90&lt;($E90+(IF(OR($N90="",$O90=""),0,MAX(0,MIN(X90,$O90)-MAX($N90,$E90)+1))+N($P90))),-1,12*(YEAR(X90)-YEAR(($E90+(IF(OR($N90="",$O90=""),0,MAX(0,MIN(X90,$O90)-MAX($N90,$E90)+1))+N($P90)))))+MONTH(X90)-MONTH(($E90+(IF(OR($N90="",$O90=""),0,MAX(0,MIN(X90,$O90)-MAX($N90,$E90)+1))+N($P90))))-IF(DAY(X90)&lt;MIN(DAY(($E90+(IF(OR($N90="",$O90=""),0,MAX(0,MIN(X90,$O90)-MAX($N90,$E90)+1))+N($P90)))),DAY(EOMONTH(X90,0))),1,0)))</f>
        <v/>
      </c>
      <c r="AR90" s="28" t="str">
        <f aca="false">IF(AO90=0,"",IF($H90="","",IF($H90&gt;X90,"",$H90)))</f>
        <v/>
      </c>
      <c r="AS90" s="28" t="str">
        <f aca="false">IF(AO90=0,"",IF(AR90="","",IF($K90="","",IF($K90&gt;X90,"",$K90))))</f>
        <v/>
      </c>
      <c r="AT90" s="11" t="str">
        <f aca="false">IF(AO90=0,"",IF(AR90="",AQ90,IF((AR90-1)&lt;($E90+(IF(OR($N90="",$O90=""),0,MAX(0,MIN((AR90-1),$O90)-MAX($N90,$E90)+1))+N($P90))),-1,12*(YEAR((AR90-1))-YEAR(($E90+(IF(OR($N90="",$O90=""),0,MAX(0,MIN((AR90-1),$O90)-MAX($N90,$E90)+1))+N($P90)))))+MONTH((AR90-1))-MONTH(($E90+(IF(OR($N90="",$O90=""),0,MAX(0,MIN((AR90-1),$O90)-MAX($N90,$E90)+1))+N($P90))))-IF(DAY((AR90-1))&lt;MIN(DAY(($E90+(IF(OR($N90="",$O90=""),0,MAX(0,MIN((AR90-1),$O90)-MAX($N90,$E90)+1))+N($P90)))),DAY(EOMONTH((AR90-1),0))),1,0))))</f>
        <v/>
      </c>
      <c r="AU90" s="11" t="str">
        <f aca="false">IF(AO90=0,"",IF(AS90="",AQ90,IF((AS90-1)&lt;($E90+(IF(OR($N90="",$O90=""),0,MAX(0,MIN((AS90-1),$O90)-MAX($N90,$E90)+1))+N($P90))),-1,12*(YEAR((AS90-1))-YEAR(($E90+(IF(OR($N90="",$O90=""),0,MAX(0,MIN((AS90-1),$O90)-MAX($N90,$E90)+1))+N($P90)))))+MONTH((AS90-1))-MONTH(($E90+(IF(OR($N90="",$O90=""),0,MAX(0,MIN((AS90-1),$O90)-MAX($N90,$E90)+1))+N($P90))))-IF(DAY((AS90-1))&lt;MIN(DAY(($E90+(IF(OR($N90="",$O90=""),0,MAX(0,MIN((AS90-1),$O90)-MAX($N90,$E90)+1))+N($P90)))),DAY(EOMONTH((AS90-1),0))),1,0))))</f>
        <v/>
      </c>
      <c r="AV90" s="11" t="str">
        <f aca="false">IF(AO90=0,"",IF($F90="","None",IF(IFERROR(VLOOKUP($F90,TypeTable,2,0),"None")="PT",IF(N($G90)&gt;=PT_MinHours,"PT","None"),IFERROR(VLOOKUP($F90,TypeTable,2,0),"None"))))</f>
        <v/>
      </c>
      <c r="AW90" s="11" t="str">
        <f aca="false">IF(AO90=0,"",IF($I90="","None",IF(IFERROR(VLOOKUP($I90,TypeTable,2,0),"None")="PT",IF(N($J90)&gt;=PT_MinHours,"PT","None"),IFERROR(VLOOKUP($I90,TypeTable,2,0),"None"))))</f>
        <v/>
      </c>
      <c r="AX90" s="11" t="str">
        <f aca="false">IF(AO90=0,"",IF($L90="","None",IF(IFERROR(VLOOKUP($L90,TypeTable,2,0),"None")="PT",IF(N($M90)&gt;=PT_MinHours,"PT","None"),IFERROR(VLOOKUP($L90,TypeTable,2,0),"None"))))</f>
        <v/>
      </c>
      <c r="AY90" s="11" t="str">
        <f aca="false">IF(AO90=0,"",IF(AS90&lt;&gt;"",AX90,IF(AR90&lt;&gt;"",AW90,AV90)))</f>
        <v/>
      </c>
      <c r="AZ90" s="11" t="str">
        <f aca="false">IF(AO90=0,"",IF(AV90="FT",IF(AT90&lt;FT_First,0,IF(AT90&lt;FT_Y5,1+INT((AT90-FT_First)/FT_Int1),FT_PreY5+FT_PerYear*INT((AT90-FT_Y5)/12)+FT_AnnivDays+INT(MOD(AT90-FT_Y5,12)/FT_Int2))),IF(AV90="PT",IF(AT90&lt;PT_First,0,1+INT((AT90-PT_First)/PT_Int)),0)))</f>
        <v/>
      </c>
      <c r="BA90" s="11" t="str">
        <f aca="false">IF(AO90=0,"",IF(AW90="FT",IF(AT90&lt;FT_First,0,IF(AT90&lt;FT_Y5,1+INT((AT90-FT_First)/FT_Int1),FT_PreY5+FT_PerYear*INT((AT90-FT_Y5)/12)+FT_AnnivDays+INT(MOD(AT90-FT_Y5,12)/FT_Int2))),IF(AW90="PT",IF(AT90&lt;PT_First,0,1+INT((AT90-PT_First)/PT_Int)),0)))</f>
        <v/>
      </c>
      <c r="BB90" s="11" t="str">
        <f aca="false">IF(AO90=0,"",IF(AW90="FT",IF(AU90&lt;FT_First,0,IF(AU90&lt;FT_Y5,1+INT((AU90-FT_First)/FT_Int1),FT_PreY5+FT_PerYear*INT((AU90-FT_Y5)/12)+FT_AnnivDays+INT(MOD(AU90-FT_Y5,12)/FT_Int2))),IF(AW90="PT",IF(AU90&lt;PT_First,0,1+INT((AU90-PT_First)/PT_Int)),0)))</f>
        <v/>
      </c>
      <c r="BC90" s="11" t="str">
        <f aca="false">IF(AO90=0,"",IF(AX90="FT",IF(AU90&lt;FT_First,0,IF(AU90&lt;FT_Y5,1+INT((AU90-FT_First)/FT_Int1),FT_PreY5+FT_PerYear*INT((AU90-FT_Y5)/12)+FT_AnnivDays+INT(MOD(AU90-FT_Y5,12)/FT_Int2))),IF(AX90="PT",IF(AU90&lt;PT_First,0,1+INT((AU90-PT_First)/PT_Int)),0)))</f>
        <v/>
      </c>
      <c r="BD90" s="11" t="str">
        <f aca="false">IF(AO90=0,"",IF(AX90="FT",IF(AQ90&lt;FT_First,0,IF(AQ90&lt;FT_Y5,1+INT((AQ90-FT_First)/FT_Int1),FT_PreY5+FT_PerYear*INT((AQ90-FT_Y5)/12)+FT_AnnivDays+INT(MOD(AQ90-FT_Y5,12)/FT_Int2))),IF(AX90="PT",IF(AQ90&lt;PT_First,0,1+INT((AQ90-PT_First)/PT_Int)),0)))</f>
        <v/>
      </c>
      <c r="BE90" s="11" t="str">
        <f aca="false">IF(AO90=0,"",IF(AY90="FT",IF(AQ90&lt;FT_First,FT_First,IF(AQ90&lt;FT_Y5,MIN(FT_Y5,FT_First+FT_Int1*(INT((AQ90-FT_First)/FT_Int1)+1)),FT_Y5+12*INT((AQ90-FT_Y5)/12)+FT_Int2*(INT(MOD(AQ90-FT_Y5,12)/FT_Int2)+1))),IF(AY90="PT",IF(AQ90&lt;PT_First,PT_First,PT_First+PT_Int*(INT((AQ90-PT_First)/PT_Int)+1)),"")))</f>
        <v/>
      </c>
      <c r="BF90" s="11" t="n">
        <f aca="false">IF(AO90=0,0,IF(AND($Q90&lt;&gt;"",$Q90&lt;=AsOfDate),1,0))</f>
        <v>0</v>
      </c>
      <c r="BG90" s="11" t="str">
        <f aca="false">IF(AND(AO90=1,BF90=0,EH_Ready,N(AB90)&gt;0,N(AI90)=0),COUNT($BG$5:BG89)+1,"")</f>
        <v/>
      </c>
      <c r="BH90" s="11" t="str">
        <f aca="false">IF(AND(AO90=1,BF90=0,EH_Ready,N(AB90)&gt;0,N(AI90)&gt;0,N(AK90)&gt;0),COUNT($BH$5:BH89)+1,"")</f>
        <v/>
      </c>
      <c r="BI90" s="11" t="str">
        <f aca="false">IF(AND(AO90=1,OR(LEFT(AM90,3)="ADD",LEFT(AM90,3)="SET",LEFT(AM90,5)="CHECK",LEFT(AM90,10)="TERMINATED")),COUNT($BI$5:BI89)+1,"")</f>
        <v/>
      </c>
      <c r="BJ90" s="11" t="str">
        <f aca="false">IF(AO90=0,"",$A90&amp;" - "&amp;$B90&amp;" "&amp;$C90)</f>
        <v/>
      </c>
    </row>
    <row r="91" customFormat="false" ht="15" hidden="false" customHeight="false" outlineLevel="0" collapsed="false">
      <c r="A91" s="10"/>
      <c r="B91" s="10"/>
      <c r="C91" s="10"/>
      <c r="D91" s="10"/>
      <c r="E91" s="9"/>
      <c r="F91" s="10"/>
      <c r="G91" s="30"/>
      <c r="H91" s="9"/>
      <c r="I91" s="10"/>
      <c r="J91" s="30"/>
      <c r="K91" s="9"/>
      <c r="L91" s="10"/>
      <c r="M91" s="30"/>
      <c r="N91" s="9"/>
      <c r="O91" s="9"/>
      <c r="P91" s="30"/>
      <c r="Q91" s="9"/>
      <c r="R91" s="10"/>
      <c r="S91" s="11" t="str">
        <f aca="false">IF(AO91=0,"",IF($H91="","",$F91&amp;" -&gt; "&amp;$I91&amp;IF($I91="Part-Time"," ("&amp;N($J91)&amp;" hrs)","")&amp;" on "&amp;TEXT($H91,"dd/mm/yyyy")&amp;IF($H91&gt;AsOfDate," (FUTURE)","")&amp;IF($K91="","","; "&amp;$I91&amp;" -&gt; "&amp;$L91&amp;IF($L91="Part-Time"," ("&amp;N($M91)&amp;" hrs)","")&amp;" on "&amp;TEXT($K91,"dd/mm/yyyy")&amp;IF($K91&gt;AsOfDate," (FUTURE)",""))))</f>
        <v/>
      </c>
      <c r="T91" s="11" t="str">
        <f aca="false">IF(AO91=0,"",IF(AS91&lt;&gt;"",$L91,IF(AR91&lt;&gt;"",$I91,$F91)))</f>
        <v/>
      </c>
      <c r="U91" s="26" t="str">
        <f aca="false">IF(AO91=0,"",IF(AS91&lt;&gt;"",$M91,IF(AR91&lt;&gt;"",$J91,$G91)))</f>
        <v/>
      </c>
      <c r="V91" s="11" t="str">
        <f aca="false">IF(AO91=0,"",IF(AY91="FT","Full-Time",IF(AY91="PT","Part-Time","Not eligible")))</f>
        <v/>
      </c>
      <c r="W91" s="27" t="str">
        <f aca="false">IF(AO91=0,"",IF(AR91="",IF(AND($H91&lt;&gt;"",$H91&gt;AsOfDate),"Future change - not yet applied",""),IF(AND(AV91=AY91,OR(AS91="",AW91=AV91)),"Type changed - same accrual pathway",IF(AY91="None","STOPPED accruing from "&amp;TEXT(IF(AS91&lt;&gt;"",AS91,AR91),"dd/mm/yyyy"),IF(AV91="None","STARTED qualifying from "&amp;TEXT(IF(AS91&lt;&gt;"",AS91,AR91),"dd/mm/yyyy"),"Pathway changed "&amp;AV91&amp;" -&gt; "&amp;AW91&amp;IF(AS91&lt;&gt;""," -&gt; "&amp;AX91,"")&amp;" from "&amp;TEXT(IF(AS91&lt;&gt;"",AS91,AR91),"dd/mm/yyyy"))))))</f>
        <v/>
      </c>
      <c r="X91" s="28" t="str">
        <f aca="false">IF(AO91=0,"",IF($Q91="",AsOfDate,MIN(AsOfDate,$Q91)))</f>
        <v/>
      </c>
      <c r="Y91" s="26" t="str">
        <f aca="false">IF(AO91=0,"",MAX(0,AQ91))</f>
        <v/>
      </c>
      <c r="Z91" s="11" t="str">
        <f aca="false">IF(AO91=0,"",IF(AQ91&lt;0,"Not started",INT(AQ91/12)&amp;"y "&amp;MOD(AQ91,12)&amp;"m"))</f>
        <v/>
      </c>
      <c r="AA91" s="27" t="str">
        <f aca="false">IF(AO91=0,"",IF(BF91=1,"Terminated - balance forfeited",IF(AY91="None",IF(AB91&gt;0,"No longer accruing - "&amp;T91,"Not eligible - "&amp;T91&amp;IF(AND(IFERROR(VLOOKUP(T91,TypeTable,2,0),"None")="PT",N(U91)&lt;PT_MinHours)," (under "&amp;PT_MinHours&amp;" hrs)","")),IF(AB91&gt;0,"Yes - accruing","Not yet - qualifies "&amp;TEXT(AD91,"dd/mm/yyyy")))))</f>
        <v/>
      </c>
      <c r="AB91" s="26" t="str">
        <f aca="false">IF(AO91=0,"",AZ91+IF(AR91="",0,BB91-BA91)+IF(AS91="",0,BD91-BC91))</f>
        <v/>
      </c>
      <c r="AC91" s="26" t="str">
        <f aca="false">IF(AO91=0,"",AB91*HoursPerDay)</f>
        <v/>
      </c>
      <c r="AD91" s="28" t="str">
        <f aca="false">IF(AO91=0,"",IF(OR(BF91=1,AY91="None"),"",EDATE($E91+AP91,BE91)))</f>
        <v/>
      </c>
      <c r="AE91" s="26" t="str">
        <f aca="false">IF(AD91="","",IF(AY91="PT",1,IF(BE91&lt;FT_Y5,1,IF(MOD(BE91-FT_Y5,12)=0,FT_AnnivDays,1))))</f>
        <v/>
      </c>
      <c r="AF91" s="27" t="str">
        <f aca="false">IF(AO91=0,"",IF(NOT(EH_Ready),"Map headers",IF(IF(MatchMode="Employee ID",COUNTIFS(INDEX(EH_Data,0,EH_ColID),$A91,INDEX(EH_Data,0,EH_ColCat),BonusCat),COUNTIFS(INDEX(EH_Data,0,EH_ColFirst),$B91,INDEX(EH_Data,0,EH_ColSur),$C91,INDEX(EH_Data,0,EH_ColCat),BonusCat))&gt;0,"Yes","No")))</f>
        <v/>
      </c>
      <c r="AG91" s="26" t="str">
        <f aca="false">IF(AO91=0,"",IF(NOT(EH_Ready),"",IF(MatchMode="Employee ID",SUMIFS(INDEX(EH_Data,0,EH_ColBal),INDEX(EH_Data,0,EH_ColID),$A91,INDEX(EH_Data,0,EH_ColCat),BonusCat),SUMIFS(INDEX(EH_Data,0,EH_ColBal),INDEX(EH_Data,0,EH_ColFirst),$B91,INDEX(EH_Data,0,EH_ColSur),$C91,INDEX(EH_Data,0,EH_ColCat),BonusCat))/IF(EHUnit="Hours",HoursPerDay,1)))</f>
        <v/>
      </c>
      <c r="AH91" s="26" t="str">
        <f aca="false">IF(AO91=0,"",IF(NOT(TK_Ready),0,IF(MatchMode="Employee ID",SUMIFS(INDEX(TK_Data,0,TK_ColAmt),INDEX(TK_Data,0,TK_ColID),$A91,INDEX(TK_Data,0,TK_ColCat),BonusCat),SUMIFS(INDEX(TK_Data,0,TK_ColAmt),INDEX(TK_Data,0,TK_ColFirst),$B91,INDEX(TK_Data,0,TK_ColSur),$C91,INDEX(TK_Data,0,TK_ColCat),BonusCat))/IF(TKUnit="Hours",HoursPerDay,1)))</f>
        <v/>
      </c>
      <c r="AI91" s="26" t="str">
        <f aca="false">IF(AO91=0,"",N(AG91)+N(AH91))</f>
        <v/>
      </c>
      <c r="AJ91" s="29" t="str">
        <f aca="false">IF(AO91=0,"",IF(NOT(AND(EH_Ready,EH_ValReady)),"",IF(MatchMode="Employee ID",SUMIFS(INDEX(EH_Data,0,EH_ColVal),INDEX(EH_Data,0,EH_ColID),$A91,INDEX(EH_Data,0,EH_ColCat),BonusCat),SUMIFS(INDEX(EH_Data,0,EH_ColVal),INDEX(EH_Data,0,EH_ColFirst),$B91,INDEX(EH_Data,0,EH_ColSur),$C91,INDEX(EH_Data,0,EH_ColCat),BonusCat))))</f>
        <v/>
      </c>
      <c r="AK91" s="26" t="str">
        <f aca="false">IF(AO91=0,"",IF(OR(NOT(EH_Ready),BF91=1),"",AB91-AI91))</f>
        <v/>
      </c>
      <c r="AL91" s="26" t="str">
        <f aca="false">IF(AK91="","",AK91*HoursPerDay)</f>
        <v/>
      </c>
      <c r="AM91" s="27" t="str">
        <f aca="false">IF(AO91=0,"",IF(BF91=1,IF(N(AG91)&gt;0,"TERMINATED - forfeit "&amp;TEXT(AG91,"0.##")&amp;" days still in EH","Terminated - nothing in EH"),IF(NOT(EH_Ready),"Paste EH export and map headers on Settings",IF(AND(AB91&gt;0,AF91="No"),"SET UP in EH - add "&amp;TEXT(AB91,"0.##")&amp;" day(s) ("&amp;TEXT(AC91,"0.##")&amp;" hrs)",IF(AK91&gt;0,"ADD "&amp;TEXT(AK91,"0.##")&amp;" day(s) ("&amp;TEXT(AL91,"0.##")&amp;" hrs) in EH",IF(AK91&lt;0,"CHECK - EH shows "&amp;TEXT(-AK91,"0.##")&amp;" days more than policy",IF(AB91&gt;0,"OK - up to date",IF(AY91="None","No action - not eligible","No action - not yet qualified"))))))))</f>
        <v/>
      </c>
      <c r="AN91" s="27" t="str">
        <f aca="false">IF(AO91=0,"",TRIM(IF(AND($K91&lt;&gt;"",$H91=""),"Change 2 entered without Change 1. ","")&amp;IF(AND($K91&lt;&gt;"",$H91&lt;&gt;"",$K91&lt;=$H91),"Change 2 date not after Change 1. ","")&amp;IF(AND($N91&lt;&gt;"",$O91&lt;&gt;"",$O91&lt;$N91),"Leave To is before Leave From. ","")&amp;IF(AND($N91&lt;&gt;"",$O91=""),"Leave From entered without Leave To. ","")&amp;IF(AND(IFERROR(VLOOKUP(T91,TypeTable,2,0),"None")="PT",U91=""),"Part-time with no hours entered. ","")&amp;IF(AND($H91&lt;&gt;"",$H91&gt;AsOfDate,AD91&lt;&gt;"",$H91&lt;=AD91),"Status change lands before next accrual - review. ","")&amp;IF(AND($Q91&lt;&gt;"",$Q91&lt;$E91),"Termination before commencement. ","")))</f>
        <v/>
      </c>
      <c r="AO91" s="11" t="n">
        <f aca="false">IF(LEN($A91&amp;$B91&amp;$C91)=0,0,IF($E91="",0,1))</f>
        <v>0</v>
      </c>
      <c r="AP91" s="11" t="str">
        <f aca="false">IF(AO91=0,"",(IF(OR($N91="",$O91=""),0,MAX(0,MIN(X91,$O91)-MAX($N91,$E91)+1))+N($P91)))</f>
        <v/>
      </c>
      <c r="AQ91" s="11" t="str">
        <f aca="false">IF(AO91=0,"",IF(X91&lt;($E91+(IF(OR($N91="",$O91=""),0,MAX(0,MIN(X91,$O91)-MAX($N91,$E91)+1))+N($P91))),-1,12*(YEAR(X91)-YEAR(($E91+(IF(OR($N91="",$O91=""),0,MAX(0,MIN(X91,$O91)-MAX($N91,$E91)+1))+N($P91)))))+MONTH(X91)-MONTH(($E91+(IF(OR($N91="",$O91=""),0,MAX(0,MIN(X91,$O91)-MAX($N91,$E91)+1))+N($P91))))-IF(DAY(X91)&lt;MIN(DAY(($E91+(IF(OR($N91="",$O91=""),0,MAX(0,MIN(X91,$O91)-MAX($N91,$E91)+1))+N($P91)))),DAY(EOMONTH(X91,0))),1,0)))</f>
        <v/>
      </c>
      <c r="AR91" s="28" t="str">
        <f aca="false">IF(AO91=0,"",IF($H91="","",IF($H91&gt;X91,"",$H91)))</f>
        <v/>
      </c>
      <c r="AS91" s="28" t="str">
        <f aca="false">IF(AO91=0,"",IF(AR91="","",IF($K91="","",IF($K91&gt;X91,"",$K91))))</f>
        <v/>
      </c>
      <c r="AT91" s="11" t="str">
        <f aca="false">IF(AO91=0,"",IF(AR91="",AQ91,IF((AR91-1)&lt;($E91+(IF(OR($N91="",$O91=""),0,MAX(0,MIN((AR91-1),$O91)-MAX($N91,$E91)+1))+N($P91))),-1,12*(YEAR((AR91-1))-YEAR(($E91+(IF(OR($N91="",$O91=""),0,MAX(0,MIN((AR91-1),$O91)-MAX($N91,$E91)+1))+N($P91)))))+MONTH((AR91-1))-MONTH(($E91+(IF(OR($N91="",$O91=""),0,MAX(0,MIN((AR91-1),$O91)-MAX($N91,$E91)+1))+N($P91))))-IF(DAY((AR91-1))&lt;MIN(DAY(($E91+(IF(OR($N91="",$O91=""),0,MAX(0,MIN((AR91-1),$O91)-MAX($N91,$E91)+1))+N($P91)))),DAY(EOMONTH((AR91-1),0))),1,0))))</f>
        <v/>
      </c>
      <c r="AU91" s="11" t="str">
        <f aca="false">IF(AO91=0,"",IF(AS91="",AQ91,IF((AS91-1)&lt;($E91+(IF(OR($N91="",$O91=""),0,MAX(0,MIN((AS91-1),$O91)-MAX($N91,$E91)+1))+N($P91))),-1,12*(YEAR((AS91-1))-YEAR(($E91+(IF(OR($N91="",$O91=""),0,MAX(0,MIN((AS91-1),$O91)-MAX($N91,$E91)+1))+N($P91)))))+MONTH((AS91-1))-MONTH(($E91+(IF(OR($N91="",$O91=""),0,MAX(0,MIN((AS91-1),$O91)-MAX($N91,$E91)+1))+N($P91))))-IF(DAY((AS91-1))&lt;MIN(DAY(($E91+(IF(OR($N91="",$O91=""),0,MAX(0,MIN((AS91-1),$O91)-MAX($N91,$E91)+1))+N($P91)))),DAY(EOMONTH((AS91-1),0))),1,0))))</f>
        <v/>
      </c>
      <c r="AV91" s="11" t="str">
        <f aca="false">IF(AO91=0,"",IF($F91="","None",IF(IFERROR(VLOOKUP($F91,TypeTable,2,0),"None")="PT",IF(N($G91)&gt;=PT_MinHours,"PT","None"),IFERROR(VLOOKUP($F91,TypeTable,2,0),"None"))))</f>
        <v/>
      </c>
      <c r="AW91" s="11" t="str">
        <f aca="false">IF(AO91=0,"",IF($I91="","None",IF(IFERROR(VLOOKUP($I91,TypeTable,2,0),"None")="PT",IF(N($J91)&gt;=PT_MinHours,"PT","None"),IFERROR(VLOOKUP($I91,TypeTable,2,0),"None"))))</f>
        <v/>
      </c>
      <c r="AX91" s="11" t="str">
        <f aca="false">IF(AO91=0,"",IF($L91="","None",IF(IFERROR(VLOOKUP($L91,TypeTable,2,0),"None")="PT",IF(N($M91)&gt;=PT_MinHours,"PT","None"),IFERROR(VLOOKUP($L91,TypeTable,2,0),"None"))))</f>
        <v/>
      </c>
      <c r="AY91" s="11" t="str">
        <f aca="false">IF(AO91=0,"",IF(AS91&lt;&gt;"",AX91,IF(AR91&lt;&gt;"",AW91,AV91)))</f>
        <v/>
      </c>
      <c r="AZ91" s="11" t="str">
        <f aca="false">IF(AO91=0,"",IF(AV91="FT",IF(AT91&lt;FT_First,0,IF(AT91&lt;FT_Y5,1+INT((AT91-FT_First)/FT_Int1),FT_PreY5+FT_PerYear*INT((AT91-FT_Y5)/12)+FT_AnnivDays+INT(MOD(AT91-FT_Y5,12)/FT_Int2))),IF(AV91="PT",IF(AT91&lt;PT_First,0,1+INT((AT91-PT_First)/PT_Int)),0)))</f>
        <v/>
      </c>
      <c r="BA91" s="11" t="str">
        <f aca="false">IF(AO91=0,"",IF(AW91="FT",IF(AT91&lt;FT_First,0,IF(AT91&lt;FT_Y5,1+INT((AT91-FT_First)/FT_Int1),FT_PreY5+FT_PerYear*INT((AT91-FT_Y5)/12)+FT_AnnivDays+INT(MOD(AT91-FT_Y5,12)/FT_Int2))),IF(AW91="PT",IF(AT91&lt;PT_First,0,1+INT((AT91-PT_First)/PT_Int)),0)))</f>
        <v/>
      </c>
      <c r="BB91" s="11" t="str">
        <f aca="false">IF(AO91=0,"",IF(AW91="FT",IF(AU91&lt;FT_First,0,IF(AU91&lt;FT_Y5,1+INT((AU91-FT_First)/FT_Int1),FT_PreY5+FT_PerYear*INT((AU91-FT_Y5)/12)+FT_AnnivDays+INT(MOD(AU91-FT_Y5,12)/FT_Int2))),IF(AW91="PT",IF(AU91&lt;PT_First,0,1+INT((AU91-PT_First)/PT_Int)),0)))</f>
        <v/>
      </c>
      <c r="BC91" s="11" t="str">
        <f aca="false">IF(AO91=0,"",IF(AX91="FT",IF(AU91&lt;FT_First,0,IF(AU91&lt;FT_Y5,1+INT((AU91-FT_First)/FT_Int1),FT_PreY5+FT_PerYear*INT((AU91-FT_Y5)/12)+FT_AnnivDays+INT(MOD(AU91-FT_Y5,12)/FT_Int2))),IF(AX91="PT",IF(AU91&lt;PT_First,0,1+INT((AU91-PT_First)/PT_Int)),0)))</f>
        <v/>
      </c>
      <c r="BD91" s="11" t="str">
        <f aca="false">IF(AO91=0,"",IF(AX91="FT",IF(AQ91&lt;FT_First,0,IF(AQ91&lt;FT_Y5,1+INT((AQ91-FT_First)/FT_Int1),FT_PreY5+FT_PerYear*INT((AQ91-FT_Y5)/12)+FT_AnnivDays+INT(MOD(AQ91-FT_Y5,12)/FT_Int2))),IF(AX91="PT",IF(AQ91&lt;PT_First,0,1+INT((AQ91-PT_First)/PT_Int)),0)))</f>
        <v/>
      </c>
      <c r="BE91" s="11" t="str">
        <f aca="false">IF(AO91=0,"",IF(AY91="FT",IF(AQ91&lt;FT_First,FT_First,IF(AQ91&lt;FT_Y5,MIN(FT_Y5,FT_First+FT_Int1*(INT((AQ91-FT_First)/FT_Int1)+1)),FT_Y5+12*INT((AQ91-FT_Y5)/12)+FT_Int2*(INT(MOD(AQ91-FT_Y5,12)/FT_Int2)+1))),IF(AY91="PT",IF(AQ91&lt;PT_First,PT_First,PT_First+PT_Int*(INT((AQ91-PT_First)/PT_Int)+1)),"")))</f>
        <v/>
      </c>
      <c r="BF91" s="11" t="n">
        <f aca="false">IF(AO91=0,0,IF(AND($Q91&lt;&gt;"",$Q91&lt;=AsOfDate),1,0))</f>
        <v>0</v>
      </c>
      <c r="BG91" s="11" t="str">
        <f aca="false">IF(AND(AO91=1,BF91=0,EH_Ready,N(AB91)&gt;0,N(AI91)=0),COUNT($BG$5:BG90)+1,"")</f>
        <v/>
      </c>
      <c r="BH91" s="11" t="str">
        <f aca="false">IF(AND(AO91=1,BF91=0,EH_Ready,N(AB91)&gt;0,N(AI91)&gt;0,N(AK91)&gt;0),COUNT($BH$5:BH90)+1,"")</f>
        <v/>
      </c>
      <c r="BI91" s="11" t="str">
        <f aca="false">IF(AND(AO91=1,OR(LEFT(AM91,3)="ADD",LEFT(AM91,3)="SET",LEFT(AM91,5)="CHECK",LEFT(AM91,10)="TERMINATED")),COUNT($BI$5:BI90)+1,"")</f>
        <v/>
      </c>
      <c r="BJ91" s="11" t="str">
        <f aca="false">IF(AO91=0,"",$A91&amp;" - "&amp;$B91&amp;" "&amp;$C91)</f>
        <v/>
      </c>
    </row>
    <row r="92" customFormat="false" ht="15" hidden="false" customHeight="false" outlineLevel="0" collapsed="false">
      <c r="A92" s="10"/>
      <c r="B92" s="10"/>
      <c r="C92" s="10"/>
      <c r="D92" s="10"/>
      <c r="E92" s="9"/>
      <c r="F92" s="10"/>
      <c r="G92" s="30"/>
      <c r="H92" s="9"/>
      <c r="I92" s="10"/>
      <c r="J92" s="30"/>
      <c r="K92" s="9"/>
      <c r="L92" s="10"/>
      <c r="M92" s="30"/>
      <c r="N92" s="9"/>
      <c r="O92" s="9"/>
      <c r="P92" s="30"/>
      <c r="Q92" s="9"/>
      <c r="R92" s="10"/>
      <c r="S92" s="11" t="str">
        <f aca="false">IF(AO92=0,"",IF($H92="","",$F92&amp;" -&gt; "&amp;$I92&amp;IF($I92="Part-Time"," ("&amp;N($J92)&amp;" hrs)","")&amp;" on "&amp;TEXT($H92,"dd/mm/yyyy")&amp;IF($H92&gt;AsOfDate," (FUTURE)","")&amp;IF($K92="","","; "&amp;$I92&amp;" -&gt; "&amp;$L92&amp;IF($L92="Part-Time"," ("&amp;N($M92)&amp;" hrs)","")&amp;" on "&amp;TEXT($K92,"dd/mm/yyyy")&amp;IF($K92&gt;AsOfDate," (FUTURE)",""))))</f>
        <v/>
      </c>
      <c r="T92" s="11" t="str">
        <f aca="false">IF(AO92=0,"",IF(AS92&lt;&gt;"",$L92,IF(AR92&lt;&gt;"",$I92,$F92)))</f>
        <v/>
      </c>
      <c r="U92" s="26" t="str">
        <f aca="false">IF(AO92=0,"",IF(AS92&lt;&gt;"",$M92,IF(AR92&lt;&gt;"",$J92,$G92)))</f>
        <v/>
      </c>
      <c r="V92" s="11" t="str">
        <f aca="false">IF(AO92=0,"",IF(AY92="FT","Full-Time",IF(AY92="PT","Part-Time","Not eligible")))</f>
        <v/>
      </c>
      <c r="W92" s="27" t="str">
        <f aca="false">IF(AO92=0,"",IF(AR92="",IF(AND($H92&lt;&gt;"",$H92&gt;AsOfDate),"Future change - not yet applied",""),IF(AND(AV92=AY92,OR(AS92="",AW92=AV92)),"Type changed - same accrual pathway",IF(AY92="None","STOPPED accruing from "&amp;TEXT(IF(AS92&lt;&gt;"",AS92,AR92),"dd/mm/yyyy"),IF(AV92="None","STARTED qualifying from "&amp;TEXT(IF(AS92&lt;&gt;"",AS92,AR92),"dd/mm/yyyy"),"Pathway changed "&amp;AV92&amp;" -&gt; "&amp;AW92&amp;IF(AS92&lt;&gt;""," -&gt; "&amp;AX92,"")&amp;" from "&amp;TEXT(IF(AS92&lt;&gt;"",AS92,AR92),"dd/mm/yyyy"))))))</f>
        <v/>
      </c>
      <c r="X92" s="28" t="str">
        <f aca="false">IF(AO92=0,"",IF($Q92="",AsOfDate,MIN(AsOfDate,$Q92)))</f>
        <v/>
      </c>
      <c r="Y92" s="26" t="str">
        <f aca="false">IF(AO92=0,"",MAX(0,AQ92))</f>
        <v/>
      </c>
      <c r="Z92" s="11" t="str">
        <f aca="false">IF(AO92=0,"",IF(AQ92&lt;0,"Not started",INT(AQ92/12)&amp;"y "&amp;MOD(AQ92,12)&amp;"m"))</f>
        <v/>
      </c>
      <c r="AA92" s="27" t="str">
        <f aca="false">IF(AO92=0,"",IF(BF92=1,"Terminated - balance forfeited",IF(AY92="None",IF(AB92&gt;0,"No longer accruing - "&amp;T92,"Not eligible - "&amp;T92&amp;IF(AND(IFERROR(VLOOKUP(T92,TypeTable,2,0),"None")="PT",N(U92)&lt;PT_MinHours)," (under "&amp;PT_MinHours&amp;" hrs)","")),IF(AB92&gt;0,"Yes - accruing","Not yet - qualifies "&amp;TEXT(AD92,"dd/mm/yyyy")))))</f>
        <v/>
      </c>
      <c r="AB92" s="26" t="str">
        <f aca="false">IF(AO92=0,"",AZ92+IF(AR92="",0,BB92-BA92)+IF(AS92="",0,BD92-BC92))</f>
        <v/>
      </c>
      <c r="AC92" s="26" t="str">
        <f aca="false">IF(AO92=0,"",AB92*HoursPerDay)</f>
        <v/>
      </c>
      <c r="AD92" s="28" t="str">
        <f aca="false">IF(AO92=0,"",IF(OR(BF92=1,AY92="None"),"",EDATE($E92+AP92,BE92)))</f>
        <v/>
      </c>
      <c r="AE92" s="26" t="str">
        <f aca="false">IF(AD92="","",IF(AY92="PT",1,IF(BE92&lt;FT_Y5,1,IF(MOD(BE92-FT_Y5,12)=0,FT_AnnivDays,1))))</f>
        <v/>
      </c>
      <c r="AF92" s="27" t="str">
        <f aca="false">IF(AO92=0,"",IF(NOT(EH_Ready),"Map headers",IF(IF(MatchMode="Employee ID",COUNTIFS(INDEX(EH_Data,0,EH_ColID),$A92,INDEX(EH_Data,0,EH_ColCat),BonusCat),COUNTIFS(INDEX(EH_Data,0,EH_ColFirst),$B92,INDEX(EH_Data,0,EH_ColSur),$C92,INDEX(EH_Data,0,EH_ColCat),BonusCat))&gt;0,"Yes","No")))</f>
        <v/>
      </c>
      <c r="AG92" s="26" t="str">
        <f aca="false">IF(AO92=0,"",IF(NOT(EH_Ready),"",IF(MatchMode="Employee ID",SUMIFS(INDEX(EH_Data,0,EH_ColBal),INDEX(EH_Data,0,EH_ColID),$A92,INDEX(EH_Data,0,EH_ColCat),BonusCat),SUMIFS(INDEX(EH_Data,0,EH_ColBal),INDEX(EH_Data,0,EH_ColFirst),$B92,INDEX(EH_Data,0,EH_ColSur),$C92,INDEX(EH_Data,0,EH_ColCat),BonusCat))/IF(EHUnit="Hours",HoursPerDay,1)))</f>
        <v/>
      </c>
      <c r="AH92" s="26" t="str">
        <f aca="false">IF(AO92=0,"",IF(NOT(TK_Ready),0,IF(MatchMode="Employee ID",SUMIFS(INDEX(TK_Data,0,TK_ColAmt),INDEX(TK_Data,0,TK_ColID),$A92,INDEX(TK_Data,0,TK_ColCat),BonusCat),SUMIFS(INDEX(TK_Data,0,TK_ColAmt),INDEX(TK_Data,0,TK_ColFirst),$B92,INDEX(TK_Data,0,TK_ColSur),$C92,INDEX(TK_Data,0,TK_ColCat),BonusCat))/IF(TKUnit="Hours",HoursPerDay,1)))</f>
        <v/>
      </c>
      <c r="AI92" s="26" t="str">
        <f aca="false">IF(AO92=0,"",N(AG92)+N(AH92))</f>
        <v/>
      </c>
      <c r="AJ92" s="29" t="str">
        <f aca="false">IF(AO92=0,"",IF(NOT(AND(EH_Ready,EH_ValReady)),"",IF(MatchMode="Employee ID",SUMIFS(INDEX(EH_Data,0,EH_ColVal),INDEX(EH_Data,0,EH_ColID),$A92,INDEX(EH_Data,0,EH_ColCat),BonusCat),SUMIFS(INDEX(EH_Data,0,EH_ColVal),INDEX(EH_Data,0,EH_ColFirst),$B92,INDEX(EH_Data,0,EH_ColSur),$C92,INDEX(EH_Data,0,EH_ColCat),BonusCat))))</f>
        <v/>
      </c>
      <c r="AK92" s="26" t="str">
        <f aca="false">IF(AO92=0,"",IF(OR(NOT(EH_Ready),BF92=1),"",AB92-AI92))</f>
        <v/>
      </c>
      <c r="AL92" s="26" t="str">
        <f aca="false">IF(AK92="","",AK92*HoursPerDay)</f>
        <v/>
      </c>
      <c r="AM92" s="27" t="str">
        <f aca="false">IF(AO92=0,"",IF(BF92=1,IF(N(AG92)&gt;0,"TERMINATED - forfeit "&amp;TEXT(AG92,"0.##")&amp;" days still in EH","Terminated - nothing in EH"),IF(NOT(EH_Ready),"Paste EH export and map headers on Settings",IF(AND(AB92&gt;0,AF92="No"),"SET UP in EH - add "&amp;TEXT(AB92,"0.##")&amp;" day(s) ("&amp;TEXT(AC92,"0.##")&amp;" hrs)",IF(AK92&gt;0,"ADD "&amp;TEXT(AK92,"0.##")&amp;" day(s) ("&amp;TEXT(AL92,"0.##")&amp;" hrs) in EH",IF(AK92&lt;0,"CHECK - EH shows "&amp;TEXT(-AK92,"0.##")&amp;" days more than policy",IF(AB92&gt;0,"OK - up to date",IF(AY92="None","No action - not eligible","No action - not yet qualified"))))))))</f>
        <v/>
      </c>
      <c r="AN92" s="27" t="str">
        <f aca="false">IF(AO92=0,"",TRIM(IF(AND($K92&lt;&gt;"",$H92=""),"Change 2 entered without Change 1. ","")&amp;IF(AND($K92&lt;&gt;"",$H92&lt;&gt;"",$K92&lt;=$H92),"Change 2 date not after Change 1. ","")&amp;IF(AND($N92&lt;&gt;"",$O92&lt;&gt;"",$O92&lt;$N92),"Leave To is before Leave From. ","")&amp;IF(AND($N92&lt;&gt;"",$O92=""),"Leave From entered without Leave To. ","")&amp;IF(AND(IFERROR(VLOOKUP(T92,TypeTable,2,0),"None")="PT",U92=""),"Part-time with no hours entered. ","")&amp;IF(AND($H92&lt;&gt;"",$H92&gt;AsOfDate,AD92&lt;&gt;"",$H92&lt;=AD92),"Status change lands before next accrual - review. ","")&amp;IF(AND($Q92&lt;&gt;"",$Q92&lt;$E92),"Termination before commencement. ","")))</f>
        <v/>
      </c>
      <c r="AO92" s="11" t="n">
        <f aca="false">IF(LEN($A92&amp;$B92&amp;$C92)=0,0,IF($E92="",0,1))</f>
        <v>0</v>
      </c>
      <c r="AP92" s="11" t="str">
        <f aca="false">IF(AO92=0,"",(IF(OR($N92="",$O92=""),0,MAX(0,MIN(X92,$O92)-MAX($N92,$E92)+1))+N($P92)))</f>
        <v/>
      </c>
      <c r="AQ92" s="11" t="str">
        <f aca="false">IF(AO92=0,"",IF(X92&lt;($E92+(IF(OR($N92="",$O92=""),0,MAX(0,MIN(X92,$O92)-MAX($N92,$E92)+1))+N($P92))),-1,12*(YEAR(X92)-YEAR(($E92+(IF(OR($N92="",$O92=""),0,MAX(0,MIN(X92,$O92)-MAX($N92,$E92)+1))+N($P92)))))+MONTH(X92)-MONTH(($E92+(IF(OR($N92="",$O92=""),0,MAX(0,MIN(X92,$O92)-MAX($N92,$E92)+1))+N($P92))))-IF(DAY(X92)&lt;MIN(DAY(($E92+(IF(OR($N92="",$O92=""),0,MAX(0,MIN(X92,$O92)-MAX($N92,$E92)+1))+N($P92)))),DAY(EOMONTH(X92,0))),1,0)))</f>
        <v/>
      </c>
      <c r="AR92" s="28" t="str">
        <f aca="false">IF(AO92=0,"",IF($H92="","",IF($H92&gt;X92,"",$H92)))</f>
        <v/>
      </c>
      <c r="AS92" s="28" t="str">
        <f aca="false">IF(AO92=0,"",IF(AR92="","",IF($K92="","",IF($K92&gt;X92,"",$K92))))</f>
        <v/>
      </c>
      <c r="AT92" s="11" t="str">
        <f aca="false">IF(AO92=0,"",IF(AR92="",AQ92,IF((AR92-1)&lt;($E92+(IF(OR($N92="",$O92=""),0,MAX(0,MIN((AR92-1),$O92)-MAX($N92,$E92)+1))+N($P92))),-1,12*(YEAR((AR92-1))-YEAR(($E92+(IF(OR($N92="",$O92=""),0,MAX(0,MIN((AR92-1),$O92)-MAX($N92,$E92)+1))+N($P92)))))+MONTH((AR92-1))-MONTH(($E92+(IF(OR($N92="",$O92=""),0,MAX(0,MIN((AR92-1),$O92)-MAX($N92,$E92)+1))+N($P92))))-IF(DAY((AR92-1))&lt;MIN(DAY(($E92+(IF(OR($N92="",$O92=""),0,MAX(0,MIN((AR92-1),$O92)-MAX($N92,$E92)+1))+N($P92)))),DAY(EOMONTH((AR92-1),0))),1,0))))</f>
        <v/>
      </c>
      <c r="AU92" s="11" t="str">
        <f aca="false">IF(AO92=0,"",IF(AS92="",AQ92,IF((AS92-1)&lt;($E92+(IF(OR($N92="",$O92=""),0,MAX(0,MIN((AS92-1),$O92)-MAX($N92,$E92)+1))+N($P92))),-1,12*(YEAR((AS92-1))-YEAR(($E92+(IF(OR($N92="",$O92=""),0,MAX(0,MIN((AS92-1),$O92)-MAX($N92,$E92)+1))+N($P92)))))+MONTH((AS92-1))-MONTH(($E92+(IF(OR($N92="",$O92=""),0,MAX(0,MIN((AS92-1),$O92)-MAX($N92,$E92)+1))+N($P92))))-IF(DAY((AS92-1))&lt;MIN(DAY(($E92+(IF(OR($N92="",$O92=""),0,MAX(0,MIN((AS92-1),$O92)-MAX($N92,$E92)+1))+N($P92)))),DAY(EOMONTH((AS92-1),0))),1,0))))</f>
        <v/>
      </c>
      <c r="AV92" s="11" t="str">
        <f aca="false">IF(AO92=0,"",IF($F92="","None",IF(IFERROR(VLOOKUP($F92,TypeTable,2,0),"None")="PT",IF(N($G92)&gt;=PT_MinHours,"PT","None"),IFERROR(VLOOKUP($F92,TypeTable,2,0),"None"))))</f>
        <v/>
      </c>
      <c r="AW92" s="11" t="str">
        <f aca="false">IF(AO92=0,"",IF($I92="","None",IF(IFERROR(VLOOKUP($I92,TypeTable,2,0),"None")="PT",IF(N($J92)&gt;=PT_MinHours,"PT","None"),IFERROR(VLOOKUP($I92,TypeTable,2,0),"None"))))</f>
        <v/>
      </c>
      <c r="AX92" s="11" t="str">
        <f aca="false">IF(AO92=0,"",IF($L92="","None",IF(IFERROR(VLOOKUP($L92,TypeTable,2,0),"None")="PT",IF(N($M92)&gt;=PT_MinHours,"PT","None"),IFERROR(VLOOKUP($L92,TypeTable,2,0),"None"))))</f>
        <v/>
      </c>
      <c r="AY92" s="11" t="str">
        <f aca="false">IF(AO92=0,"",IF(AS92&lt;&gt;"",AX92,IF(AR92&lt;&gt;"",AW92,AV92)))</f>
        <v/>
      </c>
      <c r="AZ92" s="11" t="str">
        <f aca="false">IF(AO92=0,"",IF(AV92="FT",IF(AT92&lt;FT_First,0,IF(AT92&lt;FT_Y5,1+INT((AT92-FT_First)/FT_Int1),FT_PreY5+FT_PerYear*INT((AT92-FT_Y5)/12)+FT_AnnivDays+INT(MOD(AT92-FT_Y5,12)/FT_Int2))),IF(AV92="PT",IF(AT92&lt;PT_First,0,1+INT((AT92-PT_First)/PT_Int)),0)))</f>
        <v/>
      </c>
      <c r="BA92" s="11" t="str">
        <f aca="false">IF(AO92=0,"",IF(AW92="FT",IF(AT92&lt;FT_First,0,IF(AT92&lt;FT_Y5,1+INT((AT92-FT_First)/FT_Int1),FT_PreY5+FT_PerYear*INT((AT92-FT_Y5)/12)+FT_AnnivDays+INT(MOD(AT92-FT_Y5,12)/FT_Int2))),IF(AW92="PT",IF(AT92&lt;PT_First,0,1+INT((AT92-PT_First)/PT_Int)),0)))</f>
        <v/>
      </c>
      <c r="BB92" s="11" t="str">
        <f aca="false">IF(AO92=0,"",IF(AW92="FT",IF(AU92&lt;FT_First,0,IF(AU92&lt;FT_Y5,1+INT((AU92-FT_First)/FT_Int1),FT_PreY5+FT_PerYear*INT((AU92-FT_Y5)/12)+FT_AnnivDays+INT(MOD(AU92-FT_Y5,12)/FT_Int2))),IF(AW92="PT",IF(AU92&lt;PT_First,0,1+INT((AU92-PT_First)/PT_Int)),0)))</f>
        <v/>
      </c>
      <c r="BC92" s="11" t="str">
        <f aca="false">IF(AO92=0,"",IF(AX92="FT",IF(AU92&lt;FT_First,0,IF(AU92&lt;FT_Y5,1+INT((AU92-FT_First)/FT_Int1),FT_PreY5+FT_PerYear*INT((AU92-FT_Y5)/12)+FT_AnnivDays+INT(MOD(AU92-FT_Y5,12)/FT_Int2))),IF(AX92="PT",IF(AU92&lt;PT_First,0,1+INT((AU92-PT_First)/PT_Int)),0)))</f>
        <v/>
      </c>
      <c r="BD92" s="11" t="str">
        <f aca="false">IF(AO92=0,"",IF(AX92="FT",IF(AQ92&lt;FT_First,0,IF(AQ92&lt;FT_Y5,1+INT((AQ92-FT_First)/FT_Int1),FT_PreY5+FT_PerYear*INT((AQ92-FT_Y5)/12)+FT_AnnivDays+INT(MOD(AQ92-FT_Y5,12)/FT_Int2))),IF(AX92="PT",IF(AQ92&lt;PT_First,0,1+INT((AQ92-PT_First)/PT_Int)),0)))</f>
        <v/>
      </c>
      <c r="BE92" s="11" t="str">
        <f aca="false">IF(AO92=0,"",IF(AY92="FT",IF(AQ92&lt;FT_First,FT_First,IF(AQ92&lt;FT_Y5,MIN(FT_Y5,FT_First+FT_Int1*(INT((AQ92-FT_First)/FT_Int1)+1)),FT_Y5+12*INT((AQ92-FT_Y5)/12)+FT_Int2*(INT(MOD(AQ92-FT_Y5,12)/FT_Int2)+1))),IF(AY92="PT",IF(AQ92&lt;PT_First,PT_First,PT_First+PT_Int*(INT((AQ92-PT_First)/PT_Int)+1)),"")))</f>
        <v/>
      </c>
      <c r="BF92" s="11" t="n">
        <f aca="false">IF(AO92=0,0,IF(AND($Q92&lt;&gt;"",$Q92&lt;=AsOfDate),1,0))</f>
        <v>0</v>
      </c>
      <c r="BG92" s="11" t="str">
        <f aca="false">IF(AND(AO92=1,BF92=0,EH_Ready,N(AB92)&gt;0,N(AI92)=0),COUNT($BG$5:BG91)+1,"")</f>
        <v/>
      </c>
      <c r="BH92" s="11" t="str">
        <f aca="false">IF(AND(AO92=1,BF92=0,EH_Ready,N(AB92)&gt;0,N(AI92)&gt;0,N(AK92)&gt;0),COUNT($BH$5:BH91)+1,"")</f>
        <v/>
      </c>
      <c r="BI92" s="11" t="str">
        <f aca="false">IF(AND(AO92=1,OR(LEFT(AM92,3)="ADD",LEFT(AM92,3)="SET",LEFT(AM92,5)="CHECK",LEFT(AM92,10)="TERMINATED")),COUNT($BI$5:BI91)+1,"")</f>
        <v/>
      </c>
      <c r="BJ92" s="11" t="str">
        <f aca="false">IF(AO92=0,"",$A92&amp;" - "&amp;$B92&amp;" "&amp;$C92)</f>
        <v/>
      </c>
    </row>
    <row r="93" customFormat="false" ht="15" hidden="false" customHeight="false" outlineLevel="0" collapsed="false">
      <c r="A93" s="10"/>
      <c r="B93" s="10"/>
      <c r="C93" s="10"/>
      <c r="D93" s="10"/>
      <c r="E93" s="9"/>
      <c r="F93" s="10"/>
      <c r="G93" s="30"/>
      <c r="H93" s="9"/>
      <c r="I93" s="10"/>
      <c r="J93" s="30"/>
      <c r="K93" s="9"/>
      <c r="L93" s="10"/>
      <c r="M93" s="30"/>
      <c r="N93" s="9"/>
      <c r="O93" s="9"/>
      <c r="P93" s="30"/>
      <c r="Q93" s="9"/>
      <c r="R93" s="10"/>
      <c r="S93" s="11" t="str">
        <f aca="false">IF(AO93=0,"",IF($H93="","",$F93&amp;" -&gt; "&amp;$I93&amp;IF($I93="Part-Time"," ("&amp;N($J93)&amp;" hrs)","")&amp;" on "&amp;TEXT($H93,"dd/mm/yyyy")&amp;IF($H93&gt;AsOfDate," (FUTURE)","")&amp;IF($K93="","","; "&amp;$I93&amp;" -&gt; "&amp;$L93&amp;IF($L93="Part-Time"," ("&amp;N($M93)&amp;" hrs)","")&amp;" on "&amp;TEXT($K93,"dd/mm/yyyy")&amp;IF($K93&gt;AsOfDate," (FUTURE)",""))))</f>
        <v/>
      </c>
      <c r="T93" s="11" t="str">
        <f aca="false">IF(AO93=0,"",IF(AS93&lt;&gt;"",$L93,IF(AR93&lt;&gt;"",$I93,$F93)))</f>
        <v/>
      </c>
      <c r="U93" s="26" t="str">
        <f aca="false">IF(AO93=0,"",IF(AS93&lt;&gt;"",$M93,IF(AR93&lt;&gt;"",$J93,$G93)))</f>
        <v/>
      </c>
      <c r="V93" s="11" t="str">
        <f aca="false">IF(AO93=0,"",IF(AY93="FT","Full-Time",IF(AY93="PT","Part-Time","Not eligible")))</f>
        <v/>
      </c>
      <c r="W93" s="27" t="str">
        <f aca="false">IF(AO93=0,"",IF(AR93="",IF(AND($H93&lt;&gt;"",$H93&gt;AsOfDate),"Future change - not yet applied",""),IF(AND(AV93=AY93,OR(AS93="",AW93=AV93)),"Type changed - same accrual pathway",IF(AY93="None","STOPPED accruing from "&amp;TEXT(IF(AS93&lt;&gt;"",AS93,AR93),"dd/mm/yyyy"),IF(AV93="None","STARTED qualifying from "&amp;TEXT(IF(AS93&lt;&gt;"",AS93,AR93),"dd/mm/yyyy"),"Pathway changed "&amp;AV93&amp;" -&gt; "&amp;AW93&amp;IF(AS93&lt;&gt;""," -&gt; "&amp;AX93,"")&amp;" from "&amp;TEXT(IF(AS93&lt;&gt;"",AS93,AR93),"dd/mm/yyyy"))))))</f>
        <v/>
      </c>
      <c r="X93" s="28" t="str">
        <f aca="false">IF(AO93=0,"",IF($Q93="",AsOfDate,MIN(AsOfDate,$Q93)))</f>
        <v/>
      </c>
      <c r="Y93" s="26" t="str">
        <f aca="false">IF(AO93=0,"",MAX(0,AQ93))</f>
        <v/>
      </c>
      <c r="Z93" s="11" t="str">
        <f aca="false">IF(AO93=0,"",IF(AQ93&lt;0,"Not started",INT(AQ93/12)&amp;"y "&amp;MOD(AQ93,12)&amp;"m"))</f>
        <v/>
      </c>
      <c r="AA93" s="27" t="str">
        <f aca="false">IF(AO93=0,"",IF(BF93=1,"Terminated - balance forfeited",IF(AY93="None",IF(AB93&gt;0,"No longer accruing - "&amp;T93,"Not eligible - "&amp;T93&amp;IF(AND(IFERROR(VLOOKUP(T93,TypeTable,2,0),"None")="PT",N(U93)&lt;PT_MinHours)," (under "&amp;PT_MinHours&amp;" hrs)","")),IF(AB93&gt;0,"Yes - accruing","Not yet - qualifies "&amp;TEXT(AD93,"dd/mm/yyyy")))))</f>
        <v/>
      </c>
      <c r="AB93" s="26" t="str">
        <f aca="false">IF(AO93=0,"",AZ93+IF(AR93="",0,BB93-BA93)+IF(AS93="",0,BD93-BC93))</f>
        <v/>
      </c>
      <c r="AC93" s="26" t="str">
        <f aca="false">IF(AO93=0,"",AB93*HoursPerDay)</f>
        <v/>
      </c>
      <c r="AD93" s="28" t="str">
        <f aca="false">IF(AO93=0,"",IF(OR(BF93=1,AY93="None"),"",EDATE($E93+AP93,BE93)))</f>
        <v/>
      </c>
      <c r="AE93" s="26" t="str">
        <f aca="false">IF(AD93="","",IF(AY93="PT",1,IF(BE93&lt;FT_Y5,1,IF(MOD(BE93-FT_Y5,12)=0,FT_AnnivDays,1))))</f>
        <v/>
      </c>
      <c r="AF93" s="27" t="str">
        <f aca="false">IF(AO93=0,"",IF(NOT(EH_Ready),"Map headers",IF(IF(MatchMode="Employee ID",COUNTIFS(INDEX(EH_Data,0,EH_ColID),$A93,INDEX(EH_Data,0,EH_ColCat),BonusCat),COUNTIFS(INDEX(EH_Data,0,EH_ColFirst),$B93,INDEX(EH_Data,0,EH_ColSur),$C93,INDEX(EH_Data,0,EH_ColCat),BonusCat))&gt;0,"Yes","No")))</f>
        <v/>
      </c>
      <c r="AG93" s="26" t="str">
        <f aca="false">IF(AO93=0,"",IF(NOT(EH_Ready),"",IF(MatchMode="Employee ID",SUMIFS(INDEX(EH_Data,0,EH_ColBal),INDEX(EH_Data,0,EH_ColID),$A93,INDEX(EH_Data,0,EH_ColCat),BonusCat),SUMIFS(INDEX(EH_Data,0,EH_ColBal),INDEX(EH_Data,0,EH_ColFirst),$B93,INDEX(EH_Data,0,EH_ColSur),$C93,INDEX(EH_Data,0,EH_ColCat),BonusCat))/IF(EHUnit="Hours",HoursPerDay,1)))</f>
        <v/>
      </c>
      <c r="AH93" s="26" t="str">
        <f aca="false">IF(AO93=0,"",IF(NOT(TK_Ready),0,IF(MatchMode="Employee ID",SUMIFS(INDEX(TK_Data,0,TK_ColAmt),INDEX(TK_Data,0,TK_ColID),$A93,INDEX(TK_Data,0,TK_ColCat),BonusCat),SUMIFS(INDEX(TK_Data,0,TK_ColAmt),INDEX(TK_Data,0,TK_ColFirst),$B93,INDEX(TK_Data,0,TK_ColSur),$C93,INDEX(TK_Data,0,TK_ColCat),BonusCat))/IF(TKUnit="Hours",HoursPerDay,1)))</f>
        <v/>
      </c>
      <c r="AI93" s="26" t="str">
        <f aca="false">IF(AO93=0,"",N(AG93)+N(AH93))</f>
        <v/>
      </c>
      <c r="AJ93" s="29" t="str">
        <f aca="false">IF(AO93=0,"",IF(NOT(AND(EH_Ready,EH_ValReady)),"",IF(MatchMode="Employee ID",SUMIFS(INDEX(EH_Data,0,EH_ColVal),INDEX(EH_Data,0,EH_ColID),$A93,INDEX(EH_Data,0,EH_ColCat),BonusCat),SUMIFS(INDEX(EH_Data,0,EH_ColVal),INDEX(EH_Data,0,EH_ColFirst),$B93,INDEX(EH_Data,0,EH_ColSur),$C93,INDEX(EH_Data,0,EH_ColCat),BonusCat))))</f>
        <v/>
      </c>
      <c r="AK93" s="26" t="str">
        <f aca="false">IF(AO93=0,"",IF(OR(NOT(EH_Ready),BF93=1),"",AB93-AI93))</f>
        <v/>
      </c>
      <c r="AL93" s="26" t="str">
        <f aca="false">IF(AK93="","",AK93*HoursPerDay)</f>
        <v/>
      </c>
      <c r="AM93" s="27" t="str">
        <f aca="false">IF(AO93=0,"",IF(BF93=1,IF(N(AG93)&gt;0,"TERMINATED - forfeit "&amp;TEXT(AG93,"0.##")&amp;" days still in EH","Terminated - nothing in EH"),IF(NOT(EH_Ready),"Paste EH export and map headers on Settings",IF(AND(AB93&gt;0,AF93="No"),"SET UP in EH - add "&amp;TEXT(AB93,"0.##")&amp;" day(s) ("&amp;TEXT(AC93,"0.##")&amp;" hrs)",IF(AK93&gt;0,"ADD "&amp;TEXT(AK93,"0.##")&amp;" day(s) ("&amp;TEXT(AL93,"0.##")&amp;" hrs) in EH",IF(AK93&lt;0,"CHECK - EH shows "&amp;TEXT(-AK93,"0.##")&amp;" days more than policy",IF(AB93&gt;0,"OK - up to date",IF(AY93="None","No action - not eligible","No action - not yet qualified"))))))))</f>
        <v/>
      </c>
      <c r="AN93" s="27" t="str">
        <f aca="false">IF(AO93=0,"",TRIM(IF(AND($K93&lt;&gt;"",$H93=""),"Change 2 entered without Change 1. ","")&amp;IF(AND($K93&lt;&gt;"",$H93&lt;&gt;"",$K93&lt;=$H93),"Change 2 date not after Change 1. ","")&amp;IF(AND($N93&lt;&gt;"",$O93&lt;&gt;"",$O93&lt;$N93),"Leave To is before Leave From. ","")&amp;IF(AND($N93&lt;&gt;"",$O93=""),"Leave From entered without Leave To. ","")&amp;IF(AND(IFERROR(VLOOKUP(T93,TypeTable,2,0),"None")="PT",U93=""),"Part-time with no hours entered. ","")&amp;IF(AND($H93&lt;&gt;"",$H93&gt;AsOfDate,AD93&lt;&gt;"",$H93&lt;=AD93),"Status change lands before next accrual - review. ","")&amp;IF(AND($Q93&lt;&gt;"",$Q93&lt;$E93),"Termination before commencement. ","")))</f>
        <v/>
      </c>
      <c r="AO93" s="11" t="n">
        <f aca="false">IF(LEN($A93&amp;$B93&amp;$C93)=0,0,IF($E93="",0,1))</f>
        <v>0</v>
      </c>
      <c r="AP93" s="11" t="str">
        <f aca="false">IF(AO93=0,"",(IF(OR($N93="",$O93=""),0,MAX(0,MIN(X93,$O93)-MAX($N93,$E93)+1))+N($P93)))</f>
        <v/>
      </c>
      <c r="AQ93" s="11" t="str">
        <f aca="false">IF(AO93=0,"",IF(X93&lt;($E93+(IF(OR($N93="",$O93=""),0,MAX(0,MIN(X93,$O93)-MAX($N93,$E93)+1))+N($P93))),-1,12*(YEAR(X93)-YEAR(($E93+(IF(OR($N93="",$O93=""),0,MAX(0,MIN(X93,$O93)-MAX($N93,$E93)+1))+N($P93)))))+MONTH(X93)-MONTH(($E93+(IF(OR($N93="",$O93=""),0,MAX(0,MIN(X93,$O93)-MAX($N93,$E93)+1))+N($P93))))-IF(DAY(X93)&lt;MIN(DAY(($E93+(IF(OR($N93="",$O93=""),0,MAX(0,MIN(X93,$O93)-MAX($N93,$E93)+1))+N($P93)))),DAY(EOMONTH(X93,0))),1,0)))</f>
        <v/>
      </c>
      <c r="AR93" s="28" t="str">
        <f aca="false">IF(AO93=0,"",IF($H93="","",IF($H93&gt;X93,"",$H93)))</f>
        <v/>
      </c>
      <c r="AS93" s="28" t="str">
        <f aca="false">IF(AO93=0,"",IF(AR93="","",IF($K93="","",IF($K93&gt;X93,"",$K93))))</f>
        <v/>
      </c>
      <c r="AT93" s="11" t="str">
        <f aca="false">IF(AO93=0,"",IF(AR93="",AQ93,IF((AR93-1)&lt;($E93+(IF(OR($N93="",$O93=""),0,MAX(0,MIN((AR93-1),$O93)-MAX($N93,$E93)+1))+N($P93))),-1,12*(YEAR((AR93-1))-YEAR(($E93+(IF(OR($N93="",$O93=""),0,MAX(0,MIN((AR93-1),$O93)-MAX($N93,$E93)+1))+N($P93)))))+MONTH((AR93-1))-MONTH(($E93+(IF(OR($N93="",$O93=""),0,MAX(0,MIN((AR93-1),$O93)-MAX($N93,$E93)+1))+N($P93))))-IF(DAY((AR93-1))&lt;MIN(DAY(($E93+(IF(OR($N93="",$O93=""),0,MAX(0,MIN((AR93-1),$O93)-MAX($N93,$E93)+1))+N($P93)))),DAY(EOMONTH((AR93-1),0))),1,0))))</f>
        <v/>
      </c>
      <c r="AU93" s="11" t="str">
        <f aca="false">IF(AO93=0,"",IF(AS93="",AQ93,IF((AS93-1)&lt;($E93+(IF(OR($N93="",$O93=""),0,MAX(0,MIN((AS93-1),$O93)-MAX($N93,$E93)+1))+N($P93))),-1,12*(YEAR((AS93-1))-YEAR(($E93+(IF(OR($N93="",$O93=""),0,MAX(0,MIN((AS93-1),$O93)-MAX($N93,$E93)+1))+N($P93)))))+MONTH((AS93-1))-MONTH(($E93+(IF(OR($N93="",$O93=""),0,MAX(0,MIN((AS93-1),$O93)-MAX($N93,$E93)+1))+N($P93))))-IF(DAY((AS93-1))&lt;MIN(DAY(($E93+(IF(OR($N93="",$O93=""),0,MAX(0,MIN((AS93-1),$O93)-MAX($N93,$E93)+1))+N($P93)))),DAY(EOMONTH((AS93-1),0))),1,0))))</f>
        <v/>
      </c>
      <c r="AV93" s="11" t="str">
        <f aca="false">IF(AO93=0,"",IF($F93="","None",IF(IFERROR(VLOOKUP($F93,TypeTable,2,0),"None")="PT",IF(N($G93)&gt;=PT_MinHours,"PT","None"),IFERROR(VLOOKUP($F93,TypeTable,2,0),"None"))))</f>
        <v/>
      </c>
      <c r="AW93" s="11" t="str">
        <f aca="false">IF(AO93=0,"",IF($I93="","None",IF(IFERROR(VLOOKUP($I93,TypeTable,2,0),"None")="PT",IF(N($J93)&gt;=PT_MinHours,"PT","None"),IFERROR(VLOOKUP($I93,TypeTable,2,0),"None"))))</f>
        <v/>
      </c>
      <c r="AX93" s="11" t="str">
        <f aca="false">IF(AO93=0,"",IF($L93="","None",IF(IFERROR(VLOOKUP($L93,TypeTable,2,0),"None")="PT",IF(N($M93)&gt;=PT_MinHours,"PT","None"),IFERROR(VLOOKUP($L93,TypeTable,2,0),"None"))))</f>
        <v/>
      </c>
      <c r="AY93" s="11" t="str">
        <f aca="false">IF(AO93=0,"",IF(AS93&lt;&gt;"",AX93,IF(AR93&lt;&gt;"",AW93,AV93)))</f>
        <v/>
      </c>
      <c r="AZ93" s="11" t="str">
        <f aca="false">IF(AO93=0,"",IF(AV93="FT",IF(AT93&lt;FT_First,0,IF(AT93&lt;FT_Y5,1+INT((AT93-FT_First)/FT_Int1),FT_PreY5+FT_PerYear*INT((AT93-FT_Y5)/12)+FT_AnnivDays+INT(MOD(AT93-FT_Y5,12)/FT_Int2))),IF(AV93="PT",IF(AT93&lt;PT_First,0,1+INT((AT93-PT_First)/PT_Int)),0)))</f>
        <v/>
      </c>
      <c r="BA93" s="11" t="str">
        <f aca="false">IF(AO93=0,"",IF(AW93="FT",IF(AT93&lt;FT_First,0,IF(AT93&lt;FT_Y5,1+INT((AT93-FT_First)/FT_Int1),FT_PreY5+FT_PerYear*INT((AT93-FT_Y5)/12)+FT_AnnivDays+INT(MOD(AT93-FT_Y5,12)/FT_Int2))),IF(AW93="PT",IF(AT93&lt;PT_First,0,1+INT((AT93-PT_First)/PT_Int)),0)))</f>
        <v/>
      </c>
      <c r="BB93" s="11" t="str">
        <f aca="false">IF(AO93=0,"",IF(AW93="FT",IF(AU93&lt;FT_First,0,IF(AU93&lt;FT_Y5,1+INT((AU93-FT_First)/FT_Int1),FT_PreY5+FT_PerYear*INT((AU93-FT_Y5)/12)+FT_AnnivDays+INT(MOD(AU93-FT_Y5,12)/FT_Int2))),IF(AW93="PT",IF(AU93&lt;PT_First,0,1+INT((AU93-PT_First)/PT_Int)),0)))</f>
        <v/>
      </c>
      <c r="BC93" s="11" t="str">
        <f aca="false">IF(AO93=0,"",IF(AX93="FT",IF(AU93&lt;FT_First,0,IF(AU93&lt;FT_Y5,1+INT((AU93-FT_First)/FT_Int1),FT_PreY5+FT_PerYear*INT((AU93-FT_Y5)/12)+FT_AnnivDays+INT(MOD(AU93-FT_Y5,12)/FT_Int2))),IF(AX93="PT",IF(AU93&lt;PT_First,0,1+INT((AU93-PT_First)/PT_Int)),0)))</f>
        <v/>
      </c>
      <c r="BD93" s="11" t="str">
        <f aca="false">IF(AO93=0,"",IF(AX93="FT",IF(AQ93&lt;FT_First,0,IF(AQ93&lt;FT_Y5,1+INT((AQ93-FT_First)/FT_Int1),FT_PreY5+FT_PerYear*INT((AQ93-FT_Y5)/12)+FT_AnnivDays+INT(MOD(AQ93-FT_Y5,12)/FT_Int2))),IF(AX93="PT",IF(AQ93&lt;PT_First,0,1+INT((AQ93-PT_First)/PT_Int)),0)))</f>
        <v/>
      </c>
      <c r="BE93" s="11" t="str">
        <f aca="false">IF(AO93=0,"",IF(AY93="FT",IF(AQ93&lt;FT_First,FT_First,IF(AQ93&lt;FT_Y5,MIN(FT_Y5,FT_First+FT_Int1*(INT((AQ93-FT_First)/FT_Int1)+1)),FT_Y5+12*INT((AQ93-FT_Y5)/12)+FT_Int2*(INT(MOD(AQ93-FT_Y5,12)/FT_Int2)+1))),IF(AY93="PT",IF(AQ93&lt;PT_First,PT_First,PT_First+PT_Int*(INT((AQ93-PT_First)/PT_Int)+1)),"")))</f>
        <v/>
      </c>
      <c r="BF93" s="11" t="n">
        <f aca="false">IF(AO93=0,0,IF(AND($Q93&lt;&gt;"",$Q93&lt;=AsOfDate),1,0))</f>
        <v>0</v>
      </c>
      <c r="BG93" s="11" t="str">
        <f aca="false">IF(AND(AO93=1,BF93=0,EH_Ready,N(AB93)&gt;0,N(AI93)=0),COUNT($BG$5:BG92)+1,"")</f>
        <v/>
      </c>
      <c r="BH93" s="11" t="str">
        <f aca="false">IF(AND(AO93=1,BF93=0,EH_Ready,N(AB93)&gt;0,N(AI93)&gt;0,N(AK93)&gt;0),COUNT($BH$5:BH92)+1,"")</f>
        <v/>
      </c>
      <c r="BI93" s="11" t="str">
        <f aca="false">IF(AND(AO93=1,OR(LEFT(AM93,3)="ADD",LEFT(AM93,3)="SET",LEFT(AM93,5)="CHECK",LEFT(AM93,10)="TERMINATED")),COUNT($BI$5:BI92)+1,"")</f>
        <v/>
      </c>
      <c r="BJ93" s="11" t="str">
        <f aca="false">IF(AO93=0,"",$A93&amp;" - "&amp;$B93&amp;" "&amp;$C93)</f>
        <v/>
      </c>
    </row>
    <row r="94" customFormat="false" ht="15" hidden="false" customHeight="false" outlineLevel="0" collapsed="false">
      <c r="A94" s="10"/>
      <c r="B94" s="10"/>
      <c r="C94" s="10"/>
      <c r="D94" s="10"/>
      <c r="E94" s="9"/>
      <c r="F94" s="10"/>
      <c r="G94" s="30"/>
      <c r="H94" s="9"/>
      <c r="I94" s="10"/>
      <c r="J94" s="30"/>
      <c r="K94" s="9"/>
      <c r="L94" s="10"/>
      <c r="M94" s="30"/>
      <c r="N94" s="9"/>
      <c r="O94" s="9"/>
      <c r="P94" s="30"/>
      <c r="Q94" s="9"/>
      <c r="R94" s="10"/>
      <c r="S94" s="11" t="str">
        <f aca="false">IF(AO94=0,"",IF($H94="","",$F94&amp;" -&gt; "&amp;$I94&amp;IF($I94="Part-Time"," ("&amp;N($J94)&amp;" hrs)","")&amp;" on "&amp;TEXT($H94,"dd/mm/yyyy")&amp;IF($H94&gt;AsOfDate," (FUTURE)","")&amp;IF($K94="","","; "&amp;$I94&amp;" -&gt; "&amp;$L94&amp;IF($L94="Part-Time"," ("&amp;N($M94)&amp;" hrs)","")&amp;" on "&amp;TEXT($K94,"dd/mm/yyyy")&amp;IF($K94&gt;AsOfDate," (FUTURE)",""))))</f>
        <v/>
      </c>
      <c r="T94" s="11" t="str">
        <f aca="false">IF(AO94=0,"",IF(AS94&lt;&gt;"",$L94,IF(AR94&lt;&gt;"",$I94,$F94)))</f>
        <v/>
      </c>
      <c r="U94" s="26" t="str">
        <f aca="false">IF(AO94=0,"",IF(AS94&lt;&gt;"",$M94,IF(AR94&lt;&gt;"",$J94,$G94)))</f>
        <v/>
      </c>
      <c r="V94" s="11" t="str">
        <f aca="false">IF(AO94=0,"",IF(AY94="FT","Full-Time",IF(AY94="PT","Part-Time","Not eligible")))</f>
        <v/>
      </c>
      <c r="W94" s="27" t="str">
        <f aca="false">IF(AO94=0,"",IF(AR94="",IF(AND($H94&lt;&gt;"",$H94&gt;AsOfDate),"Future change - not yet applied",""),IF(AND(AV94=AY94,OR(AS94="",AW94=AV94)),"Type changed - same accrual pathway",IF(AY94="None","STOPPED accruing from "&amp;TEXT(IF(AS94&lt;&gt;"",AS94,AR94),"dd/mm/yyyy"),IF(AV94="None","STARTED qualifying from "&amp;TEXT(IF(AS94&lt;&gt;"",AS94,AR94),"dd/mm/yyyy"),"Pathway changed "&amp;AV94&amp;" -&gt; "&amp;AW94&amp;IF(AS94&lt;&gt;""," -&gt; "&amp;AX94,"")&amp;" from "&amp;TEXT(IF(AS94&lt;&gt;"",AS94,AR94),"dd/mm/yyyy"))))))</f>
        <v/>
      </c>
      <c r="X94" s="28" t="str">
        <f aca="false">IF(AO94=0,"",IF($Q94="",AsOfDate,MIN(AsOfDate,$Q94)))</f>
        <v/>
      </c>
      <c r="Y94" s="26" t="str">
        <f aca="false">IF(AO94=0,"",MAX(0,AQ94))</f>
        <v/>
      </c>
      <c r="Z94" s="11" t="str">
        <f aca="false">IF(AO94=0,"",IF(AQ94&lt;0,"Not started",INT(AQ94/12)&amp;"y "&amp;MOD(AQ94,12)&amp;"m"))</f>
        <v/>
      </c>
      <c r="AA94" s="27" t="str">
        <f aca="false">IF(AO94=0,"",IF(BF94=1,"Terminated - balance forfeited",IF(AY94="None",IF(AB94&gt;0,"No longer accruing - "&amp;T94,"Not eligible - "&amp;T94&amp;IF(AND(IFERROR(VLOOKUP(T94,TypeTable,2,0),"None")="PT",N(U94)&lt;PT_MinHours)," (under "&amp;PT_MinHours&amp;" hrs)","")),IF(AB94&gt;0,"Yes - accruing","Not yet - qualifies "&amp;TEXT(AD94,"dd/mm/yyyy")))))</f>
        <v/>
      </c>
      <c r="AB94" s="26" t="str">
        <f aca="false">IF(AO94=0,"",AZ94+IF(AR94="",0,BB94-BA94)+IF(AS94="",0,BD94-BC94))</f>
        <v/>
      </c>
      <c r="AC94" s="26" t="str">
        <f aca="false">IF(AO94=0,"",AB94*HoursPerDay)</f>
        <v/>
      </c>
      <c r="AD94" s="28" t="str">
        <f aca="false">IF(AO94=0,"",IF(OR(BF94=1,AY94="None"),"",EDATE($E94+AP94,BE94)))</f>
        <v/>
      </c>
      <c r="AE94" s="26" t="str">
        <f aca="false">IF(AD94="","",IF(AY94="PT",1,IF(BE94&lt;FT_Y5,1,IF(MOD(BE94-FT_Y5,12)=0,FT_AnnivDays,1))))</f>
        <v/>
      </c>
      <c r="AF94" s="27" t="str">
        <f aca="false">IF(AO94=0,"",IF(NOT(EH_Ready),"Map headers",IF(IF(MatchMode="Employee ID",COUNTIFS(INDEX(EH_Data,0,EH_ColID),$A94,INDEX(EH_Data,0,EH_ColCat),BonusCat),COUNTIFS(INDEX(EH_Data,0,EH_ColFirst),$B94,INDEX(EH_Data,0,EH_ColSur),$C94,INDEX(EH_Data,0,EH_ColCat),BonusCat))&gt;0,"Yes","No")))</f>
        <v/>
      </c>
      <c r="AG94" s="26" t="str">
        <f aca="false">IF(AO94=0,"",IF(NOT(EH_Ready),"",IF(MatchMode="Employee ID",SUMIFS(INDEX(EH_Data,0,EH_ColBal),INDEX(EH_Data,0,EH_ColID),$A94,INDEX(EH_Data,0,EH_ColCat),BonusCat),SUMIFS(INDEX(EH_Data,0,EH_ColBal),INDEX(EH_Data,0,EH_ColFirst),$B94,INDEX(EH_Data,0,EH_ColSur),$C94,INDEX(EH_Data,0,EH_ColCat),BonusCat))/IF(EHUnit="Hours",HoursPerDay,1)))</f>
        <v/>
      </c>
      <c r="AH94" s="26" t="str">
        <f aca="false">IF(AO94=0,"",IF(NOT(TK_Ready),0,IF(MatchMode="Employee ID",SUMIFS(INDEX(TK_Data,0,TK_ColAmt),INDEX(TK_Data,0,TK_ColID),$A94,INDEX(TK_Data,0,TK_ColCat),BonusCat),SUMIFS(INDEX(TK_Data,0,TK_ColAmt),INDEX(TK_Data,0,TK_ColFirst),$B94,INDEX(TK_Data,0,TK_ColSur),$C94,INDEX(TK_Data,0,TK_ColCat),BonusCat))/IF(TKUnit="Hours",HoursPerDay,1)))</f>
        <v/>
      </c>
      <c r="AI94" s="26" t="str">
        <f aca="false">IF(AO94=0,"",N(AG94)+N(AH94))</f>
        <v/>
      </c>
      <c r="AJ94" s="29" t="str">
        <f aca="false">IF(AO94=0,"",IF(NOT(AND(EH_Ready,EH_ValReady)),"",IF(MatchMode="Employee ID",SUMIFS(INDEX(EH_Data,0,EH_ColVal),INDEX(EH_Data,0,EH_ColID),$A94,INDEX(EH_Data,0,EH_ColCat),BonusCat),SUMIFS(INDEX(EH_Data,0,EH_ColVal),INDEX(EH_Data,0,EH_ColFirst),$B94,INDEX(EH_Data,0,EH_ColSur),$C94,INDEX(EH_Data,0,EH_ColCat),BonusCat))))</f>
        <v/>
      </c>
      <c r="AK94" s="26" t="str">
        <f aca="false">IF(AO94=0,"",IF(OR(NOT(EH_Ready),BF94=1),"",AB94-AI94))</f>
        <v/>
      </c>
      <c r="AL94" s="26" t="str">
        <f aca="false">IF(AK94="","",AK94*HoursPerDay)</f>
        <v/>
      </c>
      <c r="AM94" s="27" t="str">
        <f aca="false">IF(AO94=0,"",IF(BF94=1,IF(N(AG94)&gt;0,"TERMINATED - forfeit "&amp;TEXT(AG94,"0.##")&amp;" days still in EH","Terminated - nothing in EH"),IF(NOT(EH_Ready),"Paste EH export and map headers on Settings",IF(AND(AB94&gt;0,AF94="No"),"SET UP in EH - add "&amp;TEXT(AB94,"0.##")&amp;" day(s) ("&amp;TEXT(AC94,"0.##")&amp;" hrs)",IF(AK94&gt;0,"ADD "&amp;TEXT(AK94,"0.##")&amp;" day(s) ("&amp;TEXT(AL94,"0.##")&amp;" hrs) in EH",IF(AK94&lt;0,"CHECK - EH shows "&amp;TEXT(-AK94,"0.##")&amp;" days more than policy",IF(AB94&gt;0,"OK - up to date",IF(AY94="None","No action - not eligible","No action - not yet qualified"))))))))</f>
        <v/>
      </c>
      <c r="AN94" s="27" t="str">
        <f aca="false">IF(AO94=0,"",TRIM(IF(AND($K94&lt;&gt;"",$H94=""),"Change 2 entered without Change 1. ","")&amp;IF(AND($K94&lt;&gt;"",$H94&lt;&gt;"",$K94&lt;=$H94),"Change 2 date not after Change 1. ","")&amp;IF(AND($N94&lt;&gt;"",$O94&lt;&gt;"",$O94&lt;$N94),"Leave To is before Leave From. ","")&amp;IF(AND($N94&lt;&gt;"",$O94=""),"Leave From entered without Leave To. ","")&amp;IF(AND(IFERROR(VLOOKUP(T94,TypeTable,2,0),"None")="PT",U94=""),"Part-time with no hours entered. ","")&amp;IF(AND($H94&lt;&gt;"",$H94&gt;AsOfDate,AD94&lt;&gt;"",$H94&lt;=AD94),"Status change lands before next accrual - review. ","")&amp;IF(AND($Q94&lt;&gt;"",$Q94&lt;$E94),"Termination before commencement. ","")))</f>
        <v/>
      </c>
      <c r="AO94" s="11" t="n">
        <f aca="false">IF(LEN($A94&amp;$B94&amp;$C94)=0,0,IF($E94="",0,1))</f>
        <v>0</v>
      </c>
      <c r="AP94" s="11" t="str">
        <f aca="false">IF(AO94=0,"",(IF(OR($N94="",$O94=""),0,MAX(0,MIN(X94,$O94)-MAX($N94,$E94)+1))+N($P94)))</f>
        <v/>
      </c>
      <c r="AQ94" s="11" t="str">
        <f aca="false">IF(AO94=0,"",IF(X94&lt;($E94+(IF(OR($N94="",$O94=""),0,MAX(0,MIN(X94,$O94)-MAX($N94,$E94)+1))+N($P94))),-1,12*(YEAR(X94)-YEAR(($E94+(IF(OR($N94="",$O94=""),0,MAX(0,MIN(X94,$O94)-MAX($N94,$E94)+1))+N($P94)))))+MONTH(X94)-MONTH(($E94+(IF(OR($N94="",$O94=""),0,MAX(0,MIN(X94,$O94)-MAX($N94,$E94)+1))+N($P94))))-IF(DAY(X94)&lt;MIN(DAY(($E94+(IF(OR($N94="",$O94=""),0,MAX(0,MIN(X94,$O94)-MAX($N94,$E94)+1))+N($P94)))),DAY(EOMONTH(X94,0))),1,0)))</f>
        <v/>
      </c>
      <c r="AR94" s="28" t="str">
        <f aca="false">IF(AO94=0,"",IF($H94="","",IF($H94&gt;X94,"",$H94)))</f>
        <v/>
      </c>
      <c r="AS94" s="28" t="str">
        <f aca="false">IF(AO94=0,"",IF(AR94="","",IF($K94="","",IF($K94&gt;X94,"",$K94))))</f>
        <v/>
      </c>
      <c r="AT94" s="11" t="str">
        <f aca="false">IF(AO94=0,"",IF(AR94="",AQ94,IF((AR94-1)&lt;($E94+(IF(OR($N94="",$O94=""),0,MAX(0,MIN((AR94-1),$O94)-MAX($N94,$E94)+1))+N($P94))),-1,12*(YEAR((AR94-1))-YEAR(($E94+(IF(OR($N94="",$O94=""),0,MAX(0,MIN((AR94-1),$O94)-MAX($N94,$E94)+1))+N($P94)))))+MONTH((AR94-1))-MONTH(($E94+(IF(OR($N94="",$O94=""),0,MAX(0,MIN((AR94-1),$O94)-MAX($N94,$E94)+1))+N($P94))))-IF(DAY((AR94-1))&lt;MIN(DAY(($E94+(IF(OR($N94="",$O94=""),0,MAX(0,MIN((AR94-1),$O94)-MAX($N94,$E94)+1))+N($P94)))),DAY(EOMONTH((AR94-1),0))),1,0))))</f>
        <v/>
      </c>
      <c r="AU94" s="11" t="str">
        <f aca="false">IF(AO94=0,"",IF(AS94="",AQ94,IF((AS94-1)&lt;($E94+(IF(OR($N94="",$O94=""),0,MAX(0,MIN((AS94-1),$O94)-MAX($N94,$E94)+1))+N($P94))),-1,12*(YEAR((AS94-1))-YEAR(($E94+(IF(OR($N94="",$O94=""),0,MAX(0,MIN((AS94-1),$O94)-MAX($N94,$E94)+1))+N($P94)))))+MONTH((AS94-1))-MONTH(($E94+(IF(OR($N94="",$O94=""),0,MAX(0,MIN((AS94-1),$O94)-MAX($N94,$E94)+1))+N($P94))))-IF(DAY((AS94-1))&lt;MIN(DAY(($E94+(IF(OR($N94="",$O94=""),0,MAX(0,MIN((AS94-1),$O94)-MAX($N94,$E94)+1))+N($P94)))),DAY(EOMONTH((AS94-1),0))),1,0))))</f>
        <v/>
      </c>
      <c r="AV94" s="11" t="str">
        <f aca="false">IF(AO94=0,"",IF($F94="","None",IF(IFERROR(VLOOKUP($F94,TypeTable,2,0),"None")="PT",IF(N($G94)&gt;=PT_MinHours,"PT","None"),IFERROR(VLOOKUP($F94,TypeTable,2,0),"None"))))</f>
        <v/>
      </c>
      <c r="AW94" s="11" t="str">
        <f aca="false">IF(AO94=0,"",IF($I94="","None",IF(IFERROR(VLOOKUP($I94,TypeTable,2,0),"None")="PT",IF(N($J94)&gt;=PT_MinHours,"PT","None"),IFERROR(VLOOKUP($I94,TypeTable,2,0),"None"))))</f>
        <v/>
      </c>
      <c r="AX94" s="11" t="str">
        <f aca="false">IF(AO94=0,"",IF($L94="","None",IF(IFERROR(VLOOKUP($L94,TypeTable,2,0),"None")="PT",IF(N($M94)&gt;=PT_MinHours,"PT","None"),IFERROR(VLOOKUP($L94,TypeTable,2,0),"None"))))</f>
        <v/>
      </c>
      <c r="AY94" s="11" t="str">
        <f aca="false">IF(AO94=0,"",IF(AS94&lt;&gt;"",AX94,IF(AR94&lt;&gt;"",AW94,AV94)))</f>
        <v/>
      </c>
      <c r="AZ94" s="11" t="str">
        <f aca="false">IF(AO94=0,"",IF(AV94="FT",IF(AT94&lt;FT_First,0,IF(AT94&lt;FT_Y5,1+INT((AT94-FT_First)/FT_Int1),FT_PreY5+FT_PerYear*INT((AT94-FT_Y5)/12)+FT_AnnivDays+INT(MOD(AT94-FT_Y5,12)/FT_Int2))),IF(AV94="PT",IF(AT94&lt;PT_First,0,1+INT((AT94-PT_First)/PT_Int)),0)))</f>
        <v/>
      </c>
      <c r="BA94" s="11" t="str">
        <f aca="false">IF(AO94=0,"",IF(AW94="FT",IF(AT94&lt;FT_First,0,IF(AT94&lt;FT_Y5,1+INT((AT94-FT_First)/FT_Int1),FT_PreY5+FT_PerYear*INT((AT94-FT_Y5)/12)+FT_AnnivDays+INT(MOD(AT94-FT_Y5,12)/FT_Int2))),IF(AW94="PT",IF(AT94&lt;PT_First,0,1+INT((AT94-PT_First)/PT_Int)),0)))</f>
        <v/>
      </c>
      <c r="BB94" s="11" t="str">
        <f aca="false">IF(AO94=0,"",IF(AW94="FT",IF(AU94&lt;FT_First,0,IF(AU94&lt;FT_Y5,1+INT((AU94-FT_First)/FT_Int1),FT_PreY5+FT_PerYear*INT((AU94-FT_Y5)/12)+FT_AnnivDays+INT(MOD(AU94-FT_Y5,12)/FT_Int2))),IF(AW94="PT",IF(AU94&lt;PT_First,0,1+INT((AU94-PT_First)/PT_Int)),0)))</f>
        <v/>
      </c>
      <c r="BC94" s="11" t="str">
        <f aca="false">IF(AO94=0,"",IF(AX94="FT",IF(AU94&lt;FT_First,0,IF(AU94&lt;FT_Y5,1+INT((AU94-FT_First)/FT_Int1),FT_PreY5+FT_PerYear*INT((AU94-FT_Y5)/12)+FT_AnnivDays+INT(MOD(AU94-FT_Y5,12)/FT_Int2))),IF(AX94="PT",IF(AU94&lt;PT_First,0,1+INT((AU94-PT_First)/PT_Int)),0)))</f>
        <v/>
      </c>
      <c r="BD94" s="11" t="str">
        <f aca="false">IF(AO94=0,"",IF(AX94="FT",IF(AQ94&lt;FT_First,0,IF(AQ94&lt;FT_Y5,1+INT((AQ94-FT_First)/FT_Int1),FT_PreY5+FT_PerYear*INT((AQ94-FT_Y5)/12)+FT_AnnivDays+INT(MOD(AQ94-FT_Y5,12)/FT_Int2))),IF(AX94="PT",IF(AQ94&lt;PT_First,0,1+INT((AQ94-PT_First)/PT_Int)),0)))</f>
        <v/>
      </c>
      <c r="BE94" s="11" t="str">
        <f aca="false">IF(AO94=0,"",IF(AY94="FT",IF(AQ94&lt;FT_First,FT_First,IF(AQ94&lt;FT_Y5,MIN(FT_Y5,FT_First+FT_Int1*(INT((AQ94-FT_First)/FT_Int1)+1)),FT_Y5+12*INT((AQ94-FT_Y5)/12)+FT_Int2*(INT(MOD(AQ94-FT_Y5,12)/FT_Int2)+1))),IF(AY94="PT",IF(AQ94&lt;PT_First,PT_First,PT_First+PT_Int*(INT((AQ94-PT_First)/PT_Int)+1)),"")))</f>
        <v/>
      </c>
      <c r="BF94" s="11" t="n">
        <f aca="false">IF(AO94=0,0,IF(AND($Q94&lt;&gt;"",$Q94&lt;=AsOfDate),1,0))</f>
        <v>0</v>
      </c>
      <c r="BG94" s="11" t="str">
        <f aca="false">IF(AND(AO94=1,BF94=0,EH_Ready,N(AB94)&gt;0,N(AI94)=0),COUNT($BG$5:BG93)+1,"")</f>
        <v/>
      </c>
      <c r="BH94" s="11" t="str">
        <f aca="false">IF(AND(AO94=1,BF94=0,EH_Ready,N(AB94)&gt;0,N(AI94)&gt;0,N(AK94)&gt;0),COUNT($BH$5:BH93)+1,"")</f>
        <v/>
      </c>
      <c r="BI94" s="11" t="str">
        <f aca="false">IF(AND(AO94=1,OR(LEFT(AM94,3)="ADD",LEFT(AM94,3)="SET",LEFT(AM94,5)="CHECK",LEFT(AM94,10)="TERMINATED")),COUNT($BI$5:BI93)+1,"")</f>
        <v/>
      </c>
      <c r="BJ94" s="11" t="str">
        <f aca="false">IF(AO94=0,"",$A94&amp;" - "&amp;$B94&amp;" "&amp;$C94)</f>
        <v/>
      </c>
    </row>
    <row r="95" customFormat="false" ht="15" hidden="false" customHeight="false" outlineLevel="0" collapsed="false">
      <c r="A95" s="10"/>
      <c r="B95" s="10"/>
      <c r="C95" s="10"/>
      <c r="D95" s="10"/>
      <c r="E95" s="9"/>
      <c r="F95" s="10"/>
      <c r="G95" s="30"/>
      <c r="H95" s="9"/>
      <c r="I95" s="10"/>
      <c r="J95" s="30"/>
      <c r="K95" s="9"/>
      <c r="L95" s="10"/>
      <c r="M95" s="30"/>
      <c r="N95" s="9"/>
      <c r="O95" s="9"/>
      <c r="P95" s="30"/>
      <c r="Q95" s="9"/>
      <c r="R95" s="10"/>
      <c r="S95" s="11" t="str">
        <f aca="false">IF(AO95=0,"",IF($H95="","",$F95&amp;" -&gt; "&amp;$I95&amp;IF($I95="Part-Time"," ("&amp;N($J95)&amp;" hrs)","")&amp;" on "&amp;TEXT($H95,"dd/mm/yyyy")&amp;IF($H95&gt;AsOfDate," (FUTURE)","")&amp;IF($K95="","","; "&amp;$I95&amp;" -&gt; "&amp;$L95&amp;IF($L95="Part-Time"," ("&amp;N($M95)&amp;" hrs)","")&amp;" on "&amp;TEXT($K95,"dd/mm/yyyy")&amp;IF($K95&gt;AsOfDate," (FUTURE)",""))))</f>
        <v/>
      </c>
      <c r="T95" s="11" t="str">
        <f aca="false">IF(AO95=0,"",IF(AS95&lt;&gt;"",$L95,IF(AR95&lt;&gt;"",$I95,$F95)))</f>
        <v/>
      </c>
      <c r="U95" s="26" t="str">
        <f aca="false">IF(AO95=0,"",IF(AS95&lt;&gt;"",$M95,IF(AR95&lt;&gt;"",$J95,$G95)))</f>
        <v/>
      </c>
      <c r="V95" s="11" t="str">
        <f aca="false">IF(AO95=0,"",IF(AY95="FT","Full-Time",IF(AY95="PT","Part-Time","Not eligible")))</f>
        <v/>
      </c>
      <c r="W95" s="27" t="str">
        <f aca="false">IF(AO95=0,"",IF(AR95="",IF(AND($H95&lt;&gt;"",$H95&gt;AsOfDate),"Future change - not yet applied",""),IF(AND(AV95=AY95,OR(AS95="",AW95=AV95)),"Type changed - same accrual pathway",IF(AY95="None","STOPPED accruing from "&amp;TEXT(IF(AS95&lt;&gt;"",AS95,AR95),"dd/mm/yyyy"),IF(AV95="None","STARTED qualifying from "&amp;TEXT(IF(AS95&lt;&gt;"",AS95,AR95),"dd/mm/yyyy"),"Pathway changed "&amp;AV95&amp;" -&gt; "&amp;AW95&amp;IF(AS95&lt;&gt;""," -&gt; "&amp;AX95,"")&amp;" from "&amp;TEXT(IF(AS95&lt;&gt;"",AS95,AR95),"dd/mm/yyyy"))))))</f>
        <v/>
      </c>
      <c r="X95" s="28" t="str">
        <f aca="false">IF(AO95=0,"",IF($Q95="",AsOfDate,MIN(AsOfDate,$Q95)))</f>
        <v/>
      </c>
      <c r="Y95" s="26" t="str">
        <f aca="false">IF(AO95=0,"",MAX(0,AQ95))</f>
        <v/>
      </c>
      <c r="Z95" s="11" t="str">
        <f aca="false">IF(AO95=0,"",IF(AQ95&lt;0,"Not started",INT(AQ95/12)&amp;"y "&amp;MOD(AQ95,12)&amp;"m"))</f>
        <v/>
      </c>
      <c r="AA95" s="27" t="str">
        <f aca="false">IF(AO95=0,"",IF(BF95=1,"Terminated - balance forfeited",IF(AY95="None",IF(AB95&gt;0,"No longer accruing - "&amp;T95,"Not eligible - "&amp;T95&amp;IF(AND(IFERROR(VLOOKUP(T95,TypeTable,2,0),"None")="PT",N(U95)&lt;PT_MinHours)," (under "&amp;PT_MinHours&amp;" hrs)","")),IF(AB95&gt;0,"Yes - accruing","Not yet - qualifies "&amp;TEXT(AD95,"dd/mm/yyyy")))))</f>
        <v/>
      </c>
      <c r="AB95" s="26" t="str">
        <f aca="false">IF(AO95=0,"",AZ95+IF(AR95="",0,BB95-BA95)+IF(AS95="",0,BD95-BC95))</f>
        <v/>
      </c>
      <c r="AC95" s="26" t="str">
        <f aca="false">IF(AO95=0,"",AB95*HoursPerDay)</f>
        <v/>
      </c>
      <c r="AD95" s="28" t="str">
        <f aca="false">IF(AO95=0,"",IF(OR(BF95=1,AY95="None"),"",EDATE($E95+AP95,BE95)))</f>
        <v/>
      </c>
      <c r="AE95" s="26" t="str">
        <f aca="false">IF(AD95="","",IF(AY95="PT",1,IF(BE95&lt;FT_Y5,1,IF(MOD(BE95-FT_Y5,12)=0,FT_AnnivDays,1))))</f>
        <v/>
      </c>
      <c r="AF95" s="27" t="str">
        <f aca="false">IF(AO95=0,"",IF(NOT(EH_Ready),"Map headers",IF(IF(MatchMode="Employee ID",COUNTIFS(INDEX(EH_Data,0,EH_ColID),$A95,INDEX(EH_Data,0,EH_ColCat),BonusCat),COUNTIFS(INDEX(EH_Data,0,EH_ColFirst),$B95,INDEX(EH_Data,0,EH_ColSur),$C95,INDEX(EH_Data,0,EH_ColCat),BonusCat))&gt;0,"Yes","No")))</f>
        <v/>
      </c>
      <c r="AG95" s="26" t="str">
        <f aca="false">IF(AO95=0,"",IF(NOT(EH_Ready),"",IF(MatchMode="Employee ID",SUMIFS(INDEX(EH_Data,0,EH_ColBal),INDEX(EH_Data,0,EH_ColID),$A95,INDEX(EH_Data,0,EH_ColCat),BonusCat),SUMIFS(INDEX(EH_Data,0,EH_ColBal),INDEX(EH_Data,0,EH_ColFirst),$B95,INDEX(EH_Data,0,EH_ColSur),$C95,INDEX(EH_Data,0,EH_ColCat),BonusCat))/IF(EHUnit="Hours",HoursPerDay,1)))</f>
        <v/>
      </c>
      <c r="AH95" s="26" t="str">
        <f aca="false">IF(AO95=0,"",IF(NOT(TK_Ready),0,IF(MatchMode="Employee ID",SUMIFS(INDEX(TK_Data,0,TK_ColAmt),INDEX(TK_Data,0,TK_ColID),$A95,INDEX(TK_Data,0,TK_ColCat),BonusCat),SUMIFS(INDEX(TK_Data,0,TK_ColAmt),INDEX(TK_Data,0,TK_ColFirst),$B95,INDEX(TK_Data,0,TK_ColSur),$C95,INDEX(TK_Data,0,TK_ColCat),BonusCat))/IF(TKUnit="Hours",HoursPerDay,1)))</f>
        <v/>
      </c>
      <c r="AI95" s="26" t="str">
        <f aca="false">IF(AO95=0,"",N(AG95)+N(AH95))</f>
        <v/>
      </c>
      <c r="AJ95" s="29" t="str">
        <f aca="false">IF(AO95=0,"",IF(NOT(AND(EH_Ready,EH_ValReady)),"",IF(MatchMode="Employee ID",SUMIFS(INDEX(EH_Data,0,EH_ColVal),INDEX(EH_Data,0,EH_ColID),$A95,INDEX(EH_Data,0,EH_ColCat),BonusCat),SUMIFS(INDEX(EH_Data,0,EH_ColVal),INDEX(EH_Data,0,EH_ColFirst),$B95,INDEX(EH_Data,0,EH_ColSur),$C95,INDEX(EH_Data,0,EH_ColCat),BonusCat))))</f>
        <v/>
      </c>
      <c r="AK95" s="26" t="str">
        <f aca="false">IF(AO95=0,"",IF(OR(NOT(EH_Ready),BF95=1),"",AB95-AI95))</f>
        <v/>
      </c>
      <c r="AL95" s="26" t="str">
        <f aca="false">IF(AK95="","",AK95*HoursPerDay)</f>
        <v/>
      </c>
      <c r="AM95" s="27" t="str">
        <f aca="false">IF(AO95=0,"",IF(BF95=1,IF(N(AG95)&gt;0,"TERMINATED - forfeit "&amp;TEXT(AG95,"0.##")&amp;" days still in EH","Terminated - nothing in EH"),IF(NOT(EH_Ready),"Paste EH export and map headers on Settings",IF(AND(AB95&gt;0,AF95="No"),"SET UP in EH - add "&amp;TEXT(AB95,"0.##")&amp;" day(s) ("&amp;TEXT(AC95,"0.##")&amp;" hrs)",IF(AK95&gt;0,"ADD "&amp;TEXT(AK95,"0.##")&amp;" day(s) ("&amp;TEXT(AL95,"0.##")&amp;" hrs) in EH",IF(AK95&lt;0,"CHECK - EH shows "&amp;TEXT(-AK95,"0.##")&amp;" days more than policy",IF(AB95&gt;0,"OK - up to date",IF(AY95="None","No action - not eligible","No action - not yet qualified"))))))))</f>
        <v/>
      </c>
      <c r="AN95" s="27" t="str">
        <f aca="false">IF(AO95=0,"",TRIM(IF(AND($K95&lt;&gt;"",$H95=""),"Change 2 entered without Change 1. ","")&amp;IF(AND($K95&lt;&gt;"",$H95&lt;&gt;"",$K95&lt;=$H95),"Change 2 date not after Change 1. ","")&amp;IF(AND($N95&lt;&gt;"",$O95&lt;&gt;"",$O95&lt;$N95),"Leave To is before Leave From. ","")&amp;IF(AND($N95&lt;&gt;"",$O95=""),"Leave From entered without Leave To. ","")&amp;IF(AND(IFERROR(VLOOKUP(T95,TypeTable,2,0),"None")="PT",U95=""),"Part-time with no hours entered. ","")&amp;IF(AND($H95&lt;&gt;"",$H95&gt;AsOfDate,AD95&lt;&gt;"",$H95&lt;=AD95),"Status change lands before next accrual - review. ","")&amp;IF(AND($Q95&lt;&gt;"",$Q95&lt;$E95),"Termination before commencement. ","")))</f>
        <v/>
      </c>
      <c r="AO95" s="11" t="n">
        <f aca="false">IF(LEN($A95&amp;$B95&amp;$C95)=0,0,IF($E95="",0,1))</f>
        <v>0</v>
      </c>
      <c r="AP95" s="11" t="str">
        <f aca="false">IF(AO95=0,"",(IF(OR($N95="",$O95=""),0,MAX(0,MIN(X95,$O95)-MAX($N95,$E95)+1))+N($P95)))</f>
        <v/>
      </c>
      <c r="AQ95" s="11" t="str">
        <f aca="false">IF(AO95=0,"",IF(X95&lt;($E95+(IF(OR($N95="",$O95=""),0,MAX(0,MIN(X95,$O95)-MAX($N95,$E95)+1))+N($P95))),-1,12*(YEAR(X95)-YEAR(($E95+(IF(OR($N95="",$O95=""),0,MAX(0,MIN(X95,$O95)-MAX($N95,$E95)+1))+N($P95)))))+MONTH(X95)-MONTH(($E95+(IF(OR($N95="",$O95=""),0,MAX(0,MIN(X95,$O95)-MAX($N95,$E95)+1))+N($P95))))-IF(DAY(X95)&lt;MIN(DAY(($E95+(IF(OR($N95="",$O95=""),0,MAX(0,MIN(X95,$O95)-MAX($N95,$E95)+1))+N($P95)))),DAY(EOMONTH(X95,0))),1,0)))</f>
        <v/>
      </c>
      <c r="AR95" s="28" t="str">
        <f aca="false">IF(AO95=0,"",IF($H95="","",IF($H95&gt;X95,"",$H95)))</f>
        <v/>
      </c>
      <c r="AS95" s="28" t="str">
        <f aca="false">IF(AO95=0,"",IF(AR95="","",IF($K95="","",IF($K95&gt;X95,"",$K95))))</f>
        <v/>
      </c>
      <c r="AT95" s="11" t="str">
        <f aca="false">IF(AO95=0,"",IF(AR95="",AQ95,IF((AR95-1)&lt;($E95+(IF(OR($N95="",$O95=""),0,MAX(0,MIN((AR95-1),$O95)-MAX($N95,$E95)+1))+N($P95))),-1,12*(YEAR((AR95-1))-YEAR(($E95+(IF(OR($N95="",$O95=""),0,MAX(0,MIN((AR95-1),$O95)-MAX($N95,$E95)+1))+N($P95)))))+MONTH((AR95-1))-MONTH(($E95+(IF(OR($N95="",$O95=""),0,MAX(0,MIN((AR95-1),$O95)-MAX($N95,$E95)+1))+N($P95))))-IF(DAY((AR95-1))&lt;MIN(DAY(($E95+(IF(OR($N95="",$O95=""),0,MAX(0,MIN((AR95-1),$O95)-MAX($N95,$E95)+1))+N($P95)))),DAY(EOMONTH((AR95-1),0))),1,0))))</f>
        <v/>
      </c>
      <c r="AU95" s="11" t="str">
        <f aca="false">IF(AO95=0,"",IF(AS95="",AQ95,IF((AS95-1)&lt;($E95+(IF(OR($N95="",$O95=""),0,MAX(0,MIN((AS95-1),$O95)-MAX($N95,$E95)+1))+N($P95))),-1,12*(YEAR((AS95-1))-YEAR(($E95+(IF(OR($N95="",$O95=""),0,MAX(0,MIN((AS95-1),$O95)-MAX($N95,$E95)+1))+N($P95)))))+MONTH((AS95-1))-MONTH(($E95+(IF(OR($N95="",$O95=""),0,MAX(0,MIN((AS95-1),$O95)-MAX($N95,$E95)+1))+N($P95))))-IF(DAY((AS95-1))&lt;MIN(DAY(($E95+(IF(OR($N95="",$O95=""),0,MAX(0,MIN((AS95-1),$O95)-MAX($N95,$E95)+1))+N($P95)))),DAY(EOMONTH((AS95-1),0))),1,0))))</f>
        <v/>
      </c>
      <c r="AV95" s="11" t="str">
        <f aca="false">IF(AO95=0,"",IF($F95="","None",IF(IFERROR(VLOOKUP($F95,TypeTable,2,0),"None")="PT",IF(N($G95)&gt;=PT_MinHours,"PT","None"),IFERROR(VLOOKUP($F95,TypeTable,2,0),"None"))))</f>
        <v/>
      </c>
      <c r="AW95" s="11" t="str">
        <f aca="false">IF(AO95=0,"",IF($I95="","None",IF(IFERROR(VLOOKUP($I95,TypeTable,2,0),"None")="PT",IF(N($J95)&gt;=PT_MinHours,"PT","None"),IFERROR(VLOOKUP($I95,TypeTable,2,0),"None"))))</f>
        <v/>
      </c>
      <c r="AX95" s="11" t="str">
        <f aca="false">IF(AO95=0,"",IF($L95="","None",IF(IFERROR(VLOOKUP($L95,TypeTable,2,0),"None")="PT",IF(N($M95)&gt;=PT_MinHours,"PT","None"),IFERROR(VLOOKUP($L95,TypeTable,2,0),"None"))))</f>
        <v/>
      </c>
      <c r="AY95" s="11" t="str">
        <f aca="false">IF(AO95=0,"",IF(AS95&lt;&gt;"",AX95,IF(AR95&lt;&gt;"",AW95,AV95)))</f>
        <v/>
      </c>
      <c r="AZ95" s="11" t="str">
        <f aca="false">IF(AO95=0,"",IF(AV95="FT",IF(AT95&lt;FT_First,0,IF(AT95&lt;FT_Y5,1+INT((AT95-FT_First)/FT_Int1),FT_PreY5+FT_PerYear*INT((AT95-FT_Y5)/12)+FT_AnnivDays+INT(MOD(AT95-FT_Y5,12)/FT_Int2))),IF(AV95="PT",IF(AT95&lt;PT_First,0,1+INT((AT95-PT_First)/PT_Int)),0)))</f>
        <v/>
      </c>
      <c r="BA95" s="11" t="str">
        <f aca="false">IF(AO95=0,"",IF(AW95="FT",IF(AT95&lt;FT_First,0,IF(AT95&lt;FT_Y5,1+INT((AT95-FT_First)/FT_Int1),FT_PreY5+FT_PerYear*INT((AT95-FT_Y5)/12)+FT_AnnivDays+INT(MOD(AT95-FT_Y5,12)/FT_Int2))),IF(AW95="PT",IF(AT95&lt;PT_First,0,1+INT((AT95-PT_First)/PT_Int)),0)))</f>
        <v/>
      </c>
      <c r="BB95" s="11" t="str">
        <f aca="false">IF(AO95=0,"",IF(AW95="FT",IF(AU95&lt;FT_First,0,IF(AU95&lt;FT_Y5,1+INT((AU95-FT_First)/FT_Int1),FT_PreY5+FT_PerYear*INT((AU95-FT_Y5)/12)+FT_AnnivDays+INT(MOD(AU95-FT_Y5,12)/FT_Int2))),IF(AW95="PT",IF(AU95&lt;PT_First,0,1+INT((AU95-PT_First)/PT_Int)),0)))</f>
        <v/>
      </c>
      <c r="BC95" s="11" t="str">
        <f aca="false">IF(AO95=0,"",IF(AX95="FT",IF(AU95&lt;FT_First,0,IF(AU95&lt;FT_Y5,1+INT((AU95-FT_First)/FT_Int1),FT_PreY5+FT_PerYear*INT((AU95-FT_Y5)/12)+FT_AnnivDays+INT(MOD(AU95-FT_Y5,12)/FT_Int2))),IF(AX95="PT",IF(AU95&lt;PT_First,0,1+INT((AU95-PT_First)/PT_Int)),0)))</f>
        <v/>
      </c>
      <c r="BD95" s="11" t="str">
        <f aca="false">IF(AO95=0,"",IF(AX95="FT",IF(AQ95&lt;FT_First,0,IF(AQ95&lt;FT_Y5,1+INT((AQ95-FT_First)/FT_Int1),FT_PreY5+FT_PerYear*INT((AQ95-FT_Y5)/12)+FT_AnnivDays+INT(MOD(AQ95-FT_Y5,12)/FT_Int2))),IF(AX95="PT",IF(AQ95&lt;PT_First,0,1+INT((AQ95-PT_First)/PT_Int)),0)))</f>
        <v/>
      </c>
      <c r="BE95" s="11" t="str">
        <f aca="false">IF(AO95=0,"",IF(AY95="FT",IF(AQ95&lt;FT_First,FT_First,IF(AQ95&lt;FT_Y5,MIN(FT_Y5,FT_First+FT_Int1*(INT((AQ95-FT_First)/FT_Int1)+1)),FT_Y5+12*INT((AQ95-FT_Y5)/12)+FT_Int2*(INT(MOD(AQ95-FT_Y5,12)/FT_Int2)+1))),IF(AY95="PT",IF(AQ95&lt;PT_First,PT_First,PT_First+PT_Int*(INT((AQ95-PT_First)/PT_Int)+1)),"")))</f>
        <v/>
      </c>
      <c r="BF95" s="11" t="n">
        <f aca="false">IF(AO95=0,0,IF(AND($Q95&lt;&gt;"",$Q95&lt;=AsOfDate),1,0))</f>
        <v>0</v>
      </c>
      <c r="BG95" s="11" t="str">
        <f aca="false">IF(AND(AO95=1,BF95=0,EH_Ready,N(AB95)&gt;0,N(AI95)=0),COUNT($BG$5:BG94)+1,"")</f>
        <v/>
      </c>
      <c r="BH95" s="11" t="str">
        <f aca="false">IF(AND(AO95=1,BF95=0,EH_Ready,N(AB95)&gt;0,N(AI95)&gt;0,N(AK95)&gt;0),COUNT($BH$5:BH94)+1,"")</f>
        <v/>
      </c>
      <c r="BI95" s="11" t="str">
        <f aca="false">IF(AND(AO95=1,OR(LEFT(AM95,3)="ADD",LEFT(AM95,3)="SET",LEFT(AM95,5)="CHECK",LEFT(AM95,10)="TERMINATED")),COUNT($BI$5:BI94)+1,"")</f>
        <v/>
      </c>
      <c r="BJ95" s="11" t="str">
        <f aca="false">IF(AO95=0,"",$A95&amp;" - "&amp;$B95&amp;" "&amp;$C95)</f>
        <v/>
      </c>
    </row>
    <row r="96" customFormat="false" ht="15" hidden="false" customHeight="false" outlineLevel="0" collapsed="false">
      <c r="A96" s="10"/>
      <c r="B96" s="10"/>
      <c r="C96" s="10"/>
      <c r="D96" s="10"/>
      <c r="E96" s="9"/>
      <c r="F96" s="10"/>
      <c r="G96" s="30"/>
      <c r="H96" s="9"/>
      <c r="I96" s="10"/>
      <c r="J96" s="30"/>
      <c r="K96" s="9"/>
      <c r="L96" s="10"/>
      <c r="M96" s="30"/>
      <c r="N96" s="9"/>
      <c r="O96" s="9"/>
      <c r="P96" s="30"/>
      <c r="Q96" s="9"/>
      <c r="R96" s="10"/>
      <c r="S96" s="11" t="str">
        <f aca="false">IF(AO96=0,"",IF($H96="","",$F96&amp;" -&gt; "&amp;$I96&amp;IF($I96="Part-Time"," ("&amp;N($J96)&amp;" hrs)","")&amp;" on "&amp;TEXT($H96,"dd/mm/yyyy")&amp;IF($H96&gt;AsOfDate," (FUTURE)","")&amp;IF($K96="","","; "&amp;$I96&amp;" -&gt; "&amp;$L96&amp;IF($L96="Part-Time"," ("&amp;N($M96)&amp;" hrs)","")&amp;" on "&amp;TEXT($K96,"dd/mm/yyyy")&amp;IF($K96&gt;AsOfDate," (FUTURE)",""))))</f>
        <v/>
      </c>
      <c r="T96" s="11" t="str">
        <f aca="false">IF(AO96=0,"",IF(AS96&lt;&gt;"",$L96,IF(AR96&lt;&gt;"",$I96,$F96)))</f>
        <v/>
      </c>
      <c r="U96" s="26" t="str">
        <f aca="false">IF(AO96=0,"",IF(AS96&lt;&gt;"",$M96,IF(AR96&lt;&gt;"",$J96,$G96)))</f>
        <v/>
      </c>
      <c r="V96" s="11" t="str">
        <f aca="false">IF(AO96=0,"",IF(AY96="FT","Full-Time",IF(AY96="PT","Part-Time","Not eligible")))</f>
        <v/>
      </c>
      <c r="W96" s="27" t="str">
        <f aca="false">IF(AO96=0,"",IF(AR96="",IF(AND($H96&lt;&gt;"",$H96&gt;AsOfDate),"Future change - not yet applied",""),IF(AND(AV96=AY96,OR(AS96="",AW96=AV96)),"Type changed - same accrual pathway",IF(AY96="None","STOPPED accruing from "&amp;TEXT(IF(AS96&lt;&gt;"",AS96,AR96),"dd/mm/yyyy"),IF(AV96="None","STARTED qualifying from "&amp;TEXT(IF(AS96&lt;&gt;"",AS96,AR96),"dd/mm/yyyy"),"Pathway changed "&amp;AV96&amp;" -&gt; "&amp;AW96&amp;IF(AS96&lt;&gt;""," -&gt; "&amp;AX96,"")&amp;" from "&amp;TEXT(IF(AS96&lt;&gt;"",AS96,AR96),"dd/mm/yyyy"))))))</f>
        <v/>
      </c>
      <c r="X96" s="28" t="str">
        <f aca="false">IF(AO96=0,"",IF($Q96="",AsOfDate,MIN(AsOfDate,$Q96)))</f>
        <v/>
      </c>
      <c r="Y96" s="26" t="str">
        <f aca="false">IF(AO96=0,"",MAX(0,AQ96))</f>
        <v/>
      </c>
      <c r="Z96" s="11" t="str">
        <f aca="false">IF(AO96=0,"",IF(AQ96&lt;0,"Not started",INT(AQ96/12)&amp;"y "&amp;MOD(AQ96,12)&amp;"m"))</f>
        <v/>
      </c>
      <c r="AA96" s="27" t="str">
        <f aca="false">IF(AO96=0,"",IF(BF96=1,"Terminated - balance forfeited",IF(AY96="None",IF(AB96&gt;0,"No longer accruing - "&amp;T96,"Not eligible - "&amp;T96&amp;IF(AND(IFERROR(VLOOKUP(T96,TypeTable,2,0),"None")="PT",N(U96)&lt;PT_MinHours)," (under "&amp;PT_MinHours&amp;" hrs)","")),IF(AB96&gt;0,"Yes - accruing","Not yet - qualifies "&amp;TEXT(AD96,"dd/mm/yyyy")))))</f>
        <v/>
      </c>
      <c r="AB96" s="26" t="str">
        <f aca="false">IF(AO96=0,"",AZ96+IF(AR96="",0,BB96-BA96)+IF(AS96="",0,BD96-BC96))</f>
        <v/>
      </c>
      <c r="AC96" s="26" t="str">
        <f aca="false">IF(AO96=0,"",AB96*HoursPerDay)</f>
        <v/>
      </c>
      <c r="AD96" s="28" t="str">
        <f aca="false">IF(AO96=0,"",IF(OR(BF96=1,AY96="None"),"",EDATE($E96+AP96,BE96)))</f>
        <v/>
      </c>
      <c r="AE96" s="26" t="str">
        <f aca="false">IF(AD96="","",IF(AY96="PT",1,IF(BE96&lt;FT_Y5,1,IF(MOD(BE96-FT_Y5,12)=0,FT_AnnivDays,1))))</f>
        <v/>
      </c>
      <c r="AF96" s="27" t="str">
        <f aca="false">IF(AO96=0,"",IF(NOT(EH_Ready),"Map headers",IF(IF(MatchMode="Employee ID",COUNTIFS(INDEX(EH_Data,0,EH_ColID),$A96,INDEX(EH_Data,0,EH_ColCat),BonusCat),COUNTIFS(INDEX(EH_Data,0,EH_ColFirst),$B96,INDEX(EH_Data,0,EH_ColSur),$C96,INDEX(EH_Data,0,EH_ColCat),BonusCat))&gt;0,"Yes","No")))</f>
        <v/>
      </c>
      <c r="AG96" s="26" t="str">
        <f aca="false">IF(AO96=0,"",IF(NOT(EH_Ready),"",IF(MatchMode="Employee ID",SUMIFS(INDEX(EH_Data,0,EH_ColBal),INDEX(EH_Data,0,EH_ColID),$A96,INDEX(EH_Data,0,EH_ColCat),BonusCat),SUMIFS(INDEX(EH_Data,0,EH_ColBal),INDEX(EH_Data,0,EH_ColFirst),$B96,INDEX(EH_Data,0,EH_ColSur),$C96,INDEX(EH_Data,0,EH_ColCat),BonusCat))/IF(EHUnit="Hours",HoursPerDay,1)))</f>
        <v/>
      </c>
      <c r="AH96" s="26" t="str">
        <f aca="false">IF(AO96=0,"",IF(NOT(TK_Ready),0,IF(MatchMode="Employee ID",SUMIFS(INDEX(TK_Data,0,TK_ColAmt),INDEX(TK_Data,0,TK_ColID),$A96,INDEX(TK_Data,0,TK_ColCat),BonusCat),SUMIFS(INDEX(TK_Data,0,TK_ColAmt),INDEX(TK_Data,0,TK_ColFirst),$B96,INDEX(TK_Data,0,TK_ColSur),$C96,INDEX(TK_Data,0,TK_ColCat),BonusCat))/IF(TKUnit="Hours",HoursPerDay,1)))</f>
        <v/>
      </c>
      <c r="AI96" s="26" t="str">
        <f aca="false">IF(AO96=0,"",N(AG96)+N(AH96))</f>
        <v/>
      </c>
      <c r="AJ96" s="29" t="str">
        <f aca="false">IF(AO96=0,"",IF(NOT(AND(EH_Ready,EH_ValReady)),"",IF(MatchMode="Employee ID",SUMIFS(INDEX(EH_Data,0,EH_ColVal),INDEX(EH_Data,0,EH_ColID),$A96,INDEX(EH_Data,0,EH_ColCat),BonusCat),SUMIFS(INDEX(EH_Data,0,EH_ColVal),INDEX(EH_Data,0,EH_ColFirst),$B96,INDEX(EH_Data,0,EH_ColSur),$C96,INDEX(EH_Data,0,EH_ColCat),BonusCat))))</f>
        <v/>
      </c>
      <c r="AK96" s="26" t="str">
        <f aca="false">IF(AO96=0,"",IF(OR(NOT(EH_Ready),BF96=1),"",AB96-AI96))</f>
        <v/>
      </c>
      <c r="AL96" s="26" t="str">
        <f aca="false">IF(AK96="","",AK96*HoursPerDay)</f>
        <v/>
      </c>
      <c r="AM96" s="27" t="str">
        <f aca="false">IF(AO96=0,"",IF(BF96=1,IF(N(AG96)&gt;0,"TERMINATED - forfeit "&amp;TEXT(AG96,"0.##")&amp;" days still in EH","Terminated - nothing in EH"),IF(NOT(EH_Ready),"Paste EH export and map headers on Settings",IF(AND(AB96&gt;0,AF96="No"),"SET UP in EH - add "&amp;TEXT(AB96,"0.##")&amp;" day(s) ("&amp;TEXT(AC96,"0.##")&amp;" hrs)",IF(AK96&gt;0,"ADD "&amp;TEXT(AK96,"0.##")&amp;" day(s) ("&amp;TEXT(AL96,"0.##")&amp;" hrs) in EH",IF(AK96&lt;0,"CHECK - EH shows "&amp;TEXT(-AK96,"0.##")&amp;" days more than policy",IF(AB96&gt;0,"OK - up to date",IF(AY96="None","No action - not eligible","No action - not yet qualified"))))))))</f>
        <v/>
      </c>
      <c r="AN96" s="27" t="str">
        <f aca="false">IF(AO96=0,"",TRIM(IF(AND($K96&lt;&gt;"",$H96=""),"Change 2 entered without Change 1. ","")&amp;IF(AND($K96&lt;&gt;"",$H96&lt;&gt;"",$K96&lt;=$H96),"Change 2 date not after Change 1. ","")&amp;IF(AND($N96&lt;&gt;"",$O96&lt;&gt;"",$O96&lt;$N96),"Leave To is before Leave From. ","")&amp;IF(AND($N96&lt;&gt;"",$O96=""),"Leave From entered without Leave To. ","")&amp;IF(AND(IFERROR(VLOOKUP(T96,TypeTable,2,0),"None")="PT",U96=""),"Part-time with no hours entered. ","")&amp;IF(AND($H96&lt;&gt;"",$H96&gt;AsOfDate,AD96&lt;&gt;"",$H96&lt;=AD96),"Status change lands before next accrual - review. ","")&amp;IF(AND($Q96&lt;&gt;"",$Q96&lt;$E96),"Termination before commencement. ","")))</f>
        <v/>
      </c>
      <c r="AO96" s="11" t="n">
        <f aca="false">IF(LEN($A96&amp;$B96&amp;$C96)=0,0,IF($E96="",0,1))</f>
        <v>0</v>
      </c>
      <c r="AP96" s="11" t="str">
        <f aca="false">IF(AO96=0,"",(IF(OR($N96="",$O96=""),0,MAX(0,MIN(X96,$O96)-MAX($N96,$E96)+1))+N($P96)))</f>
        <v/>
      </c>
      <c r="AQ96" s="11" t="str">
        <f aca="false">IF(AO96=0,"",IF(X96&lt;($E96+(IF(OR($N96="",$O96=""),0,MAX(0,MIN(X96,$O96)-MAX($N96,$E96)+1))+N($P96))),-1,12*(YEAR(X96)-YEAR(($E96+(IF(OR($N96="",$O96=""),0,MAX(0,MIN(X96,$O96)-MAX($N96,$E96)+1))+N($P96)))))+MONTH(X96)-MONTH(($E96+(IF(OR($N96="",$O96=""),0,MAX(0,MIN(X96,$O96)-MAX($N96,$E96)+1))+N($P96))))-IF(DAY(X96)&lt;MIN(DAY(($E96+(IF(OR($N96="",$O96=""),0,MAX(0,MIN(X96,$O96)-MAX($N96,$E96)+1))+N($P96)))),DAY(EOMONTH(X96,0))),1,0)))</f>
        <v/>
      </c>
      <c r="AR96" s="28" t="str">
        <f aca="false">IF(AO96=0,"",IF($H96="","",IF($H96&gt;X96,"",$H96)))</f>
        <v/>
      </c>
      <c r="AS96" s="28" t="str">
        <f aca="false">IF(AO96=0,"",IF(AR96="","",IF($K96="","",IF($K96&gt;X96,"",$K96))))</f>
        <v/>
      </c>
      <c r="AT96" s="11" t="str">
        <f aca="false">IF(AO96=0,"",IF(AR96="",AQ96,IF((AR96-1)&lt;($E96+(IF(OR($N96="",$O96=""),0,MAX(0,MIN((AR96-1),$O96)-MAX($N96,$E96)+1))+N($P96))),-1,12*(YEAR((AR96-1))-YEAR(($E96+(IF(OR($N96="",$O96=""),0,MAX(0,MIN((AR96-1),$O96)-MAX($N96,$E96)+1))+N($P96)))))+MONTH((AR96-1))-MONTH(($E96+(IF(OR($N96="",$O96=""),0,MAX(0,MIN((AR96-1),$O96)-MAX($N96,$E96)+1))+N($P96))))-IF(DAY((AR96-1))&lt;MIN(DAY(($E96+(IF(OR($N96="",$O96=""),0,MAX(0,MIN((AR96-1),$O96)-MAX($N96,$E96)+1))+N($P96)))),DAY(EOMONTH((AR96-1),0))),1,0))))</f>
        <v/>
      </c>
      <c r="AU96" s="11" t="str">
        <f aca="false">IF(AO96=0,"",IF(AS96="",AQ96,IF((AS96-1)&lt;($E96+(IF(OR($N96="",$O96=""),0,MAX(0,MIN((AS96-1),$O96)-MAX($N96,$E96)+1))+N($P96))),-1,12*(YEAR((AS96-1))-YEAR(($E96+(IF(OR($N96="",$O96=""),0,MAX(0,MIN((AS96-1),$O96)-MAX($N96,$E96)+1))+N($P96)))))+MONTH((AS96-1))-MONTH(($E96+(IF(OR($N96="",$O96=""),0,MAX(0,MIN((AS96-1),$O96)-MAX($N96,$E96)+1))+N($P96))))-IF(DAY((AS96-1))&lt;MIN(DAY(($E96+(IF(OR($N96="",$O96=""),0,MAX(0,MIN((AS96-1),$O96)-MAX($N96,$E96)+1))+N($P96)))),DAY(EOMONTH((AS96-1),0))),1,0))))</f>
        <v/>
      </c>
      <c r="AV96" s="11" t="str">
        <f aca="false">IF(AO96=0,"",IF($F96="","None",IF(IFERROR(VLOOKUP($F96,TypeTable,2,0),"None")="PT",IF(N($G96)&gt;=PT_MinHours,"PT","None"),IFERROR(VLOOKUP($F96,TypeTable,2,0),"None"))))</f>
        <v/>
      </c>
      <c r="AW96" s="11" t="str">
        <f aca="false">IF(AO96=0,"",IF($I96="","None",IF(IFERROR(VLOOKUP($I96,TypeTable,2,0),"None")="PT",IF(N($J96)&gt;=PT_MinHours,"PT","None"),IFERROR(VLOOKUP($I96,TypeTable,2,0),"None"))))</f>
        <v/>
      </c>
      <c r="AX96" s="11" t="str">
        <f aca="false">IF(AO96=0,"",IF($L96="","None",IF(IFERROR(VLOOKUP($L96,TypeTable,2,0),"None")="PT",IF(N($M96)&gt;=PT_MinHours,"PT","None"),IFERROR(VLOOKUP($L96,TypeTable,2,0),"None"))))</f>
        <v/>
      </c>
      <c r="AY96" s="11" t="str">
        <f aca="false">IF(AO96=0,"",IF(AS96&lt;&gt;"",AX96,IF(AR96&lt;&gt;"",AW96,AV96)))</f>
        <v/>
      </c>
      <c r="AZ96" s="11" t="str">
        <f aca="false">IF(AO96=0,"",IF(AV96="FT",IF(AT96&lt;FT_First,0,IF(AT96&lt;FT_Y5,1+INT((AT96-FT_First)/FT_Int1),FT_PreY5+FT_PerYear*INT((AT96-FT_Y5)/12)+FT_AnnivDays+INT(MOD(AT96-FT_Y5,12)/FT_Int2))),IF(AV96="PT",IF(AT96&lt;PT_First,0,1+INT((AT96-PT_First)/PT_Int)),0)))</f>
        <v/>
      </c>
      <c r="BA96" s="11" t="str">
        <f aca="false">IF(AO96=0,"",IF(AW96="FT",IF(AT96&lt;FT_First,0,IF(AT96&lt;FT_Y5,1+INT((AT96-FT_First)/FT_Int1),FT_PreY5+FT_PerYear*INT((AT96-FT_Y5)/12)+FT_AnnivDays+INT(MOD(AT96-FT_Y5,12)/FT_Int2))),IF(AW96="PT",IF(AT96&lt;PT_First,0,1+INT((AT96-PT_First)/PT_Int)),0)))</f>
        <v/>
      </c>
      <c r="BB96" s="11" t="str">
        <f aca="false">IF(AO96=0,"",IF(AW96="FT",IF(AU96&lt;FT_First,0,IF(AU96&lt;FT_Y5,1+INT((AU96-FT_First)/FT_Int1),FT_PreY5+FT_PerYear*INT((AU96-FT_Y5)/12)+FT_AnnivDays+INT(MOD(AU96-FT_Y5,12)/FT_Int2))),IF(AW96="PT",IF(AU96&lt;PT_First,0,1+INT((AU96-PT_First)/PT_Int)),0)))</f>
        <v/>
      </c>
      <c r="BC96" s="11" t="str">
        <f aca="false">IF(AO96=0,"",IF(AX96="FT",IF(AU96&lt;FT_First,0,IF(AU96&lt;FT_Y5,1+INT((AU96-FT_First)/FT_Int1),FT_PreY5+FT_PerYear*INT((AU96-FT_Y5)/12)+FT_AnnivDays+INT(MOD(AU96-FT_Y5,12)/FT_Int2))),IF(AX96="PT",IF(AU96&lt;PT_First,0,1+INT((AU96-PT_First)/PT_Int)),0)))</f>
        <v/>
      </c>
      <c r="BD96" s="11" t="str">
        <f aca="false">IF(AO96=0,"",IF(AX96="FT",IF(AQ96&lt;FT_First,0,IF(AQ96&lt;FT_Y5,1+INT((AQ96-FT_First)/FT_Int1),FT_PreY5+FT_PerYear*INT((AQ96-FT_Y5)/12)+FT_AnnivDays+INT(MOD(AQ96-FT_Y5,12)/FT_Int2))),IF(AX96="PT",IF(AQ96&lt;PT_First,0,1+INT((AQ96-PT_First)/PT_Int)),0)))</f>
        <v/>
      </c>
      <c r="BE96" s="11" t="str">
        <f aca="false">IF(AO96=0,"",IF(AY96="FT",IF(AQ96&lt;FT_First,FT_First,IF(AQ96&lt;FT_Y5,MIN(FT_Y5,FT_First+FT_Int1*(INT((AQ96-FT_First)/FT_Int1)+1)),FT_Y5+12*INT((AQ96-FT_Y5)/12)+FT_Int2*(INT(MOD(AQ96-FT_Y5,12)/FT_Int2)+1))),IF(AY96="PT",IF(AQ96&lt;PT_First,PT_First,PT_First+PT_Int*(INT((AQ96-PT_First)/PT_Int)+1)),"")))</f>
        <v/>
      </c>
      <c r="BF96" s="11" t="n">
        <f aca="false">IF(AO96=0,0,IF(AND($Q96&lt;&gt;"",$Q96&lt;=AsOfDate),1,0))</f>
        <v>0</v>
      </c>
      <c r="BG96" s="11" t="str">
        <f aca="false">IF(AND(AO96=1,BF96=0,EH_Ready,N(AB96)&gt;0,N(AI96)=0),COUNT($BG$5:BG95)+1,"")</f>
        <v/>
      </c>
      <c r="BH96" s="11" t="str">
        <f aca="false">IF(AND(AO96=1,BF96=0,EH_Ready,N(AB96)&gt;0,N(AI96)&gt;0,N(AK96)&gt;0),COUNT($BH$5:BH95)+1,"")</f>
        <v/>
      </c>
      <c r="BI96" s="11" t="str">
        <f aca="false">IF(AND(AO96=1,OR(LEFT(AM96,3)="ADD",LEFT(AM96,3)="SET",LEFT(AM96,5)="CHECK",LEFT(AM96,10)="TERMINATED")),COUNT($BI$5:BI95)+1,"")</f>
        <v/>
      </c>
      <c r="BJ96" s="11" t="str">
        <f aca="false">IF(AO96=0,"",$A96&amp;" - "&amp;$B96&amp;" "&amp;$C96)</f>
        <v/>
      </c>
    </row>
    <row r="97" customFormat="false" ht="15" hidden="false" customHeight="false" outlineLevel="0" collapsed="false">
      <c r="A97" s="10"/>
      <c r="B97" s="10"/>
      <c r="C97" s="10"/>
      <c r="D97" s="10"/>
      <c r="E97" s="9"/>
      <c r="F97" s="10"/>
      <c r="G97" s="30"/>
      <c r="H97" s="9"/>
      <c r="I97" s="10"/>
      <c r="J97" s="30"/>
      <c r="K97" s="9"/>
      <c r="L97" s="10"/>
      <c r="M97" s="30"/>
      <c r="N97" s="9"/>
      <c r="O97" s="9"/>
      <c r="P97" s="30"/>
      <c r="Q97" s="9"/>
      <c r="R97" s="10"/>
      <c r="S97" s="11" t="str">
        <f aca="false">IF(AO97=0,"",IF($H97="","",$F97&amp;" -&gt; "&amp;$I97&amp;IF($I97="Part-Time"," ("&amp;N($J97)&amp;" hrs)","")&amp;" on "&amp;TEXT($H97,"dd/mm/yyyy")&amp;IF($H97&gt;AsOfDate," (FUTURE)","")&amp;IF($K97="","","; "&amp;$I97&amp;" -&gt; "&amp;$L97&amp;IF($L97="Part-Time"," ("&amp;N($M97)&amp;" hrs)","")&amp;" on "&amp;TEXT($K97,"dd/mm/yyyy")&amp;IF($K97&gt;AsOfDate," (FUTURE)",""))))</f>
        <v/>
      </c>
      <c r="T97" s="11" t="str">
        <f aca="false">IF(AO97=0,"",IF(AS97&lt;&gt;"",$L97,IF(AR97&lt;&gt;"",$I97,$F97)))</f>
        <v/>
      </c>
      <c r="U97" s="26" t="str">
        <f aca="false">IF(AO97=0,"",IF(AS97&lt;&gt;"",$M97,IF(AR97&lt;&gt;"",$J97,$G97)))</f>
        <v/>
      </c>
      <c r="V97" s="11" t="str">
        <f aca="false">IF(AO97=0,"",IF(AY97="FT","Full-Time",IF(AY97="PT","Part-Time","Not eligible")))</f>
        <v/>
      </c>
      <c r="W97" s="27" t="str">
        <f aca="false">IF(AO97=0,"",IF(AR97="",IF(AND($H97&lt;&gt;"",$H97&gt;AsOfDate),"Future change - not yet applied",""),IF(AND(AV97=AY97,OR(AS97="",AW97=AV97)),"Type changed - same accrual pathway",IF(AY97="None","STOPPED accruing from "&amp;TEXT(IF(AS97&lt;&gt;"",AS97,AR97),"dd/mm/yyyy"),IF(AV97="None","STARTED qualifying from "&amp;TEXT(IF(AS97&lt;&gt;"",AS97,AR97),"dd/mm/yyyy"),"Pathway changed "&amp;AV97&amp;" -&gt; "&amp;AW97&amp;IF(AS97&lt;&gt;""," -&gt; "&amp;AX97,"")&amp;" from "&amp;TEXT(IF(AS97&lt;&gt;"",AS97,AR97),"dd/mm/yyyy"))))))</f>
        <v/>
      </c>
      <c r="X97" s="28" t="str">
        <f aca="false">IF(AO97=0,"",IF($Q97="",AsOfDate,MIN(AsOfDate,$Q97)))</f>
        <v/>
      </c>
      <c r="Y97" s="26" t="str">
        <f aca="false">IF(AO97=0,"",MAX(0,AQ97))</f>
        <v/>
      </c>
      <c r="Z97" s="11" t="str">
        <f aca="false">IF(AO97=0,"",IF(AQ97&lt;0,"Not started",INT(AQ97/12)&amp;"y "&amp;MOD(AQ97,12)&amp;"m"))</f>
        <v/>
      </c>
      <c r="AA97" s="27" t="str">
        <f aca="false">IF(AO97=0,"",IF(BF97=1,"Terminated - balance forfeited",IF(AY97="None",IF(AB97&gt;0,"No longer accruing - "&amp;T97,"Not eligible - "&amp;T97&amp;IF(AND(IFERROR(VLOOKUP(T97,TypeTable,2,0),"None")="PT",N(U97)&lt;PT_MinHours)," (under "&amp;PT_MinHours&amp;" hrs)","")),IF(AB97&gt;0,"Yes - accruing","Not yet - qualifies "&amp;TEXT(AD97,"dd/mm/yyyy")))))</f>
        <v/>
      </c>
      <c r="AB97" s="26" t="str">
        <f aca="false">IF(AO97=0,"",AZ97+IF(AR97="",0,BB97-BA97)+IF(AS97="",0,BD97-BC97))</f>
        <v/>
      </c>
      <c r="AC97" s="26" t="str">
        <f aca="false">IF(AO97=0,"",AB97*HoursPerDay)</f>
        <v/>
      </c>
      <c r="AD97" s="28" t="str">
        <f aca="false">IF(AO97=0,"",IF(OR(BF97=1,AY97="None"),"",EDATE($E97+AP97,BE97)))</f>
        <v/>
      </c>
      <c r="AE97" s="26" t="str">
        <f aca="false">IF(AD97="","",IF(AY97="PT",1,IF(BE97&lt;FT_Y5,1,IF(MOD(BE97-FT_Y5,12)=0,FT_AnnivDays,1))))</f>
        <v/>
      </c>
      <c r="AF97" s="27" t="str">
        <f aca="false">IF(AO97=0,"",IF(NOT(EH_Ready),"Map headers",IF(IF(MatchMode="Employee ID",COUNTIFS(INDEX(EH_Data,0,EH_ColID),$A97,INDEX(EH_Data,0,EH_ColCat),BonusCat),COUNTIFS(INDEX(EH_Data,0,EH_ColFirst),$B97,INDEX(EH_Data,0,EH_ColSur),$C97,INDEX(EH_Data,0,EH_ColCat),BonusCat))&gt;0,"Yes","No")))</f>
        <v/>
      </c>
      <c r="AG97" s="26" t="str">
        <f aca="false">IF(AO97=0,"",IF(NOT(EH_Ready),"",IF(MatchMode="Employee ID",SUMIFS(INDEX(EH_Data,0,EH_ColBal),INDEX(EH_Data,0,EH_ColID),$A97,INDEX(EH_Data,0,EH_ColCat),BonusCat),SUMIFS(INDEX(EH_Data,0,EH_ColBal),INDEX(EH_Data,0,EH_ColFirst),$B97,INDEX(EH_Data,0,EH_ColSur),$C97,INDEX(EH_Data,0,EH_ColCat),BonusCat))/IF(EHUnit="Hours",HoursPerDay,1)))</f>
        <v/>
      </c>
      <c r="AH97" s="26" t="str">
        <f aca="false">IF(AO97=0,"",IF(NOT(TK_Ready),0,IF(MatchMode="Employee ID",SUMIFS(INDEX(TK_Data,0,TK_ColAmt),INDEX(TK_Data,0,TK_ColID),$A97,INDEX(TK_Data,0,TK_ColCat),BonusCat),SUMIFS(INDEX(TK_Data,0,TK_ColAmt),INDEX(TK_Data,0,TK_ColFirst),$B97,INDEX(TK_Data,0,TK_ColSur),$C97,INDEX(TK_Data,0,TK_ColCat),BonusCat))/IF(TKUnit="Hours",HoursPerDay,1)))</f>
        <v/>
      </c>
      <c r="AI97" s="26" t="str">
        <f aca="false">IF(AO97=0,"",N(AG97)+N(AH97))</f>
        <v/>
      </c>
      <c r="AJ97" s="29" t="str">
        <f aca="false">IF(AO97=0,"",IF(NOT(AND(EH_Ready,EH_ValReady)),"",IF(MatchMode="Employee ID",SUMIFS(INDEX(EH_Data,0,EH_ColVal),INDEX(EH_Data,0,EH_ColID),$A97,INDEX(EH_Data,0,EH_ColCat),BonusCat),SUMIFS(INDEX(EH_Data,0,EH_ColVal),INDEX(EH_Data,0,EH_ColFirst),$B97,INDEX(EH_Data,0,EH_ColSur),$C97,INDEX(EH_Data,0,EH_ColCat),BonusCat))))</f>
        <v/>
      </c>
      <c r="AK97" s="26" t="str">
        <f aca="false">IF(AO97=0,"",IF(OR(NOT(EH_Ready),BF97=1),"",AB97-AI97))</f>
        <v/>
      </c>
      <c r="AL97" s="26" t="str">
        <f aca="false">IF(AK97="","",AK97*HoursPerDay)</f>
        <v/>
      </c>
      <c r="AM97" s="27" t="str">
        <f aca="false">IF(AO97=0,"",IF(BF97=1,IF(N(AG97)&gt;0,"TERMINATED - forfeit "&amp;TEXT(AG97,"0.##")&amp;" days still in EH","Terminated - nothing in EH"),IF(NOT(EH_Ready),"Paste EH export and map headers on Settings",IF(AND(AB97&gt;0,AF97="No"),"SET UP in EH - add "&amp;TEXT(AB97,"0.##")&amp;" day(s) ("&amp;TEXT(AC97,"0.##")&amp;" hrs)",IF(AK97&gt;0,"ADD "&amp;TEXT(AK97,"0.##")&amp;" day(s) ("&amp;TEXT(AL97,"0.##")&amp;" hrs) in EH",IF(AK97&lt;0,"CHECK - EH shows "&amp;TEXT(-AK97,"0.##")&amp;" days more than policy",IF(AB97&gt;0,"OK - up to date",IF(AY97="None","No action - not eligible","No action - not yet qualified"))))))))</f>
        <v/>
      </c>
      <c r="AN97" s="27" t="str">
        <f aca="false">IF(AO97=0,"",TRIM(IF(AND($K97&lt;&gt;"",$H97=""),"Change 2 entered without Change 1. ","")&amp;IF(AND($K97&lt;&gt;"",$H97&lt;&gt;"",$K97&lt;=$H97),"Change 2 date not after Change 1. ","")&amp;IF(AND($N97&lt;&gt;"",$O97&lt;&gt;"",$O97&lt;$N97),"Leave To is before Leave From. ","")&amp;IF(AND($N97&lt;&gt;"",$O97=""),"Leave From entered without Leave To. ","")&amp;IF(AND(IFERROR(VLOOKUP(T97,TypeTable,2,0),"None")="PT",U97=""),"Part-time with no hours entered. ","")&amp;IF(AND($H97&lt;&gt;"",$H97&gt;AsOfDate,AD97&lt;&gt;"",$H97&lt;=AD97),"Status change lands before next accrual - review. ","")&amp;IF(AND($Q97&lt;&gt;"",$Q97&lt;$E97),"Termination before commencement. ","")))</f>
        <v/>
      </c>
      <c r="AO97" s="11" t="n">
        <f aca="false">IF(LEN($A97&amp;$B97&amp;$C97)=0,0,IF($E97="",0,1))</f>
        <v>0</v>
      </c>
      <c r="AP97" s="11" t="str">
        <f aca="false">IF(AO97=0,"",(IF(OR($N97="",$O97=""),0,MAX(0,MIN(X97,$O97)-MAX($N97,$E97)+1))+N($P97)))</f>
        <v/>
      </c>
      <c r="AQ97" s="11" t="str">
        <f aca="false">IF(AO97=0,"",IF(X97&lt;($E97+(IF(OR($N97="",$O97=""),0,MAX(0,MIN(X97,$O97)-MAX($N97,$E97)+1))+N($P97))),-1,12*(YEAR(X97)-YEAR(($E97+(IF(OR($N97="",$O97=""),0,MAX(0,MIN(X97,$O97)-MAX($N97,$E97)+1))+N($P97)))))+MONTH(X97)-MONTH(($E97+(IF(OR($N97="",$O97=""),0,MAX(0,MIN(X97,$O97)-MAX($N97,$E97)+1))+N($P97))))-IF(DAY(X97)&lt;MIN(DAY(($E97+(IF(OR($N97="",$O97=""),0,MAX(0,MIN(X97,$O97)-MAX($N97,$E97)+1))+N($P97)))),DAY(EOMONTH(X97,0))),1,0)))</f>
        <v/>
      </c>
      <c r="AR97" s="28" t="str">
        <f aca="false">IF(AO97=0,"",IF($H97="","",IF($H97&gt;X97,"",$H97)))</f>
        <v/>
      </c>
      <c r="AS97" s="28" t="str">
        <f aca="false">IF(AO97=0,"",IF(AR97="","",IF($K97="","",IF($K97&gt;X97,"",$K97))))</f>
        <v/>
      </c>
      <c r="AT97" s="11" t="str">
        <f aca="false">IF(AO97=0,"",IF(AR97="",AQ97,IF((AR97-1)&lt;($E97+(IF(OR($N97="",$O97=""),0,MAX(0,MIN((AR97-1),$O97)-MAX($N97,$E97)+1))+N($P97))),-1,12*(YEAR((AR97-1))-YEAR(($E97+(IF(OR($N97="",$O97=""),0,MAX(0,MIN((AR97-1),$O97)-MAX($N97,$E97)+1))+N($P97)))))+MONTH((AR97-1))-MONTH(($E97+(IF(OR($N97="",$O97=""),0,MAX(0,MIN((AR97-1),$O97)-MAX($N97,$E97)+1))+N($P97))))-IF(DAY((AR97-1))&lt;MIN(DAY(($E97+(IF(OR($N97="",$O97=""),0,MAX(0,MIN((AR97-1),$O97)-MAX($N97,$E97)+1))+N($P97)))),DAY(EOMONTH((AR97-1),0))),1,0))))</f>
        <v/>
      </c>
      <c r="AU97" s="11" t="str">
        <f aca="false">IF(AO97=0,"",IF(AS97="",AQ97,IF((AS97-1)&lt;($E97+(IF(OR($N97="",$O97=""),0,MAX(0,MIN((AS97-1),$O97)-MAX($N97,$E97)+1))+N($P97))),-1,12*(YEAR((AS97-1))-YEAR(($E97+(IF(OR($N97="",$O97=""),0,MAX(0,MIN((AS97-1),$O97)-MAX($N97,$E97)+1))+N($P97)))))+MONTH((AS97-1))-MONTH(($E97+(IF(OR($N97="",$O97=""),0,MAX(0,MIN((AS97-1),$O97)-MAX($N97,$E97)+1))+N($P97))))-IF(DAY((AS97-1))&lt;MIN(DAY(($E97+(IF(OR($N97="",$O97=""),0,MAX(0,MIN((AS97-1),$O97)-MAX($N97,$E97)+1))+N($P97)))),DAY(EOMONTH((AS97-1),0))),1,0))))</f>
        <v/>
      </c>
      <c r="AV97" s="11" t="str">
        <f aca="false">IF(AO97=0,"",IF($F97="","None",IF(IFERROR(VLOOKUP($F97,TypeTable,2,0),"None")="PT",IF(N($G97)&gt;=PT_MinHours,"PT","None"),IFERROR(VLOOKUP($F97,TypeTable,2,0),"None"))))</f>
        <v/>
      </c>
      <c r="AW97" s="11" t="str">
        <f aca="false">IF(AO97=0,"",IF($I97="","None",IF(IFERROR(VLOOKUP($I97,TypeTable,2,0),"None")="PT",IF(N($J97)&gt;=PT_MinHours,"PT","None"),IFERROR(VLOOKUP($I97,TypeTable,2,0),"None"))))</f>
        <v/>
      </c>
      <c r="AX97" s="11" t="str">
        <f aca="false">IF(AO97=0,"",IF($L97="","None",IF(IFERROR(VLOOKUP($L97,TypeTable,2,0),"None")="PT",IF(N($M97)&gt;=PT_MinHours,"PT","None"),IFERROR(VLOOKUP($L97,TypeTable,2,0),"None"))))</f>
        <v/>
      </c>
      <c r="AY97" s="11" t="str">
        <f aca="false">IF(AO97=0,"",IF(AS97&lt;&gt;"",AX97,IF(AR97&lt;&gt;"",AW97,AV97)))</f>
        <v/>
      </c>
      <c r="AZ97" s="11" t="str">
        <f aca="false">IF(AO97=0,"",IF(AV97="FT",IF(AT97&lt;FT_First,0,IF(AT97&lt;FT_Y5,1+INT((AT97-FT_First)/FT_Int1),FT_PreY5+FT_PerYear*INT((AT97-FT_Y5)/12)+FT_AnnivDays+INT(MOD(AT97-FT_Y5,12)/FT_Int2))),IF(AV97="PT",IF(AT97&lt;PT_First,0,1+INT((AT97-PT_First)/PT_Int)),0)))</f>
        <v/>
      </c>
      <c r="BA97" s="11" t="str">
        <f aca="false">IF(AO97=0,"",IF(AW97="FT",IF(AT97&lt;FT_First,0,IF(AT97&lt;FT_Y5,1+INT((AT97-FT_First)/FT_Int1),FT_PreY5+FT_PerYear*INT((AT97-FT_Y5)/12)+FT_AnnivDays+INT(MOD(AT97-FT_Y5,12)/FT_Int2))),IF(AW97="PT",IF(AT97&lt;PT_First,0,1+INT((AT97-PT_First)/PT_Int)),0)))</f>
        <v/>
      </c>
      <c r="BB97" s="11" t="str">
        <f aca="false">IF(AO97=0,"",IF(AW97="FT",IF(AU97&lt;FT_First,0,IF(AU97&lt;FT_Y5,1+INT((AU97-FT_First)/FT_Int1),FT_PreY5+FT_PerYear*INT((AU97-FT_Y5)/12)+FT_AnnivDays+INT(MOD(AU97-FT_Y5,12)/FT_Int2))),IF(AW97="PT",IF(AU97&lt;PT_First,0,1+INT((AU97-PT_First)/PT_Int)),0)))</f>
        <v/>
      </c>
      <c r="BC97" s="11" t="str">
        <f aca="false">IF(AO97=0,"",IF(AX97="FT",IF(AU97&lt;FT_First,0,IF(AU97&lt;FT_Y5,1+INT((AU97-FT_First)/FT_Int1),FT_PreY5+FT_PerYear*INT((AU97-FT_Y5)/12)+FT_AnnivDays+INT(MOD(AU97-FT_Y5,12)/FT_Int2))),IF(AX97="PT",IF(AU97&lt;PT_First,0,1+INT((AU97-PT_First)/PT_Int)),0)))</f>
        <v/>
      </c>
      <c r="BD97" s="11" t="str">
        <f aca="false">IF(AO97=0,"",IF(AX97="FT",IF(AQ97&lt;FT_First,0,IF(AQ97&lt;FT_Y5,1+INT((AQ97-FT_First)/FT_Int1),FT_PreY5+FT_PerYear*INT((AQ97-FT_Y5)/12)+FT_AnnivDays+INT(MOD(AQ97-FT_Y5,12)/FT_Int2))),IF(AX97="PT",IF(AQ97&lt;PT_First,0,1+INT((AQ97-PT_First)/PT_Int)),0)))</f>
        <v/>
      </c>
      <c r="BE97" s="11" t="str">
        <f aca="false">IF(AO97=0,"",IF(AY97="FT",IF(AQ97&lt;FT_First,FT_First,IF(AQ97&lt;FT_Y5,MIN(FT_Y5,FT_First+FT_Int1*(INT((AQ97-FT_First)/FT_Int1)+1)),FT_Y5+12*INT((AQ97-FT_Y5)/12)+FT_Int2*(INT(MOD(AQ97-FT_Y5,12)/FT_Int2)+1))),IF(AY97="PT",IF(AQ97&lt;PT_First,PT_First,PT_First+PT_Int*(INT((AQ97-PT_First)/PT_Int)+1)),"")))</f>
        <v/>
      </c>
      <c r="BF97" s="11" t="n">
        <f aca="false">IF(AO97=0,0,IF(AND($Q97&lt;&gt;"",$Q97&lt;=AsOfDate),1,0))</f>
        <v>0</v>
      </c>
      <c r="BG97" s="11" t="str">
        <f aca="false">IF(AND(AO97=1,BF97=0,EH_Ready,N(AB97)&gt;0,N(AI97)=0),COUNT($BG$5:BG96)+1,"")</f>
        <v/>
      </c>
      <c r="BH97" s="11" t="str">
        <f aca="false">IF(AND(AO97=1,BF97=0,EH_Ready,N(AB97)&gt;0,N(AI97)&gt;0,N(AK97)&gt;0),COUNT($BH$5:BH96)+1,"")</f>
        <v/>
      </c>
      <c r="BI97" s="11" t="str">
        <f aca="false">IF(AND(AO97=1,OR(LEFT(AM97,3)="ADD",LEFT(AM97,3)="SET",LEFT(AM97,5)="CHECK",LEFT(AM97,10)="TERMINATED")),COUNT($BI$5:BI96)+1,"")</f>
        <v/>
      </c>
      <c r="BJ97" s="11" t="str">
        <f aca="false">IF(AO97=0,"",$A97&amp;" - "&amp;$B97&amp;" "&amp;$C97)</f>
        <v/>
      </c>
    </row>
    <row r="98" customFormat="false" ht="15" hidden="false" customHeight="false" outlineLevel="0" collapsed="false">
      <c r="A98" s="10"/>
      <c r="B98" s="10"/>
      <c r="C98" s="10"/>
      <c r="D98" s="10"/>
      <c r="E98" s="9"/>
      <c r="F98" s="10"/>
      <c r="G98" s="30"/>
      <c r="H98" s="9"/>
      <c r="I98" s="10"/>
      <c r="J98" s="30"/>
      <c r="K98" s="9"/>
      <c r="L98" s="10"/>
      <c r="M98" s="30"/>
      <c r="N98" s="9"/>
      <c r="O98" s="9"/>
      <c r="P98" s="30"/>
      <c r="Q98" s="9"/>
      <c r="R98" s="10"/>
      <c r="S98" s="11" t="str">
        <f aca="false">IF(AO98=0,"",IF($H98="","",$F98&amp;" -&gt; "&amp;$I98&amp;IF($I98="Part-Time"," ("&amp;N($J98)&amp;" hrs)","")&amp;" on "&amp;TEXT($H98,"dd/mm/yyyy")&amp;IF($H98&gt;AsOfDate," (FUTURE)","")&amp;IF($K98="","","; "&amp;$I98&amp;" -&gt; "&amp;$L98&amp;IF($L98="Part-Time"," ("&amp;N($M98)&amp;" hrs)","")&amp;" on "&amp;TEXT($K98,"dd/mm/yyyy")&amp;IF($K98&gt;AsOfDate," (FUTURE)",""))))</f>
        <v/>
      </c>
      <c r="T98" s="11" t="str">
        <f aca="false">IF(AO98=0,"",IF(AS98&lt;&gt;"",$L98,IF(AR98&lt;&gt;"",$I98,$F98)))</f>
        <v/>
      </c>
      <c r="U98" s="26" t="str">
        <f aca="false">IF(AO98=0,"",IF(AS98&lt;&gt;"",$M98,IF(AR98&lt;&gt;"",$J98,$G98)))</f>
        <v/>
      </c>
      <c r="V98" s="11" t="str">
        <f aca="false">IF(AO98=0,"",IF(AY98="FT","Full-Time",IF(AY98="PT","Part-Time","Not eligible")))</f>
        <v/>
      </c>
      <c r="W98" s="27" t="str">
        <f aca="false">IF(AO98=0,"",IF(AR98="",IF(AND($H98&lt;&gt;"",$H98&gt;AsOfDate),"Future change - not yet applied",""),IF(AND(AV98=AY98,OR(AS98="",AW98=AV98)),"Type changed - same accrual pathway",IF(AY98="None","STOPPED accruing from "&amp;TEXT(IF(AS98&lt;&gt;"",AS98,AR98),"dd/mm/yyyy"),IF(AV98="None","STARTED qualifying from "&amp;TEXT(IF(AS98&lt;&gt;"",AS98,AR98),"dd/mm/yyyy"),"Pathway changed "&amp;AV98&amp;" -&gt; "&amp;AW98&amp;IF(AS98&lt;&gt;""," -&gt; "&amp;AX98,"")&amp;" from "&amp;TEXT(IF(AS98&lt;&gt;"",AS98,AR98),"dd/mm/yyyy"))))))</f>
        <v/>
      </c>
      <c r="X98" s="28" t="str">
        <f aca="false">IF(AO98=0,"",IF($Q98="",AsOfDate,MIN(AsOfDate,$Q98)))</f>
        <v/>
      </c>
      <c r="Y98" s="26" t="str">
        <f aca="false">IF(AO98=0,"",MAX(0,AQ98))</f>
        <v/>
      </c>
      <c r="Z98" s="11" t="str">
        <f aca="false">IF(AO98=0,"",IF(AQ98&lt;0,"Not started",INT(AQ98/12)&amp;"y "&amp;MOD(AQ98,12)&amp;"m"))</f>
        <v/>
      </c>
      <c r="AA98" s="27" t="str">
        <f aca="false">IF(AO98=0,"",IF(BF98=1,"Terminated - balance forfeited",IF(AY98="None",IF(AB98&gt;0,"No longer accruing - "&amp;T98,"Not eligible - "&amp;T98&amp;IF(AND(IFERROR(VLOOKUP(T98,TypeTable,2,0),"None")="PT",N(U98)&lt;PT_MinHours)," (under "&amp;PT_MinHours&amp;" hrs)","")),IF(AB98&gt;0,"Yes - accruing","Not yet - qualifies "&amp;TEXT(AD98,"dd/mm/yyyy")))))</f>
        <v/>
      </c>
      <c r="AB98" s="26" t="str">
        <f aca="false">IF(AO98=0,"",AZ98+IF(AR98="",0,BB98-BA98)+IF(AS98="",0,BD98-BC98))</f>
        <v/>
      </c>
      <c r="AC98" s="26" t="str">
        <f aca="false">IF(AO98=0,"",AB98*HoursPerDay)</f>
        <v/>
      </c>
      <c r="AD98" s="28" t="str">
        <f aca="false">IF(AO98=0,"",IF(OR(BF98=1,AY98="None"),"",EDATE($E98+AP98,BE98)))</f>
        <v/>
      </c>
      <c r="AE98" s="26" t="str">
        <f aca="false">IF(AD98="","",IF(AY98="PT",1,IF(BE98&lt;FT_Y5,1,IF(MOD(BE98-FT_Y5,12)=0,FT_AnnivDays,1))))</f>
        <v/>
      </c>
      <c r="AF98" s="27" t="str">
        <f aca="false">IF(AO98=0,"",IF(NOT(EH_Ready),"Map headers",IF(IF(MatchMode="Employee ID",COUNTIFS(INDEX(EH_Data,0,EH_ColID),$A98,INDEX(EH_Data,0,EH_ColCat),BonusCat),COUNTIFS(INDEX(EH_Data,0,EH_ColFirst),$B98,INDEX(EH_Data,0,EH_ColSur),$C98,INDEX(EH_Data,0,EH_ColCat),BonusCat))&gt;0,"Yes","No")))</f>
        <v/>
      </c>
      <c r="AG98" s="26" t="str">
        <f aca="false">IF(AO98=0,"",IF(NOT(EH_Ready),"",IF(MatchMode="Employee ID",SUMIFS(INDEX(EH_Data,0,EH_ColBal),INDEX(EH_Data,0,EH_ColID),$A98,INDEX(EH_Data,0,EH_ColCat),BonusCat),SUMIFS(INDEX(EH_Data,0,EH_ColBal),INDEX(EH_Data,0,EH_ColFirst),$B98,INDEX(EH_Data,0,EH_ColSur),$C98,INDEX(EH_Data,0,EH_ColCat),BonusCat))/IF(EHUnit="Hours",HoursPerDay,1)))</f>
        <v/>
      </c>
      <c r="AH98" s="26" t="str">
        <f aca="false">IF(AO98=0,"",IF(NOT(TK_Ready),0,IF(MatchMode="Employee ID",SUMIFS(INDEX(TK_Data,0,TK_ColAmt),INDEX(TK_Data,0,TK_ColID),$A98,INDEX(TK_Data,0,TK_ColCat),BonusCat),SUMIFS(INDEX(TK_Data,0,TK_ColAmt),INDEX(TK_Data,0,TK_ColFirst),$B98,INDEX(TK_Data,0,TK_ColSur),$C98,INDEX(TK_Data,0,TK_ColCat),BonusCat))/IF(TKUnit="Hours",HoursPerDay,1)))</f>
        <v/>
      </c>
      <c r="AI98" s="26" t="str">
        <f aca="false">IF(AO98=0,"",N(AG98)+N(AH98))</f>
        <v/>
      </c>
      <c r="AJ98" s="29" t="str">
        <f aca="false">IF(AO98=0,"",IF(NOT(AND(EH_Ready,EH_ValReady)),"",IF(MatchMode="Employee ID",SUMIFS(INDEX(EH_Data,0,EH_ColVal),INDEX(EH_Data,0,EH_ColID),$A98,INDEX(EH_Data,0,EH_ColCat),BonusCat),SUMIFS(INDEX(EH_Data,0,EH_ColVal),INDEX(EH_Data,0,EH_ColFirst),$B98,INDEX(EH_Data,0,EH_ColSur),$C98,INDEX(EH_Data,0,EH_ColCat),BonusCat))))</f>
        <v/>
      </c>
      <c r="AK98" s="26" t="str">
        <f aca="false">IF(AO98=0,"",IF(OR(NOT(EH_Ready),BF98=1),"",AB98-AI98))</f>
        <v/>
      </c>
      <c r="AL98" s="26" t="str">
        <f aca="false">IF(AK98="","",AK98*HoursPerDay)</f>
        <v/>
      </c>
      <c r="AM98" s="27" t="str">
        <f aca="false">IF(AO98=0,"",IF(BF98=1,IF(N(AG98)&gt;0,"TERMINATED - forfeit "&amp;TEXT(AG98,"0.##")&amp;" days still in EH","Terminated - nothing in EH"),IF(NOT(EH_Ready),"Paste EH export and map headers on Settings",IF(AND(AB98&gt;0,AF98="No"),"SET UP in EH - add "&amp;TEXT(AB98,"0.##")&amp;" day(s) ("&amp;TEXT(AC98,"0.##")&amp;" hrs)",IF(AK98&gt;0,"ADD "&amp;TEXT(AK98,"0.##")&amp;" day(s) ("&amp;TEXT(AL98,"0.##")&amp;" hrs) in EH",IF(AK98&lt;0,"CHECK - EH shows "&amp;TEXT(-AK98,"0.##")&amp;" days more than policy",IF(AB98&gt;0,"OK - up to date",IF(AY98="None","No action - not eligible","No action - not yet qualified"))))))))</f>
        <v/>
      </c>
      <c r="AN98" s="27" t="str">
        <f aca="false">IF(AO98=0,"",TRIM(IF(AND($K98&lt;&gt;"",$H98=""),"Change 2 entered without Change 1. ","")&amp;IF(AND($K98&lt;&gt;"",$H98&lt;&gt;"",$K98&lt;=$H98),"Change 2 date not after Change 1. ","")&amp;IF(AND($N98&lt;&gt;"",$O98&lt;&gt;"",$O98&lt;$N98),"Leave To is before Leave From. ","")&amp;IF(AND($N98&lt;&gt;"",$O98=""),"Leave From entered without Leave To. ","")&amp;IF(AND(IFERROR(VLOOKUP(T98,TypeTable,2,0),"None")="PT",U98=""),"Part-time with no hours entered. ","")&amp;IF(AND($H98&lt;&gt;"",$H98&gt;AsOfDate,AD98&lt;&gt;"",$H98&lt;=AD98),"Status change lands before next accrual - review. ","")&amp;IF(AND($Q98&lt;&gt;"",$Q98&lt;$E98),"Termination before commencement. ","")))</f>
        <v/>
      </c>
      <c r="AO98" s="11" t="n">
        <f aca="false">IF(LEN($A98&amp;$B98&amp;$C98)=0,0,IF($E98="",0,1))</f>
        <v>0</v>
      </c>
      <c r="AP98" s="11" t="str">
        <f aca="false">IF(AO98=0,"",(IF(OR($N98="",$O98=""),0,MAX(0,MIN(X98,$O98)-MAX($N98,$E98)+1))+N($P98)))</f>
        <v/>
      </c>
      <c r="AQ98" s="11" t="str">
        <f aca="false">IF(AO98=0,"",IF(X98&lt;($E98+(IF(OR($N98="",$O98=""),0,MAX(0,MIN(X98,$O98)-MAX($N98,$E98)+1))+N($P98))),-1,12*(YEAR(X98)-YEAR(($E98+(IF(OR($N98="",$O98=""),0,MAX(0,MIN(X98,$O98)-MAX($N98,$E98)+1))+N($P98)))))+MONTH(X98)-MONTH(($E98+(IF(OR($N98="",$O98=""),0,MAX(0,MIN(X98,$O98)-MAX($N98,$E98)+1))+N($P98))))-IF(DAY(X98)&lt;MIN(DAY(($E98+(IF(OR($N98="",$O98=""),0,MAX(0,MIN(X98,$O98)-MAX($N98,$E98)+1))+N($P98)))),DAY(EOMONTH(X98,0))),1,0)))</f>
        <v/>
      </c>
      <c r="AR98" s="28" t="str">
        <f aca="false">IF(AO98=0,"",IF($H98="","",IF($H98&gt;X98,"",$H98)))</f>
        <v/>
      </c>
      <c r="AS98" s="28" t="str">
        <f aca="false">IF(AO98=0,"",IF(AR98="","",IF($K98="","",IF($K98&gt;X98,"",$K98))))</f>
        <v/>
      </c>
      <c r="AT98" s="11" t="str">
        <f aca="false">IF(AO98=0,"",IF(AR98="",AQ98,IF((AR98-1)&lt;($E98+(IF(OR($N98="",$O98=""),0,MAX(0,MIN((AR98-1),$O98)-MAX($N98,$E98)+1))+N($P98))),-1,12*(YEAR((AR98-1))-YEAR(($E98+(IF(OR($N98="",$O98=""),0,MAX(0,MIN((AR98-1),$O98)-MAX($N98,$E98)+1))+N($P98)))))+MONTH((AR98-1))-MONTH(($E98+(IF(OR($N98="",$O98=""),0,MAX(0,MIN((AR98-1),$O98)-MAX($N98,$E98)+1))+N($P98))))-IF(DAY((AR98-1))&lt;MIN(DAY(($E98+(IF(OR($N98="",$O98=""),0,MAX(0,MIN((AR98-1),$O98)-MAX($N98,$E98)+1))+N($P98)))),DAY(EOMONTH((AR98-1),0))),1,0))))</f>
        <v/>
      </c>
      <c r="AU98" s="11" t="str">
        <f aca="false">IF(AO98=0,"",IF(AS98="",AQ98,IF((AS98-1)&lt;($E98+(IF(OR($N98="",$O98=""),0,MAX(0,MIN((AS98-1),$O98)-MAX($N98,$E98)+1))+N($P98))),-1,12*(YEAR((AS98-1))-YEAR(($E98+(IF(OR($N98="",$O98=""),0,MAX(0,MIN((AS98-1),$O98)-MAX($N98,$E98)+1))+N($P98)))))+MONTH((AS98-1))-MONTH(($E98+(IF(OR($N98="",$O98=""),0,MAX(0,MIN((AS98-1),$O98)-MAX($N98,$E98)+1))+N($P98))))-IF(DAY((AS98-1))&lt;MIN(DAY(($E98+(IF(OR($N98="",$O98=""),0,MAX(0,MIN((AS98-1),$O98)-MAX($N98,$E98)+1))+N($P98)))),DAY(EOMONTH((AS98-1),0))),1,0))))</f>
        <v/>
      </c>
      <c r="AV98" s="11" t="str">
        <f aca="false">IF(AO98=0,"",IF($F98="","None",IF(IFERROR(VLOOKUP($F98,TypeTable,2,0),"None")="PT",IF(N($G98)&gt;=PT_MinHours,"PT","None"),IFERROR(VLOOKUP($F98,TypeTable,2,0),"None"))))</f>
        <v/>
      </c>
      <c r="AW98" s="11" t="str">
        <f aca="false">IF(AO98=0,"",IF($I98="","None",IF(IFERROR(VLOOKUP($I98,TypeTable,2,0),"None")="PT",IF(N($J98)&gt;=PT_MinHours,"PT","None"),IFERROR(VLOOKUP($I98,TypeTable,2,0),"None"))))</f>
        <v/>
      </c>
      <c r="AX98" s="11" t="str">
        <f aca="false">IF(AO98=0,"",IF($L98="","None",IF(IFERROR(VLOOKUP($L98,TypeTable,2,0),"None")="PT",IF(N($M98)&gt;=PT_MinHours,"PT","None"),IFERROR(VLOOKUP($L98,TypeTable,2,0),"None"))))</f>
        <v/>
      </c>
      <c r="AY98" s="11" t="str">
        <f aca="false">IF(AO98=0,"",IF(AS98&lt;&gt;"",AX98,IF(AR98&lt;&gt;"",AW98,AV98)))</f>
        <v/>
      </c>
      <c r="AZ98" s="11" t="str">
        <f aca="false">IF(AO98=0,"",IF(AV98="FT",IF(AT98&lt;FT_First,0,IF(AT98&lt;FT_Y5,1+INT((AT98-FT_First)/FT_Int1),FT_PreY5+FT_PerYear*INT((AT98-FT_Y5)/12)+FT_AnnivDays+INT(MOD(AT98-FT_Y5,12)/FT_Int2))),IF(AV98="PT",IF(AT98&lt;PT_First,0,1+INT((AT98-PT_First)/PT_Int)),0)))</f>
        <v/>
      </c>
      <c r="BA98" s="11" t="str">
        <f aca="false">IF(AO98=0,"",IF(AW98="FT",IF(AT98&lt;FT_First,0,IF(AT98&lt;FT_Y5,1+INT((AT98-FT_First)/FT_Int1),FT_PreY5+FT_PerYear*INT((AT98-FT_Y5)/12)+FT_AnnivDays+INT(MOD(AT98-FT_Y5,12)/FT_Int2))),IF(AW98="PT",IF(AT98&lt;PT_First,0,1+INT((AT98-PT_First)/PT_Int)),0)))</f>
        <v/>
      </c>
      <c r="BB98" s="11" t="str">
        <f aca="false">IF(AO98=0,"",IF(AW98="FT",IF(AU98&lt;FT_First,0,IF(AU98&lt;FT_Y5,1+INT((AU98-FT_First)/FT_Int1),FT_PreY5+FT_PerYear*INT((AU98-FT_Y5)/12)+FT_AnnivDays+INT(MOD(AU98-FT_Y5,12)/FT_Int2))),IF(AW98="PT",IF(AU98&lt;PT_First,0,1+INT((AU98-PT_First)/PT_Int)),0)))</f>
        <v/>
      </c>
      <c r="BC98" s="11" t="str">
        <f aca="false">IF(AO98=0,"",IF(AX98="FT",IF(AU98&lt;FT_First,0,IF(AU98&lt;FT_Y5,1+INT((AU98-FT_First)/FT_Int1),FT_PreY5+FT_PerYear*INT((AU98-FT_Y5)/12)+FT_AnnivDays+INT(MOD(AU98-FT_Y5,12)/FT_Int2))),IF(AX98="PT",IF(AU98&lt;PT_First,0,1+INT((AU98-PT_First)/PT_Int)),0)))</f>
        <v/>
      </c>
      <c r="BD98" s="11" t="str">
        <f aca="false">IF(AO98=0,"",IF(AX98="FT",IF(AQ98&lt;FT_First,0,IF(AQ98&lt;FT_Y5,1+INT((AQ98-FT_First)/FT_Int1),FT_PreY5+FT_PerYear*INT((AQ98-FT_Y5)/12)+FT_AnnivDays+INT(MOD(AQ98-FT_Y5,12)/FT_Int2))),IF(AX98="PT",IF(AQ98&lt;PT_First,0,1+INT((AQ98-PT_First)/PT_Int)),0)))</f>
        <v/>
      </c>
      <c r="BE98" s="11" t="str">
        <f aca="false">IF(AO98=0,"",IF(AY98="FT",IF(AQ98&lt;FT_First,FT_First,IF(AQ98&lt;FT_Y5,MIN(FT_Y5,FT_First+FT_Int1*(INT((AQ98-FT_First)/FT_Int1)+1)),FT_Y5+12*INT((AQ98-FT_Y5)/12)+FT_Int2*(INT(MOD(AQ98-FT_Y5,12)/FT_Int2)+1))),IF(AY98="PT",IF(AQ98&lt;PT_First,PT_First,PT_First+PT_Int*(INT((AQ98-PT_First)/PT_Int)+1)),"")))</f>
        <v/>
      </c>
      <c r="BF98" s="11" t="n">
        <f aca="false">IF(AO98=0,0,IF(AND($Q98&lt;&gt;"",$Q98&lt;=AsOfDate),1,0))</f>
        <v>0</v>
      </c>
      <c r="BG98" s="11" t="str">
        <f aca="false">IF(AND(AO98=1,BF98=0,EH_Ready,N(AB98)&gt;0,N(AI98)=0),COUNT($BG$5:BG97)+1,"")</f>
        <v/>
      </c>
      <c r="BH98" s="11" t="str">
        <f aca="false">IF(AND(AO98=1,BF98=0,EH_Ready,N(AB98)&gt;0,N(AI98)&gt;0,N(AK98)&gt;0),COUNT($BH$5:BH97)+1,"")</f>
        <v/>
      </c>
      <c r="BI98" s="11" t="str">
        <f aca="false">IF(AND(AO98=1,OR(LEFT(AM98,3)="ADD",LEFT(AM98,3)="SET",LEFT(AM98,5)="CHECK",LEFT(AM98,10)="TERMINATED")),COUNT($BI$5:BI97)+1,"")</f>
        <v/>
      </c>
      <c r="BJ98" s="11" t="str">
        <f aca="false">IF(AO98=0,"",$A98&amp;" - "&amp;$B98&amp;" "&amp;$C98)</f>
        <v/>
      </c>
    </row>
    <row r="99" customFormat="false" ht="15" hidden="false" customHeight="false" outlineLevel="0" collapsed="false">
      <c r="A99" s="10"/>
      <c r="B99" s="10"/>
      <c r="C99" s="10"/>
      <c r="D99" s="10"/>
      <c r="E99" s="9"/>
      <c r="F99" s="10"/>
      <c r="G99" s="30"/>
      <c r="H99" s="9"/>
      <c r="I99" s="10"/>
      <c r="J99" s="30"/>
      <c r="K99" s="9"/>
      <c r="L99" s="10"/>
      <c r="M99" s="30"/>
      <c r="N99" s="9"/>
      <c r="O99" s="9"/>
      <c r="P99" s="30"/>
      <c r="Q99" s="9"/>
      <c r="R99" s="10"/>
      <c r="S99" s="11" t="str">
        <f aca="false">IF(AO99=0,"",IF($H99="","",$F99&amp;" -&gt; "&amp;$I99&amp;IF($I99="Part-Time"," ("&amp;N($J99)&amp;" hrs)","")&amp;" on "&amp;TEXT($H99,"dd/mm/yyyy")&amp;IF($H99&gt;AsOfDate," (FUTURE)","")&amp;IF($K99="","","; "&amp;$I99&amp;" -&gt; "&amp;$L99&amp;IF($L99="Part-Time"," ("&amp;N($M99)&amp;" hrs)","")&amp;" on "&amp;TEXT($K99,"dd/mm/yyyy")&amp;IF($K99&gt;AsOfDate," (FUTURE)",""))))</f>
        <v/>
      </c>
      <c r="T99" s="11" t="str">
        <f aca="false">IF(AO99=0,"",IF(AS99&lt;&gt;"",$L99,IF(AR99&lt;&gt;"",$I99,$F99)))</f>
        <v/>
      </c>
      <c r="U99" s="26" t="str">
        <f aca="false">IF(AO99=0,"",IF(AS99&lt;&gt;"",$M99,IF(AR99&lt;&gt;"",$J99,$G99)))</f>
        <v/>
      </c>
      <c r="V99" s="11" t="str">
        <f aca="false">IF(AO99=0,"",IF(AY99="FT","Full-Time",IF(AY99="PT","Part-Time","Not eligible")))</f>
        <v/>
      </c>
      <c r="W99" s="27" t="str">
        <f aca="false">IF(AO99=0,"",IF(AR99="",IF(AND($H99&lt;&gt;"",$H99&gt;AsOfDate),"Future change - not yet applied",""),IF(AND(AV99=AY99,OR(AS99="",AW99=AV99)),"Type changed - same accrual pathway",IF(AY99="None","STOPPED accruing from "&amp;TEXT(IF(AS99&lt;&gt;"",AS99,AR99),"dd/mm/yyyy"),IF(AV99="None","STARTED qualifying from "&amp;TEXT(IF(AS99&lt;&gt;"",AS99,AR99),"dd/mm/yyyy"),"Pathway changed "&amp;AV99&amp;" -&gt; "&amp;AW99&amp;IF(AS99&lt;&gt;""," -&gt; "&amp;AX99,"")&amp;" from "&amp;TEXT(IF(AS99&lt;&gt;"",AS99,AR99),"dd/mm/yyyy"))))))</f>
        <v/>
      </c>
      <c r="X99" s="28" t="str">
        <f aca="false">IF(AO99=0,"",IF($Q99="",AsOfDate,MIN(AsOfDate,$Q99)))</f>
        <v/>
      </c>
      <c r="Y99" s="26" t="str">
        <f aca="false">IF(AO99=0,"",MAX(0,AQ99))</f>
        <v/>
      </c>
      <c r="Z99" s="11" t="str">
        <f aca="false">IF(AO99=0,"",IF(AQ99&lt;0,"Not started",INT(AQ99/12)&amp;"y "&amp;MOD(AQ99,12)&amp;"m"))</f>
        <v/>
      </c>
      <c r="AA99" s="27" t="str">
        <f aca="false">IF(AO99=0,"",IF(BF99=1,"Terminated - balance forfeited",IF(AY99="None",IF(AB99&gt;0,"No longer accruing - "&amp;T99,"Not eligible - "&amp;T99&amp;IF(AND(IFERROR(VLOOKUP(T99,TypeTable,2,0),"None")="PT",N(U99)&lt;PT_MinHours)," (under "&amp;PT_MinHours&amp;" hrs)","")),IF(AB99&gt;0,"Yes - accruing","Not yet - qualifies "&amp;TEXT(AD99,"dd/mm/yyyy")))))</f>
        <v/>
      </c>
      <c r="AB99" s="26" t="str">
        <f aca="false">IF(AO99=0,"",AZ99+IF(AR99="",0,BB99-BA99)+IF(AS99="",0,BD99-BC99))</f>
        <v/>
      </c>
      <c r="AC99" s="26" t="str">
        <f aca="false">IF(AO99=0,"",AB99*HoursPerDay)</f>
        <v/>
      </c>
      <c r="AD99" s="28" t="str">
        <f aca="false">IF(AO99=0,"",IF(OR(BF99=1,AY99="None"),"",EDATE($E99+AP99,BE99)))</f>
        <v/>
      </c>
      <c r="AE99" s="26" t="str">
        <f aca="false">IF(AD99="","",IF(AY99="PT",1,IF(BE99&lt;FT_Y5,1,IF(MOD(BE99-FT_Y5,12)=0,FT_AnnivDays,1))))</f>
        <v/>
      </c>
      <c r="AF99" s="27" t="str">
        <f aca="false">IF(AO99=0,"",IF(NOT(EH_Ready),"Map headers",IF(IF(MatchMode="Employee ID",COUNTIFS(INDEX(EH_Data,0,EH_ColID),$A99,INDEX(EH_Data,0,EH_ColCat),BonusCat),COUNTIFS(INDEX(EH_Data,0,EH_ColFirst),$B99,INDEX(EH_Data,0,EH_ColSur),$C99,INDEX(EH_Data,0,EH_ColCat),BonusCat))&gt;0,"Yes","No")))</f>
        <v/>
      </c>
      <c r="AG99" s="26" t="str">
        <f aca="false">IF(AO99=0,"",IF(NOT(EH_Ready),"",IF(MatchMode="Employee ID",SUMIFS(INDEX(EH_Data,0,EH_ColBal),INDEX(EH_Data,0,EH_ColID),$A99,INDEX(EH_Data,0,EH_ColCat),BonusCat),SUMIFS(INDEX(EH_Data,0,EH_ColBal),INDEX(EH_Data,0,EH_ColFirst),$B99,INDEX(EH_Data,0,EH_ColSur),$C99,INDEX(EH_Data,0,EH_ColCat),BonusCat))/IF(EHUnit="Hours",HoursPerDay,1)))</f>
        <v/>
      </c>
      <c r="AH99" s="26" t="str">
        <f aca="false">IF(AO99=0,"",IF(NOT(TK_Ready),0,IF(MatchMode="Employee ID",SUMIFS(INDEX(TK_Data,0,TK_ColAmt),INDEX(TK_Data,0,TK_ColID),$A99,INDEX(TK_Data,0,TK_ColCat),BonusCat),SUMIFS(INDEX(TK_Data,0,TK_ColAmt),INDEX(TK_Data,0,TK_ColFirst),$B99,INDEX(TK_Data,0,TK_ColSur),$C99,INDEX(TK_Data,0,TK_ColCat),BonusCat))/IF(TKUnit="Hours",HoursPerDay,1)))</f>
        <v/>
      </c>
      <c r="AI99" s="26" t="str">
        <f aca="false">IF(AO99=0,"",N(AG99)+N(AH99))</f>
        <v/>
      </c>
      <c r="AJ99" s="29" t="str">
        <f aca="false">IF(AO99=0,"",IF(NOT(AND(EH_Ready,EH_ValReady)),"",IF(MatchMode="Employee ID",SUMIFS(INDEX(EH_Data,0,EH_ColVal),INDEX(EH_Data,0,EH_ColID),$A99,INDEX(EH_Data,0,EH_ColCat),BonusCat),SUMIFS(INDEX(EH_Data,0,EH_ColVal),INDEX(EH_Data,0,EH_ColFirst),$B99,INDEX(EH_Data,0,EH_ColSur),$C99,INDEX(EH_Data,0,EH_ColCat),BonusCat))))</f>
        <v/>
      </c>
      <c r="AK99" s="26" t="str">
        <f aca="false">IF(AO99=0,"",IF(OR(NOT(EH_Ready),BF99=1),"",AB99-AI99))</f>
        <v/>
      </c>
      <c r="AL99" s="26" t="str">
        <f aca="false">IF(AK99="","",AK99*HoursPerDay)</f>
        <v/>
      </c>
      <c r="AM99" s="27" t="str">
        <f aca="false">IF(AO99=0,"",IF(BF99=1,IF(N(AG99)&gt;0,"TERMINATED - forfeit "&amp;TEXT(AG99,"0.##")&amp;" days still in EH","Terminated - nothing in EH"),IF(NOT(EH_Ready),"Paste EH export and map headers on Settings",IF(AND(AB99&gt;0,AF99="No"),"SET UP in EH - add "&amp;TEXT(AB99,"0.##")&amp;" day(s) ("&amp;TEXT(AC99,"0.##")&amp;" hrs)",IF(AK99&gt;0,"ADD "&amp;TEXT(AK99,"0.##")&amp;" day(s) ("&amp;TEXT(AL99,"0.##")&amp;" hrs) in EH",IF(AK99&lt;0,"CHECK - EH shows "&amp;TEXT(-AK99,"0.##")&amp;" days more than policy",IF(AB99&gt;0,"OK - up to date",IF(AY99="None","No action - not eligible","No action - not yet qualified"))))))))</f>
        <v/>
      </c>
      <c r="AN99" s="27" t="str">
        <f aca="false">IF(AO99=0,"",TRIM(IF(AND($K99&lt;&gt;"",$H99=""),"Change 2 entered without Change 1. ","")&amp;IF(AND($K99&lt;&gt;"",$H99&lt;&gt;"",$K99&lt;=$H99),"Change 2 date not after Change 1. ","")&amp;IF(AND($N99&lt;&gt;"",$O99&lt;&gt;"",$O99&lt;$N99),"Leave To is before Leave From. ","")&amp;IF(AND($N99&lt;&gt;"",$O99=""),"Leave From entered without Leave To. ","")&amp;IF(AND(IFERROR(VLOOKUP(T99,TypeTable,2,0),"None")="PT",U99=""),"Part-time with no hours entered. ","")&amp;IF(AND($H99&lt;&gt;"",$H99&gt;AsOfDate,AD99&lt;&gt;"",$H99&lt;=AD99),"Status change lands before next accrual - review. ","")&amp;IF(AND($Q99&lt;&gt;"",$Q99&lt;$E99),"Termination before commencement. ","")))</f>
        <v/>
      </c>
      <c r="AO99" s="11" t="n">
        <f aca="false">IF(LEN($A99&amp;$B99&amp;$C99)=0,0,IF($E99="",0,1))</f>
        <v>0</v>
      </c>
      <c r="AP99" s="11" t="str">
        <f aca="false">IF(AO99=0,"",(IF(OR($N99="",$O99=""),0,MAX(0,MIN(X99,$O99)-MAX($N99,$E99)+1))+N($P99)))</f>
        <v/>
      </c>
      <c r="AQ99" s="11" t="str">
        <f aca="false">IF(AO99=0,"",IF(X99&lt;($E99+(IF(OR($N99="",$O99=""),0,MAX(0,MIN(X99,$O99)-MAX($N99,$E99)+1))+N($P99))),-1,12*(YEAR(X99)-YEAR(($E99+(IF(OR($N99="",$O99=""),0,MAX(0,MIN(X99,$O99)-MAX($N99,$E99)+1))+N($P99)))))+MONTH(X99)-MONTH(($E99+(IF(OR($N99="",$O99=""),0,MAX(0,MIN(X99,$O99)-MAX($N99,$E99)+1))+N($P99))))-IF(DAY(X99)&lt;MIN(DAY(($E99+(IF(OR($N99="",$O99=""),0,MAX(0,MIN(X99,$O99)-MAX($N99,$E99)+1))+N($P99)))),DAY(EOMONTH(X99,0))),1,0)))</f>
        <v/>
      </c>
      <c r="AR99" s="28" t="str">
        <f aca="false">IF(AO99=0,"",IF($H99="","",IF($H99&gt;X99,"",$H99)))</f>
        <v/>
      </c>
      <c r="AS99" s="28" t="str">
        <f aca="false">IF(AO99=0,"",IF(AR99="","",IF($K99="","",IF($K99&gt;X99,"",$K99))))</f>
        <v/>
      </c>
      <c r="AT99" s="11" t="str">
        <f aca="false">IF(AO99=0,"",IF(AR99="",AQ99,IF((AR99-1)&lt;($E99+(IF(OR($N99="",$O99=""),0,MAX(0,MIN((AR99-1),$O99)-MAX($N99,$E99)+1))+N($P99))),-1,12*(YEAR((AR99-1))-YEAR(($E99+(IF(OR($N99="",$O99=""),0,MAX(0,MIN((AR99-1),$O99)-MAX($N99,$E99)+1))+N($P99)))))+MONTH((AR99-1))-MONTH(($E99+(IF(OR($N99="",$O99=""),0,MAX(0,MIN((AR99-1),$O99)-MAX($N99,$E99)+1))+N($P99))))-IF(DAY((AR99-1))&lt;MIN(DAY(($E99+(IF(OR($N99="",$O99=""),0,MAX(0,MIN((AR99-1),$O99)-MAX($N99,$E99)+1))+N($P99)))),DAY(EOMONTH((AR99-1),0))),1,0))))</f>
        <v/>
      </c>
      <c r="AU99" s="11" t="str">
        <f aca="false">IF(AO99=0,"",IF(AS99="",AQ99,IF((AS99-1)&lt;($E99+(IF(OR($N99="",$O99=""),0,MAX(0,MIN((AS99-1),$O99)-MAX($N99,$E99)+1))+N($P99))),-1,12*(YEAR((AS99-1))-YEAR(($E99+(IF(OR($N99="",$O99=""),0,MAX(0,MIN((AS99-1),$O99)-MAX($N99,$E99)+1))+N($P99)))))+MONTH((AS99-1))-MONTH(($E99+(IF(OR($N99="",$O99=""),0,MAX(0,MIN((AS99-1),$O99)-MAX($N99,$E99)+1))+N($P99))))-IF(DAY((AS99-1))&lt;MIN(DAY(($E99+(IF(OR($N99="",$O99=""),0,MAX(0,MIN((AS99-1),$O99)-MAX($N99,$E99)+1))+N($P99)))),DAY(EOMONTH((AS99-1),0))),1,0))))</f>
        <v/>
      </c>
      <c r="AV99" s="11" t="str">
        <f aca="false">IF(AO99=0,"",IF($F99="","None",IF(IFERROR(VLOOKUP($F99,TypeTable,2,0),"None")="PT",IF(N($G99)&gt;=PT_MinHours,"PT","None"),IFERROR(VLOOKUP($F99,TypeTable,2,0),"None"))))</f>
        <v/>
      </c>
      <c r="AW99" s="11" t="str">
        <f aca="false">IF(AO99=0,"",IF($I99="","None",IF(IFERROR(VLOOKUP($I99,TypeTable,2,0),"None")="PT",IF(N($J99)&gt;=PT_MinHours,"PT","None"),IFERROR(VLOOKUP($I99,TypeTable,2,0),"None"))))</f>
        <v/>
      </c>
      <c r="AX99" s="11" t="str">
        <f aca="false">IF(AO99=0,"",IF($L99="","None",IF(IFERROR(VLOOKUP($L99,TypeTable,2,0),"None")="PT",IF(N($M99)&gt;=PT_MinHours,"PT","None"),IFERROR(VLOOKUP($L99,TypeTable,2,0),"None"))))</f>
        <v/>
      </c>
      <c r="AY99" s="11" t="str">
        <f aca="false">IF(AO99=0,"",IF(AS99&lt;&gt;"",AX99,IF(AR99&lt;&gt;"",AW99,AV99)))</f>
        <v/>
      </c>
      <c r="AZ99" s="11" t="str">
        <f aca="false">IF(AO99=0,"",IF(AV99="FT",IF(AT99&lt;FT_First,0,IF(AT99&lt;FT_Y5,1+INT((AT99-FT_First)/FT_Int1),FT_PreY5+FT_PerYear*INT((AT99-FT_Y5)/12)+FT_AnnivDays+INT(MOD(AT99-FT_Y5,12)/FT_Int2))),IF(AV99="PT",IF(AT99&lt;PT_First,0,1+INT((AT99-PT_First)/PT_Int)),0)))</f>
        <v/>
      </c>
      <c r="BA99" s="11" t="str">
        <f aca="false">IF(AO99=0,"",IF(AW99="FT",IF(AT99&lt;FT_First,0,IF(AT99&lt;FT_Y5,1+INT((AT99-FT_First)/FT_Int1),FT_PreY5+FT_PerYear*INT((AT99-FT_Y5)/12)+FT_AnnivDays+INT(MOD(AT99-FT_Y5,12)/FT_Int2))),IF(AW99="PT",IF(AT99&lt;PT_First,0,1+INT((AT99-PT_First)/PT_Int)),0)))</f>
        <v/>
      </c>
      <c r="BB99" s="11" t="str">
        <f aca="false">IF(AO99=0,"",IF(AW99="FT",IF(AU99&lt;FT_First,0,IF(AU99&lt;FT_Y5,1+INT((AU99-FT_First)/FT_Int1),FT_PreY5+FT_PerYear*INT((AU99-FT_Y5)/12)+FT_AnnivDays+INT(MOD(AU99-FT_Y5,12)/FT_Int2))),IF(AW99="PT",IF(AU99&lt;PT_First,0,1+INT((AU99-PT_First)/PT_Int)),0)))</f>
        <v/>
      </c>
      <c r="BC99" s="11" t="str">
        <f aca="false">IF(AO99=0,"",IF(AX99="FT",IF(AU99&lt;FT_First,0,IF(AU99&lt;FT_Y5,1+INT((AU99-FT_First)/FT_Int1),FT_PreY5+FT_PerYear*INT((AU99-FT_Y5)/12)+FT_AnnivDays+INT(MOD(AU99-FT_Y5,12)/FT_Int2))),IF(AX99="PT",IF(AU99&lt;PT_First,0,1+INT((AU99-PT_First)/PT_Int)),0)))</f>
        <v/>
      </c>
      <c r="BD99" s="11" t="str">
        <f aca="false">IF(AO99=0,"",IF(AX99="FT",IF(AQ99&lt;FT_First,0,IF(AQ99&lt;FT_Y5,1+INT((AQ99-FT_First)/FT_Int1),FT_PreY5+FT_PerYear*INT((AQ99-FT_Y5)/12)+FT_AnnivDays+INT(MOD(AQ99-FT_Y5,12)/FT_Int2))),IF(AX99="PT",IF(AQ99&lt;PT_First,0,1+INT((AQ99-PT_First)/PT_Int)),0)))</f>
        <v/>
      </c>
      <c r="BE99" s="11" t="str">
        <f aca="false">IF(AO99=0,"",IF(AY99="FT",IF(AQ99&lt;FT_First,FT_First,IF(AQ99&lt;FT_Y5,MIN(FT_Y5,FT_First+FT_Int1*(INT((AQ99-FT_First)/FT_Int1)+1)),FT_Y5+12*INT((AQ99-FT_Y5)/12)+FT_Int2*(INT(MOD(AQ99-FT_Y5,12)/FT_Int2)+1))),IF(AY99="PT",IF(AQ99&lt;PT_First,PT_First,PT_First+PT_Int*(INT((AQ99-PT_First)/PT_Int)+1)),"")))</f>
        <v/>
      </c>
      <c r="BF99" s="11" t="n">
        <f aca="false">IF(AO99=0,0,IF(AND($Q99&lt;&gt;"",$Q99&lt;=AsOfDate),1,0))</f>
        <v>0</v>
      </c>
      <c r="BG99" s="11" t="str">
        <f aca="false">IF(AND(AO99=1,BF99=0,EH_Ready,N(AB99)&gt;0,N(AI99)=0),COUNT($BG$5:BG98)+1,"")</f>
        <v/>
      </c>
      <c r="BH99" s="11" t="str">
        <f aca="false">IF(AND(AO99=1,BF99=0,EH_Ready,N(AB99)&gt;0,N(AI99)&gt;0,N(AK99)&gt;0),COUNT($BH$5:BH98)+1,"")</f>
        <v/>
      </c>
      <c r="BI99" s="11" t="str">
        <f aca="false">IF(AND(AO99=1,OR(LEFT(AM99,3)="ADD",LEFT(AM99,3)="SET",LEFT(AM99,5)="CHECK",LEFT(AM99,10)="TERMINATED")),COUNT($BI$5:BI98)+1,"")</f>
        <v/>
      </c>
      <c r="BJ99" s="11" t="str">
        <f aca="false">IF(AO99=0,"",$A99&amp;" - "&amp;$B99&amp;" "&amp;$C99)</f>
        <v/>
      </c>
    </row>
    <row r="100" customFormat="false" ht="15" hidden="false" customHeight="false" outlineLevel="0" collapsed="false">
      <c r="A100" s="10"/>
      <c r="B100" s="10"/>
      <c r="C100" s="10"/>
      <c r="D100" s="10"/>
      <c r="E100" s="9"/>
      <c r="F100" s="10"/>
      <c r="G100" s="30"/>
      <c r="H100" s="9"/>
      <c r="I100" s="10"/>
      <c r="J100" s="30"/>
      <c r="K100" s="9"/>
      <c r="L100" s="10"/>
      <c r="M100" s="30"/>
      <c r="N100" s="9"/>
      <c r="O100" s="9"/>
      <c r="P100" s="30"/>
      <c r="Q100" s="9"/>
      <c r="R100" s="10"/>
      <c r="S100" s="11" t="str">
        <f aca="false">IF(AO100=0,"",IF($H100="","",$F100&amp;" -&gt; "&amp;$I100&amp;IF($I100="Part-Time"," ("&amp;N($J100)&amp;" hrs)","")&amp;" on "&amp;TEXT($H100,"dd/mm/yyyy")&amp;IF($H100&gt;AsOfDate," (FUTURE)","")&amp;IF($K100="","","; "&amp;$I100&amp;" -&gt; "&amp;$L100&amp;IF($L100="Part-Time"," ("&amp;N($M100)&amp;" hrs)","")&amp;" on "&amp;TEXT($K100,"dd/mm/yyyy")&amp;IF($K100&gt;AsOfDate," (FUTURE)",""))))</f>
        <v/>
      </c>
      <c r="T100" s="11" t="str">
        <f aca="false">IF(AO100=0,"",IF(AS100&lt;&gt;"",$L100,IF(AR100&lt;&gt;"",$I100,$F100)))</f>
        <v/>
      </c>
      <c r="U100" s="26" t="str">
        <f aca="false">IF(AO100=0,"",IF(AS100&lt;&gt;"",$M100,IF(AR100&lt;&gt;"",$J100,$G100)))</f>
        <v/>
      </c>
      <c r="V100" s="11" t="str">
        <f aca="false">IF(AO100=0,"",IF(AY100="FT","Full-Time",IF(AY100="PT","Part-Time","Not eligible")))</f>
        <v/>
      </c>
      <c r="W100" s="27" t="str">
        <f aca="false">IF(AO100=0,"",IF(AR100="",IF(AND($H100&lt;&gt;"",$H100&gt;AsOfDate),"Future change - not yet applied",""),IF(AND(AV100=AY100,OR(AS100="",AW100=AV100)),"Type changed - same accrual pathway",IF(AY100="None","STOPPED accruing from "&amp;TEXT(IF(AS100&lt;&gt;"",AS100,AR100),"dd/mm/yyyy"),IF(AV100="None","STARTED qualifying from "&amp;TEXT(IF(AS100&lt;&gt;"",AS100,AR100),"dd/mm/yyyy"),"Pathway changed "&amp;AV100&amp;" -&gt; "&amp;AW100&amp;IF(AS100&lt;&gt;""," -&gt; "&amp;AX100,"")&amp;" from "&amp;TEXT(IF(AS100&lt;&gt;"",AS100,AR100),"dd/mm/yyyy"))))))</f>
        <v/>
      </c>
      <c r="X100" s="28" t="str">
        <f aca="false">IF(AO100=0,"",IF($Q100="",AsOfDate,MIN(AsOfDate,$Q100)))</f>
        <v/>
      </c>
      <c r="Y100" s="26" t="str">
        <f aca="false">IF(AO100=0,"",MAX(0,AQ100))</f>
        <v/>
      </c>
      <c r="Z100" s="11" t="str">
        <f aca="false">IF(AO100=0,"",IF(AQ100&lt;0,"Not started",INT(AQ100/12)&amp;"y "&amp;MOD(AQ100,12)&amp;"m"))</f>
        <v/>
      </c>
      <c r="AA100" s="27" t="str">
        <f aca="false">IF(AO100=0,"",IF(BF100=1,"Terminated - balance forfeited",IF(AY100="None",IF(AB100&gt;0,"No longer accruing - "&amp;T100,"Not eligible - "&amp;T100&amp;IF(AND(IFERROR(VLOOKUP(T100,TypeTable,2,0),"None")="PT",N(U100)&lt;PT_MinHours)," (under "&amp;PT_MinHours&amp;" hrs)","")),IF(AB100&gt;0,"Yes - accruing","Not yet - qualifies "&amp;TEXT(AD100,"dd/mm/yyyy")))))</f>
        <v/>
      </c>
      <c r="AB100" s="26" t="str">
        <f aca="false">IF(AO100=0,"",AZ100+IF(AR100="",0,BB100-BA100)+IF(AS100="",0,BD100-BC100))</f>
        <v/>
      </c>
      <c r="AC100" s="26" t="str">
        <f aca="false">IF(AO100=0,"",AB100*HoursPerDay)</f>
        <v/>
      </c>
      <c r="AD100" s="28" t="str">
        <f aca="false">IF(AO100=0,"",IF(OR(BF100=1,AY100="None"),"",EDATE($E100+AP100,BE100)))</f>
        <v/>
      </c>
      <c r="AE100" s="26" t="str">
        <f aca="false">IF(AD100="","",IF(AY100="PT",1,IF(BE100&lt;FT_Y5,1,IF(MOD(BE100-FT_Y5,12)=0,FT_AnnivDays,1))))</f>
        <v/>
      </c>
      <c r="AF100" s="27" t="str">
        <f aca="false">IF(AO100=0,"",IF(NOT(EH_Ready),"Map headers",IF(IF(MatchMode="Employee ID",COUNTIFS(INDEX(EH_Data,0,EH_ColID),$A100,INDEX(EH_Data,0,EH_ColCat),BonusCat),COUNTIFS(INDEX(EH_Data,0,EH_ColFirst),$B100,INDEX(EH_Data,0,EH_ColSur),$C100,INDEX(EH_Data,0,EH_ColCat),BonusCat))&gt;0,"Yes","No")))</f>
        <v/>
      </c>
      <c r="AG100" s="26" t="str">
        <f aca="false">IF(AO100=0,"",IF(NOT(EH_Ready),"",IF(MatchMode="Employee ID",SUMIFS(INDEX(EH_Data,0,EH_ColBal),INDEX(EH_Data,0,EH_ColID),$A100,INDEX(EH_Data,0,EH_ColCat),BonusCat),SUMIFS(INDEX(EH_Data,0,EH_ColBal),INDEX(EH_Data,0,EH_ColFirst),$B100,INDEX(EH_Data,0,EH_ColSur),$C100,INDEX(EH_Data,0,EH_ColCat),BonusCat))/IF(EHUnit="Hours",HoursPerDay,1)))</f>
        <v/>
      </c>
      <c r="AH100" s="26" t="str">
        <f aca="false">IF(AO100=0,"",IF(NOT(TK_Ready),0,IF(MatchMode="Employee ID",SUMIFS(INDEX(TK_Data,0,TK_ColAmt),INDEX(TK_Data,0,TK_ColID),$A100,INDEX(TK_Data,0,TK_ColCat),BonusCat),SUMIFS(INDEX(TK_Data,0,TK_ColAmt),INDEX(TK_Data,0,TK_ColFirst),$B100,INDEX(TK_Data,0,TK_ColSur),$C100,INDEX(TK_Data,0,TK_ColCat),BonusCat))/IF(TKUnit="Hours",HoursPerDay,1)))</f>
        <v/>
      </c>
      <c r="AI100" s="26" t="str">
        <f aca="false">IF(AO100=0,"",N(AG100)+N(AH100))</f>
        <v/>
      </c>
      <c r="AJ100" s="29" t="str">
        <f aca="false">IF(AO100=0,"",IF(NOT(AND(EH_Ready,EH_ValReady)),"",IF(MatchMode="Employee ID",SUMIFS(INDEX(EH_Data,0,EH_ColVal),INDEX(EH_Data,0,EH_ColID),$A100,INDEX(EH_Data,0,EH_ColCat),BonusCat),SUMIFS(INDEX(EH_Data,0,EH_ColVal),INDEX(EH_Data,0,EH_ColFirst),$B100,INDEX(EH_Data,0,EH_ColSur),$C100,INDEX(EH_Data,0,EH_ColCat),BonusCat))))</f>
        <v/>
      </c>
      <c r="AK100" s="26" t="str">
        <f aca="false">IF(AO100=0,"",IF(OR(NOT(EH_Ready),BF100=1),"",AB100-AI100))</f>
        <v/>
      </c>
      <c r="AL100" s="26" t="str">
        <f aca="false">IF(AK100="","",AK100*HoursPerDay)</f>
        <v/>
      </c>
      <c r="AM100" s="27" t="str">
        <f aca="false">IF(AO100=0,"",IF(BF100=1,IF(N(AG100)&gt;0,"TERMINATED - forfeit "&amp;TEXT(AG100,"0.##")&amp;" days still in EH","Terminated - nothing in EH"),IF(NOT(EH_Ready),"Paste EH export and map headers on Settings",IF(AND(AB100&gt;0,AF100="No"),"SET UP in EH - add "&amp;TEXT(AB100,"0.##")&amp;" day(s) ("&amp;TEXT(AC100,"0.##")&amp;" hrs)",IF(AK100&gt;0,"ADD "&amp;TEXT(AK100,"0.##")&amp;" day(s) ("&amp;TEXT(AL100,"0.##")&amp;" hrs) in EH",IF(AK100&lt;0,"CHECK - EH shows "&amp;TEXT(-AK100,"0.##")&amp;" days more than policy",IF(AB100&gt;0,"OK - up to date",IF(AY100="None","No action - not eligible","No action - not yet qualified"))))))))</f>
        <v/>
      </c>
      <c r="AN100" s="27" t="str">
        <f aca="false">IF(AO100=0,"",TRIM(IF(AND($K100&lt;&gt;"",$H100=""),"Change 2 entered without Change 1. ","")&amp;IF(AND($K100&lt;&gt;"",$H100&lt;&gt;"",$K100&lt;=$H100),"Change 2 date not after Change 1. ","")&amp;IF(AND($N100&lt;&gt;"",$O100&lt;&gt;"",$O100&lt;$N100),"Leave To is before Leave From. ","")&amp;IF(AND($N100&lt;&gt;"",$O100=""),"Leave From entered without Leave To. ","")&amp;IF(AND(IFERROR(VLOOKUP(T100,TypeTable,2,0),"None")="PT",U100=""),"Part-time with no hours entered. ","")&amp;IF(AND($H100&lt;&gt;"",$H100&gt;AsOfDate,AD100&lt;&gt;"",$H100&lt;=AD100),"Status change lands before next accrual - review. ","")&amp;IF(AND($Q100&lt;&gt;"",$Q100&lt;$E100),"Termination before commencement. ","")))</f>
        <v/>
      </c>
      <c r="AO100" s="11" t="n">
        <f aca="false">IF(LEN($A100&amp;$B100&amp;$C100)=0,0,IF($E100="",0,1))</f>
        <v>0</v>
      </c>
      <c r="AP100" s="11" t="str">
        <f aca="false">IF(AO100=0,"",(IF(OR($N100="",$O100=""),0,MAX(0,MIN(X100,$O100)-MAX($N100,$E100)+1))+N($P100)))</f>
        <v/>
      </c>
      <c r="AQ100" s="11" t="str">
        <f aca="false">IF(AO100=0,"",IF(X100&lt;($E100+(IF(OR($N100="",$O100=""),0,MAX(0,MIN(X100,$O100)-MAX($N100,$E100)+1))+N($P100))),-1,12*(YEAR(X100)-YEAR(($E100+(IF(OR($N100="",$O100=""),0,MAX(0,MIN(X100,$O100)-MAX($N100,$E100)+1))+N($P100)))))+MONTH(X100)-MONTH(($E100+(IF(OR($N100="",$O100=""),0,MAX(0,MIN(X100,$O100)-MAX($N100,$E100)+1))+N($P100))))-IF(DAY(X100)&lt;MIN(DAY(($E100+(IF(OR($N100="",$O100=""),0,MAX(0,MIN(X100,$O100)-MAX($N100,$E100)+1))+N($P100)))),DAY(EOMONTH(X100,0))),1,0)))</f>
        <v/>
      </c>
      <c r="AR100" s="28" t="str">
        <f aca="false">IF(AO100=0,"",IF($H100="","",IF($H100&gt;X100,"",$H100)))</f>
        <v/>
      </c>
      <c r="AS100" s="28" t="str">
        <f aca="false">IF(AO100=0,"",IF(AR100="","",IF($K100="","",IF($K100&gt;X100,"",$K100))))</f>
        <v/>
      </c>
      <c r="AT100" s="11" t="str">
        <f aca="false">IF(AO100=0,"",IF(AR100="",AQ100,IF((AR100-1)&lt;($E100+(IF(OR($N100="",$O100=""),0,MAX(0,MIN((AR100-1),$O100)-MAX($N100,$E100)+1))+N($P100))),-1,12*(YEAR((AR100-1))-YEAR(($E100+(IF(OR($N100="",$O100=""),0,MAX(0,MIN((AR100-1),$O100)-MAX($N100,$E100)+1))+N($P100)))))+MONTH((AR100-1))-MONTH(($E100+(IF(OR($N100="",$O100=""),0,MAX(0,MIN((AR100-1),$O100)-MAX($N100,$E100)+1))+N($P100))))-IF(DAY((AR100-1))&lt;MIN(DAY(($E100+(IF(OR($N100="",$O100=""),0,MAX(0,MIN((AR100-1),$O100)-MAX($N100,$E100)+1))+N($P100)))),DAY(EOMONTH((AR100-1),0))),1,0))))</f>
        <v/>
      </c>
      <c r="AU100" s="11" t="str">
        <f aca="false">IF(AO100=0,"",IF(AS100="",AQ100,IF((AS100-1)&lt;($E100+(IF(OR($N100="",$O100=""),0,MAX(0,MIN((AS100-1),$O100)-MAX($N100,$E100)+1))+N($P100))),-1,12*(YEAR((AS100-1))-YEAR(($E100+(IF(OR($N100="",$O100=""),0,MAX(0,MIN((AS100-1),$O100)-MAX($N100,$E100)+1))+N($P100)))))+MONTH((AS100-1))-MONTH(($E100+(IF(OR($N100="",$O100=""),0,MAX(0,MIN((AS100-1),$O100)-MAX($N100,$E100)+1))+N($P100))))-IF(DAY((AS100-1))&lt;MIN(DAY(($E100+(IF(OR($N100="",$O100=""),0,MAX(0,MIN((AS100-1),$O100)-MAX($N100,$E100)+1))+N($P100)))),DAY(EOMONTH((AS100-1),0))),1,0))))</f>
        <v/>
      </c>
      <c r="AV100" s="11" t="str">
        <f aca="false">IF(AO100=0,"",IF($F100="","None",IF(IFERROR(VLOOKUP($F100,TypeTable,2,0),"None")="PT",IF(N($G100)&gt;=PT_MinHours,"PT","None"),IFERROR(VLOOKUP($F100,TypeTable,2,0),"None"))))</f>
        <v/>
      </c>
      <c r="AW100" s="11" t="str">
        <f aca="false">IF(AO100=0,"",IF($I100="","None",IF(IFERROR(VLOOKUP($I100,TypeTable,2,0),"None")="PT",IF(N($J100)&gt;=PT_MinHours,"PT","None"),IFERROR(VLOOKUP($I100,TypeTable,2,0),"None"))))</f>
        <v/>
      </c>
      <c r="AX100" s="11" t="str">
        <f aca="false">IF(AO100=0,"",IF($L100="","None",IF(IFERROR(VLOOKUP($L100,TypeTable,2,0),"None")="PT",IF(N($M100)&gt;=PT_MinHours,"PT","None"),IFERROR(VLOOKUP($L100,TypeTable,2,0),"None"))))</f>
        <v/>
      </c>
      <c r="AY100" s="11" t="str">
        <f aca="false">IF(AO100=0,"",IF(AS100&lt;&gt;"",AX100,IF(AR100&lt;&gt;"",AW100,AV100)))</f>
        <v/>
      </c>
      <c r="AZ100" s="11" t="str">
        <f aca="false">IF(AO100=0,"",IF(AV100="FT",IF(AT100&lt;FT_First,0,IF(AT100&lt;FT_Y5,1+INT((AT100-FT_First)/FT_Int1),FT_PreY5+FT_PerYear*INT((AT100-FT_Y5)/12)+FT_AnnivDays+INT(MOD(AT100-FT_Y5,12)/FT_Int2))),IF(AV100="PT",IF(AT100&lt;PT_First,0,1+INT((AT100-PT_First)/PT_Int)),0)))</f>
        <v/>
      </c>
      <c r="BA100" s="11" t="str">
        <f aca="false">IF(AO100=0,"",IF(AW100="FT",IF(AT100&lt;FT_First,0,IF(AT100&lt;FT_Y5,1+INT((AT100-FT_First)/FT_Int1),FT_PreY5+FT_PerYear*INT((AT100-FT_Y5)/12)+FT_AnnivDays+INT(MOD(AT100-FT_Y5,12)/FT_Int2))),IF(AW100="PT",IF(AT100&lt;PT_First,0,1+INT((AT100-PT_First)/PT_Int)),0)))</f>
        <v/>
      </c>
      <c r="BB100" s="11" t="str">
        <f aca="false">IF(AO100=0,"",IF(AW100="FT",IF(AU100&lt;FT_First,0,IF(AU100&lt;FT_Y5,1+INT((AU100-FT_First)/FT_Int1),FT_PreY5+FT_PerYear*INT((AU100-FT_Y5)/12)+FT_AnnivDays+INT(MOD(AU100-FT_Y5,12)/FT_Int2))),IF(AW100="PT",IF(AU100&lt;PT_First,0,1+INT((AU100-PT_First)/PT_Int)),0)))</f>
        <v/>
      </c>
      <c r="BC100" s="11" t="str">
        <f aca="false">IF(AO100=0,"",IF(AX100="FT",IF(AU100&lt;FT_First,0,IF(AU100&lt;FT_Y5,1+INT((AU100-FT_First)/FT_Int1),FT_PreY5+FT_PerYear*INT((AU100-FT_Y5)/12)+FT_AnnivDays+INT(MOD(AU100-FT_Y5,12)/FT_Int2))),IF(AX100="PT",IF(AU100&lt;PT_First,0,1+INT((AU100-PT_First)/PT_Int)),0)))</f>
        <v/>
      </c>
      <c r="BD100" s="11" t="str">
        <f aca="false">IF(AO100=0,"",IF(AX100="FT",IF(AQ100&lt;FT_First,0,IF(AQ100&lt;FT_Y5,1+INT((AQ100-FT_First)/FT_Int1),FT_PreY5+FT_PerYear*INT((AQ100-FT_Y5)/12)+FT_AnnivDays+INT(MOD(AQ100-FT_Y5,12)/FT_Int2))),IF(AX100="PT",IF(AQ100&lt;PT_First,0,1+INT((AQ100-PT_First)/PT_Int)),0)))</f>
        <v/>
      </c>
      <c r="BE100" s="11" t="str">
        <f aca="false">IF(AO100=0,"",IF(AY100="FT",IF(AQ100&lt;FT_First,FT_First,IF(AQ100&lt;FT_Y5,MIN(FT_Y5,FT_First+FT_Int1*(INT((AQ100-FT_First)/FT_Int1)+1)),FT_Y5+12*INT((AQ100-FT_Y5)/12)+FT_Int2*(INT(MOD(AQ100-FT_Y5,12)/FT_Int2)+1))),IF(AY100="PT",IF(AQ100&lt;PT_First,PT_First,PT_First+PT_Int*(INT((AQ100-PT_First)/PT_Int)+1)),"")))</f>
        <v/>
      </c>
      <c r="BF100" s="11" t="n">
        <f aca="false">IF(AO100=0,0,IF(AND($Q100&lt;&gt;"",$Q100&lt;=AsOfDate),1,0))</f>
        <v>0</v>
      </c>
      <c r="BG100" s="11" t="str">
        <f aca="false">IF(AND(AO100=1,BF100=0,EH_Ready,N(AB100)&gt;0,N(AI100)=0),COUNT($BG$5:BG99)+1,"")</f>
        <v/>
      </c>
      <c r="BH100" s="11" t="str">
        <f aca="false">IF(AND(AO100=1,BF100=0,EH_Ready,N(AB100)&gt;0,N(AI100)&gt;0,N(AK100)&gt;0),COUNT($BH$5:BH99)+1,"")</f>
        <v/>
      </c>
      <c r="BI100" s="11" t="str">
        <f aca="false">IF(AND(AO100=1,OR(LEFT(AM100,3)="ADD",LEFT(AM100,3)="SET",LEFT(AM100,5)="CHECK",LEFT(AM100,10)="TERMINATED")),COUNT($BI$5:BI99)+1,"")</f>
        <v/>
      </c>
      <c r="BJ100" s="11" t="str">
        <f aca="false">IF(AO100=0,"",$A100&amp;" - "&amp;$B100&amp;" "&amp;$C100)</f>
        <v/>
      </c>
    </row>
    <row r="101" customFormat="false" ht="15" hidden="false" customHeight="false" outlineLevel="0" collapsed="false">
      <c r="A101" s="10"/>
      <c r="B101" s="10"/>
      <c r="C101" s="10"/>
      <c r="D101" s="10"/>
      <c r="E101" s="9"/>
      <c r="F101" s="10"/>
      <c r="G101" s="30"/>
      <c r="H101" s="9"/>
      <c r="I101" s="10"/>
      <c r="J101" s="30"/>
      <c r="K101" s="9"/>
      <c r="L101" s="10"/>
      <c r="M101" s="30"/>
      <c r="N101" s="9"/>
      <c r="O101" s="9"/>
      <c r="P101" s="30"/>
      <c r="Q101" s="9"/>
      <c r="R101" s="10"/>
      <c r="S101" s="11" t="str">
        <f aca="false">IF(AO101=0,"",IF($H101="","",$F101&amp;" -&gt; "&amp;$I101&amp;IF($I101="Part-Time"," ("&amp;N($J101)&amp;" hrs)","")&amp;" on "&amp;TEXT($H101,"dd/mm/yyyy")&amp;IF($H101&gt;AsOfDate," (FUTURE)","")&amp;IF($K101="","","; "&amp;$I101&amp;" -&gt; "&amp;$L101&amp;IF($L101="Part-Time"," ("&amp;N($M101)&amp;" hrs)","")&amp;" on "&amp;TEXT($K101,"dd/mm/yyyy")&amp;IF($K101&gt;AsOfDate," (FUTURE)",""))))</f>
        <v/>
      </c>
      <c r="T101" s="11" t="str">
        <f aca="false">IF(AO101=0,"",IF(AS101&lt;&gt;"",$L101,IF(AR101&lt;&gt;"",$I101,$F101)))</f>
        <v/>
      </c>
      <c r="U101" s="26" t="str">
        <f aca="false">IF(AO101=0,"",IF(AS101&lt;&gt;"",$M101,IF(AR101&lt;&gt;"",$J101,$G101)))</f>
        <v/>
      </c>
      <c r="V101" s="11" t="str">
        <f aca="false">IF(AO101=0,"",IF(AY101="FT","Full-Time",IF(AY101="PT","Part-Time","Not eligible")))</f>
        <v/>
      </c>
      <c r="W101" s="27" t="str">
        <f aca="false">IF(AO101=0,"",IF(AR101="",IF(AND($H101&lt;&gt;"",$H101&gt;AsOfDate),"Future change - not yet applied",""),IF(AND(AV101=AY101,OR(AS101="",AW101=AV101)),"Type changed - same accrual pathway",IF(AY101="None","STOPPED accruing from "&amp;TEXT(IF(AS101&lt;&gt;"",AS101,AR101),"dd/mm/yyyy"),IF(AV101="None","STARTED qualifying from "&amp;TEXT(IF(AS101&lt;&gt;"",AS101,AR101),"dd/mm/yyyy"),"Pathway changed "&amp;AV101&amp;" -&gt; "&amp;AW101&amp;IF(AS101&lt;&gt;""," -&gt; "&amp;AX101,"")&amp;" from "&amp;TEXT(IF(AS101&lt;&gt;"",AS101,AR101),"dd/mm/yyyy"))))))</f>
        <v/>
      </c>
      <c r="X101" s="28" t="str">
        <f aca="false">IF(AO101=0,"",IF($Q101="",AsOfDate,MIN(AsOfDate,$Q101)))</f>
        <v/>
      </c>
      <c r="Y101" s="26" t="str">
        <f aca="false">IF(AO101=0,"",MAX(0,AQ101))</f>
        <v/>
      </c>
      <c r="Z101" s="11" t="str">
        <f aca="false">IF(AO101=0,"",IF(AQ101&lt;0,"Not started",INT(AQ101/12)&amp;"y "&amp;MOD(AQ101,12)&amp;"m"))</f>
        <v/>
      </c>
      <c r="AA101" s="27" t="str">
        <f aca="false">IF(AO101=0,"",IF(BF101=1,"Terminated - balance forfeited",IF(AY101="None",IF(AB101&gt;0,"No longer accruing - "&amp;T101,"Not eligible - "&amp;T101&amp;IF(AND(IFERROR(VLOOKUP(T101,TypeTable,2,0),"None")="PT",N(U101)&lt;PT_MinHours)," (under "&amp;PT_MinHours&amp;" hrs)","")),IF(AB101&gt;0,"Yes - accruing","Not yet - qualifies "&amp;TEXT(AD101,"dd/mm/yyyy")))))</f>
        <v/>
      </c>
      <c r="AB101" s="26" t="str">
        <f aca="false">IF(AO101=0,"",AZ101+IF(AR101="",0,BB101-BA101)+IF(AS101="",0,BD101-BC101))</f>
        <v/>
      </c>
      <c r="AC101" s="26" t="str">
        <f aca="false">IF(AO101=0,"",AB101*HoursPerDay)</f>
        <v/>
      </c>
      <c r="AD101" s="28" t="str">
        <f aca="false">IF(AO101=0,"",IF(OR(BF101=1,AY101="None"),"",EDATE($E101+AP101,BE101)))</f>
        <v/>
      </c>
      <c r="AE101" s="26" t="str">
        <f aca="false">IF(AD101="","",IF(AY101="PT",1,IF(BE101&lt;FT_Y5,1,IF(MOD(BE101-FT_Y5,12)=0,FT_AnnivDays,1))))</f>
        <v/>
      </c>
      <c r="AF101" s="27" t="str">
        <f aca="false">IF(AO101=0,"",IF(NOT(EH_Ready),"Map headers",IF(IF(MatchMode="Employee ID",COUNTIFS(INDEX(EH_Data,0,EH_ColID),$A101,INDEX(EH_Data,0,EH_ColCat),BonusCat),COUNTIFS(INDEX(EH_Data,0,EH_ColFirst),$B101,INDEX(EH_Data,0,EH_ColSur),$C101,INDEX(EH_Data,0,EH_ColCat),BonusCat))&gt;0,"Yes","No")))</f>
        <v/>
      </c>
      <c r="AG101" s="26" t="str">
        <f aca="false">IF(AO101=0,"",IF(NOT(EH_Ready),"",IF(MatchMode="Employee ID",SUMIFS(INDEX(EH_Data,0,EH_ColBal),INDEX(EH_Data,0,EH_ColID),$A101,INDEX(EH_Data,0,EH_ColCat),BonusCat),SUMIFS(INDEX(EH_Data,0,EH_ColBal),INDEX(EH_Data,0,EH_ColFirst),$B101,INDEX(EH_Data,0,EH_ColSur),$C101,INDEX(EH_Data,0,EH_ColCat),BonusCat))/IF(EHUnit="Hours",HoursPerDay,1)))</f>
        <v/>
      </c>
      <c r="AH101" s="26" t="str">
        <f aca="false">IF(AO101=0,"",IF(NOT(TK_Ready),0,IF(MatchMode="Employee ID",SUMIFS(INDEX(TK_Data,0,TK_ColAmt),INDEX(TK_Data,0,TK_ColID),$A101,INDEX(TK_Data,0,TK_ColCat),BonusCat),SUMIFS(INDEX(TK_Data,0,TK_ColAmt),INDEX(TK_Data,0,TK_ColFirst),$B101,INDEX(TK_Data,0,TK_ColSur),$C101,INDEX(TK_Data,0,TK_ColCat),BonusCat))/IF(TKUnit="Hours",HoursPerDay,1)))</f>
        <v/>
      </c>
      <c r="AI101" s="26" t="str">
        <f aca="false">IF(AO101=0,"",N(AG101)+N(AH101))</f>
        <v/>
      </c>
      <c r="AJ101" s="29" t="str">
        <f aca="false">IF(AO101=0,"",IF(NOT(AND(EH_Ready,EH_ValReady)),"",IF(MatchMode="Employee ID",SUMIFS(INDEX(EH_Data,0,EH_ColVal),INDEX(EH_Data,0,EH_ColID),$A101,INDEX(EH_Data,0,EH_ColCat),BonusCat),SUMIFS(INDEX(EH_Data,0,EH_ColVal),INDEX(EH_Data,0,EH_ColFirst),$B101,INDEX(EH_Data,0,EH_ColSur),$C101,INDEX(EH_Data,0,EH_ColCat),BonusCat))))</f>
        <v/>
      </c>
      <c r="AK101" s="26" t="str">
        <f aca="false">IF(AO101=0,"",IF(OR(NOT(EH_Ready),BF101=1),"",AB101-AI101))</f>
        <v/>
      </c>
      <c r="AL101" s="26" t="str">
        <f aca="false">IF(AK101="","",AK101*HoursPerDay)</f>
        <v/>
      </c>
      <c r="AM101" s="27" t="str">
        <f aca="false">IF(AO101=0,"",IF(BF101=1,IF(N(AG101)&gt;0,"TERMINATED - forfeit "&amp;TEXT(AG101,"0.##")&amp;" days still in EH","Terminated - nothing in EH"),IF(NOT(EH_Ready),"Paste EH export and map headers on Settings",IF(AND(AB101&gt;0,AF101="No"),"SET UP in EH - add "&amp;TEXT(AB101,"0.##")&amp;" day(s) ("&amp;TEXT(AC101,"0.##")&amp;" hrs)",IF(AK101&gt;0,"ADD "&amp;TEXT(AK101,"0.##")&amp;" day(s) ("&amp;TEXT(AL101,"0.##")&amp;" hrs) in EH",IF(AK101&lt;0,"CHECK - EH shows "&amp;TEXT(-AK101,"0.##")&amp;" days more than policy",IF(AB101&gt;0,"OK - up to date",IF(AY101="None","No action - not eligible","No action - not yet qualified"))))))))</f>
        <v/>
      </c>
      <c r="AN101" s="27" t="str">
        <f aca="false">IF(AO101=0,"",TRIM(IF(AND($K101&lt;&gt;"",$H101=""),"Change 2 entered without Change 1. ","")&amp;IF(AND($K101&lt;&gt;"",$H101&lt;&gt;"",$K101&lt;=$H101),"Change 2 date not after Change 1. ","")&amp;IF(AND($N101&lt;&gt;"",$O101&lt;&gt;"",$O101&lt;$N101),"Leave To is before Leave From. ","")&amp;IF(AND($N101&lt;&gt;"",$O101=""),"Leave From entered without Leave To. ","")&amp;IF(AND(IFERROR(VLOOKUP(T101,TypeTable,2,0),"None")="PT",U101=""),"Part-time with no hours entered. ","")&amp;IF(AND($H101&lt;&gt;"",$H101&gt;AsOfDate,AD101&lt;&gt;"",$H101&lt;=AD101),"Status change lands before next accrual - review. ","")&amp;IF(AND($Q101&lt;&gt;"",$Q101&lt;$E101),"Termination before commencement. ","")))</f>
        <v/>
      </c>
      <c r="AO101" s="11" t="n">
        <f aca="false">IF(LEN($A101&amp;$B101&amp;$C101)=0,0,IF($E101="",0,1))</f>
        <v>0</v>
      </c>
      <c r="AP101" s="11" t="str">
        <f aca="false">IF(AO101=0,"",(IF(OR($N101="",$O101=""),0,MAX(0,MIN(X101,$O101)-MAX($N101,$E101)+1))+N($P101)))</f>
        <v/>
      </c>
      <c r="AQ101" s="11" t="str">
        <f aca="false">IF(AO101=0,"",IF(X101&lt;($E101+(IF(OR($N101="",$O101=""),0,MAX(0,MIN(X101,$O101)-MAX($N101,$E101)+1))+N($P101))),-1,12*(YEAR(X101)-YEAR(($E101+(IF(OR($N101="",$O101=""),0,MAX(0,MIN(X101,$O101)-MAX($N101,$E101)+1))+N($P101)))))+MONTH(X101)-MONTH(($E101+(IF(OR($N101="",$O101=""),0,MAX(0,MIN(X101,$O101)-MAX($N101,$E101)+1))+N($P101))))-IF(DAY(X101)&lt;MIN(DAY(($E101+(IF(OR($N101="",$O101=""),0,MAX(0,MIN(X101,$O101)-MAX($N101,$E101)+1))+N($P101)))),DAY(EOMONTH(X101,0))),1,0)))</f>
        <v/>
      </c>
      <c r="AR101" s="28" t="str">
        <f aca="false">IF(AO101=0,"",IF($H101="","",IF($H101&gt;X101,"",$H101)))</f>
        <v/>
      </c>
      <c r="AS101" s="28" t="str">
        <f aca="false">IF(AO101=0,"",IF(AR101="","",IF($K101="","",IF($K101&gt;X101,"",$K101))))</f>
        <v/>
      </c>
      <c r="AT101" s="11" t="str">
        <f aca="false">IF(AO101=0,"",IF(AR101="",AQ101,IF((AR101-1)&lt;($E101+(IF(OR($N101="",$O101=""),0,MAX(0,MIN((AR101-1),$O101)-MAX($N101,$E101)+1))+N($P101))),-1,12*(YEAR((AR101-1))-YEAR(($E101+(IF(OR($N101="",$O101=""),0,MAX(0,MIN((AR101-1),$O101)-MAX($N101,$E101)+1))+N($P101)))))+MONTH((AR101-1))-MONTH(($E101+(IF(OR($N101="",$O101=""),0,MAX(0,MIN((AR101-1),$O101)-MAX($N101,$E101)+1))+N($P101))))-IF(DAY((AR101-1))&lt;MIN(DAY(($E101+(IF(OR($N101="",$O101=""),0,MAX(0,MIN((AR101-1),$O101)-MAX($N101,$E101)+1))+N($P101)))),DAY(EOMONTH((AR101-1),0))),1,0))))</f>
        <v/>
      </c>
      <c r="AU101" s="11" t="str">
        <f aca="false">IF(AO101=0,"",IF(AS101="",AQ101,IF((AS101-1)&lt;($E101+(IF(OR($N101="",$O101=""),0,MAX(0,MIN((AS101-1),$O101)-MAX($N101,$E101)+1))+N($P101))),-1,12*(YEAR((AS101-1))-YEAR(($E101+(IF(OR($N101="",$O101=""),0,MAX(0,MIN((AS101-1),$O101)-MAX($N101,$E101)+1))+N($P101)))))+MONTH((AS101-1))-MONTH(($E101+(IF(OR($N101="",$O101=""),0,MAX(0,MIN((AS101-1),$O101)-MAX($N101,$E101)+1))+N($P101))))-IF(DAY((AS101-1))&lt;MIN(DAY(($E101+(IF(OR($N101="",$O101=""),0,MAX(0,MIN((AS101-1),$O101)-MAX($N101,$E101)+1))+N($P101)))),DAY(EOMONTH((AS101-1),0))),1,0))))</f>
        <v/>
      </c>
      <c r="AV101" s="11" t="str">
        <f aca="false">IF(AO101=0,"",IF($F101="","None",IF(IFERROR(VLOOKUP($F101,TypeTable,2,0),"None")="PT",IF(N($G101)&gt;=PT_MinHours,"PT","None"),IFERROR(VLOOKUP($F101,TypeTable,2,0),"None"))))</f>
        <v/>
      </c>
      <c r="AW101" s="11" t="str">
        <f aca="false">IF(AO101=0,"",IF($I101="","None",IF(IFERROR(VLOOKUP($I101,TypeTable,2,0),"None")="PT",IF(N($J101)&gt;=PT_MinHours,"PT","None"),IFERROR(VLOOKUP($I101,TypeTable,2,0),"None"))))</f>
        <v/>
      </c>
      <c r="AX101" s="11" t="str">
        <f aca="false">IF(AO101=0,"",IF($L101="","None",IF(IFERROR(VLOOKUP($L101,TypeTable,2,0),"None")="PT",IF(N($M101)&gt;=PT_MinHours,"PT","None"),IFERROR(VLOOKUP($L101,TypeTable,2,0),"None"))))</f>
        <v/>
      </c>
      <c r="AY101" s="11" t="str">
        <f aca="false">IF(AO101=0,"",IF(AS101&lt;&gt;"",AX101,IF(AR101&lt;&gt;"",AW101,AV101)))</f>
        <v/>
      </c>
      <c r="AZ101" s="11" t="str">
        <f aca="false">IF(AO101=0,"",IF(AV101="FT",IF(AT101&lt;FT_First,0,IF(AT101&lt;FT_Y5,1+INT((AT101-FT_First)/FT_Int1),FT_PreY5+FT_PerYear*INT((AT101-FT_Y5)/12)+FT_AnnivDays+INT(MOD(AT101-FT_Y5,12)/FT_Int2))),IF(AV101="PT",IF(AT101&lt;PT_First,0,1+INT((AT101-PT_First)/PT_Int)),0)))</f>
        <v/>
      </c>
      <c r="BA101" s="11" t="str">
        <f aca="false">IF(AO101=0,"",IF(AW101="FT",IF(AT101&lt;FT_First,0,IF(AT101&lt;FT_Y5,1+INT((AT101-FT_First)/FT_Int1),FT_PreY5+FT_PerYear*INT((AT101-FT_Y5)/12)+FT_AnnivDays+INT(MOD(AT101-FT_Y5,12)/FT_Int2))),IF(AW101="PT",IF(AT101&lt;PT_First,0,1+INT((AT101-PT_First)/PT_Int)),0)))</f>
        <v/>
      </c>
      <c r="BB101" s="11" t="str">
        <f aca="false">IF(AO101=0,"",IF(AW101="FT",IF(AU101&lt;FT_First,0,IF(AU101&lt;FT_Y5,1+INT((AU101-FT_First)/FT_Int1),FT_PreY5+FT_PerYear*INT((AU101-FT_Y5)/12)+FT_AnnivDays+INT(MOD(AU101-FT_Y5,12)/FT_Int2))),IF(AW101="PT",IF(AU101&lt;PT_First,0,1+INT((AU101-PT_First)/PT_Int)),0)))</f>
        <v/>
      </c>
      <c r="BC101" s="11" t="str">
        <f aca="false">IF(AO101=0,"",IF(AX101="FT",IF(AU101&lt;FT_First,0,IF(AU101&lt;FT_Y5,1+INT((AU101-FT_First)/FT_Int1),FT_PreY5+FT_PerYear*INT((AU101-FT_Y5)/12)+FT_AnnivDays+INT(MOD(AU101-FT_Y5,12)/FT_Int2))),IF(AX101="PT",IF(AU101&lt;PT_First,0,1+INT((AU101-PT_First)/PT_Int)),0)))</f>
        <v/>
      </c>
      <c r="BD101" s="11" t="str">
        <f aca="false">IF(AO101=0,"",IF(AX101="FT",IF(AQ101&lt;FT_First,0,IF(AQ101&lt;FT_Y5,1+INT((AQ101-FT_First)/FT_Int1),FT_PreY5+FT_PerYear*INT((AQ101-FT_Y5)/12)+FT_AnnivDays+INT(MOD(AQ101-FT_Y5,12)/FT_Int2))),IF(AX101="PT",IF(AQ101&lt;PT_First,0,1+INT((AQ101-PT_First)/PT_Int)),0)))</f>
        <v/>
      </c>
      <c r="BE101" s="11" t="str">
        <f aca="false">IF(AO101=0,"",IF(AY101="FT",IF(AQ101&lt;FT_First,FT_First,IF(AQ101&lt;FT_Y5,MIN(FT_Y5,FT_First+FT_Int1*(INT((AQ101-FT_First)/FT_Int1)+1)),FT_Y5+12*INT((AQ101-FT_Y5)/12)+FT_Int2*(INT(MOD(AQ101-FT_Y5,12)/FT_Int2)+1))),IF(AY101="PT",IF(AQ101&lt;PT_First,PT_First,PT_First+PT_Int*(INT((AQ101-PT_First)/PT_Int)+1)),"")))</f>
        <v/>
      </c>
      <c r="BF101" s="11" t="n">
        <f aca="false">IF(AO101=0,0,IF(AND($Q101&lt;&gt;"",$Q101&lt;=AsOfDate),1,0))</f>
        <v>0</v>
      </c>
      <c r="BG101" s="11" t="str">
        <f aca="false">IF(AND(AO101=1,BF101=0,EH_Ready,N(AB101)&gt;0,N(AI101)=0),COUNT($BG$5:BG100)+1,"")</f>
        <v/>
      </c>
      <c r="BH101" s="11" t="str">
        <f aca="false">IF(AND(AO101=1,BF101=0,EH_Ready,N(AB101)&gt;0,N(AI101)&gt;0,N(AK101)&gt;0),COUNT($BH$5:BH100)+1,"")</f>
        <v/>
      </c>
      <c r="BI101" s="11" t="str">
        <f aca="false">IF(AND(AO101=1,OR(LEFT(AM101,3)="ADD",LEFT(AM101,3)="SET",LEFT(AM101,5)="CHECK",LEFT(AM101,10)="TERMINATED")),COUNT($BI$5:BI100)+1,"")</f>
        <v/>
      </c>
      <c r="BJ101" s="11" t="str">
        <f aca="false">IF(AO101=0,"",$A101&amp;" - "&amp;$B101&amp;" "&amp;$C101)</f>
        <v/>
      </c>
    </row>
    <row r="102" customFormat="false" ht="15" hidden="false" customHeight="false" outlineLevel="0" collapsed="false">
      <c r="A102" s="10"/>
      <c r="B102" s="10"/>
      <c r="C102" s="10"/>
      <c r="D102" s="10"/>
      <c r="E102" s="9"/>
      <c r="F102" s="10"/>
      <c r="G102" s="30"/>
      <c r="H102" s="9"/>
      <c r="I102" s="10"/>
      <c r="J102" s="30"/>
      <c r="K102" s="9"/>
      <c r="L102" s="10"/>
      <c r="M102" s="30"/>
      <c r="N102" s="9"/>
      <c r="O102" s="9"/>
      <c r="P102" s="30"/>
      <c r="Q102" s="9"/>
      <c r="R102" s="10"/>
      <c r="S102" s="11" t="str">
        <f aca="false">IF(AO102=0,"",IF($H102="","",$F102&amp;" -&gt; "&amp;$I102&amp;IF($I102="Part-Time"," ("&amp;N($J102)&amp;" hrs)","")&amp;" on "&amp;TEXT($H102,"dd/mm/yyyy")&amp;IF($H102&gt;AsOfDate," (FUTURE)","")&amp;IF($K102="","","; "&amp;$I102&amp;" -&gt; "&amp;$L102&amp;IF($L102="Part-Time"," ("&amp;N($M102)&amp;" hrs)","")&amp;" on "&amp;TEXT($K102,"dd/mm/yyyy")&amp;IF($K102&gt;AsOfDate," (FUTURE)",""))))</f>
        <v/>
      </c>
      <c r="T102" s="11" t="str">
        <f aca="false">IF(AO102=0,"",IF(AS102&lt;&gt;"",$L102,IF(AR102&lt;&gt;"",$I102,$F102)))</f>
        <v/>
      </c>
      <c r="U102" s="26" t="str">
        <f aca="false">IF(AO102=0,"",IF(AS102&lt;&gt;"",$M102,IF(AR102&lt;&gt;"",$J102,$G102)))</f>
        <v/>
      </c>
      <c r="V102" s="11" t="str">
        <f aca="false">IF(AO102=0,"",IF(AY102="FT","Full-Time",IF(AY102="PT","Part-Time","Not eligible")))</f>
        <v/>
      </c>
      <c r="W102" s="27" t="str">
        <f aca="false">IF(AO102=0,"",IF(AR102="",IF(AND($H102&lt;&gt;"",$H102&gt;AsOfDate),"Future change - not yet applied",""),IF(AND(AV102=AY102,OR(AS102="",AW102=AV102)),"Type changed - same accrual pathway",IF(AY102="None","STOPPED accruing from "&amp;TEXT(IF(AS102&lt;&gt;"",AS102,AR102),"dd/mm/yyyy"),IF(AV102="None","STARTED qualifying from "&amp;TEXT(IF(AS102&lt;&gt;"",AS102,AR102),"dd/mm/yyyy"),"Pathway changed "&amp;AV102&amp;" -&gt; "&amp;AW102&amp;IF(AS102&lt;&gt;""," -&gt; "&amp;AX102,"")&amp;" from "&amp;TEXT(IF(AS102&lt;&gt;"",AS102,AR102),"dd/mm/yyyy"))))))</f>
        <v/>
      </c>
      <c r="X102" s="28" t="str">
        <f aca="false">IF(AO102=0,"",IF($Q102="",AsOfDate,MIN(AsOfDate,$Q102)))</f>
        <v/>
      </c>
      <c r="Y102" s="26" t="str">
        <f aca="false">IF(AO102=0,"",MAX(0,AQ102))</f>
        <v/>
      </c>
      <c r="Z102" s="11" t="str">
        <f aca="false">IF(AO102=0,"",IF(AQ102&lt;0,"Not started",INT(AQ102/12)&amp;"y "&amp;MOD(AQ102,12)&amp;"m"))</f>
        <v/>
      </c>
      <c r="AA102" s="27" t="str">
        <f aca="false">IF(AO102=0,"",IF(BF102=1,"Terminated - balance forfeited",IF(AY102="None",IF(AB102&gt;0,"No longer accruing - "&amp;T102,"Not eligible - "&amp;T102&amp;IF(AND(IFERROR(VLOOKUP(T102,TypeTable,2,0),"None")="PT",N(U102)&lt;PT_MinHours)," (under "&amp;PT_MinHours&amp;" hrs)","")),IF(AB102&gt;0,"Yes - accruing","Not yet - qualifies "&amp;TEXT(AD102,"dd/mm/yyyy")))))</f>
        <v/>
      </c>
      <c r="AB102" s="26" t="str">
        <f aca="false">IF(AO102=0,"",AZ102+IF(AR102="",0,BB102-BA102)+IF(AS102="",0,BD102-BC102))</f>
        <v/>
      </c>
      <c r="AC102" s="26" t="str">
        <f aca="false">IF(AO102=0,"",AB102*HoursPerDay)</f>
        <v/>
      </c>
      <c r="AD102" s="28" t="str">
        <f aca="false">IF(AO102=0,"",IF(OR(BF102=1,AY102="None"),"",EDATE($E102+AP102,BE102)))</f>
        <v/>
      </c>
      <c r="AE102" s="26" t="str">
        <f aca="false">IF(AD102="","",IF(AY102="PT",1,IF(BE102&lt;FT_Y5,1,IF(MOD(BE102-FT_Y5,12)=0,FT_AnnivDays,1))))</f>
        <v/>
      </c>
      <c r="AF102" s="27" t="str">
        <f aca="false">IF(AO102=0,"",IF(NOT(EH_Ready),"Map headers",IF(IF(MatchMode="Employee ID",COUNTIFS(INDEX(EH_Data,0,EH_ColID),$A102,INDEX(EH_Data,0,EH_ColCat),BonusCat),COUNTIFS(INDEX(EH_Data,0,EH_ColFirst),$B102,INDEX(EH_Data,0,EH_ColSur),$C102,INDEX(EH_Data,0,EH_ColCat),BonusCat))&gt;0,"Yes","No")))</f>
        <v/>
      </c>
      <c r="AG102" s="26" t="str">
        <f aca="false">IF(AO102=0,"",IF(NOT(EH_Ready),"",IF(MatchMode="Employee ID",SUMIFS(INDEX(EH_Data,0,EH_ColBal),INDEX(EH_Data,0,EH_ColID),$A102,INDEX(EH_Data,0,EH_ColCat),BonusCat),SUMIFS(INDEX(EH_Data,0,EH_ColBal),INDEX(EH_Data,0,EH_ColFirst),$B102,INDEX(EH_Data,0,EH_ColSur),$C102,INDEX(EH_Data,0,EH_ColCat),BonusCat))/IF(EHUnit="Hours",HoursPerDay,1)))</f>
        <v/>
      </c>
      <c r="AH102" s="26" t="str">
        <f aca="false">IF(AO102=0,"",IF(NOT(TK_Ready),0,IF(MatchMode="Employee ID",SUMIFS(INDEX(TK_Data,0,TK_ColAmt),INDEX(TK_Data,0,TK_ColID),$A102,INDEX(TK_Data,0,TK_ColCat),BonusCat),SUMIFS(INDEX(TK_Data,0,TK_ColAmt),INDEX(TK_Data,0,TK_ColFirst),$B102,INDEX(TK_Data,0,TK_ColSur),$C102,INDEX(TK_Data,0,TK_ColCat),BonusCat))/IF(TKUnit="Hours",HoursPerDay,1)))</f>
        <v/>
      </c>
      <c r="AI102" s="26" t="str">
        <f aca="false">IF(AO102=0,"",N(AG102)+N(AH102))</f>
        <v/>
      </c>
      <c r="AJ102" s="29" t="str">
        <f aca="false">IF(AO102=0,"",IF(NOT(AND(EH_Ready,EH_ValReady)),"",IF(MatchMode="Employee ID",SUMIFS(INDEX(EH_Data,0,EH_ColVal),INDEX(EH_Data,0,EH_ColID),$A102,INDEX(EH_Data,0,EH_ColCat),BonusCat),SUMIFS(INDEX(EH_Data,0,EH_ColVal),INDEX(EH_Data,0,EH_ColFirst),$B102,INDEX(EH_Data,0,EH_ColSur),$C102,INDEX(EH_Data,0,EH_ColCat),BonusCat))))</f>
        <v/>
      </c>
      <c r="AK102" s="26" t="str">
        <f aca="false">IF(AO102=0,"",IF(OR(NOT(EH_Ready),BF102=1),"",AB102-AI102))</f>
        <v/>
      </c>
      <c r="AL102" s="26" t="str">
        <f aca="false">IF(AK102="","",AK102*HoursPerDay)</f>
        <v/>
      </c>
      <c r="AM102" s="27" t="str">
        <f aca="false">IF(AO102=0,"",IF(BF102=1,IF(N(AG102)&gt;0,"TERMINATED - forfeit "&amp;TEXT(AG102,"0.##")&amp;" days still in EH","Terminated - nothing in EH"),IF(NOT(EH_Ready),"Paste EH export and map headers on Settings",IF(AND(AB102&gt;0,AF102="No"),"SET UP in EH - add "&amp;TEXT(AB102,"0.##")&amp;" day(s) ("&amp;TEXT(AC102,"0.##")&amp;" hrs)",IF(AK102&gt;0,"ADD "&amp;TEXT(AK102,"0.##")&amp;" day(s) ("&amp;TEXT(AL102,"0.##")&amp;" hrs) in EH",IF(AK102&lt;0,"CHECK - EH shows "&amp;TEXT(-AK102,"0.##")&amp;" days more than policy",IF(AB102&gt;0,"OK - up to date",IF(AY102="None","No action - not eligible","No action - not yet qualified"))))))))</f>
        <v/>
      </c>
      <c r="AN102" s="27" t="str">
        <f aca="false">IF(AO102=0,"",TRIM(IF(AND($K102&lt;&gt;"",$H102=""),"Change 2 entered without Change 1. ","")&amp;IF(AND($K102&lt;&gt;"",$H102&lt;&gt;"",$K102&lt;=$H102),"Change 2 date not after Change 1. ","")&amp;IF(AND($N102&lt;&gt;"",$O102&lt;&gt;"",$O102&lt;$N102),"Leave To is before Leave From. ","")&amp;IF(AND($N102&lt;&gt;"",$O102=""),"Leave From entered without Leave To. ","")&amp;IF(AND(IFERROR(VLOOKUP(T102,TypeTable,2,0),"None")="PT",U102=""),"Part-time with no hours entered. ","")&amp;IF(AND($H102&lt;&gt;"",$H102&gt;AsOfDate,AD102&lt;&gt;"",$H102&lt;=AD102),"Status change lands before next accrual - review. ","")&amp;IF(AND($Q102&lt;&gt;"",$Q102&lt;$E102),"Termination before commencement. ","")))</f>
        <v/>
      </c>
      <c r="AO102" s="11" t="n">
        <f aca="false">IF(LEN($A102&amp;$B102&amp;$C102)=0,0,IF($E102="",0,1))</f>
        <v>0</v>
      </c>
      <c r="AP102" s="11" t="str">
        <f aca="false">IF(AO102=0,"",(IF(OR($N102="",$O102=""),0,MAX(0,MIN(X102,$O102)-MAX($N102,$E102)+1))+N($P102)))</f>
        <v/>
      </c>
      <c r="AQ102" s="11" t="str">
        <f aca="false">IF(AO102=0,"",IF(X102&lt;($E102+(IF(OR($N102="",$O102=""),0,MAX(0,MIN(X102,$O102)-MAX($N102,$E102)+1))+N($P102))),-1,12*(YEAR(X102)-YEAR(($E102+(IF(OR($N102="",$O102=""),0,MAX(0,MIN(X102,$O102)-MAX($N102,$E102)+1))+N($P102)))))+MONTH(X102)-MONTH(($E102+(IF(OR($N102="",$O102=""),0,MAX(0,MIN(X102,$O102)-MAX($N102,$E102)+1))+N($P102))))-IF(DAY(X102)&lt;MIN(DAY(($E102+(IF(OR($N102="",$O102=""),0,MAX(0,MIN(X102,$O102)-MAX($N102,$E102)+1))+N($P102)))),DAY(EOMONTH(X102,0))),1,0)))</f>
        <v/>
      </c>
      <c r="AR102" s="28" t="str">
        <f aca="false">IF(AO102=0,"",IF($H102="","",IF($H102&gt;X102,"",$H102)))</f>
        <v/>
      </c>
      <c r="AS102" s="28" t="str">
        <f aca="false">IF(AO102=0,"",IF(AR102="","",IF($K102="","",IF($K102&gt;X102,"",$K102))))</f>
        <v/>
      </c>
      <c r="AT102" s="11" t="str">
        <f aca="false">IF(AO102=0,"",IF(AR102="",AQ102,IF((AR102-1)&lt;($E102+(IF(OR($N102="",$O102=""),0,MAX(0,MIN((AR102-1),$O102)-MAX($N102,$E102)+1))+N($P102))),-1,12*(YEAR((AR102-1))-YEAR(($E102+(IF(OR($N102="",$O102=""),0,MAX(0,MIN((AR102-1),$O102)-MAX($N102,$E102)+1))+N($P102)))))+MONTH((AR102-1))-MONTH(($E102+(IF(OR($N102="",$O102=""),0,MAX(0,MIN((AR102-1),$O102)-MAX($N102,$E102)+1))+N($P102))))-IF(DAY((AR102-1))&lt;MIN(DAY(($E102+(IF(OR($N102="",$O102=""),0,MAX(0,MIN((AR102-1),$O102)-MAX($N102,$E102)+1))+N($P102)))),DAY(EOMONTH((AR102-1),0))),1,0))))</f>
        <v/>
      </c>
      <c r="AU102" s="11" t="str">
        <f aca="false">IF(AO102=0,"",IF(AS102="",AQ102,IF((AS102-1)&lt;($E102+(IF(OR($N102="",$O102=""),0,MAX(0,MIN((AS102-1),$O102)-MAX($N102,$E102)+1))+N($P102))),-1,12*(YEAR((AS102-1))-YEAR(($E102+(IF(OR($N102="",$O102=""),0,MAX(0,MIN((AS102-1),$O102)-MAX($N102,$E102)+1))+N($P102)))))+MONTH((AS102-1))-MONTH(($E102+(IF(OR($N102="",$O102=""),0,MAX(0,MIN((AS102-1),$O102)-MAX($N102,$E102)+1))+N($P102))))-IF(DAY((AS102-1))&lt;MIN(DAY(($E102+(IF(OR($N102="",$O102=""),0,MAX(0,MIN((AS102-1),$O102)-MAX($N102,$E102)+1))+N($P102)))),DAY(EOMONTH((AS102-1),0))),1,0))))</f>
        <v/>
      </c>
      <c r="AV102" s="11" t="str">
        <f aca="false">IF(AO102=0,"",IF($F102="","None",IF(IFERROR(VLOOKUP($F102,TypeTable,2,0),"None")="PT",IF(N($G102)&gt;=PT_MinHours,"PT","None"),IFERROR(VLOOKUP($F102,TypeTable,2,0),"None"))))</f>
        <v/>
      </c>
      <c r="AW102" s="11" t="str">
        <f aca="false">IF(AO102=0,"",IF($I102="","None",IF(IFERROR(VLOOKUP($I102,TypeTable,2,0),"None")="PT",IF(N($J102)&gt;=PT_MinHours,"PT","None"),IFERROR(VLOOKUP($I102,TypeTable,2,0),"None"))))</f>
        <v/>
      </c>
      <c r="AX102" s="11" t="str">
        <f aca="false">IF(AO102=0,"",IF($L102="","None",IF(IFERROR(VLOOKUP($L102,TypeTable,2,0),"None")="PT",IF(N($M102)&gt;=PT_MinHours,"PT","None"),IFERROR(VLOOKUP($L102,TypeTable,2,0),"None"))))</f>
        <v/>
      </c>
      <c r="AY102" s="11" t="str">
        <f aca="false">IF(AO102=0,"",IF(AS102&lt;&gt;"",AX102,IF(AR102&lt;&gt;"",AW102,AV102)))</f>
        <v/>
      </c>
      <c r="AZ102" s="11" t="str">
        <f aca="false">IF(AO102=0,"",IF(AV102="FT",IF(AT102&lt;FT_First,0,IF(AT102&lt;FT_Y5,1+INT((AT102-FT_First)/FT_Int1),FT_PreY5+FT_PerYear*INT((AT102-FT_Y5)/12)+FT_AnnivDays+INT(MOD(AT102-FT_Y5,12)/FT_Int2))),IF(AV102="PT",IF(AT102&lt;PT_First,0,1+INT((AT102-PT_First)/PT_Int)),0)))</f>
        <v/>
      </c>
      <c r="BA102" s="11" t="str">
        <f aca="false">IF(AO102=0,"",IF(AW102="FT",IF(AT102&lt;FT_First,0,IF(AT102&lt;FT_Y5,1+INT((AT102-FT_First)/FT_Int1),FT_PreY5+FT_PerYear*INT((AT102-FT_Y5)/12)+FT_AnnivDays+INT(MOD(AT102-FT_Y5,12)/FT_Int2))),IF(AW102="PT",IF(AT102&lt;PT_First,0,1+INT((AT102-PT_First)/PT_Int)),0)))</f>
        <v/>
      </c>
      <c r="BB102" s="11" t="str">
        <f aca="false">IF(AO102=0,"",IF(AW102="FT",IF(AU102&lt;FT_First,0,IF(AU102&lt;FT_Y5,1+INT((AU102-FT_First)/FT_Int1),FT_PreY5+FT_PerYear*INT((AU102-FT_Y5)/12)+FT_AnnivDays+INT(MOD(AU102-FT_Y5,12)/FT_Int2))),IF(AW102="PT",IF(AU102&lt;PT_First,0,1+INT((AU102-PT_First)/PT_Int)),0)))</f>
        <v/>
      </c>
      <c r="BC102" s="11" t="str">
        <f aca="false">IF(AO102=0,"",IF(AX102="FT",IF(AU102&lt;FT_First,0,IF(AU102&lt;FT_Y5,1+INT((AU102-FT_First)/FT_Int1),FT_PreY5+FT_PerYear*INT((AU102-FT_Y5)/12)+FT_AnnivDays+INT(MOD(AU102-FT_Y5,12)/FT_Int2))),IF(AX102="PT",IF(AU102&lt;PT_First,0,1+INT((AU102-PT_First)/PT_Int)),0)))</f>
        <v/>
      </c>
      <c r="BD102" s="11" t="str">
        <f aca="false">IF(AO102=0,"",IF(AX102="FT",IF(AQ102&lt;FT_First,0,IF(AQ102&lt;FT_Y5,1+INT((AQ102-FT_First)/FT_Int1),FT_PreY5+FT_PerYear*INT((AQ102-FT_Y5)/12)+FT_AnnivDays+INT(MOD(AQ102-FT_Y5,12)/FT_Int2))),IF(AX102="PT",IF(AQ102&lt;PT_First,0,1+INT((AQ102-PT_First)/PT_Int)),0)))</f>
        <v/>
      </c>
      <c r="BE102" s="11" t="str">
        <f aca="false">IF(AO102=0,"",IF(AY102="FT",IF(AQ102&lt;FT_First,FT_First,IF(AQ102&lt;FT_Y5,MIN(FT_Y5,FT_First+FT_Int1*(INT((AQ102-FT_First)/FT_Int1)+1)),FT_Y5+12*INT((AQ102-FT_Y5)/12)+FT_Int2*(INT(MOD(AQ102-FT_Y5,12)/FT_Int2)+1))),IF(AY102="PT",IF(AQ102&lt;PT_First,PT_First,PT_First+PT_Int*(INT((AQ102-PT_First)/PT_Int)+1)),"")))</f>
        <v/>
      </c>
      <c r="BF102" s="11" t="n">
        <f aca="false">IF(AO102=0,0,IF(AND($Q102&lt;&gt;"",$Q102&lt;=AsOfDate),1,0))</f>
        <v>0</v>
      </c>
      <c r="BG102" s="11" t="str">
        <f aca="false">IF(AND(AO102=1,BF102=0,EH_Ready,N(AB102)&gt;0,N(AI102)=0),COUNT($BG$5:BG101)+1,"")</f>
        <v/>
      </c>
      <c r="BH102" s="11" t="str">
        <f aca="false">IF(AND(AO102=1,BF102=0,EH_Ready,N(AB102)&gt;0,N(AI102)&gt;0,N(AK102)&gt;0),COUNT($BH$5:BH101)+1,"")</f>
        <v/>
      </c>
      <c r="BI102" s="11" t="str">
        <f aca="false">IF(AND(AO102=1,OR(LEFT(AM102,3)="ADD",LEFT(AM102,3)="SET",LEFT(AM102,5)="CHECK",LEFT(AM102,10)="TERMINATED")),COUNT($BI$5:BI101)+1,"")</f>
        <v/>
      </c>
      <c r="BJ102" s="11" t="str">
        <f aca="false">IF(AO102=0,"",$A102&amp;" - "&amp;$B102&amp;" "&amp;$C102)</f>
        <v/>
      </c>
    </row>
    <row r="103" customFormat="false" ht="15" hidden="false" customHeight="false" outlineLevel="0" collapsed="false">
      <c r="A103" s="10"/>
      <c r="B103" s="10"/>
      <c r="C103" s="10"/>
      <c r="D103" s="10"/>
      <c r="E103" s="9"/>
      <c r="F103" s="10"/>
      <c r="G103" s="30"/>
      <c r="H103" s="9"/>
      <c r="I103" s="10"/>
      <c r="J103" s="30"/>
      <c r="K103" s="9"/>
      <c r="L103" s="10"/>
      <c r="M103" s="30"/>
      <c r="N103" s="9"/>
      <c r="O103" s="9"/>
      <c r="P103" s="30"/>
      <c r="Q103" s="9"/>
      <c r="R103" s="10"/>
      <c r="S103" s="11" t="str">
        <f aca="false">IF(AO103=0,"",IF($H103="","",$F103&amp;" -&gt; "&amp;$I103&amp;IF($I103="Part-Time"," ("&amp;N($J103)&amp;" hrs)","")&amp;" on "&amp;TEXT($H103,"dd/mm/yyyy")&amp;IF($H103&gt;AsOfDate," (FUTURE)","")&amp;IF($K103="","","; "&amp;$I103&amp;" -&gt; "&amp;$L103&amp;IF($L103="Part-Time"," ("&amp;N($M103)&amp;" hrs)","")&amp;" on "&amp;TEXT($K103,"dd/mm/yyyy")&amp;IF($K103&gt;AsOfDate," (FUTURE)",""))))</f>
        <v/>
      </c>
      <c r="T103" s="11" t="str">
        <f aca="false">IF(AO103=0,"",IF(AS103&lt;&gt;"",$L103,IF(AR103&lt;&gt;"",$I103,$F103)))</f>
        <v/>
      </c>
      <c r="U103" s="26" t="str">
        <f aca="false">IF(AO103=0,"",IF(AS103&lt;&gt;"",$M103,IF(AR103&lt;&gt;"",$J103,$G103)))</f>
        <v/>
      </c>
      <c r="V103" s="11" t="str">
        <f aca="false">IF(AO103=0,"",IF(AY103="FT","Full-Time",IF(AY103="PT","Part-Time","Not eligible")))</f>
        <v/>
      </c>
      <c r="W103" s="27" t="str">
        <f aca="false">IF(AO103=0,"",IF(AR103="",IF(AND($H103&lt;&gt;"",$H103&gt;AsOfDate),"Future change - not yet applied",""),IF(AND(AV103=AY103,OR(AS103="",AW103=AV103)),"Type changed - same accrual pathway",IF(AY103="None","STOPPED accruing from "&amp;TEXT(IF(AS103&lt;&gt;"",AS103,AR103),"dd/mm/yyyy"),IF(AV103="None","STARTED qualifying from "&amp;TEXT(IF(AS103&lt;&gt;"",AS103,AR103),"dd/mm/yyyy"),"Pathway changed "&amp;AV103&amp;" -&gt; "&amp;AW103&amp;IF(AS103&lt;&gt;""," -&gt; "&amp;AX103,"")&amp;" from "&amp;TEXT(IF(AS103&lt;&gt;"",AS103,AR103),"dd/mm/yyyy"))))))</f>
        <v/>
      </c>
      <c r="X103" s="28" t="str">
        <f aca="false">IF(AO103=0,"",IF($Q103="",AsOfDate,MIN(AsOfDate,$Q103)))</f>
        <v/>
      </c>
      <c r="Y103" s="26" t="str">
        <f aca="false">IF(AO103=0,"",MAX(0,AQ103))</f>
        <v/>
      </c>
      <c r="Z103" s="11" t="str">
        <f aca="false">IF(AO103=0,"",IF(AQ103&lt;0,"Not started",INT(AQ103/12)&amp;"y "&amp;MOD(AQ103,12)&amp;"m"))</f>
        <v/>
      </c>
      <c r="AA103" s="27" t="str">
        <f aca="false">IF(AO103=0,"",IF(BF103=1,"Terminated - balance forfeited",IF(AY103="None",IF(AB103&gt;0,"No longer accruing - "&amp;T103,"Not eligible - "&amp;T103&amp;IF(AND(IFERROR(VLOOKUP(T103,TypeTable,2,0),"None")="PT",N(U103)&lt;PT_MinHours)," (under "&amp;PT_MinHours&amp;" hrs)","")),IF(AB103&gt;0,"Yes - accruing","Not yet - qualifies "&amp;TEXT(AD103,"dd/mm/yyyy")))))</f>
        <v/>
      </c>
      <c r="AB103" s="26" t="str">
        <f aca="false">IF(AO103=0,"",AZ103+IF(AR103="",0,BB103-BA103)+IF(AS103="",0,BD103-BC103))</f>
        <v/>
      </c>
      <c r="AC103" s="26" t="str">
        <f aca="false">IF(AO103=0,"",AB103*HoursPerDay)</f>
        <v/>
      </c>
      <c r="AD103" s="28" t="str">
        <f aca="false">IF(AO103=0,"",IF(OR(BF103=1,AY103="None"),"",EDATE($E103+AP103,BE103)))</f>
        <v/>
      </c>
      <c r="AE103" s="26" t="str">
        <f aca="false">IF(AD103="","",IF(AY103="PT",1,IF(BE103&lt;FT_Y5,1,IF(MOD(BE103-FT_Y5,12)=0,FT_AnnivDays,1))))</f>
        <v/>
      </c>
      <c r="AF103" s="27" t="str">
        <f aca="false">IF(AO103=0,"",IF(NOT(EH_Ready),"Map headers",IF(IF(MatchMode="Employee ID",COUNTIFS(INDEX(EH_Data,0,EH_ColID),$A103,INDEX(EH_Data,0,EH_ColCat),BonusCat),COUNTIFS(INDEX(EH_Data,0,EH_ColFirst),$B103,INDEX(EH_Data,0,EH_ColSur),$C103,INDEX(EH_Data,0,EH_ColCat),BonusCat))&gt;0,"Yes","No")))</f>
        <v/>
      </c>
      <c r="AG103" s="26" t="str">
        <f aca="false">IF(AO103=0,"",IF(NOT(EH_Ready),"",IF(MatchMode="Employee ID",SUMIFS(INDEX(EH_Data,0,EH_ColBal),INDEX(EH_Data,0,EH_ColID),$A103,INDEX(EH_Data,0,EH_ColCat),BonusCat),SUMIFS(INDEX(EH_Data,0,EH_ColBal),INDEX(EH_Data,0,EH_ColFirst),$B103,INDEX(EH_Data,0,EH_ColSur),$C103,INDEX(EH_Data,0,EH_ColCat),BonusCat))/IF(EHUnit="Hours",HoursPerDay,1)))</f>
        <v/>
      </c>
      <c r="AH103" s="26" t="str">
        <f aca="false">IF(AO103=0,"",IF(NOT(TK_Ready),0,IF(MatchMode="Employee ID",SUMIFS(INDEX(TK_Data,0,TK_ColAmt),INDEX(TK_Data,0,TK_ColID),$A103,INDEX(TK_Data,0,TK_ColCat),BonusCat),SUMIFS(INDEX(TK_Data,0,TK_ColAmt),INDEX(TK_Data,0,TK_ColFirst),$B103,INDEX(TK_Data,0,TK_ColSur),$C103,INDEX(TK_Data,0,TK_ColCat),BonusCat))/IF(TKUnit="Hours",HoursPerDay,1)))</f>
        <v/>
      </c>
      <c r="AI103" s="26" t="str">
        <f aca="false">IF(AO103=0,"",N(AG103)+N(AH103))</f>
        <v/>
      </c>
      <c r="AJ103" s="29" t="str">
        <f aca="false">IF(AO103=0,"",IF(NOT(AND(EH_Ready,EH_ValReady)),"",IF(MatchMode="Employee ID",SUMIFS(INDEX(EH_Data,0,EH_ColVal),INDEX(EH_Data,0,EH_ColID),$A103,INDEX(EH_Data,0,EH_ColCat),BonusCat),SUMIFS(INDEX(EH_Data,0,EH_ColVal),INDEX(EH_Data,0,EH_ColFirst),$B103,INDEX(EH_Data,0,EH_ColSur),$C103,INDEX(EH_Data,0,EH_ColCat),BonusCat))))</f>
        <v/>
      </c>
      <c r="AK103" s="26" t="str">
        <f aca="false">IF(AO103=0,"",IF(OR(NOT(EH_Ready),BF103=1),"",AB103-AI103))</f>
        <v/>
      </c>
      <c r="AL103" s="26" t="str">
        <f aca="false">IF(AK103="","",AK103*HoursPerDay)</f>
        <v/>
      </c>
      <c r="AM103" s="27" t="str">
        <f aca="false">IF(AO103=0,"",IF(BF103=1,IF(N(AG103)&gt;0,"TERMINATED - forfeit "&amp;TEXT(AG103,"0.##")&amp;" days still in EH","Terminated - nothing in EH"),IF(NOT(EH_Ready),"Paste EH export and map headers on Settings",IF(AND(AB103&gt;0,AF103="No"),"SET UP in EH - add "&amp;TEXT(AB103,"0.##")&amp;" day(s) ("&amp;TEXT(AC103,"0.##")&amp;" hrs)",IF(AK103&gt;0,"ADD "&amp;TEXT(AK103,"0.##")&amp;" day(s) ("&amp;TEXT(AL103,"0.##")&amp;" hrs) in EH",IF(AK103&lt;0,"CHECK - EH shows "&amp;TEXT(-AK103,"0.##")&amp;" days more than policy",IF(AB103&gt;0,"OK - up to date",IF(AY103="None","No action - not eligible","No action - not yet qualified"))))))))</f>
        <v/>
      </c>
      <c r="AN103" s="27" t="str">
        <f aca="false">IF(AO103=0,"",TRIM(IF(AND($K103&lt;&gt;"",$H103=""),"Change 2 entered without Change 1. ","")&amp;IF(AND($K103&lt;&gt;"",$H103&lt;&gt;"",$K103&lt;=$H103),"Change 2 date not after Change 1. ","")&amp;IF(AND($N103&lt;&gt;"",$O103&lt;&gt;"",$O103&lt;$N103),"Leave To is before Leave From. ","")&amp;IF(AND($N103&lt;&gt;"",$O103=""),"Leave From entered without Leave To. ","")&amp;IF(AND(IFERROR(VLOOKUP(T103,TypeTable,2,0),"None")="PT",U103=""),"Part-time with no hours entered. ","")&amp;IF(AND($H103&lt;&gt;"",$H103&gt;AsOfDate,AD103&lt;&gt;"",$H103&lt;=AD103),"Status change lands before next accrual - review. ","")&amp;IF(AND($Q103&lt;&gt;"",$Q103&lt;$E103),"Termination before commencement. ","")))</f>
        <v/>
      </c>
      <c r="AO103" s="11" t="n">
        <f aca="false">IF(LEN($A103&amp;$B103&amp;$C103)=0,0,IF($E103="",0,1))</f>
        <v>0</v>
      </c>
      <c r="AP103" s="11" t="str">
        <f aca="false">IF(AO103=0,"",(IF(OR($N103="",$O103=""),0,MAX(0,MIN(X103,$O103)-MAX($N103,$E103)+1))+N($P103)))</f>
        <v/>
      </c>
      <c r="AQ103" s="11" t="str">
        <f aca="false">IF(AO103=0,"",IF(X103&lt;($E103+(IF(OR($N103="",$O103=""),0,MAX(0,MIN(X103,$O103)-MAX($N103,$E103)+1))+N($P103))),-1,12*(YEAR(X103)-YEAR(($E103+(IF(OR($N103="",$O103=""),0,MAX(0,MIN(X103,$O103)-MAX($N103,$E103)+1))+N($P103)))))+MONTH(X103)-MONTH(($E103+(IF(OR($N103="",$O103=""),0,MAX(0,MIN(X103,$O103)-MAX($N103,$E103)+1))+N($P103))))-IF(DAY(X103)&lt;MIN(DAY(($E103+(IF(OR($N103="",$O103=""),0,MAX(0,MIN(X103,$O103)-MAX($N103,$E103)+1))+N($P103)))),DAY(EOMONTH(X103,0))),1,0)))</f>
        <v/>
      </c>
      <c r="AR103" s="28" t="str">
        <f aca="false">IF(AO103=0,"",IF($H103="","",IF($H103&gt;X103,"",$H103)))</f>
        <v/>
      </c>
      <c r="AS103" s="28" t="str">
        <f aca="false">IF(AO103=0,"",IF(AR103="","",IF($K103="","",IF($K103&gt;X103,"",$K103))))</f>
        <v/>
      </c>
      <c r="AT103" s="11" t="str">
        <f aca="false">IF(AO103=0,"",IF(AR103="",AQ103,IF((AR103-1)&lt;($E103+(IF(OR($N103="",$O103=""),0,MAX(0,MIN((AR103-1),$O103)-MAX($N103,$E103)+1))+N($P103))),-1,12*(YEAR((AR103-1))-YEAR(($E103+(IF(OR($N103="",$O103=""),0,MAX(0,MIN((AR103-1),$O103)-MAX($N103,$E103)+1))+N($P103)))))+MONTH((AR103-1))-MONTH(($E103+(IF(OR($N103="",$O103=""),0,MAX(0,MIN((AR103-1),$O103)-MAX($N103,$E103)+1))+N($P103))))-IF(DAY((AR103-1))&lt;MIN(DAY(($E103+(IF(OR($N103="",$O103=""),0,MAX(0,MIN((AR103-1),$O103)-MAX($N103,$E103)+1))+N($P103)))),DAY(EOMONTH((AR103-1),0))),1,0))))</f>
        <v/>
      </c>
      <c r="AU103" s="11" t="str">
        <f aca="false">IF(AO103=0,"",IF(AS103="",AQ103,IF((AS103-1)&lt;($E103+(IF(OR($N103="",$O103=""),0,MAX(0,MIN((AS103-1),$O103)-MAX($N103,$E103)+1))+N($P103))),-1,12*(YEAR((AS103-1))-YEAR(($E103+(IF(OR($N103="",$O103=""),0,MAX(0,MIN((AS103-1),$O103)-MAX($N103,$E103)+1))+N($P103)))))+MONTH((AS103-1))-MONTH(($E103+(IF(OR($N103="",$O103=""),0,MAX(0,MIN((AS103-1),$O103)-MAX($N103,$E103)+1))+N($P103))))-IF(DAY((AS103-1))&lt;MIN(DAY(($E103+(IF(OR($N103="",$O103=""),0,MAX(0,MIN((AS103-1),$O103)-MAX($N103,$E103)+1))+N($P103)))),DAY(EOMONTH((AS103-1),0))),1,0))))</f>
        <v/>
      </c>
      <c r="AV103" s="11" t="str">
        <f aca="false">IF(AO103=0,"",IF($F103="","None",IF(IFERROR(VLOOKUP($F103,TypeTable,2,0),"None")="PT",IF(N($G103)&gt;=PT_MinHours,"PT","None"),IFERROR(VLOOKUP($F103,TypeTable,2,0),"None"))))</f>
        <v/>
      </c>
      <c r="AW103" s="11" t="str">
        <f aca="false">IF(AO103=0,"",IF($I103="","None",IF(IFERROR(VLOOKUP($I103,TypeTable,2,0),"None")="PT",IF(N($J103)&gt;=PT_MinHours,"PT","None"),IFERROR(VLOOKUP($I103,TypeTable,2,0),"None"))))</f>
        <v/>
      </c>
      <c r="AX103" s="11" t="str">
        <f aca="false">IF(AO103=0,"",IF($L103="","None",IF(IFERROR(VLOOKUP($L103,TypeTable,2,0),"None")="PT",IF(N($M103)&gt;=PT_MinHours,"PT","None"),IFERROR(VLOOKUP($L103,TypeTable,2,0),"None"))))</f>
        <v/>
      </c>
      <c r="AY103" s="11" t="str">
        <f aca="false">IF(AO103=0,"",IF(AS103&lt;&gt;"",AX103,IF(AR103&lt;&gt;"",AW103,AV103)))</f>
        <v/>
      </c>
      <c r="AZ103" s="11" t="str">
        <f aca="false">IF(AO103=0,"",IF(AV103="FT",IF(AT103&lt;FT_First,0,IF(AT103&lt;FT_Y5,1+INT((AT103-FT_First)/FT_Int1),FT_PreY5+FT_PerYear*INT((AT103-FT_Y5)/12)+FT_AnnivDays+INT(MOD(AT103-FT_Y5,12)/FT_Int2))),IF(AV103="PT",IF(AT103&lt;PT_First,0,1+INT((AT103-PT_First)/PT_Int)),0)))</f>
        <v/>
      </c>
      <c r="BA103" s="11" t="str">
        <f aca="false">IF(AO103=0,"",IF(AW103="FT",IF(AT103&lt;FT_First,0,IF(AT103&lt;FT_Y5,1+INT((AT103-FT_First)/FT_Int1),FT_PreY5+FT_PerYear*INT((AT103-FT_Y5)/12)+FT_AnnivDays+INT(MOD(AT103-FT_Y5,12)/FT_Int2))),IF(AW103="PT",IF(AT103&lt;PT_First,0,1+INT((AT103-PT_First)/PT_Int)),0)))</f>
        <v/>
      </c>
      <c r="BB103" s="11" t="str">
        <f aca="false">IF(AO103=0,"",IF(AW103="FT",IF(AU103&lt;FT_First,0,IF(AU103&lt;FT_Y5,1+INT((AU103-FT_First)/FT_Int1),FT_PreY5+FT_PerYear*INT((AU103-FT_Y5)/12)+FT_AnnivDays+INT(MOD(AU103-FT_Y5,12)/FT_Int2))),IF(AW103="PT",IF(AU103&lt;PT_First,0,1+INT((AU103-PT_First)/PT_Int)),0)))</f>
        <v/>
      </c>
      <c r="BC103" s="11" t="str">
        <f aca="false">IF(AO103=0,"",IF(AX103="FT",IF(AU103&lt;FT_First,0,IF(AU103&lt;FT_Y5,1+INT((AU103-FT_First)/FT_Int1),FT_PreY5+FT_PerYear*INT((AU103-FT_Y5)/12)+FT_AnnivDays+INT(MOD(AU103-FT_Y5,12)/FT_Int2))),IF(AX103="PT",IF(AU103&lt;PT_First,0,1+INT((AU103-PT_First)/PT_Int)),0)))</f>
        <v/>
      </c>
      <c r="BD103" s="11" t="str">
        <f aca="false">IF(AO103=0,"",IF(AX103="FT",IF(AQ103&lt;FT_First,0,IF(AQ103&lt;FT_Y5,1+INT((AQ103-FT_First)/FT_Int1),FT_PreY5+FT_PerYear*INT((AQ103-FT_Y5)/12)+FT_AnnivDays+INT(MOD(AQ103-FT_Y5,12)/FT_Int2))),IF(AX103="PT",IF(AQ103&lt;PT_First,0,1+INT((AQ103-PT_First)/PT_Int)),0)))</f>
        <v/>
      </c>
      <c r="BE103" s="11" t="str">
        <f aca="false">IF(AO103=0,"",IF(AY103="FT",IF(AQ103&lt;FT_First,FT_First,IF(AQ103&lt;FT_Y5,MIN(FT_Y5,FT_First+FT_Int1*(INT((AQ103-FT_First)/FT_Int1)+1)),FT_Y5+12*INT((AQ103-FT_Y5)/12)+FT_Int2*(INT(MOD(AQ103-FT_Y5,12)/FT_Int2)+1))),IF(AY103="PT",IF(AQ103&lt;PT_First,PT_First,PT_First+PT_Int*(INT((AQ103-PT_First)/PT_Int)+1)),"")))</f>
        <v/>
      </c>
      <c r="BF103" s="11" t="n">
        <f aca="false">IF(AO103=0,0,IF(AND($Q103&lt;&gt;"",$Q103&lt;=AsOfDate),1,0))</f>
        <v>0</v>
      </c>
      <c r="BG103" s="11" t="str">
        <f aca="false">IF(AND(AO103=1,BF103=0,EH_Ready,N(AB103)&gt;0,N(AI103)=0),COUNT($BG$5:BG102)+1,"")</f>
        <v/>
      </c>
      <c r="BH103" s="11" t="str">
        <f aca="false">IF(AND(AO103=1,BF103=0,EH_Ready,N(AB103)&gt;0,N(AI103)&gt;0,N(AK103)&gt;0),COUNT($BH$5:BH102)+1,"")</f>
        <v/>
      </c>
      <c r="BI103" s="11" t="str">
        <f aca="false">IF(AND(AO103=1,OR(LEFT(AM103,3)="ADD",LEFT(AM103,3)="SET",LEFT(AM103,5)="CHECK",LEFT(AM103,10)="TERMINATED")),COUNT($BI$5:BI102)+1,"")</f>
        <v/>
      </c>
      <c r="BJ103" s="11" t="str">
        <f aca="false">IF(AO103=0,"",$A103&amp;" - "&amp;$B103&amp;" "&amp;$C103)</f>
        <v/>
      </c>
    </row>
    <row r="104" customFormat="false" ht="15" hidden="false" customHeight="false" outlineLevel="0" collapsed="false">
      <c r="A104" s="10"/>
      <c r="B104" s="10"/>
      <c r="C104" s="10"/>
      <c r="D104" s="10"/>
      <c r="E104" s="9"/>
      <c r="F104" s="10"/>
      <c r="G104" s="30"/>
      <c r="H104" s="9"/>
      <c r="I104" s="10"/>
      <c r="J104" s="30"/>
      <c r="K104" s="9"/>
      <c r="L104" s="10"/>
      <c r="M104" s="30"/>
      <c r="N104" s="9"/>
      <c r="O104" s="9"/>
      <c r="P104" s="30"/>
      <c r="Q104" s="9"/>
      <c r="R104" s="10"/>
      <c r="S104" s="11" t="str">
        <f aca="false">IF(AO104=0,"",IF($H104="","",$F104&amp;" -&gt; "&amp;$I104&amp;IF($I104="Part-Time"," ("&amp;N($J104)&amp;" hrs)","")&amp;" on "&amp;TEXT($H104,"dd/mm/yyyy")&amp;IF($H104&gt;AsOfDate," (FUTURE)","")&amp;IF($K104="","","; "&amp;$I104&amp;" -&gt; "&amp;$L104&amp;IF($L104="Part-Time"," ("&amp;N($M104)&amp;" hrs)","")&amp;" on "&amp;TEXT($K104,"dd/mm/yyyy")&amp;IF($K104&gt;AsOfDate," (FUTURE)",""))))</f>
        <v/>
      </c>
      <c r="T104" s="11" t="str">
        <f aca="false">IF(AO104=0,"",IF(AS104&lt;&gt;"",$L104,IF(AR104&lt;&gt;"",$I104,$F104)))</f>
        <v/>
      </c>
      <c r="U104" s="26" t="str">
        <f aca="false">IF(AO104=0,"",IF(AS104&lt;&gt;"",$M104,IF(AR104&lt;&gt;"",$J104,$G104)))</f>
        <v/>
      </c>
      <c r="V104" s="11" t="str">
        <f aca="false">IF(AO104=0,"",IF(AY104="FT","Full-Time",IF(AY104="PT","Part-Time","Not eligible")))</f>
        <v/>
      </c>
      <c r="W104" s="27" t="str">
        <f aca="false">IF(AO104=0,"",IF(AR104="",IF(AND($H104&lt;&gt;"",$H104&gt;AsOfDate),"Future change - not yet applied",""),IF(AND(AV104=AY104,OR(AS104="",AW104=AV104)),"Type changed - same accrual pathway",IF(AY104="None","STOPPED accruing from "&amp;TEXT(IF(AS104&lt;&gt;"",AS104,AR104),"dd/mm/yyyy"),IF(AV104="None","STARTED qualifying from "&amp;TEXT(IF(AS104&lt;&gt;"",AS104,AR104),"dd/mm/yyyy"),"Pathway changed "&amp;AV104&amp;" -&gt; "&amp;AW104&amp;IF(AS104&lt;&gt;""," -&gt; "&amp;AX104,"")&amp;" from "&amp;TEXT(IF(AS104&lt;&gt;"",AS104,AR104),"dd/mm/yyyy"))))))</f>
        <v/>
      </c>
      <c r="X104" s="28" t="str">
        <f aca="false">IF(AO104=0,"",IF($Q104="",AsOfDate,MIN(AsOfDate,$Q104)))</f>
        <v/>
      </c>
      <c r="Y104" s="26" t="str">
        <f aca="false">IF(AO104=0,"",MAX(0,AQ104))</f>
        <v/>
      </c>
      <c r="Z104" s="11" t="str">
        <f aca="false">IF(AO104=0,"",IF(AQ104&lt;0,"Not started",INT(AQ104/12)&amp;"y "&amp;MOD(AQ104,12)&amp;"m"))</f>
        <v/>
      </c>
      <c r="AA104" s="27" t="str">
        <f aca="false">IF(AO104=0,"",IF(BF104=1,"Terminated - balance forfeited",IF(AY104="None",IF(AB104&gt;0,"No longer accruing - "&amp;T104,"Not eligible - "&amp;T104&amp;IF(AND(IFERROR(VLOOKUP(T104,TypeTable,2,0),"None")="PT",N(U104)&lt;PT_MinHours)," (under "&amp;PT_MinHours&amp;" hrs)","")),IF(AB104&gt;0,"Yes - accruing","Not yet - qualifies "&amp;TEXT(AD104,"dd/mm/yyyy")))))</f>
        <v/>
      </c>
      <c r="AB104" s="26" t="str">
        <f aca="false">IF(AO104=0,"",AZ104+IF(AR104="",0,BB104-BA104)+IF(AS104="",0,BD104-BC104))</f>
        <v/>
      </c>
      <c r="AC104" s="26" t="str">
        <f aca="false">IF(AO104=0,"",AB104*HoursPerDay)</f>
        <v/>
      </c>
      <c r="AD104" s="28" t="str">
        <f aca="false">IF(AO104=0,"",IF(OR(BF104=1,AY104="None"),"",EDATE($E104+AP104,BE104)))</f>
        <v/>
      </c>
      <c r="AE104" s="26" t="str">
        <f aca="false">IF(AD104="","",IF(AY104="PT",1,IF(BE104&lt;FT_Y5,1,IF(MOD(BE104-FT_Y5,12)=0,FT_AnnivDays,1))))</f>
        <v/>
      </c>
      <c r="AF104" s="27" t="str">
        <f aca="false">IF(AO104=0,"",IF(NOT(EH_Ready),"Map headers",IF(IF(MatchMode="Employee ID",COUNTIFS(INDEX(EH_Data,0,EH_ColID),$A104,INDEX(EH_Data,0,EH_ColCat),BonusCat),COUNTIFS(INDEX(EH_Data,0,EH_ColFirst),$B104,INDEX(EH_Data,0,EH_ColSur),$C104,INDEX(EH_Data,0,EH_ColCat),BonusCat))&gt;0,"Yes","No")))</f>
        <v/>
      </c>
      <c r="AG104" s="26" t="str">
        <f aca="false">IF(AO104=0,"",IF(NOT(EH_Ready),"",IF(MatchMode="Employee ID",SUMIFS(INDEX(EH_Data,0,EH_ColBal),INDEX(EH_Data,0,EH_ColID),$A104,INDEX(EH_Data,0,EH_ColCat),BonusCat),SUMIFS(INDEX(EH_Data,0,EH_ColBal),INDEX(EH_Data,0,EH_ColFirst),$B104,INDEX(EH_Data,0,EH_ColSur),$C104,INDEX(EH_Data,0,EH_ColCat),BonusCat))/IF(EHUnit="Hours",HoursPerDay,1)))</f>
        <v/>
      </c>
      <c r="AH104" s="26" t="str">
        <f aca="false">IF(AO104=0,"",IF(NOT(TK_Ready),0,IF(MatchMode="Employee ID",SUMIFS(INDEX(TK_Data,0,TK_ColAmt),INDEX(TK_Data,0,TK_ColID),$A104,INDEX(TK_Data,0,TK_ColCat),BonusCat),SUMIFS(INDEX(TK_Data,0,TK_ColAmt),INDEX(TK_Data,0,TK_ColFirst),$B104,INDEX(TK_Data,0,TK_ColSur),$C104,INDEX(TK_Data,0,TK_ColCat),BonusCat))/IF(TKUnit="Hours",HoursPerDay,1)))</f>
        <v/>
      </c>
      <c r="AI104" s="26" t="str">
        <f aca="false">IF(AO104=0,"",N(AG104)+N(AH104))</f>
        <v/>
      </c>
      <c r="AJ104" s="29" t="str">
        <f aca="false">IF(AO104=0,"",IF(NOT(AND(EH_Ready,EH_ValReady)),"",IF(MatchMode="Employee ID",SUMIFS(INDEX(EH_Data,0,EH_ColVal),INDEX(EH_Data,0,EH_ColID),$A104,INDEX(EH_Data,0,EH_ColCat),BonusCat),SUMIFS(INDEX(EH_Data,0,EH_ColVal),INDEX(EH_Data,0,EH_ColFirst),$B104,INDEX(EH_Data,0,EH_ColSur),$C104,INDEX(EH_Data,0,EH_ColCat),BonusCat))))</f>
        <v/>
      </c>
      <c r="AK104" s="26" t="str">
        <f aca="false">IF(AO104=0,"",IF(OR(NOT(EH_Ready),BF104=1),"",AB104-AI104))</f>
        <v/>
      </c>
      <c r="AL104" s="26" t="str">
        <f aca="false">IF(AK104="","",AK104*HoursPerDay)</f>
        <v/>
      </c>
      <c r="AM104" s="27" t="str">
        <f aca="false">IF(AO104=0,"",IF(BF104=1,IF(N(AG104)&gt;0,"TERMINATED - forfeit "&amp;TEXT(AG104,"0.##")&amp;" days still in EH","Terminated - nothing in EH"),IF(NOT(EH_Ready),"Paste EH export and map headers on Settings",IF(AND(AB104&gt;0,AF104="No"),"SET UP in EH - add "&amp;TEXT(AB104,"0.##")&amp;" day(s) ("&amp;TEXT(AC104,"0.##")&amp;" hrs)",IF(AK104&gt;0,"ADD "&amp;TEXT(AK104,"0.##")&amp;" day(s) ("&amp;TEXT(AL104,"0.##")&amp;" hrs) in EH",IF(AK104&lt;0,"CHECK - EH shows "&amp;TEXT(-AK104,"0.##")&amp;" days more than policy",IF(AB104&gt;0,"OK - up to date",IF(AY104="None","No action - not eligible","No action - not yet qualified"))))))))</f>
        <v/>
      </c>
      <c r="AN104" s="27" t="str">
        <f aca="false">IF(AO104=0,"",TRIM(IF(AND($K104&lt;&gt;"",$H104=""),"Change 2 entered without Change 1. ","")&amp;IF(AND($K104&lt;&gt;"",$H104&lt;&gt;"",$K104&lt;=$H104),"Change 2 date not after Change 1. ","")&amp;IF(AND($N104&lt;&gt;"",$O104&lt;&gt;"",$O104&lt;$N104),"Leave To is before Leave From. ","")&amp;IF(AND($N104&lt;&gt;"",$O104=""),"Leave From entered without Leave To. ","")&amp;IF(AND(IFERROR(VLOOKUP(T104,TypeTable,2,0),"None")="PT",U104=""),"Part-time with no hours entered. ","")&amp;IF(AND($H104&lt;&gt;"",$H104&gt;AsOfDate,AD104&lt;&gt;"",$H104&lt;=AD104),"Status change lands before next accrual - review. ","")&amp;IF(AND($Q104&lt;&gt;"",$Q104&lt;$E104),"Termination before commencement. ","")))</f>
        <v/>
      </c>
      <c r="AO104" s="11" t="n">
        <f aca="false">IF(LEN($A104&amp;$B104&amp;$C104)=0,0,IF($E104="",0,1))</f>
        <v>0</v>
      </c>
      <c r="AP104" s="11" t="str">
        <f aca="false">IF(AO104=0,"",(IF(OR($N104="",$O104=""),0,MAX(0,MIN(X104,$O104)-MAX($N104,$E104)+1))+N($P104)))</f>
        <v/>
      </c>
      <c r="AQ104" s="11" t="str">
        <f aca="false">IF(AO104=0,"",IF(X104&lt;($E104+(IF(OR($N104="",$O104=""),0,MAX(0,MIN(X104,$O104)-MAX($N104,$E104)+1))+N($P104))),-1,12*(YEAR(X104)-YEAR(($E104+(IF(OR($N104="",$O104=""),0,MAX(0,MIN(X104,$O104)-MAX($N104,$E104)+1))+N($P104)))))+MONTH(X104)-MONTH(($E104+(IF(OR($N104="",$O104=""),0,MAX(0,MIN(X104,$O104)-MAX($N104,$E104)+1))+N($P104))))-IF(DAY(X104)&lt;MIN(DAY(($E104+(IF(OR($N104="",$O104=""),0,MAX(0,MIN(X104,$O104)-MAX($N104,$E104)+1))+N($P104)))),DAY(EOMONTH(X104,0))),1,0)))</f>
        <v/>
      </c>
      <c r="AR104" s="28" t="str">
        <f aca="false">IF(AO104=0,"",IF($H104="","",IF($H104&gt;X104,"",$H104)))</f>
        <v/>
      </c>
      <c r="AS104" s="28" t="str">
        <f aca="false">IF(AO104=0,"",IF(AR104="","",IF($K104="","",IF($K104&gt;X104,"",$K104))))</f>
        <v/>
      </c>
      <c r="AT104" s="11" t="str">
        <f aca="false">IF(AO104=0,"",IF(AR104="",AQ104,IF((AR104-1)&lt;($E104+(IF(OR($N104="",$O104=""),0,MAX(0,MIN((AR104-1),$O104)-MAX($N104,$E104)+1))+N($P104))),-1,12*(YEAR((AR104-1))-YEAR(($E104+(IF(OR($N104="",$O104=""),0,MAX(0,MIN((AR104-1),$O104)-MAX($N104,$E104)+1))+N($P104)))))+MONTH((AR104-1))-MONTH(($E104+(IF(OR($N104="",$O104=""),0,MAX(0,MIN((AR104-1),$O104)-MAX($N104,$E104)+1))+N($P104))))-IF(DAY((AR104-1))&lt;MIN(DAY(($E104+(IF(OR($N104="",$O104=""),0,MAX(0,MIN((AR104-1),$O104)-MAX($N104,$E104)+1))+N($P104)))),DAY(EOMONTH((AR104-1),0))),1,0))))</f>
        <v/>
      </c>
      <c r="AU104" s="11" t="str">
        <f aca="false">IF(AO104=0,"",IF(AS104="",AQ104,IF((AS104-1)&lt;($E104+(IF(OR($N104="",$O104=""),0,MAX(0,MIN((AS104-1),$O104)-MAX($N104,$E104)+1))+N($P104))),-1,12*(YEAR((AS104-1))-YEAR(($E104+(IF(OR($N104="",$O104=""),0,MAX(0,MIN((AS104-1),$O104)-MAX($N104,$E104)+1))+N($P104)))))+MONTH((AS104-1))-MONTH(($E104+(IF(OR($N104="",$O104=""),0,MAX(0,MIN((AS104-1),$O104)-MAX($N104,$E104)+1))+N($P104))))-IF(DAY((AS104-1))&lt;MIN(DAY(($E104+(IF(OR($N104="",$O104=""),0,MAX(0,MIN((AS104-1),$O104)-MAX($N104,$E104)+1))+N($P104)))),DAY(EOMONTH((AS104-1),0))),1,0))))</f>
        <v/>
      </c>
      <c r="AV104" s="11" t="str">
        <f aca="false">IF(AO104=0,"",IF($F104="","None",IF(IFERROR(VLOOKUP($F104,TypeTable,2,0),"None")="PT",IF(N($G104)&gt;=PT_MinHours,"PT","None"),IFERROR(VLOOKUP($F104,TypeTable,2,0),"None"))))</f>
        <v/>
      </c>
      <c r="AW104" s="11" t="str">
        <f aca="false">IF(AO104=0,"",IF($I104="","None",IF(IFERROR(VLOOKUP($I104,TypeTable,2,0),"None")="PT",IF(N($J104)&gt;=PT_MinHours,"PT","None"),IFERROR(VLOOKUP($I104,TypeTable,2,0),"None"))))</f>
        <v/>
      </c>
      <c r="AX104" s="11" t="str">
        <f aca="false">IF(AO104=0,"",IF($L104="","None",IF(IFERROR(VLOOKUP($L104,TypeTable,2,0),"None")="PT",IF(N($M104)&gt;=PT_MinHours,"PT","None"),IFERROR(VLOOKUP($L104,TypeTable,2,0),"None"))))</f>
        <v/>
      </c>
      <c r="AY104" s="11" t="str">
        <f aca="false">IF(AO104=0,"",IF(AS104&lt;&gt;"",AX104,IF(AR104&lt;&gt;"",AW104,AV104)))</f>
        <v/>
      </c>
      <c r="AZ104" s="11" t="str">
        <f aca="false">IF(AO104=0,"",IF(AV104="FT",IF(AT104&lt;FT_First,0,IF(AT104&lt;FT_Y5,1+INT((AT104-FT_First)/FT_Int1),FT_PreY5+FT_PerYear*INT((AT104-FT_Y5)/12)+FT_AnnivDays+INT(MOD(AT104-FT_Y5,12)/FT_Int2))),IF(AV104="PT",IF(AT104&lt;PT_First,0,1+INT((AT104-PT_First)/PT_Int)),0)))</f>
        <v/>
      </c>
      <c r="BA104" s="11" t="str">
        <f aca="false">IF(AO104=0,"",IF(AW104="FT",IF(AT104&lt;FT_First,0,IF(AT104&lt;FT_Y5,1+INT((AT104-FT_First)/FT_Int1),FT_PreY5+FT_PerYear*INT((AT104-FT_Y5)/12)+FT_AnnivDays+INT(MOD(AT104-FT_Y5,12)/FT_Int2))),IF(AW104="PT",IF(AT104&lt;PT_First,0,1+INT((AT104-PT_First)/PT_Int)),0)))</f>
        <v/>
      </c>
      <c r="BB104" s="11" t="str">
        <f aca="false">IF(AO104=0,"",IF(AW104="FT",IF(AU104&lt;FT_First,0,IF(AU104&lt;FT_Y5,1+INT((AU104-FT_First)/FT_Int1),FT_PreY5+FT_PerYear*INT((AU104-FT_Y5)/12)+FT_AnnivDays+INT(MOD(AU104-FT_Y5,12)/FT_Int2))),IF(AW104="PT",IF(AU104&lt;PT_First,0,1+INT((AU104-PT_First)/PT_Int)),0)))</f>
        <v/>
      </c>
      <c r="BC104" s="11" t="str">
        <f aca="false">IF(AO104=0,"",IF(AX104="FT",IF(AU104&lt;FT_First,0,IF(AU104&lt;FT_Y5,1+INT((AU104-FT_First)/FT_Int1),FT_PreY5+FT_PerYear*INT((AU104-FT_Y5)/12)+FT_AnnivDays+INT(MOD(AU104-FT_Y5,12)/FT_Int2))),IF(AX104="PT",IF(AU104&lt;PT_First,0,1+INT((AU104-PT_First)/PT_Int)),0)))</f>
        <v/>
      </c>
      <c r="BD104" s="11" t="str">
        <f aca="false">IF(AO104=0,"",IF(AX104="FT",IF(AQ104&lt;FT_First,0,IF(AQ104&lt;FT_Y5,1+INT((AQ104-FT_First)/FT_Int1),FT_PreY5+FT_PerYear*INT((AQ104-FT_Y5)/12)+FT_AnnivDays+INT(MOD(AQ104-FT_Y5,12)/FT_Int2))),IF(AX104="PT",IF(AQ104&lt;PT_First,0,1+INT((AQ104-PT_First)/PT_Int)),0)))</f>
        <v/>
      </c>
      <c r="BE104" s="11" t="str">
        <f aca="false">IF(AO104=0,"",IF(AY104="FT",IF(AQ104&lt;FT_First,FT_First,IF(AQ104&lt;FT_Y5,MIN(FT_Y5,FT_First+FT_Int1*(INT((AQ104-FT_First)/FT_Int1)+1)),FT_Y5+12*INT((AQ104-FT_Y5)/12)+FT_Int2*(INT(MOD(AQ104-FT_Y5,12)/FT_Int2)+1))),IF(AY104="PT",IF(AQ104&lt;PT_First,PT_First,PT_First+PT_Int*(INT((AQ104-PT_First)/PT_Int)+1)),"")))</f>
        <v/>
      </c>
      <c r="BF104" s="11" t="n">
        <f aca="false">IF(AO104=0,0,IF(AND($Q104&lt;&gt;"",$Q104&lt;=AsOfDate),1,0))</f>
        <v>0</v>
      </c>
      <c r="BG104" s="11" t="str">
        <f aca="false">IF(AND(AO104=1,BF104=0,EH_Ready,N(AB104)&gt;0,N(AI104)=0),COUNT($BG$5:BG103)+1,"")</f>
        <v/>
      </c>
      <c r="BH104" s="11" t="str">
        <f aca="false">IF(AND(AO104=1,BF104=0,EH_Ready,N(AB104)&gt;0,N(AI104)&gt;0,N(AK104)&gt;0),COUNT($BH$5:BH103)+1,"")</f>
        <v/>
      </c>
      <c r="BI104" s="11" t="str">
        <f aca="false">IF(AND(AO104=1,OR(LEFT(AM104,3)="ADD",LEFT(AM104,3)="SET",LEFT(AM104,5)="CHECK",LEFT(AM104,10)="TERMINATED")),COUNT($BI$5:BI103)+1,"")</f>
        <v/>
      </c>
      <c r="BJ104" s="11" t="str">
        <f aca="false">IF(AO104=0,"",$A104&amp;" - "&amp;$B104&amp;" "&amp;$C104)</f>
        <v/>
      </c>
    </row>
    <row r="105" customFormat="false" ht="15" hidden="false" customHeight="false" outlineLevel="0" collapsed="false">
      <c r="A105" s="10"/>
      <c r="B105" s="10"/>
      <c r="C105" s="10"/>
      <c r="D105" s="10"/>
      <c r="E105" s="9"/>
      <c r="F105" s="10"/>
      <c r="G105" s="30"/>
      <c r="H105" s="9"/>
      <c r="I105" s="10"/>
      <c r="J105" s="30"/>
      <c r="K105" s="9"/>
      <c r="L105" s="10"/>
      <c r="M105" s="30"/>
      <c r="N105" s="9"/>
      <c r="O105" s="9"/>
      <c r="P105" s="30"/>
      <c r="Q105" s="9"/>
      <c r="R105" s="10"/>
      <c r="S105" s="11" t="str">
        <f aca="false">IF(AO105=0,"",IF($H105="","",$F105&amp;" -&gt; "&amp;$I105&amp;IF($I105="Part-Time"," ("&amp;N($J105)&amp;" hrs)","")&amp;" on "&amp;TEXT($H105,"dd/mm/yyyy")&amp;IF($H105&gt;AsOfDate," (FUTURE)","")&amp;IF($K105="","","; "&amp;$I105&amp;" -&gt; "&amp;$L105&amp;IF($L105="Part-Time"," ("&amp;N($M105)&amp;" hrs)","")&amp;" on "&amp;TEXT($K105,"dd/mm/yyyy")&amp;IF($K105&gt;AsOfDate," (FUTURE)",""))))</f>
        <v/>
      </c>
      <c r="T105" s="11" t="str">
        <f aca="false">IF(AO105=0,"",IF(AS105&lt;&gt;"",$L105,IF(AR105&lt;&gt;"",$I105,$F105)))</f>
        <v/>
      </c>
      <c r="U105" s="26" t="str">
        <f aca="false">IF(AO105=0,"",IF(AS105&lt;&gt;"",$M105,IF(AR105&lt;&gt;"",$J105,$G105)))</f>
        <v/>
      </c>
      <c r="V105" s="11" t="str">
        <f aca="false">IF(AO105=0,"",IF(AY105="FT","Full-Time",IF(AY105="PT","Part-Time","Not eligible")))</f>
        <v/>
      </c>
      <c r="W105" s="27" t="str">
        <f aca="false">IF(AO105=0,"",IF(AR105="",IF(AND($H105&lt;&gt;"",$H105&gt;AsOfDate),"Future change - not yet applied",""),IF(AND(AV105=AY105,OR(AS105="",AW105=AV105)),"Type changed - same accrual pathway",IF(AY105="None","STOPPED accruing from "&amp;TEXT(IF(AS105&lt;&gt;"",AS105,AR105),"dd/mm/yyyy"),IF(AV105="None","STARTED qualifying from "&amp;TEXT(IF(AS105&lt;&gt;"",AS105,AR105),"dd/mm/yyyy"),"Pathway changed "&amp;AV105&amp;" -&gt; "&amp;AW105&amp;IF(AS105&lt;&gt;""," -&gt; "&amp;AX105,"")&amp;" from "&amp;TEXT(IF(AS105&lt;&gt;"",AS105,AR105),"dd/mm/yyyy"))))))</f>
        <v/>
      </c>
      <c r="X105" s="28" t="str">
        <f aca="false">IF(AO105=0,"",IF($Q105="",AsOfDate,MIN(AsOfDate,$Q105)))</f>
        <v/>
      </c>
      <c r="Y105" s="26" t="str">
        <f aca="false">IF(AO105=0,"",MAX(0,AQ105))</f>
        <v/>
      </c>
      <c r="Z105" s="11" t="str">
        <f aca="false">IF(AO105=0,"",IF(AQ105&lt;0,"Not started",INT(AQ105/12)&amp;"y "&amp;MOD(AQ105,12)&amp;"m"))</f>
        <v/>
      </c>
      <c r="AA105" s="27" t="str">
        <f aca="false">IF(AO105=0,"",IF(BF105=1,"Terminated - balance forfeited",IF(AY105="None",IF(AB105&gt;0,"No longer accruing - "&amp;T105,"Not eligible - "&amp;T105&amp;IF(AND(IFERROR(VLOOKUP(T105,TypeTable,2,0),"None")="PT",N(U105)&lt;PT_MinHours)," (under "&amp;PT_MinHours&amp;" hrs)","")),IF(AB105&gt;0,"Yes - accruing","Not yet - qualifies "&amp;TEXT(AD105,"dd/mm/yyyy")))))</f>
        <v/>
      </c>
      <c r="AB105" s="26" t="str">
        <f aca="false">IF(AO105=0,"",AZ105+IF(AR105="",0,BB105-BA105)+IF(AS105="",0,BD105-BC105))</f>
        <v/>
      </c>
      <c r="AC105" s="26" t="str">
        <f aca="false">IF(AO105=0,"",AB105*HoursPerDay)</f>
        <v/>
      </c>
      <c r="AD105" s="28" t="str">
        <f aca="false">IF(AO105=0,"",IF(OR(BF105=1,AY105="None"),"",EDATE($E105+AP105,BE105)))</f>
        <v/>
      </c>
      <c r="AE105" s="26" t="str">
        <f aca="false">IF(AD105="","",IF(AY105="PT",1,IF(BE105&lt;FT_Y5,1,IF(MOD(BE105-FT_Y5,12)=0,FT_AnnivDays,1))))</f>
        <v/>
      </c>
      <c r="AF105" s="27" t="str">
        <f aca="false">IF(AO105=0,"",IF(NOT(EH_Ready),"Map headers",IF(IF(MatchMode="Employee ID",COUNTIFS(INDEX(EH_Data,0,EH_ColID),$A105,INDEX(EH_Data,0,EH_ColCat),BonusCat),COUNTIFS(INDEX(EH_Data,0,EH_ColFirst),$B105,INDEX(EH_Data,0,EH_ColSur),$C105,INDEX(EH_Data,0,EH_ColCat),BonusCat))&gt;0,"Yes","No")))</f>
        <v/>
      </c>
      <c r="AG105" s="26" t="str">
        <f aca="false">IF(AO105=0,"",IF(NOT(EH_Ready),"",IF(MatchMode="Employee ID",SUMIFS(INDEX(EH_Data,0,EH_ColBal),INDEX(EH_Data,0,EH_ColID),$A105,INDEX(EH_Data,0,EH_ColCat),BonusCat),SUMIFS(INDEX(EH_Data,0,EH_ColBal),INDEX(EH_Data,0,EH_ColFirst),$B105,INDEX(EH_Data,0,EH_ColSur),$C105,INDEX(EH_Data,0,EH_ColCat),BonusCat))/IF(EHUnit="Hours",HoursPerDay,1)))</f>
        <v/>
      </c>
      <c r="AH105" s="26" t="str">
        <f aca="false">IF(AO105=0,"",IF(NOT(TK_Ready),0,IF(MatchMode="Employee ID",SUMIFS(INDEX(TK_Data,0,TK_ColAmt),INDEX(TK_Data,0,TK_ColID),$A105,INDEX(TK_Data,0,TK_ColCat),BonusCat),SUMIFS(INDEX(TK_Data,0,TK_ColAmt),INDEX(TK_Data,0,TK_ColFirst),$B105,INDEX(TK_Data,0,TK_ColSur),$C105,INDEX(TK_Data,0,TK_ColCat),BonusCat))/IF(TKUnit="Hours",HoursPerDay,1)))</f>
        <v/>
      </c>
      <c r="AI105" s="26" t="str">
        <f aca="false">IF(AO105=0,"",N(AG105)+N(AH105))</f>
        <v/>
      </c>
      <c r="AJ105" s="29" t="str">
        <f aca="false">IF(AO105=0,"",IF(NOT(AND(EH_Ready,EH_ValReady)),"",IF(MatchMode="Employee ID",SUMIFS(INDEX(EH_Data,0,EH_ColVal),INDEX(EH_Data,0,EH_ColID),$A105,INDEX(EH_Data,0,EH_ColCat),BonusCat),SUMIFS(INDEX(EH_Data,0,EH_ColVal),INDEX(EH_Data,0,EH_ColFirst),$B105,INDEX(EH_Data,0,EH_ColSur),$C105,INDEX(EH_Data,0,EH_ColCat),BonusCat))))</f>
        <v/>
      </c>
      <c r="AK105" s="26" t="str">
        <f aca="false">IF(AO105=0,"",IF(OR(NOT(EH_Ready),BF105=1),"",AB105-AI105))</f>
        <v/>
      </c>
      <c r="AL105" s="26" t="str">
        <f aca="false">IF(AK105="","",AK105*HoursPerDay)</f>
        <v/>
      </c>
      <c r="AM105" s="27" t="str">
        <f aca="false">IF(AO105=0,"",IF(BF105=1,IF(N(AG105)&gt;0,"TERMINATED - forfeit "&amp;TEXT(AG105,"0.##")&amp;" days still in EH","Terminated - nothing in EH"),IF(NOT(EH_Ready),"Paste EH export and map headers on Settings",IF(AND(AB105&gt;0,AF105="No"),"SET UP in EH - add "&amp;TEXT(AB105,"0.##")&amp;" day(s) ("&amp;TEXT(AC105,"0.##")&amp;" hrs)",IF(AK105&gt;0,"ADD "&amp;TEXT(AK105,"0.##")&amp;" day(s) ("&amp;TEXT(AL105,"0.##")&amp;" hrs) in EH",IF(AK105&lt;0,"CHECK - EH shows "&amp;TEXT(-AK105,"0.##")&amp;" days more than policy",IF(AB105&gt;0,"OK - up to date",IF(AY105="None","No action - not eligible","No action - not yet qualified"))))))))</f>
        <v/>
      </c>
      <c r="AN105" s="27" t="str">
        <f aca="false">IF(AO105=0,"",TRIM(IF(AND($K105&lt;&gt;"",$H105=""),"Change 2 entered without Change 1. ","")&amp;IF(AND($K105&lt;&gt;"",$H105&lt;&gt;"",$K105&lt;=$H105),"Change 2 date not after Change 1. ","")&amp;IF(AND($N105&lt;&gt;"",$O105&lt;&gt;"",$O105&lt;$N105),"Leave To is before Leave From. ","")&amp;IF(AND($N105&lt;&gt;"",$O105=""),"Leave From entered without Leave To. ","")&amp;IF(AND(IFERROR(VLOOKUP(T105,TypeTable,2,0),"None")="PT",U105=""),"Part-time with no hours entered. ","")&amp;IF(AND($H105&lt;&gt;"",$H105&gt;AsOfDate,AD105&lt;&gt;"",$H105&lt;=AD105),"Status change lands before next accrual - review. ","")&amp;IF(AND($Q105&lt;&gt;"",$Q105&lt;$E105),"Termination before commencement. ","")))</f>
        <v/>
      </c>
      <c r="AO105" s="11" t="n">
        <f aca="false">IF(LEN($A105&amp;$B105&amp;$C105)=0,0,IF($E105="",0,1))</f>
        <v>0</v>
      </c>
      <c r="AP105" s="11" t="str">
        <f aca="false">IF(AO105=0,"",(IF(OR($N105="",$O105=""),0,MAX(0,MIN(X105,$O105)-MAX($N105,$E105)+1))+N($P105)))</f>
        <v/>
      </c>
      <c r="AQ105" s="11" t="str">
        <f aca="false">IF(AO105=0,"",IF(X105&lt;($E105+(IF(OR($N105="",$O105=""),0,MAX(0,MIN(X105,$O105)-MAX($N105,$E105)+1))+N($P105))),-1,12*(YEAR(X105)-YEAR(($E105+(IF(OR($N105="",$O105=""),0,MAX(0,MIN(X105,$O105)-MAX($N105,$E105)+1))+N($P105)))))+MONTH(X105)-MONTH(($E105+(IF(OR($N105="",$O105=""),0,MAX(0,MIN(X105,$O105)-MAX($N105,$E105)+1))+N($P105))))-IF(DAY(X105)&lt;MIN(DAY(($E105+(IF(OR($N105="",$O105=""),0,MAX(0,MIN(X105,$O105)-MAX($N105,$E105)+1))+N($P105)))),DAY(EOMONTH(X105,0))),1,0)))</f>
        <v/>
      </c>
      <c r="AR105" s="28" t="str">
        <f aca="false">IF(AO105=0,"",IF($H105="","",IF($H105&gt;X105,"",$H105)))</f>
        <v/>
      </c>
      <c r="AS105" s="28" t="str">
        <f aca="false">IF(AO105=0,"",IF(AR105="","",IF($K105="","",IF($K105&gt;X105,"",$K105))))</f>
        <v/>
      </c>
      <c r="AT105" s="11" t="str">
        <f aca="false">IF(AO105=0,"",IF(AR105="",AQ105,IF((AR105-1)&lt;($E105+(IF(OR($N105="",$O105=""),0,MAX(0,MIN((AR105-1),$O105)-MAX($N105,$E105)+1))+N($P105))),-1,12*(YEAR((AR105-1))-YEAR(($E105+(IF(OR($N105="",$O105=""),0,MAX(0,MIN((AR105-1),$O105)-MAX($N105,$E105)+1))+N($P105)))))+MONTH((AR105-1))-MONTH(($E105+(IF(OR($N105="",$O105=""),0,MAX(0,MIN((AR105-1),$O105)-MAX($N105,$E105)+1))+N($P105))))-IF(DAY((AR105-1))&lt;MIN(DAY(($E105+(IF(OR($N105="",$O105=""),0,MAX(0,MIN((AR105-1),$O105)-MAX($N105,$E105)+1))+N($P105)))),DAY(EOMONTH((AR105-1),0))),1,0))))</f>
        <v/>
      </c>
      <c r="AU105" s="11" t="str">
        <f aca="false">IF(AO105=0,"",IF(AS105="",AQ105,IF((AS105-1)&lt;($E105+(IF(OR($N105="",$O105=""),0,MAX(0,MIN((AS105-1),$O105)-MAX($N105,$E105)+1))+N($P105))),-1,12*(YEAR((AS105-1))-YEAR(($E105+(IF(OR($N105="",$O105=""),0,MAX(0,MIN((AS105-1),$O105)-MAX($N105,$E105)+1))+N($P105)))))+MONTH((AS105-1))-MONTH(($E105+(IF(OR($N105="",$O105=""),0,MAX(0,MIN((AS105-1),$O105)-MAX($N105,$E105)+1))+N($P105))))-IF(DAY((AS105-1))&lt;MIN(DAY(($E105+(IF(OR($N105="",$O105=""),0,MAX(0,MIN((AS105-1),$O105)-MAX($N105,$E105)+1))+N($P105)))),DAY(EOMONTH((AS105-1),0))),1,0))))</f>
        <v/>
      </c>
      <c r="AV105" s="11" t="str">
        <f aca="false">IF(AO105=0,"",IF($F105="","None",IF(IFERROR(VLOOKUP($F105,TypeTable,2,0),"None")="PT",IF(N($G105)&gt;=PT_MinHours,"PT","None"),IFERROR(VLOOKUP($F105,TypeTable,2,0),"None"))))</f>
        <v/>
      </c>
      <c r="AW105" s="11" t="str">
        <f aca="false">IF(AO105=0,"",IF($I105="","None",IF(IFERROR(VLOOKUP($I105,TypeTable,2,0),"None")="PT",IF(N($J105)&gt;=PT_MinHours,"PT","None"),IFERROR(VLOOKUP($I105,TypeTable,2,0),"None"))))</f>
        <v/>
      </c>
      <c r="AX105" s="11" t="str">
        <f aca="false">IF(AO105=0,"",IF($L105="","None",IF(IFERROR(VLOOKUP($L105,TypeTable,2,0),"None")="PT",IF(N($M105)&gt;=PT_MinHours,"PT","None"),IFERROR(VLOOKUP($L105,TypeTable,2,0),"None"))))</f>
        <v/>
      </c>
      <c r="AY105" s="11" t="str">
        <f aca="false">IF(AO105=0,"",IF(AS105&lt;&gt;"",AX105,IF(AR105&lt;&gt;"",AW105,AV105)))</f>
        <v/>
      </c>
      <c r="AZ105" s="11" t="str">
        <f aca="false">IF(AO105=0,"",IF(AV105="FT",IF(AT105&lt;FT_First,0,IF(AT105&lt;FT_Y5,1+INT((AT105-FT_First)/FT_Int1),FT_PreY5+FT_PerYear*INT((AT105-FT_Y5)/12)+FT_AnnivDays+INT(MOD(AT105-FT_Y5,12)/FT_Int2))),IF(AV105="PT",IF(AT105&lt;PT_First,0,1+INT((AT105-PT_First)/PT_Int)),0)))</f>
        <v/>
      </c>
      <c r="BA105" s="11" t="str">
        <f aca="false">IF(AO105=0,"",IF(AW105="FT",IF(AT105&lt;FT_First,0,IF(AT105&lt;FT_Y5,1+INT((AT105-FT_First)/FT_Int1),FT_PreY5+FT_PerYear*INT((AT105-FT_Y5)/12)+FT_AnnivDays+INT(MOD(AT105-FT_Y5,12)/FT_Int2))),IF(AW105="PT",IF(AT105&lt;PT_First,0,1+INT((AT105-PT_First)/PT_Int)),0)))</f>
        <v/>
      </c>
      <c r="BB105" s="11" t="str">
        <f aca="false">IF(AO105=0,"",IF(AW105="FT",IF(AU105&lt;FT_First,0,IF(AU105&lt;FT_Y5,1+INT((AU105-FT_First)/FT_Int1),FT_PreY5+FT_PerYear*INT((AU105-FT_Y5)/12)+FT_AnnivDays+INT(MOD(AU105-FT_Y5,12)/FT_Int2))),IF(AW105="PT",IF(AU105&lt;PT_First,0,1+INT((AU105-PT_First)/PT_Int)),0)))</f>
        <v/>
      </c>
      <c r="BC105" s="11" t="str">
        <f aca="false">IF(AO105=0,"",IF(AX105="FT",IF(AU105&lt;FT_First,0,IF(AU105&lt;FT_Y5,1+INT((AU105-FT_First)/FT_Int1),FT_PreY5+FT_PerYear*INT((AU105-FT_Y5)/12)+FT_AnnivDays+INT(MOD(AU105-FT_Y5,12)/FT_Int2))),IF(AX105="PT",IF(AU105&lt;PT_First,0,1+INT((AU105-PT_First)/PT_Int)),0)))</f>
        <v/>
      </c>
      <c r="BD105" s="11" t="str">
        <f aca="false">IF(AO105=0,"",IF(AX105="FT",IF(AQ105&lt;FT_First,0,IF(AQ105&lt;FT_Y5,1+INT((AQ105-FT_First)/FT_Int1),FT_PreY5+FT_PerYear*INT((AQ105-FT_Y5)/12)+FT_AnnivDays+INT(MOD(AQ105-FT_Y5,12)/FT_Int2))),IF(AX105="PT",IF(AQ105&lt;PT_First,0,1+INT((AQ105-PT_First)/PT_Int)),0)))</f>
        <v/>
      </c>
      <c r="BE105" s="11" t="str">
        <f aca="false">IF(AO105=0,"",IF(AY105="FT",IF(AQ105&lt;FT_First,FT_First,IF(AQ105&lt;FT_Y5,MIN(FT_Y5,FT_First+FT_Int1*(INT((AQ105-FT_First)/FT_Int1)+1)),FT_Y5+12*INT((AQ105-FT_Y5)/12)+FT_Int2*(INT(MOD(AQ105-FT_Y5,12)/FT_Int2)+1))),IF(AY105="PT",IF(AQ105&lt;PT_First,PT_First,PT_First+PT_Int*(INT((AQ105-PT_First)/PT_Int)+1)),"")))</f>
        <v/>
      </c>
      <c r="BF105" s="11" t="n">
        <f aca="false">IF(AO105=0,0,IF(AND($Q105&lt;&gt;"",$Q105&lt;=AsOfDate),1,0))</f>
        <v>0</v>
      </c>
      <c r="BG105" s="11" t="str">
        <f aca="false">IF(AND(AO105=1,BF105=0,EH_Ready,N(AB105)&gt;0,N(AI105)=0),COUNT($BG$5:BG104)+1,"")</f>
        <v/>
      </c>
      <c r="BH105" s="11" t="str">
        <f aca="false">IF(AND(AO105=1,BF105=0,EH_Ready,N(AB105)&gt;0,N(AI105)&gt;0,N(AK105)&gt;0),COUNT($BH$5:BH104)+1,"")</f>
        <v/>
      </c>
      <c r="BI105" s="11" t="str">
        <f aca="false">IF(AND(AO105=1,OR(LEFT(AM105,3)="ADD",LEFT(AM105,3)="SET",LEFT(AM105,5)="CHECK",LEFT(AM105,10)="TERMINATED")),COUNT($BI$5:BI104)+1,"")</f>
        <v/>
      </c>
      <c r="BJ105" s="11" t="str">
        <f aca="false">IF(AO105=0,"",$A105&amp;" - "&amp;$B105&amp;" "&amp;$C105)</f>
        <v/>
      </c>
    </row>
    <row r="106" customFormat="false" ht="15" hidden="false" customHeight="false" outlineLevel="0" collapsed="false">
      <c r="A106" s="10"/>
      <c r="B106" s="10"/>
      <c r="C106" s="10"/>
      <c r="D106" s="10"/>
      <c r="E106" s="9"/>
      <c r="F106" s="10"/>
      <c r="G106" s="30"/>
      <c r="H106" s="9"/>
      <c r="I106" s="10"/>
      <c r="J106" s="30"/>
      <c r="K106" s="9"/>
      <c r="L106" s="10"/>
      <c r="M106" s="30"/>
      <c r="N106" s="9"/>
      <c r="O106" s="9"/>
      <c r="P106" s="30"/>
      <c r="Q106" s="9"/>
      <c r="R106" s="10"/>
      <c r="S106" s="11" t="str">
        <f aca="false">IF(AO106=0,"",IF($H106="","",$F106&amp;" -&gt; "&amp;$I106&amp;IF($I106="Part-Time"," ("&amp;N($J106)&amp;" hrs)","")&amp;" on "&amp;TEXT($H106,"dd/mm/yyyy")&amp;IF($H106&gt;AsOfDate," (FUTURE)","")&amp;IF($K106="","","; "&amp;$I106&amp;" -&gt; "&amp;$L106&amp;IF($L106="Part-Time"," ("&amp;N($M106)&amp;" hrs)","")&amp;" on "&amp;TEXT($K106,"dd/mm/yyyy")&amp;IF($K106&gt;AsOfDate," (FUTURE)",""))))</f>
        <v/>
      </c>
      <c r="T106" s="11" t="str">
        <f aca="false">IF(AO106=0,"",IF(AS106&lt;&gt;"",$L106,IF(AR106&lt;&gt;"",$I106,$F106)))</f>
        <v/>
      </c>
      <c r="U106" s="26" t="str">
        <f aca="false">IF(AO106=0,"",IF(AS106&lt;&gt;"",$M106,IF(AR106&lt;&gt;"",$J106,$G106)))</f>
        <v/>
      </c>
      <c r="V106" s="11" t="str">
        <f aca="false">IF(AO106=0,"",IF(AY106="FT","Full-Time",IF(AY106="PT","Part-Time","Not eligible")))</f>
        <v/>
      </c>
      <c r="W106" s="27" t="str">
        <f aca="false">IF(AO106=0,"",IF(AR106="",IF(AND($H106&lt;&gt;"",$H106&gt;AsOfDate),"Future change - not yet applied",""),IF(AND(AV106=AY106,OR(AS106="",AW106=AV106)),"Type changed - same accrual pathway",IF(AY106="None","STOPPED accruing from "&amp;TEXT(IF(AS106&lt;&gt;"",AS106,AR106),"dd/mm/yyyy"),IF(AV106="None","STARTED qualifying from "&amp;TEXT(IF(AS106&lt;&gt;"",AS106,AR106),"dd/mm/yyyy"),"Pathway changed "&amp;AV106&amp;" -&gt; "&amp;AW106&amp;IF(AS106&lt;&gt;""," -&gt; "&amp;AX106,"")&amp;" from "&amp;TEXT(IF(AS106&lt;&gt;"",AS106,AR106),"dd/mm/yyyy"))))))</f>
        <v/>
      </c>
      <c r="X106" s="28" t="str">
        <f aca="false">IF(AO106=0,"",IF($Q106="",AsOfDate,MIN(AsOfDate,$Q106)))</f>
        <v/>
      </c>
      <c r="Y106" s="26" t="str">
        <f aca="false">IF(AO106=0,"",MAX(0,AQ106))</f>
        <v/>
      </c>
      <c r="Z106" s="11" t="str">
        <f aca="false">IF(AO106=0,"",IF(AQ106&lt;0,"Not started",INT(AQ106/12)&amp;"y "&amp;MOD(AQ106,12)&amp;"m"))</f>
        <v/>
      </c>
      <c r="AA106" s="27" t="str">
        <f aca="false">IF(AO106=0,"",IF(BF106=1,"Terminated - balance forfeited",IF(AY106="None",IF(AB106&gt;0,"No longer accruing - "&amp;T106,"Not eligible - "&amp;T106&amp;IF(AND(IFERROR(VLOOKUP(T106,TypeTable,2,0),"None")="PT",N(U106)&lt;PT_MinHours)," (under "&amp;PT_MinHours&amp;" hrs)","")),IF(AB106&gt;0,"Yes - accruing","Not yet - qualifies "&amp;TEXT(AD106,"dd/mm/yyyy")))))</f>
        <v/>
      </c>
      <c r="AB106" s="26" t="str">
        <f aca="false">IF(AO106=0,"",AZ106+IF(AR106="",0,BB106-BA106)+IF(AS106="",0,BD106-BC106))</f>
        <v/>
      </c>
      <c r="AC106" s="26" t="str">
        <f aca="false">IF(AO106=0,"",AB106*HoursPerDay)</f>
        <v/>
      </c>
      <c r="AD106" s="28" t="str">
        <f aca="false">IF(AO106=0,"",IF(OR(BF106=1,AY106="None"),"",EDATE($E106+AP106,BE106)))</f>
        <v/>
      </c>
      <c r="AE106" s="26" t="str">
        <f aca="false">IF(AD106="","",IF(AY106="PT",1,IF(BE106&lt;FT_Y5,1,IF(MOD(BE106-FT_Y5,12)=0,FT_AnnivDays,1))))</f>
        <v/>
      </c>
      <c r="AF106" s="27" t="str">
        <f aca="false">IF(AO106=0,"",IF(NOT(EH_Ready),"Map headers",IF(IF(MatchMode="Employee ID",COUNTIFS(INDEX(EH_Data,0,EH_ColID),$A106,INDEX(EH_Data,0,EH_ColCat),BonusCat),COUNTIFS(INDEX(EH_Data,0,EH_ColFirst),$B106,INDEX(EH_Data,0,EH_ColSur),$C106,INDEX(EH_Data,0,EH_ColCat),BonusCat))&gt;0,"Yes","No")))</f>
        <v/>
      </c>
      <c r="AG106" s="26" t="str">
        <f aca="false">IF(AO106=0,"",IF(NOT(EH_Ready),"",IF(MatchMode="Employee ID",SUMIFS(INDEX(EH_Data,0,EH_ColBal),INDEX(EH_Data,0,EH_ColID),$A106,INDEX(EH_Data,0,EH_ColCat),BonusCat),SUMIFS(INDEX(EH_Data,0,EH_ColBal),INDEX(EH_Data,0,EH_ColFirst),$B106,INDEX(EH_Data,0,EH_ColSur),$C106,INDEX(EH_Data,0,EH_ColCat),BonusCat))/IF(EHUnit="Hours",HoursPerDay,1)))</f>
        <v/>
      </c>
      <c r="AH106" s="26" t="str">
        <f aca="false">IF(AO106=0,"",IF(NOT(TK_Ready),0,IF(MatchMode="Employee ID",SUMIFS(INDEX(TK_Data,0,TK_ColAmt),INDEX(TK_Data,0,TK_ColID),$A106,INDEX(TK_Data,0,TK_ColCat),BonusCat),SUMIFS(INDEX(TK_Data,0,TK_ColAmt),INDEX(TK_Data,0,TK_ColFirst),$B106,INDEX(TK_Data,0,TK_ColSur),$C106,INDEX(TK_Data,0,TK_ColCat),BonusCat))/IF(TKUnit="Hours",HoursPerDay,1)))</f>
        <v/>
      </c>
      <c r="AI106" s="26" t="str">
        <f aca="false">IF(AO106=0,"",N(AG106)+N(AH106))</f>
        <v/>
      </c>
      <c r="AJ106" s="29" t="str">
        <f aca="false">IF(AO106=0,"",IF(NOT(AND(EH_Ready,EH_ValReady)),"",IF(MatchMode="Employee ID",SUMIFS(INDEX(EH_Data,0,EH_ColVal),INDEX(EH_Data,0,EH_ColID),$A106,INDEX(EH_Data,0,EH_ColCat),BonusCat),SUMIFS(INDEX(EH_Data,0,EH_ColVal),INDEX(EH_Data,0,EH_ColFirst),$B106,INDEX(EH_Data,0,EH_ColSur),$C106,INDEX(EH_Data,0,EH_ColCat),BonusCat))))</f>
        <v/>
      </c>
      <c r="AK106" s="26" t="str">
        <f aca="false">IF(AO106=0,"",IF(OR(NOT(EH_Ready),BF106=1),"",AB106-AI106))</f>
        <v/>
      </c>
      <c r="AL106" s="26" t="str">
        <f aca="false">IF(AK106="","",AK106*HoursPerDay)</f>
        <v/>
      </c>
      <c r="AM106" s="27" t="str">
        <f aca="false">IF(AO106=0,"",IF(BF106=1,IF(N(AG106)&gt;0,"TERMINATED - forfeit "&amp;TEXT(AG106,"0.##")&amp;" days still in EH","Terminated - nothing in EH"),IF(NOT(EH_Ready),"Paste EH export and map headers on Settings",IF(AND(AB106&gt;0,AF106="No"),"SET UP in EH - add "&amp;TEXT(AB106,"0.##")&amp;" day(s) ("&amp;TEXT(AC106,"0.##")&amp;" hrs)",IF(AK106&gt;0,"ADD "&amp;TEXT(AK106,"0.##")&amp;" day(s) ("&amp;TEXT(AL106,"0.##")&amp;" hrs) in EH",IF(AK106&lt;0,"CHECK - EH shows "&amp;TEXT(-AK106,"0.##")&amp;" days more than policy",IF(AB106&gt;0,"OK - up to date",IF(AY106="None","No action - not eligible","No action - not yet qualified"))))))))</f>
        <v/>
      </c>
      <c r="AN106" s="27" t="str">
        <f aca="false">IF(AO106=0,"",TRIM(IF(AND($K106&lt;&gt;"",$H106=""),"Change 2 entered without Change 1. ","")&amp;IF(AND($K106&lt;&gt;"",$H106&lt;&gt;"",$K106&lt;=$H106),"Change 2 date not after Change 1. ","")&amp;IF(AND($N106&lt;&gt;"",$O106&lt;&gt;"",$O106&lt;$N106),"Leave To is before Leave From. ","")&amp;IF(AND($N106&lt;&gt;"",$O106=""),"Leave From entered without Leave To. ","")&amp;IF(AND(IFERROR(VLOOKUP(T106,TypeTable,2,0),"None")="PT",U106=""),"Part-time with no hours entered. ","")&amp;IF(AND($H106&lt;&gt;"",$H106&gt;AsOfDate,AD106&lt;&gt;"",$H106&lt;=AD106),"Status change lands before next accrual - review. ","")&amp;IF(AND($Q106&lt;&gt;"",$Q106&lt;$E106),"Termination before commencement. ","")))</f>
        <v/>
      </c>
      <c r="AO106" s="11" t="n">
        <f aca="false">IF(LEN($A106&amp;$B106&amp;$C106)=0,0,IF($E106="",0,1))</f>
        <v>0</v>
      </c>
      <c r="AP106" s="11" t="str">
        <f aca="false">IF(AO106=0,"",(IF(OR($N106="",$O106=""),0,MAX(0,MIN(X106,$O106)-MAX($N106,$E106)+1))+N($P106)))</f>
        <v/>
      </c>
      <c r="AQ106" s="11" t="str">
        <f aca="false">IF(AO106=0,"",IF(X106&lt;($E106+(IF(OR($N106="",$O106=""),0,MAX(0,MIN(X106,$O106)-MAX($N106,$E106)+1))+N($P106))),-1,12*(YEAR(X106)-YEAR(($E106+(IF(OR($N106="",$O106=""),0,MAX(0,MIN(X106,$O106)-MAX($N106,$E106)+1))+N($P106)))))+MONTH(X106)-MONTH(($E106+(IF(OR($N106="",$O106=""),0,MAX(0,MIN(X106,$O106)-MAX($N106,$E106)+1))+N($P106))))-IF(DAY(X106)&lt;MIN(DAY(($E106+(IF(OR($N106="",$O106=""),0,MAX(0,MIN(X106,$O106)-MAX($N106,$E106)+1))+N($P106)))),DAY(EOMONTH(X106,0))),1,0)))</f>
        <v/>
      </c>
      <c r="AR106" s="28" t="str">
        <f aca="false">IF(AO106=0,"",IF($H106="","",IF($H106&gt;X106,"",$H106)))</f>
        <v/>
      </c>
      <c r="AS106" s="28" t="str">
        <f aca="false">IF(AO106=0,"",IF(AR106="","",IF($K106="","",IF($K106&gt;X106,"",$K106))))</f>
        <v/>
      </c>
      <c r="AT106" s="11" t="str">
        <f aca="false">IF(AO106=0,"",IF(AR106="",AQ106,IF((AR106-1)&lt;($E106+(IF(OR($N106="",$O106=""),0,MAX(0,MIN((AR106-1),$O106)-MAX($N106,$E106)+1))+N($P106))),-1,12*(YEAR((AR106-1))-YEAR(($E106+(IF(OR($N106="",$O106=""),0,MAX(0,MIN((AR106-1),$O106)-MAX($N106,$E106)+1))+N($P106)))))+MONTH((AR106-1))-MONTH(($E106+(IF(OR($N106="",$O106=""),0,MAX(0,MIN((AR106-1),$O106)-MAX($N106,$E106)+1))+N($P106))))-IF(DAY((AR106-1))&lt;MIN(DAY(($E106+(IF(OR($N106="",$O106=""),0,MAX(0,MIN((AR106-1),$O106)-MAX($N106,$E106)+1))+N($P106)))),DAY(EOMONTH((AR106-1),0))),1,0))))</f>
        <v/>
      </c>
      <c r="AU106" s="11" t="str">
        <f aca="false">IF(AO106=0,"",IF(AS106="",AQ106,IF((AS106-1)&lt;($E106+(IF(OR($N106="",$O106=""),0,MAX(0,MIN((AS106-1),$O106)-MAX($N106,$E106)+1))+N($P106))),-1,12*(YEAR((AS106-1))-YEAR(($E106+(IF(OR($N106="",$O106=""),0,MAX(0,MIN((AS106-1),$O106)-MAX($N106,$E106)+1))+N($P106)))))+MONTH((AS106-1))-MONTH(($E106+(IF(OR($N106="",$O106=""),0,MAX(0,MIN((AS106-1),$O106)-MAX($N106,$E106)+1))+N($P106))))-IF(DAY((AS106-1))&lt;MIN(DAY(($E106+(IF(OR($N106="",$O106=""),0,MAX(0,MIN((AS106-1),$O106)-MAX($N106,$E106)+1))+N($P106)))),DAY(EOMONTH((AS106-1),0))),1,0))))</f>
        <v/>
      </c>
      <c r="AV106" s="11" t="str">
        <f aca="false">IF(AO106=0,"",IF($F106="","None",IF(IFERROR(VLOOKUP($F106,TypeTable,2,0),"None")="PT",IF(N($G106)&gt;=PT_MinHours,"PT","None"),IFERROR(VLOOKUP($F106,TypeTable,2,0),"None"))))</f>
        <v/>
      </c>
      <c r="AW106" s="11" t="str">
        <f aca="false">IF(AO106=0,"",IF($I106="","None",IF(IFERROR(VLOOKUP($I106,TypeTable,2,0),"None")="PT",IF(N($J106)&gt;=PT_MinHours,"PT","None"),IFERROR(VLOOKUP($I106,TypeTable,2,0),"None"))))</f>
        <v/>
      </c>
      <c r="AX106" s="11" t="str">
        <f aca="false">IF(AO106=0,"",IF($L106="","None",IF(IFERROR(VLOOKUP($L106,TypeTable,2,0),"None")="PT",IF(N($M106)&gt;=PT_MinHours,"PT","None"),IFERROR(VLOOKUP($L106,TypeTable,2,0),"None"))))</f>
        <v/>
      </c>
      <c r="AY106" s="11" t="str">
        <f aca="false">IF(AO106=0,"",IF(AS106&lt;&gt;"",AX106,IF(AR106&lt;&gt;"",AW106,AV106)))</f>
        <v/>
      </c>
      <c r="AZ106" s="11" t="str">
        <f aca="false">IF(AO106=0,"",IF(AV106="FT",IF(AT106&lt;FT_First,0,IF(AT106&lt;FT_Y5,1+INT((AT106-FT_First)/FT_Int1),FT_PreY5+FT_PerYear*INT((AT106-FT_Y5)/12)+FT_AnnivDays+INT(MOD(AT106-FT_Y5,12)/FT_Int2))),IF(AV106="PT",IF(AT106&lt;PT_First,0,1+INT((AT106-PT_First)/PT_Int)),0)))</f>
        <v/>
      </c>
      <c r="BA106" s="11" t="str">
        <f aca="false">IF(AO106=0,"",IF(AW106="FT",IF(AT106&lt;FT_First,0,IF(AT106&lt;FT_Y5,1+INT((AT106-FT_First)/FT_Int1),FT_PreY5+FT_PerYear*INT((AT106-FT_Y5)/12)+FT_AnnivDays+INT(MOD(AT106-FT_Y5,12)/FT_Int2))),IF(AW106="PT",IF(AT106&lt;PT_First,0,1+INT((AT106-PT_First)/PT_Int)),0)))</f>
        <v/>
      </c>
      <c r="BB106" s="11" t="str">
        <f aca="false">IF(AO106=0,"",IF(AW106="FT",IF(AU106&lt;FT_First,0,IF(AU106&lt;FT_Y5,1+INT((AU106-FT_First)/FT_Int1),FT_PreY5+FT_PerYear*INT((AU106-FT_Y5)/12)+FT_AnnivDays+INT(MOD(AU106-FT_Y5,12)/FT_Int2))),IF(AW106="PT",IF(AU106&lt;PT_First,0,1+INT((AU106-PT_First)/PT_Int)),0)))</f>
        <v/>
      </c>
      <c r="BC106" s="11" t="str">
        <f aca="false">IF(AO106=0,"",IF(AX106="FT",IF(AU106&lt;FT_First,0,IF(AU106&lt;FT_Y5,1+INT((AU106-FT_First)/FT_Int1),FT_PreY5+FT_PerYear*INT((AU106-FT_Y5)/12)+FT_AnnivDays+INT(MOD(AU106-FT_Y5,12)/FT_Int2))),IF(AX106="PT",IF(AU106&lt;PT_First,0,1+INT((AU106-PT_First)/PT_Int)),0)))</f>
        <v/>
      </c>
      <c r="BD106" s="11" t="str">
        <f aca="false">IF(AO106=0,"",IF(AX106="FT",IF(AQ106&lt;FT_First,0,IF(AQ106&lt;FT_Y5,1+INT((AQ106-FT_First)/FT_Int1),FT_PreY5+FT_PerYear*INT((AQ106-FT_Y5)/12)+FT_AnnivDays+INT(MOD(AQ106-FT_Y5,12)/FT_Int2))),IF(AX106="PT",IF(AQ106&lt;PT_First,0,1+INT((AQ106-PT_First)/PT_Int)),0)))</f>
        <v/>
      </c>
      <c r="BE106" s="11" t="str">
        <f aca="false">IF(AO106=0,"",IF(AY106="FT",IF(AQ106&lt;FT_First,FT_First,IF(AQ106&lt;FT_Y5,MIN(FT_Y5,FT_First+FT_Int1*(INT((AQ106-FT_First)/FT_Int1)+1)),FT_Y5+12*INT((AQ106-FT_Y5)/12)+FT_Int2*(INT(MOD(AQ106-FT_Y5,12)/FT_Int2)+1))),IF(AY106="PT",IF(AQ106&lt;PT_First,PT_First,PT_First+PT_Int*(INT((AQ106-PT_First)/PT_Int)+1)),"")))</f>
        <v/>
      </c>
      <c r="BF106" s="11" t="n">
        <f aca="false">IF(AO106=0,0,IF(AND($Q106&lt;&gt;"",$Q106&lt;=AsOfDate),1,0))</f>
        <v>0</v>
      </c>
      <c r="BG106" s="11" t="str">
        <f aca="false">IF(AND(AO106=1,BF106=0,EH_Ready,N(AB106)&gt;0,N(AI106)=0),COUNT($BG$5:BG105)+1,"")</f>
        <v/>
      </c>
      <c r="BH106" s="11" t="str">
        <f aca="false">IF(AND(AO106=1,BF106=0,EH_Ready,N(AB106)&gt;0,N(AI106)&gt;0,N(AK106)&gt;0),COUNT($BH$5:BH105)+1,"")</f>
        <v/>
      </c>
      <c r="BI106" s="11" t="str">
        <f aca="false">IF(AND(AO106=1,OR(LEFT(AM106,3)="ADD",LEFT(AM106,3)="SET",LEFT(AM106,5)="CHECK",LEFT(AM106,10)="TERMINATED")),COUNT($BI$5:BI105)+1,"")</f>
        <v/>
      </c>
      <c r="BJ106" s="11" t="str">
        <f aca="false">IF(AO106=0,"",$A106&amp;" - "&amp;$B106&amp;" "&amp;$C106)</f>
        <v/>
      </c>
    </row>
    <row r="107" customFormat="false" ht="15" hidden="false" customHeight="false" outlineLevel="0" collapsed="false">
      <c r="A107" s="10"/>
      <c r="B107" s="10"/>
      <c r="C107" s="10"/>
      <c r="D107" s="10"/>
      <c r="E107" s="9"/>
      <c r="F107" s="10"/>
      <c r="G107" s="30"/>
      <c r="H107" s="9"/>
      <c r="I107" s="10"/>
      <c r="J107" s="30"/>
      <c r="K107" s="9"/>
      <c r="L107" s="10"/>
      <c r="M107" s="30"/>
      <c r="N107" s="9"/>
      <c r="O107" s="9"/>
      <c r="P107" s="30"/>
      <c r="Q107" s="9"/>
      <c r="R107" s="10"/>
      <c r="S107" s="11" t="str">
        <f aca="false">IF(AO107=0,"",IF($H107="","",$F107&amp;" -&gt; "&amp;$I107&amp;IF($I107="Part-Time"," ("&amp;N($J107)&amp;" hrs)","")&amp;" on "&amp;TEXT($H107,"dd/mm/yyyy")&amp;IF($H107&gt;AsOfDate," (FUTURE)","")&amp;IF($K107="","","; "&amp;$I107&amp;" -&gt; "&amp;$L107&amp;IF($L107="Part-Time"," ("&amp;N($M107)&amp;" hrs)","")&amp;" on "&amp;TEXT($K107,"dd/mm/yyyy")&amp;IF($K107&gt;AsOfDate," (FUTURE)",""))))</f>
        <v/>
      </c>
      <c r="T107" s="11" t="str">
        <f aca="false">IF(AO107=0,"",IF(AS107&lt;&gt;"",$L107,IF(AR107&lt;&gt;"",$I107,$F107)))</f>
        <v/>
      </c>
      <c r="U107" s="26" t="str">
        <f aca="false">IF(AO107=0,"",IF(AS107&lt;&gt;"",$M107,IF(AR107&lt;&gt;"",$J107,$G107)))</f>
        <v/>
      </c>
      <c r="V107" s="11" t="str">
        <f aca="false">IF(AO107=0,"",IF(AY107="FT","Full-Time",IF(AY107="PT","Part-Time","Not eligible")))</f>
        <v/>
      </c>
      <c r="W107" s="27" t="str">
        <f aca="false">IF(AO107=0,"",IF(AR107="",IF(AND($H107&lt;&gt;"",$H107&gt;AsOfDate),"Future change - not yet applied",""),IF(AND(AV107=AY107,OR(AS107="",AW107=AV107)),"Type changed - same accrual pathway",IF(AY107="None","STOPPED accruing from "&amp;TEXT(IF(AS107&lt;&gt;"",AS107,AR107),"dd/mm/yyyy"),IF(AV107="None","STARTED qualifying from "&amp;TEXT(IF(AS107&lt;&gt;"",AS107,AR107),"dd/mm/yyyy"),"Pathway changed "&amp;AV107&amp;" -&gt; "&amp;AW107&amp;IF(AS107&lt;&gt;""," -&gt; "&amp;AX107,"")&amp;" from "&amp;TEXT(IF(AS107&lt;&gt;"",AS107,AR107),"dd/mm/yyyy"))))))</f>
        <v/>
      </c>
      <c r="X107" s="28" t="str">
        <f aca="false">IF(AO107=0,"",IF($Q107="",AsOfDate,MIN(AsOfDate,$Q107)))</f>
        <v/>
      </c>
      <c r="Y107" s="26" t="str">
        <f aca="false">IF(AO107=0,"",MAX(0,AQ107))</f>
        <v/>
      </c>
      <c r="Z107" s="11" t="str">
        <f aca="false">IF(AO107=0,"",IF(AQ107&lt;0,"Not started",INT(AQ107/12)&amp;"y "&amp;MOD(AQ107,12)&amp;"m"))</f>
        <v/>
      </c>
      <c r="AA107" s="27" t="str">
        <f aca="false">IF(AO107=0,"",IF(BF107=1,"Terminated - balance forfeited",IF(AY107="None",IF(AB107&gt;0,"No longer accruing - "&amp;T107,"Not eligible - "&amp;T107&amp;IF(AND(IFERROR(VLOOKUP(T107,TypeTable,2,0),"None")="PT",N(U107)&lt;PT_MinHours)," (under "&amp;PT_MinHours&amp;" hrs)","")),IF(AB107&gt;0,"Yes - accruing","Not yet - qualifies "&amp;TEXT(AD107,"dd/mm/yyyy")))))</f>
        <v/>
      </c>
      <c r="AB107" s="26" t="str">
        <f aca="false">IF(AO107=0,"",AZ107+IF(AR107="",0,BB107-BA107)+IF(AS107="",0,BD107-BC107))</f>
        <v/>
      </c>
      <c r="AC107" s="26" t="str">
        <f aca="false">IF(AO107=0,"",AB107*HoursPerDay)</f>
        <v/>
      </c>
      <c r="AD107" s="28" t="str">
        <f aca="false">IF(AO107=0,"",IF(OR(BF107=1,AY107="None"),"",EDATE($E107+AP107,BE107)))</f>
        <v/>
      </c>
      <c r="AE107" s="26" t="str">
        <f aca="false">IF(AD107="","",IF(AY107="PT",1,IF(BE107&lt;FT_Y5,1,IF(MOD(BE107-FT_Y5,12)=0,FT_AnnivDays,1))))</f>
        <v/>
      </c>
      <c r="AF107" s="27" t="str">
        <f aca="false">IF(AO107=0,"",IF(NOT(EH_Ready),"Map headers",IF(IF(MatchMode="Employee ID",COUNTIFS(INDEX(EH_Data,0,EH_ColID),$A107,INDEX(EH_Data,0,EH_ColCat),BonusCat),COUNTIFS(INDEX(EH_Data,0,EH_ColFirst),$B107,INDEX(EH_Data,0,EH_ColSur),$C107,INDEX(EH_Data,0,EH_ColCat),BonusCat))&gt;0,"Yes","No")))</f>
        <v/>
      </c>
      <c r="AG107" s="26" t="str">
        <f aca="false">IF(AO107=0,"",IF(NOT(EH_Ready),"",IF(MatchMode="Employee ID",SUMIFS(INDEX(EH_Data,0,EH_ColBal),INDEX(EH_Data,0,EH_ColID),$A107,INDEX(EH_Data,0,EH_ColCat),BonusCat),SUMIFS(INDEX(EH_Data,0,EH_ColBal),INDEX(EH_Data,0,EH_ColFirst),$B107,INDEX(EH_Data,0,EH_ColSur),$C107,INDEX(EH_Data,0,EH_ColCat),BonusCat))/IF(EHUnit="Hours",HoursPerDay,1)))</f>
        <v/>
      </c>
      <c r="AH107" s="26" t="str">
        <f aca="false">IF(AO107=0,"",IF(NOT(TK_Ready),0,IF(MatchMode="Employee ID",SUMIFS(INDEX(TK_Data,0,TK_ColAmt),INDEX(TK_Data,0,TK_ColID),$A107,INDEX(TK_Data,0,TK_ColCat),BonusCat),SUMIFS(INDEX(TK_Data,0,TK_ColAmt),INDEX(TK_Data,0,TK_ColFirst),$B107,INDEX(TK_Data,0,TK_ColSur),$C107,INDEX(TK_Data,0,TK_ColCat),BonusCat))/IF(TKUnit="Hours",HoursPerDay,1)))</f>
        <v/>
      </c>
      <c r="AI107" s="26" t="str">
        <f aca="false">IF(AO107=0,"",N(AG107)+N(AH107))</f>
        <v/>
      </c>
      <c r="AJ107" s="29" t="str">
        <f aca="false">IF(AO107=0,"",IF(NOT(AND(EH_Ready,EH_ValReady)),"",IF(MatchMode="Employee ID",SUMIFS(INDEX(EH_Data,0,EH_ColVal),INDEX(EH_Data,0,EH_ColID),$A107,INDEX(EH_Data,0,EH_ColCat),BonusCat),SUMIFS(INDEX(EH_Data,0,EH_ColVal),INDEX(EH_Data,0,EH_ColFirst),$B107,INDEX(EH_Data,0,EH_ColSur),$C107,INDEX(EH_Data,0,EH_ColCat),BonusCat))))</f>
        <v/>
      </c>
      <c r="AK107" s="26" t="str">
        <f aca="false">IF(AO107=0,"",IF(OR(NOT(EH_Ready),BF107=1),"",AB107-AI107))</f>
        <v/>
      </c>
      <c r="AL107" s="26" t="str">
        <f aca="false">IF(AK107="","",AK107*HoursPerDay)</f>
        <v/>
      </c>
      <c r="AM107" s="27" t="str">
        <f aca="false">IF(AO107=0,"",IF(BF107=1,IF(N(AG107)&gt;0,"TERMINATED - forfeit "&amp;TEXT(AG107,"0.##")&amp;" days still in EH","Terminated - nothing in EH"),IF(NOT(EH_Ready),"Paste EH export and map headers on Settings",IF(AND(AB107&gt;0,AF107="No"),"SET UP in EH - add "&amp;TEXT(AB107,"0.##")&amp;" day(s) ("&amp;TEXT(AC107,"0.##")&amp;" hrs)",IF(AK107&gt;0,"ADD "&amp;TEXT(AK107,"0.##")&amp;" day(s) ("&amp;TEXT(AL107,"0.##")&amp;" hrs) in EH",IF(AK107&lt;0,"CHECK - EH shows "&amp;TEXT(-AK107,"0.##")&amp;" days more than policy",IF(AB107&gt;0,"OK - up to date",IF(AY107="None","No action - not eligible","No action - not yet qualified"))))))))</f>
        <v/>
      </c>
      <c r="AN107" s="27" t="str">
        <f aca="false">IF(AO107=0,"",TRIM(IF(AND($K107&lt;&gt;"",$H107=""),"Change 2 entered without Change 1. ","")&amp;IF(AND($K107&lt;&gt;"",$H107&lt;&gt;"",$K107&lt;=$H107),"Change 2 date not after Change 1. ","")&amp;IF(AND($N107&lt;&gt;"",$O107&lt;&gt;"",$O107&lt;$N107),"Leave To is before Leave From. ","")&amp;IF(AND($N107&lt;&gt;"",$O107=""),"Leave From entered without Leave To. ","")&amp;IF(AND(IFERROR(VLOOKUP(T107,TypeTable,2,0),"None")="PT",U107=""),"Part-time with no hours entered. ","")&amp;IF(AND($H107&lt;&gt;"",$H107&gt;AsOfDate,AD107&lt;&gt;"",$H107&lt;=AD107),"Status change lands before next accrual - review. ","")&amp;IF(AND($Q107&lt;&gt;"",$Q107&lt;$E107),"Termination before commencement. ","")))</f>
        <v/>
      </c>
      <c r="AO107" s="11" t="n">
        <f aca="false">IF(LEN($A107&amp;$B107&amp;$C107)=0,0,IF($E107="",0,1))</f>
        <v>0</v>
      </c>
      <c r="AP107" s="11" t="str">
        <f aca="false">IF(AO107=0,"",(IF(OR($N107="",$O107=""),0,MAX(0,MIN(X107,$O107)-MAX($N107,$E107)+1))+N($P107)))</f>
        <v/>
      </c>
      <c r="AQ107" s="11" t="str">
        <f aca="false">IF(AO107=0,"",IF(X107&lt;($E107+(IF(OR($N107="",$O107=""),0,MAX(0,MIN(X107,$O107)-MAX($N107,$E107)+1))+N($P107))),-1,12*(YEAR(X107)-YEAR(($E107+(IF(OR($N107="",$O107=""),0,MAX(0,MIN(X107,$O107)-MAX($N107,$E107)+1))+N($P107)))))+MONTH(X107)-MONTH(($E107+(IF(OR($N107="",$O107=""),0,MAX(0,MIN(X107,$O107)-MAX($N107,$E107)+1))+N($P107))))-IF(DAY(X107)&lt;MIN(DAY(($E107+(IF(OR($N107="",$O107=""),0,MAX(0,MIN(X107,$O107)-MAX($N107,$E107)+1))+N($P107)))),DAY(EOMONTH(X107,0))),1,0)))</f>
        <v/>
      </c>
      <c r="AR107" s="28" t="str">
        <f aca="false">IF(AO107=0,"",IF($H107="","",IF($H107&gt;X107,"",$H107)))</f>
        <v/>
      </c>
      <c r="AS107" s="28" t="str">
        <f aca="false">IF(AO107=0,"",IF(AR107="","",IF($K107="","",IF($K107&gt;X107,"",$K107))))</f>
        <v/>
      </c>
      <c r="AT107" s="11" t="str">
        <f aca="false">IF(AO107=0,"",IF(AR107="",AQ107,IF((AR107-1)&lt;($E107+(IF(OR($N107="",$O107=""),0,MAX(0,MIN((AR107-1),$O107)-MAX($N107,$E107)+1))+N($P107))),-1,12*(YEAR((AR107-1))-YEAR(($E107+(IF(OR($N107="",$O107=""),0,MAX(0,MIN((AR107-1),$O107)-MAX($N107,$E107)+1))+N($P107)))))+MONTH((AR107-1))-MONTH(($E107+(IF(OR($N107="",$O107=""),0,MAX(0,MIN((AR107-1),$O107)-MAX($N107,$E107)+1))+N($P107))))-IF(DAY((AR107-1))&lt;MIN(DAY(($E107+(IF(OR($N107="",$O107=""),0,MAX(0,MIN((AR107-1),$O107)-MAX($N107,$E107)+1))+N($P107)))),DAY(EOMONTH((AR107-1),0))),1,0))))</f>
        <v/>
      </c>
      <c r="AU107" s="11" t="str">
        <f aca="false">IF(AO107=0,"",IF(AS107="",AQ107,IF((AS107-1)&lt;($E107+(IF(OR($N107="",$O107=""),0,MAX(0,MIN((AS107-1),$O107)-MAX($N107,$E107)+1))+N($P107))),-1,12*(YEAR((AS107-1))-YEAR(($E107+(IF(OR($N107="",$O107=""),0,MAX(0,MIN((AS107-1),$O107)-MAX($N107,$E107)+1))+N($P107)))))+MONTH((AS107-1))-MONTH(($E107+(IF(OR($N107="",$O107=""),0,MAX(0,MIN((AS107-1),$O107)-MAX($N107,$E107)+1))+N($P107))))-IF(DAY((AS107-1))&lt;MIN(DAY(($E107+(IF(OR($N107="",$O107=""),0,MAX(0,MIN((AS107-1),$O107)-MAX($N107,$E107)+1))+N($P107)))),DAY(EOMONTH((AS107-1),0))),1,0))))</f>
        <v/>
      </c>
      <c r="AV107" s="11" t="str">
        <f aca="false">IF(AO107=0,"",IF($F107="","None",IF(IFERROR(VLOOKUP($F107,TypeTable,2,0),"None")="PT",IF(N($G107)&gt;=PT_MinHours,"PT","None"),IFERROR(VLOOKUP($F107,TypeTable,2,0),"None"))))</f>
        <v/>
      </c>
      <c r="AW107" s="11" t="str">
        <f aca="false">IF(AO107=0,"",IF($I107="","None",IF(IFERROR(VLOOKUP($I107,TypeTable,2,0),"None")="PT",IF(N($J107)&gt;=PT_MinHours,"PT","None"),IFERROR(VLOOKUP($I107,TypeTable,2,0),"None"))))</f>
        <v/>
      </c>
      <c r="AX107" s="11" t="str">
        <f aca="false">IF(AO107=0,"",IF($L107="","None",IF(IFERROR(VLOOKUP($L107,TypeTable,2,0),"None")="PT",IF(N($M107)&gt;=PT_MinHours,"PT","None"),IFERROR(VLOOKUP($L107,TypeTable,2,0),"None"))))</f>
        <v/>
      </c>
      <c r="AY107" s="11" t="str">
        <f aca="false">IF(AO107=0,"",IF(AS107&lt;&gt;"",AX107,IF(AR107&lt;&gt;"",AW107,AV107)))</f>
        <v/>
      </c>
      <c r="AZ107" s="11" t="str">
        <f aca="false">IF(AO107=0,"",IF(AV107="FT",IF(AT107&lt;FT_First,0,IF(AT107&lt;FT_Y5,1+INT((AT107-FT_First)/FT_Int1),FT_PreY5+FT_PerYear*INT((AT107-FT_Y5)/12)+FT_AnnivDays+INT(MOD(AT107-FT_Y5,12)/FT_Int2))),IF(AV107="PT",IF(AT107&lt;PT_First,0,1+INT((AT107-PT_First)/PT_Int)),0)))</f>
        <v/>
      </c>
      <c r="BA107" s="11" t="str">
        <f aca="false">IF(AO107=0,"",IF(AW107="FT",IF(AT107&lt;FT_First,0,IF(AT107&lt;FT_Y5,1+INT((AT107-FT_First)/FT_Int1),FT_PreY5+FT_PerYear*INT((AT107-FT_Y5)/12)+FT_AnnivDays+INT(MOD(AT107-FT_Y5,12)/FT_Int2))),IF(AW107="PT",IF(AT107&lt;PT_First,0,1+INT((AT107-PT_First)/PT_Int)),0)))</f>
        <v/>
      </c>
      <c r="BB107" s="11" t="str">
        <f aca="false">IF(AO107=0,"",IF(AW107="FT",IF(AU107&lt;FT_First,0,IF(AU107&lt;FT_Y5,1+INT((AU107-FT_First)/FT_Int1),FT_PreY5+FT_PerYear*INT((AU107-FT_Y5)/12)+FT_AnnivDays+INT(MOD(AU107-FT_Y5,12)/FT_Int2))),IF(AW107="PT",IF(AU107&lt;PT_First,0,1+INT((AU107-PT_First)/PT_Int)),0)))</f>
        <v/>
      </c>
      <c r="BC107" s="11" t="str">
        <f aca="false">IF(AO107=0,"",IF(AX107="FT",IF(AU107&lt;FT_First,0,IF(AU107&lt;FT_Y5,1+INT((AU107-FT_First)/FT_Int1),FT_PreY5+FT_PerYear*INT((AU107-FT_Y5)/12)+FT_AnnivDays+INT(MOD(AU107-FT_Y5,12)/FT_Int2))),IF(AX107="PT",IF(AU107&lt;PT_First,0,1+INT((AU107-PT_First)/PT_Int)),0)))</f>
        <v/>
      </c>
      <c r="BD107" s="11" t="str">
        <f aca="false">IF(AO107=0,"",IF(AX107="FT",IF(AQ107&lt;FT_First,0,IF(AQ107&lt;FT_Y5,1+INT((AQ107-FT_First)/FT_Int1),FT_PreY5+FT_PerYear*INT((AQ107-FT_Y5)/12)+FT_AnnivDays+INT(MOD(AQ107-FT_Y5,12)/FT_Int2))),IF(AX107="PT",IF(AQ107&lt;PT_First,0,1+INT((AQ107-PT_First)/PT_Int)),0)))</f>
        <v/>
      </c>
      <c r="BE107" s="11" t="str">
        <f aca="false">IF(AO107=0,"",IF(AY107="FT",IF(AQ107&lt;FT_First,FT_First,IF(AQ107&lt;FT_Y5,MIN(FT_Y5,FT_First+FT_Int1*(INT((AQ107-FT_First)/FT_Int1)+1)),FT_Y5+12*INT((AQ107-FT_Y5)/12)+FT_Int2*(INT(MOD(AQ107-FT_Y5,12)/FT_Int2)+1))),IF(AY107="PT",IF(AQ107&lt;PT_First,PT_First,PT_First+PT_Int*(INT((AQ107-PT_First)/PT_Int)+1)),"")))</f>
        <v/>
      </c>
      <c r="BF107" s="11" t="n">
        <f aca="false">IF(AO107=0,0,IF(AND($Q107&lt;&gt;"",$Q107&lt;=AsOfDate),1,0))</f>
        <v>0</v>
      </c>
      <c r="BG107" s="11" t="str">
        <f aca="false">IF(AND(AO107=1,BF107=0,EH_Ready,N(AB107)&gt;0,N(AI107)=0),COUNT($BG$5:BG106)+1,"")</f>
        <v/>
      </c>
      <c r="BH107" s="11" t="str">
        <f aca="false">IF(AND(AO107=1,BF107=0,EH_Ready,N(AB107)&gt;0,N(AI107)&gt;0,N(AK107)&gt;0),COUNT($BH$5:BH106)+1,"")</f>
        <v/>
      </c>
      <c r="BI107" s="11" t="str">
        <f aca="false">IF(AND(AO107=1,OR(LEFT(AM107,3)="ADD",LEFT(AM107,3)="SET",LEFT(AM107,5)="CHECK",LEFT(AM107,10)="TERMINATED")),COUNT($BI$5:BI106)+1,"")</f>
        <v/>
      </c>
      <c r="BJ107" s="11" t="str">
        <f aca="false">IF(AO107=0,"",$A107&amp;" - "&amp;$B107&amp;" "&amp;$C107)</f>
        <v/>
      </c>
    </row>
    <row r="108" customFormat="false" ht="15" hidden="false" customHeight="false" outlineLevel="0" collapsed="false">
      <c r="A108" s="10"/>
      <c r="B108" s="10"/>
      <c r="C108" s="10"/>
      <c r="D108" s="10"/>
      <c r="E108" s="9"/>
      <c r="F108" s="10"/>
      <c r="G108" s="30"/>
      <c r="H108" s="9"/>
      <c r="I108" s="10"/>
      <c r="J108" s="30"/>
      <c r="K108" s="9"/>
      <c r="L108" s="10"/>
      <c r="M108" s="30"/>
      <c r="N108" s="9"/>
      <c r="O108" s="9"/>
      <c r="P108" s="30"/>
      <c r="Q108" s="9"/>
      <c r="R108" s="10"/>
      <c r="S108" s="11" t="str">
        <f aca="false">IF(AO108=0,"",IF($H108="","",$F108&amp;" -&gt; "&amp;$I108&amp;IF($I108="Part-Time"," ("&amp;N($J108)&amp;" hrs)","")&amp;" on "&amp;TEXT($H108,"dd/mm/yyyy")&amp;IF($H108&gt;AsOfDate," (FUTURE)","")&amp;IF($K108="","","; "&amp;$I108&amp;" -&gt; "&amp;$L108&amp;IF($L108="Part-Time"," ("&amp;N($M108)&amp;" hrs)","")&amp;" on "&amp;TEXT($K108,"dd/mm/yyyy")&amp;IF($K108&gt;AsOfDate," (FUTURE)",""))))</f>
        <v/>
      </c>
      <c r="T108" s="11" t="str">
        <f aca="false">IF(AO108=0,"",IF(AS108&lt;&gt;"",$L108,IF(AR108&lt;&gt;"",$I108,$F108)))</f>
        <v/>
      </c>
      <c r="U108" s="26" t="str">
        <f aca="false">IF(AO108=0,"",IF(AS108&lt;&gt;"",$M108,IF(AR108&lt;&gt;"",$J108,$G108)))</f>
        <v/>
      </c>
      <c r="V108" s="11" t="str">
        <f aca="false">IF(AO108=0,"",IF(AY108="FT","Full-Time",IF(AY108="PT","Part-Time","Not eligible")))</f>
        <v/>
      </c>
      <c r="W108" s="27" t="str">
        <f aca="false">IF(AO108=0,"",IF(AR108="",IF(AND($H108&lt;&gt;"",$H108&gt;AsOfDate),"Future change - not yet applied",""),IF(AND(AV108=AY108,OR(AS108="",AW108=AV108)),"Type changed - same accrual pathway",IF(AY108="None","STOPPED accruing from "&amp;TEXT(IF(AS108&lt;&gt;"",AS108,AR108),"dd/mm/yyyy"),IF(AV108="None","STARTED qualifying from "&amp;TEXT(IF(AS108&lt;&gt;"",AS108,AR108),"dd/mm/yyyy"),"Pathway changed "&amp;AV108&amp;" -&gt; "&amp;AW108&amp;IF(AS108&lt;&gt;""," -&gt; "&amp;AX108,"")&amp;" from "&amp;TEXT(IF(AS108&lt;&gt;"",AS108,AR108),"dd/mm/yyyy"))))))</f>
        <v/>
      </c>
      <c r="X108" s="28" t="str">
        <f aca="false">IF(AO108=0,"",IF($Q108="",AsOfDate,MIN(AsOfDate,$Q108)))</f>
        <v/>
      </c>
      <c r="Y108" s="26" t="str">
        <f aca="false">IF(AO108=0,"",MAX(0,AQ108))</f>
        <v/>
      </c>
      <c r="Z108" s="11" t="str">
        <f aca="false">IF(AO108=0,"",IF(AQ108&lt;0,"Not started",INT(AQ108/12)&amp;"y "&amp;MOD(AQ108,12)&amp;"m"))</f>
        <v/>
      </c>
      <c r="AA108" s="27" t="str">
        <f aca="false">IF(AO108=0,"",IF(BF108=1,"Terminated - balance forfeited",IF(AY108="None",IF(AB108&gt;0,"No longer accruing - "&amp;T108,"Not eligible - "&amp;T108&amp;IF(AND(IFERROR(VLOOKUP(T108,TypeTable,2,0),"None")="PT",N(U108)&lt;PT_MinHours)," (under "&amp;PT_MinHours&amp;" hrs)","")),IF(AB108&gt;0,"Yes - accruing","Not yet - qualifies "&amp;TEXT(AD108,"dd/mm/yyyy")))))</f>
        <v/>
      </c>
      <c r="AB108" s="26" t="str">
        <f aca="false">IF(AO108=0,"",AZ108+IF(AR108="",0,BB108-BA108)+IF(AS108="",0,BD108-BC108))</f>
        <v/>
      </c>
      <c r="AC108" s="26" t="str">
        <f aca="false">IF(AO108=0,"",AB108*HoursPerDay)</f>
        <v/>
      </c>
      <c r="AD108" s="28" t="str">
        <f aca="false">IF(AO108=0,"",IF(OR(BF108=1,AY108="None"),"",EDATE($E108+AP108,BE108)))</f>
        <v/>
      </c>
      <c r="AE108" s="26" t="str">
        <f aca="false">IF(AD108="","",IF(AY108="PT",1,IF(BE108&lt;FT_Y5,1,IF(MOD(BE108-FT_Y5,12)=0,FT_AnnivDays,1))))</f>
        <v/>
      </c>
      <c r="AF108" s="27" t="str">
        <f aca="false">IF(AO108=0,"",IF(NOT(EH_Ready),"Map headers",IF(IF(MatchMode="Employee ID",COUNTIFS(INDEX(EH_Data,0,EH_ColID),$A108,INDEX(EH_Data,0,EH_ColCat),BonusCat),COUNTIFS(INDEX(EH_Data,0,EH_ColFirst),$B108,INDEX(EH_Data,0,EH_ColSur),$C108,INDEX(EH_Data,0,EH_ColCat),BonusCat))&gt;0,"Yes","No")))</f>
        <v/>
      </c>
      <c r="AG108" s="26" t="str">
        <f aca="false">IF(AO108=0,"",IF(NOT(EH_Ready),"",IF(MatchMode="Employee ID",SUMIFS(INDEX(EH_Data,0,EH_ColBal),INDEX(EH_Data,0,EH_ColID),$A108,INDEX(EH_Data,0,EH_ColCat),BonusCat),SUMIFS(INDEX(EH_Data,0,EH_ColBal),INDEX(EH_Data,0,EH_ColFirst),$B108,INDEX(EH_Data,0,EH_ColSur),$C108,INDEX(EH_Data,0,EH_ColCat),BonusCat))/IF(EHUnit="Hours",HoursPerDay,1)))</f>
        <v/>
      </c>
      <c r="AH108" s="26" t="str">
        <f aca="false">IF(AO108=0,"",IF(NOT(TK_Ready),0,IF(MatchMode="Employee ID",SUMIFS(INDEX(TK_Data,0,TK_ColAmt),INDEX(TK_Data,0,TK_ColID),$A108,INDEX(TK_Data,0,TK_ColCat),BonusCat),SUMIFS(INDEX(TK_Data,0,TK_ColAmt),INDEX(TK_Data,0,TK_ColFirst),$B108,INDEX(TK_Data,0,TK_ColSur),$C108,INDEX(TK_Data,0,TK_ColCat),BonusCat))/IF(TKUnit="Hours",HoursPerDay,1)))</f>
        <v/>
      </c>
      <c r="AI108" s="26" t="str">
        <f aca="false">IF(AO108=0,"",N(AG108)+N(AH108))</f>
        <v/>
      </c>
      <c r="AJ108" s="29" t="str">
        <f aca="false">IF(AO108=0,"",IF(NOT(AND(EH_Ready,EH_ValReady)),"",IF(MatchMode="Employee ID",SUMIFS(INDEX(EH_Data,0,EH_ColVal),INDEX(EH_Data,0,EH_ColID),$A108,INDEX(EH_Data,0,EH_ColCat),BonusCat),SUMIFS(INDEX(EH_Data,0,EH_ColVal),INDEX(EH_Data,0,EH_ColFirst),$B108,INDEX(EH_Data,0,EH_ColSur),$C108,INDEX(EH_Data,0,EH_ColCat),BonusCat))))</f>
        <v/>
      </c>
      <c r="AK108" s="26" t="str">
        <f aca="false">IF(AO108=0,"",IF(OR(NOT(EH_Ready),BF108=1),"",AB108-AI108))</f>
        <v/>
      </c>
      <c r="AL108" s="26" t="str">
        <f aca="false">IF(AK108="","",AK108*HoursPerDay)</f>
        <v/>
      </c>
      <c r="AM108" s="27" t="str">
        <f aca="false">IF(AO108=0,"",IF(BF108=1,IF(N(AG108)&gt;0,"TERMINATED - forfeit "&amp;TEXT(AG108,"0.##")&amp;" days still in EH","Terminated - nothing in EH"),IF(NOT(EH_Ready),"Paste EH export and map headers on Settings",IF(AND(AB108&gt;0,AF108="No"),"SET UP in EH - add "&amp;TEXT(AB108,"0.##")&amp;" day(s) ("&amp;TEXT(AC108,"0.##")&amp;" hrs)",IF(AK108&gt;0,"ADD "&amp;TEXT(AK108,"0.##")&amp;" day(s) ("&amp;TEXT(AL108,"0.##")&amp;" hrs) in EH",IF(AK108&lt;0,"CHECK - EH shows "&amp;TEXT(-AK108,"0.##")&amp;" days more than policy",IF(AB108&gt;0,"OK - up to date",IF(AY108="None","No action - not eligible","No action - not yet qualified"))))))))</f>
        <v/>
      </c>
      <c r="AN108" s="27" t="str">
        <f aca="false">IF(AO108=0,"",TRIM(IF(AND($K108&lt;&gt;"",$H108=""),"Change 2 entered without Change 1. ","")&amp;IF(AND($K108&lt;&gt;"",$H108&lt;&gt;"",$K108&lt;=$H108),"Change 2 date not after Change 1. ","")&amp;IF(AND($N108&lt;&gt;"",$O108&lt;&gt;"",$O108&lt;$N108),"Leave To is before Leave From. ","")&amp;IF(AND($N108&lt;&gt;"",$O108=""),"Leave From entered without Leave To. ","")&amp;IF(AND(IFERROR(VLOOKUP(T108,TypeTable,2,0),"None")="PT",U108=""),"Part-time with no hours entered. ","")&amp;IF(AND($H108&lt;&gt;"",$H108&gt;AsOfDate,AD108&lt;&gt;"",$H108&lt;=AD108),"Status change lands before next accrual - review. ","")&amp;IF(AND($Q108&lt;&gt;"",$Q108&lt;$E108),"Termination before commencement. ","")))</f>
        <v/>
      </c>
      <c r="AO108" s="11" t="n">
        <f aca="false">IF(LEN($A108&amp;$B108&amp;$C108)=0,0,IF($E108="",0,1))</f>
        <v>0</v>
      </c>
      <c r="AP108" s="11" t="str">
        <f aca="false">IF(AO108=0,"",(IF(OR($N108="",$O108=""),0,MAX(0,MIN(X108,$O108)-MAX($N108,$E108)+1))+N($P108)))</f>
        <v/>
      </c>
      <c r="AQ108" s="11" t="str">
        <f aca="false">IF(AO108=0,"",IF(X108&lt;($E108+(IF(OR($N108="",$O108=""),0,MAX(0,MIN(X108,$O108)-MAX($N108,$E108)+1))+N($P108))),-1,12*(YEAR(X108)-YEAR(($E108+(IF(OR($N108="",$O108=""),0,MAX(0,MIN(X108,$O108)-MAX($N108,$E108)+1))+N($P108)))))+MONTH(X108)-MONTH(($E108+(IF(OR($N108="",$O108=""),0,MAX(0,MIN(X108,$O108)-MAX($N108,$E108)+1))+N($P108))))-IF(DAY(X108)&lt;MIN(DAY(($E108+(IF(OR($N108="",$O108=""),0,MAX(0,MIN(X108,$O108)-MAX($N108,$E108)+1))+N($P108)))),DAY(EOMONTH(X108,0))),1,0)))</f>
        <v/>
      </c>
      <c r="AR108" s="28" t="str">
        <f aca="false">IF(AO108=0,"",IF($H108="","",IF($H108&gt;X108,"",$H108)))</f>
        <v/>
      </c>
      <c r="AS108" s="28" t="str">
        <f aca="false">IF(AO108=0,"",IF(AR108="","",IF($K108="","",IF($K108&gt;X108,"",$K108))))</f>
        <v/>
      </c>
      <c r="AT108" s="11" t="str">
        <f aca="false">IF(AO108=0,"",IF(AR108="",AQ108,IF((AR108-1)&lt;($E108+(IF(OR($N108="",$O108=""),0,MAX(0,MIN((AR108-1),$O108)-MAX($N108,$E108)+1))+N($P108))),-1,12*(YEAR((AR108-1))-YEAR(($E108+(IF(OR($N108="",$O108=""),0,MAX(0,MIN((AR108-1),$O108)-MAX($N108,$E108)+1))+N($P108)))))+MONTH((AR108-1))-MONTH(($E108+(IF(OR($N108="",$O108=""),0,MAX(0,MIN((AR108-1),$O108)-MAX($N108,$E108)+1))+N($P108))))-IF(DAY((AR108-1))&lt;MIN(DAY(($E108+(IF(OR($N108="",$O108=""),0,MAX(0,MIN((AR108-1),$O108)-MAX($N108,$E108)+1))+N($P108)))),DAY(EOMONTH((AR108-1),0))),1,0))))</f>
        <v/>
      </c>
      <c r="AU108" s="11" t="str">
        <f aca="false">IF(AO108=0,"",IF(AS108="",AQ108,IF((AS108-1)&lt;($E108+(IF(OR($N108="",$O108=""),0,MAX(0,MIN((AS108-1),$O108)-MAX($N108,$E108)+1))+N($P108))),-1,12*(YEAR((AS108-1))-YEAR(($E108+(IF(OR($N108="",$O108=""),0,MAX(0,MIN((AS108-1),$O108)-MAX($N108,$E108)+1))+N($P108)))))+MONTH((AS108-1))-MONTH(($E108+(IF(OR($N108="",$O108=""),0,MAX(0,MIN((AS108-1),$O108)-MAX($N108,$E108)+1))+N($P108))))-IF(DAY((AS108-1))&lt;MIN(DAY(($E108+(IF(OR($N108="",$O108=""),0,MAX(0,MIN((AS108-1),$O108)-MAX($N108,$E108)+1))+N($P108)))),DAY(EOMONTH((AS108-1),0))),1,0))))</f>
        <v/>
      </c>
      <c r="AV108" s="11" t="str">
        <f aca="false">IF(AO108=0,"",IF($F108="","None",IF(IFERROR(VLOOKUP($F108,TypeTable,2,0),"None")="PT",IF(N($G108)&gt;=PT_MinHours,"PT","None"),IFERROR(VLOOKUP($F108,TypeTable,2,0),"None"))))</f>
        <v/>
      </c>
      <c r="AW108" s="11" t="str">
        <f aca="false">IF(AO108=0,"",IF($I108="","None",IF(IFERROR(VLOOKUP($I108,TypeTable,2,0),"None")="PT",IF(N($J108)&gt;=PT_MinHours,"PT","None"),IFERROR(VLOOKUP($I108,TypeTable,2,0),"None"))))</f>
        <v/>
      </c>
      <c r="AX108" s="11" t="str">
        <f aca="false">IF(AO108=0,"",IF($L108="","None",IF(IFERROR(VLOOKUP($L108,TypeTable,2,0),"None")="PT",IF(N($M108)&gt;=PT_MinHours,"PT","None"),IFERROR(VLOOKUP($L108,TypeTable,2,0),"None"))))</f>
        <v/>
      </c>
      <c r="AY108" s="11" t="str">
        <f aca="false">IF(AO108=0,"",IF(AS108&lt;&gt;"",AX108,IF(AR108&lt;&gt;"",AW108,AV108)))</f>
        <v/>
      </c>
      <c r="AZ108" s="11" t="str">
        <f aca="false">IF(AO108=0,"",IF(AV108="FT",IF(AT108&lt;FT_First,0,IF(AT108&lt;FT_Y5,1+INT((AT108-FT_First)/FT_Int1),FT_PreY5+FT_PerYear*INT((AT108-FT_Y5)/12)+FT_AnnivDays+INT(MOD(AT108-FT_Y5,12)/FT_Int2))),IF(AV108="PT",IF(AT108&lt;PT_First,0,1+INT((AT108-PT_First)/PT_Int)),0)))</f>
        <v/>
      </c>
      <c r="BA108" s="11" t="str">
        <f aca="false">IF(AO108=0,"",IF(AW108="FT",IF(AT108&lt;FT_First,0,IF(AT108&lt;FT_Y5,1+INT((AT108-FT_First)/FT_Int1),FT_PreY5+FT_PerYear*INT((AT108-FT_Y5)/12)+FT_AnnivDays+INT(MOD(AT108-FT_Y5,12)/FT_Int2))),IF(AW108="PT",IF(AT108&lt;PT_First,0,1+INT((AT108-PT_First)/PT_Int)),0)))</f>
        <v/>
      </c>
      <c r="BB108" s="11" t="str">
        <f aca="false">IF(AO108=0,"",IF(AW108="FT",IF(AU108&lt;FT_First,0,IF(AU108&lt;FT_Y5,1+INT((AU108-FT_First)/FT_Int1),FT_PreY5+FT_PerYear*INT((AU108-FT_Y5)/12)+FT_AnnivDays+INT(MOD(AU108-FT_Y5,12)/FT_Int2))),IF(AW108="PT",IF(AU108&lt;PT_First,0,1+INT((AU108-PT_First)/PT_Int)),0)))</f>
        <v/>
      </c>
      <c r="BC108" s="11" t="str">
        <f aca="false">IF(AO108=0,"",IF(AX108="FT",IF(AU108&lt;FT_First,0,IF(AU108&lt;FT_Y5,1+INT((AU108-FT_First)/FT_Int1),FT_PreY5+FT_PerYear*INT((AU108-FT_Y5)/12)+FT_AnnivDays+INT(MOD(AU108-FT_Y5,12)/FT_Int2))),IF(AX108="PT",IF(AU108&lt;PT_First,0,1+INT((AU108-PT_First)/PT_Int)),0)))</f>
        <v/>
      </c>
      <c r="BD108" s="11" t="str">
        <f aca="false">IF(AO108=0,"",IF(AX108="FT",IF(AQ108&lt;FT_First,0,IF(AQ108&lt;FT_Y5,1+INT((AQ108-FT_First)/FT_Int1),FT_PreY5+FT_PerYear*INT((AQ108-FT_Y5)/12)+FT_AnnivDays+INT(MOD(AQ108-FT_Y5,12)/FT_Int2))),IF(AX108="PT",IF(AQ108&lt;PT_First,0,1+INT((AQ108-PT_First)/PT_Int)),0)))</f>
        <v/>
      </c>
      <c r="BE108" s="11" t="str">
        <f aca="false">IF(AO108=0,"",IF(AY108="FT",IF(AQ108&lt;FT_First,FT_First,IF(AQ108&lt;FT_Y5,MIN(FT_Y5,FT_First+FT_Int1*(INT((AQ108-FT_First)/FT_Int1)+1)),FT_Y5+12*INT((AQ108-FT_Y5)/12)+FT_Int2*(INT(MOD(AQ108-FT_Y5,12)/FT_Int2)+1))),IF(AY108="PT",IF(AQ108&lt;PT_First,PT_First,PT_First+PT_Int*(INT((AQ108-PT_First)/PT_Int)+1)),"")))</f>
        <v/>
      </c>
      <c r="BF108" s="11" t="n">
        <f aca="false">IF(AO108=0,0,IF(AND($Q108&lt;&gt;"",$Q108&lt;=AsOfDate),1,0))</f>
        <v>0</v>
      </c>
      <c r="BG108" s="11" t="str">
        <f aca="false">IF(AND(AO108=1,BF108=0,EH_Ready,N(AB108)&gt;0,N(AI108)=0),COUNT($BG$5:BG107)+1,"")</f>
        <v/>
      </c>
      <c r="BH108" s="11" t="str">
        <f aca="false">IF(AND(AO108=1,BF108=0,EH_Ready,N(AB108)&gt;0,N(AI108)&gt;0,N(AK108)&gt;0),COUNT($BH$5:BH107)+1,"")</f>
        <v/>
      </c>
      <c r="BI108" s="11" t="str">
        <f aca="false">IF(AND(AO108=1,OR(LEFT(AM108,3)="ADD",LEFT(AM108,3)="SET",LEFT(AM108,5)="CHECK",LEFT(AM108,10)="TERMINATED")),COUNT($BI$5:BI107)+1,"")</f>
        <v/>
      </c>
      <c r="BJ108" s="11" t="str">
        <f aca="false">IF(AO108=0,"",$A108&amp;" - "&amp;$B108&amp;" "&amp;$C108)</f>
        <v/>
      </c>
    </row>
    <row r="109" customFormat="false" ht="15" hidden="false" customHeight="false" outlineLevel="0" collapsed="false">
      <c r="A109" s="10"/>
      <c r="B109" s="10"/>
      <c r="C109" s="10"/>
      <c r="D109" s="10"/>
      <c r="E109" s="9"/>
      <c r="F109" s="10"/>
      <c r="G109" s="30"/>
      <c r="H109" s="9"/>
      <c r="I109" s="10"/>
      <c r="J109" s="30"/>
      <c r="K109" s="9"/>
      <c r="L109" s="10"/>
      <c r="M109" s="30"/>
      <c r="N109" s="9"/>
      <c r="O109" s="9"/>
      <c r="P109" s="30"/>
      <c r="Q109" s="9"/>
      <c r="R109" s="10"/>
      <c r="S109" s="11" t="str">
        <f aca="false">IF(AO109=0,"",IF($H109="","",$F109&amp;" -&gt; "&amp;$I109&amp;IF($I109="Part-Time"," ("&amp;N($J109)&amp;" hrs)","")&amp;" on "&amp;TEXT($H109,"dd/mm/yyyy")&amp;IF($H109&gt;AsOfDate," (FUTURE)","")&amp;IF($K109="","","; "&amp;$I109&amp;" -&gt; "&amp;$L109&amp;IF($L109="Part-Time"," ("&amp;N($M109)&amp;" hrs)","")&amp;" on "&amp;TEXT($K109,"dd/mm/yyyy")&amp;IF($K109&gt;AsOfDate," (FUTURE)",""))))</f>
        <v/>
      </c>
      <c r="T109" s="11" t="str">
        <f aca="false">IF(AO109=0,"",IF(AS109&lt;&gt;"",$L109,IF(AR109&lt;&gt;"",$I109,$F109)))</f>
        <v/>
      </c>
      <c r="U109" s="26" t="str">
        <f aca="false">IF(AO109=0,"",IF(AS109&lt;&gt;"",$M109,IF(AR109&lt;&gt;"",$J109,$G109)))</f>
        <v/>
      </c>
      <c r="V109" s="11" t="str">
        <f aca="false">IF(AO109=0,"",IF(AY109="FT","Full-Time",IF(AY109="PT","Part-Time","Not eligible")))</f>
        <v/>
      </c>
      <c r="W109" s="27" t="str">
        <f aca="false">IF(AO109=0,"",IF(AR109="",IF(AND($H109&lt;&gt;"",$H109&gt;AsOfDate),"Future change - not yet applied",""),IF(AND(AV109=AY109,OR(AS109="",AW109=AV109)),"Type changed - same accrual pathway",IF(AY109="None","STOPPED accruing from "&amp;TEXT(IF(AS109&lt;&gt;"",AS109,AR109),"dd/mm/yyyy"),IF(AV109="None","STARTED qualifying from "&amp;TEXT(IF(AS109&lt;&gt;"",AS109,AR109),"dd/mm/yyyy"),"Pathway changed "&amp;AV109&amp;" -&gt; "&amp;AW109&amp;IF(AS109&lt;&gt;""," -&gt; "&amp;AX109,"")&amp;" from "&amp;TEXT(IF(AS109&lt;&gt;"",AS109,AR109),"dd/mm/yyyy"))))))</f>
        <v/>
      </c>
      <c r="X109" s="28" t="str">
        <f aca="false">IF(AO109=0,"",IF($Q109="",AsOfDate,MIN(AsOfDate,$Q109)))</f>
        <v/>
      </c>
      <c r="Y109" s="26" t="str">
        <f aca="false">IF(AO109=0,"",MAX(0,AQ109))</f>
        <v/>
      </c>
      <c r="Z109" s="11" t="str">
        <f aca="false">IF(AO109=0,"",IF(AQ109&lt;0,"Not started",INT(AQ109/12)&amp;"y "&amp;MOD(AQ109,12)&amp;"m"))</f>
        <v/>
      </c>
      <c r="AA109" s="27" t="str">
        <f aca="false">IF(AO109=0,"",IF(BF109=1,"Terminated - balance forfeited",IF(AY109="None",IF(AB109&gt;0,"No longer accruing - "&amp;T109,"Not eligible - "&amp;T109&amp;IF(AND(IFERROR(VLOOKUP(T109,TypeTable,2,0),"None")="PT",N(U109)&lt;PT_MinHours)," (under "&amp;PT_MinHours&amp;" hrs)","")),IF(AB109&gt;0,"Yes - accruing","Not yet - qualifies "&amp;TEXT(AD109,"dd/mm/yyyy")))))</f>
        <v/>
      </c>
      <c r="AB109" s="26" t="str">
        <f aca="false">IF(AO109=0,"",AZ109+IF(AR109="",0,BB109-BA109)+IF(AS109="",0,BD109-BC109))</f>
        <v/>
      </c>
      <c r="AC109" s="26" t="str">
        <f aca="false">IF(AO109=0,"",AB109*HoursPerDay)</f>
        <v/>
      </c>
      <c r="AD109" s="28" t="str">
        <f aca="false">IF(AO109=0,"",IF(OR(BF109=1,AY109="None"),"",EDATE($E109+AP109,BE109)))</f>
        <v/>
      </c>
      <c r="AE109" s="26" t="str">
        <f aca="false">IF(AD109="","",IF(AY109="PT",1,IF(BE109&lt;FT_Y5,1,IF(MOD(BE109-FT_Y5,12)=0,FT_AnnivDays,1))))</f>
        <v/>
      </c>
      <c r="AF109" s="27" t="str">
        <f aca="false">IF(AO109=0,"",IF(NOT(EH_Ready),"Map headers",IF(IF(MatchMode="Employee ID",COUNTIFS(INDEX(EH_Data,0,EH_ColID),$A109,INDEX(EH_Data,0,EH_ColCat),BonusCat),COUNTIFS(INDEX(EH_Data,0,EH_ColFirst),$B109,INDEX(EH_Data,0,EH_ColSur),$C109,INDEX(EH_Data,0,EH_ColCat),BonusCat))&gt;0,"Yes","No")))</f>
        <v/>
      </c>
      <c r="AG109" s="26" t="str">
        <f aca="false">IF(AO109=0,"",IF(NOT(EH_Ready),"",IF(MatchMode="Employee ID",SUMIFS(INDEX(EH_Data,0,EH_ColBal),INDEX(EH_Data,0,EH_ColID),$A109,INDEX(EH_Data,0,EH_ColCat),BonusCat),SUMIFS(INDEX(EH_Data,0,EH_ColBal),INDEX(EH_Data,0,EH_ColFirst),$B109,INDEX(EH_Data,0,EH_ColSur),$C109,INDEX(EH_Data,0,EH_ColCat),BonusCat))/IF(EHUnit="Hours",HoursPerDay,1)))</f>
        <v/>
      </c>
      <c r="AH109" s="26" t="str">
        <f aca="false">IF(AO109=0,"",IF(NOT(TK_Ready),0,IF(MatchMode="Employee ID",SUMIFS(INDEX(TK_Data,0,TK_ColAmt),INDEX(TK_Data,0,TK_ColID),$A109,INDEX(TK_Data,0,TK_ColCat),BonusCat),SUMIFS(INDEX(TK_Data,0,TK_ColAmt),INDEX(TK_Data,0,TK_ColFirst),$B109,INDEX(TK_Data,0,TK_ColSur),$C109,INDEX(TK_Data,0,TK_ColCat),BonusCat))/IF(TKUnit="Hours",HoursPerDay,1)))</f>
        <v/>
      </c>
      <c r="AI109" s="26" t="str">
        <f aca="false">IF(AO109=0,"",N(AG109)+N(AH109))</f>
        <v/>
      </c>
      <c r="AJ109" s="29" t="str">
        <f aca="false">IF(AO109=0,"",IF(NOT(AND(EH_Ready,EH_ValReady)),"",IF(MatchMode="Employee ID",SUMIFS(INDEX(EH_Data,0,EH_ColVal),INDEX(EH_Data,0,EH_ColID),$A109,INDEX(EH_Data,0,EH_ColCat),BonusCat),SUMIFS(INDEX(EH_Data,0,EH_ColVal),INDEX(EH_Data,0,EH_ColFirst),$B109,INDEX(EH_Data,0,EH_ColSur),$C109,INDEX(EH_Data,0,EH_ColCat),BonusCat))))</f>
        <v/>
      </c>
      <c r="AK109" s="26" t="str">
        <f aca="false">IF(AO109=0,"",IF(OR(NOT(EH_Ready),BF109=1),"",AB109-AI109))</f>
        <v/>
      </c>
      <c r="AL109" s="26" t="str">
        <f aca="false">IF(AK109="","",AK109*HoursPerDay)</f>
        <v/>
      </c>
      <c r="AM109" s="27" t="str">
        <f aca="false">IF(AO109=0,"",IF(BF109=1,IF(N(AG109)&gt;0,"TERMINATED - forfeit "&amp;TEXT(AG109,"0.##")&amp;" days still in EH","Terminated - nothing in EH"),IF(NOT(EH_Ready),"Paste EH export and map headers on Settings",IF(AND(AB109&gt;0,AF109="No"),"SET UP in EH - add "&amp;TEXT(AB109,"0.##")&amp;" day(s) ("&amp;TEXT(AC109,"0.##")&amp;" hrs)",IF(AK109&gt;0,"ADD "&amp;TEXT(AK109,"0.##")&amp;" day(s) ("&amp;TEXT(AL109,"0.##")&amp;" hrs) in EH",IF(AK109&lt;0,"CHECK - EH shows "&amp;TEXT(-AK109,"0.##")&amp;" days more than policy",IF(AB109&gt;0,"OK - up to date",IF(AY109="None","No action - not eligible","No action - not yet qualified"))))))))</f>
        <v/>
      </c>
      <c r="AN109" s="27" t="str">
        <f aca="false">IF(AO109=0,"",TRIM(IF(AND($K109&lt;&gt;"",$H109=""),"Change 2 entered without Change 1. ","")&amp;IF(AND($K109&lt;&gt;"",$H109&lt;&gt;"",$K109&lt;=$H109),"Change 2 date not after Change 1. ","")&amp;IF(AND($N109&lt;&gt;"",$O109&lt;&gt;"",$O109&lt;$N109),"Leave To is before Leave From. ","")&amp;IF(AND($N109&lt;&gt;"",$O109=""),"Leave From entered without Leave To. ","")&amp;IF(AND(IFERROR(VLOOKUP(T109,TypeTable,2,0),"None")="PT",U109=""),"Part-time with no hours entered. ","")&amp;IF(AND($H109&lt;&gt;"",$H109&gt;AsOfDate,AD109&lt;&gt;"",$H109&lt;=AD109),"Status change lands before next accrual - review. ","")&amp;IF(AND($Q109&lt;&gt;"",$Q109&lt;$E109),"Termination before commencement. ","")))</f>
        <v/>
      </c>
      <c r="AO109" s="11" t="n">
        <f aca="false">IF(LEN($A109&amp;$B109&amp;$C109)=0,0,IF($E109="",0,1))</f>
        <v>0</v>
      </c>
      <c r="AP109" s="11" t="str">
        <f aca="false">IF(AO109=0,"",(IF(OR($N109="",$O109=""),0,MAX(0,MIN(X109,$O109)-MAX($N109,$E109)+1))+N($P109)))</f>
        <v/>
      </c>
      <c r="AQ109" s="11" t="str">
        <f aca="false">IF(AO109=0,"",IF(X109&lt;($E109+(IF(OR($N109="",$O109=""),0,MAX(0,MIN(X109,$O109)-MAX($N109,$E109)+1))+N($P109))),-1,12*(YEAR(X109)-YEAR(($E109+(IF(OR($N109="",$O109=""),0,MAX(0,MIN(X109,$O109)-MAX($N109,$E109)+1))+N($P109)))))+MONTH(X109)-MONTH(($E109+(IF(OR($N109="",$O109=""),0,MAX(0,MIN(X109,$O109)-MAX($N109,$E109)+1))+N($P109))))-IF(DAY(X109)&lt;MIN(DAY(($E109+(IF(OR($N109="",$O109=""),0,MAX(0,MIN(X109,$O109)-MAX($N109,$E109)+1))+N($P109)))),DAY(EOMONTH(X109,0))),1,0)))</f>
        <v/>
      </c>
      <c r="AR109" s="28" t="str">
        <f aca="false">IF(AO109=0,"",IF($H109="","",IF($H109&gt;X109,"",$H109)))</f>
        <v/>
      </c>
      <c r="AS109" s="28" t="str">
        <f aca="false">IF(AO109=0,"",IF(AR109="","",IF($K109="","",IF($K109&gt;X109,"",$K109))))</f>
        <v/>
      </c>
      <c r="AT109" s="11" t="str">
        <f aca="false">IF(AO109=0,"",IF(AR109="",AQ109,IF((AR109-1)&lt;($E109+(IF(OR($N109="",$O109=""),0,MAX(0,MIN((AR109-1),$O109)-MAX($N109,$E109)+1))+N($P109))),-1,12*(YEAR((AR109-1))-YEAR(($E109+(IF(OR($N109="",$O109=""),0,MAX(0,MIN((AR109-1),$O109)-MAX($N109,$E109)+1))+N($P109)))))+MONTH((AR109-1))-MONTH(($E109+(IF(OR($N109="",$O109=""),0,MAX(0,MIN((AR109-1),$O109)-MAX($N109,$E109)+1))+N($P109))))-IF(DAY((AR109-1))&lt;MIN(DAY(($E109+(IF(OR($N109="",$O109=""),0,MAX(0,MIN((AR109-1),$O109)-MAX($N109,$E109)+1))+N($P109)))),DAY(EOMONTH((AR109-1),0))),1,0))))</f>
        <v/>
      </c>
      <c r="AU109" s="11" t="str">
        <f aca="false">IF(AO109=0,"",IF(AS109="",AQ109,IF((AS109-1)&lt;($E109+(IF(OR($N109="",$O109=""),0,MAX(0,MIN((AS109-1),$O109)-MAX($N109,$E109)+1))+N($P109))),-1,12*(YEAR((AS109-1))-YEAR(($E109+(IF(OR($N109="",$O109=""),0,MAX(0,MIN((AS109-1),$O109)-MAX($N109,$E109)+1))+N($P109)))))+MONTH((AS109-1))-MONTH(($E109+(IF(OR($N109="",$O109=""),0,MAX(0,MIN((AS109-1),$O109)-MAX($N109,$E109)+1))+N($P109))))-IF(DAY((AS109-1))&lt;MIN(DAY(($E109+(IF(OR($N109="",$O109=""),0,MAX(0,MIN((AS109-1),$O109)-MAX($N109,$E109)+1))+N($P109)))),DAY(EOMONTH((AS109-1),0))),1,0))))</f>
        <v/>
      </c>
      <c r="AV109" s="11" t="str">
        <f aca="false">IF(AO109=0,"",IF($F109="","None",IF(IFERROR(VLOOKUP($F109,TypeTable,2,0),"None")="PT",IF(N($G109)&gt;=PT_MinHours,"PT","None"),IFERROR(VLOOKUP($F109,TypeTable,2,0),"None"))))</f>
        <v/>
      </c>
      <c r="AW109" s="11" t="str">
        <f aca="false">IF(AO109=0,"",IF($I109="","None",IF(IFERROR(VLOOKUP($I109,TypeTable,2,0),"None")="PT",IF(N($J109)&gt;=PT_MinHours,"PT","None"),IFERROR(VLOOKUP($I109,TypeTable,2,0),"None"))))</f>
        <v/>
      </c>
      <c r="AX109" s="11" t="str">
        <f aca="false">IF(AO109=0,"",IF($L109="","None",IF(IFERROR(VLOOKUP($L109,TypeTable,2,0),"None")="PT",IF(N($M109)&gt;=PT_MinHours,"PT","None"),IFERROR(VLOOKUP($L109,TypeTable,2,0),"None"))))</f>
        <v/>
      </c>
      <c r="AY109" s="11" t="str">
        <f aca="false">IF(AO109=0,"",IF(AS109&lt;&gt;"",AX109,IF(AR109&lt;&gt;"",AW109,AV109)))</f>
        <v/>
      </c>
      <c r="AZ109" s="11" t="str">
        <f aca="false">IF(AO109=0,"",IF(AV109="FT",IF(AT109&lt;FT_First,0,IF(AT109&lt;FT_Y5,1+INT((AT109-FT_First)/FT_Int1),FT_PreY5+FT_PerYear*INT((AT109-FT_Y5)/12)+FT_AnnivDays+INT(MOD(AT109-FT_Y5,12)/FT_Int2))),IF(AV109="PT",IF(AT109&lt;PT_First,0,1+INT((AT109-PT_First)/PT_Int)),0)))</f>
        <v/>
      </c>
      <c r="BA109" s="11" t="str">
        <f aca="false">IF(AO109=0,"",IF(AW109="FT",IF(AT109&lt;FT_First,0,IF(AT109&lt;FT_Y5,1+INT((AT109-FT_First)/FT_Int1),FT_PreY5+FT_PerYear*INT((AT109-FT_Y5)/12)+FT_AnnivDays+INT(MOD(AT109-FT_Y5,12)/FT_Int2))),IF(AW109="PT",IF(AT109&lt;PT_First,0,1+INT((AT109-PT_First)/PT_Int)),0)))</f>
        <v/>
      </c>
      <c r="BB109" s="11" t="str">
        <f aca="false">IF(AO109=0,"",IF(AW109="FT",IF(AU109&lt;FT_First,0,IF(AU109&lt;FT_Y5,1+INT((AU109-FT_First)/FT_Int1),FT_PreY5+FT_PerYear*INT((AU109-FT_Y5)/12)+FT_AnnivDays+INT(MOD(AU109-FT_Y5,12)/FT_Int2))),IF(AW109="PT",IF(AU109&lt;PT_First,0,1+INT((AU109-PT_First)/PT_Int)),0)))</f>
        <v/>
      </c>
      <c r="BC109" s="11" t="str">
        <f aca="false">IF(AO109=0,"",IF(AX109="FT",IF(AU109&lt;FT_First,0,IF(AU109&lt;FT_Y5,1+INT((AU109-FT_First)/FT_Int1),FT_PreY5+FT_PerYear*INT((AU109-FT_Y5)/12)+FT_AnnivDays+INT(MOD(AU109-FT_Y5,12)/FT_Int2))),IF(AX109="PT",IF(AU109&lt;PT_First,0,1+INT((AU109-PT_First)/PT_Int)),0)))</f>
        <v/>
      </c>
      <c r="BD109" s="11" t="str">
        <f aca="false">IF(AO109=0,"",IF(AX109="FT",IF(AQ109&lt;FT_First,0,IF(AQ109&lt;FT_Y5,1+INT((AQ109-FT_First)/FT_Int1),FT_PreY5+FT_PerYear*INT((AQ109-FT_Y5)/12)+FT_AnnivDays+INT(MOD(AQ109-FT_Y5,12)/FT_Int2))),IF(AX109="PT",IF(AQ109&lt;PT_First,0,1+INT((AQ109-PT_First)/PT_Int)),0)))</f>
        <v/>
      </c>
      <c r="BE109" s="11" t="str">
        <f aca="false">IF(AO109=0,"",IF(AY109="FT",IF(AQ109&lt;FT_First,FT_First,IF(AQ109&lt;FT_Y5,MIN(FT_Y5,FT_First+FT_Int1*(INT((AQ109-FT_First)/FT_Int1)+1)),FT_Y5+12*INT((AQ109-FT_Y5)/12)+FT_Int2*(INT(MOD(AQ109-FT_Y5,12)/FT_Int2)+1))),IF(AY109="PT",IF(AQ109&lt;PT_First,PT_First,PT_First+PT_Int*(INT((AQ109-PT_First)/PT_Int)+1)),"")))</f>
        <v/>
      </c>
      <c r="BF109" s="11" t="n">
        <f aca="false">IF(AO109=0,0,IF(AND($Q109&lt;&gt;"",$Q109&lt;=AsOfDate),1,0))</f>
        <v>0</v>
      </c>
      <c r="BG109" s="11" t="str">
        <f aca="false">IF(AND(AO109=1,BF109=0,EH_Ready,N(AB109)&gt;0,N(AI109)=0),COUNT($BG$5:BG108)+1,"")</f>
        <v/>
      </c>
      <c r="BH109" s="11" t="str">
        <f aca="false">IF(AND(AO109=1,BF109=0,EH_Ready,N(AB109)&gt;0,N(AI109)&gt;0,N(AK109)&gt;0),COUNT($BH$5:BH108)+1,"")</f>
        <v/>
      </c>
      <c r="BI109" s="11" t="str">
        <f aca="false">IF(AND(AO109=1,OR(LEFT(AM109,3)="ADD",LEFT(AM109,3)="SET",LEFT(AM109,5)="CHECK",LEFT(AM109,10)="TERMINATED")),COUNT($BI$5:BI108)+1,"")</f>
        <v/>
      </c>
      <c r="BJ109" s="11" t="str">
        <f aca="false">IF(AO109=0,"",$A109&amp;" - "&amp;$B109&amp;" "&amp;$C109)</f>
        <v/>
      </c>
    </row>
    <row r="110" customFormat="false" ht="15" hidden="false" customHeight="false" outlineLevel="0" collapsed="false">
      <c r="A110" s="10"/>
      <c r="B110" s="10"/>
      <c r="C110" s="10"/>
      <c r="D110" s="10"/>
      <c r="E110" s="9"/>
      <c r="F110" s="10"/>
      <c r="G110" s="30"/>
      <c r="H110" s="9"/>
      <c r="I110" s="10"/>
      <c r="J110" s="30"/>
      <c r="K110" s="9"/>
      <c r="L110" s="10"/>
      <c r="M110" s="30"/>
      <c r="N110" s="9"/>
      <c r="O110" s="9"/>
      <c r="P110" s="30"/>
      <c r="Q110" s="9"/>
      <c r="R110" s="10"/>
      <c r="S110" s="11" t="str">
        <f aca="false">IF(AO110=0,"",IF($H110="","",$F110&amp;" -&gt; "&amp;$I110&amp;IF($I110="Part-Time"," ("&amp;N($J110)&amp;" hrs)","")&amp;" on "&amp;TEXT($H110,"dd/mm/yyyy")&amp;IF($H110&gt;AsOfDate," (FUTURE)","")&amp;IF($K110="","","; "&amp;$I110&amp;" -&gt; "&amp;$L110&amp;IF($L110="Part-Time"," ("&amp;N($M110)&amp;" hrs)","")&amp;" on "&amp;TEXT($K110,"dd/mm/yyyy")&amp;IF($K110&gt;AsOfDate," (FUTURE)",""))))</f>
        <v/>
      </c>
      <c r="T110" s="11" t="str">
        <f aca="false">IF(AO110=0,"",IF(AS110&lt;&gt;"",$L110,IF(AR110&lt;&gt;"",$I110,$F110)))</f>
        <v/>
      </c>
      <c r="U110" s="26" t="str">
        <f aca="false">IF(AO110=0,"",IF(AS110&lt;&gt;"",$M110,IF(AR110&lt;&gt;"",$J110,$G110)))</f>
        <v/>
      </c>
      <c r="V110" s="11" t="str">
        <f aca="false">IF(AO110=0,"",IF(AY110="FT","Full-Time",IF(AY110="PT","Part-Time","Not eligible")))</f>
        <v/>
      </c>
      <c r="W110" s="27" t="str">
        <f aca="false">IF(AO110=0,"",IF(AR110="",IF(AND($H110&lt;&gt;"",$H110&gt;AsOfDate),"Future change - not yet applied",""),IF(AND(AV110=AY110,OR(AS110="",AW110=AV110)),"Type changed - same accrual pathway",IF(AY110="None","STOPPED accruing from "&amp;TEXT(IF(AS110&lt;&gt;"",AS110,AR110),"dd/mm/yyyy"),IF(AV110="None","STARTED qualifying from "&amp;TEXT(IF(AS110&lt;&gt;"",AS110,AR110),"dd/mm/yyyy"),"Pathway changed "&amp;AV110&amp;" -&gt; "&amp;AW110&amp;IF(AS110&lt;&gt;""," -&gt; "&amp;AX110,"")&amp;" from "&amp;TEXT(IF(AS110&lt;&gt;"",AS110,AR110),"dd/mm/yyyy"))))))</f>
        <v/>
      </c>
      <c r="X110" s="28" t="str">
        <f aca="false">IF(AO110=0,"",IF($Q110="",AsOfDate,MIN(AsOfDate,$Q110)))</f>
        <v/>
      </c>
      <c r="Y110" s="26" t="str">
        <f aca="false">IF(AO110=0,"",MAX(0,AQ110))</f>
        <v/>
      </c>
      <c r="Z110" s="11" t="str">
        <f aca="false">IF(AO110=0,"",IF(AQ110&lt;0,"Not started",INT(AQ110/12)&amp;"y "&amp;MOD(AQ110,12)&amp;"m"))</f>
        <v/>
      </c>
      <c r="AA110" s="27" t="str">
        <f aca="false">IF(AO110=0,"",IF(BF110=1,"Terminated - balance forfeited",IF(AY110="None",IF(AB110&gt;0,"No longer accruing - "&amp;T110,"Not eligible - "&amp;T110&amp;IF(AND(IFERROR(VLOOKUP(T110,TypeTable,2,0),"None")="PT",N(U110)&lt;PT_MinHours)," (under "&amp;PT_MinHours&amp;" hrs)","")),IF(AB110&gt;0,"Yes - accruing","Not yet - qualifies "&amp;TEXT(AD110,"dd/mm/yyyy")))))</f>
        <v/>
      </c>
      <c r="AB110" s="26" t="str">
        <f aca="false">IF(AO110=0,"",AZ110+IF(AR110="",0,BB110-BA110)+IF(AS110="",0,BD110-BC110))</f>
        <v/>
      </c>
      <c r="AC110" s="26" t="str">
        <f aca="false">IF(AO110=0,"",AB110*HoursPerDay)</f>
        <v/>
      </c>
      <c r="AD110" s="28" t="str">
        <f aca="false">IF(AO110=0,"",IF(OR(BF110=1,AY110="None"),"",EDATE($E110+AP110,BE110)))</f>
        <v/>
      </c>
      <c r="AE110" s="26" t="str">
        <f aca="false">IF(AD110="","",IF(AY110="PT",1,IF(BE110&lt;FT_Y5,1,IF(MOD(BE110-FT_Y5,12)=0,FT_AnnivDays,1))))</f>
        <v/>
      </c>
      <c r="AF110" s="27" t="str">
        <f aca="false">IF(AO110=0,"",IF(NOT(EH_Ready),"Map headers",IF(IF(MatchMode="Employee ID",COUNTIFS(INDEX(EH_Data,0,EH_ColID),$A110,INDEX(EH_Data,0,EH_ColCat),BonusCat),COUNTIFS(INDEX(EH_Data,0,EH_ColFirst),$B110,INDEX(EH_Data,0,EH_ColSur),$C110,INDEX(EH_Data,0,EH_ColCat),BonusCat))&gt;0,"Yes","No")))</f>
        <v/>
      </c>
      <c r="AG110" s="26" t="str">
        <f aca="false">IF(AO110=0,"",IF(NOT(EH_Ready),"",IF(MatchMode="Employee ID",SUMIFS(INDEX(EH_Data,0,EH_ColBal),INDEX(EH_Data,0,EH_ColID),$A110,INDEX(EH_Data,0,EH_ColCat),BonusCat),SUMIFS(INDEX(EH_Data,0,EH_ColBal),INDEX(EH_Data,0,EH_ColFirst),$B110,INDEX(EH_Data,0,EH_ColSur),$C110,INDEX(EH_Data,0,EH_ColCat),BonusCat))/IF(EHUnit="Hours",HoursPerDay,1)))</f>
        <v/>
      </c>
      <c r="AH110" s="26" t="str">
        <f aca="false">IF(AO110=0,"",IF(NOT(TK_Ready),0,IF(MatchMode="Employee ID",SUMIFS(INDEX(TK_Data,0,TK_ColAmt),INDEX(TK_Data,0,TK_ColID),$A110,INDEX(TK_Data,0,TK_ColCat),BonusCat),SUMIFS(INDEX(TK_Data,0,TK_ColAmt),INDEX(TK_Data,0,TK_ColFirst),$B110,INDEX(TK_Data,0,TK_ColSur),$C110,INDEX(TK_Data,0,TK_ColCat),BonusCat))/IF(TKUnit="Hours",HoursPerDay,1)))</f>
        <v/>
      </c>
      <c r="AI110" s="26" t="str">
        <f aca="false">IF(AO110=0,"",N(AG110)+N(AH110))</f>
        <v/>
      </c>
      <c r="AJ110" s="29" t="str">
        <f aca="false">IF(AO110=0,"",IF(NOT(AND(EH_Ready,EH_ValReady)),"",IF(MatchMode="Employee ID",SUMIFS(INDEX(EH_Data,0,EH_ColVal),INDEX(EH_Data,0,EH_ColID),$A110,INDEX(EH_Data,0,EH_ColCat),BonusCat),SUMIFS(INDEX(EH_Data,0,EH_ColVal),INDEX(EH_Data,0,EH_ColFirst),$B110,INDEX(EH_Data,0,EH_ColSur),$C110,INDEX(EH_Data,0,EH_ColCat),BonusCat))))</f>
        <v/>
      </c>
      <c r="AK110" s="26" t="str">
        <f aca="false">IF(AO110=0,"",IF(OR(NOT(EH_Ready),BF110=1),"",AB110-AI110))</f>
        <v/>
      </c>
      <c r="AL110" s="26" t="str">
        <f aca="false">IF(AK110="","",AK110*HoursPerDay)</f>
        <v/>
      </c>
      <c r="AM110" s="27" t="str">
        <f aca="false">IF(AO110=0,"",IF(BF110=1,IF(N(AG110)&gt;0,"TERMINATED - forfeit "&amp;TEXT(AG110,"0.##")&amp;" days still in EH","Terminated - nothing in EH"),IF(NOT(EH_Ready),"Paste EH export and map headers on Settings",IF(AND(AB110&gt;0,AF110="No"),"SET UP in EH - add "&amp;TEXT(AB110,"0.##")&amp;" day(s) ("&amp;TEXT(AC110,"0.##")&amp;" hrs)",IF(AK110&gt;0,"ADD "&amp;TEXT(AK110,"0.##")&amp;" day(s) ("&amp;TEXT(AL110,"0.##")&amp;" hrs) in EH",IF(AK110&lt;0,"CHECK - EH shows "&amp;TEXT(-AK110,"0.##")&amp;" days more than policy",IF(AB110&gt;0,"OK - up to date",IF(AY110="None","No action - not eligible","No action - not yet qualified"))))))))</f>
        <v/>
      </c>
      <c r="AN110" s="27" t="str">
        <f aca="false">IF(AO110=0,"",TRIM(IF(AND($K110&lt;&gt;"",$H110=""),"Change 2 entered without Change 1. ","")&amp;IF(AND($K110&lt;&gt;"",$H110&lt;&gt;"",$K110&lt;=$H110),"Change 2 date not after Change 1. ","")&amp;IF(AND($N110&lt;&gt;"",$O110&lt;&gt;"",$O110&lt;$N110),"Leave To is before Leave From. ","")&amp;IF(AND($N110&lt;&gt;"",$O110=""),"Leave From entered without Leave To. ","")&amp;IF(AND(IFERROR(VLOOKUP(T110,TypeTable,2,0),"None")="PT",U110=""),"Part-time with no hours entered. ","")&amp;IF(AND($H110&lt;&gt;"",$H110&gt;AsOfDate,AD110&lt;&gt;"",$H110&lt;=AD110),"Status change lands before next accrual - review. ","")&amp;IF(AND($Q110&lt;&gt;"",$Q110&lt;$E110),"Termination before commencement. ","")))</f>
        <v/>
      </c>
      <c r="AO110" s="11" t="n">
        <f aca="false">IF(LEN($A110&amp;$B110&amp;$C110)=0,0,IF($E110="",0,1))</f>
        <v>0</v>
      </c>
      <c r="AP110" s="11" t="str">
        <f aca="false">IF(AO110=0,"",(IF(OR($N110="",$O110=""),0,MAX(0,MIN(X110,$O110)-MAX($N110,$E110)+1))+N($P110)))</f>
        <v/>
      </c>
      <c r="AQ110" s="11" t="str">
        <f aca="false">IF(AO110=0,"",IF(X110&lt;($E110+(IF(OR($N110="",$O110=""),0,MAX(0,MIN(X110,$O110)-MAX($N110,$E110)+1))+N($P110))),-1,12*(YEAR(X110)-YEAR(($E110+(IF(OR($N110="",$O110=""),0,MAX(0,MIN(X110,$O110)-MAX($N110,$E110)+1))+N($P110)))))+MONTH(X110)-MONTH(($E110+(IF(OR($N110="",$O110=""),0,MAX(0,MIN(X110,$O110)-MAX($N110,$E110)+1))+N($P110))))-IF(DAY(X110)&lt;MIN(DAY(($E110+(IF(OR($N110="",$O110=""),0,MAX(0,MIN(X110,$O110)-MAX($N110,$E110)+1))+N($P110)))),DAY(EOMONTH(X110,0))),1,0)))</f>
        <v/>
      </c>
      <c r="AR110" s="28" t="str">
        <f aca="false">IF(AO110=0,"",IF($H110="","",IF($H110&gt;X110,"",$H110)))</f>
        <v/>
      </c>
      <c r="AS110" s="28" t="str">
        <f aca="false">IF(AO110=0,"",IF(AR110="","",IF($K110="","",IF($K110&gt;X110,"",$K110))))</f>
        <v/>
      </c>
      <c r="AT110" s="11" t="str">
        <f aca="false">IF(AO110=0,"",IF(AR110="",AQ110,IF((AR110-1)&lt;($E110+(IF(OR($N110="",$O110=""),0,MAX(0,MIN((AR110-1),$O110)-MAX($N110,$E110)+1))+N($P110))),-1,12*(YEAR((AR110-1))-YEAR(($E110+(IF(OR($N110="",$O110=""),0,MAX(0,MIN((AR110-1),$O110)-MAX($N110,$E110)+1))+N($P110)))))+MONTH((AR110-1))-MONTH(($E110+(IF(OR($N110="",$O110=""),0,MAX(0,MIN((AR110-1),$O110)-MAX($N110,$E110)+1))+N($P110))))-IF(DAY((AR110-1))&lt;MIN(DAY(($E110+(IF(OR($N110="",$O110=""),0,MAX(0,MIN((AR110-1),$O110)-MAX($N110,$E110)+1))+N($P110)))),DAY(EOMONTH((AR110-1),0))),1,0))))</f>
        <v/>
      </c>
      <c r="AU110" s="11" t="str">
        <f aca="false">IF(AO110=0,"",IF(AS110="",AQ110,IF((AS110-1)&lt;($E110+(IF(OR($N110="",$O110=""),0,MAX(0,MIN((AS110-1),$O110)-MAX($N110,$E110)+1))+N($P110))),-1,12*(YEAR((AS110-1))-YEAR(($E110+(IF(OR($N110="",$O110=""),0,MAX(0,MIN((AS110-1),$O110)-MAX($N110,$E110)+1))+N($P110)))))+MONTH((AS110-1))-MONTH(($E110+(IF(OR($N110="",$O110=""),0,MAX(0,MIN((AS110-1),$O110)-MAX($N110,$E110)+1))+N($P110))))-IF(DAY((AS110-1))&lt;MIN(DAY(($E110+(IF(OR($N110="",$O110=""),0,MAX(0,MIN((AS110-1),$O110)-MAX($N110,$E110)+1))+N($P110)))),DAY(EOMONTH((AS110-1),0))),1,0))))</f>
        <v/>
      </c>
      <c r="AV110" s="11" t="str">
        <f aca="false">IF(AO110=0,"",IF($F110="","None",IF(IFERROR(VLOOKUP($F110,TypeTable,2,0),"None")="PT",IF(N($G110)&gt;=PT_MinHours,"PT","None"),IFERROR(VLOOKUP($F110,TypeTable,2,0),"None"))))</f>
        <v/>
      </c>
      <c r="AW110" s="11" t="str">
        <f aca="false">IF(AO110=0,"",IF($I110="","None",IF(IFERROR(VLOOKUP($I110,TypeTable,2,0),"None")="PT",IF(N($J110)&gt;=PT_MinHours,"PT","None"),IFERROR(VLOOKUP($I110,TypeTable,2,0),"None"))))</f>
        <v/>
      </c>
      <c r="AX110" s="11" t="str">
        <f aca="false">IF(AO110=0,"",IF($L110="","None",IF(IFERROR(VLOOKUP($L110,TypeTable,2,0),"None")="PT",IF(N($M110)&gt;=PT_MinHours,"PT","None"),IFERROR(VLOOKUP($L110,TypeTable,2,0),"None"))))</f>
        <v/>
      </c>
      <c r="AY110" s="11" t="str">
        <f aca="false">IF(AO110=0,"",IF(AS110&lt;&gt;"",AX110,IF(AR110&lt;&gt;"",AW110,AV110)))</f>
        <v/>
      </c>
      <c r="AZ110" s="11" t="str">
        <f aca="false">IF(AO110=0,"",IF(AV110="FT",IF(AT110&lt;FT_First,0,IF(AT110&lt;FT_Y5,1+INT((AT110-FT_First)/FT_Int1),FT_PreY5+FT_PerYear*INT((AT110-FT_Y5)/12)+FT_AnnivDays+INT(MOD(AT110-FT_Y5,12)/FT_Int2))),IF(AV110="PT",IF(AT110&lt;PT_First,0,1+INT((AT110-PT_First)/PT_Int)),0)))</f>
        <v/>
      </c>
      <c r="BA110" s="11" t="str">
        <f aca="false">IF(AO110=0,"",IF(AW110="FT",IF(AT110&lt;FT_First,0,IF(AT110&lt;FT_Y5,1+INT((AT110-FT_First)/FT_Int1),FT_PreY5+FT_PerYear*INT((AT110-FT_Y5)/12)+FT_AnnivDays+INT(MOD(AT110-FT_Y5,12)/FT_Int2))),IF(AW110="PT",IF(AT110&lt;PT_First,0,1+INT((AT110-PT_First)/PT_Int)),0)))</f>
        <v/>
      </c>
      <c r="BB110" s="11" t="str">
        <f aca="false">IF(AO110=0,"",IF(AW110="FT",IF(AU110&lt;FT_First,0,IF(AU110&lt;FT_Y5,1+INT((AU110-FT_First)/FT_Int1),FT_PreY5+FT_PerYear*INT((AU110-FT_Y5)/12)+FT_AnnivDays+INT(MOD(AU110-FT_Y5,12)/FT_Int2))),IF(AW110="PT",IF(AU110&lt;PT_First,0,1+INT((AU110-PT_First)/PT_Int)),0)))</f>
        <v/>
      </c>
      <c r="BC110" s="11" t="str">
        <f aca="false">IF(AO110=0,"",IF(AX110="FT",IF(AU110&lt;FT_First,0,IF(AU110&lt;FT_Y5,1+INT((AU110-FT_First)/FT_Int1),FT_PreY5+FT_PerYear*INT((AU110-FT_Y5)/12)+FT_AnnivDays+INT(MOD(AU110-FT_Y5,12)/FT_Int2))),IF(AX110="PT",IF(AU110&lt;PT_First,0,1+INT((AU110-PT_First)/PT_Int)),0)))</f>
        <v/>
      </c>
      <c r="BD110" s="11" t="str">
        <f aca="false">IF(AO110=0,"",IF(AX110="FT",IF(AQ110&lt;FT_First,0,IF(AQ110&lt;FT_Y5,1+INT((AQ110-FT_First)/FT_Int1),FT_PreY5+FT_PerYear*INT((AQ110-FT_Y5)/12)+FT_AnnivDays+INT(MOD(AQ110-FT_Y5,12)/FT_Int2))),IF(AX110="PT",IF(AQ110&lt;PT_First,0,1+INT((AQ110-PT_First)/PT_Int)),0)))</f>
        <v/>
      </c>
      <c r="BE110" s="11" t="str">
        <f aca="false">IF(AO110=0,"",IF(AY110="FT",IF(AQ110&lt;FT_First,FT_First,IF(AQ110&lt;FT_Y5,MIN(FT_Y5,FT_First+FT_Int1*(INT((AQ110-FT_First)/FT_Int1)+1)),FT_Y5+12*INT((AQ110-FT_Y5)/12)+FT_Int2*(INT(MOD(AQ110-FT_Y5,12)/FT_Int2)+1))),IF(AY110="PT",IF(AQ110&lt;PT_First,PT_First,PT_First+PT_Int*(INT((AQ110-PT_First)/PT_Int)+1)),"")))</f>
        <v/>
      </c>
      <c r="BF110" s="11" t="n">
        <f aca="false">IF(AO110=0,0,IF(AND($Q110&lt;&gt;"",$Q110&lt;=AsOfDate),1,0))</f>
        <v>0</v>
      </c>
      <c r="BG110" s="11" t="str">
        <f aca="false">IF(AND(AO110=1,BF110=0,EH_Ready,N(AB110)&gt;0,N(AI110)=0),COUNT($BG$5:BG109)+1,"")</f>
        <v/>
      </c>
      <c r="BH110" s="11" t="str">
        <f aca="false">IF(AND(AO110=1,BF110=0,EH_Ready,N(AB110)&gt;0,N(AI110)&gt;0,N(AK110)&gt;0),COUNT($BH$5:BH109)+1,"")</f>
        <v/>
      </c>
      <c r="BI110" s="11" t="str">
        <f aca="false">IF(AND(AO110=1,OR(LEFT(AM110,3)="ADD",LEFT(AM110,3)="SET",LEFT(AM110,5)="CHECK",LEFT(AM110,10)="TERMINATED")),COUNT($BI$5:BI109)+1,"")</f>
        <v/>
      </c>
      <c r="BJ110" s="11" t="str">
        <f aca="false">IF(AO110=0,"",$A110&amp;" - "&amp;$B110&amp;" "&amp;$C110)</f>
        <v/>
      </c>
    </row>
    <row r="111" customFormat="false" ht="15" hidden="false" customHeight="false" outlineLevel="0" collapsed="false">
      <c r="A111" s="10"/>
      <c r="B111" s="10"/>
      <c r="C111" s="10"/>
      <c r="D111" s="10"/>
      <c r="E111" s="9"/>
      <c r="F111" s="10"/>
      <c r="G111" s="30"/>
      <c r="H111" s="9"/>
      <c r="I111" s="10"/>
      <c r="J111" s="30"/>
      <c r="K111" s="9"/>
      <c r="L111" s="10"/>
      <c r="M111" s="30"/>
      <c r="N111" s="9"/>
      <c r="O111" s="9"/>
      <c r="P111" s="30"/>
      <c r="Q111" s="9"/>
      <c r="R111" s="10"/>
      <c r="S111" s="11" t="str">
        <f aca="false">IF(AO111=0,"",IF($H111="","",$F111&amp;" -&gt; "&amp;$I111&amp;IF($I111="Part-Time"," ("&amp;N($J111)&amp;" hrs)","")&amp;" on "&amp;TEXT($H111,"dd/mm/yyyy")&amp;IF($H111&gt;AsOfDate," (FUTURE)","")&amp;IF($K111="","","; "&amp;$I111&amp;" -&gt; "&amp;$L111&amp;IF($L111="Part-Time"," ("&amp;N($M111)&amp;" hrs)","")&amp;" on "&amp;TEXT($K111,"dd/mm/yyyy")&amp;IF($K111&gt;AsOfDate," (FUTURE)",""))))</f>
        <v/>
      </c>
      <c r="T111" s="11" t="str">
        <f aca="false">IF(AO111=0,"",IF(AS111&lt;&gt;"",$L111,IF(AR111&lt;&gt;"",$I111,$F111)))</f>
        <v/>
      </c>
      <c r="U111" s="26" t="str">
        <f aca="false">IF(AO111=0,"",IF(AS111&lt;&gt;"",$M111,IF(AR111&lt;&gt;"",$J111,$G111)))</f>
        <v/>
      </c>
      <c r="V111" s="11" t="str">
        <f aca="false">IF(AO111=0,"",IF(AY111="FT","Full-Time",IF(AY111="PT","Part-Time","Not eligible")))</f>
        <v/>
      </c>
      <c r="W111" s="27" t="str">
        <f aca="false">IF(AO111=0,"",IF(AR111="",IF(AND($H111&lt;&gt;"",$H111&gt;AsOfDate),"Future change - not yet applied",""),IF(AND(AV111=AY111,OR(AS111="",AW111=AV111)),"Type changed - same accrual pathway",IF(AY111="None","STOPPED accruing from "&amp;TEXT(IF(AS111&lt;&gt;"",AS111,AR111),"dd/mm/yyyy"),IF(AV111="None","STARTED qualifying from "&amp;TEXT(IF(AS111&lt;&gt;"",AS111,AR111),"dd/mm/yyyy"),"Pathway changed "&amp;AV111&amp;" -&gt; "&amp;AW111&amp;IF(AS111&lt;&gt;""," -&gt; "&amp;AX111,"")&amp;" from "&amp;TEXT(IF(AS111&lt;&gt;"",AS111,AR111),"dd/mm/yyyy"))))))</f>
        <v/>
      </c>
      <c r="X111" s="28" t="str">
        <f aca="false">IF(AO111=0,"",IF($Q111="",AsOfDate,MIN(AsOfDate,$Q111)))</f>
        <v/>
      </c>
      <c r="Y111" s="26" t="str">
        <f aca="false">IF(AO111=0,"",MAX(0,AQ111))</f>
        <v/>
      </c>
      <c r="Z111" s="11" t="str">
        <f aca="false">IF(AO111=0,"",IF(AQ111&lt;0,"Not started",INT(AQ111/12)&amp;"y "&amp;MOD(AQ111,12)&amp;"m"))</f>
        <v/>
      </c>
      <c r="AA111" s="27" t="str">
        <f aca="false">IF(AO111=0,"",IF(BF111=1,"Terminated - balance forfeited",IF(AY111="None",IF(AB111&gt;0,"No longer accruing - "&amp;T111,"Not eligible - "&amp;T111&amp;IF(AND(IFERROR(VLOOKUP(T111,TypeTable,2,0),"None")="PT",N(U111)&lt;PT_MinHours)," (under "&amp;PT_MinHours&amp;" hrs)","")),IF(AB111&gt;0,"Yes - accruing","Not yet - qualifies "&amp;TEXT(AD111,"dd/mm/yyyy")))))</f>
        <v/>
      </c>
      <c r="AB111" s="26" t="str">
        <f aca="false">IF(AO111=0,"",AZ111+IF(AR111="",0,BB111-BA111)+IF(AS111="",0,BD111-BC111))</f>
        <v/>
      </c>
      <c r="AC111" s="26" t="str">
        <f aca="false">IF(AO111=0,"",AB111*HoursPerDay)</f>
        <v/>
      </c>
      <c r="AD111" s="28" t="str">
        <f aca="false">IF(AO111=0,"",IF(OR(BF111=1,AY111="None"),"",EDATE($E111+AP111,BE111)))</f>
        <v/>
      </c>
      <c r="AE111" s="26" t="str">
        <f aca="false">IF(AD111="","",IF(AY111="PT",1,IF(BE111&lt;FT_Y5,1,IF(MOD(BE111-FT_Y5,12)=0,FT_AnnivDays,1))))</f>
        <v/>
      </c>
      <c r="AF111" s="27" t="str">
        <f aca="false">IF(AO111=0,"",IF(NOT(EH_Ready),"Map headers",IF(IF(MatchMode="Employee ID",COUNTIFS(INDEX(EH_Data,0,EH_ColID),$A111,INDEX(EH_Data,0,EH_ColCat),BonusCat),COUNTIFS(INDEX(EH_Data,0,EH_ColFirst),$B111,INDEX(EH_Data,0,EH_ColSur),$C111,INDEX(EH_Data,0,EH_ColCat),BonusCat))&gt;0,"Yes","No")))</f>
        <v/>
      </c>
      <c r="AG111" s="26" t="str">
        <f aca="false">IF(AO111=0,"",IF(NOT(EH_Ready),"",IF(MatchMode="Employee ID",SUMIFS(INDEX(EH_Data,0,EH_ColBal),INDEX(EH_Data,0,EH_ColID),$A111,INDEX(EH_Data,0,EH_ColCat),BonusCat),SUMIFS(INDEX(EH_Data,0,EH_ColBal),INDEX(EH_Data,0,EH_ColFirst),$B111,INDEX(EH_Data,0,EH_ColSur),$C111,INDEX(EH_Data,0,EH_ColCat),BonusCat))/IF(EHUnit="Hours",HoursPerDay,1)))</f>
        <v/>
      </c>
      <c r="AH111" s="26" t="str">
        <f aca="false">IF(AO111=0,"",IF(NOT(TK_Ready),0,IF(MatchMode="Employee ID",SUMIFS(INDEX(TK_Data,0,TK_ColAmt),INDEX(TK_Data,0,TK_ColID),$A111,INDEX(TK_Data,0,TK_ColCat),BonusCat),SUMIFS(INDEX(TK_Data,0,TK_ColAmt),INDEX(TK_Data,0,TK_ColFirst),$B111,INDEX(TK_Data,0,TK_ColSur),$C111,INDEX(TK_Data,0,TK_ColCat),BonusCat))/IF(TKUnit="Hours",HoursPerDay,1)))</f>
        <v/>
      </c>
      <c r="AI111" s="26" t="str">
        <f aca="false">IF(AO111=0,"",N(AG111)+N(AH111))</f>
        <v/>
      </c>
      <c r="AJ111" s="29" t="str">
        <f aca="false">IF(AO111=0,"",IF(NOT(AND(EH_Ready,EH_ValReady)),"",IF(MatchMode="Employee ID",SUMIFS(INDEX(EH_Data,0,EH_ColVal),INDEX(EH_Data,0,EH_ColID),$A111,INDEX(EH_Data,0,EH_ColCat),BonusCat),SUMIFS(INDEX(EH_Data,0,EH_ColVal),INDEX(EH_Data,0,EH_ColFirst),$B111,INDEX(EH_Data,0,EH_ColSur),$C111,INDEX(EH_Data,0,EH_ColCat),BonusCat))))</f>
        <v/>
      </c>
      <c r="AK111" s="26" t="str">
        <f aca="false">IF(AO111=0,"",IF(OR(NOT(EH_Ready),BF111=1),"",AB111-AI111))</f>
        <v/>
      </c>
      <c r="AL111" s="26" t="str">
        <f aca="false">IF(AK111="","",AK111*HoursPerDay)</f>
        <v/>
      </c>
      <c r="AM111" s="27" t="str">
        <f aca="false">IF(AO111=0,"",IF(BF111=1,IF(N(AG111)&gt;0,"TERMINATED - forfeit "&amp;TEXT(AG111,"0.##")&amp;" days still in EH","Terminated - nothing in EH"),IF(NOT(EH_Ready),"Paste EH export and map headers on Settings",IF(AND(AB111&gt;0,AF111="No"),"SET UP in EH - add "&amp;TEXT(AB111,"0.##")&amp;" day(s) ("&amp;TEXT(AC111,"0.##")&amp;" hrs)",IF(AK111&gt;0,"ADD "&amp;TEXT(AK111,"0.##")&amp;" day(s) ("&amp;TEXT(AL111,"0.##")&amp;" hrs) in EH",IF(AK111&lt;0,"CHECK - EH shows "&amp;TEXT(-AK111,"0.##")&amp;" days more than policy",IF(AB111&gt;0,"OK - up to date",IF(AY111="None","No action - not eligible","No action - not yet qualified"))))))))</f>
        <v/>
      </c>
      <c r="AN111" s="27" t="str">
        <f aca="false">IF(AO111=0,"",TRIM(IF(AND($K111&lt;&gt;"",$H111=""),"Change 2 entered without Change 1. ","")&amp;IF(AND($K111&lt;&gt;"",$H111&lt;&gt;"",$K111&lt;=$H111),"Change 2 date not after Change 1. ","")&amp;IF(AND($N111&lt;&gt;"",$O111&lt;&gt;"",$O111&lt;$N111),"Leave To is before Leave From. ","")&amp;IF(AND($N111&lt;&gt;"",$O111=""),"Leave From entered without Leave To. ","")&amp;IF(AND(IFERROR(VLOOKUP(T111,TypeTable,2,0),"None")="PT",U111=""),"Part-time with no hours entered. ","")&amp;IF(AND($H111&lt;&gt;"",$H111&gt;AsOfDate,AD111&lt;&gt;"",$H111&lt;=AD111),"Status change lands before next accrual - review. ","")&amp;IF(AND($Q111&lt;&gt;"",$Q111&lt;$E111),"Termination before commencement. ","")))</f>
        <v/>
      </c>
      <c r="AO111" s="11" t="n">
        <f aca="false">IF(LEN($A111&amp;$B111&amp;$C111)=0,0,IF($E111="",0,1))</f>
        <v>0</v>
      </c>
      <c r="AP111" s="11" t="str">
        <f aca="false">IF(AO111=0,"",(IF(OR($N111="",$O111=""),0,MAX(0,MIN(X111,$O111)-MAX($N111,$E111)+1))+N($P111)))</f>
        <v/>
      </c>
      <c r="AQ111" s="11" t="str">
        <f aca="false">IF(AO111=0,"",IF(X111&lt;($E111+(IF(OR($N111="",$O111=""),0,MAX(0,MIN(X111,$O111)-MAX($N111,$E111)+1))+N($P111))),-1,12*(YEAR(X111)-YEAR(($E111+(IF(OR($N111="",$O111=""),0,MAX(0,MIN(X111,$O111)-MAX($N111,$E111)+1))+N($P111)))))+MONTH(X111)-MONTH(($E111+(IF(OR($N111="",$O111=""),0,MAX(0,MIN(X111,$O111)-MAX($N111,$E111)+1))+N($P111))))-IF(DAY(X111)&lt;MIN(DAY(($E111+(IF(OR($N111="",$O111=""),0,MAX(0,MIN(X111,$O111)-MAX($N111,$E111)+1))+N($P111)))),DAY(EOMONTH(X111,0))),1,0)))</f>
        <v/>
      </c>
      <c r="AR111" s="28" t="str">
        <f aca="false">IF(AO111=0,"",IF($H111="","",IF($H111&gt;X111,"",$H111)))</f>
        <v/>
      </c>
      <c r="AS111" s="28" t="str">
        <f aca="false">IF(AO111=0,"",IF(AR111="","",IF($K111="","",IF($K111&gt;X111,"",$K111))))</f>
        <v/>
      </c>
      <c r="AT111" s="11" t="str">
        <f aca="false">IF(AO111=0,"",IF(AR111="",AQ111,IF((AR111-1)&lt;($E111+(IF(OR($N111="",$O111=""),0,MAX(0,MIN((AR111-1),$O111)-MAX($N111,$E111)+1))+N($P111))),-1,12*(YEAR((AR111-1))-YEAR(($E111+(IF(OR($N111="",$O111=""),0,MAX(0,MIN((AR111-1),$O111)-MAX($N111,$E111)+1))+N($P111)))))+MONTH((AR111-1))-MONTH(($E111+(IF(OR($N111="",$O111=""),0,MAX(0,MIN((AR111-1),$O111)-MAX($N111,$E111)+1))+N($P111))))-IF(DAY((AR111-1))&lt;MIN(DAY(($E111+(IF(OR($N111="",$O111=""),0,MAX(0,MIN((AR111-1),$O111)-MAX($N111,$E111)+1))+N($P111)))),DAY(EOMONTH((AR111-1),0))),1,0))))</f>
        <v/>
      </c>
      <c r="AU111" s="11" t="str">
        <f aca="false">IF(AO111=0,"",IF(AS111="",AQ111,IF((AS111-1)&lt;($E111+(IF(OR($N111="",$O111=""),0,MAX(0,MIN((AS111-1),$O111)-MAX($N111,$E111)+1))+N($P111))),-1,12*(YEAR((AS111-1))-YEAR(($E111+(IF(OR($N111="",$O111=""),0,MAX(0,MIN((AS111-1),$O111)-MAX($N111,$E111)+1))+N($P111)))))+MONTH((AS111-1))-MONTH(($E111+(IF(OR($N111="",$O111=""),0,MAX(0,MIN((AS111-1),$O111)-MAX($N111,$E111)+1))+N($P111))))-IF(DAY((AS111-1))&lt;MIN(DAY(($E111+(IF(OR($N111="",$O111=""),0,MAX(0,MIN((AS111-1),$O111)-MAX($N111,$E111)+1))+N($P111)))),DAY(EOMONTH((AS111-1),0))),1,0))))</f>
        <v/>
      </c>
      <c r="AV111" s="11" t="str">
        <f aca="false">IF(AO111=0,"",IF($F111="","None",IF(IFERROR(VLOOKUP($F111,TypeTable,2,0),"None")="PT",IF(N($G111)&gt;=PT_MinHours,"PT","None"),IFERROR(VLOOKUP($F111,TypeTable,2,0),"None"))))</f>
        <v/>
      </c>
      <c r="AW111" s="11" t="str">
        <f aca="false">IF(AO111=0,"",IF($I111="","None",IF(IFERROR(VLOOKUP($I111,TypeTable,2,0),"None")="PT",IF(N($J111)&gt;=PT_MinHours,"PT","None"),IFERROR(VLOOKUP($I111,TypeTable,2,0),"None"))))</f>
        <v/>
      </c>
      <c r="AX111" s="11" t="str">
        <f aca="false">IF(AO111=0,"",IF($L111="","None",IF(IFERROR(VLOOKUP($L111,TypeTable,2,0),"None")="PT",IF(N($M111)&gt;=PT_MinHours,"PT","None"),IFERROR(VLOOKUP($L111,TypeTable,2,0),"None"))))</f>
        <v/>
      </c>
      <c r="AY111" s="11" t="str">
        <f aca="false">IF(AO111=0,"",IF(AS111&lt;&gt;"",AX111,IF(AR111&lt;&gt;"",AW111,AV111)))</f>
        <v/>
      </c>
      <c r="AZ111" s="11" t="str">
        <f aca="false">IF(AO111=0,"",IF(AV111="FT",IF(AT111&lt;FT_First,0,IF(AT111&lt;FT_Y5,1+INT((AT111-FT_First)/FT_Int1),FT_PreY5+FT_PerYear*INT((AT111-FT_Y5)/12)+FT_AnnivDays+INT(MOD(AT111-FT_Y5,12)/FT_Int2))),IF(AV111="PT",IF(AT111&lt;PT_First,0,1+INT((AT111-PT_First)/PT_Int)),0)))</f>
        <v/>
      </c>
      <c r="BA111" s="11" t="str">
        <f aca="false">IF(AO111=0,"",IF(AW111="FT",IF(AT111&lt;FT_First,0,IF(AT111&lt;FT_Y5,1+INT((AT111-FT_First)/FT_Int1),FT_PreY5+FT_PerYear*INT((AT111-FT_Y5)/12)+FT_AnnivDays+INT(MOD(AT111-FT_Y5,12)/FT_Int2))),IF(AW111="PT",IF(AT111&lt;PT_First,0,1+INT((AT111-PT_First)/PT_Int)),0)))</f>
        <v/>
      </c>
      <c r="BB111" s="11" t="str">
        <f aca="false">IF(AO111=0,"",IF(AW111="FT",IF(AU111&lt;FT_First,0,IF(AU111&lt;FT_Y5,1+INT((AU111-FT_First)/FT_Int1),FT_PreY5+FT_PerYear*INT((AU111-FT_Y5)/12)+FT_AnnivDays+INT(MOD(AU111-FT_Y5,12)/FT_Int2))),IF(AW111="PT",IF(AU111&lt;PT_First,0,1+INT((AU111-PT_First)/PT_Int)),0)))</f>
        <v/>
      </c>
      <c r="BC111" s="11" t="str">
        <f aca="false">IF(AO111=0,"",IF(AX111="FT",IF(AU111&lt;FT_First,0,IF(AU111&lt;FT_Y5,1+INT((AU111-FT_First)/FT_Int1),FT_PreY5+FT_PerYear*INT((AU111-FT_Y5)/12)+FT_AnnivDays+INT(MOD(AU111-FT_Y5,12)/FT_Int2))),IF(AX111="PT",IF(AU111&lt;PT_First,0,1+INT((AU111-PT_First)/PT_Int)),0)))</f>
        <v/>
      </c>
      <c r="BD111" s="11" t="str">
        <f aca="false">IF(AO111=0,"",IF(AX111="FT",IF(AQ111&lt;FT_First,0,IF(AQ111&lt;FT_Y5,1+INT((AQ111-FT_First)/FT_Int1),FT_PreY5+FT_PerYear*INT((AQ111-FT_Y5)/12)+FT_AnnivDays+INT(MOD(AQ111-FT_Y5,12)/FT_Int2))),IF(AX111="PT",IF(AQ111&lt;PT_First,0,1+INT((AQ111-PT_First)/PT_Int)),0)))</f>
        <v/>
      </c>
      <c r="BE111" s="11" t="str">
        <f aca="false">IF(AO111=0,"",IF(AY111="FT",IF(AQ111&lt;FT_First,FT_First,IF(AQ111&lt;FT_Y5,MIN(FT_Y5,FT_First+FT_Int1*(INT((AQ111-FT_First)/FT_Int1)+1)),FT_Y5+12*INT((AQ111-FT_Y5)/12)+FT_Int2*(INT(MOD(AQ111-FT_Y5,12)/FT_Int2)+1))),IF(AY111="PT",IF(AQ111&lt;PT_First,PT_First,PT_First+PT_Int*(INT((AQ111-PT_First)/PT_Int)+1)),"")))</f>
        <v/>
      </c>
      <c r="BF111" s="11" t="n">
        <f aca="false">IF(AO111=0,0,IF(AND($Q111&lt;&gt;"",$Q111&lt;=AsOfDate),1,0))</f>
        <v>0</v>
      </c>
      <c r="BG111" s="11" t="str">
        <f aca="false">IF(AND(AO111=1,BF111=0,EH_Ready,N(AB111)&gt;0,N(AI111)=0),COUNT($BG$5:BG110)+1,"")</f>
        <v/>
      </c>
      <c r="BH111" s="11" t="str">
        <f aca="false">IF(AND(AO111=1,BF111=0,EH_Ready,N(AB111)&gt;0,N(AI111)&gt;0,N(AK111)&gt;0),COUNT($BH$5:BH110)+1,"")</f>
        <v/>
      </c>
      <c r="BI111" s="11" t="str">
        <f aca="false">IF(AND(AO111=1,OR(LEFT(AM111,3)="ADD",LEFT(AM111,3)="SET",LEFT(AM111,5)="CHECK",LEFT(AM111,10)="TERMINATED")),COUNT($BI$5:BI110)+1,"")</f>
        <v/>
      </c>
      <c r="BJ111" s="11" t="str">
        <f aca="false">IF(AO111=0,"",$A111&amp;" - "&amp;$B111&amp;" "&amp;$C111)</f>
        <v/>
      </c>
    </row>
    <row r="112" customFormat="false" ht="15" hidden="false" customHeight="false" outlineLevel="0" collapsed="false">
      <c r="A112" s="10"/>
      <c r="B112" s="10"/>
      <c r="C112" s="10"/>
      <c r="D112" s="10"/>
      <c r="E112" s="9"/>
      <c r="F112" s="10"/>
      <c r="G112" s="30"/>
      <c r="H112" s="9"/>
      <c r="I112" s="10"/>
      <c r="J112" s="30"/>
      <c r="K112" s="9"/>
      <c r="L112" s="10"/>
      <c r="M112" s="30"/>
      <c r="N112" s="9"/>
      <c r="O112" s="9"/>
      <c r="P112" s="30"/>
      <c r="Q112" s="9"/>
      <c r="R112" s="10"/>
      <c r="S112" s="11" t="str">
        <f aca="false">IF(AO112=0,"",IF($H112="","",$F112&amp;" -&gt; "&amp;$I112&amp;IF($I112="Part-Time"," ("&amp;N($J112)&amp;" hrs)","")&amp;" on "&amp;TEXT($H112,"dd/mm/yyyy")&amp;IF($H112&gt;AsOfDate," (FUTURE)","")&amp;IF($K112="","","; "&amp;$I112&amp;" -&gt; "&amp;$L112&amp;IF($L112="Part-Time"," ("&amp;N($M112)&amp;" hrs)","")&amp;" on "&amp;TEXT($K112,"dd/mm/yyyy")&amp;IF($K112&gt;AsOfDate," (FUTURE)",""))))</f>
        <v/>
      </c>
      <c r="T112" s="11" t="str">
        <f aca="false">IF(AO112=0,"",IF(AS112&lt;&gt;"",$L112,IF(AR112&lt;&gt;"",$I112,$F112)))</f>
        <v/>
      </c>
      <c r="U112" s="26" t="str">
        <f aca="false">IF(AO112=0,"",IF(AS112&lt;&gt;"",$M112,IF(AR112&lt;&gt;"",$J112,$G112)))</f>
        <v/>
      </c>
      <c r="V112" s="11" t="str">
        <f aca="false">IF(AO112=0,"",IF(AY112="FT","Full-Time",IF(AY112="PT","Part-Time","Not eligible")))</f>
        <v/>
      </c>
      <c r="W112" s="27" t="str">
        <f aca="false">IF(AO112=0,"",IF(AR112="",IF(AND($H112&lt;&gt;"",$H112&gt;AsOfDate),"Future change - not yet applied",""),IF(AND(AV112=AY112,OR(AS112="",AW112=AV112)),"Type changed - same accrual pathway",IF(AY112="None","STOPPED accruing from "&amp;TEXT(IF(AS112&lt;&gt;"",AS112,AR112),"dd/mm/yyyy"),IF(AV112="None","STARTED qualifying from "&amp;TEXT(IF(AS112&lt;&gt;"",AS112,AR112),"dd/mm/yyyy"),"Pathway changed "&amp;AV112&amp;" -&gt; "&amp;AW112&amp;IF(AS112&lt;&gt;""," -&gt; "&amp;AX112,"")&amp;" from "&amp;TEXT(IF(AS112&lt;&gt;"",AS112,AR112),"dd/mm/yyyy"))))))</f>
        <v/>
      </c>
      <c r="X112" s="28" t="str">
        <f aca="false">IF(AO112=0,"",IF($Q112="",AsOfDate,MIN(AsOfDate,$Q112)))</f>
        <v/>
      </c>
      <c r="Y112" s="26" t="str">
        <f aca="false">IF(AO112=0,"",MAX(0,AQ112))</f>
        <v/>
      </c>
      <c r="Z112" s="11" t="str">
        <f aca="false">IF(AO112=0,"",IF(AQ112&lt;0,"Not started",INT(AQ112/12)&amp;"y "&amp;MOD(AQ112,12)&amp;"m"))</f>
        <v/>
      </c>
      <c r="AA112" s="27" t="str">
        <f aca="false">IF(AO112=0,"",IF(BF112=1,"Terminated - balance forfeited",IF(AY112="None",IF(AB112&gt;0,"No longer accruing - "&amp;T112,"Not eligible - "&amp;T112&amp;IF(AND(IFERROR(VLOOKUP(T112,TypeTable,2,0),"None")="PT",N(U112)&lt;PT_MinHours)," (under "&amp;PT_MinHours&amp;" hrs)","")),IF(AB112&gt;0,"Yes - accruing","Not yet - qualifies "&amp;TEXT(AD112,"dd/mm/yyyy")))))</f>
        <v/>
      </c>
      <c r="AB112" s="26" t="str">
        <f aca="false">IF(AO112=0,"",AZ112+IF(AR112="",0,BB112-BA112)+IF(AS112="",0,BD112-BC112))</f>
        <v/>
      </c>
      <c r="AC112" s="26" t="str">
        <f aca="false">IF(AO112=0,"",AB112*HoursPerDay)</f>
        <v/>
      </c>
      <c r="AD112" s="28" t="str">
        <f aca="false">IF(AO112=0,"",IF(OR(BF112=1,AY112="None"),"",EDATE($E112+AP112,BE112)))</f>
        <v/>
      </c>
      <c r="AE112" s="26" t="str">
        <f aca="false">IF(AD112="","",IF(AY112="PT",1,IF(BE112&lt;FT_Y5,1,IF(MOD(BE112-FT_Y5,12)=0,FT_AnnivDays,1))))</f>
        <v/>
      </c>
      <c r="AF112" s="27" t="str">
        <f aca="false">IF(AO112=0,"",IF(NOT(EH_Ready),"Map headers",IF(IF(MatchMode="Employee ID",COUNTIFS(INDEX(EH_Data,0,EH_ColID),$A112,INDEX(EH_Data,0,EH_ColCat),BonusCat),COUNTIFS(INDEX(EH_Data,0,EH_ColFirst),$B112,INDEX(EH_Data,0,EH_ColSur),$C112,INDEX(EH_Data,0,EH_ColCat),BonusCat))&gt;0,"Yes","No")))</f>
        <v/>
      </c>
      <c r="AG112" s="26" t="str">
        <f aca="false">IF(AO112=0,"",IF(NOT(EH_Ready),"",IF(MatchMode="Employee ID",SUMIFS(INDEX(EH_Data,0,EH_ColBal),INDEX(EH_Data,0,EH_ColID),$A112,INDEX(EH_Data,0,EH_ColCat),BonusCat),SUMIFS(INDEX(EH_Data,0,EH_ColBal),INDEX(EH_Data,0,EH_ColFirst),$B112,INDEX(EH_Data,0,EH_ColSur),$C112,INDEX(EH_Data,0,EH_ColCat),BonusCat))/IF(EHUnit="Hours",HoursPerDay,1)))</f>
        <v/>
      </c>
      <c r="AH112" s="26" t="str">
        <f aca="false">IF(AO112=0,"",IF(NOT(TK_Ready),0,IF(MatchMode="Employee ID",SUMIFS(INDEX(TK_Data,0,TK_ColAmt),INDEX(TK_Data,0,TK_ColID),$A112,INDEX(TK_Data,0,TK_ColCat),BonusCat),SUMIFS(INDEX(TK_Data,0,TK_ColAmt),INDEX(TK_Data,0,TK_ColFirst),$B112,INDEX(TK_Data,0,TK_ColSur),$C112,INDEX(TK_Data,0,TK_ColCat),BonusCat))/IF(TKUnit="Hours",HoursPerDay,1)))</f>
        <v/>
      </c>
      <c r="AI112" s="26" t="str">
        <f aca="false">IF(AO112=0,"",N(AG112)+N(AH112))</f>
        <v/>
      </c>
      <c r="AJ112" s="29" t="str">
        <f aca="false">IF(AO112=0,"",IF(NOT(AND(EH_Ready,EH_ValReady)),"",IF(MatchMode="Employee ID",SUMIFS(INDEX(EH_Data,0,EH_ColVal),INDEX(EH_Data,0,EH_ColID),$A112,INDEX(EH_Data,0,EH_ColCat),BonusCat),SUMIFS(INDEX(EH_Data,0,EH_ColVal),INDEX(EH_Data,0,EH_ColFirst),$B112,INDEX(EH_Data,0,EH_ColSur),$C112,INDEX(EH_Data,0,EH_ColCat),BonusCat))))</f>
        <v/>
      </c>
      <c r="AK112" s="26" t="str">
        <f aca="false">IF(AO112=0,"",IF(OR(NOT(EH_Ready),BF112=1),"",AB112-AI112))</f>
        <v/>
      </c>
      <c r="AL112" s="26" t="str">
        <f aca="false">IF(AK112="","",AK112*HoursPerDay)</f>
        <v/>
      </c>
      <c r="AM112" s="27" t="str">
        <f aca="false">IF(AO112=0,"",IF(BF112=1,IF(N(AG112)&gt;0,"TERMINATED - forfeit "&amp;TEXT(AG112,"0.##")&amp;" days still in EH","Terminated - nothing in EH"),IF(NOT(EH_Ready),"Paste EH export and map headers on Settings",IF(AND(AB112&gt;0,AF112="No"),"SET UP in EH - add "&amp;TEXT(AB112,"0.##")&amp;" day(s) ("&amp;TEXT(AC112,"0.##")&amp;" hrs)",IF(AK112&gt;0,"ADD "&amp;TEXT(AK112,"0.##")&amp;" day(s) ("&amp;TEXT(AL112,"0.##")&amp;" hrs) in EH",IF(AK112&lt;0,"CHECK - EH shows "&amp;TEXT(-AK112,"0.##")&amp;" days more than policy",IF(AB112&gt;0,"OK - up to date",IF(AY112="None","No action - not eligible","No action - not yet qualified"))))))))</f>
        <v/>
      </c>
      <c r="AN112" s="27" t="str">
        <f aca="false">IF(AO112=0,"",TRIM(IF(AND($K112&lt;&gt;"",$H112=""),"Change 2 entered without Change 1. ","")&amp;IF(AND($K112&lt;&gt;"",$H112&lt;&gt;"",$K112&lt;=$H112),"Change 2 date not after Change 1. ","")&amp;IF(AND($N112&lt;&gt;"",$O112&lt;&gt;"",$O112&lt;$N112),"Leave To is before Leave From. ","")&amp;IF(AND($N112&lt;&gt;"",$O112=""),"Leave From entered without Leave To. ","")&amp;IF(AND(IFERROR(VLOOKUP(T112,TypeTable,2,0),"None")="PT",U112=""),"Part-time with no hours entered. ","")&amp;IF(AND($H112&lt;&gt;"",$H112&gt;AsOfDate,AD112&lt;&gt;"",$H112&lt;=AD112),"Status change lands before next accrual - review. ","")&amp;IF(AND($Q112&lt;&gt;"",$Q112&lt;$E112),"Termination before commencement. ","")))</f>
        <v/>
      </c>
      <c r="AO112" s="11" t="n">
        <f aca="false">IF(LEN($A112&amp;$B112&amp;$C112)=0,0,IF($E112="",0,1))</f>
        <v>0</v>
      </c>
      <c r="AP112" s="11" t="str">
        <f aca="false">IF(AO112=0,"",(IF(OR($N112="",$O112=""),0,MAX(0,MIN(X112,$O112)-MAX($N112,$E112)+1))+N($P112)))</f>
        <v/>
      </c>
      <c r="AQ112" s="11" t="str">
        <f aca="false">IF(AO112=0,"",IF(X112&lt;($E112+(IF(OR($N112="",$O112=""),0,MAX(0,MIN(X112,$O112)-MAX($N112,$E112)+1))+N($P112))),-1,12*(YEAR(X112)-YEAR(($E112+(IF(OR($N112="",$O112=""),0,MAX(0,MIN(X112,$O112)-MAX($N112,$E112)+1))+N($P112)))))+MONTH(X112)-MONTH(($E112+(IF(OR($N112="",$O112=""),0,MAX(0,MIN(X112,$O112)-MAX($N112,$E112)+1))+N($P112))))-IF(DAY(X112)&lt;MIN(DAY(($E112+(IF(OR($N112="",$O112=""),0,MAX(0,MIN(X112,$O112)-MAX($N112,$E112)+1))+N($P112)))),DAY(EOMONTH(X112,0))),1,0)))</f>
        <v/>
      </c>
      <c r="AR112" s="28" t="str">
        <f aca="false">IF(AO112=0,"",IF($H112="","",IF($H112&gt;X112,"",$H112)))</f>
        <v/>
      </c>
      <c r="AS112" s="28" t="str">
        <f aca="false">IF(AO112=0,"",IF(AR112="","",IF($K112="","",IF($K112&gt;X112,"",$K112))))</f>
        <v/>
      </c>
      <c r="AT112" s="11" t="str">
        <f aca="false">IF(AO112=0,"",IF(AR112="",AQ112,IF((AR112-1)&lt;($E112+(IF(OR($N112="",$O112=""),0,MAX(0,MIN((AR112-1),$O112)-MAX($N112,$E112)+1))+N($P112))),-1,12*(YEAR((AR112-1))-YEAR(($E112+(IF(OR($N112="",$O112=""),0,MAX(0,MIN((AR112-1),$O112)-MAX($N112,$E112)+1))+N($P112)))))+MONTH((AR112-1))-MONTH(($E112+(IF(OR($N112="",$O112=""),0,MAX(0,MIN((AR112-1),$O112)-MAX($N112,$E112)+1))+N($P112))))-IF(DAY((AR112-1))&lt;MIN(DAY(($E112+(IF(OR($N112="",$O112=""),0,MAX(0,MIN((AR112-1),$O112)-MAX($N112,$E112)+1))+N($P112)))),DAY(EOMONTH((AR112-1),0))),1,0))))</f>
        <v/>
      </c>
      <c r="AU112" s="11" t="str">
        <f aca="false">IF(AO112=0,"",IF(AS112="",AQ112,IF((AS112-1)&lt;($E112+(IF(OR($N112="",$O112=""),0,MAX(0,MIN((AS112-1),$O112)-MAX($N112,$E112)+1))+N($P112))),-1,12*(YEAR((AS112-1))-YEAR(($E112+(IF(OR($N112="",$O112=""),0,MAX(0,MIN((AS112-1),$O112)-MAX($N112,$E112)+1))+N($P112)))))+MONTH((AS112-1))-MONTH(($E112+(IF(OR($N112="",$O112=""),0,MAX(0,MIN((AS112-1),$O112)-MAX($N112,$E112)+1))+N($P112))))-IF(DAY((AS112-1))&lt;MIN(DAY(($E112+(IF(OR($N112="",$O112=""),0,MAX(0,MIN((AS112-1),$O112)-MAX($N112,$E112)+1))+N($P112)))),DAY(EOMONTH((AS112-1),0))),1,0))))</f>
        <v/>
      </c>
      <c r="AV112" s="11" t="str">
        <f aca="false">IF(AO112=0,"",IF($F112="","None",IF(IFERROR(VLOOKUP($F112,TypeTable,2,0),"None")="PT",IF(N($G112)&gt;=PT_MinHours,"PT","None"),IFERROR(VLOOKUP($F112,TypeTable,2,0),"None"))))</f>
        <v/>
      </c>
      <c r="AW112" s="11" t="str">
        <f aca="false">IF(AO112=0,"",IF($I112="","None",IF(IFERROR(VLOOKUP($I112,TypeTable,2,0),"None")="PT",IF(N($J112)&gt;=PT_MinHours,"PT","None"),IFERROR(VLOOKUP($I112,TypeTable,2,0),"None"))))</f>
        <v/>
      </c>
      <c r="AX112" s="11" t="str">
        <f aca="false">IF(AO112=0,"",IF($L112="","None",IF(IFERROR(VLOOKUP($L112,TypeTable,2,0),"None")="PT",IF(N($M112)&gt;=PT_MinHours,"PT","None"),IFERROR(VLOOKUP($L112,TypeTable,2,0),"None"))))</f>
        <v/>
      </c>
      <c r="AY112" s="11" t="str">
        <f aca="false">IF(AO112=0,"",IF(AS112&lt;&gt;"",AX112,IF(AR112&lt;&gt;"",AW112,AV112)))</f>
        <v/>
      </c>
      <c r="AZ112" s="11" t="str">
        <f aca="false">IF(AO112=0,"",IF(AV112="FT",IF(AT112&lt;FT_First,0,IF(AT112&lt;FT_Y5,1+INT((AT112-FT_First)/FT_Int1),FT_PreY5+FT_PerYear*INT((AT112-FT_Y5)/12)+FT_AnnivDays+INT(MOD(AT112-FT_Y5,12)/FT_Int2))),IF(AV112="PT",IF(AT112&lt;PT_First,0,1+INT((AT112-PT_First)/PT_Int)),0)))</f>
        <v/>
      </c>
      <c r="BA112" s="11" t="str">
        <f aca="false">IF(AO112=0,"",IF(AW112="FT",IF(AT112&lt;FT_First,0,IF(AT112&lt;FT_Y5,1+INT((AT112-FT_First)/FT_Int1),FT_PreY5+FT_PerYear*INT((AT112-FT_Y5)/12)+FT_AnnivDays+INT(MOD(AT112-FT_Y5,12)/FT_Int2))),IF(AW112="PT",IF(AT112&lt;PT_First,0,1+INT((AT112-PT_First)/PT_Int)),0)))</f>
        <v/>
      </c>
      <c r="BB112" s="11" t="str">
        <f aca="false">IF(AO112=0,"",IF(AW112="FT",IF(AU112&lt;FT_First,0,IF(AU112&lt;FT_Y5,1+INT((AU112-FT_First)/FT_Int1),FT_PreY5+FT_PerYear*INT((AU112-FT_Y5)/12)+FT_AnnivDays+INT(MOD(AU112-FT_Y5,12)/FT_Int2))),IF(AW112="PT",IF(AU112&lt;PT_First,0,1+INT((AU112-PT_First)/PT_Int)),0)))</f>
        <v/>
      </c>
      <c r="BC112" s="11" t="str">
        <f aca="false">IF(AO112=0,"",IF(AX112="FT",IF(AU112&lt;FT_First,0,IF(AU112&lt;FT_Y5,1+INT((AU112-FT_First)/FT_Int1),FT_PreY5+FT_PerYear*INT((AU112-FT_Y5)/12)+FT_AnnivDays+INT(MOD(AU112-FT_Y5,12)/FT_Int2))),IF(AX112="PT",IF(AU112&lt;PT_First,0,1+INT((AU112-PT_First)/PT_Int)),0)))</f>
        <v/>
      </c>
      <c r="BD112" s="11" t="str">
        <f aca="false">IF(AO112=0,"",IF(AX112="FT",IF(AQ112&lt;FT_First,0,IF(AQ112&lt;FT_Y5,1+INT((AQ112-FT_First)/FT_Int1),FT_PreY5+FT_PerYear*INT((AQ112-FT_Y5)/12)+FT_AnnivDays+INT(MOD(AQ112-FT_Y5,12)/FT_Int2))),IF(AX112="PT",IF(AQ112&lt;PT_First,0,1+INT((AQ112-PT_First)/PT_Int)),0)))</f>
        <v/>
      </c>
      <c r="BE112" s="11" t="str">
        <f aca="false">IF(AO112=0,"",IF(AY112="FT",IF(AQ112&lt;FT_First,FT_First,IF(AQ112&lt;FT_Y5,MIN(FT_Y5,FT_First+FT_Int1*(INT((AQ112-FT_First)/FT_Int1)+1)),FT_Y5+12*INT((AQ112-FT_Y5)/12)+FT_Int2*(INT(MOD(AQ112-FT_Y5,12)/FT_Int2)+1))),IF(AY112="PT",IF(AQ112&lt;PT_First,PT_First,PT_First+PT_Int*(INT((AQ112-PT_First)/PT_Int)+1)),"")))</f>
        <v/>
      </c>
      <c r="BF112" s="11" t="n">
        <f aca="false">IF(AO112=0,0,IF(AND($Q112&lt;&gt;"",$Q112&lt;=AsOfDate),1,0))</f>
        <v>0</v>
      </c>
      <c r="BG112" s="11" t="str">
        <f aca="false">IF(AND(AO112=1,BF112=0,EH_Ready,N(AB112)&gt;0,N(AI112)=0),COUNT($BG$5:BG111)+1,"")</f>
        <v/>
      </c>
      <c r="BH112" s="11" t="str">
        <f aca="false">IF(AND(AO112=1,BF112=0,EH_Ready,N(AB112)&gt;0,N(AI112)&gt;0,N(AK112)&gt;0),COUNT($BH$5:BH111)+1,"")</f>
        <v/>
      </c>
      <c r="BI112" s="11" t="str">
        <f aca="false">IF(AND(AO112=1,OR(LEFT(AM112,3)="ADD",LEFT(AM112,3)="SET",LEFT(AM112,5)="CHECK",LEFT(AM112,10)="TERMINATED")),COUNT($BI$5:BI111)+1,"")</f>
        <v/>
      </c>
      <c r="BJ112" s="11" t="str">
        <f aca="false">IF(AO112=0,"",$A112&amp;" - "&amp;$B112&amp;" "&amp;$C112)</f>
        <v/>
      </c>
    </row>
    <row r="113" customFormat="false" ht="15" hidden="false" customHeight="false" outlineLevel="0" collapsed="false">
      <c r="A113" s="10"/>
      <c r="B113" s="10"/>
      <c r="C113" s="10"/>
      <c r="D113" s="10"/>
      <c r="E113" s="9"/>
      <c r="F113" s="10"/>
      <c r="G113" s="30"/>
      <c r="H113" s="9"/>
      <c r="I113" s="10"/>
      <c r="J113" s="30"/>
      <c r="K113" s="9"/>
      <c r="L113" s="10"/>
      <c r="M113" s="30"/>
      <c r="N113" s="9"/>
      <c r="O113" s="9"/>
      <c r="P113" s="30"/>
      <c r="Q113" s="9"/>
      <c r="R113" s="10"/>
      <c r="S113" s="11" t="str">
        <f aca="false">IF(AO113=0,"",IF($H113="","",$F113&amp;" -&gt; "&amp;$I113&amp;IF($I113="Part-Time"," ("&amp;N($J113)&amp;" hrs)","")&amp;" on "&amp;TEXT($H113,"dd/mm/yyyy")&amp;IF($H113&gt;AsOfDate," (FUTURE)","")&amp;IF($K113="","","; "&amp;$I113&amp;" -&gt; "&amp;$L113&amp;IF($L113="Part-Time"," ("&amp;N($M113)&amp;" hrs)","")&amp;" on "&amp;TEXT($K113,"dd/mm/yyyy")&amp;IF($K113&gt;AsOfDate," (FUTURE)",""))))</f>
        <v/>
      </c>
      <c r="T113" s="11" t="str">
        <f aca="false">IF(AO113=0,"",IF(AS113&lt;&gt;"",$L113,IF(AR113&lt;&gt;"",$I113,$F113)))</f>
        <v/>
      </c>
      <c r="U113" s="26" t="str">
        <f aca="false">IF(AO113=0,"",IF(AS113&lt;&gt;"",$M113,IF(AR113&lt;&gt;"",$J113,$G113)))</f>
        <v/>
      </c>
      <c r="V113" s="11" t="str">
        <f aca="false">IF(AO113=0,"",IF(AY113="FT","Full-Time",IF(AY113="PT","Part-Time","Not eligible")))</f>
        <v/>
      </c>
      <c r="W113" s="27" t="str">
        <f aca="false">IF(AO113=0,"",IF(AR113="",IF(AND($H113&lt;&gt;"",$H113&gt;AsOfDate),"Future change - not yet applied",""),IF(AND(AV113=AY113,OR(AS113="",AW113=AV113)),"Type changed - same accrual pathway",IF(AY113="None","STOPPED accruing from "&amp;TEXT(IF(AS113&lt;&gt;"",AS113,AR113),"dd/mm/yyyy"),IF(AV113="None","STARTED qualifying from "&amp;TEXT(IF(AS113&lt;&gt;"",AS113,AR113),"dd/mm/yyyy"),"Pathway changed "&amp;AV113&amp;" -&gt; "&amp;AW113&amp;IF(AS113&lt;&gt;""," -&gt; "&amp;AX113,"")&amp;" from "&amp;TEXT(IF(AS113&lt;&gt;"",AS113,AR113),"dd/mm/yyyy"))))))</f>
        <v/>
      </c>
      <c r="X113" s="28" t="str">
        <f aca="false">IF(AO113=0,"",IF($Q113="",AsOfDate,MIN(AsOfDate,$Q113)))</f>
        <v/>
      </c>
      <c r="Y113" s="26" t="str">
        <f aca="false">IF(AO113=0,"",MAX(0,AQ113))</f>
        <v/>
      </c>
      <c r="Z113" s="11" t="str">
        <f aca="false">IF(AO113=0,"",IF(AQ113&lt;0,"Not started",INT(AQ113/12)&amp;"y "&amp;MOD(AQ113,12)&amp;"m"))</f>
        <v/>
      </c>
      <c r="AA113" s="27" t="str">
        <f aca="false">IF(AO113=0,"",IF(BF113=1,"Terminated - balance forfeited",IF(AY113="None",IF(AB113&gt;0,"No longer accruing - "&amp;T113,"Not eligible - "&amp;T113&amp;IF(AND(IFERROR(VLOOKUP(T113,TypeTable,2,0),"None")="PT",N(U113)&lt;PT_MinHours)," (under "&amp;PT_MinHours&amp;" hrs)","")),IF(AB113&gt;0,"Yes - accruing","Not yet - qualifies "&amp;TEXT(AD113,"dd/mm/yyyy")))))</f>
        <v/>
      </c>
      <c r="AB113" s="26" t="str">
        <f aca="false">IF(AO113=0,"",AZ113+IF(AR113="",0,BB113-BA113)+IF(AS113="",0,BD113-BC113))</f>
        <v/>
      </c>
      <c r="AC113" s="26" t="str">
        <f aca="false">IF(AO113=0,"",AB113*HoursPerDay)</f>
        <v/>
      </c>
      <c r="AD113" s="28" t="str">
        <f aca="false">IF(AO113=0,"",IF(OR(BF113=1,AY113="None"),"",EDATE($E113+AP113,BE113)))</f>
        <v/>
      </c>
      <c r="AE113" s="26" t="str">
        <f aca="false">IF(AD113="","",IF(AY113="PT",1,IF(BE113&lt;FT_Y5,1,IF(MOD(BE113-FT_Y5,12)=0,FT_AnnivDays,1))))</f>
        <v/>
      </c>
      <c r="AF113" s="27" t="str">
        <f aca="false">IF(AO113=0,"",IF(NOT(EH_Ready),"Map headers",IF(IF(MatchMode="Employee ID",COUNTIFS(INDEX(EH_Data,0,EH_ColID),$A113,INDEX(EH_Data,0,EH_ColCat),BonusCat),COUNTIFS(INDEX(EH_Data,0,EH_ColFirst),$B113,INDEX(EH_Data,0,EH_ColSur),$C113,INDEX(EH_Data,0,EH_ColCat),BonusCat))&gt;0,"Yes","No")))</f>
        <v/>
      </c>
      <c r="AG113" s="26" t="str">
        <f aca="false">IF(AO113=0,"",IF(NOT(EH_Ready),"",IF(MatchMode="Employee ID",SUMIFS(INDEX(EH_Data,0,EH_ColBal),INDEX(EH_Data,0,EH_ColID),$A113,INDEX(EH_Data,0,EH_ColCat),BonusCat),SUMIFS(INDEX(EH_Data,0,EH_ColBal),INDEX(EH_Data,0,EH_ColFirst),$B113,INDEX(EH_Data,0,EH_ColSur),$C113,INDEX(EH_Data,0,EH_ColCat),BonusCat))/IF(EHUnit="Hours",HoursPerDay,1)))</f>
        <v/>
      </c>
      <c r="AH113" s="26" t="str">
        <f aca="false">IF(AO113=0,"",IF(NOT(TK_Ready),0,IF(MatchMode="Employee ID",SUMIFS(INDEX(TK_Data,0,TK_ColAmt),INDEX(TK_Data,0,TK_ColID),$A113,INDEX(TK_Data,0,TK_ColCat),BonusCat),SUMIFS(INDEX(TK_Data,0,TK_ColAmt),INDEX(TK_Data,0,TK_ColFirst),$B113,INDEX(TK_Data,0,TK_ColSur),$C113,INDEX(TK_Data,0,TK_ColCat),BonusCat))/IF(TKUnit="Hours",HoursPerDay,1)))</f>
        <v/>
      </c>
      <c r="AI113" s="26" t="str">
        <f aca="false">IF(AO113=0,"",N(AG113)+N(AH113))</f>
        <v/>
      </c>
      <c r="AJ113" s="29" t="str">
        <f aca="false">IF(AO113=0,"",IF(NOT(AND(EH_Ready,EH_ValReady)),"",IF(MatchMode="Employee ID",SUMIFS(INDEX(EH_Data,0,EH_ColVal),INDEX(EH_Data,0,EH_ColID),$A113,INDEX(EH_Data,0,EH_ColCat),BonusCat),SUMIFS(INDEX(EH_Data,0,EH_ColVal),INDEX(EH_Data,0,EH_ColFirst),$B113,INDEX(EH_Data,0,EH_ColSur),$C113,INDEX(EH_Data,0,EH_ColCat),BonusCat))))</f>
        <v/>
      </c>
      <c r="AK113" s="26" t="str">
        <f aca="false">IF(AO113=0,"",IF(OR(NOT(EH_Ready),BF113=1),"",AB113-AI113))</f>
        <v/>
      </c>
      <c r="AL113" s="26" t="str">
        <f aca="false">IF(AK113="","",AK113*HoursPerDay)</f>
        <v/>
      </c>
      <c r="AM113" s="27" t="str">
        <f aca="false">IF(AO113=0,"",IF(BF113=1,IF(N(AG113)&gt;0,"TERMINATED - forfeit "&amp;TEXT(AG113,"0.##")&amp;" days still in EH","Terminated - nothing in EH"),IF(NOT(EH_Ready),"Paste EH export and map headers on Settings",IF(AND(AB113&gt;0,AF113="No"),"SET UP in EH - add "&amp;TEXT(AB113,"0.##")&amp;" day(s) ("&amp;TEXT(AC113,"0.##")&amp;" hrs)",IF(AK113&gt;0,"ADD "&amp;TEXT(AK113,"0.##")&amp;" day(s) ("&amp;TEXT(AL113,"0.##")&amp;" hrs) in EH",IF(AK113&lt;0,"CHECK - EH shows "&amp;TEXT(-AK113,"0.##")&amp;" days more than policy",IF(AB113&gt;0,"OK - up to date",IF(AY113="None","No action - not eligible","No action - not yet qualified"))))))))</f>
        <v/>
      </c>
      <c r="AN113" s="27" t="str">
        <f aca="false">IF(AO113=0,"",TRIM(IF(AND($K113&lt;&gt;"",$H113=""),"Change 2 entered without Change 1. ","")&amp;IF(AND($K113&lt;&gt;"",$H113&lt;&gt;"",$K113&lt;=$H113),"Change 2 date not after Change 1. ","")&amp;IF(AND($N113&lt;&gt;"",$O113&lt;&gt;"",$O113&lt;$N113),"Leave To is before Leave From. ","")&amp;IF(AND($N113&lt;&gt;"",$O113=""),"Leave From entered without Leave To. ","")&amp;IF(AND(IFERROR(VLOOKUP(T113,TypeTable,2,0),"None")="PT",U113=""),"Part-time with no hours entered. ","")&amp;IF(AND($H113&lt;&gt;"",$H113&gt;AsOfDate,AD113&lt;&gt;"",$H113&lt;=AD113),"Status change lands before next accrual - review. ","")&amp;IF(AND($Q113&lt;&gt;"",$Q113&lt;$E113),"Termination before commencement. ","")))</f>
        <v/>
      </c>
      <c r="AO113" s="11" t="n">
        <f aca="false">IF(LEN($A113&amp;$B113&amp;$C113)=0,0,IF($E113="",0,1))</f>
        <v>0</v>
      </c>
      <c r="AP113" s="11" t="str">
        <f aca="false">IF(AO113=0,"",(IF(OR($N113="",$O113=""),0,MAX(0,MIN(X113,$O113)-MAX($N113,$E113)+1))+N($P113)))</f>
        <v/>
      </c>
      <c r="AQ113" s="11" t="str">
        <f aca="false">IF(AO113=0,"",IF(X113&lt;($E113+(IF(OR($N113="",$O113=""),0,MAX(0,MIN(X113,$O113)-MAX($N113,$E113)+1))+N($P113))),-1,12*(YEAR(X113)-YEAR(($E113+(IF(OR($N113="",$O113=""),0,MAX(0,MIN(X113,$O113)-MAX($N113,$E113)+1))+N($P113)))))+MONTH(X113)-MONTH(($E113+(IF(OR($N113="",$O113=""),0,MAX(0,MIN(X113,$O113)-MAX($N113,$E113)+1))+N($P113))))-IF(DAY(X113)&lt;MIN(DAY(($E113+(IF(OR($N113="",$O113=""),0,MAX(0,MIN(X113,$O113)-MAX($N113,$E113)+1))+N($P113)))),DAY(EOMONTH(X113,0))),1,0)))</f>
        <v/>
      </c>
      <c r="AR113" s="28" t="str">
        <f aca="false">IF(AO113=0,"",IF($H113="","",IF($H113&gt;X113,"",$H113)))</f>
        <v/>
      </c>
      <c r="AS113" s="28" t="str">
        <f aca="false">IF(AO113=0,"",IF(AR113="","",IF($K113="","",IF($K113&gt;X113,"",$K113))))</f>
        <v/>
      </c>
      <c r="AT113" s="11" t="str">
        <f aca="false">IF(AO113=0,"",IF(AR113="",AQ113,IF((AR113-1)&lt;($E113+(IF(OR($N113="",$O113=""),0,MAX(0,MIN((AR113-1),$O113)-MAX($N113,$E113)+1))+N($P113))),-1,12*(YEAR((AR113-1))-YEAR(($E113+(IF(OR($N113="",$O113=""),0,MAX(0,MIN((AR113-1),$O113)-MAX($N113,$E113)+1))+N($P113)))))+MONTH((AR113-1))-MONTH(($E113+(IF(OR($N113="",$O113=""),0,MAX(0,MIN((AR113-1),$O113)-MAX($N113,$E113)+1))+N($P113))))-IF(DAY((AR113-1))&lt;MIN(DAY(($E113+(IF(OR($N113="",$O113=""),0,MAX(0,MIN((AR113-1),$O113)-MAX($N113,$E113)+1))+N($P113)))),DAY(EOMONTH((AR113-1),0))),1,0))))</f>
        <v/>
      </c>
      <c r="AU113" s="11" t="str">
        <f aca="false">IF(AO113=0,"",IF(AS113="",AQ113,IF((AS113-1)&lt;($E113+(IF(OR($N113="",$O113=""),0,MAX(0,MIN((AS113-1),$O113)-MAX($N113,$E113)+1))+N($P113))),-1,12*(YEAR((AS113-1))-YEAR(($E113+(IF(OR($N113="",$O113=""),0,MAX(0,MIN((AS113-1),$O113)-MAX($N113,$E113)+1))+N($P113)))))+MONTH((AS113-1))-MONTH(($E113+(IF(OR($N113="",$O113=""),0,MAX(0,MIN((AS113-1),$O113)-MAX($N113,$E113)+1))+N($P113))))-IF(DAY((AS113-1))&lt;MIN(DAY(($E113+(IF(OR($N113="",$O113=""),0,MAX(0,MIN((AS113-1),$O113)-MAX($N113,$E113)+1))+N($P113)))),DAY(EOMONTH((AS113-1),0))),1,0))))</f>
        <v/>
      </c>
      <c r="AV113" s="11" t="str">
        <f aca="false">IF(AO113=0,"",IF($F113="","None",IF(IFERROR(VLOOKUP($F113,TypeTable,2,0),"None")="PT",IF(N($G113)&gt;=PT_MinHours,"PT","None"),IFERROR(VLOOKUP($F113,TypeTable,2,0),"None"))))</f>
        <v/>
      </c>
      <c r="AW113" s="11" t="str">
        <f aca="false">IF(AO113=0,"",IF($I113="","None",IF(IFERROR(VLOOKUP($I113,TypeTable,2,0),"None")="PT",IF(N($J113)&gt;=PT_MinHours,"PT","None"),IFERROR(VLOOKUP($I113,TypeTable,2,0),"None"))))</f>
        <v/>
      </c>
      <c r="AX113" s="11" t="str">
        <f aca="false">IF(AO113=0,"",IF($L113="","None",IF(IFERROR(VLOOKUP($L113,TypeTable,2,0),"None")="PT",IF(N($M113)&gt;=PT_MinHours,"PT","None"),IFERROR(VLOOKUP($L113,TypeTable,2,0),"None"))))</f>
        <v/>
      </c>
      <c r="AY113" s="11" t="str">
        <f aca="false">IF(AO113=0,"",IF(AS113&lt;&gt;"",AX113,IF(AR113&lt;&gt;"",AW113,AV113)))</f>
        <v/>
      </c>
      <c r="AZ113" s="11" t="str">
        <f aca="false">IF(AO113=0,"",IF(AV113="FT",IF(AT113&lt;FT_First,0,IF(AT113&lt;FT_Y5,1+INT((AT113-FT_First)/FT_Int1),FT_PreY5+FT_PerYear*INT((AT113-FT_Y5)/12)+FT_AnnivDays+INT(MOD(AT113-FT_Y5,12)/FT_Int2))),IF(AV113="PT",IF(AT113&lt;PT_First,0,1+INT((AT113-PT_First)/PT_Int)),0)))</f>
        <v/>
      </c>
      <c r="BA113" s="11" t="str">
        <f aca="false">IF(AO113=0,"",IF(AW113="FT",IF(AT113&lt;FT_First,0,IF(AT113&lt;FT_Y5,1+INT((AT113-FT_First)/FT_Int1),FT_PreY5+FT_PerYear*INT((AT113-FT_Y5)/12)+FT_AnnivDays+INT(MOD(AT113-FT_Y5,12)/FT_Int2))),IF(AW113="PT",IF(AT113&lt;PT_First,0,1+INT((AT113-PT_First)/PT_Int)),0)))</f>
        <v/>
      </c>
      <c r="BB113" s="11" t="str">
        <f aca="false">IF(AO113=0,"",IF(AW113="FT",IF(AU113&lt;FT_First,0,IF(AU113&lt;FT_Y5,1+INT((AU113-FT_First)/FT_Int1),FT_PreY5+FT_PerYear*INT((AU113-FT_Y5)/12)+FT_AnnivDays+INT(MOD(AU113-FT_Y5,12)/FT_Int2))),IF(AW113="PT",IF(AU113&lt;PT_First,0,1+INT((AU113-PT_First)/PT_Int)),0)))</f>
        <v/>
      </c>
      <c r="BC113" s="11" t="str">
        <f aca="false">IF(AO113=0,"",IF(AX113="FT",IF(AU113&lt;FT_First,0,IF(AU113&lt;FT_Y5,1+INT((AU113-FT_First)/FT_Int1),FT_PreY5+FT_PerYear*INT((AU113-FT_Y5)/12)+FT_AnnivDays+INT(MOD(AU113-FT_Y5,12)/FT_Int2))),IF(AX113="PT",IF(AU113&lt;PT_First,0,1+INT((AU113-PT_First)/PT_Int)),0)))</f>
        <v/>
      </c>
      <c r="BD113" s="11" t="str">
        <f aca="false">IF(AO113=0,"",IF(AX113="FT",IF(AQ113&lt;FT_First,0,IF(AQ113&lt;FT_Y5,1+INT((AQ113-FT_First)/FT_Int1),FT_PreY5+FT_PerYear*INT((AQ113-FT_Y5)/12)+FT_AnnivDays+INT(MOD(AQ113-FT_Y5,12)/FT_Int2))),IF(AX113="PT",IF(AQ113&lt;PT_First,0,1+INT((AQ113-PT_First)/PT_Int)),0)))</f>
        <v/>
      </c>
      <c r="BE113" s="11" t="str">
        <f aca="false">IF(AO113=0,"",IF(AY113="FT",IF(AQ113&lt;FT_First,FT_First,IF(AQ113&lt;FT_Y5,MIN(FT_Y5,FT_First+FT_Int1*(INT((AQ113-FT_First)/FT_Int1)+1)),FT_Y5+12*INT((AQ113-FT_Y5)/12)+FT_Int2*(INT(MOD(AQ113-FT_Y5,12)/FT_Int2)+1))),IF(AY113="PT",IF(AQ113&lt;PT_First,PT_First,PT_First+PT_Int*(INT((AQ113-PT_First)/PT_Int)+1)),"")))</f>
        <v/>
      </c>
      <c r="BF113" s="11" t="n">
        <f aca="false">IF(AO113=0,0,IF(AND($Q113&lt;&gt;"",$Q113&lt;=AsOfDate),1,0))</f>
        <v>0</v>
      </c>
      <c r="BG113" s="11" t="str">
        <f aca="false">IF(AND(AO113=1,BF113=0,EH_Ready,N(AB113)&gt;0,N(AI113)=0),COUNT($BG$5:BG112)+1,"")</f>
        <v/>
      </c>
      <c r="BH113" s="11" t="str">
        <f aca="false">IF(AND(AO113=1,BF113=0,EH_Ready,N(AB113)&gt;0,N(AI113)&gt;0,N(AK113)&gt;0),COUNT($BH$5:BH112)+1,"")</f>
        <v/>
      </c>
      <c r="BI113" s="11" t="str">
        <f aca="false">IF(AND(AO113=1,OR(LEFT(AM113,3)="ADD",LEFT(AM113,3)="SET",LEFT(AM113,5)="CHECK",LEFT(AM113,10)="TERMINATED")),COUNT($BI$5:BI112)+1,"")</f>
        <v/>
      </c>
      <c r="BJ113" s="11" t="str">
        <f aca="false">IF(AO113=0,"",$A113&amp;" - "&amp;$B113&amp;" "&amp;$C113)</f>
        <v/>
      </c>
    </row>
    <row r="114" customFormat="false" ht="15" hidden="false" customHeight="false" outlineLevel="0" collapsed="false">
      <c r="A114" s="10"/>
      <c r="B114" s="10"/>
      <c r="C114" s="10"/>
      <c r="D114" s="10"/>
      <c r="E114" s="9"/>
      <c r="F114" s="10"/>
      <c r="G114" s="30"/>
      <c r="H114" s="9"/>
      <c r="I114" s="10"/>
      <c r="J114" s="30"/>
      <c r="K114" s="9"/>
      <c r="L114" s="10"/>
      <c r="M114" s="30"/>
      <c r="N114" s="9"/>
      <c r="O114" s="9"/>
      <c r="P114" s="30"/>
      <c r="Q114" s="9"/>
      <c r="R114" s="10"/>
      <c r="S114" s="11" t="str">
        <f aca="false">IF(AO114=0,"",IF($H114="","",$F114&amp;" -&gt; "&amp;$I114&amp;IF($I114="Part-Time"," ("&amp;N($J114)&amp;" hrs)","")&amp;" on "&amp;TEXT($H114,"dd/mm/yyyy")&amp;IF($H114&gt;AsOfDate," (FUTURE)","")&amp;IF($K114="","","; "&amp;$I114&amp;" -&gt; "&amp;$L114&amp;IF($L114="Part-Time"," ("&amp;N($M114)&amp;" hrs)","")&amp;" on "&amp;TEXT($K114,"dd/mm/yyyy")&amp;IF($K114&gt;AsOfDate," (FUTURE)",""))))</f>
        <v/>
      </c>
      <c r="T114" s="11" t="str">
        <f aca="false">IF(AO114=0,"",IF(AS114&lt;&gt;"",$L114,IF(AR114&lt;&gt;"",$I114,$F114)))</f>
        <v/>
      </c>
      <c r="U114" s="26" t="str">
        <f aca="false">IF(AO114=0,"",IF(AS114&lt;&gt;"",$M114,IF(AR114&lt;&gt;"",$J114,$G114)))</f>
        <v/>
      </c>
      <c r="V114" s="11" t="str">
        <f aca="false">IF(AO114=0,"",IF(AY114="FT","Full-Time",IF(AY114="PT","Part-Time","Not eligible")))</f>
        <v/>
      </c>
      <c r="W114" s="27" t="str">
        <f aca="false">IF(AO114=0,"",IF(AR114="",IF(AND($H114&lt;&gt;"",$H114&gt;AsOfDate),"Future change - not yet applied",""),IF(AND(AV114=AY114,OR(AS114="",AW114=AV114)),"Type changed - same accrual pathway",IF(AY114="None","STOPPED accruing from "&amp;TEXT(IF(AS114&lt;&gt;"",AS114,AR114),"dd/mm/yyyy"),IF(AV114="None","STARTED qualifying from "&amp;TEXT(IF(AS114&lt;&gt;"",AS114,AR114),"dd/mm/yyyy"),"Pathway changed "&amp;AV114&amp;" -&gt; "&amp;AW114&amp;IF(AS114&lt;&gt;""," -&gt; "&amp;AX114,"")&amp;" from "&amp;TEXT(IF(AS114&lt;&gt;"",AS114,AR114),"dd/mm/yyyy"))))))</f>
        <v/>
      </c>
      <c r="X114" s="28" t="str">
        <f aca="false">IF(AO114=0,"",IF($Q114="",AsOfDate,MIN(AsOfDate,$Q114)))</f>
        <v/>
      </c>
      <c r="Y114" s="26" t="str">
        <f aca="false">IF(AO114=0,"",MAX(0,AQ114))</f>
        <v/>
      </c>
      <c r="Z114" s="11" t="str">
        <f aca="false">IF(AO114=0,"",IF(AQ114&lt;0,"Not started",INT(AQ114/12)&amp;"y "&amp;MOD(AQ114,12)&amp;"m"))</f>
        <v/>
      </c>
      <c r="AA114" s="27" t="str">
        <f aca="false">IF(AO114=0,"",IF(BF114=1,"Terminated - balance forfeited",IF(AY114="None",IF(AB114&gt;0,"No longer accruing - "&amp;T114,"Not eligible - "&amp;T114&amp;IF(AND(IFERROR(VLOOKUP(T114,TypeTable,2,0),"None")="PT",N(U114)&lt;PT_MinHours)," (under "&amp;PT_MinHours&amp;" hrs)","")),IF(AB114&gt;0,"Yes - accruing","Not yet - qualifies "&amp;TEXT(AD114,"dd/mm/yyyy")))))</f>
        <v/>
      </c>
      <c r="AB114" s="26" t="str">
        <f aca="false">IF(AO114=0,"",AZ114+IF(AR114="",0,BB114-BA114)+IF(AS114="",0,BD114-BC114))</f>
        <v/>
      </c>
      <c r="AC114" s="26" t="str">
        <f aca="false">IF(AO114=0,"",AB114*HoursPerDay)</f>
        <v/>
      </c>
      <c r="AD114" s="28" t="str">
        <f aca="false">IF(AO114=0,"",IF(OR(BF114=1,AY114="None"),"",EDATE($E114+AP114,BE114)))</f>
        <v/>
      </c>
      <c r="AE114" s="26" t="str">
        <f aca="false">IF(AD114="","",IF(AY114="PT",1,IF(BE114&lt;FT_Y5,1,IF(MOD(BE114-FT_Y5,12)=0,FT_AnnivDays,1))))</f>
        <v/>
      </c>
      <c r="AF114" s="27" t="str">
        <f aca="false">IF(AO114=0,"",IF(NOT(EH_Ready),"Map headers",IF(IF(MatchMode="Employee ID",COUNTIFS(INDEX(EH_Data,0,EH_ColID),$A114,INDEX(EH_Data,0,EH_ColCat),BonusCat),COUNTIFS(INDEX(EH_Data,0,EH_ColFirst),$B114,INDEX(EH_Data,0,EH_ColSur),$C114,INDEX(EH_Data,0,EH_ColCat),BonusCat))&gt;0,"Yes","No")))</f>
        <v/>
      </c>
      <c r="AG114" s="26" t="str">
        <f aca="false">IF(AO114=0,"",IF(NOT(EH_Ready),"",IF(MatchMode="Employee ID",SUMIFS(INDEX(EH_Data,0,EH_ColBal),INDEX(EH_Data,0,EH_ColID),$A114,INDEX(EH_Data,0,EH_ColCat),BonusCat),SUMIFS(INDEX(EH_Data,0,EH_ColBal),INDEX(EH_Data,0,EH_ColFirst),$B114,INDEX(EH_Data,0,EH_ColSur),$C114,INDEX(EH_Data,0,EH_ColCat),BonusCat))/IF(EHUnit="Hours",HoursPerDay,1)))</f>
        <v/>
      </c>
      <c r="AH114" s="26" t="str">
        <f aca="false">IF(AO114=0,"",IF(NOT(TK_Ready),0,IF(MatchMode="Employee ID",SUMIFS(INDEX(TK_Data,0,TK_ColAmt),INDEX(TK_Data,0,TK_ColID),$A114,INDEX(TK_Data,0,TK_ColCat),BonusCat),SUMIFS(INDEX(TK_Data,0,TK_ColAmt),INDEX(TK_Data,0,TK_ColFirst),$B114,INDEX(TK_Data,0,TK_ColSur),$C114,INDEX(TK_Data,0,TK_ColCat),BonusCat))/IF(TKUnit="Hours",HoursPerDay,1)))</f>
        <v/>
      </c>
      <c r="AI114" s="26" t="str">
        <f aca="false">IF(AO114=0,"",N(AG114)+N(AH114))</f>
        <v/>
      </c>
      <c r="AJ114" s="29" t="str">
        <f aca="false">IF(AO114=0,"",IF(NOT(AND(EH_Ready,EH_ValReady)),"",IF(MatchMode="Employee ID",SUMIFS(INDEX(EH_Data,0,EH_ColVal),INDEX(EH_Data,0,EH_ColID),$A114,INDEX(EH_Data,0,EH_ColCat),BonusCat),SUMIFS(INDEX(EH_Data,0,EH_ColVal),INDEX(EH_Data,0,EH_ColFirst),$B114,INDEX(EH_Data,0,EH_ColSur),$C114,INDEX(EH_Data,0,EH_ColCat),BonusCat))))</f>
        <v/>
      </c>
      <c r="AK114" s="26" t="str">
        <f aca="false">IF(AO114=0,"",IF(OR(NOT(EH_Ready),BF114=1),"",AB114-AI114))</f>
        <v/>
      </c>
      <c r="AL114" s="26" t="str">
        <f aca="false">IF(AK114="","",AK114*HoursPerDay)</f>
        <v/>
      </c>
      <c r="AM114" s="27" t="str">
        <f aca="false">IF(AO114=0,"",IF(BF114=1,IF(N(AG114)&gt;0,"TERMINATED - forfeit "&amp;TEXT(AG114,"0.##")&amp;" days still in EH","Terminated - nothing in EH"),IF(NOT(EH_Ready),"Paste EH export and map headers on Settings",IF(AND(AB114&gt;0,AF114="No"),"SET UP in EH - add "&amp;TEXT(AB114,"0.##")&amp;" day(s) ("&amp;TEXT(AC114,"0.##")&amp;" hrs)",IF(AK114&gt;0,"ADD "&amp;TEXT(AK114,"0.##")&amp;" day(s) ("&amp;TEXT(AL114,"0.##")&amp;" hrs) in EH",IF(AK114&lt;0,"CHECK - EH shows "&amp;TEXT(-AK114,"0.##")&amp;" days more than policy",IF(AB114&gt;0,"OK - up to date",IF(AY114="None","No action - not eligible","No action - not yet qualified"))))))))</f>
        <v/>
      </c>
      <c r="AN114" s="27" t="str">
        <f aca="false">IF(AO114=0,"",TRIM(IF(AND($K114&lt;&gt;"",$H114=""),"Change 2 entered without Change 1. ","")&amp;IF(AND($K114&lt;&gt;"",$H114&lt;&gt;"",$K114&lt;=$H114),"Change 2 date not after Change 1. ","")&amp;IF(AND($N114&lt;&gt;"",$O114&lt;&gt;"",$O114&lt;$N114),"Leave To is before Leave From. ","")&amp;IF(AND($N114&lt;&gt;"",$O114=""),"Leave From entered without Leave To. ","")&amp;IF(AND(IFERROR(VLOOKUP(T114,TypeTable,2,0),"None")="PT",U114=""),"Part-time with no hours entered. ","")&amp;IF(AND($H114&lt;&gt;"",$H114&gt;AsOfDate,AD114&lt;&gt;"",$H114&lt;=AD114),"Status change lands before next accrual - review. ","")&amp;IF(AND($Q114&lt;&gt;"",$Q114&lt;$E114),"Termination before commencement. ","")))</f>
        <v/>
      </c>
      <c r="AO114" s="11" t="n">
        <f aca="false">IF(LEN($A114&amp;$B114&amp;$C114)=0,0,IF($E114="",0,1))</f>
        <v>0</v>
      </c>
      <c r="AP114" s="11" t="str">
        <f aca="false">IF(AO114=0,"",(IF(OR($N114="",$O114=""),0,MAX(0,MIN(X114,$O114)-MAX($N114,$E114)+1))+N($P114)))</f>
        <v/>
      </c>
      <c r="AQ114" s="11" t="str">
        <f aca="false">IF(AO114=0,"",IF(X114&lt;($E114+(IF(OR($N114="",$O114=""),0,MAX(0,MIN(X114,$O114)-MAX($N114,$E114)+1))+N($P114))),-1,12*(YEAR(X114)-YEAR(($E114+(IF(OR($N114="",$O114=""),0,MAX(0,MIN(X114,$O114)-MAX($N114,$E114)+1))+N($P114)))))+MONTH(X114)-MONTH(($E114+(IF(OR($N114="",$O114=""),0,MAX(0,MIN(X114,$O114)-MAX($N114,$E114)+1))+N($P114))))-IF(DAY(X114)&lt;MIN(DAY(($E114+(IF(OR($N114="",$O114=""),0,MAX(0,MIN(X114,$O114)-MAX($N114,$E114)+1))+N($P114)))),DAY(EOMONTH(X114,0))),1,0)))</f>
        <v/>
      </c>
      <c r="AR114" s="28" t="str">
        <f aca="false">IF(AO114=0,"",IF($H114="","",IF($H114&gt;X114,"",$H114)))</f>
        <v/>
      </c>
      <c r="AS114" s="28" t="str">
        <f aca="false">IF(AO114=0,"",IF(AR114="","",IF($K114="","",IF($K114&gt;X114,"",$K114))))</f>
        <v/>
      </c>
      <c r="AT114" s="11" t="str">
        <f aca="false">IF(AO114=0,"",IF(AR114="",AQ114,IF((AR114-1)&lt;($E114+(IF(OR($N114="",$O114=""),0,MAX(0,MIN((AR114-1),$O114)-MAX($N114,$E114)+1))+N($P114))),-1,12*(YEAR((AR114-1))-YEAR(($E114+(IF(OR($N114="",$O114=""),0,MAX(0,MIN((AR114-1),$O114)-MAX($N114,$E114)+1))+N($P114)))))+MONTH((AR114-1))-MONTH(($E114+(IF(OR($N114="",$O114=""),0,MAX(0,MIN((AR114-1),$O114)-MAX($N114,$E114)+1))+N($P114))))-IF(DAY((AR114-1))&lt;MIN(DAY(($E114+(IF(OR($N114="",$O114=""),0,MAX(0,MIN((AR114-1),$O114)-MAX($N114,$E114)+1))+N($P114)))),DAY(EOMONTH((AR114-1),0))),1,0))))</f>
        <v/>
      </c>
      <c r="AU114" s="11" t="str">
        <f aca="false">IF(AO114=0,"",IF(AS114="",AQ114,IF((AS114-1)&lt;($E114+(IF(OR($N114="",$O114=""),0,MAX(0,MIN((AS114-1),$O114)-MAX($N114,$E114)+1))+N($P114))),-1,12*(YEAR((AS114-1))-YEAR(($E114+(IF(OR($N114="",$O114=""),0,MAX(0,MIN((AS114-1),$O114)-MAX($N114,$E114)+1))+N($P114)))))+MONTH((AS114-1))-MONTH(($E114+(IF(OR($N114="",$O114=""),0,MAX(0,MIN((AS114-1),$O114)-MAX($N114,$E114)+1))+N($P114))))-IF(DAY((AS114-1))&lt;MIN(DAY(($E114+(IF(OR($N114="",$O114=""),0,MAX(0,MIN((AS114-1),$O114)-MAX($N114,$E114)+1))+N($P114)))),DAY(EOMONTH((AS114-1),0))),1,0))))</f>
        <v/>
      </c>
      <c r="AV114" s="11" t="str">
        <f aca="false">IF(AO114=0,"",IF($F114="","None",IF(IFERROR(VLOOKUP($F114,TypeTable,2,0),"None")="PT",IF(N($G114)&gt;=PT_MinHours,"PT","None"),IFERROR(VLOOKUP($F114,TypeTable,2,0),"None"))))</f>
        <v/>
      </c>
      <c r="AW114" s="11" t="str">
        <f aca="false">IF(AO114=0,"",IF($I114="","None",IF(IFERROR(VLOOKUP($I114,TypeTable,2,0),"None")="PT",IF(N($J114)&gt;=PT_MinHours,"PT","None"),IFERROR(VLOOKUP($I114,TypeTable,2,0),"None"))))</f>
        <v/>
      </c>
      <c r="AX114" s="11" t="str">
        <f aca="false">IF(AO114=0,"",IF($L114="","None",IF(IFERROR(VLOOKUP($L114,TypeTable,2,0),"None")="PT",IF(N($M114)&gt;=PT_MinHours,"PT","None"),IFERROR(VLOOKUP($L114,TypeTable,2,0),"None"))))</f>
        <v/>
      </c>
      <c r="AY114" s="11" t="str">
        <f aca="false">IF(AO114=0,"",IF(AS114&lt;&gt;"",AX114,IF(AR114&lt;&gt;"",AW114,AV114)))</f>
        <v/>
      </c>
      <c r="AZ114" s="11" t="str">
        <f aca="false">IF(AO114=0,"",IF(AV114="FT",IF(AT114&lt;FT_First,0,IF(AT114&lt;FT_Y5,1+INT((AT114-FT_First)/FT_Int1),FT_PreY5+FT_PerYear*INT((AT114-FT_Y5)/12)+FT_AnnivDays+INT(MOD(AT114-FT_Y5,12)/FT_Int2))),IF(AV114="PT",IF(AT114&lt;PT_First,0,1+INT((AT114-PT_First)/PT_Int)),0)))</f>
        <v/>
      </c>
      <c r="BA114" s="11" t="str">
        <f aca="false">IF(AO114=0,"",IF(AW114="FT",IF(AT114&lt;FT_First,0,IF(AT114&lt;FT_Y5,1+INT((AT114-FT_First)/FT_Int1),FT_PreY5+FT_PerYear*INT((AT114-FT_Y5)/12)+FT_AnnivDays+INT(MOD(AT114-FT_Y5,12)/FT_Int2))),IF(AW114="PT",IF(AT114&lt;PT_First,0,1+INT((AT114-PT_First)/PT_Int)),0)))</f>
        <v/>
      </c>
      <c r="BB114" s="11" t="str">
        <f aca="false">IF(AO114=0,"",IF(AW114="FT",IF(AU114&lt;FT_First,0,IF(AU114&lt;FT_Y5,1+INT((AU114-FT_First)/FT_Int1),FT_PreY5+FT_PerYear*INT((AU114-FT_Y5)/12)+FT_AnnivDays+INT(MOD(AU114-FT_Y5,12)/FT_Int2))),IF(AW114="PT",IF(AU114&lt;PT_First,0,1+INT((AU114-PT_First)/PT_Int)),0)))</f>
        <v/>
      </c>
      <c r="BC114" s="11" t="str">
        <f aca="false">IF(AO114=0,"",IF(AX114="FT",IF(AU114&lt;FT_First,0,IF(AU114&lt;FT_Y5,1+INT((AU114-FT_First)/FT_Int1),FT_PreY5+FT_PerYear*INT((AU114-FT_Y5)/12)+FT_AnnivDays+INT(MOD(AU114-FT_Y5,12)/FT_Int2))),IF(AX114="PT",IF(AU114&lt;PT_First,0,1+INT((AU114-PT_First)/PT_Int)),0)))</f>
        <v/>
      </c>
      <c r="BD114" s="11" t="str">
        <f aca="false">IF(AO114=0,"",IF(AX114="FT",IF(AQ114&lt;FT_First,0,IF(AQ114&lt;FT_Y5,1+INT((AQ114-FT_First)/FT_Int1),FT_PreY5+FT_PerYear*INT((AQ114-FT_Y5)/12)+FT_AnnivDays+INT(MOD(AQ114-FT_Y5,12)/FT_Int2))),IF(AX114="PT",IF(AQ114&lt;PT_First,0,1+INT((AQ114-PT_First)/PT_Int)),0)))</f>
        <v/>
      </c>
      <c r="BE114" s="11" t="str">
        <f aca="false">IF(AO114=0,"",IF(AY114="FT",IF(AQ114&lt;FT_First,FT_First,IF(AQ114&lt;FT_Y5,MIN(FT_Y5,FT_First+FT_Int1*(INT((AQ114-FT_First)/FT_Int1)+1)),FT_Y5+12*INT((AQ114-FT_Y5)/12)+FT_Int2*(INT(MOD(AQ114-FT_Y5,12)/FT_Int2)+1))),IF(AY114="PT",IF(AQ114&lt;PT_First,PT_First,PT_First+PT_Int*(INT((AQ114-PT_First)/PT_Int)+1)),"")))</f>
        <v/>
      </c>
      <c r="BF114" s="11" t="n">
        <f aca="false">IF(AO114=0,0,IF(AND($Q114&lt;&gt;"",$Q114&lt;=AsOfDate),1,0))</f>
        <v>0</v>
      </c>
      <c r="BG114" s="11" t="str">
        <f aca="false">IF(AND(AO114=1,BF114=0,EH_Ready,N(AB114)&gt;0,N(AI114)=0),COUNT($BG$5:BG113)+1,"")</f>
        <v/>
      </c>
      <c r="BH114" s="11" t="str">
        <f aca="false">IF(AND(AO114=1,BF114=0,EH_Ready,N(AB114)&gt;0,N(AI114)&gt;0,N(AK114)&gt;0),COUNT($BH$5:BH113)+1,"")</f>
        <v/>
      </c>
      <c r="BI114" s="11" t="str">
        <f aca="false">IF(AND(AO114=1,OR(LEFT(AM114,3)="ADD",LEFT(AM114,3)="SET",LEFT(AM114,5)="CHECK",LEFT(AM114,10)="TERMINATED")),COUNT($BI$5:BI113)+1,"")</f>
        <v/>
      </c>
      <c r="BJ114" s="11" t="str">
        <f aca="false">IF(AO114=0,"",$A114&amp;" - "&amp;$B114&amp;" "&amp;$C114)</f>
        <v/>
      </c>
    </row>
    <row r="115" customFormat="false" ht="15" hidden="false" customHeight="false" outlineLevel="0" collapsed="false">
      <c r="A115" s="10"/>
      <c r="B115" s="10"/>
      <c r="C115" s="10"/>
      <c r="D115" s="10"/>
      <c r="E115" s="9"/>
      <c r="F115" s="10"/>
      <c r="G115" s="30"/>
      <c r="H115" s="9"/>
      <c r="I115" s="10"/>
      <c r="J115" s="30"/>
      <c r="K115" s="9"/>
      <c r="L115" s="10"/>
      <c r="M115" s="30"/>
      <c r="N115" s="9"/>
      <c r="O115" s="9"/>
      <c r="P115" s="30"/>
      <c r="Q115" s="9"/>
      <c r="R115" s="10"/>
      <c r="S115" s="11" t="str">
        <f aca="false">IF(AO115=0,"",IF($H115="","",$F115&amp;" -&gt; "&amp;$I115&amp;IF($I115="Part-Time"," ("&amp;N($J115)&amp;" hrs)","")&amp;" on "&amp;TEXT($H115,"dd/mm/yyyy")&amp;IF($H115&gt;AsOfDate," (FUTURE)","")&amp;IF($K115="","","; "&amp;$I115&amp;" -&gt; "&amp;$L115&amp;IF($L115="Part-Time"," ("&amp;N($M115)&amp;" hrs)","")&amp;" on "&amp;TEXT($K115,"dd/mm/yyyy")&amp;IF($K115&gt;AsOfDate," (FUTURE)",""))))</f>
        <v/>
      </c>
      <c r="T115" s="11" t="str">
        <f aca="false">IF(AO115=0,"",IF(AS115&lt;&gt;"",$L115,IF(AR115&lt;&gt;"",$I115,$F115)))</f>
        <v/>
      </c>
      <c r="U115" s="26" t="str">
        <f aca="false">IF(AO115=0,"",IF(AS115&lt;&gt;"",$M115,IF(AR115&lt;&gt;"",$J115,$G115)))</f>
        <v/>
      </c>
      <c r="V115" s="11" t="str">
        <f aca="false">IF(AO115=0,"",IF(AY115="FT","Full-Time",IF(AY115="PT","Part-Time","Not eligible")))</f>
        <v/>
      </c>
      <c r="W115" s="27" t="str">
        <f aca="false">IF(AO115=0,"",IF(AR115="",IF(AND($H115&lt;&gt;"",$H115&gt;AsOfDate),"Future change - not yet applied",""),IF(AND(AV115=AY115,OR(AS115="",AW115=AV115)),"Type changed - same accrual pathway",IF(AY115="None","STOPPED accruing from "&amp;TEXT(IF(AS115&lt;&gt;"",AS115,AR115),"dd/mm/yyyy"),IF(AV115="None","STARTED qualifying from "&amp;TEXT(IF(AS115&lt;&gt;"",AS115,AR115),"dd/mm/yyyy"),"Pathway changed "&amp;AV115&amp;" -&gt; "&amp;AW115&amp;IF(AS115&lt;&gt;""," -&gt; "&amp;AX115,"")&amp;" from "&amp;TEXT(IF(AS115&lt;&gt;"",AS115,AR115),"dd/mm/yyyy"))))))</f>
        <v/>
      </c>
      <c r="X115" s="28" t="str">
        <f aca="false">IF(AO115=0,"",IF($Q115="",AsOfDate,MIN(AsOfDate,$Q115)))</f>
        <v/>
      </c>
      <c r="Y115" s="26" t="str">
        <f aca="false">IF(AO115=0,"",MAX(0,AQ115))</f>
        <v/>
      </c>
      <c r="Z115" s="11" t="str">
        <f aca="false">IF(AO115=0,"",IF(AQ115&lt;0,"Not started",INT(AQ115/12)&amp;"y "&amp;MOD(AQ115,12)&amp;"m"))</f>
        <v/>
      </c>
      <c r="AA115" s="27" t="str">
        <f aca="false">IF(AO115=0,"",IF(BF115=1,"Terminated - balance forfeited",IF(AY115="None",IF(AB115&gt;0,"No longer accruing - "&amp;T115,"Not eligible - "&amp;T115&amp;IF(AND(IFERROR(VLOOKUP(T115,TypeTable,2,0),"None")="PT",N(U115)&lt;PT_MinHours)," (under "&amp;PT_MinHours&amp;" hrs)","")),IF(AB115&gt;0,"Yes - accruing","Not yet - qualifies "&amp;TEXT(AD115,"dd/mm/yyyy")))))</f>
        <v/>
      </c>
      <c r="AB115" s="26" t="str">
        <f aca="false">IF(AO115=0,"",AZ115+IF(AR115="",0,BB115-BA115)+IF(AS115="",0,BD115-BC115))</f>
        <v/>
      </c>
      <c r="AC115" s="26" t="str">
        <f aca="false">IF(AO115=0,"",AB115*HoursPerDay)</f>
        <v/>
      </c>
      <c r="AD115" s="28" t="str">
        <f aca="false">IF(AO115=0,"",IF(OR(BF115=1,AY115="None"),"",EDATE($E115+AP115,BE115)))</f>
        <v/>
      </c>
      <c r="AE115" s="26" t="str">
        <f aca="false">IF(AD115="","",IF(AY115="PT",1,IF(BE115&lt;FT_Y5,1,IF(MOD(BE115-FT_Y5,12)=0,FT_AnnivDays,1))))</f>
        <v/>
      </c>
      <c r="AF115" s="27" t="str">
        <f aca="false">IF(AO115=0,"",IF(NOT(EH_Ready),"Map headers",IF(IF(MatchMode="Employee ID",COUNTIFS(INDEX(EH_Data,0,EH_ColID),$A115,INDEX(EH_Data,0,EH_ColCat),BonusCat),COUNTIFS(INDEX(EH_Data,0,EH_ColFirst),$B115,INDEX(EH_Data,0,EH_ColSur),$C115,INDEX(EH_Data,0,EH_ColCat),BonusCat))&gt;0,"Yes","No")))</f>
        <v/>
      </c>
      <c r="AG115" s="26" t="str">
        <f aca="false">IF(AO115=0,"",IF(NOT(EH_Ready),"",IF(MatchMode="Employee ID",SUMIFS(INDEX(EH_Data,0,EH_ColBal),INDEX(EH_Data,0,EH_ColID),$A115,INDEX(EH_Data,0,EH_ColCat),BonusCat),SUMIFS(INDEX(EH_Data,0,EH_ColBal),INDEX(EH_Data,0,EH_ColFirst),$B115,INDEX(EH_Data,0,EH_ColSur),$C115,INDEX(EH_Data,0,EH_ColCat),BonusCat))/IF(EHUnit="Hours",HoursPerDay,1)))</f>
        <v/>
      </c>
      <c r="AH115" s="26" t="str">
        <f aca="false">IF(AO115=0,"",IF(NOT(TK_Ready),0,IF(MatchMode="Employee ID",SUMIFS(INDEX(TK_Data,0,TK_ColAmt),INDEX(TK_Data,0,TK_ColID),$A115,INDEX(TK_Data,0,TK_ColCat),BonusCat),SUMIFS(INDEX(TK_Data,0,TK_ColAmt),INDEX(TK_Data,0,TK_ColFirst),$B115,INDEX(TK_Data,0,TK_ColSur),$C115,INDEX(TK_Data,0,TK_ColCat),BonusCat))/IF(TKUnit="Hours",HoursPerDay,1)))</f>
        <v/>
      </c>
      <c r="AI115" s="26" t="str">
        <f aca="false">IF(AO115=0,"",N(AG115)+N(AH115))</f>
        <v/>
      </c>
      <c r="AJ115" s="29" t="str">
        <f aca="false">IF(AO115=0,"",IF(NOT(AND(EH_Ready,EH_ValReady)),"",IF(MatchMode="Employee ID",SUMIFS(INDEX(EH_Data,0,EH_ColVal),INDEX(EH_Data,0,EH_ColID),$A115,INDEX(EH_Data,0,EH_ColCat),BonusCat),SUMIFS(INDEX(EH_Data,0,EH_ColVal),INDEX(EH_Data,0,EH_ColFirst),$B115,INDEX(EH_Data,0,EH_ColSur),$C115,INDEX(EH_Data,0,EH_ColCat),BonusCat))))</f>
        <v/>
      </c>
      <c r="AK115" s="26" t="str">
        <f aca="false">IF(AO115=0,"",IF(OR(NOT(EH_Ready),BF115=1),"",AB115-AI115))</f>
        <v/>
      </c>
      <c r="AL115" s="26" t="str">
        <f aca="false">IF(AK115="","",AK115*HoursPerDay)</f>
        <v/>
      </c>
      <c r="AM115" s="27" t="str">
        <f aca="false">IF(AO115=0,"",IF(BF115=1,IF(N(AG115)&gt;0,"TERMINATED - forfeit "&amp;TEXT(AG115,"0.##")&amp;" days still in EH","Terminated - nothing in EH"),IF(NOT(EH_Ready),"Paste EH export and map headers on Settings",IF(AND(AB115&gt;0,AF115="No"),"SET UP in EH - add "&amp;TEXT(AB115,"0.##")&amp;" day(s) ("&amp;TEXT(AC115,"0.##")&amp;" hrs)",IF(AK115&gt;0,"ADD "&amp;TEXT(AK115,"0.##")&amp;" day(s) ("&amp;TEXT(AL115,"0.##")&amp;" hrs) in EH",IF(AK115&lt;0,"CHECK - EH shows "&amp;TEXT(-AK115,"0.##")&amp;" days more than policy",IF(AB115&gt;0,"OK - up to date",IF(AY115="None","No action - not eligible","No action - not yet qualified"))))))))</f>
        <v/>
      </c>
      <c r="AN115" s="27" t="str">
        <f aca="false">IF(AO115=0,"",TRIM(IF(AND($K115&lt;&gt;"",$H115=""),"Change 2 entered without Change 1. ","")&amp;IF(AND($K115&lt;&gt;"",$H115&lt;&gt;"",$K115&lt;=$H115),"Change 2 date not after Change 1. ","")&amp;IF(AND($N115&lt;&gt;"",$O115&lt;&gt;"",$O115&lt;$N115),"Leave To is before Leave From. ","")&amp;IF(AND($N115&lt;&gt;"",$O115=""),"Leave From entered without Leave To. ","")&amp;IF(AND(IFERROR(VLOOKUP(T115,TypeTable,2,0),"None")="PT",U115=""),"Part-time with no hours entered. ","")&amp;IF(AND($H115&lt;&gt;"",$H115&gt;AsOfDate,AD115&lt;&gt;"",$H115&lt;=AD115),"Status change lands before next accrual - review. ","")&amp;IF(AND($Q115&lt;&gt;"",$Q115&lt;$E115),"Termination before commencement. ","")))</f>
        <v/>
      </c>
      <c r="AO115" s="11" t="n">
        <f aca="false">IF(LEN($A115&amp;$B115&amp;$C115)=0,0,IF($E115="",0,1))</f>
        <v>0</v>
      </c>
      <c r="AP115" s="11" t="str">
        <f aca="false">IF(AO115=0,"",(IF(OR($N115="",$O115=""),0,MAX(0,MIN(X115,$O115)-MAX($N115,$E115)+1))+N($P115)))</f>
        <v/>
      </c>
      <c r="AQ115" s="11" t="str">
        <f aca="false">IF(AO115=0,"",IF(X115&lt;($E115+(IF(OR($N115="",$O115=""),0,MAX(0,MIN(X115,$O115)-MAX($N115,$E115)+1))+N($P115))),-1,12*(YEAR(X115)-YEAR(($E115+(IF(OR($N115="",$O115=""),0,MAX(0,MIN(X115,$O115)-MAX($N115,$E115)+1))+N($P115)))))+MONTH(X115)-MONTH(($E115+(IF(OR($N115="",$O115=""),0,MAX(0,MIN(X115,$O115)-MAX($N115,$E115)+1))+N($P115))))-IF(DAY(X115)&lt;MIN(DAY(($E115+(IF(OR($N115="",$O115=""),0,MAX(0,MIN(X115,$O115)-MAX($N115,$E115)+1))+N($P115)))),DAY(EOMONTH(X115,0))),1,0)))</f>
        <v/>
      </c>
      <c r="AR115" s="28" t="str">
        <f aca="false">IF(AO115=0,"",IF($H115="","",IF($H115&gt;X115,"",$H115)))</f>
        <v/>
      </c>
      <c r="AS115" s="28" t="str">
        <f aca="false">IF(AO115=0,"",IF(AR115="","",IF($K115="","",IF($K115&gt;X115,"",$K115))))</f>
        <v/>
      </c>
      <c r="AT115" s="11" t="str">
        <f aca="false">IF(AO115=0,"",IF(AR115="",AQ115,IF((AR115-1)&lt;($E115+(IF(OR($N115="",$O115=""),0,MAX(0,MIN((AR115-1),$O115)-MAX($N115,$E115)+1))+N($P115))),-1,12*(YEAR((AR115-1))-YEAR(($E115+(IF(OR($N115="",$O115=""),0,MAX(0,MIN((AR115-1),$O115)-MAX($N115,$E115)+1))+N($P115)))))+MONTH((AR115-1))-MONTH(($E115+(IF(OR($N115="",$O115=""),0,MAX(0,MIN((AR115-1),$O115)-MAX($N115,$E115)+1))+N($P115))))-IF(DAY((AR115-1))&lt;MIN(DAY(($E115+(IF(OR($N115="",$O115=""),0,MAX(0,MIN((AR115-1),$O115)-MAX($N115,$E115)+1))+N($P115)))),DAY(EOMONTH((AR115-1),0))),1,0))))</f>
        <v/>
      </c>
      <c r="AU115" s="11" t="str">
        <f aca="false">IF(AO115=0,"",IF(AS115="",AQ115,IF((AS115-1)&lt;($E115+(IF(OR($N115="",$O115=""),0,MAX(0,MIN((AS115-1),$O115)-MAX($N115,$E115)+1))+N($P115))),-1,12*(YEAR((AS115-1))-YEAR(($E115+(IF(OR($N115="",$O115=""),0,MAX(0,MIN((AS115-1),$O115)-MAX($N115,$E115)+1))+N($P115)))))+MONTH((AS115-1))-MONTH(($E115+(IF(OR($N115="",$O115=""),0,MAX(0,MIN((AS115-1),$O115)-MAX($N115,$E115)+1))+N($P115))))-IF(DAY((AS115-1))&lt;MIN(DAY(($E115+(IF(OR($N115="",$O115=""),0,MAX(0,MIN((AS115-1),$O115)-MAX($N115,$E115)+1))+N($P115)))),DAY(EOMONTH((AS115-1),0))),1,0))))</f>
        <v/>
      </c>
      <c r="AV115" s="11" t="str">
        <f aca="false">IF(AO115=0,"",IF($F115="","None",IF(IFERROR(VLOOKUP($F115,TypeTable,2,0),"None")="PT",IF(N($G115)&gt;=PT_MinHours,"PT","None"),IFERROR(VLOOKUP($F115,TypeTable,2,0),"None"))))</f>
        <v/>
      </c>
      <c r="AW115" s="11" t="str">
        <f aca="false">IF(AO115=0,"",IF($I115="","None",IF(IFERROR(VLOOKUP($I115,TypeTable,2,0),"None")="PT",IF(N($J115)&gt;=PT_MinHours,"PT","None"),IFERROR(VLOOKUP($I115,TypeTable,2,0),"None"))))</f>
        <v/>
      </c>
      <c r="AX115" s="11" t="str">
        <f aca="false">IF(AO115=0,"",IF($L115="","None",IF(IFERROR(VLOOKUP($L115,TypeTable,2,0),"None")="PT",IF(N($M115)&gt;=PT_MinHours,"PT","None"),IFERROR(VLOOKUP($L115,TypeTable,2,0),"None"))))</f>
        <v/>
      </c>
      <c r="AY115" s="11" t="str">
        <f aca="false">IF(AO115=0,"",IF(AS115&lt;&gt;"",AX115,IF(AR115&lt;&gt;"",AW115,AV115)))</f>
        <v/>
      </c>
      <c r="AZ115" s="11" t="str">
        <f aca="false">IF(AO115=0,"",IF(AV115="FT",IF(AT115&lt;FT_First,0,IF(AT115&lt;FT_Y5,1+INT((AT115-FT_First)/FT_Int1),FT_PreY5+FT_PerYear*INT((AT115-FT_Y5)/12)+FT_AnnivDays+INT(MOD(AT115-FT_Y5,12)/FT_Int2))),IF(AV115="PT",IF(AT115&lt;PT_First,0,1+INT((AT115-PT_First)/PT_Int)),0)))</f>
        <v/>
      </c>
      <c r="BA115" s="11" t="str">
        <f aca="false">IF(AO115=0,"",IF(AW115="FT",IF(AT115&lt;FT_First,0,IF(AT115&lt;FT_Y5,1+INT((AT115-FT_First)/FT_Int1),FT_PreY5+FT_PerYear*INT((AT115-FT_Y5)/12)+FT_AnnivDays+INT(MOD(AT115-FT_Y5,12)/FT_Int2))),IF(AW115="PT",IF(AT115&lt;PT_First,0,1+INT((AT115-PT_First)/PT_Int)),0)))</f>
        <v/>
      </c>
      <c r="BB115" s="11" t="str">
        <f aca="false">IF(AO115=0,"",IF(AW115="FT",IF(AU115&lt;FT_First,0,IF(AU115&lt;FT_Y5,1+INT((AU115-FT_First)/FT_Int1),FT_PreY5+FT_PerYear*INT((AU115-FT_Y5)/12)+FT_AnnivDays+INT(MOD(AU115-FT_Y5,12)/FT_Int2))),IF(AW115="PT",IF(AU115&lt;PT_First,0,1+INT((AU115-PT_First)/PT_Int)),0)))</f>
        <v/>
      </c>
      <c r="BC115" s="11" t="str">
        <f aca="false">IF(AO115=0,"",IF(AX115="FT",IF(AU115&lt;FT_First,0,IF(AU115&lt;FT_Y5,1+INT((AU115-FT_First)/FT_Int1),FT_PreY5+FT_PerYear*INT((AU115-FT_Y5)/12)+FT_AnnivDays+INT(MOD(AU115-FT_Y5,12)/FT_Int2))),IF(AX115="PT",IF(AU115&lt;PT_First,0,1+INT((AU115-PT_First)/PT_Int)),0)))</f>
        <v/>
      </c>
      <c r="BD115" s="11" t="str">
        <f aca="false">IF(AO115=0,"",IF(AX115="FT",IF(AQ115&lt;FT_First,0,IF(AQ115&lt;FT_Y5,1+INT((AQ115-FT_First)/FT_Int1),FT_PreY5+FT_PerYear*INT((AQ115-FT_Y5)/12)+FT_AnnivDays+INT(MOD(AQ115-FT_Y5,12)/FT_Int2))),IF(AX115="PT",IF(AQ115&lt;PT_First,0,1+INT((AQ115-PT_First)/PT_Int)),0)))</f>
        <v/>
      </c>
      <c r="BE115" s="11" t="str">
        <f aca="false">IF(AO115=0,"",IF(AY115="FT",IF(AQ115&lt;FT_First,FT_First,IF(AQ115&lt;FT_Y5,MIN(FT_Y5,FT_First+FT_Int1*(INT((AQ115-FT_First)/FT_Int1)+1)),FT_Y5+12*INT((AQ115-FT_Y5)/12)+FT_Int2*(INT(MOD(AQ115-FT_Y5,12)/FT_Int2)+1))),IF(AY115="PT",IF(AQ115&lt;PT_First,PT_First,PT_First+PT_Int*(INT((AQ115-PT_First)/PT_Int)+1)),"")))</f>
        <v/>
      </c>
      <c r="BF115" s="11" t="n">
        <f aca="false">IF(AO115=0,0,IF(AND($Q115&lt;&gt;"",$Q115&lt;=AsOfDate),1,0))</f>
        <v>0</v>
      </c>
      <c r="BG115" s="11" t="str">
        <f aca="false">IF(AND(AO115=1,BF115=0,EH_Ready,N(AB115)&gt;0,N(AI115)=0),COUNT($BG$5:BG114)+1,"")</f>
        <v/>
      </c>
      <c r="BH115" s="11" t="str">
        <f aca="false">IF(AND(AO115=1,BF115=0,EH_Ready,N(AB115)&gt;0,N(AI115)&gt;0,N(AK115)&gt;0),COUNT($BH$5:BH114)+1,"")</f>
        <v/>
      </c>
      <c r="BI115" s="11" t="str">
        <f aca="false">IF(AND(AO115=1,OR(LEFT(AM115,3)="ADD",LEFT(AM115,3)="SET",LEFT(AM115,5)="CHECK",LEFT(AM115,10)="TERMINATED")),COUNT($BI$5:BI114)+1,"")</f>
        <v/>
      </c>
      <c r="BJ115" s="11" t="str">
        <f aca="false">IF(AO115=0,"",$A115&amp;" - "&amp;$B115&amp;" "&amp;$C115)</f>
        <v/>
      </c>
    </row>
    <row r="116" customFormat="false" ht="15" hidden="false" customHeight="false" outlineLevel="0" collapsed="false">
      <c r="A116" s="10"/>
      <c r="B116" s="10"/>
      <c r="C116" s="10"/>
      <c r="D116" s="10"/>
      <c r="E116" s="9"/>
      <c r="F116" s="10"/>
      <c r="G116" s="30"/>
      <c r="H116" s="9"/>
      <c r="I116" s="10"/>
      <c r="J116" s="30"/>
      <c r="K116" s="9"/>
      <c r="L116" s="10"/>
      <c r="M116" s="30"/>
      <c r="N116" s="9"/>
      <c r="O116" s="9"/>
      <c r="P116" s="30"/>
      <c r="Q116" s="9"/>
      <c r="R116" s="10"/>
      <c r="S116" s="11" t="str">
        <f aca="false">IF(AO116=0,"",IF($H116="","",$F116&amp;" -&gt; "&amp;$I116&amp;IF($I116="Part-Time"," ("&amp;N($J116)&amp;" hrs)","")&amp;" on "&amp;TEXT($H116,"dd/mm/yyyy")&amp;IF($H116&gt;AsOfDate," (FUTURE)","")&amp;IF($K116="","","; "&amp;$I116&amp;" -&gt; "&amp;$L116&amp;IF($L116="Part-Time"," ("&amp;N($M116)&amp;" hrs)","")&amp;" on "&amp;TEXT($K116,"dd/mm/yyyy")&amp;IF($K116&gt;AsOfDate," (FUTURE)",""))))</f>
        <v/>
      </c>
      <c r="T116" s="11" t="str">
        <f aca="false">IF(AO116=0,"",IF(AS116&lt;&gt;"",$L116,IF(AR116&lt;&gt;"",$I116,$F116)))</f>
        <v/>
      </c>
      <c r="U116" s="26" t="str">
        <f aca="false">IF(AO116=0,"",IF(AS116&lt;&gt;"",$M116,IF(AR116&lt;&gt;"",$J116,$G116)))</f>
        <v/>
      </c>
      <c r="V116" s="11" t="str">
        <f aca="false">IF(AO116=0,"",IF(AY116="FT","Full-Time",IF(AY116="PT","Part-Time","Not eligible")))</f>
        <v/>
      </c>
      <c r="W116" s="27" t="str">
        <f aca="false">IF(AO116=0,"",IF(AR116="",IF(AND($H116&lt;&gt;"",$H116&gt;AsOfDate),"Future change - not yet applied",""),IF(AND(AV116=AY116,OR(AS116="",AW116=AV116)),"Type changed - same accrual pathway",IF(AY116="None","STOPPED accruing from "&amp;TEXT(IF(AS116&lt;&gt;"",AS116,AR116),"dd/mm/yyyy"),IF(AV116="None","STARTED qualifying from "&amp;TEXT(IF(AS116&lt;&gt;"",AS116,AR116),"dd/mm/yyyy"),"Pathway changed "&amp;AV116&amp;" -&gt; "&amp;AW116&amp;IF(AS116&lt;&gt;""," -&gt; "&amp;AX116,"")&amp;" from "&amp;TEXT(IF(AS116&lt;&gt;"",AS116,AR116),"dd/mm/yyyy"))))))</f>
        <v/>
      </c>
      <c r="X116" s="28" t="str">
        <f aca="false">IF(AO116=0,"",IF($Q116="",AsOfDate,MIN(AsOfDate,$Q116)))</f>
        <v/>
      </c>
      <c r="Y116" s="26" t="str">
        <f aca="false">IF(AO116=0,"",MAX(0,AQ116))</f>
        <v/>
      </c>
      <c r="Z116" s="11" t="str">
        <f aca="false">IF(AO116=0,"",IF(AQ116&lt;0,"Not started",INT(AQ116/12)&amp;"y "&amp;MOD(AQ116,12)&amp;"m"))</f>
        <v/>
      </c>
      <c r="AA116" s="27" t="str">
        <f aca="false">IF(AO116=0,"",IF(BF116=1,"Terminated - balance forfeited",IF(AY116="None",IF(AB116&gt;0,"No longer accruing - "&amp;T116,"Not eligible - "&amp;T116&amp;IF(AND(IFERROR(VLOOKUP(T116,TypeTable,2,0),"None")="PT",N(U116)&lt;PT_MinHours)," (under "&amp;PT_MinHours&amp;" hrs)","")),IF(AB116&gt;0,"Yes - accruing","Not yet - qualifies "&amp;TEXT(AD116,"dd/mm/yyyy")))))</f>
        <v/>
      </c>
      <c r="AB116" s="26" t="str">
        <f aca="false">IF(AO116=0,"",AZ116+IF(AR116="",0,BB116-BA116)+IF(AS116="",0,BD116-BC116))</f>
        <v/>
      </c>
      <c r="AC116" s="26" t="str">
        <f aca="false">IF(AO116=0,"",AB116*HoursPerDay)</f>
        <v/>
      </c>
      <c r="AD116" s="28" t="str">
        <f aca="false">IF(AO116=0,"",IF(OR(BF116=1,AY116="None"),"",EDATE($E116+AP116,BE116)))</f>
        <v/>
      </c>
      <c r="AE116" s="26" t="str">
        <f aca="false">IF(AD116="","",IF(AY116="PT",1,IF(BE116&lt;FT_Y5,1,IF(MOD(BE116-FT_Y5,12)=0,FT_AnnivDays,1))))</f>
        <v/>
      </c>
      <c r="AF116" s="27" t="str">
        <f aca="false">IF(AO116=0,"",IF(NOT(EH_Ready),"Map headers",IF(IF(MatchMode="Employee ID",COUNTIFS(INDEX(EH_Data,0,EH_ColID),$A116,INDEX(EH_Data,0,EH_ColCat),BonusCat),COUNTIFS(INDEX(EH_Data,0,EH_ColFirst),$B116,INDEX(EH_Data,0,EH_ColSur),$C116,INDEX(EH_Data,0,EH_ColCat),BonusCat))&gt;0,"Yes","No")))</f>
        <v/>
      </c>
      <c r="AG116" s="26" t="str">
        <f aca="false">IF(AO116=0,"",IF(NOT(EH_Ready),"",IF(MatchMode="Employee ID",SUMIFS(INDEX(EH_Data,0,EH_ColBal),INDEX(EH_Data,0,EH_ColID),$A116,INDEX(EH_Data,0,EH_ColCat),BonusCat),SUMIFS(INDEX(EH_Data,0,EH_ColBal),INDEX(EH_Data,0,EH_ColFirst),$B116,INDEX(EH_Data,0,EH_ColSur),$C116,INDEX(EH_Data,0,EH_ColCat),BonusCat))/IF(EHUnit="Hours",HoursPerDay,1)))</f>
        <v/>
      </c>
      <c r="AH116" s="26" t="str">
        <f aca="false">IF(AO116=0,"",IF(NOT(TK_Ready),0,IF(MatchMode="Employee ID",SUMIFS(INDEX(TK_Data,0,TK_ColAmt),INDEX(TK_Data,0,TK_ColID),$A116,INDEX(TK_Data,0,TK_ColCat),BonusCat),SUMIFS(INDEX(TK_Data,0,TK_ColAmt),INDEX(TK_Data,0,TK_ColFirst),$B116,INDEX(TK_Data,0,TK_ColSur),$C116,INDEX(TK_Data,0,TK_ColCat),BonusCat))/IF(TKUnit="Hours",HoursPerDay,1)))</f>
        <v/>
      </c>
      <c r="AI116" s="26" t="str">
        <f aca="false">IF(AO116=0,"",N(AG116)+N(AH116))</f>
        <v/>
      </c>
      <c r="AJ116" s="29" t="str">
        <f aca="false">IF(AO116=0,"",IF(NOT(AND(EH_Ready,EH_ValReady)),"",IF(MatchMode="Employee ID",SUMIFS(INDEX(EH_Data,0,EH_ColVal),INDEX(EH_Data,0,EH_ColID),$A116,INDEX(EH_Data,0,EH_ColCat),BonusCat),SUMIFS(INDEX(EH_Data,0,EH_ColVal),INDEX(EH_Data,0,EH_ColFirst),$B116,INDEX(EH_Data,0,EH_ColSur),$C116,INDEX(EH_Data,0,EH_ColCat),BonusCat))))</f>
        <v/>
      </c>
      <c r="AK116" s="26" t="str">
        <f aca="false">IF(AO116=0,"",IF(OR(NOT(EH_Ready),BF116=1),"",AB116-AI116))</f>
        <v/>
      </c>
      <c r="AL116" s="26" t="str">
        <f aca="false">IF(AK116="","",AK116*HoursPerDay)</f>
        <v/>
      </c>
      <c r="AM116" s="27" t="str">
        <f aca="false">IF(AO116=0,"",IF(BF116=1,IF(N(AG116)&gt;0,"TERMINATED - forfeit "&amp;TEXT(AG116,"0.##")&amp;" days still in EH","Terminated - nothing in EH"),IF(NOT(EH_Ready),"Paste EH export and map headers on Settings",IF(AND(AB116&gt;0,AF116="No"),"SET UP in EH - add "&amp;TEXT(AB116,"0.##")&amp;" day(s) ("&amp;TEXT(AC116,"0.##")&amp;" hrs)",IF(AK116&gt;0,"ADD "&amp;TEXT(AK116,"0.##")&amp;" day(s) ("&amp;TEXT(AL116,"0.##")&amp;" hrs) in EH",IF(AK116&lt;0,"CHECK - EH shows "&amp;TEXT(-AK116,"0.##")&amp;" days more than policy",IF(AB116&gt;0,"OK - up to date",IF(AY116="None","No action - not eligible","No action - not yet qualified"))))))))</f>
        <v/>
      </c>
      <c r="AN116" s="27" t="str">
        <f aca="false">IF(AO116=0,"",TRIM(IF(AND($K116&lt;&gt;"",$H116=""),"Change 2 entered without Change 1. ","")&amp;IF(AND($K116&lt;&gt;"",$H116&lt;&gt;"",$K116&lt;=$H116),"Change 2 date not after Change 1. ","")&amp;IF(AND($N116&lt;&gt;"",$O116&lt;&gt;"",$O116&lt;$N116),"Leave To is before Leave From. ","")&amp;IF(AND($N116&lt;&gt;"",$O116=""),"Leave From entered without Leave To. ","")&amp;IF(AND(IFERROR(VLOOKUP(T116,TypeTable,2,0),"None")="PT",U116=""),"Part-time with no hours entered. ","")&amp;IF(AND($H116&lt;&gt;"",$H116&gt;AsOfDate,AD116&lt;&gt;"",$H116&lt;=AD116),"Status change lands before next accrual - review. ","")&amp;IF(AND($Q116&lt;&gt;"",$Q116&lt;$E116),"Termination before commencement. ","")))</f>
        <v/>
      </c>
      <c r="AO116" s="11" t="n">
        <f aca="false">IF(LEN($A116&amp;$B116&amp;$C116)=0,0,IF($E116="",0,1))</f>
        <v>0</v>
      </c>
      <c r="AP116" s="11" t="str">
        <f aca="false">IF(AO116=0,"",(IF(OR($N116="",$O116=""),0,MAX(0,MIN(X116,$O116)-MAX($N116,$E116)+1))+N($P116)))</f>
        <v/>
      </c>
      <c r="AQ116" s="11" t="str">
        <f aca="false">IF(AO116=0,"",IF(X116&lt;($E116+(IF(OR($N116="",$O116=""),0,MAX(0,MIN(X116,$O116)-MAX($N116,$E116)+1))+N($P116))),-1,12*(YEAR(X116)-YEAR(($E116+(IF(OR($N116="",$O116=""),0,MAX(0,MIN(X116,$O116)-MAX($N116,$E116)+1))+N($P116)))))+MONTH(X116)-MONTH(($E116+(IF(OR($N116="",$O116=""),0,MAX(0,MIN(X116,$O116)-MAX($N116,$E116)+1))+N($P116))))-IF(DAY(X116)&lt;MIN(DAY(($E116+(IF(OR($N116="",$O116=""),0,MAX(0,MIN(X116,$O116)-MAX($N116,$E116)+1))+N($P116)))),DAY(EOMONTH(X116,0))),1,0)))</f>
        <v/>
      </c>
      <c r="AR116" s="28" t="str">
        <f aca="false">IF(AO116=0,"",IF($H116="","",IF($H116&gt;X116,"",$H116)))</f>
        <v/>
      </c>
      <c r="AS116" s="28" t="str">
        <f aca="false">IF(AO116=0,"",IF(AR116="","",IF($K116="","",IF($K116&gt;X116,"",$K116))))</f>
        <v/>
      </c>
      <c r="AT116" s="11" t="str">
        <f aca="false">IF(AO116=0,"",IF(AR116="",AQ116,IF((AR116-1)&lt;($E116+(IF(OR($N116="",$O116=""),0,MAX(0,MIN((AR116-1),$O116)-MAX($N116,$E116)+1))+N($P116))),-1,12*(YEAR((AR116-1))-YEAR(($E116+(IF(OR($N116="",$O116=""),0,MAX(0,MIN((AR116-1),$O116)-MAX($N116,$E116)+1))+N($P116)))))+MONTH((AR116-1))-MONTH(($E116+(IF(OR($N116="",$O116=""),0,MAX(0,MIN((AR116-1),$O116)-MAX($N116,$E116)+1))+N($P116))))-IF(DAY((AR116-1))&lt;MIN(DAY(($E116+(IF(OR($N116="",$O116=""),0,MAX(0,MIN((AR116-1),$O116)-MAX($N116,$E116)+1))+N($P116)))),DAY(EOMONTH((AR116-1),0))),1,0))))</f>
        <v/>
      </c>
      <c r="AU116" s="11" t="str">
        <f aca="false">IF(AO116=0,"",IF(AS116="",AQ116,IF((AS116-1)&lt;($E116+(IF(OR($N116="",$O116=""),0,MAX(0,MIN((AS116-1),$O116)-MAX($N116,$E116)+1))+N($P116))),-1,12*(YEAR((AS116-1))-YEAR(($E116+(IF(OR($N116="",$O116=""),0,MAX(0,MIN((AS116-1),$O116)-MAX($N116,$E116)+1))+N($P116)))))+MONTH((AS116-1))-MONTH(($E116+(IF(OR($N116="",$O116=""),0,MAX(0,MIN((AS116-1),$O116)-MAX($N116,$E116)+1))+N($P116))))-IF(DAY((AS116-1))&lt;MIN(DAY(($E116+(IF(OR($N116="",$O116=""),0,MAX(0,MIN((AS116-1),$O116)-MAX($N116,$E116)+1))+N($P116)))),DAY(EOMONTH((AS116-1),0))),1,0))))</f>
        <v/>
      </c>
      <c r="AV116" s="11" t="str">
        <f aca="false">IF(AO116=0,"",IF($F116="","None",IF(IFERROR(VLOOKUP($F116,TypeTable,2,0),"None")="PT",IF(N($G116)&gt;=PT_MinHours,"PT","None"),IFERROR(VLOOKUP($F116,TypeTable,2,0),"None"))))</f>
        <v/>
      </c>
      <c r="AW116" s="11" t="str">
        <f aca="false">IF(AO116=0,"",IF($I116="","None",IF(IFERROR(VLOOKUP($I116,TypeTable,2,0),"None")="PT",IF(N($J116)&gt;=PT_MinHours,"PT","None"),IFERROR(VLOOKUP($I116,TypeTable,2,0),"None"))))</f>
        <v/>
      </c>
      <c r="AX116" s="11" t="str">
        <f aca="false">IF(AO116=0,"",IF($L116="","None",IF(IFERROR(VLOOKUP($L116,TypeTable,2,0),"None")="PT",IF(N($M116)&gt;=PT_MinHours,"PT","None"),IFERROR(VLOOKUP($L116,TypeTable,2,0),"None"))))</f>
        <v/>
      </c>
      <c r="AY116" s="11" t="str">
        <f aca="false">IF(AO116=0,"",IF(AS116&lt;&gt;"",AX116,IF(AR116&lt;&gt;"",AW116,AV116)))</f>
        <v/>
      </c>
      <c r="AZ116" s="11" t="str">
        <f aca="false">IF(AO116=0,"",IF(AV116="FT",IF(AT116&lt;FT_First,0,IF(AT116&lt;FT_Y5,1+INT((AT116-FT_First)/FT_Int1),FT_PreY5+FT_PerYear*INT((AT116-FT_Y5)/12)+FT_AnnivDays+INT(MOD(AT116-FT_Y5,12)/FT_Int2))),IF(AV116="PT",IF(AT116&lt;PT_First,0,1+INT((AT116-PT_First)/PT_Int)),0)))</f>
        <v/>
      </c>
      <c r="BA116" s="11" t="str">
        <f aca="false">IF(AO116=0,"",IF(AW116="FT",IF(AT116&lt;FT_First,0,IF(AT116&lt;FT_Y5,1+INT((AT116-FT_First)/FT_Int1),FT_PreY5+FT_PerYear*INT((AT116-FT_Y5)/12)+FT_AnnivDays+INT(MOD(AT116-FT_Y5,12)/FT_Int2))),IF(AW116="PT",IF(AT116&lt;PT_First,0,1+INT((AT116-PT_First)/PT_Int)),0)))</f>
        <v/>
      </c>
      <c r="BB116" s="11" t="str">
        <f aca="false">IF(AO116=0,"",IF(AW116="FT",IF(AU116&lt;FT_First,0,IF(AU116&lt;FT_Y5,1+INT((AU116-FT_First)/FT_Int1),FT_PreY5+FT_PerYear*INT((AU116-FT_Y5)/12)+FT_AnnivDays+INT(MOD(AU116-FT_Y5,12)/FT_Int2))),IF(AW116="PT",IF(AU116&lt;PT_First,0,1+INT((AU116-PT_First)/PT_Int)),0)))</f>
        <v/>
      </c>
      <c r="BC116" s="11" t="str">
        <f aca="false">IF(AO116=0,"",IF(AX116="FT",IF(AU116&lt;FT_First,0,IF(AU116&lt;FT_Y5,1+INT((AU116-FT_First)/FT_Int1),FT_PreY5+FT_PerYear*INT((AU116-FT_Y5)/12)+FT_AnnivDays+INT(MOD(AU116-FT_Y5,12)/FT_Int2))),IF(AX116="PT",IF(AU116&lt;PT_First,0,1+INT((AU116-PT_First)/PT_Int)),0)))</f>
        <v/>
      </c>
      <c r="BD116" s="11" t="str">
        <f aca="false">IF(AO116=0,"",IF(AX116="FT",IF(AQ116&lt;FT_First,0,IF(AQ116&lt;FT_Y5,1+INT((AQ116-FT_First)/FT_Int1),FT_PreY5+FT_PerYear*INT((AQ116-FT_Y5)/12)+FT_AnnivDays+INT(MOD(AQ116-FT_Y5,12)/FT_Int2))),IF(AX116="PT",IF(AQ116&lt;PT_First,0,1+INT((AQ116-PT_First)/PT_Int)),0)))</f>
        <v/>
      </c>
      <c r="BE116" s="11" t="str">
        <f aca="false">IF(AO116=0,"",IF(AY116="FT",IF(AQ116&lt;FT_First,FT_First,IF(AQ116&lt;FT_Y5,MIN(FT_Y5,FT_First+FT_Int1*(INT((AQ116-FT_First)/FT_Int1)+1)),FT_Y5+12*INT((AQ116-FT_Y5)/12)+FT_Int2*(INT(MOD(AQ116-FT_Y5,12)/FT_Int2)+1))),IF(AY116="PT",IF(AQ116&lt;PT_First,PT_First,PT_First+PT_Int*(INT((AQ116-PT_First)/PT_Int)+1)),"")))</f>
        <v/>
      </c>
      <c r="BF116" s="11" t="n">
        <f aca="false">IF(AO116=0,0,IF(AND($Q116&lt;&gt;"",$Q116&lt;=AsOfDate),1,0))</f>
        <v>0</v>
      </c>
      <c r="BG116" s="11" t="str">
        <f aca="false">IF(AND(AO116=1,BF116=0,EH_Ready,N(AB116)&gt;0,N(AI116)=0),COUNT($BG$5:BG115)+1,"")</f>
        <v/>
      </c>
      <c r="BH116" s="11" t="str">
        <f aca="false">IF(AND(AO116=1,BF116=0,EH_Ready,N(AB116)&gt;0,N(AI116)&gt;0,N(AK116)&gt;0),COUNT($BH$5:BH115)+1,"")</f>
        <v/>
      </c>
      <c r="BI116" s="11" t="str">
        <f aca="false">IF(AND(AO116=1,OR(LEFT(AM116,3)="ADD",LEFT(AM116,3)="SET",LEFT(AM116,5)="CHECK",LEFT(AM116,10)="TERMINATED")),COUNT($BI$5:BI115)+1,"")</f>
        <v/>
      </c>
      <c r="BJ116" s="11" t="str">
        <f aca="false">IF(AO116=0,"",$A116&amp;" - "&amp;$B116&amp;" "&amp;$C116)</f>
        <v/>
      </c>
    </row>
    <row r="117" customFormat="false" ht="15" hidden="false" customHeight="false" outlineLevel="0" collapsed="false">
      <c r="A117" s="10"/>
      <c r="B117" s="10"/>
      <c r="C117" s="10"/>
      <c r="D117" s="10"/>
      <c r="E117" s="9"/>
      <c r="F117" s="10"/>
      <c r="G117" s="30"/>
      <c r="H117" s="9"/>
      <c r="I117" s="10"/>
      <c r="J117" s="30"/>
      <c r="K117" s="9"/>
      <c r="L117" s="10"/>
      <c r="M117" s="30"/>
      <c r="N117" s="9"/>
      <c r="O117" s="9"/>
      <c r="P117" s="30"/>
      <c r="Q117" s="9"/>
      <c r="R117" s="10"/>
      <c r="S117" s="11" t="str">
        <f aca="false">IF(AO117=0,"",IF($H117="","",$F117&amp;" -&gt; "&amp;$I117&amp;IF($I117="Part-Time"," ("&amp;N($J117)&amp;" hrs)","")&amp;" on "&amp;TEXT($H117,"dd/mm/yyyy")&amp;IF($H117&gt;AsOfDate," (FUTURE)","")&amp;IF($K117="","","; "&amp;$I117&amp;" -&gt; "&amp;$L117&amp;IF($L117="Part-Time"," ("&amp;N($M117)&amp;" hrs)","")&amp;" on "&amp;TEXT($K117,"dd/mm/yyyy")&amp;IF($K117&gt;AsOfDate," (FUTURE)",""))))</f>
        <v/>
      </c>
      <c r="T117" s="11" t="str">
        <f aca="false">IF(AO117=0,"",IF(AS117&lt;&gt;"",$L117,IF(AR117&lt;&gt;"",$I117,$F117)))</f>
        <v/>
      </c>
      <c r="U117" s="26" t="str">
        <f aca="false">IF(AO117=0,"",IF(AS117&lt;&gt;"",$M117,IF(AR117&lt;&gt;"",$J117,$G117)))</f>
        <v/>
      </c>
      <c r="V117" s="11" t="str">
        <f aca="false">IF(AO117=0,"",IF(AY117="FT","Full-Time",IF(AY117="PT","Part-Time","Not eligible")))</f>
        <v/>
      </c>
      <c r="W117" s="27" t="str">
        <f aca="false">IF(AO117=0,"",IF(AR117="",IF(AND($H117&lt;&gt;"",$H117&gt;AsOfDate),"Future change - not yet applied",""),IF(AND(AV117=AY117,OR(AS117="",AW117=AV117)),"Type changed - same accrual pathway",IF(AY117="None","STOPPED accruing from "&amp;TEXT(IF(AS117&lt;&gt;"",AS117,AR117),"dd/mm/yyyy"),IF(AV117="None","STARTED qualifying from "&amp;TEXT(IF(AS117&lt;&gt;"",AS117,AR117),"dd/mm/yyyy"),"Pathway changed "&amp;AV117&amp;" -&gt; "&amp;AW117&amp;IF(AS117&lt;&gt;""," -&gt; "&amp;AX117,"")&amp;" from "&amp;TEXT(IF(AS117&lt;&gt;"",AS117,AR117),"dd/mm/yyyy"))))))</f>
        <v/>
      </c>
      <c r="X117" s="28" t="str">
        <f aca="false">IF(AO117=0,"",IF($Q117="",AsOfDate,MIN(AsOfDate,$Q117)))</f>
        <v/>
      </c>
      <c r="Y117" s="26" t="str">
        <f aca="false">IF(AO117=0,"",MAX(0,AQ117))</f>
        <v/>
      </c>
      <c r="Z117" s="11" t="str">
        <f aca="false">IF(AO117=0,"",IF(AQ117&lt;0,"Not started",INT(AQ117/12)&amp;"y "&amp;MOD(AQ117,12)&amp;"m"))</f>
        <v/>
      </c>
      <c r="AA117" s="27" t="str">
        <f aca="false">IF(AO117=0,"",IF(BF117=1,"Terminated - balance forfeited",IF(AY117="None",IF(AB117&gt;0,"No longer accruing - "&amp;T117,"Not eligible - "&amp;T117&amp;IF(AND(IFERROR(VLOOKUP(T117,TypeTable,2,0),"None")="PT",N(U117)&lt;PT_MinHours)," (under "&amp;PT_MinHours&amp;" hrs)","")),IF(AB117&gt;0,"Yes - accruing","Not yet - qualifies "&amp;TEXT(AD117,"dd/mm/yyyy")))))</f>
        <v/>
      </c>
      <c r="AB117" s="26" t="str">
        <f aca="false">IF(AO117=0,"",AZ117+IF(AR117="",0,BB117-BA117)+IF(AS117="",0,BD117-BC117))</f>
        <v/>
      </c>
      <c r="AC117" s="26" t="str">
        <f aca="false">IF(AO117=0,"",AB117*HoursPerDay)</f>
        <v/>
      </c>
      <c r="AD117" s="28" t="str">
        <f aca="false">IF(AO117=0,"",IF(OR(BF117=1,AY117="None"),"",EDATE($E117+AP117,BE117)))</f>
        <v/>
      </c>
      <c r="AE117" s="26" t="str">
        <f aca="false">IF(AD117="","",IF(AY117="PT",1,IF(BE117&lt;FT_Y5,1,IF(MOD(BE117-FT_Y5,12)=0,FT_AnnivDays,1))))</f>
        <v/>
      </c>
      <c r="AF117" s="27" t="str">
        <f aca="false">IF(AO117=0,"",IF(NOT(EH_Ready),"Map headers",IF(IF(MatchMode="Employee ID",COUNTIFS(INDEX(EH_Data,0,EH_ColID),$A117,INDEX(EH_Data,0,EH_ColCat),BonusCat),COUNTIFS(INDEX(EH_Data,0,EH_ColFirst),$B117,INDEX(EH_Data,0,EH_ColSur),$C117,INDEX(EH_Data,0,EH_ColCat),BonusCat))&gt;0,"Yes","No")))</f>
        <v/>
      </c>
      <c r="AG117" s="26" t="str">
        <f aca="false">IF(AO117=0,"",IF(NOT(EH_Ready),"",IF(MatchMode="Employee ID",SUMIFS(INDEX(EH_Data,0,EH_ColBal),INDEX(EH_Data,0,EH_ColID),$A117,INDEX(EH_Data,0,EH_ColCat),BonusCat),SUMIFS(INDEX(EH_Data,0,EH_ColBal),INDEX(EH_Data,0,EH_ColFirst),$B117,INDEX(EH_Data,0,EH_ColSur),$C117,INDEX(EH_Data,0,EH_ColCat),BonusCat))/IF(EHUnit="Hours",HoursPerDay,1)))</f>
        <v/>
      </c>
      <c r="AH117" s="26" t="str">
        <f aca="false">IF(AO117=0,"",IF(NOT(TK_Ready),0,IF(MatchMode="Employee ID",SUMIFS(INDEX(TK_Data,0,TK_ColAmt),INDEX(TK_Data,0,TK_ColID),$A117,INDEX(TK_Data,0,TK_ColCat),BonusCat),SUMIFS(INDEX(TK_Data,0,TK_ColAmt),INDEX(TK_Data,0,TK_ColFirst),$B117,INDEX(TK_Data,0,TK_ColSur),$C117,INDEX(TK_Data,0,TK_ColCat),BonusCat))/IF(TKUnit="Hours",HoursPerDay,1)))</f>
        <v/>
      </c>
      <c r="AI117" s="26" t="str">
        <f aca="false">IF(AO117=0,"",N(AG117)+N(AH117))</f>
        <v/>
      </c>
      <c r="AJ117" s="29" t="str">
        <f aca="false">IF(AO117=0,"",IF(NOT(AND(EH_Ready,EH_ValReady)),"",IF(MatchMode="Employee ID",SUMIFS(INDEX(EH_Data,0,EH_ColVal),INDEX(EH_Data,0,EH_ColID),$A117,INDEX(EH_Data,0,EH_ColCat),BonusCat),SUMIFS(INDEX(EH_Data,0,EH_ColVal),INDEX(EH_Data,0,EH_ColFirst),$B117,INDEX(EH_Data,0,EH_ColSur),$C117,INDEX(EH_Data,0,EH_ColCat),BonusCat))))</f>
        <v/>
      </c>
      <c r="AK117" s="26" t="str">
        <f aca="false">IF(AO117=0,"",IF(OR(NOT(EH_Ready),BF117=1),"",AB117-AI117))</f>
        <v/>
      </c>
      <c r="AL117" s="26" t="str">
        <f aca="false">IF(AK117="","",AK117*HoursPerDay)</f>
        <v/>
      </c>
      <c r="AM117" s="27" t="str">
        <f aca="false">IF(AO117=0,"",IF(BF117=1,IF(N(AG117)&gt;0,"TERMINATED - forfeit "&amp;TEXT(AG117,"0.##")&amp;" days still in EH","Terminated - nothing in EH"),IF(NOT(EH_Ready),"Paste EH export and map headers on Settings",IF(AND(AB117&gt;0,AF117="No"),"SET UP in EH - add "&amp;TEXT(AB117,"0.##")&amp;" day(s) ("&amp;TEXT(AC117,"0.##")&amp;" hrs)",IF(AK117&gt;0,"ADD "&amp;TEXT(AK117,"0.##")&amp;" day(s) ("&amp;TEXT(AL117,"0.##")&amp;" hrs) in EH",IF(AK117&lt;0,"CHECK - EH shows "&amp;TEXT(-AK117,"0.##")&amp;" days more than policy",IF(AB117&gt;0,"OK - up to date",IF(AY117="None","No action - not eligible","No action - not yet qualified"))))))))</f>
        <v/>
      </c>
      <c r="AN117" s="27" t="str">
        <f aca="false">IF(AO117=0,"",TRIM(IF(AND($K117&lt;&gt;"",$H117=""),"Change 2 entered without Change 1. ","")&amp;IF(AND($K117&lt;&gt;"",$H117&lt;&gt;"",$K117&lt;=$H117),"Change 2 date not after Change 1. ","")&amp;IF(AND($N117&lt;&gt;"",$O117&lt;&gt;"",$O117&lt;$N117),"Leave To is before Leave From. ","")&amp;IF(AND($N117&lt;&gt;"",$O117=""),"Leave From entered without Leave To. ","")&amp;IF(AND(IFERROR(VLOOKUP(T117,TypeTable,2,0),"None")="PT",U117=""),"Part-time with no hours entered. ","")&amp;IF(AND($H117&lt;&gt;"",$H117&gt;AsOfDate,AD117&lt;&gt;"",$H117&lt;=AD117),"Status change lands before next accrual - review. ","")&amp;IF(AND($Q117&lt;&gt;"",$Q117&lt;$E117),"Termination before commencement. ","")))</f>
        <v/>
      </c>
      <c r="AO117" s="11" t="n">
        <f aca="false">IF(LEN($A117&amp;$B117&amp;$C117)=0,0,IF($E117="",0,1))</f>
        <v>0</v>
      </c>
      <c r="AP117" s="11" t="str">
        <f aca="false">IF(AO117=0,"",(IF(OR($N117="",$O117=""),0,MAX(0,MIN(X117,$O117)-MAX($N117,$E117)+1))+N($P117)))</f>
        <v/>
      </c>
      <c r="AQ117" s="11" t="str">
        <f aca="false">IF(AO117=0,"",IF(X117&lt;($E117+(IF(OR($N117="",$O117=""),0,MAX(0,MIN(X117,$O117)-MAX($N117,$E117)+1))+N($P117))),-1,12*(YEAR(X117)-YEAR(($E117+(IF(OR($N117="",$O117=""),0,MAX(0,MIN(X117,$O117)-MAX($N117,$E117)+1))+N($P117)))))+MONTH(X117)-MONTH(($E117+(IF(OR($N117="",$O117=""),0,MAX(0,MIN(X117,$O117)-MAX($N117,$E117)+1))+N($P117))))-IF(DAY(X117)&lt;MIN(DAY(($E117+(IF(OR($N117="",$O117=""),0,MAX(0,MIN(X117,$O117)-MAX($N117,$E117)+1))+N($P117)))),DAY(EOMONTH(X117,0))),1,0)))</f>
        <v/>
      </c>
      <c r="AR117" s="28" t="str">
        <f aca="false">IF(AO117=0,"",IF($H117="","",IF($H117&gt;X117,"",$H117)))</f>
        <v/>
      </c>
      <c r="AS117" s="28" t="str">
        <f aca="false">IF(AO117=0,"",IF(AR117="","",IF($K117="","",IF($K117&gt;X117,"",$K117))))</f>
        <v/>
      </c>
      <c r="AT117" s="11" t="str">
        <f aca="false">IF(AO117=0,"",IF(AR117="",AQ117,IF((AR117-1)&lt;($E117+(IF(OR($N117="",$O117=""),0,MAX(0,MIN((AR117-1),$O117)-MAX($N117,$E117)+1))+N($P117))),-1,12*(YEAR((AR117-1))-YEAR(($E117+(IF(OR($N117="",$O117=""),0,MAX(0,MIN((AR117-1),$O117)-MAX($N117,$E117)+1))+N($P117)))))+MONTH((AR117-1))-MONTH(($E117+(IF(OR($N117="",$O117=""),0,MAX(0,MIN((AR117-1),$O117)-MAX($N117,$E117)+1))+N($P117))))-IF(DAY((AR117-1))&lt;MIN(DAY(($E117+(IF(OR($N117="",$O117=""),0,MAX(0,MIN((AR117-1),$O117)-MAX($N117,$E117)+1))+N($P117)))),DAY(EOMONTH((AR117-1),0))),1,0))))</f>
        <v/>
      </c>
      <c r="AU117" s="11" t="str">
        <f aca="false">IF(AO117=0,"",IF(AS117="",AQ117,IF((AS117-1)&lt;($E117+(IF(OR($N117="",$O117=""),0,MAX(0,MIN((AS117-1),$O117)-MAX($N117,$E117)+1))+N($P117))),-1,12*(YEAR((AS117-1))-YEAR(($E117+(IF(OR($N117="",$O117=""),0,MAX(0,MIN((AS117-1),$O117)-MAX($N117,$E117)+1))+N($P117)))))+MONTH((AS117-1))-MONTH(($E117+(IF(OR($N117="",$O117=""),0,MAX(0,MIN((AS117-1),$O117)-MAX($N117,$E117)+1))+N($P117))))-IF(DAY((AS117-1))&lt;MIN(DAY(($E117+(IF(OR($N117="",$O117=""),0,MAX(0,MIN((AS117-1),$O117)-MAX($N117,$E117)+1))+N($P117)))),DAY(EOMONTH((AS117-1),0))),1,0))))</f>
        <v/>
      </c>
      <c r="AV117" s="11" t="str">
        <f aca="false">IF(AO117=0,"",IF($F117="","None",IF(IFERROR(VLOOKUP($F117,TypeTable,2,0),"None")="PT",IF(N($G117)&gt;=PT_MinHours,"PT","None"),IFERROR(VLOOKUP($F117,TypeTable,2,0),"None"))))</f>
        <v/>
      </c>
      <c r="AW117" s="11" t="str">
        <f aca="false">IF(AO117=0,"",IF($I117="","None",IF(IFERROR(VLOOKUP($I117,TypeTable,2,0),"None")="PT",IF(N($J117)&gt;=PT_MinHours,"PT","None"),IFERROR(VLOOKUP($I117,TypeTable,2,0),"None"))))</f>
        <v/>
      </c>
      <c r="AX117" s="11" t="str">
        <f aca="false">IF(AO117=0,"",IF($L117="","None",IF(IFERROR(VLOOKUP($L117,TypeTable,2,0),"None")="PT",IF(N($M117)&gt;=PT_MinHours,"PT","None"),IFERROR(VLOOKUP($L117,TypeTable,2,0),"None"))))</f>
        <v/>
      </c>
      <c r="AY117" s="11" t="str">
        <f aca="false">IF(AO117=0,"",IF(AS117&lt;&gt;"",AX117,IF(AR117&lt;&gt;"",AW117,AV117)))</f>
        <v/>
      </c>
      <c r="AZ117" s="11" t="str">
        <f aca="false">IF(AO117=0,"",IF(AV117="FT",IF(AT117&lt;FT_First,0,IF(AT117&lt;FT_Y5,1+INT((AT117-FT_First)/FT_Int1),FT_PreY5+FT_PerYear*INT((AT117-FT_Y5)/12)+FT_AnnivDays+INT(MOD(AT117-FT_Y5,12)/FT_Int2))),IF(AV117="PT",IF(AT117&lt;PT_First,0,1+INT((AT117-PT_First)/PT_Int)),0)))</f>
        <v/>
      </c>
      <c r="BA117" s="11" t="str">
        <f aca="false">IF(AO117=0,"",IF(AW117="FT",IF(AT117&lt;FT_First,0,IF(AT117&lt;FT_Y5,1+INT((AT117-FT_First)/FT_Int1),FT_PreY5+FT_PerYear*INT((AT117-FT_Y5)/12)+FT_AnnivDays+INT(MOD(AT117-FT_Y5,12)/FT_Int2))),IF(AW117="PT",IF(AT117&lt;PT_First,0,1+INT((AT117-PT_First)/PT_Int)),0)))</f>
        <v/>
      </c>
      <c r="BB117" s="11" t="str">
        <f aca="false">IF(AO117=0,"",IF(AW117="FT",IF(AU117&lt;FT_First,0,IF(AU117&lt;FT_Y5,1+INT((AU117-FT_First)/FT_Int1),FT_PreY5+FT_PerYear*INT((AU117-FT_Y5)/12)+FT_AnnivDays+INT(MOD(AU117-FT_Y5,12)/FT_Int2))),IF(AW117="PT",IF(AU117&lt;PT_First,0,1+INT((AU117-PT_First)/PT_Int)),0)))</f>
        <v/>
      </c>
      <c r="BC117" s="11" t="str">
        <f aca="false">IF(AO117=0,"",IF(AX117="FT",IF(AU117&lt;FT_First,0,IF(AU117&lt;FT_Y5,1+INT((AU117-FT_First)/FT_Int1),FT_PreY5+FT_PerYear*INT((AU117-FT_Y5)/12)+FT_AnnivDays+INT(MOD(AU117-FT_Y5,12)/FT_Int2))),IF(AX117="PT",IF(AU117&lt;PT_First,0,1+INT((AU117-PT_First)/PT_Int)),0)))</f>
        <v/>
      </c>
      <c r="BD117" s="11" t="str">
        <f aca="false">IF(AO117=0,"",IF(AX117="FT",IF(AQ117&lt;FT_First,0,IF(AQ117&lt;FT_Y5,1+INT((AQ117-FT_First)/FT_Int1),FT_PreY5+FT_PerYear*INT((AQ117-FT_Y5)/12)+FT_AnnivDays+INT(MOD(AQ117-FT_Y5,12)/FT_Int2))),IF(AX117="PT",IF(AQ117&lt;PT_First,0,1+INT((AQ117-PT_First)/PT_Int)),0)))</f>
        <v/>
      </c>
      <c r="BE117" s="11" t="str">
        <f aca="false">IF(AO117=0,"",IF(AY117="FT",IF(AQ117&lt;FT_First,FT_First,IF(AQ117&lt;FT_Y5,MIN(FT_Y5,FT_First+FT_Int1*(INT((AQ117-FT_First)/FT_Int1)+1)),FT_Y5+12*INT((AQ117-FT_Y5)/12)+FT_Int2*(INT(MOD(AQ117-FT_Y5,12)/FT_Int2)+1))),IF(AY117="PT",IF(AQ117&lt;PT_First,PT_First,PT_First+PT_Int*(INT((AQ117-PT_First)/PT_Int)+1)),"")))</f>
        <v/>
      </c>
      <c r="BF117" s="11" t="n">
        <f aca="false">IF(AO117=0,0,IF(AND($Q117&lt;&gt;"",$Q117&lt;=AsOfDate),1,0))</f>
        <v>0</v>
      </c>
      <c r="BG117" s="11" t="str">
        <f aca="false">IF(AND(AO117=1,BF117=0,EH_Ready,N(AB117)&gt;0,N(AI117)=0),COUNT($BG$5:BG116)+1,"")</f>
        <v/>
      </c>
      <c r="BH117" s="11" t="str">
        <f aca="false">IF(AND(AO117=1,BF117=0,EH_Ready,N(AB117)&gt;0,N(AI117)&gt;0,N(AK117)&gt;0),COUNT($BH$5:BH116)+1,"")</f>
        <v/>
      </c>
      <c r="BI117" s="11" t="str">
        <f aca="false">IF(AND(AO117=1,OR(LEFT(AM117,3)="ADD",LEFT(AM117,3)="SET",LEFT(AM117,5)="CHECK",LEFT(AM117,10)="TERMINATED")),COUNT($BI$5:BI116)+1,"")</f>
        <v/>
      </c>
      <c r="BJ117" s="11" t="str">
        <f aca="false">IF(AO117=0,"",$A117&amp;" - "&amp;$B117&amp;" "&amp;$C117)</f>
        <v/>
      </c>
    </row>
    <row r="118" customFormat="false" ht="15" hidden="false" customHeight="false" outlineLevel="0" collapsed="false">
      <c r="A118" s="10"/>
      <c r="B118" s="10"/>
      <c r="C118" s="10"/>
      <c r="D118" s="10"/>
      <c r="E118" s="9"/>
      <c r="F118" s="10"/>
      <c r="G118" s="30"/>
      <c r="H118" s="9"/>
      <c r="I118" s="10"/>
      <c r="J118" s="30"/>
      <c r="K118" s="9"/>
      <c r="L118" s="10"/>
      <c r="M118" s="30"/>
      <c r="N118" s="9"/>
      <c r="O118" s="9"/>
      <c r="P118" s="30"/>
      <c r="Q118" s="9"/>
      <c r="R118" s="10"/>
      <c r="S118" s="11" t="str">
        <f aca="false">IF(AO118=0,"",IF($H118="","",$F118&amp;" -&gt; "&amp;$I118&amp;IF($I118="Part-Time"," ("&amp;N($J118)&amp;" hrs)","")&amp;" on "&amp;TEXT($H118,"dd/mm/yyyy")&amp;IF($H118&gt;AsOfDate," (FUTURE)","")&amp;IF($K118="","","; "&amp;$I118&amp;" -&gt; "&amp;$L118&amp;IF($L118="Part-Time"," ("&amp;N($M118)&amp;" hrs)","")&amp;" on "&amp;TEXT($K118,"dd/mm/yyyy")&amp;IF($K118&gt;AsOfDate," (FUTURE)",""))))</f>
        <v/>
      </c>
      <c r="T118" s="11" t="str">
        <f aca="false">IF(AO118=0,"",IF(AS118&lt;&gt;"",$L118,IF(AR118&lt;&gt;"",$I118,$F118)))</f>
        <v/>
      </c>
      <c r="U118" s="26" t="str">
        <f aca="false">IF(AO118=0,"",IF(AS118&lt;&gt;"",$M118,IF(AR118&lt;&gt;"",$J118,$G118)))</f>
        <v/>
      </c>
      <c r="V118" s="11" t="str">
        <f aca="false">IF(AO118=0,"",IF(AY118="FT","Full-Time",IF(AY118="PT","Part-Time","Not eligible")))</f>
        <v/>
      </c>
      <c r="W118" s="27" t="str">
        <f aca="false">IF(AO118=0,"",IF(AR118="",IF(AND($H118&lt;&gt;"",$H118&gt;AsOfDate),"Future change - not yet applied",""),IF(AND(AV118=AY118,OR(AS118="",AW118=AV118)),"Type changed - same accrual pathway",IF(AY118="None","STOPPED accruing from "&amp;TEXT(IF(AS118&lt;&gt;"",AS118,AR118),"dd/mm/yyyy"),IF(AV118="None","STARTED qualifying from "&amp;TEXT(IF(AS118&lt;&gt;"",AS118,AR118),"dd/mm/yyyy"),"Pathway changed "&amp;AV118&amp;" -&gt; "&amp;AW118&amp;IF(AS118&lt;&gt;""," -&gt; "&amp;AX118,"")&amp;" from "&amp;TEXT(IF(AS118&lt;&gt;"",AS118,AR118),"dd/mm/yyyy"))))))</f>
        <v/>
      </c>
      <c r="X118" s="28" t="str">
        <f aca="false">IF(AO118=0,"",IF($Q118="",AsOfDate,MIN(AsOfDate,$Q118)))</f>
        <v/>
      </c>
      <c r="Y118" s="26" t="str">
        <f aca="false">IF(AO118=0,"",MAX(0,AQ118))</f>
        <v/>
      </c>
      <c r="Z118" s="11" t="str">
        <f aca="false">IF(AO118=0,"",IF(AQ118&lt;0,"Not started",INT(AQ118/12)&amp;"y "&amp;MOD(AQ118,12)&amp;"m"))</f>
        <v/>
      </c>
      <c r="AA118" s="27" t="str">
        <f aca="false">IF(AO118=0,"",IF(BF118=1,"Terminated - balance forfeited",IF(AY118="None",IF(AB118&gt;0,"No longer accruing - "&amp;T118,"Not eligible - "&amp;T118&amp;IF(AND(IFERROR(VLOOKUP(T118,TypeTable,2,0),"None")="PT",N(U118)&lt;PT_MinHours)," (under "&amp;PT_MinHours&amp;" hrs)","")),IF(AB118&gt;0,"Yes - accruing","Not yet - qualifies "&amp;TEXT(AD118,"dd/mm/yyyy")))))</f>
        <v/>
      </c>
      <c r="AB118" s="26" t="str">
        <f aca="false">IF(AO118=0,"",AZ118+IF(AR118="",0,BB118-BA118)+IF(AS118="",0,BD118-BC118))</f>
        <v/>
      </c>
      <c r="AC118" s="26" t="str">
        <f aca="false">IF(AO118=0,"",AB118*HoursPerDay)</f>
        <v/>
      </c>
      <c r="AD118" s="28" t="str">
        <f aca="false">IF(AO118=0,"",IF(OR(BF118=1,AY118="None"),"",EDATE($E118+AP118,BE118)))</f>
        <v/>
      </c>
      <c r="AE118" s="26" t="str">
        <f aca="false">IF(AD118="","",IF(AY118="PT",1,IF(BE118&lt;FT_Y5,1,IF(MOD(BE118-FT_Y5,12)=0,FT_AnnivDays,1))))</f>
        <v/>
      </c>
      <c r="AF118" s="27" t="str">
        <f aca="false">IF(AO118=0,"",IF(NOT(EH_Ready),"Map headers",IF(IF(MatchMode="Employee ID",COUNTIFS(INDEX(EH_Data,0,EH_ColID),$A118,INDEX(EH_Data,0,EH_ColCat),BonusCat),COUNTIFS(INDEX(EH_Data,0,EH_ColFirst),$B118,INDEX(EH_Data,0,EH_ColSur),$C118,INDEX(EH_Data,0,EH_ColCat),BonusCat))&gt;0,"Yes","No")))</f>
        <v/>
      </c>
      <c r="AG118" s="26" t="str">
        <f aca="false">IF(AO118=0,"",IF(NOT(EH_Ready),"",IF(MatchMode="Employee ID",SUMIFS(INDEX(EH_Data,0,EH_ColBal),INDEX(EH_Data,0,EH_ColID),$A118,INDEX(EH_Data,0,EH_ColCat),BonusCat),SUMIFS(INDEX(EH_Data,0,EH_ColBal),INDEX(EH_Data,0,EH_ColFirst),$B118,INDEX(EH_Data,0,EH_ColSur),$C118,INDEX(EH_Data,0,EH_ColCat),BonusCat))/IF(EHUnit="Hours",HoursPerDay,1)))</f>
        <v/>
      </c>
      <c r="AH118" s="26" t="str">
        <f aca="false">IF(AO118=0,"",IF(NOT(TK_Ready),0,IF(MatchMode="Employee ID",SUMIFS(INDEX(TK_Data,0,TK_ColAmt),INDEX(TK_Data,0,TK_ColID),$A118,INDEX(TK_Data,0,TK_ColCat),BonusCat),SUMIFS(INDEX(TK_Data,0,TK_ColAmt),INDEX(TK_Data,0,TK_ColFirst),$B118,INDEX(TK_Data,0,TK_ColSur),$C118,INDEX(TK_Data,0,TK_ColCat),BonusCat))/IF(TKUnit="Hours",HoursPerDay,1)))</f>
        <v/>
      </c>
      <c r="AI118" s="26" t="str">
        <f aca="false">IF(AO118=0,"",N(AG118)+N(AH118))</f>
        <v/>
      </c>
      <c r="AJ118" s="29" t="str">
        <f aca="false">IF(AO118=0,"",IF(NOT(AND(EH_Ready,EH_ValReady)),"",IF(MatchMode="Employee ID",SUMIFS(INDEX(EH_Data,0,EH_ColVal),INDEX(EH_Data,0,EH_ColID),$A118,INDEX(EH_Data,0,EH_ColCat),BonusCat),SUMIFS(INDEX(EH_Data,0,EH_ColVal),INDEX(EH_Data,0,EH_ColFirst),$B118,INDEX(EH_Data,0,EH_ColSur),$C118,INDEX(EH_Data,0,EH_ColCat),BonusCat))))</f>
        <v/>
      </c>
      <c r="AK118" s="26" t="str">
        <f aca="false">IF(AO118=0,"",IF(OR(NOT(EH_Ready),BF118=1),"",AB118-AI118))</f>
        <v/>
      </c>
      <c r="AL118" s="26" t="str">
        <f aca="false">IF(AK118="","",AK118*HoursPerDay)</f>
        <v/>
      </c>
      <c r="AM118" s="27" t="str">
        <f aca="false">IF(AO118=0,"",IF(BF118=1,IF(N(AG118)&gt;0,"TERMINATED - forfeit "&amp;TEXT(AG118,"0.##")&amp;" days still in EH","Terminated - nothing in EH"),IF(NOT(EH_Ready),"Paste EH export and map headers on Settings",IF(AND(AB118&gt;0,AF118="No"),"SET UP in EH - add "&amp;TEXT(AB118,"0.##")&amp;" day(s) ("&amp;TEXT(AC118,"0.##")&amp;" hrs)",IF(AK118&gt;0,"ADD "&amp;TEXT(AK118,"0.##")&amp;" day(s) ("&amp;TEXT(AL118,"0.##")&amp;" hrs) in EH",IF(AK118&lt;0,"CHECK - EH shows "&amp;TEXT(-AK118,"0.##")&amp;" days more than policy",IF(AB118&gt;0,"OK - up to date",IF(AY118="None","No action - not eligible","No action - not yet qualified"))))))))</f>
        <v/>
      </c>
      <c r="AN118" s="27" t="str">
        <f aca="false">IF(AO118=0,"",TRIM(IF(AND($K118&lt;&gt;"",$H118=""),"Change 2 entered without Change 1. ","")&amp;IF(AND($K118&lt;&gt;"",$H118&lt;&gt;"",$K118&lt;=$H118),"Change 2 date not after Change 1. ","")&amp;IF(AND($N118&lt;&gt;"",$O118&lt;&gt;"",$O118&lt;$N118),"Leave To is before Leave From. ","")&amp;IF(AND($N118&lt;&gt;"",$O118=""),"Leave From entered without Leave To. ","")&amp;IF(AND(IFERROR(VLOOKUP(T118,TypeTable,2,0),"None")="PT",U118=""),"Part-time with no hours entered. ","")&amp;IF(AND($H118&lt;&gt;"",$H118&gt;AsOfDate,AD118&lt;&gt;"",$H118&lt;=AD118),"Status change lands before next accrual - review. ","")&amp;IF(AND($Q118&lt;&gt;"",$Q118&lt;$E118),"Termination before commencement. ","")))</f>
        <v/>
      </c>
      <c r="AO118" s="11" t="n">
        <f aca="false">IF(LEN($A118&amp;$B118&amp;$C118)=0,0,IF($E118="",0,1))</f>
        <v>0</v>
      </c>
      <c r="AP118" s="11" t="str">
        <f aca="false">IF(AO118=0,"",(IF(OR($N118="",$O118=""),0,MAX(0,MIN(X118,$O118)-MAX($N118,$E118)+1))+N($P118)))</f>
        <v/>
      </c>
      <c r="AQ118" s="11" t="str">
        <f aca="false">IF(AO118=0,"",IF(X118&lt;($E118+(IF(OR($N118="",$O118=""),0,MAX(0,MIN(X118,$O118)-MAX($N118,$E118)+1))+N($P118))),-1,12*(YEAR(X118)-YEAR(($E118+(IF(OR($N118="",$O118=""),0,MAX(0,MIN(X118,$O118)-MAX($N118,$E118)+1))+N($P118)))))+MONTH(X118)-MONTH(($E118+(IF(OR($N118="",$O118=""),0,MAX(0,MIN(X118,$O118)-MAX($N118,$E118)+1))+N($P118))))-IF(DAY(X118)&lt;MIN(DAY(($E118+(IF(OR($N118="",$O118=""),0,MAX(0,MIN(X118,$O118)-MAX($N118,$E118)+1))+N($P118)))),DAY(EOMONTH(X118,0))),1,0)))</f>
        <v/>
      </c>
      <c r="AR118" s="28" t="str">
        <f aca="false">IF(AO118=0,"",IF($H118="","",IF($H118&gt;X118,"",$H118)))</f>
        <v/>
      </c>
      <c r="AS118" s="28" t="str">
        <f aca="false">IF(AO118=0,"",IF(AR118="","",IF($K118="","",IF($K118&gt;X118,"",$K118))))</f>
        <v/>
      </c>
      <c r="AT118" s="11" t="str">
        <f aca="false">IF(AO118=0,"",IF(AR118="",AQ118,IF((AR118-1)&lt;($E118+(IF(OR($N118="",$O118=""),0,MAX(0,MIN((AR118-1),$O118)-MAX($N118,$E118)+1))+N($P118))),-1,12*(YEAR((AR118-1))-YEAR(($E118+(IF(OR($N118="",$O118=""),0,MAX(0,MIN((AR118-1),$O118)-MAX($N118,$E118)+1))+N($P118)))))+MONTH((AR118-1))-MONTH(($E118+(IF(OR($N118="",$O118=""),0,MAX(0,MIN((AR118-1),$O118)-MAX($N118,$E118)+1))+N($P118))))-IF(DAY((AR118-1))&lt;MIN(DAY(($E118+(IF(OR($N118="",$O118=""),0,MAX(0,MIN((AR118-1),$O118)-MAX($N118,$E118)+1))+N($P118)))),DAY(EOMONTH((AR118-1),0))),1,0))))</f>
        <v/>
      </c>
      <c r="AU118" s="11" t="str">
        <f aca="false">IF(AO118=0,"",IF(AS118="",AQ118,IF((AS118-1)&lt;($E118+(IF(OR($N118="",$O118=""),0,MAX(0,MIN((AS118-1),$O118)-MAX($N118,$E118)+1))+N($P118))),-1,12*(YEAR((AS118-1))-YEAR(($E118+(IF(OR($N118="",$O118=""),0,MAX(0,MIN((AS118-1),$O118)-MAX($N118,$E118)+1))+N($P118)))))+MONTH((AS118-1))-MONTH(($E118+(IF(OR($N118="",$O118=""),0,MAX(0,MIN((AS118-1),$O118)-MAX($N118,$E118)+1))+N($P118))))-IF(DAY((AS118-1))&lt;MIN(DAY(($E118+(IF(OR($N118="",$O118=""),0,MAX(0,MIN((AS118-1),$O118)-MAX($N118,$E118)+1))+N($P118)))),DAY(EOMONTH((AS118-1),0))),1,0))))</f>
        <v/>
      </c>
      <c r="AV118" s="11" t="str">
        <f aca="false">IF(AO118=0,"",IF($F118="","None",IF(IFERROR(VLOOKUP($F118,TypeTable,2,0),"None")="PT",IF(N($G118)&gt;=PT_MinHours,"PT","None"),IFERROR(VLOOKUP($F118,TypeTable,2,0),"None"))))</f>
        <v/>
      </c>
      <c r="AW118" s="11" t="str">
        <f aca="false">IF(AO118=0,"",IF($I118="","None",IF(IFERROR(VLOOKUP($I118,TypeTable,2,0),"None")="PT",IF(N($J118)&gt;=PT_MinHours,"PT","None"),IFERROR(VLOOKUP($I118,TypeTable,2,0),"None"))))</f>
        <v/>
      </c>
      <c r="AX118" s="11" t="str">
        <f aca="false">IF(AO118=0,"",IF($L118="","None",IF(IFERROR(VLOOKUP($L118,TypeTable,2,0),"None")="PT",IF(N($M118)&gt;=PT_MinHours,"PT","None"),IFERROR(VLOOKUP($L118,TypeTable,2,0),"None"))))</f>
        <v/>
      </c>
      <c r="AY118" s="11" t="str">
        <f aca="false">IF(AO118=0,"",IF(AS118&lt;&gt;"",AX118,IF(AR118&lt;&gt;"",AW118,AV118)))</f>
        <v/>
      </c>
      <c r="AZ118" s="11" t="str">
        <f aca="false">IF(AO118=0,"",IF(AV118="FT",IF(AT118&lt;FT_First,0,IF(AT118&lt;FT_Y5,1+INT((AT118-FT_First)/FT_Int1),FT_PreY5+FT_PerYear*INT((AT118-FT_Y5)/12)+FT_AnnivDays+INT(MOD(AT118-FT_Y5,12)/FT_Int2))),IF(AV118="PT",IF(AT118&lt;PT_First,0,1+INT((AT118-PT_First)/PT_Int)),0)))</f>
        <v/>
      </c>
      <c r="BA118" s="11" t="str">
        <f aca="false">IF(AO118=0,"",IF(AW118="FT",IF(AT118&lt;FT_First,0,IF(AT118&lt;FT_Y5,1+INT((AT118-FT_First)/FT_Int1),FT_PreY5+FT_PerYear*INT((AT118-FT_Y5)/12)+FT_AnnivDays+INT(MOD(AT118-FT_Y5,12)/FT_Int2))),IF(AW118="PT",IF(AT118&lt;PT_First,0,1+INT((AT118-PT_First)/PT_Int)),0)))</f>
        <v/>
      </c>
      <c r="BB118" s="11" t="str">
        <f aca="false">IF(AO118=0,"",IF(AW118="FT",IF(AU118&lt;FT_First,0,IF(AU118&lt;FT_Y5,1+INT((AU118-FT_First)/FT_Int1),FT_PreY5+FT_PerYear*INT((AU118-FT_Y5)/12)+FT_AnnivDays+INT(MOD(AU118-FT_Y5,12)/FT_Int2))),IF(AW118="PT",IF(AU118&lt;PT_First,0,1+INT((AU118-PT_First)/PT_Int)),0)))</f>
        <v/>
      </c>
      <c r="BC118" s="11" t="str">
        <f aca="false">IF(AO118=0,"",IF(AX118="FT",IF(AU118&lt;FT_First,0,IF(AU118&lt;FT_Y5,1+INT((AU118-FT_First)/FT_Int1),FT_PreY5+FT_PerYear*INT((AU118-FT_Y5)/12)+FT_AnnivDays+INT(MOD(AU118-FT_Y5,12)/FT_Int2))),IF(AX118="PT",IF(AU118&lt;PT_First,0,1+INT((AU118-PT_First)/PT_Int)),0)))</f>
        <v/>
      </c>
      <c r="BD118" s="11" t="str">
        <f aca="false">IF(AO118=0,"",IF(AX118="FT",IF(AQ118&lt;FT_First,0,IF(AQ118&lt;FT_Y5,1+INT((AQ118-FT_First)/FT_Int1),FT_PreY5+FT_PerYear*INT((AQ118-FT_Y5)/12)+FT_AnnivDays+INT(MOD(AQ118-FT_Y5,12)/FT_Int2))),IF(AX118="PT",IF(AQ118&lt;PT_First,0,1+INT((AQ118-PT_First)/PT_Int)),0)))</f>
        <v/>
      </c>
      <c r="BE118" s="11" t="str">
        <f aca="false">IF(AO118=0,"",IF(AY118="FT",IF(AQ118&lt;FT_First,FT_First,IF(AQ118&lt;FT_Y5,MIN(FT_Y5,FT_First+FT_Int1*(INT((AQ118-FT_First)/FT_Int1)+1)),FT_Y5+12*INT((AQ118-FT_Y5)/12)+FT_Int2*(INT(MOD(AQ118-FT_Y5,12)/FT_Int2)+1))),IF(AY118="PT",IF(AQ118&lt;PT_First,PT_First,PT_First+PT_Int*(INT((AQ118-PT_First)/PT_Int)+1)),"")))</f>
        <v/>
      </c>
      <c r="BF118" s="11" t="n">
        <f aca="false">IF(AO118=0,0,IF(AND($Q118&lt;&gt;"",$Q118&lt;=AsOfDate),1,0))</f>
        <v>0</v>
      </c>
      <c r="BG118" s="11" t="str">
        <f aca="false">IF(AND(AO118=1,BF118=0,EH_Ready,N(AB118)&gt;0,N(AI118)=0),COUNT($BG$5:BG117)+1,"")</f>
        <v/>
      </c>
      <c r="BH118" s="11" t="str">
        <f aca="false">IF(AND(AO118=1,BF118=0,EH_Ready,N(AB118)&gt;0,N(AI118)&gt;0,N(AK118)&gt;0),COUNT($BH$5:BH117)+1,"")</f>
        <v/>
      </c>
      <c r="BI118" s="11" t="str">
        <f aca="false">IF(AND(AO118=1,OR(LEFT(AM118,3)="ADD",LEFT(AM118,3)="SET",LEFT(AM118,5)="CHECK",LEFT(AM118,10)="TERMINATED")),COUNT($BI$5:BI117)+1,"")</f>
        <v/>
      </c>
      <c r="BJ118" s="11" t="str">
        <f aca="false">IF(AO118=0,"",$A118&amp;" - "&amp;$B118&amp;" "&amp;$C118)</f>
        <v/>
      </c>
    </row>
    <row r="119" customFormat="false" ht="15" hidden="false" customHeight="false" outlineLevel="0" collapsed="false">
      <c r="A119" s="10"/>
      <c r="B119" s="10"/>
      <c r="C119" s="10"/>
      <c r="D119" s="10"/>
      <c r="E119" s="9"/>
      <c r="F119" s="10"/>
      <c r="G119" s="30"/>
      <c r="H119" s="9"/>
      <c r="I119" s="10"/>
      <c r="J119" s="30"/>
      <c r="K119" s="9"/>
      <c r="L119" s="10"/>
      <c r="M119" s="30"/>
      <c r="N119" s="9"/>
      <c r="O119" s="9"/>
      <c r="P119" s="30"/>
      <c r="Q119" s="9"/>
      <c r="R119" s="10"/>
      <c r="S119" s="11" t="str">
        <f aca="false">IF(AO119=0,"",IF($H119="","",$F119&amp;" -&gt; "&amp;$I119&amp;IF($I119="Part-Time"," ("&amp;N($J119)&amp;" hrs)","")&amp;" on "&amp;TEXT($H119,"dd/mm/yyyy")&amp;IF($H119&gt;AsOfDate," (FUTURE)","")&amp;IF($K119="","","; "&amp;$I119&amp;" -&gt; "&amp;$L119&amp;IF($L119="Part-Time"," ("&amp;N($M119)&amp;" hrs)","")&amp;" on "&amp;TEXT($K119,"dd/mm/yyyy")&amp;IF($K119&gt;AsOfDate," (FUTURE)",""))))</f>
        <v/>
      </c>
      <c r="T119" s="11" t="str">
        <f aca="false">IF(AO119=0,"",IF(AS119&lt;&gt;"",$L119,IF(AR119&lt;&gt;"",$I119,$F119)))</f>
        <v/>
      </c>
      <c r="U119" s="26" t="str">
        <f aca="false">IF(AO119=0,"",IF(AS119&lt;&gt;"",$M119,IF(AR119&lt;&gt;"",$J119,$G119)))</f>
        <v/>
      </c>
      <c r="V119" s="11" t="str">
        <f aca="false">IF(AO119=0,"",IF(AY119="FT","Full-Time",IF(AY119="PT","Part-Time","Not eligible")))</f>
        <v/>
      </c>
      <c r="W119" s="27" t="str">
        <f aca="false">IF(AO119=0,"",IF(AR119="",IF(AND($H119&lt;&gt;"",$H119&gt;AsOfDate),"Future change - not yet applied",""),IF(AND(AV119=AY119,OR(AS119="",AW119=AV119)),"Type changed - same accrual pathway",IF(AY119="None","STOPPED accruing from "&amp;TEXT(IF(AS119&lt;&gt;"",AS119,AR119),"dd/mm/yyyy"),IF(AV119="None","STARTED qualifying from "&amp;TEXT(IF(AS119&lt;&gt;"",AS119,AR119),"dd/mm/yyyy"),"Pathway changed "&amp;AV119&amp;" -&gt; "&amp;AW119&amp;IF(AS119&lt;&gt;""," -&gt; "&amp;AX119,"")&amp;" from "&amp;TEXT(IF(AS119&lt;&gt;"",AS119,AR119),"dd/mm/yyyy"))))))</f>
        <v/>
      </c>
      <c r="X119" s="28" t="str">
        <f aca="false">IF(AO119=0,"",IF($Q119="",AsOfDate,MIN(AsOfDate,$Q119)))</f>
        <v/>
      </c>
      <c r="Y119" s="26" t="str">
        <f aca="false">IF(AO119=0,"",MAX(0,AQ119))</f>
        <v/>
      </c>
      <c r="Z119" s="11" t="str">
        <f aca="false">IF(AO119=0,"",IF(AQ119&lt;0,"Not started",INT(AQ119/12)&amp;"y "&amp;MOD(AQ119,12)&amp;"m"))</f>
        <v/>
      </c>
      <c r="AA119" s="27" t="str">
        <f aca="false">IF(AO119=0,"",IF(BF119=1,"Terminated - balance forfeited",IF(AY119="None",IF(AB119&gt;0,"No longer accruing - "&amp;T119,"Not eligible - "&amp;T119&amp;IF(AND(IFERROR(VLOOKUP(T119,TypeTable,2,0),"None")="PT",N(U119)&lt;PT_MinHours)," (under "&amp;PT_MinHours&amp;" hrs)","")),IF(AB119&gt;0,"Yes - accruing","Not yet - qualifies "&amp;TEXT(AD119,"dd/mm/yyyy")))))</f>
        <v/>
      </c>
      <c r="AB119" s="26" t="str">
        <f aca="false">IF(AO119=0,"",AZ119+IF(AR119="",0,BB119-BA119)+IF(AS119="",0,BD119-BC119))</f>
        <v/>
      </c>
      <c r="AC119" s="26" t="str">
        <f aca="false">IF(AO119=0,"",AB119*HoursPerDay)</f>
        <v/>
      </c>
      <c r="AD119" s="28" t="str">
        <f aca="false">IF(AO119=0,"",IF(OR(BF119=1,AY119="None"),"",EDATE($E119+AP119,BE119)))</f>
        <v/>
      </c>
      <c r="AE119" s="26" t="str">
        <f aca="false">IF(AD119="","",IF(AY119="PT",1,IF(BE119&lt;FT_Y5,1,IF(MOD(BE119-FT_Y5,12)=0,FT_AnnivDays,1))))</f>
        <v/>
      </c>
      <c r="AF119" s="27" t="str">
        <f aca="false">IF(AO119=0,"",IF(NOT(EH_Ready),"Map headers",IF(IF(MatchMode="Employee ID",COUNTIFS(INDEX(EH_Data,0,EH_ColID),$A119,INDEX(EH_Data,0,EH_ColCat),BonusCat),COUNTIFS(INDEX(EH_Data,0,EH_ColFirst),$B119,INDEX(EH_Data,0,EH_ColSur),$C119,INDEX(EH_Data,0,EH_ColCat),BonusCat))&gt;0,"Yes","No")))</f>
        <v/>
      </c>
      <c r="AG119" s="26" t="str">
        <f aca="false">IF(AO119=0,"",IF(NOT(EH_Ready),"",IF(MatchMode="Employee ID",SUMIFS(INDEX(EH_Data,0,EH_ColBal),INDEX(EH_Data,0,EH_ColID),$A119,INDEX(EH_Data,0,EH_ColCat),BonusCat),SUMIFS(INDEX(EH_Data,0,EH_ColBal),INDEX(EH_Data,0,EH_ColFirst),$B119,INDEX(EH_Data,0,EH_ColSur),$C119,INDEX(EH_Data,0,EH_ColCat),BonusCat))/IF(EHUnit="Hours",HoursPerDay,1)))</f>
        <v/>
      </c>
      <c r="AH119" s="26" t="str">
        <f aca="false">IF(AO119=0,"",IF(NOT(TK_Ready),0,IF(MatchMode="Employee ID",SUMIFS(INDEX(TK_Data,0,TK_ColAmt),INDEX(TK_Data,0,TK_ColID),$A119,INDEX(TK_Data,0,TK_ColCat),BonusCat),SUMIFS(INDEX(TK_Data,0,TK_ColAmt),INDEX(TK_Data,0,TK_ColFirst),$B119,INDEX(TK_Data,0,TK_ColSur),$C119,INDEX(TK_Data,0,TK_ColCat),BonusCat))/IF(TKUnit="Hours",HoursPerDay,1)))</f>
        <v/>
      </c>
      <c r="AI119" s="26" t="str">
        <f aca="false">IF(AO119=0,"",N(AG119)+N(AH119))</f>
        <v/>
      </c>
      <c r="AJ119" s="29" t="str">
        <f aca="false">IF(AO119=0,"",IF(NOT(AND(EH_Ready,EH_ValReady)),"",IF(MatchMode="Employee ID",SUMIFS(INDEX(EH_Data,0,EH_ColVal),INDEX(EH_Data,0,EH_ColID),$A119,INDEX(EH_Data,0,EH_ColCat),BonusCat),SUMIFS(INDEX(EH_Data,0,EH_ColVal),INDEX(EH_Data,0,EH_ColFirst),$B119,INDEX(EH_Data,0,EH_ColSur),$C119,INDEX(EH_Data,0,EH_ColCat),BonusCat))))</f>
        <v/>
      </c>
      <c r="AK119" s="26" t="str">
        <f aca="false">IF(AO119=0,"",IF(OR(NOT(EH_Ready),BF119=1),"",AB119-AI119))</f>
        <v/>
      </c>
      <c r="AL119" s="26" t="str">
        <f aca="false">IF(AK119="","",AK119*HoursPerDay)</f>
        <v/>
      </c>
      <c r="AM119" s="27" t="str">
        <f aca="false">IF(AO119=0,"",IF(BF119=1,IF(N(AG119)&gt;0,"TERMINATED - forfeit "&amp;TEXT(AG119,"0.##")&amp;" days still in EH","Terminated - nothing in EH"),IF(NOT(EH_Ready),"Paste EH export and map headers on Settings",IF(AND(AB119&gt;0,AF119="No"),"SET UP in EH - add "&amp;TEXT(AB119,"0.##")&amp;" day(s) ("&amp;TEXT(AC119,"0.##")&amp;" hrs)",IF(AK119&gt;0,"ADD "&amp;TEXT(AK119,"0.##")&amp;" day(s) ("&amp;TEXT(AL119,"0.##")&amp;" hrs) in EH",IF(AK119&lt;0,"CHECK - EH shows "&amp;TEXT(-AK119,"0.##")&amp;" days more than policy",IF(AB119&gt;0,"OK - up to date",IF(AY119="None","No action - not eligible","No action - not yet qualified"))))))))</f>
        <v/>
      </c>
      <c r="AN119" s="27" t="str">
        <f aca="false">IF(AO119=0,"",TRIM(IF(AND($K119&lt;&gt;"",$H119=""),"Change 2 entered without Change 1. ","")&amp;IF(AND($K119&lt;&gt;"",$H119&lt;&gt;"",$K119&lt;=$H119),"Change 2 date not after Change 1. ","")&amp;IF(AND($N119&lt;&gt;"",$O119&lt;&gt;"",$O119&lt;$N119),"Leave To is before Leave From. ","")&amp;IF(AND($N119&lt;&gt;"",$O119=""),"Leave From entered without Leave To. ","")&amp;IF(AND(IFERROR(VLOOKUP(T119,TypeTable,2,0),"None")="PT",U119=""),"Part-time with no hours entered. ","")&amp;IF(AND($H119&lt;&gt;"",$H119&gt;AsOfDate,AD119&lt;&gt;"",$H119&lt;=AD119),"Status change lands before next accrual - review. ","")&amp;IF(AND($Q119&lt;&gt;"",$Q119&lt;$E119),"Termination before commencement. ","")))</f>
        <v/>
      </c>
      <c r="AO119" s="11" t="n">
        <f aca="false">IF(LEN($A119&amp;$B119&amp;$C119)=0,0,IF($E119="",0,1))</f>
        <v>0</v>
      </c>
      <c r="AP119" s="11" t="str">
        <f aca="false">IF(AO119=0,"",(IF(OR($N119="",$O119=""),0,MAX(0,MIN(X119,$O119)-MAX($N119,$E119)+1))+N($P119)))</f>
        <v/>
      </c>
      <c r="AQ119" s="11" t="str">
        <f aca="false">IF(AO119=0,"",IF(X119&lt;($E119+(IF(OR($N119="",$O119=""),0,MAX(0,MIN(X119,$O119)-MAX($N119,$E119)+1))+N($P119))),-1,12*(YEAR(X119)-YEAR(($E119+(IF(OR($N119="",$O119=""),0,MAX(0,MIN(X119,$O119)-MAX($N119,$E119)+1))+N($P119)))))+MONTH(X119)-MONTH(($E119+(IF(OR($N119="",$O119=""),0,MAX(0,MIN(X119,$O119)-MAX($N119,$E119)+1))+N($P119))))-IF(DAY(X119)&lt;MIN(DAY(($E119+(IF(OR($N119="",$O119=""),0,MAX(0,MIN(X119,$O119)-MAX($N119,$E119)+1))+N($P119)))),DAY(EOMONTH(X119,0))),1,0)))</f>
        <v/>
      </c>
      <c r="AR119" s="28" t="str">
        <f aca="false">IF(AO119=0,"",IF($H119="","",IF($H119&gt;X119,"",$H119)))</f>
        <v/>
      </c>
      <c r="AS119" s="28" t="str">
        <f aca="false">IF(AO119=0,"",IF(AR119="","",IF($K119="","",IF($K119&gt;X119,"",$K119))))</f>
        <v/>
      </c>
      <c r="AT119" s="11" t="str">
        <f aca="false">IF(AO119=0,"",IF(AR119="",AQ119,IF((AR119-1)&lt;($E119+(IF(OR($N119="",$O119=""),0,MAX(0,MIN((AR119-1),$O119)-MAX($N119,$E119)+1))+N($P119))),-1,12*(YEAR((AR119-1))-YEAR(($E119+(IF(OR($N119="",$O119=""),0,MAX(0,MIN((AR119-1),$O119)-MAX($N119,$E119)+1))+N($P119)))))+MONTH((AR119-1))-MONTH(($E119+(IF(OR($N119="",$O119=""),0,MAX(0,MIN((AR119-1),$O119)-MAX($N119,$E119)+1))+N($P119))))-IF(DAY((AR119-1))&lt;MIN(DAY(($E119+(IF(OR($N119="",$O119=""),0,MAX(0,MIN((AR119-1),$O119)-MAX($N119,$E119)+1))+N($P119)))),DAY(EOMONTH((AR119-1),0))),1,0))))</f>
        <v/>
      </c>
      <c r="AU119" s="11" t="str">
        <f aca="false">IF(AO119=0,"",IF(AS119="",AQ119,IF((AS119-1)&lt;($E119+(IF(OR($N119="",$O119=""),0,MAX(0,MIN((AS119-1),$O119)-MAX($N119,$E119)+1))+N($P119))),-1,12*(YEAR((AS119-1))-YEAR(($E119+(IF(OR($N119="",$O119=""),0,MAX(0,MIN((AS119-1),$O119)-MAX($N119,$E119)+1))+N($P119)))))+MONTH((AS119-1))-MONTH(($E119+(IF(OR($N119="",$O119=""),0,MAX(0,MIN((AS119-1),$O119)-MAX($N119,$E119)+1))+N($P119))))-IF(DAY((AS119-1))&lt;MIN(DAY(($E119+(IF(OR($N119="",$O119=""),0,MAX(0,MIN((AS119-1),$O119)-MAX($N119,$E119)+1))+N($P119)))),DAY(EOMONTH((AS119-1),0))),1,0))))</f>
        <v/>
      </c>
      <c r="AV119" s="11" t="str">
        <f aca="false">IF(AO119=0,"",IF($F119="","None",IF(IFERROR(VLOOKUP($F119,TypeTable,2,0),"None")="PT",IF(N($G119)&gt;=PT_MinHours,"PT","None"),IFERROR(VLOOKUP($F119,TypeTable,2,0),"None"))))</f>
        <v/>
      </c>
      <c r="AW119" s="11" t="str">
        <f aca="false">IF(AO119=0,"",IF($I119="","None",IF(IFERROR(VLOOKUP($I119,TypeTable,2,0),"None")="PT",IF(N($J119)&gt;=PT_MinHours,"PT","None"),IFERROR(VLOOKUP($I119,TypeTable,2,0),"None"))))</f>
        <v/>
      </c>
      <c r="AX119" s="11" t="str">
        <f aca="false">IF(AO119=0,"",IF($L119="","None",IF(IFERROR(VLOOKUP($L119,TypeTable,2,0),"None")="PT",IF(N($M119)&gt;=PT_MinHours,"PT","None"),IFERROR(VLOOKUP($L119,TypeTable,2,0),"None"))))</f>
        <v/>
      </c>
      <c r="AY119" s="11" t="str">
        <f aca="false">IF(AO119=0,"",IF(AS119&lt;&gt;"",AX119,IF(AR119&lt;&gt;"",AW119,AV119)))</f>
        <v/>
      </c>
      <c r="AZ119" s="11" t="str">
        <f aca="false">IF(AO119=0,"",IF(AV119="FT",IF(AT119&lt;FT_First,0,IF(AT119&lt;FT_Y5,1+INT((AT119-FT_First)/FT_Int1),FT_PreY5+FT_PerYear*INT((AT119-FT_Y5)/12)+FT_AnnivDays+INT(MOD(AT119-FT_Y5,12)/FT_Int2))),IF(AV119="PT",IF(AT119&lt;PT_First,0,1+INT((AT119-PT_First)/PT_Int)),0)))</f>
        <v/>
      </c>
      <c r="BA119" s="11" t="str">
        <f aca="false">IF(AO119=0,"",IF(AW119="FT",IF(AT119&lt;FT_First,0,IF(AT119&lt;FT_Y5,1+INT((AT119-FT_First)/FT_Int1),FT_PreY5+FT_PerYear*INT((AT119-FT_Y5)/12)+FT_AnnivDays+INT(MOD(AT119-FT_Y5,12)/FT_Int2))),IF(AW119="PT",IF(AT119&lt;PT_First,0,1+INT((AT119-PT_First)/PT_Int)),0)))</f>
        <v/>
      </c>
      <c r="BB119" s="11" t="str">
        <f aca="false">IF(AO119=0,"",IF(AW119="FT",IF(AU119&lt;FT_First,0,IF(AU119&lt;FT_Y5,1+INT((AU119-FT_First)/FT_Int1),FT_PreY5+FT_PerYear*INT((AU119-FT_Y5)/12)+FT_AnnivDays+INT(MOD(AU119-FT_Y5,12)/FT_Int2))),IF(AW119="PT",IF(AU119&lt;PT_First,0,1+INT((AU119-PT_First)/PT_Int)),0)))</f>
        <v/>
      </c>
      <c r="BC119" s="11" t="str">
        <f aca="false">IF(AO119=0,"",IF(AX119="FT",IF(AU119&lt;FT_First,0,IF(AU119&lt;FT_Y5,1+INT((AU119-FT_First)/FT_Int1),FT_PreY5+FT_PerYear*INT((AU119-FT_Y5)/12)+FT_AnnivDays+INT(MOD(AU119-FT_Y5,12)/FT_Int2))),IF(AX119="PT",IF(AU119&lt;PT_First,0,1+INT((AU119-PT_First)/PT_Int)),0)))</f>
        <v/>
      </c>
      <c r="BD119" s="11" t="str">
        <f aca="false">IF(AO119=0,"",IF(AX119="FT",IF(AQ119&lt;FT_First,0,IF(AQ119&lt;FT_Y5,1+INT((AQ119-FT_First)/FT_Int1),FT_PreY5+FT_PerYear*INT((AQ119-FT_Y5)/12)+FT_AnnivDays+INT(MOD(AQ119-FT_Y5,12)/FT_Int2))),IF(AX119="PT",IF(AQ119&lt;PT_First,0,1+INT((AQ119-PT_First)/PT_Int)),0)))</f>
        <v/>
      </c>
      <c r="BE119" s="11" t="str">
        <f aca="false">IF(AO119=0,"",IF(AY119="FT",IF(AQ119&lt;FT_First,FT_First,IF(AQ119&lt;FT_Y5,MIN(FT_Y5,FT_First+FT_Int1*(INT((AQ119-FT_First)/FT_Int1)+1)),FT_Y5+12*INT((AQ119-FT_Y5)/12)+FT_Int2*(INT(MOD(AQ119-FT_Y5,12)/FT_Int2)+1))),IF(AY119="PT",IF(AQ119&lt;PT_First,PT_First,PT_First+PT_Int*(INT((AQ119-PT_First)/PT_Int)+1)),"")))</f>
        <v/>
      </c>
      <c r="BF119" s="11" t="n">
        <f aca="false">IF(AO119=0,0,IF(AND($Q119&lt;&gt;"",$Q119&lt;=AsOfDate),1,0))</f>
        <v>0</v>
      </c>
      <c r="BG119" s="11" t="str">
        <f aca="false">IF(AND(AO119=1,BF119=0,EH_Ready,N(AB119)&gt;0,N(AI119)=0),COUNT($BG$5:BG118)+1,"")</f>
        <v/>
      </c>
      <c r="BH119" s="11" t="str">
        <f aca="false">IF(AND(AO119=1,BF119=0,EH_Ready,N(AB119)&gt;0,N(AI119)&gt;0,N(AK119)&gt;0),COUNT($BH$5:BH118)+1,"")</f>
        <v/>
      </c>
      <c r="BI119" s="11" t="str">
        <f aca="false">IF(AND(AO119=1,OR(LEFT(AM119,3)="ADD",LEFT(AM119,3)="SET",LEFT(AM119,5)="CHECK",LEFT(AM119,10)="TERMINATED")),COUNT($BI$5:BI118)+1,"")</f>
        <v/>
      </c>
      <c r="BJ119" s="11" t="str">
        <f aca="false">IF(AO119=0,"",$A119&amp;" - "&amp;$B119&amp;" "&amp;$C119)</f>
        <v/>
      </c>
    </row>
    <row r="120" customFormat="false" ht="15" hidden="false" customHeight="false" outlineLevel="0" collapsed="false">
      <c r="A120" s="10"/>
      <c r="B120" s="10"/>
      <c r="C120" s="10"/>
      <c r="D120" s="10"/>
      <c r="E120" s="9"/>
      <c r="F120" s="10"/>
      <c r="G120" s="30"/>
      <c r="H120" s="9"/>
      <c r="I120" s="10"/>
      <c r="J120" s="30"/>
      <c r="K120" s="9"/>
      <c r="L120" s="10"/>
      <c r="M120" s="30"/>
      <c r="N120" s="9"/>
      <c r="O120" s="9"/>
      <c r="P120" s="30"/>
      <c r="Q120" s="9"/>
      <c r="R120" s="10"/>
      <c r="S120" s="11" t="str">
        <f aca="false">IF(AO120=0,"",IF($H120="","",$F120&amp;" -&gt; "&amp;$I120&amp;IF($I120="Part-Time"," ("&amp;N($J120)&amp;" hrs)","")&amp;" on "&amp;TEXT($H120,"dd/mm/yyyy")&amp;IF($H120&gt;AsOfDate," (FUTURE)","")&amp;IF($K120="","","; "&amp;$I120&amp;" -&gt; "&amp;$L120&amp;IF($L120="Part-Time"," ("&amp;N($M120)&amp;" hrs)","")&amp;" on "&amp;TEXT($K120,"dd/mm/yyyy")&amp;IF($K120&gt;AsOfDate," (FUTURE)",""))))</f>
        <v/>
      </c>
      <c r="T120" s="11" t="str">
        <f aca="false">IF(AO120=0,"",IF(AS120&lt;&gt;"",$L120,IF(AR120&lt;&gt;"",$I120,$F120)))</f>
        <v/>
      </c>
      <c r="U120" s="26" t="str">
        <f aca="false">IF(AO120=0,"",IF(AS120&lt;&gt;"",$M120,IF(AR120&lt;&gt;"",$J120,$G120)))</f>
        <v/>
      </c>
      <c r="V120" s="11" t="str">
        <f aca="false">IF(AO120=0,"",IF(AY120="FT","Full-Time",IF(AY120="PT","Part-Time","Not eligible")))</f>
        <v/>
      </c>
      <c r="W120" s="27" t="str">
        <f aca="false">IF(AO120=0,"",IF(AR120="",IF(AND($H120&lt;&gt;"",$H120&gt;AsOfDate),"Future change - not yet applied",""),IF(AND(AV120=AY120,OR(AS120="",AW120=AV120)),"Type changed - same accrual pathway",IF(AY120="None","STOPPED accruing from "&amp;TEXT(IF(AS120&lt;&gt;"",AS120,AR120),"dd/mm/yyyy"),IF(AV120="None","STARTED qualifying from "&amp;TEXT(IF(AS120&lt;&gt;"",AS120,AR120),"dd/mm/yyyy"),"Pathway changed "&amp;AV120&amp;" -&gt; "&amp;AW120&amp;IF(AS120&lt;&gt;""," -&gt; "&amp;AX120,"")&amp;" from "&amp;TEXT(IF(AS120&lt;&gt;"",AS120,AR120),"dd/mm/yyyy"))))))</f>
        <v/>
      </c>
      <c r="X120" s="28" t="str">
        <f aca="false">IF(AO120=0,"",IF($Q120="",AsOfDate,MIN(AsOfDate,$Q120)))</f>
        <v/>
      </c>
      <c r="Y120" s="26" t="str">
        <f aca="false">IF(AO120=0,"",MAX(0,AQ120))</f>
        <v/>
      </c>
      <c r="Z120" s="11" t="str">
        <f aca="false">IF(AO120=0,"",IF(AQ120&lt;0,"Not started",INT(AQ120/12)&amp;"y "&amp;MOD(AQ120,12)&amp;"m"))</f>
        <v/>
      </c>
      <c r="AA120" s="27" t="str">
        <f aca="false">IF(AO120=0,"",IF(BF120=1,"Terminated - balance forfeited",IF(AY120="None",IF(AB120&gt;0,"No longer accruing - "&amp;T120,"Not eligible - "&amp;T120&amp;IF(AND(IFERROR(VLOOKUP(T120,TypeTable,2,0),"None")="PT",N(U120)&lt;PT_MinHours)," (under "&amp;PT_MinHours&amp;" hrs)","")),IF(AB120&gt;0,"Yes - accruing","Not yet - qualifies "&amp;TEXT(AD120,"dd/mm/yyyy")))))</f>
        <v/>
      </c>
      <c r="AB120" s="26" t="str">
        <f aca="false">IF(AO120=0,"",AZ120+IF(AR120="",0,BB120-BA120)+IF(AS120="",0,BD120-BC120))</f>
        <v/>
      </c>
      <c r="AC120" s="26" t="str">
        <f aca="false">IF(AO120=0,"",AB120*HoursPerDay)</f>
        <v/>
      </c>
      <c r="AD120" s="28" t="str">
        <f aca="false">IF(AO120=0,"",IF(OR(BF120=1,AY120="None"),"",EDATE($E120+AP120,BE120)))</f>
        <v/>
      </c>
      <c r="AE120" s="26" t="str">
        <f aca="false">IF(AD120="","",IF(AY120="PT",1,IF(BE120&lt;FT_Y5,1,IF(MOD(BE120-FT_Y5,12)=0,FT_AnnivDays,1))))</f>
        <v/>
      </c>
      <c r="AF120" s="27" t="str">
        <f aca="false">IF(AO120=0,"",IF(NOT(EH_Ready),"Map headers",IF(IF(MatchMode="Employee ID",COUNTIFS(INDEX(EH_Data,0,EH_ColID),$A120,INDEX(EH_Data,0,EH_ColCat),BonusCat),COUNTIFS(INDEX(EH_Data,0,EH_ColFirst),$B120,INDEX(EH_Data,0,EH_ColSur),$C120,INDEX(EH_Data,0,EH_ColCat),BonusCat))&gt;0,"Yes","No")))</f>
        <v/>
      </c>
      <c r="AG120" s="26" t="str">
        <f aca="false">IF(AO120=0,"",IF(NOT(EH_Ready),"",IF(MatchMode="Employee ID",SUMIFS(INDEX(EH_Data,0,EH_ColBal),INDEX(EH_Data,0,EH_ColID),$A120,INDEX(EH_Data,0,EH_ColCat),BonusCat),SUMIFS(INDEX(EH_Data,0,EH_ColBal),INDEX(EH_Data,0,EH_ColFirst),$B120,INDEX(EH_Data,0,EH_ColSur),$C120,INDEX(EH_Data,0,EH_ColCat),BonusCat))/IF(EHUnit="Hours",HoursPerDay,1)))</f>
        <v/>
      </c>
      <c r="AH120" s="26" t="str">
        <f aca="false">IF(AO120=0,"",IF(NOT(TK_Ready),0,IF(MatchMode="Employee ID",SUMIFS(INDEX(TK_Data,0,TK_ColAmt),INDEX(TK_Data,0,TK_ColID),$A120,INDEX(TK_Data,0,TK_ColCat),BonusCat),SUMIFS(INDEX(TK_Data,0,TK_ColAmt),INDEX(TK_Data,0,TK_ColFirst),$B120,INDEX(TK_Data,0,TK_ColSur),$C120,INDEX(TK_Data,0,TK_ColCat),BonusCat))/IF(TKUnit="Hours",HoursPerDay,1)))</f>
        <v/>
      </c>
      <c r="AI120" s="26" t="str">
        <f aca="false">IF(AO120=0,"",N(AG120)+N(AH120))</f>
        <v/>
      </c>
      <c r="AJ120" s="29" t="str">
        <f aca="false">IF(AO120=0,"",IF(NOT(AND(EH_Ready,EH_ValReady)),"",IF(MatchMode="Employee ID",SUMIFS(INDEX(EH_Data,0,EH_ColVal),INDEX(EH_Data,0,EH_ColID),$A120,INDEX(EH_Data,0,EH_ColCat),BonusCat),SUMIFS(INDEX(EH_Data,0,EH_ColVal),INDEX(EH_Data,0,EH_ColFirst),$B120,INDEX(EH_Data,0,EH_ColSur),$C120,INDEX(EH_Data,0,EH_ColCat),BonusCat))))</f>
        <v/>
      </c>
      <c r="AK120" s="26" t="str">
        <f aca="false">IF(AO120=0,"",IF(OR(NOT(EH_Ready),BF120=1),"",AB120-AI120))</f>
        <v/>
      </c>
      <c r="AL120" s="26" t="str">
        <f aca="false">IF(AK120="","",AK120*HoursPerDay)</f>
        <v/>
      </c>
      <c r="AM120" s="27" t="str">
        <f aca="false">IF(AO120=0,"",IF(BF120=1,IF(N(AG120)&gt;0,"TERMINATED - forfeit "&amp;TEXT(AG120,"0.##")&amp;" days still in EH","Terminated - nothing in EH"),IF(NOT(EH_Ready),"Paste EH export and map headers on Settings",IF(AND(AB120&gt;0,AF120="No"),"SET UP in EH - add "&amp;TEXT(AB120,"0.##")&amp;" day(s) ("&amp;TEXT(AC120,"0.##")&amp;" hrs)",IF(AK120&gt;0,"ADD "&amp;TEXT(AK120,"0.##")&amp;" day(s) ("&amp;TEXT(AL120,"0.##")&amp;" hrs) in EH",IF(AK120&lt;0,"CHECK - EH shows "&amp;TEXT(-AK120,"0.##")&amp;" days more than policy",IF(AB120&gt;0,"OK - up to date",IF(AY120="None","No action - not eligible","No action - not yet qualified"))))))))</f>
        <v/>
      </c>
      <c r="AN120" s="27" t="str">
        <f aca="false">IF(AO120=0,"",TRIM(IF(AND($K120&lt;&gt;"",$H120=""),"Change 2 entered without Change 1. ","")&amp;IF(AND($K120&lt;&gt;"",$H120&lt;&gt;"",$K120&lt;=$H120),"Change 2 date not after Change 1. ","")&amp;IF(AND($N120&lt;&gt;"",$O120&lt;&gt;"",$O120&lt;$N120),"Leave To is before Leave From. ","")&amp;IF(AND($N120&lt;&gt;"",$O120=""),"Leave From entered without Leave To. ","")&amp;IF(AND(IFERROR(VLOOKUP(T120,TypeTable,2,0),"None")="PT",U120=""),"Part-time with no hours entered. ","")&amp;IF(AND($H120&lt;&gt;"",$H120&gt;AsOfDate,AD120&lt;&gt;"",$H120&lt;=AD120),"Status change lands before next accrual - review. ","")&amp;IF(AND($Q120&lt;&gt;"",$Q120&lt;$E120),"Termination before commencement. ","")))</f>
        <v/>
      </c>
      <c r="AO120" s="11" t="n">
        <f aca="false">IF(LEN($A120&amp;$B120&amp;$C120)=0,0,IF($E120="",0,1))</f>
        <v>0</v>
      </c>
      <c r="AP120" s="11" t="str">
        <f aca="false">IF(AO120=0,"",(IF(OR($N120="",$O120=""),0,MAX(0,MIN(X120,$O120)-MAX($N120,$E120)+1))+N($P120)))</f>
        <v/>
      </c>
      <c r="AQ120" s="11" t="str">
        <f aca="false">IF(AO120=0,"",IF(X120&lt;($E120+(IF(OR($N120="",$O120=""),0,MAX(0,MIN(X120,$O120)-MAX($N120,$E120)+1))+N($P120))),-1,12*(YEAR(X120)-YEAR(($E120+(IF(OR($N120="",$O120=""),0,MAX(0,MIN(X120,$O120)-MAX($N120,$E120)+1))+N($P120)))))+MONTH(X120)-MONTH(($E120+(IF(OR($N120="",$O120=""),0,MAX(0,MIN(X120,$O120)-MAX($N120,$E120)+1))+N($P120))))-IF(DAY(X120)&lt;MIN(DAY(($E120+(IF(OR($N120="",$O120=""),0,MAX(0,MIN(X120,$O120)-MAX($N120,$E120)+1))+N($P120)))),DAY(EOMONTH(X120,0))),1,0)))</f>
        <v/>
      </c>
      <c r="AR120" s="28" t="str">
        <f aca="false">IF(AO120=0,"",IF($H120="","",IF($H120&gt;X120,"",$H120)))</f>
        <v/>
      </c>
      <c r="AS120" s="28" t="str">
        <f aca="false">IF(AO120=0,"",IF(AR120="","",IF($K120="","",IF($K120&gt;X120,"",$K120))))</f>
        <v/>
      </c>
      <c r="AT120" s="11" t="str">
        <f aca="false">IF(AO120=0,"",IF(AR120="",AQ120,IF((AR120-1)&lt;($E120+(IF(OR($N120="",$O120=""),0,MAX(0,MIN((AR120-1),$O120)-MAX($N120,$E120)+1))+N($P120))),-1,12*(YEAR((AR120-1))-YEAR(($E120+(IF(OR($N120="",$O120=""),0,MAX(0,MIN((AR120-1),$O120)-MAX($N120,$E120)+1))+N($P120)))))+MONTH((AR120-1))-MONTH(($E120+(IF(OR($N120="",$O120=""),0,MAX(0,MIN((AR120-1),$O120)-MAX($N120,$E120)+1))+N($P120))))-IF(DAY((AR120-1))&lt;MIN(DAY(($E120+(IF(OR($N120="",$O120=""),0,MAX(0,MIN((AR120-1),$O120)-MAX($N120,$E120)+1))+N($P120)))),DAY(EOMONTH((AR120-1),0))),1,0))))</f>
        <v/>
      </c>
      <c r="AU120" s="11" t="str">
        <f aca="false">IF(AO120=0,"",IF(AS120="",AQ120,IF((AS120-1)&lt;($E120+(IF(OR($N120="",$O120=""),0,MAX(0,MIN((AS120-1),$O120)-MAX($N120,$E120)+1))+N($P120))),-1,12*(YEAR((AS120-1))-YEAR(($E120+(IF(OR($N120="",$O120=""),0,MAX(0,MIN((AS120-1),$O120)-MAX($N120,$E120)+1))+N($P120)))))+MONTH((AS120-1))-MONTH(($E120+(IF(OR($N120="",$O120=""),0,MAX(0,MIN((AS120-1),$O120)-MAX($N120,$E120)+1))+N($P120))))-IF(DAY((AS120-1))&lt;MIN(DAY(($E120+(IF(OR($N120="",$O120=""),0,MAX(0,MIN((AS120-1),$O120)-MAX($N120,$E120)+1))+N($P120)))),DAY(EOMONTH((AS120-1),0))),1,0))))</f>
        <v/>
      </c>
      <c r="AV120" s="11" t="str">
        <f aca="false">IF(AO120=0,"",IF($F120="","None",IF(IFERROR(VLOOKUP($F120,TypeTable,2,0),"None")="PT",IF(N($G120)&gt;=PT_MinHours,"PT","None"),IFERROR(VLOOKUP($F120,TypeTable,2,0),"None"))))</f>
        <v/>
      </c>
      <c r="AW120" s="11" t="str">
        <f aca="false">IF(AO120=0,"",IF($I120="","None",IF(IFERROR(VLOOKUP($I120,TypeTable,2,0),"None")="PT",IF(N($J120)&gt;=PT_MinHours,"PT","None"),IFERROR(VLOOKUP($I120,TypeTable,2,0),"None"))))</f>
        <v/>
      </c>
      <c r="AX120" s="11" t="str">
        <f aca="false">IF(AO120=0,"",IF($L120="","None",IF(IFERROR(VLOOKUP($L120,TypeTable,2,0),"None")="PT",IF(N($M120)&gt;=PT_MinHours,"PT","None"),IFERROR(VLOOKUP($L120,TypeTable,2,0),"None"))))</f>
        <v/>
      </c>
      <c r="AY120" s="11" t="str">
        <f aca="false">IF(AO120=0,"",IF(AS120&lt;&gt;"",AX120,IF(AR120&lt;&gt;"",AW120,AV120)))</f>
        <v/>
      </c>
      <c r="AZ120" s="11" t="str">
        <f aca="false">IF(AO120=0,"",IF(AV120="FT",IF(AT120&lt;FT_First,0,IF(AT120&lt;FT_Y5,1+INT((AT120-FT_First)/FT_Int1),FT_PreY5+FT_PerYear*INT((AT120-FT_Y5)/12)+FT_AnnivDays+INT(MOD(AT120-FT_Y5,12)/FT_Int2))),IF(AV120="PT",IF(AT120&lt;PT_First,0,1+INT((AT120-PT_First)/PT_Int)),0)))</f>
        <v/>
      </c>
      <c r="BA120" s="11" t="str">
        <f aca="false">IF(AO120=0,"",IF(AW120="FT",IF(AT120&lt;FT_First,0,IF(AT120&lt;FT_Y5,1+INT((AT120-FT_First)/FT_Int1),FT_PreY5+FT_PerYear*INT((AT120-FT_Y5)/12)+FT_AnnivDays+INT(MOD(AT120-FT_Y5,12)/FT_Int2))),IF(AW120="PT",IF(AT120&lt;PT_First,0,1+INT((AT120-PT_First)/PT_Int)),0)))</f>
        <v/>
      </c>
      <c r="BB120" s="11" t="str">
        <f aca="false">IF(AO120=0,"",IF(AW120="FT",IF(AU120&lt;FT_First,0,IF(AU120&lt;FT_Y5,1+INT((AU120-FT_First)/FT_Int1),FT_PreY5+FT_PerYear*INT((AU120-FT_Y5)/12)+FT_AnnivDays+INT(MOD(AU120-FT_Y5,12)/FT_Int2))),IF(AW120="PT",IF(AU120&lt;PT_First,0,1+INT((AU120-PT_First)/PT_Int)),0)))</f>
        <v/>
      </c>
      <c r="BC120" s="11" t="str">
        <f aca="false">IF(AO120=0,"",IF(AX120="FT",IF(AU120&lt;FT_First,0,IF(AU120&lt;FT_Y5,1+INT((AU120-FT_First)/FT_Int1),FT_PreY5+FT_PerYear*INT((AU120-FT_Y5)/12)+FT_AnnivDays+INT(MOD(AU120-FT_Y5,12)/FT_Int2))),IF(AX120="PT",IF(AU120&lt;PT_First,0,1+INT((AU120-PT_First)/PT_Int)),0)))</f>
        <v/>
      </c>
      <c r="BD120" s="11" t="str">
        <f aca="false">IF(AO120=0,"",IF(AX120="FT",IF(AQ120&lt;FT_First,0,IF(AQ120&lt;FT_Y5,1+INT((AQ120-FT_First)/FT_Int1),FT_PreY5+FT_PerYear*INT((AQ120-FT_Y5)/12)+FT_AnnivDays+INT(MOD(AQ120-FT_Y5,12)/FT_Int2))),IF(AX120="PT",IF(AQ120&lt;PT_First,0,1+INT((AQ120-PT_First)/PT_Int)),0)))</f>
        <v/>
      </c>
      <c r="BE120" s="11" t="str">
        <f aca="false">IF(AO120=0,"",IF(AY120="FT",IF(AQ120&lt;FT_First,FT_First,IF(AQ120&lt;FT_Y5,MIN(FT_Y5,FT_First+FT_Int1*(INT((AQ120-FT_First)/FT_Int1)+1)),FT_Y5+12*INT((AQ120-FT_Y5)/12)+FT_Int2*(INT(MOD(AQ120-FT_Y5,12)/FT_Int2)+1))),IF(AY120="PT",IF(AQ120&lt;PT_First,PT_First,PT_First+PT_Int*(INT((AQ120-PT_First)/PT_Int)+1)),"")))</f>
        <v/>
      </c>
      <c r="BF120" s="11" t="n">
        <f aca="false">IF(AO120=0,0,IF(AND($Q120&lt;&gt;"",$Q120&lt;=AsOfDate),1,0))</f>
        <v>0</v>
      </c>
      <c r="BG120" s="11" t="str">
        <f aca="false">IF(AND(AO120=1,BF120=0,EH_Ready,N(AB120)&gt;0,N(AI120)=0),COUNT($BG$5:BG119)+1,"")</f>
        <v/>
      </c>
      <c r="BH120" s="11" t="str">
        <f aca="false">IF(AND(AO120=1,BF120=0,EH_Ready,N(AB120)&gt;0,N(AI120)&gt;0,N(AK120)&gt;0),COUNT($BH$5:BH119)+1,"")</f>
        <v/>
      </c>
      <c r="BI120" s="11" t="str">
        <f aca="false">IF(AND(AO120=1,OR(LEFT(AM120,3)="ADD",LEFT(AM120,3)="SET",LEFT(AM120,5)="CHECK",LEFT(AM120,10)="TERMINATED")),COUNT($BI$5:BI119)+1,"")</f>
        <v/>
      </c>
      <c r="BJ120" s="11" t="str">
        <f aca="false">IF(AO120=0,"",$A120&amp;" - "&amp;$B120&amp;" "&amp;$C120)</f>
        <v/>
      </c>
    </row>
    <row r="121" customFormat="false" ht="15" hidden="false" customHeight="false" outlineLevel="0" collapsed="false">
      <c r="A121" s="10"/>
      <c r="B121" s="10"/>
      <c r="C121" s="10"/>
      <c r="D121" s="10"/>
      <c r="E121" s="9"/>
      <c r="F121" s="10"/>
      <c r="G121" s="30"/>
      <c r="H121" s="9"/>
      <c r="I121" s="10"/>
      <c r="J121" s="30"/>
      <c r="K121" s="9"/>
      <c r="L121" s="10"/>
      <c r="M121" s="30"/>
      <c r="N121" s="9"/>
      <c r="O121" s="9"/>
      <c r="P121" s="30"/>
      <c r="Q121" s="9"/>
      <c r="R121" s="10"/>
      <c r="S121" s="11" t="str">
        <f aca="false">IF(AO121=0,"",IF($H121="","",$F121&amp;" -&gt; "&amp;$I121&amp;IF($I121="Part-Time"," ("&amp;N($J121)&amp;" hrs)","")&amp;" on "&amp;TEXT($H121,"dd/mm/yyyy")&amp;IF($H121&gt;AsOfDate," (FUTURE)","")&amp;IF($K121="","","; "&amp;$I121&amp;" -&gt; "&amp;$L121&amp;IF($L121="Part-Time"," ("&amp;N($M121)&amp;" hrs)","")&amp;" on "&amp;TEXT($K121,"dd/mm/yyyy")&amp;IF($K121&gt;AsOfDate," (FUTURE)",""))))</f>
        <v/>
      </c>
      <c r="T121" s="11" t="str">
        <f aca="false">IF(AO121=0,"",IF(AS121&lt;&gt;"",$L121,IF(AR121&lt;&gt;"",$I121,$F121)))</f>
        <v/>
      </c>
      <c r="U121" s="26" t="str">
        <f aca="false">IF(AO121=0,"",IF(AS121&lt;&gt;"",$M121,IF(AR121&lt;&gt;"",$J121,$G121)))</f>
        <v/>
      </c>
      <c r="V121" s="11" t="str">
        <f aca="false">IF(AO121=0,"",IF(AY121="FT","Full-Time",IF(AY121="PT","Part-Time","Not eligible")))</f>
        <v/>
      </c>
      <c r="W121" s="27" t="str">
        <f aca="false">IF(AO121=0,"",IF(AR121="",IF(AND($H121&lt;&gt;"",$H121&gt;AsOfDate),"Future change - not yet applied",""),IF(AND(AV121=AY121,OR(AS121="",AW121=AV121)),"Type changed - same accrual pathway",IF(AY121="None","STOPPED accruing from "&amp;TEXT(IF(AS121&lt;&gt;"",AS121,AR121),"dd/mm/yyyy"),IF(AV121="None","STARTED qualifying from "&amp;TEXT(IF(AS121&lt;&gt;"",AS121,AR121),"dd/mm/yyyy"),"Pathway changed "&amp;AV121&amp;" -&gt; "&amp;AW121&amp;IF(AS121&lt;&gt;""," -&gt; "&amp;AX121,"")&amp;" from "&amp;TEXT(IF(AS121&lt;&gt;"",AS121,AR121),"dd/mm/yyyy"))))))</f>
        <v/>
      </c>
      <c r="X121" s="28" t="str">
        <f aca="false">IF(AO121=0,"",IF($Q121="",AsOfDate,MIN(AsOfDate,$Q121)))</f>
        <v/>
      </c>
      <c r="Y121" s="26" t="str">
        <f aca="false">IF(AO121=0,"",MAX(0,AQ121))</f>
        <v/>
      </c>
      <c r="Z121" s="11" t="str">
        <f aca="false">IF(AO121=0,"",IF(AQ121&lt;0,"Not started",INT(AQ121/12)&amp;"y "&amp;MOD(AQ121,12)&amp;"m"))</f>
        <v/>
      </c>
      <c r="AA121" s="27" t="str">
        <f aca="false">IF(AO121=0,"",IF(BF121=1,"Terminated - balance forfeited",IF(AY121="None",IF(AB121&gt;0,"No longer accruing - "&amp;T121,"Not eligible - "&amp;T121&amp;IF(AND(IFERROR(VLOOKUP(T121,TypeTable,2,0),"None")="PT",N(U121)&lt;PT_MinHours)," (under "&amp;PT_MinHours&amp;" hrs)","")),IF(AB121&gt;0,"Yes - accruing","Not yet - qualifies "&amp;TEXT(AD121,"dd/mm/yyyy")))))</f>
        <v/>
      </c>
      <c r="AB121" s="26" t="str">
        <f aca="false">IF(AO121=0,"",AZ121+IF(AR121="",0,BB121-BA121)+IF(AS121="",0,BD121-BC121))</f>
        <v/>
      </c>
      <c r="AC121" s="26" t="str">
        <f aca="false">IF(AO121=0,"",AB121*HoursPerDay)</f>
        <v/>
      </c>
      <c r="AD121" s="28" t="str">
        <f aca="false">IF(AO121=0,"",IF(OR(BF121=1,AY121="None"),"",EDATE($E121+AP121,BE121)))</f>
        <v/>
      </c>
      <c r="AE121" s="26" t="str">
        <f aca="false">IF(AD121="","",IF(AY121="PT",1,IF(BE121&lt;FT_Y5,1,IF(MOD(BE121-FT_Y5,12)=0,FT_AnnivDays,1))))</f>
        <v/>
      </c>
      <c r="AF121" s="27" t="str">
        <f aca="false">IF(AO121=0,"",IF(NOT(EH_Ready),"Map headers",IF(IF(MatchMode="Employee ID",COUNTIFS(INDEX(EH_Data,0,EH_ColID),$A121,INDEX(EH_Data,0,EH_ColCat),BonusCat),COUNTIFS(INDEX(EH_Data,0,EH_ColFirst),$B121,INDEX(EH_Data,0,EH_ColSur),$C121,INDEX(EH_Data,0,EH_ColCat),BonusCat))&gt;0,"Yes","No")))</f>
        <v/>
      </c>
      <c r="AG121" s="26" t="str">
        <f aca="false">IF(AO121=0,"",IF(NOT(EH_Ready),"",IF(MatchMode="Employee ID",SUMIFS(INDEX(EH_Data,0,EH_ColBal),INDEX(EH_Data,0,EH_ColID),$A121,INDEX(EH_Data,0,EH_ColCat),BonusCat),SUMIFS(INDEX(EH_Data,0,EH_ColBal),INDEX(EH_Data,0,EH_ColFirst),$B121,INDEX(EH_Data,0,EH_ColSur),$C121,INDEX(EH_Data,0,EH_ColCat),BonusCat))/IF(EHUnit="Hours",HoursPerDay,1)))</f>
        <v/>
      </c>
      <c r="AH121" s="26" t="str">
        <f aca="false">IF(AO121=0,"",IF(NOT(TK_Ready),0,IF(MatchMode="Employee ID",SUMIFS(INDEX(TK_Data,0,TK_ColAmt),INDEX(TK_Data,0,TK_ColID),$A121,INDEX(TK_Data,0,TK_ColCat),BonusCat),SUMIFS(INDEX(TK_Data,0,TK_ColAmt),INDEX(TK_Data,0,TK_ColFirst),$B121,INDEX(TK_Data,0,TK_ColSur),$C121,INDEX(TK_Data,0,TK_ColCat),BonusCat))/IF(TKUnit="Hours",HoursPerDay,1)))</f>
        <v/>
      </c>
      <c r="AI121" s="26" t="str">
        <f aca="false">IF(AO121=0,"",N(AG121)+N(AH121))</f>
        <v/>
      </c>
      <c r="AJ121" s="29" t="str">
        <f aca="false">IF(AO121=0,"",IF(NOT(AND(EH_Ready,EH_ValReady)),"",IF(MatchMode="Employee ID",SUMIFS(INDEX(EH_Data,0,EH_ColVal),INDEX(EH_Data,0,EH_ColID),$A121,INDEX(EH_Data,0,EH_ColCat),BonusCat),SUMIFS(INDEX(EH_Data,0,EH_ColVal),INDEX(EH_Data,0,EH_ColFirst),$B121,INDEX(EH_Data,0,EH_ColSur),$C121,INDEX(EH_Data,0,EH_ColCat),BonusCat))))</f>
        <v/>
      </c>
      <c r="AK121" s="26" t="str">
        <f aca="false">IF(AO121=0,"",IF(OR(NOT(EH_Ready),BF121=1),"",AB121-AI121))</f>
        <v/>
      </c>
      <c r="AL121" s="26" t="str">
        <f aca="false">IF(AK121="","",AK121*HoursPerDay)</f>
        <v/>
      </c>
      <c r="AM121" s="27" t="str">
        <f aca="false">IF(AO121=0,"",IF(BF121=1,IF(N(AG121)&gt;0,"TERMINATED - forfeit "&amp;TEXT(AG121,"0.##")&amp;" days still in EH","Terminated - nothing in EH"),IF(NOT(EH_Ready),"Paste EH export and map headers on Settings",IF(AND(AB121&gt;0,AF121="No"),"SET UP in EH - add "&amp;TEXT(AB121,"0.##")&amp;" day(s) ("&amp;TEXT(AC121,"0.##")&amp;" hrs)",IF(AK121&gt;0,"ADD "&amp;TEXT(AK121,"0.##")&amp;" day(s) ("&amp;TEXT(AL121,"0.##")&amp;" hrs) in EH",IF(AK121&lt;0,"CHECK - EH shows "&amp;TEXT(-AK121,"0.##")&amp;" days more than policy",IF(AB121&gt;0,"OK - up to date",IF(AY121="None","No action - not eligible","No action - not yet qualified"))))))))</f>
        <v/>
      </c>
      <c r="AN121" s="27" t="str">
        <f aca="false">IF(AO121=0,"",TRIM(IF(AND($K121&lt;&gt;"",$H121=""),"Change 2 entered without Change 1. ","")&amp;IF(AND($K121&lt;&gt;"",$H121&lt;&gt;"",$K121&lt;=$H121),"Change 2 date not after Change 1. ","")&amp;IF(AND($N121&lt;&gt;"",$O121&lt;&gt;"",$O121&lt;$N121),"Leave To is before Leave From. ","")&amp;IF(AND($N121&lt;&gt;"",$O121=""),"Leave From entered without Leave To. ","")&amp;IF(AND(IFERROR(VLOOKUP(T121,TypeTable,2,0),"None")="PT",U121=""),"Part-time with no hours entered. ","")&amp;IF(AND($H121&lt;&gt;"",$H121&gt;AsOfDate,AD121&lt;&gt;"",$H121&lt;=AD121),"Status change lands before next accrual - review. ","")&amp;IF(AND($Q121&lt;&gt;"",$Q121&lt;$E121),"Termination before commencement. ","")))</f>
        <v/>
      </c>
      <c r="AO121" s="11" t="n">
        <f aca="false">IF(LEN($A121&amp;$B121&amp;$C121)=0,0,IF($E121="",0,1))</f>
        <v>0</v>
      </c>
      <c r="AP121" s="11" t="str">
        <f aca="false">IF(AO121=0,"",(IF(OR($N121="",$O121=""),0,MAX(0,MIN(X121,$O121)-MAX($N121,$E121)+1))+N($P121)))</f>
        <v/>
      </c>
      <c r="AQ121" s="11" t="str">
        <f aca="false">IF(AO121=0,"",IF(X121&lt;($E121+(IF(OR($N121="",$O121=""),0,MAX(0,MIN(X121,$O121)-MAX($N121,$E121)+1))+N($P121))),-1,12*(YEAR(X121)-YEAR(($E121+(IF(OR($N121="",$O121=""),0,MAX(0,MIN(X121,$O121)-MAX($N121,$E121)+1))+N($P121)))))+MONTH(X121)-MONTH(($E121+(IF(OR($N121="",$O121=""),0,MAX(0,MIN(X121,$O121)-MAX($N121,$E121)+1))+N($P121))))-IF(DAY(X121)&lt;MIN(DAY(($E121+(IF(OR($N121="",$O121=""),0,MAX(0,MIN(X121,$O121)-MAX($N121,$E121)+1))+N($P121)))),DAY(EOMONTH(X121,0))),1,0)))</f>
        <v/>
      </c>
      <c r="AR121" s="28" t="str">
        <f aca="false">IF(AO121=0,"",IF($H121="","",IF($H121&gt;X121,"",$H121)))</f>
        <v/>
      </c>
      <c r="AS121" s="28" t="str">
        <f aca="false">IF(AO121=0,"",IF(AR121="","",IF($K121="","",IF($K121&gt;X121,"",$K121))))</f>
        <v/>
      </c>
      <c r="AT121" s="11" t="str">
        <f aca="false">IF(AO121=0,"",IF(AR121="",AQ121,IF((AR121-1)&lt;($E121+(IF(OR($N121="",$O121=""),0,MAX(0,MIN((AR121-1),$O121)-MAX($N121,$E121)+1))+N($P121))),-1,12*(YEAR((AR121-1))-YEAR(($E121+(IF(OR($N121="",$O121=""),0,MAX(0,MIN((AR121-1),$O121)-MAX($N121,$E121)+1))+N($P121)))))+MONTH((AR121-1))-MONTH(($E121+(IF(OR($N121="",$O121=""),0,MAX(0,MIN((AR121-1),$O121)-MAX($N121,$E121)+1))+N($P121))))-IF(DAY((AR121-1))&lt;MIN(DAY(($E121+(IF(OR($N121="",$O121=""),0,MAX(0,MIN((AR121-1),$O121)-MAX($N121,$E121)+1))+N($P121)))),DAY(EOMONTH((AR121-1),0))),1,0))))</f>
        <v/>
      </c>
      <c r="AU121" s="11" t="str">
        <f aca="false">IF(AO121=0,"",IF(AS121="",AQ121,IF((AS121-1)&lt;($E121+(IF(OR($N121="",$O121=""),0,MAX(0,MIN((AS121-1),$O121)-MAX($N121,$E121)+1))+N($P121))),-1,12*(YEAR((AS121-1))-YEAR(($E121+(IF(OR($N121="",$O121=""),0,MAX(0,MIN((AS121-1),$O121)-MAX($N121,$E121)+1))+N($P121)))))+MONTH((AS121-1))-MONTH(($E121+(IF(OR($N121="",$O121=""),0,MAX(0,MIN((AS121-1),$O121)-MAX($N121,$E121)+1))+N($P121))))-IF(DAY((AS121-1))&lt;MIN(DAY(($E121+(IF(OR($N121="",$O121=""),0,MAX(0,MIN((AS121-1),$O121)-MAX($N121,$E121)+1))+N($P121)))),DAY(EOMONTH((AS121-1),0))),1,0))))</f>
        <v/>
      </c>
      <c r="AV121" s="11" t="str">
        <f aca="false">IF(AO121=0,"",IF($F121="","None",IF(IFERROR(VLOOKUP($F121,TypeTable,2,0),"None")="PT",IF(N($G121)&gt;=PT_MinHours,"PT","None"),IFERROR(VLOOKUP($F121,TypeTable,2,0),"None"))))</f>
        <v/>
      </c>
      <c r="AW121" s="11" t="str">
        <f aca="false">IF(AO121=0,"",IF($I121="","None",IF(IFERROR(VLOOKUP($I121,TypeTable,2,0),"None")="PT",IF(N($J121)&gt;=PT_MinHours,"PT","None"),IFERROR(VLOOKUP($I121,TypeTable,2,0),"None"))))</f>
        <v/>
      </c>
      <c r="AX121" s="11" t="str">
        <f aca="false">IF(AO121=0,"",IF($L121="","None",IF(IFERROR(VLOOKUP($L121,TypeTable,2,0),"None")="PT",IF(N($M121)&gt;=PT_MinHours,"PT","None"),IFERROR(VLOOKUP($L121,TypeTable,2,0),"None"))))</f>
        <v/>
      </c>
      <c r="AY121" s="11" t="str">
        <f aca="false">IF(AO121=0,"",IF(AS121&lt;&gt;"",AX121,IF(AR121&lt;&gt;"",AW121,AV121)))</f>
        <v/>
      </c>
      <c r="AZ121" s="11" t="str">
        <f aca="false">IF(AO121=0,"",IF(AV121="FT",IF(AT121&lt;FT_First,0,IF(AT121&lt;FT_Y5,1+INT((AT121-FT_First)/FT_Int1),FT_PreY5+FT_PerYear*INT((AT121-FT_Y5)/12)+FT_AnnivDays+INT(MOD(AT121-FT_Y5,12)/FT_Int2))),IF(AV121="PT",IF(AT121&lt;PT_First,0,1+INT((AT121-PT_First)/PT_Int)),0)))</f>
        <v/>
      </c>
      <c r="BA121" s="11" t="str">
        <f aca="false">IF(AO121=0,"",IF(AW121="FT",IF(AT121&lt;FT_First,0,IF(AT121&lt;FT_Y5,1+INT((AT121-FT_First)/FT_Int1),FT_PreY5+FT_PerYear*INT((AT121-FT_Y5)/12)+FT_AnnivDays+INT(MOD(AT121-FT_Y5,12)/FT_Int2))),IF(AW121="PT",IF(AT121&lt;PT_First,0,1+INT((AT121-PT_First)/PT_Int)),0)))</f>
        <v/>
      </c>
      <c r="BB121" s="11" t="str">
        <f aca="false">IF(AO121=0,"",IF(AW121="FT",IF(AU121&lt;FT_First,0,IF(AU121&lt;FT_Y5,1+INT((AU121-FT_First)/FT_Int1),FT_PreY5+FT_PerYear*INT((AU121-FT_Y5)/12)+FT_AnnivDays+INT(MOD(AU121-FT_Y5,12)/FT_Int2))),IF(AW121="PT",IF(AU121&lt;PT_First,0,1+INT((AU121-PT_First)/PT_Int)),0)))</f>
        <v/>
      </c>
      <c r="BC121" s="11" t="str">
        <f aca="false">IF(AO121=0,"",IF(AX121="FT",IF(AU121&lt;FT_First,0,IF(AU121&lt;FT_Y5,1+INT((AU121-FT_First)/FT_Int1),FT_PreY5+FT_PerYear*INT((AU121-FT_Y5)/12)+FT_AnnivDays+INT(MOD(AU121-FT_Y5,12)/FT_Int2))),IF(AX121="PT",IF(AU121&lt;PT_First,0,1+INT((AU121-PT_First)/PT_Int)),0)))</f>
        <v/>
      </c>
      <c r="BD121" s="11" t="str">
        <f aca="false">IF(AO121=0,"",IF(AX121="FT",IF(AQ121&lt;FT_First,0,IF(AQ121&lt;FT_Y5,1+INT((AQ121-FT_First)/FT_Int1),FT_PreY5+FT_PerYear*INT((AQ121-FT_Y5)/12)+FT_AnnivDays+INT(MOD(AQ121-FT_Y5,12)/FT_Int2))),IF(AX121="PT",IF(AQ121&lt;PT_First,0,1+INT((AQ121-PT_First)/PT_Int)),0)))</f>
        <v/>
      </c>
      <c r="BE121" s="11" t="str">
        <f aca="false">IF(AO121=0,"",IF(AY121="FT",IF(AQ121&lt;FT_First,FT_First,IF(AQ121&lt;FT_Y5,MIN(FT_Y5,FT_First+FT_Int1*(INT((AQ121-FT_First)/FT_Int1)+1)),FT_Y5+12*INT((AQ121-FT_Y5)/12)+FT_Int2*(INT(MOD(AQ121-FT_Y5,12)/FT_Int2)+1))),IF(AY121="PT",IF(AQ121&lt;PT_First,PT_First,PT_First+PT_Int*(INT((AQ121-PT_First)/PT_Int)+1)),"")))</f>
        <v/>
      </c>
      <c r="BF121" s="11" t="n">
        <f aca="false">IF(AO121=0,0,IF(AND($Q121&lt;&gt;"",$Q121&lt;=AsOfDate),1,0))</f>
        <v>0</v>
      </c>
      <c r="BG121" s="11" t="str">
        <f aca="false">IF(AND(AO121=1,BF121=0,EH_Ready,N(AB121)&gt;0,N(AI121)=0),COUNT($BG$5:BG120)+1,"")</f>
        <v/>
      </c>
      <c r="BH121" s="11" t="str">
        <f aca="false">IF(AND(AO121=1,BF121=0,EH_Ready,N(AB121)&gt;0,N(AI121)&gt;0,N(AK121)&gt;0),COUNT($BH$5:BH120)+1,"")</f>
        <v/>
      </c>
      <c r="BI121" s="11" t="str">
        <f aca="false">IF(AND(AO121=1,OR(LEFT(AM121,3)="ADD",LEFT(AM121,3)="SET",LEFT(AM121,5)="CHECK",LEFT(AM121,10)="TERMINATED")),COUNT($BI$5:BI120)+1,"")</f>
        <v/>
      </c>
      <c r="BJ121" s="11" t="str">
        <f aca="false">IF(AO121=0,"",$A121&amp;" - "&amp;$B121&amp;" "&amp;$C121)</f>
        <v/>
      </c>
    </row>
    <row r="122" customFormat="false" ht="15" hidden="false" customHeight="false" outlineLevel="0" collapsed="false">
      <c r="A122" s="10"/>
      <c r="B122" s="10"/>
      <c r="C122" s="10"/>
      <c r="D122" s="10"/>
      <c r="E122" s="9"/>
      <c r="F122" s="10"/>
      <c r="G122" s="30"/>
      <c r="H122" s="9"/>
      <c r="I122" s="10"/>
      <c r="J122" s="30"/>
      <c r="K122" s="9"/>
      <c r="L122" s="10"/>
      <c r="M122" s="30"/>
      <c r="N122" s="9"/>
      <c r="O122" s="9"/>
      <c r="P122" s="30"/>
      <c r="Q122" s="9"/>
      <c r="R122" s="10"/>
      <c r="S122" s="11" t="str">
        <f aca="false">IF(AO122=0,"",IF($H122="","",$F122&amp;" -&gt; "&amp;$I122&amp;IF($I122="Part-Time"," ("&amp;N($J122)&amp;" hrs)","")&amp;" on "&amp;TEXT($H122,"dd/mm/yyyy")&amp;IF($H122&gt;AsOfDate," (FUTURE)","")&amp;IF($K122="","","; "&amp;$I122&amp;" -&gt; "&amp;$L122&amp;IF($L122="Part-Time"," ("&amp;N($M122)&amp;" hrs)","")&amp;" on "&amp;TEXT($K122,"dd/mm/yyyy")&amp;IF($K122&gt;AsOfDate," (FUTURE)",""))))</f>
        <v/>
      </c>
      <c r="T122" s="11" t="str">
        <f aca="false">IF(AO122=0,"",IF(AS122&lt;&gt;"",$L122,IF(AR122&lt;&gt;"",$I122,$F122)))</f>
        <v/>
      </c>
      <c r="U122" s="26" t="str">
        <f aca="false">IF(AO122=0,"",IF(AS122&lt;&gt;"",$M122,IF(AR122&lt;&gt;"",$J122,$G122)))</f>
        <v/>
      </c>
      <c r="V122" s="11" t="str">
        <f aca="false">IF(AO122=0,"",IF(AY122="FT","Full-Time",IF(AY122="PT","Part-Time","Not eligible")))</f>
        <v/>
      </c>
      <c r="W122" s="27" t="str">
        <f aca="false">IF(AO122=0,"",IF(AR122="",IF(AND($H122&lt;&gt;"",$H122&gt;AsOfDate),"Future change - not yet applied",""),IF(AND(AV122=AY122,OR(AS122="",AW122=AV122)),"Type changed - same accrual pathway",IF(AY122="None","STOPPED accruing from "&amp;TEXT(IF(AS122&lt;&gt;"",AS122,AR122),"dd/mm/yyyy"),IF(AV122="None","STARTED qualifying from "&amp;TEXT(IF(AS122&lt;&gt;"",AS122,AR122),"dd/mm/yyyy"),"Pathway changed "&amp;AV122&amp;" -&gt; "&amp;AW122&amp;IF(AS122&lt;&gt;""," -&gt; "&amp;AX122,"")&amp;" from "&amp;TEXT(IF(AS122&lt;&gt;"",AS122,AR122),"dd/mm/yyyy"))))))</f>
        <v/>
      </c>
      <c r="X122" s="28" t="str">
        <f aca="false">IF(AO122=0,"",IF($Q122="",AsOfDate,MIN(AsOfDate,$Q122)))</f>
        <v/>
      </c>
      <c r="Y122" s="26" t="str">
        <f aca="false">IF(AO122=0,"",MAX(0,AQ122))</f>
        <v/>
      </c>
      <c r="Z122" s="11" t="str">
        <f aca="false">IF(AO122=0,"",IF(AQ122&lt;0,"Not started",INT(AQ122/12)&amp;"y "&amp;MOD(AQ122,12)&amp;"m"))</f>
        <v/>
      </c>
      <c r="AA122" s="27" t="str">
        <f aca="false">IF(AO122=0,"",IF(BF122=1,"Terminated - balance forfeited",IF(AY122="None",IF(AB122&gt;0,"No longer accruing - "&amp;T122,"Not eligible - "&amp;T122&amp;IF(AND(IFERROR(VLOOKUP(T122,TypeTable,2,0),"None")="PT",N(U122)&lt;PT_MinHours)," (under "&amp;PT_MinHours&amp;" hrs)","")),IF(AB122&gt;0,"Yes - accruing","Not yet - qualifies "&amp;TEXT(AD122,"dd/mm/yyyy")))))</f>
        <v/>
      </c>
      <c r="AB122" s="26" t="str">
        <f aca="false">IF(AO122=0,"",AZ122+IF(AR122="",0,BB122-BA122)+IF(AS122="",0,BD122-BC122))</f>
        <v/>
      </c>
      <c r="AC122" s="26" t="str">
        <f aca="false">IF(AO122=0,"",AB122*HoursPerDay)</f>
        <v/>
      </c>
      <c r="AD122" s="28" t="str">
        <f aca="false">IF(AO122=0,"",IF(OR(BF122=1,AY122="None"),"",EDATE($E122+AP122,BE122)))</f>
        <v/>
      </c>
      <c r="AE122" s="26" t="str">
        <f aca="false">IF(AD122="","",IF(AY122="PT",1,IF(BE122&lt;FT_Y5,1,IF(MOD(BE122-FT_Y5,12)=0,FT_AnnivDays,1))))</f>
        <v/>
      </c>
      <c r="AF122" s="27" t="str">
        <f aca="false">IF(AO122=0,"",IF(NOT(EH_Ready),"Map headers",IF(IF(MatchMode="Employee ID",COUNTIFS(INDEX(EH_Data,0,EH_ColID),$A122,INDEX(EH_Data,0,EH_ColCat),BonusCat),COUNTIFS(INDEX(EH_Data,0,EH_ColFirst),$B122,INDEX(EH_Data,0,EH_ColSur),$C122,INDEX(EH_Data,0,EH_ColCat),BonusCat))&gt;0,"Yes","No")))</f>
        <v/>
      </c>
      <c r="AG122" s="26" t="str">
        <f aca="false">IF(AO122=0,"",IF(NOT(EH_Ready),"",IF(MatchMode="Employee ID",SUMIFS(INDEX(EH_Data,0,EH_ColBal),INDEX(EH_Data,0,EH_ColID),$A122,INDEX(EH_Data,0,EH_ColCat),BonusCat),SUMIFS(INDEX(EH_Data,0,EH_ColBal),INDEX(EH_Data,0,EH_ColFirst),$B122,INDEX(EH_Data,0,EH_ColSur),$C122,INDEX(EH_Data,0,EH_ColCat),BonusCat))/IF(EHUnit="Hours",HoursPerDay,1)))</f>
        <v/>
      </c>
      <c r="AH122" s="26" t="str">
        <f aca="false">IF(AO122=0,"",IF(NOT(TK_Ready),0,IF(MatchMode="Employee ID",SUMIFS(INDEX(TK_Data,0,TK_ColAmt),INDEX(TK_Data,0,TK_ColID),$A122,INDEX(TK_Data,0,TK_ColCat),BonusCat),SUMIFS(INDEX(TK_Data,0,TK_ColAmt),INDEX(TK_Data,0,TK_ColFirst),$B122,INDEX(TK_Data,0,TK_ColSur),$C122,INDEX(TK_Data,0,TK_ColCat),BonusCat))/IF(TKUnit="Hours",HoursPerDay,1)))</f>
        <v/>
      </c>
      <c r="AI122" s="26" t="str">
        <f aca="false">IF(AO122=0,"",N(AG122)+N(AH122))</f>
        <v/>
      </c>
      <c r="AJ122" s="29" t="str">
        <f aca="false">IF(AO122=0,"",IF(NOT(AND(EH_Ready,EH_ValReady)),"",IF(MatchMode="Employee ID",SUMIFS(INDEX(EH_Data,0,EH_ColVal),INDEX(EH_Data,0,EH_ColID),$A122,INDEX(EH_Data,0,EH_ColCat),BonusCat),SUMIFS(INDEX(EH_Data,0,EH_ColVal),INDEX(EH_Data,0,EH_ColFirst),$B122,INDEX(EH_Data,0,EH_ColSur),$C122,INDEX(EH_Data,0,EH_ColCat),BonusCat))))</f>
        <v/>
      </c>
      <c r="AK122" s="26" t="str">
        <f aca="false">IF(AO122=0,"",IF(OR(NOT(EH_Ready),BF122=1),"",AB122-AI122))</f>
        <v/>
      </c>
      <c r="AL122" s="26" t="str">
        <f aca="false">IF(AK122="","",AK122*HoursPerDay)</f>
        <v/>
      </c>
      <c r="AM122" s="27" t="str">
        <f aca="false">IF(AO122=0,"",IF(BF122=1,IF(N(AG122)&gt;0,"TERMINATED - forfeit "&amp;TEXT(AG122,"0.##")&amp;" days still in EH","Terminated - nothing in EH"),IF(NOT(EH_Ready),"Paste EH export and map headers on Settings",IF(AND(AB122&gt;0,AF122="No"),"SET UP in EH - add "&amp;TEXT(AB122,"0.##")&amp;" day(s) ("&amp;TEXT(AC122,"0.##")&amp;" hrs)",IF(AK122&gt;0,"ADD "&amp;TEXT(AK122,"0.##")&amp;" day(s) ("&amp;TEXT(AL122,"0.##")&amp;" hrs) in EH",IF(AK122&lt;0,"CHECK - EH shows "&amp;TEXT(-AK122,"0.##")&amp;" days more than policy",IF(AB122&gt;0,"OK - up to date",IF(AY122="None","No action - not eligible","No action - not yet qualified"))))))))</f>
        <v/>
      </c>
      <c r="AN122" s="27" t="str">
        <f aca="false">IF(AO122=0,"",TRIM(IF(AND($K122&lt;&gt;"",$H122=""),"Change 2 entered without Change 1. ","")&amp;IF(AND($K122&lt;&gt;"",$H122&lt;&gt;"",$K122&lt;=$H122),"Change 2 date not after Change 1. ","")&amp;IF(AND($N122&lt;&gt;"",$O122&lt;&gt;"",$O122&lt;$N122),"Leave To is before Leave From. ","")&amp;IF(AND($N122&lt;&gt;"",$O122=""),"Leave From entered without Leave To. ","")&amp;IF(AND(IFERROR(VLOOKUP(T122,TypeTable,2,0),"None")="PT",U122=""),"Part-time with no hours entered. ","")&amp;IF(AND($H122&lt;&gt;"",$H122&gt;AsOfDate,AD122&lt;&gt;"",$H122&lt;=AD122),"Status change lands before next accrual - review. ","")&amp;IF(AND($Q122&lt;&gt;"",$Q122&lt;$E122),"Termination before commencement. ","")))</f>
        <v/>
      </c>
      <c r="AO122" s="11" t="n">
        <f aca="false">IF(LEN($A122&amp;$B122&amp;$C122)=0,0,IF($E122="",0,1))</f>
        <v>0</v>
      </c>
      <c r="AP122" s="11" t="str">
        <f aca="false">IF(AO122=0,"",(IF(OR($N122="",$O122=""),0,MAX(0,MIN(X122,$O122)-MAX($N122,$E122)+1))+N($P122)))</f>
        <v/>
      </c>
      <c r="AQ122" s="11" t="str">
        <f aca="false">IF(AO122=0,"",IF(X122&lt;($E122+(IF(OR($N122="",$O122=""),0,MAX(0,MIN(X122,$O122)-MAX($N122,$E122)+1))+N($P122))),-1,12*(YEAR(X122)-YEAR(($E122+(IF(OR($N122="",$O122=""),0,MAX(0,MIN(X122,$O122)-MAX($N122,$E122)+1))+N($P122)))))+MONTH(X122)-MONTH(($E122+(IF(OR($N122="",$O122=""),0,MAX(0,MIN(X122,$O122)-MAX($N122,$E122)+1))+N($P122))))-IF(DAY(X122)&lt;MIN(DAY(($E122+(IF(OR($N122="",$O122=""),0,MAX(0,MIN(X122,$O122)-MAX($N122,$E122)+1))+N($P122)))),DAY(EOMONTH(X122,0))),1,0)))</f>
        <v/>
      </c>
      <c r="AR122" s="28" t="str">
        <f aca="false">IF(AO122=0,"",IF($H122="","",IF($H122&gt;X122,"",$H122)))</f>
        <v/>
      </c>
      <c r="AS122" s="28" t="str">
        <f aca="false">IF(AO122=0,"",IF(AR122="","",IF($K122="","",IF($K122&gt;X122,"",$K122))))</f>
        <v/>
      </c>
      <c r="AT122" s="11" t="str">
        <f aca="false">IF(AO122=0,"",IF(AR122="",AQ122,IF((AR122-1)&lt;($E122+(IF(OR($N122="",$O122=""),0,MAX(0,MIN((AR122-1),$O122)-MAX($N122,$E122)+1))+N($P122))),-1,12*(YEAR((AR122-1))-YEAR(($E122+(IF(OR($N122="",$O122=""),0,MAX(0,MIN((AR122-1),$O122)-MAX($N122,$E122)+1))+N($P122)))))+MONTH((AR122-1))-MONTH(($E122+(IF(OR($N122="",$O122=""),0,MAX(0,MIN((AR122-1),$O122)-MAX($N122,$E122)+1))+N($P122))))-IF(DAY((AR122-1))&lt;MIN(DAY(($E122+(IF(OR($N122="",$O122=""),0,MAX(0,MIN((AR122-1),$O122)-MAX($N122,$E122)+1))+N($P122)))),DAY(EOMONTH((AR122-1),0))),1,0))))</f>
        <v/>
      </c>
      <c r="AU122" s="11" t="str">
        <f aca="false">IF(AO122=0,"",IF(AS122="",AQ122,IF((AS122-1)&lt;($E122+(IF(OR($N122="",$O122=""),0,MAX(0,MIN((AS122-1),$O122)-MAX($N122,$E122)+1))+N($P122))),-1,12*(YEAR((AS122-1))-YEAR(($E122+(IF(OR($N122="",$O122=""),0,MAX(0,MIN((AS122-1),$O122)-MAX($N122,$E122)+1))+N($P122)))))+MONTH((AS122-1))-MONTH(($E122+(IF(OR($N122="",$O122=""),0,MAX(0,MIN((AS122-1),$O122)-MAX($N122,$E122)+1))+N($P122))))-IF(DAY((AS122-1))&lt;MIN(DAY(($E122+(IF(OR($N122="",$O122=""),0,MAX(0,MIN((AS122-1),$O122)-MAX($N122,$E122)+1))+N($P122)))),DAY(EOMONTH((AS122-1),0))),1,0))))</f>
        <v/>
      </c>
      <c r="AV122" s="11" t="str">
        <f aca="false">IF(AO122=0,"",IF($F122="","None",IF(IFERROR(VLOOKUP($F122,TypeTable,2,0),"None")="PT",IF(N($G122)&gt;=PT_MinHours,"PT","None"),IFERROR(VLOOKUP($F122,TypeTable,2,0),"None"))))</f>
        <v/>
      </c>
      <c r="AW122" s="11" t="str">
        <f aca="false">IF(AO122=0,"",IF($I122="","None",IF(IFERROR(VLOOKUP($I122,TypeTable,2,0),"None")="PT",IF(N($J122)&gt;=PT_MinHours,"PT","None"),IFERROR(VLOOKUP($I122,TypeTable,2,0),"None"))))</f>
        <v/>
      </c>
      <c r="AX122" s="11" t="str">
        <f aca="false">IF(AO122=0,"",IF($L122="","None",IF(IFERROR(VLOOKUP($L122,TypeTable,2,0),"None")="PT",IF(N($M122)&gt;=PT_MinHours,"PT","None"),IFERROR(VLOOKUP($L122,TypeTable,2,0),"None"))))</f>
        <v/>
      </c>
      <c r="AY122" s="11" t="str">
        <f aca="false">IF(AO122=0,"",IF(AS122&lt;&gt;"",AX122,IF(AR122&lt;&gt;"",AW122,AV122)))</f>
        <v/>
      </c>
      <c r="AZ122" s="11" t="str">
        <f aca="false">IF(AO122=0,"",IF(AV122="FT",IF(AT122&lt;FT_First,0,IF(AT122&lt;FT_Y5,1+INT((AT122-FT_First)/FT_Int1),FT_PreY5+FT_PerYear*INT((AT122-FT_Y5)/12)+FT_AnnivDays+INT(MOD(AT122-FT_Y5,12)/FT_Int2))),IF(AV122="PT",IF(AT122&lt;PT_First,0,1+INT((AT122-PT_First)/PT_Int)),0)))</f>
        <v/>
      </c>
      <c r="BA122" s="11" t="str">
        <f aca="false">IF(AO122=0,"",IF(AW122="FT",IF(AT122&lt;FT_First,0,IF(AT122&lt;FT_Y5,1+INT((AT122-FT_First)/FT_Int1),FT_PreY5+FT_PerYear*INT((AT122-FT_Y5)/12)+FT_AnnivDays+INT(MOD(AT122-FT_Y5,12)/FT_Int2))),IF(AW122="PT",IF(AT122&lt;PT_First,0,1+INT((AT122-PT_First)/PT_Int)),0)))</f>
        <v/>
      </c>
      <c r="BB122" s="11" t="str">
        <f aca="false">IF(AO122=0,"",IF(AW122="FT",IF(AU122&lt;FT_First,0,IF(AU122&lt;FT_Y5,1+INT((AU122-FT_First)/FT_Int1),FT_PreY5+FT_PerYear*INT((AU122-FT_Y5)/12)+FT_AnnivDays+INT(MOD(AU122-FT_Y5,12)/FT_Int2))),IF(AW122="PT",IF(AU122&lt;PT_First,0,1+INT((AU122-PT_First)/PT_Int)),0)))</f>
        <v/>
      </c>
      <c r="BC122" s="11" t="str">
        <f aca="false">IF(AO122=0,"",IF(AX122="FT",IF(AU122&lt;FT_First,0,IF(AU122&lt;FT_Y5,1+INT((AU122-FT_First)/FT_Int1),FT_PreY5+FT_PerYear*INT((AU122-FT_Y5)/12)+FT_AnnivDays+INT(MOD(AU122-FT_Y5,12)/FT_Int2))),IF(AX122="PT",IF(AU122&lt;PT_First,0,1+INT((AU122-PT_First)/PT_Int)),0)))</f>
        <v/>
      </c>
      <c r="BD122" s="11" t="str">
        <f aca="false">IF(AO122=0,"",IF(AX122="FT",IF(AQ122&lt;FT_First,0,IF(AQ122&lt;FT_Y5,1+INT((AQ122-FT_First)/FT_Int1),FT_PreY5+FT_PerYear*INT((AQ122-FT_Y5)/12)+FT_AnnivDays+INT(MOD(AQ122-FT_Y5,12)/FT_Int2))),IF(AX122="PT",IF(AQ122&lt;PT_First,0,1+INT((AQ122-PT_First)/PT_Int)),0)))</f>
        <v/>
      </c>
      <c r="BE122" s="11" t="str">
        <f aca="false">IF(AO122=0,"",IF(AY122="FT",IF(AQ122&lt;FT_First,FT_First,IF(AQ122&lt;FT_Y5,MIN(FT_Y5,FT_First+FT_Int1*(INT((AQ122-FT_First)/FT_Int1)+1)),FT_Y5+12*INT((AQ122-FT_Y5)/12)+FT_Int2*(INT(MOD(AQ122-FT_Y5,12)/FT_Int2)+1))),IF(AY122="PT",IF(AQ122&lt;PT_First,PT_First,PT_First+PT_Int*(INT((AQ122-PT_First)/PT_Int)+1)),"")))</f>
        <v/>
      </c>
      <c r="BF122" s="11" t="n">
        <f aca="false">IF(AO122=0,0,IF(AND($Q122&lt;&gt;"",$Q122&lt;=AsOfDate),1,0))</f>
        <v>0</v>
      </c>
      <c r="BG122" s="11" t="str">
        <f aca="false">IF(AND(AO122=1,BF122=0,EH_Ready,N(AB122)&gt;0,N(AI122)=0),COUNT($BG$5:BG121)+1,"")</f>
        <v/>
      </c>
      <c r="BH122" s="11" t="str">
        <f aca="false">IF(AND(AO122=1,BF122=0,EH_Ready,N(AB122)&gt;0,N(AI122)&gt;0,N(AK122)&gt;0),COUNT($BH$5:BH121)+1,"")</f>
        <v/>
      </c>
      <c r="BI122" s="11" t="str">
        <f aca="false">IF(AND(AO122=1,OR(LEFT(AM122,3)="ADD",LEFT(AM122,3)="SET",LEFT(AM122,5)="CHECK",LEFT(AM122,10)="TERMINATED")),COUNT($BI$5:BI121)+1,"")</f>
        <v/>
      </c>
      <c r="BJ122" s="11" t="str">
        <f aca="false">IF(AO122=0,"",$A122&amp;" - "&amp;$B122&amp;" "&amp;$C122)</f>
        <v/>
      </c>
    </row>
    <row r="123" customFormat="false" ht="15" hidden="false" customHeight="false" outlineLevel="0" collapsed="false">
      <c r="A123" s="10"/>
      <c r="B123" s="10"/>
      <c r="C123" s="10"/>
      <c r="D123" s="10"/>
      <c r="E123" s="9"/>
      <c r="F123" s="10"/>
      <c r="G123" s="30"/>
      <c r="H123" s="9"/>
      <c r="I123" s="10"/>
      <c r="J123" s="30"/>
      <c r="K123" s="9"/>
      <c r="L123" s="10"/>
      <c r="M123" s="30"/>
      <c r="N123" s="9"/>
      <c r="O123" s="9"/>
      <c r="P123" s="30"/>
      <c r="Q123" s="9"/>
      <c r="R123" s="10"/>
      <c r="S123" s="11" t="str">
        <f aca="false">IF(AO123=0,"",IF($H123="","",$F123&amp;" -&gt; "&amp;$I123&amp;IF($I123="Part-Time"," ("&amp;N($J123)&amp;" hrs)","")&amp;" on "&amp;TEXT($H123,"dd/mm/yyyy")&amp;IF($H123&gt;AsOfDate," (FUTURE)","")&amp;IF($K123="","","; "&amp;$I123&amp;" -&gt; "&amp;$L123&amp;IF($L123="Part-Time"," ("&amp;N($M123)&amp;" hrs)","")&amp;" on "&amp;TEXT($K123,"dd/mm/yyyy")&amp;IF($K123&gt;AsOfDate," (FUTURE)",""))))</f>
        <v/>
      </c>
      <c r="T123" s="11" t="str">
        <f aca="false">IF(AO123=0,"",IF(AS123&lt;&gt;"",$L123,IF(AR123&lt;&gt;"",$I123,$F123)))</f>
        <v/>
      </c>
      <c r="U123" s="26" t="str">
        <f aca="false">IF(AO123=0,"",IF(AS123&lt;&gt;"",$M123,IF(AR123&lt;&gt;"",$J123,$G123)))</f>
        <v/>
      </c>
      <c r="V123" s="11" t="str">
        <f aca="false">IF(AO123=0,"",IF(AY123="FT","Full-Time",IF(AY123="PT","Part-Time","Not eligible")))</f>
        <v/>
      </c>
      <c r="W123" s="27" t="str">
        <f aca="false">IF(AO123=0,"",IF(AR123="",IF(AND($H123&lt;&gt;"",$H123&gt;AsOfDate),"Future change - not yet applied",""),IF(AND(AV123=AY123,OR(AS123="",AW123=AV123)),"Type changed - same accrual pathway",IF(AY123="None","STOPPED accruing from "&amp;TEXT(IF(AS123&lt;&gt;"",AS123,AR123),"dd/mm/yyyy"),IF(AV123="None","STARTED qualifying from "&amp;TEXT(IF(AS123&lt;&gt;"",AS123,AR123),"dd/mm/yyyy"),"Pathway changed "&amp;AV123&amp;" -&gt; "&amp;AW123&amp;IF(AS123&lt;&gt;""," -&gt; "&amp;AX123,"")&amp;" from "&amp;TEXT(IF(AS123&lt;&gt;"",AS123,AR123),"dd/mm/yyyy"))))))</f>
        <v/>
      </c>
      <c r="X123" s="28" t="str">
        <f aca="false">IF(AO123=0,"",IF($Q123="",AsOfDate,MIN(AsOfDate,$Q123)))</f>
        <v/>
      </c>
      <c r="Y123" s="26" t="str">
        <f aca="false">IF(AO123=0,"",MAX(0,AQ123))</f>
        <v/>
      </c>
      <c r="Z123" s="11" t="str">
        <f aca="false">IF(AO123=0,"",IF(AQ123&lt;0,"Not started",INT(AQ123/12)&amp;"y "&amp;MOD(AQ123,12)&amp;"m"))</f>
        <v/>
      </c>
      <c r="AA123" s="27" t="str">
        <f aca="false">IF(AO123=0,"",IF(BF123=1,"Terminated - balance forfeited",IF(AY123="None",IF(AB123&gt;0,"No longer accruing - "&amp;T123,"Not eligible - "&amp;T123&amp;IF(AND(IFERROR(VLOOKUP(T123,TypeTable,2,0),"None")="PT",N(U123)&lt;PT_MinHours)," (under "&amp;PT_MinHours&amp;" hrs)","")),IF(AB123&gt;0,"Yes - accruing","Not yet - qualifies "&amp;TEXT(AD123,"dd/mm/yyyy")))))</f>
        <v/>
      </c>
      <c r="AB123" s="26" t="str">
        <f aca="false">IF(AO123=0,"",AZ123+IF(AR123="",0,BB123-BA123)+IF(AS123="",0,BD123-BC123))</f>
        <v/>
      </c>
      <c r="AC123" s="26" t="str">
        <f aca="false">IF(AO123=0,"",AB123*HoursPerDay)</f>
        <v/>
      </c>
      <c r="AD123" s="28" t="str">
        <f aca="false">IF(AO123=0,"",IF(OR(BF123=1,AY123="None"),"",EDATE($E123+AP123,BE123)))</f>
        <v/>
      </c>
      <c r="AE123" s="26" t="str">
        <f aca="false">IF(AD123="","",IF(AY123="PT",1,IF(BE123&lt;FT_Y5,1,IF(MOD(BE123-FT_Y5,12)=0,FT_AnnivDays,1))))</f>
        <v/>
      </c>
      <c r="AF123" s="27" t="str">
        <f aca="false">IF(AO123=0,"",IF(NOT(EH_Ready),"Map headers",IF(IF(MatchMode="Employee ID",COUNTIFS(INDEX(EH_Data,0,EH_ColID),$A123,INDEX(EH_Data,0,EH_ColCat),BonusCat),COUNTIFS(INDEX(EH_Data,0,EH_ColFirst),$B123,INDEX(EH_Data,0,EH_ColSur),$C123,INDEX(EH_Data,0,EH_ColCat),BonusCat))&gt;0,"Yes","No")))</f>
        <v/>
      </c>
      <c r="AG123" s="26" t="str">
        <f aca="false">IF(AO123=0,"",IF(NOT(EH_Ready),"",IF(MatchMode="Employee ID",SUMIFS(INDEX(EH_Data,0,EH_ColBal),INDEX(EH_Data,0,EH_ColID),$A123,INDEX(EH_Data,0,EH_ColCat),BonusCat),SUMIFS(INDEX(EH_Data,0,EH_ColBal),INDEX(EH_Data,0,EH_ColFirst),$B123,INDEX(EH_Data,0,EH_ColSur),$C123,INDEX(EH_Data,0,EH_ColCat),BonusCat))/IF(EHUnit="Hours",HoursPerDay,1)))</f>
        <v/>
      </c>
      <c r="AH123" s="26" t="str">
        <f aca="false">IF(AO123=0,"",IF(NOT(TK_Ready),0,IF(MatchMode="Employee ID",SUMIFS(INDEX(TK_Data,0,TK_ColAmt),INDEX(TK_Data,0,TK_ColID),$A123,INDEX(TK_Data,0,TK_ColCat),BonusCat),SUMIFS(INDEX(TK_Data,0,TK_ColAmt),INDEX(TK_Data,0,TK_ColFirst),$B123,INDEX(TK_Data,0,TK_ColSur),$C123,INDEX(TK_Data,0,TK_ColCat),BonusCat))/IF(TKUnit="Hours",HoursPerDay,1)))</f>
        <v/>
      </c>
      <c r="AI123" s="26" t="str">
        <f aca="false">IF(AO123=0,"",N(AG123)+N(AH123))</f>
        <v/>
      </c>
      <c r="AJ123" s="29" t="str">
        <f aca="false">IF(AO123=0,"",IF(NOT(AND(EH_Ready,EH_ValReady)),"",IF(MatchMode="Employee ID",SUMIFS(INDEX(EH_Data,0,EH_ColVal),INDEX(EH_Data,0,EH_ColID),$A123,INDEX(EH_Data,0,EH_ColCat),BonusCat),SUMIFS(INDEX(EH_Data,0,EH_ColVal),INDEX(EH_Data,0,EH_ColFirst),$B123,INDEX(EH_Data,0,EH_ColSur),$C123,INDEX(EH_Data,0,EH_ColCat),BonusCat))))</f>
        <v/>
      </c>
      <c r="AK123" s="26" t="str">
        <f aca="false">IF(AO123=0,"",IF(OR(NOT(EH_Ready),BF123=1),"",AB123-AI123))</f>
        <v/>
      </c>
      <c r="AL123" s="26" t="str">
        <f aca="false">IF(AK123="","",AK123*HoursPerDay)</f>
        <v/>
      </c>
      <c r="AM123" s="27" t="str">
        <f aca="false">IF(AO123=0,"",IF(BF123=1,IF(N(AG123)&gt;0,"TERMINATED - forfeit "&amp;TEXT(AG123,"0.##")&amp;" days still in EH","Terminated - nothing in EH"),IF(NOT(EH_Ready),"Paste EH export and map headers on Settings",IF(AND(AB123&gt;0,AF123="No"),"SET UP in EH - add "&amp;TEXT(AB123,"0.##")&amp;" day(s) ("&amp;TEXT(AC123,"0.##")&amp;" hrs)",IF(AK123&gt;0,"ADD "&amp;TEXT(AK123,"0.##")&amp;" day(s) ("&amp;TEXT(AL123,"0.##")&amp;" hrs) in EH",IF(AK123&lt;0,"CHECK - EH shows "&amp;TEXT(-AK123,"0.##")&amp;" days more than policy",IF(AB123&gt;0,"OK - up to date",IF(AY123="None","No action - not eligible","No action - not yet qualified"))))))))</f>
        <v/>
      </c>
      <c r="AN123" s="27" t="str">
        <f aca="false">IF(AO123=0,"",TRIM(IF(AND($K123&lt;&gt;"",$H123=""),"Change 2 entered without Change 1. ","")&amp;IF(AND($K123&lt;&gt;"",$H123&lt;&gt;"",$K123&lt;=$H123),"Change 2 date not after Change 1. ","")&amp;IF(AND($N123&lt;&gt;"",$O123&lt;&gt;"",$O123&lt;$N123),"Leave To is before Leave From. ","")&amp;IF(AND($N123&lt;&gt;"",$O123=""),"Leave From entered without Leave To. ","")&amp;IF(AND(IFERROR(VLOOKUP(T123,TypeTable,2,0),"None")="PT",U123=""),"Part-time with no hours entered. ","")&amp;IF(AND($H123&lt;&gt;"",$H123&gt;AsOfDate,AD123&lt;&gt;"",$H123&lt;=AD123),"Status change lands before next accrual - review. ","")&amp;IF(AND($Q123&lt;&gt;"",$Q123&lt;$E123),"Termination before commencement. ","")))</f>
        <v/>
      </c>
      <c r="AO123" s="11" t="n">
        <f aca="false">IF(LEN($A123&amp;$B123&amp;$C123)=0,0,IF($E123="",0,1))</f>
        <v>0</v>
      </c>
      <c r="AP123" s="11" t="str">
        <f aca="false">IF(AO123=0,"",(IF(OR($N123="",$O123=""),0,MAX(0,MIN(X123,$O123)-MAX($N123,$E123)+1))+N($P123)))</f>
        <v/>
      </c>
      <c r="AQ123" s="11" t="str">
        <f aca="false">IF(AO123=0,"",IF(X123&lt;($E123+(IF(OR($N123="",$O123=""),0,MAX(0,MIN(X123,$O123)-MAX($N123,$E123)+1))+N($P123))),-1,12*(YEAR(X123)-YEAR(($E123+(IF(OR($N123="",$O123=""),0,MAX(0,MIN(X123,$O123)-MAX($N123,$E123)+1))+N($P123)))))+MONTH(X123)-MONTH(($E123+(IF(OR($N123="",$O123=""),0,MAX(0,MIN(X123,$O123)-MAX($N123,$E123)+1))+N($P123))))-IF(DAY(X123)&lt;MIN(DAY(($E123+(IF(OR($N123="",$O123=""),0,MAX(0,MIN(X123,$O123)-MAX($N123,$E123)+1))+N($P123)))),DAY(EOMONTH(X123,0))),1,0)))</f>
        <v/>
      </c>
      <c r="AR123" s="28" t="str">
        <f aca="false">IF(AO123=0,"",IF($H123="","",IF($H123&gt;X123,"",$H123)))</f>
        <v/>
      </c>
      <c r="AS123" s="28" t="str">
        <f aca="false">IF(AO123=0,"",IF(AR123="","",IF($K123="","",IF($K123&gt;X123,"",$K123))))</f>
        <v/>
      </c>
      <c r="AT123" s="11" t="str">
        <f aca="false">IF(AO123=0,"",IF(AR123="",AQ123,IF((AR123-1)&lt;($E123+(IF(OR($N123="",$O123=""),0,MAX(0,MIN((AR123-1),$O123)-MAX($N123,$E123)+1))+N($P123))),-1,12*(YEAR((AR123-1))-YEAR(($E123+(IF(OR($N123="",$O123=""),0,MAX(0,MIN((AR123-1),$O123)-MAX($N123,$E123)+1))+N($P123)))))+MONTH((AR123-1))-MONTH(($E123+(IF(OR($N123="",$O123=""),0,MAX(0,MIN((AR123-1),$O123)-MAX($N123,$E123)+1))+N($P123))))-IF(DAY((AR123-1))&lt;MIN(DAY(($E123+(IF(OR($N123="",$O123=""),0,MAX(0,MIN((AR123-1),$O123)-MAX($N123,$E123)+1))+N($P123)))),DAY(EOMONTH((AR123-1),0))),1,0))))</f>
        <v/>
      </c>
      <c r="AU123" s="11" t="str">
        <f aca="false">IF(AO123=0,"",IF(AS123="",AQ123,IF((AS123-1)&lt;($E123+(IF(OR($N123="",$O123=""),0,MAX(0,MIN((AS123-1),$O123)-MAX($N123,$E123)+1))+N($P123))),-1,12*(YEAR((AS123-1))-YEAR(($E123+(IF(OR($N123="",$O123=""),0,MAX(0,MIN((AS123-1),$O123)-MAX($N123,$E123)+1))+N($P123)))))+MONTH((AS123-1))-MONTH(($E123+(IF(OR($N123="",$O123=""),0,MAX(0,MIN((AS123-1),$O123)-MAX($N123,$E123)+1))+N($P123))))-IF(DAY((AS123-1))&lt;MIN(DAY(($E123+(IF(OR($N123="",$O123=""),0,MAX(0,MIN((AS123-1),$O123)-MAX($N123,$E123)+1))+N($P123)))),DAY(EOMONTH((AS123-1),0))),1,0))))</f>
        <v/>
      </c>
      <c r="AV123" s="11" t="str">
        <f aca="false">IF(AO123=0,"",IF($F123="","None",IF(IFERROR(VLOOKUP($F123,TypeTable,2,0),"None")="PT",IF(N($G123)&gt;=PT_MinHours,"PT","None"),IFERROR(VLOOKUP($F123,TypeTable,2,0),"None"))))</f>
        <v/>
      </c>
      <c r="AW123" s="11" t="str">
        <f aca="false">IF(AO123=0,"",IF($I123="","None",IF(IFERROR(VLOOKUP($I123,TypeTable,2,0),"None")="PT",IF(N($J123)&gt;=PT_MinHours,"PT","None"),IFERROR(VLOOKUP($I123,TypeTable,2,0),"None"))))</f>
        <v/>
      </c>
      <c r="AX123" s="11" t="str">
        <f aca="false">IF(AO123=0,"",IF($L123="","None",IF(IFERROR(VLOOKUP($L123,TypeTable,2,0),"None")="PT",IF(N($M123)&gt;=PT_MinHours,"PT","None"),IFERROR(VLOOKUP($L123,TypeTable,2,0),"None"))))</f>
        <v/>
      </c>
      <c r="AY123" s="11" t="str">
        <f aca="false">IF(AO123=0,"",IF(AS123&lt;&gt;"",AX123,IF(AR123&lt;&gt;"",AW123,AV123)))</f>
        <v/>
      </c>
      <c r="AZ123" s="11" t="str">
        <f aca="false">IF(AO123=0,"",IF(AV123="FT",IF(AT123&lt;FT_First,0,IF(AT123&lt;FT_Y5,1+INT((AT123-FT_First)/FT_Int1),FT_PreY5+FT_PerYear*INT((AT123-FT_Y5)/12)+FT_AnnivDays+INT(MOD(AT123-FT_Y5,12)/FT_Int2))),IF(AV123="PT",IF(AT123&lt;PT_First,0,1+INT((AT123-PT_First)/PT_Int)),0)))</f>
        <v/>
      </c>
      <c r="BA123" s="11" t="str">
        <f aca="false">IF(AO123=0,"",IF(AW123="FT",IF(AT123&lt;FT_First,0,IF(AT123&lt;FT_Y5,1+INT((AT123-FT_First)/FT_Int1),FT_PreY5+FT_PerYear*INT((AT123-FT_Y5)/12)+FT_AnnivDays+INT(MOD(AT123-FT_Y5,12)/FT_Int2))),IF(AW123="PT",IF(AT123&lt;PT_First,0,1+INT((AT123-PT_First)/PT_Int)),0)))</f>
        <v/>
      </c>
      <c r="BB123" s="11" t="str">
        <f aca="false">IF(AO123=0,"",IF(AW123="FT",IF(AU123&lt;FT_First,0,IF(AU123&lt;FT_Y5,1+INT((AU123-FT_First)/FT_Int1),FT_PreY5+FT_PerYear*INT((AU123-FT_Y5)/12)+FT_AnnivDays+INT(MOD(AU123-FT_Y5,12)/FT_Int2))),IF(AW123="PT",IF(AU123&lt;PT_First,0,1+INT((AU123-PT_First)/PT_Int)),0)))</f>
        <v/>
      </c>
      <c r="BC123" s="11" t="str">
        <f aca="false">IF(AO123=0,"",IF(AX123="FT",IF(AU123&lt;FT_First,0,IF(AU123&lt;FT_Y5,1+INT((AU123-FT_First)/FT_Int1),FT_PreY5+FT_PerYear*INT((AU123-FT_Y5)/12)+FT_AnnivDays+INT(MOD(AU123-FT_Y5,12)/FT_Int2))),IF(AX123="PT",IF(AU123&lt;PT_First,0,1+INT((AU123-PT_First)/PT_Int)),0)))</f>
        <v/>
      </c>
      <c r="BD123" s="11" t="str">
        <f aca="false">IF(AO123=0,"",IF(AX123="FT",IF(AQ123&lt;FT_First,0,IF(AQ123&lt;FT_Y5,1+INT((AQ123-FT_First)/FT_Int1),FT_PreY5+FT_PerYear*INT((AQ123-FT_Y5)/12)+FT_AnnivDays+INT(MOD(AQ123-FT_Y5,12)/FT_Int2))),IF(AX123="PT",IF(AQ123&lt;PT_First,0,1+INT((AQ123-PT_First)/PT_Int)),0)))</f>
        <v/>
      </c>
      <c r="BE123" s="11" t="str">
        <f aca="false">IF(AO123=0,"",IF(AY123="FT",IF(AQ123&lt;FT_First,FT_First,IF(AQ123&lt;FT_Y5,MIN(FT_Y5,FT_First+FT_Int1*(INT((AQ123-FT_First)/FT_Int1)+1)),FT_Y5+12*INT((AQ123-FT_Y5)/12)+FT_Int2*(INT(MOD(AQ123-FT_Y5,12)/FT_Int2)+1))),IF(AY123="PT",IF(AQ123&lt;PT_First,PT_First,PT_First+PT_Int*(INT((AQ123-PT_First)/PT_Int)+1)),"")))</f>
        <v/>
      </c>
      <c r="BF123" s="11" t="n">
        <f aca="false">IF(AO123=0,0,IF(AND($Q123&lt;&gt;"",$Q123&lt;=AsOfDate),1,0))</f>
        <v>0</v>
      </c>
      <c r="BG123" s="11" t="str">
        <f aca="false">IF(AND(AO123=1,BF123=0,EH_Ready,N(AB123)&gt;0,N(AI123)=0),COUNT($BG$5:BG122)+1,"")</f>
        <v/>
      </c>
      <c r="BH123" s="11" t="str">
        <f aca="false">IF(AND(AO123=1,BF123=0,EH_Ready,N(AB123)&gt;0,N(AI123)&gt;0,N(AK123)&gt;0),COUNT($BH$5:BH122)+1,"")</f>
        <v/>
      </c>
      <c r="BI123" s="11" t="str">
        <f aca="false">IF(AND(AO123=1,OR(LEFT(AM123,3)="ADD",LEFT(AM123,3)="SET",LEFT(AM123,5)="CHECK",LEFT(AM123,10)="TERMINATED")),COUNT($BI$5:BI122)+1,"")</f>
        <v/>
      </c>
      <c r="BJ123" s="11" t="str">
        <f aca="false">IF(AO123=0,"",$A123&amp;" - "&amp;$B123&amp;" "&amp;$C123)</f>
        <v/>
      </c>
    </row>
    <row r="124" customFormat="false" ht="15" hidden="false" customHeight="false" outlineLevel="0" collapsed="false">
      <c r="A124" s="10"/>
      <c r="B124" s="10"/>
      <c r="C124" s="10"/>
      <c r="D124" s="10"/>
      <c r="E124" s="9"/>
      <c r="F124" s="10"/>
      <c r="G124" s="30"/>
      <c r="H124" s="9"/>
      <c r="I124" s="10"/>
      <c r="J124" s="30"/>
      <c r="K124" s="9"/>
      <c r="L124" s="10"/>
      <c r="M124" s="30"/>
      <c r="N124" s="9"/>
      <c r="O124" s="9"/>
      <c r="P124" s="30"/>
      <c r="Q124" s="9"/>
      <c r="R124" s="10"/>
      <c r="S124" s="11" t="str">
        <f aca="false">IF(AO124=0,"",IF($H124="","",$F124&amp;" -&gt; "&amp;$I124&amp;IF($I124="Part-Time"," ("&amp;N($J124)&amp;" hrs)","")&amp;" on "&amp;TEXT($H124,"dd/mm/yyyy")&amp;IF($H124&gt;AsOfDate," (FUTURE)","")&amp;IF($K124="","","; "&amp;$I124&amp;" -&gt; "&amp;$L124&amp;IF($L124="Part-Time"," ("&amp;N($M124)&amp;" hrs)","")&amp;" on "&amp;TEXT($K124,"dd/mm/yyyy")&amp;IF($K124&gt;AsOfDate," (FUTURE)",""))))</f>
        <v/>
      </c>
      <c r="T124" s="11" t="str">
        <f aca="false">IF(AO124=0,"",IF(AS124&lt;&gt;"",$L124,IF(AR124&lt;&gt;"",$I124,$F124)))</f>
        <v/>
      </c>
      <c r="U124" s="26" t="str">
        <f aca="false">IF(AO124=0,"",IF(AS124&lt;&gt;"",$M124,IF(AR124&lt;&gt;"",$J124,$G124)))</f>
        <v/>
      </c>
      <c r="V124" s="11" t="str">
        <f aca="false">IF(AO124=0,"",IF(AY124="FT","Full-Time",IF(AY124="PT","Part-Time","Not eligible")))</f>
        <v/>
      </c>
      <c r="W124" s="27" t="str">
        <f aca="false">IF(AO124=0,"",IF(AR124="",IF(AND($H124&lt;&gt;"",$H124&gt;AsOfDate),"Future change - not yet applied",""),IF(AND(AV124=AY124,OR(AS124="",AW124=AV124)),"Type changed - same accrual pathway",IF(AY124="None","STOPPED accruing from "&amp;TEXT(IF(AS124&lt;&gt;"",AS124,AR124),"dd/mm/yyyy"),IF(AV124="None","STARTED qualifying from "&amp;TEXT(IF(AS124&lt;&gt;"",AS124,AR124),"dd/mm/yyyy"),"Pathway changed "&amp;AV124&amp;" -&gt; "&amp;AW124&amp;IF(AS124&lt;&gt;""," -&gt; "&amp;AX124,"")&amp;" from "&amp;TEXT(IF(AS124&lt;&gt;"",AS124,AR124),"dd/mm/yyyy"))))))</f>
        <v/>
      </c>
      <c r="X124" s="28" t="str">
        <f aca="false">IF(AO124=0,"",IF($Q124="",AsOfDate,MIN(AsOfDate,$Q124)))</f>
        <v/>
      </c>
      <c r="Y124" s="26" t="str">
        <f aca="false">IF(AO124=0,"",MAX(0,AQ124))</f>
        <v/>
      </c>
      <c r="Z124" s="11" t="str">
        <f aca="false">IF(AO124=0,"",IF(AQ124&lt;0,"Not started",INT(AQ124/12)&amp;"y "&amp;MOD(AQ124,12)&amp;"m"))</f>
        <v/>
      </c>
      <c r="AA124" s="27" t="str">
        <f aca="false">IF(AO124=0,"",IF(BF124=1,"Terminated - balance forfeited",IF(AY124="None",IF(AB124&gt;0,"No longer accruing - "&amp;T124,"Not eligible - "&amp;T124&amp;IF(AND(IFERROR(VLOOKUP(T124,TypeTable,2,0),"None")="PT",N(U124)&lt;PT_MinHours)," (under "&amp;PT_MinHours&amp;" hrs)","")),IF(AB124&gt;0,"Yes - accruing","Not yet - qualifies "&amp;TEXT(AD124,"dd/mm/yyyy")))))</f>
        <v/>
      </c>
      <c r="AB124" s="26" t="str">
        <f aca="false">IF(AO124=0,"",AZ124+IF(AR124="",0,BB124-BA124)+IF(AS124="",0,BD124-BC124))</f>
        <v/>
      </c>
      <c r="AC124" s="26" t="str">
        <f aca="false">IF(AO124=0,"",AB124*HoursPerDay)</f>
        <v/>
      </c>
      <c r="AD124" s="28" t="str">
        <f aca="false">IF(AO124=0,"",IF(OR(BF124=1,AY124="None"),"",EDATE($E124+AP124,BE124)))</f>
        <v/>
      </c>
      <c r="AE124" s="26" t="str">
        <f aca="false">IF(AD124="","",IF(AY124="PT",1,IF(BE124&lt;FT_Y5,1,IF(MOD(BE124-FT_Y5,12)=0,FT_AnnivDays,1))))</f>
        <v/>
      </c>
      <c r="AF124" s="27" t="str">
        <f aca="false">IF(AO124=0,"",IF(NOT(EH_Ready),"Map headers",IF(IF(MatchMode="Employee ID",COUNTIFS(INDEX(EH_Data,0,EH_ColID),$A124,INDEX(EH_Data,0,EH_ColCat),BonusCat),COUNTIFS(INDEX(EH_Data,0,EH_ColFirst),$B124,INDEX(EH_Data,0,EH_ColSur),$C124,INDEX(EH_Data,0,EH_ColCat),BonusCat))&gt;0,"Yes","No")))</f>
        <v/>
      </c>
      <c r="AG124" s="26" t="str">
        <f aca="false">IF(AO124=0,"",IF(NOT(EH_Ready),"",IF(MatchMode="Employee ID",SUMIFS(INDEX(EH_Data,0,EH_ColBal),INDEX(EH_Data,0,EH_ColID),$A124,INDEX(EH_Data,0,EH_ColCat),BonusCat),SUMIFS(INDEX(EH_Data,0,EH_ColBal),INDEX(EH_Data,0,EH_ColFirst),$B124,INDEX(EH_Data,0,EH_ColSur),$C124,INDEX(EH_Data,0,EH_ColCat),BonusCat))/IF(EHUnit="Hours",HoursPerDay,1)))</f>
        <v/>
      </c>
      <c r="AH124" s="26" t="str">
        <f aca="false">IF(AO124=0,"",IF(NOT(TK_Ready),0,IF(MatchMode="Employee ID",SUMIFS(INDEX(TK_Data,0,TK_ColAmt),INDEX(TK_Data,0,TK_ColID),$A124,INDEX(TK_Data,0,TK_ColCat),BonusCat),SUMIFS(INDEX(TK_Data,0,TK_ColAmt),INDEX(TK_Data,0,TK_ColFirst),$B124,INDEX(TK_Data,0,TK_ColSur),$C124,INDEX(TK_Data,0,TK_ColCat),BonusCat))/IF(TKUnit="Hours",HoursPerDay,1)))</f>
        <v/>
      </c>
      <c r="AI124" s="26" t="str">
        <f aca="false">IF(AO124=0,"",N(AG124)+N(AH124))</f>
        <v/>
      </c>
      <c r="AJ124" s="29" t="str">
        <f aca="false">IF(AO124=0,"",IF(NOT(AND(EH_Ready,EH_ValReady)),"",IF(MatchMode="Employee ID",SUMIFS(INDEX(EH_Data,0,EH_ColVal),INDEX(EH_Data,0,EH_ColID),$A124,INDEX(EH_Data,0,EH_ColCat),BonusCat),SUMIFS(INDEX(EH_Data,0,EH_ColVal),INDEX(EH_Data,0,EH_ColFirst),$B124,INDEX(EH_Data,0,EH_ColSur),$C124,INDEX(EH_Data,0,EH_ColCat),BonusCat))))</f>
        <v/>
      </c>
      <c r="AK124" s="26" t="str">
        <f aca="false">IF(AO124=0,"",IF(OR(NOT(EH_Ready),BF124=1),"",AB124-AI124))</f>
        <v/>
      </c>
      <c r="AL124" s="26" t="str">
        <f aca="false">IF(AK124="","",AK124*HoursPerDay)</f>
        <v/>
      </c>
      <c r="AM124" s="27" t="str">
        <f aca="false">IF(AO124=0,"",IF(BF124=1,IF(N(AG124)&gt;0,"TERMINATED - forfeit "&amp;TEXT(AG124,"0.##")&amp;" days still in EH","Terminated - nothing in EH"),IF(NOT(EH_Ready),"Paste EH export and map headers on Settings",IF(AND(AB124&gt;0,AF124="No"),"SET UP in EH - add "&amp;TEXT(AB124,"0.##")&amp;" day(s) ("&amp;TEXT(AC124,"0.##")&amp;" hrs)",IF(AK124&gt;0,"ADD "&amp;TEXT(AK124,"0.##")&amp;" day(s) ("&amp;TEXT(AL124,"0.##")&amp;" hrs) in EH",IF(AK124&lt;0,"CHECK - EH shows "&amp;TEXT(-AK124,"0.##")&amp;" days more than policy",IF(AB124&gt;0,"OK - up to date",IF(AY124="None","No action - not eligible","No action - not yet qualified"))))))))</f>
        <v/>
      </c>
      <c r="AN124" s="27" t="str">
        <f aca="false">IF(AO124=0,"",TRIM(IF(AND($K124&lt;&gt;"",$H124=""),"Change 2 entered without Change 1. ","")&amp;IF(AND($K124&lt;&gt;"",$H124&lt;&gt;"",$K124&lt;=$H124),"Change 2 date not after Change 1. ","")&amp;IF(AND($N124&lt;&gt;"",$O124&lt;&gt;"",$O124&lt;$N124),"Leave To is before Leave From. ","")&amp;IF(AND($N124&lt;&gt;"",$O124=""),"Leave From entered without Leave To. ","")&amp;IF(AND(IFERROR(VLOOKUP(T124,TypeTable,2,0),"None")="PT",U124=""),"Part-time with no hours entered. ","")&amp;IF(AND($H124&lt;&gt;"",$H124&gt;AsOfDate,AD124&lt;&gt;"",$H124&lt;=AD124),"Status change lands before next accrual - review. ","")&amp;IF(AND($Q124&lt;&gt;"",$Q124&lt;$E124),"Termination before commencement. ","")))</f>
        <v/>
      </c>
      <c r="AO124" s="11" t="n">
        <f aca="false">IF(LEN($A124&amp;$B124&amp;$C124)=0,0,IF($E124="",0,1))</f>
        <v>0</v>
      </c>
      <c r="AP124" s="11" t="str">
        <f aca="false">IF(AO124=0,"",(IF(OR($N124="",$O124=""),0,MAX(0,MIN(X124,$O124)-MAX($N124,$E124)+1))+N($P124)))</f>
        <v/>
      </c>
      <c r="AQ124" s="11" t="str">
        <f aca="false">IF(AO124=0,"",IF(X124&lt;($E124+(IF(OR($N124="",$O124=""),0,MAX(0,MIN(X124,$O124)-MAX($N124,$E124)+1))+N($P124))),-1,12*(YEAR(X124)-YEAR(($E124+(IF(OR($N124="",$O124=""),0,MAX(0,MIN(X124,$O124)-MAX($N124,$E124)+1))+N($P124)))))+MONTH(X124)-MONTH(($E124+(IF(OR($N124="",$O124=""),0,MAX(0,MIN(X124,$O124)-MAX($N124,$E124)+1))+N($P124))))-IF(DAY(X124)&lt;MIN(DAY(($E124+(IF(OR($N124="",$O124=""),0,MAX(0,MIN(X124,$O124)-MAX($N124,$E124)+1))+N($P124)))),DAY(EOMONTH(X124,0))),1,0)))</f>
        <v/>
      </c>
      <c r="AR124" s="28" t="str">
        <f aca="false">IF(AO124=0,"",IF($H124="","",IF($H124&gt;X124,"",$H124)))</f>
        <v/>
      </c>
      <c r="AS124" s="28" t="str">
        <f aca="false">IF(AO124=0,"",IF(AR124="","",IF($K124="","",IF($K124&gt;X124,"",$K124))))</f>
        <v/>
      </c>
      <c r="AT124" s="11" t="str">
        <f aca="false">IF(AO124=0,"",IF(AR124="",AQ124,IF((AR124-1)&lt;($E124+(IF(OR($N124="",$O124=""),0,MAX(0,MIN((AR124-1),$O124)-MAX($N124,$E124)+1))+N($P124))),-1,12*(YEAR((AR124-1))-YEAR(($E124+(IF(OR($N124="",$O124=""),0,MAX(0,MIN((AR124-1),$O124)-MAX($N124,$E124)+1))+N($P124)))))+MONTH((AR124-1))-MONTH(($E124+(IF(OR($N124="",$O124=""),0,MAX(0,MIN((AR124-1),$O124)-MAX($N124,$E124)+1))+N($P124))))-IF(DAY((AR124-1))&lt;MIN(DAY(($E124+(IF(OR($N124="",$O124=""),0,MAX(0,MIN((AR124-1),$O124)-MAX($N124,$E124)+1))+N($P124)))),DAY(EOMONTH((AR124-1),0))),1,0))))</f>
        <v/>
      </c>
      <c r="AU124" s="11" t="str">
        <f aca="false">IF(AO124=0,"",IF(AS124="",AQ124,IF((AS124-1)&lt;($E124+(IF(OR($N124="",$O124=""),0,MAX(0,MIN((AS124-1),$O124)-MAX($N124,$E124)+1))+N($P124))),-1,12*(YEAR((AS124-1))-YEAR(($E124+(IF(OR($N124="",$O124=""),0,MAX(0,MIN((AS124-1),$O124)-MAX($N124,$E124)+1))+N($P124)))))+MONTH((AS124-1))-MONTH(($E124+(IF(OR($N124="",$O124=""),0,MAX(0,MIN((AS124-1),$O124)-MAX($N124,$E124)+1))+N($P124))))-IF(DAY((AS124-1))&lt;MIN(DAY(($E124+(IF(OR($N124="",$O124=""),0,MAX(0,MIN((AS124-1),$O124)-MAX($N124,$E124)+1))+N($P124)))),DAY(EOMONTH((AS124-1),0))),1,0))))</f>
        <v/>
      </c>
      <c r="AV124" s="11" t="str">
        <f aca="false">IF(AO124=0,"",IF($F124="","None",IF(IFERROR(VLOOKUP($F124,TypeTable,2,0),"None")="PT",IF(N($G124)&gt;=PT_MinHours,"PT","None"),IFERROR(VLOOKUP($F124,TypeTable,2,0),"None"))))</f>
        <v/>
      </c>
      <c r="AW124" s="11" t="str">
        <f aca="false">IF(AO124=0,"",IF($I124="","None",IF(IFERROR(VLOOKUP($I124,TypeTable,2,0),"None")="PT",IF(N($J124)&gt;=PT_MinHours,"PT","None"),IFERROR(VLOOKUP($I124,TypeTable,2,0),"None"))))</f>
        <v/>
      </c>
      <c r="AX124" s="11" t="str">
        <f aca="false">IF(AO124=0,"",IF($L124="","None",IF(IFERROR(VLOOKUP($L124,TypeTable,2,0),"None")="PT",IF(N($M124)&gt;=PT_MinHours,"PT","None"),IFERROR(VLOOKUP($L124,TypeTable,2,0),"None"))))</f>
        <v/>
      </c>
      <c r="AY124" s="11" t="str">
        <f aca="false">IF(AO124=0,"",IF(AS124&lt;&gt;"",AX124,IF(AR124&lt;&gt;"",AW124,AV124)))</f>
        <v/>
      </c>
      <c r="AZ124" s="11" t="str">
        <f aca="false">IF(AO124=0,"",IF(AV124="FT",IF(AT124&lt;FT_First,0,IF(AT124&lt;FT_Y5,1+INT((AT124-FT_First)/FT_Int1),FT_PreY5+FT_PerYear*INT((AT124-FT_Y5)/12)+FT_AnnivDays+INT(MOD(AT124-FT_Y5,12)/FT_Int2))),IF(AV124="PT",IF(AT124&lt;PT_First,0,1+INT((AT124-PT_First)/PT_Int)),0)))</f>
        <v/>
      </c>
      <c r="BA124" s="11" t="str">
        <f aca="false">IF(AO124=0,"",IF(AW124="FT",IF(AT124&lt;FT_First,0,IF(AT124&lt;FT_Y5,1+INT((AT124-FT_First)/FT_Int1),FT_PreY5+FT_PerYear*INT((AT124-FT_Y5)/12)+FT_AnnivDays+INT(MOD(AT124-FT_Y5,12)/FT_Int2))),IF(AW124="PT",IF(AT124&lt;PT_First,0,1+INT((AT124-PT_First)/PT_Int)),0)))</f>
        <v/>
      </c>
      <c r="BB124" s="11" t="str">
        <f aca="false">IF(AO124=0,"",IF(AW124="FT",IF(AU124&lt;FT_First,0,IF(AU124&lt;FT_Y5,1+INT((AU124-FT_First)/FT_Int1),FT_PreY5+FT_PerYear*INT((AU124-FT_Y5)/12)+FT_AnnivDays+INT(MOD(AU124-FT_Y5,12)/FT_Int2))),IF(AW124="PT",IF(AU124&lt;PT_First,0,1+INT((AU124-PT_First)/PT_Int)),0)))</f>
        <v/>
      </c>
      <c r="BC124" s="11" t="str">
        <f aca="false">IF(AO124=0,"",IF(AX124="FT",IF(AU124&lt;FT_First,0,IF(AU124&lt;FT_Y5,1+INT((AU124-FT_First)/FT_Int1),FT_PreY5+FT_PerYear*INT((AU124-FT_Y5)/12)+FT_AnnivDays+INT(MOD(AU124-FT_Y5,12)/FT_Int2))),IF(AX124="PT",IF(AU124&lt;PT_First,0,1+INT((AU124-PT_First)/PT_Int)),0)))</f>
        <v/>
      </c>
      <c r="BD124" s="11" t="str">
        <f aca="false">IF(AO124=0,"",IF(AX124="FT",IF(AQ124&lt;FT_First,0,IF(AQ124&lt;FT_Y5,1+INT((AQ124-FT_First)/FT_Int1),FT_PreY5+FT_PerYear*INT((AQ124-FT_Y5)/12)+FT_AnnivDays+INT(MOD(AQ124-FT_Y5,12)/FT_Int2))),IF(AX124="PT",IF(AQ124&lt;PT_First,0,1+INT((AQ124-PT_First)/PT_Int)),0)))</f>
        <v/>
      </c>
      <c r="BE124" s="11" t="str">
        <f aca="false">IF(AO124=0,"",IF(AY124="FT",IF(AQ124&lt;FT_First,FT_First,IF(AQ124&lt;FT_Y5,MIN(FT_Y5,FT_First+FT_Int1*(INT((AQ124-FT_First)/FT_Int1)+1)),FT_Y5+12*INT((AQ124-FT_Y5)/12)+FT_Int2*(INT(MOD(AQ124-FT_Y5,12)/FT_Int2)+1))),IF(AY124="PT",IF(AQ124&lt;PT_First,PT_First,PT_First+PT_Int*(INT((AQ124-PT_First)/PT_Int)+1)),"")))</f>
        <v/>
      </c>
      <c r="BF124" s="11" t="n">
        <f aca="false">IF(AO124=0,0,IF(AND($Q124&lt;&gt;"",$Q124&lt;=AsOfDate),1,0))</f>
        <v>0</v>
      </c>
      <c r="BG124" s="11" t="str">
        <f aca="false">IF(AND(AO124=1,BF124=0,EH_Ready,N(AB124)&gt;0,N(AI124)=0),COUNT($BG$5:BG123)+1,"")</f>
        <v/>
      </c>
      <c r="BH124" s="11" t="str">
        <f aca="false">IF(AND(AO124=1,BF124=0,EH_Ready,N(AB124)&gt;0,N(AI124)&gt;0,N(AK124)&gt;0),COUNT($BH$5:BH123)+1,"")</f>
        <v/>
      </c>
      <c r="BI124" s="11" t="str">
        <f aca="false">IF(AND(AO124=1,OR(LEFT(AM124,3)="ADD",LEFT(AM124,3)="SET",LEFT(AM124,5)="CHECK",LEFT(AM124,10)="TERMINATED")),COUNT($BI$5:BI123)+1,"")</f>
        <v/>
      </c>
      <c r="BJ124" s="11" t="str">
        <f aca="false">IF(AO124=0,"",$A124&amp;" - "&amp;$B124&amp;" "&amp;$C124)</f>
        <v/>
      </c>
    </row>
    <row r="125" customFormat="false" ht="15" hidden="false" customHeight="false" outlineLevel="0" collapsed="false">
      <c r="A125" s="10"/>
      <c r="B125" s="10"/>
      <c r="C125" s="10"/>
      <c r="D125" s="10"/>
      <c r="E125" s="9"/>
      <c r="F125" s="10"/>
      <c r="G125" s="30"/>
      <c r="H125" s="9"/>
      <c r="I125" s="10"/>
      <c r="J125" s="30"/>
      <c r="K125" s="9"/>
      <c r="L125" s="10"/>
      <c r="M125" s="30"/>
      <c r="N125" s="9"/>
      <c r="O125" s="9"/>
      <c r="P125" s="30"/>
      <c r="Q125" s="9"/>
      <c r="R125" s="10"/>
      <c r="S125" s="11" t="str">
        <f aca="false">IF(AO125=0,"",IF($H125="","",$F125&amp;" -&gt; "&amp;$I125&amp;IF($I125="Part-Time"," ("&amp;N($J125)&amp;" hrs)","")&amp;" on "&amp;TEXT($H125,"dd/mm/yyyy")&amp;IF($H125&gt;AsOfDate," (FUTURE)","")&amp;IF($K125="","","; "&amp;$I125&amp;" -&gt; "&amp;$L125&amp;IF($L125="Part-Time"," ("&amp;N($M125)&amp;" hrs)","")&amp;" on "&amp;TEXT($K125,"dd/mm/yyyy")&amp;IF($K125&gt;AsOfDate," (FUTURE)",""))))</f>
        <v/>
      </c>
      <c r="T125" s="11" t="str">
        <f aca="false">IF(AO125=0,"",IF(AS125&lt;&gt;"",$L125,IF(AR125&lt;&gt;"",$I125,$F125)))</f>
        <v/>
      </c>
      <c r="U125" s="26" t="str">
        <f aca="false">IF(AO125=0,"",IF(AS125&lt;&gt;"",$M125,IF(AR125&lt;&gt;"",$J125,$G125)))</f>
        <v/>
      </c>
      <c r="V125" s="11" t="str">
        <f aca="false">IF(AO125=0,"",IF(AY125="FT","Full-Time",IF(AY125="PT","Part-Time","Not eligible")))</f>
        <v/>
      </c>
      <c r="W125" s="27" t="str">
        <f aca="false">IF(AO125=0,"",IF(AR125="",IF(AND($H125&lt;&gt;"",$H125&gt;AsOfDate),"Future change - not yet applied",""),IF(AND(AV125=AY125,OR(AS125="",AW125=AV125)),"Type changed - same accrual pathway",IF(AY125="None","STOPPED accruing from "&amp;TEXT(IF(AS125&lt;&gt;"",AS125,AR125),"dd/mm/yyyy"),IF(AV125="None","STARTED qualifying from "&amp;TEXT(IF(AS125&lt;&gt;"",AS125,AR125),"dd/mm/yyyy"),"Pathway changed "&amp;AV125&amp;" -&gt; "&amp;AW125&amp;IF(AS125&lt;&gt;""," -&gt; "&amp;AX125,"")&amp;" from "&amp;TEXT(IF(AS125&lt;&gt;"",AS125,AR125),"dd/mm/yyyy"))))))</f>
        <v/>
      </c>
      <c r="X125" s="28" t="str">
        <f aca="false">IF(AO125=0,"",IF($Q125="",AsOfDate,MIN(AsOfDate,$Q125)))</f>
        <v/>
      </c>
      <c r="Y125" s="26" t="str">
        <f aca="false">IF(AO125=0,"",MAX(0,AQ125))</f>
        <v/>
      </c>
      <c r="Z125" s="11" t="str">
        <f aca="false">IF(AO125=0,"",IF(AQ125&lt;0,"Not started",INT(AQ125/12)&amp;"y "&amp;MOD(AQ125,12)&amp;"m"))</f>
        <v/>
      </c>
      <c r="AA125" s="27" t="str">
        <f aca="false">IF(AO125=0,"",IF(BF125=1,"Terminated - balance forfeited",IF(AY125="None",IF(AB125&gt;0,"No longer accruing - "&amp;T125,"Not eligible - "&amp;T125&amp;IF(AND(IFERROR(VLOOKUP(T125,TypeTable,2,0),"None")="PT",N(U125)&lt;PT_MinHours)," (under "&amp;PT_MinHours&amp;" hrs)","")),IF(AB125&gt;0,"Yes - accruing","Not yet - qualifies "&amp;TEXT(AD125,"dd/mm/yyyy")))))</f>
        <v/>
      </c>
      <c r="AB125" s="26" t="str">
        <f aca="false">IF(AO125=0,"",AZ125+IF(AR125="",0,BB125-BA125)+IF(AS125="",0,BD125-BC125))</f>
        <v/>
      </c>
      <c r="AC125" s="26" t="str">
        <f aca="false">IF(AO125=0,"",AB125*HoursPerDay)</f>
        <v/>
      </c>
      <c r="AD125" s="28" t="str">
        <f aca="false">IF(AO125=0,"",IF(OR(BF125=1,AY125="None"),"",EDATE($E125+AP125,BE125)))</f>
        <v/>
      </c>
      <c r="AE125" s="26" t="str">
        <f aca="false">IF(AD125="","",IF(AY125="PT",1,IF(BE125&lt;FT_Y5,1,IF(MOD(BE125-FT_Y5,12)=0,FT_AnnivDays,1))))</f>
        <v/>
      </c>
      <c r="AF125" s="27" t="str">
        <f aca="false">IF(AO125=0,"",IF(NOT(EH_Ready),"Map headers",IF(IF(MatchMode="Employee ID",COUNTIFS(INDEX(EH_Data,0,EH_ColID),$A125,INDEX(EH_Data,0,EH_ColCat),BonusCat),COUNTIFS(INDEX(EH_Data,0,EH_ColFirst),$B125,INDEX(EH_Data,0,EH_ColSur),$C125,INDEX(EH_Data,0,EH_ColCat),BonusCat))&gt;0,"Yes","No")))</f>
        <v/>
      </c>
      <c r="AG125" s="26" t="str">
        <f aca="false">IF(AO125=0,"",IF(NOT(EH_Ready),"",IF(MatchMode="Employee ID",SUMIFS(INDEX(EH_Data,0,EH_ColBal),INDEX(EH_Data,0,EH_ColID),$A125,INDEX(EH_Data,0,EH_ColCat),BonusCat),SUMIFS(INDEX(EH_Data,0,EH_ColBal),INDEX(EH_Data,0,EH_ColFirst),$B125,INDEX(EH_Data,0,EH_ColSur),$C125,INDEX(EH_Data,0,EH_ColCat),BonusCat))/IF(EHUnit="Hours",HoursPerDay,1)))</f>
        <v/>
      </c>
      <c r="AH125" s="26" t="str">
        <f aca="false">IF(AO125=0,"",IF(NOT(TK_Ready),0,IF(MatchMode="Employee ID",SUMIFS(INDEX(TK_Data,0,TK_ColAmt),INDEX(TK_Data,0,TK_ColID),$A125,INDEX(TK_Data,0,TK_ColCat),BonusCat),SUMIFS(INDEX(TK_Data,0,TK_ColAmt),INDEX(TK_Data,0,TK_ColFirst),$B125,INDEX(TK_Data,0,TK_ColSur),$C125,INDEX(TK_Data,0,TK_ColCat),BonusCat))/IF(TKUnit="Hours",HoursPerDay,1)))</f>
        <v/>
      </c>
      <c r="AI125" s="26" t="str">
        <f aca="false">IF(AO125=0,"",N(AG125)+N(AH125))</f>
        <v/>
      </c>
      <c r="AJ125" s="29" t="str">
        <f aca="false">IF(AO125=0,"",IF(NOT(AND(EH_Ready,EH_ValReady)),"",IF(MatchMode="Employee ID",SUMIFS(INDEX(EH_Data,0,EH_ColVal),INDEX(EH_Data,0,EH_ColID),$A125,INDEX(EH_Data,0,EH_ColCat),BonusCat),SUMIFS(INDEX(EH_Data,0,EH_ColVal),INDEX(EH_Data,0,EH_ColFirst),$B125,INDEX(EH_Data,0,EH_ColSur),$C125,INDEX(EH_Data,0,EH_ColCat),BonusCat))))</f>
        <v/>
      </c>
      <c r="AK125" s="26" t="str">
        <f aca="false">IF(AO125=0,"",IF(OR(NOT(EH_Ready),BF125=1),"",AB125-AI125))</f>
        <v/>
      </c>
      <c r="AL125" s="26" t="str">
        <f aca="false">IF(AK125="","",AK125*HoursPerDay)</f>
        <v/>
      </c>
      <c r="AM125" s="27" t="str">
        <f aca="false">IF(AO125=0,"",IF(BF125=1,IF(N(AG125)&gt;0,"TERMINATED - forfeit "&amp;TEXT(AG125,"0.##")&amp;" days still in EH","Terminated - nothing in EH"),IF(NOT(EH_Ready),"Paste EH export and map headers on Settings",IF(AND(AB125&gt;0,AF125="No"),"SET UP in EH - add "&amp;TEXT(AB125,"0.##")&amp;" day(s) ("&amp;TEXT(AC125,"0.##")&amp;" hrs)",IF(AK125&gt;0,"ADD "&amp;TEXT(AK125,"0.##")&amp;" day(s) ("&amp;TEXT(AL125,"0.##")&amp;" hrs) in EH",IF(AK125&lt;0,"CHECK - EH shows "&amp;TEXT(-AK125,"0.##")&amp;" days more than policy",IF(AB125&gt;0,"OK - up to date",IF(AY125="None","No action - not eligible","No action - not yet qualified"))))))))</f>
        <v/>
      </c>
      <c r="AN125" s="27" t="str">
        <f aca="false">IF(AO125=0,"",TRIM(IF(AND($K125&lt;&gt;"",$H125=""),"Change 2 entered without Change 1. ","")&amp;IF(AND($K125&lt;&gt;"",$H125&lt;&gt;"",$K125&lt;=$H125),"Change 2 date not after Change 1. ","")&amp;IF(AND($N125&lt;&gt;"",$O125&lt;&gt;"",$O125&lt;$N125),"Leave To is before Leave From. ","")&amp;IF(AND($N125&lt;&gt;"",$O125=""),"Leave From entered without Leave To. ","")&amp;IF(AND(IFERROR(VLOOKUP(T125,TypeTable,2,0),"None")="PT",U125=""),"Part-time with no hours entered. ","")&amp;IF(AND($H125&lt;&gt;"",$H125&gt;AsOfDate,AD125&lt;&gt;"",$H125&lt;=AD125),"Status change lands before next accrual - review. ","")&amp;IF(AND($Q125&lt;&gt;"",$Q125&lt;$E125),"Termination before commencement. ","")))</f>
        <v/>
      </c>
      <c r="AO125" s="11" t="n">
        <f aca="false">IF(LEN($A125&amp;$B125&amp;$C125)=0,0,IF($E125="",0,1))</f>
        <v>0</v>
      </c>
      <c r="AP125" s="11" t="str">
        <f aca="false">IF(AO125=0,"",(IF(OR($N125="",$O125=""),0,MAX(0,MIN(X125,$O125)-MAX($N125,$E125)+1))+N($P125)))</f>
        <v/>
      </c>
      <c r="AQ125" s="11" t="str">
        <f aca="false">IF(AO125=0,"",IF(X125&lt;($E125+(IF(OR($N125="",$O125=""),0,MAX(0,MIN(X125,$O125)-MAX($N125,$E125)+1))+N($P125))),-1,12*(YEAR(X125)-YEAR(($E125+(IF(OR($N125="",$O125=""),0,MAX(0,MIN(X125,$O125)-MAX($N125,$E125)+1))+N($P125)))))+MONTH(X125)-MONTH(($E125+(IF(OR($N125="",$O125=""),0,MAX(0,MIN(X125,$O125)-MAX($N125,$E125)+1))+N($P125))))-IF(DAY(X125)&lt;MIN(DAY(($E125+(IF(OR($N125="",$O125=""),0,MAX(0,MIN(X125,$O125)-MAX($N125,$E125)+1))+N($P125)))),DAY(EOMONTH(X125,0))),1,0)))</f>
        <v/>
      </c>
      <c r="AR125" s="28" t="str">
        <f aca="false">IF(AO125=0,"",IF($H125="","",IF($H125&gt;X125,"",$H125)))</f>
        <v/>
      </c>
      <c r="AS125" s="28" t="str">
        <f aca="false">IF(AO125=0,"",IF(AR125="","",IF($K125="","",IF($K125&gt;X125,"",$K125))))</f>
        <v/>
      </c>
      <c r="AT125" s="11" t="str">
        <f aca="false">IF(AO125=0,"",IF(AR125="",AQ125,IF((AR125-1)&lt;($E125+(IF(OR($N125="",$O125=""),0,MAX(0,MIN((AR125-1),$O125)-MAX($N125,$E125)+1))+N($P125))),-1,12*(YEAR((AR125-1))-YEAR(($E125+(IF(OR($N125="",$O125=""),0,MAX(0,MIN((AR125-1),$O125)-MAX($N125,$E125)+1))+N($P125)))))+MONTH((AR125-1))-MONTH(($E125+(IF(OR($N125="",$O125=""),0,MAX(0,MIN((AR125-1),$O125)-MAX($N125,$E125)+1))+N($P125))))-IF(DAY((AR125-1))&lt;MIN(DAY(($E125+(IF(OR($N125="",$O125=""),0,MAX(0,MIN((AR125-1),$O125)-MAX($N125,$E125)+1))+N($P125)))),DAY(EOMONTH((AR125-1),0))),1,0))))</f>
        <v/>
      </c>
      <c r="AU125" s="11" t="str">
        <f aca="false">IF(AO125=0,"",IF(AS125="",AQ125,IF((AS125-1)&lt;($E125+(IF(OR($N125="",$O125=""),0,MAX(0,MIN((AS125-1),$O125)-MAX($N125,$E125)+1))+N($P125))),-1,12*(YEAR((AS125-1))-YEAR(($E125+(IF(OR($N125="",$O125=""),0,MAX(0,MIN((AS125-1),$O125)-MAX($N125,$E125)+1))+N($P125)))))+MONTH((AS125-1))-MONTH(($E125+(IF(OR($N125="",$O125=""),0,MAX(0,MIN((AS125-1),$O125)-MAX($N125,$E125)+1))+N($P125))))-IF(DAY((AS125-1))&lt;MIN(DAY(($E125+(IF(OR($N125="",$O125=""),0,MAX(0,MIN((AS125-1),$O125)-MAX($N125,$E125)+1))+N($P125)))),DAY(EOMONTH((AS125-1),0))),1,0))))</f>
        <v/>
      </c>
      <c r="AV125" s="11" t="str">
        <f aca="false">IF(AO125=0,"",IF($F125="","None",IF(IFERROR(VLOOKUP($F125,TypeTable,2,0),"None")="PT",IF(N($G125)&gt;=PT_MinHours,"PT","None"),IFERROR(VLOOKUP($F125,TypeTable,2,0),"None"))))</f>
        <v/>
      </c>
      <c r="AW125" s="11" t="str">
        <f aca="false">IF(AO125=0,"",IF($I125="","None",IF(IFERROR(VLOOKUP($I125,TypeTable,2,0),"None")="PT",IF(N($J125)&gt;=PT_MinHours,"PT","None"),IFERROR(VLOOKUP($I125,TypeTable,2,0),"None"))))</f>
        <v/>
      </c>
      <c r="AX125" s="11" t="str">
        <f aca="false">IF(AO125=0,"",IF($L125="","None",IF(IFERROR(VLOOKUP($L125,TypeTable,2,0),"None")="PT",IF(N($M125)&gt;=PT_MinHours,"PT","None"),IFERROR(VLOOKUP($L125,TypeTable,2,0),"None"))))</f>
        <v/>
      </c>
      <c r="AY125" s="11" t="str">
        <f aca="false">IF(AO125=0,"",IF(AS125&lt;&gt;"",AX125,IF(AR125&lt;&gt;"",AW125,AV125)))</f>
        <v/>
      </c>
      <c r="AZ125" s="11" t="str">
        <f aca="false">IF(AO125=0,"",IF(AV125="FT",IF(AT125&lt;FT_First,0,IF(AT125&lt;FT_Y5,1+INT((AT125-FT_First)/FT_Int1),FT_PreY5+FT_PerYear*INT((AT125-FT_Y5)/12)+FT_AnnivDays+INT(MOD(AT125-FT_Y5,12)/FT_Int2))),IF(AV125="PT",IF(AT125&lt;PT_First,0,1+INT((AT125-PT_First)/PT_Int)),0)))</f>
        <v/>
      </c>
      <c r="BA125" s="11" t="str">
        <f aca="false">IF(AO125=0,"",IF(AW125="FT",IF(AT125&lt;FT_First,0,IF(AT125&lt;FT_Y5,1+INT((AT125-FT_First)/FT_Int1),FT_PreY5+FT_PerYear*INT((AT125-FT_Y5)/12)+FT_AnnivDays+INT(MOD(AT125-FT_Y5,12)/FT_Int2))),IF(AW125="PT",IF(AT125&lt;PT_First,0,1+INT((AT125-PT_First)/PT_Int)),0)))</f>
        <v/>
      </c>
      <c r="BB125" s="11" t="str">
        <f aca="false">IF(AO125=0,"",IF(AW125="FT",IF(AU125&lt;FT_First,0,IF(AU125&lt;FT_Y5,1+INT((AU125-FT_First)/FT_Int1),FT_PreY5+FT_PerYear*INT((AU125-FT_Y5)/12)+FT_AnnivDays+INT(MOD(AU125-FT_Y5,12)/FT_Int2))),IF(AW125="PT",IF(AU125&lt;PT_First,0,1+INT((AU125-PT_First)/PT_Int)),0)))</f>
        <v/>
      </c>
      <c r="BC125" s="11" t="str">
        <f aca="false">IF(AO125=0,"",IF(AX125="FT",IF(AU125&lt;FT_First,0,IF(AU125&lt;FT_Y5,1+INT((AU125-FT_First)/FT_Int1),FT_PreY5+FT_PerYear*INT((AU125-FT_Y5)/12)+FT_AnnivDays+INT(MOD(AU125-FT_Y5,12)/FT_Int2))),IF(AX125="PT",IF(AU125&lt;PT_First,0,1+INT((AU125-PT_First)/PT_Int)),0)))</f>
        <v/>
      </c>
      <c r="BD125" s="11" t="str">
        <f aca="false">IF(AO125=0,"",IF(AX125="FT",IF(AQ125&lt;FT_First,0,IF(AQ125&lt;FT_Y5,1+INT((AQ125-FT_First)/FT_Int1),FT_PreY5+FT_PerYear*INT((AQ125-FT_Y5)/12)+FT_AnnivDays+INT(MOD(AQ125-FT_Y5,12)/FT_Int2))),IF(AX125="PT",IF(AQ125&lt;PT_First,0,1+INT((AQ125-PT_First)/PT_Int)),0)))</f>
        <v/>
      </c>
      <c r="BE125" s="11" t="str">
        <f aca="false">IF(AO125=0,"",IF(AY125="FT",IF(AQ125&lt;FT_First,FT_First,IF(AQ125&lt;FT_Y5,MIN(FT_Y5,FT_First+FT_Int1*(INT((AQ125-FT_First)/FT_Int1)+1)),FT_Y5+12*INT((AQ125-FT_Y5)/12)+FT_Int2*(INT(MOD(AQ125-FT_Y5,12)/FT_Int2)+1))),IF(AY125="PT",IF(AQ125&lt;PT_First,PT_First,PT_First+PT_Int*(INT((AQ125-PT_First)/PT_Int)+1)),"")))</f>
        <v/>
      </c>
      <c r="BF125" s="11" t="n">
        <f aca="false">IF(AO125=0,0,IF(AND($Q125&lt;&gt;"",$Q125&lt;=AsOfDate),1,0))</f>
        <v>0</v>
      </c>
      <c r="BG125" s="11" t="str">
        <f aca="false">IF(AND(AO125=1,BF125=0,EH_Ready,N(AB125)&gt;0,N(AI125)=0),COUNT($BG$5:BG124)+1,"")</f>
        <v/>
      </c>
      <c r="BH125" s="11" t="str">
        <f aca="false">IF(AND(AO125=1,BF125=0,EH_Ready,N(AB125)&gt;0,N(AI125)&gt;0,N(AK125)&gt;0),COUNT($BH$5:BH124)+1,"")</f>
        <v/>
      </c>
      <c r="BI125" s="11" t="str">
        <f aca="false">IF(AND(AO125=1,OR(LEFT(AM125,3)="ADD",LEFT(AM125,3)="SET",LEFT(AM125,5)="CHECK",LEFT(AM125,10)="TERMINATED")),COUNT($BI$5:BI124)+1,"")</f>
        <v/>
      </c>
      <c r="BJ125" s="11" t="str">
        <f aca="false">IF(AO125=0,"",$A125&amp;" - "&amp;$B125&amp;" "&amp;$C125)</f>
        <v/>
      </c>
    </row>
    <row r="126" customFormat="false" ht="15" hidden="false" customHeight="false" outlineLevel="0" collapsed="false">
      <c r="A126" s="10"/>
      <c r="B126" s="10"/>
      <c r="C126" s="10"/>
      <c r="D126" s="10"/>
      <c r="E126" s="9"/>
      <c r="F126" s="10"/>
      <c r="G126" s="30"/>
      <c r="H126" s="9"/>
      <c r="I126" s="10"/>
      <c r="J126" s="30"/>
      <c r="K126" s="9"/>
      <c r="L126" s="10"/>
      <c r="M126" s="30"/>
      <c r="N126" s="9"/>
      <c r="O126" s="9"/>
      <c r="P126" s="30"/>
      <c r="Q126" s="9"/>
      <c r="R126" s="10"/>
      <c r="S126" s="11" t="str">
        <f aca="false">IF(AO126=0,"",IF($H126="","",$F126&amp;" -&gt; "&amp;$I126&amp;IF($I126="Part-Time"," ("&amp;N($J126)&amp;" hrs)","")&amp;" on "&amp;TEXT($H126,"dd/mm/yyyy")&amp;IF($H126&gt;AsOfDate," (FUTURE)","")&amp;IF($K126="","","; "&amp;$I126&amp;" -&gt; "&amp;$L126&amp;IF($L126="Part-Time"," ("&amp;N($M126)&amp;" hrs)","")&amp;" on "&amp;TEXT($K126,"dd/mm/yyyy")&amp;IF($K126&gt;AsOfDate," (FUTURE)",""))))</f>
        <v/>
      </c>
      <c r="T126" s="11" t="str">
        <f aca="false">IF(AO126=0,"",IF(AS126&lt;&gt;"",$L126,IF(AR126&lt;&gt;"",$I126,$F126)))</f>
        <v/>
      </c>
      <c r="U126" s="26" t="str">
        <f aca="false">IF(AO126=0,"",IF(AS126&lt;&gt;"",$M126,IF(AR126&lt;&gt;"",$J126,$G126)))</f>
        <v/>
      </c>
      <c r="V126" s="11" t="str">
        <f aca="false">IF(AO126=0,"",IF(AY126="FT","Full-Time",IF(AY126="PT","Part-Time","Not eligible")))</f>
        <v/>
      </c>
      <c r="W126" s="27" t="str">
        <f aca="false">IF(AO126=0,"",IF(AR126="",IF(AND($H126&lt;&gt;"",$H126&gt;AsOfDate),"Future change - not yet applied",""),IF(AND(AV126=AY126,OR(AS126="",AW126=AV126)),"Type changed - same accrual pathway",IF(AY126="None","STOPPED accruing from "&amp;TEXT(IF(AS126&lt;&gt;"",AS126,AR126),"dd/mm/yyyy"),IF(AV126="None","STARTED qualifying from "&amp;TEXT(IF(AS126&lt;&gt;"",AS126,AR126),"dd/mm/yyyy"),"Pathway changed "&amp;AV126&amp;" -&gt; "&amp;AW126&amp;IF(AS126&lt;&gt;""," -&gt; "&amp;AX126,"")&amp;" from "&amp;TEXT(IF(AS126&lt;&gt;"",AS126,AR126),"dd/mm/yyyy"))))))</f>
        <v/>
      </c>
      <c r="X126" s="28" t="str">
        <f aca="false">IF(AO126=0,"",IF($Q126="",AsOfDate,MIN(AsOfDate,$Q126)))</f>
        <v/>
      </c>
      <c r="Y126" s="26" t="str">
        <f aca="false">IF(AO126=0,"",MAX(0,AQ126))</f>
        <v/>
      </c>
      <c r="Z126" s="11" t="str">
        <f aca="false">IF(AO126=0,"",IF(AQ126&lt;0,"Not started",INT(AQ126/12)&amp;"y "&amp;MOD(AQ126,12)&amp;"m"))</f>
        <v/>
      </c>
      <c r="AA126" s="27" t="str">
        <f aca="false">IF(AO126=0,"",IF(BF126=1,"Terminated - balance forfeited",IF(AY126="None",IF(AB126&gt;0,"No longer accruing - "&amp;T126,"Not eligible - "&amp;T126&amp;IF(AND(IFERROR(VLOOKUP(T126,TypeTable,2,0),"None")="PT",N(U126)&lt;PT_MinHours)," (under "&amp;PT_MinHours&amp;" hrs)","")),IF(AB126&gt;0,"Yes - accruing","Not yet - qualifies "&amp;TEXT(AD126,"dd/mm/yyyy")))))</f>
        <v/>
      </c>
      <c r="AB126" s="26" t="str">
        <f aca="false">IF(AO126=0,"",AZ126+IF(AR126="",0,BB126-BA126)+IF(AS126="",0,BD126-BC126))</f>
        <v/>
      </c>
      <c r="AC126" s="26" t="str">
        <f aca="false">IF(AO126=0,"",AB126*HoursPerDay)</f>
        <v/>
      </c>
      <c r="AD126" s="28" t="str">
        <f aca="false">IF(AO126=0,"",IF(OR(BF126=1,AY126="None"),"",EDATE($E126+AP126,BE126)))</f>
        <v/>
      </c>
      <c r="AE126" s="26" t="str">
        <f aca="false">IF(AD126="","",IF(AY126="PT",1,IF(BE126&lt;FT_Y5,1,IF(MOD(BE126-FT_Y5,12)=0,FT_AnnivDays,1))))</f>
        <v/>
      </c>
      <c r="AF126" s="27" t="str">
        <f aca="false">IF(AO126=0,"",IF(NOT(EH_Ready),"Map headers",IF(IF(MatchMode="Employee ID",COUNTIFS(INDEX(EH_Data,0,EH_ColID),$A126,INDEX(EH_Data,0,EH_ColCat),BonusCat),COUNTIFS(INDEX(EH_Data,0,EH_ColFirst),$B126,INDEX(EH_Data,0,EH_ColSur),$C126,INDEX(EH_Data,0,EH_ColCat),BonusCat))&gt;0,"Yes","No")))</f>
        <v/>
      </c>
      <c r="AG126" s="26" t="str">
        <f aca="false">IF(AO126=0,"",IF(NOT(EH_Ready),"",IF(MatchMode="Employee ID",SUMIFS(INDEX(EH_Data,0,EH_ColBal),INDEX(EH_Data,0,EH_ColID),$A126,INDEX(EH_Data,0,EH_ColCat),BonusCat),SUMIFS(INDEX(EH_Data,0,EH_ColBal),INDEX(EH_Data,0,EH_ColFirst),$B126,INDEX(EH_Data,0,EH_ColSur),$C126,INDEX(EH_Data,0,EH_ColCat),BonusCat))/IF(EHUnit="Hours",HoursPerDay,1)))</f>
        <v/>
      </c>
      <c r="AH126" s="26" t="str">
        <f aca="false">IF(AO126=0,"",IF(NOT(TK_Ready),0,IF(MatchMode="Employee ID",SUMIFS(INDEX(TK_Data,0,TK_ColAmt),INDEX(TK_Data,0,TK_ColID),$A126,INDEX(TK_Data,0,TK_ColCat),BonusCat),SUMIFS(INDEX(TK_Data,0,TK_ColAmt),INDEX(TK_Data,0,TK_ColFirst),$B126,INDEX(TK_Data,0,TK_ColSur),$C126,INDEX(TK_Data,0,TK_ColCat),BonusCat))/IF(TKUnit="Hours",HoursPerDay,1)))</f>
        <v/>
      </c>
      <c r="AI126" s="26" t="str">
        <f aca="false">IF(AO126=0,"",N(AG126)+N(AH126))</f>
        <v/>
      </c>
      <c r="AJ126" s="29" t="str">
        <f aca="false">IF(AO126=0,"",IF(NOT(AND(EH_Ready,EH_ValReady)),"",IF(MatchMode="Employee ID",SUMIFS(INDEX(EH_Data,0,EH_ColVal),INDEX(EH_Data,0,EH_ColID),$A126,INDEX(EH_Data,0,EH_ColCat),BonusCat),SUMIFS(INDEX(EH_Data,0,EH_ColVal),INDEX(EH_Data,0,EH_ColFirst),$B126,INDEX(EH_Data,0,EH_ColSur),$C126,INDEX(EH_Data,0,EH_ColCat),BonusCat))))</f>
        <v/>
      </c>
      <c r="AK126" s="26" t="str">
        <f aca="false">IF(AO126=0,"",IF(OR(NOT(EH_Ready),BF126=1),"",AB126-AI126))</f>
        <v/>
      </c>
      <c r="AL126" s="26" t="str">
        <f aca="false">IF(AK126="","",AK126*HoursPerDay)</f>
        <v/>
      </c>
      <c r="AM126" s="27" t="str">
        <f aca="false">IF(AO126=0,"",IF(BF126=1,IF(N(AG126)&gt;0,"TERMINATED - forfeit "&amp;TEXT(AG126,"0.##")&amp;" days still in EH","Terminated - nothing in EH"),IF(NOT(EH_Ready),"Paste EH export and map headers on Settings",IF(AND(AB126&gt;0,AF126="No"),"SET UP in EH - add "&amp;TEXT(AB126,"0.##")&amp;" day(s) ("&amp;TEXT(AC126,"0.##")&amp;" hrs)",IF(AK126&gt;0,"ADD "&amp;TEXT(AK126,"0.##")&amp;" day(s) ("&amp;TEXT(AL126,"0.##")&amp;" hrs) in EH",IF(AK126&lt;0,"CHECK - EH shows "&amp;TEXT(-AK126,"0.##")&amp;" days more than policy",IF(AB126&gt;0,"OK - up to date",IF(AY126="None","No action - not eligible","No action - not yet qualified"))))))))</f>
        <v/>
      </c>
      <c r="AN126" s="27" t="str">
        <f aca="false">IF(AO126=0,"",TRIM(IF(AND($K126&lt;&gt;"",$H126=""),"Change 2 entered without Change 1. ","")&amp;IF(AND($K126&lt;&gt;"",$H126&lt;&gt;"",$K126&lt;=$H126),"Change 2 date not after Change 1. ","")&amp;IF(AND($N126&lt;&gt;"",$O126&lt;&gt;"",$O126&lt;$N126),"Leave To is before Leave From. ","")&amp;IF(AND($N126&lt;&gt;"",$O126=""),"Leave From entered without Leave To. ","")&amp;IF(AND(IFERROR(VLOOKUP(T126,TypeTable,2,0),"None")="PT",U126=""),"Part-time with no hours entered. ","")&amp;IF(AND($H126&lt;&gt;"",$H126&gt;AsOfDate,AD126&lt;&gt;"",$H126&lt;=AD126),"Status change lands before next accrual - review. ","")&amp;IF(AND($Q126&lt;&gt;"",$Q126&lt;$E126),"Termination before commencement. ","")))</f>
        <v/>
      </c>
      <c r="AO126" s="11" t="n">
        <f aca="false">IF(LEN($A126&amp;$B126&amp;$C126)=0,0,IF($E126="",0,1))</f>
        <v>0</v>
      </c>
      <c r="AP126" s="11" t="str">
        <f aca="false">IF(AO126=0,"",(IF(OR($N126="",$O126=""),0,MAX(0,MIN(X126,$O126)-MAX($N126,$E126)+1))+N($P126)))</f>
        <v/>
      </c>
      <c r="AQ126" s="11" t="str">
        <f aca="false">IF(AO126=0,"",IF(X126&lt;($E126+(IF(OR($N126="",$O126=""),0,MAX(0,MIN(X126,$O126)-MAX($N126,$E126)+1))+N($P126))),-1,12*(YEAR(X126)-YEAR(($E126+(IF(OR($N126="",$O126=""),0,MAX(0,MIN(X126,$O126)-MAX($N126,$E126)+1))+N($P126)))))+MONTH(X126)-MONTH(($E126+(IF(OR($N126="",$O126=""),0,MAX(0,MIN(X126,$O126)-MAX($N126,$E126)+1))+N($P126))))-IF(DAY(X126)&lt;MIN(DAY(($E126+(IF(OR($N126="",$O126=""),0,MAX(0,MIN(X126,$O126)-MAX($N126,$E126)+1))+N($P126)))),DAY(EOMONTH(X126,0))),1,0)))</f>
        <v/>
      </c>
      <c r="AR126" s="28" t="str">
        <f aca="false">IF(AO126=0,"",IF($H126="","",IF($H126&gt;X126,"",$H126)))</f>
        <v/>
      </c>
      <c r="AS126" s="28" t="str">
        <f aca="false">IF(AO126=0,"",IF(AR126="","",IF($K126="","",IF($K126&gt;X126,"",$K126))))</f>
        <v/>
      </c>
      <c r="AT126" s="11" t="str">
        <f aca="false">IF(AO126=0,"",IF(AR126="",AQ126,IF((AR126-1)&lt;($E126+(IF(OR($N126="",$O126=""),0,MAX(0,MIN((AR126-1),$O126)-MAX($N126,$E126)+1))+N($P126))),-1,12*(YEAR((AR126-1))-YEAR(($E126+(IF(OR($N126="",$O126=""),0,MAX(0,MIN((AR126-1),$O126)-MAX($N126,$E126)+1))+N($P126)))))+MONTH((AR126-1))-MONTH(($E126+(IF(OR($N126="",$O126=""),0,MAX(0,MIN((AR126-1),$O126)-MAX($N126,$E126)+1))+N($P126))))-IF(DAY((AR126-1))&lt;MIN(DAY(($E126+(IF(OR($N126="",$O126=""),0,MAX(0,MIN((AR126-1),$O126)-MAX($N126,$E126)+1))+N($P126)))),DAY(EOMONTH((AR126-1),0))),1,0))))</f>
        <v/>
      </c>
      <c r="AU126" s="11" t="str">
        <f aca="false">IF(AO126=0,"",IF(AS126="",AQ126,IF((AS126-1)&lt;($E126+(IF(OR($N126="",$O126=""),0,MAX(0,MIN((AS126-1),$O126)-MAX($N126,$E126)+1))+N($P126))),-1,12*(YEAR((AS126-1))-YEAR(($E126+(IF(OR($N126="",$O126=""),0,MAX(0,MIN((AS126-1),$O126)-MAX($N126,$E126)+1))+N($P126)))))+MONTH((AS126-1))-MONTH(($E126+(IF(OR($N126="",$O126=""),0,MAX(0,MIN((AS126-1),$O126)-MAX($N126,$E126)+1))+N($P126))))-IF(DAY((AS126-1))&lt;MIN(DAY(($E126+(IF(OR($N126="",$O126=""),0,MAX(0,MIN((AS126-1),$O126)-MAX($N126,$E126)+1))+N($P126)))),DAY(EOMONTH((AS126-1),0))),1,0))))</f>
        <v/>
      </c>
      <c r="AV126" s="11" t="str">
        <f aca="false">IF(AO126=0,"",IF($F126="","None",IF(IFERROR(VLOOKUP($F126,TypeTable,2,0),"None")="PT",IF(N($G126)&gt;=PT_MinHours,"PT","None"),IFERROR(VLOOKUP($F126,TypeTable,2,0),"None"))))</f>
        <v/>
      </c>
      <c r="AW126" s="11" t="str">
        <f aca="false">IF(AO126=0,"",IF($I126="","None",IF(IFERROR(VLOOKUP($I126,TypeTable,2,0),"None")="PT",IF(N($J126)&gt;=PT_MinHours,"PT","None"),IFERROR(VLOOKUP($I126,TypeTable,2,0),"None"))))</f>
        <v/>
      </c>
      <c r="AX126" s="11" t="str">
        <f aca="false">IF(AO126=0,"",IF($L126="","None",IF(IFERROR(VLOOKUP($L126,TypeTable,2,0),"None")="PT",IF(N($M126)&gt;=PT_MinHours,"PT","None"),IFERROR(VLOOKUP($L126,TypeTable,2,0),"None"))))</f>
        <v/>
      </c>
      <c r="AY126" s="11" t="str">
        <f aca="false">IF(AO126=0,"",IF(AS126&lt;&gt;"",AX126,IF(AR126&lt;&gt;"",AW126,AV126)))</f>
        <v/>
      </c>
      <c r="AZ126" s="11" t="str">
        <f aca="false">IF(AO126=0,"",IF(AV126="FT",IF(AT126&lt;FT_First,0,IF(AT126&lt;FT_Y5,1+INT((AT126-FT_First)/FT_Int1),FT_PreY5+FT_PerYear*INT((AT126-FT_Y5)/12)+FT_AnnivDays+INT(MOD(AT126-FT_Y5,12)/FT_Int2))),IF(AV126="PT",IF(AT126&lt;PT_First,0,1+INT((AT126-PT_First)/PT_Int)),0)))</f>
        <v/>
      </c>
      <c r="BA126" s="11" t="str">
        <f aca="false">IF(AO126=0,"",IF(AW126="FT",IF(AT126&lt;FT_First,0,IF(AT126&lt;FT_Y5,1+INT((AT126-FT_First)/FT_Int1),FT_PreY5+FT_PerYear*INT((AT126-FT_Y5)/12)+FT_AnnivDays+INT(MOD(AT126-FT_Y5,12)/FT_Int2))),IF(AW126="PT",IF(AT126&lt;PT_First,0,1+INT((AT126-PT_First)/PT_Int)),0)))</f>
        <v/>
      </c>
      <c r="BB126" s="11" t="str">
        <f aca="false">IF(AO126=0,"",IF(AW126="FT",IF(AU126&lt;FT_First,0,IF(AU126&lt;FT_Y5,1+INT((AU126-FT_First)/FT_Int1),FT_PreY5+FT_PerYear*INT((AU126-FT_Y5)/12)+FT_AnnivDays+INT(MOD(AU126-FT_Y5,12)/FT_Int2))),IF(AW126="PT",IF(AU126&lt;PT_First,0,1+INT((AU126-PT_First)/PT_Int)),0)))</f>
        <v/>
      </c>
      <c r="BC126" s="11" t="str">
        <f aca="false">IF(AO126=0,"",IF(AX126="FT",IF(AU126&lt;FT_First,0,IF(AU126&lt;FT_Y5,1+INT((AU126-FT_First)/FT_Int1),FT_PreY5+FT_PerYear*INT((AU126-FT_Y5)/12)+FT_AnnivDays+INT(MOD(AU126-FT_Y5,12)/FT_Int2))),IF(AX126="PT",IF(AU126&lt;PT_First,0,1+INT((AU126-PT_First)/PT_Int)),0)))</f>
        <v/>
      </c>
      <c r="BD126" s="11" t="str">
        <f aca="false">IF(AO126=0,"",IF(AX126="FT",IF(AQ126&lt;FT_First,0,IF(AQ126&lt;FT_Y5,1+INT((AQ126-FT_First)/FT_Int1),FT_PreY5+FT_PerYear*INT((AQ126-FT_Y5)/12)+FT_AnnivDays+INT(MOD(AQ126-FT_Y5,12)/FT_Int2))),IF(AX126="PT",IF(AQ126&lt;PT_First,0,1+INT((AQ126-PT_First)/PT_Int)),0)))</f>
        <v/>
      </c>
      <c r="BE126" s="11" t="str">
        <f aca="false">IF(AO126=0,"",IF(AY126="FT",IF(AQ126&lt;FT_First,FT_First,IF(AQ126&lt;FT_Y5,MIN(FT_Y5,FT_First+FT_Int1*(INT((AQ126-FT_First)/FT_Int1)+1)),FT_Y5+12*INT((AQ126-FT_Y5)/12)+FT_Int2*(INT(MOD(AQ126-FT_Y5,12)/FT_Int2)+1))),IF(AY126="PT",IF(AQ126&lt;PT_First,PT_First,PT_First+PT_Int*(INT((AQ126-PT_First)/PT_Int)+1)),"")))</f>
        <v/>
      </c>
      <c r="BF126" s="11" t="n">
        <f aca="false">IF(AO126=0,0,IF(AND($Q126&lt;&gt;"",$Q126&lt;=AsOfDate),1,0))</f>
        <v>0</v>
      </c>
      <c r="BG126" s="11" t="str">
        <f aca="false">IF(AND(AO126=1,BF126=0,EH_Ready,N(AB126)&gt;0,N(AI126)=0),COUNT($BG$5:BG125)+1,"")</f>
        <v/>
      </c>
      <c r="BH126" s="11" t="str">
        <f aca="false">IF(AND(AO126=1,BF126=0,EH_Ready,N(AB126)&gt;0,N(AI126)&gt;0,N(AK126)&gt;0),COUNT($BH$5:BH125)+1,"")</f>
        <v/>
      </c>
      <c r="BI126" s="11" t="str">
        <f aca="false">IF(AND(AO126=1,OR(LEFT(AM126,3)="ADD",LEFT(AM126,3)="SET",LEFT(AM126,5)="CHECK",LEFT(AM126,10)="TERMINATED")),COUNT($BI$5:BI125)+1,"")</f>
        <v/>
      </c>
      <c r="BJ126" s="11" t="str">
        <f aca="false">IF(AO126=0,"",$A126&amp;" - "&amp;$B126&amp;" "&amp;$C126)</f>
        <v/>
      </c>
    </row>
    <row r="127" customFormat="false" ht="15" hidden="false" customHeight="false" outlineLevel="0" collapsed="false">
      <c r="A127" s="10"/>
      <c r="B127" s="10"/>
      <c r="C127" s="10"/>
      <c r="D127" s="10"/>
      <c r="E127" s="9"/>
      <c r="F127" s="10"/>
      <c r="G127" s="30"/>
      <c r="H127" s="9"/>
      <c r="I127" s="10"/>
      <c r="J127" s="30"/>
      <c r="K127" s="9"/>
      <c r="L127" s="10"/>
      <c r="M127" s="30"/>
      <c r="N127" s="9"/>
      <c r="O127" s="9"/>
      <c r="P127" s="30"/>
      <c r="Q127" s="9"/>
      <c r="R127" s="10"/>
      <c r="S127" s="11" t="str">
        <f aca="false">IF(AO127=0,"",IF($H127="","",$F127&amp;" -&gt; "&amp;$I127&amp;IF($I127="Part-Time"," ("&amp;N($J127)&amp;" hrs)","")&amp;" on "&amp;TEXT($H127,"dd/mm/yyyy")&amp;IF($H127&gt;AsOfDate," (FUTURE)","")&amp;IF($K127="","","; "&amp;$I127&amp;" -&gt; "&amp;$L127&amp;IF($L127="Part-Time"," ("&amp;N($M127)&amp;" hrs)","")&amp;" on "&amp;TEXT($K127,"dd/mm/yyyy")&amp;IF($K127&gt;AsOfDate," (FUTURE)",""))))</f>
        <v/>
      </c>
      <c r="T127" s="11" t="str">
        <f aca="false">IF(AO127=0,"",IF(AS127&lt;&gt;"",$L127,IF(AR127&lt;&gt;"",$I127,$F127)))</f>
        <v/>
      </c>
      <c r="U127" s="26" t="str">
        <f aca="false">IF(AO127=0,"",IF(AS127&lt;&gt;"",$M127,IF(AR127&lt;&gt;"",$J127,$G127)))</f>
        <v/>
      </c>
      <c r="V127" s="11" t="str">
        <f aca="false">IF(AO127=0,"",IF(AY127="FT","Full-Time",IF(AY127="PT","Part-Time","Not eligible")))</f>
        <v/>
      </c>
      <c r="W127" s="27" t="str">
        <f aca="false">IF(AO127=0,"",IF(AR127="",IF(AND($H127&lt;&gt;"",$H127&gt;AsOfDate),"Future change - not yet applied",""),IF(AND(AV127=AY127,OR(AS127="",AW127=AV127)),"Type changed - same accrual pathway",IF(AY127="None","STOPPED accruing from "&amp;TEXT(IF(AS127&lt;&gt;"",AS127,AR127),"dd/mm/yyyy"),IF(AV127="None","STARTED qualifying from "&amp;TEXT(IF(AS127&lt;&gt;"",AS127,AR127),"dd/mm/yyyy"),"Pathway changed "&amp;AV127&amp;" -&gt; "&amp;AW127&amp;IF(AS127&lt;&gt;""," -&gt; "&amp;AX127,"")&amp;" from "&amp;TEXT(IF(AS127&lt;&gt;"",AS127,AR127),"dd/mm/yyyy"))))))</f>
        <v/>
      </c>
      <c r="X127" s="28" t="str">
        <f aca="false">IF(AO127=0,"",IF($Q127="",AsOfDate,MIN(AsOfDate,$Q127)))</f>
        <v/>
      </c>
      <c r="Y127" s="26" t="str">
        <f aca="false">IF(AO127=0,"",MAX(0,AQ127))</f>
        <v/>
      </c>
      <c r="Z127" s="11" t="str">
        <f aca="false">IF(AO127=0,"",IF(AQ127&lt;0,"Not started",INT(AQ127/12)&amp;"y "&amp;MOD(AQ127,12)&amp;"m"))</f>
        <v/>
      </c>
      <c r="AA127" s="27" t="str">
        <f aca="false">IF(AO127=0,"",IF(BF127=1,"Terminated - balance forfeited",IF(AY127="None",IF(AB127&gt;0,"No longer accruing - "&amp;T127,"Not eligible - "&amp;T127&amp;IF(AND(IFERROR(VLOOKUP(T127,TypeTable,2,0),"None")="PT",N(U127)&lt;PT_MinHours)," (under "&amp;PT_MinHours&amp;" hrs)","")),IF(AB127&gt;0,"Yes - accruing","Not yet - qualifies "&amp;TEXT(AD127,"dd/mm/yyyy")))))</f>
        <v/>
      </c>
      <c r="AB127" s="26" t="str">
        <f aca="false">IF(AO127=0,"",AZ127+IF(AR127="",0,BB127-BA127)+IF(AS127="",0,BD127-BC127))</f>
        <v/>
      </c>
      <c r="AC127" s="26" t="str">
        <f aca="false">IF(AO127=0,"",AB127*HoursPerDay)</f>
        <v/>
      </c>
      <c r="AD127" s="28" t="str">
        <f aca="false">IF(AO127=0,"",IF(OR(BF127=1,AY127="None"),"",EDATE($E127+AP127,BE127)))</f>
        <v/>
      </c>
      <c r="AE127" s="26" t="str">
        <f aca="false">IF(AD127="","",IF(AY127="PT",1,IF(BE127&lt;FT_Y5,1,IF(MOD(BE127-FT_Y5,12)=0,FT_AnnivDays,1))))</f>
        <v/>
      </c>
      <c r="AF127" s="27" t="str">
        <f aca="false">IF(AO127=0,"",IF(NOT(EH_Ready),"Map headers",IF(IF(MatchMode="Employee ID",COUNTIFS(INDEX(EH_Data,0,EH_ColID),$A127,INDEX(EH_Data,0,EH_ColCat),BonusCat),COUNTIFS(INDEX(EH_Data,0,EH_ColFirst),$B127,INDEX(EH_Data,0,EH_ColSur),$C127,INDEX(EH_Data,0,EH_ColCat),BonusCat))&gt;0,"Yes","No")))</f>
        <v/>
      </c>
      <c r="AG127" s="26" t="str">
        <f aca="false">IF(AO127=0,"",IF(NOT(EH_Ready),"",IF(MatchMode="Employee ID",SUMIFS(INDEX(EH_Data,0,EH_ColBal),INDEX(EH_Data,0,EH_ColID),$A127,INDEX(EH_Data,0,EH_ColCat),BonusCat),SUMIFS(INDEX(EH_Data,0,EH_ColBal),INDEX(EH_Data,0,EH_ColFirst),$B127,INDEX(EH_Data,0,EH_ColSur),$C127,INDEX(EH_Data,0,EH_ColCat),BonusCat))/IF(EHUnit="Hours",HoursPerDay,1)))</f>
        <v/>
      </c>
      <c r="AH127" s="26" t="str">
        <f aca="false">IF(AO127=0,"",IF(NOT(TK_Ready),0,IF(MatchMode="Employee ID",SUMIFS(INDEX(TK_Data,0,TK_ColAmt),INDEX(TK_Data,0,TK_ColID),$A127,INDEX(TK_Data,0,TK_ColCat),BonusCat),SUMIFS(INDEX(TK_Data,0,TK_ColAmt),INDEX(TK_Data,0,TK_ColFirst),$B127,INDEX(TK_Data,0,TK_ColSur),$C127,INDEX(TK_Data,0,TK_ColCat),BonusCat))/IF(TKUnit="Hours",HoursPerDay,1)))</f>
        <v/>
      </c>
      <c r="AI127" s="26" t="str">
        <f aca="false">IF(AO127=0,"",N(AG127)+N(AH127))</f>
        <v/>
      </c>
      <c r="AJ127" s="29" t="str">
        <f aca="false">IF(AO127=0,"",IF(NOT(AND(EH_Ready,EH_ValReady)),"",IF(MatchMode="Employee ID",SUMIFS(INDEX(EH_Data,0,EH_ColVal),INDEX(EH_Data,0,EH_ColID),$A127,INDEX(EH_Data,0,EH_ColCat),BonusCat),SUMIFS(INDEX(EH_Data,0,EH_ColVal),INDEX(EH_Data,0,EH_ColFirst),$B127,INDEX(EH_Data,0,EH_ColSur),$C127,INDEX(EH_Data,0,EH_ColCat),BonusCat))))</f>
        <v/>
      </c>
      <c r="AK127" s="26" t="str">
        <f aca="false">IF(AO127=0,"",IF(OR(NOT(EH_Ready),BF127=1),"",AB127-AI127))</f>
        <v/>
      </c>
      <c r="AL127" s="26" t="str">
        <f aca="false">IF(AK127="","",AK127*HoursPerDay)</f>
        <v/>
      </c>
      <c r="AM127" s="27" t="str">
        <f aca="false">IF(AO127=0,"",IF(BF127=1,IF(N(AG127)&gt;0,"TERMINATED - forfeit "&amp;TEXT(AG127,"0.##")&amp;" days still in EH","Terminated - nothing in EH"),IF(NOT(EH_Ready),"Paste EH export and map headers on Settings",IF(AND(AB127&gt;0,AF127="No"),"SET UP in EH - add "&amp;TEXT(AB127,"0.##")&amp;" day(s) ("&amp;TEXT(AC127,"0.##")&amp;" hrs)",IF(AK127&gt;0,"ADD "&amp;TEXT(AK127,"0.##")&amp;" day(s) ("&amp;TEXT(AL127,"0.##")&amp;" hrs) in EH",IF(AK127&lt;0,"CHECK - EH shows "&amp;TEXT(-AK127,"0.##")&amp;" days more than policy",IF(AB127&gt;0,"OK - up to date",IF(AY127="None","No action - not eligible","No action - not yet qualified"))))))))</f>
        <v/>
      </c>
      <c r="AN127" s="27" t="str">
        <f aca="false">IF(AO127=0,"",TRIM(IF(AND($K127&lt;&gt;"",$H127=""),"Change 2 entered without Change 1. ","")&amp;IF(AND($K127&lt;&gt;"",$H127&lt;&gt;"",$K127&lt;=$H127),"Change 2 date not after Change 1. ","")&amp;IF(AND($N127&lt;&gt;"",$O127&lt;&gt;"",$O127&lt;$N127),"Leave To is before Leave From. ","")&amp;IF(AND($N127&lt;&gt;"",$O127=""),"Leave From entered without Leave To. ","")&amp;IF(AND(IFERROR(VLOOKUP(T127,TypeTable,2,0),"None")="PT",U127=""),"Part-time with no hours entered. ","")&amp;IF(AND($H127&lt;&gt;"",$H127&gt;AsOfDate,AD127&lt;&gt;"",$H127&lt;=AD127),"Status change lands before next accrual - review. ","")&amp;IF(AND($Q127&lt;&gt;"",$Q127&lt;$E127),"Termination before commencement. ","")))</f>
        <v/>
      </c>
      <c r="AO127" s="11" t="n">
        <f aca="false">IF(LEN($A127&amp;$B127&amp;$C127)=0,0,IF($E127="",0,1))</f>
        <v>0</v>
      </c>
      <c r="AP127" s="11" t="str">
        <f aca="false">IF(AO127=0,"",(IF(OR($N127="",$O127=""),0,MAX(0,MIN(X127,$O127)-MAX($N127,$E127)+1))+N($P127)))</f>
        <v/>
      </c>
      <c r="AQ127" s="11" t="str">
        <f aca="false">IF(AO127=0,"",IF(X127&lt;($E127+(IF(OR($N127="",$O127=""),0,MAX(0,MIN(X127,$O127)-MAX($N127,$E127)+1))+N($P127))),-1,12*(YEAR(X127)-YEAR(($E127+(IF(OR($N127="",$O127=""),0,MAX(0,MIN(X127,$O127)-MAX($N127,$E127)+1))+N($P127)))))+MONTH(X127)-MONTH(($E127+(IF(OR($N127="",$O127=""),0,MAX(0,MIN(X127,$O127)-MAX($N127,$E127)+1))+N($P127))))-IF(DAY(X127)&lt;MIN(DAY(($E127+(IF(OR($N127="",$O127=""),0,MAX(0,MIN(X127,$O127)-MAX($N127,$E127)+1))+N($P127)))),DAY(EOMONTH(X127,0))),1,0)))</f>
        <v/>
      </c>
      <c r="AR127" s="28" t="str">
        <f aca="false">IF(AO127=0,"",IF($H127="","",IF($H127&gt;X127,"",$H127)))</f>
        <v/>
      </c>
      <c r="AS127" s="28" t="str">
        <f aca="false">IF(AO127=0,"",IF(AR127="","",IF($K127="","",IF($K127&gt;X127,"",$K127))))</f>
        <v/>
      </c>
      <c r="AT127" s="11" t="str">
        <f aca="false">IF(AO127=0,"",IF(AR127="",AQ127,IF((AR127-1)&lt;($E127+(IF(OR($N127="",$O127=""),0,MAX(0,MIN((AR127-1),$O127)-MAX($N127,$E127)+1))+N($P127))),-1,12*(YEAR((AR127-1))-YEAR(($E127+(IF(OR($N127="",$O127=""),0,MAX(0,MIN((AR127-1),$O127)-MAX($N127,$E127)+1))+N($P127)))))+MONTH((AR127-1))-MONTH(($E127+(IF(OR($N127="",$O127=""),0,MAX(0,MIN((AR127-1),$O127)-MAX($N127,$E127)+1))+N($P127))))-IF(DAY((AR127-1))&lt;MIN(DAY(($E127+(IF(OR($N127="",$O127=""),0,MAX(0,MIN((AR127-1),$O127)-MAX($N127,$E127)+1))+N($P127)))),DAY(EOMONTH((AR127-1),0))),1,0))))</f>
        <v/>
      </c>
      <c r="AU127" s="11" t="str">
        <f aca="false">IF(AO127=0,"",IF(AS127="",AQ127,IF((AS127-1)&lt;($E127+(IF(OR($N127="",$O127=""),0,MAX(0,MIN((AS127-1),$O127)-MAX($N127,$E127)+1))+N($P127))),-1,12*(YEAR((AS127-1))-YEAR(($E127+(IF(OR($N127="",$O127=""),0,MAX(0,MIN((AS127-1),$O127)-MAX($N127,$E127)+1))+N($P127)))))+MONTH((AS127-1))-MONTH(($E127+(IF(OR($N127="",$O127=""),0,MAX(0,MIN((AS127-1),$O127)-MAX($N127,$E127)+1))+N($P127))))-IF(DAY((AS127-1))&lt;MIN(DAY(($E127+(IF(OR($N127="",$O127=""),0,MAX(0,MIN((AS127-1),$O127)-MAX($N127,$E127)+1))+N($P127)))),DAY(EOMONTH((AS127-1),0))),1,0))))</f>
        <v/>
      </c>
      <c r="AV127" s="11" t="str">
        <f aca="false">IF(AO127=0,"",IF($F127="","None",IF(IFERROR(VLOOKUP($F127,TypeTable,2,0),"None")="PT",IF(N($G127)&gt;=PT_MinHours,"PT","None"),IFERROR(VLOOKUP($F127,TypeTable,2,0),"None"))))</f>
        <v/>
      </c>
      <c r="AW127" s="11" t="str">
        <f aca="false">IF(AO127=0,"",IF($I127="","None",IF(IFERROR(VLOOKUP($I127,TypeTable,2,0),"None")="PT",IF(N($J127)&gt;=PT_MinHours,"PT","None"),IFERROR(VLOOKUP($I127,TypeTable,2,0),"None"))))</f>
        <v/>
      </c>
      <c r="AX127" s="11" t="str">
        <f aca="false">IF(AO127=0,"",IF($L127="","None",IF(IFERROR(VLOOKUP($L127,TypeTable,2,0),"None")="PT",IF(N($M127)&gt;=PT_MinHours,"PT","None"),IFERROR(VLOOKUP($L127,TypeTable,2,0),"None"))))</f>
        <v/>
      </c>
      <c r="AY127" s="11" t="str">
        <f aca="false">IF(AO127=0,"",IF(AS127&lt;&gt;"",AX127,IF(AR127&lt;&gt;"",AW127,AV127)))</f>
        <v/>
      </c>
      <c r="AZ127" s="11" t="str">
        <f aca="false">IF(AO127=0,"",IF(AV127="FT",IF(AT127&lt;FT_First,0,IF(AT127&lt;FT_Y5,1+INT((AT127-FT_First)/FT_Int1),FT_PreY5+FT_PerYear*INT((AT127-FT_Y5)/12)+FT_AnnivDays+INT(MOD(AT127-FT_Y5,12)/FT_Int2))),IF(AV127="PT",IF(AT127&lt;PT_First,0,1+INT((AT127-PT_First)/PT_Int)),0)))</f>
        <v/>
      </c>
      <c r="BA127" s="11" t="str">
        <f aca="false">IF(AO127=0,"",IF(AW127="FT",IF(AT127&lt;FT_First,0,IF(AT127&lt;FT_Y5,1+INT((AT127-FT_First)/FT_Int1),FT_PreY5+FT_PerYear*INT((AT127-FT_Y5)/12)+FT_AnnivDays+INT(MOD(AT127-FT_Y5,12)/FT_Int2))),IF(AW127="PT",IF(AT127&lt;PT_First,0,1+INT((AT127-PT_First)/PT_Int)),0)))</f>
        <v/>
      </c>
      <c r="BB127" s="11" t="str">
        <f aca="false">IF(AO127=0,"",IF(AW127="FT",IF(AU127&lt;FT_First,0,IF(AU127&lt;FT_Y5,1+INT((AU127-FT_First)/FT_Int1),FT_PreY5+FT_PerYear*INT((AU127-FT_Y5)/12)+FT_AnnivDays+INT(MOD(AU127-FT_Y5,12)/FT_Int2))),IF(AW127="PT",IF(AU127&lt;PT_First,0,1+INT((AU127-PT_First)/PT_Int)),0)))</f>
        <v/>
      </c>
      <c r="BC127" s="11" t="str">
        <f aca="false">IF(AO127=0,"",IF(AX127="FT",IF(AU127&lt;FT_First,0,IF(AU127&lt;FT_Y5,1+INT((AU127-FT_First)/FT_Int1),FT_PreY5+FT_PerYear*INT((AU127-FT_Y5)/12)+FT_AnnivDays+INT(MOD(AU127-FT_Y5,12)/FT_Int2))),IF(AX127="PT",IF(AU127&lt;PT_First,0,1+INT((AU127-PT_First)/PT_Int)),0)))</f>
        <v/>
      </c>
      <c r="BD127" s="11" t="str">
        <f aca="false">IF(AO127=0,"",IF(AX127="FT",IF(AQ127&lt;FT_First,0,IF(AQ127&lt;FT_Y5,1+INT((AQ127-FT_First)/FT_Int1),FT_PreY5+FT_PerYear*INT((AQ127-FT_Y5)/12)+FT_AnnivDays+INT(MOD(AQ127-FT_Y5,12)/FT_Int2))),IF(AX127="PT",IF(AQ127&lt;PT_First,0,1+INT((AQ127-PT_First)/PT_Int)),0)))</f>
        <v/>
      </c>
      <c r="BE127" s="11" t="str">
        <f aca="false">IF(AO127=0,"",IF(AY127="FT",IF(AQ127&lt;FT_First,FT_First,IF(AQ127&lt;FT_Y5,MIN(FT_Y5,FT_First+FT_Int1*(INT((AQ127-FT_First)/FT_Int1)+1)),FT_Y5+12*INT((AQ127-FT_Y5)/12)+FT_Int2*(INT(MOD(AQ127-FT_Y5,12)/FT_Int2)+1))),IF(AY127="PT",IF(AQ127&lt;PT_First,PT_First,PT_First+PT_Int*(INT((AQ127-PT_First)/PT_Int)+1)),"")))</f>
        <v/>
      </c>
      <c r="BF127" s="11" t="n">
        <f aca="false">IF(AO127=0,0,IF(AND($Q127&lt;&gt;"",$Q127&lt;=AsOfDate),1,0))</f>
        <v>0</v>
      </c>
      <c r="BG127" s="11" t="str">
        <f aca="false">IF(AND(AO127=1,BF127=0,EH_Ready,N(AB127)&gt;0,N(AI127)=0),COUNT($BG$5:BG126)+1,"")</f>
        <v/>
      </c>
      <c r="BH127" s="11" t="str">
        <f aca="false">IF(AND(AO127=1,BF127=0,EH_Ready,N(AB127)&gt;0,N(AI127)&gt;0,N(AK127)&gt;0),COUNT($BH$5:BH126)+1,"")</f>
        <v/>
      </c>
      <c r="BI127" s="11" t="str">
        <f aca="false">IF(AND(AO127=1,OR(LEFT(AM127,3)="ADD",LEFT(AM127,3)="SET",LEFT(AM127,5)="CHECK",LEFT(AM127,10)="TERMINATED")),COUNT($BI$5:BI126)+1,"")</f>
        <v/>
      </c>
      <c r="BJ127" s="11" t="str">
        <f aca="false">IF(AO127=0,"",$A127&amp;" - "&amp;$B127&amp;" "&amp;$C127)</f>
        <v/>
      </c>
    </row>
    <row r="128" customFormat="false" ht="15" hidden="false" customHeight="false" outlineLevel="0" collapsed="false">
      <c r="A128" s="10"/>
      <c r="B128" s="10"/>
      <c r="C128" s="10"/>
      <c r="D128" s="10"/>
      <c r="E128" s="9"/>
      <c r="F128" s="10"/>
      <c r="G128" s="30"/>
      <c r="H128" s="9"/>
      <c r="I128" s="10"/>
      <c r="J128" s="30"/>
      <c r="K128" s="9"/>
      <c r="L128" s="10"/>
      <c r="M128" s="30"/>
      <c r="N128" s="9"/>
      <c r="O128" s="9"/>
      <c r="P128" s="30"/>
      <c r="Q128" s="9"/>
      <c r="R128" s="10"/>
      <c r="S128" s="11" t="str">
        <f aca="false">IF(AO128=0,"",IF($H128="","",$F128&amp;" -&gt; "&amp;$I128&amp;IF($I128="Part-Time"," ("&amp;N($J128)&amp;" hrs)","")&amp;" on "&amp;TEXT($H128,"dd/mm/yyyy")&amp;IF($H128&gt;AsOfDate," (FUTURE)","")&amp;IF($K128="","","; "&amp;$I128&amp;" -&gt; "&amp;$L128&amp;IF($L128="Part-Time"," ("&amp;N($M128)&amp;" hrs)","")&amp;" on "&amp;TEXT($K128,"dd/mm/yyyy")&amp;IF($K128&gt;AsOfDate," (FUTURE)",""))))</f>
        <v/>
      </c>
      <c r="T128" s="11" t="str">
        <f aca="false">IF(AO128=0,"",IF(AS128&lt;&gt;"",$L128,IF(AR128&lt;&gt;"",$I128,$F128)))</f>
        <v/>
      </c>
      <c r="U128" s="26" t="str">
        <f aca="false">IF(AO128=0,"",IF(AS128&lt;&gt;"",$M128,IF(AR128&lt;&gt;"",$J128,$G128)))</f>
        <v/>
      </c>
      <c r="V128" s="11" t="str">
        <f aca="false">IF(AO128=0,"",IF(AY128="FT","Full-Time",IF(AY128="PT","Part-Time","Not eligible")))</f>
        <v/>
      </c>
      <c r="W128" s="27" t="str">
        <f aca="false">IF(AO128=0,"",IF(AR128="",IF(AND($H128&lt;&gt;"",$H128&gt;AsOfDate),"Future change - not yet applied",""),IF(AND(AV128=AY128,OR(AS128="",AW128=AV128)),"Type changed - same accrual pathway",IF(AY128="None","STOPPED accruing from "&amp;TEXT(IF(AS128&lt;&gt;"",AS128,AR128),"dd/mm/yyyy"),IF(AV128="None","STARTED qualifying from "&amp;TEXT(IF(AS128&lt;&gt;"",AS128,AR128),"dd/mm/yyyy"),"Pathway changed "&amp;AV128&amp;" -&gt; "&amp;AW128&amp;IF(AS128&lt;&gt;""," -&gt; "&amp;AX128,"")&amp;" from "&amp;TEXT(IF(AS128&lt;&gt;"",AS128,AR128),"dd/mm/yyyy"))))))</f>
        <v/>
      </c>
      <c r="X128" s="28" t="str">
        <f aca="false">IF(AO128=0,"",IF($Q128="",AsOfDate,MIN(AsOfDate,$Q128)))</f>
        <v/>
      </c>
      <c r="Y128" s="26" t="str">
        <f aca="false">IF(AO128=0,"",MAX(0,AQ128))</f>
        <v/>
      </c>
      <c r="Z128" s="11" t="str">
        <f aca="false">IF(AO128=0,"",IF(AQ128&lt;0,"Not started",INT(AQ128/12)&amp;"y "&amp;MOD(AQ128,12)&amp;"m"))</f>
        <v/>
      </c>
      <c r="AA128" s="27" t="str">
        <f aca="false">IF(AO128=0,"",IF(BF128=1,"Terminated - balance forfeited",IF(AY128="None",IF(AB128&gt;0,"No longer accruing - "&amp;T128,"Not eligible - "&amp;T128&amp;IF(AND(IFERROR(VLOOKUP(T128,TypeTable,2,0),"None")="PT",N(U128)&lt;PT_MinHours)," (under "&amp;PT_MinHours&amp;" hrs)","")),IF(AB128&gt;0,"Yes - accruing","Not yet - qualifies "&amp;TEXT(AD128,"dd/mm/yyyy")))))</f>
        <v/>
      </c>
      <c r="AB128" s="26" t="str">
        <f aca="false">IF(AO128=0,"",AZ128+IF(AR128="",0,BB128-BA128)+IF(AS128="",0,BD128-BC128))</f>
        <v/>
      </c>
      <c r="AC128" s="26" t="str">
        <f aca="false">IF(AO128=0,"",AB128*HoursPerDay)</f>
        <v/>
      </c>
      <c r="AD128" s="28" t="str">
        <f aca="false">IF(AO128=0,"",IF(OR(BF128=1,AY128="None"),"",EDATE($E128+AP128,BE128)))</f>
        <v/>
      </c>
      <c r="AE128" s="26" t="str">
        <f aca="false">IF(AD128="","",IF(AY128="PT",1,IF(BE128&lt;FT_Y5,1,IF(MOD(BE128-FT_Y5,12)=0,FT_AnnivDays,1))))</f>
        <v/>
      </c>
      <c r="AF128" s="27" t="str">
        <f aca="false">IF(AO128=0,"",IF(NOT(EH_Ready),"Map headers",IF(IF(MatchMode="Employee ID",COUNTIFS(INDEX(EH_Data,0,EH_ColID),$A128,INDEX(EH_Data,0,EH_ColCat),BonusCat),COUNTIFS(INDEX(EH_Data,0,EH_ColFirst),$B128,INDEX(EH_Data,0,EH_ColSur),$C128,INDEX(EH_Data,0,EH_ColCat),BonusCat))&gt;0,"Yes","No")))</f>
        <v/>
      </c>
      <c r="AG128" s="26" t="str">
        <f aca="false">IF(AO128=0,"",IF(NOT(EH_Ready),"",IF(MatchMode="Employee ID",SUMIFS(INDEX(EH_Data,0,EH_ColBal),INDEX(EH_Data,0,EH_ColID),$A128,INDEX(EH_Data,0,EH_ColCat),BonusCat),SUMIFS(INDEX(EH_Data,0,EH_ColBal),INDEX(EH_Data,0,EH_ColFirst),$B128,INDEX(EH_Data,0,EH_ColSur),$C128,INDEX(EH_Data,0,EH_ColCat),BonusCat))/IF(EHUnit="Hours",HoursPerDay,1)))</f>
        <v/>
      </c>
      <c r="AH128" s="26" t="str">
        <f aca="false">IF(AO128=0,"",IF(NOT(TK_Ready),0,IF(MatchMode="Employee ID",SUMIFS(INDEX(TK_Data,0,TK_ColAmt),INDEX(TK_Data,0,TK_ColID),$A128,INDEX(TK_Data,0,TK_ColCat),BonusCat),SUMIFS(INDEX(TK_Data,0,TK_ColAmt),INDEX(TK_Data,0,TK_ColFirst),$B128,INDEX(TK_Data,0,TK_ColSur),$C128,INDEX(TK_Data,0,TK_ColCat),BonusCat))/IF(TKUnit="Hours",HoursPerDay,1)))</f>
        <v/>
      </c>
      <c r="AI128" s="26" t="str">
        <f aca="false">IF(AO128=0,"",N(AG128)+N(AH128))</f>
        <v/>
      </c>
      <c r="AJ128" s="29" t="str">
        <f aca="false">IF(AO128=0,"",IF(NOT(AND(EH_Ready,EH_ValReady)),"",IF(MatchMode="Employee ID",SUMIFS(INDEX(EH_Data,0,EH_ColVal),INDEX(EH_Data,0,EH_ColID),$A128,INDEX(EH_Data,0,EH_ColCat),BonusCat),SUMIFS(INDEX(EH_Data,0,EH_ColVal),INDEX(EH_Data,0,EH_ColFirst),$B128,INDEX(EH_Data,0,EH_ColSur),$C128,INDEX(EH_Data,0,EH_ColCat),BonusCat))))</f>
        <v/>
      </c>
      <c r="AK128" s="26" t="str">
        <f aca="false">IF(AO128=0,"",IF(OR(NOT(EH_Ready),BF128=1),"",AB128-AI128))</f>
        <v/>
      </c>
      <c r="AL128" s="26" t="str">
        <f aca="false">IF(AK128="","",AK128*HoursPerDay)</f>
        <v/>
      </c>
      <c r="AM128" s="27" t="str">
        <f aca="false">IF(AO128=0,"",IF(BF128=1,IF(N(AG128)&gt;0,"TERMINATED - forfeit "&amp;TEXT(AG128,"0.##")&amp;" days still in EH","Terminated - nothing in EH"),IF(NOT(EH_Ready),"Paste EH export and map headers on Settings",IF(AND(AB128&gt;0,AF128="No"),"SET UP in EH - add "&amp;TEXT(AB128,"0.##")&amp;" day(s) ("&amp;TEXT(AC128,"0.##")&amp;" hrs)",IF(AK128&gt;0,"ADD "&amp;TEXT(AK128,"0.##")&amp;" day(s) ("&amp;TEXT(AL128,"0.##")&amp;" hrs) in EH",IF(AK128&lt;0,"CHECK - EH shows "&amp;TEXT(-AK128,"0.##")&amp;" days more than policy",IF(AB128&gt;0,"OK - up to date",IF(AY128="None","No action - not eligible","No action - not yet qualified"))))))))</f>
        <v/>
      </c>
      <c r="AN128" s="27" t="str">
        <f aca="false">IF(AO128=0,"",TRIM(IF(AND($K128&lt;&gt;"",$H128=""),"Change 2 entered without Change 1. ","")&amp;IF(AND($K128&lt;&gt;"",$H128&lt;&gt;"",$K128&lt;=$H128),"Change 2 date not after Change 1. ","")&amp;IF(AND($N128&lt;&gt;"",$O128&lt;&gt;"",$O128&lt;$N128),"Leave To is before Leave From. ","")&amp;IF(AND($N128&lt;&gt;"",$O128=""),"Leave From entered without Leave To. ","")&amp;IF(AND(IFERROR(VLOOKUP(T128,TypeTable,2,0),"None")="PT",U128=""),"Part-time with no hours entered. ","")&amp;IF(AND($H128&lt;&gt;"",$H128&gt;AsOfDate,AD128&lt;&gt;"",$H128&lt;=AD128),"Status change lands before next accrual - review. ","")&amp;IF(AND($Q128&lt;&gt;"",$Q128&lt;$E128),"Termination before commencement. ","")))</f>
        <v/>
      </c>
      <c r="AO128" s="11" t="n">
        <f aca="false">IF(LEN($A128&amp;$B128&amp;$C128)=0,0,IF($E128="",0,1))</f>
        <v>0</v>
      </c>
      <c r="AP128" s="11" t="str">
        <f aca="false">IF(AO128=0,"",(IF(OR($N128="",$O128=""),0,MAX(0,MIN(X128,$O128)-MAX($N128,$E128)+1))+N($P128)))</f>
        <v/>
      </c>
      <c r="AQ128" s="11" t="str">
        <f aca="false">IF(AO128=0,"",IF(X128&lt;($E128+(IF(OR($N128="",$O128=""),0,MAX(0,MIN(X128,$O128)-MAX($N128,$E128)+1))+N($P128))),-1,12*(YEAR(X128)-YEAR(($E128+(IF(OR($N128="",$O128=""),0,MAX(0,MIN(X128,$O128)-MAX($N128,$E128)+1))+N($P128)))))+MONTH(X128)-MONTH(($E128+(IF(OR($N128="",$O128=""),0,MAX(0,MIN(X128,$O128)-MAX($N128,$E128)+1))+N($P128))))-IF(DAY(X128)&lt;MIN(DAY(($E128+(IF(OR($N128="",$O128=""),0,MAX(0,MIN(X128,$O128)-MAX($N128,$E128)+1))+N($P128)))),DAY(EOMONTH(X128,0))),1,0)))</f>
        <v/>
      </c>
      <c r="AR128" s="28" t="str">
        <f aca="false">IF(AO128=0,"",IF($H128="","",IF($H128&gt;X128,"",$H128)))</f>
        <v/>
      </c>
      <c r="AS128" s="28" t="str">
        <f aca="false">IF(AO128=0,"",IF(AR128="","",IF($K128="","",IF($K128&gt;X128,"",$K128))))</f>
        <v/>
      </c>
      <c r="AT128" s="11" t="str">
        <f aca="false">IF(AO128=0,"",IF(AR128="",AQ128,IF((AR128-1)&lt;($E128+(IF(OR($N128="",$O128=""),0,MAX(0,MIN((AR128-1),$O128)-MAX($N128,$E128)+1))+N($P128))),-1,12*(YEAR((AR128-1))-YEAR(($E128+(IF(OR($N128="",$O128=""),0,MAX(0,MIN((AR128-1),$O128)-MAX($N128,$E128)+1))+N($P128)))))+MONTH((AR128-1))-MONTH(($E128+(IF(OR($N128="",$O128=""),0,MAX(0,MIN((AR128-1),$O128)-MAX($N128,$E128)+1))+N($P128))))-IF(DAY((AR128-1))&lt;MIN(DAY(($E128+(IF(OR($N128="",$O128=""),0,MAX(0,MIN((AR128-1),$O128)-MAX($N128,$E128)+1))+N($P128)))),DAY(EOMONTH((AR128-1),0))),1,0))))</f>
        <v/>
      </c>
      <c r="AU128" s="11" t="str">
        <f aca="false">IF(AO128=0,"",IF(AS128="",AQ128,IF((AS128-1)&lt;($E128+(IF(OR($N128="",$O128=""),0,MAX(0,MIN((AS128-1),$O128)-MAX($N128,$E128)+1))+N($P128))),-1,12*(YEAR((AS128-1))-YEAR(($E128+(IF(OR($N128="",$O128=""),0,MAX(0,MIN((AS128-1),$O128)-MAX($N128,$E128)+1))+N($P128)))))+MONTH((AS128-1))-MONTH(($E128+(IF(OR($N128="",$O128=""),0,MAX(0,MIN((AS128-1),$O128)-MAX($N128,$E128)+1))+N($P128))))-IF(DAY((AS128-1))&lt;MIN(DAY(($E128+(IF(OR($N128="",$O128=""),0,MAX(0,MIN((AS128-1),$O128)-MAX($N128,$E128)+1))+N($P128)))),DAY(EOMONTH((AS128-1),0))),1,0))))</f>
        <v/>
      </c>
      <c r="AV128" s="11" t="str">
        <f aca="false">IF(AO128=0,"",IF($F128="","None",IF(IFERROR(VLOOKUP($F128,TypeTable,2,0),"None")="PT",IF(N($G128)&gt;=PT_MinHours,"PT","None"),IFERROR(VLOOKUP($F128,TypeTable,2,0),"None"))))</f>
        <v/>
      </c>
      <c r="AW128" s="11" t="str">
        <f aca="false">IF(AO128=0,"",IF($I128="","None",IF(IFERROR(VLOOKUP($I128,TypeTable,2,0),"None")="PT",IF(N($J128)&gt;=PT_MinHours,"PT","None"),IFERROR(VLOOKUP($I128,TypeTable,2,0),"None"))))</f>
        <v/>
      </c>
      <c r="AX128" s="11" t="str">
        <f aca="false">IF(AO128=0,"",IF($L128="","None",IF(IFERROR(VLOOKUP($L128,TypeTable,2,0),"None")="PT",IF(N($M128)&gt;=PT_MinHours,"PT","None"),IFERROR(VLOOKUP($L128,TypeTable,2,0),"None"))))</f>
        <v/>
      </c>
      <c r="AY128" s="11" t="str">
        <f aca="false">IF(AO128=0,"",IF(AS128&lt;&gt;"",AX128,IF(AR128&lt;&gt;"",AW128,AV128)))</f>
        <v/>
      </c>
      <c r="AZ128" s="11" t="str">
        <f aca="false">IF(AO128=0,"",IF(AV128="FT",IF(AT128&lt;FT_First,0,IF(AT128&lt;FT_Y5,1+INT((AT128-FT_First)/FT_Int1),FT_PreY5+FT_PerYear*INT((AT128-FT_Y5)/12)+FT_AnnivDays+INT(MOD(AT128-FT_Y5,12)/FT_Int2))),IF(AV128="PT",IF(AT128&lt;PT_First,0,1+INT((AT128-PT_First)/PT_Int)),0)))</f>
        <v/>
      </c>
      <c r="BA128" s="11" t="str">
        <f aca="false">IF(AO128=0,"",IF(AW128="FT",IF(AT128&lt;FT_First,0,IF(AT128&lt;FT_Y5,1+INT((AT128-FT_First)/FT_Int1),FT_PreY5+FT_PerYear*INT((AT128-FT_Y5)/12)+FT_AnnivDays+INT(MOD(AT128-FT_Y5,12)/FT_Int2))),IF(AW128="PT",IF(AT128&lt;PT_First,0,1+INT((AT128-PT_First)/PT_Int)),0)))</f>
        <v/>
      </c>
      <c r="BB128" s="11" t="str">
        <f aca="false">IF(AO128=0,"",IF(AW128="FT",IF(AU128&lt;FT_First,0,IF(AU128&lt;FT_Y5,1+INT((AU128-FT_First)/FT_Int1),FT_PreY5+FT_PerYear*INT((AU128-FT_Y5)/12)+FT_AnnivDays+INT(MOD(AU128-FT_Y5,12)/FT_Int2))),IF(AW128="PT",IF(AU128&lt;PT_First,0,1+INT((AU128-PT_First)/PT_Int)),0)))</f>
        <v/>
      </c>
      <c r="BC128" s="11" t="str">
        <f aca="false">IF(AO128=0,"",IF(AX128="FT",IF(AU128&lt;FT_First,0,IF(AU128&lt;FT_Y5,1+INT((AU128-FT_First)/FT_Int1),FT_PreY5+FT_PerYear*INT((AU128-FT_Y5)/12)+FT_AnnivDays+INT(MOD(AU128-FT_Y5,12)/FT_Int2))),IF(AX128="PT",IF(AU128&lt;PT_First,0,1+INT((AU128-PT_First)/PT_Int)),0)))</f>
        <v/>
      </c>
      <c r="BD128" s="11" t="str">
        <f aca="false">IF(AO128=0,"",IF(AX128="FT",IF(AQ128&lt;FT_First,0,IF(AQ128&lt;FT_Y5,1+INT((AQ128-FT_First)/FT_Int1),FT_PreY5+FT_PerYear*INT((AQ128-FT_Y5)/12)+FT_AnnivDays+INT(MOD(AQ128-FT_Y5,12)/FT_Int2))),IF(AX128="PT",IF(AQ128&lt;PT_First,0,1+INT((AQ128-PT_First)/PT_Int)),0)))</f>
        <v/>
      </c>
      <c r="BE128" s="11" t="str">
        <f aca="false">IF(AO128=0,"",IF(AY128="FT",IF(AQ128&lt;FT_First,FT_First,IF(AQ128&lt;FT_Y5,MIN(FT_Y5,FT_First+FT_Int1*(INT((AQ128-FT_First)/FT_Int1)+1)),FT_Y5+12*INT((AQ128-FT_Y5)/12)+FT_Int2*(INT(MOD(AQ128-FT_Y5,12)/FT_Int2)+1))),IF(AY128="PT",IF(AQ128&lt;PT_First,PT_First,PT_First+PT_Int*(INT((AQ128-PT_First)/PT_Int)+1)),"")))</f>
        <v/>
      </c>
      <c r="BF128" s="11" t="n">
        <f aca="false">IF(AO128=0,0,IF(AND($Q128&lt;&gt;"",$Q128&lt;=AsOfDate),1,0))</f>
        <v>0</v>
      </c>
      <c r="BG128" s="11" t="str">
        <f aca="false">IF(AND(AO128=1,BF128=0,EH_Ready,N(AB128)&gt;0,N(AI128)=0),COUNT($BG$5:BG127)+1,"")</f>
        <v/>
      </c>
      <c r="BH128" s="11" t="str">
        <f aca="false">IF(AND(AO128=1,BF128=0,EH_Ready,N(AB128)&gt;0,N(AI128)&gt;0,N(AK128)&gt;0),COUNT($BH$5:BH127)+1,"")</f>
        <v/>
      </c>
      <c r="BI128" s="11" t="str">
        <f aca="false">IF(AND(AO128=1,OR(LEFT(AM128,3)="ADD",LEFT(AM128,3)="SET",LEFT(AM128,5)="CHECK",LEFT(AM128,10)="TERMINATED")),COUNT($BI$5:BI127)+1,"")</f>
        <v/>
      </c>
      <c r="BJ128" s="11" t="str">
        <f aca="false">IF(AO128=0,"",$A128&amp;" - "&amp;$B128&amp;" "&amp;$C128)</f>
        <v/>
      </c>
    </row>
    <row r="129" customFormat="false" ht="15" hidden="false" customHeight="false" outlineLevel="0" collapsed="false">
      <c r="A129" s="10"/>
      <c r="B129" s="10"/>
      <c r="C129" s="10"/>
      <c r="D129" s="10"/>
      <c r="E129" s="9"/>
      <c r="F129" s="10"/>
      <c r="G129" s="30"/>
      <c r="H129" s="9"/>
      <c r="I129" s="10"/>
      <c r="J129" s="30"/>
      <c r="K129" s="9"/>
      <c r="L129" s="10"/>
      <c r="M129" s="30"/>
      <c r="N129" s="9"/>
      <c r="O129" s="9"/>
      <c r="P129" s="30"/>
      <c r="Q129" s="9"/>
      <c r="R129" s="10"/>
      <c r="S129" s="11" t="str">
        <f aca="false">IF(AO129=0,"",IF($H129="","",$F129&amp;" -&gt; "&amp;$I129&amp;IF($I129="Part-Time"," ("&amp;N($J129)&amp;" hrs)","")&amp;" on "&amp;TEXT($H129,"dd/mm/yyyy")&amp;IF($H129&gt;AsOfDate," (FUTURE)","")&amp;IF($K129="","","; "&amp;$I129&amp;" -&gt; "&amp;$L129&amp;IF($L129="Part-Time"," ("&amp;N($M129)&amp;" hrs)","")&amp;" on "&amp;TEXT($K129,"dd/mm/yyyy")&amp;IF($K129&gt;AsOfDate," (FUTURE)",""))))</f>
        <v/>
      </c>
      <c r="T129" s="11" t="str">
        <f aca="false">IF(AO129=0,"",IF(AS129&lt;&gt;"",$L129,IF(AR129&lt;&gt;"",$I129,$F129)))</f>
        <v/>
      </c>
      <c r="U129" s="26" t="str">
        <f aca="false">IF(AO129=0,"",IF(AS129&lt;&gt;"",$M129,IF(AR129&lt;&gt;"",$J129,$G129)))</f>
        <v/>
      </c>
      <c r="V129" s="11" t="str">
        <f aca="false">IF(AO129=0,"",IF(AY129="FT","Full-Time",IF(AY129="PT","Part-Time","Not eligible")))</f>
        <v/>
      </c>
      <c r="W129" s="27" t="str">
        <f aca="false">IF(AO129=0,"",IF(AR129="",IF(AND($H129&lt;&gt;"",$H129&gt;AsOfDate),"Future change - not yet applied",""),IF(AND(AV129=AY129,OR(AS129="",AW129=AV129)),"Type changed - same accrual pathway",IF(AY129="None","STOPPED accruing from "&amp;TEXT(IF(AS129&lt;&gt;"",AS129,AR129),"dd/mm/yyyy"),IF(AV129="None","STARTED qualifying from "&amp;TEXT(IF(AS129&lt;&gt;"",AS129,AR129),"dd/mm/yyyy"),"Pathway changed "&amp;AV129&amp;" -&gt; "&amp;AW129&amp;IF(AS129&lt;&gt;""," -&gt; "&amp;AX129,"")&amp;" from "&amp;TEXT(IF(AS129&lt;&gt;"",AS129,AR129),"dd/mm/yyyy"))))))</f>
        <v/>
      </c>
      <c r="X129" s="28" t="str">
        <f aca="false">IF(AO129=0,"",IF($Q129="",AsOfDate,MIN(AsOfDate,$Q129)))</f>
        <v/>
      </c>
      <c r="Y129" s="26" t="str">
        <f aca="false">IF(AO129=0,"",MAX(0,AQ129))</f>
        <v/>
      </c>
      <c r="Z129" s="11" t="str">
        <f aca="false">IF(AO129=0,"",IF(AQ129&lt;0,"Not started",INT(AQ129/12)&amp;"y "&amp;MOD(AQ129,12)&amp;"m"))</f>
        <v/>
      </c>
      <c r="AA129" s="27" t="str">
        <f aca="false">IF(AO129=0,"",IF(BF129=1,"Terminated - balance forfeited",IF(AY129="None",IF(AB129&gt;0,"No longer accruing - "&amp;T129,"Not eligible - "&amp;T129&amp;IF(AND(IFERROR(VLOOKUP(T129,TypeTable,2,0),"None")="PT",N(U129)&lt;PT_MinHours)," (under "&amp;PT_MinHours&amp;" hrs)","")),IF(AB129&gt;0,"Yes - accruing","Not yet - qualifies "&amp;TEXT(AD129,"dd/mm/yyyy")))))</f>
        <v/>
      </c>
      <c r="AB129" s="26" t="str">
        <f aca="false">IF(AO129=0,"",AZ129+IF(AR129="",0,BB129-BA129)+IF(AS129="",0,BD129-BC129))</f>
        <v/>
      </c>
      <c r="AC129" s="26" t="str">
        <f aca="false">IF(AO129=0,"",AB129*HoursPerDay)</f>
        <v/>
      </c>
      <c r="AD129" s="28" t="str">
        <f aca="false">IF(AO129=0,"",IF(OR(BF129=1,AY129="None"),"",EDATE($E129+AP129,BE129)))</f>
        <v/>
      </c>
      <c r="AE129" s="26" t="str">
        <f aca="false">IF(AD129="","",IF(AY129="PT",1,IF(BE129&lt;FT_Y5,1,IF(MOD(BE129-FT_Y5,12)=0,FT_AnnivDays,1))))</f>
        <v/>
      </c>
      <c r="AF129" s="27" t="str">
        <f aca="false">IF(AO129=0,"",IF(NOT(EH_Ready),"Map headers",IF(IF(MatchMode="Employee ID",COUNTIFS(INDEX(EH_Data,0,EH_ColID),$A129,INDEX(EH_Data,0,EH_ColCat),BonusCat),COUNTIFS(INDEX(EH_Data,0,EH_ColFirst),$B129,INDEX(EH_Data,0,EH_ColSur),$C129,INDEX(EH_Data,0,EH_ColCat),BonusCat))&gt;0,"Yes","No")))</f>
        <v/>
      </c>
      <c r="AG129" s="26" t="str">
        <f aca="false">IF(AO129=0,"",IF(NOT(EH_Ready),"",IF(MatchMode="Employee ID",SUMIFS(INDEX(EH_Data,0,EH_ColBal),INDEX(EH_Data,0,EH_ColID),$A129,INDEX(EH_Data,0,EH_ColCat),BonusCat),SUMIFS(INDEX(EH_Data,0,EH_ColBal),INDEX(EH_Data,0,EH_ColFirst),$B129,INDEX(EH_Data,0,EH_ColSur),$C129,INDEX(EH_Data,0,EH_ColCat),BonusCat))/IF(EHUnit="Hours",HoursPerDay,1)))</f>
        <v/>
      </c>
      <c r="AH129" s="26" t="str">
        <f aca="false">IF(AO129=0,"",IF(NOT(TK_Ready),0,IF(MatchMode="Employee ID",SUMIFS(INDEX(TK_Data,0,TK_ColAmt),INDEX(TK_Data,0,TK_ColID),$A129,INDEX(TK_Data,0,TK_ColCat),BonusCat),SUMIFS(INDEX(TK_Data,0,TK_ColAmt),INDEX(TK_Data,0,TK_ColFirst),$B129,INDEX(TK_Data,0,TK_ColSur),$C129,INDEX(TK_Data,0,TK_ColCat),BonusCat))/IF(TKUnit="Hours",HoursPerDay,1)))</f>
        <v/>
      </c>
      <c r="AI129" s="26" t="str">
        <f aca="false">IF(AO129=0,"",N(AG129)+N(AH129))</f>
        <v/>
      </c>
      <c r="AJ129" s="29" t="str">
        <f aca="false">IF(AO129=0,"",IF(NOT(AND(EH_Ready,EH_ValReady)),"",IF(MatchMode="Employee ID",SUMIFS(INDEX(EH_Data,0,EH_ColVal),INDEX(EH_Data,0,EH_ColID),$A129,INDEX(EH_Data,0,EH_ColCat),BonusCat),SUMIFS(INDEX(EH_Data,0,EH_ColVal),INDEX(EH_Data,0,EH_ColFirst),$B129,INDEX(EH_Data,0,EH_ColSur),$C129,INDEX(EH_Data,0,EH_ColCat),BonusCat))))</f>
        <v/>
      </c>
      <c r="AK129" s="26" t="str">
        <f aca="false">IF(AO129=0,"",IF(OR(NOT(EH_Ready),BF129=1),"",AB129-AI129))</f>
        <v/>
      </c>
      <c r="AL129" s="26" t="str">
        <f aca="false">IF(AK129="","",AK129*HoursPerDay)</f>
        <v/>
      </c>
      <c r="AM129" s="27" t="str">
        <f aca="false">IF(AO129=0,"",IF(BF129=1,IF(N(AG129)&gt;0,"TERMINATED - forfeit "&amp;TEXT(AG129,"0.##")&amp;" days still in EH","Terminated - nothing in EH"),IF(NOT(EH_Ready),"Paste EH export and map headers on Settings",IF(AND(AB129&gt;0,AF129="No"),"SET UP in EH - add "&amp;TEXT(AB129,"0.##")&amp;" day(s) ("&amp;TEXT(AC129,"0.##")&amp;" hrs)",IF(AK129&gt;0,"ADD "&amp;TEXT(AK129,"0.##")&amp;" day(s) ("&amp;TEXT(AL129,"0.##")&amp;" hrs) in EH",IF(AK129&lt;0,"CHECK - EH shows "&amp;TEXT(-AK129,"0.##")&amp;" days more than policy",IF(AB129&gt;0,"OK - up to date",IF(AY129="None","No action - not eligible","No action - not yet qualified"))))))))</f>
        <v/>
      </c>
      <c r="AN129" s="27" t="str">
        <f aca="false">IF(AO129=0,"",TRIM(IF(AND($K129&lt;&gt;"",$H129=""),"Change 2 entered without Change 1. ","")&amp;IF(AND($K129&lt;&gt;"",$H129&lt;&gt;"",$K129&lt;=$H129),"Change 2 date not after Change 1. ","")&amp;IF(AND($N129&lt;&gt;"",$O129&lt;&gt;"",$O129&lt;$N129),"Leave To is before Leave From. ","")&amp;IF(AND($N129&lt;&gt;"",$O129=""),"Leave From entered without Leave To. ","")&amp;IF(AND(IFERROR(VLOOKUP(T129,TypeTable,2,0),"None")="PT",U129=""),"Part-time with no hours entered. ","")&amp;IF(AND($H129&lt;&gt;"",$H129&gt;AsOfDate,AD129&lt;&gt;"",$H129&lt;=AD129),"Status change lands before next accrual - review. ","")&amp;IF(AND($Q129&lt;&gt;"",$Q129&lt;$E129),"Termination before commencement. ","")))</f>
        <v/>
      </c>
      <c r="AO129" s="11" t="n">
        <f aca="false">IF(LEN($A129&amp;$B129&amp;$C129)=0,0,IF($E129="",0,1))</f>
        <v>0</v>
      </c>
      <c r="AP129" s="11" t="str">
        <f aca="false">IF(AO129=0,"",(IF(OR($N129="",$O129=""),0,MAX(0,MIN(X129,$O129)-MAX($N129,$E129)+1))+N($P129)))</f>
        <v/>
      </c>
      <c r="AQ129" s="11" t="str">
        <f aca="false">IF(AO129=0,"",IF(X129&lt;($E129+(IF(OR($N129="",$O129=""),0,MAX(0,MIN(X129,$O129)-MAX($N129,$E129)+1))+N($P129))),-1,12*(YEAR(X129)-YEAR(($E129+(IF(OR($N129="",$O129=""),0,MAX(0,MIN(X129,$O129)-MAX($N129,$E129)+1))+N($P129)))))+MONTH(X129)-MONTH(($E129+(IF(OR($N129="",$O129=""),0,MAX(0,MIN(X129,$O129)-MAX($N129,$E129)+1))+N($P129))))-IF(DAY(X129)&lt;MIN(DAY(($E129+(IF(OR($N129="",$O129=""),0,MAX(0,MIN(X129,$O129)-MAX($N129,$E129)+1))+N($P129)))),DAY(EOMONTH(X129,0))),1,0)))</f>
        <v/>
      </c>
      <c r="AR129" s="28" t="str">
        <f aca="false">IF(AO129=0,"",IF($H129="","",IF($H129&gt;X129,"",$H129)))</f>
        <v/>
      </c>
      <c r="AS129" s="28" t="str">
        <f aca="false">IF(AO129=0,"",IF(AR129="","",IF($K129="","",IF($K129&gt;X129,"",$K129))))</f>
        <v/>
      </c>
      <c r="AT129" s="11" t="str">
        <f aca="false">IF(AO129=0,"",IF(AR129="",AQ129,IF((AR129-1)&lt;($E129+(IF(OR($N129="",$O129=""),0,MAX(0,MIN((AR129-1),$O129)-MAX($N129,$E129)+1))+N($P129))),-1,12*(YEAR((AR129-1))-YEAR(($E129+(IF(OR($N129="",$O129=""),0,MAX(0,MIN((AR129-1),$O129)-MAX($N129,$E129)+1))+N($P129)))))+MONTH((AR129-1))-MONTH(($E129+(IF(OR($N129="",$O129=""),0,MAX(0,MIN((AR129-1),$O129)-MAX($N129,$E129)+1))+N($P129))))-IF(DAY((AR129-1))&lt;MIN(DAY(($E129+(IF(OR($N129="",$O129=""),0,MAX(0,MIN((AR129-1),$O129)-MAX($N129,$E129)+1))+N($P129)))),DAY(EOMONTH((AR129-1),0))),1,0))))</f>
        <v/>
      </c>
      <c r="AU129" s="11" t="str">
        <f aca="false">IF(AO129=0,"",IF(AS129="",AQ129,IF((AS129-1)&lt;($E129+(IF(OR($N129="",$O129=""),0,MAX(0,MIN((AS129-1),$O129)-MAX($N129,$E129)+1))+N($P129))),-1,12*(YEAR((AS129-1))-YEAR(($E129+(IF(OR($N129="",$O129=""),0,MAX(0,MIN((AS129-1),$O129)-MAX($N129,$E129)+1))+N($P129)))))+MONTH((AS129-1))-MONTH(($E129+(IF(OR($N129="",$O129=""),0,MAX(0,MIN((AS129-1),$O129)-MAX($N129,$E129)+1))+N($P129))))-IF(DAY((AS129-1))&lt;MIN(DAY(($E129+(IF(OR($N129="",$O129=""),0,MAX(0,MIN((AS129-1),$O129)-MAX($N129,$E129)+1))+N($P129)))),DAY(EOMONTH((AS129-1),0))),1,0))))</f>
        <v/>
      </c>
      <c r="AV129" s="11" t="str">
        <f aca="false">IF(AO129=0,"",IF($F129="","None",IF(IFERROR(VLOOKUP($F129,TypeTable,2,0),"None")="PT",IF(N($G129)&gt;=PT_MinHours,"PT","None"),IFERROR(VLOOKUP($F129,TypeTable,2,0),"None"))))</f>
        <v/>
      </c>
      <c r="AW129" s="11" t="str">
        <f aca="false">IF(AO129=0,"",IF($I129="","None",IF(IFERROR(VLOOKUP($I129,TypeTable,2,0),"None")="PT",IF(N($J129)&gt;=PT_MinHours,"PT","None"),IFERROR(VLOOKUP($I129,TypeTable,2,0),"None"))))</f>
        <v/>
      </c>
      <c r="AX129" s="11" t="str">
        <f aca="false">IF(AO129=0,"",IF($L129="","None",IF(IFERROR(VLOOKUP($L129,TypeTable,2,0),"None")="PT",IF(N($M129)&gt;=PT_MinHours,"PT","None"),IFERROR(VLOOKUP($L129,TypeTable,2,0),"None"))))</f>
        <v/>
      </c>
      <c r="AY129" s="11" t="str">
        <f aca="false">IF(AO129=0,"",IF(AS129&lt;&gt;"",AX129,IF(AR129&lt;&gt;"",AW129,AV129)))</f>
        <v/>
      </c>
      <c r="AZ129" s="11" t="str">
        <f aca="false">IF(AO129=0,"",IF(AV129="FT",IF(AT129&lt;FT_First,0,IF(AT129&lt;FT_Y5,1+INT((AT129-FT_First)/FT_Int1),FT_PreY5+FT_PerYear*INT((AT129-FT_Y5)/12)+FT_AnnivDays+INT(MOD(AT129-FT_Y5,12)/FT_Int2))),IF(AV129="PT",IF(AT129&lt;PT_First,0,1+INT((AT129-PT_First)/PT_Int)),0)))</f>
        <v/>
      </c>
      <c r="BA129" s="11" t="str">
        <f aca="false">IF(AO129=0,"",IF(AW129="FT",IF(AT129&lt;FT_First,0,IF(AT129&lt;FT_Y5,1+INT((AT129-FT_First)/FT_Int1),FT_PreY5+FT_PerYear*INT((AT129-FT_Y5)/12)+FT_AnnivDays+INT(MOD(AT129-FT_Y5,12)/FT_Int2))),IF(AW129="PT",IF(AT129&lt;PT_First,0,1+INT((AT129-PT_First)/PT_Int)),0)))</f>
        <v/>
      </c>
      <c r="BB129" s="11" t="str">
        <f aca="false">IF(AO129=0,"",IF(AW129="FT",IF(AU129&lt;FT_First,0,IF(AU129&lt;FT_Y5,1+INT((AU129-FT_First)/FT_Int1),FT_PreY5+FT_PerYear*INT((AU129-FT_Y5)/12)+FT_AnnivDays+INT(MOD(AU129-FT_Y5,12)/FT_Int2))),IF(AW129="PT",IF(AU129&lt;PT_First,0,1+INT((AU129-PT_First)/PT_Int)),0)))</f>
        <v/>
      </c>
      <c r="BC129" s="11" t="str">
        <f aca="false">IF(AO129=0,"",IF(AX129="FT",IF(AU129&lt;FT_First,0,IF(AU129&lt;FT_Y5,1+INT((AU129-FT_First)/FT_Int1),FT_PreY5+FT_PerYear*INT((AU129-FT_Y5)/12)+FT_AnnivDays+INT(MOD(AU129-FT_Y5,12)/FT_Int2))),IF(AX129="PT",IF(AU129&lt;PT_First,0,1+INT((AU129-PT_First)/PT_Int)),0)))</f>
        <v/>
      </c>
      <c r="BD129" s="11" t="str">
        <f aca="false">IF(AO129=0,"",IF(AX129="FT",IF(AQ129&lt;FT_First,0,IF(AQ129&lt;FT_Y5,1+INT((AQ129-FT_First)/FT_Int1),FT_PreY5+FT_PerYear*INT((AQ129-FT_Y5)/12)+FT_AnnivDays+INT(MOD(AQ129-FT_Y5,12)/FT_Int2))),IF(AX129="PT",IF(AQ129&lt;PT_First,0,1+INT((AQ129-PT_First)/PT_Int)),0)))</f>
        <v/>
      </c>
      <c r="BE129" s="11" t="str">
        <f aca="false">IF(AO129=0,"",IF(AY129="FT",IF(AQ129&lt;FT_First,FT_First,IF(AQ129&lt;FT_Y5,MIN(FT_Y5,FT_First+FT_Int1*(INT((AQ129-FT_First)/FT_Int1)+1)),FT_Y5+12*INT((AQ129-FT_Y5)/12)+FT_Int2*(INT(MOD(AQ129-FT_Y5,12)/FT_Int2)+1))),IF(AY129="PT",IF(AQ129&lt;PT_First,PT_First,PT_First+PT_Int*(INT((AQ129-PT_First)/PT_Int)+1)),"")))</f>
        <v/>
      </c>
      <c r="BF129" s="11" t="n">
        <f aca="false">IF(AO129=0,0,IF(AND($Q129&lt;&gt;"",$Q129&lt;=AsOfDate),1,0))</f>
        <v>0</v>
      </c>
      <c r="BG129" s="11" t="str">
        <f aca="false">IF(AND(AO129=1,BF129=0,EH_Ready,N(AB129)&gt;0,N(AI129)=0),COUNT($BG$5:BG128)+1,"")</f>
        <v/>
      </c>
      <c r="BH129" s="11" t="str">
        <f aca="false">IF(AND(AO129=1,BF129=0,EH_Ready,N(AB129)&gt;0,N(AI129)&gt;0,N(AK129)&gt;0),COUNT($BH$5:BH128)+1,"")</f>
        <v/>
      </c>
      <c r="BI129" s="11" t="str">
        <f aca="false">IF(AND(AO129=1,OR(LEFT(AM129,3)="ADD",LEFT(AM129,3)="SET",LEFT(AM129,5)="CHECK",LEFT(AM129,10)="TERMINATED")),COUNT($BI$5:BI128)+1,"")</f>
        <v/>
      </c>
      <c r="BJ129" s="11" t="str">
        <f aca="false">IF(AO129=0,"",$A129&amp;" - "&amp;$B129&amp;" "&amp;$C129)</f>
        <v/>
      </c>
    </row>
    <row r="130" customFormat="false" ht="15" hidden="false" customHeight="false" outlineLevel="0" collapsed="false">
      <c r="A130" s="10"/>
      <c r="B130" s="10"/>
      <c r="C130" s="10"/>
      <c r="D130" s="10"/>
      <c r="E130" s="9"/>
      <c r="F130" s="10"/>
      <c r="G130" s="30"/>
      <c r="H130" s="9"/>
      <c r="I130" s="10"/>
      <c r="J130" s="30"/>
      <c r="K130" s="9"/>
      <c r="L130" s="10"/>
      <c r="M130" s="30"/>
      <c r="N130" s="9"/>
      <c r="O130" s="9"/>
      <c r="P130" s="30"/>
      <c r="Q130" s="9"/>
      <c r="R130" s="10"/>
      <c r="S130" s="11" t="str">
        <f aca="false">IF(AO130=0,"",IF($H130="","",$F130&amp;" -&gt; "&amp;$I130&amp;IF($I130="Part-Time"," ("&amp;N($J130)&amp;" hrs)","")&amp;" on "&amp;TEXT($H130,"dd/mm/yyyy")&amp;IF($H130&gt;AsOfDate," (FUTURE)","")&amp;IF($K130="","","; "&amp;$I130&amp;" -&gt; "&amp;$L130&amp;IF($L130="Part-Time"," ("&amp;N($M130)&amp;" hrs)","")&amp;" on "&amp;TEXT($K130,"dd/mm/yyyy")&amp;IF($K130&gt;AsOfDate," (FUTURE)",""))))</f>
        <v/>
      </c>
      <c r="T130" s="11" t="str">
        <f aca="false">IF(AO130=0,"",IF(AS130&lt;&gt;"",$L130,IF(AR130&lt;&gt;"",$I130,$F130)))</f>
        <v/>
      </c>
      <c r="U130" s="26" t="str">
        <f aca="false">IF(AO130=0,"",IF(AS130&lt;&gt;"",$M130,IF(AR130&lt;&gt;"",$J130,$G130)))</f>
        <v/>
      </c>
      <c r="V130" s="11" t="str">
        <f aca="false">IF(AO130=0,"",IF(AY130="FT","Full-Time",IF(AY130="PT","Part-Time","Not eligible")))</f>
        <v/>
      </c>
      <c r="W130" s="27" t="str">
        <f aca="false">IF(AO130=0,"",IF(AR130="",IF(AND($H130&lt;&gt;"",$H130&gt;AsOfDate),"Future change - not yet applied",""),IF(AND(AV130=AY130,OR(AS130="",AW130=AV130)),"Type changed - same accrual pathway",IF(AY130="None","STOPPED accruing from "&amp;TEXT(IF(AS130&lt;&gt;"",AS130,AR130),"dd/mm/yyyy"),IF(AV130="None","STARTED qualifying from "&amp;TEXT(IF(AS130&lt;&gt;"",AS130,AR130),"dd/mm/yyyy"),"Pathway changed "&amp;AV130&amp;" -&gt; "&amp;AW130&amp;IF(AS130&lt;&gt;""," -&gt; "&amp;AX130,"")&amp;" from "&amp;TEXT(IF(AS130&lt;&gt;"",AS130,AR130),"dd/mm/yyyy"))))))</f>
        <v/>
      </c>
      <c r="X130" s="28" t="str">
        <f aca="false">IF(AO130=0,"",IF($Q130="",AsOfDate,MIN(AsOfDate,$Q130)))</f>
        <v/>
      </c>
      <c r="Y130" s="26" t="str">
        <f aca="false">IF(AO130=0,"",MAX(0,AQ130))</f>
        <v/>
      </c>
      <c r="Z130" s="11" t="str">
        <f aca="false">IF(AO130=0,"",IF(AQ130&lt;0,"Not started",INT(AQ130/12)&amp;"y "&amp;MOD(AQ130,12)&amp;"m"))</f>
        <v/>
      </c>
      <c r="AA130" s="27" t="str">
        <f aca="false">IF(AO130=0,"",IF(BF130=1,"Terminated - balance forfeited",IF(AY130="None",IF(AB130&gt;0,"No longer accruing - "&amp;T130,"Not eligible - "&amp;T130&amp;IF(AND(IFERROR(VLOOKUP(T130,TypeTable,2,0),"None")="PT",N(U130)&lt;PT_MinHours)," (under "&amp;PT_MinHours&amp;" hrs)","")),IF(AB130&gt;0,"Yes - accruing","Not yet - qualifies "&amp;TEXT(AD130,"dd/mm/yyyy")))))</f>
        <v/>
      </c>
      <c r="AB130" s="26" t="str">
        <f aca="false">IF(AO130=0,"",AZ130+IF(AR130="",0,BB130-BA130)+IF(AS130="",0,BD130-BC130))</f>
        <v/>
      </c>
      <c r="AC130" s="26" t="str">
        <f aca="false">IF(AO130=0,"",AB130*HoursPerDay)</f>
        <v/>
      </c>
      <c r="AD130" s="28" t="str">
        <f aca="false">IF(AO130=0,"",IF(OR(BF130=1,AY130="None"),"",EDATE($E130+AP130,BE130)))</f>
        <v/>
      </c>
      <c r="AE130" s="26" t="str">
        <f aca="false">IF(AD130="","",IF(AY130="PT",1,IF(BE130&lt;FT_Y5,1,IF(MOD(BE130-FT_Y5,12)=0,FT_AnnivDays,1))))</f>
        <v/>
      </c>
      <c r="AF130" s="27" t="str">
        <f aca="false">IF(AO130=0,"",IF(NOT(EH_Ready),"Map headers",IF(IF(MatchMode="Employee ID",COUNTIFS(INDEX(EH_Data,0,EH_ColID),$A130,INDEX(EH_Data,0,EH_ColCat),BonusCat),COUNTIFS(INDEX(EH_Data,0,EH_ColFirst),$B130,INDEX(EH_Data,0,EH_ColSur),$C130,INDEX(EH_Data,0,EH_ColCat),BonusCat))&gt;0,"Yes","No")))</f>
        <v/>
      </c>
      <c r="AG130" s="26" t="str">
        <f aca="false">IF(AO130=0,"",IF(NOT(EH_Ready),"",IF(MatchMode="Employee ID",SUMIFS(INDEX(EH_Data,0,EH_ColBal),INDEX(EH_Data,0,EH_ColID),$A130,INDEX(EH_Data,0,EH_ColCat),BonusCat),SUMIFS(INDEX(EH_Data,0,EH_ColBal),INDEX(EH_Data,0,EH_ColFirst),$B130,INDEX(EH_Data,0,EH_ColSur),$C130,INDEX(EH_Data,0,EH_ColCat),BonusCat))/IF(EHUnit="Hours",HoursPerDay,1)))</f>
        <v/>
      </c>
      <c r="AH130" s="26" t="str">
        <f aca="false">IF(AO130=0,"",IF(NOT(TK_Ready),0,IF(MatchMode="Employee ID",SUMIFS(INDEX(TK_Data,0,TK_ColAmt),INDEX(TK_Data,0,TK_ColID),$A130,INDEX(TK_Data,0,TK_ColCat),BonusCat),SUMIFS(INDEX(TK_Data,0,TK_ColAmt),INDEX(TK_Data,0,TK_ColFirst),$B130,INDEX(TK_Data,0,TK_ColSur),$C130,INDEX(TK_Data,0,TK_ColCat),BonusCat))/IF(TKUnit="Hours",HoursPerDay,1)))</f>
        <v/>
      </c>
      <c r="AI130" s="26" t="str">
        <f aca="false">IF(AO130=0,"",N(AG130)+N(AH130))</f>
        <v/>
      </c>
      <c r="AJ130" s="29" t="str">
        <f aca="false">IF(AO130=0,"",IF(NOT(AND(EH_Ready,EH_ValReady)),"",IF(MatchMode="Employee ID",SUMIFS(INDEX(EH_Data,0,EH_ColVal),INDEX(EH_Data,0,EH_ColID),$A130,INDEX(EH_Data,0,EH_ColCat),BonusCat),SUMIFS(INDEX(EH_Data,0,EH_ColVal),INDEX(EH_Data,0,EH_ColFirst),$B130,INDEX(EH_Data,0,EH_ColSur),$C130,INDEX(EH_Data,0,EH_ColCat),BonusCat))))</f>
        <v/>
      </c>
      <c r="AK130" s="26" t="str">
        <f aca="false">IF(AO130=0,"",IF(OR(NOT(EH_Ready),BF130=1),"",AB130-AI130))</f>
        <v/>
      </c>
      <c r="AL130" s="26" t="str">
        <f aca="false">IF(AK130="","",AK130*HoursPerDay)</f>
        <v/>
      </c>
      <c r="AM130" s="27" t="str">
        <f aca="false">IF(AO130=0,"",IF(BF130=1,IF(N(AG130)&gt;0,"TERMINATED - forfeit "&amp;TEXT(AG130,"0.##")&amp;" days still in EH","Terminated - nothing in EH"),IF(NOT(EH_Ready),"Paste EH export and map headers on Settings",IF(AND(AB130&gt;0,AF130="No"),"SET UP in EH - add "&amp;TEXT(AB130,"0.##")&amp;" day(s) ("&amp;TEXT(AC130,"0.##")&amp;" hrs)",IF(AK130&gt;0,"ADD "&amp;TEXT(AK130,"0.##")&amp;" day(s) ("&amp;TEXT(AL130,"0.##")&amp;" hrs) in EH",IF(AK130&lt;0,"CHECK - EH shows "&amp;TEXT(-AK130,"0.##")&amp;" days more than policy",IF(AB130&gt;0,"OK - up to date",IF(AY130="None","No action - not eligible","No action - not yet qualified"))))))))</f>
        <v/>
      </c>
      <c r="AN130" s="27" t="str">
        <f aca="false">IF(AO130=0,"",TRIM(IF(AND($K130&lt;&gt;"",$H130=""),"Change 2 entered without Change 1. ","")&amp;IF(AND($K130&lt;&gt;"",$H130&lt;&gt;"",$K130&lt;=$H130),"Change 2 date not after Change 1. ","")&amp;IF(AND($N130&lt;&gt;"",$O130&lt;&gt;"",$O130&lt;$N130),"Leave To is before Leave From. ","")&amp;IF(AND($N130&lt;&gt;"",$O130=""),"Leave From entered without Leave To. ","")&amp;IF(AND(IFERROR(VLOOKUP(T130,TypeTable,2,0),"None")="PT",U130=""),"Part-time with no hours entered. ","")&amp;IF(AND($H130&lt;&gt;"",$H130&gt;AsOfDate,AD130&lt;&gt;"",$H130&lt;=AD130),"Status change lands before next accrual - review. ","")&amp;IF(AND($Q130&lt;&gt;"",$Q130&lt;$E130),"Termination before commencement. ","")))</f>
        <v/>
      </c>
      <c r="AO130" s="11" t="n">
        <f aca="false">IF(LEN($A130&amp;$B130&amp;$C130)=0,0,IF($E130="",0,1))</f>
        <v>0</v>
      </c>
      <c r="AP130" s="11" t="str">
        <f aca="false">IF(AO130=0,"",(IF(OR($N130="",$O130=""),0,MAX(0,MIN(X130,$O130)-MAX($N130,$E130)+1))+N($P130)))</f>
        <v/>
      </c>
      <c r="AQ130" s="11" t="str">
        <f aca="false">IF(AO130=0,"",IF(X130&lt;($E130+(IF(OR($N130="",$O130=""),0,MAX(0,MIN(X130,$O130)-MAX($N130,$E130)+1))+N($P130))),-1,12*(YEAR(X130)-YEAR(($E130+(IF(OR($N130="",$O130=""),0,MAX(0,MIN(X130,$O130)-MAX($N130,$E130)+1))+N($P130)))))+MONTH(X130)-MONTH(($E130+(IF(OR($N130="",$O130=""),0,MAX(0,MIN(X130,$O130)-MAX($N130,$E130)+1))+N($P130))))-IF(DAY(X130)&lt;MIN(DAY(($E130+(IF(OR($N130="",$O130=""),0,MAX(0,MIN(X130,$O130)-MAX($N130,$E130)+1))+N($P130)))),DAY(EOMONTH(X130,0))),1,0)))</f>
        <v/>
      </c>
      <c r="AR130" s="28" t="str">
        <f aca="false">IF(AO130=0,"",IF($H130="","",IF($H130&gt;X130,"",$H130)))</f>
        <v/>
      </c>
      <c r="AS130" s="28" t="str">
        <f aca="false">IF(AO130=0,"",IF(AR130="","",IF($K130="","",IF($K130&gt;X130,"",$K130))))</f>
        <v/>
      </c>
      <c r="AT130" s="11" t="str">
        <f aca="false">IF(AO130=0,"",IF(AR130="",AQ130,IF((AR130-1)&lt;($E130+(IF(OR($N130="",$O130=""),0,MAX(0,MIN((AR130-1),$O130)-MAX($N130,$E130)+1))+N($P130))),-1,12*(YEAR((AR130-1))-YEAR(($E130+(IF(OR($N130="",$O130=""),0,MAX(0,MIN((AR130-1),$O130)-MAX($N130,$E130)+1))+N($P130)))))+MONTH((AR130-1))-MONTH(($E130+(IF(OR($N130="",$O130=""),0,MAX(0,MIN((AR130-1),$O130)-MAX($N130,$E130)+1))+N($P130))))-IF(DAY((AR130-1))&lt;MIN(DAY(($E130+(IF(OR($N130="",$O130=""),0,MAX(0,MIN((AR130-1),$O130)-MAX($N130,$E130)+1))+N($P130)))),DAY(EOMONTH((AR130-1),0))),1,0))))</f>
        <v/>
      </c>
      <c r="AU130" s="11" t="str">
        <f aca="false">IF(AO130=0,"",IF(AS130="",AQ130,IF((AS130-1)&lt;($E130+(IF(OR($N130="",$O130=""),0,MAX(0,MIN((AS130-1),$O130)-MAX($N130,$E130)+1))+N($P130))),-1,12*(YEAR((AS130-1))-YEAR(($E130+(IF(OR($N130="",$O130=""),0,MAX(0,MIN((AS130-1),$O130)-MAX($N130,$E130)+1))+N($P130)))))+MONTH((AS130-1))-MONTH(($E130+(IF(OR($N130="",$O130=""),0,MAX(0,MIN((AS130-1),$O130)-MAX($N130,$E130)+1))+N($P130))))-IF(DAY((AS130-1))&lt;MIN(DAY(($E130+(IF(OR($N130="",$O130=""),0,MAX(0,MIN((AS130-1),$O130)-MAX($N130,$E130)+1))+N($P130)))),DAY(EOMONTH((AS130-1),0))),1,0))))</f>
        <v/>
      </c>
      <c r="AV130" s="11" t="str">
        <f aca="false">IF(AO130=0,"",IF($F130="","None",IF(IFERROR(VLOOKUP($F130,TypeTable,2,0),"None")="PT",IF(N($G130)&gt;=PT_MinHours,"PT","None"),IFERROR(VLOOKUP($F130,TypeTable,2,0),"None"))))</f>
        <v/>
      </c>
      <c r="AW130" s="11" t="str">
        <f aca="false">IF(AO130=0,"",IF($I130="","None",IF(IFERROR(VLOOKUP($I130,TypeTable,2,0),"None")="PT",IF(N($J130)&gt;=PT_MinHours,"PT","None"),IFERROR(VLOOKUP($I130,TypeTable,2,0),"None"))))</f>
        <v/>
      </c>
      <c r="AX130" s="11" t="str">
        <f aca="false">IF(AO130=0,"",IF($L130="","None",IF(IFERROR(VLOOKUP($L130,TypeTable,2,0),"None")="PT",IF(N($M130)&gt;=PT_MinHours,"PT","None"),IFERROR(VLOOKUP($L130,TypeTable,2,0),"None"))))</f>
        <v/>
      </c>
      <c r="AY130" s="11" t="str">
        <f aca="false">IF(AO130=0,"",IF(AS130&lt;&gt;"",AX130,IF(AR130&lt;&gt;"",AW130,AV130)))</f>
        <v/>
      </c>
      <c r="AZ130" s="11" t="str">
        <f aca="false">IF(AO130=0,"",IF(AV130="FT",IF(AT130&lt;FT_First,0,IF(AT130&lt;FT_Y5,1+INT((AT130-FT_First)/FT_Int1),FT_PreY5+FT_PerYear*INT((AT130-FT_Y5)/12)+FT_AnnivDays+INT(MOD(AT130-FT_Y5,12)/FT_Int2))),IF(AV130="PT",IF(AT130&lt;PT_First,0,1+INT((AT130-PT_First)/PT_Int)),0)))</f>
        <v/>
      </c>
      <c r="BA130" s="11" t="str">
        <f aca="false">IF(AO130=0,"",IF(AW130="FT",IF(AT130&lt;FT_First,0,IF(AT130&lt;FT_Y5,1+INT((AT130-FT_First)/FT_Int1),FT_PreY5+FT_PerYear*INT((AT130-FT_Y5)/12)+FT_AnnivDays+INT(MOD(AT130-FT_Y5,12)/FT_Int2))),IF(AW130="PT",IF(AT130&lt;PT_First,0,1+INT((AT130-PT_First)/PT_Int)),0)))</f>
        <v/>
      </c>
      <c r="BB130" s="11" t="str">
        <f aca="false">IF(AO130=0,"",IF(AW130="FT",IF(AU130&lt;FT_First,0,IF(AU130&lt;FT_Y5,1+INT((AU130-FT_First)/FT_Int1),FT_PreY5+FT_PerYear*INT((AU130-FT_Y5)/12)+FT_AnnivDays+INT(MOD(AU130-FT_Y5,12)/FT_Int2))),IF(AW130="PT",IF(AU130&lt;PT_First,0,1+INT((AU130-PT_First)/PT_Int)),0)))</f>
        <v/>
      </c>
      <c r="BC130" s="11" t="str">
        <f aca="false">IF(AO130=0,"",IF(AX130="FT",IF(AU130&lt;FT_First,0,IF(AU130&lt;FT_Y5,1+INT((AU130-FT_First)/FT_Int1),FT_PreY5+FT_PerYear*INT((AU130-FT_Y5)/12)+FT_AnnivDays+INT(MOD(AU130-FT_Y5,12)/FT_Int2))),IF(AX130="PT",IF(AU130&lt;PT_First,0,1+INT((AU130-PT_First)/PT_Int)),0)))</f>
        <v/>
      </c>
      <c r="BD130" s="11" t="str">
        <f aca="false">IF(AO130=0,"",IF(AX130="FT",IF(AQ130&lt;FT_First,0,IF(AQ130&lt;FT_Y5,1+INT((AQ130-FT_First)/FT_Int1),FT_PreY5+FT_PerYear*INT((AQ130-FT_Y5)/12)+FT_AnnivDays+INT(MOD(AQ130-FT_Y5,12)/FT_Int2))),IF(AX130="PT",IF(AQ130&lt;PT_First,0,1+INT((AQ130-PT_First)/PT_Int)),0)))</f>
        <v/>
      </c>
      <c r="BE130" s="11" t="str">
        <f aca="false">IF(AO130=0,"",IF(AY130="FT",IF(AQ130&lt;FT_First,FT_First,IF(AQ130&lt;FT_Y5,MIN(FT_Y5,FT_First+FT_Int1*(INT((AQ130-FT_First)/FT_Int1)+1)),FT_Y5+12*INT((AQ130-FT_Y5)/12)+FT_Int2*(INT(MOD(AQ130-FT_Y5,12)/FT_Int2)+1))),IF(AY130="PT",IF(AQ130&lt;PT_First,PT_First,PT_First+PT_Int*(INT((AQ130-PT_First)/PT_Int)+1)),"")))</f>
        <v/>
      </c>
      <c r="BF130" s="11" t="n">
        <f aca="false">IF(AO130=0,0,IF(AND($Q130&lt;&gt;"",$Q130&lt;=AsOfDate),1,0))</f>
        <v>0</v>
      </c>
      <c r="BG130" s="11" t="str">
        <f aca="false">IF(AND(AO130=1,BF130=0,EH_Ready,N(AB130)&gt;0,N(AI130)=0),COUNT($BG$5:BG129)+1,"")</f>
        <v/>
      </c>
      <c r="BH130" s="11" t="str">
        <f aca="false">IF(AND(AO130=1,BF130=0,EH_Ready,N(AB130)&gt;0,N(AI130)&gt;0,N(AK130)&gt;0),COUNT($BH$5:BH129)+1,"")</f>
        <v/>
      </c>
      <c r="BI130" s="11" t="str">
        <f aca="false">IF(AND(AO130=1,OR(LEFT(AM130,3)="ADD",LEFT(AM130,3)="SET",LEFT(AM130,5)="CHECK",LEFT(AM130,10)="TERMINATED")),COUNT($BI$5:BI129)+1,"")</f>
        <v/>
      </c>
      <c r="BJ130" s="11" t="str">
        <f aca="false">IF(AO130=0,"",$A130&amp;" - "&amp;$B130&amp;" "&amp;$C130)</f>
        <v/>
      </c>
    </row>
    <row r="131" customFormat="false" ht="15" hidden="false" customHeight="false" outlineLevel="0" collapsed="false">
      <c r="A131" s="10"/>
      <c r="B131" s="10"/>
      <c r="C131" s="10"/>
      <c r="D131" s="10"/>
      <c r="E131" s="9"/>
      <c r="F131" s="10"/>
      <c r="G131" s="30"/>
      <c r="H131" s="9"/>
      <c r="I131" s="10"/>
      <c r="J131" s="30"/>
      <c r="K131" s="9"/>
      <c r="L131" s="10"/>
      <c r="M131" s="30"/>
      <c r="N131" s="9"/>
      <c r="O131" s="9"/>
      <c r="P131" s="30"/>
      <c r="Q131" s="9"/>
      <c r="R131" s="10"/>
      <c r="S131" s="11" t="str">
        <f aca="false">IF(AO131=0,"",IF($H131="","",$F131&amp;" -&gt; "&amp;$I131&amp;IF($I131="Part-Time"," ("&amp;N($J131)&amp;" hrs)","")&amp;" on "&amp;TEXT($H131,"dd/mm/yyyy")&amp;IF($H131&gt;AsOfDate," (FUTURE)","")&amp;IF($K131="","","; "&amp;$I131&amp;" -&gt; "&amp;$L131&amp;IF($L131="Part-Time"," ("&amp;N($M131)&amp;" hrs)","")&amp;" on "&amp;TEXT($K131,"dd/mm/yyyy")&amp;IF($K131&gt;AsOfDate," (FUTURE)",""))))</f>
        <v/>
      </c>
      <c r="T131" s="11" t="str">
        <f aca="false">IF(AO131=0,"",IF(AS131&lt;&gt;"",$L131,IF(AR131&lt;&gt;"",$I131,$F131)))</f>
        <v/>
      </c>
      <c r="U131" s="26" t="str">
        <f aca="false">IF(AO131=0,"",IF(AS131&lt;&gt;"",$M131,IF(AR131&lt;&gt;"",$J131,$G131)))</f>
        <v/>
      </c>
      <c r="V131" s="11" t="str">
        <f aca="false">IF(AO131=0,"",IF(AY131="FT","Full-Time",IF(AY131="PT","Part-Time","Not eligible")))</f>
        <v/>
      </c>
      <c r="W131" s="27" t="str">
        <f aca="false">IF(AO131=0,"",IF(AR131="",IF(AND($H131&lt;&gt;"",$H131&gt;AsOfDate),"Future change - not yet applied",""),IF(AND(AV131=AY131,OR(AS131="",AW131=AV131)),"Type changed - same accrual pathway",IF(AY131="None","STOPPED accruing from "&amp;TEXT(IF(AS131&lt;&gt;"",AS131,AR131),"dd/mm/yyyy"),IF(AV131="None","STARTED qualifying from "&amp;TEXT(IF(AS131&lt;&gt;"",AS131,AR131),"dd/mm/yyyy"),"Pathway changed "&amp;AV131&amp;" -&gt; "&amp;AW131&amp;IF(AS131&lt;&gt;""," -&gt; "&amp;AX131,"")&amp;" from "&amp;TEXT(IF(AS131&lt;&gt;"",AS131,AR131),"dd/mm/yyyy"))))))</f>
        <v/>
      </c>
      <c r="X131" s="28" t="str">
        <f aca="false">IF(AO131=0,"",IF($Q131="",AsOfDate,MIN(AsOfDate,$Q131)))</f>
        <v/>
      </c>
      <c r="Y131" s="26" t="str">
        <f aca="false">IF(AO131=0,"",MAX(0,AQ131))</f>
        <v/>
      </c>
      <c r="Z131" s="11" t="str">
        <f aca="false">IF(AO131=0,"",IF(AQ131&lt;0,"Not started",INT(AQ131/12)&amp;"y "&amp;MOD(AQ131,12)&amp;"m"))</f>
        <v/>
      </c>
      <c r="AA131" s="27" t="str">
        <f aca="false">IF(AO131=0,"",IF(BF131=1,"Terminated - balance forfeited",IF(AY131="None",IF(AB131&gt;0,"No longer accruing - "&amp;T131,"Not eligible - "&amp;T131&amp;IF(AND(IFERROR(VLOOKUP(T131,TypeTable,2,0),"None")="PT",N(U131)&lt;PT_MinHours)," (under "&amp;PT_MinHours&amp;" hrs)","")),IF(AB131&gt;0,"Yes - accruing","Not yet - qualifies "&amp;TEXT(AD131,"dd/mm/yyyy")))))</f>
        <v/>
      </c>
      <c r="AB131" s="26" t="str">
        <f aca="false">IF(AO131=0,"",AZ131+IF(AR131="",0,BB131-BA131)+IF(AS131="",0,BD131-BC131))</f>
        <v/>
      </c>
      <c r="AC131" s="26" t="str">
        <f aca="false">IF(AO131=0,"",AB131*HoursPerDay)</f>
        <v/>
      </c>
      <c r="AD131" s="28" t="str">
        <f aca="false">IF(AO131=0,"",IF(OR(BF131=1,AY131="None"),"",EDATE($E131+AP131,BE131)))</f>
        <v/>
      </c>
      <c r="AE131" s="26" t="str">
        <f aca="false">IF(AD131="","",IF(AY131="PT",1,IF(BE131&lt;FT_Y5,1,IF(MOD(BE131-FT_Y5,12)=0,FT_AnnivDays,1))))</f>
        <v/>
      </c>
      <c r="AF131" s="27" t="str">
        <f aca="false">IF(AO131=0,"",IF(NOT(EH_Ready),"Map headers",IF(IF(MatchMode="Employee ID",COUNTIFS(INDEX(EH_Data,0,EH_ColID),$A131,INDEX(EH_Data,0,EH_ColCat),BonusCat),COUNTIFS(INDEX(EH_Data,0,EH_ColFirst),$B131,INDEX(EH_Data,0,EH_ColSur),$C131,INDEX(EH_Data,0,EH_ColCat),BonusCat))&gt;0,"Yes","No")))</f>
        <v/>
      </c>
      <c r="AG131" s="26" t="str">
        <f aca="false">IF(AO131=0,"",IF(NOT(EH_Ready),"",IF(MatchMode="Employee ID",SUMIFS(INDEX(EH_Data,0,EH_ColBal),INDEX(EH_Data,0,EH_ColID),$A131,INDEX(EH_Data,0,EH_ColCat),BonusCat),SUMIFS(INDEX(EH_Data,0,EH_ColBal),INDEX(EH_Data,0,EH_ColFirst),$B131,INDEX(EH_Data,0,EH_ColSur),$C131,INDEX(EH_Data,0,EH_ColCat),BonusCat))/IF(EHUnit="Hours",HoursPerDay,1)))</f>
        <v/>
      </c>
      <c r="AH131" s="26" t="str">
        <f aca="false">IF(AO131=0,"",IF(NOT(TK_Ready),0,IF(MatchMode="Employee ID",SUMIFS(INDEX(TK_Data,0,TK_ColAmt),INDEX(TK_Data,0,TK_ColID),$A131,INDEX(TK_Data,0,TK_ColCat),BonusCat),SUMIFS(INDEX(TK_Data,0,TK_ColAmt),INDEX(TK_Data,0,TK_ColFirst),$B131,INDEX(TK_Data,0,TK_ColSur),$C131,INDEX(TK_Data,0,TK_ColCat),BonusCat))/IF(TKUnit="Hours",HoursPerDay,1)))</f>
        <v/>
      </c>
      <c r="AI131" s="26" t="str">
        <f aca="false">IF(AO131=0,"",N(AG131)+N(AH131))</f>
        <v/>
      </c>
      <c r="AJ131" s="29" t="str">
        <f aca="false">IF(AO131=0,"",IF(NOT(AND(EH_Ready,EH_ValReady)),"",IF(MatchMode="Employee ID",SUMIFS(INDEX(EH_Data,0,EH_ColVal),INDEX(EH_Data,0,EH_ColID),$A131,INDEX(EH_Data,0,EH_ColCat),BonusCat),SUMIFS(INDEX(EH_Data,0,EH_ColVal),INDEX(EH_Data,0,EH_ColFirst),$B131,INDEX(EH_Data,0,EH_ColSur),$C131,INDEX(EH_Data,0,EH_ColCat),BonusCat))))</f>
        <v/>
      </c>
      <c r="AK131" s="26" t="str">
        <f aca="false">IF(AO131=0,"",IF(OR(NOT(EH_Ready),BF131=1),"",AB131-AI131))</f>
        <v/>
      </c>
      <c r="AL131" s="26" t="str">
        <f aca="false">IF(AK131="","",AK131*HoursPerDay)</f>
        <v/>
      </c>
      <c r="AM131" s="27" t="str">
        <f aca="false">IF(AO131=0,"",IF(BF131=1,IF(N(AG131)&gt;0,"TERMINATED - forfeit "&amp;TEXT(AG131,"0.##")&amp;" days still in EH","Terminated - nothing in EH"),IF(NOT(EH_Ready),"Paste EH export and map headers on Settings",IF(AND(AB131&gt;0,AF131="No"),"SET UP in EH - add "&amp;TEXT(AB131,"0.##")&amp;" day(s) ("&amp;TEXT(AC131,"0.##")&amp;" hrs)",IF(AK131&gt;0,"ADD "&amp;TEXT(AK131,"0.##")&amp;" day(s) ("&amp;TEXT(AL131,"0.##")&amp;" hrs) in EH",IF(AK131&lt;0,"CHECK - EH shows "&amp;TEXT(-AK131,"0.##")&amp;" days more than policy",IF(AB131&gt;0,"OK - up to date",IF(AY131="None","No action - not eligible","No action - not yet qualified"))))))))</f>
        <v/>
      </c>
      <c r="AN131" s="27" t="str">
        <f aca="false">IF(AO131=0,"",TRIM(IF(AND($K131&lt;&gt;"",$H131=""),"Change 2 entered without Change 1. ","")&amp;IF(AND($K131&lt;&gt;"",$H131&lt;&gt;"",$K131&lt;=$H131),"Change 2 date not after Change 1. ","")&amp;IF(AND($N131&lt;&gt;"",$O131&lt;&gt;"",$O131&lt;$N131),"Leave To is before Leave From. ","")&amp;IF(AND($N131&lt;&gt;"",$O131=""),"Leave From entered without Leave To. ","")&amp;IF(AND(IFERROR(VLOOKUP(T131,TypeTable,2,0),"None")="PT",U131=""),"Part-time with no hours entered. ","")&amp;IF(AND($H131&lt;&gt;"",$H131&gt;AsOfDate,AD131&lt;&gt;"",$H131&lt;=AD131),"Status change lands before next accrual - review. ","")&amp;IF(AND($Q131&lt;&gt;"",$Q131&lt;$E131),"Termination before commencement. ","")))</f>
        <v/>
      </c>
      <c r="AO131" s="11" t="n">
        <f aca="false">IF(LEN($A131&amp;$B131&amp;$C131)=0,0,IF($E131="",0,1))</f>
        <v>0</v>
      </c>
      <c r="AP131" s="11" t="str">
        <f aca="false">IF(AO131=0,"",(IF(OR($N131="",$O131=""),0,MAX(0,MIN(X131,$O131)-MAX($N131,$E131)+1))+N($P131)))</f>
        <v/>
      </c>
      <c r="AQ131" s="11" t="str">
        <f aca="false">IF(AO131=0,"",IF(X131&lt;($E131+(IF(OR($N131="",$O131=""),0,MAX(0,MIN(X131,$O131)-MAX($N131,$E131)+1))+N($P131))),-1,12*(YEAR(X131)-YEAR(($E131+(IF(OR($N131="",$O131=""),0,MAX(0,MIN(X131,$O131)-MAX($N131,$E131)+1))+N($P131)))))+MONTH(X131)-MONTH(($E131+(IF(OR($N131="",$O131=""),0,MAX(0,MIN(X131,$O131)-MAX($N131,$E131)+1))+N($P131))))-IF(DAY(X131)&lt;MIN(DAY(($E131+(IF(OR($N131="",$O131=""),0,MAX(0,MIN(X131,$O131)-MAX($N131,$E131)+1))+N($P131)))),DAY(EOMONTH(X131,0))),1,0)))</f>
        <v/>
      </c>
      <c r="AR131" s="28" t="str">
        <f aca="false">IF(AO131=0,"",IF($H131="","",IF($H131&gt;X131,"",$H131)))</f>
        <v/>
      </c>
      <c r="AS131" s="28" t="str">
        <f aca="false">IF(AO131=0,"",IF(AR131="","",IF($K131="","",IF($K131&gt;X131,"",$K131))))</f>
        <v/>
      </c>
      <c r="AT131" s="11" t="str">
        <f aca="false">IF(AO131=0,"",IF(AR131="",AQ131,IF((AR131-1)&lt;($E131+(IF(OR($N131="",$O131=""),0,MAX(0,MIN((AR131-1),$O131)-MAX($N131,$E131)+1))+N($P131))),-1,12*(YEAR((AR131-1))-YEAR(($E131+(IF(OR($N131="",$O131=""),0,MAX(0,MIN((AR131-1),$O131)-MAX($N131,$E131)+1))+N($P131)))))+MONTH((AR131-1))-MONTH(($E131+(IF(OR($N131="",$O131=""),0,MAX(0,MIN((AR131-1),$O131)-MAX($N131,$E131)+1))+N($P131))))-IF(DAY((AR131-1))&lt;MIN(DAY(($E131+(IF(OR($N131="",$O131=""),0,MAX(0,MIN((AR131-1),$O131)-MAX($N131,$E131)+1))+N($P131)))),DAY(EOMONTH((AR131-1),0))),1,0))))</f>
        <v/>
      </c>
      <c r="AU131" s="11" t="str">
        <f aca="false">IF(AO131=0,"",IF(AS131="",AQ131,IF((AS131-1)&lt;($E131+(IF(OR($N131="",$O131=""),0,MAX(0,MIN((AS131-1),$O131)-MAX($N131,$E131)+1))+N($P131))),-1,12*(YEAR((AS131-1))-YEAR(($E131+(IF(OR($N131="",$O131=""),0,MAX(0,MIN((AS131-1),$O131)-MAX($N131,$E131)+1))+N($P131)))))+MONTH((AS131-1))-MONTH(($E131+(IF(OR($N131="",$O131=""),0,MAX(0,MIN((AS131-1),$O131)-MAX($N131,$E131)+1))+N($P131))))-IF(DAY((AS131-1))&lt;MIN(DAY(($E131+(IF(OR($N131="",$O131=""),0,MAX(0,MIN((AS131-1),$O131)-MAX($N131,$E131)+1))+N($P131)))),DAY(EOMONTH((AS131-1),0))),1,0))))</f>
        <v/>
      </c>
      <c r="AV131" s="11" t="str">
        <f aca="false">IF(AO131=0,"",IF($F131="","None",IF(IFERROR(VLOOKUP($F131,TypeTable,2,0),"None")="PT",IF(N($G131)&gt;=PT_MinHours,"PT","None"),IFERROR(VLOOKUP($F131,TypeTable,2,0),"None"))))</f>
        <v/>
      </c>
      <c r="AW131" s="11" t="str">
        <f aca="false">IF(AO131=0,"",IF($I131="","None",IF(IFERROR(VLOOKUP($I131,TypeTable,2,0),"None")="PT",IF(N($J131)&gt;=PT_MinHours,"PT","None"),IFERROR(VLOOKUP($I131,TypeTable,2,0),"None"))))</f>
        <v/>
      </c>
      <c r="AX131" s="11" t="str">
        <f aca="false">IF(AO131=0,"",IF($L131="","None",IF(IFERROR(VLOOKUP($L131,TypeTable,2,0),"None")="PT",IF(N($M131)&gt;=PT_MinHours,"PT","None"),IFERROR(VLOOKUP($L131,TypeTable,2,0),"None"))))</f>
        <v/>
      </c>
      <c r="AY131" s="11" t="str">
        <f aca="false">IF(AO131=0,"",IF(AS131&lt;&gt;"",AX131,IF(AR131&lt;&gt;"",AW131,AV131)))</f>
        <v/>
      </c>
      <c r="AZ131" s="11" t="str">
        <f aca="false">IF(AO131=0,"",IF(AV131="FT",IF(AT131&lt;FT_First,0,IF(AT131&lt;FT_Y5,1+INT((AT131-FT_First)/FT_Int1),FT_PreY5+FT_PerYear*INT((AT131-FT_Y5)/12)+FT_AnnivDays+INT(MOD(AT131-FT_Y5,12)/FT_Int2))),IF(AV131="PT",IF(AT131&lt;PT_First,0,1+INT((AT131-PT_First)/PT_Int)),0)))</f>
        <v/>
      </c>
      <c r="BA131" s="11" t="str">
        <f aca="false">IF(AO131=0,"",IF(AW131="FT",IF(AT131&lt;FT_First,0,IF(AT131&lt;FT_Y5,1+INT((AT131-FT_First)/FT_Int1),FT_PreY5+FT_PerYear*INT((AT131-FT_Y5)/12)+FT_AnnivDays+INT(MOD(AT131-FT_Y5,12)/FT_Int2))),IF(AW131="PT",IF(AT131&lt;PT_First,0,1+INT((AT131-PT_First)/PT_Int)),0)))</f>
        <v/>
      </c>
      <c r="BB131" s="11" t="str">
        <f aca="false">IF(AO131=0,"",IF(AW131="FT",IF(AU131&lt;FT_First,0,IF(AU131&lt;FT_Y5,1+INT((AU131-FT_First)/FT_Int1),FT_PreY5+FT_PerYear*INT((AU131-FT_Y5)/12)+FT_AnnivDays+INT(MOD(AU131-FT_Y5,12)/FT_Int2))),IF(AW131="PT",IF(AU131&lt;PT_First,0,1+INT((AU131-PT_First)/PT_Int)),0)))</f>
        <v/>
      </c>
      <c r="BC131" s="11" t="str">
        <f aca="false">IF(AO131=0,"",IF(AX131="FT",IF(AU131&lt;FT_First,0,IF(AU131&lt;FT_Y5,1+INT((AU131-FT_First)/FT_Int1),FT_PreY5+FT_PerYear*INT((AU131-FT_Y5)/12)+FT_AnnivDays+INT(MOD(AU131-FT_Y5,12)/FT_Int2))),IF(AX131="PT",IF(AU131&lt;PT_First,0,1+INT((AU131-PT_First)/PT_Int)),0)))</f>
        <v/>
      </c>
      <c r="BD131" s="11" t="str">
        <f aca="false">IF(AO131=0,"",IF(AX131="FT",IF(AQ131&lt;FT_First,0,IF(AQ131&lt;FT_Y5,1+INT((AQ131-FT_First)/FT_Int1),FT_PreY5+FT_PerYear*INT((AQ131-FT_Y5)/12)+FT_AnnivDays+INT(MOD(AQ131-FT_Y5,12)/FT_Int2))),IF(AX131="PT",IF(AQ131&lt;PT_First,0,1+INT((AQ131-PT_First)/PT_Int)),0)))</f>
        <v/>
      </c>
      <c r="BE131" s="11" t="str">
        <f aca="false">IF(AO131=0,"",IF(AY131="FT",IF(AQ131&lt;FT_First,FT_First,IF(AQ131&lt;FT_Y5,MIN(FT_Y5,FT_First+FT_Int1*(INT((AQ131-FT_First)/FT_Int1)+1)),FT_Y5+12*INT((AQ131-FT_Y5)/12)+FT_Int2*(INT(MOD(AQ131-FT_Y5,12)/FT_Int2)+1))),IF(AY131="PT",IF(AQ131&lt;PT_First,PT_First,PT_First+PT_Int*(INT((AQ131-PT_First)/PT_Int)+1)),"")))</f>
        <v/>
      </c>
      <c r="BF131" s="11" t="n">
        <f aca="false">IF(AO131=0,0,IF(AND($Q131&lt;&gt;"",$Q131&lt;=AsOfDate),1,0))</f>
        <v>0</v>
      </c>
      <c r="BG131" s="11" t="str">
        <f aca="false">IF(AND(AO131=1,BF131=0,EH_Ready,N(AB131)&gt;0,N(AI131)=0),COUNT($BG$5:BG130)+1,"")</f>
        <v/>
      </c>
      <c r="BH131" s="11" t="str">
        <f aca="false">IF(AND(AO131=1,BF131=0,EH_Ready,N(AB131)&gt;0,N(AI131)&gt;0,N(AK131)&gt;0),COUNT($BH$5:BH130)+1,"")</f>
        <v/>
      </c>
      <c r="BI131" s="11" t="str">
        <f aca="false">IF(AND(AO131=1,OR(LEFT(AM131,3)="ADD",LEFT(AM131,3)="SET",LEFT(AM131,5)="CHECK",LEFT(AM131,10)="TERMINATED")),COUNT($BI$5:BI130)+1,"")</f>
        <v/>
      </c>
      <c r="BJ131" s="11" t="str">
        <f aca="false">IF(AO131=0,"",$A131&amp;" - "&amp;$B131&amp;" "&amp;$C131)</f>
        <v/>
      </c>
    </row>
    <row r="132" customFormat="false" ht="15" hidden="false" customHeight="false" outlineLevel="0" collapsed="false">
      <c r="A132" s="10"/>
      <c r="B132" s="10"/>
      <c r="C132" s="10"/>
      <c r="D132" s="10"/>
      <c r="E132" s="9"/>
      <c r="F132" s="10"/>
      <c r="G132" s="30"/>
      <c r="H132" s="9"/>
      <c r="I132" s="10"/>
      <c r="J132" s="30"/>
      <c r="K132" s="9"/>
      <c r="L132" s="10"/>
      <c r="M132" s="30"/>
      <c r="N132" s="9"/>
      <c r="O132" s="9"/>
      <c r="P132" s="30"/>
      <c r="Q132" s="9"/>
      <c r="R132" s="10"/>
      <c r="S132" s="11" t="str">
        <f aca="false">IF(AO132=0,"",IF($H132="","",$F132&amp;" -&gt; "&amp;$I132&amp;IF($I132="Part-Time"," ("&amp;N($J132)&amp;" hrs)","")&amp;" on "&amp;TEXT($H132,"dd/mm/yyyy")&amp;IF($H132&gt;AsOfDate," (FUTURE)","")&amp;IF($K132="","","; "&amp;$I132&amp;" -&gt; "&amp;$L132&amp;IF($L132="Part-Time"," ("&amp;N($M132)&amp;" hrs)","")&amp;" on "&amp;TEXT($K132,"dd/mm/yyyy")&amp;IF($K132&gt;AsOfDate," (FUTURE)",""))))</f>
        <v/>
      </c>
      <c r="T132" s="11" t="str">
        <f aca="false">IF(AO132=0,"",IF(AS132&lt;&gt;"",$L132,IF(AR132&lt;&gt;"",$I132,$F132)))</f>
        <v/>
      </c>
      <c r="U132" s="26" t="str">
        <f aca="false">IF(AO132=0,"",IF(AS132&lt;&gt;"",$M132,IF(AR132&lt;&gt;"",$J132,$G132)))</f>
        <v/>
      </c>
      <c r="V132" s="11" t="str">
        <f aca="false">IF(AO132=0,"",IF(AY132="FT","Full-Time",IF(AY132="PT","Part-Time","Not eligible")))</f>
        <v/>
      </c>
      <c r="W132" s="27" t="str">
        <f aca="false">IF(AO132=0,"",IF(AR132="",IF(AND($H132&lt;&gt;"",$H132&gt;AsOfDate),"Future change - not yet applied",""),IF(AND(AV132=AY132,OR(AS132="",AW132=AV132)),"Type changed - same accrual pathway",IF(AY132="None","STOPPED accruing from "&amp;TEXT(IF(AS132&lt;&gt;"",AS132,AR132),"dd/mm/yyyy"),IF(AV132="None","STARTED qualifying from "&amp;TEXT(IF(AS132&lt;&gt;"",AS132,AR132),"dd/mm/yyyy"),"Pathway changed "&amp;AV132&amp;" -&gt; "&amp;AW132&amp;IF(AS132&lt;&gt;""," -&gt; "&amp;AX132,"")&amp;" from "&amp;TEXT(IF(AS132&lt;&gt;"",AS132,AR132),"dd/mm/yyyy"))))))</f>
        <v/>
      </c>
      <c r="X132" s="28" t="str">
        <f aca="false">IF(AO132=0,"",IF($Q132="",AsOfDate,MIN(AsOfDate,$Q132)))</f>
        <v/>
      </c>
      <c r="Y132" s="26" t="str">
        <f aca="false">IF(AO132=0,"",MAX(0,AQ132))</f>
        <v/>
      </c>
      <c r="Z132" s="11" t="str">
        <f aca="false">IF(AO132=0,"",IF(AQ132&lt;0,"Not started",INT(AQ132/12)&amp;"y "&amp;MOD(AQ132,12)&amp;"m"))</f>
        <v/>
      </c>
      <c r="AA132" s="27" t="str">
        <f aca="false">IF(AO132=0,"",IF(BF132=1,"Terminated - balance forfeited",IF(AY132="None",IF(AB132&gt;0,"No longer accruing - "&amp;T132,"Not eligible - "&amp;T132&amp;IF(AND(IFERROR(VLOOKUP(T132,TypeTable,2,0),"None")="PT",N(U132)&lt;PT_MinHours)," (under "&amp;PT_MinHours&amp;" hrs)","")),IF(AB132&gt;0,"Yes - accruing","Not yet - qualifies "&amp;TEXT(AD132,"dd/mm/yyyy")))))</f>
        <v/>
      </c>
      <c r="AB132" s="26" t="str">
        <f aca="false">IF(AO132=0,"",AZ132+IF(AR132="",0,BB132-BA132)+IF(AS132="",0,BD132-BC132))</f>
        <v/>
      </c>
      <c r="AC132" s="26" t="str">
        <f aca="false">IF(AO132=0,"",AB132*HoursPerDay)</f>
        <v/>
      </c>
      <c r="AD132" s="28" t="str">
        <f aca="false">IF(AO132=0,"",IF(OR(BF132=1,AY132="None"),"",EDATE($E132+AP132,BE132)))</f>
        <v/>
      </c>
      <c r="AE132" s="26" t="str">
        <f aca="false">IF(AD132="","",IF(AY132="PT",1,IF(BE132&lt;FT_Y5,1,IF(MOD(BE132-FT_Y5,12)=0,FT_AnnivDays,1))))</f>
        <v/>
      </c>
      <c r="AF132" s="27" t="str">
        <f aca="false">IF(AO132=0,"",IF(NOT(EH_Ready),"Map headers",IF(IF(MatchMode="Employee ID",COUNTIFS(INDEX(EH_Data,0,EH_ColID),$A132,INDEX(EH_Data,0,EH_ColCat),BonusCat),COUNTIFS(INDEX(EH_Data,0,EH_ColFirst),$B132,INDEX(EH_Data,0,EH_ColSur),$C132,INDEX(EH_Data,0,EH_ColCat),BonusCat))&gt;0,"Yes","No")))</f>
        <v/>
      </c>
      <c r="AG132" s="26" t="str">
        <f aca="false">IF(AO132=0,"",IF(NOT(EH_Ready),"",IF(MatchMode="Employee ID",SUMIFS(INDEX(EH_Data,0,EH_ColBal),INDEX(EH_Data,0,EH_ColID),$A132,INDEX(EH_Data,0,EH_ColCat),BonusCat),SUMIFS(INDEX(EH_Data,0,EH_ColBal),INDEX(EH_Data,0,EH_ColFirst),$B132,INDEX(EH_Data,0,EH_ColSur),$C132,INDEX(EH_Data,0,EH_ColCat),BonusCat))/IF(EHUnit="Hours",HoursPerDay,1)))</f>
        <v/>
      </c>
      <c r="AH132" s="26" t="str">
        <f aca="false">IF(AO132=0,"",IF(NOT(TK_Ready),0,IF(MatchMode="Employee ID",SUMIFS(INDEX(TK_Data,0,TK_ColAmt),INDEX(TK_Data,0,TK_ColID),$A132,INDEX(TK_Data,0,TK_ColCat),BonusCat),SUMIFS(INDEX(TK_Data,0,TK_ColAmt),INDEX(TK_Data,0,TK_ColFirst),$B132,INDEX(TK_Data,0,TK_ColSur),$C132,INDEX(TK_Data,0,TK_ColCat),BonusCat))/IF(TKUnit="Hours",HoursPerDay,1)))</f>
        <v/>
      </c>
      <c r="AI132" s="26" t="str">
        <f aca="false">IF(AO132=0,"",N(AG132)+N(AH132))</f>
        <v/>
      </c>
      <c r="AJ132" s="29" t="str">
        <f aca="false">IF(AO132=0,"",IF(NOT(AND(EH_Ready,EH_ValReady)),"",IF(MatchMode="Employee ID",SUMIFS(INDEX(EH_Data,0,EH_ColVal),INDEX(EH_Data,0,EH_ColID),$A132,INDEX(EH_Data,0,EH_ColCat),BonusCat),SUMIFS(INDEX(EH_Data,0,EH_ColVal),INDEX(EH_Data,0,EH_ColFirst),$B132,INDEX(EH_Data,0,EH_ColSur),$C132,INDEX(EH_Data,0,EH_ColCat),BonusCat))))</f>
        <v/>
      </c>
      <c r="AK132" s="26" t="str">
        <f aca="false">IF(AO132=0,"",IF(OR(NOT(EH_Ready),BF132=1),"",AB132-AI132))</f>
        <v/>
      </c>
      <c r="AL132" s="26" t="str">
        <f aca="false">IF(AK132="","",AK132*HoursPerDay)</f>
        <v/>
      </c>
      <c r="AM132" s="27" t="str">
        <f aca="false">IF(AO132=0,"",IF(BF132=1,IF(N(AG132)&gt;0,"TERMINATED - forfeit "&amp;TEXT(AG132,"0.##")&amp;" days still in EH","Terminated - nothing in EH"),IF(NOT(EH_Ready),"Paste EH export and map headers on Settings",IF(AND(AB132&gt;0,AF132="No"),"SET UP in EH - add "&amp;TEXT(AB132,"0.##")&amp;" day(s) ("&amp;TEXT(AC132,"0.##")&amp;" hrs)",IF(AK132&gt;0,"ADD "&amp;TEXT(AK132,"0.##")&amp;" day(s) ("&amp;TEXT(AL132,"0.##")&amp;" hrs) in EH",IF(AK132&lt;0,"CHECK - EH shows "&amp;TEXT(-AK132,"0.##")&amp;" days more than policy",IF(AB132&gt;0,"OK - up to date",IF(AY132="None","No action - not eligible","No action - not yet qualified"))))))))</f>
        <v/>
      </c>
      <c r="AN132" s="27" t="str">
        <f aca="false">IF(AO132=0,"",TRIM(IF(AND($K132&lt;&gt;"",$H132=""),"Change 2 entered without Change 1. ","")&amp;IF(AND($K132&lt;&gt;"",$H132&lt;&gt;"",$K132&lt;=$H132),"Change 2 date not after Change 1. ","")&amp;IF(AND($N132&lt;&gt;"",$O132&lt;&gt;"",$O132&lt;$N132),"Leave To is before Leave From. ","")&amp;IF(AND($N132&lt;&gt;"",$O132=""),"Leave From entered without Leave To. ","")&amp;IF(AND(IFERROR(VLOOKUP(T132,TypeTable,2,0),"None")="PT",U132=""),"Part-time with no hours entered. ","")&amp;IF(AND($H132&lt;&gt;"",$H132&gt;AsOfDate,AD132&lt;&gt;"",$H132&lt;=AD132),"Status change lands before next accrual - review. ","")&amp;IF(AND($Q132&lt;&gt;"",$Q132&lt;$E132),"Termination before commencement. ","")))</f>
        <v/>
      </c>
      <c r="AO132" s="11" t="n">
        <f aca="false">IF(LEN($A132&amp;$B132&amp;$C132)=0,0,IF($E132="",0,1))</f>
        <v>0</v>
      </c>
      <c r="AP132" s="11" t="str">
        <f aca="false">IF(AO132=0,"",(IF(OR($N132="",$O132=""),0,MAX(0,MIN(X132,$O132)-MAX($N132,$E132)+1))+N($P132)))</f>
        <v/>
      </c>
      <c r="AQ132" s="11" t="str">
        <f aca="false">IF(AO132=0,"",IF(X132&lt;($E132+(IF(OR($N132="",$O132=""),0,MAX(0,MIN(X132,$O132)-MAX($N132,$E132)+1))+N($P132))),-1,12*(YEAR(X132)-YEAR(($E132+(IF(OR($N132="",$O132=""),0,MAX(0,MIN(X132,$O132)-MAX($N132,$E132)+1))+N($P132)))))+MONTH(X132)-MONTH(($E132+(IF(OR($N132="",$O132=""),0,MAX(0,MIN(X132,$O132)-MAX($N132,$E132)+1))+N($P132))))-IF(DAY(X132)&lt;MIN(DAY(($E132+(IF(OR($N132="",$O132=""),0,MAX(0,MIN(X132,$O132)-MAX($N132,$E132)+1))+N($P132)))),DAY(EOMONTH(X132,0))),1,0)))</f>
        <v/>
      </c>
      <c r="AR132" s="28" t="str">
        <f aca="false">IF(AO132=0,"",IF($H132="","",IF($H132&gt;X132,"",$H132)))</f>
        <v/>
      </c>
      <c r="AS132" s="28" t="str">
        <f aca="false">IF(AO132=0,"",IF(AR132="","",IF($K132="","",IF($K132&gt;X132,"",$K132))))</f>
        <v/>
      </c>
      <c r="AT132" s="11" t="str">
        <f aca="false">IF(AO132=0,"",IF(AR132="",AQ132,IF((AR132-1)&lt;($E132+(IF(OR($N132="",$O132=""),0,MAX(0,MIN((AR132-1),$O132)-MAX($N132,$E132)+1))+N($P132))),-1,12*(YEAR((AR132-1))-YEAR(($E132+(IF(OR($N132="",$O132=""),0,MAX(0,MIN((AR132-1),$O132)-MAX($N132,$E132)+1))+N($P132)))))+MONTH((AR132-1))-MONTH(($E132+(IF(OR($N132="",$O132=""),0,MAX(0,MIN((AR132-1),$O132)-MAX($N132,$E132)+1))+N($P132))))-IF(DAY((AR132-1))&lt;MIN(DAY(($E132+(IF(OR($N132="",$O132=""),0,MAX(0,MIN((AR132-1),$O132)-MAX($N132,$E132)+1))+N($P132)))),DAY(EOMONTH((AR132-1),0))),1,0))))</f>
        <v/>
      </c>
      <c r="AU132" s="11" t="str">
        <f aca="false">IF(AO132=0,"",IF(AS132="",AQ132,IF((AS132-1)&lt;($E132+(IF(OR($N132="",$O132=""),0,MAX(0,MIN((AS132-1),$O132)-MAX($N132,$E132)+1))+N($P132))),-1,12*(YEAR((AS132-1))-YEAR(($E132+(IF(OR($N132="",$O132=""),0,MAX(0,MIN((AS132-1),$O132)-MAX($N132,$E132)+1))+N($P132)))))+MONTH((AS132-1))-MONTH(($E132+(IF(OR($N132="",$O132=""),0,MAX(0,MIN((AS132-1),$O132)-MAX($N132,$E132)+1))+N($P132))))-IF(DAY((AS132-1))&lt;MIN(DAY(($E132+(IF(OR($N132="",$O132=""),0,MAX(0,MIN((AS132-1),$O132)-MAX($N132,$E132)+1))+N($P132)))),DAY(EOMONTH((AS132-1),0))),1,0))))</f>
        <v/>
      </c>
      <c r="AV132" s="11" t="str">
        <f aca="false">IF(AO132=0,"",IF($F132="","None",IF(IFERROR(VLOOKUP($F132,TypeTable,2,0),"None")="PT",IF(N($G132)&gt;=PT_MinHours,"PT","None"),IFERROR(VLOOKUP($F132,TypeTable,2,0),"None"))))</f>
        <v/>
      </c>
      <c r="AW132" s="11" t="str">
        <f aca="false">IF(AO132=0,"",IF($I132="","None",IF(IFERROR(VLOOKUP($I132,TypeTable,2,0),"None")="PT",IF(N($J132)&gt;=PT_MinHours,"PT","None"),IFERROR(VLOOKUP($I132,TypeTable,2,0),"None"))))</f>
        <v/>
      </c>
      <c r="AX132" s="11" t="str">
        <f aca="false">IF(AO132=0,"",IF($L132="","None",IF(IFERROR(VLOOKUP($L132,TypeTable,2,0),"None")="PT",IF(N($M132)&gt;=PT_MinHours,"PT","None"),IFERROR(VLOOKUP($L132,TypeTable,2,0),"None"))))</f>
        <v/>
      </c>
      <c r="AY132" s="11" t="str">
        <f aca="false">IF(AO132=0,"",IF(AS132&lt;&gt;"",AX132,IF(AR132&lt;&gt;"",AW132,AV132)))</f>
        <v/>
      </c>
      <c r="AZ132" s="11" t="str">
        <f aca="false">IF(AO132=0,"",IF(AV132="FT",IF(AT132&lt;FT_First,0,IF(AT132&lt;FT_Y5,1+INT((AT132-FT_First)/FT_Int1),FT_PreY5+FT_PerYear*INT((AT132-FT_Y5)/12)+FT_AnnivDays+INT(MOD(AT132-FT_Y5,12)/FT_Int2))),IF(AV132="PT",IF(AT132&lt;PT_First,0,1+INT((AT132-PT_First)/PT_Int)),0)))</f>
        <v/>
      </c>
      <c r="BA132" s="11" t="str">
        <f aca="false">IF(AO132=0,"",IF(AW132="FT",IF(AT132&lt;FT_First,0,IF(AT132&lt;FT_Y5,1+INT((AT132-FT_First)/FT_Int1),FT_PreY5+FT_PerYear*INT((AT132-FT_Y5)/12)+FT_AnnivDays+INT(MOD(AT132-FT_Y5,12)/FT_Int2))),IF(AW132="PT",IF(AT132&lt;PT_First,0,1+INT((AT132-PT_First)/PT_Int)),0)))</f>
        <v/>
      </c>
      <c r="BB132" s="11" t="str">
        <f aca="false">IF(AO132=0,"",IF(AW132="FT",IF(AU132&lt;FT_First,0,IF(AU132&lt;FT_Y5,1+INT((AU132-FT_First)/FT_Int1),FT_PreY5+FT_PerYear*INT((AU132-FT_Y5)/12)+FT_AnnivDays+INT(MOD(AU132-FT_Y5,12)/FT_Int2))),IF(AW132="PT",IF(AU132&lt;PT_First,0,1+INT((AU132-PT_First)/PT_Int)),0)))</f>
        <v/>
      </c>
      <c r="BC132" s="11" t="str">
        <f aca="false">IF(AO132=0,"",IF(AX132="FT",IF(AU132&lt;FT_First,0,IF(AU132&lt;FT_Y5,1+INT((AU132-FT_First)/FT_Int1),FT_PreY5+FT_PerYear*INT((AU132-FT_Y5)/12)+FT_AnnivDays+INT(MOD(AU132-FT_Y5,12)/FT_Int2))),IF(AX132="PT",IF(AU132&lt;PT_First,0,1+INT((AU132-PT_First)/PT_Int)),0)))</f>
        <v/>
      </c>
      <c r="BD132" s="11" t="str">
        <f aca="false">IF(AO132=0,"",IF(AX132="FT",IF(AQ132&lt;FT_First,0,IF(AQ132&lt;FT_Y5,1+INT((AQ132-FT_First)/FT_Int1),FT_PreY5+FT_PerYear*INT((AQ132-FT_Y5)/12)+FT_AnnivDays+INT(MOD(AQ132-FT_Y5,12)/FT_Int2))),IF(AX132="PT",IF(AQ132&lt;PT_First,0,1+INT((AQ132-PT_First)/PT_Int)),0)))</f>
        <v/>
      </c>
      <c r="BE132" s="11" t="str">
        <f aca="false">IF(AO132=0,"",IF(AY132="FT",IF(AQ132&lt;FT_First,FT_First,IF(AQ132&lt;FT_Y5,MIN(FT_Y5,FT_First+FT_Int1*(INT((AQ132-FT_First)/FT_Int1)+1)),FT_Y5+12*INT((AQ132-FT_Y5)/12)+FT_Int2*(INT(MOD(AQ132-FT_Y5,12)/FT_Int2)+1))),IF(AY132="PT",IF(AQ132&lt;PT_First,PT_First,PT_First+PT_Int*(INT((AQ132-PT_First)/PT_Int)+1)),"")))</f>
        <v/>
      </c>
      <c r="BF132" s="11" t="n">
        <f aca="false">IF(AO132=0,0,IF(AND($Q132&lt;&gt;"",$Q132&lt;=AsOfDate),1,0))</f>
        <v>0</v>
      </c>
      <c r="BG132" s="11" t="str">
        <f aca="false">IF(AND(AO132=1,BF132=0,EH_Ready,N(AB132)&gt;0,N(AI132)=0),COUNT($BG$5:BG131)+1,"")</f>
        <v/>
      </c>
      <c r="BH132" s="11" t="str">
        <f aca="false">IF(AND(AO132=1,BF132=0,EH_Ready,N(AB132)&gt;0,N(AI132)&gt;0,N(AK132)&gt;0),COUNT($BH$5:BH131)+1,"")</f>
        <v/>
      </c>
      <c r="BI132" s="11" t="str">
        <f aca="false">IF(AND(AO132=1,OR(LEFT(AM132,3)="ADD",LEFT(AM132,3)="SET",LEFT(AM132,5)="CHECK",LEFT(AM132,10)="TERMINATED")),COUNT($BI$5:BI131)+1,"")</f>
        <v/>
      </c>
      <c r="BJ132" s="11" t="str">
        <f aca="false">IF(AO132=0,"",$A132&amp;" - "&amp;$B132&amp;" "&amp;$C132)</f>
        <v/>
      </c>
    </row>
    <row r="133" customFormat="false" ht="15" hidden="false" customHeight="false" outlineLevel="0" collapsed="false">
      <c r="A133" s="10"/>
      <c r="B133" s="10"/>
      <c r="C133" s="10"/>
      <c r="D133" s="10"/>
      <c r="E133" s="9"/>
      <c r="F133" s="10"/>
      <c r="G133" s="30"/>
      <c r="H133" s="9"/>
      <c r="I133" s="10"/>
      <c r="J133" s="30"/>
      <c r="K133" s="9"/>
      <c r="L133" s="10"/>
      <c r="M133" s="30"/>
      <c r="N133" s="9"/>
      <c r="O133" s="9"/>
      <c r="P133" s="30"/>
      <c r="Q133" s="9"/>
      <c r="R133" s="10"/>
      <c r="S133" s="11" t="str">
        <f aca="false">IF(AO133=0,"",IF($H133="","",$F133&amp;" -&gt; "&amp;$I133&amp;IF($I133="Part-Time"," ("&amp;N($J133)&amp;" hrs)","")&amp;" on "&amp;TEXT($H133,"dd/mm/yyyy")&amp;IF($H133&gt;AsOfDate," (FUTURE)","")&amp;IF($K133="","","; "&amp;$I133&amp;" -&gt; "&amp;$L133&amp;IF($L133="Part-Time"," ("&amp;N($M133)&amp;" hrs)","")&amp;" on "&amp;TEXT($K133,"dd/mm/yyyy")&amp;IF($K133&gt;AsOfDate," (FUTURE)",""))))</f>
        <v/>
      </c>
      <c r="T133" s="11" t="str">
        <f aca="false">IF(AO133=0,"",IF(AS133&lt;&gt;"",$L133,IF(AR133&lt;&gt;"",$I133,$F133)))</f>
        <v/>
      </c>
      <c r="U133" s="26" t="str">
        <f aca="false">IF(AO133=0,"",IF(AS133&lt;&gt;"",$M133,IF(AR133&lt;&gt;"",$J133,$G133)))</f>
        <v/>
      </c>
      <c r="V133" s="11" t="str">
        <f aca="false">IF(AO133=0,"",IF(AY133="FT","Full-Time",IF(AY133="PT","Part-Time","Not eligible")))</f>
        <v/>
      </c>
      <c r="W133" s="27" t="str">
        <f aca="false">IF(AO133=0,"",IF(AR133="",IF(AND($H133&lt;&gt;"",$H133&gt;AsOfDate),"Future change - not yet applied",""),IF(AND(AV133=AY133,OR(AS133="",AW133=AV133)),"Type changed - same accrual pathway",IF(AY133="None","STOPPED accruing from "&amp;TEXT(IF(AS133&lt;&gt;"",AS133,AR133),"dd/mm/yyyy"),IF(AV133="None","STARTED qualifying from "&amp;TEXT(IF(AS133&lt;&gt;"",AS133,AR133),"dd/mm/yyyy"),"Pathway changed "&amp;AV133&amp;" -&gt; "&amp;AW133&amp;IF(AS133&lt;&gt;""," -&gt; "&amp;AX133,"")&amp;" from "&amp;TEXT(IF(AS133&lt;&gt;"",AS133,AR133),"dd/mm/yyyy"))))))</f>
        <v/>
      </c>
      <c r="X133" s="28" t="str">
        <f aca="false">IF(AO133=0,"",IF($Q133="",AsOfDate,MIN(AsOfDate,$Q133)))</f>
        <v/>
      </c>
      <c r="Y133" s="26" t="str">
        <f aca="false">IF(AO133=0,"",MAX(0,AQ133))</f>
        <v/>
      </c>
      <c r="Z133" s="11" t="str">
        <f aca="false">IF(AO133=0,"",IF(AQ133&lt;0,"Not started",INT(AQ133/12)&amp;"y "&amp;MOD(AQ133,12)&amp;"m"))</f>
        <v/>
      </c>
      <c r="AA133" s="27" t="str">
        <f aca="false">IF(AO133=0,"",IF(BF133=1,"Terminated - balance forfeited",IF(AY133="None",IF(AB133&gt;0,"No longer accruing - "&amp;T133,"Not eligible - "&amp;T133&amp;IF(AND(IFERROR(VLOOKUP(T133,TypeTable,2,0),"None")="PT",N(U133)&lt;PT_MinHours)," (under "&amp;PT_MinHours&amp;" hrs)","")),IF(AB133&gt;0,"Yes - accruing","Not yet - qualifies "&amp;TEXT(AD133,"dd/mm/yyyy")))))</f>
        <v/>
      </c>
      <c r="AB133" s="26" t="str">
        <f aca="false">IF(AO133=0,"",AZ133+IF(AR133="",0,BB133-BA133)+IF(AS133="",0,BD133-BC133))</f>
        <v/>
      </c>
      <c r="AC133" s="26" t="str">
        <f aca="false">IF(AO133=0,"",AB133*HoursPerDay)</f>
        <v/>
      </c>
      <c r="AD133" s="28" t="str">
        <f aca="false">IF(AO133=0,"",IF(OR(BF133=1,AY133="None"),"",EDATE($E133+AP133,BE133)))</f>
        <v/>
      </c>
      <c r="AE133" s="26" t="str">
        <f aca="false">IF(AD133="","",IF(AY133="PT",1,IF(BE133&lt;FT_Y5,1,IF(MOD(BE133-FT_Y5,12)=0,FT_AnnivDays,1))))</f>
        <v/>
      </c>
      <c r="AF133" s="27" t="str">
        <f aca="false">IF(AO133=0,"",IF(NOT(EH_Ready),"Map headers",IF(IF(MatchMode="Employee ID",COUNTIFS(INDEX(EH_Data,0,EH_ColID),$A133,INDEX(EH_Data,0,EH_ColCat),BonusCat),COUNTIFS(INDEX(EH_Data,0,EH_ColFirst),$B133,INDEX(EH_Data,0,EH_ColSur),$C133,INDEX(EH_Data,0,EH_ColCat),BonusCat))&gt;0,"Yes","No")))</f>
        <v/>
      </c>
      <c r="AG133" s="26" t="str">
        <f aca="false">IF(AO133=0,"",IF(NOT(EH_Ready),"",IF(MatchMode="Employee ID",SUMIFS(INDEX(EH_Data,0,EH_ColBal),INDEX(EH_Data,0,EH_ColID),$A133,INDEX(EH_Data,0,EH_ColCat),BonusCat),SUMIFS(INDEX(EH_Data,0,EH_ColBal),INDEX(EH_Data,0,EH_ColFirst),$B133,INDEX(EH_Data,0,EH_ColSur),$C133,INDEX(EH_Data,0,EH_ColCat),BonusCat))/IF(EHUnit="Hours",HoursPerDay,1)))</f>
        <v/>
      </c>
      <c r="AH133" s="26" t="str">
        <f aca="false">IF(AO133=0,"",IF(NOT(TK_Ready),0,IF(MatchMode="Employee ID",SUMIFS(INDEX(TK_Data,0,TK_ColAmt),INDEX(TK_Data,0,TK_ColID),$A133,INDEX(TK_Data,0,TK_ColCat),BonusCat),SUMIFS(INDEX(TK_Data,0,TK_ColAmt),INDEX(TK_Data,0,TK_ColFirst),$B133,INDEX(TK_Data,0,TK_ColSur),$C133,INDEX(TK_Data,0,TK_ColCat),BonusCat))/IF(TKUnit="Hours",HoursPerDay,1)))</f>
        <v/>
      </c>
      <c r="AI133" s="26" t="str">
        <f aca="false">IF(AO133=0,"",N(AG133)+N(AH133))</f>
        <v/>
      </c>
      <c r="AJ133" s="29" t="str">
        <f aca="false">IF(AO133=0,"",IF(NOT(AND(EH_Ready,EH_ValReady)),"",IF(MatchMode="Employee ID",SUMIFS(INDEX(EH_Data,0,EH_ColVal),INDEX(EH_Data,0,EH_ColID),$A133,INDEX(EH_Data,0,EH_ColCat),BonusCat),SUMIFS(INDEX(EH_Data,0,EH_ColVal),INDEX(EH_Data,0,EH_ColFirst),$B133,INDEX(EH_Data,0,EH_ColSur),$C133,INDEX(EH_Data,0,EH_ColCat),BonusCat))))</f>
        <v/>
      </c>
      <c r="AK133" s="26" t="str">
        <f aca="false">IF(AO133=0,"",IF(OR(NOT(EH_Ready),BF133=1),"",AB133-AI133))</f>
        <v/>
      </c>
      <c r="AL133" s="26" t="str">
        <f aca="false">IF(AK133="","",AK133*HoursPerDay)</f>
        <v/>
      </c>
      <c r="AM133" s="27" t="str">
        <f aca="false">IF(AO133=0,"",IF(BF133=1,IF(N(AG133)&gt;0,"TERMINATED - forfeit "&amp;TEXT(AG133,"0.##")&amp;" days still in EH","Terminated - nothing in EH"),IF(NOT(EH_Ready),"Paste EH export and map headers on Settings",IF(AND(AB133&gt;0,AF133="No"),"SET UP in EH - add "&amp;TEXT(AB133,"0.##")&amp;" day(s) ("&amp;TEXT(AC133,"0.##")&amp;" hrs)",IF(AK133&gt;0,"ADD "&amp;TEXT(AK133,"0.##")&amp;" day(s) ("&amp;TEXT(AL133,"0.##")&amp;" hrs) in EH",IF(AK133&lt;0,"CHECK - EH shows "&amp;TEXT(-AK133,"0.##")&amp;" days more than policy",IF(AB133&gt;0,"OK - up to date",IF(AY133="None","No action - not eligible","No action - not yet qualified"))))))))</f>
        <v/>
      </c>
      <c r="AN133" s="27" t="str">
        <f aca="false">IF(AO133=0,"",TRIM(IF(AND($K133&lt;&gt;"",$H133=""),"Change 2 entered without Change 1. ","")&amp;IF(AND($K133&lt;&gt;"",$H133&lt;&gt;"",$K133&lt;=$H133),"Change 2 date not after Change 1. ","")&amp;IF(AND($N133&lt;&gt;"",$O133&lt;&gt;"",$O133&lt;$N133),"Leave To is before Leave From. ","")&amp;IF(AND($N133&lt;&gt;"",$O133=""),"Leave From entered without Leave To. ","")&amp;IF(AND(IFERROR(VLOOKUP(T133,TypeTable,2,0),"None")="PT",U133=""),"Part-time with no hours entered. ","")&amp;IF(AND($H133&lt;&gt;"",$H133&gt;AsOfDate,AD133&lt;&gt;"",$H133&lt;=AD133),"Status change lands before next accrual - review. ","")&amp;IF(AND($Q133&lt;&gt;"",$Q133&lt;$E133),"Termination before commencement. ","")))</f>
        <v/>
      </c>
      <c r="AO133" s="11" t="n">
        <f aca="false">IF(LEN($A133&amp;$B133&amp;$C133)=0,0,IF($E133="",0,1))</f>
        <v>0</v>
      </c>
      <c r="AP133" s="11" t="str">
        <f aca="false">IF(AO133=0,"",(IF(OR($N133="",$O133=""),0,MAX(0,MIN(X133,$O133)-MAX($N133,$E133)+1))+N($P133)))</f>
        <v/>
      </c>
      <c r="AQ133" s="11" t="str">
        <f aca="false">IF(AO133=0,"",IF(X133&lt;($E133+(IF(OR($N133="",$O133=""),0,MAX(0,MIN(X133,$O133)-MAX($N133,$E133)+1))+N($P133))),-1,12*(YEAR(X133)-YEAR(($E133+(IF(OR($N133="",$O133=""),0,MAX(0,MIN(X133,$O133)-MAX($N133,$E133)+1))+N($P133)))))+MONTH(X133)-MONTH(($E133+(IF(OR($N133="",$O133=""),0,MAX(0,MIN(X133,$O133)-MAX($N133,$E133)+1))+N($P133))))-IF(DAY(X133)&lt;MIN(DAY(($E133+(IF(OR($N133="",$O133=""),0,MAX(0,MIN(X133,$O133)-MAX($N133,$E133)+1))+N($P133)))),DAY(EOMONTH(X133,0))),1,0)))</f>
        <v/>
      </c>
      <c r="AR133" s="28" t="str">
        <f aca="false">IF(AO133=0,"",IF($H133="","",IF($H133&gt;X133,"",$H133)))</f>
        <v/>
      </c>
      <c r="AS133" s="28" t="str">
        <f aca="false">IF(AO133=0,"",IF(AR133="","",IF($K133="","",IF($K133&gt;X133,"",$K133))))</f>
        <v/>
      </c>
      <c r="AT133" s="11" t="str">
        <f aca="false">IF(AO133=0,"",IF(AR133="",AQ133,IF((AR133-1)&lt;($E133+(IF(OR($N133="",$O133=""),0,MAX(0,MIN((AR133-1),$O133)-MAX($N133,$E133)+1))+N($P133))),-1,12*(YEAR((AR133-1))-YEAR(($E133+(IF(OR($N133="",$O133=""),0,MAX(0,MIN((AR133-1),$O133)-MAX($N133,$E133)+1))+N($P133)))))+MONTH((AR133-1))-MONTH(($E133+(IF(OR($N133="",$O133=""),0,MAX(0,MIN((AR133-1),$O133)-MAX($N133,$E133)+1))+N($P133))))-IF(DAY((AR133-1))&lt;MIN(DAY(($E133+(IF(OR($N133="",$O133=""),0,MAX(0,MIN((AR133-1),$O133)-MAX($N133,$E133)+1))+N($P133)))),DAY(EOMONTH((AR133-1),0))),1,0))))</f>
        <v/>
      </c>
      <c r="AU133" s="11" t="str">
        <f aca="false">IF(AO133=0,"",IF(AS133="",AQ133,IF((AS133-1)&lt;($E133+(IF(OR($N133="",$O133=""),0,MAX(0,MIN((AS133-1),$O133)-MAX($N133,$E133)+1))+N($P133))),-1,12*(YEAR((AS133-1))-YEAR(($E133+(IF(OR($N133="",$O133=""),0,MAX(0,MIN((AS133-1),$O133)-MAX($N133,$E133)+1))+N($P133)))))+MONTH((AS133-1))-MONTH(($E133+(IF(OR($N133="",$O133=""),0,MAX(0,MIN((AS133-1),$O133)-MAX($N133,$E133)+1))+N($P133))))-IF(DAY((AS133-1))&lt;MIN(DAY(($E133+(IF(OR($N133="",$O133=""),0,MAX(0,MIN((AS133-1),$O133)-MAX($N133,$E133)+1))+N($P133)))),DAY(EOMONTH((AS133-1),0))),1,0))))</f>
        <v/>
      </c>
      <c r="AV133" s="11" t="str">
        <f aca="false">IF(AO133=0,"",IF($F133="","None",IF(IFERROR(VLOOKUP($F133,TypeTable,2,0),"None")="PT",IF(N($G133)&gt;=PT_MinHours,"PT","None"),IFERROR(VLOOKUP($F133,TypeTable,2,0),"None"))))</f>
        <v/>
      </c>
      <c r="AW133" s="11" t="str">
        <f aca="false">IF(AO133=0,"",IF($I133="","None",IF(IFERROR(VLOOKUP($I133,TypeTable,2,0),"None")="PT",IF(N($J133)&gt;=PT_MinHours,"PT","None"),IFERROR(VLOOKUP($I133,TypeTable,2,0),"None"))))</f>
        <v/>
      </c>
      <c r="AX133" s="11" t="str">
        <f aca="false">IF(AO133=0,"",IF($L133="","None",IF(IFERROR(VLOOKUP($L133,TypeTable,2,0),"None")="PT",IF(N($M133)&gt;=PT_MinHours,"PT","None"),IFERROR(VLOOKUP($L133,TypeTable,2,0),"None"))))</f>
        <v/>
      </c>
      <c r="AY133" s="11" t="str">
        <f aca="false">IF(AO133=0,"",IF(AS133&lt;&gt;"",AX133,IF(AR133&lt;&gt;"",AW133,AV133)))</f>
        <v/>
      </c>
      <c r="AZ133" s="11" t="str">
        <f aca="false">IF(AO133=0,"",IF(AV133="FT",IF(AT133&lt;FT_First,0,IF(AT133&lt;FT_Y5,1+INT((AT133-FT_First)/FT_Int1),FT_PreY5+FT_PerYear*INT((AT133-FT_Y5)/12)+FT_AnnivDays+INT(MOD(AT133-FT_Y5,12)/FT_Int2))),IF(AV133="PT",IF(AT133&lt;PT_First,0,1+INT((AT133-PT_First)/PT_Int)),0)))</f>
        <v/>
      </c>
      <c r="BA133" s="11" t="str">
        <f aca="false">IF(AO133=0,"",IF(AW133="FT",IF(AT133&lt;FT_First,0,IF(AT133&lt;FT_Y5,1+INT((AT133-FT_First)/FT_Int1),FT_PreY5+FT_PerYear*INT((AT133-FT_Y5)/12)+FT_AnnivDays+INT(MOD(AT133-FT_Y5,12)/FT_Int2))),IF(AW133="PT",IF(AT133&lt;PT_First,0,1+INT((AT133-PT_First)/PT_Int)),0)))</f>
        <v/>
      </c>
      <c r="BB133" s="11" t="str">
        <f aca="false">IF(AO133=0,"",IF(AW133="FT",IF(AU133&lt;FT_First,0,IF(AU133&lt;FT_Y5,1+INT((AU133-FT_First)/FT_Int1),FT_PreY5+FT_PerYear*INT((AU133-FT_Y5)/12)+FT_AnnivDays+INT(MOD(AU133-FT_Y5,12)/FT_Int2))),IF(AW133="PT",IF(AU133&lt;PT_First,0,1+INT((AU133-PT_First)/PT_Int)),0)))</f>
        <v/>
      </c>
      <c r="BC133" s="11" t="str">
        <f aca="false">IF(AO133=0,"",IF(AX133="FT",IF(AU133&lt;FT_First,0,IF(AU133&lt;FT_Y5,1+INT((AU133-FT_First)/FT_Int1),FT_PreY5+FT_PerYear*INT((AU133-FT_Y5)/12)+FT_AnnivDays+INT(MOD(AU133-FT_Y5,12)/FT_Int2))),IF(AX133="PT",IF(AU133&lt;PT_First,0,1+INT((AU133-PT_First)/PT_Int)),0)))</f>
        <v/>
      </c>
      <c r="BD133" s="11" t="str">
        <f aca="false">IF(AO133=0,"",IF(AX133="FT",IF(AQ133&lt;FT_First,0,IF(AQ133&lt;FT_Y5,1+INT((AQ133-FT_First)/FT_Int1),FT_PreY5+FT_PerYear*INT((AQ133-FT_Y5)/12)+FT_AnnivDays+INT(MOD(AQ133-FT_Y5,12)/FT_Int2))),IF(AX133="PT",IF(AQ133&lt;PT_First,0,1+INT((AQ133-PT_First)/PT_Int)),0)))</f>
        <v/>
      </c>
      <c r="BE133" s="11" t="str">
        <f aca="false">IF(AO133=0,"",IF(AY133="FT",IF(AQ133&lt;FT_First,FT_First,IF(AQ133&lt;FT_Y5,MIN(FT_Y5,FT_First+FT_Int1*(INT((AQ133-FT_First)/FT_Int1)+1)),FT_Y5+12*INT((AQ133-FT_Y5)/12)+FT_Int2*(INT(MOD(AQ133-FT_Y5,12)/FT_Int2)+1))),IF(AY133="PT",IF(AQ133&lt;PT_First,PT_First,PT_First+PT_Int*(INT((AQ133-PT_First)/PT_Int)+1)),"")))</f>
        <v/>
      </c>
      <c r="BF133" s="11" t="n">
        <f aca="false">IF(AO133=0,0,IF(AND($Q133&lt;&gt;"",$Q133&lt;=AsOfDate),1,0))</f>
        <v>0</v>
      </c>
      <c r="BG133" s="11" t="str">
        <f aca="false">IF(AND(AO133=1,BF133=0,EH_Ready,N(AB133)&gt;0,N(AI133)=0),COUNT($BG$5:BG132)+1,"")</f>
        <v/>
      </c>
      <c r="BH133" s="11" t="str">
        <f aca="false">IF(AND(AO133=1,BF133=0,EH_Ready,N(AB133)&gt;0,N(AI133)&gt;0,N(AK133)&gt;0),COUNT($BH$5:BH132)+1,"")</f>
        <v/>
      </c>
      <c r="BI133" s="11" t="str">
        <f aca="false">IF(AND(AO133=1,OR(LEFT(AM133,3)="ADD",LEFT(AM133,3)="SET",LEFT(AM133,5)="CHECK",LEFT(AM133,10)="TERMINATED")),COUNT($BI$5:BI132)+1,"")</f>
        <v/>
      </c>
      <c r="BJ133" s="11" t="str">
        <f aca="false">IF(AO133=0,"",$A133&amp;" - "&amp;$B133&amp;" "&amp;$C133)</f>
        <v/>
      </c>
    </row>
    <row r="134" customFormat="false" ht="15" hidden="false" customHeight="false" outlineLevel="0" collapsed="false">
      <c r="A134" s="10"/>
      <c r="B134" s="10"/>
      <c r="C134" s="10"/>
      <c r="D134" s="10"/>
      <c r="E134" s="9"/>
      <c r="F134" s="10"/>
      <c r="G134" s="30"/>
      <c r="H134" s="9"/>
      <c r="I134" s="10"/>
      <c r="J134" s="30"/>
      <c r="K134" s="9"/>
      <c r="L134" s="10"/>
      <c r="M134" s="30"/>
      <c r="N134" s="9"/>
      <c r="O134" s="9"/>
      <c r="P134" s="30"/>
      <c r="Q134" s="9"/>
      <c r="R134" s="10"/>
      <c r="S134" s="11" t="str">
        <f aca="false">IF(AO134=0,"",IF($H134="","",$F134&amp;" -&gt; "&amp;$I134&amp;IF($I134="Part-Time"," ("&amp;N($J134)&amp;" hrs)","")&amp;" on "&amp;TEXT($H134,"dd/mm/yyyy")&amp;IF($H134&gt;AsOfDate," (FUTURE)","")&amp;IF($K134="","","; "&amp;$I134&amp;" -&gt; "&amp;$L134&amp;IF($L134="Part-Time"," ("&amp;N($M134)&amp;" hrs)","")&amp;" on "&amp;TEXT($K134,"dd/mm/yyyy")&amp;IF($K134&gt;AsOfDate," (FUTURE)",""))))</f>
        <v/>
      </c>
      <c r="T134" s="11" t="str">
        <f aca="false">IF(AO134=0,"",IF(AS134&lt;&gt;"",$L134,IF(AR134&lt;&gt;"",$I134,$F134)))</f>
        <v/>
      </c>
      <c r="U134" s="26" t="str">
        <f aca="false">IF(AO134=0,"",IF(AS134&lt;&gt;"",$M134,IF(AR134&lt;&gt;"",$J134,$G134)))</f>
        <v/>
      </c>
      <c r="V134" s="11" t="str">
        <f aca="false">IF(AO134=0,"",IF(AY134="FT","Full-Time",IF(AY134="PT","Part-Time","Not eligible")))</f>
        <v/>
      </c>
      <c r="W134" s="27" t="str">
        <f aca="false">IF(AO134=0,"",IF(AR134="",IF(AND($H134&lt;&gt;"",$H134&gt;AsOfDate),"Future change - not yet applied",""),IF(AND(AV134=AY134,OR(AS134="",AW134=AV134)),"Type changed - same accrual pathway",IF(AY134="None","STOPPED accruing from "&amp;TEXT(IF(AS134&lt;&gt;"",AS134,AR134),"dd/mm/yyyy"),IF(AV134="None","STARTED qualifying from "&amp;TEXT(IF(AS134&lt;&gt;"",AS134,AR134),"dd/mm/yyyy"),"Pathway changed "&amp;AV134&amp;" -&gt; "&amp;AW134&amp;IF(AS134&lt;&gt;""," -&gt; "&amp;AX134,"")&amp;" from "&amp;TEXT(IF(AS134&lt;&gt;"",AS134,AR134),"dd/mm/yyyy"))))))</f>
        <v/>
      </c>
      <c r="X134" s="28" t="str">
        <f aca="false">IF(AO134=0,"",IF($Q134="",AsOfDate,MIN(AsOfDate,$Q134)))</f>
        <v/>
      </c>
      <c r="Y134" s="26" t="str">
        <f aca="false">IF(AO134=0,"",MAX(0,AQ134))</f>
        <v/>
      </c>
      <c r="Z134" s="11" t="str">
        <f aca="false">IF(AO134=0,"",IF(AQ134&lt;0,"Not started",INT(AQ134/12)&amp;"y "&amp;MOD(AQ134,12)&amp;"m"))</f>
        <v/>
      </c>
      <c r="AA134" s="27" t="str">
        <f aca="false">IF(AO134=0,"",IF(BF134=1,"Terminated - balance forfeited",IF(AY134="None",IF(AB134&gt;0,"No longer accruing - "&amp;T134,"Not eligible - "&amp;T134&amp;IF(AND(IFERROR(VLOOKUP(T134,TypeTable,2,0),"None")="PT",N(U134)&lt;PT_MinHours)," (under "&amp;PT_MinHours&amp;" hrs)","")),IF(AB134&gt;0,"Yes - accruing","Not yet - qualifies "&amp;TEXT(AD134,"dd/mm/yyyy")))))</f>
        <v/>
      </c>
      <c r="AB134" s="26" t="str">
        <f aca="false">IF(AO134=0,"",AZ134+IF(AR134="",0,BB134-BA134)+IF(AS134="",0,BD134-BC134))</f>
        <v/>
      </c>
      <c r="AC134" s="26" t="str">
        <f aca="false">IF(AO134=0,"",AB134*HoursPerDay)</f>
        <v/>
      </c>
      <c r="AD134" s="28" t="str">
        <f aca="false">IF(AO134=0,"",IF(OR(BF134=1,AY134="None"),"",EDATE($E134+AP134,BE134)))</f>
        <v/>
      </c>
      <c r="AE134" s="26" t="str">
        <f aca="false">IF(AD134="","",IF(AY134="PT",1,IF(BE134&lt;FT_Y5,1,IF(MOD(BE134-FT_Y5,12)=0,FT_AnnivDays,1))))</f>
        <v/>
      </c>
      <c r="AF134" s="27" t="str">
        <f aca="false">IF(AO134=0,"",IF(NOT(EH_Ready),"Map headers",IF(IF(MatchMode="Employee ID",COUNTIFS(INDEX(EH_Data,0,EH_ColID),$A134,INDEX(EH_Data,0,EH_ColCat),BonusCat),COUNTIFS(INDEX(EH_Data,0,EH_ColFirst),$B134,INDEX(EH_Data,0,EH_ColSur),$C134,INDEX(EH_Data,0,EH_ColCat),BonusCat))&gt;0,"Yes","No")))</f>
        <v/>
      </c>
      <c r="AG134" s="26" t="str">
        <f aca="false">IF(AO134=0,"",IF(NOT(EH_Ready),"",IF(MatchMode="Employee ID",SUMIFS(INDEX(EH_Data,0,EH_ColBal),INDEX(EH_Data,0,EH_ColID),$A134,INDEX(EH_Data,0,EH_ColCat),BonusCat),SUMIFS(INDEX(EH_Data,0,EH_ColBal),INDEX(EH_Data,0,EH_ColFirst),$B134,INDEX(EH_Data,0,EH_ColSur),$C134,INDEX(EH_Data,0,EH_ColCat),BonusCat))/IF(EHUnit="Hours",HoursPerDay,1)))</f>
        <v/>
      </c>
      <c r="AH134" s="26" t="str">
        <f aca="false">IF(AO134=0,"",IF(NOT(TK_Ready),0,IF(MatchMode="Employee ID",SUMIFS(INDEX(TK_Data,0,TK_ColAmt),INDEX(TK_Data,0,TK_ColID),$A134,INDEX(TK_Data,0,TK_ColCat),BonusCat),SUMIFS(INDEX(TK_Data,0,TK_ColAmt),INDEX(TK_Data,0,TK_ColFirst),$B134,INDEX(TK_Data,0,TK_ColSur),$C134,INDEX(TK_Data,0,TK_ColCat),BonusCat))/IF(TKUnit="Hours",HoursPerDay,1)))</f>
        <v/>
      </c>
      <c r="AI134" s="26" t="str">
        <f aca="false">IF(AO134=0,"",N(AG134)+N(AH134))</f>
        <v/>
      </c>
      <c r="AJ134" s="29" t="str">
        <f aca="false">IF(AO134=0,"",IF(NOT(AND(EH_Ready,EH_ValReady)),"",IF(MatchMode="Employee ID",SUMIFS(INDEX(EH_Data,0,EH_ColVal),INDEX(EH_Data,0,EH_ColID),$A134,INDEX(EH_Data,0,EH_ColCat),BonusCat),SUMIFS(INDEX(EH_Data,0,EH_ColVal),INDEX(EH_Data,0,EH_ColFirst),$B134,INDEX(EH_Data,0,EH_ColSur),$C134,INDEX(EH_Data,0,EH_ColCat),BonusCat))))</f>
        <v/>
      </c>
      <c r="AK134" s="26" t="str">
        <f aca="false">IF(AO134=0,"",IF(OR(NOT(EH_Ready),BF134=1),"",AB134-AI134))</f>
        <v/>
      </c>
      <c r="AL134" s="26" t="str">
        <f aca="false">IF(AK134="","",AK134*HoursPerDay)</f>
        <v/>
      </c>
      <c r="AM134" s="27" t="str">
        <f aca="false">IF(AO134=0,"",IF(BF134=1,IF(N(AG134)&gt;0,"TERMINATED - forfeit "&amp;TEXT(AG134,"0.##")&amp;" days still in EH","Terminated - nothing in EH"),IF(NOT(EH_Ready),"Paste EH export and map headers on Settings",IF(AND(AB134&gt;0,AF134="No"),"SET UP in EH - add "&amp;TEXT(AB134,"0.##")&amp;" day(s) ("&amp;TEXT(AC134,"0.##")&amp;" hrs)",IF(AK134&gt;0,"ADD "&amp;TEXT(AK134,"0.##")&amp;" day(s) ("&amp;TEXT(AL134,"0.##")&amp;" hrs) in EH",IF(AK134&lt;0,"CHECK - EH shows "&amp;TEXT(-AK134,"0.##")&amp;" days more than policy",IF(AB134&gt;0,"OK - up to date",IF(AY134="None","No action - not eligible","No action - not yet qualified"))))))))</f>
        <v/>
      </c>
      <c r="AN134" s="27" t="str">
        <f aca="false">IF(AO134=0,"",TRIM(IF(AND($K134&lt;&gt;"",$H134=""),"Change 2 entered without Change 1. ","")&amp;IF(AND($K134&lt;&gt;"",$H134&lt;&gt;"",$K134&lt;=$H134),"Change 2 date not after Change 1. ","")&amp;IF(AND($N134&lt;&gt;"",$O134&lt;&gt;"",$O134&lt;$N134),"Leave To is before Leave From. ","")&amp;IF(AND($N134&lt;&gt;"",$O134=""),"Leave From entered without Leave To. ","")&amp;IF(AND(IFERROR(VLOOKUP(T134,TypeTable,2,0),"None")="PT",U134=""),"Part-time with no hours entered. ","")&amp;IF(AND($H134&lt;&gt;"",$H134&gt;AsOfDate,AD134&lt;&gt;"",$H134&lt;=AD134),"Status change lands before next accrual - review. ","")&amp;IF(AND($Q134&lt;&gt;"",$Q134&lt;$E134),"Termination before commencement. ","")))</f>
        <v/>
      </c>
      <c r="AO134" s="11" t="n">
        <f aca="false">IF(LEN($A134&amp;$B134&amp;$C134)=0,0,IF($E134="",0,1))</f>
        <v>0</v>
      </c>
      <c r="AP134" s="11" t="str">
        <f aca="false">IF(AO134=0,"",(IF(OR($N134="",$O134=""),0,MAX(0,MIN(X134,$O134)-MAX($N134,$E134)+1))+N($P134)))</f>
        <v/>
      </c>
      <c r="AQ134" s="11" t="str">
        <f aca="false">IF(AO134=0,"",IF(X134&lt;($E134+(IF(OR($N134="",$O134=""),0,MAX(0,MIN(X134,$O134)-MAX($N134,$E134)+1))+N($P134))),-1,12*(YEAR(X134)-YEAR(($E134+(IF(OR($N134="",$O134=""),0,MAX(0,MIN(X134,$O134)-MAX($N134,$E134)+1))+N($P134)))))+MONTH(X134)-MONTH(($E134+(IF(OR($N134="",$O134=""),0,MAX(0,MIN(X134,$O134)-MAX($N134,$E134)+1))+N($P134))))-IF(DAY(X134)&lt;MIN(DAY(($E134+(IF(OR($N134="",$O134=""),0,MAX(0,MIN(X134,$O134)-MAX($N134,$E134)+1))+N($P134)))),DAY(EOMONTH(X134,0))),1,0)))</f>
        <v/>
      </c>
      <c r="AR134" s="28" t="str">
        <f aca="false">IF(AO134=0,"",IF($H134="","",IF($H134&gt;X134,"",$H134)))</f>
        <v/>
      </c>
      <c r="AS134" s="28" t="str">
        <f aca="false">IF(AO134=0,"",IF(AR134="","",IF($K134="","",IF($K134&gt;X134,"",$K134))))</f>
        <v/>
      </c>
      <c r="AT134" s="11" t="str">
        <f aca="false">IF(AO134=0,"",IF(AR134="",AQ134,IF((AR134-1)&lt;($E134+(IF(OR($N134="",$O134=""),0,MAX(0,MIN((AR134-1),$O134)-MAX($N134,$E134)+1))+N($P134))),-1,12*(YEAR((AR134-1))-YEAR(($E134+(IF(OR($N134="",$O134=""),0,MAX(0,MIN((AR134-1),$O134)-MAX($N134,$E134)+1))+N($P134)))))+MONTH((AR134-1))-MONTH(($E134+(IF(OR($N134="",$O134=""),0,MAX(0,MIN((AR134-1),$O134)-MAX($N134,$E134)+1))+N($P134))))-IF(DAY((AR134-1))&lt;MIN(DAY(($E134+(IF(OR($N134="",$O134=""),0,MAX(0,MIN((AR134-1),$O134)-MAX($N134,$E134)+1))+N($P134)))),DAY(EOMONTH((AR134-1),0))),1,0))))</f>
        <v/>
      </c>
      <c r="AU134" s="11" t="str">
        <f aca="false">IF(AO134=0,"",IF(AS134="",AQ134,IF((AS134-1)&lt;($E134+(IF(OR($N134="",$O134=""),0,MAX(0,MIN((AS134-1),$O134)-MAX($N134,$E134)+1))+N($P134))),-1,12*(YEAR((AS134-1))-YEAR(($E134+(IF(OR($N134="",$O134=""),0,MAX(0,MIN((AS134-1),$O134)-MAX($N134,$E134)+1))+N($P134)))))+MONTH((AS134-1))-MONTH(($E134+(IF(OR($N134="",$O134=""),0,MAX(0,MIN((AS134-1),$O134)-MAX($N134,$E134)+1))+N($P134))))-IF(DAY((AS134-1))&lt;MIN(DAY(($E134+(IF(OR($N134="",$O134=""),0,MAX(0,MIN((AS134-1),$O134)-MAX($N134,$E134)+1))+N($P134)))),DAY(EOMONTH((AS134-1),0))),1,0))))</f>
        <v/>
      </c>
      <c r="AV134" s="11" t="str">
        <f aca="false">IF(AO134=0,"",IF($F134="","None",IF(IFERROR(VLOOKUP($F134,TypeTable,2,0),"None")="PT",IF(N($G134)&gt;=PT_MinHours,"PT","None"),IFERROR(VLOOKUP($F134,TypeTable,2,0),"None"))))</f>
        <v/>
      </c>
      <c r="AW134" s="11" t="str">
        <f aca="false">IF(AO134=0,"",IF($I134="","None",IF(IFERROR(VLOOKUP($I134,TypeTable,2,0),"None")="PT",IF(N($J134)&gt;=PT_MinHours,"PT","None"),IFERROR(VLOOKUP($I134,TypeTable,2,0),"None"))))</f>
        <v/>
      </c>
      <c r="AX134" s="11" t="str">
        <f aca="false">IF(AO134=0,"",IF($L134="","None",IF(IFERROR(VLOOKUP($L134,TypeTable,2,0),"None")="PT",IF(N($M134)&gt;=PT_MinHours,"PT","None"),IFERROR(VLOOKUP($L134,TypeTable,2,0),"None"))))</f>
        <v/>
      </c>
      <c r="AY134" s="11" t="str">
        <f aca="false">IF(AO134=0,"",IF(AS134&lt;&gt;"",AX134,IF(AR134&lt;&gt;"",AW134,AV134)))</f>
        <v/>
      </c>
      <c r="AZ134" s="11" t="str">
        <f aca="false">IF(AO134=0,"",IF(AV134="FT",IF(AT134&lt;FT_First,0,IF(AT134&lt;FT_Y5,1+INT((AT134-FT_First)/FT_Int1),FT_PreY5+FT_PerYear*INT((AT134-FT_Y5)/12)+FT_AnnivDays+INT(MOD(AT134-FT_Y5,12)/FT_Int2))),IF(AV134="PT",IF(AT134&lt;PT_First,0,1+INT((AT134-PT_First)/PT_Int)),0)))</f>
        <v/>
      </c>
      <c r="BA134" s="11" t="str">
        <f aca="false">IF(AO134=0,"",IF(AW134="FT",IF(AT134&lt;FT_First,0,IF(AT134&lt;FT_Y5,1+INT((AT134-FT_First)/FT_Int1),FT_PreY5+FT_PerYear*INT((AT134-FT_Y5)/12)+FT_AnnivDays+INT(MOD(AT134-FT_Y5,12)/FT_Int2))),IF(AW134="PT",IF(AT134&lt;PT_First,0,1+INT((AT134-PT_First)/PT_Int)),0)))</f>
        <v/>
      </c>
      <c r="BB134" s="11" t="str">
        <f aca="false">IF(AO134=0,"",IF(AW134="FT",IF(AU134&lt;FT_First,0,IF(AU134&lt;FT_Y5,1+INT((AU134-FT_First)/FT_Int1),FT_PreY5+FT_PerYear*INT((AU134-FT_Y5)/12)+FT_AnnivDays+INT(MOD(AU134-FT_Y5,12)/FT_Int2))),IF(AW134="PT",IF(AU134&lt;PT_First,0,1+INT((AU134-PT_First)/PT_Int)),0)))</f>
        <v/>
      </c>
      <c r="BC134" s="11" t="str">
        <f aca="false">IF(AO134=0,"",IF(AX134="FT",IF(AU134&lt;FT_First,0,IF(AU134&lt;FT_Y5,1+INT((AU134-FT_First)/FT_Int1),FT_PreY5+FT_PerYear*INT((AU134-FT_Y5)/12)+FT_AnnivDays+INT(MOD(AU134-FT_Y5,12)/FT_Int2))),IF(AX134="PT",IF(AU134&lt;PT_First,0,1+INT((AU134-PT_First)/PT_Int)),0)))</f>
        <v/>
      </c>
      <c r="BD134" s="11" t="str">
        <f aca="false">IF(AO134=0,"",IF(AX134="FT",IF(AQ134&lt;FT_First,0,IF(AQ134&lt;FT_Y5,1+INT((AQ134-FT_First)/FT_Int1),FT_PreY5+FT_PerYear*INT((AQ134-FT_Y5)/12)+FT_AnnivDays+INT(MOD(AQ134-FT_Y5,12)/FT_Int2))),IF(AX134="PT",IF(AQ134&lt;PT_First,0,1+INT((AQ134-PT_First)/PT_Int)),0)))</f>
        <v/>
      </c>
      <c r="BE134" s="11" t="str">
        <f aca="false">IF(AO134=0,"",IF(AY134="FT",IF(AQ134&lt;FT_First,FT_First,IF(AQ134&lt;FT_Y5,MIN(FT_Y5,FT_First+FT_Int1*(INT((AQ134-FT_First)/FT_Int1)+1)),FT_Y5+12*INT((AQ134-FT_Y5)/12)+FT_Int2*(INT(MOD(AQ134-FT_Y5,12)/FT_Int2)+1))),IF(AY134="PT",IF(AQ134&lt;PT_First,PT_First,PT_First+PT_Int*(INT((AQ134-PT_First)/PT_Int)+1)),"")))</f>
        <v/>
      </c>
      <c r="BF134" s="11" t="n">
        <f aca="false">IF(AO134=0,0,IF(AND($Q134&lt;&gt;"",$Q134&lt;=AsOfDate),1,0))</f>
        <v>0</v>
      </c>
      <c r="BG134" s="11" t="str">
        <f aca="false">IF(AND(AO134=1,BF134=0,EH_Ready,N(AB134)&gt;0,N(AI134)=0),COUNT($BG$5:BG133)+1,"")</f>
        <v/>
      </c>
      <c r="BH134" s="11" t="str">
        <f aca="false">IF(AND(AO134=1,BF134=0,EH_Ready,N(AB134)&gt;0,N(AI134)&gt;0,N(AK134)&gt;0),COUNT($BH$5:BH133)+1,"")</f>
        <v/>
      </c>
      <c r="BI134" s="11" t="str">
        <f aca="false">IF(AND(AO134=1,OR(LEFT(AM134,3)="ADD",LEFT(AM134,3)="SET",LEFT(AM134,5)="CHECK",LEFT(AM134,10)="TERMINATED")),COUNT($BI$5:BI133)+1,"")</f>
        <v/>
      </c>
      <c r="BJ134" s="11" t="str">
        <f aca="false">IF(AO134=0,"",$A134&amp;" - "&amp;$B134&amp;" "&amp;$C134)</f>
        <v/>
      </c>
    </row>
    <row r="135" customFormat="false" ht="15" hidden="false" customHeight="false" outlineLevel="0" collapsed="false">
      <c r="A135" s="10"/>
      <c r="B135" s="10"/>
      <c r="C135" s="10"/>
      <c r="D135" s="10"/>
      <c r="E135" s="9"/>
      <c r="F135" s="10"/>
      <c r="G135" s="30"/>
      <c r="H135" s="9"/>
      <c r="I135" s="10"/>
      <c r="J135" s="30"/>
      <c r="K135" s="9"/>
      <c r="L135" s="10"/>
      <c r="M135" s="30"/>
      <c r="N135" s="9"/>
      <c r="O135" s="9"/>
      <c r="P135" s="30"/>
      <c r="Q135" s="9"/>
      <c r="R135" s="10"/>
      <c r="S135" s="11" t="str">
        <f aca="false">IF(AO135=0,"",IF($H135="","",$F135&amp;" -&gt; "&amp;$I135&amp;IF($I135="Part-Time"," ("&amp;N($J135)&amp;" hrs)","")&amp;" on "&amp;TEXT($H135,"dd/mm/yyyy")&amp;IF($H135&gt;AsOfDate," (FUTURE)","")&amp;IF($K135="","","; "&amp;$I135&amp;" -&gt; "&amp;$L135&amp;IF($L135="Part-Time"," ("&amp;N($M135)&amp;" hrs)","")&amp;" on "&amp;TEXT($K135,"dd/mm/yyyy")&amp;IF($K135&gt;AsOfDate," (FUTURE)",""))))</f>
        <v/>
      </c>
      <c r="T135" s="11" t="str">
        <f aca="false">IF(AO135=0,"",IF(AS135&lt;&gt;"",$L135,IF(AR135&lt;&gt;"",$I135,$F135)))</f>
        <v/>
      </c>
      <c r="U135" s="26" t="str">
        <f aca="false">IF(AO135=0,"",IF(AS135&lt;&gt;"",$M135,IF(AR135&lt;&gt;"",$J135,$G135)))</f>
        <v/>
      </c>
      <c r="V135" s="11" t="str">
        <f aca="false">IF(AO135=0,"",IF(AY135="FT","Full-Time",IF(AY135="PT","Part-Time","Not eligible")))</f>
        <v/>
      </c>
      <c r="W135" s="27" t="str">
        <f aca="false">IF(AO135=0,"",IF(AR135="",IF(AND($H135&lt;&gt;"",$H135&gt;AsOfDate),"Future change - not yet applied",""),IF(AND(AV135=AY135,OR(AS135="",AW135=AV135)),"Type changed - same accrual pathway",IF(AY135="None","STOPPED accruing from "&amp;TEXT(IF(AS135&lt;&gt;"",AS135,AR135),"dd/mm/yyyy"),IF(AV135="None","STARTED qualifying from "&amp;TEXT(IF(AS135&lt;&gt;"",AS135,AR135),"dd/mm/yyyy"),"Pathway changed "&amp;AV135&amp;" -&gt; "&amp;AW135&amp;IF(AS135&lt;&gt;""," -&gt; "&amp;AX135,"")&amp;" from "&amp;TEXT(IF(AS135&lt;&gt;"",AS135,AR135),"dd/mm/yyyy"))))))</f>
        <v/>
      </c>
      <c r="X135" s="28" t="str">
        <f aca="false">IF(AO135=0,"",IF($Q135="",AsOfDate,MIN(AsOfDate,$Q135)))</f>
        <v/>
      </c>
      <c r="Y135" s="26" t="str">
        <f aca="false">IF(AO135=0,"",MAX(0,AQ135))</f>
        <v/>
      </c>
      <c r="Z135" s="11" t="str">
        <f aca="false">IF(AO135=0,"",IF(AQ135&lt;0,"Not started",INT(AQ135/12)&amp;"y "&amp;MOD(AQ135,12)&amp;"m"))</f>
        <v/>
      </c>
      <c r="AA135" s="27" t="str">
        <f aca="false">IF(AO135=0,"",IF(BF135=1,"Terminated - balance forfeited",IF(AY135="None",IF(AB135&gt;0,"No longer accruing - "&amp;T135,"Not eligible - "&amp;T135&amp;IF(AND(IFERROR(VLOOKUP(T135,TypeTable,2,0),"None")="PT",N(U135)&lt;PT_MinHours)," (under "&amp;PT_MinHours&amp;" hrs)","")),IF(AB135&gt;0,"Yes - accruing","Not yet - qualifies "&amp;TEXT(AD135,"dd/mm/yyyy")))))</f>
        <v/>
      </c>
      <c r="AB135" s="26" t="str">
        <f aca="false">IF(AO135=0,"",AZ135+IF(AR135="",0,BB135-BA135)+IF(AS135="",0,BD135-BC135))</f>
        <v/>
      </c>
      <c r="AC135" s="26" t="str">
        <f aca="false">IF(AO135=0,"",AB135*HoursPerDay)</f>
        <v/>
      </c>
      <c r="AD135" s="28" t="str">
        <f aca="false">IF(AO135=0,"",IF(OR(BF135=1,AY135="None"),"",EDATE($E135+AP135,BE135)))</f>
        <v/>
      </c>
      <c r="AE135" s="26" t="str">
        <f aca="false">IF(AD135="","",IF(AY135="PT",1,IF(BE135&lt;FT_Y5,1,IF(MOD(BE135-FT_Y5,12)=0,FT_AnnivDays,1))))</f>
        <v/>
      </c>
      <c r="AF135" s="27" t="str">
        <f aca="false">IF(AO135=0,"",IF(NOT(EH_Ready),"Map headers",IF(IF(MatchMode="Employee ID",COUNTIFS(INDEX(EH_Data,0,EH_ColID),$A135,INDEX(EH_Data,0,EH_ColCat),BonusCat),COUNTIFS(INDEX(EH_Data,0,EH_ColFirst),$B135,INDEX(EH_Data,0,EH_ColSur),$C135,INDEX(EH_Data,0,EH_ColCat),BonusCat))&gt;0,"Yes","No")))</f>
        <v/>
      </c>
      <c r="AG135" s="26" t="str">
        <f aca="false">IF(AO135=0,"",IF(NOT(EH_Ready),"",IF(MatchMode="Employee ID",SUMIFS(INDEX(EH_Data,0,EH_ColBal),INDEX(EH_Data,0,EH_ColID),$A135,INDEX(EH_Data,0,EH_ColCat),BonusCat),SUMIFS(INDEX(EH_Data,0,EH_ColBal),INDEX(EH_Data,0,EH_ColFirst),$B135,INDEX(EH_Data,0,EH_ColSur),$C135,INDEX(EH_Data,0,EH_ColCat),BonusCat))/IF(EHUnit="Hours",HoursPerDay,1)))</f>
        <v/>
      </c>
      <c r="AH135" s="26" t="str">
        <f aca="false">IF(AO135=0,"",IF(NOT(TK_Ready),0,IF(MatchMode="Employee ID",SUMIFS(INDEX(TK_Data,0,TK_ColAmt),INDEX(TK_Data,0,TK_ColID),$A135,INDEX(TK_Data,0,TK_ColCat),BonusCat),SUMIFS(INDEX(TK_Data,0,TK_ColAmt),INDEX(TK_Data,0,TK_ColFirst),$B135,INDEX(TK_Data,0,TK_ColSur),$C135,INDEX(TK_Data,0,TK_ColCat),BonusCat))/IF(TKUnit="Hours",HoursPerDay,1)))</f>
        <v/>
      </c>
      <c r="AI135" s="26" t="str">
        <f aca="false">IF(AO135=0,"",N(AG135)+N(AH135))</f>
        <v/>
      </c>
      <c r="AJ135" s="29" t="str">
        <f aca="false">IF(AO135=0,"",IF(NOT(AND(EH_Ready,EH_ValReady)),"",IF(MatchMode="Employee ID",SUMIFS(INDEX(EH_Data,0,EH_ColVal),INDEX(EH_Data,0,EH_ColID),$A135,INDEX(EH_Data,0,EH_ColCat),BonusCat),SUMIFS(INDEX(EH_Data,0,EH_ColVal),INDEX(EH_Data,0,EH_ColFirst),$B135,INDEX(EH_Data,0,EH_ColSur),$C135,INDEX(EH_Data,0,EH_ColCat),BonusCat))))</f>
        <v/>
      </c>
      <c r="AK135" s="26" t="str">
        <f aca="false">IF(AO135=0,"",IF(OR(NOT(EH_Ready),BF135=1),"",AB135-AI135))</f>
        <v/>
      </c>
      <c r="AL135" s="26" t="str">
        <f aca="false">IF(AK135="","",AK135*HoursPerDay)</f>
        <v/>
      </c>
      <c r="AM135" s="27" t="str">
        <f aca="false">IF(AO135=0,"",IF(BF135=1,IF(N(AG135)&gt;0,"TERMINATED - forfeit "&amp;TEXT(AG135,"0.##")&amp;" days still in EH","Terminated - nothing in EH"),IF(NOT(EH_Ready),"Paste EH export and map headers on Settings",IF(AND(AB135&gt;0,AF135="No"),"SET UP in EH - add "&amp;TEXT(AB135,"0.##")&amp;" day(s) ("&amp;TEXT(AC135,"0.##")&amp;" hrs)",IF(AK135&gt;0,"ADD "&amp;TEXT(AK135,"0.##")&amp;" day(s) ("&amp;TEXT(AL135,"0.##")&amp;" hrs) in EH",IF(AK135&lt;0,"CHECK - EH shows "&amp;TEXT(-AK135,"0.##")&amp;" days more than policy",IF(AB135&gt;0,"OK - up to date",IF(AY135="None","No action - not eligible","No action - not yet qualified"))))))))</f>
        <v/>
      </c>
      <c r="AN135" s="27" t="str">
        <f aca="false">IF(AO135=0,"",TRIM(IF(AND($K135&lt;&gt;"",$H135=""),"Change 2 entered without Change 1. ","")&amp;IF(AND($K135&lt;&gt;"",$H135&lt;&gt;"",$K135&lt;=$H135),"Change 2 date not after Change 1. ","")&amp;IF(AND($N135&lt;&gt;"",$O135&lt;&gt;"",$O135&lt;$N135),"Leave To is before Leave From. ","")&amp;IF(AND($N135&lt;&gt;"",$O135=""),"Leave From entered without Leave To. ","")&amp;IF(AND(IFERROR(VLOOKUP(T135,TypeTable,2,0),"None")="PT",U135=""),"Part-time with no hours entered. ","")&amp;IF(AND($H135&lt;&gt;"",$H135&gt;AsOfDate,AD135&lt;&gt;"",$H135&lt;=AD135),"Status change lands before next accrual - review. ","")&amp;IF(AND($Q135&lt;&gt;"",$Q135&lt;$E135),"Termination before commencement. ","")))</f>
        <v/>
      </c>
      <c r="AO135" s="11" t="n">
        <f aca="false">IF(LEN($A135&amp;$B135&amp;$C135)=0,0,IF($E135="",0,1))</f>
        <v>0</v>
      </c>
      <c r="AP135" s="11" t="str">
        <f aca="false">IF(AO135=0,"",(IF(OR($N135="",$O135=""),0,MAX(0,MIN(X135,$O135)-MAX($N135,$E135)+1))+N($P135)))</f>
        <v/>
      </c>
      <c r="AQ135" s="11" t="str">
        <f aca="false">IF(AO135=0,"",IF(X135&lt;($E135+(IF(OR($N135="",$O135=""),0,MAX(0,MIN(X135,$O135)-MAX($N135,$E135)+1))+N($P135))),-1,12*(YEAR(X135)-YEAR(($E135+(IF(OR($N135="",$O135=""),0,MAX(0,MIN(X135,$O135)-MAX($N135,$E135)+1))+N($P135)))))+MONTH(X135)-MONTH(($E135+(IF(OR($N135="",$O135=""),0,MAX(0,MIN(X135,$O135)-MAX($N135,$E135)+1))+N($P135))))-IF(DAY(X135)&lt;MIN(DAY(($E135+(IF(OR($N135="",$O135=""),0,MAX(0,MIN(X135,$O135)-MAX($N135,$E135)+1))+N($P135)))),DAY(EOMONTH(X135,0))),1,0)))</f>
        <v/>
      </c>
      <c r="AR135" s="28" t="str">
        <f aca="false">IF(AO135=0,"",IF($H135="","",IF($H135&gt;X135,"",$H135)))</f>
        <v/>
      </c>
      <c r="AS135" s="28" t="str">
        <f aca="false">IF(AO135=0,"",IF(AR135="","",IF($K135="","",IF($K135&gt;X135,"",$K135))))</f>
        <v/>
      </c>
      <c r="AT135" s="11" t="str">
        <f aca="false">IF(AO135=0,"",IF(AR135="",AQ135,IF((AR135-1)&lt;($E135+(IF(OR($N135="",$O135=""),0,MAX(0,MIN((AR135-1),$O135)-MAX($N135,$E135)+1))+N($P135))),-1,12*(YEAR((AR135-1))-YEAR(($E135+(IF(OR($N135="",$O135=""),0,MAX(0,MIN((AR135-1),$O135)-MAX($N135,$E135)+1))+N($P135)))))+MONTH((AR135-1))-MONTH(($E135+(IF(OR($N135="",$O135=""),0,MAX(0,MIN((AR135-1),$O135)-MAX($N135,$E135)+1))+N($P135))))-IF(DAY((AR135-1))&lt;MIN(DAY(($E135+(IF(OR($N135="",$O135=""),0,MAX(0,MIN((AR135-1),$O135)-MAX($N135,$E135)+1))+N($P135)))),DAY(EOMONTH((AR135-1),0))),1,0))))</f>
        <v/>
      </c>
      <c r="AU135" s="11" t="str">
        <f aca="false">IF(AO135=0,"",IF(AS135="",AQ135,IF((AS135-1)&lt;($E135+(IF(OR($N135="",$O135=""),0,MAX(0,MIN((AS135-1),$O135)-MAX($N135,$E135)+1))+N($P135))),-1,12*(YEAR((AS135-1))-YEAR(($E135+(IF(OR($N135="",$O135=""),0,MAX(0,MIN((AS135-1),$O135)-MAX($N135,$E135)+1))+N($P135)))))+MONTH((AS135-1))-MONTH(($E135+(IF(OR($N135="",$O135=""),0,MAX(0,MIN((AS135-1),$O135)-MAX($N135,$E135)+1))+N($P135))))-IF(DAY((AS135-1))&lt;MIN(DAY(($E135+(IF(OR($N135="",$O135=""),0,MAX(0,MIN((AS135-1),$O135)-MAX($N135,$E135)+1))+N($P135)))),DAY(EOMONTH((AS135-1),0))),1,0))))</f>
        <v/>
      </c>
      <c r="AV135" s="11" t="str">
        <f aca="false">IF(AO135=0,"",IF($F135="","None",IF(IFERROR(VLOOKUP($F135,TypeTable,2,0),"None")="PT",IF(N($G135)&gt;=PT_MinHours,"PT","None"),IFERROR(VLOOKUP($F135,TypeTable,2,0),"None"))))</f>
        <v/>
      </c>
      <c r="AW135" s="11" t="str">
        <f aca="false">IF(AO135=0,"",IF($I135="","None",IF(IFERROR(VLOOKUP($I135,TypeTable,2,0),"None")="PT",IF(N($J135)&gt;=PT_MinHours,"PT","None"),IFERROR(VLOOKUP($I135,TypeTable,2,0),"None"))))</f>
        <v/>
      </c>
      <c r="AX135" s="11" t="str">
        <f aca="false">IF(AO135=0,"",IF($L135="","None",IF(IFERROR(VLOOKUP($L135,TypeTable,2,0),"None")="PT",IF(N($M135)&gt;=PT_MinHours,"PT","None"),IFERROR(VLOOKUP($L135,TypeTable,2,0),"None"))))</f>
        <v/>
      </c>
      <c r="AY135" s="11" t="str">
        <f aca="false">IF(AO135=0,"",IF(AS135&lt;&gt;"",AX135,IF(AR135&lt;&gt;"",AW135,AV135)))</f>
        <v/>
      </c>
      <c r="AZ135" s="11" t="str">
        <f aca="false">IF(AO135=0,"",IF(AV135="FT",IF(AT135&lt;FT_First,0,IF(AT135&lt;FT_Y5,1+INT((AT135-FT_First)/FT_Int1),FT_PreY5+FT_PerYear*INT((AT135-FT_Y5)/12)+FT_AnnivDays+INT(MOD(AT135-FT_Y5,12)/FT_Int2))),IF(AV135="PT",IF(AT135&lt;PT_First,0,1+INT((AT135-PT_First)/PT_Int)),0)))</f>
        <v/>
      </c>
      <c r="BA135" s="11" t="str">
        <f aca="false">IF(AO135=0,"",IF(AW135="FT",IF(AT135&lt;FT_First,0,IF(AT135&lt;FT_Y5,1+INT((AT135-FT_First)/FT_Int1),FT_PreY5+FT_PerYear*INT((AT135-FT_Y5)/12)+FT_AnnivDays+INT(MOD(AT135-FT_Y5,12)/FT_Int2))),IF(AW135="PT",IF(AT135&lt;PT_First,0,1+INT((AT135-PT_First)/PT_Int)),0)))</f>
        <v/>
      </c>
      <c r="BB135" s="11" t="str">
        <f aca="false">IF(AO135=0,"",IF(AW135="FT",IF(AU135&lt;FT_First,0,IF(AU135&lt;FT_Y5,1+INT((AU135-FT_First)/FT_Int1),FT_PreY5+FT_PerYear*INT((AU135-FT_Y5)/12)+FT_AnnivDays+INT(MOD(AU135-FT_Y5,12)/FT_Int2))),IF(AW135="PT",IF(AU135&lt;PT_First,0,1+INT((AU135-PT_First)/PT_Int)),0)))</f>
        <v/>
      </c>
      <c r="BC135" s="11" t="str">
        <f aca="false">IF(AO135=0,"",IF(AX135="FT",IF(AU135&lt;FT_First,0,IF(AU135&lt;FT_Y5,1+INT((AU135-FT_First)/FT_Int1),FT_PreY5+FT_PerYear*INT((AU135-FT_Y5)/12)+FT_AnnivDays+INT(MOD(AU135-FT_Y5,12)/FT_Int2))),IF(AX135="PT",IF(AU135&lt;PT_First,0,1+INT((AU135-PT_First)/PT_Int)),0)))</f>
        <v/>
      </c>
      <c r="BD135" s="11" t="str">
        <f aca="false">IF(AO135=0,"",IF(AX135="FT",IF(AQ135&lt;FT_First,0,IF(AQ135&lt;FT_Y5,1+INT((AQ135-FT_First)/FT_Int1),FT_PreY5+FT_PerYear*INT((AQ135-FT_Y5)/12)+FT_AnnivDays+INT(MOD(AQ135-FT_Y5,12)/FT_Int2))),IF(AX135="PT",IF(AQ135&lt;PT_First,0,1+INT((AQ135-PT_First)/PT_Int)),0)))</f>
        <v/>
      </c>
      <c r="BE135" s="11" t="str">
        <f aca="false">IF(AO135=0,"",IF(AY135="FT",IF(AQ135&lt;FT_First,FT_First,IF(AQ135&lt;FT_Y5,MIN(FT_Y5,FT_First+FT_Int1*(INT((AQ135-FT_First)/FT_Int1)+1)),FT_Y5+12*INT((AQ135-FT_Y5)/12)+FT_Int2*(INT(MOD(AQ135-FT_Y5,12)/FT_Int2)+1))),IF(AY135="PT",IF(AQ135&lt;PT_First,PT_First,PT_First+PT_Int*(INT((AQ135-PT_First)/PT_Int)+1)),"")))</f>
        <v/>
      </c>
      <c r="BF135" s="11" t="n">
        <f aca="false">IF(AO135=0,0,IF(AND($Q135&lt;&gt;"",$Q135&lt;=AsOfDate),1,0))</f>
        <v>0</v>
      </c>
      <c r="BG135" s="11" t="str">
        <f aca="false">IF(AND(AO135=1,BF135=0,EH_Ready,N(AB135)&gt;0,N(AI135)=0),COUNT($BG$5:BG134)+1,"")</f>
        <v/>
      </c>
      <c r="BH135" s="11" t="str">
        <f aca="false">IF(AND(AO135=1,BF135=0,EH_Ready,N(AB135)&gt;0,N(AI135)&gt;0,N(AK135)&gt;0),COUNT($BH$5:BH134)+1,"")</f>
        <v/>
      </c>
      <c r="BI135" s="11" t="str">
        <f aca="false">IF(AND(AO135=1,OR(LEFT(AM135,3)="ADD",LEFT(AM135,3)="SET",LEFT(AM135,5)="CHECK",LEFT(AM135,10)="TERMINATED")),COUNT($BI$5:BI134)+1,"")</f>
        <v/>
      </c>
      <c r="BJ135" s="11" t="str">
        <f aca="false">IF(AO135=0,"",$A135&amp;" - "&amp;$B135&amp;" "&amp;$C135)</f>
        <v/>
      </c>
    </row>
    <row r="136" customFormat="false" ht="15" hidden="false" customHeight="false" outlineLevel="0" collapsed="false">
      <c r="A136" s="10"/>
      <c r="B136" s="10"/>
      <c r="C136" s="10"/>
      <c r="D136" s="10"/>
      <c r="E136" s="9"/>
      <c r="F136" s="10"/>
      <c r="G136" s="30"/>
      <c r="H136" s="9"/>
      <c r="I136" s="10"/>
      <c r="J136" s="30"/>
      <c r="K136" s="9"/>
      <c r="L136" s="10"/>
      <c r="M136" s="30"/>
      <c r="N136" s="9"/>
      <c r="O136" s="9"/>
      <c r="P136" s="30"/>
      <c r="Q136" s="9"/>
      <c r="R136" s="10"/>
      <c r="S136" s="11" t="str">
        <f aca="false">IF(AO136=0,"",IF($H136="","",$F136&amp;" -&gt; "&amp;$I136&amp;IF($I136="Part-Time"," ("&amp;N($J136)&amp;" hrs)","")&amp;" on "&amp;TEXT($H136,"dd/mm/yyyy")&amp;IF($H136&gt;AsOfDate," (FUTURE)","")&amp;IF($K136="","","; "&amp;$I136&amp;" -&gt; "&amp;$L136&amp;IF($L136="Part-Time"," ("&amp;N($M136)&amp;" hrs)","")&amp;" on "&amp;TEXT($K136,"dd/mm/yyyy")&amp;IF($K136&gt;AsOfDate," (FUTURE)",""))))</f>
        <v/>
      </c>
      <c r="T136" s="11" t="str">
        <f aca="false">IF(AO136=0,"",IF(AS136&lt;&gt;"",$L136,IF(AR136&lt;&gt;"",$I136,$F136)))</f>
        <v/>
      </c>
      <c r="U136" s="26" t="str">
        <f aca="false">IF(AO136=0,"",IF(AS136&lt;&gt;"",$M136,IF(AR136&lt;&gt;"",$J136,$G136)))</f>
        <v/>
      </c>
      <c r="V136" s="11" t="str">
        <f aca="false">IF(AO136=0,"",IF(AY136="FT","Full-Time",IF(AY136="PT","Part-Time","Not eligible")))</f>
        <v/>
      </c>
      <c r="W136" s="27" t="str">
        <f aca="false">IF(AO136=0,"",IF(AR136="",IF(AND($H136&lt;&gt;"",$H136&gt;AsOfDate),"Future change - not yet applied",""),IF(AND(AV136=AY136,OR(AS136="",AW136=AV136)),"Type changed - same accrual pathway",IF(AY136="None","STOPPED accruing from "&amp;TEXT(IF(AS136&lt;&gt;"",AS136,AR136),"dd/mm/yyyy"),IF(AV136="None","STARTED qualifying from "&amp;TEXT(IF(AS136&lt;&gt;"",AS136,AR136),"dd/mm/yyyy"),"Pathway changed "&amp;AV136&amp;" -&gt; "&amp;AW136&amp;IF(AS136&lt;&gt;""," -&gt; "&amp;AX136,"")&amp;" from "&amp;TEXT(IF(AS136&lt;&gt;"",AS136,AR136),"dd/mm/yyyy"))))))</f>
        <v/>
      </c>
      <c r="X136" s="28" t="str">
        <f aca="false">IF(AO136=0,"",IF($Q136="",AsOfDate,MIN(AsOfDate,$Q136)))</f>
        <v/>
      </c>
      <c r="Y136" s="26" t="str">
        <f aca="false">IF(AO136=0,"",MAX(0,AQ136))</f>
        <v/>
      </c>
      <c r="Z136" s="11" t="str">
        <f aca="false">IF(AO136=0,"",IF(AQ136&lt;0,"Not started",INT(AQ136/12)&amp;"y "&amp;MOD(AQ136,12)&amp;"m"))</f>
        <v/>
      </c>
      <c r="AA136" s="27" t="str">
        <f aca="false">IF(AO136=0,"",IF(BF136=1,"Terminated - balance forfeited",IF(AY136="None",IF(AB136&gt;0,"No longer accruing - "&amp;T136,"Not eligible - "&amp;T136&amp;IF(AND(IFERROR(VLOOKUP(T136,TypeTable,2,0),"None")="PT",N(U136)&lt;PT_MinHours)," (under "&amp;PT_MinHours&amp;" hrs)","")),IF(AB136&gt;0,"Yes - accruing","Not yet - qualifies "&amp;TEXT(AD136,"dd/mm/yyyy")))))</f>
        <v/>
      </c>
      <c r="AB136" s="26" t="str">
        <f aca="false">IF(AO136=0,"",AZ136+IF(AR136="",0,BB136-BA136)+IF(AS136="",0,BD136-BC136))</f>
        <v/>
      </c>
      <c r="AC136" s="26" t="str">
        <f aca="false">IF(AO136=0,"",AB136*HoursPerDay)</f>
        <v/>
      </c>
      <c r="AD136" s="28" t="str">
        <f aca="false">IF(AO136=0,"",IF(OR(BF136=1,AY136="None"),"",EDATE($E136+AP136,BE136)))</f>
        <v/>
      </c>
      <c r="AE136" s="26" t="str">
        <f aca="false">IF(AD136="","",IF(AY136="PT",1,IF(BE136&lt;FT_Y5,1,IF(MOD(BE136-FT_Y5,12)=0,FT_AnnivDays,1))))</f>
        <v/>
      </c>
      <c r="AF136" s="27" t="str">
        <f aca="false">IF(AO136=0,"",IF(NOT(EH_Ready),"Map headers",IF(IF(MatchMode="Employee ID",COUNTIFS(INDEX(EH_Data,0,EH_ColID),$A136,INDEX(EH_Data,0,EH_ColCat),BonusCat),COUNTIFS(INDEX(EH_Data,0,EH_ColFirst),$B136,INDEX(EH_Data,0,EH_ColSur),$C136,INDEX(EH_Data,0,EH_ColCat),BonusCat))&gt;0,"Yes","No")))</f>
        <v/>
      </c>
      <c r="AG136" s="26" t="str">
        <f aca="false">IF(AO136=0,"",IF(NOT(EH_Ready),"",IF(MatchMode="Employee ID",SUMIFS(INDEX(EH_Data,0,EH_ColBal),INDEX(EH_Data,0,EH_ColID),$A136,INDEX(EH_Data,0,EH_ColCat),BonusCat),SUMIFS(INDEX(EH_Data,0,EH_ColBal),INDEX(EH_Data,0,EH_ColFirst),$B136,INDEX(EH_Data,0,EH_ColSur),$C136,INDEX(EH_Data,0,EH_ColCat),BonusCat))/IF(EHUnit="Hours",HoursPerDay,1)))</f>
        <v/>
      </c>
      <c r="AH136" s="26" t="str">
        <f aca="false">IF(AO136=0,"",IF(NOT(TK_Ready),0,IF(MatchMode="Employee ID",SUMIFS(INDEX(TK_Data,0,TK_ColAmt),INDEX(TK_Data,0,TK_ColID),$A136,INDEX(TK_Data,0,TK_ColCat),BonusCat),SUMIFS(INDEX(TK_Data,0,TK_ColAmt),INDEX(TK_Data,0,TK_ColFirst),$B136,INDEX(TK_Data,0,TK_ColSur),$C136,INDEX(TK_Data,0,TK_ColCat),BonusCat))/IF(TKUnit="Hours",HoursPerDay,1)))</f>
        <v/>
      </c>
      <c r="AI136" s="26" t="str">
        <f aca="false">IF(AO136=0,"",N(AG136)+N(AH136))</f>
        <v/>
      </c>
      <c r="AJ136" s="29" t="str">
        <f aca="false">IF(AO136=0,"",IF(NOT(AND(EH_Ready,EH_ValReady)),"",IF(MatchMode="Employee ID",SUMIFS(INDEX(EH_Data,0,EH_ColVal),INDEX(EH_Data,0,EH_ColID),$A136,INDEX(EH_Data,0,EH_ColCat),BonusCat),SUMIFS(INDEX(EH_Data,0,EH_ColVal),INDEX(EH_Data,0,EH_ColFirst),$B136,INDEX(EH_Data,0,EH_ColSur),$C136,INDEX(EH_Data,0,EH_ColCat),BonusCat))))</f>
        <v/>
      </c>
      <c r="AK136" s="26" t="str">
        <f aca="false">IF(AO136=0,"",IF(OR(NOT(EH_Ready),BF136=1),"",AB136-AI136))</f>
        <v/>
      </c>
      <c r="AL136" s="26" t="str">
        <f aca="false">IF(AK136="","",AK136*HoursPerDay)</f>
        <v/>
      </c>
      <c r="AM136" s="27" t="str">
        <f aca="false">IF(AO136=0,"",IF(BF136=1,IF(N(AG136)&gt;0,"TERMINATED - forfeit "&amp;TEXT(AG136,"0.##")&amp;" days still in EH","Terminated - nothing in EH"),IF(NOT(EH_Ready),"Paste EH export and map headers on Settings",IF(AND(AB136&gt;0,AF136="No"),"SET UP in EH - add "&amp;TEXT(AB136,"0.##")&amp;" day(s) ("&amp;TEXT(AC136,"0.##")&amp;" hrs)",IF(AK136&gt;0,"ADD "&amp;TEXT(AK136,"0.##")&amp;" day(s) ("&amp;TEXT(AL136,"0.##")&amp;" hrs) in EH",IF(AK136&lt;0,"CHECK - EH shows "&amp;TEXT(-AK136,"0.##")&amp;" days more than policy",IF(AB136&gt;0,"OK - up to date",IF(AY136="None","No action - not eligible","No action - not yet qualified"))))))))</f>
        <v/>
      </c>
      <c r="AN136" s="27" t="str">
        <f aca="false">IF(AO136=0,"",TRIM(IF(AND($K136&lt;&gt;"",$H136=""),"Change 2 entered without Change 1. ","")&amp;IF(AND($K136&lt;&gt;"",$H136&lt;&gt;"",$K136&lt;=$H136),"Change 2 date not after Change 1. ","")&amp;IF(AND($N136&lt;&gt;"",$O136&lt;&gt;"",$O136&lt;$N136),"Leave To is before Leave From. ","")&amp;IF(AND($N136&lt;&gt;"",$O136=""),"Leave From entered without Leave To. ","")&amp;IF(AND(IFERROR(VLOOKUP(T136,TypeTable,2,0),"None")="PT",U136=""),"Part-time with no hours entered. ","")&amp;IF(AND($H136&lt;&gt;"",$H136&gt;AsOfDate,AD136&lt;&gt;"",$H136&lt;=AD136),"Status change lands before next accrual - review. ","")&amp;IF(AND($Q136&lt;&gt;"",$Q136&lt;$E136),"Termination before commencement. ","")))</f>
        <v/>
      </c>
      <c r="AO136" s="11" t="n">
        <f aca="false">IF(LEN($A136&amp;$B136&amp;$C136)=0,0,IF($E136="",0,1))</f>
        <v>0</v>
      </c>
      <c r="AP136" s="11" t="str">
        <f aca="false">IF(AO136=0,"",(IF(OR($N136="",$O136=""),0,MAX(0,MIN(X136,$O136)-MAX($N136,$E136)+1))+N($P136)))</f>
        <v/>
      </c>
      <c r="AQ136" s="11" t="str">
        <f aca="false">IF(AO136=0,"",IF(X136&lt;($E136+(IF(OR($N136="",$O136=""),0,MAX(0,MIN(X136,$O136)-MAX($N136,$E136)+1))+N($P136))),-1,12*(YEAR(X136)-YEAR(($E136+(IF(OR($N136="",$O136=""),0,MAX(0,MIN(X136,$O136)-MAX($N136,$E136)+1))+N($P136)))))+MONTH(X136)-MONTH(($E136+(IF(OR($N136="",$O136=""),0,MAX(0,MIN(X136,$O136)-MAX($N136,$E136)+1))+N($P136))))-IF(DAY(X136)&lt;MIN(DAY(($E136+(IF(OR($N136="",$O136=""),0,MAX(0,MIN(X136,$O136)-MAX($N136,$E136)+1))+N($P136)))),DAY(EOMONTH(X136,0))),1,0)))</f>
        <v/>
      </c>
      <c r="AR136" s="28" t="str">
        <f aca="false">IF(AO136=0,"",IF($H136="","",IF($H136&gt;X136,"",$H136)))</f>
        <v/>
      </c>
      <c r="AS136" s="28" t="str">
        <f aca="false">IF(AO136=0,"",IF(AR136="","",IF($K136="","",IF($K136&gt;X136,"",$K136))))</f>
        <v/>
      </c>
      <c r="AT136" s="11" t="str">
        <f aca="false">IF(AO136=0,"",IF(AR136="",AQ136,IF((AR136-1)&lt;($E136+(IF(OR($N136="",$O136=""),0,MAX(0,MIN((AR136-1),$O136)-MAX($N136,$E136)+1))+N($P136))),-1,12*(YEAR((AR136-1))-YEAR(($E136+(IF(OR($N136="",$O136=""),0,MAX(0,MIN((AR136-1),$O136)-MAX($N136,$E136)+1))+N($P136)))))+MONTH((AR136-1))-MONTH(($E136+(IF(OR($N136="",$O136=""),0,MAX(0,MIN((AR136-1),$O136)-MAX($N136,$E136)+1))+N($P136))))-IF(DAY((AR136-1))&lt;MIN(DAY(($E136+(IF(OR($N136="",$O136=""),0,MAX(0,MIN((AR136-1),$O136)-MAX($N136,$E136)+1))+N($P136)))),DAY(EOMONTH((AR136-1),0))),1,0))))</f>
        <v/>
      </c>
      <c r="AU136" s="11" t="str">
        <f aca="false">IF(AO136=0,"",IF(AS136="",AQ136,IF((AS136-1)&lt;($E136+(IF(OR($N136="",$O136=""),0,MAX(0,MIN((AS136-1),$O136)-MAX($N136,$E136)+1))+N($P136))),-1,12*(YEAR((AS136-1))-YEAR(($E136+(IF(OR($N136="",$O136=""),0,MAX(0,MIN((AS136-1),$O136)-MAX($N136,$E136)+1))+N($P136)))))+MONTH((AS136-1))-MONTH(($E136+(IF(OR($N136="",$O136=""),0,MAX(0,MIN((AS136-1),$O136)-MAX($N136,$E136)+1))+N($P136))))-IF(DAY((AS136-1))&lt;MIN(DAY(($E136+(IF(OR($N136="",$O136=""),0,MAX(0,MIN((AS136-1),$O136)-MAX($N136,$E136)+1))+N($P136)))),DAY(EOMONTH((AS136-1),0))),1,0))))</f>
        <v/>
      </c>
      <c r="AV136" s="11" t="str">
        <f aca="false">IF(AO136=0,"",IF($F136="","None",IF(IFERROR(VLOOKUP($F136,TypeTable,2,0),"None")="PT",IF(N($G136)&gt;=PT_MinHours,"PT","None"),IFERROR(VLOOKUP($F136,TypeTable,2,0),"None"))))</f>
        <v/>
      </c>
      <c r="AW136" s="11" t="str">
        <f aca="false">IF(AO136=0,"",IF($I136="","None",IF(IFERROR(VLOOKUP($I136,TypeTable,2,0),"None")="PT",IF(N($J136)&gt;=PT_MinHours,"PT","None"),IFERROR(VLOOKUP($I136,TypeTable,2,0),"None"))))</f>
        <v/>
      </c>
      <c r="AX136" s="11" t="str">
        <f aca="false">IF(AO136=0,"",IF($L136="","None",IF(IFERROR(VLOOKUP($L136,TypeTable,2,0),"None")="PT",IF(N($M136)&gt;=PT_MinHours,"PT","None"),IFERROR(VLOOKUP($L136,TypeTable,2,0),"None"))))</f>
        <v/>
      </c>
      <c r="AY136" s="11" t="str">
        <f aca="false">IF(AO136=0,"",IF(AS136&lt;&gt;"",AX136,IF(AR136&lt;&gt;"",AW136,AV136)))</f>
        <v/>
      </c>
      <c r="AZ136" s="11" t="str">
        <f aca="false">IF(AO136=0,"",IF(AV136="FT",IF(AT136&lt;FT_First,0,IF(AT136&lt;FT_Y5,1+INT((AT136-FT_First)/FT_Int1),FT_PreY5+FT_PerYear*INT((AT136-FT_Y5)/12)+FT_AnnivDays+INT(MOD(AT136-FT_Y5,12)/FT_Int2))),IF(AV136="PT",IF(AT136&lt;PT_First,0,1+INT((AT136-PT_First)/PT_Int)),0)))</f>
        <v/>
      </c>
      <c r="BA136" s="11" t="str">
        <f aca="false">IF(AO136=0,"",IF(AW136="FT",IF(AT136&lt;FT_First,0,IF(AT136&lt;FT_Y5,1+INT((AT136-FT_First)/FT_Int1),FT_PreY5+FT_PerYear*INT((AT136-FT_Y5)/12)+FT_AnnivDays+INT(MOD(AT136-FT_Y5,12)/FT_Int2))),IF(AW136="PT",IF(AT136&lt;PT_First,0,1+INT((AT136-PT_First)/PT_Int)),0)))</f>
        <v/>
      </c>
      <c r="BB136" s="11" t="str">
        <f aca="false">IF(AO136=0,"",IF(AW136="FT",IF(AU136&lt;FT_First,0,IF(AU136&lt;FT_Y5,1+INT((AU136-FT_First)/FT_Int1),FT_PreY5+FT_PerYear*INT((AU136-FT_Y5)/12)+FT_AnnivDays+INT(MOD(AU136-FT_Y5,12)/FT_Int2))),IF(AW136="PT",IF(AU136&lt;PT_First,0,1+INT((AU136-PT_First)/PT_Int)),0)))</f>
        <v/>
      </c>
      <c r="BC136" s="11" t="str">
        <f aca="false">IF(AO136=0,"",IF(AX136="FT",IF(AU136&lt;FT_First,0,IF(AU136&lt;FT_Y5,1+INT((AU136-FT_First)/FT_Int1),FT_PreY5+FT_PerYear*INT((AU136-FT_Y5)/12)+FT_AnnivDays+INT(MOD(AU136-FT_Y5,12)/FT_Int2))),IF(AX136="PT",IF(AU136&lt;PT_First,0,1+INT((AU136-PT_First)/PT_Int)),0)))</f>
        <v/>
      </c>
      <c r="BD136" s="11" t="str">
        <f aca="false">IF(AO136=0,"",IF(AX136="FT",IF(AQ136&lt;FT_First,0,IF(AQ136&lt;FT_Y5,1+INT((AQ136-FT_First)/FT_Int1),FT_PreY5+FT_PerYear*INT((AQ136-FT_Y5)/12)+FT_AnnivDays+INT(MOD(AQ136-FT_Y5,12)/FT_Int2))),IF(AX136="PT",IF(AQ136&lt;PT_First,0,1+INT((AQ136-PT_First)/PT_Int)),0)))</f>
        <v/>
      </c>
      <c r="BE136" s="11" t="str">
        <f aca="false">IF(AO136=0,"",IF(AY136="FT",IF(AQ136&lt;FT_First,FT_First,IF(AQ136&lt;FT_Y5,MIN(FT_Y5,FT_First+FT_Int1*(INT((AQ136-FT_First)/FT_Int1)+1)),FT_Y5+12*INT((AQ136-FT_Y5)/12)+FT_Int2*(INT(MOD(AQ136-FT_Y5,12)/FT_Int2)+1))),IF(AY136="PT",IF(AQ136&lt;PT_First,PT_First,PT_First+PT_Int*(INT((AQ136-PT_First)/PT_Int)+1)),"")))</f>
        <v/>
      </c>
      <c r="BF136" s="11" t="n">
        <f aca="false">IF(AO136=0,0,IF(AND($Q136&lt;&gt;"",$Q136&lt;=AsOfDate),1,0))</f>
        <v>0</v>
      </c>
      <c r="BG136" s="11" t="str">
        <f aca="false">IF(AND(AO136=1,BF136=0,EH_Ready,N(AB136)&gt;0,N(AI136)=0),COUNT($BG$5:BG135)+1,"")</f>
        <v/>
      </c>
      <c r="BH136" s="11" t="str">
        <f aca="false">IF(AND(AO136=1,BF136=0,EH_Ready,N(AB136)&gt;0,N(AI136)&gt;0,N(AK136)&gt;0),COUNT($BH$5:BH135)+1,"")</f>
        <v/>
      </c>
      <c r="BI136" s="11" t="str">
        <f aca="false">IF(AND(AO136=1,OR(LEFT(AM136,3)="ADD",LEFT(AM136,3)="SET",LEFT(AM136,5)="CHECK",LEFT(AM136,10)="TERMINATED")),COUNT($BI$5:BI135)+1,"")</f>
        <v/>
      </c>
      <c r="BJ136" s="11" t="str">
        <f aca="false">IF(AO136=0,"",$A136&amp;" - "&amp;$B136&amp;" "&amp;$C136)</f>
        <v/>
      </c>
    </row>
    <row r="137" customFormat="false" ht="15" hidden="false" customHeight="false" outlineLevel="0" collapsed="false">
      <c r="A137" s="10"/>
      <c r="B137" s="10"/>
      <c r="C137" s="10"/>
      <c r="D137" s="10"/>
      <c r="E137" s="9"/>
      <c r="F137" s="10"/>
      <c r="G137" s="30"/>
      <c r="H137" s="9"/>
      <c r="I137" s="10"/>
      <c r="J137" s="30"/>
      <c r="K137" s="9"/>
      <c r="L137" s="10"/>
      <c r="M137" s="30"/>
      <c r="N137" s="9"/>
      <c r="O137" s="9"/>
      <c r="P137" s="30"/>
      <c r="Q137" s="9"/>
      <c r="R137" s="10"/>
      <c r="S137" s="11" t="str">
        <f aca="false">IF(AO137=0,"",IF($H137="","",$F137&amp;" -&gt; "&amp;$I137&amp;IF($I137="Part-Time"," ("&amp;N($J137)&amp;" hrs)","")&amp;" on "&amp;TEXT($H137,"dd/mm/yyyy")&amp;IF($H137&gt;AsOfDate," (FUTURE)","")&amp;IF($K137="","","; "&amp;$I137&amp;" -&gt; "&amp;$L137&amp;IF($L137="Part-Time"," ("&amp;N($M137)&amp;" hrs)","")&amp;" on "&amp;TEXT($K137,"dd/mm/yyyy")&amp;IF($K137&gt;AsOfDate," (FUTURE)",""))))</f>
        <v/>
      </c>
      <c r="T137" s="11" t="str">
        <f aca="false">IF(AO137=0,"",IF(AS137&lt;&gt;"",$L137,IF(AR137&lt;&gt;"",$I137,$F137)))</f>
        <v/>
      </c>
      <c r="U137" s="26" t="str">
        <f aca="false">IF(AO137=0,"",IF(AS137&lt;&gt;"",$M137,IF(AR137&lt;&gt;"",$J137,$G137)))</f>
        <v/>
      </c>
      <c r="V137" s="11" t="str">
        <f aca="false">IF(AO137=0,"",IF(AY137="FT","Full-Time",IF(AY137="PT","Part-Time","Not eligible")))</f>
        <v/>
      </c>
      <c r="W137" s="27" t="str">
        <f aca="false">IF(AO137=0,"",IF(AR137="",IF(AND($H137&lt;&gt;"",$H137&gt;AsOfDate),"Future change - not yet applied",""),IF(AND(AV137=AY137,OR(AS137="",AW137=AV137)),"Type changed - same accrual pathway",IF(AY137="None","STOPPED accruing from "&amp;TEXT(IF(AS137&lt;&gt;"",AS137,AR137),"dd/mm/yyyy"),IF(AV137="None","STARTED qualifying from "&amp;TEXT(IF(AS137&lt;&gt;"",AS137,AR137),"dd/mm/yyyy"),"Pathway changed "&amp;AV137&amp;" -&gt; "&amp;AW137&amp;IF(AS137&lt;&gt;""," -&gt; "&amp;AX137,"")&amp;" from "&amp;TEXT(IF(AS137&lt;&gt;"",AS137,AR137),"dd/mm/yyyy"))))))</f>
        <v/>
      </c>
      <c r="X137" s="28" t="str">
        <f aca="false">IF(AO137=0,"",IF($Q137="",AsOfDate,MIN(AsOfDate,$Q137)))</f>
        <v/>
      </c>
      <c r="Y137" s="26" t="str">
        <f aca="false">IF(AO137=0,"",MAX(0,AQ137))</f>
        <v/>
      </c>
      <c r="Z137" s="11" t="str">
        <f aca="false">IF(AO137=0,"",IF(AQ137&lt;0,"Not started",INT(AQ137/12)&amp;"y "&amp;MOD(AQ137,12)&amp;"m"))</f>
        <v/>
      </c>
      <c r="AA137" s="27" t="str">
        <f aca="false">IF(AO137=0,"",IF(BF137=1,"Terminated - balance forfeited",IF(AY137="None",IF(AB137&gt;0,"No longer accruing - "&amp;T137,"Not eligible - "&amp;T137&amp;IF(AND(IFERROR(VLOOKUP(T137,TypeTable,2,0),"None")="PT",N(U137)&lt;PT_MinHours)," (under "&amp;PT_MinHours&amp;" hrs)","")),IF(AB137&gt;0,"Yes - accruing","Not yet - qualifies "&amp;TEXT(AD137,"dd/mm/yyyy")))))</f>
        <v/>
      </c>
      <c r="AB137" s="26" t="str">
        <f aca="false">IF(AO137=0,"",AZ137+IF(AR137="",0,BB137-BA137)+IF(AS137="",0,BD137-BC137))</f>
        <v/>
      </c>
      <c r="AC137" s="26" t="str">
        <f aca="false">IF(AO137=0,"",AB137*HoursPerDay)</f>
        <v/>
      </c>
      <c r="AD137" s="28" t="str">
        <f aca="false">IF(AO137=0,"",IF(OR(BF137=1,AY137="None"),"",EDATE($E137+AP137,BE137)))</f>
        <v/>
      </c>
      <c r="AE137" s="26" t="str">
        <f aca="false">IF(AD137="","",IF(AY137="PT",1,IF(BE137&lt;FT_Y5,1,IF(MOD(BE137-FT_Y5,12)=0,FT_AnnivDays,1))))</f>
        <v/>
      </c>
      <c r="AF137" s="27" t="str">
        <f aca="false">IF(AO137=0,"",IF(NOT(EH_Ready),"Map headers",IF(IF(MatchMode="Employee ID",COUNTIFS(INDEX(EH_Data,0,EH_ColID),$A137,INDEX(EH_Data,0,EH_ColCat),BonusCat),COUNTIFS(INDEX(EH_Data,0,EH_ColFirst),$B137,INDEX(EH_Data,0,EH_ColSur),$C137,INDEX(EH_Data,0,EH_ColCat),BonusCat))&gt;0,"Yes","No")))</f>
        <v/>
      </c>
      <c r="AG137" s="26" t="str">
        <f aca="false">IF(AO137=0,"",IF(NOT(EH_Ready),"",IF(MatchMode="Employee ID",SUMIFS(INDEX(EH_Data,0,EH_ColBal),INDEX(EH_Data,0,EH_ColID),$A137,INDEX(EH_Data,0,EH_ColCat),BonusCat),SUMIFS(INDEX(EH_Data,0,EH_ColBal),INDEX(EH_Data,0,EH_ColFirst),$B137,INDEX(EH_Data,0,EH_ColSur),$C137,INDEX(EH_Data,0,EH_ColCat),BonusCat))/IF(EHUnit="Hours",HoursPerDay,1)))</f>
        <v/>
      </c>
      <c r="AH137" s="26" t="str">
        <f aca="false">IF(AO137=0,"",IF(NOT(TK_Ready),0,IF(MatchMode="Employee ID",SUMIFS(INDEX(TK_Data,0,TK_ColAmt),INDEX(TK_Data,0,TK_ColID),$A137,INDEX(TK_Data,0,TK_ColCat),BonusCat),SUMIFS(INDEX(TK_Data,0,TK_ColAmt),INDEX(TK_Data,0,TK_ColFirst),$B137,INDEX(TK_Data,0,TK_ColSur),$C137,INDEX(TK_Data,0,TK_ColCat),BonusCat))/IF(TKUnit="Hours",HoursPerDay,1)))</f>
        <v/>
      </c>
      <c r="AI137" s="26" t="str">
        <f aca="false">IF(AO137=0,"",N(AG137)+N(AH137))</f>
        <v/>
      </c>
      <c r="AJ137" s="29" t="str">
        <f aca="false">IF(AO137=0,"",IF(NOT(AND(EH_Ready,EH_ValReady)),"",IF(MatchMode="Employee ID",SUMIFS(INDEX(EH_Data,0,EH_ColVal),INDEX(EH_Data,0,EH_ColID),$A137,INDEX(EH_Data,0,EH_ColCat),BonusCat),SUMIFS(INDEX(EH_Data,0,EH_ColVal),INDEX(EH_Data,0,EH_ColFirst),$B137,INDEX(EH_Data,0,EH_ColSur),$C137,INDEX(EH_Data,0,EH_ColCat),BonusCat))))</f>
        <v/>
      </c>
      <c r="AK137" s="26" t="str">
        <f aca="false">IF(AO137=0,"",IF(OR(NOT(EH_Ready),BF137=1),"",AB137-AI137))</f>
        <v/>
      </c>
      <c r="AL137" s="26" t="str">
        <f aca="false">IF(AK137="","",AK137*HoursPerDay)</f>
        <v/>
      </c>
      <c r="AM137" s="27" t="str">
        <f aca="false">IF(AO137=0,"",IF(BF137=1,IF(N(AG137)&gt;0,"TERMINATED - forfeit "&amp;TEXT(AG137,"0.##")&amp;" days still in EH","Terminated - nothing in EH"),IF(NOT(EH_Ready),"Paste EH export and map headers on Settings",IF(AND(AB137&gt;0,AF137="No"),"SET UP in EH - add "&amp;TEXT(AB137,"0.##")&amp;" day(s) ("&amp;TEXT(AC137,"0.##")&amp;" hrs)",IF(AK137&gt;0,"ADD "&amp;TEXT(AK137,"0.##")&amp;" day(s) ("&amp;TEXT(AL137,"0.##")&amp;" hrs) in EH",IF(AK137&lt;0,"CHECK - EH shows "&amp;TEXT(-AK137,"0.##")&amp;" days more than policy",IF(AB137&gt;0,"OK - up to date",IF(AY137="None","No action - not eligible","No action - not yet qualified"))))))))</f>
        <v/>
      </c>
      <c r="AN137" s="27" t="str">
        <f aca="false">IF(AO137=0,"",TRIM(IF(AND($K137&lt;&gt;"",$H137=""),"Change 2 entered without Change 1. ","")&amp;IF(AND($K137&lt;&gt;"",$H137&lt;&gt;"",$K137&lt;=$H137),"Change 2 date not after Change 1. ","")&amp;IF(AND($N137&lt;&gt;"",$O137&lt;&gt;"",$O137&lt;$N137),"Leave To is before Leave From. ","")&amp;IF(AND($N137&lt;&gt;"",$O137=""),"Leave From entered without Leave To. ","")&amp;IF(AND(IFERROR(VLOOKUP(T137,TypeTable,2,0),"None")="PT",U137=""),"Part-time with no hours entered. ","")&amp;IF(AND($H137&lt;&gt;"",$H137&gt;AsOfDate,AD137&lt;&gt;"",$H137&lt;=AD137),"Status change lands before next accrual - review. ","")&amp;IF(AND($Q137&lt;&gt;"",$Q137&lt;$E137),"Termination before commencement. ","")))</f>
        <v/>
      </c>
      <c r="AO137" s="11" t="n">
        <f aca="false">IF(LEN($A137&amp;$B137&amp;$C137)=0,0,IF($E137="",0,1))</f>
        <v>0</v>
      </c>
      <c r="AP137" s="11" t="str">
        <f aca="false">IF(AO137=0,"",(IF(OR($N137="",$O137=""),0,MAX(0,MIN(X137,$O137)-MAX($N137,$E137)+1))+N($P137)))</f>
        <v/>
      </c>
      <c r="AQ137" s="11" t="str">
        <f aca="false">IF(AO137=0,"",IF(X137&lt;($E137+(IF(OR($N137="",$O137=""),0,MAX(0,MIN(X137,$O137)-MAX($N137,$E137)+1))+N($P137))),-1,12*(YEAR(X137)-YEAR(($E137+(IF(OR($N137="",$O137=""),0,MAX(0,MIN(X137,$O137)-MAX($N137,$E137)+1))+N($P137)))))+MONTH(X137)-MONTH(($E137+(IF(OR($N137="",$O137=""),0,MAX(0,MIN(X137,$O137)-MAX($N137,$E137)+1))+N($P137))))-IF(DAY(X137)&lt;MIN(DAY(($E137+(IF(OR($N137="",$O137=""),0,MAX(0,MIN(X137,$O137)-MAX($N137,$E137)+1))+N($P137)))),DAY(EOMONTH(X137,0))),1,0)))</f>
        <v/>
      </c>
      <c r="AR137" s="28" t="str">
        <f aca="false">IF(AO137=0,"",IF($H137="","",IF($H137&gt;X137,"",$H137)))</f>
        <v/>
      </c>
      <c r="AS137" s="28" t="str">
        <f aca="false">IF(AO137=0,"",IF(AR137="","",IF($K137="","",IF($K137&gt;X137,"",$K137))))</f>
        <v/>
      </c>
      <c r="AT137" s="11" t="str">
        <f aca="false">IF(AO137=0,"",IF(AR137="",AQ137,IF((AR137-1)&lt;($E137+(IF(OR($N137="",$O137=""),0,MAX(0,MIN((AR137-1),$O137)-MAX($N137,$E137)+1))+N($P137))),-1,12*(YEAR((AR137-1))-YEAR(($E137+(IF(OR($N137="",$O137=""),0,MAX(0,MIN((AR137-1),$O137)-MAX($N137,$E137)+1))+N($P137)))))+MONTH((AR137-1))-MONTH(($E137+(IF(OR($N137="",$O137=""),0,MAX(0,MIN((AR137-1),$O137)-MAX($N137,$E137)+1))+N($P137))))-IF(DAY((AR137-1))&lt;MIN(DAY(($E137+(IF(OR($N137="",$O137=""),0,MAX(0,MIN((AR137-1),$O137)-MAX($N137,$E137)+1))+N($P137)))),DAY(EOMONTH((AR137-1),0))),1,0))))</f>
        <v/>
      </c>
      <c r="AU137" s="11" t="str">
        <f aca="false">IF(AO137=0,"",IF(AS137="",AQ137,IF((AS137-1)&lt;($E137+(IF(OR($N137="",$O137=""),0,MAX(0,MIN((AS137-1),$O137)-MAX($N137,$E137)+1))+N($P137))),-1,12*(YEAR((AS137-1))-YEAR(($E137+(IF(OR($N137="",$O137=""),0,MAX(0,MIN((AS137-1),$O137)-MAX($N137,$E137)+1))+N($P137)))))+MONTH((AS137-1))-MONTH(($E137+(IF(OR($N137="",$O137=""),0,MAX(0,MIN((AS137-1),$O137)-MAX($N137,$E137)+1))+N($P137))))-IF(DAY((AS137-1))&lt;MIN(DAY(($E137+(IF(OR($N137="",$O137=""),0,MAX(0,MIN((AS137-1),$O137)-MAX($N137,$E137)+1))+N($P137)))),DAY(EOMONTH((AS137-1),0))),1,0))))</f>
        <v/>
      </c>
      <c r="AV137" s="11" t="str">
        <f aca="false">IF(AO137=0,"",IF($F137="","None",IF(IFERROR(VLOOKUP($F137,TypeTable,2,0),"None")="PT",IF(N($G137)&gt;=PT_MinHours,"PT","None"),IFERROR(VLOOKUP($F137,TypeTable,2,0),"None"))))</f>
        <v/>
      </c>
      <c r="AW137" s="11" t="str">
        <f aca="false">IF(AO137=0,"",IF($I137="","None",IF(IFERROR(VLOOKUP($I137,TypeTable,2,0),"None")="PT",IF(N($J137)&gt;=PT_MinHours,"PT","None"),IFERROR(VLOOKUP($I137,TypeTable,2,0),"None"))))</f>
        <v/>
      </c>
      <c r="AX137" s="11" t="str">
        <f aca="false">IF(AO137=0,"",IF($L137="","None",IF(IFERROR(VLOOKUP($L137,TypeTable,2,0),"None")="PT",IF(N($M137)&gt;=PT_MinHours,"PT","None"),IFERROR(VLOOKUP($L137,TypeTable,2,0),"None"))))</f>
        <v/>
      </c>
      <c r="AY137" s="11" t="str">
        <f aca="false">IF(AO137=0,"",IF(AS137&lt;&gt;"",AX137,IF(AR137&lt;&gt;"",AW137,AV137)))</f>
        <v/>
      </c>
      <c r="AZ137" s="11" t="str">
        <f aca="false">IF(AO137=0,"",IF(AV137="FT",IF(AT137&lt;FT_First,0,IF(AT137&lt;FT_Y5,1+INT((AT137-FT_First)/FT_Int1),FT_PreY5+FT_PerYear*INT((AT137-FT_Y5)/12)+FT_AnnivDays+INT(MOD(AT137-FT_Y5,12)/FT_Int2))),IF(AV137="PT",IF(AT137&lt;PT_First,0,1+INT((AT137-PT_First)/PT_Int)),0)))</f>
        <v/>
      </c>
      <c r="BA137" s="11" t="str">
        <f aca="false">IF(AO137=0,"",IF(AW137="FT",IF(AT137&lt;FT_First,0,IF(AT137&lt;FT_Y5,1+INT((AT137-FT_First)/FT_Int1),FT_PreY5+FT_PerYear*INT((AT137-FT_Y5)/12)+FT_AnnivDays+INT(MOD(AT137-FT_Y5,12)/FT_Int2))),IF(AW137="PT",IF(AT137&lt;PT_First,0,1+INT((AT137-PT_First)/PT_Int)),0)))</f>
        <v/>
      </c>
      <c r="BB137" s="11" t="str">
        <f aca="false">IF(AO137=0,"",IF(AW137="FT",IF(AU137&lt;FT_First,0,IF(AU137&lt;FT_Y5,1+INT((AU137-FT_First)/FT_Int1),FT_PreY5+FT_PerYear*INT((AU137-FT_Y5)/12)+FT_AnnivDays+INT(MOD(AU137-FT_Y5,12)/FT_Int2))),IF(AW137="PT",IF(AU137&lt;PT_First,0,1+INT((AU137-PT_First)/PT_Int)),0)))</f>
        <v/>
      </c>
      <c r="BC137" s="11" t="str">
        <f aca="false">IF(AO137=0,"",IF(AX137="FT",IF(AU137&lt;FT_First,0,IF(AU137&lt;FT_Y5,1+INT((AU137-FT_First)/FT_Int1),FT_PreY5+FT_PerYear*INT((AU137-FT_Y5)/12)+FT_AnnivDays+INT(MOD(AU137-FT_Y5,12)/FT_Int2))),IF(AX137="PT",IF(AU137&lt;PT_First,0,1+INT((AU137-PT_First)/PT_Int)),0)))</f>
        <v/>
      </c>
      <c r="BD137" s="11" t="str">
        <f aca="false">IF(AO137=0,"",IF(AX137="FT",IF(AQ137&lt;FT_First,0,IF(AQ137&lt;FT_Y5,1+INT((AQ137-FT_First)/FT_Int1),FT_PreY5+FT_PerYear*INT((AQ137-FT_Y5)/12)+FT_AnnivDays+INT(MOD(AQ137-FT_Y5,12)/FT_Int2))),IF(AX137="PT",IF(AQ137&lt;PT_First,0,1+INT((AQ137-PT_First)/PT_Int)),0)))</f>
        <v/>
      </c>
      <c r="BE137" s="11" t="str">
        <f aca="false">IF(AO137=0,"",IF(AY137="FT",IF(AQ137&lt;FT_First,FT_First,IF(AQ137&lt;FT_Y5,MIN(FT_Y5,FT_First+FT_Int1*(INT((AQ137-FT_First)/FT_Int1)+1)),FT_Y5+12*INT((AQ137-FT_Y5)/12)+FT_Int2*(INT(MOD(AQ137-FT_Y5,12)/FT_Int2)+1))),IF(AY137="PT",IF(AQ137&lt;PT_First,PT_First,PT_First+PT_Int*(INT((AQ137-PT_First)/PT_Int)+1)),"")))</f>
        <v/>
      </c>
      <c r="BF137" s="11" t="n">
        <f aca="false">IF(AO137=0,0,IF(AND($Q137&lt;&gt;"",$Q137&lt;=AsOfDate),1,0))</f>
        <v>0</v>
      </c>
      <c r="BG137" s="11" t="str">
        <f aca="false">IF(AND(AO137=1,BF137=0,EH_Ready,N(AB137)&gt;0,N(AI137)=0),COUNT($BG$5:BG136)+1,"")</f>
        <v/>
      </c>
      <c r="BH137" s="11" t="str">
        <f aca="false">IF(AND(AO137=1,BF137=0,EH_Ready,N(AB137)&gt;0,N(AI137)&gt;0,N(AK137)&gt;0),COUNT($BH$5:BH136)+1,"")</f>
        <v/>
      </c>
      <c r="BI137" s="11" t="str">
        <f aca="false">IF(AND(AO137=1,OR(LEFT(AM137,3)="ADD",LEFT(AM137,3)="SET",LEFT(AM137,5)="CHECK",LEFT(AM137,10)="TERMINATED")),COUNT($BI$5:BI136)+1,"")</f>
        <v/>
      </c>
      <c r="BJ137" s="11" t="str">
        <f aca="false">IF(AO137=0,"",$A137&amp;" - "&amp;$B137&amp;" "&amp;$C137)</f>
        <v/>
      </c>
    </row>
    <row r="138" customFormat="false" ht="15" hidden="false" customHeight="false" outlineLevel="0" collapsed="false">
      <c r="A138" s="10"/>
      <c r="B138" s="10"/>
      <c r="C138" s="10"/>
      <c r="D138" s="10"/>
      <c r="E138" s="9"/>
      <c r="F138" s="10"/>
      <c r="G138" s="30"/>
      <c r="H138" s="9"/>
      <c r="I138" s="10"/>
      <c r="J138" s="30"/>
      <c r="K138" s="9"/>
      <c r="L138" s="10"/>
      <c r="M138" s="30"/>
      <c r="N138" s="9"/>
      <c r="O138" s="9"/>
      <c r="P138" s="30"/>
      <c r="Q138" s="9"/>
      <c r="R138" s="10"/>
      <c r="S138" s="11" t="str">
        <f aca="false">IF(AO138=0,"",IF($H138="","",$F138&amp;" -&gt; "&amp;$I138&amp;IF($I138="Part-Time"," ("&amp;N($J138)&amp;" hrs)","")&amp;" on "&amp;TEXT($H138,"dd/mm/yyyy")&amp;IF($H138&gt;AsOfDate," (FUTURE)","")&amp;IF($K138="","","; "&amp;$I138&amp;" -&gt; "&amp;$L138&amp;IF($L138="Part-Time"," ("&amp;N($M138)&amp;" hrs)","")&amp;" on "&amp;TEXT($K138,"dd/mm/yyyy")&amp;IF($K138&gt;AsOfDate," (FUTURE)",""))))</f>
        <v/>
      </c>
      <c r="T138" s="11" t="str">
        <f aca="false">IF(AO138=0,"",IF(AS138&lt;&gt;"",$L138,IF(AR138&lt;&gt;"",$I138,$F138)))</f>
        <v/>
      </c>
      <c r="U138" s="26" t="str">
        <f aca="false">IF(AO138=0,"",IF(AS138&lt;&gt;"",$M138,IF(AR138&lt;&gt;"",$J138,$G138)))</f>
        <v/>
      </c>
      <c r="V138" s="11" t="str">
        <f aca="false">IF(AO138=0,"",IF(AY138="FT","Full-Time",IF(AY138="PT","Part-Time","Not eligible")))</f>
        <v/>
      </c>
      <c r="W138" s="27" t="str">
        <f aca="false">IF(AO138=0,"",IF(AR138="",IF(AND($H138&lt;&gt;"",$H138&gt;AsOfDate),"Future change - not yet applied",""),IF(AND(AV138=AY138,OR(AS138="",AW138=AV138)),"Type changed - same accrual pathway",IF(AY138="None","STOPPED accruing from "&amp;TEXT(IF(AS138&lt;&gt;"",AS138,AR138),"dd/mm/yyyy"),IF(AV138="None","STARTED qualifying from "&amp;TEXT(IF(AS138&lt;&gt;"",AS138,AR138),"dd/mm/yyyy"),"Pathway changed "&amp;AV138&amp;" -&gt; "&amp;AW138&amp;IF(AS138&lt;&gt;""," -&gt; "&amp;AX138,"")&amp;" from "&amp;TEXT(IF(AS138&lt;&gt;"",AS138,AR138),"dd/mm/yyyy"))))))</f>
        <v/>
      </c>
      <c r="X138" s="28" t="str">
        <f aca="false">IF(AO138=0,"",IF($Q138="",AsOfDate,MIN(AsOfDate,$Q138)))</f>
        <v/>
      </c>
      <c r="Y138" s="26" t="str">
        <f aca="false">IF(AO138=0,"",MAX(0,AQ138))</f>
        <v/>
      </c>
      <c r="Z138" s="11" t="str">
        <f aca="false">IF(AO138=0,"",IF(AQ138&lt;0,"Not started",INT(AQ138/12)&amp;"y "&amp;MOD(AQ138,12)&amp;"m"))</f>
        <v/>
      </c>
      <c r="AA138" s="27" t="str">
        <f aca="false">IF(AO138=0,"",IF(BF138=1,"Terminated - balance forfeited",IF(AY138="None",IF(AB138&gt;0,"No longer accruing - "&amp;T138,"Not eligible - "&amp;T138&amp;IF(AND(IFERROR(VLOOKUP(T138,TypeTable,2,0),"None")="PT",N(U138)&lt;PT_MinHours)," (under "&amp;PT_MinHours&amp;" hrs)","")),IF(AB138&gt;0,"Yes - accruing","Not yet - qualifies "&amp;TEXT(AD138,"dd/mm/yyyy")))))</f>
        <v/>
      </c>
      <c r="AB138" s="26" t="str">
        <f aca="false">IF(AO138=0,"",AZ138+IF(AR138="",0,BB138-BA138)+IF(AS138="",0,BD138-BC138))</f>
        <v/>
      </c>
      <c r="AC138" s="26" t="str">
        <f aca="false">IF(AO138=0,"",AB138*HoursPerDay)</f>
        <v/>
      </c>
      <c r="AD138" s="28" t="str">
        <f aca="false">IF(AO138=0,"",IF(OR(BF138=1,AY138="None"),"",EDATE($E138+AP138,BE138)))</f>
        <v/>
      </c>
      <c r="AE138" s="26" t="str">
        <f aca="false">IF(AD138="","",IF(AY138="PT",1,IF(BE138&lt;FT_Y5,1,IF(MOD(BE138-FT_Y5,12)=0,FT_AnnivDays,1))))</f>
        <v/>
      </c>
      <c r="AF138" s="27" t="str">
        <f aca="false">IF(AO138=0,"",IF(NOT(EH_Ready),"Map headers",IF(IF(MatchMode="Employee ID",COUNTIFS(INDEX(EH_Data,0,EH_ColID),$A138,INDEX(EH_Data,0,EH_ColCat),BonusCat),COUNTIFS(INDEX(EH_Data,0,EH_ColFirst),$B138,INDEX(EH_Data,0,EH_ColSur),$C138,INDEX(EH_Data,0,EH_ColCat),BonusCat))&gt;0,"Yes","No")))</f>
        <v/>
      </c>
      <c r="AG138" s="26" t="str">
        <f aca="false">IF(AO138=0,"",IF(NOT(EH_Ready),"",IF(MatchMode="Employee ID",SUMIFS(INDEX(EH_Data,0,EH_ColBal),INDEX(EH_Data,0,EH_ColID),$A138,INDEX(EH_Data,0,EH_ColCat),BonusCat),SUMIFS(INDEX(EH_Data,0,EH_ColBal),INDEX(EH_Data,0,EH_ColFirst),$B138,INDEX(EH_Data,0,EH_ColSur),$C138,INDEX(EH_Data,0,EH_ColCat),BonusCat))/IF(EHUnit="Hours",HoursPerDay,1)))</f>
        <v/>
      </c>
      <c r="AH138" s="26" t="str">
        <f aca="false">IF(AO138=0,"",IF(NOT(TK_Ready),0,IF(MatchMode="Employee ID",SUMIFS(INDEX(TK_Data,0,TK_ColAmt),INDEX(TK_Data,0,TK_ColID),$A138,INDEX(TK_Data,0,TK_ColCat),BonusCat),SUMIFS(INDEX(TK_Data,0,TK_ColAmt),INDEX(TK_Data,0,TK_ColFirst),$B138,INDEX(TK_Data,0,TK_ColSur),$C138,INDEX(TK_Data,0,TK_ColCat),BonusCat))/IF(TKUnit="Hours",HoursPerDay,1)))</f>
        <v/>
      </c>
      <c r="AI138" s="26" t="str">
        <f aca="false">IF(AO138=0,"",N(AG138)+N(AH138))</f>
        <v/>
      </c>
      <c r="AJ138" s="29" t="str">
        <f aca="false">IF(AO138=0,"",IF(NOT(AND(EH_Ready,EH_ValReady)),"",IF(MatchMode="Employee ID",SUMIFS(INDEX(EH_Data,0,EH_ColVal),INDEX(EH_Data,0,EH_ColID),$A138,INDEX(EH_Data,0,EH_ColCat),BonusCat),SUMIFS(INDEX(EH_Data,0,EH_ColVal),INDEX(EH_Data,0,EH_ColFirst),$B138,INDEX(EH_Data,0,EH_ColSur),$C138,INDEX(EH_Data,0,EH_ColCat),BonusCat))))</f>
        <v/>
      </c>
      <c r="AK138" s="26" t="str">
        <f aca="false">IF(AO138=0,"",IF(OR(NOT(EH_Ready),BF138=1),"",AB138-AI138))</f>
        <v/>
      </c>
      <c r="AL138" s="26" t="str">
        <f aca="false">IF(AK138="","",AK138*HoursPerDay)</f>
        <v/>
      </c>
      <c r="AM138" s="27" t="str">
        <f aca="false">IF(AO138=0,"",IF(BF138=1,IF(N(AG138)&gt;0,"TERMINATED - forfeit "&amp;TEXT(AG138,"0.##")&amp;" days still in EH","Terminated - nothing in EH"),IF(NOT(EH_Ready),"Paste EH export and map headers on Settings",IF(AND(AB138&gt;0,AF138="No"),"SET UP in EH - add "&amp;TEXT(AB138,"0.##")&amp;" day(s) ("&amp;TEXT(AC138,"0.##")&amp;" hrs)",IF(AK138&gt;0,"ADD "&amp;TEXT(AK138,"0.##")&amp;" day(s) ("&amp;TEXT(AL138,"0.##")&amp;" hrs) in EH",IF(AK138&lt;0,"CHECK - EH shows "&amp;TEXT(-AK138,"0.##")&amp;" days more than policy",IF(AB138&gt;0,"OK - up to date",IF(AY138="None","No action - not eligible","No action - not yet qualified"))))))))</f>
        <v/>
      </c>
      <c r="AN138" s="27" t="str">
        <f aca="false">IF(AO138=0,"",TRIM(IF(AND($K138&lt;&gt;"",$H138=""),"Change 2 entered without Change 1. ","")&amp;IF(AND($K138&lt;&gt;"",$H138&lt;&gt;"",$K138&lt;=$H138),"Change 2 date not after Change 1. ","")&amp;IF(AND($N138&lt;&gt;"",$O138&lt;&gt;"",$O138&lt;$N138),"Leave To is before Leave From. ","")&amp;IF(AND($N138&lt;&gt;"",$O138=""),"Leave From entered without Leave To. ","")&amp;IF(AND(IFERROR(VLOOKUP(T138,TypeTable,2,0),"None")="PT",U138=""),"Part-time with no hours entered. ","")&amp;IF(AND($H138&lt;&gt;"",$H138&gt;AsOfDate,AD138&lt;&gt;"",$H138&lt;=AD138),"Status change lands before next accrual - review. ","")&amp;IF(AND($Q138&lt;&gt;"",$Q138&lt;$E138),"Termination before commencement. ","")))</f>
        <v/>
      </c>
      <c r="AO138" s="11" t="n">
        <f aca="false">IF(LEN($A138&amp;$B138&amp;$C138)=0,0,IF($E138="",0,1))</f>
        <v>0</v>
      </c>
      <c r="AP138" s="11" t="str">
        <f aca="false">IF(AO138=0,"",(IF(OR($N138="",$O138=""),0,MAX(0,MIN(X138,$O138)-MAX($N138,$E138)+1))+N($P138)))</f>
        <v/>
      </c>
      <c r="AQ138" s="11" t="str">
        <f aca="false">IF(AO138=0,"",IF(X138&lt;($E138+(IF(OR($N138="",$O138=""),0,MAX(0,MIN(X138,$O138)-MAX($N138,$E138)+1))+N($P138))),-1,12*(YEAR(X138)-YEAR(($E138+(IF(OR($N138="",$O138=""),0,MAX(0,MIN(X138,$O138)-MAX($N138,$E138)+1))+N($P138)))))+MONTH(X138)-MONTH(($E138+(IF(OR($N138="",$O138=""),0,MAX(0,MIN(X138,$O138)-MAX($N138,$E138)+1))+N($P138))))-IF(DAY(X138)&lt;MIN(DAY(($E138+(IF(OR($N138="",$O138=""),0,MAX(0,MIN(X138,$O138)-MAX($N138,$E138)+1))+N($P138)))),DAY(EOMONTH(X138,0))),1,0)))</f>
        <v/>
      </c>
      <c r="AR138" s="28" t="str">
        <f aca="false">IF(AO138=0,"",IF($H138="","",IF($H138&gt;X138,"",$H138)))</f>
        <v/>
      </c>
      <c r="AS138" s="28" t="str">
        <f aca="false">IF(AO138=0,"",IF(AR138="","",IF($K138="","",IF($K138&gt;X138,"",$K138))))</f>
        <v/>
      </c>
      <c r="AT138" s="11" t="str">
        <f aca="false">IF(AO138=0,"",IF(AR138="",AQ138,IF((AR138-1)&lt;($E138+(IF(OR($N138="",$O138=""),0,MAX(0,MIN((AR138-1),$O138)-MAX($N138,$E138)+1))+N($P138))),-1,12*(YEAR((AR138-1))-YEAR(($E138+(IF(OR($N138="",$O138=""),0,MAX(0,MIN((AR138-1),$O138)-MAX($N138,$E138)+1))+N($P138)))))+MONTH((AR138-1))-MONTH(($E138+(IF(OR($N138="",$O138=""),0,MAX(0,MIN((AR138-1),$O138)-MAX($N138,$E138)+1))+N($P138))))-IF(DAY((AR138-1))&lt;MIN(DAY(($E138+(IF(OR($N138="",$O138=""),0,MAX(0,MIN((AR138-1),$O138)-MAX($N138,$E138)+1))+N($P138)))),DAY(EOMONTH((AR138-1),0))),1,0))))</f>
        <v/>
      </c>
      <c r="AU138" s="11" t="str">
        <f aca="false">IF(AO138=0,"",IF(AS138="",AQ138,IF((AS138-1)&lt;($E138+(IF(OR($N138="",$O138=""),0,MAX(0,MIN((AS138-1),$O138)-MAX($N138,$E138)+1))+N($P138))),-1,12*(YEAR((AS138-1))-YEAR(($E138+(IF(OR($N138="",$O138=""),0,MAX(0,MIN((AS138-1),$O138)-MAX($N138,$E138)+1))+N($P138)))))+MONTH((AS138-1))-MONTH(($E138+(IF(OR($N138="",$O138=""),0,MAX(0,MIN((AS138-1),$O138)-MAX($N138,$E138)+1))+N($P138))))-IF(DAY((AS138-1))&lt;MIN(DAY(($E138+(IF(OR($N138="",$O138=""),0,MAX(0,MIN((AS138-1),$O138)-MAX($N138,$E138)+1))+N($P138)))),DAY(EOMONTH((AS138-1),0))),1,0))))</f>
        <v/>
      </c>
      <c r="AV138" s="11" t="str">
        <f aca="false">IF(AO138=0,"",IF($F138="","None",IF(IFERROR(VLOOKUP($F138,TypeTable,2,0),"None")="PT",IF(N($G138)&gt;=PT_MinHours,"PT","None"),IFERROR(VLOOKUP($F138,TypeTable,2,0),"None"))))</f>
        <v/>
      </c>
      <c r="AW138" s="11" t="str">
        <f aca="false">IF(AO138=0,"",IF($I138="","None",IF(IFERROR(VLOOKUP($I138,TypeTable,2,0),"None")="PT",IF(N($J138)&gt;=PT_MinHours,"PT","None"),IFERROR(VLOOKUP($I138,TypeTable,2,0),"None"))))</f>
        <v/>
      </c>
      <c r="AX138" s="11" t="str">
        <f aca="false">IF(AO138=0,"",IF($L138="","None",IF(IFERROR(VLOOKUP($L138,TypeTable,2,0),"None")="PT",IF(N($M138)&gt;=PT_MinHours,"PT","None"),IFERROR(VLOOKUP($L138,TypeTable,2,0),"None"))))</f>
        <v/>
      </c>
      <c r="AY138" s="11" t="str">
        <f aca="false">IF(AO138=0,"",IF(AS138&lt;&gt;"",AX138,IF(AR138&lt;&gt;"",AW138,AV138)))</f>
        <v/>
      </c>
      <c r="AZ138" s="11" t="str">
        <f aca="false">IF(AO138=0,"",IF(AV138="FT",IF(AT138&lt;FT_First,0,IF(AT138&lt;FT_Y5,1+INT((AT138-FT_First)/FT_Int1),FT_PreY5+FT_PerYear*INT((AT138-FT_Y5)/12)+FT_AnnivDays+INT(MOD(AT138-FT_Y5,12)/FT_Int2))),IF(AV138="PT",IF(AT138&lt;PT_First,0,1+INT((AT138-PT_First)/PT_Int)),0)))</f>
        <v/>
      </c>
      <c r="BA138" s="11" t="str">
        <f aca="false">IF(AO138=0,"",IF(AW138="FT",IF(AT138&lt;FT_First,0,IF(AT138&lt;FT_Y5,1+INT((AT138-FT_First)/FT_Int1),FT_PreY5+FT_PerYear*INT((AT138-FT_Y5)/12)+FT_AnnivDays+INT(MOD(AT138-FT_Y5,12)/FT_Int2))),IF(AW138="PT",IF(AT138&lt;PT_First,0,1+INT((AT138-PT_First)/PT_Int)),0)))</f>
        <v/>
      </c>
      <c r="BB138" s="11" t="str">
        <f aca="false">IF(AO138=0,"",IF(AW138="FT",IF(AU138&lt;FT_First,0,IF(AU138&lt;FT_Y5,1+INT((AU138-FT_First)/FT_Int1),FT_PreY5+FT_PerYear*INT((AU138-FT_Y5)/12)+FT_AnnivDays+INT(MOD(AU138-FT_Y5,12)/FT_Int2))),IF(AW138="PT",IF(AU138&lt;PT_First,0,1+INT((AU138-PT_First)/PT_Int)),0)))</f>
        <v/>
      </c>
      <c r="BC138" s="11" t="str">
        <f aca="false">IF(AO138=0,"",IF(AX138="FT",IF(AU138&lt;FT_First,0,IF(AU138&lt;FT_Y5,1+INT((AU138-FT_First)/FT_Int1),FT_PreY5+FT_PerYear*INT((AU138-FT_Y5)/12)+FT_AnnivDays+INT(MOD(AU138-FT_Y5,12)/FT_Int2))),IF(AX138="PT",IF(AU138&lt;PT_First,0,1+INT((AU138-PT_First)/PT_Int)),0)))</f>
        <v/>
      </c>
      <c r="BD138" s="11" t="str">
        <f aca="false">IF(AO138=0,"",IF(AX138="FT",IF(AQ138&lt;FT_First,0,IF(AQ138&lt;FT_Y5,1+INT((AQ138-FT_First)/FT_Int1),FT_PreY5+FT_PerYear*INT((AQ138-FT_Y5)/12)+FT_AnnivDays+INT(MOD(AQ138-FT_Y5,12)/FT_Int2))),IF(AX138="PT",IF(AQ138&lt;PT_First,0,1+INT((AQ138-PT_First)/PT_Int)),0)))</f>
        <v/>
      </c>
      <c r="BE138" s="11" t="str">
        <f aca="false">IF(AO138=0,"",IF(AY138="FT",IF(AQ138&lt;FT_First,FT_First,IF(AQ138&lt;FT_Y5,MIN(FT_Y5,FT_First+FT_Int1*(INT((AQ138-FT_First)/FT_Int1)+1)),FT_Y5+12*INT((AQ138-FT_Y5)/12)+FT_Int2*(INT(MOD(AQ138-FT_Y5,12)/FT_Int2)+1))),IF(AY138="PT",IF(AQ138&lt;PT_First,PT_First,PT_First+PT_Int*(INT((AQ138-PT_First)/PT_Int)+1)),"")))</f>
        <v/>
      </c>
      <c r="BF138" s="11" t="n">
        <f aca="false">IF(AO138=0,0,IF(AND($Q138&lt;&gt;"",$Q138&lt;=AsOfDate),1,0))</f>
        <v>0</v>
      </c>
      <c r="BG138" s="11" t="str">
        <f aca="false">IF(AND(AO138=1,BF138=0,EH_Ready,N(AB138)&gt;0,N(AI138)=0),COUNT($BG$5:BG137)+1,"")</f>
        <v/>
      </c>
      <c r="BH138" s="11" t="str">
        <f aca="false">IF(AND(AO138=1,BF138=0,EH_Ready,N(AB138)&gt;0,N(AI138)&gt;0,N(AK138)&gt;0),COUNT($BH$5:BH137)+1,"")</f>
        <v/>
      </c>
      <c r="BI138" s="11" t="str">
        <f aca="false">IF(AND(AO138=1,OR(LEFT(AM138,3)="ADD",LEFT(AM138,3)="SET",LEFT(AM138,5)="CHECK",LEFT(AM138,10)="TERMINATED")),COUNT($BI$5:BI137)+1,"")</f>
        <v/>
      </c>
      <c r="BJ138" s="11" t="str">
        <f aca="false">IF(AO138=0,"",$A138&amp;" - "&amp;$B138&amp;" "&amp;$C138)</f>
        <v/>
      </c>
    </row>
    <row r="139" customFormat="false" ht="15" hidden="false" customHeight="false" outlineLevel="0" collapsed="false">
      <c r="A139" s="10"/>
      <c r="B139" s="10"/>
      <c r="C139" s="10"/>
      <c r="D139" s="10"/>
      <c r="E139" s="9"/>
      <c r="F139" s="10"/>
      <c r="G139" s="30"/>
      <c r="H139" s="9"/>
      <c r="I139" s="10"/>
      <c r="J139" s="30"/>
      <c r="K139" s="9"/>
      <c r="L139" s="10"/>
      <c r="M139" s="30"/>
      <c r="N139" s="9"/>
      <c r="O139" s="9"/>
      <c r="P139" s="30"/>
      <c r="Q139" s="9"/>
      <c r="R139" s="10"/>
      <c r="S139" s="11" t="str">
        <f aca="false">IF(AO139=0,"",IF($H139="","",$F139&amp;" -&gt; "&amp;$I139&amp;IF($I139="Part-Time"," ("&amp;N($J139)&amp;" hrs)","")&amp;" on "&amp;TEXT($H139,"dd/mm/yyyy")&amp;IF($H139&gt;AsOfDate," (FUTURE)","")&amp;IF($K139="","","; "&amp;$I139&amp;" -&gt; "&amp;$L139&amp;IF($L139="Part-Time"," ("&amp;N($M139)&amp;" hrs)","")&amp;" on "&amp;TEXT($K139,"dd/mm/yyyy")&amp;IF($K139&gt;AsOfDate," (FUTURE)",""))))</f>
        <v/>
      </c>
      <c r="T139" s="11" t="str">
        <f aca="false">IF(AO139=0,"",IF(AS139&lt;&gt;"",$L139,IF(AR139&lt;&gt;"",$I139,$F139)))</f>
        <v/>
      </c>
      <c r="U139" s="26" t="str">
        <f aca="false">IF(AO139=0,"",IF(AS139&lt;&gt;"",$M139,IF(AR139&lt;&gt;"",$J139,$G139)))</f>
        <v/>
      </c>
      <c r="V139" s="11" t="str">
        <f aca="false">IF(AO139=0,"",IF(AY139="FT","Full-Time",IF(AY139="PT","Part-Time","Not eligible")))</f>
        <v/>
      </c>
      <c r="W139" s="27" t="str">
        <f aca="false">IF(AO139=0,"",IF(AR139="",IF(AND($H139&lt;&gt;"",$H139&gt;AsOfDate),"Future change - not yet applied",""),IF(AND(AV139=AY139,OR(AS139="",AW139=AV139)),"Type changed - same accrual pathway",IF(AY139="None","STOPPED accruing from "&amp;TEXT(IF(AS139&lt;&gt;"",AS139,AR139),"dd/mm/yyyy"),IF(AV139="None","STARTED qualifying from "&amp;TEXT(IF(AS139&lt;&gt;"",AS139,AR139),"dd/mm/yyyy"),"Pathway changed "&amp;AV139&amp;" -&gt; "&amp;AW139&amp;IF(AS139&lt;&gt;""," -&gt; "&amp;AX139,"")&amp;" from "&amp;TEXT(IF(AS139&lt;&gt;"",AS139,AR139),"dd/mm/yyyy"))))))</f>
        <v/>
      </c>
      <c r="X139" s="28" t="str">
        <f aca="false">IF(AO139=0,"",IF($Q139="",AsOfDate,MIN(AsOfDate,$Q139)))</f>
        <v/>
      </c>
      <c r="Y139" s="26" t="str">
        <f aca="false">IF(AO139=0,"",MAX(0,AQ139))</f>
        <v/>
      </c>
      <c r="Z139" s="11" t="str">
        <f aca="false">IF(AO139=0,"",IF(AQ139&lt;0,"Not started",INT(AQ139/12)&amp;"y "&amp;MOD(AQ139,12)&amp;"m"))</f>
        <v/>
      </c>
      <c r="AA139" s="27" t="str">
        <f aca="false">IF(AO139=0,"",IF(BF139=1,"Terminated - balance forfeited",IF(AY139="None",IF(AB139&gt;0,"No longer accruing - "&amp;T139,"Not eligible - "&amp;T139&amp;IF(AND(IFERROR(VLOOKUP(T139,TypeTable,2,0),"None")="PT",N(U139)&lt;PT_MinHours)," (under "&amp;PT_MinHours&amp;" hrs)","")),IF(AB139&gt;0,"Yes - accruing","Not yet - qualifies "&amp;TEXT(AD139,"dd/mm/yyyy")))))</f>
        <v/>
      </c>
      <c r="AB139" s="26" t="str">
        <f aca="false">IF(AO139=0,"",AZ139+IF(AR139="",0,BB139-BA139)+IF(AS139="",0,BD139-BC139))</f>
        <v/>
      </c>
      <c r="AC139" s="26" t="str">
        <f aca="false">IF(AO139=0,"",AB139*HoursPerDay)</f>
        <v/>
      </c>
      <c r="AD139" s="28" t="str">
        <f aca="false">IF(AO139=0,"",IF(OR(BF139=1,AY139="None"),"",EDATE($E139+AP139,BE139)))</f>
        <v/>
      </c>
      <c r="AE139" s="26" t="str">
        <f aca="false">IF(AD139="","",IF(AY139="PT",1,IF(BE139&lt;FT_Y5,1,IF(MOD(BE139-FT_Y5,12)=0,FT_AnnivDays,1))))</f>
        <v/>
      </c>
      <c r="AF139" s="27" t="str">
        <f aca="false">IF(AO139=0,"",IF(NOT(EH_Ready),"Map headers",IF(IF(MatchMode="Employee ID",COUNTIFS(INDEX(EH_Data,0,EH_ColID),$A139,INDEX(EH_Data,0,EH_ColCat),BonusCat),COUNTIFS(INDEX(EH_Data,0,EH_ColFirst),$B139,INDEX(EH_Data,0,EH_ColSur),$C139,INDEX(EH_Data,0,EH_ColCat),BonusCat))&gt;0,"Yes","No")))</f>
        <v/>
      </c>
      <c r="AG139" s="26" t="str">
        <f aca="false">IF(AO139=0,"",IF(NOT(EH_Ready),"",IF(MatchMode="Employee ID",SUMIFS(INDEX(EH_Data,0,EH_ColBal),INDEX(EH_Data,0,EH_ColID),$A139,INDEX(EH_Data,0,EH_ColCat),BonusCat),SUMIFS(INDEX(EH_Data,0,EH_ColBal),INDEX(EH_Data,0,EH_ColFirst),$B139,INDEX(EH_Data,0,EH_ColSur),$C139,INDEX(EH_Data,0,EH_ColCat),BonusCat))/IF(EHUnit="Hours",HoursPerDay,1)))</f>
        <v/>
      </c>
      <c r="AH139" s="26" t="str">
        <f aca="false">IF(AO139=0,"",IF(NOT(TK_Ready),0,IF(MatchMode="Employee ID",SUMIFS(INDEX(TK_Data,0,TK_ColAmt),INDEX(TK_Data,0,TK_ColID),$A139,INDEX(TK_Data,0,TK_ColCat),BonusCat),SUMIFS(INDEX(TK_Data,0,TK_ColAmt),INDEX(TK_Data,0,TK_ColFirst),$B139,INDEX(TK_Data,0,TK_ColSur),$C139,INDEX(TK_Data,0,TK_ColCat),BonusCat))/IF(TKUnit="Hours",HoursPerDay,1)))</f>
        <v/>
      </c>
      <c r="AI139" s="26" t="str">
        <f aca="false">IF(AO139=0,"",N(AG139)+N(AH139))</f>
        <v/>
      </c>
      <c r="AJ139" s="29" t="str">
        <f aca="false">IF(AO139=0,"",IF(NOT(AND(EH_Ready,EH_ValReady)),"",IF(MatchMode="Employee ID",SUMIFS(INDEX(EH_Data,0,EH_ColVal),INDEX(EH_Data,0,EH_ColID),$A139,INDEX(EH_Data,0,EH_ColCat),BonusCat),SUMIFS(INDEX(EH_Data,0,EH_ColVal),INDEX(EH_Data,0,EH_ColFirst),$B139,INDEX(EH_Data,0,EH_ColSur),$C139,INDEX(EH_Data,0,EH_ColCat),BonusCat))))</f>
        <v/>
      </c>
      <c r="AK139" s="26" t="str">
        <f aca="false">IF(AO139=0,"",IF(OR(NOT(EH_Ready),BF139=1),"",AB139-AI139))</f>
        <v/>
      </c>
      <c r="AL139" s="26" t="str">
        <f aca="false">IF(AK139="","",AK139*HoursPerDay)</f>
        <v/>
      </c>
      <c r="AM139" s="27" t="str">
        <f aca="false">IF(AO139=0,"",IF(BF139=1,IF(N(AG139)&gt;0,"TERMINATED - forfeit "&amp;TEXT(AG139,"0.##")&amp;" days still in EH","Terminated - nothing in EH"),IF(NOT(EH_Ready),"Paste EH export and map headers on Settings",IF(AND(AB139&gt;0,AF139="No"),"SET UP in EH - add "&amp;TEXT(AB139,"0.##")&amp;" day(s) ("&amp;TEXT(AC139,"0.##")&amp;" hrs)",IF(AK139&gt;0,"ADD "&amp;TEXT(AK139,"0.##")&amp;" day(s) ("&amp;TEXT(AL139,"0.##")&amp;" hrs) in EH",IF(AK139&lt;0,"CHECK - EH shows "&amp;TEXT(-AK139,"0.##")&amp;" days more than policy",IF(AB139&gt;0,"OK - up to date",IF(AY139="None","No action - not eligible","No action - not yet qualified"))))))))</f>
        <v/>
      </c>
      <c r="AN139" s="27" t="str">
        <f aca="false">IF(AO139=0,"",TRIM(IF(AND($K139&lt;&gt;"",$H139=""),"Change 2 entered without Change 1. ","")&amp;IF(AND($K139&lt;&gt;"",$H139&lt;&gt;"",$K139&lt;=$H139),"Change 2 date not after Change 1. ","")&amp;IF(AND($N139&lt;&gt;"",$O139&lt;&gt;"",$O139&lt;$N139),"Leave To is before Leave From. ","")&amp;IF(AND($N139&lt;&gt;"",$O139=""),"Leave From entered without Leave To. ","")&amp;IF(AND(IFERROR(VLOOKUP(T139,TypeTable,2,0),"None")="PT",U139=""),"Part-time with no hours entered. ","")&amp;IF(AND($H139&lt;&gt;"",$H139&gt;AsOfDate,AD139&lt;&gt;"",$H139&lt;=AD139),"Status change lands before next accrual - review. ","")&amp;IF(AND($Q139&lt;&gt;"",$Q139&lt;$E139),"Termination before commencement. ","")))</f>
        <v/>
      </c>
      <c r="AO139" s="11" t="n">
        <f aca="false">IF(LEN($A139&amp;$B139&amp;$C139)=0,0,IF($E139="",0,1))</f>
        <v>0</v>
      </c>
      <c r="AP139" s="11" t="str">
        <f aca="false">IF(AO139=0,"",(IF(OR($N139="",$O139=""),0,MAX(0,MIN(X139,$O139)-MAX($N139,$E139)+1))+N($P139)))</f>
        <v/>
      </c>
      <c r="AQ139" s="11" t="str">
        <f aca="false">IF(AO139=0,"",IF(X139&lt;($E139+(IF(OR($N139="",$O139=""),0,MAX(0,MIN(X139,$O139)-MAX($N139,$E139)+1))+N($P139))),-1,12*(YEAR(X139)-YEAR(($E139+(IF(OR($N139="",$O139=""),0,MAX(0,MIN(X139,$O139)-MAX($N139,$E139)+1))+N($P139)))))+MONTH(X139)-MONTH(($E139+(IF(OR($N139="",$O139=""),0,MAX(0,MIN(X139,$O139)-MAX($N139,$E139)+1))+N($P139))))-IF(DAY(X139)&lt;MIN(DAY(($E139+(IF(OR($N139="",$O139=""),0,MAX(0,MIN(X139,$O139)-MAX($N139,$E139)+1))+N($P139)))),DAY(EOMONTH(X139,0))),1,0)))</f>
        <v/>
      </c>
      <c r="AR139" s="28" t="str">
        <f aca="false">IF(AO139=0,"",IF($H139="","",IF($H139&gt;X139,"",$H139)))</f>
        <v/>
      </c>
      <c r="AS139" s="28" t="str">
        <f aca="false">IF(AO139=0,"",IF(AR139="","",IF($K139="","",IF($K139&gt;X139,"",$K139))))</f>
        <v/>
      </c>
      <c r="AT139" s="11" t="str">
        <f aca="false">IF(AO139=0,"",IF(AR139="",AQ139,IF((AR139-1)&lt;($E139+(IF(OR($N139="",$O139=""),0,MAX(0,MIN((AR139-1),$O139)-MAX($N139,$E139)+1))+N($P139))),-1,12*(YEAR((AR139-1))-YEAR(($E139+(IF(OR($N139="",$O139=""),0,MAX(0,MIN((AR139-1),$O139)-MAX($N139,$E139)+1))+N($P139)))))+MONTH((AR139-1))-MONTH(($E139+(IF(OR($N139="",$O139=""),0,MAX(0,MIN((AR139-1),$O139)-MAX($N139,$E139)+1))+N($P139))))-IF(DAY((AR139-1))&lt;MIN(DAY(($E139+(IF(OR($N139="",$O139=""),0,MAX(0,MIN((AR139-1),$O139)-MAX($N139,$E139)+1))+N($P139)))),DAY(EOMONTH((AR139-1),0))),1,0))))</f>
        <v/>
      </c>
      <c r="AU139" s="11" t="str">
        <f aca="false">IF(AO139=0,"",IF(AS139="",AQ139,IF((AS139-1)&lt;($E139+(IF(OR($N139="",$O139=""),0,MAX(0,MIN((AS139-1),$O139)-MAX($N139,$E139)+1))+N($P139))),-1,12*(YEAR((AS139-1))-YEAR(($E139+(IF(OR($N139="",$O139=""),0,MAX(0,MIN((AS139-1),$O139)-MAX($N139,$E139)+1))+N($P139)))))+MONTH((AS139-1))-MONTH(($E139+(IF(OR($N139="",$O139=""),0,MAX(0,MIN((AS139-1),$O139)-MAX($N139,$E139)+1))+N($P139))))-IF(DAY((AS139-1))&lt;MIN(DAY(($E139+(IF(OR($N139="",$O139=""),0,MAX(0,MIN((AS139-1),$O139)-MAX($N139,$E139)+1))+N($P139)))),DAY(EOMONTH((AS139-1),0))),1,0))))</f>
        <v/>
      </c>
      <c r="AV139" s="11" t="str">
        <f aca="false">IF(AO139=0,"",IF($F139="","None",IF(IFERROR(VLOOKUP($F139,TypeTable,2,0),"None")="PT",IF(N($G139)&gt;=PT_MinHours,"PT","None"),IFERROR(VLOOKUP($F139,TypeTable,2,0),"None"))))</f>
        <v/>
      </c>
      <c r="AW139" s="11" t="str">
        <f aca="false">IF(AO139=0,"",IF($I139="","None",IF(IFERROR(VLOOKUP($I139,TypeTable,2,0),"None")="PT",IF(N($J139)&gt;=PT_MinHours,"PT","None"),IFERROR(VLOOKUP($I139,TypeTable,2,0),"None"))))</f>
        <v/>
      </c>
      <c r="AX139" s="11" t="str">
        <f aca="false">IF(AO139=0,"",IF($L139="","None",IF(IFERROR(VLOOKUP($L139,TypeTable,2,0),"None")="PT",IF(N($M139)&gt;=PT_MinHours,"PT","None"),IFERROR(VLOOKUP($L139,TypeTable,2,0),"None"))))</f>
        <v/>
      </c>
      <c r="AY139" s="11" t="str">
        <f aca="false">IF(AO139=0,"",IF(AS139&lt;&gt;"",AX139,IF(AR139&lt;&gt;"",AW139,AV139)))</f>
        <v/>
      </c>
      <c r="AZ139" s="11" t="str">
        <f aca="false">IF(AO139=0,"",IF(AV139="FT",IF(AT139&lt;FT_First,0,IF(AT139&lt;FT_Y5,1+INT((AT139-FT_First)/FT_Int1),FT_PreY5+FT_PerYear*INT((AT139-FT_Y5)/12)+FT_AnnivDays+INT(MOD(AT139-FT_Y5,12)/FT_Int2))),IF(AV139="PT",IF(AT139&lt;PT_First,0,1+INT((AT139-PT_First)/PT_Int)),0)))</f>
        <v/>
      </c>
      <c r="BA139" s="11" t="str">
        <f aca="false">IF(AO139=0,"",IF(AW139="FT",IF(AT139&lt;FT_First,0,IF(AT139&lt;FT_Y5,1+INT((AT139-FT_First)/FT_Int1),FT_PreY5+FT_PerYear*INT((AT139-FT_Y5)/12)+FT_AnnivDays+INT(MOD(AT139-FT_Y5,12)/FT_Int2))),IF(AW139="PT",IF(AT139&lt;PT_First,0,1+INT((AT139-PT_First)/PT_Int)),0)))</f>
        <v/>
      </c>
      <c r="BB139" s="11" t="str">
        <f aca="false">IF(AO139=0,"",IF(AW139="FT",IF(AU139&lt;FT_First,0,IF(AU139&lt;FT_Y5,1+INT((AU139-FT_First)/FT_Int1),FT_PreY5+FT_PerYear*INT((AU139-FT_Y5)/12)+FT_AnnivDays+INT(MOD(AU139-FT_Y5,12)/FT_Int2))),IF(AW139="PT",IF(AU139&lt;PT_First,0,1+INT((AU139-PT_First)/PT_Int)),0)))</f>
        <v/>
      </c>
      <c r="BC139" s="11" t="str">
        <f aca="false">IF(AO139=0,"",IF(AX139="FT",IF(AU139&lt;FT_First,0,IF(AU139&lt;FT_Y5,1+INT((AU139-FT_First)/FT_Int1),FT_PreY5+FT_PerYear*INT((AU139-FT_Y5)/12)+FT_AnnivDays+INT(MOD(AU139-FT_Y5,12)/FT_Int2))),IF(AX139="PT",IF(AU139&lt;PT_First,0,1+INT((AU139-PT_First)/PT_Int)),0)))</f>
        <v/>
      </c>
      <c r="BD139" s="11" t="str">
        <f aca="false">IF(AO139=0,"",IF(AX139="FT",IF(AQ139&lt;FT_First,0,IF(AQ139&lt;FT_Y5,1+INT((AQ139-FT_First)/FT_Int1),FT_PreY5+FT_PerYear*INT((AQ139-FT_Y5)/12)+FT_AnnivDays+INT(MOD(AQ139-FT_Y5,12)/FT_Int2))),IF(AX139="PT",IF(AQ139&lt;PT_First,0,1+INT((AQ139-PT_First)/PT_Int)),0)))</f>
        <v/>
      </c>
      <c r="BE139" s="11" t="str">
        <f aca="false">IF(AO139=0,"",IF(AY139="FT",IF(AQ139&lt;FT_First,FT_First,IF(AQ139&lt;FT_Y5,MIN(FT_Y5,FT_First+FT_Int1*(INT((AQ139-FT_First)/FT_Int1)+1)),FT_Y5+12*INT((AQ139-FT_Y5)/12)+FT_Int2*(INT(MOD(AQ139-FT_Y5,12)/FT_Int2)+1))),IF(AY139="PT",IF(AQ139&lt;PT_First,PT_First,PT_First+PT_Int*(INT((AQ139-PT_First)/PT_Int)+1)),"")))</f>
        <v/>
      </c>
      <c r="BF139" s="11" t="n">
        <f aca="false">IF(AO139=0,0,IF(AND($Q139&lt;&gt;"",$Q139&lt;=AsOfDate),1,0))</f>
        <v>0</v>
      </c>
      <c r="BG139" s="11" t="str">
        <f aca="false">IF(AND(AO139=1,BF139=0,EH_Ready,N(AB139)&gt;0,N(AI139)=0),COUNT($BG$5:BG138)+1,"")</f>
        <v/>
      </c>
      <c r="BH139" s="11" t="str">
        <f aca="false">IF(AND(AO139=1,BF139=0,EH_Ready,N(AB139)&gt;0,N(AI139)&gt;0,N(AK139)&gt;0),COUNT($BH$5:BH138)+1,"")</f>
        <v/>
      </c>
      <c r="BI139" s="11" t="str">
        <f aca="false">IF(AND(AO139=1,OR(LEFT(AM139,3)="ADD",LEFT(AM139,3)="SET",LEFT(AM139,5)="CHECK",LEFT(AM139,10)="TERMINATED")),COUNT($BI$5:BI138)+1,"")</f>
        <v/>
      </c>
      <c r="BJ139" s="11" t="str">
        <f aca="false">IF(AO139=0,"",$A139&amp;" - "&amp;$B139&amp;" "&amp;$C139)</f>
        <v/>
      </c>
    </row>
    <row r="140" customFormat="false" ht="15" hidden="false" customHeight="false" outlineLevel="0" collapsed="false">
      <c r="A140" s="10"/>
      <c r="B140" s="10"/>
      <c r="C140" s="10"/>
      <c r="D140" s="10"/>
      <c r="E140" s="9"/>
      <c r="F140" s="10"/>
      <c r="G140" s="30"/>
      <c r="H140" s="9"/>
      <c r="I140" s="10"/>
      <c r="J140" s="30"/>
      <c r="K140" s="9"/>
      <c r="L140" s="10"/>
      <c r="M140" s="30"/>
      <c r="N140" s="9"/>
      <c r="O140" s="9"/>
      <c r="P140" s="30"/>
      <c r="Q140" s="9"/>
      <c r="R140" s="10"/>
      <c r="S140" s="11" t="str">
        <f aca="false">IF(AO140=0,"",IF($H140="","",$F140&amp;" -&gt; "&amp;$I140&amp;IF($I140="Part-Time"," ("&amp;N($J140)&amp;" hrs)","")&amp;" on "&amp;TEXT($H140,"dd/mm/yyyy")&amp;IF($H140&gt;AsOfDate," (FUTURE)","")&amp;IF($K140="","","; "&amp;$I140&amp;" -&gt; "&amp;$L140&amp;IF($L140="Part-Time"," ("&amp;N($M140)&amp;" hrs)","")&amp;" on "&amp;TEXT($K140,"dd/mm/yyyy")&amp;IF($K140&gt;AsOfDate," (FUTURE)",""))))</f>
        <v/>
      </c>
      <c r="T140" s="11" t="str">
        <f aca="false">IF(AO140=0,"",IF(AS140&lt;&gt;"",$L140,IF(AR140&lt;&gt;"",$I140,$F140)))</f>
        <v/>
      </c>
      <c r="U140" s="26" t="str">
        <f aca="false">IF(AO140=0,"",IF(AS140&lt;&gt;"",$M140,IF(AR140&lt;&gt;"",$J140,$G140)))</f>
        <v/>
      </c>
      <c r="V140" s="11" t="str">
        <f aca="false">IF(AO140=0,"",IF(AY140="FT","Full-Time",IF(AY140="PT","Part-Time","Not eligible")))</f>
        <v/>
      </c>
      <c r="W140" s="27" t="str">
        <f aca="false">IF(AO140=0,"",IF(AR140="",IF(AND($H140&lt;&gt;"",$H140&gt;AsOfDate),"Future change - not yet applied",""),IF(AND(AV140=AY140,OR(AS140="",AW140=AV140)),"Type changed - same accrual pathway",IF(AY140="None","STOPPED accruing from "&amp;TEXT(IF(AS140&lt;&gt;"",AS140,AR140),"dd/mm/yyyy"),IF(AV140="None","STARTED qualifying from "&amp;TEXT(IF(AS140&lt;&gt;"",AS140,AR140),"dd/mm/yyyy"),"Pathway changed "&amp;AV140&amp;" -&gt; "&amp;AW140&amp;IF(AS140&lt;&gt;""," -&gt; "&amp;AX140,"")&amp;" from "&amp;TEXT(IF(AS140&lt;&gt;"",AS140,AR140),"dd/mm/yyyy"))))))</f>
        <v/>
      </c>
      <c r="X140" s="28" t="str">
        <f aca="false">IF(AO140=0,"",IF($Q140="",AsOfDate,MIN(AsOfDate,$Q140)))</f>
        <v/>
      </c>
      <c r="Y140" s="26" t="str">
        <f aca="false">IF(AO140=0,"",MAX(0,AQ140))</f>
        <v/>
      </c>
      <c r="Z140" s="11" t="str">
        <f aca="false">IF(AO140=0,"",IF(AQ140&lt;0,"Not started",INT(AQ140/12)&amp;"y "&amp;MOD(AQ140,12)&amp;"m"))</f>
        <v/>
      </c>
      <c r="AA140" s="27" t="str">
        <f aca="false">IF(AO140=0,"",IF(BF140=1,"Terminated - balance forfeited",IF(AY140="None",IF(AB140&gt;0,"No longer accruing - "&amp;T140,"Not eligible - "&amp;T140&amp;IF(AND(IFERROR(VLOOKUP(T140,TypeTable,2,0),"None")="PT",N(U140)&lt;PT_MinHours)," (under "&amp;PT_MinHours&amp;" hrs)","")),IF(AB140&gt;0,"Yes - accruing","Not yet - qualifies "&amp;TEXT(AD140,"dd/mm/yyyy")))))</f>
        <v/>
      </c>
      <c r="AB140" s="26" t="str">
        <f aca="false">IF(AO140=0,"",AZ140+IF(AR140="",0,BB140-BA140)+IF(AS140="",0,BD140-BC140))</f>
        <v/>
      </c>
      <c r="AC140" s="26" t="str">
        <f aca="false">IF(AO140=0,"",AB140*HoursPerDay)</f>
        <v/>
      </c>
      <c r="AD140" s="28" t="str">
        <f aca="false">IF(AO140=0,"",IF(OR(BF140=1,AY140="None"),"",EDATE($E140+AP140,BE140)))</f>
        <v/>
      </c>
      <c r="AE140" s="26" t="str">
        <f aca="false">IF(AD140="","",IF(AY140="PT",1,IF(BE140&lt;FT_Y5,1,IF(MOD(BE140-FT_Y5,12)=0,FT_AnnivDays,1))))</f>
        <v/>
      </c>
      <c r="AF140" s="27" t="str">
        <f aca="false">IF(AO140=0,"",IF(NOT(EH_Ready),"Map headers",IF(IF(MatchMode="Employee ID",COUNTIFS(INDEX(EH_Data,0,EH_ColID),$A140,INDEX(EH_Data,0,EH_ColCat),BonusCat),COUNTIFS(INDEX(EH_Data,0,EH_ColFirst),$B140,INDEX(EH_Data,0,EH_ColSur),$C140,INDEX(EH_Data,0,EH_ColCat),BonusCat))&gt;0,"Yes","No")))</f>
        <v/>
      </c>
      <c r="AG140" s="26" t="str">
        <f aca="false">IF(AO140=0,"",IF(NOT(EH_Ready),"",IF(MatchMode="Employee ID",SUMIFS(INDEX(EH_Data,0,EH_ColBal),INDEX(EH_Data,0,EH_ColID),$A140,INDEX(EH_Data,0,EH_ColCat),BonusCat),SUMIFS(INDEX(EH_Data,0,EH_ColBal),INDEX(EH_Data,0,EH_ColFirst),$B140,INDEX(EH_Data,0,EH_ColSur),$C140,INDEX(EH_Data,0,EH_ColCat),BonusCat))/IF(EHUnit="Hours",HoursPerDay,1)))</f>
        <v/>
      </c>
      <c r="AH140" s="26" t="str">
        <f aca="false">IF(AO140=0,"",IF(NOT(TK_Ready),0,IF(MatchMode="Employee ID",SUMIFS(INDEX(TK_Data,0,TK_ColAmt),INDEX(TK_Data,0,TK_ColID),$A140,INDEX(TK_Data,0,TK_ColCat),BonusCat),SUMIFS(INDEX(TK_Data,0,TK_ColAmt),INDEX(TK_Data,0,TK_ColFirst),$B140,INDEX(TK_Data,0,TK_ColSur),$C140,INDEX(TK_Data,0,TK_ColCat),BonusCat))/IF(TKUnit="Hours",HoursPerDay,1)))</f>
        <v/>
      </c>
      <c r="AI140" s="26" t="str">
        <f aca="false">IF(AO140=0,"",N(AG140)+N(AH140))</f>
        <v/>
      </c>
      <c r="AJ140" s="29" t="str">
        <f aca="false">IF(AO140=0,"",IF(NOT(AND(EH_Ready,EH_ValReady)),"",IF(MatchMode="Employee ID",SUMIFS(INDEX(EH_Data,0,EH_ColVal),INDEX(EH_Data,0,EH_ColID),$A140,INDEX(EH_Data,0,EH_ColCat),BonusCat),SUMIFS(INDEX(EH_Data,0,EH_ColVal),INDEX(EH_Data,0,EH_ColFirst),$B140,INDEX(EH_Data,0,EH_ColSur),$C140,INDEX(EH_Data,0,EH_ColCat),BonusCat))))</f>
        <v/>
      </c>
      <c r="AK140" s="26" t="str">
        <f aca="false">IF(AO140=0,"",IF(OR(NOT(EH_Ready),BF140=1),"",AB140-AI140))</f>
        <v/>
      </c>
      <c r="AL140" s="26" t="str">
        <f aca="false">IF(AK140="","",AK140*HoursPerDay)</f>
        <v/>
      </c>
      <c r="AM140" s="27" t="str">
        <f aca="false">IF(AO140=0,"",IF(BF140=1,IF(N(AG140)&gt;0,"TERMINATED - forfeit "&amp;TEXT(AG140,"0.##")&amp;" days still in EH","Terminated - nothing in EH"),IF(NOT(EH_Ready),"Paste EH export and map headers on Settings",IF(AND(AB140&gt;0,AF140="No"),"SET UP in EH - add "&amp;TEXT(AB140,"0.##")&amp;" day(s) ("&amp;TEXT(AC140,"0.##")&amp;" hrs)",IF(AK140&gt;0,"ADD "&amp;TEXT(AK140,"0.##")&amp;" day(s) ("&amp;TEXT(AL140,"0.##")&amp;" hrs) in EH",IF(AK140&lt;0,"CHECK - EH shows "&amp;TEXT(-AK140,"0.##")&amp;" days more than policy",IF(AB140&gt;0,"OK - up to date",IF(AY140="None","No action - not eligible","No action - not yet qualified"))))))))</f>
        <v/>
      </c>
      <c r="AN140" s="27" t="str">
        <f aca="false">IF(AO140=0,"",TRIM(IF(AND($K140&lt;&gt;"",$H140=""),"Change 2 entered without Change 1. ","")&amp;IF(AND($K140&lt;&gt;"",$H140&lt;&gt;"",$K140&lt;=$H140),"Change 2 date not after Change 1. ","")&amp;IF(AND($N140&lt;&gt;"",$O140&lt;&gt;"",$O140&lt;$N140),"Leave To is before Leave From. ","")&amp;IF(AND($N140&lt;&gt;"",$O140=""),"Leave From entered without Leave To. ","")&amp;IF(AND(IFERROR(VLOOKUP(T140,TypeTable,2,0),"None")="PT",U140=""),"Part-time with no hours entered. ","")&amp;IF(AND($H140&lt;&gt;"",$H140&gt;AsOfDate,AD140&lt;&gt;"",$H140&lt;=AD140),"Status change lands before next accrual - review. ","")&amp;IF(AND($Q140&lt;&gt;"",$Q140&lt;$E140),"Termination before commencement. ","")))</f>
        <v/>
      </c>
      <c r="AO140" s="11" t="n">
        <f aca="false">IF(LEN($A140&amp;$B140&amp;$C140)=0,0,IF($E140="",0,1))</f>
        <v>0</v>
      </c>
      <c r="AP140" s="11" t="str">
        <f aca="false">IF(AO140=0,"",(IF(OR($N140="",$O140=""),0,MAX(0,MIN(X140,$O140)-MAX($N140,$E140)+1))+N($P140)))</f>
        <v/>
      </c>
      <c r="AQ140" s="11" t="str">
        <f aca="false">IF(AO140=0,"",IF(X140&lt;($E140+(IF(OR($N140="",$O140=""),0,MAX(0,MIN(X140,$O140)-MAX($N140,$E140)+1))+N($P140))),-1,12*(YEAR(X140)-YEAR(($E140+(IF(OR($N140="",$O140=""),0,MAX(0,MIN(X140,$O140)-MAX($N140,$E140)+1))+N($P140)))))+MONTH(X140)-MONTH(($E140+(IF(OR($N140="",$O140=""),0,MAX(0,MIN(X140,$O140)-MAX($N140,$E140)+1))+N($P140))))-IF(DAY(X140)&lt;MIN(DAY(($E140+(IF(OR($N140="",$O140=""),0,MAX(0,MIN(X140,$O140)-MAX($N140,$E140)+1))+N($P140)))),DAY(EOMONTH(X140,0))),1,0)))</f>
        <v/>
      </c>
      <c r="AR140" s="28" t="str">
        <f aca="false">IF(AO140=0,"",IF($H140="","",IF($H140&gt;X140,"",$H140)))</f>
        <v/>
      </c>
      <c r="AS140" s="28" t="str">
        <f aca="false">IF(AO140=0,"",IF(AR140="","",IF($K140="","",IF($K140&gt;X140,"",$K140))))</f>
        <v/>
      </c>
      <c r="AT140" s="11" t="str">
        <f aca="false">IF(AO140=0,"",IF(AR140="",AQ140,IF((AR140-1)&lt;($E140+(IF(OR($N140="",$O140=""),0,MAX(0,MIN((AR140-1),$O140)-MAX($N140,$E140)+1))+N($P140))),-1,12*(YEAR((AR140-1))-YEAR(($E140+(IF(OR($N140="",$O140=""),0,MAX(0,MIN((AR140-1),$O140)-MAX($N140,$E140)+1))+N($P140)))))+MONTH((AR140-1))-MONTH(($E140+(IF(OR($N140="",$O140=""),0,MAX(0,MIN((AR140-1),$O140)-MAX($N140,$E140)+1))+N($P140))))-IF(DAY((AR140-1))&lt;MIN(DAY(($E140+(IF(OR($N140="",$O140=""),0,MAX(0,MIN((AR140-1),$O140)-MAX($N140,$E140)+1))+N($P140)))),DAY(EOMONTH((AR140-1),0))),1,0))))</f>
        <v/>
      </c>
      <c r="AU140" s="11" t="str">
        <f aca="false">IF(AO140=0,"",IF(AS140="",AQ140,IF((AS140-1)&lt;($E140+(IF(OR($N140="",$O140=""),0,MAX(0,MIN((AS140-1),$O140)-MAX($N140,$E140)+1))+N($P140))),-1,12*(YEAR((AS140-1))-YEAR(($E140+(IF(OR($N140="",$O140=""),0,MAX(0,MIN((AS140-1),$O140)-MAX($N140,$E140)+1))+N($P140)))))+MONTH((AS140-1))-MONTH(($E140+(IF(OR($N140="",$O140=""),0,MAX(0,MIN((AS140-1),$O140)-MAX($N140,$E140)+1))+N($P140))))-IF(DAY((AS140-1))&lt;MIN(DAY(($E140+(IF(OR($N140="",$O140=""),0,MAX(0,MIN((AS140-1),$O140)-MAX($N140,$E140)+1))+N($P140)))),DAY(EOMONTH((AS140-1),0))),1,0))))</f>
        <v/>
      </c>
      <c r="AV140" s="11" t="str">
        <f aca="false">IF(AO140=0,"",IF($F140="","None",IF(IFERROR(VLOOKUP($F140,TypeTable,2,0),"None")="PT",IF(N($G140)&gt;=PT_MinHours,"PT","None"),IFERROR(VLOOKUP($F140,TypeTable,2,0),"None"))))</f>
        <v/>
      </c>
      <c r="AW140" s="11" t="str">
        <f aca="false">IF(AO140=0,"",IF($I140="","None",IF(IFERROR(VLOOKUP($I140,TypeTable,2,0),"None")="PT",IF(N($J140)&gt;=PT_MinHours,"PT","None"),IFERROR(VLOOKUP($I140,TypeTable,2,0),"None"))))</f>
        <v/>
      </c>
      <c r="AX140" s="11" t="str">
        <f aca="false">IF(AO140=0,"",IF($L140="","None",IF(IFERROR(VLOOKUP($L140,TypeTable,2,0),"None")="PT",IF(N($M140)&gt;=PT_MinHours,"PT","None"),IFERROR(VLOOKUP($L140,TypeTable,2,0),"None"))))</f>
        <v/>
      </c>
      <c r="AY140" s="11" t="str">
        <f aca="false">IF(AO140=0,"",IF(AS140&lt;&gt;"",AX140,IF(AR140&lt;&gt;"",AW140,AV140)))</f>
        <v/>
      </c>
      <c r="AZ140" s="11" t="str">
        <f aca="false">IF(AO140=0,"",IF(AV140="FT",IF(AT140&lt;FT_First,0,IF(AT140&lt;FT_Y5,1+INT((AT140-FT_First)/FT_Int1),FT_PreY5+FT_PerYear*INT((AT140-FT_Y5)/12)+FT_AnnivDays+INT(MOD(AT140-FT_Y5,12)/FT_Int2))),IF(AV140="PT",IF(AT140&lt;PT_First,0,1+INT((AT140-PT_First)/PT_Int)),0)))</f>
        <v/>
      </c>
      <c r="BA140" s="11" t="str">
        <f aca="false">IF(AO140=0,"",IF(AW140="FT",IF(AT140&lt;FT_First,0,IF(AT140&lt;FT_Y5,1+INT((AT140-FT_First)/FT_Int1),FT_PreY5+FT_PerYear*INT((AT140-FT_Y5)/12)+FT_AnnivDays+INT(MOD(AT140-FT_Y5,12)/FT_Int2))),IF(AW140="PT",IF(AT140&lt;PT_First,0,1+INT((AT140-PT_First)/PT_Int)),0)))</f>
        <v/>
      </c>
      <c r="BB140" s="11" t="str">
        <f aca="false">IF(AO140=0,"",IF(AW140="FT",IF(AU140&lt;FT_First,0,IF(AU140&lt;FT_Y5,1+INT((AU140-FT_First)/FT_Int1),FT_PreY5+FT_PerYear*INT((AU140-FT_Y5)/12)+FT_AnnivDays+INT(MOD(AU140-FT_Y5,12)/FT_Int2))),IF(AW140="PT",IF(AU140&lt;PT_First,0,1+INT((AU140-PT_First)/PT_Int)),0)))</f>
        <v/>
      </c>
      <c r="BC140" s="11" t="str">
        <f aca="false">IF(AO140=0,"",IF(AX140="FT",IF(AU140&lt;FT_First,0,IF(AU140&lt;FT_Y5,1+INT((AU140-FT_First)/FT_Int1),FT_PreY5+FT_PerYear*INT((AU140-FT_Y5)/12)+FT_AnnivDays+INT(MOD(AU140-FT_Y5,12)/FT_Int2))),IF(AX140="PT",IF(AU140&lt;PT_First,0,1+INT((AU140-PT_First)/PT_Int)),0)))</f>
        <v/>
      </c>
      <c r="BD140" s="11" t="str">
        <f aca="false">IF(AO140=0,"",IF(AX140="FT",IF(AQ140&lt;FT_First,0,IF(AQ140&lt;FT_Y5,1+INT((AQ140-FT_First)/FT_Int1),FT_PreY5+FT_PerYear*INT((AQ140-FT_Y5)/12)+FT_AnnivDays+INT(MOD(AQ140-FT_Y5,12)/FT_Int2))),IF(AX140="PT",IF(AQ140&lt;PT_First,0,1+INT((AQ140-PT_First)/PT_Int)),0)))</f>
        <v/>
      </c>
      <c r="BE140" s="11" t="str">
        <f aca="false">IF(AO140=0,"",IF(AY140="FT",IF(AQ140&lt;FT_First,FT_First,IF(AQ140&lt;FT_Y5,MIN(FT_Y5,FT_First+FT_Int1*(INT((AQ140-FT_First)/FT_Int1)+1)),FT_Y5+12*INT((AQ140-FT_Y5)/12)+FT_Int2*(INT(MOD(AQ140-FT_Y5,12)/FT_Int2)+1))),IF(AY140="PT",IF(AQ140&lt;PT_First,PT_First,PT_First+PT_Int*(INT((AQ140-PT_First)/PT_Int)+1)),"")))</f>
        <v/>
      </c>
      <c r="BF140" s="11" t="n">
        <f aca="false">IF(AO140=0,0,IF(AND($Q140&lt;&gt;"",$Q140&lt;=AsOfDate),1,0))</f>
        <v>0</v>
      </c>
      <c r="BG140" s="11" t="str">
        <f aca="false">IF(AND(AO140=1,BF140=0,EH_Ready,N(AB140)&gt;0,N(AI140)=0),COUNT($BG$5:BG139)+1,"")</f>
        <v/>
      </c>
      <c r="BH140" s="11" t="str">
        <f aca="false">IF(AND(AO140=1,BF140=0,EH_Ready,N(AB140)&gt;0,N(AI140)&gt;0,N(AK140)&gt;0),COUNT($BH$5:BH139)+1,"")</f>
        <v/>
      </c>
      <c r="BI140" s="11" t="str">
        <f aca="false">IF(AND(AO140=1,OR(LEFT(AM140,3)="ADD",LEFT(AM140,3)="SET",LEFT(AM140,5)="CHECK",LEFT(AM140,10)="TERMINATED")),COUNT($BI$5:BI139)+1,"")</f>
        <v/>
      </c>
      <c r="BJ140" s="11" t="str">
        <f aca="false">IF(AO140=0,"",$A140&amp;" - "&amp;$B140&amp;" "&amp;$C140)</f>
        <v/>
      </c>
    </row>
    <row r="141" customFormat="false" ht="15" hidden="false" customHeight="false" outlineLevel="0" collapsed="false">
      <c r="A141" s="10"/>
      <c r="B141" s="10"/>
      <c r="C141" s="10"/>
      <c r="D141" s="10"/>
      <c r="E141" s="9"/>
      <c r="F141" s="10"/>
      <c r="G141" s="30"/>
      <c r="H141" s="9"/>
      <c r="I141" s="10"/>
      <c r="J141" s="30"/>
      <c r="K141" s="9"/>
      <c r="L141" s="10"/>
      <c r="M141" s="30"/>
      <c r="N141" s="9"/>
      <c r="O141" s="9"/>
      <c r="P141" s="30"/>
      <c r="Q141" s="9"/>
      <c r="R141" s="10"/>
      <c r="S141" s="11" t="str">
        <f aca="false">IF(AO141=0,"",IF($H141="","",$F141&amp;" -&gt; "&amp;$I141&amp;IF($I141="Part-Time"," ("&amp;N($J141)&amp;" hrs)","")&amp;" on "&amp;TEXT($H141,"dd/mm/yyyy")&amp;IF($H141&gt;AsOfDate," (FUTURE)","")&amp;IF($K141="","","; "&amp;$I141&amp;" -&gt; "&amp;$L141&amp;IF($L141="Part-Time"," ("&amp;N($M141)&amp;" hrs)","")&amp;" on "&amp;TEXT($K141,"dd/mm/yyyy")&amp;IF($K141&gt;AsOfDate," (FUTURE)",""))))</f>
        <v/>
      </c>
      <c r="T141" s="11" t="str">
        <f aca="false">IF(AO141=0,"",IF(AS141&lt;&gt;"",$L141,IF(AR141&lt;&gt;"",$I141,$F141)))</f>
        <v/>
      </c>
      <c r="U141" s="26" t="str">
        <f aca="false">IF(AO141=0,"",IF(AS141&lt;&gt;"",$M141,IF(AR141&lt;&gt;"",$J141,$G141)))</f>
        <v/>
      </c>
      <c r="V141" s="11" t="str">
        <f aca="false">IF(AO141=0,"",IF(AY141="FT","Full-Time",IF(AY141="PT","Part-Time","Not eligible")))</f>
        <v/>
      </c>
      <c r="W141" s="27" t="str">
        <f aca="false">IF(AO141=0,"",IF(AR141="",IF(AND($H141&lt;&gt;"",$H141&gt;AsOfDate),"Future change - not yet applied",""),IF(AND(AV141=AY141,OR(AS141="",AW141=AV141)),"Type changed - same accrual pathway",IF(AY141="None","STOPPED accruing from "&amp;TEXT(IF(AS141&lt;&gt;"",AS141,AR141),"dd/mm/yyyy"),IF(AV141="None","STARTED qualifying from "&amp;TEXT(IF(AS141&lt;&gt;"",AS141,AR141),"dd/mm/yyyy"),"Pathway changed "&amp;AV141&amp;" -&gt; "&amp;AW141&amp;IF(AS141&lt;&gt;""," -&gt; "&amp;AX141,"")&amp;" from "&amp;TEXT(IF(AS141&lt;&gt;"",AS141,AR141),"dd/mm/yyyy"))))))</f>
        <v/>
      </c>
      <c r="X141" s="28" t="str">
        <f aca="false">IF(AO141=0,"",IF($Q141="",AsOfDate,MIN(AsOfDate,$Q141)))</f>
        <v/>
      </c>
      <c r="Y141" s="26" t="str">
        <f aca="false">IF(AO141=0,"",MAX(0,AQ141))</f>
        <v/>
      </c>
      <c r="Z141" s="11" t="str">
        <f aca="false">IF(AO141=0,"",IF(AQ141&lt;0,"Not started",INT(AQ141/12)&amp;"y "&amp;MOD(AQ141,12)&amp;"m"))</f>
        <v/>
      </c>
      <c r="AA141" s="27" t="str">
        <f aca="false">IF(AO141=0,"",IF(BF141=1,"Terminated - balance forfeited",IF(AY141="None",IF(AB141&gt;0,"No longer accruing - "&amp;T141,"Not eligible - "&amp;T141&amp;IF(AND(IFERROR(VLOOKUP(T141,TypeTable,2,0),"None")="PT",N(U141)&lt;PT_MinHours)," (under "&amp;PT_MinHours&amp;" hrs)","")),IF(AB141&gt;0,"Yes - accruing","Not yet - qualifies "&amp;TEXT(AD141,"dd/mm/yyyy")))))</f>
        <v/>
      </c>
      <c r="AB141" s="26" t="str">
        <f aca="false">IF(AO141=0,"",AZ141+IF(AR141="",0,BB141-BA141)+IF(AS141="",0,BD141-BC141))</f>
        <v/>
      </c>
      <c r="AC141" s="26" t="str">
        <f aca="false">IF(AO141=0,"",AB141*HoursPerDay)</f>
        <v/>
      </c>
      <c r="AD141" s="28" t="str">
        <f aca="false">IF(AO141=0,"",IF(OR(BF141=1,AY141="None"),"",EDATE($E141+AP141,BE141)))</f>
        <v/>
      </c>
      <c r="AE141" s="26" t="str">
        <f aca="false">IF(AD141="","",IF(AY141="PT",1,IF(BE141&lt;FT_Y5,1,IF(MOD(BE141-FT_Y5,12)=0,FT_AnnivDays,1))))</f>
        <v/>
      </c>
      <c r="AF141" s="27" t="str">
        <f aca="false">IF(AO141=0,"",IF(NOT(EH_Ready),"Map headers",IF(IF(MatchMode="Employee ID",COUNTIFS(INDEX(EH_Data,0,EH_ColID),$A141,INDEX(EH_Data,0,EH_ColCat),BonusCat),COUNTIFS(INDEX(EH_Data,0,EH_ColFirst),$B141,INDEX(EH_Data,0,EH_ColSur),$C141,INDEX(EH_Data,0,EH_ColCat),BonusCat))&gt;0,"Yes","No")))</f>
        <v/>
      </c>
      <c r="AG141" s="26" t="str">
        <f aca="false">IF(AO141=0,"",IF(NOT(EH_Ready),"",IF(MatchMode="Employee ID",SUMIFS(INDEX(EH_Data,0,EH_ColBal),INDEX(EH_Data,0,EH_ColID),$A141,INDEX(EH_Data,0,EH_ColCat),BonusCat),SUMIFS(INDEX(EH_Data,0,EH_ColBal),INDEX(EH_Data,0,EH_ColFirst),$B141,INDEX(EH_Data,0,EH_ColSur),$C141,INDEX(EH_Data,0,EH_ColCat),BonusCat))/IF(EHUnit="Hours",HoursPerDay,1)))</f>
        <v/>
      </c>
      <c r="AH141" s="26" t="str">
        <f aca="false">IF(AO141=0,"",IF(NOT(TK_Ready),0,IF(MatchMode="Employee ID",SUMIFS(INDEX(TK_Data,0,TK_ColAmt),INDEX(TK_Data,0,TK_ColID),$A141,INDEX(TK_Data,0,TK_ColCat),BonusCat),SUMIFS(INDEX(TK_Data,0,TK_ColAmt),INDEX(TK_Data,0,TK_ColFirst),$B141,INDEX(TK_Data,0,TK_ColSur),$C141,INDEX(TK_Data,0,TK_ColCat),BonusCat))/IF(TKUnit="Hours",HoursPerDay,1)))</f>
        <v/>
      </c>
      <c r="AI141" s="26" t="str">
        <f aca="false">IF(AO141=0,"",N(AG141)+N(AH141))</f>
        <v/>
      </c>
      <c r="AJ141" s="29" t="str">
        <f aca="false">IF(AO141=0,"",IF(NOT(AND(EH_Ready,EH_ValReady)),"",IF(MatchMode="Employee ID",SUMIFS(INDEX(EH_Data,0,EH_ColVal),INDEX(EH_Data,0,EH_ColID),$A141,INDEX(EH_Data,0,EH_ColCat),BonusCat),SUMIFS(INDEX(EH_Data,0,EH_ColVal),INDEX(EH_Data,0,EH_ColFirst),$B141,INDEX(EH_Data,0,EH_ColSur),$C141,INDEX(EH_Data,0,EH_ColCat),BonusCat))))</f>
        <v/>
      </c>
      <c r="AK141" s="26" t="str">
        <f aca="false">IF(AO141=0,"",IF(OR(NOT(EH_Ready),BF141=1),"",AB141-AI141))</f>
        <v/>
      </c>
      <c r="AL141" s="26" t="str">
        <f aca="false">IF(AK141="","",AK141*HoursPerDay)</f>
        <v/>
      </c>
      <c r="AM141" s="27" t="str">
        <f aca="false">IF(AO141=0,"",IF(BF141=1,IF(N(AG141)&gt;0,"TERMINATED - forfeit "&amp;TEXT(AG141,"0.##")&amp;" days still in EH","Terminated - nothing in EH"),IF(NOT(EH_Ready),"Paste EH export and map headers on Settings",IF(AND(AB141&gt;0,AF141="No"),"SET UP in EH - add "&amp;TEXT(AB141,"0.##")&amp;" day(s) ("&amp;TEXT(AC141,"0.##")&amp;" hrs)",IF(AK141&gt;0,"ADD "&amp;TEXT(AK141,"0.##")&amp;" day(s) ("&amp;TEXT(AL141,"0.##")&amp;" hrs) in EH",IF(AK141&lt;0,"CHECK - EH shows "&amp;TEXT(-AK141,"0.##")&amp;" days more than policy",IF(AB141&gt;0,"OK - up to date",IF(AY141="None","No action - not eligible","No action - not yet qualified"))))))))</f>
        <v/>
      </c>
      <c r="AN141" s="27" t="str">
        <f aca="false">IF(AO141=0,"",TRIM(IF(AND($K141&lt;&gt;"",$H141=""),"Change 2 entered without Change 1. ","")&amp;IF(AND($K141&lt;&gt;"",$H141&lt;&gt;"",$K141&lt;=$H141),"Change 2 date not after Change 1. ","")&amp;IF(AND($N141&lt;&gt;"",$O141&lt;&gt;"",$O141&lt;$N141),"Leave To is before Leave From. ","")&amp;IF(AND($N141&lt;&gt;"",$O141=""),"Leave From entered without Leave To. ","")&amp;IF(AND(IFERROR(VLOOKUP(T141,TypeTable,2,0),"None")="PT",U141=""),"Part-time with no hours entered. ","")&amp;IF(AND($H141&lt;&gt;"",$H141&gt;AsOfDate,AD141&lt;&gt;"",$H141&lt;=AD141),"Status change lands before next accrual - review. ","")&amp;IF(AND($Q141&lt;&gt;"",$Q141&lt;$E141),"Termination before commencement. ","")))</f>
        <v/>
      </c>
      <c r="AO141" s="11" t="n">
        <f aca="false">IF(LEN($A141&amp;$B141&amp;$C141)=0,0,IF($E141="",0,1))</f>
        <v>0</v>
      </c>
      <c r="AP141" s="11" t="str">
        <f aca="false">IF(AO141=0,"",(IF(OR($N141="",$O141=""),0,MAX(0,MIN(X141,$O141)-MAX($N141,$E141)+1))+N($P141)))</f>
        <v/>
      </c>
      <c r="AQ141" s="11" t="str">
        <f aca="false">IF(AO141=0,"",IF(X141&lt;($E141+(IF(OR($N141="",$O141=""),0,MAX(0,MIN(X141,$O141)-MAX($N141,$E141)+1))+N($P141))),-1,12*(YEAR(X141)-YEAR(($E141+(IF(OR($N141="",$O141=""),0,MAX(0,MIN(X141,$O141)-MAX($N141,$E141)+1))+N($P141)))))+MONTH(X141)-MONTH(($E141+(IF(OR($N141="",$O141=""),0,MAX(0,MIN(X141,$O141)-MAX($N141,$E141)+1))+N($P141))))-IF(DAY(X141)&lt;MIN(DAY(($E141+(IF(OR($N141="",$O141=""),0,MAX(0,MIN(X141,$O141)-MAX($N141,$E141)+1))+N($P141)))),DAY(EOMONTH(X141,0))),1,0)))</f>
        <v/>
      </c>
      <c r="AR141" s="28" t="str">
        <f aca="false">IF(AO141=0,"",IF($H141="","",IF($H141&gt;X141,"",$H141)))</f>
        <v/>
      </c>
      <c r="AS141" s="28" t="str">
        <f aca="false">IF(AO141=0,"",IF(AR141="","",IF($K141="","",IF($K141&gt;X141,"",$K141))))</f>
        <v/>
      </c>
      <c r="AT141" s="11" t="str">
        <f aca="false">IF(AO141=0,"",IF(AR141="",AQ141,IF((AR141-1)&lt;($E141+(IF(OR($N141="",$O141=""),0,MAX(0,MIN((AR141-1),$O141)-MAX($N141,$E141)+1))+N($P141))),-1,12*(YEAR((AR141-1))-YEAR(($E141+(IF(OR($N141="",$O141=""),0,MAX(0,MIN((AR141-1),$O141)-MAX($N141,$E141)+1))+N($P141)))))+MONTH((AR141-1))-MONTH(($E141+(IF(OR($N141="",$O141=""),0,MAX(0,MIN((AR141-1),$O141)-MAX($N141,$E141)+1))+N($P141))))-IF(DAY((AR141-1))&lt;MIN(DAY(($E141+(IF(OR($N141="",$O141=""),0,MAX(0,MIN((AR141-1),$O141)-MAX($N141,$E141)+1))+N($P141)))),DAY(EOMONTH((AR141-1),0))),1,0))))</f>
        <v/>
      </c>
      <c r="AU141" s="11" t="str">
        <f aca="false">IF(AO141=0,"",IF(AS141="",AQ141,IF((AS141-1)&lt;($E141+(IF(OR($N141="",$O141=""),0,MAX(0,MIN((AS141-1),$O141)-MAX($N141,$E141)+1))+N($P141))),-1,12*(YEAR((AS141-1))-YEAR(($E141+(IF(OR($N141="",$O141=""),0,MAX(0,MIN((AS141-1),$O141)-MAX($N141,$E141)+1))+N($P141)))))+MONTH((AS141-1))-MONTH(($E141+(IF(OR($N141="",$O141=""),0,MAX(0,MIN((AS141-1),$O141)-MAX($N141,$E141)+1))+N($P141))))-IF(DAY((AS141-1))&lt;MIN(DAY(($E141+(IF(OR($N141="",$O141=""),0,MAX(0,MIN((AS141-1),$O141)-MAX($N141,$E141)+1))+N($P141)))),DAY(EOMONTH((AS141-1),0))),1,0))))</f>
        <v/>
      </c>
      <c r="AV141" s="11" t="str">
        <f aca="false">IF(AO141=0,"",IF($F141="","None",IF(IFERROR(VLOOKUP($F141,TypeTable,2,0),"None")="PT",IF(N($G141)&gt;=PT_MinHours,"PT","None"),IFERROR(VLOOKUP($F141,TypeTable,2,0),"None"))))</f>
        <v/>
      </c>
      <c r="AW141" s="11" t="str">
        <f aca="false">IF(AO141=0,"",IF($I141="","None",IF(IFERROR(VLOOKUP($I141,TypeTable,2,0),"None")="PT",IF(N($J141)&gt;=PT_MinHours,"PT","None"),IFERROR(VLOOKUP($I141,TypeTable,2,0),"None"))))</f>
        <v/>
      </c>
      <c r="AX141" s="11" t="str">
        <f aca="false">IF(AO141=0,"",IF($L141="","None",IF(IFERROR(VLOOKUP($L141,TypeTable,2,0),"None")="PT",IF(N($M141)&gt;=PT_MinHours,"PT","None"),IFERROR(VLOOKUP($L141,TypeTable,2,0),"None"))))</f>
        <v/>
      </c>
      <c r="AY141" s="11" t="str">
        <f aca="false">IF(AO141=0,"",IF(AS141&lt;&gt;"",AX141,IF(AR141&lt;&gt;"",AW141,AV141)))</f>
        <v/>
      </c>
      <c r="AZ141" s="11" t="str">
        <f aca="false">IF(AO141=0,"",IF(AV141="FT",IF(AT141&lt;FT_First,0,IF(AT141&lt;FT_Y5,1+INT((AT141-FT_First)/FT_Int1),FT_PreY5+FT_PerYear*INT((AT141-FT_Y5)/12)+FT_AnnivDays+INT(MOD(AT141-FT_Y5,12)/FT_Int2))),IF(AV141="PT",IF(AT141&lt;PT_First,0,1+INT((AT141-PT_First)/PT_Int)),0)))</f>
        <v/>
      </c>
      <c r="BA141" s="11" t="str">
        <f aca="false">IF(AO141=0,"",IF(AW141="FT",IF(AT141&lt;FT_First,0,IF(AT141&lt;FT_Y5,1+INT((AT141-FT_First)/FT_Int1),FT_PreY5+FT_PerYear*INT((AT141-FT_Y5)/12)+FT_AnnivDays+INT(MOD(AT141-FT_Y5,12)/FT_Int2))),IF(AW141="PT",IF(AT141&lt;PT_First,0,1+INT((AT141-PT_First)/PT_Int)),0)))</f>
        <v/>
      </c>
      <c r="BB141" s="11" t="str">
        <f aca="false">IF(AO141=0,"",IF(AW141="FT",IF(AU141&lt;FT_First,0,IF(AU141&lt;FT_Y5,1+INT((AU141-FT_First)/FT_Int1),FT_PreY5+FT_PerYear*INT((AU141-FT_Y5)/12)+FT_AnnivDays+INT(MOD(AU141-FT_Y5,12)/FT_Int2))),IF(AW141="PT",IF(AU141&lt;PT_First,0,1+INT((AU141-PT_First)/PT_Int)),0)))</f>
        <v/>
      </c>
      <c r="BC141" s="11" t="str">
        <f aca="false">IF(AO141=0,"",IF(AX141="FT",IF(AU141&lt;FT_First,0,IF(AU141&lt;FT_Y5,1+INT((AU141-FT_First)/FT_Int1),FT_PreY5+FT_PerYear*INT((AU141-FT_Y5)/12)+FT_AnnivDays+INT(MOD(AU141-FT_Y5,12)/FT_Int2))),IF(AX141="PT",IF(AU141&lt;PT_First,0,1+INT((AU141-PT_First)/PT_Int)),0)))</f>
        <v/>
      </c>
      <c r="BD141" s="11" t="str">
        <f aca="false">IF(AO141=0,"",IF(AX141="FT",IF(AQ141&lt;FT_First,0,IF(AQ141&lt;FT_Y5,1+INT((AQ141-FT_First)/FT_Int1),FT_PreY5+FT_PerYear*INT((AQ141-FT_Y5)/12)+FT_AnnivDays+INT(MOD(AQ141-FT_Y5,12)/FT_Int2))),IF(AX141="PT",IF(AQ141&lt;PT_First,0,1+INT((AQ141-PT_First)/PT_Int)),0)))</f>
        <v/>
      </c>
      <c r="BE141" s="11" t="str">
        <f aca="false">IF(AO141=0,"",IF(AY141="FT",IF(AQ141&lt;FT_First,FT_First,IF(AQ141&lt;FT_Y5,MIN(FT_Y5,FT_First+FT_Int1*(INT((AQ141-FT_First)/FT_Int1)+1)),FT_Y5+12*INT((AQ141-FT_Y5)/12)+FT_Int2*(INT(MOD(AQ141-FT_Y5,12)/FT_Int2)+1))),IF(AY141="PT",IF(AQ141&lt;PT_First,PT_First,PT_First+PT_Int*(INT((AQ141-PT_First)/PT_Int)+1)),"")))</f>
        <v/>
      </c>
      <c r="BF141" s="11" t="n">
        <f aca="false">IF(AO141=0,0,IF(AND($Q141&lt;&gt;"",$Q141&lt;=AsOfDate),1,0))</f>
        <v>0</v>
      </c>
      <c r="BG141" s="11" t="str">
        <f aca="false">IF(AND(AO141=1,BF141=0,EH_Ready,N(AB141)&gt;0,N(AI141)=0),COUNT($BG$5:BG140)+1,"")</f>
        <v/>
      </c>
      <c r="BH141" s="11" t="str">
        <f aca="false">IF(AND(AO141=1,BF141=0,EH_Ready,N(AB141)&gt;0,N(AI141)&gt;0,N(AK141)&gt;0),COUNT($BH$5:BH140)+1,"")</f>
        <v/>
      </c>
      <c r="BI141" s="11" t="str">
        <f aca="false">IF(AND(AO141=1,OR(LEFT(AM141,3)="ADD",LEFT(AM141,3)="SET",LEFT(AM141,5)="CHECK",LEFT(AM141,10)="TERMINATED")),COUNT($BI$5:BI140)+1,"")</f>
        <v/>
      </c>
      <c r="BJ141" s="11" t="str">
        <f aca="false">IF(AO141=0,"",$A141&amp;" - "&amp;$B141&amp;" "&amp;$C141)</f>
        <v/>
      </c>
    </row>
    <row r="142" customFormat="false" ht="15" hidden="false" customHeight="false" outlineLevel="0" collapsed="false">
      <c r="A142" s="10"/>
      <c r="B142" s="10"/>
      <c r="C142" s="10"/>
      <c r="D142" s="10"/>
      <c r="E142" s="9"/>
      <c r="F142" s="10"/>
      <c r="G142" s="30"/>
      <c r="H142" s="9"/>
      <c r="I142" s="10"/>
      <c r="J142" s="30"/>
      <c r="K142" s="9"/>
      <c r="L142" s="10"/>
      <c r="M142" s="30"/>
      <c r="N142" s="9"/>
      <c r="O142" s="9"/>
      <c r="P142" s="30"/>
      <c r="Q142" s="9"/>
      <c r="R142" s="10"/>
      <c r="S142" s="11" t="str">
        <f aca="false">IF(AO142=0,"",IF($H142="","",$F142&amp;" -&gt; "&amp;$I142&amp;IF($I142="Part-Time"," ("&amp;N($J142)&amp;" hrs)","")&amp;" on "&amp;TEXT($H142,"dd/mm/yyyy")&amp;IF($H142&gt;AsOfDate," (FUTURE)","")&amp;IF($K142="","","; "&amp;$I142&amp;" -&gt; "&amp;$L142&amp;IF($L142="Part-Time"," ("&amp;N($M142)&amp;" hrs)","")&amp;" on "&amp;TEXT($K142,"dd/mm/yyyy")&amp;IF($K142&gt;AsOfDate," (FUTURE)",""))))</f>
        <v/>
      </c>
      <c r="T142" s="11" t="str">
        <f aca="false">IF(AO142=0,"",IF(AS142&lt;&gt;"",$L142,IF(AR142&lt;&gt;"",$I142,$F142)))</f>
        <v/>
      </c>
      <c r="U142" s="26" t="str">
        <f aca="false">IF(AO142=0,"",IF(AS142&lt;&gt;"",$M142,IF(AR142&lt;&gt;"",$J142,$G142)))</f>
        <v/>
      </c>
      <c r="V142" s="11" t="str">
        <f aca="false">IF(AO142=0,"",IF(AY142="FT","Full-Time",IF(AY142="PT","Part-Time","Not eligible")))</f>
        <v/>
      </c>
      <c r="W142" s="27" t="str">
        <f aca="false">IF(AO142=0,"",IF(AR142="",IF(AND($H142&lt;&gt;"",$H142&gt;AsOfDate),"Future change - not yet applied",""),IF(AND(AV142=AY142,OR(AS142="",AW142=AV142)),"Type changed - same accrual pathway",IF(AY142="None","STOPPED accruing from "&amp;TEXT(IF(AS142&lt;&gt;"",AS142,AR142),"dd/mm/yyyy"),IF(AV142="None","STARTED qualifying from "&amp;TEXT(IF(AS142&lt;&gt;"",AS142,AR142),"dd/mm/yyyy"),"Pathway changed "&amp;AV142&amp;" -&gt; "&amp;AW142&amp;IF(AS142&lt;&gt;""," -&gt; "&amp;AX142,"")&amp;" from "&amp;TEXT(IF(AS142&lt;&gt;"",AS142,AR142),"dd/mm/yyyy"))))))</f>
        <v/>
      </c>
      <c r="X142" s="28" t="str">
        <f aca="false">IF(AO142=0,"",IF($Q142="",AsOfDate,MIN(AsOfDate,$Q142)))</f>
        <v/>
      </c>
      <c r="Y142" s="26" t="str">
        <f aca="false">IF(AO142=0,"",MAX(0,AQ142))</f>
        <v/>
      </c>
      <c r="Z142" s="11" t="str">
        <f aca="false">IF(AO142=0,"",IF(AQ142&lt;0,"Not started",INT(AQ142/12)&amp;"y "&amp;MOD(AQ142,12)&amp;"m"))</f>
        <v/>
      </c>
      <c r="AA142" s="27" t="str">
        <f aca="false">IF(AO142=0,"",IF(BF142=1,"Terminated - balance forfeited",IF(AY142="None",IF(AB142&gt;0,"No longer accruing - "&amp;T142,"Not eligible - "&amp;T142&amp;IF(AND(IFERROR(VLOOKUP(T142,TypeTable,2,0),"None")="PT",N(U142)&lt;PT_MinHours)," (under "&amp;PT_MinHours&amp;" hrs)","")),IF(AB142&gt;0,"Yes - accruing","Not yet - qualifies "&amp;TEXT(AD142,"dd/mm/yyyy")))))</f>
        <v/>
      </c>
      <c r="AB142" s="26" t="str">
        <f aca="false">IF(AO142=0,"",AZ142+IF(AR142="",0,BB142-BA142)+IF(AS142="",0,BD142-BC142))</f>
        <v/>
      </c>
      <c r="AC142" s="26" t="str">
        <f aca="false">IF(AO142=0,"",AB142*HoursPerDay)</f>
        <v/>
      </c>
      <c r="AD142" s="28" t="str">
        <f aca="false">IF(AO142=0,"",IF(OR(BF142=1,AY142="None"),"",EDATE($E142+AP142,BE142)))</f>
        <v/>
      </c>
      <c r="AE142" s="26" t="str">
        <f aca="false">IF(AD142="","",IF(AY142="PT",1,IF(BE142&lt;FT_Y5,1,IF(MOD(BE142-FT_Y5,12)=0,FT_AnnivDays,1))))</f>
        <v/>
      </c>
      <c r="AF142" s="27" t="str">
        <f aca="false">IF(AO142=0,"",IF(NOT(EH_Ready),"Map headers",IF(IF(MatchMode="Employee ID",COUNTIFS(INDEX(EH_Data,0,EH_ColID),$A142,INDEX(EH_Data,0,EH_ColCat),BonusCat),COUNTIFS(INDEX(EH_Data,0,EH_ColFirst),$B142,INDEX(EH_Data,0,EH_ColSur),$C142,INDEX(EH_Data,0,EH_ColCat),BonusCat))&gt;0,"Yes","No")))</f>
        <v/>
      </c>
      <c r="AG142" s="26" t="str">
        <f aca="false">IF(AO142=0,"",IF(NOT(EH_Ready),"",IF(MatchMode="Employee ID",SUMIFS(INDEX(EH_Data,0,EH_ColBal),INDEX(EH_Data,0,EH_ColID),$A142,INDEX(EH_Data,0,EH_ColCat),BonusCat),SUMIFS(INDEX(EH_Data,0,EH_ColBal),INDEX(EH_Data,0,EH_ColFirst),$B142,INDEX(EH_Data,0,EH_ColSur),$C142,INDEX(EH_Data,0,EH_ColCat),BonusCat))/IF(EHUnit="Hours",HoursPerDay,1)))</f>
        <v/>
      </c>
      <c r="AH142" s="26" t="str">
        <f aca="false">IF(AO142=0,"",IF(NOT(TK_Ready),0,IF(MatchMode="Employee ID",SUMIFS(INDEX(TK_Data,0,TK_ColAmt),INDEX(TK_Data,0,TK_ColID),$A142,INDEX(TK_Data,0,TK_ColCat),BonusCat),SUMIFS(INDEX(TK_Data,0,TK_ColAmt),INDEX(TK_Data,0,TK_ColFirst),$B142,INDEX(TK_Data,0,TK_ColSur),$C142,INDEX(TK_Data,0,TK_ColCat),BonusCat))/IF(TKUnit="Hours",HoursPerDay,1)))</f>
        <v/>
      </c>
      <c r="AI142" s="26" t="str">
        <f aca="false">IF(AO142=0,"",N(AG142)+N(AH142))</f>
        <v/>
      </c>
      <c r="AJ142" s="29" t="str">
        <f aca="false">IF(AO142=0,"",IF(NOT(AND(EH_Ready,EH_ValReady)),"",IF(MatchMode="Employee ID",SUMIFS(INDEX(EH_Data,0,EH_ColVal),INDEX(EH_Data,0,EH_ColID),$A142,INDEX(EH_Data,0,EH_ColCat),BonusCat),SUMIFS(INDEX(EH_Data,0,EH_ColVal),INDEX(EH_Data,0,EH_ColFirst),$B142,INDEX(EH_Data,0,EH_ColSur),$C142,INDEX(EH_Data,0,EH_ColCat),BonusCat))))</f>
        <v/>
      </c>
      <c r="AK142" s="26" t="str">
        <f aca="false">IF(AO142=0,"",IF(OR(NOT(EH_Ready),BF142=1),"",AB142-AI142))</f>
        <v/>
      </c>
      <c r="AL142" s="26" t="str">
        <f aca="false">IF(AK142="","",AK142*HoursPerDay)</f>
        <v/>
      </c>
      <c r="AM142" s="27" t="str">
        <f aca="false">IF(AO142=0,"",IF(BF142=1,IF(N(AG142)&gt;0,"TERMINATED - forfeit "&amp;TEXT(AG142,"0.##")&amp;" days still in EH","Terminated - nothing in EH"),IF(NOT(EH_Ready),"Paste EH export and map headers on Settings",IF(AND(AB142&gt;0,AF142="No"),"SET UP in EH - add "&amp;TEXT(AB142,"0.##")&amp;" day(s) ("&amp;TEXT(AC142,"0.##")&amp;" hrs)",IF(AK142&gt;0,"ADD "&amp;TEXT(AK142,"0.##")&amp;" day(s) ("&amp;TEXT(AL142,"0.##")&amp;" hrs) in EH",IF(AK142&lt;0,"CHECK - EH shows "&amp;TEXT(-AK142,"0.##")&amp;" days more than policy",IF(AB142&gt;0,"OK - up to date",IF(AY142="None","No action - not eligible","No action - not yet qualified"))))))))</f>
        <v/>
      </c>
      <c r="AN142" s="27" t="str">
        <f aca="false">IF(AO142=0,"",TRIM(IF(AND($K142&lt;&gt;"",$H142=""),"Change 2 entered without Change 1. ","")&amp;IF(AND($K142&lt;&gt;"",$H142&lt;&gt;"",$K142&lt;=$H142),"Change 2 date not after Change 1. ","")&amp;IF(AND($N142&lt;&gt;"",$O142&lt;&gt;"",$O142&lt;$N142),"Leave To is before Leave From. ","")&amp;IF(AND($N142&lt;&gt;"",$O142=""),"Leave From entered without Leave To. ","")&amp;IF(AND(IFERROR(VLOOKUP(T142,TypeTable,2,0),"None")="PT",U142=""),"Part-time with no hours entered. ","")&amp;IF(AND($H142&lt;&gt;"",$H142&gt;AsOfDate,AD142&lt;&gt;"",$H142&lt;=AD142),"Status change lands before next accrual - review. ","")&amp;IF(AND($Q142&lt;&gt;"",$Q142&lt;$E142),"Termination before commencement. ","")))</f>
        <v/>
      </c>
      <c r="AO142" s="11" t="n">
        <f aca="false">IF(LEN($A142&amp;$B142&amp;$C142)=0,0,IF($E142="",0,1))</f>
        <v>0</v>
      </c>
      <c r="AP142" s="11" t="str">
        <f aca="false">IF(AO142=0,"",(IF(OR($N142="",$O142=""),0,MAX(0,MIN(X142,$O142)-MAX($N142,$E142)+1))+N($P142)))</f>
        <v/>
      </c>
      <c r="AQ142" s="11" t="str">
        <f aca="false">IF(AO142=0,"",IF(X142&lt;($E142+(IF(OR($N142="",$O142=""),0,MAX(0,MIN(X142,$O142)-MAX($N142,$E142)+1))+N($P142))),-1,12*(YEAR(X142)-YEAR(($E142+(IF(OR($N142="",$O142=""),0,MAX(0,MIN(X142,$O142)-MAX($N142,$E142)+1))+N($P142)))))+MONTH(X142)-MONTH(($E142+(IF(OR($N142="",$O142=""),0,MAX(0,MIN(X142,$O142)-MAX($N142,$E142)+1))+N($P142))))-IF(DAY(X142)&lt;MIN(DAY(($E142+(IF(OR($N142="",$O142=""),0,MAX(0,MIN(X142,$O142)-MAX($N142,$E142)+1))+N($P142)))),DAY(EOMONTH(X142,0))),1,0)))</f>
        <v/>
      </c>
      <c r="AR142" s="28" t="str">
        <f aca="false">IF(AO142=0,"",IF($H142="","",IF($H142&gt;X142,"",$H142)))</f>
        <v/>
      </c>
      <c r="AS142" s="28" t="str">
        <f aca="false">IF(AO142=0,"",IF(AR142="","",IF($K142="","",IF($K142&gt;X142,"",$K142))))</f>
        <v/>
      </c>
      <c r="AT142" s="11" t="str">
        <f aca="false">IF(AO142=0,"",IF(AR142="",AQ142,IF((AR142-1)&lt;($E142+(IF(OR($N142="",$O142=""),0,MAX(0,MIN((AR142-1),$O142)-MAX($N142,$E142)+1))+N($P142))),-1,12*(YEAR((AR142-1))-YEAR(($E142+(IF(OR($N142="",$O142=""),0,MAX(0,MIN((AR142-1),$O142)-MAX($N142,$E142)+1))+N($P142)))))+MONTH((AR142-1))-MONTH(($E142+(IF(OR($N142="",$O142=""),0,MAX(0,MIN((AR142-1),$O142)-MAX($N142,$E142)+1))+N($P142))))-IF(DAY((AR142-1))&lt;MIN(DAY(($E142+(IF(OR($N142="",$O142=""),0,MAX(0,MIN((AR142-1),$O142)-MAX($N142,$E142)+1))+N($P142)))),DAY(EOMONTH((AR142-1),0))),1,0))))</f>
        <v/>
      </c>
      <c r="AU142" s="11" t="str">
        <f aca="false">IF(AO142=0,"",IF(AS142="",AQ142,IF((AS142-1)&lt;($E142+(IF(OR($N142="",$O142=""),0,MAX(0,MIN((AS142-1),$O142)-MAX($N142,$E142)+1))+N($P142))),-1,12*(YEAR((AS142-1))-YEAR(($E142+(IF(OR($N142="",$O142=""),0,MAX(0,MIN((AS142-1),$O142)-MAX($N142,$E142)+1))+N($P142)))))+MONTH((AS142-1))-MONTH(($E142+(IF(OR($N142="",$O142=""),0,MAX(0,MIN((AS142-1),$O142)-MAX($N142,$E142)+1))+N($P142))))-IF(DAY((AS142-1))&lt;MIN(DAY(($E142+(IF(OR($N142="",$O142=""),0,MAX(0,MIN((AS142-1),$O142)-MAX($N142,$E142)+1))+N($P142)))),DAY(EOMONTH((AS142-1),0))),1,0))))</f>
        <v/>
      </c>
      <c r="AV142" s="11" t="str">
        <f aca="false">IF(AO142=0,"",IF($F142="","None",IF(IFERROR(VLOOKUP($F142,TypeTable,2,0),"None")="PT",IF(N($G142)&gt;=PT_MinHours,"PT","None"),IFERROR(VLOOKUP($F142,TypeTable,2,0),"None"))))</f>
        <v/>
      </c>
      <c r="AW142" s="11" t="str">
        <f aca="false">IF(AO142=0,"",IF($I142="","None",IF(IFERROR(VLOOKUP($I142,TypeTable,2,0),"None")="PT",IF(N($J142)&gt;=PT_MinHours,"PT","None"),IFERROR(VLOOKUP($I142,TypeTable,2,0),"None"))))</f>
        <v/>
      </c>
      <c r="AX142" s="11" t="str">
        <f aca="false">IF(AO142=0,"",IF($L142="","None",IF(IFERROR(VLOOKUP($L142,TypeTable,2,0),"None")="PT",IF(N($M142)&gt;=PT_MinHours,"PT","None"),IFERROR(VLOOKUP($L142,TypeTable,2,0),"None"))))</f>
        <v/>
      </c>
      <c r="AY142" s="11" t="str">
        <f aca="false">IF(AO142=0,"",IF(AS142&lt;&gt;"",AX142,IF(AR142&lt;&gt;"",AW142,AV142)))</f>
        <v/>
      </c>
      <c r="AZ142" s="11" t="str">
        <f aca="false">IF(AO142=0,"",IF(AV142="FT",IF(AT142&lt;FT_First,0,IF(AT142&lt;FT_Y5,1+INT((AT142-FT_First)/FT_Int1),FT_PreY5+FT_PerYear*INT((AT142-FT_Y5)/12)+FT_AnnivDays+INT(MOD(AT142-FT_Y5,12)/FT_Int2))),IF(AV142="PT",IF(AT142&lt;PT_First,0,1+INT((AT142-PT_First)/PT_Int)),0)))</f>
        <v/>
      </c>
      <c r="BA142" s="11" t="str">
        <f aca="false">IF(AO142=0,"",IF(AW142="FT",IF(AT142&lt;FT_First,0,IF(AT142&lt;FT_Y5,1+INT((AT142-FT_First)/FT_Int1),FT_PreY5+FT_PerYear*INT((AT142-FT_Y5)/12)+FT_AnnivDays+INT(MOD(AT142-FT_Y5,12)/FT_Int2))),IF(AW142="PT",IF(AT142&lt;PT_First,0,1+INT((AT142-PT_First)/PT_Int)),0)))</f>
        <v/>
      </c>
      <c r="BB142" s="11" t="str">
        <f aca="false">IF(AO142=0,"",IF(AW142="FT",IF(AU142&lt;FT_First,0,IF(AU142&lt;FT_Y5,1+INT((AU142-FT_First)/FT_Int1),FT_PreY5+FT_PerYear*INT((AU142-FT_Y5)/12)+FT_AnnivDays+INT(MOD(AU142-FT_Y5,12)/FT_Int2))),IF(AW142="PT",IF(AU142&lt;PT_First,0,1+INT((AU142-PT_First)/PT_Int)),0)))</f>
        <v/>
      </c>
      <c r="BC142" s="11" t="str">
        <f aca="false">IF(AO142=0,"",IF(AX142="FT",IF(AU142&lt;FT_First,0,IF(AU142&lt;FT_Y5,1+INT((AU142-FT_First)/FT_Int1),FT_PreY5+FT_PerYear*INT((AU142-FT_Y5)/12)+FT_AnnivDays+INT(MOD(AU142-FT_Y5,12)/FT_Int2))),IF(AX142="PT",IF(AU142&lt;PT_First,0,1+INT((AU142-PT_First)/PT_Int)),0)))</f>
        <v/>
      </c>
      <c r="BD142" s="11" t="str">
        <f aca="false">IF(AO142=0,"",IF(AX142="FT",IF(AQ142&lt;FT_First,0,IF(AQ142&lt;FT_Y5,1+INT((AQ142-FT_First)/FT_Int1),FT_PreY5+FT_PerYear*INT((AQ142-FT_Y5)/12)+FT_AnnivDays+INT(MOD(AQ142-FT_Y5,12)/FT_Int2))),IF(AX142="PT",IF(AQ142&lt;PT_First,0,1+INT((AQ142-PT_First)/PT_Int)),0)))</f>
        <v/>
      </c>
      <c r="BE142" s="11" t="str">
        <f aca="false">IF(AO142=0,"",IF(AY142="FT",IF(AQ142&lt;FT_First,FT_First,IF(AQ142&lt;FT_Y5,MIN(FT_Y5,FT_First+FT_Int1*(INT((AQ142-FT_First)/FT_Int1)+1)),FT_Y5+12*INT((AQ142-FT_Y5)/12)+FT_Int2*(INT(MOD(AQ142-FT_Y5,12)/FT_Int2)+1))),IF(AY142="PT",IF(AQ142&lt;PT_First,PT_First,PT_First+PT_Int*(INT((AQ142-PT_First)/PT_Int)+1)),"")))</f>
        <v/>
      </c>
      <c r="BF142" s="11" t="n">
        <f aca="false">IF(AO142=0,0,IF(AND($Q142&lt;&gt;"",$Q142&lt;=AsOfDate),1,0))</f>
        <v>0</v>
      </c>
      <c r="BG142" s="11" t="str">
        <f aca="false">IF(AND(AO142=1,BF142=0,EH_Ready,N(AB142)&gt;0,N(AI142)=0),COUNT($BG$5:BG141)+1,"")</f>
        <v/>
      </c>
      <c r="BH142" s="11" t="str">
        <f aca="false">IF(AND(AO142=1,BF142=0,EH_Ready,N(AB142)&gt;0,N(AI142)&gt;0,N(AK142)&gt;0),COUNT($BH$5:BH141)+1,"")</f>
        <v/>
      </c>
      <c r="BI142" s="11" t="str">
        <f aca="false">IF(AND(AO142=1,OR(LEFT(AM142,3)="ADD",LEFT(AM142,3)="SET",LEFT(AM142,5)="CHECK",LEFT(AM142,10)="TERMINATED")),COUNT($BI$5:BI141)+1,"")</f>
        <v/>
      </c>
      <c r="BJ142" s="11" t="str">
        <f aca="false">IF(AO142=0,"",$A142&amp;" - "&amp;$B142&amp;" "&amp;$C142)</f>
        <v/>
      </c>
    </row>
    <row r="143" customFormat="false" ht="15" hidden="false" customHeight="false" outlineLevel="0" collapsed="false">
      <c r="A143" s="10"/>
      <c r="B143" s="10"/>
      <c r="C143" s="10"/>
      <c r="D143" s="10"/>
      <c r="E143" s="9"/>
      <c r="F143" s="10"/>
      <c r="G143" s="30"/>
      <c r="H143" s="9"/>
      <c r="I143" s="10"/>
      <c r="J143" s="30"/>
      <c r="K143" s="9"/>
      <c r="L143" s="10"/>
      <c r="M143" s="30"/>
      <c r="N143" s="9"/>
      <c r="O143" s="9"/>
      <c r="P143" s="30"/>
      <c r="Q143" s="9"/>
      <c r="R143" s="10"/>
      <c r="S143" s="11" t="str">
        <f aca="false">IF(AO143=0,"",IF($H143="","",$F143&amp;" -&gt; "&amp;$I143&amp;IF($I143="Part-Time"," ("&amp;N($J143)&amp;" hrs)","")&amp;" on "&amp;TEXT($H143,"dd/mm/yyyy")&amp;IF($H143&gt;AsOfDate," (FUTURE)","")&amp;IF($K143="","","; "&amp;$I143&amp;" -&gt; "&amp;$L143&amp;IF($L143="Part-Time"," ("&amp;N($M143)&amp;" hrs)","")&amp;" on "&amp;TEXT($K143,"dd/mm/yyyy")&amp;IF($K143&gt;AsOfDate," (FUTURE)",""))))</f>
        <v/>
      </c>
      <c r="T143" s="11" t="str">
        <f aca="false">IF(AO143=0,"",IF(AS143&lt;&gt;"",$L143,IF(AR143&lt;&gt;"",$I143,$F143)))</f>
        <v/>
      </c>
      <c r="U143" s="26" t="str">
        <f aca="false">IF(AO143=0,"",IF(AS143&lt;&gt;"",$M143,IF(AR143&lt;&gt;"",$J143,$G143)))</f>
        <v/>
      </c>
      <c r="V143" s="11" t="str">
        <f aca="false">IF(AO143=0,"",IF(AY143="FT","Full-Time",IF(AY143="PT","Part-Time","Not eligible")))</f>
        <v/>
      </c>
      <c r="W143" s="27" t="str">
        <f aca="false">IF(AO143=0,"",IF(AR143="",IF(AND($H143&lt;&gt;"",$H143&gt;AsOfDate),"Future change - not yet applied",""),IF(AND(AV143=AY143,OR(AS143="",AW143=AV143)),"Type changed - same accrual pathway",IF(AY143="None","STOPPED accruing from "&amp;TEXT(IF(AS143&lt;&gt;"",AS143,AR143),"dd/mm/yyyy"),IF(AV143="None","STARTED qualifying from "&amp;TEXT(IF(AS143&lt;&gt;"",AS143,AR143),"dd/mm/yyyy"),"Pathway changed "&amp;AV143&amp;" -&gt; "&amp;AW143&amp;IF(AS143&lt;&gt;""," -&gt; "&amp;AX143,"")&amp;" from "&amp;TEXT(IF(AS143&lt;&gt;"",AS143,AR143),"dd/mm/yyyy"))))))</f>
        <v/>
      </c>
      <c r="X143" s="28" t="str">
        <f aca="false">IF(AO143=0,"",IF($Q143="",AsOfDate,MIN(AsOfDate,$Q143)))</f>
        <v/>
      </c>
      <c r="Y143" s="26" t="str">
        <f aca="false">IF(AO143=0,"",MAX(0,AQ143))</f>
        <v/>
      </c>
      <c r="Z143" s="11" t="str">
        <f aca="false">IF(AO143=0,"",IF(AQ143&lt;0,"Not started",INT(AQ143/12)&amp;"y "&amp;MOD(AQ143,12)&amp;"m"))</f>
        <v/>
      </c>
      <c r="AA143" s="27" t="str">
        <f aca="false">IF(AO143=0,"",IF(BF143=1,"Terminated - balance forfeited",IF(AY143="None",IF(AB143&gt;0,"No longer accruing - "&amp;T143,"Not eligible - "&amp;T143&amp;IF(AND(IFERROR(VLOOKUP(T143,TypeTable,2,0),"None")="PT",N(U143)&lt;PT_MinHours)," (under "&amp;PT_MinHours&amp;" hrs)","")),IF(AB143&gt;0,"Yes - accruing","Not yet - qualifies "&amp;TEXT(AD143,"dd/mm/yyyy")))))</f>
        <v/>
      </c>
      <c r="AB143" s="26" t="str">
        <f aca="false">IF(AO143=0,"",AZ143+IF(AR143="",0,BB143-BA143)+IF(AS143="",0,BD143-BC143))</f>
        <v/>
      </c>
      <c r="AC143" s="26" t="str">
        <f aca="false">IF(AO143=0,"",AB143*HoursPerDay)</f>
        <v/>
      </c>
      <c r="AD143" s="28" t="str">
        <f aca="false">IF(AO143=0,"",IF(OR(BF143=1,AY143="None"),"",EDATE($E143+AP143,BE143)))</f>
        <v/>
      </c>
      <c r="AE143" s="26" t="str">
        <f aca="false">IF(AD143="","",IF(AY143="PT",1,IF(BE143&lt;FT_Y5,1,IF(MOD(BE143-FT_Y5,12)=0,FT_AnnivDays,1))))</f>
        <v/>
      </c>
      <c r="AF143" s="27" t="str">
        <f aca="false">IF(AO143=0,"",IF(NOT(EH_Ready),"Map headers",IF(IF(MatchMode="Employee ID",COUNTIFS(INDEX(EH_Data,0,EH_ColID),$A143,INDEX(EH_Data,0,EH_ColCat),BonusCat),COUNTIFS(INDEX(EH_Data,0,EH_ColFirst),$B143,INDEX(EH_Data,0,EH_ColSur),$C143,INDEX(EH_Data,0,EH_ColCat),BonusCat))&gt;0,"Yes","No")))</f>
        <v/>
      </c>
      <c r="AG143" s="26" t="str">
        <f aca="false">IF(AO143=0,"",IF(NOT(EH_Ready),"",IF(MatchMode="Employee ID",SUMIFS(INDEX(EH_Data,0,EH_ColBal),INDEX(EH_Data,0,EH_ColID),$A143,INDEX(EH_Data,0,EH_ColCat),BonusCat),SUMIFS(INDEX(EH_Data,0,EH_ColBal),INDEX(EH_Data,0,EH_ColFirst),$B143,INDEX(EH_Data,0,EH_ColSur),$C143,INDEX(EH_Data,0,EH_ColCat),BonusCat))/IF(EHUnit="Hours",HoursPerDay,1)))</f>
        <v/>
      </c>
      <c r="AH143" s="26" t="str">
        <f aca="false">IF(AO143=0,"",IF(NOT(TK_Ready),0,IF(MatchMode="Employee ID",SUMIFS(INDEX(TK_Data,0,TK_ColAmt),INDEX(TK_Data,0,TK_ColID),$A143,INDEX(TK_Data,0,TK_ColCat),BonusCat),SUMIFS(INDEX(TK_Data,0,TK_ColAmt),INDEX(TK_Data,0,TK_ColFirst),$B143,INDEX(TK_Data,0,TK_ColSur),$C143,INDEX(TK_Data,0,TK_ColCat),BonusCat))/IF(TKUnit="Hours",HoursPerDay,1)))</f>
        <v/>
      </c>
      <c r="AI143" s="26" t="str">
        <f aca="false">IF(AO143=0,"",N(AG143)+N(AH143))</f>
        <v/>
      </c>
      <c r="AJ143" s="29" t="str">
        <f aca="false">IF(AO143=0,"",IF(NOT(AND(EH_Ready,EH_ValReady)),"",IF(MatchMode="Employee ID",SUMIFS(INDEX(EH_Data,0,EH_ColVal),INDEX(EH_Data,0,EH_ColID),$A143,INDEX(EH_Data,0,EH_ColCat),BonusCat),SUMIFS(INDEX(EH_Data,0,EH_ColVal),INDEX(EH_Data,0,EH_ColFirst),$B143,INDEX(EH_Data,0,EH_ColSur),$C143,INDEX(EH_Data,0,EH_ColCat),BonusCat))))</f>
        <v/>
      </c>
      <c r="AK143" s="26" t="str">
        <f aca="false">IF(AO143=0,"",IF(OR(NOT(EH_Ready),BF143=1),"",AB143-AI143))</f>
        <v/>
      </c>
      <c r="AL143" s="26" t="str">
        <f aca="false">IF(AK143="","",AK143*HoursPerDay)</f>
        <v/>
      </c>
      <c r="AM143" s="27" t="str">
        <f aca="false">IF(AO143=0,"",IF(BF143=1,IF(N(AG143)&gt;0,"TERMINATED - forfeit "&amp;TEXT(AG143,"0.##")&amp;" days still in EH","Terminated - nothing in EH"),IF(NOT(EH_Ready),"Paste EH export and map headers on Settings",IF(AND(AB143&gt;0,AF143="No"),"SET UP in EH - add "&amp;TEXT(AB143,"0.##")&amp;" day(s) ("&amp;TEXT(AC143,"0.##")&amp;" hrs)",IF(AK143&gt;0,"ADD "&amp;TEXT(AK143,"0.##")&amp;" day(s) ("&amp;TEXT(AL143,"0.##")&amp;" hrs) in EH",IF(AK143&lt;0,"CHECK - EH shows "&amp;TEXT(-AK143,"0.##")&amp;" days more than policy",IF(AB143&gt;0,"OK - up to date",IF(AY143="None","No action - not eligible","No action - not yet qualified"))))))))</f>
        <v/>
      </c>
      <c r="AN143" s="27" t="str">
        <f aca="false">IF(AO143=0,"",TRIM(IF(AND($K143&lt;&gt;"",$H143=""),"Change 2 entered without Change 1. ","")&amp;IF(AND($K143&lt;&gt;"",$H143&lt;&gt;"",$K143&lt;=$H143),"Change 2 date not after Change 1. ","")&amp;IF(AND($N143&lt;&gt;"",$O143&lt;&gt;"",$O143&lt;$N143),"Leave To is before Leave From. ","")&amp;IF(AND($N143&lt;&gt;"",$O143=""),"Leave From entered without Leave To. ","")&amp;IF(AND(IFERROR(VLOOKUP(T143,TypeTable,2,0),"None")="PT",U143=""),"Part-time with no hours entered. ","")&amp;IF(AND($H143&lt;&gt;"",$H143&gt;AsOfDate,AD143&lt;&gt;"",$H143&lt;=AD143),"Status change lands before next accrual - review. ","")&amp;IF(AND($Q143&lt;&gt;"",$Q143&lt;$E143),"Termination before commencement. ","")))</f>
        <v/>
      </c>
      <c r="AO143" s="11" t="n">
        <f aca="false">IF(LEN($A143&amp;$B143&amp;$C143)=0,0,IF($E143="",0,1))</f>
        <v>0</v>
      </c>
      <c r="AP143" s="11" t="str">
        <f aca="false">IF(AO143=0,"",(IF(OR($N143="",$O143=""),0,MAX(0,MIN(X143,$O143)-MAX($N143,$E143)+1))+N($P143)))</f>
        <v/>
      </c>
      <c r="AQ143" s="11" t="str">
        <f aca="false">IF(AO143=0,"",IF(X143&lt;($E143+(IF(OR($N143="",$O143=""),0,MAX(0,MIN(X143,$O143)-MAX($N143,$E143)+1))+N($P143))),-1,12*(YEAR(X143)-YEAR(($E143+(IF(OR($N143="",$O143=""),0,MAX(0,MIN(X143,$O143)-MAX($N143,$E143)+1))+N($P143)))))+MONTH(X143)-MONTH(($E143+(IF(OR($N143="",$O143=""),0,MAX(0,MIN(X143,$O143)-MAX($N143,$E143)+1))+N($P143))))-IF(DAY(X143)&lt;MIN(DAY(($E143+(IF(OR($N143="",$O143=""),0,MAX(0,MIN(X143,$O143)-MAX($N143,$E143)+1))+N($P143)))),DAY(EOMONTH(X143,0))),1,0)))</f>
        <v/>
      </c>
      <c r="AR143" s="28" t="str">
        <f aca="false">IF(AO143=0,"",IF($H143="","",IF($H143&gt;X143,"",$H143)))</f>
        <v/>
      </c>
      <c r="AS143" s="28" t="str">
        <f aca="false">IF(AO143=0,"",IF(AR143="","",IF($K143="","",IF($K143&gt;X143,"",$K143))))</f>
        <v/>
      </c>
      <c r="AT143" s="11" t="str">
        <f aca="false">IF(AO143=0,"",IF(AR143="",AQ143,IF((AR143-1)&lt;($E143+(IF(OR($N143="",$O143=""),0,MAX(0,MIN((AR143-1),$O143)-MAX($N143,$E143)+1))+N($P143))),-1,12*(YEAR((AR143-1))-YEAR(($E143+(IF(OR($N143="",$O143=""),0,MAX(0,MIN((AR143-1),$O143)-MAX($N143,$E143)+1))+N($P143)))))+MONTH((AR143-1))-MONTH(($E143+(IF(OR($N143="",$O143=""),0,MAX(0,MIN((AR143-1),$O143)-MAX($N143,$E143)+1))+N($P143))))-IF(DAY((AR143-1))&lt;MIN(DAY(($E143+(IF(OR($N143="",$O143=""),0,MAX(0,MIN((AR143-1),$O143)-MAX($N143,$E143)+1))+N($P143)))),DAY(EOMONTH((AR143-1),0))),1,0))))</f>
        <v/>
      </c>
      <c r="AU143" s="11" t="str">
        <f aca="false">IF(AO143=0,"",IF(AS143="",AQ143,IF((AS143-1)&lt;($E143+(IF(OR($N143="",$O143=""),0,MAX(0,MIN((AS143-1),$O143)-MAX($N143,$E143)+1))+N($P143))),-1,12*(YEAR((AS143-1))-YEAR(($E143+(IF(OR($N143="",$O143=""),0,MAX(0,MIN((AS143-1),$O143)-MAX($N143,$E143)+1))+N($P143)))))+MONTH((AS143-1))-MONTH(($E143+(IF(OR($N143="",$O143=""),0,MAX(0,MIN((AS143-1),$O143)-MAX($N143,$E143)+1))+N($P143))))-IF(DAY((AS143-1))&lt;MIN(DAY(($E143+(IF(OR($N143="",$O143=""),0,MAX(0,MIN((AS143-1),$O143)-MAX($N143,$E143)+1))+N($P143)))),DAY(EOMONTH((AS143-1),0))),1,0))))</f>
        <v/>
      </c>
      <c r="AV143" s="11" t="str">
        <f aca="false">IF(AO143=0,"",IF($F143="","None",IF(IFERROR(VLOOKUP($F143,TypeTable,2,0),"None")="PT",IF(N($G143)&gt;=PT_MinHours,"PT","None"),IFERROR(VLOOKUP($F143,TypeTable,2,0),"None"))))</f>
        <v/>
      </c>
      <c r="AW143" s="11" t="str">
        <f aca="false">IF(AO143=0,"",IF($I143="","None",IF(IFERROR(VLOOKUP($I143,TypeTable,2,0),"None")="PT",IF(N($J143)&gt;=PT_MinHours,"PT","None"),IFERROR(VLOOKUP($I143,TypeTable,2,0),"None"))))</f>
        <v/>
      </c>
      <c r="AX143" s="11" t="str">
        <f aca="false">IF(AO143=0,"",IF($L143="","None",IF(IFERROR(VLOOKUP($L143,TypeTable,2,0),"None")="PT",IF(N($M143)&gt;=PT_MinHours,"PT","None"),IFERROR(VLOOKUP($L143,TypeTable,2,0),"None"))))</f>
        <v/>
      </c>
      <c r="AY143" s="11" t="str">
        <f aca="false">IF(AO143=0,"",IF(AS143&lt;&gt;"",AX143,IF(AR143&lt;&gt;"",AW143,AV143)))</f>
        <v/>
      </c>
      <c r="AZ143" s="11" t="str">
        <f aca="false">IF(AO143=0,"",IF(AV143="FT",IF(AT143&lt;FT_First,0,IF(AT143&lt;FT_Y5,1+INT((AT143-FT_First)/FT_Int1),FT_PreY5+FT_PerYear*INT((AT143-FT_Y5)/12)+FT_AnnivDays+INT(MOD(AT143-FT_Y5,12)/FT_Int2))),IF(AV143="PT",IF(AT143&lt;PT_First,0,1+INT((AT143-PT_First)/PT_Int)),0)))</f>
        <v/>
      </c>
      <c r="BA143" s="11" t="str">
        <f aca="false">IF(AO143=0,"",IF(AW143="FT",IF(AT143&lt;FT_First,0,IF(AT143&lt;FT_Y5,1+INT((AT143-FT_First)/FT_Int1),FT_PreY5+FT_PerYear*INT((AT143-FT_Y5)/12)+FT_AnnivDays+INT(MOD(AT143-FT_Y5,12)/FT_Int2))),IF(AW143="PT",IF(AT143&lt;PT_First,0,1+INT((AT143-PT_First)/PT_Int)),0)))</f>
        <v/>
      </c>
      <c r="BB143" s="11" t="str">
        <f aca="false">IF(AO143=0,"",IF(AW143="FT",IF(AU143&lt;FT_First,0,IF(AU143&lt;FT_Y5,1+INT((AU143-FT_First)/FT_Int1),FT_PreY5+FT_PerYear*INT((AU143-FT_Y5)/12)+FT_AnnivDays+INT(MOD(AU143-FT_Y5,12)/FT_Int2))),IF(AW143="PT",IF(AU143&lt;PT_First,0,1+INT((AU143-PT_First)/PT_Int)),0)))</f>
        <v/>
      </c>
      <c r="BC143" s="11" t="str">
        <f aca="false">IF(AO143=0,"",IF(AX143="FT",IF(AU143&lt;FT_First,0,IF(AU143&lt;FT_Y5,1+INT((AU143-FT_First)/FT_Int1),FT_PreY5+FT_PerYear*INT((AU143-FT_Y5)/12)+FT_AnnivDays+INT(MOD(AU143-FT_Y5,12)/FT_Int2))),IF(AX143="PT",IF(AU143&lt;PT_First,0,1+INT((AU143-PT_First)/PT_Int)),0)))</f>
        <v/>
      </c>
      <c r="BD143" s="11" t="str">
        <f aca="false">IF(AO143=0,"",IF(AX143="FT",IF(AQ143&lt;FT_First,0,IF(AQ143&lt;FT_Y5,1+INT((AQ143-FT_First)/FT_Int1),FT_PreY5+FT_PerYear*INT((AQ143-FT_Y5)/12)+FT_AnnivDays+INT(MOD(AQ143-FT_Y5,12)/FT_Int2))),IF(AX143="PT",IF(AQ143&lt;PT_First,0,1+INT((AQ143-PT_First)/PT_Int)),0)))</f>
        <v/>
      </c>
      <c r="BE143" s="11" t="str">
        <f aca="false">IF(AO143=0,"",IF(AY143="FT",IF(AQ143&lt;FT_First,FT_First,IF(AQ143&lt;FT_Y5,MIN(FT_Y5,FT_First+FT_Int1*(INT((AQ143-FT_First)/FT_Int1)+1)),FT_Y5+12*INT((AQ143-FT_Y5)/12)+FT_Int2*(INT(MOD(AQ143-FT_Y5,12)/FT_Int2)+1))),IF(AY143="PT",IF(AQ143&lt;PT_First,PT_First,PT_First+PT_Int*(INT((AQ143-PT_First)/PT_Int)+1)),"")))</f>
        <v/>
      </c>
      <c r="BF143" s="11" t="n">
        <f aca="false">IF(AO143=0,0,IF(AND($Q143&lt;&gt;"",$Q143&lt;=AsOfDate),1,0))</f>
        <v>0</v>
      </c>
      <c r="BG143" s="11" t="str">
        <f aca="false">IF(AND(AO143=1,BF143=0,EH_Ready,N(AB143)&gt;0,N(AI143)=0),COUNT($BG$5:BG142)+1,"")</f>
        <v/>
      </c>
      <c r="BH143" s="11" t="str">
        <f aca="false">IF(AND(AO143=1,BF143=0,EH_Ready,N(AB143)&gt;0,N(AI143)&gt;0,N(AK143)&gt;0),COUNT($BH$5:BH142)+1,"")</f>
        <v/>
      </c>
      <c r="BI143" s="11" t="str">
        <f aca="false">IF(AND(AO143=1,OR(LEFT(AM143,3)="ADD",LEFT(AM143,3)="SET",LEFT(AM143,5)="CHECK",LEFT(AM143,10)="TERMINATED")),COUNT($BI$5:BI142)+1,"")</f>
        <v/>
      </c>
      <c r="BJ143" s="11" t="str">
        <f aca="false">IF(AO143=0,"",$A143&amp;" - "&amp;$B143&amp;" "&amp;$C143)</f>
        <v/>
      </c>
    </row>
    <row r="144" customFormat="false" ht="15" hidden="false" customHeight="false" outlineLevel="0" collapsed="false">
      <c r="A144" s="10"/>
      <c r="B144" s="10"/>
      <c r="C144" s="10"/>
      <c r="D144" s="10"/>
      <c r="E144" s="9"/>
      <c r="F144" s="10"/>
      <c r="G144" s="30"/>
      <c r="H144" s="9"/>
      <c r="I144" s="10"/>
      <c r="J144" s="30"/>
      <c r="K144" s="9"/>
      <c r="L144" s="10"/>
      <c r="M144" s="30"/>
      <c r="N144" s="9"/>
      <c r="O144" s="9"/>
      <c r="P144" s="30"/>
      <c r="Q144" s="9"/>
      <c r="R144" s="10"/>
      <c r="S144" s="11" t="str">
        <f aca="false">IF(AO144=0,"",IF($H144="","",$F144&amp;" -&gt; "&amp;$I144&amp;IF($I144="Part-Time"," ("&amp;N($J144)&amp;" hrs)","")&amp;" on "&amp;TEXT($H144,"dd/mm/yyyy")&amp;IF($H144&gt;AsOfDate," (FUTURE)","")&amp;IF($K144="","","; "&amp;$I144&amp;" -&gt; "&amp;$L144&amp;IF($L144="Part-Time"," ("&amp;N($M144)&amp;" hrs)","")&amp;" on "&amp;TEXT($K144,"dd/mm/yyyy")&amp;IF($K144&gt;AsOfDate," (FUTURE)",""))))</f>
        <v/>
      </c>
      <c r="T144" s="11" t="str">
        <f aca="false">IF(AO144=0,"",IF(AS144&lt;&gt;"",$L144,IF(AR144&lt;&gt;"",$I144,$F144)))</f>
        <v/>
      </c>
      <c r="U144" s="26" t="str">
        <f aca="false">IF(AO144=0,"",IF(AS144&lt;&gt;"",$M144,IF(AR144&lt;&gt;"",$J144,$G144)))</f>
        <v/>
      </c>
      <c r="V144" s="11" t="str">
        <f aca="false">IF(AO144=0,"",IF(AY144="FT","Full-Time",IF(AY144="PT","Part-Time","Not eligible")))</f>
        <v/>
      </c>
      <c r="W144" s="27" t="str">
        <f aca="false">IF(AO144=0,"",IF(AR144="",IF(AND($H144&lt;&gt;"",$H144&gt;AsOfDate),"Future change - not yet applied",""),IF(AND(AV144=AY144,OR(AS144="",AW144=AV144)),"Type changed - same accrual pathway",IF(AY144="None","STOPPED accruing from "&amp;TEXT(IF(AS144&lt;&gt;"",AS144,AR144),"dd/mm/yyyy"),IF(AV144="None","STARTED qualifying from "&amp;TEXT(IF(AS144&lt;&gt;"",AS144,AR144),"dd/mm/yyyy"),"Pathway changed "&amp;AV144&amp;" -&gt; "&amp;AW144&amp;IF(AS144&lt;&gt;""," -&gt; "&amp;AX144,"")&amp;" from "&amp;TEXT(IF(AS144&lt;&gt;"",AS144,AR144),"dd/mm/yyyy"))))))</f>
        <v/>
      </c>
      <c r="X144" s="28" t="str">
        <f aca="false">IF(AO144=0,"",IF($Q144="",AsOfDate,MIN(AsOfDate,$Q144)))</f>
        <v/>
      </c>
      <c r="Y144" s="26" t="str">
        <f aca="false">IF(AO144=0,"",MAX(0,AQ144))</f>
        <v/>
      </c>
      <c r="Z144" s="11" t="str">
        <f aca="false">IF(AO144=0,"",IF(AQ144&lt;0,"Not started",INT(AQ144/12)&amp;"y "&amp;MOD(AQ144,12)&amp;"m"))</f>
        <v/>
      </c>
      <c r="AA144" s="27" t="str">
        <f aca="false">IF(AO144=0,"",IF(BF144=1,"Terminated - balance forfeited",IF(AY144="None",IF(AB144&gt;0,"No longer accruing - "&amp;T144,"Not eligible - "&amp;T144&amp;IF(AND(IFERROR(VLOOKUP(T144,TypeTable,2,0),"None")="PT",N(U144)&lt;PT_MinHours)," (under "&amp;PT_MinHours&amp;" hrs)","")),IF(AB144&gt;0,"Yes - accruing","Not yet - qualifies "&amp;TEXT(AD144,"dd/mm/yyyy")))))</f>
        <v/>
      </c>
      <c r="AB144" s="26" t="str">
        <f aca="false">IF(AO144=0,"",AZ144+IF(AR144="",0,BB144-BA144)+IF(AS144="",0,BD144-BC144))</f>
        <v/>
      </c>
      <c r="AC144" s="26" t="str">
        <f aca="false">IF(AO144=0,"",AB144*HoursPerDay)</f>
        <v/>
      </c>
      <c r="AD144" s="28" t="str">
        <f aca="false">IF(AO144=0,"",IF(OR(BF144=1,AY144="None"),"",EDATE($E144+AP144,BE144)))</f>
        <v/>
      </c>
      <c r="AE144" s="26" t="str">
        <f aca="false">IF(AD144="","",IF(AY144="PT",1,IF(BE144&lt;FT_Y5,1,IF(MOD(BE144-FT_Y5,12)=0,FT_AnnivDays,1))))</f>
        <v/>
      </c>
      <c r="AF144" s="27" t="str">
        <f aca="false">IF(AO144=0,"",IF(NOT(EH_Ready),"Map headers",IF(IF(MatchMode="Employee ID",COUNTIFS(INDEX(EH_Data,0,EH_ColID),$A144,INDEX(EH_Data,0,EH_ColCat),BonusCat),COUNTIFS(INDEX(EH_Data,0,EH_ColFirst),$B144,INDEX(EH_Data,0,EH_ColSur),$C144,INDEX(EH_Data,0,EH_ColCat),BonusCat))&gt;0,"Yes","No")))</f>
        <v/>
      </c>
      <c r="AG144" s="26" t="str">
        <f aca="false">IF(AO144=0,"",IF(NOT(EH_Ready),"",IF(MatchMode="Employee ID",SUMIFS(INDEX(EH_Data,0,EH_ColBal),INDEX(EH_Data,0,EH_ColID),$A144,INDEX(EH_Data,0,EH_ColCat),BonusCat),SUMIFS(INDEX(EH_Data,0,EH_ColBal),INDEX(EH_Data,0,EH_ColFirst),$B144,INDEX(EH_Data,0,EH_ColSur),$C144,INDEX(EH_Data,0,EH_ColCat),BonusCat))/IF(EHUnit="Hours",HoursPerDay,1)))</f>
        <v/>
      </c>
      <c r="AH144" s="26" t="str">
        <f aca="false">IF(AO144=0,"",IF(NOT(TK_Ready),0,IF(MatchMode="Employee ID",SUMIFS(INDEX(TK_Data,0,TK_ColAmt),INDEX(TK_Data,0,TK_ColID),$A144,INDEX(TK_Data,0,TK_ColCat),BonusCat),SUMIFS(INDEX(TK_Data,0,TK_ColAmt),INDEX(TK_Data,0,TK_ColFirst),$B144,INDEX(TK_Data,0,TK_ColSur),$C144,INDEX(TK_Data,0,TK_ColCat),BonusCat))/IF(TKUnit="Hours",HoursPerDay,1)))</f>
        <v/>
      </c>
      <c r="AI144" s="26" t="str">
        <f aca="false">IF(AO144=0,"",N(AG144)+N(AH144))</f>
        <v/>
      </c>
      <c r="AJ144" s="29" t="str">
        <f aca="false">IF(AO144=0,"",IF(NOT(AND(EH_Ready,EH_ValReady)),"",IF(MatchMode="Employee ID",SUMIFS(INDEX(EH_Data,0,EH_ColVal),INDEX(EH_Data,0,EH_ColID),$A144,INDEX(EH_Data,0,EH_ColCat),BonusCat),SUMIFS(INDEX(EH_Data,0,EH_ColVal),INDEX(EH_Data,0,EH_ColFirst),$B144,INDEX(EH_Data,0,EH_ColSur),$C144,INDEX(EH_Data,0,EH_ColCat),BonusCat))))</f>
        <v/>
      </c>
      <c r="AK144" s="26" t="str">
        <f aca="false">IF(AO144=0,"",IF(OR(NOT(EH_Ready),BF144=1),"",AB144-AI144))</f>
        <v/>
      </c>
      <c r="AL144" s="26" t="str">
        <f aca="false">IF(AK144="","",AK144*HoursPerDay)</f>
        <v/>
      </c>
      <c r="AM144" s="27" t="str">
        <f aca="false">IF(AO144=0,"",IF(BF144=1,IF(N(AG144)&gt;0,"TERMINATED - forfeit "&amp;TEXT(AG144,"0.##")&amp;" days still in EH","Terminated - nothing in EH"),IF(NOT(EH_Ready),"Paste EH export and map headers on Settings",IF(AND(AB144&gt;0,AF144="No"),"SET UP in EH - add "&amp;TEXT(AB144,"0.##")&amp;" day(s) ("&amp;TEXT(AC144,"0.##")&amp;" hrs)",IF(AK144&gt;0,"ADD "&amp;TEXT(AK144,"0.##")&amp;" day(s) ("&amp;TEXT(AL144,"0.##")&amp;" hrs) in EH",IF(AK144&lt;0,"CHECK - EH shows "&amp;TEXT(-AK144,"0.##")&amp;" days more than policy",IF(AB144&gt;0,"OK - up to date",IF(AY144="None","No action - not eligible","No action - not yet qualified"))))))))</f>
        <v/>
      </c>
      <c r="AN144" s="27" t="str">
        <f aca="false">IF(AO144=0,"",TRIM(IF(AND($K144&lt;&gt;"",$H144=""),"Change 2 entered without Change 1. ","")&amp;IF(AND($K144&lt;&gt;"",$H144&lt;&gt;"",$K144&lt;=$H144),"Change 2 date not after Change 1. ","")&amp;IF(AND($N144&lt;&gt;"",$O144&lt;&gt;"",$O144&lt;$N144),"Leave To is before Leave From. ","")&amp;IF(AND($N144&lt;&gt;"",$O144=""),"Leave From entered without Leave To. ","")&amp;IF(AND(IFERROR(VLOOKUP(T144,TypeTable,2,0),"None")="PT",U144=""),"Part-time with no hours entered. ","")&amp;IF(AND($H144&lt;&gt;"",$H144&gt;AsOfDate,AD144&lt;&gt;"",$H144&lt;=AD144),"Status change lands before next accrual - review. ","")&amp;IF(AND($Q144&lt;&gt;"",$Q144&lt;$E144),"Termination before commencement. ","")))</f>
        <v/>
      </c>
      <c r="AO144" s="11" t="n">
        <f aca="false">IF(LEN($A144&amp;$B144&amp;$C144)=0,0,IF($E144="",0,1))</f>
        <v>0</v>
      </c>
      <c r="AP144" s="11" t="str">
        <f aca="false">IF(AO144=0,"",(IF(OR($N144="",$O144=""),0,MAX(0,MIN(X144,$O144)-MAX($N144,$E144)+1))+N($P144)))</f>
        <v/>
      </c>
      <c r="AQ144" s="11" t="str">
        <f aca="false">IF(AO144=0,"",IF(X144&lt;($E144+(IF(OR($N144="",$O144=""),0,MAX(0,MIN(X144,$O144)-MAX($N144,$E144)+1))+N($P144))),-1,12*(YEAR(X144)-YEAR(($E144+(IF(OR($N144="",$O144=""),0,MAX(0,MIN(X144,$O144)-MAX($N144,$E144)+1))+N($P144)))))+MONTH(X144)-MONTH(($E144+(IF(OR($N144="",$O144=""),0,MAX(0,MIN(X144,$O144)-MAX($N144,$E144)+1))+N($P144))))-IF(DAY(X144)&lt;MIN(DAY(($E144+(IF(OR($N144="",$O144=""),0,MAX(0,MIN(X144,$O144)-MAX($N144,$E144)+1))+N($P144)))),DAY(EOMONTH(X144,0))),1,0)))</f>
        <v/>
      </c>
      <c r="AR144" s="28" t="str">
        <f aca="false">IF(AO144=0,"",IF($H144="","",IF($H144&gt;X144,"",$H144)))</f>
        <v/>
      </c>
      <c r="AS144" s="28" t="str">
        <f aca="false">IF(AO144=0,"",IF(AR144="","",IF($K144="","",IF($K144&gt;X144,"",$K144))))</f>
        <v/>
      </c>
      <c r="AT144" s="11" t="str">
        <f aca="false">IF(AO144=0,"",IF(AR144="",AQ144,IF((AR144-1)&lt;($E144+(IF(OR($N144="",$O144=""),0,MAX(0,MIN((AR144-1),$O144)-MAX($N144,$E144)+1))+N($P144))),-1,12*(YEAR((AR144-1))-YEAR(($E144+(IF(OR($N144="",$O144=""),0,MAX(0,MIN((AR144-1),$O144)-MAX($N144,$E144)+1))+N($P144)))))+MONTH((AR144-1))-MONTH(($E144+(IF(OR($N144="",$O144=""),0,MAX(0,MIN((AR144-1),$O144)-MAX($N144,$E144)+1))+N($P144))))-IF(DAY((AR144-1))&lt;MIN(DAY(($E144+(IF(OR($N144="",$O144=""),0,MAX(0,MIN((AR144-1),$O144)-MAX($N144,$E144)+1))+N($P144)))),DAY(EOMONTH((AR144-1),0))),1,0))))</f>
        <v/>
      </c>
      <c r="AU144" s="11" t="str">
        <f aca="false">IF(AO144=0,"",IF(AS144="",AQ144,IF((AS144-1)&lt;($E144+(IF(OR($N144="",$O144=""),0,MAX(0,MIN((AS144-1),$O144)-MAX($N144,$E144)+1))+N($P144))),-1,12*(YEAR((AS144-1))-YEAR(($E144+(IF(OR($N144="",$O144=""),0,MAX(0,MIN((AS144-1),$O144)-MAX($N144,$E144)+1))+N($P144)))))+MONTH((AS144-1))-MONTH(($E144+(IF(OR($N144="",$O144=""),0,MAX(0,MIN((AS144-1),$O144)-MAX($N144,$E144)+1))+N($P144))))-IF(DAY((AS144-1))&lt;MIN(DAY(($E144+(IF(OR($N144="",$O144=""),0,MAX(0,MIN((AS144-1),$O144)-MAX($N144,$E144)+1))+N($P144)))),DAY(EOMONTH((AS144-1),0))),1,0))))</f>
        <v/>
      </c>
      <c r="AV144" s="11" t="str">
        <f aca="false">IF(AO144=0,"",IF($F144="","None",IF(IFERROR(VLOOKUP($F144,TypeTable,2,0),"None")="PT",IF(N($G144)&gt;=PT_MinHours,"PT","None"),IFERROR(VLOOKUP($F144,TypeTable,2,0),"None"))))</f>
        <v/>
      </c>
      <c r="AW144" s="11" t="str">
        <f aca="false">IF(AO144=0,"",IF($I144="","None",IF(IFERROR(VLOOKUP($I144,TypeTable,2,0),"None")="PT",IF(N($J144)&gt;=PT_MinHours,"PT","None"),IFERROR(VLOOKUP($I144,TypeTable,2,0),"None"))))</f>
        <v/>
      </c>
      <c r="AX144" s="11" t="str">
        <f aca="false">IF(AO144=0,"",IF($L144="","None",IF(IFERROR(VLOOKUP($L144,TypeTable,2,0),"None")="PT",IF(N($M144)&gt;=PT_MinHours,"PT","None"),IFERROR(VLOOKUP($L144,TypeTable,2,0),"None"))))</f>
        <v/>
      </c>
      <c r="AY144" s="11" t="str">
        <f aca="false">IF(AO144=0,"",IF(AS144&lt;&gt;"",AX144,IF(AR144&lt;&gt;"",AW144,AV144)))</f>
        <v/>
      </c>
      <c r="AZ144" s="11" t="str">
        <f aca="false">IF(AO144=0,"",IF(AV144="FT",IF(AT144&lt;FT_First,0,IF(AT144&lt;FT_Y5,1+INT((AT144-FT_First)/FT_Int1),FT_PreY5+FT_PerYear*INT((AT144-FT_Y5)/12)+FT_AnnivDays+INT(MOD(AT144-FT_Y5,12)/FT_Int2))),IF(AV144="PT",IF(AT144&lt;PT_First,0,1+INT((AT144-PT_First)/PT_Int)),0)))</f>
        <v/>
      </c>
      <c r="BA144" s="11" t="str">
        <f aca="false">IF(AO144=0,"",IF(AW144="FT",IF(AT144&lt;FT_First,0,IF(AT144&lt;FT_Y5,1+INT((AT144-FT_First)/FT_Int1),FT_PreY5+FT_PerYear*INT((AT144-FT_Y5)/12)+FT_AnnivDays+INT(MOD(AT144-FT_Y5,12)/FT_Int2))),IF(AW144="PT",IF(AT144&lt;PT_First,0,1+INT((AT144-PT_First)/PT_Int)),0)))</f>
        <v/>
      </c>
      <c r="BB144" s="11" t="str">
        <f aca="false">IF(AO144=0,"",IF(AW144="FT",IF(AU144&lt;FT_First,0,IF(AU144&lt;FT_Y5,1+INT((AU144-FT_First)/FT_Int1),FT_PreY5+FT_PerYear*INT((AU144-FT_Y5)/12)+FT_AnnivDays+INT(MOD(AU144-FT_Y5,12)/FT_Int2))),IF(AW144="PT",IF(AU144&lt;PT_First,0,1+INT((AU144-PT_First)/PT_Int)),0)))</f>
        <v/>
      </c>
      <c r="BC144" s="11" t="str">
        <f aca="false">IF(AO144=0,"",IF(AX144="FT",IF(AU144&lt;FT_First,0,IF(AU144&lt;FT_Y5,1+INT((AU144-FT_First)/FT_Int1),FT_PreY5+FT_PerYear*INT((AU144-FT_Y5)/12)+FT_AnnivDays+INT(MOD(AU144-FT_Y5,12)/FT_Int2))),IF(AX144="PT",IF(AU144&lt;PT_First,0,1+INT((AU144-PT_First)/PT_Int)),0)))</f>
        <v/>
      </c>
      <c r="BD144" s="11" t="str">
        <f aca="false">IF(AO144=0,"",IF(AX144="FT",IF(AQ144&lt;FT_First,0,IF(AQ144&lt;FT_Y5,1+INT((AQ144-FT_First)/FT_Int1),FT_PreY5+FT_PerYear*INT((AQ144-FT_Y5)/12)+FT_AnnivDays+INT(MOD(AQ144-FT_Y5,12)/FT_Int2))),IF(AX144="PT",IF(AQ144&lt;PT_First,0,1+INT((AQ144-PT_First)/PT_Int)),0)))</f>
        <v/>
      </c>
      <c r="BE144" s="11" t="str">
        <f aca="false">IF(AO144=0,"",IF(AY144="FT",IF(AQ144&lt;FT_First,FT_First,IF(AQ144&lt;FT_Y5,MIN(FT_Y5,FT_First+FT_Int1*(INT((AQ144-FT_First)/FT_Int1)+1)),FT_Y5+12*INT((AQ144-FT_Y5)/12)+FT_Int2*(INT(MOD(AQ144-FT_Y5,12)/FT_Int2)+1))),IF(AY144="PT",IF(AQ144&lt;PT_First,PT_First,PT_First+PT_Int*(INT((AQ144-PT_First)/PT_Int)+1)),"")))</f>
        <v/>
      </c>
      <c r="BF144" s="11" t="n">
        <f aca="false">IF(AO144=0,0,IF(AND($Q144&lt;&gt;"",$Q144&lt;=AsOfDate),1,0))</f>
        <v>0</v>
      </c>
      <c r="BG144" s="11" t="str">
        <f aca="false">IF(AND(AO144=1,BF144=0,EH_Ready,N(AB144)&gt;0,N(AI144)=0),COUNT($BG$5:BG143)+1,"")</f>
        <v/>
      </c>
      <c r="BH144" s="11" t="str">
        <f aca="false">IF(AND(AO144=1,BF144=0,EH_Ready,N(AB144)&gt;0,N(AI144)&gt;0,N(AK144)&gt;0),COUNT($BH$5:BH143)+1,"")</f>
        <v/>
      </c>
      <c r="BI144" s="11" t="str">
        <f aca="false">IF(AND(AO144=1,OR(LEFT(AM144,3)="ADD",LEFT(AM144,3)="SET",LEFT(AM144,5)="CHECK",LEFT(AM144,10)="TERMINATED")),COUNT($BI$5:BI143)+1,"")</f>
        <v/>
      </c>
      <c r="BJ144" s="11" t="str">
        <f aca="false">IF(AO144=0,"",$A144&amp;" - "&amp;$B144&amp;" "&amp;$C144)</f>
        <v/>
      </c>
    </row>
    <row r="145" customFormat="false" ht="15" hidden="false" customHeight="false" outlineLevel="0" collapsed="false">
      <c r="A145" s="10"/>
      <c r="B145" s="10"/>
      <c r="C145" s="10"/>
      <c r="D145" s="10"/>
      <c r="E145" s="9"/>
      <c r="F145" s="10"/>
      <c r="G145" s="30"/>
      <c r="H145" s="9"/>
      <c r="I145" s="10"/>
      <c r="J145" s="30"/>
      <c r="K145" s="9"/>
      <c r="L145" s="10"/>
      <c r="M145" s="30"/>
      <c r="N145" s="9"/>
      <c r="O145" s="9"/>
      <c r="P145" s="30"/>
      <c r="Q145" s="9"/>
      <c r="R145" s="10"/>
      <c r="S145" s="11" t="str">
        <f aca="false">IF(AO145=0,"",IF($H145="","",$F145&amp;" -&gt; "&amp;$I145&amp;IF($I145="Part-Time"," ("&amp;N($J145)&amp;" hrs)","")&amp;" on "&amp;TEXT($H145,"dd/mm/yyyy")&amp;IF($H145&gt;AsOfDate," (FUTURE)","")&amp;IF($K145="","","; "&amp;$I145&amp;" -&gt; "&amp;$L145&amp;IF($L145="Part-Time"," ("&amp;N($M145)&amp;" hrs)","")&amp;" on "&amp;TEXT($K145,"dd/mm/yyyy")&amp;IF($K145&gt;AsOfDate," (FUTURE)",""))))</f>
        <v/>
      </c>
      <c r="T145" s="11" t="str">
        <f aca="false">IF(AO145=0,"",IF(AS145&lt;&gt;"",$L145,IF(AR145&lt;&gt;"",$I145,$F145)))</f>
        <v/>
      </c>
      <c r="U145" s="26" t="str">
        <f aca="false">IF(AO145=0,"",IF(AS145&lt;&gt;"",$M145,IF(AR145&lt;&gt;"",$J145,$G145)))</f>
        <v/>
      </c>
      <c r="V145" s="11" t="str">
        <f aca="false">IF(AO145=0,"",IF(AY145="FT","Full-Time",IF(AY145="PT","Part-Time","Not eligible")))</f>
        <v/>
      </c>
      <c r="W145" s="27" t="str">
        <f aca="false">IF(AO145=0,"",IF(AR145="",IF(AND($H145&lt;&gt;"",$H145&gt;AsOfDate),"Future change - not yet applied",""),IF(AND(AV145=AY145,OR(AS145="",AW145=AV145)),"Type changed - same accrual pathway",IF(AY145="None","STOPPED accruing from "&amp;TEXT(IF(AS145&lt;&gt;"",AS145,AR145),"dd/mm/yyyy"),IF(AV145="None","STARTED qualifying from "&amp;TEXT(IF(AS145&lt;&gt;"",AS145,AR145),"dd/mm/yyyy"),"Pathway changed "&amp;AV145&amp;" -&gt; "&amp;AW145&amp;IF(AS145&lt;&gt;""," -&gt; "&amp;AX145,"")&amp;" from "&amp;TEXT(IF(AS145&lt;&gt;"",AS145,AR145),"dd/mm/yyyy"))))))</f>
        <v/>
      </c>
      <c r="X145" s="28" t="str">
        <f aca="false">IF(AO145=0,"",IF($Q145="",AsOfDate,MIN(AsOfDate,$Q145)))</f>
        <v/>
      </c>
      <c r="Y145" s="26" t="str">
        <f aca="false">IF(AO145=0,"",MAX(0,AQ145))</f>
        <v/>
      </c>
      <c r="Z145" s="11" t="str">
        <f aca="false">IF(AO145=0,"",IF(AQ145&lt;0,"Not started",INT(AQ145/12)&amp;"y "&amp;MOD(AQ145,12)&amp;"m"))</f>
        <v/>
      </c>
      <c r="AA145" s="27" t="str">
        <f aca="false">IF(AO145=0,"",IF(BF145=1,"Terminated - balance forfeited",IF(AY145="None",IF(AB145&gt;0,"No longer accruing - "&amp;T145,"Not eligible - "&amp;T145&amp;IF(AND(IFERROR(VLOOKUP(T145,TypeTable,2,0),"None")="PT",N(U145)&lt;PT_MinHours)," (under "&amp;PT_MinHours&amp;" hrs)","")),IF(AB145&gt;0,"Yes - accruing","Not yet - qualifies "&amp;TEXT(AD145,"dd/mm/yyyy")))))</f>
        <v/>
      </c>
      <c r="AB145" s="26" t="str">
        <f aca="false">IF(AO145=0,"",AZ145+IF(AR145="",0,BB145-BA145)+IF(AS145="",0,BD145-BC145))</f>
        <v/>
      </c>
      <c r="AC145" s="26" t="str">
        <f aca="false">IF(AO145=0,"",AB145*HoursPerDay)</f>
        <v/>
      </c>
      <c r="AD145" s="28" t="str">
        <f aca="false">IF(AO145=0,"",IF(OR(BF145=1,AY145="None"),"",EDATE($E145+AP145,BE145)))</f>
        <v/>
      </c>
      <c r="AE145" s="26" t="str">
        <f aca="false">IF(AD145="","",IF(AY145="PT",1,IF(BE145&lt;FT_Y5,1,IF(MOD(BE145-FT_Y5,12)=0,FT_AnnivDays,1))))</f>
        <v/>
      </c>
      <c r="AF145" s="27" t="str">
        <f aca="false">IF(AO145=0,"",IF(NOT(EH_Ready),"Map headers",IF(IF(MatchMode="Employee ID",COUNTIFS(INDEX(EH_Data,0,EH_ColID),$A145,INDEX(EH_Data,0,EH_ColCat),BonusCat),COUNTIFS(INDEX(EH_Data,0,EH_ColFirst),$B145,INDEX(EH_Data,0,EH_ColSur),$C145,INDEX(EH_Data,0,EH_ColCat),BonusCat))&gt;0,"Yes","No")))</f>
        <v/>
      </c>
      <c r="AG145" s="26" t="str">
        <f aca="false">IF(AO145=0,"",IF(NOT(EH_Ready),"",IF(MatchMode="Employee ID",SUMIFS(INDEX(EH_Data,0,EH_ColBal),INDEX(EH_Data,0,EH_ColID),$A145,INDEX(EH_Data,0,EH_ColCat),BonusCat),SUMIFS(INDEX(EH_Data,0,EH_ColBal),INDEX(EH_Data,0,EH_ColFirst),$B145,INDEX(EH_Data,0,EH_ColSur),$C145,INDEX(EH_Data,0,EH_ColCat),BonusCat))/IF(EHUnit="Hours",HoursPerDay,1)))</f>
        <v/>
      </c>
      <c r="AH145" s="26" t="str">
        <f aca="false">IF(AO145=0,"",IF(NOT(TK_Ready),0,IF(MatchMode="Employee ID",SUMIFS(INDEX(TK_Data,0,TK_ColAmt),INDEX(TK_Data,0,TK_ColID),$A145,INDEX(TK_Data,0,TK_ColCat),BonusCat),SUMIFS(INDEX(TK_Data,0,TK_ColAmt),INDEX(TK_Data,0,TK_ColFirst),$B145,INDEX(TK_Data,0,TK_ColSur),$C145,INDEX(TK_Data,0,TK_ColCat),BonusCat))/IF(TKUnit="Hours",HoursPerDay,1)))</f>
        <v/>
      </c>
      <c r="AI145" s="26" t="str">
        <f aca="false">IF(AO145=0,"",N(AG145)+N(AH145))</f>
        <v/>
      </c>
      <c r="AJ145" s="29" t="str">
        <f aca="false">IF(AO145=0,"",IF(NOT(AND(EH_Ready,EH_ValReady)),"",IF(MatchMode="Employee ID",SUMIFS(INDEX(EH_Data,0,EH_ColVal),INDEX(EH_Data,0,EH_ColID),$A145,INDEX(EH_Data,0,EH_ColCat),BonusCat),SUMIFS(INDEX(EH_Data,0,EH_ColVal),INDEX(EH_Data,0,EH_ColFirst),$B145,INDEX(EH_Data,0,EH_ColSur),$C145,INDEX(EH_Data,0,EH_ColCat),BonusCat))))</f>
        <v/>
      </c>
      <c r="AK145" s="26" t="str">
        <f aca="false">IF(AO145=0,"",IF(OR(NOT(EH_Ready),BF145=1),"",AB145-AI145))</f>
        <v/>
      </c>
      <c r="AL145" s="26" t="str">
        <f aca="false">IF(AK145="","",AK145*HoursPerDay)</f>
        <v/>
      </c>
      <c r="AM145" s="27" t="str">
        <f aca="false">IF(AO145=0,"",IF(BF145=1,IF(N(AG145)&gt;0,"TERMINATED - forfeit "&amp;TEXT(AG145,"0.##")&amp;" days still in EH","Terminated - nothing in EH"),IF(NOT(EH_Ready),"Paste EH export and map headers on Settings",IF(AND(AB145&gt;0,AF145="No"),"SET UP in EH - add "&amp;TEXT(AB145,"0.##")&amp;" day(s) ("&amp;TEXT(AC145,"0.##")&amp;" hrs)",IF(AK145&gt;0,"ADD "&amp;TEXT(AK145,"0.##")&amp;" day(s) ("&amp;TEXT(AL145,"0.##")&amp;" hrs) in EH",IF(AK145&lt;0,"CHECK - EH shows "&amp;TEXT(-AK145,"0.##")&amp;" days more than policy",IF(AB145&gt;0,"OK - up to date",IF(AY145="None","No action - not eligible","No action - not yet qualified"))))))))</f>
        <v/>
      </c>
      <c r="AN145" s="27" t="str">
        <f aca="false">IF(AO145=0,"",TRIM(IF(AND($K145&lt;&gt;"",$H145=""),"Change 2 entered without Change 1. ","")&amp;IF(AND($K145&lt;&gt;"",$H145&lt;&gt;"",$K145&lt;=$H145),"Change 2 date not after Change 1. ","")&amp;IF(AND($N145&lt;&gt;"",$O145&lt;&gt;"",$O145&lt;$N145),"Leave To is before Leave From. ","")&amp;IF(AND($N145&lt;&gt;"",$O145=""),"Leave From entered without Leave To. ","")&amp;IF(AND(IFERROR(VLOOKUP(T145,TypeTable,2,0),"None")="PT",U145=""),"Part-time with no hours entered. ","")&amp;IF(AND($H145&lt;&gt;"",$H145&gt;AsOfDate,AD145&lt;&gt;"",$H145&lt;=AD145),"Status change lands before next accrual - review. ","")&amp;IF(AND($Q145&lt;&gt;"",$Q145&lt;$E145),"Termination before commencement. ","")))</f>
        <v/>
      </c>
      <c r="AO145" s="11" t="n">
        <f aca="false">IF(LEN($A145&amp;$B145&amp;$C145)=0,0,IF($E145="",0,1))</f>
        <v>0</v>
      </c>
      <c r="AP145" s="11" t="str">
        <f aca="false">IF(AO145=0,"",(IF(OR($N145="",$O145=""),0,MAX(0,MIN(X145,$O145)-MAX($N145,$E145)+1))+N($P145)))</f>
        <v/>
      </c>
      <c r="AQ145" s="11" t="str">
        <f aca="false">IF(AO145=0,"",IF(X145&lt;($E145+(IF(OR($N145="",$O145=""),0,MAX(0,MIN(X145,$O145)-MAX($N145,$E145)+1))+N($P145))),-1,12*(YEAR(X145)-YEAR(($E145+(IF(OR($N145="",$O145=""),0,MAX(0,MIN(X145,$O145)-MAX($N145,$E145)+1))+N($P145)))))+MONTH(X145)-MONTH(($E145+(IF(OR($N145="",$O145=""),0,MAX(0,MIN(X145,$O145)-MAX($N145,$E145)+1))+N($P145))))-IF(DAY(X145)&lt;MIN(DAY(($E145+(IF(OR($N145="",$O145=""),0,MAX(0,MIN(X145,$O145)-MAX($N145,$E145)+1))+N($P145)))),DAY(EOMONTH(X145,0))),1,0)))</f>
        <v/>
      </c>
      <c r="AR145" s="28" t="str">
        <f aca="false">IF(AO145=0,"",IF($H145="","",IF($H145&gt;X145,"",$H145)))</f>
        <v/>
      </c>
      <c r="AS145" s="28" t="str">
        <f aca="false">IF(AO145=0,"",IF(AR145="","",IF($K145="","",IF($K145&gt;X145,"",$K145))))</f>
        <v/>
      </c>
      <c r="AT145" s="11" t="str">
        <f aca="false">IF(AO145=0,"",IF(AR145="",AQ145,IF((AR145-1)&lt;($E145+(IF(OR($N145="",$O145=""),0,MAX(0,MIN((AR145-1),$O145)-MAX($N145,$E145)+1))+N($P145))),-1,12*(YEAR((AR145-1))-YEAR(($E145+(IF(OR($N145="",$O145=""),0,MAX(0,MIN((AR145-1),$O145)-MAX($N145,$E145)+1))+N($P145)))))+MONTH((AR145-1))-MONTH(($E145+(IF(OR($N145="",$O145=""),0,MAX(0,MIN((AR145-1),$O145)-MAX($N145,$E145)+1))+N($P145))))-IF(DAY((AR145-1))&lt;MIN(DAY(($E145+(IF(OR($N145="",$O145=""),0,MAX(0,MIN((AR145-1),$O145)-MAX($N145,$E145)+1))+N($P145)))),DAY(EOMONTH((AR145-1),0))),1,0))))</f>
        <v/>
      </c>
      <c r="AU145" s="11" t="str">
        <f aca="false">IF(AO145=0,"",IF(AS145="",AQ145,IF((AS145-1)&lt;($E145+(IF(OR($N145="",$O145=""),0,MAX(0,MIN((AS145-1),$O145)-MAX($N145,$E145)+1))+N($P145))),-1,12*(YEAR((AS145-1))-YEAR(($E145+(IF(OR($N145="",$O145=""),0,MAX(0,MIN((AS145-1),$O145)-MAX($N145,$E145)+1))+N($P145)))))+MONTH((AS145-1))-MONTH(($E145+(IF(OR($N145="",$O145=""),0,MAX(0,MIN((AS145-1),$O145)-MAX($N145,$E145)+1))+N($P145))))-IF(DAY((AS145-1))&lt;MIN(DAY(($E145+(IF(OR($N145="",$O145=""),0,MAX(0,MIN((AS145-1),$O145)-MAX($N145,$E145)+1))+N($P145)))),DAY(EOMONTH((AS145-1),0))),1,0))))</f>
        <v/>
      </c>
      <c r="AV145" s="11" t="str">
        <f aca="false">IF(AO145=0,"",IF($F145="","None",IF(IFERROR(VLOOKUP($F145,TypeTable,2,0),"None")="PT",IF(N($G145)&gt;=PT_MinHours,"PT","None"),IFERROR(VLOOKUP($F145,TypeTable,2,0),"None"))))</f>
        <v/>
      </c>
      <c r="AW145" s="11" t="str">
        <f aca="false">IF(AO145=0,"",IF($I145="","None",IF(IFERROR(VLOOKUP($I145,TypeTable,2,0),"None")="PT",IF(N($J145)&gt;=PT_MinHours,"PT","None"),IFERROR(VLOOKUP($I145,TypeTable,2,0),"None"))))</f>
        <v/>
      </c>
      <c r="AX145" s="11" t="str">
        <f aca="false">IF(AO145=0,"",IF($L145="","None",IF(IFERROR(VLOOKUP($L145,TypeTable,2,0),"None")="PT",IF(N($M145)&gt;=PT_MinHours,"PT","None"),IFERROR(VLOOKUP($L145,TypeTable,2,0),"None"))))</f>
        <v/>
      </c>
      <c r="AY145" s="11" t="str">
        <f aca="false">IF(AO145=0,"",IF(AS145&lt;&gt;"",AX145,IF(AR145&lt;&gt;"",AW145,AV145)))</f>
        <v/>
      </c>
      <c r="AZ145" s="11" t="str">
        <f aca="false">IF(AO145=0,"",IF(AV145="FT",IF(AT145&lt;FT_First,0,IF(AT145&lt;FT_Y5,1+INT((AT145-FT_First)/FT_Int1),FT_PreY5+FT_PerYear*INT((AT145-FT_Y5)/12)+FT_AnnivDays+INT(MOD(AT145-FT_Y5,12)/FT_Int2))),IF(AV145="PT",IF(AT145&lt;PT_First,0,1+INT((AT145-PT_First)/PT_Int)),0)))</f>
        <v/>
      </c>
      <c r="BA145" s="11" t="str">
        <f aca="false">IF(AO145=0,"",IF(AW145="FT",IF(AT145&lt;FT_First,0,IF(AT145&lt;FT_Y5,1+INT((AT145-FT_First)/FT_Int1),FT_PreY5+FT_PerYear*INT((AT145-FT_Y5)/12)+FT_AnnivDays+INT(MOD(AT145-FT_Y5,12)/FT_Int2))),IF(AW145="PT",IF(AT145&lt;PT_First,0,1+INT((AT145-PT_First)/PT_Int)),0)))</f>
        <v/>
      </c>
      <c r="BB145" s="11" t="str">
        <f aca="false">IF(AO145=0,"",IF(AW145="FT",IF(AU145&lt;FT_First,0,IF(AU145&lt;FT_Y5,1+INT((AU145-FT_First)/FT_Int1),FT_PreY5+FT_PerYear*INT((AU145-FT_Y5)/12)+FT_AnnivDays+INT(MOD(AU145-FT_Y5,12)/FT_Int2))),IF(AW145="PT",IF(AU145&lt;PT_First,0,1+INT((AU145-PT_First)/PT_Int)),0)))</f>
        <v/>
      </c>
      <c r="BC145" s="11" t="str">
        <f aca="false">IF(AO145=0,"",IF(AX145="FT",IF(AU145&lt;FT_First,0,IF(AU145&lt;FT_Y5,1+INT((AU145-FT_First)/FT_Int1),FT_PreY5+FT_PerYear*INT((AU145-FT_Y5)/12)+FT_AnnivDays+INT(MOD(AU145-FT_Y5,12)/FT_Int2))),IF(AX145="PT",IF(AU145&lt;PT_First,0,1+INT((AU145-PT_First)/PT_Int)),0)))</f>
        <v/>
      </c>
      <c r="BD145" s="11" t="str">
        <f aca="false">IF(AO145=0,"",IF(AX145="FT",IF(AQ145&lt;FT_First,0,IF(AQ145&lt;FT_Y5,1+INT((AQ145-FT_First)/FT_Int1),FT_PreY5+FT_PerYear*INT((AQ145-FT_Y5)/12)+FT_AnnivDays+INT(MOD(AQ145-FT_Y5,12)/FT_Int2))),IF(AX145="PT",IF(AQ145&lt;PT_First,0,1+INT((AQ145-PT_First)/PT_Int)),0)))</f>
        <v/>
      </c>
      <c r="BE145" s="11" t="str">
        <f aca="false">IF(AO145=0,"",IF(AY145="FT",IF(AQ145&lt;FT_First,FT_First,IF(AQ145&lt;FT_Y5,MIN(FT_Y5,FT_First+FT_Int1*(INT((AQ145-FT_First)/FT_Int1)+1)),FT_Y5+12*INT((AQ145-FT_Y5)/12)+FT_Int2*(INT(MOD(AQ145-FT_Y5,12)/FT_Int2)+1))),IF(AY145="PT",IF(AQ145&lt;PT_First,PT_First,PT_First+PT_Int*(INT((AQ145-PT_First)/PT_Int)+1)),"")))</f>
        <v/>
      </c>
      <c r="BF145" s="11" t="n">
        <f aca="false">IF(AO145=0,0,IF(AND($Q145&lt;&gt;"",$Q145&lt;=AsOfDate),1,0))</f>
        <v>0</v>
      </c>
      <c r="BG145" s="11" t="str">
        <f aca="false">IF(AND(AO145=1,BF145=0,EH_Ready,N(AB145)&gt;0,N(AI145)=0),COUNT($BG$5:BG144)+1,"")</f>
        <v/>
      </c>
      <c r="BH145" s="11" t="str">
        <f aca="false">IF(AND(AO145=1,BF145=0,EH_Ready,N(AB145)&gt;0,N(AI145)&gt;0,N(AK145)&gt;0),COUNT($BH$5:BH144)+1,"")</f>
        <v/>
      </c>
      <c r="BI145" s="11" t="str">
        <f aca="false">IF(AND(AO145=1,OR(LEFT(AM145,3)="ADD",LEFT(AM145,3)="SET",LEFT(AM145,5)="CHECK",LEFT(AM145,10)="TERMINATED")),COUNT($BI$5:BI144)+1,"")</f>
        <v/>
      </c>
      <c r="BJ145" s="11" t="str">
        <f aca="false">IF(AO145=0,"",$A145&amp;" - "&amp;$B145&amp;" "&amp;$C145)</f>
        <v/>
      </c>
    </row>
    <row r="146" customFormat="false" ht="15" hidden="false" customHeight="false" outlineLevel="0" collapsed="false">
      <c r="A146" s="10"/>
      <c r="B146" s="10"/>
      <c r="C146" s="10"/>
      <c r="D146" s="10"/>
      <c r="E146" s="9"/>
      <c r="F146" s="10"/>
      <c r="G146" s="30"/>
      <c r="H146" s="9"/>
      <c r="I146" s="10"/>
      <c r="J146" s="30"/>
      <c r="K146" s="9"/>
      <c r="L146" s="10"/>
      <c r="M146" s="30"/>
      <c r="N146" s="9"/>
      <c r="O146" s="9"/>
      <c r="P146" s="30"/>
      <c r="Q146" s="9"/>
      <c r="R146" s="10"/>
      <c r="S146" s="11" t="str">
        <f aca="false">IF(AO146=0,"",IF($H146="","",$F146&amp;" -&gt; "&amp;$I146&amp;IF($I146="Part-Time"," ("&amp;N($J146)&amp;" hrs)","")&amp;" on "&amp;TEXT($H146,"dd/mm/yyyy")&amp;IF($H146&gt;AsOfDate," (FUTURE)","")&amp;IF($K146="","","; "&amp;$I146&amp;" -&gt; "&amp;$L146&amp;IF($L146="Part-Time"," ("&amp;N($M146)&amp;" hrs)","")&amp;" on "&amp;TEXT($K146,"dd/mm/yyyy")&amp;IF($K146&gt;AsOfDate," (FUTURE)",""))))</f>
        <v/>
      </c>
      <c r="T146" s="11" t="str">
        <f aca="false">IF(AO146=0,"",IF(AS146&lt;&gt;"",$L146,IF(AR146&lt;&gt;"",$I146,$F146)))</f>
        <v/>
      </c>
      <c r="U146" s="26" t="str">
        <f aca="false">IF(AO146=0,"",IF(AS146&lt;&gt;"",$M146,IF(AR146&lt;&gt;"",$J146,$G146)))</f>
        <v/>
      </c>
      <c r="V146" s="11" t="str">
        <f aca="false">IF(AO146=0,"",IF(AY146="FT","Full-Time",IF(AY146="PT","Part-Time","Not eligible")))</f>
        <v/>
      </c>
      <c r="W146" s="27" t="str">
        <f aca="false">IF(AO146=0,"",IF(AR146="",IF(AND($H146&lt;&gt;"",$H146&gt;AsOfDate),"Future change - not yet applied",""),IF(AND(AV146=AY146,OR(AS146="",AW146=AV146)),"Type changed - same accrual pathway",IF(AY146="None","STOPPED accruing from "&amp;TEXT(IF(AS146&lt;&gt;"",AS146,AR146),"dd/mm/yyyy"),IF(AV146="None","STARTED qualifying from "&amp;TEXT(IF(AS146&lt;&gt;"",AS146,AR146),"dd/mm/yyyy"),"Pathway changed "&amp;AV146&amp;" -&gt; "&amp;AW146&amp;IF(AS146&lt;&gt;""," -&gt; "&amp;AX146,"")&amp;" from "&amp;TEXT(IF(AS146&lt;&gt;"",AS146,AR146),"dd/mm/yyyy"))))))</f>
        <v/>
      </c>
      <c r="X146" s="28" t="str">
        <f aca="false">IF(AO146=0,"",IF($Q146="",AsOfDate,MIN(AsOfDate,$Q146)))</f>
        <v/>
      </c>
      <c r="Y146" s="26" t="str">
        <f aca="false">IF(AO146=0,"",MAX(0,AQ146))</f>
        <v/>
      </c>
      <c r="Z146" s="11" t="str">
        <f aca="false">IF(AO146=0,"",IF(AQ146&lt;0,"Not started",INT(AQ146/12)&amp;"y "&amp;MOD(AQ146,12)&amp;"m"))</f>
        <v/>
      </c>
      <c r="AA146" s="27" t="str">
        <f aca="false">IF(AO146=0,"",IF(BF146=1,"Terminated - balance forfeited",IF(AY146="None",IF(AB146&gt;0,"No longer accruing - "&amp;T146,"Not eligible - "&amp;T146&amp;IF(AND(IFERROR(VLOOKUP(T146,TypeTable,2,0),"None")="PT",N(U146)&lt;PT_MinHours)," (under "&amp;PT_MinHours&amp;" hrs)","")),IF(AB146&gt;0,"Yes - accruing","Not yet - qualifies "&amp;TEXT(AD146,"dd/mm/yyyy")))))</f>
        <v/>
      </c>
      <c r="AB146" s="26" t="str">
        <f aca="false">IF(AO146=0,"",AZ146+IF(AR146="",0,BB146-BA146)+IF(AS146="",0,BD146-BC146))</f>
        <v/>
      </c>
      <c r="AC146" s="26" t="str">
        <f aca="false">IF(AO146=0,"",AB146*HoursPerDay)</f>
        <v/>
      </c>
      <c r="AD146" s="28" t="str">
        <f aca="false">IF(AO146=0,"",IF(OR(BF146=1,AY146="None"),"",EDATE($E146+AP146,BE146)))</f>
        <v/>
      </c>
      <c r="AE146" s="26" t="str">
        <f aca="false">IF(AD146="","",IF(AY146="PT",1,IF(BE146&lt;FT_Y5,1,IF(MOD(BE146-FT_Y5,12)=0,FT_AnnivDays,1))))</f>
        <v/>
      </c>
      <c r="AF146" s="27" t="str">
        <f aca="false">IF(AO146=0,"",IF(NOT(EH_Ready),"Map headers",IF(IF(MatchMode="Employee ID",COUNTIFS(INDEX(EH_Data,0,EH_ColID),$A146,INDEX(EH_Data,0,EH_ColCat),BonusCat),COUNTIFS(INDEX(EH_Data,0,EH_ColFirst),$B146,INDEX(EH_Data,0,EH_ColSur),$C146,INDEX(EH_Data,0,EH_ColCat),BonusCat))&gt;0,"Yes","No")))</f>
        <v/>
      </c>
      <c r="AG146" s="26" t="str">
        <f aca="false">IF(AO146=0,"",IF(NOT(EH_Ready),"",IF(MatchMode="Employee ID",SUMIFS(INDEX(EH_Data,0,EH_ColBal),INDEX(EH_Data,0,EH_ColID),$A146,INDEX(EH_Data,0,EH_ColCat),BonusCat),SUMIFS(INDEX(EH_Data,0,EH_ColBal),INDEX(EH_Data,0,EH_ColFirst),$B146,INDEX(EH_Data,0,EH_ColSur),$C146,INDEX(EH_Data,0,EH_ColCat),BonusCat))/IF(EHUnit="Hours",HoursPerDay,1)))</f>
        <v/>
      </c>
      <c r="AH146" s="26" t="str">
        <f aca="false">IF(AO146=0,"",IF(NOT(TK_Ready),0,IF(MatchMode="Employee ID",SUMIFS(INDEX(TK_Data,0,TK_ColAmt),INDEX(TK_Data,0,TK_ColID),$A146,INDEX(TK_Data,0,TK_ColCat),BonusCat),SUMIFS(INDEX(TK_Data,0,TK_ColAmt),INDEX(TK_Data,0,TK_ColFirst),$B146,INDEX(TK_Data,0,TK_ColSur),$C146,INDEX(TK_Data,0,TK_ColCat),BonusCat))/IF(TKUnit="Hours",HoursPerDay,1)))</f>
        <v/>
      </c>
      <c r="AI146" s="26" t="str">
        <f aca="false">IF(AO146=0,"",N(AG146)+N(AH146))</f>
        <v/>
      </c>
      <c r="AJ146" s="29" t="str">
        <f aca="false">IF(AO146=0,"",IF(NOT(AND(EH_Ready,EH_ValReady)),"",IF(MatchMode="Employee ID",SUMIFS(INDEX(EH_Data,0,EH_ColVal),INDEX(EH_Data,0,EH_ColID),$A146,INDEX(EH_Data,0,EH_ColCat),BonusCat),SUMIFS(INDEX(EH_Data,0,EH_ColVal),INDEX(EH_Data,0,EH_ColFirst),$B146,INDEX(EH_Data,0,EH_ColSur),$C146,INDEX(EH_Data,0,EH_ColCat),BonusCat))))</f>
        <v/>
      </c>
      <c r="AK146" s="26" t="str">
        <f aca="false">IF(AO146=0,"",IF(OR(NOT(EH_Ready),BF146=1),"",AB146-AI146))</f>
        <v/>
      </c>
      <c r="AL146" s="26" t="str">
        <f aca="false">IF(AK146="","",AK146*HoursPerDay)</f>
        <v/>
      </c>
      <c r="AM146" s="27" t="str">
        <f aca="false">IF(AO146=0,"",IF(BF146=1,IF(N(AG146)&gt;0,"TERMINATED - forfeit "&amp;TEXT(AG146,"0.##")&amp;" days still in EH","Terminated - nothing in EH"),IF(NOT(EH_Ready),"Paste EH export and map headers on Settings",IF(AND(AB146&gt;0,AF146="No"),"SET UP in EH - add "&amp;TEXT(AB146,"0.##")&amp;" day(s) ("&amp;TEXT(AC146,"0.##")&amp;" hrs)",IF(AK146&gt;0,"ADD "&amp;TEXT(AK146,"0.##")&amp;" day(s) ("&amp;TEXT(AL146,"0.##")&amp;" hrs) in EH",IF(AK146&lt;0,"CHECK - EH shows "&amp;TEXT(-AK146,"0.##")&amp;" days more than policy",IF(AB146&gt;0,"OK - up to date",IF(AY146="None","No action - not eligible","No action - not yet qualified"))))))))</f>
        <v/>
      </c>
      <c r="AN146" s="27" t="str">
        <f aca="false">IF(AO146=0,"",TRIM(IF(AND($K146&lt;&gt;"",$H146=""),"Change 2 entered without Change 1. ","")&amp;IF(AND($K146&lt;&gt;"",$H146&lt;&gt;"",$K146&lt;=$H146),"Change 2 date not after Change 1. ","")&amp;IF(AND($N146&lt;&gt;"",$O146&lt;&gt;"",$O146&lt;$N146),"Leave To is before Leave From. ","")&amp;IF(AND($N146&lt;&gt;"",$O146=""),"Leave From entered without Leave To. ","")&amp;IF(AND(IFERROR(VLOOKUP(T146,TypeTable,2,0),"None")="PT",U146=""),"Part-time with no hours entered. ","")&amp;IF(AND($H146&lt;&gt;"",$H146&gt;AsOfDate,AD146&lt;&gt;"",$H146&lt;=AD146),"Status change lands before next accrual - review. ","")&amp;IF(AND($Q146&lt;&gt;"",$Q146&lt;$E146),"Termination before commencement. ","")))</f>
        <v/>
      </c>
      <c r="AO146" s="11" t="n">
        <f aca="false">IF(LEN($A146&amp;$B146&amp;$C146)=0,0,IF($E146="",0,1))</f>
        <v>0</v>
      </c>
      <c r="AP146" s="11" t="str">
        <f aca="false">IF(AO146=0,"",(IF(OR($N146="",$O146=""),0,MAX(0,MIN(X146,$O146)-MAX($N146,$E146)+1))+N($P146)))</f>
        <v/>
      </c>
      <c r="AQ146" s="11" t="str">
        <f aca="false">IF(AO146=0,"",IF(X146&lt;($E146+(IF(OR($N146="",$O146=""),0,MAX(0,MIN(X146,$O146)-MAX($N146,$E146)+1))+N($P146))),-1,12*(YEAR(X146)-YEAR(($E146+(IF(OR($N146="",$O146=""),0,MAX(0,MIN(X146,$O146)-MAX($N146,$E146)+1))+N($P146)))))+MONTH(X146)-MONTH(($E146+(IF(OR($N146="",$O146=""),0,MAX(0,MIN(X146,$O146)-MAX($N146,$E146)+1))+N($P146))))-IF(DAY(X146)&lt;MIN(DAY(($E146+(IF(OR($N146="",$O146=""),0,MAX(0,MIN(X146,$O146)-MAX($N146,$E146)+1))+N($P146)))),DAY(EOMONTH(X146,0))),1,0)))</f>
        <v/>
      </c>
      <c r="AR146" s="28" t="str">
        <f aca="false">IF(AO146=0,"",IF($H146="","",IF($H146&gt;X146,"",$H146)))</f>
        <v/>
      </c>
      <c r="AS146" s="28" t="str">
        <f aca="false">IF(AO146=0,"",IF(AR146="","",IF($K146="","",IF($K146&gt;X146,"",$K146))))</f>
        <v/>
      </c>
      <c r="AT146" s="11" t="str">
        <f aca="false">IF(AO146=0,"",IF(AR146="",AQ146,IF((AR146-1)&lt;($E146+(IF(OR($N146="",$O146=""),0,MAX(0,MIN((AR146-1),$O146)-MAX($N146,$E146)+1))+N($P146))),-1,12*(YEAR((AR146-1))-YEAR(($E146+(IF(OR($N146="",$O146=""),0,MAX(0,MIN((AR146-1),$O146)-MAX($N146,$E146)+1))+N($P146)))))+MONTH((AR146-1))-MONTH(($E146+(IF(OR($N146="",$O146=""),0,MAX(0,MIN((AR146-1),$O146)-MAX($N146,$E146)+1))+N($P146))))-IF(DAY((AR146-1))&lt;MIN(DAY(($E146+(IF(OR($N146="",$O146=""),0,MAX(0,MIN((AR146-1),$O146)-MAX($N146,$E146)+1))+N($P146)))),DAY(EOMONTH((AR146-1),0))),1,0))))</f>
        <v/>
      </c>
      <c r="AU146" s="11" t="str">
        <f aca="false">IF(AO146=0,"",IF(AS146="",AQ146,IF((AS146-1)&lt;($E146+(IF(OR($N146="",$O146=""),0,MAX(0,MIN((AS146-1),$O146)-MAX($N146,$E146)+1))+N($P146))),-1,12*(YEAR((AS146-1))-YEAR(($E146+(IF(OR($N146="",$O146=""),0,MAX(0,MIN((AS146-1),$O146)-MAX($N146,$E146)+1))+N($P146)))))+MONTH((AS146-1))-MONTH(($E146+(IF(OR($N146="",$O146=""),0,MAX(0,MIN((AS146-1),$O146)-MAX($N146,$E146)+1))+N($P146))))-IF(DAY((AS146-1))&lt;MIN(DAY(($E146+(IF(OR($N146="",$O146=""),0,MAX(0,MIN((AS146-1),$O146)-MAX($N146,$E146)+1))+N($P146)))),DAY(EOMONTH((AS146-1),0))),1,0))))</f>
        <v/>
      </c>
      <c r="AV146" s="11" t="str">
        <f aca="false">IF(AO146=0,"",IF($F146="","None",IF(IFERROR(VLOOKUP($F146,TypeTable,2,0),"None")="PT",IF(N($G146)&gt;=PT_MinHours,"PT","None"),IFERROR(VLOOKUP($F146,TypeTable,2,0),"None"))))</f>
        <v/>
      </c>
      <c r="AW146" s="11" t="str">
        <f aca="false">IF(AO146=0,"",IF($I146="","None",IF(IFERROR(VLOOKUP($I146,TypeTable,2,0),"None")="PT",IF(N($J146)&gt;=PT_MinHours,"PT","None"),IFERROR(VLOOKUP($I146,TypeTable,2,0),"None"))))</f>
        <v/>
      </c>
      <c r="AX146" s="11" t="str">
        <f aca="false">IF(AO146=0,"",IF($L146="","None",IF(IFERROR(VLOOKUP($L146,TypeTable,2,0),"None")="PT",IF(N($M146)&gt;=PT_MinHours,"PT","None"),IFERROR(VLOOKUP($L146,TypeTable,2,0),"None"))))</f>
        <v/>
      </c>
      <c r="AY146" s="11" t="str">
        <f aca="false">IF(AO146=0,"",IF(AS146&lt;&gt;"",AX146,IF(AR146&lt;&gt;"",AW146,AV146)))</f>
        <v/>
      </c>
      <c r="AZ146" s="11" t="str">
        <f aca="false">IF(AO146=0,"",IF(AV146="FT",IF(AT146&lt;FT_First,0,IF(AT146&lt;FT_Y5,1+INT((AT146-FT_First)/FT_Int1),FT_PreY5+FT_PerYear*INT((AT146-FT_Y5)/12)+FT_AnnivDays+INT(MOD(AT146-FT_Y5,12)/FT_Int2))),IF(AV146="PT",IF(AT146&lt;PT_First,0,1+INT((AT146-PT_First)/PT_Int)),0)))</f>
        <v/>
      </c>
      <c r="BA146" s="11" t="str">
        <f aca="false">IF(AO146=0,"",IF(AW146="FT",IF(AT146&lt;FT_First,0,IF(AT146&lt;FT_Y5,1+INT((AT146-FT_First)/FT_Int1),FT_PreY5+FT_PerYear*INT((AT146-FT_Y5)/12)+FT_AnnivDays+INT(MOD(AT146-FT_Y5,12)/FT_Int2))),IF(AW146="PT",IF(AT146&lt;PT_First,0,1+INT((AT146-PT_First)/PT_Int)),0)))</f>
        <v/>
      </c>
      <c r="BB146" s="11" t="str">
        <f aca="false">IF(AO146=0,"",IF(AW146="FT",IF(AU146&lt;FT_First,0,IF(AU146&lt;FT_Y5,1+INT((AU146-FT_First)/FT_Int1),FT_PreY5+FT_PerYear*INT((AU146-FT_Y5)/12)+FT_AnnivDays+INT(MOD(AU146-FT_Y5,12)/FT_Int2))),IF(AW146="PT",IF(AU146&lt;PT_First,0,1+INT((AU146-PT_First)/PT_Int)),0)))</f>
        <v/>
      </c>
      <c r="BC146" s="11" t="str">
        <f aca="false">IF(AO146=0,"",IF(AX146="FT",IF(AU146&lt;FT_First,0,IF(AU146&lt;FT_Y5,1+INT((AU146-FT_First)/FT_Int1),FT_PreY5+FT_PerYear*INT((AU146-FT_Y5)/12)+FT_AnnivDays+INT(MOD(AU146-FT_Y5,12)/FT_Int2))),IF(AX146="PT",IF(AU146&lt;PT_First,0,1+INT((AU146-PT_First)/PT_Int)),0)))</f>
        <v/>
      </c>
      <c r="BD146" s="11" t="str">
        <f aca="false">IF(AO146=0,"",IF(AX146="FT",IF(AQ146&lt;FT_First,0,IF(AQ146&lt;FT_Y5,1+INT((AQ146-FT_First)/FT_Int1),FT_PreY5+FT_PerYear*INT((AQ146-FT_Y5)/12)+FT_AnnivDays+INT(MOD(AQ146-FT_Y5,12)/FT_Int2))),IF(AX146="PT",IF(AQ146&lt;PT_First,0,1+INT((AQ146-PT_First)/PT_Int)),0)))</f>
        <v/>
      </c>
      <c r="BE146" s="11" t="str">
        <f aca="false">IF(AO146=0,"",IF(AY146="FT",IF(AQ146&lt;FT_First,FT_First,IF(AQ146&lt;FT_Y5,MIN(FT_Y5,FT_First+FT_Int1*(INT((AQ146-FT_First)/FT_Int1)+1)),FT_Y5+12*INT((AQ146-FT_Y5)/12)+FT_Int2*(INT(MOD(AQ146-FT_Y5,12)/FT_Int2)+1))),IF(AY146="PT",IF(AQ146&lt;PT_First,PT_First,PT_First+PT_Int*(INT((AQ146-PT_First)/PT_Int)+1)),"")))</f>
        <v/>
      </c>
      <c r="BF146" s="11" t="n">
        <f aca="false">IF(AO146=0,0,IF(AND($Q146&lt;&gt;"",$Q146&lt;=AsOfDate),1,0))</f>
        <v>0</v>
      </c>
      <c r="BG146" s="11" t="str">
        <f aca="false">IF(AND(AO146=1,BF146=0,EH_Ready,N(AB146)&gt;0,N(AI146)=0),COUNT($BG$5:BG145)+1,"")</f>
        <v/>
      </c>
      <c r="BH146" s="11" t="str">
        <f aca="false">IF(AND(AO146=1,BF146=0,EH_Ready,N(AB146)&gt;0,N(AI146)&gt;0,N(AK146)&gt;0),COUNT($BH$5:BH145)+1,"")</f>
        <v/>
      </c>
      <c r="BI146" s="11" t="str">
        <f aca="false">IF(AND(AO146=1,OR(LEFT(AM146,3)="ADD",LEFT(AM146,3)="SET",LEFT(AM146,5)="CHECK",LEFT(AM146,10)="TERMINATED")),COUNT($BI$5:BI145)+1,"")</f>
        <v/>
      </c>
      <c r="BJ146" s="11" t="str">
        <f aca="false">IF(AO146=0,"",$A146&amp;" - "&amp;$B146&amp;" "&amp;$C146)</f>
        <v/>
      </c>
    </row>
    <row r="147" customFormat="false" ht="15" hidden="false" customHeight="false" outlineLevel="0" collapsed="false">
      <c r="A147" s="10"/>
      <c r="B147" s="10"/>
      <c r="C147" s="10"/>
      <c r="D147" s="10"/>
      <c r="E147" s="9"/>
      <c r="F147" s="10"/>
      <c r="G147" s="30"/>
      <c r="H147" s="9"/>
      <c r="I147" s="10"/>
      <c r="J147" s="30"/>
      <c r="K147" s="9"/>
      <c r="L147" s="10"/>
      <c r="M147" s="30"/>
      <c r="N147" s="9"/>
      <c r="O147" s="9"/>
      <c r="P147" s="30"/>
      <c r="Q147" s="9"/>
      <c r="R147" s="10"/>
      <c r="S147" s="11" t="str">
        <f aca="false">IF(AO147=0,"",IF($H147="","",$F147&amp;" -&gt; "&amp;$I147&amp;IF($I147="Part-Time"," ("&amp;N($J147)&amp;" hrs)","")&amp;" on "&amp;TEXT($H147,"dd/mm/yyyy")&amp;IF($H147&gt;AsOfDate," (FUTURE)","")&amp;IF($K147="","","; "&amp;$I147&amp;" -&gt; "&amp;$L147&amp;IF($L147="Part-Time"," ("&amp;N($M147)&amp;" hrs)","")&amp;" on "&amp;TEXT($K147,"dd/mm/yyyy")&amp;IF($K147&gt;AsOfDate," (FUTURE)",""))))</f>
        <v/>
      </c>
      <c r="T147" s="11" t="str">
        <f aca="false">IF(AO147=0,"",IF(AS147&lt;&gt;"",$L147,IF(AR147&lt;&gt;"",$I147,$F147)))</f>
        <v/>
      </c>
      <c r="U147" s="26" t="str">
        <f aca="false">IF(AO147=0,"",IF(AS147&lt;&gt;"",$M147,IF(AR147&lt;&gt;"",$J147,$G147)))</f>
        <v/>
      </c>
      <c r="V147" s="11" t="str">
        <f aca="false">IF(AO147=0,"",IF(AY147="FT","Full-Time",IF(AY147="PT","Part-Time","Not eligible")))</f>
        <v/>
      </c>
      <c r="W147" s="27" t="str">
        <f aca="false">IF(AO147=0,"",IF(AR147="",IF(AND($H147&lt;&gt;"",$H147&gt;AsOfDate),"Future change - not yet applied",""),IF(AND(AV147=AY147,OR(AS147="",AW147=AV147)),"Type changed - same accrual pathway",IF(AY147="None","STOPPED accruing from "&amp;TEXT(IF(AS147&lt;&gt;"",AS147,AR147),"dd/mm/yyyy"),IF(AV147="None","STARTED qualifying from "&amp;TEXT(IF(AS147&lt;&gt;"",AS147,AR147),"dd/mm/yyyy"),"Pathway changed "&amp;AV147&amp;" -&gt; "&amp;AW147&amp;IF(AS147&lt;&gt;""," -&gt; "&amp;AX147,"")&amp;" from "&amp;TEXT(IF(AS147&lt;&gt;"",AS147,AR147),"dd/mm/yyyy"))))))</f>
        <v/>
      </c>
      <c r="X147" s="28" t="str">
        <f aca="false">IF(AO147=0,"",IF($Q147="",AsOfDate,MIN(AsOfDate,$Q147)))</f>
        <v/>
      </c>
      <c r="Y147" s="26" t="str">
        <f aca="false">IF(AO147=0,"",MAX(0,AQ147))</f>
        <v/>
      </c>
      <c r="Z147" s="11" t="str">
        <f aca="false">IF(AO147=0,"",IF(AQ147&lt;0,"Not started",INT(AQ147/12)&amp;"y "&amp;MOD(AQ147,12)&amp;"m"))</f>
        <v/>
      </c>
      <c r="AA147" s="27" t="str">
        <f aca="false">IF(AO147=0,"",IF(BF147=1,"Terminated - balance forfeited",IF(AY147="None",IF(AB147&gt;0,"No longer accruing - "&amp;T147,"Not eligible - "&amp;T147&amp;IF(AND(IFERROR(VLOOKUP(T147,TypeTable,2,0),"None")="PT",N(U147)&lt;PT_MinHours)," (under "&amp;PT_MinHours&amp;" hrs)","")),IF(AB147&gt;0,"Yes - accruing","Not yet - qualifies "&amp;TEXT(AD147,"dd/mm/yyyy")))))</f>
        <v/>
      </c>
      <c r="AB147" s="26" t="str">
        <f aca="false">IF(AO147=0,"",AZ147+IF(AR147="",0,BB147-BA147)+IF(AS147="",0,BD147-BC147))</f>
        <v/>
      </c>
      <c r="AC147" s="26" t="str">
        <f aca="false">IF(AO147=0,"",AB147*HoursPerDay)</f>
        <v/>
      </c>
      <c r="AD147" s="28" t="str">
        <f aca="false">IF(AO147=0,"",IF(OR(BF147=1,AY147="None"),"",EDATE($E147+AP147,BE147)))</f>
        <v/>
      </c>
      <c r="AE147" s="26" t="str">
        <f aca="false">IF(AD147="","",IF(AY147="PT",1,IF(BE147&lt;FT_Y5,1,IF(MOD(BE147-FT_Y5,12)=0,FT_AnnivDays,1))))</f>
        <v/>
      </c>
      <c r="AF147" s="27" t="str">
        <f aca="false">IF(AO147=0,"",IF(NOT(EH_Ready),"Map headers",IF(IF(MatchMode="Employee ID",COUNTIFS(INDEX(EH_Data,0,EH_ColID),$A147,INDEX(EH_Data,0,EH_ColCat),BonusCat),COUNTIFS(INDEX(EH_Data,0,EH_ColFirst),$B147,INDEX(EH_Data,0,EH_ColSur),$C147,INDEX(EH_Data,0,EH_ColCat),BonusCat))&gt;0,"Yes","No")))</f>
        <v/>
      </c>
      <c r="AG147" s="26" t="str">
        <f aca="false">IF(AO147=0,"",IF(NOT(EH_Ready),"",IF(MatchMode="Employee ID",SUMIFS(INDEX(EH_Data,0,EH_ColBal),INDEX(EH_Data,0,EH_ColID),$A147,INDEX(EH_Data,0,EH_ColCat),BonusCat),SUMIFS(INDEX(EH_Data,0,EH_ColBal),INDEX(EH_Data,0,EH_ColFirst),$B147,INDEX(EH_Data,0,EH_ColSur),$C147,INDEX(EH_Data,0,EH_ColCat),BonusCat))/IF(EHUnit="Hours",HoursPerDay,1)))</f>
        <v/>
      </c>
      <c r="AH147" s="26" t="str">
        <f aca="false">IF(AO147=0,"",IF(NOT(TK_Ready),0,IF(MatchMode="Employee ID",SUMIFS(INDEX(TK_Data,0,TK_ColAmt),INDEX(TK_Data,0,TK_ColID),$A147,INDEX(TK_Data,0,TK_ColCat),BonusCat),SUMIFS(INDEX(TK_Data,0,TK_ColAmt),INDEX(TK_Data,0,TK_ColFirst),$B147,INDEX(TK_Data,0,TK_ColSur),$C147,INDEX(TK_Data,0,TK_ColCat),BonusCat))/IF(TKUnit="Hours",HoursPerDay,1)))</f>
        <v/>
      </c>
      <c r="AI147" s="26" t="str">
        <f aca="false">IF(AO147=0,"",N(AG147)+N(AH147))</f>
        <v/>
      </c>
      <c r="AJ147" s="29" t="str">
        <f aca="false">IF(AO147=0,"",IF(NOT(AND(EH_Ready,EH_ValReady)),"",IF(MatchMode="Employee ID",SUMIFS(INDEX(EH_Data,0,EH_ColVal),INDEX(EH_Data,0,EH_ColID),$A147,INDEX(EH_Data,0,EH_ColCat),BonusCat),SUMIFS(INDEX(EH_Data,0,EH_ColVal),INDEX(EH_Data,0,EH_ColFirst),$B147,INDEX(EH_Data,0,EH_ColSur),$C147,INDEX(EH_Data,0,EH_ColCat),BonusCat))))</f>
        <v/>
      </c>
      <c r="AK147" s="26" t="str">
        <f aca="false">IF(AO147=0,"",IF(OR(NOT(EH_Ready),BF147=1),"",AB147-AI147))</f>
        <v/>
      </c>
      <c r="AL147" s="26" t="str">
        <f aca="false">IF(AK147="","",AK147*HoursPerDay)</f>
        <v/>
      </c>
      <c r="AM147" s="27" t="str">
        <f aca="false">IF(AO147=0,"",IF(BF147=1,IF(N(AG147)&gt;0,"TERMINATED - forfeit "&amp;TEXT(AG147,"0.##")&amp;" days still in EH","Terminated - nothing in EH"),IF(NOT(EH_Ready),"Paste EH export and map headers on Settings",IF(AND(AB147&gt;0,AF147="No"),"SET UP in EH - add "&amp;TEXT(AB147,"0.##")&amp;" day(s) ("&amp;TEXT(AC147,"0.##")&amp;" hrs)",IF(AK147&gt;0,"ADD "&amp;TEXT(AK147,"0.##")&amp;" day(s) ("&amp;TEXT(AL147,"0.##")&amp;" hrs) in EH",IF(AK147&lt;0,"CHECK - EH shows "&amp;TEXT(-AK147,"0.##")&amp;" days more than policy",IF(AB147&gt;0,"OK - up to date",IF(AY147="None","No action - not eligible","No action - not yet qualified"))))))))</f>
        <v/>
      </c>
      <c r="AN147" s="27" t="str">
        <f aca="false">IF(AO147=0,"",TRIM(IF(AND($K147&lt;&gt;"",$H147=""),"Change 2 entered without Change 1. ","")&amp;IF(AND($K147&lt;&gt;"",$H147&lt;&gt;"",$K147&lt;=$H147),"Change 2 date not after Change 1. ","")&amp;IF(AND($N147&lt;&gt;"",$O147&lt;&gt;"",$O147&lt;$N147),"Leave To is before Leave From. ","")&amp;IF(AND($N147&lt;&gt;"",$O147=""),"Leave From entered without Leave To. ","")&amp;IF(AND(IFERROR(VLOOKUP(T147,TypeTable,2,0),"None")="PT",U147=""),"Part-time with no hours entered. ","")&amp;IF(AND($H147&lt;&gt;"",$H147&gt;AsOfDate,AD147&lt;&gt;"",$H147&lt;=AD147),"Status change lands before next accrual - review. ","")&amp;IF(AND($Q147&lt;&gt;"",$Q147&lt;$E147),"Termination before commencement. ","")))</f>
        <v/>
      </c>
      <c r="AO147" s="11" t="n">
        <f aca="false">IF(LEN($A147&amp;$B147&amp;$C147)=0,0,IF($E147="",0,1))</f>
        <v>0</v>
      </c>
      <c r="AP147" s="11" t="str">
        <f aca="false">IF(AO147=0,"",(IF(OR($N147="",$O147=""),0,MAX(0,MIN(X147,$O147)-MAX($N147,$E147)+1))+N($P147)))</f>
        <v/>
      </c>
      <c r="AQ147" s="11" t="str">
        <f aca="false">IF(AO147=0,"",IF(X147&lt;($E147+(IF(OR($N147="",$O147=""),0,MAX(0,MIN(X147,$O147)-MAX($N147,$E147)+1))+N($P147))),-1,12*(YEAR(X147)-YEAR(($E147+(IF(OR($N147="",$O147=""),0,MAX(0,MIN(X147,$O147)-MAX($N147,$E147)+1))+N($P147)))))+MONTH(X147)-MONTH(($E147+(IF(OR($N147="",$O147=""),0,MAX(0,MIN(X147,$O147)-MAX($N147,$E147)+1))+N($P147))))-IF(DAY(X147)&lt;MIN(DAY(($E147+(IF(OR($N147="",$O147=""),0,MAX(0,MIN(X147,$O147)-MAX($N147,$E147)+1))+N($P147)))),DAY(EOMONTH(X147,0))),1,0)))</f>
        <v/>
      </c>
      <c r="AR147" s="28" t="str">
        <f aca="false">IF(AO147=0,"",IF($H147="","",IF($H147&gt;X147,"",$H147)))</f>
        <v/>
      </c>
      <c r="AS147" s="28" t="str">
        <f aca="false">IF(AO147=0,"",IF(AR147="","",IF($K147="","",IF($K147&gt;X147,"",$K147))))</f>
        <v/>
      </c>
      <c r="AT147" s="11" t="str">
        <f aca="false">IF(AO147=0,"",IF(AR147="",AQ147,IF((AR147-1)&lt;($E147+(IF(OR($N147="",$O147=""),0,MAX(0,MIN((AR147-1),$O147)-MAX($N147,$E147)+1))+N($P147))),-1,12*(YEAR((AR147-1))-YEAR(($E147+(IF(OR($N147="",$O147=""),0,MAX(0,MIN((AR147-1),$O147)-MAX($N147,$E147)+1))+N($P147)))))+MONTH((AR147-1))-MONTH(($E147+(IF(OR($N147="",$O147=""),0,MAX(0,MIN((AR147-1),$O147)-MAX($N147,$E147)+1))+N($P147))))-IF(DAY((AR147-1))&lt;MIN(DAY(($E147+(IF(OR($N147="",$O147=""),0,MAX(0,MIN((AR147-1),$O147)-MAX($N147,$E147)+1))+N($P147)))),DAY(EOMONTH((AR147-1),0))),1,0))))</f>
        <v/>
      </c>
      <c r="AU147" s="11" t="str">
        <f aca="false">IF(AO147=0,"",IF(AS147="",AQ147,IF((AS147-1)&lt;($E147+(IF(OR($N147="",$O147=""),0,MAX(0,MIN((AS147-1),$O147)-MAX($N147,$E147)+1))+N($P147))),-1,12*(YEAR((AS147-1))-YEAR(($E147+(IF(OR($N147="",$O147=""),0,MAX(0,MIN((AS147-1),$O147)-MAX($N147,$E147)+1))+N($P147)))))+MONTH((AS147-1))-MONTH(($E147+(IF(OR($N147="",$O147=""),0,MAX(0,MIN((AS147-1),$O147)-MAX($N147,$E147)+1))+N($P147))))-IF(DAY((AS147-1))&lt;MIN(DAY(($E147+(IF(OR($N147="",$O147=""),0,MAX(0,MIN((AS147-1),$O147)-MAX($N147,$E147)+1))+N($P147)))),DAY(EOMONTH((AS147-1),0))),1,0))))</f>
        <v/>
      </c>
      <c r="AV147" s="11" t="str">
        <f aca="false">IF(AO147=0,"",IF($F147="","None",IF(IFERROR(VLOOKUP($F147,TypeTable,2,0),"None")="PT",IF(N($G147)&gt;=PT_MinHours,"PT","None"),IFERROR(VLOOKUP($F147,TypeTable,2,0),"None"))))</f>
        <v/>
      </c>
      <c r="AW147" s="11" t="str">
        <f aca="false">IF(AO147=0,"",IF($I147="","None",IF(IFERROR(VLOOKUP($I147,TypeTable,2,0),"None")="PT",IF(N($J147)&gt;=PT_MinHours,"PT","None"),IFERROR(VLOOKUP($I147,TypeTable,2,0),"None"))))</f>
        <v/>
      </c>
      <c r="AX147" s="11" t="str">
        <f aca="false">IF(AO147=0,"",IF($L147="","None",IF(IFERROR(VLOOKUP($L147,TypeTable,2,0),"None")="PT",IF(N($M147)&gt;=PT_MinHours,"PT","None"),IFERROR(VLOOKUP($L147,TypeTable,2,0),"None"))))</f>
        <v/>
      </c>
      <c r="AY147" s="11" t="str">
        <f aca="false">IF(AO147=0,"",IF(AS147&lt;&gt;"",AX147,IF(AR147&lt;&gt;"",AW147,AV147)))</f>
        <v/>
      </c>
      <c r="AZ147" s="11" t="str">
        <f aca="false">IF(AO147=0,"",IF(AV147="FT",IF(AT147&lt;FT_First,0,IF(AT147&lt;FT_Y5,1+INT((AT147-FT_First)/FT_Int1),FT_PreY5+FT_PerYear*INT((AT147-FT_Y5)/12)+FT_AnnivDays+INT(MOD(AT147-FT_Y5,12)/FT_Int2))),IF(AV147="PT",IF(AT147&lt;PT_First,0,1+INT((AT147-PT_First)/PT_Int)),0)))</f>
        <v/>
      </c>
      <c r="BA147" s="11" t="str">
        <f aca="false">IF(AO147=0,"",IF(AW147="FT",IF(AT147&lt;FT_First,0,IF(AT147&lt;FT_Y5,1+INT((AT147-FT_First)/FT_Int1),FT_PreY5+FT_PerYear*INT((AT147-FT_Y5)/12)+FT_AnnivDays+INT(MOD(AT147-FT_Y5,12)/FT_Int2))),IF(AW147="PT",IF(AT147&lt;PT_First,0,1+INT((AT147-PT_First)/PT_Int)),0)))</f>
        <v/>
      </c>
      <c r="BB147" s="11" t="str">
        <f aca="false">IF(AO147=0,"",IF(AW147="FT",IF(AU147&lt;FT_First,0,IF(AU147&lt;FT_Y5,1+INT((AU147-FT_First)/FT_Int1),FT_PreY5+FT_PerYear*INT((AU147-FT_Y5)/12)+FT_AnnivDays+INT(MOD(AU147-FT_Y5,12)/FT_Int2))),IF(AW147="PT",IF(AU147&lt;PT_First,0,1+INT((AU147-PT_First)/PT_Int)),0)))</f>
        <v/>
      </c>
      <c r="BC147" s="11" t="str">
        <f aca="false">IF(AO147=0,"",IF(AX147="FT",IF(AU147&lt;FT_First,0,IF(AU147&lt;FT_Y5,1+INT((AU147-FT_First)/FT_Int1),FT_PreY5+FT_PerYear*INT((AU147-FT_Y5)/12)+FT_AnnivDays+INT(MOD(AU147-FT_Y5,12)/FT_Int2))),IF(AX147="PT",IF(AU147&lt;PT_First,0,1+INT((AU147-PT_First)/PT_Int)),0)))</f>
        <v/>
      </c>
      <c r="BD147" s="11" t="str">
        <f aca="false">IF(AO147=0,"",IF(AX147="FT",IF(AQ147&lt;FT_First,0,IF(AQ147&lt;FT_Y5,1+INT((AQ147-FT_First)/FT_Int1),FT_PreY5+FT_PerYear*INT((AQ147-FT_Y5)/12)+FT_AnnivDays+INT(MOD(AQ147-FT_Y5,12)/FT_Int2))),IF(AX147="PT",IF(AQ147&lt;PT_First,0,1+INT((AQ147-PT_First)/PT_Int)),0)))</f>
        <v/>
      </c>
      <c r="BE147" s="11" t="str">
        <f aca="false">IF(AO147=0,"",IF(AY147="FT",IF(AQ147&lt;FT_First,FT_First,IF(AQ147&lt;FT_Y5,MIN(FT_Y5,FT_First+FT_Int1*(INT((AQ147-FT_First)/FT_Int1)+1)),FT_Y5+12*INT((AQ147-FT_Y5)/12)+FT_Int2*(INT(MOD(AQ147-FT_Y5,12)/FT_Int2)+1))),IF(AY147="PT",IF(AQ147&lt;PT_First,PT_First,PT_First+PT_Int*(INT((AQ147-PT_First)/PT_Int)+1)),"")))</f>
        <v/>
      </c>
      <c r="BF147" s="11" t="n">
        <f aca="false">IF(AO147=0,0,IF(AND($Q147&lt;&gt;"",$Q147&lt;=AsOfDate),1,0))</f>
        <v>0</v>
      </c>
      <c r="BG147" s="11" t="str">
        <f aca="false">IF(AND(AO147=1,BF147=0,EH_Ready,N(AB147)&gt;0,N(AI147)=0),COUNT($BG$5:BG146)+1,"")</f>
        <v/>
      </c>
      <c r="BH147" s="11" t="str">
        <f aca="false">IF(AND(AO147=1,BF147=0,EH_Ready,N(AB147)&gt;0,N(AI147)&gt;0,N(AK147)&gt;0),COUNT($BH$5:BH146)+1,"")</f>
        <v/>
      </c>
      <c r="BI147" s="11" t="str">
        <f aca="false">IF(AND(AO147=1,OR(LEFT(AM147,3)="ADD",LEFT(AM147,3)="SET",LEFT(AM147,5)="CHECK",LEFT(AM147,10)="TERMINATED")),COUNT($BI$5:BI146)+1,"")</f>
        <v/>
      </c>
      <c r="BJ147" s="11" t="str">
        <f aca="false">IF(AO147=0,"",$A147&amp;" - "&amp;$B147&amp;" "&amp;$C147)</f>
        <v/>
      </c>
    </row>
    <row r="148" customFormat="false" ht="15" hidden="false" customHeight="false" outlineLevel="0" collapsed="false">
      <c r="A148" s="10"/>
      <c r="B148" s="10"/>
      <c r="C148" s="10"/>
      <c r="D148" s="10"/>
      <c r="E148" s="9"/>
      <c r="F148" s="10"/>
      <c r="G148" s="30"/>
      <c r="H148" s="9"/>
      <c r="I148" s="10"/>
      <c r="J148" s="30"/>
      <c r="K148" s="9"/>
      <c r="L148" s="10"/>
      <c r="M148" s="30"/>
      <c r="N148" s="9"/>
      <c r="O148" s="9"/>
      <c r="P148" s="30"/>
      <c r="Q148" s="9"/>
      <c r="R148" s="10"/>
      <c r="S148" s="11" t="str">
        <f aca="false">IF(AO148=0,"",IF($H148="","",$F148&amp;" -&gt; "&amp;$I148&amp;IF($I148="Part-Time"," ("&amp;N($J148)&amp;" hrs)","")&amp;" on "&amp;TEXT($H148,"dd/mm/yyyy")&amp;IF($H148&gt;AsOfDate," (FUTURE)","")&amp;IF($K148="","","; "&amp;$I148&amp;" -&gt; "&amp;$L148&amp;IF($L148="Part-Time"," ("&amp;N($M148)&amp;" hrs)","")&amp;" on "&amp;TEXT($K148,"dd/mm/yyyy")&amp;IF($K148&gt;AsOfDate," (FUTURE)",""))))</f>
        <v/>
      </c>
      <c r="T148" s="11" t="str">
        <f aca="false">IF(AO148=0,"",IF(AS148&lt;&gt;"",$L148,IF(AR148&lt;&gt;"",$I148,$F148)))</f>
        <v/>
      </c>
      <c r="U148" s="26" t="str">
        <f aca="false">IF(AO148=0,"",IF(AS148&lt;&gt;"",$M148,IF(AR148&lt;&gt;"",$J148,$G148)))</f>
        <v/>
      </c>
      <c r="V148" s="11" t="str">
        <f aca="false">IF(AO148=0,"",IF(AY148="FT","Full-Time",IF(AY148="PT","Part-Time","Not eligible")))</f>
        <v/>
      </c>
      <c r="W148" s="27" t="str">
        <f aca="false">IF(AO148=0,"",IF(AR148="",IF(AND($H148&lt;&gt;"",$H148&gt;AsOfDate),"Future change - not yet applied",""),IF(AND(AV148=AY148,OR(AS148="",AW148=AV148)),"Type changed - same accrual pathway",IF(AY148="None","STOPPED accruing from "&amp;TEXT(IF(AS148&lt;&gt;"",AS148,AR148),"dd/mm/yyyy"),IF(AV148="None","STARTED qualifying from "&amp;TEXT(IF(AS148&lt;&gt;"",AS148,AR148),"dd/mm/yyyy"),"Pathway changed "&amp;AV148&amp;" -&gt; "&amp;AW148&amp;IF(AS148&lt;&gt;""," -&gt; "&amp;AX148,"")&amp;" from "&amp;TEXT(IF(AS148&lt;&gt;"",AS148,AR148),"dd/mm/yyyy"))))))</f>
        <v/>
      </c>
      <c r="X148" s="28" t="str">
        <f aca="false">IF(AO148=0,"",IF($Q148="",AsOfDate,MIN(AsOfDate,$Q148)))</f>
        <v/>
      </c>
      <c r="Y148" s="26" t="str">
        <f aca="false">IF(AO148=0,"",MAX(0,AQ148))</f>
        <v/>
      </c>
      <c r="Z148" s="11" t="str">
        <f aca="false">IF(AO148=0,"",IF(AQ148&lt;0,"Not started",INT(AQ148/12)&amp;"y "&amp;MOD(AQ148,12)&amp;"m"))</f>
        <v/>
      </c>
      <c r="AA148" s="27" t="str">
        <f aca="false">IF(AO148=0,"",IF(BF148=1,"Terminated - balance forfeited",IF(AY148="None",IF(AB148&gt;0,"No longer accruing - "&amp;T148,"Not eligible - "&amp;T148&amp;IF(AND(IFERROR(VLOOKUP(T148,TypeTable,2,0),"None")="PT",N(U148)&lt;PT_MinHours)," (under "&amp;PT_MinHours&amp;" hrs)","")),IF(AB148&gt;0,"Yes - accruing","Not yet - qualifies "&amp;TEXT(AD148,"dd/mm/yyyy")))))</f>
        <v/>
      </c>
      <c r="AB148" s="26" t="str">
        <f aca="false">IF(AO148=0,"",AZ148+IF(AR148="",0,BB148-BA148)+IF(AS148="",0,BD148-BC148))</f>
        <v/>
      </c>
      <c r="AC148" s="26" t="str">
        <f aca="false">IF(AO148=0,"",AB148*HoursPerDay)</f>
        <v/>
      </c>
      <c r="AD148" s="28" t="str">
        <f aca="false">IF(AO148=0,"",IF(OR(BF148=1,AY148="None"),"",EDATE($E148+AP148,BE148)))</f>
        <v/>
      </c>
      <c r="AE148" s="26" t="str">
        <f aca="false">IF(AD148="","",IF(AY148="PT",1,IF(BE148&lt;FT_Y5,1,IF(MOD(BE148-FT_Y5,12)=0,FT_AnnivDays,1))))</f>
        <v/>
      </c>
      <c r="AF148" s="27" t="str">
        <f aca="false">IF(AO148=0,"",IF(NOT(EH_Ready),"Map headers",IF(IF(MatchMode="Employee ID",COUNTIFS(INDEX(EH_Data,0,EH_ColID),$A148,INDEX(EH_Data,0,EH_ColCat),BonusCat),COUNTIFS(INDEX(EH_Data,0,EH_ColFirst),$B148,INDEX(EH_Data,0,EH_ColSur),$C148,INDEX(EH_Data,0,EH_ColCat),BonusCat))&gt;0,"Yes","No")))</f>
        <v/>
      </c>
      <c r="AG148" s="26" t="str">
        <f aca="false">IF(AO148=0,"",IF(NOT(EH_Ready),"",IF(MatchMode="Employee ID",SUMIFS(INDEX(EH_Data,0,EH_ColBal),INDEX(EH_Data,0,EH_ColID),$A148,INDEX(EH_Data,0,EH_ColCat),BonusCat),SUMIFS(INDEX(EH_Data,0,EH_ColBal),INDEX(EH_Data,0,EH_ColFirst),$B148,INDEX(EH_Data,0,EH_ColSur),$C148,INDEX(EH_Data,0,EH_ColCat),BonusCat))/IF(EHUnit="Hours",HoursPerDay,1)))</f>
        <v/>
      </c>
      <c r="AH148" s="26" t="str">
        <f aca="false">IF(AO148=0,"",IF(NOT(TK_Ready),0,IF(MatchMode="Employee ID",SUMIFS(INDEX(TK_Data,0,TK_ColAmt),INDEX(TK_Data,0,TK_ColID),$A148,INDEX(TK_Data,0,TK_ColCat),BonusCat),SUMIFS(INDEX(TK_Data,0,TK_ColAmt),INDEX(TK_Data,0,TK_ColFirst),$B148,INDEX(TK_Data,0,TK_ColSur),$C148,INDEX(TK_Data,0,TK_ColCat),BonusCat))/IF(TKUnit="Hours",HoursPerDay,1)))</f>
        <v/>
      </c>
      <c r="AI148" s="26" t="str">
        <f aca="false">IF(AO148=0,"",N(AG148)+N(AH148))</f>
        <v/>
      </c>
      <c r="AJ148" s="29" t="str">
        <f aca="false">IF(AO148=0,"",IF(NOT(AND(EH_Ready,EH_ValReady)),"",IF(MatchMode="Employee ID",SUMIFS(INDEX(EH_Data,0,EH_ColVal),INDEX(EH_Data,0,EH_ColID),$A148,INDEX(EH_Data,0,EH_ColCat),BonusCat),SUMIFS(INDEX(EH_Data,0,EH_ColVal),INDEX(EH_Data,0,EH_ColFirst),$B148,INDEX(EH_Data,0,EH_ColSur),$C148,INDEX(EH_Data,0,EH_ColCat),BonusCat))))</f>
        <v/>
      </c>
      <c r="AK148" s="26" t="str">
        <f aca="false">IF(AO148=0,"",IF(OR(NOT(EH_Ready),BF148=1),"",AB148-AI148))</f>
        <v/>
      </c>
      <c r="AL148" s="26" t="str">
        <f aca="false">IF(AK148="","",AK148*HoursPerDay)</f>
        <v/>
      </c>
      <c r="AM148" s="27" t="str">
        <f aca="false">IF(AO148=0,"",IF(BF148=1,IF(N(AG148)&gt;0,"TERMINATED - forfeit "&amp;TEXT(AG148,"0.##")&amp;" days still in EH","Terminated - nothing in EH"),IF(NOT(EH_Ready),"Paste EH export and map headers on Settings",IF(AND(AB148&gt;0,AF148="No"),"SET UP in EH - add "&amp;TEXT(AB148,"0.##")&amp;" day(s) ("&amp;TEXT(AC148,"0.##")&amp;" hrs)",IF(AK148&gt;0,"ADD "&amp;TEXT(AK148,"0.##")&amp;" day(s) ("&amp;TEXT(AL148,"0.##")&amp;" hrs) in EH",IF(AK148&lt;0,"CHECK - EH shows "&amp;TEXT(-AK148,"0.##")&amp;" days more than policy",IF(AB148&gt;0,"OK - up to date",IF(AY148="None","No action - not eligible","No action - not yet qualified"))))))))</f>
        <v/>
      </c>
      <c r="AN148" s="27" t="str">
        <f aca="false">IF(AO148=0,"",TRIM(IF(AND($K148&lt;&gt;"",$H148=""),"Change 2 entered without Change 1. ","")&amp;IF(AND($K148&lt;&gt;"",$H148&lt;&gt;"",$K148&lt;=$H148),"Change 2 date not after Change 1. ","")&amp;IF(AND($N148&lt;&gt;"",$O148&lt;&gt;"",$O148&lt;$N148),"Leave To is before Leave From. ","")&amp;IF(AND($N148&lt;&gt;"",$O148=""),"Leave From entered without Leave To. ","")&amp;IF(AND(IFERROR(VLOOKUP(T148,TypeTable,2,0),"None")="PT",U148=""),"Part-time with no hours entered. ","")&amp;IF(AND($H148&lt;&gt;"",$H148&gt;AsOfDate,AD148&lt;&gt;"",$H148&lt;=AD148),"Status change lands before next accrual - review. ","")&amp;IF(AND($Q148&lt;&gt;"",$Q148&lt;$E148),"Termination before commencement. ","")))</f>
        <v/>
      </c>
      <c r="AO148" s="11" t="n">
        <f aca="false">IF(LEN($A148&amp;$B148&amp;$C148)=0,0,IF($E148="",0,1))</f>
        <v>0</v>
      </c>
      <c r="AP148" s="11" t="str">
        <f aca="false">IF(AO148=0,"",(IF(OR($N148="",$O148=""),0,MAX(0,MIN(X148,$O148)-MAX($N148,$E148)+1))+N($P148)))</f>
        <v/>
      </c>
      <c r="AQ148" s="11" t="str">
        <f aca="false">IF(AO148=0,"",IF(X148&lt;($E148+(IF(OR($N148="",$O148=""),0,MAX(0,MIN(X148,$O148)-MAX($N148,$E148)+1))+N($P148))),-1,12*(YEAR(X148)-YEAR(($E148+(IF(OR($N148="",$O148=""),0,MAX(0,MIN(X148,$O148)-MAX($N148,$E148)+1))+N($P148)))))+MONTH(X148)-MONTH(($E148+(IF(OR($N148="",$O148=""),0,MAX(0,MIN(X148,$O148)-MAX($N148,$E148)+1))+N($P148))))-IF(DAY(X148)&lt;MIN(DAY(($E148+(IF(OR($N148="",$O148=""),0,MAX(0,MIN(X148,$O148)-MAX($N148,$E148)+1))+N($P148)))),DAY(EOMONTH(X148,0))),1,0)))</f>
        <v/>
      </c>
      <c r="AR148" s="28" t="str">
        <f aca="false">IF(AO148=0,"",IF($H148="","",IF($H148&gt;X148,"",$H148)))</f>
        <v/>
      </c>
      <c r="AS148" s="28" t="str">
        <f aca="false">IF(AO148=0,"",IF(AR148="","",IF($K148="","",IF($K148&gt;X148,"",$K148))))</f>
        <v/>
      </c>
      <c r="AT148" s="11" t="str">
        <f aca="false">IF(AO148=0,"",IF(AR148="",AQ148,IF((AR148-1)&lt;($E148+(IF(OR($N148="",$O148=""),0,MAX(0,MIN((AR148-1),$O148)-MAX($N148,$E148)+1))+N($P148))),-1,12*(YEAR((AR148-1))-YEAR(($E148+(IF(OR($N148="",$O148=""),0,MAX(0,MIN((AR148-1),$O148)-MAX($N148,$E148)+1))+N($P148)))))+MONTH((AR148-1))-MONTH(($E148+(IF(OR($N148="",$O148=""),0,MAX(0,MIN((AR148-1),$O148)-MAX($N148,$E148)+1))+N($P148))))-IF(DAY((AR148-1))&lt;MIN(DAY(($E148+(IF(OR($N148="",$O148=""),0,MAX(0,MIN((AR148-1),$O148)-MAX($N148,$E148)+1))+N($P148)))),DAY(EOMONTH((AR148-1),0))),1,0))))</f>
        <v/>
      </c>
      <c r="AU148" s="11" t="str">
        <f aca="false">IF(AO148=0,"",IF(AS148="",AQ148,IF((AS148-1)&lt;($E148+(IF(OR($N148="",$O148=""),0,MAX(0,MIN((AS148-1),$O148)-MAX($N148,$E148)+1))+N($P148))),-1,12*(YEAR((AS148-1))-YEAR(($E148+(IF(OR($N148="",$O148=""),0,MAX(0,MIN((AS148-1),$O148)-MAX($N148,$E148)+1))+N($P148)))))+MONTH((AS148-1))-MONTH(($E148+(IF(OR($N148="",$O148=""),0,MAX(0,MIN((AS148-1),$O148)-MAX($N148,$E148)+1))+N($P148))))-IF(DAY((AS148-1))&lt;MIN(DAY(($E148+(IF(OR($N148="",$O148=""),0,MAX(0,MIN((AS148-1),$O148)-MAX($N148,$E148)+1))+N($P148)))),DAY(EOMONTH((AS148-1),0))),1,0))))</f>
        <v/>
      </c>
      <c r="AV148" s="11" t="str">
        <f aca="false">IF(AO148=0,"",IF($F148="","None",IF(IFERROR(VLOOKUP($F148,TypeTable,2,0),"None")="PT",IF(N($G148)&gt;=PT_MinHours,"PT","None"),IFERROR(VLOOKUP($F148,TypeTable,2,0),"None"))))</f>
        <v/>
      </c>
      <c r="AW148" s="11" t="str">
        <f aca="false">IF(AO148=0,"",IF($I148="","None",IF(IFERROR(VLOOKUP($I148,TypeTable,2,0),"None")="PT",IF(N($J148)&gt;=PT_MinHours,"PT","None"),IFERROR(VLOOKUP($I148,TypeTable,2,0),"None"))))</f>
        <v/>
      </c>
      <c r="AX148" s="11" t="str">
        <f aca="false">IF(AO148=0,"",IF($L148="","None",IF(IFERROR(VLOOKUP($L148,TypeTable,2,0),"None")="PT",IF(N($M148)&gt;=PT_MinHours,"PT","None"),IFERROR(VLOOKUP($L148,TypeTable,2,0),"None"))))</f>
        <v/>
      </c>
      <c r="AY148" s="11" t="str">
        <f aca="false">IF(AO148=0,"",IF(AS148&lt;&gt;"",AX148,IF(AR148&lt;&gt;"",AW148,AV148)))</f>
        <v/>
      </c>
      <c r="AZ148" s="11" t="str">
        <f aca="false">IF(AO148=0,"",IF(AV148="FT",IF(AT148&lt;FT_First,0,IF(AT148&lt;FT_Y5,1+INT((AT148-FT_First)/FT_Int1),FT_PreY5+FT_PerYear*INT((AT148-FT_Y5)/12)+FT_AnnivDays+INT(MOD(AT148-FT_Y5,12)/FT_Int2))),IF(AV148="PT",IF(AT148&lt;PT_First,0,1+INT((AT148-PT_First)/PT_Int)),0)))</f>
        <v/>
      </c>
      <c r="BA148" s="11" t="str">
        <f aca="false">IF(AO148=0,"",IF(AW148="FT",IF(AT148&lt;FT_First,0,IF(AT148&lt;FT_Y5,1+INT((AT148-FT_First)/FT_Int1),FT_PreY5+FT_PerYear*INT((AT148-FT_Y5)/12)+FT_AnnivDays+INT(MOD(AT148-FT_Y5,12)/FT_Int2))),IF(AW148="PT",IF(AT148&lt;PT_First,0,1+INT((AT148-PT_First)/PT_Int)),0)))</f>
        <v/>
      </c>
      <c r="BB148" s="11" t="str">
        <f aca="false">IF(AO148=0,"",IF(AW148="FT",IF(AU148&lt;FT_First,0,IF(AU148&lt;FT_Y5,1+INT((AU148-FT_First)/FT_Int1),FT_PreY5+FT_PerYear*INT((AU148-FT_Y5)/12)+FT_AnnivDays+INT(MOD(AU148-FT_Y5,12)/FT_Int2))),IF(AW148="PT",IF(AU148&lt;PT_First,0,1+INT((AU148-PT_First)/PT_Int)),0)))</f>
        <v/>
      </c>
      <c r="BC148" s="11" t="str">
        <f aca="false">IF(AO148=0,"",IF(AX148="FT",IF(AU148&lt;FT_First,0,IF(AU148&lt;FT_Y5,1+INT((AU148-FT_First)/FT_Int1),FT_PreY5+FT_PerYear*INT((AU148-FT_Y5)/12)+FT_AnnivDays+INT(MOD(AU148-FT_Y5,12)/FT_Int2))),IF(AX148="PT",IF(AU148&lt;PT_First,0,1+INT((AU148-PT_First)/PT_Int)),0)))</f>
        <v/>
      </c>
      <c r="BD148" s="11" t="str">
        <f aca="false">IF(AO148=0,"",IF(AX148="FT",IF(AQ148&lt;FT_First,0,IF(AQ148&lt;FT_Y5,1+INT((AQ148-FT_First)/FT_Int1),FT_PreY5+FT_PerYear*INT((AQ148-FT_Y5)/12)+FT_AnnivDays+INT(MOD(AQ148-FT_Y5,12)/FT_Int2))),IF(AX148="PT",IF(AQ148&lt;PT_First,0,1+INT((AQ148-PT_First)/PT_Int)),0)))</f>
        <v/>
      </c>
      <c r="BE148" s="11" t="str">
        <f aca="false">IF(AO148=0,"",IF(AY148="FT",IF(AQ148&lt;FT_First,FT_First,IF(AQ148&lt;FT_Y5,MIN(FT_Y5,FT_First+FT_Int1*(INT((AQ148-FT_First)/FT_Int1)+1)),FT_Y5+12*INT((AQ148-FT_Y5)/12)+FT_Int2*(INT(MOD(AQ148-FT_Y5,12)/FT_Int2)+1))),IF(AY148="PT",IF(AQ148&lt;PT_First,PT_First,PT_First+PT_Int*(INT((AQ148-PT_First)/PT_Int)+1)),"")))</f>
        <v/>
      </c>
      <c r="BF148" s="11" t="n">
        <f aca="false">IF(AO148=0,0,IF(AND($Q148&lt;&gt;"",$Q148&lt;=AsOfDate),1,0))</f>
        <v>0</v>
      </c>
      <c r="BG148" s="11" t="str">
        <f aca="false">IF(AND(AO148=1,BF148=0,EH_Ready,N(AB148)&gt;0,N(AI148)=0),COUNT($BG$5:BG147)+1,"")</f>
        <v/>
      </c>
      <c r="BH148" s="11" t="str">
        <f aca="false">IF(AND(AO148=1,BF148=0,EH_Ready,N(AB148)&gt;0,N(AI148)&gt;0,N(AK148)&gt;0),COUNT($BH$5:BH147)+1,"")</f>
        <v/>
      </c>
      <c r="BI148" s="11" t="str">
        <f aca="false">IF(AND(AO148=1,OR(LEFT(AM148,3)="ADD",LEFT(AM148,3)="SET",LEFT(AM148,5)="CHECK",LEFT(AM148,10)="TERMINATED")),COUNT($BI$5:BI147)+1,"")</f>
        <v/>
      </c>
      <c r="BJ148" s="11" t="str">
        <f aca="false">IF(AO148=0,"",$A148&amp;" - "&amp;$B148&amp;" "&amp;$C148)</f>
        <v/>
      </c>
    </row>
    <row r="149" customFormat="false" ht="15" hidden="false" customHeight="false" outlineLevel="0" collapsed="false">
      <c r="A149" s="10"/>
      <c r="B149" s="10"/>
      <c r="C149" s="10"/>
      <c r="D149" s="10"/>
      <c r="E149" s="9"/>
      <c r="F149" s="10"/>
      <c r="G149" s="30"/>
      <c r="H149" s="9"/>
      <c r="I149" s="10"/>
      <c r="J149" s="30"/>
      <c r="K149" s="9"/>
      <c r="L149" s="10"/>
      <c r="M149" s="30"/>
      <c r="N149" s="9"/>
      <c r="O149" s="9"/>
      <c r="P149" s="30"/>
      <c r="Q149" s="9"/>
      <c r="R149" s="10"/>
      <c r="S149" s="11" t="str">
        <f aca="false">IF(AO149=0,"",IF($H149="","",$F149&amp;" -&gt; "&amp;$I149&amp;IF($I149="Part-Time"," ("&amp;N($J149)&amp;" hrs)","")&amp;" on "&amp;TEXT($H149,"dd/mm/yyyy")&amp;IF($H149&gt;AsOfDate," (FUTURE)","")&amp;IF($K149="","","; "&amp;$I149&amp;" -&gt; "&amp;$L149&amp;IF($L149="Part-Time"," ("&amp;N($M149)&amp;" hrs)","")&amp;" on "&amp;TEXT($K149,"dd/mm/yyyy")&amp;IF($K149&gt;AsOfDate," (FUTURE)",""))))</f>
        <v/>
      </c>
      <c r="T149" s="11" t="str">
        <f aca="false">IF(AO149=0,"",IF(AS149&lt;&gt;"",$L149,IF(AR149&lt;&gt;"",$I149,$F149)))</f>
        <v/>
      </c>
      <c r="U149" s="26" t="str">
        <f aca="false">IF(AO149=0,"",IF(AS149&lt;&gt;"",$M149,IF(AR149&lt;&gt;"",$J149,$G149)))</f>
        <v/>
      </c>
      <c r="V149" s="11" t="str">
        <f aca="false">IF(AO149=0,"",IF(AY149="FT","Full-Time",IF(AY149="PT","Part-Time","Not eligible")))</f>
        <v/>
      </c>
      <c r="W149" s="27" t="str">
        <f aca="false">IF(AO149=0,"",IF(AR149="",IF(AND($H149&lt;&gt;"",$H149&gt;AsOfDate),"Future change - not yet applied",""),IF(AND(AV149=AY149,OR(AS149="",AW149=AV149)),"Type changed - same accrual pathway",IF(AY149="None","STOPPED accruing from "&amp;TEXT(IF(AS149&lt;&gt;"",AS149,AR149),"dd/mm/yyyy"),IF(AV149="None","STARTED qualifying from "&amp;TEXT(IF(AS149&lt;&gt;"",AS149,AR149),"dd/mm/yyyy"),"Pathway changed "&amp;AV149&amp;" -&gt; "&amp;AW149&amp;IF(AS149&lt;&gt;""," -&gt; "&amp;AX149,"")&amp;" from "&amp;TEXT(IF(AS149&lt;&gt;"",AS149,AR149),"dd/mm/yyyy"))))))</f>
        <v/>
      </c>
      <c r="X149" s="28" t="str">
        <f aca="false">IF(AO149=0,"",IF($Q149="",AsOfDate,MIN(AsOfDate,$Q149)))</f>
        <v/>
      </c>
      <c r="Y149" s="26" t="str">
        <f aca="false">IF(AO149=0,"",MAX(0,AQ149))</f>
        <v/>
      </c>
      <c r="Z149" s="11" t="str">
        <f aca="false">IF(AO149=0,"",IF(AQ149&lt;0,"Not started",INT(AQ149/12)&amp;"y "&amp;MOD(AQ149,12)&amp;"m"))</f>
        <v/>
      </c>
      <c r="AA149" s="27" t="str">
        <f aca="false">IF(AO149=0,"",IF(BF149=1,"Terminated - balance forfeited",IF(AY149="None",IF(AB149&gt;0,"No longer accruing - "&amp;T149,"Not eligible - "&amp;T149&amp;IF(AND(IFERROR(VLOOKUP(T149,TypeTable,2,0),"None")="PT",N(U149)&lt;PT_MinHours)," (under "&amp;PT_MinHours&amp;" hrs)","")),IF(AB149&gt;0,"Yes - accruing","Not yet - qualifies "&amp;TEXT(AD149,"dd/mm/yyyy")))))</f>
        <v/>
      </c>
      <c r="AB149" s="26" t="str">
        <f aca="false">IF(AO149=0,"",AZ149+IF(AR149="",0,BB149-BA149)+IF(AS149="",0,BD149-BC149))</f>
        <v/>
      </c>
      <c r="AC149" s="26" t="str">
        <f aca="false">IF(AO149=0,"",AB149*HoursPerDay)</f>
        <v/>
      </c>
      <c r="AD149" s="28" t="str">
        <f aca="false">IF(AO149=0,"",IF(OR(BF149=1,AY149="None"),"",EDATE($E149+AP149,BE149)))</f>
        <v/>
      </c>
      <c r="AE149" s="26" t="str">
        <f aca="false">IF(AD149="","",IF(AY149="PT",1,IF(BE149&lt;FT_Y5,1,IF(MOD(BE149-FT_Y5,12)=0,FT_AnnivDays,1))))</f>
        <v/>
      </c>
      <c r="AF149" s="27" t="str">
        <f aca="false">IF(AO149=0,"",IF(NOT(EH_Ready),"Map headers",IF(IF(MatchMode="Employee ID",COUNTIFS(INDEX(EH_Data,0,EH_ColID),$A149,INDEX(EH_Data,0,EH_ColCat),BonusCat),COUNTIFS(INDEX(EH_Data,0,EH_ColFirst),$B149,INDEX(EH_Data,0,EH_ColSur),$C149,INDEX(EH_Data,0,EH_ColCat),BonusCat))&gt;0,"Yes","No")))</f>
        <v/>
      </c>
      <c r="AG149" s="26" t="str">
        <f aca="false">IF(AO149=0,"",IF(NOT(EH_Ready),"",IF(MatchMode="Employee ID",SUMIFS(INDEX(EH_Data,0,EH_ColBal),INDEX(EH_Data,0,EH_ColID),$A149,INDEX(EH_Data,0,EH_ColCat),BonusCat),SUMIFS(INDEX(EH_Data,0,EH_ColBal),INDEX(EH_Data,0,EH_ColFirst),$B149,INDEX(EH_Data,0,EH_ColSur),$C149,INDEX(EH_Data,0,EH_ColCat),BonusCat))/IF(EHUnit="Hours",HoursPerDay,1)))</f>
        <v/>
      </c>
      <c r="AH149" s="26" t="str">
        <f aca="false">IF(AO149=0,"",IF(NOT(TK_Ready),0,IF(MatchMode="Employee ID",SUMIFS(INDEX(TK_Data,0,TK_ColAmt),INDEX(TK_Data,0,TK_ColID),$A149,INDEX(TK_Data,0,TK_ColCat),BonusCat),SUMIFS(INDEX(TK_Data,0,TK_ColAmt),INDEX(TK_Data,0,TK_ColFirst),$B149,INDEX(TK_Data,0,TK_ColSur),$C149,INDEX(TK_Data,0,TK_ColCat),BonusCat))/IF(TKUnit="Hours",HoursPerDay,1)))</f>
        <v/>
      </c>
      <c r="AI149" s="26" t="str">
        <f aca="false">IF(AO149=0,"",N(AG149)+N(AH149))</f>
        <v/>
      </c>
      <c r="AJ149" s="29" t="str">
        <f aca="false">IF(AO149=0,"",IF(NOT(AND(EH_Ready,EH_ValReady)),"",IF(MatchMode="Employee ID",SUMIFS(INDEX(EH_Data,0,EH_ColVal),INDEX(EH_Data,0,EH_ColID),$A149,INDEX(EH_Data,0,EH_ColCat),BonusCat),SUMIFS(INDEX(EH_Data,0,EH_ColVal),INDEX(EH_Data,0,EH_ColFirst),$B149,INDEX(EH_Data,0,EH_ColSur),$C149,INDEX(EH_Data,0,EH_ColCat),BonusCat))))</f>
        <v/>
      </c>
      <c r="AK149" s="26" t="str">
        <f aca="false">IF(AO149=0,"",IF(OR(NOT(EH_Ready),BF149=1),"",AB149-AI149))</f>
        <v/>
      </c>
      <c r="AL149" s="26" t="str">
        <f aca="false">IF(AK149="","",AK149*HoursPerDay)</f>
        <v/>
      </c>
      <c r="AM149" s="27" t="str">
        <f aca="false">IF(AO149=0,"",IF(BF149=1,IF(N(AG149)&gt;0,"TERMINATED - forfeit "&amp;TEXT(AG149,"0.##")&amp;" days still in EH","Terminated - nothing in EH"),IF(NOT(EH_Ready),"Paste EH export and map headers on Settings",IF(AND(AB149&gt;0,AF149="No"),"SET UP in EH - add "&amp;TEXT(AB149,"0.##")&amp;" day(s) ("&amp;TEXT(AC149,"0.##")&amp;" hrs)",IF(AK149&gt;0,"ADD "&amp;TEXT(AK149,"0.##")&amp;" day(s) ("&amp;TEXT(AL149,"0.##")&amp;" hrs) in EH",IF(AK149&lt;0,"CHECK - EH shows "&amp;TEXT(-AK149,"0.##")&amp;" days more than policy",IF(AB149&gt;0,"OK - up to date",IF(AY149="None","No action - not eligible","No action - not yet qualified"))))))))</f>
        <v/>
      </c>
      <c r="AN149" s="27" t="str">
        <f aca="false">IF(AO149=0,"",TRIM(IF(AND($K149&lt;&gt;"",$H149=""),"Change 2 entered without Change 1. ","")&amp;IF(AND($K149&lt;&gt;"",$H149&lt;&gt;"",$K149&lt;=$H149),"Change 2 date not after Change 1. ","")&amp;IF(AND($N149&lt;&gt;"",$O149&lt;&gt;"",$O149&lt;$N149),"Leave To is before Leave From. ","")&amp;IF(AND($N149&lt;&gt;"",$O149=""),"Leave From entered without Leave To. ","")&amp;IF(AND(IFERROR(VLOOKUP(T149,TypeTable,2,0),"None")="PT",U149=""),"Part-time with no hours entered. ","")&amp;IF(AND($H149&lt;&gt;"",$H149&gt;AsOfDate,AD149&lt;&gt;"",$H149&lt;=AD149),"Status change lands before next accrual - review. ","")&amp;IF(AND($Q149&lt;&gt;"",$Q149&lt;$E149),"Termination before commencement. ","")))</f>
        <v/>
      </c>
      <c r="AO149" s="11" t="n">
        <f aca="false">IF(LEN($A149&amp;$B149&amp;$C149)=0,0,IF($E149="",0,1))</f>
        <v>0</v>
      </c>
      <c r="AP149" s="11" t="str">
        <f aca="false">IF(AO149=0,"",(IF(OR($N149="",$O149=""),0,MAX(0,MIN(X149,$O149)-MAX($N149,$E149)+1))+N($P149)))</f>
        <v/>
      </c>
      <c r="AQ149" s="11" t="str">
        <f aca="false">IF(AO149=0,"",IF(X149&lt;($E149+(IF(OR($N149="",$O149=""),0,MAX(0,MIN(X149,$O149)-MAX($N149,$E149)+1))+N($P149))),-1,12*(YEAR(X149)-YEAR(($E149+(IF(OR($N149="",$O149=""),0,MAX(0,MIN(X149,$O149)-MAX($N149,$E149)+1))+N($P149)))))+MONTH(X149)-MONTH(($E149+(IF(OR($N149="",$O149=""),0,MAX(0,MIN(X149,$O149)-MAX($N149,$E149)+1))+N($P149))))-IF(DAY(X149)&lt;MIN(DAY(($E149+(IF(OR($N149="",$O149=""),0,MAX(0,MIN(X149,$O149)-MAX($N149,$E149)+1))+N($P149)))),DAY(EOMONTH(X149,0))),1,0)))</f>
        <v/>
      </c>
      <c r="AR149" s="28" t="str">
        <f aca="false">IF(AO149=0,"",IF($H149="","",IF($H149&gt;X149,"",$H149)))</f>
        <v/>
      </c>
      <c r="AS149" s="28" t="str">
        <f aca="false">IF(AO149=0,"",IF(AR149="","",IF($K149="","",IF($K149&gt;X149,"",$K149))))</f>
        <v/>
      </c>
      <c r="AT149" s="11" t="str">
        <f aca="false">IF(AO149=0,"",IF(AR149="",AQ149,IF((AR149-1)&lt;($E149+(IF(OR($N149="",$O149=""),0,MAX(0,MIN((AR149-1),$O149)-MAX($N149,$E149)+1))+N($P149))),-1,12*(YEAR((AR149-1))-YEAR(($E149+(IF(OR($N149="",$O149=""),0,MAX(0,MIN((AR149-1),$O149)-MAX($N149,$E149)+1))+N($P149)))))+MONTH((AR149-1))-MONTH(($E149+(IF(OR($N149="",$O149=""),0,MAX(0,MIN((AR149-1),$O149)-MAX($N149,$E149)+1))+N($P149))))-IF(DAY((AR149-1))&lt;MIN(DAY(($E149+(IF(OR($N149="",$O149=""),0,MAX(0,MIN((AR149-1),$O149)-MAX($N149,$E149)+1))+N($P149)))),DAY(EOMONTH((AR149-1),0))),1,0))))</f>
        <v/>
      </c>
      <c r="AU149" s="11" t="str">
        <f aca="false">IF(AO149=0,"",IF(AS149="",AQ149,IF((AS149-1)&lt;($E149+(IF(OR($N149="",$O149=""),0,MAX(0,MIN((AS149-1),$O149)-MAX($N149,$E149)+1))+N($P149))),-1,12*(YEAR((AS149-1))-YEAR(($E149+(IF(OR($N149="",$O149=""),0,MAX(0,MIN((AS149-1),$O149)-MAX($N149,$E149)+1))+N($P149)))))+MONTH((AS149-1))-MONTH(($E149+(IF(OR($N149="",$O149=""),0,MAX(0,MIN((AS149-1),$O149)-MAX($N149,$E149)+1))+N($P149))))-IF(DAY((AS149-1))&lt;MIN(DAY(($E149+(IF(OR($N149="",$O149=""),0,MAX(0,MIN((AS149-1),$O149)-MAX($N149,$E149)+1))+N($P149)))),DAY(EOMONTH((AS149-1),0))),1,0))))</f>
        <v/>
      </c>
      <c r="AV149" s="11" t="str">
        <f aca="false">IF(AO149=0,"",IF($F149="","None",IF(IFERROR(VLOOKUP($F149,TypeTable,2,0),"None")="PT",IF(N($G149)&gt;=PT_MinHours,"PT","None"),IFERROR(VLOOKUP($F149,TypeTable,2,0),"None"))))</f>
        <v/>
      </c>
      <c r="AW149" s="11" t="str">
        <f aca="false">IF(AO149=0,"",IF($I149="","None",IF(IFERROR(VLOOKUP($I149,TypeTable,2,0),"None")="PT",IF(N($J149)&gt;=PT_MinHours,"PT","None"),IFERROR(VLOOKUP($I149,TypeTable,2,0),"None"))))</f>
        <v/>
      </c>
      <c r="AX149" s="11" t="str">
        <f aca="false">IF(AO149=0,"",IF($L149="","None",IF(IFERROR(VLOOKUP($L149,TypeTable,2,0),"None")="PT",IF(N($M149)&gt;=PT_MinHours,"PT","None"),IFERROR(VLOOKUP($L149,TypeTable,2,0),"None"))))</f>
        <v/>
      </c>
      <c r="AY149" s="11" t="str">
        <f aca="false">IF(AO149=0,"",IF(AS149&lt;&gt;"",AX149,IF(AR149&lt;&gt;"",AW149,AV149)))</f>
        <v/>
      </c>
      <c r="AZ149" s="11" t="str">
        <f aca="false">IF(AO149=0,"",IF(AV149="FT",IF(AT149&lt;FT_First,0,IF(AT149&lt;FT_Y5,1+INT((AT149-FT_First)/FT_Int1),FT_PreY5+FT_PerYear*INT((AT149-FT_Y5)/12)+FT_AnnivDays+INT(MOD(AT149-FT_Y5,12)/FT_Int2))),IF(AV149="PT",IF(AT149&lt;PT_First,0,1+INT((AT149-PT_First)/PT_Int)),0)))</f>
        <v/>
      </c>
      <c r="BA149" s="11" t="str">
        <f aca="false">IF(AO149=0,"",IF(AW149="FT",IF(AT149&lt;FT_First,0,IF(AT149&lt;FT_Y5,1+INT((AT149-FT_First)/FT_Int1),FT_PreY5+FT_PerYear*INT((AT149-FT_Y5)/12)+FT_AnnivDays+INT(MOD(AT149-FT_Y5,12)/FT_Int2))),IF(AW149="PT",IF(AT149&lt;PT_First,0,1+INT((AT149-PT_First)/PT_Int)),0)))</f>
        <v/>
      </c>
      <c r="BB149" s="11" t="str">
        <f aca="false">IF(AO149=0,"",IF(AW149="FT",IF(AU149&lt;FT_First,0,IF(AU149&lt;FT_Y5,1+INT((AU149-FT_First)/FT_Int1),FT_PreY5+FT_PerYear*INT((AU149-FT_Y5)/12)+FT_AnnivDays+INT(MOD(AU149-FT_Y5,12)/FT_Int2))),IF(AW149="PT",IF(AU149&lt;PT_First,0,1+INT((AU149-PT_First)/PT_Int)),0)))</f>
        <v/>
      </c>
      <c r="BC149" s="11" t="str">
        <f aca="false">IF(AO149=0,"",IF(AX149="FT",IF(AU149&lt;FT_First,0,IF(AU149&lt;FT_Y5,1+INT((AU149-FT_First)/FT_Int1),FT_PreY5+FT_PerYear*INT((AU149-FT_Y5)/12)+FT_AnnivDays+INT(MOD(AU149-FT_Y5,12)/FT_Int2))),IF(AX149="PT",IF(AU149&lt;PT_First,0,1+INT((AU149-PT_First)/PT_Int)),0)))</f>
        <v/>
      </c>
      <c r="BD149" s="11" t="str">
        <f aca="false">IF(AO149=0,"",IF(AX149="FT",IF(AQ149&lt;FT_First,0,IF(AQ149&lt;FT_Y5,1+INT((AQ149-FT_First)/FT_Int1),FT_PreY5+FT_PerYear*INT((AQ149-FT_Y5)/12)+FT_AnnivDays+INT(MOD(AQ149-FT_Y5,12)/FT_Int2))),IF(AX149="PT",IF(AQ149&lt;PT_First,0,1+INT((AQ149-PT_First)/PT_Int)),0)))</f>
        <v/>
      </c>
      <c r="BE149" s="11" t="str">
        <f aca="false">IF(AO149=0,"",IF(AY149="FT",IF(AQ149&lt;FT_First,FT_First,IF(AQ149&lt;FT_Y5,MIN(FT_Y5,FT_First+FT_Int1*(INT((AQ149-FT_First)/FT_Int1)+1)),FT_Y5+12*INT((AQ149-FT_Y5)/12)+FT_Int2*(INT(MOD(AQ149-FT_Y5,12)/FT_Int2)+1))),IF(AY149="PT",IF(AQ149&lt;PT_First,PT_First,PT_First+PT_Int*(INT((AQ149-PT_First)/PT_Int)+1)),"")))</f>
        <v/>
      </c>
      <c r="BF149" s="11" t="n">
        <f aca="false">IF(AO149=0,0,IF(AND($Q149&lt;&gt;"",$Q149&lt;=AsOfDate),1,0))</f>
        <v>0</v>
      </c>
      <c r="BG149" s="11" t="str">
        <f aca="false">IF(AND(AO149=1,BF149=0,EH_Ready,N(AB149)&gt;0,N(AI149)=0),COUNT($BG$5:BG148)+1,"")</f>
        <v/>
      </c>
      <c r="BH149" s="11" t="str">
        <f aca="false">IF(AND(AO149=1,BF149=0,EH_Ready,N(AB149)&gt;0,N(AI149)&gt;0,N(AK149)&gt;0),COUNT($BH$5:BH148)+1,"")</f>
        <v/>
      </c>
      <c r="BI149" s="11" t="str">
        <f aca="false">IF(AND(AO149=1,OR(LEFT(AM149,3)="ADD",LEFT(AM149,3)="SET",LEFT(AM149,5)="CHECK",LEFT(AM149,10)="TERMINATED")),COUNT($BI$5:BI148)+1,"")</f>
        <v/>
      </c>
      <c r="BJ149" s="11" t="str">
        <f aca="false">IF(AO149=0,"",$A149&amp;" - "&amp;$B149&amp;" "&amp;$C149)</f>
        <v/>
      </c>
    </row>
    <row r="150" customFormat="false" ht="15" hidden="false" customHeight="false" outlineLevel="0" collapsed="false">
      <c r="A150" s="10"/>
      <c r="B150" s="10"/>
      <c r="C150" s="10"/>
      <c r="D150" s="10"/>
      <c r="E150" s="9"/>
      <c r="F150" s="10"/>
      <c r="G150" s="30"/>
      <c r="H150" s="9"/>
      <c r="I150" s="10"/>
      <c r="J150" s="30"/>
      <c r="K150" s="9"/>
      <c r="L150" s="10"/>
      <c r="M150" s="30"/>
      <c r="N150" s="9"/>
      <c r="O150" s="9"/>
      <c r="P150" s="30"/>
      <c r="Q150" s="9"/>
      <c r="R150" s="10"/>
      <c r="S150" s="11" t="str">
        <f aca="false">IF(AO150=0,"",IF($H150="","",$F150&amp;" -&gt; "&amp;$I150&amp;IF($I150="Part-Time"," ("&amp;N($J150)&amp;" hrs)","")&amp;" on "&amp;TEXT($H150,"dd/mm/yyyy")&amp;IF($H150&gt;AsOfDate," (FUTURE)","")&amp;IF($K150="","","; "&amp;$I150&amp;" -&gt; "&amp;$L150&amp;IF($L150="Part-Time"," ("&amp;N($M150)&amp;" hrs)","")&amp;" on "&amp;TEXT($K150,"dd/mm/yyyy")&amp;IF($K150&gt;AsOfDate," (FUTURE)",""))))</f>
        <v/>
      </c>
      <c r="T150" s="11" t="str">
        <f aca="false">IF(AO150=0,"",IF(AS150&lt;&gt;"",$L150,IF(AR150&lt;&gt;"",$I150,$F150)))</f>
        <v/>
      </c>
      <c r="U150" s="26" t="str">
        <f aca="false">IF(AO150=0,"",IF(AS150&lt;&gt;"",$M150,IF(AR150&lt;&gt;"",$J150,$G150)))</f>
        <v/>
      </c>
      <c r="V150" s="11" t="str">
        <f aca="false">IF(AO150=0,"",IF(AY150="FT","Full-Time",IF(AY150="PT","Part-Time","Not eligible")))</f>
        <v/>
      </c>
      <c r="W150" s="27" t="str">
        <f aca="false">IF(AO150=0,"",IF(AR150="",IF(AND($H150&lt;&gt;"",$H150&gt;AsOfDate),"Future change - not yet applied",""),IF(AND(AV150=AY150,OR(AS150="",AW150=AV150)),"Type changed - same accrual pathway",IF(AY150="None","STOPPED accruing from "&amp;TEXT(IF(AS150&lt;&gt;"",AS150,AR150),"dd/mm/yyyy"),IF(AV150="None","STARTED qualifying from "&amp;TEXT(IF(AS150&lt;&gt;"",AS150,AR150),"dd/mm/yyyy"),"Pathway changed "&amp;AV150&amp;" -&gt; "&amp;AW150&amp;IF(AS150&lt;&gt;""," -&gt; "&amp;AX150,"")&amp;" from "&amp;TEXT(IF(AS150&lt;&gt;"",AS150,AR150),"dd/mm/yyyy"))))))</f>
        <v/>
      </c>
      <c r="X150" s="28" t="str">
        <f aca="false">IF(AO150=0,"",IF($Q150="",AsOfDate,MIN(AsOfDate,$Q150)))</f>
        <v/>
      </c>
      <c r="Y150" s="26" t="str">
        <f aca="false">IF(AO150=0,"",MAX(0,AQ150))</f>
        <v/>
      </c>
      <c r="Z150" s="11" t="str">
        <f aca="false">IF(AO150=0,"",IF(AQ150&lt;0,"Not started",INT(AQ150/12)&amp;"y "&amp;MOD(AQ150,12)&amp;"m"))</f>
        <v/>
      </c>
      <c r="AA150" s="27" t="str">
        <f aca="false">IF(AO150=0,"",IF(BF150=1,"Terminated - balance forfeited",IF(AY150="None",IF(AB150&gt;0,"No longer accruing - "&amp;T150,"Not eligible - "&amp;T150&amp;IF(AND(IFERROR(VLOOKUP(T150,TypeTable,2,0),"None")="PT",N(U150)&lt;PT_MinHours)," (under "&amp;PT_MinHours&amp;" hrs)","")),IF(AB150&gt;0,"Yes - accruing","Not yet - qualifies "&amp;TEXT(AD150,"dd/mm/yyyy")))))</f>
        <v/>
      </c>
      <c r="AB150" s="26" t="str">
        <f aca="false">IF(AO150=0,"",AZ150+IF(AR150="",0,BB150-BA150)+IF(AS150="",0,BD150-BC150))</f>
        <v/>
      </c>
      <c r="AC150" s="26" t="str">
        <f aca="false">IF(AO150=0,"",AB150*HoursPerDay)</f>
        <v/>
      </c>
      <c r="AD150" s="28" t="str">
        <f aca="false">IF(AO150=0,"",IF(OR(BF150=1,AY150="None"),"",EDATE($E150+AP150,BE150)))</f>
        <v/>
      </c>
      <c r="AE150" s="26" t="str">
        <f aca="false">IF(AD150="","",IF(AY150="PT",1,IF(BE150&lt;FT_Y5,1,IF(MOD(BE150-FT_Y5,12)=0,FT_AnnivDays,1))))</f>
        <v/>
      </c>
      <c r="AF150" s="27" t="str">
        <f aca="false">IF(AO150=0,"",IF(NOT(EH_Ready),"Map headers",IF(IF(MatchMode="Employee ID",COUNTIFS(INDEX(EH_Data,0,EH_ColID),$A150,INDEX(EH_Data,0,EH_ColCat),BonusCat),COUNTIFS(INDEX(EH_Data,0,EH_ColFirst),$B150,INDEX(EH_Data,0,EH_ColSur),$C150,INDEX(EH_Data,0,EH_ColCat),BonusCat))&gt;0,"Yes","No")))</f>
        <v/>
      </c>
      <c r="AG150" s="26" t="str">
        <f aca="false">IF(AO150=0,"",IF(NOT(EH_Ready),"",IF(MatchMode="Employee ID",SUMIFS(INDEX(EH_Data,0,EH_ColBal),INDEX(EH_Data,0,EH_ColID),$A150,INDEX(EH_Data,0,EH_ColCat),BonusCat),SUMIFS(INDEX(EH_Data,0,EH_ColBal),INDEX(EH_Data,0,EH_ColFirst),$B150,INDEX(EH_Data,0,EH_ColSur),$C150,INDEX(EH_Data,0,EH_ColCat),BonusCat))/IF(EHUnit="Hours",HoursPerDay,1)))</f>
        <v/>
      </c>
      <c r="AH150" s="26" t="str">
        <f aca="false">IF(AO150=0,"",IF(NOT(TK_Ready),0,IF(MatchMode="Employee ID",SUMIFS(INDEX(TK_Data,0,TK_ColAmt),INDEX(TK_Data,0,TK_ColID),$A150,INDEX(TK_Data,0,TK_ColCat),BonusCat),SUMIFS(INDEX(TK_Data,0,TK_ColAmt),INDEX(TK_Data,0,TK_ColFirst),$B150,INDEX(TK_Data,0,TK_ColSur),$C150,INDEX(TK_Data,0,TK_ColCat),BonusCat))/IF(TKUnit="Hours",HoursPerDay,1)))</f>
        <v/>
      </c>
      <c r="AI150" s="26" t="str">
        <f aca="false">IF(AO150=0,"",N(AG150)+N(AH150))</f>
        <v/>
      </c>
      <c r="AJ150" s="29" t="str">
        <f aca="false">IF(AO150=0,"",IF(NOT(AND(EH_Ready,EH_ValReady)),"",IF(MatchMode="Employee ID",SUMIFS(INDEX(EH_Data,0,EH_ColVal),INDEX(EH_Data,0,EH_ColID),$A150,INDEX(EH_Data,0,EH_ColCat),BonusCat),SUMIFS(INDEX(EH_Data,0,EH_ColVal),INDEX(EH_Data,0,EH_ColFirst),$B150,INDEX(EH_Data,0,EH_ColSur),$C150,INDEX(EH_Data,0,EH_ColCat),BonusCat))))</f>
        <v/>
      </c>
      <c r="AK150" s="26" t="str">
        <f aca="false">IF(AO150=0,"",IF(OR(NOT(EH_Ready),BF150=1),"",AB150-AI150))</f>
        <v/>
      </c>
      <c r="AL150" s="26" t="str">
        <f aca="false">IF(AK150="","",AK150*HoursPerDay)</f>
        <v/>
      </c>
      <c r="AM150" s="27" t="str">
        <f aca="false">IF(AO150=0,"",IF(BF150=1,IF(N(AG150)&gt;0,"TERMINATED - forfeit "&amp;TEXT(AG150,"0.##")&amp;" days still in EH","Terminated - nothing in EH"),IF(NOT(EH_Ready),"Paste EH export and map headers on Settings",IF(AND(AB150&gt;0,AF150="No"),"SET UP in EH - add "&amp;TEXT(AB150,"0.##")&amp;" day(s) ("&amp;TEXT(AC150,"0.##")&amp;" hrs)",IF(AK150&gt;0,"ADD "&amp;TEXT(AK150,"0.##")&amp;" day(s) ("&amp;TEXT(AL150,"0.##")&amp;" hrs) in EH",IF(AK150&lt;0,"CHECK - EH shows "&amp;TEXT(-AK150,"0.##")&amp;" days more than policy",IF(AB150&gt;0,"OK - up to date",IF(AY150="None","No action - not eligible","No action - not yet qualified"))))))))</f>
        <v/>
      </c>
      <c r="AN150" s="27" t="str">
        <f aca="false">IF(AO150=0,"",TRIM(IF(AND($K150&lt;&gt;"",$H150=""),"Change 2 entered without Change 1. ","")&amp;IF(AND($K150&lt;&gt;"",$H150&lt;&gt;"",$K150&lt;=$H150),"Change 2 date not after Change 1. ","")&amp;IF(AND($N150&lt;&gt;"",$O150&lt;&gt;"",$O150&lt;$N150),"Leave To is before Leave From. ","")&amp;IF(AND($N150&lt;&gt;"",$O150=""),"Leave From entered without Leave To. ","")&amp;IF(AND(IFERROR(VLOOKUP(T150,TypeTable,2,0),"None")="PT",U150=""),"Part-time with no hours entered. ","")&amp;IF(AND($H150&lt;&gt;"",$H150&gt;AsOfDate,AD150&lt;&gt;"",$H150&lt;=AD150),"Status change lands before next accrual - review. ","")&amp;IF(AND($Q150&lt;&gt;"",$Q150&lt;$E150),"Termination before commencement. ","")))</f>
        <v/>
      </c>
      <c r="AO150" s="11" t="n">
        <f aca="false">IF(LEN($A150&amp;$B150&amp;$C150)=0,0,IF($E150="",0,1))</f>
        <v>0</v>
      </c>
      <c r="AP150" s="11" t="str">
        <f aca="false">IF(AO150=0,"",(IF(OR($N150="",$O150=""),0,MAX(0,MIN(X150,$O150)-MAX($N150,$E150)+1))+N($P150)))</f>
        <v/>
      </c>
      <c r="AQ150" s="11" t="str">
        <f aca="false">IF(AO150=0,"",IF(X150&lt;($E150+(IF(OR($N150="",$O150=""),0,MAX(0,MIN(X150,$O150)-MAX($N150,$E150)+1))+N($P150))),-1,12*(YEAR(X150)-YEAR(($E150+(IF(OR($N150="",$O150=""),0,MAX(0,MIN(X150,$O150)-MAX($N150,$E150)+1))+N($P150)))))+MONTH(X150)-MONTH(($E150+(IF(OR($N150="",$O150=""),0,MAX(0,MIN(X150,$O150)-MAX($N150,$E150)+1))+N($P150))))-IF(DAY(X150)&lt;MIN(DAY(($E150+(IF(OR($N150="",$O150=""),0,MAX(0,MIN(X150,$O150)-MAX($N150,$E150)+1))+N($P150)))),DAY(EOMONTH(X150,0))),1,0)))</f>
        <v/>
      </c>
      <c r="AR150" s="28" t="str">
        <f aca="false">IF(AO150=0,"",IF($H150="","",IF($H150&gt;X150,"",$H150)))</f>
        <v/>
      </c>
      <c r="AS150" s="28" t="str">
        <f aca="false">IF(AO150=0,"",IF(AR150="","",IF($K150="","",IF($K150&gt;X150,"",$K150))))</f>
        <v/>
      </c>
      <c r="AT150" s="11" t="str">
        <f aca="false">IF(AO150=0,"",IF(AR150="",AQ150,IF((AR150-1)&lt;($E150+(IF(OR($N150="",$O150=""),0,MAX(0,MIN((AR150-1),$O150)-MAX($N150,$E150)+1))+N($P150))),-1,12*(YEAR((AR150-1))-YEAR(($E150+(IF(OR($N150="",$O150=""),0,MAX(0,MIN((AR150-1),$O150)-MAX($N150,$E150)+1))+N($P150)))))+MONTH((AR150-1))-MONTH(($E150+(IF(OR($N150="",$O150=""),0,MAX(0,MIN((AR150-1),$O150)-MAX($N150,$E150)+1))+N($P150))))-IF(DAY((AR150-1))&lt;MIN(DAY(($E150+(IF(OR($N150="",$O150=""),0,MAX(0,MIN((AR150-1),$O150)-MAX($N150,$E150)+1))+N($P150)))),DAY(EOMONTH((AR150-1),0))),1,0))))</f>
        <v/>
      </c>
      <c r="AU150" s="11" t="str">
        <f aca="false">IF(AO150=0,"",IF(AS150="",AQ150,IF((AS150-1)&lt;($E150+(IF(OR($N150="",$O150=""),0,MAX(0,MIN((AS150-1),$O150)-MAX($N150,$E150)+1))+N($P150))),-1,12*(YEAR((AS150-1))-YEAR(($E150+(IF(OR($N150="",$O150=""),0,MAX(0,MIN((AS150-1),$O150)-MAX($N150,$E150)+1))+N($P150)))))+MONTH((AS150-1))-MONTH(($E150+(IF(OR($N150="",$O150=""),0,MAX(0,MIN((AS150-1),$O150)-MAX($N150,$E150)+1))+N($P150))))-IF(DAY((AS150-1))&lt;MIN(DAY(($E150+(IF(OR($N150="",$O150=""),0,MAX(0,MIN((AS150-1),$O150)-MAX($N150,$E150)+1))+N($P150)))),DAY(EOMONTH((AS150-1),0))),1,0))))</f>
        <v/>
      </c>
      <c r="AV150" s="11" t="str">
        <f aca="false">IF(AO150=0,"",IF($F150="","None",IF(IFERROR(VLOOKUP($F150,TypeTable,2,0),"None")="PT",IF(N($G150)&gt;=PT_MinHours,"PT","None"),IFERROR(VLOOKUP($F150,TypeTable,2,0),"None"))))</f>
        <v/>
      </c>
      <c r="AW150" s="11" t="str">
        <f aca="false">IF(AO150=0,"",IF($I150="","None",IF(IFERROR(VLOOKUP($I150,TypeTable,2,0),"None")="PT",IF(N($J150)&gt;=PT_MinHours,"PT","None"),IFERROR(VLOOKUP($I150,TypeTable,2,0),"None"))))</f>
        <v/>
      </c>
      <c r="AX150" s="11" t="str">
        <f aca="false">IF(AO150=0,"",IF($L150="","None",IF(IFERROR(VLOOKUP($L150,TypeTable,2,0),"None")="PT",IF(N($M150)&gt;=PT_MinHours,"PT","None"),IFERROR(VLOOKUP($L150,TypeTable,2,0),"None"))))</f>
        <v/>
      </c>
      <c r="AY150" s="11" t="str">
        <f aca="false">IF(AO150=0,"",IF(AS150&lt;&gt;"",AX150,IF(AR150&lt;&gt;"",AW150,AV150)))</f>
        <v/>
      </c>
      <c r="AZ150" s="11" t="str">
        <f aca="false">IF(AO150=0,"",IF(AV150="FT",IF(AT150&lt;FT_First,0,IF(AT150&lt;FT_Y5,1+INT((AT150-FT_First)/FT_Int1),FT_PreY5+FT_PerYear*INT((AT150-FT_Y5)/12)+FT_AnnivDays+INT(MOD(AT150-FT_Y5,12)/FT_Int2))),IF(AV150="PT",IF(AT150&lt;PT_First,0,1+INT((AT150-PT_First)/PT_Int)),0)))</f>
        <v/>
      </c>
      <c r="BA150" s="11" t="str">
        <f aca="false">IF(AO150=0,"",IF(AW150="FT",IF(AT150&lt;FT_First,0,IF(AT150&lt;FT_Y5,1+INT((AT150-FT_First)/FT_Int1),FT_PreY5+FT_PerYear*INT((AT150-FT_Y5)/12)+FT_AnnivDays+INT(MOD(AT150-FT_Y5,12)/FT_Int2))),IF(AW150="PT",IF(AT150&lt;PT_First,0,1+INT((AT150-PT_First)/PT_Int)),0)))</f>
        <v/>
      </c>
      <c r="BB150" s="11" t="str">
        <f aca="false">IF(AO150=0,"",IF(AW150="FT",IF(AU150&lt;FT_First,0,IF(AU150&lt;FT_Y5,1+INT((AU150-FT_First)/FT_Int1),FT_PreY5+FT_PerYear*INT((AU150-FT_Y5)/12)+FT_AnnivDays+INT(MOD(AU150-FT_Y5,12)/FT_Int2))),IF(AW150="PT",IF(AU150&lt;PT_First,0,1+INT((AU150-PT_First)/PT_Int)),0)))</f>
        <v/>
      </c>
      <c r="BC150" s="11" t="str">
        <f aca="false">IF(AO150=0,"",IF(AX150="FT",IF(AU150&lt;FT_First,0,IF(AU150&lt;FT_Y5,1+INT((AU150-FT_First)/FT_Int1),FT_PreY5+FT_PerYear*INT((AU150-FT_Y5)/12)+FT_AnnivDays+INT(MOD(AU150-FT_Y5,12)/FT_Int2))),IF(AX150="PT",IF(AU150&lt;PT_First,0,1+INT((AU150-PT_First)/PT_Int)),0)))</f>
        <v/>
      </c>
      <c r="BD150" s="11" t="str">
        <f aca="false">IF(AO150=0,"",IF(AX150="FT",IF(AQ150&lt;FT_First,0,IF(AQ150&lt;FT_Y5,1+INT((AQ150-FT_First)/FT_Int1),FT_PreY5+FT_PerYear*INT((AQ150-FT_Y5)/12)+FT_AnnivDays+INT(MOD(AQ150-FT_Y5,12)/FT_Int2))),IF(AX150="PT",IF(AQ150&lt;PT_First,0,1+INT((AQ150-PT_First)/PT_Int)),0)))</f>
        <v/>
      </c>
      <c r="BE150" s="11" t="str">
        <f aca="false">IF(AO150=0,"",IF(AY150="FT",IF(AQ150&lt;FT_First,FT_First,IF(AQ150&lt;FT_Y5,MIN(FT_Y5,FT_First+FT_Int1*(INT((AQ150-FT_First)/FT_Int1)+1)),FT_Y5+12*INT((AQ150-FT_Y5)/12)+FT_Int2*(INT(MOD(AQ150-FT_Y5,12)/FT_Int2)+1))),IF(AY150="PT",IF(AQ150&lt;PT_First,PT_First,PT_First+PT_Int*(INT((AQ150-PT_First)/PT_Int)+1)),"")))</f>
        <v/>
      </c>
      <c r="BF150" s="11" t="n">
        <f aca="false">IF(AO150=0,0,IF(AND($Q150&lt;&gt;"",$Q150&lt;=AsOfDate),1,0))</f>
        <v>0</v>
      </c>
      <c r="BG150" s="11" t="str">
        <f aca="false">IF(AND(AO150=1,BF150=0,EH_Ready,N(AB150)&gt;0,N(AI150)=0),COUNT($BG$5:BG149)+1,"")</f>
        <v/>
      </c>
      <c r="BH150" s="11" t="str">
        <f aca="false">IF(AND(AO150=1,BF150=0,EH_Ready,N(AB150)&gt;0,N(AI150)&gt;0,N(AK150)&gt;0),COUNT($BH$5:BH149)+1,"")</f>
        <v/>
      </c>
      <c r="BI150" s="11" t="str">
        <f aca="false">IF(AND(AO150=1,OR(LEFT(AM150,3)="ADD",LEFT(AM150,3)="SET",LEFT(AM150,5)="CHECK",LEFT(AM150,10)="TERMINATED")),COUNT($BI$5:BI149)+1,"")</f>
        <v/>
      </c>
      <c r="BJ150" s="11" t="str">
        <f aca="false">IF(AO150=0,"",$A150&amp;" - "&amp;$B150&amp;" "&amp;$C150)</f>
        <v/>
      </c>
    </row>
    <row r="151" customFormat="false" ht="15" hidden="false" customHeight="false" outlineLevel="0" collapsed="false">
      <c r="A151" s="10"/>
      <c r="B151" s="10"/>
      <c r="C151" s="10"/>
      <c r="D151" s="10"/>
      <c r="E151" s="9"/>
      <c r="F151" s="10"/>
      <c r="G151" s="30"/>
      <c r="H151" s="9"/>
      <c r="I151" s="10"/>
      <c r="J151" s="30"/>
      <c r="K151" s="9"/>
      <c r="L151" s="10"/>
      <c r="M151" s="30"/>
      <c r="N151" s="9"/>
      <c r="O151" s="9"/>
      <c r="P151" s="30"/>
      <c r="Q151" s="9"/>
      <c r="R151" s="10"/>
      <c r="S151" s="11" t="str">
        <f aca="false">IF(AO151=0,"",IF($H151="","",$F151&amp;" -&gt; "&amp;$I151&amp;IF($I151="Part-Time"," ("&amp;N($J151)&amp;" hrs)","")&amp;" on "&amp;TEXT($H151,"dd/mm/yyyy")&amp;IF($H151&gt;AsOfDate," (FUTURE)","")&amp;IF($K151="","","; "&amp;$I151&amp;" -&gt; "&amp;$L151&amp;IF($L151="Part-Time"," ("&amp;N($M151)&amp;" hrs)","")&amp;" on "&amp;TEXT($K151,"dd/mm/yyyy")&amp;IF($K151&gt;AsOfDate," (FUTURE)",""))))</f>
        <v/>
      </c>
      <c r="T151" s="11" t="str">
        <f aca="false">IF(AO151=0,"",IF(AS151&lt;&gt;"",$L151,IF(AR151&lt;&gt;"",$I151,$F151)))</f>
        <v/>
      </c>
      <c r="U151" s="26" t="str">
        <f aca="false">IF(AO151=0,"",IF(AS151&lt;&gt;"",$M151,IF(AR151&lt;&gt;"",$J151,$G151)))</f>
        <v/>
      </c>
      <c r="V151" s="11" t="str">
        <f aca="false">IF(AO151=0,"",IF(AY151="FT","Full-Time",IF(AY151="PT","Part-Time","Not eligible")))</f>
        <v/>
      </c>
      <c r="W151" s="27" t="str">
        <f aca="false">IF(AO151=0,"",IF(AR151="",IF(AND($H151&lt;&gt;"",$H151&gt;AsOfDate),"Future change - not yet applied",""),IF(AND(AV151=AY151,OR(AS151="",AW151=AV151)),"Type changed - same accrual pathway",IF(AY151="None","STOPPED accruing from "&amp;TEXT(IF(AS151&lt;&gt;"",AS151,AR151),"dd/mm/yyyy"),IF(AV151="None","STARTED qualifying from "&amp;TEXT(IF(AS151&lt;&gt;"",AS151,AR151),"dd/mm/yyyy"),"Pathway changed "&amp;AV151&amp;" -&gt; "&amp;AW151&amp;IF(AS151&lt;&gt;""," -&gt; "&amp;AX151,"")&amp;" from "&amp;TEXT(IF(AS151&lt;&gt;"",AS151,AR151),"dd/mm/yyyy"))))))</f>
        <v/>
      </c>
      <c r="X151" s="28" t="str">
        <f aca="false">IF(AO151=0,"",IF($Q151="",AsOfDate,MIN(AsOfDate,$Q151)))</f>
        <v/>
      </c>
      <c r="Y151" s="26" t="str">
        <f aca="false">IF(AO151=0,"",MAX(0,AQ151))</f>
        <v/>
      </c>
      <c r="Z151" s="11" t="str">
        <f aca="false">IF(AO151=0,"",IF(AQ151&lt;0,"Not started",INT(AQ151/12)&amp;"y "&amp;MOD(AQ151,12)&amp;"m"))</f>
        <v/>
      </c>
      <c r="AA151" s="27" t="str">
        <f aca="false">IF(AO151=0,"",IF(BF151=1,"Terminated - balance forfeited",IF(AY151="None",IF(AB151&gt;0,"No longer accruing - "&amp;T151,"Not eligible - "&amp;T151&amp;IF(AND(IFERROR(VLOOKUP(T151,TypeTable,2,0),"None")="PT",N(U151)&lt;PT_MinHours)," (under "&amp;PT_MinHours&amp;" hrs)","")),IF(AB151&gt;0,"Yes - accruing","Not yet - qualifies "&amp;TEXT(AD151,"dd/mm/yyyy")))))</f>
        <v/>
      </c>
      <c r="AB151" s="26" t="str">
        <f aca="false">IF(AO151=0,"",AZ151+IF(AR151="",0,BB151-BA151)+IF(AS151="",0,BD151-BC151))</f>
        <v/>
      </c>
      <c r="AC151" s="26" t="str">
        <f aca="false">IF(AO151=0,"",AB151*HoursPerDay)</f>
        <v/>
      </c>
      <c r="AD151" s="28" t="str">
        <f aca="false">IF(AO151=0,"",IF(OR(BF151=1,AY151="None"),"",EDATE($E151+AP151,BE151)))</f>
        <v/>
      </c>
      <c r="AE151" s="26" t="str">
        <f aca="false">IF(AD151="","",IF(AY151="PT",1,IF(BE151&lt;FT_Y5,1,IF(MOD(BE151-FT_Y5,12)=0,FT_AnnivDays,1))))</f>
        <v/>
      </c>
      <c r="AF151" s="27" t="str">
        <f aca="false">IF(AO151=0,"",IF(NOT(EH_Ready),"Map headers",IF(IF(MatchMode="Employee ID",COUNTIFS(INDEX(EH_Data,0,EH_ColID),$A151,INDEX(EH_Data,0,EH_ColCat),BonusCat),COUNTIFS(INDEX(EH_Data,0,EH_ColFirst),$B151,INDEX(EH_Data,0,EH_ColSur),$C151,INDEX(EH_Data,0,EH_ColCat),BonusCat))&gt;0,"Yes","No")))</f>
        <v/>
      </c>
      <c r="AG151" s="26" t="str">
        <f aca="false">IF(AO151=0,"",IF(NOT(EH_Ready),"",IF(MatchMode="Employee ID",SUMIFS(INDEX(EH_Data,0,EH_ColBal),INDEX(EH_Data,0,EH_ColID),$A151,INDEX(EH_Data,0,EH_ColCat),BonusCat),SUMIFS(INDEX(EH_Data,0,EH_ColBal),INDEX(EH_Data,0,EH_ColFirst),$B151,INDEX(EH_Data,0,EH_ColSur),$C151,INDEX(EH_Data,0,EH_ColCat),BonusCat))/IF(EHUnit="Hours",HoursPerDay,1)))</f>
        <v/>
      </c>
      <c r="AH151" s="26" t="str">
        <f aca="false">IF(AO151=0,"",IF(NOT(TK_Ready),0,IF(MatchMode="Employee ID",SUMIFS(INDEX(TK_Data,0,TK_ColAmt),INDEX(TK_Data,0,TK_ColID),$A151,INDEX(TK_Data,0,TK_ColCat),BonusCat),SUMIFS(INDEX(TK_Data,0,TK_ColAmt),INDEX(TK_Data,0,TK_ColFirst),$B151,INDEX(TK_Data,0,TK_ColSur),$C151,INDEX(TK_Data,0,TK_ColCat),BonusCat))/IF(TKUnit="Hours",HoursPerDay,1)))</f>
        <v/>
      </c>
      <c r="AI151" s="26" t="str">
        <f aca="false">IF(AO151=0,"",N(AG151)+N(AH151))</f>
        <v/>
      </c>
      <c r="AJ151" s="29" t="str">
        <f aca="false">IF(AO151=0,"",IF(NOT(AND(EH_Ready,EH_ValReady)),"",IF(MatchMode="Employee ID",SUMIFS(INDEX(EH_Data,0,EH_ColVal),INDEX(EH_Data,0,EH_ColID),$A151,INDEX(EH_Data,0,EH_ColCat),BonusCat),SUMIFS(INDEX(EH_Data,0,EH_ColVal),INDEX(EH_Data,0,EH_ColFirst),$B151,INDEX(EH_Data,0,EH_ColSur),$C151,INDEX(EH_Data,0,EH_ColCat),BonusCat))))</f>
        <v/>
      </c>
      <c r="AK151" s="26" t="str">
        <f aca="false">IF(AO151=0,"",IF(OR(NOT(EH_Ready),BF151=1),"",AB151-AI151))</f>
        <v/>
      </c>
      <c r="AL151" s="26" t="str">
        <f aca="false">IF(AK151="","",AK151*HoursPerDay)</f>
        <v/>
      </c>
      <c r="AM151" s="27" t="str">
        <f aca="false">IF(AO151=0,"",IF(BF151=1,IF(N(AG151)&gt;0,"TERMINATED - forfeit "&amp;TEXT(AG151,"0.##")&amp;" days still in EH","Terminated - nothing in EH"),IF(NOT(EH_Ready),"Paste EH export and map headers on Settings",IF(AND(AB151&gt;0,AF151="No"),"SET UP in EH - add "&amp;TEXT(AB151,"0.##")&amp;" day(s) ("&amp;TEXT(AC151,"0.##")&amp;" hrs)",IF(AK151&gt;0,"ADD "&amp;TEXT(AK151,"0.##")&amp;" day(s) ("&amp;TEXT(AL151,"0.##")&amp;" hrs) in EH",IF(AK151&lt;0,"CHECK - EH shows "&amp;TEXT(-AK151,"0.##")&amp;" days more than policy",IF(AB151&gt;0,"OK - up to date",IF(AY151="None","No action - not eligible","No action - not yet qualified"))))))))</f>
        <v/>
      </c>
      <c r="AN151" s="27" t="str">
        <f aca="false">IF(AO151=0,"",TRIM(IF(AND($K151&lt;&gt;"",$H151=""),"Change 2 entered without Change 1. ","")&amp;IF(AND($K151&lt;&gt;"",$H151&lt;&gt;"",$K151&lt;=$H151),"Change 2 date not after Change 1. ","")&amp;IF(AND($N151&lt;&gt;"",$O151&lt;&gt;"",$O151&lt;$N151),"Leave To is before Leave From. ","")&amp;IF(AND($N151&lt;&gt;"",$O151=""),"Leave From entered without Leave To. ","")&amp;IF(AND(IFERROR(VLOOKUP(T151,TypeTable,2,0),"None")="PT",U151=""),"Part-time with no hours entered. ","")&amp;IF(AND($H151&lt;&gt;"",$H151&gt;AsOfDate,AD151&lt;&gt;"",$H151&lt;=AD151),"Status change lands before next accrual - review. ","")&amp;IF(AND($Q151&lt;&gt;"",$Q151&lt;$E151),"Termination before commencement. ","")))</f>
        <v/>
      </c>
      <c r="AO151" s="11" t="n">
        <f aca="false">IF(LEN($A151&amp;$B151&amp;$C151)=0,0,IF($E151="",0,1))</f>
        <v>0</v>
      </c>
      <c r="AP151" s="11" t="str">
        <f aca="false">IF(AO151=0,"",(IF(OR($N151="",$O151=""),0,MAX(0,MIN(X151,$O151)-MAX($N151,$E151)+1))+N($P151)))</f>
        <v/>
      </c>
      <c r="AQ151" s="11" t="str">
        <f aca="false">IF(AO151=0,"",IF(X151&lt;($E151+(IF(OR($N151="",$O151=""),0,MAX(0,MIN(X151,$O151)-MAX($N151,$E151)+1))+N($P151))),-1,12*(YEAR(X151)-YEAR(($E151+(IF(OR($N151="",$O151=""),0,MAX(0,MIN(X151,$O151)-MAX($N151,$E151)+1))+N($P151)))))+MONTH(X151)-MONTH(($E151+(IF(OR($N151="",$O151=""),0,MAX(0,MIN(X151,$O151)-MAX($N151,$E151)+1))+N($P151))))-IF(DAY(X151)&lt;MIN(DAY(($E151+(IF(OR($N151="",$O151=""),0,MAX(0,MIN(X151,$O151)-MAX($N151,$E151)+1))+N($P151)))),DAY(EOMONTH(X151,0))),1,0)))</f>
        <v/>
      </c>
      <c r="AR151" s="28" t="str">
        <f aca="false">IF(AO151=0,"",IF($H151="","",IF($H151&gt;X151,"",$H151)))</f>
        <v/>
      </c>
      <c r="AS151" s="28" t="str">
        <f aca="false">IF(AO151=0,"",IF(AR151="","",IF($K151="","",IF($K151&gt;X151,"",$K151))))</f>
        <v/>
      </c>
      <c r="AT151" s="11" t="str">
        <f aca="false">IF(AO151=0,"",IF(AR151="",AQ151,IF((AR151-1)&lt;($E151+(IF(OR($N151="",$O151=""),0,MAX(0,MIN((AR151-1),$O151)-MAX($N151,$E151)+1))+N($P151))),-1,12*(YEAR((AR151-1))-YEAR(($E151+(IF(OR($N151="",$O151=""),0,MAX(0,MIN((AR151-1),$O151)-MAX($N151,$E151)+1))+N($P151)))))+MONTH((AR151-1))-MONTH(($E151+(IF(OR($N151="",$O151=""),0,MAX(0,MIN((AR151-1),$O151)-MAX($N151,$E151)+1))+N($P151))))-IF(DAY((AR151-1))&lt;MIN(DAY(($E151+(IF(OR($N151="",$O151=""),0,MAX(0,MIN((AR151-1),$O151)-MAX($N151,$E151)+1))+N($P151)))),DAY(EOMONTH((AR151-1),0))),1,0))))</f>
        <v/>
      </c>
      <c r="AU151" s="11" t="str">
        <f aca="false">IF(AO151=0,"",IF(AS151="",AQ151,IF((AS151-1)&lt;($E151+(IF(OR($N151="",$O151=""),0,MAX(0,MIN((AS151-1),$O151)-MAX($N151,$E151)+1))+N($P151))),-1,12*(YEAR((AS151-1))-YEAR(($E151+(IF(OR($N151="",$O151=""),0,MAX(0,MIN((AS151-1),$O151)-MAX($N151,$E151)+1))+N($P151)))))+MONTH((AS151-1))-MONTH(($E151+(IF(OR($N151="",$O151=""),0,MAX(0,MIN((AS151-1),$O151)-MAX($N151,$E151)+1))+N($P151))))-IF(DAY((AS151-1))&lt;MIN(DAY(($E151+(IF(OR($N151="",$O151=""),0,MAX(0,MIN((AS151-1),$O151)-MAX($N151,$E151)+1))+N($P151)))),DAY(EOMONTH((AS151-1),0))),1,0))))</f>
        <v/>
      </c>
      <c r="AV151" s="11" t="str">
        <f aca="false">IF(AO151=0,"",IF($F151="","None",IF(IFERROR(VLOOKUP($F151,TypeTable,2,0),"None")="PT",IF(N($G151)&gt;=PT_MinHours,"PT","None"),IFERROR(VLOOKUP($F151,TypeTable,2,0),"None"))))</f>
        <v/>
      </c>
      <c r="AW151" s="11" t="str">
        <f aca="false">IF(AO151=0,"",IF($I151="","None",IF(IFERROR(VLOOKUP($I151,TypeTable,2,0),"None")="PT",IF(N($J151)&gt;=PT_MinHours,"PT","None"),IFERROR(VLOOKUP($I151,TypeTable,2,0),"None"))))</f>
        <v/>
      </c>
      <c r="AX151" s="11" t="str">
        <f aca="false">IF(AO151=0,"",IF($L151="","None",IF(IFERROR(VLOOKUP($L151,TypeTable,2,0),"None")="PT",IF(N($M151)&gt;=PT_MinHours,"PT","None"),IFERROR(VLOOKUP($L151,TypeTable,2,0),"None"))))</f>
        <v/>
      </c>
      <c r="AY151" s="11" t="str">
        <f aca="false">IF(AO151=0,"",IF(AS151&lt;&gt;"",AX151,IF(AR151&lt;&gt;"",AW151,AV151)))</f>
        <v/>
      </c>
      <c r="AZ151" s="11" t="str">
        <f aca="false">IF(AO151=0,"",IF(AV151="FT",IF(AT151&lt;FT_First,0,IF(AT151&lt;FT_Y5,1+INT((AT151-FT_First)/FT_Int1),FT_PreY5+FT_PerYear*INT((AT151-FT_Y5)/12)+FT_AnnivDays+INT(MOD(AT151-FT_Y5,12)/FT_Int2))),IF(AV151="PT",IF(AT151&lt;PT_First,0,1+INT((AT151-PT_First)/PT_Int)),0)))</f>
        <v/>
      </c>
      <c r="BA151" s="11" t="str">
        <f aca="false">IF(AO151=0,"",IF(AW151="FT",IF(AT151&lt;FT_First,0,IF(AT151&lt;FT_Y5,1+INT((AT151-FT_First)/FT_Int1),FT_PreY5+FT_PerYear*INT((AT151-FT_Y5)/12)+FT_AnnivDays+INT(MOD(AT151-FT_Y5,12)/FT_Int2))),IF(AW151="PT",IF(AT151&lt;PT_First,0,1+INT((AT151-PT_First)/PT_Int)),0)))</f>
        <v/>
      </c>
      <c r="BB151" s="11" t="str">
        <f aca="false">IF(AO151=0,"",IF(AW151="FT",IF(AU151&lt;FT_First,0,IF(AU151&lt;FT_Y5,1+INT((AU151-FT_First)/FT_Int1),FT_PreY5+FT_PerYear*INT((AU151-FT_Y5)/12)+FT_AnnivDays+INT(MOD(AU151-FT_Y5,12)/FT_Int2))),IF(AW151="PT",IF(AU151&lt;PT_First,0,1+INT((AU151-PT_First)/PT_Int)),0)))</f>
        <v/>
      </c>
      <c r="BC151" s="11" t="str">
        <f aca="false">IF(AO151=0,"",IF(AX151="FT",IF(AU151&lt;FT_First,0,IF(AU151&lt;FT_Y5,1+INT((AU151-FT_First)/FT_Int1),FT_PreY5+FT_PerYear*INT((AU151-FT_Y5)/12)+FT_AnnivDays+INT(MOD(AU151-FT_Y5,12)/FT_Int2))),IF(AX151="PT",IF(AU151&lt;PT_First,0,1+INT((AU151-PT_First)/PT_Int)),0)))</f>
        <v/>
      </c>
      <c r="BD151" s="11" t="str">
        <f aca="false">IF(AO151=0,"",IF(AX151="FT",IF(AQ151&lt;FT_First,0,IF(AQ151&lt;FT_Y5,1+INT((AQ151-FT_First)/FT_Int1),FT_PreY5+FT_PerYear*INT((AQ151-FT_Y5)/12)+FT_AnnivDays+INT(MOD(AQ151-FT_Y5,12)/FT_Int2))),IF(AX151="PT",IF(AQ151&lt;PT_First,0,1+INT((AQ151-PT_First)/PT_Int)),0)))</f>
        <v/>
      </c>
      <c r="BE151" s="11" t="str">
        <f aca="false">IF(AO151=0,"",IF(AY151="FT",IF(AQ151&lt;FT_First,FT_First,IF(AQ151&lt;FT_Y5,MIN(FT_Y5,FT_First+FT_Int1*(INT((AQ151-FT_First)/FT_Int1)+1)),FT_Y5+12*INT((AQ151-FT_Y5)/12)+FT_Int2*(INT(MOD(AQ151-FT_Y5,12)/FT_Int2)+1))),IF(AY151="PT",IF(AQ151&lt;PT_First,PT_First,PT_First+PT_Int*(INT((AQ151-PT_First)/PT_Int)+1)),"")))</f>
        <v/>
      </c>
      <c r="BF151" s="11" t="n">
        <f aca="false">IF(AO151=0,0,IF(AND($Q151&lt;&gt;"",$Q151&lt;=AsOfDate),1,0))</f>
        <v>0</v>
      </c>
      <c r="BG151" s="11" t="str">
        <f aca="false">IF(AND(AO151=1,BF151=0,EH_Ready,N(AB151)&gt;0,N(AI151)=0),COUNT($BG$5:BG150)+1,"")</f>
        <v/>
      </c>
      <c r="BH151" s="11" t="str">
        <f aca="false">IF(AND(AO151=1,BF151=0,EH_Ready,N(AB151)&gt;0,N(AI151)&gt;0,N(AK151)&gt;0),COUNT($BH$5:BH150)+1,"")</f>
        <v/>
      </c>
      <c r="BI151" s="11" t="str">
        <f aca="false">IF(AND(AO151=1,OR(LEFT(AM151,3)="ADD",LEFT(AM151,3)="SET",LEFT(AM151,5)="CHECK",LEFT(AM151,10)="TERMINATED")),COUNT($BI$5:BI150)+1,"")</f>
        <v/>
      </c>
      <c r="BJ151" s="11" t="str">
        <f aca="false">IF(AO151=0,"",$A151&amp;" - "&amp;$B151&amp;" "&amp;$C151)</f>
        <v/>
      </c>
    </row>
    <row r="152" customFormat="false" ht="15" hidden="false" customHeight="false" outlineLevel="0" collapsed="false">
      <c r="A152" s="10"/>
      <c r="B152" s="10"/>
      <c r="C152" s="10"/>
      <c r="D152" s="10"/>
      <c r="E152" s="9"/>
      <c r="F152" s="10"/>
      <c r="G152" s="30"/>
      <c r="H152" s="9"/>
      <c r="I152" s="10"/>
      <c r="J152" s="30"/>
      <c r="K152" s="9"/>
      <c r="L152" s="10"/>
      <c r="M152" s="30"/>
      <c r="N152" s="9"/>
      <c r="O152" s="9"/>
      <c r="P152" s="30"/>
      <c r="Q152" s="9"/>
      <c r="R152" s="10"/>
      <c r="S152" s="11" t="str">
        <f aca="false">IF(AO152=0,"",IF($H152="","",$F152&amp;" -&gt; "&amp;$I152&amp;IF($I152="Part-Time"," ("&amp;N($J152)&amp;" hrs)","")&amp;" on "&amp;TEXT($H152,"dd/mm/yyyy")&amp;IF($H152&gt;AsOfDate," (FUTURE)","")&amp;IF($K152="","","; "&amp;$I152&amp;" -&gt; "&amp;$L152&amp;IF($L152="Part-Time"," ("&amp;N($M152)&amp;" hrs)","")&amp;" on "&amp;TEXT($K152,"dd/mm/yyyy")&amp;IF($K152&gt;AsOfDate," (FUTURE)",""))))</f>
        <v/>
      </c>
      <c r="T152" s="11" t="str">
        <f aca="false">IF(AO152=0,"",IF(AS152&lt;&gt;"",$L152,IF(AR152&lt;&gt;"",$I152,$F152)))</f>
        <v/>
      </c>
      <c r="U152" s="26" t="str">
        <f aca="false">IF(AO152=0,"",IF(AS152&lt;&gt;"",$M152,IF(AR152&lt;&gt;"",$J152,$G152)))</f>
        <v/>
      </c>
      <c r="V152" s="11" t="str">
        <f aca="false">IF(AO152=0,"",IF(AY152="FT","Full-Time",IF(AY152="PT","Part-Time","Not eligible")))</f>
        <v/>
      </c>
      <c r="W152" s="27" t="str">
        <f aca="false">IF(AO152=0,"",IF(AR152="",IF(AND($H152&lt;&gt;"",$H152&gt;AsOfDate),"Future change - not yet applied",""),IF(AND(AV152=AY152,OR(AS152="",AW152=AV152)),"Type changed - same accrual pathway",IF(AY152="None","STOPPED accruing from "&amp;TEXT(IF(AS152&lt;&gt;"",AS152,AR152),"dd/mm/yyyy"),IF(AV152="None","STARTED qualifying from "&amp;TEXT(IF(AS152&lt;&gt;"",AS152,AR152),"dd/mm/yyyy"),"Pathway changed "&amp;AV152&amp;" -&gt; "&amp;AW152&amp;IF(AS152&lt;&gt;""," -&gt; "&amp;AX152,"")&amp;" from "&amp;TEXT(IF(AS152&lt;&gt;"",AS152,AR152),"dd/mm/yyyy"))))))</f>
        <v/>
      </c>
      <c r="X152" s="28" t="str">
        <f aca="false">IF(AO152=0,"",IF($Q152="",AsOfDate,MIN(AsOfDate,$Q152)))</f>
        <v/>
      </c>
      <c r="Y152" s="26" t="str">
        <f aca="false">IF(AO152=0,"",MAX(0,AQ152))</f>
        <v/>
      </c>
      <c r="Z152" s="11" t="str">
        <f aca="false">IF(AO152=0,"",IF(AQ152&lt;0,"Not started",INT(AQ152/12)&amp;"y "&amp;MOD(AQ152,12)&amp;"m"))</f>
        <v/>
      </c>
      <c r="AA152" s="27" t="str">
        <f aca="false">IF(AO152=0,"",IF(BF152=1,"Terminated - balance forfeited",IF(AY152="None",IF(AB152&gt;0,"No longer accruing - "&amp;T152,"Not eligible - "&amp;T152&amp;IF(AND(IFERROR(VLOOKUP(T152,TypeTable,2,0),"None")="PT",N(U152)&lt;PT_MinHours)," (under "&amp;PT_MinHours&amp;" hrs)","")),IF(AB152&gt;0,"Yes - accruing","Not yet - qualifies "&amp;TEXT(AD152,"dd/mm/yyyy")))))</f>
        <v/>
      </c>
      <c r="AB152" s="26" t="str">
        <f aca="false">IF(AO152=0,"",AZ152+IF(AR152="",0,BB152-BA152)+IF(AS152="",0,BD152-BC152))</f>
        <v/>
      </c>
      <c r="AC152" s="26" t="str">
        <f aca="false">IF(AO152=0,"",AB152*HoursPerDay)</f>
        <v/>
      </c>
      <c r="AD152" s="28" t="str">
        <f aca="false">IF(AO152=0,"",IF(OR(BF152=1,AY152="None"),"",EDATE($E152+AP152,BE152)))</f>
        <v/>
      </c>
      <c r="AE152" s="26" t="str">
        <f aca="false">IF(AD152="","",IF(AY152="PT",1,IF(BE152&lt;FT_Y5,1,IF(MOD(BE152-FT_Y5,12)=0,FT_AnnivDays,1))))</f>
        <v/>
      </c>
      <c r="AF152" s="27" t="str">
        <f aca="false">IF(AO152=0,"",IF(NOT(EH_Ready),"Map headers",IF(IF(MatchMode="Employee ID",COUNTIFS(INDEX(EH_Data,0,EH_ColID),$A152,INDEX(EH_Data,0,EH_ColCat),BonusCat),COUNTIFS(INDEX(EH_Data,0,EH_ColFirst),$B152,INDEX(EH_Data,0,EH_ColSur),$C152,INDEX(EH_Data,0,EH_ColCat),BonusCat))&gt;0,"Yes","No")))</f>
        <v/>
      </c>
      <c r="AG152" s="26" t="str">
        <f aca="false">IF(AO152=0,"",IF(NOT(EH_Ready),"",IF(MatchMode="Employee ID",SUMIFS(INDEX(EH_Data,0,EH_ColBal),INDEX(EH_Data,0,EH_ColID),$A152,INDEX(EH_Data,0,EH_ColCat),BonusCat),SUMIFS(INDEX(EH_Data,0,EH_ColBal),INDEX(EH_Data,0,EH_ColFirst),$B152,INDEX(EH_Data,0,EH_ColSur),$C152,INDEX(EH_Data,0,EH_ColCat),BonusCat))/IF(EHUnit="Hours",HoursPerDay,1)))</f>
        <v/>
      </c>
      <c r="AH152" s="26" t="str">
        <f aca="false">IF(AO152=0,"",IF(NOT(TK_Ready),0,IF(MatchMode="Employee ID",SUMIFS(INDEX(TK_Data,0,TK_ColAmt),INDEX(TK_Data,0,TK_ColID),$A152,INDEX(TK_Data,0,TK_ColCat),BonusCat),SUMIFS(INDEX(TK_Data,0,TK_ColAmt),INDEX(TK_Data,0,TK_ColFirst),$B152,INDEX(TK_Data,0,TK_ColSur),$C152,INDEX(TK_Data,0,TK_ColCat),BonusCat))/IF(TKUnit="Hours",HoursPerDay,1)))</f>
        <v/>
      </c>
      <c r="AI152" s="26" t="str">
        <f aca="false">IF(AO152=0,"",N(AG152)+N(AH152))</f>
        <v/>
      </c>
      <c r="AJ152" s="29" t="str">
        <f aca="false">IF(AO152=0,"",IF(NOT(AND(EH_Ready,EH_ValReady)),"",IF(MatchMode="Employee ID",SUMIFS(INDEX(EH_Data,0,EH_ColVal),INDEX(EH_Data,0,EH_ColID),$A152,INDEX(EH_Data,0,EH_ColCat),BonusCat),SUMIFS(INDEX(EH_Data,0,EH_ColVal),INDEX(EH_Data,0,EH_ColFirst),$B152,INDEX(EH_Data,0,EH_ColSur),$C152,INDEX(EH_Data,0,EH_ColCat),BonusCat))))</f>
        <v/>
      </c>
      <c r="AK152" s="26" t="str">
        <f aca="false">IF(AO152=0,"",IF(OR(NOT(EH_Ready),BF152=1),"",AB152-AI152))</f>
        <v/>
      </c>
      <c r="AL152" s="26" t="str">
        <f aca="false">IF(AK152="","",AK152*HoursPerDay)</f>
        <v/>
      </c>
      <c r="AM152" s="27" t="str">
        <f aca="false">IF(AO152=0,"",IF(BF152=1,IF(N(AG152)&gt;0,"TERMINATED - forfeit "&amp;TEXT(AG152,"0.##")&amp;" days still in EH","Terminated - nothing in EH"),IF(NOT(EH_Ready),"Paste EH export and map headers on Settings",IF(AND(AB152&gt;0,AF152="No"),"SET UP in EH - add "&amp;TEXT(AB152,"0.##")&amp;" day(s) ("&amp;TEXT(AC152,"0.##")&amp;" hrs)",IF(AK152&gt;0,"ADD "&amp;TEXT(AK152,"0.##")&amp;" day(s) ("&amp;TEXT(AL152,"0.##")&amp;" hrs) in EH",IF(AK152&lt;0,"CHECK - EH shows "&amp;TEXT(-AK152,"0.##")&amp;" days more than policy",IF(AB152&gt;0,"OK - up to date",IF(AY152="None","No action - not eligible","No action - not yet qualified"))))))))</f>
        <v/>
      </c>
      <c r="AN152" s="27" t="str">
        <f aca="false">IF(AO152=0,"",TRIM(IF(AND($K152&lt;&gt;"",$H152=""),"Change 2 entered without Change 1. ","")&amp;IF(AND($K152&lt;&gt;"",$H152&lt;&gt;"",$K152&lt;=$H152),"Change 2 date not after Change 1. ","")&amp;IF(AND($N152&lt;&gt;"",$O152&lt;&gt;"",$O152&lt;$N152),"Leave To is before Leave From. ","")&amp;IF(AND($N152&lt;&gt;"",$O152=""),"Leave From entered without Leave To. ","")&amp;IF(AND(IFERROR(VLOOKUP(T152,TypeTable,2,0),"None")="PT",U152=""),"Part-time with no hours entered. ","")&amp;IF(AND($H152&lt;&gt;"",$H152&gt;AsOfDate,AD152&lt;&gt;"",$H152&lt;=AD152),"Status change lands before next accrual - review. ","")&amp;IF(AND($Q152&lt;&gt;"",$Q152&lt;$E152),"Termination before commencement. ","")))</f>
        <v/>
      </c>
      <c r="AO152" s="11" t="n">
        <f aca="false">IF(LEN($A152&amp;$B152&amp;$C152)=0,0,IF($E152="",0,1))</f>
        <v>0</v>
      </c>
      <c r="AP152" s="11" t="str">
        <f aca="false">IF(AO152=0,"",(IF(OR($N152="",$O152=""),0,MAX(0,MIN(X152,$O152)-MAX($N152,$E152)+1))+N($P152)))</f>
        <v/>
      </c>
      <c r="AQ152" s="11" t="str">
        <f aca="false">IF(AO152=0,"",IF(X152&lt;($E152+(IF(OR($N152="",$O152=""),0,MAX(0,MIN(X152,$O152)-MAX($N152,$E152)+1))+N($P152))),-1,12*(YEAR(X152)-YEAR(($E152+(IF(OR($N152="",$O152=""),0,MAX(0,MIN(X152,$O152)-MAX($N152,$E152)+1))+N($P152)))))+MONTH(X152)-MONTH(($E152+(IF(OR($N152="",$O152=""),0,MAX(0,MIN(X152,$O152)-MAX($N152,$E152)+1))+N($P152))))-IF(DAY(X152)&lt;MIN(DAY(($E152+(IF(OR($N152="",$O152=""),0,MAX(0,MIN(X152,$O152)-MAX($N152,$E152)+1))+N($P152)))),DAY(EOMONTH(X152,0))),1,0)))</f>
        <v/>
      </c>
      <c r="AR152" s="28" t="str">
        <f aca="false">IF(AO152=0,"",IF($H152="","",IF($H152&gt;X152,"",$H152)))</f>
        <v/>
      </c>
      <c r="AS152" s="28" t="str">
        <f aca="false">IF(AO152=0,"",IF(AR152="","",IF($K152="","",IF($K152&gt;X152,"",$K152))))</f>
        <v/>
      </c>
      <c r="AT152" s="11" t="str">
        <f aca="false">IF(AO152=0,"",IF(AR152="",AQ152,IF((AR152-1)&lt;($E152+(IF(OR($N152="",$O152=""),0,MAX(0,MIN((AR152-1),$O152)-MAX($N152,$E152)+1))+N($P152))),-1,12*(YEAR((AR152-1))-YEAR(($E152+(IF(OR($N152="",$O152=""),0,MAX(0,MIN((AR152-1),$O152)-MAX($N152,$E152)+1))+N($P152)))))+MONTH((AR152-1))-MONTH(($E152+(IF(OR($N152="",$O152=""),0,MAX(0,MIN((AR152-1),$O152)-MAX($N152,$E152)+1))+N($P152))))-IF(DAY((AR152-1))&lt;MIN(DAY(($E152+(IF(OR($N152="",$O152=""),0,MAX(0,MIN((AR152-1),$O152)-MAX($N152,$E152)+1))+N($P152)))),DAY(EOMONTH((AR152-1),0))),1,0))))</f>
        <v/>
      </c>
      <c r="AU152" s="11" t="str">
        <f aca="false">IF(AO152=0,"",IF(AS152="",AQ152,IF((AS152-1)&lt;($E152+(IF(OR($N152="",$O152=""),0,MAX(0,MIN((AS152-1),$O152)-MAX($N152,$E152)+1))+N($P152))),-1,12*(YEAR((AS152-1))-YEAR(($E152+(IF(OR($N152="",$O152=""),0,MAX(0,MIN((AS152-1),$O152)-MAX($N152,$E152)+1))+N($P152)))))+MONTH((AS152-1))-MONTH(($E152+(IF(OR($N152="",$O152=""),0,MAX(0,MIN((AS152-1),$O152)-MAX($N152,$E152)+1))+N($P152))))-IF(DAY((AS152-1))&lt;MIN(DAY(($E152+(IF(OR($N152="",$O152=""),0,MAX(0,MIN((AS152-1),$O152)-MAX($N152,$E152)+1))+N($P152)))),DAY(EOMONTH((AS152-1),0))),1,0))))</f>
        <v/>
      </c>
      <c r="AV152" s="11" t="str">
        <f aca="false">IF(AO152=0,"",IF($F152="","None",IF(IFERROR(VLOOKUP($F152,TypeTable,2,0),"None")="PT",IF(N($G152)&gt;=PT_MinHours,"PT","None"),IFERROR(VLOOKUP($F152,TypeTable,2,0),"None"))))</f>
        <v/>
      </c>
      <c r="AW152" s="11" t="str">
        <f aca="false">IF(AO152=0,"",IF($I152="","None",IF(IFERROR(VLOOKUP($I152,TypeTable,2,0),"None")="PT",IF(N($J152)&gt;=PT_MinHours,"PT","None"),IFERROR(VLOOKUP($I152,TypeTable,2,0),"None"))))</f>
        <v/>
      </c>
      <c r="AX152" s="11" t="str">
        <f aca="false">IF(AO152=0,"",IF($L152="","None",IF(IFERROR(VLOOKUP($L152,TypeTable,2,0),"None")="PT",IF(N($M152)&gt;=PT_MinHours,"PT","None"),IFERROR(VLOOKUP($L152,TypeTable,2,0),"None"))))</f>
        <v/>
      </c>
      <c r="AY152" s="11" t="str">
        <f aca="false">IF(AO152=0,"",IF(AS152&lt;&gt;"",AX152,IF(AR152&lt;&gt;"",AW152,AV152)))</f>
        <v/>
      </c>
      <c r="AZ152" s="11" t="str">
        <f aca="false">IF(AO152=0,"",IF(AV152="FT",IF(AT152&lt;FT_First,0,IF(AT152&lt;FT_Y5,1+INT((AT152-FT_First)/FT_Int1),FT_PreY5+FT_PerYear*INT((AT152-FT_Y5)/12)+FT_AnnivDays+INT(MOD(AT152-FT_Y5,12)/FT_Int2))),IF(AV152="PT",IF(AT152&lt;PT_First,0,1+INT((AT152-PT_First)/PT_Int)),0)))</f>
        <v/>
      </c>
      <c r="BA152" s="11" t="str">
        <f aca="false">IF(AO152=0,"",IF(AW152="FT",IF(AT152&lt;FT_First,0,IF(AT152&lt;FT_Y5,1+INT((AT152-FT_First)/FT_Int1),FT_PreY5+FT_PerYear*INT((AT152-FT_Y5)/12)+FT_AnnivDays+INT(MOD(AT152-FT_Y5,12)/FT_Int2))),IF(AW152="PT",IF(AT152&lt;PT_First,0,1+INT((AT152-PT_First)/PT_Int)),0)))</f>
        <v/>
      </c>
      <c r="BB152" s="11" t="str">
        <f aca="false">IF(AO152=0,"",IF(AW152="FT",IF(AU152&lt;FT_First,0,IF(AU152&lt;FT_Y5,1+INT((AU152-FT_First)/FT_Int1),FT_PreY5+FT_PerYear*INT((AU152-FT_Y5)/12)+FT_AnnivDays+INT(MOD(AU152-FT_Y5,12)/FT_Int2))),IF(AW152="PT",IF(AU152&lt;PT_First,0,1+INT((AU152-PT_First)/PT_Int)),0)))</f>
        <v/>
      </c>
      <c r="BC152" s="11" t="str">
        <f aca="false">IF(AO152=0,"",IF(AX152="FT",IF(AU152&lt;FT_First,0,IF(AU152&lt;FT_Y5,1+INT((AU152-FT_First)/FT_Int1),FT_PreY5+FT_PerYear*INT((AU152-FT_Y5)/12)+FT_AnnivDays+INT(MOD(AU152-FT_Y5,12)/FT_Int2))),IF(AX152="PT",IF(AU152&lt;PT_First,0,1+INT((AU152-PT_First)/PT_Int)),0)))</f>
        <v/>
      </c>
      <c r="BD152" s="11" t="str">
        <f aca="false">IF(AO152=0,"",IF(AX152="FT",IF(AQ152&lt;FT_First,0,IF(AQ152&lt;FT_Y5,1+INT((AQ152-FT_First)/FT_Int1),FT_PreY5+FT_PerYear*INT((AQ152-FT_Y5)/12)+FT_AnnivDays+INT(MOD(AQ152-FT_Y5,12)/FT_Int2))),IF(AX152="PT",IF(AQ152&lt;PT_First,0,1+INT((AQ152-PT_First)/PT_Int)),0)))</f>
        <v/>
      </c>
      <c r="BE152" s="11" t="str">
        <f aca="false">IF(AO152=0,"",IF(AY152="FT",IF(AQ152&lt;FT_First,FT_First,IF(AQ152&lt;FT_Y5,MIN(FT_Y5,FT_First+FT_Int1*(INT((AQ152-FT_First)/FT_Int1)+1)),FT_Y5+12*INT((AQ152-FT_Y5)/12)+FT_Int2*(INT(MOD(AQ152-FT_Y5,12)/FT_Int2)+1))),IF(AY152="PT",IF(AQ152&lt;PT_First,PT_First,PT_First+PT_Int*(INT((AQ152-PT_First)/PT_Int)+1)),"")))</f>
        <v/>
      </c>
      <c r="BF152" s="11" t="n">
        <f aca="false">IF(AO152=0,0,IF(AND($Q152&lt;&gt;"",$Q152&lt;=AsOfDate),1,0))</f>
        <v>0</v>
      </c>
      <c r="BG152" s="11" t="str">
        <f aca="false">IF(AND(AO152=1,BF152=0,EH_Ready,N(AB152)&gt;0,N(AI152)=0),COUNT($BG$5:BG151)+1,"")</f>
        <v/>
      </c>
      <c r="BH152" s="11" t="str">
        <f aca="false">IF(AND(AO152=1,BF152=0,EH_Ready,N(AB152)&gt;0,N(AI152)&gt;0,N(AK152)&gt;0),COUNT($BH$5:BH151)+1,"")</f>
        <v/>
      </c>
      <c r="BI152" s="11" t="str">
        <f aca="false">IF(AND(AO152=1,OR(LEFT(AM152,3)="ADD",LEFT(AM152,3)="SET",LEFT(AM152,5)="CHECK",LEFT(AM152,10)="TERMINATED")),COUNT($BI$5:BI151)+1,"")</f>
        <v/>
      </c>
      <c r="BJ152" s="11" t="str">
        <f aca="false">IF(AO152=0,"",$A152&amp;" - "&amp;$B152&amp;" "&amp;$C152)</f>
        <v/>
      </c>
    </row>
    <row r="153" customFormat="false" ht="15" hidden="false" customHeight="false" outlineLevel="0" collapsed="false">
      <c r="A153" s="10"/>
      <c r="B153" s="10"/>
      <c r="C153" s="10"/>
      <c r="D153" s="10"/>
      <c r="E153" s="9"/>
      <c r="F153" s="10"/>
      <c r="G153" s="30"/>
      <c r="H153" s="9"/>
      <c r="I153" s="10"/>
      <c r="J153" s="30"/>
      <c r="K153" s="9"/>
      <c r="L153" s="10"/>
      <c r="M153" s="30"/>
      <c r="N153" s="9"/>
      <c r="O153" s="9"/>
      <c r="P153" s="30"/>
      <c r="Q153" s="9"/>
      <c r="R153" s="10"/>
      <c r="S153" s="11" t="str">
        <f aca="false">IF(AO153=0,"",IF($H153="","",$F153&amp;" -&gt; "&amp;$I153&amp;IF($I153="Part-Time"," ("&amp;N($J153)&amp;" hrs)","")&amp;" on "&amp;TEXT($H153,"dd/mm/yyyy")&amp;IF($H153&gt;AsOfDate," (FUTURE)","")&amp;IF($K153="","","; "&amp;$I153&amp;" -&gt; "&amp;$L153&amp;IF($L153="Part-Time"," ("&amp;N($M153)&amp;" hrs)","")&amp;" on "&amp;TEXT($K153,"dd/mm/yyyy")&amp;IF($K153&gt;AsOfDate," (FUTURE)",""))))</f>
        <v/>
      </c>
      <c r="T153" s="11" t="str">
        <f aca="false">IF(AO153=0,"",IF(AS153&lt;&gt;"",$L153,IF(AR153&lt;&gt;"",$I153,$F153)))</f>
        <v/>
      </c>
      <c r="U153" s="26" t="str">
        <f aca="false">IF(AO153=0,"",IF(AS153&lt;&gt;"",$M153,IF(AR153&lt;&gt;"",$J153,$G153)))</f>
        <v/>
      </c>
      <c r="V153" s="11" t="str">
        <f aca="false">IF(AO153=0,"",IF(AY153="FT","Full-Time",IF(AY153="PT","Part-Time","Not eligible")))</f>
        <v/>
      </c>
      <c r="W153" s="27" t="str">
        <f aca="false">IF(AO153=0,"",IF(AR153="",IF(AND($H153&lt;&gt;"",$H153&gt;AsOfDate),"Future change - not yet applied",""),IF(AND(AV153=AY153,OR(AS153="",AW153=AV153)),"Type changed - same accrual pathway",IF(AY153="None","STOPPED accruing from "&amp;TEXT(IF(AS153&lt;&gt;"",AS153,AR153),"dd/mm/yyyy"),IF(AV153="None","STARTED qualifying from "&amp;TEXT(IF(AS153&lt;&gt;"",AS153,AR153),"dd/mm/yyyy"),"Pathway changed "&amp;AV153&amp;" -&gt; "&amp;AW153&amp;IF(AS153&lt;&gt;""," -&gt; "&amp;AX153,"")&amp;" from "&amp;TEXT(IF(AS153&lt;&gt;"",AS153,AR153),"dd/mm/yyyy"))))))</f>
        <v/>
      </c>
      <c r="X153" s="28" t="str">
        <f aca="false">IF(AO153=0,"",IF($Q153="",AsOfDate,MIN(AsOfDate,$Q153)))</f>
        <v/>
      </c>
      <c r="Y153" s="26" t="str">
        <f aca="false">IF(AO153=0,"",MAX(0,AQ153))</f>
        <v/>
      </c>
      <c r="Z153" s="11" t="str">
        <f aca="false">IF(AO153=0,"",IF(AQ153&lt;0,"Not started",INT(AQ153/12)&amp;"y "&amp;MOD(AQ153,12)&amp;"m"))</f>
        <v/>
      </c>
      <c r="AA153" s="27" t="str">
        <f aca="false">IF(AO153=0,"",IF(BF153=1,"Terminated - balance forfeited",IF(AY153="None",IF(AB153&gt;0,"No longer accruing - "&amp;T153,"Not eligible - "&amp;T153&amp;IF(AND(IFERROR(VLOOKUP(T153,TypeTable,2,0),"None")="PT",N(U153)&lt;PT_MinHours)," (under "&amp;PT_MinHours&amp;" hrs)","")),IF(AB153&gt;0,"Yes - accruing","Not yet - qualifies "&amp;TEXT(AD153,"dd/mm/yyyy")))))</f>
        <v/>
      </c>
      <c r="AB153" s="26" t="str">
        <f aca="false">IF(AO153=0,"",AZ153+IF(AR153="",0,BB153-BA153)+IF(AS153="",0,BD153-BC153))</f>
        <v/>
      </c>
      <c r="AC153" s="26" t="str">
        <f aca="false">IF(AO153=0,"",AB153*HoursPerDay)</f>
        <v/>
      </c>
      <c r="AD153" s="28" t="str">
        <f aca="false">IF(AO153=0,"",IF(OR(BF153=1,AY153="None"),"",EDATE($E153+AP153,BE153)))</f>
        <v/>
      </c>
      <c r="AE153" s="26" t="str">
        <f aca="false">IF(AD153="","",IF(AY153="PT",1,IF(BE153&lt;FT_Y5,1,IF(MOD(BE153-FT_Y5,12)=0,FT_AnnivDays,1))))</f>
        <v/>
      </c>
      <c r="AF153" s="27" t="str">
        <f aca="false">IF(AO153=0,"",IF(NOT(EH_Ready),"Map headers",IF(IF(MatchMode="Employee ID",COUNTIFS(INDEX(EH_Data,0,EH_ColID),$A153,INDEX(EH_Data,0,EH_ColCat),BonusCat),COUNTIFS(INDEX(EH_Data,0,EH_ColFirst),$B153,INDEX(EH_Data,0,EH_ColSur),$C153,INDEX(EH_Data,0,EH_ColCat),BonusCat))&gt;0,"Yes","No")))</f>
        <v/>
      </c>
      <c r="AG153" s="26" t="str">
        <f aca="false">IF(AO153=0,"",IF(NOT(EH_Ready),"",IF(MatchMode="Employee ID",SUMIFS(INDEX(EH_Data,0,EH_ColBal),INDEX(EH_Data,0,EH_ColID),$A153,INDEX(EH_Data,0,EH_ColCat),BonusCat),SUMIFS(INDEX(EH_Data,0,EH_ColBal),INDEX(EH_Data,0,EH_ColFirst),$B153,INDEX(EH_Data,0,EH_ColSur),$C153,INDEX(EH_Data,0,EH_ColCat),BonusCat))/IF(EHUnit="Hours",HoursPerDay,1)))</f>
        <v/>
      </c>
      <c r="AH153" s="26" t="str">
        <f aca="false">IF(AO153=0,"",IF(NOT(TK_Ready),0,IF(MatchMode="Employee ID",SUMIFS(INDEX(TK_Data,0,TK_ColAmt),INDEX(TK_Data,0,TK_ColID),$A153,INDEX(TK_Data,0,TK_ColCat),BonusCat),SUMIFS(INDEX(TK_Data,0,TK_ColAmt),INDEX(TK_Data,0,TK_ColFirst),$B153,INDEX(TK_Data,0,TK_ColSur),$C153,INDEX(TK_Data,0,TK_ColCat),BonusCat))/IF(TKUnit="Hours",HoursPerDay,1)))</f>
        <v/>
      </c>
      <c r="AI153" s="26" t="str">
        <f aca="false">IF(AO153=0,"",N(AG153)+N(AH153))</f>
        <v/>
      </c>
      <c r="AJ153" s="29" t="str">
        <f aca="false">IF(AO153=0,"",IF(NOT(AND(EH_Ready,EH_ValReady)),"",IF(MatchMode="Employee ID",SUMIFS(INDEX(EH_Data,0,EH_ColVal),INDEX(EH_Data,0,EH_ColID),$A153,INDEX(EH_Data,0,EH_ColCat),BonusCat),SUMIFS(INDEX(EH_Data,0,EH_ColVal),INDEX(EH_Data,0,EH_ColFirst),$B153,INDEX(EH_Data,0,EH_ColSur),$C153,INDEX(EH_Data,0,EH_ColCat),BonusCat))))</f>
        <v/>
      </c>
      <c r="AK153" s="26" t="str">
        <f aca="false">IF(AO153=0,"",IF(OR(NOT(EH_Ready),BF153=1),"",AB153-AI153))</f>
        <v/>
      </c>
      <c r="AL153" s="26" t="str">
        <f aca="false">IF(AK153="","",AK153*HoursPerDay)</f>
        <v/>
      </c>
      <c r="AM153" s="27" t="str">
        <f aca="false">IF(AO153=0,"",IF(BF153=1,IF(N(AG153)&gt;0,"TERMINATED - forfeit "&amp;TEXT(AG153,"0.##")&amp;" days still in EH","Terminated - nothing in EH"),IF(NOT(EH_Ready),"Paste EH export and map headers on Settings",IF(AND(AB153&gt;0,AF153="No"),"SET UP in EH - add "&amp;TEXT(AB153,"0.##")&amp;" day(s) ("&amp;TEXT(AC153,"0.##")&amp;" hrs)",IF(AK153&gt;0,"ADD "&amp;TEXT(AK153,"0.##")&amp;" day(s) ("&amp;TEXT(AL153,"0.##")&amp;" hrs) in EH",IF(AK153&lt;0,"CHECK - EH shows "&amp;TEXT(-AK153,"0.##")&amp;" days more than policy",IF(AB153&gt;0,"OK - up to date",IF(AY153="None","No action - not eligible","No action - not yet qualified"))))))))</f>
        <v/>
      </c>
      <c r="AN153" s="27" t="str">
        <f aca="false">IF(AO153=0,"",TRIM(IF(AND($K153&lt;&gt;"",$H153=""),"Change 2 entered without Change 1. ","")&amp;IF(AND($K153&lt;&gt;"",$H153&lt;&gt;"",$K153&lt;=$H153),"Change 2 date not after Change 1. ","")&amp;IF(AND($N153&lt;&gt;"",$O153&lt;&gt;"",$O153&lt;$N153),"Leave To is before Leave From. ","")&amp;IF(AND($N153&lt;&gt;"",$O153=""),"Leave From entered without Leave To. ","")&amp;IF(AND(IFERROR(VLOOKUP(T153,TypeTable,2,0),"None")="PT",U153=""),"Part-time with no hours entered. ","")&amp;IF(AND($H153&lt;&gt;"",$H153&gt;AsOfDate,AD153&lt;&gt;"",$H153&lt;=AD153),"Status change lands before next accrual - review. ","")&amp;IF(AND($Q153&lt;&gt;"",$Q153&lt;$E153),"Termination before commencement. ","")))</f>
        <v/>
      </c>
      <c r="AO153" s="11" t="n">
        <f aca="false">IF(LEN($A153&amp;$B153&amp;$C153)=0,0,IF($E153="",0,1))</f>
        <v>0</v>
      </c>
      <c r="AP153" s="11" t="str">
        <f aca="false">IF(AO153=0,"",(IF(OR($N153="",$O153=""),0,MAX(0,MIN(X153,$O153)-MAX($N153,$E153)+1))+N($P153)))</f>
        <v/>
      </c>
      <c r="AQ153" s="11" t="str">
        <f aca="false">IF(AO153=0,"",IF(X153&lt;($E153+(IF(OR($N153="",$O153=""),0,MAX(0,MIN(X153,$O153)-MAX($N153,$E153)+1))+N($P153))),-1,12*(YEAR(X153)-YEAR(($E153+(IF(OR($N153="",$O153=""),0,MAX(0,MIN(X153,$O153)-MAX($N153,$E153)+1))+N($P153)))))+MONTH(X153)-MONTH(($E153+(IF(OR($N153="",$O153=""),0,MAX(0,MIN(X153,$O153)-MAX($N153,$E153)+1))+N($P153))))-IF(DAY(X153)&lt;MIN(DAY(($E153+(IF(OR($N153="",$O153=""),0,MAX(0,MIN(X153,$O153)-MAX($N153,$E153)+1))+N($P153)))),DAY(EOMONTH(X153,0))),1,0)))</f>
        <v/>
      </c>
      <c r="AR153" s="28" t="str">
        <f aca="false">IF(AO153=0,"",IF($H153="","",IF($H153&gt;X153,"",$H153)))</f>
        <v/>
      </c>
      <c r="AS153" s="28" t="str">
        <f aca="false">IF(AO153=0,"",IF(AR153="","",IF($K153="","",IF($K153&gt;X153,"",$K153))))</f>
        <v/>
      </c>
      <c r="AT153" s="11" t="str">
        <f aca="false">IF(AO153=0,"",IF(AR153="",AQ153,IF((AR153-1)&lt;($E153+(IF(OR($N153="",$O153=""),0,MAX(0,MIN((AR153-1),$O153)-MAX($N153,$E153)+1))+N($P153))),-1,12*(YEAR((AR153-1))-YEAR(($E153+(IF(OR($N153="",$O153=""),0,MAX(0,MIN((AR153-1),$O153)-MAX($N153,$E153)+1))+N($P153)))))+MONTH((AR153-1))-MONTH(($E153+(IF(OR($N153="",$O153=""),0,MAX(0,MIN((AR153-1),$O153)-MAX($N153,$E153)+1))+N($P153))))-IF(DAY((AR153-1))&lt;MIN(DAY(($E153+(IF(OR($N153="",$O153=""),0,MAX(0,MIN((AR153-1),$O153)-MAX($N153,$E153)+1))+N($P153)))),DAY(EOMONTH((AR153-1),0))),1,0))))</f>
        <v/>
      </c>
      <c r="AU153" s="11" t="str">
        <f aca="false">IF(AO153=0,"",IF(AS153="",AQ153,IF((AS153-1)&lt;($E153+(IF(OR($N153="",$O153=""),0,MAX(0,MIN((AS153-1),$O153)-MAX($N153,$E153)+1))+N($P153))),-1,12*(YEAR((AS153-1))-YEAR(($E153+(IF(OR($N153="",$O153=""),0,MAX(0,MIN((AS153-1),$O153)-MAX($N153,$E153)+1))+N($P153)))))+MONTH((AS153-1))-MONTH(($E153+(IF(OR($N153="",$O153=""),0,MAX(0,MIN((AS153-1),$O153)-MAX($N153,$E153)+1))+N($P153))))-IF(DAY((AS153-1))&lt;MIN(DAY(($E153+(IF(OR($N153="",$O153=""),0,MAX(0,MIN((AS153-1),$O153)-MAX($N153,$E153)+1))+N($P153)))),DAY(EOMONTH((AS153-1),0))),1,0))))</f>
        <v/>
      </c>
      <c r="AV153" s="11" t="str">
        <f aca="false">IF(AO153=0,"",IF($F153="","None",IF(IFERROR(VLOOKUP($F153,TypeTable,2,0),"None")="PT",IF(N($G153)&gt;=PT_MinHours,"PT","None"),IFERROR(VLOOKUP($F153,TypeTable,2,0),"None"))))</f>
        <v/>
      </c>
      <c r="AW153" s="11" t="str">
        <f aca="false">IF(AO153=0,"",IF($I153="","None",IF(IFERROR(VLOOKUP($I153,TypeTable,2,0),"None")="PT",IF(N($J153)&gt;=PT_MinHours,"PT","None"),IFERROR(VLOOKUP($I153,TypeTable,2,0),"None"))))</f>
        <v/>
      </c>
      <c r="AX153" s="11" t="str">
        <f aca="false">IF(AO153=0,"",IF($L153="","None",IF(IFERROR(VLOOKUP($L153,TypeTable,2,0),"None")="PT",IF(N($M153)&gt;=PT_MinHours,"PT","None"),IFERROR(VLOOKUP($L153,TypeTable,2,0),"None"))))</f>
        <v/>
      </c>
      <c r="AY153" s="11" t="str">
        <f aca="false">IF(AO153=0,"",IF(AS153&lt;&gt;"",AX153,IF(AR153&lt;&gt;"",AW153,AV153)))</f>
        <v/>
      </c>
      <c r="AZ153" s="11" t="str">
        <f aca="false">IF(AO153=0,"",IF(AV153="FT",IF(AT153&lt;FT_First,0,IF(AT153&lt;FT_Y5,1+INT((AT153-FT_First)/FT_Int1),FT_PreY5+FT_PerYear*INT((AT153-FT_Y5)/12)+FT_AnnivDays+INT(MOD(AT153-FT_Y5,12)/FT_Int2))),IF(AV153="PT",IF(AT153&lt;PT_First,0,1+INT((AT153-PT_First)/PT_Int)),0)))</f>
        <v/>
      </c>
      <c r="BA153" s="11" t="str">
        <f aca="false">IF(AO153=0,"",IF(AW153="FT",IF(AT153&lt;FT_First,0,IF(AT153&lt;FT_Y5,1+INT((AT153-FT_First)/FT_Int1),FT_PreY5+FT_PerYear*INT((AT153-FT_Y5)/12)+FT_AnnivDays+INT(MOD(AT153-FT_Y5,12)/FT_Int2))),IF(AW153="PT",IF(AT153&lt;PT_First,0,1+INT((AT153-PT_First)/PT_Int)),0)))</f>
        <v/>
      </c>
      <c r="BB153" s="11" t="str">
        <f aca="false">IF(AO153=0,"",IF(AW153="FT",IF(AU153&lt;FT_First,0,IF(AU153&lt;FT_Y5,1+INT((AU153-FT_First)/FT_Int1),FT_PreY5+FT_PerYear*INT((AU153-FT_Y5)/12)+FT_AnnivDays+INT(MOD(AU153-FT_Y5,12)/FT_Int2))),IF(AW153="PT",IF(AU153&lt;PT_First,0,1+INT((AU153-PT_First)/PT_Int)),0)))</f>
        <v/>
      </c>
      <c r="BC153" s="11" t="str">
        <f aca="false">IF(AO153=0,"",IF(AX153="FT",IF(AU153&lt;FT_First,0,IF(AU153&lt;FT_Y5,1+INT((AU153-FT_First)/FT_Int1),FT_PreY5+FT_PerYear*INT((AU153-FT_Y5)/12)+FT_AnnivDays+INT(MOD(AU153-FT_Y5,12)/FT_Int2))),IF(AX153="PT",IF(AU153&lt;PT_First,0,1+INT((AU153-PT_First)/PT_Int)),0)))</f>
        <v/>
      </c>
      <c r="BD153" s="11" t="str">
        <f aca="false">IF(AO153=0,"",IF(AX153="FT",IF(AQ153&lt;FT_First,0,IF(AQ153&lt;FT_Y5,1+INT((AQ153-FT_First)/FT_Int1),FT_PreY5+FT_PerYear*INT((AQ153-FT_Y5)/12)+FT_AnnivDays+INT(MOD(AQ153-FT_Y5,12)/FT_Int2))),IF(AX153="PT",IF(AQ153&lt;PT_First,0,1+INT((AQ153-PT_First)/PT_Int)),0)))</f>
        <v/>
      </c>
      <c r="BE153" s="11" t="str">
        <f aca="false">IF(AO153=0,"",IF(AY153="FT",IF(AQ153&lt;FT_First,FT_First,IF(AQ153&lt;FT_Y5,MIN(FT_Y5,FT_First+FT_Int1*(INT((AQ153-FT_First)/FT_Int1)+1)),FT_Y5+12*INT((AQ153-FT_Y5)/12)+FT_Int2*(INT(MOD(AQ153-FT_Y5,12)/FT_Int2)+1))),IF(AY153="PT",IF(AQ153&lt;PT_First,PT_First,PT_First+PT_Int*(INT((AQ153-PT_First)/PT_Int)+1)),"")))</f>
        <v/>
      </c>
      <c r="BF153" s="11" t="n">
        <f aca="false">IF(AO153=0,0,IF(AND($Q153&lt;&gt;"",$Q153&lt;=AsOfDate),1,0))</f>
        <v>0</v>
      </c>
      <c r="BG153" s="11" t="str">
        <f aca="false">IF(AND(AO153=1,BF153=0,EH_Ready,N(AB153)&gt;0,N(AI153)=0),COUNT($BG$5:BG152)+1,"")</f>
        <v/>
      </c>
      <c r="BH153" s="11" t="str">
        <f aca="false">IF(AND(AO153=1,BF153=0,EH_Ready,N(AB153)&gt;0,N(AI153)&gt;0,N(AK153)&gt;0),COUNT($BH$5:BH152)+1,"")</f>
        <v/>
      </c>
      <c r="BI153" s="11" t="str">
        <f aca="false">IF(AND(AO153=1,OR(LEFT(AM153,3)="ADD",LEFT(AM153,3)="SET",LEFT(AM153,5)="CHECK",LEFT(AM153,10)="TERMINATED")),COUNT($BI$5:BI152)+1,"")</f>
        <v/>
      </c>
      <c r="BJ153" s="11" t="str">
        <f aca="false">IF(AO153=0,"",$A153&amp;" - "&amp;$B153&amp;" "&amp;$C153)</f>
        <v/>
      </c>
    </row>
    <row r="154" customFormat="false" ht="15" hidden="false" customHeight="false" outlineLevel="0" collapsed="false">
      <c r="A154" s="10"/>
      <c r="B154" s="10"/>
      <c r="C154" s="10"/>
      <c r="D154" s="10"/>
      <c r="E154" s="9"/>
      <c r="F154" s="10"/>
      <c r="G154" s="30"/>
      <c r="H154" s="9"/>
      <c r="I154" s="10"/>
      <c r="J154" s="30"/>
      <c r="K154" s="9"/>
      <c r="L154" s="10"/>
      <c r="M154" s="30"/>
      <c r="N154" s="9"/>
      <c r="O154" s="9"/>
      <c r="P154" s="30"/>
      <c r="Q154" s="9"/>
      <c r="R154" s="10"/>
      <c r="S154" s="11" t="str">
        <f aca="false">IF(AO154=0,"",IF($H154="","",$F154&amp;" -&gt; "&amp;$I154&amp;IF($I154="Part-Time"," ("&amp;N($J154)&amp;" hrs)","")&amp;" on "&amp;TEXT($H154,"dd/mm/yyyy")&amp;IF($H154&gt;AsOfDate," (FUTURE)","")&amp;IF($K154="","","; "&amp;$I154&amp;" -&gt; "&amp;$L154&amp;IF($L154="Part-Time"," ("&amp;N($M154)&amp;" hrs)","")&amp;" on "&amp;TEXT($K154,"dd/mm/yyyy")&amp;IF($K154&gt;AsOfDate," (FUTURE)",""))))</f>
        <v/>
      </c>
      <c r="T154" s="11" t="str">
        <f aca="false">IF(AO154=0,"",IF(AS154&lt;&gt;"",$L154,IF(AR154&lt;&gt;"",$I154,$F154)))</f>
        <v/>
      </c>
      <c r="U154" s="26" t="str">
        <f aca="false">IF(AO154=0,"",IF(AS154&lt;&gt;"",$M154,IF(AR154&lt;&gt;"",$J154,$G154)))</f>
        <v/>
      </c>
      <c r="V154" s="11" t="str">
        <f aca="false">IF(AO154=0,"",IF(AY154="FT","Full-Time",IF(AY154="PT","Part-Time","Not eligible")))</f>
        <v/>
      </c>
      <c r="W154" s="27" t="str">
        <f aca="false">IF(AO154=0,"",IF(AR154="",IF(AND($H154&lt;&gt;"",$H154&gt;AsOfDate),"Future change - not yet applied",""),IF(AND(AV154=AY154,OR(AS154="",AW154=AV154)),"Type changed - same accrual pathway",IF(AY154="None","STOPPED accruing from "&amp;TEXT(IF(AS154&lt;&gt;"",AS154,AR154),"dd/mm/yyyy"),IF(AV154="None","STARTED qualifying from "&amp;TEXT(IF(AS154&lt;&gt;"",AS154,AR154),"dd/mm/yyyy"),"Pathway changed "&amp;AV154&amp;" -&gt; "&amp;AW154&amp;IF(AS154&lt;&gt;""," -&gt; "&amp;AX154,"")&amp;" from "&amp;TEXT(IF(AS154&lt;&gt;"",AS154,AR154),"dd/mm/yyyy"))))))</f>
        <v/>
      </c>
      <c r="X154" s="28" t="str">
        <f aca="false">IF(AO154=0,"",IF($Q154="",AsOfDate,MIN(AsOfDate,$Q154)))</f>
        <v/>
      </c>
      <c r="Y154" s="26" t="str">
        <f aca="false">IF(AO154=0,"",MAX(0,AQ154))</f>
        <v/>
      </c>
      <c r="Z154" s="11" t="str">
        <f aca="false">IF(AO154=0,"",IF(AQ154&lt;0,"Not started",INT(AQ154/12)&amp;"y "&amp;MOD(AQ154,12)&amp;"m"))</f>
        <v/>
      </c>
      <c r="AA154" s="27" t="str">
        <f aca="false">IF(AO154=0,"",IF(BF154=1,"Terminated - balance forfeited",IF(AY154="None",IF(AB154&gt;0,"No longer accruing - "&amp;T154,"Not eligible - "&amp;T154&amp;IF(AND(IFERROR(VLOOKUP(T154,TypeTable,2,0),"None")="PT",N(U154)&lt;PT_MinHours)," (under "&amp;PT_MinHours&amp;" hrs)","")),IF(AB154&gt;0,"Yes - accruing","Not yet - qualifies "&amp;TEXT(AD154,"dd/mm/yyyy")))))</f>
        <v/>
      </c>
      <c r="AB154" s="26" t="str">
        <f aca="false">IF(AO154=0,"",AZ154+IF(AR154="",0,BB154-BA154)+IF(AS154="",0,BD154-BC154))</f>
        <v/>
      </c>
      <c r="AC154" s="26" t="str">
        <f aca="false">IF(AO154=0,"",AB154*HoursPerDay)</f>
        <v/>
      </c>
      <c r="AD154" s="28" t="str">
        <f aca="false">IF(AO154=0,"",IF(OR(BF154=1,AY154="None"),"",EDATE($E154+AP154,BE154)))</f>
        <v/>
      </c>
      <c r="AE154" s="26" t="str">
        <f aca="false">IF(AD154="","",IF(AY154="PT",1,IF(BE154&lt;FT_Y5,1,IF(MOD(BE154-FT_Y5,12)=0,FT_AnnivDays,1))))</f>
        <v/>
      </c>
      <c r="AF154" s="27" t="str">
        <f aca="false">IF(AO154=0,"",IF(NOT(EH_Ready),"Map headers",IF(IF(MatchMode="Employee ID",COUNTIFS(INDEX(EH_Data,0,EH_ColID),$A154,INDEX(EH_Data,0,EH_ColCat),BonusCat),COUNTIFS(INDEX(EH_Data,0,EH_ColFirst),$B154,INDEX(EH_Data,0,EH_ColSur),$C154,INDEX(EH_Data,0,EH_ColCat),BonusCat))&gt;0,"Yes","No")))</f>
        <v/>
      </c>
      <c r="AG154" s="26" t="str">
        <f aca="false">IF(AO154=0,"",IF(NOT(EH_Ready),"",IF(MatchMode="Employee ID",SUMIFS(INDEX(EH_Data,0,EH_ColBal),INDEX(EH_Data,0,EH_ColID),$A154,INDEX(EH_Data,0,EH_ColCat),BonusCat),SUMIFS(INDEX(EH_Data,0,EH_ColBal),INDEX(EH_Data,0,EH_ColFirst),$B154,INDEX(EH_Data,0,EH_ColSur),$C154,INDEX(EH_Data,0,EH_ColCat),BonusCat))/IF(EHUnit="Hours",HoursPerDay,1)))</f>
        <v/>
      </c>
      <c r="AH154" s="26" t="str">
        <f aca="false">IF(AO154=0,"",IF(NOT(TK_Ready),0,IF(MatchMode="Employee ID",SUMIFS(INDEX(TK_Data,0,TK_ColAmt),INDEX(TK_Data,0,TK_ColID),$A154,INDEX(TK_Data,0,TK_ColCat),BonusCat),SUMIFS(INDEX(TK_Data,0,TK_ColAmt),INDEX(TK_Data,0,TK_ColFirst),$B154,INDEX(TK_Data,0,TK_ColSur),$C154,INDEX(TK_Data,0,TK_ColCat),BonusCat))/IF(TKUnit="Hours",HoursPerDay,1)))</f>
        <v/>
      </c>
      <c r="AI154" s="26" t="str">
        <f aca="false">IF(AO154=0,"",N(AG154)+N(AH154))</f>
        <v/>
      </c>
      <c r="AJ154" s="29" t="str">
        <f aca="false">IF(AO154=0,"",IF(NOT(AND(EH_Ready,EH_ValReady)),"",IF(MatchMode="Employee ID",SUMIFS(INDEX(EH_Data,0,EH_ColVal),INDEX(EH_Data,0,EH_ColID),$A154,INDEX(EH_Data,0,EH_ColCat),BonusCat),SUMIFS(INDEX(EH_Data,0,EH_ColVal),INDEX(EH_Data,0,EH_ColFirst),$B154,INDEX(EH_Data,0,EH_ColSur),$C154,INDEX(EH_Data,0,EH_ColCat),BonusCat))))</f>
        <v/>
      </c>
      <c r="AK154" s="26" t="str">
        <f aca="false">IF(AO154=0,"",IF(OR(NOT(EH_Ready),BF154=1),"",AB154-AI154))</f>
        <v/>
      </c>
      <c r="AL154" s="26" t="str">
        <f aca="false">IF(AK154="","",AK154*HoursPerDay)</f>
        <v/>
      </c>
      <c r="AM154" s="27" t="str">
        <f aca="false">IF(AO154=0,"",IF(BF154=1,IF(N(AG154)&gt;0,"TERMINATED - forfeit "&amp;TEXT(AG154,"0.##")&amp;" days still in EH","Terminated - nothing in EH"),IF(NOT(EH_Ready),"Paste EH export and map headers on Settings",IF(AND(AB154&gt;0,AF154="No"),"SET UP in EH - add "&amp;TEXT(AB154,"0.##")&amp;" day(s) ("&amp;TEXT(AC154,"0.##")&amp;" hrs)",IF(AK154&gt;0,"ADD "&amp;TEXT(AK154,"0.##")&amp;" day(s) ("&amp;TEXT(AL154,"0.##")&amp;" hrs) in EH",IF(AK154&lt;0,"CHECK - EH shows "&amp;TEXT(-AK154,"0.##")&amp;" days more than policy",IF(AB154&gt;0,"OK - up to date",IF(AY154="None","No action - not eligible","No action - not yet qualified"))))))))</f>
        <v/>
      </c>
      <c r="AN154" s="27" t="str">
        <f aca="false">IF(AO154=0,"",TRIM(IF(AND($K154&lt;&gt;"",$H154=""),"Change 2 entered without Change 1. ","")&amp;IF(AND($K154&lt;&gt;"",$H154&lt;&gt;"",$K154&lt;=$H154),"Change 2 date not after Change 1. ","")&amp;IF(AND($N154&lt;&gt;"",$O154&lt;&gt;"",$O154&lt;$N154),"Leave To is before Leave From. ","")&amp;IF(AND($N154&lt;&gt;"",$O154=""),"Leave From entered without Leave To. ","")&amp;IF(AND(IFERROR(VLOOKUP(T154,TypeTable,2,0),"None")="PT",U154=""),"Part-time with no hours entered. ","")&amp;IF(AND($H154&lt;&gt;"",$H154&gt;AsOfDate,AD154&lt;&gt;"",$H154&lt;=AD154),"Status change lands before next accrual - review. ","")&amp;IF(AND($Q154&lt;&gt;"",$Q154&lt;$E154),"Termination before commencement. ","")))</f>
        <v/>
      </c>
      <c r="AO154" s="11" t="n">
        <f aca="false">IF(LEN($A154&amp;$B154&amp;$C154)=0,0,IF($E154="",0,1))</f>
        <v>0</v>
      </c>
      <c r="AP154" s="11" t="str">
        <f aca="false">IF(AO154=0,"",(IF(OR($N154="",$O154=""),0,MAX(0,MIN(X154,$O154)-MAX($N154,$E154)+1))+N($P154)))</f>
        <v/>
      </c>
      <c r="AQ154" s="11" t="str">
        <f aca="false">IF(AO154=0,"",IF(X154&lt;($E154+(IF(OR($N154="",$O154=""),0,MAX(0,MIN(X154,$O154)-MAX($N154,$E154)+1))+N($P154))),-1,12*(YEAR(X154)-YEAR(($E154+(IF(OR($N154="",$O154=""),0,MAX(0,MIN(X154,$O154)-MAX($N154,$E154)+1))+N($P154)))))+MONTH(X154)-MONTH(($E154+(IF(OR($N154="",$O154=""),0,MAX(0,MIN(X154,$O154)-MAX($N154,$E154)+1))+N($P154))))-IF(DAY(X154)&lt;MIN(DAY(($E154+(IF(OR($N154="",$O154=""),0,MAX(0,MIN(X154,$O154)-MAX($N154,$E154)+1))+N($P154)))),DAY(EOMONTH(X154,0))),1,0)))</f>
        <v/>
      </c>
      <c r="AR154" s="28" t="str">
        <f aca="false">IF(AO154=0,"",IF($H154="","",IF($H154&gt;X154,"",$H154)))</f>
        <v/>
      </c>
      <c r="AS154" s="28" t="str">
        <f aca="false">IF(AO154=0,"",IF(AR154="","",IF($K154="","",IF($K154&gt;X154,"",$K154))))</f>
        <v/>
      </c>
      <c r="AT154" s="11" t="str">
        <f aca="false">IF(AO154=0,"",IF(AR154="",AQ154,IF((AR154-1)&lt;($E154+(IF(OR($N154="",$O154=""),0,MAX(0,MIN((AR154-1),$O154)-MAX($N154,$E154)+1))+N($P154))),-1,12*(YEAR((AR154-1))-YEAR(($E154+(IF(OR($N154="",$O154=""),0,MAX(0,MIN((AR154-1),$O154)-MAX($N154,$E154)+1))+N($P154)))))+MONTH((AR154-1))-MONTH(($E154+(IF(OR($N154="",$O154=""),0,MAX(0,MIN((AR154-1),$O154)-MAX($N154,$E154)+1))+N($P154))))-IF(DAY((AR154-1))&lt;MIN(DAY(($E154+(IF(OR($N154="",$O154=""),0,MAX(0,MIN((AR154-1),$O154)-MAX($N154,$E154)+1))+N($P154)))),DAY(EOMONTH((AR154-1),0))),1,0))))</f>
        <v/>
      </c>
      <c r="AU154" s="11" t="str">
        <f aca="false">IF(AO154=0,"",IF(AS154="",AQ154,IF((AS154-1)&lt;($E154+(IF(OR($N154="",$O154=""),0,MAX(0,MIN((AS154-1),$O154)-MAX($N154,$E154)+1))+N($P154))),-1,12*(YEAR((AS154-1))-YEAR(($E154+(IF(OR($N154="",$O154=""),0,MAX(0,MIN((AS154-1),$O154)-MAX($N154,$E154)+1))+N($P154)))))+MONTH((AS154-1))-MONTH(($E154+(IF(OR($N154="",$O154=""),0,MAX(0,MIN((AS154-1),$O154)-MAX($N154,$E154)+1))+N($P154))))-IF(DAY((AS154-1))&lt;MIN(DAY(($E154+(IF(OR($N154="",$O154=""),0,MAX(0,MIN((AS154-1),$O154)-MAX($N154,$E154)+1))+N($P154)))),DAY(EOMONTH((AS154-1),0))),1,0))))</f>
        <v/>
      </c>
      <c r="AV154" s="11" t="str">
        <f aca="false">IF(AO154=0,"",IF($F154="","None",IF(IFERROR(VLOOKUP($F154,TypeTable,2,0),"None")="PT",IF(N($G154)&gt;=PT_MinHours,"PT","None"),IFERROR(VLOOKUP($F154,TypeTable,2,0),"None"))))</f>
        <v/>
      </c>
      <c r="AW154" s="11" t="str">
        <f aca="false">IF(AO154=0,"",IF($I154="","None",IF(IFERROR(VLOOKUP($I154,TypeTable,2,0),"None")="PT",IF(N($J154)&gt;=PT_MinHours,"PT","None"),IFERROR(VLOOKUP($I154,TypeTable,2,0),"None"))))</f>
        <v/>
      </c>
      <c r="AX154" s="11" t="str">
        <f aca="false">IF(AO154=0,"",IF($L154="","None",IF(IFERROR(VLOOKUP($L154,TypeTable,2,0),"None")="PT",IF(N($M154)&gt;=PT_MinHours,"PT","None"),IFERROR(VLOOKUP($L154,TypeTable,2,0),"None"))))</f>
        <v/>
      </c>
      <c r="AY154" s="11" t="str">
        <f aca="false">IF(AO154=0,"",IF(AS154&lt;&gt;"",AX154,IF(AR154&lt;&gt;"",AW154,AV154)))</f>
        <v/>
      </c>
      <c r="AZ154" s="11" t="str">
        <f aca="false">IF(AO154=0,"",IF(AV154="FT",IF(AT154&lt;FT_First,0,IF(AT154&lt;FT_Y5,1+INT((AT154-FT_First)/FT_Int1),FT_PreY5+FT_PerYear*INT((AT154-FT_Y5)/12)+FT_AnnivDays+INT(MOD(AT154-FT_Y5,12)/FT_Int2))),IF(AV154="PT",IF(AT154&lt;PT_First,0,1+INT((AT154-PT_First)/PT_Int)),0)))</f>
        <v/>
      </c>
      <c r="BA154" s="11" t="str">
        <f aca="false">IF(AO154=0,"",IF(AW154="FT",IF(AT154&lt;FT_First,0,IF(AT154&lt;FT_Y5,1+INT((AT154-FT_First)/FT_Int1),FT_PreY5+FT_PerYear*INT((AT154-FT_Y5)/12)+FT_AnnivDays+INT(MOD(AT154-FT_Y5,12)/FT_Int2))),IF(AW154="PT",IF(AT154&lt;PT_First,0,1+INT((AT154-PT_First)/PT_Int)),0)))</f>
        <v/>
      </c>
      <c r="BB154" s="11" t="str">
        <f aca="false">IF(AO154=0,"",IF(AW154="FT",IF(AU154&lt;FT_First,0,IF(AU154&lt;FT_Y5,1+INT((AU154-FT_First)/FT_Int1),FT_PreY5+FT_PerYear*INT((AU154-FT_Y5)/12)+FT_AnnivDays+INT(MOD(AU154-FT_Y5,12)/FT_Int2))),IF(AW154="PT",IF(AU154&lt;PT_First,0,1+INT((AU154-PT_First)/PT_Int)),0)))</f>
        <v/>
      </c>
      <c r="BC154" s="11" t="str">
        <f aca="false">IF(AO154=0,"",IF(AX154="FT",IF(AU154&lt;FT_First,0,IF(AU154&lt;FT_Y5,1+INT((AU154-FT_First)/FT_Int1),FT_PreY5+FT_PerYear*INT((AU154-FT_Y5)/12)+FT_AnnivDays+INT(MOD(AU154-FT_Y5,12)/FT_Int2))),IF(AX154="PT",IF(AU154&lt;PT_First,0,1+INT((AU154-PT_First)/PT_Int)),0)))</f>
        <v/>
      </c>
      <c r="BD154" s="11" t="str">
        <f aca="false">IF(AO154=0,"",IF(AX154="FT",IF(AQ154&lt;FT_First,0,IF(AQ154&lt;FT_Y5,1+INT((AQ154-FT_First)/FT_Int1),FT_PreY5+FT_PerYear*INT((AQ154-FT_Y5)/12)+FT_AnnivDays+INT(MOD(AQ154-FT_Y5,12)/FT_Int2))),IF(AX154="PT",IF(AQ154&lt;PT_First,0,1+INT((AQ154-PT_First)/PT_Int)),0)))</f>
        <v/>
      </c>
      <c r="BE154" s="11" t="str">
        <f aca="false">IF(AO154=0,"",IF(AY154="FT",IF(AQ154&lt;FT_First,FT_First,IF(AQ154&lt;FT_Y5,MIN(FT_Y5,FT_First+FT_Int1*(INT((AQ154-FT_First)/FT_Int1)+1)),FT_Y5+12*INT((AQ154-FT_Y5)/12)+FT_Int2*(INT(MOD(AQ154-FT_Y5,12)/FT_Int2)+1))),IF(AY154="PT",IF(AQ154&lt;PT_First,PT_First,PT_First+PT_Int*(INT((AQ154-PT_First)/PT_Int)+1)),"")))</f>
        <v/>
      </c>
      <c r="BF154" s="11" t="n">
        <f aca="false">IF(AO154=0,0,IF(AND($Q154&lt;&gt;"",$Q154&lt;=AsOfDate),1,0))</f>
        <v>0</v>
      </c>
      <c r="BG154" s="11" t="str">
        <f aca="false">IF(AND(AO154=1,BF154=0,EH_Ready,N(AB154)&gt;0,N(AI154)=0),COUNT($BG$5:BG153)+1,"")</f>
        <v/>
      </c>
      <c r="BH154" s="11" t="str">
        <f aca="false">IF(AND(AO154=1,BF154=0,EH_Ready,N(AB154)&gt;0,N(AI154)&gt;0,N(AK154)&gt;0),COUNT($BH$5:BH153)+1,"")</f>
        <v/>
      </c>
      <c r="BI154" s="11" t="str">
        <f aca="false">IF(AND(AO154=1,OR(LEFT(AM154,3)="ADD",LEFT(AM154,3)="SET",LEFT(AM154,5)="CHECK",LEFT(AM154,10)="TERMINATED")),COUNT($BI$5:BI153)+1,"")</f>
        <v/>
      </c>
      <c r="BJ154" s="11" t="str">
        <f aca="false">IF(AO154=0,"",$A154&amp;" - "&amp;$B154&amp;" "&amp;$C154)</f>
        <v/>
      </c>
    </row>
    <row r="155" customFormat="false" ht="15" hidden="false" customHeight="false" outlineLevel="0" collapsed="false">
      <c r="A155" s="10"/>
      <c r="B155" s="10"/>
      <c r="C155" s="10"/>
      <c r="D155" s="10"/>
      <c r="E155" s="9"/>
      <c r="F155" s="10"/>
      <c r="G155" s="30"/>
      <c r="H155" s="9"/>
      <c r="I155" s="10"/>
      <c r="J155" s="30"/>
      <c r="K155" s="9"/>
      <c r="L155" s="10"/>
      <c r="M155" s="30"/>
      <c r="N155" s="9"/>
      <c r="O155" s="9"/>
      <c r="P155" s="30"/>
      <c r="Q155" s="9"/>
      <c r="R155" s="10"/>
      <c r="S155" s="11" t="str">
        <f aca="false">IF(AO155=0,"",IF($H155="","",$F155&amp;" -&gt; "&amp;$I155&amp;IF($I155="Part-Time"," ("&amp;N($J155)&amp;" hrs)","")&amp;" on "&amp;TEXT($H155,"dd/mm/yyyy")&amp;IF($H155&gt;AsOfDate," (FUTURE)","")&amp;IF($K155="","","; "&amp;$I155&amp;" -&gt; "&amp;$L155&amp;IF($L155="Part-Time"," ("&amp;N($M155)&amp;" hrs)","")&amp;" on "&amp;TEXT($K155,"dd/mm/yyyy")&amp;IF($K155&gt;AsOfDate," (FUTURE)",""))))</f>
        <v/>
      </c>
      <c r="T155" s="11" t="str">
        <f aca="false">IF(AO155=0,"",IF(AS155&lt;&gt;"",$L155,IF(AR155&lt;&gt;"",$I155,$F155)))</f>
        <v/>
      </c>
      <c r="U155" s="26" t="str">
        <f aca="false">IF(AO155=0,"",IF(AS155&lt;&gt;"",$M155,IF(AR155&lt;&gt;"",$J155,$G155)))</f>
        <v/>
      </c>
      <c r="V155" s="11" t="str">
        <f aca="false">IF(AO155=0,"",IF(AY155="FT","Full-Time",IF(AY155="PT","Part-Time","Not eligible")))</f>
        <v/>
      </c>
      <c r="W155" s="27" t="str">
        <f aca="false">IF(AO155=0,"",IF(AR155="",IF(AND($H155&lt;&gt;"",$H155&gt;AsOfDate),"Future change - not yet applied",""),IF(AND(AV155=AY155,OR(AS155="",AW155=AV155)),"Type changed - same accrual pathway",IF(AY155="None","STOPPED accruing from "&amp;TEXT(IF(AS155&lt;&gt;"",AS155,AR155),"dd/mm/yyyy"),IF(AV155="None","STARTED qualifying from "&amp;TEXT(IF(AS155&lt;&gt;"",AS155,AR155),"dd/mm/yyyy"),"Pathway changed "&amp;AV155&amp;" -&gt; "&amp;AW155&amp;IF(AS155&lt;&gt;""," -&gt; "&amp;AX155,"")&amp;" from "&amp;TEXT(IF(AS155&lt;&gt;"",AS155,AR155),"dd/mm/yyyy"))))))</f>
        <v/>
      </c>
      <c r="X155" s="28" t="str">
        <f aca="false">IF(AO155=0,"",IF($Q155="",AsOfDate,MIN(AsOfDate,$Q155)))</f>
        <v/>
      </c>
      <c r="Y155" s="26" t="str">
        <f aca="false">IF(AO155=0,"",MAX(0,AQ155))</f>
        <v/>
      </c>
      <c r="Z155" s="11" t="str">
        <f aca="false">IF(AO155=0,"",IF(AQ155&lt;0,"Not started",INT(AQ155/12)&amp;"y "&amp;MOD(AQ155,12)&amp;"m"))</f>
        <v/>
      </c>
      <c r="AA155" s="27" t="str">
        <f aca="false">IF(AO155=0,"",IF(BF155=1,"Terminated - balance forfeited",IF(AY155="None",IF(AB155&gt;0,"No longer accruing - "&amp;T155,"Not eligible - "&amp;T155&amp;IF(AND(IFERROR(VLOOKUP(T155,TypeTable,2,0),"None")="PT",N(U155)&lt;PT_MinHours)," (under "&amp;PT_MinHours&amp;" hrs)","")),IF(AB155&gt;0,"Yes - accruing","Not yet - qualifies "&amp;TEXT(AD155,"dd/mm/yyyy")))))</f>
        <v/>
      </c>
      <c r="AB155" s="26" t="str">
        <f aca="false">IF(AO155=0,"",AZ155+IF(AR155="",0,BB155-BA155)+IF(AS155="",0,BD155-BC155))</f>
        <v/>
      </c>
      <c r="AC155" s="26" t="str">
        <f aca="false">IF(AO155=0,"",AB155*HoursPerDay)</f>
        <v/>
      </c>
      <c r="AD155" s="28" t="str">
        <f aca="false">IF(AO155=0,"",IF(OR(BF155=1,AY155="None"),"",EDATE($E155+AP155,BE155)))</f>
        <v/>
      </c>
      <c r="AE155" s="26" t="str">
        <f aca="false">IF(AD155="","",IF(AY155="PT",1,IF(BE155&lt;FT_Y5,1,IF(MOD(BE155-FT_Y5,12)=0,FT_AnnivDays,1))))</f>
        <v/>
      </c>
      <c r="AF155" s="27" t="str">
        <f aca="false">IF(AO155=0,"",IF(NOT(EH_Ready),"Map headers",IF(IF(MatchMode="Employee ID",COUNTIFS(INDEX(EH_Data,0,EH_ColID),$A155,INDEX(EH_Data,0,EH_ColCat),BonusCat),COUNTIFS(INDEX(EH_Data,0,EH_ColFirst),$B155,INDEX(EH_Data,0,EH_ColSur),$C155,INDEX(EH_Data,0,EH_ColCat),BonusCat))&gt;0,"Yes","No")))</f>
        <v/>
      </c>
      <c r="AG155" s="26" t="str">
        <f aca="false">IF(AO155=0,"",IF(NOT(EH_Ready),"",IF(MatchMode="Employee ID",SUMIFS(INDEX(EH_Data,0,EH_ColBal),INDEX(EH_Data,0,EH_ColID),$A155,INDEX(EH_Data,0,EH_ColCat),BonusCat),SUMIFS(INDEX(EH_Data,0,EH_ColBal),INDEX(EH_Data,0,EH_ColFirst),$B155,INDEX(EH_Data,0,EH_ColSur),$C155,INDEX(EH_Data,0,EH_ColCat),BonusCat))/IF(EHUnit="Hours",HoursPerDay,1)))</f>
        <v/>
      </c>
      <c r="AH155" s="26" t="str">
        <f aca="false">IF(AO155=0,"",IF(NOT(TK_Ready),0,IF(MatchMode="Employee ID",SUMIFS(INDEX(TK_Data,0,TK_ColAmt),INDEX(TK_Data,0,TK_ColID),$A155,INDEX(TK_Data,0,TK_ColCat),BonusCat),SUMIFS(INDEX(TK_Data,0,TK_ColAmt),INDEX(TK_Data,0,TK_ColFirst),$B155,INDEX(TK_Data,0,TK_ColSur),$C155,INDEX(TK_Data,0,TK_ColCat),BonusCat))/IF(TKUnit="Hours",HoursPerDay,1)))</f>
        <v/>
      </c>
      <c r="AI155" s="26" t="str">
        <f aca="false">IF(AO155=0,"",N(AG155)+N(AH155))</f>
        <v/>
      </c>
      <c r="AJ155" s="29" t="str">
        <f aca="false">IF(AO155=0,"",IF(NOT(AND(EH_Ready,EH_ValReady)),"",IF(MatchMode="Employee ID",SUMIFS(INDEX(EH_Data,0,EH_ColVal),INDEX(EH_Data,0,EH_ColID),$A155,INDEX(EH_Data,0,EH_ColCat),BonusCat),SUMIFS(INDEX(EH_Data,0,EH_ColVal),INDEX(EH_Data,0,EH_ColFirst),$B155,INDEX(EH_Data,0,EH_ColSur),$C155,INDEX(EH_Data,0,EH_ColCat),BonusCat))))</f>
        <v/>
      </c>
      <c r="AK155" s="26" t="str">
        <f aca="false">IF(AO155=0,"",IF(OR(NOT(EH_Ready),BF155=1),"",AB155-AI155))</f>
        <v/>
      </c>
      <c r="AL155" s="26" t="str">
        <f aca="false">IF(AK155="","",AK155*HoursPerDay)</f>
        <v/>
      </c>
      <c r="AM155" s="27" t="str">
        <f aca="false">IF(AO155=0,"",IF(BF155=1,IF(N(AG155)&gt;0,"TERMINATED - forfeit "&amp;TEXT(AG155,"0.##")&amp;" days still in EH","Terminated - nothing in EH"),IF(NOT(EH_Ready),"Paste EH export and map headers on Settings",IF(AND(AB155&gt;0,AF155="No"),"SET UP in EH - add "&amp;TEXT(AB155,"0.##")&amp;" day(s) ("&amp;TEXT(AC155,"0.##")&amp;" hrs)",IF(AK155&gt;0,"ADD "&amp;TEXT(AK155,"0.##")&amp;" day(s) ("&amp;TEXT(AL155,"0.##")&amp;" hrs) in EH",IF(AK155&lt;0,"CHECK - EH shows "&amp;TEXT(-AK155,"0.##")&amp;" days more than policy",IF(AB155&gt;0,"OK - up to date",IF(AY155="None","No action - not eligible","No action - not yet qualified"))))))))</f>
        <v/>
      </c>
      <c r="AN155" s="27" t="str">
        <f aca="false">IF(AO155=0,"",TRIM(IF(AND($K155&lt;&gt;"",$H155=""),"Change 2 entered without Change 1. ","")&amp;IF(AND($K155&lt;&gt;"",$H155&lt;&gt;"",$K155&lt;=$H155),"Change 2 date not after Change 1. ","")&amp;IF(AND($N155&lt;&gt;"",$O155&lt;&gt;"",$O155&lt;$N155),"Leave To is before Leave From. ","")&amp;IF(AND($N155&lt;&gt;"",$O155=""),"Leave From entered without Leave To. ","")&amp;IF(AND(IFERROR(VLOOKUP(T155,TypeTable,2,0),"None")="PT",U155=""),"Part-time with no hours entered. ","")&amp;IF(AND($H155&lt;&gt;"",$H155&gt;AsOfDate,AD155&lt;&gt;"",$H155&lt;=AD155),"Status change lands before next accrual - review. ","")&amp;IF(AND($Q155&lt;&gt;"",$Q155&lt;$E155),"Termination before commencement. ","")))</f>
        <v/>
      </c>
      <c r="AO155" s="11" t="n">
        <f aca="false">IF(LEN($A155&amp;$B155&amp;$C155)=0,0,IF($E155="",0,1))</f>
        <v>0</v>
      </c>
      <c r="AP155" s="11" t="str">
        <f aca="false">IF(AO155=0,"",(IF(OR($N155="",$O155=""),0,MAX(0,MIN(X155,$O155)-MAX($N155,$E155)+1))+N($P155)))</f>
        <v/>
      </c>
      <c r="AQ155" s="11" t="str">
        <f aca="false">IF(AO155=0,"",IF(X155&lt;($E155+(IF(OR($N155="",$O155=""),0,MAX(0,MIN(X155,$O155)-MAX($N155,$E155)+1))+N($P155))),-1,12*(YEAR(X155)-YEAR(($E155+(IF(OR($N155="",$O155=""),0,MAX(0,MIN(X155,$O155)-MAX($N155,$E155)+1))+N($P155)))))+MONTH(X155)-MONTH(($E155+(IF(OR($N155="",$O155=""),0,MAX(0,MIN(X155,$O155)-MAX($N155,$E155)+1))+N($P155))))-IF(DAY(X155)&lt;MIN(DAY(($E155+(IF(OR($N155="",$O155=""),0,MAX(0,MIN(X155,$O155)-MAX($N155,$E155)+1))+N($P155)))),DAY(EOMONTH(X155,0))),1,0)))</f>
        <v/>
      </c>
      <c r="AR155" s="28" t="str">
        <f aca="false">IF(AO155=0,"",IF($H155="","",IF($H155&gt;X155,"",$H155)))</f>
        <v/>
      </c>
      <c r="AS155" s="28" t="str">
        <f aca="false">IF(AO155=0,"",IF(AR155="","",IF($K155="","",IF($K155&gt;X155,"",$K155))))</f>
        <v/>
      </c>
      <c r="AT155" s="11" t="str">
        <f aca="false">IF(AO155=0,"",IF(AR155="",AQ155,IF((AR155-1)&lt;($E155+(IF(OR($N155="",$O155=""),0,MAX(0,MIN((AR155-1),$O155)-MAX($N155,$E155)+1))+N($P155))),-1,12*(YEAR((AR155-1))-YEAR(($E155+(IF(OR($N155="",$O155=""),0,MAX(0,MIN((AR155-1),$O155)-MAX($N155,$E155)+1))+N($P155)))))+MONTH((AR155-1))-MONTH(($E155+(IF(OR($N155="",$O155=""),0,MAX(0,MIN((AR155-1),$O155)-MAX($N155,$E155)+1))+N($P155))))-IF(DAY((AR155-1))&lt;MIN(DAY(($E155+(IF(OR($N155="",$O155=""),0,MAX(0,MIN((AR155-1),$O155)-MAX($N155,$E155)+1))+N($P155)))),DAY(EOMONTH((AR155-1),0))),1,0))))</f>
        <v/>
      </c>
      <c r="AU155" s="11" t="str">
        <f aca="false">IF(AO155=0,"",IF(AS155="",AQ155,IF((AS155-1)&lt;($E155+(IF(OR($N155="",$O155=""),0,MAX(0,MIN((AS155-1),$O155)-MAX($N155,$E155)+1))+N($P155))),-1,12*(YEAR((AS155-1))-YEAR(($E155+(IF(OR($N155="",$O155=""),0,MAX(0,MIN((AS155-1),$O155)-MAX($N155,$E155)+1))+N($P155)))))+MONTH((AS155-1))-MONTH(($E155+(IF(OR($N155="",$O155=""),0,MAX(0,MIN((AS155-1),$O155)-MAX($N155,$E155)+1))+N($P155))))-IF(DAY((AS155-1))&lt;MIN(DAY(($E155+(IF(OR($N155="",$O155=""),0,MAX(0,MIN((AS155-1),$O155)-MAX($N155,$E155)+1))+N($P155)))),DAY(EOMONTH((AS155-1),0))),1,0))))</f>
        <v/>
      </c>
      <c r="AV155" s="11" t="str">
        <f aca="false">IF(AO155=0,"",IF($F155="","None",IF(IFERROR(VLOOKUP($F155,TypeTable,2,0),"None")="PT",IF(N($G155)&gt;=PT_MinHours,"PT","None"),IFERROR(VLOOKUP($F155,TypeTable,2,0),"None"))))</f>
        <v/>
      </c>
      <c r="AW155" s="11" t="str">
        <f aca="false">IF(AO155=0,"",IF($I155="","None",IF(IFERROR(VLOOKUP($I155,TypeTable,2,0),"None")="PT",IF(N($J155)&gt;=PT_MinHours,"PT","None"),IFERROR(VLOOKUP($I155,TypeTable,2,0),"None"))))</f>
        <v/>
      </c>
      <c r="AX155" s="11" t="str">
        <f aca="false">IF(AO155=0,"",IF($L155="","None",IF(IFERROR(VLOOKUP($L155,TypeTable,2,0),"None")="PT",IF(N($M155)&gt;=PT_MinHours,"PT","None"),IFERROR(VLOOKUP($L155,TypeTable,2,0),"None"))))</f>
        <v/>
      </c>
      <c r="AY155" s="11" t="str">
        <f aca="false">IF(AO155=0,"",IF(AS155&lt;&gt;"",AX155,IF(AR155&lt;&gt;"",AW155,AV155)))</f>
        <v/>
      </c>
      <c r="AZ155" s="11" t="str">
        <f aca="false">IF(AO155=0,"",IF(AV155="FT",IF(AT155&lt;FT_First,0,IF(AT155&lt;FT_Y5,1+INT((AT155-FT_First)/FT_Int1),FT_PreY5+FT_PerYear*INT((AT155-FT_Y5)/12)+FT_AnnivDays+INT(MOD(AT155-FT_Y5,12)/FT_Int2))),IF(AV155="PT",IF(AT155&lt;PT_First,0,1+INT((AT155-PT_First)/PT_Int)),0)))</f>
        <v/>
      </c>
      <c r="BA155" s="11" t="str">
        <f aca="false">IF(AO155=0,"",IF(AW155="FT",IF(AT155&lt;FT_First,0,IF(AT155&lt;FT_Y5,1+INT((AT155-FT_First)/FT_Int1),FT_PreY5+FT_PerYear*INT((AT155-FT_Y5)/12)+FT_AnnivDays+INT(MOD(AT155-FT_Y5,12)/FT_Int2))),IF(AW155="PT",IF(AT155&lt;PT_First,0,1+INT((AT155-PT_First)/PT_Int)),0)))</f>
        <v/>
      </c>
      <c r="BB155" s="11" t="str">
        <f aca="false">IF(AO155=0,"",IF(AW155="FT",IF(AU155&lt;FT_First,0,IF(AU155&lt;FT_Y5,1+INT((AU155-FT_First)/FT_Int1),FT_PreY5+FT_PerYear*INT((AU155-FT_Y5)/12)+FT_AnnivDays+INT(MOD(AU155-FT_Y5,12)/FT_Int2))),IF(AW155="PT",IF(AU155&lt;PT_First,0,1+INT((AU155-PT_First)/PT_Int)),0)))</f>
        <v/>
      </c>
      <c r="BC155" s="11" t="str">
        <f aca="false">IF(AO155=0,"",IF(AX155="FT",IF(AU155&lt;FT_First,0,IF(AU155&lt;FT_Y5,1+INT((AU155-FT_First)/FT_Int1),FT_PreY5+FT_PerYear*INT((AU155-FT_Y5)/12)+FT_AnnivDays+INT(MOD(AU155-FT_Y5,12)/FT_Int2))),IF(AX155="PT",IF(AU155&lt;PT_First,0,1+INT((AU155-PT_First)/PT_Int)),0)))</f>
        <v/>
      </c>
      <c r="BD155" s="11" t="str">
        <f aca="false">IF(AO155=0,"",IF(AX155="FT",IF(AQ155&lt;FT_First,0,IF(AQ155&lt;FT_Y5,1+INT((AQ155-FT_First)/FT_Int1),FT_PreY5+FT_PerYear*INT((AQ155-FT_Y5)/12)+FT_AnnivDays+INT(MOD(AQ155-FT_Y5,12)/FT_Int2))),IF(AX155="PT",IF(AQ155&lt;PT_First,0,1+INT((AQ155-PT_First)/PT_Int)),0)))</f>
        <v/>
      </c>
      <c r="BE155" s="11" t="str">
        <f aca="false">IF(AO155=0,"",IF(AY155="FT",IF(AQ155&lt;FT_First,FT_First,IF(AQ155&lt;FT_Y5,MIN(FT_Y5,FT_First+FT_Int1*(INT((AQ155-FT_First)/FT_Int1)+1)),FT_Y5+12*INT((AQ155-FT_Y5)/12)+FT_Int2*(INT(MOD(AQ155-FT_Y5,12)/FT_Int2)+1))),IF(AY155="PT",IF(AQ155&lt;PT_First,PT_First,PT_First+PT_Int*(INT((AQ155-PT_First)/PT_Int)+1)),"")))</f>
        <v/>
      </c>
      <c r="BF155" s="11" t="n">
        <f aca="false">IF(AO155=0,0,IF(AND($Q155&lt;&gt;"",$Q155&lt;=AsOfDate),1,0))</f>
        <v>0</v>
      </c>
      <c r="BG155" s="11" t="str">
        <f aca="false">IF(AND(AO155=1,BF155=0,EH_Ready,N(AB155)&gt;0,N(AI155)=0),COUNT($BG$5:BG154)+1,"")</f>
        <v/>
      </c>
      <c r="BH155" s="11" t="str">
        <f aca="false">IF(AND(AO155=1,BF155=0,EH_Ready,N(AB155)&gt;0,N(AI155)&gt;0,N(AK155)&gt;0),COUNT($BH$5:BH154)+1,"")</f>
        <v/>
      </c>
      <c r="BI155" s="11" t="str">
        <f aca="false">IF(AND(AO155=1,OR(LEFT(AM155,3)="ADD",LEFT(AM155,3)="SET",LEFT(AM155,5)="CHECK",LEFT(AM155,10)="TERMINATED")),COUNT($BI$5:BI154)+1,"")</f>
        <v/>
      </c>
      <c r="BJ155" s="11" t="str">
        <f aca="false">IF(AO155=0,"",$A155&amp;" - "&amp;$B155&amp;" "&amp;$C155)</f>
        <v/>
      </c>
    </row>
    <row r="156" customFormat="false" ht="15" hidden="false" customHeight="false" outlineLevel="0" collapsed="false">
      <c r="A156" s="10"/>
      <c r="B156" s="10"/>
      <c r="C156" s="10"/>
      <c r="D156" s="10"/>
      <c r="E156" s="9"/>
      <c r="F156" s="10"/>
      <c r="G156" s="30"/>
      <c r="H156" s="9"/>
      <c r="I156" s="10"/>
      <c r="J156" s="30"/>
      <c r="K156" s="9"/>
      <c r="L156" s="10"/>
      <c r="M156" s="30"/>
      <c r="N156" s="9"/>
      <c r="O156" s="9"/>
      <c r="P156" s="30"/>
      <c r="Q156" s="9"/>
      <c r="R156" s="10"/>
      <c r="S156" s="11" t="str">
        <f aca="false">IF(AO156=0,"",IF($H156="","",$F156&amp;" -&gt; "&amp;$I156&amp;IF($I156="Part-Time"," ("&amp;N($J156)&amp;" hrs)","")&amp;" on "&amp;TEXT($H156,"dd/mm/yyyy")&amp;IF($H156&gt;AsOfDate," (FUTURE)","")&amp;IF($K156="","","; "&amp;$I156&amp;" -&gt; "&amp;$L156&amp;IF($L156="Part-Time"," ("&amp;N($M156)&amp;" hrs)","")&amp;" on "&amp;TEXT($K156,"dd/mm/yyyy")&amp;IF($K156&gt;AsOfDate," (FUTURE)",""))))</f>
        <v/>
      </c>
      <c r="T156" s="11" t="str">
        <f aca="false">IF(AO156=0,"",IF(AS156&lt;&gt;"",$L156,IF(AR156&lt;&gt;"",$I156,$F156)))</f>
        <v/>
      </c>
      <c r="U156" s="26" t="str">
        <f aca="false">IF(AO156=0,"",IF(AS156&lt;&gt;"",$M156,IF(AR156&lt;&gt;"",$J156,$G156)))</f>
        <v/>
      </c>
      <c r="V156" s="11" t="str">
        <f aca="false">IF(AO156=0,"",IF(AY156="FT","Full-Time",IF(AY156="PT","Part-Time","Not eligible")))</f>
        <v/>
      </c>
      <c r="W156" s="27" t="str">
        <f aca="false">IF(AO156=0,"",IF(AR156="",IF(AND($H156&lt;&gt;"",$H156&gt;AsOfDate),"Future change - not yet applied",""),IF(AND(AV156=AY156,OR(AS156="",AW156=AV156)),"Type changed - same accrual pathway",IF(AY156="None","STOPPED accruing from "&amp;TEXT(IF(AS156&lt;&gt;"",AS156,AR156),"dd/mm/yyyy"),IF(AV156="None","STARTED qualifying from "&amp;TEXT(IF(AS156&lt;&gt;"",AS156,AR156),"dd/mm/yyyy"),"Pathway changed "&amp;AV156&amp;" -&gt; "&amp;AW156&amp;IF(AS156&lt;&gt;""," -&gt; "&amp;AX156,"")&amp;" from "&amp;TEXT(IF(AS156&lt;&gt;"",AS156,AR156),"dd/mm/yyyy"))))))</f>
        <v/>
      </c>
      <c r="X156" s="28" t="str">
        <f aca="false">IF(AO156=0,"",IF($Q156="",AsOfDate,MIN(AsOfDate,$Q156)))</f>
        <v/>
      </c>
      <c r="Y156" s="26" t="str">
        <f aca="false">IF(AO156=0,"",MAX(0,AQ156))</f>
        <v/>
      </c>
      <c r="Z156" s="11" t="str">
        <f aca="false">IF(AO156=0,"",IF(AQ156&lt;0,"Not started",INT(AQ156/12)&amp;"y "&amp;MOD(AQ156,12)&amp;"m"))</f>
        <v/>
      </c>
      <c r="AA156" s="27" t="str">
        <f aca="false">IF(AO156=0,"",IF(BF156=1,"Terminated - balance forfeited",IF(AY156="None",IF(AB156&gt;0,"No longer accruing - "&amp;T156,"Not eligible - "&amp;T156&amp;IF(AND(IFERROR(VLOOKUP(T156,TypeTable,2,0),"None")="PT",N(U156)&lt;PT_MinHours)," (under "&amp;PT_MinHours&amp;" hrs)","")),IF(AB156&gt;0,"Yes - accruing","Not yet - qualifies "&amp;TEXT(AD156,"dd/mm/yyyy")))))</f>
        <v/>
      </c>
      <c r="AB156" s="26" t="str">
        <f aca="false">IF(AO156=0,"",AZ156+IF(AR156="",0,BB156-BA156)+IF(AS156="",0,BD156-BC156))</f>
        <v/>
      </c>
      <c r="AC156" s="26" t="str">
        <f aca="false">IF(AO156=0,"",AB156*HoursPerDay)</f>
        <v/>
      </c>
      <c r="AD156" s="28" t="str">
        <f aca="false">IF(AO156=0,"",IF(OR(BF156=1,AY156="None"),"",EDATE($E156+AP156,BE156)))</f>
        <v/>
      </c>
      <c r="AE156" s="26" t="str">
        <f aca="false">IF(AD156="","",IF(AY156="PT",1,IF(BE156&lt;FT_Y5,1,IF(MOD(BE156-FT_Y5,12)=0,FT_AnnivDays,1))))</f>
        <v/>
      </c>
      <c r="AF156" s="27" t="str">
        <f aca="false">IF(AO156=0,"",IF(NOT(EH_Ready),"Map headers",IF(IF(MatchMode="Employee ID",COUNTIFS(INDEX(EH_Data,0,EH_ColID),$A156,INDEX(EH_Data,0,EH_ColCat),BonusCat),COUNTIFS(INDEX(EH_Data,0,EH_ColFirst),$B156,INDEX(EH_Data,0,EH_ColSur),$C156,INDEX(EH_Data,0,EH_ColCat),BonusCat))&gt;0,"Yes","No")))</f>
        <v/>
      </c>
      <c r="AG156" s="26" t="str">
        <f aca="false">IF(AO156=0,"",IF(NOT(EH_Ready),"",IF(MatchMode="Employee ID",SUMIFS(INDEX(EH_Data,0,EH_ColBal),INDEX(EH_Data,0,EH_ColID),$A156,INDEX(EH_Data,0,EH_ColCat),BonusCat),SUMIFS(INDEX(EH_Data,0,EH_ColBal),INDEX(EH_Data,0,EH_ColFirst),$B156,INDEX(EH_Data,0,EH_ColSur),$C156,INDEX(EH_Data,0,EH_ColCat),BonusCat))/IF(EHUnit="Hours",HoursPerDay,1)))</f>
        <v/>
      </c>
      <c r="AH156" s="26" t="str">
        <f aca="false">IF(AO156=0,"",IF(NOT(TK_Ready),0,IF(MatchMode="Employee ID",SUMIFS(INDEX(TK_Data,0,TK_ColAmt),INDEX(TK_Data,0,TK_ColID),$A156,INDEX(TK_Data,0,TK_ColCat),BonusCat),SUMIFS(INDEX(TK_Data,0,TK_ColAmt),INDEX(TK_Data,0,TK_ColFirst),$B156,INDEX(TK_Data,0,TK_ColSur),$C156,INDEX(TK_Data,0,TK_ColCat),BonusCat))/IF(TKUnit="Hours",HoursPerDay,1)))</f>
        <v/>
      </c>
      <c r="AI156" s="26" t="str">
        <f aca="false">IF(AO156=0,"",N(AG156)+N(AH156))</f>
        <v/>
      </c>
      <c r="AJ156" s="29" t="str">
        <f aca="false">IF(AO156=0,"",IF(NOT(AND(EH_Ready,EH_ValReady)),"",IF(MatchMode="Employee ID",SUMIFS(INDEX(EH_Data,0,EH_ColVal),INDEX(EH_Data,0,EH_ColID),$A156,INDEX(EH_Data,0,EH_ColCat),BonusCat),SUMIFS(INDEX(EH_Data,0,EH_ColVal),INDEX(EH_Data,0,EH_ColFirst),$B156,INDEX(EH_Data,0,EH_ColSur),$C156,INDEX(EH_Data,0,EH_ColCat),BonusCat))))</f>
        <v/>
      </c>
      <c r="AK156" s="26" t="str">
        <f aca="false">IF(AO156=0,"",IF(OR(NOT(EH_Ready),BF156=1),"",AB156-AI156))</f>
        <v/>
      </c>
      <c r="AL156" s="26" t="str">
        <f aca="false">IF(AK156="","",AK156*HoursPerDay)</f>
        <v/>
      </c>
      <c r="AM156" s="27" t="str">
        <f aca="false">IF(AO156=0,"",IF(BF156=1,IF(N(AG156)&gt;0,"TERMINATED - forfeit "&amp;TEXT(AG156,"0.##")&amp;" days still in EH","Terminated - nothing in EH"),IF(NOT(EH_Ready),"Paste EH export and map headers on Settings",IF(AND(AB156&gt;0,AF156="No"),"SET UP in EH - add "&amp;TEXT(AB156,"0.##")&amp;" day(s) ("&amp;TEXT(AC156,"0.##")&amp;" hrs)",IF(AK156&gt;0,"ADD "&amp;TEXT(AK156,"0.##")&amp;" day(s) ("&amp;TEXT(AL156,"0.##")&amp;" hrs) in EH",IF(AK156&lt;0,"CHECK - EH shows "&amp;TEXT(-AK156,"0.##")&amp;" days more than policy",IF(AB156&gt;0,"OK - up to date",IF(AY156="None","No action - not eligible","No action - not yet qualified"))))))))</f>
        <v/>
      </c>
      <c r="AN156" s="27" t="str">
        <f aca="false">IF(AO156=0,"",TRIM(IF(AND($K156&lt;&gt;"",$H156=""),"Change 2 entered without Change 1. ","")&amp;IF(AND($K156&lt;&gt;"",$H156&lt;&gt;"",$K156&lt;=$H156),"Change 2 date not after Change 1. ","")&amp;IF(AND($N156&lt;&gt;"",$O156&lt;&gt;"",$O156&lt;$N156),"Leave To is before Leave From. ","")&amp;IF(AND($N156&lt;&gt;"",$O156=""),"Leave From entered without Leave To. ","")&amp;IF(AND(IFERROR(VLOOKUP(T156,TypeTable,2,0),"None")="PT",U156=""),"Part-time with no hours entered. ","")&amp;IF(AND($H156&lt;&gt;"",$H156&gt;AsOfDate,AD156&lt;&gt;"",$H156&lt;=AD156),"Status change lands before next accrual - review. ","")&amp;IF(AND($Q156&lt;&gt;"",$Q156&lt;$E156),"Termination before commencement. ","")))</f>
        <v/>
      </c>
      <c r="AO156" s="11" t="n">
        <f aca="false">IF(LEN($A156&amp;$B156&amp;$C156)=0,0,IF($E156="",0,1))</f>
        <v>0</v>
      </c>
      <c r="AP156" s="11" t="str">
        <f aca="false">IF(AO156=0,"",(IF(OR($N156="",$O156=""),0,MAX(0,MIN(X156,$O156)-MAX($N156,$E156)+1))+N($P156)))</f>
        <v/>
      </c>
      <c r="AQ156" s="11" t="str">
        <f aca="false">IF(AO156=0,"",IF(X156&lt;($E156+(IF(OR($N156="",$O156=""),0,MAX(0,MIN(X156,$O156)-MAX($N156,$E156)+1))+N($P156))),-1,12*(YEAR(X156)-YEAR(($E156+(IF(OR($N156="",$O156=""),0,MAX(0,MIN(X156,$O156)-MAX($N156,$E156)+1))+N($P156)))))+MONTH(X156)-MONTH(($E156+(IF(OR($N156="",$O156=""),0,MAX(0,MIN(X156,$O156)-MAX($N156,$E156)+1))+N($P156))))-IF(DAY(X156)&lt;MIN(DAY(($E156+(IF(OR($N156="",$O156=""),0,MAX(0,MIN(X156,$O156)-MAX($N156,$E156)+1))+N($P156)))),DAY(EOMONTH(X156,0))),1,0)))</f>
        <v/>
      </c>
      <c r="AR156" s="28" t="str">
        <f aca="false">IF(AO156=0,"",IF($H156="","",IF($H156&gt;X156,"",$H156)))</f>
        <v/>
      </c>
      <c r="AS156" s="28" t="str">
        <f aca="false">IF(AO156=0,"",IF(AR156="","",IF($K156="","",IF($K156&gt;X156,"",$K156))))</f>
        <v/>
      </c>
      <c r="AT156" s="11" t="str">
        <f aca="false">IF(AO156=0,"",IF(AR156="",AQ156,IF((AR156-1)&lt;($E156+(IF(OR($N156="",$O156=""),0,MAX(0,MIN((AR156-1),$O156)-MAX($N156,$E156)+1))+N($P156))),-1,12*(YEAR((AR156-1))-YEAR(($E156+(IF(OR($N156="",$O156=""),0,MAX(0,MIN((AR156-1),$O156)-MAX($N156,$E156)+1))+N($P156)))))+MONTH((AR156-1))-MONTH(($E156+(IF(OR($N156="",$O156=""),0,MAX(0,MIN((AR156-1),$O156)-MAX($N156,$E156)+1))+N($P156))))-IF(DAY((AR156-1))&lt;MIN(DAY(($E156+(IF(OR($N156="",$O156=""),0,MAX(0,MIN((AR156-1),$O156)-MAX($N156,$E156)+1))+N($P156)))),DAY(EOMONTH((AR156-1),0))),1,0))))</f>
        <v/>
      </c>
      <c r="AU156" s="11" t="str">
        <f aca="false">IF(AO156=0,"",IF(AS156="",AQ156,IF((AS156-1)&lt;($E156+(IF(OR($N156="",$O156=""),0,MAX(0,MIN((AS156-1),$O156)-MAX($N156,$E156)+1))+N($P156))),-1,12*(YEAR((AS156-1))-YEAR(($E156+(IF(OR($N156="",$O156=""),0,MAX(0,MIN((AS156-1),$O156)-MAX($N156,$E156)+1))+N($P156)))))+MONTH((AS156-1))-MONTH(($E156+(IF(OR($N156="",$O156=""),0,MAX(0,MIN((AS156-1),$O156)-MAX($N156,$E156)+1))+N($P156))))-IF(DAY((AS156-1))&lt;MIN(DAY(($E156+(IF(OR($N156="",$O156=""),0,MAX(0,MIN((AS156-1),$O156)-MAX($N156,$E156)+1))+N($P156)))),DAY(EOMONTH((AS156-1),0))),1,0))))</f>
        <v/>
      </c>
      <c r="AV156" s="11" t="str">
        <f aca="false">IF(AO156=0,"",IF($F156="","None",IF(IFERROR(VLOOKUP($F156,TypeTable,2,0),"None")="PT",IF(N($G156)&gt;=PT_MinHours,"PT","None"),IFERROR(VLOOKUP($F156,TypeTable,2,0),"None"))))</f>
        <v/>
      </c>
      <c r="AW156" s="11" t="str">
        <f aca="false">IF(AO156=0,"",IF($I156="","None",IF(IFERROR(VLOOKUP($I156,TypeTable,2,0),"None")="PT",IF(N($J156)&gt;=PT_MinHours,"PT","None"),IFERROR(VLOOKUP($I156,TypeTable,2,0),"None"))))</f>
        <v/>
      </c>
      <c r="AX156" s="11" t="str">
        <f aca="false">IF(AO156=0,"",IF($L156="","None",IF(IFERROR(VLOOKUP($L156,TypeTable,2,0),"None")="PT",IF(N($M156)&gt;=PT_MinHours,"PT","None"),IFERROR(VLOOKUP($L156,TypeTable,2,0),"None"))))</f>
        <v/>
      </c>
      <c r="AY156" s="11" t="str">
        <f aca="false">IF(AO156=0,"",IF(AS156&lt;&gt;"",AX156,IF(AR156&lt;&gt;"",AW156,AV156)))</f>
        <v/>
      </c>
      <c r="AZ156" s="11" t="str">
        <f aca="false">IF(AO156=0,"",IF(AV156="FT",IF(AT156&lt;FT_First,0,IF(AT156&lt;FT_Y5,1+INT((AT156-FT_First)/FT_Int1),FT_PreY5+FT_PerYear*INT((AT156-FT_Y5)/12)+FT_AnnivDays+INT(MOD(AT156-FT_Y5,12)/FT_Int2))),IF(AV156="PT",IF(AT156&lt;PT_First,0,1+INT((AT156-PT_First)/PT_Int)),0)))</f>
        <v/>
      </c>
      <c r="BA156" s="11" t="str">
        <f aca="false">IF(AO156=0,"",IF(AW156="FT",IF(AT156&lt;FT_First,0,IF(AT156&lt;FT_Y5,1+INT((AT156-FT_First)/FT_Int1),FT_PreY5+FT_PerYear*INT((AT156-FT_Y5)/12)+FT_AnnivDays+INT(MOD(AT156-FT_Y5,12)/FT_Int2))),IF(AW156="PT",IF(AT156&lt;PT_First,0,1+INT((AT156-PT_First)/PT_Int)),0)))</f>
        <v/>
      </c>
      <c r="BB156" s="11" t="str">
        <f aca="false">IF(AO156=0,"",IF(AW156="FT",IF(AU156&lt;FT_First,0,IF(AU156&lt;FT_Y5,1+INT((AU156-FT_First)/FT_Int1),FT_PreY5+FT_PerYear*INT((AU156-FT_Y5)/12)+FT_AnnivDays+INT(MOD(AU156-FT_Y5,12)/FT_Int2))),IF(AW156="PT",IF(AU156&lt;PT_First,0,1+INT((AU156-PT_First)/PT_Int)),0)))</f>
        <v/>
      </c>
      <c r="BC156" s="11" t="str">
        <f aca="false">IF(AO156=0,"",IF(AX156="FT",IF(AU156&lt;FT_First,0,IF(AU156&lt;FT_Y5,1+INT((AU156-FT_First)/FT_Int1),FT_PreY5+FT_PerYear*INT((AU156-FT_Y5)/12)+FT_AnnivDays+INT(MOD(AU156-FT_Y5,12)/FT_Int2))),IF(AX156="PT",IF(AU156&lt;PT_First,0,1+INT((AU156-PT_First)/PT_Int)),0)))</f>
        <v/>
      </c>
      <c r="BD156" s="11" t="str">
        <f aca="false">IF(AO156=0,"",IF(AX156="FT",IF(AQ156&lt;FT_First,0,IF(AQ156&lt;FT_Y5,1+INT((AQ156-FT_First)/FT_Int1),FT_PreY5+FT_PerYear*INT((AQ156-FT_Y5)/12)+FT_AnnivDays+INT(MOD(AQ156-FT_Y5,12)/FT_Int2))),IF(AX156="PT",IF(AQ156&lt;PT_First,0,1+INT((AQ156-PT_First)/PT_Int)),0)))</f>
        <v/>
      </c>
      <c r="BE156" s="11" t="str">
        <f aca="false">IF(AO156=0,"",IF(AY156="FT",IF(AQ156&lt;FT_First,FT_First,IF(AQ156&lt;FT_Y5,MIN(FT_Y5,FT_First+FT_Int1*(INT((AQ156-FT_First)/FT_Int1)+1)),FT_Y5+12*INT((AQ156-FT_Y5)/12)+FT_Int2*(INT(MOD(AQ156-FT_Y5,12)/FT_Int2)+1))),IF(AY156="PT",IF(AQ156&lt;PT_First,PT_First,PT_First+PT_Int*(INT((AQ156-PT_First)/PT_Int)+1)),"")))</f>
        <v/>
      </c>
      <c r="BF156" s="11" t="n">
        <f aca="false">IF(AO156=0,0,IF(AND($Q156&lt;&gt;"",$Q156&lt;=AsOfDate),1,0))</f>
        <v>0</v>
      </c>
      <c r="BG156" s="11" t="str">
        <f aca="false">IF(AND(AO156=1,BF156=0,EH_Ready,N(AB156)&gt;0,N(AI156)=0),COUNT($BG$5:BG155)+1,"")</f>
        <v/>
      </c>
      <c r="BH156" s="11" t="str">
        <f aca="false">IF(AND(AO156=1,BF156=0,EH_Ready,N(AB156)&gt;0,N(AI156)&gt;0,N(AK156)&gt;0),COUNT($BH$5:BH155)+1,"")</f>
        <v/>
      </c>
      <c r="BI156" s="11" t="str">
        <f aca="false">IF(AND(AO156=1,OR(LEFT(AM156,3)="ADD",LEFT(AM156,3)="SET",LEFT(AM156,5)="CHECK",LEFT(AM156,10)="TERMINATED")),COUNT($BI$5:BI155)+1,"")</f>
        <v/>
      </c>
      <c r="BJ156" s="11" t="str">
        <f aca="false">IF(AO156=0,"",$A156&amp;" - "&amp;$B156&amp;" "&amp;$C156)</f>
        <v/>
      </c>
    </row>
    <row r="157" customFormat="false" ht="15" hidden="false" customHeight="false" outlineLevel="0" collapsed="false">
      <c r="A157" s="10"/>
      <c r="B157" s="10"/>
      <c r="C157" s="10"/>
      <c r="D157" s="10"/>
      <c r="E157" s="9"/>
      <c r="F157" s="10"/>
      <c r="G157" s="30"/>
      <c r="H157" s="9"/>
      <c r="I157" s="10"/>
      <c r="J157" s="30"/>
      <c r="K157" s="9"/>
      <c r="L157" s="10"/>
      <c r="M157" s="30"/>
      <c r="N157" s="9"/>
      <c r="O157" s="9"/>
      <c r="P157" s="30"/>
      <c r="Q157" s="9"/>
      <c r="R157" s="10"/>
      <c r="S157" s="11" t="str">
        <f aca="false">IF(AO157=0,"",IF($H157="","",$F157&amp;" -&gt; "&amp;$I157&amp;IF($I157="Part-Time"," ("&amp;N($J157)&amp;" hrs)","")&amp;" on "&amp;TEXT($H157,"dd/mm/yyyy")&amp;IF($H157&gt;AsOfDate," (FUTURE)","")&amp;IF($K157="","","; "&amp;$I157&amp;" -&gt; "&amp;$L157&amp;IF($L157="Part-Time"," ("&amp;N($M157)&amp;" hrs)","")&amp;" on "&amp;TEXT($K157,"dd/mm/yyyy")&amp;IF($K157&gt;AsOfDate," (FUTURE)",""))))</f>
        <v/>
      </c>
      <c r="T157" s="11" t="str">
        <f aca="false">IF(AO157=0,"",IF(AS157&lt;&gt;"",$L157,IF(AR157&lt;&gt;"",$I157,$F157)))</f>
        <v/>
      </c>
      <c r="U157" s="26" t="str">
        <f aca="false">IF(AO157=0,"",IF(AS157&lt;&gt;"",$M157,IF(AR157&lt;&gt;"",$J157,$G157)))</f>
        <v/>
      </c>
      <c r="V157" s="11" t="str">
        <f aca="false">IF(AO157=0,"",IF(AY157="FT","Full-Time",IF(AY157="PT","Part-Time","Not eligible")))</f>
        <v/>
      </c>
      <c r="W157" s="27" t="str">
        <f aca="false">IF(AO157=0,"",IF(AR157="",IF(AND($H157&lt;&gt;"",$H157&gt;AsOfDate),"Future change - not yet applied",""),IF(AND(AV157=AY157,OR(AS157="",AW157=AV157)),"Type changed - same accrual pathway",IF(AY157="None","STOPPED accruing from "&amp;TEXT(IF(AS157&lt;&gt;"",AS157,AR157),"dd/mm/yyyy"),IF(AV157="None","STARTED qualifying from "&amp;TEXT(IF(AS157&lt;&gt;"",AS157,AR157),"dd/mm/yyyy"),"Pathway changed "&amp;AV157&amp;" -&gt; "&amp;AW157&amp;IF(AS157&lt;&gt;""," -&gt; "&amp;AX157,"")&amp;" from "&amp;TEXT(IF(AS157&lt;&gt;"",AS157,AR157),"dd/mm/yyyy"))))))</f>
        <v/>
      </c>
      <c r="X157" s="28" t="str">
        <f aca="false">IF(AO157=0,"",IF($Q157="",AsOfDate,MIN(AsOfDate,$Q157)))</f>
        <v/>
      </c>
      <c r="Y157" s="26" t="str">
        <f aca="false">IF(AO157=0,"",MAX(0,AQ157))</f>
        <v/>
      </c>
      <c r="Z157" s="11" t="str">
        <f aca="false">IF(AO157=0,"",IF(AQ157&lt;0,"Not started",INT(AQ157/12)&amp;"y "&amp;MOD(AQ157,12)&amp;"m"))</f>
        <v/>
      </c>
      <c r="AA157" s="27" t="str">
        <f aca="false">IF(AO157=0,"",IF(BF157=1,"Terminated - balance forfeited",IF(AY157="None",IF(AB157&gt;0,"No longer accruing - "&amp;T157,"Not eligible - "&amp;T157&amp;IF(AND(IFERROR(VLOOKUP(T157,TypeTable,2,0),"None")="PT",N(U157)&lt;PT_MinHours)," (under "&amp;PT_MinHours&amp;" hrs)","")),IF(AB157&gt;0,"Yes - accruing","Not yet - qualifies "&amp;TEXT(AD157,"dd/mm/yyyy")))))</f>
        <v/>
      </c>
      <c r="AB157" s="26" t="str">
        <f aca="false">IF(AO157=0,"",AZ157+IF(AR157="",0,BB157-BA157)+IF(AS157="",0,BD157-BC157))</f>
        <v/>
      </c>
      <c r="AC157" s="26" t="str">
        <f aca="false">IF(AO157=0,"",AB157*HoursPerDay)</f>
        <v/>
      </c>
      <c r="AD157" s="28" t="str">
        <f aca="false">IF(AO157=0,"",IF(OR(BF157=1,AY157="None"),"",EDATE($E157+AP157,BE157)))</f>
        <v/>
      </c>
      <c r="AE157" s="26" t="str">
        <f aca="false">IF(AD157="","",IF(AY157="PT",1,IF(BE157&lt;FT_Y5,1,IF(MOD(BE157-FT_Y5,12)=0,FT_AnnivDays,1))))</f>
        <v/>
      </c>
      <c r="AF157" s="27" t="str">
        <f aca="false">IF(AO157=0,"",IF(NOT(EH_Ready),"Map headers",IF(IF(MatchMode="Employee ID",COUNTIFS(INDEX(EH_Data,0,EH_ColID),$A157,INDEX(EH_Data,0,EH_ColCat),BonusCat),COUNTIFS(INDEX(EH_Data,0,EH_ColFirst),$B157,INDEX(EH_Data,0,EH_ColSur),$C157,INDEX(EH_Data,0,EH_ColCat),BonusCat))&gt;0,"Yes","No")))</f>
        <v/>
      </c>
      <c r="AG157" s="26" t="str">
        <f aca="false">IF(AO157=0,"",IF(NOT(EH_Ready),"",IF(MatchMode="Employee ID",SUMIFS(INDEX(EH_Data,0,EH_ColBal),INDEX(EH_Data,0,EH_ColID),$A157,INDEX(EH_Data,0,EH_ColCat),BonusCat),SUMIFS(INDEX(EH_Data,0,EH_ColBal),INDEX(EH_Data,0,EH_ColFirst),$B157,INDEX(EH_Data,0,EH_ColSur),$C157,INDEX(EH_Data,0,EH_ColCat),BonusCat))/IF(EHUnit="Hours",HoursPerDay,1)))</f>
        <v/>
      </c>
      <c r="AH157" s="26" t="str">
        <f aca="false">IF(AO157=0,"",IF(NOT(TK_Ready),0,IF(MatchMode="Employee ID",SUMIFS(INDEX(TK_Data,0,TK_ColAmt),INDEX(TK_Data,0,TK_ColID),$A157,INDEX(TK_Data,0,TK_ColCat),BonusCat),SUMIFS(INDEX(TK_Data,0,TK_ColAmt),INDEX(TK_Data,0,TK_ColFirst),$B157,INDEX(TK_Data,0,TK_ColSur),$C157,INDEX(TK_Data,0,TK_ColCat),BonusCat))/IF(TKUnit="Hours",HoursPerDay,1)))</f>
        <v/>
      </c>
      <c r="AI157" s="26" t="str">
        <f aca="false">IF(AO157=0,"",N(AG157)+N(AH157))</f>
        <v/>
      </c>
      <c r="AJ157" s="29" t="str">
        <f aca="false">IF(AO157=0,"",IF(NOT(AND(EH_Ready,EH_ValReady)),"",IF(MatchMode="Employee ID",SUMIFS(INDEX(EH_Data,0,EH_ColVal),INDEX(EH_Data,0,EH_ColID),$A157,INDEX(EH_Data,0,EH_ColCat),BonusCat),SUMIFS(INDEX(EH_Data,0,EH_ColVal),INDEX(EH_Data,0,EH_ColFirst),$B157,INDEX(EH_Data,0,EH_ColSur),$C157,INDEX(EH_Data,0,EH_ColCat),BonusCat))))</f>
        <v/>
      </c>
      <c r="AK157" s="26" t="str">
        <f aca="false">IF(AO157=0,"",IF(OR(NOT(EH_Ready),BF157=1),"",AB157-AI157))</f>
        <v/>
      </c>
      <c r="AL157" s="26" t="str">
        <f aca="false">IF(AK157="","",AK157*HoursPerDay)</f>
        <v/>
      </c>
      <c r="AM157" s="27" t="str">
        <f aca="false">IF(AO157=0,"",IF(BF157=1,IF(N(AG157)&gt;0,"TERMINATED - forfeit "&amp;TEXT(AG157,"0.##")&amp;" days still in EH","Terminated - nothing in EH"),IF(NOT(EH_Ready),"Paste EH export and map headers on Settings",IF(AND(AB157&gt;0,AF157="No"),"SET UP in EH - add "&amp;TEXT(AB157,"0.##")&amp;" day(s) ("&amp;TEXT(AC157,"0.##")&amp;" hrs)",IF(AK157&gt;0,"ADD "&amp;TEXT(AK157,"0.##")&amp;" day(s) ("&amp;TEXT(AL157,"0.##")&amp;" hrs) in EH",IF(AK157&lt;0,"CHECK - EH shows "&amp;TEXT(-AK157,"0.##")&amp;" days more than policy",IF(AB157&gt;0,"OK - up to date",IF(AY157="None","No action - not eligible","No action - not yet qualified"))))))))</f>
        <v/>
      </c>
      <c r="AN157" s="27" t="str">
        <f aca="false">IF(AO157=0,"",TRIM(IF(AND($K157&lt;&gt;"",$H157=""),"Change 2 entered without Change 1. ","")&amp;IF(AND($K157&lt;&gt;"",$H157&lt;&gt;"",$K157&lt;=$H157),"Change 2 date not after Change 1. ","")&amp;IF(AND($N157&lt;&gt;"",$O157&lt;&gt;"",$O157&lt;$N157),"Leave To is before Leave From. ","")&amp;IF(AND($N157&lt;&gt;"",$O157=""),"Leave From entered without Leave To. ","")&amp;IF(AND(IFERROR(VLOOKUP(T157,TypeTable,2,0),"None")="PT",U157=""),"Part-time with no hours entered. ","")&amp;IF(AND($H157&lt;&gt;"",$H157&gt;AsOfDate,AD157&lt;&gt;"",$H157&lt;=AD157),"Status change lands before next accrual - review. ","")&amp;IF(AND($Q157&lt;&gt;"",$Q157&lt;$E157),"Termination before commencement. ","")))</f>
        <v/>
      </c>
      <c r="AO157" s="11" t="n">
        <f aca="false">IF(LEN($A157&amp;$B157&amp;$C157)=0,0,IF($E157="",0,1))</f>
        <v>0</v>
      </c>
      <c r="AP157" s="11" t="str">
        <f aca="false">IF(AO157=0,"",(IF(OR($N157="",$O157=""),0,MAX(0,MIN(X157,$O157)-MAX($N157,$E157)+1))+N($P157)))</f>
        <v/>
      </c>
      <c r="AQ157" s="11" t="str">
        <f aca="false">IF(AO157=0,"",IF(X157&lt;($E157+(IF(OR($N157="",$O157=""),0,MAX(0,MIN(X157,$O157)-MAX($N157,$E157)+1))+N($P157))),-1,12*(YEAR(X157)-YEAR(($E157+(IF(OR($N157="",$O157=""),0,MAX(0,MIN(X157,$O157)-MAX($N157,$E157)+1))+N($P157)))))+MONTH(X157)-MONTH(($E157+(IF(OR($N157="",$O157=""),0,MAX(0,MIN(X157,$O157)-MAX($N157,$E157)+1))+N($P157))))-IF(DAY(X157)&lt;MIN(DAY(($E157+(IF(OR($N157="",$O157=""),0,MAX(0,MIN(X157,$O157)-MAX($N157,$E157)+1))+N($P157)))),DAY(EOMONTH(X157,0))),1,0)))</f>
        <v/>
      </c>
      <c r="AR157" s="28" t="str">
        <f aca="false">IF(AO157=0,"",IF($H157="","",IF($H157&gt;X157,"",$H157)))</f>
        <v/>
      </c>
      <c r="AS157" s="28" t="str">
        <f aca="false">IF(AO157=0,"",IF(AR157="","",IF($K157="","",IF($K157&gt;X157,"",$K157))))</f>
        <v/>
      </c>
      <c r="AT157" s="11" t="str">
        <f aca="false">IF(AO157=0,"",IF(AR157="",AQ157,IF((AR157-1)&lt;($E157+(IF(OR($N157="",$O157=""),0,MAX(0,MIN((AR157-1),$O157)-MAX($N157,$E157)+1))+N($P157))),-1,12*(YEAR((AR157-1))-YEAR(($E157+(IF(OR($N157="",$O157=""),0,MAX(0,MIN((AR157-1),$O157)-MAX($N157,$E157)+1))+N($P157)))))+MONTH((AR157-1))-MONTH(($E157+(IF(OR($N157="",$O157=""),0,MAX(0,MIN((AR157-1),$O157)-MAX($N157,$E157)+1))+N($P157))))-IF(DAY((AR157-1))&lt;MIN(DAY(($E157+(IF(OR($N157="",$O157=""),0,MAX(0,MIN((AR157-1),$O157)-MAX($N157,$E157)+1))+N($P157)))),DAY(EOMONTH((AR157-1),0))),1,0))))</f>
        <v/>
      </c>
      <c r="AU157" s="11" t="str">
        <f aca="false">IF(AO157=0,"",IF(AS157="",AQ157,IF((AS157-1)&lt;($E157+(IF(OR($N157="",$O157=""),0,MAX(0,MIN((AS157-1),$O157)-MAX($N157,$E157)+1))+N($P157))),-1,12*(YEAR((AS157-1))-YEAR(($E157+(IF(OR($N157="",$O157=""),0,MAX(0,MIN((AS157-1),$O157)-MAX($N157,$E157)+1))+N($P157)))))+MONTH((AS157-1))-MONTH(($E157+(IF(OR($N157="",$O157=""),0,MAX(0,MIN((AS157-1),$O157)-MAX($N157,$E157)+1))+N($P157))))-IF(DAY((AS157-1))&lt;MIN(DAY(($E157+(IF(OR($N157="",$O157=""),0,MAX(0,MIN((AS157-1),$O157)-MAX($N157,$E157)+1))+N($P157)))),DAY(EOMONTH((AS157-1),0))),1,0))))</f>
        <v/>
      </c>
      <c r="AV157" s="11" t="str">
        <f aca="false">IF(AO157=0,"",IF($F157="","None",IF(IFERROR(VLOOKUP($F157,TypeTable,2,0),"None")="PT",IF(N($G157)&gt;=PT_MinHours,"PT","None"),IFERROR(VLOOKUP($F157,TypeTable,2,0),"None"))))</f>
        <v/>
      </c>
      <c r="AW157" s="11" t="str">
        <f aca="false">IF(AO157=0,"",IF($I157="","None",IF(IFERROR(VLOOKUP($I157,TypeTable,2,0),"None")="PT",IF(N($J157)&gt;=PT_MinHours,"PT","None"),IFERROR(VLOOKUP($I157,TypeTable,2,0),"None"))))</f>
        <v/>
      </c>
      <c r="AX157" s="11" t="str">
        <f aca="false">IF(AO157=0,"",IF($L157="","None",IF(IFERROR(VLOOKUP($L157,TypeTable,2,0),"None")="PT",IF(N($M157)&gt;=PT_MinHours,"PT","None"),IFERROR(VLOOKUP($L157,TypeTable,2,0),"None"))))</f>
        <v/>
      </c>
      <c r="AY157" s="11" t="str">
        <f aca="false">IF(AO157=0,"",IF(AS157&lt;&gt;"",AX157,IF(AR157&lt;&gt;"",AW157,AV157)))</f>
        <v/>
      </c>
      <c r="AZ157" s="11" t="str">
        <f aca="false">IF(AO157=0,"",IF(AV157="FT",IF(AT157&lt;FT_First,0,IF(AT157&lt;FT_Y5,1+INT((AT157-FT_First)/FT_Int1),FT_PreY5+FT_PerYear*INT((AT157-FT_Y5)/12)+FT_AnnivDays+INT(MOD(AT157-FT_Y5,12)/FT_Int2))),IF(AV157="PT",IF(AT157&lt;PT_First,0,1+INT((AT157-PT_First)/PT_Int)),0)))</f>
        <v/>
      </c>
      <c r="BA157" s="11" t="str">
        <f aca="false">IF(AO157=0,"",IF(AW157="FT",IF(AT157&lt;FT_First,0,IF(AT157&lt;FT_Y5,1+INT((AT157-FT_First)/FT_Int1),FT_PreY5+FT_PerYear*INT((AT157-FT_Y5)/12)+FT_AnnivDays+INT(MOD(AT157-FT_Y5,12)/FT_Int2))),IF(AW157="PT",IF(AT157&lt;PT_First,0,1+INT((AT157-PT_First)/PT_Int)),0)))</f>
        <v/>
      </c>
      <c r="BB157" s="11" t="str">
        <f aca="false">IF(AO157=0,"",IF(AW157="FT",IF(AU157&lt;FT_First,0,IF(AU157&lt;FT_Y5,1+INT((AU157-FT_First)/FT_Int1),FT_PreY5+FT_PerYear*INT((AU157-FT_Y5)/12)+FT_AnnivDays+INT(MOD(AU157-FT_Y5,12)/FT_Int2))),IF(AW157="PT",IF(AU157&lt;PT_First,0,1+INT((AU157-PT_First)/PT_Int)),0)))</f>
        <v/>
      </c>
      <c r="BC157" s="11" t="str">
        <f aca="false">IF(AO157=0,"",IF(AX157="FT",IF(AU157&lt;FT_First,0,IF(AU157&lt;FT_Y5,1+INT((AU157-FT_First)/FT_Int1),FT_PreY5+FT_PerYear*INT((AU157-FT_Y5)/12)+FT_AnnivDays+INT(MOD(AU157-FT_Y5,12)/FT_Int2))),IF(AX157="PT",IF(AU157&lt;PT_First,0,1+INT((AU157-PT_First)/PT_Int)),0)))</f>
        <v/>
      </c>
      <c r="BD157" s="11" t="str">
        <f aca="false">IF(AO157=0,"",IF(AX157="FT",IF(AQ157&lt;FT_First,0,IF(AQ157&lt;FT_Y5,1+INT((AQ157-FT_First)/FT_Int1),FT_PreY5+FT_PerYear*INT((AQ157-FT_Y5)/12)+FT_AnnivDays+INT(MOD(AQ157-FT_Y5,12)/FT_Int2))),IF(AX157="PT",IF(AQ157&lt;PT_First,0,1+INT((AQ157-PT_First)/PT_Int)),0)))</f>
        <v/>
      </c>
      <c r="BE157" s="11" t="str">
        <f aca="false">IF(AO157=0,"",IF(AY157="FT",IF(AQ157&lt;FT_First,FT_First,IF(AQ157&lt;FT_Y5,MIN(FT_Y5,FT_First+FT_Int1*(INT((AQ157-FT_First)/FT_Int1)+1)),FT_Y5+12*INT((AQ157-FT_Y5)/12)+FT_Int2*(INT(MOD(AQ157-FT_Y5,12)/FT_Int2)+1))),IF(AY157="PT",IF(AQ157&lt;PT_First,PT_First,PT_First+PT_Int*(INT((AQ157-PT_First)/PT_Int)+1)),"")))</f>
        <v/>
      </c>
      <c r="BF157" s="11" t="n">
        <f aca="false">IF(AO157=0,0,IF(AND($Q157&lt;&gt;"",$Q157&lt;=AsOfDate),1,0))</f>
        <v>0</v>
      </c>
      <c r="BG157" s="11" t="str">
        <f aca="false">IF(AND(AO157=1,BF157=0,EH_Ready,N(AB157)&gt;0,N(AI157)=0),COUNT($BG$5:BG156)+1,"")</f>
        <v/>
      </c>
      <c r="BH157" s="11" t="str">
        <f aca="false">IF(AND(AO157=1,BF157=0,EH_Ready,N(AB157)&gt;0,N(AI157)&gt;0,N(AK157)&gt;0),COUNT($BH$5:BH156)+1,"")</f>
        <v/>
      </c>
      <c r="BI157" s="11" t="str">
        <f aca="false">IF(AND(AO157=1,OR(LEFT(AM157,3)="ADD",LEFT(AM157,3)="SET",LEFT(AM157,5)="CHECK",LEFT(AM157,10)="TERMINATED")),COUNT($BI$5:BI156)+1,"")</f>
        <v/>
      </c>
      <c r="BJ157" s="11" t="str">
        <f aca="false">IF(AO157=0,"",$A157&amp;" - "&amp;$B157&amp;" "&amp;$C157)</f>
        <v/>
      </c>
    </row>
    <row r="158" customFormat="false" ht="15" hidden="false" customHeight="false" outlineLevel="0" collapsed="false">
      <c r="A158" s="10"/>
      <c r="B158" s="10"/>
      <c r="C158" s="10"/>
      <c r="D158" s="10"/>
      <c r="E158" s="9"/>
      <c r="F158" s="10"/>
      <c r="G158" s="30"/>
      <c r="H158" s="9"/>
      <c r="I158" s="10"/>
      <c r="J158" s="30"/>
      <c r="K158" s="9"/>
      <c r="L158" s="10"/>
      <c r="M158" s="30"/>
      <c r="N158" s="9"/>
      <c r="O158" s="9"/>
      <c r="P158" s="30"/>
      <c r="Q158" s="9"/>
      <c r="R158" s="10"/>
      <c r="S158" s="11" t="str">
        <f aca="false">IF(AO158=0,"",IF($H158="","",$F158&amp;" -&gt; "&amp;$I158&amp;IF($I158="Part-Time"," ("&amp;N($J158)&amp;" hrs)","")&amp;" on "&amp;TEXT($H158,"dd/mm/yyyy")&amp;IF($H158&gt;AsOfDate," (FUTURE)","")&amp;IF($K158="","","; "&amp;$I158&amp;" -&gt; "&amp;$L158&amp;IF($L158="Part-Time"," ("&amp;N($M158)&amp;" hrs)","")&amp;" on "&amp;TEXT($K158,"dd/mm/yyyy")&amp;IF($K158&gt;AsOfDate," (FUTURE)",""))))</f>
        <v/>
      </c>
      <c r="T158" s="11" t="str">
        <f aca="false">IF(AO158=0,"",IF(AS158&lt;&gt;"",$L158,IF(AR158&lt;&gt;"",$I158,$F158)))</f>
        <v/>
      </c>
      <c r="U158" s="26" t="str">
        <f aca="false">IF(AO158=0,"",IF(AS158&lt;&gt;"",$M158,IF(AR158&lt;&gt;"",$J158,$G158)))</f>
        <v/>
      </c>
      <c r="V158" s="11" t="str">
        <f aca="false">IF(AO158=0,"",IF(AY158="FT","Full-Time",IF(AY158="PT","Part-Time","Not eligible")))</f>
        <v/>
      </c>
      <c r="W158" s="27" t="str">
        <f aca="false">IF(AO158=0,"",IF(AR158="",IF(AND($H158&lt;&gt;"",$H158&gt;AsOfDate),"Future change - not yet applied",""),IF(AND(AV158=AY158,OR(AS158="",AW158=AV158)),"Type changed - same accrual pathway",IF(AY158="None","STOPPED accruing from "&amp;TEXT(IF(AS158&lt;&gt;"",AS158,AR158),"dd/mm/yyyy"),IF(AV158="None","STARTED qualifying from "&amp;TEXT(IF(AS158&lt;&gt;"",AS158,AR158),"dd/mm/yyyy"),"Pathway changed "&amp;AV158&amp;" -&gt; "&amp;AW158&amp;IF(AS158&lt;&gt;""," -&gt; "&amp;AX158,"")&amp;" from "&amp;TEXT(IF(AS158&lt;&gt;"",AS158,AR158),"dd/mm/yyyy"))))))</f>
        <v/>
      </c>
      <c r="X158" s="28" t="str">
        <f aca="false">IF(AO158=0,"",IF($Q158="",AsOfDate,MIN(AsOfDate,$Q158)))</f>
        <v/>
      </c>
      <c r="Y158" s="26" t="str">
        <f aca="false">IF(AO158=0,"",MAX(0,AQ158))</f>
        <v/>
      </c>
      <c r="Z158" s="11" t="str">
        <f aca="false">IF(AO158=0,"",IF(AQ158&lt;0,"Not started",INT(AQ158/12)&amp;"y "&amp;MOD(AQ158,12)&amp;"m"))</f>
        <v/>
      </c>
      <c r="AA158" s="27" t="str">
        <f aca="false">IF(AO158=0,"",IF(BF158=1,"Terminated - balance forfeited",IF(AY158="None",IF(AB158&gt;0,"No longer accruing - "&amp;T158,"Not eligible - "&amp;T158&amp;IF(AND(IFERROR(VLOOKUP(T158,TypeTable,2,0),"None")="PT",N(U158)&lt;PT_MinHours)," (under "&amp;PT_MinHours&amp;" hrs)","")),IF(AB158&gt;0,"Yes - accruing","Not yet - qualifies "&amp;TEXT(AD158,"dd/mm/yyyy")))))</f>
        <v/>
      </c>
      <c r="AB158" s="26" t="str">
        <f aca="false">IF(AO158=0,"",AZ158+IF(AR158="",0,BB158-BA158)+IF(AS158="",0,BD158-BC158))</f>
        <v/>
      </c>
      <c r="AC158" s="26" t="str">
        <f aca="false">IF(AO158=0,"",AB158*HoursPerDay)</f>
        <v/>
      </c>
      <c r="AD158" s="28" t="str">
        <f aca="false">IF(AO158=0,"",IF(OR(BF158=1,AY158="None"),"",EDATE($E158+AP158,BE158)))</f>
        <v/>
      </c>
      <c r="AE158" s="26" t="str">
        <f aca="false">IF(AD158="","",IF(AY158="PT",1,IF(BE158&lt;FT_Y5,1,IF(MOD(BE158-FT_Y5,12)=0,FT_AnnivDays,1))))</f>
        <v/>
      </c>
      <c r="AF158" s="27" t="str">
        <f aca="false">IF(AO158=0,"",IF(NOT(EH_Ready),"Map headers",IF(IF(MatchMode="Employee ID",COUNTIFS(INDEX(EH_Data,0,EH_ColID),$A158,INDEX(EH_Data,0,EH_ColCat),BonusCat),COUNTIFS(INDEX(EH_Data,0,EH_ColFirst),$B158,INDEX(EH_Data,0,EH_ColSur),$C158,INDEX(EH_Data,0,EH_ColCat),BonusCat))&gt;0,"Yes","No")))</f>
        <v/>
      </c>
      <c r="AG158" s="26" t="str">
        <f aca="false">IF(AO158=0,"",IF(NOT(EH_Ready),"",IF(MatchMode="Employee ID",SUMIFS(INDEX(EH_Data,0,EH_ColBal),INDEX(EH_Data,0,EH_ColID),$A158,INDEX(EH_Data,0,EH_ColCat),BonusCat),SUMIFS(INDEX(EH_Data,0,EH_ColBal),INDEX(EH_Data,0,EH_ColFirst),$B158,INDEX(EH_Data,0,EH_ColSur),$C158,INDEX(EH_Data,0,EH_ColCat),BonusCat))/IF(EHUnit="Hours",HoursPerDay,1)))</f>
        <v/>
      </c>
      <c r="AH158" s="26" t="str">
        <f aca="false">IF(AO158=0,"",IF(NOT(TK_Ready),0,IF(MatchMode="Employee ID",SUMIFS(INDEX(TK_Data,0,TK_ColAmt),INDEX(TK_Data,0,TK_ColID),$A158,INDEX(TK_Data,0,TK_ColCat),BonusCat),SUMIFS(INDEX(TK_Data,0,TK_ColAmt),INDEX(TK_Data,0,TK_ColFirst),$B158,INDEX(TK_Data,0,TK_ColSur),$C158,INDEX(TK_Data,0,TK_ColCat),BonusCat))/IF(TKUnit="Hours",HoursPerDay,1)))</f>
        <v/>
      </c>
      <c r="AI158" s="26" t="str">
        <f aca="false">IF(AO158=0,"",N(AG158)+N(AH158))</f>
        <v/>
      </c>
      <c r="AJ158" s="29" t="str">
        <f aca="false">IF(AO158=0,"",IF(NOT(AND(EH_Ready,EH_ValReady)),"",IF(MatchMode="Employee ID",SUMIFS(INDEX(EH_Data,0,EH_ColVal),INDEX(EH_Data,0,EH_ColID),$A158,INDEX(EH_Data,0,EH_ColCat),BonusCat),SUMIFS(INDEX(EH_Data,0,EH_ColVal),INDEX(EH_Data,0,EH_ColFirst),$B158,INDEX(EH_Data,0,EH_ColSur),$C158,INDEX(EH_Data,0,EH_ColCat),BonusCat))))</f>
        <v/>
      </c>
      <c r="AK158" s="26" t="str">
        <f aca="false">IF(AO158=0,"",IF(OR(NOT(EH_Ready),BF158=1),"",AB158-AI158))</f>
        <v/>
      </c>
      <c r="AL158" s="26" t="str">
        <f aca="false">IF(AK158="","",AK158*HoursPerDay)</f>
        <v/>
      </c>
      <c r="AM158" s="27" t="str">
        <f aca="false">IF(AO158=0,"",IF(BF158=1,IF(N(AG158)&gt;0,"TERMINATED - forfeit "&amp;TEXT(AG158,"0.##")&amp;" days still in EH","Terminated - nothing in EH"),IF(NOT(EH_Ready),"Paste EH export and map headers on Settings",IF(AND(AB158&gt;0,AF158="No"),"SET UP in EH - add "&amp;TEXT(AB158,"0.##")&amp;" day(s) ("&amp;TEXT(AC158,"0.##")&amp;" hrs)",IF(AK158&gt;0,"ADD "&amp;TEXT(AK158,"0.##")&amp;" day(s) ("&amp;TEXT(AL158,"0.##")&amp;" hrs) in EH",IF(AK158&lt;0,"CHECK - EH shows "&amp;TEXT(-AK158,"0.##")&amp;" days more than policy",IF(AB158&gt;0,"OK - up to date",IF(AY158="None","No action - not eligible","No action - not yet qualified"))))))))</f>
        <v/>
      </c>
      <c r="AN158" s="27" t="str">
        <f aca="false">IF(AO158=0,"",TRIM(IF(AND($K158&lt;&gt;"",$H158=""),"Change 2 entered without Change 1. ","")&amp;IF(AND($K158&lt;&gt;"",$H158&lt;&gt;"",$K158&lt;=$H158),"Change 2 date not after Change 1. ","")&amp;IF(AND($N158&lt;&gt;"",$O158&lt;&gt;"",$O158&lt;$N158),"Leave To is before Leave From. ","")&amp;IF(AND($N158&lt;&gt;"",$O158=""),"Leave From entered without Leave To. ","")&amp;IF(AND(IFERROR(VLOOKUP(T158,TypeTable,2,0),"None")="PT",U158=""),"Part-time with no hours entered. ","")&amp;IF(AND($H158&lt;&gt;"",$H158&gt;AsOfDate,AD158&lt;&gt;"",$H158&lt;=AD158),"Status change lands before next accrual - review. ","")&amp;IF(AND($Q158&lt;&gt;"",$Q158&lt;$E158),"Termination before commencement. ","")))</f>
        <v/>
      </c>
      <c r="AO158" s="11" t="n">
        <f aca="false">IF(LEN($A158&amp;$B158&amp;$C158)=0,0,IF($E158="",0,1))</f>
        <v>0</v>
      </c>
      <c r="AP158" s="11" t="str">
        <f aca="false">IF(AO158=0,"",(IF(OR($N158="",$O158=""),0,MAX(0,MIN(X158,$O158)-MAX($N158,$E158)+1))+N($P158)))</f>
        <v/>
      </c>
      <c r="AQ158" s="11" t="str">
        <f aca="false">IF(AO158=0,"",IF(X158&lt;($E158+(IF(OR($N158="",$O158=""),0,MAX(0,MIN(X158,$O158)-MAX($N158,$E158)+1))+N($P158))),-1,12*(YEAR(X158)-YEAR(($E158+(IF(OR($N158="",$O158=""),0,MAX(0,MIN(X158,$O158)-MAX($N158,$E158)+1))+N($P158)))))+MONTH(X158)-MONTH(($E158+(IF(OR($N158="",$O158=""),0,MAX(0,MIN(X158,$O158)-MAX($N158,$E158)+1))+N($P158))))-IF(DAY(X158)&lt;MIN(DAY(($E158+(IF(OR($N158="",$O158=""),0,MAX(0,MIN(X158,$O158)-MAX($N158,$E158)+1))+N($P158)))),DAY(EOMONTH(X158,0))),1,0)))</f>
        <v/>
      </c>
      <c r="AR158" s="28" t="str">
        <f aca="false">IF(AO158=0,"",IF($H158="","",IF($H158&gt;X158,"",$H158)))</f>
        <v/>
      </c>
      <c r="AS158" s="28" t="str">
        <f aca="false">IF(AO158=0,"",IF(AR158="","",IF($K158="","",IF($K158&gt;X158,"",$K158))))</f>
        <v/>
      </c>
      <c r="AT158" s="11" t="str">
        <f aca="false">IF(AO158=0,"",IF(AR158="",AQ158,IF((AR158-1)&lt;($E158+(IF(OR($N158="",$O158=""),0,MAX(0,MIN((AR158-1),$O158)-MAX($N158,$E158)+1))+N($P158))),-1,12*(YEAR((AR158-1))-YEAR(($E158+(IF(OR($N158="",$O158=""),0,MAX(0,MIN((AR158-1),$O158)-MAX($N158,$E158)+1))+N($P158)))))+MONTH((AR158-1))-MONTH(($E158+(IF(OR($N158="",$O158=""),0,MAX(0,MIN((AR158-1),$O158)-MAX($N158,$E158)+1))+N($P158))))-IF(DAY((AR158-1))&lt;MIN(DAY(($E158+(IF(OR($N158="",$O158=""),0,MAX(0,MIN((AR158-1),$O158)-MAX($N158,$E158)+1))+N($P158)))),DAY(EOMONTH((AR158-1),0))),1,0))))</f>
        <v/>
      </c>
      <c r="AU158" s="11" t="str">
        <f aca="false">IF(AO158=0,"",IF(AS158="",AQ158,IF((AS158-1)&lt;($E158+(IF(OR($N158="",$O158=""),0,MAX(0,MIN((AS158-1),$O158)-MAX($N158,$E158)+1))+N($P158))),-1,12*(YEAR((AS158-1))-YEAR(($E158+(IF(OR($N158="",$O158=""),0,MAX(0,MIN((AS158-1),$O158)-MAX($N158,$E158)+1))+N($P158)))))+MONTH((AS158-1))-MONTH(($E158+(IF(OR($N158="",$O158=""),0,MAX(0,MIN((AS158-1),$O158)-MAX($N158,$E158)+1))+N($P158))))-IF(DAY((AS158-1))&lt;MIN(DAY(($E158+(IF(OR($N158="",$O158=""),0,MAX(0,MIN((AS158-1),$O158)-MAX($N158,$E158)+1))+N($P158)))),DAY(EOMONTH((AS158-1),0))),1,0))))</f>
        <v/>
      </c>
      <c r="AV158" s="11" t="str">
        <f aca="false">IF(AO158=0,"",IF($F158="","None",IF(IFERROR(VLOOKUP($F158,TypeTable,2,0),"None")="PT",IF(N($G158)&gt;=PT_MinHours,"PT","None"),IFERROR(VLOOKUP($F158,TypeTable,2,0),"None"))))</f>
        <v/>
      </c>
      <c r="AW158" s="11" t="str">
        <f aca="false">IF(AO158=0,"",IF($I158="","None",IF(IFERROR(VLOOKUP($I158,TypeTable,2,0),"None")="PT",IF(N($J158)&gt;=PT_MinHours,"PT","None"),IFERROR(VLOOKUP($I158,TypeTable,2,0),"None"))))</f>
        <v/>
      </c>
      <c r="AX158" s="11" t="str">
        <f aca="false">IF(AO158=0,"",IF($L158="","None",IF(IFERROR(VLOOKUP($L158,TypeTable,2,0),"None")="PT",IF(N($M158)&gt;=PT_MinHours,"PT","None"),IFERROR(VLOOKUP($L158,TypeTable,2,0),"None"))))</f>
        <v/>
      </c>
      <c r="AY158" s="11" t="str">
        <f aca="false">IF(AO158=0,"",IF(AS158&lt;&gt;"",AX158,IF(AR158&lt;&gt;"",AW158,AV158)))</f>
        <v/>
      </c>
      <c r="AZ158" s="11" t="str">
        <f aca="false">IF(AO158=0,"",IF(AV158="FT",IF(AT158&lt;FT_First,0,IF(AT158&lt;FT_Y5,1+INT((AT158-FT_First)/FT_Int1),FT_PreY5+FT_PerYear*INT((AT158-FT_Y5)/12)+FT_AnnivDays+INT(MOD(AT158-FT_Y5,12)/FT_Int2))),IF(AV158="PT",IF(AT158&lt;PT_First,0,1+INT((AT158-PT_First)/PT_Int)),0)))</f>
        <v/>
      </c>
      <c r="BA158" s="11" t="str">
        <f aca="false">IF(AO158=0,"",IF(AW158="FT",IF(AT158&lt;FT_First,0,IF(AT158&lt;FT_Y5,1+INT((AT158-FT_First)/FT_Int1),FT_PreY5+FT_PerYear*INT((AT158-FT_Y5)/12)+FT_AnnivDays+INT(MOD(AT158-FT_Y5,12)/FT_Int2))),IF(AW158="PT",IF(AT158&lt;PT_First,0,1+INT((AT158-PT_First)/PT_Int)),0)))</f>
        <v/>
      </c>
      <c r="BB158" s="11" t="str">
        <f aca="false">IF(AO158=0,"",IF(AW158="FT",IF(AU158&lt;FT_First,0,IF(AU158&lt;FT_Y5,1+INT((AU158-FT_First)/FT_Int1),FT_PreY5+FT_PerYear*INT((AU158-FT_Y5)/12)+FT_AnnivDays+INT(MOD(AU158-FT_Y5,12)/FT_Int2))),IF(AW158="PT",IF(AU158&lt;PT_First,0,1+INT((AU158-PT_First)/PT_Int)),0)))</f>
        <v/>
      </c>
      <c r="BC158" s="11" t="str">
        <f aca="false">IF(AO158=0,"",IF(AX158="FT",IF(AU158&lt;FT_First,0,IF(AU158&lt;FT_Y5,1+INT((AU158-FT_First)/FT_Int1),FT_PreY5+FT_PerYear*INT((AU158-FT_Y5)/12)+FT_AnnivDays+INT(MOD(AU158-FT_Y5,12)/FT_Int2))),IF(AX158="PT",IF(AU158&lt;PT_First,0,1+INT((AU158-PT_First)/PT_Int)),0)))</f>
        <v/>
      </c>
      <c r="BD158" s="11" t="str">
        <f aca="false">IF(AO158=0,"",IF(AX158="FT",IF(AQ158&lt;FT_First,0,IF(AQ158&lt;FT_Y5,1+INT((AQ158-FT_First)/FT_Int1),FT_PreY5+FT_PerYear*INT((AQ158-FT_Y5)/12)+FT_AnnivDays+INT(MOD(AQ158-FT_Y5,12)/FT_Int2))),IF(AX158="PT",IF(AQ158&lt;PT_First,0,1+INT((AQ158-PT_First)/PT_Int)),0)))</f>
        <v/>
      </c>
      <c r="BE158" s="11" t="str">
        <f aca="false">IF(AO158=0,"",IF(AY158="FT",IF(AQ158&lt;FT_First,FT_First,IF(AQ158&lt;FT_Y5,MIN(FT_Y5,FT_First+FT_Int1*(INT((AQ158-FT_First)/FT_Int1)+1)),FT_Y5+12*INT((AQ158-FT_Y5)/12)+FT_Int2*(INT(MOD(AQ158-FT_Y5,12)/FT_Int2)+1))),IF(AY158="PT",IF(AQ158&lt;PT_First,PT_First,PT_First+PT_Int*(INT((AQ158-PT_First)/PT_Int)+1)),"")))</f>
        <v/>
      </c>
      <c r="BF158" s="11" t="n">
        <f aca="false">IF(AO158=0,0,IF(AND($Q158&lt;&gt;"",$Q158&lt;=AsOfDate),1,0))</f>
        <v>0</v>
      </c>
      <c r="BG158" s="11" t="str">
        <f aca="false">IF(AND(AO158=1,BF158=0,EH_Ready,N(AB158)&gt;0,N(AI158)=0),COUNT($BG$5:BG157)+1,"")</f>
        <v/>
      </c>
      <c r="BH158" s="11" t="str">
        <f aca="false">IF(AND(AO158=1,BF158=0,EH_Ready,N(AB158)&gt;0,N(AI158)&gt;0,N(AK158)&gt;0),COUNT($BH$5:BH157)+1,"")</f>
        <v/>
      </c>
      <c r="BI158" s="11" t="str">
        <f aca="false">IF(AND(AO158=1,OR(LEFT(AM158,3)="ADD",LEFT(AM158,3)="SET",LEFT(AM158,5)="CHECK",LEFT(AM158,10)="TERMINATED")),COUNT($BI$5:BI157)+1,"")</f>
        <v/>
      </c>
      <c r="BJ158" s="11" t="str">
        <f aca="false">IF(AO158=0,"",$A158&amp;" - "&amp;$B158&amp;" "&amp;$C158)</f>
        <v/>
      </c>
    </row>
    <row r="159" customFormat="false" ht="15" hidden="false" customHeight="false" outlineLevel="0" collapsed="false">
      <c r="A159" s="10"/>
      <c r="B159" s="10"/>
      <c r="C159" s="10"/>
      <c r="D159" s="10"/>
      <c r="E159" s="9"/>
      <c r="F159" s="10"/>
      <c r="G159" s="30"/>
      <c r="H159" s="9"/>
      <c r="I159" s="10"/>
      <c r="J159" s="30"/>
      <c r="K159" s="9"/>
      <c r="L159" s="10"/>
      <c r="M159" s="30"/>
      <c r="N159" s="9"/>
      <c r="O159" s="9"/>
      <c r="P159" s="30"/>
      <c r="Q159" s="9"/>
      <c r="R159" s="10"/>
      <c r="S159" s="11" t="str">
        <f aca="false">IF(AO159=0,"",IF($H159="","",$F159&amp;" -&gt; "&amp;$I159&amp;IF($I159="Part-Time"," ("&amp;N($J159)&amp;" hrs)","")&amp;" on "&amp;TEXT($H159,"dd/mm/yyyy")&amp;IF($H159&gt;AsOfDate," (FUTURE)","")&amp;IF($K159="","","; "&amp;$I159&amp;" -&gt; "&amp;$L159&amp;IF($L159="Part-Time"," ("&amp;N($M159)&amp;" hrs)","")&amp;" on "&amp;TEXT($K159,"dd/mm/yyyy")&amp;IF($K159&gt;AsOfDate," (FUTURE)",""))))</f>
        <v/>
      </c>
      <c r="T159" s="11" t="str">
        <f aca="false">IF(AO159=0,"",IF(AS159&lt;&gt;"",$L159,IF(AR159&lt;&gt;"",$I159,$F159)))</f>
        <v/>
      </c>
      <c r="U159" s="26" t="str">
        <f aca="false">IF(AO159=0,"",IF(AS159&lt;&gt;"",$M159,IF(AR159&lt;&gt;"",$J159,$G159)))</f>
        <v/>
      </c>
      <c r="V159" s="11" t="str">
        <f aca="false">IF(AO159=0,"",IF(AY159="FT","Full-Time",IF(AY159="PT","Part-Time","Not eligible")))</f>
        <v/>
      </c>
      <c r="W159" s="27" t="str">
        <f aca="false">IF(AO159=0,"",IF(AR159="",IF(AND($H159&lt;&gt;"",$H159&gt;AsOfDate),"Future change - not yet applied",""),IF(AND(AV159=AY159,OR(AS159="",AW159=AV159)),"Type changed - same accrual pathway",IF(AY159="None","STOPPED accruing from "&amp;TEXT(IF(AS159&lt;&gt;"",AS159,AR159),"dd/mm/yyyy"),IF(AV159="None","STARTED qualifying from "&amp;TEXT(IF(AS159&lt;&gt;"",AS159,AR159),"dd/mm/yyyy"),"Pathway changed "&amp;AV159&amp;" -&gt; "&amp;AW159&amp;IF(AS159&lt;&gt;""," -&gt; "&amp;AX159,"")&amp;" from "&amp;TEXT(IF(AS159&lt;&gt;"",AS159,AR159),"dd/mm/yyyy"))))))</f>
        <v/>
      </c>
      <c r="X159" s="28" t="str">
        <f aca="false">IF(AO159=0,"",IF($Q159="",AsOfDate,MIN(AsOfDate,$Q159)))</f>
        <v/>
      </c>
      <c r="Y159" s="26" t="str">
        <f aca="false">IF(AO159=0,"",MAX(0,AQ159))</f>
        <v/>
      </c>
      <c r="Z159" s="11" t="str">
        <f aca="false">IF(AO159=0,"",IF(AQ159&lt;0,"Not started",INT(AQ159/12)&amp;"y "&amp;MOD(AQ159,12)&amp;"m"))</f>
        <v/>
      </c>
      <c r="AA159" s="27" t="str">
        <f aca="false">IF(AO159=0,"",IF(BF159=1,"Terminated - balance forfeited",IF(AY159="None",IF(AB159&gt;0,"No longer accruing - "&amp;T159,"Not eligible - "&amp;T159&amp;IF(AND(IFERROR(VLOOKUP(T159,TypeTable,2,0),"None")="PT",N(U159)&lt;PT_MinHours)," (under "&amp;PT_MinHours&amp;" hrs)","")),IF(AB159&gt;0,"Yes - accruing","Not yet - qualifies "&amp;TEXT(AD159,"dd/mm/yyyy")))))</f>
        <v/>
      </c>
      <c r="AB159" s="26" t="str">
        <f aca="false">IF(AO159=0,"",AZ159+IF(AR159="",0,BB159-BA159)+IF(AS159="",0,BD159-BC159))</f>
        <v/>
      </c>
      <c r="AC159" s="26" t="str">
        <f aca="false">IF(AO159=0,"",AB159*HoursPerDay)</f>
        <v/>
      </c>
      <c r="AD159" s="28" t="str">
        <f aca="false">IF(AO159=0,"",IF(OR(BF159=1,AY159="None"),"",EDATE($E159+AP159,BE159)))</f>
        <v/>
      </c>
      <c r="AE159" s="26" t="str">
        <f aca="false">IF(AD159="","",IF(AY159="PT",1,IF(BE159&lt;FT_Y5,1,IF(MOD(BE159-FT_Y5,12)=0,FT_AnnivDays,1))))</f>
        <v/>
      </c>
      <c r="AF159" s="27" t="str">
        <f aca="false">IF(AO159=0,"",IF(NOT(EH_Ready),"Map headers",IF(IF(MatchMode="Employee ID",COUNTIFS(INDEX(EH_Data,0,EH_ColID),$A159,INDEX(EH_Data,0,EH_ColCat),BonusCat),COUNTIFS(INDEX(EH_Data,0,EH_ColFirst),$B159,INDEX(EH_Data,0,EH_ColSur),$C159,INDEX(EH_Data,0,EH_ColCat),BonusCat))&gt;0,"Yes","No")))</f>
        <v/>
      </c>
      <c r="AG159" s="26" t="str">
        <f aca="false">IF(AO159=0,"",IF(NOT(EH_Ready),"",IF(MatchMode="Employee ID",SUMIFS(INDEX(EH_Data,0,EH_ColBal),INDEX(EH_Data,0,EH_ColID),$A159,INDEX(EH_Data,0,EH_ColCat),BonusCat),SUMIFS(INDEX(EH_Data,0,EH_ColBal),INDEX(EH_Data,0,EH_ColFirst),$B159,INDEX(EH_Data,0,EH_ColSur),$C159,INDEX(EH_Data,0,EH_ColCat),BonusCat))/IF(EHUnit="Hours",HoursPerDay,1)))</f>
        <v/>
      </c>
      <c r="AH159" s="26" t="str">
        <f aca="false">IF(AO159=0,"",IF(NOT(TK_Ready),0,IF(MatchMode="Employee ID",SUMIFS(INDEX(TK_Data,0,TK_ColAmt),INDEX(TK_Data,0,TK_ColID),$A159,INDEX(TK_Data,0,TK_ColCat),BonusCat),SUMIFS(INDEX(TK_Data,0,TK_ColAmt),INDEX(TK_Data,0,TK_ColFirst),$B159,INDEX(TK_Data,0,TK_ColSur),$C159,INDEX(TK_Data,0,TK_ColCat),BonusCat))/IF(TKUnit="Hours",HoursPerDay,1)))</f>
        <v/>
      </c>
      <c r="AI159" s="26" t="str">
        <f aca="false">IF(AO159=0,"",N(AG159)+N(AH159))</f>
        <v/>
      </c>
      <c r="AJ159" s="29" t="str">
        <f aca="false">IF(AO159=0,"",IF(NOT(AND(EH_Ready,EH_ValReady)),"",IF(MatchMode="Employee ID",SUMIFS(INDEX(EH_Data,0,EH_ColVal),INDEX(EH_Data,0,EH_ColID),$A159,INDEX(EH_Data,0,EH_ColCat),BonusCat),SUMIFS(INDEX(EH_Data,0,EH_ColVal),INDEX(EH_Data,0,EH_ColFirst),$B159,INDEX(EH_Data,0,EH_ColSur),$C159,INDEX(EH_Data,0,EH_ColCat),BonusCat))))</f>
        <v/>
      </c>
      <c r="AK159" s="26" t="str">
        <f aca="false">IF(AO159=0,"",IF(OR(NOT(EH_Ready),BF159=1),"",AB159-AI159))</f>
        <v/>
      </c>
      <c r="AL159" s="26" t="str">
        <f aca="false">IF(AK159="","",AK159*HoursPerDay)</f>
        <v/>
      </c>
      <c r="AM159" s="27" t="str">
        <f aca="false">IF(AO159=0,"",IF(BF159=1,IF(N(AG159)&gt;0,"TERMINATED - forfeit "&amp;TEXT(AG159,"0.##")&amp;" days still in EH","Terminated - nothing in EH"),IF(NOT(EH_Ready),"Paste EH export and map headers on Settings",IF(AND(AB159&gt;0,AF159="No"),"SET UP in EH - add "&amp;TEXT(AB159,"0.##")&amp;" day(s) ("&amp;TEXT(AC159,"0.##")&amp;" hrs)",IF(AK159&gt;0,"ADD "&amp;TEXT(AK159,"0.##")&amp;" day(s) ("&amp;TEXT(AL159,"0.##")&amp;" hrs) in EH",IF(AK159&lt;0,"CHECK - EH shows "&amp;TEXT(-AK159,"0.##")&amp;" days more than policy",IF(AB159&gt;0,"OK - up to date",IF(AY159="None","No action - not eligible","No action - not yet qualified"))))))))</f>
        <v/>
      </c>
      <c r="AN159" s="27" t="str">
        <f aca="false">IF(AO159=0,"",TRIM(IF(AND($K159&lt;&gt;"",$H159=""),"Change 2 entered without Change 1. ","")&amp;IF(AND($K159&lt;&gt;"",$H159&lt;&gt;"",$K159&lt;=$H159),"Change 2 date not after Change 1. ","")&amp;IF(AND($N159&lt;&gt;"",$O159&lt;&gt;"",$O159&lt;$N159),"Leave To is before Leave From. ","")&amp;IF(AND($N159&lt;&gt;"",$O159=""),"Leave From entered without Leave To. ","")&amp;IF(AND(IFERROR(VLOOKUP(T159,TypeTable,2,0),"None")="PT",U159=""),"Part-time with no hours entered. ","")&amp;IF(AND($H159&lt;&gt;"",$H159&gt;AsOfDate,AD159&lt;&gt;"",$H159&lt;=AD159),"Status change lands before next accrual - review. ","")&amp;IF(AND($Q159&lt;&gt;"",$Q159&lt;$E159),"Termination before commencement. ","")))</f>
        <v/>
      </c>
      <c r="AO159" s="11" t="n">
        <f aca="false">IF(LEN($A159&amp;$B159&amp;$C159)=0,0,IF($E159="",0,1))</f>
        <v>0</v>
      </c>
      <c r="AP159" s="11" t="str">
        <f aca="false">IF(AO159=0,"",(IF(OR($N159="",$O159=""),0,MAX(0,MIN(X159,$O159)-MAX($N159,$E159)+1))+N($P159)))</f>
        <v/>
      </c>
      <c r="AQ159" s="11" t="str">
        <f aca="false">IF(AO159=0,"",IF(X159&lt;($E159+(IF(OR($N159="",$O159=""),0,MAX(0,MIN(X159,$O159)-MAX($N159,$E159)+1))+N($P159))),-1,12*(YEAR(X159)-YEAR(($E159+(IF(OR($N159="",$O159=""),0,MAX(0,MIN(X159,$O159)-MAX($N159,$E159)+1))+N($P159)))))+MONTH(X159)-MONTH(($E159+(IF(OR($N159="",$O159=""),0,MAX(0,MIN(X159,$O159)-MAX($N159,$E159)+1))+N($P159))))-IF(DAY(X159)&lt;MIN(DAY(($E159+(IF(OR($N159="",$O159=""),0,MAX(0,MIN(X159,$O159)-MAX($N159,$E159)+1))+N($P159)))),DAY(EOMONTH(X159,0))),1,0)))</f>
        <v/>
      </c>
      <c r="AR159" s="28" t="str">
        <f aca="false">IF(AO159=0,"",IF($H159="","",IF($H159&gt;X159,"",$H159)))</f>
        <v/>
      </c>
      <c r="AS159" s="28" t="str">
        <f aca="false">IF(AO159=0,"",IF(AR159="","",IF($K159="","",IF($K159&gt;X159,"",$K159))))</f>
        <v/>
      </c>
      <c r="AT159" s="11" t="str">
        <f aca="false">IF(AO159=0,"",IF(AR159="",AQ159,IF((AR159-1)&lt;($E159+(IF(OR($N159="",$O159=""),0,MAX(0,MIN((AR159-1),$O159)-MAX($N159,$E159)+1))+N($P159))),-1,12*(YEAR((AR159-1))-YEAR(($E159+(IF(OR($N159="",$O159=""),0,MAX(0,MIN((AR159-1),$O159)-MAX($N159,$E159)+1))+N($P159)))))+MONTH((AR159-1))-MONTH(($E159+(IF(OR($N159="",$O159=""),0,MAX(0,MIN((AR159-1),$O159)-MAX($N159,$E159)+1))+N($P159))))-IF(DAY((AR159-1))&lt;MIN(DAY(($E159+(IF(OR($N159="",$O159=""),0,MAX(0,MIN((AR159-1),$O159)-MAX($N159,$E159)+1))+N($P159)))),DAY(EOMONTH((AR159-1),0))),1,0))))</f>
        <v/>
      </c>
      <c r="AU159" s="11" t="str">
        <f aca="false">IF(AO159=0,"",IF(AS159="",AQ159,IF((AS159-1)&lt;($E159+(IF(OR($N159="",$O159=""),0,MAX(0,MIN((AS159-1),$O159)-MAX($N159,$E159)+1))+N($P159))),-1,12*(YEAR((AS159-1))-YEAR(($E159+(IF(OR($N159="",$O159=""),0,MAX(0,MIN((AS159-1),$O159)-MAX($N159,$E159)+1))+N($P159)))))+MONTH((AS159-1))-MONTH(($E159+(IF(OR($N159="",$O159=""),0,MAX(0,MIN((AS159-1),$O159)-MAX($N159,$E159)+1))+N($P159))))-IF(DAY((AS159-1))&lt;MIN(DAY(($E159+(IF(OR($N159="",$O159=""),0,MAX(0,MIN((AS159-1),$O159)-MAX($N159,$E159)+1))+N($P159)))),DAY(EOMONTH((AS159-1),0))),1,0))))</f>
        <v/>
      </c>
      <c r="AV159" s="11" t="str">
        <f aca="false">IF(AO159=0,"",IF($F159="","None",IF(IFERROR(VLOOKUP($F159,TypeTable,2,0),"None")="PT",IF(N($G159)&gt;=PT_MinHours,"PT","None"),IFERROR(VLOOKUP($F159,TypeTable,2,0),"None"))))</f>
        <v/>
      </c>
      <c r="AW159" s="11" t="str">
        <f aca="false">IF(AO159=0,"",IF($I159="","None",IF(IFERROR(VLOOKUP($I159,TypeTable,2,0),"None")="PT",IF(N($J159)&gt;=PT_MinHours,"PT","None"),IFERROR(VLOOKUP($I159,TypeTable,2,0),"None"))))</f>
        <v/>
      </c>
      <c r="AX159" s="11" t="str">
        <f aca="false">IF(AO159=0,"",IF($L159="","None",IF(IFERROR(VLOOKUP($L159,TypeTable,2,0),"None")="PT",IF(N($M159)&gt;=PT_MinHours,"PT","None"),IFERROR(VLOOKUP($L159,TypeTable,2,0),"None"))))</f>
        <v/>
      </c>
      <c r="AY159" s="11" t="str">
        <f aca="false">IF(AO159=0,"",IF(AS159&lt;&gt;"",AX159,IF(AR159&lt;&gt;"",AW159,AV159)))</f>
        <v/>
      </c>
      <c r="AZ159" s="11" t="str">
        <f aca="false">IF(AO159=0,"",IF(AV159="FT",IF(AT159&lt;FT_First,0,IF(AT159&lt;FT_Y5,1+INT((AT159-FT_First)/FT_Int1),FT_PreY5+FT_PerYear*INT((AT159-FT_Y5)/12)+FT_AnnivDays+INT(MOD(AT159-FT_Y5,12)/FT_Int2))),IF(AV159="PT",IF(AT159&lt;PT_First,0,1+INT((AT159-PT_First)/PT_Int)),0)))</f>
        <v/>
      </c>
      <c r="BA159" s="11" t="str">
        <f aca="false">IF(AO159=0,"",IF(AW159="FT",IF(AT159&lt;FT_First,0,IF(AT159&lt;FT_Y5,1+INT((AT159-FT_First)/FT_Int1),FT_PreY5+FT_PerYear*INT((AT159-FT_Y5)/12)+FT_AnnivDays+INT(MOD(AT159-FT_Y5,12)/FT_Int2))),IF(AW159="PT",IF(AT159&lt;PT_First,0,1+INT((AT159-PT_First)/PT_Int)),0)))</f>
        <v/>
      </c>
      <c r="BB159" s="11" t="str">
        <f aca="false">IF(AO159=0,"",IF(AW159="FT",IF(AU159&lt;FT_First,0,IF(AU159&lt;FT_Y5,1+INT((AU159-FT_First)/FT_Int1),FT_PreY5+FT_PerYear*INT((AU159-FT_Y5)/12)+FT_AnnivDays+INT(MOD(AU159-FT_Y5,12)/FT_Int2))),IF(AW159="PT",IF(AU159&lt;PT_First,0,1+INT((AU159-PT_First)/PT_Int)),0)))</f>
        <v/>
      </c>
      <c r="BC159" s="11" t="str">
        <f aca="false">IF(AO159=0,"",IF(AX159="FT",IF(AU159&lt;FT_First,0,IF(AU159&lt;FT_Y5,1+INT((AU159-FT_First)/FT_Int1),FT_PreY5+FT_PerYear*INT((AU159-FT_Y5)/12)+FT_AnnivDays+INT(MOD(AU159-FT_Y5,12)/FT_Int2))),IF(AX159="PT",IF(AU159&lt;PT_First,0,1+INT((AU159-PT_First)/PT_Int)),0)))</f>
        <v/>
      </c>
      <c r="BD159" s="11" t="str">
        <f aca="false">IF(AO159=0,"",IF(AX159="FT",IF(AQ159&lt;FT_First,0,IF(AQ159&lt;FT_Y5,1+INT((AQ159-FT_First)/FT_Int1),FT_PreY5+FT_PerYear*INT((AQ159-FT_Y5)/12)+FT_AnnivDays+INT(MOD(AQ159-FT_Y5,12)/FT_Int2))),IF(AX159="PT",IF(AQ159&lt;PT_First,0,1+INT((AQ159-PT_First)/PT_Int)),0)))</f>
        <v/>
      </c>
      <c r="BE159" s="11" t="str">
        <f aca="false">IF(AO159=0,"",IF(AY159="FT",IF(AQ159&lt;FT_First,FT_First,IF(AQ159&lt;FT_Y5,MIN(FT_Y5,FT_First+FT_Int1*(INT((AQ159-FT_First)/FT_Int1)+1)),FT_Y5+12*INT((AQ159-FT_Y5)/12)+FT_Int2*(INT(MOD(AQ159-FT_Y5,12)/FT_Int2)+1))),IF(AY159="PT",IF(AQ159&lt;PT_First,PT_First,PT_First+PT_Int*(INT((AQ159-PT_First)/PT_Int)+1)),"")))</f>
        <v/>
      </c>
      <c r="BF159" s="11" t="n">
        <f aca="false">IF(AO159=0,0,IF(AND($Q159&lt;&gt;"",$Q159&lt;=AsOfDate),1,0))</f>
        <v>0</v>
      </c>
      <c r="BG159" s="11" t="str">
        <f aca="false">IF(AND(AO159=1,BF159=0,EH_Ready,N(AB159)&gt;0,N(AI159)=0),COUNT($BG$5:BG158)+1,"")</f>
        <v/>
      </c>
      <c r="BH159" s="11" t="str">
        <f aca="false">IF(AND(AO159=1,BF159=0,EH_Ready,N(AB159)&gt;0,N(AI159)&gt;0,N(AK159)&gt;0),COUNT($BH$5:BH158)+1,"")</f>
        <v/>
      </c>
      <c r="BI159" s="11" t="str">
        <f aca="false">IF(AND(AO159=1,OR(LEFT(AM159,3)="ADD",LEFT(AM159,3)="SET",LEFT(AM159,5)="CHECK",LEFT(AM159,10)="TERMINATED")),COUNT($BI$5:BI158)+1,"")</f>
        <v/>
      </c>
      <c r="BJ159" s="11" t="str">
        <f aca="false">IF(AO159=0,"",$A159&amp;" - "&amp;$B159&amp;" "&amp;$C159)</f>
        <v/>
      </c>
    </row>
    <row r="160" customFormat="false" ht="15" hidden="false" customHeight="false" outlineLevel="0" collapsed="false">
      <c r="A160" s="10"/>
      <c r="B160" s="10"/>
      <c r="C160" s="10"/>
      <c r="D160" s="10"/>
      <c r="E160" s="9"/>
      <c r="F160" s="10"/>
      <c r="G160" s="30"/>
      <c r="H160" s="9"/>
      <c r="I160" s="10"/>
      <c r="J160" s="30"/>
      <c r="K160" s="9"/>
      <c r="L160" s="10"/>
      <c r="M160" s="30"/>
      <c r="N160" s="9"/>
      <c r="O160" s="9"/>
      <c r="P160" s="30"/>
      <c r="Q160" s="9"/>
      <c r="R160" s="10"/>
      <c r="S160" s="11" t="str">
        <f aca="false">IF(AO160=0,"",IF($H160="","",$F160&amp;" -&gt; "&amp;$I160&amp;IF($I160="Part-Time"," ("&amp;N($J160)&amp;" hrs)","")&amp;" on "&amp;TEXT($H160,"dd/mm/yyyy")&amp;IF($H160&gt;AsOfDate," (FUTURE)","")&amp;IF($K160="","","; "&amp;$I160&amp;" -&gt; "&amp;$L160&amp;IF($L160="Part-Time"," ("&amp;N($M160)&amp;" hrs)","")&amp;" on "&amp;TEXT($K160,"dd/mm/yyyy")&amp;IF($K160&gt;AsOfDate," (FUTURE)",""))))</f>
        <v/>
      </c>
      <c r="T160" s="11" t="str">
        <f aca="false">IF(AO160=0,"",IF(AS160&lt;&gt;"",$L160,IF(AR160&lt;&gt;"",$I160,$F160)))</f>
        <v/>
      </c>
      <c r="U160" s="26" t="str">
        <f aca="false">IF(AO160=0,"",IF(AS160&lt;&gt;"",$M160,IF(AR160&lt;&gt;"",$J160,$G160)))</f>
        <v/>
      </c>
      <c r="V160" s="11" t="str">
        <f aca="false">IF(AO160=0,"",IF(AY160="FT","Full-Time",IF(AY160="PT","Part-Time","Not eligible")))</f>
        <v/>
      </c>
      <c r="W160" s="27" t="str">
        <f aca="false">IF(AO160=0,"",IF(AR160="",IF(AND($H160&lt;&gt;"",$H160&gt;AsOfDate),"Future change - not yet applied",""),IF(AND(AV160=AY160,OR(AS160="",AW160=AV160)),"Type changed - same accrual pathway",IF(AY160="None","STOPPED accruing from "&amp;TEXT(IF(AS160&lt;&gt;"",AS160,AR160),"dd/mm/yyyy"),IF(AV160="None","STARTED qualifying from "&amp;TEXT(IF(AS160&lt;&gt;"",AS160,AR160),"dd/mm/yyyy"),"Pathway changed "&amp;AV160&amp;" -&gt; "&amp;AW160&amp;IF(AS160&lt;&gt;""," -&gt; "&amp;AX160,"")&amp;" from "&amp;TEXT(IF(AS160&lt;&gt;"",AS160,AR160),"dd/mm/yyyy"))))))</f>
        <v/>
      </c>
      <c r="X160" s="28" t="str">
        <f aca="false">IF(AO160=0,"",IF($Q160="",AsOfDate,MIN(AsOfDate,$Q160)))</f>
        <v/>
      </c>
      <c r="Y160" s="26" t="str">
        <f aca="false">IF(AO160=0,"",MAX(0,AQ160))</f>
        <v/>
      </c>
      <c r="Z160" s="11" t="str">
        <f aca="false">IF(AO160=0,"",IF(AQ160&lt;0,"Not started",INT(AQ160/12)&amp;"y "&amp;MOD(AQ160,12)&amp;"m"))</f>
        <v/>
      </c>
      <c r="AA160" s="27" t="str">
        <f aca="false">IF(AO160=0,"",IF(BF160=1,"Terminated - balance forfeited",IF(AY160="None",IF(AB160&gt;0,"No longer accruing - "&amp;T160,"Not eligible - "&amp;T160&amp;IF(AND(IFERROR(VLOOKUP(T160,TypeTable,2,0),"None")="PT",N(U160)&lt;PT_MinHours)," (under "&amp;PT_MinHours&amp;" hrs)","")),IF(AB160&gt;0,"Yes - accruing","Not yet - qualifies "&amp;TEXT(AD160,"dd/mm/yyyy")))))</f>
        <v/>
      </c>
      <c r="AB160" s="26" t="str">
        <f aca="false">IF(AO160=0,"",AZ160+IF(AR160="",0,BB160-BA160)+IF(AS160="",0,BD160-BC160))</f>
        <v/>
      </c>
      <c r="AC160" s="26" t="str">
        <f aca="false">IF(AO160=0,"",AB160*HoursPerDay)</f>
        <v/>
      </c>
      <c r="AD160" s="28" t="str">
        <f aca="false">IF(AO160=0,"",IF(OR(BF160=1,AY160="None"),"",EDATE($E160+AP160,BE160)))</f>
        <v/>
      </c>
      <c r="AE160" s="26" t="str">
        <f aca="false">IF(AD160="","",IF(AY160="PT",1,IF(BE160&lt;FT_Y5,1,IF(MOD(BE160-FT_Y5,12)=0,FT_AnnivDays,1))))</f>
        <v/>
      </c>
      <c r="AF160" s="27" t="str">
        <f aca="false">IF(AO160=0,"",IF(NOT(EH_Ready),"Map headers",IF(IF(MatchMode="Employee ID",COUNTIFS(INDEX(EH_Data,0,EH_ColID),$A160,INDEX(EH_Data,0,EH_ColCat),BonusCat),COUNTIFS(INDEX(EH_Data,0,EH_ColFirst),$B160,INDEX(EH_Data,0,EH_ColSur),$C160,INDEX(EH_Data,0,EH_ColCat),BonusCat))&gt;0,"Yes","No")))</f>
        <v/>
      </c>
      <c r="AG160" s="26" t="str">
        <f aca="false">IF(AO160=0,"",IF(NOT(EH_Ready),"",IF(MatchMode="Employee ID",SUMIFS(INDEX(EH_Data,0,EH_ColBal),INDEX(EH_Data,0,EH_ColID),$A160,INDEX(EH_Data,0,EH_ColCat),BonusCat),SUMIFS(INDEX(EH_Data,0,EH_ColBal),INDEX(EH_Data,0,EH_ColFirst),$B160,INDEX(EH_Data,0,EH_ColSur),$C160,INDEX(EH_Data,0,EH_ColCat),BonusCat))/IF(EHUnit="Hours",HoursPerDay,1)))</f>
        <v/>
      </c>
      <c r="AH160" s="26" t="str">
        <f aca="false">IF(AO160=0,"",IF(NOT(TK_Ready),0,IF(MatchMode="Employee ID",SUMIFS(INDEX(TK_Data,0,TK_ColAmt),INDEX(TK_Data,0,TK_ColID),$A160,INDEX(TK_Data,0,TK_ColCat),BonusCat),SUMIFS(INDEX(TK_Data,0,TK_ColAmt),INDEX(TK_Data,0,TK_ColFirst),$B160,INDEX(TK_Data,0,TK_ColSur),$C160,INDEX(TK_Data,0,TK_ColCat),BonusCat))/IF(TKUnit="Hours",HoursPerDay,1)))</f>
        <v/>
      </c>
      <c r="AI160" s="26" t="str">
        <f aca="false">IF(AO160=0,"",N(AG160)+N(AH160))</f>
        <v/>
      </c>
      <c r="AJ160" s="29" t="str">
        <f aca="false">IF(AO160=0,"",IF(NOT(AND(EH_Ready,EH_ValReady)),"",IF(MatchMode="Employee ID",SUMIFS(INDEX(EH_Data,0,EH_ColVal),INDEX(EH_Data,0,EH_ColID),$A160,INDEX(EH_Data,0,EH_ColCat),BonusCat),SUMIFS(INDEX(EH_Data,0,EH_ColVal),INDEX(EH_Data,0,EH_ColFirst),$B160,INDEX(EH_Data,0,EH_ColSur),$C160,INDEX(EH_Data,0,EH_ColCat),BonusCat))))</f>
        <v/>
      </c>
      <c r="AK160" s="26" t="str">
        <f aca="false">IF(AO160=0,"",IF(OR(NOT(EH_Ready),BF160=1),"",AB160-AI160))</f>
        <v/>
      </c>
      <c r="AL160" s="26" t="str">
        <f aca="false">IF(AK160="","",AK160*HoursPerDay)</f>
        <v/>
      </c>
      <c r="AM160" s="27" t="str">
        <f aca="false">IF(AO160=0,"",IF(BF160=1,IF(N(AG160)&gt;0,"TERMINATED - forfeit "&amp;TEXT(AG160,"0.##")&amp;" days still in EH","Terminated - nothing in EH"),IF(NOT(EH_Ready),"Paste EH export and map headers on Settings",IF(AND(AB160&gt;0,AF160="No"),"SET UP in EH - add "&amp;TEXT(AB160,"0.##")&amp;" day(s) ("&amp;TEXT(AC160,"0.##")&amp;" hrs)",IF(AK160&gt;0,"ADD "&amp;TEXT(AK160,"0.##")&amp;" day(s) ("&amp;TEXT(AL160,"0.##")&amp;" hrs) in EH",IF(AK160&lt;0,"CHECK - EH shows "&amp;TEXT(-AK160,"0.##")&amp;" days more than policy",IF(AB160&gt;0,"OK - up to date",IF(AY160="None","No action - not eligible","No action - not yet qualified"))))))))</f>
        <v/>
      </c>
      <c r="AN160" s="27" t="str">
        <f aca="false">IF(AO160=0,"",TRIM(IF(AND($K160&lt;&gt;"",$H160=""),"Change 2 entered without Change 1. ","")&amp;IF(AND($K160&lt;&gt;"",$H160&lt;&gt;"",$K160&lt;=$H160),"Change 2 date not after Change 1. ","")&amp;IF(AND($N160&lt;&gt;"",$O160&lt;&gt;"",$O160&lt;$N160),"Leave To is before Leave From. ","")&amp;IF(AND($N160&lt;&gt;"",$O160=""),"Leave From entered without Leave To. ","")&amp;IF(AND(IFERROR(VLOOKUP(T160,TypeTable,2,0),"None")="PT",U160=""),"Part-time with no hours entered. ","")&amp;IF(AND($H160&lt;&gt;"",$H160&gt;AsOfDate,AD160&lt;&gt;"",$H160&lt;=AD160),"Status change lands before next accrual - review. ","")&amp;IF(AND($Q160&lt;&gt;"",$Q160&lt;$E160),"Termination before commencement. ","")))</f>
        <v/>
      </c>
      <c r="AO160" s="11" t="n">
        <f aca="false">IF(LEN($A160&amp;$B160&amp;$C160)=0,0,IF($E160="",0,1))</f>
        <v>0</v>
      </c>
      <c r="AP160" s="11" t="str">
        <f aca="false">IF(AO160=0,"",(IF(OR($N160="",$O160=""),0,MAX(0,MIN(X160,$O160)-MAX($N160,$E160)+1))+N($P160)))</f>
        <v/>
      </c>
      <c r="AQ160" s="11" t="str">
        <f aca="false">IF(AO160=0,"",IF(X160&lt;($E160+(IF(OR($N160="",$O160=""),0,MAX(0,MIN(X160,$O160)-MAX($N160,$E160)+1))+N($P160))),-1,12*(YEAR(X160)-YEAR(($E160+(IF(OR($N160="",$O160=""),0,MAX(0,MIN(X160,$O160)-MAX($N160,$E160)+1))+N($P160)))))+MONTH(X160)-MONTH(($E160+(IF(OR($N160="",$O160=""),0,MAX(0,MIN(X160,$O160)-MAX($N160,$E160)+1))+N($P160))))-IF(DAY(X160)&lt;MIN(DAY(($E160+(IF(OR($N160="",$O160=""),0,MAX(0,MIN(X160,$O160)-MAX($N160,$E160)+1))+N($P160)))),DAY(EOMONTH(X160,0))),1,0)))</f>
        <v/>
      </c>
      <c r="AR160" s="28" t="str">
        <f aca="false">IF(AO160=0,"",IF($H160="","",IF($H160&gt;X160,"",$H160)))</f>
        <v/>
      </c>
      <c r="AS160" s="28" t="str">
        <f aca="false">IF(AO160=0,"",IF(AR160="","",IF($K160="","",IF($K160&gt;X160,"",$K160))))</f>
        <v/>
      </c>
      <c r="AT160" s="11" t="str">
        <f aca="false">IF(AO160=0,"",IF(AR160="",AQ160,IF((AR160-1)&lt;($E160+(IF(OR($N160="",$O160=""),0,MAX(0,MIN((AR160-1),$O160)-MAX($N160,$E160)+1))+N($P160))),-1,12*(YEAR((AR160-1))-YEAR(($E160+(IF(OR($N160="",$O160=""),0,MAX(0,MIN((AR160-1),$O160)-MAX($N160,$E160)+1))+N($P160)))))+MONTH((AR160-1))-MONTH(($E160+(IF(OR($N160="",$O160=""),0,MAX(0,MIN((AR160-1),$O160)-MAX($N160,$E160)+1))+N($P160))))-IF(DAY((AR160-1))&lt;MIN(DAY(($E160+(IF(OR($N160="",$O160=""),0,MAX(0,MIN((AR160-1),$O160)-MAX($N160,$E160)+1))+N($P160)))),DAY(EOMONTH((AR160-1),0))),1,0))))</f>
        <v/>
      </c>
      <c r="AU160" s="11" t="str">
        <f aca="false">IF(AO160=0,"",IF(AS160="",AQ160,IF((AS160-1)&lt;($E160+(IF(OR($N160="",$O160=""),0,MAX(0,MIN((AS160-1),$O160)-MAX($N160,$E160)+1))+N($P160))),-1,12*(YEAR((AS160-1))-YEAR(($E160+(IF(OR($N160="",$O160=""),0,MAX(0,MIN((AS160-1),$O160)-MAX($N160,$E160)+1))+N($P160)))))+MONTH((AS160-1))-MONTH(($E160+(IF(OR($N160="",$O160=""),0,MAX(0,MIN((AS160-1),$O160)-MAX($N160,$E160)+1))+N($P160))))-IF(DAY((AS160-1))&lt;MIN(DAY(($E160+(IF(OR($N160="",$O160=""),0,MAX(0,MIN((AS160-1),$O160)-MAX($N160,$E160)+1))+N($P160)))),DAY(EOMONTH((AS160-1),0))),1,0))))</f>
        <v/>
      </c>
      <c r="AV160" s="11" t="str">
        <f aca="false">IF(AO160=0,"",IF($F160="","None",IF(IFERROR(VLOOKUP($F160,TypeTable,2,0),"None")="PT",IF(N($G160)&gt;=PT_MinHours,"PT","None"),IFERROR(VLOOKUP($F160,TypeTable,2,0),"None"))))</f>
        <v/>
      </c>
      <c r="AW160" s="11" t="str">
        <f aca="false">IF(AO160=0,"",IF($I160="","None",IF(IFERROR(VLOOKUP($I160,TypeTable,2,0),"None")="PT",IF(N($J160)&gt;=PT_MinHours,"PT","None"),IFERROR(VLOOKUP($I160,TypeTable,2,0),"None"))))</f>
        <v/>
      </c>
      <c r="AX160" s="11" t="str">
        <f aca="false">IF(AO160=0,"",IF($L160="","None",IF(IFERROR(VLOOKUP($L160,TypeTable,2,0),"None")="PT",IF(N($M160)&gt;=PT_MinHours,"PT","None"),IFERROR(VLOOKUP($L160,TypeTable,2,0),"None"))))</f>
        <v/>
      </c>
      <c r="AY160" s="11" t="str">
        <f aca="false">IF(AO160=0,"",IF(AS160&lt;&gt;"",AX160,IF(AR160&lt;&gt;"",AW160,AV160)))</f>
        <v/>
      </c>
      <c r="AZ160" s="11" t="str">
        <f aca="false">IF(AO160=0,"",IF(AV160="FT",IF(AT160&lt;FT_First,0,IF(AT160&lt;FT_Y5,1+INT((AT160-FT_First)/FT_Int1),FT_PreY5+FT_PerYear*INT((AT160-FT_Y5)/12)+FT_AnnivDays+INT(MOD(AT160-FT_Y5,12)/FT_Int2))),IF(AV160="PT",IF(AT160&lt;PT_First,0,1+INT((AT160-PT_First)/PT_Int)),0)))</f>
        <v/>
      </c>
      <c r="BA160" s="11" t="str">
        <f aca="false">IF(AO160=0,"",IF(AW160="FT",IF(AT160&lt;FT_First,0,IF(AT160&lt;FT_Y5,1+INT((AT160-FT_First)/FT_Int1),FT_PreY5+FT_PerYear*INT((AT160-FT_Y5)/12)+FT_AnnivDays+INT(MOD(AT160-FT_Y5,12)/FT_Int2))),IF(AW160="PT",IF(AT160&lt;PT_First,0,1+INT((AT160-PT_First)/PT_Int)),0)))</f>
        <v/>
      </c>
      <c r="BB160" s="11" t="str">
        <f aca="false">IF(AO160=0,"",IF(AW160="FT",IF(AU160&lt;FT_First,0,IF(AU160&lt;FT_Y5,1+INT((AU160-FT_First)/FT_Int1),FT_PreY5+FT_PerYear*INT((AU160-FT_Y5)/12)+FT_AnnivDays+INT(MOD(AU160-FT_Y5,12)/FT_Int2))),IF(AW160="PT",IF(AU160&lt;PT_First,0,1+INT((AU160-PT_First)/PT_Int)),0)))</f>
        <v/>
      </c>
      <c r="BC160" s="11" t="str">
        <f aca="false">IF(AO160=0,"",IF(AX160="FT",IF(AU160&lt;FT_First,0,IF(AU160&lt;FT_Y5,1+INT((AU160-FT_First)/FT_Int1),FT_PreY5+FT_PerYear*INT((AU160-FT_Y5)/12)+FT_AnnivDays+INT(MOD(AU160-FT_Y5,12)/FT_Int2))),IF(AX160="PT",IF(AU160&lt;PT_First,0,1+INT((AU160-PT_First)/PT_Int)),0)))</f>
        <v/>
      </c>
      <c r="BD160" s="11" t="str">
        <f aca="false">IF(AO160=0,"",IF(AX160="FT",IF(AQ160&lt;FT_First,0,IF(AQ160&lt;FT_Y5,1+INT((AQ160-FT_First)/FT_Int1),FT_PreY5+FT_PerYear*INT((AQ160-FT_Y5)/12)+FT_AnnivDays+INT(MOD(AQ160-FT_Y5,12)/FT_Int2))),IF(AX160="PT",IF(AQ160&lt;PT_First,0,1+INT((AQ160-PT_First)/PT_Int)),0)))</f>
        <v/>
      </c>
      <c r="BE160" s="11" t="str">
        <f aca="false">IF(AO160=0,"",IF(AY160="FT",IF(AQ160&lt;FT_First,FT_First,IF(AQ160&lt;FT_Y5,MIN(FT_Y5,FT_First+FT_Int1*(INT((AQ160-FT_First)/FT_Int1)+1)),FT_Y5+12*INT((AQ160-FT_Y5)/12)+FT_Int2*(INT(MOD(AQ160-FT_Y5,12)/FT_Int2)+1))),IF(AY160="PT",IF(AQ160&lt;PT_First,PT_First,PT_First+PT_Int*(INT((AQ160-PT_First)/PT_Int)+1)),"")))</f>
        <v/>
      </c>
      <c r="BF160" s="11" t="n">
        <f aca="false">IF(AO160=0,0,IF(AND($Q160&lt;&gt;"",$Q160&lt;=AsOfDate),1,0))</f>
        <v>0</v>
      </c>
      <c r="BG160" s="11" t="str">
        <f aca="false">IF(AND(AO160=1,BF160=0,EH_Ready,N(AB160)&gt;0,N(AI160)=0),COUNT($BG$5:BG159)+1,"")</f>
        <v/>
      </c>
      <c r="BH160" s="11" t="str">
        <f aca="false">IF(AND(AO160=1,BF160=0,EH_Ready,N(AB160)&gt;0,N(AI160)&gt;0,N(AK160)&gt;0),COUNT($BH$5:BH159)+1,"")</f>
        <v/>
      </c>
      <c r="BI160" s="11" t="str">
        <f aca="false">IF(AND(AO160=1,OR(LEFT(AM160,3)="ADD",LEFT(AM160,3)="SET",LEFT(AM160,5)="CHECK",LEFT(AM160,10)="TERMINATED")),COUNT($BI$5:BI159)+1,"")</f>
        <v/>
      </c>
      <c r="BJ160" s="11" t="str">
        <f aca="false">IF(AO160=0,"",$A160&amp;" - "&amp;$B160&amp;" "&amp;$C160)</f>
        <v/>
      </c>
    </row>
    <row r="161" customFormat="false" ht="15" hidden="false" customHeight="false" outlineLevel="0" collapsed="false">
      <c r="A161" s="10"/>
      <c r="B161" s="10"/>
      <c r="C161" s="10"/>
      <c r="D161" s="10"/>
      <c r="E161" s="9"/>
      <c r="F161" s="10"/>
      <c r="G161" s="30"/>
      <c r="H161" s="9"/>
      <c r="I161" s="10"/>
      <c r="J161" s="30"/>
      <c r="K161" s="9"/>
      <c r="L161" s="10"/>
      <c r="M161" s="30"/>
      <c r="N161" s="9"/>
      <c r="O161" s="9"/>
      <c r="P161" s="30"/>
      <c r="Q161" s="9"/>
      <c r="R161" s="10"/>
      <c r="S161" s="11" t="str">
        <f aca="false">IF(AO161=0,"",IF($H161="","",$F161&amp;" -&gt; "&amp;$I161&amp;IF($I161="Part-Time"," ("&amp;N($J161)&amp;" hrs)","")&amp;" on "&amp;TEXT($H161,"dd/mm/yyyy")&amp;IF($H161&gt;AsOfDate," (FUTURE)","")&amp;IF($K161="","","; "&amp;$I161&amp;" -&gt; "&amp;$L161&amp;IF($L161="Part-Time"," ("&amp;N($M161)&amp;" hrs)","")&amp;" on "&amp;TEXT($K161,"dd/mm/yyyy")&amp;IF($K161&gt;AsOfDate," (FUTURE)",""))))</f>
        <v/>
      </c>
      <c r="T161" s="11" t="str">
        <f aca="false">IF(AO161=0,"",IF(AS161&lt;&gt;"",$L161,IF(AR161&lt;&gt;"",$I161,$F161)))</f>
        <v/>
      </c>
      <c r="U161" s="26" t="str">
        <f aca="false">IF(AO161=0,"",IF(AS161&lt;&gt;"",$M161,IF(AR161&lt;&gt;"",$J161,$G161)))</f>
        <v/>
      </c>
      <c r="V161" s="11" t="str">
        <f aca="false">IF(AO161=0,"",IF(AY161="FT","Full-Time",IF(AY161="PT","Part-Time","Not eligible")))</f>
        <v/>
      </c>
      <c r="W161" s="27" t="str">
        <f aca="false">IF(AO161=0,"",IF(AR161="",IF(AND($H161&lt;&gt;"",$H161&gt;AsOfDate),"Future change - not yet applied",""),IF(AND(AV161=AY161,OR(AS161="",AW161=AV161)),"Type changed - same accrual pathway",IF(AY161="None","STOPPED accruing from "&amp;TEXT(IF(AS161&lt;&gt;"",AS161,AR161),"dd/mm/yyyy"),IF(AV161="None","STARTED qualifying from "&amp;TEXT(IF(AS161&lt;&gt;"",AS161,AR161),"dd/mm/yyyy"),"Pathway changed "&amp;AV161&amp;" -&gt; "&amp;AW161&amp;IF(AS161&lt;&gt;""," -&gt; "&amp;AX161,"")&amp;" from "&amp;TEXT(IF(AS161&lt;&gt;"",AS161,AR161),"dd/mm/yyyy"))))))</f>
        <v/>
      </c>
      <c r="X161" s="28" t="str">
        <f aca="false">IF(AO161=0,"",IF($Q161="",AsOfDate,MIN(AsOfDate,$Q161)))</f>
        <v/>
      </c>
      <c r="Y161" s="26" t="str">
        <f aca="false">IF(AO161=0,"",MAX(0,AQ161))</f>
        <v/>
      </c>
      <c r="Z161" s="11" t="str">
        <f aca="false">IF(AO161=0,"",IF(AQ161&lt;0,"Not started",INT(AQ161/12)&amp;"y "&amp;MOD(AQ161,12)&amp;"m"))</f>
        <v/>
      </c>
      <c r="AA161" s="27" t="str">
        <f aca="false">IF(AO161=0,"",IF(BF161=1,"Terminated - balance forfeited",IF(AY161="None",IF(AB161&gt;0,"No longer accruing - "&amp;T161,"Not eligible - "&amp;T161&amp;IF(AND(IFERROR(VLOOKUP(T161,TypeTable,2,0),"None")="PT",N(U161)&lt;PT_MinHours)," (under "&amp;PT_MinHours&amp;" hrs)","")),IF(AB161&gt;0,"Yes - accruing","Not yet - qualifies "&amp;TEXT(AD161,"dd/mm/yyyy")))))</f>
        <v/>
      </c>
      <c r="AB161" s="26" t="str">
        <f aca="false">IF(AO161=0,"",AZ161+IF(AR161="",0,BB161-BA161)+IF(AS161="",0,BD161-BC161))</f>
        <v/>
      </c>
      <c r="AC161" s="26" t="str">
        <f aca="false">IF(AO161=0,"",AB161*HoursPerDay)</f>
        <v/>
      </c>
      <c r="AD161" s="28" t="str">
        <f aca="false">IF(AO161=0,"",IF(OR(BF161=1,AY161="None"),"",EDATE($E161+AP161,BE161)))</f>
        <v/>
      </c>
      <c r="AE161" s="26" t="str">
        <f aca="false">IF(AD161="","",IF(AY161="PT",1,IF(BE161&lt;FT_Y5,1,IF(MOD(BE161-FT_Y5,12)=0,FT_AnnivDays,1))))</f>
        <v/>
      </c>
      <c r="AF161" s="27" t="str">
        <f aca="false">IF(AO161=0,"",IF(NOT(EH_Ready),"Map headers",IF(IF(MatchMode="Employee ID",COUNTIFS(INDEX(EH_Data,0,EH_ColID),$A161,INDEX(EH_Data,0,EH_ColCat),BonusCat),COUNTIFS(INDEX(EH_Data,0,EH_ColFirst),$B161,INDEX(EH_Data,0,EH_ColSur),$C161,INDEX(EH_Data,0,EH_ColCat),BonusCat))&gt;0,"Yes","No")))</f>
        <v/>
      </c>
      <c r="AG161" s="26" t="str">
        <f aca="false">IF(AO161=0,"",IF(NOT(EH_Ready),"",IF(MatchMode="Employee ID",SUMIFS(INDEX(EH_Data,0,EH_ColBal),INDEX(EH_Data,0,EH_ColID),$A161,INDEX(EH_Data,0,EH_ColCat),BonusCat),SUMIFS(INDEX(EH_Data,0,EH_ColBal),INDEX(EH_Data,0,EH_ColFirst),$B161,INDEX(EH_Data,0,EH_ColSur),$C161,INDEX(EH_Data,0,EH_ColCat),BonusCat))/IF(EHUnit="Hours",HoursPerDay,1)))</f>
        <v/>
      </c>
      <c r="AH161" s="26" t="str">
        <f aca="false">IF(AO161=0,"",IF(NOT(TK_Ready),0,IF(MatchMode="Employee ID",SUMIFS(INDEX(TK_Data,0,TK_ColAmt),INDEX(TK_Data,0,TK_ColID),$A161,INDEX(TK_Data,0,TK_ColCat),BonusCat),SUMIFS(INDEX(TK_Data,0,TK_ColAmt),INDEX(TK_Data,0,TK_ColFirst),$B161,INDEX(TK_Data,0,TK_ColSur),$C161,INDEX(TK_Data,0,TK_ColCat),BonusCat))/IF(TKUnit="Hours",HoursPerDay,1)))</f>
        <v/>
      </c>
      <c r="AI161" s="26" t="str">
        <f aca="false">IF(AO161=0,"",N(AG161)+N(AH161))</f>
        <v/>
      </c>
      <c r="AJ161" s="29" t="str">
        <f aca="false">IF(AO161=0,"",IF(NOT(AND(EH_Ready,EH_ValReady)),"",IF(MatchMode="Employee ID",SUMIFS(INDEX(EH_Data,0,EH_ColVal),INDEX(EH_Data,0,EH_ColID),$A161,INDEX(EH_Data,0,EH_ColCat),BonusCat),SUMIFS(INDEX(EH_Data,0,EH_ColVal),INDEX(EH_Data,0,EH_ColFirst),$B161,INDEX(EH_Data,0,EH_ColSur),$C161,INDEX(EH_Data,0,EH_ColCat),BonusCat))))</f>
        <v/>
      </c>
      <c r="AK161" s="26" t="str">
        <f aca="false">IF(AO161=0,"",IF(OR(NOT(EH_Ready),BF161=1),"",AB161-AI161))</f>
        <v/>
      </c>
      <c r="AL161" s="26" t="str">
        <f aca="false">IF(AK161="","",AK161*HoursPerDay)</f>
        <v/>
      </c>
      <c r="AM161" s="27" t="str">
        <f aca="false">IF(AO161=0,"",IF(BF161=1,IF(N(AG161)&gt;0,"TERMINATED - forfeit "&amp;TEXT(AG161,"0.##")&amp;" days still in EH","Terminated - nothing in EH"),IF(NOT(EH_Ready),"Paste EH export and map headers on Settings",IF(AND(AB161&gt;0,AF161="No"),"SET UP in EH - add "&amp;TEXT(AB161,"0.##")&amp;" day(s) ("&amp;TEXT(AC161,"0.##")&amp;" hrs)",IF(AK161&gt;0,"ADD "&amp;TEXT(AK161,"0.##")&amp;" day(s) ("&amp;TEXT(AL161,"0.##")&amp;" hrs) in EH",IF(AK161&lt;0,"CHECK - EH shows "&amp;TEXT(-AK161,"0.##")&amp;" days more than policy",IF(AB161&gt;0,"OK - up to date",IF(AY161="None","No action - not eligible","No action - not yet qualified"))))))))</f>
        <v/>
      </c>
      <c r="AN161" s="27" t="str">
        <f aca="false">IF(AO161=0,"",TRIM(IF(AND($K161&lt;&gt;"",$H161=""),"Change 2 entered without Change 1. ","")&amp;IF(AND($K161&lt;&gt;"",$H161&lt;&gt;"",$K161&lt;=$H161),"Change 2 date not after Change 1. ","")&amp;IF(AND($N161&lt;&gt;"",$O161&lt;&gt;"",$O161&lt;$N161),"Leave To is before Leave From. ","")&amp;IF(AND($N161&lt;&gt;"",$O161=""),"Leave From entered without Leave To. ","")&amp;IF(AND(IFERROR(VLOOKUP(T161,TypeTable,2,0),"None")="PT",U161=""),"Part-time with no hours entered. ","")&amp;IF(AND($H161&lt;&gt;"",$H161&gt;AsOfDate,AD161&lt;&gt;"",$H161&lt;=AD161),"Status change lands before next accrual - review. ","")&amp;IF(AND($Q161&lt;&gt;"",$Q161&lt;$E161),"Termination before commencement. ","")))</f>
        <v/>
      </c>
      <c r="AO161" s="11" t="n">
        <f aca="false">IF(LEN($A161&amp;$B161&amp;$C161)=0,0,IF($E161="",0,1))</f>
        <v>0</v>
      </c>
      <c r="AP161" s="11" t="str">
        <f aca="false">IF(AO161=0,"",(IF(OR($N161="",$O161=""),0,MAX(0,MIN(X161,$O161)-MAX($N161,$E161)+1))+N($P161)))</f>
        <v/>
      </c>
      <c r="AQ161" s="11" t="str">
        <f aca="false">IF(AO161=0,"",IF(X161&lt;($E161+(IF(OR($N161="",$O161=""),0,MAX(0,MIN(X161,$O161)-MAX($N161,$E161)+1))+N($P161))),-1,12*(YEAR(X161)-YEAR(($E161+(IF(OR($N161="",$O161=""),0,MAX(0,MIN(X161,$O161)-MAX($N161,$E161)+1))+N($P161)))))+MONTH(X161)-MONTH(($E161+(IF(OR($N161="",$O161=""),0,MAX(0,MIN(X161,$O161)-MAX($N161,$E161)+1))+N($P161))))-IF(DAY(X161)&lt;MIN(DAY(($E161+(IF(OR($N161="",$O161=""),0,MAX(0,MIN(X161,$O161)-MAX($N161,$E161)+1))+N($P161)))),DAY(EOMONTH(X161,0))),1,0)))</f>
        <v/>
      </c>
      <c r="AR161" s="28" t="str">
        <f aca="false">IF(AO161=0,"",IF($H161="","",IF($H161&gt;X161,"",$H161)))</f>
        <v/>
      </c>
      <c r="AS161" s="28" t="str">
        <f aca="false">IF(AO161=0,"",IF(AR161="","",IF($K161="","",IF($K161&gt;X161,"",$K161))))</f>
        <v/>
      </c>
      <c r="AT161" s="11" t="str">
        <f aca="false">IF(AO161=0,"",IF(AR161="",AQ161,IF((AR161-1)&lt;($E161+(IF(OR($N161="",$O161=""),0,MAX(0,MIN((AR161-1),$O161)-MAX($N161,$E161)+1))+N($P161))),-1,12*(YEAR((AR161-1))-YEAR(($E161+(IF(OR($N161="",$O161=""),0,MAX(0,MIN((AR161-1),$O161)-MAX($N161,$E161)+1))+N($P161)))))+MONTH((AR161-1))-MONTH(($E161+(IF(OR($N161="",$O161=""),0,MAX(0,MIN((AR161-1),$O161)-MAX($N161,$E161)+1))+N($P161))))-IF(DAY((AR161-1))&lt;MIN(DAY(($E161+(IF(OR($N161="",$O161=""),0,MAX(0,MIN((AR161-1),$O161)-MAX($N161,$E161)+1))+N($P161)))),DAY(EOMONTH((AR161-1),0))),1,0))))</f>
        <v/>
      </c>
      <c r="AU161" s="11" t="str">
        <f aca="false">IF(AO161=0,"",IF(AS161="",AQ161,IF((AS161-1)&lt;($E161+(IF(OR($N161="",$O161=""),0,MAX(0,MIN((AS161-1),$O161)-MAX($N161,$E161)+1))+N($P161))),-1,12*(YEAR((AS161-1))-YEAR(($E161+(IF(OR($N161="",$O161=""),0,MAX(0,MIN((AS161-1),$O161)-MAX($N161,$E161)+1))+N($P161)))))+MONTH((AS161-1))-MONTH(($E161+(IF(OR($N161="",$O161=""),0,MAX(0,MIN((AS161-1),$O161)-MAX($N161,$E161)+1))+N($P161))))-IF(DAY((AS161-1))&lt;MIN(DAY(($E161+(IF(OR($N161="",$O161=""),0,MAX(0,MIN((AS161-1),$O161)-MAX($N161,$E161)+1))+N($P161)))),DAY(EOMONTH((AS161-1),0))),1,0))))</f>
        <v/>
      </c>
      <c r="AV161" s="11" t="str">
        <f aca="false">IF(AO161=0,"",IF($F161="","None",IF(IFERROR(VLOOKUP($F161,TypeTable,2,0),"None")="PT",IF(N($G161)&gt;=PT_MinHours,"PT","None"),IFERROR(VLOOKUP($F161,TypeTable,2,0),"None"))))</f>
        <v/>
      </c>
      <c r="AW161" s="11" t="str">
        <f aca="false">IF(AO161=0,"",IF($I161="","None",IF(IFERROR(VLOOKUP($I161,TypeTable,2,0),"None")="PT",IF(N($J161)&gt;=PT_MinHours,"PT","None"),IFERROR(VLOOKUP($I161,TypeTable,2,0),"None"))))</f>
        <v/>
      </c>
      <c r="AX161" s="11" t="str">
        <f aca="false">IF(AO161=0,"",IF($L161="","None",IF(IFERROR(VLOOKUP($L161,TypeTable,2,0),"None")="PT",IF(N($M161)&gt;=PT_MinHours,"PT","None"),IFERROR(VLOOKUP($L161,TypeTable,2,0),"None"))))</f>
        <v/>
      </c>
      <c r="AY161" s="11" t="str">
        <f aca="false">IF(AO161=0,"",IF(AS161&lt;&gt;"",AX161,IF(AR161&lt;&gt;"",AW161,AV161)))</f>
        <v/>
      </c>
      <c r="AZ161" s="11" t="str">
        <f aca="false">IF(AO161=0,"",IF(AV161="FT",IF(AT161&lt;FT_First,0,IF(AT161&lt;FT_Y5,1+INT((AT161-FT_First)/FT_Int1),FT_PreY5+FT_PerYear*INT((AT161-FT_Y5)/12)+FT_AnnivDays+INT(MOD(AT161-FT_Y5,12)/FT_Int2))),IF(AV161="PT",IF(AT161&lt;PT_First,0,1+INT((AT161-PT_First)/PT_Int)),0)))</f>
        <v/>
      </c>
      <c r="BA161" s="11" t="str">
        <f aca="false">IF(AO161=0,"",IF(AW161="FT",IF(AT161&lt;FT_First,0,IF(AT161&lt;FT_Y5,1+INT((AT161-FT_First)/FT_Int1),FT_PreY5+FT_PerYear*INT((AT161-FT_Y5)/12)+FT_AnnivDays+INT(MOD(AT161-FT_Y5,12)/FT_Int2))),IF(AW161="PT",IF(AT161&lt;PT_First,0,1+INT((AT161-PT_First)/PT_Int)),0)))</f>
        <v/>
      </c>
      <c r="BB161" s="11" t="str">
        <f aca="false">IF(AO161=0,"",IF(AW161="FT",IF(AU161&lt;FT_First,0,IF(AU161&lt;FT_Y5,1+INT((AU161-FT_First)/FT_Int1),FT_PreY5+FT_PerYear*INT((AU161-FT_Y5)/12)+FT_AnnivDays+INT(MOD(AU161-FT_Y5,12)/FT_Int2))),IF(AW161="PT",IF(AU161&lt;PT_First,0,1+INT((AU161-PT_First)/PT_Int)),0)))</f>
        <v/>
      </c>
      <c r="BC161" s="11" t="str">
        <f aca="false">IF(AO161=0,"",IF(AX161="FT",IF(AU161&lt;FT_First,0,IF(AU161&lt;FT_Y5,1+INT((AU161-FT_First)/FT_Int1),FT_PreY5+FT_PerYear*INT((AU161-FT_Y5)/12)+FT_AnnivDays+INT(MOD(AU161-FT_Y5,12)/FT_Int2))),IF(AX161="PT",IF(AU161&lt;PT_First,0,1+INT((AU161-PT_First)/PT_Int)),0)))</f>
        <v/>
      </c>
      <c r="BD161" s="11" t="str">
        <f aca="false">IF(AO161=0,"",IF(AX161="FT",IF(AQ161&lt;FT_First,0,IF(AQ161&lt;FT_Y5,1+INT((AQ161-FT_First)/FT_Int1),FT_PreY5+FT_PerYear*INT((AQ161-FT_Y5)/12)+FT_AnnivDays+INT(MOD(AQ161-FT_Y5,12)/FT_Int2))),IF(AX161="PT",IF(AQ161&lt;PT_First,0,1+INT((AQ161-PT_First)/PT_Int)),0)))</f>
        <v/>
      </c>
      <c r="BE161" s="11" t="str">
        <f aca="false">IF(AO161=0,"",IF(AY161="FT",IF(AQ161&lt;FT_First,FT_First,IF(AQ161&lt;FT_Y5,MIN(FT_Y5,FT_First+FT_Int1*(INT((AQ161-FT_First)/FT_Int1)+1)),FT_Y5+12*INT((AQ161-FT_Y5)/12)+FT_Int2*(INT(MOD(AQ161-FT_Y5,12)/FT_Int2)+1))),IF(AY161="PT",IF(AQ161&lt;PT_First,PT_First,PT_First+PT_Int*(INT((AQ161-PT_First)/PT_Int)+1)),"")))</f>
        <v/>
      </c>
      <c r="BF161" s="11" t="n">
        <f aca="false">IF(AO161=0,0,IF(AND($Q161&lt;&gt;"",$Q161&lt;=AsOfDate),1,0))</f>
        <v>0</v>
      </c>
      <c r="BG161" s="11" t="str">
        <f aca="false">IF(AND(AO161=1,BF161=0,EH_Ready,N(AB161)&gt;0,N(AI161)=0),COUNT($BG$5:BG160)+1,"")</f>
        <v/>
      </c>
      <c r="BH161" s="11" t="str">
        <f aca="false">IF(AND(AO161=1,BF161=0,EH_Ready,N(AB161)&gt;0,N(AI161)&gt;0,N(AK161)&gt;0),COUNT($BH$5:BH160)+1,"")</f>
        <v/>
      </c>
      <c r="BI161" s="11" t="str">
        <f aca="false">IF(AND(AO161=1,OR(LEFT(AM161,3)="ADD",LEFT(AM161,3)="SET",LEFT(AM161,5)="CHECK",LEFT(AM161,10)="TERMINATED")),COUNT($BI$5:BI160)+1,"")</f>
        <v/>
      </c>
      <c r="BJ161" s="11" t="str">
        <f aca="false">IF(AO161=0,"",$A161&amp;" - "&amp;$B161&amp;" "&amp;$C161)</f>
        <v/>
      </c>
    </row>
    <row r="162" customFormat="false" ht="15" hidden="false" customHeight="false" outlineLevel="0" collapsed="false">
      <c r="A162" s="10"/>
      <c r="B162" s="10"/>
      <c r="C162" s="10"/>
      <c r="D162" s="10"/>
      <c r="E162" s="9"/>
      <c r="F162" s="10"/>
      <c r="G162" s="30"/>
      <c r="H162" s="9"/>
      <c r="I162" s="10"/>
      <c r="J162" s="30"/>
      <c r="K162" s="9"/>
      <c r="L162" s="10"/>
      <c r="M162" s="30"/>
      <c r="N162" s="9"/>
      <c r="O162" s="9"/>
      <c r="P162" s="30"/>
      <c r="Q162" s="9"/>
      <c r="R162" s="10"/>
      <c r="S162" s="11" t="str">
        <f aca="false">IF(AO162=0,"",IF($H162="","",$F162&amp;" -&gt; "&amp;$I162&amp;IF($I162="Part-Time"," ("&amp;N($J162)&amp;" hrs)","")&amp;" on "&amp;TEXT($H162,"dd/mm/yyyy")&amp;IF($H162&gt;AsOfDate," (FUTURE)","")&amp;IF($K162="","","; "&amp;$I162&amp;" -&gt; "&amp;$L162&amp;IF($L162="Part-Time"," ("&amp;N($M162)&amp;" hrs)","")&amp;" on "&amp;TEXT($K162,"dd/mm/yyyy")&amp;IF($K162&gt;AsOfDate," (FUTURE)",""))))</f>
        <v/>
      </c>
      <c r="T162" s="11" t="str">
        <f aca="false">IF(AO162=0,"",IF(AS162&lt;&gt;"",$L162,IF(AR162&lt;&gt;"",$I162,$F162)))</f>
        <v/>
      </c>
      <c r="U162" s="26" t="str">
        <f aca="false">IF(AO162=0,"",IF(AS162&lt;&gt;"",$M162,IF(AR162&lt;&gt;"",$J162,$G162)))</f>
        <v/>
      </c>
      <c r="V162" s="11" t="str">
        <f aca="false">IF(AO162=0,"",IF(AY162="FT","Full-Time",IF(AY162="PT","Part-Time","Not eligible")))</f>
        <v/>
      </c>
      <c r="W162" s="27" t="str">
        <f aca="false">IF(AO162=0,"",IF(AR162="",IF(AND($H162&lt;&gt;"",$H162&gt;AsOfDate),"Future change - not yet applied",""),IF(AND(AV162=AY162,OR(AS162="",AW162=AV162)),"Type changed - same accrual pathway",IF(AY162="None","STOPPED accruing from "&amp;TEXT(IF(AS162&lt;&gt;"",AS162,AR162),"dd/mm/yyyy"),IF(AV162="None","STARTED qualifying from "&amp;TEXT(IF(AS162&lt;&gt;"",AS162,AR162),"dd/mm/yyyy"),"Pathway changed "&amp;AV162&amp;" -&gt; "&amp;AW162&amp;IF(AS162&lt;&gt;""," -&gt; "&amp;AX162,"")&amp;" from "&amp;TEXT(IF(AS162&lt;&gt;"",AS162,AR162),"dd/mm/yyyy"))))))</f>
        <v/>
      </c>
      <c r="X162" s="28" t="str">
        <f aca="false">IF(AO162=0,"",IF($Q162="",AsOfDate,MIN(AsOfDate,$Q162)))</f>
        <v/>
      </c>
      <c r="Y162" s="26" t="str">
        <f aca="false">IF(AO162=0,"",MAX(0,AQ162))</f>
        <v/>
      </c>
      <c r="Z162" s="11" t="str">
        <f aca="false">IF(AO162=0,"",IF(AQ162&lt;0,"Not started",INT(AQ162/12)&amp;"y "&amp;MOD(AQ162,12)&amp;"m"))</f>
        <v/>
      </c>
      <c r="AA162" s="27" t="str">
        <f aca="false">IF(AO162=0,"",IF(BF162=1,"Terminated - balance forfeited",IF(AY162="None",IF(AB162&gt;0,"No longer accruing - "&amp;T162,"Not eligible - "&amp;T162&amp;IF(AND(IFERROR(VLOOKUP(T162,TypeTable,2,0),"None")="PT",N(U162)&lt;PT_MinHours)," (under "&amp;PT_MinHours&amp;" hrs)","")),IF(AB162&gt;0,"Yes - accruing","Not yet - qualifies "&amp;TEXT(AD162,"dd/mm/yyyy")))))</f>
        <v/>
      </c>
      <c r="AB162" s="26" t="str">
        <f aca="false">IF(AO162=0,"",AZ162+IF(AR162="",0,BB162-BA162)+IF(AS162="",0,BD162-BC162))</f>
        <v/>
      </c>
      <c r="AC162" s="26" t="str">
        <f aca="false">IF(AO162=0,"",AB162*HoursPerDay)</f>
        <v/>
      </c>
      <c r="AD162" s="28" t="str">
        <f aca="false">IF(AO162=0,"",IF(OR(BF162=1,AY162="None"),"",EDATE($E162+AP162,BE162)))</f>
        <v/>
      </c>
      <c r="AE162" s="26" t="str">
        <f aca="false">IF(AD162="","",IF(AY162="PT",1,IF(BE162&lt;FT_Y5,1,IF(MOD(BE162-FT_Y5,12)=0,FT_AnnivDays,1))))</f>
        <v/>
      </c>
      <c r="AF162" s="27" t="str">
        <f aca="false">IF(AO162=0,"",IF(NOT(EH_Ready),"Map headers",IF(IF(MatchMode="Employee ID",COUNTIFS(INDEX(EH_Data,0,EH_ColID),$A162,INDEX(EH_Data,0,EH_ColCat),BonusCat),COUNTIFS(INDEX(EH_Data,0,EH_ColFirst),$B162,INDEX(EH_Data,0,EH_ColSur),$C162,INDEX(EH_Data,0,EH_ColCat),BonusCat))&gt;0,"Yes","No")))</f>
        <v/>
      </c>
      <c r="AG162" s="26" t="str">
        <f aca="false">IF(AO162=0,"",IF(NOT(EH_Ready),"",IF(MatchMode="Employee ID",SUMIFS(INDEX(EH_Data,0,EH_ColBal),INDEX(EH_Data,0,EH_ColID),$A162,INDEX(EH_Data,0,EH_ColCat),BonusCat),SUMIFS(INDEX(EH_Data,0,EH_ColBal),INDEX(EH_Data,0,EH_ColFirst),$B162,INDEX(EH_Data,0,EH_ColSur),$C162,INDEX(EH_Data,0,EH_ColCat),BonusCat))/IF(EHUnit="Hours",HoursPerDay,1)))</f>
        <v/>
      </c>
      <c r="AH162" s="26" t="str">
        <f aca="false">IF(AO162=0,"",IF(NOT(TK_Ready),0,IF(MatchMode="Employee ID",SUMIFS(INDEX(TK_Data,0,TK_ColAmt),INDEX(TK_Data,0,TK_ColID),$A162,INDEX(TK_Data,0,TK_ColCat),BonusCat),SUMIFS(INDEX(TK_Data,0,TK_ColAmt),INDEX(TK_Data,0,TK_ColFirst),$B162,INDEX(TK_Data,0,TK_ColSur),$C162,INDEX(TK_Data,0,TK_ColCat),BonusCat))/IF(TKUnit="Hours",HoursPerDay,1)))</f>
        <v/>
      </c>
      <c r="AI162" s="26" t="str">
        <f aca="false">IF(AO162=0,"",N(AG162)+N(AH162))</f>
        <v/>
      </c>
      <c r="AJ162" s="29" t="str">
        <f aca="false">IF(AO162=0,"",IF(NOT(AND(EH_Ready,EH_ValReady)),"",IF(MatchMode="Employee ID",SUMIFS(INDEX(EH_Data,0,EH_ColVal),INDEX(EH_Data,0,EH_ColID),$A162,INDEX(EH_Data,0,EH_ColCat),BonusCat),SUMIFS(INDEX(EH_Data,0,EH_ColVal),INDEX(EH_Data,0,EH_ColFirst),$B162,INDEX(EH_Data,0,EH_ColSur),$C162,INDEX(EH_Data,0,EH_ColCat),BonusCat))))</f>
        <v/>
      </c>
      <c r="AK162" s="26" t="str">
        <f aca="false">IF(AO162=0,"",IF(OR(NOT(EH_Ready),BF162=1),"",AB162-AI162))</f>
        <v/>
      </c>
      <c r="AL162" s="26" t="str">
        <f aca="false">IF(AK162="","",AK162*HoursPerDay)</f>
        <v/>
      </c>
      <c r="AM162" s="27" t="str">
        <f aca="false">IF(AO162=0,"",IF(BF162=1,IF(N(AG162)&gt;0,"TERMINATED - forfeit "&amp;TEXT(AG162,"0.##")&amp;" days still in EH","Terminated - nothing in EH"),IF(NOT(EH_Ready),"Paste EH export and map headers on Settings",IF(AND(AB162&gt;0,AF162="No"),"SET UP in EH - add "&amp;TEXT(AB162,"0.##")&amp;" day(s) ("&amp;TEXT(AC162,"0.##")&amp;" hrs)",IF(AK162&gt;0,"ADD "&amp;TEXT(AK162,"0.##")&amp;" day(s) ("&amp;TEXT(AL162,"0.##")&amp;" hrs) in EH",IF(AK162&lt;0,"CHECK - EH shows "&amp;TEXT(-AK162,"0.##")&amp;" days more than policy",IF(AB162&gt;0,"OK - up to date",IF(AY162="None","No action - not eligible","No action - not yet qualified"))))))))</f>
        <v/>
      </c>
      <c r="AN162" s="27" t="str">
        <f aca="false">IF(AO162=0,"",TRIM(IF(AND($K162&lt;&gt;"",$H162=""),"Change 2 entered without Change 1. ","")&amp;IF(AND($K162&lt;&gt;"",$H162&lt;&gt;"",$K162&lt;=$H162),"Change 2 date not after Change 1. ","")&amp;IF(AND($N162&lt;&gt;"",$O162&lt;&gt;"",$O162&lt;$N162),"Leave To is before Leave From. ","")&amp;IF(AND($N162&lt;&gt;"",$O162=""),"Leave From entered without Leave To. ","")&amp;IF(AND(IFERROR(VLOOKUP(T162,TypeTable,2,0),"None")="PT",U162=""),"Part-time with no hours entered. ","")&amp;IF(AND($H162&lt;&gt;"",$H162&gt;AsOfDate,AD162&lt;&gt;"",$H162&lt;=AD162),"Status change lands before next accrual - review. ","")&amp;IF(AND($Q162&lt;&gt;"",$Q162&lt;$E162),"Termination before commencement. ","")))</f>
        <v/>
      </c>
      <c r="AO162" s="11" t="n">
        <f aca="false">IF(LEN($A162&amp;$B162&amp;$C162)=0,0,IF($E162="",0,1))</f>
        <v>0</v>
      </c>
      <c r="AP162" s="11" t="str">
        <f aca="false">IF(AO162=0,"",(IF(OR($N162="",$O162=""),0,MAX(0,MIN(X162,$O162)-MAX($N162,$E162)+1))+N($P162)))</f>
        <v/>
      </c>
      <c r="AQ162" s="11" t="str">
        <f aca="false">IF(AO162=0,"",IF(X162&lt;($E162+(IF(OR($N162="",$O162=""),0,MAX(0,MIN(X162,$O162)-MAX($N162,$E162)+1))+N($P162))),-1,12*(YEAR(X162)-YEAR(($E162+(IF(OR($N162="",$O162=""),0,MAX(0,MIN(X162,$O162)-MAX($N162,$E162)+1))+N($P162)))))+MONTH(X162)-MONTH(($E162+(IF(OR($N162="",$O162=""),0,MAX(0,MIN(X162,$O162)-MAX($N162,$E162)+1))+N($P162))))-IF(DAY(X162)&lt;MIN(DAY(($E162+(IF(OR($N162="",$O162=""),0,MAX(0,MIN(X162,$O162)-MAX($N162,$E162)+1))+N($P162)))),DAY(EOMONTH(X162,0))),1,0)))</f>
        <v/>
      </c>
      <c r="AR162" s="28" t="str">
        <f aca="false">IF(AO162=0,"",IF($H162="","",IF($H162&gt;X162,"",$H162)))</f>
        <v/>
      </c>
      <c r="AS162" s="28" t="str">
        <f aca="false">IF(AO162=0,"",IF(AR162="","",IF($K162="","",IF($K162&gt;X162,"",$K162))))</f>
        <v/>
      </c>
      <c r="AT162" s="11" t="str">
        <f aca="false">IF(AO162=0,"",IF(AR162="",AQ162,IF((AR162-1)&lt;($E162+(IF(OR($N162="",$O162=""),0,MAX(0,MIN((AR162-1),$O162)-MAX($N162,$E162)+1))+N($P162))),-1,12*(YEAR((AR162-1))-YEAR(($E162+(IF(OR($N162="",$O162=""),0,MAX(0,MIN((AR162-1),$O162)-MAX($N162,$E162)+1))+N($P162)))))+MONTH((AR162-1))-MONTH(($E162+(IF(OR($N162="",$O162=""),0,MAX(0,MIN((AR162-1),$O162)-MAX($N162,$E162)+1))+N($P162))))-IF(DAY((AR162-1))&lt;MIN(DAY(($E162+(IF(OR($N162="",$O162=""),0,MAX(0,MIN((AR162-1),$O162)-MAX($N162,$E162)+1))+N($P162)))),DAY(EOMONTH((AR162-1),0))),1,0))))</f>
        <v/>
      </c>
      <c r="AU162" s="11" t="str">
        <f aca="false">IF(AO162=0,"",IF(AS162="",AQ162,IF((AS162-1)&lt;($E162+(IF(OR($N162="",$O162=""),0,MAX(0,MIN((AS162-1),$O162)-MAX($N162,$E162)+1))+N($P162))),-1,12*(YEAR((AS162-1))-YEAR(($E162+(IF(OR($N162="",$O162=""),0,MAX(0,MIN((AS162-1),$O162)-MAX($N162,$E162)+1))+N($P162)))))+MONTH((AS162-1))-MONTH(($E162+(IF(OR($N162="",$O162=""),0,MAX(0,MIN((AS162-1),$O162)-MAX($N162,$E162)+1))+N($P162))))-IF(DAY((AS162-1))&lt;MIN(DAY(($E162+(IF(OR($N162="",$O162=""),0,MAX(0,MIN((AS162-1),$O162)-MAX($N162,$E162)+1))+N($P162)))),DAY(EOMONTH((AS162-1),0))),1,0))))</f>
        <v/>
      </c>
      <c r="AV162" s="11" t="str">
        <f aca="false">IF(AO162=0,"",IF($F162="","None",IF(IFERROR(VLOOKUP($F162,TypeTable,2,0),"None")="PT",IF(N($G162)&gt;=PT_MinHours,"PT","None"),IFERROR(VLOOKUP($F162,TypeTable,2,0),"None"))))</f>
        <v/>
      </c>
      <c r="AW162" s="11" t="str">
        <f aca="false">IF(AO162=0,"",IF($I162="","None",IF(IFERROR(VLOOKUP($I162,TypeTable,2,0),"None")="PT",IF(N($J162)&gt;=PT_MinHours,"PT","None"),IFERROR(VLOOKUP($I162,TypeTable,2,0),"None"))))</f>
        <v/>
      </c>
      <c r="AX162" s="11" t="str">
        <f aca="false">IF(AO162=0,"",IF($L162="","None",IF(IFERROR(VLOOKUP($L162,TypeTable,2,0),"None")="PT",IF(N($M162)&gt;=PT_MinHours,"PT","None"),IFERROR(VLOOKUP($L162,TypeTable,2,0),"None"))))</f>
        <v/>
      </c>
      <c r="AY162" s="11" t="str">
        <f aca="false">IF(AO162=0,"",IF(AS162&lt;&gt;"",AX162,IF(AR162&lt;&gt;"",AW162,AV162)))</f>
        <v/>
      </c>
      <c r="AZ162" s="11" t="str">
        <f aca="false">IF(AO162=0,"",IF(AV162="FT",IF(AT162&lt;FT_First,0,IF(AT162&lt;FT_Y5,1+INT((AT162-FT_First)/FT_Int1),FT_PreY5+FT_PerYear*INT((AT162-FT_Y5)/12)+FT_AnnivDays+INT(MOD(AT162-FT_Y5,12)/FT_Int2))),IF(AV162="PT",IF(AT162&lt;PT_First,0,1+INT((AT162-PT_First)/PT_Int)),0)))</f>
        <v/>
      </c>
      <c r="BA162" s="11" t="str">
        <f aca="false">IF(AO162=0,"",IF(AW162="FT",IF(AT162&lt;FT_First,0,IF(AT162&lt;FT_Y5,1+INT((AT162-FT_First)/FT_Int1),FT_PreY5+FT_PerYear*INT((AT162-FT_Y5)/12)+FT_AnnivDays+INT(MOD(AT162-FT_Y5,12)/FT_Int2))),IF(AW162="PT",IF(AT162&lt;PT_First,0,1+INT((AT162-PT_First)/PT_Int)),0)))</f>
        <v/>
      </c>
      <c r="BB162" s="11" t="str">
        <f aca="false">IF(AO162=0,"",IF(AW162="FT",IF(AU162&lt;FT_First,0,IF(AU162&lt;FT_Y5,1+INT((AU162-FT_First)/FT_Int1),FT_PreY5+FT_PerYear*INT((AU162-FT_Y5)/12)+FT_AnnivDays+INT(MOD(AU162-FT_Y5,12)/FT_Int2))),IF(AW162="PT",IF(AU162&lt;PT_First,0,1+INT((AU162-PT_First)/PT_Int)),0)))</f>
        <v/>
      </c>
      <c r="BC162" s="11" t="str">
        <f aca="false">IF(AO162=0,"",IF(AX162="FT",IF(AU162&lt;FT_First,0,IF(AU162&lt;FT_Y5,1+INT((AU162-FT_First)/FT_Int1),FT_PreY5+FT_PerYear*INT((AU162-FT_Y5)/12)+FT_AnnivDays+INT(MOD(AU162-FT_Y5,12)/FT_Int2))),IF(AX162="PT",IF(AU162&lt;PT_First,0,1+INT((AU162-PT_First)/PT_Int)),0)))</f>
        <v/>
      </c>
      <c r="BD162" s="11" t="str">
        <f aca="false">IF(AO162=0,"",IF(AX162="FT",IF(AQ162&lt;FT_First,0,IF(AQ162&lt;FT_Y5,1+INT((AQ162-FT_First)/FT_Int1),FT_PreY5+FT_PerYear*INT((AQ162-FT_Y5)/12)+FT_AnnivDays+INT(MOD(AQ162-FT_Y5,12)/FT_Int2))),IF(AX162="PT",IF(AQ162&lt;PT_First,0,1+INT((AQ162-PT_First)/PT_Int)),0)))</f>
        <v/>
      </c>
      <c r="BE162" s="11" t="str">
        <f aca="false">IF(AO162=0,"",IF(AY162="FT",IF(AQ162&lt;FT_First,FT_First,IF(AQ162&lt;FT_Y5,MIN(FT_Y5,FT_First+FT_Int1*(INT((AQ162-FT_First)/FT_Int1)+1)),FT_Y5+12*INT((AQ162-FT_Y5)/12)+FT_Int2*(INT(MOD(AQ162-FT_Y5,12)/FT_Int2)+1))),IF(AY162="PT",IF(AQ162&lt;PT_First,PT_First,PT_First+PT_Int*(INT((AQ162-PT_First)/PT_Int)+1)),"")))</f>
        <v/>
      </c>
      <c r="BF162" s="11" t="n">
        <f aca="false">IF(AO162=0,0,IF(AND($Q162&lt;&gt;"",$Q162&lt;=AsOfDate),1,0))</f>
        <v>0</v>
      </c>
      <c r="BG162" s="11" t="str">
        <f aca="false">IF(AND(AO162=1,BF162=0,EH_Ready,N(AB162)&gt;0,N(AI162)=0),COUNT($BG$5:BG161)+1,"")</f>
        <v/>
      </c>
      <c r="BH162" s="11" t="str">
        <f aca="false">IF(AND(AO162=1,BF162=0,EH_Ready,N(AB162)&gt;0,N(AI162)&gt;0,N(AK162)&gt;0),COUNT($BH$5:BH161)+1,"")</f>
        <v/>
      </c>
      <c r="BI162" s="11" t="str">
        <f aca="false">IF(AND(AO162=1,OR(LEFT(AM162,3)="ADD",LEFT(AM162,3)="SET",LEFT(AM162,5)="CHECK",LEFT(AM162,10)="TERMINATED")),COUNT($BI$5:BI161)+1,"")</f>
        <v/>
      </c>
      <c r="BJ162" s="11" t="str">
        <f aca="false">IF(AO162=0,"",$A162&amp;" - "&amp;$B162&amp;" "&amp;$C162)</f>
        <v/>
      </c>
    </row>
    <row r="163" customFormat="false" ht="15" hidden="false" customHeight="false" outlineLevel="0" collapsed="false">
      <c r="A163" s="10"/>
      <c r="B163" s="10"/>
      <c r="C163" s="10"/>
      <c r="D163" s="10"/>
      <c r="E163" s="9"/>
      <c r="F163" s="10"/>
      <c r="G163" s="30"/>
      <c r="H163" s="9"/>
      <c r="I163" s="10"/>
      <c r="J163" s="30"/>
      <c r="K163" s="9"/>
      <c r="L163" s="10"/>
      <c r="M163" s="30"/>
      <c r="N163" s="9"/>
      <c r="O163" s="9"/>
      <c r="P163" s="30"/>
      <c r="Q163" s="9"/>
      <c r="R163" s="10"/>
      <c r="S163" s="11" t="str">
        <f aca="false">IF(AO163=0,"",IF($H163="","",$F163&amp;" -&gt; "&amp;$I163&amp;IF($I163="Part-Time"," ("&amp;N($J163)&amp;" hrs)","")&amp;" on "&amp;TEXT($H163,"dd/mm/yyyy")&amp;IF($H163&gt;AsOfDate," (FUTURE)","")&amp;IF($K163="","","; "&amp;$I163&amp;" -&gt; "&amp;$L163&amp;IF($L163="Part-Time"," ("&amp;N($M163)&amp;" hrs)","")&amp;" on "&amp;TEXT($K163,"dd/mm/yyyy")&amp;IF($K163&gt;AsOfDate," (FUTURE)",""))))</f>
        <v/>
      </c>
      <c r="T163" s="11" t="str">
        <f aca="false">IF(AO163=0,"",IF(AS163&lt;&gt;"",$L163,IF(AR163&lt;&gt;"",$I163,$F163)))</f>
        <v/>
      </c>
      <c r="U163" s="26" t="str">
        <f aca="false">IF(AO163=0,"",IF(AS163&lt;&gt;"",$M163,IF(AR163&lt;&gt;"",$J163,$G163)))</f>
        <v/>
      </c>
      <c r="V163" s="11" t="str">
        <f aca="false">IF(AO163=0,"",IF(AY163="FT","Full-Time",IF(AY163="PT","Part-Time","Not eligible")))</f>
        <v/>
      </c>
      <c r="W163" s="27" t="str">
        <f aca="false">IF(AO163=0,"",IF(AR163="",IF(AND($H163&lt;&gt;"",$H163&gt;AsOfDate),"Future change - not yet applied",""),IF(AND(AV163=AY163,OR(AS163="",AW163=AV163)),"Type changed - same accrual pathway",IF(AY163="None","STOPPED accruing from "&amp;TEXT(IF(AS163&lt;&gt;"",AS163,AR163),"dd/mm/yyyy"),IF(AV163="None","STARTED qualifying from "&amp;TEXT(IF(AS163&lt;&gt;"",AS163,AR163),"dd/mm/yyyy"),"Pathway changed "&amp;AV163&amp;" -&gt; "&amp;AW163&amp;IF(AS163&lt;&gt;""," -&gt; "&amp;AX163,"")&amp;" from "&amp;TEXT(IF(AS163&lt;&gt;"",AS163,AR163),"dd/mm/yyyy"))))))</f>
        <v/>
      </c>
      <c r="X163" s="28" t="str">
        <f aca="false">IF(AO163=0,"",IF($Q163="",AsOfDate,MIN(AsOfDate,$Q163)))</f>
        <v/>
      </c>
      <c r="Y163" s="26" t="str">
        <f aca="false">IF(AO163=0,"",MAX(0,AQ163))</f>
        <v/>
      </c>
      <c r="Z163" s="11" t="str">
        <f aca="false">IF(AO163=0,"",IF(AQ163&lt;0,"Not started",INT(AQ163/12)&amp;"y "&amp;MOD(AQ163,12)&amp;"m"))</f>
        <v/>
      </c>
      <c r="AA163" s="27" t="str">
        <f aca="false">IF(AO163=0,"",IF(BF163=1,"Terminated - balance forfeited",IF(AY163="None",IF(AB163&gt;0,"No longer accruing - "&amp;T163,"Not eligible - "&amp;T163&amp;IF(AND(IFERROR(VLOOKUP(T163,TypeTable,2,0),"None")="PT",N(U163)&lt;PT_MinHours)," (under "&amp;PT_MinHours&amp;" hrs)","")),IF(AB163&gt;0,"Yes - accruing","Not yet - qualifies "&amp;TEXT(AD163,"dd/mm/yyyy")))))</f>
        <v/>
      </c>
      <c r="AB163" s="26" t="str">
        <f aca="false">IF(AO163=0,"",AZ163+IF(AR163="",0,BB163-BA163)+IF(AS163="",0,BD163-BC163))</f>
        <v/>
      </c>
      <c r="AC163" s="26" t="str">
        <f aca="false">IF(AO163=0,"",AB163*HoursPerDay)</f>
        <v/>
      </c>
      <c r="AD163" s="28" t="str">
        <f aca="false">IF(AO163=0,"",IF(OR(BF163=1,AY163="None"),"",EDATE($E163+AP163,BE163)))</f>
        <v/>
      </c>
      <c r="AE163" s="26" t="str">
        <f aca="false">IF(AD163="","",IF(AY163="PT",1,IF(BE163&lt;FT_Y5,1,IF(MOD(BE163-FT_Y5,12)=0,FT_AnnivDays,1))))</f>
        <v/>
      </c>
      <c r="AF163" s="27" t="str">
        <f aca="false">IF(AO163=0,"",IF(NOT(EH_Ready),"Map headers",IF(IF(MatchMode="Employee ID",COUNTIFS(INDEX(EH_Data,0,EH_ColID),$A163,INDEX(EH_Data,0,EH_ColCat),BonusCat),COUNTIFS(INDEX(EH_Data,0,EH_ColFirst),$B163,INDEX(EH_Data,0,EH_ColSur),$C163,INDEX(EH_Data,0,EH_ColCat),BonusCat))&gt;0,"Yes","No")))</f>
        <v/>
      </c>
      <c r="AG163" s="26" t="str">
        <f aca="false">IF(AO163=0,"",IF(NOT(EH_Ready),"",IF(MatchMode="Employee ID",SUMIFS(INDEX(EH_Data,0,EH_ColBal),INDEX(EH_Data,0,EH_ColID),$A163,INDEX(EH_Data,0,EH_ColCat),BonusCat),SUMIFS(INDEX(EH_Data,0,EH_ColBal),INDEX(EH_Data,0,EH_ColFirst),$B163,INDEX(EH_Data,0,EH_ColSur),$C163,INDEX(EH_Data,0,EH_ColCat),BonusCat))/IF(EHUnit="Hours",HoursPerDay,1)))</f>
        <v/>
      </c>
      <c r="AH163" s="26" t="str">
        <f aca="false">IF(AO163=0,"",IF(NOT(TK_Ready),0,IF(MatchMode="Employee ID",SUMIFS(INDEX(TK_Data,0,TK_ColAmt),INDEX(TK_Data,0,TK_ColID),$A163,INDEX(TK_Data,0,TK_ColCat),BonusCat),SUMIFS(INDEX(TK_Data,0,TK_ColAmt),INDEX(TK_Data,0,TK_ColFirst),$B163,INDEX(TK_Data,0,TK_ColSur),$C163,INDEX(TK_Data,0,TK_ColCat),BonusCat))/IF(TKUnit="Hours",HoursPerDay,1)))</f>
        <v/>
      </c>
      <c r="AI163" s="26" t="str">
        <f aca="false">IF(AO163=0,"",N(AG163)+N(AH163))</f>
        <v/>
      </c>
      <c r="AJ163" s="29" t="str">
        <f aca="false">IF(AO163=0,"",IF(NOT(AND(EH_Ready,EH_ValReady)),"",IF(MatchMode="Employee ID",SUMIFS(INDEX(EH_Data,0,EH_ColVal),INDEX(EH_Data,0,EH_ColID),$A163,INDEX(EH_Data,0,EH_ColCat),BonusCat),SUMIFS(INDEX(EH_Data,0,EH_ColVal),INDEX(EH_Data,0,EH_ColFirst),$B163,INDEX(EH_Data,0,EH_ColSur),$C163,INDEX(EH_Data,0,EH_ColCat),BonusCat))))</f>
        <v/>
      </c>
      <c r="AK163" s="26" t="str">
        <f aca="false">IF(AO163=0,"",IF(OR(NOT(EH_Ready),BF163=1),"",AB163-AI163))</f>
        <v/>
      </c>
      <c r="AL163" s="26" t="str">
        <f aca="false">IF(AK163="","",AK163*HoursPerDay)</f>
        <v/>
      </c>
      <c r="AM163" s="27" t="str">
        <f aca="false">IF(AO163=0,"",IF(BF163=1,IF(N(AG163)&gt;0,"TERMINATED - forfeit "&amp;TEXT(AG163,"0.##")&amp;" days still in EH","Terminated - nothing in EH"),IF(NOT(EH_Ready),"Paste EH export and map headers on Settings",IF(AND(AB163&gt;0,AF163="No"),"SET UP in EH - add "&amp;TEXT(AB163,"0.##")&amp;" day(s) ("&amp;TEXT(AC163,"0.##")&amp;" hrs)",IF(AK163&gt;0,"ADD "&amp;TEXT(AK163,"0.##")&amp;" day(s) ("&amp;TEXT(AL163,"0.##")&amp;" hrs) in EH",IF(AK163&lt;0,"CHECK - EH shows "&amp;TEXT(-AK163,"0.##")&amp;" days more than policy",IF(AB163&gt;0,"OK - up to date",IF(AY163="None","No action - not eligible","No action - not yet qualified"))))))))</f>
        <v/>
      </c>
      <c r="AN163" s="27" t="str">
        <f aca="false">IF(AO163=0,"",TRIM(IF(AND($K163&lt;&gt;"",$H163=""),"Change 2 entered without Change 1. ","")&amp;IF(AND($K163&lt;&gt;"",$H163&lt;&gt;"",$K163&lt;=$H163),"Change 2 date not after Change 1. ","")&amp;IF(AND($N163&lt;&gt;"",$O163&lt;&gt;"",$O163&lt;$N163),"Leave To is before Leave From. ","")&amp;IF(AND($N163&lt;&gt;"",$O163=""),"Leave From entered without Leave To. ","")&amp;IF(AND(IFERROR(VLOOKUP(T163,TypeTable,2,0),"None")="PT",U163=""),"Part-time with no hours entered. ","")&amp;IF(AND($H163&lt;&gt;"",$H163&gt;AsOfDate,AD163&lt;&gt;"",$H163&lt;=AD163),"Status change lands before next accrual - review. ","")&amp;IF(AND($Q163&lt;&gt;"",$Q163&lt;$E163),"Termination before commencement. ","")))</f>
        <v/>
      </c>
      <c r="AO163" s="11" t="n">
        <f aca="false">IF(LEN($A163&amp;$B163&amp;$C163)=0,0,IF($E163="",0,1))</f>
        <v>0</v>
      </c>
      <c r="AP163" s="11" t="str">
        <f aca="false">IF(AO163=0,"",(IF(OR($N163="",$O163=""),0,MAX(0,MIN(X163,$O163)-MAX($N163,$E163)+1))+N($P163)))</f>
        <v/>
      </c>
      <c r="AQ163" s="11" t="str">
        <f aca="false">IF(AO163=0,"",IF(X163&lt;($E163+(IF(OR($N163="",$O163=""),0,MAX(0,MIN(X163,$O163)-MAX($N163,$E163)+1))+N($P163))),-1,12*(YEAR(X163)-YEAR(($E163+(IF(OR($N163="",$O163=""),0,MAX(0,MIN(X163,$O163)-MAX($N163,$E163)+1))+N($P163)))))+MONTH(X163)-MONTH(($E163+(IF(OR($N163="",$O163=""),0,MAX(0,MIN(X163,$O163)-MAX($N163,$E163)+1))+N($P163))))-IF(DAY(X163)&lt;MIN(DAY(($E163+(IF(OR($N163="",$O163=""),0,MAX(0,MIN(X163,$O163)-MAX($N163,$E163)+1))+N($P163)))),DAY(EOMONTH(X163,0))),1,0)))</f>
        <v/>
      </c>
      <c r="AR163" s="28" t="str">
        <f aca="false">IF(AO163=0,"",IF($H163="","",IF($H163&gt;X163,"",$H163)))</f>
        <v/>
      </c>
      <c r="AS163" s="28" t="str">
        <f aca="false">IF(AO163=0,"",IF(AR163="","",IF($K163="","",IF($K163&gt;X163,"",$K163))))</f>
        <v/>
      </c>
      <c r="AT163" s="11" t="str">
        <f aca="false">IF(AO163=0,"",IF(AR163="",AQ163,IF((AR163-1)&lt;($E163+(IF(OR($N163="",$O163=""),0,MAX(0,MIN((AR163-1),$O163)-MAX($N163,$E163)+1))+N($P163))),-1,12*(YEAR((AR163-1))-YEAR(($E163+(IF(OR($N163="",$O163=""),0,MAX(0,MIN((AR163-1),$O163)-MAX($N163,$E163)+1))+N($P163)))))+MONTH((AR163-1))-MONTH(($E163+(IF(OR($N163="",$O163=""),0,MAX(0,MIN((AR163-1),$O163)-MAX($N163,$E163)+1))+N($P163))))-IF(DAY((AR163-1))&lt;MIN(DAY(($E163+(IF(OR($N163="",$O163=""),0,MAX(0,MIN((AR163-1),$O163)-MAX($N163,$E163)+1))+N($P163)))),DAY(EOMONTH((AR163-1),0))),1,0))))</f>
        <v/>
      </c>
      <c r="AU163" s="11" t="str">
        <f aca="false">IF(AO163=0,"",IF(AS163="",AQ163,IF((AS163-1)&lt;($E163+(IF(OR($N163="",$O163=""),0,MAX(0,MIN((AS163-1),$O163)-MAX($N163,$E163)+1))+N($P163))),-1,12*(YEAR((AS163-1))-YEAR(($E163+(IF(OR($N163="",$O163=""),0,MAX(0,MIN((AS163-1),$O163)-MAX($N163,$E163)+1))+N($P163)))))+MONTH((AS163-1))-MONTH(($E163+(IF(OR($N163="",$O163=""),0,MAX(0,MIN((AS163-1),$O163)-MAX($N163,$E163)+1))+N($P163))))-IF(DAY((AS163-1))&lt;MIN(DAY(($E163+(IF(OR($N163="",$O163=""),0,MAX(0,MIN((AS163-1),$O163)-MAX($N163,$E163)+1))+N($P163)))),DAY(EOMONTH((AS163-1),0))),1,0))))</f>
        <v/>
      </c>
      <c r="AV163" s="11" t="str">
        <f aca="false">IF(AO163=0,"",IF($F163="","None",IF(IFERROR(VLOOKUP($F163,TypeTable,2,0),"None")="PT",IF(N($G163)&gt;=PT_MinHours,"PT","None"),IFERROR(VLOOKUP($F163,TypeTable,2,0),"None"))))</f>
        <v/>
      </c>
      <c r="AW163" s="11" t="str">
        <f aca="false">IF(AO163=0,"",IF($I163="","None",IF(IFERROR(VLOOKUP($I163,TypeTable,2,0),"None")="PT",IF(N($J163)&gt;=PT_MinHours,"PT","None"),IFERROR(VLOOKUP($I163,TypeTable,2,0),"None"))))</f>
        <v/>
      </c>
      <c r="AX163" s="11" t="str">
        <f aca="false">IF(AO163=0,"",IF($L163="","None",IF(IFERROR(VLOOKUP($L163,TypeTable,2,0),"None")="PT",IF(N($M163)&gt;=PT_MinHours,"PT","None"),IFERROR(VLOOKUP($L163,TypeTable,2,0),"None"))))</f>
        <v/>
      </c>
      <c r="AY163" s="11" t="str">
        <f aca="false">IF(AO163=0,"",IF(AS163&lt;&gt;"",AX163,IF(AR163&lt;&gt;"",AW163,AV163)))</f>
        <v/>
      </c>
      <c r="AZ163" s="11" t="str">
        <f aca="false">IF(AO163=0,"",IF(AV163="FT",IF(AT163&lt;FT_First,0,IF(AT163&lt;FT_Y5,1+INT((AT163-FT_First)/FT_Int1),FT_PreY5+FT_PerYear*INT((AT163-FT_Y5)/12)+FT_AnnivDays+INT(MOD(AT163-FT_Y5,12)/FT_Int2))),IF(AV163="PT",IF(AT163&lt;PT_First,0,1+INT((AT163-PT_First)/PT_Int)),0)))</f>
        <v/>
      </c>
      <c r="BA163" s="11" t="str">
        <f aca="false">IF(AO163=0,"",IF(AW163="FT",IF(AT163&lt;FT_First,0,IF(AT163&lt;FT_Y5,1+INT((AT163-FT_First)/FT_Int1),FT_PreY5+FT_PerYear*INT((AT163-FT_Y5)/12)+FT_AnnivDays+INT(MOD(AT163-FT_Y5,12)/FT_Int2))),IF(AW163="PT",IF(AT163&lt;PT_First,0,1+INT((AT163-PT_First)/PT_Int)),0)))</f>
        <v/>
      </c>
      <c r="BB163" s="11" t="str">
        <f aca="false">IF(AO163=0,"",IF(AW163="FT",IF(AU163&lt;FT_First,0,IF(AU163&lt;FT_Y5,1+INT((AU163-FT_First)/FT_Int1),FT_PreY5+FT_PerYear*INT((AU163-FT_Y5)/12)+FT_AnnivDays+INT(MOD(AU163-FT_Y5,12)/FT_Int2))),IF(AW163="PT",IF(AU163&lt;PT_First,0,1+INT((AU163-PT_First)/PT_Int)),0)))</f>
        <v/>
      </c>
      <c r="BC163" s="11" t="str">
        <f aca="false">IF(AO163=0,"",IF(AX163="FT",IF(AU163&lt;FT_First,0,IF(AU163&lt;FT_Y5,1+INT((AU163-FT_First)/FT_Int1),FT_PreY5+FT_PerYear*INT((AU163-FT_Y5)/12)+FT_AnnivDays+INT(MOD(AU163-FT_Y5,12)/FT_Int2))),IF(AX163="PT",IF(AU163&lt;PT_First,0,1+INT((AU163-PT_First)/PT_Int)),0)))</f>
        <v/>
      </c>
      <c r="BD163" s="11" t="str">
        <f aca="false">IF(AO163=0,"",IF(AX163="FT",IF(AQ163&lt;FT_First,0,IF(AQ163&lt;FT_Y5,1+INT((AQ163-FT_First)/FT_Int1),FT_PreY5+FT_PerYear*INT((AQ163-FT_Y5)/12)+FT_AnnivDays+INT(MOD(AQ163-FT_Y5,12)/FT_Int2))),IF(AX163="PT",IF(AQ163&lt;PT_First,0,1+INT((AQ163-PT_First)/PT_Int)),0)))</f>
        <v/>
      </c>
      <c r="BE163" s="11" t="str">
        <f aca="false">IF(AO163=0,"",IF(AY163="FT",IF(AQ163&lt;FT_First,FT_First,IF(AQ163&lt;FT_Y5,MIN(FT_Y5,FT_First+FT_Int1*(INT((AQ163-FT_First)/FT_Int1)+1)),FT_Y5+12*INT((AQ163-FT_Y5)/12)+FT_Int2*(INT(MOD(AQ163-FT_Y5,12)/FT_Int2)+1))),IF(AY163="PT",IF(AQ163&lt;PT_First,PT_First,PT_First+PT_Int*(INT((AQ163-PT_First)/PT_Int)+1)),"")))</f>
        <v/>
      </c>
      <c r="BF163" s="11" t="n">
        <f aca="false">IF(AO163=0,0,IF(AND($Q163&lt;&gt;"",$Q163&lt;=AsOfDate),1,0))</f>
        <v>0</v>
      </c>
      <c r="BG163" s="11" t="str">
        <f aca="false">IF(AND(AO163=1,BF163=0,EH_Ready,N(AB163)&gt;0,N(AI163)=0),COUNT($BG$5:BG162)+1,"")</f>
        <v/>
      </c>
      <c r="BH163" s="11" t="str">
        <f aca="false">IF(AND(AO163=1,BF163=0,EH_Ready,N(AB163)&gt;0,N(AI163)&gt;0,N(AK163)&gt;0),COUNT($BH$5:BH162)+1,"")</f>
        <v/>
      </c>
      <c r="BI163" s="11" t="str">
        <f aca="false">IF(AND(AO163=1,OR(LEFT(AM163,3)="ADD",LEFT(AM163,3)="SET",LEFT(AM163,5)="CHECK",LEFT(AM163,10)="TERMINATED")),COUNT($BI$5:BI162)+1,"")</f>
        <v/>
      </c>
      <c r="BJ163" s="11" t="str">
        <f aca="false">IF(AO163=0,"",$A163&amp;" - "&amp;$B163&amp;" "&amp;$C163)</f>
        <v/>
      </c>
    </row>
    <row r="164" customFormat="false" ht="15" hidden="false" customHeight="false" outlineLevel="0" collapsed="false">
      <c r="A164" s="10"/>
      <c r="B164" s="10"/>
      <c r="C164" s="10"/>
      <c r="D164" s="10"/>
      <c r="E164" s="9"/>
      <c r="F164" s="10"/>
      <c r="G164" s="30"/>
      <c r="H164" s="9"/>
      <c r="I164" s="10"/>
      <c r="J164" s="30"/>
      <c r="K164" s="9"/>
      <c r="L164" s="10"/>
      <c r="M164" s="30"/>
      <c r="N164" s="9"/>
      <c r="O164" s="9"/>
      <c r="P164" s="30"/>
      <c r="Q164" s="9"/>
      <c r="R164" s="10"/>
      <c r="S164" s="11" t="str">
        <f aca="false">IF(AO164=0,"",IF($H164="","",$F164&amp;" -&gt; "&amp;$I164&amp;IF($I164="Part-Time"," ("&amp;N($J164)&amp;" hrs)","")&amp;" on "&amp;TEXT($H164,"dd/mm/yyyy")&amp;IF($H164&gt;AsOfDate," (FUTURE)","")&amp;IF($K164="","","; "&amp;$I164&amp;" -&gt; "&amp;$L164&amp;IF($L164="Part-Time"," ("&amp;N($M164)&amp;" hrs)","")&amp;" on "&amp;TEXT($K164,"dd/mm/yyyy")&amp;IF($K164&gt;AsOfDate," (FUTURE)",""))))</f>
        <v/>
      </c>
      <c r="T164" s="11" t="str">
        <f aca="false">IF(AO164=0,"",IF(AS164&lt;&gt;"",$L164,IF(AR164&lt;&gt;"",$I164,$F164)))</f>
        <v/>
      </c>
      <c r="U164" s="26" t="str">
        <f aca="false">IF(AO164=0,"",IF(AS164&lt;&gt;"",$M164,IF(AR164&lt;&gt;"",$J164,$G164)))</f>
        <v/>
      </c>
      <c r="V164" s="11" t="str">
        <f aca="false">IF(AO164=0,"",IF(AY164="FT","Full-Time",IF(AY164="PT","Part-Time","Not eligible")))</f>
        <v/>
      </c>
      <c r="W164" s="27" t="str">
        <f aca="false">IF(AO164=0,"",IF(AR164="",IF(AND($H164&lt;&gt;"",$H164&gt;AsOfDate),"Future change - not yet applied",""),IF(AND(AV164=AY164,OR(AS164="",AW164=AV164)),"Type changed - same accrual pathway",IF(AY164="None","STOPPED accruing from "&amp;TEXT(IF(AS164&lt;&gt;"",AS164,AR164),"dd/mm/yyyy"),IF(AV164="None","STARTED qualifying from "&amp;TEXT(IF(AS164&lt;&gt;"",AS164,AR164),"dd/mm/yyyy"),"Pathway changed "&amp;AV164&amp;" -&gt; "&amp;AW164&amp;IF(AS164&lt;&gt;""," -&gt; "&amp;AX164,"")&amp;" from "&amp;TEXT(IF(AS164&lt;&gt;"",AS164,AR164),"dd/mm/yyyy"))))))</f>
        <v/>
      </c>
      <c r="X164" s="28" t="str">
        <f aca="false">IF(AO164=0,"",IF($Q164="",AsOfDate,MIN(AsOfDate,$Q164)))</f>
        <v/>
      </c>
      <c r="Y164" s="26" t="str">
        <f aca="false">IF(AO164=0,"",MAX(0,AQ164))</f>
        <v/>
      </c>
      <c r="Z164" s="11" t="str">
        <f aca="false">IF(AO164=0,"",IF(AQ164&lt;0,"Not started",INT(AQ164/12)&amp;"y "&amp;MOD(AQ164,12)&amp;"m"))</f>
        <v/>
      </c>
      <c r="AA164" s="27" t="str">
        <f aca="false">IF(AO164=0,"",IF(BF164=1,"Terminated - balance forfeited",IF(AY164="None",IF(AB164&gt;0,"No longer accruing - "&amp;T164,"Not eligible - "&amp;T164&amp;IF(AND(IFERROR(VLOOKUP(T164,TypeTable,2,0),"None")="PT",N(U164)&lt;PT_MinHours)," (under "&amp;PT_MinHours&amp;" hrs)","")),IF(AB164&gt;0,"Yes - accruing","Not yet - qualifies "&amp;TEXT(AD164,"dd/mm/yyyy")))))</f>
        <v/>
      </c>
      <c r="AB164" s="26" t="str">
        <f aca="false">IF(AO164=0,"",AZ164+IF(AR164="",0,BB164-BA164)+IF(AS164="",0,BD164-BC164))</f>
        <v/>
      </c>
      <c r="AC164" s="26" t="str">
        <f aca="false">IF(AO164=0,"",AB164*HoursPerDay)</f>
        <v/>
      </c>
      <c r="AD164" s="28" t="str">
        <f aca="false">IF(AO164=0,"",IF(OR(BF164=1,AY164="None"),"",EDATE($E164+AP164,BE164)))</f>
        <v/>
      </c>
      <c r="AE164" s="26" t="str">
        <f aca="false">IF(AD164="","",IF(AY164="PT",1,IF(BE164&lt;FT_Y5,1,IF(MOD(BE164-FT_Y5,12)=0,FT_AnnivDays,1))))</f>
        <v/>
      </c>
      <c r="AF164" s="27" t="str">
        <f aca="false">IF(AO164=0,"",IF(NOT(EH_Ready),"Map headers",IF(IF(MatchMode="Employee ID",COUNTIFS(INDEX(EH_Data,0,EH_ColID),$A164,INDEX(EH_Data,0,EH_ColCat),BonusCat),COUNTIFS(INDEX(EH_Data,0,EH_ColFirst),$B164,INDEX(EH_Data,0,EH_ColSur),$C164,INDEX(EH_Data,0,EH_ColCat),BonusCat))&gt;0,"Yes","No")))</f>
        <v/>
      </c>
      <c r="AG164" s="26" t="str">
        <f aca="false">IF(AO164=0,"",IF(NOT(EH_Ready),"",IF(MatchMode="Employee ID",SUMIFS(INDEX(EH_Data,0,EH_ColBal),INDEX(EH_Data,0,EH_ColID),$A164,INDEX(EH_Data,0,EH_ColCat),BonusCat),SUMIFS(INDEX(EH_Data,0,EH_ColBal),INDEX(EH_Data,0,EH_ColFirst),$B164,INDEX(EH_Data,0,EH_ColSur),$C164,INDEX(EH_Data,0,EH_ColCat),BonusCat))/IF(EHUnit="Hours",HoursPerDay,1)))</f>
        <v/>
      </c>
      <c r="AH164" s="26" t="str">
        <f aca="false">IF(AO164=0,"",IF(NOT(TK_Ready),0,IF(MatchMode="Employee ID",SUMIFS(INDEX(TK_Data,0,TK_ColAmt),INDEX(TK_Data,0,TK_ColID),$A164,INDEX(TK_Data,0,TK_ColCat),BonusCat),SUMIFS(INDEX(TK_Data,0,TK_ColAmt),INDEX(TK_Data,0,TK_ColFirst),$B164,INDEX(TK_Data,0,TK_ColSur),$C164,INDEX(TK_Data,0,TK_ColCat),BonusCat))/IF(TKUnit="Hours",HoursPerDay,1)))</f>
        <v/>
      </c>
      <c r="AI164" s="26" t="str">
        <f aca="false">IF(AO164=0,"",N(AG164)+N(AH164))</f>
        <v/>
      </c>
      <c r="AJ164" s="29" t="str">
        <f aca="false">IF(AO164=0,"",IF(NOT(AND(EH_Ready,EH_ValReady)),"",IF(MatchMode="Employee ID",SUMIFS(INDEX(EH_Data,0,EH_ColVal),INDEX(EH_Data,0,EH_ColID),$A164,INDEX(EH_Data,0,EH_ColCat),BonusCat),SUMIFS(INDEX(EH_Data,0,EH_ColVal),INDEX(EH_Data,0,EH_ColFirst),$B164,INDEX(EH_Data,0,EH_ColSur),$C164,INDEX(EH_Data,0,EH_ColCat),BonusCat))))</f>
        <v/>
      </c>
      <c r="AK164" s="26" t="str">
        <f aca="false">IF(AO164=0,"",IF(OR(NOT(EH_Ready),BF164=1),"",AB164-AI164))</f>
        <v/>
      </c>
      <c r="AL164" s="26" t="str">
        <f aca="false">IF(AK164="","",AK164*HoursPerDay)</f>
        <v/>
      </c>
      <c r="AM164" s="27" t="str">
        <f aca="false">IF(AO164=0,"",IF(BF164=1,IF(N(AG164)&gt;0,"TERMINATED - forfeit "&amp;TEXT(AG164,"0.##")&amp;" days still in EH","Terminated - nothing in EH"),IF(NOT(EH_Ready),"Paste EH export and map headers on Settings",IF(AND(AB164&gt;0,AF164="No"),"SET UP in EH - add "&amp;TEXT(AB164,"0.##")&amp;" day(s) ("&amp;TEXT(AC164,"0.##")&amp;" hrs)",IF(AK164&gt;0,"ADD "&amp;TEXT(AK164,"0.##")&amp;" day(s) ("&amp;TEXT(AL164,"0.##")&amp;" hrs) in EH",IF(AK164&lt;0,"CHECK - EH shows "&amp;TEXT(-AK164,"0.##")&amp;" days more than policy",IF(AB164&gt;0,"OK - up to date",IF(AY164="None","No action - not eligible","No action - not yet qualified"))))))))</f>
        <v/>
      </c>
      <c r="AN164" s="27" t="str">
        <f aca="false">IF(AO164=0,"",TRIM(IF(AND($K164&lt;&gt;"",$H164=""),"Change 2 entered without Change 1. ","")&amp;IF(AND($K164&lt;&gt;"",$H164&lt;&gt;"",$K164&lt;=$H164),"Change 2 date not after Change 1. ","")&amp;IF(AND($N164&lt;&gt;"",$O164&lt;&gt;"",$O164&lt;$N164),"Leave To is before Leave From. ","")&amp;IF(AND($N164&lt;&gt;"",$O164=""),"Leave From entered without Leave To. ","")&amp;IF(AND(IFERROR(VLOOKUP(T164,TypeTable,2,0),"None")="PT",U164=""),"Part-time with no hours entered. ","")&amp;IF(AND($H164&lt;&gt;"",$H164&gt;AsOfDate,AD164&lt;&gt;"",$H164&lt;=AD164),"Status change lands before next accrual - review. ","")&amp;IF(AND($Q164&lt;&gt;"",$Q164&lt;$E164),"Termination before commencement. ","")))</f>
        <v/>
      </c>
      <c r="AO164" s="11" t="n">
        <f aca="false">IF(LEN($A164&amp;$B164&amp;$C164)=0,0,IF($E164="",0,1))</f>
        <v>0</v>
      </c>
      <c r="AP164" s="11" t="str">
        <f aca="false">IF(AO164=0,"",(IF(OR($N164="",$O164=""),0,MAX(0,MIN(X164,$O164)-MAX($N164,$E164)+1))+N($P164)))</f>
        <v/>
      </c>
      <c r="AQ164" s="11" t="str">
        <f aca="false">IF(AO164=0,"",IF(X164&lt;($E164+(IF(OR($N164="",$O164=""),0,MAX(0,MIN(X164,$O164)-MAX($N164,$E164)+1))+N($P164))),-1,12*(YEAR(X164)-YEAR(($E164+(IF(OR($N164="",$O164=""),0,MAX(0,MIN(X164,$O164)-MAX($N164,$E164)+1))+N($P164)))))+MONTH(X164)-MONTH(($E164+(IF(OR($N164="",$O164=""),0,MAX(0,MIN(X164,$O164)-MAX($N164,$E164)+1))+N($P164))))-IF(DAY(X164)&lt;MIN(DAY(($E164+(IF(OR($N164="",$O164=""),0,MAX(0,MIN(X164,$O164)-MAX($N164,$E164)+1))+N($P164)))),DAY(EOMONTH(X164,0))),1,0)))</f>
        <v/>
      </c>
      <c r="AR164" s="28" t="str">
        <f aca="false">IF(AO164=0,"",IF($H164="","",IF($H164&gt;X164,"",$H164)))</f>
        <v/>
      </c>
      <c r="AS164" s="28" t="str">
        <f aca="false">IF(AO164=0,"",IF(AR164="","",IF($K164="","",IF($K164&gt;X164,"",$K164))))</f>
        <v/>
      </c>
      <c r="AT164" s="11" t="str">
        <f aca="false">IF(AO164=0,"",IF(AR164="",AQ164,IF((AR164-1)&lt;($E164+(IF(OR($N164="",$O164=""),0,MAX(0,MIN((AR164-1),$O164)-MAX($N164,$E164)+1))+N($P164))),-1,12*(YEAR((AR164-1))-YEAR(($E164+(IF(OR($N164="",$O164=""),0,MAX(0,MIN((AR164-1),$O164)-MAX($N164,$E164)+1))+N($P164)))))+MONTH((AR164-1))-MONTH(($E164+(IF(OR($N164="",$O164=""),0,MAX(0,MIN((AR164-1),$O164)-MAX($N164,$E164)+1))+N($P164))))-IF(DAY((AR164-1))&lt;MIN(DAY(($E164+(IF(OR($N164="",$O164=""),0,MAX(0,MIN((AR164-1),$O164)-MAX($N164,$E164)+1))+N($P164)))),DAY(EOMONTH((AR164-1),0))),1,0))))</f>
        <v/>
      </c>
      <c r="AU164" s="11" t="str">
        <f aca="false">IF(AO164=0,"",IF(AS164="",AQ164,IF((AS164-1)&lt;($E164+(IF(OR($N164="",$O164=""),0,MAX(0,MIN((AS164-1),$O164)-MAX($N164,$E164)+1))+N($P164))),-1,12*(YEAR((AS164-1))-YEAR(($E164+(IF(OR($N164="",$O164=""),0,MAX(0,MIN((AS164-1),$O164)-MAX($N164,$E164)+1))+N($P164)))))+MONTH((AS164-1))-MONTH(($E164+(IF(OR($N164="",$O164=""),0,MAX(0,MIN((AS164-1),$O164)-MAX($N164,$E164)+1))+N($P164))))-IF(DAY((AS164-1))&lt;MIN(DAY(($E164+(IF(OR($N164="",$O164=""),0,MAX(0,MIN((AS164-1),$O164)-MAX($N164,$E164)+1))+N($P164)))),DAY(EOMONTH((AS164-1),0))),1,0))))</f>
        <v/>
      </c>
      <c r="AV164" s="11" t="str">
        <f aca="false">IF(AO164=0,"",IF($F164="","None",IF(IFERROR(VLOOKUP($F164,TypeTable,2,0),"None")="PT",IF(N($G164)&gt;=PT_MinHours,"PT","None"),IFERROR(VLOOKUP($F164,TypeTable,2,0),"None"))))</f>
        <v/>
      </c>
      <c r="AW164" s="11" t="str">
        <f aca="false">IF(AO164=0,"",IF($I164="","None",IF(IFERROR(VLOOKUP($I164,TypeTable,2,0),"None")="PT",IF(N($J164)&gt;=PT_MinHours,"PT","None"),IFERROR(VLOOKUP($I164,TypeTable,2,0),"None"))))</f>
        <v/>
      </c>
      <c r="AX164" s="11" t="str">
        <f aca="false">IF(AO164=0,"",IF($L164="","None",IF(IFERROR(VLOOKUP($L164,TypeTable,2,0),"None")="PT",IF(N($M164)&gt;=PT_MinHours,"PT","None"),IFERROR(VLOOKUP($L164,TypeTable,2,0),"None"))))</f>
        <v/>
      </c>
      <c r="AY164" s="11" t="str">
        <f aca="false">IF(AO164=0,"",IF(AS164&lt;&gt;"",AX164,IF(AR164&lt;&gt;"",AW164,AV164)))</f>
        <v/>
      </c>
      <c r="AZ164" s="11" t="str">
        <f aca="false">IF(AO164=0,"",IF(AV164="FT",IF(AT164&lt;FT_First,0,IF(AT164&lt;FT_Y5,1+INT((AT164-FT_First)/FT_Int1),FT_PreY5+FT_PerYear*INT((AT164-FT_Y5)/12)+FT_AnnivDays+INT(MOD(AT164-FT_Y5,12)/FT_Int2))),IF(AV164="PT",IF(AT164&lt;PT_First,0,1+INT((AT164-PT_First)/PT_Int)),0)))</f>
        <v/>
      </c>
      <c r="BA164" s="11" t="str">
        <f aca="false">IF(AO164=0,"",IF(AW164="FT",IF(AT164&lt;FT_First,0,IF(AT164&lt;FT_Y5,1+INT((AT164-FT_First)/FT_Int1),FT_PreY5+FT_PerYear*INT((AT164-FT_Y5)/12)+FT_AnnivDays+INT(MOD(AT164-FT_Y5,12)/FT_Int2))),IF(AW164="PT",IF(AT164&lt;PT_First,0,1+INT((AT164-PT_First)/PT_Int)),0)))</f>
        <v/>
      </c>
      <c r="BB164" s="11" t="str">
        <f aca="false">IF(AO164=0,"",IF(AW164="FT",IF(AU164&lt;FT_First,0,IF(AU164&lt;FT_Y5,1+INT((AU164-FT_First)/FT_Int1),FT_PreY5+FT_PerYear*INT((AU164-FT_Y5)/12)+FT_AnnivDays+INT(MOD(AU164-FT_Y5,12)/FT_Int2))),IF(AW164="PT",IF(AU164&lt;PT_First,0,1+INT((AU164-PT_First)/PT_Int)),0)))</f>
        <v/>
      </c>
      <c r="BC164" s="11" t="str">
        <f aca="false">IF(AO164=0,"",IF(AX164="FT",IF(AU164&lt;FT_First,0,IF(AU164&lt;FT_Y5,1+INT((AU164-FT_First)/FT_Int1),FT_PreY5+FT_PerYear*INT((AU164-FT_Y5)/12)+FT_AnnivDays+INT(MOD(AU164-FT_Y5,12)/FT_Int2))),IF(AX164="PT",IF(AU164&lt;PT_First,0,1+INT((AU164-PT_First)/PT_Int)),0)))</f>
        <v/>
      </c>
      <c r="BD164" s="11" t="str">
        <f aca="false">IF(AO164=0,"",IF(AX164="FT",IF(AQ164&lt;FT_First,0,IF(AQ164&lt;FT_Y5,1+INT((AQ164-FT_First)/FT_Int1),FT_PreY5+FT_PerYear*INT((AQ164-FT_Y5)/12)+FT_AnnivDays+INT(MOD(AQ164-FT_Y5,12)/FT_Int2))),IF(AX164="PT",IF(AQ164&lt;PT_First,0,1+INT((AQ164-PT_First)/PT_Int)),0)))</f>
        <v/>
      </c>
      <c r="BE164" s="11" t="str">
        <f aca="false">IF(AO164=0,"",IF(AY164="FT",IF(AQ164&lt;FT_First,FT_First,IF(AQ164&lt;FT_Y5,MIN(FT_Y5,FT_First+FT_Int1*(INT((AQ164-FT_First)/FT_Int1)+1)),FT_Y5+12*INT((AQ164-FT_Y5)/12)+FT_Int2*(INT(MOD(AQ164-FT_Y5,12)/FT_Int2)+1))),IF(AY164="PT",IF(AQ164&lt;PT_First,PT_First,PT_First+PT_Int*(INT((AQ164-PT_First)/PT_Int)+1)),"")))</f>
        <v/>
      </c>
      <c r="BF164" s="11" t="n">
        <f aca="false">IF(AO164=0,0,IF(AND($Q164&lt;&gt;"",$Q164&lt;=AsOfDate),1,0))</f>
        <v>0</v>
      </c>
      <c r="BG164" s="11" t="str">
        <f aca="false">IF(AND(AO164=1,BF164=0,EH_Ready,N(AB164)&gt;0,N(AI164)=0),COUNT($BG$5:BG163)+1,"")</f>
        <v/>
      </c>
      <c r="BH164" s="11" t="str">
        <f aca="false">IF(AND(AO164=1,BF164=0,EH_Ready,N(AB164)&gt;0,N(AI164)&gt;0,N(AK164)&gt;0),COUNT($BH$5:BH163)+1,"")</f>
        <v/>
      </c>
      <c r="BI164" s="11" t="str">
        <f aca="false">IF(AND(AO164=1,OR(LEFT(AM164,3)="ADD",LEFT(AM164,3)="SET",LEFT(AM164,5)="CHECK",LEFT(AM164,10)="TERMINATED")),COUNT($BI$5:BI163)+1,"")</f>
        <v/>
      </c>
      <c r="BJ164" s="11" t="str">
        <f aca="false">IF(AO164=0,"",$A164&amp;" - "&amp;$B164&amp;" "&amp;$C164)</f>
        <v/>
      </c>
    </row>
    <row r="165" customFormat="false" ht="15" hidden="false" customHeight="false" outlineLevel="0" collapsed="false">
      <c r="A165" s="10"/>
      <c r="B165" s="10"/>
      <c r="C165" s="10"/>
      <c r="D165" s="10"/>
      <c r="E165" s="9"/>
      <c r="F165" s="10"/>
      <c r="G165" s="30"/>
      <c r="H165" s="9"/>
      <c r="I165" s="10"/>
      <c r="J165" s="30"/>
      <c r="K165" s="9"/>
      <c r="L165" s="10"/>
      <c r="M165" s="30"/>
      <c r="N165" s="9"/>
      <c r="O165" s="9"/>
      <c r="P165" s="30"/>
      <c r="Q165" s="9"/>
      <c r="R165" s="10"/>
      <c r="S165" s="11" t="str">
        <f aca="false">IF(AO165=0,"",IF($H165="","",$F165&amp;" -&gt; "&amp;$I165&amp;IF($I165="Part-Time"," ("&amp;N($J165)&amp;" hrs)","")&amp;" on "&amp;TEXT($H165,"dd/mm/yyyy")&amp;IF($H165&gt;AsOfDate," (FUTURE)","")&amp;IF($K165="","","; "&amp;$I165&amp;" -&gt; "&amp;$L165&amp;IF($L165="Part-Time"," ("&amp;N($M165)&amp;" hrs)","")&amp;" on "&amp;TEXT($K165,"dd/mm/yyyy")&amp;IF($K165&gt;AsOfDate," (FUTURE)",""))))</f>
        <v/>
      </c>
      <c r="T165" s="11" t="str">
        <f aca="false">IF(AO165=0,"",IF(AS165&lt;&gt;"",$L165,IF(AR165&lt;&gt;"",$I165,$F165)))</f>
        <v/>
      </c>
      <c r="U165" s="26" t="str">
        <f aca="false">IF(AO165=0,"",IF(AS165&lt;&gt;"",$M165,IF(AR165&lt;&gt;"",$J165,$G165)))</f>
        <v/>
      </c>
      <c r="V165" s="11" t="str">
        <f aca="false">IF(AO165=0,"",IF(AY165="FT","Full-Time",IF(AY165="PT","Part-Time","Not eligible")))</f>
        <v/>
      </c>
      <c r="W165" s="27" t="str">
        <f aca="false">IF(AO165=0,"",IF(AR165="",IF(AND($H165&lt;&gt;"",$H165&gt;AsOfDate),"Future change - not yet applied",""),IF(AND(AV165=AY165,OR(AS165="",AW165=AV165)),"Type changed - same accrual pathway",IF(AY165="None","STOPPED accruing from "&amp;TEXT(IF(AS165&lt;&gt;"",AS165,AR165),"dd/mm/yyyy"),IF(AV165="None","STARTED qualifying from "&amp;TEXT(IF(AS165&lt;&gt;"",AS165,AR165),"dd/mm/yyyy"),"Pathway changed "&amp;AV165&amp;" -&gt; "&amp;AW165&amp;IF(AS165&lt;&gt;""," -&gt; "&amp;AX165,"")&amp;" from "&amp;TEXT(IF(AS165&lt;&gt;"",AS165,AR165),"dd/mm/yyyy"))))))</f>
        <v/>
      </c>
      <c r="X165" s="28" t="str">
        <f aca="false">IF(AO165=0,"",IF($Q165="",AsOfDate,MIN(AsOfDate,$Q165)))</f>
        <v/>
      </c>
      <c r="Y165" s="26" t="str">
        <f aca="false">IF(AO165=0,"",MAX(0,AQ165))</f>
        <v/>
      </c>
      <c r="Z165" s="11" t="str">
        <f aca="false">IF(AO165=0,"",IF(AQ165&lt;0,"Not started",INT(AQ165/12)&amp;"y "&amp;MOD(AQ165,12)&amp;"m"))</f>
        <v/>
      </c>
      <c r="AA165" s="27" t="str">
        <f aca="false">IF(AO165=0,"",IF(BF165=1,"Terminated - balance forfeited",IF(AY165="None",IF(AB165&gt;0,"No longer accruing - "&amp;T165,"Not eligible - "&amp;T165&amp;IF(AND(IFERROR(VLOOKUP(T165,TypeTable,2,0),"None")="PT",N(U165)&lt;PT_MinHours)," (under "&amp;PT_MinHours&amp;" hrs)","")),IF(AB165&gt;0,"Yes - accruing","Not yet - qualifies "&amp;TEXT(AD165,"dd/mm/yyyy")))))</f>
        <v/>
      </c>
      <c r="AB165" s="26" t="str">
        <f aca="false">IF(AO165=0,"",AZ165+IF(AR165="",0,BB165-BA165)+IF(AS165="",0,BD165-BC165))</f>
        <v/>
      </c>
      <c r="AC165" s="26" t="str">
        <f aca="false">IF(AO165=0,"",AB165*HoursPerDay)</f>
        <v/>
      </c>
      <c r="AD165" s="28" t="str">
        <f aca="false">IF(AO165=0,"",IF(OR(BF165=1,AY165="None"),"",EDATE($E165+AP165,BE165)))</f>
        <v/>
      </c>
      <c r="AE165" s="26" t="str">
        <f aca="false">IF(AD165="","",IF(AY165="PT",1,IF(BE165&lt;FT_Y5,1,IF(MOD(BE165-FT_Y5,12)=0,FT_AnnivDays,1))))</f>
        <v/>
      </c>
      <c r="AF165" s="27" t="str">
        <f aca="false">IF(AO165=0,"",IF(NOT(EH_Ready),"Map headers",IF(IF(MatchMode="Employee ID",COUNTIFS(INDEX(EH_Data,0,EH_ColID),$A165,INDEX(EH_Data,0,EH_ColCat),BonusCat),COUNTIFS(INDEX(EH_Data,0,EH_ColFirst),$B165,INDEX(EH_Data,0,EH_ColSur),$C165,INDEX(EH_Data,0,EH_ColCat),BonusCat))&gt;0,"Yes","No")))</f>
        <v/>
      </c>
      <c r="AG165" s="26" t="str">
        <f aca="false">IF(AO165=0,"",IF(NOT(EH_Ready),"",IF(MatchMode="Employee ID",SUMIFS(INDEX(EH_Data,0,EH_ColBal),INDEX(EH_Data,0,EH_ColID),$A165,INDEX(EH_Data,0,EH_ColCat),BonusCat),SUMIFS(INDEX(EH_Data,0,EH_ColBal),INDEX(EH_Data,0,EH_ColFirst),$B165,INDEX(EH_Data,0,EH_ColSur),$C165,INDEX(EH_Data,0,EH_ColCat),BonusCat))/IF(EHUnit="Hours",HoursPerDay,1)))</f>
        <v/>
      </c>
      <c r="AH165" s="26" t="str">
        <f aca="false">IF(AO165=0,"",IF(NOT(TK_Ready),0,IF(MatchMode="Employee ID",SUMIFS(INDEX(TK_Data,0,TK_ColAmt),INDEX(TK_Data,0,TK_ColID),$A165,INDEX(TK_Data,0,TK_ColCat),BonusCat),SUMIFS(INDEX(TK_Data,0,TK_ColAmt),INDEX(TK_Data,0,TK_ColFirst),$B165,INDEX(TK_Data,0,TK_ColSur),$C165,INDEX(TK_Data,0,TK_ColCat),BonusCat))/IF(TKUnit="Hours",HoursPerDay,1)))</f>
        <v/>
      </c>
      <c r="AI165" s="26" t="str">
        <f aca="false">IF(AO165=0,"",N(AG165)+N(AH165))</f>
        <v/>
      </c>
      <c r="AJ165" s="29" t="str">
        <f aca="false">IF(AO165=0,"",IF(NOT(AND(EH_Ready,EH_ValReady)),"",IF(MatchMode="Employee ID",SUMIFS(INDEX(EH_Data,0,EH_ColVal),INDEX(EH_Data,0,EH_ColID),$A165,INDEX(EH_Data,0,EH_ColCat),BonusCat),SUMIFS(INDEX(EH_Data,0,EH_ColVal),INDEX(EH_Data,0,EH_ColFirst),$B165,INDEX(EH_Data,0,EH_ColSur),$C165,INDEX(EH_Data,0,EH_ColCat),BonusCat))))</f>
        <v/>
      </c>
      <c r="AK165" s="26" t="str">
        <f aca="false">IF(AO165=0,"",IF(OR(NOT(EH_Ready),BF165=1),"",AB165-AI165))</f>
        <v/>
      </c>
      <c r="AL165" s="26" t="str">
        <f aca="false">IF(AK165="","",AK165*HoursPerDay)</f>
        <v/>
      </c>
      <c r="AM165" s="27" t="str">
        <f aca="false">IF(AO165=0,"",IF(BF165=1,IF(N(AG165)&gt;0,"TERMINATED - forfeit "&amp;TEXT(AG165,"0.##")&amp;" days still in EH","Terminated - nothing in EH"),IF(NOT(EH_Ready),"Paste EH export and map headers on Settings",IF(AND(AB165&gt;0,AF165="No"),"SET UP in EH - add "&amp;TEXT(AB165,"0.##")&amp;" day(s) ("&amp;TEXT(AC165,"0.##")&amp;" hrs)",IF(AK165&gt;0,"ADD "&amp;TEXT(AK165,"0.##")&amp;" day(s) ("&amp;TEXT(AL165,"0.##")&amp;" hrs) in EH",IF(AK165&lt;0,"CHECK - EH shows "&amp;TEXT(-AK165,"0.##")&amp;" days more than policy",IF(AB165&gt;0,"OK - up to date",IF(AY165="None","No action - not eligible","No action - not yet qualified"))))))))</f>
        <v/>
      </c>
      <c r="AN165" s="27" t="str">
        <f aca="false">IF(AO165=0,"",TRIM(IF(AND($K165&lt;&gt;"",$H165=""),"Change 2 entered without Change 1. ","")&amp;IF(AND($K165&lt;&gt;"",$H165&lt;&gt;"",$K165&lt;=$H165),"Change 2 date not after Change 1. ","")&amp;IF(AND($N165&lt;&gt;"",$O165&lt;&gt;"",$O165&lt;$N165),"Leave To is before Leave From. ","")&amp;IF(AND($N165&lt;&gt;"",$O165=""),"Leave From entered without Leave To. ","")&amp;IF(AND(IFERROR(VLOOKUP(T165,TypeTable,2,0),"None")="PT",U165=""),"Part-time with no hours entered. ","")&amp;IF(AND($H165&lt;&gt;"",$H165&gt;AsOfDate,AD165&lt;&gt;"",$H165&lt;=AD165),"Status change lands before next accrual - review. ","")&amp;IF(AND($Q165&lt;&gt;"",$Q165&lt;$E165),"Termination before commencement. ","")))</f>
        <v/>
      </c>
      <c r="AO165" s="11" t="n">
        <f aca="false">IF(LEN($A165&amp;$B165&amp;$C165)=0,0,IF($E165="",0,1))</f>
        <v>0</v>
      </c>
      <c r="AP165" s="11" t="str">
        <f aca="false">IF(AO165=0,"",(IF(OR($N165="",$O165=""),0,MAX(0,MIN(X165,$O165)-MAX($N165,$E165)+1))+N($P165)))</f>
        <v/>
      </c>
      <c r="AQ165" s="11" t="str">
        <f aca="false">IF(AO165=0,"",IF(X165&lt;($E165+(IF(OR($N165="",$O165=""),0,MAX(0,MIN(X165,$O165)-MAX($N165,$E165)+1))+N($P165))),-1,12*(YEAR(X165)-YEAR(($E165+(IF(OR($N165="",$O165=""),0,MAX(0,MIN(X165,$O165)-MAX($N165,$E165)+1))+N($P165)))))+MONTH(X165)-MONTH(($E165+(IF(OR($N165="",$O165=""),0,MAX(0,MIN(X165,$O165)-MAX($N165,$E165)+1))+N($P165))))-IF(DAY(X165)&lt;MIN(DAY(($E165+(IF(OR($N165="",$O165=""),0,MAX(0,MIN(X165,$O165)-MAX($N165,$E165)+1))+N($P165)))),DAY(EOMONTH(X165,0))),1,0)))</f>
        <v/>
      </c>
      <c r="AR165" s="28" t="str">
        <f aca="false">IF(AO165=0,"",IF($H165="","",IF($H165&gt;X165,"",$H165)))</f>
        <v/>
      </c>
      <c r="AS165" s="28" t="str">
        <f aca="false">IF(AO165=0,"",IF(AR165="","",IF($K165="","",IF($K165&gt;X165,"",$K165))))</f>
        <v/>
      </c>
      <c r="AT165" s="11" t="str">
        <f aca="false">IF(AO165=0,"",IF(AR165="",AQ165,IF((AR165-1)&lt;($E165+(IF(OR($N165="",$O165=""),0,MAX(0,MIN((AR165-1),$O165)-MAX($N165,$E165)+1))+N($P165))),-1,12*(YEAR((AR165-1))-YEAR(($E165+(IF(OR($N165="",$O165=""),0,MAX(0,MIN((AR165-1),$O165)-MAX($N165,$E165)+1))+N($P165)))))+MONTH((AR165-1))-MONTH(($E165+(IF(OR($N165="",$O165=""),0,MAX(0,MIN((AR165-1),$O165)-MAX($N165,$E165)+1))+N($P165))))-IF(DAY((AR165-1))&lt;MIN(DAY(($E165+(IF(OR($N165="",$O165=""),0,MAX(0,MIN((AR165-1),$O165)-MAX($N165,$E165)+1))+N($P165)))),DAY(EOMONTH((AR165-1),0))),1,0))))</f>
        <v/>
      </c>
      <c r="AU165" s="11" t="str">
        <f aca="false">IF(AO165=0,"",IF(AS165="",AQ165,IF((AS165-1)&lt;($E165+(IF(OR($N165="",$O165=""),0,MAX(0,MIN((AS165-1),$O165)-MAX($N165,$E165)+1))+N($P165))),-1,12*(YEAR((AS165-1))-YEAR(($E165+(IF(OR($N165="",$O165=""),0,MAX(0,MIN((AS165-1),$O165)-MAX($N165,$E165)+1))+N($P165)))))+MONTH((AS165-1))-MONTH(($E165+(IF(OR($N165="",$O165=""),0,MAX(0,MIN((AS165-1),$O165)-MAX($N165,$E165)+1))+N($P165))))-IF(DAY((AS165-1))&lt;MIN(DAY(($E165+(IF(OR($N165="",$O165=""),0,MAX(0,MIN((AS165-1),$O165)-MAX($N165,$E165)+1))+N($P165)))),DAY(EOMONTH((AS165-1),0))),1,0))))</f>
        <v/>
      </c>
      <c r="AV165" s="11" t="str">
        <f aca="false">IF(AO165=0,"",IF($F165="","None",IF(IFERROR(VLOOKUP($F165,TypeTable,2,0),"None")="PT",IF(N($G165)&gt;=PT_MinHours,"PT","None"),IFERROR(VLOOKUP($F165,TypeTable,2,0),"None"))))</f>
        <v/>
      </c>
      <c r="AW165" s="11" t="str">
        <f aca="false">IF(AO165=0,"",IF($I165="","None",IF(IFERROR(VLOOKUP($I165,TypeTable,2,0),"None")="PT",IF(N($J165)&gt;=PT_MinHours,"PT","None"),IFERROR(VLOOKUP($I165,TypeTable,2,0),"None"))))</f>
        <v/>
      </c>
      <c r="AX165" s="11" t="str">
        <f aca="false">IF(AO165=0,"",IF($L165="","None",IF(IFERROR(VLOOKUP($L165,TypeTable,2,0),"None")="PT",IF(N($M165)&gt;=PT_MinHours,"PT","None"),IFERROR(VLOOKUP($L165,TypeTable,2,0),"None"))))</f>
        <v/>
      </c>
      <c r="AY165" s="11" t="str">
        <f aca="false">IF(AO165=0,"",IF(AS165&lt;&gt;"",AX165,IF(AR165&lt;&gt;"",AW165,AV165)))</f>
        <v/>
      </c>
      <c r="AZ165" s="11" t="str">
        <f aca="false">IF(AO165=0,"",IF(AV165="FT",IF(AT165&lt;FT_First,0,IF(AT165&lt;FT_Y5,1+INT((AT165-FT_First)/FT_Int1),FT_PreY5+FT_PerYear*INT((AT165-FT_Y5)/12)+FT_AnnivDays+INT(MOD(AT165-FT_Y5,12)/FT_Int2))),IF(AV165="PT",IF(AT165&lt;PT_First,0,1+INT((AT165-PT_First)/PT_Int)),0)))</f>
        <v/>
      </c>
      <c r="BA165" s="11" t="str">
        <f aca="false">IF(AO165=0,"",IF(AW165="FT",IF(AT165&lt;FT_First,0,IF(AT165&lt;FT_Y5,1+INT((AT165-FT_First)/FT_Int1),FT_PreY5+FT_PerYear*INT((AT165-FT_Y5)/12)+FT_AnnivDays+INT(MOD(AT165-FT_Y5,12)/FT_Int2))),IF(AW165="PT",IF(AT165&lt;PT_First,0,1+INT((AT165-PT_First)/PT_Int)),0)))</f>
        <v/>
      </c>
      <c r="BB165" s="11" t="str">
        <f aca="false">IF(AO165=0,"",IF(AW165="FT",IF(AU165&lt;FT_First,0,IF(AU165&lt;FT_Y5,1+INT((AU165-FT_First)/FT_Int1),FT_PreY5+FT_PerYear*INT((AU165-FT_Y5)/12)+FT_AnnivDays+INT(MOD(AU165-FT_Y5,12)/FT_Int2))),IF(AW165="PT",IF(AU165&lt;PT_First,0,1+INT((AU165-PT_First)/PT_Int)),0)))</f>
        <v/>
      </c>
      <c r="BC165" s="11" t="str">
        <f aca="false">IF(AO165=0,"",IF(AX165="FT",IF(AU165&lt;FT_First,0,IF(AU165&lt;FT_Y5,1+INT((AU165-FT_First)/FT_Int1),FT_PreY5+FT_PerYear*INT((AU165-FT_Y5)/12)+FT_AnnivDays+INT(MOD(AU165-FT_Y5,12)/FT_Int2))),IF(AX165="PT",IF(AU165&lt;PT_First,0,1+INT((AU165-PT_First)/PT_Int)),0)))</f>
        <v/>
      </c>
      <c r="BD165" s="11" t="str">
        <f aca="false">IF(AO165=0,"",IF(AX165="FT",IF(AQ165&lt;FT_First,0,IF(AQ165&lt;FT_Y5,1+INT((AQ165-FT_First)/FT_Int1),FT_PreY5+FT_PerYear*INT((AQ165-FT_Y5)/12)+FT_AnnivDays+INT(MOD(AQ165-FT_Y5,12)/FT_Int2))),IF(AX165="PT",IF(AQ165&lt;PT_First,0,1+INT((AQ165-PT_First)/PT_Int)),0)))</f>
        <v/>
      </c>
      <c r="BE165" s="11" t="str">
        <f aca="false">IF(AO165=0,"",IF(AY165="FT",IF(AQ165&lt;FT_First,FT_First,IF(AQ165&lt;FT_Y5,MIN(FT_Y5,FT_First+FT_Int1*(INT((AQ165-FT_First)/FT_Int1)+1)),FT_Y5+12*INT((AQ165-FT_Y5)/12)+FT_Int2*(INT(MOD(AQ165-FT_Y5,12)/FT_Int2)+1))),IF(AY165="PT",IF(AQ165&lt;PT_First,PT_First,PT_First+PT_Int*(INT((AQ165-PT_First)/PT_Int)+1)),"")))</f>
        <v/>
      </c>
      <c r="BF165" s="11" t="n">
        <f aca="false">IF(AO165=0,0,IF(AND($Q165&lt;&gt;"",$Q165&lt;=AsOfDate),1,0))</f>
        <v>0</v>
      </c>
      <c r="BG165" s="11" t="str">
        <f aca="false">IF(AND(AO165=1,BF165=0,EH_Ready,N(AB165)&gt;0,N(AI165)=0),COUNT($BG$5:BG164)+1,"")</f>
        <v/>
      </c>
      <c r="BH165" s="11" t="str">
        <f aca="false">IF(AND(AO165=1,BF165=0,EH_Ready,N(AB165)&gt;0,N(AI165)&gt;0,N(AK165)&gt;0),COUNT($BH$5:BH164)+1,"")</f>
        <v/>
      </c>
      <c r="BI165" s="11" t="str">
        <f aca="false">IF(AND(AO165=1,OR(LEFT(AM165,3)="ADD",LEFT(AM165,3)="SET",LEFT(AM165,5)="CHECK",LEFT(AM165,10)="TERMINATED")),COUNT($BI$5:BI164)+1,"")</f>
        <v/>
      </c>
      <c r="BJ165" s="11" t="str">
        <f aca="false">IF(AO165=0,"",$A165&amp;" - "&amp;$B165&amp;" "&amp;$C165)</f>
        <v/>
      </c>
    </row>
    <row r="166" customFormat="false" ht="15" hidden="false" customHeight="false" outlineLevel="0" collapsed="false">
      <c r="A166" s="10"/>
      <c r="B166" s="10"/>
      <c r="C166" s="10"/>
      <c r="D166" s="10"/>
      <c r="E166" s="9"/>
      <c r="F166" s="10"/>
      <c r="G166" s="30"/>
      <c r="H166" s="9"/>
      <c r="I166" s="10"/>
      <c r="J166" s="30"/>
      <c r="K166" s="9"/>
      <c r="L166" s="10"/>
      <c r="M166" s="30"/>
      <c r="N166" s="9"/>
      <c r="O166" s="9"/>
      <c r="P166" s="30"/>
      <c r="Q166" s="9"/>
      <c r="R166" s="10"/>
      <c r="S166" s="11" t="str">
        <f aca="false">IF(AO166=0,"",IF($H166="","",$F166&amp;" -&gt; "&amp;$I166&amp;IF($I166="Part-Time"," ("&amp;N($J166)&amp;" hrs)","")&amp;" on "&amp;TEXT($H166,"dd/mm/yyyy")&amp;IF($H166&gt;AsOfDate," (FUTURE)","")&amp;IF($K166="","","; "&amp;$I166&amp;" -&gt; "&amp;$L166&amp;IF($L166="Part-Time"," ("&amp;N($M166)&amp;" hrs)","")&amp;" on "&amp;TEXT($K166,"dd/mm/yyyy")&amp;IF($K166&gt;AsOfDate," (FUTURE)",""))))</f>
        <v/>
      </c>
      <c r="T166" s="11" t="str">
        <f aca="false">IF(AO166=0,"",IF(AS166&lt;&gt;"",$L166,IF(AR166&lt;&gt;"",$I166,$F166)))</f>
        <v/>
      </c>
      <c r="U166" s="26" t="str">
        <f aca="false">IF(AO166=0,"",IF(AS166&lt;&gt;"",$M166,IF(AR166&lt;&gt;"",$J166,$G166)))</f>
        <v/>
      </c>
      <c r="V166" s="11" t="str">
        <f aca="false">IF(AO166=0,"",IF(AY166="FT","Full-Time",IF(AY166="PT","Part-Time","Not eligible")))</f>
        <v/>
      </c>
      <c r="W166" s="27" t="str">
        <f aca="false">IF(AO166=0,"",IF(AR166="",IF(AND($H166&lt;&gt;"",$H166&gt;AsOfDate),"Future change - not yet applied",""),IF(AND(AV166=AY166,OR(AS166="",AW166=AV166)),"Type changed - same accrual pathway",IF(AY166="None","STOPPED accruing from "&amp;TEXT(IF(AS166&lt;&gt;"",AS166,AR166),"dd/mm/yyyy"),IF(AV166="None","STARTED qualifying from "&amp;TEXT(IF(AS166&lt;&gt;"",AS166,AR166),"dd/mm/yyyy"),"Pathway changed "&amp;AV166&amp;" -&gt; "&amp;AW166&amp;IF(AS166&lt;&gt;""," -&gt; "&amp;AX166,"")&amp;" from "&amp;TEXT(IF(AS166&lt;&gt;"",AS166,AR166),"dd/mm/yyyy"))))))</f>
        <v/>
      </c>
      <c r="X166" s="28" t="str">
        <f aca="false">IF(AO166=0,"",IF($Q166="",AsOfDate,MIN(AsOfDate,$Q166)))</f>
        <v/>
      </c>
      <c r="Y166" s="26" t="str">
        <f aca="false">IF(AO166=0,"",MAX(0,AQ166))</f>
        <v/>
      </c>
      <c r="Z166" s="11" t="str">
        <f aca="false">IF(AO166=0,"",IF(AQ166&lt;0,"Not started",INT(AQ166/12)&amp;"y "&amp;MOD(AQ166,12)&amp;"m"))</f>
        <v/>
      </c>
      <c r="AA166" s="27" t="str">
        <f aca="false">IF(AO166=0,"",IF(BF166=1,"Terminated - balance forfeited",IF(AY166="None",IF(AB166&gt;0,"No longer accruing - "&amp;T166,"Not eligible - "&amp;T166&amp;IF(AND(IFERROR(VLOOKUP(T166,TypeTable,2,0),"None")="PT",N(U166)&lt;PT_MinHours)," (under "&amp;PT_MinHours&amp;" hrs)","")),IF(AB166&gt;0,"Yes - accruing","Not yet - qualifies "&amp;TEXT(AD166,"dd/mm/yyyy")))))</f>
        <v/>
      </c>
      <c r="AB166" s="26" t="str">
        <f aca="false">IF(AO166=0,"",AZ166+IF(AR166="",0,BB166-BA166)+IF(AS166="",0,BD166-BC166))</f>
        <v/>
      </c>
      <c r="AC166" s="26" t="str">
        <f aca="false">IF(AO166=0,"",AB166*HoursPerDay)</f>
        <v/>
      </c>
      <c r="AD166" s="28" t="str">
        <f aca="false">IF(AO166=0,"",IF(OR(BF166=1,AY166="None"),"",EDATE($E166+AP166,BE166)))</f>
        <v/>
      </c>
      <c r="AE166" s="26" t="str">
        <f aca="false">IF(AD166="","",IF(AY166="PT",1,IF(BE166&lt;FT_Y5,1,IF(MOD(BE166-FT_Y5,12)=0,FT_AnnivDays,1))))</f>
        <v/>
      </c>
      <c r="AF166" s="27" t="str">
        <f aca="false">IF(AO166=0,"",IF(NOT(EH_Ready),"Map headers",IF(IF(MatchMode="Employee ID",COUNTIFS(INDEX(EH_Data,0,EH_ColID),$A166,INDEX(EH_Data,0,EH_ColCat),BonusCat),COUNTIFS(INDEX(EH_Data,0,EH_ColFirst),$B166,INDEX(EH_Data,0,EH_ColSur),$C166,INDEX(EH_Data,0,EH_ColCat),BonusCat))&gt;0,"Yes","No")))</f>
        <v/>
      </c>
      <c r="AG166" s="26" t="str">
        <f aca="false">IF(AO166=0,"",IF(NOT(EH_Ready),"",IF(MatchMode="Employee ID",SUMIFS(INDEX(EH_Data,0,EH_ColBal),INDEX(EH_Data,0,EH_ColID),$A166,INDEX(EH_Data,0,EH_ColCat),BonusCat),SUMIFS(INDEX(EH_Data,0,EH_ColBal),INDEX(EH_Data,0,EH_ColFirst),$B166,INDEX(EH_Data,0,EH_ColSur),$C166,INDEX(EH_Data,0,EH_ColCat),BonusCat))/IF(EHUnit="Hours",HoursPerDay,1)))</f>
        <v/>
      </c>
      <c r="AH166" s="26" t="str">
        <f aca="false">IF(AO166=0,"",IF(NOT(TK_Ready),0,IF(MatchMode="Employee ID",SUMIFS(INDEX(TK_Data,0,TK_ColAmt),INDEX(TK_Data,0,TK_ColID),$A166,INDEX(TK_Data,0,TK_ColCat),BonusCat),SUMIFS(INDEX(TK_Data,0,TK_ColAmt),INDEX(TK_Data,0,TK_ColFirst),$B166,INDEX(TK_Data,0,TK_ColSur),$C166,INDEX(TK_Data,0,TK_ColCat),BonusCat))/IF(TKUnit="Hours",HoursPerDay,1)))</f>
        <v/>
      </c>
      <c r="AI166" s="26" t="str">
        <f aca="false">IF(AO166=0,"",N(AG166)+N(AH166))</f>
        <v/>
      </c>
      <c r="AJ166" s="29" t="str">
        <f aca="false">IF(AO166=0,"",IF(NOT(AND(EH_Ready,EH_ValReady)),"",IF(MatchMode="Employee ID",SUMIFS(INDEX(EH_Data,0,EH_ColVal),INDEX(EH_Data,0,EH_ColID),$A166,INDEX(EH_Data,0,EH_ColCat),BonusCat),SUMIFS(INDEX(EH_Data,0,EH_ColVal),INDEX(EH_Data,0,EH_ColFirst),$B166,INDEX(EH_Data,0,EH_ColSur),$C166,INDEX(EH_Data,0,EH_ColCat),BonusCat))))</f>
        <v/>
      </c>
      <c r="AK166" s="26" t="str">
        <f aca="false">IF(AO166=0,"",IF(OR(NOT(EH_Ready),BF166=1),"",AB166-AI166))</f>
        <v/>
      </c>
      <c r="AL166" s="26" t="str">
        <f aca="false">IF(AK166="","",AK166*HoursPerDay)</f>
        <v/>
      </c>
      <c r="AM166" s="27" t="str">
        <f aca="false">IF(AO166=0,"",IF(BF166=1,IF(N(AG166)&gt;0,"TERMINATED - forfeit "&amp;TEXT(AG166,"0.##")&amp;" days still in EH","Terminated - nothing in EH"),IF(NOT(EH_Ready),"Paste EH export and map headers on Settings",IF(AND(AB166&gt;0,AF166="No"),"SET UP in EH - add "&amp;TEXT(AB166,"0.##")&amp;" day(s) ("&amp;TEXT(AC166,"0.##")&amp;" hrs)",IF(AK166&gt;0,"ADD "&amp;TEXT(AK166,"0.##")&amp;" day(s) ("&amp;TEXT(AL166,"0.##")&amp;" hrs) in EH",IF(AK166&lt;0,"CHECK - EH shows "&amp;TEXT(-AK166,"0.##")&amp;" days more than policy",IF(AB166&gt;0,"OK - up to date",IF(AY166="None","No action - not eligible","No action - not yet qualified"))))))))</f>
        <v/>
      </c>
      <c r="AN166" s="27" t="str">
        <f aca="false">IF(AO166=0,"",TRIM(IF(AND($K166&lt;&gt;"",$H166=""),"Change 2 entered without Change 1. ","")&amp;IF(AND($K166&lt;&gt;"",$H166&lt;&gt;"",$K166&lt;=$H166),"Change 2 date not after Change 1. ","")&amp;IF(AND($N166&lt;&gt;"",$O166&lt;&gt;"",$O166&lt;$N166),"Leave To is before Leave From. ","")&amp;IF(AND($N166&lt;&gt;"",$O166=""),"Leave From entered without Leave To. ","")&amp;IF(AND(IFERROR(VLOOKUP(T166,TypeTable,2,0),"None")="PT",U166=""),"Part-time with no hours entered. ","")&amp;IF(AND($H166&lt;&gt;"",$H166&gt;AsOfDate,AD166&lt;&gt;"",$H166&lt;=AD166),"Status change lands before next accrual - review. ","")&amp;IF(AND($Q166&lt;&gt;"",$Q166&lt;$E166),"Termination before commencement. ","")))</f>
        <v/>
      </c>
      <c r="AO166" s="11" t="n">
        <f aca="false">IF(LEN($A166&amp;$B166&amp;$C166)=0,0,IF($E166="",0,1))</f>
        <v>0</v>
      </c>
      <c r="AP166" s="11" t="str">
        <f aca="false">IF(AO166=0,"",(IF(OR($N166="",$O166=""),0,MAX(0,MIN(X166,$O166)-MAX($N166,$E166)+1))+N($P166)))</f>
        <v/>
      </c>
      <c r="AQ166" s="11" t="str">
        <f aca="false">IF(AO166=0,"",IF(X166&lt;($E166+(IF(OR($N166="",$O166=""),0,MAX(0,MIN(X166,$O166)-MAX($N166,$E166)+1))+N($P166))),-1,12*(YEAR(X166)-YEAR(($E166+(IF(OR($N166="",$O166=""),0,MAX(0,MIN(X166,$O166)-MAX($N166,$E166)+1))+N($P166)))))+MONTH(X166)-MONTH(($E166+(IF(OR($N166="",$O166=""),0,MAX(0,MIN(X166,$O166)-MAX($N166,$E166)+1))+N($P166))))-IF(DAY(X166)&lt;MIN(DAY(($E166+(IF(OR($N166="",$O166=""),0,MAX(0,MIN(X166,$O166)-MAX($N166,$E166)+1))+N($P166)))),DAY(EOMONTH(X166,0))),1,0)))</f>
        <v/>
      </c>
      <c r="AR166" s="28" t="str">
        <f aca="false">IF(AO166=0,"",IF($H166="","",IF($H166&gt;X166,"",$H166)))</f>
        <v/>
      </c>
      <c r="AS166" s="28" t="str">
        <f aca="false">IF(AO166=0,"",IF(AR166="","",IF($K166="","",IF($K166&gt;X166,"",$K166))))</f>
        <v/>
      </c>
      <c r="AT166" s="11" t="str">
        <f aca="false">IF(AO166=0,"",IF(AR166="",AQ166,IF((AR166-1)&lt;($E166+(IF(OR($N166="",$O166=""),0,MAX(0,MIN((AR166-1),$O166)-MAX($N166,$E166)+1))+N($P166))),-1,12*(YEAR((AR166-1))-YEAR(($E166+(IF(OR($N166="",$O166=""),0,MAX(0,MIN((AR166-1),$O166)-MAX($N166,$E166)+1))+N($P166)))))+MONTH((AR166-1))-MONTH(($E166+(IF(OR($N166="",$O166=""),0,MAX(0,MIN((AR166-1),$O166)-MAX($N166,$E166)+1))+N($P166))))-IF(DAY((AR166-1))&lt;MIN(DAY(($E166+(IF(OR($N166="",$O166=""),0,MAX(0,MIN((AR166-1),$O166)-MAX($N166,$E166)+1))+N($P166)))),DAY(EOMONTH((AR166-1),0))),1,0))))</f>
        <v/>
      </c>
      <c r="AU166" s="11" t="str">
        <f aca="false">IF(AO166=0,"",IF(AS166="",AQ166,IF((AS166-1)&lt;($E166+(IF(OR($N166="",$O166=""),0,MAX(0,MIN((AS166-1),$O166)-MAX($N166,$E166)+1))+N($P166))),-1,12*(YEAR((AS166-1))-YEAR(($E166+(IF(OR($N166="",$O166=""),0,MAX(0,MIN((AS166-1),$O166)-MAX($N166,$E166)+1))+N($P166)))))+MONTH((AS166-1))-MONTH(($E166+(IF(OR($N166="",$O166=""),0,MAX(0,MIN((AS166-1),$O166)-MAX($N166,$E166)+1))+N($P166))))-IF(DAY((AS166-1))&lt;MIN(DAY(($E166+(IF(OR($N166="",$O166=""),0,MAX(0,MIN((AS166-1),$O166)-MAX($N166,$E166)+1))+N($P166)))),DAY(EOMONTH((AS166-1),0))),1,0))))</f>
        <v/>
      </c>
      <c r="AV166" s="11" t="str">
        <f aca="false">IF(AO166=0,"",IF($F166="","None",IF(IFERROR(VLOOKUP($F166,TypeTable,2,0),"None")="PT",IF(N($G166)&gt;=PT_MinHours,"PT","None"),IFERROR(VLOOKUP($F166,TypeTable,2,0),"None"))))</f>
        <v/>
      </c>
      <c r="AW166" s="11" t="str">
        <f aca="false">IF(AO166=0,"",IF($I166="","None",IF(IFERROR(VLOOKUP($I166,TypeTable,2,0),"None")="PT",IF(N($J166)&gt;=PT_MinHours,"PT","None"),IFERROR(VLOOKUP($I166,TypeTable,2,0),"None"))))</f>
        <v/>
      </c>
      <c r="AX166" s="11" t="str">
        <f aca="false">IF(AO166=0,"",IF($L166="","None",IF(IFERROR(VLOOKUP($L166,TypeTable,2,0),"None")="PT",IF(N($M166)&gt;=PT_MinHours,"PT","None"),IFERROR(VLOOKUP($L166,TypeTable,2,0),"None"))))</f>
        <v/>
      </c>
      <c r="AY166" s="11" t="str">
        <f aca="false">IF(AO166=0,"",IF(AS166&lt;&gt;"",AX166,IF(AR166&lt;&gt;"",AW166,AV166)))</f>
        <v/>
      </c>
      <c r="AZ166" s="11" t="str">
        <f aca="false">IF(AO166=0,"",IF(AV166="FT",IF(AT166&lt;FT_First,0,IF(AT166&lt;FT_Y5,1+INT((AT166-FT_First)/FT_Int1),FT_PreY5+FT_PerYear*INT((AT166-FT_Y5)/12)+FT_AnnivDays+INT(MOD(AT166-FT_Y5,12)/FT_Int2))),IF(AV166="PT",IF(AT166&lt;PT_First,0,1+INT((AT166-PT_First)/PT_Int)),0)))</f>
        <v/>
      </c>
      <c r="BA166" s="11" t="str">
        <f aca="false">IF(AO166=0,"",IF(AW166="FT",IF(AT166&lt;FT_First,0,IF(AT166&lt;FT_Y5,1+INT((AT166-FT_First)/FT_Int1),FT_PreY5+FT_PerYear*INT((AT166-FT_Y5)/12)+FT_AnnivDays+INT(MOD(AT166-FT_Y5,12)/FT_Int2))),IF(AW166="PT",IF(AT166&lt;PT_First,0,1+INT((AT166-PT_First)/PT_Int)),0)))</f>
        <v/>
      </c>
      <c r="BB166" s="11" t="str">
        <f aca="false">IF(AO166=0,"",IF(AW166="FT",IF(AU166&lt;FT_First,0,IF(AU166&lt;FT_Y5,1+INT((AU166-FT_First)/FT_Int1),FT_PreY5+FT_PerYear*INT((AU166-FT_Y5)/12)+FT_AnnivDays+INT(MOD(AU166-FT_Y5,12)/FT_Int2))),IF(AW166="PT",IF(AU166&lt;PT_First,0,1+INT((AU166-PT_First)/PT_Int)),0)))</f>
        <v/>
      </c>
      <c r="BC166" s="11" t="str">
        <f aca="false">IF(AO166=0,"",IF(AX166="FT",IF(AU166&lt;FT_First,0,IF(AU166&lt;FT_Y5,1+INT((AU166-FT_First)/FT_Int1),FT_PreY5+FT_PerYear*INT((AU166-FT_Y5)/12)+FT_AnnivDays+INT(MOD(AU166-FT_Y5,12)/FT_Int2))),IF(AX166="PT",IF(AU166&lt;PT_First,0,1+INT((AU166-PT_First)/PT_Int)),0)))</f>
        <v/>
      </c>
      <c r="BD166" s="11" t="str">
        <f aca="false">IF(AO166=0,"",IF(AX166="FT",IF(AQ166&lt;FT_First,0,IF(AQ166&lt;FT_Y5,1+INT((AQ166-FT_First)/FT_Int1),FT_PreY5+FT_PerYear*INT((AQ166-FT_Y5)/12)+FT_AnnivDays+INT(MOD(AQ166-FT_Y5,12)/FT_Int2))),IF(AX166="PT",IF(AQ166&lt;PT_First,0,1+INT((AQ166-PT_First)/PT_Int)),0)))</f>
        <v/>
      </c>
      <c r="BE166" s="11" t="str">
        <f aca="false">IF(AO166=0,"",IF(AY166="FT",IF(AQ166&lt;FT_First,FT_First,IF(AQ166&lt;FT_Y5,MIN(FT_Y5,FT_First+FT_Int1*(INT((AQ166-FT_First)/FT_Int1)+1)),FT_Y5+12*INT((AQ166-FT_Y5)/12)+FT_Int2*(INT(MOD(AQ166-FT_Y5,12)/FT_Int2)+1))),IF(AY166="PT",IF(AQ166&lt;PT_First,PT_First,PT_First+PT_Int*(INT((AQ166-PT_First)/PT_Int)+1)),"")))</f>
        <v/>
      </c>
      <c r="BF166" s="11" t="n">
        <f aca="false">IF(AO166=0,0,IF(AND($Q166&lt;&gt;"",$Q166&lt;=AsOfDate),1,0))</f>
        <v>0</v>
      </c>
      <c r="BG166" s="11" t="str">
        <f aca="false">IF(AND(AO166=1,BF166=0,EH_Ready,N(AB166)&gt;0,N(AI166)=0),COUNT($BG$5:BG165)+1,"")</f>
        <v/>
      </c>
      <c r="BH166" s="11" t="str">
        <f aca="false">IF(AND(AO166=1,BF166=0,EH_Ready,N(AB166)&gt;0,N(AI166)&gt;0,N(AK166)&gt;0),COUNT($BH$5:BH165)+1,"")</f>
        <v/>
      </c>
      <c r="BI166" s="11" t="str">
        <f aca="false">IF(AND(AO166=1,OR(LEFT(AM166,3)="ADD",LEFT(AM166,3)="SET",LEFT(AM166,5)="CHECK",LEFT(AM166,10)="TERMINATED")),COUNT($BI$5:BI165)+1,"")</f>
        <v/>
      </c>
      <c r="BJ166" s="11" t="str">
        <f aca="false">IF(AO166=0,"",$A166&amp;" - "&amp;$B166&amp;" "&amp;$C166)</f>
        <v/>
      </c>
    </row>
    <row r="167" customFormat="false" ht="15" hidden="false" customHeight="false" outlineLevel="0" collapsed="false">
      <c r="A167" s="10"/>
      <c r="B167" s="10"/>
      <c r="C167" s="10"/>
      <c r="D167" s="10"/>
      <c r="E167" s="9"/>
      <c r="F167" s="10"/>
      <c r="G167" s="30"/>
      <c r="H167" s="9"/>
      <c r="I167" s="10"/>
      <c r="J167" s="30"/>
      <c r="K167" s="9"/>
      <c r="L167" s="10"/>
      <c r="M167" s="30"/>
      <c r="N167" s="9"/>
      <c r="O167" s="9"/>
      <c r="P167" s="30"/>
      <c r="Q167" s="9"/>
      <c r="R167" s="10"/>
      <c r="S167" s="11" t="str">
        <f aca="false">IF(AO167=0,"",IF($H167="","",$F167&amp;" -&gt; "&amp;$I167&amp;IF($I167="Part-Time"," ("&amp;N($J167)&amp;" hrs)","")&amp;" on "&amp;TEXT($H167,"dd/mm/yyyy")&amp;IF($H167&gt;AsOfDate," (FUTURE)","")&amp;IF($K167="","","; "&amp;$I167&amp;" -&gt; "&amp;$L167&amp;IF($L167="Part-Time"," ("&amp;N($M167)&amp;" hrs)","")&amp;" on "&amp;TEXT($K167,"dd/mm/yyyy")&amp;IF($K167&gt;AsOfDate," (FUTURE)",""))))</f>
        <v/>
      </c>
      <c r="T167" s="11" t="str">
        <f aca="false">IF(AO167=0,"",IF(AS167&lt;&gt;"",$L167,IF(AR167&lt;&gt;"",$I167,$F167)))</f>
        <v/>
      </c>
      <c r="U167" s="26" t="str">
        <f aca="false">IF(AO167=0,"",IF(AS167&lt;&gt;"",$M167,IF(AR167&lt;&gt;"",$J167,$G167)))</f>
        <v/>
      </c>
      <c r="V167" s="11" t="str">
        <f aca="false">IF(AO167=0,"",IF(AY167="FT","Full-Time",IF(AY167="PT","Part-Time","Not eligible")))</f>
        <v/>
      </c>
      <c r="W167" s="27" t="str">
        <f aca="false">IF(AO167=0,"",IF(AR167="",IF(AND($H167&lt;&gt;"",$H167&gt;AsOfDate),"Future change - not yet applied",""),IF(AND(AV167=AY167,OR(AS167="",AW167=AV167)),"Type changed - same accrual pathway",IF(AY167="None","STOPPED accruing from "&amp;TEXT(IF(AS167&lt;&gt;"",AS167,AR167),"dd/mm/yyyy"),IF(AV167="None","STARTED qualifying from "&amp;TEXT(IF(AS167&lt;&gt;"",AS167,AR167),"dd/mm/yyyy"),"Pathway changed "&amp;AV167&amp;" -&gt; "&amp;AW167&amp;IF(AS167&lt;&gt;""," -&gt; "&amp;AX167,"")&amp;" from "&amp;TEXT(IF(AS167&lt;&gt;"",AS167,AR167),"dd/mm/yyyy"))))))</f>
        <v/>
      </c>
      <c r="X167" s="28" t="str">
        <f aca="false">IF(AO167=0,"",IF($Q167="",AsOfDate,MIN(AsOfDate,$Q167)))</f>
        <v/>
      </c>
      <c r="Y167" s="26" t="str">
        <f aca="false">IF(AO167=0,"",MAX(0,AQ167))</f>
        <v/>
      </c>
      <c r="Z167" s="11" t="str">
        <f aca="false">IF(AO167=0,"",IF(AQ167&lt;0,"Not started",INT(AQ167/12)&amp;"y "&amp;MOD(AQ167,12)&amp;"m"))</f>
        <v/>
      </c>
      <c r="AA167" s="27" t="str">
        <f aca="false">IF(AO167=0,"",IF(BF167=1,"Terminated - balance forfeited",IF(AY167="None",IF(AB167&gt;0,"No longer accruing - "&amp;T167,"Not eligible - "&amp;T167&amp;IF(AND(IFERROR(VLOOKUP(T167,TypeTable,2,0),"None")="PT",N(U167)&lt;PT_MinHours)," (under "&amp;PT_MinHours&amp;" hrs)","")),IF(AB167&gt;0,"Yes - accruing","Not yet - qualifies "&amp;TEXT(AD167,"dd/mm/yyyy")))))</f>
        <v/>
      </c>
      <c r="AB167" s="26" t="str">
        <f aca="false">IF(AO167=0,"",AZ167+IF(AR167="",0,BB167-BA167)+IF(AS167="",0,BD167-BC167))</f>
        <v/>
      </c>
      <c r="AC167" s="26" t="str">
        <f aca="false">IF(AO167=0,"",AB167*HoursPerDay)</f>
        <v/>
      </c>
      <c r="AD167" s="28" t="str">
        <f aca="false">IF(AO167=0,"",IF(OR(BF167=1,AY167="None"),"",EDATE($E167+AP167,BE167)))</f>
        <v/>
      </c>
      <c r="AE167" s="26" t="str">
        <f aca="false">IF(AD167="","",IF(AY167="PT",1,IF(BE167&lt;FT_Y5,1,IF(MOD(BE167-FT_Y5,12)=0,FT_AnnivDays,1))))</f>
        <v/>
      </c>
      <c r="AF167" s="27" t="str">
        <f aca="false">IF(AO167=0,"",IF(NOT(EH_Ready),"Map headers",IF(IF(MatchMode="Employee ID",COUNTIFS(INDEX(EH_Data,0,EH_ColID),$A167,INDEX(EH_Data,0,EH_ColCat),BonusCat),COUNTIFS(INDEX(EH_Data,0,EH_ColFirst),$B167,INDEX(EH_Data,0,EH_ColSur),$C167,INDEX(EH_Data,0,EH_ColCat),BonusCat))&gt;0,"Yes","No")))</f>
        <v/>
      </c>
      <c r="AG167" s="26" t="str">
        <f aca="false">IF(AO167=0,"",IF(NOT(EH_Ready),"",IF(MatchMode="Employee ID",SUMIFS(INDEX(EH_Data,0,EH_ColBal),INDEX(EH_Data,0,EH_ColID),$A167,INDEX(EH_Data,0,EH_ColCat),BonusCat),SUMIFS(INDEX(EH_Data,0,EH_ColBal),INDEX(EH_Data,0,EH_ColFirst),$B167,INDEX(EH_Data,0,EH_ColSur),$C167,INDEX(EH_Data,0,EH_ColCat),BonusCat))/IF(EHUnit="Hours",HoursPerDay,1)))</f>
        <v/>
      </c>
      <c r="AH167" s="26" t="str">
        <f aca="false">IF(AO167=0,"",IF(NOT(TK_Ready),0,IF(MatchMode="Employee ID",SUMIFS(INDEX(TK_Data,0,TK_ColAmt),INDEX(TK_Data,0,TK_ColID),$A167,INDEX(TK_Data,0,TK_ColCat),BonusCat),SUMIFS(INDEX(TK_Data,0,TK_ColAmt),INDEX(TK_Data,0,TK_ColFirst),$B167,INDEX(TK_Data,0,TK_ColSur),$C167,INDEX(TK_Data,0,TK_ColCat),BonusCat))/IF(TKUnit="Hours",HoursPerDay,1)))</f>
        <v/>
      </c>
      <c r="AI167" s="26" t="str">
        <f aca="false">IF(AO167=0,"",N(AG167)+N(AH167))</f>
        <v/>
      </c>
      <c r="AJ167" s="29" t="str">
        <f aca="false">IF(AO167=0,"",IF(NOT(AND(EH_Ready,EH_ValReady)),"",IF(MatchMode="Employee ID",SUMIFS(INDEX(EH_Data,0,EH_ColVal),INDEX(EH_Data,0,EH_ColID),$A167,INDEX(EH_Data,0,EH_ColCat),BonusCat),SUMIFS(INDEX(EH_Data,0,EH_ColVal),INDEX(EH_Data,0,EH_ColFirst),$B167,INDEX(EH_Data,0,EH_ColSur),$C167,INDEX(EH_Data,0,EH_ColCat),BonusCat))))</f>
        <v/>
      </c>
      <c r="AK167" s="26" t="str">
        <f aca="false">IF(AO167=0,"",IF(OR(NOT(EH_Ready),BF167=1),"",AB167-AI167))</f>
        <v/>
      </c>
      <c r="AL167" s="26" t="str">
        <f aca="false">IF(AK167="","",AK167*HoursPerDay)</f>
        <v/>
      </c>
      <c r="AM167" s="27" t="str">
        <f aca="false">IF(AO167=0,"",IF(BF167=1,IF(N(AG167)&gt;0,"TERMINATED - forfeit "&amp;TEXT(AG167,"0.##")&amp;" days still in EH","Terminated - nothing in EH"),IF(NOT(EH_Ready),"Paste EH export and map headers on Settings",IF(AND(AB167&gt;0,AF167="No"),"SET UP in EH - add "&amp;TEXT(AB167,"0.##")&amp;" day(s) ("&amp;TEXT(AC167,"0.##")&amp;" hrs)",IF(AK167&gt;0,"ADD "&amp;TEXT(AK167,"0.##")&amp;" day(s) ("&amp;TEXT(AL167,"0.##")&amp;" hrs) in EH",IF(AK167&lt;0,"CHECK - EH shows "&amp;TEXT(-AK167,"0.##")&amp;" days more than policy",IF(AB167&gt;0,"OK - up to date",IF(AY167="None","No action - not eligible","No action - not yet qualified"))))))))</f>
        <v/>
      </c>
      <c r="AN167" s="27" t="str">
        <f aca="false">IF(AO167=0,"",TRIM(IF(AND($K167&lt;&gt;"",$H167=""),"Change 2 entered without Change 1. ","")&amp;IF(AND($K167&lt;&gt;"",$H167&lt;&gt;"",$K167&lt;=$H167),"Change 2 date not after Change 1. ","")&amp;IF(AND($N167&lt;&gt;"",$O167&lt;&gt;"",$O167&lt;$N167),"Leave To is before Leave From. ","")&amp;IF(AND($N167&lt;&gt;"",$O167=""),"Leave From entered without Leave To. ","")&amp;IF(AND(IFERROR(VLOOKUP(T167,TypeTable,2,0),"None")="PT",U167=""),"Part-time with no hours entered. ","")&amp;IF(AND($H167&lt;&gt;"",$H167&gt;AsOfDate,AD167&lt;&gt;"",$H167&lt;=AD167),"Status change lands before next accrual - review. ","")&amp;IF(AND($Q167&lt;&gt;"",$Q167&lt;$E167),"Termination before commencement. ","")))</f>
        <v/>
      </c>
      <c r="AO167" s="11" t="n">
        <f aca="false">IF(LEN($A167&amp;$B167&amp;$C167)=0,0,IF($E167="",0,1))</f>
        <v>0</v>
      </c>
      <c r="AP167" s="11" t="str">
        <f aca="false">IF(AO167=0,"",(IF(OR($N167="",$O167=""),0,MAX(0,MIN(X167,$O167)-MAX($N167,$E167)+1))+N($P167)))</f>
        <v/>
      </c>
      <c r="AQ167" s="11" t="str">
        <f aca="false">IF(AO167=0,"",IF(X167&lt;($E167+(IF(OR($N167="",$O167=""),0,MAX(0,MIN(X167,$O167)-MAX($N167,$E167)+1))+N($P167))),-1,12*(YEAR(X167)-YEAR(($E167+(IF(OR($N167="",$O167=""),0,MAX(0,MIN(X167,$O167)-MAX($N167,$E167)+1))+N($P167)))))+MONTH(X167)-MONTH(($E167+(IF(OR($N167="",$O167=""),0,MAX(0,MIN(X167,$O167)-MAX($N167,$E167)+1))+N($P167))))-IF(DAY(X167)&lt;MIN(DAY(($E167+(IF(OR($N167="",$O167=""),0,MAX(0,MIN(X167,$O167)-MAX($N167,$E167)+1))+N($P167)))),DAY(EOMONTH(X167,0))),1,0)))</f>
        <v/>
      </c>
      <c r="AR167" s="28" t="str">
        <f aca="false">IF(AO167=0,"",IF($H167="","",IF($H167&gt;X167,"",$H167)))</f>
        <v/>
      </c>
      <c r="AS167" s="28" t="str">
        <f aca="false">IF(AO167=0,"",IF(AR167="","",IF($K167="","",IF($K167&gt;X167,"",$K167))))</f>
        <v/>
      </c>
      <c r="AT167" s="11" t="str">
        <f aca="false">IF(AO167=0,"",IF(AR167="",AQ167,IF((AR167-1)&lt;($E167+(IF(OR($N167="",$O167=""),0,MAX(0,MIN((AR167-1),$O167)-MAX($N167,$E167)+1))+N($P167))),-1,12*(YEAR((AR167-1))-YEAR(($E167+(IF(OR($N167="",$O167=""),0,MAX(0,MIN((AR167-1),$O167)-MAX($N167,$E167)+1))+N($P167)))))+MONTH((AR167-1))-MONTH(($E167+(IF(OR($N167="",$O167=""),0,MAX(0,MIN((AR167-1),$O167)-MAX($N167,$E167)+1))+N($P167))))-IF(DAY((AR167-1))&lt;MIN(DAY(($E167+(IF(OR($N167="",$O167=""),0,MAX(0,MIN((AR167-1),$O167)-MAX($N167,$E167)+1))+N($P167)))),DAY(EOMONTH((AR167-1),0))),1,0))))</f>
        <v/>
      </c>
      <c r="AU167" s="11" t="str">
        <f aca="false">IF(AO167=0,"",IF(AS167="",AQ167,IF((AS167-1)&lt;($E167+(IF(OR($N167="",$O167=""),0,MAX(0,MIN((AS167-1),$O167)-MAX($N167,$E167)+1))+N($P167))),-1,12*(YEAR((AS167-1))-YEAR(($E167+(IF(OR($N167="",$O167=""),0,MAX(0,MIN((AS167-1),$O167)-MAX($N167,$E167)+1))+N($P167)))))+MONTH((AS167-1))-MONTH(($E167+(IF(OR($N167="",$O167=""),0,MAX(0,MIN((AS167-1),$O167)-MAX($N167,$E167)+1))+N($P167))))-IF(DAY((AS167-1))&lt;MIN(DAY(($E167+(IF(OR($N167="",$O167=""),0,MAX(0,MIN((AS167-1),$O167)-MAX($N167,$E167)+1))+N($P167)))),DAY(EOMONTH((AS167-1),0))),1,0))))</f>
        <v/>
      </c>
      <c r="AV167" s="11" t="str">
        <f aca="false">IF(AO167=0,"",IF($F167="","None",IF(IFERROR(VLOOKUP($F167,TypeTable,2,0),"None")="PT",IF(N($G167)&gt;=PT_MinHours,"PT","None"),IFERROR(VLOOKUP($F167,TypeTable,2,0),"None"))))</f>
        <v/>
      </c>
      <c r="AW167" s="11" t="str">
        <f aca="false">IF(AO167=0,"",IF($I167="","None",IF(IFERROR(VLOOKUP($I167,TypeTable,2,0),"None")="PT",IF(N($J167)&gt;=PT_MinHours,"PT","None"),IFERROR(VLOOKUP($I167,TypeTable,2,0),"None"))))</f>
        <v/>
      </c>
      <c r="AX167" s="11" t="str">
        <f aca="false">IF(AO167=0,"",IF($L167="","None",IF(IFERROR(VLOOKUP($L167,TypeTable,2,0),"None")="PT",IF(N($M167)&gt;=PT_MinHours,"PT","None"),IFERROR(VLOOKUP($L167,TypeTable,2,0),"None"))))</f>
        <v/>
      </c>
      <c r="AY167" s="11" t="str">
        <f aca="false">IF(AO167=0,"",IF(AS167&lt;&gt;"",AX167,IF(AR167&lt;&gt;"",AW167,AV167)))</f>
        <v/>
      </c>
      <c r="AZ167" s="11" t="str">
        <f aca="false">IF(AO167=0,"",IF(AV167="FT",IF(AT167&lt;FT_First,0,IF(AT167&lt;FT_Y5,1+INT((AT167-FT_First)/FT_Int1),FT_PreY5+FT_PerYear*INT((AT167-FT_Y5)/12)+FT_AnnivDays+INT(MOD(AT167-FT_Y5,12)/FT_Int2))),IF(AV167="PT",IF(AT167&lt;PT_First,0,1+INT((AT167-PT_First)/PT_Int)),0)))</f>
        <v/>
      </c>
      <c r="BA167" s="11" t="str">
        <f aca="false">IF(AO167=0,"",IF(AW167="FT",IF(AT167&lt;FT_First,0,IF(AT167&lt;FT_Y5,1+INT((AT167-FT_First)/FT_Int1),FT_PreY5+FT_PerYear*INT((AT167-FT_Y5)/12)+FT_AnnivDays+INT(MOD(AT167-FT_Y5,12)/FT_Int2))),IF(AW167="PT",IF(AT167&lt;PT_First,0,1+INT((AT167-PT_First)/PT_Int)),0)))</f>
        <v/>
      </c>
      <c r="BB167" s="11" t="str">
        <f aca="false">IF(AO167=0,"",IF(AW167="FT",IF(AU167&lt;FT_First,0,IF(AU167&lt;FT_Y5,1+INT((AU167-FT_First)/FT_Int1),FT_PreY5+FT_PerYear*INT((AU167-FT_Y5)/12)+FT_AnnivDays+INT(MOD(AU167-FT_Y5,12)/FT_Int2))),IF(AW167="PT",IF(AU167&lt;PT_First,0,1+INT((AU167-PT_First)/PT_Int)),0)))</f>
        <v/>
      </c>
      <c r="BC167" s="11" t="str">
        <f aca="false">IF(AO167=0,"",IF(AX167="FT",IF(AU167&lt;FT_First,0,IF(AU167&lt;FT_Y5,1+INT((AU167-FT_First)/FT_Int1),FT_PreY5+FT_PerYear*INT((AU167-FT_Y5)/12)+FT_AnnivDays+INT(MOD(AU167-FT_Y5,12)/FT_Int2))),IF(AX167="PT",IF(AU167&lt;PT_First,0,1+INT((AU167-PT_First)/PT_Int)),0)))</f>
        <v/>
      </c>
      <c r="BD167" s="11" t="str">
        <f aca="false">IF(AO167=0,"",IF(AX167="FT",IF(AQ167&lt;FT_First,0,IF(AQ167&lt;FT_Y5,1+INT((AQ167-FT_First)/FT_Int1),FT_PreY5+FT_PerYear*INT((AQ167-FT_Y5)/12)+FT_AnnivDays+INT(MOD(AQ167-FT_Y5,12)/FT_Int2))),IF(AX167="PT",IF(AQ167&lt;PT_First,0,1+INT((AQ167-PT_First)/PT_Int)),0)))</f>
        <v/>
      </c>
      <c r="BE167" s="11" t="str">
        <f aca="false">IF(AO167=0,"",IF(AY167="FT",IF(AQ167&lt;FT_First,FT_First,IF(AQ167&lt;FT_Y5,MIN(FT_Y5,FT_First+FT_Int1*(INT((AQ167-FT_First)/FT_Int1)+1)),FT_Y5+12*INT((AQ167-FT_Y5)/12)+FT_Int2*(INT(MOD(AQ167-FT_Y5,12)/FT_Int2)+1))),IF(AY167="PT",IF(AQ167&lt;PT_First,PT_First,PT_First+PT_Int*(INT((AQ167-PT_First)/PT_Int)+1)),"")))</f>
        <v/>
      </c>
      <c r="BF167" s="11" t="n">
        <f aca="false">IF(AO167=0,0,IF(AND($Q167&lt;&gt;"",$Q167&lt;=AsOfDate),1,0))</f>
        <v>0</v>
      </c>
      <c r="BG167" s="11" t="str">
        <f aca="false">IF(AND(AO167=1,BF167=0,EH_Ready,N(AB167)&gt;0,N(AI167)=0),COUNT($BG$5:BG166)+1,"")</f>
        <v/>
      </c>
      <c r="BH167" s="11" t="str">
        <f aca="false">IF(AND(AO167=1,BF167=0,EH_Ready,N(AB167)&gt;0,N(AI167)&gt;0,N(AK167)&gt;0),COUNT($BH$5:BH166)+1,"")</f>
        <v/>
      </c>
      <c r="BI167" s="11" t="str">
        <f aca="false">IF(AND(AO167=1,OR(LEFT(AM167,3)="ADD",LEFT(AM167,3)="SET",LEFT(AM167,5)="CHECK",LEFT(AM167,10)="TERMINATED")),COUNT($BI$5:BI166)+1,"")</f>
        <v/>
      </c>
      <c r="BJ167" s="11" t="str">
        <f aca="false">IF(AO167=0,"",$A167&amp;" - "&amp;$B167&amp;" "&amp;$C167)</f>
        <v/>
      </c>
    </row>
    <row r="168" customFormat="false" ht="15" hidden="false" customHeight="false" outlineLevel="0" collapsed="false">
      <c r="A168" s="10"/>
      <c r="B168" s="10"/>
      <c r="C168" s="10"/>
      <c r="D168" s="10"/>
      <c r="E168" s="9"/>
      <c r="F168" s="10"/>
      <c r="G168" s="30"/>
      <c r="H168" s="9"/>
      <c r="I168" s="10"/>
      <c r="J168" s="30"/>
      <c r="K168" s="9"/>
      <c r="L168" s="10"/>
      <c r="M168" s="30"/>
      <c r="N168" s="9"/>
      <c r="O168" s="9"/>
      <c r="P168" s="30"/>
      <c r="Q168" s="9"/>
      <c r="R168" s="10"/>
      <c r="S168" s="11" t="str">
        <f aca="false">IF(AO168=0,"",IF($H168="","",$F168&amp;" -&gt; "&amp;$I168&amp;IF($I168="Part-Time"," ("&amp;N($J168)&amp;" hrs)","")&amp;" on "&amp;TEXT($H168,"dd/mm/yyyy")&amp;IF($H168&gt;AsOfDate," (FUTURE)","")&amp;IF($K168="","","; "&amp;$I168&amp;" -&gt; "&amp;$L168&amp;IF($L168="Part-Time"," ("&amp;N($M168)&amp;" hrs)","")&amp;" on "&amp;TEXT($K168,"dd/mm/yyyy")&amp;IF($K168&gt;AsOfDate," (FUTURE)",""))))</f>
        <v/>
      </c>
      <c r="T168" s="11" t="str">
        <f aca="false">IF(AO168=0,"",IF(AS168&lt;&gt;"",$L168,IF(AR168&lt;&gt;"",$I168,$F168)))</f>
        <v/>
      </c>
      <c r="U168" s="26" t="str">
        <f aca="false">IF(AO168=0,"",IF(AS168&lt;&gt;"",$M168,IF(AR168&lt;&gt;"",$J168,$G168)))</f>
        <v/>
      </c>
      <c r="V168" s="11" t="str">
        <f aca="false">IF(AO168=0,"",IF(AY168="FT","Full-Time",IF(AY168="PT","Part-Time","Not eligible")))</f>
        <v/>
      </c>
      <c r="W168" s="27" t="str">
        <f aca="false">IF(AO168=0,"",IF(AR168="",IF(AND($H168&lt;&gt;"",$H168&gt;AsOfDate),"Future change - not yet applied",""),IF(AND(AV168=AY168,OR(AS168="",AW168=AV168)),"Type changed - same accrual pathway",IF(AY168="None","STOPPED accruing from "&amp;TEXT(IF(AS168&lt;&gt;"",AS168,AR168),"dd/mm/yyyy"),IF(AV168="None","STARTED qualifying from "&amp;TEXT(IF(AS168&lt;&gt;"",AS168,AR168),"dd/mm/yyyy"),"Pathway changed "&amp;AV168&amp;" -&gt; "&amp;AW168&amp;IF(AS168&lt;&gt;""," -&gt; "&amp;AX168,"")&amp;" from "&amp;TEXT(IF(AS168&lt;&gt;"",AS168,AR168),"dd/mm/yyyy"))))))</f>
        <v/>
      </c>
      <c r="X168" s="28" t="str">
        <f aca="false">IF(AO168=0,"",IF($Q168="",AsOfDate,MIN(AsOfDate,$Q168)))</f>
        <v/>
      </c>
      <c r="Y168" s="26" t="str">
        <f aca="false">IF(AO168=0,"",MAX(0,AQ168))</f>
        <v/>
      </c>
      <c r="Z168" s="11" t="str">
        <f aca="false">IF(AO168=0,"",IF(AQ168&lt;0,"Not started",INT(AQ168/12)&amp;"y "&amp;MOD(AQ168,12)&amp;"m"))</f>
        <v/>
      </c>
      <c r="AA168" s="27" t="str">
        <f aca="false">IF(AO168=0,"",IF(BF168=1,"Terminated - balance forfeited",IF(AY168="None",IF(AB168&gt;0,"No longer accruing - "&amp;T168,"Not eligible - "&amp;T168&amp;IF(AND(IFERROR(VLOOKUP(T168,TypeTable,2,0),"None")="PT",N(U168)&lt;PT_MinHours)," (under "&amp;PT_MinHours&amp;" hrs)","")),IF(AB168&gt;0,"Yes - accruing","Not yet - qualifies "&amp;TEXT(AD168,"dd/mm/yyyy")))))</f>
        <v/>
      </c>
      <c r="AB168" s="26" t="str">
        <f aca="false">IF(AO168=0,"",AZ168+IF(AR168="",0,BB168-BA168)+IF(AS168="",0,BD168-BC168))</f>
        <v/>
      </c>
      <c r="AC168" s="26" t="str">
        <f aca="false">IF(AO168=0,"",AB168*HoursPerDay)</f>
        <v/>
      </c>
      <c r="AD168" s="28" t="str">
        <f aca="false">IF(AO168=0,"",IF(OR(BF168=1,AY168="None"),"",EDATE($E168+AP168,BE168)))</f>
        <v/>
      </c>
      <c r="AE168" s="26" t="str">
        <f aca="false">IF(AD168="","",IF(AY168="PT",1,IF(BE168&lt;FT_Y5,1,IF(MOD(BE168-FT_Y5,12)=0,FT_AnnivDays,1))))</f>
        <v/>
      </c>
      <c r="AF168" s="27" t="str">
        <f aca="false">IF(AO168=0,"",IF(NOT(EH_Ready),"Map headers",IF(IF(MatchMode="Employee ID",COUNTIFS(INDEX(EH_Data,0,EH_ColID),$A168,INDEX(EH_Data,0,EH_ColCat),BonusCat),COUNTIFS(INDEX(EH_Data,0,EH_ColFirst),$B168,INDEX(EH_Data,0,EH_ColSur),$C168,INDEX(EH_Data,0,EH_ColCat),BonusCat))&gt;0,"Yes","No")))</f>
        <v/>
      </c>
      <c r="AG168" s="26" t="str">
        <f aca="false">IF(AO168=0,"",IF(NOT(EH_Ready),"",IF(MatchMode="Employee ID",SUMIFS(INDEX(EH_Data,0,EH_ColBal),INDEX(EH_Data,0,EH_ColID),$A168,INDEX(EH_Data,0,EH_ColCat),BonusCat),SUMIFS(INDEX(EH_Data,0,EH_ColBal),INDEX(EH_Data,0,EH_ColFirst),$B168,INDEX(EH_Data,0,EH_ColSur),$C168,INDEX(EH_Data,0,EH_ColCat),BonusCat))/IF(EHUnit="Hours",HoursPerDay,1)))</f>
        <v/>
      </c>
      <c r="AH168" s="26" t="str">
        <f aca="false">IF(AO168=0,"",IF(NOT(TK_Ready),0,IF(MatchMode="Employee ID",SUMIFS(INDEX(TK_Data,0,TK_ColAmt),INDEX(TK_Data,0,TK_ColID),$A168,INDEX(TK_Data,0,TK_ColCat),BonusCat),SUMIFS(INDEX(TK_Data,0,TK_ColAmt),INDEX(TK_Data,0,TK_ColFirst),$B168,INDEX(TK_Data,0,TK_ColSur),$C168,INDEX(TK_Data,0,TK_ColCat),BonusCat))/IF(TKUnit="Hours",HoursPerDay,1)))</f>
        <v/>
      </c>
      <c r="AI168" s="26" t="str">
        <f aca="false">IF(AO168=0,"",N(AG168)+N(AH168))</f>
        <v/>
      </c>
      <c r="AJ168" s="29" t="str">
        <f aca="false">IF(AO168=0,"",IF(NOT(AND(EH_Ready,EH_ValReady)),"",IF(MatchMode="Employee ID",SUMIFS(INDEX(EH_Data,0,EH_ColVal),INDEX(EH_Data,0,EH_ColID),$A168,INDEX(EH_Data,0,EH_ColCat),BonusCat),SUMIFS(INDEX(EH_Data,0,EH_ColVal),INDEX(EH_Data,0,EH_ColFirst),$B168,INDEX(EH_Data,0,EH_ColSur),$C168,INDEX(EH_Data,0,EH_ColCat),BonusCat))))</f>
        <v/>
      </c>
      <c r="AK168" s="26" t="str">
        <f aca="false">IF(AO168=0,"",IF(OR(NOT(EH_Ready),BF168=1),"",AB168-AI168))</f>
        <v/>
      </c>
      <c r="AL168" s="26" t="str">
        <f aca="false">IF(AK168="","",AK168*HoursPerDay)</f>
        <v/>
      </c>
      <c r="AM168" s="27" t="str">
        <f aca="false">IF(AO168=0,"",IF(BF168=1,IF(N(AG168)&gt;0,"TERMINATED - forfeit "&amp;TEXT(AG168,"0.##")&amp;" days still in EH","Terminated - nothing in EH"),IF(NOT(EH_Ready),"Paste EH export and map headers on Settings",IF(AND(AB168&gt;0,AF168="No"),"SET UP in EH - add "&amp;TEXT(AB168,"0.##")&amp;" day(s) ("&amp;TEXT(AC168,"0.##")&amp;" hrs)",IF(AK168&gt;0,"ADD "&amp;TEXT(AK168,"0.##")&amp;" day(s) ("&amp;TEXT(AL168,"0.##")&amp;" hrs) in EH",IF(AK168&lt;0,"CHECK - EH shows "&amp;TEXT(-AK168,"0.##")&amp;" days more than policy",IF(AB168&gt;0,"OK - up to date",IF(AY168="None","No action - not eligible","No action - not yet qualified"))))))))</f>
        <v/>
      </c>
      <c r="AN168" s="27" t="str">
        <f aca="false">IF(AO168=0,"",TRIM(IF(AND($K168&lt;&gt;"",$H168=""),"Change 2 entered without Change 1. ","")&amp;IF(AND($K168&lt;&gt;"",$H168&lt;&gt;"",$K168&lt;=$H168),"Change 2 date not after Change 1. ","")&amp;IF(AND($N168&lt;&gt;"",$O168&lt;&gt;"",$O168&lt;$N168),"Leave To is before Leave From. ","")&amp;IF(AND($N168&lt;&gt;"",$O168=""),"Leave From entered without Leave To. ","")&amp;IF(AND(IFERROR(VLOOKUP(T168,TypeTable,2,0),"None")="PT",U168=""),"Part-time with no hours entered. ","")&amp;IF(AND($H168&lt;&gt;"",$H168&gt;AsOfDate,AD168&lt;&gt;"",$H168&lt;=AD168),"Status change lands before next accrual - review. ","")&amp;IF(AND($Q168&lt;&gt;"",$Q168&lt;$E168),"Termination before commencement. ","")))</f>
        <v/>
      </c>
      <c r="AO168" s="11" t="n">
        <f aca="false">IF(LEN($A168&amp;$B168&amp;$C168)=0,0,IF($E168="",0,1))</f>
        <v>0</v>
      </c>
      <c r="AP168" s="11" t="str">
        <f aca="false">IF(AO168=0,"",(IF(OR($N168="",$O168=""),0,MAX(0,MIN(X168,$O168)-MAX($N168,$E168)+1))+N($P168)))</f>
        <v/>
      </c>
      <c r="AQ168" s="11" t="str">
        <f aca="false">IF(AO168=0,"",IF(X168&lt;($E168+(IF(OR($N168="",$O168=""),0,MAX(0,MIN(X168,$O168)-MAX($N168,$E168)+1))+N($P168))),-1,12*(YEAR(X168)-YEAR(($E168+(IF(OR($N168="",$O168=""),0,MAX(0,MIN(X168,$O168)-MAX($N168,$E168)+1))+N($P168)))))+MONTH(X168)-MONTH(($E168+(IF(OR($N168="",$O168=""),0,MAX(0,MIN(X168,$O168)-MAX($N168,$E168)+1))+N($P168))))-IF(DAY(X168)&lt;MIN(DAY(($E168+(IF(OR($N168="",$O168=""),0,MAX(0,MIN(X168,$O168)-MAX($N168,$E168)+1))+N($P168)))),DAY(EOMONTH(X168,0))),1,0)))</f>
        <v/>
      </c>
      <c r="AR168" s="28" t="str">
        <f aca="false">IF(AO168=0,"",IF($H168="","",IF($H168&gt;X168,"",$H168)))</f>
        <v/>
      </c>
      <c r="AS168" s="28" t="str">
        <f aca="false">IF(AO168=0,"",IF(AR168="","",IF($K168="","",IF($K168&gt;X168,"",$K168))))</f>
        <v/>
      </c>
      <c r="AT168" s="11" t="str">
        <f aca="false">IF(AO168=0,"",IF(AR168="",AQ168,IF((AR168-1)&lt;($E168+(IF(OR($N168="",$O168=""),0,MAX(0,MIN((AR168-1),$O168)-MAX($N168,$E168)+1))+N($P168))),-1,12*(YEAR((AR168-1))-YEAR(($E168+(IF(OR($N168="",$O168=""),0,MAX(0,MIN((AR168-1),$O168)-MAX($N168,$E168)+1))+N($P168)))))+MONTH((AR168-1))-MONTH(($E168+(IF(OR($N168="",$O168=""),0,MAX(0,MIN((AR168-1),$O168)-MAX($N168,$E168)+1))+N($P168))))-IF(DAY((AR168-1))&lt;MIN(DAY(($E168+(IF(OR($N168="",$O168=""),0,MAX(0,MIN((AR168-1),$O168)-MAX($N168,$E168)+1))+N($P168)))),DAY(EOMONTH((AR168-1),0))),1,0))))</f>
        <v/>
      </c>
      <c r="AU168" s="11" t="str">
        <f aca="false">IF(AO168=0,"",IF(AS168="",AQ168,IF((AS168-1)&lt;($E168+(IF(OR($N168="",$O168=""),0,MAX(0,MIN((AS168-1),$O168)-MAX($N168,$E168)+1))+N($P168))),-1,12*(YEAR((AS168-1))-YEAR(($E168+(IF(OR($N168="",$O168=""),0,MAX(0,MIN((AS168-1),$O168)-MAX($N168,$E168)+1))+N($P168)))))+MONTH((AS168-1))-MONTH(($E168+(IF(OR($N168="",$O168=""),0,MAX(0,MIN((AS168-1),$O168)-MAX($N168,$E168)+1))+N($P168))))-IF(DAY((AS168-1))&lt;MIN(DAY(($E168+(IF(OR($N168="",$O168=""),0,MAX(0,MIN((AS168-1),$O168)-MAX($N168,$E168)+1))+N($P168)))),DAY(EOMONTH((AS168-1),0))),1,0))))</f>
        <v/>
      </c>
      <c r="AV168" s="11" t="str">
        <f aca="false">IF(AO168=0,"",IF($F168="","None",IF(IFERROR(VLOOKUP($F168,TypeTable,2,0),"None")="PT",IF(N($G168)&gt;=PT_MinHours,"PT","None"),IFERROR(VLOOKUP($F168,TypeTable,2,0),"None"))))</f>
        <v/>
      </c>
      <c r="AW168" s="11" t="str">
        <f aca="false">IF(AO168=0,"",IF($I168="","None",IF(IFERROR(VLOOKUP($I168,TypeTable,2,0),"None")="PT",IF(N($J168)&gt;=PT_MinHours,"PT","None"),IFERROR(VLOOKUP($I168,TypeTable,2,0),"None"))))</f>
        <v/>
      </c>
      <c r="AX168" s="11" t="str">
        <f aca="false">IF(AO168=0,"",IF($L168="","None",IF(IFERROR(VLOOKUP($L168,TypeTable,2,0),"None")="PT",IF(N($M168)&gt;=PT_MinHours,"PT","None"),IFERROR(VLOOKUP($L168,TypeTable,2,0),"None"))))</f>
        <v/>
      </c>
      <c r="AY168" s="11" t="str">
        <f aca="false">IF(AO168=0,"",IF(AS168&lt;&gt;"",AX168,IF(AR168&lt;&gt;"",AW168,AV168)))</f>
        <v/>
      </c>
      <c r="AZ168" s="11" t="str">
        <f aca="false">IF(AO168=0,"",IF(AV168="FT",IF(AT168&lt;FT_First,0,IF(AT168&lt;FT_Y5,1+INT((AT168-FT_First)/FT_Int1),FT_PreY5+FT_PerYear*INT((AT168-FT_Y5)/12)+FT_AnnivDays+INT(MOD(AT168-FT_Y5,12)/FT_Int2))),IF(AV168="PT",IF(AT168&lt;PT_First,0,1+INT((AT168-PT_First)/PT_Int)),0)))</f>
        <v/>
      </c>
      <c r="BA168" s="11" t="str">
        <f aca="false">IF(AO168=0,"",IF(AW168="FT",IF(AT168&lt;FT_First,0,IF(AT168&lt;FT_Y5,1+INT((AT168-FT_First)/FT_Int1),FT_PreY5+FT_PerYear*INT((AT168-FT_Y5)/12)+FT_AnnivDays+INT(MOD(AT168-FT_Y5,12)/FT_Int2))),IF(AW168="PT",IF(AT168&lt;PT_First,0,1+INT((AT168-PT_First)/PT_Int)),0)))</f>
        <v/>
      </c>
      <c r="BB168" s="11" t="str">
        <f aca="false">IF(AO168=0,"",IF(AW168="FT",IF(AU168&lt;FT_First,0,IF(AU168&lt;FT_Y5,1+INT((AU168-FT_First)/FT_Int1),FT_PreY5+FT_PerYear*INT((AU168-FT_Y5)/12)+FT_AnnivDays+INT(MOD(AU168-FT_Y5,12)/FT_Int2))),IF(AW168="PT",IF(AU168&lt;PT_First,0,1+INT((AU168-PT_First)/PT_Int)),0)))</f>
        <v/>
      </c>
      <c r="BC168" s="11" t="str">
        <f aca="false">IF(AO168=0,"",IF(AX168="FT",IF(AU168&lt;FT_First,0,IF(AU168&lt;FT_Y5,1+INT((AU168-FT_First)/FT_Int1),FT_PreY5+FT_PerYear*INT((AU168-FT_Y5)/12)+FT_AnnivDays+INT(MOD(AU168-FT_Y5,12)/FT_Int2))),IF(AX168="PT",IF(AU168&lt;PT_First,0,1+INT((AU168-PT_First)/PT_Int)),0)))</f>
        <v/>
      </c>
      <c r="BD168" s="11" t="str">
        <f aca="false">IF(AO168=0,"",IF(AX168="FT",IF(AQ168&lt;FT_First,0,IF(AQ168&lt;FT_Y5,1+INT((AQ168-FT_First)/FT_Int1),FT_PreY5+FT_PerYear*INT((AQ168-FT_Y5)/12)+FT_AnnivDays+INT(MOD(AQ168-FT_Y5,12)/FT_Int2))),IF(AX168="PT",IF(AQ168&lt;PT_First,0,1+INT((AQ168-PT_First)/PT_Int)),0)))</f>
        <v/>
      </c>
      <c r="BE168" s="11" t="str">
        <f aca="false">IF(AO168=0,"",IF(AY168="FT",IF(AQ168&lt;FT_First,FT_First,IF(AQ168&lt;FT_Y5,MIN(FT_Y5,FT_First+FT_Int1*(INT((AQ168-FT_First)/FT_Int1)+1)),FT_Y5+12*INT((AQ168-FT_Y5)/12)+FT_Int2*(INT(MOD(AQ168-FT_Y5,12)/FT_Int2)+1))),IF(AY168="PT",IF(AQ168&lt;PT_First,PT_First,PT_First+PT_Int*(INT((AQ168-PT_First)/PT_Int)+1)),"")))</f>
        <v/>
      </c>
      <c r="BF168" s="11" t="n">
        <f aca="false">IF(AO168=0,0,IF(AND($Q168&lt;&gt;"",$Q168&lt;=AsOfDate),1,0))</f>
        <v>0</v>
      </c>
      <c r="BG168" s="11" t="str">
        <f aca="false">IF(AND(AO168=1,BF168=0,EH_Ready,N(AB168)&gt;0,N(AI168)=0),COUNT($BG$5:BG167)+1,"")</f>
        <v/>
      </c>
      <c r="BH168" s="11" t="str">
        <f aca="false">IF(AND(AO168=1,BF168=0,EH_Ready,N(AB168)&gt;0,N(AI168)&gt;0,N(AK168)&gt;0),COUNT($BH$5:BH167)+1,"")</f>
        <v/>
      </c>
      <c r="BI168" s="11" t="str">
        <f aca="false">IF(AND(AO168=1,OR(LEFT(AM168,3)="ADD",LEFT(AM168,3)="SET",LEFT(AM168,5)="CHECK",LEFT(AM168,10)="TERMINATED")),COUNT($BI$5:BI167)+1,"")</f>
        <v/>
      </c>
      <c r="BJ168" s="11" t="str">
        <f aca="false">IF(AO168=0,"",$A168&amp;" - "&amp;$B168&amp;" "&amp;$C168)</f>
        <v/>
      </c>
    </row>
    <row r="169" customFormat="false" ht="15" hidden="false" customHeight="false" outlineLevel="0" collapsed="false">
      <c r="A169" s="10"/>
      <c r="B169" s="10"/>
      <c r="C169" s="10"/>
      <c r="D169" s="10"/>
      <c r="E169" s="9"/>
      <c r="F169" s="10"/>
      <c r="G169" s="30"/>
      <c r="H169" s="9"/>
      <c r="I169" s="10"/>
      <c r="J169" s="30"/>
      <c r="K169" s="9"/>
      <c r="L169" s="10"/>
      <c r="M169" s="30"/>
      <c r="N169" s="9"/>
      <c r="O169" s="9"/>
      <c r="P169" s="30"/>
      <c r="Q169" s="9"/>
      <c r="R169" s="10"/>
      <c r="S169" s="11" t="str">
        <f aca="false">IF(AO169=0,"",IF($H169="","",$F169&amp;" -&gt; "&amp;$I169&amp;IF($I169="Part-Time"," ("&amp;N($J169)&amp;" hrs)","")&amp;" on "&amp;TEXT($H169,"dd/mm/yyyy")&amp;IF($H169&gt;AsOfDate," (FUTURE)","")&amp;IF($K169="","","; "&amp;$I169&amp;" -&gt; "&amp;$L169&amp;IF($L169="Part-Time"," ("&amp;N($M169)&amp;" hrs)","")&amp;" on "&amp;TEXT($K169,"dd/mm/yyyy")&amp;IF($K169&gt;AsOfDate," (FUTURE)",""))))</f>
        <v/>
      </c>
      <c r="T169" s="11" t="str">
        <f aca="false">IF(AO169=0,"",IF(AS169&lt;&gt;"",$L169,IF(AR169&lt;&gt;"",$I169,$F169)))</f>
        <v/>
      </c>
      <c r="U169" s="26" t="str">
        <f aca="false">IF(AO169=0,"",IF(AS169&lt;&gt;"",$M169,IF(AR169&lt;&gt;"",$J169,$G169)))</f>
        <v/>
      </c>
      <c r="V169" s="11" t="str">
        <f aca="false">IF(AO169=0,"",IF(AY169="FT","Full-Time",IF(AY169="PT","Part-Time","Not eligible")))</f>
        <v/>
      </c>
      <c r="W169" s="27" t="str">
        <f aca="false">IF(AO169=0,"",IF(AR169="",IF(AND($H169&lt;&gt;"",$H169&gt;AsOfDate),"Future change - not yet applied",""),IF(AND(AV169=AY169,OR(AS169="",AW169=AV169)),"Type changed - same accrual pathway",IF(AY169="None","STOPPED accruing from "&amp;TEXT(IF(AS169&lt;&gt;"",AS169,AR169),"dd/mm/yyyy"),IF(AV169="None","STARTED qualifying from "&amp;TEXT(IF(AS169&lt;&gt;"",AS169,AR169),"dd/mm/yyyy"),"Pathway changed "&amp;AV169&amp;" -&gt; "&amp;AW169&amp;IF(AS169&lt;&gt;""," -&gt; "&amp;AX169,"")&amp;" from "&amp;TEXT(IF(AS169&lt;&gt;"",AS169,AR169),"dd/mm/yyyy"))))))</f>
        <v/>
      </c>
      <c r="X169" s="28" t="str">
        <f aca="false">IF(AO169=0,"",IF($Q169="",AsOfDate,MIN(AsOfDate,$Q169)))</f>
        <v/>
      </c>
      <c r="Y169" s="26" t="str">
        <f aca="false">IF(AO169=0,"",MAX(0,AQ169))</f>
        <v/>
      </c>
      <c r="Z169" s="11" t="str">
        <f aca="false">IF(AO169=0,"",IF(AQ169&lt;0,"Not started",INT(AQ169/12)&amp;"y "&amp;MOD(AQ169,12)&amp;"m"))</f>
        <v/>
      </c>
      <c r="AA169" s="27" t="str">
        <f aca="false">IF(AO169=0,"",IF(BF169=1,"Terminated - balance forfeited",IF(AY169="None",IF(AB169&gt;0,"No longer accruing - "&amp;T169,"Not eligible - "&amp;T169&amp;IF(AND(IFERROR(VLOOKUP(T169,TypeTable,2,0),"None")="PT",N(U169)&lt;PT_MinHours)," (under "&amp;PT_MinHours&amp;" hrs)","")),IF(AB169&gt;0,"Yes - accruing","Not yet - qualifies "&amp;TEXT(AD169,"dd/mm/yyyy")))))</f>
        <v/>
      </c>
      <c r="AB169" s="26" t="str">
        <f aca="false">IF(AO169=0,"",AZ169+IF(AR169="",0,BB169-BA169)+IF(AS169="",0,BD169-BC169))</f>
        <v/>
      </c>
      <c r="AC169" s="26" t="str">
        <f aca="false">IF(AO169=0,"",AB169*HoursPerDay)</f>
        <v/>
      </c>
      <c r="AD169" s="28" t="str">
        <f aca="false">IF(AO169=0,"",IF(OR(BF169=1,AY169="None"),"",EDATE($E169+AP169,BE169)))</f>
        <v/>
      </c>
      <c r="AE169" s="26" t="str">
        <f aca="false">IF(AD169="","",IF(AY169="PT",1,IF(BE169&lt;FT_Y5,1,IF(MOD(BE169-FT_Y5,12)=0,FT_AnnivDays,1))))</f>
        <v/>
      </c>
      <c r="AF169" s="27" t="str">
        <f aca="false">IF(AO169=0,"",IF(NOT(EH_Ready),"Map headers",IF(IF(MatchMode="Employee ID",COUNTIFS(INDEX(EH_Data,0,EH_ColID),$A169,INDEX(EH_Data,0,EH_ColCat),BonusCat),COUNTIFS(INDEX(EH_Data,0,EH_ColFirst),$B169,INDEX(EH_Data,0,EH_ColSur),$C169,INDEX(EH_Data,0,EH_ColCat),BonusCat))&gt;0,"Yes","No")))</f>
        <v/>
      </c>
      <c r="AG169" s="26" t="str">
        <f aca="false">IF(AO169=0,"",IF(NOT(EH_Ready),"",IF(MatchMode="Employee ID",SUMIFS(INDEX(EH_Data,0,EH_ColBal),INDEX(EH_Data,0,EH_ColID),$A169,INDEX(EH_Data,0,EH_ColCat),BonusCat),SUMIFS(INDEX(EH_Data,0,EH_ColBal),INDEX(EH_Data,0,EH_ColFirst),$B169,INDEX(EH_Data,0,EH_ColSur),$C169,INDEX(EH_Data,0,EH_ColCat),BonusCat))/IF(EHUnit="Hours",HoursPerDay,1)))</f>
        <v/>
      </c>
      <c r="AH169" s="26" t="str">
        <f aca="false">IF(AO169=0,"",IF(NOT(TK_Ready),0,IF(MatchMode="Employee ID",SUMIFS(INDEX(TK_Data,0,TK_ColAmt),INDEX(TK_Data,0,TK_ColID),$A169,INDEX(TK_Data,0,TK_ColCat),BonusCat),SUMIFS(INDEX(TK_Data,0,TK_ColAmt),INDEX(TK_Data,0,TK_ColFirst),$B169,INDEX(TK_Data,0,TK_ColSur),$C169,INDEX(TK_Data,0,TK_ColCat),BonusCat))/IF(TKUnit="Hours",HoursPerDay,1)))</f>
        <v/>
      </c>
      <c r="AI169" s="26" t="str">
        <f aca="false">IF(AO169=0,"",N(AG169)+N(AH169))</f>
        <v/>
      </c>
      <c r="AJ169" s="29" t="str">
        <f aca="false">IF(AO169=0,"",IF(NOT(AND(EH_Ready,EH_ValReady)),"",IF(MatchMode="Employee ID",SUMIFS(INDEX(EH_Data,0,EH_ColVal),INDEX(EH_Data,0,EH_ColID),$A169,INDEX(EH_Data,0,EH_ColCat),BonusCat),SUMIFS(INDEX(EH_Data,0,EH_ColVal),INDEX(EH_Data,0,EH_ColFirst),$B169,INDEX(EH_Data,0,EH_ColSur),$C169,INDEX(EH_Data,0,EH_ColCat),BonusCat))))</f>
        <v/>
      </c>
      <c r="AK169" s="26" t="str">
        <f aca="false">IF(AO169=0,"",IF(OR(NOT(EH_Ready),BF169=1),"",AB169-AI169))</f>
        <v/>
      </c>
      <c r="AL169" s="26" t="str">
        <f aca="false">IF(AK169="","",AK169*HoursPerDay)</f>
        <v/>
      </c>
      <c r="AM169" s="27" t="str">
        <f aca="false">IF(AO169=0,"",IF(BF169=1,IF(N(AG169)&gt;0,"TERMINATED - forfeit "&amp;TEXT(AG169,"0.##")&amp;" days still in EH","Terminated - nothing in EH"),IF(NOT(EH_Ready),"Paste EH export and map headers on Settings",IF(AND(AB169&gt;0,AF169="No"),"SET UP in EH - add "&amp;TEXT(AB169,"0.##")&amp;" day(s) ("&amp;TEXT(AC169,"0.##")&amp;" hrs)",IF(AK169&gt;0,"ADD "&amp;TEXT(AK169,"0.##")&amp;" day(s) ("&amp;TEXT(AL169,"0.##")&amp;" hrs) in EH",IF(AK169&lt;0,"CHECK - EH shows "&amp;TEXT(-AK169,"0.##")&amp;" days more than policy",IF(AB169&gt;0,"OK - up to date",IF(AY169="None","No action - not eligible","No action - not yet qualified"))))))))</f>
        <v/>
      </c>
      <c r="AN169" s="27" t="str">
        <f aca="false">IF(AO169=0,"",TRIM(IF(AND($K169&lt;&gt;"",$H169=""),"Change 2 entered without Change 1. ","")&amp;IF(AND($K169&lt;&gt;"",$H169&lt;&gt;"",$K169&lt;=$H169),"Change 2 date not after Change 1. ","")&amp;IF(AND($N169&lt;&gt;"",$O169&lt;&gt;"",$O169&lt;$N169),"Leave To is before Leave From. ","")&amp;IF(AND($N169&lt;&gt;"",$O169=""),"Leave From entered without Leave To. ","")&amp;IF(AND(IFERROR(VLOOKUP(T169,TypeTable,2,0),"None")="PT",U169=""),"Part-time with no hours entered. ","")&amp;IF(AND($H169&lt;&gt;"",$H169&gt;AsOfDate,AD169&lt;&gt;"",$H169&lt;=AD169),"Status change lands before next accrual - review. ","")&amp;IF(AND($Q169&lt;&gt;"",$Q169&lt;$E169),"Termination before commencement. ","")))</f>
        <v/>
      </c>
      <c r="AO169" s="11" t="n">
        <f aca="false">IF(LEN($A169&amp;$B169&amp;$C169)=0,0,IF($E169="",0,1))</f>
        <v>0</v>
      </c>
      <c r="AP169" s="11" t="str">
        <f aca="false">IF(AO169=0,"",(IF(OR($N169="",$O169=""),0,MAX(0,MIN(X169,$O169)-MAX($N169,$E169)+1))+N($P169)))</f>
        <v/>
      </c>
      <c r="AQ169" s="11" t="str">
        <f aca="false">IF(AO169=0,"",IF(X169&lt;($E169+(IF(OR($N169="",$O169=""),0,MAX(0,MIN(X169,$O169)-MAX($N169,$E169)+1))+N($P169))),-1,12*(YEAR(X169)-YEAR(($E169+(IF(OR($N169="",$O169=""),0,MAX(0,MIN(X169,$O169)-MAX($N169,$E169)+1))+N($P169)))))+MONTH(X169)-MONTH(($E169+(IF(OR($N169="",$O169=""),0,MAX(0,MIN(X169,$O169)-MAX($N169,$E169)+1))+N($P169))))-IF(DAY(X169)&lt;MIN(DAY(($E169+(IF(OR($N169="",$O169=""),0,MAX(0,MIN(X169,$O169)-MAX($N169,$E169)+1))+N($P169)))),DAY(EOMONTH(X169,0))),1,0)))</f>
        <v/>
      </c>
      <c r="AR169" s="28" t="str">
        <f aca="false">IF(AO169=0,"",IF($H169="","",IF($H169&gt;X169,"",$H169)))</f>
        <v/>
      </c>
      <c r="AS169" s="28" t="str">
        <f aca="false">IF(AO169=0,"",IF(AR169="","",IF($K169="","",IF($K169&gt;X169,"",$K169))))</f>
        <v/>
      </c>
      <c r="AT169" s="11" t="str">
        <f aca="false">IF(AO169=0,"",IF(AR169="",AQ169,IF((AR169-1)&lt;($E169+(IF(OR($N169="",$O169=""),0,MAX(0,MIN((AR169-1),$O169)-MAX($N169,$E169)+1))+N($P169))),-1,12*(YEAR((AR169-1))-YEAR(($E169+(IF(OR($N169="",$O169=""),0,MAX(0,MIN((AR169-1),$O169)-MAX($N169,$E169)+1))+N($P169)))))+MONTH((AR169-1))-MONTH(($E169+(IF(OR($N169="",$O169=""),0,MAX(0,MIN((AR169-1),$O169)-MAX($N169,$E169)+1))+N($P169))))-IF(DAY((AR169-1))&lt;MIN(DAY(($E169+(IF(OR($N169="",$O169=""),0,MAX(0,MIN((AR169-1),$O169)-MAX($N169,$E169)+1))+N($P169)))),DAY(EOMONTH((AR169-1),0))),1,0))))</f>
        <v/>
      </c>
      <c r="AU169" s="11" t="str">
        <f aca="false">IF(AO169=0,"",IF(AS169="",AQ169,IF((AS169-1)&lt;($E169+(IF(OR($N169="",$O169=""),0,MAX(0,MIN((AS169-1),$O169)-MAX($N169,$E169)+1))+N($P169))),-1,12*(YEAR((AS169-1))-YEAR(($E169+(IF(OR($N169="",$O169=""),0,MAX(0,MIN((AS169-1),$O169)-MAX($N169,$E169)+1))+N($P169)))))+MONTH((AS169-1))-MONTH(($E169+(IF(OR($N169="",$O169=""),0,MAX(0,MIN((AS169-1),$O169)-MAX($N169,$E169)+1))+N($P169))))-IF(DAY((AS169-1))&lt;MIN(DAY(($E169+(IF(OR($N169="",$O169=""),0,MAX(0,MIN((AS169-1),$O169)-MAX($N169,$E169)+1))+N($P169)))),DAY(EOMONTH((AS169-1),0))),1,0))))</f>
        <v/>
      </c>
      <c r="AV169" s="11" t="str">
        <f aca="false">IF(AO169=0,"",IF($F169="","None",IF(IFERROR(VLOOKUP($F169,TypeTable,2,0),"None")="PT",IF(N($G169)&gt;=PT_MinHours,"PT","None"),IFERROR(VLOOKUP($F169,TypeTable,2,0),"None"))))</f>
        <v/>
      </c>
      <c r="AW169" s="11" t="str">
        <f aca="false">IF(AO169=0,"",IF($I169="","None",IF(IFERROR(VLOOKUP($I169,TypeTable,2,0),"None")="PT",IF(N($J169)&gt;=PT_MinHours,"PT","None"),IFERROR(VLOOKUP($I169,TypeTable,2,0),"None"))))</f>
        <v/>
      </c>
      <c r="AX169" s="11" t="str">
        <f aca="false">IF(AO169=0,"",IF($L169="","None",IF(IFERROR(VLOOKUP($L169,TypeTable,2,0),"None")="PT",IF(N($M169)&gt;=PT_MinHours,"PT","None"),IFERROR(VLOOKUP($L169,TypeTable,2,0),"None"))))</f>
        <v/>
      </c>
      <c r="AY169" s="11" t="str">
        <f aca="false">IF(AO169=0,"",IF(AS169&lt;&gt;"",AX169,IF(AR169&lt;&gt;"",AW169,AV169)))</f>
        <v/>
      </c>
      <c r="AZ169" s="11" t="str">
        <f aca="false">IF(AO169=0,"",IF(AV169="FT",IF(AT169&lt;FT_First,0,IF(AT169&lt;FT_Y5,1+INT((AT169-FT_First)/FT_Int1),FT_PreY5+FT_PerYear*INT((AT169-FT_Y5)/12)+FT_AnnivDays+INT(MOD(AT169-FT_Y5,12)/FT_Int2))),IF(AV169="PT",IF(AT169&lt;PT_First,0,1+INT((AT169-PT_First)/PT_Int)),0)))</f>
        <v/>
      </c>
      <c r="BA169" s="11" t="str">
        <f aca="false">IF(AO169=0,"",IF(AW169="FT",IF(AT169&lt;FT_First,0,IF(AT169&lt;FT_Y5,1+INT((AT169-FT_First)/FT_Int1),FT_PreY5+FT_PerYear*INT((AT169-FT_Y5)/12)+FT_AnnivDays+INT(MOD(AT169-FT_Y5,12)/FT_Int2))),IF(AW169="PT",IF(AT169&lt;PT_First,0,1+INT((AT169-PT_First)/PT_Int)),0)))</f>
        <v/>
      </c>
      <c r="BB169" s="11" t="str">
        <f aca="false">IF(AO169=0,"",IF(AW169="FT",IF(AU169&lt;FT_First,0,IF(AU169&lt;FT_Y5,1+INT((AU169-FT_First)/FT_Int1),FT_PreY5+FT_PerYear*INT((AU169-FT_Y5)/12)+FT_AnnivDays+INT(MOD(AU169-FT_Y5,12)/FT_Int2))),IF(AW169="PT",IF(AU169&lt;PT_First,0,1+INT((AU169-PT_First)/PT_Int)),0)))</f>
        <v/>
      </c>
      <c r="BC169" s="11" t="str">
        <f aca="false">IF(AO169=0,"",IF(AX169="FT",IF(AU169&lt;FT_First,0,IF(AU169&lt;FT_Y5,1+INT((AU169-FT_First)/FT_Int1),FT_PreY5+FT_PerYear*INT((AU169-FT_Y5)/12)+FT_AnnivDays+INT(MOD(AU169-FT_Y5,12)/FT_Int2))),IF(AX169="PT",IF(AU169&lt;PT_First,0,1+INT((AU169-PT_First)/PT_Int)),0)))</f>
        <v/>
      </c>
      <c r="BD169" s="11" t="str">
        <f aca="false">IF(AO169=0,"",IF(AX169="FT",IF(AQ169&lt;FT_First,0,IF(AQ169&lt;FT_Y5,1+INT((AQ169-FT_First)/FT_Int1),FT_PreY5+FT_PerYear*INT((AQ169-FT_Y5)/12)+FT_AnnivDays+INT(MOD(AQ169-FT_Y5,12)/FT_Int2))),IF(AX169="PT",IF(AQ169&lt;PT_First,0,1+INT((AQ169-PT_First)/PT_Int)),0)))</f>
        <v/>
      </c>
      <c r="BE169" s="11" t="str">
        <f aca="false">IF(AO169=0,"",IF(AY169="FT",IF(AQ169&lt;FT_First,FT_First,IF(AQ169&lt;FT_Y5,MIN(FT_Y5,FT_First+FT_Int1*(INT((AQ169-FT_First)/FT_Int1)+1)),FT_Y5+12*INT((AQ169-FT_Y5)/12)+FT_Int2*(INT(MOD(AQ169-FT_Y5,12)/FT_Int2)+1))),IF(AY169="PT",IF(AQ169&lt;PT_First,PT_First,PT_First+PT_Int*(INT((AQ169-PT_First)/PT_Int)+1)),"")))</f>
        <v/>
      </c>
      <c r="BF169" s="11" t="n">
        <f aca="false">IF(AO169=0,0,IF(AND($Q169&lt;&gt;"",$Q169&lt;=AsOfDate),1,0))</f>
        <v>0</v>
      </c>
      <c r="BG169" s="11" t="str">
        <f aca="false">IF(AND(AO169=1,BF169=0,EH_Ready,N(AB169)&gt;0,N(AI169)=0),COUNT($BG$5:BG168)+1,"")</f>
        <v/>
      </c>
      <c r="BH169" s="11" t="str">
        <f aca="false">IF(AND(AO169=1,BF169=0,EH_Ready,N(AB169)&gt;0,N(AI169)&gt;0,N(AK169)&gt;0),COUNT($BH$5:BH168)+1,"")</f>
        <v/>
      </c>
      <c r="BI169" s="11" t="str">
        <f aca="false">IF(AND(AO169=1,OR(LEFT(AM169,3)="ADD",LEFT(AM169,3)="SET",LEFT(AM169,5)="CHECK",LEFT(AM169,10)="TERMINATED")),COUNT($BI$5:BI168)+1,"")</f>
        <v/>
      </c>
      <c r="BJ169" s="11" t="str">
        <f aca="false">IF(AO169=0,"",$A169&amp;" - "&amp;$B169&amp;" "&amp;$C169)</f>
        <v/>
      </c>
    </row>
    <row r="170" customFormat="false" ht="15" hidden="false" customHeight="false" outlineLevel="0" collapsed="false">
      <c r="A170" s="10"/>
      <c r="B170" s="10"/>
      <c r="C170" s="10"/>
      <c r="D170" s="10"/>
      <c r="E170" s="9"/>
      <c r="F170" s="10"/>
      <c r="G170" s="30"/>
      <c r="H170" s="9"/>
      <c r="I170" s="10"/>
      <c r="J170" s="30"/>
      <c r="K170" s="9"/>
      <c r="L170" s="10"/>
      <c r="M170" s="30"/>
      <c r="N170" s="9"/>
      <c r="O170" s="9"/>
      <c r="P170" s="30"/>
      <c r="Q170" s="9"/>
      <c r="R170" s="10"/>
      <c r="S170" s="11" t="str">
        <f aca="false">IF(AO170=0,"",IF($H170="","",$F170&amp;" -&gt; "&amp;$I170&amp;IF($I170="Part-Time"," ("&amp;N($J170)&amp;" hrs)","")&amp;" on "&amp;TEXT($H170,"dd/mm/yyyy")&amp;IF($H170&gt;AsOfDate," (FUTURE)","")&amp;IF($K170="","","; "&amp;$I170&amp;" -&gt; "&amp;$L170&amp;IF($L170="Part-Time"," ("&amp;N($M170)&amp;" hrs)","")&amp;" on "&amp;TEXT($K170,"dd/mm/yyyy")&amp;IF($K170&gt;AsOfDate," (FUTURE)",""))))</f>
        <v/>
      </c>
      <c r="T170" s="11" t="str">
        <f aca="false">IF(AO170=0,"",IF(AS170&lt;&gt;"",$L170,IF(AR170&lt;&gt;"",$I170,$F170)))</f>
        <v/>
      </c>
      <c r="U170" s="26" t="str">
        <f aca="false">IF(AO170=0,"",IF(AS170&lt;&gt;"",$M170,IF(AR170&lt;&gt;"",$J170,$G170)))</f>
        <v/>
      </c>
      <c r="V170" s="11" t="str">
        <f aca="false">IF(AO170=0,"",IF(AY170="FT","Full-Time",IF(AY170="PT","Part-Time","Not eligible")))</f>
        <v/>
      </c>
      <c r="W170" s="27" t="str">
        <f aca="false">IF(AO170=0,"",IF(AR170="",IF(AND($H170&lt;&gt;"",$H170&gt;AsOfDate),"Future change - not yet applied",""),IF(AND(AV170=AY170,OR(AS170="",AW170=AV170)),"Type changed - same accrual pathway",IF(AY170="None","STOPPED accruing from "&amp;TEXT(IF(AS170&lt;&gt;"",AS170,AR170),"dd/mm/yyyy"),IF(AV170="None","STARTED qualifying from "&amp;TEXT(IF(AS170&lt;&gt;"",AS170,AR170),"dd/mm/yyyy"),"Pathway changed "&amp;AV170&amp;" -&gt; "&amp;AW170&amp;IF(AS170&lt;&gt;""," -&gt; "&amp;AX170,"")&amp;" from "&amp;TEXT(IF(AS170&lt;&gt;"",AS170,AR170),"dd/mm/yyyy"))))))</f>
        <v/>
      </c>
      <c r="X170" s="28" t="str">
        <f aca="false">IF(AO170=0,"",IF($Q170="",AsOfDate,MIN(AsOfDate,$Q170)))</f>
        <v/>
      </c>
      <c r="Y170" s="26" t="str">
        <f aca="false">IF(AO170=0,"",MAX(0,AQ170))</f>
        <v/>
      </c>
      <c r="Z170" s="11" t="str">
        <f aca="false">IF(AO170=0,"",IF(AQ170&lt;0,"Not started",INT(AQ170/12)&amp;"y "&amp;MOD(AQ170,12)&amp;"m"))</f>
        <v/>
      </c>
      <c r="AA170" s="27" t="str">
        <f aca="false">IF(AO170=0,"",IF(BF170=1,"Terminated - balance forfeited",IF(AY170="None",IF(AB170&gt;0,"No longer accruing - "&amp;T170,"Not eligible - "&amp;T170&amp;IF(AND(IFERROR(VLOOKUP(T170,TypeTable,2,0),"None")="PT",N(U170)&lt;PT_MinHours)," (under "&amp;PT_MinHours&amp;" hrs)","")),IF(AB170&gt;0,"Yes - accruing","Not yet - qualifies "&amp;TEXT(AD170,"dd/mm/yyyy")))))</f>
        <v/>
      </c>
      <c r="AB170" s="26" t="str">
        <f aca="false">IF(AO170=0,"",AZ170+IF(AR170="",0,BB170-BA170)+IF(AS170="",0,BD170-BC170))</f>
        <v/>
      </c>
      <c r="AC170" s="26" t="str">
        <f aca="false">IF(AO170=0,"",AB170*HoursPerDay)</f>
        <v/>
      </c>
      <c r="AD170" s="28" t="str">
        <f aca="false">IF(AO170=0,"",IF(OR(BF170=1,AY170="None"),"",EDATE($E170+AP170,BE170)))</f>
        <v/>
      </c>
      <c r="AE170" s="26" t="str">
        <f aca="false">IF(AD170="","",IF(AY170="PT",1,IF(BE170&lt;FT_Y5,1,IF(MOD(BE170-FT_Y5,12)=0,FT_AnnivDays,1))))</f>
        <v/>
      </c>
      <c r="AF170" s="27" t="str">
        <f aca="false">IF(AO170=0,"",IF(NOT(EH_Ready),"Map headers",IF(IF(MatchMode="Employee ID",COUNTIFS(INDEX(EH_Data,0,EH_ColID),$A170,INDEX(EH_Data,0,EH_ColCat),BonusCat),COUNTIFS(INDEX(EH_Data,0,EH_ColFirst),$B170,INDEX(EH_Data,0,EH_ColSur),$C170,INDEX(EH_Data,0,EH_ColCat),BonusCat))&gt;0,"Yes","No")))</f>
        <v/>
      </c>
      <c r="AG170" s="26" t="str">
        <f aca="false">IF(AO170=0,"",IF(NOT(EH_Ready),"",IF(MatchMode="Employee ID",SUMIFS(INDEX(EH_Data,0,EH_ColBal),INDEX(EH_Data,0,EH_ColID),$A170,INDEX(EH_Data,0,EH_ColCat),BonusCat),SUMIFS(INDEX(EH_Data,0,EH_ColBal),INDEX(EH_Data,0,EH_ColFirst),$B170,INDEX(EH_Data,0,EH_ColSur),$C170,INDEX(EH_Data,0,EH_ColCat),BonusCat))/IF(EHUnit="Hours",HoursPerDay,1)))</f>
        <v/>
      </c>
      <c r="AH170" s="26" t="str">
        <f aca="false">IF(AO170=0,"",IF(NOT(TK_Ready),0,IF(MatchMode="Employee ID",SUMIFS(INDEX(TK_Data,0,TK_ColAmt),INDEX(TK_Data,0,TK_ColID),$A170,INDEX(TK_Data,0,TK_ColCat),BonusCat),SUMIFS(INDEX(TK_Data,0,TK_ColAmt),INDEX(TK_Data,0,TK_ColFirst),$B170,INDEX(TK_Data,0,TK_ColSur),$C170,INDEX(TK_Data,0,TK_ColCat),BonusCat))/IF(TKUnit="Hours",HoursPerDay,1)))</f>
        <v/>
      </c>
      <c r="AI170" s="26" t="str">
        <f aca="false">IF(AO170=0,"",N(AG170)+N(AH170))</f>
        <v/>
      </c>
      <c r="AJ170" s="29" t="str">
        <f aca="false">IF(AO170=0,"",IF(NOT(AND(EH_Ready,EH_ValReady)),"",IF(MatchMode="Employee ID",SUMIFS(INDEX(EH_Data,0,EH_ColVal),INDEX(EH_Data,0,EH_ColID),$A170,INDEX(EH_Data,0,EH_ColCat),BonusCat),SUMIFS(INDEX(EH_Data,0,EH_ColVal),INDEX(EH_Data,0,EH_ColFirst),$B170,INDEX(EH_Data,0,EH_ColSur),$C170,INDEX(EH_Data,0,EH_ColCat),BonusCat))))</f>
        <v/>
      </c>
      <c r="AK170" s="26" t="str">
        <f aca="false">IF(AO170=0,"",IF(OR(NOT(EH_Ready),BF170=1),"",AB170-AI170))</f>
        <v/>
      </c>
      <c r="AL170" s="26" t="str">
        <f aca="false">IF(AK170="","",AK170*HoursPerDay)</f>
        <v/>
      </c>
      <c r="AM170" s="27" t="str">
        <f aca="false">IF(AO170=0,"",IF(BF170=1,IF(N(AG170)&gt;0,"TERMINATED - forfeit "&amp;TEXT(AG170,"0.##")&amp;" days still in EH","Terminated - nothing in EH"),IF(NOT(EH_Ready),"Paste EH export and map headers on Settings",IF(AND(AB170&gt;0,AF170="No"),"SET UP in EH - add "&amp;TEXT(AB170,"0.##")&amp;" day(s) ("&amp;TEXT(AC170,"0.##")&amp;" hrs)",IF(AK170&gt;0,"ADD "&amp;TEXT(AK170,"0.##")&amp;" day(s) ("&amp;TEXT(AL170,"0.##")&amp;" hrs) in EH",IF(AK170&lt;0,"CHECK - EH shows "&amp;TEXT(-AK170,"0.##")&amp;" days more than policy",IF(AB170&gt;0,"OK - up to date",IF(AY170="None","No action - not eligible","No action - not yet qualified"))))))))</f>
        <v/>
      </c>
      <c r="AN170" s="27" t="str">
        <f aca="false">IF(AO170=0,"",TRIM(IF(AND($K170&lt;&gt;"",$H170=""),"Change 2 entered without Change 1. ","")&amp;IF(AND($K170&lt;&gt;"",$H170&lt;&gt;"",$K170&lt;=$H170),"Change 2 date not after Change 1. ","")&amp;IF(AND($N170&lt;&gt;"",$O170&lt;&gt;"",$O170&lt;$N170),"Leave To is before Leave From. ","")&amp;IF(AND($N170&lt;&gt;"",$O170=""),"Leave From entered without Leave To. ","")&amp;IF(AND(IFERROR(VLOOKUP(T170,TypeTable,2,0),"None")="PT",U170=""),"Part-time with no hours entered. ","")&amp;IF(AND($H170&lt;&gt;"",$H170&gt;AsOfDate,AD170&lt;&gt;"",$H170&lt;=AD170),"Status change lands before next accrual - review. ","")&amp;IF(AND($Q170&lt;&gt;"",$Q170&lt;$E170),"Termination before commencement. ","")))</f>
        <v/>
      </c>
      <c r="AO170" s="11" t="n">
        <f aca="false">IF(LEN($A170&amp;$B170&amp;$C170)=0,0,IF($E170="",0,1))</f>
        <v>0</v>
      </c>
      <c r="AP170" s="11" t="str">
        <f aca="false">IF(AO170=0,"",(IF(OR($N170="",$O170=""),0,MAX(0,MIN(X170,$O170)-MAX($N170,$E170)+1))+N($P170)))</f>
        <v/>
      </c>
      <c r="AQ170" s="11" t="str">
        <f aca="false">IF(AO170=0,"",IF(X170&lt;($E170+(IF(OR($N170="",$O170=""),0,MAX(0,MIN(X170,$O170)-MAX($N170,$E170)+1))+N($P170))),-1,12*(YEAR(X170)-YEAR(($E170+(IF(OR($N170="",$O170=""),0,MAX(0,MIN(X170,$O170)-MAX($N170,$E170)+1))+N($P170)))))+MONTH(X170)-MONTH(($E170+(IF(OR($N170="",$O170=""),0,MAX(0,MIN(X170,$O170)-MAX($N170,$E170)+1))+N($P170))))-IF(DAY(X170)&lt;MIN(DAY(($E170+(IF(OR($N170="",$O170=""),0,MAX(0,MIN(X170,$O170)-MAX($N170,$E170)+1))+N($P170)))),DAY(EOMONTH(X170,0))),1,0)))</f>
        <v/>
      </c>
      <c r="AR170" s="28" t="str">
        <f aca="false">IF(AO170=0,"",IF($H170="","",IF($H170&gt;X170,"",$H170)))</f>
        <v/>
      </c>
      <c r="AS170" s="28" t="str">
        <f aca="false">IF(AO170=0,"",IF(AR170="","",IF($K170="","",IF($K170&gt;X170,"",$K170))))</f>
        <v/>
      </c>
      <c r="AT170" s="11" t="str">
        <f aca="false">IF(AO170=0,"",IF(AR170="",AQ170,IF((AR170-1)&lt;($E170+(IF(OR($N170="",$O170=""),0,MAX(0,MIN((AR170-1),$O170)-MAX($N170,$E170)+1))+N($P170))),-1,12*(YEAR((AR170-1))-YEAR(($E170+(IF(OR($N170="",$O170=""),0,MAX(0,MIN((AR170-1),$O170)-MAX($N170,$E170)+1))+N($P170)))))+MONTH((AR170-1))-MONTH(($E170+(IF(OR($N170="",$O170=""),0,MAX(0,MIN((AR170-1),$O170)-MAX($N170,$E170)+1))+N($P170))))-IF(DAY((AR170-1))&lt;MIN(DAY(($E170+(IF(OR($N170="",$O170=""),0,MAX(0,MIN((AR170-1),$O170)-MAX($N170,$E170)+1))+N($P170)))),DAY(EOMONTH((AR170-1),0))),1,0))))</f>
        <v/>
      </c>
      <c r="AU170" s="11" t="str">
        <f aca="false">IF(AO170=0,"",IF(AS170="",AQ170,IF((AS170-1)&lt;($E170+(IF(OR($N170="",$O170=""),0,MAX(0,MIN((AS170-1),$O170)-MAX($N170,$E170)+1))+N($P170))),-1,12*(YEAR((AS170-1))-YEAR(($E170+(IF(OR($N170="",$O170=""),0,MAX(0,MIN((AS170-1),$O170)-MAX($N170,$E170)+1))+N($P170)))))+MONTH((AS170-1))-MONTH(($E170+(IF(OR($N170="",$O170=""),0,MAX(0,MIN((AS170-1),$O170)-MAX($N170,$E170)+1))+N($P170))))-IF(DAY((AS170-1))&lt;MIN(DAY(($E170+(IF(OR($N170="",$O170=""),0,MAX(0,MIN((AS170-1),$O170)-MAX($N170,$E170)+1))+N($P170)))),DAY(EOMONTH((AS170-1),0))),1,0))))</f>
        <v/>
      </c>
      <c r="AV170" s="11" t="str">
        <f aca="false">IF(AO170=0,"",IF($F170="","None",IF(IFERROR(VLOOKUP($F170,TypeTable,2,0),"None")="PT",IF(N($G170)&gt;=PT_MinHours,"PT","None"),IFERROR(VLOOKUP($F170,TypeTable,2,0),"None"))))</f>
        <v/>
      </c>
      <c r="AW170" s="11" t="str">
        <f aca="false">IF(AO170=0,"",IF($I170="","None",IF(IFERROR(VLOOKUP($I170,TypeTable,2,0),"None")="PT",IF(N($J170)&gt;=PT_MinHours,"PT","None"),IFERROR(VLOOKUP($I170,TypeTable,2,0),"None"))))</f>
        <v/>
      </c>
      <c r="AX170" s="11" t="str">
        <f aca="false">IF(AO170=0,"",IF($L170="","None",IF(IFERROR(VLOOKUP($L170,TypeTable,2,0),"None")="PT",IF(N($M170)&gt;=PT_MinHours,"PT","None"),IFERROR(VLOOKUP($L170,TypeTable,2,0),"None"))))</f>
        <v/>
      </c>
      <c r="AY170" s="11" t="str">
        <f aca="false">IF(AO170=0,"",IF(AS170&lt;&gt;"",AX170,IF(AR170&lt;&gt;"",AW170,AV170)))</f>
        <v/>
      </c>
      <c r="AZ170" s="11" t="str">
        <f aca="false">IF(AO170=0,"",IF(AV170="FT",IF(AT170&lt;FT_First,0,IF(AT170&lt;FT_Y5,1+INT((AT170-FT_First)/FT_Int1),FT_PreY5+FT_PerYear*INT((AT170-FT_Y5)/12)+FT_AnnivDays+INT(MOD(AT170-FT_Y5,12)/FT_Int2))),IF(AV170="PT",IF(AT170&lt;PT_First,0,1+INT((AT170-PT_First)/PT_Int)),0)))</f>
        <v/>
      </c>
      <c r="BA170" s="11" t="str">
        <f aca="false">IF(AO170=0,"",IF(AW170="FT",IF(AT170&lt;FT_First,0,IF(AT170&lt;FT_Y5,1+INT((AT170-FT_First)/FT_Int1),FT_PreY5+FT_PerYear*INT((AT170-FT_Y5)/12)+FT_AnnivDays+INT(MOD(AT170-FT_Y5,12)/FT_Int2))),IF(AW170="PT",IF(AT170&lt;PT_First,0,1+INT((AT170-PT_First)/PT_Int)),0)))</f>
        <v/>
      </c>
      <c r="BB170" s="11" t="str">
        <f aca="false">IF(AO170=0,"",IF(AW170="FT",IF(AU170&lt;FT_First,0,IF(AU170&lt;FT_Y5,1+INT((AU170-FT_First)/FT_Int1),FT_PreY5+FT_PerYear*INT((AU170-FT_Y5)/12)+FT_AnnivDays+INT(MOD(AU170-FT_Y5,12)/FT_Int2))),IF(AW170="PT",IF(AU170&lt;PT_First,0,1+INT((AU170-PT_First)/PT_Int)),0)))</f>
        <v/>
      </c>
      <c r="BC170" s="11" t="str">
        <f aca="false">IF(AO170=0,"",IF(AX170="FT",IF(AU170&lt;FT_First,0,IF(AU170&lt;FT_Y5,1+INT((AU170-FT_First)/FT_Int1),FT_PreY5+FT_PerYear*INT((AU170-FT_Y5)/12)+FT_AnnivDays+INT(MOD(AU170-FT_Y5,12)/FT_Int2))),IF(AX170="PT",IF(AU170&lt;PT_First,0,1+INT((AU170-PT_First)/PT_Int)),0)))</f>
        <v/>
      </c>
      <c r="BD170" s="11" t="str">
        <f aca="false">IF(AO170=0,"",IF(AX170="FT",IF(AQ170&lt;FT_First,0,IF(AQ170&lt;FT_Y5,1+INT((AQ170-FT_First)/FT_Int1),FT_PreY5+FT_PerYear*INT((AQ170-FT_Y5)/12)+FT_AnnivDays+INT(MOD(AQ170-FT_Y5,12)/FT_Int2))),IF(AX170="PT",IF(AQ170&lt;PT_First,0,1+INT((AQ170-PT_First)/PT_Int)),0)))</f>
        <v/>
      </c>
      <c r="BE170" s="11" t="str">
        <f aca="false">IF(AO170=0,"",IF(AY170="FT",IF(AQ170&lt;FT_First,FT_First,IF(AQ170&lt;FT_Y5,MIN(FT_Y5,FT_First+FT_Int1*(INT((AQ170-FT_First)/FT_Int1)+1)),FT_Y5+12*INT((AQ170-FT_Y5)/12)+FT_Int2*(INT(MOD(AQ170-FT_Y5,12)/FT_Int2)+1))),IF(AY170="PT",IF(AQ170&lt;PT_First,PT_First,PT_First+PT_Int*(INT((AQ170-PT_First)/PT_Int)+1)),"")))</f>
        <v/>
      </c>
      <c r="BF170" s="11" t="n">
        <f aca="false">IF(AO170=0,0,IF(AND($Q170&lt;&gt;"",$Q170&lt;=AsOfDate),1,0))</f>
        <v>0</v>
      </c>
      <c r="BG170" s="11" t="str">
        <f aca="false">IF(AND(AO170=1,BF170=0,EH_Ready,N(AB170)&gt;0,N(AI170)=0),COUNT($BG$5:BG169)+1,"")</f>
        <v/>
      </c>
      <c r="BH170" s="11" t="str">
        <f aca="false">IF(AND(AO170=1,BF170=0,EH_Ready,N(AB170)&gt;0,N(AI170)&gt;0,N(AK170)&gt;0),COUNT($BH$5:BH169)+1,"")</f>
        <v/>
      </c>
      <c r="BI170" s="11" t="str">
        <f aca="false">IF(AND(AO170=1,OR(LEFT(AM170,3)="ADD",LEFT(AM170,3)="SET",LEFT(AM170,5)="CHECK",LEFT(AM170,10)="TERMINATED")),COUNT($BI$5:BI169)+1,"")</f>
        <v/>
      </c>
      <c r="BJ170" s="11" t="str">
        <f aca="false">IF(AO170=0,"",$A170&amp;" - "&amp;$B170&amp;" "&amp;$C170)</f>
        <v/>
      </c>
    </row>
    <row r="171" customFormat="false" ht="15" hidden="false" customHeight="false" outlineLevel="0" collapsed="false">
      <c r="A171" s="10"/>
      <c r="B171" s="10"/>
      <c r="C171" s="10"/>
      <c r="D171" s="10"/>
      <c r="E171" s="9"/>
      <c r="F171" s="10"/>
      <c r="G171" s="30"/>
      <c r="H171" s="9"/>
      <c r="I171" s="10"/>
      <c r="J171" s="30"/>
      <c r="K171" s="9"/>
      <c r="L171" s="10"/>
      <c r="M171" s="30"/>
      <c r="N171" s="9"/>
      <c r="O171" s="9"/>
      <c r="P171" s="30"/>
      <c r="Q171" s="9"/>
      <c r="R171" s="10"/>
      <c r="S171" s="11" t="str">
        <f aca="false">IF(AO171=0,"",IF($H171="","",$F171&amp;" -&gt; "&amp;$I171&amp;IF($I171="Part-Time"," ("&amp;N($J171)&amp;" hrs)","")&amp;" on "&amp;TEXT($H171,"dd/mm/yyyy")&amp;IF($H171&gt;AsOfDate," (FUTURE)","")&amp;IF($K171="","","; "&amp;$I171&amp;" -&gt; "&amp;$L171&amp;IF($L171="Part-Time"," ("&amp;N($M171)&amp;" hrs)","")&amp;" on "&amp;TEXT($K171,"dd/mm/yyyy")&amp;IF($K171&gt;AsOfDate," (FUTURE)",""))))</f>
        <v/>
      </c>
      <c r="T171" s="11" t="str">
        <f aca="false">IF(AO171=0,"",IF(AS171&lt;&gt;"",$L171,IF(AR171&lt;&gt;"",$I171,$F171)))</f>
        <v/>
      </c>
      <c r="U171" s="26" t="str">
        <f aca="false">IF(AO171=0,"",IF(AS171&lt;&gt;"",$M171,IF(AR171&lt;&gt;"",$J171,$G171)))</f>
        <v/>
      </c>
      <c r="V171" s="11" t="str">
        <f aca="false">IF(AO171=0,"",IF(AY171="FT","Full-Time",IF(AY171="PT","Part-Time","Not eligible")))</f>
        <v/>
      </c>
      <c r="W171" s="27" t="str">
        <f aca="false">IF(AO171=0,"",IF(AR171="",IF(AND($H171&lt;&gt;"",$H171&gt;AsOfDate),"Future change - not yet applied",""),IF(AND(AV171=AY171,OR(AS171="",AW171=AV171)),"Type changed - same accrual pathway",IF(AY171="None","STOPPED accruing from "&amp;TEXT(IF(AS171&lt;&gt;"",AS171,AR171),"dd/mm/yyyy"),IF(AV171="None","STARTED qualifying from "&amp;TEXT(IF(AS171&lt;&gt;"",AS171,AR171),"dd/mm/yyyy"),"Pathway changed "&amp;AV171&amp;" -&gt; "&amp;AW171&amp;IF(AS171&lt;&gt;""," -&gt; "&amp;AX171,"")&amp;" from "&amp;TEXT(IF(AS171&lt;&gt;"",AS171,AR171),"dd/mm/yyyy"))))))</f>
        <v/>
      </c>
      <c r="X171" s="28" t="str">
        <f aca="false">IF(AO171=0,"",IF($Q171="",AsOfDate,MIN(AsOfDate,$Q171)))</f>
        <v/>
      </c>
      <c r="Y171" s="26" t="str">
        <f aca="false">IF(AO171=0,"",MAX(0,AQ171))</f>
        <v/>
      </c>
      <c r="Z171" s="11" t="str">
        <f aca="false">IF(AO171=0,"",IF(AQ171&lt;0,"Not started",INT(AQ171/12)&amp;"y "&amp;MOD(AQ171,12)&amp;"m"))</f>
        <v/>
      </c>
      <c r="AA171" s="27" t="str">
        <f aca="false">IF(AO171=0,"",IF(BF171=1,"Terminated - balance forfeited",IF(AY171="None",IF(AB171&gt;0,"No longer accruing - "&amp;T171,"Not eligible - "&amp;T171&amp;IF(AND(IFERROR(VLOOKUP(T171,TypeTable,2,0),"None")="PT",N(U171)&lt;PT_MinHours)," (under "&amp;PT_MinHours&amp;" hrs)","")),IF(AB171&gt;0,"Yes - accruing","Not yet - qualifies "&amp;TEXT(AD171,"dd/mm/yyyy")))))</f>
        <v/>
      </c>
      <c r="AB171" s="26" t="str">
        <f aca="false">IF(AO171=0,"",AZ171+IF(AR171="",0,BB171-BA171)+IF(AS171="",0,BD171-BC171))</f>
        <v/>
      </c>
      <c r="AC171" s="26" t="str">
        <f aca="false">IF(AO171=0,"",AB171*HoursPerDay)</f>
        <v/>
      </c>
      <c r="AD171" s="28" t="str">
        <f aca="false">IF(AO171=0,"",IF(OR(BF171=1,AY171="None"),"",EDATE($E171+AP171,BE171)))</f>
        <v/>
      </c>
      <c r="AE171" s="26" t="str">
        <f aca="false">IF(AD171="","",IF(AY171="PT",1,IF(BE171&lt;FT_Y5,1,IF(MOD(BE171-FT_Y5,12)=0,FT_AnnivDays,1))))</f>
        <v/>
      </c>
      <c r="AF171" s="27" t="str">
        <f aca="false">IF(AO171=0,"",IF(NOT(EH_Ready),"Map headers",IF(IF(MatchMode="Employee ID",COUNTIFS(INDEX(EH_Data,0,EH_ColID),$A171,INDEX(EH_Data,0,EH_ColCat),BonusCat),COUNTIFS(INDEX(EH_Data,0,EH_ColFirst),$B171,INDEX(EH_Data,0,EH_ColSur),$C171,INDEX(EH_Data,0,EH_ColCat),BonusCat))&gt;0,"Yes","No")))</f>
        <v/>
      </c>
      <c r="AG171" s="26" t="str">
        <f aca="false">IF(AO171=0,"",IF(NOT(EH_Ready),"",IF(MatchMode="Employee ID",SUMIFS(INDEX(EH_Data,0,EH_ColBal),INDEX(EH_Data,0,EH_ColID),$A171,INDEX(EH_Data,0,EH_ColCat),BonusCat),SUMIFS(INDEX(EH_Data,0,EH_ColBal),INDEX(EH_Data,0,EH_ColFirst),$B171,INDEX(EH_Data,0,EH_ColSur),$C171,INDEX(EH_Data,0,EH_ColCat),BonusCat))/IF(EHUnit="Hours",HoursPerDay,1)))</f>
        <v/>
      </c>
      <c r="AH171" s="26" t="str">
        <f aca="false">IF(AO171=0,"",IF(NOT(TK_Ready),0,IF(MatchMode="Employee ID",SUMIFS(INDEX(TK_Data,0,TK_ColAmt),INDEX(TK_Data,0,TK_ColID),$A171,INDEX(TK_Data,0,TK_ColCat),BonusCat),SUMIFS(INDEX(TK_Data,0,TK_ColAmt),INDEX(TK_Data,0,TK_ColFirst),$B171,INDEX(TK_Data,0,TK_ColSur),$C171,INDEX(TK_Data,0,TK_ColCat),BonusCat))/IF(TKUnit="Hours",HoursPerDay,1)))</f>
        <v/>
      </c>
      <c r="AI171" s="26" t="str">
        <f aca="false">IF(AO171=0,"",N(AG171)+N(AH171))</f>
        <v/>
      </c>
      <c r="AJ171" s="29" t="str">
        <f aca="false">IF(AO171=0,"",IF(NOT(AND(EH_Ready,EH_ValReady)),"",IF(MatchMode="Employee ID",SUMIFS(INDEX(EH_Data,0,EH_ColVal),INDEX(EH_Data,0,EH_ColID),$A171,INDEX(EH_Data,0,EH_ColCat),BonusCat),SUMIFS(INDEX(EH_Data,0,EH_ColVal),INDEX(EH_Data,0,EH_ColFirst),$B171,INDEX(EH_Data,0,EH_ColSur),$C171,INDEX(EH_Data,0,EH_ColCat),BonusCat))))</f>
        <v/>
      </c>
      <c r="AK171" s="26" t="str">
        <f aca="false">IF(AO171=0,"",IF(OR(NOT(EH_Ready),BF171=1),"",AB171-AI171))</f>
        <v/>
      </c>
      <c r="AL171" s="26" t="str">
        <f aca="false">IF(AK171="","",AK171*HoursPerDay)</f>
        <v/>
      </c>
      <c r="AM171" s="27" t="str">
        <f aca="false">IF(AO171=0,"",IF(BF171=1,IF(N(AG171)&gt;0,"TERMINATED - forfeit "&amp;TEXT(AG171,"0.##")&amp;" days still in EH","Terminated - nothing in EH"),IF(NOT(EH_Ready),"Paste EH export and map headers on Settings",IF(AND(AB171&gt;0,AF171="No"),"SET UP in EH - add "&amp;TEXT(AB171,"0.##")&amp;" day(s) ("&amp;TEXT(AC171,"0.##")&amp;" hrs)",IF(AK171&gt;0,"ADD "&amp;TEXT(AK171,"0.##")&amp;" day(s) ("&amp;TEXT(AL171,"0.##")&amp;" hrs) in EH",IF(AK171&lt;0,"CHECK - EH shows "&amp;TEXT(-AK171,"0.##")&amp;" days more than policy",IF(AB171&gt;0,"OK - up to date",IF(AY171="None","No action - not eligible","No action - not yet qualified"))))))))</f>
        <v/>
      </c>
      <c r="AN171" s="27" t="str">
        <f aca="false">IF(AO171=0,"",TRIM(IF(AND($K171&lt;&gt;"",$H171=""),"Change 2 entered without Change 1. ","")&amp;IF(AND($K171&lt;&gt;"",$H171&lt;&gt;"",$K171&lt;=$H171),"Change 2 date not after Change 1. ","")&amp;IF(AND($N171&lt;&gt;"",$O171&lt;&gt;"",$O171&lt;$N171),"Leave To is before Leave From. ","")&amp;IF(AND($N171&lt;&gt;"",$O171=""),"Leave From entered without Leave To. ","")&amp;IF(AND(IFERROR(VLOOKUP(T171,TypeTable,2,0),"None")="PT",U171=""),"Part-time with no hours entered. ","")&amp;IF(AND($H171&lt;&gt;"",$H171&gt;AsOfDate,AD171&lt;&gt;"",$H171&lt;=AD171),"Status change lands before next accrual - review. ","")&amp;IF(AND($Q171&lt;&gt;"",$Q171&lt;$E171),"Termination before commencement. ","")))</f>
        <v/>
      </c>
      <c r="AO171" s="11" t="n">
        <f aca="false">IF(LEN($A171&amp;$B171&amp;$C171)=0,0,IF($E171="",0,1))</f>
        <v>0</v>
      </c>
      <c r="AP171" s="11" t="str">
        <f aca="false">IF(AO171=0,"",(IF(OR($N171="",$O171=""),0,MAX(0,MIN(X171,$O171)-MAX($N171,$E171)+1))+N($P171)))</f>
        <v/>
      </c>
      <c r="AQ171" s="11" t="str">
        <f aca="false">IF(AO171=0,"",IF(X171&lt;($E171+(IF(OR($N171="",$O171=""),0,MAX(0,MIN(X171,$O171)-MAX($N171,$E171)+1))+N($P171))),-1,12*(YEAR(X171)-YEAR(($E171+(IF(OR($N171="",$O171=""),0,MAX(0,MIN(X171,$O171)-MAX($N171,$E171)+1))+N($P171)))))+MONTH(X171)-MONTH(($E171+(IF(OR($N171="",$O171=""),0,MAX(0,MIN(X171,$O171)-MAX($N171,$E171)+1))+N($P171))))-IF(DAY(X171)&lt;MIN(DAY(($E171+(IF(OR($N171="",$O171=""),0,MAX(0,MIN(X171,$O171)-MAX($N171,$E171)+1))+N($P171)))),DAY(EOMONTH(X171,0))),1,0)))</f>
        <v/>
      </c>
      <c r="AR171" s="28" t="str">
        <f aca="false">IF(AO171=0,"",IF($H171="","",IF($H171&gt;X171,"",$H171)))</f>
        <v/>
      </c>
      <c r="AS171" s="28" t="str">
        <f aca="false">IF(AO171=0,"",IF(AR171="","",IF($K171="","",IF($K171&gt;X171,"",$K171))))</f>
        <v/>
      </c>
      <c r="AT171" s="11" t="str">
        <f aca="false">IF(AO171=0,"",IF(AR171="",AQ171,IF((AR171-1)&lt;($E171+(IF(OR($N171="",$O171=""),0,MAX(0,MIN((AR171-1),$O171)-MAX($N171,$E171)+1))+N($P171))),-1,12*(YEAR((AR171-1))-YEAR(($E171+(IF(OR($N171="",$O171=""),0,MAX(0,MIN((AR171-1),$O171)-MAX($N171,$E171)+1))+N($P171)))))+MONTH((AR171-1))-MONTH(($E171+(IF(OR($N171="",$O171=""),0,MAX(0,MIN((AR171-1),$O171)-MAX($N171,$E171)+1))+N($P171))))-IF(DAY((AR171-1))&lt;MIN(DAY(($E171+(IF(OR($N171="",$O171=""),0,MAX(0,MIN((AR171-1),$O171)-MAX($N171,$E171)+1))+N($P171)))),DAY(EOMONTH((AR171-1),0))),1,0))))</f>
        <v/>
      </c>
      <c r="AU171" s="11" t="str">
        <f aca="false">IF(AO171=0,"",IF(AS171="",AQ171,IF((AS171-1)&lt;($E171+(IF(OR($N171="",$O171=""),0,MAX(0,MIN((AS171-1),$O171)-MAX($N171,$E171)+1))+N($P171))),-1,12*(YEAR((AS171-1))-YEAR(($E171+(IF(OR($N171="",$O171=""),0,MAX(0,MIN((AS171-1),$O171)-MAX($N171,$E171)+1))+N($P171)))))+MONTH((AS171-1))-MONTH(($E171+(IF(OR($N171="",$O171=""),0,MAX(0,MIN((AS171-1),$O171)-MAX($N171,$E171)+1))+N($P171))))-IF(DAY((AS171-1))&lt;MIN(DAY(($E171+(IF(OR($N171="",$O171=""),0,MAX(0,MIN((AS171-1),$O171)-MAX($N171,$E171)+1))+N($P171)))),DAY(EOMONTH((AS171-1),0))),1,0))))</f>
        <v/>
      </c>
      <c r="AV171" s="11" t="str">
        <f aca="false">IF(AO171=0,"",IF($F171="","None",IF(IFERROR(VLOOKUP($F171,TypeTable,2,0),"None")="PT",IF(N($G171)&gt;=PT_MinHours,"PT","None"),IFERROR(VLOOKUP($F171,TypeTable,2,0),"None"))))</f>
        <v/>
      </c>
      <c r="AW171" s="11" t="str">
        <f aca="false">IF(AO171=0,"",IF($I171="","None",IF(IFERROR(VLOOKUP($I171,TypeTable,2,0),"None")="PT",IF(N($J171)&gt;=PT_MinHours,"PT","None"),IFERROR(VLOOKUP($I171,TypeTable,2,0),"None"))))</f>
        <v/>
      </c>
      <c r="AX171" s="11" t="str">
        <f aca="false">IF(AO171=0,"",IF($L171="","None",IF(IFERROR(VLOOKUP($L171,TypeTable,2,0),"None")="PT",IF(N($M171)&gt;=PT_MinHours,"PT","None"),IFERROR(VLOOKUP($L171,TypeTable,2,0),"None"))))</f>
        <v/>
      </c>
      <c r="AY171" s="11" t="str">
        <f aca="false">IF(AO171=0,"",IF(AS171&lt;&gt;"",AX171,IF(AR171&lt;&gt;"",AW171,AV171)))</f>
        <v/>
      </c>
      <c r="AZ171" s="11" t="str">
        <f aca="false">IF(AO171=0,"",IF(AV171="FT",IF(AT171&lt;FT_First,0,IF(AT171&lt;FT_Y5,1+INT((AT171-FT_First)/FT_Int1),FT_PreY5+FT_PerYear*INT((AT171-FT_Y5)/12)+FT_AnnivDays+INT(MOD(AT171-FT_Y5,12)/FT_Int2))),IF(AV171="PT",IF(AT171&lt;PT_First,0,1+INT((AT171-PT_First)/PT_Int)),0)))</f>
        <v/>
      </c>
      <c r="BA171" s="11" t="str">
        <f aca="false">IF(AO171=0,"",IF(AW171="FT",IF(AT171&lt;FT_First,0,IF(AT171&lt;FT_Y5,1+INT((AT171-FT_First)/FT_Int1),FT_PreY5+FT_PerYear*INT((AT171-FT_Y5)/12)+FT_AnnivDays+INT(MOD(AT171-FT_Y5,12)/FT_Int2))),IF(AW171="PT",IF(AT171&lt;PT_First,0,1+INT((AT171-PT_First)/PT_Int)),0)))</f>
        <v/>
      </c>
      <c r="BB171" s="11" t="str">
        <f aca="false">IF(AO171=0,"",IF(AW171="FT",IF(AU171&lt;FT_First,0,IF(AU171&lt;FT_Y5,1+INT((AU171-FT_First)/FT_Int1),FT_PreY5+FT_PerYear*INT((AU171-FT_Y5)/12)+FT_AnnivDays+INT(MOD(AU171-FT_Y5,12)/FT_Int2))),IF(AW171="PT",IF(AU171&lt;PT_First,0,1+INT((AU171-PT_First)/PT_Int)),0)))</f>
        <v/>
      </c>
      <c r="BC171" s="11" t="str">
        <f aca="false">IF(AO171=0,"",IF(AX171="FT",IF(AU171&lt;FT_First,0,IF(AU171&lt;FT_Y5,1+INT((AU171-FT_First)/FT_Int1),FT_PreY5+FT_PerYear*INT((AU171-FT_Y5)/12)+FT_AnnivDays+INT(MOD(AU171-FT_Y5,12)/FT_Int2))),IF(AX171="PT",IF(AU171&lt;PT_First,0,1+INT((AU171-PT_First)/PT_Int)),0)))</f>
        <v/>
      </c>
      <c r="BD171" s="11" t="str">
        <f aca="false">IF(AO171=0,"",IF(AX171="FT",IF(AQ171&lt;FT_First,0,IF(AQ171&lt;FT_Y5,1+INT((AQ171-FT_First)/FT_Int1),FT_PreY5+FT_PerYear*INT((AQ171-FT_Y5)/12)+FT_AnnivDays+INT(MOD(AQ171-FT_Y5,12)/FT_Int2))),IF(AX171="PT",IF(AQ171&lt;PT_First,0,1+INT((AQ171-PT_First)/PT_Int)),0)))</f>
        <v/>
      </c>
      <c r="BE171" s="11" t="str">
        <f aca="false">IF(AO171=0,"",IF(AY171="FT",IF(AQ171&lt;FT_First,FT_First,IF(AQ171&lt;FT_Y5,MIN(FT_Y5,FT_First+FT_Int1*(INT((AQ171-FT_First)/FT_Int1)+1)),FT_Y5+12*INT((AQ171-FT_Y5)/12)+FT_Int2*(INT(MOD(AQ171-FT_Y5,12)/FT_Int2)+1))),IF(AY171="PT",IF(AQ171&lt;PT_First,PT_First,PT_First+PT_Int*(INT((AQ171-PT_First)/PT_Int)+1)),"")))</f>
        <v/>
      </c>
      <c r="BF171" s="11" t="n">
        <f aca="false">IF(AO171=0,0,IF(AND($Q171&lt;&gt;"",$Q171&lt;=AsOfDate),1,0))</f>
        <v>0</v>
      </c>
      <c r="BG171" s="11" t="str">
        <f aca="false">IF(AND(AO171=1,BF171=0,EH_Ready,N(AB171)&gt;0,N(AI171)=0),COUNT($BG$5:BG170)+1,"")</f>
        <v/>
      </c>
      <c r="BH171" s="11" t="str">
        <f aca="false">IF(AND(AO171=1,BF171=0,EH_Ready,N(AB171)&gt;0,N(AI171)&gt;0,N(AK171)&gt;0),COUNT($BH$5:BH170)+1,"")</f>
        <v/>
      </c>
      <c r="BI171" s="11" t="str">
        <f aca="false">IF(AND(AO171=1,OR(LEFT(AM171,3)="ADD",LEFT(AM171,3)="SET",LEFT(AM171,5)="CHECK",LEFT(AM171,10)="TERMINATED")),COUNT($BI$5:BI170)+1,"")</f>
        <v/>
      </c>
      <c r="BJ171" s="11" t="str">
        <f aca="false">IF(AO171=0,"",$A171&amp;" - "&amp;$B171&amp;" "&amp;$C171)</f>
        <v/>
      </c>
    </row>
    <row r="172" customFormat="false" ht="15" hidden="false" customHeight="false" outlineLevel="0" collapsed="false">
      <c r="A172" s="10"/>
      <c r="B172" s="10"/>
      <c r="C172" s="10"/>
      <c r="D172" s="10"/>
      <c r="E172" s="9"/>
      <c r="F172" s="10"/>
      <c r="G172" s="30"/>
      <c r="H172" s="9"/>
      <c r="I172" s="10"/>
      <c r="J172" s="30"/>
      <c r="K172" s="9"/>
      <c r="L172" s="10"/>
      <c r="M172" s="30"/>
      <c r="N172" s="9"/>
      <c r="O172" s="9"/>
      <c r="P172" s="30"/>
      <c r="Q172" s="9"/>
      <c r="R172" s="10"/>
      <c r="S172" s="11" t="str">
        <f aca="false">IF(AO172=0,"",IF($H172="","",$F172&amp;" -&gt; "&amp;$I172&amp;IF($I172="Part-Time"," ("&amp;N($J172)&amp;" hrs)","")&amp;" on "&amp;TEXT($H172,"dd/mm/yyyy")&amp;IF($H172&gt;AsOfDate," (FUTURE)","")&amp;IF($K172="","","; "&amp;$I172&amp;" -&gt; "&amp;$L172&amp;IF($L172="Part-Time"," ("&amp;N($M172)&amp;" hrs)","")&amp;" on "&amp;TEXT($K172,"dd/mm/yyyy")&amp;IF($K172&gt;AsOfDate," (FUTURE)",""))))</f>
        <v/>
      </c>
      <c r="T172" s="11" t="str">
        <f aca="false">IF(AO172=0,"",IF(AS172&lt;&gt;"",$L172,IF(AR172&lt;&gt;"",$I172,$F172)))</f>
        <v/>
      </c>
      <c r="U172" s="26" t="str">
        <f aca="false">IF(AO172=0,"",IF(AS172&lt;&gt;"",$M172,IF(AR172&lt;&gt;"",$J172,$G172)))</f>
        <v/>
      </c>
      <c r="V172" s="11" t="str">
        <f aca="false">IF(AO172=0,"",IF(AY172="FT","Full-Time",IF(AY172="PT","Part-Time","Not eligible")))</f>
        <v/>
      </c>
      <c r="W172" s="27" t="str">
        <f aca="false">IF(AO172=0,"",IF(AR172="",IF(AND($H172&lt;&gt;"",$H172&gt;AsOfDate),"Future change - not yet applied",""),IF(AND(AV172=AY172,OR(AS172="",AW172=AV172)),"Type changed - same accrual pathway",IF(AY172="None","STOPPED accruing from "&amp;TEXT(IF(AS172&lt;&gt;"",AS172,AR172),"dd/mm/yyyy"),IF(AV172="None","STARTED qualifying from "&amp;TEXT(IF(AS172&lt;&gt;"",AS172,AR172),"dd/mm/yyyy"),"Pathway changed "&amp;AV172&amp;" -&gt; "&amp;AW172&amp;IF(AS172&lt;&gt;""," -&gt; "&amp;AX172,"")&amp;" from "&amp;TEXT(IF(AS172&lt;&gt;"",AS172,AR172),"dd/mm/yyyy"))))))</f>
        <v/>
      </c>
      <c r="X172" s="28" t="str">
        <f aca="false">IF(AO172=0,"",IF($Q172="",AsOfDate,MIN(AsOfDate,$Q172)))</f>
        <v/>
      </c>
      <c r="Y172" s="26" t="str">
        <f aca="false">IF(AO172=0,"",MAX(0,AQ172))</f>
        <v/>
      </c>
      <c r="Z172" s="11" t="str">
        <f aca="false">IF(AO172=0,"",IF(AQ172&lt;0,"Not started",INT(AQ172/12)&amp;"y "&amp;MOD(AQ172,12)&amp;"m"))</f>
        <v/>
      </c>
      <c r="AA172" s="27" t="str">
        <f aca="false">IF(AO172=0,"",IF(BF172=1,"Terminated - balance forfeited",IF(AY172="None",IF(AB172&gt;0,"No longer accruing - "&amp;T172,"Not eligible - "&amp;T172&amp;IF(AND(IFERROR(VLOOKUP(T172,TypeTable,2,0),"None")="PT",N(U172)&lt;PT_MinHours)," (under "&amp;PT_MinHours&amp;" hrs)","")),IF(AB172&gt;0,"Yes - accruing","Not yet - qualifies "&amp;TEXT(AD172,"dd/mm/yyyy")))))</f>
        <v/>
      </c>
      <c r="AB172" s="26" t="str">
        <f aca="false">IF(AO172=0,"",AZ172+IF(AR172="",0,BB172-BA172)+IF(AS172="",0,BD172-BC172))</f>
        <v/>
      </c>
      <c r="AC172" s="26" t="str">
        <f aca="false">IF(AO172=0,"",AB172*HoursPerDay)</f>
        <v/>
      </c>
      <c r="AD172" s="28" t="str">
        <f aca="false">IF(AO172=0,"",IF(OR(BF172=1,AY172="None"),"",EDATE($E172+AP172,BE172)))</f>
        <v/>
      </c>
      <c r="AE172" s="26" t="str">
        <f aca="false">IF(AD172="","",IF(AY172="PT",1,IF(BE172&lt;FT_Y5,1,IF(MOD(BE172-FT_Y5,12)=0,FT_AnnivDays,1))))</f>
        <v/>
      </c>
      <c r="AF172" s="27" t="str">
        <f aca="false">IF(AO172=0,"",IF(NOT(EH_Ready),"Map headers",IF(IF(MatchMode="Employee ID",COUNTIFS(INDEX(EH_Data,0,EH_ColID),$A172,INDEX(EH_Data,0,EH_ColCat),BonusCat),COUNTIFS(INDEX(EH_Data,0,EH_ColFirst),$B172,INDEX(EH_Data,0,EH_ColSur),$C172,INDEX(EH_Data,0,EH_ColCat),BonusCat))&gt;0,"Yes","No")))</f>
        <v/>
      </c>
      <c r="AG172" s="26" t="str">
        <f aca="false">IF(AO172=0,"",IF(NOT(EH_Ready),"",IF(MatchMode="Employee ID",SUMIFS(INDEX(EH_Data,0,EH_ColBal),INDEX(EH_Data,0,EH_ColID),$A172,INDEX(EH_Data,0,EH_ColCat),BonusCat),SUMIFS(INDEX(EH_Data,0,EH_ColBal),INDEX(EH_Data,0,EH_ColFirst),$B172,INDEX(EH_Data,0,EH_ColSur),$C172,INDEX(EH_Data,0,EH_ColCat),BonusCat))/IF(EHUnit="Hours",HoursPerDay,1)))</f>
        <v/>
      </c>
      <c r="AH172" s="26" t="str">
        <f aca="false">IF(AO172=0,"",IF(NOT(TK_Ready),0,IF(MatchMode="Employee ID",SUMIFS(INDEX(TK_Data,0,TK_ColAmt),INDEX(TK_Data,0,TK_ColID),$A172,INDEX(TK_Data,0,TK_ColCat),BonusCat),SUMIFS(INDEX(TK_Data,0,TK_ColAmt),INDEX(TK_Data,0,TK_ColFirst),$B172,INDEX(TK_Data,0,TK_ColSur),$C172,INDEX(TK_Data,0,TK_ColCat),BonusCat))/IF(TKUnit="Hours",HoursPerDay,1)))</f>
        <v/>
      </c>
      <c r="AI172" s="26" t="str">
        <f aca="false">IF(AO172=0,"",N(AG172)+N(AH172))</f>
        <v/>
      </c>
      <c r="AJ172" s="29" t="str">
        <f aca="false">IF(AO172=0,"",IF(NOT(AND(EH_Ready,EH_ValReady)),"",IF(MatchMode="Employee ID",SUMIFS(INDEX(EH_Data,0,EH_ColVal),INDEX(EH_Data,0,EH_ColID),$A172,INDEX(EH_Data,0,EH_ColCat),BonusCat),SUMIFS(INDEX(EH_Data,0,EH_ColVal),INDEX(EH_Data,0,EH_ColFirst),$B172,INDEX(EH_Data,0,EH_ColSur),$C172,INDEX(EH_Data,0,EH_ColCat),BonusCat))))</f>
        <v/>
      </c>
      <c r="AK172" s="26" t="str">
        <f aca="false">IF(AO172=0,"",IF(OR(NOT(EH_Ready),BF172=1),"",AB172-AI172))</f>
        <v/>
      </c>
      <c r="AL172" s="26" t="str">
        <f aca="false">IF(AK172="","",AK172*HoursPerDay)</f>
        <v/>
      </c>
      <c r="AM172" s="27" t="str">
        <f aca="false">IF(AO172=0,"",IF(BF172=1,IF(N(AG172)&gt;0,"TERMINATED - forfeit "&amp;TEXT(AG172,"0.##")&amp;" days still in EH","Terminated - nothing in EH"),IF(NOT(EH_Ready),"Paste EH export and map headers on Settings",IF(AND(AB172&gt;0,AF172="No"),"SET UP in EH - add "&amp;TEXT(AB172,"0.##")&amp;" day(s) ("&amp;TEXT(AC172,"0.##")&amp;" hrs)",IF(AK172&gt;0,"ADD "&amp;TEXT(AK172,"0.##")&amp;" day(s) ("&amp;TEXT(AL172,"0.##")&amp;" hrs) in EH",IF(AK172&lt;0,"CHECK - EH shows "&amp;TEXT(-AK172,"0.##")&amp;" days more than policy",IF(AB172&gt;0,"OK - up to date",IF(AY172="None","No action - not eligible","No action - not yet qualified"))))))))</f>
        <v/>
      </c>
      <c r="AN172" s="27" t="str">
        <f aca="false">IF(AO172=0,"",TRIM(IF(AND($K172&lt;&gt;"",$H172=""),"Change 2 entered without Change 1. ","")&amp;IF(AND($K172&lt;&gt;"",$H172&lt;&gt;"",$K172&lt;=$H172),"Change 2 date not after Change 1. ","")&amp;IF(AND($N172&lt;&gt;"",$O172&lt;&gt;"",$O172&lt;$N172),"Leave To is before Leave From. ","")&amp;IF(AND($N172&lt;&gt;"",$O172=""),"Leave From entered without Leave To. ","")&amp;IF(AND(IFERROR(VLOOKUP(T172,TypeTable,2,0),"None")="PT",U172=""),"Part-time with no hours entered. ","")&amp;IF(AND($H172&lt;&gt;"",$H172&gt;AsOfDate,AD172&lt;&gt;"",$H172&lt;=AD172),"Status change lands before next accrual - review. ","")&amp;IF(AND($Q172&lt;&gt;"",$Q172&lt;$E172),"Termination before commencement. ","")))</f>
        <v/>
      </c>
      <c r="AO172" s="11" t="n">
        <f aca="false">IF(LEN($A172&amp;$B172&amp;$C172)=0,0,IF($E172="",0,1))</f>
        <v>0</v>
      </c>
      <c r="AP172" s="11" t="str">
        <f aca="false">IF(AO172=0,"",(IF(OR($N172="",$O172=""),0,MAX(0,MIN(X172,$O172)-MAX($N172,$E172)+1))+N($P172)))</f>
        <v/>
      </c>
      <c r="AQ172" s="11" t="str">
        <f aca="false">IF(AO172=0,"",IF(X172&lt;($E172+(IF(OR($N172="",$O172=""),0,MAX(0,MIN(X172,$O172)-MAX($N172,$E172)+1))+N($P172))),-1,12*(YEAR(X172)-YEAR(($E172+(IF(OR($N172="",$O172=""),0,MAX(0,MIN(X172,$O172)-MAX($N172,$E172)+1))+N($P172)))))+MONTH(X172)-MONTH(($E172+(IF(OR($N172="",$O172=""),0,MAX(0,MIN(X172,$O172)-MAX($N172,$E172)+1))+N($P172))))-IF(DAY(X172)&lt;MIN(DAY(($E172+(IF(OR($N172="",$O172=""),0,MAX(0,MIN(X172,$O172)-MAX($N172,$E172)+1))+N($P172)))),DAY(EOMONTH(X172,0))),1,0)))</f>
        <v/>
      </c>
      <c r="AR172" s="28" t="str">
        <f aca="false">IF(AO172=0,"",IF($H172="","",IF($H172&gt;X172,"",$H172)))</f>
        <v/>
      </c>
      <c r="AS172" s="28" t="str">
        <f aca="false">IF(AO172=0,"",IF(AR172="","",IF($K172="","",IF($K172&gt;X172,"",$K172))))</f>
        <v/>
      </c>
      <c r="AT172" s="11" t="str">
        <f aca="false">IF(AO172=0,"",IF(AR172="",AQ172,IF((AR172-1)&lt;($E172+(IF(OR($N172="",$O172=""),0,MAX(0,MIN((AR172-1),$O172)-MAX($N172,$E172)+1))+N($P172))),-1,12*(YEAR((AR172-1))-YEAR(($E172+(IF(OR($N172="",$O172=""),0,MAX(0,MIN((AR172-1),$O172)-MAX($N172,$E172)+1))+N($P172)))))+MONTH((AR172-1))-MONTH(($E172+(IF(OR($N172="",$O172=""),0,MAX(0,MIN((AR172-1),$O172)-MAX($N172,$E172)+1))+N($P172))))-IF(DAY((AR172-1))&lt;MIN(DAY(($E172+(IF(OR($N172="",$O172=""),0,MAX(0,MIN((AR172-1),$O172)-MAX($N172,$E172)+1))+N($P172)))),DAY(EOMONTH((AR172-1),0))),1,0))))</f>
        <v/>
      </c>
      <c r="AU172" s="11" t="str">
        <f aca="false">IF(AO172=0,"",IF(AS172="",AQ172,IF((AS172-1)&lt;($E172+(IF(OR($N172="",$O172=""),0,MAX(0,MIN((AS172-1),$O172)-MAX($N172,$E172)+1))+N($P172))),-1,12*(YEAR((AS172-1))-YEAR(($E172+(IF(OR($N172="",$O172=""),0,MAX(0,MIN((AS172-1),$O172)-MAX($N172,$E172)+1))+N($P172)))))+MONTH((AS172-1))-MONTH(($E172+(IF(OR($N172="",$O172=""),0,MAX(0,MIN((AS172-1),$O172)-MAX($N172,$E172)+1))+N($P172))))-IF(DAY((AS172-1))&lt;MIN(DAY(($E172+(IF(OR($N172="",$O172=""),0,MAX(0,MIN((AS172-1),$O172)-MAX($N172,$E172)+1))+N($P172)))),DAY(EOMONTH((AS172-1),0))),1,0))))</f>
        <v/>
      </c>
      <c r="AV172" s="11" t="str">
        <f aca="false">IF(AO172=0,"",IF($F172="","None",IF(IFERROR(VLOOKUP($F172,TypeTable,2,0),"None")="PT",IF(N($G172)&gt;=PT_MinHours,"PT","None"),IFERROR(VLOOKUP($F172,TypeTable,2,0),"None"))))</f>
        <v/>
      </c>
      <c r="AW172" s="11" t="str">
        <f aca="false">IF(AO172=0,"",IF($I172="","None",IF(IFERROR(VLOOKUP($I172,TypeTable,2,0),"None")="PT",IF(N($J172)&gt;=PT_MinHours,"PT","None"),IFERROR(VLOOKUP($I172,TypeTable,2,0),"None"))))</f>
        <v/>
      </c>
      <c r="AX172" s="11" t="str">
        <f aca="false">IF(AO172=0,"",IF($L172="","None",IF(IFERROR(VLOOKUP($L172,TypeTable,2,0),"None")="PT",IF(N($M172)&gt;=PT_MinHours,"PT","None"),IFERROR(VLOOKUP($L172,TypeTable,2,0),"None"))))</f>
        <v/>
      </c>
      <c r="AY172" s="11" t="str">
        <f aca="false">IF(AO172=0,"",IF(AS172&lt;&gt;"",AX172,IF(AR172&lt;&gt;"",AW172,AV172)))</f>
        <v/>
      </c>
      <c r="AZ172" s="11" t="str">
        <f aca="false">IF(AO172=0,"",IF(AV172="FT",IF(AT172&lt;FT_First,0,IF(AT172&lt;FT_Y5,1+INT((AT172-FT_First)/FT_Int1),FT_PreY5+FT_PerYear*INT((AT172-FT_Y5)/12)+FT_AnnivDays+INT(MOD(AT172-FT_Y5,12)/FT_Int2))),IF(AV172="PT",IF(AT172&lt;PT_First,0,1+INT((AT172-PT_First)/PT_Int)),0)))</f>
        <v/>
      </c>
      <c r="BA172" s="11" t="str">
        <f aca="false">IF(AO172=0,"",IF(AW172="FT",IF(AT172&lt;FT_First,0,IF(AT172&lt;FT_Y5,1+INT((AT172-FT_First)/FT_Int1),FT_PreY5+FT_PerYear*INT((AT172-FT_Y5)/12)+FT_AnnivDays+INT(MOD(AT172-FT_Y5,12)/FT_Int2))),IF(AW172="PT",IF(AT172&lt;PT_First,0,1+INT((AT172-PT_First)/PT_Int)),0)))</f>
        <v/>
      </c>
      <c r="BB172" s="11" t="str">
        <f aca="false">IF(AO172=0,"",IF(AW172="FT",IF(AU172&lt;FT_First,0,IF(AU172&lt;FT_Y5,1+INT((AU172-FT_First)/FT_Int1),FT_PreY5+FT_PerYear*INT((AU172-FT_Y5)/12)+FT_AnnivDays+INT(MOD(AU172-FT_Y5,12)/FT_Int2))),IF(AW172="PT",IF(AU172&lt;PT_First,0,1+INT((AU172-PT_First)/PT_Int)),0)))</f>
        <v/>
      </c>
      <c r="BC172" s="11" t="str">
        <f aca="false">IF(AO172=0,"",IF(AX172="FT",IF(AU172&lt;FT_First,0,IF(AU172&lt;FT_Y5,1+INT((AU172-FT_First)/FT_Int1),FT_PreY5+FT_PerYear*INT((AU172-FT_Y5)/12)+FT_AnnivDays+INT(MOD(AU172-FT_Y5,12)/FT_Int2))),IF(AX172="PT",IF(AU172&lt;PT_First,0,1+INT((AU172-PT_First)/PT_Int)),0)))</f>
        <v/>
      </c>
      <c r="BD172" s="11" t="str">
        <f aca="false">IF(AO172=0,"",IF(AX172="FT",IF(AQ172&lt;FT_First,0,IF(AQ172&lt;FT_Y5,1+INT((AQ172-FT_First)/FT_Int1),FT_PreY5+FT_PerYear*INT((AQ172-FT_Y5)/12)+FT_AnnivDays+INT(MOD(AQ172-FT_Y5,12)/FT_Int2))),IF(AX172="PT",IF(AQ172&lt;PT_First,0,1+INT((AQ172-PT_First)/PT_Int)),0)))</f>
        <v/>
      </c>
      <c r="BE172" s="11" t="str">
        <f aca="false">IF(AO172=0,"",IF(AY172="FT",IF(AQ172&lt;FT_First,FT_First,IF(AQ172&lt;FT_Y5,MIN(FT_Y5,FT_First+FT_Int1*(INT((AQ172-FT_First)/FT_Int1)+1)),FT_Y5+12*INT((AQ172-FT_Y5)/12)+FT_Int2*(INT(MOD(AQ172-FT_Y5,12)/FT_Int2)+1))),IF(AY172="PT",IF(AQ172&lt;PT_First,PT_First,PT_First+PT_Int*(INT((AQ172-PT_First)/PT_Int)+1)),"")))</f>
        <v/>
      </c>
      <c r="BF172" s="11" t="n">
        <f aca="false">IF(AO172=0,0,IF(AND($Q172&lt;&gt;"",$Q172&lt;=AsOfDate),1,0))</f>
        <v>0</v>
      </c>
      <c r="BG172" s="11" t="str">
        <f aca="false">IF(AND(AO172=1,BF172=0,EH_Ready,N(AB172)&gt;0,N(AI172)=0),COUNT($BG$5:BG171)+1,"")</f>
        <v/>
      </c>
      <c r="BH172" s="11" t="str">
        <f aca="false">IF(AND(AO172=1,BF172=0,EH_Ready,N(AB172)&gt;0,N(AI172)&gt;0,N(AK172)&gt;0),COUNT($BH$5:BH171)+1,"")</f>
        <v/>
      </c>
      <c r="BI172" s="11" t="str">
        <f aca="false">IF(AND(AO172=1,OR(LEFT(AM172,3)="ADD",LEFT(AM172,3)="SET",LEFT(AM172,5)="CHECK",LEFT(AM172,10)="TERMINATED")),COUNT($BI$5:BI171)+1,"")</f>
        <v/>
      </c>
      <c r="BJ172" s="11" t="str">
        <f aca="false">IF(AO172=0,"",$A172&amp;" - "&amp;$B172&amp;" "&amp;$C172)</f>
        <v/>
      </c>
    </row>
    <row r="173" customFormat="false" ht="15" hidden="false" customHeight="false" outlineLevel="0" collapsed="false">
      <c r="A173" s="10"/>
      <c r="B173" s="10"/>
      <c r="C173" s="10"/>
      <c r="D173" s="10"/>
      <c r="E173" s="9"/>
      <c r="F173" s="10"/>
      <c r="G173" s="30"/>
      <c r="H173" s="9"/>
      <c r="I173" s="10"/>
      <c r="J173" s="30"/>
      <c r="K173" s="9"/>
      <c r="L173" s="10"/>
      <c r="M173" s="30"/>
      <c r="N173" s="9"/>
      <c r="O173" s="9"/>
      <c r="P173" s="30"/>
      <c r="Q173" s="9"/>
      <c r="R173" s="10"/>
      <c r="S173" s="11" t="str">
        <f aca="false">IF(AO173=0,"",IF($H173="","",$F173&amp;" -&gt; "&amp;$I173&amp;IF($I173="Part-Time"," ("&amp;N($J173)&amp;" hrs)","")&amp;" on "&amp;TEXT($H173,"dd/mm/yyyy")&amp;IF($H173&gt;AsOfDate," (FUTURE)","")&amp;IF($K173="","","; "&amp;$I173&amp;" -&gt; "&amp;$L173&amp;IF($L173="Part-Time"," ("&amp;N($M173)&amp;" hrs)","")&amp;" on "&amp;TEXT($K173,"dd/mm/yyyy")&amp;IF($K173&gt;AsOfDate," (FUTURE)",""))))</f>
        <v/>
      </c>
      <c r="T173" s="11" t="str">
        <f aca="false">IF(AO173=0,"",IF(AS173&lt;&gt;"",$L173,IF(AR173&lt;&gt;"",$I173,$F173)))</f>
        <v/>
      </c>
      <c r="U173" s="26" t="str">
        <f aca="false">IF(AO173=0,"",IF(AS173&lt;&gt;"",$M173,IF(AR173&lt;&gt;"",$J173,$G173)))</f>
        <v/>
      </c>
      <c r="V173" s="11" t="str">
        <f aca="false">IF(AO173=0,"",IF(AY173="FT","Full-Time",IF(AY173="PT","Part-Time","Not eligible")))</f>
        <v/>
      </c>
      <c r="W173" s="27" t="str">
        <f aca="false">IF(AO173=0,"",IF(AR173="",IF(AND($H173&lt;&gt;"",$H173&gt;AsOfDate),"Future change - not yet applied",""),IF(AND(AV173=AY173,OR(AS173="",AW173=AV173)),"Type changed - same accrual pathway",IF(AY173="None","STOPPED accruing from "&amp;TEXT(IF(AS173&lt;&gt;"",AS173,AR173),"dd/mm/yyyy"),IF(AV173="None","STARTED qualifying from "&amp;TEXT(IF(AS173&lt;&gt;"",AS173,AR173),"dd/mm/yyyy"),"Pathway changed "&amp;AV173&amp;" -&gt; "&amp;AW173&amp;IF(AS173&lt;&gt;""," -&gt; "&amp;AX173,"")&amp;" from "&amp;TEXT(IF(AS173&lt;&gt;"",AS173,AR173),"dd/mm/yyyy"))))))</f>
        <v/>
      </c>
      <c r="X173" s="28" t="str">
        <f aca="false">IF(AO173=0,"",IF($Q173="",AsOfDate,MIN(AsOfDate,$Q173)))</f>
        <v/>
      </c>
      <c r="Y173" s="26" t="str">
        <f aca="false">IF(AO173=0,"",MAX(0,AQ173))</f>
        <v/>
      </c>
      <c r="Z173" s="11" t="str">
        <f aca="false">IF(AO173=0,"",IF(AQ173&lt;0,"Not started",INT(AQ173/12)&amp;"y "&amp;MOD(AQ173,12)&amp;"m"))</f>
        <v/>
      </c>
      <c r="AA173" s="27" t="str">
        <f aca="false">IF(AO173=0,"",IF(BF173=1,"Terminated - balance forfeited",IF(AY173="None",IF(AB173&gt;0,"No longer accruing - "&amp;T173,"Not eligible - "&amp;T173&amp;IF(AND(IFERROR(VLOOKUP(T173,TypeTable,2,0),"None")="PT",N(U173)&lt;PT_MinHours)," (under "&amp;PT_MinHours&amp;" hrs)","")),IF(AB173&gt;0,"Yes - accruing","Not yet - qualifies "&amp;TEXT(AD173,"dd/mm/yyyy")))))</f>
        <v/>
      </c>
      <c r="AB173" s="26" t="str">
        <f aca="false">IF(AO173=0,"",AZ173+IF(AR173="",0,BB173-BA173)+IF(AS173="",0,BD173-BC173))</f>
        <v/>
      </c>
      <c r="AC173" s="26" t="str">
        <f aca="false">IF(AO173=0,"",AB173*HoursPerDay)</f>
        <v/>
      </c>
      <c r="AD173" s="28" t="str">
        <f aca="false">IF(AO173=0,"",IF(OR(BF173=1,AY173="None"),"",EDATE($E173+AP173,BE173)))</f>
        <v/>
      </c>
      <c r="AE173" s="26" t="str">
        <f aca="false">IF(AD173="","",IF(AY173="PT",1,IF(BE173&lt;FT_Y5,1,IF(MOD(BE173-FT_Y5,12)=0,FT_AnnivDays,1))))</f>
        <v/>
      </c>
      <c r="AF173" s="27" t="str">
        <f aca="false">IF(AO173=0,"",IF(NOT(EH_Ready),"Map headers",IF(IF(MatchMode="Employee ID",COUNTIFS(INDEX(EH_Data,0,EH_ColID),$A173,INDEX(EH_Data,0,EH_ColCat),BonusCat),COUNTIFS(INDEX(EH_Data,0,EH_ColFirst),$B173,INDEX(EH_Data,0,EH_ColSur),$C173,INDEX(EH_Data,0,EH_ColCat),BonusCat))&gt;0,"Yes","No")))</f>
        <v/>
      </c>
      <c r="AG173" s="26" t="str">
        <f aca="false">IF(AO173=0,"",IF(NOT(EH_Ready),"",IF(MatchMode="Employee ID",SUMIFS(INDEX(EH_Data,0,EH_ColBal),INDEX(EH_Data,0,EH_ColID),$A173,INDEX(EH_Data,0,EH_ColCat),BonusCat),SUMIFS(INDEX(EH_Data,0,EH_ColBal),INDEX(EH_Data,0,EH_ColFirst),$B173,INDEX(EH_Data,0,EH_ColSur),$C173,INDEX(EH_Data,0,EH_ColCat),BonusCat))/IF(EHUnit="Hours",HoursPerDay,1)))</f>
        <v/>
      </c>
      <c r="AH173" s="26" t="str">
        <f aca="false">IF(AO173=0,"",IF(NOT(TK_Ready),0,IF(MatchMode="Employee ID",SUMIFS(INDEX(TK_Data,0,TK_ColAmt),INDEX(TK_Data,0,TK_ColID),$A173,INDEX(TK_Data,0,TK_ColCat),BonusCat),SUMIFS(INDEX(TK_Data,0,TK_ColAmt),INDEX(TK_Data,0,TK_ColFirst),$B173,INDEX(TK_Data,0,TK_ColSur),$C173,INDEX(TK_Data,0,TK_ColCat),BonusCat))/IF(TKUnit="Hours",HoursPerDay,1)))</f>
        <v/>
      </c>
      <c r="AI173" s="26" t="str">
        <f aca="false">IF(AO173=0,"",N(AG173)+N(AH173))</f>
        <v/>
      </c>
      <c r="AJ173" s="29" t="str">
        <f aca="false">IF(AO173=0,"",IF(NOT(AND(EH_Ready,EH_ValReady)),"",IF(MatchMode="Employee ID",SUMIFS(INDEX(EH_Data,0,EH_ColVal),INDEX(EH_Data,0,EH_ColID),$A173,INDEX(EH_Data,0,EH_ColCat),BonusCat),SUMIFS(INDEX(EH_Data,0,EH_ColVal),INDEX(EH_Data,0,EH_ColFirst),$B173,INDEX(EH_Data,0,EH_ColSur),$C173,INDEX(EH_Data,0,EH_ColCat),BonusCat))))</f>
        <v/>
      </c>
      <c r="AK173" s="26" t="str">
        <f aca="false">IF(AO173=0,"",IF(OR(NOT(EH_Ready),BF173=1),"",AB173-AI173))</f>
        <v/>
      </c>
      <c r="AL173" s="26" t="str">
        <f aca="false">IF(AK173="","",AK173*HoursPerDay)</f>
        <v/>
      </c>
      <c r="AM173" s="27" t="str">
        <f aca="false">IF(AO173=0,"",IF(BF173=1,IF(N(AG173)&gt;0,"TERMINATED - forfeit "&amp;TEXT(AG173,"0.##")&amp;" days still in EH","Terminated - nothing in EH"),IF(NOT(EH_Ready),"Paste EH export and map headers on Settings",IF(AND(AB173&gt;0,AF173="No"),"SET UP in EH - add "&amp;TEXT(AB173,"0.##")&amp;" day(s) ("&amp;TEXT(AC173,"0.##")&amp;" hrs)",IF(AK173&gt;0,"ADD "&amp;TEXT(AK173,"0.##")&amp;" day(s) ("&amp;TEXT(AL173,"0.##")&amp;" hrs) in EH",IF(AK173&lt;0,"CHECK - EH shows "&amp;TEXT(-AK173,"0.##")&amp;" days more than policy",IF(AB173&gt;0,"OK - up to date",IF(AY173="None","No action - not eligible","No action - not yet qualified"))))))))</f>
        <v/>
      </c>
      <c r="AN173" s="27" t="str">
        <f aca="false">IF(AO173=0,"",TRIM(IF(AND($K173&lt;&gt;"",$H173=""),"Change 2 entered without Change 1. ","")&amp;IF(AND($K173&lt;&gt;"",$H173&lt;&gt;"",$K173&lt;=$H173),"Change 2 date not after Change 1. ","")&amp;IF(AND($N173&lt;&gt;"",$O173&lt;&gt;"",$O173&lt;$N173),"Leave To is before Leave From. ","")&amp;IF(AND($N173&lt;&gt;"",$O173=""),"Leave From entered without Leave To. ","")&amp;IF(AND(IFERROR(VLOOKUP(T173,TypeTable,2,0),"None")="PT",U173=""),"Part-time with no hours entered. ","")&amp;IF(AND($H173&lt;&gt;"",$H173&gt;AsOfDate,AD173&lt;&gt;"",$H173&lt;=AD173),"Status change lands before next accrual - review. ","")&amp;IF(AND($Q173&lt;&gt;"",$Q173&lt;$E173),"Termination before commencement. ","")))</f>
        <v/>
      </c>
      <c r="AO173" s="11" t="n">
        <f aca="false">IF(LEN($A173&amp;$B173&amp;$C173)=0,0,IF($E173="",0,1))</f>
        <v>0</v>
      </c>
      <c r="AP173" s="11" t="str">
        <f aca="false">IF(AO173=0,"",(IF(OR($N173="",$O173=""),0,MAX(0,MIN(X173,$O173)-MAX($N173,$E173)+1))+N($P173)))</f>
        <v/>
      </c>
      <c r="AQ173" s="11" t="str">
        <f aca="false">IF(AO173=0,"",IF(X173&lt;($E173+(IF(OR($N173="",$O173=""),0,MAX(0,MIN(X173,$O173)-MAX($N173,$E173)+1))+N($P173))),-1,12*(YEAR(X173)-YEAR(($E173+(IF(OR($N173="",$O173=""),0,MAX(0,MIN(X173,$O173)-MAX($N173,$E173)+1))+N($P173)))))+MONTH(X173)-MONTH(($E173+(IF(OR($N173="",$O173=""),0,MAX(0,MIN(X173,$O173)-MAX($N173,$E173)+1))+N($P173))))-IF(DAY(X173)&lt;MIN(DAY(($E173+(IF(OR($N173="",$O173=""),0,MAX(0,MIN(X173,$O173)-MAX($N173,$E173)+1))+N($P173)))),DAY(EOMONTH(X173,0))),1,0)))</f>
        <v/>
      </c>
      <c r="AR173" s="28" t="str">
        <f aca="false">IF(AO173=0,"",IF($H173="","",IF($H173&gt;X173,"",$H173)))</f>
        <v/>
      </c>
      <c r="AS173" s="28" t="str">
        <f aca="false">IF(AO173=0,"",IF(AR173="","",IF($K173="","",IF($K173&gt;X173,"",$K173))))</f>
        <v/>
      </c>
      <c r="AT173" s="11" t="str">
        <f aca="false">IF(AO173=0,"",IF(AR173="",AQ173,IF((AR173-1)&lt;($E173+(IF(OR($N173="",$O173=""),0,MAX(0,MIN((AR173-1),$O173)-MAX($N173,$E173)+1))+N($P173))),-1,12*(YEAR((AR173-1))-YEAR(($E173+(IF(OR($N173="",$O173=""),0,MAX(0,MIN((AR173-1),$O173)-MAX($N173,$E173)+1))+N($P173)))))+MONTH((AR173-1))-MONTH(($E173+(IF(OR($N173="",$O173=""),0,MAX(0,MIN((AR173-1),$O173)-MAX($N173,$E173)+1))+N($P173))))-IF(DAY((AR173-1))&lt;MIN(DAY(($E173+(IF(OR($N173="",$O173=""),0,MAX(0,MIN((AR173-1),$O173)-MAX($N173,$E173)+1))+N($P173)))),DAY(EOMONTH((AR173-1),0))),1,0))))</f>
        <v/>
      </c>
      <c r="AU173" s="11" t="str">
        <f aca="false">IF(AO173=0,"",IF(AS173="",AQ173,IF((AS173-1)&lt;($E173+(IF(OR($N173="",$O173=""),0,MAX(0,MIN((AS173-1),$O173)-MAX($N173,$E173)+1))+N($P173))),-1,12*(YEAR((AS173-1))-YEAR(($E173+(IF(OR($N173="",$O173=""),0,MAX(0,MIN((AS173-1),$O173)-MAX($N173,$E173)+1))+N($P173)))))+MONTH((AS173-1))-MONTH(($E173+(IF(OR($N173="",$O173=""),0,MAX(0,MIN((AS173-1),$O173)-MAX($N173,$E173)+1))+N($P173))))-IF(DAY((AS173-1))&lt;MIN(DAY(($E173+(IF(OR($N173="",$O173=""),0,MAX(0,MIN((AS173-1),$O173)-MAX($N173,$E173)+1))+N($P173)))),DAY(EOMONTH((AS173-1),0))),1,0))))</f>
        <v/>
      </c>
      <c r="AV173" s="11" t="str">
        <f aca="false">IF(AO173=0,"",IF($F173="","None",IF(IFERROR(VLOOKUP($F173,TypeTable,2,0),"None")="PT",IF(N($G173)&gt;=PT_MinHours,"PT","None"),IFERROR(VLOOKUP($F173,TypeTable,2,0),"None"))))</f>
        <v/>
      </c>
      <c r="AW173" s="11" t="str">
        <f aca="false">IF(AO173=0,"",IF($I173="","None",IF(IFERROR(VLOOKUP($I173,TypeTable,2,0),"None")="PT",IF(N($J173)&gt;=PT_MinHours,"PT","None"),IFERROR(VLOOKUP($I173,TypeTable,2,0),"None"))))</f>
        <v/>
      </c>
      <c r="AX173" s="11" t="str">
        <f aca="false">IF(AO173=0,"",IF($L173="","None",IF(IFERROR(VLOOKUP($L173,TypeTable,2,0),"None")="PT",IF(N($M173)&gt;=PT_MinHours,"PT","None"),IFERROR(VLOOKUP($L173,TypeTable,2,0),"None"))))</f>
        <v/>
      </c>
      <c r="AY173" s="11" t="str">
        <f aca="false">IF(AO173=0,"",IF(AS173&lt;&gt;"",AX173,IF(AR173&lt;&gt;"",AW173,AV173)))</f>
        <v/>
      </c>
      <c r="AZ173" s="11" t="str">
        <f aca="false">IF(AO173=0,"",IF(AV173="FT",IF(AT173&lt;FT_First,0,IF(AT173&lt;FT_Y5,1+INT((AT173-FT_First)/FT_Int1),FT_PreY5+FT_PerYear*INT((AT173-FT_Y5)/12)+FT_AnnivDays+INT(MOD(AT173-FT_Y5,12)/FT_Int2))),IF(AV173="PT",IF(AT173&lt;PT_First,0,1+INT((AT173-PT_First)/PT_Int)),0)))</f>
        <v/>
      </c>
      <c r="BA173" s="11" t="str">
        <f aca="false">IF(AO173=0,"",IF(AW173="FT",IF(AT173&lt;FT_First,0,IF(AT173&lt;FT_Y5,1+INT((AT173-FT_First)/FT_Int1),FT_PreY5+FT_PerYear*INT((AT173-FT_Y5)/12)+FT_AnnivDays+INT(MOD(AT173-FT_Y5,12)/FT_Int2))),IF(AW173="PT",IF(AT173&lt;PT_First,0,1+INT((AT173-PT_First)/PT_Int)),0)))</f>
        <v/>
      </c>
      <c r="BB173" s="11" t="str">
        <f aca="false">IF(AO173=0,"",IF(AW173="FT",IF(AU173&lt;FT_First,0,IF(AU173&lt;FT_Y5,1+INT((AU173-FT_First)/FT_Int1),FT_PreY5+FT_PerYear*INT((AU173-FT_Y5)/12)+FT_AnnivDays+INT(MOD(AU173-FT_Y5,12)/FT_Int2))),IF(AW173="PT",IF(AU173&lt;PT_First,0,1+INT((AU173-PT_First)/PT_Int)),0)))</f>
        <v/>
      </c>
      <c r="BC173" s="11" t="str">
        <f aca="false">IF(AO173=0,"",IF(AX173="FT",IF(AU173&lt;FT_First,0,IF(AU173&lt;FT_Y5,1+INT((AU173-FT_First)/FT_Int1),FT_PreY5+FT_PerYear*INT((AU173-FT_Y5)/12)+FT_AnnivDays+INT(MOD(AU173-FT_Y5,12)/FT_Int2))),IF(AX173="PT",IF(AU173&lt;PT_First,0,1+INT((AU173-PT_First)/PT_Int)),0)))</f>
        <v/>
      </c>
      <c r="BD173" s="11" t="str">
        <f aca="false">IF(AO173=0,"",IF(AX173="FT",IF(AQ173&lt;FT_First,0,IF(AQ173&lt;FT_Y5,1+INT((AQ173-FT_First)/FT_Int1),FT_PreY5+FT_PerYear*INT((AQ173-FT_Y5)/12)+FT_AnnivDays+INT(MOD(AQ173-FT_Y5,12)/FT_Int2))),IF(AX173="PT",IF(AQ173&lt;PT_First,0,1+INT((AQ173-PT_First)/PT_Int)),0)))</f>
        <v/>
      </c>
      <c r="BE173" s="11" t="str">
        <f aca="false">IF(AO173=0,"",IF(AY173="FT",IF(AQ173&lt;FT_First,FT_First,IF(AQ173&lt;FT_Y5,MIN(FT_Y5,FT_First+FT_Int1*(INT((AQ173-FT_First)/FT_Int1)+1)),FT_Y5+12*INT((AQ173-FT_Y5)/12)+FT_Int2*(INT(MOD(AQ173-FT_Y5,12)/FT_Int2)+1))),IF(AY173="PT",IF(AQ173&lt;PT_First,PT_First,PT_First+PT_Int*(INT((AQ173-PT_First)/PT_Int)+1)),"")))</f>
        <v/>
      </c>
      <c r="BF173" s="11" t="n">
        <f aca="false">IF(AO173=0,0,IF(AND($Q173&lt;&gt;"",$Q173&lt;=AsOfDate),1,0))</f>
        <v>0</v>
      </c>
      <c r="BG173" s="11" t="str">
        <f aca="false">IF(AND(AO173=1,BF173=0,EH_Ready,N(AB173)&gt;0,N(AI173)=0),COUNT($BG$5:BG172)+1,"")</f>
        <v/>
      </c>
      <c r="BH173" s="11" t="str">
        <f aca="false">IF(AND(AO173=1,BF173=0,EH_Ready,N(AB173)&gt;0,N(AI173)&gt;0,N(AK173)&gt;0),COUNT($BH$5:BH172)+1,"")</f>
        <v/>
      </c>
      <c r="BI173" s="11" t="str">
        <f aca="false">IF(AND(AO173=1,OR(LEFT(AM173,3)="ADD",LEFT(AM173,3)="SET",LEFT(AM173,5)="CHECK",LEFT(AM173,10)="TERMINATED")),COUNT($BI$5:BI172)+1,"")</f>
        <v/>
      </c>
      <c r="BJ173" s="11" t="str">
        <f aca="false">IF(AO173=0,"",$A173&amp;" - "&amp;$B173&amp;" "&amp;$C173)</f>
        <v/>
      </c>
    </row>
    <row r="174" customFormat="false" ht="15" hidden="false" customHeight="false" outlineLevel="0" collapsed="false">
      <c r="A174" s="10"/>
      <c r="B174" s="10"/>
      <c r="C174" s="10"/>
      <c r="D174" s="10"/>
      <c r="E174" s="9"/>
      <c r="F174" s="10"/>
      <c r="G174" s="30"/>
      <c r="H174" s="9"/>
      <c r="I174" s="10"/>
      <c r="J174" s="30"/>
      <c r="K174" s="9"/>
      <c r="L174" s="10"/>
      <c r="M174" s="30"/>
      <c r="N174" s="9"/>
      <c r="O174" s="9"/>
      <c r="P174" s="30"/>
      <c r="Q174" s="9"/>
      <c r="R174" s="10"/>
      <c r="S174" s="11" t="str">
        <f aca="false">IF(AO174=0,"",IF($H174="","",$F174&amp;" -&gt; "&amp;$I174&amp;IF($I174="Part-Time"," ("&amp;N($J174)&amp;" hrs)","")&amp;" on "&amp;TEXT($H174,"dd/mm/yyyy")&amp;IF($H174&gt;AsOfDate," (FUTURE)","")&amp;IF($K174="","","; "&amp;$I174&amp;" -&gt; "&amp;$L174&amp;IF($L174="Part-Time"," ("&amp;N($M174)&amp;" hrs)","")&amp;" on "&amp;TEXT($K174,"dd/mm/yyyy")&amp;IF($K174&gt;AsOfDate," (FUTURE)",""))))</f>
        <v/>
      </c>
      <c r="T174" s="11" t="str">
        <f aca="false">IF(AO174=0,"",IF(AS174&lt;&gt;"",$L174,IF(AR174&lt;&gt;"",$I174,$F174)))</f>
        <v/>
      </c>
      <c r="U174" s="26" t="str">
        <f aca="false">IF(AO174=0,"",IF(AS174&lt;&gt;"",$M174,IF(AR174&lt;&gt;"",$J174,$G174)))</f>
        <v/>
      </c>
      <c r="V174" s="11" t="str">
        <f aca="false">IF(AO174=0,"",IF(AY174="FT","Full-Time",IF(AY174="PT","Part-Time","Not eligible")))</f>
        <v/>
      </c>
      <c r="W174" s="27" t="str">
        <f aca="false">IF(AO174=0,"",IF(AR174="",IF(AND($H174&lt;&gt;"",$H174&gt;AsOfDate),"Future change - not yet applied",""),IF(AND(AV174=AY174,OR(AS174="",AW174=AV174)),"Type changed - same accrual pathway",IF(AY174="None","STOPPED accruing from "&amp;TEXT(IF(AS174&lt;&gt;"",AS174,AR174),"dd/mm/yyyy"),IF(AV174="None","STARTED qualifying from "&amp;TEXT(IF(AS174&lt;&gt;"",AS174,AR174),"dd/mm/yyyy"),"Pathway changed "&amp;AV174&amp;" -&gt; "&amp;AW174&amp;IF(AS174&lt;&gt;""," -&gt; "&amp;AX174,"")&amp;" from "&amp;TEXT(IF(AS174&lt;&gt;"",AS174,AR174),"dd/mm/yyyy"))))))</f>
        <v/>
      </c>
      <c r="X174" s="28" t="str">
        <f aca="false">IF(AO174=0,"",IF($Q174="",AsOfDate,MIN(AsOfDate,$Q174)))</f>
        <v/>
      </c>
      <c r="Y174" s="26" t="str">
        <f aca="false">IF(AO174=0,"",MAX(0,AQ174))</f>
        <v/>
      </c>
      <c r="Z174" s="11" t="str">
        <f aca="false">IF(AO174=0,"",IF(AQ174&lt;0,"Not started",INT(AQ174/12)&amp;"y "&amp;MOD(AQ174,12)&amp;"m"))</f>
        <v/>
      </c>
      <c r="AA174" s="27" t="str">
        <f aca="false">IF(AO174=0,"",IF(BF174=1,"Terminated - balance forfeited",IF(AY174="None",IF(AB174&gt;0,"No longer accruing - "&amp;T174,"Not eligible - "&amp;T174&amp;IF(AND(IFERROR(VLOOKUP(T174,TypeTable,2,0),"None")="PT",N(U174)&lt;PT_MinHours)," (under "&amp;PT_MinHours&amp;" hrs)","")),IF(AB174&gt;0,"Yes - accruing","Not yet - qualifies "&amp;TEXT(AD174,"dd/mm/yyyy")))))</f>
        <v/>
      </c>
      <c r="AB174" s="26" t="str">
        <f aca="false">IF(AO174=0,"",AZ174+IF(AR174="",0,BB174-BA174)+IF(AS174="",0,BD174-BC174))</f>
        <v/>
      </c>
      <c r="AC174" s="26" t="str">
        <f aca="false">IF(AO174=0,"",AB174*HoursPerDay)</f>
        <v/>
      </c>
      <c r="AD174" s="28" t="str">
        <f aca="false">IF(AO174=0,"",IF(OR(BF174=1,AY174="None"),"",EDATE($E174+AP174,BE174)))</f>
        <v/>
      </c>
      <c r="AE174" s="26" t="str">
        <f aca="false">IF(AD174="","",IF(AY174="PT",1,IF(BE174&lt;FT_Y5,1,IF(MOD(BE174-FT_Y5,12)=0,FT_AnnivDays,1))))</f>
        <v/>
      </c>
      <c r="AF174" s="27" t="str">
        <f aca="false">IF(AO174=0,"",IF(NOT(EH_Ready),"Map headers",IF(IF(MatchMode="Employee ID",COUNTIFS(INDEX(EH_Data,0,EH_ColID),$A174,INDEX(EH_Data,0,EH_ColCat),BonusCat),COUNTIFS(INDEX(EH_Data,0,EH_ColFirst),$B174,INDEX(EH_Data,0,EH_ColSur),$C174,INDEX(EH_Data,0,EH_ColCat),BonusCat))&gt;0,"Yes","No")))</f>
        <v/>
      </c>
      <c r="AG174" s="26" t="str">
        <f aca="false">IF(AO174=0,"",IF(NOT(EH_Ready),"",IF(MatchMode="Employee ID",SUMIFS(INDEX(EH_Data,0,EH_ColBal),INDEX(EH_Data,0,EH_ColID),$A174,INDEX(EH_Data,0,EH_ColCat),BonusCat),SUMIFS(INDEX(EH_Data,0,EH_ColBal),INDEX(EH_Data,0,EH_ColFirst),$B174,INDEX(EH_Data,0,EH_ColSur),$C174,INDEX(EH_Data,0,EH_ColCat),BonusCat))/IF(EHUnit="Hours",HoursPerDay,1)))</f>
        <v/>
      </c>
      <c r="AH174" s="26" t="str">
        <f aca="false">IF(AO174=0,"",IF(NOT(TK_Ready),0,IF(MatchMode="Employee ID",SUMIFS(INDEX(TK_Data,0,TK_ColAmt),INDEX(TK_Data,0,TK_ColID),$A174,INDEX(TK_Data,0,TK_ColCat),BonusCat),SUMIFS(INDEX(TK_Data,0,TK_ColAmt),INDEX(TK_Data,0,TK_ColFirst),$B174,INDEX(TK_Data,0,TK_ColSur),$C174,INDEX(TK_Data,0,TK_ColCat),BonusCat))/IF(TKUnit="Hours",HoursPerDay,1)))</f>
        <v/>
      </c>
      <c r="AI174" s="26" t="str">
        <f aca="false">IF(AO174=0,"",N(AG174)+N(AH174))</f>
        <v/>
      </c>
      <c r="AJ174" s="29" t="str">
        <f aca="false">IF(AO174=0,"",IF(NOT(AND(EH_Ready,EH_ValReady)),"",IF(MatchMode="Employee ID",SUMIFS(INDEX(EH_Data,0,EH_ColVal),INDEX(EH_Data,0,EH_ColID),$A174,INDEX(EH_Data,0,EH_ColCat),BonusCat),SUMIFS(INDEX(EH_Data,0,EH_ColVal),INDEX(EH_Data,0,EH_ColFirst),$B174,INDEX(EH_Data,0,EH_ColSur),$C174,INDEX(EH_Data,0,EH_ColCat),BonusCat))))</f>
        <v/>
      </c>
      <c r="AK174" s="26" t="str">
        <f aca="false">IF(AO174=0,"",IF(OR(NOT(EH_Ready),BF174=1),"",AB174-AI174))</f>
        <v/>
      </c>
      <c r="AL174" s="26" t="str">
        <f aca="false">IF(AK174="","",AK174*HoursPerDay)</f>
        <v/>
      </c>
      <c r="AM174" s="27" t="str">
        <f aca="false">IF(AO174=0,"",IF(BF174=1,IF(N(AG174)&gt;0,"TERMINATED - forfeit "&amp;TEXT(AG174,"0.##")&amp;" days still in EH","Terminated - nothing in EH"),IF(NOT(EH_Ready),"Paste EH export and map headers on Settings",IF(AND(AB174&gt;0,AF174="No"),"SET UP in EH - add "&amp;TEXT(AB174,"0.##")&amp;" day(s) ("&amp;TEXT(AC174,"0.##")&amp;" hrs)",IF(AK174&gt;0,"ADD "&amp;TEXT(AK174,"0.##")&amp;" day(s) ("&amp;TEXT(AL174,"0.##")&amp;" hrs) in EH",IF(AK174&lt;0,"CHECK - EH shows "&amp;TEXT(-AK174,"0.##")&amp;" days more than policy",IF(AB174&gt;0,"OK - up to date",IF(AY174="None","No action - not eligible","No action - not yet qualified"))))))))</f>
        <v/>
      </c>
      <c r="AN174" s="27" t="str">
        <f aca="false">IF(AO174=0,"",TRIM(IF(AND($K174&lt;&gt;"",$H174=""),"Change 2 entered without Change 1. ","")&amp;IF(AND($K174&lt;&gt;"",$H174&lt;&gt;"",$K174&lt;=$H174),"Change 2 date not after Change 1. ","")&amp;IF(AND($N174&lt;&gt;"",$O174&lt;&gt;"",$O174&lt;$N174),"Leave To is before Leave From. ","")&amp;IF(AND($N174&lt;&gt;"",$O174=""),"Leave From entered without Leave To. ","")&amp;IF(AND(IFERROR(VLOOKUP(T174,TypeTable,2,0),"None")="PT",U174=""),"Part-time with no hours entered. ","")&amp;IF(AND($H174&lt;&gt;"",$H174&gt;AsOfDate,AD174&lt;&gt;"",$H174&lt;=AD174),"Status change lands before next accrual - review. ","")&amp;IF(AND($Q174&lt;&gt;"",$Q174&lt;$E174),"Termination before commencement. ","")))</f>
        <v/>
      </c>
      <c r="AO174" s="11" t="n">
        <f aca="false">IF(LEN($A174&amp;$B174&amp;$C174)=0,0,IF($E174="",0,1))</f>
        <v>0</v>
      </c>
      <c r="AP174" s="11" t="str">
        <f aca="false">IF(AO174=0,"",(IF(OR($N174="",$O174=""),0,MAX(0,MIN(X174,$O174)-MAX($N174,$E174)+1))+N($P174)))</f>
        <v/>
      </c>
      <c r="AQ174" s="11" t="str">
        <f aca="false">IF(AO174=0,"",IF(X174&lt;($E174+(IF(OR($N174="",$O174=""),0,MAX(0,MIN(X174,$O174)-MAX($N174,$E174)+1))+N($P174))),-1,12*(YEAR(X174)-YEAR(($E174+(IF(OR($N174="",$O174=""),0,MAX(0,MIN(X174,$O174)-MAX($N174,$E174)+1))+N($P174)))))+MONTH(X174)-MONTH(($E174+(IF(OR($N174="",$O174=""),0,MAX(0,MIN(X174,$O174)-MAX($N174,$E174)+1))+N($P174))))-IF(DAY(X174)&lt;MIN(DAY(($E174+(IF(OR($N174="",$O174=""),0,MAX(0,MIN(X174,$O174)-MAX($N174,$E174)+1))+N($P174)))),DAY(EOMONTH(X174,0))),1,0)))</f>
        <v/>
      </c>
      <c r="AR174" s="28" t="str">
        <f aca="false">IF(AO174=0,"",IF($H174="","",IF($H174&gt;X174,"",$H174)))</f>
        <v/>
      </c>
      <c r="AS174" s="28" t="str">
        <f aca="false">IF(AO174=0,"",IF(AR174="","",IF($K174="","",IF($K174&gt;X174,"",$K174))))</f>
        <v/>
      </c>
      <c r="AT174" s="11" t="str">
        <f aca="false">IF(AO174=0,"",IF(AR174="",AQ174,IF((AR174-1)&lt;($E174+(IF(OR($N174="",$O174=""),0,MAX(0,MIN((AR174-1),$O174)-MAX($N174,$E174)+1))+N($P174))),-1,12*(YEAR((AR174-1))-YEAR(($E174+(IF(OR($N174="",$O174=""),0,MAX(0,MIN((AR174-1),$O174)-MAX($N174,$E174)+1))+N($P174)))))+MONTH((AR174-1))-MONTH(($E174+(IF(OR($N174="",$O174=""),0,MAX(0,MIN((AR174-1),$O174)-MAX($N174,$E174)+1))+N($P174))))-IF(DAY((AR174-1))&lt;MIN(DAY(($E174+(IF(OR($N174="",$O174=""),0,MAX(0,MIN((AR174-1),$O174)-MAX($N174,$E174)+1))+N($P174)))),DAY(EOMONTH((AR174-1),0))),1,0))))</f>
        <v/>
      </c>
      <c r="AU174" s="11" t="str">
        <f aca="false">IF(AO174=0,"",IF(AS174="",AQ174,IF((AS174-1)&lt;($E174+(IF(OR($N174="",$O174=""),0,MAX(0,MIN((AS174-1),$O174)-MAX($N174,$E174)+1))+N($P174))),-1,12*(YEAR((AS174-1))-YEAR(($E174+(IF(OR($N174="",$O174=""),0,MAX(0,MIN((AS174-1),$O174)-MAX($N174,$E174)+1))+N($P174)))))+MONTH((AS174-1))-MONTH(($E174+(IF(OR($N174="",$O174=""),0,MAX(0,MIN((AS174-1),$O174)-MAX($N174,$E174)+1))+N($P174))))-IF(DAY((AS174-1))&lt;MIN(DAY(($E174+(IF(OR($N174="",$O174=""),0,MAX(0,MIN((AS174-1),$O174)-MAX($N174,$E174)+1))+N($P174)))),DAY(EOMONTH((AS174-1),0))),1,0))))</f>
        <v/>
      </c>
      <c r="AV174" s="11" t="str">
        <f aca="false">IF(AO174=0,"",IF($F174="","None",IF(IFERROR(VLOOKUP($F174,TypeTable,2,0),"None")="PT",IF(N($G174)&gt;=PT_MinHours,"PT","None"),IFERROR(VLOOKUP($F174,TypeTable,2,0),"None"))))</f>
        <v/>
      </c>
      <c r="AW174" s="11" t="str">
        <f aca="false">IF(AO174=0,"",IF($I174="","None",IF(IFERROR(VLOOKUP($I174,TypeTable,2,0),"None")="PT",IF(N($J174)&gt;=PT_MinHours,"PT","None"),IFERROR(VLOOKUP($I174,TypeTable,2,0),"None"))))</f>
        <v/>
      </c>
      <c r="AX174" s="11" t="str">
        <f aca="false">IF(AO174=0,"",IF($L174="","None",IF(IFERROR(VLOOKUP($L174,TypeTable,2,0),"None")="PT",IF(N($M174)&gt;=PT_MinHours,"PT","None"),IFERROR(VLOOKUP($L174,TypeTable,2,0),"None"))))</f>
        <v/>
      </c>
      <c r="AY174" s="11" t="str">
        <f aca="false">IF(AO174=0,"",IF(AS174&lt;&gt;"",AX174,IF(AR174&lt;&gt;"",AW174,AV174)))</f>
        <v/>
      </c>
      <c r="AZ174" s="11" t="str">
        <f aca="false">IF(AO174=0,"",IF(AV174="FT",IF(AT174&lt;FT_First,0,IF(AT174&lt;FT_Y5,1+INT((AT174-FT_First)/FT_Int1),FT_PreY5+FT_PerYear*INT((AT174-FT_Y5)/12)+FT_AnnivDays+INT(MOD(AT174-FT_Y5,12)/FT_Int2))),IF(AV174="PT",IF(AT174&lt;PT_First,0,1+INT((AT174-PT_First)/PT_Int)),0)))</f>
        <v/>
      </c>
      <c r="BA174" s="11" t="str">
        <f aca="false">IF(AO174=0,"",IF(AW174="FT",IF(AT174&lt;FT_First,0,IF(AT174&lt;FT_Y5,1+INT((AT174-FT_First)/FT_Int1),FT_PreY5+FT_PerYear*INT((AT174-FT_Y5)/12)+FT_AnnivDays+INT(MOD(AT174-FT_Y5,12)/FT_Int2))),IF(AW174="PT",IF(AT174&lt;PT_First,0,1+INT((AT174-PT_First)/PT_Int)),0)))</f>
        <v/>
      </c>
      <c r="BB174" s="11" t="str">
        <f aca="false">IF(AO174=0,"",IF(AW174="FT",IF(AU174&lt;FT_First,0,IF(AU174&lt;FT_Y5,1+INT((AU174-FT_First)/FT_Int1),FT_PreY5+FT_PerYear*INT((AU174-FT_Y5)/12)+FT_AnnivDays+INT(MOD(AU174-FT_Y5,12)/FT_Int2))),IF(AW174="PT",IF(AU174&lt;PT_First,0,1+INT((AU174-PT_First)/PT_Int)),0)))</f>
        <v/>
      </c>
      <c r="BC174" s="11" t="str">
        <f aca="false">IF(AO174=0,"",IF(AX174="FT",IF(AU174&lt;FT_First,0,IF(AU174&lt;FT_Y5,1+INT((AU174-FT_First)/FT_Int1),FT_PreY5+FT_PerYear*INT((AU174-FT_Y5)/12)+FT_AnnivDays+INT(MOD(AU174-FT_Y5,12)/FT_Int2))),IF(AX174="PT",IF(AU174&lt;PT_First,0,1+INT((AU174-PT_First)/PT_Int)),0)))</f>
        <v/>
      </c>
      <c r="BD174" s="11" t="str">
        <f aca="false">IF(AO174=0,"",IF(AX174="FT",IF(AQ174&lt;FT_First,0,IF(AQ174&lt;FT_Y5,1+INT((AQ174-FT_First)/FT_Int1),FT_PreY5+FT_PerYear*INT((AQ174-FT_Y5)/12)+FT_AnnivDays+INT(MOD(AQ174-FT_Y5,12)/FT_Int2))),IF(AX174="PT",IF(AQ174&lt;PT_First,0,1+INT((AQ174-PT_First)/PT_Int)),0)))</f>
        <v/>
      </c>
      <c r="BE174" s="11" t="str">
        <f aca="false">IF(AO174=0,"",IF(AY174="FT",IF(AQ174&lt;FT_First,FT_First,IF(AQ174&lt;FT_Y5,MIN(FT_Y5,FT_First+FT_Int1*(INT((AQ174-FT_First)/FT_Int1)+1)),FT_Y5+12*INT((AQ174-FT_Y5)/12)+FT_Int2*(INT(MOD(AQ174-FT_Y5,12)/FT_Int2)+1))),IF(AY174="PT",IF(AQ174&lt;PT_First,PT_First,PT_First+PT_Int*(INT((AQ174-PT_First)/PT_Int)+1)),"")))</f>
        <v/>
      </c>
      <c r="BF174" s="11" t="n">
        <f aca="false">IF(AO174=0,0,IF(AND($Q174&lt;&gt;"",$Q174&lt;=AsOfDate),1,0))</f>
        <v>0</v>
      </c>
      <c r="BG174" s="11" t="str">
        <f aca="false">IF(AND(AO174=1,BF174=0,EH_Ready,N(AB174)&gt;0,N(AI174)=0),COUNT($BG$5:BG173)+1,"")</f>
        <v/>
      </c>
      <c r="BH174" s="11" t="str">
        <f aca="false">IF(AND(AO174=1,BF174=0,EH_Ready,N(AB174)&gt;0,N(AI174)&gt;0,N(AK174)&gt;0),COUNT($BH$5:BH173)+1,"")</f>
        <v/>
      </c>
      <c r="BI174" s="11" t="str">
        <f aca="false">IF(AND(AO174=1,OR(LEFT(AM174,3)="ADD",LEFT(AM174,3)="SET",LEFT(AM174,5)="CHECK",LEFT(AM174,10)="TERMINATED")),COUNT($BI$5:BI173)+1,"")</f>
        <v/>
      </c>
      <c r="BJ174" s="11" t="str">
        <f aca="false">IF(AO174=0,"",$A174&amp;" - "&amp;$B174&amp;" "&amp;$C174)</f>
        <v/>
      </c>
    </row>
    <row r="175" customFormat="false" ht="15" hidden="false" customHeight="false" outlineLevel="0" collapsed="false">
      <c r="A175" s="10"/>
      <c r="B175" s="10"/>
      <c r="C175" s="10"/>
      <c r="D175" s="10"/>
      <c r="E175" s="9"/>
      <c r="F175" s="10"/>
      <c r="G175" s="30"/>
      <c r="H175" s="9"/>
      <c r="I175" s="10"/>
      <c r="J175" s="30"/>
      <c r="K175" s="9"/>
      <c r="L175" s="10"/>
      <c r="M175" s="30"/>
      <c r="N175" s="9"/>
      <c r="O175" s="9"/>
      <c r="P175" s="30"/>
      <c r="Q175" s="9"/>
      <c r="R175" s="10"/>
      <c r="S175" s="11" t="str">
        <f aca="false">IF(AO175=0,"",IF($H175="","",$F175&amp;" -&gt; "&amp;$I175&amp;IF($I175="Part-Time"," ("&amp;N($J175)&amp;" hrs)","")&amp;" on "&amp;TEXT($H175,"dd/mm/yyyy")&amp;IF($H175&gt;AsOfDate," (FUTURE)","")&amp;IF($K175="","","; "&amp;$I175&amp;" -&gt; "&amp;$L175&amp;IF($L175="Part-Time"," ("&amp;N($M175)&amp;" hrs)","")&amp;" on "&amp;TEXT($K175,"dd/mm/yyyy")&amp;IF($K175&gt;AsOfDate," (FUTURE)",""))))</f>
        <v/>
      </c>
      <c r="T175" s="11" t="str">
        <f aca="false">IF(AO175=0,"",IF(AS175&lt;&gt;"",$L175,IF(AR175&lt;&gt;"",$I175,$F175)))</f>
        <v/>
      </c>
      <c r="U175" s="26" t="str">
        <f aca="false">IF(AO175=0,"",IF(AS175&lt;&gt;"",$M175,IF(AR175&lt;&gt;"",$J175,$G175)))</f>
        <v/>
      </c>
      <c r="V175" s="11" t="str">
        <f aca="false">IF(AO175=0,"",IF(AY175="FT","Full-Time",IF(AY175="PT","Part-Time","Not eligible")))</f>
        <v/>
      </c>
      <c r="W175" s="27" t="str">
        <f aca="false">IF(AO175=0,"",IF(AR175="",IF(AND($H175&lt;&gt;"",$H175&gt;AsOfDate),"Future change - not yet applied",""),IF(AND(AV175=AY175,OR(AS175="",AW175=AV175)),"Type changed - same accrual pathway",IF(AY175="None","STOPPED accruing from "&amp;TEXT(IF(AS175&lt;&gt;"",AS175,AR175),"dd/mm/yyyy"),IF(AV175="None","STARTED qualifying from "&amp;TEXT(IF(AS175&lt;&gt;"",AS175,AR175),"dd/mm/yyyy"),"Pathway changed "&amp;AV175&amp;" -&gt; "&amp;AW175&amp;IF(AS175&lt;&gt;""," -&gt; "&amp;AX175,"")&amp;" from "&amp;TEXT(IF(AS175&lt;&gt;"",AS175,AR175),"dd/mm/yyyy"))))))</f>
        <v/>
      </c>
      <c r="X175" s="28" t="str">
        <f aca="false">IF(AO175=0,"",IF($Q175="",AsOfDate,MIN(AsOfDate,$Q175)))</f>
        <v/>
      </c>
      <c r="Y175" s="26" t="str">
        <f aca="false">IF(AO175=0,"",MAX(0,AQ175))</f>
        <v/>
      </c>
      <c r="Z175" s="11" t="str">
        <f aca="false">IF(AO175=0,"",IF(AQ175&lt;0,"Not started",INT(AQ175/12)&amp;"y "&amp;MOD(AQ175,12)&amp;"m"))</f>
        <v/>
      </c>
      <c r="AA175" s="27" t="str">
        <f aca="false">IF(AO175=0,"",IF(BF175=1,"Terminated - balance forfeited",IF(AY175="None",IF(AB175&gt;0,"No longer accruing - "&amp;T175,"Not eligible - "&amp;T175&amp;IF(AND(IFERROR(VLOOKUP(T175,TypeTable,2,0),"None")="PT",N(U175)&lt;PT_MinHours)," (under "&amp;PT_MinHours&amp;" hrs)","")),IF(AB175&gt;0,"Yes - accruing","Not yet - qualifies "&amp;TEXT(AD175,"dd/mm/yyyy")))))</f>
        <v/>
      </c>
      <c r="AB175" s="26" t="str">
        <f aca="false">IF(AO175=0,"",AZ175+IF(AR175="",0,BB175-BA175)+IF(AS175="",0,BD175-BC175))</f>
        <v/>
      </c>
      <c r="AC175" s="26" t="str">
        <f aca="false">IF(AO175=0,"",AB175*HoursPerDay)</f>
        <v/>
      </c>
      <c r="AD175" s="28" t="str">
        <f aca="false">IF(AO175=0,"",IF(OR(BF175=1,AY175="None"),"",EDATE($E175+AP175,BE175)))</f>
        <v/>
      </c>
      <c r="AE175" s="26" t="str">
        <f aca="false">IF(AD175="","",IF(AY175="PT",1,IF(BE175&lt;FT_Y5,1,IF(MOD(BE175-FT_Y5,12)=0,FT_AnnivDays,1))))</f>
        <v/>
      </c>
      <c r="AF175" s="27" t="str">
        <f aca="false">IF(AO175=0,"",IF(NOT(EH_Ready),"Map headers",IF(IF(MatchMode="Employee ID",COUNTIFS(INDEX(EH_Data,0,EH_ColID),$A175,INDEX(EH_Data,0,EH_ColCat),BonusCat),COUNTIFS(INDEX(EH_Data,0,EH_ColFirst),$B175,INDEX(EH_Data,0,EH_ColSur),$C175,INDEX(EH_Data,0,EH_ColCat),BonusCat))&gt;0,"Yes","No")))</f>
        <v/>
      </c>
      <c r="AG175" s="26" t="str">
        <f aca="false">IF(AO175=0,"",IF(NOT(EH_Ready),"",IF(MatchMode="Employee ID",SUMIFS(INDEX(EH_Data,0,EH_ColBal),INDEX(EH_Data,0,EH_ColID),$A175,INDEX(EH_Data,0,EH_ColCat),BonusCat),SUMIFS(INDEX(EH_Data,0,EH_ColBal),INDEX(EH_Data,0,EH_ColFirst),$B175,INDEX(EH_Data,0,EH_ColSur),$C175,INDEX(EH_Data,0,EH_ColCat),BonusCat))/IF(EHUnit="Hours",HoursPerDay,1)))</f>
        <v/>
      </c>
      <c r="AH175" s="26" t="str">
        <f aca="false">IF(AO175=0,"",IF(NOT(TK_Ready),0,IF(MatchMode="Employee ID",SUMIFS(INDEX(TK_Data,0,TK_ColAmt),INDEX(TK_Data,0,TK_ColID),$A175,INDEX(TK_Data,0,TK_ColCat),BonusCat),SUMIFS(INDEX(TK_Data,0,TK_ColAmt),INDEX(TK_Data,0,TK_ColFirst),$B175,INDEX(TK_Data,0,TK_ColSur),$C175,INDEX(TK_Data,0,TK_ColCat),BonusCat))/IF(TKUnit="Hours",HoursPerDay,1)))</f>
        <v/>
      </c>
      <c r="AI175" s="26" t="str">
        <f aca="false">IF(AO175=0,"",N(AG175)+N(AH175))</f>
        <v/>
      </c>
      <c r="AJ175" s="29" t="str">
        <f aca="false">IF(AO175=0,"",IF(NOT(AND(EH_Ready,EH_ValReady)),"",IF(MatchMode="Employee ID",SUMIFS(INDEX(EH_Data,0,EH_ColVal),INDEX(EH_Data,0,EH_ColID),$A175,INDEX(EH_Data,0,EH_ColCat),BonusCat),SUMIFS(INDEX(EH_Data,0,EH_ColVal),INDEX(EH_Data,0,EH_ColFirst),$B175,INDEX(EH_Data,0,EH_ColSur),$C175,INDEX(EH_Data,0,EH_ColCat),BonusCat))))</f>
        <v/>
      </c>
      <c r="AK175" s="26" t="str">
        <f aca="false">IF(AO175=0,"",IF(OR(NOT(EH_Ready),BF175=1),"",AB175-AI175))</f>
        <v/>
      </c>
      <c r="AL175" s="26" t="str">
        <f aca="false">IF(AK175="","",AK175*HoursPerDay)</f>
        <v/>
      </c>
      <c r="AM175" s="27" t="str">
        <f aca="false">IF(AO175=0,"",IF(BF175=1,IF(N(AG175)&gt;0,"TERMINATED - forfeit "&amp;TEXT(AG175,"0.##")&amp;" days still in EH","Terminated - nothing in EH"),IF(NOT(EH_Ready),"Paste EH export and map headers on Settings",IF(AND(AB175&gt;0,AF175="No"),"SET UP in EH - add "&amp;TEXT(AB175,"0.##")&amp;" day(s) ("&amp;TEXT(AC175,"0.##")&amp;" hrs)",IF(AK175&gt;0,"ADD "&amp;TEXT(AK175,"0.##")&amp;" day(s) ("&amp;TEXT(AL175,"0.##")&amp;" hrs) in EH",IF(AK175&lt;0,"CHECK - EH shows "&amp;TEXT(-AK175,"0.##")&amp;" days more than policy",IF(AB175&gt;0,"OK - up to date",IF(AY175="None","No action - not eligible","No action - not yet qualified"))))))))</f>
        <v/>
      </c>
      <c r="AN175" s="27" t="str">
        <f aca="false">IF(AO175=0,"",TRIM(IF(AND($K175&lt;&gt;"",$H175=""),"Change 2 entered without Change 1. ","")&amp;IF(AND($K175&lt;&gt;"",$H175&lt;&gt;"",$K175&lt;=$H175),"Change 2 date not after Change 1. ","")&amp;IF(AND($N175&lt;&gt;"",$O175&lt;&gt;"",$O175&lt;$N175),"Leave To is before Leave From. ","")&amp;IF(AND($N175&lt;&gt;"",$O175=""),"Leave From entered without Leave To. ","")&amp;IF(AND(IFERROR(VLOOKUP(T175,TypeTable,2,0),"None")="PT",U175=""),"Part-time with no hours entered. ","")&amp;IF(AND($H175&lt;&gt;"",$H175&gt;AsOfDate,AD175&lt;&gt;"",$H175&lt;=AD175),"Status change lands before next accrual - review. ","")&amp;IF(AND($Q175&lt;&gt;"",$Q175&lt;$E175),"Termination before commencement. ","")))</f>
        <v/>
      </c>
      <c r="AO175" s="11" t="n">
        <f aca="false">IF(LEN($A175&amp;$B175&amp;$C175)=0,0,IF($E175="",0,1))</f>
        <v>0</v>
      </c>
      <c r="AP175" s="11" t="str">
        <f aca="false">IF(AO175=0,"",(IF(OR($N175="",$O175=""),0,MAX(0,MIN(X175,$O175)-MAX($N175,$E175)+1))+N($P175)))</f>
        <v/>
      </c>
      <c r="AQ175" s="11" t="str">
        <f aca="false">IF(AO175=0,"",IF(X175&lt;($E175+(IF(OR($N175="",$O175=""),0,MAX(0,MIN(X175,$O175)-MAX($N175,$E175)+1))+N($P175))),-1,12*(YEAR(X175)-YEAR(($E175+(IF(OR($N175="",$O175=""),0,MAX(0,MIN(X175,$O175)-MAX($N175,$E175)+1))+N($P175)))))+MONTH(X175)-MONTH(($E175+(IF(OR($N175="",$O175=""),0,MAX(0,MIN(X175,$O175)-MAX($N175,$E175)+1))+N($P175))))-IF(DAY(X175)&lt;MIN(DAY(($E175+(IF(OR($N175="",$O175=""),0,MAX(0,MIN(X175,$O175)-MAX($N175,$E175)+1))+N($P175)))),DAY(EOMONTH(X175,0))),1,0)))</f>
        <v/>
      </c>
      <c r="AR175" s="28" t="str">
        <f aca="false">IF(AO175=0,"",IF($H175="","",IF($H175&gt;X175,"",$H175)))</f>
        <v/>
      </c>
      <c r="AS175" s="28" t="str">
        <f aca="false">IF(AO175=0,"",IF(AR175="","",IF($K175="","",IF($K175&gt;X175,"",$K175))))</f>
        <v/>
      </c>
      <c r="AT175" s="11" t="str">
        <f aca="false">IF(AO175=0,"",IF(AR175="",AQ175,IF((AR175-1)&lt;($E175+(IF(OR($N175="",$O175=""),0,MAX(0,MIN((AR175-1),$O175)-MAX($N175,$E175)+1))+N($P175))),-1,12*(YEAR((AR175-1))-YEAR(($E175+(IF(OR($N175="",$O175=""),0,MAX(0,MIN((AR175-1),$O175)-MAX($N175,$E175)+1))+N($P175)))))+MONTH((AR175-1))-MONTH(($E175+(IF(OR($N175="",$O175=""),0,MAX(0,MIN((AR175-1),$O175)-MAX($N175,$E175)+1))+N($P175))))-IF(DAY((AR175-1))&lt;MIN(DAY(($E175+(IF(OR($N175="",$O175=""),0,MAX(0,MIN((AR175-1),$O175)-MAX($N175,$E175)+1))+N($P175)))),DAY(EOMONTH((AR175-1),0))),1,0))))</f>
        <v/>
      </c>
      <c r="AU175" s="11" t="str">
        <f aca="false">IF(AO175=0,"",IF(AS175="",AQ175,IF((AS175-1)&lt;($E175+(IF(OR($N175="",$O175=""),0,MAX(0,MIN((AS175-1),$O175)-MAX($N175,$E175)+1))+N($P175))),-1,12*(YEAR((AS175-1))-YEAR(($E175+(IF(OR($N175="",$O175=""),0,MAX(0,MIN((AS175-1),$O175)-MAX($N175,$E175)+1))+N($P175)))))+MONTH((AS175-1))-MONTH(($E175+(IF(OR($N175="",$O175=""),0,MAX(0,MIN((AS175-1),$O175)-MAX($N175,$E175)+1))+N($P175))))-IF(DAY((AS175-1))&lt;MIN(DAY(($E175+(IF(OR($N175="",$O175=""),0,MAX(0,MIN((AS175-1),$O175)-MAX($N175,$E175)+1))+N($P175)))),DAY(EOMONTH((AS175-1),0))),1,0))))</f>
        <v/>
      </c>
      <c r="AV175" s="11" t="str">
        <f aca="false">IF(AO175=0,"",IF($F175="","None",IF(IFERROR(VLOOKUP($F175,TypeTable,2,0),"None")="PT",IF(N($G175)&gt;=PT_MinHours,"PT","None"),IFERROR(VLOOKUP($F175,TypeTable,2,0),"None"))))</f>
        <v/>
      </c>
      <c r="AW175" s="11" t="str">
        <f aca="false">IF(AO175=0,"",IF($I175="","None",IF(IFERROR(VLOOKUP($I175,TypeTable,2,0),"None")="PT",IF(N($J175)&gt;=PT_MinHours,"PT","None"),IFERROR(VLOOKUP($I175,TypeTable,2,0),"None"))))</f>
        <v/>
      </c>
      <c r="AX175" s="11" t="str">
        <f aca="false">IF(AO175=0,"",IF($L175="","None",IF(IFERROR(VLOOKUP($L175,TypeTable,2,0),"None")="PT",IF(N($M175)&gt;=PT_MinHours,"PT","None"),IFERROR(VLOOKUP($L175,TypeTable,2,0),"None"))))</f>
        <v/>
      </c>
      <c r="AY175" s="11" t="str">
        <f aca="false">IF(AO175=0,"",IF(AS175&lt;&gt;"",AX175,IF(AR175&lt;&gt;"",AW175,AV175)))</f>
        <v/>
      </c>
      <c r="AZ175" s="11" t="str">
        <f aca="false">IF(AO175=0,"",IF(AV175="FT",IF(AT175&lt;FT_First,0,IF(AT175&lt;FT_Y5,1+INT((AT175-FT_First)/FT_Int1),FT_PreY5+FT_PerYear*INT((AT175-FT_Y5)/12)+FT_AnnivDays+INT(MOD(AT175-FT_Y5,12)/FT_Int2))),IF(AV175="PT",IF(AT175&lt;PT_First,0,1+INT((AT175-PT_First)/PT_Int)),0)))</f>
        <v/>
      </c>
      <c r="BA175" s="11" t="str">
        <f aca="false">IF(AO175=0,"",IF(AW175="FT",IF(AT175&lt;FT_First,0,IF(AT175&lt;FT_Y5,1+INT((AT175-FT_First)/FT_Int1),FT_PreY5+FT_PerYear*INT((AT175-FT_Y5)/12)+FT_AnnivDays+INT(MOD(AT175-FT_Y5,12)/FT_Int2))),IF(AW175="PT",IF(AT175&lt;PT_First,0,1+INT((AT175-PT_First)/PT_Int)),0)))</f>
        <v/>
      </c>
      <c r="BB175" s="11" t="str">
        <f aca="false">IF(AO175=0,"",IF(AW175="FT",IF(AU175&lt;FT_First,0,IF(AU175&lt;FT_Y5,1+INT((AU175-FT_First)/FT_Int1),FT_PreY5+FT_PerYear*INT((AU175-FT_Y5)/12)+FT_AnnivDays+INT(MOD(AU175-FT_Y5,12)/FT_Int2))),IF(AW175="PT",IF(AU175&lt;PT_First,0,1+INT((AU175-PT_First)/PT_Int)),0)))</f>
        <v/>
      </c>
      <c r="BC175" s="11" t="str">
        <f aca="false">IF(AO175=0,"",IF(AX175="FT",IF(AU175&lt;FT_First,0,IF(AU175&lt;FT_Y5,1+INT((AU175-FT_First)/FT_Int1),FT_PreY5+FT_PerYear*INT((AU175-FT_Y5)/12)+FT_AnnivDays+INT(MOD(AU175-FT_Y5,12)/FT_Int2))),IF(AX175="PT",IF(AU175&lt;PT_First,0,1+INT((AU175-PT_First)/PT_Int)),0)))</f>
        <v/>
      </c>
      <c r="BD175" s="11" t="str">
        <f aca="false">IF(AO175=0,"",IF(AX175="FT",IF(AQ175&lt;FT_First,0,IF(AQ175&lt;FT_Y5,1+INT((AQ175-FT_First)/FT_Int1),FT_PreY5+FT_PerYear*INT((AQ175-FT_Y5)/12)+FT_AnnivDays+INT(MOD(AQ175-FT_Y5,12)/FT_Int2))),IF(AX175="PT",IF(AQ175&lt;PT_First,0,1+INT((AQ175-PT_First)/PT_Int)),0)))</f>
        <v/>
      </c>
      <c r="BE175" s="11" t="str">
        <f aca="false">IF(AO175=0,"",IF(AY175="FT",IF(AQ175&lt;FT_First,FT_First,IF(AQ175&lt;FT_Y5,MIN(FT_Y5,FT_First+FT_Int1*(INT((AQ175-FT_First)/FT_Int1)+1)),FT_Y5+12*INT((AQ175-FT_Y5)/12)+FT_Int2*(INT(MOD(AQ175-FT_Y5,12)/FT_Int2)+1))),IF(AY175="PT",IF(AQ175&lt;PT_First,PT_First,PT_First+PT_Int*(INT((AQ175-PT_First)/PT_Int)+1)),"")))</f>
        <v/>
      </c>
      <c r="BF175" s="11" t="n">
        <f aca="false">IF(AO175=0,0,IF(AND($Q175&lt;&gt;"",$Q175&lt;=AsOfDate),1,0))</f>
        <v>0</v>
      </c>
      <c r="BG175" s="11" t="str">
        <f aca="false">IF(AND(AO175=1,BF175=0,EH_Ready,N(AB175)&gt;0,N(AI175)=0),COUNT($BG$5:BG174)+1,"")</f>
        <v/>
      </c>
      <c r="BH175" s="11" t="str">
        <f aca="false">IF(AND(AO175=1,BF175=0,EH_Ready,N(AB175)&gt;0,N(AI175)&gt;0,N(AK175)&gt;0),COUNT($BH$5:BH174)+1,"")</f>
        <v/>
      </c>
      <c r="BI175" s="11" t="str">
        <f aca="false">IF(AND(AO175=1,OR(LEFT(AM175,3)="ADD",LEFT(AM175,3)="SET",LEFT(AM175,5)="CHECK",LEFT(AM175,10)="TERMINATED")),COUNT($BI$5:BI174)+1,"")</f>
        <v/>
      </c>
      <c r="BJ175" s="11" t="str">
        <f aca="false">IF(AO175=0,"",$A175&amp;" - "&amp;$B175&amp;" "&amp;$C175)</f>
        <v/>
      </c>
    </row>
    <row r="176" customFormat="false" ht="15" hidden="false" customHeight="false" outlineLevel="0" collapsed="false">
      <c r="A176" s="10"/>
      <c r="B176" s="10"/>
      <c r="C176" s="10"/>
      <c r="D176" s="10"/>
      <c r="E176" s="9"/>
      <c r="F176" s="10"/>
      <c r="G176" s="30"/>
      <c r="H176" s="9"/>
      <c r="I176" s="10"/>
      <c r="J176" s="30"/>
      <c r="K176" s="9"/>
      <c r="L176" s="10"/>
      <c r="M176" s="30"/>
      <c r="N176" s="9"/>
      <c r="O176" s="9"/>
      <c r="P176" s="30"/>
      <c r="Q176" s="9"/>
      <c r="R176" s="10"/>
      <c r="S176" s="11" t="str">
        <f aca="false">IF(AO176=0,"",IF($H176="","",$F176&amp;" -&gt; "&amp;$I176&amp;IF($I176="Part-Time"," ("&amp;N($J176)&amp;" hrs)","")&amp;" on "&amp;TEXT($H176,"dd/mm/yyyy")&amp;IF($H176&gt;AsOfDate," (FUTURE)","")&amp;IF($K176="","","; "&amp;$I176&amp;" -&gt; "&amp;$L176&amp;IF($L176="Part-Time"," ("&amp;N($M176)&amp;" hrs)","")&amp;" on "&amp;TEXT($K176,"dd/mm/yyyy")&amp;IF($K176&gt;AsOfDate," (FUTURE)",""))))</f>
        <v/>
      </c>
      <c r="T176" s="11" t="str">
        <f aca="false">IF(AO176=0,"",IF(AS176&lt;&gt;"",$L176,IF(AR176&lt;&gt;"",$I176,$F176)))</f>
        <v/>
      </c>
      <c r="U176" s="26" t="str">
        <f aca="false">IF(AO176=0,"",IF(AS176&lt;&gt;"",$M176,IF(AR176&lt;&gt;"",$J176,$G176)))</f>
        <v/>
      </c>
      <c r="V176" s="11" t="str">
        <f aca="false">IF(AO176=0,"",IF(AY176="FT","Full-Time",IF(AY176="PT","Part-Time","Not eligible")))</f>
        <v/>
      </c>
      <c r="W176" s="27" t="str">
        <f aca="false">IF(AO176=0,"",IF(AR176="",IF(AND($H176&lt;&gt;"",$H176&gt;AsOfDate),"Future change - not yet applied",""),IF(AND(AV176=AY176,OR(AS176="",AW176=AV176)),"Type changed - same accrual pathway",IF(AY176="None","STOPPED accruing from "&amp;TEXT(IF(AS176&lt;&gt;"",AS176,AR176),"dd/mm/yyyy"),IF(AV176="None","STARTED qualifying from "&amp;TEXT(IF(AS176&lt;&gt;"",AS176,AR176),"dd/mm/yyyy"),"Pathway changed "&amp;AV176&amp;" -&gt; "&amp;AW176&amp;IF(AS176&lt;&gt;""," -&gt; "&amp;AX176,"")&amp;" from "&amp;TEXT(IF(AS176&lt;&gt;"",AS176,AR176),"dd/mm/yyyy"))))))</f>
        <v/>
      </c>
      <c r="X176" s="28" t="str">
        <f aca="false">IF(AO176=0,"",IF($Q176="",AsOfDate,MIN(AsOfDate,$Q176)))</f>
        <v/>
      </c>
      <c r="Y176" s="26" t="str">
        <f aca="false">IF(AO176=0,"",MAX(0,AQ176))</f>
        <v/>
      </c>
      <c r="Z176" s="11" t="str">
        <f aca="false">IF(AO176=0,"",IF(AQ176&lt;0,"Not started",INT(AQ176/12)&amp;"y "&amp;MOD(AQ176,12)&amp;"m"))</f>
        <v/>
      </c>
      <c r="AA176" s="27" t="str">
        <f aca="false">IF(AO176=0,"",IF(BF176=1,"Terminated - balance forfeited",IF(AY176="None",IF(AB176&gt;0,"No longer accruing - "&amp;T176,"Not eligible - "&amp;T176&amp;IF(AND(IFERROR(VLOOKUP(T176,TypeTable,2,0),"None")="PT",N(U176)&lt;PT_MinHours)," (under "&amp;PT_MinHours&amp;" hrs)","")),IF(AB176&gt;0,"Yes - accruing","Not yet - qualifies "&amp;TEXT(AD176,"dd/mm/yyyy")))))</f>
        <v/>
      </c>
      <c r="AB176" s="26" t="str">
        <f aca="false">IF(AO176=0,"",AZ176+IF(AR176="",0,BB176-BA176)+IF(AS176="",0,BD176-BC176))</f>
        <v/>
      </c>
      <c r="AC176" s="26" t="str">
        <f aca="false">IF(AO176=0,"",AB176*HoursPerDay)</f>
        <v/>
      </c>
      <c r="AD176" s="28" t="str">
        <f aca="false">IF(AO176=0,"",IF(OR(BF176=1,AY176="None"),"",EDATE($E176+AP176,BE176)))</f>
        <v/>
      </c>
      <c r="AE176" s="26" t="str">
        <f aca="false">IF(AD176="","",IF(AY176="PT",1,IF(BE176&lt;FT_Y5,1,IF(MOD(BE176-FT_Y5,12)=0,FT_AnnivDays,1))))</f>
        <v/>
      </c>
      <c r="AF176" s="27" t="str">
        <f aca="false">IF(AO176=0,"",IF(NOT(EH_Ready),"Map headers",IF(IF(MatchMode="Employee ID",COUNTIFS(INDEX(EH_Data,0,EH_ColID),$A176,INDEX(EH_Data,0,EH_ColCat),BonusCat),COUNTIFS(INDEX(EH_Data,0,EH_ColFirst),$B176,INDEX(EH_Data,0,EH_ColSur),$C176,INDEX(EH_Data,0,EH_ColCat),BonusCat))&gt;0,"Yes","No")))</f>
        <v/>
      </c>
      <c r="AG176" s="26" t="str">
        <f aca="false">IF(AO176=0,"",IF(NOT(EH_Ready),"",IF(MatchMode="Employee ID",SUMIFS(INDEX(EH_Data,0,EH_ColBal),INDEX(EH_Data,0,EH_ColID),$A176,INDEX(EH_Data,0,EH_ColCat),BonusCat),SUMIFS(INDEX(EH_Data,0,EH_ColBal),INDEX(EH_Data,0,EH_ColFirst),$B176,INDEX(EH_Data,0,EH_ColSur),$C176,INDEX(EH_Data,0,EH_ColCat),BonusCat))/IF(EHUnit="Hours",HoursPerDay,1)))</f>
        <v/>
      </c>
      <c r="AH176" s="26" t="str">
        <f aca="false">IF(AO176=0,"",IF(NOT(TK_Ready),0,IF(MatchMode="Employee ID",SUMIFS(INDEX(TK_Data,0,TK_ColAmt),INDEX(TK_Data,0,TK_ColID),$A176,INDEX(TK_Data,0,TK_ColCat),BonusCat),SUMIFS(INDEX(TK_Data,0,TK_ColAmt),INDEX(TK_Data,0,TK_ColFirst),$B176,INDEX(TK_Data,0,TK_ColSur),$C176,INDEX(TK_Data,0,TK_ColCat),BonusCat))/IF(TKUnit="Hours",HoursPerDay,1)))</f>
        <v/>
      </c>
      <c r="AI176" s="26" t="str">
        <f aca="false">IF(AO176=0,"",N(AG176)+N(AH176))</f>
        <v/>
      </c>
      <c r="AJ176" s="29" t="str">
        <f aca="false">IF(AO176=0,"",IF(NOT(AND(EH_Ready,EH_ValReady)),"",IF(MatchMode="Employee ID",SUMIFS(INDEX(EH_Data,0,EH_ColVal),INDEX(EH_Data,0,EH_ColID),$A176,INDEX(EH_Data,0,EH_ColCat),BonusCat),SUMIFS(INDEX(EH_Data,0,EH_ColVal),INDEX(EH_Data,0,EH_ColFirst),$B176,INDEX(EH_Data,0,EH_ColSur),$C176,INDEX(EH_Data,0,EH_ColCat),BonusCat))))</f>
        <v/>
      </c>
      <c r="AK176" s="26" t="str">
        <f aca="false">IF(AO176=0,"",IF(OR(NOT(EH_Ready),BF176=1),"",AB176-AI176))</f>
        <v/>
      </c>
      <c r="AL176" s="26" t="str">
        <f aca="false">IF(AK176="","",AK176*HoursPerDay)</f>
        <v/>
      </c>
      <c r="AM176" s="27" t="str">
        <f aca="false">IF(AO176=0,"",IF(BF176=1,IF(N(AG176)&gt;0,"TERMINATED - forfeit "&amp;TEXT(AG176,"0.##")&amp;" days still in EH","Terminated - nothing in EH"),IF(NOT(EH_Ready),"Paste EH export and map headers on Settings",IF(AND(AB176&gt;0,AF176="No"),"SET UP in EH - add "&amp;TEXT(AB176,"0.##")&amp;" day(s) ("&amp;TEXT(AC176,"0.##")&amp;" hrs)",IF(AK176&gt;0,"ADD "&amp;TEXT(AK176,"0.##")&amp;" day(s) ("&amp;TEXT(AL176,"0.##")&amp;" hrs) in EH",IF(AK176&lt;0,"CHECK - EH shows "&amp;TEXT(-AK176,"0.##")&amp;" days more than policy",IF(AB176&gt;0,"OK - up to date",IF(AY176="None","No action - not eligible","No action - not yet qualified"))))))))</f>
        <v/>
      </c>
      <c r="AN176" s="27" t="str">
        <f aca="false">IF(AO176=0,"",TRIM(IF(AND($K176&lt;&gt;"",$H176=""),"Change 2 entered without Change 1. ","")&amp;IF(AND($K176&lt;&gt;"",$H176&lt;&gt;"",$K176&lt;=$H176),"Change 2 date not after Change 1. ","")&amp;IF(AND($N176&lt;&gt;"",$O176&lt;&gt;"",$O176&lt;$N176),"Leave To is before Leave From. ","")&amp;IF(AND($N176&lt;&gt;"",$O176=""),"Leave From entered without Leave To. ","")&amp;IF(AND(IFERROR(VLOOKUP(T176,TypeTable,2,0),"None")="PT",U176=""),"Part-time with no hours entered. ","")&amp;IF(AND($H176&lt;&gt;"",$H176&gt;AsOfDate,AD176&lt;&gt;"",$H176&lt;=AD176),"Status change lands before next accrual - review. ","")&amp;IF(AND($Q176&lt;&gt;"",$Q176&lt;$E176),"Termination before commencement. ","")))</f>
        <v/>
      </c>
      <c r="AO176" s="11" t="n">
        <f aca="false">IF(LEN($A176&amp;$B176&amp;$C176)=0,0,IF($E176="",0,1))</f>
        <v>0</v>
      </c>
      <c r="AP176" s="11" t="str">
        <f aca="false">IF(AO176=0,"",(IF(OR($N176="",$O176=""),0,MAX(0,MIN(X176,$O176)-MAX($N176,$E176)+1))+N($P176)))</f>
        <v/>
      </c>
      <c r="AQ176" s="11" t="str">
        <f aca="false">IF(AO176=0,"",IF(X176&lt;($E176+(IF(OR($N176="",$O176=""),0,MAX(0,MIN(X176,$O176)-MAX($N176,$E176)+1))+N($P176))),-1,12*(YEAR(X176)-YEAR(($E176+(IF(OR($N176="",$O176=""),0,MAX(0,MIN(X176,$O176)-MAX($N176,$E176)+1))+N($P176)))))+MONTH(X176)-MONTH(($E176+(IF(OR($N176="",$O176=""),0,MAX(0,MIN(X176,$O176)-MAX($N176,$E176)+1))+N($P176))))-IF(DAY(X176)&lt;MIN(DAY(($E176+(IF(OR($N176="",$O176=""),0,MAX(0,MIN(X176,$O176)-MAX($N176,$E176)+1))+N($P176)))),DAY(EOMONTH(X176,0))),1,0)))</f>
        <v/>
      </c>
      <c r="AR176" s="28" t="str">
        <f aca="false">IF(AO176=0,"",IF($H176="","",IF($H176&gt;X176,"",$H176)))</f>
        <v/>
      </c>
      <c r="AS176" s="28" t="str">
        <f aca="false">IF(AO176=0,"",IF(AR176="","",IF($K176="","",IF($K176&gt;X176,"",$K176))))</f>
        <v/>
      </c>
      <c r="AT176" s="11" t="str">
        <f aca="false">IF(AO176=0,"",IF(AR176="",AQ176,IF((AR176-1)&lt;($E176+(IF(OR($N176="",$O176=""),0,MAX(0,MIN((AR176-1),$O176)-MAX($N176,$E176)+1))+N($P176))),-1,12*(YEAR((AR176-1))-YEAR(($E176+(IF(OR($N176="",$O176=""),0,MAX(0,MIN((AR176-1),$O176)-MAX($N176,$E176)+1))+N($P176)))))+MONTH((AR176-1))-MONTH(($E176+(IF(OR($N176="",$O176=""),0,MAX(0,MIN((AR176-1),$O176)-MAX($N176,$E176)+1))+N($P176))))-IF(DAY((AR176-1))&lt;MIN(DAY(($E176+(IF(OR($N176="",$O176=""),0,MAX(0,MIN((AR176-1),$O176)-MAX($N176,$E176)+1))+N($P176)))),DAY(EOMONTH((AR176-1),0))),1,0))))</f>
        <v/>
      </c>
      <c r="AU176" s="11" t="str">
        <f aca="false">IF(AO176=0,"",IF(AS176="",AQ176,IF((AS176-1)&lt;($E176+(IF(OR($N176="",$O176=""),0,MAX(0,MIN((AS176-1),$O176)-MAX($N176,$E176)+1))+N($P176))),-1,12*(YEAR((AS176-1))-YEAR(($E176+(IF(OR($N176="",$O176=""),0,MAX(0,MIN((AS176-1),$O176)-MAX($N176,$E176)+1))+N($P176)))))+MONTH((AS176-1))-MONTH(($E176+(IF(OR($N176="",$O176=""),0,MAX(0,MIN((AS176-1),$O176)-MAX($N176,$E176)+1))+N($P176))))-IF(DAY((AS176-1))&lt;MIN(DAY(($E176+(IF(OR($N176="",$O176=""),0,MAX(0,MIN((AS176-1),$O176)-MAX($N176,$E176)+1))+N($P176)))),DAY(EOMONTH((AS176-1),0))),1,0))))</f>
        <v/>
      </c>
      <c r="AV176" s="11" t="str">
        <f aca="false">IF(AO176=0,"",IF($F176="","None",IF(IFERROR(VLOOKUP($F176,TypeTable,2,0),"None")="PT",IF(N($G176)&gt;=PT_MinHours,"PT","None"),IFERROR(VLOOKUP($F176,TypeTable,2,0),"None"))))</f>
        <v/>
      </c>
      <c r="AW176" s="11" t="str">
        <f aca="false">IF(AO176=0,"",IF($I176="","None",IF(IFERROR(VLOOKUP($I176,TypeTable,2,0),"None")="PT",IF(N($J176)&gt;=PT_MinHours,"PT","None"),IFERROR(VLOOKUP($I176,TypeTable,2,0),"None"))))</f>
        <v/>
      </c>
      <c r="AX176" s="11" t="str">
        <f aca="false">IF(AO176=0,"",IF($L176="","None",IF(IFERROR(VLOOKUP($L176,TypeTable,2,0),"None")="PT",IF(N($M176)&gt;=PT_MinHours,"PT","None"),IFERROR(VLOOKUP($L176,TypeTable,2,0),"None"))))</f>
        <v/>
      </c>
      <c r="AY176" s="11" t="str">
        <f aca="false">IF(AO176=0,"",IF(AS176&lt;&gt;"",AX176,IF(AR176&lt;&gt;"",AW176,AV176)))</f>
        <v/>
      </c>
      <c r="AZ176" s="11" t="str">
        <f aca="false">IF(AO176=0,"",IF(AV176="FT",IF(AT176&lt;FT_First,0,IF(AT176&lt;FT_Y5,1+INT((AT176-FT_First)/FT_Int1),FT_PreY5+FT_PerYear*INT((AT176-FT_Y5)/12)+FT_AnnivDays+INT(MOD(AT176-FT_Y5,12)/FT_Int2))),IF(AV176="PT",IF(AT176&lt;PT_First,0,1+INT((AT176-PT_First)/PT_Int)),0)))</f>
        <v/>
      </c>
      <c r="BA176" s="11" t="str">
        <f aca="false">IF(AO176=0,"",IF(AW176="FT",IF(AT176&lt;FT_First,0,IF(AT176&lt;FT_Y5,1+INT((AT176-FT_First)/FT_Int1),FT_PreY5+FT_PerYear*INT((AT176-FT_Y5)/12)+FT_AnnivDays+INT(MOD(AT176-FT_Y5,12)/FT_Int2))),IF(AW176="PT",IF(AT176&lt;PT_First,0,1+INT((AT176-PT_First)/PT_Int)),0)))</f>
        <v/>
      </c>
      <c r="BB176" s="11" t="str">
        <f aca="false">IF(AO176=0,"",IF(AW176="FT",IF(AU176&lt;FT_First,0,IF(AU176&lt;FT_Y5,1+INT((AU176-FT_First)/FT_Int1),FT_PreY5+FT_PerYear*INT((AU176-FT_Y5)/12)+FT_AnnivDays+INT(MOD(AU176-FT_Y5,12)/FT_Int2))),IF(AW176="PT",IF(AU176&lt;PT_First,0,1+INT((AU176-PT_First)/PT_Int)),0)))</f>
        <v/>
      </c>
      <c r="BC176" s="11" t="str">
        <f aca="false">IF(AO176=0,"",IF(AX176="FT",IF(AU176&lt;FT_First,0,IF(AU176&lt;FT_Y5,1+INT((AU176-FT_First)/FT_Int1),FT_PreY5+FT_PerYear*INT((AU176-FT_Y5)/12)+FT_AnnivDays+INT(MOD(AU176-FT_Y5,12)/FT_Int2))),IF(AX176="PT",IF(AU176&lt;PT_First,0,1+INT((AU176-PT_First)/PT_Int)),0)))</f>
        <v/>
      </c>
      <c r="BD176" s="11" t="str">
        <f aca="false">IF(AO176=0,"",IF(AX176="FT",IF(AQ176&lt;FT_First,0,IF(AQ176&lt;FT_Y5,1+INT((AQ176-FT_First)/FT_Int1),FT_PreY5+FT_PerYear*INT((AQ176-FT_Y5)/12)+FT_AnnivDays+INT(MOD(AQ176-FT_Y5,12)/FT_Int2))),IF(AX176="PT",IF(AQ176&lt;PT_First,0,1+INT((AQ176-PT_First)/PT_Int)),0)))</f>
        <v/>
      </c>
      <c r="BE176" s="11" t="str">
        <f aca="false">IF(AO176=0,"",IF(AY176="FT",IF(AQ176&lt;FT_First,FT_First,IF(AQ176&lt;FT_Y5,MIN(FT_Y5,FT_First+FT_Int1*(INT((AQ176-FT_First)/FT_Int1)+1)),FT_Y5+12*INT((AQ176-FT_Y5)/12)+FT_Int2*(INT(MOD(AQ176-FT_Y5,12)/FT_Int2)+1))),IF(AY176="PT",IF(AQ176&lt;PT_First,PT_First,PT_First+PT_Int*(INT((AQ176-PT_First)/PT_Int)+1)),"")))</f>
        <v/>
      </c>
      <c r="BF176" s="11" t="n">
        <f aca="false">IF(AO176=0,0,IF(AND($Q176&lt;&gt;"",$Q176&lt;=AsOfDate),1,0))</f>
        <v>0</v>
      </c>
      <c r="BG176" s="11" t="str">
        <f aca="false">IF(AND(AO176=1,BF176=0,EH_Ready,N(AB176)&gt;0,N(AI176)=0),COUNT($BG$5:BG175)+1,"")</f>
        <v/>
      </c>
      <c r="BH176" s="11" t="str">
        <f aca="false">IF(AND(AO176=1,BF176=0,EH_Ready,N(AB176)&gt;0,N(AI176)&gt;0,N(AK176)&gt;0),COUNT($BH$5:BH175)+1,"")</f>
        <v/>
      </c>
      <c r="BI176" s="11" t="str">
        <f aca="false">IF(AND(AO176=1,OR(LEFT(AM176,3)="ADD",LEFT(AM176,3)="SET",LEFT(AM176,5)="CHECK",LEFT(AM176,10)="TERMINATED")),COUNT($BI$5:BI175)+1,"")</f>
        <v/>
      </c>
      <c r="BJ176" s="11" t="str">
        <f aca="false">IF(AO176=0,"",$A176&amp;" - "&amp;$B176&amp;" "&amp;$C176)</f>
        <v/>
      </c>
    </row>
    <row r="177" customFormat="false" ht="15" hidden="false" customHeight="false" outlineLevel="0" collapsed="false">
      <c r="A177" s="10"/>
      <c r="B177" s="10"/>
      <c r="C177" s="10"/>
      <c r="D177" s="10"/>
      <c r="E177" s="9"/>
      <c r="F177" s="10"/>
      <c r="G177" s="30"/>
      <c r="H177" s="9"/>
      <c r="I177" s="10"/>
      <c r="J177" s="30"/>
      <c r="K177" s="9"/>
      <c r="L177" s="10"/>
      <c r="M177" s="30"/>
      <c r="N177" s="9"/>
      <c r="O177" s="9"/>
      <c r="P177" s="30"/>
      <c r="Q177" s="9"/>
      <c r="R177" s="10"/>
      <c r="S177" s="11" t="str">
        <f aca="false">IF(AO177=0,"",IF($H177="","",$F177&amp;" -&gt; "&amp;$I177&amp;IF($I177="Part-Time"," ("&amp;N($J177)&amp;" hrs)","")&amp;" on "&amp;TEXT($H177,"dd/mm/yyyy")&amp;IF($H177&gt;AsOfDate," (FUTURE)","")&amp;IF($K177="","","; "&amp;$I177&amp;" -&gt; "&amp;$L177&amp;IF($L177="Part-Time"," ("&amp;N($M177)&amp;" hrs)","")&amp;" on "&amp;TEXT($K177,"dd/mm/yyyy")&amp;IF($K177&gt;AsOfDate," (FUTURE)",""))))</f>
        <v/>
      </c>
      <c r="T177" s="11" t="str">
        <f aca="false">IF(AO177=0,"",IF(AS177&lt;&gt;"",$L177,IF(AR177&lt;&gt;"",$I177,$F177)))</f>
        <v/>
      </c>
      <c r="U177" s="26" t="str">
        <f aca="false">IF(AO177=0,"",IF(AS177&lt;&gt;"",$M177,IF(AR177&lt;&gt;"",$J177,$G177)))</f>
        <v/>
      </c>
      <c r="V177" s="11" t="str">
        <f aca="false">IF(AO177=0,"",IF(AY177="FT","Full-Time",IF(AY177="PT","Part-Time","Not eligible")))</f>
        <v/>
      </c>
      <c r="W177" s="27" t="str">
        <f aca="false">IF(AO177=0,"",IF(AR177="",IF(AND($H177&lt;&gt;"",$H177&gt;AsOfDate),"Future change - not yet applied",""),IF(AND(AV177=AY177,OR(AS177="",AW177=AV177)),"Type changed - same accrual pathway",IF(AY177="None","STOPPED accruing from "&amp;TEXT(IF(AS177&lt;&gt;"",AS177,AR177),"dd/mm/yyyy"),IF(AV177="None","STARTED qualifying from "&amp;TEXT(IF(AS177&lt;&gt;"",AS177,AR177),"dd/mm/yyyy"),"Pathway changed "&amp;AV177&amp;" -&gt; "&amp;AW177&amp;IF(AS177&lt;&gt;""," -&gt; "&amp;AX177,"")&amp;" from "&amp;TEXT(IF(AS177&lt;&gt;"",AS177,AR177),"dd/mm/yyyy"))))))</f>
        <v/>
      </c>
      <c r="X177" s="28" t="str">
        <f aca="false">IF(AO177=0,"",IF($Q177="",AsOfDate,MIN(AsOfDate,$Q177)))</f>
        <v/>
      </c>
      <c r="Y177" s="26" t="str">
        <f aca="false">IF(AO177=0,"",MAX(0,AQ177))</f>
        <v/>
      </c>
      <c r="Z177" s="11" t="str">
        <f aca="false">IF(AO177=0,"",IF(AQ177&lt;0,"Not started",INT(AQ177/12)&amp;"y "&amp;MOD(AQ177,12)&amp;"m"))</f>
        <v/>
      </c>
      <c r="AA177" s="27" t="str">
        <f aca="false">IF(AO177=0,"",IF(BF177=1,"Terminated - balance forfeited",IF(AY177="None",IF(AB177&gt;0,"No longer accruing - "&amp;T177,"Not eligible - "&amp;T177&amp;IF(AND(IFERROR(VLOOKUP(T177,TypeTable,2,0),"None")="PT",N(U177)&lt;PT_MinHours)," (under "&amp;PT_MinHours&amp;" hrs)","")),IF(AB177&gt;0,"Yes - accruing","Not yet - qualifies "&amp;TEXT(AD177,"dd/mm/yyyy")))))</f>
        <v/>
      </c>
      <c r="AB177" s="26" t="str">
        <f aca="false">IF(AO177=0,"",AZ177+IF(AR177="",0,BB177-BA177)+IF(AS177="",0,BD177-BC177))</f>
        <v/>
      </c>
      <c r="AC177" s="26" t="str">
        <f aca="false">IF(AO177=0,"",AB177*HoursPerDay)</f>
        <v/>
      </c>
      <c r="AD177" s="28" t="str">
        <f aca="false">IF(AO177=0,"",IF(OR(BF177=1,AY177="None"),"",EDATE($E177+AP177,BE177)))</f>
        <v/>
      </c>
      <c r="AE177" s="26" t="str">
        <f aca="false">IF(AD177="","",IF(AY177="PT",1,IF(BE177&lt;FT_Y5,1,IF(MOD(BE177-FT_Y5,12)=0,FT_AnnivDays,1))))</f>
        <v/>
      </c>
      <c r="AF177" s="27" t="str">
        <f aca="false">IF(AO177=0,"",IF(NOT(EH_Ready),"Map headers",IF(IF(MatchMode="Employee ID",COUNTIFS(INDEX(EH_Data,0,EH_ColID),$A177,INDEX(EH_Data,0,EH_ColCat),BonusCat),COUNTIFS(INDEX(EH_Data,0,EH_ColFirst),$B177,INDEX(EH_Data,0,EH_ColSur),$C177,INDEX(EH_Data,0,EH_ColCat),BonusCat))&gt;0,"Yes","No")))</f>
        <v/>
      </c>
      <c r="AG177" s="26" t="str">
        <f aca="false">IF(AO177=0,"",IF(NOT(EH_Ready),"",IF(MatchMode="Employee ID",SUMIFS(INDEX(EH_Data,0,EH_ColBal),INDEX(EH_Data,0,EH_ColID),$A177,INDEX(EH_Data,0,EH_ColCat),BonusCat),SUMIFS(INDEX(EH_Data,0,EH_ColBal),INDEX(EH_Data,0,EH_ColFirst),$B177,INDEX(EH_Data,0,EH_ColSur),$C177,INDEX(EH_Data,0,EH_ColCat),BonusCat))/IF(EHUnit="Hours",HoursPerDay,1)))</f>
        <v/>
      </c>
      <c r="AH177" s="26" t="str">
        <f aca="false">IF(AO177=0,"",IF(NOT(TK_Ready),0,IF(MatchMode="Employee ID",SUMIFS(INDEX(TK_Data,0,TK_ColAmt),INDEX(TK_Data,0,TK_ColID),$A177,INDEX(TK_Data,0,TK_ColCat),BonusCat),SUMIFS(INDEX(TK_Data,0,TK_ColAmt),INDEX(TK_Data,0,TK_ColFirst),$B177,INDEX(TK_Data,0,TK_ColSur),$C177,INDEX(TK_Data,0,TK_ColCat),BonusCat))/IF(TKUnit="Hours",HoursPerDay,1)))</f>
        <v/>
      </c>
      <c r="AI177" s="26" t="str">
        <f aca="false">IF(AO177=0,"",N(AG177)+N(AH177))</f>
        <v/>
      </c>
      <c r="AJ177" s="29" t="str">
        <f aca="false">IF(AO177=0,"",IF(NOT(AND(EH_Ready,EH_ValReady)),"",IF(MatchMode="Employee ID",SUMIFS(INDEX(EH_Data,0,EH_ColVal),INDEX(EH_Data,0,EH_ColID),$A177,INDEX(EH_Data,0,EH_ColCat),BonusCat),SUMIFS(INDEX(EH_Data,0,EH_ColVal),INDEX(EH_Data,0,EH_ColFirst),$B177,INDEX(EH_Data,0,EH_ColSur),$C177,INDEX(EH_Data,0,EH_ColCat),BonusCat))))</f>
        <v/>
      </c>
      <c r="AK177" s="26" t="str">
        <f aca="false">IF(AO177=0,"",IF(OR(NOT(EH_Ready),BF177=1),"",AB177-AI177))</f>
        <v/>
      </c>
      <c r="AL177" s="26" t="str">
        <f aca="false">IF(AK177="","",AK177*HoursPerDay)</f>
        <v/>
      </c>
      <c r="AM177" s="27" t="str">
        <f aca="false">IF(AO177=0,"",IF(BF177=1,IF(N(AG177)&gt;0,"TERMINATED - forfeit "&amp;TEXT(AG177,"0.##")&amp;" days still in EH","Terminated - nothing in EH"),IF(NOT(EH_Ready),"Paste EH export and map headers on Settings",IF(AND(AB177&gt;0,AF177="No"),"SET UP in EH - add "&amp;TEXT(AB177,"0.##")&amp;" day(s) ("&amp;TEXT(AC177,"0.##")&amp;" hrs)",IF(AK177&gt;0,"ADD "&amp;TEXT(AK177,"0.##")&amp;" day(s) ("&amp;TEXT(AL177,"0.##")&amp;" hrs) in EH",IF(AK177&lt;0,"CHECK - EH shows "&amp;TEXT(-AK177,"0.##")&amp;" days more than policy",IF(AB177&gt;0,"OK - up to date",IF(AY177="None","No action - not eligible","No action - not yet qualified"))))))))</f>
        <v/>
      </c>
      <c r="AN177" s="27" t="str">
        <f aca="false">IF(AO177=0,"",TRIM(IF(AND($K177&lt;&gt;"",$H177=""),"Change 2 entered without Change 1. ","")&amp;IF(AND($K177&lt;&gt;"",$H177&lt;&gt;"",$K177&lt;=$H177),"Change 2 date not after Change 1. ","")&amp;IF(AND($N177&lt;&gt;"",$O177&lt;&gt;"",$O177&lt;$N177),"Leave To is before Leave From. ","")&amp;IF(AND($N177&lt;&gt;"",$O177=""),"Leave From entered without Leave To. ","")&amp;IF(AND(IFERROR(VLOOKUP(T177,TypeTable,2,0),"None")="PT",U177=""),"Part-time with no hours entered. ","")&amp;IF(AND($H177&lt;&gt;"",$H177&gt;AsOfDate,AD177&lt;&gt;"",$H177&lt;=AD177),"Status change lands before next accrual - review. ","")&amp;IF(AND($Q177&lt;&gt;"",$Q177&lt;$E177),"Termination before commencement. ","")))</f>
        <v/>
      </c>
      <c r="AO177" s="11" t="n">
        <f aca="false">IF(LEN($A177&amp;$B177&amp;$C177)=0,0,IF($E177="",0,1))</f>
        <v>0</v>
      </c>
      <c r="AP177" s="11" t="str">
        <f aca="false">IF(AO177=0,"",(IF(OR($N177="",$O177=""),0,MAX(0,MIN(X177,$O177)-MAX($N177,$E177)+1))+N($P177)))</f>
        <v/>
      </c>
      <c r="AQ177" s="11" t="str">
        <f aca="false">IF(AO177=0,"",IF(X177&lt;($E177+(IF(OR($N177="",$O177=""),0,MAX(0,MIN(X177,$O177)-MAX($N177,$E177)+1))+N($P177))),-1,12*(YEAR(X177)-YEAR(($E177+(IF(OR($N177="",$O177=""),0,MAX(0,MIN(X177,$O177)-MAX($N177,$E177)+1))+N($P177)))))+MONTH(X177)-MONTH(($E177+(IF(OR($N177="",$O177=""),0,MAX(0,MIN(X177,$O177)-MAX($N177,$E177)+1))+N($P177))))-IF(DAY(X177)&lt;MIN(DAY(($E177+(IF(OR($N177="",$O177=""),0,MAX(0,MIN(X177,$O177)-MAX($N177,$E177)+1))+N($P177)))),DAY(EOMONTH(X177,0))),1,0)))</f>
        <v/>
      </c>
      <c r="AR177" s="28" t="str">
        <f aca="false">IF(AO177=0,"",IF($H177="","",IF($H177&gt;X177,"",$H177)))</f>
        <v/>
      </c>
      <c r="AS177" s="28" t="str">
        <f aca="false">IF(AO177=0,"",IF(AR177="","",IF($K177="","",IF($K177&gt;X177,"",$K177))))</f>
        <v/>
      </c>
      <c r="AT177" s="11" t="str">
        <f aca="false">IF(AO177=0,"",IF(AR177="",AQ177,IF((AR177-1)&lt;($E177+(IF(OR($N177="",$O177=""),0,MAX(0,MIN((AR177-1),$O177)-MAX($N177,$E177)+1))+N($P177))),-1,12*(YEAR((AR177-1))-YEAR(($E177+(IF(OR($N177="",$O177=""),0,MAX(0,MIN((AR177-1),$O177)-MAX($N177,$E177)+1))+N($P177)))))+MONTH((AR177-1))-MONTH(($E177+(IF(OR($N177="",$O177=""),0,MAX(0,MIN((AR177-1),$O177)-MAX($N177,$E177)+1))+N($P177))))-IF(DAY((AR177-1))&lt;MIN(DAY(($E177+(IF(OR($N177="",$O177=""),0,MAX(0,MIN((AR177-1),$O177)-MAX($N177,$E177)+1))+N($P177)))),DAY(EOMONTH((AR177-1),0))),1,0))))</f>
        <v/>
      </c>
      <c r="AU177" s="11" t="str">
        <f aca="false">IF(AO177=0,"",IF(AS177="",AQ177,IF((AS177-1)&lt;($E177+(IF(OR($N177="",$O177=""),0,MAX(0,MIN((AS177-1),$O177)-MAX($N177,$E177)+1))+N($P177))),-1,12*(YEAR((AS177-1))-YEAR(($E177+(IF(OR($N177="",$O177=""),0,MAX(0,MIN((AS177-1),$O177)-MAX($N177,$E177)+1))+N($P177)))))+MONTH((AS177-1))-MONTH(($E177+(IF(OR($N177="",$O177=""),0,MAX(0,MIN((AS177-1),$O177)-MAX($N177,$E177)+1))+N($P177))))-IF(DAY((AS177-1))&lt;MIN(DAY(($E177+(IF(OR($N177="",$O177=""),0,MAX(0,MIN((AS177-1),$O177)-MAX($N177,$E177)+1))+N($P177)))),DAY(EOMONTH((AS177-1),0))),1,0))))</f>
        <v/>
      </c>
      <c r="AV177" s="11" t="str">
        <f aca="false">IF(AO177=0,"",IF($F177="","None",IF(IFERROR(VLOOKUP($F177,TypeTable,2,0),"None")="PT",IF(N($G177)&gt;=PT_MinHours,"PT","None"),IFERROR(VLOOKUP($F177,TypeTable,2,0),"None"))))</f>
        <v/>
      </c>
      <c r="AW177" s="11" t="str">
        <f aca="false">IF(AO177=0,"",IF($I177="","None",IF(IFERROR(VLOOKUP($I177,TypeTable,2,0),"None")="PT",IF(N($J177)&gt;=PT_MinHours,"PT","None"),IFERROR(VLOOKUP($I177,TypeTable,2,0),"None"))))</f>
        <v/>
      </c>
      <c r="AX177" s="11" t="str">
        <f aca="false">IF(AO177=0,"",IF($L177="","None",IF(IFERROR(VLOOKUP($L177,TypeTable,2,0),"None")="PT",IF(N($M177)&gt;=PT_MinHours,"PT","None"),IFERROR(VLOOKUP($L177,TypeTable,2,0),"None"))))</f>
        <v/>
      </c>
      <c r="AY177" s="11" t="str">
        <f aca="false">IF(AO177=0,"",IF(AS177&lt;&gt;"",AX177,IF(AR177&lt;&gt;"",AW177,AV177)))</f>
        <v/>
      </c>
      <c r="AZ177" s="11" t="str">
        <f aca="false">IF(AO177=0,"",IF(AV177="FT",IF(AT177&lt;FT_First,0,IF(AT177&lt;FT_Y5,1+INT((AT177-FT_First)/FT_Int1),FT_PreY5+FT_PerYear*INT((AT177-FT_Y5)/12)+FT_AnnivDays+INT(MOD(AT177-FT_Y5,12)/FT_Int2))),IF(AV177="PT",IF(AT177&lt;PT_First,0,1+INT((AT177-PT_First)/PT_Int)),0)))</f>
        <v/>
      </c>
      <c r="BA177" s="11" t="str">
        <f aca="false">IF(AO177=0,"",IF(AW177="FT",IF(AT177&lt;FT_First,0,IF(AT177&lt;FT_Y5,1+INT((AT177-FT_First)/FT_Int1),FT_PreY5+FT_PerYear*INT((AT177-FT_Y5)/12)+FT_AnnivDays+INT(MOD(AT177-FT_Y5,12)/FT_Int2))),IF(AW177="PT",IF(AT177&lt;PT_First,0,1+INT((AT177-PT_First)/PT_Int)),0)))</f>
        <v/>
      </c>
      <c r="BB177" s="11" t="str">
        <f aca="false">IF(AO177=0,"",IF(AW177="FT",IF(AU177&lt;FT_First,0,IF(AU177&lt;FT_Y5,1+INT((AU177-FT_First)/FT_Int1),FT_PreY5+FT_PerYear*INT((AU177-FT_Y5)/12)+FT_AnnivDays+INT(MOD(AU177-FT_Y5,12)/FT_Int2))),IF(AW177="PT",IF(AU177&lt;PT_First,0,1+INT((AU177-PT_First)/PT_Int)),0)))</f>
        <v/>
      </c>
      <c r="BC177" s="11" t="str">
        <f aca="false">IF(AO177=0,"",IF(AX177="FT",IF(AU177&lt;FT_First,0,IF(AU177&lt;FT_Y5,1+INT((AU177-FT_First)/FT_Int1),FT_PreY5+FT_PerYear*INT((AU177-FT_Y5)/12)+FT_AnnivDays+INT(MOD(AU177-FT_Y5,12)/FT_Int2))),IF(AX177="PT",IF(AU177&lt;PT_First,0,1+INT((AU177-PT_First)/PT_Int)),0)))</f>
        <v/>
      </c>
      <c r="BD177" s="11" t="str">
        <f aca="false">IF(AO177=0,"",IF(AX177="FT",IF(AQ177&lt;FT_First,0,IF(AQ177&lt;FT_Y5,1+INT((AQ177-FT_First)/FT_Int1),FT_PreY5+FT_PerYear*INT((AQ177-FT_Y5)/12)+FT_AnnivDays+INT(MOD(AQ177-FT_Y5,12)/FT_Int2))),IF(AX177="PT",IF(AQ177&lt;PT_First,0,1+INT((AQ177-PT_First)/PT_Int)),0)))</f>
        <v/>
      </c>
      <c r="BE177" s="11" t="str">
        <f aca="false">IF(AO177=0,"",IF(AY177="FT",IF(AQ177&lt;FT_First,FT_First,IF(AQ177&lt;FT_Y5,MIN(FT_Y5,FT_First+FT_Int1*(INT((AQ177-FT_First)/FT_Int1)+1)),FT_Y5+12*INT((AQ177-FT_Y5)/12)+FT_Int2*(INT(MOD(AQ177-FT_Y5,12)/FT_Int2)+1))),IF(AY177="PT",IF(AQ177&lt;PT_First,PT_First,PT_First+PT_Int*(INT((AQ177-PT_First)/PT_Int)+1)),"")))</f>
        <v/>
      </c>
      <c r="BF177" s="11" t="n">
        <f aca="false">IF(AO177=0,0,IF(AND($Q177&lt;&gt;"",$Q177&lt;=AsOfDate),1,0))</f>
        <v>0</v>
      </c>
      <c r="BG177" s="11" t="str">
        <f aca="false">IF(AND(AO177=1,BF177=0,EH_Ready,N(AB177)&gt;0,N(AI177)=0),COUNT($BG$5:BG176)+1,"")</f>
        <v/>
      </c>
      <c r="BH177" s="11" t="str">
        <f aca="false">IF(AND(AO177=1,BF177=0,EH_Ready,N(AB177)&gt;0,N(AI177)&gt;0,N(AK177)&gt;0),COUNT($BH$5:BH176)+1,"")</f>
        <v/>
      </c>
      <c r="BI177" s="11" t="str">
        <f aca="false">IF(AND(AO177=1,OR(LEFT(AM177,3)="ADD",LEFT(AM177,3)="SET",LEFT(AM177,5)="CHECK",LEFT(AM177,10)="TERMINATED")),COUNT($BI$5:BI176)+1,"")</f>
        <v/>
      </c>
      <c r="BJ177" s="11" t="str">
        <f aca="false">IF(AO177=0,"",$A177&amp;" - "&amp;$B177&amp;" "&amp;$C177)</f>
        <v/>
      </c>
    </row>
    <row r="178" customFormat="false" ht="15" hidden="false" customHeight="false" outlineLevel="0" collapsed="false">
      <c r="A178" s="10"/>
      <c r="B178" s="10"/>
      <c r="C178" s="10"/>
      <c r="D178" s="10"/>
      <c r="E178" s="9"/>
      <c r="F178" s="10"/>
      <c r="G178" s="30"/>
      <c r="H178" s="9"/>
      <c r="I178" s="10"/>
      <c r="J178" s="30"/>
      <c r="K178" s="9"/>
      <c r="L178" s="10"/>
      <c r="M178" s="30"/>
      <c r="N178" s="9"/>
      <c r="O178" s="9"/>
      <c r="P178" s="30"/>
      <c r="Q178" s="9"/>
      <c r="R178" s="10"/>
      <c r="S178" s="11" t="str">
        <f aca="false">IF(AO178=0,"",IF($H178="","",$F178&amp;" -&gt; "&amp;$I178&amp;IF($I178="Part-Time"," ("&amp;N($J178)&amp;" hrs)","")&amp;" on "&amp;TEXT($H178,"dd/mm/yyyy")&amp;IF($H178&gt;AsOfDate," (FUTURE)","")&amp;IF($K178="","","; "&amp;$I178&amp;" -&gt; "&amp;$L178&amp;IF($L178="Part-Time"," ("&amp;N($M178)&amp;" hrs)","")&amp;" on "&amp;TEXT($K178,"dd/mm/yyyy")&amp;IF($K178&gt;AsOfDate," (FUTURE)",""))))</f>
        <v/>
      </c>
      <c r="T178" s="11" t="str">
        <f aca="false">IF(AO178=0,"",IF(AS178&lt;&gt;"",$L178,IF(AR178&lt;&gt;"",$I178,$F178)))</f>
        <v/>
      </c>
      <c r="U178" s="26" t="str">
        <f aca="false">IF(AO178=0,"",IF(AS178&lt;&gt;"",$M178,IF(AR178&lt;&gt;"",$J178,$G178)))</f>
        <v/>
      </c>
      <c r="V178" s="11" t="str">
        <f aca="false">IF(AO178=0,"",IF(AY178="FT","Full-Time",IF(AY178="PT","Part-Time","Not eligible")))</f>
        <v/>
      </c>
      <c r="W178" s="27" t="str">
        <f aca="false">IF(AO178=0,"",IF(AR178="",IF(AND($H178&lt;&gt;"",$H178&gt;AsOfDate),"Future change - not yet applied",""),IF(AND(AV178=AY178,OR(AS178="",AW178=AV178)),"Type changed - same accrual pathway",IF(AY178="None","STOPPED accruing from "&amp;TEXT(IF(AS178&lt;&gt;"",AS178,AR178),"dd/mm/yyyy"),IF(AV178="None","STARTED qualifying from "&amp;TEXT(IF(AS178&lt;&gt;"",AS178,AR178),"dd/mm/yyyy"),"Pathway changed "&amp;AV178&amp;" -&gt; "&amp;AW178&amp;IF(AS178&lt;&gt;""," -&gt; "&amp;AX178,"")&amp;" from "&amp;TEXT(IF(AS178&lt;&gt;"",AS178,AR178),"dd/mm/yyyy"))))))</f>
        <v/>
      </c>
      <c r="X178" s="28" t="str">
        <f aca="false">IF(AO178=0,"",IF($Q178="",AsOfDate,MIN(AsOfDate,$Q178)))</f>
        <v/>
      </c>
      <c r="Y178" s="26" t="str">
        <f aca="false">IF(AO178=0,"",MAX(0,AQ178))</f>
        <v/>
      </c>
      <c r="Z178" s="11" t="str">
        <f aca="false">IF(AO178=0,"",IF(AQ178&lt;0,"Not started",INT(AQ178/12)&amp;"y "&amp;MOD(AQ178,12)&amp;"m"))</f>
        <v/>
      </c>
      <c r="AA178" s="27" t="str">
        <f aca="false">IF(AO178=0,"",IF(BF178=1,"Terminated - balance forfeited",IF(AY178="None",IF(AB178&gt;0,"No longer accruing - "&amp;T178,"Not eligible - "&amp;T178&amp;IF(AND(IFERROR(VLOOKUP(T178,TypeTable,2,0),"None")="PT",N(U178)&lt;PT_MinHours)," (under "&amp;PT_MinHours&amp;" hrs)","")),IF(AB178&gt;0,"Yes - accruing","Not yet - qualifies "&amp;TEXT(AD178,"dd/mm/yyyy")))))</f>
        <v/>
      </c>
      <c r="AB178" s="26" t="str">
        <f aca="false">IF(AO178=0,"",AZ178+IF(AR178="",0,BB178-BA178)+IF(AS178="",0,BD178-BC178))</f>
        <v/>
      </c>
      <c r="AC178" s="26" t="str">
        <f aca="false">IF(AO178=0,"",AB178*HoursPerDay)</f>
        <v/>
      </c>
      <c r="AD178" s="28" t="str">
        <f aca="false">IF(AO178=0,"",IF(OR(BF178=1,AY178="None"),"",EDATE($E178+AP178,BE178)))</f>
        <v/>
      </c>
      <c r="AE178" s="26" t="str">
        <f aca="false">IF(AD178="","",IF(AY178="PT",1,IF(BE178&lt;FT_Y5,1,IF(MOD(BE178-FT_Y5,12)=0,FT_AnnivDays,1))))</f>
        <v/>
      </c>
      <c r="AF178" s="27" t="str">
        <f aca="false">IF(AO178=0,"",IF(NOT(EH_Ready),"Map headers",IF(IF(MatchMode="Employee ID",COUNTIFS(INDEX(EH_Data,0,EH_ColID),$A178,INDEX(EH_Data,0,EH_ColCat),BonusCat),COUNTIFS(INDEX(EH_Data,0,EH_ColFirst),$B178,INDEX(EH_Data,0,EH_ColSur),$C178,INDEX(EH_Data,0,EH_ColCat),BonusCat))&gt;0,"Yes","No")))</f>
        <v/>
      </c>
      <c r="AG178" s="26" t="str">
        <f aca="false">IF(AO178=0,"",IF(NOT(EH_Ready),"",IF(MatchMode="Employee ID",SUMIFS(INDEX(EH_Data,0,EH_ColBal),INDEX(EH_Data,0,EH_ColID),$A178,INDEX(EH_Data,0,EH_ColCat),BonusCat),SUMIFS(INDEX(EH_Data,0,EH_ColBal),INDEX(EH_Data,0,EH_ColFirst),$B178,INDEX(EH_Data,0,EH_ColSur),$C178,INDEX(EH_Data,0,EH_ColCat),BonusCat))/IF(EHUnit="Hours",HoursPerDay,1)))</f>
        <v/>
      </c>
      <c r="AH178" s="26" t="str">
        <f aca="false">IF(AO178=0,"",IF(NOT(TK_Ready),0,IF(MatchMode="Employee ID",SUMIFS(INDEX(TK_Data,0,TK_ColAmt),INDEX(TK_Data,0,TK_ColID),$A178,INDEX(TK_Data,0,TK_ColCat),BonusCat),SUMIFS(INDEX(TK_Data,0,TK_ColAmt),INDEX(TK_Data,0,TK_ColFirst),$B178,INDEX(TK_Data,0,TK_ColSur),$C178,INDEX(TK_Data,0,TK_ColCat),BonusCat))/IF(TKUnit="Hours",HoursPerDay,1)))</f>
        <v/>
      </c>
      <c r="AI178" s="26" t="str">
        <f aca="false">IF(AO178=0,"",N(AG178)+N(AH178))</f>
        <v/>
      </c>
      <c r="AJ178" s="29" t="str">
        <f aca="false">IF(AO178=0,"",IF(NOT(AND(EH_Ready,EH_ValReady)),"",IF(MatchMode="Employee ID",SUMIFS(INDEX(EH_Data,0,EH_ColVal),INDEX(EH_Data,0,EH_ColID),$A178,INDEX(EH_Data,0,EH_ColCat),BonusCat),SUMIFS(INDEX(EH_Data,0,EH_ColVal),INDEX(EH_Data,0,EH_ColFirst),$B178,INDEX(EH_Data,0,EH_ColSur),$C178,INDEX(EH_Data,0,EH_ColCat),BonusCat))))</f>
        <v/>
      </c>
      <c r="AK178" s="26" t="str">
        <f aca="false">IF(AO178=0,"",IF(OR(NOT(EH_Ready),BF178=1),"",AB178-AI178))</f>
        <v/>
      </c>
      <c r="AL178" s="26" t="str">
        <f aca="false">IF(AK178="","",AK178*HoursPerDay)</f>
        <v/>
      </c>
      <c r="AM178" s="27" t="str">
        <f aca="false">IF(AO178=0,"",IF(BF178=1,IF(N(AG178)&gt;0,"TERMINATED - forfeit "&amp;TEXT(AG178,"0.##")&amp;" days still in EH","Terminated - nothing in EH"),IF(NOT(EH_Ready),"Paste EH export and map headers on Settings",IF(AND(AB178&gt;0,AF178="No"),"SET UP in EH - add "&amp;TEXT(AB178,"0.##")&amp;" day(s) ("&amp;TEXT(AC178,"0.##")&amp;" hrs)",IF(AK178&gt;0,"ADD "&amp;TEXT(AK178,"0.##")&amp;" day(s) ("&amp;TEXT(AL178,"0.##")&amp;" hrs) in EH",IF(AK178&lt;0,"CHECK - EH shows "&amp;TEXT(-AK178,"0.##")&amp;" days more than policy",IF(AB178&gt;0,"OK - up to date",IF(AY178="None","No action - not eligible","No action - not yet qualified"))))))))</f>
        <v/>
      </c>
      <c r="AN178" s="27" t="str">
        <f aca="false">IF(AO178=0,"",TRIM(IF(AND($K178&lt;&gt;"",$H178=""),"Change 2 entered without Change 1. ","")&amp;IF(AND($K178&lt;&gt;"",$H178&lt;&gt;"",$K178&lt;=$H178),"Change 2 date not after Change 1. ","")&amp;IF(AND($N178&lt;&gt;"",$O178&lt;&gt;"",$O178&lt;$N178),"Leave To is before Leave From. ","")&amp;IF(AND($N178&lt;&gt;"",$O178=""),"Leave From entered without Leave To. ","")&amp;IF(AND(IFERROR(VLOOKUP(T178,TypeTable,2,0),"None")="PT",U178=""),"Part-time with no hours entered. ","")&amp;IF(AND($H178&lt;&gt;"",$H178&gt;AsOfDate,AD178&lt;&gt;"",$H178&lt;=AD178),"Status change lands before next accrual - review. ","")&amp;IF(AND($Q178&lt;&gt;"",$Q178&lt;$E178),"Termination before commencement. ","")))</f>
        <v/>
      </c>
      <c r="AO178" s="11" t="n">
        <f aca="false">IF(LEN($A178&amp;$B178&amp;$C178)=0,0,IF($E178="",0,1))</f>
        <v>0</v>
      </c>
      <c r="AP178" s="11" t="str">
        <f aca="false">IF(AO178=0,"",(IF(OR($N178="",$O178=""),0,MAX(0,MIN(X178,$O178)-MAX($N178,$E178)+1))+N($P178)))</f>
        <v/>
      </c>
      <c r="AQ178" s="11" t="str">
        <f aca="false">IF(AO178=0,"",IF(X178&lt;($E178+(IF(OR($N178="",$O178=""),0,MAX(0,MIN(X178,$O178)-MAX($N178,$E178)+1))+N($P178))),-1,12*(YEAR(X178)-YEAR(($E178+(IF(OR($N178="",$O178=""),0,MAX(0,MIN(X178,$O178)-MAX($N178,$E178)+1))+N($P178)))))+MONTH(X178)-MONTH(($E178+(IF(OR($N178="",$O178=""),0,MAX(0,MIN(X178,$O178)-MAX($N178,$E178)+1))+N($P178))))-IF(DAY(X178)&lt;MIN(DAY(($E178+(IF(OR($N178="",$O178=""),0,MAX(0,MIN(X178,$O178)-MAX($N178,$E178)+1))+N($P178)))),DAY(EOMONTH(X178,0))),1,0)))</f>
        <v/>
      </c>
      <c r="AR178" s="28" t="str">
        <f aca="false">IF(AO178=0,"",IF($H178="","",IF($H178&gt;X178,"",$H178)))</f>
        <v/>
      </c>
      <c r="AS178" s="28" t="str">
        <f aca="false">IF(AO178=0,"",IF(AR178="","",IF($K178="","",IF($K178&gt;X178,"",$K178))))</f>
        <v/>
      </c>
      <c r="AT178" s="11" t="str">
        <f aca="false">IF(AO178=0,"",IF(AR178="",AQ178,IF((AR178-1)&lt;($E178+(IF(OR($N178="",$O178=""),0,MAX(0,MIN((AR178-1),$O178)-MAX($N178,$E178)+1))+N($P178))),-1,12*(YEAR((AR178-1))-YEAR(($E178+(IF(OR($N178="",$O178=""),0,MAX(0,MIN((AR178-1),$O178)-MAX($N178,$E178)+1))+N($P178)))))+MONTH((AR178-1))-MONTH(($E178+(IF(OR($N178="",$O178=""),0,MAX(0,MIN((AR178-1),$O178)-MAX($N178,$E178)+1))+N($P178))))-IF(DAY((AR178-1))&lt;MIN(DAY(($E178+(IF(OR($N178="",$O178=""),0,MAX(0,MIN((AR178-1),$O178)-MAX($N178,$E178)+1))+N($P178)))),DAY(EOMONTH((AR178-1),0))),1,0))))</f>
        <v/>
      </c>
      <c r="AU178" s="11" t="str">
        <f aca="false">IF(AO178=0,"",IF(AS178="",AQ178,IF((AS178-1)&lt;($E178+(IF(OR($N178="",$O178=""),0,MAX(0,MIN((AS178-1),$O178)-MAX($N178,$E178)+1))+N($P178))),-1,12*(YEAR((AS178-1))-YEAR(($E178+(IF(OR($N178="",$O178=""),0,MAX(0,MIN((AS178-1),$O178)-MAX($N178,$E178)+1))+N($P178)))))+MONTH((AS178-1))-MONTH(($E178+(IF(OR($N178="",$O178=""),0,MAX(0,MIN((AS178-1),$O178)-MAX($N178,$E178)+1))+N($P178))))-IF(DAY((AS178-1))&lt;MIN(DAY(($E178+(IF(OR($N178="",$O178=""),0,MAX(0,MIN((AS178-1),$O178)-MAX($N178,$E178)+1))+N($P178)))),DAY(EOMONTH((AS178-1),0))),1,0))))</f>
        <v/>
      </c>
      <c r="AV178" s="11" t="str">
        <f aca="false">IF(AO178=0,"",IF($F178="","None",IF(IFERROR(VLOOKUP($F178,TypeTable,2,0),"None")="PT",IF(N($G178)&gt;=PT_MinHours,"PT","None"),IFERROR(VLOOKUP($F178,TypeTable,2,0),"None"))))</f>
        <v/>
      </c>
      <c r="AW178" s="11" t="str">
        <f aca="false">IF(AO178=0,"",IF($I178="","None",IF(IFERROR(VLOOKUP($I178,TypeTable,2,0),"None")="PT",IF(N($J178)&gt;=PT_MinHours,"PT","None"),IFERROR(VLOOKUP($I178,TypeTable,2,0),"None"))))</f>
        <v/>
      </c>
      <c r="AX178" s="11" t="str">
        <f aca="false">IF(AO178=0,"",IF($L178="","None",IF(IFERROR(VLOOKUP($L178,TypeTable,2,0),"None")="PT",IF(N($M178)&gt;=PT_MinHours,"PT","None"),IFERROR(VLOOKUP($L178,TypeTable,2,0),"None"))))</f>
        <v/>
      </c>
      <c r="AY178" s="11" t="str">
        <f aca="false">IF(AO178=0,"",IF(AS178&lt;&gt;"",AX178,IF(AR178&lt;&gt;"",AW178,AV178)))</f>
        <v/>
      </c>
      <c r="AZ178" s="11" t="str">
        <f aca="false">IF(AO178=0,"",IF(AV178="FT",IF(AT178&lt;FT_First,0,IF(AT178&lt;FT_Y5,1+INT((AT178-FT_First)/FT_Int1),FT_PreY5+FT_PerYear*INT((AT178-FT_Y5)/12)+FT_AnnivDays+INT(MOD(AT178-FT_Y5,12)/FT_Int2))),IF(AV178="PT",IF(AT178&lt;PT_First,0,1+INT((AT178-PT_First)/PT_Int)),0)))</f>
        <v/>
      </c>
      <c r="BA178" s="11" t="str">
        <f aca="false">IF(AO178=0,"",IF(AW178="FT",IF(AT178&lt;FT_First,0,IF(AT178&lt;FT_Y5,1+INT((AT178-FT_First)/FT_Int1),FT_PreY5+FT_PerYear*INT((AT178-FT_Y5)/12)+FT_AnnivDays+INT(MOD(AT178-FT_Y5,12)/FT_Int2))),IF(AW178="PT",IF(AT178&lt;PT_First,0,1+INT((AT178-PT_First)/PT_Int)),0)))</f>
        <v/>
      </c>
      <c r="BB178" s="11" t="str">
        <f aca="false">IF(AO178=0,"",IF(AW178="FT",IF(AU178&lt;FT_First,0,IF(AU178&lt;FT_Y5,1+INT((AU178-FT_First)/FT_Int1),FT_PreY5+FT_PerYear*INT((AU178-FT_Y5)/12)+FT_AnnivDays+INT(MOD(AU178-FT_Y5,12)/FT_Int2))),IF(AW178="PT",IF(AU178&lt;PT_First,0,1+INT((AU178-PT_First)/PT_Int)),0)))</f>
        <v/>
      </c>
      <c r="BC178" s="11" t="str">
        <f aca="false">IF(AO178=0,"",IF(AX178="FT",IF(AU178&lt;FT_First,0,IF(AU178&lt;FT_Y5,1+INT((AU178-FT_First)/FT_Int1),FT_PreY5+FT_PerYear*INT((AU178-FT_Y5)/12)+FT_AnnivDays+INT(MOD(AU178-FT_Y5,12)/FT_Int2))),IF(AX178="PT",IF(AU178&lt;PT_First,0,1+INT((AU178-PT_First)/PT_Int)),0)))</f>
        <v/>
      </c>
      <c r="BD178" s="11" t="str">
        <f aca="false">IF(AO178=0,"",IF(AX178="FT",IF(AQ178&lt;FT_First,0,IF(AQ178&lt;FT_Y5,1+INT((AQ178-FT_First)/FT_Int1),FT_PreY5+FT_PerYear*INT((AQ178-FT_Y5)/12)+FT_AnnivDays+INT(MOD(AQ178-FT_Y5,12)/FT_Int2))),IF(AX178="PT",IF(AQ178&lt;PT_First,0,1+INT((AQ178-PT_First)/PT_Int)),0)))</f>
        <v/>
      </c>
      <c r="BE178" s="11" t="str">
        <f aca="false">IF(AO178=0,"",IF(AY178="FT",IF(AQ178&lt;FT_First,FT_First,IF(AQ178&lt;FT_Y5,MIN(FT_Y5,FT_First+FT_Int1*(INT((AQ178-FT_First)/FT_Int1)+1)),FT_Y5+12*INT((AQ178-FT_Y5)/12)+FT_Int2*(INT(MOD(AQ178-FT_Y5,12)/FT_Int2)+1))),IF(AY178="PT",IF(AQ178&lt;PT_First,PT_First,PT_First+PT_Int*(INT((AQ178-PT_First)/PT_Int)+1)),"")))</f>
        <v/>
      </c>
      <c r="BF178" s="11" t="n">
        <f aca="false">IF(AO178=0,0,IF(AND($Q178&lt;&gt;"",$Q178&lt;=AsOfDate),1,0))</f>
        <v>0</v>
      </c>
      <c r="BG178" s="11" t="str">
        <f aca="false">IF(AND(AO178=1,BF178=0,EH_Ready,N(AB178)&gt;0,N(AI178)=0),COUNT($BG$5:BG177)+1,"")</f>
        <v/>
      </c>
      <c r="BH178" s="11" t="str">
        <f aca="false">IF(AND(AO178=1,BF178=0,EH_Ready,N(AB178)&gt;0,N(AI178)&gt;0,N(AK178)&gt;0),COUNT($BH$5:BH177)+1,"")</f>
        <v/>
      </c>
      <c r="BI178" s="11" t="str">
        <f aca="false">IF(AND(AO178=1,OR(LEFT(AM178,3)="ADD",LEFT(AM178,3)="SET",LEFT(AM178,5)="CHECK",LEFT(AM178,10)="TERMINATED")),COUNT($BI$5:BI177)+1,"")</f>
        <v/>
      </c>
      <c r="BJ178" s="11" t="str">
        <f aca="false">IF(AO178=0,"",$A178&amp;" - "&amp;$B178&amp;" "&amp;$C178)</f>
        <v/>
      </c>
    </row>
    <row r="179" customFormat="false" ht="15" hidden="false" customHeight="false" outlineLevel="0" collapsed="false">
      <c r="A179" s="10"/>
      <c r="B179" s="10"/>
      <c r="C179" s="10"/>
      <c r="D179" s="10"/>
      <c r="E179" s="9"/>
      <c r="F179" s="10"/>
      <c r="G179" s="30"/>
      <c r="H179" s="9"/>
      <c r="I179" s="10"/>
      <c r="J179" s="30"/>
      <c r="K179" s="9"/>
      <c r="L179" s="10"/>
      <c r="M179" s="30"/>
      <c r="N179" s="9"/>
      <c r="O179" s="9"/>
      <c r="P179" s="30"/>
      <c r="Q179" s="9"/>
      <c r="R179" s="10"/>
      <c r="S179" s="11" t="str">
        <f aca="false">IF(AO179=0,"",IF($H179="","",$F179&amp;" -&gt; "&amp;$I179&amp;IF($I179="Part-Time"," ("&amp;N($J179)&amp;" hrs)","")&amp;" on "&amp;TEXT($H179,"dd/mm/yyyy")&amp;IF($H179&gt;AsOfDate," (FUTURE)","")&amp;IF($K179="","","; "&amp;$I179&amp;" -&gt; "&amp;$L179&amp;IF($L179="Part-Time"," ("&amp;N($M179)&amp;" hrs)","")&amp;" on "&amp;TEXT($K179,"dd/mm/yyyy")&amp;IF($K179&gt;AsOfDate," (FUTURE)",""))))</f>
        <v/>
      </c>
      <c r="T179" s="11" t="str">
        <f aca="false">IF(AO179=0,"",IF(AS179&lt;&gt;"",$L179,IF(AR179&lt;&gt;"",$I179,$F179)))</f>
        <v/>
      </c>
      <c r="U179" s="26" t="str">
        <f aca="false">IF(AO179=0,"",IF(AS179&lt;&gt;"",$M179,IF(AR179&lt;&gt;"",$J179,$G179)))</f>
        <v/>
      </c>
      <c r="V179" s="11" t="str">
        <f aca="false">IF(AO179=0,"",IF(AY179="FT","Full-Time",IF(AY179="PT","Part-Time","Not eligible")))</f>
        <v/>
      </c>
      <c r="W179" s="27" t="str">
        <f aca="false">IF(AO179=0,"",IF(AR179="",IF(AND($H179&lt;&gt;"",$H179&gt;AsOfDate),"Future change - not yet applied",""),IF(AND(AV179=AY179,OR(AS179="",AW179=AV179)),"Type changed - same accrual pathway",IF(AY179="None","STOPPED accruing from "&amp;TEXT(IF(AS179&lt;&gt;"",AS179,AR179),"dd/mm/yyyy"),IF(AV179="None","STARTED qualifying from "&amp;TEXT(IF(AS179&lt;&gt;"",AS179,AR179),"dd/mm/yyyy"),"Pathway changed "&amp;AV179&amp;" -&gt; "&amp;AW179&amp;IF(AS179&lt;&gt;""," -&gt; "&amp;AX179,"")&amp;" from "&amp;TEXT(IF(AS179&lt;&gt;"",AS179,AR179),"dd/mm/yyyy"))))))</f>
        <v/>
      </c>
      <c r="X179" s="28" t="str">
        <f aca="false">IF(AO179=0,"",IF($Q179="",AsOfDate,MIN(AsOfDate,$Q179)))</f>
        <v/>
      </c>
      <c r="Y179" s="26" t="str">
        <f aca="false">IF(AO179=0,"",MAX(0,AQ179))</f>
        <v/>
      </c>
      <c r="Z179" s="11" t="str">
        <f aca="false">IF(AO179=0,"",IF(AQ179&lt;0,"Not started",INT(AQ179/12)&amp;"y "&amp;MOD(AQ179,12)&amp;"m"))</f>
        <v/>
      </c>
      <c r="AA179" s="27" t="str">
        <f aca="false">IF(AO179=0,"",IF(BF179=1,"Terminated - balance forfeited",IF(AY179="None",IF(AB179&gt;0,"No longer accruing - "&amp;T179,"Not eligible - "&amp;T179&amp;IF(AND(IFERROR(VLOOKUP(T179,TypeTable,2,0),"None")="PT",N(U179)&lt;PT_MinHours)," (under "&amp;PT_MinHours&amp;" hrs)","")),IF(AB179&gt;0,"Yes - accruing","Not yet - qualifies "&amp;TEXT(AD179,"dd/mm/yyyy")))))</f>
        <v/>
      </c>
      <c r="AB179" s="26" t="str">
        <f aca="false">IF(AO179=0,"",AZ179+IF(AR179="",0,BB179-BA179)+IF(AS179="",0,BD179-BC179))</f>
        <v/>
      </c>
      <c r="AC179" s="26" t="str">
        <f aca="false">IF(AO179=0,"",AB179*HoursPerDay)</f>
        <v/>
      </c>
      <c r="AD179" s="28" t="str">
        <f aca="false">IF(AO179=0,"",IF(OR(BF179=1,AY179="None"),"",EDATE($E179+AP179,BE179)))</f>
        <v/>
      </c>
      <c r="AE179" s="26" t="str">
        <f aca="false">IF(AD179="","",IF(AY179="PT",1,IF(BE179&lt;FT_Y5,1,IF(MOD(BE179-FT_Y5,12)=0,FT_AnnivDays,1))))</f>
        <v/>
      </c>
      <c r="AF179" s="27" t="str">
        <f aca="false">IF(AO179=0,"",IF(NOT(EH_Ready),"Map headers",IF(IF(MatchMode="Employee ID",COUNTIFS(INDEX(EH_Data,0,EH_ColID),$A179,INDEX(EH_Data,0,EH_ColCat),BonusCat),COUNTIFS(INDEX(EH_Data,0,EH_ColFirst),$B179,INDEX(EH_Data,0,EH_ColSur),$C179,INDEX(EH_Data,0,EH_ColCat),BonusCat))&gt;0,"Yes","No")))</f>
        <v/>
      </c>
      <c r="AG179" s="26" t="str">
        <f aca="false">IF(AO179=0,"",IF(NOT(EH_Ready),"",IF(MatchMode="Employee ID",SUMIFS(INDEX(EH_Data,0,EH_ColBal),INDEX(EH_Data,0,EH_ColID),$A179,INDEX(EH_Data,0,EH_ColCat),BonusCat),SUMIFS(INDEX(EH_Data,0,EH_ColBal),INDEX(EH_Data,0,EH_ColFirst),$B179,INDEX(EH_Data,0,EH_ColSur),$C179,INDEX(EH_Data,0,EH_ColCat),BonusCat))/IF(EHUnit="Hours",HoursPerDay,1)))</f>
        <v/>
      </c>
      <c r="AH179" s="26" t="str">
        <f aca="false">IF(AO179=0,"",IF(NOT(TK_Ready),0,IF(MatchMode="Employee ID",SUMIFS(INDEX(TK_Data,0,TK_ColAmt),INDEX(TK_Data,0,TK_ColID),$A179,INDEX(TK_Data,0,TK_ColCat),BonusCat),SUMIFS(INDEX(TK_Data,0,TK_ColAmt),INDEX(TK_Data,0,TK_ColFirst),$B179,INDEX(TK_Data,0,TK_ColSur),$C179,INDEX(TK_Data,0,TK_ColCat),BonusCat))/IF(TKUnit="Hours",HoursPerDay,1)))</f>
        <v/>
      </c>
      <c r="AI179" s="26" t="str">
        <f aca="false">IF(AO179=0,"",N(AG179)+N(AH179))</f>
        <v/>
      </c>
      <c r="AJ179" s="29" t="str">
        <f aca="false">IF(AO179=0,"",IF(NOT(AND(EH_Ready,EH_ValReady)),"",IF(MatchMode="Employee ID",SUMIFS(INDEX(EH_Data,0,EH_ColVal),INDEX(EH_Data,0,EH_ColID),$A179,INDEX(EH_Data,0,EH_ColCat),BonusCat),SUMIFS(INDEX(EH_Data,0,EH_ColVal),INDEX(EH_Data,0,EH_ColFirst),$B179,INDEX(EH_Data,0,EH_ColSur),$C179,INDEX(EH_Data,0,EH_ColCat),BonusCat))))</f>
        <v/>
      </c>
      <c r="AK179" s="26" t="str">
        <f aca="false">IF(AO179=0,"",IF(OR(NOT(EH_Ready),BF179=1),"",AB179-AI179))</f>
        <v/>
      </c>
      <c r="AL179" s="26" t="str">
        <f aca="false">IF(AK179="","",AK179*HoursPerDay)</f>
        <v/>
      </c>
      <c r="AM179" s="27" t="str">
        <f aca="false">IF(AO179=0,"",IF(BF179=1,IF(N(AG179)&gt;0,"TERMINATED - forfeit "&amp;TEXT(AG179,"0.##")&amp;" days still in EH","Terminated - nothing in EH"),IF(NOT(EH_Ready),"Paste EH export and map headers on Settings",IF(AND(AB179&gt;0,AF179="No"),"SET UP in EH - add "&amp;TEXT(AB179,"0.##")&amp;" day(s) ("&amp;TEXT(AC179,"0.##")&amp;" hrs)",IF(AK179&gt;0,"ADD "&amp;TEXT(AK179,"0.##")&amp;" day(s) ("&amp;TEXT(AL179,"0.##")&amp;" hrs) in EH",IF(AK179&lt;0,"CHECK - EH shows "&amp;TEXT(-AK179,"0.##")&amp;" days more than policy",IF(AB179&gt;0,"OK - up to date",IF(AY179="None","No action - not eligible","No action - not yet qualified"))))))))</f>
        <v/>
      </c>
      <c r="AN179" s="27" t="str">
        <f aca="false">IF(AO179=0,"",TRIM(IF(AND($K179&lt;&gt;"",$H179=""),"Change 2 entered without Change 1. ","")&amp;IF(AND($K179&lt;&gt;"",$H179&lt;&gt;"",$K179&lt;=$H179),"Change 2 date not after Change 1. ","")&amp;IF(AND($N179&lt;&gt;"",$O179&lt;&gt;"",$O179&lt;$N179),"Leave To is before Leave From. ","")&amp;IF(AND($N179&lt;&gt;"",$O179=""),"Leave From entered without Leave To. ","")&amp;IF(AND(IFERROR(VLOOKUP(T179,TypeTable,2,0),"None")="PT",U179=""),"Part-time with no hours entered. ","")&amp;IF(AND($H179&lt;&gt;"",$H179&gt;AsOfDate,AD179&lt;&gt;"",$H179&lt;=AD179),"Status change lands before next accrual - review. ","")&amp;IF(AND($Q179&lt;&gt;"",$Q179&lt;$E179),"Termination before commencement. ","")))</f>
        <v/>
      </c>
      <c r="AO179" s="11" t="n">
        <f aca="false">IF(LEN($A179&amp;$B179&amp;$C179)=0,0,IF($E179="",0,1))</f>
        <v>0</v>
      </c>
      <c r="AP179" s="11" t="str">
        <f aca="false">IF(AO179=0,"",(IF(OR($N179="",$O179=""),0,MAX(0,MIN(X179,$O179)-MAX($N179,$E179)+1))+N($P179)))</f>
        <v/>
      </c>
      <c r="AQ179" s="11" t="str">
        <f aca="false">IF(AO179=0,"",IF(X179&lt;($E179+(IF(OR($N179="",$O179=""),0,MAX(0,MIN(X179,$O179)-MAX($N179,$E179)+1))+N($P179))),-1,12*(YEAR(X179)-YEAR(($E179+(IF(OR($N179="",$O179=""),0,MAX(0,MIN(X179,$O179)-MAX($N179,$E179)+1))+N($P179)))))+MONTH(X179)-MONTH(($E179+(IF(OR($N179="",$O179=""),0,MAX(0,MIN(X179,$O179)-MAX($N179,$E179)+1))+N($P179))))-IF(DAY(X179)&lt;MIN(DAY(($E179+(IF(OR($N179="",$O179=""),0,MAX(0,MIN(X179,$O179)-MAX($N179,$E179)+1))+N($P179)))),DAY(EOMONTH(X179,0))),1,0)))</f>
        <v/>
      </c>
      <c r="AR179" s="28" t="str">
        <f aca="false">IF(AO179=0,"",IF($H179="","",IF($H179&gt;X179,"",$H179)))</f>
        <v/>
      </c>
      <c r="AS179" s="28" t="str">
        <f aca="false">IF(AO179=0,"",IF(AR179="","",IF($K179="","",IF($K179&gt;X179,"",$K179))))</f>
        <v/>
      </c>
      <c r="AT179" s="11" t="str">
        <f aca="false">IF(AO179=0,"",IF(AR179="",AQ179,IF((AR179-1)&lt;($E179+(IF(OR($N179="",$O179=""),0,MAX(0,MIN((AR179-1),$O179)-MAX($N179,$E179)+1))+N($P179))),-1,12*(YEAR((AR179-1))-YEAR(($E179+(IF(OR($N179="",$O179=""),0,MAX(0,MIN((AR179-1),$O179)-MAX($N179,$E179)+1))+N($P179)))))+MONTH((AR179-1))-MONTH(($E179+(IF(OR($N179="",$O179=""),0,MAX(0,MIN((AR179-1),$O179)-MAX($N179,$E179)+1))+N($P179))))-IF(DAY((AR179-1))&lt;MIN(DAY(($E179+(IF(OR($N179="",$O179=""),0,MAX(0,MIN((AR179-1),$O179)-MAX($N179,$E179)+1))+N($P179)))),DAY(EOMONTH((AR179-1),0))),1,0))))</f>
        <v/>
      </c>
      <c r="AU179" s="11" t="str">
        <f aca="false">IF(AO179=0,"",IF(AS179="",AQ179,IF((AS179-1)&lt;($E179+(IF(OR($N179="",$O179=""),0,MAX(0,MIN((AS179-1),$O179)-MAX($N179,$E179)+1))+N($P179))),-1,12*(YEAR((AS179-1))-YEAR(($E179+(IF(OR($N179="",$O179=""),0,MAX(0,MIN((AS179-1),$O179)-MAX($N179,$E179)+1))+N($P179)))))+MONTH((AS179-1))-MONTH(($E179+(IF(OR($N179="",$O179=""),0,MAX(0,MIN((AS179-1),$O179)-MAX($N179,$E179)+1))+N($P179))))-IF(DAY((AS179-1))&lt;MIN(DAY(($E179+(IF(OR($N179="",$O179=""),0,MAX(0,MIN((AS179-1),$O179)-MAX($N179,$E179)+1))+N($P179)))),DAY(EOMONTH((AS179-1),0))),1,0))))</f>
        <v/>
      </c>
      <c r="AV179" s="11" t="str">
        <f aca="false">IF(AO179=0,"",IF($F179="","None",IF(IFERROR(VLOOKUP($F179,TypeTable,2,0),"None")="PT",IF(N($G179)&gt;=PT_MinHours,"PT","None"),IFERROR(VLOOKUP($F179,TypeTable,2,0),"None"))))</f>
        <v/>
      </c>
      <c r="AW179" s="11" t="str">
        <f aca="false">IF(AO179=0,"",IF($I179="","None",IF(IFERROR(VLOOKUP($I179,TypeTable,2,0),"None")="PT",IF(N($J179)&gt;=PT_MinHours,"PT","None"),IFERROR(VLOOKUP($I179,TypeTable,2,0),"None"))))</f>
        <v/>
      </c>
      <c r="AX179" s="11" t="str">
        <f aca="false">IF(AO179=0,"",IF($L179="","None",IF(IFERROR(VLOOKUP($L179,TypeTable,2,0),"None")="PT",IF(N($M179)&gt;=PT_MinHours,"PT","None"),IFERROR(VLOOKUP($L179,TypeTable,2,0),"None"))))</f>
        <v/>
      </c>
      <c r="AY179" s="11" t="str">
        <f aca="false">IF(AO179=0,"",IF(AS179&lt;&gt;"",AX179,IF(AR179&lt;&gt;"",AW179,AV179)))</f>
        <v/>
      </c>
      <c r="AZ179" s="11" t="str">
        <f aca="false">IF(AO179=0,"",IF(AV179="FT",IF(AT179&lt;FT_First,0,IF(AT179&lt;FT_Y5,1+INT((AT179-FT_First)/FT_Int1),FT_PreY5+FT_PerYear*INT((AT179-FT_Y5)/12)+FT_AnnivDays+INT(MOD(AT179-FT_Y5,12)/FT_Int2))),IF(AV179="PT",IF(AT179&lt;PT_First,0,1+INT((AT179-PT_First)/PT_Int)),0)))</f>
        <v/>
      </c>
      <c r="BA179" s="11" t="str">
        <f aca="false">IF(AO179=0,"",IF(AW179="FT",IF(AT179&lt;FT_First,0,IF(AT179&lt;FT_Y5,1+INT((AT179-FT_First)/FT_Int1),FT_PreY5+FT_PerYear*INT((AT179-FT_Y5)/12)+FT_AnnivDays+INT(MOD(AT179-FT_Y5,12)/FT_Int2))),IF(AW179="PT",IF(AT179&lt;PT_First,0,1+INT((AT179-PT_First)/PT_Int)),0)))</f>
        <v/>
      </c>
      <c r="BB179" s="11" t="str">
        <f aca="false">IF(AO179=0,"",IF(AW179="FT",IF(AU179&lt;FT_First,0,IF(AU179&lt;FT_Y5,1+INT((AU179-FT_First)/FT_Int1),FT_PreY5+FT_PerYear*INT((AU179-FT_Y5)/12)+FT_AnnivDays+INT(MOD(AU179-FT_Y5,12)/FT_Int2))),IF(AW179="PT",IF(AU179&lt;PT_First,0,1+INT((AU179-PT_First)/PT_Int)),0)))</f>
        <v/>
      </c>
      <c r="BC179" s="11" t="str">
        <f aca="false">IF(AO179=0,"",IF(AX179="FT",IF(AU179&lt;FT_First,0,IF(AU179&lt;FT_Y5,1+INT((AU179-FT_First)/FT_Int1),FT_PreY5+FT_PerYear*INT((AU179-FT_Y5)/12)+FT_AnnivDays+INT(MOD(AU179-FT_Y5,12)/FT_Int2))),IF(AX179="PT",IF(AU179&lt;PT_First,0,1+INT((AU179-PT_First)/PT_Int)),0)))</f>
        <v/>
      </c>
      <c r="BD179" s="11" t="str">
        <f aca="false">IF(AO179=0,"",IF(AX179="FT",IF(AQ179&lt;FT_First,0,IF(AQ179&lt;FT_Y5,1+INT((AQ179-FT_First)/FT_Int1),FT_PreY5+FT_PerYear*INT((AQ179-FT_Y5)/12)+FT_AnnivDays+INT(MOD(AQ179-FT_Y5,12)/FT_Int2))),IF(AX179="PT",IF(AQ179&lt;PT_First,0,1+INT((AQ179-PT_First)/PT_Int)),0)))</f>
        <v/>
      </c>
      <c r="BE179" s="11" t="str">
        <f aca="false">IF(AO179=0,"",IF(AY179="FT",IF(AQ179&lt;FT_First,FT_First,IF(AQ179&lt;FT_Y5,MIN(FT_Y5,FT_First+FT_Int1*(INT((AQ179-FT_First)/FT_Int1)+1)),FT_Y5+12*INT((AQ179-FT_Y5)/12)+FT_Int2*(INT(MOD(AQ179-FT_Y5,12)/FT_Int2)+1))),IF(AY179="PT",IF(AQ179&lt;PT_First,PT_First,PT_First+PT_Int*(INT((AQ179-PT_First)/PT_Int)+1)),"")))</f>
        <v/>
      </c>
      <c r="BF179" s="11" t="n">
        <f aca="false">IF(AO179=0,0,IF(AND($Q179&lt;&gt;"",$Q179&lt;=AsOfDate),1,0))</f>
        <v>0</v>
      </c>
      <c r="BG179" s="11" t="str">
        <f aca="false">IF(AND(AO179=1,BF179=0,EH_Ready,N(AB179)&gt;0,N(AI179)=0),COUNT($BG$5:BG178)+1,"")</f>
        <v/>
      </c>
      <c r="BH179" s="11" t="str">
        <f aca="false">IF(AND(AO179=1,BF179=0,EH_Ready,N(AB179)&gt;0,N(AI179)&gt;0,N(AK179)&gt;0),COUNT($BH$5:BH178)+1,"")</f>
        <v/>
      </c>
      <c r="BI179" s="11" t="str">
        <f aca="false">IF(AND(AO179=1,OR(LEFT(AM179,3)="ADD",LEFT(AM179,3)="SET",LEFT(AM179,5)="CHECK",LEFT(AM179,10)="TERMINATED")),COUNT($BI$5:BI178)+1,"")</f>
        <v/>
      </c>
      <c r="BJ179" s="11" t="str">
        <f aca="false">IF(AO179=0,"",$A179&amp;" - "&amp;$B179&amp;" "&amp;$C179)</f>
        <v/>
      </c>
    </row>
    <row r="180" customFormat="false" ht="15" hidden="false" customHeight="false" outlineLevel="0" collapsed="false">
      <c r="A180" s="10"/>
      <c r="B180" s="10"/>
      <c r="C180" s="10"/>
      <c r="D180" s="10"/>
      <c r="E180" s="9"/>
      <c r="F180" s="10"/>
      <c r="G180" s="30"/>
      <c r="H180" s="9"/>
      <c r="I180" s="10"/>
      <c r="J180" s="30"/>
      <c r="K180" s="9"/>
      <c r="L180" s="10"/>
      <c r="M180" s="30"/>
      <c r="N180" s="9"/>
      <c r="O180" s="9"/>
      <c r="P180" s="30"/>
      <c r="Q180" s="9"/>
      <c r="R180" s="10"/>
      <c r="S180" s="11" t="str">
        <f aca="false">IF(AO180=0,"",IF($H180="","",$F180&amp;" -&gt; "&amp;$I180&amp;IF($I180="Part-Time"," ("&amp;N($J180)&amp;" hrs)","")&amp;" on "&amp;TEXT($H180,"dd/mm/yyyy")&amp;IF($H180&gt;AsOfDate," (FUTURE)","")&amp;IF($K180="","","; "&amp;$I180&amp;" -&gt; "&amp;$L180&amp;IF($L180="Part-Time"," ("&amp;N($M180)&amp;" hrs)","")&amp;" on "&amp;TEXT($K180,"dd/mm/yyyy")&amp;IF($K180&gt;AsOfDate," (FUTURE)",""))))</f>
        <v/>
      </c>
      <c r="T180" s="11" t="str">
        <f aca="false">IF(AO180=0,"",IF(AS180&lt;&gt;"",$L180,IF(AR180&lt;&gt;"",$I180,$F180)))</f>
        <v/>
      </c>
      <c r="U180" s="26" t="str">
        <f aca="false">IF(AO180=0,"",IF(AS180&lt;&gt;"",$M180,IF(AR180&lt;&gt;"",$J180,$G180)))</f>
        <v/>
      </c>
      <c r="V180" s="11" t="str">
        <f aca="false">IF(AO180=0,"",IF(AY180="FT","Full-Time",IF(AY180="PT","Part-Time","Not eligible")))</f>
        <v/>
      </c>
      <c r="W180" s="27" t="str">
        <f aca="false">IF(AO180=0,"",IF(AR180="",IF(AND($H180&lt;&gt;"",$H180&gt;AsOfDate),"Future change - not yet applied",""),IF(AND(AV180=AY180,OR(AS180="",AW180=AV180)),"Type changed - same accrual pathway",IF(AY180="None","STOPPED accruing from "&amp;TEXT(IF(AS180&lt;&gt;"",AS180,AR180),"dd/mm/yyyy"),IF(AV180="None","STARTED qualifying from "&amp;TEXT(IF(AS180&lt;&gt;"",AS180,AR180),"dd/mm/yyyy"),"Pathway changed "&amp;AV180&amp;" -&gt; "&amp;AW180&amp;IF(AS180&lt;&gt;""," -&gt; "&amp;AX180,"")&amp;" from "&amp;TEXT(IF(AS180&lt;&gt;"",AS180,AR180),"dd/mm/yyyy"))))))</f>
        <v/>
      </c>
      <c r="X180" s="28" t="str">
        <f aca="false">IF(AO180=0,"",IF($Q180="",AsOfDate,MIN(AsOfDate,$Q180)))</f>
        <v/>
      </c>
      <c r="Y180" s="26" t="str">
        <f aca="false">IF(AO180=0,"",MAX(0,AQ180))</f>
        <v/>
      </c>
      <c r="Z180" s="11" t="str">
        <f aca="false">IF(AO180=0,"",IF(AQ180&lt;0,"Not started",INT(AQ180/12)&amp;"y "&amp;MOD(AQ180,12)&amp;"m"))</f>
        <v/>
      </c>
      <c r="AA180" s="27" t="str">
        <f aca="false">IF(AO180=0,"",IF(BF180=1,"Terminated - balance forfeited",IF(AY180="None",IF(AB180&gt;0,"No longer accruing - "&amp;T180,"Not eligible - "&amp;T180&amp;IF(AND(IFERROR(VLOOKUP(T180,TypeTable,2,0),"None")="PT",N(U180)&lt;PT_MinHours)," (under "&amp;PT_MinHours&amp;" hrs)","")),IF(AB180&gt;0,"Yes - accruing","Not yet - qualifies "&amp;TEXT(AD180,"dd/mm/yyyy")))))</f>
        <v/>
      </c>
      <c r="AB180" s="26" t="str">
        <f aca="false">IF(AO180=0,"",AZ180+IF(AR180="",0,BB180-BA180)+IF(AS180="",0,BD180-BC180))</f>
        <v/>
      </c>
      <c r="AC180" s="26" t="str">
        <f aca="false">IF(AO180=0,"",AB180*HoursPerDay)</f>
        <v/>
      </c>
      <c r="AD180" s="28" t="str">
        <f aca="false">IF(AO180=0,"",IF(OR(BF180=1,AY180="None"),"",EDATE($E180+AP180,BE180)))</f>
        <v/>
      </c>
      <c r="AE180" s="26" t="str">
        <f aca="false">IF(AD180="","",IF(AY180="PT",1,IF(BE180&lt;FT_Y5,1,IF(MOD(BE180-FT_Y5,12)=0,FT_AnnivDays,1))))</f>
        <v/>
      </c>
      <c r="AF180" s="27" t="str">
        <f aca="false">IF(AO180=0,"",IF(NOT(EH_Ready),"Map headers",IF(IF(MatchMode="Employee ID",COUNTIFS(INDEX(EH_Data,0,EH_ColID),$A180,INDEX(EH_Data,0,EH_ColCat),BonusCat),COUNTIFS(INDEX(EH_Data,0,EH_ColFirst),$B180,INDEX(EH_Data,0,EH_ColSur),$C180,INDEX(EH_Data,0,EH_ColCat),BonusCat))&gt;0,"Yes","No")))</f>
        <v/>
      </c>
      <c r="AG180" s="26" t="str">
        <f aca="false">IF(AO180=0,"",IF(NOT(EH_Ready),"",IF(MatchMode="Employee ID",SUMIFS(INDEX(EH_Data,0,EH_ColBal),INDEX(EH_Data,0,EH_ColID),$A180,INDEX(EH_Data,0,EH_ColCat),BonusCat),SUMIFS(INDEX(EH_Data,0,EH_ColBal),INDEX(EH_Data,0,EH_ColFirst),$B180,INDEX(EH_Data,0,EH_ColSur),$C180,INDEX(EH_Data,0,EH_ColCat),BonusCat))/IF(EHUnit="Hours",HoursPerDay,1)))</f>
        <v/>
      </c>
      <c r="AH180" s="26" t="str">
        <f aca="false">IF(AO180=0,"",IF(NOT(TK_Ready),0,IF(MatchMode="Employee ID",SUMIFS(INDEX(TK_Data,0,TK_ColAmt),INDEX(TK_Data,0,TK_ColID),$A180,INDEX(TK_Data,0,TK_ColCat),BonusCat),SUMIFS(INDEX(TK_Data,0,TK_ColAmt),INDEX(TK_Data,0,TK_ColFirst),$B180,INDEX(TK_Data,0,TK_ColSur),$C180,INDEX(TK_Data,0,TK_ColCat),BonusCat))/IF(TKUnit="Hours",HoursPerDay,1)))</f>
        <v/>
      </c>
      <c r="AI180" s="26" t="str">
        <f aca="false">IF(AO180=0,"",N(AG180)+N(AH180))</f>
        <v/>
      </c>
      <c r="AJ180" s="29" t="str">
        <f aca="false">IF(AO180=0,"",IF(NOT(AND(EH_Ready,EH_ValReady)),"",IF(MatchMode="Employee ID",SUMIFS(INDEX(EH_Data,0,EH_ColVal),INDEX(EH_Data,0,EH_ColID),$A180,INDEX(EH_Data,0,EH_ColCat),BonusCat),SUMIFS(INDEX(EH_Data,0,EH_ColVal),INDEX(EH_Data,0,EH_ColFirst),$B180,INDEX(EH_Data,0,EH_ColSur),$C180,INDEX(EH_Data,0,EH_ColCat),BonusCat))))</f>
        <v/>
      </c>
      <c r="AK180" s="26" t="str">
        <f aca="false">IF(AO180=0,"",IF(OR(NOT(EH_Ready),BF180=1),"",AB180-AI180))</f>
        <v/>
      </c>
      <c r="AL180" s="26" t="str">
        <f aca="false">IF(AK180="","",AK180*HoursPerDay)</f>
        <v/>
      </c>
      <c r="AM180" s="27" t="str">
        <f aca="false">IF(AO180=0,"",IF(BF180=1,IF(N(AG180)&gt;0,"TERMINATED - forfeit "&amp;TEXT(AG180,"0.##")&amp;" days still in EH","Terminated - nothing in EH"),IF(NOT(EH_Ready),"Paste EH export and map headers on Settings",IF(AND(AB180&gt;0,AF180="No"),"SET UP in EH - add "&amp;TEXT(AB180,"0.##")&amp;" day(s) ("&amp;TEXT(AC180,"0.##")&amp;" hrs)",IF(AK180&gt;0,"ADD "&amp;TEXT(AK180,"0.##")&amp;" day(s) ("&amp;TEXT(AL180,"0.##")&amp;" hrs) in EH",IF(AK180&lt;0,"CHECK - EH shows "&amp;TEXT(-AK180,"0.##")&amp;" days more than policy",IF(AB180&gt;0,"OK - up to date",IF(AY180="None","No action - not eligible","No action - not yet qualified"))))))))</f>
        <v/>
      </c>
      <c r="AN180" s="27" t="str">
        <f aca="false">IF(AO180=0,"",TRIM(IF(AND($K180&lt;&gt;"",$H180=""),"Change 2 entered without Change 1. ","")&amp;IF(AND($K180&lt;&gt;"",$H180&lt;&gt;"",$K180&lt;=$H180),"Change 2 date not after Change 1. ","")&amp;IF(AND($N180&lt;&gt;"",$O180&lt;&gt;"",$O180&lt;$N180),"Leave To is before Leave From. ","")&amp;IF(AND($N180&lt;&gt;"",$O180=""),"Leave From entered without Leave To. ","")&amp;IF(AND(IFERROR(VLOOKUP(T180,TypeTable,2,0),"None")="PT",U180=""),"Part-time with no hours entered. ","")&amp;IF(AND($H180&lt;&gt;"",$H180&gt;AsOfDate,AD180&lt;&gt;"",$H180&lt;=AD180),"Status change lands before next accrual - review. ","")&amp;IF(AND($Q180&lt;&gt;"",$Q180&lt;$E180),"Termination before commencement. ","")))</f>
        <v/>
      </c>
      <c r="AO180" s="11" t="n">
        <f aca="false">IF(LEN($A180&amp;$B180&amp;$C180)=0,0,IF($E180="",0,1))</f>
        <v>0</v>
      </c>
      <c r="AP180" s="11" t="str">
        <f aca="false">IF(AO180=0,"",(IF(OR($N180="",$O180=""),0,MAX(0,MIN(X180,$O180)-MAX($N180,$E180)+1))+N($P180)))</f>
        <v/>
      </c>
      <c r="AQ180" s="11" t="str">
        <f aca="false">IF(AO180=0,"",IF(X180&lt;($E180+(IF(OR($N180="",$O180=""),0,MAX(0,MIN(X180,$O180)-MAX($N180,$E180)+1))+N($P180))),-1,12*(YEAR(X180)-YEAR(($E180+(IF(OR($N180="",$O180=""),0,MAX(0,MIN(X180,$O180)-MAX($N180,$E180)+1))+N($P180)))))+MONTH(X180)-MONTH(($E180+(IF(OR($N180="",$O180=""),0,MAX(0,MIN(X180,$O180)-MAX($N180,$E180)+1))+N($P180))))-IF(DAY(X180)&lt;MIN(DAY(($E180+(IF(OR($N180="",$O180=""),0,MAX(0,MIN(X180,$O180)-MAX($N180,$E180)+1))+N($P180)))),DAY(EOMONTH(X180,0))),1,0)))</f>
        <v/>
      </c>
      <c r="AR180" s="28" t="str">
        <f aca="false">IF(AO180=0,"",IF($H180="","",IF($H180&gt;X180,"",$H180)))</f>
        <v/>
      </c>
      <c r="AS180" s="28" t="str">
        <f aca="false">IF(AO180=0,"",IF(AR180="","",IF($K180="","",IF($K180&gt;X180,"",$K180))))</f>
        <v/>
      </c>
      <c r="AT180" s="11" t="str">
        <f aca="false">IF(AO180=0,"",IF(AR180="",AQ180,IF((AR180-1)&lt;($E180+(IF(OR($N180="",$O180=""),0,MAX(0,MIN((AR180-1),$O180)-MAX($N180,$E180)+1))+N($P180))),-1,12*(YEAR((AR180-1))-YEAR(($E180+(IF(OR($N180="",$O180=""),0,MAX(0,MIN((AR180-1),$O180)-MAX($N180,$E180)+1))+N($P180)))))+MONTH((AR180-1))-MONTH(($E180+(IF(OR($N180="",$O180=""),0,MAX(0,MIN((AR180-1),$O180)-MAX($N180,$E180)+1))+N($P180))))-IF(DAY((AR180-1))&lt;MIN(DAY(($E180+(IF(OR($N180="",$O180=""),0,MAX(0,MIN((AR180-1),$O180)-MAX($N180,$E180)+1))+N($P180)))),DAY(EOMONTH((AR180-1),0))),1,0))))</f>
        <v/>
      </c>
      <c r="AU180" s="11" t="str">
        <f aca="false">IF(AO180=0,"",IF(AS180="",AQ180,IF((AS180-1)&lt;($E180+(IF(OR($N180="",$O180=""),0,MAX(0,MIN((AS180-1),$O180)-MAX($N180,$E180)+1))+N($P180))),-1,12*(YEAR((AS180-1))-YEAR(($E180+(IF(OR($N180="",$O180=""),0,MAX(0,MIN((AS180-1),$O180)-MAX($N180,$E180)+1))+N($P180)))))+MONTH((AS180-1))-MONTH(($E180+(IF(OR($N180="",$O180=""),0,MAX(0,MIN((AS180-1),$O180)-MAX($N180,$E180)+1))+N($P180))))-IF(DAY((AS180-1))&lt;MIN(DAY(($E180+(IF(OR($N180="",$O180=""),0,MAX(0,MIN((AS180-1),$O180)-MAX($N180,$E180)+1))+N($P180)))),DAY(EOMONTH((AS180-1),0))),1,0))))</f>
        <v/>
      </c>
      <c r="AV180" s="11" t="str">
        <f aca="false">IF(AO180=0,"",IF($F180="","None",IF(IFERROR(VLOOKUP($F180,TypeTable,2,0),"None")="PT",IF(N($G180)&gt;=PT_MinHours,"PT","None"),IFERROR(VLOOKUP($F180,TypeTable,2,0),"None"))))</f>
        <v/>
      </c>
      <c r="AW180" s="11" t="str">
        <f aca="false">IF(AO180=0,"",IF($I180="","None",IF(IFERROR(VLOOKUP($I180,TypeTable,2,0),"None")="PT",IF(N($J180)&gt;=PT_MinHours,"PT","None"),IFERROR(VLOOKUP($I180,TypeTable,2,0),"None"))))</f>
        <v/>
      </c>
      <c r="AX180" s="11" t="str">
        <f aca="false">IF(AO180=0,"",IF($L180="","None",IF(IFERROR(VLOOKUP($L180,TypeTable,2,0),"None")="PT",IF(N($M180)&gt;=PT_MinHours,"PT","None"),IFERROR(VLOOKUP($L180,TypeTable,2,0),"None"))))</f>
        <v/>
      </c>
      <c r="AY180" s="11" t="str">
        <f aca="false">IF(AO180=0,"",IF(AS180&lt;&gt;"",AX180,IF(AR180&lt;&gt;"",AW180,AV180)))</f>
        <v/>
      </c>
      <c r="AZ180" s="11" t="str">
        <f aca="false">IF(AO180=0,"",IF(AV180="FT",IF(AT180&lt;FT_First,0,IF(AT180&lt;FT_Y5,1+INT((AT180-FT_First)/FT_Int1),FT_PreY5+FT_PerYear*INT((AT180-FT_Y5)/12)+FT_AnnivDays+INT(MOD(AT180-FT_Y5,12)/FT_Int2))),IF(AV180="PT",IF(AT180&lt;PT_First,0,1+INT((AT180-PT_First)/PT_Int)),0)))</f>
        <v/>
      </c>
      <c r="BA180" s="11" t="str">
        <f aca="false">IF(AO180=0,"",IF(AW180="FT",IF(AT180&lt;FT_First,0,IF(AT180&lt;FT_Y5,1+INT((AT180-FT_First)/FT_Int1),FT_PreY5+FT_PerYear*INT((AT180-FT_Y5)/12)+FT_AnnivDays+INT(MOD(AT180-FT_Y5,12)/FT_Int2))),IF(AW180="PT",IF(AT180&lt;PT_First,0,1+INT((AT180-PT_First)/PT_Int)),0)))</f>
        <v/>
      </c>
      <c r="BB180" s="11" t="str">
        <f aca="false">IF(AO180=0,"",IF(AW180="FT",IF(AU180&lt;FT_First,0,IF(AU180&lt;FT_Y5,1+INT((AU180-FT_First)/FT_Int1),FT_PreY5+FT_PerYear*INT((AU180-FT_Y5)/12)+FT_AnnivDays+INT(MOD(AU180-FT_Y5,12)/FT_Int2))),IF(AW180="PT",IF(AU180&lt;PT_First,0,1+INT((AU180-PT_First)/PT_Int)),0)))</f>
        <v/>
      </c>
      <c r="BC180" s="11" t="str">
        <f aca="false">IF(AO180=0,"",IF(AX180="FT",IF(AU180&lt;FT_First,0,IF(AU180&lt;FT_Y5,1+INT((AU180-FT_First)/FT_Int1),FT_PreY5+FT_PerYear*INT((AU180-FT_Y5)/12)+FT_AnnivDays+INT(MOD(AU180-FT_Y5,12)/FT_Int2))),IF(AX180="PT",IF(AU180&lt;PT_First,0,1+INT((AU180-PT_First)/PT_Int)),0)))</f>
        <v/>
      </c>
      <c r="BD180" s="11" t="str">
        <f aca="false">IF(AO180=0,"",IF(AX180="FT",IF(AQ180&lt;FT_First,0,IF(AQ180&lt;FT_Y5,1+INT((AQ180-FT_First)/FT_Int1),FT_PreY5+FT_PerYear*INT((AQ180-FT_Y5)/12)+FT_AnnivDays+INT(MOD(AQ180-FT_Y5,12)/FT_Int2))),IF(AX180="PT",IF(AQ180&lt;PT_First,0,1+INT((AQ180-PT_First)/PT_Int)),0)))</f>
        <v/>
      </c>
      <c r="BE180" s="11" t="str">
        <f aca="false">IF(AO180=0,"",IF(AY180="FT",IF(AQ180&lt;FT_First,FT_First,IF(AQ180&lt;FT_Y5,MIN(FT_Y5,FT_First+FT_Int1*(INT((AQ180-FT_First)/FT_Int1)+1)),FT_Y5+12*INT((AQ180-FT_Y5)/12)+FT_Int2*(INT(MOD(AQ180-FT_Y5,12)/FT_Int2)+1))),IF(AY180="PT",IF(AQ180&lt;PT_First,PT_First,PT_First+PT_Int*(INT((AQ180-PT_First)/PT_Int)+1)),"")))</f>
        <v/>
      </c>
      <c r="BF180" s="11" t="n">
        <f aca="false">IF(AO180=0,0,IF(AND($Q180&lt;&gt;"",$Q180&lt;=AsOfDate),1,0))</f>
        <v>0</v>
      </c>
      <c r="BG180" s="11" t="str">
        <f aca="false">IF(AND(AO180=1,BF180=0,EH_Ready,N(AB180)&gt;0,N(AI180)=0),COUNT($BG$5:BG179)+1,"")</f>
        <v/>
      </c>
      <c r="BH180" s="11" t="str">
        <f aca="false">IF(AND(AO180=1,BF180=0,EH_Ready,N(AB180)&gt;0,N(AI180)&gt;0,N(AK180)&gt;0),COUNT($BH$5:BH179)+1,"")</f>
        <v/>
      </c>
      <c r="BI180" s="11" t="str">
        <f aca="false">IF(AND(AO180=1,OR(LEFT(AM180,3)="ADD",LEFT(AM180,3)="SET",LEFT(AM180,5)="CHECK",LEFT(AM180,10)="TERMINATED")),COUNT($BI$5:BI179)+1,"")</f>
        <v/>
      </c>
      <c r="BJ180" s="11" t="str">
        <f aca="false">IF(AO180=0,"",$A180&amp;" - "&amp;$B180&amp;" "&amp;$C180)</f>
        <v/>
      </c>
    </row>
    <row r="181" customFormat="false" ht="15" hidden="false" customHeight="false" outlineLevel="0" collapsed="false">
      <c r="A181" s="10"/>
      <c r="B181" s="10"/>
      <c r="C181" s="10"/>
      <c r="D181" s="10"/>
      <c r="E181" s="9"/>
      <c r="F181" s="10"/>
      <c r="G181" s="30"/>
      <c r="H181" s="9"/>
      <c r="I181" s="10"/>
      <c r="J181" s="30"/>
      <c r="K181" s="9"/>
      <c r="L181" s="10"/>
      <c r="M181" s="30"/>
      <c r="N181" s="9"/>
      <c r="O181" s="9"/>
      <c r="P181" s="30"/>
      <c r="Q181" s="9"/>
      <c r="R181" s="10"/>
      <c r="S181" s="11" t="str">
        <f aca="false">IF(AO181=0,"",IF($H181="","",$F181&amp;" -&gt; "&amp;$I181&amp;IF($I181="Part-Time"," ("&amp;N($J181)&amp;" hrs)","")&amp;" on "&amp;TEXT($H181,"dd/mm/yyyy")&amp;IF($H181&gt;AsOfDate," (FUTURE)","")&amp;IF($K181="","","; "&amp;$I181&amp;" -&gt; "&amp;$L181&amp;IF($L181="Part-Time"," ("&amp;N($M181)&amp;" hrs)","")&amp;" on "&amp;TEXT($K181,"dd/mm/yyyy")&amp;IF($K181&gt;AsOfDate," (FUTURE)",""))))</f>
        <v/>
      </c>
      <c r="T181" s="11" t="str">
        <f aca="false">IF(AO181=0,"",IF(AS181&lt;&gt;"",$L181,IF(AR181&lt;&gt;"",$I181,$F181)))</f>
        <v/>
      </c>
      <c r="U181" s="26" t="str">
        <f aca="false">IF(AO181=0,"",IF(AS181&lt;&gt;"",$M181,IF(AR181&lt;&gt;"",$J181,$G181)))</f>
        <v/>
      </c>
      <c r="V181" s="11" t="str">
        <f aca="false">IF(AO181=0,"",IF(AY181="FT","Full-Time",IF(AY181="PT","Part-Time","Not eligible")))</f>
        <v/>
      </c>
      <c r="W181" s="27" t="str">
        <f aca="false">IF(AO181=0,"",IF(AR181="",IF(AND($H181&lt;&gt;"",$H181&gt;AsOfDate),"Future change - not yet applied",""),IF(AND(AV181=AY181,OR(AS181="",AW181=AV181)),"Type changed - same accrual pathway",IF(AY181="None","STOPPED accruing from "&amp;TEXT(IF(AS181&lt;&gt;"",AS181,AR181),"dd/mm/yyyy"),IF(AV181="None","STARTED qualifying from "&amp;TEXT(IF(AS181&lt;&gt;"",AS181,AR181),"dd/mm/yyyy"),"Pathway changed "&amp;AV181&amp;" -&gt; "&amp;AW181&amp;IF(AS181&lt;&gt;""," -&gt; "&amp;AX181,"")&amp;" from "&amp;TEXT(IF(AS181&lt;&gt;"",AS181,AR181),"dd/mm/yyyy"))))))</f>
        <v/>
      </c>
      <c r="X181" s="28" t="str">
        <f aca="false">IF(AO181=0,"",IF($Q181="",AsOfDate,MIN(AsOfDate,$Q181)))</f>
        <v/>
      </c>
      <c r="Y181" s="26" t="str">
        <f aca="false">IF(AO181=0,"",MAX(0,AQ181))</f>
        <v/>
      </c>
      <c r="Z181" s="11" t="str">
        <f aca="false">IF(AO181=0,"",IF(AQ181&lt;0,"Not started",INT(AQ181/12)&amp;"y "&amp;MOD(AQ181,12)&amp;"m"))</f>
        <v/>
      </c>
      <c r="AA181" s="27" t="str">
        <f aca="false">IF(AO181=0,"",IF(BF181=1,"Terminated - balance forfeited",IF(AY181="None",IF(AB181&gt;0,"No longer accruing - "&amp;T181,"Not eligible - "&amp;T181&amp;IF(AND(IFERROR(VLOOKUP(T181,TypeTable,2,0),"None")="PT",N(U181)&lt;PT_MinHours)," (under "&amp;PT_MinHours&amp;" hrs)","")),IF(AB181&gt;0,"Yes - accruing","Not yet - qualifies "&amp;TEXT(AD181,"dd/mm/yyyy")))))</f>
        <v/>
      </c>
      <c r="AB181" s="26" t="str">
        <f aca="false">IF(AO181=0,"",AZ181+IF(AR181="",0,BB181-BA181)+IF(AS181="",0,BD181-BC181))</f>
        <v/>
      </c>
      <c r="AC181" s="26" t="str">
        <f aca="false">IF(AO181=0,"",AB181*HoursPerDay)</f>
        <v/>
      </c>
      <c r="AD181" s="28" t="str">
        <f aca="false">IF(AO181=0,"",IF(OR(BF181=1,AY181="None"),"",EDATE($E181+AP181,BE181)))</f>
        <v/>
      </c>
      <c r="AE181" s="26" t="str">
        <f aca="false">IF(AD181="","",IF(AY181="PT",1,IF(BE181&lt;FT_Y5,1,IF(MOD(BE181-FT_Y5,12)=0,FT_AnnivDays,1))))</f>
        <v/>
      </c>
      <c r="AF181" s="27" t="str">
        <f aca="false">IF(AO181=0,"",IF(NOT(EH_Ready),"Map headers",IF(IF(MatchMode="Employee ID",COUNTIFS(INDEX(EH_Data,0,EH_ColID),$A181,INDEX(EH_Data,0,EH_ColCat),BonusCat),COUNTIFS(INDEX(EH_Data,0,EH_ColFirst),$B181,INDEX(EH_Data,0,EH_ColSur),$C181,INDEX(EH_Data,0,EH_ColCat),BonusCat))&gt;0,"Yes","No")))</f>
        <v/>
      </c>
      <c r="AG181" s="26" t="str">
        <f aca="false">IF(AO181=0,"",IF(NOT(EH_Ready),"",IF(MatchMode="Employee ID",SUMIFS(INDEX(EH_Data,0,EH_ColBal),INDEX(EH_Data,0,EH_ColID),$A181,INDEX(EH_Data,0,EH_ColCat),BonusCat),SUMIFS(INDEX(EH_Data,0,EH_ColBal),INDEX(EH_Data,0,EH_ColFirst),$B181,INDEX(EH_Data,0,EH_ColSur),$C181,INDEX(EH_Data,0,EH_ColCat),BonusCat))/IF(EHUnit="Hours",HoursPerDay,1)))</f>
        <v/>
      </c>
      <c r="AH181" s="26" t="str">
        <f aca="false">IF(AO181=0,"",IF(NOT(TK_Ready),0,IF(MatchMode="Employee ID",SUMIFS(INDEX(TK_Data,0,TK_ColAmt),INDEX(TK_Data,0,TK_ColID),$A181,INDEX(TK_Data,0,TK_ColCat),BonusCat),SUMIFS(INDEX(TK_Data,0,TK_ColAmt),INDEX(TK_Data,0,TK_ColFirst),$B181,INDEX(TK_Data,0,TK_ColSur),$C181,INDEX(TK_Data,0,TK_ColCat),BonusCat))/IF(TKUnit="Hours",HoursPerDay,1)))</f>
        <v/>
      </c>
      <c r="AI181" s="26" t="str">
        <f aca="false">IF(AO181=0,"",N(AG181)+N(AH181))</f>
        <v/>
      </c>
      <c r="AJ181" s="29" t="str">
        <f aca="false">IF(AO181=0,"",IF(NOT(AND(EH_Ready,EH_ValReady)),"",IF(MatchMode="Employee ID",SUMIFS(INDEX(EH_Data,0,EH_ColVal),INDEX(EH_Data,0,EH_ColID),$A181,INDEX(EH_Data,0,EH_ColCat),BonusCat),SUMIFS(INDEX(EH_Data,0,EH_ColVal),INDEX(EH_Data,0,EH_ColFirst),$B181,INDEX(EH_Data,0,EH_ColSur),$C181,INDEX(EH_Data,0,EH_ColCat),BonusCat))))</f>
        <v/>
      </c>
      <c r="AK181" s="26" t="str">
        <f aca="false">IF(AO181=0,"",IF(OR(NOT(EH_Ready),BF181=1),"",AB181-AI181))</f>
        <v/>
      </c>
      <c r="AL181" s="26" t="str">
        <f aca="false">IF(AK181="","",AK181*HoursPerDay)</f>
        <v/>
      </c>
      <c r="AM181" s="27" t="str">
        <f aca="false">IF(AO181=0,"",IF(BF181=1,IF(N(AG181)&gt;0,"TERMINATED - forfeit "&amp;TEXT(AG181,"0.##")&amp;" days still in EH","Terminated - nothing in EH"),IF(NOT(EH_Ready),"Paste EH export and map headers on Settings",IF(AND(AB181&gt;0,AF181="No"),"SET UP in EH - add "&amp;TEXT(AB181,"0.##")&amp;" day(s) ("&amp;TEXT(AC181,"0.##")&amp;" hrs)",IF(AK181&gt;0,"ADD "&amp;TEXT(AK181,"0.##")&amp;" day(s) ("&amp;TEXT(AL181,"0.##")&amp;" hrs) in EH",IF(AK181&lt;0,"CHECK - EH shows "&amp;TEXT(-AK181,"0.##")&amp;" days more than policy",IF(AB181&gt;0,"OK - up to date",IF(AY181="None","No action - not eligible","No action - not yet qualified"))))))))</f>
        <v/>
      </c>
      <c r="AN181" s="27" t="str">
        <f aca="false">IF(AO181=0,"",TRIM(IF(AND($K181&lt;&gt;"",$H181=""),"Change 2 entered without Change 1. ","")&amp;IF(AND($K181&lt;&gt;"",$H181&lt;&gt;"",$K181&lt;=$H181),"Change 2 date not after Change 1. ","")&amp;IF(AND($N181&lt;&gt;"",$O181&lt;&gt;"",$O181&lt;$N181),"Leave To is before Leave From. ","")&amp;IF(AND($N181&lt;&gt;"",$O181=""),"Leave From entered without Leave To. ","")&amp;IF(AND(IFERROR(VLOOKUP(T181,TypeTable,2,0),"None")="PT",U181=""),"Part-time with no hours entered. ","")&amp;IF(AND($H181&lt;&gt;"",$H181&gt;AsOfDate,AD181&lt;&gt;"",$H181&lt;=AD181),"Status change lands before next accrual - review. ","")&amp;IF(AND($Q181&lt;&gt;"",$Q181&lt;$E181),"Termination before commencement. ","")))</f>
        <v/>
      </c>
      <c r="AO181" s="11" t="n">
        <f aca="false">IF(LEN($A181&amp;$B181&amp;$C181)=0,0,IF($E181="",0,1))</f>
        <v>0</v>
      </c>
      <c r="AP181" s="11" t="str">
        <f aca="false">IF(AO181=0,"",(IF(OR($N181="",$O181=""),0,MAX(0,MIN(X181,$O181)-MAX($N181,$E181)+1))+N($P181)))</f>
        <v/>
      </c>
      <c r="AQ181" s="11" t="str">
        <f aca="false">IF(AO181=0,"",IF(X181&lt;($E181+(IF(OR($N181="",$O181=""),0,MAX(0,MIN(X181,$O181)-MAX($N181,$E181)+1))+N($P181))),-1,12*(YEAR(X181)-YEAR(($E181+(IF(OR($N181="",$O181=""),0,MAX(0,MIN(X181,$O181)-MAX($N181,$E181)+1))+N($P181)))))+MONTH(X181)-MONTH(($E181+(IF(OR($N181="",$O181=""),0,MAX(0,MIN(X181,$O181)-MAX($N181,$E181)+1))+N($P181))))-IF(DAY(X181)&lt;MIN(DAY(($E181+(IF(OR($N181="",$O181=""),0,MAX(0,MIN(X181,$O181)-MAX($N181,$E181)+1))+N($P181)))),DAY(EOMONTH(X181,0))),1,0)))</f>
        <v/>
      </c>
      <c r="AR181" s="28" t="str">
        <f aca="false">IF(AO181=0,"",IF($H181="","",IF($H181&gt;X181,"",$H181)))</f>
        <v/>
      </c>
      <c r="AS181" s="28" t="str">
        <f aca="false">IF(AO181=0,"",IF(AR181="","",IF($K181="","",IF($K181&gt;X181,"",$K181))))</f>
        <v/>
      </c>
      <c r="AT181" s="11" t="str">
        <f aca="false">IF(AO181=0,"",IF(AR181="",AQ181,IF((AR181-1)&lt;($E181+(IF(OR($N181="",$O181=""),0,MAX(0,MIN((AR181-1),$O181)-MAX($N181,$E181)+1))+N($P181))),-1,12*(YEAR((AR181-1))-YEAR(($E181+(IF(OR($N181="",$O181=""),0,MAX(0,MIN((AR181-1),$O181)-MAX($N181,$E181)+1))+N($P181)))))+MONTH((AR181-1))-MONTH(($E181+(IF(OR($N181="",$O181=""),0,MAX(0,MIN((AR181-1),$O181)-MAX($N181,$E181)+1))+N($P181))))-IF(DAY((AR181-1))&lt;MIN(DAY(($E181+(IF(OR($N181="",$O181=""),0,MAX(0,MIN((AR181-1),$O181)-MAX($N181,$E181)+1))+N($P181)))),DAY(EOMONTH((AR181-1),0))),1,0))))</f>
        <v/>
      </c>
      <c r="AU181" s="11" t="str">
        <f aca="false">IF(AO181=0,"",IF(AS181="",AQ181,IF((AS181-1)&lt;($E181+(IF(OR($N181="",$O181=""),0,MAX(0,MIN((AS181-1),$O181)-MAX($N181,$E181)+1))+N($P181))),-1,12*(YEAR((AS181-1))-YEAR(($E181+(IF(OR($N181="",$O181=""),0,MAX(0,MIN((AS181-1),$O181)-MAX($N181,$E181)+1))+N($P181)))))+MONTH((AS181-1))-MONTH(($E181+(IF(OR($N181="",$O181=""),0,MAX(0,MIN((AS181-1),$O181)-MAX($N181,$E181)+1))+N($P181))))-IF(DAY((AS181-1))&lt;MIN(DAY(($E181+(IF(OR($N181="",$O181=""),0,MAX(0,MIN((AS181-1),$O181)-MAX($N181,$E181)+1))+N($P181)))),DAY(EOMONTH((AS181-1),0))),1,0))))</f>
        <v/>
      </c>
      <c r="AV181" s="11" t="str">
        <f aca="false">IF(AO181=0,"",IF($F181="","None",IF(IFERROR(VLOOKUP($F181,TypeTable,2,0),"None")="PT",IF(N($G181)&gt;=PT_MinHours,"PT","None"),IFERROR(VLOOKUP($F181,TypeTable,2,0),"None"))))</f>
        <v/>
      </c>
      <c r="AW181" s="11" t="str">
        <f aca="false">IF(AO181=0,"",IF($I181="","None",IF(IFERROR(VLOOKUP($I181,TypeTable,2,0),"None")="PT",IF(N($J181)&gt;=PT_MinHours,"PT","None"),IFERROR(VLOOKUP($I181,TypeTable,2,0),"None"))))</f>
        <v/>
      </c>
      <c r="AX181" s="11" t="str">
        <f aca="false">IF(AO181=0,"",IF($L181="","None",IF(IFERROR(VLOOKUP($L181,TypeTable,2,0),"None")="PT",IF(N($M181)&gt;=PT_MinHours,"PT","None"),IFERROR(VLOOKUP($L181,TypeTable,2,0),"None"))))</f>
        <v/>
      </c>
      <c r="AY181" s="11" t="str">
        <f aca="false">IF(AO181=0,"",IF(AS181&lt;&gt;"",AX181,IF(AR181&lt;&gt;"",AW181,AV181)))</f>
        <v/>
      </c>
      <c r="AZ181" s="11" t="str">
        <f aca="false">IF(AO181=0,"",IF(AV181="FT",IF(AT181&lt;FT_First,0,IF(AT181&lt;FT_Y5,1+INT((AT181-FT_First)/FT_Int1),FT_PreY5+FT_PerYear*INT((AT181-FT_Y5)/12)+FT_AnnivDays+INT(MOD(AT181-FT_Y5,12)/FT_Int2))),IF(AV181="PT",IF(AT181&lt;PT_First,0,1+INT((AT181-PT_First)/PT_Int)),0)))</f>
        <v/>
      </c>
      <c r="BA181" s="11" t="str">
        <f aca="false">IF(AO181=0,"",IF(AW181="FT",IF(AT181&lt;FT_First,0,IF(AT181&lt;FT_Y5,1+INT((AT181-FT_First)/FT_Int1),FT_PreY5+FT_PerYear*INT((AT181-FT_Y5)/12)+FT_AnnivDays+INT(MOD(AT181-FT_Y5,12)/FT_Int2))),IF(AW181="PT",IF(AT181&lt;PT_First,0,1+INT((AT181-PT_First)/PT_Int)),0)))</f>
        <v/>
      </c>
      <c r="BB181" s="11" t="str">
        <f aca="false">IF(AO181=0,"",IF(AW181="FT",IF(AU181&lt;FT_First,0,IF(AU181&lt;FT_Y5,1+INT((AU181-FT_First)/FT_Int1),FT_PreY5+FT_PerYear*INT((AU181-FT_Y5)/12)+FT_AnnivDays+INT(MOD(AU181-FT_Y5,12)/FT_Int2))),IF(AW181="PT",IF(AU181&lt;PT_First,0,1+INT((AU181-PT_First)/PT_Int)),0)))</f>
        <v/>
      </c>
      <c r="BC181" s="11" t="str">
        <f aca="false">IF(AO181=0,"",IF(AX181="FT",IF(AU181&lt;FT_First,0,IF(AU181&lt;FT_Y5,1+INT((AU181-FT_First)/FT_Int1),FT_PreY5+FT_PerYear*INT((AU181-FT_Y5)/12)+FT_AnnivDays+INT(MOD(AU181-FT_Y5,12)/FT_Int2))),IF(AX181="PT",IF(AU181&lt;PT_First,0,1+INT((AU181-PT_First)/PT_Int)),0)))</f>
        <v/>
      </c>
      <c r="BD181" s="11" t="str">
        <f aca="false">IF(AO181=0,"",IF(AX181="FT",IF(AQ181&lt;FT_First,0,IF(AQ181&lt;FT_Y5,1+INT((AQ181-FT_First)/FT_Int1),FT_PreY5+FT_PerYear*INT((AQ181-FT_Y5)/12)+FT_AnnivDays+INT(MOD(AQ181-FT_Y5,12)/FT_Int2))),IF(AX181="PT",IF(AQ181&lt;PT_First,0,1+INT((AQ181-PT_First)/PT_Int)),0)))</f>
        <v/>
      </c>
      <c r="BE181" s="11" t="str">
        <f aca="false">IF(AO181=0,"",IF(AY181="FT",IF(AQ181&lt;FT_First,FT_First,IF(AQ181&lt;FT_Y5,MIN(FT_Y5,FT_First+FT_Int1*(INT((AQ181-FT_First)/FT_Int1)+1)),FT_Y5+12*INT((AQ181-FT_Y5)/12)+FT_Int2*(INT(MOD(AQ181-FT_Y5,12)/FT_Int2)+1))),IF(AY181="PT",IF(AQ181&lt;PT_First,PT_First,PT_First+PT_Int*(INT((AQ181-PT_First)/PT_Int)+1)),"")))</f>
        <v/>
      </c>
      <c r="BF181" s="11" t="n">
        <f aca="false">IF(AO181=0,0,IF(AND($Q181&lt;&gt;"",$Q181&lt;=AsOfDate),1,0))</f>
        <v>0</v>
      </c>
      <c r="BG181" s="11" t="str">
        <f aca="false">IF(AND(AO181=1,BF181=0,EH_Ready,N(AB181)&gt;0,N(AI181)=0),COUNT($BG$5:BG180)+1,"")</f>
        <v/>
      </c>
      <c r="BH181" s="11" t="str">
        <f aca="false">IF(AND(AO181=1,BF181=0,EH_Ready,N(AB181)&gt;0,N(AI181)&gt;0,N(AK181)&gt;0),COUNT($BH$5:BH180)+1,"")</f>
        <v/>
      </c>
      <c r="BI181" s="11" t="str">
        <f aca="false">IF(AND(AO181=1,OR(LEFT(AM181,3)="ADD",LEFT(AM181,3)="SET",LEFT(AM181,5)="CHECK",LEFT(AM181,10)="TERMINATED")),COUNT($BI$5:BI180)+1,"")</f>
        <v/>
      </c>
      <c r="BJ181" s="11" t="str">
        <f aca="false">IF(AO181=0,"",$A181&amp;" - "&amp;$B181&amp;" "&amp;$C181)</f>
        <v/>
      </c>
    </row>
    <row r="182" customFormat="false" ht="15" hidden="false" customHeight="false" outlineLevel="0" collapsed="false">
      <c r="A182" s="10"/>
      <c r="B182" s="10"/>
      <c r="C182" s="10"/>
      <c r="D182" s="10"/>
      <c r="E182" s="9"/>
      <c r="F182" s="10"/>
      <c r="G182" s="30"/>
      <c r="H182" s="9"/>
      <c r="I182" s="10"/>
      <c r="J182" s="30"/>
      <c r="K182" s="9"/>
      <c r="L182" s="10"/>
      <c r="M182" s="30"/>
      <c r="N182" s="9"/>
      <c r="O182" s="9"/>
      <c r="P182" s="30"/>
      <c r="Q182" s="9"/>
      <c r="R182" s="10"/>
      <c r="S182" s="11" t="str">
        <f aca="false">IF(AO182=0,"",IF($H182="","",$F182&amp;" -&gt; "&amp;$I182&amp;IF($I182="Part-Time"," ("&amp;N($J182)&amp;" hrs)","")&amp;" on "&amp;TEXT($H182,"dd/mm/yyyy")&amp;IF($H182&gt;AsOfDate," (FUTURE)","")&amp;IF($K182="","","; "&amp;$I182&amp;" -&gt; "&amp;$L182&amp;IF($L182="Part-Time"," ("&amp;N($M182)&amp;" hrs)","")&amp;" on "&amp;TEXT($K182,"dd/mm/yyyy")&amp;IF($K182&gt;AsOfDate," (FUTURE)",""))))</f>
        <v/>
      </c>
      <c r="T182" s="11" t="str">
        <f aca="false">IF(AO182=0,"",IF(AS182&lt;&gt;"",$L182,IF(AR182&lt;&gt;"",$I182,$F182)))</f>
        <v/>
      </c>
      <c r="U182" s="26" t="str">
        <f aca="false">IF(AO182=0,"",IF(AS182&lt;&gt;"",$M182,IF(AR182&lt;&gt;"",$J182,$G182)))</f>
        <v/>
      </c>
      <c r="V182" s="11" t="str">
        <f aca="false">IF(AO182=0,"",IF(AY182="FT","Full-Time",IF(AY182="PT","Part-Time","Not eligible")))</f>
        <v/>
      </c>
      <c r="W182" s="27" t="str">
        <f aca="false">IF(AO182=0,"",IF(AR182="",IF(AND($H182&lt;&gt;"",$H182&gt;AsOfDate),"Future change - not yet applied",""),IF(AND(AV182=AY182,OR(AS182="",AW182=AV182)),"Type changed - same accrual pathway",IF(AY182="None","STOPPED accruing from "&amp;TEXT(IF(AS182&lt;&gt;"",AS182,AR182),"dd/mm/yyyy"),IF(AV182="None","STARTED qualifying from "&amp;TEXT(IF(AS182&lt;&gt;"",AS182,AR182),"dd/mm/yyyy"),"Pathway changed "&amp;AV182&amp;" -&gt; "&amp;AW182&amp;IF(AS182&lt;&gt;""," -&gt; "&amp;AX182,"")&amp;" from "&amp;TEXT(IF(AS182&lt;&gt;"",AS182,AR182),"dd/mm/yyyy"))))))</f>
        <v/>
      </c>
      <c r="X182" s="28" t="str">
        <f aca="false">IF(AO182=0,"",IF($Q182="",AsOfDate,MIN(AsOfDate,$Q182)))</f>
        <v/>
      </c>
      <c r="Y182" s="26" t="str">
        <f aca="false">IF(AO182=0,"",MAX(0,AQ182))</f>
        <v/>
      </c>
      <c r="Z182" s="11" t="str">
        <f aca="false">IF(AO182=0,"",IF(AQ182&lt;0,"Not started",INT(AQ182/12)&amp;"y "&amp;MOD(AQ182,12)&amp;"m"))</f>
        <v/>
      </c>
      <c r="AA182" s="27" t="str">
        <f aca="false">IF(AO182=0,"",IF(BF182=1,"Terminated - balance forfeited",IF(AY182="None",IF(AB182&gt;0,"No longer accruing - "&amp;T182,"Not eligible - "&amp;T182&amp;IF(AND(IFERROR(VLOOKUP(T182,TypeTable,2,0),"None")="PT",N(U182)&lt;PT_MinHours)," (under "&amp;PT_MinHours&amp;" hrs)","")),IF(AB182&gt;0,"Yes - accruing","Not yet - qualifies "&amp;TEXT(AD182,"dd/mm/yyyy")))))</f>
        <v/>
      </c>
      <c r="AB182" s="26" t="str">
        <f aca="false">IF(AO182=0,"",AZ182+IF(AR182="",0,BB182-BA182)+IF(AS182="",0,BD182-BC182))</f>
        <v/>
      </c>
      <c r="AC182" s="26" t="str">
        <f aca="false">IF(AO182=0,"",AB182*HoursPerDay)</f>
        <v/>
      </c>
      <c r="AD182" s="28" t="str">
        <f aca="false">IF(AO182=0,"",IF(OR(BF182=1,AY182="None"),"",EDATE($E182+AP182,BE182)))</f>
        <v/>
      </c>
      <c r="AE182" s="26" t="str">
        <f aca="false">IF(AD182="","",IF(AY182="PT",1,IF(BE182&lt;FT_Y5,1,IF(MOD(BE182-FT_Y5,12)=0,FT_AnnivDays,1))))</f>
        <v/>
      </c>
      <c r="AF182" s="27" t="str">
        <f aca="false">IF(AO182=0,"",IF(NOT(EH_Ready),"Map headers",IF(IF(MatchMode="Employee ID",COUNTIFS(INDEX(EH_Data,0,EH_ColID),$A182,INDEX(EH_Data,0,EH_ColCat),BonusCat),COUNTIFS(INDEX(EH_Data,0,EH_ColFirst),$B182,INDEX(EH_Data,0,EH_ColSur),$C182,INDEX(EH_Data,0,EH_ColCat),BonusCat))&gt;0,"Yes","No")))</f>
        <v/>
      </c>
      <c r="AG182" s="26" t="str">
        <f aca="false">IF(AO182=0,"",IF(NOT(EH_Ready),"",IF(MatchMode="Employee ID",SUMIFS(INDEX(EH_Data,0,EH_ColBal),INDEX(EH_Data,0,EH_ColID),$A182,INDEX(EH_Data,0,EH_ColCat),BonusCat),SUMIFS(INDEX(EH_Data,0,EH_ColBal),INDEX(EH_Data,0,EH_ColFirst),$B182,INDEX(EH_Data,0,EH_ColSur),$C182,INDEX(EH_Data,0,EH_ColCat),BonusCat))/IF(EHUnit="Hours",HoursPerDay,1)))</f>
        <v/>
      </c>
      <c r="AH182" s="26" t="str">
        <f aca="false">IF(AO182=0,"",IF(NOT(TK_Ready),0,IF(MatchMode="Employee ID",SUMIFS(INDEX(TK_Data,0,TK_ColAmt),INDEX(TK_Data,0,TK_ColID),$A182,INDEX(TK_Data,0,TK_ColCat),BonusCat),SUMIFS(INDEX(TK_Data,0,TK_ColAmt),INDEX(TK_Data,0,TK_ColFirst),$B182,INDEX(TK_Data,0,TK_ColSur),$C182,INDEX(TK_Data,0,TK_ColCat),BonusCat))/IF(TKUnit="Hours",HoursPerDay,1)))</f>
        <v/>
      </c>
      <c r="AI182" s="26" t="str">
        <f aca="false">IF(AO182=0,"",N(AG182)+N(AH182))</f>
        <v/>
      </c>
      <c r="AJ182" s="29" t="str">
        <f aca="false">IF(AO182=0,"",IF(NOT(AND(EH_Ready,EH_ValReady)),"",IF(MatchMode="Employee ID",SUMIFS(INDEX(EH_Data,0,EH_ColVal),INDEX(EH_Data,0,EH_ColID),$A182,INDEX(EH_Data,0,EH_ColCat),BonusCat),SUMIFS(INDEX(EH_Data,0,EH_ColVal),INDEX(EH_Data,0,EH_ColFirst),$B182,INDEX(EH_Data,0,EH_ColSur),$C182,INDEX(EH_Data,0,EH_ColCat),BonusCat))))</f>
        <v/>
      </c>
      <c r="AK182" s="26" t="str">
        <f aca="false">IF(AO182=0,"",IF(OR(NOT(EH_Ready),BF182=1),"",AB182-AI182))</f>
        <v/>
      </c>
      <c r="AL182" s="26" t="str">
        <f aca="false">IF(AK182="","",AK182*HoursPerDay)</f>
        <v/>
      </c>
      <c r="AM182" s="27" t="str">
        <f aca="false">IF(AO182=0,"",IF(BF182=1,IF(N(AG182)&gt;0,"TERMINATED - forfeit "&amp;TEXT(AG182,"0.##")&amp;" days still in EH","Terminated - nothing in EH"),IF(NOT(EH_Ready),"Paste EH export and map headers on Settings",IF(AND(AB182&gt;0,AF182="No"),"SET UP in EH - add "&amp;TEXT(AB182,"0.##")&amp;" day(s) ("&amp;TEXT(AC182,"0.##")&amp;" hrs)",IF(AK182&gt;0,"ADD "&amp;TEXT(AK182,"0.##")&amp;" day(s) ("&amp;TEXT(AL182,"0.##")&amp;" hrs) in EH",IF(AK182&lt;0,"CHECK - EH shows "&amp;TEXT(-AK182,"0.##")&amp;" days more than policy",IF(AB182&gt;0,"OK - up to date",IF(AY182="None","No action - not eligible","No action - not yet qualified"))))))))</f>
        <v/>
      </c>
      <c r="AN182" s="27" t="str">
        <f aca="false">IF(AO182=0,"",TRIM(IF(AND($K182&lt;&gt;"",$H182=""),"Change 2 entered without Change 1. ","")&amp;IF(AND($K182&lt;&gt;"",$H182&lt;&gt;"",$K182&lt;=$H182),"Change 2 date not after Change 1. ","")&amp;IF(AND($N182&lt;&gt;"",$O182&lt;&gt;"",$O182&lt;$N182),"Leave To is before Leave From. ","")&amp;IF(AND($N182&lt;&gt;"",$O182=""),"Leave From entered without Leave To. ","")&amp;IF(AND(IFERROR(VLOOKUP(T182,TypeTable,2,0),"None")="PT",U182=""),"Part-time with no hours entered. ","")&amp;IF(AND($H182&lt;&gt;"",$H182&gt;AsOfDate,AD182&lt;&gt;"",$H182&lt;=AD182),"Status change lands before next accrual - review. ","")&amp;IF(AND($Q182&lt;&gt;"",$Q182&lt;$E182),"Termination before commencement. ","")))</f>
        <v/>
      </c>
      <c r="AO182" s="11" t="n">
        <f aca="false">IF(LEN($A182&amp;$B182&amp;$C182)=0,0,IF($E182="",0,1))</f>
        <v>0</v>
      </c>
      <c r="AP182" s="11" t="str">
        <f aca="false">IF(AO182=0,"",(IF(OR($N182="",$O182=""),0,MAX(0,MIN(X182,$O182)-MAX($N182,$E182)+1))+N($P182)))</f>
        <v/>
      </c>
      <c r="AQ182" s="11" t="str">
        <f aca="false">IF(AO182=0,"",IF(X182&lt;($E182+(IF(OR($N182="",$O182=""),0,MAX(0,MIN(X182,$O182)-MAX($N182,$E182)+1))+N($P182))),-1,12*(YEAR(X182)-YEAR(($E182+(IF(OR($N182="",$O182=""),0,MAX(0,MIN(X182,$O182)-MAX($N182,$E182)+1))+N($P182)))))+MONTH(X182)-MONTH(($E182+(IF(OR($N182="",$O182=""),0,MAX(0,MIN(X182,$O182)-MAX($N182,$E182)+1))+N($P182))))-IF(DAY(X182)&lt;MIN(DAY(($E182+(IF(OR($N182="",$O182=""),0,MAX(0,MIN(X182,$O182)-MAX($N182,$E182)+1))+N($P182)))),DAY(EOMONTH(X182,0))),1,0)))</f>
        <v/>
      </c>
      <c r="AR182" s="28" t="str">
        <f aca="false">IF(AO182=0,"",IF($H182="","",IF($H182&gt;X182,"",$H182)))</f>
        <v/>
      </c>
      <c r="AS182" s="28" t="str">
        <f aca="false">IF(AO182=0,"",IF(AR182="","",IF($K182="","",IF($K182&gt;X182,"",$K182))))</f>
        <v/>
      </c>
      <c r="AT182" s="11" t="str">
        <f aca="false">IF(AO182=0,"",IF(AR182="",AQ182,IF((AR182-1)&lt;($E182+(IF(OR($N182="",$O182=""),0,MAX(0,MIN((AR182-1),$O182)-MAX($N182,$E182)+1))+N($P182))),-1,12*(YEAR((AR182-1))-YEAR(($E182+(IF(OR($N182="",$O182=""),0,MAX(0,MIN((AR182-1),$O182)-MAX($N182,$E182)+1))+N($P182)))))+MONTH((AR182-1))-MONTH(($E182+(IF(OR($N182="",$O182=""),0,MAX(0,MIN((AR182-1),$O182)-MAX($N182,$E182)+1))+N($P182))))-IF(DAY((AR182-1))&lt;MIN(DAY(($E182+(IF(OR($N182="",$O182=""),0,MAX(0,MIN((AR182-1),$O182)-MAX($N182,$E182)+1))+N($P182)))),DAY(EOMONTH((AR182-1),0))),1,0))))</f>
        <v/>
      </c>
      <c r="AU182" s="11" t="str">
        <f aca="false">IF(AO182=0,"",IF(AS182="",AQ182,IF((AS182-1)&lt;($E182+(IF(OR($N182="",$O182=""),0,MAX(0,MIN((AS182-1),$O182)-MAX($N182,$E182)+1))+N($P182))),-1,12*(YEAR((AS182-1))-YEAR(($E182+(IF(OR($N182="",$O182=""),0,MAX(0,MIN((AS182-1),$O182)-MAX($N182,$E182)+1))+N($P182)))))+MONTH((AS182-1))-MONTH(($E182+(IF(OR($N182="",$O182=""),0,MAX(0,MIN((AS182-1),$O182)-MAX($N182,$E182)+1))+N($P182))))-IF(DAY((AS182-1))&lt;MIN(DAY(($E182+(IF(OR($N182="",$O182=""),0,MAX(0,MIN((AS182-1),$O182)-MAX($N182,$E182)+1))+N($P182)))),DAY(EOMONTH((AS182-1),0))),1,0))))</f>
        <v/>
      </c>
      <c r="AV182" s="11" t="str">
        <f aca="false">IF(AO182=0,"",IF($F182="","None",IF(IFERROR(VLOOKUP($F182,TypeTable,2,0),"None")="PT",IF(N($G182)&gt;=PT_MinHours,"PT","None"),IFERROR(VLOOKUP($F182,TypeTable,2,0),"None"))))</f>
        <v/>
      </c>
      <c r="AW182" s="11" t="str">
        <f aca="false">IF(AO182=0,"",IF($I182="","None",IF(IFERROR(VLOOKUP($I182,TypeTable,2,0),"None")="PT",IF(N($J182)&gt;=PT_MinHours,"PT","None"),IFERROR(VLOOKUP($I182,TypeTable,2,0),"None"))))</f>
        <v/>
      </c>
      <c r="AX182" s="11" t="str">
        <f aca="false">IF(AO182=0,"",IF($L182="","None",IF(IFERROR(VLOOKUP($L182,TypeTable,2,0),"None")="PT",IF(N($M182)&gt;=PT_MinHours,"PT","None"),IFERROR(VLOOKUP($L182,TypeTable,2,0),"None"))))</f>
        <v/>
      </c>
      <c r="AY182" s="11" t="str">
        <f aca="false">IF(AO182=0,"",IF(AS182&lt;&gt;"",AX182,IF(AR182&lt;&gt;"",AW182,AV182)))</f>
        <v/>
      </c>
      <c r="AZ182" s="11" t="str">
        <f aca="false">IF(AO182=0,"",IF(AV182="FT",IF(AT182&lt;FT_First,0,IF(AT182&lt;FT_Y5,1+INT((AT182-FT_First)/FT_Int1),FT_PreY5+FT_PerYear*INT((AT182-FT_Y5)/12)+FT_AnnivDays+INT(MOD(AT182-FT_Y5,12)/FT_Int2))),IF(AV182="PT",IF(AT182&lt;PT_First,0,1+INT((AT182-PT_First)/PT_Int)),0)))</f>
        <v/>
      </c>
      <c r="BA182" s="11" t="str">
        <f aca="false">IF(AO182=0,"",IF(AW182="FT",IF(AT182&lt;FT_First,0,IF(AT182&lt;FT_Y5,1+INT((AT182-FT_First)/FT_Int1),FT_PreY5+FT_PerYear*INT((AT182-FT_Y5)/12)+FT_AnnivDays+INT(MOD(AT182-FT_Y5,12)/FT_Int2))),IF(AW182="PT",IF(AT182&lt;PT_First,0,1+INT((AT182-PT_First)/PT_Int)),0)))</f>
        <v/>
      </c>
      <c r="BB182" s="11" t="str">
        <f aca="false">IF(AO182=0,"",IF(AW182="FT",IF(AU182&lt;FT_First,0,IF(AU182&lt;FT_Y5,1+INT((AU182-FT_First)/FT_Int1),FT_PreY5+FT_PerYear*INT((AU182-FT_Y5)/12)+FT_AnnivDays+INT(MOD(AU182-FT_Y5,12)/FT_Int2))),IF(AW182="PT",IF(AU182&lt;PT_First,0,1+INT((AU182-PT_First)/PT_Int)),0)))</f>
        <v/>
      </c>
      <c r="BC182" s="11" t="str">
        <f aca="false">IF(AO182=0,"",IF(AX182="FT",IF(AU182&lt;FT_First,0,IF(AU182&lt;FT_Y5,1+INT((AU182-FT_First)/FT_Int1),FT_PreY5+FT_PerYear*INT((AU182-FT_Y5)/12)+FT_AnnivDays+INT(MOD(AU182-FT_Y5,12)/FT_Int2))),IF(AX182="PT",IF(AU182&lt;PT_First,0,1+INT((AU182-PT_First)/PT_Int)),0)))</f>
        <v/>
      </c>
      <c r="BD182" s="11" t="str">
        <f aca="false">IF(AO182=0,"",IF(AX182="FT",IF(AQ182&lt;FT_First,0,IF(AQ182&lt;FT_Y5,1+INT((AQ182-FT_First)/FT_Int1),FT_PreY5+FT_PerYear*INT((AQ182-FT_Y5)/12)+FT_AnnivDays+INT(MOD(AQ182-FT_Y5,12)/FT_Int2))),IF(AX182="PT",IF(AQ182&lt;PT_First,0,1+INT((AQ182-PT_First)/PT_Int)),0)))</f>
        <v/>
      </c>
      <c r="BE182" s="11" t="str">
        <f aca="false">IF(AO182=0,"",IF(AY182="FT",IF(AQ182&lt;FT_First,FT_First,IF(AQ182&lt;FT_Y5,MIN(FT_Y5,FT_First+FT_Int1*(INT((AQ182-FT_First)/FT_Int1)+1)),FT_Y5+12*INT((AQ182-FT_Y5)/12)+FT_Int2*(INT(MOD(AQ182-FT_Y5,12)/FT_Int2)+1))),IF(AY182="PT",IF(AQ182&lt;PT_First,PT_First,PT_First+PT_Int*(INT((AQ182-PT_First)/PT_Int)+1)),"")))</f>
        <v/>
      </c>
      <c r="BF182" s="11" t="n">
        <f aca="false">IF(AO182=0,0,IF(AND($Q182&lt;&gt;"",$Q182&lt;=AsOfDate),1,0))</f>
        <v>0</v>
      </c>
      <c r="BG182" s="11" t="str">
        <f aca="false">IF(AND(AO182=1,BF182=0,EH_Ready,N(AB182)&gt;0,N(AI182)=0),COUNT($BG$5:BG181)+1,"")</f>
        <v/>
      </c>
      <c r="BH182" s="11" t="str">
        <f aca="false">IF(AND(AO182=1,BF182=0,EH_Ready,N(AB182)&gt;0,N(AI182)&gt;0,N(AK182)&gt;0),COUNT($BH$5:BH181)+1,"")</f>
        <v/>
      </c>
      <c r="BI182" s="11" t="str">
        <f aca="false">IF(AND(AO182=1,OR(LEFT(AM182,3)="ADD",LEFT(AM182,3)="SET",LEFT(AM182,5)="CHECK",LEFT(AM182,10)="TERMINATED")),COUNT($BI$5:BI181)+1,"")</f>
        <v/>
      </c>
      <c r="BJ182" s="11" t="str">
        <f aca="false">IF(AO182=0,"",$A182&amp;" - "&amp;$B182&amp;" "&amp;$C182)</f>
        <v/>
      </c>
    </row>
    <row r="183" customFormat="false" ht="15" hidden="false" customHeight="false" outlineLevel="0" collapsed="false">
      <c r="A183" s="10"/>
      <c r="B183" s="10"/>
      <c r="C183" s="10"/>
      <c r="D183" s="10"/>
      <c r="E183" s="9"/>
      <c r="F183" s="10"/>
      <c r="G183" s="30"/>
      <c r="H183" s="9"/>
      <c r="I183" s="10"/>
      <c r="J183" s="30"/>
      <c r="K183" s="9"/>
      <c r="L183" s="10"/>
      <c r="M183" s="30"/>
      <c r="N183" s="9"/>
      <c r="O183" s="9"/>
      <c r="P183" s="30"/>
      <c r="Q183" s="9"/>
      <c r="R183" s="10"/>
      <c r="S183" s="11" t="str">
        <f aca="false">IF(AO183=0,"",IF($H183="","",$F183&amp;" -&gt; "&amp;$I183&amp;IF($I183="Part-Time"," ("&amp;N($J183)&amp;" hrs)","")&amp;" on "&amp;TEXT($H183,"dd/mm/yyyy")&amp;IF($H183&gt;AsOfDate," (FUTURE)","")&amp;IF($K183="","","; "&amp;$I183&amp;" -&gt; "&amp;$L183&amp;IF($L183="Part-Time"," ("&amp;N($M183)&amp;" hrs)","")&amp;" on "&amp;TEXT($K183,"dd/mm/yyyy")&amp;IF($K183&gt;AsOfDate," (FUTURE)",""))))</f>
        <v/>
      </c>
      <c r="T183" s="11" t="str">
        <f aca="false">IF(AO183=0,"",IF(AS183&lt;&gt;"",$L183,IF(AR183&lt;&gt;"",$I183,$F183)))</f>
        <v/>
      </c>
      <c r="U183" s="26" t="str">
        <f aca="false">IF(AO183=0,"",IF(AS183&lt;&gt;"",$M183,IF(AR183&lt;&gt;"",$J183,$G183)))</f>
        <v/>
      </c>
      <c r="V183" s="11" t="str">
        <f aca="false">IF(AO183=0,"",IF(AY183="FT","Full-Time",IF(AY183="PT","Part-Time","Not eligible")))</f>
        <v/>
      </c>
      <c r="W183" s="27" t="str">
        <f aca="false">IF(AO183=0,"",IF(AR183="",IF(AND($H183&lt;&gt;"",$H183&gt;AsOfDate),"Future change - not yet applied",""),IF(AND(AV183=AY183,OR(AS183="",AW183=AV183)),"Type changed - same accrual pathway",IF(AY183="None","STOPPED accruing from "&amp;TEXT(IF(AS183&lt;&gt;"",AS183,AR183),"dd/mm/yyyy"),IF(AV183="None","STARTED qualifying from "&amp;TEXT(IF(AS183&lt;&gt;"",AS183,AR183),"dd/mm/yyyy"),"Pathway changed "&amp;AV183&amp;" -&gt; "&amp;AW183&amp;IF(AS183&lt;&gt;""," -&gt; "&amp;AX183,"")&amp;" from "&amp;TEXT(IF(AS183&lt;&gt;"",AS183,AR183),"dd/mm/yyyy"))))))</f>
        <v/>
      </c>
      <c r="X183" s="28" t="str">
        <f aca="false">IF(AO183=0,"",IF($Q183="",AsOfDate,MIN(AsOfDate,$Q183)))</f>
        <v/>
      </c>
      <c r="Y183" s="26" t="str">
        <f aca="false">IF(AO183=0,"",MAX(0,AQ183))</f>
        <v/>
      </c>
      <c r="Z183" s="11" t="str">
        <f aca="false">IF(AO183=0,"",IF(AQ183&lt;0,"Not started",INT(AQ183/12)&amp;"y "&amp;MOD(AQ183,12)&amp;"m"))</f>
        <v/>
      </c>
      <c r="AA183" s="27" t="str">
        <f aca="false">IF(AO183=0,"",IF(BF183=1,"Terminated - balance forfeited",IF(AY183="None",IF(AB183&gt;0,"No longer accruing - "&amp;T183,"Not eligible - "&amp;T183&amp;IF(AND(IFERROR(VLOOKUP(T183,TypeTable,2,0),"None")="PT",N(U183)&lt;PT_MinHours)," (under "&amp;PT_MinHours&amp;" hrs)","")),IF(AB183&gt;0,"Yes - accruing","Not yet - qualifies "&amp;TEXT(AD183,"dd/mm/yyyy")))))</f>
        <v/>
      </c>
      <c r="AB183" s="26" t="str">
        <f aca="false">IF(AO183=0,"",AZ183+IF(AR183="",0,BB183-BA183)+IF(AS183="",0,BD183-BC183))</f>
        <v/>
      </c>
      <c r="AC183" s="26" t="str">
        <f aca="false">IF(AO183=0,"",AB183*HoursPerDay)</f>
        <v/>
      </c>
      <c r="AD183" s="28" t="str">
        <f aca="false">IF(AO183=0,"",IF(OR(BF183=1,AY183="None"),"",EDATE($E183+AP183,BE183)))</f>
        <v/>
      </c>
      <c r="AE183" s="26" t="str">
        <f aca="false">IF(AD183="","",IF(AY183="PT",1,IF(BE183&lt;FT_Y5,1,IF(MOD(BE183-FT_Y5,12)=0,FT_AnnivDays,1))))</f>
        <v/>
      </c>
      <c r="AF183" s="27" t="str">
        <f aca="false">IF(AO183=0,"",IF(NOT(EH_Ready),"Map headers",IF(IF(MatchMode="Employee ID",COUNTIFS(INDEX(EH_Data,0,EH_ColID),$A183,INDEX(EH_Data,0,EH_ColCat),BonusCat),COUNTIFS(INDEX(EH_Data,0,EH_ColFirst),$B183,INDEX(EH_Data,0,EH_ColSur),$C183,INDEX(EH_Data,0,EH_ColCat),BonusCat))&gt;0,"Yes","No")))</f>
        <v/>
      </c>
      <c r="AG183" s="26" t="str">
        <f aca="false">IF(AO183=0,"",IF(NOT(EH_Ready),"",IF(MatchMode="Employee ID",SUMIFS(INDEX(EH_Data,0,EH_ColBal),INDEX(EH_Data,0,EH_ColID),$A183,INDEX(EH_Data,0,EH_ColCat),BonusCat),SUMIFS(INDEX(EH_Data,0,EH_ColBal),INDEX(EH_Data,0,EH_ColFirst),$B183,INDEX(EH_Data,0,EH_ColSur),$C183,INDEX(EH_Data,0,EH_ColCat),BonusCat))/IF(EHUnit="Hours",HoursPerDay,1)))</f>
        <v/>
      </c>
      <c r="AH183" s="26" t="str">
        <f aca="false">IF(AO183=0,"",IF(NOT(TK_Ready),0,IF(MatchMode="Employee ID",SUMIFS(INDEX(TK_Data,0,TK_ColAmt),INDEX(TK_Data,0,TK_ColID),$A183,INDEX(TK_Data,0,TK_ColCat),BonusCat),SUMIFS(INDEX(TK_Data,0,TK_ColAmt),INDEX(TK_Data,0,TK_ColFirst),$B183,INDEX(TK_Data,0,TK_ColSur),$C183,INDEX(TK_Data,0,TK_ColCat),BonusCat))/IF(TKUnit="Hours",HoursPerDay,1)))</f>
        <v/>
      </c>
      <c r="AI183" s="26" t="str">
        <f aca="false">IF(AO183=0,"",N(AG183)+N(AH183))</f>
        <v/>
      </c>
      <c r="AJ183" s="29" t="str">
        <f aca="false">IF(AO183=0,"",IF(NOT(AND(EH_Ready,EH_ValReady)),"",IF(MatchMode="Employee ID",SUMIFS(INDEX(EH_Data,0,EH_ColVal),INDEX(EH_Data,0,EH_ColID),$A183,INDEX(EH_Data,0,EH_ColCat),BonusCat),SUMIFS(INDEX(EH_Data,0,EH_ColVal),INDEX(EH_Data,0,EH_ColFirst),$B183,INDEX(EH_Data,0,EH_ColSur),$C183,INDEX(EH_Data,0,EH_ColCat),BonusCat))))</f>
        <v/>
      </c>
      <c r="AK183" s="26" t="str">
        <f aca="false">IF(AO183=0,"",IF(OR(NOT(EH_Ready),BF183=1),"",AB183-AI183))</f>
        <v/>
      </c>
      <c r="AL183" s="26" t="str">
        <f aca="false">IF(AK183="","",AK183*HoursPerDay)</f>
        <v/>
      </c>
      <c r="AM183" s="27" t="str">
        <f aca="false">IF(AO183=0,"",IF(BF183=1,IF(N(AG183)&gt;0,"TERMINATED - forfeit "&amp;TEXT(AG183,"0.##")&amp;" days still in EH","Terminated - nothing in EH"),IF(NOT(EH_Ready),"Paste EH export and map headers on Settings",IF(AND(AB183&gt;0,AF183="No"),"SET UP in EH - add "&amp;TEXT(AB183,"0.##")&amp;" day(s) ("&amp;TEXT(AC183,"0.##")&amp;" hrs)",IF(AK183&gt;0,"ADD "&amp;TEXT(AK183,"0.##")&amp;" day(s) ("&amp;TEXT(AL183,"0.##")&amp;" hrs) in EH",IF(AK183&lt;0,"CHECK - EH shows "&amp;TEXT(-AK183,"0.##")&amp;" days more than policy",IF(AB183&gt;0,"OK - up to date",IF(AY183="None","No action - not eligible","No action - not yet qualified"))))))))</f>
        <v/>
      </c>
      <c r="AN183" s="27" t="str">
        <f aca="false">IF(AO183=0,"",TRIM(IF(AND($K183&lt;&gt;"",$H183=""),"Change 2 entered without Change 1. ","")&amp;IF(AND($K183&lt;&gt;"",$H183&lt;&gt;"",$K183&lt;=$H183),"Change 2 date not after Change 1. ","")&amp;IF(AND($N183&lt;&gt;"",$O183&lt;&gt;"",$O183&lt;$N183),"Leave To is before Leave From. ","")&amp;IF(AND($N183&lt;&gt;"",$O183=""),"Leave From entered without Leave To. ","")&amp;IF(AND(IFERROR(VLOOKUP(T183,TypeTable,2,0),"None")="PT",U183=""),"Part-time with no hours entered. ","")&amp;IF(AND($H183&lt;&gt;"",$H183&gt;AsOfDate,AD183&lt;&gt;"",$H183&lt;=AD183),"Status change lands before next accrual - review. ","")&amp;IF(AND($Q183&lt;&gt;"",$Q183&lt;$E183),"Termination before commencement. ","")))</f>
        <v/>
      </c>
      <c r="AO183" s="11" t="n">
        <f aca="false">IF(LEN($A183&amp;$B183&amp;$C183)=0,0,IF($E183="",0,1))</f>
        <v>0</v>
      </c>
      <c r="AP183" s="11" t="str">
        <f aca="false">IF(AO183=0,"",(IF(OR($N183="",$O183=""),0,MAX(0,MIN(X183,$O183)-MAX($N183,$E183)+1))+N($P183)))</f>
        <v/>
      </c>
      <c r="AQ183" s="11" t="str">
        <f aca="false">IF(AO183=0,"",IF(X183&lt;($E183+(IF(OR($N183="",$O183=""),0,MAX(0,MIN(X183,$O183)-MAX($N183,$E183)+1))+N($P183))),-1,12*(YEAR(X183)-YEAR(($E183+(IF(OR($N183="",$O183=""),0,MAX(0,MIN(X183,$O183)-MAX($N183,$E183)+1))+N($P183)))))+MONTH(X183)-MONTH(($E183+(IF(OR($N183="",$O183=""),0,MAX(0,MIN(X183,$O183)-MAX($N183,$E183)+1))+N($P183))))-IF(DAY(X183)&lt;MIN(DAY(($E183+(IF(OR($N183="",$O183=""),0,MAX(0,MIN(X183,$O183)-MAX($N183,$E183)+1))+N($P183)))),DAY(EOMONTH(X183,0))),1,0)))</f>
        <v/>
      </c>
      <c r="AR183" s="28" t="str">
        <f aca="false">IF(AO183=0,"",IF($H183="","",IF($H183&gt;X183,"",$H183)))</f>
        <v/>
      </c>
      <c r="AS183" s="28" t="str">
        <f aca="false">IF(AO183=0,"",IF(AR183="","",IF($K183="","",IF($K183&gt;X183,"",$K183))))</f>
        <v/>
      </c>
      <c r="AT183" s="11" t="str">
        <f aca="false">IF(AO183=0,"",IF(AR183="",AQ183,IF((AR183-1)&lt;($E183+(IF(OR($N183="",$O183=""),0,MAX(0,MIN((AR183-1),$O183)-MAX($N183,$E183)+1))+N($P183))),-1,12*(YEAR((AR183-1))-YEAR(($E183+(IF(OR($N183="",$O183=""),0,MAX(0,MIN((AR183-1),$O183)-MAX($N183,$E183)+1))+N($P183)))))+MONTH((AR183-1))-MONTH(($E183+(IF(OR($N183="",$O183=""),0,MAX(0,MIN((AR183-1),$O183)-MAX($N183,$E183)+1))+N($P183))))-IF(DAY((AR183-1))&lt;MIN(DAY(($E183+(IF(OR($N183="",$O183=""),0,MAX(0,MIN((AR183-1),$O183)-MAX($N183,$E183)+1))+N($P183)))),DAY(EOMONTH((AR183-1),0))),1,0))))</f>
        <v/>
      </c>
      <c r="AU183" s="11" t="str">
        <f aca="false">IF(AO183=0,"",IF(AS183="",AQ183,IF((AS183-1)&lt;($E183+(IF(OR($N183="",$O183=""),0,MAX(0,MIN((AS183-1),$O183)-MAX($N183,$E183)+1))+N($P183))),-1,12*(YEAR((AS183-1))-YEAR(($E183+(IF(OR($N183="",$O183=""),0,MAX(0,MIN((AS183-1),$O183)-MAX($N183,$E183)+1))+N($P183)))))+MONTH((AS183-1))-MONTH(($E183+(IF(OR($N183="",$O183=""),0,MAX(0,MIN((AS183-1),$O183)-MAX($N183,$E183)+1))+N($P183))))-IF(DAY((AS183-1))&lt;MIN(DAY(($E183+(IF(OR($N183="",$O183=""),0,MAX(0,MIN((AS183-1),$O183)-MAX($N183,$E183)+1))+N($P183)))),DAY(EOMONTH((AS183-1),0))),1,0))))</f>
        <v/>
      </c>
      <c r="AV183" s="11" t="str">
        <f aca="false">IF(AO183=0,"",IF($F183="","None",IF(IFERROR(VLOOKUP($F183,TypeTable,2,0),"None")="PT",IF(N($G183)&gt;=PT_MinHours,"PT","None"),IFERROR(VLOOKUP($F183,TypeTable,2,0),"None"))))</f>
        <v/>
      </c>
      <c r="AW183" s="11" t="str">
        <f aca="false">IF(AO183=0,"",IF($I183="","None",IF(IFERROR(VLOOKUP($I183,TypeTable,2,0),"None")="PT",IF(N($J183)&gt;=PT_MinHours,"PT","None"),IFERROR(VLOOKUP($I183,TypeTable,2,0),"None"))))</f>
        <v/>
      </c>
      <c r="AX183" s="11" t="str">
        <f aca="false">IF(AO183=0,"",IF($L183="","None",IF(IFERROR(VLOOKUP($L183,TypeTable,2,0),"None")="PT",IF(N($M183)&gt;=PT_MinHours,"PT","None"),IFERROR(VLOOKUP($L183,TypeTable,2,0),"None"))))</f>
        <v/>
      </c>
      <c r="AY183" s="11" t="str">
        <f aca="false">IF(AO183=0,"",IF(AS183&lt;&gt;"",AX183,IF(AR183&lt;&gt;"",AW183,AV183)))</f>
        <v/>
      </c>
      <c r="AZ183" s="11" t="str">
        <f aca="false">IF(AO183=0,"",IF(AV183="FT",IF(AT183&lt;FT_First,0,IF(AT183&lt;FT_Y5,1+INT((AT183-FT_First)/FT_Int1),FT_PreY5+FT_PerYear*INT((AT183-FT_Y5)/12)+FT_AnnivDays+INT(MOD(AT183-FT_Y5,12)/FT_Int2))),IF(AV183="PT",IF(AT183&lt;PT_First,0,1+INT((AT183-PT_First)/PT_Int)),0)))</f>
        <v/>
      </c>
      <c r="BA183" s="11" t="str">
        <f aca="false">IF(AO183=0,"",IF(AW183="FT",IF(AT183&lt;FT_First,0,IF(AT183&lt;FT_Y5,1+INT((AT183-FT_First)/FT_Int1),FT_PreY5+FT_PerYear*INT((AT183-FT_Y5)/12)+FT_AnnivDays+INT(MOD(AT183-FT_Y5,12)/FT_Int2))),IF(AW183="PT",IF(AT183&lt;PT_First,0,1+INT((AT183-PT_First)/PT_Int)),0)))</f>
        <v/>
      </c>
      <c r="BB183" s="11" t="str">
        <f aca="false">IF(AO183=0,"",IF(AW183="FT",IF(AU183&lt;FT_First,0,IF(AU183&lt;FT_Y5,1+INT((AU183-FT_First)/FT_Int1),FT_PreY5+FT_PerYear*INT((AU183-FT_Y5)/12)+FT_AnnivDays+INT(MOD(AU183-FT_Y5,12)/FT_Int2))),IF(AW183="PT",IF(AU183&lt;PT_First,0,1+INT((AU183-PT_First)/PT_Int)),0)))</f>
        <v/>
      </c>
      <c r="BC183" s="11" t="str">
        <f aca="false">IF(AO183=0,"",IF(AX183="FT",IF(AU183&lt;FT_First,0,IF(AU183&lt;FT_Y5,1+INT((AU183-FT_First)/FT_Int1),FT_PreY5+FT_PerYear*INT((AU183-FT_Y5)/12)+FT_AnnivDays+INT(MOD(AU183-FT_Y5,12)/FT_Int2))),IF(AX183="PT",IF(AU183&lt;PT_First,0,1+INT((AU183-PT_First)/PT_Int)),0)))</f>
        <v/>
      </c>
      <c r="BD183" s="11" t="str">
        <f aca="false">IF(AO183=0,"",IF(AX183="FT",IF(AQ183&lt;FT_First,0,IF(AQ183&lt;FT_Y5,1+INT((AQ183-FT_First)/FT_Int1),FT_PreY5+FT_PerYear*INT((AQ183-FT_Y5)/12)+FT_AnnivDays+INT(MOD(AQ183-FT_Y5,12)/FT_Int2))),IF(AX183="PT",IF(AQ183&lt;PT_First,0,1+INT((AQ183-PT_First)/PT_Int)),0)))</f>
        <v/>
      </c>
      <c r="BE183" s="11" t="str">
        <f aca="false">IF(AO183=0,"",IF(AY183="FT",IF(AQ183&lt;FT_First,FT_First,IF(AQ183&lt;FT_Y5,MIN(FT_Y5,FT_First+FT_Int1*(INT((AQ183-FT_First)/FT_Int1)+1)),FT_Y5+12*INT((AQ183-FT_Y5)/12)+FT_Int2*(INT(MOD(AQ183-FT_Y5,12)/FT_Int2)+1))),IF(AY183="PT",IF(AQ183&lt;PT_First,PT_First,PT_First+PT_Int*(INT((AQ183-PT_First)/PT_Int)+1)),"")))</f>
        <v/>
      </c>
      <c r="BF183" s="11" t="n">
        <f aca="false">IF(AO183=0,0,IF(AND($Q183&lt;&gt;"",$Q183&lt;=AsOfDate),1,0))</f>
        <v>0</v>
      </c>
      <c r="BG183" s="11" t="str">
        <f aca="false">IF(AND(AO183=1,BF183=0,EH_Ready,N(AB183)&gt;0,N(AI183)=0),COUNT($BG$5:BG182)+1,"")</f>
        <v/>
      </c>
      <c r="BH183" s="11" t="str">
        <f aca="false">IF(AND(AO183=1,BF183=0,EH_Ready,N(AB183)&gt;0,N(AI183)&gt;0,N(AK183)&gt;0),COUNT($BH$5:BH182)+1,"")</f>
        <v/>
      </c>
      <c r="BI183" s="11" t="str">
        <f aca="false">IF(AND(AO183=1,OR(LEFT(AM183,3)="ADD",LEFT(AM183,3)="SET",LEFT(AM183,5)="CHECK",LEFT(AM183,10)="TERMINATED")),COUNT($BI$5:BI182)+1,"")</f>
        <v/>
      </c>
      <c r="BJ183" s="11" t="str">
        <f aca="false">IF(AO183=0,"",$A183&amp;" - "&amp;$B183&amp;" "&amp;$C183)</f>
        <v/>
      </c>
    </row>
    <row r="184" customFormat="false" ht="15" hidden="false" customHeight="false" outlineLevel="0" collapsed="false">
      <c r="A184" s="10"/>
      <c r="B184" s="10"/>
      <c r="C184" s="10"/>
      <c r="D184" s="10"/>
      <c r="E184" s="9"/>
      <c r="F184" s="10"/>
      <c r="G184" s="30"/>
      <c r="H184" s="9"/>
      <c r="I184" s="10"/>
      <c r="J184" s="30"/>
      <c r="K184" s="9"/>
      <c r="L184" s="10"/>
      <c r="M184" s="30"/>
      <c r="N184" s="9"/>
      <c r="O184" s="9"/>
      <c r="P184" s="30"/>
      <c r="Q184" s="9"/>
      <c r="R184" s="10"/>
      <c r="S184" s="11" t="str">
        <f aca="false">IF(AO184=0,"",IF($H184="","",$F184&amp;" -&gt; "&amp;$I184&amp;IF($I184="Part-Time"," ("&amp;N($J184)&amp;" hrs)","")&amp;" on "&amp;TEXT($H184,"dd/mm/yyyy")&amp;IF($H184&gt;AsOfDate," (FUTURE)","")&amp;IF($K184="","","; "&amp;$I184&amp;" -&gt; "&amp;$L184&amp;IF($L184="Part-Time"," ("&amp;N($M184)&amp;" hrs)","")&amp;" on "&amp;TEXT($K184,"dd/mm/yyyy")&amp;IF($K184&gt;AsOfDate," (FUTURE)",""))))</f>
        <v/>
      </c>
      <c r="T184" s="11" t="str">
        <f aca="false">IF(AO184=0,"",IF(AS184&lt;&gt;"",$L184,IF(AR184&lt;&gt;"",$I184,$F184)))</f>
        <v/>
      </c>
      <c r="U184" s="26" t="str">
        <f aca="false">IF(AO184=0,"",IF(AS184&lt;&gt;"",$M184,IF(AR184&lt;&gt;"",$J184,$G184)))</f>
        <v/>
      </c>
      <c r="V184" s="11" t="str">
        <f aca="false">IF(AO184=0,"",IF(AY184="FT","Full-Time",IF(AY184="PT","Part-Time","Not eligible")))</f>
        <v/>
      </c>
      <c r="W184" s="27" t="str">
        <f aca="false">IF(AO184=0,"",IF(AR184="",IF(AND($H184&lt;&gt;"",$H184&gt;AsOfDate),"Future change - not yet applied",""),IF(AND(AV184=AY184,OR(AS184="",AW184=AV184)),"Type changed - same accrual pathway",IF(AY184="None","STOPPED accruing from "&amp;TEXT(IF(AS184&lt;&gt;"",AS184,AR184),"dd/mm/yyyy"),IF(AV184="None","STARTED qualifying from "&amp;TEXT(IF(AS184&lt;&gt;"",AS184,AR184),"dd/mm/yyyy"),"Pathway changed "&amp;AV184&amp;" -&gt; "&amp;AW184&amp;IF(AS184&lt;&gt;""," -&gt; "&amp;AX184,"")&amp;" from "&amp;TEXT(IF(AS184&lt;&gt;"",AS184,AR184),"dd/mm/yyyy"))))))</f>
        <v/>
      </c>
      <c r="X184" s="28" t="str">
        <f aca="false">IF(AO184=0,"",IF($Q184="",AsOfDate,MIN(AsOfDate,$Q184)))</f>
        <v/>
      </c>
      <c r="Y184" s="26" t="str">
        <f aca="false">IF(AO184=0,"",MAX(0,AQ184))</f>
        <v/>
      </c>
      <c r="Z184" s="11" t="str">
        <f aca="false">IF(AO184=0,"",IF(AQ184&lt;0,"Not started",INT(AQ184/12)&amp;"y "&amp;MOD(AQ184,12)&amp;"m"))</f>
        <v/>
      </c>
      <c r="AA184" s="27" t="str">
        <f aca="false">IF(AO184=0,"",IF(BF184=1,"Terminated - balance forfeited",IF(AY184="None",IF(AB184&gt;0,"No longer accruing - "&amp;T184,"Not eligible - "&amp;T184&amp;IF(AND(IFERROR(VLOOKUP(T184,TypeTable,2,0),"None")="PT",N(U184)&lt;PT_MinHours)," (under "&amp;PT_MinHours&amp;" hrs)","")),IF(AB184&gt;0,"Yes - accruing","Not yet - qualifies "&amp;TEXT(AD184,"dd/mm/yyyy")))))</f>
        <v/>
      </c>
      <c r="AB184" s="26" t="str">
        <f aca="false">IF(AO184=0,"",AZ184+IF(AR184="",0,BB184-BA184)+IF(AS184="",0,BD184-BC184))</f>
        <v/>
      </c>
      <c r="AC184" s="26" t="str">
        <f aca="false">IF(AO184=0,"",AB184*HoursPerDay)</f>
        <v/>
      </c>
      <c r="AD184" s="28" t="str">
        <f aca="false">IF(AO184=0,"",IF(OR(BF184=1,AY184="None"),"",EDATE($E184+AP184,BE184)))</f>
        <v/>
      </c>
      <c r="AE184" s="26" t="str">
        <f aca="false">IF(AD184="","",IF(AY184="PT",1,IF(BE184&lt;FT_Y5,1,IF(MOD(BE184-FT_Y5,12)=0,FT_AnnivDays,1))))</f>
        <v/>
      </c>
      <c r="AF184" s="27" t="str">
        <f aca="false">IF(AO184=0,"",IF(NOT(EH_Ready),"Map headers",IF(IF(MatchMode="Employee ID",COUNTIFS(INDEX(EH_Data,0,EH_ColID),$A184,INDEX(EH_Data,0,EH_ColCat),BonusCat),COUNTIFS(INDEX(EH_Data,0,EH_ColFirst),$B184,INDEX(EH_Data,0,EH_ColSur),$C184,INDEX(EH_Data,0,EH_ColCat),BonusCat))&gt;0,"Yes","No")))</f>
        <v/>
      </c>
      <c r="AG184" s="26" t="str">
        <f aca="false">IF(AO184=0,"",IF(NOT(EH_Ready),"",IF(MatchMode="Employee ID",SUMIFS(INDEX(EH_Data,0,EH_ColBal),INDEX(EH_Data,0,EH_ColID),$A184,INDEX(EH_Data,0,EH_ColCat),BonusCat),SUMIFS(INDEX(EH_Data,0,EH_ColBal),INDEX(EH_Data,0,EH_ColFirst),$B184,INDEX(EH_Data,0,EH_ColSur),$C184,INDEX(EH_Data,0,EH_ColCat),BonusCat))/IF(EHUnit="Hours",HoursPerDay,1)))</f>
        <v/>
      </c>
      <c r="AH184" s="26" t="str">
        <f aca="false">IF(AO184=0,"",IF(NOT(TK_Ready),0,IF(MatchMode="Employee ID",SUMIFS(INDEX(TK_Data,0,TK_ColAmt),INDEX(TK_Data,0,TK_ColID),$A184,INDEX(TK_Data,0,TK_ColCat),BonusCat),SUMIFS(INDEX(TK_Data,0,TK_ColAmt),INDEX(TK_Data,0,TK_ColFirst),$B184,INDEX(TK_Data,0,TK_ColSur),$C184,INDEX(TK_Data,0,TK_ColCat),BonusCat))/IF(TKUnit="Hours",HoursPerDay,1)))</f>
        <v/>
      </c>
      <c r="AI184" s="26" t="str">
        <f aca="false">IF(AO184=0,"",N(AG184)+N(AH184))</f>
        <v/>
      </c>
      <c r="AJ184" s="29" t="str">
        <f aca="false">IF(AO184=0,"",IF(NOT(AND(EH_Ready,EH_ValReady)),"",IF(MatchMode="Employee ID",SUMIFS(INDEX(EH_Data,0,EH_ColVal),INDEX(EH_Data,0,EH_ColID),$A184,INDEX(EH_Data,0,EH_ColCat),BonusCat),SUMIFS(INDEX(EH_Data,0,EH_ColVal),INDEX(EH_Data,0,EH_ColFirst),$B184,INDEX(EH_Data,0,EH_ColSur),$C184,INDEX(EH_Data,0,EH_ColCat),BonusCat))))</f>
        <v/>
      </c>
      <c r="AK184" s="26" t="str">
        <f aca="false">IF(AO184=0,"",IF(OR(NOT(EH_Ready),BF184=1),"",AB184-AI184))</f>
        <v/>
      </c>
      <c r="AL184" s="26" t="str">
        <f aca="false">IF(AK184="","",AK184*HoursPerDay)</f>
        <v/>
      </c>
      <c r="AM184" s="27" t="str">
        <f aca="false">IF(AO184=0,"",IF(BF184=1,IF(N(AG184)&gt;0,"TERMINATED - forfeit "&amp;TEXT(AG184,"0.##")&amp;" days still in EH","Terminated - nothing in EH"),IF(NOT(EH_Ready),"Paste EH export and map headers on Settings",IF(AND(AB184&gt;0,AF184="No"),"SET UP in EH - add "&amp;TEXT(AB184,"0.##")&amp;" day(s) ("&amp;TEXT(AC184,"0.##")&amp;" hrs)",IF(AK184&gt;0,"ADD "&amp;TEXT(AK184,"0.##")&amp;" day(s) ("&amp;TEXT(AL184,"0.##")&amp;" hrs) in EH",IF(AK184&lt;0,"CHECK - EH shows "&amp;TEXT(-AK184,"0.##")&amp;" days more than policy",IF(AB184&gt;0,"OK - up to date",IF(AY184="None","No action - not eligible","No action - not yet qualified"))))))))</f>
        <v/>
      </c>
      <c r="AN184" s="27" t="str">
        <f aca="false">IF(AO184=0,"",TRIM(IF(AND($K184&lt;&gt;"",$H184=""),"Change 2 entered without Change 1. ","")&amp;IF(AND($K184&lt;&gt;"",$H184&lt;&gt;"",$K184&lt;=$H184),"Change 2 date not after Change 1. ","")&amp;IF(AND($N184&lt;&gt;"",$O184&lt;&gt;"",$O184&lt;$N184),"Leave To is before Leave From. ","")&amp;IF(AND($N184&lt;&gt;"",$O184=""),"Leave From entered without Leave To. ","")&amp;IF(AND(IFERROR(VLOOKUP(T184,TypeTable,2,0),"None")="PT",U184=""),"Part-time with no hours entered. ","")&amp;IF(AND($H184&lt;&gt;"",$H184&gt;AsOfDate,AD184&lt;&gt;"",$H184&lt;=AD184),"Status change lands before next accrual - review. ","")&amp;IF(AND($Q184&lt;&gt;"",$Q184&lt;$E184),"Termination before commencement. ","")))</f>
        <v/>
      </c>
      <c r="AO184" s="11" t="n">
        <f aca="false">IF(LEN($A184&amp;$B184&amp;$C184)=0,0,IF($E184="",0,1))</f>
        <v>0</v>
      </c>
      <c r="AP184" s="11" t="str">
        <f aca="false">IF(AO184=0,"",(IF(OR($N184="",$O184=""),0,MAX(0,MIN(X184,$O184)-MAX($N184,$E184)+1))+N($P184)))</f>
        <v/>
      </c>
      <c r="AQ184" s="11" t="str">
        <f aca="false">IF(AO184=0,"",IF(X184&lt;($E184+(IF(OR($N184="",$O184=""),0,MAX(0,MIN(X184,$O184)-MAX($N184,$E184)+1))+N($P184))),-1,12*(YEAR(X184)-YEAR(($E184+(IF(OR($N184="",$O184=""),0,MAX(0,MIN(X184,$O184)-MAX($N184,$E184)+1))+N($P184)))))+MONTH(X184)-MONTH(($E184+(IF(OR($N184="",$O184=""),0,MAX(0,MIN(X184,$O184)-MAX($N184,$E184)+1))+N($P184))))-IF(DAY(X184)&lt;MIN(DAY(($E184+(IF(OR($N184="",$O184=""),0,MAX(0,MIN(X184,$O184)-MAX($N184,$E184)+1))+N($P184)))),DAY(EOMONTH(X184,0))),1,0)))</f>
        <v/>
      </c>
      <c r="AR184" s="28" t="str">
        <f aca="false">IF(AO184=0,"",IF($H184="","",IF($H184&gt;X184,"",$H184)))</f>
        <v/>
      </c>
      <c r="AS184" s="28" t="str">
        <f aca="false">IF(AO184=0,"",IF(AR184="","",IF($K184="","",IF($K184&gt;X184,"",$K184))))</f>
        <v/>
      </c>
      <c r="AT184" s="11" t="str">
        <f aca="false">IF(AO184=0,"",IF(AR184="",AQ184,IF((AR184-1)&lt;($E184+(IF(OR($N184="",$O184=""),0,MAX(0,MIN((AR184-1),$O184)-MAX($N184,$E184)+1))+N($P184))),-1,12*(YEAR((AR184-1))-YEAR(($E184+(IF(OR($N184="",$O184=""),0,MAX(0,MIN((AR184-1),$O184)-MAX($N184,$E184)+1))+N($P184)))))+MONTH((AR184-1))-MONTH(($E184+(IF(OR($N184="",$O184=""),0,MAX(0,MIN((AR184-1),$O184)-MAX($N184,$E184)+1))+N($P184))))-IF(DAY((AR184-1))&lt;MIN(DAY(($E184+(IF(OR($N184="",$O184=""),0,MAX(0,MIN((AR184-1),$O184)-MAX($N184,$E184)+1))+N($P184)))),DAY(EOMONTH((AR184-1),0))),1,0))))</f>
        <v/>
      </c>
      <c r="AU184" s="11" t="str">
        <f aca="false">IF(AO184=0,"",IF(AS184="",AQ184,IF((AS184-1)&lt;($E184+(IF(OR($N184="",$O184=""),0,MAX(0,MIN((AS184-1),$O184)-MAX($N184,$E184)+1))+N($P184))),-1,12*(YEAR((AS184-1))-YEAR(($E184+(IF(OR($N184="",$O184=""),0,MAX(0,MIN((AS184-1),$O184)-MAX($N184,$E184)+1))+N($P184)))))+MONTH((AS184-1))-MONTH(($E184+(IF(OR($N184="",$O184=""),0,MAX(0,MIN((AS184-1),$O184)-MAX($N184,$E184)+1))+N($P184))))-IF(DAY((AS184-1))&lt;MIN(DAY(($E184+(IF(OR($N184="",$O184=""),0,MAX(0,MIN((AS184-1),$O184)-MAX($N184,$E184)+1))+N($P184)))),DAY(EOMONTH((AS184-1),0))),1,0))))</f>
        <v/>
      </c>
      <c r="AV184" s="11" t="str">
        <f aca="false">IF(AO184=0,"",IF($F184="","None",IF(IFERROR(VLOOKUP($F184,TypeTable,2,0),"None")="PT",IF(N($G184)&gt;=PT_MinHours,"PT","None"),IFERROR(VLOOKUP($F184,TypeTable,2,0),"None"))))</f>
        <v/>
      </c>
      <c r="AW184" s="11" t="str">
        <f aca="false">IF(AO184=0,"",IF($I184="","None",IF(IFERROR(VLOOKUP($I184,TypeTable,2,0),"None")="PT",IF(N($J184)&gt;=PT_MinHours,"PT","None"),IFERROR(VLOOKUP($I184,TypeTable,2,0),"None"))))</f>
        <v/>
      </c>
      <c r="AX184" s="11" t="str">
        <f aca="false">IF(AO184=0,"",IF($L184="","None",IF(IFERROR(VLOOKUP($L184,TypeTable,2,0),"None")="PT",IF(N($M184)&gt;=PT_MinHours,"PT","None"),IFERROR(VLOOKUP($L184,TypeTable,2,0),"None"))))</f>
        <v/>
      </c>
      <c r="AY184" s="11" t="str">
        <f aca="false">IF(AO184=0,"",IF(AS184&lt;&gt;"",AX184,IF(AR184&lt;&gt;"",AW184,AV184)))</f>
        <v/>
      </c>
      <c r="AZ184" s="11" t="str">
        <f aca="false">IF(AO184=0,"",IF(AV184="FT",IF(AT184&lt;FT_First,0,IF(AT184&lt;FT_Y5,1+INT((AT184-FT_First)/FT_Int1),FT_PreY5+FT_PerYear*INT((AT184-FT_Y5)/12)+FT_AnnivDays+INT(MOD(AT184-FT_Y5,12)/FT_Int2))),IF(AV184="PT",IF(AT184&lt;PT_First,0,1+INT((AT184-PT_First)/PT_Int)),0)))</f>
        <v/>
      </c>
      <c r="BA184" s="11" t="str">
        <f aca="false">IF(AO184=0,"",IF(AW184="FT",IF(AT184&lt;FT_First,0,IF(AT184&lt;FT_Y5,1+INT((AT184-FT_First)/FT_Int1),FT_PreY5+FT_PerYear*INT((AT184-FT_Y5)/12)+FT_AnnivDays+INT(MOD(AT184-FT_Y5,12)/FT_Int2))),IF(AW184="PT",IF(AT184&lt;PT_First,0,1+INT((AT184-PT_First)/PT_Int)),0)))</f>
        <v/>
      </c>
      <c r="BB184" s="11" t="str">
        <f aca="false">IF(AO184=0,"",IF(AW184="FT",IF(AU184&lt;FT_First,0,IF(AU184&lt;FT_Y5,1+INT((AU184-FT_First)/FT_Int1),FT_PreY5+FT_PerYear*INT((AU184-FT_Y5)/12)+FT_AnnivDays+INT(MOD(AU184-FT_Y5,12)/FT_Int2))),IF(AW184="PT",IF(AU184&lt;PT_First,0,1+INT((AU184-PT_First)/PT_Int)),0)))</f>
        <v/>
      </c>
      <c r="BC184" s="11" t="str">
        <f aca="false">IF(AO184=0,"",IF(AX184="FT",IF(AU184&lt;FT_First,0,IF(AU184&lt;FT_Y5,1+INT((AU184-FT_First)/FT_Int1),FT_PreY5+FT_PerYear*INT((AU184-FT_Y5)/12)+FT_AnnivDays+INT(MOD(AU184-FT_Y5,12)/FT_Int2))),IF(AX184="PT",IF(AU184&lt;PT_First,0,1+INT((AU184-PT_First)/PT_Int)),0)))</f>
        <v/>
      </c>
      <c r="BD184" s="11" t="str">
        <f aca="false">IF(AO184=0,"",IF(AX184="FT",IF(AQ184&lt;FT_First,0,IF(AQ184&lt;FT_Y5,1+INT((AQ184-FT_First)/FT_Int1),FT_PreY5+FT_PerYear*INT((AQ184-FT_Y5)/12)+FT_AnnivDays+INT(MOD(AQ184-FT_Y5,12)/FT_Int2))),IF(AX184="PT",IF(AQ184&lt;PT_First,0,1+INT((AQ184-PT_First)/PT_Int)),0)))</f>
        <v/>
      </c>
      <c r="BE184" s="11" t="str">
        <f aca="false">IF(AO184=0,"",IF(AY184="FT",IF(AQ184&lt;FT_First,FT_First,IF(AQ184&lt;FT_Y5,MIN(FT_Y5,FT_First+FT_Int1*(INT((AQ184-FT_First)/FT_Int1)+1)),FT_Y5+12*INT((AQ184-FT_Y5)/12)+FT_Int2*(INT(MOD(AQ184-FT_Y5,12)/FT_Int2)+1))),IF(AY184="PT",IF(AQ184&lt;PT_First,PT_First,PT_First+PT_Int*(INT((AQ184-PT_First)/PT_Int)+1)),"")))</f>
        <v/>
      </c>
      <c r="BF184" s="11" t="n">
        <f aca="false">IF(AO184=0,0,IF(AND($Q184&lt;&gt;"",$Q184&lt;=AsOfDate),1,0))</f>
        <v>0</v>
      </c>
      <c r="BG184" s="11" t="str">
        <f aca="false">IF(AND(AO184=1,BF184=0,EH_Ready,N(AB184)&gt;0,N(AI184)=0),COUNT($BG$5:BG183)+1,"")</f>
        <v/>
      </c>
      <c r="BH184" s="11" t="str">
        <f aca="false">IF(AND(AO184=1,BF184=0,EH_Ready,N(AB184)&gt;0,N(AI184)&gt;0,N(AK184)&gt;0),COUNT($BH$5:BH183)+1,"")</f>
        <v/>
      </c>
      <c r="BI184" s="11" t="str">
        <f aca="false">IF(AND(AO184=1,OR(LEFT(AM184,3)="ADD",LEFT(AM184,3)="SET",LEFT(AM184,5)="CHECK",LEFT(AM184,10)="TERMINATED")),COUNT($BI$5:BI183)+1,"")</f>
        <v/>
      </c>
      <c r="BJ184" s="11" t="str">
        <f aca="false">IF(AO184=0,"",$A184&amp;" - "&amp;$B184&amp;" "&amp;$C184)</f>
        <v/>
      </c>
    </row>
    <row r="185" customFormat="false" ht="15" hidden="false" customHeight="false" outlineLevel="0" collapsed="false">
      <c r="A185" s="10"/>
      <c r="B185" s="10"/>
      <c r="C185" s="10"/>
      <c r="D185" s="10"/>
      <c r="E185" s="9"/>
      <c r="F185" s="10"/>
      <c r="G185" s="30"/>
      <c r="H185" s="9"/>
      <c r="I185" s="10"/>
      <c r="J185" s="30"/>
      <c r="K185" s="9"/>
      <c r="L185" s="10"/>
      <c r="M185" s="30"/>
      <c r="N185" s="9"/>
      <c r="O185" s="9"/>
      <c r="P185" s="30"/>
      <c r="Q185" s="9"/>
      <c r="R185" s="10"/>
      <c r="S185" s="11" t="str">
        <f aca="false">IF(AO185=0,"",IF($H185="","",$F185&amp;" -&gt; "&amp;$I185&amp;IF($I185="Part-Time"," ("&amp;N($J185)&amp;" hrs)","")&amp;" on "&amp;TEXT($H185,"dd/mm/yyyy")&amp;IF($H185&gt;AsOfDate," (FUTURE)","")&amp;IF($K185="","","; "&amp;$I185&amp;" -&gt; "&amp;$L185&amp;IF($L185="Part-Time"," ("&amp;N($M185)&amp;" hrs)","")&amp;" on "&amp;TEXT($K185,"dd/mm/yyyy")&amp;IF($K185&gt;AsOfDate," (FUTURE)",""))))</f>
        <v/>
      </c>
      <c r="T185" s="11" t="str">
        <f aca="false">IF(AO185=0,"",IF(AS185&lt;&gt;"",$L185,IF(AR185&lt;&gt;"",$I185,$F185)))</f>
        <v/>
      </c>
      <c r="U185" s="26" t="str">
        <f aca="false">IF(AO185=0,"",IF(AS185&lt;&gt;"",$M185,IF(AR185&lt;&gt;"",$J185,$G185)))</f>
        <v/>
      </c>
      <c r="V185" s="11" t="str">
        <f aca="false">IF(AO185=0,"",IF(AY185="FT","Full-Time",IF(AY185="PT","Part-Time","Not eligible")))</f>
        <v/>
      </c>
      <c r="W185" s="27" t="str">
        <f aca="false">IF(AO185=0,"",IF(AR185="",IF(AND($H185&lt;&gt;"",$H185&gt;AsOfDate),"Future change - not yet applied",""),IF(AND(AV185=AY185,OR(AS185="",AW185=AV185)),"Type changed - same accrual pathway",IF(AY185="None","STOPPED accruing from "&amp;TEXT(IF(AS185&lt;&gt;"",AS185,AR185),"dd/mm/yyyy"),IF(AV185="None","STARTED qualifying from "&amp;TEXT(IF(AS185&lt;&gt;"",AS185,AR185),"dd/mm/yyyy"),"Pathway changed "&amp;AV185&amp;" -&gt; "&amp;AW185&amp;IF(AS185&lt;&gt;""," -&gt; "&amp;AX185,"")&amp;" from "&amp;TEXT(IF(AS185&lt;&gt;"",AS185,AR185),"dd/mm/yyyy"))))))</f>
        <v/>
      </c>
      <c r="X185" s="28" t="str">
        <f aca="false">IF(AO185=0,"",IF($Q185="",AsOfDate,MIN(AsOfDate,$Q185)))</f>
        <v/>
      </c>
      <c r="Y185" s="26" t="str">
        <f aca="false">IF(AO185=0,"",MAX(0,AQ185))</f>
        <v/>
      </c>
      <c r="Z185" s="11" t="str">
        <f aca="false">IF(AO185=0,"",IF(AQ185&lt;0,"Not started",INT(AQ185/12)&amp;"y "&amp;MOD(AQ185,12)&amp;"m"))</f>
        <v/>
      </c>
      <c r="AA185" s="27" t="str">
        <f aca="false">IF(AO185=0,"",IF(BF185=1,"Terminated - balance forfeited",IF(AY185="None",IF(AB185&gt;0,"No longer accruing - "&amp;T185,"Not eligible - "&amp;T185&amp;IF(AND(IFERROR(VLOOKUP(T185,TypeTable,2,0),"None")="PT",N(U185)&lt;PT_MinHours)," (under "&amp;PT_MinHours&amp;" hrs)","")),IF(AB185&gt;0,"Yes - accruing","Not yet - qualifies "&amp;TEXT(AD185,"dd/mm/yyyy")))))</f>
        <v/>
      </c>
      <c r="AB185" s="26" t="str">
        <f aca="false">IF(AO185=0,"",AZ185+IF(AR185="",0,BB185-BA185)+IF(AS185="",0,BD185-BC185))</f>
        <v/>
      </c>
      <c r="AC185" s="26" t="str">
        <f aca="false">IF(AO185=0,"",AB185*HoursPerDay)</f>
        <v/>
      </c>
      <c r="AD185" s="28" t="str">
        <f aca="false">IF(AO185=0,"",IF(OR(BF185=1,AY185="None"),"",EDATE($E185+AP185,BE185)))</f>
        <v/>
      </c>
      <c r="AE185" s="26" t="str">
        <f aca="false">IF(AD185="","",IF(AY185="PT",1,IF(BE185&lt;FT_Y5,1,IF(MOD(BE185-FT_Y5,12)=0,FT_AnnivDays,1))))</f>
        <v/>
      </c>
      <c r="AF185" s="27" t="str">
        <f aca="false">IF(AO185=0,"",IF(NOT(EH_Ready),"Map headers",IF(IF(MatchMode="Employee ID",COUNTIFS(INDEX(EH_Data,0,EH_ColID),$A185,INDEX(EH_Data,0,EH_ColCat),BonusCat),COUNTIFS(INDEX(EH_Data,0,EH_ColFirst),$B185,INDEX(EH_Data,0,EH_ColSur),$C185,INDEX(EH_Data,0,EH_ColCat),BonusCat))&gt;0,"Yes","No")))</f>
        <v/>
      </c>
      <c r="AG185" s="26" t="str">
        <f aca="false">IF(AO185=0,"",IF(NOT(EH_Ready),"",IF(MatchMode="Employee ID",SUMIFS(INDEX(EH_Data,0,EH_ColBal),INDEX(EH_Data,0,EH_ColID),$A185,INDEX(EH_Data,0,EH_ColCat),BonusCat),SUMIFS(INDEX(EH_Data,0,EH_ColBal),INDEX(EH_Data,0,EH_ColFirst),$B185,INDEX(EH_Data,0,EH_ColSur),$C185,INDEX(EH_Data,0,EH_ColCat),BonusCat))/IF(EHUnit="Hours",HoursPerDay,1)))</f>
        <v/>
      </c>
      <c r="AH185" s="26" t="str">
        <f aca="false">IF(AO185=0,"",IF(NOT(TK_Ready),0,IF(MatchMode="Employee ID",SUMIFS(INDEX(TK_Data,0,TK_ColAmt),INDEX(TK_Data,0,TK_ColID),$A185,INDEX(TK_Data,0,TK_ColCat),BonusCat),SUMIFS(INDEX(TK_Data,0,TK_ColAmt),INDEX(TK_Data,0,TK_ColFirst),$B185,INDEX(TK_Data,0,TK_ColSur),$C185,INDEX(TK_Data,0,TK_ColCat),BonusCat))/IF(TKUnit="Hours",HoursPerDay,1)))</f>
        <v/>
      </c>
      <c r="AI185" s="26" t="str">
        <f aca="false">IF(AO185=0,"",N(AG185)+N(AH185))</f>
        <v/>
      </c>
      <c r="AJ185" s="29" t="str">
        <f aca="false">IF(AO185=0,"",IF(NOT(AND(EH_Ready,EH_ValReady)),"",IF(MatchMode="Employee ID",SUMIFS(INDEX(EH_Data,0,EH_ColVal),INDEX(EH_Data,0,EH_ColID),$A185,INDEX(EH_Data,0,EH_ColCat),BonusCat),SUMIFS(INDEX(EH_Data,0,EH_ColVal),INDEX(EH_Data,0,EH_ColFirst),$B185,INDEX(EH_Data,0,EH_ColSur),$C185,INDEX(EH_Data,0,EH_ColCat),BonusCat))))</f>
        <v/>
      </c>
      <c r="AK185" s="26" t="str">
        <f aca="false">IF(AO185=0,"",IF(OR(NOT(EH_Ready),BF185=1),"",AB185-AI185))</f>
        <v/>
      </c>
      <c r="AL185" s="26" t="str">
        <f aca="false">IF(AK185="","",AK185*HoursPerDay)</f>
        <v/>
      </c>
      <c r="AM185" s="27" t="str">
        <f aca="false">IF(AO185=0,"",IF(BF185=1,IF(N(AG185)&gt;0,"TERMINATED - forfeit "&amp;TEXT(AG185,"0.##")&amp;" days still in EH","Terminated - nothing in EH"),IF(NOT(EH_Ready),"Paste EH export and map headers on Settings",IF(AND(AB185&gt;0,AF185="No"),"SET UP in EH - add "&amp;TEXT(AB185,"0.##")&amp;" day(s) ("&amp;TEXT(AC185,"0.##")&amp;" hrs)",IF(AK185&gt;0,"ADD "&amp;TEXT(AK185,"0.##")&amp;" day(s) ("&amp;TEXT(AL185,"0.##")&amp;" hrs) in EH",IF(AK185&lt;0,"CHECK - EH shows "&amp;TEXT(-AK185,"0.##")&amp;" days more than policy",IF(AB185&gt;0,"OK - up to date",IF(AY185="None","No action - not eligible","No action - not yet qualified"))))))))</f>
        <v/>
      </c>
      <c r="AN185" s="27" t="str">
        <f aca="false">IF(AO185=0,"",TRIM(IF(AND($K185&lt;&gt;"",$H185=""),"Change 2 entered without Change 1. ","")&amp;IF(AND($K185&lt;&gt;"",$H185&lt;&gt;"",$K185&lt;=$H185),"Change 2 date not after Change 1. ","")&amp;IF(AND($N185&lt;&gt;"",$O185&lt;&gt;"",$O185&lt;$N185),"Leave To is before Leave From. ","")&amp;IF(AND($N185&lt;&gt;"",$O185=""),"Leave From entered without Leave To. ","")&amp;IF(AND(IFERROR(VLOOKUP(T185,TypeTable,2,0),"None")="PT",U185=""),"Part-time with no hours entered. ","")&amp;IF(AND($H185&lt;&gt;"",$H185&gt;AsOfDate,AD185&lt;&gt;"",$H185&lt;=AD185),"Status change lands before next accrual - review. ","")&amp;IF(AND($Q185&lt;&gt;"",$Q185&lt;$E185),"Termination before commencement. ","")))</f>
        <v/>
      </c>
      <c r="AO185" s="11" t="n">
        <f aca="false">IF(LEN($A185&amp;$B185&amp;$C185)=0,0,IF($E185="",0,1))</f>
        <v>0</v>
      </c>
      <c r="AP185" s="11" t="str">
        <f aca="false">IF(AO185=0,"",(IF(OR($N185="",$O185=""),0,MAX(0,MIN(X185,$O185)-MAX($N185,$E185)+1))+N($P185)))</f>
        <v/>
      </c>
      <c r="AQ185" s="11" t="str">
        <f aca="false">IF(AO185=0,"",IF(X185&lt;($E185+(IF(OR($N185="",$O185=""),0,MAX(0,MIN(X185,$O185)-MAX($N185,$E185)+1))+N($P185))),-1,12*(YEAR(X185)-YEAR(($E185+(IF(OR($N185="",$O185=""),0,MAX(0,MIN(X185,$O185)-MAX($N185,$E185)+1))+N($P185)))))+MONTH(X185)-MONTH(($E185+(IF(OR($N185="",$O185=""),0,MAX(0,MIN(X185,$O185)-MAX($N185,$E185)+1))+N($P185))))-IF(DAY(X185)&lt;MIN(DAY(($E185+(IF(OR($N185="",$O185=""),0,MAX(0,MIN(X185,$O185)-MAX($N185,$E185)+1))+N($P185)))),DAY(EOMONTH(X185,0))),1,0)))</f>
        <v/>
      </c>
      <c r="AR185" s="28" t="str">
        <f aca="false">IF(AO185=0,"",IF($H185="","",IF($H185&gt;X185,"",$H185)))</f>
        <v/>
      </c>
      <c r="AS185" s="28" t="str">
        <f aca="false">IF(AO185=0,"",IF(AR185="","",IF($K185="","",IF($K185&gt;X185,"",$K185))))</f>
        <v/>
      </c>
      <c r="AT185" s="11" t="str">
        <f aca="false">IF(AO185=0,"",IF(AR185="",AQ185,IF((AR185-1)&lt;($E185+(IF(OR($N185="",$O185=""),0,MAX(0,MIN((AR185-1),$O185)-MAX($N185,$E185)+1))+N($P185))),-1,12*(YEAR((AR185-1))-YEAR(($E185+(IF(OR($N185="",$O185=""),0,MAX(0,MIN((AR185-1),$O185)-MAX($N185,$E185)+1))+N($P185)))))+MONTH((AR185-1))-MONTH(($E185+(IF(OR($N185="",$O185=""),0,MAX(0,MIN((AR185-1),$O185)-MAX($N185,$E185)+1))+N($P185))))-IF(DAY((AR185-1))&lt;MIN(DAY(($E185+(IF(OR($N185="",$O185=""),0,MAX(0,MIN((AR185-1),$O185)-MAX($N185,$E185)+1))+N($P185)))),DAY(EOMONTH((AR185-1),0))),1,0))))</f>
        <v/>
      </c>
      <c r="AU185" s="11" t="str">
        <f aca="false">IF(AO185=0,"",IF(AS185="",AQ185,IF((AS185-1)&lt;($E185+(IF(OR($N185="",$O185=""),0,MAX(0,MIN((AS185-1),$O185)-MAX($N185,$E185)+1))+N($P185))),-1,12*(YEAR((AS185-1))-YEAR(($E185+(IF(OR($N185="",$O185=""),0,MAX(0,MIN((AS185-1),$O185)-MAX($N185,$E185)+1))+N($P185)))))+MONTH((AS185-1))-MONTH(($E185+(IF(OR($N185="",$O185=""),0,MAX(0,MIN((AS185-1),$O185)-MAX($N185,$E185)+1))+N($P185))))-IF(DAY((AS185-1))&lt;MIN(DAY(($E185+(IF(OR($N185="",$O185=""),0,MAX(0,MIN((AS185-1),$O185)-MAX($N185,$E185)+1))+N($P185)))),DAY(EOMONTH((AS185-1),0))),1,0))))</f>
        <v/>
      </c>
      <c r="AV185" s="11" t="str">
        <f aca="false">IF(AO185=0,"",IF($F185="","None",IF(IFERROR(VLOOKUP($F185,TypeTable,2,0),"None")="PT",IF(N($G185)&gt;=PT_MinHours,"PT","None"),IFERROR(VLOOKUP($F185,TypeTable,2,0),"None"))))</f>
        <v/>
      </c>
      <c r="AW185" s="11" t="str">
        <f aca="false">IF(AO185=0,"",IF($I185="","None",IF(IFERROR(VLOOKUP($I185,TypeTable,2,0),"None")="PT",IF(N($J185)&gt;=PT_MinHours,"PT","None"),IFERROR(VLOOKUP($I185,TypeTable,2,0),"None"))))</f>
        <v/>
      </c>
      <c r="AX185" s="11" t="str">
        <f aca="false">IF(AO185=0,"",IF($L185="","None",IF(IFERROR(VLOOKUP($L185,TypeTable,2,0),"None")="PT",IF(N($M185)&gt;=PT_MinHours,"PT","None"),IFERROR(VLOOKUP($L185,TypeTable,2,0),"None"))))</f>
        <v/>
      </c>
      <c r="AY185" s="11" t="str">
        <f aca="false">IF(AO185=0,"",IF(AS185&lt;&gt;"",AX185,IF(AR185&lt;&gt;"",AW185,AV185)))</f>
        <v/>
      </c>
      <c r="AZ185" s="11" t="str">
        <f aca="false">IF(AO185=0,"",IF(AV185="FT",IF(AT185&lt;FT_First,0,IF(AT185&lt;FT_Y5,1+INT((AT185-FT_First)/FT_Int1),FT_PreY5+FT_PerYear*INT((AT185-FT_Y5)/12)+FT_AnnivDays+INT(MOD(AT185-FT_Y5,12)/FT_Int2))),IF(AV185="PT",IF(AT185&lt;PT_First,0,1+INT((AT185-PT_First)/PT_Int)),0)))</f>
        <v/>
      </c>
      <c r="BA185" s="11" t="str">
        <f aca="false">IF(AO185=0,"",IF(AW185="FT",IF(AT185&lt;FT_First,0,IF(AT185&lt;FT_Y5,1+INT((AT185-FT_First)/FT_Int1),FT_PreY5+FT_PerYear*INT((AT185-FT_Y5)/12)+FT_AnnivDays+INT(MOD(AT185-FT_Y5,12)/FT_Int2))),IF(AW185="PT",IF(AT185&lt;PT_First,0,1+INT((AT185-PT_First)/PT_Int)),0)))</f>
        <v/>
      </c>
      <c r="BB185" s="11" t="str">
        <f aca="false">IF(AO185=0,"",IF(AW185="FT",IF(AU185&lt;FT_First,0,IF(AU185&lt;FT_Y5,1+INT((AU185-FT_First)/FT_Int1),FT_PreY5+FT_PerYear*INT((AU185-FT_Y5)/12)+FT_AnnivDays+INT(MOD(AU185-FT_Y5,12)/FT_Int2))),IF(AW185="PT",IF(AU185&lt;PT_First,0,1+INT((AU185-PT_First)/PT_Int)),0)))</f>
        <v/>
      </c>
      <c r="BC185" s="11" t="str">
        <f aca="false">IF(AO185=0,"",IF(AX185="FT",IF(AU185&lt;FT_First,0,IF(AU185&lt;FT_Y5,1+INT((AU185-FT_First)/FT_Int1),FT_PreY5+FT_PerYear*INT((AU185-FT_Y5)/12)+FT_AnnivDays+INT(MOD(AU185-FT_Y5,12)/FT_Int2))),IF(AX185="PT",IF(AU185&lt;PT_First,0,1+INT((AU185-PT_First)/PT_Int)),0)))</f>
        <v/>
      </c>
      <c r="BD185" s="11" t="str">
        <f aca="false">IF(AO185=0,"",IF(AX185="FT",IF(AQ185&lt;FT_First,0,IF(AQ185&lt;FT_Y5,1+INT((AQ185-FT_First)/FT_Int1),FT_PreY5+FT_PerYear*INT((AQ185-FT_Y5)/12)+FT_AnnivDays+INT(MOD(AQ185-FT_Y5,12)/FT_Int2))),IF(AX185="PT",IF(AQ185&lt;PT_First,0,1+INT((AQ185-PT_First)/PT_Int)),0)))</f>
        <v/>
      </c>
      <c r="BE185" s="11" t="str">
        <f aca="false">IF(AO185=0,"",IF(AY185="FT",IF(AQ185&lt;FT_First,FT_First,IF(AQ185&lt;FT_Y5,MIN(FT_Y5,FT_First+FT_Int1*(INT((AQ185-FT_First)/FT_Int1)+1)),FT_Y5+12*INT((AQ185-FT_Y5)/12)+FT_Int2*(INT(MOD(AQ185-FT_Y5,12)/FT_Int2)+1))),IF(AY185="PT",IF(AQ185&lt;PT_First,PT_First,PT_First+PT_Int*(INT((AQ185-PT_First)/PT_Int)+1)),"")))</f>
        <v/>
      </c>
      <c r="BF185" s="11" t="n">
        <f aca="false">IF(AO185=0,0,IF(AND($Q185&lt;&gt;"",$Q185&lt;=AsOfDate),1,0))</f>
        <v>0</v>
      </c>
      <c r="BG185" s="11" t="str">
        <f aca="false">IF(AND(AO185=1,BF185=0,EH_Ready,N(AB185)&gt;0,N(AI185)=0),COUNT($BG$5:BG184)+1,"")</f>
        <v/>
      </c>
      <c r="BH185" s="11" t="str">
        <f aca="false">IF(AND(AO185=1,BF185=0,EH_Ready,N(AB185)&gt;0,N(AI185)&gt;0,N(AK185)&gt;0),COUNT($BH$5:BH184)+1,"")</f>
        <v/>
      </c>
      <c r="BI185" s="11" t="str">
        <f aca="false">IF(AND(AO185=1,OR(LEFT(AM185,3)="ADD",LEFT(AM185,3)="SET",LEFT(AM185,5)="CHECK",LEFT(AM185,10)="TERMINATED")),COUNT($BI$5:BI184)+1,"")</f>
        <v/>
      </c>
      <c r="BJ185" s="11" t="str">
        <f aca="false">IF(AO185=0,"",$A185&amp;" - "&amp;$B185&amp;" "&amp;$C185)</f>
        <v/>
      </c>
    </row>
    <row r="186" customFormat="false" ht="15" hidden="false" customHeight="false" outlineLevel="0" collapsed="false">
      <c r="A186" s="10"/>
      <c r="B186" s="10"/>
      <c r="C186" s="10"/>
      <c r="D186" s="10"/>
      <c r="E186" s="9"/>
      <c r="F186" s="10"/>
      <c r="G186" s="30"/>
      <c r="H186" s="9"/>
      <c r="I186" s="10"/>
      <c r="J186" s="30"/>
      <c r="K186" s="9"/>
      <c r="L186" s="10"/>
      <c r="M186" s="30"/>
      <c r="N186" s="9"/>
      <c r="O186" s="9"/>
      <c r="P186" s="30"/>
      <c r="Q186" s="9"/>
      <c r="R186" s="10"/>
      <c r="S186" s="11" t="str">
        <f aca="false">IF(AO186=0,"",IF($H186="","",$F186&amp;" -&gt; "&amp;$I186&amp;IF($I186="Part-Time"," ("&amp;N($J186)&amp;" hrs)","")&amp;" on "&amp;TEXT($H186,"dd/mm/yyyy")&amp;IF($H186&gt;AsOfDate," (FUTURE)","")&amp;IF($K186="","","; "&amp;$I186&amp;" -&gt; "&amp;$L186&amp;IF($L186="Part-Time"," ("&amp;N($M186)&amp;" hrs)","")&amp;" on "&amp;TEXT($K186,"dd/mm/yyyy")&amp;IF($K186&gt;AsOfDate," (FUTURE)",""))))</f>
        <v/>
      </c>
      <c r="T186" s="11" t="str">
        <f aca="false">IF(AO186=0,"",IF(AS186&lt;&gt;"",$L186,IF(AR186&lt;&gt;"",$I186,$F186)))</f>
        <v/>
      </c>
      <c r="U186" s="26" t="str">
        <f aca="false">IF(AO186=0,"",IF(AS186&lt;&gt;"",$M186,IF(AR186&lt;&gt;"",$J186,$G186)))</f>
        <v/>
      </c>
      <c r="V186" s="11" t="str">
        <f aca="false">IF(AO186=0,"",IF(AY186="FT","Full-Time",IF(AY186="PT","Part-Time","Not eligible")))</f>
        <v/>
      </c>
      <c r="W186" s="27" t="str">
        <f aca="false">IF(AO186=0,"",IF(AR186="",IF(AND($H186&lt;&gt;"",$H186&gt;AsOfDate),"Future change - not yet applied",""),IF(AND(AV186=AY186,OR(AS186="",AW186=AV186)),"Type changed - same accrual pathway",IF(AY186="None","STOPPED accruing from "&amp;TEXT(IF(AS186&lt;&gt;"",AS186,AR186),"dd/mm/yyyy"),IF(AV186="None","STARTED qualifying from "&amp;TEXT(IF(AS186&lt;&gt;"",AS186,AR186),"dd/mm/yyyy"),"Pathway changed "&amp;AV186&amp;" -&gt; "&amp;AW186&amp;IF(AS186&lt;&gt;""," -&gt; "&amp;AX186,"")&amp;" from "&amp;TEXT(IF(AS186&lt;&gt;"",AS186,AR186),"dd/mm/yyyy"))))))</f>
        <v/>
      </c>
      <c r="X186" s="28" t="str">
        <f aca="false">IF(AO186=0,"",IF($Q186="",AsOfDate,MIN(AsOfDate,$Q186)))</f>
        <v/>
      </c>
      <c r="Y186" s="26" t="str">
        <f aca="false">IF(AO186=0,"",MAX(0,AQ186))</f>
        <v/>
      </c>
      <c r="Z186" s="11" t="str">
        <f aca="false">IF(AO186=0,"",IF(AQ186&lt;0,"Not started",INT(AQ186/12)&amp;"y "&amp;MOD(AQ186,12)&amp;"m"))</f>
        <v/>
      </c>
      <c r="AA186" s="27" t="str">
        <f aca="false">IF(AO186=0,"",IF(BF186=1,"Terminated - balance forfeited",IF(AY186="None",IF(AB186&gt;0,"No longer accruing - "&amp;T186,"Not eligible - "&amp;T186&amp;IF(AND(IFERROR(VLOOKUP(T186,TypeTable,2,0),"None")="PT",N(U186)&lt;PT_MinHours)," (under "&amp;PT_MinHours&amp;" hrs)","")),IF(AB186&gt;0,"Yes - accruing","Not yet - qualifies "&amp;TEXT(AD186,"dd/mm/yyyy")))))</f>
        <v/>
      </c>
      <c r="AB186" s="26" t="str">
        <f aca="false">IF(AO186=0,"",AZ186+IF(AR186="",0,BB186-BA186)+IF(AS186="",0,BD186-BC186))</f>
        <v/>
      </c>
      <c r="AC186" s="26" t="str">
        <f aca="false">IF(AO186=0,"",AB186*HoursPerDay)</f>
        <v/>
      </c>
      <c r="AD186" s="28" t="str">
        <f aca="false">IF(AO186=0,"",IF(OR(BF186=1,AY186="None"),"",EDATE($E186+AP186,BE186)))</f>
        <v/>
      </c>
      <c r="AE186" s="26" t="str">
        <f aca="false">IF(AD186="","",IF(AY186="PT",1,IF(BE186&lt;FT_Y5,1,IF(MOD(BE186-FT_Y5,12)=0,FT_AnnivDays,1))))</f>
        <v/>
      </c>
      <c r="AF186" s="27" t="str">
        <f aca="false">IF(AO186=0,"",IF(NOT(EH_Ready),"Map headers",IF(IF(MatchMode="Employee ID",COUNTIFS(INDEX(EH_Data,0,EH_ColID),$A186,INDEX(EH_Data,0,EH_ColCat),BonusCat),COUNTIFS(INDEX(EH_Data,0,EH_ColFirst),$B186,INDEX(EH_Data,0,EH_ColSur),$C186,INDEX(EH_Data,0,EH_ColCat),BonusCat))&gt;0,"Yes","No")))</f>
        <v/>
      </c>
      <c r="AG186" s="26" t="str">
        <f aca="false">IF(AO186=0,"",IF(NOT(EH_Ready),"",IF(MatchMode="Employee ID",SUMIFS(INDEX(EH_Data,0,EH_ColBal),INDEX(EH_Data,0,EH_ColID),$A186,INDEX(EH_Data,0,EH_ColCat),BonusCat),SUMIFS(INDEX(EH_Data,0,EH_ColBal),INDEX(EH_Data,0,EH_ColFirst),$B186,INDEX(EH_Data,0,EH_ColSur),$C186,INDEX(EH_Data,0,EH_ColCat),BonusCat))/IF(EHUnit="Hours",HoursPerDay,1)))</f>
        <v/>
      </c>
      <c r="AH186" s="26" t="str">
        <f aca="false">IF(AO186=0,"",IF(NOT(TK_Ready),0,IF(MatchMode="Employee ID",SUMIFS(INDEX(TK_Data,0,TK_ColAmt),INDEX(TK_Data,0,TK_ColID),$A186,INDEX(TK_Data,0,TK_ColCat),BonusCat),SUMIFS(INDEX(TK_Data,0,TK_ColAmt),INDEX(TK_Data,0,TK_ColFirst),$B186,INDEX(TK_Data,0,TK_ColSur),$C186,INDEX(TK_Data,0,TK_ColCat),BonusCat))/IF(TKUnit="Hours",HoursPerDay,1)))</f>
        <v/>
      </c>
      <c r="AI186" s="26" t="str">
        <f aca="false">IF(AO186=0,"",N(AG186)+N(AH186))</f>
        <v/>
      </c>
      <c r="AJ186" s="29" t="str">
        <f aca="false">IF(AO186=0,"",IF(NOT(AND(EH_Ready,EH_ValReady)),"",IF(MatchMode="Employee ID",SUMIFS(INDEX(EH_Data,0,EH_ColVal),INDEX(EH_Data,0,EH_ColID),$A186,INDEX(EH_Data,0,EH_ColCat),BonusCat),SUMIFS(INDEX(EH_Data,0,EH_ColVal),INDEX(EH_Data,0,EH_ColFirst),$B186,INDEX(EH_Data,0,EH_ColSur),$C186,INDEX(EH_Data,0,EH_ColCat),BonusCat))))</f>
        <v/>
      </c>
      <c r="AK186" s="26" t="str">
        <f aca="false">IF(AO186=0,"",IF(OR(NOT(EH_Ready),BF186=1),"",AB186-AI186))</f>
        <v/>
      </c>
      <c r="AL186" s="26" t="str">
        <f aca="false">IF(AK186="","",AK186*HoursPerDay)</f>
        <v/>
      </c>
      <c r="AM186" s="27" t="str">
        <f aca="false">IF(AO186=0,"",IF(BF186=1,IF(N(AG186)&gt;0,"TERMINATED - forfeit "&amp;TEXT(AG186,"0.##")&amp;" days still in EH","Terminated - nothing in EH"),IF(NOT(EH_Ready),"Paste EH export and map headers on Settings",IF(AND(AB186&gt;0,AF186="No"),"SET UP in EH - add "&amp;TEXT(AB186,"0.##")&amp;" day(s) ("&amp;TEXT(AC186,"0.##")&amp;" hrs)",IF(AK186&gt;0,"ADD "&amp;TEXT(AK186,"0.##")&amp;" day(s) ("&amp;TEXT(AL186,"0.##")&amp;" hrs) in EH",IF(AK186&lt;0,"CHECK - EH shows "&amp;TEXT(-AK186,"0.##")&amp;" days more than policy",IF(AB186&gt;0,"OK - up to date",IF(AY186="None","No action - not eligible","No action - not yet qualified"))))))))</f>
        <v/>
      </c>
      <c r="AN186" s="27" t="str">
        <f aca="false">IF(AO186=0,"",TRIM(IF(AND($K186&lt;&gt;"",$H186=""),"Change 2 entered without Change 1. ","")&amp;IF(AND($K186&lt;&gt;"",$H186&lt;&gt;"",$K186&lt;=$H186),"Change 2 date not after Change 1. ","")&amp;IF(AND($N186&lt;&gt;"",$O186&lt;&gt;"",$O186&lt;$N186),"Leave To is before Leave From. ","")&amp;IF(AND($N186&lt;&gt;"",$O186=""),"Leave From entered without Leave To. ","")&amp;IF(AND(IFERROR(VLOOKUP(T186,TypeTable,2,0),"None")="PT",U186=""),"Part-time with no hours entered. ","")&amp;IF(AND($H186&lt;&gt;"",$H186&gt;AsOfDate,AD186&lt;&gt;"",$H186&lt;=AD186),"Status change lands before next accrual - review. ","")&amp;IF(AND($Q186&lt;&gt;"",$Q186&lt;$E186),"Termination before commencement. ","")))</f>
        <v/>
      </c>
      <c r="AO186" s="11" t="n">
        <f aca="false">IF(LEN($A186&amp;$B186&amp;$C186)=0,0,IF($E186="",0,1))</f>
        <v>0</v>
      </c>
      <c r="AP186" s="11" t="str">
        <f aca="false">IF(AO186=0,"",(IF(OR($N186="",$O186=""),0,MAX(0,MIN(X186,$O186)-MAX($N186,$E186)+1))+N($P186)))</f>
        <v/>
      </c>
      <c r="AQ186" s="11" t="str">
        <f aca="false">IF(AO186=0,"",IF(X186&lt;($E186+(IF(OR($N186="",$O186=""),0,MAX(0,MIN(X186,$O186)-MAX($N186,$E186)+1))+N($P186))),-1,12*(YEAR(X186)-YEAR(($E186+(IF(OR($N186="",$O186=""),0,MAX(0,MIN(X186,$O186)-MAX($N186,$E186)+1))+N($P186)))))+MONTH(X186)-MONTH(($E186+(IF(OR($N186="",$O186=""),0,MAX(0,MIN(X186,$O186)-MAX($N186,$E186)+1))+N($P186))))-IF(DAY(X186)&lt;MIN(DAY(($E186+(IF(OR($N186="",$O186=""),0,MAX(0,MIN(X186,$O186)-MAX($N186,$E186)+1))+N($P186)))),DAY(EOMONTH(X186,0))),1,0)))</f>
        <v/>
      </c>
      <c r="AR186" s="28" t="str">
        <f aca="false">IF(AO186=0,"",IF($H186="","",IF($H186&gt;X186,"",$H186)))</f>
        <v/>
      </c>
      <c r="AS186" s="28" t="str">
        <f aca="false">IF(AO186=0,"",IF(AR186="","",IF($K186="","",IF($K186&gt;X186,"",$K186))))</f>
        <v/>
      </c>
      <c r="AT186" s="11" t="str">
        <f aca="false">IF(AO186=0,"",IF(AR186="",AQ186,IF((AR186-1)&lt;($E186+(IF(OR($N186="",$O186=""),0,MAX(0,MIN((AR186-1),$O186)-MAX($N186,$E186)+1))+N($P186))),-1,12*(YEAR((AR186-1))-YEAR(($E186+(IF(OR($N186="",$O186=""),0,MAX(0,MIN((AR186-1),$O186)-MAX($N186,$E186)+1))+N($P186)))))+MONTH((AR186-1))-MONTH(($E186+(IF(OR($N186="",$O186=""),0,MAX(0,MIN((AR186-1),$O186)-MAX($N186,$E186)+1))+N($P186))))-IF(DAY((AR186-1))&lt;MIN(DAY(($E186+(IF(OR($N186="",$O186=""),0,MAX(0,MIN((AR186-1),$O186)-MAX($N186,$E186)+1))+N($P186)))),DAY(EOMONTH((AR186-1),0))),1,0))))</f>
        <v/>
      </c>
      <c r="AU186" s="11" t="str">
        <f aca="false">IF(AO186=0,"",IF(AS186="",AQ186,IF((AS186-1)&lt;($E186+(IF(OR($N186="",$O186=""),0,MAX(0,MIN((AS186-1),$O186)-MAX($N186,$E186)+1))+N($P186))),-1,12*(YEAR((AS186-1))-YEAR(($E186+(IF(OR($N186="",$O186=""),0,MAX(0,MIN((AS186-1),$O186)-MAX($N186,$E186)+1))+N($P186)))))+MONTH((AS186-1))-MONTH(($E186+(IF(OR($N186="",$O186=""),0,MAX(0,MIN((AS186-1),$O186)-MAX($N186,$E186)+1))+N($P186))))-IF(DAY((AS186-1))&lt;MIN(DAY(($E186+(IF(OR($N186="",$O186=""),0,MAX(0,MIN((AS186-1),$O186)-MAX($N186,$E186)+1))+N($P186)))),DAY(EOMONTH((AS186-1),0))),1,0))))</f>
        <v/>
      </c>
      <c r="AV186" s="11" t="str">
        <f aca="false">IF(AO186=0,"",IF($F186="","None",IF(IFERROR(VLOOKUP($F186,TypeTable,2,0),"None")="PT",IF(N($G186)&gt;=PT_MinHours,"PT","None"),IFERROR(VLOOKUP($F186,TypeTable,2,0),"None"))))</f>
        <v/>
      </c>
      <c r="AW186" s="11" t="str">
        <f aca="false">IF(AO186=0,"",IF($I186="","None",IF(IFERROR(VLOOKUP($I186,TypeTable,2,0),"None")="PT",IF(N($J186)&gt;=PT_MinHours,"PT","None"),IFERROR(VLOOKUP($I186,TypeTable,2,0),"None"))))</f>
        <v/>
      </c>
      <c r="AX186" s="11" t="str">
        <f aca="false">IF(AO186=0,"",IF($L186="","None",IF(IFERROR(VLOOKUP($L186,TypeTable,2,0),"None")="PT",IF(N($M186)&gt;=PT_MinHours,"PT","None"),IFERROR(VLOOKUP($L186,TypeTable,2,0),"None"))))</f>
        <v/>
      </c>
      <c r="AY186" s="11" t="str">
        <f aca="false">IF(AO186=0,"",IF(AS186&lt;&gt;"",AX186,IF(AR186&lt;&gt;"",AW186,AV186)))</f>
        <v/>
      </c>
      <c r="AZ186" s="11" t="str">
        <f aca="false">IF(AO186=0,"",IF(AV186="FT",IF(AT186&lt;FT_First,0,IF(AT186&lt;FT_Y5,1+INT((AT186-FT_First)/FT_Int1),FT_PreY5+FT_PerYear*INT((AT186-FT_Y5)/12)+FT_AnnivDays+INT(MOD(AT186-FT_Y5,12)/FT_Int2))),IF(AV186="PT",IF(AT186&lt;PT_First,0,1+INT((AT186-PT_First)/PT_Int)),0)))</f>
        <v/>
      </c>
      <c r="BA186" s="11" t="str">
        <f aca="false">IF(AO186=0,"",IF(AW186="FT",IF(AT186&lt;FT_First,0,IF(AT186&lt;FT_Y5,1+INT((AT186-FT_First)/FT_Int1),FT_PreY5+FT_PerYear*INT((AT186-FT_Y5)/12)+FT_AnnivDays+INT(MOD(AT186-FT_Y5,12)/FT_Int2))),IF(AW186="PT",IF(AT186&lt;PT_First,0,1+INT((AT186-PT_First)/PT_Int)),0)))</f>
        <v/>
      </c>
      <c r="BB186" s="11" t="str">
        <f aca="false">IF(AO186=0,"",IF(AW186="FT",IF(AU186&lt;FT_First,0,IF(AU186&lt;FT_Y5,1+INT((AU186-FT_First)/FT_Int1),FT_PreY5+FT_PerYear*INT((AU186-FT_Y5)/12)+FT_AnnivDays+INT(MOD(AU186-FT_Y5,12)/FT_Int2))),IF(AW186="PT",IF(AU186&lt;PT_First,0,1+INT((AU186-PT_First)/PT_Int)),0)))</f>
        <v/>
      </c>
      <c r="BC186" s="11" t="str">
        <f aca="false">IF(AO186=0,"",IF(AX186="FT",IF(AU186&lt;FT_First,0,IF(AU186&lt;FT_Y5,1+INT((AU186-FT_First)/FT_Int1),FT_PreY5+FT_PerYear*INT((AU186-FT_Y5)/12)+FT_AnnivDays+INT(MOD(AU186-FT_Y5,12)/FT_Int2))),IF(AX186="PT",IF(AU186&lt;PT_First,0,1+INT((AU186-PT_First)/PT_Int)),0)))</f>
        <v/>
      </c>
      <c r="BD186" s="11" t="str">
        <f aca="false">IF(AO186=0,"",IF(AX186="FT",IF(AQ186&lt;FT_First,0,IF(AQ186&lt;FT_Y5,1+INT((AQ186-FT_First)/FT_Int1),FT_PreY5+FT_PerYear*INT((AQ186-FT_Y5)/12)+FT_AnnivDays+INT(MOD(AQ186-FT_Y5,12)/FT_Int2))),IF(AX186="PT",IF(AQ186&lt;PT_First,0,1+INT((AQ186-PT_First)/PT_Int)),0)))</f>
        <v/>
      </c>
      <c r="BE186" s="11" t="str">
        <f aca="false">IF(AO186=0,"",IF(AY186="FT",IF(AQ186&lt;FT_First,FT_First,IF(AQ186&lt;FT_Y5,MIN(FT_Y5,FT_First+FT_Int1*(INT((AQ186-FT_First)/FT_Int1)+1)),FT_Y5+12*INT((AQ186-FT_Y5)/12)+FT_Int2*(INT(MOD(AQ186-FT_Y5,12)/FT_Int2)+1))),IF(AY186="PT",IF(AQ186&lt;PT_First,PT_First,PT_First+PT_Int*(INT((AQ186-PT_First)/PT_Int)+1)),"")))</f>
        <v/>
      </c>
      <c r="BF186" s="11" t="n">
        <f aca="false">IF(AO186=0,0,IF(AND($Q186&lt;&gt;"",$Q186&lt;=AsOfDate),1,0))</f>
        <v>0</v>
      </c>
      <c r="BG186" s="11" t="str">
        <f aca="false">IF(AND(AO186=1,BF186=0,EH_Ready,N(AB186)&gt;0,N(AI186)=0),COUNT($BG$5:BG185)+1,"")</f>
        <v/>
      </c>
      <c r="BH186" s="11" t="str">
        <f aca="false">IF(AND(AO186=1,BF186=0,EH_Ready,N(AB186)&gt;0,N(AI186)&gt;0,N(AK186)&gt;0),COUNT($BH$5:BH185)+1,"")</f>
        <v/>
      </c>
      <c r="BI186" s="11" t="str">
        <f aca="false">IF(AND(AO186=1,OR(LEFT(AM186,3)="ADD",LEFT(AM186,3)="SET",LEFT(AM186,5)="CHECK",LEFT(AM186,10)="TERMINATED")),COUNT($BI$5:BI185)+1,"")</f>
        <v/>
      </c>
      <c r="BJ186" s="11" t="str">
        <f aca="false">IF(AO186=0,"",$A186&amp;" - "&amp;$B186&amp;" "&amp;$C186)</f>
        <v/>
      </c>
    </row>
    <row r="187" customFormat="false" ht="15" hidden="false" customHeight="false" outlineLevel="0" collapsed="false">
      <c r="A187" s="10"/>
      <c r="B187" s="10"/>
      <c r="C187" s="10"/>
      <c r="D187" s="10"/>
      <c r="E187" s="9"/>
      <c r="F187" s="10"/>
      <c r="G187" s="30"/>
      <c r="H187" s="9"/>
      <c r="I187" s="10"/>
      <c r="J187" s="30"/>
      <c r="K187" s="9"/>
      <c r="L187" s="10"/>
      <c r="M187" s="30"/>
      <c r="N187" s="9"/>
      <c r="O187" s="9"/>
      <c r="P187" s="30"/>
      <c r="Q187" s="9"/>
      <c r="R187" s="10"/>
      <c r="S187" s="11" t="str">
        <f aca="false">IF(AO187=0,"",IF($H187="","",$F187&amp;" -&gt; "&amp;$I187&amp;IF($I187="Part-Time"," ("&amp;N($J187)&amp;" hrs)","")&amp;" on "&amp;TEXT($H187,"dd/mm/yyyy")&amp;IF($H187&gt;AsOfDate," (FUTURE)","")&amp;IF($K187="","","; "&amp;$I187&amp;" -&gt; "&amp;$L187&amp;IF($L187="Part-Time"," ("&amp;N($M187)&amp;" hrs)","")&amp;" on "&amp;TEXT($K187,"dd/mm/yyyy")&amp;IF($K187&gt;AsOfDate," (FUTURE)",""))))</f>
        <v/>
      </c>
      <c r="T187" s="11" t="str">
        <f aca="false">IF(AO187=0,"",IF(AS187&lt;&gt;"",$L187,IF(AR187&lt;&gt;"",$I187,$F187)))</f>
        <v/>
      </c>
      <c r="U187" s="26" t="str">
        <f aca="false">IF(AO187=0,"",IF(AS187&lt;&gt;"",$M187,IF(AR187&lt;&gt;"",$J187,$G187)))</f>
        <v/>
      </c>
      <c r="V187" s="11" t="str">
        <f aca="false">IF(AO187=0,"",IF(AY187="FT","Full-Time",IF(AY187="PT","Part-Time","Not eligible")))</f>
        <v/>
      </c>
      <c r="W187" s="27" t="str">
        <f aca="false">IF(AO187=0,"",IF(AR187="",IF(AND($H187&lt;&gt;"",$H187&gt;AsOfDate),"Future change - not yet applied",""),IF(AND(AV187=AY187,OR(AS187="",AW187=AV187)),"Type changed - same accrual pathway",IF(AY187="None","STOPPED accruing from "&amp;TEXT(IF(AS187&lt;&gt;"",AS187,AR187),"dd/mm/yyyy"),IF(AV187="None","STARTED qualifying from "&amp;TEXT(IF(AS187&lt;&gt;"",AS187,AR187),"dd/mm/yyyy"),"Pathway changed "&amp;AV187&amp;" -&gt; "&amp;AW187&amp;IF(AS187&lt;&gt;""," -&gt; "&amp;AX187,"")&amp;" from "&amp;TEXT(IF(AS187&lt;&gt;"",AS187,AR187),"dd/mm/yyyy"))))))</f>
        <v/>
      </c>
      <c r="X187" s="28" t="str">
        <f aca="false">IF(AO187=0,"",IF($Q187="",AsOfDate,MIN(AsOfDate,$Q187)))</f>
        <v/>
      </c>
      <c r="Y187" s="26" t="str">
        <f aca="false">IF(AO187=0,"",MAX(0,AQ187))</f>
        <v/>
      </c>
      <c r="Z187" s="11" t="str">
        <f aca="false">IF(AO187=0,"",IF(AQ187&lt;0,"Not started",INT(AQ187/12)&amp;"y "&amp;MOD(AQ187,12)&amp;"m"))</f>
        <v/>
      </c>
      <c r="AA187" s="27" t="str">
        <f aca="false">IF(AO187=0,"",IF(BF187=1,"Terminated - balance forfeited",IF(AY187="None",IF(AB187&gt;0,"No longer accruing - "&amp;T187,"Not eligible - "&amp;T187&amp;IF(AND(IFERROR(VLOOKUP(T187,TypeTable,2,0),"None")="PT",N(U187)&lt;PT_MinHours)," (under "&amp;PT_MinHours&amp;" hrs)","")),IF(AB187&gt;0,"Yes - accruing","Not yet - qualifies "&amp;TEXT(AD187,"dd/mm/yyyy")))))</f>
        <v/>
      </c>
      <c r="AB187" s="26" t="str">
        <f aca="false">IF(AO187=0,"",AZ187+IF(AR187="",0,BB187-BA187)+IF(AS187="",0,BD187-BC187))</f>
        <v/>
      </c>
      <c r="AC187" s="26" t="str">
        <f aca="false">IF(AO187=0,"",AB187*HoursPerDay)</f>
        <v/>
      </c>
      <c r="AD187" s="28" t="str">
        <f aca="false">IF(AO187=0,"",IF(OR(BF187=1,AY187="None"),"",EDATE($E187+AP187,BE187)))</f>
        <v/>
      </c>
      <c r="AE187" s="26" t="str">
        <f aca="false">IF(AD187="","",IF(AY187="PT",1,IF(BE187&lt;FT_Y5,1,IF(MOD(BE187-FT_Y5,12)=0,FT_AnnivDays,1))))</f>
        <v/>
      </c>
      <c r="AF187" s="27" t="str">
        <f aca="false">IF(AO187=0,"",IF(NOT(EH_Ready),"Map headers",IF(IF(MatchMode="Employee ID",COUNTIFS(INDEX(EH_Data,0,EH_ColID),$A187,INDEX(EH_Data,0,EH_ColCat),BonusCat),COUNTIFS(INDEX(EH_Data,0,EH_ColFirst),$B187,INDEX(EH_Data,0,EH_ColSur),$C187,INDEX(EH_Data,0,EH_ColCat),BonusCat))&gt;0,"Yes","No")))</f>
        <v/>
      </c>
      <c r="AG187" s="26" t="str">
        <f aca="false">IF(AO187=0,"",IF(NOT(EH_Ready),"",IF(MatchMode="Employee ID",SUMIFS(INDEX(EH_Data,0,EH_ColBal),INDEX(EH_Data,0,EH_ColID),$A187,INDEX(EH_Data,0,EH_ColCat),BonusCat),SUMIFS(INDEX(EH_Data,0,EH_ColBal),INDEX(EH_Data,0,EH_ColFirst),$B187,INDEX(EH_Data,0,EH_ColSur),$C187,INDEX(EH_Data,0,EH_ColCat),BonusCat))/IF(EHUnit="Hours",HoursPerDay,1)))</f>
        <v/>
      </c>
      <c r="AH187" s="26" t="str">
        <f aca="false">IF(AO187=0,"",IF(NOT(TK_Ready),0,IF(MatchMode="Employee ID",SUMIFS(INDEX(TK_Data,0,TK_ColAmt),INDEX(TK_Data,0,TK_ColID),$A187,INDEX(TK_Data,0,TK_ColCat),BonusCat),SUMIFS(INDEX(TK_Data,0,TK_ColAmt),INDEX(TK_Data,0,TK_ColFirst),$B187,INDEX(TK_Data,0,TK_ColSur),$C187,INDEX(TK_Data,0,TK_ColCat),BonusCat))/IF(TKUnit="Hours",HoursPerDay,1)))</f>
        <v/>
      </c>
      <c r="AI187" s="26" t="str">
        <f aca="false">IF(AO187=0,"",N(AG187)+N(AH187))</f>
        <v/>
      </c>
      <c r="AJ187" s="29" t="str">
        <f aca="false">IF(AO187=0,"",IF(NOT(AND(EH_Ready,EH_ValReady)),"",IF(MatchMode="Employee ID",SUMIFS(INDEX(EH_Data,0,EH_ColVal),INDEX(EH_Data,0,EH_ColID),$A187,INDEX(EH_Data,0,EH_ColCat),BonusCat),SUMIFS(INDEX(EH_Data,0,EH_ColVal),INDEX(EH_Data,0,EH_ColFirst),$B187,INDEX(EH_Data,0,EH_ColSur),$C187,INDEX(EH_Data,0,EH_ColCat),BonusCat))))</f>
        <v/>
      </c>
      <c r="AK187" s="26" t="str">
        <f aca="false">IF(AO187=0,"",IF(OR(NOT(EH_Ready),BF187=1),"",AB187-AI187))</f>
        <v/>
      </c>
      <c r="AL187" s="26" t="str">
        <f aca="false">IF(AK187="","",AK187*HoursPerDay)</f>
        <v/>
      </c>
      <c r="AM187" s="27" t="str">
        <f aca="false">IF(AO187=0,"",IF(BF187=1,IF(N(AG187)&gt;0,"TERMINATED - forfeit "&amp;TEXT(AG187,"0.##")&amp;" days still in EH","Terminated - nothing in EH"),IF(NOT(EH_Ready),"Paste EH export and map headers on Settings",IF(AND(AB187&gt;0,AF187="No"),"SET UP in EH - add "&amp;TEXT(AB187,"0.##")&amp;" day(s) ("&amp;TEXT(AC187,"0.##")&amp;" hrs)",IF(AK187&gt;0,"ADD "&amp;TEXT(AK187,"0.##")&amp;" day(s) ("&amp;TEXT(AL187,"0.##")&amp;" hrs) in EH",IF(AK187&lt;0,"CHECK - EH shows "&amp;TEXT(-AK187,"0.##")&amp;" days more than policy",IF(AB187&gt;0,"OK - up to date",IF(AY187="None","No action - not eligible","No action - not yet qualified"))))))))</f>
        <v/>
      </c>
      <c r="AN187" s="27" t="str">
        <f aca="false">IF(AO187=0,"",TRIM(IF(AND($K187&lt;&gt;"",$H187=""),"Change 2 entered without Change 1. ","")&amp;IF(AND($K187&lt;&gt;"",$H187&lt;&gt;"",$K187&lt;=$H187),"Change 2 date not after Change 1. ","")&amp;IF(AND($N187&lt;&gt;"",$O187&lt;&gt;"",$O187&lt;$N187),"Leave To is before Leave From. ","")&amp;IF(AND($N187&lt;&gt;"",$O187=""),"Leave From entered without Leave To. ","")&amp;IF(AND(IFERROR(VLOOKUP(T187,TypeTable,2,0),"None")="PT",U187=""),"Part-time with no hours entered. ","")&amp;IF(AND($H187&lt;&gt;"",$H187&gt;AsOfDate,AD187&lt;&gt;"",$H187&lt;=AD187),"Status change lands before next accrual - review. ","")&amp;IF(AND($Q187&lt;&gt;"",$Q187&lt;$E187),"Termination before commencement. ","")))</f>
        <v/>
      </c>
      <c r="AO187" s="11" t="n">
        <f aca="false">IF(LEN($A187&amp;$B187&amp;$C187)=0,0,IF($E187="",0,1))</f>
        <v>0</v>
      </c>
      <c r="AP187" s="11" t="str">
        <f aca="false">IF(AO187=0,"",(IF(OR($N187="",$O187=""),0,MAX(0,MIN(X187,$O187)-MAX($N187,$E187)+1))+N($P187)))</f>
        <v/>
      </c>
      <c r="AQ187" s="11" t="str">
        <f aca="false">IF(AO187=0,"",IF(X187&lt;($E187+(IF(OR($N187="",$O187=""),0,MAX(0,MIN(X187,$O187)-MAX($N187,$E187)+1))+N($P187))),-1,12*(YEAR(X187)-YEAR(($E187+(IF(OR($N187="",$O187=""),0,MAX(0,MIN(X187,$O187)-MAX($N187,$E187)+1))+N($P187)))))+MONTH(X187)-MONTH(($E187+(IF(OR($N187="",$O187=""),0,MAX(0,MIN(X187,$O187)-MAX($N187,$E187)+1))+N($P187))))-IF(DAY(X187)&lt;MIN(DAY(($E187+(IF(OR($N187="",$O187=""),0,MAX(0,MIN(X187,$O187)-MAX($N187,$E187)+1))+N($P187)))),DAY(EOMONTH(X187,0))),1,0)))</f>
        <v/>
      </c>
      <c r="AR187" s="28" t="str">
        <f aca="false">IF(AO187=0,"",IF($H187="","",IF($H187&gt;X187,"",$H187)))</f>
        <v/>
      </c>
      <c r="AS187" s="28" t="str">
        <f aca="false">IF(AO187=0,"",IF(AR187="","",IF($K187="","",IF($K187&gt;X187,"",$K187))))</f>
        <v/>
      </c>
      <c r="AT187" s="11" t="str">
        <f aca="false">IF(AO187=0,"",IF(AR187="",AQ187,IF((AR187-1)&lt;($E187+(IF(OR($N187="",$O187=""),0,MAX(0,MIN((AR187-1),$O187)-MAX($N187,$E187)+1))+N($P187))),-1,12*(YEAR((AR187-1))-YEAR(($E187+(IF(OR($N187="",$O187=""),0,MAX(0,MIN((AR187-1),$O187)-MAX($N187,$E187)+1))+N($P187)))))+MONTH((AR187-1))-MONTH(($E187+(IF(OR($N187="",$O187=""),0,MAX(0,MIN((AR187-1),$O187)-MAX($N187,$E187)+1))+N($P187))))-IF(DAY((AR187-1))&lt;MIN(DAY(($E187+(IF(OR($N187="",$O187=""),0,MAX(0,MIN((AR187-1),$O187)-MAX($N187,$E187)+1))+N($P187)))),DAY(EOMONTH((AR187-1),0))),1,0))))</f>
        <v/>
      </c>
      <c r="AU187" s="11" t="str">
        <f aca="false">IF(AO187=0,"",IF(AS187="",AQ187,IF((AS187-1)&lt;($E187+(IF(OR($N187="",$O187=""),0,MAX(0,MIN((AS187-1),$O187)-MAX($N187,$E187)+1))+N($P187))),-1,12*(YEAR((AS187-1))-YEAR(($E187+(IF(OR($N187="",$O187=""),0,MAX(0,MIN((AS187-1),$O187)-MAX($N187,$E187)+1))+N($P187)))))+MONTH((AS187-1))-MONTH(($E187+(IF(OR($N187="",$O187=""),0,MAX(0,MIN((AS187-1),$O187)-MAX($N187,$E187)+1))+N($P187))))-IF(DAY((AS187-1))&lt;MIN(DAY(($E187+(IF(OR($N187="",$O187=""),0,MAX(0,MIN((AS187-1),$O187)-MAX($N187,$E187)+1))+N($P187)))),DAY(EOMONTH((AS187-1),0))),1,0))))</f>
        <v/>
      </c>
      <c r="AV187" s="11" t="str">
        <f aca="false">IF(AO187=0,"",IF($F187="","None",IF(IFERROR(VLOOKUP($F187,TypeTable,2,0),"None")="PT",IF(N($G187)&gt;=PT_MinHours,"PT","None"),IFERROR(VLOOKUP($F187,TypeTable,2,0),"None"))))</f>
        <v/>
      </c>
      <c r="AW187" s="11" t="str">
        <f aca="false">IF(AO187=0,"",IF($I187="","None",IF(IFERROR(VLOOKUP($I187,TypeTable,2,0),"None")="PT",IF(N($J187)&gt;=PT_MinHours,"PT","None"),IFERROR(VLOOKUP($I187,TypeTable,2,0),"None"))))</f>
        <v/>
      </c>
      <c r="AX187" s="11" t="str">
        <f aca="false">IF(AO187=0,"",IF($L187="","None",IF(IFERROR(VLOOKUP($L187,TypeTable,2,0),"None")="PT",IF(N($M187)&gt;=PT_MinHours,"PT","None"),IFERROR(VLOOKUP($L187,TypeTable,2,0),"None"))))</f>
        <v/>
      </c>
      <c r="AY187" s="11" t="str">
        <f aca="false">IF(AO187=0,"",IF(AS187&lt;&gt;"",AX187,IF(AR187&lt;&gt;"",AW187,AV187)))</f>
        <v/>
      </c>
      <c r="AZ187" s="11" t="str">
        <f aca="false">IF(AO187=0,"",IF(AV187="FT",IF(AT187&lt;FT_First,0,IF(AT187&lt;FT_Y5,1+INT((AT187-FT_First)/FT_Int1),FT_PreY5+FT_PerYear*INT((AT187-FT_Y5)/12)+FT_AnnivDays+INT(MOD(AT187-FT_Y5,12)/FT_Int2))),IF(AV187="PT",IF(AT187&lt;PT_First,0,1+INT((AT187-PT_First)/PT_Int)),0)))</f>
        <v/>
      </c>
      <c r="BA187" s="11" t="str">
        <f aca="false">IF(AO187=0,"",IF(AW187="FT",IF(AT187&lt;FT_First,0,IF(AT187&lt;FT_Y5,1+INT((AT187-FT_First)/FT_Int1),FT_PreY5+FT_PerYear*INT((AT187-FT_Y5)/12)+FT_AnnivDays+INT(MOD(AT187-FT_Y5,12)/FT_Int2))),IF(AW187="PT",IF(AT187&lt;PT_First,0,1+INT((AT187-PT_First)/PT_Int)),0)))</f>
        <v/>
      </c>
      <c r="BB187" s="11" t="str">
        <f aca="false">IF(AO187=0,"",IF(AW187="FT",IF(AU187&lt;FT_First,0,IF(AU187&lt;FT_Y5,1+INT((AU187-FT_First)/FT_Int1),FT_PreY5+FT_PerYear*INT((AU187-FT_Y5)/12)+FT_AnnivDays+INT(MOD(AU187-FT_Y5,12)/FT_Int2))),IF(AW187="PT",IF(AU187&lt;PT_First,0,1+INT((AU187-PT_First)/PT_Int)),0)))</f>
        <v/>
      </c>
      <c r="BC187" s="11" t="str">
        <f aca="false">IF(AO187=0,"",IF(AX187="FT",IF(AU187&lt;FT_First,0,IF(AU187&lt;FT_Y5,1+INT((AU187-FT_First)/FT_Int1),FT_PreY5+FT_PerYear*INT((AU187-FT_Y5)/12)+FT_AnnivDays+INT(MOD(AU187-FT_Y5,12)/FT_Int2))),IF(AX187="PT",IF(AU187&lt;PT_First,0,1+INT((AU187-PT_First)/PT_Int)),0)))</f>
        <v/>
      </c>
      <c r="BD187" s="11" t="str">
        <f aca="false">IF(AO187=0,"",IF(AX187="FT",IF(AQ187&lt;FT_First,0,IF(AQ187&lt;FT_Y5,1+INT((AQ187-FT_First)/FT_Int1),FT_PreY5+FT_PerYear*INT((AQ187-FT_Y5)/12)+FT_AnnivDays+INT(MOD(AQ187-FT_Y5,12)/FT_Int2))),IF(AX187="PT",IF(AQ187&lt;PT_First,0,1+INT((AQ187-PT_First)/PT_Int)),0)))</f>
        <v/>
      </c>
      <c r="BE187" s="11" t="str">
        <f aca="false">IF(AO187=0,"",IF(AY187="FT",IF(AQ187&lt;FT_First,FT_First,IF(AQ187&lt;FT_Y5,MIN(FT_Y5,FT_First+FT_Int1*(INT((AQ187-FT_First)/FT_Int1)+1)),FT_Y5+12*INT((AQ187-FT_Y5)/12)+FT_Int2*(INT(MOD(AQ187-FT_Y5,12)/FT_Int2)+1))),IF(AY187="PT",IF(AQ187&lt;PT_First,PT_First,PT_First+PT_Int*(INT((AQ187-PT_First)/PT_Int)+1)),"")))</f>
        <v/>
      </c>
      <c r="BF187" s="11" t="n">
        <f aca="false">IF(AO187=0,0,IF(AND($Q187&lt;&gt;"",$Q187&lt;=AsOfDate),1,0))</f>
        <v>0</v>
      </c>
      <c r="BG187" s="11" t="str">
        <f aca="false">IF(AND(AO187=1,BF187=0,EH_Ready,N(AB187)&gt;0,N(AI187)=0),COUNT($BG$5:BG186)+1,"")</f>
        <v/>
      </c>
      <c r="BH187" s="11" t="str">
        <f aca="false">IF(AND(AO187=1,BF187=0,EH_Ready,N(AB187)&gt;0,N(AI187)&gt;0,N(AK187)&gt;0),COUNT($BH$5:BH186)+1,"")</f>
        <v/>
      </c>
      <c r="BI187" s="11" t="str">
        <f aca="false">IF(AND(AO187=1,OR(LEFT(AM187,3)="ADD",LEFT(AM187,3)="SET",LEFT(AM187,5)="CHECK",LEFT(AM187,10)="TERMINATED")),COUNT($BI$5:BI186)+1,"")</f>
        <v/>
      </c>
      <c r="BJ187" s="11" t="str">
        <f aca="false">IF(AO187=0,"",$A187&amp;" - "&amp;$B187&amp;" "&amp;$C187)</f>
        <v/>
      </c>
    </row>
    <row r="188" customFormat="false" ht="15" hidden="false" customHeight="false" outlineLevel="0" collapsed="false">
      <c r="A188" s="10"/>
      <c r="B188" s="10"/>
      <c r="C188" s="10"/>
      <c r="D188" s="10"/>
      <c r="E188" s="9"/>
      <c r="F188" s="10"/>
      <c r="G188" s="30"/>
      <c r="H188" s="9"/>
      <c r="I188" s="10"/>
      <c r="J188" s="30"/>
      <c r="K188" s="9"/>
      <c r="L188" s="10"/>
      <c r="M188" s="30"/>
      <c r="N188" s="9"/>
      <c r="O188" s="9"/>
      <c r="P188" s="30"/>
      <c r="Q188" s="9"/>
      <c r="R188" s="10"/>
      <c r="S188" s="11" t="str">
        <f aca="false">IF(AO188=0,"",IF($H188="","",$F188&amp;" -&gt; "&amp;$I188&amp;IF($I188="Part-Time"," ("&amp;N($J188)&amp;" hrs)","")&amp;" on "&amp;TEXT($H188,"dd/mm/yyyy")&amp;IF($H188&gt;AsOfDate," (FUTURE)","")&amp;IF($K188="","","; "&amp;$I188&amp;" -&gt; "&amp;$L188&amp;IF($L188="Part-Time"," ("&amp;N($M188)&amp;" hrs)","")&amp;" on "&amp;TEXT($K188,"dd/mm/yyyy")&amp;IF($K188&gt;AsOfDate," (FUTURE)",""))))</f>
        <v/>
      </c>
      <c r="T188" s="11" t="str">
        <f aca="false">IF(AO188=0,"",IF(AS188&lt;&gt;"",$L188,IF(AR188&lt;&gt;"",$I188,$F188)))</f>
        <v/>
      </c>
      <c r="U188" s="26" t="str">
        <f aca="false">IF(AO188=0,"",IF(AS188&lt;&gt;"",$M188,IF(AR188&lt;&gt;"",$J188,$G188)))</f>
        <v/>
      </c>
      <c r="V188" s="11" t="str">
        <f aca="false">IF(AO188=0,"",IF(AY188="FT","Full-Time",IF(AY188="PT","Part-Time","Not eligible")))</f>
        <v/>
      </c>
      <c r="W188" s="27" t="str">
        <f aca="false">IF(AO188=0,"",IF(AR188="",IF(AND($H188&lt;&gt;"",$H188&gt;AsOfDate),"Future change - not yet applied",""),IF(AND(AV188=AY188,OR(AS188="",AW188=AV188)),"Type changed - same accrual pathway",IF(AY188="None","STOPPED accruing from "&amp;TEXT(IF(AS188&lt;&gt;"",AS188,AR188),"dd/mm/yyyy"),IF(AV188="None","STARTED qualifying from "&amp;TEXT(IF(AS188&lt;&gt;"",AS188,AR188),"dd/mm/yyyy"),"Pathway changed "&amp;AV188&amp;" -&gt; "&amp;AW188&amp;IF(AS188&lt;&gt;""," -&gt; "&amp;AX188,"")&amp;" from "&amp;TEXT(IF(AS188&lt;&gt;"",AS188,AR188),"dd/mm/yyyy"))))))</f>
        <v/>
      </c>
      <c r="X188" s="28" t="str">
        <f aca="false">IF(AO188=0,"",IF($Q188="",AsOfDate,MIN(AsOfDate,$Q188)))</f>
        <v/>
      </c>
      <c r="Y188" s="26" t="str">
        <f aca="false">IF(AO188=0,"",MAX(0,AQ188))</f>
        <v/>
      </c>
      <c r="Z188" s="11" t="str">
        <f aca="false">IF(AO188=0,"",IF(AQ188&lt;0,"Not started",INT(AQ188/12)&amp;"y "&amp;MOD(AQ188,12)&amp;"m"))</f>
        <v/>
      </c>
      <c r="AA188" s="27" t="str">
        <f aca="false">IF(AO188=0,"",IF(BF188=1,"Terminated - balance forfeited",IF(AY188="None",IF(AB188&gt;0,"No longer accruing - "&amp;T188,"Not eligible - "&amp;T188&amp;IF(AND(IFERROR(VLOOKUP(T188,TypeTable,2,0),"None")="PT",N(U188)&lt;PT_MinHours)," (under "&amp;PT_MinHours&amp;" hrs)","")),IF(AB188&gt;0,"Yes - accruing","Not yet - qualifies "&amp;TEXT(AD188,"dd/mm/yyyy")))))</f>
        <v/>
      </c>
      <c r="AB188" s="26" t="str">
        <f aca="false">IF(AO188=0,"",AZ188+IF(AR188="",0,BB188-BA188)+IF(AS188="",0,BD188-BC188))</f>
        <v/>
      </c>
      <c r="AC188" s="26" t="str">
        <f aca="false">IF(AO188=0,"",AB188*HoursPerDay)</f>
        <v/>
      </c>
      <c r="AD188" s="28" t="str">
        <f aca="false">IF(AO188=0,"",IF(OR(BF188=1,AY188="None"),"",EDATE($E188+AP188,BE188)))</f>
        <v/>
      </c>
      <c r="AE188" s="26" t="str">
        <f aca="false">IF(AD188="","",IF(AY188="PT",1,IF(BE188&lt;FT_Y5,1,IF(MOD(BE188-FT_Y5,12)=0,FT_AnnivDays,1))))</f>
        <v/>
      </c>
      <c r="AF188" s="27" t="str">
        <f aca="false">IF(AO188=0,"",IF(NOT(EH_Ready),"Map headers",IF(IF(MatchMode="Employee ID",COUNTIFS(INDEX(EH_Data,0,EH_ColID),$A188,INDEX(EH_Data,0,EH_ColCat),BonusCat),COUNTIFS(INDEX(EH_Data,0,EH_ColFirst),$B188,INDEX(EH_Data,0,EH_ColSur),$C188,INDEX(EH_Data,0,EH_ColCat),BonusCat))&gt;0,"Yes","No")))</f>
        <v/>
      </c>
      <c r="AG188" s="26" t="str">
        <f aca="false">IF(AO188=0,"",IF(NOT(EH_Ready),"",IF(MatchMode="Employee ID",SUMIFS(INDEX(EH_Data,0,EH_ColBal),INDEX(EH_Data,0,EH_ColID),$A188,INDEX(EH_Data,0,EH_ColCat),BonusCat),SUMIFS(INDEX(EH_Data,0,EH_ColBal),INDEX(EH_Data,0,EH_ColFirst),$B188,INDEX(EH_Data,0,EH_ColSur),$C188,INDEX(EH_Data,0,EH_ColCat),BonusCat))/IF(EHUnit="Hours",HoursPerDay,1)))</f>
        <v/>
      </c>
      <c r="AH188" s="26" t="str">
        <f aca="false">IF(AO188=0,"",IF(NOT(TK_Ready),0,IF(MatchMode="Employee ID",SUMIFS(INDEX(TK_Data,0,TK_ColAmt),INDEX(TK_Data,0,TK_ColID),$A188,INDEX(TK_Data,0,TK_ColCat),BonusCat),SUMIFS(INDEX(TK_Data,0,TK_ColAmt),INDEX(TK_Data,0,TK_ColFirst),$B188,INDEX(TK_Data,0,TK_ColSur),$C188,INDEX(TK_Data,0,TK_ColCat),BonusCat))/IF(TKUnit="Hours",HoursPerDay,1)))</f>
        <v/>
      </c>
      <c r="AI188" s="26" t="str">
        <f aca="false">IF(AO188=0,"",N(AG188)+N(AH188))</f>
        <v/>
      </c>
      <c r="AJ188" s="29" t="str">
        <f aca="false">IF(AO188=0,"",IF(NOT(AND(EH_Ready,EH_ValReady)),"",IF(MatchMode="Employee ID",SUMIFS(INDEX(EH_Data,0,EH_ColVal),INDEX(EH_Data,0,EH_ColID),$A188,INDEX(EH_Data,0,EH_ColCat),BonusCat),SUMIFS(INDEX(EH_Data,0,EH_ColVal),INDEX(EH_Data,0,EH_ColFirst),$B188,INDEX(EH_Data,0,EH_ColSur),$C188,INDEX(EH_Data,0,EH_ColCat),BonusCat))))</f>
        <v/>
      </c>
      <c r="AK188" s="26" t="str">
        <f aca="false">IF(AO188=0,"",IF(OR(NOT(EH_Ready),BF188=1),"",AB188-AI188))</f>
        <v/>
      </c>
      <c r="AL188" s="26" t="str">
        <f aca="false">IF(AK188="","",AK188*HoursPerDay)</f>
        <v/>
      </c>
      <c r="AM188" s="27" t="str">
        <f aca="false">IF(AO188=0,"",IF(BF188=1,IF(N(AG188)&gt;0,"TERMINATED - forfeit "&amp;TEXT(AG188,"0.##")&amp;" days still in EH","Terminated - nothing in EH"),IF(NOT(EH_Ready),"Paste EH export and map headers on Settings",IF(AND(AB188&gt;0,AF188="No"),"SET UP in EH - add "&amp;TEXT(AB188,"0.##")&amp;" day(s) ("&amp;TEXT(AC188,"0.##")&amp;" hrs)",IF(AK188&gt;0,"ADD "&amp;TEXT(AK188,"0.##")&amp;" day(s) ("&amp;TEXT(AL188,"0.##")&amp;" hrs) in EH",IF(AK188&lt;0,"CHECK - EH shows "&amp;TEXT(-AK188,"0.##")&amp;" days more than policy",IF(AB188&gt;0,"OK - up to date",IF(AY188="None","No action - not eligible","No action - not yet qualified"))))))))</f>
        <v/>
      </c>
      <c r="AN188" s="27" t="str">
        <f aca="false">IF(AO188=0,"",TRIM(IF(AND($K188&lt;&gt;"",$H188=""),"Change 2 entered without Change 1. ","")&amp;IF(AND($K188&lt;&gt;"",$H188&lt;&gt;"",$K188&lt;=$H188),"Change 2 date not after Change 1. ","")&amp;IF(AND($N188&lt;&gt;"",$O188&lt;&gt;"",$O188&lt;$N188),"Leave To is before Leave From. ","")&amp;IF(AND($N188&lt;&gt;"",$O188=""),"Leave From entered without Leave To. ","")&amp;IF(AND(IFERROR(VLOOKUP(T188,TypeTable,2,0),"None")="PT",U188=""),"Part-time with no hours entered. ","")&amp;IF(AND($H188&lt;&gt;"",$H188&gt;AsOfDate,AD188&lt;&gt;"",$H188&lt;=AD188),"Status change lands before next accrual - review. ","")&amp;IF(AND($Q188&lt;&gt;"",$Q188&lt;$E188),"Termination before commencement. ","")))</f>
        <v/>
      </c>
      <c r="AO188" s="11" t="n">
        <f aca="false">IF(LEN($A188&amp;$B188&amp;$C188)=0,0,IF($E188="",0,1))</f>
        <v>0</v>
      </c>
      <c r="AP188" s="11" t="str">
        <f aca="false">IF(AO188=0,"",(IF(OR($N188="",$O188=""),0,MAX(0,MIN(X188,$O188)-MAX($N188,$E188)+1))+N($P188)))</f>
        <v/>
      </c>
      <c r="AQ188" s="11" t="str">
        <f aca="false">IF(AO188=0,"",IF(X188&lt;($E188+(IF(OR($N188="",$O188=""),0,MAX(0,MIN(X188,$O188)-MAX($N188,$E188)+1))+N($P188))),-1,12*(YEAR(X188)-YEAR(($E188+(IF(OR($N188="",$O188=""),0,MAX(0,MIN(X188,$O188)-MAX($N188,$E188)+1))+N($P188)))))+MONTH(X188)-MONTH(($E188+(IF(OR($N188="",$O188=""),0,MAX(0,MIN(X188,$O188)-MAX($N188,$E188)+1))+N($P188))))-IF(DAY(X188)&lt;MIN(DAY(($E188+(IF(OR($N188="",$O188=""),0,MAX(0,MIN(X188,$O188)-MAX($N188,$E188)+1))+N($P188)))),DAY(EOMONTH(X188,0))),1,0)))</f>
        <v/>
      </c>
      <c r="AR188" s="28" t="str">
        <f aca="false">IF(AO188=0,"",IF($H188="","",IF($H188&gt;X188,"",$H188)))</f>
        <v/>
      </c>
      <c r="AS188" s="28" t="str">
        <f aca="false">IF(AO188=0,"",IF(AR188="","",IF($K188="","",IF($K188&gt;X188,"",$K188))))</f>
        <v/>
      </c>
      <c r="AT188" s="11" t="str">
        <f aca="false">IF(AO188=0,"",IF(AR188="",AQ188,IF((AR188-1)&lt;($E188+(IF(OR($N188="",$O188=""),0,MAX(0,MIN((AR188-1),$O188)-MAX($N188,$E188)+1))+N($P188))),-1,12*(YEAR((AR188-1))-YEAR(($E188+(IF(OR($N188="",$O188=""),0,MAX(0,MIN((AR188-1),$O188)-MAX($N188,$E188)+1))+N($P188)))))+MONTH((AR188-1))-MONTH(($E188+(IF(OR($N188="",$O188=""),0,MAX(0,MIN((AR188-1),$O188)-MAX($N188,$E188)+1))+N($P188))))-IF(DAY((AR188-1))&lt;MIN(DAY(($E188+(IF(OR($N188="",$O188=""),0,MAX(0,MIN((AR188-1),$O188)-MAX($N188,$E188)+1))+N($P188)))),DAY(EOMONTH((AR188-1),0))),1,0))))</f>
        <v/>
      </c>
      <c r="AU188" s="11" t="str">
        <f aca="false">IF(AO188=0,"",IF(AS188="",AQ188,IF((AS188-1)&lt;($E188+(IF(OR($N188="",$O188=""),0,MAX(0,MIN((AS188-1),$O188)-MAX($N188,$E188)+1))+N($P188))),-1,12*(YEAR((AS188-1))-YEAR(($E188+(IF(OR($N188="",$O188=""),0,MAX(0,MIN((AS188-1),$O188)-MAX($N188,$E188)+1))+N($P188)))))+MONTH((AS188-1))-MONTH(($E188+(IF(OR($N188="",$O188=""),0,MAX(0,MIN((AS188-1),$O188)-MAX($N188,$E188)+1))+N($P188))))-IF(DAY((AS188-1))&lt;MIN(DAY(($E188+(IF(OR($N188="",$O188=""),0,MAX(0,MIN((AS188-1),$O188)-MAX($N188,$E188)+1))+N($P188)))),DAY(EOMONTH((AS188-1),0))),1,0))))</f>
        <v/>
      </c>
      <c r="AV188" s="11" t="str">
        <f aca="false">IF(AO188=0,"",IF($F188="","None",IF(IFERROR(VLOOKUP($F188,TypeTable,2,0),"None")="PT",IF(N($G188)&gt;=PT_MinHours,"PT","None"),IFERROR(VLOOKUP($F188,TypeTable,2,0),"None"))))</f>
        <v/>
      </c>
      <c r="AW188" s="11" t="str">
        <f aca="false">IF(AO188=0,"",IF($I188="","None",IF(IFERROR(VLOOKUP($I188,TypeTable,2,0),"None")="PT",IF(N($J188)&gt;=PT_MinHours,"PT","None"),IFERROR(VLOOKUP($I188,TypeTable,2,0),"None"))))</f>
        <v/>
      </c>
      <c r="AX188" s="11" t="str">
        <f aca="false">IF(AO188=0,"",IF($L188="","None",IF(IFERROR(VLOOKUP($L188,TypeTable,2,0),"None")="PT",IF(N($M188)&gt;=PT_MinHours,"PT","None"),IFERROR(VLOOKUP($L188,TypeTable,2,0),"None"))))</f>
        <v/>
      </c>
      <c r="AY188" s="11" t="str">
        <f aca="false">IF(AO188=0,"",IF(AS188&lt;&gt;"",AX188,IF(AR188&lt;&gt;"",AW188,AV188)))</f>
        <v/>
      </c>
      <c r="AZ188" s="11" t="str">
        <f aca="false">IF(AO188=0,"",IF(AV188="FT",IF(AT188&lt;FT_First,0,IF(AT188&lt;FT_Y5,1+INT((AT188-FT_First)/FT_Int1),FT_PreY5+FT_PerYear*INT((AT188-FT_Y5)/12)+FT_AnnivDays+INT(MOD(AT188-FT_Y5,12)/FT_Int2))),IF(AV188="PT",IF(AT188&lt;PT_First,0,1+INT((AT188-PT_First)/PT_Int)),0)))</f>
        <v/>
      </c>
      <c r="BA188" s="11" t="str">
        <f aca="false">IF(AO188=0,"",IF(AW188="FT",IF(AT188&lt;FT_First,0,IF(AT188&lt;FT_Y5,1+INT((AT188-FT_First)/FT_Int1),FT_PreY5+FT_PerYear*INT((AT188-FT_Y5)/12)+FT_AnnivDays+INT(MOD(AT188-FT_Y5,12)/FT_Int2))),IF(AW188="PT",IF(AT188&lt;PT_First,0,1+INT((AT188-PT_First)/PT_Int)),0)))</f>
        <v/>
      </c>
      <c r="BB188" s="11" t="str">
        <f aca="false">IF(AO188=0,"",IF(AW188="FT",IF(AU188&lt;FT_First,0,IF(AU188&lt;FT_Y5,1+INT((AU188-FT_First)/FT_Int1),FT_PreY5+FT_PerYear*INT((AU188-FT_Y5)/12)+FT_AnnivDays+INT(MOD(AU188-FT_Y5,12)/FT_Int2))),IF(AW188="PT",IF(AU188&lt;PT_First,0,1+INT((AU188-PT_First)/PT_Int)),0)))</f>
        <v/>
      </c>
      <c r="BC188" s="11" t="str">
        <f aca="false">IF(AO188=0,"",IF(AX188="FT",IF(AU188&lt;FT_First,0,IF(AU188&lt;FT_Y5,1+INT((AU188-FT_First)/FT_Int1),FT_PreY5+FT_PerYear*INT((AU188-FT_Y5)/12)+FT_AnnivDays+INT(MOD(AU188-FT_Y5,12)/FT_Int2))),IF(AX188="PT",IF(AU188&lt;PT_First,0,1+INT((AU188-PT_First)/PT_Int)),0)))</f>
        <v/>
      </c>
      <c r="BD188" s="11" t="str">
        <f aca="false">IF(AO188=0,"",IF(AX188="FT",IF(AQ188&lt;FT_First,0,IF(AQ188&lt;FT_Y5,1+INT((AQ188-FT_First)/FT_Int1),FT_PreY5+FT_PerYear*INT((AQ188-FT_Y5)/12)+FT_AnnivDays+INT(MOD(AQ188-FT_Y5,12)/FT_Int2))),IF(AX188="PT",IF(AQ188&lt;PT_First,0,1+INT((AQ188-PT_First)/PT_Int)),0)))</f>
        <v/>
      </c>
      <c r="BE188" s="11" t="str">
        <f aca="false">IF(AO188=0,"",IF(AY188="FT",IF(AQ188&lt;FT_First,FT_First,IF(AQ188&lt;FT_Y5,MIN(FT_Y5,FT_First+FT_Int1*(INT((AQ188-FT_First)/FT_Int1)+1)),FT_Y5+12*INT((AQ188-FT_Y5)/12)+FT_Int2*(INT(MOD(AQ188-FT_Y5,12)/FT_Int2)+1))),IF(AY188="PT",IF(AQ188&lt;PT_First,PT_First,PT_First+PT_Int*(INT((AQ188-PT_First)/PT_Int)+1)),"")))</f>
        <v/>
      </c>
      <c r="BF188" s="11" t="n">
        <f aca="false">IF(AO188=0,0,IF(AND($Q188&lt;&gt;"",$Q188&lt;=AsOfDate),1,0))</f>
        <v>0</v>
      </c>
      <c r="BG188" s="11" t="str">
        <f aca="false">IF(AND(AO188=1,BF188=0,EH_Ready,N(AB188)&gt;0,N(AI188)=0),COUNT($BG$5:BG187)+1,"")</f>
        <v/>
      </c>
      <c r="BH188" s="11" t="str">
        <f aca="false">IF(AND(AO188=1,BF188=0,EH_Ready,N(AB188)&gt;0,N(AI188)&gt;0,N(AK188)&gt;0),COUNT($BH$5:BH187)+1,"")</f>
        <v/>
      </c>
      <c r="BI188" s="11" t="str">
        <f aca="false">IF(AND(AO188=1,OR(LEFT(AM188,3)="ADD",LEFT(AM188,3)="SET",LEFT(AM188,5)="CHECK",LEFT(AM188,10)="TERMINATED")),COUNT($BI$5:BI187)+1,"")</f>
        <v/>
      </c>
      <c r="BJ188" s="11" t="str">
        <f aca="false">IF(AO188=0,"",$A188&amp;" - "&amp;$B188&amp;" "&amp;$C188)</f>
        <v/>
      </c>
    </row>
    <row r="189" customFormat="false" ht="15" hidden="false" customHeight="false" outlineLevel="0" collapsed="false">
      <c r="A189" s="10"/>
      <c r="B189" s="10"/>
      <c r="C189" s="10"/>
      <c r="D189" s="10"/>
      <c r="E189" s="9"/>
      <c r="F189" s="10"/>
      <c r="G189" s="30"/>
      <c r="H189" s="9"/>
      <c r="I189" s="10"/>
      <c r="J189" s="30"/>
      <c r="K189" s="9"/>
      <c r="L189" s="10"/>
      <c r="M189" s="30"/>
      <c r="N189" s="9"/>
      <c r="O189" s="9"/>
      <c r="P189" s="30"/>
      <c r="Q189" s="9"/>
      <c r="R189" s="10"/>
      <c r="S189" s="11" t="str">
        <f aca="false">IF(AO189=0,"",IF($H189="","",$F189&amp;" -&gt; "&amp;$I189&amp;IF($I189="Part-Time"," ("&amp;N($J189)&amp;" hrs)","")&amp;" on "&amp;TEXT($H189,"dd/mm/yyyy")&amp;IF($H189&gt;AsOfDate," (FUTURE)","")&amp;IF($K189="","","; "&amp;$I189&amp;" -&gt; "&amp;$L189&amp;IF($L189="Part-Time"," ("&amp;N($M189)&amp;" hrs)","")&amp;" on "&amp;TEXT($K189,"dd/mm/yyyy")&amp;IF($K189&gt;AsOfDate," (FUTURE)",""))))</f>
        <v/>
      </c>
      <c r="T189" s="11" t="str">
        <f aca="false">IF(AO189=0,"",IF(AS189&lt;&gt;"",$L189,IF(AR189&lt;&gt;"",$I189,$F189)))</f>
        <v/>
      </c>
      <c r="U189" s="26" t="str">
        <f aca="false">IF(AO189=0,"",IF(AS189&lt;&gt;"",$M189,IF(AR189&lt;&gt;"",$J189,$G189)))</f>
        <v/>
      </c>
      <c r="V189" s="11" t="str">
        <f aca="false">IF(AO189=0,"",IF(AY189="FT","Full-Time",IF(AY189="PT","Part-Time","Not eligible")))</f>
        <v/>
      </c>
      <c r="W189" s="27" t="str">
        <f aca="false">IF(AO189=0,"",IF(AR189="",IF(AND($H189&lt;&gt;"",$H189&gt;AsOfDate),"Future change - not yet applied",""),IF(AND(AV189=AY189,OR(AS189="",AW189=AV189)),"Type changed - same accrual pathway",IF(AY189="None","STOPPED accruing from "&amp;TEXT(IF(AS189&lt;&gt;"",AS189,AR189),"dd/mm/yyyy"),IF(AV189="None","STARTED qualifying from "&amp;TEXT(IF(AS189&lt;&gt;"",AS189,AR189),"dd/mm/yyyy"),"Pathway changed "&amp;AV189&amp;" -&gt; "&amp;AW189&amp;IF(AS189&lt;&gt;""," -&gt; "&amp;AX189,"")&amp;" from "&amp;TEXT(IF(AS189&lt;&gt;"",AS189,AR189),"dd/mm/yyyy"))))))</f>
        <v/>
      </c>
      <c r="X189" s="28" t="str">
        <f aca="false">IF(AO189=0,"",IF($Q189="",AsOfDate,MIN(AsOfDate,$Q189)))</f>
        <v/>
      </c>
      <c r="Y189" s="26" t="str">
        <f aca="false">IF(AO189=0,"",MAX(0,AQ189))</f>
        <v/>
      </c>
      <c r="Z189" s="11" t="str">
        <f aca="false">IF(AO189=0,"",IF(AQ189&lt;0,"Not started",INT(AQ189/12)&amp;"y "&amp;MOD(AQ189,12)&amp;"m"))</f>
        <v/>
      </c>
      <c r="AA189" s="27" t="str">
        <f aca="false">IF(AO189=0,"",IF(BF189=1,"Terminated - balance forfeited",IF(AY189="None",IF(AB189&gt;0,"No longer accruing - "&amp;T189,"Not eligible - "&amp;T189&amp;IF(AND(IFERROR(VLOOKUP(T189,TypeTable,2,0),"None")="PT",N(U189)&lt;PT_MinHours)," (under "&amp;PT_MinHours&amp;" hrs)","")),IF(AB189&gt;0,"Yes - accruing","Not yet - qualifies "&amp;TEXT(AD189,"dd/mm/yyyy")))))</f>
        <v/>
      </c>
      <c r="AB189" s="26" t="str">
        <f aca="false">IF(AO189=0,"",AZ189+IF(AR189="",0,BB189-BA189)+IF(AS189="",0,BD189-BC189))</f>
        <v/>
      </c>
      <c r="AC189" s="26" t="str">
        <f aca="false">IF(AO189=0,"",AB189*HoursPerDay)</f>
        <v/>
      </c>
      <c r="AD189" s="28" t="str">
        <f aca="false">IF(AO189=0,"",IF(OR(BF189=1,AY189="None"),"",EDATE($E189+AP189,BE189)))</f>
        <v/>
      </c>
      <c r="AE189" s="26" t="str">
        <f aca="false">IF(AD189="","",IF(AY189="PT",1,IF(BE189&lt;FT_Y5,1,IF(MOD(BE189-FT_Y5,12)=0,FT_AnnivDays,1))))</f>
        <v/>
      </c>
      <c r="AF189" s="27" t="str">
        <f aca="false">IF(AO189=0,"",IF(NOT(EH_Ready),"Map headers",IF(IF(MatchMode="Employee ID",COUNTIFS(INDEX(EH_Data,0,EH_ColID),$A189,INDEX(EH_Data,0,EH_ColCat),BonusCat),COUNTIFS(INDEX(EH_Data,0,EH_ColFirst),$B189,INDEX(EH_Data,0,EH_ColSur),$C189,INDEX(EH_Data,0,EH_ColCat),BonusCat))&gt;0,"Yes","No")))</f>
        <v/>
      </c>
      <c r="AG189" s="26" t="str">
        <f aca="false">IF(AO189=0,"",IF(NOT(EH_Ready),"",IF(MatchMode="Employee ID",SUMIFS(INDEX(EH_Data,0,EH_ColBal),INDEX(EH_Data,0,EH_ColID),$A189,INDEX(EH_Data,0,EH_ColCat),BonusCat),SUMIFS(INDEX(EH_Data,0,EH_ColBal),INDEX(EH_Data,0,EH_ColFirst),$B189,INDEX(EH_Data,0,EH_ColSur),$C189,INDEX(EH_Data,0,EH_ColCat),BonusCat))/IF(EHUnit="Hours",HoursPerDay,1)))</f>
        <v/>
      </c>
      <c r="AH189" s="26" t="str">
        <f aca="false">IF(AO189=0,"",IF(NOT(TK_Ready),0,IF(MatchMode="Employee ID",SUMIFS(INDEX(TK_Data,0,TK_ColAmt),INDEX(TK_Data,0,TK_ColID),$A189,INDEX(TK_Data,0,TK_ColCat),BonusCat),SUMIFS(INDEX(TK_Data,0,TK_ColAmt),INDEX(TK_Data,0,TK_ColFirst),$B189,INDEX(TK_Data,0,TK_ColSur),$C189,INDEX(TK_Data,0,TK_ColCat),BonusCat))/IF(TKUnit="Hours",HoursPerDay,1)))</f>
        <v/>
      </c>
      <c r="AI189" s="26" t="str">
        <f aca="false">IF(AO189=0,"",N(AG189)+N(AH189))</f>
        <v/>
      </c>
      <c r="AJ189" s="29" t="str">
        <f aca="false">IF(AO189=0,"",IF(NOT(AND(EH_Ready,EH_ValReady)),"",IF(MatchMode="Employee ID",SUMIFS(INDEX(EH_Data,0,EH_ColVal),INDEX(EH_Data,0,EH_ColID),$A189,INDEX(EH_Data,0,EH_ColCat),BonusCat),SUMIFS(INDEX(EH_Data,0,EH_ColVal),INDEX(EH_Data,0,EH_ColFirst),$B189,INDEX(EH_Data,0,EH_ColSur),$C189,INDEX(EH_Data,0,EH_ColCat),BonusCat))))</f>
        <v/>
      </c>
      <c r="AK189" s="26" t="str">
        <f aca="false">IF(AO189=0,"",IF(OR(NOT(EH_Ready),BF189=1),"",AB189-AI189))</f>
        <v/>
      </c>
      <c r="AL189" s="26" t="str">
        <f aca="false">IF(AK189="","",AK189*HoursPerDay)</f>
        <v/>
      </c>
      <c r="AM189" s="27" t="str">
        <f aca="false">IF(AO189=0,"",IF(BF189=1,IF(N(AG189)&gt;0,"TERMINATED - forfeit "&amp;TEXT(AG189,"0.##")&amp;" days still in EH","Terminated - nothing in EH"),IF(NOT(EH_Ready),"Paste EH export and map headers on Settings",IF(AND(AB189&gt;0,AF189="No"),"SET UP in EH - add "&amp;TEXT(AB189,"0.##")&amp;" day(s) ("&amp;TEXT(AC189,"0.##")&amp;" hrs)",IF(AK189&gt;0,"ADD "&amp;TEXT(AK189,"0.##")&amp;" day(s) ("&amp;TEXT(AL189,"0.##")&amp;" hrs) in EH",IF(AK189&lt;0,"CHECK - EH shows "&amp;TEXT(-AK189,"0.##")&amp;" days more than policy",IF(AB189&gt;0,"OK - up to date",IF(AY189="None","No action - not eligible","No action - not yet qualified"))))))))</f>
        <v/>
      </c>
      <c r="AN189" s="27" t="str">
        <f aca="false">IF(AO189=0,"",TRIM(IF(AND($K189&lt;&gt;"",$H189=""),"Change 2 entered without Change 1. ","")&amp;IF(AND($K189&lt;&gt;"",$H189&lt;&gt;"",$K189&lt;=$H189),"Change 2 date not after Change 1. ","")&amp;IF(AND($N189&lt;&gt;"",$O189&lt;&gt;"",$O189&lt;$N189),"Leave To is before Leave From. ","")&amp;IF(AND($N189&lt;&gt;"",$O189=""),"Leave From entered without Leave To. ","")&amp;IF(AND(IFERROR(VLOOKUP(T189,TypeTable,2,0),"None")="PT",U189=""),"Part-time with no hours entered. ","")&amp;IF(AND($H189&lt;&gt;"",$H189&gt;AsOfDate,AD189&lt;&gt;"",$H189&lt;=AD189),"Status change lands before next accrual - review. ","")&amp;IF(AND($Q189&lt;&gt;"",$Q189&lt;$E189),"Termination before commencement. ","")))</f>
        <v/>
      </c>
      <c r="AO189" s="11" t="n">
        <f aca="false">IF(LEN($A189&amp;$B189&amp;$C189)=0,0,IF($E189="",0,1))</f>
        <v>0</v>
      </c>
      <c r="AP189" s="11" t="str">
        <f aca="false">IF(AO189=0,"",(IF(OR($N189="",$O189=""),0,MAX(0,MIN(X189,$O189)-MAX($N189,$E189)+1))+N($P189)))</f>
        <v/>
      </c>
      <c r="AQ189" s="11" t="str">
        <f aca="false">IF(AO189=0,"",IF(X189&lt;($E189+(IF(OR($N189="",$O189=""),0,MAX(0,MIN(X189,$O189)-MAX($N189,$E189)+1))+N($P189))),-1,12*(YEAR(X189)-YEAR(($E189+(IF(OR($N189="",$O189=""),0,MAX(0,MIN(X189,$O189)-MAX($N189,$E189)+1))+N($P189)))))+MONTH(X189)-MONTH(($E189+(IF(OR($N189="",$O189=""),0,MAX(0,MIN(X189,$O189)-MAX($N189,$E189)+1))+N($P189))))-IF(DAY(X189)&lt;MIN(DAY(($E189+(IF(OR($N189="",$O189=""),0,MAX(0,MIN(X189,$O189)-MAX($N189,$E189)+1))+N($P189)))),DAY(EOMONTH(X189,0))),1,0)))</f>
        <v/>
      </c>
      <c r="AR189" s="28" t="str">
        <f aca="false">IF(AO189=0,"",IF($H189="","",IF($H189&gt;X189,"",$H189)))</f>
        <v/>
      </c>
      <c r="AS189" s="28" t="str">
        <f aca="false">IF(AO189=0,"",IF(AR189="","",IF($K189="","",IF($K189&gt;X189,"",$K189))))</f>
        <v/>
      </c>
      <c r="AT189" s="11" t="str">
        <f aca="false">IF(AO189=0,"",IF(AR189="",AQ189,IF((AR189-1)&lt;($E189+(IF(OR($N189="",$O189=""),0,MAX(0,MIN((AR189-1),$O189)-MAX($N189,$E189)+1))+N($P189))),-1,12*(YEAR((AR189-1))-YEAR(($E189+(IF(OR($N189="",$O189=""),0,MAX(0,MIN((AR189-1),$O189)-MAX($N189,$E189)+1))+N($P189)))))+MONTH((AR189-1))-MONTH(($E189+(IF(OR($N189="",$O189=""),0,MAX(0,MIN((AR189-1),$O189)-MAX($N189,$E189)+1))+N($P189))))-IF(DAY((AR189-1))&lt;MIN(DAY(($E189+(IF(OR($N189="",$O189=""),0,MAX(0,MIN((AR189-1),$O189)-MAX($N189,$E189)+1))+N($P189)))),DAY(EOMONTH((AR189-1),0))),1,0))))</f>
        <v/>
      </c>
      <c r="AU189" s="11" t="str">
        <f aca="false">IF(AO189=0,"",IF(AS189="",AQ189,IF((AS189-1)&lt;($E189+(IF(OR($N189="",$O189=""),0,MAX(0,MIN((AS189-1),$O189)-MAX($N189,$E189)+1))+N($P189))),-1,12*(YEAR((AS189-1))-YEAR(($E189+(IF(OR($N189="",$O189=""),0,MAX(0,MIN((AS189-1),$O189)-MAX($N189,$E189)+1))+N($P189)))))+MONTH((AS189-1))-MONTH(($E189+(IF(OR($N189="",$O189=""),0,MAX(0,MIN((AS189-1),$O189)-MAX($N189,$E189)+1))+N($P189))))-IF(DAY((AS189-1))&lt;MIN(DAY(($E189+(IF(OR($N189="",$O189=""),0,MAX(0,MIN((AS189-1),$O189)-MAX($N189,$E189)+1))+N($P189)))),DAY(EOMONTH((AS189-1),0))),1,0))))</f>
        <v/>
      </c>
      <c r="AV189" s="11" t="str">
        <f aca="false">IF(AO189=0,"",IF($F189="","None",IF(IFERROR(VLOOKUP($F189,TypeTable,2,0),"None")="PT",IF(N($G189)&gt;=PT_MinHours,"PT","None"),IFERROR(VLOOKUP($F189,TypeTable,2,0),"None"))))</f>
        <v/>
      </c>
      <c r="AW189" s="11" t="str">
        <f aca="false">IF(AO189=0,"",IF($I189="","None",IF(IFERROR(VLOOKUP($I189,TypeTable,2,0),"None")="PT",IF(N($J189)&gt;=PT_MinHours,"PT","None"),IFERROR(VLOOKUP($I189,TypeTable,2,0),"None"))))</f>
        <v/>
      </c>
      <c r="AX189" s="11" t="str">
        <f aca="false">IF(AO189=0,"",IF($L189="","None",IF(IFERROR(VLOOKUP($L189,TypeTable,2,0),"None")="PT",IF(N($M189)&gt;=PT_MinHours,"PT","None"),IFERROR(VLOOKUP($L189,TypeTable,2,0),"None"))))</f>
        <v/>
      </c>
      <c r="AY189" s="11" t="str">
        <f aca="false">IF(AO189=0,"",IF(AS189&lt;&gt;"",AX189,IF(AR189&lt;&gt;"",AW189,AV189)))</f>
        <v/>
      </c>
      <c r="AZ189" s="11" t="str">
        <f aca="false">IF(AO189=0,"",IF(AV189="FT",IF(AT189&lt;FT_First,0,IF(AT189&lt;FT_Y5,1+INT((AT189-FT_First)/FT_Int1),FT_PreY5+FT_PerYear*INT((AT189-FT_Y5)/12)+FT_AnnivDays+INT(MOD(AT189-FT_Y5,12)/FT_Int2))),IF(AV189="PT",IF(AT189&lt;PT_First,0,1+INT((AT189-PT_First)/PT_Int)),0)))</f>
        <v/>
      </c>
      <c r="BA189" s="11" t="str">
        <f aca="false">IF(AO189=0,"",IF(AW189="FT",IF(AT189&lt;FT_First,0,IF(AT189&lt;FT_Y5,1+INT((AT189-FT_First)/FT_Int1),FT_PreY5+FT_PerYear*INT((AT189-FT_Y5)/12)+FT_AnnivDays+INT(MOD(AT189-FT_Y5,12)/FT_Int2))),IF(AW189="PT",IF(AT189&lt;PT_First,0,1+INT((AT189-PT_First)/PT_Int)),0)))</f>
        <v/>
      </c>
      <c r="BB189" s="11" t="str">
        <f aca="false">IF(AO189=0,"",IF(AW189="FT",IF(AU189&lt;FT_First,0,IF(AU189&lt;FT_Y5,1+INT((AU189-FT_First)/FT_Int1),FT_PreY5+FT_PerYear*INT((AU189-FT_Y5)/12)+FT_AnnivDays+INT(MOD(AU189-FT_Y5,12)/FT_Int2))),IF(AW189="PT",IF(AU189&lt;PT_First,0,1+INT((AU189-PT_First)/PT_Int)),0)))</f>
        <v/>
      </c>
      <c r="BC189" s="11" t="str">
        <f aca="false">IF(AO189=0,"",IF(AX189="FT",IF(AU189&lt;FT_First,0,IF(AU189&lt;FT_Y5,1+INT((AU189-FT_First)/FT_Int1),FT_PreY5+FT_PerYear*INT((AU189-FT_Y5)/12)+FT_AnnivDays+INT(MOD(AU189-FT_Y5,12)/FT_Int2))),IF(AX189="PT",IF(AU189&lt;PT_First,0,1+INT((AU189-PT_First)/PT_Int)),0)))</f>
        <v/>
      </c>
      <c r="BD189" s="11" t="str">
        <f aca="false">IF(AO189=0,"",IF(AX189="FT",IF(AQ189&lt;FT_First,0,IF(AQ189&lt;FT_Y5,1+INT((AQ189-FT_First)/FT_Int1),FT_PreY5+FT_PerYear*INT((AQ189-FT_Y5)/12)+FT_AnnivDays+INT(MOD(AQ189-FT_Y5,12)/FT_Int2))),IF(AX189="PT",IF(AQ189&lt;PT_First,0,1+INT((AQ189-PT_First)/PT_Int)),0)))</f>
        <v/>
      </c>
      <c r="BE189" s="11" t="str">
        <f aca="false">IF(AO189=0,"",IF(AY189="FT",IF(AQ189&lt;FT_First,FT_First,IF(AQ189&lt;FT_Y5,MIN(FT_Y5,FT_First+FT_Int1*(INT((AQ189-FT_First)/FT_Int1)+1)),FT_Y5+12*INT((AQ189-FT_Y5)/12)+FT_Int2*(INT(MOD(AQ189-FT_Y5,12)/FT_Int2)+1))),IF(AY189="PT",IF(AQ189&lt;PT_First,PT_First,PT_First+PT_Int*(INT((AQ189-PT_First)/PT_Int)+1)),"")))</f>
        <v/>
      </c>
      <c r="BF189" s="11" t="n">
        <f aca="false">IF(AO189=0,0,IF(AND($Q189&lt;&gt;"",$Q189&lt;=AsOfDate),1,0))</f>
        <v>0</v>
      </c>
      <c r="BG189" s="11" t="str">
        <f aca="false">IF(AND(AO189=1,BF189=0,EH_Ready,N(AB189)&gt;0,N(AI189)=0),COUNT($BG$5:BG188)+1,"")</f>
        <v/>
      </c>
      <c r="BH189" s="11" t="str">
        <f aca="false">IF(AND(AO189=1,BF189=0,EH_Ready,N(AB189)&gt;0,N(AI189)&gt;0,N(AK189)&gt;0),COUNT($BH$5:BH188)+1,"")</f>
        <v/>
      </c>
      <c r="BI189" s="11" t="str">
        <f aca="false">IF(AND(AO189=1,OR(LEFT(AM189,3)="ADD",LEFT(AM189,3)="SET",LEFT(AM189,5)="CHECK",LEFT(AM189,10)="TERMINATED")),COUNT($BI$5:BI188)+1,"")</f>
        <v/>
      </c>
      <c r="BJ189" s="11" t="str">
        <f aca="false">IF(AO189=0,"",$A189&amp;" - "&amp;$B189&amp;" "&amp;$C189)</f>
        <v/>
      </c>
    </row>
    <row r="190" customFormat="false" ht="15" hidden="false" customHeight="false" outlineLevel="0" collapsed="false">
      <c r="A190" s="10"/>
      <c r="B190" s="10"/>
      <c r="C190" s="10"/>
      <c r="D190" s="10"/>
      <c r="E190" s="9"/>
      <c r="F190" s="10"/>
      <c r="G190" s="30"/>
      <c r="H190" s="9"/>
      <c r="I190" s="10"/>
      <c r="J190" s="30"/>
      <c r="K190" s="9"/>
      <c r="L190" s="10"/>
      <c r="M190" s="30"/>
      <c r="N190" s="9"/>
      <c r="O190" s="9"/>
      <c r="P190" s="30"/>
      <c r="Q190" s="9"/>
      <c r="R190" s="10"/>
      <c r="S190" s="11" t="str">
        <f aca="false">IF(AO190=0,"",IF($H190="","",$F190&amp;" -&gt; "&amp;$I190&amp;IF($I190="Part-Time"," ("&amp;N($J190)&amp;" hrs)","")&amp;" on "&amp;TEXT($H190,"dd/mm/yyyy")&amp;IF($H190&gt;AsOfDate," (FUTURE)","")&amp;IF($K190="","","; "&amp;$I190&amp;" -&gt; "&amp;$L190&amp;IF($L190="Part-Time"," ("&amp;N($M190)&amp;" hrs)","")&amp;" on "&amp;TEXT($K190,"dd/mm/yyyy")&amp;IF($K190&gt;AsOfDate," (FUTURE)",""))))</f>
        <v/>
      </c>
      <c r="T190" s="11" t="str">
        <f aca="false">IF(AO190=0,"",IF(AS190&lt;&gt;"",$L190,IF(AR190&lt;&gt;"",$I190,$F190)))</f>
        <v/>
      </c>
      <c r="U190" s="26" t="str">
        <f aca="false">IF(AO190=0,"",IF(AS190&lt;&gt;"",$M190,IF(AR190&lt;&gt;"",$J190,$G190)))</f>
        <v/>
      </c>
      <c r="V190" s="11" t="str">
        <f aca="false">IF(AO190=0,"",IF(AY190="FT","Full-Time",IF(AY190="PT","Part-Time","Not eligible")))</f>
        <v/>
      </c>
      <c r="W190" s="27" t="str">
        <f aca="false">IF(AO190=0,"",IF(AR190="",IF(AND($H190&lt;&gt;"",$H190&gt;AsOfDate),"Future change - not yet applied",""),IF(AND(AV190=AY190,OR(AS190="",AW190=AV190)),"Type changed - same accrual pathway",IF(AY190="None","STOPPED accruing from "&amp;TEXT(IF(AS190&lt;&gt;"",AS190,AR190),"dd/mm/yyyy"),IF(AV190="None","STARTED qualifying from "&amp;TEXT(IF(AS190&lt;&gt;"",AS190,AR190),"dd/mm/yyyy"),"Pathway changed "&amp;AV190&amp;" -&gt; "&amp;AW190&amp;IF(AS190&lt;&gt;""," -&gt; "&amp;AX190,"")&amp;" from "&amp;TEXT(IF(AS190&lt;&gt;"",AS190,AR190),"dd/mm/yyyy"))))))</f>
        <v/>
      </c>
      <c r="X190" s="28" t="str">
        <f aca="false">IF(AO190=0,"",IF($Q190="",AsOfDate,MIN(AsOfDate,$Q190)))</f>
        <v/>
      </c>
      <c r="Y190" s="26" t="str">
        <f aca="false">IF(AO190=0,"",MAX(0,AQ190))</f>
        <v/>
      </c>
      <c r="Z190" s="11" t="str">
        <f aca="false">IF(AO190=0,"",IF(AQ190&lt;0,"Not started",INT(AQ190/12)&amp;"y "&amp;MOD(AQ190,12)&amp;"m"))</f>
        <v/>
      </c>
      <c r="AA190" s="27" t="str">
        <f aca="false">IF(AO190=0,"",IF(BF190=1,"Terminated - balance forfeited",IF(AY190="None",IF(AB190&gt;0,"No longer accruing - "&amp;T190,"Not eligible - "&amp;T190&amp;IF(AND(IFERROR(VLOOKUP(T190,TypeTable,2,0),"None")="PT",N(U190)&lt;PT_MinHours)," (under "&amp;PT_MinHours&amp;" hrs)","")),IF(AB190&gt;0,"Yes - accruing","Not yet - qualifies "&amp;TEXT(AD190,"dd/mm/yyyy")))))</f>
        <v/>
      </c>
      <c r="AB190" s="26" t="str">
        <f aca="false">IF(AO190=0,"",AZ190+IF(AR190="",0,BB190-BA190)+IF(AS190="",0,BD190-BC190))</f>
        <v/>
      </c>
      <c r="AC190" s="26" t="str">
        <f aca="false">IF(AO190=0,"",AB190*HoursPerDay)</f>
        <v/>
      </c>
      <c r="AD190" s="28" t="str">
        <f aca="false">IF(AO190=0,"",IF(OR(BF190=1,AY190="None"),"",EDATE($E190+AP190,BE190)))</f>
        <v/>
      </c>
      <c r="AE190" s="26" t="str">
        <f aca="false">IF(AD190="","",IF(AY190="PT",1,IF(BE190&lt;FT_Y5,1,IF(MOD(BE190-FT_Y5,12)=0,FT_AnnivDays,1))))</f>
        <v/>
      </c>
      <c r="AF190" s="27" t="str">
        <f aca="false">IF(AO190=0,"",IF(NOT(EH_Ready),"Map headers",IF(IF(MatchMode="Employee ID",COUNTIFS(INDEX(EH_Data,0,EH_ColID),$A190,INDEX(EH_Data,0,EH_ColCat),BonusCat),COUNTIFS(INDEX(EH_Data,0,EH_ColFirst),$B190,INDEX(EH_Data,0,EH_ColSur),$C190,INDEX(EH_Data,0,EH_ColCat),BonusCat))&gt;0,"Yes","No")))</f>
        <v/>
      </c>
      <c r="AG190" s="26" t="str">
        <f aca="false">IF(AO190=0,"",IF(NOT(EH_Ready),"",IF(MatchMode="Employee ID",SUMIFS(INDEX(EH_Data,0,EH_ColBal),INDEX(EH_Data,0,EH_ColID),$A190,INDEX(EH_Data,0,EH_ColCat),BonusCat),SUMIFS(INDEX(EH_Data,0,EH_ColBal),INDEX(EH_Data,0,EH_ColFirst),$B190,INDEX(EH_Data,0,EH_ColSur),$C190,INDEX(EH_Data,0,EH_ColCat),BonusCat))/IF(EHUnit="Hours",HoursPerDay,1)))</f>
        <v/>
      </c>
      <c r="AH190" s="26" t="str">
        <f aca="false">IF(AO190=0,"",IF(NOT(TK_Ready),0,IF(MatchMode="Employee ID",SUMIFS(INDEX(TK_Data,0,TK_ColAmt),INDEX(TK_Data,0,TK_ColID),$A190,INDEX(TK_Data,0,TK_ColCat),BonusCat),SUMIFS(INDEX(TK_Data,0,TK_ColAmt),INDEX(TK_Data,0,TK_ColFirst),$B190,INDEX(TK_Data,0,TK_ColSur),$C190,INDEX(TK_Data,0,TK_ColCat),BonusCat))/IF(TKUnit="Hours",HoursPerDay,1)))</f>
        <v/>
      </c>
      <c r="AI190" s="26" t="str">
        <f aca="false">IF(AO190=0,"",N(AG190)+N(AH190))</f>
        <v/>
      </c>
      <c r="AJ190" s="29" t="str">
        <f aca="false">IF(AO190=0,"",IF(NOT(AND(EH_Ready,EH_ValReady)),"",IF(MatchMode="Employee ID",SUMIFS(INDEX(EH_Data,0,EH_ColVal),INDEX(EH_Data,0,EH_ColID),$A190,INDEX(EH_Data,0,EH_ColCat),BonusCat),SUMIFS(INDEX(EH_Data,0,EH_ColVal),INDEX(EH_Data,0,EH_ColFirst),$B190,INDEX(EH_Data,0,EH_ColSur),$C190,INDEX(EH_Data,0,EH_ColCat),BonusCat))))</f>
        <v/>
      </c>
      <c r="AK190" s="26" t="str">
        <f aca="false">IF(AO190=0,"",IF(OR(NOT(EH_Ready),BF190=1),"",AB190-AI190))</f>
        <v/>
      </c>
      <c r="AL190" s="26" t="str">
        <f aca="false">IF(AK190="","",AK190*HoursPerDay)</f>
        <v/>
      </c>
      <c r="AM190" s="27" t="str">
        <f aca="false">IF(AO190=0,"",IF(BF190=1,IF(N(AG190)&gt;0,"TERMINATED - forfeit "&amp;TEXT(AG190,"0.##")&amp;" days still in EH","Terminated - nothing in EH"),IF(NOT(EH_Ready),"Paste EH export and map headers on Settings",IF(AND(AB190&gt;0,AF190="No"),"SET UP in EH - add "&amp;TEXT(AB190,"0.##")&amp;" day(s) ("&amp;TEXT(AC190,"0.##")&amp;" hrs)",IF(AK190&gt;0,"ADD "&amp;TEXT(AK190,"0.##")&amp;" day(s) ("&amp;TEXT(AL190,"0.##")&amp;" hrs) in EH",IF(AK190&lt;0,"CHECK - EH shows "&amp;TEXT(-AK190,"0.##")&amp;" days more than policy",IF(AB190&gt;0,"OK - up to date",IF(AY190="None","No action - not eligible","No action - not yet qualified"))))))))</f>
        <v/>
      </c>
      <c r="AN190" s="27" t="str">
        <f aca="false">IF(AO190=0,"",TRIM(IF(AND($K190&lt;&gt;"",$H190=""),"Change 2 entered without Change 1. ","")&amp;IF(AND($K190&lt;&gt;"",$H190&lt;&gt;"",$K190&lt;=$H190),"Change 2 date not after Change 1. ","")&amp;IF(AND($N190&lt;&gt;"",$O190&lt;&gt;"",$O190&lt;$N190),"Leave To is before Leave From. ","")&amp;IF(AND($N190&lt;&gt;"",$O190=""),"Leave From entered without Leave To. ","")&amp;IF(AND(IFERROR(VLOOKUP(T190,TypeTable,2,0),"None")="PT",U190=""),"Part-time with no hours entered. ","")&amp;IF(AND($H190&lt;&gt;"",$H190&gt;AsOfDate,AD190&lt;&gt;"",$H190&lt;=AD190),"Status change lands before next accrual - review. ","")&amp;IF(AND($Q190&lt;&gt;"",$Q190&lt;$E190),"Termination before commencement. ","")))</f>
        <v/>
      </c>
      <c r="AO190" s="11" t="n">
        <f aca="false">IF(LEN($A190&amp;$B190&amp;$C190)=0,0,IF($E190="",0,1))</f>
        <v>0</v>
      </c>
      <c r="AP190" s="11" t="str">
        <f aca="false">IF(AO190=0,"",(IF(OR($N190="",$O190=""),0,MAX(0,MIN(X190,$O190)-MAX($N190,$E190)+1))+N($P190)))</f>
        <v/>
      </c>
      <c r="AQ190" s="11" t="str">
        <f aca="false">IF(AO190=0,"",IF(X190&lt;($E190+(IF(OR($N190="",$O190=""),0,MAX(0,MIN(X190,$O190)-MAX($N190,$E190)+1))+N($P190))),-1,12*(YEAR(X190)-YEAR(($E190+(IF(OR($N190="",$O190=""),0,MAX(0,MIN(X190,$O190)-MAX($N190,$E190)+1))+N($P190)))))+MONTH(X190)-MONTH(($E190+(IF(OR($N190="",$O190=""),0,MAX(0,MIN(X190,$O190)-MAX($N190,$E190)+1))+N($P190))))-IF(DAY(X190)&lt;MIN(DAY(($E190+(IF(OR($N190="",$O190=""),0,MAX(0,MIN(X190,$O190)-MAX($N190,$E190)+1))+N($P190)))),DAY(EOMONTH(X190,0))),1,0)))</f>
        <v/>
      </c>
      <c r="AR190" s="28" t="str">
        <f aca="false">IF(AO190=0,"",IF($H190="","",IF($H190&gt;X190,"",$H190)))</f>
        <v/>
      </c>
      <c r="AS190" s="28" t="str">
        <f aca="false">IF(AO190=0,"",IF(AR190="","",IF($K190="","",IF($K190&gt;X190,"",$K190))))</f>
        <v/>
      </c>
      <c r="AT190" s="11" t="str">
        <f aca="false">IF(AO190=0,"",IF(AR190="",AQ190,IF((AR190-1)&lt;($E190+(IF(OR($N190="",$O190=""),0,MAX(0,MIN((AR190-1),$O190)-MAX($N190,$E190)+1))+N($P190))),-1,12*(YEAR((AR190-1))-YEAR(($E190+(IF(OR($N190="",$O190=""),0,MAX(0,MIN((AR190-1),$O190)-MAX($N190,$E190)+1))+N($P190)))))+MONTH((AR190-1))-MONTH(($E190+(IF(OR($N190="",$O190=""),0,MAX(0,MIN((AR190-1),$O190)-MAX($N190,$E190)+1))+N($P190))))-IF(DAY((AR190-1))&lt;MIN(DAY(($E190+(IF(OR($N190="",$O190=""),0,MAX(0,MIN((AR190-1),$O190)-MAX($N190,$E190)+1))+N($P190)))),DAY(EOMONTH((AR190-1),0))),1,0))))</f>
        <v/>
      </c>
      <c r="AU190" s="11" t="str">
        <f aca="false">IF(AO190=0,"",IF(AS190="",AQ190,IF((AS190-1)&lt;($E190+(IF(OR($N190="",$O190=""),0,MAX(0,MIN((AS190-1),$O190)-MAX($N190,$E190)+1))+N($P190))),-1,12*(YEAR((AS190-1))-YEAR(($E190+(IF(OR($N190="",$O190=""),0,MAX(0,MIN((AS190-1),$O190)-MAX($N190,$E190)+1))+N($P190)))))+MONTH((AS190-1))-MONTH(($E190+(IF(OR($N190="",$O190=""),0,MAX(0,MIN((AS190-1),$O190)-MAX($N190,$E190)+1))+N($P190))))-IF(DAY((AS190-1))&lt;MIN(DAY(($E190+(IF(OR($N190="",$O190=""),0,MAX(0,MIN((AS190-1),$O190)-MAX($N190,$E190)+1))+N($P190)))),DAY(EOMONTH((AS190-1),0))),1,0))))</f>
        <v/>
      </c>
      <c r="AV190" s="11" t="str">
        <f aca="false">IF(AO190=0,"",IF($F190="","None",IF(IFERROR(VLOOKUP($F190,TypeTable,2,0),"None")="PT",IF(N($G190)&gt;=PT_MinHours,"PT","None"),IFERROR(VLOOKUP($F190,TypeTable,2,0),"None"))))</f>
        <v/>
      </c>
      <c r="AW190" s="11" t="str">
        <f aca="false">IF(AO190=0,"",IF($I190="","None",IF(IFERROR(VLOOKUP($I190,TypeTable,2,0),"None")="PT",IF(N($J190)&gt;=PT_MinHours,"PT","None"),IFERROR(VLOOKUP($I190,TypeTable,2,0),"None"))))</f>
        <v/>
      </c>
      <c r="AX190" s="11" t="str">
        <f aca="false">IF(AO190=0,"",IF($L190="","None",IF(IFERROR(VLOOKUP($L190,TypeTable,2,0),"None")="PT",IF(N($M190)&gt;=PT_MinHours,"PT","None"),IFERROR(VLOOKUP($L190,TypeTable,2,0),"None"))))</f>
        <v/>
      </c>
      <c r="AY190" s="11" t="str">
        <f aca="false">IF(AO190=0,"",IF(AS190&lt;&gt;"",AX190,IF(AR190&lt;&gt;"",AW190,AV190)))</f>
        <v/>
      </c>
      <c r="AZ190" s="11" t="str">
        <f aca="false">IF(AO190=0,"",IF(AV190="FT",IF(AT190&lt;FT_First,0,IF(AT190&lt;FT_Y5,1+INT((AT190-FT_First)/FT_Int1),FT_PreY5+FT_PerYear*INT((AT190-FT_Y5)/12)+FT_AnnivDays+INT(MOD(AT190-FT_Y5,12)/FT_Int2))),IF(AV190="PT",IF(AT190&lt;PT_First,0,1+INT((AT190-PT_First)/PT_Int)),0)))</f>
        <v/>
      </c>
      <c r="BA190" s="11" t="str">
        <f aca="false">IF(AO190=0,"",IF(AW190="FT",IF(AT190&lt;FT_First,0,IF(AT190&lt;FT_Y5,1+INT((AT190-FT_First)/FT_Int1),FT_PreY5+FT_PerYear*INT((AT190-FT_Y5)/12)+FT_AnnivDays+INT(MOD(AT190-FT_Y5,12)/FT_Int2))),IF(AW190="PT",IF(AT190&lt;PT_First,0,1+INT((AT190-PT_First)/PT_Int)),0)))</f>
        <v/>
      </c>
      <c r="BB190" s="11" t="str">
        <f aca="false">IF(AO190=0,"",IF(AW190="FT",IF(AU190&lt;FT_First,0,IF(AU190&lt;FT_Y5,1+INT((AU190-FT_First)/FT_Int1),FT_PreY5+FT_PerYear*INT((AU190-FT_Y5)/12)+FT_AnnivDays+INT(MOD(AU190-FT_Y5,12)/FT_Int2))),IF(AW190="PT",IF(AU190&lt;PT_First,0,1+INT((AU190-PT_First)/PT_Int)),0)))</f>
        <v/>
      </c>
      <c r="BC190" s="11" t="str">
        <f aca="false">IF(AO190=0,"",IF(AX190="FT",IF(AU190&lt;FT_First,0,IF(AU190&lt;FT_Y5,1+INT((AU190-FT_First)/FT_Int1),FT_PreY5+FT_PerYear*INT((AU190-FT_Y5)/12)+FT_AnnivDays+INT(MOD(AU190-FT_Y5,12)/FT_Int2))),IF(AX190="PT",IF(AU190&lt;PT_First,0,1+INT((AU190-PT_First)/PT_Int)),0)))</f>
        <v/>
      </c>
      <c r="BD190" s="11" t="str">
        <f aca="false">IF(AO190=0,"",IF(AX190="FT",IF(AQ190&lt;FT_First,0,IF(AQ190&lt;FT_Y5,1+INT((AQ190-FT_First)/FT_Int1),FT_PreY5+FT_PerYear*INT((AQ190-FT_Y5)/12)+FT_AnnivDays+INT(MOD(AQ190-FT_Y5,12)/FT_Int2))),IF(AX190="PT",IF(AQ190&lt;PT_First,0,1+INT((AQ190-PT_First)/PT_Int)),0)))</f>
        <v/>
      </c>
      <c r="BE190" s="11" t="str">
        <f aca="false">IF(AO190=0,"",IF(AY190="FT",IF(AQ190&lt;FT_First,FT_First,IF(AQ190&lt;FT_Y5,MIN(FT_Y5,FT_First+FT_Int1*(INT((AQ190-FT_First)/FT_Int1)+1)),FT_Y5+12*INT((AQ190-FT_Y5)/12)+FT_Int2*(INT(MOD(AQ190-FT_Y5,12)/FT_Int2)+1))),IF(AY190="PT",IF(AQ190&lt;PT_First,PT_First,PT_First+PT_Int*(INT((AQ190-PT_First)/PT_Int)+1)),"")))</f>
        <v/>
      </c>
      <c r="BF190" s="11" t="n">
        <f aca="false">IF(AO190=0,0,IF(AND($Q190&lt;&gt;"",$Q190&lt;=AsOfDate),1,0))</f>
        <v>0</v>
      </c>
      <c r="BG190" s="11" t="str">
        <f aca="false">IF(AND(AO190=1,BF190=0,EH_Ready,N(AB190)&gt;0,N(AI190)=0),COUNT($BG$5:BG189)+1,"")</f>
        <v/>
      </c>
      <c r="BH190" s="11" t="str">
        <f aca="false">IF(AND(AO190=1,BF190=0,EH_Ready,N(AB190)&gt;0,N(AI190)&gt;0,N(AK190)&gt;0),COUNT($BH$5:BH189)+1,"")</f>
        <v/>
      </c>
      <c r="BI190" s="11" t="str">
        <f aca="false">IF(AND(AO190=1,OR(LEFT(AM190,3)="ADD",LEFT(AM190,3)="SET",LEFT(AM190,5)="CHECK",LEFT(AM190,10)="TERMINATED")),COUNT($BI$5:BI189)+1,"")</f>
        <v/>
      </c>
      <c r="BJ190" s="11" t="str">
        <f aca="false">IF(AO190=0,"",$A190&amp;" - "&amp;$B190&amp;" "&amp;$C190)</f>
        <v/>
      </c>
    </row>
    <row r="191" customFormat="false" ht="15" hidden="false" customHeight="false" outlineLevel="0" collapsed="false">
      <c r="A191" s="10"/>
      <c r="B191" s="10"/>
      <c r="C191" s="10"/>
      <c r="D191" s="10"/>
      <c r="E191" s="9"/>
      <c r="F191" s="10"/>
      <c r="G191" s="30"/>
      <c r="H191" s="9"/>
      <c r="I191" s="10"/>
      <c r="J191" s="30"/>
      <c r="K191" s="9"/>
      <c r="L191" s="10"/>
      <c r="M191" s="30"/>
      <c r="N191" s="9"/>
      <c r="O191" s="9"/>
      <c r="P191" s="30"/>
      <c r="Q191" s="9"/>
      <c r="R191" s="10"/>
      <c r="S191" s="11" t="str">
        <f aca="false">IF(AO191=0,"",IF($H191="","",$F191&amp;" -&gt; "&amp;$I191&amp;IF($I191="Part-Time"," ("&amp;N($J191)&amp;" hrs)","")&amp;" on "&amp;TEXT($H191,"dd/mm/yyyy")&amp;IF($H191&gt;AsOfDate," (FUTURE)","")&amp;IF($K191="","","; "&amp;$I191&amp;" -&gt; "&amp;$L191&amp;IF($L191="Part-Time"," ("&amp;N($M191)&amp;" hrs)","")&amp;" on "&amp;TEXT($K191,"dd/mm/yyyy")&amp;IF($K191&gt;AsOfDate," (FUTURE)",""))))</f>
        <v/>
      </c>
      <c r="T191" s="11" t="str">
        <f aca="false">IF(AO191=0,"",IF(AS191&lt;&gt;"",$L191,IF(AR191&lt;&gt;"",$I191,$F191)))</f>
        <v/>
      </c>
      <c r="U191" s="26" t="str">
        <f aca="false">IF(AO191=0,"",IF(AS191&lt;&gt;"",$M191,IF(AR191&lt;&gt;"",$J191,$G191)))</f>
        <v/>
      </c>
      <c r="V191" s="11" t="str">
        <f aca="false">IF(AO191=0,"",IF(AY191="FT","Full-Time",IF(AY191="PT","Part-Time","Not eligible")))</f>
        <v/>
      </c>
      <c r="W191" s="27" t="str">
        <f aca="false">IF(AO191=0,"",IF(AR191="",IF(AND($H191&lt;&gt;"",$H191&gt;AsOfDate),"Future change - not yet applied",""),IF(AND(AV191=AY191,OR(AS191="",AW191=AV191)),"Type changed - same accrual pathway",IF(AY191="None","STOPPED accruing from "&amp;TEXT(IF(AS191&lt;&gt;"",AS191,AR191),"dd/mm/yyyy"),IF(AV191="None","STARTED qualifying from "&amp;TEXT(IF(AS191&lt;&gt;"",AS191,AR191),"dd/mm/yyyy"),"Pathway changed "&amp;AV191&amp;" -&gt; "&amp;AW191&amp;IF(AS191&lt;&gt;""," -&gt; "&amp;AX191,"")&amp;" from "&amp;TEXT(IF(AS191&lt;&gt;"",AS191,AR191),"dd/mm/yyyy"))))))</f>
        <v/>
      </c>
      <c r="X191" s="28" t="str">
        <f aca="false">IF(AO191=0,"",IF($Q191="",AsOfDate,MIN(AsOfDate,$Q191)))</f>
        <v/>
      </c>
      <c r="Y191" s="26" t="str">
        <f aca="false">IF(AO191=0,"",MAX(0,AQ191))</f>
        <v/>
      </c>
      <c r="Z191" s="11" t="str">
        <f aca="false">IF(AO191=0,"",IF(AQ191&lt;0,"Not started",INT(AQ191/12)&amp;"y "&amp;MOD(AQ191,12)&amp;"m"))</f>
        <v/>
      </c>
      <c r="AA191" s="27" t="str">
        <f aca="false">IF(AO191=0,"",IF(BF191=1,"Terminated - balance forfeited",IF(AY191="None",IF(AB191&gt;0,"No longer accruing - "&amp;T191,"Not eligible - "&amp;T191&amp;IF(AND(IFERROR(VLOOKUP(T191,TypeTable,2,0),"None")="PT",N(U191)&lt;PT_MinHours)," (under "&amp;PT_MinHours&amp;" hrs)","")),IF(AB191&gt;0,"Yes - accruing","Not yet - qualifies "&amp;TEXT(AD191,"dd/mm/yyyy")))))</f>
        <v/>
      </c>
      <c r="AB191" s="26" t="str">
        <f aca="false">IF(AO191=0,"",AZ191+IF(AR191="",0,BB191-BA191)+IF(AS191="",0,BD191-BC191))</f>
        <v/>
      </c>
      <c r="AC191" s="26" t="str">
        <f aca="false">IF(AO191=0,"",AB191*HoursPerDay)</f>
        <v/>
      </c>
      <c r="AD191" s="28" t="str">
        <f aca="false">IF(AO191=0,"",IF(OR(BF191=1,AY191="None"),"",EDATE($E191+AP191,BE191)))</f>
        <v/>
      </c>
      <c r="AE191" s="26" t="str">
        <f aca="false">IF(AD191="","",IF(AY191="PT",1,IF(BE191&lt;FT_Y5,1,IF(MOD(BE191-FT_Y5,12)=0,FT_AnnivDays,1))))</f>
        <v/>
      </c>
      <c r="AF191" s="27" t="str">
        <f aca="false">IF(AO191=0,"",IF(NOT(EH_Ready),"Map headers",IF(IF(MatchMode="Employee ID",COUNTIFS(INDEX(EH_Data,0,EH_ColID),$A191,INDEX(EH_Data,0,EH_ColCat),BonusCat),COUNTIFS(INDEX(EH_Data,0,EH_ColFirst),$B191,INDEX(EH_Data,0,EH_ColSur),$C191,INDEX(EH_Data,0,EH_ColCat),BonusCat))&gt;0,"Yes","No")))</f>
        <v/>
      </c>
      <c r="AG191" s="26" t="str">
        <f aca="false">IF(AO191=0,"",IF(NOT(EH_Ready),"",IF(MatchMode="Employee ID",SUMIFS(INDEX(EH_Data,0,EH_ColBal),INDEX(EH_Data,0,EH_ColID),$A191,INDEX(EH_Data,0,EH_ColCat),BonusCat),SUMIFS(INDEX(EH_Data,0,EH_ColBal),INDEX(EH_Data,0,EH_ColFirst),$B191,INDEX(EH_Data,0,EH_ColSur),$C191,INDEX(EH_Data,0,EH_ColCat),BonusCat))/IF(EHUnit="Hours",HoursPerDay,1)))</f>
        <v/>
      </c>
      <c r="AH191" s="26" t="str">
        <f aca="false">IF(AO191=0,"",IF(NOT(TK_Ready),0,IF(MatchMode="Employee ID",SUMIFS(INDEX(TK_Data,0,TK_ColAmt),INDEX(TK_Data,0,TK_ColID),$A191,INDEX(TK_Data,0,TK_ColCat),BonusCat),SUMIFS(INDEX(TK_Data,0,TK_ColAmt),INDEX(TK_Data,0,TK_ColFirst),$B191,INDEX(TK_Data,0,TK_ColSur),$C191,INDEX(TK_Data,0,TK_ColCat),BonusCat))/IF(TKUnit="Hours",HoursPerDay,1)))</f>
        <v/>
      </c>
      <c r="AI191" s="26" t="str">
        <f aca="false">IF(AO191=0,"",N(AG191)+N(AH191))</f>
        <v/>
      </c>
      <c r="AJ191" s="29" t="str">
        <f aca="false">IF(AO191=0,"",IF(NOT(AND(EH_Ready,EH_ValReady)),"",IF(MatchMode="Employee ID",SUMIFS(INDEX(EH_Data,0,EH_ColVal),INDEX(EH_Data,0,EH_ColID),$A191,INDEX(EH_Data,0,EH_ColCat),BonusCat),SUMIFS(INDEX(EH_Data,0,EH_ColVal),INDEX(EH_Data,0,EH_ColFirst),$B191,INDEX(EH_Data,0,EH_ColSur),$C191,INDEX(EH_Data,0,EH_ColCat),BonusCat))))</f>
        <v/>
      </c>
      <c r="AK191" s="26" t="str">
        <f aca="false">IF(AO191=0,"",IF(OR(NOT(EH_Ready),BF191=1),"",AB191-AI191))</f>
        <v/>
      </c>
      <c r="AL191" s="26" t="str">
        <f aca="false">IF(AK191="","",AK191*HoursPerDay)</f>
        <v/>
      </c>
      <c r="AM191" s="27" t="str">
        <f aca="false">IF(AO191=0,"",IF(BF191=1,IF(N(AG191)&gt;0,"TERMINATED - forfeit "&amp;TEXT(AG191,"0.##")&amp;" days still in EH","Terminated - nothing in EH"),IF(NOT(EH_Ready),"Paste EH export and map headers on Settings",IF(AND(AB191&gt;0,AF191="No"),"SET UP in EH - add "&amp;TEXT(AB191,"0.##")&amp;" day(s) ("&amp;TEXT(AC191,"0.##")&amp;" hrs)",IF(AK191&gt;0,"ADD "&amp;TEXT(AK191,"0.##")&amp;" day(s) ("&amp;TEXT(AL191,"0.##")&amp;" hrs) in EH",IF(AK191&lt;0,"CHECK - EH shows "&amp;TEXT(-AK191,"0.##")&amp;" days more than policy",IF(AB191&gt;0,"OK - up to date",IF(AY191="None","No action - not eligible","No action - not yet qualified"))))))))</f>
        <v/>
      </c>
      <c r="AN191" s="27" t="str">
        <f aca="false">IF(AO191=0,"",TRIM(IF(AND($K191&lt;&gt;"",$H191=""),"Change 2 entered without Change 1. ","")&amp;IF(AND($K191&lt;&gt;"",$H191&lt;&gt;"",$K191&lt;=$H191),"Change 2 date not after Change 1. ","")&amp;IF(AND($N191&lt;&gt;"",$O191&lt;&gt;"",$O191&lt;$N191),"Leave To is before Leave From. ","")&amp;IF(AND($N191&lt;&gt;"",$O191=""),"Leave From entered without Leave To. ","")&amp;IF(AND(IFERROR(VLOOKUP(T191,TypeTable,2,0),"None")="PT",U191=""),"Part-time with no hours entered. ","")&amp;IF(AND($H191&lt;&gt;"",$H191&gt;AsOfDate,AD191&lt;&gt;"",$H191&lt;=AD191),"Status change lands before next accrual - review. ","")&amp;IF(AND($Q191&lt;&gt;"",$Q191&lt;$E191),"Termination before commencement. ","")))</f>
        <v/>
      </c>
      <c r="AO191" s="11" t="n">
        <f aca="false">IF(LEN($A191&amp;$B191&amp;$C191)=0,0,IF($E191="",0,1))</f>
        <v>0</v>
      </c>
      <c r="AP191" s="11" t="str">
        <f aca="false">IF(AO191=0,"",(IF(OR($N191="",$O191=""),0,MAX(0,MIN(X191,$O191)-MAX($N191,$E191)+1))+N($P191)))</f>
        <v/>
      </c>
      <c r="AQ191" s="11" t="str">
        <f aca="false">IF(AO191=0,"",IF(X191&lt;($E191+(IF(OR($N191="",$O191=""),0,MAX(0,MIN(X191,$O191)-MAX($N191,$E191)+1))+N($P191))),-1,12*(YEAR(X191)-YEAR(($E191+(IF(OR($N191="",$O191=""),0,MAX(0,MIN(X191,$O191)-MAX($N191,$E191)+1))+N($P191)))))+MONTH(X191)-MONTH(($E191+(IF(OR($N191="",$O191=""),0,MAX(0,MIN(X191,$O191)-MAX($N191,$E191)+1))+N($P191))))-IF(DAY(X191)&lt;MIN(DAY(($E191+(IF(OR($N191="",$O191=""),0,MAX(0,MIN(X191,$O191)-MAX($N191,$E191)+1))+N($P191)))),DAY(EOMONTH(X191,0))),1,0)))</f>
        <v/>
      </c>
      <c r="AR191" s="28" t="str">
        <f aca="false">IF(AO191=0,"",IF($H191="","",IF($H191&gt;X191,"",$H191)))</f>
        <v/>
      </c>
      <c r="AS191" s="28" t="str">
        <f aca="false">IF(AO191=0,"",IF(AR191="","",IF($K191="","",IF($K191&gt;X191,"",$K191))))</f>
        <v/>
      </c>
      <c r="AT191" s="11" t="str">
        <f aca="false">IF(AO191=0,"",IF(AR191="",AQ191,IF((AR191-1)&lt;($E191+(IF(OR($N191="",$O191=""),0,MAX(0,MIN((AR191-1),$O191)-MAX($N191,$E191)+1))+N($P191))),-1,12*(YEAR((AR191-1))-YEAR(($E191+(IF(OR($N191="",$O191=""),0,MAX(0,MIN((AR191-1),$O191)-MAX($N191,$E191)+1))+N($P191)))))+MONTH((AR191-1))-MONTH(($E191+(IF(OR($N191="",$O191=""),0,MAX(0,MIN((AR191-1),$O191)-MAX($N191,$E191)+1))+N($P191))))-IF(DAY((AR191-1))&lt;MIN(DAY(($E191+(IF(OR($N191="",$O191=""),0,MAX(0,MIN((AR191-1),$O191)-MAX($N191,$E191)+1))+N($P191)))),DAY(EOMONTH((AR191-1),0))),1,0))))</f>
        <v/>
      </c>
      <c r="AU191" s="11" t="str">
        <f aca="false">IF(AO191=0,"",IF(AS191="",AQ191,IF((AS191-1)&lt;($E191+(IF(OR($N191="",$O191=""),0,MAX(0,MIN((AS191-1),$O191)-MAX($N191,$E191)+1))+N($P191))),-1,12*(YEAR((AS191-1))-YEAR(($E191+(IF(OR($N191="",$O191=""),0,MAX(0,MIN((AS191-1),$O191)-MAX($N191,$E191)+1))+N($P191)))))+MONTH((AS191-1))-MONTH(($E191+(IF(OR($N191="",$O191=""),0,MAX(0,MIN((AS191-1),$O191)-MAX($N191,$E191)+1))+N($P191))))-IF(DAY((AS191-1))&lt;MIN(DAY(($E191+(IF(OR($N191="",$O191=""),0,MAX(0,MIN((AS191-1),$O191)-MAX($N191,$E191)+1))+N($P191)))),DAY(EOMONTH((AS191-1),0))),1,0))))</f>
        <v/>
      </c>
      <c r="AV191" s="11" t="str">
        <f aca="false">IF(AO191=0,"",IF($F191="","None",IF(IFERROR(VLOOKUP($F191,TypeTable,2,0),"None")="PT",IF(N($G191)&gt;=PT_MinHours,"PT","None"),IFERROR(VLOOKUP($F191,TypeTable,2,0),"None"))))</f>
        <v/>
      </c>
      <c r="AW191" s="11" t="str">
        <f aca="false">IF(AO191=0,"",IF($I191="","None",IF(IFERROR(VLOOKUP($I191,TypeTable,2,0),"None")="PT",IF(N($J191)&gt;=PT_MinHours,"PT","None"),IFERROR(VLOOKUP($I191,TypeTable,2,0),"None"))))</f>
        <v/>
      </c>
      <c r="AX191" s="11" t="str">
        <f aca="false">IF(AO191=0,"",IF($L191="","None",IF(IFERROR(VLOOKUP($L191,TypeTable,2,0),"None")="PT",IF(N($M191)&gt;=PT_MinHours,"PT","None"),IFERROR(VLOOKUP($L191,TypeTable,2,0),"None"))))</f>
        <v/>
      </c>
      <c r="AY191" s="11" t="str">
        <f aca="false">IF(AO191=0,"",IF(AS191&lt;&gt;"",AX191,IF(AR191&lt;&gt;"",AW191,AV191)))</f>
        <v/>
      </c>
      <c r="AZ191" s="11" t="str">
        <f aca="false">IF(AO191=0,"",IF(AV191="FT",IF(AT191&lt;FT_First,0,IF(AT191&lt;FT_Y5,1+INT((AT191-FT_First)/FT_Int1),FT_PreY5+FT_PerYear*INT((AT191-FT_Y5)/12)+FT_AnnivDays+INT(MOD(AT191-FT_Y5,12)/FT_Int2))),IF(AV191="PT",IF(AT191&lt;PT_First,0,1+INT((AT191-PT_First)/PT_Int)),0)))</f>
        <v/>
      </c>
      <c r="BA191" s="11" t="str">
        <f aca="false">IF(AO191=0,"",IF(AW191="FT",IF(AT191&lt;FT_First,0,IF(AT191&lt;FT_Y5,1+INT((AT191-FT_First)/FT_Int1),FT_PreY5+FT_PerYear*INT((AT191-FT_Y5)/12)+FT_AnnivDays+INT(MOD(AT191-FT_Y5,12)/FT_Int2))),IF(AW191="PT",IF(AT191&lt;PT_First,0,1+INT((AT191-PT_First)/PT_Int)),0)))</f>
        <v/>
      </c>
      <c r="BB191" s="11" t="str">
        <f aca="false">IF(AO191=0,"",IF(AW191="FT",IF(AU191&lt;FT_First,0,IF(AU191&lt;FT_Y5,1+INT((AU191-FT_First)/FT_Int1),FT_PreY5+FT_PerYear*INT((AU191-FT_Y5)/12)+FT_AnnivDays+INT(MOD(AU191-FT_Y5,12)/FT_Int2))),IF(AW191="PT",IF(AU191&lt;PT_First,0,1+INT((AU191-PT_First)/PT_Int)),0)))</f>
        <v/>
      </c>
      <c r="BC191" s="11" t="str">
        <f aca="false">IF(AO191=0,"",IF(AX191="FT",IF(AU191&lt;FT_First,0,IF(AU191&lt;FT_Y5,1+INT((AU191-FT_First)/FT_Int1),FT_PreY5+FT_PerYear*INT((AU191-FT_Y5)/12)+FT_AnnivDays+INT(MOD(AU191-FT_Y5,12)/FT_Int2))),IF(AX191="PT",IF(AU191&lt;PT_First,0,1+INT((AU191-PT_First)/PT_Int)),0)))</f>
        <v/>
      </c>
      <c r="BD191" s="11" t="str">
        <f aca="false">IF(AO191=0,"",IF(AX191="FT",IF(AQ191&lt;FT_First,0,IF(AQ191&lt;FT_Y5,1+INT((AQ191-FT_First)/FT_Int1),FT_PreY5+FT_PerYear*INT((AQ191-FT_Y5)/12)+FT_AnnivDays+INT(MOD(AQ191-FT_Y5,12)/FT_Int2))),IF(AX191="PT",IF(AQ191&lt;PT_First,0,1+INT((AQ191-PT_First)/PT_Int)),0)))</f>
        <v/>
      </c>
      <c r="BE191" s="11" t="str">
        <f aca="false">IF(AO191=0,"",IF(AY191="FT",IF(AQ191&lt;FT_First,FT_First,IF(AQ191&lt;FT_Y5,MIN(FT_Y5,FT_First+FT_Int1*(INT((AQ191-FT_First)/FT_Int1)+1)),FT_Y5+12*INT((AQ191-FT_Y5)/12)+FT_Int2*(INT(MOD(AQ191-FT_Y5,12)/FT_Int2)+1))),IF(AY191="PT",IF(AQ191&lt;PT_First,PT_First,PT_First+PT_Int*(INT((AQ191-PT_First)/PT_Int)+1)),"")))</f>
        <v/>
      </c>
      <c r="BF191" s="11" t="n">
        <f aca="false">IF(AO191=0,0,IF(AND($Q191&lt;&gt;"",$Q191&lt;=AsOfDate),1,0))</f>
        <v>0</v>
      </c>
      <c r="BG191" s="11" t="str">
        <f aca="false">IF(AND(AO191=1,BF191=0,EH_Ready,N(AB191)&gt;0,N(AI191)=0),COUNT($BG$5:BG190)+1,"")</f>
        <v/>
      </c>
      <c r="BH191" s="11" t="str">
        <f aca="false">IF(AND(AO191=1,BF191=0,EH_Ready,N(AB191)&gt;0,N(AI191)&gt;0,N(AK191)&gt;0),COUNT($BH$5:BH190)+1,"")</f>
        <v/>
      </c>
      <c r="BI191" s="11" t="str">
        <f aca="false">IF(AND(AO191=1,OR(LEFT(AM191,3)="ADD",LEFT(AM191,3)="SET",LEFT(AM191,5)="CHECK",LEFT(AM191,10)="TERMINATED")),COUNT($BI$5:BI190)+1,"")</f>
        <v/>
      </c>
      <c r="BJ191" s="11" t="str">
        <f aca="false">IF(AO191=0,"",$A191&amp;" - "&amp;$B191&amp;" "&amp;$C191)</f>
        <v/>
      </c>
    </row>
    <row r="192" customFormat="false" ht="15" hidden="false" customHeight="false" outlineLevel="0" collapsed="false">
      <c r="A192" s="10"/>
      <c r="B192" s="10"/>
      <c r="C192" s="10"/>
      <c r="D192" s="10"/>
      <c r="E192" s="9"/>
      <c r="F192" s="10"/>
      <c r="G192" s="30"/>
      <c r="H192" s="9"/>
      <c r="I192" s="10"/>
      <c r="J192" s="30"/>
      <c r="K192" s="9"/>
      <c r="L192" s="10"/>
      <c r="M192" s="30"/>
      <c r="N192" s="9"/>
      <c r="O192" s="9"/>
      <c r="P192" s="30"/>
      <c r="Q192" s="9"/>
      <c r="R192" s="10"/>
      <c r="S192" s="11" t="str">
        <f aca="false">IF(AO192=0,"",IF($H192="","",$F192&amp;" -&gt; "&amp;$I192&amp;IF($I192="Part-Time"," ("&amp;N($J192)&amp;" hrs)","")&amp;" on "&amp;TEXT($H192,"dd/mm/yyyy")&amp;IF($H192&gt;AsOfDate," (FUTURE)","")&amp;IF($K192="","","; "&amp;$I192&amp;" -&gt; "&amp;$L192&amp;IF($L192="Part-Time"," ("&amp;N($M192)&amp;" hrs)","")&amp;" on "&amp;TEXT($K192,"dd/mm/yyyy")&amp;IF($K192&gt;AsOfDate," (FUTURE)",""))))</f>
        <v/>
      </c>
      <c r="T192" s="11" t="str">
        <f aca="false">IF(AO192=0,"",IF(AS192&lt;&gt;"",$L192,IF(AR192&lt;&gt;"",$I192,$F192)))</f>
        <v/>
      </c>
      <c r="U192" s="26" t="str">
        <f aca="false">IF(AO192=0,"",IF(AS192&lt;&gt;"",$M192,IF(AR192&lt;&gt;"",$J192,$G192)))</f>
        <v/>
      </c>
      <c r="V192" s="11" t="str">
        <f aca="false">IF(AO192=0,"",IF(AY192="FT","Full-Time",IF(AY192="PT","Part-Time","Not eligible")))</f>
        <v/>
      </c>
      <c r="W192" s="27" t="str">
        <f aca="false">IF(AO192=0,"",IF(AR192="",IF(AND($H192&lt;&gt;"",$H192&gt;AsOfDate),"Future change - not yet applied",""),IF(AND(AV192=AY192,OR(AS192="",AW192=AV192)),"Type changed - same accrual pathway",IF(AY192="None","STOPPED accruing from "&amp;TEXT(IF(AS192&lt;&gt;"",AS192,AR192),"dd/mm/yyyy"),IF(AV192="None","STARTED qualifying from "&amp;TEXT(IF(AS192&lt;&gt;"",AS192,AR192),"dd/mm/yyyy"),"Pathway changed "&amp;AV192&amp;" -&gt; "&amp;AW192&amp;IF(AS192&lt;&gt;""," -&gt; "&amp;AX192,"")&amp;" from "&amp;TEXT(IF(AS192&lt;&gt;"",AS192,AR192),"dd/mm/yyyy"))))))</f>
        <v/>
      </c>
      <c r="X192" s="28" t="str">
        <f aca="false">IF(AO192=0,"",IF($Q192="",AsOfDate,MIN(AsOfDate,$Q192)))</f>
        <v/>
      </c>
      <c r="Y192" s="26" t="str">
        <f aca="false">IF(AO192=0,"",MAX(0,AQ192))</f>
        <v/>
      </c>
      <c r="Z192" s="11" t="str">
        <f aca="false">IF(AO192=0,"",IF(AQ192&lt;0,"Not started",INT(AQ192/12)&amp;"y "&amp;MOD(AQ192,12)&amp;"m"))</f>
        <v/>
      </c>
      <c r="AA192" s="27" t="str">
        <f aca="false">IF(AO192=0,"",IF(BF192=1,"Terminated - balance forfeited",IF(AY192="None",IF(AB192&gt;0,"No longer accruing - "&amp;T192,"Not eligible - "&amp;T192&amp;IF(AND(IFERROR(VLOOKUP(T192,TypeTable,2,0),"None")="PT",N(U192)&lt;PT_MinHours)," (under "&amp;PT_MinHours&amp;" hrs)","")),IF(AB192&gt;0,"Yes - accruing","Not yet - qualifies "&amp;TEXT(AD192,"dd/mm/yyyy")))))</f>
        <v/>
      </c>
      <c r="AB192" s="26" t="str">
        <f aca="false">IF(AO192=0,"",AZ192+IF(AR192="",0,BB192-BA192)+IF(AS192="",0,BD192-BC192))</f>
        <v/>
      </c>
      <c r="AC192" s="26" t="str">
        <f aca="false">IF(AO192=0,"",AB192*HoursPerDay)</f>
        <v/>
      </c>
      <c r="AD192" s="28" t="str">
        <f aca="false">IF(AO192=0,"",IF(OR(BF192=1,AY192="None"),"",EDATE($E192+AP192,BE192)))</f>
        <v/>
      </c>
      <c r="AE192" s="26" t="str">
        <f aca="false">IF(AD192="","",IF(AY192="PT",1,IF(BE192&lt;FT_Y5,1,IF(MOD(BE192-FT_Y5,12)=0,FT_AnnivDays,1))))</f>
        <v/>
      </c>
      <c r="AF192" s="27" t="str">
        <f aca="false">IF(AO192=0,"",IF(NOT(EH_Ready),"Map headers",IF(IF(MatchMode="Employee ID",COUNTIFS(INDEX(EH_Data,0,EH_ColID),$A192,INDEX(EH_Data,0,EH_ColCat),BonusCat),COUNTIFS(INDEX(EH_Data,0,EH_ColFirst),$B192,INDEX(EH_Data,0,EH_ColSur),$C192,INDEX(EH_Data,0,EH_ColCat),BonusCat))&gt;0,"Yes","No")))</f>
        <v/>
      </c>
      <c r="AG192" s="26" t="str">
        <f aca="false">IF(AO192=0,"",IF(NOT(EH_Ready),"",IF(MatchMode="Employee ID",SUMIFS(INDEX(EH_Data,0,EH_ColBal),INDEX(EH_Data,0,EH_ColID),$A192,INDEX(EH_Data,0,EH_ColCat),BonusCat),SUMIFS(INDEX(EH_Data,0,EH_ColBal),INDEX(EH_Data,0,EH_ColFirst),$B192,INDEX(EH_Data,0,EH_ColSur),$C192,INDEX(EH_Data,0,EH_ColCat),BonusCat))/IF(EHUnit="Hours",HoursPerDay,1)))</f>
        <v/>
      </c>
      <c r="AH192" s="26" t="str">
        <f aca="false">IF(AO192=0,"",IF(NOT(TK_Ready),0,IF(MatchMode="Employee ID",SUMIFS(INDEX(TK_Data,0,TK_ColAmt),INDEX(TK_Data,0,TK_ColID),$A192,INDEX(TK_Data,0,TK_ColCat),BonusCat),SUMIFS(INDEX(TK_Data,0,TK_ColAmt),INDEX(TK_Data,0,TK_ColFirst),$B192,INDEX(TK_Data,0,TK_ColSur),$C192,INDEX(TK_Data,0,TK_ColCat),BonusCat))/IF(TKUnit="Hours",HoursPerDay,1)))</f>
        <v/>
      </c>
      <c r="AI192" s="26" t="str">
        <f aca="false">IF(AO192=0,"",N(AG192)+N(AH192))</f>
        <v/>
      </c>
      <c r="AJ192" s="29" t="str">
        <f aca="false">IF(AO192=0,"",IF(NOT(AND(EH_Ready,EH_ValReady)),"",IF(MatchMode="Employee ID",SUMIFS(INDEX(EH_Data,0,EH_ColVal),INDEX(EH_Data,0,EH_ColID),$A192,INDEX(EH_Data,0,EH_ColCat),BonusCat),SUMIFS(INDEX(EH_Data,0,EH_ColVal),INDEX(EH_Data,0,EH_ColFirst),$B192,INDEX(EH_Data,0,EH_ColSur),$C192,INDEX(EH_Data,0,EH_ColCat),BonusCat))))</f>
        <v/>
      </c>
      <c r="AK192" s="26" t="str">
        <f aca="false">IF(AO192=0,"",IF(OR(NOT(EH_Ready),BF192=1),"",AB192-AI192))</f>
        <v/>
      </c>
      <c r="AL192" s="26" t="str">
        <f aca="false">IF(AK192="","",AK192*HoursPerDay)</f>
        <v/>
      </c>
      <c r="AM192" s="27" t="str">
        <f aca="false">IF(AO192=0,"",IF(BF192=1,IF(N(AG192)&gt;0,"TERMINATED - forfeit "&amp;TEXT(AG192,"0.##")&amp;" days still in EH","Terminated - nothing in EH"),IF(NOT(EH_Ready),"Paste EH export and map headers on Settings",IF(AND(AB192&gt;0,AF192="No"),"SET UP in EH - add "&amp;TEXT(AB192,"0.##")&amp;" day(s) ("&amp;TEXT(AC192,"0.##")&amp;" hrs)",IF(AK192&gt;0,"ADD "&amp;TEXT(AK192,"0.##")&amp;" day(s) ("&amp;TEXT(AL192,"0.##")&amp;" hrs) in EH",IF(AK192&lt;0,"CHECK - EH shows "&amp;TEXT(-AK192,"0.##")&amp;" days more than policy",IF(AB192&gt;0,"OK - up to date",IF(AY192="None","No action - not eligible","No action - not yet qualified"))))))))</f>
        <v/>
      </c>
      <c r="AN192" s="27" t="str">
        <f aca="false">IF(AO192=0,"",TRIM(IF(AND($K192&lt;&gt;"",$H192=""),"Change 2 entered without Change 1. ","")&amp;IF(AND($K192&lt;&gt;"",$H192&lt;&gt;"",$K192&lt;=$H192),"Change 2 date not after Change 1. ","")&amp;IF(AND($N192&lt;&gt;"",$O192&lt;&gt;"",$O192&lt;$N192),"Leave To is before Leave From. ","")&amp;IF(AND($N192&lt;&gt;"",$O192=""),"Leave From entered without Leave To. ","")&amp;IF(AND(IFERROR(VLOOKUP(T192,TypeTable,2,0),"None")="PT",U192=""),"Part-time with no hours entered. ","")&amp;IF(AND($H192&lt;&gt;"",$H192&gt;AsOfDate,AD192&lt;&gt;"",$H192&lt;=AD192),"Status change lands before next accrual - review. ","")&amp;IF(AND($Q192&lt;&gt;"",$Q192&lt;$E192),"Termination before commencement. ","")))</f>
        <v/>
      </c>
      <c r="AO192" s="11" t="n">
        <f aca="false">IF(LEN($A192&amp;$B192&amp;$C192)=0,0,IF($E192="",0,1))</f>
        <v>0</v>
      </c>
      <c r="AP192" s="11" t="str">
        <f aca="false">IF(AO192=0,"",(IF(OR($N192="",$O192=""),0,MAX(0,MIN(X192,$O192)-MAX($N192,$E192)+1))+N($P192)))</f>
        <v/>
      </c>
      <c r="AQ192" s="11" t="str">
        <f aca="false">IF(AO192=0,"",IF(X192&lt;($E192+(IF(OR($N192="",$O192=""),0,MAX(0,MIN(X192,$O192)-MAX($N192,$E192)+1))+N($P192))),-1,12*(YEAR(X192)-YEAR(($E192+(IF(OR($N192="",$O192=""),0,MAX(0,MIN(X192,$O192)-MAX($N192,$E192)+1))+N($P192)))))+MONTH(X192)-MONTH(($E192+(IF(OR($N192="",$O192=""),0,MAX(0,MIN(X192,$O192)-MAX($N192,$E192)+1))+N($P192))))-IF(DAY(X192)&lt;MIN(DAY(($E192+(IF(OR($N192="",$O192=""),0,MAX(0,MIN(X192,$O192)-MAX($N192,$E192)+1))+N($P192)))),DAY(EOMONTH(X192,0))),1,0)))</f>
        <v/>
      </c>
      <c r="AR192" s="28" t="str">
        <f aca="false">IF(AO192=0,"",IF($H192="","",IF($H192&gt;X192,"",$H192)))</f>
        <v/>
      </c>
      <c r="AS192" s="28" t="str">
        <f aca="false">IF(AO192=0,"",IF(AR192="","",IF($K192="","",IF($K192&gt;X192,"",$K192))))</f>
        <v/>
      </c>
      <c r="AT192" s="11" t="str">
        <f aca="false">IF(AO192=0,"",IF(AR192="",AQ192,IF((AR192-1)&lt;($E192+(IF(OR($N192="",$O192=""),0,MAX(0,MIN((AR192-1),$O192)-MAX($N192,$E192)+1))+N($P192))),-1,12*(YEAR((AR192-1))-YEAR(($E192+(IF(OR($N192="",$O192=""),0,MAX(0,MIN((AR192-1),$O192)-MAX($N192,$E192)+1))+N($P192)))))+MONTH((AR192-1))-MONTH(($E192+(IF(OR($N192="",$O192=""),0,MAX(0,MIN((AR192-1),$O192)-MAX($N192,$E192)+1))+N($P192))))-IF(DAY((AR192-1))&lt;MIN(DAY(($E192+(IF(OR($N192="",$O192=""),0,MAX(0,MIN((AR192-1),$O192)-MAX($N192,$E192)+1))+N($P192)))),DAY(EOMONTH((AR192-1),0))),1,0))))</f>
        <v/>
      </c>
      <c r="AU192" s="11" t="str">
        <f aca="false">IF(AO192=0,"",IF(AS192="",AQ192,IF((AS192-1)&lt;($E192+(IF(OR($N192="",$O192=""),0,MAX(0,MIN((AS192-1),$O192)-MAX($N192,$E192)+1))+N($P192))),-1,12*(YEAR((AS192-1))-YEAR(($E192+(IF(OR($N192="",$O192=""),0,MAX(0,MIN((AS192-1),$O192)-MAX($N192,$E192)+1))+N($P192)))))+MONTH((AS192-1))-MONTH(($E192+(IF(OR($N192="",$O192=""),0,MAX(0,MIN((AS192-1),$O192)-MAX($N192,$E192)+1))+N($P192))))-IF(DAY((AS192-1))&lt;MIN(DAY(($E192+(IF(OR($N192="",$O192=""),0,MAX(0,MIN((AS192-1),$O192)-MAX($N192,$E192)+1))+N($P192)))),DAY(EOMONTH((AS192-1),0))),1,0))))</f>
        <v/>
      </c>
      <c r="AV192" s="11" t="str">
        <f aca="false">IF(AO192=0,"",IF($F192="","None",IF(IFERROR(VLOOKUP($F192,TypeTable,2,0),"None")="PT",IF(N($G192)&gt;=PT_MinHours,"PT","None"),IFERROR(VLOOKUP($F192,TypeTable,2,0),"None"))))</f>
        <v/>
      </c>
      <c r="AW192" s="11" t="str">
        <f aca="false">IF(AO192=0,"",IF($I192="","None",IF(IFERROR(VLOOKUP($I192,TypeTable,2,0),"None")="PT",IF(N($J192)&gt;=PT_MinHours,"PT","None"),IFERROR(VLOOKUP($I192,TypeTable,2,0),"None"))))</f>
        <v/>
      </c>
      <c r="AX192" s="11" t="str">
        <f aca="false">IF(AO192=0,"",IF($L192="","None",IF(IFERROR(VLOOKUP($L192,TypeTable,2,0),"None")="PT",IF(N($M192)&gt;=PT_MinHours,"PT","None"),IFERROR(VLOOKUP($L192,TypeTable,2,0),"None"))))</f>
        <v/>
      </c>
      <c r="AY192" s="11" t="str">
        <f aca="false">IF(AO192=0,"",IF(AS192&lt;&gt;"",AX192,IF(AR192&lt;&gt;"",AW192,AV192)))</f>
        <v/>
      </c>
      <c r="AZ192" s="11" t="str">
        <f aca="false">IF(AO192=0,"",IF(AV192="FT",IF(AT192&lt;FT_First,0,IF(AT192&lt;FT_Y5,1+INT((AT192-FT_First)/FT_Int1),FT_PreY5+FT_PerYear*INT((AT192-FT_Y5)/12)+FT_AnnivDays+INT(MOD(AT192-FT_Y5,12)/FT_Int2))),IF(AV192="PT",IF(AT192&lt;PT_First,0,1+INT((AT192-PT_First)/PT_Int)),0)))</f>
        <v/>
      </c>
      <c r="BA192" s="11" t="str">
        <f aca="false">IF(AO192=0,"",IF(AW192="FT",IF(AT192&lt;FT_First,0,IF(AT192&lt;FT_Y5,1+INT((AT192-FT_First)/FT_Int1),FT_PreY5+FT_PerYear*INT((AT192-FT_Y5)/12)+FT_AnnivDays+INT(MOD(AT192-FT_Y5,12)/FT_Int2))),IF(AW192="PT",IF(AT192&lt;PT_First,0,1+INT((AT192-PT_First)/PT_Int)),0)))</f>
        <v/>
      </c>
      <c r="BB192" s="11" t="str">
        <f aca="false">IF(AO192=0,"",IF(AW192="FT",IF(AU192&lt;FT_First,0,IF(AU192&lt;FT_Y5,1+INT((AU192-FT_First)/FT_Int1),FT_PreY5+FT_PerYear*INT((AU192-FT_Y5)/12)+FT_AnnivDays+INT(MOD(AU192-FT_Y5,12)/FT_Int2))),IF(AW192="PT",IF(AU192&lt;PT_First,0,1+INT((AU192-PT_First)/PT_Int)),0)))</f>
        <v/>
      </c>
      <c r="BC192" s="11" t="str">
        <f aca="false">IF(AO192=0,"",IF(AX192="FT",IF(AU192&lt;FT_First,0,IF(AU192&lt;FT_Y5,1+INT((AU192-FT_First)/FT_Int1),FT_PreY5+FT_PerYear*INT((AU192-FT_Y5)/12)+FT_AnnivDays+INT(MOD(AU192-FT_Y5,12)/FT_Int2))),IF(AX192="PT",IF(AU192&lt;PT_First,0,1+INT((AU192-PT_First)/PT_Int)),0)))</f>
        <v/>
      </c>
      <c r="BD192" s="11" t="str">
        <f aca="false">IF(AO192=0,"",IF(AX192="FT",IF(AQ192&lt;FT_First,0,IF(AQ192&lt;FT_Y5,1+INT((AQ192-FT_First)/FT_Int1),FT_PreY5+FT_PerYear*INT((AQ192-FT_Y5)/12)+FT_AnnivDays+INT(MOD(AQ192-FT_Y5,12)/FT_Int2))),IF(AX192="PT",IF(AQ192&lt;PT_First,0,1+INT((AQ192-PT_First)/PT_Int)),0)))</f>
        <v/>
      </c>
      <c r="BE192" s="11" t="str">
        <f aca="false">IF(AO192=0,"",IF(AY192="FT",IF(AQ192&lt;FT_First,FT_First,IF(AQ192&lt;FT_Y5,MIN(FT_Y5,FT_First+FT_Int1*(INT((AQ192-FT_First)/FT_Int1)+1)),FT_Y5+12*INT((AQ192-FT_Y5)/12)+FT_Int2*(INT(MOD(AQ192-FT_Y5,12)/FT_Int2)+1))),IF(AY192="PT",IF(AQ192&lt;PT_First,PT_First,PT_First+PT_Int*(INT((AQ192-PT_First)/PT_Int)+1)),"")))</f>
        <v/>
      </c>
      <c r="BF192" s="11" t="n">
        <f aca="false">IF(AO192=0,0,IF(AND($Q192&lt;&gt;"",$Q192&lt;=AsOfDate),1,0))</f>
        <v>0</v>
      </c>
      <c r="BG192" s="11" t="str">
        <f aca="false">IF(AND(AO192=1,BF192=0,EH_Ready,N(AB192)&gt;0,N(AI192)=0),COUNT($BG$5:BG191)+1,"")</f>
        <v/>
      </c>
      <c r="BH192" s="11" t="str">
        <f aca="false">IF(AND(AO192=1,BF192=0,EH_Ready,N(AB192)&gt;0,N(AI192)&gt;0,N(AK192)&gt;0),COUNT($BH$5:BH191)+1,"")</f>
        <v/>
      </c>
      <c r="BI192" s="11" t="str">
        <f aca="false">IF(AND(AO192=1,OR(LEFT(AM192,3)="ADD",LEFT(AM192,3)="SET",LEFT(AM192,5)="CHECK",LEFT(AM192,10)="TERMINATED")),COUNT($BI$5:BI191)+1,"")</f>
        <v/>
      </c>
      <c r="BJ192" s="11" t="str">
        <f aca="false">IF(AO192=0,"",$A192&amp;" - "&amp;$B192&amp;" "&amp;$C192)</f>
        <v/>
      </c>
    </row>
    <row r="193" customFormat="false" ht="15" hidden="false" customHeight="false" outlineLevel="0" collapsed="false">
      <c r="A193" s="10"/>
      <c r="B193" s="10"/>
      <c r="C193" s="10"/>
      <c r="D193" s="10"/>
      <c r="E193" s="9"/>
      <c r="F193" s="10"/>
      <c r="G193" s="30"/>
      <c r="H193" s="9"/>
      <c r="I193" s="10"/>
      <c r="J193" s="30"/>
      <c r="K193" s="9"/>
      <c r="L193" s="10"/>
      <c r="M193" s="30"/>
      <c r="N193" s="9"/>
      <c r="O193" s="9"/>
      <c r="P193" s="30"/>
      <c r="Q193" s="9"/>
      <c r="R193" s="10"/>
      <c r="S193" s="11" t="str">
        <f aca="false">IF(AO193=0,"",IF($H193="","",$F193&amp;" -&gt; "&amp;$I193&amp;IF($I193="Part-Time"," ("&amp;N($J193)&amp;" hrs)","")&amp;" on "&amp;TEXT($H193,"dd/mm/yyyy")&amp;IF($H193&gt;AsOfDate," (FUTURE)","")&amp;IF($K193="","","; "&amp;$I193&amp;" -&gt; "&amp;$L193&amp;IF($L193="Part-Time"," ("&amp;N($M193)&amp;" hrs)","")&amp;" on "&amp;TEXT($K193,"dd/mm/yyyy")&amp;IF($K193&gt;AsOfDate," (FUTURE)",""))))</f>
        <v/>
      </c>
      <c r="T193" s="11" t="str">
        <f aca="false">IF(AO193=0,"",IF(AS193&lt;&gt;"",$L193,IF(AR193&lt;&gt;"",$I193,$F193)))</f>
        <v/>
      </c>
      <c r="U193" s="26" t="str">
        <f aca="false">IF(AO193=0,"",IF(AS193&lt;&gt;"",$M193,IF(AR193&lt;&gt;"",$J193,$G193)))</f>
        <v/>
      </c>
      <c r="V193" s="11" t="str">
        <f aca="false">IF(AO193=0,"",IF(AY193="FT","Full-Time",IF(AY193="PT","Part-Time","Not eligible")))</f>
        <v/>
      </c>
      <c r="W193" s="27" t="str">
        <f aca="false">IF(AO193=0,"",IF(AR193="",IF(AND($H193&lt;&gt;"",$H193&gt;AsOfDate),"Future change - not yet applied",""),IF(AND(AV193=AY193,OR(AS193="",AW193=AV193)),"Type changed - same accrual pathway",IF(AY193="None","STOPPED accruing from "&amp;TEXT(IF(AS193&lt;&gt;"",AS193,AR193),"dd/mm/yyyy"),IF(AV193="None","STARTED qualifying from "&amp;TEXT(IF(AS193&lt;&gt;"",AS193,AR193),"dd/mm/yyyy"),"Pathway changed "&amp;AV193&amp;" -&gt; "&amp;AW193&amp;IF(AS193&lt;&gt;""," -&gt; "&amp;AX193,"")&amp;" from "&amp;TEXT(IF(AS193&lt;&gt;"",AS193,AR193),"dd/mm/yyyy"))))))</f>
        <v/>
      </c>
      <c r="X193" s="28" t="str">
        <f aca="false">IF(AO193=0,"",IF($Q193="",AsOfDate,MIN(AsOfDate,$Q193)))</f>
        <v/>
      </c>
      <c r="Y193" s="26" t="str">
        <f aca="false">IF(AO193=0,"",MAX(0,AQ193))</f>
        <v/>
      </c>
      <c r="Z193" s="11" t="str">
        <f aca="false">IF(AO193=0,"",IF(AQ193&lt;0,"Not started",INT(AQ193/12)&amp;"y "&amp;MOD(AQ193,12)&amp;"m"))</f>
        <v/>
      </c>
      <c r="AA193" s="27" t="str">
        <f aca="false">IF(AO193=0,"",IF(BF193=1,"Terminated - balance forfeited",IF(AY193="None",IF(AB193&gt;0,"No longer accruing - "&amp;T193,"Not eligible - "&amp;T193&amp;IF(AND(IFERROR(VLOOKUP(T193,TypeTable,2,0),"None")="PT",N(U193)&lt;PT_MinHours)," (under "&amp;PT_MinHours&amp;" hrs)","")),IF(AB193&gt;0,"Yes - accruing","Not yet - qualifies "&amp;TEXT(AD193,"dd/mm/yyyy")))))</f>
        <v/>
      </c>
      <c r="AB193" s="26" t="str">
        <f aca="false">IF(AO193=0,"",AZ193+IF(AR193="",0,BB193-BA193)+IF(AS193="",0,BD193-BC193))</f>
        <v/>
      </c>
      <c r="AC193" s="26" t="str">
        <f aca="false">IF(AO193=0,"",AB193*HoursPerDay)</f>
        <v/>
      </c>
      <c r="AD193" s="28" t="str">
        <f aca="false">IF(AO193=0,"",IF(OR(BF193=1,AY193="None"),"",EDATE($E193+AP193,BE193)))</f>
        <v/>
      </c>
      <c r="AE193" s="26" t="str">
        <f aca="false">IF(AD193="","",IF(AY193="PT",1,IF(BE193&lt;FT_Y5,1,IF(MOD(BE193-FT_Y5,12)=0,FT_AnnivDays,1))))</f>
        <v/>
      </c>
      <c r="AF193" s="27" t="str">
        <f aca="false">IF(AO193=0,"",IF(NOT(EH_Ready),"Map headers",IF(IF(MatchMode="Employee ID",COUNTIFS(INDEX(EH_Data,0,EH_ColID),$A193,INDEX(EH_Data,0,EH_ColCat),BonusCat),COUNTIFS(INDEX(EH_Data,0,EH_ColFirst),$B193,INDEX(EH_Data,0,EH_ColSur),$C193,INDEX(EH_Data,0,EH_ColCat),BonusCat))&gt;0,"Yes","No")))</f>
        <v/>
      </c>
      <c r="AG193" s="26" t="str">
        <f aca="false">IF(AO193=0,"",IF(NOT(EH_Ready),"",IF(MatchMode="Employee ID",SUMIFS(INDEX(EH_Data,0,EH_ColBal),INDEX(EH_Data,0,EH_ColID),$A193,INDEX(EH_Data,0,EH_ColCat),BonusCat),SUMIFS(INDEX(EH_Data,0,EH_ColBal),INDEX(EH_Data,0,EH_ColFirst),$B193,INDEX(EH_Data,0,EH_ColSur),$C193,INDEX(EH_Data,0,EH_ColCat),BonusCat))/IF(EHUnit="Hours",HoursPerDay,1)))</f>
        <v/>
      </c>
      <c r="AH193" s="26" t="str">
        <f aca="false">IF(AO193=0,"",IF(NOT(TK_Ready),0,IF(MatchMode="Employee ID",SUMIFS(INDEX(TK_Data,0,TK_ColAmt),INDEX(TK_Data,0,TK_ColID),$A193,INDEX(TK_Data,0,TK_ColCat),BonusCat),SUMIFS(INDEX(TK_Data,0,TK_ColAmt),INDEX(TK_Data,0,TK_ColFirst),$B193,INDEX(TK_Data,0,TK_ColSur),$C193,INDEX(TK_Data,0,TK_ColCat),BonusCat))/IF(TKUnit="Hours",HoursPerDay,1)))</f>
        <v/>
      </c>
      <c r="AI193" s="26" t="str">
        <f aca="false">IF(AO193=0,"",N(AG193)+N(AH193))</f>
        <v/>
      </c>
      <c r="AJ193" s="29" t="str">
        <f aca="false">IF(AO193=0,"",IF(NOT(AND(EH_Ready,EH_ValReady)),"",IF(MatchMode="Employee ID",SUMIFS(INDEX(EH_Data,0,EH_ColVal),INDEX(EH_Data,0,EH_ColID),$A193,INDEX(EH_Data,0,EH_ColCat),BonusCat),SUMIFS(INDEX(EH_Data,0,EH_ColVal),INDEX(EH_Data,0,EH_ColFirst),$B193,INDEX(EH_Data,0,EH_ColSur),$C193,INDEX(EH_Data,0,EH_ColCat),BonusCat))))</f>
        <v/>
      </c>
      <c r="AK193" s="26" t="str">
        <f aca="false">IF(AO193=0,"",IF(OR(NOT(EH_Ready),BF193=1),"",AB193-AI193))</f>
        <v/>
      </c>
      <c r="AL193" s="26" t="str">
        <f aca="false">IF(AK193="","",AK193*HoursPerDay)</f>
        <v/>
      </c>
      <c r="AM193" s="27" t="str">
        <f aca="false">IF(AO193=0,"",IF(BF193=1,IF(N(AG193)&gt;0,"TERMINATED - forfeit "&amp;TEXT(AG193,"0.##")&amp;" days still in EH","Terminated - nothing in EH"),IF(NOT(EH_Ready),"Paste EH export and map headers on Settings",IF(AND(AB193&gt;0,AF193="No"),"SET UP in EH - add "&amp;TEXT(AB193,"0.##")&amp;" day(s) ("&amp;TEXT(AC193,"0.##")&amp;" hrs)",IF(AK193&gt;0,"ADD "&amp;TEXT(AK193,"0.##")&amp;" day(s) ("&amp;TEXT(AL193,"0.##")&amp;" hrs) in EH",IF(AK193&lt;0,"CHECK - EH shows "&amp;TEXT(-AK193,"0.##")&amp;" days more than policy",IF(AB193&gt;0,"OK - up to date",IF(AY193="None","No action - not eligible","No action - not yet qualified"))))))))</f>
        <v/>
      </c>
      <c r="AN193" s="27" t="str">
        <f aca="false">IF(AO193=0,"",TRIM(IF(AND($K193&lt;&gt;"",$H193=""),"Change 2 entered without Change 1. ","")&amp;IF(AND($K193&lt;&gt;"",$H193&lt;&gt;"",$K193&lt;=$H193),"Change 2 date not after Change 1. ","")&amp;IF(AND($N193&lt;&gt;"",$O193&lt;&gt;"",$O193&lt;$N193),"Leave To is before Leave From. ","")&amp;IF(AND($N193&lt;&gt;"",$O193=""),"Leave From entered without Leave To. ","")&amp;IF(AND(IFERROR(VLOOKUP(T193,TypeTable,2,0),"None")="PT",U193=""),"Part-time with no hours entered. ","")&amp;IF(AND($H193&lt;&gt;"",$H193&gt;AsOfDate,AD193&lt;&gt;"",$H193&lt;=AD193),"Status change lands before next accrual - review. ","")&amp;IF(AND($Q193&lt;&gt;"",$Q193&lt;$E193),"Termination before commencement. ","")))</f>
        <v/>
      </c>
      <c r="AO193" s="11" t="n">
        <f aca="false">IF(LEN($A193&amp;$B193&amp;$C193)=0,0,IF($E193="",0,1))</f>
        <v>0</v>
      </c>
      <c r="AP193" s="11" t="str">
        <f aca="false">IF(AO193=0,"",(IF(OR($N193="",$O193=""),0,MAX(0,MIN(X193,$O193)-MAX($N193,$E193)+1))+N($P193)))</f>
        <v/>
      </c>
      <c r="AQ193" s="11" t="str">
        <f aca="false">IF(AO193=0,"",IF(X193&lt;($E193+(IF(OR($N193="",$O193=""),0,MAX(0,MIN(X193,$O193)-MAX($N193,$E193)+1))+N($P193))),-1,12*(YEAR(X193)-YEAR(($E193+(IF(OR($N193="",$O193=""),0,MAX(0,MIN(X193,$O193)-MAX($N193,$E193)+1))+N($P193)))))+MONTH(X193)-MONTH(($E193+(IF(OR($N193="",$O193=""),0,MAX(0,MIN(X193,$O193)-MAX($N193,$E193)+1))+N($P193))))-IF(DAY(X193)&lt;MIN(DAY(($E193+(IF(OR($N193="",$O193=""),0,MAX(0,MIN(X193,$O193)-MAX($N193,$E193)+1))+N($P193)))),DAY(EOMONTH(X193,0))),1,0)))</f>
        <v/>
      </c>
      <c r="AR193" s="28" t="str">
        <f aca="false">IF(AO193=0,"",IF($H193="","",IF($H193&gt;X193,"",$H193)))</f>
        <v/>
      </c>
      <c r="AS193" s="28" t="str">
        <f aca="false">IF(AO193=0,"",IF(AR193="","",IF($K193="","",IF($K193&gt;X193,"",$K193))))</f>
        <v/>
      </c>
      <c r="AT193" s="11" t="str">
        <f aca="false">IF(AO193=0,"",IF(AR193="",AQ193,IF((AR193-1)&lt;($E193+(IF(OR($N193="",$O193=""),0,MAX(0,MIN((AR193-1),$O193)-MAX($N193,$E193)+1))+N($P193))),-1,12*(YEAR((AR193-1))-YEAR(($E193+(IF(OR($N193="",$O193=""),0,MAX(0,MIN((AR193-1),$O193)-MAX($N193,$E193)+1))+N($P193)))))+MONTH((AR193-1))-MONTH(($E193+(IF(OR($N193="",$O193=""),0,MAX(0,MIN((AR193-1),$O193)-MAX($N193,$E193)+1))+N($P193))))-IF(DAY((AR193-1))&lt;MIN(DAY(($E193+(IF(OR($N193="",$O193=""),0,MAX(0,MIN((AR193-1),$O193)-MAX($N193,$E193)+1))+N($P193)))),DAY(EOMONTH((AR193-1),0))),1,0))))</f>
        <v/>
      </c>
      <c r="AU193" s="11" t="str">
        <f aca="false">IF(AO193=0,"",IF(AS193="",AQ193,IF((AS193-1)&lt;($E193+(IF(OR($N193="",$O193=""),0,MAX(0,MIN((AS193-1),$O193)-MAX($N193,$E193)+1))+N($P193))),-1,12*(YEAR((AS193-1))-YEAR(($E193+(IF(OR($N193="",$O193=""),0,MAX(0,MIN((AS193-1),$O193)-MAX($N193,$E193)+1))+N($P193)))))+MONTH((AS193-1))-MONTH(($E193+(IF(OR($N193="",$O193=""),0,MAX(0,MIN((AS193-1),$O193)-MAX($N193,$E193)+1))+N($P193))))-IF(DAY((AS193-1))&lt;MIN(DAY(($E193+(IF(OR($N193="",$O193=""),0,MAX(0,MIN((AS193-1),$O193)-MAX($N193,$E193)+1))+N($P193)))),DAY(EOMONTH((AS193-1),0))),1,0))))</f>
        <v/>
      </c>
      <c r="AV193" s="11" t="str">
        <f aca="false">IF(AO193=0,"",IF($F193="","None",IF(IFERROR(VLOOKUP($F193,TypeTable,2,0),"None")="PT",IF(N($G193)&gt;=PT_MinHours,"PT","None"),IFERROR(VLOOKUP($F193,TypeTable,2,0),"None"))))</f>
        <v/>
      </c>
      <c r="AW193" s="11" t="str">
        <f aca="false">IF(AO193=0,"",IF($I193="","None",IF(IFERROR(VLOOKUP($I193,TypeTable,2,0),"None")="PT",IF(N($J193)&gt;=PT_MinHours,"PT","None"),IFERROR(VLOOKUP($I193,TypeTable,2,0),"None"))))</f>
        <v/>
      </c>
      <c r="AX193" s="11" t="str">
        <f aca="false">IF(AO193=0,"",IF($L193="","None",IF(IFERROR(VLOOKUP($L193,TypeTable,2,0),"None")="PT",IF(N($M193)&gt;=PT_MinHours,"PT","None"),IFERROR(VLOOKUP($L193,TypeTable,2,0),"None"))))</f>
        <v/>
      </c>
      <c r="AY193" s="11" t="str">
        <f aca="false">IF(AO193=0,"",IF(AS193&lt;&gt;"",AX193,IF(AR193&lt;&gt;"",AW193,AV193)))</f>
        <v/>
      </c>
      <c r="AZ193" s="11" t="str">
        <f aca="false">IF(AO193=0,"",IF(AV193="FT",IF(AT193&lt;FT_First,0,IF(AT193&lt;FT_Y5,1+INT((AT193-FT_First)/FT_Int1),FT_PreY5+FT_PerYear*INT((AT193-FT_Y5)/12)+FT_AnnivDays+INT(MOD(AT193-FT_Y5,12)/FT_Int2))),IF(AV193="PT",IF(AT193&lt;PT_First,0,1+INT((AT193-PT_First)/PT_Int)),0)))</f>
        <v/>
      </c>
      <c r="BA193" s="11" t="str">
        <f aca="false">IF(AO193=0,"",IF(AW193="FT",IF(AT193&lt;FT_First,0,IF(AT193&lt;FT_Y5,1+INT((AT193-FT_First)/FT_Int1),FT_PreY5+FT_PerYear*INT((AT193-FT_Y5)/12)+FT_AnnivDays+INT(MOD(AT193-FT_Y5,12)/FT_Int2))),IF(AW193="PT",IF(AT193&lt;PT_First,0,1+INT((AT193-PT_First)/PT_Int)),0)))</f>
        <v/>
      </c>
      <c r="BB193" s="11" t="str">
        <f aca="false">IF(AO193=0,"",IF(AW193="FT",IF(AU193&lt;FT_First,0,IF(AU193&lt;FT_Y5,1+INT((AU193-FT_First)/FT_Int1),FT_PreY5+FT_PerYear*INT((AU193-FT_Y5)/12)+FT_AnnivDays+INT(MOD(AU193-FT_Y5,12)/FT_Int2))),IF(AW193="PT",IF(AU193&lt;PT_First,0,1+INT((AU193-PT_First)/PT_Int)),0)))</f>
        <v/>
      </c>
      <c r="BC193" s="11" t="str">
        <f aca="false">IF(AO193=0,"",IF(AX193="FT",IF(AU193&lt;FT_First,0,IF(AU193&lt;FT_Y5,1+INT((AU193-FT_First)/FT_Int1),FT_PreY5+FT_PerYear*INT((AU193-FT_Y5)/12)+FT_AnnivDays+INT(MOD(AU193-FT_Y5,12)/FT_Int2))),IF(AX193="PT",IF(AU193&lt;PT_First,0,1+INT((AU193-PT_First)/PT_Int)),0)))</f>
        <v/>
      </c>
      <c r="BD193" s="11" t="str">
        <f aca="false">IF(AO193=0,"",IF(AX193="FT",IF(AQ193&lt;FT_First,0,IF(AQ193&lt;FT_Y5,1+INT((AQ193-FT_First)/FT_Int1),FT_PreY5+FT_PerYear*INT((AQ193-FT_Y5)/12)+FT_AnnivDays+INT(MOD(AQ193-FT_Y5,12)/FT_Int2))),IF(AX193="PT",IF(AQ193&lt;PT_First,0,1+INT((AQ193-PT_First)/PT_Int)),0)))</f>
        <v/>
      </c>
      <c r="BE193" s="11" t="str">
        <f aca="false">IF(AO193=0,"",IF(AY193="FT",IF(AQ193&lt;FT_First,FT_First,IF(AQ193&lt;FT_Y5,MIN(FT_Y5,FT_First+FT_Int1*(INT((AQ193-FT_First)/FT_Int1)+1)),FT_Y5+12*INT((AQ193-FT_Y5)/12)+FT_Int2*(INT(MOD(AQ193-FT_Y5,12)/FT_Int2)+1))),IF(AY193="PT",IF(AQ193&lt;PT_First,PT_First,PT_First+PT_Int*(INT((AQ193-PT_First)/PT_Int)+1)),"")))</f>
        <v/>
      </c>
      <c r="BF193" s="11" t="n">
        <f aca="false">IF(AO193=0,0,IF(AND($Q193&lt;&gt;"",$Q193&lt;=AsOfDate),1,0))</f>
        <v>0</v>
      </c>
      <c r="BG193" s="11" t="str">
        <f aca="false">IF(AND(AO193=1,BF193=0,EH_Ready,N(AB193)&gt;0,N(AI193)=0),COUNT($BG$5:BG192)+1,"")</f>
        <v/>
      </c>
      <c r="BH193" s="11" t="str">
        <f aca="false">IF(AND(AO193=1,BF193=0,EH_Ready,N(AB193)&gt;0,N(AI193)&gt;0,N(AK193)&gt;0),COUNT($BH$5:BH192)+1,"")</f>
        <v/>
      </c>
      <c r="BI193" s="11" t="str">
        <f aca="false">IF(AND(AO193=1,OR(LEFT(AM193,3)="ADD",LEFT(AM193,3)="SET",LEFT(AM193,5)="CHECK",LEFT(AM193,10)="TERMINATED")),COUNT($BI$5:BI192)+1,"")</f>
        <v/>
      </c>
      <c r="BJ193" s="11" t="str">
        <f aca="false">IF(AO193=0,"",$A193&amp;" - "&amp;$B193&amp;" "&amp;$C193)</f>
        <v/>
      </c>
    </row>
    <row r="194" customFormat="false" ht="15" hidden="false" customHeight="false" outlineLevel="0" collapsed="false">
      <c r="A194" s="10"/>
      <c r="B194" s="10"/>
      <c r="C194" s="10"/>
      <c r="D194" s="10"/>
      <c r="E194" s="9"/>
      <c r="F194" s="10"/>
      <c r="G194" s="30"/>
      <c r="H194" s="9"/>
      <c r="I194" s="10"/>
      <c r="J194" s="30"/>
      <c r="K194" s="9"/>
      <c r="L194" s="10"/>
      <c r="M194" s="30"/>
      <c r="N194" s="9"/>
      <c r="O194" s="9"/>
      <c r="P194" s="30"/>
      <c r="Q194" s="9"/>
      <c r="R194" s="10"/>
      <c r="S194" s="11" t="str">
        <f aca="false">IF(AO194=0,"",IF($H194="","",$F194&amp;" -&gt; "&amp;$I194&amp;IF($I194="Part-Time"," ("&amp;N($J194)&amp;" hrs)","")&amp;" on "&amp;TEXT($H194,"dd/mm/yyyy")&amp;IF($H194&gt;AsOfDate," (FUTURE)","")&amp;IF($K194="","","; "&amp;$I194&amp;" -&gt; "&amp;$L194&amp;IF($L194="Part-Time"," ("&amp;N($M194)&amp;" hrs)","")&amp;" on "&amp;TEXT($K194,"dd/mm/yyyy")&amp;IF($K194&gt;AsOfDate," (FUTURE)",""))))</f>
        <v/>
      </c>
      <c r="T194" s="11" t="str">
        <f aca="false">IF(AO194=0,"",IF(AS194&lt;&gt;"",$L194,IF(AR194&lt;&gt;"",$I194,$F194)))</f>
        <v/>
      </c>
      <c r="U194" s="26" t="str">
        <f aca="false">IF(AO194=0,"",IF(AS194&lt;&gt;"",$M194,IF(AR194&lt;&gt;"",$J194,$G194)))</f>
        <v/>
      </c>
      <c r="V194" s="11" t="str">
        <f aca="false">IF(AO194=0,"",IF(AY194="FT","Full-Time",IF(AY194="PT","Part-Time","Not eligible")))</f>
        <v/>
      </c>
      <c r="W194" s="27" t="str">
        <f aca="false">IF(AO194=0,"",IF(AR194="",IF(AND($H194&lt;&gt;"",$H194&gt;AsOfDate),"Future change - not yet applied",""),IF(AND(AV194=AY194,OR(AS194="",AW194=AV194)),"Type changed - same accrual pathway",IF(AY194="None","STOPPED accruing from "&amp;TEXT(IF(AS194&lt;&gt;"",AS194,AR194),"dd/mm/yyyy"),IF(AV194="None","STARTED qualifying from "&amp;TEXT(IF(AS194&lt;&gt;"",AS194,AR194),"dd/mm/yyyy"),"Pathway changed "&amp;AV194&amp;" -&gt; "&amp;AW194&amp;IF(AS194&lt;&gt;""," -&gt; "&amp;AX194,"")&amp;" from "&amp;TEXT(IF(AS194&lt;&gt;"",AS194,AR194),"dd/mm/yyyy"))))))</f>
        <v/>
      </c>
      <c r="X194" s="28" t="str">
        <f aca="false">IF(AO194=0,"",IF($Q194="",AsOfDate,MIN(AsOfDate,$Q194)))</f>
        <v/>
      </c>
      <c r="Y194" s="26" t="str">
        <f aca="false">IF(AO194=0,"",MAX(0,AQ194))</f>
        <v/>
      </c>
      <c r="Z194" s="11" t="str">
        <f aca="false">IF(AO194=0,"",IF(AQ194&lt;0,"Not started",INT(AQ194/12)&amp;"y "&amp;MOD(AQ194,12)&amp;"m"))</f>
        <v/>
      </c>
      <c r="AA194" s="27" t="str">
        <f aca="false">IF(AO194=0,"",IF(BF194=1,"Terminated - balance forfeited",IF(AY194="None",IF(AB194&gt;0,"No longer accruing - "&amp;T194,"Not eligible - "&amp;T194&amp;IF(AND(IFERROR(VLOOKUP(T194,TypeTable,2,0),"None")="PT",N(U194)&lt;PT_MinHours)," (under "&amp;PT_MinHours&amp;" hrs)","")),IF(AB194&gt;0,"Yes - accruing","Not yet - qualifies "&amp;TEXT(AD194,"dd/mm/yyyy")))))</f>
        <v/>
      </c>
      <c r="AB194" s="26" t="str">
        <f aca="false">IF(AO194=0,"",AZ194+IF(AR194="",0,BB194-BA194)+IF(AS194="",0,BD194-BC194))</f>
        <v/>
      </c>
      <c r="AC194" s="26" t="str">
        <f aca="false">IF(AO194=0,"",AB194*HoursPerDay)</f>
        <v/>
      </c>
      <c r="AD194" s="28" t="str">
        <f aca="false">IF(AO194=0,"",IF(OR(BF194=1,AY194="None"),"",EDATE($E194+AP194,BE194)))</f>
        <v/>
      </c>
      <c r="AE194" s="26" t="str">
        <f aca="false">IF(AD194="","",IF(AY194="PT",1,IF(BE194&lt;FT_Y5,1,IF(MOD(BE194-FT_Y5,12)=0,FT_AnnivDays,1))))</f>
        <v/>
      </c>
      <c r="AF194" s="27" t="str">
        <f aca="false">IF(AO194=0,"",IF(NOT(EH_Ready),"Map headers",IF(IF(MatchMode="Employee ID",COUNTIFS(INDEX(EH_Data,0,EH_ColID),$A194,INDEX(EH_Data,0,EH_ColCat),BonusCat),COUNTIFS(INDEX(EH_Data,0,EH_ColFirst),$B194,INDEX(EH_Data,0,EH_ColSur),$C194,INDEX(EH_Data,0,EH_ColCat),BonusCat))&gt;0,"Yes","No")))</f>
        <v/>
      </c>
      <c r="AG194" s="26" t="str">
        <f aca="false">IF(AO194=0,"",IF(NOT(EH_Ready),"",IF(MatchMode="Employee ID",SUMIFS(INDEX(EH_Data,0,EH_ColBal),INDEX(EH_Data,0,EH_ColID),$A194,INDEX(EH_Data,0,EH_ColCat),BonusCat),SUMIFS(INDEX(EH_Data,0,EH_ColBal),INDEX(EH_Data,0,EH_ColFirst),$B194,INDEX(EH_Data,0,EH_ColSur),$C194,INDEX(EH_Data,0,EH_ColCat),BonusCat))/IF(EHUnit="Hours",HoursPerDay,1)))</f>
        <v/>
      </c>
      <c r="AH194" s="26" t="str">
        <f aca="false">IF(AO194=0,"",IF(NOT(TK_Ready),0,IF(MatchMode="Employee ID",SUMIFS(INDEX(TK_Data,0,TK_ColAmt),INDEX(TK_Data,0,TK_ColID),$A194,INDEX(TK_Data,0,TK_ColCat),BonusCat),SUMIFS(INDEX(TK_Data,0,TK_ColAmt),INDEX(TK_Data,0,TK_ColFirst),$B194,INDEX(TK_Data,0,TK_ColSur),$C194,INDEX(TK_Data,0,TK_ColCat),BonusCat))/IF(TKUnit="Hours",HoursPerDay,1)))</f>
        <v/>
      </c>
      <c r="AI194" s="26" t="str">
        <f aca="false">IF(AO194=0,"",N(AG194)+N(AH194))</f>
        <v/>
      </c>
      <c r="AJ194" s="29" t="str">
        <f aca="false">IF(AO194=0,"",IF(NOT(AND(EH_Ready,EH_ValReady)),"",IF(MatchMode="Employee ID",SUMIFS(INDEX(EH_Data,0,EH_ColVal),INDEX(EH_Data,0,EH_ColID),$A194,INDEX(EH_Data,0,EH_ColCat),BonusCat),SUMIFS(INDEX(EH_Data,0,EH_ColVal),INDEX(EH_Data,0,EH_ColFirst),$B194,INDEX(EH_Data,0,EH_ColSur),$C194,INDEX(EH_Data,0,EH_ColCat),BonusCat))))</f>
        <v/>
      </c>
      <c r="AK194" s="26" t="str">
        <f aca="false">IF(AO194=0,"",IF(OR(NOT(EH_Ready),BF194=1),"",AB194-AI194))</f>
        <v/>
      </c>
      <c r="AL194" s="26" t="str">
        <f aca="false">IF(AK194="","",AK194*HoursPerDay)</f>
        <v/>
      </c>
      <c r="AM194" s="27" t="str">
        <f aca="false">IF(AO194=0,"",IF(BF194=1,IF(N(AG194)&gt;0,"TERMINATED - forfeit "&amp;TEXT(AG194,"0.##")&amp;" days still in EH","Terminated - nothing in EH"),IF(NOT(EH_Ready),"Paste EH export and map headers on Settings",IF(AND(AB194&gt;0,AF194="No"),"SET UP in EH - add "&amp;TEXT(AB194,"0.##")&amp;" day(s) ("&amp;TEXT(AC194,"0.##")&amp;" hrs)",IF(AK194&gt;0,"ADD "&amp;TEXT(AK194,"0.##")&amp;" day(s) ("&amp;TEXT(AL194,"0.##")&amp;" hrs) in EH",IF(AK194&lt;0,"CHECK - EH shows "&amp;TEXT(-AK194,"0.##")&amp;" days more than policy",IF(AB194&gt;0,"OK - up to date",IF(AY194="None","No action - not eligible","No action - not yet qualified"))))))))</f>
        <v/>
      </c>
      <c r="AN194" s="27" t="str">
        <f aca="false">IF(AO194=0,"",TRIM(IF(AND($K194&lt;&gt;"",$H194=""),"Change 2 entered without Change 1. ","")&amp;IF(AND($K194&lt;&gt;"",$H194&lt;&gt;"",$K194&lt;=$H194),"Change 2 date not after Change 1. ","")&amp;IF(AND($N194&lt;&gt;"",$O194&lt;&gt;"",$O194&lt;$N194),"Leave To is before Leave From. ","")&amp;IF(AND($N194&lt;&gt;"",$O194=""),"Leave From entered without Leave To. ","")&amp;IF(AND(IFERROR(VLOOKUP(T194,TypeTable,2,0),"None")="PT",U194=""),"Part-time with no hours entered. ","")&amp;IF(AND($H194&lt;&gt;"",$H194&gt;AsOfDate,AD194&lt;&gt;"",$H194&lt;=AD194),"Status change lands before next accrual - review. ","")&amp;IF(AND($Q194&lt;&gt;"",$Q194&lt;$E194),"Termination before commencement. ","")))</f>
        <v/>
      </c>
      <c r="AO194" s="11" t="n">
        <f aca="false">IF(LEN($A194&amp;$B194&amp;$C194)=0,0,IF($E194="",0,1))</f>
        <v>0</v>
      </c>
      <c r="AP194" s="11" t="str">
        <f aca="false">IF(AO194=0,"",(IF(OR($N194="",$O194=""),0,MAX(0,MIN(X194,$O194)-MAX($N194,$E194)+1))+N($P194)))</f>
        <v/>
      </c>
      <c r="AQ194" s="11" t="str">
        <f aca="false">IF(AO194=0,"",IF(X194&lt;($E194+(IF(OR($N194="",$O194=""),0,MAX(0,MIN(X194,$O194)-MAX($N194,$E194)+1))+N($P194))),-1,12*(YEAR(X194)-YEAR(($E194+(IF(OR($N194="",$O194=""),0,MAX(0,MIN(X194,$O194)-MAX($N194,$E194)+1))+N($P194)))))+MONTH(X194)-MONTH(($E194+(IF(OR($N194="",$O194=""),0,MAX(0,MIN(X194,$O194)-MAX($N194,$E194)+1))+N($P194))))-IF(DAY(X194)&lt;MIN(DAY(($E194+(IF(OR($N194="",$O194=""),0,MAX(0,MIN(X194,$O194)-MAX($N194,$E194)+1))+N($P194)))),DAY(EOMONTH(X194,0))),1,0)))</f>
        <v/>
      </c>
      <c r="AR194" s="28" t="str">
        <f aca="false">IF(AO194=0,"",IF($H194="","",IF($H194&gt;X194,"",$H194)))</f>
        <v/>
      </c>
      <c r="AS194" s="28" t="str">
        <f aca="false">IF(AO194=0,"",IF(AR194="","",IF($K194="","",IF($K194&gt;X194,"",$K194))))</f>
        <v/>
      </c>
      <c r="AT194" s="11" t="str">
        <f aca="false">IF(AO194=0,"",IF(AR194="",AQ194,IF((AR194-1)&lt;($E194+(IF(OR($N194="",$O194=""),0,MAX(0,MIN((AR194-1),$O194)-MAX($N194,$E194)+1))+N($P194))),-1,12*(YEAR((AR194-1))-YEAR(($E194+(IF(OR($N194="",$O194=""),0,MAX(0,MIN((AR194-1),$O194)-MAX($N194,$E194)+1))+N($P194)))))+MONTH((AR194-1))-MONTH(($E194+(IF(OR($N194="",$O194=""),0,MAX(0,MIN((AR194-1),$O194)-MAX($N194,$E194)+1))+N($P194))))-IF(DAY((AR194-1))&lt;MIN(DAY(($E194+(IF(OR($N194="",$O194=""),0,MAX(0,MIN((AR194-1),$O194)-MAX($N194,$E194)+1))+N($P194)))),DAY(EOMONTH((AR194-1),0))),1,0))))</f>
        <v/>
      </c>
      <c r="AU194" s="11" t="str">
        <f aca="false">IF(AO194=0,"",IF(AS194="",AQ194,IF((AS194-1)&lt;($E194+(IF(OR($N194="",$O194=""),0,MAX(0,MIN((AS194-1),$O194)-MAX($N194,$E194)+1))+N($P194))),-1,12*(YEAR((AS194-1))-YEAR(($E194+(IF(OR($N194="",$O194=""),0,MAX(0,MIN((AS194-1),$O194)-MAX($N194,$E194)+1))+N($P194)))))+MONTH((AS194-1))-MONTH(($E194+(IF(OR($N194="",$O194=""),0,MAX(0,MIN((AS194-1),$O194)-MAX($N194,$E194)+1))+N($P194))))-IF(DAY((AS194-1))&lt;MIN(DAY(($E194+(IF(OR($N194="",$O194=""),0,MAX(0,MIN((AS194-1),$O194)-MAX($N194,$E194)+1))+N($P194)))),DAY(EOMONTH((AS194-1),0))),1,0))))</f>
        <v/>
      </c>
      <c r="AV194" s="11" t="str">
        <f aca="false">IF(AO194=0,"",IF($F194="","None",IF(IFERROR(VLOOKUP($F194,TypeTable,2,0),"None")="PT",IF(N($G194)&gt;=PT_MinHours,"PT","None"),IFERROR(VLOOKUP($F194,TypeTable,2,0),"None"))))</f>
        <v/>
      </c>
      <c r="AW194" s="11" t="str">
        <f aca="false">IF(AO194=0,"",IF($I194="","None",IF(IFERROR(VLOOKUP($I194,TypeTable,2,0),"None")="PT",IF(N($J194)&gt;=PT_MinHours,"PT","None"),IFERROR(VLOOKUP($I194,TypeTable,2,0),"None"))))</f>
        <v/>
      </c>
      <c r="AX194" s="11" t="str">
        <f aca="false">IF(AO194=0,"",IF($L194="","None",IF(IFERROR(VLOOKUP($L194,TypeTable,2,0),"None")="PT",IF(N($M194)&gt;=PT_MinHours,"PT","None"),IFERROR(VLOOKUP($L194,TypeTable,2,0),"None"))))</f>
        <v/>
      </c>
      <c r="AY194" s="11" t="str">
        <f aca="false">IF(AO194=0,"",IF(AS194&lt;&gt;"",AX194,IF(AR194&lt;&gt;"",AW194,AV194)))</f>
        <v/>
      </c>
      <c r="AZ194" s="11" t="str">
        <f aca="false">IF(AO194=0,"",IF(AV194="FT",IF(AT194&lt;FT_First,0,IF(AT194&lt;FT_Y5,1+INT((AT194-FT_First)/FT_Int1),FT_PreY5+FT_PerYear*INT((AT194-FT_Y5)/12)+FT_AnnivDays+INT(MOD(AT194-FT_Y5,12)/FT_Int2))),IF(AV194="PT",IF(AT194&lt;PT_First,0,1+INT((AT194-PT_First)/PT_Int)),0)))</f>
        <v/>
      </c>
      <c r="BA194" s="11" t="str">
        <f aca="false">IF(AO194=0,"",IF(AW194="FT",IF(AT194&lt;FT_First,0,IF(AT194&lt;FT_Y5,1+INT((AT194-FT_First)/FT_Int1),FT_PreY5+FT_PerYear*INT((AT194-FT_Y5)/12)+FT_AnnivDays+INT(MOD(AT194-FT_Y5,12)/FT_Int2))),IF(AW194="PT",IF(AT194&lt;PT_First,0,1+INT((AT194-PT_First)/PT_Int)),0)))</f>
        <v/>
      </c>
      <c r="BB194" s="11" t="str">
        <f aca="false">IF(AO194=0,"",IF(AW194="FT",IF(AU194&lt;FT_First,0,IF(AU194&lt;FT_Y5,1+INT((AU194-FT_First)/FT_Int1),FT_PreY5+FT_PerYear*INT((AU194-FT_Y5)/12)+FT_AnnivDays+INT(MOD(AU194-FT_Y5,12)/FT_Int2))),IF(AW194="PT",IF(AU194&lt;PT_First,0,1+INT((AU194-PT_First)/PT_Int)),0)))</f>
        <v/>
      </c>
      <c r="BC194" s="11" t="str">
        <f aca="false">IF(AO194=0,"",IF(AX194="FT",IF(AU194&lt;FT_First,0,IF(AU194&lt;FT_Y5,1+INT((AU194-FT_First)/FT_Int1),FT_PreY5+FT_PerYear*INT((AU194-FT_Y5)/12)+FT_AnnivDays+INT(MOD(AU194-FT_Y5,12)/FT_Int2))),IF(AX194="PT",IF(AU194&lt;PT_First,0,1+INT((AU194-PT_First)/PT_Int)),0)))</f>
        <v/>
      </c>
      <c r="BD194" s="11" t="str">
        <f aca="false">IF(AO194=0,"",IF(AX194="FT",IF(AQ194&lt;FT_First,0,IF(AQ194&lt;FT_Y5,1+INT((AQ194-FT_First)/FT_Int1),FT_PreY5+FT_PerYear*INT((AQ194-FT_Y5)/12)+FT_AnnivDays+INT(MOD(AQ194-FT_Y5,12)/FT_Int2))),IF(AX194="PT",IF(AQ194&lt;PT_First,0,1+INT((AQ194-PT_First)/PT_Int)),0)))</f>
        <v/>
      </c>
      <c r="BE194" s="11" t="str">
        <f aca="false">IF(AO194=0,"",IF(AY194="FT",IF(AQ194&lt;FT_First,FT_First,IF(AQ194&lt;FT_Y5,MIN(FT_Y5,FT_First+FT_Int1*(INT((AQ194-FT_First)/FT_Int1)+1)),FT_Y5+12*INT((AQ194-FT_Y5)/12)+FT_Int2*(INT(MOD(AQ194-FT_Y5,12)/FT_Int2)+1))),IF(AY194="PT",IF(AQ194&lt;PT_First,PT_First,PT_First+PT_Int*(INT((AQ194-PT_First)/PT_Int)+1)),"")))</f>
        <v/>
      </c>
      <c r="BF194" s="11" t="n">
        <f aca="false">IF(AO194=0,0,IF(AND($Q194&lt;&gt;"",$Q194&lt;=AsOfDate),1,0))</f>
        <v>0</v>
      </c>
      <c r="BG194" s="11" t="str">
        <f aca="false">IF(AND(AO194=1,BF194=0,EH_Ready,N(AB194)&gt;0,N(AI194)=0),COUNT($BG$5:BG193)+1,"")</f>
        <v/>
      </c>
      <c r="BH194" s="11" t="str">
        <f aca="false">IF(AND(AO194=1,BF194=0,EH_Ready,N(AB194)&gt;0,N(AI194)&gt;0,N(AK194)&gt;0),COUNT($BH$5:BH193)+1,"")</f>
        <v/>
      </c>
      <c r="BI194" s="11" t="str">
        <f aca="false">IF(AND(AO194=1,OR(LEFT(AM194,3)="ADD",LEFT(AM194,3)="SET",LEFT(AM194,5)="CHECK",LEFT(AM194,10)="TERMINATED")),COUNT($BI$5:BI193)+1,"")</f>
        <v/>
      </c>
      <c r="BJ194" s="11" t="str">
        <f aca="false">IF(AO194=0,"",$A194&amp;" - "&amp;$B194&amp;" "&amp;$C194)</f>
        <v/>
      </c>
    </row>
    <row r="195" customFormat="false" ht="15" hidden="false" customHeight="false" outlineLevel="0" collapsed="false">
      <c r="A195" s="10"/>
      <c r="B195" s="10"/>
      <c r="C195" s="10"/>
      <c r="D195" s="10"/>
      <c r="E195" s="9"/>
      <c r="F195" s="10"/>
      <c r="G195" s="30"/>
      <c r="H195" s="9"/>
      <c r="I195" s="10"/>
      <c r="J195" s="30"/>
      <c r="K195" s="9"/>
      <c r="L195" s="10"/>
      <c r="M195" s="30"/>
      <c r="N195" s="9"/>
      <c r="O195" s="9"/>
      <c r="P195" s="30"/>
      <c r="Q195" s="9"/>
      <c r="R195" s="10"/>
      <c r="S195" s="11" t="str">
        <f aca="false">IF(AO195=0,"",IF($H195="","",$F195&amp;" -&gt; "&amp;$I195&amp;IF($I195="Part-Time"," ("&amp;N($J195)&amp;" hrs)","")&amp;" on "&amp;TEXT($H195,"dd/mm/yyyy")&amp;IF($H195&gt;AsOfDate," (FUTURE)","")&amp;IF($K195="","","; "&amp;$I195&amp;" -&gt; "&amp;$L195&amp;IF($L195="Part-Time"," ("&amp;N($M195)&amp;" hrs)","")&amp;" on "&amp;TEXT($K195,"dd/mm/yyyy")&amp;IF($K195&gt;AsOfDate," (FUTURE)",""))))</f>
        <v/>
      </c>
      <c r="T195" s="11" t="str">
        <f aca="false">IF(AO195=0,"",IF(AS195&lt;&gt;"",$L195,IF(AR195&lt;&gt;"",$I195,$F195)))</f>
        <v/>
      </c>
      <c r="U195" s="26" t="str">
        <f aca="false">IF(AO195=0,"",IF(AS195&lt;&gt;"",$M195,IF(AR195&lt;&gt;"",$J195,$G195)))</f>
        <v/>
      </c>
      <c r="V195" s="11" t="str">
        <f aca="false">IF(AO195=0,"",IF(AY195="FT","Full-Time",IF(AY195="PT","Part-Time","Not eligible")))</f>
        <v/>
      </c>
      <c r="W195" s="27" t="str">
        <f aca="false">IF(AO195=0,"",IF(AR195="",IF(AND($H195&lt;&gt;"",$H195&gt;AsOfDate),"Future change - not yet applied",""),IF(AND(AV195=AY195,OR(AS195="",AW195=AV195)),"Type changed - same accrual pathway",IF(AY195="None","STOPPED accruing from "&amp;TEXT(IF(AS195&lt;&gt;"",AS195,AR195),"dd/mm/yyyy"),IF(AV195="None","STARTED qualifying from "&amp;TEXT(IF(AS195&lt;&gt;"",AS195,AR195),"dd/mm/yyyy"),"Pathway changed "&amp;AV195&amp;" -&gt; "&amp;AW195&amp;IF(AS195&lt;&gt;""," -&gt; "&amp;AX195,"")&amp;" from "&amp;TEXT(IF(AS195&lt;&gt;"",AS195,AR195),"dd/mm/yyyy"))))))</f>
        <v/>
      </c>
      <c r="X195" s="28" t="str">
        <f aca="false">IF(AO195=0,"",IF($Q195="",AsOfDate,MIN(AsOfDate,$Q195)))</f>
        <v/>
      </c>
      <c r="Y195" s="26" t="str">
        <f aca="false">IF(AO195=0,"",MAX(0,AQ195))</f>
        <v/>
      </c>
      <c r="Z195" s="11" t="str">
        <f aca="false">IF(AO195=0,"",IF(AQ195&lt;0,"Not started",INT(AQ195/12)&amp;"y "&amp;MOD(AQ195,12)&amp;"m"))</f>
        <v/>
      </c>
      <c r="AA195" s="27" t="str">
        <f aca="false">IF(AO195=0,"",IF(BF195=1,"Terminated - balance forfeited",IF(AY195="None",IF(AB195&gt;0,"No longer accruing - "&amp;T195,"Not eligible - "&amp;T195&amp;IF(AND(IFERROR(VLOOKUP(T195,TypeTable,2,0),"None")="PT",N(U195)&lt;PT_MinHours)," (under "&amp;PT_MinHours&amp;" hrs)","")),IF(AB195&gt;0,"Yes - accruing","Not yet - qualifies "&amp;TEXT(AD195,"dd/mm/yyyy")))))</f>
        <v/>
      </c>
      <c r="AB195" s="26" t="str">
        <f aca="false">IF(AO195=0,"",AZ195+IF(AR195="",0,BB195-BA195)+IF(AS195="",0,BD195-BC195))</f>
        <v/>
      </c>
      <c r="AC195" s="26" t="str">
        <f aca="false">IF(AO195=0,"",AB195*HoursPerDay)</f>
        <v/>
      </c>
      <c r="AD195" s="28" t="str">
        <f aca="false">IF(AO195=0,"",IF(OR(BF195=1,AY195="None"),"",EDATE($E195+AP195,BE195)))</f>
        <v/>
      </c>
      <c r="AE195" s="26" t="str">
        <f aca="false">IF(AD195="","",IF(AY195="PT",1,IF(BE195&lt;FT_Y5,1,IF(MOD(BE195-FT_Y5,12)=0,FT_AnnivDays,1))))</f>
        <v/>
      </c>
      <c r="AF195" s="27" t="str">
        <f aca="false">IF(AO195=0,"",IF(NOT(EH_Ready),"Map headers",IF(IF(MatchMode="Employee ID",COUNTIFS(INDEX(EH_Data,0,EH_ColID),$A195,INDEX(EH_Data,0,EH_ColCat),BonusCat),COUNTIFS(INDEX(EH_Data,0,EH_ColFirst),$B195,INDEX(EH_Data,0,EH_ColSur),$C195,INDEX(EH_Data,0,EH_ColCat),BonusCat))&gt;0,"Yes","No")))</f>
        <v/>
      </c>
      <c r="AG195" s="26" t="str">
        <f aca="false">IF(AO195=0,"",IF(NOT(EH_Ready),"",IF(MatchMode="Employee ID",SUMIFS(INDEX(EH_Data,0,EH_ColBal),INDEX(EH_Data,0,EH_ColID),$A195,INDEX(EH_Data,0,EH_ColCat),BonusCat),SUMIFS(INDEX(EH_Data,0,EH_ColBal),INDEX(EH_Data,0,EH_ColFirst),$B195,INDEX(EH_Data,0,EH_ColSur),$C195,INDEX(EH_Data,0,EH_ColCat),BonusCat))/IF(EHUnit="Hours",HoursPerDay,1)))</f>
        <v/>
      </c>
      <c r="AH195" s="26" t="str">
        <f aca="false">IF(AO195=0,"",IF(NOT(TK_Ready),0,IF(MatchMode="Employee ID",SUMIFS(INDEX(TK_Data,0,TK_ColAmt),INDEX(TK_Data,0,TK_ColID),$A195,INDEX(TK_Data,0,TK_ColCat),BonusCat),SUMIFS(INDEX(TK_Data,0,TK_ColAmt),INDEX(TK_Data,0,TK_ColFirst),$B195,INDEX(TK_Data,0,TK_ColSur),$C195,INDEX(TK_Data,0,TK_ColCat),BonusCat))/IF(TKUnit="Hours",HoursPerDay,1)))</f>
        <v/>
      </c>
      <c r="AI195" s="26" t="str">
        <f aca="false">IF(AO195=0,"",N(AG195)+N(AH195))</f>
        <v/>
      </c>
      <c r="AJ195" s="29" t="str">
        <f aca="false">IF(AO195=0,"",IF(NOT(AND(EH_Ready,EH_ValReady)),"",IF(MatchMode="Employee ID",SUMIFS(INDEX(EH_Data,0,EH_ColVal),INDEX(EH_Data,0,EH_ColID),$A195,INDEX(EH_Data,0,EH_ColCat),BonusCat),SUMIFS(INDEX(EH_Data,0,EH_ColVal),INDEX(EH_Data,0,EH_ColFirst),$B195,INDEX(EH_Data,0,EH_ColSur),$C195,INDEX(EH_Data,0,EH_ColCat),BonusCat))))</f>
        <v/>
      </c>
      <c r="AK195" s="26" t="str">
        <f aca="false">IF(AO195=0,"",IF(OR(NOT(EH_Ready),BF195=1),"",AB195-AI195))</f>
        <v/>
      </c>
      <c r="AL195" s="26" t="str">
        <f aca="false">IF(AK195="","",AK195*HoursPerDay)</f>
        <v/>
      </c>
      <c r="AM195" s="27" t="str">
        <f aca="false">IF(AO195=0,"",IF(BF195=1,IF(N(AG195)&gt;0,"TERMINATED - forfeit "&amp;TEXT(AG195,"0.##")&amp;" days still in EH","Terminated - nothing in EH"),IF(NOT(EH_Ready),"Paste EH export and map headers on Settings",IF(AND(AB195&gt;0,AF195="No"),"SET UP in EH - add "&amp;TEXT(AB195,"0.##")&amp;" day(s) ("&amp;TEXT(AC195,"0.##")&amp;" hrs)",IF(AK195&gt;0,"ADD "&amp;TEXT(AK195,"0.##")&amp;" day(s) ("&amp;TEXT(AL195,"0.##")&amp;" hrs) in EH",IF(AK195&lt;0,"CHECK - EH shows "&amp;TEXT(-AK195,"0.##")&amp;" days more than policy",IF(AB195&gt;0,"OK - up to date",IF(AY195="None","No action - not eligible","No action - not yet qualified"))))))))</f>
        <v/>
      </c>
      <c r="AN195" s="27" t="str">
        <f aca="false">IF(AO195=0,"",TRIM(IF(AND($K195&lt;&gt;"",$H195=""),"Change 2 entered without Change 1. ","")&amp;IF(AND($K195&lt;&gt;"",$H195&lt;&gt;"",$K195&lt;=$H195),"Change 2 date not after Change 1. ","")&amp;IF(AND($N195&lt;&gt;"",$O195&lt;&gt;"",$O195&lt;$N195),"Leave To is before Leave From. ","")&amp;IF(AND($N195&lt;&gt;"",$O195=""),"Leave From entered without Leave To. ","")&amp;IF(AND(IFERROR(VLOOKUP(T195,TypeTable,2,0),"None")="PT",U195=""),"Part-time with no hours entered. ","")&amp;IF(AND($H195&lt;&gt;"",$H195&gt;AsOfDate,AD195&lt;&gt;"",$H195&lt;=AD195),"Status change lands before next accrual - review. ","")&amp;IF(AND($Q195&lt;&gt;"",$Q195&lt;$E195),"Termination before commencement. ","")))</f>
        <v/>
      </c>
      <c r="AO195" s="11" t="n">
        <f aca="false">IF(LEN($A195&amp;$B195&amp;$C195)=0,0,IF($E195="",0,1))</f>
        <v>0</v>
      </c>
      <c r="AP195" s="11" t="str">
        <f aca="false">IF(AO195=0,"",(IF(OR($N195="",$O195=""),0,MAX(0,MIN(X195,$O195)-MAX($N195,$E195)+1))+N($P195)))</f>
        <v/>
      </c>
      <c r="AQ195" s="11" t="str">
        <f aca="false">IF(AO195=0,"",IF(X195&lt;($E195+(IF(OR($N195="",$O195=""),0,MAX(0,MIN(X195,$O195)-MAX($N195,$E195)+1))+N($P195))),-1,12*(YEAR(X195)-YEAR(($E195+(IF(OR($N195="",$O195=""),0,MAX(0,MIN(X195,$O195)-MAX($N195,$E195)+1))+N($P195)))))+MONTH(X195)-MONTH(($E195+(IF(OR($N195="",$O195=""),0,MAX(0,MIN(X195,$O195)-MAX($N195,$E195)+1))+N($P195))))-IF(DAY(X195)&lt;MIN(DAY(($E195+(IF(OR($N195="",$O195=""),0,MAX(0,MIN(X195,$O195)-MAX($N195,$E195)+1))+N($P195)))),DAY(EOMONTH(X195,0))),1,0)))</f>
        <v/>
      </c>
      <c r="AR195" s="28" t="str">
        <f aca="false">IF(AO195=0,"",IF($H195="","",IF($H195&gt;X195,"",$H195)))</f>
        <v/>
      </c>
      <c r="AS195" s="28" t="str">
        <f aca="false">IF(AO195=0,"",IF(AR195="","",IF($K195="","",IF($K195&gt;X195,"",$K195))))</f>
        <v/>
      </c>
      <c r="AT195" s="11" t="str">
        <f aca="false">IF(AO195=0,"",IF(AR195="",AQ195,IF((AR195-1)&lt;($E195+(IF(OR($N195="",$O195=""),0,MAX(0,MIN((AR195-1),$O195)-MAX($N195,$E195)+1))+N($P195))),-1,12*(YEAR((AR195-1))-YEAR(($E195+(IF(OR($N195="",$O195=""),0,MAX(0,MIN((AR195-1),$O195)-MAX($N195,$E195)+1))+N($P195)))))+MONTH((AR195-1))-MONTH(($E195+(IF(OR($N195="",$O195=""),0,MAX(0,MIN((AR195-1),$O195)-MAX($N195,$E195)+1))+N($P195))))-IF(DAY((AR195-1))&lt;MIN(DAY(($E195+(IF(OR($N195="",$O195=""),0,MAX(0,MIN((AR195-1),$O195)-MAX($N195,$E195)+1))+N($P195)))),DAY(EOMONTH((AR195-1),0))),1,0))))</f>
        <v/>
      </c>
      <c r="AU195" s="11" t="str">
        <f aca="false">IF(AO195=0,"",IF(AS195="",AQ195,IF((AS195-1)&lt;($E195+(IF(OR($N195="",$O195=""),0,MAX(0,MIN((AS195-1),$O195)-MAX($N195,$E195)+1))+N($P195))),-1,12*(YEAR((AS195-1))-YEAR(($E195+(IF(OR($N195="",$O195=""),0,MAX(0,MIN((AS195-1),$O195)-MAX($N195,$E195)+1))+N($P195)))))+MONTH((AS195-1))-MONTH(($E195+(IF(OR($N195="",$O195=""),0,MAX(0,MIN((AS195-1),$O195)-MAX($N195,$E195)+1))+N($P195))))-IF(DAY((AS195-1))&lt;MIN(DAY(($E195+(IF(OR($N195="",$O195=""),0,MAX(0,MIN((AS195-1),$O195)-MAX($N195,$E195)+1))+N($P195)))),DAY(EOMONTH((AS195-1),0))),1,0))))</f>
        <v/>
      </c>
      <c r="AV195" s="11" t="str">
        <f aca="false">IF(AO195=0,"",IF($F195="","None",IF(IFERROR(VLOOKUP($F195,TypeTable,2,0),"None")="PT",IF(N($G195)&gt;=PT_MinHours,"PT","None"),IFERROR(VLOOKUP($F195,TypeTable,2,0),"None"))))</f>
        <v/>
      </c>
      <c r="AW195" s="11" t="str">
        <f aca="false">IF(AO195=0,"",IF($I195="","None",IF(IFERROR(VLOOKUP($I195,TypeTable,2,0),"None")="PT",IF(N($J195)&gt;=PT_MinHours,"PT","None"),IFERROR(VLOOKUP($I195,TypeTable,2,0),"None"))))</f>
        <v/>
      </c>
      <c r="AX195" s="11" t="str">
        <f aca="false">IF(AO195=0,"",IF($L195="","None",IF(IFERROR(VLOOKUP($L195,TypeTable,2,0),"None")="PT",IF(N($M195)&gt;=PT_MinHours,"PT","None"),IFERROR(VLOOKUP($L195,TypeTable,2,0),"None"))))</f>
        <v/>
      </c>
      <c r="AY195" s="11" t="str">
        <f aca="false">IF(AO195=0,"",IF(AS195&lt;&gt;"",AX195,IF(AR195&lt;&gt;"",AW195,AV195)))</f>
        <v/>
      </c>
      <c r="AZ195" s="11" t="str">
        <f aca="false">IF(AO195=0,"",IF(AV195="FT",IF(AT195&lt;FT_First,0,IF(AT195&lt;FT_Y5,1+INT((AT195-FT_First)/FT_Int1),FT_PreY5+FT_PerYear*INT((AT195-FT_Y5)/12)+FT_AnnivDays+INT(MOD(AT195-FT_Y5,12)/FT_Int2))),IF(AV195="PT",IF(AT195&lt;PT_First,0,1+INT((AT195-PT_First)/PT_Int)),0)))</f>
        <v/>
      </c>
      <c r="BA195" s="11" t="str">
        <f aca="false">IF(AO195=0,"",IF(AW195="FT",IF(AT195&lt;FT_First,0,IF(AT195&lt;FT_Y5,1+INT((AT195-FT_First)/FT_Int1),FT_PreY5+FT_PerYear*INT((AT195-FT_Y5)/12)+FT_AnnivDays+INT(MOD(AT195-FT_Y5,12)/FT_Int2))),IF(AW195="PT",IF(AT195&lt;PT_First,0,1+INT((AT195-PT_First)/PT_Int)),0)))</f>
        <v/>
      </c>
      <c r="BB195" s="11" t="str">
        <f aca="false">IF(AO195=0,"",IF(AW195="FT",IF(AU195&lt;FT_First,0,IF(AU195&lt;FT_Y5,1+INT((AU195-FT_First)/FT_Int1),FT_PreY5+FT_PerYear*INT((AU195-FT_Y5)/12)+FT_AnnivDays+INT(MOD(AU195-FT_Y5,12)/FT_Int2))),IF(AW195="PT",IF(AU195&lt;PT_First,0,1+INT((AU195-PT_First)/PT_Int)),0)))</f>
        <v/>
      </c>
      <c r="BC195" s="11" t="str">
        <f aca="false">IF(AO195=0,"",IF(AX195="FT",IF(AU195&lt;FT_First,0,IF(AU195&lt;FT_Y5,1+INT((AU195-FT_First)/FT_Int1),FT_PreY5+FT_PerYear*INT((AU195-FT_Y5)/12)+FT_AnnivDays+INT(MOD(AU195-FT_Y5,12)/FT_Int2))),IF(AX195="PT",IF(AU195&lt;PT_First,0,1+INT((AU195-PT_First)/PT_Int)),0)))</f>
        <v/>
      </c>
      <c r="BD195" s="11" t="str">
        <f aca="false">IF(AO195=0,"",IF(AX195="FT",IF(AQ195&lt;FT_First,0,IF(AQ195&lt;FT_Y5,1+INT((AQ195-FT_First)/FT_Int1),FT_PreY5+FT_PerYear*INT((AQ195-FT_Y5)/12)+FT_AnnivDays+INT(MOD(AQ195-FT_Y5,12)/FT_Int2))),IF(AX195="PT",IF(AQ195&lt;PT_First,0,1+INT((AQ195-PT_First)/PT_Int)),0)))</f>
        <v/>
      </c>
      <c r="BE195" s="11" t="str">
        <f aca="false">IF(AO195=0,"",IF(AY195="FT",IF(AQ195&lt;FT_First,FT_First,IF(AQ195&lt;FT_Y5,MIN(FT_Y5,FT_First+FT_Int1*(INT((AQ195-FT_First)/FT_Int1)+1)),FT_Y5+12*INT((AQ195-FT_Y5)/12)+FT_Int2*(INT(MOD(AQ195-FT_Y5,12)/FT_Int2)+1))),IF(AY195="PT",IF(AQ195&lt;PT_First,PT_First,PT_First+PT_Int*(INT((AQ195-PT_First)/PT_Int)+1)),"")))</f>
        <v/>
      </c>
      <c r="BF195" s="11" t="n">
        <f aca="false">IF(AO195=0,0,IF(AND($Q195&lt;&gt;"",$Q195&lt;=AsOfDate),1,0))</f>
        <v>0</v>
      </c>
      <c r="BG195" s="11" t="str">
        <f aca="false">IF(AND(AO195=1,BF195=0,EH_Ready,N(AB195)&gt;0,N(AI195)=0),COUNT($BG$5:BG194)+1,"")</f>
        <v/>
      </c>
      <c r="BH195" s="11" t="str">
        <f aca="false">IF(AND(AO195=1,BF195=0,EH_Ready,N(AB195)&gt;0,N(AI195)&gt;0,N(AK195)&gt;0),COUNT($BH$5:BH194)+1,"")</f>
        <v/>
      </c>
      <c r="BI195" s="11" t="str">
        <f aca="false">IF(AND(AO195=1,OR(LEFT(AM195,3)="ADD",LEFT(AM195,3)="SET",LEFT(AM195,5)="CHECK",LEFT(AM195,10)="TERMINATED")),COUNT($BI$5:BI194)+1,"")</f>
        <v/>
      </c>
      <c r="BJ195" s="11" t="str">
        <f aca="false">IF(AO195=0,"",$A195&amp;" - "&amp;$B195&amp;" "&amp;$C195)</f>
        <v/>
      </c>
    </row>
    <row r="196" customFormat="false" ht="15" hidden="false" customHeight="false" outlineLevel="0" collapsed="false">
      <c r="A196" s="10"/>
      <c r="B196" s="10"/>
      <c r="C196" s="10"/>
      <c r="D196" s="10"/>
      <c r="E196" s="9"/>
      <c r="F196" s="10"/>
      <c r="G196" s="30"/>
      <c r="H196" s="9"/>
      <c r="I196" s="10"/>
      <c r="J196" s="30"/>
      <c r="K196" s="9"/>
      <c r="L196" s="10"/>
      <c r="M196" s="30"/>
      <c r="N196" s="9"/>
      <c r="O196" s="9"/>
      <c r="P196" s="30"/>
      <c r="Q196" s="9"/>
      <c r="R196" s="10"/>
      <c r="S196" s="11" t="str">
        <f aca="false">IF(AO196=0,"",IF($H196="","",$F196&amp;" -&gt; "&amp;$I196&amp;IF($I196="Part-Time"," ("&amp;N($J196)&amp;" hrs)","")&amp;" on "&amp;TEXT($H196,"dd/mm/yyyy")&amp;IF($H196&gt;AsOfDate," (FUTURE)","")&amp;IF($K196="","","; "&amp;$I196&amp;" -&gt; "&amp;$L196&amp;IF($L196="Part-Time"," ("&amp;N($M196)&amp;" hrs)","")&amp;" on "&amp;TEXT($K196,"dd/mm/yyyy")&amp;IF($K196&gt;AsOfDate," (FUTURE)",""))))</f>
        <v/>
      </c>
      <c r="T196" s="11" t="str">
        <f aca="false">IF(AO196=0,"",IF(AS196&lt;&gt;"",$L196,IF(AR196&lt;&gt;"",$I196,$F196)))</f>
        <v/>
      </c>
      <c r="U196" s="26" t="str">
        <f aca="false">IF(AO196=0,"",IF(AS196&lt;&gt;"",$M196,IF(AR196&lt;&gt;"",$J196,$G196)))</f>
        <v/>
      </c>
      <c r="V196" s="11" t="str">
        <f aca="false">IF(AO196=0,"",IF(AY196="FT","Full-Time",IF(AY196="PT","Part-Time","Not eligible")))</f>
        <v/>
      </c>
      <c r="W196" s="27" t="str">
        <f aca="false">IF(AO196=0,"",IF(AR196="",IF(AND($H196&lt;&gt;"",$H196&gt;AsOfDate),"Future change - not yet applied",""),IF(AND(AV196=AY196,OR(AS196="",AW196=AV196)),"Type changed - same accrual pathway",IF(AY196="None","STOPPED accruing from "&amp;TEXT(IF(AS196&lt;&gt;"",AS196,AR196),"dd/mm/yyyy"),IF(AV196="None","STARTED qualifying from "&amp;TEXT(IF(AS196&lt;&gt;"",AS196,AR196),"dd/mm/yyyy"),"Pathway changed "&amp;AV196&amp;" -&gt; "&amp;AW196&amp;IF(AS196&lt;&gt;""," -&gt; "&amp;AX196,"")&amp;" from "&amp;TEXT(IF(AS196&lt;&gt;"",AS196,AR196),"dd/mm/yyyy"))))))</f>
        <v/>
      </c>
      <c r="X196" s="28" t="str">
        <f aca="false">IF(AO196=0,"",IF($Q196="",AsOfDate,MIN(AsOfDate,$Q196)))</f>
        <v/>
      </c>
      <c r="Y196" s="26" t="str">
        <f aca="false">IF(AO196=0,"",MAX(0,AQ196))</f>
        <v/>
      </c>
      <c r="Z196" s="11" t="str">
        <f aca="false">IF(AO196=0,"",IF(AQ196&lt;0,"Not started",INT(AQ196/12)&amp;"y "&amp;MOD(AQ196,12)&amp;"m"))</f>
        <v/>
      </c>
      <c r="AA196" s="27" t="str">
        <f aca="false">IF(AO196=0,"",IF(BF196=1,"Terminated - balance forfeited",IF(AY196="None",IF(AB196&gt;0,"No longer accruing - "&amp;T196,"Not eligible - "&amp;T196&amp;IF(AND(IFERROR(VLOOKUP(T196,TypeTable,2,0),"None")="PT",N(U196)&lt;PT_MinHours)," (under "&amp;PT_MinHours&amp;" hrs)","")),IF(AB196&gt;0,"Yes - accruing","Not yet - qualifies "&amp;TEXT(AD196,"dd/mm/yyyy")))))</f>
        <v/>
      </c>
      <c r="AB196" s="26" t="str">
        <f aca="false">IF(AO196=0,"",AZ196+IF(AR196="",0,BB196-BA196)+IF(AS196="",0,BD196-BC196))</f>
        <v/>
      </c>
      <c r="AC196" s="26" t="str">
        <f aca="false">IF(AO196=0,"",AB196*HoursPerDay)</f>
        <v/>
      </c>
      <c r="AD196" s="28" t="str">
        <f aca="false">IF(AO196=0,"",IF(OR(BF196=1,AY196="None"),"",EDATE($E196+AP196,BE196)))</f>
        <v/>
      </c>
      <c r="AE196" s="26" t="str">
        <f aca="false">IF(AD196="","",IF(AY196="PT",1,IF(BE196&lt;FT_Y5,1,IF(MOD(BE196-FT_Y5,12)=0,FT_AnnivDays,1))))</f>
        <v/>
      </c>
      <c r="AF196" s="27" t="str">
        <f aca="false">IF(AO196=0,"",IF(NOT(EH_Ready),"Map headers",IF(IF(MatchMode="Employee ID",COUNTIFS(INDEX(EH_Data,0,EH_ColID),$A196,INDEX(EH_Data,0,EH_ColCat),BonusCat),COUNTIFS(INDEX(EH_Data,0,EH_ColFirst),$B196,INDEX(EH_Data,0,EH_ColSur),$C196,INDEX(EH_Data,0,EH_ColCat),BonusCat))&gt;0,"Yes","No")))</f>
        <v/>
      </c>
      <c r="AG196" s="26" t="str">
        <f aca="false">IF(AO196=0,"",IF(NOT(EH_Ready),"",IF(MatchMode="Employee ID",SUMIFS(INDEX(EH_Data,0,EH_ColBal),INDEX(EH_Data,0,EH_ColID),$A196,INDEX(EH_Data,0,EH_ColCat),BonusCat),SUMIFS(INDEX(EH_Data,0,EH_ColBal),INDEX(EH_Data,0,EH_ColFirst),$B196,INDEX(EH_Data,0,EH_ColSur),$C196,INDEX(EH_Data,0,EH_ColCat),BonusCat))/IF(EHUnit="Hours",HoursPerDay,1)))</f>
        <v/>
      </c>
      <c r="AH196" s="26" t="str">
        <f aca="false">IF(AO196=0,"",IF(NOT(TK_Ready),0,IF(MatchMode="Employee ID",SUMIFS(INDEX(TK_Data,0,TK_ColAmt),INDEX(TK_Data,0,TK_ColID),$A196,INDEX(TK_Data,0,TK_ColCat),BonusCat),SUMIFS(INDEX(TK_Data,0,TK_ColAmt),INDEX(TK_Data,0,TK_ColFirst),$B196,INDEX(TK_Data,0,TK_ColSur),$C196,INDEX(TK_Data,0,TK_ColCat),BonusCat))/IF(TKUnit="Hours",HoursPerDay,1)))</f>
        <v/>
      </c>
      <c r="AI196" s="26" t="str">
        <f aca="false">IF(AO196=0,"",N(AG196)+N(AH196))</f>
        <v/>
      </c>
      <c r="AJ196" s="29" t="str">
        <f aca="false">IF(AO196=0,"",IF(NOT(AND(EH_Ready,EH_ValReady)),"",IF(MatchMode="Employee ID",SUMIFS(INDEX(EH_Data,0,EH_ColVal),INDEX(EH_Data,0,EH_ColID),$A196,INDEX(EH_Data,0,EH_ColCat),BonusCat),SUMIFS(INDEX(EH_Data,0,EH_ColVal),INDEX(EH_Data,0,EH_ColFirst),$B196,INDEX(EH_Data,0,EH_ColSur),$C196,INDEX(EH_Data,0,EH_ColCat),BonusCat))))</f>
        <v/>
      </c>
      <c r="AK196" s="26" t="str">
        <f aca="false">IF(AO196=0,"",IF(OR(NOT(EH_Ready),BF196=1),"",AB196-AI196))</f>
        <v/>
      </c>
      <c r="AL196" s="26" t="str">
        <f aca="false">IF(AK196="","",AK196*HoursPerDay)</f>
        <v/>
      </c>
      <c r="AM196" s="27" t="str">
        <f aca="false">IF(AO196=0,"",IF(BF196=1,IF(N(AG196)&gt;0,"TERMINATED - forfeit "&amp;TEXT(AG196,"0.##")&amp;" days still in EH","Terminated - nothing in EH"),IF(NOT(EH_Ready),"Paste EH export and map headers on Settings",IF(AND(AB196&gt;0,AF196="No"),"SET UP in EH - add "&amp;TEXT(AB196,"0.##")&amp;" day(s) ("&amp;TEXT(AC196,"0.##")&amp;" hrs)",IF(AK196&gt;0,"ADD "&amp;TEXT(AK196,"0.##")&amp;" day(s) ("&amp;TEXT(AL196,"0.##")&amp;" hrs) in EH",IF(AK196&lt;0,"CHECK - EH shows "&amp;TEXT(-AK196,"0.##")&amp;" days more than policy",IF(AB196&gt;0,"OK - up to date",IF(AY196="None","No action - not eligible","No action - not yet qualified"))))))))</f>
        <v/>
      </c>
      <c r="AN196" s="27" t="str">
        <f aca="false">IF(AO196=0,"",TRIM(IF(AND($K196&lt;&gt;"",$H196=""),"Change 2 entered without Change 1. ","")&amp;IF(AND($K196&lt;&gt;"",$H196&lt;&gt;"",$K196&lt;=$H196),"Change 2 date not after Change 1. ","")&amp;IF(AND($N196&lt;&gt;"",$O196&lt;&gt;"",$O196&lt;$N196),"Leave To is before Leave From. ","")&amp;IF(AND($N196&lt;&gt;"",$O196=""),"Leave From entered without Leave To. ","")&amp;IF(AND(IFERROR(VLOOKUP(T196,TypeTable,2,0),"None")="PT",U196=""),"Part-time with no hours entered. ","")&amp;IF(AND($H196&lt;&gt;"",$H196&gt;AsOfDate,AD196&lt;&gt;"",$H196&lt;=AD196),"Status change lands before next accrual - review. ","")&amp;IF(AND($Q196&lt;&gt;"",$Q196&lt;$E196),"Termination before commencement. ","")))</f>
        <v/>
      </c>
      <c r="AO196" s="11" t="n">
        <f aca="false">IF(LEN($A196&amp;$B196&amp;$C196)=0,0,IF($E196="",0,1))</f>
        <v>0</v>
      </c>
      <c r="AP196" s="11" t="str">
        <f aca="false">IF(AO196=0,"",(IF(OR($N196="",$O196=""),0,MAX(0,MIN(X196,$O196)-MAX($N196,$E196)+1))+N($P196)))</f>
        <v/>
      </c>
      <c r="AQ196" s="11" t="str">
        <f aca="false">IF(AO196=0,"",IF(X196&lt;($E196+(IF(OR($N196="",$O196=""),0,MAX(0,MIN(X196,$O196)-MAX($N196,$E196)+1))+N($P196))),-1,12*(YEAR(X196)-YEAR(($E196+(IF(OR($N196="",$O196=""),0,MAX(0,MIN(X196,$O196)-MAX($N196,$E196)+1))+N($P196)))))+MONTH(X196)-MONTH(($E196+(IF(OR($N196="",$O196=""),0,MAX(0,MIN(X196,$O196)-MAX($N196,$E196)+1))+N($P196))))-IF(DAY(X196)&lt;MIN(DAY(($E196+(IF(OR($N196="",$O196=""),0,MAX(0,MIN(X196,$O196)-MAX($N196,$E196)+1))+N($P196)))),DAY(EOMONTH(X196,0))),1,0)))</f>
        <v/>
      </c>
      <c r="AR196" s="28" t="str">
        <f aca="false">IF(AO196=0,"",IF($H196="","",IF($H196&gt;X196,"",$H196)))</f>
        <v/>
      </c>
      <c r="AS196" s="28" t="str">
        <f aca="false">IF(AO196=0,"",IF(AR196="","",IF($K196="","",IF($K196&gt;X196,"",$K196))))</f>
        <v/>
      </c>
      <c r="AT196" s="11" t="str">
        <f aca="false">IF(AO196=0,"",IF(AR196="",AQ196,IF((AR196-1)&lt;($E196+(IF(OR($N196="",$O196=""),0,MAX(0,MIN((AR196-1),$O196)-MAX($N196,$E196)+1))+N($P196))),-1,12*(YEAR((AR196-1))-YEAR(($E196+(IF(OR($N196="",$O196=""),0,MAX(0,MIN((AR196-1),$O196)-MAX($N196,$E196)+1))+N($P196)))))+MONTH((AR196-1))-MONTH(($E196+(IF(OR($N196="",$O196=""),0,MAX(0,MIN((AR196-1),$O196)-MAX($N196,$E196)+1))+N($P196))))-IF(DAY((AR196-1))&lt;MIN(DAY(($E196+(IF(OR($N196="",$O196=""),0,MAX(0,MIN((AR196-1),$O196)-MAX($N196,$E196)+1))+N($P196)))),DAY(EOMONTH((AR196-1),0))),1,0))))</f>
        <v/>
      </c>
      <c r="AU196" s="11" t="str">
        <f aca="false">IF(AO196=0,"",IF(AS196="",AQ196,IF((AS196-1)&lt;($E196+(IF(OR($N196="",$O196=""),0,MAX(0,MIN((AS196-1),$O196)-MAX($N196,$E196)+1))+N($P196))),-1,12*(YEAR((AS196-1))-YEAR(($E196+(IF(OR($N196="",$O196=""),0,MAX(0,MIN((AS196-1),$O196)-MAX($N196,$E196)+1))+N($P196)))))+MONTH((AS196-1))-MONTH(($E196+(IF(OR($N196="",$O196=""),0,MAX(0,MIN((AS196-1),$O196)-MAX($N196,$E196)+1))+N($P196))))-IF(DAY((AS196-1))&lt;MIN(DAY(($E196+(IF(OR($N196="",$O196=""),0,MAX(0,MIN((AS196-1),$O196)-MAX($N196,$E196)+1))+N($P196)))),DAY(EOMONTH((AS196-1),0))),1,0))))</f>
        <v/>
      </c>
      <c r="AV196" s="11" t="str">
        <f aca="false">IF(AO196=0,"",IF($F196="","None",IF(IFERROR(VLOOKUP($F196,TypeTable,2,0),"None")="PT",IF(N($G196)&gt;=PT_MinHours,"PT","None"),IFERROR(VLOOKUP($F196,TypeTable,2,0),"None"))))</f>
        <v/>
      </c>
      <c r="AW196" s="11" t="str">
        <f aca="false">IF(AO196=0,"",IF($I196="","None",IF(IFERROR(VLOOKUP($I196,TypeTable,2,0),"None")="PT",IF(N($J196)&gt;=PT_MinHours,"PT","None"),IFERROR(VLOOKUP($I196,TypeTable,2,0),"None"))))</f>
        <v/>
      </c>
      <c r="AX196" s="11" t="str">
        <f aca="false">IF(AO196=0,"",IF($L196="","None",IF(IFERROR(VLOOKUP($L196,TypeTable,2,0),"None")="PT",IF(N($M196)&gt;=PT_MinHours,"PT","None"),IFERROR(VLOOKUP($L196,TypeTable,2,0),"None"))))</f>
        <v/>
      </c>
      <c r="AY196" s="11" t="str">
        <f aca="false">IF(AO196=0,"",IF(AS196&lt;&gt;"",AX196,IF(AR196&lt;&gt;"",AW196,AV196)))</f>
        <v/>
      </c>
      <c r="AZ196" s="11" t="str">
        <f aca="false">IF(AO196=0,"",IF(AV196="FT",IF(AT196&lt;FT_First,0,IF(AT196&lt;FT_Y5,1+INT((AT196-FT_First)/FT_Int1),FT_PreY5+FT_PerYear*INT((AT196-FT_Y5)/12)+FT_AnnivDays+INT(MOD(AT196-FT_Y5,12)/FT_Int2))),IF(AV196="PT",IF(AT196&lt;PT_First,0,1+INT((AT196-PT_First)/PT_Int)),0)))</f>
        <v/>
      </c>
      <c r="BA196" s="11" t="str">
        <f aca="false">IF(AO196=0,"",IF(AW196="FT",IF(AT196&lt;FT_First,0,IF(AT196&lt;FT_Y5,1+INT((AT196-FT_First)/FT_Int1),FT_PreY5+FT_PerYear*INT((AT196-FT_Y5)/12)+FT_AnnivDays+INT(MOD(AT196-FT_Y5,12)/FT_Int2))),IF(AW196="PT",IF(AT196&lt;PT_First,0,1+INT((AT196-PT_First)/PT_Int)),0)))</f>
        <v/>
      </c>
      <c r="BB196" s="11" t="str">
        <f aca="false">IF(AO196=0,"",IF(AW196="FT",IF(AU196&lt;FT_First,0,IF(AU196&lt;FT_Y5,1+INT((AU196-FT_First)/FT_Int1),FT_PreY5+FT_PerYear*INT((AU196-FT_Y5)/12)+FT_AnnivDays+INT(MOD(AU196-FT_Y5,12)/FT_Int2))),IF(AW196="PT",IF(AU196&lt;PT_First,0,1+INT((AU196-PT_First)/PT_Int)),0)))</f>
        <v/>
      </c>
      <c r="BC196" s="11" t="str">
        <f aca="false">IF(AO196=0,"",IF(AX196="FT",IF(AU196&lt;FT_First,0,IF(AU196&lt;FT_Y5,1+INT((AU196-FT_First)/FT_Int1),FT_PreY5+FT_PerYear*INT((AU196-FT_Y5)/12)+FT_AnnivDays+INT(MOD(AU196-FT_Y5,12)/FT_Int2))),IF(AX196="PT",IF(AU196&lt;PT_First,0,1+INT((AU196-PT_First)/PT_Int)),0)))</f>
        <v/>
      </c>
      <c r="BD196" s="11" t="str">
        <f aca="false">IF(AO196=0,"",IF(AX196="FT",IF(AQ196&lt;FT_First,0,IF(AQ196&lt;FT_Y5,1+INT((AQ196-FT_First)/FT_Int1),FT_PreY5+FT_PerYear*INT((AQ196-FT_Y5)/12)+FT_AnnivDays+INT(MOD(AQ196-FT_Y5,12)/FT_Int2))),IF(AX196="PT",IF(AQ196&lt;PT_First,0,1+INT((AQ196-PT_First)/PT_Int)),0)))</f>
        <v/>
      </c>
      <c r="BE196" s="11" t="str">
        <f aca="false">IF(AO196=0,"",IF(AY196="FT",IF(AQ196&lt;FT_First,FT_First,IF(AQ196&lt;FT_Y5,MIN(FT_Y5,FT_First+FT_Int1*(INT((AQ196-FT_First)/FT_Int1)+1)),FT_Y5+12*INT((AQ196-FT_Y5)/12)+FT_Int2*(INT(MOD(AQ196-FT_Y5,12)/FT_Int2)+1))),IF(AY196="PT",IF(AQ196&lt;PT_First,PT_First,PT_First+PT_Int*(INT((AQ196-PT_First)/PT_Int)+1)),"")))</f>
        <v/>
      </c>
      <c r="BF196" s="11" t="n">
        <f aca="false">IF(AO196=0,0,IF(AND($Q196&lt;&gt;"",$Q196&lt;=AsOfDate),1,0))</f>
        <v>0</v>
      </c>
      <c r="BG196" s="11" t="str">
        <f aca="false">IF(AND(AO196=1,BF196=0,EH_Ready,N(AB196)&gt;0,N(AI196)=0),COUNT($BG$5:BG195)+1,"")</f>
        <v/>
      </c>
      <c r="BH196" s="11" t="str">
        <f aca="false">IF(AND(AO196=1,BF196=0,EH_Ready,N(AB196)&gt;0,N(AI196)&gt;0,N(AK196)&gt;0),COUNT($BH$5:BH195)+1,"")</f>
        <v/>
      </c>
      <c r="BI196" s="11" t="str">
        <f aca="false">IF(AND(AO196=1,OR(LEFT(AM196,3)="ADD",LEFT(AM196,3)="SET",LEFT(AM196,5)="CHECK",LEFT(AM196,10)="TERMINATED")),COUNT($BI$5:BI195)+1,"")</f>
        <v/>
      </c>
      <c r="BJ196" s="11" t="str">
        <f aca="false">IF(AO196=0,"",$A196&amp;" - "&amp;$B196&amp;" "&amp;$C196)</f>
        <v/>
      </c>
    </row>
    <row r="197" customFormat="false" ht="15" hidden="false" customHeight="false" outlineLevel="0" collapsed="false">
      <c r="A197" s="10"/>
      <c r="B197" s="10"/>
      <c r="C197" s="10"/>
      <c r="D197" s="10"/>
      <c r="E197" s="9"/>
      <c r="F197" s="10"/>
      <c r="G197" s="30"/>
      <c r="H197" s="9"/>
      <c r="I197" s="10"/>
      <c r="J197" s="30"/>
      <c r="K197" s="9"/>
      <c r="L197" s="10"/>
      <c r="M197" s="30"/>
      <c r="N197" s="9"/>
      <c r="O197" s="9"/>
      <c r="P197" s="30"/>
      <c r="Q197" s="9"/>
      <c r="R197" s="10"/>
      <c r="S197" s="11" t="str">
        <f aca="false">IF(AO197=0,"",IF($H197="","",$F197&amp;" -&gt; "&amp;$I197&amp;IF($I197="Part-Time"," ("&amp;N($J197)&amp;" hrs)","")&amp;" on "&amp;TEXT($H197,"dd/mm/yyyy")&amp;IF($H197&gt;AsOfDate," (FUTURE)","")&amp;IF($K197="","","; "&amp;$I197&amp;" -&gt; "&amp;$L197&amp;IF($L197="Part-Time"," ("&amp;N($M197)&amp;" hrs)","")&amp;" on "&amp;TEXT($K197,"dd/mm/yyyy")&amp;IF($K197&gt;AsOfDate," (FUTURE)",""))))</f>
        <v/>
      </c>
      <c r="T197" s="11" t="str">
        <f aca="false">IF(AO197=0,"",IF(AS197&lt;&gt;"",$L197,IF(AR197&lt;&gt;"",$I197,$F197)))</f>
        <v/>
      </c>
      <c r="U197" s="26" t="str">
        <f aca="false">IF(AO197=0,"",IF(AS197&lt;&gt;"",$M197,IF(AR197&lt;&gt;"",$J197,$G197)))</f>
        <v/>
      </c>
      <c r="V197" s="11" t="str">
        <f aca="false">IF(AO197=0,"",IF(AY197="FT","Full-Time",IF(AY197="PT","Part-Time","Not eligible")))</f>
        <v/>
      </c>
      <c r="W197" s="27" t="str">
        <f aca="false">IF(AO197=0,"",IF(AR197="",IF(AND($H197&lt;&gt;"",$H197&gt;AsOfDate),"Future change - not yet applied",""),IF(AND(AV197=AY197,OR(AS197="",AW197=AV197)),"Type changed - same accrual pathway",IF(AY197="None","STOPPED accruing from "&amp;TEXT(IF(AS197&lt;&gt;"",AS197,AR197),"dd/mm/yyyy"),IF(AV197="None","STARTED qualifying from "&amp;TEXT(IF(AS197&lt;&gt;"",AS197,AR197),"dd/mm/yyyy"),"Pathway changed "&amp;AV197&amp;" -&gt; "&amp;AW197&amp;IF(AS197&lt;&gt;""," -&gt; "&amp;AX197,"")&amp;" from "&amp;TEXT(IF(AS197&lt;&gt;"",AS197,AR197),"dd/mm/yyyy"))))))</f>
        <v/>
      </c>
      <c r="X197" s="28" t="str">
        <f aca="false">IF(AO197=0,"",IF($Q197="",AsOfDate,MIN(AsOfDate,$Q197)))</f>
        <v/>
      </c>
      <c r="Y197" s="26" t="str">
        <f aca="false">IF(AO197=0,"",MAX(0,AQ197))</f>
        <v/>
      </c>
      <c r="Z197" s="11" t="str">
        <f aca="false">IF(AO197=0,"",IF(AQ197&lt;0,"Not started",INT(AQ197/12)&amp;"y "&amp;MOD(AQ197,12)&amp;"m"))</f>
        <v/>
      </c>
      <c r="AA197" s="27" t="str">
        <f aca="false">IF(AO197=0,"",IF(BF197=1,"Terminated - balance forfeited",IF(AY197="None",IF(AB197&gt;0,"No longer accruing - "&amp;T197,"Not eligible - "&amp;T197&amp;IF(AND(IFERROR(VLOOKUP(T197,TypeTable,2,0),"None")="PT",N(U197)&lt;PT_MinHours)," (under "&amp;PT_MinHours&amp;" hrs)","")),IF(AB197&gt;0,"Yes - accruing","Not yet - qualifies "&amp;TEXT(AD197,"dd/mm/yyyy")))))</f>
        <v/>
      </c>
      <c r="AB197" s="26" t="str">
        <f aca="false">IF(AO197=0,"",AZ197+IF(AR197="",0,BB197-BA197)+IF(AS197="",0,BD197-BC197))</f>
        <v/>
      </c>
      <c r="AC197" s="26" t="str">
        <f aca="false">IF(AO197=0,"",AB197*HoursPerDay)</f>
        <v/>
      </c>
      <c r="AD197" s="28" t="str">
        <f aca="false">IF(AO197=0,"",IF(OR(BF197=1,AY197="None"),"",EDATE($E197+AP197,BE197)))</f>
        <v/>
      </c>
      <c r="AE197" s="26" t="str">
        <f aca="false">IF(AD197="","",IF(AY197="PT",1,IF(BE197&lt;FT_Y5,1,IF(MOD(BE197-FT_Y5,12)=0,FT_AnnivDays,1))))</f>
        <v/>
      </c>
      <c r="AF197" s="27" t="str">
        <f aca="false">IF(AO197=0,"",IF(NOT(EH_Ready),"Map headers",IF(IF(MatchMode="Employee ID",COUNTIFS(INDEX(EH_Data,0,EH_ColID),$A197,INDEX(EH_Data,0,EH_ColCat),BonusCat),COUNTIFS(INDEX(EH_Data,0,EH_ColFirst),$B197,INDEX(EH_Data,0,EH_ColSur),$C197,INDEX(EH_Data,0,EH_ColCat),BonusCat))&gt;0,"Yes","No")))</f>
        <v/>
      </c>
      <c r="AG197" s="26" t="str">
        <f aca="false">IF(AO197=0,"",IF(NOT(EH_Ready),"",IF(MatchMode="Employee ID",SUMIFS(INDEX(EH_Data,0,EH_ColBal),INDEX(EH_Data,0,EH_ColID),$A197,INDEX(EH_Data,0,EH_ColCat),BonusCat),SUMIFS(INDEX(EH_Data,0,EH_ColBal),INDEX(EH_Data,0,EH_ColFirst),$B197,INDEX(EH_Data,0,EH_ColSur),$C197,INDEX(EH_Data,0,EH_ColCat),BonusCat))/IF(EHUnit="Hours",HoursPerDay,1)))</f>
        <v/>
      </c>
      <c r="AH197" s="26" t="str">
        <f aca="false">IF(AO197=0,"",IF(NOT(TK_Ready),0,IF(MatchMode="Employee ID",SUMIFS(INDEX(TK_Data,0,TK_ColAmt),INDEX(TK_Data,0,TK_ColID),$A197,INDEX(TK_Data,0,TK_ColCat),BonusCat),SUMIFS(INDEX(TK_Data,0,TK_ColAmt),INDEX(TK_Data,0,TK_ColFirst),$B197,INDEX(TK_Data,0,TK_ColSur),$C197,INDEX(TK_Data,0,TK_ColCat),BonusCat))/IF(TKUnit="Hours",HoursPerDay,1)))</f>
        <v/>
      </c>
      <c r="AI197" s="26" t="str">
        <f aca="false">IF(AO197=0,"",N(AG197)+N(AH197))</f>
        <v/>
      </c>
      <c r="AJ197" s="29" t="str">
        <f aca="false">IF(AO197=0,"",IF(NOT(AND(EH_Ready,EH_ValReady)),"",IF(MatchMode="Employee ID",SUMIFS(INDEX(EH_Data,0,EH_ColVal),INDEX(EH_Data,0,EH_ColID),$A197,INDEX(EH_Data,0,EH_ColCat),BonusCat),SUMIFS(INDEX(EH_Data,0,EH_ColVal),INDEX(EH_Data,0,EH_ColFirst),$B197,INDEX(EH_Data,0,EH_ColSur),$C197,INDEX(EH_Data,0,EH_ColCat),BonusCat))))</f>
        <v/>
      </c>
      <c r="AK197" s="26" t="str">
        <f aca="false">IF(AO197=0,"",IF(OR(NOT(EH_Ready),BF197=1),"",AB197-AI197))</f>
        <v/>
      </c>
      <c r="AL197" s="26" t="str">
        <f aca="false">IF(AK197="","",AK197*HoursPerDay)</f>
        <v/>
      </c>
      <c r="AM197" s="27" t="str">
        <f aca="false">IF(AO197=0,"",IF(BF197=1,IF(N(AG197)&gt;0,"TERMINATED - forfeit "&amp;TEXT(AG197,"0.##")&amp;" days still in EH","Terminated - nothing in EH"),IF(NOT(EH_Ready),"Paste EH export and map headers on Settings",IF(AND(AB197&gt;0,AF197="No"),"SET UP in EH - add "&amp;TEXT(AB197,"0.##")&amp;" day(s) ("&amp;TEXT(AC197,"0.##")&amp;" hrs)",IF(AK197&gt;0,"ADD "&amp;TEXT(AK197,"0.##")&amp;" day(s) ("&amp;TEXT(AL197,"0.##")&amp;" hrs) in EH",IF(AK197&lt;0,"CHECK - EH shows "&amp;TEXT(-AK197,"0.##")&amp;" days more than policy",IF(AB197&gt;0,"OK - up to date",IF(AY197="None","No action - not eligible","No action - not yet qualified"))))))))</f>
        <v/>
      </c>
      <c r="AN197" s="27" t="str">
        <f aca="false">IF(AO197=0,"",TRIM(IF(AND($K197&lt;&gt;"",$H197=""),"Change 2 entered without Change 1. ","")&amp;IF(AND($K197&lt;&gt;"",$H197&lt;&gt;"",$K197&lt;=$H197),"Change 2 date not after Change 1. ","")&amp;IF(AND($N197&lt;&gt;"",$O197&lt;&gt;"",$O197&lt;$N197),"Leave To is before Leave From. ","")&amp;IF(AND($N197&lt;&gt;"",$O197=""),"Leave From entered without Leave To. ","")&amp;IF(AND(IFERROR(VLOOKUP(T197,TypeTable,2,0),"None")="PT",U197=""),"Part-time with no hours entered. ","")&amp;IF(AND($H197&lt;&gt;"",$H197&gt;AsOfDate,AD197&lt;&gt;"",$H197&lt;=AD197),"Status change lands before next accrual - review. ","")&amp;IF(AND($Q197&lt;&gt;"",$Q197&lt;$E197),"Termination before commencement. ","")))</f>
        <v/>
      </c>
      <c r="AO197" s="11" t="n">
        <f aca="false">IF(LEN($A197&amp;$B197&amp;$C197)=0,0,IF($E197="",0,1))</f>
        <v>0</v>
      </c>
      <c r="AP197" s="11" t="str">
        <f aca="false">IF(AO197=0,"",(IF(OR($N197="",$O197=""),0,MAX(0,MIN(X197,$O197)-MAX($N197,$E197)+1))+N($P197)))</f>
        <v/>
      </c>
      <c r="AQ197" s="11" t="str">
        <f aca="false">IF(AO197=0,"",IF(X197&lt;($E197+(IF(OR($N197="",$O197=""),0,MAX(0,MIN(X197,$O197)-MAX($N197,$E197)+1))+N($P197))),-1,12*(YEAR(X197)-YEAR(($E197+(IF(OR($N197="",$O197=""),0,MAX(0,MIN(X197,$O197)-MAX($N197,$E197)+1))+N($P197)))))+MONTH(X197)-MONTH(($E197+(IF(OR($N197="",$O197=""),0,MAX(0,MIN(X197,$O197)-MAX($N197,$E197)+1))+N($P197))))-IF(DAY(X197)&lt;MIN(DAY(($E197+(IF(OR($N197="",$O197=""),0,MAX(0,MIN(X197,$O197)-MAX($N197,$E197)+1))+N($P197)))),DAY(EOMONTH(X197,0))),1,0)))</f>
        <v/>
      </c>
      <c r="AR197" s="28" t="str">
        <f aca="false">IF(AO197=0,"",IF($H197="","",IF($H197&gt;X197,"",$H197)))</f>
        <v/>
      </c>
      <c r="AS197" s="28" t="str">
        <f aca="false">IF(AO197=0,"",IF(AR197="","",IF($K197="","",IF($K197&gt;X197,"",$K197))))</f>
        <v/>
      </c>
      <c r="AT197" s="11" t="str">
        <f aca="false">IF(AO197=0,"",IF(AR197="",AQ197,IF((AR197-1)&lt;($E197+(IF(OR($N197="",$O197=""),0,MAX(0,MIN((AR197-1),$O197)-MAX($N197,$E197)+1))+N($P197))),-1,12*(YEAR((AR197-1))-YEAR(($E197+(IF(OR($N197="",$O197=""),0,MAX(0,MIN((AR197-1),$O197)-MAX($N197,$E197)+1))+N($P197)))))+MONTH((AR197-1))-MONTH(($E197+(IF(OR($N197="",$O197=""),0,MAX(0,MIN((AR197-1),$O197)-MAX($N197,$E197)+1))+N($P197))))-IF(DAY((AR197-1))&lt;MIN(DAY(($E197+(IF(OR($N197="",$O197=""),0,MAX(0,MIN((AR197-1),$O197)-MAX($N197,$E197)+1))+N($P197)))),DAY(EOMONTH((AR197-1),0))),1,0))))</f>
        <v/>
      </c>
      <c r="AU197" s="11" t="str">
        <f aca="false">IF(AO197=0,"",IF(AS197="",AQ197,IF((AS197-1)&lt;($E197+(IF(OR($N197="",$O197=""),0,MAX(0,MIN((AS197-1),$O197)-MAX($N197,$E197)+1))+N($P197))),-1,12*(YEAR((AS197-1))-YEAR(($E197+(IF(OR($N197="",$O197=""),0,MAX(0,MIN((AS197-1),$O197)-MAX($N197,$E197)+1))+N($P197)))))+MONTH((AS197-1))-MONTH(($E197+(IF(OR($N197="",$O197=""),0,MAX(0,MIN((AS197-1),$O197)-MAX($N197,$E197)+1))+N($P197))))-IF(DAY((AS197-1))&lt;MIN(DAY(($E197+(IF(OR($N197="",$O197=""),0,MAX(0,MIN((AS197-1),$O197)-MAX($N197,$E197)+1))+N($P197)))),DAY(EOMONTH((AS197-1),0))),1,0))))</f>
        <v/>
      </c>
      <c r="AV197" s="11" t="str">
        <f aca="false">IF(AO197=0,"",IF($F197="","None",IF(IFERROR(VLOOKUP($F197,TypeTable,2,0),"None")="PT",IF(N($G197)&gt;=PT_MinHours,"PT","None"),IFERROR(VLOOKUP($F197,TypeTable,2,0),"None"))))</f>
        <v/>
      </c>
      <c r="AW197" s="11" t="str">
        <f aca="false">IF(AO197=0,"",IF($I197="","None",IF(IFERROR(VLOOKUP($I197,TypeTable,2,0),"None")="PT",IF(N($J197)&gt;=PT_MinHours,"PT","None"),IFERROR(VLOOKUP($I197,TypeTable,2,0),"None"))))</f>
        <v/>
      </c>
      <c r="AX197" s="11" t="str">
        <f aca="false">IF(AO197=0,"",IF($L197="","None",IF(IFERROR(VLOOKUP($L197,TypeTable,2,0),"None")="PT",IF(N($M197)&gt;=PT_MinHours,"PT","None"),IFERROR(VLOOKUP($L197,TypeTable,2,0),"None"))))</f>
        <v/>
      </c>
      <c r="AY197" s="11" t="str">
        <f aca="false">IF(AO197=0,"",IF(AS197&lt;&gt;"",AX197,IF(AR197&lt;&gt;"",AW197,AV197)))</f>
        <v/>
      </c>
      <c r="AZ197" s="11" t="str">
        <f aca="false">IF(AO197=0,"",IF(AV197="FT",IF(AT197&lt;FT_First,0,IF(AT197&lt;FT_Y5,1+INT((AT197-FT_First)/FT_Int1),FT_PreY5+FT_PerYear*INT((AT197-FT_Y5)/12)+FT_AnnivDays+INT(MOD(AT197-FT_Y5,12)/FT_Int2))),IF(AV197="PT",IF(AT197&lt;PT_First,0,1+INT((AT197-PT_First)/PT_Int)),0)))</f>
        <v/>
      </c>
      <c r="BA197" s="11" t="str">
        <f aca="false">IF(AO197=0,"",IF(AW197="FT",IF(AT197&lt;FT_First,0,IF(AT197&lt;FT_Y5,1+INT((AT197-FT_First)/FT_Int1),FT_PreY5+FT_PerYear*INT((AT197-FT_Y5)/12)+FT_AnnivDays+INT(MOD(AT197-FT_Y5,12)/FT_Int2))),IF(AW197="PT",IF(AT197&lt;PT_First,0,1+INT((AT197-PT_First)/PT_Int)),0)))</f>
        <v/>
      </c>
      <c r="BB197" s="11" t="str">
        <f aca="false">IF(AO197=0,"",IF(AW197="FT",IF(AU197&lt;FT_First,0,IF(AU197&lt;FT_Y5,1+INT((AU197-FT_First)/FT_Int1),FT_PreY5+FT_PerYear*INT((AU197-FT_Y5)/12)+FT_AnnivDays+INT(MOD(AU197-FT_Y5,12)/FT_Int2))),IF(AW197="PT",IF(AU197&lt;PT_First,0,1+INT((AU197-PT_First)/PT_Int)),0)))</f>
        <v/>
      </c>
      <c r="BC197" s="11" t="str">
        <f aca="false">IF(AO197=0,"",IF(AX197="FT",IF(AU197&lt;FT_First,0,IF(AU197&lt;FT_Y5,1+INT((AU197-FT_First)/FT_Int1),FT_PreY5+FT_PerYear*INT((AU197-FT_Y5)/12)+FT_AnnivDays+INT(MOD(AU197-FT_Y5,12)/FT_Int2))),IF(AX197="PT",IF(AU197&lt;PT_First,0,1+INT((AU197-PT_First)/PT_Int)),0)))</f>
        <v/>
      </c>
      <c r="BD197" s="11" t="str">
        <f aca="false">IF(AO197=0,"",IF(AX197="FT",IF(AQ197&lt;FT_First,0,IF(AQ197&lt;FT_Y5,1+INT((AQ197-FT_First)/FT_Int1),FT_PreY5+FT_PerYear*INT((AQ197-FT_Y5)/12)+FT_AnnivDays+INT(MOD(AQ197-FT_Y5,12)/FT_Int2))),IF(AX197="PT",IF(AQ197&lt;PT_First,0,1+INT((AQ197-PT_First)/PT_Int)),0)))</f>
        <v/>
      </c>
      <c r="BE197" s="11" t="str">
        <f aca="false">IF(AO197=0,"",IF(AY197="FT",IF(AQ197&lt;FT_First,FT_First,IF(AQ197&lt;FT_Y5,MIN(FT_Y5,FT_First+FT_Int1*(INT((AQ197-FT_First)/FT_Int1)+1)),FT_Y5+12*INT((AQ197-FT_Y5)/12)+FT_Int2*(INT(MOD(AQ197-FT_Y5,12)/FT_Int2)+1))),IF(AY197="PT",IF(AQ197&lt;PT_First,PT_First,PT_First+PT_Int*(INT((AQ197-PT_First)/PT_Int)+1)),"")))</f>
        <v/>
      </c>
      <c r="BF197" s="11" t="n">
        <f aca="false">IF(AO197=0,0,IF(AND($Q197&lt;&gt;"",$Q197&lt;=AsOfDate),1,0))</f>
        <v>0</v>
      </c>
      <c r="BG197" s="11" t="str">
        <f aca="false">IF(AND(AO197=1,BF197=0,EH_Ready,N(AB197)&gt;0,N(AI197)=0),COUNT($BG$5:BG196)+1,"")</f>
        <v/>
      </c>
      <c r="BH197" s="11" t="str">
        <f aca="false">IF(AND(AO197=1,BF197=0,EH_Ready,N(AB197)&gt;0,N(AI197)&gt;0,N(AK197)&gt;0),COUNT($BH$5:BH196)+1,"")</f>
        <v/>
      </c>
      <c r="BI197" s="11" t="str">
        <f aca="false">IF(AND(AO197=1,OR(LEFT(AM197,3)="ADD",LEFT(AM197,3)="SET",LEFT(AM197,5)="CHECK",LEFT(AM197,10)="TERMINATED")),COUNT($BI$5:BI196)+1,"")</f>
        <v/>
      </c>
      <c r="BJ197" s="11" t="str">
        <f aca="false">IF(AO197=0,"",$A197&amp;" - "&amp;$B197&amp;" "&amp;$C197)</f>
        <v/>
      </c>
    </row>
    <row r="198" customFormat="false" ht="15" hidden="false" customHeight="false" outlineLevel="0" collapsed="false">
      <c r="A198" s="10"/>
      <c r="B198" s="10"/>
      <c r="C198" s="10"/>
      <c r="D198" s="10"/>
      <c r="E198" s="9"/>
      <c r="F198" s="10"/>
      <c r="G198" s="30"/>
      <c r="H198" s="9"/>
      <c r="I198" s="10"/>
      <c r="J198" s="30"/>
      <c r="K198" s="9"/>
      <c r="L198" s="10"/>
      <c r="M198" s="30"/>
      <c r="N198" s="9"/>
      <c r="O198" s="9"/>
      <c r="P198" s="30"/>
      <c r="Q198" s="9"/>
      <c r="R198" s="10"/>
      <c r="S198" s="11" t="str">
        <f aca="false">IF(AO198=0,"",IF($H198="","",$F198&amp;" -&gt; "&amp;$I198&amp;IF($I198="Part-Time"," ("&amp;N($J198)&amp;" hrs)","")&amp;" on "&amp;TEXT($H198,"dd/mm/yyyy")&amp;IF($H198&gt;AsOfDate," (FUTURE)","")&amp;IF($K198="","","; "&amp;$I198&amp;" -&gt; "&amp;$L198&amp;IF($L198="Part-Time"," ("&amp;N($M198)&amp;" hrs)","")&amp;" on "&amp;TEXT($K198,"dd/mm/yyyy")&amp;IF($K198&gt;AsOfDate," (FUTURE)",""))))</f>
        <v/>
      </c>
      <c r="T198" s="11" t="str">
        <f aca="false">IF(AO198=0,"",IF(AS198&lt;&gt;"",$L198,IF(AR198&lt;&gt;"",$I198,$F198)))</f>
        <v/>
      </c>
      <c r="U198" s="26" t="str">
        <f aca="false">IF(AO198=0,"",IF(AS198&lt;&gt;"",$M198,IF(AR198&lt;&gt;"",$J198,$G198)))</f>
        <v/>
      </c>
      <c r="V198" s="11" t="str">
        <f aca="false">IF(AO198=0,"",IF(AY198="FT","Full-Time",IF(AY198="PT","Part-Time","Not eligible")))</f>
        <v/>
      </c>
      <c r="W198" s="27" t="str">
        <f aca="false">IF(AO198=0,"",IF(AR198="",IF(AND($H198&lt;&gt;"",$H198&gt;AsOfDate),"Future change - not yet applied",""),IF(AND(AV198=AY198,OR(AS198="",AW198=AV198)),"Type changed - same accrual pathway",IF(AY198="None","STOPPED accruing from "&amp;TEXT(IF(AS198&lt;&gt;"",AS198,AR198),"dd/mm/yyyy"),IF(AV198="None","STARTED qualifying from "&amp;TEXT(IF(AS198&lt;&gt;"",AS198,AR198),"dd/mm/yyyy"),"Pathway changed "&amp;AV198&amp;" -&gt; "&amp;AW198&amp;IF(AS198&lt;&gt;""," -&gt; "&amp;AX198,"")&amp;" from "&amp;TEXT(IF(AS198&lt;&gt;"",AS198,AR198),"dd/mm/yyyy"))))))</f>
        <v/>
      </c>
      <c r="X198" s="28" t="str">
        <f aca="false">IF(AO198=0,"",IF($Q198="",AsOfDate,MIN(AsOfDate,$Q198)))</f>
        <v/>
      </c>
      <c r="Y198" s="26" t="str">
        <f aca="false">IF(AO198=0,"",MAX(0,AQ198))</f>
        <v/>
      </c>
      <c r="Z198" s="11" t="str">
        <f aca="false">IF(AO198=0,"",IF(AQ198&lt;0,"Not started",INT(AQ198/12)&amp;"y "&amp;MOD(AQ198,12)&amp;"m"))</f>
        <v/>
      </c>
      <c r="AA198" s="27" t="str">
        <f aca="false">IF(AO198=0,"",IF(BF198=1,"Terminated - balance forfeited",IF(AY198="None",IF(AB198&gt;0,"No longer accruing - "&amp;T198,"Not eligible - "&amp;T198&amp;IF(AND(IFERROR(VLOOKUP(T198,TypeTable,2,0),"None")="PT",N(U198)&lt;PT_MinHours)," (under "&amp;PT_MinHours&amp;" hrs)","")),IF(AB198&gt;0,"Yes - accruing","Not yet - qualifies "&amp;TEXT(AD198,"dd/mm/yyyy")))))</f>
        <v/>
      </c>
      <c r="AB198" s="26" t="str">
        <f aca="false">IF(AO198=0,"",AZ198+IF(AR198="",0,BB198-BA198)+IF(AS198="",0,BD198-BC198))</f>
        <v/>
      </c>
      <c r="AC198" s="26" t="str">
        <f aca="false">IF(AO198=0,"",AB198*HoursPerDay)</f>
        <v/>
      </c>
      <c r="AD198" s="28" t="str">
        <f aca="false">IF(AO198=0,"",IF(OR(BF198=1,AY198="None"),"",EDATE($E198+AP198,BE198)))</f>
        <v/>
      </c>
      <c r="AE198" s="26" t="str">
        <f aca="false">IF(AD198="","",IF(AY198="PT",1,IF(BE198&lt;FT_Y5,1,IF(MOD(BE198-FT_Y5,12)=0,FT_AnnivDays,1))))</f>
        <v/>
      </c>
      <c r="AF198" s="27" t="str">
        <f aca="false">IF(AO198=0,"",IF(NOT(EH_Ready),"Map headers",IF(IF(MatchMode="Employee ID",COUNTIFS(INDEX(EH_Data,0,EH_ColID),$A198,INDEX(EH_Data,0,EH_ColCat),BonusCat),COUNTIFS(INDEX(EH_Data,0,EH_ColFirst),$B198,INDEX(EH_Data,0,EH_ColSur),$C198,INDEX(EH_Data,0,EH_ColCat),BonusCat))&gt;0,"Yes","No")))</f>
        <v/>
      </c>
      <c r="AG198" s="26" t="str">
        <f aca="false">IF(AO198=0,"",IF(NOT(EH_Ready),"",IF(MatchMode="Employee ID",SUMIFS(INDEX(EH_Data,0,EH_ColBal),INDEX(EH_Data,0,EH_ColID),$A198,INDEX(EH_Data,0,EH_ColCat),BonusCat),SUMIFS(INDEX(EH_Data,0,EH_ColBal),INDEX(EH_Data,0,EH_ColFirst),$B198,INDEX(EH_Data,0,EH_ColSur),$C198,INDEX(EH_Data,0,EH_ColCat),BonusCat))/IF(EHUnit="Hours",HoursPerDay,1)))</f>
        <v/>
      </c>
      <c r="AH198" s="26" t="str">
        <f aca="false">IF(AO198=0,"",IF(NOT(TK_Ready),0,IF(MatchMode="Employee ID",SUMIFS(INDEX(TK_Data,0,TK_ColAmt),INDEX(TK_Data,0,TK_ColID),$A198,INDEX(TK_Data,0,TK_ColCat),BonusCat),SUMIFS(INDEX(TK_Data,0,TK_ColAmt),INDEX(TK_Data,0,TK_ColFirst),$B198,INDEX(TK_Data,0,TK_ColSur),$C198,INDEX(TK_Data,0,TK_ColCat),BonusCat))/IF(TKUnit="Hours",HoursPerDay,1)))</f>
        <v/>
      </c>
      <c r="AI198" s="26" t="str">
        <f aca="false">IF(AO198=0,"",N(AG198)+N(AH198))</f>
        <v/>
      </c>
      <c r="AJ198" s="29" t="str">
        <f aca="false">IF(AO198=0,"",IF(NOT(AND(EH_Ready,EH_ValReady)),"",IF(MatchMode="Employee ID",SUMIFS(INDEX(EH_Data,0,EH_ColVal),INDEX(EH_Data,0,EH_ColID),$A198,INDEX(EH_Data,0,EH_ColCat),BonusCat),SUMIFS(INDEX(EH_Data,0,EH_ColVal),INDEX(EH_Data,0,EH_ColFirst),$B198,INDEX(EH_Data,0,EH_ColSur),$C198,INDEX(EH_Data,0,EH_ColCat),BonusCat))))</f>
        <v/>
      </c>
      <c r="AK198" s="26" t="str">
        <f aca="false">IF(AO198=0,"",IF(OR(NOT(EH_Ready),BF198=1),"",AB198-AI198))</f>
        <v/>
      </c>
      <c r="AL198" s="26" t="str">
        <f aca="false">IF(AK198="","",AK198*HoursPerDay)</f>
        <v/>
      </c>
      <c r="AM198" s="27" t="str">
        <f aca="false">IF(AO198=0,"",IF(BF198=1,IF(N(AG198)&gt;0,"TERMINATED - forfeit "&amp;TEXT(AG198,"0.##")&amp;" days still in EH","Terminated - nothing in EH"),IF(NOT(EH_Ready),"Paste EH export and map headers on Settings",IF(AND(AB198&gt;0,AF198="No"),"SET UP in EH - add "&amp;TEXT(AB198,"0.##")&amp;" day(s) ("&amp;TEXT(AC198,"0.##")&amp;" hrs)",IF(AK198&gt;0,"ADD "&amp;TEXT(AK198,"0.##")&amp;" day(s) ("&amp;TEXT(AL198,"0.##")&amp;" hrs) in EH",IF(AK198&lt;0,"CHECK - EH shows "&amp;TEXT(-AK198,"0.##")&amp;" days more than policy",IF(AB198&gt;0,"OK - up to date",IF(AY198="None","No action - not eligible","No action - not yet qualified"))))))))</f>
        <v/>
      </c>
      <c r="AN198" s="27" t="str">
        <f aca="false">IF(AO198=0,"",TRIM(IF(AND($K198&lt;&gt;"",$H198=""),"Change 2 entered without Change 1. ","")&amp;IF(AND($K198&lt;&gt;"",$H198&lt;&gt;"",$K198&lt;=$H198),"Change 2 date not after Change 1. ","")&amp;IF(AND($N198&lt;&gt;"",$O198&lt;&gt;"",$O198&lt;$N198),"Leave To is before Leave From. ","")&amp;IF(AND($N198&lt;&gt;"",$O198=""),"Leave From entered without Leave To. ","")&amp;IF(AND(IFERROR(VLOOKUP(T198,TypeTable,2,0),"None")="PT",U198=""),"Part-time with no hours entered. ","")&amp;IF(AND($H198&lt;&gt;"",$H198&gt;AsOfDate,AD198&lt;&gt;"",$H198&lt;=AD198),"Status change lands before next accrual - review. ","")&amp;IF(AND($Q198&lt;&gt;"",$Q198&lt;$E198),"Termination before commencement. ","")))</f>
        <v/>
      </c>
      <c r="AO198" s="11" t="n">
        <f aca="false">IF(LEN($A198&amp;$B198&amp;$C198)=0,0,IF($E198="",0,1))</f>
        <v>0</v>
      </c>
      <c r="AP198" s="11" t="str">
        <f aca="false">IF(AO198=0,"",(IF(OR($N198="",$O198=""),0,MAX(0,MIN(X198,$O198)-MAX($N198,$E198)+1))+N($P198)))</f>
        <v/>
      </c>
      <c r="AQ198" s="11" t="str">
        <f aca="false">IF(AO198=0,"",IF(X198&lt;($E198+(IF(OR($N198="",$O198=""),0,MAX(0,MIN(X198,$O198)-MAX($N198,$E198)+1))+N($P198))),-1,12*(YEAR(X198)-YEAR(($E198+(IF(OR($N198="",$O198=""),0,MAX(0,MIN(X198,$O198)-MAX($N198,$E198)+1))+N($P198)))))+MONTH(X198)-MONTH(($E198+(IF(OR($N198="",$O198=""),0,MAX(0,MIN(X198,$O198)-MAX($N198,$E198)+1))+N($P198))))-IF(DAY(X198)&lt;MIN(DAY(($E198+(IF(OR($N198="",$O198=""),0,MAX(0,MIN(X198,$O198)-MAX($N198,$E198)+1))+N($P198)))),DAY(EOMONTH(X198,0))),1,0)))</f>
        <v/>
      </c>
      <c r="AR198" s="28" t="str">
        <f aca="false">IF(AO198=0,"",IF($H198="","",IF($H198&gt;X198,"",$H198)))</f>
        <v/>
      </c>
      <c r="AS198" s="28" t="str">
        <f aca="false">IF(AO198=0,"",IF(AR198="","",IF($K198="","",IF($K198&gt;X198,"",$K198))))</f>
        <v/>
      </c>
      <c r="AT198" s="11" t="str">
        <f aca="false">IF(AO198=0,"",IF(AR198="",AQ198,IF((AR198-1)&lt;($E198+(IF(OR($N198="",$O198=""),0,MAX(0,MIN((AR198-1),$O198)-MAX($N198,$E198)+1))+N($P198))),-1,12*(YEAR((AR198-1))-YEAR(($E198+(IF(OR($N198="",$O198=""),0,MAX(0,MIN((AR198-1),$O198)-MAX($N198,$E198)+1))+N($P198)))))+MONTH((AR198-1))-MONTH(($E198+(IF(OR($N198="",$O198=""),0,MAX(0,MIN((AR198-1),$O198)-MAX($N198,$E198)+1))+N($P198))))-IF(DAY((AR198-1))&lt;MIN(DAY(($E198+(IF(OR($N198="",$O198=""),0,MAX(0,MIN((AR198-1),$O198)-MAX($N198,$E198)+1))+N($P198)))),DAY(EOMONTH((AR198-1),0))),1,0))))</f>
        <v/>
      </c>
      <c r="AU198" s="11" t="str">
        <f aca="false">IF(AO198=0,"",IF(AS198="",AQ198,IF((AS198-1)&lt;($E198+(IF(OR($N198="",$O198=""),0,MAX(0,MIN((AS198-1),$O198)-MAX($N198,$E198)+1))+N($P198))),-1,12*(YEAR((AS198-1))-YEAR(($E198+(IF(OR($N198="",$O198=""),0,MAX(0,MIN((AS198-1),$O198)-MAX($N198,$E198)+1))+N($P198)))))+MONTH((AS198-1))-MONTH(($E198+(IF(OR($N198="",$O198=""),0,MAX(0,MIN((AS198-1),$O198)-MAX($N198,$E198)+1))+N($P198))))-IF(DAY((AS198-1))&lt;MIN(DAY(($E198+(IF(OR($N198="",$O198=""),0,MAX(0,MIN((AS198-1),$O198)-MAX($N198,$E198)+1))+N($P198)))),DAY(EOMONTH((AS198-1),0))),1,0))))</f>
        <v/>
      </c>
      <c r="AV198" s="11" t="str">
        <f aca="false">IF(AO198=0,"",IF($F198="","None",IF(IFERROR(VLOOKUP($F198,TypeTable,2,0),"None")="PT",IF(N($G198)&gt;=PT_MinHours,"PT","None"),IFERROR(VLOOKUP($F198,TypeTable,2,0),"None"))))</f>
        <v/>
      </c>
      <c r="AW198" s="11" t="str">
        <f aca="false">IF(AO198=0,"",IF($I198="","None",IF(IFERROR(VLOOKUP($I198,TypeTable,2,0),"None")="PT",IF(N($J198)&gt;=PT_MinHours,"PT","None"),IFERROR(VLOOKUP($I198,TypeTable,2,0),"None"))))</f>
        <v/>
      </c>
      <c r="AX198" s="11" t="str">
        <f aca="false">IF(AO198=0,"",IF($L198="","None",IF(IFERROR(VLOOKUP($L198,TypeTable,2,0),"None")="PT",IF(N($M198)&gt;=PT_MinHours,"PT","None"),IFERROR(VLOOKUP($L198,TypeTable,2,0),"None"))))</f>
        <v/>
      </c>
      <c r="AY198" s="11" t="str">
        <f aca="false">IF(AO198=0,"",IF(AS198&lt;&gt;"",AX198,IF(AR198&lt;&gt;"",AW198,AV198)))</f>
        <v/>
      </c>
      <c r="AZ198" s="11" t="str">
        <f aca="false">IF(AO198=0,"",IF(AV198="FT",IF(AT198&lt;FT_First,0,IF(AT198&lt;FT_Y5,1+INT((AT198-FT_First)/FT_Int1),FT_PreY5+FT_PerYear*INT((AT198-FT_Y5)/12)+FT_AnnivDays+INT(MOD(AT198-FT_Y5,12)/FT_Int2))),IF(AV198="PT",IF(AT198&lt;PT_First,0,1+INT((AT198-PT_First)/PT_Int)),0)))</f>
        <v/>
      </c>
      <c r="BA198" s="11" t="str">
        <f aca="false">IF(AO198=0,"",IF(AW198="FT",IF(AT198&lt;FT_First,0,IF(AT198&lt;FT_Y5,1+INT((AT198-FT_First)/FT_Int1),FT_PreY5+FT_PerYear*INT((AT198-FT_Y5)/12)+FT_AnnivDays+INT(MOD(AT198-FT_Y5,12)/FT_Int2))),IF(AW198="PT",IF(AT198&lt;PT_First,0,1+INT((AT198-PT_First)/PT_Int)),0)))</f>
        <v/>
      </c>
      <c r="BB198" s="11" t="str">
        <f aca="false">IF(AO198=0,"",IF(AW198="FT",IF(AU198&lt;FT_First,0,IF(AU198&lt;FT_Y5,1+INT((AU198-FT_First)/FT_Int1),FT_PreY5+FT_PerYear*INT((AU198-FT_Y5)/12)+FT_AnnivDays+INT(MOD(AU198-FT_Y5,12)/FT_Int2))),IF(AW198="PT",IF(AU198&lt;PT_First,0,1+INT((AU198-PT_First)/PT_Int)),0)))</f>
        <v/>
      </c>
      <c r="BC198" s="11" t="str">
        <f aca="false">IF(AO198=0,"",IF(AX198="FT",IF(AU198&lt;FT_First,0,IF(AU198&lt;FT_Y5,1+INT((AU198-FT_First)/FT_Int1),FT_PreY5+FT_PerYear*INT((AU198-FT_Y5)/12)+FT_AnnivDays+INT(MOD(AU198-FT_Y5,12)/FT_Int2))),IF(AX198="PT",IF(AU198&lt;PT_First,0,1+INT((AU198-PT_First)/PT_Int)),0)))</f>
        <v/>
      </c>
      <c r="BD198" s="11" t="str">
        <f aca="false">IF(AO198=0,"",IF(AX198="FT",IF(AQ198&lt;FT_First,0,IF(AQ198&lt;FT_Y5,1+INT((AQ198-FT_First)/FT_Int1),FT_PreY5+FT_PerYear*INT((AQ198-FT_Y5)/12)+FT_AnnivDays+INT(MOD(AQ198-FT_Y5,12)/FT_Int2))),IF(AX198="PT",IF(AQ198&lt;PT_First,0,1+INT((AQ198-PT_First)/PT_Int)),0)))</f>
        <v/>
      </c>
      <c r="BE198" s="11" t="str">
        <f aca="false">IF(AO198=0,"",IF(AY198="FT",IF(AQ198&lt;FT_First,FT_First,IF(AQ198&lt;FT_Y5,MIN(FT_Y5,FT_First+FT_Int1*(INT((AQ198-FT_First)/FT_Int1)+1)),FT_Y5+12*INT((AQ198-FT_Y5)/12)+FT_Int2*(INT(MOD(AQ198-FT_Y5,12)/FT_Int2)+1))),IF(AY198="PT",IF(AQ198&lt;PT_First,PT_First,PT_First+PT_Int*(INT((AQ198-PT_First)/PT_Int)+1)),"")))</f>
        <v/>
      </c>
      <c r="BF198" s="11" t="n">
        <f aca="false">IF(AO198=0,0,IF(AND($Q198&lt;&gt;"",$Q198&lt;=AsOfDate),1,0))</f>
        <v>0</v>
      </c>
      <c r="BG198" s="11" t="str">
        <f aca="false">IF(AND(AO198=1,BF198=0,EH_Ready,N(AB198)&gt;0,N(AI198)=0),COUNT($BG$5:BG197)+1,"")</f>
        <v/>
      </c>
      <c r="BH198" s="11" t="str">
        <f aca="false">IF(AND(AO198=1,BF198=0,EH_Ready,N(AB198)&gt;0,N(AI198)&gt;0,N(AK198)&gt;0),COUNT($BH$5:BH197)+1,"")</f>
        <v/>
      </c>
      <c r="BI198" s="11" t="str">
        <f aca="false">IF(AND(AO198=1,OR(LEFT(AM198,3)="ADD",LEFT(AM198,3)="SET",LEFT(AM198,5)="CHECK",LEFT(AM198,10)="TERMINATED")),COUNT($BI$5:BI197)+1,"")</f>
        <v/>
      </c>
      <c r="BJ198" s="11" t="str">
        <f aca="false">IF(AO198=0,"",$A198&amp;" - "&amp;$B198&amp;" "&amp;$C198)</f>
        <v/>
      </c>
    </row>
    <row r="199" customFormat="false" ht="15" hidden="false" customHeight="false" outlineLevel="0" collapsed="false">
      <c r="A199" s="10"/>
      <c r="B199" s="10"/>
      <c r="C199" s="10"/>
      <c r="D199" s="10"/>
      <c r="E199" s="9"/>
      <c r="F199" s="10"/>
      <c r="G199" s="30"/>
      <c r="H199" s="9"/>
      <c r="I199" s="10"/>
      <c r="J199" s="30"/>
      <c r="K199" s="9"/>
      <c r="L199" s="10"/>
      <c r="M199" s="30"/>
      <c r="N199" s="9"/>
      <c r="O199" s="9"/>
      <c r="P199" s="30"/>
      <c r="Q199" s="9"/>
      <c r="R199" s="10"/>
      <c r="S199" s="11" t="str">
        <f aca="false">IF(AO199=0,"",IF($H199="","",$F199&amp;" -&gt; "&amp;$I199&amp;IF($I199="Part-Time"," ("&amp;N($J199)&amp;" hrs)","")&amp;" on "&amp;TEXT($H199,"dd/mm/yyyy")&amp;IF($H199&gt;AsOfDate," (FUTURE)","")&amp;IF($K199="","","; "&amp;$I199&amp;" -&gt; "&amp;$L199&amp;IF($L199="Part-Time"," ("&amp;N($M199)&amp;" hrs)","")&amp;" on "&amp;TEXT($K199,"dd/mm/yyyy")&amp;IF($K199&gt;AsOfDate," (FUTURE)",""))))</f>
        <v/>
      </c>
      <c r="T199" s="11" t="str">
        <f aca="false">IF(AO199=0,"",IF(AS199&lt;&gt;"",$L199,IF(AR199&lt;&gt;"",$I199,$F199)))</f>
        <v/>
      </c>
      <c r="U199" s="26" t="str">
        <f aca="false">IF(AO199=0,"",IF(AS199&lt;&gt;"",$M199,IF(AR199&lt;&gt;"",$J199,$G199)))</f>
        <v/>
      </c>
      <c r="V199" s="11" t="str">
        <f aca="false">IF(AO199=0,"",IF(AY199="FT","Full-Time",IF(AY199="PT","Part-Time","Not eligible")))</f>
        <v/>
      </c>
      <c r="W199" s="27" t="str">
        <f aca="false">IF(AO199=0,"",IF(AR199="",IF(AND($H199&lt;&gt;"",$H199&gt;AsOfDate),"Future change - not yet applied",""),IF(AND(AV199=AY199,OR(AS199="",AW199=AV199)),"Type changed - same accrual pathway",IF(AY199="None","STOPPED accruing from "&amp;TEXT(IF(AS199&lt;&gt;"",AS199,AR199),"dd/mm/yyyy"),IF(AV199="None","STARTED qualifying from "&amp;TEXT(IF(AS199&lt;&gt;"",AS199,AR199),"dd/mm/yyyy"),"Pathway changed "&amp;AV199&amp;" -&gt; "&amp;AW199&amp;IF(AS199&lt;&gt;""," -&gt; "&amp;AX199,"")&amp;" from "&amp;TEXT(IF(AS199&lt;&gt;"",AS199,AR199),"dd/mm/yyyy"))))))</f>
        <v/>
      </c>
      <c r="X199" s="28" t="str">
        <f aca="false">IF(AO199=0,"",IF($Q199="",AsOfDate,MIN(AsOfDate,$Q199)))</f>
        <v/>
      </c>
      <c r="Y199" s="26" t="str">
        <f aca="false">IF(AO199=0,"",MAX(0,AQ199))</f>
        <v/>
      </c>
      <c r="Z199" s="11" t="str">
        <f aca="false">IF(AO199=0,"",IF(AQ199&lt;0,"Not started",INT(AQ199/12)&amp;"y "&amp;MOD(AQ199,12)&amp;"m"))</f>
        <v/>
      </c>
      <c r="AA199" s="27" t="str">
        <f aca="false">IF(AO199=0,"",IF(BF199=1,"Terminated - balance forfeited",IF(AY199="None",IF(AB199&gt;0,"No longer accruing - "&amp;T199,"Not eligible - "&amp;T199&amp;IF(AND(IFERROR(VLOOKUP(T199,TypeTable,2,0),"None")="PT",N(U199)&lt;PT_MinHours)," (under "&amp;PT_MinHours&amp;" hrs)","")),IF(AB199&gt;0,"Yes - accruing","Not yet - qualifies "&amp;TEXT(AD199,"dd/mm/yyyy")))))</f>
        <v/>
      </c>
      <c r="AB199" s="26" t="str">
        <f aca="false">IF(AO199=0,"",AZ199+IF(AR199="",0,BB199-BA199)+IF(AS199="",0,BD199-BC199))</f>
        <v/>
      </c>
      <c r="AC199" s="26" t="str">
        <f aca="false">IF(AO199=0,"",AB199*HoursPerDay)</f>
        <v/>
      </c>
      <c r="AD199" s="28" t="str">
        <f aca="false">IF(AO199=0,"",IF(OR(BF199=1,AY199="None"),"",EDATE($E199+AP199,BE199)))</f>
        <v/>
      </c>
      <c r="AE199" s="26" t="str">
        <f aca="false">IF(AD199="","",IF(AY199="PT",1,IF(BE199&lt;FT_Y5,1,IF(MOD(BE199-FT_Y5,12)=0,FT_AnnivDays,1))))</f>
        <v/>
      </c>
      <c r="AF199" s="27" t="str">
        <f aca="false">IF(AO199=0,"",IF(NOT(EH_Ready),"Map headers",IF(IF(MatchMode="Employee ID",COUNTIFS(INDEX(EH_Data,0,EH_ColID),$A199,INDEX(EH_Data,0,EH_ColCat),BonusCat),COUNTIFS(INDEX(EH_Data,0,EH_ColFirst),$B199,INDEX(EH_Data,0,EH_ColSur),$C199,INDEX(EH_Data,0,EH_ColCat),BonusCat))&gt;0,"Yes","No")))</f>
        <v/>
      </c>
      <c r="AG199" s="26" t="str">
        <f aca="false">IF(AO199=0,"",IF(NOT(EH_Ready),"",IF(MatchMode="Employee ID",SUMIFS(INDEX(EH_Data,0,EH_ColBal),INDEX(EH_Data,0,EH_ColID),$A199,INDEX(EH_Data,0,EH_ColCat),BonusCat),SUMIFS(INDEX(EH_Data,0,EH_ColBal),INDEX(EH_Data,0,EH_ColFirst),$B199,INDEX(EH_Data,0,EH_ColSur),$C199,INDEX(EH_Data,0,EH_ColCat),BonusCat))/IF(EHUnit="Hours",HoursPerDay,1)))</f>
        <v/>
      </c>
      <c r="AH199" s="26" t="str">
        <f aca="false">IF(AO199=0,"",IF(NOT(TK_Ready),0,IF(MatchMode="Employee ID",SUMIFS(INDEX(TK_Data,0,TK_ColAmt),INDEX(TK_Data,0,TK_ColID),$A199,INDEX(TK_Data,0,TK_ColCat),BonusCat),SUMIFS(INDEX(TK_Data,0,TK_ColAmt),INDEX(TK_Data,0,TK_ColFirst),$B199,INDEX(TK_Data,0,TK_ColSur),$C199,INDEX(TK_Data,0,TK_ColCat),BonusCat))/IF(TKUnit="Hours",HoursPerDay,1)))</f>
        <v/>
      </c>
      <c r="AI199" s="26" t="str">
        <f aca="false">IF(AO199=0,"",N(AG199)+N(AH199))</f>
        <v/>
      </c>
      <c r="AJ199" s="29" t="str">
        <f aca="false">IF(AO199=0,"",IF(NOT(AND(EH_Ready,EH_ValReady)),"",IF(MatchMode="Employee ID",SUMIFS(INDEX(EH_Data,0,EH_ColVal),INDEX(EH_Data,0,EH_ColID),$A199,INDEX(EH_Data,0,EH_ColCat),BonusCat),SUMIFS(INDEX(EH_Data,0,EH_ColVal),INDEX(EH_Data,0,EH_ColFirst),$B199,INDEX(EH_Data,0,EH_ColSur),$C199,INDEX(EH_Data,0,EH_ColCat),BonusCat))))</f>
        <v/>
      </c>
      <c r="AK199" s="26" t="str">
        <f aca="false">IF(AO199=0,"",IF(OR(NOT(EH_Ready),BF199=1),"",AB199-AI199))</f>
        <v/>
      </c>
      <c r="AL199" s="26" t="str">
        <f aca="false">IF(AK199="","",AK199*HoursPerDay)</f>
        <v/>
      </c>
      <c r="AM199" s="27" t="str">
        <f aca="false">IF(AO199=0,"",IF(BF199=1,IF(N(AG199)&gt;0,"TERMINATED - forfeit "&amp;TEXT(AG199,"0.##")&amp;" days still in EH","Terminated - nothing in EH"),IF(NOT(EH_Ready),"Paste EH export and map headers on Settings",IF(AND(AB199&gt;0,AF199="No"),"SET UP in EH - add "&amp;TEXT(AB199,"0.##")&amp;" day(s) ("&amp;TEXT(AC199,"0.##")&amp;" hrs)",IF(AK199&gt;0,"ADD "&amp;TEXT(AK199,"0.##")&amp;" day(s) ("&amp;TEXT(AL199,"0.##")&amp;" hrs) in EH",IF(AK199&lt;0,"CHECK - EH shows "&amp;TEXT(-AK199,"0.##")&amp;" days more than policy",IF(AB199&gt;0,"OK - up to date",IF(AY199="None","No action - not eligible","No action - not yet qualified"))))))))</f>
        <v/>
      </c>
      <c r="AN199" s="27" t="str">
        <f aca="false">IF(AO199=0,"",TRIM(IF(AND($K199&lt;&gt;"",$H199=""),"Change 2 entered without Change 1. ","")&amp;IF(AND($K199&lt;&gt;"",$H199&lt;&gt;"",$K199&lt;=$H199),"Change 2 date not after Change 1. ","")&amp;IF(AND($N199&lt;&gt;"",$O199&lt;&gt;"",$O199&lt;$N199),"Leave To is before Leave From. ","")&amp;IF(AND($N199&lt;&gt;"",$O199=""),"Leave From entered without Leave To. ","")&amp;IF(AND(IFERROR(VLOOKUP(T199,TypeTable,2,0),"None")="PT",U199=""),"Part-time with no hours entered. ","")&amp;IF(AND($H199&lt;&gt;"",$H199&gt;AsOfDate,AD199&lt;&gt;"",$H199&lt;=AD199),"Status change lands before next accrual - review. ","")&amp;IF(AND($Q199&lt;&gt;"",$Q199&lt;$E199),"Termination before commencement. ","")))</f>
        <v/>
      </c>
      <c r="AO199" s="11" t="n">
        <f aca="false">IF(LEN($A199&amp;$B199&amp;$C199)=0,0,IF($E199="",0,1))</f>
        <v>0</v>
      </c>
      <c r="AP199" s="11" t="str">
        <f aca="false">IF(AO199=0,"",(IF(OR($N199="",$O199=""),0,MAX(0,MIN(X199,$O199)-MAX($N199,$E199)+1))+N($P199)))</f>
        <v/>
      </c>
      <c r="AQ199" s="11" t="str">
        <f aca="false">IF(AO199=0,"",IF(X199&lt;($E199+(IF(OR($N199="",$O199=""),0,MAX(0,MIN(X199,$O199)-MAX($N199,$E199)+1))+N($P199))),-1,12*(YEAR(X199)-YEAR(($E199+(IF(OR($N199="",$O199=""),0,MAX(0,MIN(X199,$O199)-MAX($N199,$E199)+1))+N($P199)))))+MONTH(X199)-MONTH(($E199+(IF(OR($N199="",$O199=""),0,MAX(0,MIN(X199,$O199)-MAX($N199,$E199)+1))+N($P199))))-IF(DAY(X199)&lt;MIN(DAY(($E199+(IF(OR($N199="",$O199=""),0,MAX(0,MIN(X199,$O199)-MAX($N199,$E199)+1))+N($P199)))),DAY(EOMONTH(X199,0))),1,0)))</f>
        <v/>
      </c>
      <c r="AR199" s="28" t="str">
        <f aca="false">IF(AO199=0,"",IF($H199="","",IF($H199&gt;X199,"",$H199)))</f>
        <v/>
      </c>
      <c r="AS199" s="28" t="str">
        <f aca="false">IF(AO199=0,"",IF(AR199="","",IF($K199="","",IF($K199&gt;X199,"",$K199))))</f>
        <v/>
      </c>
      <c r="AT199" s="11" t="str">
        <f aca="false">IF(AO199=0,"",IF(AR199="",AQ199,IF((AR199-1)&lt;($E199+(IF(OR($N199="",$O199=""),0,MAX(0,MIN((AR199-1),$O199)-MAX($N199,$E199)+1))+N($P199))),-1,12*(YEAR((AR199-1))-YEAR(($E199+(IF(OR($N199="",$O199=""),0,MAX(0,MIN((AR199-1),$O199)-MAX($N199,$E199)+1))+N($P199)))))+MONTH((AR199-1))-MONTH(($E199+(IF(OR($N199="",$O199=""),0,MAX(0,MIN((AR199-1),$O199)-MAX($N199,$E199)+1))+N($P199))))-IF(DAY((AR199-1))&lt;MIN(DAY(($E199+(IF(OR($N199="",$O199=""),0,MAX(0,MIN((AR199-1),$O199)-MAX($N199,$E199)+1))+N($P199)))),DAY(EOMONTH((AR199-1),0))),1,0))))</f>
        <v/>
      </c>
      <c r="AU199" s="11" t="str">
        <f aca="false">IF(AO199=0,"",IF(AS199="",AQ199,IF((AS199-1)&lt;($E199+(IF(OR($N199="",$O199=""),0,MAX(0,MIN((AS199-1),$O199)-MAX($N199,$E199)+1))+N($P199))),-1,12*(YEAR((AS199-1))-YEAR(($E199+(IF(OR($N199="",$O199=""),0,MAX(0,MIN((AS199-1),$O199)-MAX($N199,$E199)+1))+N($P199)))))+MONTH((AS199-1))-MONTH(($E199+(IF(OR($N199="",$O199=""),0,MAX(0,MIN((AS199-1),$O199)-MAX($N199,$E199)+1))+N($P199))))-IF(DAY((AS199-1))&lt;MIN(DAY(($E199+(IF(OR($N199="",$O199=""),0,MAX(0,MIN((AS199-1),$O199)-MAX($N199,$E199)+1))+N($P199)))),DAY(EOMONTH((AS199-1),0))),1,0))))</f>
        <v/>
      </c>
      <c r="AV199" s="11" t="str">
        <f aca="false">IF(AO199=0,"",IF($F199="","None",IF(IFERROR(VLOOKUP($F199,TypeTable,2,0),"None")="PT",IF(N($G199)&gt;=PT_MinHours,"PT","None"),IFERROR(VLOOKUP($F199,TypeTable,2,0),"None"))))</f>
        <v/>
      </c>
      <c r="AW199" s="11" t="str">
        <f aca="false">IF(AO199=0,"",IF($I199="","None",IF(IFERROR(VLOOKUP($I199,TypeTable,2,0),"None")="PT",IF(N($J199)&gt;=PT_MinHours,"PT","None"),IFERROR(VLOOKUP($I199,TypeTable,2,0),"None"))))</f>
        <v/>
      </c>
      <c r="AX199" s="11" t="str">
        <f aca="false">IF(AO199=0,"",IF($L199="","None",IF(IFERROR(VLOOKUP($L199,TypeTable,2,0),"None")="PT",IF(N($M199)&gt;=PT_MinHours,"PT","None"),IFERROR(VLOOKUP($L199,TypeTable,2,0),"None"))))</f>
        <v/>
      </c>
      <c r="AY199" s="11" t="str">
        <f aca="false">IF(AO199=0,"",IF(AS199&lt;&gt;"",AX199,IF(AR199&lt;&gt;"",AW199,AV199)))</f>
        <v/>
      </c>
      <c r="AZ199" s="11" t="str">
        <f aca="false">IF(AO199=0,"",IF(AV199="FT",IF(AT199&lt;FT_First,0,IF(AT199&lt;FT_Y5,1+INT((AT199-FT_First)/FT_Int1),FT_PreY5+FT_PerYear*INT((AT199-FT_Y5)/12)+FT_AnnivDays+INT(MOD(AT199-FT_Y5,12)/FT_Int2))),IF(AV199="PT",IF(AT199&lt;PT_First,0,1+INT((AT199-PT_First)/PT_Int)),0)))</f>
        <v/>
      </c>
      <c r="BA199" s="11" t="str">
        <f aca="false">IF(AO199=0,"",IF(AW199="FT",IF(AT199&lt;FT_First,0,IF(AT199&lt;FT_Y5,1+INT((AT199-FT_First)/FT_Int1),FT_PreY5+FT_PerYear*INT((AT199-FT_Y5)/12)+FT_AnnivDays+INT(MOD(AT199-FT_Y5,12)/FT_Int2))),IF(AW199="PT",IF(AT199&lt;PT_First,0,1+INT((AT199-PT_First)/PT_Int)),0)))</f>
        <v/>
      </c>
      <c r="BB199" s="11" t="str">
        <f aca="false">IF(AO199=0,"",IF(AW199="FT",IF(AU199&lt;FT_First,0,IF(AU199&lt;FT_Y5,1+INT((AU199-FT_First)/FT_Int1),FT_PreY5+FT_PerYear*INT((AU199-FT_Y5)/12)+FT_AnnivDays+INT(MOD(AU199-FT_Y5,12)/FT_Int2))),IF(AW199="PT",IF(AU199&lt;PT_First,0,1+INT((AU199-PT_First)/PT_Int)),0)))</f>
        <v/>
      </c>
      <c r="BC199" s="11" t="str">
        <f aca="false">IF(AO199=0,"",IF(AX199="FT",IF(AU199&lt;FT_First,0,IF(AU199&lt;FT_Y5,1+INT((AU199-FT_First)/FT_Int1),FT_PreY5+FT_PerYear*INT((AU199-FT_Y5)/12)+FT_AnnivDays+INT(MOD(AU199-FT_Y5,12)/FT_Int2))),IF(AX199="PT",IF(AU199&lt;PT_First,0,1+INT((AU199-PT_First)/PT_Int)),0)))</f>
        <v/>
      </c>
      <c r="BD199" s="11" t="str">
        <f aca="false">IF(AO199=0,"",IF(AX199="FT",IF(AQ199&lt;FT_First,0,IF(AQ199&lt;FT_Y5,1+INT((AQ199-FT_First)/FT_Int1),FT_PreY5+FT_PerYear*INT((AQ199-FT_Y5)/12)+FT_AnnivDays+INT(MOD(AQ199-FT_Y5,12)/FT_Int2))),IF(AX199="PT",IF(AQ199&lt;PT_First,0,1+INT((AQ199-PT_First)/PT_Int)),0)))</f>
        <v/>
      </c>
      <c r="BE199" s="11" t="str">
        <f aca="false">IF(AO199=0,"",IF(AY199="FT",IF(AQ199&lt;FT_First,FT_First,IF(AQ199&lt;FT_Y5,MIN(FT_Y5,FT_First+FT_Int1*(INT((AQ199-FT_First)/FT_Int1)+1)),FT_Y5+12*INT((AQ199-FT_Y5)/12)+FT_Int2*(INT(MOD(AQ199-FT_Y5,12)/FT_Int2)+1))),IF(AY199="PT",IF(AQ199&lt;PT_First,PT_First,PT_First+PT_Int*(INT((AQ199-PT_First)/PT_Int)+1)),"")))</f>
        <v/>
      </c>
      <c r="BF199" s="11" t="n">
        <f aca="false">IF(AO199=0,0,IF(AND($Q199&lt;&gt;"",$Q199&lt;=AsOfDate),1,0))</f>
        <v>0</v>
      </c>
      <c r="BG199" s="11" t="str">
        <f aca="false">IF(AND(AO199=1,BF199=0,EH_Ready,N(AB199)&gt;0,N(AI199)=0),COUNT($BG$5:BG198)+1,"")</f>
        <v/>
      </c>
      <c r="BH199" s="11" t="str">
        <f aca="false">IF(AND(AO199=1,BF199=0,EH_Ready,N(AB199)&gt;0,N(AI199)&gt;0,N(AK199)&gt;0),COUNT($BH$5:BH198)+1,"")</f>
        <v/>
      </c>
      <c r="BI199" s="11" t="str">
        <f aca="false">IF(AND(AO199=1,OR(LEFT(AM199,3)="ADD",LEFT(AM199,3)="SET",LEFT(AM199,5)="CHECK",LEFT(AM199,10)="TERMINATED")),COUNT($BI$5:BI198)+1,"")</f>
        <v/>
      </c>
      <c r="BJ199" s="11" t="str">
        <f aca="false">IF(AO199=0,"",$A199&amp;" - "&amp;$B199&amp;" "&amp;$C199)</f>
        <v/>
      </c>
    </row>
    <row r="200" customFormat="false" ht="15" hidden="false" customHeight="false" outlineLevel="0" collapsed="false">
      <c r="A200" s="10"/>
      <c r="B200" s="10"/>
      <c r="C200" s="10"/>
      <c r="D200" s="10"/>
      <c r="E200" s="9"/>
      <c r="F200" s="10"/>
      <c r="G200" s="30"/>
      <c r="H200" s="9"/>
      <c r="I200" s="10"/>
      <c r="J200" s="30"/>
      <c r="K200" s="9"/>
      <c r="L200" s="10"/>
      <c r="M200" s="30"/>
      <c r="N200" s="9"/>
      <c r="O200" s="9"/>
      <c r="P200" s="30"/>
      <c r="Q200" s="9"/>
      <c r="R200" s="10"/>
      <c r="S200" s="11" t="str">
        <f aca="false">IF(AO200=0,"",IF($H200="","",$F200&amp;" -&gt; "&amp;$I200&amp;IF($I200="Part-Time"," ("&amp;N($J200)&amp;" hrs)","")&amp;" on "&amp;TEXT($H200,"dd/mm/yyyy")&amp;IF($H200&gt;AsOfDate," (FUTURE)","")&amp;IF($K200="","","; "&amp;$I200&amp;" -&gt; "&amp;$L200&amp;IF($L200="Part-Time"," ("&amp;N($M200)&amp;" hrs)","")&amp;" on "&amp;TEXT($K200,"dd/mm/yyyy")&amp;IF($K200&gt;AsOfDate," (FUTURE)",""))))</f>
        <v/>
      </c>
      <c r="T200" s="11" t="str">
        <f aca="false">IF(AO200=0,"",IF(AS200&lt;&gt;"",$L200,IF(AR200&lt;&gt;"",$I200,$F200)))</f>
        <v/>
      </c>
      <c r="U200" s="26" t="str">
        <f aca="false">IF(AO200=0,"",IF(AS200&lt;&gt;"",$M200,IF(AR200&lt;&gt;"",$J200,$G200)))</f>
        <v/>
      </c>
      <c r="V200" s="11" t="str">
        <f aca="false">IF(AO200=0,"",IF(AY200="FT","Full-Time",IF(AY200="PT","Part-Time","Not eligible")))</f>
        <v/>
      </c>
      <c r="W200" s="27" t="str">
        <f aca="false">IF(AO200=0,"",IF(AR200="",IF(AND($H200&lt;&gt;"",$H200&gt;AsOfDate),"Future change - not yet applied",""),IF(AND(AV200=AY200,OR(AS200="",AW200=AV200)),"Type changed - same accrual pathway",IF(AY200="None","STOPPED accruing from "&amp;TEXT(IF(AS200&lt;&gt;"",AS200,AR200),"dd/mm/yyyy"),IF(AV200="None","STARTED qualifying from "&amp;TEXT(IF(AS200&lt;&gt;"",AS200,AR200),"dd/mm/yyyy"),"Pathway changed "&amp;AV200&amp;" -&gt; "&amp;AW200&amp;IF(AS200&lt;&gt;""," -&gt; "&amp;AX200,"")&amp;" from "&amp;TEXT(IF(AS200&lt;&gt;"",AS200,AR200),"dd/mm/yyyy"))))))</f>
        <v/>
      </c>
      <c r="X200" s="28" t="str">
        <f aca="false">IF(AO200=0,"",IF($Q200="",AsOfDate,MIN(AsOfDate,$Q200)))</f>
        <v/>
      </c>
      <c r="Y200" s="26" t="str">
        <f aca="false">IF(AO200=0,"",MAX(0,AQ200))</f>
        <v/>
      </c>
      <c r="Z200" s="11" t="str">
        <f aca="false">IF(AO200=0,"",IF(AQ200&lt;0,"Not started",INT(AQ200/12)&amp;"y "&amp;MOD(AQ200,12)&amp;"m"))</f>
        <v/>
      </c>
      <c r="AA200" s="27" t="str">
        <f aca="false">IF(AO200=0,"",IF(BF200=1,"Terminated - balance forfeited",IF(AY200="None",IF(AB200&gt;0,"No longer accruing - "&amp;T200,"Not eligible - "&amp;T200&amp;IF(AND(IFERROR(VLOOKUP(T200,TypeTable,2,0),"None")="PT",N(U200)&lt;PT_MinHours)," (under "&amp;PT_MinHours&amp;" hrs)","")),IF(AB200&gt;0,"Yes - accruing","Not yet - qualifies "&amp;TEXT(AD200,"dd/mm/yyyy")))))</f>
        <v/>
      </c>
      <c r="AB200" s="26" t="str">
        <f aca="false">IF(AO200=0,"",AZ200+IF(AR200="",0,BB200-BA200)+IF(AS200="",0,BD200-BC200))</f>
        <v/>
      </c>
      <c r="AC200" s="26" t="str">
        <f aca="false">IF(AO200=0,"",AB200*HoursPerDay)</f>
        <v/>
      </c>
      <c r="AD200" s="28" t="str">
        <f aca="false">IF(AO200=0,"",IF(OR(BF200=1,AY200="None"),"",EDATE($E200+AP200,BE200)))</f>
        <v/>
      </c>
      <c r="AE200" s="26" t="str">
        <f aca="false">IF(AD200="","",IF(AY200="PT",1,IF(BE200&lt;FT_Y5,1,IF(MOD(BE200-FT_Y5,12)=0,FT_AnnivDays,1))))</f>
        <v/>
      </c>
      <c r="AF200" s="27" t="str">
        <f aca="false">IF(AO200=0,"",IF(NOT(EH_Ready),"Map headers",IF(IF(MatchMode="Employee ID",COUNTIFS(INDEX(EH_Data,0,EH_ColID),$A200,INDEX(EH_Data,0,EH_ColCat),BonusCat),COUNTIFS(INDEX(EH_Data,0,EH_ColFirst),$B200,INDEX(EH_Data,0,EH_ColSur),$C200,INDEX(EH_Data,0,EH_ColCat),BonusCat))&gt;0,"Yes","No")))</f>
        <v/>
      </c>
      <c r="AG200" s="26" t="str">
        <f aca="false">IF(AO200=0,"",IF(NOT(EH_Ready),"",IF(MatchMode="Employee ID",SUMIFS(INDEX(EH_Data,0,EH_ColBal),INDEX(EH_Data,0,EH_ColID),$A200,INDEX(EH_Data,0,EH_ColCat),BonusCat),SUMIFS(INDEX(EH_Data,0,EH_ColBal),INDEX(EH_Data,0,EH_ColFirst),$B200,INDEX(EH_Data,0,EH_ColSur),$C200,INDEX(EH_Data,0,EH_ColCat),BonusCat))/IF(EHUnit="Hours",HoursPerDay,1)))</f>
        <v/>
      </c>
      <c r="AH200" s="26" t="str">
        <f aca="false">IF(AO200=0,"",IF(NOT(TK_Ready),0,IF(MatchMode="Employee ID",SUMIFS(INDEX(TK_Data,0,TK_ColAmt),INDEX(TK_Data,0,TK_ColID),$A200,INDEX(TK_Data,0,TK_ColCat),BonusCat),SUMIFS(INDEX(TK_Data,0,TK_ColAmt),INDEX(TK_Data,0,TK_ColFirst),$B200,INDEX(TK_Data,0,TK_ColSur),$C200,INDEX(TK_Data,0,TK_ColCat),BonusCat))/IF(TKUnit="Hours",HoursPerDay,1)))</f>
        <v/>
      </c>
      <c r="AI200" s="26" t="str">
        <f aca="false">IF(AO200=0,"",N(AG200)+N(AH200))</f>
        <v/>
      </c>
      <c r="AJ200" s="29" t="str">
        <f aca="false">IF(AO200=0,"",IF(NOT(AND(EH_Ready,EH_ValReady)),"",IF(MatchMode="Employee ID",SUMIFS(INDEX(EH_Data,0,EH_ColVal),INDEX(EH_Data,0,EH_ColID),$A200,INDEX(EH_Data,0,EH_ColCat),BonusCat),SUMIFS(INDEX(EH_Data,0,EH_ColVal),INDEX(EH_Data,0,EH_ColFirst),$B200,INDEX(EH_Data,0,EH_ColSur),$C200,INDEX(EH_Data,0,EH_ColCat),BonusCat))))</f>
        <v/>
      </c>
      <c r="AK200" s="26" t="str">
        <f aca="false">IF(AO200=0,"",IF(OR(NOT(EH_Ready),BF200=1),"",AB200-AI200))</f>
        <v/>
      </c>
      <c r="AL200" s="26" t="str">
        <f aca="false">IF(AK200="","",AK200*HoursPerDay)</f>
        <v/>
      </c>
      <c r="AM200" s="27" t="str">
        <f aca="false">IF(AO200=0,"",IF(BF200=1,IF(N(AG200)&gt;0,"TERMINATED - forfeit "&amp;TEXT(AG200,"0.##")&amp;" days still in EH","Terminated - nothing in EH"),IF(NOT(EH_Ready),"Paste EH export and map headers on Settings",IF(AND(AB200&gt;0,AF200="No"),"SET UP in EH - add "&amp;TEXT(AB200,"0.##")&amp;" day(s) ("&amp;TEXT(AC200,"0.##")&amp;" hrs)",IF(AK200&gt;0,"ADD "&amp;TEXT(AK200,"0.##")&amp;" day(s) ("&amp;TEXT(AL200,"0.##")&amp;" hrs) in EH",IF(AK200&lt;0,"CHECK - EH shows "&amp;TEXT(-AK200,"0.##")&amp;" days more than policy",IF(AB200&gt;0,"OK - up to date",IF(AY200="None","No action - not eligible","No action - not yet qualified"))))))))</f>
        <v/>
      </c>
      <c r="AN200" s="27" t="str">
        <f aca="false">IF(AO200=0,"",TRIM(IF(AND($K200&lt;&gt;"",$H200=""),"Change 2 entered without Change 1. ","")&amp;IF(AND($K200&lt;&gt;"",$H200&lt;&gt;"",$K200&lt;=$H200),"Change 2 date not after Change 1. ","")&amp;IF(AND($N200&lt;&gt;"",$O200&lt;&gt;"",$O200&lt;$N200),"Leave To is before Leave From. ","")&amp;IF(AND($N200&lt;&gt;"",$O200=""),"Leave From entered without Leave To. ","")&amp;IF(AND(IFERROR(VLOOKUP(T200,TypeTable,2,0),"None")="PT",U200=""),"Part-time with no hours entered. ","")&amp;IF(AND($H200&lt;&gt;"",$H200&gt;AsOfDate,AD200&lt;&gt;"",$H200&lt;=AD200),"Status change lands before next accrual - review. ","")&amp;IF(AND($Q200&lt;&gt;"",$Q200&lt;$E200),"Termination before commencement. ","")))</f>
        <v/>
      </c>
      <c r="AO200" s="11" t="n">
        <f aca="false">IF(LEN($A200&amp;$B200&amp;$C200)=0,0,IF($E200="",0,1))</f>
        <v>0</v>
      </c>
      <c r="AP200" s="11" t="str">
        <f aca="false">IF(AO200=0,"",(IF(OR($N200="",$O200=""),0,MAX(0,MIN(X200,$O200)-MAX($N200,$E200)+1))+N($P200)))</f>
        <v/>
      </c>
      <c r="AQ200" s="11" t="str">
        <f aca="false">IF(AO200=0,"",IF(X200&lt;($E200+(IF(OR($N200="",$O200=""),0,MAX(0,MIN(X200,$O200)-MAX($N200,$E200)+1))+N($P200))),-1,12*(YEAR(X200)-YEAR(($E200+(IF(OR($N200="",$O200=""),0,MAX(0,MIN(X200,$O200)-MAX($N200,$E200)+1))+N($P200)))))+MONTH(X200)-MONTH(($E200+(IF(OR($N200="",$O200=""),0,MAX(0,MIN(X200,$O200)-MAX($N200,$E200)+1))+N($P200))))-IF(DAY(X200)&lt;MIN(DAY(($E200+(IF(OR($N200="",$O200=""),0,MAX(0,MIN(X200,$O200)-MAX($N200,$E200)+1))+N($P200)))),DAY(EOMONTH(X200,0))),1,0)))</f>
        <v/>
      </c>
      <c r="AR200" s="28" t="str">
        <f aca="false">IF(AO200=0,"",IF($H200="","",IF($H200&gt;X200,"",$H200)))</f>
        <v/>
      </c>
      <c r="AS200" s="28" t="str">
        <f aca="false">IF(AO200=0,"",IF(AR200="","",IF($K200="","",IF($K200&gt;X200,"",$K200))))</f>
        <v/>
      </c>
      <c r="AT200" s="11" t="str">
        <f aca="false">IF(AO200=0,"",IF(AR200="",AQ200,IF((AR200-1)&lt;($E200+(IF(OR($N200="",$O200=""),0,MAX(0,MIN((AR200-1),$O200)-MAX($N200,$E200)+1))+N($P200))),-1,12*(YEAR((AR200-1))-YEAR(($E200+(IF(OR($N200="",$O200=""),0,MAX(0,MIN((AR200-1),$O200)-MAX($N200,$E200)+1))+N($P200)))))+MONTH((AR200-1))-MONTH(($E200+(IF(OR($N200="",$O200=""),0,MAX(0,MIN((AR200-1),$O200)-MAX($N200,$E200)+1))+N($P200))))-IF(DAY((AR200-1))&lt;MIN(DAY(($E200+(IF(OR($N200="",$O200=""),0,MAX(0,MIN((AR200-1),$O200)-MAX($N200,$E200)+1))+N($P200)))),DAY(EOMONTH((AR200-1),0))),1,0))))</f>
        <v/>
      </c>
      <c r="AU200" s="11" t="str">
        <f aca="false">IF(AO200=0,"",IF(AS200="",AQ200,IF((AS200-1)&lt;($E200+(IF(OR($N200="",$O200=""),0,MAX(0,MIN((AS200-1),$O200)-MAX($N200,$E200)+1))+N($P200))),-1,12*(YEAR((AS200-1))-YEAR(($E200+(IF(OR($N200="",$O200=""),0,MAX(0,MIN((AS200-1),$O200)-MAX($N200,$E200)+1))+N($P200)))))+MONTH((AS200-1))-MONTH(($E200+(IF(OR($N200="",$O200=""),0,MAX(0,MIN((AS200-1),$O200)-MAX($N200,$E200)+1))+N($P200))))-IF(DAY((AS200-1))&lt;MIN(DAY(($E200+(IF(OR($N200="",$O200=""),0,MAX(0,MIN((AS200-1),$O200)-MAX($N200,$E200)+1))+N($P200)))),DAY(EOMONTH((AS200-1),0))),1,0))))</f>
        <v/>
      </c>
      <c r="AV200" s="11" t="str">
        <f aca="false">IF(AO200=0,"",IF($F200="","None",IF(IFERROR(VLOOKUP($F200,TypeTable,2,0),"None")="PT",IF(N($G200)&gt;=PT_MinHours,"PT","None"),IFERROR(VLOOKUP($F200,TypeTable,2,0),"None"))))</f>
        <v/>
      </c>
      <c r="AW200" s="11" t="str">
        <f aca="false">IF(AO200=0,"",IF($I200="","None",IF(IFERROR(VLOOKUP($I200,TypeTable,2,0),"None")="PT",IF(N($J200)&gt;=PT_MinHours,"PT","None"),IFERROR(VLOOKUP($I200,TypeTable,2,0),"None"))))</f>
        <v/>
      </c>
      <c r="AX200" s="11" t="str">
        <f aca="false">IF(AO200=0,"",IF($L200="","None",IF(IFERROR(VLOOKUP($L200,TypeTable,2,0),"None")="PT",IF(N($M200)&gt;=PT_MinHours,"PT","None"),IFERROR(VLOOKUP($L200,TypeTable,2,0),"None"))))</f>
        <v/>
      </c>
      <c r="AY200" s="11" t="str">
        <f aca="false">IF(AO200=0,"",IF(AS200&lt;&gt;"",AX200,IF(AR200&lt;&gt;"",AW200,AV200)))</f>
        <v/>
      </c>
      <c r="AZ200" s="11" t="str">
        <f aca="false">IF(AO200=0,"",IF(AV200="FT",IF(AT200&lt;FT_First,0,IF(AT200&lt;FT_Y5,1+INT((AT200-FT_First)/FT_Int1),FT_PreY5+FT_PerYear*INT((AT200-FT_Y5)/12)+FT_AnnivDays+INT(MOD(AT200-FT_Y5,12)/FT_Int2))),IF(AV200="PT",IF(AT200&lt;PT_First,0,1+INT((AT200-PT_First)/PT_Int)),0)))</f>
        <v/>
      </c>
      <c r="BA200" s="11" t="str">
        <f aca="false">IF(AO200=0,"",IF(AW200="FT",IF(AT200&lt;FT_First,0,IF(AT200&lt;FT_Y5,1+INT((AT200-FT_First)/FT_Int1),FT_PreY5+FT_PerYear*INT((AT200-FT_Y5)/12)+FT_AnnivDays+INT(MOD(AT200-FT_Y5,12)/FT_Int2))),IF(AW200="PT",IF(AT200&lt;PT_First,0,1+INT((AT200-PT_First)/PT_Int)),0)))</f>
        <v/>
      </c>
      <c r="BB200" s="11" t="str">
        <f aca="false">IF(AO200=0,"",IF(AW200="FT",IF(AU200&lt;FT_First,0,IF(AU200&lt;FT_Y5,1+INT((AU200-FT_First)/FT_Int1),FT_PreY5+FT_PerYear*INT((AU200-FT_Y5)/12)+FT_AnnivDays+INT(MOD(AU200-FT_Y5,12)/FT_Int2))),IF(AW200="PT",IF(AU200&lt;PT_First,0,1+INT((AU200-PT_First)/PT_Int)),0)))</f>
        <v/>
      </c>
      <c r="BC200" s="11" t="str">
        <f aca="false">IF(AO200=0,"",IF(AX200="FT",IF(AU200&lt;FT_First,0,IF(AU200&lt;FT_Y5,1+INT((AU200-FT_First)/FT_Int1),FT_PreY5+FT_PerYear*INT((AU200-FT_Y5)/12)+FT_AnnivDays+INT(MOD(AU200-FT_Y5,12)/FT_Int2))),IF(AX200="PT",IF(AU200&lt;PT_First,0,1+INT((AU200-PT_First)/PT_Int)),0)))</f>
        <v/>
      </c>
      <c r="BD200" s="11" t="str">
        <f aca="false">IF(AO200=0,"",IF(AX200="FT",IF(AQ200&lt;FT_First,0,IF(AQ200&lt;FT_Y5,1+INT((AQ200-FT_First)/FT_Int1),FT_PreY5+FT_PerYear*INT((AQ200-FT_Y5)/12)+FT_AnnivDays+INT(MOD(AQ200-FT_Y5,12)/FT_Int2))),IF(AX200="PT",IF(AQ200&lt;PT_First,0,1+INT((AQ200-PT_First)/PT_Int)),0)))</f>
        <v/>
      </c>
      <c r="BE200" s="11" t="str">
        <f aca="false">IF(AO200=0,"",IF(AY200="FT",IF(AQ200&lt;FT_First,FT_First,IF(AQ200&lt;FT_Y5,MIN(FT_Y5,FT_First+FT_Int1*(INT((AQ200-FT_First)/FT_Int1)+1)),FT_Y5+12*INT((AQ200-FT_Y5)/12)+FT_Int2*(INT(MOD(AQ200-FT_Y5,12)/FT_Int2)+1))),IF(AY200="PT",IF(AQ200&lt;PT_First,PT_First,PT_First+PT_Int*(INT((AQ200-PT_First)/PT_Int)+1)),"")))</f>
        <v/>
      </c>
      <c r="BF200" s="11" t="n">
        <f aca="false">IF(AO200=0,0,IF(AND($Q200&lt;&gt;"",$Q200&lt;=AsOfDate),1,0))</f>
        <v>0</v>
      </c>
      <c r="BG200" s="11" t="str">
        <f aca="false">IF(AND(AO200=1,BF200=0,EH_Ready,N(AB200)&gt;0,N(AI200)=0),COUNT($BG$5:BG199)+1,"")</f>
        <v/>
      </c>
      <c r="BH200" s="11" t="str">
        <f aca="false">IF(AND(AO200=1,BF200=0,EH_Ready,N(AB200)&gt;0,N(AI200)&gt;0,N(AK200)&gt;0),COUNT($BH$5:BH199)+1,"")</f>
        <v/>
      </c>
      <c r="BI200" s="11" t="str">
        <f aca="false">IF(AND(AO200=1,OR(LEFT(AM200,3)="ADD",LEFT(AM200,3)="SET",LEFT(AM200,5)="CHECK",LEFT(AM200,10)="TERMINATED")),COUNT($BI$5:BI199)+1,"")</f>
        <v/>
      </c>
      <c r="BJ200" s="11" t="str">
        <f aca="false">IF(AO200=0,"",$A200&amp;" - "&amp;$B200&amp;" "&amp;$C200)</f>
        <v/>
      </c>
    </row>
    <row r="201" customFormat="false" ht="15" hidden="false" customHeight="false" outlineLevel="0" collapsed="false">
      <c r="A201" s="10"/>
      <c r="B201" s="10"/>
      <c r="C201" s="10"/>
      <c r="D201" s="10"/>
      <c r="E201" s="9"/>
      <c r="F201" s="10"/>
      <c r="G201" s="30"/>
      <c r="H201" s="9"/>
      <c r="I201" s="10"/>
      <c r="J201" s="30"/>
      <c r="K201" s="9"/>
      <c r="L201" s="10"/>
      <c r="M201" s="30"/>
      <c r="N201" s="9"/>
      <c r="O201" s="9"/>
      <c r="P201" s="30"/>
      <c r="Q201" s="9"/>
      <c r="R201" s="10"/>
      <c r="S201" s="11" t="str">
        <f aca="false">IF(AO201=0,"",IF($H201="","",$F201&amp;" -&gt; "&amp;$I201&amp;IF($I201="Part-Time"," ("&amp;N($J201)&amp;" hrs)","")&amp;" on "&amp;TEXT($H201,"dd/mm/yyyy")&amp;IF($H201&gt;AsOfDate," (FUTURE)","")&amp;IF($K201="","","; "&amp;$I201&amp;" -&gt; "&amp;$L201&amp;IF($L201="Part-Time"," ("&amp;N($M201)&amp;" hrs)","")&amp;" on "&amp;TEXT($K201,"dd/mm/yyyy")&amp;IF($K201&gt;AsOfDate," (FUTURE)",""))))</f>
        <v/>
      </c>
      <c r="T201" s="11" t="str">
        <f aca="false">IF(AO201=0,"",IF(AS201&lt;&gt;"",$L201,IF(AR201&lt;&gt;"",$I201,$F201)))</f>
        <v/>
      </c>
      <c r="U201" s="26" t="str">
        <f aca="false">IF(AO201=0,"",IF(AS201&lt;&gt;"",$M201,IF(AR201&lt;&gt;"",$J201,$G201)))</f>
        <v/>
      </c>
      <c r="V201" s="11" t="str">
        <f aca="false">IF(AO201=0,"",IF(AY201="FT","Full-Time",IF(AY201="PT","Part-Time","Not eligible")))</f>
        <v/>
      </c>
      <c r="W201" s="27" t="str">
        <f aca="false">IF(AO201=0,"",IF(AR201="",IF(AND($H201&lt;&gt;"",$H201&gt;AsOfDate),"Future change - not yet applied",""),IF(AND(AV201=AY201,OR(AS201="",AW201=AV201)),"Type changed - same accrual pathway",IF(AY201="None","STOPPED accruing from "&amp;TEXT(IF(AS201&lt;&gt;"",AS201,AR201),"dd/mm/yyyy"),IF(AV201="None","STARTED qualifying from "&amp;TEXT(IF(AS201&lt;&gt;"",AS201,AR201),"dd/mm/yyyy"),"Pathway changed "&amp;AV201&amp;" -&gt; "&amp;AW201&amp;IF(AS201&lt;&gt;""," -&gt; "&amp;AX201,"")&amp;" from "&amp;TEXT(IF(AS201&lt;&gt;"",AS201,AR201),"dd/mm/yyyy"))))))</f>
        <v/>
      </c>
      <c r="X201" s="28" t="str">
        <f aca="false">IF(AO201=0,"",IF($Q201="",AsOfDate,MIN(AsOfDate,$Q201)))</f>
        <v/>
      </c>
      <c r="Y201" s="26" t="str">
        <f aca="false">IF(AO201=0,"",MAX(0,AQ201))</f>
        <v/>
      </c>
      <c r="Z201" s="11" t="str">
        <f aca="false">IF(AO201=0,"",IF(AQ201&lt;0,"Not started",INT(AQ201/12)&amp;"y "&amp;MOD(AQ201,12)&amp;"m"))</f>
        <v/>
      </c>
      <c r="AA201" s="27" t="str">
        <f aca="false">IF(AO201=0,"",IF(BF201=1,"Terminated - balance forfeited",IF(AY201="None",IF(AB201&gt;0,"No longer accruing - "&amp;T201,"Not eligible - "&amp;T201&amp;IF(AND(IFERROR(VLOOKUP(T201,TypeTable,2,0),"None")="PT",N(U201)&lt;PT_MinHours)," (under "&amp;PT_MinHours&amp;" hrs)","")),IF(AB201&gt;0,"Yes - accruing","Not yet - qualifies "&amp;TEXT(AD201,"dd/mm/yyyy")))))</f>
        <v/>
      </c>
      <c r="AB201" s="26" t="str">
        <f aca="false">IF(AO201=0,"",AZ201+IF(AR201="",0,BB201-BA201)+IF(AS201="",0,BD201-BC201))</f>
        <v/>
      </c>
      <c r="AC201" s="26" t="str">
        <f aca="false">IF(AO201=0,"",AB201*HoursPerDay)</f>
        <v/>
      </c>
      <c r="AD201" s="28" t="str">
        <f aca="false">IF(AO201=0,"",IF(OR(BF201=1,AY201="None"),"",EDATE($E201+AP201,BE201)))</f>
        <v/>
      </c>
      <c r="AE201" s="26" t="str">
        <f aca="false">IF(AD201="","",IF(AY201="PT",1,IF(BE201&lt;FT_Y5,1,IF(MOD(BE201-FT_Y5,12)=0,FT_AnnivDays,1))))</f>
        <v/>
      </c>
      <c r="AF201" s="27" t="str">
        <f aca="false">IF(AO201=0,"",IF(NOT(EH_Ready),"Map headers",IF(IF(MatchMode="Employee ID",COUNTIFS(INDEX(EH_Data,0,EH_ColID),$A201,INDEX(EH_Data,0,EH_ColCat),BonusCat),COUNTIFS(INDEX(EH_Data,0,EH_ColFirst),$B201,INDEX(EH_Data,0,EH_ColSur),$C201,INDEX(EH_Data,0,EH_ColCat),BonusCat))&gt;0,"Yes","No")))</f>
        <v/>
      </c>
      <c r="AG201" s="26" t="str">
        <f aca="false">IF(AO201=0,"",IF(NOT(EH_Ready),"",IF(MatchMode="Employee ID",SUMIFS(INDEX(EH_Data,0,EH_ColBal),INDEX(EH_Data,0,EH_ColID),$A201,INDEX(EH_Data,0,EH_ColCat),BonusCat),SUMIFS(INDEX(EH_Data,0,EH_ColBal),INDEX(EH_Data,0,EH_ColFirst),$B201,INDEX(EH_Data,0,EH_ColSur),$C201,INDEX(EH_Data,0,EH_ColCat),BonusCat))/IF(EHUnit="Hours",HoursPerDay,1)))</f>
        <v/>
      </c>
      <c r="AH201" s="26" t="str">
        <f aca="false">IF(AO201=0,"",IF(NOT(TK_Ready),0,IF(MatchMode="Employee ID",SUMIFS(INDEX(TK_Data,0,TK_ColAmt),INDEX(TK_Data,0,TK_ColID),$A201,INDEX(TK_Data,0,TK_ColCat),BonusCat),SUMIFS(INDEX(TK_Data,0,TK_ColAmt),INDEX(TK_Data,0,TK_ColFirst),$B201,INDEX(TK_Data,0,TK_ColSur),$C201,INDEX(TK_Data,0,TK_ColCat),BonusCat))/IF(TKUnit="Hours",HoursPerDay,1)))</f>
        <v/>
      </c>
      <c r="AI201" s="26" t="str">
        <f aca="false">IF(AO201=0,"",N(AG201)+N(AH201))</f>
        <v/>
      </c>
      <c r="AJ201" s="29" t="str">
        <f aca="false">IF(AO201=0,"",IF(NOT(AND(EH_Ready,EH_ValReady)),"",IF(MatchMode="Employee ID",SUMIFS(INDEX(EH_Data,0,EH_ColVal),INDEX(EH_Data,0,EH_ColID),$A201,INDEX(EH_Data,0,EH_ColCat),BonusCat),SUMIFS(INDEX(EH_Data,0,EH_ColVal),INDEX(EH_Data,0,EH_ColFirst),$B201,INDEX(EH_Data,0,EH_ColSur),$C201,INDEX(EH_Data,0,EH_ColCat),BonusCat))))</f>
        <v/>
      </c>
      <c r="AK201" s="26" t="str">
        <f aca="false">IF(AO201=0,"",IF(OR(NOT(EH_Ready),BF201=1),"",AB201-AI201))</f>
        <v/>
      </c>
      <c r="AL201" s="26" t="str">
        <f aca="false">IF(AK201="","",AK201*HoursPerDay)</f>
        <v/>
      </c>
      <c r="AM201" s="27" t="str">
        <f aca="false">IF(AO201=0,"",IF(BF201=1,IF(N(AG201)&gt;0,"TERMINATED - forfeit "&amp;TEXT(AG201,"0.##")&amp;" days still in EH","Terminated - nothing in EH"),IF(NOT(EH_Ready),"Paste EH export and map headers on Settings",IF(AND(AB201&gt;0,AF201="No"),"SET UP in EH - add "&amp;TEXT(AB201,"0.##")&amp;" day(s) ("&amp;TEXT(AC201,"0.##")&amp;" hrs)",IF(AK201&gt;0,"ADD "&amp;TEXT(AK201,"0.##")&amp;" day(s) ("&amp;TEXT(AL201,"0.##")&amp;" hrs) in EH",IF(AK201&lt;0,"CHECK - EH shows "&amp;TEXT(-AK201,"0.##")&amp;" days more than policy",IF(AB201&gt;0,"OK - up to date",IF(AY201="None","No action - not eligible","No action - not yet qualified"))))))))</f>
        <v/>
      </c>
      <c r="AN201" s="27" t="str">
        <f aca="false">IF(AO201=0,"",TRIM(IF(AND($K201&lt;&gt;"",$H201=""),"Change 2 entered without Change 1. ","")&amp;IF(AND($K201&lt;&gt;"",$H201&lt;&gt;"",$K201&lt;=$H201),"Change 2 date not after Change 1. ","")&amp;IF(AND($N201&lt;&gt;"",$O201&lt;&gt;"",$O201&lt;$N201),"Leave To is before Leave From. ","")&amp;IF(AND($N201&lt;&gt;"",$O201=""),"Leave From entered without Leave To. ","")&amp;IF(AND(IFERROR(VLOOKUP(T201,TypeTable,2,0),"None")="PT",U201=""),"Part-time with no hours entered. ","")&amp;IF(AND($H201&lt;&gt;"",$H201&gt;AsOfDate,AD201&lt;&gt;"",$H201&lt;=AD201),"Status change lands before next accrual - review. ","")&amp;IF(AND($Q201&lt;&gt;"",$Q201&lt;$E201),"Termination before commencement. ","")))</f>
        <v/>
      </c>
      <c r="AO201" s="11" t="n">
        <f aca="false">IF(LEN($A201&amp;$B201&amp;$C201)=0,0,IF($E201="",0,1))</f>
        <v>0</v>
      </c>
      <c r="AP201" s="11" t="str">
        <f aca="false">IF(AO201=0,"",(IF(OR($N201="",$O201=""),0,MAX(0,MIN(X201,$O201)-MAX($N201,$E201)+1))+N($P201)))</f>
        <v/>
      </c>
      <c r="AQ201" s="11" t="str">
        <f aca="false">IF(AO201=0,"",IF(X201&lt;($E201+(IF(OR($N201="",$O201=""),0,MAX(0,MIN(X201,$O201)-MAX($N201,$E201)+1))+N($P201))),-1,12*(YEAR(X201)-YEAR(($E201+(IF(OR($N201="",$O201=""),0,MAX(0,MIN(X201,$O201)-MAX($N201,$E201)+1))+N($P201)))))+MONTH(X201)-MONTH(($E201+(IF(OR($N201="",$O201=""),0,MAX(0,MIN(X201,$O201)-MAX($N201,$E201)+1))+N($P201))))-IF(DAY(X201)&lt;MIN(DAY(($E201+(IF(OR($N201="",$O201=""),0,MAX(0,MIN(X201,$O201)-MAX($N201,$E201)+1))+N($P201)))),DAY(EOMONTH(X201,0))),1,0)))</f>
        <v/>
      </c>
      <c r="AR201" s="28" t="str">
        <f aca="false">IF(AO201=0,"",IF($H201="","",IF($H201&gt;X201,"",$H201)))</f>
        <v/>
      </c>
      <c r="AS201" s="28" t="str">
        <f aca="false">IF(AO201=0,"",IF(AR201="","",IF($K201="","",IF($K201&gt;X201,"",$K201))))</f>
        <v/>
      </c>
      <c r="AT201" s="11" t="str">
        <f aca="false">IF(AO201=0,"",IF(AR201="",AQ201,IF((AR201-1)&lt;($E201+(IF(OR($N201="",$O201=""),0,MAX(0,MIN((AR201-1),$O201)-MAX($N201,$E201)+1))+N($P201))),-1,12*(YEAR((AR201-1))-YEAR(($E201+(IF(OR($N201="",$O201=""),0,MAX(0,MIN((AR201-1),$O201)-MAX($N201,$E201)+1))+N($P201)))))+MONTH((AR201-1))-MONTH(($E201+(IF(OR($N201="",$O201=""),0,MAX(0,MIN((AR201-1),$O201)-MAX($N201,$E201)+1))+N($P201))))-IF(DAY((AR201-1))&lt;MIN(DAY(($E201+(IF(OR($N201="",$O201=""),0,MAX(0,MIN((AR201-1),$O201)-MAX($N201,$E201)+1))+N($P201)))),DAY(EOMONTH((AR201-1),0))),1,0))))</f>
        <v/>
      </c>
      <c r="AU201" s="11" t="str">
        <f aca="false">IF(AO201=0,"",IF(AS201="",AQ201,IF((AS201-1)&lt;($E201+(IF(OR($N201="",$O201=""),0,MAX(0,MIN((AS201-1),$O201)-MAX($N201,$E201)+1))+N($P201))),-1,12*(YEAR((AS201-1))-YEAR(($E201+(IF(OR($N201="",$O201=""),0,MAX(0,MIN((AS201-1),$O201)-MAX($N201,$E201)+1))+N($P201)))))+MONTH((AS201-1))-MONTH(($E201+(IF(OR($N201="",$O201=""),0,MAX(0,MIN((AS201-1),$O201)-MAX($N201,$E201)+1))+N($P201))))-IF(DAY((AS201-1))&lt;MIN(DAY(($E201+(IF(OR($N201="",$O201=""),0,MAX(0,MIN((AS201-1),$O201)-MAX($N201,$E201)+1))+N($P201)))),DAY(EOMONTH((AS201-1),0))),1,0))))</f>
        <v/>
      </c>
      <c r="AV201" s="11" t="str">
        <f aca="false">IF(AO201=0,"",IF($F201="","None",IF(IFERROR(VLOOKUP($F201,TypeTable,2,0),"None")="PT",IF(N($G201)&gt;=PT_MinHours,"PT","None"),IFERROR(VLOOKUP($F201,TypeTable,2,0),"None"))))</f>
        <v/>
      </c>
      <c r="AW201" s="11" t="str">
        <f aca="false">IF(AO201=0,"",IF($I201="","None",IF(IFERROR(VLOOKUP($I201,TypeTable,2,0),"None")="PT",IF(N($J201)&gt;=PT_MinHours,"PT","None"),IFERROR(VLOOKUP($I201,TypeTable,2,0),"None"))))</f>
        <v/>
      </c>
      <c r="AX201" s="11" t="str">
        <f aca="false">IF(AO201=0,"",IF($L201="","None",IF(IFERROR(VLOOKUP($L201,TypeTable,2,0),"None")="PT",IF(N($M201)&gt;=PT_MinHours,"PT","None"),IFERROR(VLOOKUP($L201,TypeTable,2,0),"None"))))</f>
        <v/>
      </c>
      <c r="AY201" s="11" t="str">
        <f aca="false">IF(AO201=0,"",IF(AS201&lt;&gt;"",AX201,IF(AR201&lt;&gt;"",AW201,AV201)))</f>
        <v/>
      </c>
      <c r="AZ201" s="11" t="str">
        <f aca="false">IF(AO201=0,"",IF(AV201="FT",IF(AT201&lt;FT_First,0,IF(AT201&lt;FT_Y5,1+INT((AT201-FT_First)/FT_Int1),FT_PreY5+FT_PerYear*INT((AT201-FT_Y5)/12)+FT_AnnivDays+INT(MOD(AT201-FT_Y5,12)/FT_Int2))),IF(AV201="PT",IF(AT201&lt;PT_First,0,1+INT((AT201-PT_First)/PT_Int)),0)))</f>
        <v/>
      </c>
      <c r="BA201" s="11" t="str">
        <f aca="false">IF(AO201=0,"",IF(AW201="FT",IF(AT201&lt;FT_First,0,IF(AT201&lt;FT_Y5,1+INT((AT201-FT_First)/FT_Int1),FT_PreY5+FT_PerYear*INT((AT201-FT_Y5)/12)+FT_AnnivDays+INT(MOD(AT201-FT_Y5,12)/FT_Int2))),IF(AW201="PT",IF(AT201&lt;PT_First,0,1+INT((AT201-PT_First)/PT_Int)),0)))</f>
        <v/>
      </c>
      <c r="BB201" s="11" t="str">
        <f aca="false">IF(AO201=0,"",IF(AW201="FT",IF(AU201&lt;FT_First,0,IF(AU201&lt;FT_Y5,1+INT((AU201-FT_First)/FT_Int1),FT_PreY5+FT_PerYear*INT((AU201-FT_Y5)/12)+FT_AnnivDays+INT(MOD(AU201-FT_Y5,12)/FT_Int2))),IF(AW201="PT",IF(AU201&lt;PT_First,0,1+INT((AU201-PT_First)/PT_Int)),0)))</f>
        <v/>
      </c>
      <c r="BC201" s="11" t="str">
        <f aca="false">IF(AO201=0,"",IF(AX201="FT",IF(AU201&lt;FT_First,0,IF(AU201&lt;FT_Y5,1+INT((AU201-FT_First)/FT_Int1),FT_PreY5+FT_PerYear*INT((AU201-FT_Y5)/12)+FT_AnnivDays+INT(MOD(AU201-FT_Y5,12)/FT_Int2))),IF(AX201="PT",IF(AU201&lt;PT_First,0,1+INT((AU201-PT_First)/PT_Int)),0)))</f>
        <v/>
      </c>
      <c r="BD201" s="11" t="str">
        <f aca="false">IF(AO201=0,"",IF(AX201="FT",IF(AQ201&lt;FT_First,0,IF(AQ201&lt;FT_Y5,1+INT((AQ201-FT_First)/FT_Int1),FT_PreY5+FT_PerYear*INT((AQ201-FT_Y5)/12)+FT_AnnivDays+INT(MOD(AQ201-FT_Y5,12)/FT_Int2))),IF(AX201="PT",IF(AQ201&lt;PT_First,0,1+INT((AQ201-PT_First)/PT_Int)),0)))</f>
        <v/>
      </c>
      <c r="BE201" s="11" t="str">
        <f aca="false">IF(AO201=0,"",IF(AY201="FT",IF(AQ201&lt;FT_First,FT_First,IF(AQ201&lt;FT_Y5,MIN(FT_Y5,FT_First+FT_Int1*(INT((AQ201-FT_First)/FT_Int1)+1)),FT_Y5+12*INT((AQ201-FT_Y5)/12)+FT_Int2*(INT(MOD(AQ201-FT_Y5,12)/FT_Int2)+1))),IF(AY201="PT",IF(AQ201&lt;PT_First,PT_First,PT_First+PT_Int*(INT((AQ201-PT_First)/PT_Int)+1)),"")))</f>
        <v/>
      </c>
      <c r="BF201" s="11" t="n">
        <f aca="false">IF(AO201=0,0,IF(AND($Q201&lt;&gt;"",$Q201&lt;=AsOfDate),1,0))</f>
        <v>0</v>
      </c>
      <c r="BG201" s="11" t="str">
        <f aca="false">IF(AND(AO201=1,BF201=0,EH_Ready,N(AB201)&gt;0,N(AI201)=0),COUNT($BG$5:BG200)+1,"")</f>
        <v/>
      </c>
      <c r="BH201" s="11" t="str">
        <f aca="false">IF(AND(AO201=1,BF201=0,EH_Ready,N(AB201)&gt;0,N(AI201)&gt;0,N(AK201)&gt;0),COUNT($BH$5:BH200)+1,"")</f>
        <v/>
      </c>
      <c r="BI201" s="11" t="str">
        <f aca="false">IF(AND(AO201=1,OR(LEFT(AM201,3)="ADD",LEFT(AM201,3)="SET",LEFT(AM201,5)="CHECK",LEFT(AM201,10)="TERMINATED")),COUNT($BI$5:BI200)+1,"")</f>
        <v/>
      </c>
      <c r="BJ201" s="11" t="str">
        <f aca="false">IF(AO201=0,"",$A201&amp;" - "&amp;$B201&amp;" "&amp;$C201)</f>
        <v/>
      </c>
    </row>
    <row r="202" customFormat="false" ht="15" hidden="false" customHeight="false" outlineLevel="0" collapsed="false">
      <c r="A202" s="10"/>
      <c r="B202" s="10"/>
      <c r="C202" s="10"/>
      <c r="D202" s="10"/>
      <c r="E202" s="9"/>
      <c r="F202" s="10"/>
      <c r="G202" s="30"/>
      <c r="H202" s="9"/>
      <c r="I202" s="10"/>
      <c r="J202" s="30"/>
      <c r="K202" s="9"/>
      <c r="L202" s="10"/>
      <c r="M202" s="30"/>
      <c r="N202" s="9"/>
      <c r="O202" s="9"/>
      <c r="P202" s="30"/>
      <c r="Q202" s="9"/>
      <c r="R202" s="10"/>
      <c r="S202" s="11" t="str">
        <f aca="false">IF(AO202=0,"",IF($H202="","",$F202&amp;" -&gt; "&amp;$I202&amp;IF($I202="Part-Time"," ("&amp;N($J202)&amp;" hrs)","")&amp;" on "&amp;TEXT($H202,"dd/mm/yyyy")&amp;IF($H202&gt;AsOfDate," (FUTURE)","")&amp;IF($K202="","","; "&amp;$I202&amp;" -&gt; "&amp;$L202&amp;IF($L202="Part-Time"," ("&amp;N($M202)&amp;" hrs)","")&amp;" on "&amp;TEXT($K202,"dd/mm/yyyy")&amp;IF($K202&gt;AsOfDate," (FUTURE)",""))))</f>
        <v/>
      </c>
      <c r="T202" s="11" t="str">
        <f aca="false">IF(AO202=0,"",IF(AS202&lt;&gt;"",$L202,IF(AR202&lt;&gt;"",$I202,$F202)))</f>
        <v/>
      </c>
      <c r="U202" s="26" t="str">
        <f aca="false">IF(AO202=0,"",IF(AS202&lt;&gt;"",$M202,IF(AR202&lt;&gt;"",$J202,$G202)))</f>
        <v/>
      </c>
      <c r="V202" s="11" t="str">
        <f aca="false">IF(AO202=0,"",IF(AY202="FT","Full-Time",IF(AY202="PT","Part-Time","Not eligible")))</f>
        <v/>
      </c>
      <c r="W202" s="27" t="str">
        <f aca="false">IF(AO202=0,"",IF(AR202="",IF(AND($H202&lt;&gt;"",$H202&gt;AsOfDate),"Future change - not yet applied",""),IF(AND(AV202=AY202,OR(AS202="",AW202=AV202)),"Type changed - same accrual pathway",IF(AY202="None","STOPPED accruing from "&amp;TEXT(IF(AS202&lt;&gt;"",AS202,AR202),"dd/mm/yyyy"),IF(AV202="None","STARTED qualifying from "&amp;TEXT(IF(AS202&lt;&gt;"",AS202,AR202),"dd/mm/yyyy"),"Pathway changed "&amp;AV202&amp;" -&gt; "&amp;AW202&amp;IF(AS202&lt;&gt;""," -&gt; "&amp;AX202,"")&amp;" from "&amp;TEXT(IF(AS202&lt;&gt;"",AS202,AR202),"dd/mm/yyyy"))))))</f>
        <v/>
      </c>
      <c r="X202" s="28" t="str">
        <f aca="false">IF(AO202=0,"",IF($Q202="",AsOfDate,MIN(AsOfDate,$Q202)))</f>
        <v/>
      </c>
      <c r="Y202" s="26" t="str">
        <f aca="false">IF(AO202=0,"",MAX(0,AQ202))</f>
        <v/>
      </c>
      <c r="Z202" s="11" t="str">
        <f aca="false">IF(AO202=0,"",IF(AQ202&lt;0,"Not started",INT(AQ202/12)&amp;"y "&amp;MOD(AQ202,12)&amp;"m"))</f>
        <v/>
      </c>
      <c r="AA202" s="27" t="str">
        <f aca="false">IF(AO202=0,"",IF(BF202=1,"Terminated - balance forfeited",IF(AY202="None",IF(AB202&gt;0,"No longer accruing - "&amp;T202,"Not eligible - "&amp;T202&amp;IF(AND(IFERROR(VLOOKUP(T202,TypeTable,2,0),"None")="PT",N(U202)&lt;PT_MinHours)," (under "&amp;PT_MinHours&amp;" hrs)","")),IF(AB202&gt;0,"Yes - accruing","Not yet - qualifies "&amp;TEXT(AD202,"dd/mm/yyyy")))))</f>
        <v/>
      </c>
      <c r="AB202" s="26" t="str">
        <f aca="false">IF(AO202=0,"",AZ202+IF(AR202="",0,BB202-BA202)+IF(AS202="",0,BD202-BC202))</f>
        <v/>
      </c>
      <c r="AC202" s="26" t="str">
        <f aca="false">IF(AO202=0,"",AB202*HoursPerDay)</f>
        <v/>
      </c>
      <c r="AD202" s="28" t="str">
        <f aca="false">IF(AO202=0,"",IF(OR(BF202=1,AY202="None"),"",EDATE($E202+AP202,BE202)))</f>
        <v/>
      </c>
      <c r="AE202" s="26" t="str">
        <f aca="false">IF(AD202="","",IF(AY202="PT",1,IF(BE202&lt;FT_Y5,1,IF(MOD(BE202-FT_Y5,12)=0,FT_AnnivDays,1))))</f>
        <v/>
      </c>
      <c r="AF202" s="27" t="str">
        <f aca="false">IF(AO202=0,"",IF(NOT(EH_Ready),"Map headers",IF(IF(MatchMode="Employee ID",COUNTIFS(INDEX(EH_Data,0,EH_ColID),$A202,INDEX(EH_Data,0,EH_ColCat),BonusCat),COUNTIFS(INDEX(EH_Data,0,EH_ColFirst),$B202,INDEX(EH_Data,0,EH_ColSur),$C202,INDEX(EH_Data,0,EH_ColCat),BonusCat))&gt;0,"Yes","No")))</f>
        <v/>
      </c>
      <c r="AG202" s="26" t="str">
        <f aca="false">IF(AO202=0,"",IF(NOT(EH_Ready),"",IF(MatchMode="Employee ID",SUMIFS(INDEX(EH_Data,0,EH_ColBal),INDEX(EH_Data,0,EH_ColID),$A202,INDEX(EH_Data,0,EH_ColCat),BonusCat),SUMIFS(INDEX(EH_Data,0,EH_ColBal),INDEX(EH_Data,0,EH_ColFirst),$B202,INDEX(EH_Data,0,EH_ColSur),$C202,INDEX(EH_Data,0,EH_ColCat),BonusCat))/IF(EHUnit="Hours",HoursPerDay,1)))</f>
        <v/>
      </c>
      <c r="AH202" s="26" t="str">
        <f aca="false">IF(AO202=0,"",IF(NOT(TK_Ready),0,IF(MatchMode="Employee ID",SUMIFS(INDEX(TK_Data,0,TK_ColAmt),INDEX(TK_Data,0,TK_ColID),$A202,INDEX(TK_Data,0,TK_ColCat),BonusCat),SUMIFS(INDEX(TK_Data,0,TK_ColAmt),INDEX(TK_Data,0,TK_ColFirst),$B202,INDEX(TK_Data,0,TK_ColSur),$C202,INDEX(TK_Data,0,TK_ColCat),BonusCat))/IF(TKUnit="Hours",HoursPerDay,1)))</f>
        <v/>
      </c>
      <c r="AI202" s="26" t="str">
        <f aca="false">IF(AO202=0,"",N(AG202)+N(AH202))</f>
        <v/>
      </c>
      <c r="AJ202" s="29" t="str">
        <f aca="false">IF(AO202=0,"",IF(NOT(AND(EH_Ready,EH_ValReady)),"",IF(MatchMode="Employee ID",SUMIFS(INDEX(EH_Data,0,EH_ColVal),INDEX(EH_Data,0,EH_ColID),$A202,INDEX(EH_Data,0,EH_ColCat),BonusCat),SUMIFS(INDEX(EH_Data,0,EH_ColVal),INDEX(EH_Data,0,EH_ColFirst),$B202,INDEX(EH_Data,0,EH_ColSur),$C202,INDEX(EH_Data,0,EH_ColCat),BonusCat))))</f>
        <v/>
      </c>
      <c r="AK202" s="26" t="str">
        <f aca="false">IF(AO202=0,"",IF(OR(NOT(EH_Ready),BF202=1),"",AB202-AI202))</f>
        <v/>
      </c>
      <c r="AL202" s="26" t="str">
        <f aca="false">IF(AK202="","",AK202*HoursPerDay)</f>
        <v/>
      </c>
      <c r="AM202" s="27" t="str">
        <f aca="false">IF(AO202=0,"",IF(BF202=1,IF(N(AG202)&gt;0,"TERMINATED - forfeit "&amp;TEXT(AG202,"0.##")&amp;" days still in EH","Terminated - nothing in EH"),IF(NOT(EH_Ready),"Paste EH export and map headers on Settings",IF(AND(AB202&gt;0,AF202="No"),"SET UP in EH - add "&amp;TEXT(AB202,"0.##")&amp;" day(s) ("&amp;TEXT(AC202,"0.##")&amp;" hrs)",IF(AK202&gt;0,"ADD "&amp;TEXT(AK202,"0.##")&amp;" day(s) ("&amp;TEXT(AL202,"0.##")&amp;" hrs) in EH",IF(AK202&lt;0,"CHECK - EH shows "&amp;TEXT(-AK202,"0.##")&amp;" days more than policy",IF(AB202&gt;0,"OK - up to date",IF(AY202="None","No action - not eligible","No action - not yet qualified"))))))))</f>
        <v/>
      </c>
      <c r="AN202" s="27" t="str">
        <f aca="false">IF(AO202=0,"",TRIM(IF(AND($K202&lt;&gt;"",$H202=""),"Change 2 entered without Change 1. ","")&amp;IF(AND($K202&lt;&gt;"",$H202&lt;&gt;"",$K202&lt;=$H202),"Change 2 date not after Change 1. ","")&amp;IF(AND($N202&lt;&gt;"",$O202&lt;&gt;"",$O202&lt;$N202),"Leave To is before Leave From. ","")&amp;IF(AND($N202&lt;&gt;"",$O202=""),"Leave From entered without Leave To. ","")&amp;IF(AND(IFERROR(VLOOKUP(T202,TypeTable,2,0),"None")="PT",U202=""),"Part-time with no hours entered. ","")&amp;IF(AND($H202&lt;&gt;"",$H202&gt;AsOfDate,AD202&lt;&gt;"",$H202&lt;=AD202),"Status change lands before next accrual - review. ","")&amp;IF(AND($Q202&lt;&gt;"",$Q202&lt;$E202),"Termination before commencement. ","")))</f>
        <v/>
      </c>
      <c r="AO202" s="11" t="n">
        <f aca="false">IF(LEN($A202&amp;$B202&amp;$C202)=0,0,IF($E202="",0,1))</f>
        <v>0</v>
      </c>
      <c r="AP202" s="11" t="str">
        <f aca="false">IF(AO202=0,"",(IF(OR($N202="",$O202=""),0,MAX(0,MIN(X202,$O202)-MAX($N202,$E202)+1))+N($P202)))</f>
        <v/>
      </c>
      <c r="AQ202" s="11" t="str">
        <f aca="false">IF(AO202=0,"",IF(X202&lt;($E202+(IF(OR($N202="",$O202=""),0,MAX(0,MIN(X202,$O202)-MAX($N202,$E202)+1))+N($P202))),-1,12*(YEAR(X202)-YEAR(($E202+(IF(OR($N202="",$O202=""),0,MAX(0,MIN(X202,$O202)-MAX($N202,$E202)+1))+N($P202)))))+MONTH(X202)-MONTH(($E202+(IF(OR($N202="",$O202=""),0,MAX(0,MIN(X202,$O202)-MAX($N202,$E202)+1))+N($P202))))-IF(DAY(X202)&lt;MIN(DAY(($E202+(IF(OR($N202="",$O202=""),0,MAX(0,MIN(X202,$O202)-MAX($N202,$E202)+1))+N($P202)))),DAY(EOMONTH(X202,0))),1,0)))</f>
        <v/>
      </c>
      <c r="AR202" s="28" t="str">
        <f aca="false">IF(AO202=0,"",IF($H202="","",IF($H202&gt;X202,"",$H202)))</f>
        <v/>
      </c>
      <c r="AS202" s="28" t="str">
        <f aca="false">IF(AO202=0,"",IF(AR202="","",IF($K202="","",IF($K202&gt;X202,"",$K202))))</f>
        <v/>
      </c>
      <c r="AT202" s="11" t="str">
        <f aca="false">IF(AO202=0,"",IF(AR202="",AQ202,IF((AR202-1)&lt;($E202+(IF(OR($N202="",$O202=""),0,MAX(0,MIN((AR202-1),$O202)-MAX($N202,$E202)+1))+N($P202))),-1,12*(YEAR((AR202-1))-YEAR(($E202+(IF(OR($N202="",$O202=""),0,MAX(0,MIN((AR202-1),$O202)-MAX($N202,$E202)+1))+N($P202)))))+MONTH((AR202-1))-MONTH(($E202+(IF(OR($N202="",$O202=""),0,MAX(0,MIN((AR202-1),$O202)-MAX($N202,$E202)+1))+N($P202))))-IF(DAY((AR202-1))&lt;MIN(DAY(($E202+(IF(OR($N202="",$O202=""),0,MAX(0,MIN((AR202-1),$O202)-MAX($N202,$E202)+1))+N($P202)))),DAY(EOMONTH((AR202-1),0))),1,0))))</f>
        <v/>
      </c>
      <c r="AU202" s="11" t="str">
        <f aca="false">IF(AO202=0,"",IF(AS202="",AQ202,IF((AS202-1)&lt;($E202+(IF(OR($N202="",$O202=""),0,MAX(0,MIN((AS202-1),$O202)-MAX($N202,$E202)+1))+N($P202))),-1,12*(YEAR((AS202-1))-YEAR(($E202+(IF(OR($N202="",$O202=""),0,MAX(0,MIN((AS202-1),$O202)-MAX($N202,$E202)+1))+N($P202)))))+MONTH((AS202-1))-MONTH(($E202+(IF(OR($N202="",$O202=""),0,MAX(0,MIN((AS202-1),$O202)-MAX($N202,$E202)+1))+N($P202))))-IF(DAY((AS202-1))&lt;MIN(DAY(($E202+(IF(OR($N202="",$O202=""),0,MAX(0,MIN((AS202-1),$O202)-MAX($N202,$E202)+1))+N($P202)))),DAY(EOMONTH((AS202-1),0))),1,0))))</f>
        <v/>
      </c>
      <c r="AV202" s="11" t="str">
        <f aca="false">IF(AO202=0,"",IF($F202="","None",IF(IFERROR(VLOOKUP($F202,TypeTable,2,0),"None")="PT",IF(N($G202)&gt;=PT_MinHours,"PT","None"),IFERROR(VLOOKUP($F202,TypeTable,2,0),"None"))))</f>
        <v/>
      </c>
      <c r="AW202" s="11" t="str">
        <f aca="false">IF(AO202=0,"",IF($I202="","None",IF(IFERROR(VLOOKUP($I202,TypeTable,2,0),"None")="PT",IF(N($J202)&gt;=PT_MinHours,"PT","None"),IFERROR(VLOOKUP($I202,TypeTable,2,0),"None"))))</f>
        <v/>
      </c>
      <c r="AX202" s="11" t="str">
        <f aca="false">IF(AO202=0,"",IF($L202="","None",IF(IFERROR(VLOOKUP($L202,TypeTable,2,0),"None")="PT",IF(N($M202)&gt;=PT_MinHours,"PT","None"),IFERROR(VLOOKUP($L202,TypeTable,2,0),"None"))))</f>
        <v/>
      </c>
      <c r="AY202" s="11" t="str">
        <f aca="false">IF(AO202=0,"",IF(AS202&lt;&gt;"",AX202,IF(AR202&lt;&gt;"",AW202,AV202)))</f>
        <v/>
      </c>
      <c r="AZ202" s="11" t="str">
        <f aca="false">IF(AO202=0,"",IF(AV202="FT",IF(AT202&lt;FT_First,0,IF(AT202&lt;FT_Y5,1+INT((AT202-FT_First)/FT_Int1),FT_PreY5+FT_PerYear*INT((AT202-FT_Y5)/12)+FT_AnnivDays+INT(MOD(AT202-FT_Y5,12)/FT_Int2))),IF(AV202="PT",IF(AT202&lt;PT_First,0,1+INT((AT202-PT_First)/PT_Int)),0)))</f>
        <v/>
      </c>
      <c r="BA202" s="11" t="str">
        <f aca="false">IF(AO202=0,"",IF(AW202="FT",IF(AT202&lt;FT_First,0,IF(AT202&lt;FT_Y5,1+INT((AT202-FT_First)/FT_Int1),FT_PreY5+FT_PerYear*INT((AT202-FT_Y5)/12)+FT_AnnivDays+INT(MOD(AT202-FT_Y5,12)/FT_Int2))),IF(AW202="PT",IF(AT202&lt;PT_First,0,1+INT((AT202-PT_First)/PT_Int)),0)))</f>
        <v/>
      </c>
      <c r="BB202" s="11" t="str">
        <f aca="false">IF(AO202=0,"",IF(AW202="FT",IF(AU202&lt;FT_First,0,IF(AU202&lt;FT_Y5,1+INT((AU202-FT_First)/FT_Int1),FT_PreY5+FT_PerYear*INT((AU202-FT_Y5)/12)+FT_AnnivDays+INT(MOD(AU202-FT_Y5,12)/FT_Int2))),IF(AW202="PT",IF(AU202&lt;PT_First,0,1+INT((AU202-PT_First)/PT_Int)),0)))</f>
        <v/>
      </c>
      <c r="BC202" s="11" t="str">
        <f aca="false">IF(AO202=0,"",IF(AX202="FT",IF(AU202&lt;FT_First,0,IF(AU202&lt;FT_Y5,1+INT((AU202-FT_First)/FT_Int1),FT_PreY5+FT_PerYear*INT((AU202-FT_Y5)/12)+FT_AnnivDays+INT(MOD(AU202-FT_Y5,12)/FT_Int2))),IF(AX202="PT",IF(AU202&lt;PT_First,0,1+INT((AU202-PT_First)/PT_Int)),0)))</f>
        <v/>
      </c>
      <c r="BD202" s="11" t="str">
        <f aca="false">IF(AO202=0,"",IF(AX202="FT",IF(AQ202&lt;FT_First,0,IF(AQ202&lt;FT_Y5,1+INT((AQ202-FT_First)/FT_Int1),FT_PreY5+FT_PerYear*INT((AQ202-FT_Y5)/12)+FT_AnnivDays+INT(MOD(AQ202-FT_Y5,12)/FT_Int2))),IF(AX202="PT",IF(AQ202&lt;PT_First,0,1+INT((AQ202-PT_First)/PT_Int)),0)))</f>
        <v/>
      </c>
      <c r="BE202" s="11" t="str">
        <f aca="false">IF(AO202=0,"",IF(AY202="FT",IF(AQ202&lt;FT_First,FT_First,IF(AQ202&lt;FT_Y5,MIN(FT_Y5,FT_First+FT_Int1*(INT((AQ202-FT_First)/FT_Int1)+1)),FT_Y5+12*INT((AQ202-FT_Y5)/12)+FT_Int2*(INT(MOD(AQ202-FT_Y5,12)/FT_Int2)+1))),IF(AY202="PT",IF(AQ202&lt;PT_First,PT_First,PT_First+PT_Int*(INT((AQ202-PT_First)/PT_Int)+1)),"")))</f>
        <v/>
      </c>
      <c r="BF202" s="11" t="n">
        <f aca="false">IF(AO202=0,0,IF(AND($Q202&lt;&gt;"",$Q202&lt;=AsOfDate),1,0))</f>
        <v>0</v>
      </c>
      <c r="BG202" s="11" t="str">
        <f aca="false">IF(AND(AO202=1,BF202=0,EH_Ready,N(AB202)&gt;0,N(AI202)=0),COUNT($BG$5:BG201)+1,"")</f>
        <v/>
      </c>
      <c r="BH202" s="11" t="str">
        <f aca="false">IF(AND(AO202=1,BF202=0,EH_Ready,N(AB202)&gt;0,N(AI202)&gt;0,N(AK202)&gt;0),COUNT($BH$5:BH201)+1,"")</f>
        <v/>
      </c>
      <c r="BI202" s="11" t="str">
        <f aca="false">IF(AND(AO202=1,OR(LEFT(AM202,3)="ADD",LEFT(AM202,3)="SET",LEFT(AM202,5)="CHECK",LEFT(AM202,10)="TERMINATED")),COUNT($BI$5:BI201)+1,"")</f>
        <v/>
      </c>
      <c r="BJ202" s="11" t="str">
        <f aca="false">IF(AO202=0,"",$A202&amp;" - "&amp;$B202&amp;" "&amp;$C202)</f>
        <v/>
      </c>
    </row>
    <row r="203" customFormat="false" ht="15" hidden="false" customHeight="false" outlineLevel="0" collapsed="false">
      <c r="A203" s="10"/>
      <c r="B203" s="10"/>
      <c r="C203" s="10"/>
      <c r="D203" s="10"/>
      <c r="E203" s="9"/>
      <c r="F203" s="10"/>
      <c r="G203" s="30"/>
      <c r="H203" s="9"/>
      <c r="I203" s="10"/>
      <c r="J203" s="30"/>
      <c r="K203" s="9"/>
      <c r="L203" s="10"/>
      <c r="M203" s="30"/>
      <c r="N203" s="9"/>
      <c r="O203" s="9"/>
      <c r="P203" s="30"/>
      <c r="Q203" s="9"/>
      <c r="R203" s="10"/>
      <c r="S203" s="11" t="str">
        <f aca="false">IF(AO203=0,"",IF($H203="","",$F203&amp;" -&gt; "&amp;$I203&amp;IF($I203="Part-Time"," ("&amp;N($J203)&amp;" hrs)","")&amp;" on "&amp;TEXT($H203,"dd/mm/yyyy")&amp;IF($H203&gt;AsOfDate," (FUTURE)","")&amp;IF($K203="","","; "&amp;$I203&amp;" -&gt; "&amp;$L203&amp;IF($L203="Part-Time"," ("&amp;N($M203)&amp;" hrs)","")&amp;" on "&amp;TEXT($K203,"dd/mm/yyyy")&amp;IF($K203&gt;AsOfDate," (FUTURE)",""))))</f>
        <v/>
      </c>
      <c r="T203" s="11" t="str">
        <f aca="false">IF(AO203=0,"",IF(AS203&lt;&gt;"",$L203,IF(AR203&lt;&gt;"",$I203,$F203)))</f>
        <v/>
      </c>
      <c r="U203" s="26" t="str">
        <f aca="false">IF(AO203=0,"",IF(AS203&lt;&gt;"",$M203,IF(AR203&lt;&gt;"",$J203,$G203)))</f>
        <v/>
      </c>
      <c r="V203" s="11" t="str">
        <f aca="false">IF(AO203=0,"",IF(AY203="FT","Full-Time",IF(AY203="PT","Part-Time","Not eligible")))</f>
        <v/>
      </c>
      <c r="W203" s="27" t="str">
        <f aca="false">IF(AO203=0,"",IF(AR203="",IF(AND($H203&lt;&gt;"",$H203&gt;AsOfDate),"Future change - not yet applied",""),IF(AND(AV203=AY203,OR(AS203="",AW203=AV203)),"Type changed - same accrual pathway",IF(AY203="None","STOPPED accruing from "&amp;TEXT(IF(AS203&lt;&gt;"",AS203,AR203),"dd/mm/yyyy"),IF(AV203="None","STARTED qualifying from "&amp;TEXT(IF(AS203&lt;&gt;"",AS203,AR203),"dd/mm/yyyy"),"Pathway changed "&amp;AV203&amp;" -&gt; "&amp;AW203&amp;IF(AS203&lt;&gt;""," -&gt; "&amp;AX203,"")&amp;" from "&amp;TEXT(IF(AS203&lt;&gt;"",AS203,AR203),"dd/mm/yyyy"))))))</f>
        <v/>
      </c>
      <c r="X203" s="28" t="str">
        <f aca="false">IF(AO203=0,"",IF($Q203="",AsOfDate,MIN(AsOfDate,$Q203)))</f>
        <v/>
      </c>
      <c r="Y203" s="26" t="str">
        <f aca="false">IF(AO203=0,"",MAX(0,AQ203))</f>
        <v/>
      </c>
      <c r="Z203" s="11" t="str">
        <f aca="false">IF(AO203=0,"",IF(AQ203&lt;0,"Not started",INT(AQ203/12)&amp;"y "&amp;MOD(AQ203,12)&amp;"m"))</f>
        <v/>
      </c>
      <c r="AA203" s="27" t="str">
        <f aca="false">IF(AO203=0,"",IF(BF203=1,"Terminated - balance forfeited",IF(AY203="None",IF(AB203&gt;0,"No longer accruing - "&amp;T203,"Not eligible - "&amp;T203&amp;IF(AND(IFERROR(VLOOKUP(T203,TypeTable,2,0),"None")="PT",N(U203)&lt;PT_MinHours)," (under "&amp;PT_MinHours&amp;" hrs)","")),IF(AB203&gt;0,"Yes - accruing","Not yet - qualifies "&amp;TEXT(AD203,"dd/mm/yyyy")))))</f>
        <v/>
      </c>
      <c r="AB203" s="26" t="str">
        <f aca="false">IF(AO203=0,"",AZ203+IF(AR203="",0,BB203-BA203)+IF(AS203="",0,BD203-BC203))</f>
        <v/>
      </c>
      <c r="AC203" s="26" t="str">
        <f aca="false">IF(AO203=0,"",AB203*HoursPerDay)</f>
        <v/>
      </c>
      <c r="AD203" s="28" t="str">
        <f aca="false">IF(AO203=0,"",IF(OR(BF203=1,AY203="None"),"",EDATE($E203+AP203,BE203)))</f>
        <v/>
      </c>
      <c r="AE203" s="26" t="str">
        <f aca="false">IF(AD203="","",IF(AY203="PT",1,IF(BE203&lt;FT_Y5,1,IF(MOD(BE203-FT_Y5,12)=0,FT_AnnivDays,1))))</f>
        <v/>
      </c>
      <c r="AF203" s="27" t="str">
        <f aca="false">IF(AO203=0,"",IF(NOT(EH_Ready),"Map headers",IF(IF(MatchMode="Employee ID",COUNTIFS(INDEX(EH_Data,0,EH_ColID),$A203,INDEX(EH_Data,0,EH_ColCat),BonusCat),COUNTIFS(INDEX(EH_Data,0,EH_ColFirst),$B203,INDEX(EH_Data,0,EH_ColSur),$C203,INDEX(EH_Data,0,EH_ColCat),BonusCat))&gt;0,"Yes","No")))</f>
        <v/>
      </c>
      <c r="AG203" s="26" t="str">
        <f aca="false">IF(AO203=0,"",IF(NOT(EH_Ready),"",IF(MatchMode="Employee ID",SUMIFS(INDEX(EH_Data,0,EH_ColBal),INDEX(EH_Data,0,EH_ColID),$A203,INDEX(EH_Data,0,EH_ColCat),BonusCat),SUMIFS(INDEX(EH_Data,0,EH_ColBal),INDEX(EH_Data,0,EH_ColFirst),$B203,INDEX(EH_Data,0,EH_ColSur),$C203,INDEX(EH_Data,0,EH_ColCat),BonusCat))/IF(EHUnit="Hours",HoursPerDay,1)))</f>
        <v/>
      </c>
      <c r="AH203" s="26" t="str">
        <f aca="false">IF(AO203=0,"",IF(NOT(TK_Ready),0,IF(MatchMode="Employee ID",SUMIFS(INDEX(TK_Data,0,TK_ColAmt),INDEX(TK_Data,0,TK_ColID),$A203,INDEX(TK_Data,0,TK_ColCat),BonusCat),SUMIFS(INDEX(TK_Data,0,TK_ColAmt),INDEX(TK_Data,0,TK_ColFirst),$B203,INDEX(TK_Data,0,TK_ColSur),$C203,INDEX(TK_Data,0,TK_ColCat),BonusCat))/IF(TKUnit="Hours",HoursPerDay,1)))</f>
        <v/>
      </c>
      <c r="AI203" s="26" t="str">
        <f aca="false">IF(AO203=0,"",N(AG203)+N(AH203))</f>
        <v/>
      </c>
      <c r="AJ203" s="29" t="str">
        <f aca="false">IF(AO203=0,"",IF(NOT(AND(EH_Ready,EH_ValReady)),"",IF(MatchMode="Employee ID",SUMIFS(INDEX(EH_Data,0,EH_ColVal),INDEX(EH_Data,0,EH_ColID),$A203,INDEX(EH_Data,0,EH_ColCat),BonusCat),SUMIFS(INDEX(EH_Data,0,EH_ColVal),INDEX(EH_Data,0,EH_ColFirst),$B203,INDEX(EH_Data,0,EH_ColSur),$C203,INDEX(EH_Data,0,EH_ColCat),BonusCat))))</f>
        <v/>
      </c>
      <c r="AK203" s="26" t="str">
        <f aca="false">IF(AO203=0,"",IF(OR(NOT(EH_Ready),BF203=1),"",AB203-AI203))</f>
        <v/>
      </c>
      <c r="AL203" s="26" t="str">
        <f aca="false">IF(AK203="","",AK203*HoursPerDay)</f>
        <v/>
      </c>
      <c r="AM203" s="27" t="str">
        <f aca="false">IF(AO203=0,"",IF(BF203=1,IF(N(AG203)&gt;0,"TERMINATED - forfeit "&amp;TEXT(AG203,"0.##")&amp;" days still in EH","Terminated - nothing in EH"),IF(NOT(EH_Ready),"Paste EH export and map headers on Settings",IF(AND(AB203&gt;0,AF203="No"),"SET UP in EH - add "&amp;TEXT(AB203,"0.##")&amp;" day(s) ("&amp;TEXT(AC203,"0.##")&amp;" hrs)",IF(AK203&gt;0,"ADD "&amp;TEXT(AK203,"0.##")&amp;" day(s) ("&amp;TEXT(AL203,"0.##")&amp;" hrs) in EH",IF(AK203&lt;0,"CHECK - EH shows "&amp;TEXT(-AK203,"0.##")&amp;" days more than policy",IF(AB203&gt;0,"OK - up to date",IF(AY203="None","No action - not eligible","No action - not yet qualified"))))))))</f>
        <v/>
      </c>
      <c r="AN203" s="27" t="str">
        <f aca="false">IF(AO203=0,"",TRIM(IF(AND($K203&lt;&gt;"",$H203=""),"Change 2 entered without Change 1. ","")&amp;IF(AND($K203&lt;&gt;"",$H203&lt;&gt;"",$K203&lt;=$H203),"Change 2 date not after Change 1. ","")&amp;IF(AND($N203&lt;&gt;"",$O203&lt;&gt;"",$O203&lt;$N203),"Leave To is before Leave From. ","")&amp;IF(AND($N203&lt;&gt;"",$O203=""),"Leave From entered without Leave To. ","")&amp;IF(AND(IFERROR(VLOOKUP(T203,TypeTable,2,0),"None")="PT",U203=""),"Part-time with no hours entered. ","")&amp;IF(AND($H203&lt;&gt;"",$H203&gt;AsOfDate,AD203&lt;&gt;"",$H203&lt;=AD203),"Status change lands before next accrual - review. ","")&amp;IF(AND($Q203&lt;&gt;"",$Q203&lt;$E203),"Termination before commencement. ","")))</f>
        <v/>
      </c>
      <c r="AO203" s="11" t="n">
        <f aca="false">IF(LEN($A203&amp;$B203&amp;$C203)=0,0,IF($E203="",0,1))</f>
        <v>0</v>
      </c>
      <c r="AP203" s="11" t="str">
        <f aca="false">IF(AO203=0,"",(IF(OR($N203="",$O203=""),0,MAX(0,MIN(X203,$O203)-MAX($N203,$E203)+1))+N($P203)))</f>
        <v/>
      </c>
      <c r="AQ203" s="11" t="str">
        <f aca="false">IF(AO203=0,"",IF(X203&lt;($E203+(IF(OR($N203="",$O203=""),0,MAX(0,MIN(X203,$O203)-MAX($N203,$E203)+1))+N($P203))),-1,12*(YEAR(X203)-YEAR(($E203+(IF(OR($N203="",$O203=""),0,MAX(0,MIN(X203,$O203)-MAX($N203,$E203)+1))+N($P203)))))+MONTH(X203)-MONTH(($E203+(IF(OR($N203="",$O203=""),0,MAX(0,MIN(X203,$O203)-MAX($N203,$E203)+1))+N($P203))))-IF(DAY(X203)&lt;MIN(DAY(($E203+(IF(OR($N203="",$O203=""),0,MAX(0,MIN(X203,$O203)-MAX($N203,$E203)+1))+N($P203)))),DAY(EOMONTH(X203,0))),1,0)))</f>
        <v/>
      </c>
      <c r="AR203" s="28" t="str">
        <f aca="false">IF(AO203=0,"",IF($H203="","",IF($H203&gt;X203,"",$H203)))</f>
        <v/>
      </c>
      <c r="AS203" s="28" t="str">
        <f aca="false">IF(AO203=0,"",IF(AR203="","",IF($K203="","",IF($K203&gt;X203,"",$K203))))</f>
        <v/>
      </c>
      <c r="AT203" s="11" t="str">
        <f aca="false">IF(AO203=0,"",IF(AR203="",AQ203,IF((AR203-1)&lt;($E203+(IF(OR($N203="",$O203=""),0,MAX(0,MIN((AR203-1),$O203)-MAX($N203,$E203)+1))+N($P203))),-1,12*(YEAR((AR203-1))-YEAR(($E203+(IF(OR($N203="",$O203=""),0,MAX(0,MIN((AR203-1),$O203)-MAX($N203,$E203)+1))+N($P203)))))+MONTH((AR203-1))-MONTH(($E203+(IF(OR($N203="",$O203=""),0,MAX(0,MIN((AR203-1),$O203)-MAX($N203,$E203)+1))+N($P203))))-IF(DAY((AR203-1))&lt;MIN(DAY(($E203+(IF(OR($N203="",$O203=""),0,MAX(0,MIN((AR203-1),$O203)-MAX($N203,$E203)+1))+N($P203)))),DAY(EOMONTH((AR203-1),0))),1,0))))</f>
        <v/>
      </c>
      <c r="AU203" s="11" t="str">
        <f aca="false">IF(AO203=0,"",IF(AS203="",AQ203,IF((AS203-1)&lt;($E203+(IF(OR($N203="",$O203=""),0,MAX(0,MIN((AS203-1),$O203)-MAX($N203,$E203)+1))+N($P203))),-1,12*(YEAR((AS203-1))-YEAR(($E203+(IF(OR($N203="",$O203=""),0,MAX(0,MIN((AS203-1),$O203)-MAX($N203,$E203)+1))+N($P203)))))+MONTH((AS203-1))-MONTH(($E203+(IF(OR($N203="",$O203=""),0,MAX(0,MIN((AS203-1),$O203)-MAX($N203,$E203)+1))+N($P203))))-IF(DAY((AS203-1))&lt;MIN(DAY(($E203+(IF(OR($N203="",$O203=""),0,MAX(0,MIN((AS203-1),$O203)-MAX($N203,$E203)+1))+N($P203)))),DAY(EOMONTH((AS203-1),0))),1,0))))</f>
        <v/>
      </c>
      <c r="AV203" s="11" t="str">
        <f aca="false">IF(AO203=0,"",IF($F203="","None",IF(IFERROR(VLOOKUP($F203,TypeTable,2,0),"None")="PT",IF(N($G203)&gt;=PT_MinHours,"PT","None"),IFERROR(VLOOKUP($F203,TypeTable,2,0),"None"))))</f>
        <v/>
      </c>
      <c r="AW203" s="11" t="str">
        <f aca="false">IF(AO203=0,"",IF($I203="","None",IF(IFERROR(VLOOKUP($I203,TypeTable,2,0),"None")="PT",IF(N($J203)&gt;=PT_MinHours,"PT","None"),IFERROR(VLOOKUP($I203,TypeTable,2,0),"None"))))</f>
        <v/>
      </c>
      <c r="AX203" s="11" t="str">
        <f aca="false">IF(AO203=0,"",IF($L203="","None",IF(IFERROR(VLOOKUP($L203,TypeTable,2,0),"None")="PT",IF(N($M203)&gt;=PT_MinHours,"PT","None"),IFERROR(VLOOKUP($L203,TypeTable,2,0),"None"))))</f>
        <v/>
      </c>
      <c r="AY203" s="11" t="str">
        <f aca="false">IF(AO203=0,"",IF(AS203&lt;&gt;"",AX203,IF(AR203&lt;&gt;"",AW203,AV203)))</f>
        <v/>
      </c>
      <c r="AZ203" s="11" t="str">
        <f aca="false">IF(AO203=0,"",IF(AV203="FT",IF(AT203&lt;FT_First,0,IF(AT203&lt;FT_Y5,1+INT((AT203-FT_First)/FT_Int1),FT_PreY5+FT_PerYear*INT((AT203-FT_Y5)/12)+FT_AnnivDays+INT(MOD(AT203-FT_Y5,12)/FT_Int2))),IF(AV203="PT",IF(AT203&lt;PT_First,0,1+INT((AT203-PT_First)/PT_Int)),0)))</f>
        <v/>
      </c>
      <c r="BA203" s="11" t="str">
        <f aca="false">IF(AO203=0,"",IF(AW203="FT",IF(AT203&lt;FT_First,0,IF(AT203&lt;FT_Y5,1+INT((AT203-FT_First)/FT_Int1),FT_PreY5+FT_PerYear*INT((AT203-FT_Y5)/12)+FT_AnnivDays+INT(MOD(AT203-FT_Y5,12)/FT_Int2))),IF(AW203="PT",IF(AT203&lt;PT_First,0,1+INT((AT203-PT_First)/PT_Int)),0)))</f>
        <v/>
      </c>
      <c r="BB203" s="11" t="str">
        <f aca="false">IF(AO203=0,"",IF(AW203="FT",IF(AU203&lt;FT_First,0,IF(AU203&lt;FT_Y5,1+INT((AU203-FT_First)/FT_Int1),FT_PreY5+FT_PerYear*INT((AU203-FT_Y5)/12)+FT_AnnivDays+INT(MOD(AU203-FT_Y5,12)/FT_Int2))),IF(AW203="PT",IF(AU203&lt;PT_First,0,1+INT((AU203-PT_First)/PT_Int)),0)))</f>
        <v/>
      </c>
      <c r="BC203" s="11" t="str">
        <f aca="false">IF(AO203=0,"",IF(AX203="FT",IF(AU203&lt;FT_First,0,IF(AU203&lt;FT_Y5,1+INT((AU203-FT_First)/FT_Int1),FT_PreY5+FT_PerYear*INT((AU203-FT_Y5)/12)+FT_AnnivDays+INT(MOD(AU203-FT_Y5,12)/FT_Int2))),IF(AX203="PT",IF(AU203&lt;PT_First,0,1+INT((AU203-PT_First)/PT_Int)),0)))</f>
        <v/>
      </c>
      <c r="BD203" s="11" t="str">
        <f aca="false">IF(AO203=0,"",IF(AX203="FT",IF(AQ203&lt;FT_First,0,IF(AQ203&lt;FT_Y5,1+INT((AQ203-FT_First)/FT_Int1),FT_PreY5+FT_PerYear*INT((AQ203-FT_Y5)/12)+FT_AnnivDays+INT(MOD(AQ203-FT_Y5,12)/FT_Int2))),IF(AX203="PT",IF(AQ203&lt;PT_First,0,1+INT((AQ203-PT_First)/PT_Int)),0)))</f>
        <v/>
      </c>
      <c r="BE203" s="11" t="str">
        <f aca="false">IF(AO203=0,"",IF(AY203="FT",IF(AQ203&lt;FT_First,FT_First,IF(AQ203&lt;FT_Y5,MIN(FT_Y5,FT_First+FT_Int1*(INT((AQ203-FT_First)/FT_Int1)+1)),FT_Y5+12*INT((AQ203-FT_Y5)/12)+FT_Int2*(INT(MOD(AQ203-FT_Y5,12)/FT_Int2)+1))),IF(AY203="PT",IF(AQ203&lt;PT_First,PT_First,PT_First+PT_Int*(INT((AQ203-PT_First)/PT_Int)+1)),"")))</f>
        <v/>
      </c>
      <c r="BF203" s="11" t="n">
        <f aca="false">IF(AO203=0,0,IF(AND($Q203&lt;&gt;"",$Q203&lt;=AsOfDate),1,0))</f>
        <v>0</v>
      </c>
      <c r="BG203" s="11" t="str">
        <f aca="false">IF(AND(AO203=1,BF203=0,EH_Ready,N(AB203)&gt;0,N(AI203)=0),COUNT($BG$5:BG202)+1,"")</f>
        <v/>
      </c>
      <c r="BH203" s="11" t="str">
        <f aca="false">IF(AND(AO203=1,BF203=0,EH_Ready,N(AB203)&gt;0,N(AI203)&gt;0,N(AK203)&gt;0),COUNT($BH$5:BH202)+1,"")</f>
        <v/>
      </c>
      <c r="BI203" s="11" t="str">
        <f aca="false">IF(AND(AO203=1,OR(LEFT(AM203,3)="ADD",LEFT(AM203,3)="SET",LEFT(AM203,5)="CHECK",LEFT(AM203,10)="TERMINATED")),COUNT($BI$5:BI202)+1,"")</f>
        <v/>
      </c>
      <c r="BJ203" s="11" t="str">
        <f aca="false">IF(AO203=0,"",$A203&amp;" - "&amp;$B203&amp;" "&amp;$C203)</f>
        <v/>
      </c>
    </row>
    <row r="204" customFormat="false" ht="15" hidden="false" customHeight="false" outlineLevel="0" collapsed="false">
      <c r="A204" s="10"/>
      <c r="B204" s="10"/>
      <c r="C204" s="10"/>
      <c r="D204" s="10"/>
      <c r="E204" s="9"/>
      <c r="F204" s="10"/>
      <c r="G204" s="30"/>
      <c r="H204" s="9"/>
      <c r="I204" s="10"/>
      <c r="J204" s="30"/>
      <c r="K204" s="9"/>
      <c r="L204" s="10"/>
      <c r="M204" s="30"/>
      <c r="N204" s="9"/>
      <c r="O204" s="9"/>
      <c r="P204" s="30"/>
      <c r="Q204" s="9"/>
      <c r="R204" s="10"/>
      <c r="S204" s="11" t="str">
        <f aca="false">IF(AO204=0,"",IF($H204="","",$F204&amp;" -&gt; "&amp;$I204&amp;IF($I204="Part-Time"," ("&amp;N($J204)&amp;" hrs)","")&amp;" on "&amp;TEXT($H204,"dd/mm/yyyy")&amp;IF($H204&gt;AsOfDate," (FUTURE)","")&amp;IF($K204="","","; "&amp;$I204&amp;" -&gt; "&amp;$L204&amp;IF($L204="Part-Time"," ("&amp;N($M204)&amp;" hrs)","")&amp;" on "&amp;TEXT($K204,"dd/mm/yyyy")&amp;IF($K204&gt;AsOfDate," (FUTURE)",""))))</f>
        <v/>
      </c>
      <c r="T204" s="11" t="str">
        <f aca="false">IF(AO204=0,"",IF(AS204&lt;&gt;"",$L204,IF(AR204&lt;&gt;"",$I204,$F204)))</f>
        <v/>
      </c>
      <c r="U204" s="26" t="str">
        <f aca="false">IF(AO204=0,"",IF(AS204&lt;&gt;"",$M204,IF(AR204&lt;&gt;"",$J204,$G204)))</f>
        <v/>
      </c>
      <c r="V204" s="11" t="str">
        <f aca="false">IF(AO204=0,"",IF(AY204="FT","Full-Time",IF(AY204="PT","Part-Time","Not eligible")))</f>
        <v/>
      </c>
      <c r="W204" s="27" t="str">
        <f aca="false">IF(AO204=0,"",IF(AR204="",IF(AND($H204&lt;&gt;"",$H204&gt;AsOfDate),"Future change - not yet applied",""),IF(AND(AV204=AY204,OR(AS204="",AW204=AV204)),"Type changed - same accrual pathway",IF(AY204="None","STOPPED accruing from "&amp;TEXT(IF(AS204&lt;&gt;"",AS204,AR204),"dd/mm/yyyy"),IF(AV204="None","STARTED qualifying from "&amp;TEXT(IF(AS204&lt;&gt;"",AS204,AR204),"dd/mm/yyyy"),"Pathway changed "&amp;AV204&amp;" -&gt; "&amp;AW204&amp;IF(AS204&lt;&gt;""," -&gt; "&amp;AX204,"")&amp;" from "&amp;TEXT(IF(AS204&lt;&gt;"",AS204,AR204),"dd/mm/yyyy"))))))</f>
        <v/>
      </c>
      <c r="X204" s="28" t="str">
        <f aca="false">IF(AO204=0,"",IF($Q204="",AsOfDate,MIN(AsOfDate,$Q204)))</f>
        <v/>
      </c>
      <c r="Y204" s="26" t="str">
        <f aca="false">IF(AO204=0,"",MAX(0,AQ204))</f>
        <v/>
      </c>
      <c r="Z204" s="11" t="str">
        <f aca="false">IF(AO204=0,"",IF(AQ204&lt;0,"Not started",INT(AQ204/12)&amp;"y "&amp;MOD(AQ204,12)&amp;"m"))</f>
        <v/>
      </c>
      <c r="AA204" s="27" t="str">
        <f aca="false">IF(AO204=0,"",IF(BF204=1,"Terminated - balance forfeited",IF(AY204="None",IF(AB204&gt;0,"No longer accruing - "&amp;T204,"Not eligible - "&amp;T204&amp;IF(AND(IFERROR(VLOOKUP(T204,TypeTable,2,0),"None")="PT",N(U204)&lt;PT_MinHours)," (under "&amp;PT_MinHours&amp;" hrs)","")),IF(AB204&gt;0,"Yes - accruing","Not yet - qualifies "&amp;TEXT(AD204,"dd/mm/yyyy")))))</f>
        <v/>
      </c>
      <c r="AB204" s="26" t="str">
        <f aca="false">IF(AO204=0,"",AZ204+IF(AR204="",0,BB204-BA204)+IF(AS204="",0,BD204-BC204))</f>
        <v/>
      </c>
      <c r="AC204" s="26" t="str">
        <f aca="false">IF(AO204=0,"",AB204*HoursPerDay)</f>
        <v/>
      </c>
      <c r="AD204" s="28" t="str">
        <f aca="false">IF(AO204=0,"",IF(OR(BF204=1,AY204="None"),"",EDATE($E204+AP204,BE204)))</f>
        <v/>
      </c>
      <c r="AE204" s="26" t="str">
        <f aca="false">IF(AD204="","",IF(AY204="PT",1,IF(BE204&lt;FT_Y5,1,IF(MOD(BE204-FT_Y5,12)=0,FT_AnnivDays,1))))</f>
        <v/>
      </c>
      <c r="AF204" s="27" t="str">
        <f aca="false">IF(AO204=0,"",IF(NOT(EH_Ready),"Map headers",IF(IF(MatchMode="Employee ID",COUNTIFS(INDEX(EH_Data,0,EH_ColID),$A204,INDEX(EH_Data,0,EH_ColCat),BonusCat),COUNTIFS(INDEX(EH_Data,0,EH_ColFirst),$B204,INDEX(EH_Data,0,EH_ColSur),$C204,INDEX(EH_Data,0,EH_ColCat),BonusCat))&gt;0,"Yes","No")))</f>
        <v/>
      </c>
      <c r="AG204" s="26" t="str">
        <f aca="false">IF(AO204=0,"",IF(NOT(EH_Ready),"",IF(MatchMode="Employee ID",SUMIFS(INDEX(EH_Data,0,EH_ColBal),INDEX(EH_Data,0,EH_ColID),$A204,INDEX(EH_Data,0,EH_ColCat),BonusCat),SUMIFS(INDEX(EH_Data,0,EH_ColBal),INDEX(EH_Data,0,EH_ColFirst),$B204,INDEX(EH_Data,0,EH_ColSur),$C204,INDEX(EH_Data,0,EH_ColCat),BonusCat))/IF(EHUnit="Hours",HoursPerDay,1)))</f>
        <v/>
      </c>
      <c r="AH204" s="26" t="str">
        <f aca="false">IF(AO204=0,"",IF(NOT(TK_Ready),0,IF(MatchMode="Employee ID",SUMIFS(INDEX(TK_Data,0,TK_ColAmt),INDEX(TK_Data,0,TK_ColID),$A204,INDEX(TK_Data,0,TK_ColCat),BonusCat),SUMIFS(INDEX(TK_Data,0,TK_ColAmt),INDEX(TK_Data,0,TK_ColFirst),$B204,INDEX(TK_Data,0,TK_ColSur),$C204,INDEX(TK_Data,0,TK_ColCat),BonusCat))/IF(TKUnit="Hours",HoursPerDay,1)))</f>
        <v/>
      </c>
      <c r="AI204" s="26" t="str">
        <f aca="false">IF(AO204=0,"",N(AG204)+N(AH204))</f>
        <v/>
      </c>
      <c r="AJ204" s="29" t="str">
        <f aca="false">IF(AO204=0,"",IF(NOT(AND(EH_Ready,EH_ValReady)),"",IF(MatchMode="Employee ID",SUMIFS(INDEX(EH_Data,0,EH_ColVal),INDEX(EH_Data,0,EH_ColID),$A204,INDEX(EH_Data,0,EH_ColCat),BonusCat),SUMIFS(INDEX(EH_Data,0,EH_ColVal),INDEX(EH_Data,0,EH_ColFirst),$B204,INDEX(EH_Data,0,EH_ColSur),$C204,INDEX(EH_Data,0,EH_ColCat),BonusCat))))</f>
        <v/>
      </c>
      <c r="AK204" s="26" t="str">
        <f aca="false">IF(AO204=0,"",IF(OR(NOT(EH_Ready),BF204=1),"",AB204-AI204))</f>
        <v/>
      </c>
      <c r="AL204" s="26" t="str">
        <f aca="false">IF(AK204="","",AK204*HoursPerDay)</f>
        <v/>
      </c>
      <c r="AM204" s="27" t="str">
        <f aca="false">IF(AO204=0,"",IF(BF204=1,IF(N(AG204)&gt;0,"TERMINATED - forfeit "&amp;TEXT(AG204,"0.##")&amp;" days still in EH","Terminated - nothing in EH"),IF(NOT(EH_Ready),"Paste EH export and map headers on Settings",IF(AND(AB204&gt;0,AF204="No"),"SET UP in EH - add "&amp;TEXT(AB204,"0.##")&amp;" day(s) ("&amp;TEXT(AC204,"0.##")&amp;" hrs)",IF(AK204&gt;0,"ADD "&amp;TEXT(AK204,"0.##")&amp;" day(s) ("&amp;TEXT(AL204,"0.##")&amp;" hrs) in EH",IF(AK204&lt;0,"CHECK - EH shows "&amp;TEXT(-AK204,"0.##")&amp;" days more than policy",IF(AB204&gt;0,"OK - up to date",IF(AY204="None","No action - not eligible","No action - not yet qualified"))))))))</f>
        <v/>
      </c>
      <c r="AN204" s="27" t="str">
        <f aca="false">IF(AO204=0,"",TRIM(IF(AND($K204&lt;&gt;"",$H204=""),"Change 2 entered without Change 1. ","")&amp;IF(AND($K204&lt;&gt;"",$H204&lt;&gt;"",$K204&lt;=$H204),"Change 2 date not after Change 1. ","")&amp;IF(AND($N204&lt;&gt;"",$O204&lt;&gt;"",$O204&lt;$N204),"Leave To is before Leave From. ","")&amp;IF(AND($N204&lt;&gt;"",$O204=""),"Leave From entered without Leave To. ","")&amp;IF(AND(IFERROR(VLOOKUP(T204,TypeTable,2,0),"None")="PT",U204=""),"Part-time with no hours entered. ","")&amp;IF(AND($H204&lt;&gt;"",$H204&gt;AsOfDate,AD204&lt;&gt;"",$H204&lt;=AD204),"Status change lands before next accrual - review. ","")&amp;IF(AND($Q204&lt;&gt;"",$Q204&lt;$E204),"Termination before commencement. ","")))</f>
        <v/>
      </c>
      <c r="AO204" s="11" t="n">
        <f aca="false">IF(LEN($A204&amp;$B204&amp;$C204)=0,0,IF($E204="",0,1))</f>
        <v>0</v>
      </c>
      <c r="AP204" s="11" t="str">
        <f aca="false">IF(AO204=0,"",(IF(OR($N204="",$O204=""),0,MAX(0,MIN(X204,$O204)-MAX($N204,$E204)+1))+N($P204)))</f>
        <v/>
      </c>
      <c r="AQ204" s="11" t="str">
        <f aca="false">IF(AO204=0,"",IF(X204&lt;($E204+(IF(OR($N204="",$O204=""),0,MAX(0,MIN(X204,$O204)-MAX($N204,$E204)+1))+N($P204))),-1,12*(YEAR(X204)-YEAR(($E204+(IF(OR($N204="",$O204=""),0,MAX(0,MIN(X204,$O204)-MAX($N204,$E204)+1))+N($P204)))))+MONTH(X204)-MONTH(($E204+(IF(OR($N204="",$O204=""),0,MAX(0,MIN(X204,$O204)-MAX($N204,$E204)+1))+N($P204))))-IF(DAY(X204)&lt;MIN(DAY(($E204+(IF(OR($N204="",$O204=""),0,MAX(0,MIN(X204,$O204)-MAX($N204,$E204)+1))+N($P204)))),DAY(EOMONTH(X204,0))),1,0)))</f>
        <v/>
      </c>
      <c r="AR204" s="28" t="str">
        <f aca="false">IF(AO204=0,"",IF($H204="","",IF($H204&gt;X204,"",$H204)))</f>
        <v/>
      </c>
      <c r="AS204" s="28" t="str">
        <f aca="false">IF(AO204=0,"",IF(AR204="","",IF($K204="","",IF($K204&gt;X204,"",$K204))))</f>
        <v/>
      </c>
      <c r="AT204" s="11" t="str">
        <f aca="false">IF(AO204=0,"",IF(AR204="",AQ204,IF((AR204-1)&lt;($E204+(IF(OR($N204="",$O204=""),0,MAX(0,MIN((AR204-1),$O204)-MAX($N204,$E204)+1))+N($P204))),-1,12*(YEAR((AR204-1))-YEAR(($E204+(IF(OR($N204="",$O204=""),0,MAX(0,MIN((AR204-1),$O204)-MAX($N204,$E204)+1))+N($P204)))))+MONTH((AR204-1))-MONTH(($E204+(IF(OR($N204="",$O204=""),0,MAX(0,MIN((AR204-1),$O204)-MAX($N204,$E204)+1))+N($P204))))-IF(DAY((AR204-1))&lt;MIN(DAY(($E204+(IF(OR($N204="",$O204=""),0,MAX(0,MIN((AR204-1),$O204)-MAX($N204,$E204)+1))+N($P204)))),DAY(EOMONTH((AR204-1),0))),1,0))))</f>
        <v/>
      </c>
      <c r="AU204" s="11" t="str">
        <f aca="false">IF(AO204=0,"",IF(AS204="",AQ204,IF((AS204-1)&lt;($E204+(IF(OR($N204="",$O204=""),0,MAX(0,MIN((AS204-1),$O204)-MAX($N204,$E204)+1))+N($P204))),-1,12*(YEAR((AS204-1))-YEAR(($E204+(IF(OR($N204="",$O204=""),0,MAX(0,MIN((AS204-1),$O204)-MAX($N204,$E204)+1))+N($P204)))))+MONTH((AS204-1))-MONTH(($E204+(IF(OR($N204="",$O204=""),0,MAX(0,MIN((AS204-1),$O204)-MAX($N204,$E204)+1))+N($P204))))-IF(DAY((AS204-1))&lt;MIN(DAY(($E204+(IF(OR($N204="",$O204=""),0,MAX(0,MIN((AS204-1),$O204)-MAX($N204,$E204)+1))+N($P204)))),DAY(EOMONTH((AS204-1),0))),1,0))))</f>
        <v/>
      </c>
      <c r="AV204" s="11" t="str">
        <f aca="false">IF(AO204=0,"",IF($F204="","None",IF(IFERROR(VLOOKUP($F204,TypeTable,2,0),"None")="PT",IF(N($G204)&gt;=PT_MinHours,"PT","None"),IFERROR(VLOOKUP($F204,TypeTable,2,0),"None"))))</f>
        <v/>
      </c>
      <c r="AW204" s="11" t="str">
        <f aca="false">IF(AO204=0,"",IF($I204="","None",IF(IFERROR(VLOOKUP($I204,TypeTable,2,0),"None")="PT",IF(N($J204)&gt;=PT_MinHours,"PT","None"),IFERROR(VLOOKUP($I204,TypeTable,2,0),"None"))))</f>
        <v/>
      </c>
      <c r="AX204" s="11" t="str">
        <f aca="false">IF(AO204=0,"",IF($L204="","None",IF(IFERROR(VLOOKUP($L204,TypeTable,2,0),"None")="PT",IF(N($M204)&gt;=PT_MinHours,"PT","None"),IFERROR(VLOOKUP($L204,TypeTable,2,0),"None"))))</f>
        <v/>
      </c>
      <c r="AY204" s="11" t="str">
        <f aca="false">IF(AO204=0,"",IF(AS204&lt;&gt;"",AX204,IF(AR204&lt;&gt;"",AW204,AV204)))</f>
        <v/>
      </c>
      <c r="AZ204" s="11" t="str">
        <f aca="false">IF(AO204=0,"",IF(AV204="FT",IF(AT204&lt;FT_First,0,IF(AT204&lt;FT_Y5,1+INT((AT204-FT_First)/FT_Int1),FT_PreY5+FT_PerYear*INT((AT204-FT_Y5)/12)+FT_AnnivDays+INT(MOD(AT204-FT_Y5,12)/FT_Int2))),IF(AV204="PT",IF(AT204&lt;PT_First,0,1+INT((AT204-PT_First)/PT_Int)),0)))</f>
        <v/>
      </c>
      <c r="BA204" s="11" t="str">
        <f aca="false">IF(AO204=0,"",IF(AW204="FT",IF(AT204&lt;FT_First,0,IF(AT204&lt;FT_Y5,1+INT((AT204-FT_First)/FT_Int1),FT_PreY5+FT_PerYear*INT((AT204-FT_Y5)/12)+FT_AnnivDays+INT(MOD(AT204-FT_Y5,12)/FT_Int2))),IF(AW204="PT",IF(AT204&lt;PT_First,0,1+INT((AT204-PT_First)/PT_Int)),0)))</f>
        <v/>
      </c>
      <c r="BB204" s="11" t="str">
        <f aca="false">IF(AO204=0,"",IF(AW204="FT",IF(AU204&lt;FT_First,0,IF(AU204&lt;FT_Y5,1+INT((AU204-FT_First)/FT_Int1),FT_PreY5+FT_PerYear*INT((AU204-FT_Y5)/12)+FT_AnnivDays+INT(MOD(AU204-FT_Y5,12)/FT_Int2))),IF(AW204="PT",IF(AU204&lt;PT_First,0,1+INT((AU204-PT_First)/PT_Int)),0)))</f>
        <v/>
      </c>
      <c r="BC204" s="11" t="str">
        <f aca="false">IF(AO204=0,"",IF(AX204="FT",IF(AU204&lt;FT_First,0,IF(AU204&lt;FT_Y5,1+INT((AU204-FT_First)/FT_Int1),FT_PreY5+FT_PerYear*INT((AU204-FT_Y5)/12)+FT_AnnivDays+INT(MOD(AU204-FT_Y5,12)/FT_Int2))),IF(AX204="PT",IF(AU204&lt;PT_First,0,1+INT((AU204-PT_First)/PT_Int)),0)))</f>
        <v/>
      </c>
      <c r="BD204" s="11" t="str">
        <f aca="false">IF(AO204=0,"",IF(AX204="FT",IF(AQ204&lt;FT_First,0,IF(AQ204&lt;FT_Y5,1+INT((AQ204-FT_First)/FT_Int1),FT_PreY5+FT_PerYear*INT((AQ204-FT_Y5)/12)+FT_AnnivDays+INT(MOD(AQ204-FT_Y5,12)/FT_Int2))),IF(AX204="PT",IF(AQ204&lt;PT_First,0,1+INT((AQ204-PT_First)/PT_Int)),0)))</f>
        <v/>
      </c>
      <c r="BE204" s="11" t="str">
        <f aca="false">IF(AO204=0,"",IF(AY204="FT",IF(AQ204&lt;FT_First,FT_First,IF(AQ204&lt;FT_Y5,MIN(FT_Y5,FT_First+FT_Int1*(INT((AQ204-FT_First)/FT_Int1)+1)),FT_Y5+12*INT((AQ204-FT_Y5)/12)+FT_Int2*(INT(MOD(AQ204-FT_Y5,12)/FT_Int2)+1))),IF(AY204="PT",IF(AQ204&lt;PT_First,PT_First,PT_First+PT_Int*(INT((AQ204-PT_First)/PT_Int)+1)),"")))</f>
        <v/>
      </c>
      <c r="BF204" s="11" t="n">
        <f aca="false">IF(AO204=0,0,IF(AND($Q204&lt;&gt;"",$Q204&lt;=AsOfDate),1,0))</f>
        <v>0</v>
      </c>
      <c r="BG204" s="11" t="str">
        <f aca="false">IF(AND(AO204=1,BF204=0,EH_Ready,N(AB204)&gt;0,N(AI204)=0),COUNT($BG$5:BG203)+1,"")</f>
        <v/>
      </c>
      <c r="BH204" s="11" t="str">
        <f aca="false">IF(AND(AO204=1,BF204=0,EH_Ready,N(AB204)&gt;0,N(AI204)&gt;0,N(AK204)&gt;0),COUNT($BH$5:BH203)+1,"")</f>
        <v/>
      </c>
      <c r="BI204" s="11" t="str">
        <f aca="false">IF(AND(AO204=1,OR(LEFT(AM204,3)="ADD",LEFT(AM204,3)="SET",LEFT(AM204,5)="CHECK",LEFT(AM204,10)="TERMINATED")),COUNT($BI$5:BI203)+1,"")</f>
        <v/>
      </c>
      <c r="BJ204" s="11" t="str">
        <f aca="false">IF(AO204=0,"",$A204&amp;" - "&amp;$B204&amp;" "&amp;$C204)</f>
        <v/>
      </c>
    </row>
    <row r="205" customFormat="false" ht="15" hidden="false" customHeight="false" outlineLevel="0" collapsed="false">
      <c r="A205" s="10"/>
      <c r="B205" s="10"/>
      <c r="C205" s="10"/>
      <c r="D205" s="10"/>
      <c r="E205" s="9"/>
      <c r="F205" s="10"/>
      <c r="G205" s="30"/>
      <c r="H205" s="9"/>
      <c r="I205" s="10"/>
      <c r="J205" s="30"/>
      <c r="K205" s="9"/>
      <c r="L205" s="10"/>
      <c r="M205" s="30"/>
      <c r="N205" s="9"/>
      <c r="O205" s="9"/>
      <c r="P205" s="30"/>
      <c r="Q205" s="9"/>
      <c r="R205" s="10"/>
      <c r="S205" s="11" t="str">
        <f aca="false">IF(AO205=0,"",IF($H205="","",$F205&amp;" -&gt; "&amp;$I205&amp;IF($I205="Part-Time"," ("&amp;N($J205)&amp;" hrs)","")&amp;" on "&amp;TEXT($H205,"dd/mm/yyyy")&amp;IF($H205&gt;AsOfDate," (FUTURE)","")&amp;IF($K205="","","; "&amp;$I205&amp;" -&gt; "&amp;$L205&amp;IF($L205="Part-Time"," ("&amp;N($M205)&amp;" hrs)","")&amp;" on "&amp;TEXT($K205,"dd/mm/yyyy")&amp;IF($K205&gt;AsOfDate," (FUTURE)",""))))</f>
        <v/>
      </c>
      <c r="T205" s="11" t="str">
        <f aca="false">IF(AO205=0,"",IF(AS205&lt;&gt;"",$L205,IF(AR205&lt;&gt;"",$I205,$F205)))</f>
        <v/>
      </c>
      <c r="U205" s="26" t="str">
        <f aca="false">IF(AO205=0,"",IF(AS205&lt;&gt;"",$M205,IF(AR205&lt;&gt;"",$J205,$G205)))</f>
        <v/>
      </c>
      <c r="V205" s="11" t="str">
        <f aca="false">IF(AO205=0,"",IF(AY205="FT","Full-Time",IF(AY205="PT","Part-Time","Not eligible")))</f>
        <v/>
      </c>
      <c r="W205" s="27" t="str">
        <f aca="false">IF(AO205=0,"",IF(AR205="",IF(AND($H205&lt;&gt;"",$H205&gt;AsOfDate),"Future change - not yet applied",""),IF(AND(AV205=AY205,OR(AS205="",AW205=AV205)),"Type changed - same accrual pathway",IF(AY205="None","STOPPED accruing from "&amp;TEXT(IF(AS205&lt;&gt;"",AS205,AR205),"dd/mm/yyyy"),IF(AV205="None","STARTED qualifying from "&amp;TEXT(IF(AS205&lt;&gt;"",AS205,AR205),"dd/mm/yyyy"),"Pathway changed "&amp;AV205&amp;" -&gt; "&amp;AW205&amp;IF(AS205&lt;&gt;""," -&gt; "&amp;AX205,"")&amp;" from "&amp;TEXT(IF(AS205&lt;&gt;"",AS205,AR205),"dd/mm/yyyy"))))))</f>
        <v/>
      </c>
      <c r="X205" s="28" t="str">
        <f aca="false">IF(AO205=0,"",IF($Q205="",AsOfDate,MIN(AsOfDate,$Q205)))</f>
        <v/>
      </c>
      <c r="Y205" s="26" t="str">
        <f aca="false">IF(AO205=0,"",MAX(0,AQ205))</f>
        <v/>
      </c>
      <c r="Z205" s="11" t="str">
        <f aca="false">IF(AO205=0,"",IF(AQ205&lt;0,"Not started",INT(AQ205/12)&amp;"y "&amp;MOD(AQ205,12)&amp;"m"))</f>
        <v/>
      </c>
      <c r="AA205" s="27" t="str">
        <f aca="false">IF(AO205=0,"",IF(BF205=1,"Terminated - balance forfeited",IF(AY205="None",IF(AB205&gt;0,"No longer accruing - "&amp;T205,"Not eligible - "&amp;T205&amp;IF(AND(IFERROR(VLOOKUP(T205,TypeTable,2,0),"None")="PT",N(U205)&lt;PT_MinHours)," (under "&amp;PT_MinHours&amp;" hrs)","")),IF(AB205&gt;0,"Yes - accruing","Not yet - qualifies "&amp;TEXT(AD205,"dd/mm/yyyy")))))</f>
        <v/>
      </c>
      <c r="AB205" s="26" t="str">
        <f aca="false">IF(AO205=0,"",AZ205+IF(AR205="",0,BB205-BA205)+IF(AS205="",0,BD205-BC205))</f>
        <v/>
      </c>
      <c r="AC205" s="26" t="str">
        <f aca="false">IF(AO205=0,"",AB205*HoursPerDay)</f>
        <v/>
      </c>
      <c r="AD205" s="28" t="str">
        <f aca="false">IF(AO205=0,"",IF(OR(BF205=1,AY205="None"),"",EDATE($E205+AP205,BE205)))</f>
        <v/>
      </c>
      <c r="AE205" s="26" t="str">
        <f aca="false">IF(AD205="","",IF(AY205="PT",1,IF(BE205&lt;FT_Y5,1,IF(MOD(BE205-FT_Y5,12)=0,FT_AnnivDays,1))))</f>
        <v/>
      </c>
      <c r="AF205" s="27" t="str">
        <f aca="false">IF(AO205=0,"",IF(NOT(EH_Ready),"Map headers",IF(IF(MatchMode="Employee ID",COUNTIFS(INDEX(EH_Data,0,EH_ColID),$A205,INDEX(EH_Data,0,EH_ColCat),BonusCat),COUNTIFS(INDEX(EH_Data,0,EH_ColFirst),$B205,INDEX(EH_Data,0,EH_ColSur),$C205,INDEX(EH_Data,0,EH_ColCat),BonusCat))&gt;0,"Yes","No")))</f>
        <v/>
      </c>
      <c r="AG205" s="26" t="str">
        <f aca="false">IF(AO205=0,"",IF(NOT(EH_Ready),"",IF(MatchMode="Employee ID",SUMIFS(INDEX(EH_Data,0,EH_ColBal),INDEX(EH_Data,0,EH_ColID),$A205,INDEX(EH_Data,0,EH_ColCat),BonusCat),SUMIFS(INDEX(EH_Data,0,EH_ColBal),INDEX(EH_Data,0,EH_ColFirst),$B205,INDEX(EH_Data,0,EH_ColSur),$C205,INDEX(EH_Data,0,EH_ColCat),BonusCat))/IF(EHUnit="Hours",HoursPerDay,1)))</f>
        <v/>
      </c>
      <c r="AH205" s="26" t="str">
        <f aca="false">IF(AO205=0,"",IF(NOT(TK_Ready),0,IF(MatchMode="Employee ID",SUMIFS(INDEX(TK_Data,0,TK_ColAmt),INDEX(TK_Data,0,TK_ColID),$A205,INDEX(TK_Data,0,TK_ColCat),BonusCat),SUMIFS(INDEX(TK_Data,0,TK_ColAmt),INDEX(TK_Data,0,TK_ColFirst),$B205,INDEX(TK_Data,0,TK_ColSur),$C205,INDEX(TK_Data,0,TK_ColCat),BonusCat))/IF(TKUnit="Hours",HoursPerDay,1)))</f>
        <v/>
      </c>
      <c r="AI205" s="26" t="str">
        <f aca="false">IF(AO205=0,"",N(AG205)+N(AH205))</f>
        <v/>
      </c>
      <c r="AJ205" s="29" t="str">
        <f aca="false">IF(AO205=0,"",IF(NOT(AND(EH_Ready,EH_ValReady)),"",IF(MatchMode="Employee ID",SUMIFS(INDEX(EH_Data,0,EH_ColVal),INDEX(EH_Data,0,EH_ColID),$A205,INDEX(EH_Data,0,EH_ColCat),BonusCat),SUMIFS(INDEX(EH_Data,0,EH_ColVal),INDEX(EH_Data,0,EH_ColFirst),$B205,INDEX(EH_Data,0,EH_ColSur),$C205,INDEX(EH_Data,0,EH_ColCat),BonusCat))))</f>
        <v/>
      </c>
      <c r="AK205" s="26" t="str">
        <f aca="false">IF(AO205=0,"",IF(OR(NOT(EH_Ready),BF205=1),"",AB205-AI205))</f>
        <v/>
      </c>
      <c r="AL205" s="26" t="str">
        <f aca="false">IF(AK205="","",AK205*HoursPerDay)</f>
        <v/>
      </c>
      <c r="AM205" s="27" t="str">
        <f aca="false">IF(AO205=0,"",IF(BF205=1,IF(N(AG205)&gt;0,"TERMINATED - forfeit "&amp;TEXT(AG205,"0.##")&amp;" days still in EH","Terminated - nothing in EH"),IF(NOT(EH_Ready),"Paste EH export and map headers on Settings",IF(AND(AB205&gt;0,AF205="No"),"SET UP in EH - add "&amp;TEXT(AB205,"0.##")&amp;" day(s) ("&amp;TEXT(AC205,"0.##")&amp;" hrs)",IF(AK205&gt;0,"ADD "&amp;TEXT(AK205,"0.##")&amp;" day(s) ("&amp;TEXT(AL205,"0.##")&amp;" hrs) in EH",IF(AK205&lt;0,"CHECK - EH shows "&amp;TEXT(-AK205,"0.##")&amp;" days more than policy",IF(AB205&gt;0,"OK - up to date",IF(AY205="None","No action - not eligible","No action - not yet qualified"))))))))</f>
        <v/>
      </c>
      <c r="AN205" s="27" t="str">
        <f aca="false">IF(AO205=0,"",TRIM(IF(AND($K205&lt;&gt;"",$H205=""),"Change 2 entered without Change 1. ","")&amp;IF(AND($K205&lt;&gt;"",$H205&lt;&gt;"",$K205&lt;=$H205),"Change 2 date not after Change 1. ","")&amp;IF(AND($N205&lt;&gt;"",$O205&lt;&gt;"",$O205&lt;$N205),"Leave To is before Leave From. ","")&amp;IF(AND($N205&lt;&gt;"",$O205=""),"Leave From entered without Leave To. ","")&amp;IF(AND(IFERROR(VLOOKUP(T205,TypeTable,2,0),"None")="PT",U205=""),"Part-time with no hours entered. ","")&amp;IF(AND($H205&lt;&gt;"",$H205&gt;AsOfDate,AD205&lt;&gt;"",$H205&lt;=AD205),"Status change lands before next accrual - review. ","")&amp;IF(AND($Q205&lt;&gt;"",$Q205&lt;$E205),"Termination before commencement. ","")))</f>
        <v/>
      </c>
      <c r="AO205" s="11" t="n">
        <f aca="false">IF(LEN($A205&amp;$B205&amp;$C205)=0,0,IF($E205="",0,1))</f>
        <v>0</v>
      </c>
      <c r="AP205" s="11" t="str">
        <f aca="false">IF(AO205=0,"",(IF(OR($N205="",$O205=""),0,MAX(0,MIN(X205,$O205)-MAX($N205,$E205)+1))+N($P205)))</f>
        <v/>
      </c>
      <c r="AQ205" s="11" t="str">
        <f aca="false">IF(AO205=0,"",IF(X205&lt;($E205+(IF(OR($N205="",$O205=""),0,MAX(0,MIN(X205,$O205)-MAX($N205,$E205)+1))+N($P205))),-1,12*(YEAR(X205)-YEAR(($E205+(IF(OR($N205="",$O205=""),0,MAX(0,MIN(X205,$O205)-MAX($N205,$E205)+1))+N($P205)))))+MONTH(X205)-MONTH(($E205+(IF(OR($N205="",$O205=""),0,MAX(0,MIN(X205,$O205)-MAX($N205,$E205)+1))+N($P205))))-IF(DAY(X205)&lt;MIN(DAY(($E205+(IF(OR($N205="",$O205=""),0,MAX(0,MIN(X205,$O205)-MAX($N205,$E205)+1))+N($P205)))),DAY(EOMONTH(X205,0))),1,0)))</f>
        <v/>
      </c>
      <c r="AR205" s="28" t="str">
        <f aca="false">IF(AO205=0,"",IF($H205="","",IF($H205&gt;X205,"",$H205)))</f>
        <v/>
      </c>
      <c r="AS205" s="28" t="str">
        <f aca="false">IF(AO205=0,"",IF(AR205="","",IF($K205="","",IF($K205&gt;X205,"",$K205))))</f>
        <v/>
      </c>
      <c r="AT205" s="11" t="str">
        <f aca="false">IF(AO205=0,"",IF(AR205="",AQ205,IF((AR205-1)&lt;($E205+(IF(OR($N205="",$O205=""),0,MAX(0,MIN((AR205-1),$O205)-MAX($N205,$E205)+1))+N($P205))),-1,12*(YEAR((AR205-1))-YEAR(($E205+(IF(OR($N205="",$O205=""),0,MAX(0,MIN((AR205-1),$O205)-MAX($N205,$E205)+1))+N($P205)))))+MONTH((AR205-1))-MONTH(($E205+(IF(OR($N205="",$O205=""),0,MAX(0,MIN((AR205-1),$O205)-MAX($N205,$E205)+1))+N($P205))))-IF(DAY((AR205-1))&lt;MIN(DAY(($E205+(IF(OR($N205="",$O205=""),0,MAX(0,MIN((AR205-1),$O205)-MAX($N205,$E205)+1))+N($P205)))),DAY(EOMONTH((AR205-1),0))),1,0))))</f>
        <v/>
      </c>
      <c r="AU205" s="11" t="str">
        <f aca="false">IF(AO205=0,"",IF(AS205="",AQ205,IF((AS205-1)&lt;($E205+(IF(OR($N205="",$O205=""),0,MAX(0,MIN((AS205-1),$O205)-MAX($N205,$E205)+1))+N($P205))),-1,12*(YEAR((AS205-1))-YEAR(($E205+(IF(OR($N205="",$O205=""),0,MAX(0,MIN((AS205-1),$O205)-MAX($N205,$E205)+1))+N($P205)))))+MONTH((AS205-1))-MONTH(($E205+(IF(OR($N205="",$O205=""),0,MAX(0,MIN((AS205-1),$O205)-MAX($N205,$E205)+1))+N($P205))))-IF(DAY((AS205-1))&lt;MIN(DAY(($E205+(IF(OR($N205="",$O205=""),0,MAX(0,MIN((AS205-1),$O205)-MAX($N205,$E205)+1))+N($P205)))),DAY(EOMONTH((AS205-1),0))),1,0))))</f>
        <v/>
      </c>
      <c r="AV205" s="11" t="str">
        <f aca="false">IF(AO205=0,"",IF($F205="","None",IF(IFERROR(VLOOKUP($F205,TypeTable,2,0),"None")="PT",IF(N($G205)&gt;=PT_MinHours,"PT","None"),IFERROR(VLOOKUP($F205,TypeTable,2,0),"None"))))</f>
        <v/>
      </c>
      <c r="AW205" s="11" t="str">
        <f aca="false">IF(AO205=0,"",IF($I205="","None",IF(IFERROR(VLOOKUP($I205,TypeTable,2,0),"None")="PT",IF(N($J205)&gt;=PT_MinHours,"PT","None"),IFERROR(VLOOKUP($I205,TypeTable,2,0),"None"))))</f>
        <v/>
      </c>
      <c r="AX205" s="11" t="str">
        <f aca="false">IF(AO205=0,"",IF($L205="","None",IF(IFERROR(VLOOKUP($L205,TypeTable,2,0),"None")="PT",IF(N($M205)&gt;=PT_MinHours,"PT","None"),IFERROR(VLOOKUP($L205,TypeTable,2,0),"None"))))</f>
        <v/>
      </c>
      <c r="AY205" s="11" t="str">
        <f aca="false">IF(AO205=0,"",IF(AS205&lt;&gt;"",AX205,IF(AR205&lt;&gt;"",AW205,AV205)))</f>
        <v/>
      </c>
      <c r="AZ205" s="11" t="str">
        <f aca="false">IF(AO205=0,"",IF(AV205="FT",IF(AT205&lt;FT_First,0,IF(AT205&lt;FT_Y5,1+INT((AT205-FT_First)/FT_Int1),FT_PreY5+FT_PerYear*INT((AT205-FT_Y5)/12)+FT_AnnivDays+INT(MOD(AT205-FT_Y5,12)/FT_Int2))),IF(AV205="PT",IF(AT205&lt;PT_First,0,1+INT((AT205-PT_First)/PT_Int)),0)))</f>
        <v/>
      </c>
      <c r="BA205" s="11" t="str">
        <f aca="false">IF(AO205=0,"",IF(AW205="FT",IF(AT205&lt;FT_First,0,IF(AT205&lt;FT_Y5,1+INT((AT205-FT_First)/FT_Int1),FT_PreY5+FT_PerYear*INT((AT205-FT_Y5)/12)+FT_AnnivDays+INT(MOD(AT205-FT_Y5,12)/FT_Int2))),IF(AW205="PT",IF(AT205&lt;PT_First,0,1+INT((AT205-PT_First)/PT_Int)),0)))</f>
        <v/>
      </c>
      <c r="BB205" s="11" t="str">
        <f aca="false">IF(AO205=0,"",IF(AW205="FT",IF(AU205&lt;FT_First,0,IF(AU205&lt;FT_Y5,1+INT((AU205-FT_First)/FT_Int1),FT_PreY5+FT_PerYear*INT((AU205-FT_Y5)/12)+FT_AnnivDays+INT(MOD(AU205-FT_Y5,12)/FT_Int2))),IF(AW205="PT",IF(AU205&lt;PT_First,0,1+INT((AU205-PT_First)/PT_Int)),0)))</f>
        <v/>
      </c>
      <c r="BC205" s="11" t="str">
        <f aca="false">IF(AO205=0,"",IF(AX205="FT",IF(AU205&lt;FT_First,0,IF(AU205&lt;FT_Y5,1+INT((AU205-FT_First)/FT_Int1),FT_PreY5+FT_PerYear*INT((AU205-FT_Y5)/12)+FT_AnnivDays+INT(MOD(AU205-FT_Y5,12)/FT_Int2))),IF(AX205="PT",IF(AU205&lt;PT_First,0,1+INT((AU205-PT_First)/PT_Int)),0)))</f>
        <v/>
      </c>
      <c r="BD205" s="11" t="str">
        <f aca="false">IF(AO205=0,"",IF(AX205="FT",IF(AQ205&lt;FT_First,0,IF(AQ205&lt;FT_Y5,1+INT((AQ205-FT_First)/FT_Int1),FT_PreY5+FT_PerYear*INT((AQ205-FT_Y5)/12)+FT_AnnivDays+INT(MOD(AQ205-FT_Y5,12)/FT_Int2))),IF(AX205="PT",IF(AQ205&lt;PT_First,0,1+INT((AQ205-PT_First)/PT_Int)),0)))</f>
        <v/>
      </c>
      <c r="BE205" s="11" t="str">
        <f aca="false">IF(AO205=0,"",IF(AY205="FT",IF(AQ205&lt;FT_First,FT_First,IF(AQ205&lt;FT_Y5,MIN(FT_Y5,FT_First+FT_Int1*(INT((AQ205-FT_First)/FT_Int1)+1)),FT_Y5+12*INT((AQ205-FT_Y5)/12)+FT_Int2*(INT(MOD(AQ205-FT_Y5,12)/FT_Int2)+1))),IF(AY205="PT",IF(AQ205&lt;PT_First,PT_First,PT_First+PT_Int*(INT((AQ205-PT_First)/PT_Int)+1)),"")))</f>
        <v/>
      </c>
      <c r="BF205" s="11" t="n">
        <f aca="false">IF(AO205=0,0,IF(AND($Q205&lt;&gt;"",$Q205&lt;=AsOfDate),1,0))</f>
        <v>0</v>
      </c>
      <c r="BG205" s="11" t="str">
        <f aca="false">IF(AND(AO205=1,BF205=0,EH_Ready,N(AB205)&gt;0,N(AI205)=0),COUNT($BG$5:BG204)+1,"")</f>
        <v/>
      </c>
      <c r="BH205" s="11" t="str">
        <f aca="false">IF(AND(AO205=1,BF205=0,EH_Ready,N(AB205)&gt;0,N(AI205)&gt;0,N(AK205)&gt;0),COUNT($BH$5:BH204)+1,"")</f>
        <v/>
      </c>
      <c r="BI205" s="11" t="str">
        <f aca="false">IF(AND(AO205=1,OR(LEFT(AM205,3)="ADD",LEFT(AM205,3)="SET",LEFT(AM205,5)="CHECK",LEFT(AM205,10)="TERMINATED")),COUNT($BI$5:BI204)+1,"")</f>
        <v/>
      </c>
      <c r="BJ205" s="11" t="str">
        <f aca="false">IF(AO205=0,"",$A205&amp;" - "&amp;$B205&amp;" "&amp;$C205)</f>
        <v/>
      </c>
    </row>
  </sheetData>
  <autoFilter ref="A5:AN205"/>
  <mergeCells count="4">
    <mergeCell ref="A4:R4"/>
    <mergeCell ref="S4:AE4"/>
    <mergeCell ref="AF4:AN4"/>
    <mergeCell ref="AO4:BJ4"/>
  </mergeCells>
  <conditionalFormatting sqref="AM6:AM205">
    <cfRule type="expression" priority="2" aboveAverage="0" equalAverage="0" bottom="0" percent="0" rank="0" text="" dxfId="15">
      <formula>OR(LEFT(AM6,3)="ADD",LEFT(AM6,3)="SET")</formula>
    </cfRule>
    <cfRule type="expression" priority="3" aboveAverage="0" equalAverage="0" bottom="0" percent="0" rank="0" text="" dxfId="16">
      <formula>OR(LEFT(AM6,5)="CHECK",LEFT(AM6,10)="TERMINATED")</formula>
    </cfRule>
    <cfRule type="expression" priority="4" aboveAverage="0" equalAverage="0" bottom="0" percent="0" rank="0" text="" dxfId="17">
      <formula>LEFT(AM6,2)="OK"</formula>
    </cfRule>
  </conditionalFormatting>
  <conditionalFormatting sqref="AA6:AA205">
    <cfRule type="expression" priority="5" aboveAverage="0" equalAverage="0" bottom="0" percent="0" rank="0" text="" dxfId="18">
      <formula>LEFT(AA6,3)="Yes"</formula>
    </cfRule>
  </conditionalFormatting>
  <conditionalFormatting sqref="W6:W205">
    <cfRule type="expression" priority="6" aboveAverage="0" equalAverage="0" bottom="0" percent="0" rank="0" text="" dxfId="19">
      <formula>W6&lt;&gt;""</formula>
    </cfRule>
  </conditionalFormatting>
  <conditionalFormatting sqref="AN6:AN205">
    <cfRule type="expression" priority="7" aboveAverage="0" equalAverage="0" bottom="0" percent="0" rank="0" text="" dxfId="20">
      <formula>AN6&lt;&gt;""</formula>
    </cfRule>
  </conditionalFormatting>
  <conditionalFormatting sqref="AF6:AF205">
    <cfRule type="expression" priority="8" aboveAverage="0" equalAverage="0" bottom="0" percent="0" rank="0" text="" dxfId="20">
      <formula>AF6="No"</formula>
    </cfRule>
  </conditionalFormatting>
  <dataValidations count="3">
    <dataValidation allowBlank="true" errorStyle="stop" operator="between" showDropDown="false" showErrorMessage="false" showInputMessage="false" sqref="F6:F205 I6:I205 L6:L205" type="list">
      <formula1>TypeList</formula1>
      <formula2>0</formula2>
    </dataValidation>
    <dataValidation allowBlank="true" errorStyle="stop" operator="between" showDropDown="false" showErrorMessage="false" showInputMessage="false" sqref="D6:D205" type="list">
      <formula1>DeptList</formula1>
      <formula2>0</formula2>
    </dataValidation>
    <dataValidation allowBlank="true" error="Enter a date" errorStyle="stop" errorTitle="Date required" operator="greaterThan" showDropDown="false" showErrorMessage="false" showInputMessage="false" sqref="E6:E205 H6:H205 K6:K205 N6:O205 Q6:Q205"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I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4"/>
    <col collapsed="false" customWidth="true" hidden="false" outlineLevel="0" max="5" min="5" style="0" width="16"/>
    <col collapsed="false" customWidth="true" hidden="false" outlineLevel="0" max="7" min="6" style="0" width="14"/>
  </cols>
  <sheetData>
    <row r="1" customFormat="false" ht="15" hidden="false" customHeight="false" outlineLevel="0" collapsed="false">
      <c r="A1" s="14" t="s">
        <v>53</v>
      </c>
      <c r="B1" s="14" t="s">
        <v>93</v>
      </c>
      <c r="C1" s="14" t="s">
        <v>96</v>
      </c>
      <c r="D1" s="14" t="s">
        <v>238</v>
      </c>
      <c r="E1" s="14" t="s">
        <v>99</v>
      </c>
      <c r="F1" s="14" t="s">
        <v>102</v>
      </c>
      <c r="G1" s="14" t="s">
        <v>105</v>
      </c>
      <c r="I1" s="31" t="s">
        <v>239</v>
      </c>
    </row>
    <row r="2" customFormat="false" ht="15" hidden="false" customHeight="false" outlineLevel="0" collapsed="false">
      <c r="A2" s="8" t="s">
        <v>206</v>
      </c>
      <c r="B2" s="8" t="s">
        <v>207</v>
      </c>
      <c r="C2" s="8" t="s">
        <v>208</v>
      </c>
      <c r="D2" s="8" t="s">
        <v>240</v>
      </c>
      <c r="E2" s="8" t="s">
        <v>241</v>
      </c>
      <c r="F2" s="8" t="n">
        <v>120</v>
      </c>
      <c r="G2" s="8" t="n">
        <v>4800</v>
      </c>
      <c r="I2" s="6" t="s">
        <v>242</v>
      </c>
    </row>
    <row r="3" customFormat="false" ht="15" hidden="false" customHeight="false" outlineLevel="0" collapsed="false">
      <c r="A3" s="8" t="s">
        <v>206</v>
      </c>
      <c r="B3" s="8" t="s">
        <v>207</v>
      </c>
      <c r="C3" s="8" t="s">
        <v>208</v>
      </c>
      <c r="D3" s="8" t="s">
        <v>240</v>
      </c>
      <c r="E3" s="8" t="s">
        <v>45</v>
      </c>
      <c r="F3" s="8" t="n">
        <v>64</v>
      </c>
      <c r="G3" s="8" t="n">
        <v>2560</v>
      </c>
    </row>
    <row r="4" customFormat="false" ht="15" hidden="false" customHeight="false" outlineLevel="0" collapsed="false">
      <c r="A4" s="8" t="s">
        <v>210</v>
      </c>
      <c r="B4" s="8" t="s">
        <v>211</v>
      </c>
      <c r="C4" s="8" t="s">
        <v>212</v>
      </c>
      <c r="D4" s="8" t="s">
        <v>240</v>
      </c>
      <c r="E4" s="8" t="s">
        <v>45</v>
      </c>
      <c r="F4" s="8" t="n">
        <v>32</v>
      </c>
      <c r="G4" s="8" t="n">
        <v>1024</v>
      </c>
    </row>
    <row r="5" customFormat="false" ht="15" hidden="false" customHeight="false" outlineLevel="0" collapsed="false">
      <c r="A5" s="8" t="s">
        <v>210</v>
      </c>
      <c r="B5" s="8" t="s">
        <v>211</v>
      </c>
      <c r="C5" s="8" t="s">
        <v>212</v>
      </c>
      <c r="D5" s="8" t="s">
        <v>240</v>
      </c>
      <c r="E5" s="8" t="s">
        <v>241</v>
      </c>
      <c r="F5" s="8" t="n">
        <v>60</v>
      </c>
      <c r="G5" s="8" t="n">
        <v>1920</v>
      </c>
    </row>
    <row r="6" customFormat="false" ht="15" hidden="false" customHeight="false" outlineLevel="0" collapsed="false">
      <c r="A6" s="8" t="s">
        <v>218</v>
      </c>
      <c r="B6" s="8" t="s">
        <v>219</v>
      </c>
      <c r="C6" s="8" t="s">
        <v>220</v>
      </c>
      <c r="D6" s="8" t="s">
        <v>240</v>
      </c>
      <c r="E6" s="8" t="s">
        <v>45</v>
      </c>
      <c r="F6" s="8" t="n">
        <v>8</v>
      </c>
      <c r="G6" s="8" t="n">
        <v>300</v>
      </c>
    </row>
    <row r="7" customFormat="false" ht="15" hidden="false" customHeight="false" outlineLevel="0" collapsed="false">
      <c r="A7" s="8" t="s">
        <v>222</v>
      </c>
      <c r="B7" s="8" t="s">
        <v>223</v>
      </c>
      <c r="C7" s="8" t="s">
        <v>224</v>
      </c>
      <c r="D7" s="8" t="s">
        <v>136</v>
      </c>
      <c r="E7" s="8" t="s">
        <v>45</v>
      </c>
      <c r="F7" s="8" t="n">
        <v>80</v>
      </c>
      <c r="G7" s="8" t="n">
        <v>3600</v>
      </c>
    </row>
    <row r="8" customFormat="false" ht="15" hidden="false" customHeight="false" outlineLevel="0" collapsed="false">
      <c r="A8" s="8" t="s">
        <v>230</v>
      </c>
      <c r="B8" s="8" t="s">
        <v>231</v>
      </c>
      <c r="C8" s="8" t="s">
        <v>232</v>
      </c>
      <c r="D8" s="8" t="s">
        <v>240</v>
      </c>
      <c r="E8" s="8" t="s">
        <v>45</v>
      </c>
      <c r="F8" s="8" t="n">
        <v>40</v>
      </c>
      <c r="G8" s="8" t="n">
        <v>1800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I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6"/>
    <col collapsed="false" customWidth="true" hidden="false" outlineLevel="0" max="6" min="5" style="0" width="12"/>
    <col collapsed="false" customWidth="true" hidden="false" outlineLevel="0" max="7" min="7" style="0" width="10"/>
  </cols>
  <sheetData>
    <row r="1" customFormat="false" ht="15" hidden="false" customHeight="false" outlineLevel="0" collapsed="false">
      <c r="A1" s="14" t="s">
        <v>53</v>
      </c>
      <c r="B1" s="14" t="s">
        <v>93</v>
      </c>
      <c r="C1" s="14" t="s">
        <v>96</v>
      </c>
      <c r="D1" s="14" t="s">
        <v>99</v>
      </c>
      <c r="E1" s="14" t="s">
        <v>243</v>
      </c>
      <c r="F1" s="14" t="s">
        <v>244</v>
      </c>
      <c r="G1" s="14" t="s">
        <v>49</v>
      </c>
      <c r="I1" s="31" t="s">
        <v>245</v>
      </c>
    </row>
    <row r="2" customFormat="false" ht="15" hidden="false" customHeight="false" outlineLevel="0" collapsed="false">
      <c r="A2" s="8" t="s">
        <v>206</v>
      </c>
      <c r="B2" s="8" t="s">
        <v>207</v>
      </c>
      <c r="C2" s="8" t="s">
        <v>208</v>
      </c>
      <c r="D2" s="8" t="s">
        <v>45</v>
      </c>
      <c r="E2" s="32" t="n">
        <v>46122</v>
      </c>
      <c r="F2" s="32" t="n">
        <v>46122</v>
      </c>
      <c r="G2" s="8" t="n">
        <v>8</v>
      </c>
      <c r="I2" s="6" t="s">
        <v>246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N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4" min="3" style="0" width="13"/>
    <col collapsed="false" customWidth="true" hidden="false" outlineLevel="0" max="5" min="5" style="0" width="14"/>
    <col collapsed="false" customWidth="true" hidden="false" outlineLevel="0" max="6" min="6" style="0" width="12"/>
    <col collapsed="false" customWidth="true" hidden="false" outlineLevel="0" max="7" min="7" style="0" width="8"/>
    <col collapsed="false" customWidth="true" hidden="false" outlineLevel="0" max="8" min="8" style="0" width="12"/>
    <col collapsed="false" customWidth="true" hidden="false" outlineLevel="0" max="9" min="9" style="0" width="11"/>
    <col collapsed="false" customWidth="true" hidden="false" outlineLevel="0" max="11" min="10" style="0" width="10"/>
    <col collapsed="false" customWidth="true" hidden="false" outlineLevel="0" max="12" min="12" style="0" width="12"/>
    <col collapsed="false" customWidth="true" hidden="false" outlineLevel="0" max="13" min="13" style="0" width="10"/>
    <col collapsed="false" customWidth="true" hidden="false" outlineLevel="0" max="14" min="14" style="0" width="40"/>
  </cols>
  <sheetData>
    <row r="1" customFormat="false" ht="17.35" hidden="false" customHeight="false" outlineLevel="0" collapsed="false">
      <c r="A1" s="5" t="s">
        <v>247</v>
      </c>
    </row>
    <row r="2" customFormat="false" ht="15" hidden="false" customHeight="false" outlineLevel="0" collapsed="false">
      <c r="A2" s="6" t="s">
        <v>248</v>
      </c>
    </row>
    <row r="3" customFormat="false" ht="15" hidden="false" customHeight="false" outlineLevel="0" collapsed="false">
      <c r="A3" s="14" t="str">
        <f aca="false">"As-of date: "&amp;TEXT(AsOfDate,"dd/mm/yyyy")&amp;"   |   Employees listed: "&amp;COUNT(A6:A205)</f>
        <v>As-of date: 30/09/2026   |   Employees listed: 1</v>
      </c>
    </row>
    <row r="5" customFormat="false" ht="39.75" hidden="false" customHeight="true" outlineLevel="0" collapsed="false">
      <c r="A5" s="7" t="s">
        <v>249</v>
      </c>
      <c r="B5" s="7" t="s">
        <v>53</v>
      </c>
      <c r="C5" s="7" t="s">
        <v>93</v>
      </c>
      <c r="D5" s="7" t="s">
        <v>96</v>
      </c>
      <c r="E5" s="7" t="s">
        <v>147</v>
      </c>
      <c r="F5" s="7" t="s">
        <v>163</v>
      </c>
      <c r="G5" s="7" t="s">
        <v>250</v>
      </c>
      <c r="H5" s="7" t="s">
        <v>251</v>
      </c>
      <c r="I5" s="7" t="s">
        <v>169</v>
      </c>
      <c r="J5" s="7" t="s">
        <v>252</v>
      </c>
      <c r="K5" s="7" t="s">
        <v>253</v>
      </c>
      <c r="L5" s="7" t="s">
        <v>173</v>
      </c>
      <c r="M5" s="7" t="s">
        <v>175</v>
      </c>
      <c r="N5" s="7" t="s">
        <v>182</v>
      </c>
    </row>
    <row r="6" customFormat="false" ht="15" hidden="false" customHeight="false" outlineLevel="0" collapsed="false">
      <c r="A6" s="11" t="n">
        <f aca="false">IF(1&lt;=MAX(Employees!$BG$6:$BG$205),1,"")</f>
        <v>1</v>
      </c>
      <c r="B6" s="11" t="str">
        <f aca="false">IF($A6="","",INDEX(Employees!$A$6:$A$205,MATCH($A6,Employees!$BG$6:$BG$205,0)))</f>
        <v>E006</v>
      </c>
      <c r="C6" s="11" t="str">
        <f aca="false">IF($A6="","",INDEX(Employees!$B$6:$B$205,MATCH($A6,Employees!$BG$6:$BG$205,0)))</f>
        <v>Olivia</v>
      </c>
      <c r="D6" s="11" t="str">
        <f aca="false">IF($A6="","",INDEX(Employees!$C$6:$C$205,MATCH($A6,Employees!$BG$6:$BG$205,0)))</f>
        <v>Smith</v>
      </c>
      <c r="E6" s="11" t="str">
        <f aca="false">IF($A6="","",INDEX(Employees!$D$6:$D$205,MATCH($A6,Employees!$BG$6:$BG$205,0)))</f>
        <v>Operations</v>
      </c>
      <c r="F6" s="11" t="str">
        <f aca="false">IF($A6="","",INDEX(Employees!$T$6:$T$205,MATCH($A6,Employees!$BG$6:$BG$205,0)))</f>
        <v>Full-Time</v>
      </c>
      <c r="G6" s="26" t="n">
        <f aca="false">IF($A6="","",INDEX(Employees!$U$6:$U$205,MATCH($A6,Employees!$BG$6:$BG$205,0)))</f>
        <v>38</v>
      </c>
      <c r="H6" s="28" t="n">
        <f aca="false">IF($A6="","",INDEX(Employees!$E$6:$E$205,MATCH($A6,Employees!$BG$6:$BG$205,0)))</f>
        <v>44686</v>
      </c>
      <c r="I6" s="11" t="str">
        <f aca="false">IF($A6="","",INDEX(Employees!$Z$6:$Z$205,MATCH($A6,Employees!$BG$6:$BG$205,0)))</f>
        <v>3y 10m</v>
      </c>
      <c r="J6" s="26" t="n">
        <f aca="false">IF($A6="","",INDEX(Employees!$AB$6:$AB$205,MATCH($A6,Employees!$BG$6:$BG$205,0)))</f>
        <v>3</v>
      </c>
      <c r="K6" s="26" t="n">
        <f aca="false">IF($A6="","",INDEX(Employees!$AC$6:$AC$205,MATCH($A6,Employees!$BG$6:$BG$205,0)))</f>
        <v>24</v>
      </c>
      <c r="L6" s="28" t="n">
        <f aca="false">IF($A6="","",INDEX(Employees!$AD$6:$AD$205,MATCH($A6,Employees!$BG$6:$BG$205,0)))</f>
        <v>46328</v>
      </c>
      <c r="M6" s="11" t="str">
        <f aca="false">IF($A6="","",INDEX(Employees!$AF$6:$AF$205,MATCH($A6,Employees!$BG$6:$BG$205,0)))</f>
        <v>No</v>
      </c>
      <c r="N6" s="11" t="str">
        <f aca="false">IF($A6="","",INDEX(Employees!$AM$6:$AM$205,MATCH($A6,Employees!$BG$6:$BG$205,0)))</f>
        <v>SET UP in EH - add 3 day(s) (24 hrs)</v>
      </c>
    </row>
    <row r="7" customFormat="false" ht="15" hidden="false" customHeight="false" outlineLevel="0" collapsed="false">
      <c r="A7" s="11" t="str">
        <f aca="false">IF(2&lt;=MAX(Employees!$BG$6:$BG$205),2,"")</f>
        <v/>
      </c>
      <c r="B7" s="11" t="str">
        <f aca="false">IF($A7="","",INDEX(Employees!$A$6:$A$205,MATCH($A7,Employees!$BG$6:$BG$205,0)))</f>
        <v/>
      </c>
      <c r="C7" s="11" t="str">
        <f aca="false">IF($A7="","",INDEX(Employees!$B$6:$B$205,MATCH($A7,Employees!$BG$6:$BG$205,0)))</f>
        <v/>
      </c>
      <c r="D7" s="11" t="str">
        <f aca="false">IF($A7="","",INDEX(Employees!$C$6:$C$205,MATCH($A7,Employees!$BG$6:$BG$205,0)))</f>
        <v/>
      </c>
      <c r="E7" s="11" t="str">
        <f aca="false">IF($A7="","",INDEX(Employees!$D$6:$D$205,MATCH($A7,Employees!$BG$6:$BG$205,0)))</f>
        <v/>
      </c>
      <c r="F7" s="11" t="str">
        <f aca="false">IF($A7="","",INDEX(Employees!$T$6:$T$205,MATCH($A7,Employees!$BG$6:$BG$205,0)))</f>
        <v/>
      </c>
      <c r="G7" s="26" t="str">
        <f aca="false">IF($A7="","",INDEX(Employees!$U$6:$U$205,MATCH($A7,Employees!$BG$6:$BG$205,0)))</f>
        <v/>
      </c>
      <c r="H7" s="28" t="str">
        <f aca="false">IF($A7="","",INDEX(Employees!$E$6:$E$205,MATCH($A7,Employees!$BG$6:$BG$205,0)))</f>
        <v/>
      </c>
      <c r="I7" s="11" t="str">
        <f aca="false">IF($A7="","",INDEX(Employees!$Z$6:$Z$205,MATCH($A7,Employees!$BG$6:$BG$205,0)))</f>
        <v/>
      </c>
      <c r="J7" s="26" t="str">
        <f aca="false">IF($A7="","",INDEX(Employees!$AB$6:$AB$205,MATCH($A7,Employees!$BG$6:$BG$205,0)))</f>
        <v/>
      </c>
      <c r="K7" s="26" t="str">
        <f aca="false">IF($A7="","",INDEX(Employees!$AC$6:$AC$205,MATCH($A7,Employees!$BG$6:$BG$205,0)))</f>
        <v/>
      </c>
      <c r="L7" s="28" t="str">
        <f aca="false">IF($A7="","",INDEX(Employees!$AD$6:$AD$205,MATCH($A7,Employees!$BG$6:$BG$205,0)))</f>
        <v/>
      </c>
      <c r="M7" s="11" t="str">
        <f aca="false">IF($A7="","",INDEX(Employees!$AF$6:$AF$205,MATCH($A7,Employees!$BG$6:$BG$205,0)))</f>
        <v/>
      </c>
      <c r="N7" s="11" t="str">
        <f aca="false">IF($A7="","",INDEX(Employees!$AM$6:$AM$205,MATCH($A7,Employees!$BG$6:$BG$205,0)))</f>
        <v/>
      </c>
    </row>
    <row r="8" customFormat="false" ht="15" hidden="false" customHeight="false" outlineLevel="0" collapsed="false">
      <c r="A8" s="11" t="str">
        <f aca="false">IF(3&lt;=MAX(Employees!$BG$6:$BG$205),3,"")</f>
        <v/>
      </c>
      <c r="B8" s="11" t="str">
        <f aca="false">IF($A8="","",INDEX(Employees!$A$6:$A$205,MATCH($A8,Employees!$BG$6:$BG$205,0)))</f>
        <v/>
      </c>
      <c r="C8" s="11" t="str">
        <f aca="false">IF($A8="","",INDEX(Employees!$B$6:$B$205,MATCH($A8,Employees!$BG$6:$BG$205,0)))</f>
        <v/>
      </c>
      <c r="D8" s="11" t="str">
        <f aca="false">IF($A8="","",INDEX(Employees!$C$6:$C$205,MATCH($A8,Employees!$BG$6:$BG$205,0)))</f>
        <v/>
      </c>
      <c r="E8" s="11" t="str">
        <f aca="false">IF($A8="","",INDEX(Employees!$D$6:$D$205,MATCH($A8,Employees!$BG$6:$BG$205,0)))</f>
        <v/>
      </c>
      <c r="F8" s="11" t="str">
        <f aca="false">IF($A8="","",INDEX(Employees!$T$6:$T$205,MATCH($A8,Employees!$BG$6:$BG$205,0)))</f>
        <v/>
      </c>
      <c r="G8" s="26" t="str">
        <f aca="false">IF($A8="","",INDEX(Employees!$U$6:$U$205,MATCH($A8,Employees!$BG$6:$BG$205,0)))</f>
        <v/>
      </c>
      <c r="H8" s="28" t="str">
        <f aca="false">IF($A8="","",INDEX(Employees!$E$6:$E$205,MATCH($A8,Employees!$BG$6:$BG$205,0)))</f>
        <v/>
      </c>
      <c r="I8" s="11" t="str">
        <f aca="false">IF($A8="","",INDEX(Employees!$Z$6:$Z$205,MATCH($A8,Employees!$BG$6:$BG$205,0)))</f>
        <v/>
      </c>
      <c r="J8" s="26" t="str">
        <f aca="false">IF($A8="","",INDEX(Employees!$AB$6:$AB$205,MATCH($A8,Employees!$BG$6:$BG$205,0)))</f>
        <v/>
      </c>
      <c r="K8" s="26" t="str">
        <f aca="false">IF($A8="","",INDEX(Employees!$AC$6:$AC$205,MATCH($A8,Employees!$BG$6:$BG$205,0)))</f>
        <v/>
      </c>
      <c r="L8" s="28" t="str">
        <f aca="false">IF($A8="","",INDEX(Employees!$AD$6:$AD$205,MATCH($A8,Employees!$BG$6:$BG$205,0)))</f>
        <v/>
      </c>
      <c r="M8" s="11" t="str">
        <f aca="false">IF($A8="","",INDEX(Employees!$AF$6:$AF$205,MATCH($A8,Employees!$BG$6:$BG$205,0)))</f>
        <v/>
      </c>
      <c r="N8" s="11" t="str">
        <f aca="false">IF($A8="","",INDEX(Employees!$AM$6:$AM$205,MATCH($A8,Employees!$BG$6:$BG$205,0)))</f>
        <v/>
      </c>
    </row>
    <row r="9" customFormat="false" ht="15" hidden="false" customHeight="false" outlineLevel="0" collapsed="false">
      <c r="A9" s="11" t="str">
        <f aca="false">IF(4&lt;=MAX(Employees!$BG$6:$BG$205),4,"")</f>
        <v/>
      </c>
      <c r="B9" s="11" t="str">
        <f aca="false">IF($A9="","",INDEX(Employees!$A$6:$A$205,MATCH($A9,Employees!$BG$6:$BG$205,0)))</f>
        <v/>
      </c>
      <c r="C9" s="11" t="str">
        <f aca="false">IF($A9="","",INDEX(Employees!$B$6:$B$205,MATCH($A9,Employees!$BG$6:$BG$205,0)))</f>
        <v/>
      </c>
      <c r="D9" s="11" t="str">
        <f aca="false">IF($A9="","",INDEX(Employees!$C$6:$C$205,MATCH($A9,Employees!$BG$6:$BG$205,0)))</f>
        <v/>
      </c>
      <c r="E9" s="11" t="str">
        <f aca="false">IF($A9="","",INDEX(Employees!$D$6:$D$205,MATCH($A9,Employees!$BG$6:$BG$205,0)))</f>
        <v/>
      </c>
      <c r="F9" s="11" t="str">
        <f aca="false">IF($A9="","",INDEX(Employees!$T$6:$T$205,MATCH($A9,Employees!$BG$6:$BG$205,0)))</f>
        <v/>
      </c>
      <c r="G9" s="26" t="str">
        <f aca="false">IF($A9="","",INDEX(Employees!$U$6:$U$205,MATCH($A9,Employees!$BG$6:$BG$205,0)))</f>
        <v/>
      </c>
      <c r="H9" s="28" t="str">
        <f aca="false">IF($A9="","",INDEX(Employees!$E$6:$E$205,MATCH($A9,Employees!$BG$6:$BG$205,0)))</f>
        <v/>
      </c>
      <c r="I9" s="11" t="str">
        <f aca="false">IF($A9="","",INDEX(Employees!$Z$6:$Z$205,MATCH($A9,Employees!$BG$6:$BG$205,0)))</f>
        <v/>
      </c>
      <c r="J9" s="26" t="str">
        <f aca="false">IF($A9="","",INDEX(Employees!$AB$6:$AB$205,MATCH($A9,Employees!$BG$6:$BG$205,0)))</f>
        <v/>
      </c>
      <c r="K9" s="26" t="str">
        <f aca="false">IF($A9="","",INDEX(Employees!$AC$6:$AC$205,MATCH($A9,Employees!$BG$6:$BG$205,0)))</f>
        <v/>
      </c>
      <c r="L9" s="28" t="str">
        <f aca="false">IF($A9="","",INDEX(Employees!$AD$6:$AD$205,MATCH($A9,Employees!$BG$6:$BG$205,0)))</f>
        <v/>
      </c>
      <c r="M9" s="11" t="str">
        <f aca="false">IF($A9="","",INDEX(Employees!$AF$6:$AF$205,MATCH($A9,Employees!$BG$6:$BG$205,0)))</f>
        <v/>
      </c>
      <c r="N9" s="11" t="str">
        <f aca="false">IF($A9="","",INDEX(Employees!$AM$6:$AM$205,MATCH($A9,Employees!$BG$6:$BG$205,0)))</f>
        <v/>
      </c>
    </row>
    <row r="10" customFormat="false" ht="15" hidden="false" customHeight="false" outlineLevel="0" collapsed="false">
      <c r="A10" s="11" t="str">
        <f aca="false">IF(5&lt;=MAX(Employees!$BG$6:$BG$205),5,"")</f>
        <v/>
      </c>
      <c r="B10" s="11" t="str">
        <f aca="false">IF($A10="","",INDEX(Employees!$A$6:$A$205,MATCH($A10,Employees!$BG$6:$BG$205,0)))</f>
        <v/>
      </c>
      <c r="C10" s="11" t="str">
        <f aca="false">IF($A10="","",INDEX(Employees!$B$6:$B$205,MATCH($A10,Employees!$BG$6:$BG$205,0)))</f>
        <v/>
      </c>
      <c r="D10" s="11" t="str">
        <f aca="false">IF($A10="","",INDEX(Employees!$C$6:$C$205,MATCH($A10,Employees!$BG$6:$BG$205,0)))</f>
        <v/>
      </c>
      <c r="E10" s="11" t="str">
        <f aca="false">IF($A10="","",INDEX(Employees!$D$6:$D$205,MATCH($A10,Employees!$BG$6:$BG$205,0)))</f>
        <v/>
      </c>
      <c r="F10" s="11" t="str">
        <f aca="false">IF($A10="","",INDEX(Employees!$T$6:$T$205,MATCH($A10,Employees!$BG$6:$BG$205,0)))</f>
        <v/>
      </c>
      <c r="G10" s="26" t="str">
        <f aca="false">IF($A10="","",INDEX(Employees!$U$6:$U$205,MATCH($A10,Employees!$BG$6:$BG$205,0)))</f>
        <v/>
      </c>
      <c r="H10" s="28" t="str">
        <f aca="false">IF($A10="","",INDEX(Employees!$E$6:$E$205,MATCH($A10,Employees!$BG$6:$BG$205,0)))</f>
        <v/>
      </c>
      <c r="I10" s="11" t="str">
        <f aca="false">IF($A10="","",INDEX(Employees!$Z$6:$Z$205,MATCH($A10,Employees!$BG$6:$BG$205,0)))</f>
        <v/>
      </c>
      <c r="J10" s="26" t="str">
        <f aca="false">IF($A10="","",INDEX(Employees!$AB$6:$AB$205,MATCH($A10,Employees!$BG$6:$BG$205,0)))</f>
        <v/>
      </c>
      <c r="K10" s="26" t="str">
        <f aca="false">IF($A10="","",INDEX(Employees!$AC$6:$AC$205,MATCH($A10,Employees!$BG$6:$BG$205,0)))</f>
        <v/>
      </c>
      <c r="L10" s="28" t="str">
        <f aca="false">IF($A10="","",INDEX(Employees!$AD$6:$AD$205,MATCH($A10,Employees!$BG$6:$BG$205,0)))</f>
        <v/>
      </c>
      <c r="M10" s="11" t="str">
        <f aca="false">IF($A10="","",INDEX(Employees!$AF$6:$AF$205,MATCH($A10,Employees!$BG$6:$BG$205,0)))</f>
        <v/>
      </c>
      <c r="N10" s="11" t="str">
        <f aca="false">IF($A10="","",INDEX(Employees!$AM$6:$AM$205,MATCH($A10,Employees!$BG$6:$BG$205,0)))</f>
        <v/>
      </c>
    </row>
    <row r="11" customFormat="false" ht="15" hidden="false" customHeight="false" outlineLevel="0" collapsed="false">
      <c r="A11" s="11" t="str">
        <f aca="false">IF(6&lt;=MAX(Employees!$BG$6:$BG$205),6,"")</f>
        <v/>
      </c>
      <c r="B11" s="11" t="str">
        <f aca="false">IF($A11="","",INDEX(Employees!$A$6:$A$205,MATCH($A11,Employees!$BG$6:$BG$205,0)))</f>
        <v/>
      </c>
      <c r="C11" s="11" t="str">
        <f aca="false">IF($A11="","",INDEX(Employees!$B$6:$B$205,MATCH($A11,Employees!$BG$6:$BG$205,0)))</f>
        <v/>
      </c>
      <c r="D11" s="11" t="str">
        <f aca="false">IF($A11="","",INDEX(Employees!$C$6:$C$205,MATCH($A11,Employees!$BG$6:$BG$205,0)))</f>
        <v/>
      </c>
      <c r="E11" s="11" t="str">
        <f aca="false">IF($A11="","",INDEX(Employees!$D$6:$D$205,MATCH($A11,Employees!$BG$6:$BG$205,0)))</f>
        <v/>
      </c>
      <c r="F11" s="11" t="str">
        <f aca="false">IF($A11="","",INDEX(Employees!$T$6:$T$205,MATCH($A11,Employees!$BG$6:$BG$205,0)))</f>
        <v/>
      </c>
      <c r="G11" s="26" t="str">
        <f aca="false">IF($A11="","",INDEX(Employees!$U$6:$U$205,MATCH($A11,Employees!$BG$6:$BG$205,0)))</f>
        <v/>
      </c>
      <c r="H11" s="28" t="str">
        <f aca="false">IF($A11="","",INDEX(Employees!$E$6:$E$205,MATCH($A11,Employees!$BG$6:$BG$205,0)))</f>
        <v/>
      </c>
      <c r="I11" s="11" t="str">
        <f aca="false">IF($A11="","",INDEX(Employees!$Z$6:$Z$205,MATCH($A11,Employees!$BG$6:$BG$205,0)))</f>
        <v/>
      </c>
      <c r="J11" s="26" t="str">
        <f aca="false">IF($A11="","",INDEX(Employees!$AB$6:$AB$205,MATCH($A11,Employees!$BG$6:$BG$205,0)))</f>
        <v/>
      </c>
      <c r="K11" s="26" t="str">
        <f aca="false">IF($A11="","",INDEX(Employees!$AC$6:$AC$205,MATCH($A11,Employees!$BG$6:$BG$205,0)))</f>
        <v/>
      </c>
      <c r="L11" s="28" t="str">
        <f aca="false">IF($A11="","",INDEX(Employees!$AD$6:$AD$205,MATCH($A11,Employees!$BG$6:$BG$205,0)))</f>
        <v/>
      </c>
      <c r="M11" s="11" t="str">
        <f aca="false">IF($A11="","",INDEX(Employees!$AF$6:$AF$205,MATCH($A11,Employees!$BG$6:$BG$205,0)))</f>
        <v/>
      </c>
      <c r="N11" s="11" t="str">
        <f aca="false">IF($A11="","",INDEX(Employees!$AM$6:$AM$205,MATCH($A11,Employees!$BG$6:$BG$205,0)))</f>
        <v/>
      </c>
    </row>
    <row r="12" customFormat="false" ht="15" hidden="false" customHeight="false" outlineLevel="0" collapsed="false">
      <c r="A12" s="11" t="str">
        <f aca="false">IF(7&lt;=MAX(Employees!$BG$6:$BG$205),7,"")</f>
        <v/>
      </c>
      <c r="B12" s="11" t="str">
        <f aca="false">IF($A12="","",INDEX(Employees!$A$6:$A$205,MATCH($A12,Employees!$BG$6:$BG$205,0)))</f>
        <v/>
      </c>
      <c r="C12" s="11" t="str">
        <f aca="false">IF($A12="","",INDEX(Employees!$B$6:$B$205,MATCH($A12,Employees!$BG$6:$BG$205,0)))</f>
        <v/>
      </c>
      <c r="D12" s="11" t="str">
        <f aca="false">IF($A12="","",INDEX(Employees!$C$6:$C$205,MATCH($A12,Employees!$BG$6:$BG$205,0)))</f>
        <v/>
      </c>
      <c r="E12" s="11" t="str">
        <f aca="false">IF($A12="","",INDEX(Employees!$D$6:$D$205,MATCH($A12,Employees!$BG$6:$BG$205,0)))</f>
        <v/>
      </c>
      <c r="F12" s="11" t="str">
        <f aca="false">IF($A12="","",INDEX(Employees!$T$6:$T$205,MATCH($A12,Employees!$BG$6:$BG$205,0)))</f>
        <v/>
      </c>
      <c r="G12" s="26" t="str">
        <f aca="false">IF($A12="","",INDEX(Employees!$U$6:$U$205,MATCH($A12,Employees!$BG$6:$BG$205,0)))</f>
        <v/>
      </c>
      <c r="H12" s="28" t="str">
        <f aca="false">IF($A12="","",INDEX(Employees!$E$6:$E$205,MATCH($A12,Employees!$BG$6:$BG$205,0)))</f>
        <v/>
      </c>
      <c r="I12" s="11" t="str">
        <f aca="false">IF($A12="","",INDEX(Employees!$Z$6:$Z$205,MATCH($A12,Employees!$BG$6:$BG$205,0)))</f>
        <v/>
      </c>
      <c r="J12" s="26" t="str">
        <f aca="false">IF($A12="","",INDEX(Employees!$AB$6:$AB$205,MATCH($A12,Employees!$BG$6:$BG$205,0)))</f>
        <v/>
      </c>
      <c r="K12" s="26" t="str">
        <f aca="false">IF($A12="","",INDEX(Employees!$AC$6:$AC$205,MATCH($A12,Employees!$BG$6:$BG$205,0)))</f>
        <v/>
      </c>
      <c r="L12" s="28" t="str">
        <f aca="false">IF($A12="","",INDEX(Employees!$AD$6:$AD$205,MATCH($A12,Employees!$BG$6:$BG$205,0)))</f>
        <v/>
      </c>
      <c r="M12" s="11" t="str">
        <f aca="false">IF($A12="","",INDEX(Employees!$AF$6:$AF$205,MATCH($A12,Employees!$BG$6:$BG$205,0)))</f>
        <v/>
      </c>
      <c r="N12" s="11" t="str">
        <f aca="false">IF($A12="","",INDEX(Employees!$AM$6:$AM$205,MATCH($A12,Employees!$BG$6:$BG$205,0)))</f>
        <v/>
      </c>
    </row>
    <row r="13" customFormat="false" ht="15" hidden="false" customHeight="false" outlineLevel="0" collapsed="false">
      <c r="A13" s="11" t="str">
        <f aca="false">IF(8&lt;=MAX(Employees!$BG$6:$BG$205),8,"")</f>
        <v/>
      </c>
      <c r="B13" s="11" t="str">
        <f aca="false">IF($A13="","",INDEX(Employees!$A$6:$A$205,MATCH($A13,Employees!$BG$6:$BG$205,0)))</f>
        <v/>
      </c>
      <c r="C13" s="11" t="str">
        <f aca="false">IF($A13="","",INDEX(Employees!$B$6:$B$205,MATCH($A13,Employees!$BG$6:$BG$205,0)))</f>
        <v/>
      </c>
      <c r="D13" s="11" t="str">
        <f aca="false">IF($A13="","",INDEX(Employees!$C$6:$C$205,MATCH($A13,Employees!$BG$6:$BG$205,0)))</f>
        <v/>
      </c>
      <c r="E13" s="11" t="str">
        <f aca="false">IF($A13="","",INDEX(Employees!$D$6:$D$205,MATCH($A13,Employees!$BG$6:$BG$205,0)))</f>
        <v/>
      </c>
      <c r="F13" s="11" t="str">
        <f aca="false">IF($A13="","",INDEX(Employees!$T$6:$T$205,MATCH($A13,Employees!$BG$6:$BG$205,0)))</f>
        <v/>
      </c>
      <c r="G13" s="26" t="str">
        <f aca="false">IF($A13="","",INDEX(Employees!$U$6:$U$205,MATCH($A13,Employees!$BG$6:$BG$205,0)))</f>
        <v/>
      </c>
      <c r="H13" s="28" t="str">
        <f aca="false">IF($A13="","",INDEX(Employees!$E$6:$E$205,MATCH($A13,Employees!$BG$6:$BG$205,0)))</f>
        <v/>
      </c>
      <c r="I13" s="11" t="str">
        <f aca="false">IF($A13="","",INDEX(Employees!$Z$6:$Z$205,MATCH($A13,Employees!$BG$6:$BG$205,0)))</f>
        <v/>
      </c>
      <c r="J13" s="26" t="str">
        <f aca="false">IF($A13="","",INDEX(Employees!$AB$6:$AB$205,MATCH($A13,Employees!$BG$6:$BG$205,0)))</f>
        <v/>
      </c>
      <c r="K13" s="26" t="str">
        <f aca="false">IF($A13="","",INDEX(Employees!$AC$6:$AC$205,MATCH($A13,Employees!$BG$6:$BG$205,0)))</f>
        <v/>
      </c>
      <c r="L13" s="28" t="str">
        <f aca="false">IF($A13="","",INDEX(Employees!$AD$6:$AD$205,MATCH($A13,Employees!$BG$6:$BG$205,0)))</f>
        <v/>
      </c>
      <c r="M13" s="11" t="str">
        <f aca="false">IF($A13="","",INDEX(Employees!$AF$6:$AF$205,MATCH($A13,Employees!$BG$6:$BG$205,0)))</f>
        <v/>
      </c>
      <c r="N13" s="11" t="str">
        <f aca="false">IF($A13="","",INDEX(Employees!$AM$6:$AM$205,MATCH($A13,Employees!$BG$6:$BG$205,0)))</f>
        <v/>
      </c>
    </row>
    <row r="14" customFormat="false" ht="15" hidden="false" customHeight="false" outlineLevel="0" collapsed="false">
      <c r="A14" s="11" t="str">
        <f aca="false">IF(9&lt;=MAX(Employees!$BG$6:$BG$205),9,"")</f>
        <v/>
      </c>
      <c r="B14" s="11" t="str">
        <f aca="false">IF($A14="","",INDEX(Employees!$A$6:$A$205,MATCH($A14,Employees!$BG$6:$BG$205,0)))</f>
        <v/>
      </c>
      <c r="C14" s="11" t="str">
        <f aca="false">IF($A14="","",INDEX(Employees!$B$6:$B$205,MATCH($A14,Employees!$BG$6:$BG$205,0)))</f>
        <v/>
      </c>
      <c r="D14" s="11" t="str">
        <f aca="false">IF($A14="","",INDEX(Employees!$C$6:$C$205,MATCH($A14,Employees!$BG$6:$BG$205,0)))</f>
        <v/>
      </c>
      <c r="E14" s="11" t="str">
        <f aca="false">IF($A14="","",INDEX(Employees!$D$6:$D$205,MATCH($A14,Employees!$BG$6:$BG$205,0)))</f>
        <v/>
      </c>
      <c r="F14" s="11" t="str">
        <f aca="false">IF($A14="","",INDEX(Employees!$T$6:$T$205,MATCH($A14,Employees!$BG$6:$BG$205,0)))</f>
        <v/>
      </c>
      <c r="G14" s="26" t="str">
        <f aca="false">IF($A14="","",INDEX(Employees!$U$6:$U$205,MATCH($A14,Employees!$BG$6:$BG$205,0)))</f>
        <v/>
      </c>
      <c r="H14" s="28" t="str">
        <f aca="false">IF($A14="","",INDEX(Employees!$E$6:$E$205,MATCH($A14,Employees!$BG$6:$BG$205,0)))</f>
        <v/>
      </c>
      <c r="I14" s="11" t="str">
        <f aca="false">IF($A14="","",INDEX(Employees!$Z$6:$Z$205,MATCH($A14,Employees!$BG$6:$BG$205,0)))</f>
        <v/>
      </c>
      <c r="J14" s="26" t="str">
        <f aca="false">IF($A14="","",INDEX(Employees!$AB$6:$AB$205,MATCH($A14,Employees!$BG$6:$BG$205,0)))</f>
        <v/>
      </c>
      <c r="K14" s="26" t="str">
        <f aca="false">IF($A14="","",INDEX(Employees!$AC$6:$AC$205,MATCH($A14,Employees!$BG$6:$BG$205,0)))</f>
        <v/>
      </c>
      <c r="L14" s="28" t="str">
        <f aca="false">IF($A14="","",INDEX(Employees!$AD$6:$AD$205,MATCH($A14,Employees!$BG$6:$BG$205,0)))</f>
        <v/>
      </c>
      <c r="M14" s="11" t="str">
        <f aca="false">IF($A14="","",INDEX(Employees!$AF$6:$AF$205,MATCH($A14,Employees!$BG$6:$BG$205,0)))</f>
        <v/>
      </c>
      <c r="N14" s="11" t="str">
        <f aca="false">IF($A14="","",INDEX(Employees!$AM$6:$AM$205,MATCH($A14,Employees!$BG$6:$BG$205,0)))</f>
        <v/>
      </c>
    </row>
    <row r="15" customFormat="false" ht="15" hidden="false" customHeight="false" outlineLevel="0" collapsed="false">
      <c r="A15" s="11" t="str">
        <f aca="false">IF(10&lt;=MAX(Employees!$BG$6:$BG$205),10,"")</f>
        <v/>
      </c>
      <c r="B15" s="11" t="str">
        <f aca="false">IF($A15="","",INDEX(Employees!$A$6:$A$205,MATCH($A15,Employees!$BG$6:$BG$205,0)))</f>
        <v/>
      </c>
      <c r="C15" s="11" t="str">
        <f aca="false">IF($A15="","",INDEX(Employees!$B$6:$B$205,MATCH($A15,Employees!$BG$6:$BG$205,0)))</f>
        <v/>
      </c>
      <c r="D15" s="11" t="str">
        <f aca="false">IF($A15="","",INDEX(Employees!$C$6:$C$205,MATCH($A15,Employees!$BG$6:$BG$205,0)))</f>
        <v/>
      </c>
      <c r="E15" s="11" t="str">
        <f aca="false">IF($A15="","",INDEX(Employees!$D$6:$D$205,MATCH($A15,Employees!$BG$6:$BG$205,0)))</f>
        <v/>
      </c>
      <c r="F15" s="11" t="str">
        <f aca="false">IF($A15="","",INDEX(Employees!$T$6:$T$205,MATCH($A15,Employees!$BG$6:$BG$205,0)))</f>
        <v/>
      </c>
      <c r="G15" s="26" t="str">
        <f aca="false">IF($A15="","",INDEX(Employees!$U$6:$U$205,MATCH($A15,Employees!$BG$6:$BG$205,0)))</f>
        <v/>
      </c>
      <c r="H15" s="28" t="str">
        <f aca="false">IF($A15="","",INDEX(Employees!$E$6:$E$205,MATCH($A15,Employees!$BG$6:$BG$205,0)))</f>
        <v/>
      </c>
      <c r="I15" s="11" t="str">
        <f aca="false">IF($A15="","",INDEX(Employees!$Z$6:$Z$205,MATCH($A15,Employees!$BG$6:$BG$205,0)))</f>
        <v/>
      </c>
      <c r="J15" s="26" t="str">
        <f aca="false">IF($A15="","",INDEX(Employees!$AB$6:$AB$205,MATCH($A15,Employees!$BG$6:$BG$205,0)))</f>
        <v/>
      </c>
      <c r="K15" s="26" t="str">
        <f aca="false">IF($A15="","",INDEX(Employees!$AC$6:$AC$205,MATCH($A15,Employees!$BG$6:$BG$205,0)))</f>
        <v/>
      </c>
      <c r="L15" s="28" t="str">
        <f aca="false">IF($A15="","",INDEX(Employees!$AD$6:$AD$205,MATCH($A15,Employees!$BG$6:$BG$205,0)))</f>
        <v/>
      </c>
      <c r="M15" s="11" t="str">
        <f aca="false">IF($A15="","",INDEX(Employees!$AF$6:$AF$205,MATCH($A15,Employees!$BG$6:$BG$205,0)))</f>
        <v/>
      </c>
      <c r="N15" s="11" t="str">
        <f aca="false">IF($A15="","",INDEX(Employees!$AM$6:$AM$205,MATCH($A15,Employees!$BG$6:$BG$205,0)))</f>
        <v/>
      </c>
    </row>
    <row r="16" customFormat="false" ht="15" hidden="false" customHeight="false" outlineLevel="0" collapsed="false">
      <c r="A16" s="11" t="str">
        <f aca="false">IF(11&lt;=MAX(Employees!$BG$6:$BG$205),11,"")</f>
        <v/>
      </c>
      <c r="B16" s="11" t="str">
        <f aca="false">IF($A16="","",INDEX(Employees!$A$6:$A$205,MATCH($A16,Employees!$BG$6:$BG$205,0)))</f>
        <v/>
      </c>
      <c r="C16" s="11" t="str">
        <f aca="false">IF($A16="","",INDEX(Employees!$B$6:$B$205,MATCH($A16,Employees!$BG$6:$BG$205,0)))</f>
        <v/>
      </c>
      <c r="D16" s="11" t="str">
        <f aca="false">IF($A16="","",INDEX(Employees!$C$6:$C$205,MATCH($A16,Employees!$BG$6:$BG$205,0)))</f>
        <v/>
      </c>
      <c r="E16" s="11" t="str">
        <f aca="false">IF($A16="","",INDEX(Employees!$D$6:$D$205,MATCH($A16,Employees!$BG$6:$BG$205,0)))</f>
        <v/>
      </c>
      <c r="F16" s="11" t="str">
        <f aca="false">IF($A16="","",INDEX(Employees!$T$6:$T$205,MATCH($A16,Employees!$BG$6:$BG$205,0)))</f>
        <v/>
      </c>
      <c r="G16" s="26" t="str">
        <f aca="false">IF($A16="","",INDEX(Employees!$U$6:$U$205,MATCH($A16,Employees!$BG$6:$BG$205,0)))</f>
        <v/>
      </c>
      <c r="H16" s="28" t="str">
        <f aca="false">IF($A16="","",INDEX(Employees!$E$6:$E$205,MATCH($A16,Employees!$BG$6:$BG$205,0)))</f>
        <v/>
      </c>
      <c r="I16" s="11" t="str">
        <f aca="false">IF($A16="","",INDEX(Employees!$Z$6:$Z$205,MATCH($A16,Employees!$BG$6:$BG$205,0)))</f>
        <v/>
      </c>
      <c r="J16" s="26" t="str">
        <f aca="false">IF($A16="","",INDEX(Employees!$AB$6:$AB$205,MATCH($A16,Employees!$BG$6:$BG$205,0)))</f>
        <v/>
      </c>
      <c r="K16" s="26" t="str">
        <f aca="false">IF($A16="","",INDEX(Employees!$AC$6:$AC$205,MATCH($A16,Employees!$BG$6:$BG$205,0)))</f>
        <v/>
      </c>
      <c r="L16" s="28" t="str">
        <f aca="false">IF($A16="","",INDEX(Employees!$AD$6:$AD$205,MATCH($A16,Employees!$BG$6:$BG$205,0)))</f>
        <v/>
      </c>
      <c r="M16" s="11" t="str">
        <f aca="false">IF($A16="","",INDEX(Employees!$AF$6:$AF$205,MATCH($A16,Employees!$BG$6:$BG$205,0)))</f>
        <v/>
      </c>
      <c r="N16" s="11" t="str">
        <f aca="false">IF($A16="","",INDEX(Employees!$AM$6:$AM$205,MATCH($A16,Employees!$BG$6:$BG$205,0)))</f>
        <v/>
      </c>
    </row>
    <row r="17" customFormat="false" ht="15" hidden="false" customHeight="false" outlineLevel="0" collapsed="false">
      <c r="A17" s="11" t="str">
        <f aca="false">IF(12&lt;=MAX(Employees!$BG$6:$BG$205),12,"")</f>
        <v/>
      </c>
      <c r="B17" s="11" t="str">
        <f aca="false">IF($A17="","",INDEX(Employees!$A$6:$A$205,MATCH($A17,Employees!$BG$6:$BG$205,0)))</f>
        <v/>
      </c>
      <c r="C17" s="11" t="str">
        <f aca="false">IF($A17="","",INDEX(Employees!$B$6:$B$205,MATCH($A17,Employees!$BG$6:$BG$205,0)))</f>
        <v/>
      </c>
      <c r="D17" s="11" t="str">
        <f aca="false">IF($A17="","",INDEX(Employees!$C$6:$C$205,MATCH($A17,Employees!$BG$6:$BG$205,0)))</f>
        <v/>
      </c>
      <c r="E17" s="11" t="str">
        <f aca="false">IF($A17="","",INDEX(Employees!$D$6:$D$205,MATCH($A17,Employees!$BG$6:$BG$205,0)))</f>
        <v/>
      </c>
      <c r="F17" s="11" t="str">
        <f aca="false">IF($A17="","",INDEX(Employees!$T$6:$T$205,MATCH($A17,Employees!$BG$6:$BG$205,0)))</f>
        <v/>
      </c>
      <c r="G17" s="26" t="str">
        <f aca="false">IF($A17="","",INDEX(Employees!$U$6:$U$205,MATCH($A17,Employees!$BG$6:$BG$205,0)))</f>
        <v/>
      </c>
      <c r="H17" s="28" t="str">
        <f aca="false">IF($A17="","",INDEX(Employees!$E$6:$E$205,MATCH($A17,Employees!$BG$6:$BG$205,0)))</f>
        <v/>
      </c>
      <c r="I17" s="11" t="str">
        <f aca="false">IF($A17="","",INDEX(Employees!$Z$6:$Z$205,MATCH($A17,Employees!$BG$6:$BG$205,0)))</f>
        <v/>
      </c>
      <c r="J17" s="26" t="str">
        <f aca="false">IF($A17="","",INDEX(Employees!$AB$6:$AB$205,MATCH($A17,Employees!$BG$6:$BG$205,0)))</f>
        <v/>
      </c>
      <c r="K17" s="26" t="str">
        <f aca="false">IF($A17="","",INDEX(Employees!$AC$6:$AC$205,MATCH($A17,Employees!$BG$6:$BG$205,0)))</f>
        <v/>
      </c>
      <c r="L17" s="28" t="str">
        <f aca="false">IF($A17="","",INDEX(Employees!$AD$6:$AD$205,MATCH($A17,Employees!$BG$6:$BG$205,0)))</f>
        <v/>
      </c>
      <c r="M17" s="11" t="str">
        <f aca="false">IF($A17="","",INDEX(Employees!$AF$6:$AF$205,MATCH($A17,Employees!$BG$6:$BG$205,0)))</f>
        <v/>
      </c>
      <c r="N17" s="11" t="str">
        <f aca="false">IF($A17="","",INDEX(Employees!$AM$6:$AM$205,MATCH($A17,Employees!$BG$6:$BG$205,0)))</f>
        <v/>
      </c>
    </row>
    <row r="18" customFormat="false" ht="15" hidden="false" customHeight="false" outlineLevel="0" collapsed="false">
      <c r="A18" s="11" t="str">
        <f aca="false">IF(13&lt;=MAX(Employees!$BG$6:$BG$205),13,"")</f>
        <v/>
      </c>
      <c r="B18" s="11" t="str">
        <f aca="false">IF($A18="","",INDEX(Employees!$A$6:$A$205,MATCH($A18,Employees!$BG$6:$BG$205,0)))</f>
        <v/>
      </c>
      <c r="C18" s="11" t="str">
        <f aca="false">IF($A18="","",INDEX(Employees!$B$6:$B$205,MATCH($A18,Employees!$BG$6:$BG$205,0)))</f>
        <v/>
      </c>
      <c r="D18" s="11" t="str">
        <f aca="false">IF($A18="","",INDEX(Employees!$C$6:$C$205,MATCH($A18,Employees!$BG$6:$BG$205,0)))</f>
        <v/>
      </c>
      <c r="E18" s="11" t="str">
        <f aca="false">IF($A18="","",INDEX(Employees!$D$6:$D$205,MATCH($A18,Employees!$BG$6:$BG$205,0)))</f>
        <v/>
      </c>
      <c r="F18" s="11" t="str">
        <f aca="false">IF($A18="","",INDEX(Employees!$T$6:$T$205,MATCH($A18,Employees!$BG$6:$BG$205,0)))</f>
        <v/>
      </c>
      <c r="G18" s="26" t="str">
        <f aca="false">IF($A18="","",INDEX(Employees!$U$6:$U$205,MATCH($A18,Employees!$BG$6:$BG$205,0)))</f>
        <v/>
      </c>
      <c r="H18" s="28" t="str">
        <f aca="false">IF($A18="","",INDEX(Employees!$E$6:$E$205,MATCH($A18,Employees!$BG$6:$BG$205,0)))</f>
        <v/>
      </c>
      <c r="I18" s="11" t="str">
        <f aca="false">IF($A18="","",INDEX(Employees!$Z$6:$Z$205,MATCH($A18,Employees!$BG$6:$BG$205,0)))</f>
        <v/>
      </c>
      <c r="J18" s="26" t="str">
        <f aca="false">IF($A18="","",INDEX(Employees!$AB$6:$AB$205,MATCH($A18,Employees!$BG$6:$BG$205,0)))</f>
        <v/>
      </c>
      <c r="K18" s="26" t="str">
        <f aca="false">IF($A18="","",INDEX(Employees!$AC$6:$AC$205,MATCH($A18,Employees!$BG$6:$BG$205,0)))</f>
        <v/>
      </c>
      <c r="L18" s="28" t="str">
        <f aca="false">IF($A18="","",INDEX(Employees!$AD$6:$AD$205,MATCH($A18,Employees!$BG$6:$BG$205,0)))</f>
        <v/>
      </c>
      <c r="M18" s="11" t="str">
        <f aca="false">IF($A18="","",INDEX(Employees!$AF$6:$AF$205,MATCH($A18,Employees!$BG$6:$BG$205,0)))</f>
        <v/>
      </c>
      <c r="N18" s="11" t="str">
        <f aca="false">IF($A18="","",INDEX(Employees!$AM$6:$AM$205,MATCH($A18,Employees!$BG$6:$BG$205,0)))</f>
        <v/>
      </c>
    </row>
    <row r="19" customFormat="false" ht="15" hidden="false" customHeight="false" outlineLevel="0" collapsed="false">
      <c r="A19" s="11" t="str">
        <f aca="false">IF(14&lt;=MAX(Employees!$BG$6:$BG$205),14,"")</f>
        <v/>
      </c>
      <c r="B19" s="11" t="str">
        <f aca="false">IF($A19="","",INDEX(Employees!$A$6:$A$205,MATCH($A19,Employees!$BG$6:$BG$205,0)))</f>
        <v/>
      </c>
      <c r="C19" s="11" t="str">
        <f aca="false">IF($A19="","",INDEX(Employees!$B$6:$B$205,MATCH($A19,Employees!$BG$6:$BG$205,0)))</f>
        <v/>
      </c>
      <c r="D19" s="11" t="str">
        <f aca="false">IF($A19="","",INDEX(Employees!$C$6:$C$205,MATCH($A19,Employees!$BG$6:$BG$205,0)))</f>
        <v/>
      </c>
      <c r="E19" s="11" t="str">
        <f aca="false">IF($A19="","",INDEX(Employees!$D$6:$D$205,MATCH($A19,Employees!$BG$6:$BG$205,0)))</f>
        <v/>
      </c>
      <c r="F19" s="11" t="str">
        <f aca="false">IF($A19="","",INDEX(Employees!$T$6:$T$205,MATCH($A19,Employees!$BG$6:$BG$205,0)))</f>
        <v/>
      </c>
      <c r="G19" s="26" t="str">
        <f aca="false">IF($A19="","",INDEX(Employees!$U$6:$U$205,MATCH($A19,Employees!$BG$6:$BG$205,0)))</f>
        <v/>
      </c>
      <c r="H19" s="28" t="str">
        <f aca="false">IF($A19="","",INDEX(Employees!$E$6:$E$205,MATCH($A19,Employees!$BG$6:$BG$205,0)))</f>
        <v/>
      </c>
      <c r="I19" s="11" t="str">
        <f aca="false">IF($A19="","",INDEX(Employees!$Z$6:$Z$205,MATCH($A19,Employees!$BG$6:$BG$205,0)))</f>
        <v/>
      </c>
      <c r="J19" s="26" t="str">
        <f aca="false">IF($A19="","",INDEX(Employees!$AB$6:$AB$205,MATCH($A19,Employees!$BG$6:$BG$205,0)))</f>
        <v/>
      </c>
      <c r="K19" s="26" t="str">
        <f aca="false">IF($A19="","",INDEX(Employees!$AC$6:$AC$205,MATCH($A19,Employees!$BG$6:$BG$205,0)))</f>
        <v/>
      </c>
      <c r="L19" s="28" t="str">
        <f aca="false">IF($A19="","",INDEX(Employees!$AD$6:$AD$205,MATCH($A19,Employees!$BG$6:$BG$205,0)))</f>
        <v/>
      </c>
      <c r="M19" s="11" t="str">
        <f aca="false">IF($A19="","",INDEX(Employees!$AF$6:$AF$205,MATCH($A19,Employees!$BG$6:$BG$205,0)))</f>
        <v/>
      </c>
      <c r="N19" s="11" t="str">
        <f aca="false">IF($A19="","",INDEX(Employees!$AM$6:$AM$205,MATCH($A19,Employees!$BG$6:$BG$205,0)))</f>
        <v/>
      </c>
    </row>
    <row r="20" customFormat="false" ht="15" hidden="false" customHeight="false" outlineLevel="0" collapsed="false">
      <c r="A20" s="11" t="str">
        <f aca="false">IF(15&lt;=MAX(Employees!$BG$6:$BG$205),15,"")</f>
        <v/>
      </c>
      <c r="B20" s="11" t="str">
        <f aca="false">IF($A20="","",INDEX(Employees!$A$6:$A$205,MATCH($A20,Employees!$BG$6:$BG$205,0)))</f>
        <v/>
      </c>
      <c r="C20" s="11" t="str">
        <f aca="false">IF($A20="","",INDEX(Employees!$B$6:$B$205,MATCH($A20,Employees!$BG$6:$BG$205,0)))</f>
        <v/>
      </c>
      <c r="D20" s="11" t="str">
        <f aca="false">IF($A20="","",INDEX(Employees!$C$6:$C$205,MATCH($A20,Employees!$BG$6:$BG$205,0)))</f>
        <v/>
      </c>
      <c r="E20" s="11" t="str">
        <f aca="false">IF($A20="","",INDEX(Employees!$D$6:$D$205,MATCH($A20,Employees!$BG$6:$BG$205,0)))</f>
        <v/>
      </c>
      <c r="F20" s="11" t="str">
        <f aca="false">IF($A20="","",INDEX(Employees!$T$6:$T$205,MATCH($A20,Employees!$BG$6:$BG$205,0)))</f>
        <v/>
      </c>
      <c r="G20" s="26" t="str">
        <f aca="false">IF($A20="","",INDEX(Employees!$U$6:$U$205,MATCH($A20,Employees!$BG$6:$BG$205,0)))</f>
        <v/>
      </c>
      <c r="H20" s="28" t="str">
        <f aca="false">IF($A20="","",INDEX(Employees!$E$6:$E$205,MATCH($A20,Employees!$BG$6:$BG$205,0)))</f>
        <v/>
      </c>
      <c r="I20" s="11" t="str">
        <f aca="false">IF($A20="","",INDEX(Employees!$Z$6:$Z$205,MATCH($A20,Employees!$BG$6:$BG$205,0)))</f>
        <v/>
      </c>
      <c r="J20" s="26" t="str">
        <f aca="false">IF($A20="","",INDEX(Employees!$AB$6:$AB$205,MATCH($A20,Employees!$BG$6:$BG$205,0)))</f>
        <v/>
      </c>
      <c r="K20" s="26" t="str">
        <f aca="false">IF($A20="","",INDEX(Employees!$AC$6:$AC$205,MATCH($A20,Employees!$BG$6:$BG$205,0)))</f>
        <v/>
      </c>
      <c r="L20" s="28" t="str">
        <f aca="false">IF($A20="","",INDEX(Employees!$AD$6:$AD$205,MATCH($A20,Employees!$BG$6:$BG$205,0)))</f>
        <v/>
      </c>
      <c r="M20" s="11" t="str">
        <f aca="false">IF($A20="","",INDEX(Employees!$AF$6:$AF$205,MATCH($A20,Employees!$BG$6:$BG$205,0)))</f>
        <v/>
      </c>
      <c r="N20" s="11" t="str">
        <f aca="false">IF($A20="","",INDEX(Employees!$AM$6:$AM$205,MATCH($A20,Employees!$BG$6:$BG$205,0)))</f>
        <v/>
      </c>
    </row>
    <row r="21" customFormat="false" ht="15" hidden="false" customHeight="false" outlineLevel="0" collapsed="false">
      <c r="A21" s="11" t="str">
        <f aca="false">IF(16&lt;=MAX(Employees!$BG$6:$BG$205),16,"")</f>
        <v/>
      </c>
      <c r="B21" s="11" t="str">
        <f aca="false">IF($A21="","",INDEX(Employees!$A$6:$A$205,MATCH($A21,Employees!$BG$6:$BG$205,0)))</f>
        <v/>
      </c>
      <c r="C21" s="11" t="str">
        <f aca="false">IF($A21="","",INDEX(Employees!$B$6:$B$205,MATCH($A21,Employees!$BG$6:$BG$205,0)))</f>
        <v/>
      </c>
      <c r="D21" s="11" t="str">
        <f aca="false">IF($A21="","",INDEX(Employees!$C$6:$C$205,MATCH($A21,Employees!$BG$6:$BG$205,0)))</f>
        <v/>
      </c>
      <c r="E21" s="11" t="str">
        <f aca="false">IF($A21="","",INDEX(Employees!$D$6:$D$205,MATCH($A21,Employees!$BG$6:$BG$205,0)))</f>
        <v/>
      </c>
      <c r="F21" s="11" t="str">
        <f aca="false">IF($A21="","",INDEX(Employees!$T$6:$T$205,MATCH($A21,Employees!$BG$6:$BG$205,0)))</f>
        <v/>
      </c>
      <c r="G21" s="26" t="str">
        <f aca="false">IF($A21="","",INDEX(Employees!$U$6:$U$205,MATCH($A21,Employees!$BG$6:$BG$205,0)))</f>
        <v/>
      </c>
      <c r="H21" s="28" t="str">
        <f aca="false">IF($A21="","",INDEX(Employees!$E$6:$E$205,MATCH($A21,Employees!$BG$6:$BG$205,0)))</f>
        <v/>
      </c>
      <c r="I21" s="11" t="str">
        <f aca="false">IF($A21="","",INDEX(Employees!$Z$6:$Z$205,MATCH($A21,Employees!$BG$6:$BG$205,0)))</f>
        <v/>
      </c>
      <c r="J21" s="26" t="str">
        <f aca="false">IF($A21="","",INDEX(Employees!$AB$6:$AB$205,MATCH($A21,Employees!$BG$6:$BG$205,0)))</f>
        <v/>
      </c>
      <c r="K21" s="26" t="str">
        <f aca="false">IF($A21="","",INDEX(Employees!$AC$6:$AC$205,MATCH($A21,Employees!$BG$6:$BG$205,0)))</f>
        <v/>
      </c>
      <c r="L21" s="28" t="str">
        <f aca="false">IF($A21="","",INDEX(Employees!$AD$6:$AD$205,MATCH($A21,Employees!$BG$6:$BG$205,0)))</f>
        <v/>
      </c>
      <c r="M21" s="11" t="str">
        <f aca="false">IF($A21="","",INDEX(Employees!$AF$6:$AF$205,MATCH($A21,Employees!$BG$6:$BG$205,0)))</f>
        <v/>
      </c>
      <c r="N21" s="11" t="str">
        <f aca="false">IF($A21="","",INDEX(Employees!$AM$6:$AM$205,MATCH($A21,Employees!$BG$6:$BG$205,0)))</f>
        <v/>
      </c>
    </row>
    <row r="22" customFormat="false" ht="15" hidden="false" customHeight="false" outlineLevel="0" collapsed="false">
      <c r="A22" s="11" t="str">
        <f aca="false">IF(17&lt;=MAX(Employees!$BG$6:$BG$205),17,"")</f>
        <v/>
      </c>
      <c r="B22" s="11" t="str">
        <f aca="false">IF($A22="","",INDEX(Employees!$A$6:$A$205,MATCH($A22,Employees!$BG$6:$BG$205,0)))</f>
        <v/>
      </c>
      <c r="C22" s="11" t="str">
        <f aca="false">IF($A22="","",INDEX(Employees!$B$6:$B$205,MATCH($A22,Employees!$BG$6:$BG$205,0)))</f>
        <v/>
      </c>
      <c r="D22" s="11" t="str">
        <f aca="false">IF($A22="","",INDEX(Employees!$C$6:$C$205,MATCH($A22,Employees!$BG$6:$BG$205,0)))</f>
        <v/>
      </c>
      <c r="E22" s="11" t="str">
        <f aca="false">IF($A22="","",INDEX(Employees!$D$6:$D$205,MATCH($A22,Employees!$BG$6:$BG$205,0)))</f>
        <v/>
      </c>
      <c r="F22" s="11" t="str">
        <f aca="false">IF($A22="","",INDEX(Employees!$T$6:$T$205,MATCH($A22,Employees!$BG$6:$BG$205,0)))</f>
        <v/>
      </c>
      <c r="G22" s="26" t="str">
        <f aca="false">IF($A22="","",INDEX(Employees!$U$6:$U$205,MATCH($A22,Employees!$BG$6:$BG$205,0)))</f>
        <v/>
      </c>
      <c r="H22" s="28" t="str">
        <f aca="false">IF($A22="","",INDEX(Employees!$E$6:$E$205,MATCH($A22,Employees!$BG$6:$BG$205,0)))</f>
        <v/>
      </c>
      <c r="I22" s="11" t="str">
        <f aca="false">IF($A22="","",INDEX(Employees!$Z$6:$Z$205,MATCH($A22,Employees!$BG$6:$BG$205,0)))</f>
        <v/>
      </c>
      <c r="J22" s="26" t="str">
        <f aca="false">IF($A22="","",INDEX(Employees!$AB$6:$AB$205,MATCH($A22,Employees!$BG$6:$BG$205,0)))</f>
        <v/>
      </c>
      <c r="K22" s="26" t="str">
        <f aca="false">IF($A22="","",INDEX(Employees!$AC$6:$AC$205,MATCH($A22,Employees!$BG$6:$BG$205,0)))</f>
        <v/>
      </c>
      <c r="L22" s="28" t="str">
        <f aca="false">IF($A22="","",INDEX(Employees!$AD$6:$AD$205,MATCH($A22,Employees!$BG$6:$BG$205,0)))</f>
        <v/>
      </c>
      <c r="M22" s="11" t="str">
        <f aca="false">IF($A22="","",INDEX(Employees!$AF$6:$AF$205,MATCH($A22,Employees!$BG$6:$BG$205,0)))</f>
        <v/>
      </c>
      <c r="N22" s="11" t="str">
        <f aca="false">IF($A22="","",INDEX(Employees!$AM$6:$AM$205,MATCH($A22,Employees!$BG$6:$BG$205,0)))</f>
        <v/>
      </c>
    </row>
    <row r="23" customFormat="false" ht="15" hidden="false" customHeight="false" outlineLevel="0" collapsed="false">
      <c r="A23" s="11" t="str">
        <f aca="false">IF(18&lt;=MAX(Employees!$BG$6:$BG$205),18,"")</f>
        <v/>
      </c>
      <c r="B23" s="11" t="str">
        <f aca="false">IF($A23="","",INDEX(Employees!$A$6:$A$205,MATCH($A23,Employees!$BG$6:$BG$205,0)))</f>
        <v/>
      </c>
      <c r="C23" s="11" t="str">
        <f aca="false">IF($A23="","",INDEX(Employees!$B$6:$B$205,MATCH($A23,Employees!$BG$6:$BG$205,0)))</f>
        <v/>
      </c>
      <c r="D23" s="11" t="str">
        <f aca="false">IF($A23="","",INDEX(Employees!$C$6:$C$205,MATCH($A23,Employees!$BG$6:$BG$205,0)))</f>
        <v/>
      </c>
      <c r="E23" s="11" t="str">
        <f aca="false">IF($A23="","",INDEX(Employees!$D$6:$D$205,MATCH($A23,Employees!$BG$6:$BG$205,0)))</f>
        <v/>
      </c>
      <c r="F23" s="11" t="str">
        <f aca="false">IF($A23="","",INDEX(Employees!$T$6:$T$205,MATCH($A23,Employees!$BG$6:$BG$205,0)))</f>
        <v/>
      </c>
      <c r="G23" s="26" t="str">
        <f aca="false">IF($A23="","",INDEX(Employees!$U$6:$U$205,MATCH($A23,Employees!$BG$6:$BG$205,0)))</f>
        <v/>
      </c>
      <c r="H23" s="28" t="str">
        <f aca="false">IF($A23="","",INDEX(Employees!$E$6:$E$205,MATCH($A23,Employees!$BG$6:$BG$205,0)))</f>
        <v/>
      </c>
      <c r="I23" s="11" t="str">
        <f aca="false">IF($A23="","",INDEX(Employees!$Z$6:$Z$205,MATCH($A23,Employees!$BG$6:$BG$205,0)))</f>
        <v/>
      </c>
      <c r="J23" s="26" t="str">
        <f aca="false">IF($A23="","",INDEX(Employees!$AB$6:$AB$205,MATCH($A23,Employees!$BG$6:$BG$205,0)))</f>
        <v/>
      </c>
      <c r="K23" s="26" t="str">
        <f aca="false">IF($A23="","",INDEX(Employees!$AC$6:$AC$205,MATCH($A23,Employees!$BG$6:$BG$205,0)))</f>
        <v/>
      </c>
      <c r="L23" s="28" t="str">
        <f aca="false">IF($A23="","",INDEX(Employees!$AD$6:$AD$205,MATCH($A23,Employees!$BG$6:$BG$205,0)))</f>
        <v/>
      </c>
      <c r="M23" s="11" t="str">
        <f aca="false">IF($A23="","",INDEX(Employees!$AF$6:$AF$205,MATCH($A23,Employees!$BG$6:$BG$205,0)))</f>
        <v/>
      </c>
      <c r="N23" s="11" t="str">
        <f aca="false">IF($A23="","",INDEX(Employees!$AM$6:$AM$205,MATCH($A23,Employees!$BG$6:$BG$205,0)))</f>
        <v/>
      </c>
    </row>
    <row r="24" customFormat="false" ht="15" hidden="false" customHeight="false" outlineLevel="0" collapsed="false">
      <c r="A24" s="11" t="str">
        <f aca="false">IF(19&lt;=MAX(Employees!$BG$6:$BG$205),19,"")</f>
        <v/>
      </c>
      <c r="B24" s="11" t="str">
        <f aca="false">IF($A24="","",INDEX(Employees!$A$6:$A$205,MATCH($A24,Employees!$BG$6:$BG$205,0)))</f>
        <v/>
      </c>
      <c r="C24" s="11" t="str">
        <f aca="false">IF($A24="","",INDEX(Employees!$B$6:$B$205,MATCH($A24,Employees!$BG$6:$BG$205,0)))</f>
        <v/>
      </c>
      <c r="D24" s="11" t="str">
        <f aca="false">IF($A24="","",INDEX(Employees!$C$6:$C$205,MATCH($A24,Employees!$BG$6:$BG$205,0)))</f>
        <v/>
      </c>
      <c r="E24" s="11" t="str">
        <f aca="false">IF($A24="","",INDEX(Employees!$D$6:$D$205,MATCH($A24,Employees!$BG$6:$BG$205,0)))</f>
        <v/>
      </c>
      <c r="F24" s="11" t="str">
        <f aca="false">IF($A24="","",INDEX(Employees!$T$6:$T$205,MATCH($A24,Employees!$BG$6:$BG$205,0)))</f>
        <v/>
      </c>
      <c r="G24" s="26" t="str">
        <f aca="false">IF($A24="","",INDEX(Employees!$U$6:$U$205,MATCH($A24,Employees!$BG$6:$BG$205,0)))</f>
        <v/>
      </c>
      <c r="H24" s="28" t="str">
        <f aca="false">IF($A24="","",INDEX(Employees!$E$6:$E$205,MATCH($A24,Employees!$BG$6:$BG$205,0)))</f>
        <v/>
      </c>
      <c r="I24" s="11" t="str">
        <f aca="false">IF($A24="","",INDEX(Employees!$Z$6:$Z$205,MATCH($A24,Employees!$BG$6:$BG$205,0)))</f>
        <v/>
      </c>
      <c r="J24" s="26" t="str">
        <f aca="false">IF($A24="","",INDEX(Employees!$AB$6:$AB$205,MATCH($A24,Employees!$BG$6:$BG$205,0)))</f>
        <v/>
      </c>
      <c r="K24" s="26" t="str">
        <f aca="false">IF($A24="","",INDEX(Employees!$AC$6:$AC$205,MATCH($A24,Employees!$BG$6:$BG$205,0)))</f>
        <v/>
      </c>
      <c r="L24" s="28" t="str">
        <f aca="false">IF($A24="","",INDEX(Employees!$AD$6:$AD$205,MATCH($A24,Employees!$BG$6:$BG$205,0)))</f>
        <v/>
      </c>
      <c r="M24" s="11" t="str">
        <f aca="false">IF($A24="","",INDEX(Employees!$AF$6:$AF$205,MATCH($A24,Employees!$BG$6:$BG$205,0)))</f>
        <v/>
      </c>
      <c r="N24" s="11" t="str">
        <f aca="false">IF($A24="","",INDEX(Employees!$AM$6:$AM$205,MATCH($A24,Employees!$BG$6:$BG$205,0)))</f>
        <v/>
      </c>
    </row>
    <row r="25" customFormat="false" ht="15" hidden="false" customHeight="false" outlineLevel="0" collapsed="false">
      <c r="A25" s="11" t="str">
        <f aca="false">IF(20&lt;=MAX(Employees!$BG$6:$BG$205),20,"")</f>
        <v/>
      </c>
      <c r="B25" s="11" t="str">
        <f aca="false">IF($A25="","",INDEX(Employees!$A$6:$A$205,MATCH($A25,Employees!$BG$6:$BG$205,0)))</f>
        <v/>
      </c>
      <c r="C25" s="11" t="str">
        <f aca="false">IF($A25="","",INDEX(Employees!$B$6:$B$205,MATCH($A25,Employees!$BG$6:$BG$205,0)))</f>
        <v/>
      </c>
      <c r="D25" s="11" t="str">
        <f aca="false">IF($A25="","",INDEX(Employees!$C$6:$C$205,MATCH($A25,Employees!$BG$6:$BG$205,0)))</f>
        <v/>
      </c>
      <c r="E25" s="11" t="str">
        <f aca="false">IF($A25="","",INDEX(Employees!$D$6:$D$205,MATCH($A25,Employees!$BG$6:$BG$205,0)))</f>
        <v/>
      </c>
      <c r="F25" s="11" t="str">
        <f aca="false">IF($A25="","",INDEX(Employees!$T$6:$T$205,MATCH($A25,Employees!$BG$6:$BG$205,0)))</f>
        <v/>
      </c>
      <c r="G25" s="26" t="str">
        <f aca="false">IF($A25="","",INDEX(Employees!$U$6:$U$205,MATCH($A25,Employees!$BG$6:$BG$205,0)))</f>
        <v/>
      </c>
      <c r="H25" s="28" t="str">
        <f aca="false">IF($A25="","",INDEX(Employees!$E$6:$E$205,MATCH($A25,Employees!$BG$6:$BG$205,0)))</f>
        <v/>
      </c>
      <c r="I25" s="11" t="str">
        <f aca="false">IF($A25="","",INDEX(Employees!$Z$6:$Z$205,MATCH($A25,Employees!$BG$6:$BG$205,0)))</f>
        <v/>
      </c>
      <c r="J25" s="26" t="str">
        <f aca="false">IF($A25="","",INDEX(Employees!$AB$6:$AB$205,MATCH($A25,Employees!$BG$6:$BG$205,0)))</f>
        <v/>
      </c>
      <c r="K25" s="26" t="str">
        <f aca="false">IF($A25="","",INDEX(Employees!$AC$6:$AC$205,MATCH($A25,Employees!$BG$6:$BG$205,0)))</f>
        <v/>
      </c>
      <c r="L25" s="28" t="str">
        <f aca="false">IF($A25="","",INDEX(Employees!$AD$6:$AD$205,MATCH($A25,Employees!$BG$6:$BG$205,0)))</f>
        <v/>
      </c>
      <c r="M25" s="11" t="str">
        <f aca="false">IF($A25="","",INDEX(Employees!$AF$6:$AF$205,MATCH($A25,Employees!$BG$6:$BG$205,0)))</f>
        <v/>
      </c>
      <c r="N25" s="11" t="str">
        <f aca="false">IF($A25="","",INDEX(Employees!$AM$6:$AM$205,MATCH($A25,Employees!$BG$6:$BG$205,0)))</f>
        <v/>
      </c>
    </row>
    <row r="26" customFormat="false" ht="15" hidden="false" customHeight="false" outlineLevel="0" collapsed="false">
      <c r="A26" s="11" t="str">
        <f aca="false">IF(21&lt;=MAX(Employees!$BG$6:$BG$205),21,"")</f>
        <v/>
      </c>
      <c r="B26" s="11" t="str">
        <f aca="false">IF($A26="","",INDEX(Employees!$A$6:$A$205,MATCH($A26,Employees!$BG$6:$BG$205,0)))</f>
        <v/>
      </c>
      <c r="C26" s="11" t="str">
        <f aca="false">IF($A26="","",INDEX(Employees!$B$6:$B$205,MATCH($A26,Employees!$BG$6:$BG$205,0)))</f>
        <v/>
      </c>
      <c r="D26" s="11" t="str">
        <f aca="false">IF($A26="","",INDEX(Employees!$C$6:$C$205,MATCH($A26,Employees!$BG$6:$BG$205,0)))</f>
        <v/>
      </c>
      <c r="E26" s="11" t="str">
        <f aca="false">IF($A26="","",INDEX(Employees!$D$6:$D$205,MATCH($A26,Employees!$BG$6:$BG$205,0)))</f>
        <v/>
      </c>
      <c r="F26" s="11" t="str">
        <f aca="false">IF($A26="","",INDEX(Employees!$T$6:$T$205,MATCH($A26,Employees!$BG$6:$BG$205,0)))</f>
        <v/>
      </c>
      <c r="G26" s="26" t="str">
        <f aca="false">IF($A26="","",INDEX(Employees!$U$6:$U$205,MATCH($A26,Employees!$BG$6:$BG$205,0)))</f>
        <v/>
      </c>
      <c r="H26" s="28" t="str">
        <f aca="false">IF($A26="","",INDEX(Employees!$E$6:$E$205,MATCH($A26,Employees!$BG$6:$BG$205,0)))</f>
        <v/>
      </c>
      <c r="I26" s="11" t="str">
        <f aca="false">IF($A26="","",INDEX(Employees!$Z$6:$Z$205,MATCH($A26,Employees!$BG$6:$BG$205,0)))</f>
        <v/>
      </c>
      <c r="J26" s="26" t="str">
        <f aca="false">IF($A26="","",INDEX(Employees!$AB$6:$AB$205,MATCH($A26,Employees!$BG$6:$BG$205,0)))</f>
        <v/>
      </c>
      <c r="K26" s="26" t="str">
        <f aca="false">IF($A26="","",INDEX(Employees!$AC$6:$AC$205,MATCH($A26,Employees!$BG$6:$BG$205,0)))</f>
        <v/>
      </c>
      <c r="L26" s="28" t="str">
        <f aca="false">IF($A26="","",INDEX(Employees!$AD$6:$AD$205,MATCH($A26,Employees!$BG$6:$BG$205,0)))</f>
        <v/>
      </c>
      <c r="M26" s="11" t="str">
        <f aca="false">IF($A26="","",INDEX(Employees!$AF$6:$AF$205,MATCH($A26,Employees!$BG$6:$BG$205,0)))</f>
        <v/>
      </c>
      <c r="N26" s="11" t="str">
        <f aca="false">IF($A26="","",INDEX(Employees!$AM$6:$AM$205,MATCH($A26,Employees!$BG$6:$BG$205,0)))</f>
        <v/>
      </c>
    </row>
    <row r="27" customFormat="false" ht="15" hidden="false" customHeight="false" outlineLevel="0" collapsed="false">
      <c r="A27" s="11" t="str">
        <f aca="false">IF(22&lt;=MAX(Employees!$BG$6:$BG$205),22,"")</f>
        <v/>
      </c>
      <c r="B27" s="11" t="str">
        <f aca="false">IF($A27="","",INDEX(Employees!$A$6:$A$205,MATCH($A27,Employees!$BG$6:$BG$205,0)))</f>
        <v/>
      </c>
      <c r="C27" s="11" t="str">
        <f aca="false">IF($A27="","",INDEX(Employees!$B$6:$B$205,MATCH($A27,Employees!$BG$6:$BG$205,0)))</f>
        <v/>
      </c>
      <c r="D27" s="11" t="str">
        <f aca="false">IF($A27="","",INDEX(Employees!$C$6:$C$205,MATCH($A27,Employees!$BG$6:$BG$205,0)))</f>
        <v/>
      </c>
      <c r="E27" s="11" t="str">
        <f aca="false">IF($A27="","",INDEX(Employees!$D$6:$D$205,MATCH($A27,Employees!$BG$6:$BG$205,0)))</f>
        <v/>
      </c>
      <c r="F27" s="11" t="str">
        <f aca="false">IF($A27="","",INDEX(Employees!$T$6:$T$205,MATCH($A27,Employees!$BG$6:$BG$205,0)))</f>
        <v/>
      </c>
      <c r="G27" s="26" t="str">
        <f aca="false">IF($A27="","",INDEX(Employees!$U$6:$U$205,MATCH($A27,Employees!$BG$6:$BG$205,0)))</f>
        <v/>
      </c>
      <c r="H27" s="28" t="str">
        <f aca="false">IF($A27="","",INDEX(Employees!$E$6:$E$205,MATCH($A27,Employees!$BG$6:$BG$205,0)))</f>
        <v/>
      </c>
      <c r="I27" s="11" t="str">
        <f aca="false">IF($A27="","",INDEX(Employees!$Z$6:$Z$205,MATCH($A27,Employees!$BG$6:$BG$205,0)))</f>
        <v/>
      </c>
      <c r="J27" s="26" t="str">
        <f aca="false">IF($A27="","",INDEX(Employees!$AB$6:$AB$205,MATCH($A27,Employees!$BG$6:$BG$205,0)))</f>
        <v/>
      </c>
      <c r="K27" s="26" t="str">
        <f aca="false">IF($A27="","",INDEX(Employees!$AC$6:$AC$205,MATCH($A27,Employees!$BG$6:$BG$205,0)))</f>
        <v/>
      </c>
      <c r="L27" s="28" t="str">
        <f aca="false">IF($A27="","",INDEX(Employees!$AD$6:$AD$205,MATCH($A27,Employees!$BG$6:$BG$205,0)))</f>
        <v/>
      </c>
      <c r="M27" s="11" t="str">
        <f aca="false">IF($A27="","",INDEX(Employees!$AF$6:$AF$205,MATCH($A27,Employees!$BG$6:$BG$205,0)))</f>
        <v/>
      </c>
      <c r="N27" s="11" t="str">
        <f aca="false">IF($A27="","",INDEX(Employees!$AM$6:$AM$205,MATCH($A27,Employees!$BG$6:$BG$205,0)))</f>
        <v/>
      </c>
    </row>
    <row r="28" customFormat="false" ht="15" hidden="false" customHeight="false" outlineLevel="0" collapsed="false">
      <c r="A28" s="11" t="str">
        <f aca="false">IF(23&lt;=MAX(Employees!$BG$6:$BG$205),23,"")</f>
        <v/>
      </c>
      <c r="B28" s="11" t="str">
        <f aca="false">IF($A28="","",INDEX(Employees!$A$6:$A$205,MATCH($A28,Employees!$BG$6:$BG$205,0)))</f>
        <v/>
      </c>
      <c r="C28" s="11" t="str">
        <f aca="false">IF($A28="","",INDEX(Employees!$B$6:$B$205,MATCH($A28,Employees!$BG$6:$BG$205,0)))</f>
        <v/>
      </c>
      <c r="D28" s="11" t="str">
        <f aca="false">IF($A28="","",INDEX(Employees!$C$6:$C$205,MATCH($A28,Employees!$BG$6:$BG$205,0)))</f>
        <v/>
      </c>
      <c r="E28" s="11" t="str">
        <f aca="false">IF($A28="","",INDEX(Employees!$D$6:$D$205,MATCH($A28,Employees!$BG$6:$BG$205,0)))</f>
        <v/>
      </c>
      <c r="F28" s="11" t="str">
        <f aca="false">IF($A28="","",INDEX(Employees!$T$6:$T$205,MATCH($A28,Employees!$BG$6:$BG$205,0)))</f>
        <v/>
      </c>
      <c r="G28" s="26" t="str">
        <f aca="false">IF($A28="","",INDEX(Employees!$U$6:$U$205,MATCH($A28,Employees!$BG$6:$BG$205,0)))</f>
        <v/>
      </c>
      <c r="H28" s="28" t="str">
        <f aca="false">IF($A28="","",INDEX(Employees!$E$6:$E$205,MATCH($A28,Employees!$BG$6:$BG$205,0)))</f>
        <v/>
      </c>
      <c r="I28" s="11" t="str">
        <f aca="false">IF($A28="","",INDEX(Employees!$Z$6:$Z$205,MATCH($A28,Employees!$BG$6:$BG$205,0)))</f>
        <v/>
      </c>
      <c r="J28" s="26" t="str">
        <f aca="false">IF($A28="","",INDEX(Employees!$AB$6:$AB$205,MATCH($A28,Employees!$BG$6:$BG$205,0)))</f>
        <v/>
      </c>
      <c r="K28" s="26" t="str">
        <f aca="false">IF($A28="","",INDEX(Employees!$AC$6:$AC$205,MATCH($A28,Employees!$BG$6:$BG$205,0)))</f>
        <v/>
      </c>
      <c r="L28" s="28" t="str">
        <f aca="false">IF($A28="","",INDEX(Employees!$AD$6:$AD$205,MATCH($A28,Employees!$BG$6:$BG$205,0)))</f>
        <v/>
      </c>
      <c r="M28" s="11" t="str">
        <f aca="false">IF($A28="","",INDEX(Employees!$AF$6:$AF$205,MATCH($A28,Employees!$BG$6:$BG$205,0)))</f>
        <v/>
      </c>
      <c r="N28" s="11" t="str">
        <f aca="false">IF($A28="","",INDEX(Employees!$AM$6:$AM$205,MATCH($A28,Employees!$BG$6:$BG$205,0)))</f>
        <v/>
      </c>
    </row>
    <row r="29" customFormat="false" ht="15" hidden="false" customHeight="false" outlineLevel="0" collapsed="false">
      <c r="A29" s="11" t="str">
        <f aca="false">IF(24&lt;=MAX(Employees!$BG$6:$BG$205),24,"")</f>
        <v/>
      </c>
      <c r="B29" s="11" t="str">
        <f aca="false">IF($A29="","",INDEX(Employees!$A$6:$A$205,MATCH($A29,Employees!$BG$6:$BG$205,0)))</f>
        <v/>
      </c>
      <c r="C29" s="11" t="str">
        <f aca="false">IF($A29="","",INDEX(Employees!$B$6:$B$205,MATCH($A29,Employees!$BG$6:$BG$205,0)))</f>
        <v/>
      </c>
      <c r="D29" s="11" t="str">
        <f aca="false">IF($A29="","",INDEX(Employees!$C$6:$C$205,MATCH($A29,Employees!$BG$6:$BG$205,0)))</f>
        <v/>
      </c>
      <c r="E29" s="11" t="str">
        <f aca="false">IF($A29="","",INDEX(Employees!$D$6:$D$205,MATCH($A29,Employees!$BG$6:$BG$205,0)))</f>
        <v/>
      </c>
      <c r="F29" s="11" t="str">
        <f aca="false">IF($A29="","",INDEX(Employees!$T$6:$T$205,MATCH($A29,Employees!$BG$6:$BG$205,0)))</f>
        <v/>
      </c>
      <c r="G29" s="26" t="str">
        <f aca="false">IF($A29="","",INDEX(Employees!$U$6:$U$205,MATCH($A29,Employees!$BG$6:$BG$205,0)))</f>
        <v/>
      </c>
      <c r="H29" s="28" t="str">
        <f aca="false">IF($A29="","",INDEX(Employees!$E$6:$E$205,MATCH($A29,Employees!$BG$6:$BG$205,0)))</f>
        <v/>
      </c>
      <c r="I29" s="11" t="str">
        <f aca="false">IF($A29="","",INDEX(Employees!$Z$6:$Z$205,MATCH($A29,Employees!$BG$6:$BG$205,0)))</f>
        <v/>
      </c>
      <c r="J29" s="26" t="str">
        <f aca="false">IF($A29="","",INDEX(Employees!$AB$6:$AB$205,MATCH($A29,Employees!$BG$6:$BG$205,0)))</f>
        <v/>
      </c>
      <c r="K29" s="26" t="str">
        <f aca="false">IF($A29="","",INDEX(Employees!$AC$6:$AC$205,MATCH($A29,Employees!$BG$6:$BG$205,0)))</f>
        <v/>
      </c>
      <c r="L29" s="28" t="str">
        <f aca="false">IF($A29="","",INDEX(Employees!$AD$6:$AD$205,MATCH($A29,Employees!$BG$6:$BG$205,0)))</f>
        <v/>
      </c>
      <c r="M29" s="11" t="str">
        <f aca="false">IF($A29="","",INDEX(Employees!$AF$6:$AF$205,MATCH($A29,Employees!$BG$6:$BG$205,0)))</f>
        <v/>
      </c>
      <c r="N29" s="11" t="str">
        <f aca="false">IF($A29="","",INDEX(Employees!$AM$6:$AM$205,MATCH($A29,Employees!$BG$6:$BG$205,0)))</f>
        <v/>
      </c>
    </row>
    <row r="30" customFormat="false" ht="15" hidden="false" customHeight="false" outlineLevel="0" collapsed="false">
      <c r="A30" s="11" t="str">
        <f aca="false">IF(25&lt;=MAX(Employees!$BG$6:$BG$205),25,"")</f>
        <v/>
      </c>
      <c r="B30" s="11" t="str">
        <f aca="false">IF($A30="","",INDEX(Employees!$A$6:$A$205,MATCH($A30,Employees!$BG$6:$BG$205,0)))</f>
        <v/>
      </c>
      <c r="C30" s="11" t="str">
        <f aca="false">IF($A30="","",INDEX(Employees!$B$6:$B$205,MATCH($A30,Employees!$BG$6:$BG$205,0)))</f>
        <v/>
      </c>
      <c r="D30" s="11" t="str">
        <f aca="false">IF($A30="","",INDEX(Employees!$C$6:$C$205,MATCH($A30,Employees!$BG$6:$BG$205,0)))</f>
        <v/>
      </c>
      <c r="E30" s="11" t="str">
        <f aca="false">IF($A30="","",INDEX(Employees!$D$6:$D$205,MATCH($A30,Employees!$BG$6:$BG$205,0)))</f>
        <v/>
      </c>
      <c r="F30" s="11" t="str">
        <f aca="false">IF($A30="","",INDEX(Employees!$T$6:$T$205,MATCH($A30,Employees!$BG$6:$BG$205,0)))</f>
        <v/>
      </c>
      <c r="G30" s="26" t="str">
        <f aca="false">IF($A30="","",INDEX(Employees!$U$6:$U$205,MATCH($A30,Employees!$BG$6:$BG$205,0)))</f>
        <v/>
      </c>
      <c r="H30" s="28" t="str">
        <f aca="false">IF($A30="","",INDEX(Employees!$E$6:$E$205,MATCH($A30,Employees!$BG$6:$BG$205,0)))</f>
        <v/>
      </c>
      <c r="I30" s="11" t="str">
        <f aca="false">IF($A30="","",INDEX(Employees!$Z$6:$Z$205,MATCH($A30,Employees!$BG$6:$BG$205,0)))</f>
        <v/>
      </c>
      <c r="J30" s="26" t="str">
        <f aca="false">IF($A30="","",INDEX(Employees!$AB$6:$AB$205,MATCH($A30,Employees!$BG$6:$BG$205,0)))</f>
        <v/>
      </c>
      <c r="K30" s="26" t="str">
        <f aca="false">IF($A30="","",INDEX(Employees!$AC$6:$AC$205,MATCH($A30,Employees!$BG$6:$BG$205,0)))</f>
        <v/>
      </c>
      <c r="L30" s="28" t="str">
        <f aca="false">IF($A30="","",INDEX(Employees!$AD$6:$AD$205,MATCH($A30,Employees!$BG$6:$BG$205,0)))</f>
        <v/>
      </c>
      <c r="M30" s="11" t="str">
        <f aca="false">IF($A30="","",INDEX(Employees!$AF$6:$AF$205,MATCH($A30,Employees!$BG$6:$BG$205,0)))</f>
        <v/>
      </c>
      <c r="N30" s="11" t="str">
        <f aca="false">IF($A30="","",INDEX(Employees!$AM$6:$AM$205,MATCH($A30,Employees!$BG$6:$BG$205,0)))</f>
        <v/>
      </c>
    </row>
    <row r="31" customFormat="false" ht="15" hidden="false" customHeight="false" outlineLevel="0" collapsed="false">
      <c r="A31" s="11" t="str">
        <f aca="false">IF(26&lt;=MAX(Employees!$BG$6:$BG$205),26,"")</f>
        <v/>
      </c>
      <c r="B31" s="11" t="str">
        <f aca="false">IF($A31="","",INDEX(Employees!$A$6:$A$205,MATCH($A31,Employees!$BG$6:$BG$205,0)))</f>
        <v/>
      </c>
      <c r="C31" s="11" t="str">
        <f aca="false">IF($A31="","",INDEX(Employees!$B$6:$B$205,MATCH($A31,Employees!$BG$6:$BG$205,0)))</f>
        <v/>
      </c>
      <c r="D31" s="11" t="str">
        <f aca="false">IF($A31="","",INDEX(Employees!$C$6:$C$205,MATCH($A31,Employees!$BG$6:$BG$205,0)))</f>
        <v/>
      </c>
      <c r="E31" s="11" t="str">
        <f aca="false">IF($A31="","",INDEX(Employees!$D$6:$D$205,MATCH($A31,Employees!$BG$6:$BG$205,0)))</f>
        <v/>
      </c>
      <c r="F31" s="11" t="str">
        <f aca="false">IF($A31="","",INDEX(Employees!$T$6:$T$205,MATCH($A31,Employees!$BG$6:$BG$205,0)))</f>
        <v/>
      </c>
      <c r="G31" s="26" t="str">
        <f aca="false">IF($A31="","",INDEX(Employees!$U$6:$U$205,MATCH($A31,Employees!$BG$6:$BG$205,0)))</f>
        <v/>
      </c>
      <c r="H31" s="28" t="str">
        <f aca="false">IF($A31="","",INDEX(Employees!$E$6:$E$205,MATCH($A31,Employees!$BG$6:$BG$205,0)))</f>
        <v/>
      </c>
      <c r="I31" s="11" t="str">
        <f aca="false">IF($A31="","",INDEX(Employees!$Z$6:$Z$205,MATCH($A31,Employees!$BG$6:$BG$205,0)))</f>
        <v/>
      </c>
      <c r="J31" s="26" t="str">
        <f aca="false">IF($A31="","",INDEX(Employees!$AB$6:$AB$205,MATCH($A31,Employees!$BG$6:$BG$205,0)))</f>
        <v/>
      </c>
      <c r="K31" s="26" t="str">
        <f aca="false">IF($A31="","",INDEX(Employees!$AC$6:$AC$205,MATCH($A31,Employees!$BG$6:$BG$205,0)))</f>
        <v/>
      </c>
      <c r="L31" s="28" t="str">
        <f aca="false">IF($A31="","",INDEX(Employees!$AD$6:$AD$205,MATCH($A31,Employees!$BG$6:$BG$205,0)))</f>
        <v/>
      </c>
      <c r="M31" s="11" t="str">
        <f aca="false">IF($A31="","",INDEX(Employees!$AF$6:$AF$205,MATCH($A31,Employees!$BG$6:$BG$205,0)))</f>
        <v/>
      </c>
      <c r="N31" s="11" t="str">
        <f aca="false">IF($A31="","",INDEX(Employees!$AM$6:$AM$205,MATCH($A31,Employees!$BG$6:$BG$205,0)))</f>
        <v/>
      </c>
    </row>
    <row r="32" customFormat="false" ht="15" hidden="false" customHeight="false" outlineLevel="0" collapsed="false">
      <c r="A32" s="11" t="str">
        <f aca="false">IF(27&lt;=MAX(Employees!$BG$6:$BG$205),27,"")</f>
        <v/>
      </c>
      <c r="B32" s="11" t="str">
        <f aca="false">IF($A32="","",INDEX(Employees!$A$6:$A$205,MATCH($A32,Employees!$BG$6:$BG$205,0)))</f>
        <v/>
      </c>
      <c r="C32" s="11" t="str">
        <f aca="false">IF($A32="","",INDEX(Employees!$B$6:$B$205,MATCH($A32,Employees!$BG$6:$BG$205,0)))</f>
        <v/>
      </c>
      <c r="D32" s="11" t="str">
        <f aca="false">IF($A32="","",INDEX(Employees!$C$6:$C$205,MATCH($A32,Employees!$BG$6:$BG$205,0)))</f>
        <v/>
      </c>
      <c r="E32" s="11" t="str">
        <f aca="false">IF($A32="","",INDEX(Employees!$D$6:$D$205,MATCH($A32,Employees!$BG$6:$BG$205,0)))</f>
        <v/>
      </c>
      <c r="F32" s="11" t="str">
        <f aca="false">IF($A32="","",INDEX(Employees!$T$6:$T$205,MATCH($A32,Employees!$BG$6:$BG$205,0)))</f>
        <v/>
      </c>
      <c r="G32" s="26" t="str">
        <f aca="false">IF($A32="","",INDEX(Employees!$U$6:$U$205,MATCH($A32,Employees!$BG$6:$BG$205,0)))</f>
        <v/>
      </c>
      <c r="H32" s="28" t="str">
        <f aca="false">IF($A32="","",INDEX(Employees!$E$6:$E$205,MATCH($A32,Employees!$BG$6:$BG$205,0)))</f>
        <v/>
      </c>
      <c r="I32" s="11" t="str">
        <f aca="false">IF($A32="","",INDEX(Employees!$Z$6:$Z$205,MATCH($A32,Employees!$BG$6:$BG$205,0)))</f>
        <v/>
      </c>
      <c r="J32" s="26" t="str">
        <f aca="false">IF($A32="","",INDEX(Employees!$AB$6:$AB$205,MATCH($A32,Employees!$BG$6:$BG$205,0)))</f>
        <v/>
      </c>
      <c r="K32" s="26" t="str">
        <f aca="false">IF($A32="","",INDEX(Employees!$AC$6:$AC$205,MATCH($A32,Employees!$BG$6:$BG$205,0)))</f>
        <v/>
      </c>
      <c r="L32" s="28" t="str">
        <f aca="false">IF($A32="","",INDEX(Employees!$AD$6:$AD$205,MATCH($A32,Employees!$BG$6:$BG$205,0)))</f>
        <v/>
      </c>
      <c r="M32" s="11" t="str">
        <f aca="false">IF($A32="","",INDEX(Employees!$AF$6:$AF$205,MATCH($A32,Employees!$BG$6:$BG$205,0)))</f>
        <v/>
      </c>
      <c r="N32" s="11" t="str">
        <f aca="false">IF($A32="","",INDEX(Employees!$AM$6:$AM$205,MATCH($A32,Employees!$BG$6:$BG$205,0)))</f>
        <v/>
      </c>
    </row>
    <row r="33" customFormat="false" ht="15" hidden="false" customHeight="false" outlineLevel="0" collapsed="false">
      <c r="A33" s="11" t="str">
        <f aca="false">IF(28&lt;=MAX(Employees!$BG$6:$BG$205),28,"")</f>
        <v/>
      </c>
      <c r="B33" s="11" t="str">
        <f aca="false">IF($A33="","",INDEX(Employees!$A$6:$A$205,MATCH($A33,Employees!$BG$6:$BG$205,0)))</f>
        <v/>
      </c>
      <c r="C33" s="11" t="str">
        <f aca="false">IF($A33="","",INDEX(Employees!$B$6:$B$205,MATCH($A33,Employees!$BG$6:$BG$205,0)))</f>
        <v/>
      </c>
      <c r="D33" s="11" t="str">
        <f aca="false">IF($A33="","",INDEX(Employees!$C$6:$C$205,MATCH($A33,Employees!$BG$6:$BG$205,0)))</f>
        <v/>
      </c>
      <c r="E33" s="11" t="str">
        <f aca="false">IF($A33="","",INDEX(Employees!$D$6:$D$205,MATCH($A33,Employees!$BG$6:$BG$205,0)))</f>
        <v/>
      </c>
      <c r="F33" s="11" t="str">
        <f aca="false">IF($A33="","",INDEX(Employees!$T$6:$T$205,MATCH($A33,Employees!$BG$6:$BG$205,0)))</f>
        <v/>
      </c>
      <c r="G33" s="26" t="str">
        <f aca="false">IF($A33="","",INDEX(Employees!$U$6:$U$205,MATCH($A33,Employees!$BG$6:$BG$205,0)))</f>
        <v/>
      </c>
      <c r="H33" s="28" t="str">
        <f aca="false">IF($A33="","",INDEX(Employees!$E$6:$E$205,MATCH($A33,Employees!$BG$6:$BG$205,0)))</f>
        <v/>
      </c>
      <c r="I33" s="11" t="str">
        <f aca="false">IF($A33="","",INDEX(Employees!$Z$6:$Z$205,MATCH($A33,Employees!$BG$6:$BG$205,0)))</f>
        <v/>
      </c>
      <c r="J33" s="26" t="str">
        <f aca="false">IF($A33="","",INDEX(Employees!$AB$6:$AB$205,MATCH($A33,Employees!$BG$6:$BG$205,0)))</f>
        <v/>
      </c>
      <c r="K33" s="26" t="str">
        <f aca="false">IF($A33="","",INDEX(Employees!$AC$6:$AC$205,MATCH($A33,Employees!$BG$6:$BG$205,0)))</f>
        <v/>
      </c>
      <c r="L33" s="28" t="str">
        <f aca="false">IF($A33="","",INDEX(Employees!$AD$6:$AD$205,MATCH($A33,Employees!$BG$6:$BG$205,0)))</f>
        <v/>
      </c>
      <c r="M33" s="11" t="str">
        <f aca="false">IF($A33="","",INDEX(Employees!$AF$6:$AF$205,MATCH($A33,Employees!$BG$6:$BG$205,0)))</f>
        <v/>
      </c>
      <c r="N33" s="11" t="str">
        <f aca="false">IF($A33="","",INDEX(Employees!$AM$6:$AM$205,MATCH($A33,Employees!$BG$6:$BG$205,0)))</f>
        <v/>
      </c>
    </row>
    <row r="34" customFormat="false" ht="15" hidden="false" customHeight="false" outlineLevel="0" collapsed="false">
      <c r="A34" s="11" t="str">
        <f aca="false">IF(29&lt;=MAX(Employees!$BG$6:$BG$205),29,"")</f>
        <v/>
      </c>
      <c r="B34" s="11" t="str">
        <f aca="false">IF($A34="","",INDEX(Employees!$A$6:$A$205,MATCH($A34,Employees!$BG$6:$BG$205,0)))</f>
        <v/>
      </c>
      <c r="C34" s="11" t="str">
        <f aca="false">IF($A34="","",INDEX(Employees!$B$6:$B$205,MATCH($A34,Employees!$BG$6:$BG$205,0)))</f>
        <v/>
      </c>
      <c r="D34" s="11" t="str">
        <f aca="false">IF($A34="","",INDEX(Employees!$C$6:$C$205,MATCH($A34,Employees!$BG$6:$BG$205,0)))</f>
        <v/>
      </c>
      <c r="E34" s="11" t="str">
        <f aca="false">IF($A34="","",INDEX(Employees!$D$6:$D$205,MATCH($A34,Employees!$BG$6:$BG$205,0)))</f>
        <v/>
      </c>
      <c r="F34" s="11" t="str">
        <f aca="false">IF($A34="","",INDEX(Employees!$T$6:$T$205,MATCH($A34,Employees!$BG$6:$BG$205,0)))</f>
        <v/>
      </c>
      <c r="G34" s="26" t="str">
        <f aca="false">IF($A34="","",INDEX(Employees!$U$6:$U$205,MATCH($A34,Employees!$BG$6:$BG$205,0)))</f>
        <v/>
      </c>
      <c r="H34" s="28" t="str">
        <f aca="false">IF($A34="","",INDEX(Employees!$E$6:$E$205,MATCH($A34,Employees!$BG$6:$BG$205,0)))</f>
        <v/>
      </c>
      <c r="I34" s="11" t="str">
        <f aca="false">IF($A34="","",INDEX(Employees!$Z$6:$Z$205,MATCH($A34,Employees!$BG$6:$BG$205,0)))</f>
        <v/>
      </c>
      <c r="J34" s="26" t="str">
        <f aca="false">IF($A34="","",INDEX(Employees!$AB$6:$AB$205,MATCH($A34,Employees!$BG$6:$BG$205,0)))</f>
        <v/>
      </c>
      <c r="K34" s="26" t="str">
        <f aca="false">IF($A34="","",INDEX(Employees!$AC$6:$AC$205,MATCH($A34,Employees!$BG$6:$BG$205,0)))</f>
        <v/>
      </c>
      <c r="L34" s="28" t="str">
        <f aca="false">IF($A34="","",INDEX(Employees!$AD$6:$AD$205,MATCH($A34,Employees!$BG$6:$BG$205,0)))</f>
        <v/>
      </c>
      <c r="M34" s="11" t="str">
        <f aca="false">IF($A34="","",INDEX(Employees!$AF$6:$AF$205,MATCH($A34,Employees!$BG$6:$BG$205,0)))</f>
        <v/>
      </c>
      <c r="N34" s="11" t="str">
        <f aca="false">IF($A34="","",INDEX(Employees!$AM$6:$AM$205,MATCH($A34,Employees!$BG$6:$BG$205,0)))</f>
        <v/>
      </c>
    </row>
    <row r="35" customFormat="false" ht="15" hidden="false" customHeight="false" outlineLevel="0" collapsed="false">
      <c r="A35" s="11" t="str">
        <f aca="false">IF(30&lt;=MAX(Employees!$BG$6:$BG$205),30,"")</f>
        <v/>
      </c>
      <c r="B35" s="11" t="str">
        <f aca="false">IF($A35="","",INDEX(Employees!$A$6:$A$205,MATCH($A35,Employees!$BG$6:$BG$205,0)))</f>
        <v/>
      </c>
      <c r="C35" s="11" t="str">
        <f aca="false">IF($A35="","",INDEX(Employees!$B$6:$B$205,MATCH($A35,Employees!$BG$6:$BG$205,0)))</f>
        <v/>
      </c>
      <c r="D35" s="11" t="str">
        <f aca="false">IF($A35="","",INDEX(Employees!$C$6:$C$205,MATCH($A35,Employees!$BG$6:$BG$205,0)))</f>
        <v/>
      </c>
      <c r="E35" s="11" t="str">
        <f aca="false">IF($A35="","",INDEX(Employees!$D$6:$D$205,MATCH($A35,Employees!$BG$6:$BG$205,0)))</f>
        <v/>
      </c>
      <c r="F35" s="11" t="str">
        <f aca="false">IF($A35="","",INDEX(Employees!$T$6:$T$205,MATCH($A35,Employees!$BG$6:$BG$205,0)))</f>
        <v/>
      </c>
      <c r="G35" s="26" t="str">
        <f aca="false">IF($A35="","",INDEX(Employees!$U$6:$U$205,MATCH($A35,Employees!$BG$6:$BG$205,0)))</f>
        <v/>
      </c>
      <c r="H35" s="28" t="str">
        <f aca="false">IF($A35="","",INDEX(Employees!$E$6:$E$205,MATCH($A35,Employees!$BG$6:$BG$205,0)))</f>
        <v/>
      </c>
      <c r="I35" s="11" t="str">
        <f aca="false">IF($A35="","",INDEX(Employees!$Z$6:$Z$205,MATCH($A35,Employees!$BG$6:$BG$205,0)))</f>
        <v/>
      </c>
      <c r="J35" s="26" t="str">
        <f aca="false">IF($A35="","",INDEX(Employees!$AB$6:$AB$205,MATCH($A35,Employees!$BG$6:$BG$205,0)))</f>
        <v/>
      </c>
      <c r="K35" s="26" t="str">
        <f aca="false">IF($A35="","",INDEX(Employees!$AC$6:$AC$205,MATCH($A35,Employees!$BG$6:$BG$205,0)))</f>
        <v/>
      </c>
      <c r="L35" s="28" t="str">
        <f aca="false">IF($A35="","",INDEX(Employees!$AD$6:$AD$205,MATCH($A35,Employees!$BG$6:$BG$205,0)))</f>
        <v/>
      </c>
      <c r="M35" s="11" t="str">
        <f aca="false">IF($A35="","",INDEX(Employees!$AF$6:$AF$205,MATCH($A35,Employees!$BG$6:$BG$205,0)))</f>
        <v/>
      </c>
      <c r="N35" s="11" t="str">
        <f aca="false">IF($A35="","",INDEX(Employees!$AM$6:$AM$205,MATCH($A35,Employees!$BG$6:$BG$205,0)))</f>
        <v/>
      </c>
    </row>
    <row r="36" customFormat="false" ht="15" hidden="false" customHeight="false" outlineLevel="0" collapsed="false">
      <c r="A36" s="11" t="str">
        <f aca="false">IF(31&lt;=MAX(Employees!$BG$6:$BG$205),31,"")</f>
        <v/>
      </c>
      <c r="B36" s="11" t="str">
        <f aca="false">IF($A36="","",INDEX(Employees!$A$6:$A$205,MATCH($A36,Employees!$BG$6:$BG$205,0)))</f>
        <v/>
      </c>
      <c r="C36" s="11" t="str">
        <f aca="false">IF($A36="","",INDEX(Employees!$B$6:$B$205,MATCH($A36,Employees!$BG$6:$BG$205,0)))</f>
        <v/>
      </c>
      <c r="D36" s="11" t="str">
        <f aca="false">IF($A36="","",INDEX(Employees!$C$6:$C$205,MATCH($A36,Employees!$BG$6:$BG$205,0)))</f>
        <v/>
      </c>
      <c r="E36" s="11" t="str">
        <f aca="false">IF($A36="","",INDEX(Employees!$D$6:$D$205,MATCH($A36,Employees!$BG$6:$BG$205,0)))</f>
        <v/>
      </c>
      <c r="F36" s="11" t="str">
        <f aca="false">IF($A36="","",INDEX(Employees!$T$6:$T$205,MATCH($A36,Employees!$BG$6:$BG$205,0)))</f>
        <v/>
      </c>
      <c r="G36" s="26" t="str">
        <f aca="false">IF($A36="","",INDEX(Employees!$U$6:$U$205,MATCH($A36,Employees!$BG$6:$BG$205,0)))</f>
        <v/>
      </c>
      <c r="H36" s="28" t="str">
        <f aca="false">IF($A36="","",INDEX(Employees!$E$6:$E$205,MATCH($A36,Employees!$BG$6:$BG$205,0)))</f>
        <v/>
      </c>
      <c r="I36" s="11" t="str">
        <f aca="false">IF($A36="","",INDEX(Employees!$Z$6:$Z$205,MATCH($A36,Employees!$BG$6:$BG$205,0)))</f>
        <v/>
      </c>
      <c r="J36" s="26" t="str">
        <f aca="false">IF($A36="","",INDEX(Employees!$AB$6:$AB$205,MATCH($A36,Employees!$BG$6:$BG$205,0)))</f>
        <v/>
      </c>
      <c r="K36" s="26" t="str">
        <f aca="false">IF($A36="","",INDEX(Employees!$AC$6:$AC$205,MATCH($A36,Employees!$BG$6:$BG$205,0)))</f>
        <v/>
      </c>
      <c r="L36" s="28" t="str">
        <f aca="false">IF($A36="","",INDEX(Employees!$AD$6:$AD$205,MATCH($A36,Employees!$BG$6:$BG$205,0)))</f>
        <v/>
      </c>
      <c r="M36" s="11" t="str">
        <f aca="false">IF($A36="","",INDEX(Employees!$AF$6:$AF$205,MATCH($A36,Employees!$BG$6:$BG$205,0)))</f>
        <v/>
      </c>
      <c r="N36" s="11" t="str">
        <f aca="false">IF($A36="","",INDEX(Employees!$AM$6:$AM$205,MATCH($A36,Employees!$BG$6:$BG$205,0)))</f>
        <v/>
      </c>
    </row>
    <row r="37" customFormat="false" ht="15" hidden="false" customHeight="false" outlineLevel="0" collapsed="false">
      <c r="A37" s="11" t="str">
        <f aca="false">IF(32&lt;=MAX(Employees!$BG$6:$BG$205),32,"")</f>
        <v/>
      </c>
      <c r="B37" s="11" t="str">
        <f aca="false">IF($A37="","",INDEX(Employees!$A$6:$A$205,MATCH($A37,Employees!$BG$6:$BG$205,0)))</f>
        <v/>
      </c>
      <c r="C37" s="11" t="str">
        <f aca="false">IF($A37="","",INDEX(Employees!$B$6:$B$205,MATCH($A37,Employees!$BG$6:$BG$205,0)))</f>
        <v/>
      </c>
      <c r="D37" s="11" t="str">
        <f aca="false">IF($A37="","",INDEX(Employees!$C$6:$C$205,MATCH($A37,Employees!$BG$6:$BG$205,0)))</f>
        <v/>
      </c>
      <c r="E37" s="11" t="str">
        <f aca="false">IF($A37="","",INDEX(Employees!$D$6:$D$205,MATCH($A37,Employees!$BG$6:$BG$205,0)))</f>
        <v/>
      </c>
      <c r="F37" s="11" t="str">
        <f aca="false">IF($A37="","",INDEX(Employees!$T$6:$T$205,MATCH($A37,Employees!$BG$6:$BG$205,0)))</f>
        <v/>
      </c>
      <c r="G37" s="26" t="str">
        <f aca="false">IF($A37="","",INDEX(Employees!$U$6:$U$205,MATCH($A37,Employees!$BG$6:$BG$205,0)))</f>
        <v/>
      </c>
      <c r="H37" s="28" t="str">
        <f aca="false">IF($A37="","",INDEX(Employees!$E$6:$E$205,MATCH($A37,Employees!$BG$6:$BG$205,0)))</f>
        <v/>
      </c>
      <c r="I37" s="11" t="str">
        <f aca="false">IF($A37="","",INDEX(Employees!$Z$6:$Z$205,MATCH($A37,Employees!$BG$6:$BG$205,0)))</f>
        <v/>
      </c>
      <c r="J37" s="26" t="str">
        <f aca="false">IF($A37="","",INDEX(Employees!$AB$6:$AB$205,MATCH($A37,Employees!$BG$6:$BG$205,0)))</f>
        <v/>
      </c>
      <c r="K37" s="26" t="str">
        <f aca="false">IF($A37="","",INDEX(Employees!$AC$6:$AC$205,MATCH($A37,Employees!$BG$6:$BG$205,0)))</f>
        <v/>
      </c>
      <c r="L37" s="28" t="str">
        <f aca="false">IF($A37="","",INDEX(Employees!$AD$6:$AD$205,MATCH($A37,Employees!$BG$6:$BG$205,0)))</f>
        <v/>
      </c>
      <c r="M37" s="11" t="str">
        <f aca="false">IF($A37="","",INDEX(Employees!$AF$6:$AF$205,MATCH($A37,Employees!$BG$6:$BG$205,0)))</f>
        <v/>
      </c>
      <c r="N37" s="11" t="str">
        <f aca="false">IF($A37="","",INDEX(Employees!$AM$6:$AM$205,MATCH($A37,Employees!$BG$6:$BG$205,0)))</f>
        <v/>
      </c>
    </row>
    <row r="38" customFormat="false" ht="15" hidden="false" customHeight="false" outlineLevel="0" collapsed="false">
      <c r="A38" s="11" t="str">
        <f aca="false">IF(33&lt;=MAX(Employees!$BG$6:$BG$205),33,"")</f>
        <v/>
      </c>
      <c r="B38" s="11" t="str">
        <f aca="false">IF($A38="","",INDEX(Employees!$A$6:$A$205,MATCH($A38,Employees!$BG$6:$BG$205,0)))</f>
        <v/>
      </c>
      <c r="C38" s="11" t="str">
        <f aca="false">IF($A38="","",INDEX(Employees!$B$6:$B$205,MATCH($A38,Employees!$BG$6:$BG$205,0)))</f>
        <v/>
      </c>
      <c r="D38" s="11" t="str">
        <f aca="false">IF($A38="","",INDEX(Employees!$C$6:$C$205,MATCH($A38,Employees!$BG$6:$BG$205,0)))</f>
        <v/>
      </c>
      <c r="E38" s="11" t="str">
        <f aca="false">IF($A38="","",INDEX(Employees!$D$6:$D$205,MATCH($A38,Employees!$BG$6:$BG$205,0)))</f>
        <v/>
      </c>
      <c r="F38" s="11" t="str">
        <f aca="false">IF($A38="","",INDEX(Employees!$T$6:$T$205,MATCH($A38,Employees!$BG$6:$BG$205,0)))</f>
        <v/>
      </c>
      <c r="G38" s="26" t="str">
        <f aca="false">IF($A38="","",INDEX(Employees!$U$6:$U$205,MATCH($A38,Employees!$BG$6:$BG$205,0)))</f>
        <v/>
      </c>
      <c r="H38" s="28" t="str">
        <f aca="false">IF($A38="","",INDEX(Employees!$E$6:$E$205,MATCH($A38,Employees!$BG$6:$BG$205,0)))</f>
        <v/>
      </c>
      <c r="I38" s="11" t="str">
        <f aca="false">IF($A38="","",INDEX(Employees!$Z$6:$Z$205,MATCH($A38,Employees!$BG$6:$BG$205,0)))</f>
        <v/>
      </c>
      <c r="J38" s="26" t="str">
        <f aca="false">IF($A38="","",INDEX(Employees!$AB$6:$AB$205,MATCH($A38,Employees!$BG$6:$BG$205,0)))</f>
        <v/>
      </c>
      <c r="K38" s="26" t="str">
        <f aca="false">IF($A38="","",INDEX(Employees!$AC$6:$AC$205,MATCH($A38,Employees!$BG$6:$BG$205,0)))</f>
        <v/>
      </c>
      <c r="L38" s="28" t="str">
        <f aca="false">IF($A38="","",INDEX(Employees!$AD$6:$AD$205,MATCH($A38,Employees!$BG$6:$BG$205,0)))</f>
        <v/>
      </c>
      <c r="M38" s="11" t="str">
        <f aca="false">IF($A38="","",INDEX(Employees!$AF$6:$AF$205,MATCH($A38,Employees!$BG$6:$BG$205,0)))</f>
        <v/>
      </c>
      <c r="N38" s="11" t="str">
        <f aca="false">IF($A38="","",INDEX(Employees!$AM$6:$AM$205,MATCH($A38,Employees!$BG$6:$BG$205,0)))</f>
        <v/>
      </c>
    </row>
    <row r="39" customFormat="false" ht="15" hidden="false" customHeight="false" outlineLevel="0" collapsed="false">
      <c r="A39" s="11" t="str">
        <f aca="false">IF(34&lt;=MAX(Employees!$BG$6:$BG$205),34,"")</f>
        <v/>
      </c>
      <c r="B39" s="11" t="str">
        <f aca="false">IF($A39="","",INDEX(Employees!$A$6:$A$205,MATCH($A39,Employees!$BG$6:$BG$205,0)))</f>
        <v/>
      </c>
      <c r="C39" s="11" t="str">
        <f aca="false">IF($A39="","",INDEX(Employees!$B$6:$B$205,MATCH($A39,Employees!$BG$6:$BG$205,0)))</f>
        <v/>
      </c>
      <c r="D39" s="11" t="str">
        <f aca="false">IF($A39="","",INDEX(Employees!$C$6:$C$205,MATCH($A39,Employees!$BG$6:$BG$205,0)))</f>
        <v/>
      </c>
      <c r="E39" s="11" t="str">
        <f aca="false">IF($A39="","",INDEX(Employees!$D$6:$D$205,MATCH($A39,Employees!$BG$6:$BG$205,0)))</f>
        <v/>
      </c>
      <c r="F39" s="11" t="str">
        <f aca="false">IF($A39="","",INDEX(Employees!$T$6:$T$205,MATCH($A39,Employees!$BG$6:$BG$205,0)))</f>
        <v/>
      </c>
      <c r="G39" s="26" t="str">
        <f aca="false">IF($A39="","",INDEX(Employees!$U$6:$U$205,MATCH($A39,Employees!$BG$6:$BG$205,0)))</f>
        <v/>
      </c>
      <c r="H39" s="28" t="str">
        <f aca="false">IF($A39="","",INDEX(Employees!$E$6:$E$205,MATCH($A39,Employees!$BG$6:$BG$205,0)))</f>
        <v/>
      </c>
      <c r="I39" s="11" t="str">
        <f aca="false">IF($A39="","",INDEX(Employees!$Z$6:$Z$205,MATCH($A39,Employees!$BG$6:$BG$205,0)))</f>
        <v/>
      </c>
      <c r="J39" s="26" t="str">
        <f aca="false">IF($A39="","",INDEX(Employees!$AB$6:$AB$205,MATCH($A39,Employees!$BG$6:$BG$205,0)))</f>
        <v/>
      </c>
      <c r="K39" s="26" t="str">
        <f aca="false">IF($A39="","",INDEX(Employees!$AC$6:$AC$205,MATCH($A39,Employees!$BG$6:$BG$205,0)))</f>
        <v/>
      </c>
      <c r="L39" s="28" t="str">
        <f aca="false">IF($A39="","",INDEX(Employees!$AD$6:$AD$205,MATCH($A39,Employees!$BG$6:$BG$205,0)))</f>
        <v/>
      </c>
      <c r="M39" s="11" t="str">
        <f aca="false">IF($A39="","",INDEX(Employees!$AF$6:$AF$205,MATCH($A39,Employees!$BG$6:$BG$205,0)))</f>
        <v/>
      </c>
      <c r="N39" s="11" t="str">
        <f aca="false">IF($A39="","",INDEX(Employees!$AM$6:$AM$205,MATCH($A39,Employees!$BG$6:$BG$205,0)))</f>
        <v/>
      </c>
    </row>
    <row r="40" customFormat="false" ht="15" hidden="false" customHeight="false" outlineLevel="0" collapsed="false">
      <c r="A40" s="11" t="str">
        <f aca="false">IF(35&lt;=MAX(Employees!$BG$6:$BG$205),35,"")</f>
        <v/>
      </c>
      <c r="B40" s="11" t="str">
        <f aca="false">IF($A40="","",INDEX(Employees!$A$6:$A$205,MATCH($A40,Employees!$BG$6:$BG$205,0)))</f>
        <v/>
      </c>
      <c r="C40" s="11" t="str">
        <f aca="false">IF($A40="","",INDEX(Employees!$B$6:$B$205,MATCH($A40,Employees!$BG$6:$BG$205,0)))</f>
        <v/>
      </c>
      <c r="D40" s="11" t="str">
        <f aca="false">IF($A40="","",INDEX(Employees!$C$6:$C$205,MATCH($A40,Employees!$BG$6:$BG$205,0)))</f>
        <v/>
      </c>
      <c r="E40" s="11" t="str">
        <f aca="false">IF($A40="","",INDEX(Employees!$D$6:$D$205,MATCH($A40,Employees!$BG$6:$BG$205,0)))</f>
        <v/>
      </c>
      <c r="F40" s="11" t="str">
        <f aca="false">IF($A40="","",INDEX(Employees!$T$6:$T$205,MATCH($A40,Employees!$BG$6:$BG$205,0)))</f>
        <v/>
      </c>
      <c r="G40" s="26" t="str">
        <f aca="false">IF($A40="","",INDEX(Employees!$U$6:$U$205,MATCH($A40,Employees!$BG$6:$BG$205,0)))</f>
        <v/>
      </c>
      <c r="H40" s="28" t="str">
        <f aca="false">IF($A40="","",INDEX(Employees!$E$6:$E$205,MATCH($A40,Employees!$BG$6:$BG$205,0)))</f>
        <v/>
      </c>
      <c r="I40" s="11" t="str">
        <f aca="false">IF($A40="","",INDEX(Employees!$Z$6:$Z$205,MATCH($A40,Employees!$BG$6:$BG$205,0)))</f>
        <v/>
      </c>
      <c r="J40" s="26" t="str">
        <f aca="false">IF($A40="","",INDEX(Employees!$AB$6:$AB$205,MATCH($A40,Employees!$BG$6:$BG$205,0)))</f>
        <v/>
      </c>
      <c r="K40" s="26" t="str">
        <f aca="false">IF($A40="","",INDEX(Employees!$AC$6:$AC$205,MATCH($A40,Employees!$BG$6:$BG$205,0)))</f>
        <v/>
      </c>
      <c r="L40" s="28" t="str">
        <f aca="false">IF($A40="","",INDEX(Employees!$AD$6:$AD$205,MATCH($A40,Employees!$BG$6:$BG$205,0)))</f>
        <v/>
      </c>
      <c r="M40" s="11" t="str">
        <f aca="false">IF($A40="","",INDEX(Employees!$AF$6:$AF$205,MATCH($A40,Employees!$BG$6:$BG$205,0)))</f>
        <v/>
      </c>
      <c r="N40" s="11" t="str">
        <f aca="false">IF($A40="","",INDEX(Employees!$AM$6:$AM$205,MATCH($A40,Employees!$BG$6:$BG$205,0)))</f>
        <v/>
      </c>
    </row>
    <row r="41" customFormat="false" ht="15" hidden="false" customHeight="false" outlineLevel="0" collapsed="false">
      <c r="A41" s="11" t="str">
        <f aca="false">IF(36&lt;=MAX(Employees!$BG$6:$BG$205),36,"")</f>
        <v/>
      </c>
      <c r="B41" s="11" t="str">
        <f aca="false">IF($A41="","",INDEX(Employees!$A$6:$A$205,MATCH($A41,Employees!$BG$6:$BG$205,0)))</f>
        <v/>
      </c>
      <c r="C41" s="11" t="str">
        <f aca="false">IF($A41="","",INDEX(Employees!$B$6:$B$205,MATCH($A41,Employees!$BG$6:$BG$205,0)))</f>
        <v/>
      </c>
      <c r="D41" s="11" t="str">
        <f aca="false">IF($A41="","",INDEX(Employees!$C$6:$C$205,MATCH($A41,Employees!$BG$6:$BG$205,0)))</f>
        <v/>
      </c>
      <c r="E41" s="11" t="str">
        <f aca="false">IF($A41="","",INDEX(Employees!$D$6:$D$205,MATCH($A41,Employees!$BG$6:$BG$205,0)))</f>
        <v/>
      </c>
      <c r="F41" s="11" t="str">
        <f aca="false">IF($A41="","",INDEX(Employees!$T$6:$T$205,MATCH($A41,Employees!$BG$6:$BG$205,0)))</f>
        <v/>
      </c>
      <c r="G41" s="26" t="str">
        <f aca="false">IF($A41="","",INDEX(Employees!$U$6:$U$205,MATCH($A41,Employees!$BG$6:$BG$205,0)))</f>
        <v/>
      </c>
      <c r="H41" s="28" t="str">
        <f aca="false">IF($A41="","",INDEX(Employees!$E$6:$E$205,MATCH($A41,Employees!$BG$6:$BG$205,0)))</f>
        <v/>
      </c>
      <c r="I41" s="11" t="str">
        <f aca="false">IF($A41="","",INDEX(Employees!$Z$6:$Z$205,MATCH($A41,Employees!$BG$6:$BG$205,0)))</f>
        <v/>
      </c>
      <c r="J41" s="26" t="str">
        <f aca="false">IF($A41="","",INDEX(Employees!$AB$6:$AB$205,MATCH($A41,Employees!$BG$6:$BG$205,0)))</f>
        <v/>
      </c>
      <c r="K41" s="26" t="str">
        <f aca="false">IF($A41="","",INDEX(Employees!$AC$6:$AC$205,MATCH($A41,Employees!$BG$6:$BG$205,0)))</f>
        <v/>
      </c>
      <c r="L41" s="28" t="str">
        <f aca="false">IF($A41="","",INDEX(Employees!$AD$6:$AD$205,MATCH($A41,Employees!$BG$6:$BG$205,0)))</f>
        <v/>
      </c>
      <c r="M41" s="11" t="str">
        <f aca="false">IF($A41="","",INDEX(Employees!$AF$6:$AF$205,MATCH($A41,Employees!$BG$6:$BG$205,0)))</f>
        <v/>
      </c>
      <c r="N41" s="11" t="str">
        <f aca="false">IF($A41="","",INDEX(Employees!$AM$6:$AM$205,MATCH($A41,Employees!$BG$6:$BG$205,0)))</f>
        <v/>
      </c>
    </row>
    <row r="42" customFormat="false" ht="15" hidden="false" customHeight="false" outlineLevel="0" collapsed="false">
      <c r="A42" s="11" t="str">
        <f aca="false">IF(37&lt;=MAX(Employees!$BG$6:$BG$205),37,"")</f>
        <v/>
      </c>
      <c r="B42" s="11" t="str">
        <f aca="false">IF($A42="","",INDEX(Employees!$A$6:$A$205,MATCH($A42,Employees!$BG$6:$BG$205,0)))</f>
        <v/>
      </c>
      <c r="C42" s="11" t="str">
        <f aca="false">IF($A42="","",INDEX(Employees!$B$6:$B$205,MATCH($A42,Employees!$BG$6:$BG$205,0)))</f>
        <v/>
      </c>
      <c r="D42" s="11" t="str">
        <f aca="false">IF($A42="","",INDEX(Employees!$C$6:$C$205,MATCH($A42,Employees!$BG$6:$BG$205,0)))</f>
        <v/>
      </c>
      <c r="E42" s="11" t="str">
        <f aca="false">IF($A42="","",INDEX(Employees!$D$6:$D$205,MATCH($A42,Employees!$BG$6:$BG$205,0)))</f>
        <v/>
      </c>
      <c r="F42" s="11" t="str">
        <f aca="false">IF($A42="","",INDEX(Employees!$T$6:$T$205,MATCH($A42,Employees!$BG$6:$BG$205,0)))</f>
        <v/>
      </c>
      <c r="G42" s="26" t="str">
        <f aca="false">IF($A42="","",INDEX(Employees!$U$6:$U$205,MATCH($A42,Employees!$BG$6:$BG$205,0)))</f>
        <v/>
      </c>
      <c r="H42" s="28" t="str">
        <f aca="false">IF($A42="","",INDEX(Employees!$E$6:$E$205,MATCH($A42,Employees!$BG$6:$BG$205,0)))</f>
        <v/>
      </c>
      <c r="I42" s="11" t="str">
        <f aca="false">IF($A42="","",INDEX(Employees!$Z$6:$Z$205,MATCH($A42,Employees!$BG$6:$BG$205,0)))</f>
        <v/>
      </c>
      <c r="J42" s="26" t="str">
        <f aca="false">IF($A42="","",INDEX(Employees!$AB$6:$AB$205,MATCH($A42,Employees!$BG$6:$BG$205,0)))</f>
        <v/>
      </c>
      <c r="K42" s="26" t="str">
        <f aca="false">IF($A42="","",INDEX(Employees!$AC$6:$AC$205,MATCH($A42,Employees!$BG$6:$BG$205,0)))</f>
        <v/>
      </c>
      <c r="L42" s="28" t="str">
        <f aca="false">IF($A42="","",INDEX(Employees!$AD$6:$AD$205,MATCH($A42,Employees!$BG$6:$BG$205,0)))</f>
        <v/>
      </c>
      <c r="M42" s="11" t="str">
        <f aca="false">IF($A42="","",INDEX(Employees!$AF$6:$AF$205,MATCH($A42,Employees!$BG$6:$BG$205,0)))</f>
        <v/>
      </c>
      <c r="N42" s="11" t="str">
        <f aca="false">IF($A42="","",INDEX(Employees!$AM$6:$AM$205,MATCH($A42,Employees!$BG$6:$BG$205,0)))</f>
        <v/>
      </c>
    </row>
    <row r="43" customFormat="false" ht="15" hidden="false" customHeight="false" outlineLevel="0" collapsed="false">
      <c r="A43" s="11" t="str">
        <f aca="false">IF(38&lt;=MAX(Employees!$BG$6:$BG$205),38,"")</f>
        <v/>
      </c>
      <c r="B43" s="11" t="str">
        <f aca="false">IF($A43="","",INDEX(Employees!$A$6:$A$205,MATCH($A43,Employees!$BG$6:$BG$205,0)))</f>
        <v/>
      </c>
      <c r="C43" s="11" t="str">
        <f aca="false">IF($A43="","",INDEX(Employees!$B$6:$B$205,MATCH($A43,Employees!$BG$6:$BG$205,0)))</f>
        <v/>
      </c>
      <c r="D43" s="11" t="str">
        <f aca="false">IF($A43="","",INDEX(Employees!$C$6:$C$205,MATCH($A43,Employees!$BG$6:$BG$205,0)))</f>
        <v/>
      </c>
      <c r="E43" s="11" t="str">
        <f aca="false">IF($A43="","",INDEX(Employees!$D$6:$D$205,MATCH($A43,Employees!$BG$6:$BG$205,0)))</f>
        <v/>
      </c>
      <c r="F43" s="11" t="str">
        <f aca="false">IF($A43="","",INDEX(Employees!$T$6:$T$205,MATCH($A43,Employees!$BG$6:$BG$205,0)))</f>
        <v/>
      </c>
      <c r="G43" s="26" t="str">
        <f aca="false">IF($A43="","",INDEX(Employees!$U$6:$U$205,MATCH($A43,Employees!$BG$6:$BG$205,0)))</f>
        <v/>
      </c>
      <c r="H43" s="28" t="str">
        <f aca="false">IF($A43="","",INDEX(Employees!$E$6:$E$205,MATCH($A43,Employees!$BG$6:$BG$205,0)))</f>
        <v/>
      </c>
      <c r="I43" s="11" t="str">
        <f aca="false">IF($A43="","",INDEX(Employees!$Z$6:$Z$205,MATCH($A43,Employees!$BG$6:$BG$205,0)))</f>
        <v/>
      </c>
      <c r="J43" s="26" t="str">
        <f aca="false">IF($A43="","",INDEX(Employees!$AB$6:$AB$205,MATCH($A43,Employees!$BG$6:$BG$205,0)))</f>
        <v/>
      </c>
      <c r="K43" s="26" t="str">
        <f aca="false">IF($A43="","",INDEX(Employees!$AC$6:$AC$205,MATCH($A43,Employees!$BG$6:$BG$205,0)))</f>
        <v/>
      </c>
      <c r="L43" s="28" t="str">
        <f aca="false">IF($A43="","",INDEX(Employees!$AD$6:$AD$205,MATCH($A43,Employees!$BG$6:$BG$205,0)))</f>
        <v/>
      </c>
      <c r="M43" s="11" t="str">
        <f aca="false">IF($A43="","",INDEX(Employees!$AF$6:$AF$205,MATCH($A43,Employees!$BG$6:$BG$205,0)))</f>
        <v/>
      </c>
      <c r="N43" s="11" t="str">
        <f aca="false">IF($A43="","",INDEX(Employees!$AM$6:$AM$205,MATCH($A43,Employees!$BG$6:$BG$205,0)))</f>
        <v/>
      </c>
    </row>
    <row r="44" customFormat="false" ht="15" hidden="false" customHeight="false" outlineLevel="0" collapsed="false">
      <c r="A44" s="11" t="str">
        <f aca="false">IF(39&lt;=MAX(Employees!$BG$6:$BG$205),39,"")</f>
        <v/>
      </c>
      <c r="B44" s="11" t="str">
        <f aca="false">IF($A44="","",INDEX(Employees!$A$6:$A$205,MATCH($A44,Employees!$BG$6:$BG$205,0)))</f>
        <v/>
      </c>
      <c r="C44" s="11" t="str">
        <f aca="false">IF($A44="","",INDEX(Employees!$B$6:$B$205,MATCH($A44,Employees!$BG$6:$BG$205,0)))</f>
        <v/>
      </c>
      <c r="D44" s="11" t="str">
        <f aca="false">IF($A44="","",INDEX(Employees!$C$6:$C$205,MATCH($A44,Employees!$BG$6:$BG$205,0)))</f>
        <v/>
      </c>
      <c r="E44" s="11" t="str">
        <f aca="false">IF($A44="","",INDEX(Employees!$D$6:$D$205,MATCH($A44,Employees!$BG$6:$BG$205,0)))</f>
        <v/>
      </c>
      <c r="F44" s="11" t="str">
        <f aca="false">IF($A44="","",INDEX(Employees!$T$6:$T$205,MATCH($A44,Employees!$BG$6:$BG$205,0)))</f>
        <v/>
      </c>
      <c r="G44" s="26" t="str">
        <f aca="false">IF($A44="","",INDEX(Employees!$U$6:$U$205,MATCH($A44,Employees!$BG$6:$BG$205,0)))</f>
        <v/>
      </c>
      <c r="H44" s="28" t="str">
        <f aca="false">IF($A44="","",INDEX(Employees!$E$6:$E$205,MATCH($A44,Employees!$BG$6:$BG$205,0)))</f>
        <v/>
      </c>
      <c r="I44" s="11" t="str">
        <f aca="false">IF($A44="","",INDEX(Employees!$Z$6:$Z$205,MATCH($A44,Employees!$BG$6:$BG$205,0)))</f>
        <v/>
      </c>
      <c r="J44" s="26" t="str">
        <f aca="false">IF($A44="","",INDEX(Employees!$AB$6:$AB$205,MATCH($A44,Employees!$BG$6:$BG$205,0)))</f>
        <v/>
      </c>
      <c r="K44" s="26" t="str">
        <f aca="false">IF($A44="","",INDEX(Employees!$AC$6:$AC$205,MATCH($A44,Employees!$BG$6:$BG$205,0)))</f>
        <v/>
      </c>
      <c r="L44" s="28" t="str">
        <f aca="false">IF($A44="","",INDEX(Employees!$AD$6:$AD$205,MATCH($A44,Employees!$BG$6:$BG$205,0)))</f>
        <v/>
      </c>
      <c r="M44" s="11" t="str">
        <f aca="false">IF($A44="","",INDEX(Employees!$AF$6:$AF$205,MATCH($A44,Employees!$BG$6:$BG$205,0)))</f>
        <v/>
      </c>
      <c r="N44" s="11" t="str">
        <f aca="false">IF($A44="","",INDEX(Employees!$AM$6:$AM$205,MATCH($A44,Employees!$BG$6:$BG$205,0)))</f>
        <v/>
      </c>
    </row>
    <row r="45" customFormat="false" ht="15" hidden="false" customHeight="false" outlineLevel="0" collapsed="false">
      <c r="A45" s="11" t="str">
        <f aca="false">IF(40&lt;=MAX(Employees!$BG$6:$BG$205),40,"")</f>
        <v/>
      </c>
      <c r="B45" s="11" t="str">
        <f aca="false">IF($A45="","",INDEX(Employees!$A$6:$A$205,MATCH($A45,Employees!$BG$6:$BG$205,0)))</f>
        <v/>
      </c>
      <c r="C45" s="11" t="str">
        <f aca="false">IF($A45="","",INDEX(Employees!$B$6:$B$205,MATCH($A45,Employees!$BG$6:$BG$205,0)))</f>
        <v/>
      </c>
      <c r="D45" s="11" t="str">
        <f aca="false">IF($A45="","",INDEX(Employees!$C$6:$C$205,MATCH($A45,Employees!$BG$6:$BG$205,0)))</f>
        <v/>
      </c>
      <c r="E45" s="11" t="str">
        <f aca="false">IF($A45="","",INDEX(Employees!$D$6:$D$205,MATCH($A45,Employees!$BG$6:$BG$205,0)))</f>
        <v/>
      </c>
      <c r="F45" s="11" t="str">
        <f aca="false">IF($A45="","",INDEX(Employees!$T$6:$T$205,MATCH($A45,Employees!$BG$6:$BG$205,0)))</f>
        <v/>
      </c>
      <c r="G45" s="26" t="str">
        <f aca="false">IF($A45="","",INDEX(Employees!$U$6:$U$205,MATCH($A45,Employees!$BG$6:$BG$205,0)))</f>
        <v/>
      </c>
      <c r="H45" s="28" t="str">
        <f aca="false">IF($A45="","",INDEX(Employees!$E$6:$E$205,MATCH($A45,Employees!$BG$6:$BG$205,0)))</f>
        <v/>
      </c>
      <c r="I45" s="11" t="str">
        <f aca="false">IF($A45="","",INDEX(Employees!$Z$6:$Z$205,MATCH($A45,Employees!$BG$6:$BG$205,0)))</f>
        <v/>
      </c>
      <c r="J45" s="26" t="str">
        <f aca="false">IF($A45="","",INDEX(Employees!$AB$6:$AB$205,MATCH($A45,Employees!$BG$6:$BG$205,0)))</f>
        <v/>
      </c>
      <c r="K45" s="26" t="str">
        <f aca="false">IF($A45="","",INDEX(Employees!$AC$6:$AC$205,MATCH($A45,Employees!$BG$6:$BG$205,0)))</f>
        <v/>
      </c>
      <c r="L45" s="28" t="str">
        <f aca="false">IF($A45="","",INDEX(Employees!$AD$6:$AD$205,MATCH($A45,Employees!$BG$6:$BG$205,0)))</f>
        <v/>
      </c>
      <c r="M45" s="11" t="str">
        <f aca="false">IF($A45="","",INDEX(Employees!$AF$6:$AF$205,MATCH($A45,Employees!$BG$6:$BG$205,0)))</f>
        <v/>
      </c>
      <c r="N45" s="11" t="str">
        <f aca="false">IF($A45="","",INDEX(Employees!$AM$6:$AM$205,MATCH($A45,Employees!$BG$6:$BG$205,0)))</f>
        <v/>
      </c>
    </row>
    <row r="46" customFormat="false" ht="15" hidden="false" customHeight="false" outlineLevel="0" collapsed="false">
      <c r="A46" s="11" t="str">
        <f aca="false">IF(41&lt;=MAX(Employees!$BG$6:$BG$205),41,"")</f>
        <v/>
      </c>
      <c r="B46" s="11" t="str">
        <f aca="false">IF($A46="","",INDEX(Employees!$A$6:$A$205,MATCH($A46,Employees!$BG$6:$BG$205,0)))</f>
        <v/>
      </c>
      <c r="C46" s="11" t="str">
        <f aca="false">IF($A46="","",INDEX(Employees!$B$6:$B$205,MATCH($A46,Employees!$BG$6:$BG$205,0)))</f>
        <v/>
      </c>
      <c r="D46" s="11" t="str">
        <f aca="false">IF($A46="","",INDEX(Employees!$C$6:$C$205,MATCH($A46,Employees!$BG$6:$BG$205,0)))</f>
        <v/>
      </c>
      <c r="E46" s="11" t="str">
        <f aca="false">IF($A46="","",INDEX(Employees!$D$6:$D$205,MATCH($A46,Employees!$BG$6:$BG$205,0)))</f>
        <v/>
      </c>
      <c r="F46" s="11" t="str">
        <f aca="false">IF($A46="","",INDEX(Employees!$T$6:$T$205,MATCH($A46,Employees!$BG$6:$BG$205,0)))</f>
        <v/>
      </c>
      <c r="G46" s="26" t="str">
        <f aca="false">IF($A46="","",INDEX(Employees!$U$6:$U$205,MATCH($A46,Employees!$BG$6:$BG$205,0)))</f>
        <v/>
      </c>
      <c r="H46" s="28" t="str">
        <f aca="false">IF($A46="","",INDEX(Employees!$E$6:$E$205,MATCH($A46,Employees!$BG$6:$BG$205,0)))</f>
        <v/>
      </c>
      <c r="I46" s="11" t="str">
        <f aca="false">IF($A46="","",INDEX(Employees!$Z$6:$Z$205,MATCH($A46,Employees!$BG$6:$BG$205,0)))</f>
        <v/>
      </c>
      <c r="J46" s="26" t="str">
        <f aca="false">IF($A46="","",INDEX(Employees!$AB$6:$AB$205,MATCH($A46,Employees!$BG$6:$BG$205,0)))</f>
        <v/>
      </c>
      <c r="K46" s="26" t="str">
        <f aca="false">IF($A46="","",INDEX(Employees!$AC$6:$AC$205,MATCH($A46,Employees!$BG$6:$BG$205,0)))</f>
        <v/>
      </c>
      <c r="L46" s="28" t="str">
        <f aca="false">IF($A46="","",INDEX(Employees!$AD$6:$AD$205,MATCH($A46,Employees!$BG$6:$BG$205,0)))</f>
        <v/>
      </c>
      <c r="M46" s="11" t="str">
        <f aca="false">IF($A46="","",INDEX(Employees!$AF$6:$AF$205,MATCH($A46,Employees!$BG$6:$BG$205,0)))</f>
        <v/>
      </c>
      <c r="N46" s="11" t="str">
        <f aca="false">IF($A46="","",INDEX(Employees!$AM$6:$AM$205,MATCH($A46,Employees!$BG$6:$BG$205,0)))</f>
        <v/>
      </c>
    </row>
    <row r="47" customFormat="false" ht="15" hidden="false" customHeight="false" outlineLevel="0" collapsed="false">
      <c r="A47" s="11" t="str">
        <f aca="false">IF(42&lt;=MAX(Employees!$BG$6:$BG$205),42,"")</f>
        <v/>
      </c>
      <c r="B47" s="11" t="str">
        <f aca="false">IF($A47="","",INDEX(Employees!$A$6:$A$205,MATCH($A47,Employees!$BG$6:$BG$205,0)))</f>
        <v/>
      </c>
      <c r="C47" s="11" t="str">
        <f aca="false">IF($A47="","",INDEX(Employees!$B$6:$B$205,MATCH($A47,Employees!$BG$6:$BG$205,0)))</f>
        <v/>
      </c>
      <c r="D47" s="11" t="str">
        <f aca="false">IF($A47="","",INDEX(Employees!$C$6:$C$205,MATCH($A47,Employees!$BG$6:$BG$205,0)))</f>
        <v/>
      </c>
      <c r="E47" s="11" t="str">
        <f aca="false">IF($A47="","",INDEX(Employees!$D$6:$D$205,MATCH($A47,Employees!$BG$6:$BG$205,0)))</f>
        <v/>
      </c>
      <c r="F47" s="11" t="str">
        <f aca="false">IF($A47="","",INDEX(Employees!$T$6:$T$205,MATCH($A47,Employees!$BG$6:$BG$205,0)))</f>
        <v/>
      </c>
      <c r="G47" s="26" t="str">
        <f aca="false">IF($A47="","",INDEX(Employees!$U$6:$U$205,MATCH($A47,Employees!$BG$6:$BG$205,0)))</f>
        <v/>
      </c>
      <c r="H47" s="28" t="str">
        <f aca="false">IF($A47="","",INDEX(Employees!$E$6:$E$205,MATCH($A47,Employees!$BG$6:$BG$205,0)))</f>
        <v/>
      </c>
      <c r="I47" s="11" t="str">
        <f aca="false">IF($A47="","",INDEX(Employees!$Z$6:$Z$205,MATCH($A47,Employees!$BG$6:$BG$205,0)))</f>
        <v/>
      </c>
      <c r="J47" s="26" t="str">
        <f aca="false">IF($A47="","",INDEX(Employees!$AB$6:$AB$205,MATCH($A47,Employees!$BG$6:$BG$205,0)))</f>
        <v/>
      </c>
      <c r="K47" s="26" t="str">
        <f aca="false">IF($A47="","",INDEX(Employees!$AC$6:$AC$205,MATCH($A47,Employees!$BG$6:$BG$205,0)))</f>
        <v/>
      </c>
      <c r="L47" s="28" t="str">
        <f aca="false">IF($A47="","",INDEX(Employees!$AD$6:$AD$205,MATCH($A47,Employees!$BG$6:$BG$205,0)))</f>
        <v/>
      </c>
      <c r="M47" s="11" t="str">
        <f aca="false">IF($A47="","",INDEX(Employees!$AF$6:$AF$205,MATCH($A47,Employees!$BG$6:$BG$205,0)))</f>
        <v/>
      </c>
      <c r="N47" s="11" t="str">
        <f aca="false">IF($A47="","",INDEX(Employees!$AM$6:$AM$205,MATCH($A47,Employees!$BG$6:$BG$205,0)))</f>
        <v/>
      </c>
    </row>
    <row r="48" customFormat="false" ht="15" hidden="false" customHeight="false" outlineLevel="0" collapsed="false">
      <c r="A48" s="11" t="str">
        <f aca="false">IF(43&lt;=MAX(Employees!$BG$6:$BG$205),43,"")</f>
        <v/>
      </c>
      <c r="B48" s="11" t="str">
        <f aca="false">IF($A48="","",INDEX(Employees!$A$6:$A$205,MATCH($A48,Employees!$BG$6:$BG$205,0)))</f>
        <v/>
      </c>
      <c r="C48" s="11" t="str">
        <f aca="false">IF($A48="","",INDEX(Employees!$B$6:$B$205,MATCH($A48,Employees!$BG$6:$BG$205,0)))</f>
        <v/>
      </c>
      <c r="D48" s="11" t="str">
        <f aca="false">IF($A48="","",INDEX(Employees!$C$6:$C$205,MATCH($A48,Employees!$BG$6:$BG$205,0)))</f>
        <v/>
      </c>
      <c r="E48" s="11" t="str">
        <f aca="false">IF($A48="","",INDEX(Employees!$D$6:$D$205,MATCH($A48,Employees!$BG$6:$BG$205,0)))</f>
        <v/>
      </c>
      <c r="F48" s="11" t="str">
        <f aca="false">IF($A48="","",INDEX(Employees!$T$6:$T$205,MATCH($A48,Employees!$BG$6:$BG$205,0)))</f>
        <v/>
      </c>
      <c r="G48" s="26" t="str">
        <f aca="false">IF($A48="","",INDEX(Employees!$U$6:$U$205,MATCH($A48,Employees!$BG$6:$BG$205,0)))</f>
        <v/>
      </c>
      <c r="H48" s="28" t="str">
        <f aca="false">IF($A48="","",INDEX(Employees!$E$6:$E$205,MATCH($A48,Employees!$BG$6:$BG$205,0)))</f>
        <v/>
      </c>
      <c r="I48" s="11" t="str">
        <f aca="false">IF($A48="","",INDEX(Employees!$Z$6:$Z$205,MATCH($A48,Employees!$BG$6:$BG$205,0)))</f>
        <v/>
      </c>
      <c r="J48" s="26" t="str">
        <f aca="false">IF($A48="","",INDEX(Employees!$AB$6:$AB$205,MATCH($A48,Employees!$BG$6:$BG$205,0)))</f>
        <v/>
      </c>
      <c r="K48" s="26" t="str">
        <f aca="false">IF($A48="","",INDEX(Employees!$AC$6:$AC$205,MATCH($A48,Employees!$BG$6:$BG$205,0)))</f>
        <v/>
      </c>
      <c r="L48" s="28" t="str">
        <f aca="false">IF($A48="","",INDEX(Employees!$AD$6:$AD$205,MATCH($A48,Employees!$BG$6:$BG$205,0)))</f>
        <v/>
      </c>
      <c r="M48" s="11" t="str">
        <f aca="false">IF($A48="","",INDEX(Employees!$AF$6:$AF$205,MATCH($A48,Employees!$BG$6:$BG$205,0)))</f>
        <v/>
      </c>
      <c r="N48" s="11" t="str">
        <f aca="false">IF($A48="","",INDEX(Employees!$AM$6:$AM$205,MATCH($A48,Employees!$BG$6:$BG$205,0)))</f>
        <v/>
      </c>
    </row>
    <row r="49" customFormat="false" ht="15" hidden="false" customHeight="false" outlineLevel="0" collapsed="false">
      <c r="A49" s="11" t="str">
        <f aca="false">IF(44&lt;=MAX(Employees!$BG$6:$BG$205),44,"")</f>
        <v/>
      </c>
      <c r="B49" s="11" t="str">
        <f aca="false">IF($A49="","",INDEX(Employees!$A$6:$A$205,MATCH($A49,Employees!$BG$6:$BG$205,0)))</f>
        <v/>
      </c>
      <c r="C49" s="11" t="str">
        <f aca="false">IF($A49="","",INDEX(Employees!$B$6:$B$205,MATCH($A49,Employees!$BG$6:$BG$205,0)))</f>
        <v/>
      </c>
      <c r="D49" s="11" t="str">
        <f aca="false">IF($A49="","",INDEX(Employees!$C$6:$C$205,MATCH($A49,Employees!$BG$6:$BG$205,0)))</f>
        <v/>
      </c>
      <c r="E49" s="11" t="str">
        <f aca="false">IF($A49="","",INDEX(Employees!$D$6:$D$205,MATCH($A49,Employees!$BG$6:$BG$205,0)))</f>
        <v/>
      </c>
      <c r="F49" s="11" t="str">
        <f aca="false">IF($A49="","",INDEX(Employees!$T$6:$T$205,MATCH($A49,Employees!$BG$6:$BG$205,0)))</f>
        <v/>
      </c>
      <c r="G49" s="26" t="str">
        <f aca="false">IF($A49="","",INDEX(Employees!$U$6:$U$205,MATCH($A49,Employees!$BG$6:$BG$205,0)))</f>
        <v/>
      </c>
      <c r="H49" s="28" t="str">
        <f aca="false">IF($A49="","",INDEX(Employees!$E$6:$E$205,MATCH($A49,Employees!$BG$6:$BG$205,0)))</f>
        <v/>
      </c>
      <c r="I49" s="11" t="str">
        <f aca="false">IF($A49="","",INDEX(Employees!$Z$6:$Z$205,MATCH($A49,Employees!$BG$6:$BG$205,0)))</f>
        <v/>
      </c>
      <c r="J49" s="26" t="str">
        <f aca="false">IF($A49="","",INDEX(Employees!$AB$6:$AB$205,MATCH($A49,Employees!$BG$6:$BG$205,0)))</f>
        <v/>
      </c>
      <c r="K49" s="26" t="str">
        <f aca="false">IF($A49="","",INDEX(Employees!$AC$6:$AC$205,MATCH($A49,Employees!$BG$6:$BG$205,0)))</f>
        <v/>
      </c>
      <c r="L49" s="28" t="str">
        <f aca="false">IF($A49="","",INDEX(Employees!$AD$6:$AD$205,MATCH($A49,Employees!$BG$6:$BG$205,0)))</f>
        <v/>
      </c>
      <c r="M49" s="11" t="str">
        <f aca="false">IF($A49="","",INDEX(Employees!$AF$6:$AF$205,MATCH($A49,Employees!$BG$6:$BG$205,0)))</f>
        <v/>
      </c>
      <c r="N49" s="11" t="str">
        <f aca="false">IF($A49="","",INDEX(Employees!$AM$6:$AM$205,MATCH($A49,Employees!$BG$6:$BG$205,0)))</f>
        <v/>
      </c>
    </row>
    <row r="50" customFormat="false" ht="15" hidden="false" customHeight="false" outlineLevel="0" collapsed="false">
      <c r="A50" s="11" t="str">
        <f aca="false">IF(45&lt;=MAX(Employees!$BG$6:$BG$205),45,"")</f>
        <v/>
      </c>
      <c r="B50" s="11" t="str">
        <f aca="false">IF($A50="","",INDEX(Employees!$A$6:$A$205,MATCH($A50,Employees!$BG$6:$BG$205,0)))</f>
        <v/>
      </c>
      <c r="C50" s="11" t="str">
        <f aca="false">IF($A50="","",INDEX(Employees!$B$6:$B$205,MATCH($A50,Employees!$BG$6:$BG$205,0)))</f>
        <v/>
      </c>
      <c r="D50" s="11" t="str">
        <f aca="false">IF($A50="","",INDEX(Employees!$C$6:$C$205,MATCH($A50,Employees!$BG$6:$BG$205,0)))</f>
        <v/>
      </c>
      <c r="E50" s="11" t="str">
        <f aca="false">IF($A50="","",INDEX(Employees!$D$6:$D$205,MATCH($A50,Employees!$BG$6:$BG$205,0)))</f>
        <v/>
      </c>
      <c r="F50" s="11" t="str">
        <f aca="false">IF($A50="","",INDEX(Employees!$T$6:$T$205,MATCH($A50,Employees!$BG$6:$BG$205,0)))</f>
        <v/>
      </c>
      <c r="G50" s="26" t="str">
        <f aca="false">IF($A50="","",INDEX(Employees!$U$6:$U$205,MATCH($A50,Employees!$BG$6:$BG$205,0)))</f>
        <v/>
      </c>
      <c r="H50" s="28" t="str">
        <f aca="false">IF($A50="","",INDEX(Employees!$E$6:$E$205,MATCH($A50,Employees!$BG$6:$BG$205,0)))</f>
        <v/>
      </c>
      <c r="I50" s="11" t="str">
        <f aca="false">IF($A50="","",INDEX(Employees!$Z$6:$Z$205,MATCH($A50,Employees!$BG$6:$BG$205,0)))</f>
        <v/>
      </c>
      <c r="J50" s="26" t="str">
        <f aca="false">IF($A50="","",INDEX(Employees!$AB$6:$AB$205,MATCH($A50,Employees!$BG$6:$BG$205,0)))</f>
        <v/>
      </c>
      <c r="K50" s="26" t="str">
        <f aca="false">IF($A50="","",INDEX(Employees!$AC$6:$AC$205,MATCH($A50,Employees!$BG$6:$BG$205,0)))</f>
        <v/>
      </c>
      <c r="L50" s="28" t="str">
        <f aca="false">IF($A50="","",INDEX(Employees!$AD$6:$AD$205,MATCH($A50,Employees!$BG$6:$BG$205,0)))</f>
        <v/>
      </c>
      <c r="M50" s="11" t="str">
        <f aca="false">IF($A50="","",INDEX(Employees!$AF$6:$AF$205,MATCH($A50,Employees!$BG$6:$BG$205,0)))</f>
        <v/>
      </c>
      <c r="N50" s="11" t="str">
        <f aca="false">IF($A50="","",INDEX(Employees!$AM$6:$AM$205,MATCH($A50,Employees!$BG$6:$BG$205,0)))</f>
        <v/>
      </c>
    </row>
    <row r="51" customFormat="false" ht="15" hidden="false" customHeight="false" outlineLevel="0" collapsed="false">
      <c r="A51" s="11" t="str">
        <f aca="false">IF(46&lt;=MAX(Employees!$BG$6:$BG$205),46,"")</f>
        <v/>
      </c>
      <c r="B51" s="11" t="str">
        <f aca="false">IF($A51="","",INDEX(Employees!$A$6:$A$205,MATCH($A51,Employees!$BG$6:$BG$205,0)))</f>
        <v/>
      </c>
      <c r="C51" s="11" t="str">
        <f aca="false">IF($A51="","",INDEX(Employees!$B$6:$B$205,MATCH($A51,Employees!$BG$6:$BG$205,0)))</f>
        <v/>
      </c>
      <c r="D51" s="11" t="str">
        <f aca="false">IF($A51="","",INDEX(Employees!$C$6:$C$205,MATCH($A51,Employees!$BG$6:$BG$205,0)))</f>
        <v/>
      </c>
      <c r="E51" s="11" t="str">
        <f aca="false">IF($A51="","",INDEX(Employees!$D$6:$D$205,MATCH($A51,Employees!$BG$6:$BG$205,0)))</f>
        <v/>
      </c>
      <c r="F51" s="11" t="str">
        <f aca="false">IF($A51="","",INDEX(Employees!$T$6:$T$205,MATCH($A51,Employees!$BG$6:$BG$205,0)))</f>
        <v/>
      </c>
      <c r="G51" s="26" t="str">
        <f aca="false">IF($A51="","",INDEX(Employees!$U$6:$U$205,MATCH($A51,Employees!$BG$6:$BG$205,0)))</f>
        <v/>
      </c>
      <c r="H51" s="28" t="str">
        <f aca="false">IF($A51="","",INDEX(Employees!$E$6:$E$205,MATCH($A51,Employees!$BG$6:$BG$205,0)))</f>
        <v/>
      </c>
      <c r="I51" s="11" t="str">
        <f aca="false">IF($A51="","",INDEX(Employees!$Z$6:$Z$205,MATCH($A51,Employees!$BG$6:$BG$205,0)))</f>
        <v/>
      </c>
      <c r="J51" s="26" t="str">
        <f aca="false">IF($A51="","",INDEX(Employees!$AB$6:$AB$205,MATCH($A51,Employees!$BG$6:$BG$205,0)))</f>
        <v/>
      </c>
      <c r="K51" s="26" t="str">
        <f aca="false">IF($A51="","",INDEX(Employees!$AC$6:$AC$205,MATCH($A51,Employees!$BG$6:$BG$205,0)))</f>
        <v/>
      </c>
      <c r="L51" s="28" t="str">
        <f aca="false">IF($A51="","",INDEX(Employees!$AD$6:$AD$205,MATCH($A51,Employees!$BG$6:$BG$205,0)))</f>
        <v/>
      </c>
      <c r="M51" s="11" t="str">
        <f aca="false">IF($A51="","",INDEX(Employees!$AF$6:$AF$205,MATCH($A51,Employees!$BG$6:$BG$205,0)))</f>
        <v/>
      </c>
      <c r="N51" s="11" t="str">
        <f aca="false">IF($A51="","",INDEX(Employees!$AM$6:$AM$205,MATCH($A51,Employees!$BG$6:$BG$205,0)))</f>
        <v/>
      </c>
    </row>
    <row r="52" customFormat="false" ht="15" hidden="false" customHeight="false" outlineLevel="0" collapsed="false">
      <c r="A52" s="11" t="str">
        <f aca="false">IF(47&lt;=MAX(Employees!$BG$6:$BG$205),47,"")</f>
        <v/>
      </c>
      <c r="B52" s="11" t="str">
        <f aca="false">IF($A52="","",INDEX(Employees!$A$6:$A$205,MATCH($A52,Employees!$BG$6:$BG$205,0)))</f>
        <v/>
      </c>
      <c r="C52" s="11" t="str">
        <f aca="false">IF($A52="","",INDEX(Employees!$B$6:$B$205,MATCH($A52,Employees!$BG$6:$BG$205,0)))</f>
        <v/>
      </c>
      <c r="D52" s="11" t="str">
        <f aca="false">IF($A52="","",INDEX(Employees!$C$6:$C$205,MATCH($A52,Employees!$BG$6:$BG$205,0)))</f>
        <v/>
      </c>
      <c r="E52" s="11" t="str">
        <f aca="false">IF($A52="","",INDEX(Employees!$D$6:$D$205,MATCH($A52,Employees!$BG$6:$BG$205,0)))</f>
        <v/>
      </c>
      <c r="F52" s="11" t="str">
        <f aca="false">IF($A52="","",INDEX(Employees!$T$6:$T$205,MATCH($A52,Employees!$BG$6:$BG$205,0)))</f>
        <v/>
      </c>
      <c r="G52" s="26" t="str">
        <f aca="false">IF($A52="","",INDEX(Employees!$U$6:$U$205,MATCH($A52,Employees!$BG$6:$BG$205,0)))</f>
        <v/>
      </c>
      <c r="H52" s="28" t="str">
        <f aca="false">IF($A52="","",INDEX(Employees!$E$6:$E$205,MATCH($A52,Employees!$BG$6:$BG$205,0)))</f>
        <v/>
      </c>
      <c r="I52" s="11" t="str">
        <f aca="false">IF($A52="","",INDEX(Employees!$Z$6:$Z$205,MATCH($A52,Employees!$BG$6:$BG$205,0)))</f>
        <v/>
      </c>
      <c r="J52" s="26" t="str">
        <f aca="false">IF($A52="","",INDEX(Employees!$AB$6:$AB$205,MATCH($A52,Employees!$BG$6:$BG$205,0)))</f>
        <v/>
      </c>
      <c r="K52" s="26" t="str">
        <f aca="false">IF($A52="","",INDEX(Employees!$AC$6:$AC$205,MATCH($A52,Employees!$BG$6:$BG$205,0)))</f>
        <v/>
      </c>
      <c r="L52" s="28" t="str">
        <f aca="false">IF($A52="","",INDEX(Employees!$AD$6:$AD$205,MATCH($A52,Employees!$BG$6:$BG$205,0)))</f>
        <v/>
      </c>
      <c r="M52" s="11" t="str">
        <f aca="false">IF($A52="","",INDEX(Employees!$AF$6:$AF$205,MATCH($A52,Employees!$BG$6:$BG$205,0)))</f>
        <v/>
      </c>
      <c r="N52" s="11" t="str">
        <f aca="false">IF($A52="","",INDEX(Employees!$AM$6:$AM$205,MATCH($A52,Employees!$BG$6:$BG$205,0)))</f>
        <v/>
      </c>
    </row>
    <row r="53" customFormat="false" ht="15" hidden="false" customHeight="false" outlineLevel="0" collapsed="false">
      <c r="A53" s="11" t="str">
        <f aca="false">IF(48&lt;=MAX(Employees!$BG$6:$BG$205),48,"")</f>
        <v/>
      </c>
      <c r="B53" s="11" t="str">
        <f aca="false">IF($A53="","",INDEX(Employees!$A$6:$A$205,MATCH($A53,Employees!$BG$6:$BG$205,0)))</f>
        <v/>
      </c>
      <c r="C53" s="11" t="str">
        <f aca="false">IF($A53="","",INDEX(Employees!$B$6:$B$205,MATCH($A53,Employees!$BG$6:$BG$205,0)))</f>
        <v/>
      </c>
      <c r="D53" s="11" t="str">
        <f aca="false">IF($A53="","",INDEX(Employees!$C$6:$C$205,MATCH($A53,Employees!$BG$6:$BG$205,0)))</f>
        <v/>
      </c>
      <c r="E53" s="11" t="str">
        <f aca="false">IF($A53="","",INDEX(Employees!$D$6:$D$205,MATCH($A53,Employees!$BG$6:$BG$205,0)))</f>
        <v/>
      </c>
      <c r="F53" s="11" t="str">
        <f aca="false">IF($A53="","",INDEX(Employees!$T$6:$T$205,MATCH($A53,Employees!$BG$6:$BG$205,0)))</f>
        <v/>
      </c>
      <c r="G53" s="26" t="str">
        <f aca="false">IF($A53="","",INDEX(Employees!$U$6:$U$205,MATCH($A53,Employees!$BG$6:$BG$205,0)))</f>
        <v/>
      </c>
      <c r="H53" s="28" t="str">
        <f aca="false">IF($A53="","",INDEX(Employees!$E$6:$E$205,MATCH($A53,Employees!$BG$6:$BG$205,0)))</f>
        <v/>
      </c>
      <c r="I53" s="11" t="str">
        <f aca="false">IF($A53="","",INDEX(Employees!$Z$6:$Z$205,MATCH($A53,Employees!$BG$6:$BG$205,0)))</f>
        <v/>
      </c>
      <c r="J53" s="26" t="str">
        <f aca="false">IF($A53="","",INDEX(Employees!$AB$6:$AB$205,MATCH($A53,Employees!$BG$6:$BG$205,0)))</f>
        <v/>
      </c>
      <c r="K53" s="26" t="str">
        <f aca="false">IF($A53="","",INDEX(Employees!$AC$6:$AC$205,MATCH($A53,Employees!$BG$6:$BG$205,0)))</f>
        <v/>
      </c>
      <c r="L53" s="28" t="str">
        <f aca="false">IF($A53="","",INDEX(Employees!$AD$6:$AD$205,MATCH($A53,Employees!$BG$6:$BG$205,0)))</f>
        <v/>
      </c>
      <c r="M53" s="11" t="str">
        <f aca="false">IF($A53="","",INDEX(Employees!$AF$6:$AF$205,MATCH($A53,Employees!$BG$6:$BG$205,0)))</f>
        <v/>
      </c>
      <c r="N53" s="11" t="str">
        <f aca="false">IF($A53="","",INDEX(Employees!$AM$6:$AM$205,MATCH($A53,Employees!$BG$6:$BG$205,0)))</f>
        <v/>
      </c>
    </row>
    <row r="54" customFormat="false" ht="15" hidden="false" customHeight="false" outlineLevel="0" collapsed="false">
      <c r="A54" s="11" t="str">
        <f aca="false">IF(49&lt;=MAX(Employees!$BG$6:$BG$205),49,"")</f>
        <v/>
      </c>
      <c r="B54" s="11" t="str">
        <f aca="false">IF($A54="","",INDEX(Employees!$A$6:$A$205,MATCH($A54,Employees!$BG$6:$BG$205,0)))</f>
        <v/>
      </c>
      <c r="C54" s="11" t="str">
        <f aca="false">IF($A54="","",INDEX(Employees!$B$6:$B$205,MATCH($A54,Employees!$BG$6:$BG$205,0)))</f>
        <v/>
      </c>
      <c r="D54" s="11" t="str">
        <f aca="false">IF($A54="","",INDEX(Employees!$C$6:$C$205,MATCH($A54,Employees!$BG$6:$BG$205,0)))</f>
        <v/>
      </c>
      <c r="E54" s="11" t="str">
        <f aca="false">IF($A54="","",INDEX(Employees!$D$6:$D$205,MATCH($A54,Employees!$BG$6:$BG$205,0)))</f>
        <v/>
      </c>
      <c r="F54" s="11" t="str">
        <f aca="false">IF($A54="","",INDEX(Employees!$T$6:$T$205,MATCH($A54,Employees!$BG$6:$BG$205,0)))</f>
        <v/>
      </c>
      <c r="G54" s="26" t="str">
        <f aca="false">IF($A54="","",INDEX(Employees!$U$6:$U$205,MATCH($A54,Employees!$BG$6:$BG$205,0)))</f>
        <v/>
      </c>
      <c r="H54" s="28" t="str">
        <f aca="false">IF($A54="","",INDEX(Employees!$E$6:$E$205,MATCH($A54,Employees!$BG$6:$BG$205,0)))</f>
        <v/>
      </c>
      <c r="I54" s="11" t="str">
        <f aca="false">IF($A54="","",INDEX(Employees!$Z$6:$Z$205,MATCH($A54,Employees!$BG$6:$BG$205,0)))</f>
        <v/>
      </c>
      <c r="J54" s="26" t="str">
        <f aca="false">IF($A54="","",INDEX(Employees!$AB$6:$AB$205,MATCH($A54,Employees!$BG$6:$BG$205,0)))</f>
        <v/>
      </c>
      <c r="K54" s="26" t="str">
        <f aca="false">IF($A54="","",INDEX(Employees!$AC$6:$AC$205,MATCH($A54,Employees!$BG$6:$BG$205,0)))</f>
        <v/>
      </c>
      <c r="L54" s="28" t="str">
        <f aca="false">IF($A54="","",INDEX(Employees!$AD$6:$AD$205,MATCH($A54,Employees!$BG$6:$BG$205,0)))</f>
        <v/>
      </c>
      <c r="M54" s="11" t="str">
        <f aca="false">IF($A54="","",INDEX(Employees!$AF$6:$AF$205,MATCH($A54,Employees!$BG$6:$BG$205,0)))</f>
        <v/>
      </c>
      <c r="N54" s="11" t="str">
        <f aca="false">IF($A54="","",INDEX(Employees!$AM$6:$AM$205,MATCH($A54,Employees!$BG$6:$BG$205,0)))</f>
        <v/>
      </c>
    </row>
    <row r="55" customFormat="false" ht="15" hidden="false" customHeight="false" outlineLevel="0" collapsed="false">
      <c r="A55" s="11" t="str">
        <f aca="false">IF(50&lt;=MAX(Employees!$BG$6:$BG$205),50,"")</f>
        <v/>
      </c>
      <c r="B55" s="11" t="str">
        <f aca="false">IF($A55="","",INDEX(Employees!$A$6:$A$205,MATCH($A55,Employees!$BG$6:$BG$205,0)))</f>
        <v/>
      </c>
      <c r="C55" s="11" t="str">
        <f aca="false">IF($A55="","",INDEX(Employees!$B$6:$B$205,MATCH($A55,Employees!$BG$6:$BG$205,0)))</f>
        <v/>
      </c>
      <c r="D55" s="11" t="str">
        <f aca="false">IF($A55="","",INDEX(Employees!$C$6:$C$205,MATCH($A55,Employees!$BG$6:$BG$205,0)))</f>
        <v/>
      </c>
      <c r="E55" s="11" t="str">
        <f aca="false">IF($A55="","",INDEX(Employees!$D$6:$D$205,MATCH($A55,Employees!$BG$6:$BG$205,0)))</f>
        <v/>
      </c>
      <c r="F55" s="11" t="str">
        <f aca="false">IF($A55="","",INDEX(Employees!$T$6:$T$205,MATCH($A55,Employees!$BG$6:$BG$205,0)))</f>
        <v/>
      </c>
      <c r="G55" s="26" t="str">
        <f aca="false">IF($A55="","",INDEX(Employees!$U$6:$U$205,MATCH($A55,Employees!$BG$6:$BG$205,0)))</f>
        <v/>
      </c>
      <c r="H55" s="28" t="str">
        <f aca="false">IF($A55="","",INDEX(Employees!$E$6:$E$205,MATCH($A55,Employees!$BG$6:$BG$205,0)))</f>
        <v/>
      </c>
      <c r="I55" s="11" t="str">
        <f aca="false">IF($A55="","",INDEX(Employees!$Z$6:$Z$205,MATCH($A55,Employees!$BG$6:$BG$205,0)))</f>
        <v/>
      </c>
      <c r="J55" s="26" t="str">
        <f aca="false">IF($A55="","",INDEX(Employees!$AB$6:$AB$205,MATCH($A55,Employees!$BG$6:$BG$205,0)))</f>
        <v/>
      </c>
      <c r="K55" s="26" t="str">
        <f aca="false">IF($A55="","",INDEX(Employees!$AC$6:$AC$205,MATCH($A55,Employees!$BG$6:$BG$205,0)))</f>
        <v/>
      </c>
      <c r="L55" s="28" t="str">
        <f aca="false">IF($A55="","",INDEX(Employees!$AD$6:$AD$205,MATCH($A55,Employees!$BG$6:$BG$205,0)))</f>
        <v/>
      </c>
      <c r="M55" s="11" t="str">
        <f aca="false">IF($A55="","",INDEX(Employees!$AF$6:$AF$205,MATCH($A55,Employees!$BG$6:$BG$205,0)))</f>
        <v/>
      </c>
      <c r="N55" s="11" t="str">
        <f aca="false">IF($A55="","",INDEX(Employees!$AM$6:$AM$205,MATCH($A55,Employees!$BG$6:$BG$205,0)))</f>
        <v/>
      </c>
    </row>
    <row r="56" customFormat="false" ht="15" hidden="false" customHeight="false" outlineLevel="0" collapsed="false">
      <c r="A56" s="11" t="str">
        <f aca="false">IF(51&lt;=MAX(Employees!$BG$6:$BG$205),51,"")</f>
        <v/>
      </c>
      <c r="B56" s="11" t="str">
        <f aca="false">IF($A56="","",INDEX(Employees!$A$6:$A$205,MATCH($A56,Employees!$BG$6:$BG$205,0)))</f>
        <v/>
      </c>
      <c r="C56" s="11" t="str">
        <f aca="false">IF($A56="","",INDEX(Employees!$B$6:$B$205,MATCH($A56,Employees!$BG$6:$BG$205,0)))</f>
        <v/>
      </c>
      <c r="D56" s="11" t="str">
        <f aca="false">IF($A56="","",INDEX(Employees!$C$6:$C$205,MATCH($A56,Employees!$BG$6:$BG$205,0)))</f>
        <v/>
      </c>
      <c r="E56" s="11" t="str">
        <f aca="false">IF($A56="","",INDEX(Employees!$D$6:$D$205,MATCH($A56,Employees!$BG$6:$BG$205,0)))</f>
        <v/>
      </c>
      <c r="F56" s="11" t="str">
        <f aca="false">IF($A56="","",INDEX(Employees!$T$6:$T$205,MATCH($A56,Employees!$BG$6:$BG$205,0)))</f>
        <v/>
      </c>
      <c r="G56" s="26" t="str">
        <f aca="false">IF($A56="","",INDEX(Employees!$U$6:$U$205,MATCH($A56,Employees!$BG$6:$BG$205,0)))</f>
        <v/>
      </c>
      <c r="H56" s="28" t="str">
        <f aca="false">IF($A56="","",INDEX(Employees!$E$6:$E$205,MATCH($A56,Employees!$BG$6:$BG$205,0)))</f>
        <v/>
      </c>
      <c r="I56" s="11" t="str">
        <f aca="false">IF($A56="","",INDEX(Employees!$Z$6:$Z$205,MATCH($A56,Employees!$BG$6:$BG$205,0)))</f>
        <v/>
      </c>
      <c r="J56" s="26" t="str">
        <f aca="false">IF($A56="","",INDEX(Employees!$AB$6:$AB$205,MATCH($A56,Employees!$BG$6:$BG$205,0)))</f>
        <v/>
      </c>
      <c r="K56" s="26" t="str">
        <f aca="false">IF($A56="","",INDEX(Employees!$AC$6:$AC$205,MATCH($A56,Employees!$BG$6:$BG$205,0)))</f>
        <v/>
      </c>
      <c r="L56" s="28" t="str">
        <f aca="false">IF($A56="","",INDEX(Employees!$AD$6:$AD$205,MATCH($A56,Employees!$BG$6:$BG$205,0)))</f>
        <v/>
      </c>
      <c r="M56" s="11" t="str">
        <f aca="false">IF($A56="","",INDEX(Employees!$AF$6:$AF$205,MATCH($A56,Employees!$BG$6:$BG$205,0)))</f>
        <v/>
      </c>
      <c r="N56" s="11" t="str">
        <f aca="false">IF($A56="","",INDEX(Employees!$AM$6:$AM$205,MATCH($A56,Employees!$BG$6:$BG$205,0)))</f>
        <v/>
      </c>
    </row>
    <row r="57" customFormat="false" ht="15" hidden="false" customHeight="false" outlineLevel="0" collapsed="false">
      <c r="A57" s="11" t="str">
        <f aca="false">IF(52&lt;=MAX(Employees!$BG$6:$BG$205),52,"")</f>
        <v/>
      </c>
      <c r="B57" s="11" t="str">
        <f aca="false">IF($A57="","",INDEX(Employees!$A$6:$A$205,MATCH($A57,Employees!$BG$6:$BG$205,0)))</f>
        <v/>
      </c>
      <c r="C57" s="11" t="str">
        <f aca="false">IF($A57="","",INDEX(Employees!$B$6:$B$205,MATCH($A57,Employees!$BG$6:$BG$205,0)))</f>
        <v/>
      </c>
      <c r="D57" s="11" t="str">
        <f aca="false">IF($A57="","",INDEX(Employees!$C$6:$C$205,MATCH($A57,Employees!$BG$6:$BG$205,0)))</f>
        <v/>
      </c>
      <c r="E57" s="11" t="str">
        <f aca="false">IF($A57="","",INDEX(Employees!$D$6:$D$205,MATCH($A57,Employees!$BG$6:$BG$205,0)))</f>
        <v/>
      </c>
      <c r="F57" s="11" t="str">
        <f aca="false">IF($A57="","",INDEX(Employees!$T$6:$T$205,MATCH($A57,Employees!$BG$6:$BG$205,0)))</f>
        <v/>
      </c>
      <c r="G57" s="26" t="str">
        <f aca="false">IF($A57="","",INDEX(Employees!$U$6:$U$205,MATCH($A57,Employees!$BG$6:$BG$205,0)))</f>
        <v/>
      </c>
      <c r="H57" s="28" t="str">
        <f aca="false">IF($A57="","",INDEX(Employees!$E$6:$E$205,MATCH($A57,Employees!$BG$6:$BG$205,0)))</f>
        <v/>
      </c>
      <c r="I57" s="11" t="str">
        <f aca="false">IF($A57="","",INDEX(Employees!$Z$6:$Z$205,MATCH($A57,Employees!$BG$6:$BG$205,0)))</f>
        <v/>
      </c>
      <c r="J57" s="26" t="str">
        <f aca="false">IF($A57="","",INDEX(Employees!$AB$6:$AB$205,MATCH($A57,Employees!$BG$6:$BG$205,0)))</f>
        <v/>
      </c>
      <c r="K57" s="26" t="str">
        <f aca="false">IF($A57="","",INDEX(Employees!$AC$6:$AC$205,MATCH($A57,Employees!$BG$6:$BG$205,0)))</f>
        <v/>
      </c>
      <c r="L57" s="28" t="str">
        <f aca="false">IF($A57="","",INDEX(Employees!$AD$6:$AD$205,MATCH($A57,Employees!$BG$6:$BG$205,0)))</f>
        <v/>
      </c>
      <c r="M57" s="11" t="str">
        <f aca="false">IF($A57="","",INDEX(Employees!$AF$6:$AF$205,MATCH($A57,Employees!$BG$6:$BG$205,0)))</f>
        <v/>
      </c>
      <c r="N57" s="11" t="str">
        <f aca="false">IF($A57="","",INDEX(Employees!$AM$6:$AM$205,MATCH($A57,Employees!$BG$6:$BG$205,0)))</f>
        <v/>
      </c>
    </row>
    <row r="58" customFormat="false" ht="15" hidden="false" customHeight="false" outlineLevel="0" collapsed="false">
      <c r="A58" s="11" t="str">
        <f aca="false">IF(53&lt;=MAX(Employees!$BG$6:$BG$205),53,"")</f>
        <v/>
      </c>
      <c r="B58" s="11" t="str">
        <f aca="false">IF($A58="","",INDEX(Employees!$A$6:$A$205,MATCH($A58,Employees!$BG$6:$BG$205,0)))</f>
        <v/>
      </c>
      <c r="C58" s="11" t="str">
        <f aca="false">IF($A58="","",INDEX(Employees!$B$6:$B$205,MATCH($A58,Employees!$BG$6:$BG$205,0)))</f>
        <v/>
      </c>
      <c r="D58" s="11" t="str">
        <f aca="false">IF($A58="","",INDEX(Employees!$C$6:$C$205,MATCH($A58,Employees!$BG$6:$BG$205,0)))</f>
        <v/>
      </c>
      <c r="E58" s="11" t="str">
        <f aca="false">IF($A58="","",INDEX(Employees!$D$6:$D$205,MATCH($A58,Employees!$BG$6:$BG$205,0)))</f>
        <v/>
      </c>
      <c r="F58" s="11" t="str">
        <f aca="false">IF($A58="","",INDEX(Employees!$T$6:$T$205,MATCH($A58,Employees!$BG$6:$BG$205,0)))</f>
        <v/>
      </c>
      <c r="G58" s="26" t="str">
        <f aca="false">IF($A58="","",INDEX(Employees!$U$6:$U$205,MATCH($A58,Employees!$BG$6:$BG$205,0)))</f>
        <v/>
      </c>
      <c r="H58" s="28" t="str">
        <f aca="false">IF($A58="","",INDEX(Employees!$E$6:$E$205,MATCH($A58,Employees!$BG$6:$BG$205,0)))</f>
        <v/>
      </c>
      <c r="I58" s="11" t="str">
        <f aca="false">IF($A58="","",INDEX(Employees!$Z$6:$Z$205,MATCH($A58,Employees!$BG$6:$BG$205,0)))</f>
        <v/>
      </c>
      <c r="J58" s="26" t="str">
        <f aca="false">IF($A58="","",INDEX(Employees!$AB$6:$AB$205,MATCH($A58,Employees!$BG$6:$BG$205,0)))</f>
        <v/>
      </c>
      <c r="K58" s="26" t="str">
        <f aca="false">IF($A58="","",INDEX(Employees!$AC$6:$AC$205,MATCH($A58,Employees!$BG$6:$BG$205,0)))</f>
        <v/>
      </c>
      <c r="L58" s="28" t="str">
        <f aca="false">IF($A58="","",INDEX(Employees!$AD$6:$AD$205,MATCH($A58,Employees!$BG$6:$BG$205,0)))</f>
        <v/>
      </c>
      <c r="M58" s="11" t="str">
        <f aca="false">IF($A58="","",INDEX(Employees!$AF$6:$AF$205,MATCH($A58,Employees!$BG$6:$BG$205,0)))</f>
        <v/>
      </c>
      <c r="N58" s="11" t="str">
        <f aca="false">IF($A58="","",INDEX(Employees!$AM$6:$AM$205,MATCH($A58,Employees!$BG$6:$BG$205,0)))</f>
        <v/>
      </c>
    </row>
    <row r="59" customFormat="false" ht="15" hidden="false" customHeight="false" outlineLevel="0" collapsed="false">
      <c r="A59" s="11" t="str">
        <f aca="false">IF(54&lt;=MAX(Employees!$BG$6:$BG$205),54,"")</f>
        <v/>
      </c>
      <c r="B59" s="11" t="str">
        <f aca="false">IF($A59="","",INDEX(Employees!$A$6:$A$205,MATCH($A59,Employees!$BG$6:$BG$205,0)))</f>
        <v/>
      </c>
      <c r="C59" s="11" t="str">
        <f aca="false">IF($A59="","",INDEX(Employees!$B$6:$B$205,MATCH($A59,Employees!$BG$6:$BG$205,0)))</f>
        <v/>
      </c>
      <c r="D59" s="11" t="str">
        <f aca="false">IF($A59="","",INDEX(Employees!$C$6:$C$205,MATCH($A59,Employees!$BG$6:$BG$205,0)))</f>
        <v/>
      </c>
      <c r="E59" s="11" t="str">
        <f aca="false">IF($A59="","",INDEX(Employees!$D$6:$D$205,MATCH($A59,Employees!$BG$6:$BG$205,0)))</f>
        <v/>
      </c>
      <c r="F59" s="11" t="str">
        <f aca="false">IF($A59="","",INDEX(Employees!$T$6:$T$205,MATCH($A59,Employees!$BG$6:$BG$205,0)))</f>
        <v/>
      </c>
      <c r="G59" s="26" t="str">
        <f aca="false">IF($A59="","",INDEX(Employees!$U$6:$U$205,MATCH($A59,Employees!$BG$6:$BG$205,0)))</f>
        <v/>
      </c>
      <c r="H59" s="28" t="str">
        <f aca="false">IF($A59="","",INDEX(Employees!$E$6:$E$205,MATCH($A59,Employees!$BG$6:$BG$205,0)))</f>
        <v/>
      </c>
      <c r="I59" s="11" t="str">
        <f aca="false">IF($A59="","",INDEX(Employees!$Z$6:$Z$205,MATCH($A59,Employees!$BG$6:$BG$205,0)))</f>
        <v/>
      </c>
      <c r="J59" s="26" t="str">
        <f aca="false">IF($A59="","",INDEX(Employees!$AB$6:$AB$205,MATCH($A59,Employees!$BG$6:$BG$205,0)))</f>
        <v/>
      </c>
      <c r="K59" s="26" t="str">
        <f aca="false">IF($A59="","",INDEX(Employees!$AC$6:$AC$205,MATCH($A59,Employees!$BG$6:$BG$205,0)))</f>
        <v/>
      </c>
      <c r="L59" s="28" t="str">
        <f aca="false">IF($A59="","",INDEX(Employees!$AD$6:$AD$205,MATCH($A59,Employees!$BG$6:$BG$205,0)))</f>
        <v/>
      </c>
      <c r="M59" s="11" t="str">
        <f aca="false">IF($A59="","",INDEX(Employees!$AF$6:$AF$205,MATCH($A59,Employees!$BG$6:$BG$205,0)))</f>
        <v/>
      </c>
      <c r="N59" s="11" t="str">
        <f aca="false">IF($A59="","",INDEX(Employees!$AM$6:$AM$205,MATCH($A59,Employees!$BG$6:$BG$205,0)))</f>
        <v/>
      </c>
    </row>
    <row r="60" customFormat="false" ht="15" hidden="false" customHeight="false" outlineLevel="0" collapsed="false">
      <c r="A60" s="11" t="str">
        <f aca="false">IF(55&lt;=MAX(Employees!$BG$6:$BG$205),55,"")</f>
        <v/>
      </c>
      <c r="B60" s="11" t="str">
        <f aca="false">IF($A60="","",INDEX(Employees!$A$6:$A$205,MATCH($A60,Employees!$BG$6:$BG$205,0)))</f>
        <v/>
      </c>
      <c r="C60" s="11" t="str">
        <f aca="false">IF($A60="","",INDEX(Employees!$B$6:$B$205,MATCH($A60,Employees!$BG$6:$BG$205,0)))</f>
        <v/>
      </c>
      <c r="D60" s="11" t="str">
        <f aca="false">IF($A60="","",INDEX(Employees!$C$6:$C$205,MATCH($A60,Employees!$BG$6:$BG$205,0)))</f>
        <v/>
      </c>
      <c r="E60" s="11" t="str">
        <f aca="false">IF($A60="","",INDEX(Employees!$D$6:$D$205,MATCH($A60,Employees!$BG$6:$BG$205,0)))</f>
        <v/>
      </c>
      <c r="F60" s="11" t="str">
        <f aca="false">IF($A60="","",INDEX(Employees!$T$6:$T$205,MATCH($A60,Employees!$BG$6:$BG$205,0)))</f>
        <v/>
      </c>
      <c r="G60" s="26" t="str">
        <f aca="false">IF($A60="","",INDEX(Employees!$U$6:$U$205,MATCH($A60,Employees!$BG$6:$BG$205,0)))</f>
        <v/>
      </c>
      <c r="H60" s="28" t="str">
        <f aca="false">IF($A60="","",INDEX(Employees!$E$6:$E$205,MATCH($A60,Employees!$BG$6:$BG$205,0)))</f>
        <v/>
      </c>
      <c r="I60" s="11" t="str">
        <f aca="false">IF($A60="","",INDEX(Employees!$Z$6:$Z$205,MATCH($A60,Employees!$BG$6:$BG$205,0)))</f>
        <v/>
      </c>
      <c r="J60" s="26" t="str">
        <f aca="false">IF($A60="","",INDEX(Employees!$AB$6:$AB$205,MATCH($A60,Employees!$BG$6:$BG$205,0)))</f>
        <v/>
      </c>
      <c r="K60" s="26" t="str">
        <f aca="false">IF($A60="","",INDEX(Employees!$AC$6:$AC$205,MATCH($A60,Employees!$BG$6:$BG$205,0)))</f>
        <v/>
      </c>
      <c r="L60" s="28" t="str">
        <f aca="false">IF($A60="","",INDEX(Employees!$AD$6:$AD$205,MATCH($A60,Employees!$BG$6:$BG$205,0)))</f>
        <v/>
      </c>
      <c r="M60" s="11" t="str">
        <f aca="false">IF($A60="","",INDEX(Employees!$AF$6:$AF$205,MATCH($A60,Employees!$BG$6:$BG$205,0)))</f>
        <v/>
      </c>
      <c r="N60" s="11" t="str">
        <f aca="false">IF($A60="","",INDEX(Employees!$AM$6:$AM$205,MATCH($A60,Employees!$BG$6:$BG$205,0)))</f>
        <v/>
      </c>
    </row>
    <row r="61" customFormat="false" ht="15" hidden="false" customHeight="false" outlineLevel="0" collapsed="false">
      <c r="A61" s="11" t="str">
        <f aca="false">IF(56&lt;=MAX(Employees!$BG$6:$BG$205),56,"")</f>
        <v/>
      </c>
      <c r="B61" s="11" t="str">
        <f aca="false">IF($A61="","",INDEX(Employees!$A$6:$A$205,MATCH($A61,Employees!$BG$6:$BG$205,0)))</f>
        <v/>
      </c>
      <c r="C61" s="11" t="str">
        <f aca="false">IF($A61="","",INDEX(Employees!$B$6:$B$205,MATCH($A61,Employees!$BG$6:$BG$205,0)))</f>
        <v/>
      </c>
      <c r="D61" s="11" t="str">
        <f aca="false">IF($A61="","",INDEX(Employees!$C$6:$C$205,MATCH($A61,Employees!$BG$6:$BG$205,0)))</f>
        <v/>
      </c>
      <c r="E61" s="11" t="str">
        <f aca="false">IF($A61="","",INDEX(Employees!$D$6:$D$205,MATCH($A61,Employees!$BG$6:$BG$205,0)))</f>
        <v/>
      </c>
      <c r="F61" s="11" t="str">
        <f aca="false">IF($A61="","",INDEX(Employees!$T$6:$T$205,MATCH($A61,Employees!$BG$6:$BG$205,0)))</f>
        <v/>
      </c>
      <c r="G61" s="26" t="str">
        <f aca="false">IF($A61="","",INDEX(Employees!$U$6:$U$205,MATCH($A61,Employees!$BG$6:$BG$205,0)))</f>
        <v/>
      </c>
      <c r="H61" s="28" t="str">
        <f aca="false">IF($A61="","",INDEX(Employees!$E$6:$E$205,MATCH($A61,Employees!$BG$6:$BG$205,0)))</f>
        <v/>
      </c>
      <c r="I61" s="11" t="str">
        <f aca="false">IF($A61="","",INDEX(Employees!$Z$6:$Z$205,MATCH($A61,Employees!$BG$6:$BG$205,0)))</f>
        <v/>
      </c>
      <c r="J61" s="26" t="str">
        <f aca="false">IF($A61="","",INDEX(Employees!$AB$6:$AB$205,MATCH($A61,Employees!$BG$6:$BG$205,0)))</f>
        <v/>
      </c>
      <c r="K61" s="26" t="str">
        <f aca="false">IF($A61="","",INDEX(Employees!$AC$6:$AC$205,MATCH($A61,Employees!$BG$6:$BG$205,0)))</f>
        <v/>
      </c>
      <c r="L61" s="28" t="str">
        <f aca="false">IF($A61="","",INDEX(Employees!$AD$6:$AD$205,MATCH($A61,Employees!$BG$6:$BG$205,0)))</f>
        <v/>
      </c>
      <c r="M61" s="11" t="str">
        <f aca="false">IF($A61="","",INDEX(Employees!$AF$6:$AF$205,MATCH($A61,Employees!$BG$6:$BG$205,0)))</f>
        <v/>
      </c>
      <c r="N61" s="11" t="str">
        <f aca="false">IF($A61="","",INDEX(Employees!$AM$6:$AM$205,MATCH($A61,Employees!$BG$6:$BG$205,0)))</f>
        <v/>
      </c>
    </row>
    <row r="62" customFormat="false" ht="15" hidden="false" customHeight="false" outlineLevel="0" collapsed="false">
      <c r="A62" s="11" t="str">
        <f aca="false">IF(57&lt;=MAX(Employees!$BG$6:$BG$205),57,"")</f>
        <v/>
      </c>
      <c r="B62" s="11" t="str">
        <f aca="false">IF($A62="","",INDEX(Employees!$A$6:$A$205,MATCH($A62,Employees!$BG$6:$BG$205,0)))</f>
        <v/>
      </c>
      <c r="C62" s="11" t="str">
        <f aca="false">IF($A62="","",INDEX(Employees!$B$6:$B$205,MATCH($A62,Employees!$BG$6:$BG$205,0)))</f>
        <v/>
      </c>
      <c r="D62" s="11" t="str">
        <f aca="false">IF($A62="","",INDEX(Employees!$C$6:$C$205,MATCH($A62,Employees!$BG$6:$BG$205,0)))</f>
        <v/>
      </c>
      <c r="E62" s="11" t="str">
        <f aca="false">IF($A62="","",INDEX(Employees!$D$6:$D$205,MATCH($A62,Employees!$BG$6:$BG$205,0)))</f>
        <v/>
      </c>
      <c r="F62" s="11" t="str">
        <f aca="false">IF($A62="","",INDEX(Employees!$T$6:$T$205,MATCH($A62,Employees!$BG$6:$BG$205,0)))</f>
        <v/>
      </c>
      <c r="G62" s="26" t="str">
        <f aca="false">IF($A62="","",INDEX(Employees!$U$6:$U$205,MATCH($A62,Employees!$BG$6:$BG$205,0)))</f>
        <v/>
      </c>
      <c r="H62" s="28" t="str">
        <f aca="false">IF($A62="","",INDEX(Employees!$E$6:$E$205,MATCH($A62,Employees!$BG$6:$BG$205,0)))</f>
        <v/>
      </c>
      <c r="I62" s="11" t="str">
        <f aca="false">IF($A62="","",INDEX(Employees!$Z$6:$Z$205,MATCH($A62,Employees!$BG$6:$BG$205,0)))</f>
        <v/>
      </c>
      <c r="J62" s="26" t="str">
        <f aca="false">IF($A62="","",INDEX(Employees!$AB$6:$AB$205,MATCH($A62,Employees!$BG$6:$BG$205,0)))</f>
        <v/>
      </c>
      <c r="K62" s="26" t="str">
        <f aca="false">IF($A62="","",INDEX(Employees!$AC$6:$AC$205,MATCH($A62,Employees!$BG$6:$BG$205,0)))</f>
        <v/>
      </c>
      <c r="L62" s="28" t="str">
        <f aca="false">IF($A62="","",INDEX(Employees!$AD$6:$AD$205,MATCH($A62,Employees!$BG$6:$BG$205,0)))</f>
        <v/>
      </c>
      <c r="M62" s="11" t="str">
        <f aca="false">IF($A62="","",INDEX(Employees!$AF$6:$AF$205,MATCH($A62,Employees!$BG$6:$BG$205,0)))</f>
        <v/>
      </c>
      <c r="N62" s="11" t="str">
        <f aca="false">IF($A62="","",INDEX(Employees!$AM$6:$AM$205,MATCH($A62,Employees!$BG$6:$BG$205,0)))</f>
        <v/>
      </c>
    </row>
    <row r="63" customFormat="false" ht="15" hidden="false" customHeight="false" outlineLevel="0" collapsed="false">
      <c r="A63" s="11" t="str">
        <f aca="false">IF(58&lt;=MAX(Employees!$BG$6:$BG$205),58,"")</f>
        <v/>
      </c>
      <c r="B63" s="11" t="str">
        <f aca="false">IF($A63="","",INDEX(Employees!$A$6:$A$205,MATCH($A63,Employees!$BG$6:$BG$205,0)))</f>
        <v/>
      </c>
      <c r="C63" s="11" t="str">
        <f aca="false">IF($A63="","",INDEX(Employees!$B$6:$B$205,MATCH($A63,Employees!$BG$6:$BG$205,0)))</f>
        <v/>
      </c>
      <c r="D63" s="11" t="str">
        <f aca="false">IF($A63="","",INDEX(Employees!$C$6:$C$205,MATCH($A63,Employees!$BG$6:$BG$205,0)))</f>
        <v/>
      </c>
      <c r="E63" s="11" t="str">
        <f aca="false">IF($A63="","",INDEX(Employees!$D$6:$D$205,MATCH($A63,Employees!$BG$6:$BG$205,0)))</f>
        <v/>
      </c>
      <c r="F63" s="11" t="str">
        <f aca="false">IF($A63="","",INDEX(Employees!$T$6:$T$205,MATCH($A63,Employees!$BG$6:$BG$205,0)))</f>
        <v/>
      </c>
      <c r="G63" s="26" t="str">
        <f aca="false">IF($A63="","",INDEX(Employees!$U$6:$U$205,MATCH($A63,Employees!$BG$6:$BG$205,0)))</f>
        <v/>
      </c>
      <c r="H63" s="28" t="str">
        <f aca="false">IF($A63="","",INDEX(Employees!$E$6:$E$205,MATCH($A63,Employees!$BG$6:$BG$205,0)))</f>
        <v/>
      </c>
      <c r="I63" s="11" t="str">
        <f aca="false">IF($A63="","",INDEX(Employees!$Z$6:$Z$205,MATCH($A63,Employees!$BG$6:$BG$205,0)))</f>
        <v/>
      </c>
      <c r="J63" s="26" t="str">
        <f aca="false">IF($A63="","",INDEX(Employees!$AB$6:$AB$205,MATCH($A63,Employees!$BG$6:$BG$205,0)))</f>
        <v/>
      </c>
      <c r="K63" s="26" t="str">
        <f aca="false">IF($A63="","",INDEX(Employees!$AC$6:$AC$205,MATCH($A63,Employees!$BG$6:$BG$205,0)))</f>
        <v/>
      </c>
      <c r="L63" s="28" t="str">
        <f aca="false">IF($A63="","",INDEX(Employees!$AD$6:$AD$205,MATCH($A63,Employees!$BG$6:$BG$205,0)))</f>
        <v/>
      </c>
      <c r="M63" s="11" t="str">
        <f aca="false">IF($A63="","",INDEX(Employees!$AF$6:$AF$205,MATCH($A63,Employees!$BG$6:$BG$205,0)))</f>
        <v/>
      </c>
      <c r="N63" s="11" t="str">
        <f aca="false">IF($A63="","",INDEX(Employees!$AM$6:$AM$205,MATCH($A63,Employees!$BG$6:$BG$205,0)))</f>
        <v/>
      </c>
    </row>
    <row r="64" customFormat="false" ht="15" hidden="false" customHeight="false" outlineLevel="0" collapsed="false">
      <c r="A64" s="11" t="str">
        <f aca="false">IF(59&lt;=MAX(Employees!$BG$6:$BG$205),59,"")</f>
        <v/>
      </c>
      <c r="B64" s="11" t="str">
        <f aca="false">IF($A64="","",INDEX(Employees!$A$6:$A$205,MATCH($A64,Employees!$BG$6:$BG$205,0)))</f>
        <v/>
      </c>
      <c r="C64" s="11" t="str">
        <f aca="false">IF($A64="","",INDEX(Employees!$B$6:$B$205,MATCH($A64,Employees!$BG$6:$BG$205,0)))</f>
        <v/>
      </c>
      <c r="D64" s="11" t="str">
        <f aca="false">IF($A64="","",INDEX(Employees!$C$6:$C$205,MATCH($A64,Employees!$BG$6:$BG$205,0)))</f>
        <v/>
      </c>
      <c r="E64" s="11" t="str">
        <f aca="false">IF($A64="","",INDEX(Employees!$D$6:$D$205,MATCH($A64,Employees!$BG$6:$BG$205,0)))</f>
        <v/>
      </c>
      <c r="F64" s="11" t="str">
        <f aca="false">IF($A64="","",INDEX(Employees!$T$6:$T$205,MATCH($A64,Employees!$BG$6:$BG$205,0)))</f>
        <v/>
      </c>
      <c r="G64" s="26" t="str">
        <f aca="false">IF($A64="","",INDEX(Employees!$U$6:$U$205,MATCH($A64,Employees!$BG$6:$BG$205,0)))</f>
        <v/>
      </c>
      <c r="H64" s="28" t="str">
        <f aca="false">IF($A64="","",INDEX(Employees!$E$6:$E$205,MATCH($A64,Employees!$BG$6:$BG$205,0)))</f>
        <v/>
      </c>
      <c r="I64" s="11" t="str">
        <f aca="false">IF($A64="","",INDEX(Employees!$Z$6:$Z$205,MATCH($A64,Employees!$BG$6:$BG$205,0)))</f>
        <v/>
      </c>
      <c r="J64" s="26" t="str">
        <f aca="false">IF($A64="","",INDEX(Employees!$AB$6:$AB$205,MATCH($A64,Employees!$BG$6:$BG$205,0)))</f>
        <v/>
      </c>
      <c r="K64" s="26" t="str">
        <f aca="false">IF($A64="","",INDEX(Employees!$AC$6:$AC$205,MATCH($A64,Employees!$BG$6:$BG$205,0)))</f>
        <v/>
      </c>
      <c r="L64" s="28" t="str">
        <f aca="false">IF($A64="","",INDEX(Employees!$AD$6:$AD$205,MATCH($A64,Employees!$BG$6:$BG$205,0)))</f>
        <v/>
      </c>
      <c r="M64" s="11" t="str">
        <f aca="false">IF($A64="","",INDEX(Employees!$AF$6:$AF$205,MATCH($A64,Employees!$BG$6:$BG$205,0)))</f>
        <v/>
      </c>
      <c r="N64" s="11" t="str">
        <f aca="false">IF($A64="","",INDEX(Employees!$AM$6:$AM$205,MATCH($A64,Employees!$BG$6:$BG$205,0)))</f>
        <v/>
      </c>
    </row>
    <row r="65" customFormat="false" ht="15" hidden="false" customHeight="false" outlineLevel="0" collapsed="false">
      <c r="A65" s="11" t="str">
        <f aca="false">IF(60&lt;=MAX(Employees!$BG$6:$BG$205),60,"")</f>
        <v/>
      </c>
      <c r="B65" s="11" t="str">
        <f aca="false">IF($A65="","",INDEX(Employees!$A$6:$A$205,MATCH($A65,Employees!$BG$6:$BG$205,0)))</f>
        <v/>
      </c>
      <c r="C65" s="11" t="str">
        <f aca="false">IF($A65="","",INDEX(Employees!$B$6:$B$205,MATCH($A65,Employees!$BG$6:$BG$205,0)))</f>
        <v/>
      </c>
      <c r="D65" s="11" t="str">
        <f aca="false">IF($A65="","",INDEX(Employees!$C$6:$C$205,MATCH($A65,Employees!$BG$6:$BG$205,0)))</f>
        <v/>
      </c>
      <c r="E65" s="11" t="str">
        <f aca="false">IF($A65="","",INDEX(Employees!$D$6:$D$205,MATCH($A65,Employees!$BG$6:$BG$205,0)))</f>
        <v/>
      </c>
      <c r="F65" s="11" t="str">
        <f aca="false">IF($A65="","",INDEX(Employees!$T$6:$T$205,MATCH($A65,Employees!$BG$6:$BG$205,0)))</f>
        <v/>
      </c>
      <c r="G65" s="26" t="str">
        <f aca="false">IF($A65="","",INDEX(Employees!$U$6:$U$205,MATCH($A65,Employees!$BG$6:$BG$205,0)))</f>
        <v/>
      </c>
      <c r="H65" s="28" t="str">
        <f aca="false">IF($A65="","",INDEX(Employees!$E$6:$E$205,MATCH($A65,Employees!$BG$6:$BG$205,0)))</f>
        <v/>
      </c>
      <c r="I65" s="11" t="str">
        <f aca="false">IF($A65="","",INDEX(Employees!$Z$6:$Z$205,MATCH($A65,Employees!$BG$6:$BG$205,0)))</f>
        <v/>
      </c>
      <c r="J65" s="26" t="str">
        <f aca="false">IF($A65="","",INDEX(Employees!$AB$6:$AB$205,MATCH($A65,Employees!$BG$6:$BG$205,0)))</f>
        <v/>
      </c>
      <c r="K65" s="26" t="str">
        <f aca="false">IF($A65="","",INDEX(Employees!$AC$6:$AC$205,MATCH($A65,Employees!$BG$6:$BG$205,0)))</f>
        <v/>
      </c>
      <c r="L65" s="28" t="str">
        <f aca="false">IF($A65="","",INDEX(Employees!$AD$6:$AD$205,MATCH($A65,Employees!$BG$6:$BG$205,0)))</f>
        <v/>
      </c>
      <c r="M65" s="11" t="str">
        <f aca="false">IF($A65="","",INDEX(Employees!$AF$6:$AF$205,MATCH($A65,Employees!$BG$6:$BG$205,0)))</f>
        <v/>
      </c>
      <c r="N65" s="11" t="str">
        <f aca="false">IF($A65="","",INDEX(Employees!$AM$6:$AM$205,MATCH($A65,Employees!$BG$6:$BG$205,0)))</f>
        <v/>
      </c>
    </row>
    <row r="66" customFormat="false" ht="15" hidden="false" customHeight="false" outlineLevel="0" collapsed="false">
      <c r="A66" s="11" t="str">
        <f aca="false">IF(61&lt;=MAX(Employees!$BG$6:$BG$205),61,"")</f>
        <v/>
      </c>
      <c r="B66" s="11" t="str">
        <f aca="false">IF($A66="","",INDEX(Employees!$A$6:$A$205,MATCH($A66,Employees!$BG$6:$BG$205,0)))</f>
        <v/>
      </c>
      <c r="C66" s="11" t="str">
        <f aca="false">IF($A66="","",INDEX(Employees!$B$6:$B$205,MATCH($A66,Employees!$BG$6:$BG$205,0)))</f>
        <v/>
      </c>
      <c r="D66" s="11" t="str">
        <f aca="false">IF($A66="","",INDEX(Employees!$C$6:$C$205,MATCH($A66,Employees!$BG$6:$BG$205,0)))</f>
        <v/>
      </c>
      <c r="E66" s="11" t="str">
        <f aca="false">IF($A66="","",INDEX(Employees!$D$6:$D$205,MATCH($A66,Employees!$BG$6:$BG$205,0)))</f>
        <v/>
      </c>
      <c r="F66" s="11" t="str">
        <f aca="false">IF($A66="","",INDEX(Employees!$T$6:$T$205,MATCH($A66,Employees!$BG$6:$BG$205,0)))</f>
        <v/>
      </c>
      <c r="G66" s="26" t="str">
        <f aca="false">IF($A66="","",INDEX(Employees!$U$6:$U$205,MATCH($A66,Employees!$BG$6:$BG$205,0)))</f>
        <v/>
      </c>
      <c r="H66" s="28" t="str">
        <f aca="false">IF($A66="","",INDEX(Employees!$E$6:$E$205,MATCH($A66,Employees!$BG$6:$BG$205,0)))</f>
        <v/>
      </c>
      <c r="I66" s="11" t="str">
        <f aca="false">IF($A66="","",INDEX(Employees!$Z$6:$Z$205,MATCH($A66,Employees!$BG$6:$BG$205,0)))</f>
        <v/>
      </c>
      <c r="J66" s="26" t="str">
        <f aca="false">IF($A66="","",INDEX(Employees!$AB$6:$AB$205,MATCH($A66,Employees!$BG$6:$BG$205,0)))</f>
        <v/>
      </c>
      <c r="K66" s="26" t="str">
        <f aca="false">IF($A66="","",INDEX(Employees!$AC$6:$AC$205,MATCH($A66,Employees!$BG$6:$BG$205,0)))</f>
        <v/>
      </c>
      <c r="L66" s="28" t="str">
        <f aca="false">IF($A66="","",INDEX(Employees!$AD$6:$AD$205,MATCH($A66,Employees!$BG$6:$BG$205,0)))</f>
        <v/>
      </c>
      <c r="M66" s="11" t="str">
        <f aca="false">IF($A66="","",INDEX(Employees!$AF$6:$AF$205,MATCH($A66,Employees!$BG$6:$BG$205,0)))</f>
        <v/>
      </c>
      <c r="N66" s="11" t="str">
        <f aca="false">IF($A66="","",INDEX(Employees!$AM$6:$AM$205,MATCH($A66,Employees!$BG$6:$BG$205,0)))</f>
        <v/>
      </c>
    </row>
    <row r="67" customFormat="false" ht="15" hidden="false" customHeight="false" outlineLevel="0" collapsed="false">
      <c r="A67" s="11" t="str">
        <f aca="false">IF(62&lt;=MAX(Employees!$BG$6:$BG$205),62,"")</f>
        <v/>
      </c>
      <c r="B67" s="11" t="str">
        <f aca="false">IF($A67="","",INDEX(Employees!$A$6:$A$205,MATCH($A67,Employees!$BG$6:$BG$205,0)))</f>
        <v/>
      </c>
      <c r="C67" s="11" t="str">
        <f aca="false">IF($A67="","",INDEX(Employees!$B$6:$B$205,MATCH($A67,Employees!$BG$6:$BG$205,0)))</f>
        <v/>
      </c>
      <c r="D67" s="11" t="str">
        <f aca="false">IF($A67="","",INDEX(Employees!$C$6:$C$205,MATCH($A67,Employees!$BG$6:$BG$205,0)))</f>
        <v/>
      </c>
      <c r="E67" s="11" t="str">
        <f aca="false">IF($A67="","",INDEX(Employees!$D$6:$D$205,MATCH($A67,Employees!$BG$6:$BG$205,0)))</f>
        <v/>
      </c>
      <c r="F67" s="11" t="str">
        <f aca="false">IF($A67="","",INDEX(Employees!$T$6:$T$205,MATCH($A67,Employees!$BG$6:$BG$205,0)))</f>
        <v/>
      </c>
      <c r="G67" s="26" t="str">
        <f aca="false">IF($A67="","",INDEX(Employees!$U$6:$U$205,MATCH($A67,Employees!$BG$6:$BG$205,0)))</f>
        <v/>
      </c>
      <c r="H67" s="28" t="str">
        <f aca="false">IF($A67="","",INDEX(Employees!$E$6:$E$205,MATCH($A67,Employees!$BG$6:$BG$205,0)))</f>
        <v/>
      </c>
      <c r="I67" s="11" t="str">
        <f aca="false">IF($A67="","",INDEX(Employees!$Z$6:$Z$205,MATCH($A67,Employees!$BG$6:$BG$205,0)))</f>
        <v/>
      </c>
      <c r="J67" s="26" t="str">
        <f aca="false">IF($A67="","",INDEX(Employees!$AB$6:$AB$205,MATCH($A67,Employees!$BG$6:$BG$205,0)))</f>
        <v/>
      </c>
      <c r="K67" s="26" t="str">
        <f aca="false">IF($A67="","",INDEX(Employees!$AC$6:$AC$205,MATCH($A67,Employees!$BG$6:$BG$205,0)))</f>
        <v/>
      </c>
      <c r="L67" s="28" t="str">
        <f aca="false">IF($A67="","",INDEX(Employees!$AD$6:$AD$205,MATCH($A67,Employees!$BG$6:$BG$205,0)))</f>
        <v/>
      </c>
      <c r="M67" s="11" t="str">
        <f aca="false">IF($A67="","",INDEX(Employees!$AF$6:$AF$205,MATCH($A67,Employees!$BG$6:$BG$205,0)))</f>
        <v/>
      </c>
      <c r="N67" s="11" t="str">
        <f aca="false">IF($A67="","",INDEX(Employees!$AM$6:$AM$205,MATCH($A67,Employees!$BG$6:$BG$205,0)))</f>
        <v/>
      </c>
    </row>
    <row r="68" customFormat="false" ht="15" hidden="false" customHeight="false" outlineLevel="0" collapsed="false">
      <c r="A68" s="11" t="str">
        <f aca="false">IF(63&lt;=MAX(Employees!$BG$6:$BG$205),63,"")</f>
        <v/>
      </c>
      <c r="B68" s="11" t="str">
        <f aca="false">IF($A68="","",INDEX(Employees!$A$6:$A$205,MATCH($A68,Employees!$BG$6:$BG$205,0)))</f>
        <v/>
      </c>
      <c r="C68" s="11" t="str">
        <f aca="false">IF($A68="","",INDEX(Employees!$B$6:$B$205,MATCH($A68,Employees!$BG$6:$BG$205,0)))</f>
        <v/>
      </c>
      <c r="D68" s="11" t="str">
        <f aca="false">IF($A68="","",INDEX(Employees!$C$6:$C$205,MATCH($A68,Employees!$BG$6:$BG$205,0)))</f>
        <v/>
      </c>
      <c r="E68" s="11" t="str">
        <f aca="false">IF($A68="","",INDEX(Employees!$D$6:$D$205,MATCH($A68,Employees!$BG$6:$BG$205,0)))</f>
        <v/>
      </c>
      <c r="F68" s="11" t="str">
        <f aca="false">IF($A68="","",INDEX(Employees!$T$6:$T$205,MATCH($A68,Employees!$BG$6:$BG$205,0)))</f>
        <v/>
      </c>
      <c r="G68" s="26" t="str">
        <f aca="false">IF($A68="","",INDEX(Employees!$U$6:$U$205,MATCH($A68,Employees!$BG$6:$BG$205,0)))</f>
        <v/>
      </c>
      <c r="H68" s="28" t="str">
        <f aca="false">IF($A68="","",INDEX(Employees!$E$6:$E$205,MATCH($A68,Employees!$BG$6:$BG$205,0)))</f>
        <v/>
      </c>
      <c r="I68" s="11" t="str">
        <f aca="false">IF($A68="","",INDEX(Employees!$Z$6:$Z$205,MATCH($A68,Employees!$BG$6:$BG$205,0)))</f>
        <v/>
      </c>
      <c r="J68" s="26" t="str">
        <f aca="false">IF($A68="","",INDEX(Employees!$AB$6:$AB$205,MATCH($A68,Employees!$BG$6:$BG$205,0)))</f>
        <v/>
      </c>
      <c r="K68" s="26" t="str">
        <f aca="false">IF($A68="","",INDEX(Employees!$AC$6:$AC$205,MATCH($A68,Employees!$BG$6:$BG$205,0)))</f>
        <v/>
      </c>
      <c r="L68" s="28" t="str">
        <f aca="false">IF($A68="","",INDEX(Employees!$AD$6:$AD$205,MATCH($A68,Employees!$BG$6:$BG$205,0)))</f>
        <v/>
      </c>
      <c r="M68" s="11" t="str">
        <f aca="false">IF($A68="","",INDEX(Employees!$AF$6:$AF$205,MATCH($A68,Employees!$BG$6:$BG$205,0)))</f>
        <v/>
      </c>
      <c r="N68" s="11" t="str">
        <f aca="false">IF($A68="","",INDEX(Employees!$AM$6:$AM$205,MATCH($A68,Employees!$BG$6:$BG$205,0)))</f>
        <v/>
      </c>
    </row>
    <row r="69" customFormat="false" ht="15" hidden="false" customHeight="false" outlineLevel="0" collapsed="false">
      <c r="A69" s="11" t="str">
        <f aca="false">IF(64&lt;=MAX(Employees!$BG$6:$BG$205),64,"")</f>
        <v/>
      </c>
      <c r="B69" s="11" t="str">
        <f aca="false">IF($A69="","",INDEX(Employees!$A$6:$A$205,MATCH($A69,Employees!$BG$6:$BG$205,0)))</f>
        <v/>
      </c>
      <c r="C69" s="11" t="str">
        <f aca="false">IF($A69="","",INDEX(Employees!$B$6:$B$205,MATCH($A69,Employees!$BG$6:$BG$205,0)))</f>
        <v/>
      </c>
      <c r="D69" s="11" t="str">
        <f aca="false">IF($A69="","",INDEX(Employees!$C$6:$C$205,MATCH($A69,Employees!$BG$6:$BG$205,0)))</f>
        <v/>
      </c>
      <c r="E69" s="11" t="str">
        <f aca="false">IF($A69="","",INDEX(Employees!$D$6:$D$205,MATCH($A69,Employees!$BG$6:$BG$205,0)))</f>
        <v/>
      </c>
      <c r="F69" s="11" t="str">
        <f aca="false">IF($A69="","",INDEX(Employees!$T$6:$T$205,MATCH($A69,Employees!$BG$6:$BG$205,0)))</f>
        <v/>
      </c>
      <c r="G69" s="26" t="str">
        <f aca="false">IF($A69="","",INDEX(Employees!$U$6:$U$205,MATCH($A69,Employees!$BG$6:$BG$205,0)))</f>
        <v/>
      </c>
      <c r="H69" s="28" t="str">
        <f aca="false">IF($A69="","",INDEX(Employees!$E$6:$E$205,MATCH($A69,Employees!$BG$6:$BG$205,0)))</f>
        <v/>
      </c>
      <c r="I69" s="11" t="str">
        <f aca="false">IF($A69="","",INDEX(Employees!$Z$6:$Z$205,MATCH($A69,Employees!$BG$6:$BG$205,0)))</f>
        <v/>
      </c>
      <c r="J69" s="26" t="str">
        <f aca="false">IF($A69="","",INDEX(Employees!$AB$6:$AB$205,MATCH($A69,Employees!$BG$6:$BG$205,0)))</f>
        <v/>
      </c>
      <c r="K69" s="26" t="str">
        <f aca="false">IF($A69="","",INDEX(Employees!$AC$6:$AC$205,MATCH($A69,Employees!$BG$6:$BG$205,0)))</f>
        <v/>
      </c>
      <c r="L69" s="28" t="str">
        <f aca="false">IF($A69="","",INDEX(Employees!$AD$6:$AD$205,MATCH($A69,Employees!$BG$6:$BG$205,0)))</f>
        <v/>
      </c>
      <c r="M69" s="11" t="str">
        <f aca="false">IF($A69="","",INDEX(Employees!$AF$6:$AF$205,MATCH($A69,Employees!$BG$6:$BG$205,0)))</f>
        <v/>
      </c>
      <c r="N69" s="11" t="str">
        <f aca="false">IF($A69="","",INDEX(Employees!$AM$6:$AM$205,MATCH($A69,Employees!$BG$6:$BG$205,0)))</f>
        <v/>
      </c>
    </row>
    <row r="70" customFormat="false" ht="15" hidden="false" customHeight="false" outlineLevel="0" collapsed="false">
      <c r="A70" s="11" t="str">
        <f aca="false">IF(65&lt;=MAX(Employees!$BG$6:$BG$205),65,"")</f>
        <v/>
      </c>
      <c r="B70" s="11" t="str">
        <f aca="false">IF($A70="","",INDEX(Employees!$A$6:$A$205,MATCH($A70,Employees!$BG$6:$BG$205,0)))</f>
        <v/>
      </c>
      <c r="C70" s="11" t="str">
        <f aca="false">IF($A70="","",INDEX(Employees!$B$6:$B$205,MATCH($A70,Employees!$BG$6:$BG$205,0)))</f>
        <v/>
      </c>
      <c r="D70" s="11" t="str">
        <f aca="false">IF($A70="","",INDEX(Employees!$C$6:$C$205,MATCH($A70,Employees!$BG$6:$BG$205,0)))</f>
        <v/>
      </c>
      <c r="E70" s="11" t="str">
        <f aca="false">IF($A70="","",INDEX(Employees!$D$6:$D$205,MATCH($A70,Employees!$BG$6:$BG$205,0)))</f>
        <v/>
      </c>
      <c r="F70" s="11" t="str">
        <f aca="false">IF($A70="","",INDEX(Employees!$T$6:$T$205,MATCH($A70,Employees!$BG$6:$BG$205,0)))</f>
        <v/>
      </c>
      <c r="G70" s="26" t="str">
        <f aca="false">IF($A70="","",INDEX(Employees!$U$6:$U$205,MATCH($A70,Employees!$BG$6:$BG$205,0)))</f>
        <v/>
      </c>
      <c r="H70" s="28" t="str">
        <f aca="false">IF($A70="","",INDEX(Employees!$E$6:$E$205,MATCH($A70,Employees!$BG$6:$BG$205,0)))</f>
        <v/>
      </c>
      <c r="I70" s="11" t="str">
        <f aca="false">IF($A70="","",INDEX(Employees!$Z$6:$Z$205,MATCH($A70,Employees!$BG$6:$BG$205,0)))</f>
        <v/>
      </c>
      <c r="J70" s="26" t="str">
        <f aca="false">IF($A70="","",INDEX(Employees!$AB$6:$AB$205,MATCH($A70,Employees!$BG$6:$BG$205,0)))</f>
        <v/>
      </c>
      <c r="K70" s="26" t="str">
        <f aca="false">IF($A70="","",INDEX(Employees!$AC$6:$AC$205,MATCH($A70,Employees!$BG$6:$BG$205,0)))</f>
        <v/>
      </c>
      <c r="L70" s="28" t="str">
        <f aca="false">IF($A70="","",INDEX(Employees!$AD$6:$AD$205,MATCH($A70,Employees!$BG$6:$BG$205,0)))</f>
        <v/>
      </c>
      <c r="M70" s="11" t="str">
        <f aca="false">IF($A70="","",INDEX(Employees!$AF$6:$AF$205,MATCH($A70,Employees!$BG$6:$BG$205,0)))</f>
        <v/>
      </c>
      <c r="N70" s="11" t="str">
        <f aca="false">IF($A70="","",INDEX(Employees!$AM$6:$AM$205,MATCH($A70,Employees!$BG$6:$BG$205,0)))</f>
        <v/>
      </c>
    </row>
    <row r="71" customFormat="false" ht="15" hidden="false" customHeight="false" outlineLevel="0" collapsed="false">
      <c r="A71" s="11" t="str">
        <f aca="false">IF(66&lt;=MAX(Employees!$BG$6:$BG$205),66,"")</f>
        <v/>
      </c>
      <c r="B71" s="11" t="str">
        <f aca="false">IF($A71="","",INDEX(Employees!$A$6:$A$205,MATCH($A71,Employees!$BG$6:$BG$205,0)))</f>
        <v/>
      </c>
      <c r="C71" s="11" t="str">
        <f aca="false">IF($A71="","",INDEX(Employees!$B$6:$B$205,MATCH($A71,Employees!$BG$6:$BG$205,0)))</f>
        <v/>
      </c>
      <c r="D71" s="11" t="str">
        <f aca="false">IF($A71="","",INDEX(Employees!$C$6:$C$205,MATCH($A71,Employees!$BG$6:$BG$205,0)))</f>
        <v/>
      </c>
      <c r="E71" s="11" t="str">
        <f aca="false">IF($A71="","",INDEX(Employees!$D$6:$D$205,MATCH($A71,Employees!$BG$6:$BG$205,0)))</f>
        <v/>
      </c>
      <c r="F71" s="11" t="str">
        <f aca="false">IF($A71="","",INDEX(Employees!$T$6:$T$205,MATCH($A71,Employees!$BG$6:$BG$205,0)))</f>
        <v/>
      </c>
      <c r="G71" s="26" t="str">
        <f aca="false">IF($A71="","",INDEX(Employees!$U$6:$U$205,MATCH($A71,Employees!$BG$6:$BG$205,0)))</f>
        <v/>
      </c>
      <c r="H71" s="28" t="str">
        <f aca="false">IF($A71="","",INDEX(Employees!$E$6:$E$205,MATCH($A71,Employees!$BG$6:$BG$205,0)))</f>
        <v/>
      </c>
      <c r="I71" s="11" t="str">
        <f aca="false">IF($A71="","",INDEX(Employees!$Z$6:$Z$205,MATCH($A71,Employees!$BG$6:$BG$205,0)))</f>
        <v/>
      </c>
      <c r="J71" s="26" t="str">
        <f aca="false">IF($A71="","",INDEX(Employees!$AB$6:$AB$205,MATCH($A71,Employees!$BG$6:$BG$205,0)))</f>
        <v/>
      </c>
      <c r="K71" s="26" t="str">
        <f aca="false">IF($A71="","",INDEX(Employees!$AC$6:$AC$205,MATCH($A71,Employees!$BG$6:$BG$205,0)))</f>
        <v/>
      </c>
      <c r="L71" s="28" t="str">
        <f aca="false">IF($A71="","",INDEX(Employees!$AD$6:$AD$205,MATCH($A71,Employees!$BG$6:$BG$205,0)))</f>
        <v/>
      </c>
      <c r="M71" s="11" t="str">
        <f aca="false">IF($A71="","",INDEX(Employees!$AF$6:$AF$205,MATCH($A71,Employees!$BG$6:$BG$205,0)))</f>
        <v/>
      </c>
      <c r="N71" s="11" t="str">
        <f aca="false">IF($A71="","",INDEX(Employees!$AM$6:$AM$205,MATCH($A71,Employees!$BG$6:$BG$205,0)))</f>
        <v/>
      </c>
    </row>
    <row r="72" customFormat="false" ht="15" hidden="false" customHeight="false" outlineLevel="0" collapsed="false">
      <c r="A72" s="11" t="str">
        <f aca="false">IF(67&lt;=MAX(Employees!$BG$6:$BG$205),67,"")</f>
        <v/>
      </c>
      <c r="B72" s="11" t="str">
        <f aca="false">IF($A72="","",INDEX(Employees!$A$6:$A$205,MATCH($A72,Employees!$BG$6:$BG$205,0)))</f>
        <v/>
      </c>
      <c r="C72" s="11" t="str">
        <f aca="false">IF($A72="","",INDEX(Employees!$B$6:$B$205,MATCH($A72,Employees!$BG$6:$BG$205,0)))</f>
        <v/>
      </c>
      <c r="D72" s="11" t="str">
        <f aca="false">IF($A72="","",INDEX(Employees!$C$6:$C$205,MATCH($A72,Employees!$BG$6:$BG$205,0)))</f>
        <v/>
      </c>
      <c r="E72" s="11" t="str">
        <f aca="false">IF($A72="","",INDEX(Employees!$D$6:$D$205,MATCH($A72,Employees!$BG$6:$BG$205,0)))</f>
        <v/>
      </c>
      <c r="F72" s="11" t="str">
        <f aca="false">IF($A72="","",INDEX(Employees!$T$6:$T$205,MATCH($A72,Employees!$BG$6:$BG$205,0)))</f>
        <v/>
      </c>
      <c r="G72" s="26" t="str">
        <f aca="false">IF($A72="","",INDEX(Employees!$U$6:$U$205,MATCH($A72,Employees!$BG$6:$BG$205,0)))</f>
        <v/>
      </c>
      <c r="H72" s="28" t="str">
        <f aca="false">IF($A72="","",INDEX(Employees!$E$6:$E$205,MATCH($A72,Employees!$BG$6:$BG$205,0)))</f>
        <v/>
      </c>
      <c r="I72" s="11" t="str">
        <f aca="false">IF($A72="","",INDEX(Employees!$Z$6:$Z$205,MATCH($A72,Employees!$BG$6:$BG$205,0)))</f>
        <v/>
      </c>
      <c r="J72" s="26" t="str">
        <f aca="false">IF($A72="","",INDEX(Employees!$AB$6:$AB$205,MATCH($A72,Employees!$BG$6:$BG$205,0)))</f>
        <v/>
      </c>
      <c r="K72" s="26" t="str">
        <f aca="false">IF($A72="","",INDEX(Employees!$AC$6:$AC$205,MATCH($A72,Employees!$BG$6:$BG$205,0)))</f>
        <v/>
      </c>
      <c r="L72" s="28" t="str">
        <f aca="false">IF($A72="","",INDEX(Employees!$AD$6:$AD$205,MATCH($A72,Employees!$BG$6:$BG$205,0)))</f>
        <v/>
      </c>
      <c r="M72" s="11" t="str">
        <f aca="false">IF($A72="","",INDEX(Employees!$AF$6:$AF$205,MATCH($A72,Employees!$BG$6:$BG$205,0)))</f>
        <v/>
      </c>
      <c r="N72" s="11" t="str">
        <f aca="false">IF($A72="","",INDEX(Employees!$AM$6:$AM$205,MATCH($A72,Employees!$BG$6:$BG$205,0)))</f>
        <v/>
      </c>
    </row>
    <row r="73" customFormat="false" ht="15" hidden="false" customHeight="false" outlineLevel="0" collapsed="false">
      <c r="A73" s="11" t="str">
        <f aca="false">IF(68&lt;=MAX(Employees!$BG$6:$BG$205),68,"")</f>
        <v/>
      </c>
      <c r="B73" s="11" t="str">
        <f aca="false">IF($A73="","",INDEX(Employees!$A$6:$A$205,MATCH($A73,Employees!$BG$6:$BG$205,0)))</f>
        <v/>
      </c>
      <c r="C73" s="11" t="str">
        <f aca="false">IF($A73="","",INDEX(Employees!$B$6:$B$205,MATCH($A73,Employees!$BG$6:$BG$205,0)))</f>
        <v/>
      </c>
      <c r="D73" s="11" t="str">
        <f aca="false">IF($A73="","",INDEX(Employees!$C$6:$C$205,MATCH($A73,Employees!$BG$6:$BG$205,0)))</f>
        <v/>
      </c>
      <c r="E73" s="11" t="str">
        <f aca="false">IF($A73="","",INDEX(Employees!$D$6:$D$205,MATCH($A73,Employees!$BG$6:$BG$205,0)))</f>
        <v/>
      </c>
      <c r="F73" s="11" t="str">
        <f aca="false">IF($A73="","",INDEX(Employees!$T$6:$T$205,MATCH($A73,Employees!$BG$6:$BG$205,0)))</f>
        <v/>
      </c>
      <c r="G73" s="26" t="str">
        <f aca="false">IF($A73="","",INDEX(Employees!$U$6:$U$205,MATCH($A73,Employees!$BG$6:$BG$205,0)))</f>
        <v/>
      </c>
      <c r="H73" s="28" t="str">
        <f aca="false">IF($A73="","",INDEX(Employees!$E$6:$E$205,MATCH($A73,Employees!$BG$6:$BG$205,0)))</f>
        <v/>
      </c>
      <c r="I73" s="11" t="str">
        <f aca="false">IF($A73="","",INDEX(Employees!$Z$6:$Z$205,MATCH($A73,Employees!$BG$6:$BG$205,0)))</f>
        <v/>
      </c>
      <c r="J73" s="26" t="str">
        <f aca="false">IF($A73="","",INDEX(Employees!$AB$6:$AB$205,MATCH($A73,Employees!$BG$6:$BG$205,0)))</f>
        <v/>
      </c>
      <c r="K73" s="26" t="str">
        <f aca="false">IF($A73="","",INDEX(Employees!$AC$6:$AC$205,MATCH($A73,Employees!$BG$6:$BG$205,0)))</f>
        <v/>
      </c>
      <c r="L73" s="28" t="str">
        <f aca="false">IF($A73="","",INDEX(Employees!$AD$6:$AD$205,MATCH($A73,Employees!$BG$6:$BG$205,0)))</f>
        <v/>
      </c>
      <c r="M73" s="11" t="str">
        <f aca="false">IF($A73="","",INDEX(Employees!$AF$6:$AF$205,MATCH($A73,Employees!$BG$6:$BG$205,0)))</f>
        <v/>
      </c>
      <c r="N73" s="11" t="str">
        <f aca="false">IF($A73="","",INDEX(Employees!$AM$6:$AM$205,MATCH($A73,Employees!$BG$6:$BG$205,0)))</f>
        <v/>
      </c>
    </row>
    <row r="74" customFormat="false" ht="15" hidden="false" customHeight="false" outlineLevel="0" collapsed="false">
      <c r="A74" s="11" t="str">
        <f aca="false">IF(69&lt;=MAX(Employees!$BG$6:$BG$205),69,"")</f>
        <v/>
      </c>
      <c r="B74" s="11" t="str">
        <f aca="false">IF($A74="","",INDEX(Employees!$A$6:$A$205,MATCH($A74,Employees!$BG$6:$BG$205,0)))</f>
        <v/>
      </c>
      <c r="C74" s="11" t="str">
        <f aca="false">IF($A74="","",INDEX(Employees!$B$6:$B$205,MATCH($A74,Employees!$BG$6:$BG$205,0)))</f>
        <v/>
      </c>
      <c r="D74" s="11" t="str">
        <f aca="false">IF($A74="","",INDEX(Employees!$C$6:$C$205,MATCH($A74,Employees!$BG$6:$BG$205,0)))</f>
        <v/>
      </c>
      <c r="E74" s="11" t="str">
        <f aca="false">IF($A74="","",INDEX(Employees!$D$6:$D$205,MATCH($A74,Employees!$BG$6:$BG$205,0)))</f>
        <v/>
      </c>
      <c r="F74" s="11" t="str">
        <f aca="false">IF($A74="","",INDEX(Employees!$T$6:$T$205,MATCH($A74,Employees!$BG$6:$BG$205,0)))</f>
        <v/>
      </c>
      <c r="G74" s="26" t="str">
        <f aca="false">IF($A74="","",INDEX(Employees!$U$6:$U$205,MATCH($A74,Employees!$BG$6:$BG$205,0)))</f>
        <v/>
      </c>
      <c r="H74" s="28" t="str">
        <f aca="false">IF($A74="","",INDEX(Employees!$E$6:$E$205,MATCH($A74,Employees!$BG$6:$BG$205,0)))</f>
        <v/>
      </c>
      <c r="I74" s="11" t="str">
        <f aca="false">IF($A74="","",INDEX(Employees!$Z$6:$Z$205,MATCH($A74,Employees!$BG$6:$BG$205,0)))</f>
        <v/>
      </c>
      <c r="J74" s="26" t="str">
        <f aca="false">IF($A74="","",INDEX(Employees!$AB$6:$AB$205,MATCH($A74,Employees!$BG$6:$BG$205,0)))</f>
        <v/>
      </c>
      <c r="K74" s="26" t="str">
        <f aca="false">IF($A74="","",INDEX(Employees!$AC$6:$AC$205,MATCH($A74,Employees!$BG$6:$BG$205,0)))</f>
        <v/>
      </c>
      <c r="L74" s="28" t="str">
        <f aca="false">IF($A74="","",INDEX(Employees!$AD$6:$AD$205,MATCH($A74,Employees!$BG$6:$BG$205,0)))</f>
        <v/>
      </c>
      <c r="M74" s="11" t="str">
        <f aca="false">IF($A74="","",INDEX(Employees!$AF$6:$AF$205,MATCH($A74,Employees!$BG$6:$BG$205,0)))</f>
        <v/>
      </c>
      <c r="N74" s="11" t="str">
        <f aca="false">IF($A74="","",INDEX(Employees!$AM$6:$AM$205,MATCH($A74,Employees!$BG$6:$BG$205,0)))</f>
        <v/>
      </c>
    </row>
    <row r="75" customFormat="false" ht="15" hidden="false" customHeight="false" outlineLevel="0" collapsed="false">
      <c r="A75" s="11" t="str">
        <f aca="false">IF(70&lt;=MAX(Employees!$BG$6:$BG$205),70,"")</f>
        <v/>
      </c>
      <c r="B75" s="11" t="str">
        <f aca="false">IF($A75="","",INDEX(Employees!$A$6:$A$205,MATCH($A75,Employees!$BG$6:$BG$205,0)))</f>
        <v/>
      </c>
      <c r="C75" s="11" t="str">
        <f aca="false">IF($A75="","",INDEX(Employees!$B$6:$B$205,MATCH($A75,Employees!$BG$6:$BG$205,0)))</f>
        <v/>
      </c>
      <c r="D75" s="11" t="str">
        <f aca="false">IF($A75="","",INDEX(Employees!$C$6:$C$205,MATCH($A75,Employees!$BG$6:$BG$205,0)))</f>
        <v/>
      </c>
      <c r="E75" s="11" t="str">
        <f aca="false">IF($A75="","",INDEX(Employees!$D$6:$D$205,MATCH($A75,Employees!$BG$6:$BG$205,0)))</f>
        <v/>
      </c>
      <c r="F75" s="11" t="str">
        <f aca="false">IF($A75="","",INDEX(Employees!$T$6:$T$205,MATCH($A75,Employees!$BG$6:$BG$205,0)))</f>
        <v/>
      </c>
      <c r="G75" s="26" t="str">
        <f aca="false">IF($A75="","",INDEX(Employees!$U$6:$U$205,MATCH($A75,Employees!$BG$6:$BG$205,0)))</f>
        <v/>
      </c>
      <c r="H75" s="28" t="str">
        <f aca="false">IF($A75="","",INDEX(Employees!$E$6:$E$205,MATCH($A75,Employees!$BG$6:$BG$205,0)))</f>
        <v/>
      </c>
      <c r="I75" s="11" t="str">
        <f aca="false">IF($A75="","",INDEX(Employees!$Z$6:$Z$205,MATCH($A75,Employees!$BG$6:$BG$205,0)))</f>
        <v/>
      </c>
      <c r="J75" s="26" t="str">
        <f aca="false">IF($A75="","",INDEX(Employees!$AB$6:$AB$205,MATCH($A75,Employees!$BG$6:$BG$205,0)))</f>
        <v/>
      </c>
      <c r="K75" s="26" t="str">
        <f aca="false">IF($A75="","",INDEX(Employees!$AC$6:$AC$205,MATCH($A75,Employees!$BG$6:$BG$205,0)))</f>
        <v/>
      </c>
      <c r="L75" s="28" t="str">
        <f aca="false">IF($A75="","",INDEX(Employees!$AD$6:$AD$205,MATCH($A75,Employees!$BG$6:$BG$205,0)))</f>
        <v/>
      </c>
      <c r="M75" s="11" t="str">
        <f aca="false">IF($A75="","",INDEX(Employees!$AF$6:$AF$205,MATCH($A75,Employees!$BG$6:$BG$205,0)))</f>
        <v/>
      </c>
      <c r="N75" s="11" t="str">
        <f aca="false">IF($A75="","",INDEX(Employees!$AM$6:$AM$205,MATCH($A75,Employees!$BG$6:$BG$205,0)))</f>
        <v/>
      </c>
    </row>
    <row r="76" customFormat="false" ht="15" hidden="false" customHeight="false" outlineLevel="0" collapsed="false">
      <c r="A76" s="11" t="str">
        <f aca="false">IF(71&lt;=MAX(Employees!$BG$6:$BG$205),71,"")</f>
        <v/>
      </c>
      <c r="B76" s="11" t="str">
        <f aca="false">IF($A76="","",INDEX(Employees!$A$6:$A$205,MATCH($A76,Employees!$BG$6:$BG$205,0)))</f>
        <v/>
      </c>
      <c r="C76" s="11" t="str">
        <f aca="false">IF($A76="","",INDEX(Employees!$B$6:$B$205,MATCH($A76,Employees!$BG$6:$BG$205,0)))</f>
        <v/>
      </c>
      <c r="D76" s="11" t="str">
        <f aca="false">IF($A76="","",INDEX(Employees!$C$6:$C$205,MATCH($A76,Employees!$BG$6:$BG$205,0)))</f>
        <v/>
      </c>
      <c r="E76" s="11" t="str">
        <f aca="false">IF($A76="","",INDEX(Employees!$D$6:$D$205,MATCH($A76,Employees!$BG$6:$BG$205,0)))</f>
        <v/>
      </c>
      <c r="F76" s="11" t="str">
        <f aca="false">IF($A76="","",INDEX(Employees!$T$6:$T$205,MATCH($A76,Employees!$BG$6:$BG$205,0)))</f>
        <v/>
      </c>
      <c r="G76" s="26" t="str">
        <f aca="false">IF($A76="","",INDEX(Employees!$U$6:$U$205,MATCH($A76,Employees!$BG$6:$BG$205,0)))</f>
        <v/>
      </c>
      <c r="H76" s="28" t="str">
        <f aca="false">IF($A76="","",INDEX(Employees!$E$6:$E$205,MATCH($A76,Employees!$BG$6:$BG$205,0)))</f>
        <v/>
      </c>
      <c r="I76" s="11" t="str">
        <f aca="false">IF($A76="","",INDEX(Employees!$Z$6:$Z$205,MATCH($A76,Employees!$BG$6:$BG$205,0)))</f>
        <v/>
      </c>
      <c r="J76" s="26" t="str">
        <f aca="false">IF($A76="","",INDEX(Employees!$AB$6:$AB$205,MATCH($A76,Employees!$BG$6:$BG$205,0)))</f>
        <v/>
      </c>
      <c r="K76" s="26" t="str">
        <f aca="false">IF($A76="","",INDEX(Employees!$AC$6:$AC$205,MATCH($A76,Employees!$BG$6:$BG$205,0)))</f>
        <v/>
      </c>
      <c r="L76" s="28" t="str">
        <f aca="false">IF($A76="","",INDEX(Employees!$AD$6:$AD$205,MATCH($A76,Employees!$BG$6:$BG$205,0)))</f>
        <v/>
      </c>
      <c r="M76" s="11" t="str">
        <f aca="false">IF($A76="","",INDEX(Employees!$AF$6:$AF$205,MATCH($A76,Employees!$BG$6:$BG$205,0)))</f>
        <v/>
      </c>
      <c r="N76" s="11" t="str">
        <f aca="false">IF($A76="","",INDEX(Employees!$AM$6:$AM$205,MATCH($A76,Employees!$BG$6:$BG$205,0)))</f>
        <v/>
      </c>
    </row>
    <row r="77" customFormat="false" ht="15" hidden="false" customHeight="false" outlineLevel="0" collapsed="false">
      <c r="A77" s="11" t="str">
        <f aca="false">IF(72&lt;=MAX(Employees!$BG$6:$BG$205),72,"")</f>
        <v/>
      </c>
      <c r="B77" s="11" t="str">
        <f aca="false">IF($A77="","",INDEX(Employees!$A$6:$A$205,MATCH($A77,Employees!$BG$6:$BG$205,0)))</f>
        <v/>
      </c>
      <c r="C77" s="11" t="str">
        <f aca="false">IF($A77="","",INDEX(Employees!$B$6:$B$205,MATCH($A77,Employees!$BG$6:$BG$205,0)))</f>
        <v/>
      </c>
      <c r="D77" s="11" t="str">
        <f aca="false">IF($A77="","",INDEX(Employees!$C$6:$C$205,MATCH($A77,Employees!$BG$6:$BG$205,0)))</f>
        <v/>
      </c>
      <c r="E77" s="11" t="str">
        <f aca="false">IF($A77="","",INDEX(Employees!$D$6:$D$205,MATCH($A77,Employees!$BG$6:$BG$205,0)))</f>
        <v/>
      </c>
      <c r="F77" s="11" t="str">
        <f aca="false">IF($A77="","",INDEX(Employees!$T$6:$T$205,MATCH($A77,Employees!$BG$6:$BG$205,0)))</f>
        <v/>
      </c>
      <c r="G77" s="26" t="str">
        <f aca="false">IF($A77="","",INDEX(Employees!$U$6:$U$205,MATCH($A77,Employees!$BG$6:$BG$205,0)))</f>
        <v/>
      </c>
      <c r="H77" s="28" t="str">
        <f aca="false">IF($A77="","",INDEX(Employees!$E$6:$E$205,MATCH($A77,Employees!$BG$6:$BG$205,0)))</f>
        <v/>
      </c>
      <c r="I77" s="11" t="str">
        <f aca="false">IF($A77="","",INDEX(Employees!$Z$6:$Z$205,MATCH($A77,Employees!$BG$6:$BG$205,0)))</f>
        <v/>
      </c>
      <c r="J77" s="26" t="str">
        <f aca="false">IF($A77="","",INDEX(Employees!$AB$6:$AB$205,MATCH($A77,Employees!$BG$6:$BG$205,0)))</f>
        <v/>
      </c>
      <c r="K77" s="26" t="str">
        <f aca="false">IF($A77="","",INDEX(Employees!$AC$6:$AC$205,MATCH($A77,Employees!$BG$6:$BG$205,0)))</f>
        <v/>
      </c>
      <c r="L77" s="28" t="str">
        <f aca="false">IF($A77="","",INDEX(Employees!$AD$6:$AD$205,MATCH($A77,Employees!$BG$6:$BG$205,0)))</f>
        <v/>
      </c>
      <c r="M77" s="11" t="str">
        <f aca="false">IF($A77="","",INDEX(Employees!$AF$6:$AF$205,MATCH($A77,Employees!$BG$6:$BG$205,0)))</f>
        <v/>
      </c>
      <c r="N77" s="11" t="str">
        <f aca="false">IF($A77="","",INDEX(Employees!$AM$6:$AM$205,MATCH($A77,Employees!$BG$6:$BG$205,0)))</f>
        <v/>
      </c>
    </row>
    <row r="78" customFormat="false" ht="15" hidden="false" customHeight="false" outlineLevel="0" collapsed="false">
      <c r="A78" s="11" t="str">
        <f aca="false">IF(73&lt;=MAX(Employees!$BG$6:$BG$205),73,"")</f>
        <v/>
      </c>
      <c r="B78" s="11" t="str">
        <f aca="false">IF($A78="","",INDEX(Employees!$A$6:$A$205,MATCH($A78,Employees!$BG$6:$BG$205,0)))</f>
        <v/>
      </c>
      <c r="C78" s="11" t="str">
        <f aca="false">IF($A78="","",INDEX(Employees!$B$6:$B$205,MATCH($A78,Employees!$BG$6:$BG$205,0)))</f>
        <v/>
      </c>
      <c r="D78" s="11" t="str">
        <f aca="false">IF($A78="","",INDEX(Employees!$C$6:$C$205,MATCH($A78,Employees!$BG$6:$BG$205,0)))</f>
        <v/>
      </c>
      <c r="E78" s="11" t="str">
        <f aca="false">IF($A78="","",INDEX(Employees!$D$6:$D$205,MATCH($A78,Employees!$BG$6:$BG$205,0)))</f>
        <v/>
      </c>
      <c r="F78" s="11" t="str">
        <f aca="false">IF($A78="","",INDEX(Employees!$T$6:$T$205,MATCH($A78,Employees!$BG$6:$BG$205,0)))</f>
        <v/>
      </c>
      <c r="G78" s="26" t="str">
        <f aca="false">IF($A78="","",INDEX(Employees!$U$6:$U$205,MATCH($A78,Employees!$BG$6:$BG$205,0)))</f>
        <v/>
      </c>
      <c r="H78" s="28" t="str">
        <f aca="false">IF($A78="","",INDEX(Employees!$E$6:$E$205,MATCH($A78,Employees!$BG$6:$BG$205,0)))</f>
        <v/>
      </c>
      <c r="I78" s="11" t="str">
        <f aca="false">IF($A78="","",INDEX(Employees!$Z$6:$Z$205,MATCH($A78,Employees!$BG$6:$BG$205,0)))</f>
        <v/>
      </c>
      <c r="J78" s="26" t="str">
        <f aca="false">IF($A78="","",INDEX(Employees!$AB$6:$AB$205,MATCH($A78,Employees!$BG$6:$BG$205,0)))</f>
        <v/>
      </c>
      <c r="K78" s="26" t="str">
        <f aca="false">IF($A78="","",INDEX(Employees!$AC$6:$AC$205,MATCH($A78,Employees!$BG$6:$BG$205,0)))</f>
        <v/>
      </c>
      <c r="L78" s="28" t="str">
        <f aca="false">IF($A78="","",INDEX(Employees!$AD$6:$AD$205,MATCH($A78,Employees!$BG$6:$BG$205,0)))</f>
        <v/>
      </c>
      <c r="M78" s="11" t="str">
        <f aca="false">IF($A78="","",INDEX(Employees!$AF$6:$AF$205,MATCH($A78,Employees!$BG$6:$BG$205,0)))</f>
        <v/>
      </c>
      <c r="N78" s="11" t="str">
        <f aca="false">IF($A78="","",INDEX(Employees!$AM$6:$AM$205,MATCH($A78,Employees!$BG$6:$BG$205,0)))</f>
        <v/>
      </c>
    </row>
    <row r="79" customFormat="false" ht="15" hidden="false" customHeight="false" outlineLevel="0" collapsed="false">
      <c r="A79" s="11" t="str">
        <f aca="false">IF(74&lt;=MAX(Employees!$BG$6:$BG$205),74,"")</f>
        <v/>
      </c>
      <c r="B79" s="11" t="str">
        <f aca="false">IF($A79="","",INDEX(Employees!$A$6:$A$205,MATCH($A79,Employees!$BG$6:$BG$205,0)))</f>
        <v/>
      </c>
      <c r="C79" s="11" t="str">
        <f aca="false">IF($A79="","",INDEX(Employees!$B$6:$B$205,MATCH($A79,Employees!$BG$6:$BG$205,0)))</f>
        <v/>
      </c>
      <c r="D79" s="11" t="str">
        <f aca="false">IF($A79="","",INDEX(Employees!$C$6:$C$205,MATCH($A79,Employees!$BG$6:$BG$205,0)))</f>
        <v/>
      </c>
      <c r="E79" s="11" t="str">
        <f aca="false">IF($A79="","",INDEX(Employees!$D$6:$D$205,MATCH($A79,Employees!$BG$6:$BG$205,0)))</f>
        <v/>
      </c>
      <c r="F79" s="11" t="str">
        <f aca="false">IF($A79="","",INDEX(Employees!$T$6:$T$205,MATCH($A79,Employees!$BG$6:$BG$205,0)))</f>
        <v/>
      </c>
      <c r="G79" s="26" t="str">
        <f aca="false">IF($A79="","",INDEX(Employees!$U$6:$U$205,MATCH($A79,Employees!$BG$6:$BG$205,0)))</f>
        <v/>
      </c>
      <c r="H79" s="28" t="str">
        <f aca="false">IF($A79="","",INDEX(Employees!$E$6:$E$205,MATCH($A79,Employees!$BG$6:$BG$205,0)))</f>
        <v/>
      </c>
      <c r="I79" s="11" t="str">
        <f aca="false">IF($A79="","",INDEX(Employees!$Z$6:$Z$205,MATCH($A79,Employees!$BG$6:$BG$205,0)))</f>
        <v/>
      </c>
      <c r="J79" s="26" t="str">
        <f aca="false">IF($A79="","",INDEX(Employees!$AB$6:$AB$205,MATCH($A79,Employees!$BG$6:$BG$205,0)))</f>
        <v/>
      </c>
      <c r="K79" s="26" t="str">
        <f aca="false">IF($A79="","",INDEX(Employees!$AC$6:$AC$205,MATCH($A79,Employees!$BG$6:$BG$205,0)))</f>
        <v/>
      </c>
      <c r="L79" s="28" t="str">
        <f aca="false">IF($A79="","",INDEX(Employees!$AD$6:$AD$205,MATCH($A79,Employees!$BG$6:$BG$205,0)))</f>
        <v/>
      </c>
      <c r="M79" s="11" t="str">
        <f aca="false">IF($A79="","",INDEX(Employees!$AF$6:$AF$205,MATCH($A79,Employees!$BG$6:$BG$205,0)))</f>
        <v/>
      </c>
      <c r="N79" s="11" t="str">
        <f aca="false">IF($A79="","",INDEX(Employees!$AM$6:$AM$205,MATCH($A79,Employees!$BG$6:$BG$205,0)))</f>
        <v/>
      </c>
    </row>
    <row r="80" customFormat="false" ht="15" hidden="false" customHeight="false" outlineLevel="0" collapsed="false">
      <c r="A80" s="11" t="str">
        <f aca="false">IF(75&lt;=MAX(Employees!$BG$6:$BG$205),75,"")</f>
        <v/>
      </c>
      <c r="B80" s="11" t="str">
        <f aca="false">IF($A80="","",INDEX(Employees!$A$6:$A$205,MATCH($A80,Employees!$BG$6:$BG$205,0)))</f>
        <v/>
      </c>
      <c r="C80" s="11" t="str">
        <f aca="false">IF($A80="","",INDEX(Employees!$B$6:$B$205,MATCH($A80,Employees!$BG$6:$BG$205,0)))</f>
        <v/>
      </c>
      <c r="D80" s="11" t="str">
        <f aca="false">IF($A80="","",INDEX(Employees!$C$6:$C$205,MATCH($A80,Employees!$BG$6:$BG$205,0)))</f>
        <v/>
      </c>
      <c r="E80" s="11" t="str">
        <f aca="false">IF($A80="","",INDEX(Employees!$D$6:$D$205,MATCH($A80,Employees!$BG$6:$BG$205,0)))</f>
        <v/>
      </c>
      <c r="F80" s="11" t="str">
        <f aca="false">IF($A80="","",INDEX(Employees!$T$6:$T$205,MATCH($A80,Employees!$BG$6:$BG$205,0)))</f>
        <v/>
      </c>
      <c r="G80" s="26" t="str">
        <f aca="false">IF($A80="","",INDEX(Employees!$U$6:$U$205,MATCH($A80,Employees!$BG$6:$BG$205,0)))</f>
        <v/>
      </c>
      <c r="H80" s="28" t="str">
        <f aca="false">IF($A80="","",INDEX(Employees!$E$6:$E$205,MATCH($A80,Employees!$BG$6:$BG$205,0)))</f>
        <v/>
      </c>
      <c r="I80" s="11" t="str">
        <f aca="false">IF($A80="","",INDEX(Employees!$Z$6:$Z$205,MATCH($A80,Employees!$BG$6:$BG$205,0)))</f>
        <v/>
      </c>
      <c r="J80" s="26" t="str">
        <f aca="false">IF($A80="","",INDEX(Employees!$AB$6:$AB$205,MATCH($A80,Employees!$BG$6:$BG$205,0)))</f>
        <v/>
      </c>
      <c r="K80" s="26" t="str">
        <f aca="false">IF($A80="","",INDEX(Employees!$AC$6:$AC$205,MATCH($A80,Employees!$BG$6:$BG$205,0)))</f>
        <v/>
      </c>
      <c r="L80" s="28" t="str">
        <f aca="false">IF($A80="","",INDEX(Employees!$AD$6:$AD$205,MATCH($A80,Employees!$BG$6:$BG$205,0)))</f>
        <v/>
      </c>
      <c r="M80" s="11" t="str">
        <f aca="false">IF($A80="","",INDEX(Employees!$AF$6:$AF$205,MATCH($A80,Employees!$BG$6:$BG$205,0)))</f>
        <v/>
      </c>
      <c r="N80" s="11" t="str">
        <f aca="false">IF($A80="","",INDEX(Employees!$AM$6:$AM$205,MATCH($A80,Employees!$BG$6:$BG$205,0)))</f>
        <v/>
      </c>
    </row>
    <row r="81" customFormat="false" ht="15" hidden="false" customHeight="false" outlineLevel="0" collapsed="false">
      <c r="A81" s="11" t="str">
        <f aca="false">IF(76&lt;=MAX(Employees!$BG$6:$BG$205),76,"")</f>
        <v/>
      </c>
      <c r="B81" s="11" t="str">
        <f aca="false">IF($A81="","",INDEX(Employees!$A$6:$A$205,MATCH($A81,Employees!$BG$6:$BG$205,0)))</f>
        <v/>
      </c>
      <c r="C81" s="11" t="str">
        <f aca="false">IF($A81="","",INDEX(Employees!$B$6:$B$205,MATCH($A81,Employees!$BG$6:$BG$205,0)))</f>
        <v/>
      </c>
      <c r="D81" s="11" t="str">
        <f aca="false">IF($A81="","",INDEX(Employees!$C$6:$C$205,MATCH($A81,Employees!$BG$6:$BG$205,0)))</f>
        <v/>
      </c>
      <c r="E81" s="11" t="str">
        <f aca="false">IF($A81="","",INDEX(Employees!$D$6:$D$205,MATCH($A81,Employees!$BG$6:$BG$205,0)))</f>
        <v/>
      </c>
      <c r="F81" s="11" t="str">
        <f aca="false">IF($A81="","",INDEX(Employees!$T$6:$T$205,MATCH($A81,Employees!$BG$6:$BG$205,0)))</f>
        <v/>
      </c>
      <c r="G81" s="26" t="str">
        <f aca="false">IF($A81="","",INDEX(Employees!$U$6:$U$205,MATCH($A81,Employees!$BG$6:$BG$205,0)))</f>
        <v/>
      </c>
      <c r="H81" s="28" t="str">
        <f aca="false">IF($A81="","",INDEX(Employees!$E$6:$E$205,MATCH($A81,Employees!$BG$6:$BG$205,0)))</f>
        <v/>
      </c>
      <c r="I81" s="11" t="str">
        <f aca="false">IF($A81="","",INDEX(Employees!$Z$6:$Z$205,MATCH($A81,Employees!$BG$6:$BG$205,0)))</f>
        <v/>
      </c>
      <c r="J81" s="26" t="str">
        <f aca="false">IF($A81="","",INDEX(Employees!$AB$6:$AB$205,MATCH($A81,Employees!$BG$6:$BG$205,0)))</f>
        <v/>
      </c>
      <c r="K81" s="26" t="str">
        <f aca="false">IF($A81="","",INDEX(Employees!$AC$6:$AC$205,MATCH($A81,Employees!$BG$6:$BG$205,0)))</f>
        <v/>
      </c>
      <c r="L81" s="28" t="str">
        <f aca="false">IF($A81="","",INDEX(Employees!$AD$6:$AD$205,MATCH($A81,Employees!$BG$6:$BG$205,0)))</f>
        <v/>
      </c>
      <c r="M81" s="11" t="str">
        <f aca="false">IF($A81="","",INDEX(Employees!$AF$6:$AF$205,MATCH($A81,Employees!$BG$6:$BG$205,0)))</f>
        <v/>
      </c>
      <c r="N81" s="11" t="str">
        <f aca="false">IF($A81="","",INDEX(Employees!$AM$6:$AM$205,MATCH($A81,Employees!$BG$6:$BG$205,0)))</f>
        <v/>
      </c>
    </row>
    <row r="82" customFormat="false" ht="15" hidden="false" customHeight="false" outlineLevel="0" collapsed="false">
      <c r="A82" s="11" t="str">
        <f aca="false">IF(77&lt;=MAX(Employees!$BG$6:$BG$205),77,"")</f>
        <v/>
      </c>
      <c r="B82" s="11" t="str">
        <f aca="false">IF($A82="","",INDEX(Employees!$A$6:$A$205,MATCH($A82,Employees!$BG$6:$BG$205,0)))</f>
        <v/>
      </c>
      <c r="C82" s="11" t="str">
        <f aca="false">IF($A82="","",INDEX(Employees!$B$6:$B$205,MATCH($A82,Employees!$BG$6:$BG$205,0)))</f>
        <v/>
      </c>
      <c r="D82" s="11" t="str">
        <f aca="false">IF($A82="","",INDEX(Employees!$C$6:$C$205,MATCH($A82,Employees!$BG$6:$BG$205,0)))</f>
        <v/>
      </c>
      <c r="E82" s="11" t="str">
        <f aca="false">IF($A82="","",INDEX(Employees!$D$6:$D$205,MATCH($A82,Employees!$BG$6:$BG$205,0)))</f>
        <v/>
      </c>
      <c r="F82" s="11" t="str">
        <f aca="false">IF($A82="","",INDEX(Employees!$T$6:$T$205,MATCH($A82,Employees!$BG$6:$BG$205,0)))</f>
        <v/>
      </c>
      <c r="G82" s="26" t="str">
        <f aca="false">IF($A82="","",INDEX(Employees!$U$6:$U$205,MATCH($A82,Employees!$BG$6:$BG$205,0)))</f>
        <v/>
      </c>
      <c r="H82" s="28" t="str">
        <f aca="false">IF($A82="","",INDEX(Employees!$E$6:$E$205,MATCH($A82,Employees!$BG$6:$BG$205,0)))</f>
        <v/>
      </c>
      <c r="I82" s="11" t="str">
        <f aca="false">IF($A82="","",INDEX(Employees!$Z$6:$Z$205,MATCH($A82,Employees!$BG$6:$BG$205,0)))</f>
        <v/>
      </c>
      <c r="J82" s="26" t="str">
        <f aca="false">IF($A82="","",INDEX(Employees!$AB$6:$AB$205,MATCH($A82,Employees!$BG$6:$BG$205,0)))</f>
        <v/>
      </c>
      <c r="K82" s="26" t="str">
        <f aca="false">IF($A82="","",INDEX(Employees!$AC$6:$AC$205,MATCH($A82,Employees!$BG$6:$BG$205,0)))</f>
        <v/>
      </c>
      <c r="L82" s="28" t="str">
        <f aca="false">IF($A82="","",INDEX(Employees!$AD$6:$AD$205,MATCH($A82,Employees!$BG$6:$BG$205,0)))</f>
        <v/>
      </c>
      <c r="M82" s="11" t="str">
        <f aca="false">IF($A82="","",INDEX(Employees!$AF$6:$AF$205,MATCH($A82,Employees!$BG$6:$BG$205,0)))</f>
        <v/>
      </c>
      <c r="N82" s="11" t="str">
        <f aca="false">IF($A82="","",INDEX(Employees!$AM$6:$AM$205,MATCH($A82,Employees!$BG$6:$BG$205,0)))</f>
        <v/>
      </c>
    </row>
    <row r="83" customFormat="false" ht="15" hidden="false" customHeight="false" outlineLevel="0" collapsed="false">
      <c r="A83" s="11" t="str">
        <f aca="false">IF(78&lt;=MAX(Employees!$BG$6:$BG$205),78,"")</f>
        <v/>
      </c>
      <c r="B83" s="11" t="str">
        <f aca="false">IF($A83="","",INDEX(Employees!$A$6:$A$205,MATCH($A83,Employees!$BG$6:$BG$205,0)))</f>
        <v/>
      </c>
      <c r="C83" s="11" t="str">
        <f aca="false">IF($A83="","",INDEX(Employees!$B$6:$B$205,MATCH($A83,Employees!$BG$6:$BG$205,0)))</f>
        <v/>
      </c>
      <c r="D83" s="11" t="str">
        <f aca="false">IF($A83="","",INDEX(Employees!$C$6:$C$205,MATCH($A83,Employees!$BG$6:$BG$205,0)))</f>
        <v/>
      </c>
      <c r="E83" s="11" t="str">
        <f aca="false">IF($A83="","",INDEX(Employees!$D$6:$D$205,MATCH($A83,Employees!$BG$6:$BG$205,0)))</f>
        <v/>
      </c>
      <c r="F83" s="11" t="str">
        <f aca="false">IF($A83="","",INDEX(Employees!$T$6:$T$205,MATCH($A83,Employees!$BG$6:$BG$205,0)))</f>
        <v/>
      </c>
      <c r="G83" s="26" t="str">
        <f aca="false">IF($A83="","",INDEX(Employees!$U$6:$U$205,MATCH($A83,Employees!$BG$6:$BG$205,0)))</f>
        <v/>
      </c>
      <c r="H83" s="28" t="str">
        <f aca="false">IF($A83="","",INDEX(Employees!$E$6:$E$205,MATCH($A83,Employees!$BG$6:$BG$205,0)))</f>
        <v/>
      </c>
      <c r="I83" s="11" t="str">
        <f aca="false">IF($A83="","",INDEX(Employees!$Z$6:$Z$205,MATCH($A83,Employees!$BG$6:$BG$205,0)))</f>
        <v/>
      </c>
      <c r="J83" s="26" t="str">
        <f aca="false">IF($A83="","",INDEX(Employees!$AB$6:$AB$205,MATCH($A83,Employees!$BG$6:$BG$205,0)))</f>
        <v/>
      </c>
      <c r="K83" s="26" t="str">
        <f aca="false">IF($A83="","",INDEX(Employees!$AC$6:$AC$205,MATCH($A83,Employees!$BG$6:$BG$205,0)))</f>
        <v/>
      </c>
      <c r="L83" s="28" t="str">
        <f aca="false">IF($A83="","",INDEX(Employees!$AD$6:$AD$205,MATCH($A83,Employees!$BG$6:$BG$205,0)))</f>
        <v/>
      </c>
      <c r="M83" s="11" t="str">
        <f aca="false">IF($A83="","",INDEX(Employees!$AF$6:$AF$205,MATCH($A83,Employees!$BG$6:$BG$205,0)))</f>
        <v/>
      </c>
      <c r="N83" s="11" t="str">
        <f aca="false">IF($A83="","",INDEX(Employees!$AM$6:$AM$205,MATCH($A83,Employees!$BG$6:$BG$205,0)))</f>
        <v/>
      </c>
    </row>
    <row r="84" customFormat="false" ht="15" hidden="false" customHeight="false" outlineLevel="0" collapsed="false">
      <c r="A84" s="11" t="str">
        <f aca="false">IF(79&lt;=MAX(Employees!$BG$6:$BG$205),79,"")</f>
        <v/>
      </c>
      <c r="B84" s="11" t="str">
        <f aca="false">IF($A84="","",INDEX(Employees!$A$6:$A$205,MATCH($A84,Employees!$BG$6:$BG$205,0)))</f>
        <v/>
      </c>
      <c r="C84" s="11" t="str">
        <f aca="false">IF($A84="","",INDEX(Employees!$B$6:$B$205,MATCH($A84,Employees!$BG$6:$BG$205,0)))</f>
        <v/>
      </c>
      <c r="D84" s="11" t="str">
        <f aca="false">IF($A84="","",INDEX(Employees!$C$6:$C$205,MATCH($A84,Employees!$BG$6:$BG$205,0)))</f>
        <v/>
      </c>
      <c r="E84" s="11" t="str">
        <f aca="false">IF($A84="","",INDEX(Employees!$D$6:$D$205,MATCH($A84,Employees!$BG$6:$BG$205,0)))</f>
        <v/>
      </c>
      <c r="F84" s="11" t="str">
        <f aca="false">IF($A84="","",INDEX(Employees!$T$6:$T$205,MATCH($A84,Employees!$BG$6:$BG$205,0)))</f>
        <v/>
      </c>
      <c r="G84" s="26" t="str">
        <f aca="false">IF($A84="","",INDEX(Employees!$U$6:$U$205,MATCH($A84,Employees!$BG$6:$BG$205,0)))</f>
        <v/>
      </c>
      <c r="H84" s="28" t="str">
        <f aca="false">IF($A84="","",INDEX(Employees!$E$6:$E$205,MATCH($A84,Employees!$BG$6:$BG$205,0)))</f>
        <v/>
      </c>
      <c r="I84" s="11" t="str">
        <f aca="false">IF($A84="","",INDEX(Employees!$Z$6:$Z$205,MATCH($A84,Employees!$BG$6:$BG$205,0)))</f>
        <v/>
      </c>
      <c r="J84" s="26" t="str">
        <f aca="false">IF($A84="","",INDEX(Employees!$AB$6:$AB$205,MATCH($A84,Employees!$BG$6:$BG$205,0)))</f>
        <v/>
      </c>
      <c r="K84" s="26" t="str">
        <f aca="false">IF($A84="","",INDEX(Employees!$AC$6:$AC$205,MATCH($A84,Employees!$BG$6:$BG$205,0)))</f>
        <v/>
      </c>
      <c r="L84" s="28" t="str">
        <f aca="false">IF($A84="","",INDEX(Employees!$AD$6:$AD$205,MATCH($A84,Employees!$BG$6:$BG$205,0)))</f>
        <v/>
      </c>
      <c r="M84" s="11" t="str">
        <f aca="false">IF($A84="","",INDEX(Employees!$AF$6:$AF$205,MATCH($A84,Employees!$BG$6:$BG$205,0)))</f>
        <v/>
      </c>
      <c r="N84" s="11" t="str">
        <f aca="false">IF($A84="","",INDEX(Employees!$AM$6:$AM$205,MATCH($A84,Employees!$BG$6:$BG$205,0)))</f>
        <v/>
      </c>
    </row>
    <row r="85" customFormat="false" ht="15" hidden="false" customHeight="false" outlineLevel="0" collapsed="false">
      <c r="A85" s="11" t="str">
        <f aca="false">IF(80&lt;=MAX(Employees!$BG$6:$BG$205),80,"")</f>
        <v/>
      </c>
      <c r="B85" s="11" t="str">
        <f aca="false">IF($A85="","",INDEX(Employees!$A$6:$A$205,MATCH($A85,Employees!$BG$6:$BG$205,0)))</f>
        <v/>
      </c>
      <c r="C85" s="11" t="str">
        <f aca="false">IF($A85="","",INDEX(Employees!$B$6:$B$205,MATCH($A85,Employees!$BG$6:$BG$205,0)))</f>
        <v/>
      </c>
      <c r="D85" s="11" t="str">
        <f aca="false">IF($A85="","",INDEX(Employees!$C$6:$C$205,MATCH($A85,Employees!$BG$6:$BG$205,0)))</f>
        <v/>
      </c>
      <c r="E85" s="11" t="str">
        <f aca="false">IF($A85="","",INDEX(Employees!$D$6:$D$205,MATCH($A85,Employees!$BG$6:$BG$205,0)))</f>
        <v/>
      </c>
      <c r="F85" s="11" t="str">
        <f aca="false">IF($A85="","",INDEX(Employees!$T$6:$T$205,MATCH($A85,Employees!$BG$6:$BG$205,0)))</f>
        <v/>
      </c>
      <c r="G85" s="26" t="str">
        <f aca="false">IF($A85="","",INDEX(Employees!$U$6:$U$205,MATCH($A85,Employees!$BG$6:$BG$205,0)))</f>
        <v/>
      </c>
      <c r="H85" s="28" t="str">
        <f aca="false">IF($A85="","",INDEX(Employees!$E$6:$E$205,MATCH($A85,Employees!$BG$6:$BG$205,0)))</f>
        <v/>
      </c>
      <c r="I85" s="11" t="str">
        <f aca="false">IF($A85="","",INDEX(Employees!$Z$6:$Z$205,MATCH($A85,Employees!$BG$6:$BG$205,0)))</f>
        <v/>
      </c>
      <c r="J85" s="26" t="str">
        <f aca="false">IF($A85="","",INDEX(Employees!$AB$6:$AB$205,MATCH($A85,Employees!$BG$6:$BG$205,0)))</f>
        <v/>
      </c>
      <c r="K85" s="26" t="str">
        <f aca="false">IF($A85="","",INDEX(Employees!$AC$6:$AC$205,MATCH($A85,Employees!$BG$6:$BG$205,0)))</f>
        <v/>
      </c>
      <c r="L85" s="28" t="str">
        <f aca="false">IF($A85="","",INDEX(Employees!$AD$6:$AD$205,MATCH($A85,Employees!$BG$6:$BG$205,0)))</f>
        <v/>
      </c>
      <c r="M85" s="11" t="str">
        <f aca="false">IF($A85="","",INDEX(Employees!$AF$6:$AF$205,MATCH($A85,Employees!$BG$6:$BG$205,0)))</f>
        <v/>
      </c>
      <c r="N85" s="11" t="str">
        <f aca="false">IF($A85="","",INDEX(Employees!$AM$6:$AM$205,MATCH($A85,Employees!$BG$6:$BG$205,0)))</f>
        <v/>
      </c>
    </row>
    <row r="86" customFormat="false" ht="15" hidden="false" customHeight="false" outlineLevel="0" collapsed="false">
      <c r="A86" s="11" t="str">
        <f aca="false">IF(81&lt;=MAX(Employees!$BG$6:$BG$205),81,"")</f>
        <v/>
      </c>
      <c r="B86" s="11" t="str">
        <f aca="false">IF($A86="","",INDEX(Employees!$A$6:$A$205,MATCH($A86,Employees!$BG$6:$BG$205,0)))</f>
        <v/>
      </c>
      <c r="C86" s="11" t="str">
        <f aca="false">IF($A86="","",INDEX(Employees!$B$6:$B$205,MATCH($A86,Employees!$BG$6:$BG$205,0)))</f>
        <v/>
      </c>
      <c r="D86" s="11" t="str">
        <f aca="false">IF($A86="","",INDEX(Employees!$C$6:$C$205,MATCH($A86,Employees!$BG$6:$BG$205,0)))</f>
        <v/>
      </c>
      <c r="E86" s="11" t="str">
        <f aca="false">IF($A86="","",INDEX(Employees!$D$6:$D$205,MATCH($A86,Employees!$BG$6:$BG$205,0)))</f>
        <v/>
      </c>
      <c r="F86" s="11" t="str">
        <f aca="false">IF($A86="","",INDEX(Employees!$T$6:$T$205,MATCH($A86,Employees!$BG$6:$BG$205,0)))</f>
        <v/>
      </c>
      <c r="G86" s="26" t="str">
        <f aca="false">IF($A86="","",INDEX(Employees!$U$6:$U$205,MATCH($A86,Employees!$BG$6:$BG$205,0)))</f>
        <v/>
      </c>
      <c r="H86" s="28" t="str">
        <f aca="false">IF($A86="","",INDEX(Employees!$E$6:$E$205,MATCH($A86,Employees!$BG$6:$BG$205,0)))</f>
        <v/>
      </c>
      <c r="I86" s="11" t="str">
        <f aca="false">IF($A86="","",INDEX(Employees!$Z$6:$Z$205,MATCH($A86,Employees!$BG$6:$BG$205,0)))</f>
        <v/>
      </c>
      <c r="J86" s="26" t="str">
        <f aca="false">IF($A86="","",INDEX(Employees!$AB$6:$AB$205,MATCH($A86,Employees!$BG$6:$BG$205,0)))</f>
        <v/>
      </c>
      <c r="K86" s="26" t="str">
        <f aca="false">IF($A86="","",INDEX(Employees!$AC$6:$AC$205,MATCH($A86,Employees!$BG$6:$BG$205,0)))</f>
        <v/>
      </c>
      <c r="L86" s="28" t="str">
        <f aca="false">IF($A86="","",INDEX(Employees!$AD$6:$AD$205,MATCH($A86,Employees!$BG$6:$BG$205,0)))</f>
        <v/>
      </c>
      <c r="M86" s="11" t="str">
        <f aca="false">IF($A86="","",INDEX(Employees!$AF$6:$AF$205,MATCH($A86,Employees!$BG$6:$BG$205,0)))</f>
        <v/>
      </c>
      <c r="N86" s="11" t="str">
        <f aca="false">IF($A86="","",INDEX(Employees!$AM$6:$AM$205,MATCH($A86,Employees!$BG$6:$BG$205,0)))</f>
        <v/>
      </c>
    </row>
    <row r="87" customFormat="false" ht="15" hidden="false" customHeight="false" outlineLevel="0" collapsed="false">
      <c r="A87" s="11" t="str">
        <f aca="false">IF(82&lt;=MAX(Employees!$BG$6:$BG$205),82,"")</f>
        <v/>
      </c>
      <c r="B87" s="11" t="str">
        <f aca="false">IF($A87="","",INDEX(Employees!$A$6:$A$205,MATCH($A87,Employees!$BG$6:$BG$205,0)))</f>
        <v/>
      </c>
      <c r="C87" s="11" t="str">
        <f aca="false">IF($A87="","",INDEX(Employees!$B$6:$B$205,MATCH($A87,Employees!$BG$6:$BG$205,0)))</f>
        <v/>
      </c>
      <c r="D87" s="11" t="str">
        <f aca="false">IF($A87="","",INDEX(Employees!$C$6:$C$205,MATCH($A87,Employees!$BG$6:$BG$205,0)))</f>
        <v/>
      </c>
      <c r="E87" s="11" t="str">
        <f aca="false">IF($A87="","",INDEX(Employees!$D$6:$D$205,MATCH($A87,Employees!$BG$6:$BG$205,0)))</f>
        <v/>
      </c>
      <c r="F87" s="11" t="str">
        <f aca="false">IF($A87="","",INDEX(Employees!$T$6:$T$205,MATCH($A87,Employees!$BG$6:$BG$205,0)))</f>
        <v/>
      </c>
      <c r="G87" s="26" t="str">
        <f aca="false">IF($A87="","",INDEX(Employees!$U$6:$U$205,MATCH($A87,Employees!$BG$6:$BG$205,0)))</f>
        <v/>
      </c>
      <c r="H87" s="28" t="str">
        <f aca="false">IF($A87="","",INDEX(Employees!$E$6:$E$205,MATCH($A87,Employees!$BG$6:$BG$205,0)))</f>
        <v/>
      </c>
      <c r="I87" s="11" t="str">
        <f aca="false">IF($A87="","",INDEX(Employees!$Z$6:$Z$205,MATCH($A87,Employees!$BG$6:$BG$205,0)))</f>
        <v/>
      </c>
      <c r="J87" s="26" t="str">
        <f aca="false">IF($A87="","",INDEX(Employees!$AB$6:$AB$205,MATCH($A87,Employees!$BG$6:$BG$205,0)))</f>
        <v/>
      </c>
      <c r="K87" s="26" t="str">
        <f aca="false">IF($A87="","",INDEX(Employees!$AC$6:$AC$205,MATCH($A87,Employees!$BG$6:$BG$205,0)))</f>
        <v/>
      </c>
      <c r="L87" s="28" t="str">
        <f aca="false">IF($A87="","",INDEX(Employees!$AD$6:$AD$205,MATCH($A87,Employees!$BG$6:$BG$205,0)))</f>
        <v/>
      </c>
      <c r="M87" s="11" t="str">
        <f aca="false">IF($A87="","",INDEX(Employees!$AF$6:$AF$205,MATCH($A87,Employees!$BG$6:$BG$205,0)))</f>
        <v/>
      </c>
      <c r="N87" s="11" t="str">
        <f aca="false">IF($A87="","",INDEX(Employees!$AM$6:$AM$205,MATCH($A87,Employees!$BG$6:$BG$205,0)))</f>
        <v/>
      </c>
    </row>
    <row r="88" customFormat="false" ht="15" hidden="false" customHeight="false" outlineLevel="0" collapsed="false">
      <c r="A88" s="11" t="str">
        <f aca="false">IF(83&lt;=MAX(Employees!$BG$6:$BG$205),83,"")</f>
        <v/>
      </c>
      <c r="B88" s="11" t="str">
        <f aca="false">IF($A88="","",INDEX(Employees!$A$6:$A$205,MATCH($A88,Employees!$BG$6:$BG$205,0)))</f>
        <v/>
      </c>
      <c r="C88" s="11" t="str">
        <f aca="false">IF($A88="","",INDEX(Employees!$B$6:$B$205,MATCH($A88,Employees!$BG$6:$BG$205,0)))</f>
        <v/>
      </c>
      <c r="D88" s="11" t="str">
        <f aca="false">IF($A88="","",INDEX(Employees!$C$6:$C$205,MATCH($A88,Employees!$BG$6:$BG$205,0)))</f>
        <v/>
      </c>
      <c r="E88" s="11" t="str">
        <f aca="false">IF($A88="","",INDEX(Employees!$D$6:$D$205,MATCH($A88,Employees!$BG$6:$BG$205,0)))</f>
        <v/>
      </c>
      <c r="F88" s="11" t="str">
        <f aca="false">IF($A88="","",INDEX(Employees!$T$6:$T$205,MATCH($A88,Employees!$BG$6:$BG$205,0)))</f>
        <v/>
      </c>
      <c r="G88" s="26" t="str">
        <f aca="false">IF($A88="","",INDEX(Employees!$U$6:$U$205,MATCH($A88,Employees!$BG$6:$BG$205,0)))</f>
        <v/>
      </c>
      <c r="H88" s="28" t="str">
        <f aca="false">IF($A88="","",INDEX(Employees!$E$6:$E$205,MATCH($A88,Employees!$BG$6:$BG$205,0)))</f>
        <v/>
      </c>
      <c r="I88" s="11" t="str">
        <f aca="false">IF($A88="","",INDEX(Employees!$Z$6:$Z$205,MATCH($A88,Employees!$BG$6:$BG$205,0)))</f>
        <v/>
      </c>
      <c r="J88" s="26" t="str">
        <f aca="false">IF($A88="","",INDEX(Employees!$AB$6:$AB$205,MATCH($A88,Employees!$BG$6:$BG$205,0)))</f>
        <v/>
      </c>
      <c r="K88" s="26" t="str">
        <f aca="false">IF($A88="","",INDEX(Employees!$AC$6:$AC$205,MATCH($A88,Employees!$BG$6:$BG$205,0)))</f>
        <v/>
      </c>
      <c r="L88" s="28" t="str">
        <f aca="false">IF($A88="","",INDEX(Employees!$AD$6:$AD$205,MATCH($A88,Employees!$BG$6:$BG$205,0)))</f>
        <v/>
      </c>
      <c r="M88" s="11" t="str">
        <f aca="false">IF($A88="","",INDEX(Employees!$AF$6:$AF$205,MATCH($A88,Employees!$BG$6:$BG$205,0)))</f>
        <v/>
      </c>
      <c r="N88" s="11" t="str">
        <f aca="false">IF($A88="","",INDEX(Employees!$AM$6:$AM$205,MATCH($A88,Employees!$BG$6:$BG$205,0)))</f>
        <v/>
      </c>
    </row>
    <row r="89" customFormat="false" ht="15" hidden="false" customHeight="false" outlineLevel="0" collapsed="false">
      <c r="A89" s="11" t="str">
        <f aca="false">IF(84&lt;=MAX(Employees!$BG$6:$BG$205),84,"")</f>
        <v/>
      </c>
      <c r="B89" s="11" t="str">
        <f aca="false">IF($A89="","",INDEX(Employees!$A$6:$A$205,MATCH($A89,Employees!$BG$6:$BG$205,0)))</f>
        <v/>
      </c>
      <c r="C89" s="11" t="str">
        <f aca="false">IF($A89="","",INDEX(Employees!$B$6:$B$205,MATCH($A89,Employees!$BG$6:$BG$205,0)))</f>
        <v/>
      </c>
      <c r="D89" s="11" t="str">
        <f aca="false">IF($A89="","",INDEX(Employees!$C$6:$C$205,MATCH($A89,Employees!$BG$6:$BG$205,0)))</f>
        <v/>
      </c>
      <c r="E89" s="11" t="str">
        <f aca="false">IF($A89="","",INDEX(Employees!$D$6:$D$205,MATCH($A89,Employees!$BG$6:$BG$205,0)))</f>
        <v/>
      </c>
      <c r="F89" s="11" t="str">
        <f aca="false">IF($A89="","",INDEX(Employees!$T$6:$T$205,MATCH($A89,Employees!$BG$6:$BG$205,0)))</f>
        <v/>
      </c>
      <c r="G89" s="26" t="str">
        <f aca="false">IF($A89="","",INDEX(Employees!$U$6:$U$205,MATCH($A89,Employees!$BG$6:$BG$205,0)))</f>
        <v/>
      </c>
      <c r="H89" s="28" t="str">
        <f aca="false">IF($A89="","",INDEX(Employees!$E$6:$E$205,MATCH($A89,Employees!$BG$6:$BG$205,0)))</f>
        <v/>
      </c>
      <c r="I89" s="11" t="str">
        <f aca="false">IF($A89="","",INDEX(Employees!$Z$6:$Z$205,MATCH($A89,Employees!$BG$6:$BG$205,0)))</f>
        <v/>
      </c>
      <c r="J89" s="26" t="str">
        <f aca="false">IF($A89="","",INDEX(Employees!$AB$6:$AB$205,MATCH($A89,Employees!$BG$6:$BG$205,0)))</f>
        <v/>
      </c>
      <c r="K89" s="26" t="str">
        <f aca="false">IF($A89="","",INDEX(Employees!$AC$6:$AC$205,MATCH($A89,Employees!$BG$6:$BG$205,0)))</f>
        <v/>
      </c>
      <c r="L89" s="28" t="str">
        <f aca="false">IF($A89="","",INDEX(Employees!$AD$6:$AD$205,MATCH($A89,Employees!$BG$6:$BG$205,0)))</f>
        <v/>
      </c>
      <c r="M89" s="11" t="str">
        <f aca="false">IF($A89="","",INDEX(Employees!$AF$6:$AF$205,MATCH($A89,Employees!$BG$6:$BG$205,0)))</f>
        <v/>
      </c>
      <c r="N89" s="11" t="str">
        <f aca="false">IF($A89="","",INDEX(Employees!$AM$6:$AM$205,MATCH($A89,Employees!$BG$6:$BG$205,0)))</f>
        <v/>
      </c>
    </row>
    <row r="90" customFormat="false" ht="15" hidden="false" customHeight="false" outlineLevel="0" collapsed="false">
      <c r="A90" s="11" t="str">
        <f aca="false">IF(85&lt;=MAX(Employees!$BG$6:$BG$205),85,"")</f>
        <v/>
      </c>
      <c r="B90" s="11" t="str">
        <f aca="false">IF($A90="","",INDEX(Employees!$A$6:$A$205,MATCH($A90,Employees!$BG$6:$BG$205,0)))</f>
        <v/>
      </c>
      <c r="C90" s="11" t="str">
        <f aca="false">IF($A90="","",INDEX(Employees!$B$6:$B$205,MATCH($A90,Employees!$BG$6:$BG$205,0)))</f>
        <v/>
      </c>
      <c r="D90" s="11" t="str">
        <f aca="false">IF($A90="","",INDEX(Employees!$C$6:$C$205,MATCH($A90,Employees!$BG$6:$BG$205,0)))</f>
        <v/>
      </c>
      <c r="E90" s="11" t="str">
        <f aca="false">IF($A90="","",INDEX(Employees!$D$6:$D$205,MATCH($A90,Employees!$BG$6:$BG$205,0)))</f>
        <v/>
      </c>
      <c r="F90" s="11" t="str">
        <f aca="false">IF($A90="","",INDEX(Employees!$T$6:$T$205,MATCH($A90,Employees!$BG$6:$BG$205,0)))</f>
        <v/>
      </c>
      <c r="G90" s="26" t="str">
        <f aca="false">IF($A90="","",INDEX(Employees!$U$6:$U$205,MATCH($A90,Employees!$BG$6:$BG$205,0)))</f>
        <v/>
      </c>
      <c r="H90" s="28" t="str">
        <f aca="false">IF($A90="","",INDEX(Employees!$E$6:$E$205,MATCH($A90,Employees!$BG$6:$BG$205,0)))</f>
        <v/>
      </c>
      <c r="I90" s="11" t="str">
        <f aca="false">IF($A90="","",INDEX(Employees!$Z$6:$Z$205,MATCH($A90,Employees!$BG$6:$BG$205,0)))</f>
        <v/>
      </c>
      <c r="J90" s="26" t="str">
        <f aca="false">IF($A90="","",INDEX(Employees!$AB$6:$AB$205,MATCH($A90,Employees!$BG$6:$BG$205,0)))</f>
        <v/>
      </c>
      <c r="K90" s="26" t="str">
        <f aca="false">IF($A90="","",INDEX(Employees!$AC$6:$AC$205,MATCH($A90,Employees!$BG$6:$BG$205,0)))</f>
        <v/>
      </c>
      <c r="L90" s="28" t="str">
        <f aca="false">IF($A90="","",INDEX(Employees!$AD$6:$AD$205,MATCH($A90,Employees!$BG$6:$BG$205,0)))</f>
        <v/>
      </c>
      <c r="M90" s="11" t="str">
        <f aca="false">IF($A90="","",INDEX(Employees!$AF$6:$AF$205,MATCH($A90,Employees!$BG$6:$BG$205,0)))</f>
        <v/>
      </c>
      <c r="N90" s="11" t="str">
        <f aca="false">IF($A90="","",INDEX(Employees!$AM$6:$AM$205,MATCH($A90,Employees!$BG$6:$BG$205,0)))</f>
        <v/>
      </c>
    </row>
    <row r="91" customFormat="false" ht="15" hidden="false" customHeight="false" outlineLevel="0" collapsed="false">
      <c r="A91" s="11" t="str">
        <f aca="false">IF(86&lt;=MAX(Employees!$BG$6:$BG$205),86,"")</f>
        <v/>
      </c>
      <c r="B91" s="11" t="str">
        <f aca="false">IF($A91="","",INDEX(Employees!$A$6:$A$205,MATCH($A91,Employees!$BG$6:$BG$205,0)))</f>
        <v/>
      </c>
      <c r="C91" s="11" t="str">
        <f aca="false">IF($A91="","",INDEX(Employees!$B$6:$B$205,MATCH($A91,Employees!$BG$6:$BG$205,0)))</f>
        <v/>
      </c>
      <c r="D91" s="11" t="str">
        <f aca="false">IF($A91="","",INDEX(Employees!$C$6:$C$205,MATCH($A91,Employees!$BG$6:$BG$205,0)))</f>
        <v/>
      </c>
      <c r="E91" s="11" t="str">
        <f aca="false">IF($A91="","",INDEX(Employees!$D$6:$D$205,MATCH($A91,Employees!$BG$6:$BG$205,0)))</f>
        <v/>
      </c>
      <c r="F91" s="11" t="str">
        <f aca="false">IF($A91="","",INDEX(Employees!$T$6:$T$205,MATCH($A91,Employees!$BG$6:$BG$205,0)))</f>
        <v/>
      </c>
      <c r="G91" s="26" t="str">
        <f aca="false">IF($A91="","",INDEX(Employees!$U$6:$U$205,MATCH($A91,Employees!$BG$6:$BG$205,0)))</f>
        <v/>
      </c>
      <c r="H91" s="28" t="str">
        <f aca="false">IF($A91="","",INDEX(Employees!$E$6:$E$205,MATCH($A91,Employees!$BG$6:$BG$205,0)))</f>
        <v/>
      </c>
      <c r="I91" s="11" t="str">
        <f aca="false">IF($A91="","",INDEX(Employees!$Z$6:$Z$205,MATCH($A91,Employees!$BG$6:$BG$205,0)))</f>
        <v/>
      </c>
      <c r="J91" s="26" t="str">
        <f aca="false">IF($A91="","",INDEX(Employees!$AB$6:$AB$205,MATCH($A91,Employees!$BG$6:$BG$205,0)))</f>
        <v/>
      </c>
      <c r="K91" s="26" t="str">
        <f aca="false">IF($A91="","",INDEX(Employees!$AC$6:$AC$205,MATCH($A91,Employees!$BG$6:$BG$205,0)))</f>
        <v/>
      </c>
      <c r="L91" s="28" t="str">
        <f aca="false">IF($A91="","",INDEX(Employees!$AD$6:$AD$205,MATCH($A91,Employees!$BG$6:$BG$205,0)))</f>
        <v/>
      </c>
      <c r="M91" s="11" t="str">
        <f aca="false">IF($A91="","",INDEX(Employees!$AF$6:$AF$205,MATCH($A91,Employees!$BG$6:$BG$205,0)))</f>
        <v/>
      </c>
      <c r="N91" s="11" t="str">
        <f aca="false">IF($A91="","",INDEX(Employees!$AM$6:$AM$205,MATCH($A91,Employees!$BG$6:$BG$205,0)))</f>
        <v/>
      </c>
    </row>
    <row r="92" customFormat="false" ht="15" hidden="false" customHeight="false" outlineLevel="0" collapsed="false">
      <c r="A92" s="11" t="str">
        <f aca="false">IF(87&lt;=MAX(Employees!$BG$6:$BG$205),87,"")</f>
        <v/>
      </c>
      <c r="B92" s="11" t="str">
        <f aca="false">IF($A92="","",INDEX(Employees!$A$6:$A$205,MATCH($A92,Employees!$BG$6:$BG$205,0)))</f>
        <v/>
      </c>
      <c r="C92" s="11" t="str">
        <f aca="false">IF($A92="","",INDEX(Employees!$B$6:$B$205,MATCH($A92,Employees!$BG$6:$BG$205,0)))</f>
        <v/>
      </c>
      <c r="D92" s="11" t="str">
        <f aca="false">IF($A92="","",INDEX(Employees!$C$6:$C$205,MATCH($A92,Employees!$BG$6:$BG$205,0)))</f>
        <v/>
      </c>
      <c r="E92" s="11" t="str">
        <f aca="false">IF($A92="","",INDEX(Employees!$D$6:$D$205,MATCH($A92,Employees!$BG$6:$BG$205,0)))</f>
        <v/>
      </c>
      <c r="F92" s="11" t="str">
        <f aca="false">IF($A92="","",INDEX(Employees!$T$6:$T$205,MATCH($A92,Employees!$BG$6:$BG$205,0)))</f>
        <v/>
      </c>
      <c r="G92" s="26" t="str">
        <f aca="false">IF($A92="","",INDEX(Employees!$U$6:$U$205,MATCH($A92,Employees!$BG$6:$BG$205,0)))</f>
        <v/>
      </c>
      <c r="H92" s="28" t="str">
        <f aca="false">IF($A92="","",INDEX(Employees!$E$6:$E$205,MATCH($A92,Employees!$BG$6:$BG$205,0)))</f>
        <v/>
      </c>
      <c r="I92" s="11" t="str">
        <f aca="false">IF($A92="","",INDEX(Employees!$Z$6:$Z$205,MATCH($A92,Employees!$BG$6:$BG$205,0)))</f>
        <v/>
      </c>
      <c r="J92" s="26" t="str">
        <f aca="false">IF($A92="","",INDEX(Employees!$AB$6:$AB$205,MATCH($A92,Employees!$BG$6:$BG$205,0)))</f>
        <v/>
      </c>
      <c r="K92" s="26" t="str">
        <f aca="false">IF($A92="","",INDEX(Employees!$AC$6:$AC$205,MATCH($A92,Employees!$BG$6:$BG$205,0)))</f>
        <v/>
      </c>
      <c r="L92" s="28" t="str">
        <f aca="false">IF($A92="","",INDEX(Employees!$AD$6:$AD$205,MATCH($A92,Employees!$BG$6:$BG$205,0)))</f>
        <v/>
      </c>
      <c r="M92" s="11" t="str">
        <f aca="false">IF($A92="","",INDEX(Employees!$AF$6:$AF$205,MATCH($A92,Employees!$BG$6:$BG$205,0)))</f>
        <v/>
      </c>
      <c r="N92" s="11" t="str">
        <f aca="false">IF($A92="","",INDEX(Employees!$AM$6:$AM$205,MATCH($A92,Employees!$BG$6:$BG$205,0)))</f>
        <v/>
      </c>
    </row>
    <row r="93" customFormat="false" ht="15" hidden="false" customHeight="false" outlineLevel="0" collapsed="false">
      <c r="A93" s="11" t="str">
        <f aca="false">IF(88&lt;=MAX(Employees!$BG$6:$BG$205),88,"")</f>
        <v/>
      </c>
      <c r="B93" s="11" t="str">
        <f aca="false">IF($A93="","",INDEX(Employees!$A$6:$A$205,MATCH($A93,Employees!$BG$6:$BG$205,0)))</f>
        <v/>
      </c>
      <c r="C93" s="11" t="str">
        <f aca="false">IF($A93="","",INDEX(Employees!$B$6:$B$205,MATCH($A93,Employees!$BG$6:$BG$205,0)))</f>
        <v/>
      </c>
      <c r="D93" s="11" t="str">
        <f aca="false">IF($A93="","",INDEX(Employees!$C$6:$C$205,MATCH($A93,Employees!$BG$6:$BG$205,0)))</f>
        <v/>
      </c>
      <c r="E93" s="11" t="str">
        <f aca="false">IF($A93="","",INDEX(Employees!$D$6:$D$205,MATCH($A93,Employees!$BG$6:$BG$205,0)))</f>
        <v/>
      </c>
      <c r="F93" s="11" t="str">
        <f aca="false">IF($A93="","",INDEX(Employees!$T$6:$T$205,MATCH($A93,Employees!$BG$6:$BG$205,0)))</f>
        <v/>
      </c>
      <c r="G93" s="26" t="str">
        <f aca="false">IF($A93="","",INDEX(Employees!$U$6:$U$205,MATCH($A93,Employees!$BG$6:$BG$205,0)))</f>
        <v/>
      </c>
      <c r="H93" s="28" t="str">
        <f aca="false">IF($A93="","",INDEX(Employees!$E$6:$E$205,MATCH($A93,Employees!$BG$6:$BG$205,0)))</f>
        <v/>
      </c>
      <c r="I93" s="11" t="str">
        <f aca="false">IF($A93="","",INDEX(Employees!$Z$6:$Z$205,MATCH($A93,Employees!$BG$6:$BG$205,0)))</f>
        <v/>
      </c>
      <c r="J93" s="26" t="str">
        <f aca="false">IF($A93="","",INDEX(Employees!$AB$6:$AB$205,MATCH($A93,Employees!$BG$6:$BG$205,0)))</f>
        <v/>
      </c>
      <c r="K93" s="26" t="str">
        <f aca="false">IF($A93="","",INDEX(Employees!$AC$6:$AC$205,MATCH($A93,Employees!$BG$6:$BG$205,0)))</f>
        <v/>
      </c>
      <c r="L93" s="28" t="str">
        <f aca="false">IF($A93="","",INDEX(Employees!$AD$6:$AD$205,MATCH($A93,Employees!$BG$6:$BG$205,0)))</f>
        <v/>
      </c>
      <c r="M93" s="11" t="str">
        <f aca="false">IF($A93="","",INDEX(Employees!$AF$6:$AF$205,MATCH($A93,Employees!$BG$6:$BG$205,0)))</f>
        <v/>
      </c>
      <c r="N93" s="11" t="str">
        <f aca="false">IF($A93="","",INDEX(Employees!$AM$6:$AM$205,MATCH($A93,Employees!$BG$6:$BG$205,0)))</f>
        <v/>
      </c>
    </row>
    <row r="94" customFormat="false" ht="15" hidden="false" customHeight="false" outlineLevel="0" collapsed="false">
      <c r="A94" s="11" t="str">
        <f aca="false">IF(89&lt;=MAX(Employees!$BG$6:$BG$205),89,"")</f>
        <v/>
      </c>
      <c r="B94" s="11" t="str">
        <f aca="false">IF($A94="","",INDEX(Employees!$A$6:$A$205,MATCH($A94,Employees!$BG$6:$BG$205,0)))</f>
        <v/>
      </c>
      <c r="C94" s="11" t="str">
        <f aca="false">IF($A94="","",INDEX(Employees!$B$6:$B$205,MATCH($A94,Employees!$BG$6:$BG$205,0)))</f>
        <v/>
      </c>
      <c r="D94" s="11" t="str">
        <f aca="false">IF($A94="","",INDEX(Employees!$C$6:$C$205,MATCH($A94,Employees!$BG$6:$BG$205,0)))</f>
        <v/>
      </c>
      <c r="E94" s="11" t="str">
        <f aca="false">IF($A94="","",INDEX(Employees!$D$6:$D$205,MATCH($A94,Employees!$BG$6:$BG$205,0)))</f>
        <v/>
      </c>
      <c r="F94" s="11" t="str">
        <f aca="false">IF($A94="","",INDEX(Employees!$T$6:$T$205,MATCH($A94,Employees!$BG$6:$BG$205,0)))</f>
        <v/>
      </c>
      <c r="G94" s="26" t="str">
        <f aca="false">IF($A94="","",INDEX(Employees!$U$6:$U$205,MATCH($A94,Employees!$BG$6:$BG$205,0)))</f>
        <v/>
      </c>
      <c r="H94" s="28" t="str">
        <f aca="false">IF($A94="","",INDEX(Employees!$E$6:$E$205,MATCH($A94,Employees!$BG$6:$BG$205,0)))</f>
        <v/>
      </c>
      <c r="I94" s="11" t="str">
        <f aca="false">IF($A94="","",INDEX(Employees!$Z$6:$Z$205,MATCH($A94,Employees!$BG$6:$BG$205,0)))</f>
        <v/>
      </c>
      <c r="J94" s="26" t="str">
        <f aca="false">IF($A94="","",INDEX(Employees!$AB$6:$AB$205,MATCH($A94,Employees!$BG$6:$BG$205,0)))</f>
        <v/>
      </c>
      <c r="K94" s="26" t="str">
        <f aca="false">IF($A94="","",INDEX(Employees!$AC$6:$AC$205,MATCH($A94,Employees!$BG$6:$BG$205,0)))</f>
        <v/>
      </c>
      <c r="L94" s="28" t="str">
        <f aca="false">IF($A94="","",INDEX(Employees!$AD$6:$AD$205,MATCH($A94,Employees!$BG$6:$BG$205,0)))</f>
        <v/>
      </c>
      <c r="M94" s="11" t="str">
        <f aca="false">IF($A94="","",INDEX(Employees!$AF$6:$AF$205,MATCH($A94,Employees!$BG$6:$BG$205,0)))</f>
        <v/>
      </c>
      <c r="N94" s="11" t="str">
        <f aca="false">IF($A94="","",INDEX(Employees!$AM$6:$AM$205,MATCH($A94,Employees!$BG$6:$BG$205,0)))</f>
        <v/>
      </c>
    </row>
    <row r="95" customFormat="false" ht="15" hidden="false" customHeight="false" outlineLevel="0" collapsed="false">
      <c r="A95" s="11" t="str">
        <f aca="false">IF(90&lt;=MAX(Employees!$BG$6:$BG$205),90,"")</f>
        <v/>
      </c>
      <c r="B95" s="11" t="str">
        <f aca="false">IF($A95="","",INDEX(Employees!$A$6:$A$205,MATCH($A95,Employees!$BG$6:$BG$205,0)))</f>
        <v/>
      </c>
      <c r="C95" s="11" t="str">
        <f aca="false">IF($A95="","",INDEX(Employees!$B$6:$B$205,MATCH($A95,Employees!$BG$6:$BG$205,0)))</f>
        <v/>
      </c>
      <c r="D95" s="11" t="str">
        <f aca="false">IF($A95="","",INDEX(Employees!$C$6:$C$205,MATCH($A95,Employees!$BG$6:$BG$205,0)))</f>
        <v/>
      </c>
      <c r="E95" s="11" t="str">
        <f aca="false">IF($A95="","",INDEX(Employees!$D$6:$D$205,MATCH($A95,Employees!$BG$6:$BG$205,0)))</f>
        <v/>
      </c>
      <c r="F95" s="11" t="str">
        <f aca="false">IF($A95="","",INDEX(Employees!$T$6:$T$205,MATCH($A95,Employees!$BG$6:$BG$205,0)))</f>
        <v/>
      </c>
      <c r="G95" s="26" t="str">
        <f aca="false">IF($A95="","",INDEX(Employees!$U$6:$U$205,MATCH($A95,Employees!$BG$6:$BG$205,0)))</f>
        <v/>
      </c>
      <c r="H95" s="28" t="str">
        <f aca="false">IF($A95="","",INDEX(Employees!$E$6:$E$205,MATCH($A95,Employees!$BG$6:$BG$205,0)))</f>
        <v/>
      </c>
      <c r="I95" s="11" t="str">
        <f aca="false">IF($A95="","",INDEX(Employees!$Z$6:$Z$205,MATCH($A95,Employees!$BG$6:$BG$205,0)))</f>
        <v/>
      </c>
      <c r="J95" s="26" t="str">
        <f aca="false">IF($A95="","",INDEX(Employees!$AB$6:$AB$205,MATCH($A95,Employees!$BG$6:$BG$205,0)))</f>
        <v/>
      </c>
      <c r="K95" s="26" t="str">
        <f aca="false">IF($A95="","",INDEX(Employees!$AC$6:$AC$205,MATCH($A95,Employees!$BG$6:$BG$205,0)))</f>
        <v/>
      </c>
      <c r="L95" s="28" t="str">
        <f aca="false">IF($A95="","",INDEX(Employees!$AD$6:$AD$205,MATCH($A95,Employees!$BG$6:$BG$205,0)))</f>
        <v/>
      </c>
      <c r="M95" s="11" t="str">
        <f aca="false">IF($A95="","",INDEX(Employees!$AF$6:$AF$205,MATCH($A95,Employees!$BG$6:$BG$205,0)))</f>
        <v/>
      </c>
      <c r="N95" s="11" t="str">
        <f aca="false">IF($A95="","",INDEX(Employees!$AM$6:$AM$205,MATCH($A95,Employees!$BG$6:$BG$205,0)))</f>
        <v/>
      </c>
    </row>
    <row r="96" customFormat="false" ht="15" hidden="false" customHeight="false" outlineLevel="0" collapsed="false">
      <c r="A96" s="11" t="str">
        <f aca="false">IF(91&lt;=MAX(Employees!$BG$6:$BG$205),91,"")</f>
        <v/>
      </c>
      <c r="B96" s="11" t="str">
        <f aca="false">IF($A96="","",INDEX(Employees!$A$6:$A$205,MATCH($A96,Employees!$BG$6:$BG$205,0)))</f>
        <v/>
      </c>
      <c r="C96" s="11" t="str">
        <f aca="false">IF($A96="","",INDEX(Employees!$B$6:$B$205,MATCH($A96,Employees!$BG$6:$BG$205,0)))</f>
        <v/>
      </c>
      <c r="D96" s="11" t="str">
        <f aca="false">IF($A96="","",INDEX(Employees!$C$6:$C$205,MATCH($A96,Employees!$BG$6:$BG$205,0)))</f>
        <v/>
      </c>
      <c r="E96" s="11" t="str">
        <f aca="false">IF($A96="","",INDEX(Employees!$D$6:$D$205,MATCH($A96,Employees!$BG$6:$BG$205,0)))</f>
        <v/>
      </c>
      <c r="F96" s="11" t="str">
        <f aca="false">IF($A96="","",INDEX(Employees!$T$6:$T$205,MATCH($A96,Employees!$BG$6:$BG$205,0)))</f>
        <v/>
      </c>
      <c r="G96" s="26" t="str">
        <f aca="false">IF($A96="","",INDEX(Employees!$U$6:$U$205,MATCH($A96,Employees!$BG$6:$BG$205,0)))</f>
        <v/>
      </c>
      <c r="H96" s="28" t="str">
        <f aca="false">IF($A96="","",INDEX(Employees!$E$6:$E$205,MATCH($A96,Employees!$BG$6:$BG$205,0)))</f>
        <v/>
      </c>
      <c r="I96" s="11" t="str">
        <f aca="false">IF($A96="","",INDEX(Employees!$Z$6:$Z$205,MATCH($A96,Employees!$BG$6:$BG$205,0)))</f>
        <v/>
      </c>
      <c r="J96" s="26" t="str">
        <f aca="false">IF($A96="","",INDEX(Employees!$AB$6:$AB$205,MATCH($A96,Employees!$BG$6:$BG$205,0)))</f>
        <v/>
      </c>
      <c r="K96" s="26" t="str">
        <f aca="false">IF($A96="","",INDEX(Employees!$AC$6:$AC$205,MATCH($A96,Employees!$BG$6:$BG$205,0)))</f>
        <v/>
      </c>
      <c r="L96" s="28" t="str">
        <f aca="false">IF($A96="","",INDEX(Employees!$AD$6:$AD$205,MATCH($A96,Employees!$BG$6:$BG$205,0)))</f>
        <v/>
      </c>
      <c r="M96" s="11" t="str">
        <f aca="false">IF($A96="","",INDEX(Employees!$AF$6:$AF$205,MATCH($A96,Employees!$BG$6:$BG$205,0)))</f>
        <v/>
      </c>
      <c r="N96" s="11" t="str">
        <f aca="false">IF($A96="","",INDEX(Employees!$AM$6:$AM$205,MATCH($A96,Employees!$BG$6:$BG$205,0)))</f>
        <v/>
      </c>
    </row>
    <row r="97" customFormat="false" ht="15" hidden="false" customHeight="false" outlineLevel="0" collapsed="false">
      <c r="A97" s="11" t="str">
        <f aca="false">IF(92&lt;=MAX(Employees!$BG$6:$BG$205),92,"")</f>
        <v/>
      </c>
      <c r="B97" s="11" t="str">
        <f aca="false">IF($A97="","",INDEX(Employees!$A$6:$A$205,MATCH($A97,Employees!$BG$6:$BG$205,0)))</f>
        <v/>
      </c>
      <c r="C97" s="11" t="str">
        <f aca="false">IF($A97="","",INDEX(Employees!$B$6:$B$205,MATCH($A97,Employees!$BG$6:$BG$205,0)))</f>
        <v/>
      </c>
      <c r="D97" s="11" t="str">
        <f aca="false">IF($A97="","",INDEX(Employees!$C$6:$C$205,MATCH($A97,Employees!$BG$6:$BG$205,0)))</f>
        <v/>
      </c>
      <c r="E97" s="11" t="str">
        <f aca="false">IF($A97="","",INDEX(Employees!$D$6:$D$205,MATCH($A97,Employees!$BG$6:$BG$205,0)))</f>
        <v/>
      </c>
      <c r="F97" s="11" t="str">
        <f aca="false">IF($A97="","",INDEX(Employees!$T$6:$T$205,MATCH($A97,Employees!$BG$6:$BG$205,0)))</f>
        <v/>
      </c>
      <c r="G97" s="26" t="str">
        <f aca="false">IF($A97="","",INDEX(Employees!$U$6:$U$205,MATCH($A97,Employees!$BG$6:$BG$205,0)))</f>
        <v/>
      </c>
      <c r="H97" s="28" t="str">
        <f aca="false">IF($A97="","",INDEX(Employees!$E$6:$E$205,MATCH($A97,Employees!$BG$6:$BG$205,0)))</f>
        <v/>
      </c>
      <c r="I97" s="11" t="str">
        <f aca="false">IF($A97="","",INDEX(Employees!$Z$6:$Z$205,MATCH($A97,Employees!$BG$6:$BG$205,0)))</f>
        <v/>
      </c>
      <c r="J97" s="26" t="str">
        <f aca="false">IF($A97="","",INDEX(Employees!$AB$6:$AB$205,MATCH($A97,Employees!$BG$6:$BG$205,0)))</f>
        <v/>
      </c>
      <c r="K97" s="26" t="str">
        <f aca="false">IF($A97="","",INDEX(Employees!$AC$6:$AC$205,MATCH($A97,Employees!$BG$6:$BG$205,0)))</f>
        <v/>
      </c>
      <c r="L97" s="28" t="str">
        <f aca="false">IF($A97="","",INDEX(Employees!$AD$6:$AD$205,MATCH($A97,Employees!$BG$6:$BG$205,0)))</f>
        <v/>
      </c>
      <c r="M97" s="11" t="str">
        <f aca="false">IF($A97="","",INDEX(Employees!$AF$6:$AF$205,MATCH($A97,Employees!$BG$6:$BG$205,0)))</f>
        <v/>
      </c>
      <c r="N97" s="11" t="str">
        <f aca="false">IF($A97="","",INDEX(Employees!$AM$6:$AM$205,MATCH($A97,Employees!$BG$6:$BG$205,0)))</f>
        <v/>
      </c>
    </row>
    <row r="98" customFormat="false" ht="15" hidden="false" customHeight="false" outlineLevel="0" collapsed="false">
      <c r="A98" s="11" t="str">
        <f aca="false">IF(93&lt;=MAX(Employees!$BG$6:$BG$205),93,"")</f>
        <v/>
      </c>
      <c r="B98" s="11" t="str">
        <f aca="false">IF($A98="","",INDEX(Employees!$A$6:$A$205,MATCH($A98,Employees!$BG$6:$BG$205,0)))</f>
        <v/>
      </c>
      <c r="C98" s="11" t="str">
        <f aca="false">IF($A98="","",INDEX(Employees!$B$6:$B$205,MATCH($A98,Employees!$BG$6:$BG$205,0)))</f>
        <v/>
      </c>
      <c r="D98" s="11" t="str">
        <f aca="false">IF($A98="","",INDEX(Employees!$C$6:$C$205,MATCH($A98,Employees!$BG$6:$BG$205,0)))</f>
        <v/>
      </c>
      <c r="E98" s="11" t="str">
        <f aca="false">IF($A98="","",INDEX(Employees!$D$6:$D$205,MATCH($A98,Employees!$BG$6:$BG$205,0)))</f>
        <v/>
      </c>
      <c r="F98" s="11" t="str">
        <f aca="false">IF($A98="","",INDEX(Employees!$T$6:$T$205,MATCH($A98,Employees!$BG$6:$BG$205,0)))</f>
        <v/>
      </c>
      <c r="G98" s="26" t="str">
        <f aca="false">IF($A98="","",INDEX(Employees!$U$6:$U$205,MATCH($A98,Employees!$BG$6:$BG$205,0)))</f>
        <v/>
      </c>
      <c r="H98" s="28" t="str">
        <f aca="false">IF($A98="","",INDEX(Employees!$E$6:$E$205,MATCH($A98,Employees!$BG$6:$BG$205,0)))</f>
        <v/>
      </c>
      <c r="I98" s="11" t="str">
        <f aca="false">IF($A98="","",INDEX(Employees!$Z$6:$Z$205,MATCH($A98,Employees!$BG$6:$BG$205,0)))</f>
        <v/>
      </c>
      <c r="J98" s="26" t="str">
        <f aca="false">IF($A98="","",INDEX(Employees!$AB$6:$AB$205,MATCH($A98,Employees!$BG$6:$BG$205,0)))</f>
        <v/>
      </c>
      <c r="K98" s="26" t="str">
        <f aca="false">IF($A98="","",INDEX(Employees!$AC$6:$AC$205,MATCH($A98,Employees!$BG$6:$BG$205,0)))</f>
        <v/>
      </c>
      <c r="L98" s="28" t="str">
        <f aca="false">IF($A98="","",INDEX(Employees!$AD$6:$AD$205,MATCH($A98,Employees!$BG$6:$BG$205,0)))</f>
        <v/>
      </c>
      <c r="M98" s="11" t="str">
        <f aca="false">IF($A98="","",INDEX(Employees!$AF$6:$AF$205,MATCH($A98,Employees!$BG$6:$BG$205,0)))</f>
        <v/>
      </c>
      <c r="N98" s="11" t="str">
        <f aca="false">IF($A98="","",INDEX(Employees!$AM$6:$AM$205,MATCH($A98,Employees!$BG$6:$BG$205,0)))</f>
        <v/>
      </c>
    </row>
    <row r="99" customFormat="false" ht="15" hidden="false" customHeight="false" outlineLevel="0" collapsed="false">
      <c r="A99" s="11" t="str">
        <f aca="false">IF(94&lt;=MAX(Employees!$BG$6:$BG$205),94,"")</f>
        <v/>
      </c>
      <c r="B99" s="11" t="str">
        <f aca="false">IF($A99="","",INDEX(Employees!$A$6:$A$205,MATCH($A99,Employees!$BG$6:$BG$205,0)))</f>
        <v/>
      </c>
      <c r="C99" s="11" t="str">
        <f aca="false">IF($A99="","",INDEX(Employees!$B$6:$B$205,MATCH($A99,Employees!$BG$6:$BG$205,0)))</f>
        <v/>
      </c>
      <c r="D99" s="11" t="str">
        <f aca="false">IF($A99="","",INDEX(Employees!$C$6:$C$205,MATCH($A99,Employees!$BG$6:$BG$205,0)))</f>
        <v/>
      </c>
      <c r="E99" s="11" t="str">
        <f aca="false">IF($A99="","",INDEX(Employees!$D$6:$D$205,MATCH($A99,Employees!$BG$6:$BG$205,0)))</f>
        <v/>
      </c>
      <c r="F99" s="11" t="str">
        <f aca="false">IF($A99="","",INDEX(Employees!$T$6:$T$205,MATCH($A99,Employees!$BG$6:$BG$205,0)))</f>
        <v/>
      </c>
      <c r="G99" s="26" t="str">
        <f aca="false">IF($A99="","",INDEX(Employees!$U$6:$U$205,MATCH($A99,Employees!$BG$6:$BG$205,0)))</f>
        <v/>
      </c>
      <c r="H99" s="28" t="str">
        <f aca="false">IF($A99="","",INDEX(Employees!$E$6:$E$205,MATCH($A99,Employees!$BG$6:$BG$205,0)))</f>
        <v/>
      </c>
      <c r="I99" s="11" t="str">
        <f aca="false">IF($A99="","",INDEX(Employees!$Z$6:$Z$205,MATCH($A99,Employees!$BG$6:$BG$205,0)))</f>
        <v/>
      </c>
      <c r="J99" s="26" t="str">
        <f aca="false">IF($A99="","",INDEX(Employees!$AB$6:$AB$205,MATCH($A99,Employees!$BG$6:$BG$205,0)))</f>
        <v/>
      </c>
      <c r="K99" s="26" t="str">
        <f aca="false">IF($A99="","",INDEX(Employees!$AC$6:$AC$205,MATCH($A99,Employees!$BG$6:$BG$205,0)))</f>
        <v/>
      </c>
      <c r="L99" s="28" t="str">
        <f aca="false">IF($A99="","",INDEX(Employees!$AD$6:$AD$205,MATCH($A99,Employees!$BG$6:$BG$205,0)))</f>
        <v/>
      </c>
      <c r="M99" s="11" t="str">
        <f aca="false">IF($A99="","",INDEX(Employees!$AF$6:$AF$205,MATCH($A99,Employees!$BG$6:$BG$205,0)))</f>
        <v/>
      </c>
      <c r="N99" s="11" t="str">
        <f aca="false">IF($A99="","",INDEX(Employees!$AM$6:$AM$205,MATCH($A99,Employees!$BG$6:$BG$205,0)))</f>
        <v/>
      </c>
    </row>
    <row r="100" customFormat="false" ht="15" hidden="false" customHeight="false" outlineLevel="0" collapsed="false">
      <c r="A100" s="11" t="str">
        <f aca="false">IF(95&lt;=MAX(Employees!$BG$6:$BG$205),95,"")</f>
        <v/>
      </c>
      <c r="B100" s="11" t="str">
        <f aca="false">IF($A100="","",INDEX(Employees!$A$6:$A$205,MATCH($A100,Employees!$BG$6:$BG$205,0)))</f>
        <v/>
      </c>
      <c r="C100" s="11" t="str">
        <f aca="false">IF($A100="","",INDEX(Employees!$B$6:$B$205,MATCH($A100,Employees!$BG$6:$BG$205,0)))</f>
        <v/>
      </c>
      <c r="D100" s="11" t="str">
        <f aca="false">IF($A100="","",INDEX(Employees!$C$6:$C$205,MATCH($A100,Employees!$BG$6:$BG$205,0)))</f>
        <v/>
      </c>
      <c r="E100" s="11" t="str">
        <f aca="false">IF($A100="","",INDEX(Employees!$D$6:$D$205,MATCH($A100,Employees!$BG$6:$BG$205,0)))</f>
        <v/>
      </c>
      <c r="F100" s="11" t="str">
        <f aca="false">IF($A100="","",INDEX(Employees!$T$6:$T$205,MATCH($A100,Employees!$BG$6:$BG$205,0)))</f>
        <v/>
      </c>
      <c r="G100" s="26" t="str">
        <f aca="false">IF($A100="","",INDEX(Employees!$U$6:$U$205,MATCH($A100,Employees!$BG$6:$BG$205,0)))</f>
        <v/>
      </c>
      <c r="H100" s="28" t="str">
        <f aca="false">IF($A100="","",INDEX(Employees!$E$6:$E$205,MATCH($A100,Employees!$BG$6:$BG$205,0)))</f>
        <v/>
      </c>
      <c r="I100" s="11" t="str">
        <f aca="false">IF($A100="","",INDEX(Employees!$Z$6:$Z$205,MATCH($A100,Employees!$BG$6:$BG$205,0)))</f>
        <v/>
      </c>
      <c r="J100" s="26" t="str">
        <f aca="false">IF($A100="","",INDEX(Employees!$AB$6:$AB$205,MATCH($A100,Employees!$BG$6:$BG$205,0)))</f>
        <v/>
      </c>
      <c r="K100" s="26" t="str">
        <f aca="false">IF($A100="","",INDEX(Employees!$AC$6:$AC$205,MATCH($A100,Employees!$BG$6:$BG$205,0)))</f>
        <v/>
      </c>
      <c r="L100" s="28" t="str">
        <f aca="false">IF($A100="","",INDEX(Employees!$AD$6:$AD$205,MATCH($A100,Employees!$BG$6:$BG$205,0)))</f>
        <v/>
      </c>
      <c r="M100" s="11" t="str">
        <f aca="false">IF($A100="","",INDEX(Employees!$AF$6:$AF$205,MATCH($A100,Employees!$BG$6:$BG$205,0)))</f>
        <v/>
      </c>
      <c r="N100" s="11" t="str">
        <f aca="false">IF($A100="","",INDEX(Employees!$AM$6:$AM$205,MATCH($A100,Employees!$BG$6:$BG$205,0)))</f>
        <v/>
      </c>
    </row>
    <row r="101" customFormat="false" ht="15" hidden="false" customHeight="false" outlineLevel="0" collapsed="false">
      <c r="A101" s="11" t="str">
        <f aca="false">IF(96&lt;=MAX(Employees!$BG$6:$BG$205),96,"")</f>
        <v/>
      </c>
      <c r="B101" s="11" t="str">
        <f aca="false">IF($A101="","",INDEX(Employees!$A$6:$A$205,MATCH($A101,Employees!$BG$6:$BG$205,0)))</f>
        <v/>
      </c>
      <c r="C101" s="11" t="str">
        <f aca="false">IF($A101="","",INDEX(Employees!$B$6:$B$205,MATCH($A101,Employees!$BG$6:$BG$205,0)))</f>
        <v/>
      </c>
      <c r="D101" s="11" t="str">
        <f aca="false">IF($A101="","",INDEX(Employees!$C$6:$C$205,MATCH($A101,Employees!$BG$6:$BG$205,0)))</f>
        <v/>
      </c>
      <c r="E101" s="11" t="str">
        <f aca="false">IF($A101="","",INDEX(Employees!$D$6:$D$205,MATCH($A101,Employees!$BG$6:$BG$205,0)))</f>
        <v/>
      </c>
      <c r="F101" s="11" t="str">
        <f aca="false">IF($A101="","",INDEX(Employees!$T$6:$T$205,MATCH($A101,Employees!$BG$6:$BG$205,0)))</f>
        <v/>
      </c>
      <c r="G101" s="26" t="str">
        <f aca="false">IF($A101="","",INDEX(Employees!$U$6:$U$205,MATCH($A101,Employees!$BG$6:$BG$205,0)))</f>
        <v/>
      </c>
      <c r="H101" s="28" t="str">
        <f aca="false">IF($A101="","",INDEX(Employees!$E$6:$E$205,MATCH($A101,Employees!$BG$6:$BG$205,0)))</f>
        <v/>
      </c>
      <c r="I101" s="11" t="str">
        <f aca="false">IF($A101="","",INDEX(Employees!$Z$6:$Z$205,MATCH($A101,Employees!$BG$6:$BG$205,0)))</f>
        <v/>
      </c>
      <c r="J101" s="26" t="str">
        <f aca="false">IF($A101="","",INDEX(Employees!$AB$6:$AB$205,MATCH($A101,Employees!$BG$6:$BG$205,0)))</f>
        <v/>
      </c>
      <c r="K101" s="26" t="str">
        <f aca="false">IF($A101="","",INDEX(Employees!$AC$6:$AC$205,MATCH($A101,Employees!$BG$6:$BG$205,0)))</f>
        <v/>
      </c>
      <c r="L101" s="28" t="str">
        <f aca="false">IF($A101="","",INDEX(Employees!$AD$6:$AD$205,MATCH($A101,Employees!$BG$6:$BG$205,0)))</f>
        <v/>
      </c>
      <c r="M101" s="11" t="str">
        <f aca="false">IF($A101="","",INDEX(Employees!$AF$6:$AF$205,MATCH($A101,Employees!$BG$6:$BG$205,0)))</f>
        <v/>
      </c>
      <c r="N101" s="11" t="str">
        <f aca="false">IF($A101="","",INDEX(Employees!$AM$6:$AM$205,MATCH($A101,Employees!$BG$6:$BG$205,0)))</f>
        <v/>
      </c>
    </row>
    <row r="102" customFormat="false" ht="15" hidden="false" customHeight="false" outlineLevel="0" collapsed="false">
      <c r="A102" s="11" t="str">
        <f aca="false">IF(97&lt;=MAX(Employees!$BG$6:$BG$205),97,"")</f>
        <v/>
      </c>
      <c r="B102" s="11" t="str">
        <f aca="false">IF($A102="","",INDEX(Employees!$A$6:$A$205,MATCH($A102,Employees!$BG$6:$BG$205,0)))</f>
        <v/>
      </c>
      <c r="C102" s="11" t="str">
        <f aca="false">IF($A102="","",INDEX(Employees!$B$6:$B$205,MATCH($A102,Employees!$BG$6:$BG$205,0)))</f>
        <v/>
      </c>
      <c r="D102" s="11" t="str">
        <f aca="false">IF($A102="","",INDEX(Employees!$C$6:$C$205,MATCH($A102,Employees!$BG$6:$BG$205,0)))</f>
        <v/>
      </c>
      <c r="E102" s="11" t="str">
        <f aca="false">IF($A102="","",INDEX(Employees!$D$6:$D$205,MATCH($A102,Employees!$BG$6:$BG$205,0)))</f>
        <v/>
      </c>
      <c r="F102" s="11" t="str">
        <f aca="false">IF($A102="","",INDEX(Employees!$T$6:$T$205,MATCH($A102,Employees!$BG$6:$BG$205,0)))</f>
        <v/>
      </c>
      <c r="G102" s="26" t="str">
        <f aca="false">IF($A102="","",INDEX(Employees!$U$6:$U$205,MATCH($A102,Employees!$BG$6:$BG$205,0)))</f>
        <v/>
      </c>
      <c r="H102" s="28" t="str">
        <f aca="false">IF($A102="","",INDEX(Employees!$E$6:$E$205,MATCH($A102,Employees!$BG$6:$BG$205,0)))</f>
        <v/>
      </c>
      <c r="I102" s="11" t="str">
        <f aca="false">IF($A102="","",INDEX(Employees!$Z$6:$Z$205,MATCH($A102,Employees!$BG$6:$BG$205,0)))</f>
        <v/>
      </c>
      <c r="J102" s="26" t="str">
        <f aca="false">IF($A102="","",INDEX(Employees!$AB$6:$AB$205,MATCH($A102,Employees!$BG$6:$BG$205,0)))</f>
        <v/>
      </c>
      <c r="K102" s="26" t="str">
        <f aca="false">IF($A102="","",INDEX(Employees!$AC$6:$AC$205,MATCH($A102,Employees!$BG$6:$BG$205,0)))</f>
        <v/>
      </c>
      <c r="L102" s="28" t="str">
        <f aca="false">IF($A102="","",INDEX(Employees!$AD$6:$AD$205,MATCH($A102,Employees!$BG$6:$BG$205,0)))</f>
        <v/>
      </c>
      <c r="M102" s="11" t="str">
        <f aca="false">IF($A102="","",INDEX(Employees!$AF$6:$AF$205,MATCH($A102,Employees!$BG$6:$BG$205,0)))</f>
        <v/>
      </c>
      <c r="N102" s="11" t="str">
        <f aca="false">IF($A102="","",INDEX(Employees!$AM$6:$AM$205,MATCH($A102,Employees!$BG$6:$BG$205,0)))</f>
        <v/>
      </c>
    </row>
    <row r="103" customFormat="false" ht="15" hidden="false" customHeight="false" outlineLevel="0" collapsed="false">
      <c r="A103" s="11" t="str">
        <f aca="false">IF(98&lt;=MAX(Employees!$BG$6:$BG$205),98,"")</f>
        <v/>
      </c>
      <c r="B103" s="11" t="str">
        <f aca="false">IF($A103="","",INDEX(Employees!$A$6:$A$205,MATCH($A103,Employees!$BG$6:$BG$205,0)))</f>
        <v/>
      </c>
      <c r="C103" s="11" t="str">
        <f aca="false">IF($A103="","",INDEX(Employees!$B$6:$B$205,MATCH($A103,Employees!$BG$6:$BG$205,0)))</f>
        <v/>
      </c>
      <c r="D103" s="11" t="str">
        <f aca="false">IF($A103="","",INDEX(Employees!$C$6:$C$205,MATCH($A103,Employees!$BG$6:$BG$205,0)))</f>
        <v/>
      </c>
      <c r="E103" s="11" t="str">
        <f aca="false">IF($A103="","",INDEX(Employees!$D$6:$D$205,MATCH($A103,Employees!$BG$6:$BG$205,0)))</f>
        <v/>
      </c>
      <c r="F103" s="11" t="str">
        <f aca="false">IF($A103="","",INDEX(Employees!$T$6:$T$205,MATCH($A103,Employees!$BG$6:$BG$205,0)))</f>
        <v/>
      </c>
      <c r="G103" s="26" t="str">
        <f aca="false">IF($A103="","",INDEX(Employees!$U$6:$U$205,MATCH($A103,Employees!$BG$6:$BG$205,0)))</f>
        <v/>
      </c>
      <c r="H103" s="28" t="str">
        <f aca="false">IF($A103="","",INDEX(Employees!$E$6:$E$205,MATCH($A103,Employees!$BG$6:$BG$205,0)))</f>
        <v/>
      </c>
      <c r="I103" s="11" t="str">
        <f aca="false">IF($A103="","",INDEX(Employees!$Z$6:$Z$205,MATCH($A103,Employees!$BG$6:$BG$205,0)))</f>
        <v/>
      </c>
      <c r="J103" s="26" t="str">
        <f aca="false">IF($A103="","",INDEX(Employees!$AB$6:$AB$205,MATCH($A103,Employees!$BG$6:$BG$205,0)))</f>
        <v/>
      </c>
      <c r="K103" s="26" t="str">
        <f aca="false">IF($A103="","",INDEX(Employees!$AC$6:$AC$205,MATCH($A103,Employees!$BG$6:$BG$205,0)))</f>
        <v/>
      </c>
      <c r="L103" s="28" t="str">
        <f aca="false">IF($A103="","",INDEX(Employees!$AD$6:$AD$205,MATCH($A103,Employees!$BG$6:$BG$205,0)))</f>
        <v/>
      </c>
      <c r="M103" s="11" t="str">
        <f aca="false">IF($A103="","",INDEX(Employees!$AF$6:$AF$205,MATCH($A103,Employees!$BG$6:$BG$205,0)))</f>
        <v/>
      </c>
      <c r="N103" s="11" t="str">
        <f aca="false">IF($A103="","",INDEX(Employees!$AM$6:$AM$205,MATCH($A103,Employees!$BG$6:$BG$205,0)))</f>
        <v/>
      </c>
    </row>
    <row r="104" customFormat="false" ht="15" hidden="false" customHeight="false" outlineLevel="0" collapsed="false">
      <c r="A104" s="11" t="str">
        <f aca="false">IF(99&lt;=MAX(Employees!$BG$6:$BG$205),99,"")</f>
        <v/>
      </c>
      <c r="B104" s="11" t="str">
        <f aca="false">IF($A104="","",INDEX(Employees!$A$6:$A$205,MATCH($A104,Employees!$BG$6:$BG$205,0)))</f>
        <v/>
      </c>
      <c r="C104" s="11" t="str">
        <f aca="false">IF($A104="","",INDEX(Employees!$B$6:$B$205,MATCH($A104,Employees!$BG$6:$BG$205,0)))</f>
        <v/>
      </c>
      <c r="D104" s="11" t="str">
        <f aca="false">IF($A104="","",INDEX(Employees!$C$6:$C$205,MATCH($A104,Employees!$BG$6:$BG$205,0)))</f>
        <v/>
      </c>
      <c r="E104" s="11" t="str">
        <f aca="false">IF($A104="","",INDEX(Employees!$D$6:$D$205,MATCH($A104,Employees!$BG$6:$BG$205,0)))</f>
        <v/>
      </c>
      <c r="F104" s="11" t="str">
        <f aca="false">IF($A104="","",INDEX(Employees!$T$6:$T$205,MATCH($A104,Employees!$BG$6:$BG$205,0)))</f>
        <v/>
      </c>
      <c r="G104" s="26" t="str">
        <f aca="false">IF($A104="","",INDEX(Employees!$U$6:$U$205,MATCH($A104,Employees!$BG$6:$BG$205,0)))</f>
        <v/>
      </c>
      <c r="H104" s="28" t="str">
        <f aca="false">IF($A104="","",INDEX(Employees!$E$6:$E$205,MATCH($A104,Employees!$BG$6:$BG$205,0)))</f>
        <v/>
      </c>
      <c r="I104" s="11" t="str">
        <f aca="false">IF($A104="","",INDEX(Employees!$Z$6:$Z$205,MATCH($A104,Employees!$BG$6:$BG$205,0)))</f>
        <v/>
      </c>
      <c r="J104" s="26" t="str">
        <f aca="false">IF($A104="","",INDEX(Employees!$AB$6:$AB$205,MATCH($A104,Employees!$BG$6:$BG$205,0)))</f>
        <v/>
      </c>
      <c r="K104" s="26" t="str">
        <f aca="false">IF($A104="","",INDEX(Employees!$AC$6:$AC$205,MATCH($A104,Employees!$BG$6:$BG$205,0)))</f>
        <v/>
      </c>
      <c r="L104" s="28" t="str">
        <f aca="false">IF($A104="","",INDEX(Employees!$AD$6:$AD$205,MATCH($A104,Employees!$BG$6:$BG$205,0)))</f>
        <v/>
      </c>
      <c r="M104" s="11" t="str">
        <f aca="false">IF($A104="","",INDEX(Employees!$AF$6:$AF$205,MATCH($A104,Employees!$BG$6:$BG$205,0)))</f>
        <v/>
      </c>
      <c r="N104" s="11" t="str">
        <f aca="false">IF($A104="","",INDEX(Employees!$AM$6:$AM$205,MATCH($A104,Employees!$BG$6:$BG$205,0)))</f>
        <v/>
      </c>
    </row>
    <row r="105" customFormat="false" ht="15" hidden="false" customHeight="false" outlineLevel="0" collapsed="false">
      <c r="A105" s="11" t="str">
        <f aca="false">IF(100&lt;=MAX(Employees!$BG$6:$BG$205),100,"")</f>
        <v/>
      </c>
      <c r="B105" s="11" t="str">
        <f aca="false">IF($A105="","",INDEX(Employees!$A$6:$A$205,MATCH($A105,Employees!$BG$6:$BG$205,0)))</f>
        <v/>
      </c>
      <c r="C105" s="11" t="str">
        <f aca="false">IF($A105="","",INDEX(Employees!$B$6:$B$205,MATCH($A105,Employees!$BG$6:$BG$205,0)))</f>
        <v/>
      </c>
      <c r="D105" s="11" t="str">
        <f aca="false">IF($A105="","",INDEX(Employees!$C$6:$C$205,MATCH($A105,Employees!$BG$6:$BG$205,0)))</f>
        <v/>
      </c>
      <c r="E105" s="11" t="str">
        <f aca="false">IF($A105="","",INDEX(Employees!$D$6:$D$205,MATCH($A105,Employees!$BG$6:$BG$205,0)))</f>
        <v/>
      </c>
      <c r="F105" s="11" t="str">
        <f aca="false">IF($A105="","",INDEX(Employees!$T$6:$T$205,MATCH($A105,Employees!$BG$6:$BG$205,0)))</f>
        <v/>
      </c>
      <c r="G105" s="26" t="str">
        <f aca="false">IF($A105="","",INDEX(Employees!$U$6:$U$205,MATCH($A105,Employees!$BG$6:$BG$205,0)))</f>
        <v/>
      </c>
      <c r="H105" s="28" t="str">
        <f aca="false">IF($A105="","",INDEX(Employees!$E$6:$E$205,MATCH($A105,Employees!$BG$6:$BG$205,0)))</f>
        <v/>
      </c>
      <c r="I105" s="11" t="str">
        <f aca="false">IF($A105="","",INDEX(Employees!$Z$6:$Z$205,MATCH($A105,Employees!$BG$6:$BG$205,0)))</f>
        <v/>
      </c>
      <c r="J105" s="26" t="str">
        <f aca="false">IF($A105="","",INDEX(Employees!$AB$6:$AB$205,MATCH($A105,Employees!$BG$6:$BG$205,0)))</f>
        <v/>
      </c>
      <c r="K105" s="26" t="str">
        <f aca="false">IF($A105="","",INDEX(Employees!$AC$6:$AC$205,MATCH($A105,Employees!$BG$6:$BG$205,0)))</f>
        <v/>
      </c>
      <c r="L105" s="28" t="str">
        <f aca="false">IF($A105="","",INDEX(Employees!$AD$6:$AD$205,MATCH($A105,Employees!$BG$6:$BG$205,0)))</f>
        <v/>
      </c>
      <c r="M105" s="11" t="str">
        <f aca="false">IF($A105="","",INDEX(Employees!$AF$6:$AF$205,MATCH($A105,Employees!$BG$6:$BG$205,0)))</f>
        <v/>
      </c>
      <c r="N105" s="11" t="str">
        <f aca="false">IF($A105="","",INDEX(Employees!$AM$6:$AM$205,MATCH($A105,Employees!$BG$6:$BG$205,0)))</f>
        <v/>
      </c>
    </row>
    <row r="106" customFormat="false" ht="15" hidden="false" customHeight="false" outlineLevel="0" collapsed="false">
      <c r="A106" s="11" t="str">
        <f aca="false">IF(101&lt;=MAX(Employees!$BG$6:$BG$205),101,"")</f>
        <v/>
      </c>
      <c r="B106" s="11" t="str">
        <f aca="false">IF($A106="","",INDEX(Employees!$A$6:$A$205,MATCH($A106,Employees!$BG$6:$BG$205,0)))</f>
        <v/>
      </c>
      <c r="C106" s="11" t="str">
        <f aca="false">IF($A106="","",INDEX(Employees!$B$6:$B$205,MATCH($A106,Employees!$BG$6:$BG$205,0)))</f>
        <v/>
      </c>
      <c r="D106" s="11" t="str">
        <f aca="false">IF($A106="","",INDEX(Employees!$C$6:$C$205,MATCH($A106,Employees!$BG$6:$BG$205,0)))</f>
        <v/>
      </c>
      <c r="E106" s="11" t="str">
        <f aca="false">IF($A106="","",INDEX(Employees!$D$6:$D$205,MATCH($A106,Employees!$BG$6:$BG$205,0)))</f>
        <v/>
      </c>
      <c r="F106" s="11" t="str">
        <f aca="false">IF($A106="","",INDEX(Employees!$T$6:$T$205,MATCH($A106,Employees!$BG$6:$BG$205,0)))</f>
        <v/>
      </c>
      <c r="G106" s="26" t="str">
        <f aca="false">IF($A106="","",INDEX(Employees!$U$6:$U$205,MATCH($A106,Employees!$BG$6:$BG$205,0)))</f>
        <v/>
      </c>
      <c r="H106" s="28" t="str">
        <f aca="false">IF($A106="","",INDEX(Employees!$E$6:$E$205,MATCH($A106,Employees!$BG$6:$BG$205,0)))</f>
        <v/>
      </c>
      <c r="I106" s="11" t="str">
        <f aca="false">IF($A106="","",INDEX(Employees!$Z$6:$Z$205,MATCH($A106,Employees!$BG$6:$BG$205,0)))</f>
        <v/>
      </c>
      <c r="J106" s="26" t="str">
        <f aca="false">IF($A106="","",INDEX(Employees!$AB$6:$AB$205,MATCH($A106,Employees!$BG$6:$BG$205,0)))</f>
        <v/>
      </c>
      <c r="K106" s="26" t="str">
        <f aca="false">IF($A106="","",INDEX(Employees!$AC$6:$AC$205,MATCH($A106,Employees!$BG$6:$BG$205,0)))</f>
        <v/>
      </c>
      <c r="L106" s="28" t="str">
        <f aca="false">IF($A106="","",INDEX(Employees!$AD$6:$AD$205,MATCH($A106,Employees!$BG$6:$BG$205,0)))</f>
        <v/>
      </c>
      <c r="M106" s="11" t="str">
        <f aca="false">IF($A106="","",INDEX(Employees!$AF$6:$AF$205,MATCH($A106,Employees!$BG$6:$BG$205,0)))</f>
        <v/>
      </c>
      <c r="N106" s="11" t="str">
        <f aca="false">IF($A106="","",INDEX(Employees!$AM$6:$AM$205,MATCH($A106,Employees!$BG$6:$BG$205,0)))</f>
        <v/>
      </c>
    </row>
    <row r="107" customFormat="false" ht="15" hidden="false" customHeight="false" outlineLevel="0" collapsed="false">
      <c r="A107" s="11" t="str">
        <f aca="false">IF(102&lt;=MAX(Employees!$BG$6:$BG$205),102,"")</f>
        <v/>
      </c>
      <c r="B107" s="11" t="str">
        <f aca="false">IF($A107="","",INDEX(Employees!$A$6:$A$205,MATCH($A107,Employees!$BG$6:$BG$205,0)))</f>
        <v/>
      </c>
      <c r="C107" s="11" t="str">
        <f aca="false">IF($A107="","",INDEX(Employees!$B$6:$B$205,MATCH($A107,Employees!$BG$6:$BG$205,0)))</f>
        <v/>
      </c>
      <c r="D107" s="11" t="str">
        <f aca="false">IF($A107="","",INDEX(Employees!$C$6:$C$205,MATCH($A107,Employees!$BG$6:$BG$205,0)))</f>
        <v/>
      </c>
      <c r="E107" s="11" t="str">
        <f aca="false">IF($A107="","",INDEX(Employees!$D$6:$D$205,MATCH($A107,Employees!$BG$6:$BG$205,0)))</f>
        <v/>
      </c>
      <c r="F107" s="11" t="str">
        <f aca="false">IF($A107="","",INDEX(Employees!$T$6:$T$205,MATCH($A107,Employees!$BG$6:$BG$205,0)))</f>
        <v/>
      </c>
      <c r="G107" s="26" t="str">
        <f aca="false">IF($A107="","",INDEX(Employees!$U$6:$U$205,MATCH($A107,Employees!$BG$6:$BG$205,0)))</f>
        <v/>
      </c>
      <c r="H107" s="28" t="str">
        <f aca="false">IF($A107="","",INDEX(Employees!$E$6:$E$205,MATCH($A107,Employees!$BG$6:$BG$205,0)))</f>
        <v/>
      </c>
      <c r="I107" s="11" t="str">
        <f aca="false">IF($A107="","",INDEX(Employees!$Z$6:$Z$205,MATCH($A107,Employees!$BG$6:$BG$205,0)))</f>
        <v/>
      </c>
      <c r="J107" s="26" t="str">
        <f aca="false">IF($A107="","",INDEX(Employees!$AB$6:$AB$205,MATCH($A107,Employees!$BG$6:$BG$205,0)))</f>
        <v/>
      </c>
      <c r="K107" s="26" t="str">
        <f aca="false">IF($A107="","",INDEX(Employees!$AC$6:$AC$205,MATCH($A107,Employees!$BG$6:$BG$205,0)))</f>
        <v/>
      </c>
      <c r="L107" s="28" t="str">
        <f aca="false">IF($A107="","",INDEX(Employees!$AD$6:$AD$205,MATCH($A107,Employees!$BG$6:$BG$205,0)))</f>
        <v/>
      </c>
      <c r="M107" s="11" t="str">
        <f aca="false">IF($A107="","",INDEX(Employees!$AF$6:$AF$205,MATCH($A107,Employees!$BG$6:$BG$205,0)))</f>
        <v/>
      </c>
      <c r="N107" s="11" t="str">
        <f aca="false">IF($A107="","",INDEX(Employees!$AM$6:$AM$205,MATCH($A107,Employees!$BG$6:$BG$205,0)))</f>
        <v/>
      </c>
    </row>
    <row r="108" customFormat="false" ht="15" hidden="false" customHeight="false" outlineLevel="0" collapsed="false">
      <c r="A108" s="11" t="str">
        <f aca="false">IF(103&lt;=MAX(Employees!$BG$6:$BG$205),103,"")</f>
        <v/>
      </c>
      <c r="B108" s="11" t="str">
        <f aca="false">IF($A108="","",INDEX(Employees!$A$6:$A$205,MATCH($A108,Employees!$BG$6:$BG$205,0)))</f>
        <v/>
      </c>
      <c r="C108" s="11" t="str">
        <f aca="false">IF($A108="","",INDEX(Employees!$B$6:$B$205,MATCH($A108,Employees!$BG$6:$BG$205,0)))</f>
        <v/>
      </c>
      <c r="D108" s="11" t="str">
        <f aca="false">IF($A108="","",INDEX(Employees!$C$6:$C$205,MATCH($A108,Employees!$BG$6:$BG$205,0)))</f>
        <v/>
      </c>
      <c r="E108" s="11" t="str">
        <f aca="false">IF($A108="","",INDEX(Employees!$D$6:$D$205,MATCH($A108,Employees!$BG$6:$BG$205,0)))</f>
        <v/>
      </c>
      <c r="F108" s="11" t="str">
        <f aca="false">IF($A108="","",INDEX(Employees!$T$6:$T$205,MATCH($A108,Employees!$BG$6:$BG$205,0)))</f>
        <v/>
      </c>
      <c r="G108" s="26" t="str">
        <f aca="false">IF($A108="","",INDEX(Employees!$U$6:$U$205,MATCH($A108,Employees!$BG$6:$BG$205,0)))</f>
        <v/>
      </c>
      <c r="H108" s="28" t="str">
        <f aca="false">IF($A108="","",INDEX(Employees!$E$6:$E$205,MATCH($A108,Employees!$BG$6:$BG$205,0)))</f>
        <v/>
      </c>
      <c r="I108" s="11" t="str">
        <f aca="false">IF($A108="","",INDEX(Employees!$Z$6:$Z$205,MATCH($A108,Employees!$BG$6:$BG$205,0)))</f>
        <v/>
      </c>
      <c r="J108" s="26" t="str">
        <f aca="false">IF($A108="","",INDEX(Employees!$AB$6:$AB$205,MATCH($A108,Employees!$BG$6:$BG$205,0)))</f>
        <v/>
      </c>
      <c r="K108" s="26" t="str">
        <f aca="false">IF($A108="","",INDEX(Employees!$AC$6:$AC$205,MATCH($A108,Employees!$BG$6:$BG$205,0)))</f>
        <v/>
      </c>
      <c r="L108" s="28" t="str">
        <f aca="false">IF($A108="","",INDEX(Employees!$AD$6:$AD$205,MATCH($A108,Employees!$BG$6:$BG$205,0)))</f>
        <v/>
      </c>
      <c r="M108" s="11" t="str">
        <f aca="false">IF($A108="","",INDEX(Employees!$AF$6:$AF$205,MATCH($A108,Employees!$BG$6:$BG$205,0)))</f>
        <v/>
      </c>
      <c r="N108" s="11" t="str">
        <f aca="false">IF($A108="","",INDEX(Employees!$AM$6:$AM$205,MATCH($A108,Employees!$BG$6:$BG$205,0)))</f>
        <v/>
      </c>
    </row>
    <row r="109" customFormat="false" ht="15" hidden="false" customHeight="false" outlineLevel="0" collapsed="false">
      <c r="A109" s="11" t="str">
        <f aca="false">IF(104&lt;=MAX(Employees!$BG$6:$BG$205),104,"")</f>
        <v/>
      </c>
      <c r="B109" s="11" t="str">
        <f aca="false">IF($A109="","",INDEX(Employees!$A$6:$A$205,MATCH($A109,Employees!$BG$6:$BG$205,0)))</f>
        <v/>
      </c>
      <c r="C109" s="11" t="str">
        <f aca="false">IF($A109="","",INDEX(Employees!$B$6:$B$205,MATCH($A109,Employees!$BG$6:$BG$205,0)))</f>
        <v/>
      </c>
      <c r="D109" s="11" t="str">
        <f aca="false">IF($A109="","",INDEX(Employees!$C$6:$C$205,MATCH($A109,Employees!$BG$6:$BG$205,0)))</f>
        <v/>
      </c>
      <c r="E109" s="11" t="str">
        <f aca="false">IF($A109="","",INDEX(Employees!$D$6:$D$205,MATCH($A109,Employees!$BG$6:$BG$205,0)))</f>
        <v/>
      </c>
      <c r="F109" s="11" t="str">
        <f aca="false">IF($A109="","",INDEX(Employees!$T$6:$T$205,MATCH($A109,Employees!$BG$6:$BG$205,0)))</f>
        <v/>
      </c>
      <c r="G109" s="26" t="str">
        <f aca="false">IF($A109="","",INDEX(Employees!$U$6:$U$205,MATCH($A109,Employees!$BG$6:$BG$205,0)))</f>
        <v/>
      </c>
      <c r="H109" s="28" t="str">
        <f aca="false">IF($A109="","",INDEX(Employees!$E$6:$E$205,MATCH($A109,Employees!$BG$6:$BG$205,0)))</f>
        <v/>
      </c>
      <c r="I109" s="11" t="str">
        <f aca="false">IF($A109="","",INDEX(Employees!$Z$6:$Z$205,MATCH($A109,Employees!$BG$6:$BG$205,0)))</f>
        <v/>
      </c>
      <c r="J109" s="26" t="str">
        <f aca="false">IF($A109="","",INDEX(Employees!$AB$6:$AB$205,MATCH($A109,Employees!$BG$6:$BG$205,0)))</f>
        <v/>
      </c>
      <c r="K109" s="26" t="str">
        <f aca="false">IF($A109="","",INDEX(Employees!$AC$6:$AC$205,MATCH($A109,Employees!$BG$6:$BG$205,0)))</f>
        <v/>
      </c>
      <c r="L109" s="28" t="str">
        <f aca="false">IF($A109="","",INDEX(Employees!$AD$6:$AD$205,MATCH($A109,Employees!$BG$6:$BG$205,0)))</f>
        <v/>
      </c>
      <c r="M109" s="11" t="str">
        <f aca="false">IF($A109="","",INDEX(Employees!$AF$6:$AF$205,MATCH($A109,Employees!$BG$6:$BG$205,0)))</f>
        <v/>
      </c>
      <c r="N109" s="11" t="str">
        <f aca="false">IF($A109="","",INDEX(Employees!$AM$6:$AM$205,MATCH($A109,Employees!$BG$6:$BG$205,0)))</f>
        <v/>
      </c>
    </row>
    <row r="110" customFormat="false" ht="15" hidden="false" customHeight="false" outlineLevel="0" collapsed="false">
      <c r="A110" s="11" t="str">
        <f aca="false">IF(105&lt;=MAX(Employees!$BG$6:$BG$205),105,"")</f>
        <v/>
      </c>
      <c r="B110" s="11" t="str">
        <f aca="false">IF($A110="","",INDEX(Employees!$A$6:$A$205,MATCH($A110,Employees!$BG$6:$BG$205,0)))</f>
        <v/>
      </c>
      <c r="C110" s="11" t="str">
        <f aca="false">IF($A110="","",INDEX(Employees!$B$6:$B$205,MATCH($A110,Employees!$BG$6:$BG$205,0)))</f>
        <v/>
      </c>
      <c r="D110" s="11" t="str">
        <f aca="false">IF($A110="","",INDEX(Employees!$C$6:$C$205,MATCH($A110,Employees!$BG$6:$BG$205,0)))</f>
        <v/>
      </c>
      <c r="E110" s="11" t="str">
        <f aca="false">IF($A110="","",INDEX(Employees!$D$6:$D$205,MATCH($A110,Employees!$BG$6:$BG$205,0)))</f>
        <v/>
      </c>
      <c r="F110" s="11" t="str">
        <f aca="false">IF($A110="","",INDEX(Employees!$T$6:$T$205,MATCH($A110,Employees!$BG$6:$BG$205,0)))</f>
        <v/>
      </c>
      <c r="G110" s="26" t="str">
        <f aca="false">IF($A110="","",INDEX(Employees!$U$6:$U$205,MATCH($A110,Employees!$BG$6:$BG$205,0)))</f>
        <v/>
      </c>
      <c r="H110" s="28" t="str">
        <f aca="false">IF($A110="","",INDEX(Employees!$E$6:$E$205,MATCH($A110,Employees!$BG$6:$BG$205,0)))</f>
        <v/>
      </c>
      <c r="I110" s="11" t="str">
        <f aca="false">IF($A110="","",INDEX(Employees!$Z$6:$Z$205,MATCH($A110,Employees!$BG$6:$BG$205,0)))</f>
        <v/>
      </c>
      <c r="J110" s="26" t="str">
        <f aca="false">IF($A110="","",INDEX(Employees!$AB$6:$AB$205,MATCH($A110,Employees!$BG$6:$BG$205,0)))</f>
        <v/>
      </c>
      <c r="K110" s="26" t="str">
        <f aca="false">IF($A110="","",INDEX(Employees!$AC$6:$AC$205,MATCH($A110,Employees!$BG$6:$BG$205,0)))</f>
        <v/>
      </c>
      <c r="L110" s="28" t="str">
        <f aca="false">IF($A110="","",INDEX(Employees!$AD$6:$AD$205,MATCH($A110,Employees!$BG$6:$BG$205,0)))</f>
        <v/>
      </c>
      <c r="M110" s="11" t="str">
        <f aca="false">IF($A110="","",INDEX(Employees!$AF$6:$AF$205,MATCH($A110,Employees!$BG$6:$BG$205,0)))</f>
        <v/>
      </c>
      <c r="N110" s="11" t="str">
        <f aca="false">IF($A110="","",INDEX(Employees!$AM$6:$AM$205,MATCH($A110,Employees!$BG$6:$BG$205,0)))</f>
        <v/>
      </c>
    </row>
    <row r="111" customFormat="false" ht="15" hidden="false" customHeight="false" outlineLevel="0" collapsed="false">
      <c r="A111" s="11" t="str">
        <f aca="false">IF(106&lt;=MAX(Employees!$BG$6:$BG$205),106,"")</f>
        <v/>
      </c>
      <c r="B111" s="11" t="str">
        <f aca="false">IF($A111="","",INDEX(Employees!$A$6:$A$205,MATCH($A111,Employees!$BG$6:$BG$205,0)))</f>
        <v/>
      </c>
      <c r="C111" s="11" t="str">
        <f aca="false">IF($A111="","",INDEX(Employees!$B$6:$B$205,MATCH($A111,Employees!$BG$6:$BG$205,0)))</f>
        <v/>
      </c>
      <c r="D111" s="11" t="str">
        <f aca="false">IF($A111="","",INDEX(Employees!$C$6:$C$205,MATCH($A111,Employees!$BG$6:$BG$205,0)))</f>
        <v/>
      </c>
      <c r="E111" s="11" t="str">
        <f aca="false">IF($A111="","",INDEX(Employees!$D$6:$D$205,MATCH($A111,Employees!$BG$6:$BG$205,0)))</f>
        <v/>
      </c>
      <c r="F111" s="11" t="str">
        <f aca="false">IF($A111="","",INDEX(Employees!$T$6:$T$205,MATCH($A111,Employees!$BG$6:$BG$205,0)))</f>
        <v/>
      </c>
      <c r="G111" s="26" t="str">
        <f aca="false">IF($A111="","",INDEX(Employees!$U$6:$U$205,MATCH($A111,Employees!$BG$6:$BG$205,0)))</f>
        <v/>
      </c>
      <c r="H111" s="28" t="str">
        <f aca="false">IF($A111="","",INDEX(Employees!$E$6:$E$205,MATCH($A111,Employees!$BG$6:$BG$205,0)))</f>
        <v/>
      </c>
      <c r="I111" s="11" t="str">
        <f aca="false">IF($A111="","",INDEX(Employees!$Z$6:$Z$205,MATCH($A111,Employees!$BG$6:$BG$205,0)))</f>
        <v/>
      </c>
      <c r="J111" s="26" t="str">
        <f aca="false">IF($A111="","",INDEX(Employees!$AB$6:$AB$205,MATCH($A111,Employees!$BG$6:$BG$205,0)))</f>
        <v/>
      </c>
      <c r="K111" s="26" t="str">
        <f aca="false">IF($A111="","",INDEX(Employees!$AC$6:$AC$205,MATCH($A111,Employees!$BG$6:$BG$205,0)))</f>
        <v/>
      </c>
      <c r="L111" s="28" t="str">
        <f aca="false">IF($A111="","",INDEX(Employees!$AD$6:$AD$205,MATCH($A111,Employees!$BG$6:$BG$205,0)))</f>
        <v/>
      </c>
      <c r="M111" s="11" t="str">
        <f aca="false">IF($A111="","",INDEX(Employees!$AF$6:$AF$205,MATCH($A111,Employees!$BG$6:$BG$205,0)))</f>
        <v/>
      </c>
      <c r="N111" s="11" t="str">
        <f aca="false">IF($A111="","",INDEX(Employees!$AM$6:$AM$205,MATCH($A111,Employees!$BG$6:$BG$205,0)))</f>
        <v/>
      </c>
    </row>
    <row r="112" customFormat="false" ht="15" hidden="false" customHeight="false" outlineLevel="0" collapsed="false">
      <c r="A112" s="11" t="str">
        <f aca="false">IF(107&lt;=MAX(Employees!$BG$6:$BG$205),107,"")</f>
        <v/>
      </c>
      <c r="B112" s="11" t="str">
        <f aca="false">IF($A112="","",INDEX(Employees!$A$6:$A$205,MATCH($A112,Employees!$BG$6:$BG$205,0)))</f>
        <v/>
      </c>
      <c r="C112" s="11" t="str">
        <f aca="false">IF($A112="","",INDEX(Employees!$B$6:$B$205,MATCH($A112,Employees!$BG$6:$BG$205,0)))</f>
        <v/>
      </c>
      <c r="D112" s="11" t="str">
        <f aca="false">IF($A112="","",INDEX(Employees!$C$6:$C$205,MATCH($A112,Employees!$BG$6:$BG$205,0)))</f>
        <v/>
      </c>
      <c r="E112" s="11" t="str">
        <f aca="false">IF($A112="","",INDEX(Employees!$D$6:$D$205,MATCH($A112,Employees!$BG$6:$BG$205,0)))</f>
        <v/>
      </c>
      <c r="F112" s="11" t="str">
        <f aca="false">IF($A112="","",INDEX(Employees!$T$6:$T$205,MATCH($A112,Employees!$BG$6:$BG$205,0)))</f>
        <v/>
      </c>
      <c r="G112" s="26" t="str">
        <f aca="false">IF($A112="","",INDEX(Employees!$U$6:$U$205,MATCH($A112,Employees!$BG$6:$BG$205,0)))</f>
        <v/>
      </c>
      <c r="H112" s="28" t="str">
        <f aca="false">IF($A112="","",INDEX(Employees!$E$6:$E$205,MATCH($A112,Employees!$BG$6:$BG$205,0)))</f>
        <v/>
      </c>
      <c r="I112" s="11" t="str">
        <f aca="false">IF($A112="","",INDEX(Employees!$Z$6:$Z$205,MATCH($A112,Employees!$BG$6:$BG$205,0)))</f>
        <v/>
      </c>
      <c r="J112" s="26" t="str">
        <f aca="false">IF($A112="","",INDEX(Employees!$AB$6:$AB$205,MATCH($A112,Employees!$BG$6:$BG$205,0)))</f>
        <v/>
      </c>
      <c r="K112" s="26" t="str">
        <f aca="false">IF($A112="","",INDEX(Employees!$AC$6:$AC$205,MATCH($A112,Employees!$BG$6:$BG$205,0)))</f>
        <v/>
      </c>
      <c r="L112" s="28" t="str">
        <f aca="false">IF($A112="","",INDEX(Employees!$AD$6:$AD$205,MATCH($A112,Employees!$BG$6:$BG$205,0)))</f>
        <v/>
      </c>
      <c r="M112" s="11" t="str">
        <f aca="false">IF($A112="","",INDEX(Employees!$AF$6:$AF$205,MATCH($A112,Employees!$BG$6:$BG$205,0)))</f>
        <v/>
      </c>
      <c r="N112" s="11" t="str">
        <f aca="false">IF($A112="","",INDEX(Employees!$AM$6:$AM$205,MATCH($A112,Employees!$BG$6:$BG$205,0)))</f>
        <v/>
      </c>
    </row>
    <row r="113" customFormat="false" ht="15" hidden="false" customHeight="false" outlineLevel="0" collapsed="false">
      <c r="A113" s="11" t="str">
        <f aca="false">IF(108&lt;=MAX(Employees!$BG$6:$BG$205),108,"")</f>
        <v/>
      </c>
      <c r="B113" s="11" t="str">
        <f aca="false">IF($A113="","",INDEX(Employees!$A$6:$A$205,MATCH($A113,Employees!$BG$6:$BG$205,0)))</f>
        <v/>
      </c>
      <c r="C113" s="11" t="str">
        <f aca="false">IF($A113="","",INDEX(Employees!$B$6:$B$205,MATCH($A113,Employees!$BG$6:$BG$205,0)))</f>
        <v/>
      </c>
      <c r="D113" s="11" t="str">
        <f aca="false">IF($A113="","",INDEX(Employees!$C$6:$C$205,MATCH($A113,Employees!$BG$6:$BG$205,0)))</f>
        <v/>
      </c>
      <c r="E113" s="11" t="str">
        <f aca="false">IF($A113="","",INDEX(Employees!$D$6:$D$205,MATCH($A113,Employees!$BG$6:$BG$205,0)))</f>
        <v/>
      </c>
      <c r="F113" s="11" t="str">
        <f aca="false">IF($A113="","",INDEX(Employees!$T$6:$T$205,MATCH($A113,Employees!$BG$6:$BG$205,0)))</f>
        <v/>
      </c>
      <c r="G113" s="26" t="str">
        <f aca="false">IF($A113="","",INDEX(Employees!$U$6:$U$205,MATCH($A113,Employees!$BG$6:$BG$205,0)))</f>
        <v/>
      </c>
      <c r="H113" s="28" t="str">
        <f aca="false">IF($A113="","",INDEX(Employees!$E$6:$E$205,MATCH($A113,Employees!$BG$6:$BG$205,0)))</f>
        <v/>
      </c>
      <c r="I113" s="11" t="str">
        <f aca="false">IF($A113="","",INDEX(Employees!$Z$6:$Z$205,MATCH($A113,Employees!$BG$6:$BG$205,0)))</f>
        <v/>
      </c>
      <c r="J113" s="26" t="str">
        <f aca="false">IF($A113="","",INDEX(Employees!$AB$6:$AB$205,MATCH($A113,Employees!$BG$6:$BG$205,0)))</f>
        <v/>
      </c>
      <c r="K113" s="26" t="str">
        <f aca="false">IF($A113="","",INDEX(Employees!$AC$6:$AC$205,MATCH($A113,Employees!$BG$6:$BG$205,0)))</f>
        <v/>
      </c>
      <c r="L113" s="28" t="str">
        <f aca="false">IF($A113="","",INDEX(Employees!$AD$6:$AD$205,MATCH($A113,Employees!$BG$6:$BG$205,0)))</f>
        <v/>
      </c>
      <c r="M113" s="11" t="str">
        <f aca="false">IF($A113="","",INDEX(Employees!$AF$6:$AF$205,MATCH($A113,Employees!$BG$6:$BG$205,0)))</f>
        <v/>
      </c>
      <c r="N113" s="11" t="str">
        <f aca="false">IF($A113="","",INDEX(Employees!$AM$6:$AM$205,MATCH($A113,Employees!$BG$6:$BG$205,0)))</f>
        <v/>
      </c>
    </row>
    <row r="114" customFormat="false" ht="15" hidden="false" customHeight="false" outlineLevel="0" collapsed="false">
      <c r="A114" s="11" t="str">
        <f aca="false">IF(109&lt;=MAX(Employees!$BG$6:$BG$205),109,"")</f>
        <v/>
      </c>
      <c r="B114" s="11" t="str">
        <f aca="false">IF($A114="","",INDEX(Employees!$A$6:$A$205,MATCH($A114,Employees!$BG$6:$BG$205,0)))</f>
        <v/>
      </c>
      <c r="C114" s="11" t="str">
        <f aca="false">IF($A114="","",INDEX(Employees!$B$6:$B$205,MATCH($A114,Employees!$BG$6:$BG$205,0)))</f>
        <v/>
      </c>
      <c r="D114" s="11" t="str">
        <f aca="false">IF($A114="","",INDEX(Employees!$C$6:$C$205,MATCH($A114,Employees!$BG$6:$BG$205,0)))</f>
        <v/>
      </c>
      <c r="E114" s="11" t="str">
        <f aca="false">IF($A114="","",INDEX(Employees!$D$6:$D$205,MATCH($A114,Employees!$BG$6:$BG$205,0)))</f>
        <v/>
      </c>
      <c r="F114" s="11" t="str">
        <f aca="false">IF($A114="","",INDEX(Employees!$T$6:$T$205,MATCH($A114,Employees!$BG$6:$BG$205,0)))</f>
        <v/>
      </c>
      <c r="G114" s="26" t="str">
        <f aca="false">IF($A114="","",INDEX(Employees!$U$6:$U$205,MATCH($A114,Employees!$BG$6:$BG$205,0)))</f>
        <v/>
      </c>
      <c r="H114" s="28" t="str">
        <f aca="false">IF($A114="","",INDEX(Employees!$E$6:$E$205,MATCH($A114,Employees!$BG$6:$BG$205,0)))</f>
        <v/>
      </c>
      <c r="I114" s="11" t="str">
        <f aca="false">IF($A114="","",INDEX(Employees!$Z$6:$Z$205,MATCH($A114,Employees!$BG$6:$BG$205,0)))</f>
        <v/>
      </c>
      <c r="J114" s="26" t="str">
        <f aca="false">IF($A114="","",INDEX(Employees!$AB$6:$AB$205,MATCH($A114,Employees!$BG$6:$BG$205,0)))</f>
        <v/>
      </c>
      <c r="K114" s="26" t="str">
        <f aca="false">IF($A114="","",INDEX(Employees!$AC$6:$AC$205,MATCH($A114,Employees!$BG$6:$BG$205,0)))</f>
        <v/>
      </c>
      <c r="L114" s="28" t="str">
        <f aca="false">IF($A114="","",INDEX(Employees!$AD$6:$AD$205,MATCH($A114,Employees!$BG$6:$BG$205,0)))</f>
        <v/>
      </c>
      <c r="M114" s="11" t="str">
        <f aca="false">IF($A114="","",INDEX(Employees!$AF$6:$AF$205,MATCH($A114,Employees!$BG$6:$BG$205,0)))</f>
        <v/>
      </c>
      <c r="N114" s="11" t="str">
        <f aca="false">IF($A114="","",INDEX(Employees!$AM$6:$AM$205,MATCH($A114,Employees!$BG$6:$BG$205,0)))</f>
        <v/>
      </c>
    </row>
    <row r="115" customFormat="false" ht="15" hidden="false" customHeight="false" outlineLevel="0" collapsed="false">
      <c r="A115" s="11" t="str">
        <f aca="false">IF(110&lt;=MAX(Employees!$BG$6:$BG$205),110,"")</f>
        <v/>
      </c>
      <c r="B115" s="11" t="str">
        <f aca="false">IF($A115="","",INDEX(Employees!$A$6:$A$205,MATCH($A115,Employees!$BG$6:$BG$205,0)))</f>
        <v/>
      </c>
      <c r="C115" s="11" t="str">
        <f aca="false">IF($A115="","",INDEX(Employees!$B$6:$B$205,MATCH($A115,Employees!$BG$6:$BG$205,0)))</f>
        <v/>
      </c>
      <c r="D115" s="11" t="str">
        <f aca="false">IF($A115="","",INDEX(Employees!$C$6:$C$205,MATCH($A115,Employees!$BG$6:$BG$205,0)))</f>
        <v/>
      </c>
      <c r="E115" s="11" t="str">
        <f aca="false">IF($A115="","",INDEX(Employees!$D$6:$D$205,MATCH($A115,Employees!$BG$6:$BG$205,0)))</f>
        <v/>
      </c>
      <c r="F115" s="11" t="str">
        <f aca="false">IF($A115="","",INDEX(Employees!$T$6:$T$205,MATCH($A115,Employees!$BG$6:$BG$205,0)))</f>
        <v/>
      </c>
      <c r="G115" s="26" t="str">
        <f aca="false">IF($A115="","",INDEX(Employees!$U$6:$U$205,MATCH($A115,Employees!$BG$6:$BG$205,0)))</f>
        <v/>
      </c>
      <c r="H115" s="28" t="str">
        <f aca="false">IF($A115="","",INDEX(Employees!$E$6:$E$205,MATCH($A115,Employees!$BG$6:$BG$205,0)))</f>
        <v/>
      </c>
      <c r="I115" s="11" t="str">
        <f aca="false">IF($A115="","",INDEX(Employees!$Z$6:$Z$205,MATCH($A115,Employees!$BG$6:$BG$205,0)))</f>
        <v/>
      </c>
      <c r="J115" s="26" t="str">
        <f aca="false">IF($A115="","",INDEX(Employees!$AB$6:$AB$205,MATCH($A115,Employees!$BG$6:$BG$205,0)))</f>
        <v/>
      </c>
      <c r="K115" s="26" t="str">
        <f aca="false">IF($A115="","",INDEX(Employees!$AC$6:$AC$205,MATCH($A115,Employees!$BG$6:$BG$205,0)))</f>
        <v/>
      </c>
      <c r="L115" s="28" t="str">
        <f aca="false">IF($A115="","",INDEX(Employees!$AD$6:$AD$205,MATCH($A115,Employees!$BG$6:$BG$205,0)))</f>
        <v/>
      </c>
      <c r="M115" s="11" t="str">
        <f aca="false">IF($A115="","",INDEX(Employees!$AF$6:$AF$205,MATCH($A115,Employees!$BG$6:$BG$205,0)))</f>
        <v/>
      </c>
      <c r="N115" s="11" t="str">
        <f aca="false">IF($A115="","",INDEX(Employees!$AM$6:$AM$205,MATCH($A115,Employees!$BG$6:$BG$205,0)))</f>
        <v/>
      </c>
    </row>
    <row r="116" customFormat="false" ht="15" hidden="false" customHeight="false" outlineLevel="0" collapsed="false">
      <c r="A116" s="11" t="str">
        <f aca="false">IF(111&lt;=MAX(Employees!$BG$6:$BG$205),111,"")</f>
        <v/>
      </c>
      <c r="B116" s="11" t="str">
        <f aca="false">IF($A116="","",INDEX(Employees!$A$6:$A$205,MATCH($A116,Employees!$BG$6:$BG$205,0)))</f>
        <v/>
      </c>
      <c r="C116" s="11" t="str">
        <f aca="false">IF($A116="","",INDEX(Employees!$B$6:$B$205,MATCH($A116,Employees!$BG$6:$BG$205,0)))</f>
        <v/>
      </c>
      <c r="D116" s="11" t="str">
        <f aca="false">IF($A116="","",INDEX(Employees!$C$6:$C$205,MATCH($A116,Employees!$BG$6:$BG$205,0)))</f>
        <v/>
      </c>
      <c r="E116" s="11" t="str">
        <f aca="false">IF($A116="","",INDEX(Employees!$D$6:$D$205,MATCH($A116,Employees!$BG$6:$BG$205,0)))</f>
        <v/>
      </c>
      <c r="F116" s="11" t="str">
        <f aca="false">IF($A116="","",INDEX(Employees!$T$6:$T$205,MATCH($A116,Employees!$BG$6:$BG$205,0)))</f>
        <v/>
      </c>
      <c r="G116" s="26" t="str">
        <f aca="false">IF($A116="","",INDEX(Employees!$U$6:$U$205,MATCH($A116,Employees!$BG$6:$BG$205,0)))</f>
        <v/>
      </c>
      <c r="H116" s="28" t="str">
        <f aca="false">IF($A116="","",INDEX(Employees!$E$6:$E$205,MATCH($A116,Employees!$BG$6:$BG$205,0)))</f>
        <v/>
      </c>
      <c r="I116" s="11" t="str">
        <f aca="false">IF($A116="","",INDEX(Employees!$Z$6:$Z$205,MATCH($A116,Employees!$BG$6:$BG$205,0)))</f>
        <v/>
      </c>
      <c r="J116" s="26" t="str">
        <f aca="false">IF($A116="","",INDEX(Employees!$AB$6:$AB$205,MATCH($A116,Employees!$BG$6:$BG$205,0)))</f>
        <v/>
      </c>
      <c r="K116" s="26" t="str">
        <f aca="false">IF($A116="","",INDEX(Employees!$AC$6:$AC$205,MATCH($A116,Employees!$BG$6:$BG$205,0)))</f>
        <v/>
      </c>
      <c r="L116" s="28" t="str">
        <f aca="false">IF($A116="","",INDEX(Employees!$AD$6:$AD$205,MATCH($A116,Employees!$BG$6:$BG$205,0)))</f>
        <v/>
      </c>
      <c r="M116" s="11" t="str">
        <f aca="false">IF($A116="","",INDEX(Employees!$AF$6:$AF$205,MATCH($A116,Employees!$BG$6:$BG$205,0)))</f>
        <v/>
      </c>
      <c r="N116" s="11" t="str">
        <f aca="false">IF($A116="","",INDEX(Employees!$AM$6:$AM$205,MATCH($A116,Employees!$BG$6:$BG$205,0)))</f>
        <v/>
      </c>
    </row>
    <row r="117" customFormat="false" ht="15" hidden="false" customHeight="false" outlineLevel="0" collapsed="false">
      <c r="A117" s="11" t="str">
        <f aca="false">IF(112&lt;=MAX(Employees!$BG$6:$BG$205),112,"")</f>
        <v/>
      </c>
      <c r="B117" s="11" t="str">
        <f aca="false">IF($A117="","",INDEX(Employees!$A$6:$A$205,MATCH($A117,Employees!$BG$6:$BG$205,0)))</f>
        <v/>
      </c>
      <c r="C117" s="11" t="str">
        <f aca="false">IF($A117="","",INDEX(Employees!$B$6:$B$205,MATCH($A117,Employees!$BG$6:$BG$205,0)))</f>
        <v/>
      </c>
      <c r="D117" s="11" t="str">
        <f aca="false">IF($A117="","",INDEX(Employees!$C$6:$C$205,MATCH($A117,Employees!$BG$6:$BG$205,0)))</f>
        <v/>
      </c>
      <c r="E117" s="11" t="str">
        <f aca="false">IF($A117="","",INDEX(Employees!$D$6:$D$205,MATCH($A117,Employees!$BG$6:$BG$205,0)))</f>
        <v/>
      </c>
      <c r="F117" s="11" t="str">
        <f aca="false">IF($A117="","",INDEX(Employees!$T$6:$T$205,MATCH($A117,Employees!$BG$6:$BG$205,0)))</f>
        <v/>
      </c>
      <c r="G117" s="26" t="str">
        <f aca="false">IF($A117="","",INDEX(Employees!$U$6:$U$205,MATCH($A117,Employees!$BG$6:$BG$205,0)))</f>
        <v/>
      </c>
      <c r="H117" s="28" t="str">
        <f aca="false">IF($A117="","",INDEX(Employees!$E$6:$E$205,MATCH($A117,Employees!$BG$6:$BG$205,0)))</f>
        <v/>
      </c>
      <c r="I117" s="11" t="str">
        <f aca="false">IF($A117="","",INDEX(Employees!$Z$6:$Z$205,MATCH($A117,Employees!$BG$6:$BG$205,0)))</f>
        <v/>
      </c>
      <c r="J117" s="26" t="str">
        <f aca="false">IF($A117="","",INDEX(Employees!$AB$6:$AB$205,MATCH($A117,Employees!$BG$6:$BG$205,0)))</f>
        <v/>
      </c>
      <c r="K117" s="26" t="str">
        <f aca="false">IF($A117="","",INDEX(Employees!$AC$6:$AC$205,MATCH($A117,Employees!$BG$6:$BG$205,0)))</f>
        <v/>
      </c>
      <c r="L117" s="28" t="str">
        <f aca="false">IF($A117="","",INDEX(Employees!$AD$6:$AD$205,MATCH($A117,Employees!$BG$6:$BG$205,0)))</f>
        <v/>
      </c>
      <c r="M117" s="11" t="str">
        <f aca="false">IF($A117="","",INDEX(Employees!$AF$6:$AF$205,MATCH($A117,Employees!$BG$6:$BG$205,0)))</f>
        <v/>
      </c>
      <c r="N117" s="11" t="str">
        <f aca="false">IF($A117="","",INDEX(Employees!$AM$6:$AM$205,MATCH($A117,Employees!$BG$6:$BG$205,0)))</f>
        <v/>
      </c>
    </row>
    <row r="118" customFormat="false" ht="15" hidden="false" customHeight="false" outlineLevel="0" collapsed="false">
      <c r="A118" s="11" t="str">
        <f aca="false">IF(113&lt;=MAX(Employees!$BG$6:$BG$205),113,"")</f>
        <v/>
      </c>
      <c r="B118" s="11" t="str">
        <f aca="false">IF($A118="","",INDEX(Employees!$A$6:$A$205,MATCH($A118,Employees!$BG$6:$BG$205,0)))</f>
        <v/>
      </c>
      <c r="C118" s="11" t="str">
        <f aca="false">IF($A118="","",INDEX(Employees!$B$6:$B$205,MATCH($A118,Employees!$BG$6:$BG$205,0)))</f>
        <v/>
      </c>
      <c r="D118" s="11" t="str">
        <f aca="false">IF($A118="","",INDEX(Employees!$C$6:$C$205,MATCH($A118,Employees!$BG$6:$BG$205,0)))</f>
        <v/>
      </c>
      <c r="E118" s="11" t="str">
        <f aca="false">IF($A118="","",INDEX(Employees!$D$6:$D$205,MATCH($A118,Employees!$BG$6:$BG$205,0)))</f>
        <v/>
      </c>
      <c r="F118" s="11" t="str">
        <f aca="false">IF($A118="","",INDEX(Employees!$T$6:$T$205,MATCH($A118,Employees!$BG$6:$BG$205,0)))</f>
        <v/>
      </c>
      <c r="G118" s="26" t="str">
        <f aca="false">IF($A118="","",INDEX(Employees!$U$6:$U$205,MATCH($A118,Employees!$BG$6:$BG$205,0)))</f>
        <v/>
      </c>
      <c r="H118" s="28" t="str">
        <f aca="false">IF($A118="","",INDEX(Employees!$E$6:$E$205,MATCH($A118,Employees!$BG$6:$BG$205,0)))</f>
        <v/>
      </c>
      <c r="I118" s="11" t="str">
        <f aca="false">IF($A118="","",INDEX(Employees!$Z$6:$Z$205,MATCH($A118,Employees!$BG$6:$BG$205,0)))</f>
        <v/>
      </c>
      <c r="J118" s="26" t="str">
        <f aca="false">IF($A118="","",INDEX(Employees!$AB$6:$AB$205,MATCH($A118,Employees!$BG$6:$BG$205,0)))</f>
        <v/>
      </c>
      <c r="K118" s="26" t="str">
        <f aca="false">IF($A118="","",INDEX(Employees!$AC$6:$AC$205,MATCH($A118,Employees!$BG$6:$BG$205,0)))</f>
        <v/>
      </c>
      <c r="L118" s="28" t="str">
        <f aca="false">IF($A118="","",INDEX(Employees!$AD$6:$AD$205,MATCH($A118,Employees!$BG$6:$BG$205,0)))</f>
        <v/>
      </c>
      <c r="M118" s="11" t="str">
        <f aca="false">IF($A118="","",INDEX(Employees!$AF$6:$AF$205,MATCH($A118,Employees!$BG$6:$BG$205,0)))</f>
        <v/>
      </c>
      <c r="N118" s="11" t="str">
        <f aca="false">IF($A118="","",INDEX(Employees!$AM$6:$AM$205,MATCH($A118,Employees!$BG$6:$BG$205,0)))</f>
        <v/>
      </c>
    </row>
    <row r="119" customFormat="false" ht="15" hidden="false" customHeight="false" outlineLevel="0" collapsed="false">
      <c r="A119" s="11" t="str">
        <f aca="false">IF(114&lt;=MAX(Employees!$BG$6:$BG$205),114,"")</f>
        <v/>
      </c>
      <c r="B119" s="11" t="str">
        <f aca="false">IF($A119="","",INDEX(Employees!$A$6:$A$205,MATCH($A119,Employees!$BG$6:$BG$205,0)))</f>
        <v/>
      </c>
      <c r="C119" s="11" t="str">
        <f aca="false">IF($A119="","",INDEX(Employees!$B$6:$B$205,MATCH($A119,Employees!$BG$6:$BG$205,0)))</f>
        <v/>
      </c>
      <c r="D119" s="11" t="str">
        <f aca="false">IF($A119="","",INDEX(Employees!$C$6:$C$205,MATCH($A119,Employees!$BG$6:$BG$205,0)))</f>
        <v/>
      </c>
      <c r="E119" s="11" t="str">
        <f aca="false">IF($A119="","",INDEX(Employees!$D$6:$D$205,MATCH($A119,Employees!$BG$6:$BG$205,0)))</f>
        <v/>
      </c>
      <c r="F119" s="11" t="str">
        <f aca="false">IF($A119="","",INDEX(Employees!$T$6:$T$205,MATCH($A119,Employees!$BG$6:$BG$205,0)))</f>
        <v/>
      </c>
      <c r="G119" s="26" t="str">
        <f aca="false">IF($A119="","",INDEX(Employees!$U$6:$U$205,MATCH($A119,Employees!$BG$6:$BG$205,0)))</f>
        <v/>
      </c>
      <c r="H119" s="28" t="str">
        <f aca="false">IF($A119="","",INDEX(Employees!$E$6:$E$205,MATCH($A119,Employees!$BG$6:$BG$205,0)))</f>
        <v/>
      </c>
      <c r="I119" s="11" t="str">
        <f aca="false">IF($A119="","",INDEX(Employees!$Z$6:$Z$205,MATCH($A119,Employees!$BG$6:$BG$205,0)))</f>
        <v/>
      </c>
      <c r="J119" s="26" t="str">
        <f aca="false">IF($A119="","",INDEX(Employees!$AB$6:$AB$205,MATCH($A119,Employees!$BG$6:$BG$205,0)))</f>
        <v/>
      </c>
      <c r="K119" s="26" t="str">
        <f aca="false">IF($A119="","",INDEX(Employees!$AC$6:$AC$205,MATCH($A119,Employees!$BG$6:$BG$205,0)))</f>
        <v/>
      </c>
      <c r="L119" s="28" t="str">
        <f aca="false">IF($A119="","",INDEX(Employees!$AD$6:$AD$205,MATCH($A119,Employees!$BG$6:$BG$205,0)))</f>
        <v/>
      </c>
      <c r="M119" s="11" t="str">
        <f aca="false">IF($A119="","",INDEX(Employees!$AF$6:$AF$205,MATCH($A119,Employees!$BG$6:$BG$205,0)))</f>
        <v/>
      </c>
      <c r="N119" s="11" t="str">
        <f aca="false">IF($A119="","",INDEX(Employees!$AM$6:$AM$205,MATCH($A119,Employees!$BG$6:$BG$205,0)))</f>
        <v/>
      </c>
    </row>
    <row r="120" customFormat="false" ht="15" hidden="false" customHeight="false" outlineLevel="0" collapsed="false">
      <c r="A120" s="11" t="str">
        <f aca="false">IF(115&lt;=MAX(Employees!$BG$6:$BG$205),115,"")</f>
        <v/>
      </c>
      <c r="B120" s="11" t="str">
        <f aca="false">IF($A120="","",INDEX(Employees!$A$6:$A$205,MATCH($A120,Employees!$BG$6:$BG$205,0)))</f>
        <v/>
      </c>
      <c r="C120" s="11" t="str">
        <f aca="false">IF($A120="","",INDEX(Employees!$B$6:$B$205,MATCH($A120,Employees!$BG$6:$BG$205,0)))</f>
        <v/>
      </c>
      <c r="D120" s="11" t="str">
        <f aca="false">IF($A120="","",INDEX(Employees!$C$6:$C$205,MATCH($A120,Employees!$BG$6:$BG$205,0)))</f>
        <v/>
      </c>
      <c r="E120" s="11" t="str">
        <f aca="false">IF($A120="","",INDEX(Employees!$D$6:$D$205,MATCH($A120,Employees!$BG$6:$BG$205,0)))</f>
        <v/>
      </c>
      <c r="F120" s="11" t="str">
        <f aca="false">IF($A120="","",INDEX(Employees!$T$6:$T$205,MATCH($A120,Employees!$BG$6:$BG$205,0)))</f>
        <v/>
      </c>
      <c r="G120" s="26" t="str">
        <f aca="false">IF($A120="","",INDEX(Employees!$U$6:$U$205,MATCH($A120,Employees!$BG$6:$BG$205,0)))</f>
        <v/>
      </c>
      <c r="H120" s="28" t="str">
        <f aca="false">IF($A120="","",INDEX(Employees!$E$6:$E$205,MATCH($A120,Employees!$BG$6:$BG$205,0)))</f>
        <v/>
      </c>
      <c r="I120" s="11" t="str">
        <f aca="false">IF($A120="","",INDEX(Employees!$Z$6:$Z$205,MATCH($A120,Employees!$BG$6:$BG$205,0)))</f>
        <v/>
      </c>
      <c r="J120" s="26" t="str">
        <f aca="false">IF($A120="","",INDEX(Employees!$AB$6:$AB$205,MATCH($A120,Employees!$BG$6:$BG$205,0)))</f>
        <v/>
      </c>
      <c r="K120" s="26" t="str">
        <f aca="false">IF($A120="","",INDEX(Employees!$AC$6:$AC$205,MATCH($A120,Employees!$BG$6:$BG$205,0)))</f>
        <v/>
      </c>
      <c r="L120" s="28" t="str">
        <f aca="false">IF($A120="","",INDEX(Employees!$AD$6:$AD$205,MATCH($A120,Employees!$BG$6:$BG$205,0)))</f>
        <v/>
      </c>
      <c r="M120" s="11" t="str">
        <f aca="false">IF($A120="","",INDEX(Employees!$AF$6:$AF$205,MATCH($A120,Employees!$BG$6:$BG$205,0)))</f>
        <v/>
      </c>
      <c r="N120" s="11" t="str">
        <f aca="false">IF($A120="","",INDEX(Employees!$AM$6:$AM$205,MATCH($A120,Employees!$BG$6:$BG$205,0)))</f>
        <v/>
      </c>
    </row>
    <row r="121" customFormat="false" ht="15" hidden="false" customHeight="false" outlineLevel="0" collapsed="false">
      <c r="A121" s="11" t="str">
        <f aca="false">IF(116&lt;=MAX(Employees!$BG$6:$BG$205),116,"")</f>
        <v/>
      </c>
      <c r="B121" s="11" t="str">
        <f aca="false">IF($A121="","",INDEX(Employees!$A$6:$A$205,MATCH($A121,Employees!$BG$6:$BG$205,0)))</f>
        <v/>
      </c>
      <c r="C121" s="11" t="str">
        <f aca="false">IF($A121="","",INDEX(Employees!$B$6:$B$205,MATCH($A121,Employees!$BG$6:$BG$205,0)))</f>
        <v/>
      </c>
      <c r="D121" s="11" t="str">
        <f aca="false">IF($A121="","",INDEX(Employees!$C$6:$C$205,MATCH($A121,Employees!$BG$6:$BG$205,0)))</f>
        <v/>
      </c>
      <c r="E121" s="11" t="str">
        <f aca="false">IF($A121="","",INDEX(Employees!$D$6:$D$205,MATCH($A121,Employees!$BG$6:$BG$205,0)))</f>
        <v/>
      </c>
      <c r="F121" s="11" t="str">
        <f aca="false">IF($A121="","",INDEX(Employees!$T$6:$T$205,MATCH($A121,Employees!$BG$6:$BG$205,0)))</f>
        <v/>
      </c>
      <c r="G121" s="26" t="str">
        <f aca="false">IF($A121="","",INDEX(Employees!$U$6:$U$205,MATCH($A121,Employees!$BG$6:$BG$205,0)))</f>
        <v/>
      </c>
      <c r="H121" s="28" t="str">
        <f aca="false">IF($A121="","",INDEX(Employees!$E$6:$E$205,MATCH($A121,Employees!$BG$6:$BG$205,0)))</f>
        <v/>
      </c>
      <c r="I121" s="11" t="str">
        <f aca="false">IF($A121="","",INDEX(Employees!$Z$6:$Z$205,MATCH($A121,Employees!$BG$6:$BG$205,0)))</f>
        <v/>
      </c>
      <c r="J121" s="26" t="str">
        <f aca="false">IF($A121="","",INDEX(Employees!$AB$6:$AB$205,MATCH($A121,Employees!$BG$6:$BG$205,0)))</f>
        <v/>
      </c>
      <c r="K121" s="26" t="str">
        <f aca="false">IF($A121="","",INDEX(Employees!$AC$6:$AC$205,MATCH($A121,Employees!$BG$6:$BG$205,0)))</f>
        <v/>
      </c>
      <c r="L121" s="28" t="str">
        <f aca="false">IF($A121="","",INDEX(Employees!$AD$6:$AD$205,MATCH($A121,Employees!$BG$6:$BG$205,0)))</f>
        <v/>
      </c>
      <c r="M121" s="11" t="str">
        <f aca="false">IF($A121="","",INDEX(Employees!$AF$6:$AF$205,MATCH($A121,Employees!$BG$6:$BG$205,0)))</f>
        <v/>
      </c>
      <c r="N121" s="11" t="str">
        <f aca="false">IF($A121="","",INDEX(Employees!$AM$6:$AM$205,MATCH($A121,Employees!$BG$6:$BG$205,0)))</f>
        <v/>
      </c>
    </row>
    <row r="122" customFormat="false" ht="15" hidden="false" customHeight="false" outlineLevel="0" collapsed="false">
      <c r="A122" s="11" t="str">
        <f aca="false">IF(117&lt;=MAX(Employees!$BG$6:$BG$205),117,"")</f>
        <v/>
      </c>
      <c r="B122" s="11" t="str">
        <f aca="false">IF($A122="","",INDEX(Employees!$A$6:$A$205,MATCH($A122,Employees!$BG$6:$BG$205,0)))</f>
        <v/>
      </c>
      <c r="C122" s="11" t="str">
        <f aca="false">IF($A122="","",INDEX(Employees!$B$6:$B$205,MATCH($A122,Employees!$BG$6:$BG$205,0)))</f>
        <v/>
      </c>
      <c r="D122" s="11" t="str">
        <f aca="false">IF($A122="","",INDEX(Employees!$C$6:$C$205,MATCH($A122,Employees!$BG$6:$BG$205,0)))</f>
        <v/>
      </c>
      <c r="E122" s="11" t="str">
        <f aca="false">IF($A122="","",INDEX(Employees!$D$6:$D$205,MATCH($A122,Employees!$BG$6:$BG$205,0)))</f>
        <v/>
      </c>
      <c r="F122" s="11" t="str">
        <f aca="false">IF($A122="","",INDEX(Employees!$T$6:$T$205,MATCH($A122,Employees!$BG$6:$BG$205,0)))</f>
        <v/>
      </c>
      <c r="G122" s="26" t="str">
        <f aca="false">IF($A122="","",INDEX(Employees!$U$6:$U$205,MATCH($A122,Employees!$BG$6:$BG$205,0)))</f>
        <v/>
      </c>
      <c r="H122" s="28" t="str">
        <f aca="false">IF($A122="","",INDEX(Employees!$E$6:$E$205,MATCH($A122,Employees!$BG$6:$BG$205,0)))</f>
        <v/>
      </c>
      <c r="I122" s="11" t="str">
        <f aca="false">IF($A122="","",INDEX(Employees!$Z$6:$Z$205,MATCH($A122,Employees!$BG$6:$BG$205,0)))</f>
        <v/>
      </c>
      <c r="J122" s="26" t="str">
        <f aca="false">IF($A122="","",INDEX(Employees!$AB$6:$AB$205,MATCH($A122,Employees!$BG$6:$BG$205,0)))</f>
        <v/>
      </c>
      <c r="K122" s="26" t="str">
        <f aca="false">IF($A122="","",INDEX(Employees!$AC$6:$AC$205,MATCH($A122,Employees!$BG$6:$BG$205,0)))</f>
        <v/>
      </c>
      <c r="L122" s="28" t="str">
        <f aca="false">IF($A122="","",INDEX(Employees!$AD$6:$AD$205,MATCH($A122,Employees!$BG$6:$BG$205,0)))</f>
        <v/>
      </c>
      <c r="M122" s="11" t="str">
        <f aca="false">IF($A122="","",INDEX(Employees!$AF$6:$AF$205,MATCH($A122,Employees!$BG$6:$BG$205,0)))</f>
        <v/>
      </c>
      <c r="N122" s="11" t="str">
        <f aca="false">IF($A122="","",INDEX(Employees!$AM$6:$AM$205,MATCH($A122,Employees!$BG$6:$BG$205,0)))</f>
        <v/>
      </c>
    </row>
    <row r="123" customFormat="false" ht="15" hidden="false" customHeight="false" outlineLevel="0" collapsed="false">
      <c r="A123" s="11" t="str">
        <f aca="false">IF(118&lt;=MAX(Employees!$BG$6:$BG$205),118,"")</f>
        <v/>
      </c>
      <c r="B123" s="11" t="str">
        <f aca="false">IF($A123="","",INDEX(Employees!$A$6:$A$205,MATCH($A123,Employees!$BG$6:$BG$205,0)))</f>
        <v/>
      </c>
      <c r="C123" s="11" t="str">
        <f aca="false">IF($A123="","",INDEX(Employees!$B$6:$B$205,MATCH($A123,Employees!$BG$6:$BG$205,0)))</f>
        <v/>
      </c>
      <c r="D123" s="11" t="str">
        <f aca="false">IF($A123="","",INDEX(Employees!$C$6:$C$205,MATCH($A123,Employees!$BG$6:$BG$205,0)))</f>
        <v/>
      </c>
      <c r="E123" s="11" t="str">
        <f aca="false">IF($A123="","",INDEX(Employees!$D$6:$D$205,MATCH($A123,Employees!$BG$6:$BG$205,0)))</f>
        <v/>
      </c>
      <c r="F123" s="11" t="str">
        <f aca="false">IF($A123="","",INDEX(Employees!$T$6:$T$205,MATCH($A123,Employees!$BG$6:$BG$205,0)))</f>
        <v/>
      </c>
      <c r="G123" s="26" t="str">
        <f aca="false">IF($A123="","",INDEX(Employees!$U$6:$U$205,MATCH($A123,Employees!$BG$6:$BG$205,0)))</f>
        <v/>
      </c>
      <c r="H123" s="28" t="str">
        <f aca="false">IF($A123="","",INDEX(Employees!$E$6:$E$205,MATCH($A123,Employees!$BG$6:$BG$205,0)))</f>
        <v/>
      </c>
      <c r="I123" s="11" t="str">
        <f aca="false">IF($A123="","",INDEX(Employees!$Z$6:$Z$205,MATCH($A123,Employees!$BG$6:$BG$205,0)))</f>
        <v/>
      </c>
      <c r="J123" s="26" t="str">
        <f aca="false">IF($A123="","",INDEX(Employees!$AB$6:$AB$205,MATCH($A123,Employees!$BG$6:$BG$205,0)))</f>
        <v/>
      </c>
      <c r="K123" s="26" t="str">
        <f aca="false">IF($A123="","",INDEX(Employees!$AC$6:$AC$205,MATCH($A123,Employees!$BG$6:$BG$205,0)))</f>
        <v/>
      </c>
      <c r="L123" s="28" t="str">
        <f aca="false">IF($A123="","",INDEX(Employees!$AD$6:$AD$205,MATCH($A123,Employees!$BG$6:$BG$205,0)))</f>
        <v/>
      </c>
      <c r="M123" s="11" t="str">
        <f aca="false">IF($A123="","",INDEX(Employees!$AF$6:$AF$205,MATCH($A123,Employees!$BG$6:$BG$205,0)))</f>
        <v/>
      </c>
      <c r="N123" s="11" t="str">
        <f aca="false">IF($A123="","",INDEX(Employees!$AM$6:$AM$205,MATCH($A123,Employees!$BG$6:$BG$205,0)))</f>
        <v/>
      </c>
    </row>
    <row r="124" customFormat="false" ht="15" hidden="false" customHeight="false" outlineLevel="0" collapsed="false">
      <c r="A124" s="11" t="str">
        <f aca="false">IF(119&lt;=MAX(Employees!$BG$6:$BG$205),119,"")</f>
        <v/>
      </c>
      <c r="B124" s="11" t="str">
        <f aca="false">IF($A124="","",INDEX(Employees!$A$6:$A$205,MATCH($A124,Employees!$BG$6:$BG$205,0)))</f>
        <v/>
      </c>
      <c r="C124" s="11" t="str">
        <f aca="false">IF($A124="","",INDEX(Employees!$B$6:$B$205,MATCH($A124,Employees!$BG$6:$BG$205,0)))</f>
        <v/>
      </c>
      <c r="D124" s="11" t="str">
        <f aca="false">IF($A124="","",INDEX(Employees!$C$6:$C$205,MATCH($A124,Employees!$BG$6:$BG$205,0)))</f>
        <v/>
      </c>
      <c r="E124" s="11" t="str">
        <f aca="false">IF($A124="","",INDEX(Employees!$D$6:$D$205,MATCH($A124,Employees!$BG$6:$BG$205,0)))</f>
        <v/>
      </c>
      <c r="F124" s="11" t="str">
        <f aca="false">IF($A124="","",INDEX(Employees!$T$6:$T$205,MATCH($A124,Employees!$BG$6:$BG$205,0)))</f>
        <v/>
      </c>
      <c r="G124" s="26" t="str">
        <f aca="false">IF($A124="","",INDEX(Employees!$U$6:$U$205,MATCH($A124,Employees!$BG$6:$BG$205,0)))</f>
        <v/>
      </c>
      <c r="H124" s="28" t="str">
        <f aca="false">IF($A124="","",INDEX(Employees!$E$6:$E$205,MATCH($A124,Employees!$BG$6:$BG$205,0)))</f>
        <v/>
      </c>
      <c r="I124" s="11" t="str">
        <f aca="false">IF($A124="","",INDEX(Employees!$Z$6:$Z$205,MATCH($A124,Employees!$BG$6:$BG$205,0)))</f>
        <v/>
      </c>
      <c r="J124" s="26" t="str">
        <f aca="false">IF($A124="","",INDEX(Employees!$AB$6:$AB$205,MATCH($A124,Employees!$BG$6:$BG$205,0)))</f>
        <v/>
      </c>
      <c r="K124" s="26" t="str">
        <f aca="false">IF($A124="","",INDEX(Employees!$AC$6:$AC$205,MATCH($A124,Employees!$BG$6:$BG$205,0)))</f>
        <v/>
      </c>
      <c r="L124" s="28" t="str">
        <f aca="false">IF($A124="","",INDEX(Employees!$AD$6:$AD$205,MATCH($A124,Employees!$BG$6:$BG$205,0)))</f>
        <v/>
      </c>
      <c r="M124" s="11" t="str">
        <f aca="false">IF($A124="","",INDEX(Employees!$AF$6:$AF$205,MATCH($A124,Employees!$BG$6:$BG$205,0)))</f>
        <v/>
      </c>
      <c r="N124" s="11" t="str">
        <f aca="false">IF($A124="","",INDEX(Employees!$AM$6:$AM$205,MATCH($A124,Employees!$BG$6:$BG$205,0)))</f>
        <v/>
      </c>
    </row>
    <row r="125" customFormat="false" ht="15" hidden="false" customHeight="false" outlineLevel="0" collapsed="false">
      <c r="A125" s="11" t="str">
        <f aca="false">IF(120&lt;=MAX(Employees!$BG$6:$BG$205),120,"")</f>
        <v/>
      </c>
      <c r="B125" s="11" t="str">
        <f aca="false">IF($A125="","",INDEX(Employees!$A$6:$A$205,MATCH($A125,Employees!$BG$6:$BG$205,0)))</f>
        <v/>
      </c>
      <c r="C125" s="11" t="str">
        <f aca="false">IF($A125="","",INDEX(Employees!$B$6:$B$205,MATCH($A125,Employees!$BG$6:$BG$205,0)))</f>
        <v/>
      </c>
      <c r="D125" s="11" t="str">
        <f aca="false">IF($A125="","",INDEX(Employees!$C$6:$C$205,MATCH($A125,Employees!$BG$6:$BG$205,0)))</f>
        <v/>
      </c>
      <c r="E125" s="11" t="str">
        <f aca="false">IF($A125="","",INDEX(Employees!$D$6:$D$205,MATCH($A125,Employees!$BG$6:$BG$205,0)))</f>
        <v/>
      </c>
      <c r="F125" s="11" t="str">
        <f aca="false">IF($A125="","",INDEX(Employees!$T$6:$T$205,MATCH($A125,Employees!$BG$6:$BG$205,0)))</f>
        <v/>
      </c>
      <c r="G125" s="26" t="str">
        <f aca="false">IF($A125="","",INDEX(Employees!$U$6:$U$205,MATCH($A125,Employees!$BG$6:$BG$205,0)))</f>
        <v/>
      </c>
      <c r="H125" s="28" t="str">
        <f aca="false">IF($A125="","",INDEX(Employees!$E$6:$E$205,MATCH($A125,Employees!$BG$6:$BG$205,0)))</f>
        <v/>
      </c>
      <c r="I125" s="11" t="str">
        <f aca="false">IF($A125="","",INDEX(Employees!$Z$6:$Z$205,MATCH($A125,Employees!$BG$6:$BG$205,0)))</f>
        <v/>
      </c>
      <c r="J125" s="26" t="str">
        <f aca="false">IF($A125="","",INDEX(Employees!$AB$6:$AB$205,MATCH($A125,Employees!$BG$6:$BG$205,0)))</f>
        <v/>
      </c>
      <c r="K125" s="26" t="str">
        <f aca="false">IF($A125="","",INDEX(Employees!$AC$6:$AC$205,MATCH($A125,Employees!$BG$6:$BG$205,0)))</f>
        <v/>
      </c>
      <c r="L125" s="28" t="str">
        <f aca="false">IF($A125="","",INDEX(Employees!$AD$6:$AD$205,MATCH($A125,Employees!$BG$6:$BG$205,0)))</f>
        <v/>
      </c>
      <c r="M125" s="11" t="str">
        <f aca="false">IF($A125="","",INDEX(Employees!$AF$6:$AF$205,MATCH($A125,Employees!$BG$6:$BG$205,0)))</f>
        <v/>
      </c>
      <c r="N125" s="11" t="str">
        <f aca="false">IF($A125="","",INDEX(Employees!$AM$6:$AM$205,MATCH($A125,Employees!$BG$6:$BG$205,0)))</f>
        <v/>
      </c>
    </row>
    <row r="126" customFormat="false" ht="15" hidden="false" customHeight="false" outlineLevel="0" collapsed="false">
      <c r="A126" s="11" t="str">
        <f aca="false">IF(121&lt;=MAX(Employees!$BG$6:$BG$205),121,"")</f>
        <v/>
      </c>
      <c r="B126" s="11" t="str">
        <f aca="false">IF($A126="","",INDEX(Employees!$A$6:$A$205,MATCH($A126,Employees!$BG$6:$BG$205,0)))</f>
        <v/>
      </c>
      <c r="C126" s="11" t="str">
        <f aca="false">IF($A126="","",INDEX(Employees!$B$6:$B$205,MATCH($A126,Employees!$BG$6:$BG$205,0)))</f>
        <v/>
      </c>
      <c r="D126" s="11" t="str">
        <f aca="false">IF($A126="","",INDEX(Employees!$C$6:$C$205,MATCH($A126,Employees!$BG$6:$BG$205,0)))</f>
        <v/>
      </c>
      <c r="E126" s="11" t="str">
        <f aca="false">IF($A126="","",INDEX(Employees!$D$6:$D$205,MATCH($A126,Employees!$BG$6:$BG$205,0)))</f>
        <v/>
      </c>
      <c r="F126" s="11" t="str">
        <f aca="false">IF($A126="","",INDEX(Employees!$T$6:$T$205,MATCH($A126,Employees!$BG$6:$BG$205,0)))</f>
        <v/>
      </c>
      <c r="G126" s="26" t="str">
        <f aca="false">IF($A126="","",INDEX(Employees!$U$6:$U$205,MATCH($A126,Employees!$BG$6:$BG$205,0)))</f>
        <v/>
      </c>
      <c r="H126" s="28" t="str">
        <f aca="false">IF($A126="","",INDEX(Employees!$E$6:$E$205,MATCH($A126,Employees!$BG$6:$BG$205,0)))</f>
        <v/>
      </c>
      <c r="I126" s="11" t="str">
        <f aca="false">IF($A126="","",INDEX(Employees!$Z$6:$Z$205,MATCH($A126,Employees!$BG$6:$BG$205,0)))</f>
        <v/>
      </c>
      <c r="J126" s="26" t="str">
        <f aca="false">IF($A126="","",INDEX(Employees!$AB$6:$AB$205,MATCH($A126,Employees!$BG$6:$BG$205,0)))</f>
        <v/>
      </c>
      <c r="K126" s="26" t="str">
        <f aca="false">IF($A126="","",INDEX(Employees!$AC$6:$AC$205,MATCH($A126,Employees!$BG$6:$BG$205,0)))</f>
        <v/>
      </c>
      <c r="L126" s="28" t="str">
        <f aca="false">IF($A126="","",INDEX(Employees!$AD$6:$AD$205,MATCH($A126,Employees!$BG$6:$BG$205,0)))</f>
        <v/>
      </c>
      <c r="M126" s="11" t="str">
        <f aca="false">IF($A126="","",INDEX(Employees!$AF$6:$AF$205,MATCH($A126,Employees!$BG$6:$BG$205,0)))</f>
        <v/>
      </c>
      <c r="N126" s="11" t="str">
        <f aca="false">IF($A126="","",INDEX(Employees!$AM$6:$AM$205,MATCH($A126,Employees!$BG$6:$BG$205,0)))</f>
        <v/>
      </c>
    </row>
    <row r="127" customFormat="false" ht="15" hidden="false" customHeight="false" outlineLevel="0" collapsed="false">
      <c r="A127" s="11" t="str">
        <f aca="false">IF(122&lt;=MAX(Employees!$BG$6:$BG$205),122,"")</f>
        <v/>
      </c>
      <c r="B127" s="11" t="str">
        <f aca="false">IF($A127="","",INDEX(Employees!$A$6:$A$205,MATCH($A127,Employees!$BG$6:$BG$205,0)))</f>
        <v/>
      </c>
      <c r="C127" s="11" t="str">
        <f aca="false">IF($A127="","",INDEX(Employees!$B$6:$B$205,MATCH($A127,Employees!$BG$6:$BG$205,0)))</f>
        <v/>
      </c>
      <c r="D127" s="11" t="str">
        <f aca="false">IF($A127="","",INDEX(Employees!$C$6:$C$205,MATCH($A127,Employees!$BG$6:$BG$205,0)))</f>
        <v/>
      </c>
      <c r="E127" s="11" t="str">
        <f aca="false">IF($A127="","",INDEX(Employees!$D$6:$D$205,MATCH($A127,Employees!$BG$6:$BG$205,0)))</f>
        <v/>
      </c>
      <c r="F127" s="11" t="str">
        <f aca="false">IF($A127="","",INDEX(Employees!$T$6:$T$205,MATCH($A127,Employees!$BG$6:$BG$205,0)))</f>
        <v/>
      </c>
      <c r="G127" s="26" t="str">
        <f aca="false">IF($A127="","",INDEX(Employees!$U$6:$U$205,MATCH($A127,Employees!$BG$6:$BG$205,0)))</f>
        <v/>
      </c>
      <c r="H127" s="28" t="str">
        <f aca="false">IF($A127="","",INDEX(Employees!$E$6:$E$205,MATCH($A127,Employees!$BG$6:$BG$205,0)))</f>
        <v/>
      </c>
      <c r="I127" s="11" t="str">
        <f aca="false">IF($A127="","",INDEX(Employees!$Z$6:$Z$205,MATCH($A127,Employees!$BG$6:$BG$205,0)))</f>
        <v/>
      </c>
      <c r="J127" s="26" t="str">
        <f aca="false">IF($A127="","",INDEX(Employees!$AB$6:$AB$205,MATCH($A127,Employees!$BG$6:$BG$205,0)))</f>
        <v/>
      </c>
      <c r="K127" s="26" t="str">
        <f aca="false">IF($A127="","",INDEX(Employees!$AC$6:$AC$205,MATCH($A127,Employees!$BG$6:$BG$205,0)))</f>
        <v/>
      </c>
      <c r="L127" s="28" t="str">
        <f aca="false">IF($A127="","",INDEX(Employees!$AD$6:$AD$205,MATCH($A127,Employees!$BG$6:$BG$205,0)))</f>
        <v/>
      </c>
      <c r="M127" s="11" t="str">
        <f aca="false">IF($A127="","",INDEX(Employees!$AF$6:$AF$205,MATCH($A127,Employees!$BG$6:$BG$205,0)))</f>
        <v/>
      </c>
      <c r="N127" s="11" t="str">
        <f aca="false">IF($A127="","",INDEX(Employees!$AM$6:$AM$205,MATCH($A127,Employees!$BG$6:$BG$205,0)))</f>
        <v/>
      </c>
    </row>
    <row r="128" customFormat="false" ht="15" hidden="false" customHeight="false" outlineLevel="0" collapsed="false">
      <c r="A128" s="11" t="str">
        <f aca="false">IF(123&lt;=MAX(Employees!$BG$6:$BG$205),123,"")</f>
        <v/>
      </c>
      <c r="B128" s="11" t="str">
        <f aca="false">IF($A128="","",INDEX(Employees!$A$6:$A$205,MATCH($A128,Employees!$BG$6:$BG$205,0)))</f>
        <v/>
      </c>
      <c r="C128" s="11" t="str">
        <f aca="false">IF($A128="","",INDEX(Employees!$B$6:$B$205,MATCH($A128,Employees!$BG$6:$BG$205,0)))</f>
        <v/>
      </c>
      <c r="D128" s="11" t="str">
        <f aca="false">IF($A128="","",INDEX(Employees!$C$6:$C$205,MATCH($A128,Employees!$BG$6:$BG$205,0)))</f>
        <v/>
      </c>
      <c r="E128" s="11" t="str">
        <f aca="false">IF($A128="","",INDEX(Employees!$D$6:$D$205,MATCH($A128,Employees!$BG$6:$BG$205,0)))</f>
        <v/>
      </c>
      <c r="F128" s="11" t="str">
        <f aca="false">IF($A128="","",INDEX(Employees!$T$6:$T$205,MATCH($A128,Employees!$BG$6:$BG$205,0)))</f>
        <v/>
      </c>
      <c r="G128" s="26" t="str">
        <f aca="false">IF($A128="","",INDEX(Employees!$U$6:$U$205,MATCH($A128,Employees!$BG$6:$BG$205,0)))</f>
        <v/>
      </c>
      <c r="H128" s="28" t="str">
        <f aca="false">IF($A128="","",INDEX(Employees!$E$6:$E$205,MATCH($A128,Employees!$BG$6:$BG$205,0)))</f>
        <v/>
      </c>
      <c r="I128" s="11" t="str">
        <f aca="false">IF($A128="","",INDEX(Employees!$Z$6:$Z$205,MATCH($A128,Employees!$BG$6:$BG$205,0)))</f>
        <v/>
      </c>
      <c r="J128" s="26" t="str">
        <f aca="false">IF($A128="","",INDEX(Employees!$AB$6:$AB$205,MATCH($A128,Employees!$BG$6:$BG$205,0)))</f>
        <v/>
      </c>
      <c r="K128" s="26" t="str">
        <f aca="false">IF($A128="","",INDEX(Employees!$AC$6:$AC$205,MATCH($A128,Employees!$BG$6:$BG$205,0)))</f>
        <v/>
      </c>
      <c r="L128" s="28" t="str">
        <f aca="false">IF($A128="","",INDEX(Employees!$AD$6:$AD$205,MATCH($A128,Employees!$BG$6:$BG$205,0)))</f>
        <v/>
      </c>
      <c r="M128" s="11" t="str">
        <f aca="false">IF($A128="","",INDEX(Employees!$AF$6:$AF$205,MATCH($A128,Employees!$BG$6:$BG$205,0)))</f>
        <v/>
      </c>
      <c r="N128" s="11" t="str">
        <f aca="false">IF($A128="","",INDEX(Employees!$AM$6:$AM$205,MATCH($A128,Employees!$BG$6:$BG$205,0)))</f>
        <v/>
      </c>
    </row>
    <row r="129" customFormat="false" ht="15" hidden="false" customHeight="false" outlineLevel="0" collapsed="false">
      <c r="A129" s="11" t="str">
        <f aca="false">IF(124&lt;=MAX(Employees!$BG$6:$BG$205),124,"")</f>
        <v/>
      </c>
      <c r="B129" s="11" t="str">
        <f aca="false">IF($A129="","",INDEX(Employees!$A$6:$A$205,MATCH($A129,Employees!$BG$6:$BG$205,0)))</f>
        <v/>
      </c>
      <c r="C129" s="11" t="str">
        <f aca="false">IF($A129="","",INDEX(Employees!$B$6:$B$205,MATCH($A129,Employees!$BG$6:$BG$205,0)))</f>
        <v/>
      </c>
      <c r="D129" s="11" t="str">
        <f aca="false">IF($A129="","",INDEX(Employees!$C$6:$C$205,MATCH($A129,Employees!$BG$6:$BG$205,0)))</f>
        <v/>
      </c>
      <c r="E129" s="11" t="str">
        <f aca="false">IF($A129="","",INDEX(Employees!$D$6:$D$205,MATCH($A129,Employees!$BG$6:$BG$205,0)))</f>
        <v/>
      </c>
      <c r="F129" s="11" t="str">
        <f aca="false">IF($A129="","",INDEX(Employees!$T$6:$T$205,MATCH($A129,Employees!$BG$6:$BG$205,0)))</f>
        <v/>
      </c>
      <c r="G129" s="26" t="str">
        <f aca="false">IF($A129="","",INDEX(Employees!$U$6:$U$205,MATCH($A129,Employees!$BG$6:$BG$205,0)))</f>
        <v/>
      </c>
      <c r="H129" s="28" t="str">
        <f aca="false">IF($A129="","",INDEX(Employees!$E$6:$E$205,MATCH($A129,Employees!$BG$6:$BG$205,0)))</f>
        <v/>
      </c>
      <c r="I129" s="11" t="str">
        <f aca="false">IF($A129="","",INDEX(Employees!$Z$6:$Z$205,MATCH($A129,Employees!$BG$6:$BG$205,0)))</f>
        <v/>
      </c>
      <c r="J129" s="26" t="str">
        <f aca="false">IF($A129="","",INDEX(Employees!$AB$6:$AB$205,MATCH($A129,Employees!$BG$6:$BG$205,0)))</f>
        <v/>
      </c>
      <c r="K129" s="26" t="str">
        <f aca="false">IF($A129="","",INDEX(Employees!$AC$6:$AC$205,MATCH($A129,Employees!$BG$6:$BG$205,0)))</f>
        <v/>
      </c>
      <c r="L129" s="28" t="str">
        <f aca="false">IF($A129="","",INDEX(Employees!$AD$6:$AD$205,MATCH($A129,Employees!$BG$6:$BG$205,0)))</f>
        <v/>
      </c>
      <c r="M129" s="11" t="str">
        <f aca="false">IF($A129="","",INDEX(Employees!$AF$6:$AF$205,MATCH($A129,Employees!$BG$6:$BG$205,0)))</f>
        <v/>
      </c>
      <c r="N129" s="11" t="str">
        <f aca="false">IF($A129="","",INDEX(Employees!$AM$6:$AM$205,MATCH($A129,Employees!$BG$6:$BG$205,0)))</f>
        <v/>
      </c>
    </row>
    <row r="130" customFormat="false" ht="15" hidden="false" customHeight="false" outlineLevel="0" collapsed="false">
      <c r="A130" s="11" t="str">
        <f aca="false">IF(125&lt;=MAX(Employees!$BG$6:$BG$205),125,"")</f>
        <v/>
      </c>
      <c r="B130" s="11" t="str">
        <f aca="false">IF($A130="","",INDEX(Employees!$A$6:$A$205,MATCH($A130,Employees!$BG$6:$BG$205,0)))</f>
        <v/>
      </c>
      <c r="C130" s="11" t="str">
        <f aca="false">IF($A130="","",INDEX(Employees!$B$6:$B$205,MATCH($A130,Employees!$BG$6:$BG$205,0)))</f>
        <v/>
      </c>
      <c r="D130" s="11" t="str">
        <f aca="false">IF($A130="","",INDEX(Employees!$C$6:$C$205,MATCH($A130,Employees!$BG$6:$BG$205,0)))</f>
        <v/>
      </c>
      <c r="E130" s="11" t="str">
        <f aca="false">IF($A130="","",INDEX(Employees!$D$6:$D$205,MATCH($A130,Employees!$BG$6:$BG$205,0)))</f>
        <v/>
      </c>
      <c r="F130" s="11" t="str">
        <f aca="false">IF($A130="","",INDEX(Employees!$T$6:$T$205,MATCH($A130,Employees!$BG$6:$BG$205,0)))</f>
        <v/>
      </c>
      <c r="G130" s="26" t="str">
        <f aca="false">IF($A130="","",INDEX(Employees!$U$6:$U$205,MATCH($A130,Employees!$BG$6:$BG$205,0)))</f>
        <v/>
      </c>
      <c r="H130" s="28" t="str">
        <f aca="false">IF($A130="","",INDEX(Employees!$E$6:$E$205,MATCH($A130,Employees!$BG$6:$BG$205,0)))</f>
        <v/>
      </c>
      <c r="I130" s="11" t="str">
        <f aca="false">IF($A130="","",INDEX(Employees!$Z$6:$Z$205,MATCH($A130,Employees!$BG$6:$BG$205,0)))</f>
        <v/>
      </c>
      <c r="J130" s="26" t="str">
        <f aca="false">IF($A130="","",INDEX(Employees!$AB$6:$AB$205,MATCH($A130,Employees!$BG$6:$BG$205,0)))</f>
        <v/>
      </c>
      <c r="K130" s="26" t="str">
        <f aca="false">IF($A130="","",INDEX(Employees!$AC$6:$AC$205,MATCH($A130,Employees!$BG$6:$BG$205,0)))</f>
        <v/>
      </c>
      <c r="L130" s="28" t="str">
        <f aca="false">IF($A130="","",INDEX(Employees!$AD$6:$AD$205,MATCH($A130,Employees!$BG$6:$BG$205,0)))</f>
        <v/>
      </c>
      <c r="M130" s="11" t="str">
        <f aca="false">IF($A130="","",INDEX(Employees!$AF$6:$AF$205,MATCH($A130,Employees!$BG$6:$BG$205,0)))</f>
        <v/>
      </c>
      <c r="N130" s="11" t="str">
        <f aca="false">IF($A130="","",INDEX(Employees!$AM$6:$AM$205,MATCH($A130,Employees!$BG$6:$BG$205,0)))</f>
        <v/>
      </c>
    </row>
    <row r="131" customFormat="false" ht="15" hidden="false" customHeight="false" outlineLevel="0" collapsed="false">
      <c r="A131" s="11" t="str">
        <f aca="false">IF(126&lt;=MAX(Employees!$BG$6:$BG$205),126,"")</f>
        <v/>
      </c>
      <c r="B131" s="11" t="str">
        <f aca="false">IF($A131="","",INDEX(Employees!$A$6:$A$205,MATCH($A131,Employees!$BG$6:$BG$205,0)))</f>
        <v/>
      </c>
      <c r="C131" s="11" t="str">
        <f aca="false">IF($A131="","",INDEX(Employees!$B$6:$B$205,MATCH($A131,Employees!$BG$6:$BG$205,0)))</f>
        <v/>
      </c>
      <c r="D131" s="11" t="str">
        <f aca="false">IF($A131="","",INDEX(Employees!$C$6:$C$205,MATCH($A131,Employees!$BG$6:$BG$205,0)))</f>
        <v/>
      </c>
      <c r="E131" s="11" t="str">
        <f aca="false">IF($A131="","",INDEX(Employees!$D$6:$D$205,MATCH($A131,Employees!$BG$6:$BG$205,0)))</f>
        <v/>
      </c>
      <c r="F131" s="11" t="str">
        <f aca="false">IF($A131="","",INDEX(Employees!$T$6:$T$205,MATCH($A131,Employees!$BG$6:$BG$205,0)))</f>
        <v/>
      </c>
      <c r="G131" s="26" t="str">
        <f aca="false">IF($A131="","",INDEX(Employees!$U$6:$U$205,MATCH($A131,Employees!$BG$6:$BG$205,0)))</f>
        <v/>
      </c>
      <c r="H131" s="28" t="str">
        <f aca="false">IF($A131="","",INDEX(Employees!$E$6:$E$205,MATCH($A131,Employees!$BG$6:$BG$205,0)))</f>
        <v/>
      </c>
      <c r="I131" s="11" t="str">
        <f aca="false">IF($A131="","",INDEX(Employees!$Z$6:$Z$205,MATCH($A131,Employees!$BG$6:$BG$205,0)))</f>
        <v/>
      </c>
      <c r="J131" s="26" t="str">
        <f aca="false">IF($A131="","",INDEX(Employees!$AB$6:$AB$205,MATCH($A131,Employees!$BG$6:$BG$205,0)))</f>
        <v/>
      </c>
      <c r="K131" s="26" t="str">
        <f aca="false">IF($A131="","",INDEX(Employees!$AC$6:$AC$205,MATCH($A131,Employees!$BG$6:$BG$205,0)))</f>
        <v/>
      </c>
      <c r="L131" s="28" t="str">
        <f aca="false">IF($A131="","",INDEX(Employees!$AD$6:$AD$205,MATCH($A131,Employees!$BG$6:$BG$205,0)))</f>
        <v/>
      </c>
      <c r="M131" s="11" t="str">
        <f aca="false">IF($A131="","",INDEX(Employees!$AF$6:$AF$205,MATCH($A131,Employees!$BG$6:$BG$205,0)))</f>
        <v/>
      </c>
      <c r="N131" s="11" t="str">
        <f aca="false">IF($A131="","",INDEX(Employees!$AM$6:$AM$205,MATCH($A131,Employees!$BG$6:$BG$205,0)))</f>
        <v/>
      </c>
    </row>
    <row r="132" customFormat="false" ht="15" hidden="false" customHeight="false" outlineLevel="0" collapsed="false">
      <c r="A132" s="11" t="str">
        <f aca="false">IF(127&lt;=MAX(Employees!$BG$6:$BG$205),127,"")</f>
        <v/>
      </c>
      <c r="B132" s="11" t="str">
        <f aca="false">IF($A132="","",INDEX(Employees!$A$6:$A$205,MATCH($A132,Employees!$BG$6:$BG$205,0)))</f>
        <v/>
      </c>
      <c r="C132" s="11" t="str">
        <f aca="false">IF($A132="","",INDEX(Employees!$B$6:$B$205,MATCH($A132,Employees!$BG$6:$BG$205,0)))</f>
        <v/>
      </c>
      <c r="D132" s="11" t="str">
        <f aca="false">IF($A132="","",INDEX(Employees!$C$6:$C$205,MATCH($A132,Employees!$BG$6:$BG$205,0)))</f>
        <v/>
      </c>
      <c r="E132" s="11" t="str">
        <f aca="false">IF($A132="","",INDEX(Employees!$D$6:$D$205,MATCH($A132,Employees!$BG$6:$BG$205,0)))</f>
        <v/>
      </c>
      <c r="F132" s="11" t="str">
        <f aca="false">IF($A132="","",INDEX(Employees!$T$6:$T$205,MATCH($A132,Employees!$BG$6:$BG$205,0)))</f>
        <v/>
      </c>
      <c r="G132" s="26" t="str">
        <f aca="false">IF($A132="","",INDEX(Employees!$U$6:$U$205,MATCH($A132,Employees!$BG$6:$BG$205,0)))</f>
        <v/>
      </c>
      <c r="H132" s="28" t="str">
        <f aca="false">IF($A132="","",INDEX(Employees!$E$6:$E$205,MATCH($A132,Employees!$BG$6:$BG$205,0)))</f>
        <v/>
      </c>
      <c r="I132" s="11" t="str">
        <f aca="false">IF($A132="","",INDEX(Employees!$Z$6:$Z$205,MATCH($A132,Employees!$BG$6:$BG$205,0)))</f>
        <v/>
      </c>
      <c r="J132" s="26" t="str">
        <f aca="false">IF($A132="","",INDEX(Employees!$AB$6:$AB$205,MATCH($A132,Employees!$BG$6:$BG$205,0)))</f>
        <v/>
      </c>
      <c r="K132" s="26" t="str">
        <f aca="false">IF($A132="","",INDEX(Employees!$AC$6:$AC$205,MATCH($A132,Employees!$BG$6:$BG$205,0)))</f>
        <v/>
      </c>
      <c r="L132" s="28" t="str">
        <f aca="false">IF($A132="","",INDEX(Employees!$AD$6:$AD$205,MATCH($A132,Employees!$BG$6:$BG$205,0)))</f>
        <v/>
      </c>
      <c r="M132" s="11" t="str">
        <f aca="false">IF($A132="","",INDEX(Employees!$AF$6:$AF$205,MATCH($A132,Employees!$BG$6:$BG$205,0)))</f>
        <v/>
      </c>
      <c r="N132" s="11" t="str">
        <f aca="false">IF($A132="","",INDEX(Employees!$AM$6:$AM$205,MATCH($A132,Employees!$BG$6:$BG$205,0)))</f>
        <v/>
      </c>
    </row>
    <row r="133" customFormat="false" ht="15" hidden="false" customHeight="false" outlineLevel="0" collapsed="false">
      <c r="A133" s="11" t="str">
        <f aca="false">IF(128&lt;=MAX(Employees!$BG$6:$BG$205),128,"")</f>
        <v/>
      </c>
      <c r="B133" s="11" t="str">
        <f aca="false">IF($A133="","",INDEX(Employees!$A$6:$A$205,MATCH($A133,Employees!$BG$6:$BG$205,0)))</f>
        <v/>
      </c>
      <c r="C133" s="11" t="str">
        <f aca="false">IF($A133="","",INDEX(Employees!$B$6:$B$205,MATCH($A133,Employees!$BG$6:$BG$205,0)))</f>
        <v/>
      </c>
      <c r="D133" s="11" t="str">
        <f aca="false">IF($A133="","",INDEX(Employees!$C$6:$C$205,MATCH($A133,Employees!$BG$6:$BG$205,0)))</f>
        <v/>
      </c>
      <c r="E133" s="11" t="str">
        <f aca="false">IF($A133="","",INDEX(Employees!$D$6:$D$205,MATCH($A133,Employees!$BG$6:$BG$205,0)))</f>
        <v/>
      </c>
      <c r="F133" s="11" t="str">
        <f aca="false">IF($A133="","",INDEX(Employees!$T$6:$T$205,MATCH($A133,Employees!$BG$6:$BG$205,0)))</f>
        <v/>
      </c>
      <c r="G133" s="26" t="str">
        <f aca="false">IF($A133="","",INDEX(Employees!$U$6:$U$205,MATCH($A133,Employees!$BG$6:$BG$205,0)))</f>
        <v/>
      </c>
      <c r="H133" s="28" t="str">
        <f aca="false">IF($A133="","",INDEX(Employees!$E$6:$E$205,MATCH($A133,Employees!$BG$6:$BG$205,0)))</f>
        <v/>
      </c>
      <c r="I133" s="11" t="str">
        <f aca="false">IF($A133="","",INDEX(Employees!$Z$6:$Z$205,MATCH($A133,Employees!$BG$6:$BG$205,0)))</f>
        <v/>
      </c>
      <c r="J133" s="26" t="str">
        <f aca="false">IF($A133="","",INDEX(Employees!$AB$6:$AB$205,MATCH($A133,Employees!$BG$6:$BG$205,0)))</f>
        <v/>
      </c>
      <c r="K133" s="26" t="str">
        <f aca="false">IF($A133="","",INDEX(Employees!$AC$6:$AC$205,MATCH($A133,Employees!$BG$6:$BG$205,0)))</f>
        <v/>
      </c>
      <c r="L133" s="28" t="str">
        <f aca="false">IF($A133="","",INDEX(Employees!$AD$6:$AD$205,MATCH($A133,Employees!$BG$6:$BG$205,0)))</f>
        <v/>
      </c>
      <c r="M133" s="11" t="str">
        <f aca="false">IF($A133="","",INDEX(Employees!$AF$6:$AF$205,MATCH($A133,Employees!$BG$6:$BG$205,0)))</f>
        <v/>
      </c>
      <c r="N133" s="11" t="str">
        <f aca="false">IF($A133="","",INDEX(Employees!$AM$6:$AM$205,MATCH($A133,Employees!$BG$6:$BG$205,0)))</f>
        <v/>
      </c>
    </row>
    <row r="134" customFormat="false" ht="15" hidden="false" customHeight="false" outlineLevel="0" collapsed="false">
      <c r="A134" s="11" t="str">
        <f aca="false">IF(129&lt;=MAX(Employees!$BG$6:$BG$205),129,"")</f>
        <v/>
      </c>
      <c r="B134" s="11" t="str">
        <f aca="false">IF($A134="","",INDEX(Employees!$A$6:$A$205,MATCH($A134,Employees!$BG$6:$BG$205,0)))</f>
        <v/>
      </c>
      <c r="C134" s="11" t="str">
        <f aca="false">IF($A134="","",INDEX(Employees!$B$6:$B$205,MATCH($A134,Employees!$BG$6:$BG$205,0)))</f>
        <v/>
      </c>
      <c r="D134" s="11" t="str">
        <f aca="false">IF($A134="","",INDEX(Employees!$C$6:$C$205,MATCH($A134,Employees!$BG$6:$BG$205,0)))</f>
        <v/>
      </c>
      <c r="E134" s="11" t="str">
        <f aca="false">IF($A134="","",INDEX(Employees!$D$6:$D$205,MATCH($A134,Employees!$BG$6:$BG$205,0)))</f>
        <v/>
      </c>
      <c r="F134" s="11" t="str">
        <f aca="false">IF($A134="","",INDEX(Employees!$T$6:$T$205,MATCH($A134,Employees!$BG$6:$BG$205,0)))</f>
        <v/>
      </c>
      <c r="G134" s="26" t="str">
        <f aca="false">IF($A134="","",INDEX(Employees!$U$6:$U$205,MATCH($A134,Employees!$BG$6:$BG$205,0)))</f>
        <v/>
      </c>
      <c r="H134" s="28" t="str">
        <f aca="false">IF($A134="","",INDEX(Employees!$E$6:$E$205,MATCH($A134,Employees!$BG$6:$BG$205,0)))</f>
        <v/>
      </c>
      <c r="I134" s="11" t="str">
        <f aca="false">IF($A134="","",INDEX(Employees!$Z$6:$Z$205,MATCH($A134,Employees!$BG$6:$BG$205,0)))</f>
        <v/>
      </c>
      <c r="J134" s="26" t="str">
        <f aca="false">IF($A134="","",INDEX(Employees!$AB$6:$AB$205,MATCH($A134,Employees!$BG$6:$BG$205,0)))</f>
        <v/>
      </c>
      <c r="K134" s="26" t="str">
        <f aca="false">IF($A134="","",INDEX(Employees!$AC$6:$AC$205,MATCH($A134,Employees!$BG$6:$BG$205,0)))</f>
        <v/>
      </c>
      <c r="L134" s="28" t="str">
        <f aca="false">IF($A134="","",INDEX(Employees!$AD$6:$AD$205,MATCH($A134,Employees!$BG$6:$BG$205,0)))</f>
        <v/>
      </c>
      <c r="M134" s="11" t="str">
        <f aca="false">IF($A134="","",INDEX(Employees!$AF$6:$AF$205,MATCH($A134,Employees!$BG$6:$BG$205,0)))</f>
        <v/>
      </c>
      <c r="N134" s="11" t="str">
        <f aca="false">IF($A134="","",INDEX(Employees!$AM$6:$AM$205,MATCH($A134,Employees!$BG$6:$BG$205,0)))</f>
        <v/>
      </c>
    </row>
    <row r="135" customFormat="false" ht="15" hidden="false" customHeight="false" outlineLevel="0" collapsed="false">
      <c r="A135" s="11" t="str">
        <f aca="false">IF(130&lt;=MAX(Employees!$BG$6:$BG$205),130,"")</f>
        <v/>
      </c>
      <c r="B135" s="11" t="str">
        <f aca="false">IF($A135="","",INDEX(Employees!$A$6:$A$205,MATCH($A135,Employees!$BG$6:$BG$205,0)))</f>
        <v/>
      </c>
      <c r="C135" s="11" t="str">
        <f aca="false">IF($A135="","",INDEX(Employees!$B$6:$B$205,MATCH($A135,Employees!$BG$6:$BG$205,0)))</f>
        <v/>
      </c>
      <c r="D135" s="11" t="str">
        <f aca="false">IF($A135="","",INDEX(Employees!$C$6:$C$205,MATCH($A135,Employees!$BG$6:$BG$205,0)))</f>
        <v/>
      </c>
      <c r="E135" s="11" t="str">
        <f aca="false">IF($A135="","",INDEX(Employees!$D$6:$D$205,MATCH($A135,Employees!$BG$6:$BG$205,0)))</f>
        <v/>
      </c>
      <c r="F135" s="11" t="str">
        <f aca="false">IF($A135="","",INDEX(Employees!$T$6:$T$205,MATCH($A135,Employees!$BG$6:$BG$205,0)))</f>
        <v/>
      </c>
      <c r="G135" s="26" t="str">
        <f aca="false">IF($A135="","",INDEX(Employees!$U$6:$U$205,MATCH($A135,Employees!$BG$6:$BG$205,0)))</f>
        <v/>
      </c>
      <c r="H135" s="28" t="str">
        <f aca="false">IF($A135="","",INDEX(Employees!$E$6:$E$205,MATCH($A135,Employees!$BG$6:$BG$205,0)))</f>
        <v/>
      </c>
      <c r="I135" s="11" t="str">
        <f aca="false">IF($A135="","",INDEX(Employees!$Z$6:$Z$205,MATCH($A135,Employees!$BG$6:$BG$205,0)))</f>
        <v/>
      </c>
      <c r="J135" s="26" t="str">
        <f aca="false">IF($A135="","",INDEX(Employees!$AB$6:$AB$205,MATCH($A135,Employees!$BG$6:$BG$205,0)))</f>
        <v/>
      </c>
      <c r="K135" s="26" t="str">
        <f aca="false">IF($A135="","",INDEX(Employees!$AC$6:$AC$205,MATCH($A135,Employees!$BG$6:$BG$205,0)))</f>
        <v/>
      </c>
      <c r="L135" s="28" t="str">
        <f aca="false">IF($A135="","",INDEX(Employees!$AD$6:$AD$205,MATCH($A135,Employees!$BG$6:$BG$205,0)))</f>
        <v/>
      </c>
      <c r="M135" s="11" t="str">
        <f aca="false">IF($A135="","",INDEX(Employees!$AF$6:$AF$205,MATCH($A135,Employees!$BG$6:$BG$205,0)))</f>
        <v/>
      </c>
      <c r="N135" s="11" t="str">
        <f aca="false">IF($A135="","",INDEX(Employees!$AM$6:$AM$205,MATCH($A135,Employees!$BG$6:$BG$205,0)))</f>
        <v/>
      </c>
    </row>
    <row r="136" customFormat="false" ht="15" hidden="false" customHeight="false" outlineLevel="0" collapsed="false">
      <c r="A136" s="11" t="str">
        <f aca="false">IF(131&lt;=MAX(Employees!$BG$6:$BG$205),131,"")</f>
        <v/>
      </c>
      <c r="B136" s="11" t="str">
        <f aca="false">IF($A136="","",INDEX(Employees!$A$6:$A$205,MATCH($A136,Employees!$BG$6:$BG$205,0)))</f>
        <v/>
      </c>
      <c r="C136" s="11" t="str">
        <f aca="false">IF($A136="","",INDEX(Employees!$B$6:$B$205,MATCH($A136,Employees!$BG$6:$BG$205,0)))</f>
        <v/>
      </c>
      <c r="D136" s="11" t="str">
        <f aca="false">IF($A136="","",INDEX(Employees!$C$6:$C$205,MATCH($A136,Employees!$BG$6:$BG$205,0)))</f>
        <v/>
      </c>
      <c r="E136" s="11" t="str">
        <f aca="false">IF($A136="","",INDEX(Employees!$D$6:$D$205,MATCH($A136,Employees!$BG$6:$BG$205,0)))</f>
        <v/>
      </c>
      <c r="F136" s="11" t="str">
        <f aca="false">IF($A136="","",INDEX(Employees!$T$6:$T$205,MATCH($A136,Employees!$BG$6:$BG$205,0)))</f>
        <v/>
      </c>
      <c r="G136" s="26" t="str">
        <f aca="false">IF($A136="","",INDEX(Employees!$U$6:$U$205,MATCH($A136,Employees!$BG$6:$BG$205,0)))</f>
        <v/>
      </c>
      <c r="H136" s="28" t="str">
        <f aca="false">IF($A136="","",INDEX(Employees!$E$6:$E$205,MATCH($A136,Employees!$BG$6:$BG$205,0)))</f>
        <v/>
      </c>
      <c r="I136" s="11" t="str">
        <f aca="false">IF($A136="","",INDEX(Employees!$Z$6:$Z$205,MATCH($A136,Employees!$BG$6:$BG$205,0)))</f>
        <v/>
      </c>
      <c r="J136" s="26" t="str">
        <f aca="false">IF($A136="","",INDEX(Employees!$AB$6:$AB$205,MATCH($A136,Employees!$BG$6:$BG$205,0)))</f>
        <v/>
      </c>
      <c r="K136" s="26" t="str">
        <f aca="false">IF($A136="","",INDEX(Employees!$AC$6:$AC$205,MATCH($A136,Employees!$BG$6:$BG$205,0)))</f>
        <v/>
      </c>
      <c r="L136" s="28" t="str">
        <f aca="false">IF($A136="","",INDEX(Employees!$AD$6:$AD$205,MATCH($A136,Employees!$BG$6:$BG$205,0)))</f>
        <v/>
      </c>
      <c r="M136" s="11" t="str">
        <f aca="false">IF($A136="","",INDEX(Employees!$AF$6:$AF$205,MATCH($A136,Employees!$BG$6:$BG$205,0)))</f>
        <v/>
      </c>
      <c r="N136" s="11" t="str">
        <f aca="false">IF($A136="","",INDEX(Employees!$AM$6:$AM$205,MATCH($A136,Employees!$BG$6:$BG$205,0)))</f>
        <v/>
      </c>
    </row>
    <row r="137" customFormat="false" ht="15" hidden="false" customHeight="false" outlineLevel="0" collapsed="false">
      <c r="A137" s="11" t="str">
        <f aca="false">IF(132&lt;=MAX(Employees!$BG$6:$BG$205),132,"")</f>
        <v/>
      </c>
      <c r="B137" s="11" t="str">
        <f aca="false">IF($A137="","",INDEX(Employees!$A$6:$A$205,MATCH($A137,Employees!$BG$6:$BG$205,0)))</f>
        <v/>
      </c>
      <c r="C137" s="11" t="str">
        <f aca="false">IF($A137="","",INDEX(Employees!$B$6:$B$205,MATCH($A137,Employees!$BG$6:$BG$205,0)))</f>
        <v/>
      </c>
      <c r="D137" s="11" t="str">
        <f aca="false">IF($A137="","",INDEX(Employees!$C$6:$C$205,MATCH($A137,Employees!$BG$6:$BG$205,0)))</f>
        <v/>
      </c>
      <c r="E137" s="11" t="str">
        <f aca="false">IF($A137="","",INDEX(Employees!$D$6:$D$205,MATCH($A137,Employees!$BG$6:$BG$205,0)))</f>
        <v/>
      </c>
      <c r="F137" s="11" t="str">
        <f aca="false">IF($A137="","",INDEX(Employees!$T$6:$T$205,MATCH($A137,Employees!$BG$6:$BG$205,0)))</f>
        <v/>
      </c>
      <c r="G137" s="26" t="str">
        <f aca="false">IF($A137="","",INDEX(Employees!$U$6:$U$205,MATCH($A137,Employees!$BG$6:$BG$205,0)))</f>
        <v/>
      </c>
      <c r="H137" s="28" t="str">
        <f aca="false">IF($A137="","",INDEX(Employees!$E$6:$E$205,MATCH($A137,Employees!$BG$6:$BG$205,0)))</f>
        <v/>
      </c>
      <c r="I137" s="11" t="str">
        <f aca="false">IF($A137="","",INDEX(Employees!$Z$6:$Z$205,MATCH($A137,Employees!$BG$6:$BG$205,0)))</f>
        <v/>
      </c>
      <c r="J137" s="26" t="str">
        <f aca="false">IF($A137="","",INDEX(Employees!$AB$6:$AB$205,MATCH($A137,Employees!$BG$6:$BG$205,0)))</f>
        <v/>
      </c>
      <c r="K137" s="26" t="str">
        <f aca="false">IF($A137="","",INDEX(Employees!$AC$6:$AC$205,MATCH($A137,Employees!$BG$6:$BG$205,0)))</f>
        <v/>
      </c>
      <c r="L137" s="28" t="str">
        <f aca="false">IF($A137="","",INDEX(Employees!$AD$6:$AD$205,MATCH($A137,Employees!$BG$6:$BG$205,0)))</f>
        <v/>
      </c>
      <c r="M137" s="11" t="str">
        <f aca="false">IF($A137="","",INDEX(Employees!$AF$6:$AF$205,MATCH($A137,Employees!$BG$6:$BG$205,0)))</f>
        <v/>
      </c>
      <c r="N137" s="11" t="str">
        <f aca="false">IF($A137="","",INDEX(Employees!$AM$6:$AM$205,MATCH($A137,Employees!$BG$6:$BG$205,0)))</f>
        <v/>
      </c>
    </row>
    <row r="138" customFormat="false" ht="15" hidden="false" customHeight="false" outlineLevel="0" collapsed="false">
      <c r="A138" s="11" t="str">
        <f aca="false">IF(133&lt;=MAX(Employees!$BG$6:$BG$205),133,"")</f>
        <v/>
      </c>
      <c r="B138" s="11" t="str">
        <f aca="false">IF($A138="","",INDEX(Employees!$A$6:$A$205,MATCH($A138,Employees!$BG$6:$BG$205,0)))</f>
        <v/>
      </c>
      <c r="C138" s="11" t="str">
        <f aca="false">IF($A138="","",INDEX(Employees!$B$6:$B$205,MATCH($A138,Employees!$BG$6:$BG$205,0)))</f>
        <v/>
      </c>
      <c r="D138" s="11" t="str">
        <f aca="false">IF($A138="","",INDEX(Employees!$C$6:$C$205,MATCH($A138,Employees!$BG$6:$BG$205,0)))</f>
        <v/>
      </c>
      <c r="E138" s="11" t="str">
        <f aca="false">IF($A138="","",INDEX(Employees!$D$6:$D$205,MATCH($A138,Employees!$BG$6:$BG$205,0)))</f>
        <v/>
      </c>
      <c r="F138" s="11" t="str">
        <f aca="false">IF($A138="","",INDEX(Employees!$T$6:$T$205,MATCH($A138,Employees!$BG$6:$BG$205,0)))</f>
        <v/>
      </c>
      <c r="G138" s="26" t="str">
        <f aca="false">IF($A138="","",INDEX(Employees!$U$6:$U$205,MATCH($A138,Employees!$BG$6:$BG$205,0)))</f>
        <v/>
      </c>
      <c r="H138" s="28" t="str">
        <f aca="false">IF($A138="","",INDEX(Employees!$E$6:$E$205,MATCH($A138,Employees!$BG$6:$BG$205,0)))</f>
        <v/>
      </c>
      <c r="I138" s="11" t="str">
        <f aca="false">IF($A138="","",INDEX(Employees!$Z$6:$Z$205,MATCH($A138,Employees!$BG$6:$BG$205,0)))</f>
        <v/>
      </c>
      <c r="J138" s="26" t="str">
        <f aca="false">IF($A138="","",INDEX(Employees!$AB$6:$AB$205,MATCH($A138,Employees!$BG$6:$BG$205,0)))</f>
        <v/>
      </c>
      <c r="K138" s="26" t="str">
        <f aca="false">IF($A138="","",INDEX(Employees!$AC$6:$AC$205,MATCH($A138,Employees!$BG$6:$BG$205,0)))</f>
        <v/>
      </c>
      <c r="L138" s="28" t="str">
        <f aca="false">IF($A138="","",INDEX(Employees!$AD$6:$AD$205,MATCH($A138,Employees!$BG$6:$BG$205,0)))</f>
        <v/>
      </c>
      <c r="M138" s="11" t="str">
        <f aca="false">IF($A138="","",INDEX(Employees!$AF$6:$AF$205,MATCH($A138,Employees!$BG$6:$BG$205,0)))</f>
        <v/>
      </c>
      <c r="N138" s="11" t="str">
        <f aca="false">IF($A138="","",INDEX(Employees!$AM$6:$AM$205,MATCH($A138,Employees!$BG$6:$BG$205,0)))</f>
        <v/>
      </c>
    </row>
    <row r="139" customFormat="false" ht="15" hidden="false" customHeight="false" outlineLevel="0" collapsed="false">
      <c r="A139" s="11" t="str">
        <f aca="false">IF(134&lt;=MAX(Employees!$BG$6:$BG$205),134,"")</f>
        <v/>
      </c>
      <c r="B139" s="11" t="str">
        <f aca="false">IF($A139="","",INDEX(Employees!$A$6:$A$205,MATCH($A139,Employees!$BG$6:$BG$205,0)))</f>
        <v/>
      </c>
      <c r="C139" s="11" t="str">
        <f aca="false">IF($A139="","",INDEX(Employees!$B$6:$B$205,MATCH($A139,Employees!$BG$6:$BG$205,0)))</f>
        <v/>
      </c>
      <c r="D139" s="11" t="str">
        <f aca="false">IF($A139="","",INDEX(Employees!$C$6:$C$205,MATCH($A139,Employees!$BG$6:$BG$205,0)))</f>
        <v/>
      </c>
      <c r="E139" s="11" t="str">
        <f aca="false">IF($A139="","",INDEX(Employees!$D$6:$D$205,MATCH($A139,Employees!$BG$6:$BG$205,0)))</f>
        <v/>
      </c>
      <c r="F139" s="11" t="str">
        <f aca="false">IF($A139="","",INDEX(Employees!$T$6:$T$205,MATCH($A139,Employees!$BG$6:$BG$205,0)))</f>
        <v/>
      </c>
      <c r="G139" s="26" t="str">
        <f aca="false">IF($A139="","",INDEX(Employees!$U$6:$U$205,MATCH($A139,Employees!$BG$6:$BG$205,0)))</f>
        <v/>
      </c>
      <c r="H139" s="28" t="str">
        <f aca="false">IF($A139="","",INDEX(Employees!$E$6:$E$205,MATCH($A139,Employees!$BG$6:$BG$205,0)))</f>
        <v/>
      </c>
      <c r="I139" s="11" t="str">
        <f aca="false">IF($A139="","",INDEX(Employees!$Z$6:$Z$205,MATCH($A139,Employees!$BG$6:$BG$205,0)))</f>
        <v/>
      </c>
      <c r="J139" s="26" t="str">
        <f aca="false">IF($A139="","",INDEX(Employees!$AB$6:$AB$205,MATCH($A139,Employees!$BG$6:$BG$205,0)))</f>
        <v/>
      </c>
      <c r="K139" s="26" t="str">
        <f aca="false">IF($A139="","",INDEX(Employees!$AC$6:$AC$205,MATCH($A139,Employees!$BG$6:$BG$205,0)))</f>
        <v/>
      </c>
      <c r="L139" s="28" t="str">
        <f aca="false">IF($A139="","",INDEX(Employees!$AD$6:$AD$205,MATCH($A139,Employees!$BG$6:$BG$205,0)))</f>
        <v/>
      </c>
      <c r="M139" s="11" t="str">
        <f aca="false">IF($A139="","",INDEX(Employees!$AF$6:$AF$205,MATCH($A139,Employees!$BG$6:$BG$205,0)))</f>
        <v/>
      </c>
      <c r="N139" s="11" t="str">
        <f aca="false">IF($A139="","",INDEX(Employees!$AM$6:$AM$205,MATCH($A139,Employees!$BG$6:$BG$205,0)))</f>
        <v/>
      </c>
    </row>
    <row r="140" customFormat="false" ht="15" hidden="false" customHeight="false" outlineLevel="0" collapsed="false">
      <c r="A140" s="11" t="str">
        <f aca="false">IF(135&lt;=MAX(Employees!$BG$6:$BG$205),135,"")</f>
        <v/>
      </c>
      <c r="B140" s="11" t="str">
        <f aca="false">IF($A140="","",INDEX(Employees!$A$6:$A$205,MATCH($A140,Employees!$BG$6:$BG$205,0)))</f>
        <v/>
      </c>
      <c r="C140" s="11" t="str">
        <f aca="false">IF($A140="","",INDEX(Employees!$B$6:$B$205,MATCH($A140,Employees!$BG$6:$BG$205,0)))</f>
        <v/>
      </c>
      <c r="D140" s="11" t="str">
        <f aca="false">IF($A140="","",INDEX(Employees!$C$6:$C$205,MATCH($A140,Employees!$BG$6:$BG$205,0)))</f>
        <v/>
      </c>
      <c r="E140" s="11" t="str">
        <f aca="false">IF($A140="","",INDEX(Employees!$D$6:$D$205,MATCH($A140,Employees!$BG$6:$BG$205,0)))</f>
        <v/>
      </c>
      <c r="F140" s="11" t="str">
        <f aca="false">IF($A140="","",INDEX(Employees!$T$6:$T$205,MATCH($A140,Employees!$BG$6:$BG$205,0)))</f>
        <v/>
      </c>
      <c r="G140" s="26" t="str">
        <f aca="false">IF($A140="","",INDEX(Employees!$U$6:$U$205,MATCH($A140,Employees!$BG$6:$BG$205,0)))</f>
        <v/>
      </c>
      <c r="H140" s="28" t="str">
        <f aca="false">IF($A140="","",INDEX(Employees!$E$6:$E$205,MATCH($A140,Employees!$BG$6:$BG$205,0)))</f>
        <v/>
      </c>
      <c r="I140" s="11" t="str">
        <f aca="false">IF($A140="","",INDEX(Employees!$Z$6:$Z$205,MATCH($A140,Employees!$BG$6:$BG$205,0)))</f>
        <v/>
      </c>
      <c r="J140" s="26" t="str">
        <f aca="false">IF($A140="","",INDEX(Employees!$AB$6:$AB$205,MATCH($A140,Employees!$BG$6:$BG$205,0)))</f>
        <v/>
      </c>
      <c r="K140" s="26" t="str">
        <f aca="false">IF($A140="","",INDEX(Employees!$AC$6:$AC$205,MATCH($A140,Employees!$BG$6:$BG$205,0)))</f>
        <v/>
      </c>
      <c r="L140" s="28" t="str">
        <f aca="false">IF($A140="","",INDEX(Employees!$AD$6:$AD$205,MATCH($A140,Employees!$BG$6:$BG$205,0)))</f>
        <v/>
      </c>
      <c r="M140" s="11" t="str">
        <f aca="false">IF($A140="","",INDEX(Employees!$AF$6:$AF$205,MATCH($A140,Employees!$BG$6:$BG$205,0)))</f>
        <v/>
      </c>
      <c r="N140" s="11" t="str">
        <f aca="false">IF($A140="","",INDEX(Employees!$AM$6:$AM$205,MATCH($A140,Employees!$BG$6:$BG$205,0)))</f>
        <v/>
      </c>
    </row>
    <row r="141" customFormat="false" ht="15" hidden="false" customHeight="false" outlineLevel="0" collapsed="false">
      <c r="A141" s="11" t="str">
        <f aca="false">IF(136&lt;=MAX(Employees!$BG$6:$BG$205),136,"")</f>
        <v/>
      </c>
      <c r="B141" s="11" t="str">
        <f aca="false">IF($A141="","",INDEX(Employees!$A$6:$A$205,MATCH($A141,Employees!$BG$6:$BG$205,0)))</f>
        <v/>
      </c>
      <c r="C141" s="11" t="str">
        <f aca="false">IF($A141="","",INDEX(Employees!$B$6:$B$205,MATCH($A141,Employees!$BG$6:$BG$205,0)))</f>
        <v/>
      </c>
      <c r="D141" s="11" t="str">
        <f aca="false">IF($A141="","",INDEX(Employees!$C$6:$C$205,MATCH($A141,Employees!$BG$6:$BG$205,0)))</f>
        <v/>
      </c>
      <c r="E141" s="11" t="str">
        <f aca="false">IF($A141="","",INDEX(Employees!$D$6:$D$205,MATCH($A141,Employees!$BG$6:$BG$205,0)))</f>
        <v/>
      </c>
      <c r="F141" s="11" t="str">
        <f aca="false">IF($A141="","",INDEX(Employees!$T$6:$T$205,MATCH($A141,Employees!$BG$6:$BG$205,0)))</f>
        <v/>
      </c>
      <c r="G141" s="26" t="str">
        <f aca="false">IF($A141="","",INDEX(Employees!$U$6:$U$205,MATCH($A141,Employees!$BG$6:$BG$205,0)))</f>
        <v/>
      </c>
      <c r="H141" s="28" t="str">
        <f aca="false">IF($A141="","",INDEX(Employees!$E$6:$E$205,MATCH($A141,Employees!$BG$6:$BG$205,0)))</f>
        <v/>
      </c>
      <c r="I141" s="11" t="str">
        <f aca="false">IF($A141="","",INDEX(Employees!$Z$6:$Z$205,MATCH($A141,Employees!$BG$6:$BG$205,0)))</f>
        <v/>
      </c>
      <c r="J141" s="26" t="str">
        <f aca="false">IF($A141="","",INDEX(Employees!$AB$6:$AB$205,MATCH($A141,Employees!$BG$6:$BG$205,0)))</f>
        <v/>
      </c>
      <c r="K141" s="26" t="str">
        <f aca="false">IF($A141="","",INDEX(Employees!$AC$6:$AC$205,MATCH($A141,Employees!$BG$6:$BG$205,0)))</f>
        <v/>
      </c>
      <c r="L141" s="28" t="str">
        <f aca="false">IF($A141="","",INDEX(Employees!$AD$6:$AD$205,MATCH($A141,Employees!$BG$6:$BG$205,0)))</f>
        <v/>
      </c>
      <c r="M141" s="11" t="str">
        <f aca="false">IF($A141="","",INDEX(Employees!$AF$6:$AF$205,MATCH($A141,Employees!$BG$6:$BG$205,0)))</f>
        <v/>
      </c>
      <c r="N141" s="11" t="str">
        <f aca="false">IF($A141="","",INDEX(Employees!$AM$6:$AM$205,MATCH($A141,Employees!$BG$6:$BG$205,0)))</f>
        <v/>
      </c>
    </row>
    <row r="142" customFormat="false" ht="15" hidden="false" customHeight="false" outlineLevel="0" collapsed="false">
      <c r="A142" s="11" t="str">
        <f aca="false">IF(137&lt;=MAX(Employees!$BG$6:$BG$205),137,"")</f>
        <v/>
      </c>
      <c r="B142" s="11" t="str">
        <f aca="false">IF($A142="","",INDEX(Employees!$A$6:$A$205,MATCH($A142,Employees!$BG$6:$BG$205,0)))</f>
        <v/>
      </c>
      <c r="C142" s="11" t="str">
        <f aca="false">IF($A142="","",INDEX(Employees!$B$6:$B$205,MATCH($A142,Employees!$BG$6:$BG$205,0)))</f>
        <v/>
      </c>
      <c r="D142" s="11" t="str">
        <f aca="false">IF($A142="","",INDEX(Employees!$C$6:$C$205,MATCH($A142,Employees!$BG$6:$BG$205,0)))</f>
        <v/>
      </c>
      <c r="E142" s="11" t="str">
        <f aca="false">IF($A142="","",INDEX(Employees!$D$6:$D$205,MATCH($A142,Employees!$BG$6:$BG$205,0)))</f>
        <v/>
      </c>
      <c r="F142" s="11" t="str">
        <f aca="false">IF($A142="","",INDEX(Employees!$T$6:$T$205,MATCH($A142,Employees!$BG$6:$BG$205,0)))</f>
        <v/>
      </c>
      <c r="G142" s="26" t="str">
        <f aca="false">IF($A142="","",INDEX(Employees!$U$6:$U$205,MATCH($A142,Employees!$BG$6:$BG$205,0)))</f>
        <v/>
      </c>
      <c r="H142" s="28" t="str">
        <f aca="false">IF($A142="","",INDEX(Employees!$E$6:$E$205,MATCH($A142,Employees!$BG$6:$BG$205,0)))</f>
        <v/>
      </c>
      <c r="I142" s="11" t="str">
        <f aca="false">IF($A142="","",INDEX(Employees!$Z$6:$Z$205,MATCH($A142,Employees!$BG$6:$BG$205,0)))</f>
        <v/>
      </c>
      <c r="J142" s="26" t="str">
        <f aca="false">IF($A142="","",INDEX(Employees!$AB$6:$AB$205,MATCH($A142,Employees!$BG$6:$BG$205,0)))</f>
        <v/>
      </c>
      <c r="K142" s="26" t="str">
        <f aca="false">IF($A142="","",INDEX(Employees!$AC$6:$AC$205,MATCH($A142,Employees!$BG$6:$BG$205,0)))</f>
        <v/>
      </c>
      <c r="L142" s="28" t="str">
        <f aca="false">IF($A142="","",INDEX(Employees!$AD$6:$AD$205,MATCH($A142,Employees!$BG$6:$BG$205,0)))</f>
        <v/>
      </c>
      <c r="M142" s="11" t="str">
        <f aca="false">IF($A142="","",INDEX(Employees!$AF$6:$AF$205,MATCH($A142,Employees!$BG$6:$BG$205,0)))</f>
        <v/>
      </c>
      <c r="N142" s="11" t="str">
        <f aca="false">IF($A142="","",INDEX(Employees!$AM$6:$AM$205,MATCH($A142,Employees!$BG$6:$BG$205,0)))</f>
        <v/>
      </c>
    </row>
    <row r="143" customFormat="false" ht="15" hidden="false" customHeight="false" outlineLevel="0" collapsed="false">
      <c r="A143" s="11" t="str">
        <f aca="false">IF(138&lt;=MAX(Employees!$BG$6:$BG$205),138,"")</f>
        <v/>
      </c>
      <c r="B143" s="11" t="str">
        <f aca="false">IF($A143="","",INDEX(Employees!$A$6:$A$205,MATCH($A143,Employees!$BG$6:$BG$205,0)))</f>
        <v/>
      </c>
      <c r="C143" s="11" t="str">
        <f aca="false">IF($A143="","",INDEX(Employees!$B$6:$B$205,MATCH($A143,Employees!$BG$6:$BG$205,0)))</f>
        <v/>
      </c>
      <c r="D143" s="11" t="str">
        <f aca="false">IF($A143="","",INDEX(Employees!$C$6:$C$205,MATCH($A143,Employees!$BG$6:$BG$205,0)))</f>
        <v/>
      </c>
      <c r="E143" s="11" t="str">
        <f aca="false">IF($A143="","",INDEX(Employees!$D$6:$D$205,MATCH($A143,Employees!$BG$6:$BG$205,0)))</f>
        <v/>
      </c>
      <c r="F143" s="11" t="str">
        <f aca="false">IF($A143="","",INDEX(Employees!$T$6:$T$205,MATCH($A143,Employees!$BG$6:$BG$205,0)))</f>
        <v/>
      </c>
      <c r="G143" s="26" t="str">
        <f aca="false">IF($A143="","",INDEX(Employees!$U$6:$U$205,MATCH($A143,Employees!$BG$6:$BG$205,0)))</f>
        <v/>
      </c>
      <c r="H143" s="28" t="str">
        <f aca="false">IF($A143="","",INDEX(Employees!$E$6:$E$205,MATCH($A143,Employees!$BG$6:$BG$205,0)))</f>
        <v/>
      </c>
      <c r="I143" s="11" t="str">
        <f aca="false">IF($A143="","",INDEX(Employees!$Z$6:$Z$205,MATCH($A143,Employees!$BG$6:$BG$205,0)))</f>
        <v/>
      </c>
      <c r="J143" s="26" t="str">
        <f aca="false">IF($A143="","",INDEX(Employees!$AB$6:$AB$205,MATCH($A143,Employees!$BG$6:$BG$205,0)))</f>
        <v/>
      </c>
      <c r="K143" s="26" t="str">
        <f aca="false">IF($A143="","",INDEX(Employees!$AC$6:$AC$205,MATCH($A143,Employees!$BG$6:$BG$205,0)))</f>
        <v/>
      </c>
      <c r="L143" s="28" t="str">
        <f aca="false">IF($A143="","",INDEX(Employees!$AD$6:$AD$205,MATCH($A143,Employees!$BG$6:$BG$205,0)))</f>
        <v/>
      </c>
      <c r="M143" s="11" t="str">
        <f aca="false">IF($A143="","",INDEX(Employees!$AF$6:$AF$205,MATCH($A143,Employees!$BG$6:$BG$205,0)))</f>
        <v/>
      </c>
      <c r="N143" s="11" t="str">
        <f aca="false">IF($A143="","",INDEX(Employees!$AM$6:$AM$205,MATCH($A143,Employees!$BG$6:$BG$205,0)))</f>
        <v/>
      </c>
    </row>
    <row r="144" customFormat="false" ht="15" hidden="false" customHeight="false" outlineLevel="0" collapsed="false">
      <c r="A144" s="11" t="str">
        <f aca="false">IF(139&lt;=MAX(Employees!$BG$6:$BG$205),139,"")</f>
        <v/>
      </c>
      <c r="B144" s="11" t="str">
        <f aca="false">IF($A144="","",INDEX(Employees!$A$6:$A$205,MATCH($A144,Employees!$BG$6:$BG$205,0)))</f>
        <v/>
      </c>
      <c r="C144" s="11" t="str">
        <f aca="false">IF($A144="","",INDEX(Employees!$B$6:$B$205,MATCH($A144,Employees!$BG$6:$BG$205,0)))</f>
        <v/>
      </c>
      <c r="D144" s="11" t="str">
        <f aca="false">IF($A144="","",INDEX(Employees!$C$6:$C$205,MATCH($A144,Employees!$BG$6:$BG$205,0)))</f>
        <v/>
      </c>
      <c r="E144" s="11" t="str">
        <f aca="false">IF($A144="","",INDEX(Employees!$D$6:$D$205,MATCH($A144,Employees!$BG$6:$BG$205,0)))</f>
        <v/>
      </c>
      <c r="F144" s="11" t="str">
        <f aca="false">IF($A144="","",INDEX(Employees!$T$6:$T$205,MATCH($A144,Employees!$BG$6:$BG$205,0)))</f>
        <v/>
      </c>
      <c r="G144" s="26" t="str">
        <f aca="false">IF($A144="","",INDEX(Employees!$U$6:$U$205,MATCH($A144,Employees!$BG$6:$BG$205,0)))</f>
        <v/>
      </c>
      <c r="H144" s="28" t="str">
        <f aca="false">IF($A144="","",INDEX(Employees!$E$6:$E$205,MATCH($A144,Employees!$BG$6:$BG$205,0)))</f>
        <v/>
      </c>
      <c r="I144" s="11" t="str">
        <f aca="false">IF($A144="","",INDEX(Employees!$Z$6:$Z$205,MATCH($A144,Employees!$BG$6:$BG$205,0)))</f>
        <v/>
      </c>
      <c r="J144" s="26" t="str">
        <f aca="false">IF($A144="","",INDEX(Employees!$AB$6:$AB$205,MATCH($A144,Employees!$BG$6:$BG$205,0)))</f>
        <v/>
      </c>
      <c r="K144" s="26" t="str">
        <f aca="false">IF($A144="","",INDEX(Employees!$AC$6:$AC$205,MATCH($A144,Employees!$BG$6:$BG$205,0)))</f>
        <v/>
      </c>
      <c r="L144" s="28" t="str">
        <f aca="false">IF($A144="","",INDEX(Employees!$AD$6:$AD$205,MATCH($A144,Employees!$BG$6:$BG$205,0)))</f>
        <v/>
      </c>
      <c r="M144" s="11" t="str">
        <f aca="false">IF($A144="","",INDEX(Employees!$AF$6:$AF$205,MATCH($A144,Employees!$BG$6:$BG$205,0)))</f>
        <v/>
      </c>
      <c r="N144" s="11" t="str">
        <f aca="false">IF($A144="","",INDEX(Employees!$AM$6:$AM$205,MATCH($A144,Employees!$BG$6:$BG$205,0)))</f>
        <v/>
      </c>
    </row>
    <row r="145" customFormat="false" ht="15" hidden="false" customHeight="false" outlineLevel="0" collapsed="false">
      <c r="A145" s="11" t="str">
        <f aca="false">IF(140&lt;=MAX(Employees!$BG$6:$BG$205),140,"")</f>
        <v/>
      </c>
      <c r="B145" s="11" t="str">
        <f aca="false">IF($A145="","",INDEX(Employees!$A$6:$A$205,MATCH($A145,Employees!$BG$6:$BG$205,0)))</f>
        <v/>
      </c>
      <c r="C145" s="11" t="str">
        <f aca="false">IF($A145="","",INDEX(Employees!$B$6:$B$205,MATCH($A145,Employees!$BG$6:$BG$205,0)))</f>
        <v/>
      </c>
      <c r="D145" s="11" t="str">
        <f aca="false">IF($A145="","",INDEX(Employees!$C$6:$C$205,MATCH($A145,Employees!$BG$6:$BG$205,0)))</f>
        <v/>
      </c>
      <c r="E145" s="11" t="str">
        <f aca="false">IF($A145="","",INDEX(Employees!$D$6:$D$205,MATCH($A145,Employees!$BG$6:$BG$205,0)))</f>
        <v/>
      </c>
      <c r="F145" s="11" t="str">
        <f aca="false">IF($A145="","",INDEX(Employees!$T$6:$T$205,MATCH($A145,Employees!$BG$6:$BG$205,0)))</f>
        <v/>
      </c>
      <c r="G145" s="26" t="str">
        <f aca="false">IF($A145="","",INDEX(Employees!$U$6:$U$205,MATCH($A145,Employees!$BG$6:$BG$205,0)))</f>
        <v/>
      </c>
      <c r="H145" s="28" t="str">
        <f aca="false">IF($A145="","",INDEX(Employees!$E$6:$E$205,MATCH($A145,Employees!$BG$6:$BG$205,0)))</f>
        <v/>
      </c>
      <c r="I145" s="11" t="str">
        <f aca="false">IF($A145="","",INDEX(Employees!$Z$6:$Z$205,MATCH($A145,Employees!$BG$6:$BG$205,0)))</f>
        <v/>
      </c>
      <c r="J145" s="26" t="str">
        <f aca="false">IF($A145="","",INDEX(Employees!$AB$6:$AB$205,MATCH($A145,Employees!$BG$6:$BG$205,0)))</f>
        <v/>
      </c>
      <c r="K145" s="26" t="str">
        <f aca="false">IF($A145="","",INDEX(Employees!$AC$6:$AC$205,MATCH($A145,Employees!$BG$6:$BG$205,0)))</f>
        <v/>
      </c>
      <c r="L145" s="28" t="str">
        <f aca="false">IF($A145="","",INDEX(Employees!$AD$6:$AD$205,MATCH($A145,Employees!$BG$6:$BG$205,0)))</f>
        <v/>
      </c>
      <c r="M145" s="11" t="str">
        <f aca="false">IF($A145="","",INDEX(Employees!$AF$6:$AF$205,MATCH($A145,Employees!$BG$6:$BG$205,0)))</f>
        <v/>
      </c>
      <c r="N145" s="11" t="str">
        <f aca="false">IF($A145="","",INDEX(Employees!$AM$6:$AM$205,MATCH($A145,Employees!$BG$6:$BG$205,0)))</f>
        <v/>
      </c>
    </row>
    <row r="146" customFormat="false" ht="15" hidden="false" customHeight="false" outlineLevel="0" collapsed="false">
      <c r="A146" s="11" t="str">
        <f aca="false">IF(141&lt;=MAX(Employees!$BG$6:$BG$205),141,"")</f>
        <v/>
      </c>
      <c r="B146" s="11" t="str">
        <f aca="false">IF($A146="","",INDEX(Employees!$A$6:$A$205,MATCH($A146,Employees!$BG$6:$BG$205,0)))</f>
        <v/>
      </c>
      <c r="C146" s="11" t="str">
        <f aca="false">IF($A146="","",INDEX(Employees!$B$6:$B$205,MATCH($A146,Employees!$BG$6:$BG$205,0)))</f>
        <v/>
      </c>
      <c r="D146" s="11" t="str">
        <f aca="false">IF($A146="","",INDEX(Employees!$C$6:$C$205,MATCH($A146,Employees!$BG$6:$BG$205,0)))</f>
        <v/>
      </c>
      <c r="E146" s="11" t="str">
        <f aca="false">IF($A146="","",INDEX(Employees!$D$6:$D$205,MATCH($A146,Employees!$BG$6:$BG$205,0)))</f>
        <v/>
      </c>
      <c r="F146" s="11" t="str">
        <f aca="false">IF($A146="","",INDEX(Employees!$T$6:$T$205,MATCH($A146,Employees!$BG$6:$BG$205,0)))</f>
        <v/>
      </c>
      <c r="G146" s="26" t="str">
        <f aca="false">IF($A146="","",INDEX(Employees!$U$6:$U$205,MATCH($A146,Employees!$BG$6:$BG$205,0)))</f>
        <v/>
      </c>
      <c r="H146" s="28" t="str">
        <f aca="false">IF($A146="","",INDEX(Employees!$E$6:$E$205,MATCH($A146,Employees!$BG$6:$BG$205,0)))</f>
        <v/>
      </c>
      <c r="I146" s="11" t="str">
        <f aca="false">IF($A146="","",INDEX(Employees!$Z$6:$Z$205,MATCH($A146,Employees!$BG$6:$BG$205,0)))</f>
        <v/>
      </c>
      <c r="J146" s="26" t="str">
        <f aca="false">IF($A146="","",INDEX(Employees!$AB$6:$AB$205,MATCH($A146,Employees!$BG$6:$BG$205,0)))</f>
        <v/>
      </c>
      <c r="K146" s="26" t="str">
        <f aca="false">IF($A146="","",INDEX(Employees!$AC$6:$AC$205,MATCH($A146,Employees!$BG$6:$BG$205,0)))</f>
        <v/>
      </c>
      <c r="L146" s="28" t="str">
        <f aca="false">IF($A146="","",INDEX(Employees!$AD$6:$AD$205,MATCH($A146,Employees!$BG$6:$BG$205,0)))</f>
        <v/>
      </c>
      <c r="M146" s="11" t="str">
        <f aca="false">IF($A146="","",INDEX(Employees!$AF$6:$AF$205,MATCH($A146,Employees!$BG$6:$BG$205,0)))</f>
        <v/>
      </c>
      <c r="N146" s="11" t="str">
        <f aca="false">IF($A146="","",INDEX(Employees!$AM$6:$AM$205,MATCH($A146,Employees!$BG$6:$BG$205,0)))</f>
        <v/>
      </c>
    </row>
    <row r="147" customFormat="false" ht="15" hidden="false" customHeight="false" outlineLevel="0" collapsed="false">
      <c r="A147" s="11" t="str">
        <f aca="false">IF(142&lt;=MAX(Employees!$BG$6:$BG$205),142,"")</f>
        <v/>
      </c>
      <c r="B147" s="11" t="str">
        <f aca="false">IF($A147="","",INDEX(Employees!$A$6:$A$205,MATCH($A147,Employees!$BG$6:$BG$205,0)))</f>
        <v/>
      </c>
      <c r="C147" s="11" t="str">
        <f aca="false">IF($A147="","",INDEX(Employees!$B$6:$B$205,MATCH($A147,Employees!$BG$6:$BG$205,0)))</f>
        <v/>
      </c>
      <c r="D147" s="11" t="str">
        <f aca="false">IF($A147="","",INDEX(Employees!$C$6:$C$205,MATCH($A147,Employees!$BG$6:$BG$205,0)))</f>
        <v/>
      </c>
      <c r="E147" s="11" t="str">
        <f aca="false">IF($A147="","",INDEX(Employees!$D$6:$D$205,MATCH($A147,Employees!$BG$6:$BG$205,0)))</f>
        <v/>
      </c>
      <c r="F147" s="11" t="str">
        <f aca="false">IF($A147="","",INDEX(Employees!$T$6:$T$205,MATCH($A147,Employees!$BG$6:$BG$205,0)))</f>
        <v/>
      </c>
      <c r="G147" s="26" t="str">
        <f aca="false">IF($A147="","",INDEX(Employees!$U$6:$U$205,MATCH($A147,Employees!$BG$6:$BG$205,0)))</f>
        <v/>
      </c>
      <c r="H147" s="28" t="str">
        <f aca="false">IF($A147="","",INDEX(Employees!$E$6:$E$205,MATCH($A147,Employees!$BG$6:$BG$205,0)))</f>
        <v/>
      </c>
      <c r="I147" s="11" t="str">
        <f aca="false">IF($A147="","",INDEX(Employees!$Z$6:$Z$205,MATCH($A147,Employees!$BG$6:$BG$205,0)))</f>
        <v/>
      </c>
      <c r="J147" s="26" t="str">
        <f aca="false">IF($A147="","",INDEX(Employees!$AB$6:$AB$205,MATCH($A147,Employees!$BG$6:$BG$205,0)))</f>
        <v/>
      </c>
      <c r="K147" s="26" t="str">
        <f aca="false">IF($A147="","",INDEX(Employees!$AC$6:$AC$205,MATCH($A147,Employees!$BG$6:$BG$205,0)))</f>
        <v/>
      </c>
      <c r="L147" s="28" t="str">
        <f aca="false">IF($A147="","",INDEX(Employees!$AD$6:$AD$205,MATCH($A147,Employees!$BG$6:$BG$205,0)))</f>
        <v/>
      </c>
      <c r="M147" s="11" t="str">
        <f aca="false">IF($A147="","",INDEX(Employees!$AF$6:$AF$205,MATCH($A147,Employees!$BG$6:$BG$205,0)))</f>
        <v/>
      </c>
      <c r="N147" s="11" t="str">
        <f aca="false">IF($A147="","",INDEX(Employees!$AM$6:$AM$205,MATCH($A147,Employees!$BG$6:$BG$205,0)))</f>
        <v/>
      </c>
    </row>
    <row r="148" customFormat="false" ht="15" hidden="false" customHeight="false" outlineLevel="0" collapsed="false">
      <c r="A148" s="11" t="str">
        <f aca="false">IF(143&lt;=MAX(Employees!$BG$6:$BG$205),143,"")</f>
        <v/>
      </c>
      <c r="B148" s="11" t="str">
        <f aca="false">IF($A148="","",INDEX(Employees!$A$6:$A$205,MATCH($A148,Employees!$BG$6:$BG$205,0)))</f>
        <v/>
      </c>
      <c r="C148" s="11" t="str">
        <f aca="false">IF($A148="","",INDEX(Employees!$B$6:$B$205,MATCH($A148,Employees!$BG$6:$BG$205,0)))</f>
        <v/>
      </c>
      <c r="D148" s="11" t="str">
        <f aca="false">IF($A148="","",INDEX(Employees!$C$6:$C$205,MATCH($A148,Employees!$BG$6:$BG$205,0)))</f>
        <v/>
      </c>
      <c r="E148" s="11" t="str">
        <f aca="false">IF($A148="","",INDEX(Employees!$D$6:$D$205,MATCH($A148,Employees!$BG$6:$BG$205,0)))</f>
        <v/>
      </c>
      <c r="F148" s="11" t="str">
        <f aca="false">IF($A148="","",INDEX(Employees!$T$6:$T$205,MATCH($A148,Employees!$BG$6:$BG$205,0)))</f>
        <v/>
      </c>
      <c r="G148" s="26" t="str">
        <f aca="false">IF($A148="","",INDEX(Employees!$U$6:$U$205,MATCH($A148,Employees!$BG$6:$BG$205,0)))</f>
        <v/>
      </c>
      <c r="H148" s="28" t="str">
        <f aca="false">IF($A148="","",INDEX(Employees!$E$6:$E$205,MATCH($A148,Employees!$BG$6:$BG$205,0)))</f>
        <v/>
      </c>
      <c r="I148" s="11" t="str">
        <f aca="false">IF($A148="","",INDEX(Employees!$Z$6:$Z$205,MATCH($A148,Employees!$BG$6:$BG$205,0)))</f>
        <v/>
      </c>
      <c r="J148" s="26" t="str">
        <f aca="false">IF($A148="","",INDEX(Employees!$AB$6:$AB$205,MATCH($A148,Employees!$BG$6:$BG$205,0)))</f>
        <v/>
      </c>
      <c r="K148" s="26" t="str">
        <f aca="false">IF($A148="","",INDEX(Employees!$AC$6:$AC$205,MATCH($A148,Employees!$BG$6:$BG$205,0)))</f>
        <v/>
      </c>
      <c r="L148" s="28" t="str">
        <f aca="false">IF($A148="","",INDEX(Employees!$AD$6:$AD$205,MATCH($A148,Employees!$BG$6:$BG$205,0)))</f>
        <v/>
      </c>
      <c r="M148" s="11" t="str">
        <f aca="false">IF($A148="","",INDEX(Employees!$AF$6:$AF$205,MATCH($A148,Employees!$BG$6:$BG$205,0)))</f>
        <v/>
      </c>
      <c r="N148" s="11" t="str">
        <f aca="false">IF($A148="","",INDEX(Employees!$AM$6:$AM$205,MATCH($A148,Employees!$BG$6:$BG$205,0)))</f>
        <v/>
      </c>
    </row>
    <row r="149" customFormat="false" ht="15" hidden="false" customHeight="false" outlineLevel="0" collapsed="false">
      <c r="A149" s="11" t="str">
        <f aca="false">IF(144&lt;=MAX(Employees!$BG$6:$BG$205),144,"")</f>
        <v/>
      </c>
      <c r="B149" s="11" t="str">
        <f aca="false">IF($A149="","",INDEX(Employees!$A$6:$A$205,MATCH($A149,Employees!$BG$6:$BG$205,0)))</f>
        <v/>
      </c>
      <c r="C149" s="11" t="str">
        <f aca="false">IF($A149="","",INDEX(Employees!$B$6:$B$205,MATCH($A149,Employees!$BG$6:$BG$205,0)))</f>
        <v/>
      </c>
      <c r="D149" s="11" t="str">
        <f aca="false">IF($A149="","",INDEX(Employees!$C$6:$C$205,MATCH($A149,Employees!$BG$6:$BG$205,0)))</f>
        <v/>
      </c>
      <c r="E149" s="11" t="str">
        <f aca="false">IF($A149="","",INDEX(Employees!$D$6:$D$205,MATCH($A149,Employees!$BG$6:$BG$205,0)))</f>
        <v/>
      </c>
      <c r="F149" s="11" t="str">
        <f aca="false">IF($A149="","",INDEX(Employees!$T$6:$T$205,MATCH($A149,Employees!$BG$6:$BG$205,0)))</f>
        <v/>
      </c>
      <c r="G149" s="26" t="str">
        <f aca="false">IF($A149="","",INDEX(Employees!$U$6:$U$205,MATCH($A149,Employees!$BG$6:$BG$205,0)))</f>
        <v/>
      </c>
      <c r="H149" s="28" t="str">
        <f aca="false">IF($A149="","",INDEX(Employees!$E$6:$E$205,MATCH($A149,Employees!$BG$6:$BG$205,0)))</f>
        <v/>
      </c>
      <c r="I149" s="11" t="str">
        <f aca="false">IF($A149="","",INDEX(Employees!$Z$6:$Z$205,MATCH($A149,Employees!$BG$6:$BG$205,0)))</f>
        <v/>
      </c>
      <c r="J149" s="26" t="str">
        <f aca="false">IF($A149="","",INDEX(Employees!$AB$6:$AB$205,MATCH($A149,Employees!$BG$6:$BG$205,0)))</f>
        <v/>
      </c>
      <c r="K149" s="26" t="str">
        <f aca="false">IF($A149="","",INDEX(Employees!$AC$6:$AC$205,MATCH($A149,Employees!$BG$6:$BG$205,0)))</f>
        <v/>
      </c>
      <c r="L149" s="28" t="str">
        <f aca="false">IF($A149="","",INDEX(Employees!$AD$6:$AD$205,MATCH($A149,Employees!$BG$6:$BG$205,0)))</f>
        <v/>
      </c>
      <c r="M149" s="11" t="str">
        <f aca="false">IF($A149="","",INDEX(Employees!$AF$6:$AF$205,MATCH($A149,Employees!$BG$6:$BG$205,0)))</f>
        <v/>
      </c>
      <c r="N149" s="11" t="str">
        <f aca="false">IF($A149="","",INDEX(Employees!$AM$6:$AM$205,MATCH($A149,Employees!$BG$6:$BG$205,0)))</f>
        <v/>
      </c>
    </row>
    <row r="150" customFormat="false" ht="15" hidden="false" customHeight="false" outlineLevel="0" collapsed="false">
      <c r="A150" s="11" t="str">
        <f aca="false">IF(145&lt;=MAX(Employees!$BG$6:$BG$205),145,"")</f>
        <v/>
      </c>
      <c r="B150" s="11" t="str">
        <f aca="false">IF($A150="","",INDEX(Employees!$A$6:$A$205,MATCH($A150,Employees!$BG$6:$BG$205,0)))</f>
        <v/>
      </c>
      <c r="C150" s="11" t="str">
        <f aca="false">IF($A150="","",INDEX(Employees!$B$6:$B$205,MATCH($A150,Employees!$BG$6:$BG$205,0)))</f>
        <v/>
      </c>
      <c r="D150" s="11" t="str">
        <f aca="false">IF($A150="","",INDEX(Employees!$C$6:$C$205,MATCH($A150,Employees!$BG$6:$BG$205,0)))</f>
        <v/>
      </c>
      <c r="E150" s="11" t="str">
        <f aca="false">IF($A150="","",INDEX(Employees!$D$6:$D$205,MATCH($A150,Employees!$BG$6:$BG$205,0)))</f>
        <v/>
      </c>
      <c r="F150" s="11" t="str">
        <f aca="false">IF($A150="","",INDEX(Employees!$T$6:$T$205,MATCH($A150,Employees!$BG$6:$BG$205,0)))</f>
        <v/>
      </c>
      <c r="G150" s="26" t="str">
        <f aca="false">IF($A150="","",INDEX(Employees!$U$6:$U$205,MATCH($A150,Employees!$BG$6:$BG$205,0)))</f>
        <v/>
      </c>
      <c r="H150" s="28" t="str">
        <f aca="false">IF($A150="","",INDEX(Employees!$E$6:$E$205,MATCH($A150,Employees!$BG$6:$BG$205,0)))</f>
        <v/>
      </c>
      <c r="I150" s="11" t="str">
        <f aca="false">IF($A150="","",INDEX(Employees!$Z$6:$Z$205,MATCH($A150,Employees!$BG$6:$BG$205,0)))</f>
        <v/>
      </c>
      <c r="J150" s="26" t="str">
        <f aca="false">IF($A150="","",INDEX(Employees!$AB$6:$AB$205,MATCH($A150,Employees!$BG$6:$BG$205,0)))</f>
        <v/>
      </c>
      <c r="K150" s="26" t="str">
        <f aca="false">IF($A150="","",INDEX(Employees!$AC$6:$AC$205,MATCH($A150,Employees!$BG$6:$BG$205,0)))</f>
        <v/>
      </c>
      <c r="L150" s="28" t="str">
        <f aca="false">IF($A150="","",INDEX(Employees!$AD$6:$AD$205,MATCH($A150,Employees!$BG$6:$BG$205,0)))</f>
        <v/>
      </c>
      <c r="M150" s="11" t="str">
        <f aca="false">IF($A150="","",INDEX(Employees!$AF$6:$AF$205,MATCH($A150,Employees!$BG$6:$BG$205,0)))</f>
        <v/>
      </c>
      <c r="N150" s="11" t="str">
        <f aca="false">IF($A150="","",INDEX(Employees!$AM$6:$AM$205,MATCH($A150,Employees!$BG$6:$BG$205,0)))</f>
        <v/>
      </c>
    </row>
    <row r="151" customFormat="false" ht="15" hidden="false" customHeight="false" outlineLevel="0" collapsed="false">
      <c r="A151" s="11" t="str">
        <f aca="false">IF(146&lt;=MAX(Employees!$BG$6:$BG$205),146,"")</f>
        <v/>
      </c>
      <c r="B151" s="11" t="str">
        <f aca="false">IF($A151="","",INDEX(Employees!$A$6:$A$205,MATCH($A151,Employees!$BG$6:$BG$205,0)))</f>
        <v/>
      </c>
      <c r="C151" s="11" t="str">
        <f aca="false">IF($A151="","",INDEX(Employees!$B$6:$B$205,MATCH($A151,Employees!$BG$6:$BG$205,0)))</f>
        <v/>
      </c>
      <c r="D151" s="11" t="str">
        <f aca="false">IF($A151="","",INDEX(Employees!$C$6:$C$205,MATCH($A151,Employees!$BG$6:$BG$205,0)))</f>
        <v/>
      </c>
      <c r="E151" s="11" t="str">
        <f aca="false">IF($A151="","",INDEX(Employees!$D$6:$D$205,MATCH($A151,Employees!$BG$6:$BG$205,0)))</f>
        <v/>
      </c>
      <c r="F151" s="11" t="str">
        <f aca="false">IF($A151="","",INDEX(Employees!$T$6:$T$205,MATCH($A151,Employees!$BG$6:$BG$205,0)))</f>
        <v/>
      </c>
      <c r="G151" s="26" t="str">
        <f aca="false">IF($A151="","",INDEX(Employees!$U$6:$U$205,MATCH($A151,Employees!$BG$6:$BG$205,0)))</f>
        <v/>
      </c>
      <c r="H151" s="28" t="str">
        <f aca="false">IF($A151="","",INDEX(Employees!$E$6:$E$205,MATCH($A151,Employees!$BG$6:$BG$205,0)))</f>
        <v/>
      </c>
      <c r="I151" s="11" t="str">
        <f aca="false">IF($A151="","",INDEX(Employees!$Z$6:$Z$205,MATCH($A151,Employees!$BG$6:$BG$205,0)))</f>
        <v/>
      </c>
      <c r="J151" s="26" t="str">
        <f aca="false">IF($A151="","",INDEX(Employees!$AB$6:$AB$205,MATCH($A151,Employees!$BG$6:$BG$205,0)))</f>
        <v/>
      </c>
      <c r="K151" s="26" t="str">
        <f aca="false">IF($A151="","",INDEX(Employees!$AC$6:$AC$205,MATCH($A151,Employees!$BG$6:$BG$205,0)))</f>
        <v/>
      </c>
      <c r="L151" s="28" t="str">
        <f aca="false">IF($A151="","",INDEX(Employees!$AD$6:$AD$205,MATCH($A151,Employees!$BG$6:$BG$205,0)))</f>
        <v/>
      </c>
      <c r="M151" s="11" t="str">
        <f aca="false">IF($A151="","",INDEX(Employees!$AF$6:$AF$205,MATCH($A151,Employees!$BG$6:$BG$205,0)))</f>
        <v/>
      </c>
      <c r="N151" s="11" t="str">
        <f aca="false">IF($A151="","",INDEX(Employees!$AM$6:$AM$205,MATCH($A151,Employees!$BG$6:$BG$205,0)))</f>
        <v/>
      </c>
    </row>
    <row r="152" customFormat="false" ht="15" hidden="false" customHeight="false" outlineLevel="0" collapsed="false">
      <c r="A152" s="11" t="str">
        <f aca="false">IF(147&lt;=MAX(Employees!$BG$6:$BG$205),147,"")</f>
        <v/>
      </c>
      <c r="B152" s="11" t="str">
        <f aca="false">IF($A152="","",INDEX(Employees!$A$6:$A$205,MATCH($A152,Employees!$BG$6:$BG$205,0)))</f>
        <v/>
      </c>
      <c r="C152" s="11" t="str">
        <f aca="false">IF($A152="","",INDEX(Employees!$B$6:$B$205,MATCH($A152,Employees!$BG$6:$BG$205,0)))</f>
        <v/>
      </c>
      <c r="D152" s="11" t="str">
        <f aca="false">IF($A152="","",INDEX(Employees!$C$6:$C$205,MATCH($A152,Employees!$BG$6:$BG$205,0)))</f>
        <v/>
      </c>
      <c r="E152" s="11" t="str">
        <f aca="false">IF($A152="","",INDEX(Employees!$D$6:$D$205,MATCH($A152,Employees!$BG$6:$BG$205,0)))</f>
        <v/>
      </c>
      <c r="F152" s="11" t="str">
        <f aca="false">IF($A152="","",INDEX(Employees!$T$6:$T$205,MATCH($A152,Employees!$BG$6:$BG$205,0)))</f>
        <v/>
      </c>
      <c r="G152" s="26" t="str">
        <f aca="false">IF($A152="","",INDEX(Employees!$U$6:$U$205,MATCH($A152,Employees!$BG$6:$BG$205,0)))</f>
        <v/>
      </c>
      <c r="H152" s="28" t="str">
        <f aca="false">IF($A152="","",INDEX(Employees!$E$6:$E$205,MATCH($A152,Employees!$BG$6:$BG$205,0)))</f>
        <v/>
      </c>
      <c r="I152" s="11" t="str">
        <f aca="false">IF($A152="","",INDEX(Employees!$Z$6:$Z$205,MATCH($A152,Employees!$BG$6:$BG$205,0)))</f>
        <v/>
      </c>
      <c r="J152" s="26" t="str">
        <f aca="false">IF($A152="","",INDEX(Employees!$AB$6:$AB$205,MATCH($A152,Employees!$BG$6:$BG$205,0)))</f>
        <v/>
      </c>
      <c r="K152" s="26" t="str">
        <f aca="false">IF($A152="","",INDEX(Employees!$AC$6:$AC$205,MATCH($A152,Employees!$BG$6:$BG$205,0)))</f>
        <v/>
      </c>
      <c r="L152" s="28" t="str">
        <f aca="false">IF($A152="","",INDEX(Employees!$AD$6:$AD$205,MATCH($A152,Employees!$BG$6:$BG$205,0)))</f>
        <v/>
      </c>
      <c r="M152" s="11" t="str">
        <f aca="false">IF($A152="","",INDEX(Employees!$AF$6:$AF$205,MATCH($A152,Employees!$BG$6:$BG$205,0)))</f>
        <v/>
      </c>
      <c r="N152" s="11" t="str">
        <f aca="false">IF($A152="","",INDEX(Employees!$AM$6:$AM$205,MATCH($A152,Employees!$BG$6:$BG$205,0)))</f>
        <v/>
      </c>
    </row>
    <row r="153" customFormat="false" ht="15" hidden="false" customHeight="false" outlineLevel="0" collapsed="false">
      <c r="A153" s="11" t="str">
        <f aca="false">IF(148&lt;=MAX(Employees!$BG$6:$BG$205),148,"")</f>
        <v/>
      </c>
      <c r="B153" s="11" t="str">
        <f aca="false">IF($A153="","",INDEX(Employees!$A$6:$A$205,MATCH($A153,Employees!$BG$6:$BG$205,0)))</f>
        <v/>
      </c>
      <c r="C153" s="11" t="str">
        <f aca="false">IF($A153="","",INDEX(Employees!$B$6:$B$205,MATCH($A153,Employees!$BG$6:$BG$205,0)))</f>
        <v/>
      </c>
      <c r="D153" s="11" t="str">
        <f aca="false">IF($A153="","",INDEX(Employees!$C$6:$C$205,MATCH($A153,Employees!$BG$6:$BG$205,0)))</f>
        <v/>
      </c>
      <c r="E153" s="11" t="str">
        <f aca="false">IF($A153="","",INDEX(Employees!$D$6:$D$205,MATCH($A153,Employees!$BG$6:$BG$205,0)))</f>
        <v/>
      </c>
      <c r="F153" s="11" t="str">
        <f aca="false">IF($A153="","",INDEX(Employees!$T$6:$T$205,MATCH($A153,Employees!$BG$6:$BG$205,0)))</f>
        <v/>
      </c>
      <c r="G153" s="26" t="str">
        <f aca="false">IF($A153="","",INDEX(Employees!$U$6:$U$205,MATCH($A153,Employees!$BG$6:$BG$205,0)))</f>
        <v/>
      </c>
      <c r="H153" s="28" t="str">
        <f aca="false">IF($A153="","",INDEX(Employees!$E$6:$E$205,MATCH($A153,Employees!$BG$6:$BG$205,0)))</f>
        <v/>
      </c>
      <c r="I153" s="11" t="str">
        <f aca="false">IF($A153="","",INDEX(Employees!$Z$6:$Z$205,MATCH($A153,Employees!$BG$6:$BG$205,0)))</f>
        <v/>
      </c>
      <c r="J153" s="26" t="str">
        <f aca="false">IF($A153="","",INDEX(Employees!$AB$6:$AB$205,MATCH($A153,Employees!$BG$6:$BG$205,0)))</f>
        <v/>
      </c>
      <c r="K153" s="26" t="str">
        <f aca="false">IF($A153="","",INDEX(Employees!$AC$6:$AC$205,MATCH($A153,Employees!$BG$6:$BG$205,0)))</f>
        <v/>
      </c>
      <c r="L153" s="28" t="str">
        <f aca="false">IF($A153="","",INDEX(Employees!$AD$6:$AD$205,MATCH($A153,Employees!$BG$6:$BG$205,0)))</f>
        <v/>
      </c>
      <c r="M153" s="11" t="str">
        <f aca="false">IF($A153="","",INDEX(Employees!$AF$6:$AF$205,MATCH($A153,Employees!$BG$6:$BG$205,0)))</f>
        <v/>
      </c>
      <c r="N153" s="11" t="str">
        <f aca="false">IF($A153="","",INDEX(Employees!$AM$6:$AM$205,MATCH($A153,Employees!$BG$6:$BG$205,0)))</f>
        <v/>
      </c>
    </row>
    <row r="154" customFormat="false" ht="15" hidden="false" customHeight="false" outlineLevel="0" collapsed="false">
      <c r="A154" s="11" t="str">
        <f aca="false">IF(149&lt;=MAX(Employees!$BG$6:$BG$205),149,"")</f>
        <v/>
      </c>
      <c r="B154" s="11" t="str">
        <f aca="false">IF($A154="","",INDEX(Employees!$A$6:$A$205,MATCH($A154,Employees!$BG$6:$BG$205,0)))</f>
        <v/>
      </c>
      <c r="C154" s="11" t="str">
        <f aca="false">IF($A154="","",INDEX(Employees!$B$6:$B$205,MATCH($A154,Employees!$BG$6:$BG$205,0)))</f>
        <v/>
      </c>
      <c r="D154" s="11" t="str">
        <f aca="false">IF($A154="","",INDEX(Employees!$C$6:$C$205,MATCH($A154,Employees!$BG$6:$BG$205,0)))</f>
        <v/>
      </c>
      <c r="E154" s="11" t="str">
        <f aca="false">IF($A154="","",INDEX(Employees!$D$6:$D$205,MATCH($A154,Employees!$BG$6:$BG$205,0)))</f>
        <v/>
      </c>
      <c r="F154" s="11" t="str">
        <f aca="false">IF($A154="","",INDEX(Employees!$T$6:$T$205,MATCH($A154,Employees!$BG$6:$BG$205,0)))</f>
        <v/>
      </c>
      <c r="G154" s="26" t="str">
        <f aca="false">IF($A154="","",INDEX(Employees!$U$6:$U$205,MATCH($A154,Employees!$BG$6:$BG$205,0)))</f>
        <v/>
      </c>
      <c r="H154" s="28" t="str">
        <f aca="false">IF($A154="","",INDEX(Employees!$E$6:$E$205,MATCH($A154,Employees!$BG$6:$BG$205,0)))</f>
        <v/>
      </c>
      <c r="I154" s="11" t="str">
        <f aca="false">IF($A154="","",INDEX(Employees!$Z$6:$Z$205,MATCH($A154,Employees!$BG$6:$BG$205,0)))</f>
        <v/>
      </c>
      <c r="J154" s="26" t="str">
        <f aca="false">IF($A154="","",INDEX(Employees!$AB$6:$AB$205,MATCH($A154,Employees!$BG$6:$BG$205,0)))</f>
        <v/>
      </c>
      <c r="K154" s="26" t="str">
        <f aca="false">IF($A154="","",INDEX(Employees!$AC$6:$AC$205,MATCH($A154,Employees!$BG$6:$BG$205,0)))</f>
        <v/>
      </c>
      <c r="L154" s="28" t="str">
        <f aca="false">IF($A154="","",INDEX(Employees!$AD$6:$AD$205,MATCH($A154,Employees!$BG$6:$BG$205,0)))</f>
        <v/>
      </c>
      <c r="M154" s="11" t="str">
        <f aca="false">IF($A154="","",INDEX(Employees!$AF$6:$AF$205,MATCH($A154,Employees!$BG$6:$BG$205,0)))</f>
        <v/>
      </c>
      <c r="N154" s="11" t="str">
        <f aca="false">IF($A154="","",INDEX(Employees!$AM$6:$AM$205,MATCH($A154,Employees!$BG$6:$BG$205,0)))</f>
        <v/>
      </c>
    </row>
    <row r="155" customFormat="false" ht="15" hidden="false" customHeight="false" outlineLevel="0" collapsed="false">
      <c r="A155" s="11" t="str">
        <f aca="false">IF(150&lt;=MAX(Employees!$BG$6:$BG$205),150,"")</f>
        <v/>
      </c>
      <c r="B155" s="11" t="str">
        <f aca="false">IF($A155="","",INDEX(Employees!$A$6:$A$205,MATCH($A155,Employees!$BG$6:$BG$205,0)))</f>
        <v/>
      </c>
      <c r="C155" s="11" t="str">
        <f aca="false">IF($A155="","",INDEX(Employees!$B$6:$B$205,MATCH($A155,Employees!$BG$6:$BG$205,0)))</f>
        <v/>
      </c>
      <c r="D155" s="11" t="str">
        <f aca="false">IF($A155="","",INDEX(Employees!$C$6:$C$205,MATCH($A155,Employees!$BG$6:$BG$205,0)))</f>
        <v/>
      </c>
      <c r="E155" s="11" t="str">
        <f aca="false">IF($A155="","",INDEX(Employees!$D$6:$D$205,MATCH($A155,Employees!$BG$6:$BG$205,0)))</f>
        <v/>
      </c>
      <c r="F155" s="11" t="str">
        <f aca="false">IF($A155="","",INDEX(Employees!$T$6:$T$205,MATCH($A155,Employees!$BG$6:$BG$205,0)))</f>
        <v/>
      </c>
      <c r="G155" s="26" t="str">
        <f aca="false">IF($A155="","",INDEX(Employees!$U$6:$U$205,MATCH($A155,Employees!$BG$6:$BG$205,0)))</f>
        <v/>
      </c>
      <c r="H155" s="28" t="str">
        <f aca="false">IF($A155="","",INDEX(Employees!$E$6:$E$205,MATCH($A155,Employees!$BG$6:$BG$205,0)))</f>
        <v/>
      </c>
      <c r="I155" s="11" t="str">
        <f aca="false">IF($A155="","",INDEX(Employees!$Z$6:$Z$205,MATCH($A155,Employees!$BG$6:$BG$205,0)))</f>
        <v/>
      </c>
      <c r="J155" s="26" t="str">
        <f aca="false">IF($A155="","",INDEX(Employees!$AB$6:$AB$205,MATCH($A155,Employees!$BG$6:$BG$205,0)))</f>
        <v/>
      </c>
      <c r="K155" s="26" t="str">
        <f aca="false">IF($A155="","",INDEX(Employees!$AC$6:$AC$205,MATCH($A155,Employees!$BG$6:$BG$205,0)))</f>
        <v/>
      </c>
      <c r="L155" s="28" t="str">
        <f aca="false">IF($A155="","",INDEX(Employees!$AD$6:$AD$205,MATCH($A155,Employees!$BG$6:$BG$205,0)))</f>
        <v/>
      </c>
      <c r="M155" s="11" t="str">
        <f aca="false">IF($A155="","",INDEX(Employees!$AF$6:$AF$205,MATCH($A155,Employees!$BG$6:$BG$205,0)))</f>
        <v/>
      </c>
      <c r="N155" s="11" t="str">
        <f aca="false">IF($A155="","",INDEX(Employees!$AM$6:$AM$205,MATCH($A155,Employees!$BG$6:$BG$205,0)))</f>
        <v/>
      </c>
    </row>
    <row r="156" customFormat="false" ht="15" hidden="false" customHeight="false" outlineLevel="0" collapsed="false">
      <c r="A156" s="11" t="str">
        <f aca="false">IF(151&lt;=MAX(Employees!$BG$6:$BG$205),151,"")</f>
        <v/>
      </c>
      <c r="B156" s="11" t="str">
        <f aca="false">IF($A156="","",INDEX(Employees!$A$6:$A$205,MATCH($A156,Employees!$BG$6:$BG$205,0)))</f>
        <v/>
      </c>
      <c r="C156" s="11" t="str">
        <f aca="false">IF($A156="","",INDEX(Employees!$B$6:$B$205,MATCH($A156,Employees!$BG$6:$BG$205,0)))</f>
        <v/>
      </c>
      <c r="D156" s="11" t="str">
        <f aca="false">IF($A156="","",INDEX(Employees!$C$6:$C$205,MATCH($A156,Employees!$BG$6:$BG$205,0)))</f>
        <v/>
      </c>
      <c r="E156" s="11" t="str">
        <f aca="false">IF($A156="","",INDEX(Employees!$D$6:$D$205,MATCH($A156,Employees!$BG$6:$BG$205,0)))</f>
        <v/>
      </c>
      <c r="F156" s="11" t="str">
        <f aca="false">IF($A156="","",INDEX(Employees!$T$6:$T$205,MATCH($A156,Employees!$BG$6:$BG$205,0)))</f>
        <v/>
      </c>
      <c r="G156" s="26" t="str">
        <f aca="false">IF($A156="","",INDEX(Employees!$U$6:$U$205,MATCH($A156,Employees!$BG$6:$BG$205,0)))</f>
        <v/>
      </c>
      <c r="H156" s="28" t="str">
        <f aca="false">IF($A156="","",INDEX(Employees!$E$6:$E$205,MATCH($A156,Employees!$BG$6:$BG$205,0)))</f>
        <v/>
      </c>
      <c r="I156" s="11" t="str">
        <f aca="false">IF($A156="","",INDEX(Employees!$Z$6:$Z$205,MATCH($A156,Employees!$BG$6:$BG$205,0)))</f>
        <v/>
      </c>
      <c r="J156" s="26" t="str">
        <f aca="false">IF($A156="","",INDEX(Employees!$AB$6:$AB$205,MATCH($A156,Employees!$BG$6:$BG$205,0)))</f>
        <v/>
      </c>
      <c r="K156" s="26" t="str">
        <f aca="false">IF($A156="","",INDEX(Employees!$AC$6:$AC$205,MATCH($A156,Employees!$BG$6:$BG$205,0)))</f>
        <v/>
      </c>
      <c r="L156" s="28" t="str">
        <f aca="false">IF($A156="","",INDEX(Employees!$AD$6:$AD$205,MATCH($A156,Employees!$BG$6:$BG$205,0)))</f>
        <v/>
      </c>
      <c r="M156" s="11" t="str">
        <f aca="false">IF($A156="","",INDEX(Employees!$AF$6:$AF$205,MATCH($A156,Employees!$BG$6:$BG$205,0)))</f>
        <v/>
      </c>
      <c r="N156" s="11" t="str">
        <f aca="false">IF($A156="","",INDEX(Employees!$AM$6:$AM$205,MATCH($A156,Employees!$BG$6:$BG$205,0)))</f>
        <v/>
      </c>
    </row>
    <row r="157" customFormat="false" ht="15" hidden="false" customHeight="false" outlineLevel="0" collapsed="false">
      <c r="A157" s="11" t="str">
        <f aca="false">IF(152&lt;=MAX(Employees!$BG$6:$BG$205),152,"")</f>
        <v/>
      </c>
      <c r="B157" s="11" t="str">
        <f aca="false">IF($A157="","",INDEX(Employees!$A$6:$A$205,MATCH($A157,Employees!$BG$6:$BG$205,0)))</f>
        <v/>
      </c>
      <c r="C157" s="11" t="str">
        <f aca="false">IF($A157="","",INDEX(Employees!$B$6:$B$205,MATCH($A157,Employees!$BG$6:$BG$205,0)))</f>
        <v/>
      </c>
      <c r="D157" s="11" t="str">
        <f aca="false">IF($A157="","",INDEX(Employees!$C$6:$C$205,MATCH($A157,Employees!$BG$6:$BG$205,0)))</f>
        <v/>
      </c>
      <c r="E157" s="11" t="str">
        <f aca="false">IF($A157="","",INDEX(Employees!$D$6:$D$205,MATCH($A157,Employees!$BG$6:$BG$205,0)))</f>
        <v/>
      </c>
      <c r="F157" s="11" t="str">
        <f aca="false">IF($A157="","",INDEX(Employees!$T$6:$T$205,MATCH($A157,Employees!$BG$6:$BG$205,0)))</f>
        <v/>
      </c>
      <c r="G157" s="26" t="str">
        <f aca="false">IF($A157="","",INDEX(Employees!$U$6:$U$205,MATCH($A157,Employees!$BG$6:$BG$205,0)))</f>
        <v/>
      </c>
      <c r="H157" s="28" t="str">
        <f aca="false">IF($A157="","",INDEX(Employees!$E$6:$E$205,MATCH($A157,Employees!$BG$6:$BG$205,0)))</f>
        <v/>
      </c>
      <c r="I157" s="11" t="str">
        <f aca="false">IF($A157="","",INDEX(Employees!$Z$6:$Z$205,MATCH($A157,Employees!$BG$6:$BG$205,0)))</f>
        <v/>
      </c>
      <c r="J157" s="26" t="str">
        <f aca="false">IF($A157="","",INDEX(Employees!$AB$6:$AB$205,MATCH($A157,Employees!$BG$6:$BG$205,0)))</f>
        <v/>
      </c>
      <c r="K157" s="26" t="str">
        <f aca="false">IF($A157="","",INDEX(Employees!$AC$6:$AC$205,MATCH($A157,Employees!$BG$6:$BG$205,0)))</f>
        <v/>
      </c>
      <c r="L157" s="28" t="str">
        <f aca="false">IF($A157="","",INDEX(Employees!$AD$6:$AD$205,MATCH($A157,Employees!$BG$6:$BG$205,0)))</f>
        <v/>
      </c>
      <c r="M157" s="11" t="str">
        <f aca="false">IF($A157="","",INDEX(Employees!$AF$6:$AF$205,MATCH($A157,Employees!$BG$6:$BG$205,0)))</f>
        <v/>
      </c>
      <c r="N157" s="11" t="str">
        <f aca="false">IF($A157="","",INDEX(Employees!$AM$6:$AM$205,MATCH($A157,Employees!$BG$6:$BG$205,0)))</f>
        <v/>
      </c>
    </row>
    <row r="158" customFormat="false" ht="15" hidden="false" customHeight="false" outlineLevel="0" collapsed="false">
      <c r="A158" s="11" t="str">
        <f aca="false">IF(153&lt;=MAX(Employees!$BG$6:$BG$205),153,"")</f>
        <v/>
      </c>
      <c r="B158" s="11" t="str">
        <f aca="false">IF($A158="","",INDEX(Employees!$A$6:$A$205,MATCH($A158,Employees!$BG$6:$BG$205,0)))</f>
        <v/>
      </c>
      <c r="C158" s="11" t="str">
        <f aca="false">IF($A158="","",INDEX(Employees!$B$6:$B$205,MATCH($A158,Employees!$BG$6:$BG$205,0)))</f>
        <v/>
      </c>
      <c r="D158" s="11" t="str">
        <f aca="false">IF($A158="","",INDEX(Employees!$C$6:$C$205,MATCH($A158,Employees!$BG$6:$BG$205,0)))</f>
        <v/>
      </c>
      <c r="E158" s="11" t="str">
        <f aca="false">IF($A158="","",INDEX(Employees!$D$6:$D$205,MATCH($A158,Employees!$BG$6:$BG$205,0)))</f>
        <v/>
      </c>
      <c r="F158" s="11" t="str">
        <f aca="false">IF($A158="","",INDEX(Employees!$T$6:$T$205,MATCH($A158,Employees!$BG$6:$BG$205,0)))</f>
        <v/>
      </c>
      <c r="G158" s="26" t="str">
        <f aca="false">IF($A158="","",INDEX(Employees!$U$6:$U$205,MATCH($A158,Employees!$BG$6:$BG$205,0)))</f>
        <v/>
      </c>
      <c r="H158" s="28" t="str">
        <f aca="false">IF($A158="","",INDEX(Employees!$E$6:$E$205,MATCH($A158,Employees!$BG$6:$BG$205,0)))</f>
        <v/>
      </c>
      <c r="I158" s="11" t="str">
        <f aca="false">IF($A158="","",INDEX(Employees!$Z$6:$Z$205,MATCH($A158,Employees!$BG$6:$BG$205,0)))</f>
        <v/>
      </c>
      <c r="J158" s="26" t="str">
        <f aca="false">IF($A158="","",INDEX(Employees!$AB$6:$AB$205,MATCH($A158,Employees!$BG$6:$BG$205,0)))</f>
        <v/>
      </c>
      <c r="K158" s="26" t="str">
        <f aca="false">IF($A158="","",INDEX(Employees!$AC$6:$AC$205,MATCH($A158,Employees!$BG$6:$BG$205,0)))</f>
        <v/>
      </c>
      <c r="L158" s="28" t="str">
        <f aca="false">IF($A158="","",INDEX(Employees!$AD$6:$AD$205,MATCH($A158,Employees!$BG$6:$BG$205,0)))</f>
        <v/>
      </c>
      <c r="M158" s="11" t="str">
        <f aca="false">IF($A158="","",INDEX(Employees!$AF$6:$AF$205,MATCH($A158,Employees!$BG$6:$BG$205,0)))</f>
        <v/>
      </c>
      <c r="N158" s="11" t="str">
        <f aca="false">IF($A158="","",INDEX(Employees!$AM$6:$AM$205,MATCH($A158,Employees!$BG$6:$BG$205,0)))</f>
        <v/>
      </c>
    </row>
    <row r="159" customFormat="false" ht="15" hidden="false" customHeight="false" outlineLevel="0" collapsed="false">
      <c r="A159" s="11" t="str">
        <f aca="false">IF(154&lt;=MAX(Employees!$BG$6:$BG$205),154,"")</f>
        <v/>
      </c>
      <c r="B159" s="11" t="str">
        <f aca="false">IF($A159="","",INDEX(Employees!$A$6:$A$205,MATCH($A159,Employees!$BG$6:$BG$205,0)))</f>
        <v/>
      </c>
      <c r="C159" s="11" t="str">
        <f aca="false">IF($A159="","",INDEX(Employees!$B$6:$B$205,MATCH($A159,Employees!$BG$6:$BG$205,0)))</f>
        <v/>
      </c>
      <c r="D159" s="11" t="str">
        <f aca="false">IF($A159="","",INDEX(Employees!$C$6:$C$205,MATCH($A159,Employees!$BG$6:$BG$205,0)))</f>
        <v/>
      </c>
      <c r="E159" s="11" t="str">
        <f aca="false">IF($A159="","",INDEX(Employees!$D$6:$D$205,MATCH($A159,Employees!$BG$6:$BG$205,0)))</f>
        <v/>
      </c>
      <c r="F159" s="11" t="str">
        <f aca="false">IF($A159="","",INDEX(Employees!$T$6:$T$205,MATCH($A159,Employees!$BG$6:$BG$205,0)))</f>
        <v/>
      </c>
      <c r="G159" s="26" t="str">
        <f aca="false">IF($A159="","",INDEX(Employees!$U$6:$U$205,MATCH($A159,Employees!$BG$6:$BG$205,0)))</f>
        <v/>
      </c>
      <c r="H159" s="28" t="str">
        <f aca="false">IF($A159="","",INDEX(Employees!$E$6:$E$205,MATCH($A159,Employees!$BG$6:$BG$205,0)))</f>
        <v/>
      </c>
      <c r="I159" s="11" t="str">
        <f aca="false">IF($A159="","",INDEX(Employees!$Z$6:$Z$205,MATCH($A159,Employees!$BG$6:$BG$205,0)))</f>
        <v/>
      </c>
      <c r="J159" s="26" t="str">
        <f aca="false">IF($A159="","",INDEX(Employees!$AB$6:$AB$205,MATCH($A159,Employees!$BG$6:$BG$205,0)))</f>
        <v/>
      </c>
      <c r="K159" s="26" t="str">
        <f aca="false">IF($A159="","",INDEX(Employees!$AC$6:$AC$205,MATCH($A159,Employees!$BG$6:$BG$205,0)))</f>
        <v/>
      </c>
      <c r="L159" s="28" t="str">
        <f aca="false">IF($A159="","",INDEX(Employees!$AD$6:$AD$205,MATCH($A159,Employees!$BG$6:$BG$205,0)))</f>
        <v/>
      </c>
      <c r="M159" s="11" t="str">
        <f aca="false">IF($A159="","",INDEX(Employees!$AF$6:$AF$205,MATCH($A159,Employees!$BG$6:$BG$205,0)))</f>
        <v/>
      </c>
      <c r="N159" s="11" t="str">
        <f aca="false">IF($A159="","",INDEX(Employees!$AM$6:$AM$205,MATCH($A159,Employees!$BG$6:$BG$205,0)))</f>
        <v/>
      </c>
    </row>
    <row r="160" customFormat="false" ht="15" hidden="false" customHeight="false" outlineLevel="0" collapsed="false">
      <c r="A160" s="11" t="str">
        <f aca="false">IF(155&lt;=MAX(Employees!$BG$6:$BG$205),155,"")</f>
        <v/>
      </c>
      <c r="B160" s="11" t="str">
        <f aca="false">IF($A160="","",INDEX(Employees!$A$6:$A$205,MATCH($A160,Employees!$BG$6:$BG$205,0)))</f>
        <v/>
      </c>
      <c r="C160" s="11" t="str">
        <f aca="false">IF($A160="","",INDEX(Employees!$B$6:$B$205,MATCH($A160,Employees!$BG$6:$BG$205,0)))</f>
        <v/>
      </c>
      <c r="D160" s="11" t="str">
        <f aca="false">IF($A160="","",INDEX(Employees!$C$6:$C$205,MATCH($A160,Employees!$BG$6:$BG$205,0)))</f>
        <v/>
      </c>
      <c r="E160" s="11" t="str">
        <f aca="false">IF($A160="","",INDEX(Employees!$D$6:$D$205,MATCH($A160,Employees!$BG$6:$BG$205,0)))</f>
        <v/>
      </c>
      <c r="F160" s="11" t="str">
        <f aca="false">IF($A160="","",INDEX(Employees!$T$6:$T$205,MATCH($A160,Employees!$BG$6:$BG$205,0)))</f>
        <v/>
      </c>
      <c r="G160" s="26" t="str">
        <f aca="false">IF($A160="","",INDEX(Employees!$U$6:$U$205,MATCH($A160,Employees!$BG$6:$BG$205,0)))</f>
        <v/>
      </c>
      <c r="H160" s="28" t="str">
        <f aca="false">IF($A160="","",INDEX(Employees!$E$6:$E$205,MATCH($A160,Employees!$BG$6:$BG$205,0)))</f>
        <v/>
      </c>
      <c r="I160" s="11" t="str">
        <f aca="false">IF($A160="","",INDEX(Employees!$Z$6:$Z$205,MATCH($A160,Employees!$BG$6:$BG$205,0)))</f>
        <v/>
      </c>
      <c r="J160" s="26" t="str">
        <f aca="false">IF($A160="","",INDEX(Employees!$AB$6:$AB$205,MATCH($A160,Employees!$BG$6:$BG$205,0)))</f>
        <v/>
      </c>
      <c r="K160" s="26" t="str">
        <f aca="false">IF($A160="","",INDEX(Employees!$AC$6:$AC$205,MATCH($A160,Employees!$BG$6:$BG$205,0)))</f>
        <v/>
      </c>
      <c r="L160" s="28" t="str">
        <f aca="false">IF($A160="","",INDEX(Employees!$AD$6:$AD$205,MATCH($A160,Employees!$BG$6:$BG$205,0)))</f>
        <v/>
      </c>
      <c r="M160" s="11" t="str">
        <f aca="false">IF($A160="","",INDEX(Employees!$AF$6:$AF$205,MATCH($A160,Employees!$BG$6:$BG$205,0)))</f>
        <v/>
      </c>
      <c r="N160" s="11" t="str">
        <f aca="false">IF($A160="","",INDEX(Employees!$AM$6:$AM$205,MATCH($A160,Employees!$BG$6:$BG$205,0)))</f>
        <v/>
      </c>
    </row>
    <row r="161" customFormat="false" ht="15" hidden="false" customHeight="false" outlineLevel="0" collapsed="false">
      <c r="A161" s="11" t="str">
        <f aca="false">IF(156&lt;=MAX(Employees!$BG$6:$BG$205),156,"")</f>
        <v/>
      </c>
      <c r="B161" s="11" t="str">
        <f aca="false">IF($A161="","",INDEX(Employees!$A$6:$A$205,MATCH($A161,Employees!$BG$6:$BG$205,0)))</f>
        <v/>
      </c>
      <c r="C161" s="11" t="str">
        <f aca="false">IF($A161="","",INDEX(Employees!$B$6:$B$205,MATCH($A161,Employees!$BG$6:$BG$205,0)))</f>
        <v/>
      </c>
      <c r="D161" s="11" t="str">
        <f aca="false">IF($A161="","",INDEX(Employees!$C$6:$C$205,MATCH($A161,Employees!$BG$6:$BG$205,0)))</f>
        <v/>
      </c>
      <c r="E161" s="11" t="str">
        <f aca="false">IF($A161="","",INDEX(Employees!$D$6:$D$205,MATCH($A161,Employees!$BG$6:$BG$205,0)))</f>
        <v/>
      </c>
      <c r="F161" s="11" t="str">
        <f aca="false">IF($A161="","",INDEX(Employees!$T$6:$T$205,MATCH($A161,Employees!$BG$6:$BG$205,0)))</f>
        <v/>
      </c>
      <c r="G161" s="26" t="str">
        <f aca="false">IF($A161="","",INDEX(Employees!$U$6:$U$205,MATCH($A161,Employees!$BG$6:$BG$205,0)))</f>
        <v/>
      </c>
      <c r="H161" s="28" t="str">
        <f aca="false">IF($A161="","",INDEX(Employees!$E$6:$E$205,MATCH($A161,Employees!$BG$6:$BG$205,0)))</f>
        <v/>
      </c>
      <c r="I161" s="11" t="str">
        <f aca="false">IF($A161="","",INDEX(Employees!$Z$6:$Z$205,MATCH($A161,Employees!$BG$6:$BG$205,0)))</f>
        <v/>
      </c>
      <c r="J161" s="26" t="str">
        <f aca="false">IF($A161="","",INDEX(Employees!$AB$6:$AB$205,MATCH($A161,Employees!$BG$6:$BG$205,0)))</f>
        <v/>
      </c>
      <c r="K161" s="26" t="str">
        <f aca="false">IF($A161="","",INDEX(Employees!$AC$6:$AC$205,MATCH($A161,Employees!$BG$6:$BG$205,0)))</f>
        <v/>
      </c>
      <c r="L161" s="28" t="str">
        <f aca="false">IF($A161="","",INDEX(Employees!$AD$6:$AD$205,MATCH($A161,Employees!$BG$6:$BG$205,0)))</f>
        <v/>
      </c>
      <c r="M161" s="11" t="str">
        <f aca="false">IF($A161="","",INDEX(Employees!$AF$6:$AF$205,MATCH($A161,Employees!$BG$6:$BG$205,0)))</f>
        <v/>
      </c>
      <c r="N161" s="11" t="str">
        <f aca="false">IF($A161="","",INDEX(Employees!$AM$6:$AM$205,MATCH($A161,Employees!$BG$6:$BG$205,0)))</f>
        <v/>
      </c>
    </row>
    <row r="162" customFormat="false" ht="15" hidden="false" customHeight="false" outlineLevel="0" collapsed="false">
      <c r="A162" s="11" t="str">
        <f aca="false">IF(157&lt;=MAX(Employees!$BG$6:$BG$205),157,"")</f>
        <v/>
      </c>
      <c r="B162" s="11" t="str">
        <f aca="false">IF($A162="","",INDEX(Employees!$A$6:$A$205,MATCH($A162,Employees!$BG$6:$BG$205,0)))</f>
        <v/>
      </c>
      <c r="C162" s="11" t="str">
        <f aca="false">IF($A162="","",INDEX(Employees!$B$6:$B$205,MATCH($A162,Employees!$BG$6:$BG$205,0)))</f>
        <v/>
      </c>
      <c r="D162" s="11" t="str">
        <f aca="false">IF($A162="","",INDEX(Employees!$C$6:$C$205,MATCH($A162,Employees!$BG$6:$BG$205,0)))</f>
        <v/>
      </c>
      <c r="E162" s="11" t="str">
        <f aca="false">IF($A162="","",INDEX(Employees!$D$6:$D$205,MATCH($A162,Employees!$BG$6:$BG$205,0)))</f>
        <v/>
      </c>
      <c r="F162" s="11" t="str">
        <f aca="false">IF($A162="","",INDEX(Employees!$T$6:$T$205,MATCH($A162,Employees!$BG$6:$BG$205,0)))</f>
        <v/>
      </c>
      <c r="G162" s="26" t="str">
        <f aca="false">IF($A162="","",INDEX(Employees!$U$6:$U$205,MATCH($A162,Employees!$BG$6:$BG$205,0)))</f>
        <v/>
      </c>
      <c r="H162" s="28" t="str">
        <f aca="false">IF($A162="","",INDEX(Employees!$E$6:$E$205,MATCH($A162,Employees!$BG$6:$BG$205,0)))</f>
        <v/>
      </c>
      <c r="I162" s="11" t="str">
        <f aca="false">IF($A162="","",INDEX(Employees!$Z$6:$Z$205,MATCH($A162,Employees!$BG$6:$BG$205,0)))</f>
        <v/>
      </c>
      <c r="J162" s="26" t="str">
        <f aca="false">IF($A162="","",INDEX(Employees!$AB$6:$AB$205,MATCH($A162,Employees!$BG$6:$BG$205,0)))</f>
        <v/>
      </c>
      <c r="K162" s="26" t="str">
        <f aca="false">IF($A162="","",INDEX(Employees!$AC$6:$AC$205,MATCH($A162,Employees!$BG$6:$BG$205,0)))</f>
        <v/>
      </c>
      <c r="L162" s="28" t="str">
        <f aca="false">IF($A162="","",INDEX(Employees!$AD$6:$AD$205,MATCH($A162,Employees!$BG$6:$BG$205,0)))</f>
        <v/>
      </c>
      <c r="M162" s="11" t="str">
        <f aca="false">IF($A162="","",INDEX(Employees!$AF$6:$AF$205,MATCH($A162,Employees!$BG$6:$BG$205,0)))</f>
        <v/>
      </c>
      <c r="N162" s="11" t="str">
        <f aca="false">IF($A162="","",INDEX(Employees!$AM$6:$AM$205,MATCH($A162,Employees!$BG$6:$BG$205,0)))</f>
        <v/>
      </c>
    </row>
    <row r="163" customFormat="false" ht="15" hidden="false" customHeight="false" outlineLevel="0" collapsed="false">
      <c r="A163" s="11" t="str">
        <f aca="false">IF(158&lt;=MAX(Employees!$BG$6:$BG$205),158,"")</f>
        <v/>
      </c>
      <c r="B163" s="11" t="str">
        <f aca="false">IF($A163="","",INDEX(Employees!$A$6:$A$205,MATCH($A163,Employees!$BG$6:$BG$205,0)))</f>
        <v/>
      </c>
      <c r="C163" s="11" t="str">
        <f aca="false">IF($A163="","",INDEX(Employees!$B$6:$B$205,MATCH($A163,Employees!$BG$6:$BG$205,0)))</f>
        <v/>
      </c>
      <c r="D163" s="11" t="str">
        <f aca="false">IF($A163="","",INDEX(Employees!$C$6:$C$205,MATCH($A163,Employees!$BG$6:$BG$205,0)))</f>
        <v/>
      </c>
      <c r="E163" s="11" t="str">
        <f aca="false">IF($A163="","",INDEX(Employees!$D$6:$D$205,MATCH($A163,Employees!$BG$6:$BG$205,0)))</f>
        <v/>
      </c>
      <c r="F163" s="11" t="str">
        <f aca="false">IF($A163="","",INDEX(Employees!$T$6:$T$205,MATCH($A163,Employees!$BG$6:$BG$205,0)))</f>
        <v/>
      </c>
      <c r="G163" s="26" t="str">
        <f aca="false">IF($A163="","",INDEX(Employees!$U$6:$U$205,MATCH($A163,Employees!$BG$6:$BG$205,0)))</f>
        <v/>
      </c>
      <c r="H163" s="28" t="str">
        <f aca="false">IF($A163="","",INDEX(Employees!$E$6:$E$205,MATCH($A163,Employees!$BG$6:$BG$205,0)))</f>
        <v/>
      </c>
      <c r="I163" s="11" t="str">
        <f aca="false">IF($A163="","",INDEX(Employees!$Z$6:$Z$205,MATCH($A163,Employees!$BG$6:$BG$205,0)))</f>
        <v/>
      </c>
      <c r="J163" s="26" t="str">
        <f aca="false">IF($A163="","",INDEX(Employees!$AB$6:$AB$205,MATCH($A163,Employees!$BG$6:$BG$205,0)))</f>
        <v/>
      </c>
      <c r="K163" s="26" t="str">
        <f aca="false">IF($A163="","",INDEX(Employees!$AC$6:$AC$205,MATCH($A163,Employees!$BG$6:$BG$205,0)))</f>
        <v/>
      </c>
      <c r="L163" s="28" t="str">
        <f aca="false">IF($A163="","",INDEX(Employees!$AD$6:$AD$205,MATCH($A163,Employees!$BG$6:$BG$205,0)))</f>
        <v/>
      </c>
      <c r="M163" s="11" t="str">
        <f aca="false">IF($A163="","",INDEX(Employees!$AF$6:$AF$205,MATCH($A163,Employees!$BG$6:$BG$205,0)))</f>
        <v/>
      </c>
      <c r="N163" s="11" t="str">
        <f aca="false">IF($A163="","",INDEX(Employees!$AM$6:$AM$205,MATCH($A163,Employees!$BG$6:$BG$205,0)))</f>
        <v/>
      </c>
    </row>
    <row r="164" customFormat="false" ht="15" hidden="false" customHeight="false" outlineLevel="0" collapsed="false">
      <c r="A164" s="11" t="str">
        <f aca="false">IF(159&lt;=MAX(Employees!$BG$6:$BG$205),159,"")</f>
        <v/>
      </c>
      <c r="B164" s="11" t="str">
        <f aca="false">IF($A164="","",INDEX(Employees!$A$6:$A$205,MATCH($A164,Employees!$BG$6:$BG$205,0)))</f>
        <v/>
      </c>
      <c r="C164" s="11" t="str">
        <f aca="false">IF($A164="","",INDEX(Employees!$B$6:$B$205,MATCH($A164,Employees!$BG$6:$BG$205,0)))</f>
        <v/>
      </c>
      <c r="D164" s="11" t="str">
        <f aca="false">IF($A164="","",INDEX(Employees!$C$6:$C$205,MATCH($A164,Employees!$BG$6:$BG$205,0)))</f>
        <v/>
      </c>
      <c r="E164" s="11" t="str">
        <f aca="false">IF($A164="","",INDEX(Employees!$D$6:$D$205,MATCH($A164,Employees!$BG$6:$BG$205,0)))</f>
        <v/>
      </c>
      <c r="F164" s="11" t="str">
        <f aca="false">IF($A164="","",INDEX(Employees!$T$6:$T$205,MATCH($A164,Employees!$BG$6:$BG$205,0)))</f>
        <v/>
      </c>
      <c r="G164" s="26" t="str">
        <f aca="false">IF($A164="","",INDEX(Employees!$U$6:$U$205,MATCH($A164,Employees!$BG$6:$BG$205,0)))</f>
        <v/>
      </c>
      <c r="H164" s="28" t="str">
        <f aca="false">IF($A164="","",INDEX(Employees!$E$6:$E$205,MATCH($A164,Employees!$BG$6:$BG$205,0)))</f>
        <v/>
      </c>
      <c r="I164" s="11" t="str">
        <f aca="false">IF($A164="","",INDEX(Employees!$Z$6:$Z$205,MATCH($A164,Employees!$BG$6:$BG$205,0)))</f>
        <v/>
      </c>
      <c r="J164" s="26" t="str">
        <f aca="false">IF($A164="","",INDEX(Employees!$AB$6:$AB$205,MATCH($A164,Employees!$BG$6:$BG$205,0)))</f>
        <v/>
      </c>
      <c r="K164" s="26" t="str">
        <f aca="false">IF($A164="","",INDEX(Employees!$AC$6:$AC$205,MATCH($A164,Employees!$BG$6:$BG$205,0)))</f>
        <v/>
      </c>
      <c r="L164" s="28" t="str">
        <f aca="false">IF($A164="","",INDEX(Employees!$AD$6:$AD$205,MATCH($A164,Employees!$BG$6:$BG$205,0)))</f>
        <v/>
      </c>
      <c r="M164" s="11" t="str">
        <f aca="false">IF($A164="","",INDEX(Employees!$AF$6:$AF$205,MATCH($A164,Employees!$BG$6:$BG$205,0)))</f>
        <v/>
      </c>
      <c r="N164" s="11" t="str">
        <f aca="false">IF($A164="","",INDEX(Employees!$AM$6:$AM$205,MATCH($A164,Employees!$BG$6:$BG$205,0)))</f>
        <v/>
      </c>
    </row>
    <row r="165" customFormat="false" ht="15" hidden="false" customHeight="false" outlineLevel="0" collapsed="false">
      <c r="A165" s="11" t="str">
        <f aca="false">IF(160&lt;=MAX(Employees!$BG$6:$BG$205),160,"")</f>
        <v/>
      </c>
      <c r="B165" s="11" t="str">
        <f aca="false">IF($A165="","",INDEX(Employees!$A$6:$A$205,MATCH($A165,Employees!$BG$6:$BG$205,0)))</f>
        <v/>
      </c>
      <c r="C165" s="11" t="str">
        <f aca="false">IF($A165="","",INDEX(Employees!$B$6:$B$205,MATCH($A165,Employees!$BG$6:$BG$205,0)))</f>
        <v/>
      </c>
      <c r="D165" s="11" t="str">
        <f aca="false">IF($A165="","",INDEX(Employees!$C$6:$C$205,MATCH($A165,Employees!$BG$6:$BG$205,0)))</f>
        <v/>
      </c>
      <c r="E165" s="11" t="str">
        <f aca="false">IF($A165="","",INDEX(Employees!$D$6:$D$205,MATCH($A165,Employees!$BG$6:$BG$205,0)))</f>
        <v/>
      </c>
      <c r="F165" s="11" t="str">
        <f aca="false">IF($A165="","",INDEX(Employees!$T$6:$T$205,MATCH($A165,Employees!$BG$6:$BG$205,0)))</f>
        <v/>
      </c>
      <c r="G165" s="26" t="str">
        <f aca="false">IF($A165="","",INDEX(Employees!$U$6:$U$205,MATCH($A165,Employees!$BG$6:$BG$205,0)))</f>
        <v/>
      </c>
      <c r="H165" s="28" t="str">
        <f aca="false">IF($A165="","",INDEX(Employees!$E$6:$E$205,MATCH($A165,Employees!$BG$6:$BG$205,0)))</f>
        <v/>
      </c>
      <c r="I165" s="11" t="str">
        <f aca="false">IF($A165="","",INDEX(Employees!$Z$6:$Z$205,MATCH($A165,Employees!$BG$6:$BG$205,0)))</f>
        <v/>
      </c>
      <c r="J165" s="26" t="str">
        <f aca="false">IF($A165="","",INDEX(Employees!$AB$6:$AB$205,MATCH($A165,Employees!$BG$6:$BG$205,0)))</f>
        <v/>
      </c>
      <c r="K165" s="26" t="str">
        <f aca="false">IF($A165="","",INDEX(Employees!$AC$6:$AC$205,MATCH($A165,Employees!$BG$6:$BG$205,0)))</f>
        <v/>
      </c>
      <c r="L165" s="28" t="str">
        <f aca="false">IF($A165="","",INDEX(Employees!$AD$6:$AD$205,MATCH($A165,Employees!$BG$6:$BG$205,0)))</f>
        <v/>
      </c>
      <c r="M165" s="11" t="str">
        <f aca="false">IF($A165="","",INDEX(Employees!$AF$6:$AF$205,MATCH($A165,Employees!$BG$6:$BG$205,0)))</f>
        <v/>
      </c>
      <c r="N165" s="11" t="str">
        <f aca="false">IF($A165="","",INDEX(Employees!$AM$6:$AM$205,MATCH($A165,Employees!$BG$6:$BG$205,0)))</f>
        <v/>
      </c>
    </row>
    <row r="166" customFormat="false" ht="15" hidden="false" customHeight="false" outlineLevel="0" collapsed="false">
      <c r="A166" s="11" t="str">
        <f aca="false">IF(161&lt;=MAX(Employees!$BG$6:$BG$205),161,"")</f>
        <v/>
      </c>
      <c r="B166" s="11" t="str">
        <f aca="false">IF($A166="","",INDEX(Employees!$A$6:$A$205,MATCH($A166,Employees!$BG$6:$BG$205,0)))</f>
        <v/>
      </c>
      <c r="C166" s="11" t="str">
        <f aca="false">IF($A166="","",INDEX(Employees!$B$6:$B$205,MATCH($A166,Employees!$BG$6:$BG$205,0)))</f>
        <v/>
      </c>
      <c r="D166" s="11" t="str">
        <f aca="false">IF($A166="","",INDEX(Employees!$C$6:$C$205,MATCH($A166,Employees!$BG$6:$BG$205,0)))</f>
        <v/>
      </c>
      <c r="E166" s="11" t="str">
        <f aca="false">IF($A166="","",INDEX(Employees!$D$6:$D$205,MATCH($A166,Employees!$BG$6:$BG$205,0)))</f>
        <v/>
      </c>
      <c r="F166" s="11" t="str">
        <f aca="false">IF($A166="","",INDEX(Employees!$T$6:$T$205,MATCH($A166,Employees!$BG$6:$BG$205,0)))</f>
        <v/>
      </c>
      <c r="G166" s="26" t="str">
        <f aca="false">IF($A166="","",INDEX(Employees!$U$6:$U$205,MATCH($A166,Employees!$BG$6:$BG$205,0)))</f>
        <v/>
      </c>
      <c r="H166" s="28" t="str">
        <f aca="false">IF($A166="","",INDEX(Employees!$E$6:$E$205,MATCH($A166,Employees!$BG$6:$BG$205,0)))</f>
        <v/>
      </c>
      <c r="I166" s="11" t="str">
        <f aca="false">IF($A166="","",INDEX(Employees!$Z$6:$Z$205,MATCH($A166,Employees!$BG$6:$BG$205,0)))</f>
        <v/>
      </c>
      <c r="J166" s="26" t="str">
        <f aca="false">IF($A166="","",INDEX(Employees!$AB$6:$AB$205,MATCH($A166,Employees!$BG$6:$BG$205,0)))</f>
        <v/>
      </c>
      <c r="K166" s="26" t="str">
        <f aca="false">IF($A166="","",INDEX(Employees!$AC$6:$AC$205,MATCH($A166,Employees!$BG$6:$BG$205,0)))</f>
        <v/>
      </c>
      <c r="L166" s="28" t="str">
        <f aca="false">IF($A166="","",INDEX(Employees!$AD$6:$AD$205,MATCH($A166,Employees!$BG$6:$BG$205,0)))</f>
        <v/>
      </c>
      <c r="M166" s="11" t="str">
        <f aca="false">IF($A166="","",INDEX(Employees!$AF$6:$AF$205,MATCH($A166,Employees!$BG$6:$BG$205,0)))</f>
        <v/>
      </c>
      <c r="N166" s="11" t="str">
        <f aca="false">IF($A166="","",INDEX(Employees!$AM$6:$AM$205,MATCH($A166,Employees!$BG$6:$BG$205,0)))</f>
        <v/>
      </c>
    </row>
    <row r="167" customFormat="false" ht="15" hidden="false" customHeight="false" outlineLevel="0" collapsed="false">
      <c r="A167" s="11" t="str">
        <f aca="false">IF(162&lt;=MAX(Employees!$BG$6:$BG$205),162,"")</f>
        <v/>
      </c>
      <c r="B167" s="11" t="str">
        <f aca="false">IF($A167="","",INDEX(Employees!$A$6:$A$205,MATCH($A167,Employees!$BG$6:$BG$205,0)))</f>
        <v/>
      </c>
      <c r="C167" s="11" t="str">
        <f aca="false">IF($A167="","",INDEX(Employees!$B$6:$B$205,MATCH($A167,Employees!$BG$6:$BG$205,0)))</f>
        <v/>
      </c>
      <c r="D167" s="11" t="str">
        <f aca="false">IF($A167="","",INDEX(Employees!$C$6:$C$205,MATCH($A167,Employees!$BG$6:$BG$205,0)))</f>
        <v/>
      </c>
      <c r="E167" s="11" t="str">
        <f aca="false">IF($A167="","",INDEX(Employees!$D$6:$D$205,MATCH($A167,Employees!$BG$6:$BG$205,0)))</f>
        <v/>
      </c>
      <c r="F167" s="11" t="str">
        <f aca="false">IF($A167="","",INDEX(Employees!$T$6:$T$205,MATCH($A167,Employees!$BG$6:$BG$205,0)))</f>
        <v/>
      </c>
      <c r="G167" s="26" t="str">
        <f aca="false">IF($A167="","",INDEX(Employees!$U$6:$U$205,MATCH($A167,Employees!$BG$6:$BG$205,0)))</f>
        <v/>
      </c>
      <c r="H167" s="28" t="str">
        <f aca="false">IF($A167="","",INDEX(Employees!$E$6:$E$205,MATCH($A167,Employees!$BG$6:$BG$205,0)))</f>
        <v/>
      </c>
      <c r="I167" s="11" t="str">
        <f aca="false">IF($A167="","",INDEX(Employees!$Z$6:$Z$205,MATCH($A167,Employees!$BG$6:$BG$205,0)))</f>
        <v/>
      </c>
      <c r="J167" s="26" t="str">
        <f aca="false">IF($A167="","",INDEX(Employees!$AB$6:$AB$205,MATCH($A167,Employees!$BG$6:$BG$205,0)))</f>
        <v/>
      </c>
      <c r="K167" s="26" t="str">
        <f aca="false">IF($A167="","",INDEX(Employees!$AC$6:$AC$205,MATCH($A167,Employees!$BG$6:$BG$205,0)))</f>
        <v/>
      </c>
      <c r="L167" s="28" t="str">
        <f aca="false">IF($A167="","",INDEX(Employees!$AD$6:$AD$205,MATCH($A167,Employees!$BG$6:$BG$205,0)))</f>
        <v/>
      </c>
      <c r="M167" s="11" t="str">
        <f aca="false">IF($A167="","",INDEX(Employees!$AF$6:$AF$205,MATCH($A167,Employees!$BG$6:$BG$205,0)))</f>
        <v/>
      </c>
      <c r="N167" s="11" t="str">
        <f aca="false">IF($A167="","",INDEX(Employees!$AM$6:$AM$205,MATCH($A167,Employees!$BG$6:$BG$205,0)))</f>
        <v/>
      </c>
    </row>
    <row r="168" customFormat="false" ht="15" hidden="false" customHeight="false" outlineLevel="0" collapsed="false">
      <c r="A168" s="11" t="str">
        <f aca="false">IF(163&lt;=MAX(Employees!$BG$6:$BG$205),163,"")</f>
        <v/>
      </c>
      <c r="B168" s="11" t="str">
        <f aca="false">IF($A168="","",INDEX(Employees!$A$6:$A$205,MATCH($A168,Employees!$BG$6:$BG$205,0)))</f>
        <v/>
      </c>
      <c r="C168" s="11" t="str">
        <f aca="false">IF($A168="","",INDEX(Employees!$B$6:$B$205,MATCH($A168,Employees!$BG$6:$BG$205,0)))</f>
        <v/>
      </c>
      <c r="D168" s="11" t="str">
        <f aca="false">IF($A168="","",INDEX(Employees!$C$6:$C$205,MATCH($A168,Employees!$BG$6:$BG$205,0)))</f>
        <v/>
      </c>
      <c r="E168" s="11" t="str">
        <f aca="false">IF($A168="","",INDEX(Employees!$D$6:$D$205,MATCH($A168,Employees!$BG$6:$BG$205,0)))</f>
        <v/>
      </c>
      <c r="F168" s="11" t="str">
        <f aca="false">IF($A168="","",INDEX(Employees!$T$6:$T$205,MATCH($A168,Employees!$BG$6:$BG$205,0)))</f>
        <v/>
      </c>
      <c r="G168" s="26" t="str">
        <f aca="false">IF($A168="","",INDEX(Employees!$U$6:$U$205,MATCH($A168,Employees!$BG$6:$BG$205,0)))</f>
        <v/>
      </c>
      <c r="H168" s="28" t="str">
        <f aca="false">IF($A168="","",INDEX(Employees!$E$6:$E$205,MATCH($A168,Employees!$BG$6:$BG$205,0)))</f>
        <v/>
      </c>
      <c r="I168" s="11" t="str">
        <f aca="false">IF($A168="","",INDEX(Employees!$Z$6:$Z$205,MATCH($A168,Employees!$BG$6:$BG$205,0)))</f>
        <v/>
      </c>
      <c r="J168" s="26" t="str">
        <f aca="false">IF($A168="","",INDEX(Employees!$AB$6:$AB$205,MATCH($A168,Employees!$BG$6:$BG$205,0)))</f>
        <v/>
      </c>
      <c r="K168" s="26" t="str">
        <f aca="false">IF($A168="","",INDEX(Employees!$AC$6:$AC$205,MATCH($A168,Employees!$BG$6:$BG$205,0)))</f>
        <v/>
      </c>
      <c r="L168" s="28" t="str">
        <f aca="false">IF($A168="","",INDEX(Employees!$AD$6:$AD$205,MATCH($A168,Employees!$BG$6:$BG$205,0)))</f>
        <v/>
      </c>
      <c r="M168" s="11" t="str">
        <f aca="false">IF($A168="","",INDEX(Employees!$AF$6:$AF$205,MATCH($A168,Employees!$BG$6:$BG$205,0)))</f>
        <v/>
      </c>
      <c r="N168" s="11" t="str">
        <f aca="false">IF($A168="","",INDEX(Employees!$AM$6:$AM$205,MATCH($A168,Employees!$BG$6:$BG$205,0)))</f>
        <v/>
      </c>
    </row>
    <row r="169" customFormat="false" ht="15" hidden="false" customHeight="false" outlineLevel="0" collapsed="false">
      <c r="A169" s="11" t="str">
        <f aca="false">IF(164&lt;=MAX(Employees!$BG$6:$BG$205),164,"")</f>
        <v/>
      </c>
      <c r="B169" s="11" t="str">
        <f aca="false">IF($A169="","",INDEX(Employees!$A$6:$A$205,MATCH($A169,Employees!$BG$6:$BG$205,0)))</f>
        <v/>
      </c>
      <c r="C169" s="11" t="str">
        <f aca="false">IF($A169="","",INDEX(Employees!$B$6:$B$205,MATCH($A169,Employees!$BG$6:$BG$205,0)))</f>
        <v/>
      </c>
      <c r="D169" s="11" t="str">
        <f aca="false">IF($A169="","",INDEX(Employees!$C$6:$C$205,MATCH($A169,Employees!$BG$6:$BG$205,0)))</f>
        <v/>
      </c>
      <c r="E169" s="11" t="str">
        <f aca="false">IF($A169="","",INDEX(Employees!$D$6:$D$205,MATCH($A169,Employees!$BG$6:$BG$205,0)))</f>
        <v/>
      </c>
      <c r="F169" s="11" t="str">
        <f aca="false">IF($A169="","",INDEX(Employees!$T$6:$T$205,MATCH($A169,Employees!$BG$6:$BG$205,0)))</f>
        <v/>
      </c>
      <c r="G169" s="26" t="str">
        <f aca="false">IF($A169="","",INDEX(Employees!$U$6:$U$205,MATCH($A169,Employees!$BG$6:$BG$205,0)))</f>
        <v/>
      </c>
      <c r="H169" s="28" t="str">
        <f aca="false">IF($A169="","",INDEX(Employees!$E$6:$E$205,MATCH($A169,Employees!$BG$6:$BG$205,0)))</f>
        <v/>
      </c>
      <c r="I169" s="11" t="str">
        <f aca="false">IF($A169="","",INDEX(Employees!$Z$6:$Z$205,MATCH($A169,Employees!$BG$6:$BG$205,0)))</f>
        <v/>
      </c>
      <c r="J169" s="26" t="str">
        <f aca="false">IF($A169="","",INDEX(Employees!$AB$6:$AB$205,MATCH($A169,Employees!$BG$6:$BG$205,0)))</f>
        <v/>
      </c>
      <c r="K169" s="26" t="str">
        <f aca="false">IF($A169="","",INDEX(Employees!$AC$6:$AC$205,MATCH($A169,Employees!$BG$6:$BG$205,0)))</f>
        <v/>
      </c>
      <c r="L169" s="28" t="str">
        <f aca="false">IF($A169="","",INDEX(Employees!$AD$6:$AD$205,MATCH($A169,Employees!$BG$6:$BG$205,0)))</f>
        <v/>
      </c>
      <c r="M169" s="11" t="str">
        <f aca="false">IF($A169="","",INDEX(Employees!$AF$6:$AF$205,MATCH($A169,Employees!$BG$6:$BG$205,0)))</f>
        <v/>
      </c>
      <c r="N169" s="11" t="str">
        <f aca="false">IF($A169="","",INDEX(Employees!$AM$6:$AM$205,MATCH($A169,Employees!$BG$6:$BG$205,0)))</f>
        <v/>
      </c>
    </row>
    <row r="170" customFormat="false" ht="15" hidden="false" customHeight="false" outlineLevel="0" collapsed="false">
      <c r="A170" s="11" t="str">
        <f aca="false">IF(165&lt;=MAX(Employees!$BG$6:$BG$205),165,"")</f>
        <v/>
      </c>
      <c r="B170" s="11" t="str">
        <f aca="false">IF($A170="","",INDEX(Employees!$A$6:$A$205,MATCH($A170,Employees!$BG$6:$BG$205,0)))</f>
        <v/>
      </c>
      <c r="C170" s="11" t="str">
        <f aca="false">IF($A170="","",INDEX(Employees!$B$6:$B$205,MATCH($A170,Employees!$BG$6:$BG$205,0)))</f>
        <v/>
      </c>
      <c r="D170" s="11" t="str">
        <f aca="false">IF($A170="","",INDEX(Employees!$C$6:$C$205,MATCH($A170,Employees!$BG$6:$BG$205,0)))</f>
        <v/>
      </c>
      <c r="E170" s="11" t="str">
        <f aca="false">IF($A170="","",INDEX(Employees!$D$6:$D$205,MATCH($A170,Employees!$BG$6:$BG$205,0)))</f>
        <v/>
      </c>
      <c r="F170" s="11" t="str">
        <f aca="false">IF($A170="","",INDEX(Employees!$T$6:$T$205,MATCH($A170,Employees!$BG$6:$BG$205,0)))</f>
        <v/>
      </c>
      <c r="G170" s="26" t="str">
        <f aca="false">IF($A170="","",INDEX(Employees!$U$6:$U$205,MATCH($A170,Employees!$BG$6:$BG$205,0)))</f>
        <v/>
      </c>
      <c r="H170" s="28" t="str">
        <f aca="false">IF($A170="","",INDEX(Employees!$E$6:$E$205,MATCH($A170,Employees!$BG$6:$BG$205,0)))</f>
        <v/>
      </c>
      <c r="I170" s="11" t="str">
        <f aca="false">IF($A170="","",INDEX(Employees!$Z$6:$Z$205,MATCH($A170,Employees!$BG$6:$BG$205,0)))</f>
        <v/>
      </c>
      <c r="J170" s="26" t="str">
        <f aca="false">IF($A170="","",INDEX(Employees!$AB$6:$AB$205,MATCH($A170,Employees!$BG$6:$BG$205,0)))</f>
        <v/>
      </c>
      <c r="K170" s="26" t="str">
        <f aca="false">IF($A170="","",INDEX(Employees!$AC$6:$AC$205,MATCH($A170,Employees!$BG$6:$BG$205,0)))</f>
        <v/>
      </c>
      <c r="L170" s="28" t="str">
        <f aca="false">IF($A170="","",INDEX(Employees!$AD$6:$AD$205,MATCH($A170,Employees!$BG$6:$BG$205,0)))</f>
        <v/>
      </c>
      <c r="M170" s="11" t="str">
        <f aca="false">IF($A170="","",INDEX(Employees!$AF$6:$AF$205,MATCH($A170,Employees!$BG$6:$BG$205,0)))</f>
        <v/>
      </c>
      <c r="N170" s="11" t="str">
        <f aca="false">IF($A170="","",INDEX(Employees!$AM$6:$AM$205,MATCH($A170,Employees!$BG$6:$BG$205,0)))</f>
        <v/>
      </c>
    </row>
    <row r="171" customFormat="false" ht="15" hidden="false" customHeight="false" outlineLevel="0" collapsed="false">
      <c r="A171" s="11" t="str">
        <f aca="false">IF(166&lt;=MAX(Employees!$BG$6:$BG$205),166,"")</f>
        <v/>
      </c>
      <c r="B171" s="11" t="str">
        <f aca="false">IF($A171="","",INDEX(Employees!$A$6:$A$205,MATCH($A171,Employees!$BG$6:$BG$205,0)))</f>
        <v/>
      </c>
      <c r="C171" s="11" t="str">
        <f aca="false">IF($A171="","",INDEX(Employees!$B$6:$B$205,MATCH($A171,Employees!$BG$6:$BG$205,0)))</f>
        <v/>
      </c>
      <c r="D171" s="11" t="str">
        <f aca="false">IF($A171="","",INDEX(Employees!$C$6:$C$205,MATCH($A171,Employees!$BG$6:$BG$205,0)))</f>
        <v/>
      </c>
      <c r="E171" s="11" t="str">
        <f aca="false">IF($A171="","",INDEX(Employees!$D$6:$D$205,MATCH($A171,Employees!$BG$6:$BG$205,0)))</f>
        <v/>
      </c>
      <c r="F171" s="11" t="str">
        <f aca="false">IF($A171="","",INDEX(Employees!$T$6:$T$205,MATCH($A171,Employees!$BG$6:$BG$205,0)))</f>
        <v/>
      </c>
      <c r="G171" s="26" t="str">
        <f aca="false">IF($A171="","",INDEX(Employees!$U$6:$U$205,MATCH($A171,Employees!$BG$6:$BG$205,0)))</f>
        <v/>
      </c>
      <c r="H171" s="28" t="str">
        <f aca="false">IF($A171="","",INDEX(Employees!$E$6:$E$205,MATCH($A171,Employees!$BG$6:$BG$205,0)))</f>
        <v/>
      </c>
      <c r="I171" s="11" t="str">
        <f aca="false">IF($A171="","",INDEX(Employees!$Z$6:$Z$205,MATCH($A171,Employees!$BG$6:$BG$205,0)))</f>
        <v/>
      </c>
      <c r="J171" s="26" t="str">
        <f aca="false">IF($A171="","",INDEX(Employees!$AB$6:$AB$205,MATCH($A171,Employees!$BG$6:$BG$205,0)))</f>
        <v/>
      </c>
      <c r="K171" s="26" t="str">
        <f aca="false">IF($A171="","",INDEX(Employees!$AC$6:$AC$205,MATCH($A171,Employees!$BG$6:$BG$205,0)))</f>
        <v/>
      </c>
      <c r="L171" s="28" t="str">
        <f aca="false">IF($A171="","",INDEX(Employees!$AD$6:$AD$205,MATCH($A171,Employees!$BG$6:$BG$205,0)))</f>
        <v/>
      </c>
      <c r="M171" s="11" t="str">
        <f aca="false">IF($A171="","",INDEX(Employees!$AF$6:$AF$205,MATCH($A171,Employees!$BG$6:$BG$205,0)))</f>
        <v/>
      </c>
      <c r="N171" s="11" t="str">
        <f aca="false">IF($A171="","",INDEX(Employees!$AM$6:$AM$205,MATCH($A171,Employees!$BG$6:$BG$205,0)))</f>
        <v/>
      </c>
    </row>
    <row r="172" customFormat="false" ht="15" hidden="false" customHeight="false" outlineLevel="0" collapsed="false">
      <c r="A172" s="11" t="str">
        <f aca="false">IF(167&lt;=MAX(Employees!$BG$6:$BG$205),167,"")</f>
        <v/>
      </c>
      <c r="B172" s="11" t="str">
        <f aca="false">IF($A172="","",INDEX(Employees!$A$6:$A$205,MATCH($A172,Employees!$BG$6:$BG$205,0)))</f>
        <v/>
      </c>
      <c r="C172" s="11" t="str">
        <f aca="false">IF($A172="","",INDEX(Employees!$B$6:$B$205,MATCH($A172,Employees!$BG$6:$BG$205,0)))</f>
        <v/>
      </c>
      <c r="D172" s="11" t="str">
        <f aca="false">IF($A172="","",INDEX(Employees!$C$6:$C$205,MATCH($A172,Employees!$BG$6:$BG$205,0)))</f>
        <v/>
      </c>
      <c r="E172" s="11" t="str">
        <f aca="false">IF($A172="","",INDEX(Employees!$D$6:$D$205,MATCH($A172,Employees!$BG$6:$BG$205,0)))</f>
        <v/>
      </c>
      <c r="F172" s="11" t="str">
        <f aca="false">IF($A172="","",INDEX(Employees!$T$6:$T$205,MATCH($A172,Employees!$BG$6:$BG$205,0)))</f>
        <v/>
      </c>
      <c r="G172" s="26" t="str">
        <f aca="false">IF($A172="","",INDEX(Employees!$U$6:$U$205,MATCH($A172,Employees!$BG$6:$BG$205,0)))</f>
        <v/>
      </c>
      <c r="H172" s="28" t="str">
        <f aca="false">IF($A172="","",INDEX(Employees!$E$6:$E$205,MATCH($A172,Employees!$BG$6:$BG$205,0)))</f>
        <v/>
      </c>
      <c r="I172" s="11" t="str">
        <f aca="false">IF($A172="","",INDEX(Employees!$Z$6:$Z$205,MATCH($A172,Employees!$BG$6:$BG$205,0)))</f>
        <v/>
      </c>
      <c r="J172" s="26" t="str">
        <f aca="false">IF($A172="","",INDEX(Employees!$AB$6:$AB$205,MATCH($A172,Employees!$BG$6:$BG$205,0)))</f>
        <v/>
      </c>
      <c r="K172" s="26" t="str">
        <f aca="false">IF($A172="","",INDEX(Employees!$AC$6:$AC$205,MATCH($A172,Employees!$BG$6:$BG$205,0)))</f>
        <v/>
      </c>
      <c r="L172" s="28" t="str">
        <f aca="false">IF($A172="","",INDEX(Employees!$AD$6:$AD$205,MATCH($A172,Employees!$BG$6:$BG$205,0)))</f>
        <v/>
      </c>
      <c r="M172" s="11" t="str">
        <f aca="false">IF($A172="","",INDEX(Employees!$AF$6:$AF$205,MATCH($A172,Employees!$BG$6:$BG$205,0)))</f>
        <v/>
      </c>
      <c r="N172" s="11" t="str">
        <f aca="false">IF($A172="","",INDEX(Employees!$AM$6:$AM$205,MATCH($A172,Employees!$BG$6:$BG$205,0)))</f>
        <v/>
      </c>
    </row>
    <row r="173" customFormat="false" ht="15" hidden="false" customHeight="false" outlineLevel="0" collapsed="false">
      <c r="A173" s="11" t="str">
        <f aca="false">IF(168&lt;=MAX(Employees!$BG$6:$BG$205),168,"")</f>
        <v/>
      </c>
      <c r="B173" s="11" t="str">
        <f aca="false">IF($A173="","",INDEX(Employees!$A$6:$A$205,MATCH($A173,Employees!$BG$6:$BG$205,0)))</f>
        <v/>
      </c>
      <c r="C173" s="11" t="str">
        <f aca="false">IF($A173="","",INDEX(Employees!$B$6:$B$205,MATCH($A173,Employees!$BG$6:$BG$205,0)))</f>
        <v/>
      </c>
      <c r="D173" s="11" t="str">
        <f aca="false">IF($A173="","",INDEX(Employees!$C$6:$C$205,MATCH($A173,Employees!$BG$6:$BG$205,0)))</f>
        <v/>
      </c>
      <c r="E173" s="11" t="str">
        <f aca="false">IF($A173="","",INDEX(Employees!$D$6:$D$205,MATCH($A173,Employees!$BG$6:$BG$205,0)))</f>
        <v/>
      </c>
      <c r="F173" s="11" t="str">
        <f aca="false">IF($A173="","",INDEX(Employees!$T$6:$T$205,MATCH($A173,Employees!$BG$6:$BG$205,0)))</f>
        <v/>
      </c>
      <c r="G173" s="26" t="str">
        <f aca="false">IF($A173="","",INDEX(Employees!$U$6:$U$205,MATCH($A173,Employees!$BG$6:$BG$205,0)))</f>
        <v/>
      </c>
      <c r="H173" s="28" t="str">
        <f aca="false">IF($A173="","",INDEX(Employees!$E$6:$E$205,MATCH($A173,Employees!$BG$6:$BG$205,0)))</f>
        <v/>
      </c>
      <c r="I173" s="11" t="str">
        <f aca="false">IF($A173="","",INDEX(Employees!$Z$6:$Z$205,MATCH($A173,Employees!$BG$6:$BG$205,0)))</f>
        <v/>
      </c>
      <c r="J173" s="26" t="str">
        <f aca="false">IF($A173="","",INDEX(Employees!$AB$6:$AB$205,MATCH($A173,Employees!$BG$6:$BG$205,0)))</f>
        <v/>
      </c>
      <c r="K173" s="26" t="str">
        <f aca="false">IF($A173="","",INDEX(Employees!$AC$6:$AC$205,MATCH($A173,Employees!$BG$6:$BG$205,0)))</f>
        <v/>
      </c>
      <c r="L173" s="28" t="str">
        <f aca="false">IF($A173="","",INDEX(Employees!$AD$6:$AD$205,MATCH($A173,Employees!$BG$6:$BG$205,0)))</f>
        <v/>
      </c>
      <c r="M173" s="11" t="str">
        <f aca="false">IF($A173="","",INDEX(Employees!$AF$6:$AF$205,MATCH($A173,Employees!$BG$6:$BG$205,0)))</f>
        <v/>
      </c>
      <c r="N173" s="11" t="str">
        <f aca="false">IF($A173="","",INDEX(Employees!$AM$6:$AM$205,MATCH($A173,Employees!$BG$6:$BG$205,0)))</f>
        <v/>
      </c>
    </row>
    <row r="174" customFormat="false" ht="15" hidden="false" customHeight="false" outlineLevel="0" collapsed="false">
      <c r="A174" s="11" t="str">
        <f aca="false">IF(169&lt;=MAX(Employees!$BG$6:$BG$205),169,"")</f>
        <v/>
      </c>
      <c r="B174" s="11" t="str">
        <f aca="false">IF($A174="","",INDEX(Employees!$A$6:$A$205,MATCH($A174,Employees!$BG$6:$BG$205,0)))</f>
        <v/>
      </c>
      <c r="C174" s="11" t="str">
        <f aca="false">IF($A174="","",INDEX(Employees!$B$6:$B$205,MATCH($A174,Employees!$BG$6:$BG$205,0)))</f>
        <v/>
      </c>
      <c r="D174" s="11" t="str">
        <f aca="false">IF($A174="","",INDEX(Employees!$C$6:$C$205,MATCH($A174,Employees!$BG$6:$BG$205,0)))</f>
        <v/>
      </c>
      <c r="E174" s="11" t="str">
        <f aca="false">IF($A174="","",INDEX(Employees!$D$6:$D$205,MATCH($A174,Employees!$BG$6:$BG$205,0)))</f>
        <v/>
      </c>
      <c r="F174" s="11" t="str">
        <f aca="false">IF($A174="","",INDEX(Employees!$T$6:$T$205,MATCH($A174,Employees!$BG$6:$BG$205,0)))</f>
        <v/>
      </c>
      <c r="G174" s="26" t="str">
        <f aca="false">IF($A174="","",INDEX(Employees!$U$6:$U$205,MATCH($A174,Employees!$BG$6:$BG$205,0)))</f>
        <v/>
      </c>
      <c r="H174" s="28" t="str">
        <f aca="false">IF($A174="","",INDEX(Employees!$E$6:$E$205,MATCH($A174,Employees!$BG$6:$BG$205,0)))</f>
        <v/>
      </c>
      <c r="I174" s="11" t="str">
        <f aca="false">IF($A174="","",INDEX(Employees!$Z$6:$Z$205,MATCH($A174,Employees!$BG$6:$BG$205,0)))</f>
        <v/>
      </c>
      <c r="J174" s="26" t="str">
        <f aca="false">IF($A174="","",INDEX(Employees!$AB$6:$AB$205,MATCH($A174,Employees!$BG$6:$BG$205,0)))</f>
        <v/>
      </c>
      <c r="K174" s="26" t="str">
        <f aca="false">IF($A174="","",INDEX(Employees!$AC$6:$AC$205,MATCH($A174,Employees!$BG$6:$BG$205,0)))</f>
        <v/>
      </c>
      <c r="L174" s="28" t="str">
        <f aca="false">IF($A174="","",INDEX(Employees!$AD$6:$AD$205,MATCH($A174,Employees!$BG$6:$BG$205,0)))</f>
        <v/>
      </c>
      <c r="M174" s="11" t="str">
        <f aca="false">IF($A174="","",INDEX(Employees!$AF$6:$AF$205,MATCH($A174,Employees!$BG$6:$BG$205,0)))</f>
        <v/>
      </c>
      <c r="N174" s="11" t="str">
        <f aca="false">IF($A174="","",INDEX(Employees!$AM$6:$AM$205,MATCH($A174,Employees!$BG$6:$BG$205,0)))</f>
        <v/>
      </c>
    </row>
    <row r="175" customFormat="false" ht="15" hidden="false" customHeight="false" outlineLevel="0" collapsed="false">
      <c r="A175" s="11" t="str">
        <f aca="false">IF(170&lt;=MAX(Employees!$BG$6:$BG$205),170,"")</f>
        <v/>
      </c>
      <c r="B175" s="11" t="str">
        <f aca="false">IF($A175="","",INDEX(Employees!$A$6:$A$205,MATCH($A175,Employees!$BG$6:$BG$205,0)))</f>
        <v/>
      </c>
      <c r="C175" s="11" t="str">
        <f aca="false">IF($A175="","",INDEX(Employees!$B$6:$B$205,MATCH($A175,Employees!$BG$6:$BG$205,0)))</f>
        <v/>
      </c>
      <c r="D175" s="11" t="str">
        <f aca="false">IF($A175="","",INDEX(Employees!$C$6:$C$205,MATCH($A175,Employees!$BG$6:$BG$205,0)))</f>
        <v/>
      </c>
      <c r="E175" s="11" t="str">
        <f aca="false">IF($A175="","",INDEX(Employees!$D$6:$D$205,MATCH($A175,Employees!$BG$6:$BG$205,0)))</f>
        <v/>
      </c>
      <c r="F175" s="11" t="str">
        <f aca="false">IF($A175="","",INDEX(Employees!$T$6:$T$205,MATCH($A175,Employees!$BG$6:$BG$205,0)))</f>
        <v/>
      </c>
      <c r="G175" s="26" t="str">
        <f aca="false">IF($A175="","",INDEX(Employees!$U$6:$U$205,MATCH($A175,Employees!$BG$6:$BG$205,0)))</f>
        <v/>
      </c>
      <c r="H175" s="28" t="str">
        <f aca="false">IF($A175="","",INDEX(Employees!$E$6:$E$205,MATCH($A175,Employees!$BG$6:$BG$205,0)))</f>
        <v/>
      </c>
      <c r="I175" s="11" t="str">
        <f aca="false">IF($A175="","",INDEX(Employees!$Z$6:$Z$205,MATCH($A175,Employees!$BG$6:$BG$205,0)))</f>
        <v/>
      </c>
      <c r="J175" s="26" t="str">
        <f aca="false">IF($A175="","",INDEX(Employees!$AB$6:$AB$205,MATCH($A175,Employees!$BG$6:$BG$205,0)))</f>
        <v/>
      </c>
      <c r="K175" s="26" t="str">
        <f aca="false">IF($A175="","",INDEX(Employees!$AC$6:$AC$205,MATCH($A175,Employees!$BG$6:$BG$205,0)))</f>
        <v/>
      </c>
      <c r="L175" s="28" t="str">
        <f aca="false">IF($A175="","",INDEX(Employees!$AD$6:$AD$205,MATCH($A175,Employees!$BG$6:$BG$205,0)))</f>
        <v/>
      </c>
      <c r="M175" s="11" t="str">
        <f aca="false">IF($A175="","",INDEX(Employees!$AF$6:$AF$205,MATCH($A175,Employees!$BG$6:$BG$205,0)))</f>
        <v/>
      </c>
      <c r="N175" s="11" t="str">
        <f aca="false">IF($A175="","",INDEX(Employees!$AM$6:$AM$205,MATCH($A175,Employees!$BG$6:$BG$205,0)))</f>
        <v/>
      </c>
    </row>
    <row r="176" customFormat="false" ht="15" hidden="false" customHeight="false" outlineLevel="0" collapsed="false">
      <c r="A176" s="11" t="str">
        <f aca="false">IF(171&lt;=MAX(Employees!$BG$6:$BG$205),171,"")</f>
        <v/>
      </c>
      <c r="B176" s="11" t="str">
        <f aca="false">IF($A176="","",INDEX(Employees!$A$6:$A$205,MATCH($A176,Employees!$BG$6:$BG$205,0)))</f>
        <v/>
      </c>
      <c r="C176" s="11" t="str">
        <f aca="false">IF($A176="","",INDEX(Employees!$B$6:$B$205,MATCH($A176,Employees!$BG$6:$BG$205,0)))</f>
        <v/>
      </c>
      <c r="D176" s="11" t="str">
        <f aca="false">IF($A176="","",INDEX(Employees!$C$6:$C$205,MATCH($A176,Employees!$BG$6:$BG$205,0)))</f>
        <v/>
      </c>
      <c r="E176" s="11" t="str">
        <f aca="false">IF($A176="","",INDEX(Employees!$D$6:$D$205,MATCH($A176,Employees!$BG$6:$BG$205,0)))</f>
        <v/>
      </c>
      <c r="F176" s="11" t="str">
        <f aca="false">IF($A176="","",INDEX(Employees!$T$6:$T$205,MATCH($A176,Employees!$BG$6:$BG$205,0)))</f>
        <v/>
      </c>
      <c r="G176" s="26" t="str">
        <f aca="false">IF($A176="","",INDEX(Employees!$U$6:$U$205,MATCH($A176,Employees!$BG$6:$BG$205,0)))</f>
        <v/>
      </c>
      <c r="H176" s="28" t="str">
        <f aca="false">IF($A176="","",INDEX(Employees!$E$6:$E$205,MATCH($A176,Employees!$BG$6:$BG$205,0)))</f>
        <v/>
      </c>
      <c r="I176" s="11" t="str">
        <f aca="false">IF($A176="","",INDEX(Employees!$Z$6:$Z$205,MATCH($A176,Employees!$BG$6:$BG$205,0)))</f>
        <v/>
      </c>
      <c r="J176" s="26" t="str">
        <f aca="false">IF($A176="","",INDEX(Employees!$AB$6:$AB$205,MATCH($A176,Employees!$BG$6:$BG$205,0)))</f>
        <v/>
      </c>
      <c r="K176" s="26" t="str">
        <f aca="false">IF($A176="","",INDEX(Employees!$AC$6:$AC$205,MATCH($A176,Employees!$BG$6:$BG$205,0)))</f>
        <v/>
      </c>
      <c r="L176" s="28" t="str">
        <f aca="false">IF($A176="","",INDEX(Employees!$AD$6:$AD$205,MATCH($A176,Employees!$BG$6:$BG$205,0)))</f>
        <v/>
      </c>
      <c r="M176" s="11" t="str">
        <f aca="false">IF($A176="","",INDEX(Employees!$AF$6:$AF$205,MATCH($A176,Employees!$BG$6:$BG$205,0)))</f>
        <v/>
      </c>
      <c r="N176" s="11" t="str">
        <f aca="false">IF($A176="","",INDEX(Employees!$AM$6:$AM$205,MATCH($A176,Employees!$BG$6:$BG$205,0)))</f>
        <v/>
      </c>
    </row>
    <row r="177" customFormat="false" ht="15" hidden="false" customHeight="false" outlineLevel="0" collapsed="false">
      <c r="A177" s="11" t="str">
        <f aca="false">IF(172&lt;=MAX(Employees!$BG$6:$BG$205),172,"")</f>
        <v/>
      </c>
      <c r="B177" s="11" t="str">
        <f aca="false">IF($A177="","",INDEX(Employees!$A$6:$A$205,MATCH($A177,Employees!$BG$6:$BG$205,0)))</f>
        <v/>
      </c>
      <c r="C177" s="11" t="str">
        <f aca="false">IF($A177="","",INDEX(Employees!$B$6:$B$205,MATCH($A177,Employees!$BG$6:$BG$205,0)))</f>
        <v/>
      </c>
      <c r="D177" s="11" t="str">
        <f aca="false">IF($A177="","",INDEX(Employees!$C$6:$C$205,MATCH($A177,Employees!$BG$6:$BG$205,0)))</f>
        <v/>
      </c>
      <c r="E177" s="11" t="str">
        <f aca="false">IF($A177="","",INDEX(Employees!$D$6:$D$205,MATCH($A177,Employees!$BG$6:$BG$205,0)))</f>
        <v/>
      </c>
      <c r="F177" s="11" t="str">
        <f aca="false">IF($A177="","",INDEX(Employees!$T$6:$T$205,MATCH($A177,Employees!$BG$6:$BG$205,0)))</f>
        <v/>
      </c>
      <c r="G177" s="26" t="str">
        <f aca="false">IF($A177="","",INDEX(Employees!$U$6:$U$205,MATCH($A177,Employees!$BG$6:$BG$205,0)))</f>
        <v/>
      </c>
      <c r="H177" s="28" t="str">
        <f aca="false">IF($A177="","",INDEX(Employees!$E$6:$E$205,MATCH($A177,Employees!$BG$6:$BG$205,0)))</f>
        <v/>
      </c>
      <c r="I177" s="11" t="str">
        <f aca="false">IF($A177="","",INDEX(Employees!$Z$6:$Z$205,MATCH($A177,Employees!$BG$6:$BG$205,0)))</f>
        <v/>
      </c>
      <c r="J177" s="26" t="str">
        <f aca="false">IF($A177="","",INDEX(Employees!$AB$6:$AB$205,MATCH($A177,Employees!$BG$6:$BG$205,0)))</f>
        <v/>
      </c>
      <c r="K177" s="26" t="str">
        <f aca="false">IF($A177="","",INDEX(Employees!$AC$6:$AC$205,MATCH($A177,Employees!$BG$6:$BG$205,0)))</f>
        <v/>
      </c>
      <c r="L177" s="28" t="str">
        <f aca="false">IF($A177="","",INDEX(Employees!$AD$6:$AD$205,MATCH($A177,Employees!$BG$6:$BG$205,0)))</f>
        <v/>
      </c>
      <c r="M177" s="11" t="str">
        <f aca="false">IF($A177="","",INDEX(Employees!$AF$6:$AF$205,MATCH($A177,Employees!$BG$6:$BG$205,0)))</f>
        <v/>
      </c>
      <c r="N177" s="11" t="str">
        <f aca="false">IF($A177="","",INDEX(Employees!$AM$6:$AM$205,MATCH($A177,Employees!$BG$6:$BG$205,0)))</f>
        <v/>
      </c>
    </row>
    <row r="178" customFormat="false" ht="15" hidden="false" customHeight="false" outlineLevel="0" collapsed="false">
      <c r="A178" s="11" t="str">
        <f aca="false">IF(173&lt;=MAX(Employees!$BG$6:$BG$205),173,"")</f>
        <v/>
      </c>
      <c r="B178" s="11" t="str">
        <f aca="false">IF($A178="","",INDEX(Employees!$A$6:$A$205,MATCH($A178,Employees!$BG$6:$BG$205,0)))</f>
        <v/>
      </c>
      <c r="C178" s="11" t="str">
        <f aca="false">IF($A178="","",INDEX(Employees!$B$6:$B$205,MATCH($A178,Employees!$BG$6:$BG$205,0)))</f>
        <v/>
      </c>
      <c r="D178" s="11" t="str">
        <f aca="false">IF($A178="","",INDEX(Employees!$C$6:$C$205,MATCH($A178,Employees!$BG$6:$BG$205,0)))</f>
        <v/>
      </c>
      <c r="E178" s="11" t="str">
        <f aca="false">IF($A178="","",INDEX(Employees!$D$6:$D$205,MATCH($A178,Employees!$BG$6:$BG$205,0)))</f>
        <v/>
      </c>
      <c r="F178" s="11" t="str">
        <f aca="false">IF($A178="","",INDEX(Employees!$T$6:$T$205,MATCH($A178,Employees!$BG$6:$BG$205,0)))</f>
        <v/>
      </c>
      <c r="G178" s="26" t="str">
        <f aca="false">IF($A178="","",INDEX(Employees!$U$6:$U$205,MATCH($A178,Employees!$BG$6:$BG$205,0)))</f>
        <v/>
      </c>
      <c r="H178" s="28" t="str">
        <f aca="false">IF($A178="","",INDEX(Employees!$E$6:$E$205,MATCH($A178,Employees!$BG$6:$BG$205,0)))</f>
        <v/>
      </c>
      <c r="I178" s="11" t="str">
        <f aca="false">IF($A178="","",INDEX(Employees!$Z$6:$Z$205,MATCH($A178,Employees!$BG$6:$BG$205,0)))</f>
        <v/>
      </c>
      <c r="J178" s="26" t="str">
        <f aca="false">IF($A178="","",INDEX(Employees!$AB$6:$AB$205,MATCH($A178,Employees!$BG$6:$BG$205,0)))</f>
        <v/>
      </c>
      <c r="K178" s="26" t="str">
        <f aca="false">IF($A178="","",INDEX(Employees!$AC$6:$AC$205,MATCH($A178,Employees!$BG$6:$BG$205,0)))</f>
        <v/>
      </c>
      <c r="L178" s="28" t="str">
        <f aca="false">IF($A178="","",INDEX(Employees!$AD$6:$AD$205,MATCH($A178,Employees!$BG$6:$BG$205,0)))</f>
        <v/>
      </c>
      <c r="M178" s="11" t="str">
        <f aca="false">IF($A178="","",INDEX(Employees!$AF$6:$AF$205,MATCH($A178,Employees!$BG$6:$BG$205,0)))</f>
        <v/>
      </c>
      <c r="N178" s="11" t="str">
        <f aca="false">IF($A178="","",INDEX(Employees!$AM$6:$AM$205,MATCH($A178,Employees!$BG$6:$BG$205,0)))</f>
        <v/>
      </c>
    </row>
    <row r="179" customFormat="false" ht="15" hidden="false" customHeight="false" outlineLevel="0" collapsed="false">
      <c r="A179" s="11" t="str">
        <f aca="false">IF(174&lt;=MAX(Employees!$BG$6:$BG$205),174,"")</f>
        <v/>
      </c>
      <c r="B179" s="11" t="str">
        <f aca="false">IF($A179="","",INDEX(Employees!$A$6:$A$205,MATCH($A179,Employees!$BG$6:$BG$205,0)))</f>
        <v/>
      </c>
      <c r="C179" s="11" t="str">
        <f aca="false">IF($A179="","",INDEX(Employees!$B$6:$B$205,MATCH($A179,Employees!$BG$6:$BG$205,0)))</f>
        <v/>
      </c>
      <c r="D179" s="11" t="str">
        <f aca="false">IF($A179="","",INDEX(Employees!$C$6:$C$205,MATCH($A179,Employees!$BG$6:$BG$205,0)))</f>
        <v/>
      </c>
      <c r="E179" s="11" t="str">
        <f aca="false">IF($A179="","",INDEX(Employees!$D$6:$D$205,MATCH($A179,Employees!$BG$6:$BG$205,0)))</f>
        <v/>
      </c>
      <c r="F179" s="11" t="str">
        <f aca="false">IF($A179="","",INDEX(Employees!$T$6:$T$205,MATCH($A179,Employees!$BG$6:$BG$205,0)))</f>
        <v/>
      </c>
      <c r="G179" s="26" t="str">
        <f aca="false">IF($A179="","",INDEX(Employees!$U$6:$U$205,MATCH($A179,Employees!$BG$6:$BG$205,0)))</f>
        <v/>
      </c>
      <c r="H179" s="28" t="str">
        <f aca="false">IF($A179="","",INDEX(Employees!$E$6:$E$205,MATCH($A179,Employees!$BG$6:$BG$205,0)))</f>
        <v/>
      </c>
      <c r="I179" s="11" t="str">
        <f aca="false">IF($A179="","",INDEX(Employees!$Z$6:$Z$205,MATCH($A179,Employees!$BG$6:$BG$205,0)))</f>
        <v/>
      </c>
      <c r="J179" s="26" t="str">
        <f aca="false">IF($A179="","",INDEX(Employees!$AB$6:$AB$205,MATCH($A179,Employees!$BG$6:$BG$205,0)))</f>
        <v/>
      </c>
      <c r="K179" s="26" t="str">
        <f aca="false">IF($A179="","",INDEX(Employees!$AC$6:$AC$205,MATCH($A179,Employees!$BG$6:$BG$205,0)))</f>
        <v/>
      </c>
      <c r="L179" s="28" t="str">
        <f aca="false">IF($A179="","",INDEX(Employees!$AD$6:$AD$205,MATCH($A179,Employees!$BG$6:$BG$205,0)))</f>
        <v/>
      </c>
      <c r="M179" s="11" t="str">
        <f aca="false">IF($A179="","",INDEX(Employees!$AF$6:$AF$205,MATCH($A179,Employees!$BG$6:$BG$205,0)))</f>
        <v/>
      </c>
      <c r="N179" s="11" t="str">
        <f aca="false">IF($A179="","",INDEX(Employees!$AM$6:$AM$205,MATCH($A179,Employees!$BG$6:$BG$205,0)))</f>
        <v/>
      </c>
    </row>
    <row r="180" customFormat="false" ht="15" hidden="false" customHeight="false" outlineLevel="0" collapsed="false">
      <c r="A180" s="11" t="str">
        <f aca="false">IF(175&lt;=MAX(Employees!$BG$6:$BG$205),175,"")</f>
        <v/>
      </c>
      <c r="B180" s="11" t="str">
        <f aca="false">IF($A180="","",INDEX(Employees!$A$6:$A$205,MATCH($A180,Employees!$BG$6:$BG$205,0)))</f>
        <v/>
      </c>
      <c r="C180" s="11" t="str">
        <f aca="false">IF($A180="","",INDEX(Employees!$B$6:$B$205,MATCH($A180,Employees!$BG$6:$BG$205,0)))</f>
        <v/>
      </c>
      <c r="D180" s="11" t="str">
        <f aca="false">IF($A180="","",INDEX(Employees!$C$6:$C$205,MATCH($A180,Employees!$BG$6:$BG$205,0)))</f>
        <v/>
      </c>
      <c r="E180" s="11" t="str">
        <f aca="false">IF($A180="","",INDEX(Employees!$D$6:$D$205,MATCH($A180,Employees!$BG$6:$BG$205,0)))</f>
        <v/>
      </c>
      <c r="F180" s="11" t="str">
        <f aca="false">IF($A180="","",INDEX(Employees!$T$6:$T$205,MATCH($A180,Employees!$BG$6:$BG$205,0)))</f>
        <v/>
      </c>
      <c r="G180" s="26" t="str">
        <f aca="false">IF($A180="","",INDEX(Employees!$U$6:$U$205,MATCH($A180,Employees!$BG$6:$BG$205,0)))</f>
        <v/>
      </c>
      <c r="H180" s="28" t="str">
        <f aca="false">IF($A180="","",INDEX(Employees!$E$6:$E$205,MATCH($A180,Employees!$BG$6:$BG$205,0)))</f>
        <v/>
      </c>
      <c r="I180" s="11" t="str">
        <f aca="false">IF($A180="","",INDEX(Employees!$Z$6:$Z$205,MATCH($A180,Employees!$BG$6:$BG$205,0)))</f>
        <v/>
      </c>
      <c r="J180" s="26" t="str">
        <f aca="false">IF($A180="","",INDEX(Employees!$AB$6:$AB$205,MATCH($A180,Employees!$BG$6:$BG$205,0)))</f>
        <v/>
      </c>
      <c r="K180" s="26" t="str">
        <f aca="false">IF($A180="","",INDEX(Employees!$AC$6:$AC$205,MATCH($A180,Employees!$BG$6:$BG$205,0)))</f>
        <v/>
      </c>
      <c r="L180" s="28" t="str">
        <f aca="false">IF($A180="","",INDEX(Employees!$AD$6:$AD$205,MATCH($A180,Employees!$BG$6:$BG$205,0)))</f>
        <v/>
      </c>
      <c r="M180" s="11" t="str">
        <f aca="false">IF($A180="","",INDEX(Employees!$AF$6:$AF$205,MATCH($A180,Employees!$BG$6:$BG$205,0)))</f>
        <v/>
      </c>
      <c r="N180" s="11" t="str">
        <f aca="false">IF($A180="","",INDEX(Employees!$AM$6:$AM$205,MATCH($A180,Employees!$BG$6:$BG$205,0)))</f>
        <v/>
      </c>
    </row>
    <row r="181" customFormat="false" ht="15" hidden="false" customHeight="false" outlineLevel="0" collapsed="false">
      <c r="A181" s="11" t="str">
        <f aca="false">IF(176&lt;=MAX(Employees!$BG$6:$BG$205),176,"")</f>
        <v/>
      </c>
      <c r="B181" s="11" t="str">
        <f aca="false">IF($A181="","",INDEX(Employees!$A$6:$A$205,MATCH($A181,Employees!$BG$6:$BG$205,0)))</f>
        <v/>
      </c>
      <c r="C181" s="11" t="str">
        <f aca="false">IF($A181="","",INDEX(Employees!$B$6:$B$205,MATCH($A181,Employees!$BG$6:$BG$205,0)))</f>
        <v/>
      </c>
      <c r="D181" s="11" t="str">
        <f aca="false">IF($A181="","",INDEX(Employees!$C$6:$C$205,MATCH($A181,Employees!$BG$6:$BG$205,0)))</f>
        <v/>
      </c>
      <c r="E181" s="11" t="str">
        <f aca="false">IF($A181="","",INDEX(Employees!$D$6:$D$205,MATCH($A181,Employees!$BG$6:$BG$205,0)))</f>
        <v/>
      </c>
      <c r="F181" s="11" t="str">
        <f aca="false">IF($A181="","",INDEX(Employees!$T$6:$T$205,MATCH($A181,Employees!$BG$6:$BG$205,0)))</f>
        <v/>
      </c>
      <c r="G181" s="26" t="str">
        <f aca="false">IF($A181="","",INDEX(Employees!$U$6:$U$205,MATCH($A181,Employees!$BG$6:$BG$205,0)))</f>
        <v/>
      </c>
      <c r="H181" s="28" t="str">
        <f aca="false">IF($A181="","",INDEX(Employees!$E$6:$E$205,MATCH($A181,Employees!$BG$6:$BG$205,0)))</f>
        <v/>
      </c>
      <c r="I181" s="11" t="str">
        <f aca="false">IF($A181="","",INDEX(Employees!$Z$6:$Z$205,MATCH($A181,Employees!$BG$6:$BG$205,0)))</f>
        <v/>
      </c>
      <c r="J181" s="26" t="str">
        <f aca="false">IF($A181="","",INDEX(Employees!$AB$6:$AB$205,MATCH($A181,Employees!$BG$6:$BG$205,0)))</f>
        <v/>
      </c>
      <c r="K181" s="26" t="str">
        <f aca="false">IF($A181="","",INDEX(Employees!$AC$6:$AC$205,MATCH($A181,Employees!$BG$6:$BG$205,0)))</f>
        <v/>
      </c>
      <c r="L181" s="28" t="str">
        <f aca="false">IF($A181="","",INDEX(Employees!$AD$6:$AD$205,MATCH($A181,Employees!$BG$6:$BG$205,0)))</f>
        <v/>
      </c>
      <c r="M181" s="11" t="str">
        <f aca="false">IF($A181="","",INDEX(Employees!$AF$6:$AF$205,MATCH($A181,Employees!$BG$6:$BG$205,0)))</f>
        <v/>
      </c>
      <c r="N181" s="11" t="str">
        <f aca="false">IF($A181="","",INDEX(Employees!$AM$6:$AM$205,MATCH($A181,Employees!$BG$6:$BG$205,0)))</f>
        <v/>
      </c>
    </row>
    <row r="182" customFormat="false" ht="15" hidden="false" customHeight="false" outlineLevel="0" collapsed="false">
      <c r="A182" s="11" t="str">
        <f aca="false">IF(177&lt;=MAX(Employees!$BG$6:$BG$205),177,"")</f>
        <v/>
      </c>
      <c r="B182" s="11" t="str">
        <f aca="false">IF($A182="","",INDEX(Employees!$A$6:$A$205,MATCH($A182,Employees!$BG$6:$BG$205,0)))</f>
        <v/>
      </c>
      <c r="C182" s="11" t="str">
        <f aca="false">IF($A182="","",INDEX(Employees!$B$6:$B$205,MATCH($A182,Employees!$BG$6:$BG$205,0)))</f>
        <v/>
      </c>
      <c r="D182" s="11" t="str">
        <f aca="false">IF($A182="","",INDEX(Employees!$C$6:$C$205,MATCH($A182,Employees!$BG$6:$BG$205,0)))</f>
        <v/>
      </c>
      <c r="E182" s="11" t="str">
        <f aca="false">IF($A182="","",INDEX(Employees!$D$6:$D$205,MATCH($A182,Employees!$BG$6:$BG$205,0)))</f>
        <v/>
      </c>
      <c r="F182" s="11" t="str">
        <f aca="false">IF($A182="","",INDEX(Employees!$T$6:$T$205,MATCH($A182,Employees!$BG$6:$BG$205,0)))</f>
        <v/>
      </c>
      <c r="G182" s="26" t="str">
        <f aca="false">IF($A182="","",INDEX(Employees!$U$6:$U$205,MATCH($A182,Employees!$BG$6:$BG$205,0)))</f>
        <v/>
      </c>
      <c r="H182" s="28" t="str">
        <f aca="false">IF($A182="","",INDEX(Employees!$E$6:$E$205,MATCH($A182,Employees!$BG$6:$BG$205,0)))</f>
        <v/>
      </c>
      <c r="I182" s="11" t="str">
        <f aca="false">IF($A182="","",INDEX(Employees!$Z$6:$Z$205,MATCH($A182,Employees!$BG$6:$BG$205,0)))</f>
        <v/>
      </c>
      <c r="J182" s="26" t="str">
        <f aca="false">IF($A182="","",INDEX(Employees!$AB$6:$AB$205,MATCH($A182,Employees!$BG$6:$BG$205,0)))</f>
        <v/>
      </c>
      <c r="K182" s="26" t="str">
        <f aca="false">IF($A182="","",INDEX(Employees!$AC$6:$AC$205,MATCH($A182,Employees!$BG$6:$BG$205,0)))</f>
        <v/>
      </c>
      <c r="L182" s="28" t="str">
        <f aca="false">IF($A182="","",INDEX(Employees!$AD$6:$AD$205,MATCH($A182,Employees!$BG$6:$BG$205,0)))</f>
        <v/>
      </c>
      <c r="M182" s="11" t="str">
        <f aca="false">IF($A182="","",INDEX(Employees!$AF$6:$AF$205,MATCH($A182,Employees!$BG$6:$BG$205,0)))</f>
        <v/>
      </c>
      <c r="N182" s="11" t="str">
        <f aca="false">IF($A182="","",INDEX(Employees!$AM$6:$AM$205,MATCH($A182,Employees!$BG$6:$BG$205,0)))</f>
        <v/>
      </c>
    </row>
    <row r="183" customFormat="false" ht="15" hidden="false" customHeight="false" outlineLevel="0" collapsed="false">
      <c r="A183" s="11" t="str">
        <f aca="false">IF(178&lt;=MAX(Employees!$BG$6:$BG$205),178,"")</f>
        <v/>
      </c>
      <c r="B183" s="11" t="str">
        <f aca="false">IF($A183="","",INDEX(Employees!$A$6:$A$205,MATCH($A183,Employees!$BG$6:$BG$205,0)))</f>
        <v/>
      </c>
      <c r="C183" s="11" t="str">
        <f aca="false">IF($A183="","",INDEX(Employees!$B$6:$B$205,MATCH($A183,Employees!$BG$6:$BG$205,0)))</f>
        <v/>
      </c>
      <c r="D183" s="11" t="str">
        <f aca="false">IF($A183="","",INDEX(Employees!$C$6:$C$205,MATCH($A183,Employees!$BG$6:$BG$205,0)))</f>
        <v/>
      </c>
      <c r="E183" s="11" t="str">
        <f aca="false">IF($A183="","",INDEX(Employees!$D$6:$D$205,MATCH($A183,Employees!$BG$6:$BG$205,0)))</f>
        <v/>
      </c>
      <c r="F183" s="11" t="str">
        <f aca="false">IF($A183="","",INDEX(Employees!$T$6:$T$205,MATCH($A183,Employees!$BG$6:$BG$205,0)))</f>
        <v/>
      </c>
      <c r="G183" s="26" t="str">
        <f aca="false">IF($A183="","",INDEX(Employees!$U$6:$U$205,MATCH($A183,Employees!$BG$6:$BG$205,0)))</f>
        <v/>
      </c>
      <c r="H183" s="28" t="str">
        <f aca="false">IF($A183="","",INDEX(Employees!$E$6:$E$205,MATCH($A183,Employees!$BG$6:$BG$205,0)))</f>
        <v/>
      </c>
      <c r="I183" s="11" t="str">
        <f aca="false">IF($A183="","",INDEX(Employees!$Z$6:$Z$205,MATCH($A183,Employees!$BG$6:$BG$205,0)))</f>
        <v/>
      </c>
      <c r="J183" s="26" t="str">
        <f aca="false">IF($A183="","",INDEX(Employees!$AB$6:$AB$205,MATCH($A183,Employees!$BG$6:$BG$205,0)))</f>
        <v/>
      </c>
      <c r="K183" s="26" t="str">
        <f aca="false">IF($A183="","",INDEX(Employees!$AC$6:$AC$205,MATCH($A183,Employees!$BG$6:$BG$205,0)))</f>
        <v/>
      </c>
      <c r="L183" s="28" t="str">
        <f aca="false">IF($A183="","",INDEX(Employees!$AD$6:$AD$205,MATCH($A183,Employees!$BG$6:$BG$205,0)))</f>
        <v/>
      </c>
      <c r="M183" s="11" t="str">
        <f aca="false">IF($A183="","",INDEX(Employees!$AF$6:$AF$205,MATCH($A183,Employees!$BG$6:$BG$205,0)))</f>
        <v/>
      </c>
      <c r="N183" s="11" t="str">
        <f aca="false">IF($A183="","",INDEX(Employees!$AM$6:$AM$205,MATCH($A183,Employees!$BG$6:$BG$205,0)))</f>
        <v/>
      </c>
    </row>
    <row r="184" customFormat="false" ht="15" hidden="false" customHeight="false" outlineLevel="0" collapsed="false">
      <c r="A184" s="11" t="str">
        <f aca="false">IF(179&lt;=MAX(Employees!$BG$6:$BG$205),179,"")</f>
        <v/>
      </c>
      <c r="B184" s="11" t="str">
        <f aca="false">IF($A184="","",INDEX(Employees!$A$6:$A$205,MATCH($A184,Employees!$BG$6:$BG$205,0)))</f>
        <v/>
      </c>
      <c r="C184" s="11" t="str">
        <f aca="false">IF($A184="","",INDEX(Employees!$B$6:$B$205,MATCH($A184,Employees!$BG$6:$BG$205,0)))</f>
        <v/>
      </c>
      <c r="D184" s="11" t="str">
        <f aca="false">IF($A184="","",INDEX(Employees!$C$6:$C$205,MATCH($A184,Employees!$BG$6:$BG$205,0)))</f>
        <v/>
      </c>
      <c r="E184" s="11" t="str">
        <f aca="false">IF($A184="","",INDEX(Employees!$D$6:$D$205,MATCH($A184,Employees!$BG$6:$BG$205,0)))</f>
        <v/>
      </c>
      <c r="F184" s="11" t="str">
        <f aca="false">IF($A184="","",INDEX(Employees!$T$6:$T$205,MATCH($A184,Employees!$BG$6:$BG$205,0)))</f>
        <v/>
      </c>
      <c r="G184" s="26" t="str">
        <f aca="false">IF($A184="","",INDEX(Employees!$U$6:$U$205,MATCH($A184,Employees!$BG$6:$BG$205,0)))</f>
        <v/>
      </c>
      <c r="H184" s="28" t="str">
        <f aca="false">IF($A184="","",INDEX(Employees!$E$6:$E$205,MATCH($A184,Employees!$BG$6:$BG$205,0)))</f>
        <v/>
      </c>
      <c r="I184" s="11" t="str">
        <f aca="false">IF($A184="","",INDEX(Employees!$Z$6:$Z$205,MATCH($A184,Employees!$BG$6:$BG$205,0)))</f>
        <v/>
      </c>
      <c r="J184" s="26" t="str">
        <f aca="false">IF($A184="","",INDEX(Employees!$AB$6:$AB$205,MATCH($A184,Employees!$BG$6:$BG$205,0)))</f>
        <v/>
      </c>
      <c r="K184" s="26" t="str">
        <f aca="false">IF($A184="","",INDEX(Employees!$AC$6:$AC$205,MATCH($A184,Employees!$BG$6:$BG$205,0)))</f>
        <v/>
      </c>
      <c r="L184" s="28" t="str">
        <f aca="false">IF($A184="","",INDEX(Employees!$AD$6:$AD$205,MATCH($A184,Employees!$BG$6:$BG$205,0)))</f>
        <v/>
      </c>
      <c r="M184" s="11" t="str">
        <f aca="false">IF($A184="","",INDEX(Employees!$AF$6:$AF$205,MATCH($A184,Employees!$BG$6:$BG$205,0)))</f>
        <v/>
      </c>
      <c r="N184" s="11" t="str">
        <f aca="false">IF($A184="","",INDEX(Employees!$AM$6:$AM$205,MATCH($A184,Employees!$BG$6:$BG$205,0)))</f>
        <v/>
      </c>
    </row>
    <row r="185" customFormat="false" ht="15" hidden="false" customHeight="false" outlineLevel="0" collapsed="false">
      <c r="A185" s="11" t="str">
        <f aca="false">IF(180&lt;=MAX(Employees!$BG$6:$BG$205),180,"")</f>
        <v/>
      </c>
      <c r="B185" s="11" t="str">
        <f aca="false">IF($A185="","",INDEX(Employees!$A$6:$A$205,MATCH($A185,Employees!$BG$6:$BG$205,0)))</f>
        <v/>
      </c>
      <c r="C185" s="11" t="str">
        <f aca="false">IF($A185="","",INDEX(Employees!$B$6:$B$205,MATCH($A185,Employees!$BG$6:$BG$205,0)))</f>
        <v/>
      </c>
      <c r="D185" s="11" t="str">
        <f aca="false">IF($A185="","",INDEX(Employees!$C$6:$C$205,MATCH($A185,Employees!$BG$6:$BG$205,0)))</f>
        <v/>
      </c>
      <c r="E185" s="11" t="str">
        <f aca="false">IF($A185="","",INDEX(Employees!$D$6:$D$205,MATCH($A185,Employees!$BG$6:$BG$205,0)))</f>
        <v/>
      </c>
      <c r="F185" s="11" t="str">
        <f aca="false">IF($A185="","",INDEX(Employees!$T$6:$T$205,MATCH($A185,Employees!$BG$6:$BG$205,0)))</f>
        <v/>
      </c>
      <c r="G185" s="26" t="str">
        <f aca="false">IF($A185="","",INDEX(Employees!$U$6:$U$205,MATCH($A185,Employees!$BG$6:$BG$205,0)))</f>
        <v/>
      </c>
      <c r="H185" s="28" t="str">
        <f aca="false">IF($A185="","",INDEX(Employees!$E$6:$E$205,MATCH($A185,Employees!$BG$6:$BG$205,0)))</f>
        <v/>
      </c>
      <c r="I185" s="11" t="str">
        <f aca="false">IF($A185="","",INDEX(Employees!$Z$6:$Z$205,MATCH($A185,Employees!$BG$6:$BG$205,0)))</f>
        <v/>
      </c>
      <c r="J185" s="26" t="str">
        <f aca="false">IF($A185="","",INDEX(Employees!$AB$6:$AB$205,MATCH($A185,Employees!$BG$6:$BG$205,0)))</f>
        <v/>
      </c>
      <c r="K185" s="26" t="str">
        <f aca="false">IF($A185="","",INDEX(Employees!$AC$6:$AC$205,MATCH($A185,Employees!$BG$6:$BG$205,0)))</f>
        <v/>
      </c>
      <c r="L185" s="28" t="str">
        <f aca="false">IF($A185="","",INDEX(Employees!$AD$6:$AD$205,MATCH($A185,Employees!$BG$6:$BG$205,0)))</f>
        <v/>
      </c>
      <c r="M185" s="11" t="str">
        <f aca="false">IF($A185="","",INDEX(Employees!$AF$6:$AF$205,MATCH($A185,Employees!$BG$6:$BG$205,0)))</f>
        <v/>
      </c>
      <c r="N185" s="11" t="str">
        <f aca="false">IF($A185="","",INDEX(Employees!$AM$6:$AM$205,MATCH($A185,Employees!$BG$6:$BG$205,0)))</f>
        <v/>
      </c>
    </row>
    <row r="186" customFormat="false" ht="15" hidden="false" customHeight="false" outlineLevel="0" collapsed="false">
      <c r="A186" s="11" t="str">
        <f aca="false">IF(181&lt;=MAX(Employees!$BG$6:$BG$205),181,"")</f>
        <v/>
      </c>
      <c r="B186" s="11" t="str">
        <f aca="false">IF($A186="","",INDEX(Employees!$A$6:$A$205,MATCH($A186,Employees!$BG$6:$BG$205,0)))</f>
        <v/>
      </c>
      <c r="C186" s="11" t="str">
        <f aca="false">IF($A186="","",INDEX(Employees!$B$6:$B$205,MATCH($A186,Employees!$BG$6:$BG$205,0)))</f>
        <v/>
      </c>
      <c r="D186" s="11" t="str">
        <f aca="false">IF($A186="","",INDEX(Employees!$C$6:$C$205,MATCH($A186,Employees!$BG$6:$BG$205,0)))</f>
        <v/>
      </c>
      <c r="E186" s="11" t="str">
        <f aca="false">IF($A186="","",INDEX(Employees!$D$6:$D$205,MATCH($A186,Employees!$BG$6:$BG$205,0)))</f>
        <v/>
      </c>
      <c r="F186" s="11" t="str">
        <f aca="false">IF($A186="","",INDEX(Employees!$T$6:$T$205,MATCH($A186,Employees!$BG$6:$BG$205,0)))</f>
        <v/>
      </c>
      <c r="G186" s="26" t="str">
        <f aca="false">IF($A186="","",INDEX(Employees!$U$6:$U$205,MATCH($A186,Employees!$BG$6:$BG$205,0)))</f>
        <v/>
      </c>
      <c r="H186" s="28" t="str">
        <f aca="false">IF($A186="","",INDEX(Employees!$E$6:$E$205,MATCH($A186,Employees!$BG$6:$BG$205,0)))</f>
        <v/>
      </c>
      <c r="I186" s="11" t="str">
        <f aca="false">IF($A186="","",INDEX(Employees!$Z$6:$Z$205,MATCH($A186,Employees!$BG$6:$BG$205,0)))</f>
        <v/>
      </c>
      <c r="J186" s="26" t="str">
        <f aca="false">IF($A186="","",INDEX(Employees!$AB$6:$AB$205,MATCH($A186,Employees!$BG$6:$BG$205,0)))</f>
        <v/>
      </c>
      <c r="K186" s="26" t="str">
        <f aca="false">IF($A186="","",INDEX(Employees!$AC$6:$AC$205,MATCH($A186,Employees!$BG$6:$BG$205,0)))</f>
        <v/>
      </c>
      <c r="L186" s="28" t="str">
        <f aca="false">IF($A186="","",INDEX(Employees!$AD$6:$AD$205,MATCH($A186,Employees!$BG$6:$BG$205,0)))</f>
        <v/>
      </c>
      <c r="M186" s="11" t="str">
        <f aca="false">IF($A186="","",INDEX(Employees!$AF$6:$AF$205,MATCH($A186,Employees!$BG$6:$BG$205,0)))</f>
        <v/>
      </c>
      <c r="N186" s="11" t="str">
        <f aca="false">IF($A186="","",INDEX(Employees!$AM$6:$AM$205,MATCH($A186,Employees!$BG$6:$BG$205,0)))</f>
        <v/>
      </c>
    </row>
    <row r="187" customFormat="false" ht="15" hidden="false" customHeight="false" outlineLevel="0" collapsed="false">
      <c r="A187" s="11" t="str">
        <f aca="false">IF(182&lt;=MAX(Employees!$BG$6:$BG$205),182,"")</f>
        <v/>
      </c>
      <c r="B187" s="11" t="str">
        <f aca="false">IF($A187="","",INDEX(Employees!$A$6:$A$205,MATCH($A187,Employees!$BG$6:$BG$205,0)))</f>
        <v/>
      </c>
      <c r="C187" s="11" t="str">
        <f aca="false">IF($A187="","",INDEX(Employees!$B$6:$B$205,MATCH($A187,Employees!$BG$6:$BG$205,0)))</f>
        <v/>
      </c>
      <c r="D187" s="11" t="str">
        <f aca="false">IF($A187="","",INDEX(Employees!$C$6:$C$205,MATCH($A187,Employees!$BG$6:$BG$205,0)))</f>
        <v/>
      </c>
      <c r="E187" s="11" t="str">
        <f aca="false">IF($A187="","",INDEX(Employees!$D$6:$D$205,MATCH($A187,Employees!$BG$6:$BG$205,0)))</f>
        <v/>
      </c>
      <c r="F187" s="11" t="str">
        <f aca="false">IF($A187="","",INDEX(Employees!$T$6:$T$205,MATCH($A187,Employees!$BG$6:$BG$205,0)))</f>
        <v/>
      </c>
      <c r="G187" s="26" t="str">
        <f aca="false">IF($A187="","",INDEX(Employees!$U$6:$U$205,MATCH($A187,Employees!$BG$6:$BG$205,0)))</f>
        <v/>
      </c>
      <c r="H187" s="28" t="str">
        <f aca="false">IF($A187="","",INDEX(Employees!$E$6:$E$205,MATCH($A187,Employees!$BG$6:$BG$205,0)))</f>
        <v/>
      </c>
      <c r="I187" s="11" t="str">
        <f aca="false">IF($A187="","",INDEX(Employees!$Z$6:$Z$205,MATCH($A187,Employees!$BG$6:$BG$205,0)))</f>
        <v/>
      </c>
      <c r="J187" s="26" t="str">
        <f aca="false">IF($A187="","",INDEX(Employees!$AB$6:$AB$205,MATCH($A187,Employees!$BG$6:$BG$205,0)))</f>
        <v/>
      </c>
      <c r="K187" s="26" t="str">
        <f aca="false">IF($A187="","",INDEX(Employees!$AC$6:$AC$205,MATCH($A187,Employees!$BG$6:$BG$205,0)))</f>
        <v/>
      </c>
      <c r="L187" s="28" t="str">
        <f aca="false">IF($A187="","",INDEX(Employees!$AD$6:$AD$205,MATCH($A187,Employees!$BG$6:$BG$205,0)))</f>
        <v/>
      </c>
      <c r="M187" s="11" t="str">
        <f aca="false">IF($A187="","",INDEX(Employees!$AF$6:$AF$205,MATCH($A187,Employees!$BG$6:$BG$205,0)))</f>
        <v/>
      </c>
      <c r="N187" s="11" t="str">
        <f aca="false">IF($A187="","",INDEX(Employees!$AM$6:$AM$205,MATCH($A187,Employees!$BG$6:$BG$205,0)))</f>
        <v/>
      </c>
    </row>
    <row r="188" customFormat="false" ht="15" hidden="false" customHeight="false" outlineLevel="0" collapsed="false">
      <c r="A188" s="11" t="str">
        <f aca="false">IF(183&lt;=MAX(Employees!$BG$6:$BG$205),183,"")</f>
        <v/>
      </c>
      <c r="B188" s="11" t="str">
        <f aca="false">IF($A188="","",INDEX(Employees!$A$6:$A$205,MATCH($A188,Employees!$BG$6:$BG$205,0)))</f>
        <v/>
      </c>
      <c r="C188" s="11" t="str">
        <f aca="false">IF($A188="","",INDEX(Employees!$B$6:$B$205,MATCH($A188,Employees!$BG$6:$BG$205,0)))</f>
        <v/>
      </c>
      <c r="D188" s="11" t="str">
        <f aca="false">IF($A188="","",INDEX(Employees!$C$6:$C$205,MATCH($A188,Employees!$BG$6:$BG$205,0)))</f>
        <v/>
      </c>
      <c r="E188" s="11" t="str">
        <f aca="false">IF($A188="","",INDEX(Employees!$D$6:$D$205,MATCH($A188,Employees!$BG$6:$BG$205,0)))</f>
        <v/>
      </c>
      <c r="F188" s="11" t="str">
        <f aca="false">IF($A188="","",INDEX(Employees!$T$6:$T$205,MATCH($A188,Employees!$BG$6:$BG$205,0)))</f>
        <v/>
      </c>
      <c r="G188" s="26" t="str">
        <f aca="false">IF($A188="","",INDEX(Employees!$U$6:$U$205,MATCH($A188,Employees!$BG$6:$BG$205,0)))</f>
        <v/>
      </c>
      <c r="H188" s="28" t="str">
        <f aca="false">IF($A188="","",INDEX(Employees!$E$6:$E$205,MATCH($A188,Employees!$BG$6:$BG$205,0)))</f>
        <v/>
      </c>
      <c r="I188" s="11" t="str">
        <f aca="false">IF($A188="","",INDEX(Employees!$Z$6:$Z$205,MATCH($A188,Employees!$BG$6:$BG$205,0)))</f>
        <v/>
      </c>
      <c r="J188" s="26" t="str">
        <f aca="false">IF($A188="","",INDEX(Employees!$AB$6:$AB$205,MATCH($A188,Employees!$BG$6:$BG$205,0)))</f>
        <v/>
      </c>
      <c r="K188" s="26" t="str">
        <f aca="false">IF($A188="","",INDEX(Employees!$AC$6:$AC$205,MATCH($A188,Employees!$BG$6:$BG$205,0)))</f>
        <v/>
      </c>
      <c r="L188" s="28" t="str">
        <f aca="false">IF($A188="","",INDEX(Employees!$AD$6:$AD$205,MATCH($A188,Employees!$BG$6:$BG$205,0)))</f>
        <v/>
      </c>
      <c r="M188" s="11" t="str">
        <f aca="false">IF($A188="","",INDEX(Employees!$AF$6:$AF$205,MATCH($A188,Employees!$BG$6:$BG$205,0)))</f>
        <v/>
      </c>
      <c r="N188" s="11" t="str">
        <f aca="false">IF($A188="","",INDEX(Employees!$AM$6:$AM$205,MATCH($A188,Employees!$BG$6:$BG$205,0)))</f>
        <v/>
      </c>
    </row>
    <row r="189" customFormat="false" ht="15" hidden="false" customHeight="false" outlineLevel="0" collapsed="false">
      <c r="A189" s="11" t="str">
        <f aca="false">IF(184&lt;=MAX(Employees!$BG$6:$BG$205),184,"")</f>
        <v/>
      </c>
      <c r="B189" s="11" t="str">
        <f aca="false">IF($A189="","",INDEX(Employees!$A$6:$A$205,MATCH($A189,Employees!$BG$6:$BG$205,0)))</f>
        <v/>
      </c>
      <c r="C189" s="11" t="str">
        <f aca="false">IF($A189="","",INDEX(Employees!$B$6:$B$205,MATCH($A189,Employees!$BG$6:$BG$205,0)))</f>
        <v/>
      </c>
      <c r="D189" s="11" t="str">
        <f aca="false">IF($A189="","",INDEX(Employees!$C$6:$C$205,MATCH($A189,Employees!$BG$6:$BG$205,0)))</f>
        <v/>
      </c>
      <c r="E189" s="11" t="str">
        <f aca="false">IF($A189="","",INDEX(Employees!$D$6:$D$205,MATCH($A189,Employees!$BG$6:$BG$205,0)))</f>
        <v/>
      </c>
      <c r="F189" s="11" t="str">
        <f aca="false">IF($A189="","",INDEX(Employees!$T$6:$T$205,MATCH($A189,Employees!$BG$6:$BG$205,0)))</f>
        <v/>
      </c>
      <c r="G189" s="26" t="str">
        <f aca="false">IF($A189="","",INDEX(Employees!$U$6:$U$205,MATCH($A189,Employees!$BG$6:$BG$205,0)))</f>
        <v/>
      </c>
      <c r="H189" s="28" t="str">
        <f aca="false">IF($A189="","",INDEX(Employees!$E$6:$E$205,MATCH($A189,Employees!$BG$6:$BG$205,0)))</f>
        <v/>
      </c>
      <c r="I189" s="11" t="str">
        <f aca="false">IF($A189="","",INDEX(Employees!$Z$6:$Z$205,MATCH($A189,Employees!$BG$6:$BG$205,0)))</f>
        <v/>
      </c>
      <c r="J189" s="26" t="str">
        <f aca="false">IF($A189="","",INDEX(Employees!$AB$6:$AB$205,MATCH($A189,Employees!$BG$6:$BG$205,0)))</f>
        <v/>
      </c>
      <c r="K189" s="26" t="str">
        <f aca="false">IF($A189="","",INDEX(Employees!$AC$6:$AC$205,MATCH($A189,Employees!$BG$6:$BG$205,0)))</f>
        <v/>
      </c>
      <c r="L189" s="28" t="str">
        <f aca="false">IF($A189="","",INDEX(Employees!$AD$6:$AD$205,MATCH($A189,Employees!$BG$6:$BG$205,0)))</f>
        <v/>
      </c>
      <c r="M189" s="11" t="str">
        <f aca="false">IF($A189="","",INDEX(Employees!$AF$6:$AF$205,MATCH($A189,Employees!$BG$6:$BG$205,0)))</f>
        <v/>
      </c>
      <c r="N189" s="11" t="str">
        <f aca="false">IF($A189="","",INDEX(Employees!$AM$6:$AM$205,MATCH($A189,Employees!$BG$6:$BG$205,0)))</f>
        <v/>
      </c>
    </row>
    <row r="190" customFormat="false" ht="15" hidden="false" customHeight="false" outlineLevel="0" collapsed="false">
      <c r="A190" s="11" t="str">
        <f aca="false">IF(185&lt;=MAX(Employees!$BG$6:$BG$205),185,"")</f>
        <v/>
      </c>
      <c r="B190" s="11" t="str">
        <f aca="false">IF($A190="","",INDEX(Employees!$A$6:$A$205,MATCH($A190,Employees!$BG$6:$BG$205,0)))</f>
        <v/>
      </c>
      <c r="C190" s="11" t="str">
        <f aca="false">IF($A190="","",INDEX(Employees!$B$6:$B$205,MATCH($A190,Employees!$BG$6:$BG$205,0)))</f>
        <v/>
      </c>
      <c r="D190" s="11" t="str">
        <f aca="false">IF($A190="","",INDEX(Employees!$C$6:$C$205,MATCH($A190,Employees!$BG$6:$BG$205,0)))</f>
        <v/>
      </c>
      <c r="E190" s="11" t="str">
        <f aca="false">IF($A190="","",INDEX(Employees!$D$6:$D$205,MATCH($A190,Employees!$BG$6:$BG$205,0)))</f>
        <v/>
      </c>
      <c r="F190" s="11" t="str">
        <f aca="false">IF($A190="","",INDEX(Employees!$T$6:$T$205,MATCH($A190,Employees!$BG$6:$BG$205,0)))</f>
        <v/>
      </c>
      <c r="G190" s="26" t="str">
        <f aca="false">IF($A190="","",INDEX(Employees!$U$6:$U$205,MATCH($A190,Employees!$BG$6:$BG$205,0)))</f>
        <v/>
      </c>
      <c r="H190" s="28" t="str">
        <f aca="false">IF($A190="","",INDEX(Employees!$E$6:$E$205,MATCH($A190,Employees!$BG$6:$BG$205,0)))</f>
        <v/>
      </c>
      <c r="I190" s="11" t="str">
        <f aca="false">IF($A190="","",INDEX(Employees!$Z$6:$Z$205,MATCH($A190,Employees!$BG$6:$BG$205,0)))</f>
        <v/>
      </c>
      <c r="J190" s="26" t="str">
        <f aca="false">IF($A190="","",INDEX(Employees!$AB$6:$AB$205,MATCH($A190,Employees!$BG$6:$BG$205,0)))</f>
        <v/>
      </c>
      <c r="K190" s="26" t="str">
        <f aca="false">IF($A190="","",INDEX(Employees!$AC$6:$AC$205,MATCH($A190,Employees!$BG$6:$BG$205,0)))</f>
        <v/>
      </c>
      <c r="L190" s="28" t="str">
        <f aca="false">IF($A190="","",INDEX(Employees!$AD$6:$AD$205,MATCH($A190,Employees!$BG$6:$BG$205,0)))</f>
        <v/>
      </c>
      <c r="M190" s="11" t="str">
        <f aca="false">IF($A190="","",INDEX(Employees!$AF$6:$AF$205,MATCH($A190,Employees!$BG$6:$BG$205,0)))</f>
        <v/>
      </c>
      <c r="N190" s="11" t="str">
        <f aca="false">IF($A190="","",INDEX(Employees!$AM$6:$AM$205,MATCH($A190,Employees!$BG$6:$BG$205,0)))</f>
        <v/>
      </c>
    </row>
    <row r="191" customFormat="false" ht="15" hidden="false" customHeight="false" outlineLevel="0" collapsed="false">
      <c r="A191" s="11" t="str">
        <f aca="false">IF(186&lt;=MAX(Employees!$BG$6:$BG$205),186,"")</f>
        <v/>
      </c>
      <c r="B191" s="11" t="str">
        <f aca="false">IF($A191="","",INDEX(Employees!$A$6:$A$205,MATCH($A191,Employees!$BG$6:$BG$205,0)))</f>
        <v/>
      </c>
      <c r="C191" s="11" t="str">
        <f aca="false">IF($A191="","",INDEX(Employees!$B$6:$B$205,MATCH($A191,Employees!$BG$6:$BG$205,0)))</f>
        <v/>
      </c>
      <c r="D191" s="11" t="str">
        <f aca="false">IF($A191="","",INDEX(Employees!$C$6:$C$205,MATCH($A191,Employees!$BG$6:$BG$205,0)))</f>
        <v/>
      </c>
      <c r="E191" s="11" t="str">
        <f aca="false">IF($A191="","",INDEX(Employees!$D$6:$D$205,MATCH($A191,Employees!$BG$6:$BG$205,0)))</f>
        <v/>
      </c>
      <c r="F191" s="11" t="str">
        <f aca="false">IF($A191="","",INDEX(Employees!$T$6:$T$205,MATCH($A191,Employees!$BG$6:$BG$205,0)))</f>
        <v/>
      </c>
      <c r="G191" s="26" t="str">
        <f aca="false">IF($A191="","",INDEX(Employees!$U$6:$U$205,MATCH($A191,Employees!$BG$6:$BG$205,0)))</f>
        <v/>
      </c>
      <c r="H191" s="28" t="str">
        <f aca="false">IF($A191="","",INDEX(Employees!$E$6:$E$205,MATCH($A191,Employees!$BG$6:$BG$205,0)))</f>
        <v/>
      </c>
      <c r="I191" s="11" t="str">
        <f aca="false">IF($A191="","",INDEX(Employees!$Z$6:$Z$205,MATCH($A191,Employees!$BG$6:$BG$205,0)))</f>
        <v/>
      </c>
      <c r="J191" s="26" t="str">
        <f aca="false">IF($A191="","",INDEX(Employees!$AB$6:$AB$205,MATCH($A191,Employees!$BG$6:$BG$205,0)))</f>
        <v/>
      </c>
      <c r="K191" s="26" t="str">
        <f aca="false">IF($A191="","",INDEX(Employees!$AC$6:$AC$205,MATCH($A191,Employees!$BG$6:$BG$205,0)))</f>
        <v/>
      </c>
      <c r="L191" s="28" t="str">
        <f aca="false">IF($A191="","",INDEX(Employees!$AD$6:$AD$205,MATCH($A191,Employees!$BG$6:$BG$205,0)))</f>
        <v/>
      </c>
      <c r="M191" s="11" t="str">
        <f aca="false">IF($A191="","",INDEX(Employees!$AF$6:$AF$205,MATCH($A191,Employees!$BG$6:$BG$205,0)))</f>
        <v/>
      </c>
      <c r="N191" s="11" t="str">
        <f aca="false">IF($A191="","",INDEX(Employees!$AM$6:$AM$205,MATCH($A191,Employees!$BG$6:$BG$205,0)))</f>
        <v/>
      </c>
    </row>
    <row r="192" customFormat="false" ht="15" hidden="false" customHeight="false" outlineLevel="0" collapsed="false">
      <c r="A192" s="11" t="str">
        <f aca="false">IF(187&lt;=MAX(Employees!$BG$6:$BG$205),187,"")</f>
        <v/>
      </c>
      <c r="B192" s="11" t="str">
        <f aca="false">IF($A192="","",INDEX(Employees!$A$6:$A$205,MATCH($A192,Employees!$BG$6:$BG$205,0)))</f>
        <v/>
      </c>
      <c r="C192" s="11" t="str">
        <f aca="false">IF($A192="","",INDEX(Employees!$B$6:$B$205,MATCH($A192,Employees!$BG$6:$BG$205,0)))</f>
        <v/>
      </c>
      <c r="D192" s="11" t="str">
        <f aca="false">IF($A192="","",INDEX(Employees!$C$6:$C$205,MATCH($A192,Employees!$BG$6:$BG$205,0)))</f>
        <v/>
      </c>
      <c r="E192" s="11" t="str">
        <f aca="false">IF($A192="","",INDEX(Employees!$D$6:$D$205,MATCH($A192,Employees!$BG$6:$BG$205,0)))</f>
        <v/>
      </c>
      <c r="F192" s="11" t="str">
        <f aca="false">IF($A192="","",INDEX(Employees!$T$6:$T$205,MATCH($A192,Employees!$BG$6:$BG$205,0)))</f>
        <v/>
      </c>
      <c r="G192" s="26" t="str">
        <f aca="false">IF($A192="","",INDEX(Employees!$U$6:$U$205,MATCH($A192,Employees!$BG$6:$BG$205,0)))</f>
        <v/>
      </c>
      <c r="H192" s="28" t="str">
        <f aca="false">IF($A192="","",INDEX(Employees!$E$6:$E$205,MATCH($A192,Employees!$BG$6:$BG$205,0)))</f>
        <v/>
      </c>
      <c r="I192" s="11" t="str">
        <f aca="false">IF($A192="","",INDEX(Employees!$Z$6:$Z$205,MATCH($A192,Employees!$BG$6:$BG$205,0)))</f>
        <v/>
      </c>
      <c r="J192" s="26" t="str">
        <f aca="false">IF($A192="","",INDEX(Employees!$AB$6:$AB$205,MATCH($A192,Employees!$BG$6:$BG$205,0)))</f>
        <v/>
      </c>
      <c r="K192" s="26" t="str">
        <f aca="false">IF($A192="","",INDEX(Employees!$AC$6:$AC$205,MATCH($A192,Employees!$BG$6:$BG$205,0)))</f>
        <v/>
      </c>
      <c r="L192" s="28" t="str">
        <f aca="false">IF($A192="","",INDEX(Employees!$AD$6:$AD$205,MATCH($A192,Employees!$BG$6:$BG$205,0)))</f>
        <v/>
      </c>
      <c r="M192" s="11" t="str">
        <f aca="false">IF($A192="","",INDEX(Employees!$AF$6:$AF$205,MATCH($A192,Employees!$BG$6:$BG$205,0)))</f>
        <v/>
      </c>
      <c r="N192" s="11" t="str">
        <f aca="false">IF($A192="","",INDEX(Employees!$AM$6:$AM$205,MATCH($A192,Employees!$BG$6:$BG$205,0)))</f>
        <v/>
      </c>
    </row>
    <row r="193" customFormat="false" ht="15" hidden="false" customHeight="false" outlineLevel="0" collapsed="false">
      <c r="A193" s="11" t="str">
        <f aca="false">IF(188&lt;=MAX(Employees!$BG$6:$BG$205),188,"")</f>
        <v/>
      </c>
      <c r="B193" s="11" t="str">
        <f aca="false">IF($A193="","",INDEX(Employees!$A$6:$A$205,MATCH($A193,Employees!$BG$6:$BG$205,0)))</f>
        <v/>
      </c>
      <c r="C193" s="11" t="str">
        <f aca="false">IF($A193="","",INDEX(Employees!$B$6:$B$205,MATCH($A193,Employees!$BG$6:$BG$205,0)))</f>
        <v/>
      </c>
      <c r="D193" s="11" t="str">
        <f aca="false">IF($A193="","",INDEX(Employees!$C$6:$C$205,MATCH($A193,Employees!$BG$6:$BG$205,0)))</f>
        <v/>
      </c>
      <c r="E193" s="11" t="str">
        <f aca="false">IF($A193="","",INDEX(Employees!$D$6:$D$205,MATCH($A193,Employees!$BG$6:$BG$205,0)))</f>
        <v/>
      </c>
      <c r="F193" s="11" t="str">
        <f aca="false">IF($A193="","",INDEX(Employees!$T$6:$T$205,MATCH($A193,Employees!$BG$6:$BG$205,0)))</f>
        <v/>
      </c>
      <c r="G193" s="26" t="str">
        <f aca="false">IF($A193="","",INDEX(Employees!$U$6:$U$205,MATCH($A193,Employees!$BG$6:$BG$205,0)))</f>
        <v/>
      </c>
      <c r="H193" s="28" t="str">
        <f aca="false">IF($A193="","",INDEX(Employees!$E$6:$E$205,MATCH($A193,Employees!$BG$6:$BG$205,0)))</f>
        <v/>
      </c>
      <c r="I193" s="11" t="str">
        <f aca="false">IF($A193="","",INDEX(Employees!$Z$6:$Z$205,MATCH($A193,Employees!$BG$6:$BG$205,0)))</f>
        <v/>
      </c>
      <c r="J193" s="26" t="str">
        <f aca="false">IF($A193="","",INDEX(Employees!$AB$6:$AB$205,MATCH($A193,Employees!$BG$6:$BG$205,0)))</f>
        <v/>
      </c>
      <c r="K193" s="26" t="str">
        <f aca="false">IF($A193="","",INDEX(Employees!$AC$6:$AC$205,MATCH($A193,Employees!$BG$6:$BG$205,0)))</f>
        <v/>
      </c>
      <c r="L193" s="28" t="str">
        <f aca="false">IF($A193="","",INDEX(Employees!$AD$6:$AD$205,MATCH($A193,Employees!$BG$6:$BG$205,0)))</f>
        <v/>
      </c>
      <c r="M193" s="11" t="str">
        <f aca="false">IF($A193="","",INDEX(Employees!$AF$6:$AF$205,MATCH($A193,Employees!$BG$6:$BG$205,0)))</f>
        <v/>
      </c>
      <c r="N193" s="11" t="str">
        <f aca="false">IF($A193="","",INDEX(Employees!$AM$6:$AM$205,MATCH($A193,Employees!$BG$6:$BG$205,0)))</f>
        <v/>
      </c>
    </row>
    <row r="194" customFormat="false" ht="15" hidden="false" customHeight="false" outlineLevel="0" collapsed="false">
      <c r="A194" s="11" t="str">
        <f aca="false">IF(189&lt;=MAX(Employees!$BG$6:$BG$205),189,"")</f>
        <v/>
      </c>
      <c r="B194" s="11" t="str">
        <f aca="false">IF($A194="","",INDEX(Employees!$A$6:$A$205,MATCH($A194,Employees!$BG$6:$BG$205,0)))</f>
        <v/>
      </c>
      <c r="C194" s="11" t="str">
        <f aca="false">IF($A194="","",INDEX(Employees!$B$6:$B$205,MATCH($A194,Employees!$BG$6:$BG$205,0)))</f>
        <v/>
      </c>
      <c r="D194" s="11" t="str">
        <f aca="false">IF($A194="","",INDEX(Employees!$C$6:$C$205,MATCH($A194,Employees!$BG$6:$BG$205,0)))</f>
        <v/>
      </c>
      <c r="E194" s="11" t="str">
        <f aca="false">IF($A194="","",INDEX(Employees!$D$6:$D$205,MATCH($A194,Employees!$BG$6:$BG$205,0)))</f>
        <v/>
      </c>
      <c r="F194" s="11" t="str">
        <f aca="false">IF($A194="","",INDEX(Employees!$T$6:$T$205,MATCH($A194,Employees!$BG$6:$BG$205,0)))</f>
        <v/>
      </c>
      <c r="G194" s="26" t="str">
        <f aca="false">IF($A194="","",INDEX(Employees!$U$6:$U$205,MATCH($A194,Employees!$BG$6:$BG$205,0)))</f>
        <v/>
      </c>
      <c r="H194" s="28" t="str">
        <f aca="false">IF($A194="","",INDEX(Employees!$E$6:$E$205,MATCH($A194,Employees!$BG$6:$BG$205,0)))</f>
        <v/>
      </c>
      <c r="I194" s="11" t="str">
        <f aca="false">IF($A194="","",INDEX(Employees!$Z$6:$Z$205,MATCH($A194,Employees!$BG$6:$BG$205,0)))</f>
        <v/>
      </c>
      <c r="J194" s="26" t="str">
        <f aca="false">IF($A194="","",INDEX(Employees!$AB$6:$AB$205,MATCH($A194,Employees!$BG$6:$BG$205,0)))</f>
        <v/>
      </c>
      <c r="K194" s="26" t="str">
        <f aca="false">IF($A194="","",INDEX(Employees!$AC$6:$AC$205,MATCH($A194,Employees!$BG$6:$BG$205,0)))</f>
        <v/>
      </c>
      <c r="L194" s="28" t="str">
        <f aca="false">IF($A194="","",INDEX(Employees!$AD$6:$AD$205,MATCH($A194,Employees!$BG$6:$BG$205,0)))</f>
        <v/>
      </c>
      <c r="M194" s="11" t="str">
        <f aca="false">IF($A194="","",INDEX(Employees!$AF$6:$AF$205,MATCH($A194,Employees!$BG$6:$BG$205,0)))</f>
        <v/>
      </c>
      <c r="N194" s="11" t="str">
        <f aca="false">IF($A194="","",INDEX(Employees!$AM$6:$AM$205,MATCH($A194,Employees!$BG$6:$BG$205,0)))</f>
        <v/>
      </c>
    </row>
    <row r="195" customFormat="false" ht="15" hidden="false" customHeight="false" outlineLevel="0" collapsed="false">
      <c r="A195" s="11" t="str">
        <f aca="false">IF(190&lt;=MAX(Employees!$BG$6:$BG$205),190,"")</f>
        <v/>
      </c>
      <c r="B195" s="11" t="str">
        <f aca="false">IF($A195="","",INDEX(Employees!$A$6:$A$205,MATCH($A195,Employees!$BG$6:$BG$205,0)))</f>
        <v/>
      </c>
      <c r="C195" s="11" t="str">
        <f aca="false">IF($A195="","",INDEX(Employees!$B$6:$B$205,MATCH($A195,Employees!$BG$6:$BG$205,0)))</f>
        <v/>
      </c>
      <c r="D195" s="11" t="str">
        <f aca="false">IF($A195="","",INDEX(Employees!$C$6:$C$205,MATCH($A195,Employees!$BG$6:$BG$205,0)))</f>
        <v/>
      </c>
      <c r="E195" s="11" t="str">
        <f aca="false">IF($A195="","",INDEX(Employees!$D$6:$D$205,MATCH($A195,Employees!$BG$6:$BG$205,0)))</f>
        <v/>
      </c>
      <c r="F195" s="11" t="str">
        <f aca="false">IF($A195="","",INDEX(Employees!$T$6:$T$205,MATCH($A195,Employees!$BG$6:$BG$205,0)))</f>
        <v/>
      </c>
      <c r="G195" s="26" t="str">
        <f aca="false">IF($A195="","",INDEX(Employees!$U$6:$U$205,MATCH($A195,Employees!$BG$6:$BG$205,0)))</f>
        <v/>
      </c>
      <c r="H195" s="28" t="str">
        <f aca="false">IF($A195="","",INDEX(Employees!$E$6:$E$205,MATCH($A195,Employees!$BG$6:$BG$205,0)))</f>
        <v/>
      </c>
      <c r="I195" s="11" t="str">
        <f aca="false">IF($A195="","",INDEX(Employees!$Z$6:$Z$205,MATCH($A195,Employees!$BG$6:$BG$205,0)))</f>
        <v/>
      </c>
      <c r="J195" s="26" t="str">
        <f aca="false">IF($A195="","",INDEX(Employees!$AB$6:$AB$205,MATCH($A195,Employees!$BG$6:$BG$205,0)))</f>
        <v/>
      </c>
      <c r="K195" s="26" t="str">
        <f aca="false">IF($A195="","",INDEX(Employees!$AC$6:$AC$205,MATCH($A195,Employees!$BG$6:$BG$205,0)))</f>
        <v/>
      </c>
      <c r="L195" s="28" t="str">
        <f aca="false">IF($A195="","",INDEX(Employees!$AD$6:$AD$205,MATCH($A195,Employees!$BG$6:$BG$205,0)))</f>
        <v/>
      </c>
      <c r="M195" s="11" t="str">
        <f aca="false">IF($A195="","",INDEX(Employees!$AF$6:$AF$205,MATCH($A195,Employees!$BG$6:$BG$205,0)))</f>
        <v/>
      </c>
      <c r="N195" s="11" t="str">
        <f aca="false">IF($A195="","",INDEX(Employees!$AM$6:$AM$205,MATCH($A195,Employees!$BG$6:$BG$205,0)))</f>
        <v/>
      </c>
    </row>
    <row r="196" customFormat="false" ht="15" hidden="false" customHeight="false" outlineLevel="0" collapsed="false">
      <c r="A196" s="11" t="str">
        <f aca="false">IF(191&lt;=MAX(Employees!$BG$6:$BG$205),191,"")</f>
        <v/>
      </c>
      <c r="B196" s="11" t="str">
        <f aca="false">IF($A196="","",INDEX(Employees!$A$6:$A$205,MATCH($A196,Employees!$BG$6:$BG$205,0)))</f>
        <v/>
      </c>
      <c r="C196" s="11" t="str">
        <f aca="false">IF($A196="","",INDEX(Employees!$B$6:$B$205,MATCH($A196,Employees!$BG$6:$BG$205,0)))</f>
        <v/>
      </c>
      <c r="D196" s="11" t="str">
        <f aca="false">IF($A196="","",INDEX(Employees!$C$6:$C$205,MATCH($A196,Employees!$BG$6:$BG$205,0)))</f>
        <v/>
      </c>
      <c r="E196" s="11" t="str">
        <f aca="false">IF($A196="","",INDEX(Employees!$D$6:$D$205,MATCH($A196,Employees!$BG$6:$BG$205,0)))</f>
        <v/>
      </c>
      <c r="F196" s="11" t="str">
        <f aca="false">IF($A196="","",INDEX(Employees!$T$6:$T$205,MATCH($A196,Employees!$BG$6:$BG$205,0)))</f>
        <v/>
      </c>
      <c r="G196" s="26" t="str">
        <f aca="false">IF($A196="","",INDEX(Employees!$U$6:$U$205,MATCH($A196,Employees!$BG$6:$BG$205,0)))</f>
        <v/>
      </c>
      <c r="H196" s="28" t="str">
        <f aca="false">IF($A196="","",INDEX(Employees!$E$6:$E$205,MATCH($A196,Employees!$BG$6:$BG$205,0)))</f>
        <v/>
      </c>
      <c r="I196" s="11" t="str">
        <f aca="false">IF($A196="","",INDEX(Employees!$Z$6:$Z$205,MATCH($A196,Employees!$BG$6:$BG$205,0)))</f>
        <v/>
      </c>
      <c r="J196" s="26" t="str">
        <f aca="false">IF($A196="","",INDEX(Employees!$AB$6:$AB$205,MATCH($A196,Employees!$BG$6:$BG$205,0)))</f>
        <v/>
      </c>
      <c r="K196" s="26" t="str">
        <f aca="false">IF($A196="","",INDEX(Employees!$AC$6:$AC$205,MATCH($A196,Employees!$BG$6:$BG$205,0)))</f>
        <v/>
      </c>
      <c r="L196" s="28" t="str">
        <f aca="false">IF($A196="","",INDEX(Employees!$AD$6:$AD$205,MATCH($A196,Employees!$BG$6:$BG$205,0)))</f>
        <v/>
      </c>
      <c r="M196" s="11" t="str">
        <f aca="false">IF($A196="","",INDEX(Employees!$AF$6:$AF$205,MATCH($A196,Employees!$BG$6:$BG$205,0)))</f>
        <v/>
      </c>
      <c r="N196" s="11" t="str">
        <f aca="false">IF($A196="","",INDEX(Employees!$AM$6:$AM$205,MATCH($A196,Employees!$BG$6:$BG$205,0)))</f>
        <v/>
      </c>
    </row>
    <row r="197" customFormat="false" ht="15" hidden="false" customHeight="false" outlineLevel="0" collapsed="false">
      <c r="A197" s="11" t="str">
        <f aca="false">IF(192&lt;=MAX(Employees!$BG$6:$BG$205),192,"")</f>
        <v/>
      </c>
      <c r="B197" s="11" t="str">
        <f aca="false">IF($A197="","",INDEX(Employees!$A$6:$A$205,MATCH($A197,Employees!$BG$6:$BG$205,0)))</f>
        <v/>
      </c>
      <c r="C197" s="11" t="str">
        <f aca="false">IF($A197="","",INDEX(Employees!$B$6:$B$205,MATCH($A197,Employees!$BG$6:$BG$205,0)))</f>
        <v/>
      </c>
      <c r="D197" s="11" t="str">
        <f aca="false">IF($A197="","",INDEX(Employees!$C$6:$C$205,MATCH($A197,Employees!$BG$6:$BG$205,0)))</f>
        <v/>
      </c>
      <c r="E197" s="11" t="str">
        <f aca="false">IF($A197="","",INDEX(Employees!$D$6:$D$205,MATCH($A197,Employees!$BG$6:$BG$205,0)))</f>
        <v/>
      </c>
      <c r="F197" s="11" t="str">
        <f aca="false">IF($A197="","",INDEX(Employees!$T$6:$T$205,MATCH($A197,Employees!$BG$6:$BG$205,0)))</f>
        <v/>
      </c>
      <c r="G197" s="26" t="str">
        <f aca="false">IF($A197="","",INDEX(Employees!$U$6:$U$205,MATCH($A197,Employees!$BG$6:$BG$205,0)))</f>
        <v/>
      </c>
      <c r="H197" s="28" t="str">
        <f aca="false">IF($A197="","",INDEX(Employees!$E$6:$E$205,MATCH($A197,Employees!$BG$6:$BG$205,0)))</f>
        <v/>
      </c>
      <c r="I197" s="11" t="str">
        <f aca="false">IF($A197="","",INDEX(Employees!$Z$6:$Z$205,MATCH($A197,Employees!$BG$6:$BG$205,0)))</f>
        <v/>
      </c>
      <c r="J197" s="26" t="str">
        <f aca="false">IF($A197="","",INDEX(Employees!$AB$6:$AB$205,MATCH($A197,Employees!$BG$6:$BG$205,0)))</f>
        <v/>
      </c>
      <c r="K197" s="26" t="str">
        <f aca="false">IF($A197="","",INDEX(Employees!$AC$6:$AC$205,MATCH($A197,Employees!$BG$6:$BG$205,0)))</f>
        <v/>
      </c>
      <c r="L197" s="28" t="str">
        <f aca="false">IF($A197="","",INDEX(Employees!$AD$6:$AD$205,MATCH($A197,Employees!$BG$6:$BG$205,0)))</f>
        <v/>
      </c>
      <c r="M197" s="11" t="str">
        <f aca="false">IF($A197="","",INDEX(Employees!$AF$6:$AF$205,MATCH($A197,Employees!$BG$6:$BG$205,0)))</f>
        <v/>
      </c>
      <c r="N197" s="11" t="str">
        <f aca="false">IF($A197="","",INDEX(Employees!$AM$6:$AM$205,MATCH($A197,Employees!$BG$6:$BG$205,0)))</f>
        <v/>
      </c>
    </row>
    <row r="198" customFormat="false" ht="15" hidden="false" customHeight="false" outlineLevel="0" collapsed="false">
      <c r="A198" s="11" t="str">
        <f aca="false">IF(193&lt;=MAX(Employees!$BG$6:$BG$205),193,"")</f>
        <v/>
      </c>
      <c r="B198" s="11" t="str">
        <f aca="false">IF($A198="","",INDEX(Employees!$A$6:$A$205,MATCH($A198,Employees!$BG$6:$BG$205,0)))</f>
        <v/>
      </c>
      <c r="C198" s="11" t="str">
        <f aca="false">IF($A198="","",INDEX(Employees!$B$6:$B$205,MATCH($A198,Employees!$BG$6:$BG$205,0)))</f>
        <v/>
      </c>
      <c r="D198" s="11" t="str">
        <f aca="false">IF($A198="","",INDEX(Employees!$C$6:$C$205,MATCH($A198,Employees!$BG$6:$BG$205,0)))</f>
        <v/>
      </c>
      <c r="E198" s="11" t="str">
        <f aca="false">IF($A198="","",INDEX(Employees!$D$6:$D$205,MATCH($A198,Employees!$BG$6:$BG$205,0)))</f>
        <v/>
      </c>
      <c r="F198" s="11" t="str">
        <f aca="false">IF($A198="","",INDEX(Employees!$T$6:$T$205,MATCH($A198,Employees!$BG$6:$BG$205,0)))</f>
        <v/>
      </c>
      <c r="G198" s="26" t="str">
        <f aca="false">IF($A198="","",INDEX(Employees!$U$6:$U$205,MATCH($A198,Employees!$BG$6:$BG$205,0)))</f>
        <v/>
      </c>
      <c r="H198" s="28" t="str">
        <f aca="false">IF($A198="","",INDEX(Employees!$E$6:$E$205,MATCH($A198,Employees!$BG$6:$BG$205,0)))</f>
        <v/>
      </c>
      <c r="I198" s="11" t="str">
        <f aca="false">IF($A198="","",INDEX(Employees!$Z$6:$Z$205,MATCH($A198,Employees!$BG$6:$BG$205,0)))</f>
        <v/>
      </c>
      <c r="J198" s="26" t="str">
        <f aca="false">IF($A198="","",INDEX(Employees!$AB$6:$AB$205,MATCH($A198,Employees!$BG$6:$BG$205,0)))</f>
        <v/>
      </c>
      <c r="K198" s="26" t="str">
        <f aca="false">IF($A198="","",INDEX(Employees!$AC$6:$AC$205,MATCH($A198,Employees!$BG$6:$BG$205,0)))</f>
        <v/>
      </c>
      <c r="L198" s="28" t="str">
        <f aca="false">IF($A198="","",INDEX(Employees!$AD$6:$AD$205,MATCH($A198,Employees!$BG$6:$BG$205,0)))</f>
        <v/>
      </c>
      <c r="M198" s="11" t="str">
        <f aca="false">IF($A198="","",INDEX(Employees!$AF$6:$AF$205,MATCH($A198,Employees!$BG$6:$BG$205,0)))</f>
        <v/>
      </c>
      <c r="N198" s="11" t="str">
        <f aca="false">IF($A198="","",INDEX(Employees!$AM$6:$AM$205,MATCH($A198,Employees!$BG$6:$BG$205,0)))</f>
        <v/>
      </c>
    </row>
    <row r="199" customFormat="false" ht="15" hidden="false" customHeight="false" outlineLevel="0" collapsed="false">
      <c r="A199" s="11" t="str">
        <f aca="false">IF(194&lt;=MAX(Employees!$BG$6:$BG$205),194,"")</f>
        <v/>
      </c>
      <c r="B199" s="11" t="str">
        <f aca="false">IF($A199="","",INDEX(Employees!$A$6:$A$205,MATCH($A199,Employees!$BG$6:$BG$205,0)))</f>
        <v/>
      </c>
      <c r="C199" s="11" t="str">
        <f aca="false">IF($A199="","",INDEX(Employees!$B$6:$B$205,MATCH($A199,Employees!$BG$6:$BG$205,0)))</f>
        <v/>
      </c>
      <c r="D199" s="11" t="str">
        <f aca="false">IF($A199="","",INDEX(Employees!$C$6:$C$205,MATCH($A199,Employees!$BG$6:$BG$205,0)))</f>
        <v/>
      </c>
      <c r="E199" s="11" t="str">
        <f aca="false">IF($A199="","",INDEX(Employees!$D$6:$D$205,MATCH($A199,Employees!$BG$6:$BG$205,0)))</f>
        <v/>
      </c>
      <c r="F199" s="11" t="str">
        <f aca="false">IF($A199="","",INDEX(Employees!$T$6:$T$205,MATCH($A199,Employees!$BG$6:$BG$205,0)))</f>
        <v/>
      </c>
      <c r="G199" s="26" t="str">
        <f aca="false">IF($A199="","",INDEX(Employees!$U$6:$U$205,MATCH($A199,Employees!$BG$6:$BG$205,0)))</f>
        <v/>
      </c>
      <c r="H199" s="28" t="str">
        <f aca="false">IF($A199="","",INDEX(Employees!$E$6:$E$205,MATCH($A199,Employees!$BG$6:$BG$205,0)))</f>
        <v/>
      </c>
      <c r="I199" s="11" t="str">
        <f aca="false">IF($A199="","",INDEX(Employees!$Z$6:$Z$205,MATCH($A199,Employees!$BG$6:$BG$205,0)))</f>
        <v/>
      </c>
      <c r="J199" s="26" t="str">
        <f aca="false">IF($A199="","",INDEX(Employees!$AB$6:$AB$205,MATCH($A199,Employees!$BG$6:$BG$205,0)))</f>
        <v/>
      </c>
      <c r="K199" s="26" t="str">
        <f aca="false">IF($A199="","",INDEX(Employees!$AC$6:$AC$205,MATCH($A199,Employees!$BG$6:$BG$205,0)))</f>
        <v/>
      </c>
      <c r="L199" s="28" t="str">
        <f aca="false">IF($A199="","",INDEX(Employees!$AD$6:$AD$205,MATCH($A199,Employees!$BG$6:$BG$205,0)))</f>
        <v/>
      </c>
      <c r="M199" s="11" t="str">
        <f aca="false">IF($A199="","",INDEX(Employees!$AF$6:$AF$205,MATCH($A199,Employees!$BG$6:$BG$205,0)))</f>
        <v/>
      </c>
      <c r="N199" s="11" t="str">
        <f aca="false">IF($A199="","",INDEX(Employees!$AM$6:$AM$205,MATCH($A199,Employees!$BG$6:$BG$205,0)))</f>
        <v/>
      </c>
    </row>
    <row r="200" customFormat="false" ht="15" hidden="false" customHeight="false" outlineLevel="0" collapsed="false">
      <c r="A200" s="11" t="str">
        <f aca="false">IF(195&lt;=MAX(Employees!$BG$6:$BG$205),195,"")</f>
        <v/>
      </c>
      <c r="B200" s="11" t="str">
        <f aca="false">IF($A200="","",INDEX(Employees!$A$6:$A$205,MATCH($A200,Employees!$BG$6:$BG$205,0)))</f>
        <v/>
      </c>
      <c r="C200" s="11" t="str">
        <f aca="false">IF($A200="","",INDEX(Employees!$B$6:$B$205,MATCH($A200,Employees!$BG$6:$BG$205,0)))</f>
        <v/>
      </c>
      <c r="D200" s="11" t="str">
        <f aca="false">IF($A200="","",INDEX(Employees!$C$6:$C$205,MATCH($A200,Employees!$BG$6:$BG$205,0)))</f>
        <v/>
      </c>
      <c r="E200" s="11" t="str">
        <f aca="false">IF($A200="","",INDEX(Employees!$D$6:$D$205,MATCH($A200,Employees!$BG$6:$BG$205,0)))</f>
        <v/>
      </c>
      <c r="F200" s="11" t="str">
        <f aca="false">IF($A200="","",INDEX(Employees!$T$6:$T$205,MATCH($A200,Employees!$BG$6:$BG$205,0)))</f>
        <v/>
      </c>
      <c r="G200" s="26" t="str">
        <f aca="false">IF($A200="","",INDEX(Employees!$U$6:$U$205,MATCH($A200,Employees!$BG$6:$BG$205,0)))</f>
        <v/>
      </c>
      <c r="H200" s="28" t="str">
        <f aca="false">IF($A200="","",INDEX(Employees!$E$6:$E$205,MATCH($A200,Employees!$BG$6:$BG$205,0)))</f>
        <v/>
      </c>
      <c r="I200" s="11" t="str">
        <f aca="false">IF($A200="","",INDEX(Employees!$Z$6:$Z$205,MATCH($A200,Employees!$BG$6:$BG$205,0)))</f>
        <v/>
      </c>
      <c r="J200" s="26" t="str">
        <f aca="false">IF($A200="","",INDEX(Employees!$AB$6:$AB$205,MATCH($A200,Employees!$BG$6:$BG$205,0)))</f>
        <v/>
      </c>
      <c r="K200" s="26" t="str">
        <f aca="false">IF($A200="","",INDEX(Employees!$AC$6:$AC$205,MATCH($A200,Employees!$BG$6:$BG$205,0)))</f>
        <v/>
      </c>
      <c r="L200" s="28" t="str">
        <f aca="false">IF($A200="","",INDEX(Employees!$AD$6:$AD$205,MATCH($A200,Employees!$BG$6:$BG$205,0)))</f>
        <v/>
      </c>
      <c r="M200" s="11" t="str">
        <f aca="false">IF($A200="","",INDEX(Employees!$AF$6:$AF$205,MATCH($A200,Employees!$BG$6:$BG$205,0)))</f>
        <v/>
      </c>
      <c r="N200" s="11" t="str">
        <f aca="false">IF($A200="","",INDEX(Employees!$AM$6:$AM$205,MATCH($A200,Employees!$BG$6:$BG$205,0)))</f>
        <v/>
      </c>
    </row>
    <row r="201" customFormat="false" ht="15" hidden="false" customHeight="false" outlineLevel="0" collapsed="false">
      <c r="A201" s="11" t="str">
        <f aca="false">IF(196&lt;=MAX(Employees!$BG$6:$BG$205),196,"")</f>
        <v/>
      </c>
      <c r="B201" s="11" t="str">
        <f aca="false">IF($A201="","",INDEX(Employees!$A$6:$A$205,MATCH($A201,Employees!$BG$6:$BG$205,0)))</f>
        <v/>
      </c>
      <c r="C201" s="11" t="str">
        <f aca="false">IF($A201="","",INDEX(Employees!$B$6:$B$205,MATCH($A201,Employees!$BG$6:$BG$205,0)))</f>
        <v/>
      </c>
      <c r="D201" s="11" t="str">
        <f aca="false">IF($A201="","",INDEX(Employees!$C$6:$C$205,MATCH($A201,Employees!$BG$6:$BG$205,0)))</f>
        <v/>
      </c>
      <c r="E201" s="11" t="str">
        <f aca="false">IF($A201="","",INDEX(Employees!$D$6:$D$205,MATCH($A201,Employees!$BG$6:$BG$205,0)))</f>
        <v/>
      </c>
      <c r="F201" s="11" t="str">
        <f aca="false">IF($A201="","",INDEX(Employees!$T$6:$T$205,MATCH($A201,Employees!$BG$6:$BG$205,0)))</f>
        <v/>
      </c>
      <c r="G201" s="26" t="str">
        <f aca="false">IF($A201="","",INDEX(Employees!$U$6:$U$205,MATCH($A201,Employees!$BG$6:$BG$205,0)))</f>
        <v/>
      </c>
      <c r="H201" s="28" t="str">
        <f aca="false">IF($A201="","",INDEX(Employees!$E$6:$E$205,MATCH($A201,Employees!$BG$6:$BG$205,0)))</f>
        <v/>
      </c>
      <c r="I201" s="11" t="str">
        <f aca="false">IF($A201="","",INDEX(Employees!$Z$6:$Z$205,MATCH($A201,Employees!$BG$6:$BG$205,0)))</f>
        <v/>
      </c>
      <c r="J201" s="26" t="str">
        <f aca="false">IF($A201="","",INDEX(Employees!$AB$6:$AB$205,MATCH($A201,Employees!$BG$6:$BG$205,0)))</f>
        <v/>
      </c>
      <c r="K201" s="26" t="str">
        <f aca="false">IF($A201="","",INDEX(Employees!$AC$6:$AC$205,MATCH($A201,Employees!$BG$6:$BG$205,0)))</f>
        <v/>
      </c>
      <c r="L201" s="28" t="str">
        <f aca="false">IF($A201="","",INDEX(Employees!$AD$6:$AD$205,MATCH($A201,Employees!$BG$6:$BG$205,0)))</f>
        <v/>
      </c>
      <c r="M201" s="11" t="str">
        <f aca="false">IF($A201="","",INDEX(Employees!$AF$6:$AF$205,MATCH($A201,Employees!$BG$6:$BG$205,0)))</f>
        <v/>
      </c>
      <c r="N201" s="11" t="str">
        <f aca="false">IF($A201="","",INDEX(Employees!$AM$6:$AM$205,MATCH($A201,Employees!$BG$6:$BG$205,0)))</f>
        <v/>
      </c>
    </row>
    <row r="202" customFormat="false" ht="15" hidden="false" customHeight="false" outlineLevel="0" collapsed="false">
      <c r="A202" s="11" t="str">
        <f aca="false">IF(197&lt;=MAX(Employees!$BG$6:$BG$205),197,"")</f>
        <v/>
      </c>
      <c r="B202" s="11" t="str">
        <f aca="false">IF($A202="","",INDEX(Employees!$A$6:$A$205,MATCH($A202,Employees!$BG$6:$BG$205,0)))</f>
        <v/>
      </c>
      <c r="C202" s="11" t="str">
        <f aca="false">IF($A202="","",INDEX(Employees!$B$6:$B$205,MATCH($A202,Employees!$BG$6:$BG$205,0)))</f>
        <v/>
      </c>
      <c r="D202" s="11" t="str">
        <f aca="false">IF($A202="","",INDEX(Employees!$C$6:$C$205,MATCH($A202,Employees!$BG$6:$BG$205,0)))</f>
        <v/>
      </c>
      <c r="E202" s="11" t="str">
        <f aca="false">IF($A202="","",INDEX(Employees!$D$6:$D$205,MATCH($A202,Employees!$BG$6:$BG$205,0)))</f>
        <v/>
      </c>
      <c r="F202" s="11" t="str">
        <f aca="false">IF($A202="","",INDEX(Employees!$T$6:$T$205,MATCH($A202,Employees!$BG$6:$BG$205,0)))</f>
        <v/>
      </c>
      <c r="G202" s="26" t="str">
        <f aca="false">IF($A202="","",INDEX(Employees!$U$6:$U$205,MATCH($A202,Employees!$BG$6:$BG$205,0)))</f>
        <v/>
      </c>
      <c r="H202" s="28" t="str">
        <f aca="false">IF($A202="","",INDEX(Employees!$E$6:$E$205,MATCH($A202,Employees!$BG$6:$BG$205,0)))</f>
        <v/>
      </c>
      <c r="I202" s="11" t="str">
        <f aca="false">IF($A202="","",INDEX(Employees!$Z$6:$Z$205,MATCH($A202,Employees!$BG$6:$BG$205,0)))</f>
        <v/>
      </c>
      <c r="J202" s="26" t="str">
        <f aca="false">IF($A202="","",INDEX(Employees!$AB$6:$AB$205,MATCH($A202,Employees!$BG$6:$BG$205,0)))</f>
        <v/>
      </c>
      <c r="K202" s="26" t="str">
        <f aca="false">IF($A202="","",INDEX(Employees!$AC$6:$AC$205,MATCH($A202,Employees!$BG$6:$BG$205,0)))</f>
        <v/>
      </c>
      <c r="L202" s="28" t="str">
        <f aca="false">IF($A202="","",INDEX(Employees!$AD$6:$AD$205,MATCH($A202,Employees!$BG$6:$BG$205,0)))</f>
        <v/>
      </c>
      <c r="M202" s="11" t="str">
        <f aca="false">IF($A202="","",INDEX(Employees!$AF$6:$AF$205,MATCH($A202,Employees!$BG$6:$BG$205,0)))</f>
        <v/>
      </c>
      <c r="N202" s="11" t="str">
        <f aca="false">IF($A202="","",INDEX(Employees!$AM$6:$AM$205,MATCH($A202,Employees!$BG$6:$BG$205,0)))</f>
        <v/>
      </c>
    </row>
    <row r="203" customFormat="false" ht="15" hidden="false" customHeight="false" outlineLevel="0" collapsed="false">
      <c r="A203" s="11" t="str">
        <f aca="false">IF(198&lt;=MAX(Employees!$BG$6:$BG$205),198,"")</f>
        <v/>
      </c>
      <c r="B203" s="11" t="str">
        <f aca="false">IF($A203="","",INDEX(Employees!$A$6:$A$205,MATCH($A203,Employees!$BG$6:$BG$205,0)))</f>
        <v/>
      </c>
      <c r="C203" s="11" t="str">
        <f aca="false">IF($A203="","",INDEX(Employees!$B$6:$B$205,MATCH($A203,Employees!$BG$6:$BG$205,0)))</f>
        <v/>
      </c>
      <c r="D203" s="11" t="str">
        <f aca="false">IF($A203="","",INDEX(Employees!$C$6:$C$205,MATCH($A203,Employees!$BG$6:$BG$205,0)))</f>
        <v/>
      </c>
      <c r="E203" s="11" t="str">
        <f aca="false">IF($A203="","",INDEX(Employees!$D$6:$D$205,MATCH($A203,Employees!$BG$6:$BG$205,0)))</f>
        <v/>
      </c>
      <c r="F203" s="11" t="str">
        <f aca="false">IF($A203="","",INDEX(Employees!$T$6:$T$205,MATCH($A203,Employees!$BG$6:$BG$205,0)))</f>
        <v/>
      </c>
      <c r="G203" s="26" t="str">
        <f aca="false">IF($A203="","",INDEX(Employees!$U$6:$U$205,MATCH($A203,Employees!$BG$6:$BG$205,0)))</f>
        <v/>
      </c>
      <c r="H203" s="28" t="str">
        <f aca="false">IF($A203="","",INDEX(Employees!$E$6:$E$205,MATCH($A203,Employees!$BG$6:$BG$205,0)))</f>
        <v/>
      </c>
      <c r="I203" s="11" t="str">
        <f aca="false">IF($A203="","",INDEX(Employees!$Z$6:$Z$205,MATCH($A203,Employees!$BG$6:$BG$205,0)))</f>
        <v/>
      </c>
      <c r="J203" s="26" t="str">
        <f aca="false">IF($A203="","",INDEX(Employees!$AB$6:$AB$205,MATCH($A203,Employees!$BG$6:$BG$205,0)))</f>
        <v/>
      </c>
      <c r="K203" s="26" t="str">
        <f aca="false">IF($A203="","",INDEX(Employees!$AC$6:$AC$205,MATCH($A203,Employees!$BG$6:$BG$205,0)))</f>
        <v/>
      </c>
      <c r="L203" s="28" t="str">
        <f aca="false">IF($A203="","",INDEX(Employees!$AD$6:$AD$205,MATCH($A203,Employees!$BG$6:$BG$205,0)))</f>
        <v/>
      </c>
      <c r="M203" s="11" t="str">
        <f aca="false">IF($A203="","",INDEX(Employees!$AF$6:$AF$205,MATCH($A203,Employees!$BG$6:$BG$205,0)))</f>
        <v/>
      </c>
      <c r="N203" s="11" t="str">
        <f aca="false">IF($A203="","",INDEX(Employees!$AM$6:$AM$205,MATCH($A203,Employees!$BG$6:$BG$205,0)))</f>
        <v/>
      </c>
    </row>
    <row r="204" customFormat="false" ht="15" hidden="false" customHeight="false" outlineLevel="0" collapsed="false">
      <c r="A204" s="11" t="str">
        <f aca="false">IF(199&lt;=MAX(Employees!$BG$6:$BG$205),199,"")</f>
        <v/>
      </c>
      <c r="B204" s="11" t="str">
        <f aca="false">IF($A204="","",INDEX(Employees!$A$6:$A$205,MATCH($A204,Employees!$BG$6:$BG$205,0)))</f>
        <v/>
      </c>
      <c r="C204" s="11" t="str">
        <f aca="false">IF($A204="","",INDEX(Employees!$B$6:$B$205,MATCH($A204,Employees!$BG$6:$BG$205,0)))</f>
        <v/>
      </c>
      <c r="D204" s="11" t="str">
        <f aca="false">IF($A204="","",INDEX(Employees!$C$6:$C$205,MATCH($A204,Employees!$BG$6:$BG$205,0)))</f>
        <v/>
      </c>
      <c r="E204" s="11" t="str">
        <f aca="false">IF($A204="","",INDEX(Employees!$D$6:$D$205,MATCH($A204,Employees!$BG$6:$BG$205,0)))</f>
        <v/>
      </c>
      <c r="F204" s="11" t="str">
        <f aca="false">IF($A204="","",INDEX(Employees!$T$6:$T$205,MATCH($A204,Employees!$BG$6:$BG$205,0)))</f>
        <v/>
      </c>
      <c r="G204" s="26" t="str">
        <f aca="false">IF($A204="","",INDEX(Employees!$U$6:$U$205,MATCH($A204,Employees!$BG$6:$BG$205,0)))</f>
        <v/>
      </c>
      <c r="H204" s="28" t="str">
        <f aca="false">IF($A204="","",INDEX(Employees!$E$6:$E$205,MATCH($A204,Employees!$BG$6:$BG$205,0)))</f>
        <v/>
      </c>
      <c r="I204" s="11" t="str">
        <f aca="false">IF($A204="","",INDEX(Employees!$Z$6:$Z$205,MATCH($A204,Employees!$BG$6:$BG$205,0)))</f>
        <v/>
      </c>
      <c r="J204" s="26" t="str">
        <f aca="false">IF($A204="","",INDEX(Employees!$AB$6:$AB$205,MATCH($A204,Employees!$BG$6:$BG$205,0)))</f>
        <v/>
      </c>
      <c r="K204" s="26" t="str">
        <f aca="false">IF($A204="","",INDEX(Employees!$AC$6:$AC$205,MATCH($A204,Employees!$BG$6:$BG$205,0)))</f>
        <v/>
      </c>
      <c r="L204" s="28" t="str">
        <f aca="false">IF($A204="","",INDEX(Employees!$AD$6:$AD$205,MATCH($A204,Employees!$BG$6:$BG$205,0)))</f>
        <v/>
      </c>
      <c r="M204" s="11" t="str">
        <f aca="false">IF($A204="","",INDEX(Employees!$AF$6:$AF$205,MATCH($A204,Employees!$BG$6:$BG$205,0)))</f>
        <v/>
      </c>
      <c r="N204" s="11" t="str">
        <f aca="false">IF($A204="","",INDEX(Employees!$AM$6:$AM$205,MATCH($A204,Employees!$BG$6:$BG$205,0)))</f>
        <v/>
      </c>
    </row>
    <row r="205" customFormat="false" ht="15" hidden="false" customHeight="false" outlineLevel="0" collapsed="false">
      <c r="A205" s="11" t="str">
        <f aca="false">IF(200&lt;=MAX(Employees!$BG$6:$BG$205),200,"")</f>
        <v/>
      </c>
      <c r="B205" s="11" t="str">
        <f aca="false">IF($A205="","",INDEX(Employees!$A$6:$A$205,MATCH($A205,Employees!$BG$6:$BG$205,0)))</f>
        <v/>
      </c>
      <c r="C205" s="11" t="str">
        <f aca="false">IF($A205="","",INDEX(Employees!$B$6:$B$205,MATCH($A205,Employees!$BG$6:$BG$205,0)))</f>
        <v/>
      </c>
      <c r="D205" s="11" t="str">
        <f aca="false">IF($A205="","",INDEX(Employees!$C$6:$C$205,MATCH($A205,Employees!$BG$6:$BG$205,0)))</f>
        <v/>
      </c>
      <c r="E205" s="11" t="str">
        <f aca="false">IF($A205="","",INDEX(Employees!$D$6:$D$205,MATCH($A205,Employees!$BG$6:$BG$205,0)))</f>
        <v/>
      </c>
      <c r="F205" s="11" t="str">
        <f aca="false">IF($A205="","",INDEX(Employees!$T$6:$T$205,MATCH($A205,Employees!$BG$6:$BG$205,0)))</f>
        <v/>
      </c>
      <c r="G205" s="26" t="str">
        <f aca="false">IF($A205="","",INDEX(Employees!$U$6:$U$205,MATCH($A205,Employees!$BG$6:$BG$205,0)))</f>
        <v/>
      </c>
      <c r="H205" s="28" t="str">
        <f aca="false">IF($A205="","",INDEX(Employees!$E$6:$E$205,MATCH($A205,Employees!$BG$6:$BG$205,0)))</f>
        <v/>
      </c>
      <c r="I205" s="11" t="str">
        <f aca="false">IF($A205="","",INDEX(Employees!$Z$6:$Z$205,MATCH($A205,Employees!$BG$6:$BG$205,0)))</f>
        <v/>
      </c>
      <c r="J205" s="26" t="str">
        <f aca="false">IF($A205="","",INDEX(Employees!$AB$6:$AB$205,MATCH($A205,Employees!$BG$6:$BG$205,0)))</f>
        <v/>
      </c>
      <c r="K205" s="26" t="str">
        <f aca="false">IF($A205="","",INDEX(Employees!$AC$6:$AC$205,MATCH($A205,Employees!$BG$6:$BG$205,0)))</f>
        <v/>
      </c>
      <c r="L205" s="28" t="str">
        <f aca="false">IF($A205="","",INDEX(Employees!$AD$6:$AD$205,MATCH($A205,Employees!$BG$6:$BG$205,0)))</f>
        <v/>
      </c>
      <c r="M205" s="11" t="str">
        <f aca="false">IF($A205="","",INDEX(Employees!$AF$6:$AF$205,MATCH($A205,Employees!$BG$6:$BG$205,0)))</f>
        <v/>
      </c>
      <c r="N205" s="11" t="str">
        <f aca="false">IF($A205="","",INDEX(Employees!$AM$6:$AM$205,MATCH($A205,Employees!$BG$6:$BG$205,0)))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P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4" min="3" style="0" width="13"/>
    <col collapsed="false" customWidth="true" hidden="false" outlineLevel="0" max="5" min="5" style="0" width="14"/>
    <col collapsed="false" customWidth="true" hidden="false" outlineLevel="0" max="6" min="6" style="0" width="12"/>
    <col collapsed="false" customWidth="true" hidden="false" outlineLevel="0" max="7" min="7" style="0" width="8"/>
    <col collapsed="false" customWidth="true" hidden="false" outlineLevel="0" max="8" min="8" style="0" width="12"/>
    <col collapsed="false" customWidth="true" hidden="false" outlineLevel="0" max="9" min="9" style="0" width="11"/>
    <col collapsed="false" customWidth="true" hidden="false" outlineLevel="0" max="15" min="10" style="0" width="10"/>
    <col collapsed="false" customWidth="true" hidden="false" outlineLevel="0" max="16" min="16" style="0" width="40"/>
  </cols>
  <sheetData>
    <row r="1" customFormat="false" ht="17.35" hidden="false" customHeight="false" outlineLevel="0" collapsed="false">
      <c r="A1" s="5" t="s">
        <v>254</v>
      </c>
    </row>
    <row r="2" customFormat="false" ht="15" hidden="false" customHeight="false" outlineLevel="0" collapsed="false">
      <c r="A2" s="6" t="s">
        <v>255</v>
      </c>
    </row>
    <row r="3" customFormat="false" ht="15" hidden="false" customHeight="false" outlineLevel="0" collapsed="false">
      <c r="A3" s="14" t="str">
        <f aca="false">"As-of date: "&amp;TEXT(AsOfDate,"dd/mm/yyyy")&amp;"   |   Employees listed: "&amp;COUNT(A6:A205)</f>
        <v>As-of date: 30/09/2026   |   Employees listed: 2</v>
      </c>
    </row>
    <row r="5" customFormat="false" ht="39.75" hidden="false" customHeight="true" outlineLevel="0" collapsed="false">
      <c r="A5" s="7" t="s">
        <v>249</v>
      </c>
      <c r="B5" s="7" t="s">
        <v>53</v>
      </c>
      <c r="C5" s="7" t="s">
        <v>93</v>
      </c>
      <c r="D5" s="7" t="s">
        <v>96</v>
      </c>
      <c r="E5" s="7" t="s">
        <v>147</v>
      </c>
      <c r="F5" s="7" t="s">
        <v>163</v>
      </c>
      <c r="G5" s="7" t="s">
        <v>250</v>
      </c>
      <c r="H5" s="7" t="s">
        <v>251</v>
      </c>
      <c r="I5" s="7" t="s">
        <v>169</v>
      </c>
      <c r="J5" s="7" t="s">
        <v>256</v>
      </c>
      <c r="K5" s="7" t="s">
        <v>257</v>
      </c>
      <c r="L5" s="7" t="s">
        <v>176</v>
      </c>
      <c r="M5" s="7" t="s">
        <v>177</v>
      </c>
      <c r="N5" s="7" t="s">
        <v>258</v>
      </c>
      <c r="O5" s="7" t="s">
        <v>259</v>
      </c>
      <c r="P5" s="7" t="s">
        <v>182</v>
      </c>
    </row>
    <row r="6" customFormat="false" ht="15" hidden="false" customHeight="false" outlineLevel="0" collapsed="false">
      <c r="A6" s="11" t="n">
        <f aca="false">IF(1&lt;=MAX(Employees!$BH$6:$BH$205),1,"")</f>
        <v>1</v>
      </c>
      <c r="B6" s="11" t="str">
        <f aca="false">IF($A6="","",INDEX(Employees!$A$6:$A$205,MATCH($A6,Employees!$BH$6:$BH$205,0)))</f>
        <v>E001</v>
      </c>
      <c r="C6" s="11" t="str">
        <f aca="false">IF($A6="","",INDEX(Employees!$B$6:$B$205,MATCH($A6,Employees!$BH$6:$BH$205,0)))</f>
        <v>Jane</v>
      </c>
      <c r="D6" s="11" t="str">
        <f aca="false">IF($A6="","",INDEX(Employees!$C$6:$C$205,MATCH($A6,Employees!$BH$6:$BH$205,0)))</f>
        <v>Citizen</v>
      </c>
      <c r="E6" s="11" t="str">
        <f aca="false">IF($A6="","",INDEX(Employees!$D$6:$D$205,MATCH($A6,Employees!$BH$6:$BH$205,0)))</f>
        <v>Operations</v>
      </c>
      <c r="F6" s="11" t="str">
        <f aca="false">IF($A6="","",INDEX(Employees!$T$6:$T$205,MATCH($A6,Employees!$BH$6:$BH$205,0)))</f>
        <v>Full-Time</v>
      </c>
      <c r="G6" s="26" t="n">
        <f aca="false">IF($A6="","",INDEX(Employees!$U$6:$U$205,MATCH($A6,Employees!$BH$6:$BH$205,0)))</f>
        <v>38</v>
      </c>
      <c r="H6" s="28" t="n">
        <f aca="false">IF($A6="","",INDEX(Employees!$E$6:$E$205,MATCH($A6,Employees!$BH$6:$BH$205,0)))</f>
        <v>44242</v>
      </c>
      <c r="I6" s="11" t="str">
        <f aca="false">IF($A6="","",INDEX(Employees!$Z$6:$Z$205,MATCH($A6,Employees!$BH$6:$BH$205,0)))</f>
        <v>5y 7m</v>
      </c>
      <c r="J6" s="26" t="n">
        <f aca="false">IF($A6="","",INDEX(Employees!$AB$6:$AB$205,MATCH($A6,Employees!$BH$6:$BH$205,0)))</f>
        <v>10</v>
      </c>
      <c r="K6" s="26" t="n">
        <f aca="false">IF($A6="","",INDEX(Employees!$AI$6:$AI$205,MATCH($A6,Employees!$BH$6:$BH$205,0)))</f>
        <v>9</v>
      </c>
      <c r="L6" s="26" t="n">
        <f aca="false">IF($A6="","",INDEX(Employees!$AG$6:$AG$205,MATCH($A6,Employees!$BH$6:$BH$205,0)))</f>
        <v>8</v>
      </c>
      <c r="M6" s="26" t="n">
        <f aca="false">IF($A6="","",INDEX(Employees!$AH$6:$AH$205,MATCH($A6,Employees!$BH$6:$BH$205,0)))</f>
        <v>1</v>
      </c>
      <c r="N6" s="26" t="n">
        <f aca="false">IF($A6="","",INDEX(Employees!$AK$6:$AK$205,MATCH($A6,Employees!$BH$6:$BH$205,0)))</f>
        <v>1</v>
      </c>
      <c r="O6" s="26" t="n">
        <f aca="false">IF($A6="","",INDEX(Employees!$AL$6:$AL$205,MATCH($A6,Employees!$BH$6:$BH$205,0)))</f>
        <v>8</v>
      </c>
      <c r="P6" s="11" t="str">
        <f aca="false">IF($A6="","",INDEX(Employees!$AM$6:$AM$205,MATCH($A6,Employees!$BH$6:$BH$205,0)))</f>
        <v>ADD 1 day(s) (8 hrs) in EH</v>
      </c>
    </row>
    <row r="7" customFormat="false" ht="15" hidden="false" customHeight="false" outlineLevel="0" collapsed="false">
      <c r="A7" s="11" t="n">
        <f aca="false">IF(2&lt;=MAX(Employees!$BH$6:$BH$205),2,"")</f>
        <v>2</v>
      </c>
      <c r="B7" s="11" t="str">
        <f aca="false">IF($A7="","",INDEX(Employees!$A$6:$A$205,MATCH($A7,Employees!$BH$6:$BH$205,0)))</f>
        <v>E005</v>
      </c>
      <c r="C7" s="11" t="str">
        <f aca="false">IF($A7="","",INDEX(Employees!$B$6:$B$205,MATCH($A7,Employees!$BH$6:$BH$205,0)))</f>
        <v>Liam</v>
      </c>
      <c r="D7" s="11" t="str">
        <f aca="false">IF($A7="","",INDEX(Employees!$C$6:$C$205,MATCH($A7,Employees!$BH$6:$BH$205,0)))</f>
        <v>Brown</v>
      </c>
      <c r="E7" s="11" t="str">
        <f aca="false">IF($A7="","",INDEX(Employees!$D$6:$D$205,MATCH($A7,Employees!$BH$6:$BH$205,0)))</f>
        <v>Technical</v>
      </c>
      <c r="F7" s="11" t="str">
        <f aca="false">IF($A7="","",INDEX(Employees!$T$6:$T$205,MATCH($A7,Employees!$BH$6:$BH$205,0)))</f>
        <v>Full-Time</v>
      </c>
      <c r="G7" s="26" t="n">
        <f aca="false">IF($A7="","",INDEX(Employees!$U$6:$U$205,MATCH($A7,Employees!$BH$6:$BH$205,0)))</f>
        <v>38</v>
      </c>
      <c r="H7" s="28" t="n">
        <f aca="false">IF($A7="","",INDEX(Employees!$E$6:$E$205,MATCH($A7,Employees!$BH$6:$BH$205,0)))</f>
        <v>43840</v>
      </c>
      <c r="I7" s="11" t="str">
        <f aca="false">IF($A7="","",INDEX(Employees!$Z$6:$Z$205,MATCH($A7,Employees!$BH$6:$BH$205,0)))</f>
        <v>6y 8m</v>
      </c>
      <c r="J7" s="26" t="n">
        <f aca="false">IF($A7="","",INDEX(Employees!$AB$6:$AB$205,MATCH($A7,Employees!$BH$6:$BH$205,0)))</f>
        <v>12</v>
      </c>
      <c r="K7" s="26" t="n">
        <f aca="false">IF($A7="","",INDEX(Employees!$AI$6:$AI$205,MATCH($A7,Employees!$BH$6:$BH$205,0)))</f>
        <v>10</v>
      </c>
      <c r="L7" s="26" t="n">
        <f aca="false">IF($A7="","",INDEX(Employees!$AG$6:$AG$205,MATCH($A7,Employees!$BH$6:$BH$205,0)))</f>
        <v>10</v>
      </c>
      <c r="M7" s="26" t="n">
        <f aca="false">IF($A7="","",INDEX(Employees!$AH$6:$AH$205,MATCH($A7,Employees!$BH$6:$BH$205,0)))</f>
        <v>0</v>
      </c>
      <c r="N7" s="26" t="n">
        <f aca="false">IF($A7="","",INDEX(Employees!$AK$6:$AK$205,MATCH($A7,Employees!$BH$6:$BH$205,0)))</f>
        <v>2</v>
      </c>
      <c r="O7" s="26" t="n">
        <f aca="false">IF($A7="","",INDEX(Employees!$AL$6:$AL$205,MATCH($A7,Employees!$BH$6:$BH$205,0)))</f>
        <v>16</v>
      </c>
      <c r="P7" s="11" t="str">
        <f aca="false">IF($A7="","",INDEX(Employees!$AM$6:$AM$205,MATCH($A7,Employees!$BH$6:$BH$205,0)))</f>
        <v>ADD 2 day(s) (16 hrs) in EH</v>
      </c>
    </row>
    <row r="8" customFormat="false" ht="15" hidden="false" customHeight="false" outlineLevel="0" collapsed="false">
      <c r="A8" s="11" t="str">
        <f aca="false">IF(3&lt;=MAX(Employees!$BH$6:$BH$205),3,"")</f>
        <v/>
      </c>
      <c r="B8" s="11" t="str">
        <f aca="false">IF($A8="","",INDEX(Employees!$A$6:$A$205,MATCH($A8,Employees!$BH$6:$BH$205,0)))</f>
        <v/>
      </c>
      <c r="C8" s="11" t="str">
        <f aca="false">IF($A8="","",INDEX(Employees!$B$6:$B$205,MATCH($A8,Employees!$BH$6:$BH$205,0)))</f>
        <v/>
      </c>
      <c r="D8" s="11" t="str">
        <f aca="false">IF($A8="","",INDEX(Employees!$C$6:$C$205,MATCH($A8,Employees!$BH$6:$BH$205,0)))</f>
        <v/>
      </c>
      <c r="E8" s="11" t="str">
        <f aca="false">IF($A8="","",INDEX(Employees!$D$6:$D$205,MATCH($A8,Employees!$BH$6:$BH$205,0)))</f>
        <v/>
      </c>
      <c r="F8" s="11" t="str">
        <f aca="false">IF($A8="","",INDEX(Employees!$T$6:$T$205,MATCH($A8,Employees!$BH$6:$BH$205,0)))</f>
        <v/>
      </c>
      <c r="G8" s="26" t="str">
        <f aca="false">IF($A8="","",INDEX(Employees!$U$6:$U$205,MATCH($A8,Employees!$BH$6:$BH$205,0)))</f>
        <v/>
      </c>
      <c r="H8" s="28" t="str">
        <f aca="false">IF($A8="","",INDEX(Employees!$E$6:$E$205,MATCH($A8,Employees!$BH$6:$BH$205,0)))</f>
        <v/>
      </c>
      <c r="I8" s="11" t="str">
        <f aca="false">IF($A8="","",INDEX(Employees!$Z$6:$Z$205,MATCH($A8,Employees!$BH$6:$BH$205,0)))</f>
        <v/>
      </c>
      <c r="J8" s="26" t="str">
        <f aca="false">IF($A8="","",INDEX(Employees!$AB$6:$AB$205,MATCH($A8,Employees!$BH$6:$BH$205,0)))</f>
        <v/>
      </c>
      <c r="K8" s="26" t="str">
        <f aca="false">IF($A8="","",INDEX(Employees!$AI$6:$AI$205,MATCH($A8,Employees!$BH$6:$BH$205,0)))</f>
        <v/>
      </c>
      <c r="L8" s="26" t="str">
        <f aca="false">IF($A8="","",INDEX(Employees!$AG$6:$AG$205,MATCH($A8,Employees!$BH$6:$BH$205,0)))</f>
        <v/>
      </c>
      <c r="M8" s="26" t="str">
        <f aca="false">IF($A8="","",INDEX(Employees!$AH$6:$AH$205,MATCH($A8,Employees!$BH$6:$BH$205,0)))</f>
        <v/>
      </c>
      <c r="N8" s="26" t="str">
        <f aca="false">IF($A8="","",INDEX(Employees!$AK$6:$AK$205,MATCH($A8,Employees!$BH$6:$BH$205,0)))</f>
        <v/>
      </c>
      <c r="O8" s="26" t="str">
        <f aca="false">IF($A8="","",INDEX(Employees!$AL$6:$AL$205,MATCH($A8,Employees!$BH$6:$BH$205,0)))</f>
        <v/>
      </c>
      <c r="P8" s="11" t="str">
        <f aca="false">IF($A8="","",INDEX(Employees!$AM$6:$AM$205,MATCH($A8,Employees!$BH$6:$BH$205,0)))</f>
        <v/>
      </c>
    </row>
    <row r="9" customFormat="false" ht="15" hidden="false" customHeight="false" outlineLevel="0" collapsed="false">
      <c r="A9" s="11" t="str">
        <f aca="false">IF(4&lt;=MAX(Employees!$BH$6:$BH$205),4,"")</f>
        <v/>
      </c>
      <c r="B9" s="11" t="str">
        <f aca="false">IF($A9="","",INDEX(Employees!$A$6:$A$205,MATCH($A9,Employees!$BH$6:$BH$205,0)))</f>
        <v/>
      </c>
      <c r="C9" s="11" t="str">
        <f aca="false">IF($A9="","",INDEX(Employees!$B$6:$B$205,MATCH($A9,Employees!$BH$6:$BH$205,0)))</f>
        <v/>
      </c>
      <c r="D9" s="11" t="str">
        <f aca="false">IF($A9="","",INDEX(Employees!$C$6:$C$205,MATCH($A9,Employees!$BH$6:$BH$205,0)))</f>
        <v/>
      </c>
      <c r="E9" s="11" t="str">
        <f aca="false">IF($A9="","",INDEX(Employees!$D$6:$D$205,MATCH($A9,Employees!$BH$6:$BH$205,0)))</f>
        <v/>
      </c>
      <c r="F9" s="11" t="str">
        <f aca="false">IF($A9="","",INDEX(Employees!$T$6:$T$205,MATCH($A9,Employees!$BH$6:$BH$205,0)))</f>
        <v/>
      </c>
      <c r="G9" s="26" t="str">
        <f aca="false">IF($A9="","",INDEX(Employees!$U$6:$U$205,MATCH($A9,Employees!$BH$6:$BH$205,0)))</f>
        <v/>
      </c>
      <c r="H9" s="28" t="str">
        <f aca="false">IF($A9="","",INDEX(Employees!$E$6:$E$205,MATCH($A9,Employees!$BH$6:$BH$205,0)))</f>
        <v/>
      </c>
      <c r="I9" s="11" t="str">
        <f aca="false">IF($A9="","",INDEX(Employees!$Z$6:$Z$205,MATCH($A9,Employees!$BH$6:$BH$205,0)))</f>
        <v/>
      </c>
      <c r="J9" s="26" t="str">
        <f aca="false">IF($A9="","",INDEX(Employees!$AB$6:$AB$205,MATCH($A9,Employees!$BH$6:$BH$205,0)))</f>
        <v/>
      </c>
      <c r="K9" s="26" t="str">
        <f aca="false">IF($A9="","",INDEX(Employees!$AI$6:$AI$205,MATCH($A9,Employees!$BH$6:$BH$205,0)))</f>
        <v/>
      </c>
      <c r="L9" s="26" t="str">
        <f aca="false">IF($A9="","",INDEX(Employees!$AG$6:$AG$205,MATCH($A9,Employees!$BH$6:$BH$205,0)))</f>
        <v/>
      </c>
      <c r="M9" s="26" t="str">
        <f aca="false">IF($A9="","",INDEX(Employees!$AH$6:$AH$205,MATCH($A9,Employees!$BH$6:$BH$205,0)))</f>
        <v/>
      </c>
      <c r="N9" s="26" t="str">
        <f aca="false">IF($A9="","",INDEX(Employees!$AK$6:$AK$205,MATCH($A9,Employees!$BH$6:$BH$205,0)))</f>
        <v/>
      </c>
      <c r="O9" s="26" t="str">
        <f aca="false">IF($A9="","",INDEX(Employees!$AL$6:$AL$205,MATCH($A9,Employees!$BH$6:$BH$205,0)))</f>
        <v/>
      </c>
      <c r="P9" s="11" t="str">
        <f aca="false">IF($A9="","",INDEX(Employees!$AM$6:$AM$205,MATCH($A9,Employees!$BH$6:$BH$205,0)))</f>
        <v/>
      </c>
    </row>
    <row r="10" customFormat="false" ht="15" hidden="false" customHeight="false" outlineLevel="0" collapsed="false">
      <c r="A10" s="11" t="str">
        <f aca="false">IF(5&lt;=MAX(Employees!$BH$6:$BH$205),5,"")</f>
        <v/>
      </c>
      <c r="B10" s="11" t="str">
        <f aca="false">IF($A10="","",INDEX(Employees!$A$6:$A$205,MATCH($A10,Employees!$BH$6:$BH$205,0)))</f>
        <v/>
      </c>
      <c r="C10" s="11" t="str">
        <f aca="false">IF($A10="","",INDEX(Employees!$B$6:$B$205,MATCH($A10,Employees!$BH$6:$BH$205,0)))</f>
        <v/>
      </c>
      <c r="D10" s="11" t="str">
        <f aca="false">IF($A10="","",INDEX(Employees!$C$6:$C$205,MATCH($A10,Employees!$BH$6:$BH$205,0)))</f>
        <v/>
      </c>
      <c r="E10" s="11" t="str">
        <f aca="false">IF($A10="","",INDEX(Employees!$D$6:$D$205,MATCH($A10,Employees!$BH$6:$BH$205,0)))</f>
        <v/>
      </c>
      <c r="F10" s="11" t="str">
        <f aca="false">IF($A10="","",INDEX(Employees!$T$6:$T$205,MATCH($A10,Employees!$BH$6:$BH$205,0)))</f>
        <v/>
      </c>
      <c r="G10" s="26" t="str">
        <f aca="false">IF($A10="","",INDEX(Employees!$U$6:$U$205,MATCH($A10,Employees!$BH$6:$BH$205,0)))</f>
        <v/>
      </c>
      <c r="H10" s="28" t="str">
        <f aca="false">IF($A10="","",INDEX(Employees!$E$6:$E$205,MATCH($A10,Employees!$BH$6:$BH$205,0)))</f>
        <v/>
      </c>
      <c r="I10" s="11" t="str">
        <f aca="false">IF($A10="","",INDEX(Employees!$Z$6:$Z$205,MATCH($A10,Employees!$BH$6:$BH$205,0)))</f>
        <v/>
      </c>
      <c r="J10" s="26" t="str">
        <f aca="false">IF($A10="","",INDEX(Employees!$AB$6:$AB$205,MATCH($A10,Employees!$BH$6:$BH$205,0)))</f>
        <v/>
      </c>
      <c r="K10" s="26" t="str">
        <f aca="false">IF($A10="","",INDEX(Employees!$AI$6:$AI$205,MATCH($A10,Employees!$BH$6:$BH$205,0)))</f>
        <v/>
      </c>
      <c r="L10" s="26" t="str">
        <f aca="false">IF($A10="","",INDEX(Employees!$AG$6:$AG$205,MATCH($A10,Employees!$BH$6:$BH$205,0)))</f>
        <v/>
      </c>
      <c r="M10" s="26" t="str">
        <f aca="false">IF($A10="","",INDEX(Employees!$AH$6:$AH$205,MATCH($A10,Employees!$BH$6:$BH$205,0)))</f>
        <v/>
      </c>
      <c r="N10" s="26" t="str">
        <f aca="false">IF($A10="","",INDEX(Employees!$AK$6:$AK$205,MATCH($A10,Employees!$BH$6:$BH$205,0)))</f>
        <v/>
      </c>
      <c r="O10" s="26" t="str">
        <f aca="false">IF($A10="","",INDEX(Employees!$AL$6:$AL$205,MATCH($A10,Employees!$BH$6:$BH$205,0)))</f>
        <v/>
      </c>
      <c r="P10" s="11" t="str">
        <f aca="false">IF($A10="","",INDEX(Employees!$AM$6:$AM$205,MATCH($A10,Employees!$BH$6:$BH$205,0)))</f>
        <v/>
      </c>
    </row>
    <row r="11" customFormat="false" ht="15" hidden="false" customHeight="false" outlineLevel="0" collapsed="false">
      <c r="A11" s="11" t="str">
        <f aca="false">IF(6&lt;=MAX(Employees!$BH$6:$BH$205),6,"")</f>
        <v/>
      </c>
      <c r="B11" s="11" t="str">
        <f aca="false">IF($A11="","",INDEX(Employees!$A$6:$A$205,MATCH($A11,Employees!$BH$6:$BH$205,0)))</f>
        <v/>
      </c>
      <c r="C11" s="11" t="str">
        <f aca="false">IF($A11="","",INDEX(Employees!$B$6:$B$205,MATCH($A11,Employees!$BH$6:$BH$205,0)))</f>
        <v/>
      </c>
      <c r="D11" s="11" t="str">
        <f aca="false">IF($A11="","",INDEX(Employees!$C$6:$C$205,MATCH($A11,Employees!$BH$6:$BH$205,0)))</f>
        <v/>
      </c>
      <c r="E11" s="11" t="str">
        <f aca="false">IF($A11="","",INDEX(Employees!$D$6:$D$205,MATCH($A11,Employees!$BH$6:$BH$205,0)))</f>
        <v/>
      </c>
      <c r="F11" s="11" t="str">
        <f aca="false">IF($A11="","",INDEX(Employees!$T$6:$T$205,MATCH($A11,Employees!$BH$6:$BH$205,0)))</f>
        <v/>
      </c>
      <c r="G11" s="26" t="str">
        <f aca="false">IF($A11="","",INDEX(Employees!$U$6:$U$205,MATCH($A11,Employees!$BH$6:$BH$205,0)))</f>
        <v/>
      </c>
      <c r="H11" s="28" t="str">
        <f aca="false">IF($A11="","",INDEX(Employees!$E$6:$E$205,MATCH($A11,Employees!$BH$6:$BH$205,0)))</f>
        <v/>
      </c>
      <c r="I11" s="11" t="str">
        <f aca="false">IF($A11="","",INDEX(Employees!$Z$6:$Z$205,MATCH($A11,Employees!$BH$6:$BH$205,0)))</f>
        <v/>
      </c>
      <c r="J11" s="26" t="str">
        <f aca="false">IF($A11="","",INDEX(Employees!$AB$6:$AB$205,MATCH($A11,Employees!$BH$6:$BH$205,0)))</f>
        <v/>
      </c>
      <c r="K11" s="26" t="str">
        <f aca="false">IF($A11="","",INDEX(Employees!$AI$6:$AI$205,MATCH($A11,Employees!$BH$6:$BH$205,0)))</f>
        <v/>
      </c>
      <c r="L11" s="26" t="str">
        <f aca="false">IF($A11="","",INDEX(Employees!$AG$6:$AG$205,MATCH($A11,Employees!$BH$6:$BH$205,0)))</f>
        <v/>
      </c>
      <c r="M11" s="26" t="str">
        <f aca="false">IF($A11="","",INDEX(Employees!$AH$6:$AH$205,MATCH($A11,Employees!$BH$6:$BH$205,0)))</f>
        <v/>
      </c>
      <c r="N11" s="26" t="str">
        <f aca="false">IF($A11="","",INDEX(Employees!$AK$6:$AK$205,MATCH($A11,Employees!$BH$6:$BH$205,0)))</f>
        <v/>
      </c>
      <c r="O11" s="26" t="str">
        <f aca="false">IF($A11="","",INDEX(Employees!$AL$6:$AL$205,MATCH($A11,Employees!$BH$6:$BH$205,0)))</f>
        <v/>
      </c>
      <c r="P11" s="11" t="str">
        <f aca="false">IF($A11="","",INDEX(Employees!$AM$6:$AM$205,MATCH($A11,Employees!$BH$6:$BH$205,0)))</f>
        <v/>
      </c>
    </row>
    <row r="12" customFormat="false" ht="15" hidden="false" customHeight="false" outlineLevel="0" collapsed="false">
      <c r="A12" s="11" t="str">
        <f aca="false">IF(7&lt;=MAX(Employees!$BH$6:$BH$205),7,"")</f>
        <v/>
      </c>
      <c r="B12" s="11" t="str">
        <f aca="false">IF($A12="","",INDEX(Employees!$A$6:$A$205,MATCH($A12,Employees!$BH$6:$BH$205,0)))</f>
        <v/>
      </c>
      <c r="C12" s="11" t="str">
        <f aca="false">IF($A12="","",INDEX(Employees!$B$6:$B$205,MATCH($A12,Employees!$BH$6:$BH$205,0)))</f>
        <v/>
      </c>
      <c r="D12" s="11" t="str">
        <f aca="false">IF($A12="","",INDEX(Employees!$C$6:$C$205,MATCH($A12,Employees!$BH$6:$BH$205,0)))</f>
        <v/>
      </c>
      <c r="E12" s="11" t="str">
        <f aca="false">IF($A12="","",INDEX(Employees!$D$6:$D$205,MATCH($A12,Employees!$BH$6:$BH$205,0)))</f>
        <v/>
      </c>
      <c r="F12" s="11" t="str">
        <f aca="false">IF($A12="","",INDEX(Employees!$T$6:$T$205,MATCH($A12,Employees!$BH$6:$BH$205,0)))</f>
        <v/>
      </c>
      <c r="G12" s="26" t="str">
        <f aca="false">IF($A12="","",INDEX(Employees!$U$6:$U$205,MATCH($A12,Employees!$BH$6:$BH$205,0)))</f>
        <v/>
      </c>
      <c r="H12" s="28" t="str">
        <f aca="false">IF($A12="","",INDEX(Employees!$E$6:$E$205,MATCH($A12,Employees!$BH$6:$BH$205,0)))</f>
        <v/>
      </c>
      <c r="I12" s="11" t="str">
        <f aca="false">IF($A12="","",INDEX(Employees!$Z$6:$Z$205,MATCH($A12,Employees!$BH$6:$BH$205,0)))</f>
        <v/>
      </c>
      <c r="J12" s="26" t="str">
        <f aca="false">IF($A12="","",INDEX(Employees!$AB$6:$AB$205,MATCH($A12,Employees!$BH$6:$BH$205,0)))</f>
        <v/>
      </c>
      <c r="K12" s="26" t="str">
        <f aca="false">IF($A12="","",INDEX(Employees!$AI$6:$AI$205,MATCH($A12,Employees!$BH$6:$BH$205,0)))</f>
        <v/>
      </c>
      <c r="L12" s="26" t="str">
        <f aca="false">IF($A12="","",INDEX(Employees!$AG$6:$AG$205,MATCH($A12,Employees!$BH$6:$BH$205,0)))</f>
        <v/>
      </c>
      <c r="M12" s="26" t="str">
        <f aca="false">IF($A12="","",INDEX(Employees!$AH$6:$AH$205,MATCH($A12,Employees!$BH$6:$BH$205,0)))</f>
        <v/>
      </c>
      <c r="N12" s="26" t="str">
        <f aca="false">IF($A12="","",INDEX(Employees!$AK$6:$AK$205,MATCH($A12,Employees!$BH$6:$BH$205,0)))</f>
        <v/>
      </c>
      <c r="O12" s="26" t="str">
        <f aca="false">IF($A12="","",INDEX(Employees!$AL$6:$AL$205,MATCH($A12,Employees!$BH$6:$BH$205,0)))</f>
        <v/>
      </c>
      <c r="P12" s="11" t="str">
        <f aca="false">IF($A12="","",INDEX(Employees!$AM$6:$AM$205,MATCH($A12,Employees!$BH$6:$BH$205,0)))</f>
        <v/>
      </c>
    </row>
    <row r="13" customFormat="false" ht="15" hidden="false" customHeight="false" outlineLevel="0" collapsed="false">
      <c r="A13" s="11" t="str">
        <f aca="false">IF(8&lt;=MAX(Employees!$BH$6:$BH$205),8,"")</f>
        <v/>
      </c>
      <c r="B13" s="11" t="str">
        <f aca="false">IF($A13="","",INDEX(Employees!$A$6:$A$205,MATCH($A13,Employees!$BH$6:$BH$205,0)))</f>
        <v/>
      </c>
      <c r="C13" s="11" t="str">
        <f aca="false">IF($A13="","",INDEX(Employees!$B$6:$B$205,MATCH($A13,Employees!$BH$6:$BH$205,0)))</f>
        <v/>
      </c>
      <c r="D13" s="11" t="str">
        <f aca="false">IF($A13="","",INDEX(Employees!$C$6:$C$205,MATCH($A13,Employees!$BH$6:$BH$205,0)))</f>
        <v/>
      </c>
      <c r="E13" s="11" t="str">
        <f aca="false">IF($A13="","",INDEX(Employees!$D$6:$D$205,MATCH($A13,Employees!$BH$6:$BH$205,0)))</f>
        <v/>
      </c>
      <c r="F13" s="11" t="str">
        <f aca="false">IF($A13="","",INDEX(Employees!$T$6:$T$205,MATCH($A13,Employees!$BH$6:$BH$205,0)))</f>
        <v/>
      </c>
      <c r="G13" s="26" t="str">
        <f aca="false">IF($A13="","",INDEX(Employees!$U$6:$U$205,MATCH($A13,Employees!$BH$6:$BH$205,0)))</f>
        <v/>
      </c>
      <c r="H13" s="28" t="str">
        <f aca="false">IF($A13="","",INDEX(Employees!$E$6:$E$205,MATCH($A13,Employees!$BH$6:$BH$205,0)))</f>
        <v/>
      </c>
      <c r="I13" s="11" t="str">
        <f aca="false">IF($A13="","",INDEX(Employees!$Z$6:$Z$205,MATCH($A13,Employees!$BH$6:$BH$205,0)))</f>
        <v/>
      </c>
      <c r="J13" s="26" t="str">
        <f aca="false">IF($A13="","",INDEX(Employees!$AB$6:$AB$205,MATCH($A13,Employees!$BH$6:$BH$205,0)))</f>
        <v/>
      </c>
      <c r="K13" s="26" t="str">
        <f aca="false">IF($A13="","",INDEX(Employees!$AI$6:$AI$205,MATCH($A13,Employees!$BH$6:$BH$205,0)))</f>
        <v/>
      </c>
      <c r="L13" s="26" t="str">
        <f aca="false">IF($A13="","",INDEX(Employees!$AG$6:$AG$205,MATCH($A13,Employees!$BH$6:$BH$205,0)))</f>
        <v/>
      </c>
      <c r="M13" s="26" t="str">
        <f aca="false">IF($A13="","",INDEX(Employees!$AH$6:$AH$205,MATCH($A13,Employees!$BH$6:$BH$205,0)))</f>
        <v/>
      </c>
      <c r="N13" s="26" t="str">
        <f aca="false">IF($A13="","",INDEX(Employees!$AK$6:$AK$205,MATCH($A13,Employees!$BH$6:$BH$205,0)))</f>
        <v/>
      </c>
      <c r="O13" s="26" t="str">
        <f aca="false">IF($A13="","",INDEX(Employees!$AL$6:$AL$205,MATCH($A13,Employees!$BH$6:$BH$205,0)))</f>
        <v/>
      </c>
      <c r="P13" s="11" t="str">
        <f aca="false">IF($A13="","",INDEX(Employees!$AM$6:$AM$205,MATCH($A13,Employees!$BH$6:$BH$205,0)))</f>
        <v/>
      </c>
    </row>
    <row r="14" customFormat="false" ht="15" hidden="false" customHeight="false" outlineLevel="0" collapsed="false">
      <c r="A14" s="11" t="str">
        <f aca="false">IF(9&lt;=MAX(Employees!$BH$6:$BH$205),9,"")</f>
        <v/>
      </c>
      <c r="B14" s="11" t="str">
        <f aca="false">IF($A14="","",INDEX(Employees!$A$6:$A$205,MATCH($A14,Employees!$BH$6:$BH$205,0)))</f>
        <v/>
      </c>
      <c r="C14" s="11" t="str">
        <f aca="false">IF($A14="","",INDEX(Employees!$B$6:$B$205,MATCH($A14,Employees!$BH$6:$BH$205,0)))</f>
        <v/>
      </c>
      <c r="D14" s="11" t="str">
        <f aca="false">IF($A14="","",INDEX(Employees!$C$6:$C$205,MATCH($A14,Employees!$BH$6:$BH$205,0)))</f>
        <v/>
      </c>
      <c r="E14" s="11" t="str">
        <f aca="false">IF($A14="","",INDEX(Employees!$D$6:$D$205,MATCH($A14,Employees!$BH$6:$BH$205,0)))</f>
        <v/>
      </c>
      <c r="F14" s="11" t="str">
        <f aca="false">IF($A14="","",INDEX(Employees!$T$6:$T$205,MATCH($A14,Employees!$BH$6:$BH$205,0)))</f>
        <v/>
      </c>
      <c r="G14" s="26" t="str">
        <f aca="false">IF($A14="","",INDEX(Employees!$U$6:$U$205,MATCH($A14,Employees!$BH$6:$BH$205,0)))</f>
        <v/>
      </c>
      <c r="H14" s="28" t="str">
        <f aca="false">IF($A14="","",INDEX(Employees!$E$6:$E$205,MATCH($A14,Employees!$BH$6:$BH$205,0)))</f>
        <v/>
      </c>
      <c r="I14" s="11" t="str">
        <f aca="false">IF($A14="","",INDEX(Employees!$Z$6:$Z$205,MATCH($A14,Employees!$BH$6:$BH$205,0)))</f>
        <v/>
      </c>
      <c r="J14" s="26" t="str">
        <f aca="false">IF($A14="","",INDEX(Employees!$AB$6:$AB$205,MATCH($A14,Employees!$BH$6:$BH$205,0)))</f>
        <v/>
      </c>
      <c r="K14" s="26" t="str">
        <f aca="false">IF($A14="","",INDEX(Employees!$AI$6:$AI$205,MATCH($A14,Employees!$BH$6:$BH$205,0)))</f>
        <v/>
      </c>
      <c r="L14" s="26" t="str">
        <f aca="false">IF($A14="","",INDEX(Employees!$AG$6:$AG$205,MATCH($A14,Employees!$BH$6:$BH$205,0)))</f>
        <v/>
      </c>
      <c r="M14" s="26" t="str">
        <f aca="false">IF($A14="","",INDEX(Employees!$AH$6:$AH$205,MATCH($A14,Employees!$BH$6:$BH$205,0)))</f>
        <v/>
      </c>
      <c r="N14" s="26" t="str">
        <f aca="false">IF($A14="","",INDEX(Employees!$AK$6:$AK$205,MATCH($A14,Employees!$BH$6:$BH$205,0)))</f>
        <v/>
      </c>
      <c r="O14" s="26" t="str">
        <f aca="false">IF($A14="","",INDEX(Employees!$AL$6:$AL$205,MATCH($A14,Employees!$BH$6:$BH$205,0)))</f>
        <v/>
      </c>
      <c r="P14" s="11" t="str">
        <f aca="false">IF($A14="","",INDEX(Employees!$AM$6:$AM$205,MATCH($A14,Employees!$BH$6:$BH$205,0)))</f>
        <v/>
      </c>
    </row>
    <row r="15" customFormat="false" ht="15" hidden="false" customHeight="false" outlineLevel="0" collapsed="false">
      <c r="A15" s="11" t="str">
        <f aca="false">IF(10&lt;=MAX(Employees!$BH$6:$BH$205),10,"")</f>
        <v/>
      </c>
      <c r="B15" s="11" t="str">
        <f aca="false">IF($A15="","",INDEX(Employees!$A$6:$A$205,MATCH($A15,Employees!$BH$6:$BH$205,0)))</f>
        <v/>
      </c>
      <c r="C15" s="11" t="str">
        <f aca="false">IF($A15="","",INDEX(Employees!$B$6:$B$205,MATCH($A15,Employees!$BH$6:$BH$205,0)))</f>
        <v/>
      </c>
      <c r="D15" s="11" t="str">
        <f aca="false">IF($A15="","",INDEX(Employees!$C$6:$C$205,MATCH($A15,Employees!$BH$6:$BH$205,0)))</f>
        <v/>
      </c>
      <c r="E15" s="11" t="str">
        <f aca="false">IF($A15="","",INDEX(Employees!$D$6:$D$205,MATCH($A15,Employees!$BH$6:$BH$205,0)))</f>
        <v/>
      </c>
      <c r="F15" s="11" t="str">
        <f aca="false">IF($A15="","",INDEX(Employees!$T$6:$T$205,MATCH($A15,Employees!$BH$6:$BH$205,0)))</f>
        <v/>
      </c>
      <c r="G15" s="26" t="str">
        <f aca="false">IF($A15="","",INDEX(Employees!$U$6:$U$205,MATCH($A15,Employees!$BH$6:$BH$205,0)))</f>
        <v/>
      </c>
      <c r="H15" s="28" t="str">
        <f aca="false">IF($A15="","",INDEX(Employees!$E$6:$E$205,MATCH($A15,Employees!$BH$6:$BH$205,0)))</f>
        <v/>
      </c>
      <c r="I15" s="11" t="str">
        <f aca="false">IF($A15="","",INDEX(Employees!$Z$6:$Z$205,MATCH($A15,Employees!$BH$6:$BH$205,0)))</f>
        <v/>
      </c>
      <c r="J15" s="26" t="str">
        <f aca="false">IF($A15="","",INDEX(Employees!$AB$6:$AB$205,MATCH($A15,Employees!$BH$6:$BH$205,0)))</f>
        <v/>
      </c>
      <c r="K15" s="26" t="str">
        <f aca="false">IF($A15="","",INDEX(Employees!$AI$6:$AI$205,MATCH($A15,Employees!$BH$6:$BH$205,0)))</f>
        <v/>
      </c>
      <c r="L15" s="26" t="str">
        <f aca="false">IF($A15="","",INDEX(Employees!$AG$6:$AG$205,MATCH($A15,Employees!$BH$6:$BH$205,0)))</f>
        <v/>
      </c>
      <c r="M15" s="26" t="str">
        <f aca="false">IF($A15="","",INDEX(Employees!$AH$6:$AH$205,MATCH($A15,Employees!$BH$6:$BH$205,0)))</f>
        <v/>
      </c>
      <c r="N15" s="26" t="str">
        <f aca="false">IF($A15="","",INDEX(Employees!$AK$6:$AK$205,MATCH($A15,Employees!$BH$6:$BH$205,0)))</f>
        <v/>
      </c>
      <c r="O15" s="26" t="str">
        <f aca="false">IF($A15="","",INDEX(Employees!$AL$6:$AL$205,MATCH($A15,Employees!$BH$6:$BH$205,0)))</f>
        <v/>
      </c>
      <c r="P15" s="11" t="str">
        <f aca="false">IF($A15="","",INDEX(Employees!$AM$6:$AM$205,MATCH($A15,Employees!$BH$6:$BH$205,0)))</f>
        <v/>
      </c>
    </row>
    <row r="16" customFormat="false" ht="15" hidden="false" customHeight="false" outlineLevel="0" collapsed="false">
      <c r="A16" s="11" t="str">
        <f aca="false">IF(11&lt;=MAX(Employees!$BH$6:$BH$205),11,"")</f>
        <v/>
      </c>
      <c r="B16" s="11" t="str">
        <f aca="false">IF($A16="","",INDEX(Employees!$A$6:$A$205,MATCH($A16,Employees!$BH$6:$BH$205,0)))</f>
        <v/>
      </c>
      <c r="C16" s="11" t="str">
        <f aca="false">IF($A16="","",INDEX(Employees!$B$6:$B$205,MATCH($A16,Employees!$BH$6:$BH$205,0)))</f>
        <v/>
      </c>
      <c r="D16" s="11" t="str">
        <f aca="false">IF($A16="","",INDEX(Employees!$C$6:$C$205,MATCH($A16,Employees!$BH$6:$BH$205,0)))</f>
        <v/>
      </c>
      <c r="E16" s="11" t="str">
        <f aca="false">IF($A16="","",INDEX(Employees!$D$6:$D$205,MATCH($A16,Employees!$BH$6:$BH$205,0)))</f>
        <v/>
      </c>
      <c r="F16" s="11" t="str">
        <f aca="false">IF($A16="","",INDEX(Employees!$T$6:$T$205,MATCH($A16,Employees!$BH$6:$BH$205,0)))</f>
        <v/>
      </c>
      <c r="G16" s="26" t="str">
        <f aca="false">IF($A16="","",INDEX(Employees!$U$6:$U$205,MATCH($A16,Employees!$BH$6:$BH$205,0)))</f>
        <v/>
      </c>
      <c r="H16" s="28" t="str">
        <f aca="false">IF($A16="","",INDEX(Employees!$E$6:$E$205,MATCH($A16,Employees!$BH$6:$BH$205,0)))</f>
        <v/>
      </c>
      <c r="I16" s="11" t="str">
        <f aca="false">IF($A16="","",INDEX(Employees!$Z$6:$Z$205,MATCH($A16,Employees!$BH$6:$BH$205,0)))</f>
        <v/>
      </c>
      <c r="J16" s="26" t="str">
        <f aca="false">IF($A16="","",INDEX(Employees!$AB$6:$AB$205,MATCH($A16,Employees!$BH$6:$BH$205,0)))</f>
        <v/>
      </c>
      <c r="K16" s="26" t="str">
        <f aca="false">IF($A16="","",INDEX(Employees!$AI$6:$AI$205,MATCH($A16,Employees!$BH$6:$BH$205,0)))</f>
        <v/>
      </c>
      <c r="L16" s="26" t="str">
        <f aca="false">IF($A16="","",INDEX(Employees!$AG$6:$AG$205,MATCH($A16,Employees!$BH$6:$BH$205,0)))</f>
        <v/>
      </c>
      <c r="M16" s="26" t="str">
        <f aca="false">IF($A16="","",INDEX(Employees!$AH$6:$AH$205,MATCH($A16,Employees!$BH$6:$BH$205,0)))</f>
        <v/>
      </c>
      <c r="N16" s="26" t="str">
        <f aca="false">IF($A16="","",INDEX(Employees!$AK$6:$AK$205,MATCH($A16,Employees!$BH$6:$BH$205,0)))</f>
        <v/>
      </c>
      <c r="O16" s="26" t="str">
        <f aca="false">IF($A16="","",INDEX(Employees!$AL$6:$AL$205,MATCH($A16,Employees!$BH$6:$BH$205,0)))</f>
        <v/>
      </c>
      <c r="P16" s="11" t="str">
        <f aca="false">IF($A16="","",INDEX(Employees!$AM$6:$AM$205,MATCH($A16,Employees!$BH$6:$BH$205,0)))</f>
        <v/>
      </c>
    </row>
    <row r="17" customFormat="false" ht="15" hidden="false" customHeight="false" outlineLevel="0" collapsed="false">
      <c r="A17" s="11" t="str">
        <f aca="false">IF(12&lt;=MAX(Employees!$BH$6:$BH$205),12,"")</f>
        <v/>
      </c>
      <c r="B17" s="11" t="str">
        <f aca="false">IF($A17="","",INDEX(Employees!$A$6:$A$205,MATCH($A17,Employees!$BH$6:$BH$205,0)))</f>
        <v/>
      </c>
      <c r="C17" s="11" t="str">
        <f aca="false">IF($A17="","",INDEX(Employees!$B$6:$B$205,MATCH($A17,Employees!$BH$6:$BH$205,0)))</f>
        <v/>
      </c>
      <c r="D17" s="11" t="str">
        <f aca="false">IF($A17="","",INDEX(Employees!$C$6:$C$205,MATCH($A17,Employees!$BH$6:$BH$205,0)))</f>
        <v/>
      </c>
      <c r="E17" s="11" t="str">
        <f aca="false">IF($A17="","",INDEX(Employees!$D$6:$D$205,MATCH($A17,Employees!$BH$6:$BH$205,0)))</f>
        <v/>
      </c>
      <c r="F17" s="11" t="str">
        <f aca="false">IF($A17="","",INDEX(Employees!$T$6:$T$205,MATCH($A17,Employees!$BH$6:$BH$205,0)))</f>
        <v/>
      </c>
      <c r="G17" s="26" t="str">
        <f aca="false">IF($A17="","",INDEX(Employees!$U$6:$U$205,MATCH($A17,Employees!$BH$6:$BH$205,0)))</f>
        <v/>
      </c>
      <c r="H17" s="28" t="str">
        <f aca="false">IF($A17="","",INDEX(Employees!$E$6:$E$205,MATCH($A17,Employees!$BH$6:$BH$205,0)))</f>
        <v/>
      </c>
      <c r="I17" s="11" t="str">
        <f aca="false">IF($A17="","",INDEX(Employees!$Z$6:$Z$205,MATCH($A17,Employees!$BH$6:$BH$205,0)))</f>
        <v/>
      </c>
      <c r="J17" s="26" t="str">
        <f aca="false">IF($A17="","",INDEX(Employees!$AB$6:$AB$205,MATCH($A17,Employees!$BH$6:$BH$205,0)))</f>
        <v/>
      </c>
      <c r="K17" s="26" t="str">
        <f aca="false">IF($A17="","",INDEX(Employees!$AI$6:$AI$205,MATCH($A17,Employees!$BH$6:$BH$205,0)))</f>
        <v/>
      </c>
      <c r="L17" s="26" t="str">
        <f aca="false">IF($A17="","",INDEX(Employees!$AG$6:$AG$205,MATCH($A17,Employees!$BH$6:$BH$205,0)))</f>
        <v/>
      </c>
      <c r="M17" s="26" t="str">
        <f aca="false">IF($A17="","",INDEX(Employees!$AH$6:$AH$205,MATCH($A17,Employees!$BH$6:$BH$205,0)))</f>
        <v/>
      </c>
      <c r="N17" s="26" t="str">
        <f aca="false">IF($A17="","",INDEX(Employees!$AK$6:$AK$205,MATCH($A17,Employees!$BH$6:$BH$205,0)))</f>
        <v/>
      </c>
      <c r="O17" s="26" t="str">
        <f aca="false">IF($A17="","",INDEX(Employees!$AL$6:$AL$205,MATCH($A17,Employees!$BH$6:$BH$205,0)))</f>
        <v/>
      </c>
      <c r="P17" s="11" t="str">
        <f aca="false">IF($A17="","",INDEX(Employees!$AM$6:$AM$205,MATCH($A17,Employees!$BH$6:$BH$205,0)))</f>
        <v/>
      </c>
    </row>
    <row r="18" customFormat="false" ht="15" hidden="false" customHeight="false" outlineLevel="0" collapsed="false">
      <c r="A18" s="11" t="str">
        <f aca="false">IF(13&lt;=MAX(Employees!$BH$6:$BH$205),13,"")</f>
        <v/>
      </c>
      <c r="B18" s="11" t="str">
        <f aca="false">IF($A18="","",INDEX(Employees!$A$6:$A$205,MATCH($A18,Employees!$BH$6:$BH$205,0)))</f>
        <v/>
      </c>
      <c r="C18" s="11" t="str">
        <f aca="false">IF($A18="","",INDEX(Employees!$B$6:$B$205,MATCH($A18,Employees!$BH$6:$BH$205,0)))</f>
        <v/>
      </c>
      <c r="D18" s="11" t="str">
        <f aca="false">IF($A18="","",INDEX(Employees!$C$6:$C$205,MATCH($A18,Employees!$BH$6:$BH$205,0)))</f>
        <v/>
      </c>
      <c r="E18" s="11" t="str">
        <f aca="false">IF($A18="","",INDEX(Employees!$D$6:$D$205,MATCH($A18,Employees!$BH$6:$BH$205,0)))</f>
        <v/>
      </c>
      <c r="F18" s="11" t="str">
        <f aca="false">IF($A18="","",INDEX(Employees!$T$6:$T$205,MATCH($A18,Employees!$BH$6:$BH$205,0)))</f>
        <v/>
      </c>
      <c r="G18" s="26" t="str">
        <f aca="false">IF($A18="","",INDEX(Employees!$U$6:$U$205,MATCH($A18,Employees!$BH$6:$BH$205,0)))</f>
        <v/>
      </c>
      <c r="H18" s="28" t="str">
        <f aca="false">IF($A18="","",INDEX(Employees!$E$6:$E$205,MATCH($A18,Employees!$BH$6:$BH$205,0)))</f>
        <v/>
      </c>
      <c r="I18" s="11" t="str">
        <f aca="false">IF($A18="","",INDEX(Employees!$Z$6:$Z$205,MATCH($A18,Employees!$BH$6:$BH$205,0)))</f>
        <v/>
      </c>
      <c r="J18" s="26" t="str">
        <f aca="false">IF($A18="","",INDEX(Employees!$AB$6:$AB$205,MATCH($A18,Employees!$BH$6:$BH$205,0)))</f>
        <v/>
      </c>
      <c r="K18" s="26" t="str">
        <f aca="false">IF($A18="","",INDEX(Employees!$AI$6:$AI$205,MATCH($A18,Employees!$BH$6:$BH$205,0)))</f>
        <v/>
      </c>
      <c r="L18" s="26" t="str">
        <f aca="false">IF($A18="","",INDEX(Employees!$AG$6:$AG$205,MATCH($A18,Employees!$BH$6:$BH$205,0)))</f>
        <v/>
      </c>
      <c r="M18" s="26" t="str">
        <f aca="false">IF($A18="","",INDEX(Employees!$AH$6:$AH$205,MATCH($A18,Employees!$BH$6:$BH$205,0)))</f>
        <v/>
      </c>
      <c r="N18" s="26" t="str">
        <f aca="false">IF($A18="","",INDEX(Employees!$AK$6:$AK$205,MATCH($A18,Employees!$BH$6:$BH$205,0)))</f>
        <v/>
      </c>
      <c r="O18" s="26" t="str">
        <f aca="false">IF($A18="","",INDEX(Employees!$AL$6:$AL$205,MATCH($A18,Employees!$BH$6:$BH$205,0)))</f>
        <v/>
      </c>
      <c r="P18" s="11" t="str">
        <f aca="false">IF($A18="","",INDEX(Employees!$AM$6:$AM$205,MATCH($A18,Employees!$BH$6:$BH$205,0)))</f>
        <v/>
      </c>
    </row>
    <row r="19" customFormat="false" ht="15" hidden="false" customHeight="false" outlineLevel="0" collapsed="false">
      <c r="A19" s="11" t="str">
        <f aca="false">IF(14&lt;=MAX(Employees!$BH$6:$BH$205),14,"")</f>
        <v/>
      </c>
      <c r="B19" s="11" t="str">
        <f aca="false">IF($A19="","",INDEX(Employees!$A$6:$A$205,MATCH($A19,Employees!$BH$6:$BH$205,0)))</f>
        <v/>
      </c>
      <c r="C19" s="11" t="str">
        <f aca="false">IF($A19="","",INDEX(Employees!$B$6:$B$205,MATCH($A19,Employees!$BH$6:$BH$205,0)))</f>
        <v/>
      </c>
      <c r="D19" s="11" t="str">
        <f aca="false">IF($A19="","",INDEX(Employees!$C$6:$C$205,MATCH($A19,Employees!$BH$6:$BH$205,0)))</f>
        <v/>
      </c>
      <c r="E19" s="11" t="str">
        <f aca="false">IF($A19="","",INDEX(Employees!$D$6:$D$205,MATCH($A19,Employees!$BH$6:$BH$205,0)))</f>
        <v/>
      </c>
      <c r="F19" s="11" t="str">
        <f aca="false">IF($A19="","",INDEX(Employees!$T$6:$T$205,MATCH($A19,Employees!$BH$6:$BH$205,0)))</f>
        <v/>
      </c>
      <c r="G19" s="26" t="str">
        <f aca="false">IF($A19="","",INDEX(Employees!$U$6:$U$205,MATCH($A19,Employees!$BH$6:$BH$205,0)))</f>
        <v/>
      </c>
      <c r="H19" s="28" t="str">
        <f aca="false">IF($A19="","",INDEX(Employees!$E$6:$E$205,MATCH($A19,Employees!$BH$6:$BH$205,0)))</f>
        <v/>
      </c>
      <c r="I19" s="11" t="str">
        <f aca="false">IF($A19="","",INDEX(Employees!$Z$6:$Z$205,MATCH($A19,Employees!$BH$6:$BH$205,0)))</f>
        <v/>
      </c>
      <c r="J19" s="26" t="str">
        <f aca="false">IF($A19="","",INDEX(Employees!$AB$6:$AB$205,MATCH($A19,Employees!$BH$6:$BH$205,0)))</f>
        <v/>
      </c>
      <c r="K19" s="26" t="str">
        <f aca="false">IF($A19="","",INDEX(Employees!$AI$6:$AI$205,MATCH($A19,Employees!$BH$6:$BH$205,0)))</f>
        <v/>
      </c>
      <c r="L19" s="26" t="str">
        <f aca="false">IF($A19="","",INDEX(Employees!$AG$6:$AG$205,MATCH($A19,Employees!$BH$6:$BH$205,0)))</f>
        <v/>
      </c>
      <c r="M19" s="26" t="str">
        <f aca="false">IF($A19="","",INDEX(Employees!$AH$6:$AH$205,MATCH($A19,Employees!$BH$6:$BH$205,0)))</f>
        <v/>
      </c>
      <c r="N19" s="26" t="str">
        <f aca="false">IF($A19="","",INDEX(Employees!$AK$6:$AK$205,MATCH($A19,Employees!$BH$6:$BH$205,0)))</f>
        <v/>
      </c>
      <c r="O19" s="26" t="str">
        <f aca="false">IF($A19="","",INDEX(Employees!$AL$6:$AL$205,MATCH($A19,Employees!$BH$6:$BH$205,0)))</f>
        <v/>
      </c>
      <c r="P19" s="11" t="str">
        <f aca="false">IF($A19="","",INDEX(Employees!$AM$6:$AM$205,MATCH($A19,Employees!$BH$6:$BH$205,0)))</f>
        <v/>
      </c>
    </row>
    <row r="20" customFormat="false" ht="15" hidden="false" customHeight="false" outlineLevel="0" collapsed="false">
      <c r="A20" s="11" t="str">
        <f aca="false">IF(15&lt;=MAX(Employees!$BH$6:$BH$205),15,"")</f>
        <v/>
      </c>
      <c r="B20" s="11" t="str">
        <f aca="false">IF($A20="","",INDEX(Employees!$A$6:$A$205,MATCH($A20,Employees!$BH$6:$BH$205,0)))</f>
        <v/>
      </c>
      <c r="C20" s="11" t="str">
        <f aca="false">IF($A20="","",INDEX(Employees!$B$6:$B$205,MATCH($A20,Employees!$BH$6:$BH$205,0)))</f>
        <v/>
      </c>
      <c r="D20" s="11" t="str">
        <f aca="false">IF($A20="","",INDEX(Employees!$C$6:$C$205,MATCH($A20,Employees!$BH$6:$BH$205,0)))</f>
        <v/>
      </c>
      <c r="E20" s="11" t="str">
        <f aca="false">IF($A20="","",INDEX(Employees!$D$6:$D$205,MATCH($A20,Employees!$BH$6:$BH$205,0)))</f>
        <v/>
      </c>
      <c r="F20" s="11" t="str">
        <f aca="false">IF($A20="","",INDEX(Employees!$T$6:$T$205,MATCH($A20,Employees!$BH$6:$BH$205,0)))</f>
        <v/>
      </c>
      <c r="G20" s="26" t="str">
        <f aca="false">IF($A20="","",INDEX(Employees!$U$6:$U$205,MATCH($A20,Employees!$BH$6:$BH$205,0)))</f>
        <v/>
      </c>
      <c r="H20" s="28" t="str">
        <f aca="false">IF($A20="","",INDEX(Employees!$E$6:$E$205,MATCH($A20,Employees!$BH$6:$BH$205,0)))</f>
        <v/>
      </c>
      <c r="I20" s="11" t="str">
        <f aca="false">IF($A20="","",INDEX(Employees!$Z$6:$Z$205,MATCH($A20,Employees!$BH$6:$BH$205,0)))</f>
        <v/>
      </c>
      <c r="J20" s="26" t="str">
        <f aca="false">IF($A20="","",INDEX(Employees!$AB$6:$AB$205,MATCH($A20,Employees!$BH$6:$BH$205,0)))</f>
        <v/>
      </c>
      <c r="K20" s="26" t="str">
        <f aca="false">IF($A20="","",INDEX(Employees!$AI$6:$AI$205,MATCH($A20,Employees!$BH$6:$BH$205,0)))</f>
        <v/>
      </c>
      <c r="L20" s="26" t="str">
        <f aca="false">IF($A20="","",INDEX(Employees!$AG$6:$AG$205,MATCH($A20,Employees!$BH$6:$BH$205,0)))</f>
        <v/>
      </c>
      <c r="M20" s="26" t="str">
        <f aca="false">IF($A20="","",INDEX(Employees!$AH$6:$AH$205,MATCH($A20,Employees!$BH$6:$BH$205,0)))</f>
        <v/>
      </c>
      <c r="N20" s="26" t="str">
        <f aca="false">IF($A20="","",INDEX(Employees!$AK$6:$AK$205,MATCH($A20,Employees!$BH$6:$BH$205,0)))</f>
        <v/>
      </c>
      <c r="O20" s="26" t="str">
        <f aca="false">IF($A20="","",INDEX(Employees!$AL$6:$AL$205,MATCH($A20,Employees!$BH$6:$BH$205,0)))</f>
        <v/>
      </c>
      <c r="P20" s="11" t="str">
        <f aca="false">IF($A20="","",INDEX(Employees!$AM$6:$AM$205,MATCH($A20,Employees!$BH$6:$BH$205,0)))</f>
        <v/>
      </c>
    </row>
    <row r="21" customFormat="false" ht="15" hidden="false" customHeight="false" outlineLevel="0" collapsed="false">
      <c r="A21" s="11" t="str">
        <f aca="false">IF(16&lt;=MAX(Employees!$BH$6:$BH$205),16,"")</f>
        <v/>
      </c>
      <c r="B21" s="11" t="str">
        <f aca="false">IF($A21="","",INDEX(Employees!$A$6:$A$205,MATCH($A21,Employees!$BH$6:$BH$205,0)))</f>
        <v/>
      </c>
      <c r="C21" s="11" t="str">
        <f aca="false">IF($A21="","",INDEX(Employees!$B$6:$B$205,MATCH($A21,Employees!$BH$6:$BH$205,0)))</f>
        <v/>
      </c>
      <c r="D21" s="11" t="str">
        <f aca="false">IF($A21="","",INDEX(Employees!$C$6:$C$205,MATCH($A21,Employees!$BH$6:$BH$205,0)))</f>
        <v/>
      </c>
      <c r="E21" s="11" t="str">
        <f aca="false">IF($A21="","",INDEX(Employees!$D$6:$D$205,MATCH($A21,Employees!$BH$6:$BH$205,0)))</f>
        <v/>
      </c>
      <c r="F21" s="11" t="str">
        <f aca="false">IF($A21="","",INDEX(Employees!$T$6:$T$205,MATCH($A21,Employees!$BH$6:$BH$205,0)))</f>
        <v/>
      </c>
      <c r="G21" s="26" t="str">
        <f aca="false">IF($A21="","",INDEX(Employees!$U$6:$U$205,MATCH($A21,Employees!$BH$6:$BH$205,0)))</f>
        <v/>
      </c>
      <c r="H21" s="28" t="str">
        <f aca="false">IF($A21="","",INDEX(Employees!$E$6:$E$205,MATCH($A21,Employees!$BH$6:$BH$205,0)))</f>
        <v/>
      </c>
      <c r="I21" s="11" t="str">
        <f aca="false">IF($A21="","",INDEX(Employees!$Z$6:$Z$205,MATCH($A21,Employees!$BH$6:$BH$205,0)))</f>
        <v/>
      </c>
      <c r="J21" s="26" t="str">
        <f aca="false">IF($A21="","",INDEX(Employees!$AB$6:$AB$205,MATCH($A21,Employees!$BH$6:$BH$205,0)))</f>
        <v/>
      </c>
      <c r="K21" s="26" t="str">
        <f aca="false">IF($A21="","",INDEX(Employees!$AI$6:$AI$205,MATCH($A21,Employees!$BH$6:$BH$205,0)))</f>
        <v/>
      </c>
      <c r="L21" s="26" t="str">
        <f aca="false">IF($A21="","",INDEX(Employees!$AG$6:$AG$205,MATCH($A21,Employees!$BH$6:$BH$205,0)))</f>
        <v/>
      </c>
      <c r="M21" s="26" t="str">
        <f aca="false">IF($A21="","",INDEX(Employees!$AH$6:$AH$205,MATCH($A21,Employees!$BH$6:$BH$205,0)))</f>
        <v/>
      </c>
      <c r="N21" s="26" t="str">
        <f aca="false">IF($A21="","",INDEX(Employees!$AK$6:$AK$205,MATCH($A21,Employees!$BH$6:$BH$205,0)))</f>
        <v/>
      </c>
      <c r="O21" s="26" t="str">
        <f aca="false">IF($A21="","",INDEX(Employees!$AL$6:$AL$205,MATCH($A21,Employees!$BH$6:$BH$205,0)))</f>
        <v/>
      </c>
      <c r="P21" s="11" t="str">
        <f aca="false">IF($A21="","",INDEX(Employees!$AM$6:$AM$205,MATCH($A21,Employees!$BH$6:$BH$205,0)))</f>
        <v/>
      </c>
    </row>
    <row r="22" customFormat="false" ht="15" hidden="false" customHeight="false" outlineLevel="0" collapsed="false">
      <c r="A22" s="11" t="str">
        <f aca="false">IF(17&lt;=MAX(Employees!$BH$6:$BH$205),17,"")</f>
        <v/>
      </c>
      <c r="B22" s="11" t="str">
        <f aca="false">IF($A22="","",INDEX(Employees!$A$6:$A$205,MATCH($A22,Employees!$BH$6:$BH$205,0)))</f>
        <v/>
      </c>
      <c r="C22" s="11" t="str">
        <f aca="false">IF($A22="","",INDEX(Employees!$B$6:$B$205,MATCH($A22,Employees!$BH$6:$BH$205,0)))</f>
        <v/>
      </c>
      <c r="D22" s="11" t="str">
        <f aca="false">IF($A22="","",INDEX(Employees!$C$6:$C$205,MATCH($A22,Employees!$BH$6:$BH$205,0)))</f>
        <v/>
      </c>
      <c r="E22" s="11" t="str">
        <f aca="false">IF($A22="","",INDEX(Employees!$D$6:$D$205,MATCH($A22,Employees!$BH$6:$BH$205,0)))</f>
        <v/>
      </c>
      <c r="F22" s="11" t="str">
        <f aca="false">IF($A22="","",INDEX(Employees!$T$6:$T$205,MATCH($A22,Employees!$BH$6:$BH$205,0)))</f>
        <v/>
      </c>
      <c r="G22" s="26" t="str">
        <f aca="false">IF($A22="","",INDEX(Employees!$U$6:$U$205,MATCH($A22,Employees!$BH$6:$BH$205,0)))</f>
        <v/>
      </c>
      <c r="H22" s="28" t="str">
        <f aca="false">IF($A22="","",INDEX(Employees!$E$6:$E$205,MATCH($A22,Employees!$BH$6:$BH$205,0)))</f>
        <v/>
      </c>
      <c r="I22" s="11" t="str">
        <f aca="false">IF($A22="","",INDEX(Employees!$Z$6:$Z$205,MATCH($A22,Employees!$BH$6:$BH$205,0)))</f>
        <v/>
      </c>
      <c r="J22" s="26" t="str">
        <f aca="false">IF($A22="","",INDEX(Employees!$AB$6:$AB$205,MATCH($A22,Employees!$BH$6:$BH$205,0)))</f>
        <v/>
      </c>
      <c r="K22" s="26" t="str">
        <f aca="false">IF($A22="","",INDEX(Employees!$AI$6:$AI$205,MATCH($A22,Employees!$BH$6:$BH$205,0)))</f>
        <v/>
      </c>
      <c r="L22" s="26" t="str">
        <f aca="false">IF($A22="","",INDEX(Employees!$AG$6:$AG$205,MATCH($A22,Employees!$BH$6:$BH$205,0)))</f>
        <v/>
      </c>
      <c r="M22" s="26" t="str">
        <f aca="false">IF($A22="","",INDEX(Employees!$AH$6:$AH$205,MATCH($A22,Employees!$BH$6:$BH$205,0)))</f>
        <v/>
      </c>
      <c r="N22" s="26" t="str">
        <f aca="false">IF($A22="","",INDEX(Employees!$AK$6:$AK$205,MATCH($A22,Employees!$BH$6:$BH$205,0)))</f>
        <v/>
      </c>
      <c r="O22" s="26" t="str">
        <f aca="false">IF($A22="","",INDEX(Employees!$AL$6:$AL$205,MATCH($A22,Employees!$BH$6:$BH$205,0)))</f>
        <v/>
      </c>
      <c r="P22" s="11" t="str">
        <f aca="false">IF($A22="","",INDEX(Employees!$AM$6:$AM$205,MATCH($A22,Employees!$BH$6:$BH$205,0)))</f>
        <v/>
      </c>
    </row>
    <row r="23" customFormat="false" ht="15" hidden="false" customHeight="false" outlineLevel="0" collapsed="false">
      <c r="A23" s="11" t="str">
        <f aca="false">IF(18&lt;=MAX(Employees!$BH$6:$BH$205),18,"")</f>
        <v/>
      </c>
      <c r="B23" s="11" t="str">
        <f aca="false">IF($A23="","",INDEX(Employees!$A$6:$A$205,MATCH($A23,Employees!$BH$6:$BH$205,0)))</f>
        <v/>
      </c>
      <c r="C23" s="11" t="str">
        <f aca="false">IF($A23="","",INDEX(Employees!$B$6:$B$205,MATCH($A23,Employees!$BH$6:$BH$205,0)))</f>
        <v/>
      </c>
      <c r="D23" s="11" t="str">
        <f aca="false">IF($A23="","",INDEX(Employees!$C$6:$C$205,MATCH($A23,Employees!$BH$6:$BH$205,0)))</f>
        <v/>
      </c>
      <c r="E23" s="11" t="str">
        <f aca="false">IF($A23="","",INDEX(Employees!$D$6:$D$205,MATCH($A23,Employees!$BH$6:$BH$205,0)))</f>
        <v/>
      </c>
      <c r="F23" s="11" t="str">
        <f aca="false">IF($A23="","",INDEX(Employees!$T$6:$T$205,MATCH($A23,Employees!$BH$6:$BH$205,0)))</f>
        <v/>
      </c>
      <c r="G23" s="26" t="str">
        <f aca="false">IF($A23="","",INDEX(Employees!$U$6:$U$205,MATCH($A23,Employees!$BH$6:$BH$205,0)))</f>
        <v/>
      </c>
      <c r="H23" s="28" t="str">
        <f aca="false">IF($A23="","",INDEX(Employees!$E$6:$E$205,MATCH($A23,Employees!$BH$6:$BH$205,0)))</f>
        <v/>
      </c>
      <c r="I23" s="11" t="str">
        <f aca="false">IF($A23="","",INDEX(Employees!$Z$6:$Z$205,MATCH($A23,Employees!$BH$6:$BH$205,0)))</f>
        <v/>
      </c>
      <c r="J23" s="26" t="str">
        <f aca="false">IF($A23="","",INDEX(Employees!$AB$6:$AB$205,MATCH($A23,Employees!$BH$6:$BH$205,0)))</f>
        <v/>
      </c>
      <c r="K23" s="26" t="str">
        <f aca="false">IF($A23="","",INDEX(Employees!$AI$6:$AI$205,MATCH($A23,Employees!$BH$6:$BH$205,0)))</f>
        <v/>
      </c>
      <c r="L23" s="26" t="str">
        <f aca="false">IF($A23="","",INDEX(Employees!$AG$6:$AG$205,MATCH($A23,Employees!$BH$6:$BH$205,0)))</f>
        <v/>
      </c>
      <c r="M23" s="26" t="str">
        <f aca="false">IF($A23="","",INDEX(Employees!$AH$6:$AH$205,MATCH($A23,Employees!$BH$6:$BH$205,0)))</f>
        <v/>
      </c>
      <c r="N23" s="26" t="str">
        <f aca="false">IF($A23="","",INDEX(Employees!$AK$6:$AK$205,MATCH($A23,Employees!$BH$6:$BH$205,0)))</f>
        <v/>
      </c>
      <c r="O23" s="26" t="str">
        <f aca="false">IF($A23="","",INDEX(Employees!$AL$6:$AL$205,MATCH($A23,Employees!$BH$6:$BH$205,0)))</f>
        <v/>
      </c>
      <c r="P23" s="11" t="str">
        <f aca="false">IF($A23="","",INDEX(Employees!$AM$6:$AM$205,MATCH($A23,Employees!$BH$6:$BH$205,0)))</f>
        <v/>
      </c>
    </row>
    <row r="24" customFormat="false" ht="15" hidden="false" customHeight="false" outlineLevel="0" collapsed="false">
      <c r="A24" s="11" t="str">
        <f aca="false">IF(19&lt;=MAX(Employees!$BH$6:$BH$205),19,"")</f>
        <v/>
      </c>
      <c r="B24" s="11" t="str">
        <f aca="false">IF($A24="","",INDEX(Employees!$A$6:$A$205,MATCH($A24,Employees!$BH$6:$BH$205,0)))</f>
        <v/>
      </c>
      <c r="C24" s="11" t="str">
        <f aca="false">IF($A24="","",INDEX(Employees!$B$6:$B$205,MATCH($A24,Employees!$BH$6:$BH$205,0)))</f>
        <v/>
      </c>
      <c r="D24" s="11" t="str">
        <f aca="false">IF($A24="","",INDEX(Employees!$C$6:$C$205,MATCH($A24,Employees!$BH$6:$BH$205,0)))</f>
        <v/>
      </c>
      <c r="E24" s="11" t="str">
        <f aca="false">IF($A24="","",INDEX(Employees!$D$6:$D$205,MATCH($A24,Employees!$BH$6:$BH$205,0)))</f>
        <v/>
      </c>
      <c r="F24" s="11" t="str">
        <f aca="false">IF($A24="","",INDEX(Employees!$T$6:$T$205,MATCH($A24,Employees!$BH$6:$BH$205,0)))</f>
        <v/>
      </c>
      <c r="G24" s="26" t="str">
        <f aca="false">IF($A24="","",INDEX(Employees!$U$6:$U$205,MATCH($A24,Employees!$BH$6:$BH$205,0)))</f>
        <v/>
      </c>
      <c r="H24" s="28" t="str">
        <f aca="false">IF($A24="","",INDEX(Employees!$E$6:$E$205,MATCH($A24,Employees!$BH$6:$BH$205,0)))</f>
        <v/>
      </c>
      <c r="I24" s="11" t="str">
        <f aca="false">IF($A24="","",INDEX(Employees!$Z$6:$Z$205,MATCH($A24,Employees!$BH$6:$BH$205,0)))</f>
        <v/>
      </c>
      <c r="J24" s="26" t="str">
        <f aca="false">IF($A24="","",INDEX(Employees!$AB$6:$AB$205,MATCH($A24,Employees!$BH$6:$BH$205,0)))</f>
        <v/>
      </c>
      <c r="K24" s="26" t="str">
        <f aca="false">IF($A24="","",INDEX(Employees!$AI$6:$AI$205,MATCH($A24,Employees!$BH$6:$BH$205,0)))</f>
        <v/>
      </c>
      <c r="L24" s="26" t="str">
        <f aca="false">IF($A24="","",INDEX(Employees!$AG$6:$AG$205,MATCH($A24,Employees!$BH$6:$BH$205,0)))</f>
        <v/>
      </c>
      <c r="M24" s="26" t="str">
        <f aca="false">IF($A24="","",INDEX(Employees!$AH$6:$AH$205,MATCH($A24,Employees!$BH$6:$BH$205,0)))</f>
        <v/>
      </c>
      <c r="N24" s="26" t="str">
        <f aca="false">IF($A24="","",INDEX(Employees!$AK$6:$AK$205,MATCH($A24,Employees!$BH$6:$BH$205,0)))</f>
        <v/>
      </c>
      <c r="O24" s="26" t="str">
        <f aca="false">IF($A24="","",INDEX(Employees!$AL$6:$AL$205,MATCH($A24,Employees!$BH$6:$BH$205,0)))</f>
        <v/>
      </c>
      <c r="P24" s="11" t="str">
        <f aca="false">IF($A24="","",INDEX(Employees!$AM$6:$AM$205,MATCH($A24,Employees!$BH$6:$BH$205,0)))</f>
        <v/>
      </c>
    </row>
    <row r="25" customFormat="false" ht="15" hidden="false" customHeight="false" outlineLevel="0" collapsed="false">
      <c r="A25" s="11" t="str">
        <f aca="false">IF(20&lt;=MAX(Employees!$BH$6:$BH$205),20,"")</f>
        <v/>
      </c>
      <c r="B25" s="11" t="str">
        <f aca="false">IF($A25="","",INDEX(Employees!$A$6:$A$205,MATCH($A25,Employees!$BH$6:$BH$205,0)))</f>
        <v/>
      </c>
      <c r="C25" s="11" t="str">
        <f aca="false">IF($A25="","",INDEX(Employees!$B$6:$B$205,MATCH($A25,Employees!$BH$6:$BH$205,0)))</f>
        <v/>
      </c>
      <c r="D25" s="11" t="str">
        <f aca="false">IF($A25="","",INDEX(Employees!$C$6:$C$205,MATCH($A25,Employees!$BH$6:$BH$205,0)))</f>
        <v/>
      </c>
      <c r="E25" s="11" t="str">
        <f aca="false">IF($A25="","",INDEX(Employees!$D$6:$D$205,MATCH($A25,Employees!$BH$6:$BH$205,0)))</f>
        <v/>
      </c>
      <c r="F25" s="11" t="str">
        <f aca="false">IF($A25="","",INDEX(Employees!$T$6:$T$205,MATCH($A25,Employees!$BH$6:$BH$205,0)))</f>
        <v/>
      </c>
      <c r="G25" s="26" t="str">
        <f aca="false">IF($A25="","",INDEX(Employees!$U$6:$U$205,MATCH($A25,Employees!$BH$6:$BH$205,0)))</f>
        <v/>
      </c>
      <c r="H25" s="28" t="str">
        <f aca="false">IF($A25="","",INDEX(Employees!$E$6:$E$205,MATCH($A25,Employees!$BH$6:$BH$205,0)))</f>
        <v/>
      </c>
      <c r="I25" s="11" t="str">
        <f aca="false">IF($A25="","",INDEX(Employees!$Z$6:$Z$205,MATCH($A25,Employees!$BH$6:$BH$205,0)))</f>
        <v/>
      </c>
      <c r="J25" s="26" t="str">
        <f aca="false">IF($A25="","",INDEX(Employees!$AB$6:$AB$205,MATCH($A25,Employees!$BH$6:$BH$205,0)))</f>
        <v/>
      </c>
      <c r="K25" s="26" t="str">
        <f aca="false">IF($A25="","",INDEX(Employees!$AI$6:$AI$205,MATCH($A25,Employees!$BH$6:$BH$205,0)))</f>
        <v/>
      </c>
      <c r="L25" s="26" t="str">
        <f aca="false">IF($A25="","",INDEX(Employees!$AG$6:$AG$205,MATCH($A25,Employees!$BH$6:$BH$205,0)))</f>
        <v/>
      </c>
      <c r="M25" s="26" t="str">
        <f aca="false">IF($A25="","",INDEX(Employees!$AH$6:$AH$205,MATCH($A25,Employees!$BH$6:$BH$205,0)))</f>
        <v/>
      </c>
      <c r="N25" s="26" t="str">
        <f aca="false">IF($A25="","",INDEX(Employees!$AK$6:$AK$205,MATCH($A25,Employees!$BH$6:$BH$205,0)))</f>
        <v/>
      </c>
      <c r="O25" s="26" t="str">
        <f aca="false">IF($A25="","",INDEX(Employees!$AL$6:$AL$205,MATCH($A25,Employees!$BH$6:$BH$205,0)))</f>
        <v/>
      </c>
      <c r="P25" s="11" t="str">
        <f aca="false">IF($A25="","",INDEX(Employees!$AM$6:$AM$205,MATCH($A25,Employees!$BH$6:$BH$205,0)))</f>
        <v/>
      </c>
    </row>
    <row r="26" customFormat="false" ht="15" hidden="false" customHeight="false" outlineLevel="0" collapsed="false">
      <c r="A26" s="11" t="str">
        <f aca="false">IF(21&lt;=MAX(Employees!$BH$6:$BH$205),21,"")</f>
        <v/>
      </c>
      <c r="B26" s="11" t="str">
        <f aca="false">IF($A26="","",INDEX(Employees!$A$6:$A$205,MATCH($A26,Employees!$BH$6:$BH$205,0)))</f>
        <v/>
      </c>
      <c r="C26" s="11" t="str">
        <f aca="false">IF($A26="","",INDEX(Employees!$B$6:$B$205,MATCH($A26,Employees!$BH$6:$BH$205,0)))</f>
        <v/>
      </c>
      <c r="D26" s="11" t="str">
        <f aca="false">IF($A26="","",INDEX(Employees!$C$6:$C$205,MATCH($A26,Employees!$BH$6:$BH$205,0)))</f>
        <v/>
      </c>
      <c r="E26" s="11" t="str">
        <f aca="false">IF($A26="","",INDEX(Employees!$D$6:$D$205,MATCH($A26,Employees!$BH$6:$BH$205,0)))</f>
        <v/>
      </c>
      <c r="F26" s="11" t="str">
        <f aca="false">IF($A26="","",INDEX(Employees!$T$6:$T$205,MATCH($A26,Employees!$BH$6:$BH$205,0)))</f>
        <v/>
      </c>
      <c r="G26" s="26" t="str">
        <f aca="false">IF($A26="","",INDEX(Employees!$U$6:$U$205,MATCH($A26,Employees!$BH$6:$BH$205,0)))</f>
        <v/>
      </c>
      <c r="H26" s="28" t="str">
        <f aca="false">IF($A26="","",INDEX(Employees!$E$6:$E$205,MATCH($A26,Employees!$BH$6:$BH$205,0)))</f>
        <v/>
      </c>
      <c r="I26" s="11" t="str">
        <f aca="false">IF($A26="","",INDEX(Employees!$Z$6:$Z$205,MATCH($A26,Employees!$BH$6:$BH$205,0)))</f>
        <v/>
      </c>
      <c r="J26" s="26" t="str">
        <f aca="false">IF($A26="","",INDEX(Employees!$AB$6:$AB$205,MATCH($A26,Employees!$BH$6:$BH$205,0)))</f>
        <v/>
      </c>
      <c r="K26" s="26" t="str">
        <f aca="false">IF($A26="","",INDEX(Employees!$AI$6:$AI$205,MATCH($A26,Employees!$BH$6:$BH$205,0)))</f>
        <v/>
      </c>
      <c r="L26" s="26" t="str">
        <f aca="false">IF($A26="","",INDEX(Employees!$AG$6:$AG$205,MATCH($A26,Employees!$BH$6:$BH$205,0)))</f>
        <v/>
      </c>
      <c r="M26" s="26" t="str">
        <f aca="false">IF($A26="","",INDEX(Employees!$AH$6:$AH$205,MATCH($A26,Employees!$BH$6:$BH$205,0)))</f>
        <v/>
      </c>
      <c r="N26" s="26" t="str">
        <f aca="false">IF($A26="","",INDEX(Employees!$AK$6:$AK$205,MATCH($A26,Employees!$BH$6:$BH$205,0)))</f>
        <v/>
      </c>
      <c r="O26" s="26" t="str">
        <f aca="false">IF($A26="","",INDEX(Employees!$AL$6:$AL$205,MATCH($A26,Employees!$BH$6:$BH$205,0)))</f>
        <v/>
      </c>
      <c r="P26" s="11" t="str">
        <f aca="false">IF($A26="","",INDEX(Employees!$AM$6:$AM$205,MATCH($A26,Employees!$BH$6:$BH$205,0)))</f>
        <v/>
      </c>
    </row>
    <row r="27" customFormat="false" ht="15" hidden="false" customHeight="false" outlineLevel="0" collapsed="false">
      <c r="A27" s="11" t="str">
        <f aca="false">IF(22&lt;=MAX(Employees!$BH$6:$BH$205),22,"")</f>
        <v/>
      </c>
      <c r="B27" s="11" t="str">
        <f aca="false">IF($A27="","",INDEX(Employees!$A$6:$A$205,MATCH($A27,Employees!$BH$6:$BH$205,0)))</f>
        <v/>
      </c>
      <c r="C27" s="11" t="str">
        <f aca="false">IF($A27="","",INDEX(Employees!$B$6:$B$205,MATCH($A27,Employees!$BH$6:$BH$205,0)))</f>
        <v/>
      </c>
      <c r="D27" s="11" t="str">
        <f aca="false">IF($A27="","",INDEX(Employees!$C$6:$C$205,MATCH($A27,Employees!$BH$6:$BH$205,0)))</f>
        <v/>
      </c>
      <c r="E27" s="11" t="str">
        <f aca="false">IF($A27="","",INDEX(Employees!$D$6:$D$205,MATCH($A27,Employees!$BH$6:$BH$205,0)))</f>
        <v/>
      </c>
      <c r="F27" s="11" t="str">
        <f aca="false">IF($A27="","",INDEX(Employees!$T$6:$T$205,MATCH($A27,Employees!$BH$6:$BH$205,0)))</f>
        <v/>
      </c>
      <c r="G27" s="26" t="str">
        <f aca="false">IF($A27="","",INDEX(Employees!$U$6:$U$205,MATCH($A27,Employees!$BH$6:$BH$205,0)))</f>
        <v/>
      </c>
      <c r="H27" s="28" t="str">
        <f aca="false">IF($A27="","",INDEX(Employees!$E$6:$E$205,MATCH($A27,Employees!$BH$6:$BH$205,0)))</f>
        <v/>
      </c>
      <c r="I27" s="11" t="str">
        <f aca="false">IF($A27="","",INDEX(Employees!$Z$6:$Z$205,MATCH($A27,Employees!$BH$6:$BH$205,0)))</f>
        <v/>
      </c>
      <c r="J27" s="26" t="str">
        <f aca="false">IF($A27="","",INDEX(Employees!$AB$6:$AB$205,MATCH($A27,Employees!$BH$6:$BH$205,0)))</f>
        <v/>
      </c>
      <c r="K27" s="26" t="str">
        <f aca="false">IF($A27="","",INDEX(Employees!$AI$6:$AI$205,MATCH($A27,Employees!$BH$6:$BH$205,0)))</f>
        <v/>
      </c>
      <c r="L27" s="26" t="str">
        <f aca="false">IF($A27="","",INDEX(Employees!$AG$6:$AG$205,MATCH($A27,Employees!$BH$6:$BH$205,0)))</f>
        <v/>
      </c>
      <c r="M27" s="26" t="str">
        <f aca="false">IF($A27="","",INDEX(Employees!$AH$6:$AH$205,MATCH($A27,Employees!$BH$6:$BH$205,0)))</f>
        <v/>
      </c>
      <c r="N27" s="26" t="str">
        <f aca="false">IF($A27="","",INDEX(Employees!$AK$6:$AK$205,MATCH($A27,Employees!$BH$6:$BH$205,0)))</f>
        <v/>
      </c>
      <c r="O27" s="26" t="str">
        <f aca="false">IF($A27="","",INDEX(Employees!$AL$6:$AL$205,MATCH($A27,Employees!$BH$6:$BH$205,0)))</f>
        <v/>
      </c>
      <c r="P27" s="11" t="str">
        <f aca="false">IF($A27="","",INDEX(Employees!$AM$6:$AM$205,MATCH($A27,Employees!$BH$6:$BH$205,0)))</f>
        <v/>
      </c>
    </row>
    <row r="28" customFormat="false" ht="15" hidden="false" customHeight="false" outlineLevel="0" collapsed="false">
      <c r="A28" s="11" t="str">
        <f aca="false">IF(23&lt;=MAX(Employees!$BH$6:$BH$205),23,"")</f>
        <v/>
      </c>
      <c r="B28" s="11" t="str">
        <f aca="false">IF($A28="","",INDEX(Employees!$A$6:$A$205,MATCH($A28,Employees!$BH$6:$BH$205,0)))</f>
        <v/>
      </c>
      <c r="C28" s="11" t="str">
        <f aca="false">IF($A28="","",INDEX(Employees!$B$6:$B$205,MATCH($A28,Employees!$BH$6:$BH$205,0)))</f>
        <v/>
      </c>
      <c r="D28" s="11" t="str">
        <f aca="false">IF($A28="","",INDEX(Employees!$C$6:$C$205,MATCH($A28,Employees!$BH$6:$BH$205,0)))</f>
        <v/>
      </c>
      <c r="E28" s="11" t="str">
        <f aca="false">IF($A28="","",INDEX(Employees!$D$6:$D$205,MATCH($A28,Employees!$BH$6:$BH$205,0)))</f>
        <v/>
      </c>
      <c r="F28" s="11" t="str">
        <f aca="false">IF($A28="","",INDEX(Employees!$T$6:$T$205,MATCH($A28,Employees!$BH$6:$BH$205,0)))</f>
        <v/>
      </c>
      <c r="G28" s="26" t="str">
        <f aca="false">IF($A28="","",INDEX(Employees!$U$6:$U$205,MATCH($A28,Employees!$BH$6:$BH$205,0)))</f>
        <v/>
      </c>
      <c r="H28" s="28" t="str">
        <f aca="false">IF($A28="","",INDEX(Employees!$E$6:$E$205,MATCH($A28,Employees!$BH$6:$BH$205,0)))</f>
        <v/>
      </c>
      <c r="I28" s="11" t="str">
        <f aca="false">IF($A28="","",INDEX(Employees!$Z$6:$Z$205,MATCH($A28,Employees!$BH$6:$BH$205,0)))</f>
        <v/>
      </c>
      <c r="J28" s="26" t="str">
        <f aca="false">IF($A28="","",INDEX(Employees!$AB$6:$AB$205,MATCH($A28,Employees!$BH$6:$BH$205,0)))</f>
        <v/>
      </c>
      <c r="K28" s="26" t="str">
        <f aca="false">IF($A28="","",INDEX(Employees!$AI$6:$AI$205,MATCH($A28,Employees!$BH$6:$BH$205,0)))</f>
        <v/>
      </c>
      <c r="L28" s="26" t="str">
        <f aca="false">IF($A28="","",INDEX(Employees!$AG$6:$AG$205,MATCH($A28,Employees!$BH$6:$BH$205,0)))</f>
        <v/>
      </c>
      <c r="M28" s="26" t="str">
        <f aca="false">IF($A28="","",INDEX(Employees!$AH$6:$AH$205,MATCH($A28,Employees!$BH$6:$BH$205,0)))</f>
        <v/>
      </c>
      <c r="N28" s="26" t="str">
        <f aca="false">IF($A28="","",INDEX(Employees!$AK$6:$AK$205,MATCH($A28,Employees!$BH$6:$BH$205,0)))</f>
        <v/>
      </c>
      <c r="O28" s="26" t="str">
        <f aca="false">IF($A28="","",INDEX(Employees!$AL$6:$AL$205,MATCH($A28,Employees!$BH$6:$BH$205,0)))</f>
        <v/>
      </c>
      <c r="P28" s="11" t="str">
        <f aca="false">IF($A28="","",INDEX(Employees!$AM$6:$AM$205,MATCH($A28,Employees!$BH$6:$BH$205,0)))</f>
        <v/>
      </c>
    </row>
    <row r="29" customFormat="false" ht="15" hidden="false" customHeight="false" outlineLevel="0" collapsed="false">
      <c r="A29" s="11" t="str">
        <f aca="false">IF(24&lt;=MAX(Employees!$BH$6:$BH$205),24,"")</f>
        <v/>
      </c>
      <c r="B29" s="11" t="str">
        <f aca="false">IF($A29="","",INDEX(Employees!$A$6:$A$205,MATCH($A29,Employees!$BH$6:$BH$205,0)))</f>
        <v/>
      </c>
      <c r="C29" s="11" t="str">
        <f aca="false">IF($A29="","",INDEX(Employees!$B$6:$B$205,MATCH($A29,Employees!$BH$6:$BH$205,0)))</f>
        <v/>
      </c>
      <c r="D29" s="11" t="str">
        <f aca="false">IF($A29="","",INDEX(Employees!$C$6:$C$205,MATCH($A29,Employees!$BH$6:$BH$205,0)))</f>
        <v/>
      </c>
      <c r="E29" s="11" t="str">
        <f aca="false">IF($A29="","",INDEX(Employees!$D$6:$D$205,MATCH($A29,Employees!$BH$6:$BH$205,0)))</f>
        <v/>
      </c>
      <c r="F29" s="11" t="str">
        <f aca="false">IF($A29="","",INDEX(Employees!$T$6:$T$205,MATCH($A29,Employees!$BH$6:$BH$205,0)))</f>
        <v/>
      </c>
      <c r="G29" s="26" t="str">
        <f aca="false">IF($A29="","",INDEX(Employees!$U$6:$U$205,MATCH($A29,Employees!$BH$6:$BH$205,0)))</f>
        <v/>
      </c>
      <c r="H29" s="28" t="str">
        <f aca="false">IF($A29="","",INDEX(Employees!$E$6:$E$205,MATCH($A29,Employees!$BH$6:$BH$205,0)))</f>
        <v/>
      </c>
      <c r="I29" s="11" t="str">
        <f aca="false">IF($A29="","",INDEX(Employees!$Z$6:$Z$205,MATCH($A29,Employees!$BH$6:$BH$205,0)))</f>
        <v/>
      </c>
      <c r="J29" s="26" t="str">
        <f aca="false">IF($A29="","",INDEX(Employees!$AB$6:$AB$205,MATCH($A29,Employees!$BH$6:$BH$205,0)))</f>
        <v/>
      </c>
      <c r="K29" s="26" t="str">
        <f aca="false">IF($A29="","",INDEX(Employees!$AI$6:$AI$205,MATCH($A29,Employees!$BH$6:$BH$205,0)))</f>
        <v/>
      </c>
      <c r="L29" s="26" t="str">
        <f aca="false">IF($A29="","",INDEX(Employees!$AG$6:$AG$205,MATCH($A29,Employees!$BH$6:$BH$205,0)))</f>
        <v/>
      </c>
      <c r="M29" s="26" t="str">
        <f aca="false">IF($A29="","",INDEX(Employees!$AH$6:$AH$205,MATCH($A29,Employees!$BH$6:$BH$205,0)))</f>
        <v/>
      </c>
      <c r="N29" s="26" t="str">
        <f aca="false">IF($A29="","",INDEX(Employees!$AK$6:$AK$205,MATCH($A29,Employees!$BH$6:$BH$205,0)))</f>
        <v/>
      </c>
      <c r="O29" s="26" t="str">
        <f aca="false">IF($A29="","",INDEX(Employees!$AL$6:$AL$205,MATCH($A29,Employees!$BH$6:$BH$205,0)))</f>
        <v/>
      </c>
      <c r="P29" s="11" t="str">
        <f aca="false">IF($A29="","",INDEX(Employees!$AM$6:$AM$205,MATCH($A29,Employees!$BH$6:$BH$205,0)))</f>
        <v/>
      </c>
    </row>
    <row r="30" customFormat="false" ht="15" hidden="false" customHeight="false" outlineLevel="0" collapsed="false">
      <c r="A30" s="11" t="str">
        <f aca="false">IF(25&lt;=MAX(Employees!$BH$6:$BH$205),25,"")</f>
        <v/>
      </c>
      <c r="B30" s="11" t="str">
        <f aca="false">IF($A30="","",INDEX(Employees!$A$6:$A$205,MATCH($A30,Employees!$BH$6:$BH$205,0)))</f>
        <v/>
      </c>
      <c r="C30" s="11" t="str">
        <f aca="false">IF($A30="","",INDEX(Employees!$B$6:$B$205,MATCH($A30,Employees!$BH$6:$BH$205,0)))</f>
        <v/>
      </c>
      <c r="D30" s="11" t="str">
        <f aca="false">IF($A30="","",INDEX(Employees!$C$6:$C$205,MATCH($A30,Employees!$BH$6:$BH$205,0)))</f>
        <v/>
      </c>
      <c r="E30" s="11" t="str">
        <f aca="false">IF($A30="","",INDEX(Employees!$D$6:$D$205,MATCH($A30,Employees!$BH$6:$BH$205,0)))</f>
        <v/>
      </c>
      <c r="F30" s="11" t="str">
        <f aca="false">IF($A30="","",INDEX(Employees!$T$6:$T$205,MATCH($A30,Employees!$BH$6:$BH$205,0)))</f>
        <v/>
      </c>
      <c r="G30" s="26" t="str">
        <f aca="false">IF($A30="","",INDEX(Employees!$U$6:$U$205,MATCH($A30,Employees!$BH$6:$BH$205,0)))</f>
        <v/>
      </c>
      <c r="H30" s="28" t="str">
        <f aca="false">IF($A30="","",INDEX(Employees!$E$6:$E$205,MATCH($A30,Employees!$BH$6:$BH$205,0)))</f>
        <v/>
      </c>
      <c r="I30" s="11" t="str">
        <f aca="false">IF($A30="","",INDEX(Employees!$Z$6:$Z$205,MATCH($A30,Employees!$BH$6:$BH$205,0)))</f>
        <v/>
      </c>
      <c r="J30" s="26" t="str">
        <f aca="false">IF($A30="","",INDEX(Employees!$AB$6:$AB$205,MATCH($A30,Employees!$BH$6:$BH$205,0)))</f>
        <v/>
      </c>
      <c r="K30" s="26" t="str">
        <f aca="false">IF($A30="","",INDEX(Employees!$AI$6:$AI$205,MATCH($A30,Employees!$BH$6:$BH$205,0)))</f>
        <v/>
      </c>
      <c r="L30" s="26" t="str">
        <f aca="false">IF($A30="","",INDEX(Employees!$AG$6:$AG$205,MATCH($A30,Employees!$BH$6:$BH$205,0)))</f>
        <v/>
      </c>
      <c r="M30" s="26" t="str">
        <f aca="false">IF($A30="","",INDEX(Employees!$AH$6:$AH$205,MATCH($A30,Employees!$BH$6:$BH$205,0)))</f>
        <v/>
      </c>
      <c r="N30" s="26" t="str">
        <f aca="false">IF($A30="","",INDEX(Employees!$AK$6:$AK$205,MATCH($A30,Employees!$BH$6:$BH$205,0)))</f>
        <v/>
      </c>
      <c r="O30" s="26" t="str">
        <f aca="false">IF($A30="","",INDEX(Employees!$AL$6:$AL$205,MATCH($A30,Employees!$BH$6:$BH$205,0)))</f>
        <v/>
      </c>
      <c r="P30" s="11" t="str">
        <f aca="false">IF($A30="","",INDEX(Employees!$AM$6:$AM$205,MATCH($A30,Employees!$BH$6:$BH$205,0)))</f>
        <v/>
      </c>
    </row>
    <row r="31" customFormat="false" ht="15" hidden="false" customHeight="false" outlineLevel="0" collapsed="false">
      <c r="A31" s="11" t="str">
        <f aca="false">IF(26&lt;=MAX(Employees!$BH$6:$BH$205),26,"")</f>
        <v/>
      </c>
      <c r="B31" s="11" t="str">
        <f aca="false">IF($A31="","",INDEX(Employees!$A$6:$A$205,MATCH($A31,Employees!$BH$6:$BH$205,0)))</f>
        <v/>
      </c>
      <c r="C31" s="11" t="str">
        <f aca="false">IF($A31="","",INDEX(Employees!$B$6:$B$205,MATCH($A31,Employees!$BH$6:$BH$205,0)))</f>
        <v/>
      </c>
      <c r="D31" s="11" t="str">
        <f aca="false">IF($A31="","",INDEX(Employees!$C$6:$C$205,MATCH($A31,Employees!$BH$6:$BH$205,0)))</f>
        <v/>
      </c>
      <c r="E31" s="11" t="str">
        <f aca="false">IF($A31="","",INDEX(Employees!$D$6:$D$205,MATCH($A31,Employees!$BH$6:$BH$205,0)))</f>
        <v/>
      </c>
      <c r="F31" s="11" t="str">
        <f aca="false">IF($A31="","",INDEX(Employees!$T$6:$T$205,MATCH($A31,Employees!$BH$6:$BH$205,0)))</f>
        <v/>
      </c>
      <c r="G31" s="26" t="str">
        <f aca="false">IF($A31="","",INDEX(Employees!$U$6:$U$205,MATCH($A31,Employees!$BH$6:$BH$205,0)))</f>
        <v/>
      </c>
      <c r="H31" s="28" t="str">
        <f aca="false">IF($A31="","",INDEX(Employees!$E$6:$E$205,MATCH($A31,Employees!$BH$6:$BH$205,0)))</f>
        <v/>
      </c>
      <c r="I31" s="11" t="str">
        <f aca="false">IF($A31="","",INDEX(Employees!$Z$6:$Z$205,MATCH($A31,Employees!$BH$6:$BH$205,0)))</f>
        <v/>
      </c>
      <c r="J31" s="26" t="str">
        <f aca="false">IF($A31="","",INDEX(Employees!$AB$6:$AB$205,MATCH($A31,Employees!$BH$6:$BH$205,0)))</f>
        <v/>
      </c>
      <c r="K31" s="26" t="str">
        <f aca="false">IF($A31="","",INDEX(Employees!$AI$6:$AI$205,MATCH($A31,Employees!$BH$6:$BH$205,0)))</f>
        <v/>
      </c>
      <c r="L31" s="26" t="str">
        <f aca="false">IF($A31="","",INDEX(Employees!$AG$6:$AG$205,MATCH($A31,Employees!$BH$6:$BH$205,0)))</f>
        <v/>
      </c>
      <c r="M31" s="26" t="str">
        <f aca="false">IF($A31="","",INDEX(Employees!$AH$6:$AH$205,MATCH($A31,Employees!$BH$6:$BH$205,0)))</f>
        <v/>
      </c>
      <c r="N31" s="26" t="str">
        <f aca="false">IF($A31="","",INDEX(Employees!$AK$6:$AK$205,MATCH($A31,Employees!$BH$6:$BH$205,0)))</f>
        <v/>
      </c>
      <c r="O31" s="26" t="str">
        <f aca="false">IF($A31="","",INDEX(Employees!$AL$6:$AL$205,MATCH($A31,Employees!$BH$6:$BH$205,0)))</f>
        <v/>
      </c>
      <c r="P31" s="11" t="str">
        <f aca="false">IF($A31="","",INDEX(Employees!$AM$6:$AM$205,MATCH($A31,Employees!$BH$6:$BH$205,0)))</f>
        <v/>
      </c>
    </row>
    <row r="32" customFormat="false" ht="15" hidden="false" customHeight="false" outlineLevel="0" collapsed="false">
      <c r="A32" s="11" t="str">
        <f aca="false">IF(27&lt;=MAX(Employees!$BH$6:$BH$205),27,"")</f>
        <v/>
      </c>
      <c r="B32" s="11" t="str">
        <f aca="false">IF($A32="","",INDEX(Employees!$A$6:$A$205,MATCH($A32,Employees!$BH$6:$BH$205,0)))</f>
        <v/>
      </c>
      <c r="C32" s="11" t="str">
        <f aca="false">IF($A32="","",INDEX(Employees!$B$6:$B$205,MATCH($A32,Employees!$BH$6:$BH$205,0)))</f>
        <v/>
      </c>
      <c r="D32" s="11" t="str">
        <f aca="false">IF($A32="","",INDEX(Employees!$C$6:$C$205,MATCH($A32,Employees!$BH$6:$BH$205,0)))</f>
        <v/>
      </c>
      <c r="E32" s="11" t="str">
        <f aca="false">IF($A32="","",INDEX(Employees!$D$6:$D$205,MATCH($A32,Employees!$BH$6:$BH$205,0)))</f>
        <v/>
      </c>
      <c r="F32" s="11" t="str">
        <f aca="false">IF($A32="","",INDEX(Employees!$T$6:$T$205,MATCH($A32,Employees!$BH$6:$BH$205,0)))</f>
        <v/>
      </c>
      <c r="G32" s="26" t="str">
        <f aca="false">IF($A32="","",INDEX(Employees!$U$6:$U$205,MATCH($A32,Employees!$BH$6:$BH$205,0)))</f>
        <v/>
      </c>
      <c r="H32" s="28" t="str">
        <f aca="false">IF($A32="","",INDEX(Employees!$E$6:$E$205,MATCH($A32,Employees!$BH$6:$BH$205,0)))</f>
        <v/>
      </c>
      <c r="I32" s="11" t="str">
        <f aca="false">IF($A32="","",INDEX(Employees!$Z$6:$Z$205,MATCH($A32,Employees!$BH$6:$BH$205,0)))</f>
        <v/>
      </c>
      <c r="J32" s="26" t="str">
        <f aca="false">IF($A32="","",INDEX(Employees!$AB$6:$AB$205,MATCH($A32,Employees!$BH$6:$BH$205,0)))</f>
        <v/>
      </c>
      <c r="K32" s="26" t="str">
        <f aca="false">IF($A32="","",INDEX(Employees!$AI$6:$AI$205,MATCH($A32,Employees!$BH$6:$BH$205,0)))</f>
        <v/>
      </c>
      <c r="L32" s="26" t="str">
        <f aca="false">IF($A32="","",INDEX(Employees!$AG$6:$AG$205,MATCH($A32,Employees!$BH$6:$BH$205,0)))</f>
        <v/>
      </c>
      <c r="M32" s="26" t="str">
        <f aca="false">IF($A32="","",INDEX(Employees!$AH$6:$AH$205,MATCH($A32,Employees!$BH$6:$BH$205,0)))</f>
        <v/>
      </c>
      <c r="N32" s="26" t="str">
        <f aca="false">IF($A32="","",INDEX(Employees!$AK$6:$AK$205,MATCH($A32,Employees!$BH$6:$BH$205,0)))</f>
        <v/>
      </c>
      <c r="O32" s="26" t="str">
        <f aca="false">IF($A32="","",INDEX(Employees!$AL$6:$AL$205,MATCH($A32,Employees!$BH$6:$BH$205,0)))</f>
        <v/>
      </c>
      <c r="P32" s="11" t="str">
        <f aca="false">IF($A32="","",INDEX(Employees!$AM$6:$AM$205,MATCH($A32,Employees!$BH$6:$BH$205,0)))</f>
        <v/>
      </c>
    </row>
    <row r="33" customFormat="false" ht="15" hidden="false" customHeight="false" outlineLevel="0" collapsed="false">
      <c r="A33" s="11" t="str">
        <f aca="false">IF(28&lt;=MAX(Employees!$BH$6:$BH$205),28,"")</f>
        <v/>
      </c>
      <c r="B33" s="11" t="str">
        <f aca="false">IF($A33="","",INDEX(Employees!$A$6:$A$205,MATCH($A33,Employees!$BH$6:$BH$205,0)))</f>
        <v/>
      </c>
      <c r="C33" s="11" t="str">
        <f aca="false">IF($A33="","",INDEX(Employees!$B$6:$B$205,MATCH($A33,Employees!$BH$6:$BH$205,0)))</f>
        <v/>
      </c>
      <c r="D33" s="11" t="str">
        <f aca="false">IF($A33="","",INDEX(Employees!$C$6:$C$205,MATCH($A33,Employees!$BH$6:$BH$205,0)))</f>
        <v/>
      </c>
      <c r="E33" s="11" t="str">
        <f aca="false">IF($A33="","",INDEX(Employees!$D$6:$D$205,MATCH($A33,Employees!$BH$6:$BH$205,0)))</f>
        <v/>
      </c>
      <c r="F33" s="11" t="str">
        <f aca="false">IF($A33="","",INDEX(Employees!$T$6:$T$205,MATCH($A33,Employees!$BH$6:$BH$205,0)))</f>
        <v/>
      </c>
      <c r="G33" s="26" t="str">
        <f aca="false">IF($A33="","",INDEX(Employees!$U$6:$U$205,MATCH($A33,Employees!$BH$6:$BH$205,0)))</f>
        <v/>
      </c>
      <c r="H33" s="28" t="str">
        <f aca="false">IF($A33="","",INDEX(Employees!$E$6:$E$205,MATCH($A33,Employees!$BH$6:$BH$205,0)))</f>
        <v/>
      </c>
      <c r="I33" s="11" t="str">
        <f aca="false">IF($A33="","",INDEX(Employees!$Z$6:$Z$205,MATCH($A33,Employees!$BH$6:$BH$205,0)))</f>
        <v/>
      </c>
      <c r="J33" s="26" t="str">
        <f aca="false">IF($A33="","",INDEX(Employees!$AB$6:$AB$205,MATCH($A33,Employees!$BH$6:$BH$205,0)))</f>
        <v/>
      </c>
      <c r="K33" s="26" t="str">
        <f aca="false">IF($A33="","",INDEX(Employees!$AI$6:$AI$205,MATCH($A33,Employees!$BH$6:$BH$205,0)))</f>
        <v/>
      </c>
      <c r="L33" s="26" t="str">
        <f aca="false">IF($A33="","",INDEX(Employees!$AG$6:$AG$205,MATCH($A33,Employees!$BH$6:$BH$205,0)))</f>
        <v/>
      </c>
      <c r="M33" s="26" t="str">
        <f aca="false">IF($A33="","",INDEX(Employees!$AH$6:$AH$205,MATCH($A33,Employees!$BH$6:$BH$205,0)))</f>
        <v/>
      </c>
      <c r="N33" s="26" t="str">
        <f aca="false">IF($A33="","",INDEX(Employees!$AK$6:$AK$205,MATCH($A33,Employees!$BH$6:$BH$205,0)))</f>
        <v/>
      </c>
      <c r="O33" s="26" t="str">
        <f aca="false">IF($A33="","",INDEX(Employees!$AL$6:$AL$205,MATCH($A33,Employees!$BH$6:$BH$205,0)))</f>
        <v/>
      </c>
      <c r="P33" s="11" t="str">
        <f aca="false">IF($A33="","",INDEX(Employees!$AM$6:$AM$205,MATCH($A33,Employees!$BH$6:$BH$205,0)))</f>
        <v/>
      </c>
    </row>
    <row r="34" customFormat="false" ht="15" hidden="false" customHeight="false" outlineLevel="0" collapsed="false">
      <c r="A34" s="11" t="str">
        <f aca="false">IF(29&lt;=MAX(Employees!$BH$6:$BH$205),29,"")</f>
        <v/>
      </c>
      <c r="B34" s="11" t="str">
        <f aca="false">IF($A34="","",INDEX(Employees!$A$6:$A$205,MATCH($A34,Employees!$BH$6:$BH$205,0)))</f>
        <v/>
      </c>
      <c r="C34" s="11" t="str">
        <f aca="false">IF($A34="","",INDEX(Employees!$B$6:$B$205,MATCH($A34,Employees!$BH$6:$BH$205,0)))</f>
        <v/>
      </c>
      <c r="D34" s="11" t="str">
        <f aca="false">IF($A34="","",INDEX(Employees!$C$6:$C$205,MATCH($A34,Employees!$BH$6:$BH$205,0)))</f>
        <v/>
      </c>
      <c r="E34" s="11" t="str">
        <f aca="false">IF($A34="","",INDEX(Employees!$D$6:$D$205,MATCH($A34,Employees!$BH$6:$BH$205,0)))</f>
        <v/>
      </c>
      <c r="F34" s="11" t="str">
        <f aca="false">IF($A34="","",INDEX(Employees!$T$6:$T$205,MATCH($A34,Employees!$BH$6:$BH$205,0)))</f>
        <v/>
      </c>
      <c r="G34" s="26" t="str">
        <f aca="false">IF($A34="","",INDEX(Employees!$U$6:$U$205,MATCH($A34,Employees!$BH$6:$BH$205,0)))</f>
        <v/>
      </c>
      <c r="H34" s="28" t="str">
        <f aca="false">IF($A34="","",INDEX(Employees!$E$6:$E$205,MATCH($A34,Employees!$BH$6:$BH$205,0)))</f>
        <v/>
      </c>
      <c r="I34" s="11" t="str">
        <f aca="false">IF($A34="","",INDEX(Employees!$Z$6:$Z$205,MATCH($A34,Employees!$BH$6:$BH$205,0)))</f>
        <v/>
      </c>
      <c r="J34" s="26" t="str">
        <f aca="false">IF($A34="","",INDEX(Employees!$AB$6:$AB$205,MATCH($A34,Employees!$BH$6:$BH$205,0)))</f>
        <v/>
      </c>
      <c r="K34" s="26" t="str">
        <f aca="false">IF($A34="","",INDEX(Employees!$AI$6:$AI$205,MATCH($A34,Employees!$BH$6:$BH$205,0)))</f>
        <v/>
      </c>
      <c r="L34" s="26" t="str">
        <f aca="false">IF($A34="","",INDEX(Employees!$AG$6:$AG$205,MATCH($A34,Employees!$BH$6:$BH$205,0)))</f>
        <v/>
      </c>
      <c r="M34" s="26" t="str">
        <f aca="false">IF($A34="","",INDEX(Employees!$AH$6:$AH$205,MATCH($A34,Employees!$BH$6:$BH$205,0)))</f>
        <v/>
      </c>
      <c r="N34" s="26" t="str">
        <f aca="false">IF($A34="","",INDEX(Employees!$AK$6:$AK$205,MATCH($A34,Employees!$BH$6:$BH$205,0)))</f>
        <v/>
      </c>
      <c r="O34" s="26" t="str">
        <f aca="false">IF($A34="","",INDEX(Employees!$AL$6:$AL$205,MATCH($A34,Employees!$BH$6:$BH$205,0)))</f>
        <v/>
      </c>
      <c r="P34" s="11" t="str">
        <f aca="false">IF($A34="","",INDEX(Employees!$AM$6:$AM$205,MATCH($A34,Employees!$BH$6:$BH$205,0)))</f>
        <v/>
      </c>
    </row>
    <row r="35" customFormat="false" ht="15" hidden="false" customHeight="false" outlineLevel="0" collapsed="false">
      <c r="A35" s="11" t="str">
        <f aca="false">IF(30&lt;=MAX(Employees!$BH$6:$BH$205),30,"")</f>
        <v/>
      </c>
      <c r="B35" s="11" t="str">
        <f aca="false">IF($A35="","",INDEX(Employees!$A$6:$A$205,MATCH($A35,Employees!$BH$6:$BH$205,0)))</f>
        <v/>
      </c>
      <c r="C35" s="11" t="str">
        <f aca="false">IF($A35="","",INDEX(Employees!$B$6:$B$205,MATCH($A35,Employees!$BH$6:$BH$205,0)))</f>
        <v/>
      </c>
      <c r="D35" s="11" t="str">
        <f aca="false">IF($A35="","",INDEX(Employees!$C$6:$C$205,MATCH($A35,Employees!$BH$6:$BH$205,0)))</f>
        <v/>
      </c>
      <c r="E35" s="11" t="str">
        <f aca="false">IF($A35="","",INDEX(Employees!$D$6:$D$205,MATCH($A35,Employees!$BH$6:$BH$205,0)))</f>
        <v/>
      </c>
      <c r="F35" s="11" t="str">
        <f aca="false">IF($A35="","",INDEX(Employees!$T$6:$T$205,MATCH($A35,Employees!$BH$6:$BH$205,0)))</f>
        <v/>
      </c>
      <c r="G35" s="26" t="str">
        <f aca="false">IF($A35="","",INDEX(Employees!$U$6:$U$205,MATCH($A35,Employees!$BH$6:$BH$205,0)))</f>
        <v/>
      </c>
      <c r="H35" s="28" t="str">
        <f aca="false">IF($A35="","",INDEX(Employees!$E$6:$E$205,MATCH($A35,Employees!$BH$6:$BH$205,0)))</f>
        <v/>
      </c>
      <c r="I35" s="11" t="str">
        <f aca="false">IF($A35="","",INDEX(Employees!$Z$6:$Z$205,MATCH($A35,Employees!$BH$6:$BH$205,0)))</f>
        <v/>
      </c>
      <c r="J35" s="26" t="str">
        <f aca="false">IF($A35="","",INDEX(Employees!$AB$6:$AB$205,MATCH($A35,Employees!$BH$6:$BH$205,0)))</f>
        <v/>
      </c>
      <c r="K35" s="26" t="str">
        <f aca="false">IF($A35="","",INDEX(Employees!$AI$6:$AI$205,MATCH($A35,Employees!$BH$6:$BH$205,0)))</f>
        <v/>
      </c>
      <c r="L35" s="26" t="str">
        <f aca="false">IF($A35="","",INDEX(Employees!$AG$6:$AG$205,MATCH($A35,Employees!$BH$6:$BH$205,0)))</f>
        <v/>
      </c>
      <c r="M35" s="26" t="str">
        <f aca="false">IF($A35="","",INDEX(Employees!$AH$6:$AH$205,MATCH($A35,Employees!$BH$6:$BH$205,0)))</f>
        <v/>
      </c>
      <c r="N35" s="26" t="str">
        <f aca="false">IF($A35="","",INDEX(Employees!$AK$6:$AK$205,MATCH($A35,Employees!$BH$6:$BH$205,0)))</f>
        <v/>
      </c>
      <c r="O35" s="26" t="str">
        <f aca="false">IF($A35="","",INDEX(Employees!$AL$6:$AL$205,MATCH($A35,Employees!$BH$6:$BH$205,0)))</f>
        <v/>
      </c>
      <c r="P35" s="11" t="str">
        <f aca="false">IF($A35="","",INDEX(Employees!$AM$6:$AM$205,MATCH($A35,Employees!$BH$6:$BH$205,0)))</f>
        <v/>
      </c>
    </row>
    <row r="36" customFormat="false" ht="15" hidden="false" customHeight="false" outlineLevel="0" collapsed="false">
      <c r="A36" s="11" t="str">
        <f aca="false">IF(31&lt;=MAX(Employees!$BH$6:$BH$205),31,"")</f>
        <v/>
      </c>
      <c r="B36" s="11" t="str">
        <f aca="false">IF($A36="","",INDEX(Employees!$A$6:$A$205,MATCH($A36,Employees!$BH$6:$BH$205,0)))</f>
        <v/>
      </c>
      <c r="C36" s="11" t="str">
        <f aca="false">IF($A36="","",INDEX(Employees!$B$6:$B$205,MATCH($A36,Employees!$BH$6:$BH$205,0)))</f>
        <v/>
      </c>
      <c r="D36" s="11" t="str">
        <f aca="false">IF($A36="","",INDEX(Employees!$C$6:$C$205,MATCH($A36,Employees!$BH$6:$BH$205,0)))</f>
        <v/>
      </c>
      <c r="E36" s="11" t="str">
        <f aca="false">IF($A36="","",INDEX(Employees!$D$6:$D$205,MATCH($A36,Employees!$BH$6:$BH$205,0)))</f>
        <v/>
      </c>
      <c r="F36" s="11" t="str">
        <f aca="false">IF($A36="","",INDEX(Employees!$T$6:$T$205,MATCH($A36,Employees!$BH$6:$BH$205,0)))</f>
        <v/>
      </c>
      <c r="G36" s="26" t="str">
        <f aca="false">IF($A36="","",INDEX(Employees!$U$6:$U$205,MATCH($A36,Employees!$BH$6:$BH$205,0)))</f>
        <v/>
      </c>
      <c r="H36" s="28" t="str">
        <f aca="false">IF($A36="","",INDEX(Employees!$E$6:$E$205,MATCH($A36,Employees!$BH$6:$BH$205,0)))</f>
        <v/>
      </c>
      <c r="I36" s="11" t="str">
        <f aca="false">IF($A36="","",INDEX(Employees!$Z$6:$Z$205,MATCH($A36,Employees!$BH$6:$BH$205,0)))</f>
        <v/>
      </c>
      <c r="J36" s="26" t="str">
        <f aca="false">IF($A36="","",INDEX(Employees!$AB$6:$AB$205,MATCH($A36,Employees!$BH$6:$BH$205,0)))</f>
        <v/>
      </c>
      <c r="K36" s="26" t="str">
        <f aca="false">IF($A36="","",INDEX(Employees!$AI$6:$AI$205,MATCH($A36,Employees!$BH$6:$BH$205,0)))</f>
        <v/>
      </c>
      <c r="L36" s="26" t="str">
        <f aca="false">IF($A36="","",INDEX(Employees!$AG$6:$AG$205,MATCH($A36,Employees!$BH$6:$BH$205,0)))</f>
        <v/>
      </c>
      <c r="M36" s="26" t="str">
        <f aca="false">IF($A36="","",INDEX(Employees!$AH$6:$AH$205,MATCH($A36,Employees!$BH$6:$BH$205,0)))</f>
        <v/>
      </c>
      <c r="N36" s="26" t="str">
        <f aca="false">IF($A36="","",INDEX(Employees!$AK$6:$AK$205,MATCH($A36,Employees!$BH$6:$BH$205,0)))</f>
        <v/>
      </c>
      <c r="O36" s="26" t="str">
        <f aca="false">IF($A36="","",INDEX(Employees!$AL$6:$AL$205,MATCH($A36,Employees!$BH$6:$BH$205,0)))</f>
        <v/>
      </c>
      <c r="P36" s="11" t="str">
        <f aca="false">IF($A36="","",INDEX(Employees!$AM$6:$AM$205,MATCH($A36,Employees!$BH$6:$BH$205,0)))</f>
        <v/>
      </c>
    </row>
    <row r="37" customFormat="false" ht="15" hidden="false" customHeight="false" outlineLevel="0" collapsed="false">
      <c r="A37" s="11" t="str">
        <f aca="false">IF(32&lt;=MAX(Employees!$BH$6:$BH$205),32,"")</f>
        <v/>
      </c>
      <c r="B37" s="11" t="str">
        <f aca="false">IF($A37="","",INDEX(Employees!$A$6:$A$205,MATCH($A37,Employees!$BH$6:$BH$205,0)))</f>
        <v/>
      </c>
      <c r="C37" s="11" t="str">
        <f aca="false">IF($A37="","",INDEX(Employees!$B$6:$B$205,MATCH($A37,Employees!$BH$6:$BH$205,0)))</f>
        <v/>
      </c>
      <c r="D37" s="11" t="str">
        <f aca="false">IF($A37="","",INDEX(Employees!$C$6:$C$205,MATCH($A37,Employees!$BH$6:$BH$205,0)))</f>
        <v/>
      </c>
      <c r="E37" s="11" t="str">
        <f aca="false">IF($A37="","",INDEX(Employees!$D$6:$D$205,MATCH($A37,Employees!$BH$6:$BH$205,0)))</f>
        <v/>
      </c>
      <c r="F37" s="11" t="str">
        <f aca="false">IF($A37="","",INDEX(Employees!$T$6:$T$205,MATCH($A37,Employees!$BH$6:$BH$205,0)))</f>
        <v/>
      </c>
      <c r="G37" s="26" t="str">
        <f aca="false">IF($A37="","",INDEX(Employees!$U$6:$U$205,MATCH($A37,Employees!$BH$6:$BH$205,0)))</f>
        <v/>
      </c>
      <c r="H37" s="28" t="str">
        <f aca="false">IF($A37="","",INDEX(Employees!$E$6:$E$205,MATCH($A37,Employees!$BH$6:$BH$205,0)))</f>
        <v/>
      </c>
      <c r="I37" s="11" t="str">
        <f aca="false">IF($A37="","",INDEX(Employees!$Z$6:$Z$205,MATCH($A37,Employees!$BH$6:$BH$205,0)))</f>
        <v/>
      </c>
      <c r="J37" s="26" t="str">
        <f aca="false">IF($A37="","",INDEX(Employees!$AB$6:$AB$205,MATCH($A37,Employees!$BH$6:$BH$205,0)))</f>
        <v/>
      </c>
      <c r="K37" s="26" t="str">
        <f aca="false">IF($A37="","",INDEX(Employees!$AI$6:$AI$205,MATCH($A37,Employees!$BH$6:$BH$205,0)))</f>
        <v/>
      </c>
      <c r="L37" s="26" t="str">
        <f aca="false">IF($A37="","",INDEX(Employees!$AG$6:$AG$205,MATCH($A37,Employees!$BH$6:$BH$205,0)))</f>
        <v/>
      </c>
      <c r="M37" s="26" t="str">
        <f aca="false">IF($A37="","",INDEX(Employees!$AH$6:$AH$205,MATCH($A37,Employees!$BH$6:$BH$205,0)))</f>
        <v/>
      </c>
      <c r="N37" s="26" t="str">
        <f aca="false">IF($A37="","",INDEX(Employees!$AK$6:$AK$205,MATCH($A37,Employees!$BH$6:$BH$205,0)))</f>
        <v/>
      </c>
      <c r="O37" s="26" t="str">
        <f aca="false">IF($A37="","",INDEX(Employees!$AL$6:$AL$205,MATCH($A37,Employees!$BH$6:$BH$205,0)))</f>
        <v/>
      </c>
      <c r="P37" s="11" t="str">
        <f aca="false">IF($A37="","",INDEX(Employees!$AM$6:$AM$205,MATCH($A37,Employees!$BH$6:$BH$205,0)))</f>
        <v/>
      </c>
    </row>
    <row r="38" customFormat="false" ht="15" hidden="false" customHeight="false" outlineLevel="0" collapsed="false">
      <c r="A38" s="11" t="str">
        <f aca="false">IF(33&lt;=MAX(Employees!$BH$6:$BH$205),33,"")</f>
        <v/>
      </c>
      <c r="B38" s="11" t="str">
        <f aca="false">IF($A38="","",INDEX(Employees!$A$6:$A$205,MATCH($A38,Employees!$BH$6:$BH$205,0)))</f>
        <v/>
      </c>
      <c r="C38" s="11" t="str">
        <f aca="false">IF($A38="","",INDEX(Employees!$B$6:$B$205,MATCH($A38,Employees!$BH$6:$BH$205,0)))</f>
        <v/>
      </c>
      <c r="D38" s="11" t="str">
        <f aca="false">IF($A38="","",INDEX(Employees!$C$6:$C$205,MATCH($A38,Employees!$BH$6:$BH$205,0)))</f>
        <v/>
      </c>
      <c r="E38" s="11" t="str">
        <f aca="false">IF($A38="","",INDEX(Employees!$D$6:$D$205,MATCH($A38,Employees!$BH$6:$BH$205,0)))</f>
        <v/>
      </c>
      <c r="F38" s="11" t="str">
        <f aca="false">IF($A38="","",INDEX(Employees!$T$6:$T$205,MATCH($A38,Employees!$BH$6:$BH$205,0)))</f>
        <v/>
      </c>
      <c r="G38" s="26" t="str">
        <f aca="false">IF($A38="","",INDEX(Employees!$U$6:$U$205,MATCH($A38,Employees!$BH$6:$BH$205,0)))</f>
        <v/>
      </c>
      <c r="H38" s="28" t="str">
        <f aca="false">IF($A38="","",INDEX(Employees!$E$6:$E$205,MATCH($A38,Employees!$BH$6:$BH$205,0)))</f>
        <v/>
      </c>
      <c r="I38" s="11" t="str">
        <f aca="false">IF($A38="","",INDEX(Employees!$Z$6:$Z$205,MATCH($A38,Employees!$BH$6:$BH$205,0)))</f>
        <v/>
      </c>
      <c r="J38" s="26" t="str">
        <f aca="false">IF($A38="","",INDEX(Employees!$AB$6:$AB$205,MATCH($A38,Employees!$BH$6:$BH$205,0)))</f>
        <v/>
      </c>
      <c r="K38" s="26" t="str">
        <f aca="false">IF($A38="","",INDEX(Employees!$AI$6:$AI$205,MATCH($A38,Employees!$BH$6:$BH$205,0)))</f>
        <v/>
      </c>
      <c r="L38" s="26" t="str">
        <f aca="false">IF($A38="","",INDEX(Employees!$AG$6:$AG$205,MATCH($A38,Employees!$BH$6:$BH$205,0)))</f>
        <v/>
      </c>
      <c r="M38" s="26" t="str">
        <f aca="false">IF($A38="","",INDEX(Employees!$AH$6:$AH$205,MATCH($A38,Employees!$BH$6:$BH$205,0)))</f>
        <v/>
      </c>
      <c r="N38" s="26" t="str">
        <f aca="false">IF($A38="","",INDEX(Employees!$AK$6:$AK$205,MATCH($A38,Employees!$BH$6:$BH$205,0)))</f>
        <v/>
      </c>
      <c r="O38" s="26" t="str">
        <f aca="false">IF($A38="","",INDEX(Employees!$AL$6:$AL$205,MATCH($A38,Employees!$BH$6:$BH$205,0)))</f>
        <v/>
      </c>
      <c r="P38" s="11" t="str">
        <f aca="false">IF($A38="","",INDEX(Employees!$AM$6:$AM$205,MATCH($A38,Employees!$BH$6:$BH$205,0)))</f>
        <v/>
      </c>
    </row>
    <row r="39" customFormat="false" ht="15" hidden="false" customHeight="false" outlineLevel="0" collapsed="false">
      <c r="A39" s="11" t="str">
        <f aca="false">IF(34&lt;=MAX(Employees!$BH$6:$BH$205),34,"")</f>
        <v/>
      </c>
      <c r="B39" s="11" t="str">
        <f aca="false">IF($A39="","",INDEX(Employees!$A$6:$A$205,MATCH($A39,Employees!$BH$6:$BH$205,0)))</f>
        <v/>
      </c>
      <c r="C39" s="11" t="str">
        <f aca="false">IF($A39="","",INDEX(Employees!$B$6:$B$205,MATCH($A39,Employees!$BH$6:$BH$205,0)))</f>
        <v/>
      </c>
      <c r="D39" s="11" t="str">
        <f aca="false">IF($A39="","",INDEX(Employees!$C$6:$C$205,MATCH($A39,Employees!$BH$6:$BH$205,0)))</f>
        <v/>
      </c>
      <c r="E39" s="11" t="str">
        <f aca="false">IF($A39="","",INDEX(Employees!$D$6:$D$205,MATCH($A39,Employees!$BH$6:$BH$205,0)))</f>
        <v/>
      </c>
      <c r="F39" s="11" t="str">
        <f aca="false">IF($A39="","",INDEX(Employees!$T$6:$T$205,MATCH($A39,Employees!$BH$6:$BH$205,0)))</f>
        <v/>
      </c>
      <c r="G39" s="26" t="str">
        <f aca="false">IF($A39="","",INDEX(Employees!$U$6:$U$205,MATCH($A39,Employees!$BH$6:$BH$205,0)))</f>
        <v/>
      </c>
      <c r="H39" s="28" t="str">
        <f aca="false">IF($A39="","",INDEX(Employees!$E$6:$E$205,MATCH($A39,Employees!$BH$6:$BH$205,0)))</f>
        <v/>
      </c>
      <c r="I39" s="11" t="str">
        <f aca="false">IF($A39="","",INDEX(Employees!$Z$6:$Z$205,MATCH($A39,Employees!$BH$6:$BH$205,0)))</f>
        <v/>
      </c>
      <c r="J39" s="26" t="str">
        <f aca="false">IF($A39="","",INDEX(Employees!$AB$6:$AB$205,MATCH($A39,Employees!$BH$6:$BH$205,0)))</f>
        <v/>
      </c>
      <c r="K39" s="26" t="str">
        <f aca="false">IF($A39="","",INDEX(Employees!$AI$6:$AI$205,MATCH($A39,Employees!$BH$6:$BH$205,0)))</f>
        <v/>
      </c>
      <c r="L39" s="26" t="str">
        <f aca="false">IF($A39="","",INDEX(Employees!$AG$6:$AG$205,MATCH($A39,Employees!$BH$6:$BH$205,0)))</f>
        <v/>
      </c>
      <c r="M39" s="26" t="str">
        <f aca="false">IF($A39="","",INDEX(Employees!$AH$6:$AH$205,MATCH($A39,Employees!$BH$6:$BH$205,0)))</f>
        <v/>
      </c>
      <c r="N39" s="26" t="str">
        <f aca="false">IF($A39="","",INDEX(Employees!$AK$6:$AK$205,MATCH($A39,Employees!$BH$6:$BH$205,0)))</f>
        <v/>
      </c>
      <c r="O39" s="26" t="str">
        <f aca="false">IF($A39="","",INDEX(Employees!$AL$6:$AL$205,MATCH($A39,Employees!$BH$6:$BH$205,0)))</f>
        <v/>
      </c>
      <c r="P39" s="11" t="str">
        <f aca="false">IF($A39="","",INDEX(Employees!$AM$6:$AM$205,MATCH($A39,Employees!$BH$6:$BH$205,0)))</f>
        <v/>
      </c>
    </row>
    <row r="40" customFormat="false" ht="15" hidden="false" customHeight="false" outlineLevel="0" collapsed="false">
      <c r="A40" s="11" t="str">
        <f aca="false">IF(35&lt;=MAX(Employees!$BH$6:$BH$205),35,"")</f>
        <v/>
      </c>
      <c r="B40" s="11" t="str">
        <f aca="false">IF($A40="","",INDEX(Employees!$A$6:$A$205,MATCH($A40,Employees!$BH$6:$BH$205,0)))</f>
        <v/>
      </c>
      <c r="C40" s="11" t="str">
        <f aca="false">IF($A40="","",INDEX(Employees!$B$6:$B$205,MATCH($A40,Employees!$BH$6:$BH$205,0)))</f>
        <v/>
      </c>
      <c r="D40" s="11" t="str">
        <f aca="false">IF($A40="","",INDEX(Employees!$C$6:$C$205,MATCH($A40,Employees!$BH$6:$BH$205,0)))</f>
        <v/>
      </c>
      <c r="E40" s="11" t="str">
        <f aca="false">IF($A40="","",INDEX(Employees!$D$6:$D$205,MATCH($A40,Employees!$BH$6:$BH$205,0)))</f>
        <v/>
      </c>
      <c r="F40" s="11" t="str">
        <f aca="false">IF($A40="","",INDEX(Employees!$T$6:$T$205,MATCH($A40,Employees!$BH$6:$BH$205,0)))</f>
        <v/>
      </c>
      <c r="G40" s="26" t="str">
        <f aca="false">IF($A40="","",INDEX(Employees!$U$6:$U$205,MATCH($A40,Employees!$BH$6:$BH$205,0)))</f>
        <v/>
      </c>
      <c r="H40" s="28" t="str">
        <f aca="false">IF($A40="","",INDEX(Employees!$E$6:$E$205,MATCH($A40,Employees!$BH$6:$BH$205,0)))</f>
        <v/>
      </c>
      <c r="I40" s="11" t="str">
        <f aca="false">IF($A40="","",INDEX(Employees!$Z$6:$Z$205,MATCH($A40,Employees!$BH$6:$BH$205,0)))</f>
        <v/>
      </c>
      <c r="J40" s="26" t="str">
        <f aca="false">IF($A40="","",INDEX(Employees!$AB$6:$AB$205,MATCH($A40,Employees!$BH$6:$BH$205,0)))</f>
        <v/>
      </c>
      <c r="K40" s="26" t="str">
        <f aca="false">IF($A40="","",INDEX(Employees!$AI$6:$AI$205,MATCH($A40,Employees!$BH$6:$BH$205,0)))</f>
        <v/>
      </c>
      <c r="L40" s="26" t="str">
        <f aca="false">IF($A40="","",INDEX(Employees!$AG$6:$AG$205,MATCH($A40,Employees!$BH$6:$BH$205,0)))</f>
        <v/>
      </c>
      <c r="M40" s="26" t="str">
        <f aca="false">IF($A40="","",INDEX(Employees!$AH$6:$AH$205,MATCH($A40,Employees!$BH$6:$BH$205,0)))</f>
        <v/>
      </c>
      <c r="N40" s="26" t="str">
        <f aca="false">IF($A40="","",INDEX(Employees!$AK$6:$AK$205,MATCH($A40,Employees!$BH$6:$BH$205,0)))</f>
        <v/>
      </c>
      <c r="O40" s="26" t="str">
        <f aca="false">IF($A40="","",INDEX(Employees!$AL$6:$AL$205,MATCH($A40,Employees!$BH$6:$BH$205,0)))</f>
        <v/>
      </c>
      <c r="P40" s="11" t="str">
        <f aca="false">IF($A40="","",INDEX(Employees!$AM$6:$AM$205,MATCH($A40,Employees!$BH$6:$BH$205,0)))</f>
        <v/>
      </c>
    </row>
    <row r="41" customFormat="false" ht="15" hidden="false" customHeight="false" outlineLevel="0" collapsed="false">
      <c r="A41" s="11" t="str">
        <f aca="false">IF(36&lt;=MAX(Employees!$BH$6:$BH$205),36,"")</f>
        <v/>
      </c>
      <c r="B41" s="11" t="str">
        <f aca="false">IF($A41="","",INDEX(Employees!$A$6:$A$205,MATCH($A41,Employees!$BH$6:$BH$205,0)))</f>
        <v/>
      </c>
      <c r="C41" s="11" t="str">
        <f aca="false">IF($A41="","",INDEX(Employees!$B$6:$B$205,MATCH($A41,Employees!$BH$6:$BH$205,0)))</f>
        <v/>
      </c>
      <c r="D41" s="11" t="str">
        <f aca="false">IF($A41="","",INDEX(Employees!$C$6:$C$205,MATCH($A41,Employees!$BH$6:$BH$205,0)))</f>
        <v/>
      </c>
      <c r="E41" s="11" t="str">
        <f aca="false">IF($A41="","",INDEX(Employees!$D$6:$D$205,MATCH($A41,Employees!$BH$6:$BH$205,0)))</f>
        <v/>
      </c>
      <c r="F41" s="11" t="str">
        <f aca="false">IF($A41="","",INDEX(Employees!$T$6:$T$205,MATCH($A41,Employees!$BH$6:$BH$205,0)))</f>
        <v/>
      </c>
      <c r="G41" s="26" t="str">
        <f aca="false">IF($A41="","",INDEX(Employees!$U$6:$U$205,MATCH($A41,Employees!$BH$6:$BH$205,0)))</f>
        <v/>
      </c>
      <c r="H41" s="28" t="str">
        <f aca="false">IF($A41="","",INDEX(Employees!$E$6:$E$205,MATCH($A41,Employees!$BH$6:$BH$205,0)))</f>
        <v/>
      </c>
      <c r="I41" s="11" t="str">
        <f aca="false">IF($A41="","",INDEX(Employees!$Z$6:$Z$205,MATCH($A41,Employees!$BH$6:$BH$205,0)))</f>
        <v/>
      </c>
      <c r="J41" s="26" t="str">
        <f aca="false">IF($A41="","",INDEX(Employees!$AB$6:$AB$205,MATCH($A41,Employees!$BH$6:$BH$205,0)))</f>
        <v/>
      </c>
      <c r="K41" s="26" t="str">
        <f aca="false">IF($A41="","",INDEX(Employees!$AI$6:$AI$205,MATCH($A41,Employees!$BH$6:$BH$205,0)))</f>
        <v/>
      </c>
      <c r="L41" s="26" t="str">
        <f aca="false">IF($A41="","",INDEX(Employees!$AG$6:$AG$205,MATCH($A41,Employees!$BH$6:$BH$205,0)))</f>
        <v/>
      </c>
      <c r="M41" s="26" t="str">
        <f aca="false">IF($A41="","",INDEX(Employees!$AH$6:$AH$205,MATCH($A41,Employees!$BH$6:$BH$205,0)))</f>
        <v/>
      </c>
      <c r="N41" s="26" t="str">
        <f aca="false">IF($A41="","",INDEX(Employees!$AK$6:$AK$205,MATCH($A41,Employees!$BH$6:$BH$205,0)))</f>
        <v/>
      </c>
      <c r="O41" s="26" t="str">
        <f aca="false">IF($A41="","",INDEX(Employees!$AL$6:$AL$205,MATCH($A41,Employees!$BH$6:$BH$205,0)))</f>
        <v/>
      </c>
      <c r="P41" s="11" t="str">
        <f aca="false">IF($A41="","",INDEX(Employees!$AM$6:$AM$205,MATCH($A41,Employees!$BH$6:$BH$205,0)))</f>
        <v/>
      </c>
    </row>
    <row r="42" customFormat="false" ht="15" hidden="false" customHeight="false" outlineLevel="0" collapsed="false">
      <c r="A42" s="11" t="str">
        <f aca="false">IF(37&lt;=MAX(Employees!$BH$6:$BH$205),37,"")</f>
        <v/>
      </c>
      <c r="B42" s="11" t="str">
        <f aca="false">IF($A42="","",INDEX(Employees!$A$6:$A$205,MATCH($A42,Employees!$BH$6:$BH$205,0)))</f>
        <v/>
      </c>
      <c r="C42" s="11" t="str">
        <f aca="false">IF($A42="","",INDEX(Employees!$B$6:$B$205,MATCH($A42,Employees!$BH$6:$BH$205,0)))</f>
        <v/>
      </c>
      <c r="D42" s="11" t="str">
        <f aca="false">IF($A42="","",INDEX(Employees!$C$6:$C$205,MATCH($A42,Employees!$BH$6:$BH$205,0)))</f>
        <v/>
      </c>
      <c r="E42" s="11" t="str">
        <f aca="false">IF($A42="","",INDEX(Employees!$D$6:$D$205,MATCH($A42,Employees!$BH$6:$BH$205,0)))</f>
        <v/>
      </c>
      <c r="F42" s="11" t="str">
        <f aca="false">IF($A42="","",INDEX(Employees!$T$6:$T$205,MATCH($A42,Employees!$BH$6:$BH$205,0)))</f>
        <v/>
      </c>
      <c r="G42" s="26" t="str">
        <f aca="false">IF($A42="","",INDEX(Employees!$U$6:$U$205,MATCH($A42,Employees!$BH$6:$BH$205,0)))</f>
        <v/>
      </c>
      <c r="H42" s="28" t="str">
        <f aca="false">IF($A42="","",INDEX(Employees!$E$6:$E$205,MATCH($A42,Employees!$BH$6:$BH$205,0)))</f>
        <v/>
      </c>
      <c r="I42" s="11" t="str">
        <f aca="false">IF($A42="","",INDEX(Employees!$Z$6:$Z$205,MATCH($A42,Employees!$BH$6:$BH$205,0)))</f>
        <v/>
      </c>
      <c r="J42" s="26" t="str">
        <f aca="false">IF($A42="","",INDEX(Employees!$AB$6:$AB$205,MATCH($A42,Employees!$BH$6:$BH$205,0)))</f>
        <v/>
      </c>
      <c r="K42" s="26" t="str">
        <f aca="false">IF($A42="","",INDEX(Employees!$AI$6:$AI$205,MATCH($A42,Employees!$BH$6:$BH$205,0)))</f>
        <v/>
      </c>
      <c r="L42" s="26" t="str">
        <f aca="false">IF($A42="","",INDEX(Employees!$AG$6:$AG$205,MATCH($A42,Employees!$BH$6:$BH$205,0)))</f>
        <v/>
      </c>
      <c r="M42" s="26" t="str">
        <f aca="false">IF($A42="","",INDEX(Employees!$AH$6:$AH$205,MATCH($A42,Employees!$BH$6:$BH$205,0)))</f>
        <v/>
      </c>
      <c r="N42" s="26" t="str">
        <f aca="false">IF($A42="","",INDEX(Employees!$AK$6:$AK$205,MATCH($A42,Employees!$BH$6:$BH$205,0)))</f>
        <v/>
      </c>
      <c r="O42" s="26" t="str">
        <f aca="false">IF($A42="","",INDEX(Employees!$AL$6:$AL$205,MATCH($A42,Employees!$BH$6:$BH$205,0)))</f>
        <v/>
      </c>
      <c r="P42" s="11" t="str">
        <f aca="false">IF($A42="","",INDEX(Employees!$AM$6:$AM$205,MATCH($A42,Employees!$BH$6:$BH$205,0)))</f>
        <v/>
      </c>
    </row>
    <row r="43" customFormat="false" ht="15" hidden="false" customHeight="false" outlineLevel="0" collapsed="false">
      <c r="A43" s="11" t="str">
        <f aca="false">IF(38&lt;=MAX(Employees!$BH$6:$BH$205),38,"")</f>
        <v/>
      </c>
      <c r="B43" s="11" t="str">
        <f aca="false">IF($A43="","",INDEX(Employees!$A$6:$A$205,MATCH($A43,Employees!$BH$6:$BH$205,0)))</f>
        <v/>
      </c>
      <c r="C43" s="11" t="str">
        <f aca="false">IF($A43="","",INDEX(Employees!$B$6:$B$205,MATCH($A43,Employees!$BH$6:$BH$205,0)))</f>
        <v/>
      </c>
      <c r="D43" s="11" t="str">
        <f aca="false">IF($A43="","",INDEX(Employees!$C$6:$C$205,MATCH($A43,Employees!$BH$6:$BH$205,0)))</f>
        <v/>
      </c>
      <c r="E43" s="11" t="str">
        <f aca="false">IF($A43="","",INDEX(Employees!$D$6:$D$205,MATCH($A43,Employees!$BH$6:$BH$205,0)))</f>
        <v/>
      </c>
      <c r="F43" s="11" t="str">
        <f aca="false">IF($A43="","",INDEX(Employees!$T$6:$T$205,MATCH($A43,Employees!$BH$6:$BH$205,0)))</f>
        <v/>
      </c>
      <c r="G43" s="26" t="str">
        <f aca="false">IF($A43="","",INDEX(Employees!$U$6:$U$205,MATCH($A43,Employees!$BH$6:$BH$205,0)))</f>
        <v/>
      </c>
      <c r="H43" s="28" t="str">
        <f aca="false">IF($A43="","",INDEX(Employees!$E$6:$E$205,MATCH($A43,Employees!$BH$6:$BH$205,0)))</f>
        <v/>
      </c>
      <c r="I43" s="11" t="str">
        <f aca="false">IF($A43="","",INDEX(Employees!$Z$6:$Z$205,MATCH($A43,Employees!$BH$6:$BH$205,0)))</f>
        <v/>
      </c>
      <c r="J43" s="26" t="str">
        <f aca="false">IF($A43="","",INDEX(Employees!$AB$6:$AB$205,MATCH($A43,Employees!$BH$6:$BH$205,0)))</f>
        <v/>
      </c>
      <c r="K43" s="26" t="str">
        <f aca="false">IF($A43="","",INDEX(Employees!$AI$6:$AI$205,MATCH($A43,Employees!$BH$6:$BH$205,0)))</f>
        <v/>
      </c>
      <c r="L43" s="26" t="str">
        <f aca="false">IF($A43="","",INDEX(Employees!$AG$6:$AG$205,MATCH($A43,Employees!$BH$6:$BH$205,0)))</f>
        <v/>
      </c>
      <c r="M43" s="26" t="str">
        <f aca="false">IF($A43="","",INDEX(Employees!$AH$6:$AH$205,MATCH($A43,Employees!$BH$6:$BH$205,0)))</f>
        <v/>
      </c>
      <c r="N43" s="26" t="str">
        <f aca="false">IF($A43="","",INDEX(Employees!$AK$6:$AK$205,MATCH($A43,Employees!$BH$6:$BH$205,0)))</f>
        <v/>
      </c>
      <c r="O43" s="26" t="str">
        <f aca="false">IF($A43="","",INDEX(Employees!$AL$6:$AL$205,MATCH($A43,Employees!$BH$6:$BH$205,0)))</f>
        <v/>
      </c>
      <c r="P43" s="11" t="str">
        <f aca="false">IF($A43="","",INDEX(Employees!$AM$6:$AM$205,MATCH($A43,Employees!$BH$6:$BH$205,0)))</f>
        <v/>
      </c>
    </row>
    <row r="44" customFormat="false" ht="15" hidden="false" customHeight="false" outlineLevel="0" collapsed="false">
      <c r="A44" s="11" t="str">
        <f aca="false">IF(39&lt;=MAX(Employees!$BH$6:$BH$205),39,"")</f>
        <v/>
      </c>
      <c r="B44" s="11" t="str">
        <f aca="false">IF($A44="","",INDEX(Employees!$A$6:$A$205,MATCH($A44,Employees!$BH$6:$BH$205,0)))</f>
        <v/>
      </c>
      <c r="C44" s="11" t="str">
        <f aca="false">IF($A44="","",INDEX(Employees!$B$6:$B$205,MATCH($A44,Employees!$BH$6:$BH$205,0)))</f>
        <v/>
      </c>
      <c r="D44" s="11" t="str">
        <f aca="false">IF($A44="","",INDEX(Employees!$C$6:$C$205,MATCH($A44,Employees!$BH$6:$BH$205,0)))</f>
        <v/>
      </c>
      <c r="E44" s="11" t="str">
        <f aca="false">IF($A44="","",INDEX(Employees!$D$6:$D$205,MATCH($A44,Employees!$BH$6:$BH$205,0)))</f>
        <v/>
      </c>
      <c r="F44" s="11" t="str">
        <f aca="false">IF($A44="","",INDEX(Employees!$T$6:$T$205,MATCH($A44,Employees!$BH$6:$BH$205,0)))</f>
        <v/>
      </c>
      <c r="G44" s="26" t="str">
        <f aca="false">IF($A44="","",INDEX(Employees!$U$6:$U$205,MATCH($A44,Employees!$BH$6:$BH$205,0)))</f>
        <v/>
      </c>
      <c r="H44" s="28" t="str">
        <f aca="false">IF($A44="","",INDEX(Employees!$E$6:$E$205,MATCH($A44,Employees!$BH$6:$BH$205,0)))</f>
        <v/>
      </c>
      <c r="I44" s="11" t="str">
        <f aca="false">IF($A44="","",INDEX(Employees!$Z$6:$Z$205,MATCH($A44,Employees!$BH$6:$BH$205,0)))</f>
        <v/>
      </c>
      <c r="J44" s="26" t="str">
        <f aca="false">IF($A44="","",INDEX(Employees!$AB$6:$AB$205,MATCH($A44,Employees!$BH$6:$BH$205,0)))</f>
        <v/>
      </c>
      <c r="K44" s="26" t="str">
        <f aca="false">IF($A44="","",INDEX(Employees!$AI$6:$AI$205,MATCH($A44,Employees!$BH$6:$BH$205,0)))</f>
        <v/>
      </c>
      <c r="L44" s="26" t="str">
        <f aca="false">IF($A44="","",INDEX(Employees!$AG$6:$AG$205,MATCH($A44,Employees!$BH$6:$BH$205,0)))</f>
        <v/>
      </c>
      <c r="M44" s="26" t="str">
        <f aca="false">IF($A44="","",INDEX(Employees!$AH$6:$AH$205,MATCH($A44,Employees!$BH$6:$BH$205,0)))</f>
        <v/>
      </c>
      <c r="N44" s="26" t="str">
        <f aca="false">IF($A44="","",INDEX(Employees!$AK$6:$AK$205,MATCH($A44,Employees!$BH$6:$BH$205,0)))</f>
        <v/>
      </c>
      <c r="O44" s="26" t="str">
        <f aca="false">IF($A44="","",INDEX(Employees!$AL$6:$AL$205,MATCH($A44,Employees!$BH$6:$BH$205,0)))</f>
        <v/>
      </c>
      <c r="P44" s="11" t="str">
        <f aca="false">IF($A44="","",INDEX(Employees!$AM$6:$AM$205,MATCH($A44,Employees!$BH$6:$BH$205,0)))</f>
        <v/>
      </c>
    </row>
    <row r="45" customFormat="false" ht="15" hidden="false" customHeight="false" outlineLevel="0" collapsed="false">
      <c r="A45" s="11" t="str">
        <f aca="false">IF(40&lt;=MAX(Employees!$BH$6:$BH$205),40,"")</f>
        <v/>
      </c>
      <c r="B45" s="11" t="str">
        <f aca="false">IF($A45="","",INDEX(Employees!$A$6:$A$205,MATCH($A45,Employees!$BH$6:$BH$205,0)))</f>
        <v/>
      </c>
      <c r="C45" s="11" t="str">
        <f aca="false">IF($A45="","",INDEX(Employees!$B$6:$B$205,MATCH($A45,Employees!$BH$6:$BH$205,0)))</f>
        <v/>
      </c>
      <c r="D45" s="11" t="str">
        <f aca="false">IF($A45="","",INDEX(Employees!$C$6:$C$205,MATCH($A45,Employees!$BH$6:$BH$205,0)))</f>
        <v/>
      </c>
      <c r="E45" s="11" t="str">
        <f aca="false">IF($A45="","",INDEX(Employees!$D$6:$D$205,MATCH($A45,Employees!$BH$6:$BH$205,0)))</f>
        <v/>
      </c>
      <c r="F45" s="11" t="str">
        <f aca="false">IF($A45="","",INDEX(Employees!$T$6:$T$205,MATCH($A45,Employees!$BH$6:$BH$205,0)))</f>
        <v/>
      </c>
      <c r="G45" s="26" t="str">
        <f aca="false">IF($A45="","",INDEX(Employees!$U$6:$U$205,MATCH($A45,Employees!$BH$6:$BH$205,0)))</f>
        <v/>
      </c>
      <c r="H45" s="28" t="str">
        <f aca="false">IF($A45="","",INDEX(Employees!$E$6:$E$205,MATCH($A45,Employees!$BH$6:$BH$205,0)))</f>
        <v/>
      </c>
      <c r="I45" s="11" t="str">
        <f aca="false">IF($A45="","",INDEX(Employees!$Z$6:$Z$205,MATCH($A45,Employees!$BH$6:$BH$205,0)))</f>
        <v/>
      </c>
      <c r="J45" s="26" t="str">
        <f aca="false">IF($A45="","",INDEX(Employees!$AB$6:$AB$205,MATCH($A45,Employees!$BH$6:$BH$205,0)))</f>
        <v/>
      </c>
      <c r="K45" s="26" t="str">
        <f aca="false">IF($A45="","",INDEX(Employees!$AI$6:$AI$205,MATCH($A45,Employees!$BH$6:$BH$205,0)))</f>
        <v/>
      </c>
      <c r="L45" s="26" t="str">
        <f aca="false">IF($A45="","",INDEX(Employees!$AG$6:$AG$205,MATCH($A45,Employees!$BH$6:$BH$205,0)))</f>
        <v/>
      </c>
      <c r="M45" s="26" t="str">
        <f aca="false">IF($A45="","",INDEX(Employees!$AH$6:$AH$205,MATCH($A45,Employees!$BH$6:$BH$205,0)))</f>
        <v/>
      </c>
      <c r="N45" s="26" t="str">
        <f aca="false">IF($A45="","",INDEX(Employees!$AK$6:$AK$205,MATCH($A45,Employees!$BH$6:$BH$205,0)))</f>
        <v/>
      </c>
      <c r="O45" s="26" t="str">
        <f aca="false">IF($A45="","",INDEX(Employees!$AL$6:$AL$205,MATCH($A45,Employees!$BH$6:$BH$205,0)))</f>
        <v/>
      </c>
      <c r="P45" s="11" t="str">
        <f aca="false">IF($A45="","",INDEX(Employees!$AM$6:$AM$205,MATCH($A45,Employees!$BH$6:$BH$205,0)))</f>
        <v/>
      </c>
    </row>
    <row r="46" customFormat="false" ht="15" hidden="false" customHeight="false" outlineLevel="0" collapsed="false">
      <c r="A46" s="11" t="str">
        <f aca="false">IF(41&lt;=MAX(Employees!$BH$6:$BH$205),41,"")</f>
        <v/>
      </c>
      <c r="B46" s="11" t="str">
        <f aca="false">IF($A46="","",INDEX(Employees!$A$6:$A$205,MATCH($A46,Employees!$BH$6:$BH$205,0)))</f>
        <v/>
      </c>
      <c r="C46" s="11" t="str">
        <f aca="false">IF($A46="","",INDEX(Employees!$B$6:$B$205,MATCH($A46,Employees!$BH$6:$BH$205,0)))</f>
        <v/>
      </c>
      <c r="D46" s="11" t="str">
        <f aca="false">IF($A46="","",INDEX(Employees!$C$6:$C$205,MATCH($A46,Employees!$BH$6:$BH$205,0)))</f>
        <v/>
      </c>
      <c r="E46" s="11" t="str">
        <f aca="false">IF($A46="","",INDEX(Employees!$D$6:$D$205,MATCH($A46,Employees!$BH$6:$BH$205,0)))</f>
        <v/>
      </c>
      <c r="F46" s="11" t="str">
        <f aca="false">IF($A46="","",INDEX(Employees!$T$6:$T$205,MATCH($A46,Employees!$BH$6:$BH$205,0)))</f>
        <v/>
      </c>
      <c r="G46" s="26" t="str">
        <f aca="false">IF($A46="","",INDEX(Employees!$U$6:$U$205,MATCH($A46,Employees!$BH$6:$BH$205,0)))</f>
        <v/>
      </c>
      <c r="H46" s="28" t="str">
        <f aca="false">IF($A46="","",INDEX(Employees!$E$6:$E$205,MATCH($A46,Employees!$BH$6:$BH$205,0)))</f>
        <v/>
      </c>
      <c r="I46" s="11" t="str">
        <f aca="false">IF($A46="","",INDEX(Employees!$Z$6:$Z$205,MATCH($A46,Employees!$BH$6:$BH$205,0)))</f>
        <v/>
      </c>
      <c r="J46" s="26" t="str">
        <f aca="false">IF($A46="","",INDEX(Employees!$AB$6:$AB$205,MATCH($A46,Employees!$BH$6:$BH$205,0)))</f>
        <v/>
      </c>
      <c r="K46" s="26" t="str">
        <f aca="false">IF($A46="","",INDEX(Employees!$AI$6:$AI$205,MATCH($A46,Employees!$BH$6:$BH$205,0)))</f>
        <v/>
      </c>
      <c r="L46" s="26" t="str">
        <f aca="false">IF($A46="","",INDEX(Employees!$AG$6:$AG$205,MATCH($A46,Employees!$BH$6:$BH$205,0)))</f>
        <v/>
      </c>
      <c r="M46" s="26" t="str">
        <f aca="false">IF($A46="","",INDEX(Employees!$AH$6:$AH$205,MATCH($A46,Employees!$BH$6:$BH$205,0)))</f>
        <v/>
      </c>
      <c r="N46" s="26" t="str">
        <f aca="false">IF($A46="","",INDEX(Employees!$AK$6:$AK$205,MATCH($A46,Employees!$BH$6:$BH$205,0)))</f>
        <v/>
      </c>
      <c r="O46" s="26" t="str">
        <f aca="false">IF($A46="","",INDEX(Employees!$AL$6:$AL$205,MATCH($A46,Employees!$BH$6:$BH$205,0)))</f>
        <v/>
      </c>
      <c r="P46" s="11" t="str">
        <f aca="false">IF($A46="","",INDEX(Employees!$AM$6:$AM$205,MATCH($A46,Employees!$BH$6:$BH$205,0)))</f>
        <v/>
      </c>
    </row>
    <row r="47" customFormat="false" ht="15" hidden="false" customHeight="false" outlineLevel="0" collapsed="false">
      <c r="A47" s="11" t="str">
        <f aca="false">IF(42&lt;=MAX(Employees!$BH$6:$BH$205),42,"")</f>
        <v/>
      </c>
      <c r="B47" s="11" t="str">
        <f aca="false">IF($A47="","",INDEX(Employees!$A$6:$A$205,MATCH($A47,Employees!$BH$6:$BH$205,0)))</f>
        <v/>
      </c>
      <c r="C47" s="11" t="str">
        <f aca="false">IF($A47="","",INDEX(Employees!$B$6:$B$205,MATCH($A47,Employees!$BH$6:$BH$205,0)))</f>
        <v/>
      </c>
      <c r="D47" s="11" t="str">
        <f aca="false">IF($A47="","",INDEX(Employees!$C$6:$C$205,MATCH($A47,Employees!$BH$6:$BH$205,0)))</f>
        <v/>
      </c>
      <c r="E47" s="11" t="str">
        <f aca="false">IF($A47="","",INDEX(Employees!$D$6:$D$205,MATCH($A47,Employees!$BH$6:$BH$205,0)))</f>
        <v/>
      </c>
      <c r="F47" s="11" t="str">
        <f aca="false">IF($A47="","",INDEX(Employees!$T$6:$T$205,MATCH($A47,Employees!$BH$6:$BH$205,0)))</f>
        <v/>
      </c>
      <c r="G47" s="26" t="str">
        <f aca="false">IF($A47="","",INDEX(Employees!$U$6:$U$205,MATCH($A47,Employees!$BH$6:$BH$205,0)))</f>
        <v/>
      </c>
      <c r="H47" s="28" t="str">
        <f aca="false">IF($A47="","",INDEX(Employees!$E$6:$E$205,MATCH($A47,Employees!$BH$6:$BH$205,0)))</f>
        <v/>
      </c>
      <c r="I47" s="11" t="str">
        <f aca="false">IF($A47="","",INDEX(Employees!$Z$6:$Z$205,MATCH($A47,Employees!$BH$6:$BH$205,0)))</f>
        <v/>
      </c>
      <c r="J47" s="26" t="str">
        <f aca="false">IF($A47="","",INDEX(Employees!$AB$6:$AB$205,MATCH($A47,Employees!$BH$6:$BH$205,0)))</f>
        <v/>
      </c>
      <c r="K47" s="26" t="str">
        <f aca="false">IF($A47="","",INDEX(Employees!$AI$6:$AI$205,MATCH($A47,Employees!$BH$6:$BH$205,0)))</f>
        <v/>
      </c>
      <c r="L47" s="26" t="str">
        <f aca="false">IF($A47="","",INDEX(Employees!$AG$6:$AG$205,MATCH($A47,Employees!$BH$6:$BH$205,0)))</f>
        <v/>
      </c>
      <c r="M47" s="26" t="str">
        <f aca="false">IF($A47="","",INDEX(Employees!$AH$6:$AH$205,MATCH($A47,Employees!$BH$6:$BH$205,0)))</f>
        <v/>
      </c>
      <c r="N47" s="26" t="str">
        <f aca="false">IF($A47="","",INDEX(Employees!$AK$6:$AK$205,MATCH($A47,Employees!$BH$6:$BH$205,0)))</f>
        <v/>
      </c>
      <c r="O47" s="26" t="str">
        <f aca="false">IF($A47="","",INDEX(Employees!$AL$6:$AL$205,MATCH($A47,Employees!$BH$6:$BH$205,0)))</f>
        <v/>
      </c>
      <c r="P47" s="11" t="str">
        <f aca="false">IF($A47="","",INDEX(Employees!$AM$6:$AM$205,MATCH($A47,Employees!$BH$6:$BH$205,0)))</f>
        <v/>
      </c>
    </row>
    <row r="48" customFormat="false" ht="15" hidden="false" customHeight="false" outlineLevel="0" collapsed="false">
      <c r="A48" s="11" t="str">
        <f aca="false">IF(43&lt;=MAX(Employees!$BH$6:$BH$205),43,"")</f>
        <v/>
      </c>
      <c r="B48" s="11" t="str">
        <f aca="false">IF($A48="","",INDEX(Employees!$A$6:$A$205,MATCH($A48,Employees!$BH$6:$BH$205,0)))</f>
        <v/>
      </c>
      <c r="C48" s="11" t="str">
        <f aca="false">IF($A48="","",INDEX(Employees!$B$6:$B$205,MATCH($A48,Employees!$BH$6:$BH$205,0)))</f>
        <v/>
      </c>
      <c r="D48" s="11" t="str">
        <f aca="false">IF($A48="","",INDEX(Employees!$C$6:$C$205,MATCH($A48,Employees!$BH$6:$BH$205,0)))</f>
        <v/>
      </c>
      <c r="E48" s="11" t="str">
        <f aca="false">IF($A48="","",INDEX(Employees!$D$6:$D$205,MATCH($A48,Employees!$BH$6:$BH$205,0)))</f>
        <v/>
      </c>
      <c r="F48" s="11" t="str">
        <f aca="false">IF($A48="","",INDEX(Employees!$T$6:$T$205,MATCH($A48,Employees!$BH$6:$BH$205,0)))</f>
        <v/>
      </c>
      <c r="G48" s="26" t="str">
        <f aca="false">IF($A48="","",INDEX(Employees!$U$6:$U$205,MATCH($A48,Employees!$BH$6:$BH$205,0)))</f>
        <v/>
      </c>
      <c r="H48" s="28" t="str">
        <f aca="false">IF($A48="","",INDEX(Employees!$E$6:$E$205,MATCH($A48,Employees!$BH$6:$BH$205,0)))</f>
        <v/>
      </c>
      <c r="I48" s="11" t="str">
        <f aca="false">IF($A48="","",INDEX(Employees!$Z$6:$Z$205,MATCH($A48,Employees!$BH$6:$BH$205,0)))</f>
        <v/>
      </c>
      <c r="J48" s="26" t="str">
        <f aca="false">IF($A48="","",INDEX(Employees!$AB$6:$AB$205,MATCH($A48,Employees!$BH$6:$BH$205,0)))</f>
        <v/>
      </c>
      <c r="K48" s="26" t="str">
        <f aca="false">IF($A48="","",INDEX(Employees!$AI$6:$AI$205,MATCH($A48,Employees!$BH$6:$BH$205,0)))</f>
        <v/>
      </c>
      <c r="L48" s="26" t="str">
        <f aca="false">IF($A48="","",INDEX(Employees!$AG$6:$AG$205,MATCH($A48,Employees!$BH$6:$BH$205,0)))</f>
        <v/>
      </c>
      <c r="M48" s="26" t="str">
        <f aca="false">IF($A48="","",INDEX(Employees!$AH$6:$AH$205,MATCH($A48,Employees!$BH$6:$BH$205,0)))</f>
        <v/>
      </c>
      <c r="N48" s="26" t="str">
        <f aca="false">IF($A48="","",INDEX(Employees!$AK$6:$AK$205,MATCH($A48,Employees!$BH$6:$BH$205,0)))</f>
        <v/>
      </c>
      <c r="O48" s="26" t="str">
        <f aca="false">IF($A48="","",INDEX(Employees!$AL$6:$AL$205,MATCH($A48,Employees!$BH$6:$BH$205,0)))</f>
        <v/>
      </c>
      <c r="P48" s="11" t="str">
        <f aca="false">IF($A48="","",INDEX(Employees!$AM$6:$AM$205,MATCH($A48,Employees!$BH$6:$BH$205,0)))</f>
        <v/>
      </c>
    </row>
    <row r="49" customFormat="false" ht="15" hidden="false" customHeight="false" outlineLevel="0" collapsed="false">
      <c r="A49" s="11" t="str">
        <f aca="false">IF(44&lt;=MAX(Employees!$BH$6:$BH$205),44,"")</f>
        <v/>
      </c>
      <c r="B49" s="11" t="str">
        <f aca="false">IF($A49="","",INDEX(Employees!$A$6:$A$205,MATCH($A49,Employees!$BH$6:$BH$205,0)))</f>
        <v/>
      </c>
      <c r="C49" s="11" t="str">
        <f aca="false">IF($A49="","",INDEX(Employees!$B$6:$B$205,MATCH($A49,Employees!$BH$6:$BH$205,0)))</f>
        <v/>
      </c>
      <c r="D49" s="11" t="str">
        <f aca="false">IF($A49="","",INDEX(Employees!$C$6:$C$205,MATCH($A49,Employees!$BH$6:$BH$205,0)))</f>
        <v/>
      </c>
      <c r="E49" s="11" t="str">
        <f aca="false">IF($A49="","",INDEX(Employees!$D$6:$D$205,MATCH($A49,Employees!$BH$6:$BH$205,0)))</f>
        <v/>
      </c>
      <c r="F49" s="11" t="str">
        <f aca="false">IF($A49="","",INDEX(Employees!$T$6:$T$205,MATCH($A49,Employees!$BH$6:$BH$205,0)))</f>
        <v/>
      </c>
      <c r="G49" s="26" t="str">
        <f aca="false">IF($A49="","",INDEX(Employees!$U$6:$U$205,MATCH($A49,Employees!$BH$6:$BH$205,0)))</f>
        <v/>
      </c>
      <c r="H49" s="28" t="str">
        <f aca="false">IF($A49="","",INDEX(Employees!$E$6:$E$205,MATCH($A49,Employees!$BH$6:$BH$205,0)))</f>
        <v/>
      </c>
      <c r="I49" s="11" t="str">
        <f aca="false">IF($A49="","",INDEX(Employees!$Z$6:$Z$205,MATCH($A49,Employees!$BH$6:$BH$205,0)))</f>
        <v/>
      </c>
      <c r="J49" s="26" t="str">
        <f aca="false">IF($A49="","",INDEX(Employees!$AB$6:$AB$205,MATCH($A49,Employees!$BH$6:$BH$205,0)))</f>
        <v/>
      </c>
      <c r="K49" s="26" t="str">
        <f aca="false">IF($A49="","",INDEX(Employees!$AI$6:$AI$205,MATCH($A49,Employees!$BH$6:$BH$205,0)))</f>
        <v/>
      </c>
      <c r="L49" s="26" t="str">
        <f aca="false">IF($A49="","",INDEX(Employees!$AG$6:$AG$205,MATCH($A49,Employees!$BH$6:$BH$205,0)))</f>
        <v/>
      </c>
      <c r="M49" s="26" t="str">
        <f aca="false">IF($A49="","",INDEX(Employees!$AH$6:$AH$205,MATCH($A49,Employees!$BH$6:$BH$205,0)))</f>
        <v/>
      </c>
      <c r="N49" s="26" t="str">
        <f aca="false">IF($A49="","",INDEX(Employees!$AK$6:$AK$205,MATCH($A49,Employees!$BH$6:$BH$205,0)))</f>
        <v/>
      </c>
      <c r="O49" s="26" t="str">
        <f aca="false">IF($A49="","",INDEX(Employees!$AL$6:$AL$205,MATCH($A49,Employees!$BH$6:$BH$205,0)))</f>
        <v/>
      </c>
      <c r="P49" s="11" t="str">
        <f aca="false">IF($A49="","",INDEX(Employees!$AM$6:$AM$205,MATCH($A49,Employees!$BH$6:$BH$205,0)))</f>
        <v/>
      </c>
    </row>
    <row r="50" customFormat="false" ht="15" hidden="false" customHeight="false" outlineLevel="0" collapsed="false">
      <c r="A50" s="11" t="str">
        <f aca="false">IF(45&lt;=MAX(Employees!$BH$6:$BH$205),45,"")</f>
        <v/>
      </c>
      <c r="B50" s="11" t="str">
        <f aca="false">IF($A50="","",INDEX(Employees!$A$6:$A$205,MATCH($A50,Employees!$BH$6:$BH$205,0)))</f>
        <v/>
      </c>
      <c r="C50" s="11" t="str">
        <f aca="false">IF($A50="","",INDEX(Employees!$B$6:$B$205,MATCH($A50,Employees!$BH$6:$BH$205,0)))</f>
        <v/>
      </c>
      <c r="D50" s="11" t="str">
        <f aca="false">IF($A50="","",INDEX(Employees!$C$6:$C$205,MATCH($A50,Employees!$BH$6:$BH$205,0)))</f>
        <v/>
      </c>
      <c r="E50" s="11" t="str">
        <f aca="false">IF($A50="","",INDEX(Employees!$D$6:$D$205,MATCH($A50,Employees!$BH$6:$BH$205,0)))</f>
        <v/>
      </c>
      <c r="F50" s="11" t="str">
        <f aca="false">IF($A50="","",INDEX(Employees!$T$6:$T$205,MATCH($A50,Employees!$BH$6:$BH$205,0)))</f>
        <v/>
      </c>
      <c r="G50" s="26" t="str">
        <f aca="false">IF($A50="","",INDEX(Employees!$U$6:$U$205,MATCH($A50,Employees!$BH$6:$BH$205,0)))</f>
        <v/>
      </c>
      <c r="H50" s="28" t="str">
        <f aca="false">IF($A50="","",INDEX(Employees!$E$6:$E$205,MATCH($A50,Employees!$BH$6:$BH$205,0)))</f>
        <v/>
      </c>
      <c r="I50" s="11" t="str">
        <f aca="false">IF($A50="","",INDEX(Employees!$Z$6:$Z$205,MATCH($A50,Employees!$BH$6:$BH$205,0)))</f>
        <v/>
      </c>
      <c r="J50" s="26" t="str">
        <f aca="false">IF($A50="","",INDEX(Employees!$AB$6:$AB$205,MATCH($A50,Employees!$BH$6:$BH$205,0)))</f>
        <v/>
      </c>
      <c r="K50" s="26" t="str">
        <f aca="false">IF($A50="","",INDEX(Employees!$AI$6:$AI$205,MATCH($A50,Employees!$BH$6:$BH$205,0)))</f>
        <v/>
      </c>
      <c r="L50" s="26" t="str">
        <f aca="false">IF($A50="","",INDEX(Employees!$AG$6:$AG$205,MATCH($A50,Employees!$BH$6:$BH$205,0)))</f>
        <v/>
      </c>
      <c r="M50" s="26" t="str">
        <f aca="false">IF($A50="","",INDEX(Employees!$AH$6:$AH$205,MATCH($A50,Employees!$BH$6:$BH$205,0)))</f>
        <v/>
      </c>
      <c r="N50" s="26" t="str">
        <f aca="false">IF($A50="","",INDEX(Employees!$AK$6:$AK$205,MATCH($A50,Employees!$BH$6:$BH$205,0)))</f>
        <v/>
      </c>
      <c r="O50" s="26" t="str">
        <f aca="false">IF($A50="","",INDEX(Employees!$AL$6:$AL$205,MATCH($A50,Employees!$BH$6:$BH$205,0)))</f>
        <v/>
      </c>
      <c r="P50" s="11" t="str">
        <f aca="false">IF($A50="","",INDEX(Employees!$AM$6:$AM$205,MATCH($A50,Employees!$BH$6:$BH$205,0)))</f>
        <v/>
      </c>
    </row>
    <row r="51" customFormat="false" ht="15" hidden="false" customHeight="false" outlineLevel="0" collapsed="false">
      <c r="A51" s="11" t="str">
        <f aca="false">IF(46&lt;=MAX(Employees!$BH$6:$BH$205),46,"")</f>
        <v/>
      </c>
      <c r="B51" s="11" t="str">
        <f aca="false">IF($A51="","",INDEX(Employees!$A$6:$A$205,MATCH($A51,Employees!$BH$6:$BH$205,0)))</f>
        <v/>
      </c>
      <c r="C51" s="11" t="str">
        <f aca="false">IF($A51="","",INDEX(Employees!$B$6:$B$205,MATCH($A51,Employees!$BH$6:$BH$205,0)))</f>
        <v/>
      </c>
      <c r="D51" s="11" t="str">
        <f aca="false">IF($A51="","",INDEX(Employees!$C$6:$C$205,MATCH($A51,Employees!$BH$6:$BH$205,0)))</f>
        <v/>
      </c>
      <c r="E51" s="11" t="str">
        <f aca="false">IF($A51="","",INDEX(Employees!$D$6:$D$205,MATCH($A51,Employees!$BH$6:$BH$205,0)))</f>
        <v/>
      </c>
      <c r="F51" s="11" t="str">
        <f aca="false">IF($A51="","",INDEX(Employees!$T$6:$T$205,MATCH($A51,Employees!$BH$6:$BH$205,0)))</f>
        <v/>
      </c>
      <c r="G51" s="26" t="str">
        <f aca="false">IF($A51="","",INDEX(Employees!$U$6:$U$205,MATCH($A51,Employees!$BH$6:$BH$205,0)))</f>
        <v/>
      </c>
      <c r="H51" s="28" t="str">
        <f aca="false">IF($A51="","",INDEX(Employees!$E$6:$E$205,MATCH($A51,Employees!$BH$6:$BH$205,0)))</f>
        <v/>
      </c>
      <c r="I51" s="11" t="str">
        <f aca="false">IF($A51="","",INDEX(Employees!$Z$6:$Z$205,MATCH($A51,Employees!$BH$6:$BH$205,0)))</f>
        <v/>
      </c>
      <c r="J51" s="26" t="str">
        <f aca="false">IF($A51="","",INDEX(Employees!$AB$6:$AB$205,MATCH($A51,Employees!$BH$6:$BH$205,0)))</f>
        <v/>
      </c>
      <c r="K51" s="26" t="str">
        <f aca="false">IF($A51="","",INDEX(Employees!$AI$6:$AI$205,MATCH($A51,Employees!$BH$6:$BH$205,0)))</f>
        <v/>
      </c>
      <c r="L51" s="26" t="str">
        <f aca="false">IF($A51="","",INDEX(Employees!$AG$6:$AG$205,MATCH($A51,Employees!$BH$6:$BH$205,0)))</f>
        <v/>
      </c>
      <c r="M51" s="26" t="str">
        <f aca="false">IF($A51="","",INDEX(Employees!$AH$6:$AH$205,MATCH($A51,Employees!$BH$6:$BH$205,0)))</f>
        <v/>
      </c>
      <c r="N51" s="26" t="str">
        <f aca="false">IF($A51="","",INDEX(Employees!$AK$6:$AK$205,MATCH($A51,Employees!$BH$6:$BH$205,0)))</f>
        <v/>
      </c>
      <c r="O51" s="26" t="str">
        <f aca="false">IF($A51="","",INDEX(Employees!$AL$6:$AL$205,MATCH($A51,Employees!$BH$6:$BH$205,0)))</f>
        <v/>
      </c>
      <c r="P51" s="11" t="str">
        <f aca="false">IF($A51="","",INDEX(Employees!$AM$6:$AM$205,MATCH($A51,Employees!$BH$6:$BH$205,0)))</f>
        <v/>
      </c>
    </row>
    <row r="52" customFormat="false" ht="15" hidden="false" customHeight="false" outlineLevel="0" collapsed="false">
      <c r="A52" s="11" t="str">
        <f aca="false">IF(47&lt;=MAX(Employees!$BH$6:$BH$205),47,"")</f>
        <v/>
      </c>
      <c r="B52" s="11" t="str">
        <f aca="false">IF($A52="","",INDEX(Employees!$A$6:$A$205,MATCH($A52,Employees!$BH$6:$BH$205,0)))</f>
        <v/>
      </c>
      <c r="C52" s="11" t="str">
        <f aca="false">IF($A52="","",INDEX(Employees!$B$6:$B$205,MATCH($A52,Employees!$BH$6:$BH$205,0)))</f>
        <v/>
      </c>
      <c r="D52" s="11" t="str">
        <f aca="false">IF($A52="","",INDEX(Employees!$C$6:$C$205,MATCH($A52,Employees!$BH$6:$BH$205,0)))</f>
        <v/>
      </c>
      <c r="E52" s="11" t="str">
        <f aca="false">IF($A52="","",INDEX(Employees!$D$6:$D$205,MATCH($A52,Employees!$BH$6:$BH$205,0)))</f>
        <v/>
      </c>
      <c r="F52" s="11" t="str">
        <f aca="false">IF($A52="","",INDEX(Employees!$T$6:$T$205,MATCH($A52,Employees!$BH$6:$BH$205,0)))</f>
        <v/>
      </c>
      <c r="G52" s="26" t="str">
        <f aca="false">IF($A52="","",INDEX(Employees!$U$6:$U$205,MATCH($A52,Employees!$BH$6:$BH$205,0)))</f>
        <v/>
      </c>
      <c r="H52" s="28" t="str">
        <f aca="false">IF($A52="","",INDEX(Employees!$E$6:$E$205,MATCH($A52,Employees!$BH$6:$BH$205,0)))</f>
        <v/>
      </c>
      <c r="I52" s="11" t="str">
        <f aca="false">IF($A52="","",INDEX(Employees!$Z$6:$Z$205,MATCH($A52,Employees!$BH$6:$BH$205,0)))</f>
        <v/>
      </c>
      <c r="J52" s="26" t="str">
        <f aca="false">IF($A52="","",INDEX(Employees!$AB$6:$AB$205,MATCH($A52,Employees!$BH$6:$BH$205,0)))</f>
        <v/>
      </c>
      <c r="K52" s="26" t="str">
        <f aca="false">IF($A52="","",INDEX(Employees!$AI$6:$AI$205,MATCH($A52,Employees!$BH$6:$BH$205,0)))</f>
        <v/>
      </c>
      <c r="L52" s="26" t="str">
        <f aca="false">IF($A52="","",INDEX(Employees!$AG$6:$AG$205,MATCH($A52,Employees!$BH$6:$BH$205,0)))</f>
        <v/>
      </c>
      <c r="M52" s="26" t="str">
        <f aca="false">IF($A52="","",INDEX(Employees!$AH$6:$AH$205,MATCH($A52,Employees!$BH$6:$BH$205,0)))</f>
        <v/>
      </c>
      <c r="N52" s="26" t="str">
        <f aca="false">IF($A52="","",INDEX(Employees!$AK$6:$AK$205,MATCH($A52,Employees!$BH$6:$BH$205,0)))</f>
        <v/>
      </c>
      <c r="O52" s="26" t="str">
        <f aca="false">IF($A52="","",INDEX(Employees!$AL$6:$AL$205,MATCH($A52,Employees!$BH$6:$BH$205,0)))</f>
        <v/>
      </c>
      <c r="P52" s="11" t="str">
        <f aca="false">IF($A52="","",INDEX(Employees!$AM$6:$AM$205,MATCH($A52,Employees!$BH$6:$BH$205,0)))</f>
        <v/>
      </c>
    </row>
    <row r="53" customFormat="false" ht="15" hidden="false" customHeight="false" outlineLevel="0" collapsed="false">
      <c r="A53" s="11" t="str">
        <f aca="false">IF(48&lt;=MAX(Employees!$BH$6:$BH$205),48,"")</f>
        <v/>
      </c>
      <c r="B53" s="11" t="str">
        <f aca="false">IF($A53="","",INDEX(Employees!$A$6:$A$205,MATCH($A53,Employees!$BH$6:$BH$205,0)))</f>
        <v/>
      </c>
      <c r="C53" s="11" t="str">
        <f aca="false">IF($A53="","",INDEX(Employees!$B$6:$B$205,MATCH($A53,Employees!$BH$6:$BH$205,0)))</f>
        <v/>
      </c>
      <c r="D53" s="11" t="str">
        <f aca="false">IF($A53="","",INDEX(Employees!$C$6:$C$205,MATCH($A53,Employees!$BH$6:$BH$205,0)))</f>
        <v/>
      </c>
      <c r="E53" s="11" t="str">
        <f aca="false">IF($A53="","",INDEX(Employees!$D$6:$D$205,MATCH($A53,Employees!$BH$6:$BH$205,0)))</f>
        <v/>
      </c>
      <c r="F53" s="11" t="str">
        <f aca="false">IF($A53="","",INDEX(Employees!$T$6:$T$205,MATCH($A53,Employees!$BH$6:$BH$205,0)))</f>
        <v/>
      </c>
      <c r="G53" s="26" t="str">
        <f aca="false">IF($A53="","",INDEX(Employees!$U$6:$U$205,MATCH($A53,Employees!$BH$6:$BH$205,0)))</f>
        <v/>
      </c>
      <c r="H53" s="28" t="str">
        <f aca="false">IF($A53="","",INDEX(Employees!$E$6:$E$205,MATCH($A53,Employees!$BH$6:$BH$205,0)))</f>
        <v/>
      </c>
      <c r="I53" s="11" t="str">
        <f aca="false">IF($A53="","",INDEX(Employees!$Z$6:$Z$205,MATCH($A53,Employees!$BH$6:$BH$205,0)))</f>
        <v/>
      </c>
      <c r="J53" s="26" t="str">
        <f aca="false">IF($A53="","",INDEX(Employees!$AB$6:$AB$205,MATCH($A53,Employees!$BH$6:$BH$205,0)))</f>
        <v/>
      </c>
      <c r="K53" s="26" t="str">
        <f aca="false">IF($A53="","",INDEX(Employees!$AI$6:$AI$205,MATCH($A53,Employees!$BH$6:$BH$205,0)))</f>
        <v/>
      </c>
      <c r="L53" s="26" t="str">
        <f aca="false">IF($A53="","",INDEX(Employees!$AG$6:$AG$205,MATCH($A53,Employees!$BH$6:$BH$205,0)))</f>
        <v/>
      </c>
      <c r="M53" s="26" t="str">
        <f aca="false">IF($A53="","",INDEX(Employees!$AH$6:$AH$205,MATCH($A53,Employees!$BH$6:$BH$205,0)))</f>
        <v/>
      </c>
      <c r="N53" s="26" t="str">
        <f aca="false">IF($A53="","",INDEX(Employees!$AK$6:$AK$205,MATCH($A53,Employees!$BH$6:$BH$205,0)))</f>
        <v/>
      </c>
      <c r="O53" s="26" t="str">
        <f aca="false">IF($A53="","",INDEX(Employees!$AL$6:$AL$205,MATCH($A53,Employees!$BH$6:$BH$205,0)))</f>
        <v/>
      </c>
      <c r="P53" s="11" t="str">
        <f aca="false">IF($A53="","",INDEX(Employees!$AM$6:$AM$205,MATCH($A53,Employees!$BH$6:$BH$205,0)))</f>
        <v/>
      </c>
    </row>
    <row r="54" customFormat="false" ht="15" hidden="false" customHeight="false" outlineLevel="0" collapsed="false">
      <c r="A54" s="11" t="str">
        <f aca="false">IF(49&lt;=MAX(Employees!$BH$6:$BH$205),49,"")</f>
        <v/>
      </c>
      <c r="B54" s="11" t="str">
        <f aca="false">IF($A54="","",INDEX(Employees!$A$6:$A$205,MATCH($A54,Employees!$BH$6:$BH$205,0)))</f>
        <v/>
      </c>
      <c r="C54" s="11" t="str">
        <f aca="false">IF($A54="","",INDEX(Employees!$B$6:$B$205,MATCH($A54,Employees!$BH$6:$BH$205,0)))</f>
        <v/>
      </c>
      <c r="D54" s="11" t="str">
        <f aca="false">IF($A54="","",INDEX(Employees!$C$6:$C$205,MATCH($A54,Employees!$BH$6:$BH$205,0)))</f>
        <v/>
      </c>
      <c r="E54" s="11" t="str">
        <f aca="false">IF($A54="","",INDEX(Employees!$D$6:$D$205,MATCH($A54,Employees!$BH$6:$BH$205,0)))</f>
        <v/>
      </c>
      <c r="F54" s="11" t="str">
        <f aca="false">IF($A54="","",INDEX(Employees!$T$6:$T$205,MATCH($A54,Employees!$BH$6:$BH$205,0)))</f>
        <v/>
      </c>
      <c r="G54" s="26" t="str">
        <f aca="false">IF($A54="","",INDEX(Employees!$U$6:$U$205,MATCH($A54,Employees!$BH$6:$BH$205,0)))</f>
        <v/>
      </c>
      <c r="H54" s="28" t="str">
        <f aca="false">IF($A54="","",INDEX(Employees!$E$6:$E$205,MATCH($A54,Employees!$BH$6:$BH$205,0)))</f>
        <v/>
      </c>
      <c r="I54" s="11" t="str">
        <f aca="false">IF($A54="","",INDEX(Employees!$Z$6:$Z$205,MATCH($A54,Employees!$BH$6:$BH$205,0)))</f>
        <v/>
      </c>
      <c r="J54" s="26" t="str">
        <f aca="false">IF($A54="","",INDEX(Employees!$AB$6:$AB$205,MATCH($A54,Employees!$BH$6:$BH$205,0)))</f>
        <v/>
      </c>
      <c r="K54" s="26" t="str">
        <f aca="false">IF($A54="","",INDEX(Employees!$AI$6:$AI$205,MATCH($A54,Employees!$BH$6:$BH$205,0)))</f>
        <v/>
      </c>
      <c r="L54" s="26" t="str">
        <f aca="false">IF($A54="","",INDEX(Employees!$AG$6:$AG$205,MATCH($A54,Employees!$BH$6:$BH$205,0)))</f>
        <v/>
      </c>
      <c r="M54" s="26" t="str">
        <f aca="false">IF($A54="","",INDEX(Employees!$AH$6:$AH$205,MATCH($A54,Employees!$BH$6:$BH$205,0)))</f>
        <v/>
      </c>
      <c r="N54" s="26" t="str">
        <f aca="false">IF($A54="","",INDEX(Employees!$AK$6:$AK$205,MATCH($A54,Employees!$BH$6:$BH$205,0)))</f>
        <v/>
      </c>
      <c r="O54" s="26" t="str">
        <f aca="false">IF($A54="","",INDEX(Employees!$AL$6:$AL$205,MATCH($A54,Employees!$BH$6:$BH$205,0)))</f>
        <v/>
      </c>
      <c r="P54" s="11" t="str">
        <f aca="false">IF($A54="","",INDEX(Employees!$AM$6:$AM$205,MATCH($A54,Employees!$BH$6:$BH$205,0)))</f>
        <v/>
      </c>
    </row>
    <row r="55" customFormat="false" ht="15" hidden="false" customHeight="false" outlineLevel="0" collapsed="false">
      <c r="A55" s="11" t="str">
        <f aca="false">IF(50&lt;=MAX(Employees!$BH$6:$BH$205),50,"")</f>
        <v/>
      </c>
      <c r="B55" s="11" t="str">
        <f aca="false">IF($A55="","",INDEX(Employees!$A$6:$A$205,MATCH($A55,Employees!$BH$6:$BH$205,0)))</f>
        <v/>
      </c>
      <c r="C55" s="11" t="str">
        <f aca="false">IF($A55="","",INDEX(Employees!$B$6:$B$205,MATCH($A55,Employees!$BH$6:$BH$205,0)))</f>
        <v/>
      </c>
      <c r="D55" s="11" t="str">
        <f aca="false">IF($A55="","",INDEX(Employees!$C$6:$C$205,MATCH($A55,Employees!$BH$6:$BH$205,0)))</f>
        <v/>
      </c>
      <c r="E55" s="11" t="str">
        <f aca="false">IF($A55="","",INDEX(Employees!$D$6:$D$205,MATCH($A55,Employees!$BH$6:$BH$205,0)))</f>
        <v/>
      </c>
      <c r="F55" s="11" t="str">
        <f aca="false">IF($A55="","",INDEX(Employees!$T$6:$T$205,MATCH($A55,Employees!$BH$6:$BH$205,0)))</f>
        <v/>
      </c>
      <c r="G55" s="26" t="str">
        <f aca="false">IF($A55="","",INDEX(Employees!$U$6:$U$205,MATCH($A55,Employees!$BH$6:$BH$205,0)))</f>
        <v/>
      </c>
      <c r="H55" s="28" t="str">
        <f aca="false">IF($A55="","",INDEX(Employees!$E$6:$E$205,MATCH($A55,Employees!$BH$6:$BH$205,0)))</f>
        <v/>
      </c>
      <c r="I55" s="11" t="str">
        <f aca="false">IF($A55="","",INDEX(Employees!$Z$6:$Z$205,MATCH($A55,Employees!$BH$6:$BH$205,0)))</f>
        <v/>
      </c>
      <c r="J55" s="26" t="str">
        <f aca="false">IF($A55="","",INDEX(Employees!$AB$6:$AB$205,MATCH($A55,Employees!$BH$6:$BH$205,0)))</f>
        <v/>
      </c>
      <c r="K55" s="26" t="str">
        <f aca="false">IF($A55="","",INDEX(Employees!$AI$6:$AI$205,MATCH($A55,Employees!$BH$6:$BH$205,0)))</f>
        <v/>
      </c>
      <c r="L55" s="26" t="str">
        <f aca="false">IF($A55="","",INDEX(Employees!$AG$6:$AG$205,MATCH($A55,Employees!$BH$6:$BH$205,0)))</f>
        <v/>
      </c>
      <c r="M55" s="26" t="str">
        <f aca="false">IF($A55="","",INDEX(Employees!$AH$6:$AH$205,MATCH($A55,Employees!$BH$6:$BH$205,0)))</f>
        <v/>
      </c>
      <c r="N55" s="26" t="str">
        <f aca="false">IF($A55="","",INDEX(Employees!$AK$6:$AK$205,MATCH($A55,Employees!$BH$6:$BH$205,0)))</f>
        <v/>
      </c>
      <c r="O55" s="26" t="str">
        <f aca="false">IF($A55="","",INDEX(Employees!$AL$6:$AL$205,MATCH($A55,Employees!$BH$6:$BH$205,0)))</f>
        <v/>
      </c>
      <c r="P55" s="11" t="str">
        <f aca="false">IF($A55="","",INDEX(Employees!$AM$6:$AM$205,MATCH($A55,Employees!$BH$6:$BH$205,0)))</f>
        <v/>
      </c>
    </row>
    <row r="56" customFormat="false" ht="15" hidden="false" customHeight="false" outlineLevel="0" collapsed="false">
      <c r="A56" s="11" t="str">
        <f aca="false">IF(51&lt;=MAX(Employees!$BH$6:$BH$205),51,"")</f>
        <v/>
      </c>
      <c r="B56" s="11" t="str">
        <f aca="false">IF($A56="","",INDEX(Employees!$A$6:$A$205,MATCH($A56,Employees!$BH$6:$BH$205,0)))</f>
        <v/>
      </c>
      <c r="C56" s="11" t="str">
        <f aca="false">IF($A56="","",INDEX(Employees!$B$6:$B$205,MATCH($A56,Employees!$BH$6:$BH$205,0)))</f>
        <v/>
      </c>
      <c r="D56" s="11" t="str">
        <f aca="false">IF($A56="","",INDEX(Employees!$C$6:$C$205,MATCH($A56,Employees!$BH$6:$BH$205,0)))</f>
        <v/>
      </c>
      <c r="E56" s="11" t="str">
        <f aca="false">IF($A56="","",INDEX(Employees!$D$6:$D$205,MATCH($A56,Employees!$BH$6:$BH$205,0)))</f>
        <v/>
      </c>
      <c r="F56" s="11" t="str">
        <f aca="false">IF($A56="","",INDEX(Employees!$T$6:$T$205,MATCH($A56,Employees!$BH$6:$BH$205,0)))</f>
        <v/>
      </c>
      <c r="G56" s="26" t="str">
        <f aca="false">IF($A56="","",INDEX(Employees!$U$6:$U$205,MATCH($A56,Employees!$BH$6:$BH$205,0)))</f>
        <v/>
      </c>
      <c r="H56" s="28" t="str">
        <f aca="false">IF($A56="","",INDEX(Employees!$E$6:$E$205,MATCH($A56,Employees!$BH$6:$BH$205,0)))</f>
        <v/>
      </c>
      <c r="I56" s="11" t="str">
        <f aca="false">IF($A56="","",INDEX(Employees!$Z$6:$Z$205,MATCH($A56,Employees!$BH$6:$BH$205,0)))</f>
        <v/>
      </c>
      <c r="J56" s="26" t="str">
        <f aca="false">IF($A56="","",INDEX(Employees!$AB$6:$AB$205,MATCH($A56,Employees!$BH$6:$BH$205,0)))</f>
        <v/>
      </c>
      <c r="K56" s="26" t="str">
        <f aca="false">IF($A56="","",INDEX(Employees!$AI$6:$AI$205,MATCH($A56,Employees!$BH$6:$BH$205,0)))</f>
        <v/>
      </c>
      <c r="L56" s="26" t="str">
        <f aca="false">IF($A56="","",INDEX(Employees!$AG$6:$AG$205,MATCH($A56,Employees!$BH$6:$BH$205,0)))</f>
        <v/>
      </c>
      <c r="M56" s="26" t="str">
        <f aca="false">IF($A56="","",INDEX(Employees!$AH$6:$AH$205,MATCH($A56,Employees!$BH$6:$BH$205,0)))</f>
        <v/>
      </c>
      <c r="N56" s="26" t="str">
        <f aca="false">IF($A56="","",INDEX(Employees!$AK$6:$AK$205,MATCH($A56,Employees!$BH$6:$BH$205,0)))</f>
        <v/>
      </c>
      <c r="O56" s="26" t="str">
        <f aca="false">IF($A56="","",INDEX(Employees!$AL$6:$AL$205,MATCH($A56,Employees!$BH$6:$BH$205,0)))</f>
        <v/>
      </c>
      <c r="P56" s="11" t="str">
        <f aca="false">IF($A56="","",INDEX(Employees!$AM$6:$AM$205,MATCH($A56,Employees!$BH$6:$BH$205,0)))</f>
        <v/>
      </c>
    </row>
    <row r="57" customFormat="false" ht="15" hidden="false" customHeight="false" outlineLevel="0" collapsed="false">
      <c r="A57" s="11" t="str">
        <f aca="false">IF(52&lt;=MAX(Employees!$BH$6:$BH$205),52,"")</f>
        <v/>
      </c>
      <c r="B57" s="11" t="str">
        <f aca="false">IF($A57="","",INDEX(Employees!$A$6:$A$205,MATCH($A57,Employees!$BH$6:$BH$205,0)))</f>
        <v/>
      </c>
      <c r="C57" s="11" t="str">
        <f aca="false">IF($A57="","",INDEX(Employees!$B$6:$B$205,MATCH($A57,Employees!$BH$6:$BH$205,0)))</f>
        <v/>
      </c>
      <c r="D57" s="11" t="str">
        <f aca="false">IF($A57="","",INDEX(Employees!$C$6:$C$205,MATCH($A57,Employees!$BH$6:$BH$205,0)))</f>
        <v/>
      </c>
      <c r="E57" s="11" t="str">
        <f aca="false">IF($A57="","",INDEX(Employees!$D$6:$D$205,MATCH($A57,Employees!$BH$6:$BH$205,0)))</f>
        <v/>
      </c>
      <c r="F57" s="11" t="str">
        <f aca="false">IF($A57="","",INDEX(Employees!$T$6:$T$205,MATCH($A57,Employees!$BH$6:$BH$205,0)))</f>
        <v/>
      </c>
      <c r="G57" s="26" t="str">
        <f aca="false">IF($A57="","",INDEX(Employees!$U$6:$U$205,MATCH($A57,Employees!$BH$6:$BH$205,0)))</f>
        <v/>
      </c>
      <c r="H57" s="28" t="str">
        <f aca="false">IF($A57="","",INDEX(Employees!$E$6:$E$205,MATCH($A57,Employees!$BH$6:$BH$205,0)))</f>
        <v/>
      </c>
      <c r="I57" s="11" t="str">
        <f aca="false">IF($A57="","",INDEX(Employees!$Z$6:$Z$205,MATCH($A57,Employees!$BH$6:$BH$205,0)))</f>
        <v/>
      </c>
      <c r="J57" s="26" t="str">
        <f aca="false">IF($A57="","",INDEX(Employees!$AB$6:$AB$205,MATCH($A57,Employees!$BH$6:$BH$205,0)))</f>
        <v/>
      </c>
      <c r="K57" s="26" t="str">
        <f aca="false">IF($A57="","",INDEX(Employees!$AI$6:$AI$205,MATCH($A57,Employees!$BH$6:$BH$205,0)))</f>
        <v/>
      </c>
      <c r="L57" s="26" t="str">
        <f aca="false">IF($A57="","",INDEX(Employees!$AG$6:$AG$205,MATCH($A57,Employees!$BH$6:$BH$205,0)))</f>
        <v/>
      </c>
      <c r="M57" s="26" t="str">
        <f aca="false">IF($A57="","",INDEX(Employees!$AH$6:$AH$205,MATCH($A57,Employees!$BH$6:$BH$205,0)))</f>
        <v/>
      </c>
      <c r="N57" s="26" t="str">
        <f aca="false">IF($A57="","",INDEX(Employees!$AK$6:$AK$205,MATCH($A57,Employees!$BH$6:$BH$205,0)))</f>
        <v/>
      </c>
      <c r="O57" s="26" t="str">
        <f aca="false">IF($A57="","",INDEX(Employees!$AL$6:$AL$205,MATCH($A57,Employees!$BH$6:$BH$205,0)))</f>
        <v/>
      </c>
      <c r="P57" s="11" t="str">
        <f aca="false">IF($A57="","",INDEX(Employees!$AM$6:$AM$205,MATCH($A57,Employees!$BH$6:$BH$205,0)))</f>
        <v/>
      </c>
    </row>
    <row r="58" customFormat="false" ht="15" hidden="false" customHeight="false" outlineLevel="0" collapsed="false">
      <c r="A58" s="11" t="str">
        <f aca="false">IF(53&lt;=MAX(Employees!$BH$6:$BH$205),53,"")</f>
        <v/>
      </c>
      <c r="B58" s="11" t="str">
        <f aca="false">IF($A58="","",INDEX(Employees!$A$6:$A$205,MATCH($A58,Employees!$BH$6:$BH$205,0)))</f>
        <v/>
      </c>
      <c r="C58" s="11" t="str">
        <f aca="false">IF($A58="","",INDEX(Employees!$B$6:$B$205,MATCH($A58,Employees!$BH$6:$BH$205,0)))</f>
        <v/>
      </c>
      <c r="D58" s="11" t="str">
        <f aca="false">IF($A58="","",INDEX(Employees!$C$6:$C$205,MATCH($A58,Employees!$BH$6:$BH$205,0)))</f>
        <v/>
      </c>
      <c r="E58" s="11" t="str">
        <f aca="false">IF($A58="","",INDEX(Employees!$D$6:$D$205,MATCH($A58,Employees!$BH$6:$BH$205,0)))</f>
        <v/>
      </c>
      <c r="F58" s="11" t="str">
        <f aca="false">IF($A58="","",INDEX(Employees!$T$6:$T$205,MATCH($A58,Employees!$BH$6:$BH$205,0)))</f>
        <v/>
      </c>
      <c r="G58" s="26" t="str">
        <f aca="false">IF($A58="","",INDEX(Employees!$U$6:$U$205,MATCH($A58,Employees!$BH$6:$BH$205,0)))</f>
        <v/>
      </c>
      <c r="H58" s="28" t="str">
        <f aca="false">IF($A58="","",INDEX(Employees!$E$6:$E$205,MATCH($A58,Employees!$BH$6:$BH$205,0)))</f>
        <v/>
      </c>
      <c r="I58" s="11" t="str">
        <f aca="false">IF($A58="","",INDEX(Employees!$Z$6:$Z$205,MATCH($A58,Employees!$BH$6:$BH$205,0)))</f>
        <v/>
      </c>
      <c r="J58" s="26" t="str">
        <f aca="false">IF($A58="","",INDEX(Employees!$AB$6:$AB$205,MATCH($A58,Employees!$BH$6:$BH$205,0)))</f>
        <v/>
      </c>
      <c r="K58" s="26" t="str">
        <f aca="false">IF($A58="","",INDEX(Employees!$AI$6:$AI$205,MATCH($A58,Employees!$BH$6:$BH$205,0)))</f>
        <v/>
      </c>
      <c r="L58" s="26" t="str">
        <f aca="false">IF($A58="","",INDEX(Employees!$AG$6:$AG$205,MATCH($A58,Employees!$BH$6:$BH$205,0)))</f>
        <v/>
      </c>
      <c r="M58" s="26" t="str">
        <f aca="false">IF($A58="","",INDEX(Employees!$AH$6:$AH$205,MATCH($A58,Employees!$BH$6:$BH$205,0)))</f>
        <v/>
      </c>
      <c r="N58" s="26" t="str">
        <f aca="false">IF($A58="","",INDEX(Employees!$AK$6:$AK$205,MATCH($A58,Employees!$BH$6:$BH$205,0)))</f>
        <v/>
      </c>
      <c r="O58" s="26" t="str">
        <f aca="false">IF($A58="","",INDEX(Employees!$AL$6:$AL$205,MATCH($A58,Employees!$BH$6:$BH$205,0)))</f>
        <v/>
      </c>
      <c r="P58" s="11" t="str">
        <f aca="false">IF($A58="","",INDEX(Employees!$AM$6:$AM$205,MATCH($A58,Employees!$BH$6:$BH$205,0)))</f>
        <v/>
      </c>
    </row>
    <row r="59" customFormat="false" ht="15" hidden="false" customHeight="false" outlineLevel="0" collapsed="false">
      <c r="A59" s="11" t="str">
        <f aca="false">IF(54&lt;=MAX(Employees!$BH$6:$BH$205),54,"")</f>
        <v/>
      </c>
      <c r="B59" s="11" t="str">
        <f aca="false">IF($A59="","",INDEX(Employees!$A$6:$A$205,MATCH($A59,Employees!$BH$6:$BH$205,0)))</f>
        <v/>
      </c>
      <c r="C59" s="11" t="str">
        <f aca="false">IF($A59="","",INDEX(Employees!$B$6:$B$205,MATCH($A59,Employees!$BH$6:$BH$205,0)))</f>
        <v/>
      </c>
      <c r="D59" s="11" t="str">
        <f aca="false">IF($A59="","",INDEX(Employees!$C$6:$C$205,MATCH($A59,Employees!$BH$6:$BH$205,0)))</f>
        <v/>
      </c>
      <c r="E59" s="11" t="str">
        <f aca="false">IF($A59="","",INDEX(Employees!$D$6:$D$205,MATCH($A59,Employees!$BH$6:$BH$205,0)))</f>
        <v/>
      </c>
      <c r="F59" s="11" t="str">
        <f aca="false">IF($A59="","",INDEX(Employees!$T$6:$T$205,MATCH($A59,Employees!$BH$6:$BH$205,0)))</f>
        <v/>
      </c>
      <c r="G59" s="26" t="str">
        <f aca="false">IF($A59="","",INDEX(Employees!$U$6:$U$205,MATCH($A59,Employees!$BH$6:$BH$205,0)))</f>
        <v/>
      </c>
      <c r="H59" s="28" t="str">
        <f aca="false">IF($A59="","",INDEX(Employees!$E$6:$E$205,MATCH($A59,Employees!$BH$6:$BH$205,0)))</f>
        <v/>
      </c>
      <c r="I59" s="11" t="str">
        <f aca="false">IF($A59="","",INDEX(Employees!$Z$6:$Z$205,MATCH($A59,Employees!$BH$6:$BH$205,0)))</f>
        <v/>
      </c>
      <c r="J59" s="26" t="str">
        <f aca="false">IF($A59="","",INDEX(Employees!$AB$6:$AB$205,MATCH($A59,Employees!$BH$6:$BH$205,0)))</f>
        <v/>
      </c>
      <c r="K59" s="26" t="str">
        <f aca="false">IF($A59="","",INDEX(Employees!$AI$6:$AI$205,MATCH($A59,Employees!$BH$6:$BH$205,0)))</f>
        <v/>
      </c>
      <c r="L59" s="26" t="str">
        <f aca="false">IF($A59="","",INDEX(Employees!$AG$6:$AG$205,MATCH($A59,Employees!$BH$6:$BH$205,0)))</f>
        <v/>
      </c>
      <c r="M59" s="26" t="str">
        <f aca="false">IF($A59="","",INDEX(Employees!$AH$6:$AH$205,MATCH($A59,Employees!$BH$6:$BH$205,0)))</f>
        <v/>
      </c>
      <c r="N59" s="26" t="str">
        <f aca="false">IF($A59="","",INDEX(Employees!$AK$6:$AK$205,MATCH($A59,Employees!$BH$6:$BH$205,0)))</f>
        <v/>
      </c>
      <c r="O59" s="26" t="str">
        <f aca="false">IF($A59="","",INDEX(Employees!$AL$6:$AL$205,MATCH($A59,Employees!$BH$6:$BH$205,0)))</f>
        <v/>
      </c>
      <c r="P59" s="11" t="str">
        <f aca="false">IF($A59="","",INDEX(Employees!$AM$6:$AM$205,MATCH($A59,Employees!$BH$6:$BH$205,0)))</f>
        <v/>
      </c>
    </row>
    <row r="60" customFormat="false" ht="15" hidden="false" customHeight="false" outlineLevel="0" collapsed="false">
      <c r="A60" s="11" t="str">
        <f aca="false">IF(55&lt;=MAX(Employees!$BH$6:$BH$205),55,"")</f>
        <v/>
      </c>
      <c r="B60" s="11" t="str">
        <f aca="false">IF($A60="","",INDEX(Employees!$A$6:$A$205,MATCH($A60,Employees!$BH$6:$BH$205,0)))</f>
        <v/>
      </c>
      <c r="C60" s="11" t="str">
        <f aca="false">IF($A60="","",INDEX(Employees!$B$6:$B$205,MATCH($A60,Employees!$BH$6:$BH$205,0)))</f>
        <v/>
      </c>
      <c r="D60" s="11" t="str">
        <f aca="false">IF($A60="","",INDEX(Employees!$C$6:$C$205,MATCH($A60,Employees!$BH$6:$BH$205,0)))</f>
        <v/>
      </c>
      <c r="E60" s="11" t="str">
        <f aca="false">IF($A60="","",INDEX(Employees!$D$6:$D$205,MATCH($A60,Employees!$BH$6:$BH$205,0)))</f>
        <v/>
      </c>
      <c r="F60" s="11" t="str">
        <f aca="false">IF($A60="","",INDEX(Employees!$T$6:$T$205,MATCH($A60,Employees!$BH$6:$BH$205,0)))</f>
        <v/>
      </c>
      <c r="G60" s="26" t="str">
        <f aca="false">IF($A60="","",INDEX(Employees!$U$6:$U$205,MATCH($A60,Employees!$BH$6:$BH$205,0)))</f>
        <v/>
      </c>
      <c r="H60" s="28" t="str">
        <f aca="false">IF($A60="","",INDEX(Employees!$E$6:$E$205,MATCH($A60,Employees!$BH$6:$BH$205,0)))</f>
        <v/>
      </c>
      <c r="I60" s="11" t="str">
        <f aca="false">IF($A60="","",INDEX(Employees!$Z$6:$Z$205,MATCH($A60,Employees!$BH$6:$BH$205,0)))</f>
        <v/>
      </c>
      <c r="J60" s="26" t="str">
        <f aca="false">IF($A60="","",INDEX(Employees!$AB$6:$AB$205,MATCH($A60,Employees!$BH$6:$BH$205,0)))</f>
        <v/>
      </c>
      <c r="K60" s="26" t="str">
        <f aca="false">IF($A60="","",INDEX(Employees!$AI$6:$AI$205,MATCH($A60,Employees!$BH$6:$BH$205,0)))</f>
        <v/>
      </c>
      <c r="L60" s="26" t="str">
        <f aca="false">IF($A60="","",INDEX(Employees!$AG$6:$AG$205,MATCH($A60,Employees!$BH$6:$BH$205,0)))</f>
        <v/>
      </c>
      <c r="M60" s="26" t="str">
        <f aca="false">IF($A60="","",INDEX(Employees!$AH$6:$AH$205,MATCH($A60,Employees!$BH$6:$BH$205,0)))</f>
        <v/>
      </c>
      <c r="N60" s="26" t="str">
        <f aca="false">IF($A60="","",INDEX(Employees!$AK$6:$AK$205,MATCH($A60,Employees!$BH$6:$BH$205,0)))</f>
        <v/>
      </c>
      <c r="O60" s="26" t="str">
        <f aca="false">IF($A60="","",INDEX(Employees!$AL$6:$AL$205,MATCH($A60,Employees!$BH$6:$BH$205,0)))</f>
        <v/>
      </c>
      <c r="P60" s="11" t="str">
        <f aca="false">IF($A60="","",INDEX(Employees!$AM$6:$AM$205,MATCH($A60,Employees!$BH$6:$BH$205,0)))</f>
        <v/>
      </c>
    </row>
    <row r="61" customFormat="false" ht="15" hidden="false" customHeight="false" outlineLevel="0" collapsed="false">
      <c r="A61" s="11" t="str">
        <f aca="false">IF(56&lt;=MAX(Employees!$BH$6:$BH$205),56,"")</f>
        <v/>
      </c>
      <c r="B61" s="11" t="str">
        <f aca="false">IF($A61="","",INDEX(Employees!$A$6:$A$205,MATCH($A61,Employees!$BH$6:$BH$205,0)))</f>
        <v/>
      </c>
      <c r="C61" s="11" t="str">
        <f aca="false">IF($A61="","",INDEX(Employees!$B$6:$B$205,MATCH($A61,Employees!$BH$6:$BH$205,0)))</f>
        <v/>
      </c>
      <c r="D61" s="11" t="str">
        <f aca="false">IF($A61="","",INDEX(Employees!$C$6:$C$205,MATCH($A61,Employees!$BH$6:$BH$205,0)))</f>
        <v/>
      </c>
      <c r="E61" s="11" t="str">
        <f aca="false">IF($A61="","",INDEX(Employees!$D$6:$D$205,MATCH($A61,Employees!$BH$6:$BH$205,0)))</f>
        <v/>
      </c>
      <c r="F61" s="11" t="str">
        <f aca="false">IF($A61="","",INDEX(Employees!$T$6:$T$205,MATCH($A61,Employees!$BH$6:$BH$205,0)))</f>
        <v/>
      </c>
      <c r="G61" s="26" t="str">
        <f aca="false">IF($A61="","",INDEX(Employees!$U$6:$U$205,MATCH($A61,Employees!$BH$6:$BH$205,0)))</f>
        <v/>
      </c>
      <c r="H61" s="28" t="str">
        <f aca="false">IF($A61="","",INDEX(Employees!$E$6:$E$205,MATCH($A61,Employees!$BH$6:$BH$205,0)))</f>
        <v/>
      </c>
      <c r="I61" s="11" t="str">
        <f aca="false">IF($A61="","",INDEX(Employees!$Z$6:$Z$205,MATCH($A61,Employees!$BH$6:$BH$205,0)))</f>
        <v/>
      </c>
      <c r="J61" s="26" t="str">
        <f aca="false">IF($A61="","",INDEX(Employees!$AB$6:$AB$205,MATCH($A61,Employees!$BH$6:$BH$205,0)))</f>
        <v/>
      </c>
      <c r="K61" s="26" t="str">
        <f aca="false">IF($A61="","",INDEX(Employees!$AI$6:$AI$205,MATCH($A61,Employees!$BH$6:$BH$205,0)))</f>
        <v/>
      </c>
      <c r="L61" s="26" t="str">
        <f aca="false">IF($A61="","",INDEX(Employees!$AG$6:$AG$205,MATCH($A61,Employees!$BH$6:$BH$205,0)))</f>
        <v/>
      </c>
      <c r="M61" s="26" t="str">
        <f aca="false">IF($A61="","",INDEX(Employees!$AH$6:$AH$205,MATCH($A61,Employees!$BH$6:$BH$205,0)))</f>
        <v/>
      </c>
      <c r="N61" s="26" t="str">
        <f aca="false">IF($A61="","",INDEX(Employees!$AK$6:$AK$205,MATCH($A61,Employees!$BH$6:$BH$205,0)))</f>
        <v/>
      </c>
      <c r="O61" s="26" t="str">
        <f aca="false">IF($A61="","",INDEX(Employees!$AL$6:$AL$205,MATCH($A61,Employees!$BH$6:$BH$205,0)))</f>
        <v/>
      </c>
      <c r="P61" s="11" t="str">
        <f aca="false">IF($A61="","",INDEX(Employees!$AM$6:$AM$205,MATCH($A61,Employees!$BH$6:$BH$205,0)))</f>
        <v/>
      </c>
    </row>
    <row r="62" customFormat="false" ht="15" hidden="false" customHeight="false" outlineLevel="0" collapsed="false">
      <c r="A62" s="11" t="str">
        <f aca="false">IF(57&lt;=MAX(Employees!$BH$6:$BH$205),57,"")</f>
        <v/>
      </c>
      <c r="B62" s="11" t="str">
        <f aca="false">IF($A62="","",INDEX(Employees!$A$6:$A$205,MATCH($A62,Employees!$BH$6:$BH$205,0)))</f>
        <v/>
      </c>
      <c r="C62" s="11" t="str">
        <f aca="false">IF($A62="","",INDEX(Employees!$B$6:$B$205,MATCH($A62,Employees!$BH$6:$BH$205,0)))</f>
        <v/>
      </c>
      <c r="D62" s="11" t="str">
        <f aca="false">IF($A62="","",INDEX(Employees!$C$6:$C$205,MATCH($A62,Employees!$BH$6:$BH$205,0)))</f>
        <v/>
      </c>
      <c r="E62" s="11" t="str">
        <f aca="false">IF($A62="","",INDEX(Employees!$D$6:$D$205,MATCH($A62,Employees!$BH$6:$BH$205,0)))</f>
        <v/>
      </c>
      <c r="F62" s="11" t="str">
        <f aca="false">IF($A62="","",INDEX(Employees!$T$6:$T$205,MATCH($A62,Employees!$BH$6:$BH$205,0)))</f>
        <v/>
      </c>
      <c r="G62" s="26" t="str">
        <f aca="false">IF($A62="","",INDEX(Employees!$U$6:$U$205,MATCH($A62,Employees!$BH$6:$BH$205,0)))</f>
        <v/>
      </c>
      <c r="H62" s="28" t="str">
        <f aca="false">IF($A62="","",INDEX(Employees!$E$6:$E$205,MATCH($A62,Employees!$BH$6:$BH$205,0)))</f>
        <v/>
      </c>
      <c r="I62" s="11" t="str">
        <f aca="false">IF($A62="","",INDEX(Employees!$Z$6:$Z$205,MATCH($A62,Employees!$BH$6:$BH$205,0)))</f>
        <v/>
      </c>
      <c r="J62" s="26" t="str">
        <f aca="false">IF($A62="","",INDEX(Employees!$AB$6:$AB$205,MATCH($A62,Employees!$BH$6:$BH$205,0)))</f>
        <v/>
      </c>
      <c r="K62" s="26" t="str">
        <f aca="false">IF($A62="","",INDEX(Employees!$AI$6:$AI$205,MATCH($A62,Employees!$BH$6:$BH$205,0)))</f>
        <v/>
      </c>
      <c r="L62" s="26" t="str">
        <f aca="false">IF($A62="","",INDEX(Employees!$AG$6:$AG$205,MATCH($A62,Employees!$BH$6:$BH$205,0)))</f>
        <v/>
      </c>
      <c r="M62" s="26" t="str">
        <f aca="false">IF($A62="","",INDEX(Employees!$AH$6:$AH$205,MATCH($A62,Employees!$BH$6:$BH$205,0)))</f>
        <v/>
      </c>
      <c r="N62" s="26" t="str">
        <f aca="false">IF($A62="","",INDEX(Employees!$AK$6:$AK$205,MATCH($A62,Employees!$BH$6:$BH$205,0)))</f>
        <v/>
      </c>
      <c r="O62" s="26" t="str">
        <f aca="false">IF($A62="","",INDEX(Employees!$AL$6:$AL$205,MATCH($A62,Employees!$BH$6:$BH$205,0)))</f>
        <v/>
      </c>
      <c r="P62" s="11" t="str">
        <f aca="false">IF($A62="","",INDEX(Employees!$AM$6:$AM$205,MATCH($A62,Employees!$BH$6:$BH$205,0)))</f>
        <v/>
      </c>
    </row>
    <row r="63" customFormat="false" ht="15" hidden="false" customHeight="false" outlineLevel="0" collapsed="false">
      <c r="A63" s="11" t="str">
        <f aca="false">IF(58&lt;=MAX(Employees!$BH$6:$BH$205),58,"")</f>
        <v/>
      </c>
      <c r="B63" s="11" t="str">
        <f aca="false">IF($A63="","",INDEX(Employees!$A$6:$A$205,MATCH($A63,Employees!$BH$6:$BH$205,0)))</f>
        <v/>
      </c>
      <c r="C63" s="11" t="str">
        <f aca="false">IF($A63="","",INDEX(Employees!$B$6:$B$205,MATCH($A63,Employees!$BH$6:$BH$205,0)))</f>
        <v/>
      </c>
      <c r="D63" s="11" t="str">
        <f aca="false">IF($A63="","",INDEX(Employees!$C$6:$C$205,MATCH($A63,Employees!$BH$6:$BH$205,0)))</f>
        <v/>
      </c>
      <c r="E63" s="11" t="str">
        <f aca="false">IF($A63="","",INDEX(Employees!$D$6:$D$205,MATCH($A63,Employees!$BH$6:$BH$205,0)))</f>
        <v/>
      </c>
      <c r="F63" s="11" t="str">
        <f aca="false">IF($A63="","",INDEX(Employees!$T$6:$T$205,MATCH($A63,Employees!$BH$6:$BH$205,0)))</f>
        <v/>
      </c>
      <c r="G63" s="26" t="str">
        <f aca="false">IF($A63="","",INDEX(Employees!$U$6:$U$205,MATCH($A63,Employees!$BH$6:$BH$205,0)))</f>
        <v/>
      </c>
      <c r="H63" s="28" t="str">
        <f aca="false">IF($A63="","",INDEX(Employees!$E$6:$E$205,MATCH($A63,Employees!$BH$6:$BH$205,0)))</f>
        <v/>
      </c>
      <c r="I63" s="11" t="str">
        <f aca="false">IF($A63="","",INDEX(Employees!$Z$6:$Z$205,MATCH($A63,Employees!$BH$6:$BH$205,0)))</f>
        <v/>
      </c>
      <c r="J63" s="26" t="str">
        <f aca="false">IF($A63="","",INDEX(Employees!$AB$6:$AB$205,MATCH($A63,Employees!$BH$6:$BH$205,0)))</f>
        <v/>
      </c>
      <c r="K63" s="26" t="str">
        <f aca="false">IF($A63="","",INDEX(Employees!$AI$6:$AI$205,MATCH($A63,Employees!$BH$6:$BH$205,0)))</f>
        <v/>
      </c>
      <c r="L63" s="26" t="str">
        <f aca="false">IF($A63="","",INDEX(Employees!$AG$6:$AG$205,MATCH($A63,Employees!$BH$6:$BH$205,0)))</f>
        <v/>
      </c>
      <c r="M63" s="26" t="str">
        <f aca="false">IF($A63="","",INDEX(Employees!$AH$6:$AH$205,MATCH($A63,Employees!$BH$6:$BH$205,0)))</f>
        <v/>
      </c>
      <c r="N63" s="26" t="str">
        <f aca="false">IF($A63="","",INDEX(Employees!$AK$6:$AK$205,MATCH($A63,Employees!$BH$6:$BH$205,0)))</f>
        <v/>
      </c>
      <c r="O63" s="26" t="str">
        <f aca="false">IF($A63="","",INDEX(Employees!$AL$6:$AL$205,MATCH($A63,Employees!$BH$6:$BH$205,0)))</f>
        <v/>
      </c>
      <c r="P63" s="11" t="str">
        <f aca="false">IF($A63="","",INDEX(Employees!$AM$6:$AM$205,MATCH($A63,Employees!$BH$6:$BH$205,0)))</f>
        <v/>
      </c>
    </row>
    <row r="64" customFormat="false" ht="15" hidden="false" customHeight="false" outlineLevel="0" collapsed="false">
      <c r="A64" s="11" t="str">
        <f aca="false">IF(59&lt;=MAX(Employees!$BH$6:$BH$205),59,"")</f>
        <v/>
      </c>
      <c r="B64" s="11" t="str">
        <f aca="false">IF($A64="","",INDEX(Employees!$A$6:$A$205,MATCH($A64,Employees!$BH$6:$BH$205,0)))</f>
        <v/>
      </c>
      <c r="C64" s="11" t="str">
        <f aca="false">IF($A64="","",INDEX(Employees!$B$6:$B$205,MATCH($A64,Employees!$BH$6:$BH$205,0)))</f>
        <v/>
      </c>
      <c r="D64" s="11" t="str">
        <f aca="false">IF($A64="","",INDEX(Employees!$C$6:$C$205,MATCH($A64,Employees!$BH$6:$BH$205,0)))</f>
        <v/>
      </c>
      <c r="E64" s="11" t="str">
        <f aca="false">IF($A64="","",INDEX(Employees!$D$6:$D$205,MATCH($A64,Employees!$BH$6:$BH$205,0)))</f>
        <v/>
      </c>
      <c r="F64" s="11" t="str">
        <f aca="false">IF($A64="","",INDEX(Employees!$T$6:$T$205,MATCH($A64,Employees!$BH$6:$BH$205,0)))</f>
        <v/>
      </c>
      <c r="G64" s="26" t="str">
        <f aca="false">IF($A64="","",INDEX(Employees!$U$6:$U$205,MATCH($A64,Employees!$BH$6:$BH$205,0)))</f>
        <v/>
      </c>
      <c r="H64" s="28" t="str">
        <f aca="false">IF($A64="","",INDEX(Employees!$E$6:$E$205,MATCH($A64,Employees!$BH$6:$BH$205,0)))</f>
        <v/>
      </c>
      <c r="I64" s="11" t="str">
        <f aca="false">IF($A64="","",INDEX(Employees!$Z$6:$Z$205,MATCH($A64,Employees!$BH$6:$BH$205,0)))</f>
        <v/>
      </c>
      <c r="J64" s="26" t="str">
        <f aca="false">IF($A64="","",INDEX(Employees!$AB$6:$AB$205,MATCH($A64,Employees!$BH$6:$BH$205,0)))</f>
        <v/>
      </c>
      <c r="K64" s="26" t="str">
        <f aca="false">IF($A64="","",INDEX(Employees!$AI$6:$AI$205,MATCH($A64,Employees!$BH$6:$BH$205,0)))</f>
        <v/>
      </c>
      <c r="L64" s="26" t="str">
        <f aca="false">IF($A64="","",INDEX(Employees!$AG$6:$AG$205,MATCH($A64,Employees!$BH$6:$BH$205,0)))</f>
        <v/>
      </c>
      <c r="M64" s="26" t="str">
        <f aca="false">IF($A64="","",INDEX(Employees!$AH$6:$AH$205,MATCH($A64,Employees!$BH$6:$BH$205,0)))</f>
        <v/>
      </c>
      <c r="N64" s="26" t="str">
        <f aca="false">IF($A64="","",INDEX(Employees!$AK$6:$AK$205,MATCH($A64,Employees!$BH$6:$BH$205,0)))</f>
        <v/>
      </c>
      <c r="O64" s="26" t="str">
        <f aca="false">IF($A64="","",INDEX(Employees!$AL$6:$AL$205,MATCH($A64,Employees!$BH$6:$BH$205,0)))</f>
        <v/>
      </c>
      <c r="P64" s="11" t="str">
        <f aca="false">IF($A64="","",INDEX(Employees!$AM$6:$AM$205,MATCH($A64,Employees!$BH$6:$BH$205,0)))</f>
        <v/>
      </c>
    </row>
    <row r="65" customFormat="false" ht="15" hidden="false" customHeight="false" outlineLevel="0" collapsed="false">
      <c r="A65" s="11" t="str">
        <f aca="false">IF(60&lt;=MAX(Employees!$BH$6:$BH$205),60,"")</f>
        <v/>
      </c>
      <c r="B65" s="11" t="str">
        <f aca="false">IF($A65="","",INDEX(Employees!$A$6:$A$205,MATCH($A65,Employees!$BH$6:$BH$205,0)))</f>
        <v/>
      </c>
      <c r="C65" s="11" t="str">
        <f aca="false">IF($A65="","",INDEX(Employees!$B$6:$B$205,MATCH($A65,Employees!$BH$6:$BH$205,0)))</f>
        <v/>
      </c>
      <c r="D65" s="11" t="str">
        <f aca="false">IF($A65="","",INDEX(Employees!$C$6:$C$205,MATCH($A65,Employees!$BH$6:$BH$205,0)))</f>
        <v/>
      </c>
      <c r="E65" s="11" t="str">
        <f aca="false">IF($A65="","",INDEX(Employees!$D$6:$D$205,MATCH($A65,Employees!$BH$6:$BH$205,0)))</f>
        <v/>
      </c>
      <c r="F65" s="11" t="str">
        <f aca="false">IF($A65="","",INDEX(Employees!$T$6:$T$205,MATCH($A65,Employees!$BH$6:$BH$205,0)))</f>
        <v/>
      </c>
      <c r="G65" s="26" t="str">
        <f aca="false">IF($A65="","",INDEX(Employees!$U$6:$U$205,MATCH($A65,Employees!$BH$6:$BH$205,0)))</f>
        <v/>
      </c>
      <c r="H65" s="28" t="str">
        <f aca="false">IF($A65="","",INDEX(Employees!$E$6:$E$205,MATCH($A65,Employees!$BH$6:$BH$205,0)))</f>
        <v/>
      </c>
      <c r="I65" s="11" t="str">
        <f aca="false">IF($A65="","",INDEX(Employees!$Z$6:$Z$205,MATCH($A65,Employees!$BH$6:$BH$205,0)))</f>
        <v/>
      </c>
      <c r="J65" s="26" t="str">
        <f aca="false">IF($A65="","",INDEX(Employees!$AB$6:$AB$205,MATCH($A65,Employees!$BH$6:$BH$205,0)))</f>
        <v/>
      </c>
      <c r="K65" s="26" t="str">
        <f aca="false">IF($A65="","",INDEX(Employees!$AI$6:$AI$205,MATCH($A65,Employees!$BH$6:$BH$205,0)))</f>
        <v/>
      </c>
      <c r="L65" s="26" t="str">
        <f aca="false">IF($A65="","",INDEX(Employees!$AG$6:$AG$205,MATCH($A65,Employees!$BH$6:$BH$205,0)))</f>
        <v/>
      </c>
      <c r="M65" s="26" t="str">
        <f aca="false">IF($A65="","",INDEX(Employees!$AH$6:$AH$205,MATCH($A65,Employees!$BH$6:$BH$205,0)))</f>
        <v/>
      </c>
      <c r="N65" s="26" t="str">
        <f aca="false">IF($A65="","",INDEX(Employees!$AK$6:$AK$205,MATCH($A65,Employees!$BH$6:$BH$205,0)))</f>
        <v/>
      </c>
      <c r="O65" s="26" t="str">
        <f aca="false">IF($A65="","",INDEX(Employees!$AL$6:$AL$205,MATCH($A65,Employees!$BH$6:$BH$205,0)))</f>
        <v/>
      </c>
      <c r="P65" s="11" t="str">
        <f aca="false">IF($A65="","",INDEX(Employees!$AM$6:$AM$205,MATCH($A65,Employees!$BH$6:$BH$205,0)))</f>
        <v/>
      </c>
    </row>
    <row r="66" customFormat="false" ht="15" hidden="false" customHeight="false" outlineLevel="0" collapsed="false">
      <c r="A66" s="11" t="str">
        <f aca="false">IF(61&lt;=MAX(Employees!$BH$6:$BH$205),61,"")</f>
        <v/>
      </c>
      <c r="B66" s="11" t="str">
        <f aca="false">IF($A66="","",INDEX(Employees!$A$6:$A$205,MATCH($A66,Employees!$BH$6:$BH$205,0)))</f>
        <v/>
      </c>
      <c r="C66" s="11" t="str">
        <f aca="false">IF($A66="","",INDEX(Employees!$B$6:$B$205,MATCH($A66,Employees!$BH$6:$BH$205,0)))</f>
        <v/>
      </c>
      <c r="D66" s="11" t="str">
        <f aca="false">IF($A66="","",INDEX(Employees!$C$6:$C$205,MATCH($A66,Employees!$BH$6:$BH$205,0)))</f>
        <v/>
      </c>
      <c r="E66" s="11" t="str">
        <f aca="false">IF($A66="","",INDEX(Employees!$D$6:$D$205,MATCH($A66,Employees!$BH$6:$BH$205,0)))</f>
        <v/>
      </c>
      <c r="F66" s="11" t="str">
        <f aca="false">IF($A66="","",INDEX(Employees!$T$6:$T$205,MATCH($A66,Employees!$BH$6:$BH$205,0)))</f>
        <v/>
      </c>
      <c r="G66" s="26" t="str">
        <f aca="false">IF($A66="","",INDEX(Employees!$U$6:$U$205,MATCH($A66,Employees!$BH$6:$BH$205,0)))</f>
        <v/>
      </c>
      <c r="H66" s="28" t="str">
        <f aca="false">IF($A66="","",INDEX(Employees!$E$6:$E$205,MATCH($A66,Employees!$BH$6:$BH$205,0)))</f>
        <v/>
      </c>
      <c r="I66" s="11" t="str">
        <f aca="false">IF($A66="","",INDEX(Employees!$Z$6:$Z$205,MATCH($A66,Employees!$BH$6:$BH$205,0)))</f>
        <v/>
      </c>
      <c r="J66" s="26" t="str">
        <f aca="false">IF($A66="","",INDEX(Employees!$AB$6:$AB$205,MATCH($A66,Employees!$BH$6:$BH$205,0)))</f>
        <v/>
      </c>
      <c r="K66" s="26" t="str">
        <f aca="false">IF($A66="","",INDEX(Employees!$AI$6:$AI$205,MATCH($A66,Employees!$BH$6:$BH$205,0)))</f>
        <v/>
      </c>
      <c r="L66" s="26" t="str">
        <f aca="false">IF($A66="","",INDEX(Employees!$AG$6:$AG$205,MATCH($A66,Employees!$BH$6:$BH$205,0)))</f>
        <v/>
      </c>
      <c r="M66" s="26" t="str">
        <f aca="false">IF($A66="","",INDEX(Employees!$AH$6:$AH$205,MATCH($A66,Employees!$BH$6:$BH$205,0)))</f>
        <v/>
      </c>
      <c r="N66" s="26" t="str">
        <f aca="false">IF($A66="","",INDEX(Employees!$AK$6:$AK$205,MATCH($A66,Employees!$BH$6:$BH$205,0)))</f>
        <v/>
      </c>
      <c r="O66" s="26" t="str">
        <f aca="false">IF($A66="","",INDEX(Employees!$AL$6:$AL$205,MATCH($A66,Employees!$BH$6:$BH$205,0)))</f>
        <v/>
      </c>
      <c r="P66" s="11" t="str">
        <f aca="false">IF($A66="","",INDEX(Employees!$AM$6:$AM$205,MATCH($A66,Employees!$BH$6:$BH$205,0)))</f>
        <v/>
      </c>
    </row>
    <row r="67" customFormat="false" ht="15" hidden="false" customHeight="false" outlineLevel="0" collapsed="false">
      <c r="A67" s="11" t="str">
        <f aca="false">IF(62&lt;=MAX(Employees!$BH$6:$BH$205),62,"")</f>
        <v/>
      </c>
      <c r="B67" s="11" t="str">
        <f aca="false">IF($A67="","",INDEX(Employees!$A$6:$A$205,MATCH($A67,Employees!$BH$6:$BH$205,0)))</f>
        <v/>
      </c>
      <c r="C67" s="11" t="str">
        <f aca="false">IF($A67="","",INDEX(Employees!$B$6:$B$205,MATCH($A67,Employees!$BH$6:$BH$205,0)))</f>
        <v/>
      </c>
      <c r="D67" s="11" t="str">
        <f aca="false">IF($A67="","",INDEX(Employees!$C$6:$C$205,MATCH($A67,Employees!$BH$6:$BH$205,0)))</f>
        <v/>
      </c>
      <c r="E67" s="11" t="str">
        <f aca="false">IF($A67="","",INDEX(Employees!$D$6:$D$205,MATCH($A67,Employees!$BH$6:$BH$205,0)))</f>
        <v/>
      </c>
      <c r="F67" s="11" t="str">
        <f aca="false">IF($A67="","",INDEX(Employees!$T$6:$T$205,MATCH($A67,Employees!$BH$6:$BH$205,0)))</f>
        <v/>
      </c>
      <c r="G67" s="26" t="str">
        <f aca="false">IF($A67="","",INDEX(Employees!$U$6:$U$205,MATCH($A67,Employees!$BH$6:$BH$205,0)))</f>
        <v/>
      </c>
      <c r="H67" s="28" t="str">
        <f aca="false">IF($A67="","",INDEX(Employees!$E$6:$E$205,MATCH($A67,Employees!$BH$6:$BH$205,0)))</f>
        <v/>
      </c>
      <c r="I67" s="11" t="str">
        <f aca="false">IF($A67="","",INDEX(Employees!$Z$6:$Z$205,MATCH($A67,Employees!$BH$6:$BH$205,0)))</f>
        <v/>
      </c>
      <c r="J67" s="26" t="str">
        <f aca="false">IF($A67="","",INDEX(Employees!$AB$6:$AB$205,MATCH($A67,Employees!$BH$6:$BH$205,0)))</f>
        <v/>
      </c>
      <c r="K67" s="26" t="str">
        <f aca="false">IF($A67="","",INDEX(Employees!$AI$6:$AI$205,MATCH($A67,Employees!$BH$6:$BH$205,0)))</f>
        <v/>
      </c>
      <c r="L67" s="26" t="str">
        <f aca="false">IF($A67="","",INDEX(Employees!$AG$6:$AG$205,MATCH($A67,Employees!$BH$6:$BH$205,0)))</f>
        <v/>
      </c>
      <c r="M67" s="26" t="str">
        <f aca="false">IF($A67="","",INDEX(Employees!$AH$6:$AH$205,MATCH($A67,Employees!$BH$6:$BH$205,0)))</f>
        <v/>
      </c>
      <c r="N67" s="26" t="str">
        <f aca="false">IF($A67="","",INDEX(Employees!$AK$6:$AK$205,MATCH($A67,Employees!$BH$6:$BH$205,0)))</f>
        <v/>
      </c>
      <c r="O67" s="26" t="str">
        <f aca="false">IF($A67="","",INDEX(Employees!$AL$6:$AL$205,MATCH($A67,Employees!$BH$6:$BH$205,0)))</f>
        <v/>
      </c>
      <c r="P67" s="11" t="str">
        <f aca="false">IF($A67="","",INDEX(Employees!$AM$6:$AM$205,MATCH($A67,Employees!$BH$6:$BH$205,0)))</f>
        <v/>
      </c>
    </row>
    <row r="68" customFormat="false" ht="15" hidden="false" customHeight="false" outlineLevel="0" collapsed="false">
      <c r="A68" s="11" t="str">
        <f aca="false">IF(63&lt;=MAX(Employees!$BH$6:$BH$205),63,"")</f>
        <v/>
      </c>
      <c r="B68" s="11" t="str">
        <f aca="false">IF($A68="","",INDEX(Employees!$A$6:$A$205,MATCH($A68,Employees!$BH$6:$BH$205,0)))</f>
        <v/>
      </c>
      <c r="C68" s="11" t="str">
        <f aca="false">IF($A68="","",INDEX(Employees!$B$6:$B$205,MATCH($A68,Employees!$BH$6:$BH$205,0)))</f>
        <v/>
      </c>
      <c r="D68" s="11" t="str">
        <f aca="false">IF($A68="","",INDEX(Employees!$C$6:$C$205,MATCH($A68,Employees!$BH$6:$BH$205,0)))</f>
        <v/>
      </c>
      <c r="E68" s="11" t="str">
        <f aca="false">IF($A68="","",INDEX(Employees!$D$6:$D$205,MATCH($A68,Employees!$BH$6:$BH$205,0)))</f>
        <v/>
      </c>
      <c r="F68" s="11" t="str">
        <f aca="false">IF($A68="","",INDEX(Employees!$T$6:$T$205,MATCH($A68,Employees!$BH$6:$BH$205,0)))</f>
        <v/>
      </c>
      <c r="G68" s="26" t="str">
        <f aca="false">IF($A68="","",INDEX(Employees!$U$6:$U$205,MATCH($A68,Employees!$BH$6:$BH$205,0)))</f>
        <v/>
      </c>
      <c r="H68" s="28" t="str">
        <f aca="false">IF($A68="","",INDEX(Employees!$E$6:$E$205,MATCH($A68,Employees!$BH$6:$BH$205,0)))</f>
        <v/>
      </c>
      <c r="I68" s="11" t="str">
        <f aca="false">IF($A68="","",INDEX(Employees!$Z$6:$Z$205,MATCH($A68,Employees!$BH$6:$BH$205,0)))</f>
        <v/>
      </c>
      <c r="J68" s="26" t="str">
        <f aca="false">IF($A68="","",INDEX(Employees!$AB$6:$AB$205,MATCH($A68,Employees!$BH$6:$BH$205,0)))</f>
        <v/>
      </c>
      <c r="K68" s="26" t="str">
        <f aca="false">IF($A68="","",INDEX(Employees!$AI$6:$AI$205,MATCH($A68,Employees!$BH$6:$BH$205,0)))</f>
        <v/>
      </c>
      <c r="L68" s="26" t="str">
        <f aca="false">IF($A68="","",INDEX(Employees!$AG$6:$AG$205,MATCH($A68,Employees!$BH$6:$BH$205,0)))</f>
        <v/>
      </c>
      <c r="M68" s="26" t="str">
        <f aca="false">IF($A68="","",INDEX(Employees!$AH$6:$AH$205,MATCH($A68,Employees!$BH$6:$BH$205,0)))</f>
        <v/>
      </c>
      <c r="N68" s="26" t="str">
        <f aca="false">IF($A68="","",INDEX(Employees!$AK$6:$AK$205,MATCH($A68,Employees!$BH$6:$BH$205,0)))</f>
        <v/>
      </c>
      <c r="O68" s="26" t="str">
        <f aca="false">IF($A68="","",INDEX(Employees!$AL$6:$AL$205,MATCH($A68,Employees!$BH$6:$BH$205,0)))</f>
        <v/>
      </c>
      <c r="P68" s="11" t="str">
        <f aca="false">IF($A68="","",INDEX(Employees!$AM$6:$AM$205,MATCH($A68,Employees!$BH$6:$BH$205,0)))</f>
        <v/>
      </c>
    </row>
    <row r="69" customFormat="false" ht="15" hidden="false" customHeight="false" outlineLevel="0" collapsed="false">
      <c r="A69" s="11" t="str">
        <f aca="false">IF(64&lt;=MAX(Employees!$BH$6:$BH$205),64,"")</f>
        <v/>
      </c>
      <c r="B69" s="11" t="str">
        <f aca="false">IF($A69="","",INDEX(Employees!$A$6:$A$205,MATCH($A69,Employees!$BH$6:$BH$205,0)))</f>
        <v/>
      </c>
      <c r="C69" s="11" t="str">
        <f aca="false">IF($A69="","",INDEX(Employees!$B$6:$B$205,MATCH($A69,Employees!$BH$6:$BH$205,0)))</f>
        <v/>
      </c>
      <c r="D69" s="11" t="str">
        <f aca="false">IF($A69="","",INDEX(Employees!$C$6:$C$205,MATCH($A69,Employees!$BH$6:$BH$205,0)))</f>
        <v/>
      </c>
      <c r="E69" s="11" t="str">
        <f aca="false">IF($A69="","",INDEX(Employees!$D$6:$D$205,MATCH($A69,Employees!$BH$6:$BH$205,0)))</f>
        <v/>
      </c>
      <c r="F69" s="11" t="str">
        <f aca="false">IF($A69="","",INDEX(Employees!$T$6:$T$205,MATCH($A69,Employees!$BH$6:$BH$205,0)))</f>
        <v/>
      </c>
      <c r="G69" s="26" t="str">
        <f aca="false">IF($A69="","",INDEX(Employees!$U$6:$U$205,MATCH($A69,Employees!$BH$6:$BH$205,0)))</f>
        <v/>
      </c>
      <c r="H69" s="28" t="str">
        <f aca="false">IF($A69="","",INDEX(Employees!$E$6:$E$205,MATCH($A69,Employees!$BH$6:$BH$205,0)))</f>
        <v/>
      </c>
      <c r="I69" s="11" t="str">
        <f aca="false">IF($A69="","",INDEX(Employees!$Z$6:$Z$205,MATCH($A69,Employees!$BH$6:$BH$205,0)))</f>
        <v/>
      </c>
      <c r="J69" s="26" t="str">
        <f aca="false">IF($A69="","",INDEX(Employees!$AB$6:$AB$205,MATCH($A69,Employees!$BH$6:$BH$205,0)))</f>
        <v/>
      </c>
      <c r="K69" s="26" t="str">
        <f aca="false">IF($A69="","",INDEX(Employees!$AI$6:$AI$205,MATCH($A69,Employees!$BH$6:$BH$205,0)))</f>
        <v/>
      </c>
      <c r="L69" s="26" t="str">
        <f aca="false">IF($A69="","",INDEX(Employees!$AG$6:$AG$205,MATCH($A69,Employees!$BH$6:$BH$205,0)))</f>
        <v/>
      </c>
      <c r="M69" s="26" t="str">
        <f aca="false">IF($A69="","",INDEX(Employees!$AH$6:$AH$205,MATCH($A69,Employees!$BH$6:$BH$205,0)))</f>
        <v/>
      </c>
      <c r="N69" s="26" t="str">
        <f aca="false">IF($A69="","",INDEX(Employees!$AK$6:$AK$205,MATCH($A69,Employees!$BH$6:$BH$205,0)))</f>
        <v/>
      </c>
      <c r="O69" s="26" t="str">
        <f aca="false">IF($A69="","",INDEX(Employees!$AL$6:$AL$205,MATCH($A69,Employees!$BH$6:$BH$205,0)))</f>
        <v/>
      </c>
      <c r="P69" s="11" t="str">
        <f aca="false">IF($A69="","",INDEX(Employees!$AM$6:$AM$205,MATCH($A69,Employees!$BH$6:$BH$205,0)))</f>
        <v/>
      </c>
    </row>
    <row r="70" customFormat="false" ht="15" hidden="false" customHeight="false" outlineLevel="0" collapsed="false">
      <c r="A70" s="11" t="str">
        <f aca="false">IF(65&lt;=MAX(Employees!$BH$6:$BH$205),65,"")</f>
        <v/>
      </c>
      <c r="B70" s="11" t="str">
        <f aca="false">IF($A70="","",INDEX(Employees!$A$6:$A$205,MATCH($A70,Employees!$BH$6:$BH$205,0)))</f>
        <v/>
      </c>
      <c r="C70" s="11" t="str">
        <f aca="false">IF($A70="","",INDEX(Employees!$B$6:$B$205,MATCH($A70,Employees!$BH$6:$BH$205,0)))</f>
        <v/>
      </c>
      <c r="D70" s="11" t="str">
        <f aca="false">IF($A70="","",INDEX(Employees!$C$6:$C$205,MATCH($A70,Employees!$BH$6:$BH$205,0)))</f>
        <v/>
      </c>
      <c r="E70" s="11" t="str">
        <f aca="false">IF($A70="","",INDEX(Employees!$D$6:$D$205,MATCH($A70,Employees!$BH$6:$BH$205,0)))</f>
        <v/>
      </c>
      <c r="F70" s="11" t="str">
        <f aca="false">IF($A70="","",INDEX(Employees!$T$6:$T$205,MATCH($A70,Employees!$BH$6:$BH$205,0)))</f>
        <v/>
      </c>
      <c r="G70" s="26" t="str">
        <f aca="false">IF($A70="","",INDEX(Employees!$U$6:$U$205,MATCH($A70,Employees!$BH$6:$BH$205,0)))</f>
        <v/>
      </c>
      <c r="H70" s="28" t="str">
        <f aca="false">IF($A70="","",INDEX(Employees!$E$6:$E$205,MATCH($A70,Employees!$BH$6:$BH$205,0)))</f>
        <v/>
      </c>
      <c r="I70" s="11" t="str">
        <f aca="false">IF($A70="","",INDEX(Employees!$Z$6:$Z$205,MATCH($A70,Employees!$BH$6:$BH$205,0)))</f>
        <v/>
      </c>
      <c r="J70" s="26" t="str">
        <f aca="false">IF($A70="","",INDEX(Employees!$AB$6:$AB$205,MATCH($A70,Employees!$BH$6:$BH$205,0)))</f>
        <v/>
      </c>
      <c r="K70" s="26" t="str">
        <f aca="false">IF($A70="","",INDEX(Employees!$AI$6:$AI$205,MATCH($A70,Employees!$BH$6:$BH$205,0)))</f>
        <v/>
      </c>
      <c r="L70" s="26" t="str">
        <f aca="false">IF($A70="","",INDEX(Employees!$AG$6:$AG$205,MATCH($A70,Employees!$BH$6:$BH$205,0)))</f>
        <v/>
      </c>
      <c r="M70" s="26" t="str">
        <f aca="false">IF($A70="","",INDEX(Employees!$AH$6:$AH$205,MATCH($A70,Employees!$BH$6:$BH$205,0)))</f>
        <v/>
      </c>
      <c r="N70" s="26" t="str">
        <f aca="false">IF($A70="","",INDEX(Employees!$AK$6:$AK$205,MATCH($A70,Employees!$BH$6:$BH$205,0)))</f>
        <v/>
      </c>
      <c r="O70" s="26" t="str">
        <f aca="false">IF($A70="","",INDEX(Employees!$AL$6:$AL$205,MATCH($A70,Employees!$BH$6:$BH$205,0)))</f>
        <v/>
      </c>
      <c r="P70" s="11" t="str">
        <f aca="false">IF($A70="","",INDEX(Employees!$AM$6:$AM$205,MATCH($A70,Employees!$BH$6:$BH$205,0)))</f>
        <v/>
      </c>
    </row>
    <row r="71" customFormat="false" ht="15" hidden="false" customHeight="false" outlineLevel="0" collapsed="false">
      <c r="A71" s="11" t="str">
        <f aca="false">IF(66&lt;=MAX(Employees!$BH$6:$BH$205),66,"")</f>
        <v/>
      </c>
      <c r="B71" s="11" t="str">
        <f aca="false">IF($A71="","",INDEX(Employees!$A$6:$A$205,MATCH($A71,Employees!$BH$6:$BH$205,0)))</f>
        <v/>
      </c>
      <c r="C71" s="11" t="str">
        <f aca="false">IF($A71="","",INDEX(Employees!$B$6:$B$205,MATCH($A71,Employees!$BH$6:$BH$205,0)))</f>
        <v/>
      </c>
      <c r="D71" s="11" t="str">
        <f aca="false">IF($A71="","",INDEX(Employees!$C$6:$C$205,MATCH($A71,Employees!$BH$6:$BH$205,0)))</f>
        <v/>
      </c>
      <c r="E71" s="11" t="str">
        <f aca="false">IF($A71="","",INDEX(Employees!$D$6:$D$205,MATCH($A71,Employees!$BH$6:$BH$205,0)))</f>
        <v/>
      </c>
      <c r="F71" s="11" t="str">
        <f aca="false">IF($A71="","",INDEX(Employees!$T$6:$T$205,MATCH($A71,Employees!$BH$6:$BH$205,0)))</f>
        <v/>
      </c>
      <c r="G71" s="26" t="str">
        <f aca="false">IF($A71="","",INDEX(Employees!$U$6:$U$205,MATCH($A71,Employees!$BH$6:$BH$205,0)))</f>
        <v/>
      </c>
      <c r="H71" s="28" t="str">
        <f aca="false">IF($A71="","",INDEX(Employees!$E$6:$E$205,MATCH($A71,Employees!$BH$6:$BH$205,0)))</f>
        <v/>
      </c>
      <c r="I71" s="11" t="str">
        <f aca="false">IF($A71="","",INDEX(Employees!$Z$6:$Z$205,MATCH($A71,Employees!$BH$6:$BH$205,0)))</f>
        <v/>
      </c>
      <c r="J71" s="26" t="str">
        <f aca="false">IF($A71="","",INDEX(Employees!$AB$6:$AB$205,MATCH($A71,Employees!$BH$6:$BH$205,0)))</f>
        <v/>
      </c>
      <c r="K71" s="26" t="str">
        <f aca="false">IF($A71="","",INDEX(Employees!$AI$6:$AI$205,MATCH($A71,Employees!$BH$6:$BH$205,0)))</f>
        <v/>
      </c>
      <c r="L71" s="26" t="str">
        <f aca="false">IF($A71="","",INDEX(Employees!$AG$6:$AG$205,MATCH($A71,Employees!$BH$6:$BH$205,0)))</f>
        <v/>
      </c>
      <c r="M71" s="26" t="str">
        <f aca="false">IF($A71="","",INDEX(Employees!$AH$6:$AH$205,MATCH($A71,Employees!$BH$6:$BH$205,0)))</f>
        <v/>
      </c>
      <c r="N71" s="26" t="str">
        <f aca="false">IF($A71="","",INDEX(Employees!$AK$6:$AK$205,MATCH($A71,Employees!$BH$6:$BH$205,0)))</f>
        <v/>
      </c>
      <c r="O71" s="26" t="str">
        <f aca="false">IF($A71="","",INDEX(Employees!$AL$6:$AL$205,MATCH($A71,Employees!$BH$6:$BH$205,0)))</f>
        <v/>
      </c>
      <c r="P71" s="11" t="str">
        <f aca="false">IF($A71="","",INDEX(Employees!$AM$6:$AM$205,MATCH($A71,Employees!$BH$6:$BH$205,0)))</f>
        <v/>
      </c>
    </row>
    <row r="72" customFormat="false" ht="15" hidden="false" customHeight="false" outlineLevel="0" collapsed="false">
      <c r="A72" s="11" t="str">
        <f aca="false">IF(67&lt;=MAX(Employees!$BH$6:$BH$205),67,"")</f>
        <v/>
      </c>
      <c r="B72" s="11" t="str">
        <f aca="false">IF($A72="","",INDEX(Employees!$A$6:$A$205,MATCH($A72,Employees!$BH$6:$BH$205,0)))</f>
        <v/>
      </c>
      <c r="C72" s="11" t="str">
        <f aca="false">IF($A72="","",INDEX(Employees!$B$6:$B$205,MATCH($A72,Employees!$BH$6:$BH$205,0)))</f>
        <v/>
      </c>
      <c r="D72" s="11" t="str">
        <f aca="false">IF($A72="","",INDEX(Employees!$C$6:$C$205,MATCH($A72,Employees!$BH$6:$BH$205,0)))</f>
        <v/>
      </c>
      <c r="E72" s="11" t="str">
        <f aca="false">IF($A72="","",INDEX(Employees!$D$6:$D$205,MATCH($A72,Employees!$BH$6:$BH$205,0)))</f>
        <v/>
      </c>
      <c r="F72" s="11" t="str">
        <f aca="false">IF($A72="","",INDEX(Employees!$T$6:$T$205,MATCH($A72,Employees!$BH$6:$BH$205,0)))</f>
        <v/>
      </c>
      <c r="G72" s="26" t="str">
        <f aca="false">IF($A72="","",INDEX(Employees!$U$6:$U$205,MATCH($A72,Employees!$BH$6:$BH$205,0)))</f>
        <v/>
      </c>
      <c r="H72" s="28" t="str">
        <f aca="false">IF($A72="","",INDEX(Employees!$E$6:$E$205,MATCH($A72,Employees!$BH$6:$BH$205,0)))</f>
        <v/>
      </c>
      <c r="I72" s="11" t="str">
        <f aca="false">IF($A72="","",INDEX(Employees!$Z$6:$Z$205,MATCH($A72,Employees!$BH$6:$BH$205,0)))</f>
        <v/>
      </c>
      <c r="J72" s="26" t="str">
        <f aca="false">IF($A72="","",INDEX(Employees!$AB$6:$AB$205,MATCH($A72,Employees!$BH$6:$BH$205,0)))</f>
        <v/>
      </c>
      <c r="K72" s="26" t="str">
        <f aca="false">IF($A72="","",INDEX(Employees!$AI$6:$AI$205,MATCH($A72,Employees!$BH$6:$BH$205,0)))</f>
        <v/>
      </c>
      <c r="L72" s="26" t="str">
        <f aca="false">IF($A72="","",INDEX(Employees!$AG$6:$AG$205,MATCH($A72,Employees!$BH$6:$BH$205,0)))</f>
        <v/>
      </c>
      <c r="M72" s="26" t="str">
        <f aca="false">IF($A72="","",INDEX(Employees!$AH$6:$AH$205,MATCH($A72,Employees!$BH$6:$BH$205,0)))</f>
        <v/>
      </c>
      <c r="N72" s="26" t="str">
        <f aca="false">IF($A72="","",INDEX(Employees!$AK$6:$AK$205,MATCH($A72,Employees!$BH$6:$BH$205,0)))</f>
        <v/>
      </c>
      <c r="O72" s="26" t="str">
        <f aca="false">IF($A72="","",INDEX(Employees!$AL$6:$AL$205,MATCH($A72,Employees!$BH$6:$BH$205,0)))</f>
        <v/>
      </c>
      <c r="P72" s="11" t="str">
        <f aca="false">IF($A72="","",INDEX(Employees!$AM$6:$AM$205,MATCH($A72,Employees!$BH$6:$BH$205,0)))</f>
        <v/>
      </c>
    </row>
    <row r="73" customFormat="false" ht="15" hidden="false" customHeight="false" outlineLevel="0" collapsed="false">
      <c r="A73" s="11" t="str">
        <f aca="false">IF(68&lt;=MAX(Employees!$BH$6:$BH$205),68,"")</f>
        <v/>
      </c>
      <c r="B73" s="11" t="str">
        <f aca="false">IF($A73="","",INDEX(Employees!$A$6:$A$205,MATCH($A73,Employees!$BH$6:$BH$205,0)))</f>
        <v/>
      </c>
      <c r="C73" s="11" t="str">
        <f aca="false">IF($A73="","",INDEX(Employees!$B$6:$B$205,MATCH($A73,Employees!$BH$6:$BH$205,0)))</f>
        <v/>
      </c>
      <c r="D73" s="11" t="str">
        <f aca="false">IF($A73="","",INDEX(Employees!$C$6:$C$205,MATCH($A73,Employees!$BH$6:$BH$205,0)))</f>
        <v/>
      </c>
      <c r="E73" s="11" t="str">
        <f aca="false">IF($A73="","",INDEX(Employees!$D$6:$D$205,MATCH($A73,Employees!$BH$6:$BH$205,0)))</f>
        <v/>
      </c>
      <c r="F73" s="11" t="str">
        <f aca="false">IF($A73="","",INDEX(Employees!$T$6:$T$205,MATCH($A73,Employees!$BH$6:$BH$205,0)))</f>
        <v/>
      </c>
      <c r="G73" s="26" t="str">
        <f aca="false">IF($A73="","",INDEX(Employees!$U$6:$U$205,MATCH($A73,Employees!$BH$6:$BH$205,0)))</f>
        <v/>
      </c>
      <c r="H73" s="28" t="str">
        <f aca="false">IF($A73="","",INDEX(Employees!$E$6:$E$205,MATCH($A73,Employees!$BH$6:$BH$205,0)))</f>
        <v/>
      </c>
      <c r="I73" s="11" t="str">
        <f aca="false">IF($A73="","",INDEX(Employees!$Z$6:$Z$205,MATCH($A73,Employees!$BH$6:$BH$205,0)))</f>
        <v/>
      </c>
      <c r="J73" s="26" t="str">
        <f aca="false">IF($A73="","",INDEX(Employees!$AB$6:$AB$205,MATCH($A73,Employees!$BH$6:$BH$205,0)))</f>
        <v/>
      </c>
      <c r="K73" s="26" t="str">
        <f aca="false">IF($A73="","",INDEX(Employees!$AI$6:$AI$205,MATCH($A73,Employees!$BH$6:$BH$205,0)))</f>
        <v/>
      </c>
      <c r="L73" s="26" t="str">
        <f aca="false">IF($A73="","",INDEX(Employees!$AG$6:$AG$205,MATCH($A73,Employees!$BH$6:$BH$205,0)))</f>
        <v/>
      </c>
      <c r="M73" s="26" t="str">
        <f aca="false">IF($A73="","",INDEX(Employees!$AH$6:$AH$205,MATCH($A73,Employees!$BH$6:$BH$205,0)))</f>
        <v/>
      </c>
      <c r="N73" s="26" t="str">
        <f aca="false">IF($A73="","",INDEX(Employees!$AK$6:$AK$205,MATCH($A73,Employees!$BH$6:$BH$205,0)))</f>
        <v/>
      </c>
      <c r="O73" s="26" t="str">
        <f aca="false">IF($A73="","",INDEX(Employees!$AL$6:$AL$205,MATCH($A73,Employees!$BH$6:$BH$205,0)))</f>
        <v/>
      </c>
      <c r="P73" s="11" t="str">
        <f aca="false">IF($A73="","",INDEX(Employees!$AM$6:$AM$205,MATCH($A73,Employees!$BH$6:$BH$205,0)))</f>
        <v/>
      </c>
    </row>
    <row r="74" customFormat="false" ht="15" hidden="false" customHeight="false" outlineLevel="0" collapsed="false">
      <c r="A74" s="11" t="str">
        <f aca="false">IF(69&lt;=MAX(Employees!$BH$6:$BH$205),69,"")</f>
        <v/>
      </c>
      <c r="B74" s="11" t="str">
        <f aca="false">IF($A74="","",INDEX(Employees!$A$6:$A$205,MATCH($A74,Employees!$BH$6:$BH$205,0)))</f>
        <v/>
      </c>
      <c r="C74" s="11" t="str">
        <f aca="false">IF($A74="","",INDEX(Employees!$B$6:$B$205,MATCH($A74,Employees!$BH$6:$BH$205,0)))</f>
        <v/>
      </c>
      <c r="D74" s="11" t="str">
        <f aca="false">IF($A74="","",INDEX(Employees!$C$6:$C$205,MATCH($A74,Employees!$BH$6:$BH$205,0)))</f>
        <v/>
      </c>
      <c r="E74" s="11" t="str">
        <f aca="false">IF($A74="","",INDEX(Employees!$D$6:$D$205,MATCH($A74,Employees!$BH$6:$BH$205,0)))</f>
        <v/>
      </c>
      <c r="F74" s="11" t="str">
        <f aca="false">IF($A74="","",INDEX(Employees!$T$6:$T$205,MATCH($A74,Employees!$BH$6:$BH$205,0)))</f>
        <v/>
      </c>
      <c r="G74" s="26" t="str">
        <f aca="false">IF($A74="","",INDEX(Employees!$U$6:$U$205,MATCH($A74,Employees!$BH$6:$BH$205,0)))</f>
        <v/>
      </c>
      <c r="H74" s="28" t="str">
        <f aca="false">IF($A74="","",INDEX(Employees!$E$6:$E$205,MATCH($A74,Employees!$BH$6:$BH$205,0)))</f>
        <v/>
      </c>
      <c r="I74" s="11" t="str">
        <f aca="false">IF($A74="","",INDEX(Employees!$Z$6:$Z$205,MATCH($A74,Employees!$BH$6:$BH$205,0)))</f>
        <v/>
      </c>
      <c r="J74" s="26" t="str">
        <f aca="false">IF($A74="","",INDEX(Employees!$AB$6:$AB$205,MATCH($A74,Employees!$BH$6:$BH$205,0)))</f>
        <v/>
      </c>
      <c r="K74" s="26" t="str">
        <f aca="false">IF($A74="","",INDEX(Employees!$AI$6:$AI$205,MATCH($A74,Employees!$BH$6:$BH$205,0)))</f>
        <v/>
      </c>
      <c r="L74" s="26" t="str">
        <f aca="false">IF($A74="","",INDEX(Employees!$AG$6:$AG$205,MATCH($A74,Employees!$BH$6:$BH$205,0)))</f>
        <v/>
      </c>
      <c r="M74" s="26" t="str">
        <f aca="false">IF($A74="","",INDEX(Employees!$AH$6:$AH$205,MATCH($A74,Employees!$BH$6:$BH$205,0)))</f>
        <v/>
      </c>
      <c r="N74" s="26" t="str">
        <f aca="false">IF($A74="","",INDEX(Employees!$AK$6:$AK$205,MATCH($A74,Employees!$BH$6:$BH$205,0)))</f>
        <v/>
      </c>
      <c r="O74" s="26" t="str">
        <f aca="false">IF($A74="","",INDEX(Employees!$AL$6:$AL$205,MATCH($A74,Employees!$BH$6:$BH$205,0)))</f>
        <v/>
      </c>
      <c r="P74" s="11" t="str">
        <f aca="false">IF($A74="","",INDEX(Employees!$AM$6:$AM$205,MATCH($A74,Employees!$BH$6:$BH$205,0)))</f>
        <v/>
      </c>
    </row>
    <row r="75" customFormat="false" ht="15" hidden="false" customHeight="false" outlineLevel="0" collapsed="false">
      <c r="A75" s="11" t="str">
        <f aca="false">IF(70&lt;=MAX(Employees!$BH$6:$BH$205),70,"")</f>
        <v/>
      </c>
      <c r="B75" s="11" t="str">
        <f aca="false">IF($A75="","",INDEX(Employees!$A$6:$A$205,MATCH($A75,Employees!$BH$6:$BH$205,0)))</f>
        <v/>
      </c>
      <c r="C75" s="11" t="str">
        <f aca="false">IF($A75="","",INDEX(Employees!$B$6:$B$205,MATCH($A75,Employees!$BH$6:$BH$205,0)))</f>
        <v/>
      </c>
      <c r="D75" s="11" t="str">
        <f aca="false">IF($A75="","",INDEX(Employees!$C$6:$C$205,MATCH($A75,Employees!$BH$6:$BH$205,0)))</f>
        <v/>
      </c>
      <c r="E75" s="11" t="str">
        <f aca="false">IF($A75="","",INDEX(Employees!$D$6:$D$205,MATCH($A75,Employees!$BH$6:$BH$205,0)))</f>
        <v/>
      </c>
      <c r="F75" s="11" t="str">
        <f aca="false">IF($A75="","",INDEX(Employees!$T$6:$T$205,MATCH($A75,Employees!$BH$6:$BH$205,0)))</f>
        <v/>
      </c>
      <c r="G75" s="26" t="str">
        <f aca="false">IF($A75="","",INDEX(Employees!$U$6:$U$205,MATCH($A75,Employees!$BH$6:$BH$205,0)))</f>
        <v/>
      </c>
      <c r="H75" s="28" t="str">
        <f aca="false">IF($A75="","",INDEX(Employees!$E$6:$E$205,MATCH($A75,Employees!$BH$6:$BH$205,0)))</f>
        <v/>
      </c>
      <c r="I75" s="11" t="str">
        <f aca="false">IF($A75="","",INDEX(Employees!$Z$6:$Z$205,MATCH($A75,Employees!$BH$6:$BH$205,0)))</f>
        <v/>
      </c>
      <c r="J75" s="26" t="str">
        <f aca="false">IF($A75="","",INDEX(Employees!$AB$6:$AB$205,MATCH($A75,Employees!$BH$6:$BH$205,0)))</f>
        <v/>
      </c>
      <c r="K75" s="26" t="str">
        <f aca="false">IF($A75="","",INDEX(Employees!$AI$6:$AI$205,MATCH($A75,Employees!$BH$6:$BH$205,0)))</f>
        <v/>
      </c>
      <c r="L75" s="26" t="str">
        <f aca="false">IF($A75="","",INDEX(Employees!$AG$6:$AG$205,MATCH($A75,Employees!$BH$6:$BH$205,0)))</f>
        <v/>
      </c>
      <c r="M75" s="26" t="str">
        <f aca="false">IF($A75="","",INDEX(Employees!$AH$6:$AH$205,MATCH($A75,Employees!$BH$6:$BH$205,0)))</f>
        <v/>
      </c>
      <c r="N75" s="26" t="str">
        <f aca="false">IF($A75="","",INDEX(Employees!$AK$6:$AK$205,MATCH($A75,Employees!$BH$6:$BH$205,0)))</f>
        <v/>
      </c>
      <c r="O75" s="26" t="str">
        <f aca="false">IF($A75="","",INDEX(Employees!$AL$6:$AL$205,MATCH($A75,Employees!$BH$6:$BH$205,0)))</f>
        <v/>
      </c>
      <c r="P75" s="11" t="str">
        <f aca="false">IF($A75="","",INDEX(Employees!$AM$6:$AM$205,MATCH($A75,Employees!$BH$6:$BH$205,0)))</f>
        <v/>
      </c>
    </row>
    <row r="76" customFormat="false" ht="15" hidden="false" customHeight="false" outlineLevel="0" collapsed="false">
      <c r="A76" s="11" t="str">
        <f aca="false">IF(71&lt;=MAX(Employees!$BH$6:$BH$205),71,"")</f>
        <v/>
      </c>
      <c r="B76" s="11" t="str">
        <f aca="false">IF($A76="","",INDEX(Employees!$A$6:$A$205,MATCH($A76,Employees!$BH$6:$BH$205,0)))</f>
        <v/>
      </c>
      <c r="C76" s="11" t="str">
        <f aca="false">IF($A76="","",INDEX(Employees!$B$6:$B$205,MATCH($A76,Employees!$BH$6:$BH$205,0)))</f>
        <v/>
      </c>
      <c r="D76" s="11" t="str">
        <f aca="false">IF($A76="","",INDEX(Employees!$C$6:$C$205,MATCH($A76,Employees!$BH$6:$BH$205,0)))</f>
        <v/>
      </c>
      <c r="E76" s="11" t="str">
        <f aca="false">IF($A76="","",INDEX(Employees!$D$6:$D$205,MATCH($A76,Employees!$BH$6:$BH$205,0)))</f>
        <v/>
      </c>
      <c r="F76" s="11" t="str">
        <f aca="false">IF($A76="","",INDEX(Employees!$T$6:$T$205,MATCH($A76,Employees!$BH$6:$BH$205,0)))</f>
        <v/>
      </c>
      <c r="G76" s="26" t="str">
        <f aca="false">IF($A76="","",INDEX(Employees!$U$6:$U$205,MATCH($A76,Employees!$BH$6:$BH$205,0)))</f>
        <v/>
      </c>
      <c r="H76" s="28" t="str">
        <f aca="false">IF($A76="","",INDEX(Employees!$E$6:$E$205,MATCH($A76,Employees!$BH$6:$BH$205,0)))</f>
        <v/>
      </c>
      <c r="I76" s="11" t="str">
        <f aca="false">IF($A76="","",INDEX(Employees!$Z$6:$Z$205,MATCH($A76,Employees!$BH$6:$BH$205,0)))</f>
        <v/>
      </c>
      <c r="J76" s="26" t="str">
        <f aca="false">IF($A76="","",INDEX(Employees!$AB$6:$AB$205,MATCH($A76,Employees!$BH$6:$BH$205,0)))</f>
        <v/>
      </c>
      <c r="K76" s="26" t="str">
        <f aca="false">IF($A76="","",INDEX(Employees!$AI$6:$AI$205,MATCH($A76,Employees!$BH$6:$BH$205,0)))</f>
        <v/>
      </c>
      <c r="L76" s="26" t="str">
        <f aca="false">IF($A76="","",INDEX(Employees!$AG$6:$AG$205,MATCH($A76,Employees!$BH$6:$BH$205,0)))</f>
        <v/>
      </c>
      <c r="M76" s="26" t="str">
        <f aca="false">IF($A76="","",INDEX(Employees!$AH$6:$AH$205,MATCH($A76,Employees!$BH$6:$BH$205,0)))</f>
        <v/>
      </c>
      <c r="N76" s="26" t="str">
        <f aca="false">IF($A76="","",INDEX(Employees!$AK$6:$AK$205,MATCH($A76,Employees!$BH$6:$BH$205,0)))</f>
        <v/>
      </c>
      <c r="O76" s="26" t="str">
        <f aca="false">IF($A76="","",INDEX(Employees!$AL$6:$AL$205,MATCH($A76,Employees!$BH$6:$BH$205,0)))</f>
        <v/>
      </c>
      <c r="P76" s="11" t="str">
        <f aca="false">IF($A76="","",INDEX(Employees!$AM$6:$AM$205,MATCH($A76,Employees!$BH$6:$BH$205,0)))</f>
        <v/>
      </c>
    </row>
    <row r="77" customFormat="false" ht="15" hidden="false" customHeight="false" outlineLevel="0" collapsed="false">
      <c r="A77" s="11" t="str">
        <f aca="false">IF(72&lt;=MAX(Employees!$BH$6:$BH$205),72,"")</f>
        <v/>
      </c>
      <c r="B77" s="11" t="str">
        <f aca="false">IF($A77="","",INDEX(Employees!$A$6:$A$205,MATCH($A77,Employees!$BH$6:$BH$205,0)))</f>
        <v/>
      </c>
      <c r="C77" s="11" t="str">
        <f aca="false">IF($A77="","",INDEX(Employees!$B$6:$B$205,MATCH($A77,Employees!$BH$6:$BH$205,0)))</f>
        <v/>
      </c>
      <c r="D77" s="11" t="str">
        <f aca="false">IF($A77="","",INDEX(Employees!$C$6:$C$205,MATCH($A77,Employees!$BH$6:$BH$205,0)))</f>
        <v/>
      </c>
      <c r="E77" s="11" t="str">
        <f aca="false">IF($A77="","",INDEX(Employees!$D$6:$D$205,MATCH($A77,Employees!$BH$6:$BH$205,0)))</f>
        <v/>
      </c>
      <c r="F77" s="11" t="str">
        <f aca="false">IF($A77="","",INDEX(Employees!$T$6:$T$205,MATCH($A77,Employees!$BH$6:$BH$205,0)))</f>
        <v/>
      </c>
      <c r="G77" s="26" t="str">
        <f aca="false">IF($A77="","",INDEX(Employees!$U$6:$U$205,MATCH($A77,Employees!$BH$6:$BH$205,0)))</f>
        <v/>
      </c>
      <c r="H77" s="28" t="str">
        <f aca="false">IF($A77="","",INDEX(Employees!$E$6:$E$205,MATCH($A77,Employees!$BH$6:$BH$205,0)))</f>
        <v/>
      </c>
      <c r="I77" s="11" t="str">
        <f aca="false">IF($A77="","",INDEX(Employees!$Z$6:$Z$205,MATCH($A77,Employees!$BH$6:$BH$205,0)))</f>
        <v/>
      </c>
      <c r="J77" s="26" t="str">
        <f aca="false">IF($A77="","",INDEX(Employees!$AB$6:$AB$205,MATCH($A77,Employees!$BH$6:$BH$205,0)))</f>
        <v/>
      </c>
      <c r="K77" s="26" t="str">
        <f aca="false">IF($A77="","",INDEX(Employees!$AI$6:$AI$205,MATCH($A77,Employees!$BH$6:$BH$205,0)))</f>
        <v/>
      </c>
      <c r="L77" s="26" t="str">
        <f aca="false">IF($A77="","",INDEX(Employees!$AG$6:$AG$205,MATCH($A77,Employees!$BH$6:$BH$205,0)))</f>
        <v/>
      </c>
      <c r="M77" s="26" t="str">
        <f aca="false">IF($A77="","",INDEX(Employees!$AH$6:$AH$205,MATCH($A77,Employees!$BH$6:$BH$205,0)))</f>
        <v/>
      </c>
      <c r="N77" s="26" t="str">
        <f aca="false">IF($A77="","",INDEX(Employees!$AK$6:$AK$205,MATCH($A77,Employees!$BH$6:$BH$205,0)))</f>
        <v/>
      </c>
      <c r="O77" s="26" t="str">
        <f aca="false">IF($A77="","",INDEX(Employees!$AL$6:$AL$205,MATCH($A77,Employees!$BH$6:$BH$205,0)))</f>
        <v/>
      </c>
      <c r="P77" s="11" t="str">
        <f aca="false">IF($A77="","",INDEX(Employees!$AM$6:$AM$205,MATCH($A77,Employees!$BH$6:$BH$205,0)))</f>
        <v/>
      </c>
    </row>
    <row r="78" customFormat="false" ht="15" hidden="false" customHeight="false" outlineLevel="0" collapsed="false">
      <c r="A78" s="11" t="str">
        <f aca="false">IF(73&lt;=MAX(Employees!$BH$6:$BH$205),73,"")</f>
        <v/>
      </c>
      <c r="B78" s="11" t="str">
        <f aca="false">IF($A78="","",INDEX(Employees!$A$6:$A$205,MATCH($A78,Employees!$BH$6:$BH$205,0)))</f>
        <v/>
      </c>
      <c r="C78" s="11" t="str">
        <f aca="false">IF($A78="","",INDEX(Employees!$B$6:$B$205,MATCH($A78,Employees!$BH$6:$BH$205,0)))</f>
        <v/>
      </c>
      <c r="D78" s="11" t="str">
        <f aca="false">IF($A78="","",INDEX(Employees!$C$6:$C$205,MATCH($A78,Employees!$BH$6:$BH$205,0)))</f>
        <v/>
      </c>
      <c r="E78" s="11" t="str">
        <f aca="false">IF($A78="","",INDEX(Employees!$D$6:$D$205,MATCH($A78,Employees!$BH$6:$BH$205,0)))</f>
        <v/>
      </c>
      <c r="F78" s="11" t="str">
        <f aca="false">IF($A78="","",INDEX(Employees!$T$6:$T$205,MATCH($A78,Employees!$BH$6:$BH$205,0)))</f>
        <v/>
      </c>
      <c r="G78" s="26" t="str">
        <f aca="false">IF($A78="","",INDEX(Employees!$U$6:$U$205,MATCH($A78,Employees!$BH$6:$BH$205,0)))</f>
        <v/>
      </c>
      <c r="H78" s="28" t="str">
        <f aca="false">IF($A78="","",INDEX(Employees!$E$6:$E$205,MATCH($A78,Employees!$BH$6:$BH$205,0)))</f>
        <v/>
      </c>
      <c r="I78" s="11" t="str">
        <f aca="false">IF($A78="","",INDEX(Employees!$Z$6:$Z$205,MATCH($A78,Employees!$BH$6:$BH$205,0)))</f>
        <v/>
      </c>
      <c r="J78" s="26" t="str">
        <f aca="false">IF($A78="","",INDEX(Employees!$AB$6:$AB$205,MATCH($A78,Employees!$BH$6:$BH$205,0)))</f>
        <v/>
      </c>
      <c r="K78" s="26" t="str">
        <f aca="false">IF($A78="","",INDEX(Employees!$AI$6:$AI$205,MATCH($A78,Employees!$BH$6:$BH$205,0)))</f>
        <v/>
      </c>
      <c r="L78" s="26" t="str">
        <f aca="false">IF($A78="","",INDEX(Employees!$AG$6:$AG$205,MATCH($A78,Employees!$BH$6:$BH$205,0)))</f>
        <v/>
      </c>
      <c r="M78" s="26" t="str">
        <f aca="false">IF($A78="","",INDEX(Employees!$AH$6:$AH$205,MATCH($A78,Employees!$BH$6:$BH$205,0)))</f>
        <v/>
      </c>
      <c r="N78" s="26" t="str">
        <f aca="false">IF($A78="","",INDEX(Employees!$AK$6:$AK$205,MATCH($A78,Employees!$BH$6:$BH$205,0)))</f>
        <v/>
      </c>
      <c r="O78" s="26" t="str">
        <f aca="false">IF($A78="","",INDEX(Employees!$AL$6:$AL$205,MATCH($A78,Employees!$BH$6:$BH$205,0)))</f>
        <v/>
      </c>
      <c r="P78" s="11" t="str">
        <f aca="false">IF($A78="","",INDEX(Employees!$AM$6:$AM$205,MATCH($A78,Employees!$BH$6:$BH$205,0)))</f>
        <v/>
      </c>
    </row>
    <row r="79" customFormat="false" ht="15" hidden="false" customHeight="false" outlineLevel="0" collapsed="false">
      <c r="A79" s="11" t="str">
        <f aca="false">IF(74&lt;=MAX(Employees!$BH$6:$BH$205),74,"")</f>
        <v/>
      </c>
      <c r="B79" s="11" t="str">
        <f aca="false">IF($A79="","",INDEX(Employees!$A$6:$A$205,MATCH($A79,Employees!$BH$6:$BH$205,0)))</f>
        <v/>
      </c>
      <c r="C79" s="11" t="str">
        <f aca="false">IF($A79="","",INDEX(Employees!$B$6:$B$205,MATCH($A79,Employees!$BH$6:$BH$205,0)))</f>
        <v/>
      </c>
      <c r="D79" s="11" t="str">
        <f aca="false">IF($A79="","",INDEX(Employees!$C$6:$C$205,MATCH($A79,Employees!$BH$6:$BH$205,0)))</f>
        <v/>
      </c>
      <c r="E79" s="11" t="str">
        <f aca="false">IF($A79="","",INDEX(Employees!$D$6:$D$205,MATCH($A79,Employees!$BH$6:$BH$205,0)))</f>
        <v/>
      </c>
      <c r="F79" s="11" t="str">
        <f aca="false">IF($A79="","",INDEX(Employees!$T$6:$T$205,MATCH($A79,Employees!$BH$6:$BH$205,0)))</f>
        <v/>
      </c>
      <c r="G79" s="26" t="str">
        <f aca="false">IF($A79="","",INDEX(Employees!$U$6:$U$205,MATCH($A79,Employees!$BH$6:$BH$205,0)))</f>
        <v/>
      </c>
      <c r="H79" s="28" t="str">
        <f aca="false">IF($A79="","",INDEX(Employees!$E$6:$E$205,MATCH($A79,Employees!$BH$6:$BH$205,0)))</f>
        <v/>
      </c>
      <c r="I79" s="11" t="str">
        <f aca="false">IF($A79="","",INDEX(Employees!$Z$6:$Z$205,MATCH($A79,Employees!$BH$6:$BH$205,0)))</f>
        <v/>
      </c>
      <c r="J79" s="26" t="str">
        <f aca="false">IF($A79="","",INDEX(Employees!$AB$6:$AB$205,MATCH($A79,Employees!$BH$6:$BH$205,0)))</f>
        <v/>
      </c>
      <c r="K79" s="26" t="str">
        <f aca="false">IF($A79="","",INDEX(Employees!$AI$6:$AI$205,MATCH($A79,Employees!$BH$6:$BH$205,0)))</f>
        <v/>
      </c>
      <c r="L79" s="26" t="str">
        <f aca="false">IF($A79="","",INDEX(Employees!$AG$6:$AG$205,MATCH($A79,Employees!$BH$6:$BH$205,0)))</f>
        <v/>
      </c>
      <c r="M79" s="26" t="str">
        <f aca="false">IF($A79="","",INDEX(Employees!$AH$6:$AH$205,MATCH($A79,Employees!$BH$6:$BH$205,0)))</f>
        <v/>
      </c>
      <c r="N79" s="26" t="str">
        <f aca="false">IF($A79="","",INDEX(Employees!$AK$6:$AK$205,MATCH($A79,Employees!$BH$6:$BH$205,0)))</f>
        <v/>
      </c>
      <c r="O79" s="26" t="str">
        <f aca="false">IF($A79="","",INDEX(Employees!$AL$6:$AL$205,MATCH($A79,Employees!$BH$6:$BH$205,0)))</f>
        <v/>
      </c>
      <c r="P79" s="11" t="str">
        <f aca="false">IF($A79="","",INDEX(Employees!$AM$6:$AM$205,MATCH($A79,Employees!$BH$6:$BH$205,0)))</f>
        <v/>
      </c>
    </row>
    <row r="80" customFormat="false" ht="15" hidden="false" customHeight="false" outlineLevel="0" collapsed="false">
      <c r="A80" s="11" t="str">
        <f aca="false">IF(75&lt;=MAX(Employees!$BH$6:$BH$205),75,"")</f>
        <v/>
      </c>
      <c r="B80" s="11" t="str">
        <f aca="false">IF($A80="","",INDEX(Employees!$A$6:$A$205,MATCH($A80,Employees!$BH$6:$BH$205,0)))</f>
        <v/>
      </c>
      <c r="C80" s="11" t="str">
        <f aca="false">IF($A80="","",INDEX(Employees!$B$6:$B$205,MATCH($A80,Employees!$BH$6:$BH$205,0)))</f>
        <v/>
      </c>
      <c r="D80" s="11" t="str">
        <f aca="false">IF($A80="","",INDEX(Employees!$C$6:$C$205,MATCH($A80,Employees!$BH$6:$BH$205,0)))</f>
        <v/>
      </c>
      <c r="E80" s="11" t="str">
        <f aca="false">IF($A80="","",INDEX(Employees!$D$6:$D$205,MATCH($A80,Employees!$BH$6:$BH$205,0)))</f>
        <v/>
      </c>
      <c r="F80" s="11" t="str">
        <f aca="false">IF($A80="","",INDEX(Employees!$T$6:$T$205,MATCH($A80,Employees!$BH$6:$BH$205,0)))</f>
        <v/>
      </c>
      <c r="G80" s="26" t="str">
        <f aca="false">IF($A80="","",INDEX(Employees!$U$6:$U$205,MATCH($A80,Employees!$BH$6:$BH$205,0)))</f>
        <v/>
      </c>
      <c r="H80" s="28" t="str">
        <f aca="false">IF($A80="","",INDEX(Employees!$E$6:$E$205,MATCH($A80,Employees!$BH$6:$BH$205,0)))</f>
        <v/>
      </c>
      <c r="I80" s="11" t="str">
        <f aca="false">IF($A80="","",INDEX(Employees!$Z$6:$Z$205,MATCH($A80,Employees!$BH$6:$BH$205,0)))</f>
        <v/>
      </c>
      <c r="J80" s="26" t="str">
        <f aca="false">IF($A80="","",INDEX(Employees!$AB$6:$AB$205,MATCH($A80,Employees!$BH$6:$BH$205,0)))</f>
        <v/>
      </c>
      <c r="K80" s="26" t="str">
        <f aca="false">IF($A80="","",INDEX(Employees!$AI$6:$AI$205,MATCH($A80,Employees!$BH$6:$BH$205,0)))</f>
        <v/>
      </c>
      <c r="L80" s="26" t="str">
        <f aca="false">IF($A80="","",INDEX(Employees!$AG$6:$AG$205,MATCH($A80,Employees!$BH$6:$BH$205,0)))</f>
        <v/>
      </c>
      <c r="M80" s="26" t="str">
        <f aca="false">IF($A80="","",INDEX(Employees!$AH$6:$AH$205,MATCH($A80,Employees!$BH$6:$BH$205,0)))</f>
        <v/>
      </c>
      <c r="N80" s="26" t="str">
        <f aca="false">IF($A80="","",INDEX(Employees!$AK$6:$AK$205,MATCH($A80,Employees!$BH$6:$BH$205,0)))</f>
        <v/>
      </c>
      <c r="O80" s="26" t="str">
        <f aca="false">IF($A80="","",INDEX(Employees!$AL$6:$AL$205,MATCH($A80,Employees!$BH$6:$BH$205,0)))</f>
        <v/>
      </c>
      <c r="P80" s="11" t="str">
        <f aca="false">IF($A80="","",INDEX(Employees!$AM$6:$AM$205,MATCH($A80,Employees!$BH$6:$BH$205,0)))</f>
        <v/>
      </c>
    </row>
    <row r="81" customFormat="false" ht="15" hidden="false" customHeight="false" outlineLevel="0" collapsed="false">
      <c r="A81" s="11" t="str">
        <f aca="false">IF(76&lt;=MAX(Employees!$BH$6:$BH$205),76,"")</f>
        <v/>
      </c>
      <c r="B81" s="11" t="str">
        <f aca="false">IF($A81="","",INDEX(Employees!$A$6:$A$205,MATCH($A81,Employees!$BH$6:$BH$205,0)))</f>
        <v/>
      </c>
      <c r="C81" s="11" t="str">
        <f aca="false">IF($A81="","",INDEX(Employees!$B$6:$B$205,MATCH($A81,Employees!$BH$6:$BH$205,0)))</f>
        <v/>
      </c>
      <c r="D81" s="11" t="str">
        <f aca="false">IF($A81="","",INDEX(Employees!$C$6:$C$205,MATCH($A81,Employees!$BH$6:$BH$205,0)))</f>
        <v/>
      </c>
      <c r="E81" s="11" t="str">
        <f aca="false">IF($A81="","",INDEX(Employees!$D$6:$D$205,MATCH($A81,Employees!$BH$6:$BH$205,0)))</f>
        <v/>
      </c>
      <c r="F81" s="11" t="str">
        <f aca="false">IF($A81="","",INDEX(Employees!$T$6:$T$205,MATCH($A81,Employees!$BH$6:$BH$205,0)))</f>
        <v/>
      </c>
      <c r="G81" s="26" t="str">
        <f aca="false">IF($A81="","",INDEX(Employees!$U$6:$U$205,MATCH($A81,Employees!$BH$6:$BH$205,0)))</f>
        <v/>
      </c>
      <c r="H81" s="28" t="str">
        <f aca="false">IF($A81="","",INDEX(Employees!$E$6:$E$205,MATCH($A81,Employees!$BH$6:$BH$205,0)))</f>
        <v/>
      </c>
      <c r="I81" s="11" t="str">
        <f aca="false">IF($A81="","",INDEX(Employees!$Z$6:$Z$205,MATCH($A81,Employees!$BH$6:$BH$205,0)))</f>
        <v/>
      </c>
      <c r="J81" s="26" t="str">
        <f aca="false">IF($A81="","",INDEX(Employees!$AB$6:$AB$205,MATCH($A81,Employees!$BH$6:$BH$205,0)))</f>
        <v/>
      </c>
      <c r="K81" s="26" t="str">
        <f aca="false">IF($A81="","",INDEX(Employees!$AI$6:$AI$205,MATCH($A81,Employees!$BH$6:$BH$205,0)))</f>
        <v/>
      </c>
      <c r="L81" s="26" t="str">
        <f aca="false">IF($A81="","",INDEX(Employees!$AG$6:$AG$205,MATCH($A81,Employees!$BH$6:$BH$205,0)))</f>
        <v/>
      </c>
      <c r="M81" s="26" t="str">
        <f aca="false">IF($A81="","",INDEX(Employees!$AH$6:$AH$205,MATCH($A81,Employees!$BH$6:$BH$205,0)))</f>
        <v/>
      </c>
      <c r="N81" s="26" t="str">
        <f aca="false">IF($A81="","",INDEX(Employees!$AK$6:$AK$205,MATCH($A81,Employees!$BH$6:$BH$205,0)))</f>
        <v/>
      </c>
      <c r="O81" s="26" t="str">
        <f aca="false">IF($A81="","",INDEX(Employees!$AL$6:$AL$205,MATCH($A81,Employees!$BH$6:$BH$205,0)))</f>
        <v/>
      </c>
      <c r="P81" s="11" t="str">
        <f aca="false">IF($A81="","",INDEX(Employees!$AM$6:$AM$205,MATCH($A81,Employees!$BH$6:$BH$205,0)))</f>
        <v/>
      </c>
    </row>
    <row r="82" customFormat="false" ht="15" hidden="false" customHeight="false" outlineLevel="0" collapsed="false">
      <c r="A82" s="11" t="str">
        <f aca="false">IF(77&lt;=MAX(Employees!$BH$6:$BH$205),77,"")</f>
        <v/>
      </c>
      <c r="B82" s="11" t="str">
        <f aca="false">IF($A82="","",INDEX(Employees!$A$6:$A$205,MATCH($A82,Employees!$BH$6:$BH$205,0)))</f>
        <v/>
      </c>
      <c r="C82" s="11" t="str">
        <f aca="false">IF($A82="","",INDEX(Employees!$B$6:$B$205,MATCH($A82,Employees!$BH$6:$BH$205,0)))</f>
        <v/>
      </c>
      <c r="D82" s="11" t="str">
        <f aca="false">IF($A82="","",INDEX(Employees!$C$6:$C$205,MATCH($A82,Employees!$BH$6:$BH$205,0)))</f>
        <v/>
      </c>
      <c r="E82" s="11" t="str">
        <f aca="false">IF($A82="","",INDEX(Employees!$D$6:$D$205,MATCH($A82,Employees!$BH$6:$BH$205,0)))</f>
        <v/>
      </c>
      <c r="F82" s="11" t="str">
        <f aca="false">IF($A82="","",INDEX(Employees!$T$6:$T$205,MATCH($A82,Employees!$BH$6:$BH$205,0)))</f>
        <v/>
      </c>
      <c r="G82" s="26" t="str">
        <f aca="false">IF($A82="","",INDEX(Employees!$U$6:$U$205,MATCH($A82,Employees!$BH$6:$BH$205,0)))</f>
        <v/>
      </c>
      <c r="H82" s="28" t="str">
        <f aca="false">IF($A82="","",INDEX(Employees!$E$6:$E$205,MATCH($A82,Employees!$BH$6:$BH$205,0)))</f>
        <v/>
      </c>
      <c r="I82" s="11" t="str">
        <f aca="false">IF($A82="","",INDEX(Employees!$Z$6:$Z$205,MATCH($A82,Employees!$BH$6:$BH$205,0)))</f>
        <v/>
      </c>
      <c r="J82" s="26" t="str">
        <f aca="false">IF($A82="","",INDEX(Employees!$AB$6:$AB$205,MATCH($A82,Employees!$BH$6:$BH$205,0)))</f>
        <v/>
      </c>
      <c r="K82" s="26" t="str">
        <f aca="false">IF($A82="","",INDEX(Employees!$AI$6:$AI$205,MATCH($A82,Employees!$BH$6:$BH$205,0)))</f>
        <v/>
      </c>
      <c r="L82" s="26" t="str">
        <f aca="false">IF($A82="","",INDEX(Employees!$AG$6:$AG$205,MATCH($A82,Employees!$BH$6:$BH$205,0)))</f>
        <v/>
      </c>
      <c r="M82" s="26" t="str">
        <f aca="false">IF($A82="","",INDEX(Employees!$AH$6:$AH$205,MATCH($A82,Employees!$BH$6:$BH$205,0)))</f>
        <v/>
      </c>
      <c r="N82" s="26" t="str">
        <f aca="false">IF($A82="","",INDEX(Employees!$AK$6:$AK$205,MATCH($A82,Employees!$BH$6:$BH$205,0)))</f>
        <v/>
      </c>
      <c r="O82" s="26" t="str">
        <f aca="false">IF($A82="","",INDEX(Employees!$AL$6:$AL$205,MATCH($A82,Employees!$BH$6:$BH$205,0)))</f>
        <v/>
      </c>
      <c r="P82" s="11" t="str">
        <f aca="false">IF($A82="","",INDEX(Employees!$AM$6:$AM$205,MATCH($A82,Employees!$BH$6:$BH$205,0)))</f>
        <v/>
      </c>
    </row>
    <row r="83" customFormat="false" ht="15" hidden="false" customHeight="false" outlineLevel="0" collapsed="false">
      <c r="A83" s="11" t="str">
        <f aca="false">IF(78&lt;=MAX(Employees!$BH$6:$BH$205),78,"")</f>
        <v/>
      </c>
      <c r="B83" s="11" t="str">
        <f aca="false">IF($A83="","",INDEX(Employees!$A$6:$A$205,MATCH($A83,Employees!$BH$6:$BH$205,0)))</f>
        <v/>
      </c>
      <c r="C83" s="11" t="str">
        <f aca="false">IF($A83="","",INDEX(Employees!$B$6:$B$205,MATCH($A83,Employees!$BH$6:$BH$205,0)))</f>
        <v/>
      </c>
      <c r="D83" s="11" t="str">
        <f aca="false">IF($A83="","",INDEX(Employees!$C$6:$C$205,MATCH($A83,Employees!$BH$6:$BH$205,0)))</f>
        <v/>
      </c>
      <c r="E83" s="11" t="str">
        <f aca="false">IF($A83="","",INDEX(Employees!$D$6:$D$205,MATCH($A83,Employees!$BH$6:$BH$205,0)))</f>
        <v/>
      </c>
      <c r="F83" s="11" t="str">
        <f aca="false">IF($A83="","",INDEX(Employees!$T$6:$T$205,MATCH($A83,Employees!$BH$6:$BH$205,0)))</f>
        <v/>
      </c>
      <c r="G83" s="26" t="str">
        <f aca="false">IF($A83="","",INDEX(Employees!$U$6:$U$205,MATCH($A83,Employees!$BH$6:$BH$205,0)))</f>
        <v/>
      </c>
      <c r="H83" s="28" t="str">
        <f aca="false">IF($A83="","",INDEX(Employees!$E$6:$E$205,MATCH($A83,Employees!$BH$6:$BH$205,0)))</f>
        <v/>
      </c>
      <c r="I83" s="11" t="str">
        <f aca="false">IF($A83="","",INDEX(Employees!$Z$6:$Z$205,MATCH($A83,Employees!$BH$6:$BH$205,0)))</f>
        <v/>
      </c>
      <c r="J83" s="26" t="str">
        <f aca="false">IF($A83="","",INDEX(Employees!$AB$6:$AB$205,MATCH($A83,Employees!$BH$6:$BH$205,0)))</f>
        <v/>
      </c>
      <c r="K83" s="26" t="str">
        <f aca="false">IF($A83="","",INDEX(Employees!$AI$6:$AI$205,MATCH($A83,Employees!$BH$6:$BH$205,0)))</f>
        <v/>
      </c>
      <c r="L83" s="26" t="str">
        <f aca="false">IF($A83="","",INDEX(Employees!$AG$6:$AG$205,MATCH($A83,Employees!$BH$6:$BH$205,0)))</f>
        <v/>
      </c>
      <c r="M83" s="26" t="str">
        <f aca="false">IF($A83="","",INDEX(Employees!$AH$6:$AH$205,MATCH($A83,Employees!$BH$6:$BH$205,0)))</f>
        <v/>
      </c>
      <c r="N83" s="26" t="str">
        <f aca="false">IF($A83="","",INDEX(Employees!$AK$6:$AK$205,MATCH($A83,Employees!$BH$6:$BH$205,0)))</f>
        <v/>
      </c>
      <c r="O83" s="26" t="str">
        <f aca="false">IF($A83="","",INDEX(Employees!$AL$6:$AL$205,MATCH($A83,Employees!$BH$6:$BH$205,0)))</f>
        <v/>
      </c>
      <c r="P83" s="11" t="str">
        <f aca="false">IF($A83="","",INDEX(Employees!$AM$6:$AM$205,MATCH($A83,Employees!$BH$6:$BH$205,0)))</f>
        <v/>
      </c>
    </row>
    <row r="84" customFormat="false" ht="15" hidden="false" customHeight="false" outlineLevel="0" collapsed="false">
      <c r="A84" s="11" t="str">
        <f aca="false">IF(79&lt;=MAX(Employees!$BH$6:$BH$205),79,"")</f>
        <v/>
      </c>
      <c r="B84" s="11" t="str">
        <f aca="false">IF($A84="","",INDEX(Employees!$A$6:$A$205,MATCH($A84,Employees!$BH$6:$BH$205,0)))</f>
        <v/>
      </c>
      <c r="C84" s="11" t="str">
        <f aca="false">IF($A84="","",INDEX(Employees!$B$6:$B$205,MATCH($A84,Employees!$BH$6:$BH$205,0)))</f>
        <v/>
      </c>
      <c r="D84" s="11" t="str">
        <f aca="false">IF($A84="","",INDEX(Employees!$C$6:$C$205,MATCH($A84,Employees!$BH$6:$BH$205,0)))</f>
        <v/>
      </c>
      <c r="E84" s="11" t="str">
        <f aca="false">IF($A84="","",INDEX(Employees!$D$6:$D$205,MATCH($A84,Employees!$BH$6:$BH$205,0)))</f>
        <v/>
      </c>
      <c r="F84" s="11" t="str">
        <f aca="false">IF($A84="","",INDEX(Employees!$T$6:$T$205,MATCH($A84,Employees!$BH$6:$BH$205,0)))</f>
        <v/>
      </c>
      <c r="G84" s="26" t="str">
        <f aca="false">IF($A84="","",INDEX(Employees!$U$6:$U$205,MATCH($A84,Employees!$BH$6:$BH$205,0)))</f>
        <v/>
      </c>
      <c r="H84" s="28" t="str">
        <f aca="false">IF($A84="","",INDEX(Employees!$E$6:$E$205,MATCH($A84,Employees!$BH$6:$BH$205,0)))</f>
        <v/>
      </c>
      <c r="I84" s="11" t="str">
        <f aca="false">IF($A84="","",INDEX(Employees!$Z$6:$Z$205,MATCH($A84,Employees!$BH$6:$BH$205,0)))</f>
        <v/>
      </c>
      <c r="J84" s="26" t="str">
        <f aca="false">IF($A84="","",INDEX(Employees!$AB$6:$AB$205,MATCH($A84,Employees!$BH$6:$BH$205,0)))</f>
        <v/>
      </c>
      <c r="K84" s="26" t="str">
        <f aca="false">IF($A84="","",INDEX(Employees!$AI$6:$AI$205,MATCH($A84,Employees!$BH$6:$BH$205,0)))</f>
        <v/>
      </c>
      <c r="L84" s="26" t="str">
        <f aca="false">IF($A84="","",INDEX(Employees!$AG$6:$AG$205,MATCH($A84,Employees!$BH$6:$BH$205,0)))</f>
        <v/>
      </c>
      <c r="M84" s="26" t="str">
        <f aca="false">IF($A84="","",INDEX(Employees!$AH$6:$AH$205,MATCH($A84,Employees!$BH$6:$BH$205,0)))</f>
        <v/>
      </c>
      <c r="N84" s="26" t="str">
        <f aca="false">IF($A84="","",INDEX(Employees!$AK$6:$AK$205,MATCH($A84,Employees!$BH$6:$BH$205,0)))</f>
        <v/>
      </c>
      <c r="O84" s="26" t="str">
        <f aca="false">IF($A84="","",INDEX(Employees!$AL$6:$AL$205,MATCH($A84,Employees!$BH$6:$BH$205,0)))</f>
        <v/>
      </c>
      <c r="P84" s="11" t="str">
        <f aca="false">IF($A84="","",INDEX(Employees!$AM$6:$AM$205,MATCH($A84,Employees!$BH$6:$BH$205,0)))</f>
        <v/>
      </c>
    </row>
    <row r="85" customFormat="false" ht="15" hidden="false" customHeight="false" outlineLevel="0" collapsed="false">
      <c r="A85" s="11" t="str">
        <f aca="false">IF(80&lt;=MAX(Employees!$BH$6:$BH$205),80,"")</f>
        <v/>
      </c>
      <c r="B85" s="11" t="str">
        <f aca="false">IF($A85="","",INDEX(Employees!$A$6:$A$205,MATCH($A85,Employees!$BH$6:$BH$205,0)))</f>
        <v/>
      </c>
      <c r="C85" s="11" t="str">
        <f aca="false">IF($A85="","",INDEX(Employees!$B$6:$B$205,MATCH($A85,Employees!$BH$6:$BH$205,0)))</f>
        <v/>
      </c>
      <c r="D85" s="11" t="str">
        <f aca="false">IF($A85="","",INDEX(Employees!$C$6:$C$205,MATCH($A85,Employees!$BH$6:$BH$205,0)))</f>
        <v/>
      </c>
      <c r="E85" s="11" t="str">
        <f aca="false">IF($A85="","",INDEX(Employees!$D$6:$D$205,MATCH($A85,Employees!$BH$6:$BH$205,0)))</f>
        <v/>
      </c>
      <c r="F85" s="11" t="str">
        <f aca="false">IF($A85="","",INDEX(Employees!$T$6:$T$205,MATCH($A85,Employees!$BH$6:$BH$205,0)))</f>
        <v/>
      </c>
      <c r="G85" s="26" t="str">
        <f aca="false">IF($A85="","",INDEX(Employees!$U$6:$U$205,MATCH($A85,Employees!$BH$6:$BH$205,0)))</f>
        <v/>
      </c>
      <c r="H85" s="28" t="str">
        <f aca="false">IF($A85="","",INDEX(Employees!$E$6:$E$205,MATCH($A85,Employees!$BH$6:$BH$205,0)))</f>
        <v/>
      </c>
      <c r="I85" s="11" t="str">
        <f aca="false">IF($A85="","",INDEX(Employees!$Z$6:$Z$205,MATCH($A85,Employees!$BH$6:$BH$205,0)))</f>
        <v/>
      </c>
      <c r="J85" s="26" t="str">
        <f aca="false">IF($A85="","",INDEX(Employees!$AB$6:$AB$205,MATCH($A85,Employees!$BH$6:$BH$205,0)))</f>
        <v/>
      </c>
      <c r="K85" s="26" t="str">
        <f aca="false">IF($A85="","",INDEX(Employees!$AI$6:$AI$205,MATCH($A85,Employees!$BH$6:$BH$205,0)))</f>
        <v/>
      </c>
      <c r="L85" s="26" t="str">
        <f aca="false">IF($A85="","",INDEX(Employees!$AG$6:$AG$205,MATCH($A85,Employees!$BH$6:$BH$205,0)))</f>
        <v/>
      </c>
      <c r="M85" s="26" t="str">
        <f aca="false">IF($A85="","",INDEX(Employees!$AH$6:$AH$205,MATCH($A85,Employees!$BH$6:$BH$205,0)))</f>
        <v/>
      </c>
      <c r="N85" s="26" t="str">
        <f aca="false">IF($A85="","",INDEX(Employees!$AK$6:$AK$205,MATCH($A85,Employees!$BH$6:$BH$205,0)))</f>
        <v/>
      </c>
      <c r="O85" s="26" t="str">
        <f aca="false">IF($A85="","",INDEX(Employees!$AL$6:$AL$205,MATCH($A85,Employees!$BH$6:$BH$205,0)))</f>
        <v/>
      </c>
      <c r="P85" s="11" t="str">
        <f aca="false">IF($A85="","",INDEX(Employees!$AM$6:$AM$205,MATCH($A85,Employees!$BH$6:$BH$205,0)))</f>
        <v/>
      </c>
    </row>
    <row r="86" customFormat="false" ht="15" hidden="false" customHeight="false" outlineLevel="0" collapsed="false">
      <c r="A86" s="11" t="str">
        <f aca="false">IF(81&lt;=MAX(Employees!$BH$6:$BH$205),81,"")</f>
        <v/>
      </c>
      <c r="B86" s="11" t="str">
        <f aca="false">IF($A86="","",INDEX(Employees!$A$6:$A$205,MATCH($A86,Employees!$BH$6:$BH$205,0)))</f>
        <v/>
      </c>
      <c r="C86" s="11" t="str">
        <f aca="false">IF($A86="","",INDEX(Employees!$B$6:$B$205,MATCH($A86,Employees!$BH$6:$BH$205,0)))</f>
        <v/>
      </c>
      <c r="D86" s="11" t="str">
        <f aca="false">IF($A86="","",INDEX(Employees!$C$6:$C$205,MATCH($A86,Employees!$BH$6:$BH$205,0)))</f>
        <v/>
      </c>
      <c r="E86" s="11" t="str">
        <f aca="false">IF($A86="","",INDEX(Employees!$D$6:$D$205,MATCH($A86,Employees!$BH$6:$BH$205,0)))</f>
        <v/>
      </c>
      <c r="F86" s="11" t="str">
        <f aca="false">IF($A86="","",INDEX(Employees!$T$6:$T$205,MATCH($A86,Employees!$BH$6:$BH$205,0)))</f>
        <v/>
      </c>
      <c r="G86" s="26" t="str">
        <f aca="false">IF($A86="","",INDEX(Employees!$U$6:$U$205,MATCH($A86,Employees!$BH$6:$BH$205,0)))</f>
        <v/>
      </c>
      <c r="H86" s="28" t="str">
        <f aca="false">IF($A86="","",INDEX(Employees!$E$6:$E$205,MATCH($A86,Employees!$BH$6:$BH$205,0)))</f>
        <v/>
      </c>
      <c r="I86" s="11" t="str">
        <f aca="false">IF($A86="","",INDEX(Employees!$Z$6:$Z$205,MATCH($A86,Employees!$BH$6:$BH$205,0)))</f>
        <v/>
      </c>
      <c r="J86" s="26" t="str">
        <f aca="false">IF($A86="","",INDEX(Employees!$AB$6:$AB$205,MATCH($A86,Employees!$BH$6:$BH$205,0)))</f>
        <v/>
      </c>
      <c r="K86" s="26" t="str">
        <f aca="false">IF($A86="","",INDEX(Employees!$AI$6:$AI$205,MATCH($A86,Employees!$BH$6:$BH$205,0)))</f>
        <v/>
      </c>
      <c r="L86" s="26" t="str">
        <f aca="false">IF($A86="","",INDEX(Employees!$AG$6:$AG$205,MATCH($A86,Employees!$BH$6:$BH$205,0)))</f>
        <v/>
      </c>
      <c r="M86" s="26" t="str">
        <f aca="false">IF($A86="","",INDEX(Employees!$AH$6:$AH$205,MATCH($A86,Employees!$BH$6:$BH$205,0)))</f>
        <v/>
      </c>
      <c r="N86" s="26" t="str">
        <f aca="false">IF($A86="","",INDEX(Employees!$AK$6:$AK$205,MATCH($A86,Employees!$BH$6:$BH$205,0)))</f>
        <v/>
      </c>
      <c r="O86" s="26" t="str">
        <f aca="false">IF($A86="","",INDEX(Employees!$AL$6:$AL$205,MATCH($A86,Employees!$BH$6:$BH$205,0)))</f>
        <v/>
      </c>
      <c r="P86" s="11" t="str">
        <f aca="false">IF($A86="","",INDEX(Employees!$AM$6:$AM$205,MATCH($A86,Employees!$BH$6:$BH$205,0)))</f>
        <v/>
      </c>
    </row>
    <row r="87" customFormat="false" ht="15" hidden="false" customHeight="false" outlineLevel="0" collapsed="false">
      <c r="A87" s="11" t="str">
        <f aca="false">IF(82&lt;=MAX(Employees!$BH$6:$BH$205),82,"")</f>
        <v/>
      </c>
      <c r="B87" s="11" t="str">
        <f aca="false">IF($A87="","",INDEX(Employees!$A$6:$A$205,MATCH($A87,Employees!$BH$6:$BH$205,0)))</f>
        <v/>
      </c>
      <c r="C87" s="11" t="str">
        <f aca="false">IF($A87="","",INDEX(Employees!$B$6:$B$205,MATCH($A87,Employees!$BH$6:$BH$205,0)))</f>
        <v/>
      </c>
      <c r="D87" s="11" t="str">
        <f aca="false">IF($A87="","",INDEX(Employees!$C$6:$C$205,MATCH($A87,Employees!$BH$6:$BH$205,0)))</f>
        <v/>
      </c>
      <c r="E87" s="11" t="str">
        <f aca="false">IF($A87="","",INDEX(Employees!$D$6:$D$205,MATCH($A87,Employees!$BH$6:$BH$205,0)))</f>
        <v/>
      </c>
      <c r="F87" s="11" t="str">
        <f aca="false">IF($A87="","",INDEX(Employees!$T$6:$T$205,MATCH($A87,Employees!$BH$6:$BH$205,0)))</f>
        <v/>
      </c>
      <c r="G87" s="26" t="str">
        <f aca="false">IF($A87="","",INDEX(Employees!$U$6:$U$205,MATCH($A87,Employees!$BH$6:$BH$205,0)))</f>
        <v/>
      </c>
      <c r="H87" s="28" t="str">
        <f aca="false">IF($A87="","",INDEX(Employees!$E$6:$E$205,MATCH($A87,Employees!$BH$6:$BH$205,0)))</f>
        <v/>
      </c>
      <c r="I87" s="11" t="str">
        <f aca="false">IF($A87="","",INDEX(Employees!$Z$6:$Z$205,MATCH($A87,Employees!$BH$6:$BH$205,0)))</f>
        <v/>
      </c>
      <c r="J87" s="26" t="str">
        <f aca="false">IF($A87="","",INDEX(Employees!$AB$6:$AB$205,MATCH($A87,Employees!$BH$6:$BH$205,0)))</f>
        <v/>
      </c>
      <c r="K87" s="26" t="str">
        <f aca="false">IF($A87="","",INDEX(Employees!$AI$6:$AI$205,MATCH($A87,Employees!$BH$6:$BH$205,0)))</f>
        <v/>
      </c>
      <c r="L87" s="26" t="str">
        <f aca="false">IF($A87="","",INDEX(Employees!$AG$6:$AG$205,MATCH($A87,Employees!$BH$6:$BH$205,0)))</f>
        <v/>
      </c>
      <c r="M87" s="26" t="str">
        <f aca="false">IF($A87="","",INDEX(Employees!$AH$6:$AH$205,MATCH($A87,Employees!$BH$6:$BH$205,0)))</f>
        <v/>
      </c>
      <c r="N87" s="26" t="str">
        <f aca="false">IF($A87="","",INDEX(Employees!$AK$6:$AK$205,MATCH($A87,Employees!$BH$6:$BH$205,0)))</f>
        <v/>
      </c>
      <c r="O87" s="26" t="str">
        <f aca="false">IF($A87="","",INDEX(Employees!$AL$6:$AL$205,MATCH($A87,Employees!$BH$6:$BH$205,0)))</f>
        <v/>
      </c>
      <c r="P87" s="11" t="str">
        <f aca="false">IF($A87="","",INDEX(Employees!$AM$6:$AM$205,MATCH($A87,Employees!$BH$6:$BH$205,0)))</f>
        <v/>
      </c>
    </row>
    <row r="88" customFormat="false" ht="15" hidden="false" customHeight="false" outlineLevel="0" collapsed="false">
      <c r="A88" s="11" t="str">
        <f aca="false">IF(83&lt;=MAX(Employees!$BH$6:$BH$205),83,"")</f>
        <v/>
      </c>
      <c r="B88" s="11" t="str">
        <f aca="false">IF($A88="","",INDEX(Employees!$A$6:$A$205,MATCH($A88,Employees!$BH$6:$BH$205,0)))</f>
        <v/>
      </c>
      <c r="C88" s="11" t="str">
        <f aca="false">IF($A88="","",INDEX(Employees!$B$6:$B$205,MATCH($A88,Employees!$BH$6:$BH$205,0)))</f>
        <v/>
      </c>
      <c r="D88" s="11" t="str">
        <f aca="false">IF($A88="","",INDEX(Employees!$C$6:$C$205,MATCH($A88,Employees!$BH$6:$BH$205,0)))</f>
        <v/>
      </c>
      <c r="E88" s="11" t="str">
        <f aca="false">IF($A88="","",INDEX(Employees!$D$6:$D$205,MATCH($A88,Employees!$BH$6:$BH$205,0)))</f>
        <v/>
      </c>
      <c r="F88" s="11" t="str">
        <f aca="false">IF($A88="","",INDEX(Employees!$T$6:$T$205,MATCH($A88,Employees!$BH$6:$BH$205,0)))</f>
        <v/>
      </c>
      <c r="G88" s="26" t="str">
        <f aca="false">IF($A88="","",INDEX(Employees!$U$6:$U$205,MATCH($A88,Employees!$BH$6:$BH$205,0)))</f>
        <v/>
      </c>
      <c r="H88" s="28" t="str">
        <f aca="false">IF($A88="","",INDEX(Employees!$E$6:$E$205,MATCH($A88,Employees!$BH$6:$BH$205,0)))</f>
        <v/>
      </c>
      <c r="I88" s="11" t="str">
        <f aca="false">IF($A88="","",INDEX(Employees!$Z$6:$Z$205,MATCH($A88,Employees!$BH$6:$BH$205,0)))</f>
        <v/>
      </c>
      <c r="J88" s="26" t="str">
        <f aca="false">IF($A88="","",INDEX(Employees!$AB$6:$AB$205,MATCH($A88,Employees!$BH$6:$BH$205,0)))</f>
        <v/>
      </c>
      <c r="K88" s="26" t="str">
        <f aca="false">IF($A88="","",INDEX(Employees!$AI$6:$AI$205,MATCH($A88,Employees!$BH$6:$BH$205,0)))</f>
        <v/>
      </c>
      <c r="L88" s="26" t="str">
        <f aca="false">IF($A88="","",INDEX(Employees!$AG$6:$AG$205,MATCH($A88,Employees!$BH$6:$BH$205,0)))</f>
        <v/>
      </c>
      <c r="M88" s="26" t="str">
        <f aca="false">IF($A88="","",INDEX(Employees!$AH$6:$AH$205,MATCH($A88,Employees!$BH$6:$BH$205,0)))</f>
        <v/>
      </c>
      <c r="N88" s="26" t="str">
        <f aca="false">IF($A88="","",INDEX(Employees!$AK$6:$AK$205,MATCH($A88,Employees!$BH$6:$BH$205,0)))</f>
        <v/>
      </c>
      <c r="O88" s="26" t="str">
        <f aca="false">IF($A88="","",INDEX(Employees!$AL$6:$AL$205,MATCH($A88,Employees!$BH$6:$BH$205,0)))</f>
        <v/>
      </c>
      <c r="P88" s="11" t="str">
        <f aca="false">IF($A88="","",INDEX(Employees!$AM$6:$AM$205,MATCH($A88,Employees!$BH$6:$BH$205,0)))</f>
        <v/>
      </c>
    </row>
    <row r="89" customFormat="false" ht="15" hidden="false" customHeight="false" outlineLevel="0" collapsed="false">
      <c r="A89" s="11" t="str">
        <f aca="false">IF(84&lt;=MAX(Employees!$BH$6:$BH$205),84,"")</f>
        <v/>
      </c>
      <c r="B89" s="11" t="str">
        <f aca="false">IF($A89="","",INDEX(Employees!$A$6:$A$205,MATCH($A89,Employees!$BH$6:$BH$205,0)))</f>
        <v/>
      </c>
      <c r="C89" s="11" t="str">
        <f aca="false">IF($A89="","",INDEX(Employees!$B$6:$B$205,MATCH($A89,Employees!$BH$6:$BH$205,0)))</f>
        <v/>
      </c>
      <c r="D89" s="11" t="str">
        <f aca="false">IF($A89="","",INDEX(Employees!$C$6:$C$205,MATCH($A89,Employees!$BH$6:$BH$205,0)))</f>
        <v/>
      </c>
      <c r="E89" s="11" t="str">
        <f aca="false">IF($A89="","",INDEX(Employees!$D$6:$D$205,MATCH($A89,Employees!$BH$6:$BH$205,0)))</f>
        <v/>
      </c>
      <c r="F89" s="11" t="str">
        <f aca="false">IF($A89="","",INDEX(Employees!$T$6:$T$205,MATCH($A89,Employees!$BH$6:$BH$205,0)))</f>
        <v/>
      </c>
      <c r="G89" s="26" t="str">
        <f aca="false">IF($A89="","",INDEX(Employees!$U$6:$U$205,MATCH($A89,Employees!$BH$6:$BH$205,0)))</f>
        <v/>
      </c>
      <c r="H89" s="28" t="str">
        <f aca="false">IF($A89="","",INDEX(Employees!$E$6:$E$205,MATCH($A89,Employees!$BH$6:$BH$205,0)))</f>
        <v/>
      </c>
      <c r="I89" s="11" t="str">
        <f aca="false">IF($A89="","",INDEX(Employees!$Z$6:$Z$205,MATCH($A89,Employees!$BH$6:$BH$205,0)))</f>
        <v/>
      </c>
      <c r="J89" s="26" t="str">
        <f aca="false">IF($A89="","",INDEX(Employees!$AB$6:$AB$205,MATCH($A89,Employees!$BH$6:$BH$205,0)))</f>
        <v/>
      </c>
      <c r="K89" s="26" t="str">
        <f aca="false">IF($A89="","",INDEX(Employees!$AI$6:$AI$205,MATCH($A89,Employees!$BH$6:$BH$205,0)))</f>
        <v/>
      </c>
      <c r="L89" s="26" t="str">
        <f aca="false">IF($A89="","",INDEX(Employees!$AG$6:$AG$205,MATCH($A89,Employees!$BH$6:$BH$205,0)))</f>
        <v/>
      </c>
      <c r="M89" s="26" t="str">
        <f aca="false">IF($A89="","",INDEX(Employees!$AH$6:$AH$205,MATCH($A89,Employees!$BH$6:$BH$205,0)))</f>
        <v/>
      </c>
      <c r="N89" s="26" t="str">
        <f aca="false">IF($A89="","",INDEX(Employees!$AK$6:$AK$205,MATCH($A89,Employees!$BH$6:$BH$205,0)))</f>
        <v/>
      </c>
      <c r="O89" s="26" t="str">
        <f aca="false">IF($A89="","",INDEX(Employees!$AL$6:$AL$205,MATCH($A89,Employees!$BH$6:$BH$205,0)))</f>
        <v/>
      </c>
      <c r="P89" s="11" t="str">
        <f aca="false">IF($A89="","",INDEX(Employees!$AM$6:$AM$205,MATCH($A89,Employees!$BH$6:$BH$205,0)))</f>
        <v/>
      </c>
    </row>
    <row r="90" customFormat="false" ht="15" hidden="false" customHeight="false" outlineLevel="0" collapsed="false">
      <c r="A90" s="11" t="str">
        <f aca="false">IF(85&lt;=MAX(Employees!$BH$6:$BH$205),85,"")</f>
        <v/>
      </c>
      <c r="B90" s="11" t="str">
        <f aca="false">IF($A90="","",INDEX(Employees!$A$6:$A$205,MATCH($A90,Employees!$BH$6:$BH$205,0)))</f>
        <v/>
      </c>
      <c r="C90" s="11" t="str">
        <f aca="false">IF($A90="","",INDEX(Employees!$B$6:$B$205,MATCH($A90,Employees!$BH$6:$BH$205,0)))</f>
        <v/>
      </c>
      <c r="D90" s="11" t="str">
        <f aca="false">IF($A90="","",INDEX(Employees!$C$6:$C$205,MATCH($A90,Employees!$BH$6:$BH$205,0)))</f>
        <v/>
      </c>
      <c r="E90" s="11" t="str">
        <f aca="false">IF($A90="","",INDEX(Employees!$D$6:$D$205,MATCH($A90,Employees!$BH$6:$BH$205,0)))</f>
        <v/>
      </c>
      <c r="F90" s="11" t="str">
        <f aca="false">IF($A90="","",INDEX(Employees!$T$6:$T$205,MATCH($A90,Employees!$BH$6:$BH$205,0)))</f>
        <v/>
      </c>
      <c r="G90" s="26" t="str">
        <f aca="false">IF($A90="","",INDEX(Employees!$U$6:$U$205,MATCH($A90,Employees!$BH$6:$BH$205,0)))</f>
        <v/>
      </c>
      <c r="H90" s="28" t="str">
        <f aca="false">IF($A90="","",INDEX(Employees!$E$6:$E$205,MATCH($A90,Employees!$BH$6:$BH$205,0)))</f>
        <v/>
      </c>
      <c r="I90" s="11" t="str">
        <f aca="false">IF($A90="","",INDEX(Employees!$Z$6:$Z$205,MATCH($A90,Employees!$BH$6:$BH$205,0)))</f>
        <v/>
      </c>
      <c r="J90" s="26" t="str">
        <f aca="false">IF($A90="","",INDEX(Employees!$AB$6:$AB$205,MATCH($A90,Employees!$BH$6:$BH$205,0)))</f>
        <v/>
      </c>
      <c r="K90" s="26" t="str">
        <f aca="false">IF($A90="","",INDEX(Employees!$AI$6:$AI$205,MATCH($A90,Employees!$BH$6:$BH$205,0)))</f>
        <v/>
      </c>
      <c r="L90" s="26" t="str">
        <f aca="false">IF($A90="","",INDEX(Employees!$AG$6:$AG$205,MATCH($A90,Employees!$BH$6:$BH$205,0)))</f>
        <v/>
      </c>
      <c r="M90" s="26" t="str">
        <f aca="false">IF($A90="","",INDEX(Employees!$AH$6:$AH$205,MATCH($A90,Employees!$BH$6:$BH$205,0)))</f>
        <v/>
      </c>
      <c r="N90" s="26" t="str">
        <f aca="false">IF($A90="","",INDEX(Employees!$AK$6:$AK$205,MATCH($A90,Employees!$BH$6:$BH$205,0)))</f>
        <v/>
      </c>
      <c r="O90" s="26" t="str">
        <f aca="false">IF($A90="","",INDEX(Employees!$AL$6:$AL$205,MATCH($A90,Employees!$BH$6:$BH$205,0)))</f>
        <v/>
      </c>
      <c r="P90" s="11" t="str">
        <f aca="false">IF($A90="","",INDEX(Employees!$AM$6:$AM$205,MATCH($A90,Employees!$BH$6:$BH$205,0)))</f>
        <v/>
      </c>
    </row>
    <row r="91" customFormat="false" ht="15" hidden="false" customHeight="false" outlineLevel="0" collapsed="false">
      <c r="A91" s="11" t="str">
        <f aca="false">IF(86&lt;=MAX(Employees!$BH$6:$BH$205),86,"")</f>
        <v/>
      </c>
      <c r="B91" s="11" t="str">
        <f aca="false">IF($A91="","",INDEX(Employees!$A$6:$A$205,MATCH($A91,Employees!$BH$6:$BH$205,0)))</f>
        <v/>
      </c>
      <c r="C91" s="11" t="str">
        <f aca="false">IF($A91="","",INDEX(Employees!$B$6:$B$205,MATCH($A91,Employees!$BH$6:$BH$205,0)))</f>
        <v/>
      </c>
      <c r="D91" s="11" t="str">
        <f aca="false">IF($A91="","",INDEX(Employees!$C$6:$C$205,MATCH($A91,Employees!$BH$6:$BH$205,0)))</f>
        <v/>
      </c>
      <c r="E91" s="11" t="str">
        <f aca="false">IF($A91="","",INDEX(Employees!$D$6:$D$205,MATCH($A91,Employees!$BH$6:$BH$205,0)))</f>
        <v/>
      </c>
      <c r="F91" s="11" t="str">
        <f aca="false">IF($A91="","",INDEX(Employees!$T$6:$T$205,MATCH($A91,Employees!$BH$6:$BH$205,0)))</f>
        <v/>
      </c>
      <c r="G91" s="26" t="str">
        <f aca="false">IF($A91="","",INDEX(Employees!$U$6:$U$205,MATCH($A91,Employees!$BH$6:$BH$205,0)))</f>
        <v/>
      </c>
      <c r="H91" s="28" t="str">
        <f aca="false">IF($A91="","",INDEX(Employees!$E$6:$E$205,MATCH($A91,Employees!$BH$6:$BH$205,0)))</f>
        <v/>
      </c>
      <c r="I91" s="11" t="str">
        <f aca="false">IF($A91="","",INDEX(Employees!$Z$6:$Z$205,MATCH($A91,Employees!$BH$6:$BH$205,0)))</f>
        <v/>
      </c>
      <c r="J91" s="26" t="str">
        <f aca="false">IF($A91="","",INDEX(Employees!$AB$6:$AB$205,MATCH($A91,Employees!$BH$6:$BH$205,0)))</f>
        <v/>
      </c>
      <c r="K91" s="26" t="str">
        <f aca="false">IF($A91="","",INDEX(Employees!$AI$6:$AI$205,MATCH($A91,Employees!$BH$6:$BH$205,0)))</f>
        <v/>
      </c>
      <c r="L91" s="26" t="str">
        <f aca="false">IF($A91="","",INDEX(Employees!$AG$6:$AG$205,MATCH($A91,Employees!$BH$6:$BH$205,0)))</f>
        <v/>
      </c>
      <c r="M91" s="26" t="str">
        <f aca="false">IF($A91="","",INDEX(Employees!$AH$6:$AH$205,MATCH($A91,Employees!$BH$6:$BH$205,0)))</f>
        <v/>
      </c>
      <c r="N91" s="26" t="str">
        <f aca="false">IF($A91="","",INDEX(Employees!$AK$6:$AK$205,MATCH($A91,Employees!$BH$6:$BH$205,0)))</f>
        <v/>
      </c>
      <c r="O91" s="26" t="str">
        <f aca="false">IF($A91="","",INDEX(Employees!$AL$6:$AL$205,MATCH($A91,Employees!$BH$6:$BH$205,0)))</f>
        <v/>
      </c>
      <c r="P91" s="11" t="str">
        <f aca="false">IF($A91="","",INDEX(Employees!$AM$6:$AM$205,MATCH($A91,Employees!$BH$6:$BH$205,0)))</f>
        <v/>
      </c>
    </row>
    <row r="92" customFormat="false" ht="15" hidden="false" customHeight="false" outlineLevel="0" collapsed="false">
      <c r="A92" s="11" t="str">
        <f aca="false">IF(87&lt;=MAX(Employees!$BH$6:$BH$205),87,"")</f>
        <v/>
      </c>
      <c r="B92" s="11" t="str">
        <f aca="false">IF($A92="","",INDEX(Employees!$A$6:$A$205,MATCH($A92,Employees!$BH$6:$BH$205,0)))</f>
        <v/>
      </c>
      <c r="C92" s="11" t="str">
        <f aca="false">IF($A92="","",INDEX(Employees!$B$6:$B$205,MATCH($A92,Employees!$BH$6:$BH$205,0)))</f>
        <v/>
      </c>
      <c r="D92" s="11" t="str">
        <f aca="false">IF($A92="","",INDEX(Employees!$C$6:$C$205,MATCH($A92,Employees!$BH$6:$BH$205,0)))</f>
        <v/>
      </c>
      <c r="E92" s="11" t="str">
        <f aca="false">IF($A92="","",INDEX(Employees!$D$6:$D$205,MATCH($A92,Employees!$BH$6:$BH$205,0)))</f>
        <v/>
      </c>
      <c r="F92" s="11" t="str">
        <f aca="false">IF($A92="","",INDEX(Employees!$T$6:$T$205,MATCH($A92,Employees!$BH$6:$BH$205,0)))</f>
        <v/>
      </c>
      <c r="G92" s="26" t="str">
        <f aca="false">IF($A92="","",INDEX(Employees!$U$6:$U$205,MATCH($A92,Employees!$BH$6:$BH$205,0)))</f>
        <v/>
      </c>
      <c r="H92" s="28" t="str">
        <f aca="false">IF($A92="","",INDEX(Employees!$E$6:$E$205,MATCH($A92,Employees!$BH$6:$BH$205,0)))</f>
        <v/>
      </c>
      <c r="I92" s="11" t="str">
        <f aca="false">IF($A92="","",INDEX(Employees!$Z$6:$Z$205,MATCH($A92,Employees!$BH$6:$BH$205,0)))</f>
        <v/>
      </c>
      <c r="J92" s="26" t="str">
        <f aca="false">IF($A92="","",INDEX(Employees!$AB$6:$AB$205,MATCH($A92,Employees!$BH$6:$BH$205,0)))</f>
        <v/>
      </c>
      <c r="K92" s="26" t="str">
        <f aca="false">IF($A92="","",INDEX(Employees!$AI$6:$AI$205,MATCH($A92,Employees!$BH$6:$BH$205,0)))</f>
        <v/>
      </c>
      <c r="L92" s="26" t="str">
        <f aca="false">IF($A92="","",INDEX(Employees!$AG$6:$AG$205,MATCH($A92,Employees!$BH$6:$BH$205,0)))</f>
        <v/>
      </c>
      <c r="M92" s="26" t="str">
        <f aca="false">IF($A92="","",INDEX(Employees!$AH$6:$AH$205,MATCH($A92,Employees!$BH$6:$BH$205,0)))</f>
        <v/>
      </c>
      <c r="N92" s="26" t="str">
        <f aca="false">IF($A92="","",INDEX(Employees!$AK$6:$AK$205,MATCH($A92,Employees!$BH$6:$BH$205,0)))</f>
        <v/>
      </c>
      <c r="O92" s="26" t="str">
        <f aca="false">IF($A92="","",INDEX(Employees!$AL$6:$AL$205,MATCH($A92,Employees!$BH$6:$BH$205,0)))</f>
        <v/>
      </c>
      <c r="P92" s="11" t="str">
        <f aca="false">IF($A92="","",INDEX(Employees!$AM$6:$AM$205,MATCH($A92,Employees!$BH$6:$BH$205,0)))</f>
        <v/>
      </c>
    </row>
    <row r="93" customFormat="false" ht="15" hidden="false" customHeight="false" outlineLevel="0" collapsed="false">
      <c r="A93" s="11" t="str">
        <f aca="false">IF(88&lt;=MAX(Employees!$BH$6:$BH$205),88,"")</f>
        <v/>
      </c>
      <c r="B93" s="11" t="str">
        <f aca="false">IF($A93="","",INDEX(Employees!$A$6:$A$205,MATCH($A93,Employees!$BH$6:$BH$205,0)))</f>
        <v/>
      </c>
      <c r="C93" s="11" t="str">
        <f aca="false">IF($A93="","",INDEX(Employees!$B$6:$B$205,MATCH($A93,Employees!$BH$6:$BH$205,0)))</f>
        <v/>
      </c>
      <c r="D93" s="11" t="str">
        <f aca="false">IF($A93="","",INDEX(Employees!$C$6:$C$205,MATCH($A93,Employees!$BH$6:$BH$205,0)))</f>
        <v/>
      </c>
      <c r="E93" s="11" t="str">
        <f aca="false">IF($A93="","",INDEX(Employees!$D$6:$D$205,MATCH($A93,Employees!$BH$6:$BH$205,0)))</f>
        <v/>
      </c>
      <c r="F93" s="11" t="str">
        <f aca="false">IF($A93="","",INDEX(Employees!$T$6:$T$205,MATCH($A93,Employees!$BH$6:$BH$205,0)))</f>
        <v/>
      </c>
      <c r="G93" s="26" t="str">
        <f aca="false">IF($A93="","",INDEX(Employees!$U$6:$U$205,MATCH($A93,Employees!$BH$6:$BH$205,0)))</f>
        <v/>
      </c>
      <c r="H93" s="28" t="str">
        <f aca="false">IF($A93="","",INDEX(Employees!$E$6:$E$205,MATCH($A93,Employees!$BH$6:$BH$205,0)))</f>
        <v/>
      </c>
      <c r="I93" s="11" t="str">
        <f aca="false">IF($A93="","",INDEX(Employees!$Z$6:$Z$205,MATCH($A93,Employees!$BH$6:$BH$205,0)))</f>
        <v/>
      </c>
      <c r="J93" s="26" t="str">
        <f aca="false">IF($A93="","",INDEX(Employees!$AB$6:$AB$205,MATCH($A93,Employees!$BH$6:$BH$205,0)))</f>
        <v/>
      </c>
      <c r="K93" s="26" t="str">
        <f aca="false">IF($A93="","",INDEX(Employees!$AI$6:$AI$205,MATCH($A93,Employees!$BH$6:$BH$205,0)))</f>
        <v/>
      </c>
      <c r="L93" s="26" t="str">
        <f aca="false">IF($A93="","",INDEX(Employees!$AG$6:$AG$205,MATCH($A93,Employees!$BH$6:$BH$205,0)))</f>
        <v/>
      </c>
      <c r="M93" s="26" t="str">
        <f aca="false">IF($A93="","",INDEX(Employees!$AH$6:$AH$205,MATCH($A93,Employees!$BH$6:$BH$205,0)))</f>
        <v/>
      </c>
      <c r="N93" s="26" t="str">
        <f aca="false">IF($A93="","",INDEX(Employees!$AK$6:$AK$205,MATCH($A93,Employees!$BH$6:$BH$205,0)))</f>
        <v/>
      </c>
      <c r="O93" s="26" t="str">
        <f aca="false">IF($A93="","",INDEX(Employees!$AL$6:$AL$205,MATCH($A93,Employees!$BH$6:$BH$205,0)))</f>
        <v/>
      </c>
      <c r="P93" s="11" t="str">
        <f aca="false">IF($A93="","",INDEX(Employees!$AM$6:$AM$205,MATCH($A93,Employees!$BH$6:$BH$205,0)))</f>
        <v/>
      </c>
    </row>
    <row r="94" customFormat="false" ht="15" hidden="false" customHeight="false" outlineLevel="0" collapsed="false">
      <c r="A94" s="11" t="str">
        <f aca="false">IF(89&lt;=MAX(Employees!$BH$6:$BH$205),89,"")</f>
        <v/>
      </c>
      <c r="B94" s="11" t="str">
        <f aca="false">IF($A94="","",INDEX(Employees!$A$6:$A$205,MATCH($A94,Employees!$BH$6:$BH$205,0)))</f>
        <v/>
      </c>
      <c r="C94" s="11" t="str">
        <f aca="false">IF($A94="","",INDEX(Employees!$B$6:$B$205,MATCH($A94,Employees!$BH$6:$BH$205,0)))</f>
        <v/>
      </c>
      <c r="D94" s="11" t="str">
        <f aca="false">IF($A94="","",INDEX(Employees!$C$6:$C$205,MATCH($A94,Employees!$BH$6:$BH$205,0)))</f>
        <v/>
      </c>
      <c r="E94" s="11" t="str">
        <f aca="false">IF($A94="","",INDEX(Employees!$D$6:$D$205,MATCH($A94,Employees!$BH$6:$BH$205,0)))</f>
        <v/>
      </c>
      <c r="F94" s="11" t="str">
        <f aca="false">IF($A94="","",INDEX(Employees!$T$6:$T$205,MATCH($A94,Employees!$BH$6:$BH$205,0)))</f>
        <v/>
      </c>
      <c r="G94" s="26" t="str">
        <f aca="false">IF($A94="","",INDEX(Employees!$U$6:$U$205,MATCH($A94,Employees!$BH$6:$BH$205,0)))</f>
        <v/>
      </c>
      <c r="H94" s="28" t="str">
        <f aca="false">IF($A94="","",INDEX(Employees!$E$6:$E$205,MATCH($A94,Employees!$BH$6:$BH$205,0)))</f>
        <v/>
      </c>
      <c r="I94" s="11" t="str">
        <f aca="false">IF($A94="","",INDEX(Employees!$Z$6:$Z$205,MATCH($A94,Employees!$BH$6:$BH$205,0)))</f>
        <v/>
      </c>
      <c r="J94" s="26" t="str">
        <f aca="false">IF($A94="","",INDEX(Employees!$AB$6:$AB$205,MATCH($A94,Employees!$BH$6:$BH$205,0)))</f>
        <v/>
      </c>
      <c r="K94" s="26" t="str">
        <f aca="false">IF($A94="","",INDEX(Employees!$AI$6:$AI$205,MATCH($A94,Employees!$BH$6:$BH$205,0)))</f>
        <v/>
      </c>
      <c r="L94" s="26" t="str">
        <f aca="false">IF($A94="","",INDEX(Employees!$AG$6:$AG$205,MATCH($A94,Employees!$BH$6:$BH$205,0)))</f>
        <v/>
      </c>
      <c r="M94" s="26" t="str">
        <f aca="false">IF($A94="","",INDEX(Employees!$AH$6:$AH$205,MATCH($A94,Employees!$BH$6:$BH$205,0)))</f>
        <v/>
      </c>
      <c r="N94" s="26" t="str">
        <f aca="false">IF($A94="","",INDEX(Employees!$AK$6:$AK$205,MATCH($A94,Employees!$BH$6:$BH$205,0)))</f>
        <v/>
      </c>
      <c r="O94" s="26" t="str">
        <f aca="false">IF($A94="","",INDEX(Employees!$AL$6:$AL$205,MATCH($A94,Employees!$BH$6:$BH$205,0)))</f>
        <v/>
      </c>
      <c r="P94" s="11" t="str">
        <f aca="false">IF($A94="","",INDEX(Employees!$AM$6:$AM$205,MATCH($A94,Employees!$BH$6:$BH$205,0)))</f>
        <v/>
      </c>
    </row>
    <row r="95" customFormat="false" ht="15" hidden="false" customHeight="false" outlineLevel="0" collapsed="false">
      <c r="A95" s="11" t="str">
        <f aca="false">IF(90&lt;=MAX(Employees!$BH$6:$BH$205),90,"")</f>
        <v/>
      </c>
      <c r="B95" s="11" t="str">
        <f aca="false">IF($A95="","",INDEX(Employees!$A$6:$A$205,MATCH($A95,Employees!$BH$6:$BH$205,0)))</f>
        <v/>
      </c>
      <c r="C95" s="11" t="str">
        <f aca="false">IF($A95="","",INDEX(Employees!$B$6:$B$205,MATCH($A95,Employees!$BH$6:$BH$205,0)))</f>
        <v/>
      </c>
      <c r="D95" s="11" t="str">
        <f aca="false">IF($A95="","",INDEX(Employees!$C$6:$C$205,MATCH($A95,Employees!$BH$6:$BH$205,0)))</f>
        <v/>
      </c>
      <c r="E95" s="11" t="str">
        <f aca="false">IF($A95="","",INDEX(Employees!$D$6:$D$205,MATCH($A95,Employees!$BH$6:$BH$205,0)))</f>
        <v/>
      </c>
      <c r="F95" s="11" t="str">
        <f aca="false">IF($A95="","",INDEX(Employees!$T$6:$T$205,MATCH($A95,Employees!$BH$6:$BH$205,0)))</f>
        <v/>
      </c>
      <c r="G95" s="26" t="str">
        <f aca="false">IF($A95="","",INDEX(Employees!$U$6:$U$205,MATCH($A95,Employees!$BH$6:$BH$205,0)))</f>
        <v/>
      </c>
      <c r="H95" s="28" t="str">
        <f aca="false">IF($A95="","",INDEX(Employees!$E$6:$E$205,MATCH($A95,Employees!$BH$6:$BH$205,0)))</f>
        <v/>
      </c>
      <c r="I95" s="11" t="str">
        <f aca="false">IF($A95="","",INDEX(Employees!$Z$6:$Z$205,MATCH($A95,Employees!$BH$6:$BH$205,0)))</f>
        <v/>
      </c>
      <c r="J95" s="26" t="str">
        <f aca="false">IF($A95="","",INDEX(Employees!$AB$6:$AB$205,MATCH($A95,Employees!$BH$6:$BH$205,0)))</f>
        <v/>
      </c>
      <c r="K95" s="26" t="str">
        <f aca="false">IF($A95="","",INDEX(Employees!$AI$6:$AI$205,MATCH($A95,Employees!$BH$6:$BH$205,0)))</f>
        <v/>
      </c>
      <c r="L95" s="26" t="str">
        <f aca="false">IF($A95="","",INDEX(Employees!$AG$6:$AG$205,MATCH($A95,Employees!$BH$6:$BH$205,0)))</f>
        <v/>
      </c>
      <c r="M95" s="26" t="str">
        <f aca="false">IF($A95="","",INDEX(Employees!$AH$6:$AH$205,MATCH($A95,Employees!$BH$6:$BH$205,0)))</f>
        <v/>
      </c>
      <c r="N95" s="26" t="str">
        <f aca="false">IF($A95="","",INDEX(Employees!$AK$6:$AK$205,MATCH($A95,Employees!$BH$6:$BH$205,0)))</f>
        <v/>
      </c>
      <c r="O95" s="26" t="str">
        <f aca="false">IF($A95="","",INDEX(Employees!$AL$6:$AL$205,MATCH($A95,Employees!$BH$6:$BH$205,0)))</f>
        <v/>
      </c>
      <c r="P95" s="11" t="str">
        <f aca="false">IF($A95="","",INDEX(Employees!$AM$6:$AM$205,MATCH($A95,Employees!$BH$6:$BH$205,0)))</f>
        <v/>
      </c>
    </row>
    <row r="96" customFormat="false" ht="15" hidden="false" customHeight="false" outlineLevel="0" collapsed="false">
      <c r="A96" s="11" t="str">
        <f aca="false">IF(91&lt;=MAX(Employees!$BH$6:$BH$205),91,"")</f>
        <v/>
      </c>
      <c r="B96" s="11" t="str">
        <f aca="false">IF($A96="","",INDEX(Employees!$A$6:$A$205,MATCH($A96,Employees!$BH$6:$BH$205,0)))</f>
        <v/>
      </c>
      <c r="C96" s="11" t="str">
        <f aca="false">IF($A96="","",INDEX(Employees!$B$6:$B$205,MATCH($A96,Employees!$BH$6:$BH$205,0)))</f>
        <v/>
      </c>
      <c r="D96" s="11" t="str">
        <f aca="false">IF($A96="","",INDEX(Employees!$C$6:$C$205,MATCH($A96,Employees!$BH$6:$BH$205,0)))</f>
        <v/>
      </c>
      <c r="E96" s="11" t="str">
        <f aca="false">IF($A96="","",INDEX(Employees!$D$6:$D$205,MATCH($A96,Employees!$BH$6:$BH$205,0)))</f>
        <v/>
      </c>
      <c r="F96" s="11" t="str">
        <f aca="false">IF($A96="","",INDEX(Employees!$T$6:$T$205,MATCH($A96,Employees!$BH$6:$BH$205,0)))</f>
        <v/>
      </c>
      <c r="G96" s="26" t="str">
        <f aca="false">IF($A96="","",INDEX(Employees!$U$6:$U$205,MATCH($A96,Employees!$BH$6:$BH$205,0)))</f>
        <v/>
      </c>
      <c r="H96" s="28" t="str">
        <f aca="false">IF($A96="","",INDEX(Employees!$E$6:$E$205,MATCH($A96,Employees!$BH$6:$BH$205,0)))</f>
        <v/>
      </c>
      <c r="I96" s="11" t="str">
        <f aca="false">IF($A96="","",INDEX(Employees!$Z$6:$Z$205,MATCH($A96,Employees!$BH$6:$BH$205,0)))</f>
        <v/>
      </c>
      <c r="J96" s="26" t="str">
        <f aca="false">IF($A96="","",INDEX(Employees!$AB$6:$AB$205,MATCH($A96,Employees!$BH$6:$BH$205,0)))</f>
        <v/>
      </c>
      <c r="K96" s="26" t="str">
        <f aca="false">IF($A96="","",INDEX(Employees!$AI$6:$AI$205,MATCH($A96,Employees!$BH$6:$BH$205,0)))</f>
        <v/>
      </c>
      <c r="L96" s="26" t="str">
        <f aca="false">IF($A96="","",INDEX(Employees!$AG$6:$AG$205,MATCH($A96,Employees!$BH$6:$BH$205,0)))</f>
        <v/>
      </c>
      <c r="M96" s="26" t="str">
        <f aca="false">IF($A96="","",INDEX(Employees!$AH$6:$AH$205,MATCH($A96,Employees!$BH$6:$BH$205,0)))</f>
        <v/>
      </c>
      <c r="N96" s="26" t="str">
        <f aca="false">IF($A96="","",INDEX(Employees!$AK$6:$AK$205,MATCH($A96,Employees!$BH$6:$BH$205,0)))</f>
        <v/>
      </c>
      <c r="O96" s="26" t="str">
        <f aca="false">IF($A96="","",INDEX(Employees!$AL$6:$AL$205,MATCH($A96,Employees!$BH$6:$BH$205,0)))</f>
        <v/>
      </c>
      <c r="P96" s="11" t="str">
        <f aca="false">IF($A96="","",INDEX(Employees!$AM$6:$AM$205,MATCH($A96,Employees!$BH$6:$BH$205,0)))</f>
        <v/>
      </c>
    </row>
    <row r="97" customFormat="false" ht="15" hidden="false" customHeight="false" outlineLevel="0" collapsed="false">
      <c r="A97" s="11" t="str">
        <f aca="false">IF(92&lt;=MAX(Employees!$BH$6:$BH$205),92,"")</f>
        <v/>
      </c>
      <c r="B97" s="11" t="str">
        <f aca="false">IF($A97="","",INDEX(Employees!$A$6:$A$205,MATCH($A97,Employees!$BH$6:$BH$205,0)))</f>
        <v/>
      </c>
      <c r="C97" s="11" t="str">
        <f aca="false">IF($A97="","",INDEX(Employees!$B$6:$B$205,MATCH($A97,Employees!$BH$6:$BH$205,0)))</f>
        <v/>
      </c>
      <c r="D97" s="11" t="str">
        <f aca="false">IF($A97="","",INDEX(Employees!$C$6:$C$205,MATCH($A97,Employees!$BH$6:$BH$205,0)))</f>
        <v/>
      </c>
      <c r="E97" s="11" t="str">
        <f aca="false">IF($A97="","",INDEX(Employees!$D$6:$D$205,MATCH($A97,Employees!$BH$6:$BH$205,0)))</f>
        <v/>
      </c>
      <c r="F97" s="11" t="str">
        <f aca="false">IF($A97="","",INDEX(Employees!$T$6:$T$205,MATCH($A97,Employees!$BH$6:$BH$205,0)))</f>
        <v/>
      </c>
      <c r="G97" s="26" t="str">
        <f aca="false">IF($A97="","",INDEX(Employees!$U$6:$U$205,MATCH($A97,Employees!$BH$6:$BH$205,0)))</f>
        <v/>
      </c>
      <c r="H97" s="28" t="str">
        <f aca="false">IF($A97="","",INDEX(Employees!$E$6:$E$205,MATCH($A97,Employees!$BH$6:$BH$205,0)))</f>
        <v/>
      </c>
      <c r="I97" s="11" t="str">
        <f aca="false">IF($A97="","",INDEX(Employees!$Z$6:$Z$205,MATCH($A97,Employees!$BH$6:$BH$205,0)))</f>
        <v/>
      </c>
      <c r="J97" s="26" t="str">
        <f aca="false">IF($A97="","",INDEX(Employees!$AB$6:$AB$205,MATCH($A97,Employees!$BH$6:$BH$205,0)))</f>
        <v/>
      </c>
      <c r="K97" s="26" t="str">
        <f aca="false">IF($A97="","",INDEX(Employees!$AI$6:$AI$205,MATCH($A97,Employees!$BH$6:$BH$205,0)))</f>
        <v/>
      </c>
      <c r="L97" s="26" t="str">
        <f aca="false">IF($A97="","",INDEX(Employees!$AG$6:$AG$205,MATCH($A97,Employees!$BH$6:$BH$205,0)))</f>
        <v/>
      </c>
      <c r="M97" s="26" t="str">
        <f aca="false">IF($A97="","",INDEX(Employees!$AH$6:$AH$205,MATCH($A97,Employees!$BH$6:$BH$205,0)))</f>
        <v/>
      </c>
      <c r="N97" s="26" t="str">
        <f aca="false">IF($A97="","",INDEX(Employees!$AK$6:$AK$205,MATCH($A97,Employees!$BH$6:$BH$205,0)))</f>
        <v/>
      </c>
      <c r="O97" s="26" t="str">
        <f aca="false">IF($A97="","",INDEX(Employees!$AL$6:$AL$205,MATCH($A97,Employees!$BH$6:$BH$205,0)))</f>
        <v/>
      </c>
      <c r="P97" s="11" t="str">
        <f aca="false">IF($A97="","",INDEX(Employees!$AM$6:$AM$205,MATCH($A97,Employees!$BH$6:$BH$205,0)))</f>
        <v/>
      </c>
    </row>
    <row r="98" customFormat="false" ht="15" hidden="false" customHeight="false" outlineLevel="0" collapsed="false">
      <c r="A98" s="11" t="str">
        <f aca="false">IF(93&lt;=MAX(Employees!$BH$6:$BH$205),93,"")</f>
        <v/>
      </c>
      <c r="B98" s="11" t="str">
        <f aca="false">IF($A98="","",INDEX(Employees!$A$6:$A$205,MATCH($A98,Employees!$BH$6:$BH$205,0)))</f>
        <v/>
      </c>
      <c r="C98" s="11" t="str">
        <f aca="false">IF($A98="","",INDEX(Employees!$B$6:$B$205,MATCH($A98,Employees!$BH$6:$BH$205,0)))</f>
        <v/>
      </c>
      <c r="D98" s="11" t="str">
        <f aca="false">IF($A98="","",INDEX(Employees!$C$6:$C$205,MATCH($A98,Employees!$BH$6:$BH$205,0)))</f>
        <v/>
      </c>
      <c r="E98" s="11" t="str">
        <f aca="false">IF($A98="","",INDEX(Employees!$D$6:$D$205,MATCH($A98,Employees!$BH$6:$BH$205,0)))</f>
        <v/>
      </c>
      <c r="F98" s="11" t="str">
        <f aca="false">IF($A98="","",INDEX(Employees!$T$6:$T$205,MATCH($A98,Employees!$BH$6:$BH$205,0)))</f>
        <v/>
      </c>
      <c r="G98" s="26" t="str">
        <f aca="false">IF($A98="","",INDEX(Employees!$U$6:$U$205,MATCH($A98,Employees!$BH$6:$BH$205,0)))</f>
        <v/>
      </c>
      <c r="H98" s="28" t="str">
        <f aca="false">IF($A98="","",INDEX(Employees!$E$6:$E$205,MATCH($A98,Employees!$BH$6:$BH$205,0)))</f>
        <v/>
      </c>
      <c r="I98" s="11" t="str">
        <f aca="false">IF($A98="","",INDEX(Employees!$Z$6:$Z$205,MATCH($A98,Employees!$BH$6:$BH$205,0)))</f>
        <v/>
      </c>
      <c r="J98" s="26" t="str">
        <f aca="false">IF($A98="","",INDEX(Employees!$AB$6:$AB$205,MATCH($A98,Employees!$BH$6:$BH$205,0)))</f>
        <v/>
      </c>
      <c r="K98" s="26" t="str">
        <f aca="false">IF($A98="","",INDEX(Employees!$AI$6:$AI$205,MATCH($A98,Employees!$BH$6:$BH$205,0)))</f>
        <v/>
      </c>
      <c r="L98" s="26" t="str">
        <f aca="false">IF($A98="","",INDEX(Employees!$AG$6:$AG$205,MATCH($A98,Employees!$BH$6:$BH$205,0)))</f>
        <v/>
      </c>
      <c r="M98" s="26" t="str">
        <f aca="false">IF($A98="","",INDEX(Employees!$AH$6:$AH$205,MATCH($A98,Employees!$BH$6:$BH$205,0)))</f>
        <v/>
      </c>
      <c r="N98" s="26" t="str">
        <f aca="false">IF($A98="","",INDEX(Employees!$AK$6:$AK$205,MATCH($A98,Employees!$BH$6:$BH$205,0)))</f>
        <v/>
      </c>
      <c r="O98" s="26" t="str">
        <f aca="false">IF($A98="","",INDEX(Employees!$AL$6:$AL$205,MATCH($A98,Employees!$BH$6:$BH$205,0)))</f>
        <v/>
      </c>
      <c r="P98" s="11" t="str">
        <f aca="false">IF($A98="","",INDEX(Employees!$AM$6:$AM$205,MATCH($A98,Employees!$BH$6:$BH$205,0)))</f>
        <v/>
      </c>
    </row>
    <row r="99" customFormat="false" ht="15" hidden="false" customHeight="false" outlineLevel="0" collapsed="false">
      <c r="A99" s="11" t="str">
        <f aca="false">IF(94&lt;=MAX(Employees!$BH$6:$BH$205),94,"")</f>
        <v/>
      </c>
      <c r="B99" s="11" t="str">
        <f aca="false">IF($A99="","",INDEX(Employees!$A$6:$A$205,MATCH($A99,Employees!$BH$6:$BH$205,0)))</f>
        <v/>
      </c>
      <c r="C99" s="11" t="str">
        <f aca="false">IF($A99="","",INDEX(Employees!$B$6:$B$205,MATCH($A99,Employees!$BH$6:$BH$205,0)))</f>
        <v/>
      </c>
      <c r="D99" s="11" t="str">
        <f aca="false">IF($A99="","",INDEX(Employees!$C$6:$C$205,MATCH($A99,Employees!$BH$6:$BH$205,0)))</f>
        <v/>
      </c>
      <c r="E99" s="11" t="str">
        <f aca="false">IF($A99="","",INDEX(Employees!$D$6:$D$205,MATCH($A99,Employees!$BH$6:$BH$205,0)))</f>
        <v/>
      </c>
      <c r="F99" s="11" t="str">
        <f aca="false">IF($A99="","",INDEX(Employees!$T$6:$T$205,MATCH($A99,Employees!$BH$6:$BH$205,0)))</f>
        <v/>
      </c>
      <c r="G99" s="26" t="str">
        <f aca="false">IF($A99="","",INDEX(Employees!$U$6:$U$205,MATCH($A99,Employees!$BH$6:$BH$205,0)))</f>
        <v/>
      </c>
      <c r="H99" s="28" t="str">
        <f aca="false">IF($A99="","",INDEX(Employees!$E$6:$E$205,MATCH($A99,Employees!$BH$6:$BH$205,0)))</f>
        <v/>
      </c>
      <c r="I99" s="11" t="str">
        <f aca="false">IF($A99="","",INDEX(Employees!$Z$6:$Z$205,MATCH($A99,Employees!$BH$6:$BH$205,0)))</f>
        <v/>
      </c>
      <c r="J99" s="26" t="str">
        <f aca="false">IF($A99="","",INDEX(Employees!$AB$6:$AB$205,MATCH($A99,Employees!$BH$6:$BH$205,0)))</f>
        <v/>
      </c>
      <c r="K99" s="26" t="str">
        <f aca="false">IF($A99="","",INDEX(Employees!$AI$6:$AI$205,MATCH($A99,Employees!$BH$6:$BH$205,0)))</f>
        <v/>
      </c>
      <c r="L99" s="26" t="str">
        <f aca="false">IF($A99="","",INDEX(Employees!$AG$6:$AG$205,MATCH($A99,Employees!$BH$6:$BH$205,0)))</f>
        <v/>
      </c>
      <c r="M99" s="26" t="str">
        <f aca="false">IF($A99="","",INDEX(Employees!$AH$6:$AH$205,MATCH($A99,Employees!$BH$6:$BH$205,0)))</f>
        <v/>
      </c>
      <c r="N99" s="26" t="str">
        <f aca="false">IF($A99="","",INDEX(Employees!$AK$6:$AK$205,MATCH($A99,Employees!$BH$6:$BH$205,0)))</f>
        <v/>
      </c>
      <c r="O99" s="26" t="str">
        <f aca="false">IF($A99="","",INDEX(Employees!$AL$6:$AL$205,MATCH($A99,Employees!$BH$6:$BH$205,0)))</f>
        <v/>
      </c>
      <c r="P99" s="11" t="str">
        <f aca="false">IF($A99="","",INDEX(Employees!$AM$6:$AM$205,MATCH($A99,Employees!$BH$6:$BH$205,0)))</f>
        <v/>
      </c>
    </row>
    <row r="100" customFormat="false" ht="15" hidden="false" customHeight="false" outlineLevel="0" collapsed="false">
      <c r="A100" s="11" t="str">
        <f aca="false">IF(95&lt;=MAX(Employees!$BH$6:$BH$205),95,"")</f>
        <v/>
      </c>
      <c r="B100" s="11" t="str">
        <f aca="false">IF($A100="","",INDEX(Employees!$A$6:$A$205,MATCH($A100,Employees!$BH$6:$BH$205,0)))</f>
        <v/>
      </c>
      <c r="C100" s="11" t="str">
        <f aca="false">IF($A100="","",INDEX(Employees!$B$6:$B$205,MATCH($A100,Employees!$BH$6:$BH$205,0)))</f>
        <v/>
      </c>
      <c r="D100" s="11" t="str">
        <f aca="false">IF($A100="","",INDEX(Employees!$C$6:$C$205,MATCH($A100,Employees!$BH$6:$BH$205,0)))</f>
        <v/>
      </c>
      <c r="E100" s="11" t="str">
        <f aca="false">IF($A100="","",INDEX(Employees!$D$6:$D$205,MATCH($A100,Employees!$BH$6:$BH$205,0)))</f>
        <v/>
      </c>
      <c r="F100" s="11" t="str">
        <f aca="false">IF($A100="","",INDEX(Employees!$T$6:$T$205,MATCH($A100,Employees!$BH$6:$BH$205,0)))</f>
        <v/>
      </c>
      <c r="G100" s="26" t="str">
        <f aca="false">IF($A100="","",INDEX(Employees!$U$6:$U$205,MATCH($A100,Employees!$BH$6:$BH$205,0)))</f>
        <v/>
      </c>
      <c r="H100" s="28" t="str">
        <f aca="false">IF($A100="","",INDEX(Employees!$E$6:$E$205,MATCH($A100,Employees!$BH$6:$BH$205,0)))</f>
        <v/>
      </c>
      <c r="I100" s="11" t="str">
        <f aca="false">IF($A100="","",INDEX(Employees!$Z$6:$Z$205,MATCH($A100,Employees!$BH$6:$BH$205,0)))</f>
        <v/>
      </c>
      <c r="J100" s="26" t="str">
        <f aca="false">IF($A100="","",INDEX(Employees!$AB$6:$AB$205,MATCH($A100,Employees!$BH$6:$BH$205,0)))</f>
        <v/>
      </c>
      <c r="K100" s="26" t="str">
        <f aca="false">IF($A100="","",INDEX(Employees!$AI$6:$AI$205,MATCH($A100,Employees!$BH$6:$BH$205,0)))</f>
        <v/>
      </c>
      <c r="L100" s="26" t="str">
        <f aca="false">IF($A100="","",INDEX(Employees!$AG$6:$AG$205,MATCH($A100,Employees!$BH$6:$BH$205,0)))</f>
        <v/>
      </c>
      <c r="M100" s="26" t="str">
        <f aca="false">IF($A100="","",INDEX(Employees!$AH$6:$AH$205,MATCH($A100,Employees!$BH$6:$BH$205,0)))</f>
        <v/>
      </c>
      <c r="N100" s="26" t="str">
        <f aca="false">IF($A100="","",INDEX(Employees!$AK$6:$AK$205,MATCH($A100,Employees!$BH$6:$BH$205,0)))</f>
        <v/>
      </c>
      <c r="O100" s="26" t="str">
        <f aca="false">IF($A100="","",INDEX(Employees!$AL$6:$AL$205,MATCH($A100,Employees!$BH$6:$BH$205,0)))</f>
        <v/>
      </c>
      <c r="P100" s="11" t="str">
        <f aca="false">IF($A100="","",INDEX(Employees!$AM$6:$AM$205,MATCH($A100,Employees!$BH$6:$BH$205,0)))</f>
        <v/>
      </c>
    </row>
    <row r="101" customFormat="false" ht="15" hidden="false" customHeight="false" outlineLevel="0" collapsed="false">
      <c r="A101" s="11" t="str">
        <f aca="false">IF(96&lt;=MAX(Employees!$BH$6:$BH$205),96,"")</f>
        <v/>
      </c>
      <c r="B101" s="11" t="str">
        <f aca="false">IF($A101="","",INDEX(Employees!$A$6:$A$205,MATCH($A101,Employees!$BH$6:$BH$205,0)))</f>
        <v/>
      </c>
      <c r="C101" s="11" t="str">
        <f aca="false">IF($A101="","",INDEX(Employees!$B$6:$B$205,MATCH($A101,Employees!$BH$6:$BH$205,0)))</f>
        <v/>
      </c>
      <c r="D101" s="11" t="str">
        <f aca="false">IF($A101="","",INDEX(Employees!$C$6:$C$205,MATCH($A101,Employees!$BH$6:$BH$205,0)))</f>
        <v/>
      </c>
      <c r="E101" s="11" t="str">
        <f aca="false">IF($A101="","",INDEX(Employees!$D$6:$D$205,MATCH($A101,Employees!$BH$6:$BH$205,0)))</f>
        <v/>
      </c>
      <c r="F101" s="11" t="str">
        <f aca="false">IF($A101="","",INDEX(Employees!$T$6:$T$205,MATCH($A101,Employees!$BH$6:$BH$205,0)))</f>
        <v/>
      </c>
      <c r="G101" s="26" t="str">
        <f aca="false">IF($A101="","",INDEX(Employees!$U$6:$U$205,MATCH($A101,Employees!$BH$6:$BH$205,0)))</f>
        <v/>
      </c>
      <c r="H101" s="28" t="str">
        <f aca="false">IF($A101="","",INDEX(Employees!$E$6:$E$205,MATCH($A101,Employees!$BH$6:$BH$205,0)))</f>
        <v/>
      </c>
      <c r="I101" s="11" t="str">
        <f aca="false">IF($A101="","",INDEX(Employees!$Z$6:$Z$205,MATCH($A101,Employees!$BH$6:$BH$205,0)))</f>
        <v/>
      </c>
      <c r="J101" s="26" t="str">
        <f aca="false">IF($A101="","",INDEX(Employees!$AB$6:$AB$205,MATCH($A101,Employees!$BH$6:$BH$205,0)))</f>
        <v/>
      </c>
      <c r="K101" s="26" t="str">
        <f aca="false">IF($A101="","",INDEX(Employees!$AI$6:$AI$205,MATCH($A101,Employees!$BH$6:$BH$205,0)))</f>
        <v/>
      </c>
      <c r="L101" s="26" t="str">
        <f aca="false">IF($A101="","",INDEX(Employees!$AG$6:$AG$205,MATCH($A101,Employees!$BH$6:$BH$205,0)))</f>
        <v/>
      </c>
      <c r="M101" s="26" t="str">
        <f aca="false">IF($A101="","",INDEX(Employees!$AH$6:$AH$205,MATCH($A101,Employees!$BH$6:$BH$205,0)))</f>
        <v/>
      </c>
      <c r="N101" s="26" t="str">
        <f aca="false">IF($A101="","",INDEX(Employees!$AK$6:$AK$205,MATCH($A101,Employees!$BH$6:$BH$205,0)))</f>
        <v/>
      </c>
      <c r="O101" s="26" t="str">
        <f aca="false">IF($A101="","",INDEX(Employees!$AL$6:$AL$205,MATCH($A101,Employees!$BH$6:$BH$205,0)))</f>
        <v/>
      </c>
      <c r="P101" s="11" t="str">
        <f aca="false">IF($A101="","",INDEX(Employees!$AM$6:$AM$205,MATCH($A101,Employees!$BH$6:$BH$205,0)))</f>
        <v/>
      </c>
    </row>
    <row r="102" customFormat="false" ht="15" hidden="false" customHeight="false" outlineLevel="0" collapsed="false">
      <c r="A102" s="11" t="str">
        <f aca="false">IF(97&lt;=MAX(Employees!$BH$6:$BH$205),97,"")</f>
        <v/>
      </c>
      <c r="B102" s="11" t="str">
        <f aca="false">IF($A102="","",INDEX(Employees!$A$6:$A$205,MATCH($A102,Employees!$BH$6:$BH$205,0)))</f>
        <v/>
      </c>
      <c r="C102" s="11" t="str">
        <f aca="false">IF($A102="","",INDEX(Employees!$B$6:$B$205,MATCH($A102,Employees!$BH$6:$BH$205,0)))</f>
        <v/>
      </c>
      <c r="D102" s="11" t="str">
        <f aca="false">IF($A102="","",INDEX(Employees!$C$6:$C$205,MATCH($A102,Employees!$BH$6:$BH$205,0)))</f>
        <v/>
      </c>
      <c r="E102" s="11" t="str">
        <f aca="false">IF($A102="","",INDEX(Employees!$D$6:$D$205,MATCH($A102,Employees!$BH$6:$BH$205,0)))</f>
        <v/>
      </c>
      <c r="F102" s="11" t="str">
        <f aca="false">IF($A102="","",INDEX(Employees!$T$6:$T$205,MATCH($A102,Employees!$BH$6:$BH$205,0)))</f>
        <v/>
      </c>
      <c r="G102" s="26" t="str">
        <f aca="false">IF($A102="","",INDEX(Employees!$U$6:$U$205,MATCH($A102,Employees!$BH$6:$BH$205,0)))</f>
        <v/>
      </c>
      <c r="H102" s="28" t="str">
        <f aca="false">IF($A102="","",INDEX(Employees!$E$6:$E$205,MATCH($A102,Employees!$BH$6:$BH$205,0)))</f>
        <v/>
      </c>
      <c r="I102" s="11" t="str">
        <f aca="false">IF($A102="","",INDEX(Employees!$Z$6:$Z$205,MATCH($A102,Employees!$BH$6:$BH$205,0)))</f>
        <v/>
      </c>
      <c r="J102" s="26" t="str">
        <f aca="false">IF($A102="","",INDEX(Employees!$AB$6:$AB$205,MATCH($A102,Employees!$BH$6:$BH$205,0)))</f>
        <v/>
      </c>
      <c r="K102" s="26" t="str">
        <f aca="false">IF($A102="","",INDEX(Employees!$AI$6:$AI$205,MATCH($A102,Employees!$BH$6:$BH$205,0)))</f>
        <v/>
      </c>
      <c r="L102" s="26" t="str">
        <f aca="false">IF($A102="","",INDEX(Employees!$AG$6:$AG$205,MATCH($A102,Employees!$BH$6:$BH$205,0)))</f>
        <v/>
      </c>
      <c r="M102" s="26" t="str">
        <f aca="false">IF($A102="","",INDEX(Employees!$AH$6:$AH$205,MATCH($A102,Employees!$BH$6:$BH$205,0)))</f>
        <v/>
      </c>
      <c r="N102" s="26" t="str">
        <f aca="false">IF($A102="","",INDEX(Employees!$AK$6:$AK$205,MATCH($A102,Employees!$BH$6:$BH$205,0)))</f>
        <v/>
      </c>
      <c r="O102" s="26" t="str">
        <f aca="false">IF($A102="","",INDEX(Employees!$AL$6:$AL$205,MATCH($A102,Employees!$BH$6:$BH$205,0)))</f>
        <v/>
      </c>
      <c r="P102" s="11" t="str">
        <f aca="false">IF($A102="","",INDEX(Employees!$AM$6:$AM$205,MATCH($A102,Employees!$BH$6:$BH$205,0)))</f>
        <v/>
      </c>
    </row>
    <row r="103" customFormat="false" ht="15" hidden="false" customHeight="false" outlineLevel="0" collapsed="false">
      <c r="A103" s="11" t="str">
        <f aca="false">IF(98&lt;=MAX(Employees!$BH$6:$BH$205),98,"")</f>
        <v/>
      </c>
      <c r="B103" s="11" t="str">
        <f aca="false">IF($A103="","",INDEX(Employees!$A$6:$A$205,MATCH($A103,Employees!$BH$6:$BH$205,0)))</f>
        <v/>
      </c>
      <c r="C103" s="11" t="str">
        <f aca="false">IF($A103="","",INDEX(Employees!$B$6:$B$205,MATCH($A103,Employees!$BH$6:$BH$205,0)))</f>
        <v/>
      </c>
      <c r="D103" s="11" t="str">
        <f aca="false">IF($A103="","",INDEX(Employees!$C$6:$C$205,MATCH($A103,Employees!$BH$6:$BH$205,0)))</f>
        <v/>
      </c>
      <c r="E103" s="11" t="str">
        <f aca="false">IF($A103="","",INDEX(Employees!$D$6:$D$205,MATCH($A103,Employees!$BH$6:$BH$205,0)))</f>
        <v/>
      </c>
      <c r="F103" s="11" t="str">
        <f aca="false">IF($A103="","",INDEX(Employees!$T$6:$T$205,MATCH($A103,Employees!$BH$6:$BH$205,0)))</f>
        <v/>
      </c>
      <c r="G103" s="26" t="str">
        <f aca="false">IF($A103="","",INDEX(Employees!$U$6:$U$205,MATCH($A103,Employees!$BH$6:$BH$205,0)))</f>
        <v/>
      </c>
      <c r="H103" s="28" t="str">
        <f aca="false">IF($A103="","",INDEX(Employees!$E$6:$E$205,MATCH($A103,Employees!$BH$6:$BH$205,0)))</f>
        <v/>
      </c>
      <c r="I103" s="11" t="str">
        <f aca="false">IF($A103="","",INDEX(Employees!$Z$6:$Z$205,MATCH($A103,Employees!$BH$6:$BH$205,0)))</f>
        <v/>
      </c>
      <c r="J103" s="26" t="str">
        <f aca="false">IF($A103="","",INDEX(Employees!$AB$6:$AB$205,MATCH($A103,Employees!$BH$6:$BH$205,0)))</f>
        <v/>
      </c>
      <c r="K103" s="26" t="str">
        <f aca="false">IF($A103="","",INDEX(Employees!$AI$6:$AI$205,MATCH($A103,Employees!$BH$6:$BH$205,0)))</f>
        <v/>
      </c>
      <c r="L103" s="26" t="str">
        <f aca="false">IF($A103="","",INDEX(Employees!$AG$6:$AG$205,MATCH($A103,Employees!$BH$6:$BH$205,0)))</f>
        <v/>
      </c>
      <c r="M103" s="26" t="str">
        <f aca="false">IF($A103="","",INDEX(Employees!$AH$6:$AH$205,MATCH($A103,Employees!$BH$6:$BH$205,0)))</f>
        <v/>
      </c>
      <c r="N103" s="26" t="str">
        <f aca="false">IF($A103="","",INDEX(Employees!$AK$6:$AK$205,MATCH($A103,Employees!$BH$6:$BH$205,0)))</f>
        <v/>
      </c>
      <c r="O103" s="26" t="str">
        <f aca="false">IF($A103="","",INDEX(Employees!$AL$6:$AL$205,MATCH($A103,Employees!$BH$6:$BH$205,0)))</f>
        <v/>
      </c>
      <c r="P103" s="11" t="str">
        <f aca="false">IF($A103="","",INDEX(Employees!$AM$6:$AM$205,MATCH($A103,Employees!$BH$6:$BH$205,0)))</f>
        <v/>
      </c>
    </row>
    <row r="104" customFormat="false" ht="15" hidden="false" customHeight="false" outlineLevel="0" collapsed="false">
      <c r="A104" s="11" t="str">
        <f aca="false">IF(99&lt;=MAX(Employees!$BH$6:$BH$205),99,"")</f>
        <v/>
      </c>
      <c r="B104" s="11" t="str">
        <f aca="false">IF($A104="","",INDEX(Employees!$A$6:$A$205,MATCH($A104,Employees!$BH$6:$BH$205,0)))</f>
        <v/>
      </c>
      <c r="C104" s="11" t="str">
        <f aca="false">IF($A104="","",INDEX(Employees!$B$6:$B$205,MATCH($A104,Employees!$BH$6:$BH$205,0)))</f>
        <v/>
      </c>
      <c r="D104" s="11" t="str">
        <f aca="false">IF($A104="","",INDEX(Employees!$C$6:$C$205,MATCH($A104,Employees!$BH$6:$BH$205,0)))</f>
        <v/>
      </c>
      <c r="E104" s="11" t="str">
        <f aca="false">IF($A104="","",INDEX(Employees!$D$6:$D$205,MATCH($A104,Employees!$BH$6:$BH$205,0)))</f>
        <v/>
      </c>
      <c r="F104" s="11" t="str">
        <f aca="false">IF($A104="","",INDEX(Employees!$T$6:$T$205,MATCH($A104,Employees!$BH$6:$BH$205,0)))</f>
        <v/>
      </c>
      <c r="G104" s="26" t="str">
        <f aca="false">IF($A104="","",INDEX(Employees!$U$6:$U$205,MATCH($A104,Employees!$BH$6:$BH$205,0)))</f>
        <v/>
      </c>
      <c r="H104" s="28" t="str">
        <f aca="false">IF($A104="","",INDEX(Employees!$E$6:$E$205,MATCH($A104,Employees!$BH$6:$BH$205,0)))</f>
        <v/>
      </c>
      <c r="I104" s="11" t="str">
        <f aca="false">IF($A104="","",INDEX(Employees!$Z$6:$Z$205,MATCH($A104,Employees!$BH$6:$BH$205,0)))</f>
        <v/>
      </c>
      <c r="J104" s="26" t="str">
        <f aca="false">IF($A104="","",INDEX(Employees!$AB$6:$AB$205,MATCH($A104,Employees!$BH$6:$BH$205,0)))</f>
        <v/>
      </c>
      <c r="K104" s="26" t="str">
        <f aca="false">IF($A104="","",INDEX(Employees!$AI$6:$AI$205,MATCH($A104,Employees!$BH$6:$BH$205,0)))</f>
        <v/>
      </c>
      <c r="L104" s="26" t="str">
        <f aca="false">IF($A104="","",INDEX(Employees!$AG$6:$AG$205,MATCH($A104,Employees!$BH$6:$BH$205,0)))</f>
        <v/>
      </c>
      <c r="M104" s="26" t="str">
        <f aca="false">IF($A104="","",INDEX(Employees!$AH$6:$AH$205,MATCH($A104,Employees!$BH$6:$BH$205,0)))</f>
        <v/>
      </c>
      <c r="N104" s="26" t="str">
        <f aca="false">IF($A104="","",INDEX(Employees!$AK$6:$AK$205,MATCH($A104,Employees!$BH$6:$BH$205,0)))</f>
        <v/>
      </c>
      <c r="O104" s="26" t="str">
        <f aca="false">IF($A104="","",INDEX(Employees!$AL$6:$AL$205,MATCH($A104,Employees!$BH$6:$BH$205,0)))</f>
        <v/>
      </c>
      <c r="P104" s="11" t="str">
        <f aca="false">IF($A104="","",INDEX(Employees!$AM$6:$AM$205,MATCH($A104,Employees!$BH$6:$BH$205,0)))</f>
        <v/>
      </c>
    </row>
    <row r="105" customFormat="false" ht="15" hidden="false" customHeight="false" outlineLevel="0" collapsed="false">
      <c r="A105" s="11" t="str">
        <f aca="false">IF(100&lt;=MAX(Employees!$BH$6:$BH$205),100,"")</f>
        <v/>
      </c>
      <c r="B105" s="11" t="str">
        <f aca="false">IF($A105="","",INDEX(Employees!$A$6:$A$205,MATCH($A105,Employees!$BH$6:$BH$205,0)))</f>
        <v/>
      </c>
      <c r="C105" s="11" t="str">
        <f aca="false">IF($A105="","",INDEX(Employees!$B$6:$B$205,MATCH($A105,Employees!$BH$6:$BH$205,0)))</f>
        <v/>
      </c>
      <c r="D105" s="11" t="str">
        <f aca="false">IF($A105="","",INDEX(Employees!$C$6:$C$205,MATCH($A105,Employees!$BH$6:$BH$205,0)))</f>
        <v/>
      </c>
      <c r="E105" s="11" t="str">
        <f aca="false">IF($A105="","",INDEX(Employees!$D$6:$D$205,MATCH($A105,Employees!$BH$6:$BH$205,0)))</f>
        <v/>
      </c>
      <c r="F105" s="11" t="str">
        <f aca="false">IF($A105="","",INDEX(Employees!$T$6:$T$205,MATCH($A105,Employees!$BH$6:$BH$205,0)))</f>
        <v/>
      </c>
      <c r="G105" s="26" t="str">
        <f aca="false">IF($A105="","",INDEX(Employees!$U$6:$U$205,MATCH($A105,Employees!$BH$6:$BH$205,0)))</f>
        <v/>
      </c>
      <c r="H105" s="28" t="str">
        <f aca="false">IF($A105="","",INDEX(Employees!$E$6:$E$205,MATCH($A105,Employees!$BH$6:$BH$205,0)))</f>
        <v/>
      </c>
      <c r="I105" s="11" t="str">
        <f aca="false">IF($A105="","",INDEX(Employees!$Z$6:$Z$205,MATCH($A105,Employees!$BH$6:$BH$205,0)))</f>
        <v/>
      </c>
      <c r="J105" s="26" t="str">
        <f aca="false">IF($A105="","",INDEX(Employees!$AB$6:$AB$205,MATCH($A105,Employees!$BH$6:$BH$205,0)))</f>
        <v/>
      </c>
      <c r="K105" s="26" t="str">
        <f aca="false">IF($A105="","",INDEX(Employees!$AI$6:$AI$205,MATCH($A105,Employees!$BH$6:$BH$205,0)))</f>
        <v/>
      </c>
      <c r="L105" s="26" t="str">
        <f aca="false">IF($A105="","",INDEX(Employees!$AG$6:$AG$205,MATCH($A105,Employees!$BH$6:$BH$205,0)))</f>
        <v/>
      </c>
      <c r="M105" s="26" t="str">
        <f aca="false">IF($A105="","",INDEX(Employees!$AH$6:$AH$205,MATCH($A105,Employees!$BH$6:$BH$205,0)))</f>
        <v/>
      </c>
      <c r="N105" s="26" t="str">
        <f aca="false">IF($A105="","",INDEX(Employees!$AK$6:$AK$205,MATCH($A105,Employees!$BH$6:$BH$205,0)))</f>
        <v/>
      </c>
      <c r="O105" s="26" t="str">
        <f aca="false">IF($A105="","",INDEX(Employees!$AL$6:$AL$205,MATCH($A105,Employees!$BH$6:$BH$205,0)))</f>
        <v/>
      </c>
      <c r="P105" s="11" t="str">
        <f aca="false">IF($A105="","",INDEX(Employees!$AM$6:$AM$205,MATCH($A105,Employees!$BH$6:$BH$205,0)))</f>
        <v/>
      </c>
    </row>
    <row r="106" customFormat="false" ht="15" hidden="false" customHeight="false" outlineLevel="0" collapsed="false">
      <c r="A106" s="11" t="str">
        <f aca="false">IF(101&lt;=MAX(Employees!$BH$6:$BH$205),101,"")</f>
        <v/>
      </c>
      <c r="B106" s="11" t="str">
        <f aca="false">IF($A106="","",INDEX(Employees!$A$6:$A$205,MATCH($A106,Employees!$BH$6:$BH$205,0)))</f>
        <v/>
      </c>
      <c r="C106" s="11" t="str">
        <f aca="false">IF($A106="","",INDEX(Employees!$B$6:$B$205,MATCH($A106,Employees!$BH$6:$BH$205,0)))</f>
        <v/>
      </c>
      <c r="D106" s="11" t="str">
        <f aca="false">IF($A106="","",INDEX(Employees!$C$6:$C$205,MATCH($A106,Employees!$BH$6:$BH$205,0)))</f>
        <v/>
      </c>
      <c r="E106" s="11" t="str">
        <f aca="false">IF($A106="","",INDEX(Employees!$D$6:$D$205,MATCH($A106,Employees!$BH$6:$BH$205,0)))</f>
        <v/>
      </c>
      <c r="F106" s="11" t="str">
        <f aca="false">IF($A106="","",INDEX(Employees!$T$6:$T$205,MATCH($A106,Employees!$BH$6:$BH$205,0)))</f>
        <v/>
      </c>
      <c r="G106" s="26" t="str">
        <f aca="false">IF($A106="","",INDEX(Employees!$U$6:$U$205,MATCH($A106,Employees!$BH$6:$BH$205,0)))</f>
        <v/>
      </c>
      <c r="H106" s="28" t="str">
        <f aca="false">IF($A106="","",INDEX(Employees!$E$6:$E$205,MATCH($A106,Employees!$BH$6:$BH$205,0)))</f>
        <v/>
      </c>
      <c r="I106" s="11" t="str">
        <f aca="false">IF($A106="","",INDEX(Employees!$Z$6:$Z$205,MATCH($A106,Employees!$BH$6:$BH$205,0)))</f>
        <v/>
      </c>
      <c r="J106" s="26" t="str">
        <f aca="false">IF($A106="","",INDEX(Employees!$AB$6:$AB$205,MATCH($A106,Employees!$BH$6:$BH$205,0)))</f>
        <v/>
      </c>
      <c r="K106" s="26" t="str">
        <f aca="false">IF($A106="","",INDEX(Employees!$AI$6:$AI$205,MATCH($A106,Employees!$BH$6:$BH$205,0)))</f>
        <v/>
      </c>
      <c r="L106" s="26" t="str">
        <f aca="false">IF($A106="","",INDEX(Employees!$AG$6:$AG$205,MATCH($A106,Employees!$BH$6:$BH$205,0)))</f>
        <v/>
      </c>
      <c r="M106" s="26" t="str">
        <f aca="false">IF($A106="","",INDEX(Employees!$AH$6:$AH$205,MATCH($A106,Employees!$BH$6:$BH$205,0)))</f>
        <v/>
      </c>
      <c r="N106" s="26" t="str">
        <f aca="false">IF($A106="","",INDEX(Employees!$AK$6:$AK$205,MATCH($A106,Employees!$BH$6:$BH$205,0)))</f>
        <v/>
      </c>
      <c r="O106" s="26" t="str">
        <f aca="false">IF($A106="","",INDEX(Employees!$AL$6:$AL$205,MATCH($A106,Employees!$BH$6:$BH$205,0)))</f>
        <v/>
      </c>
      <c r="P106" s="11" t="str">
        <f aca="false">IF($A106="","",INDEX(Employees!$AM$6:$AM$205,MATCH($A106,Employees!$BH$6:$BH$205,0)))</f>
        <v/>
      </c>
    </row>
    <row r="107" customFormat="false" ht="15" hidden="false" customHeight="false" outlineLevel="0" collapsed="false">
      <c r="A107" s="11" t="str">
        <f aca="false">IF(102&lt;=MAX(Employees!$BH$6:$BH$205),102,"")</f>
        <v/>
      </c>
      <c r="B107" s="11" t="str">
        <f aca="false">IF($A107="","",INDEX(Employees!$A$6:$A$205,MATCH($A107,Employees!$BH$6:$BH$205,0)))</f>
        <v/>
      </c>
      <c r="C107" s="11" t="str">
        <f aca="false">IF($A107="","",INDEX(Employees!$B$6:$B$205,MATCH($A107,Employees!$BH$6:$BH$205,0)))</f>
        <v/>
      </c>
      <c r="D107" s="11" t="str">
        <f aca="false">IF($A107="","",INDEX(Employees!$C$6:$C$205,MATCH($A107,Employees!$BH$6:$BH$205,0)))</f>
        <v/>
      </c>
      <c r="E107" s="11" t="str">
        <f aca="false">IF($A107="","",INDEX(Employees!$D$6:$D$205,MATCH($A107,Employees!$BH$6:$BH$205,0)))</f>
        <v/>
      </c>
      <c r="F107" s="11" t="str">
        <f aca="false">IF($A107="","",INDEX(Employees!$T$6:$T$205,MATCH($A107,Employees!$BH$6:$BH$205,0)))</f>
        <v/>
      </c>
      <c r="G107" s="26" t="str">
        <f aca="false">IF($A107="","",INDEX(Employees!$U$6:$U$205,MATCH($A107,Employees!$BH$6:$BH$205,0)))</f>
        <v/>
      </c>
      <c r="H107" s="28" t="str">
        <f aca="false">IF($A107="","",INDEX(Employees!$E$6:$E$205,MATCH($A107,Employees!$BH$6:$BH$205,0)))</f>
        <v/>
      </c>
      <c r="I107" s="11" t="str">
        <f aca="false">IF($A107="","",INDEX(Employees!$Z$6:$Z$205,MATCH($A107,Employees!$BH$6:$BH$205,0)))</f>
        <v/>
      </c>
      <c r="J107" s="26" t="str">
        <f aca="false">IF($A107="","",INDEX(Employees!$AB$6:$AB$205,MATCH($A107,Employees!$BH$6:$BH$205,0)))</f>
        <v/>
      </c>
      <c r="K107" s="26" t="str">
        <f aca="false">IF($A107="","",INDEX(Employees!$AI$6:$AI$205,MATCH($A107,Employees!$BH$6:$BH$205,0)))</f>
        <v/>
      </c>
      <c r="L107" s="26" t="str">
        <f aca="false">IF($A107="","",INDEX(Employees!$AG$6:$AG$205,MATCH($A107,Employees!$BH$6:$BH$205,0)))</f>
        <v/>
      </c>
      <c r="M107" s="26" t="str">
        <f aca="false">IF($A107="","",INDEX(Employees!$AH$6:$AH$205,MATCH($A107,Employees!$BH$6:$BH$205,0)))</f>
        <v/>
      </c>
      <c r="N107" s="26" t="str">
        <f aca="false">IF($A107="","",INDEX(Employees!$AK$6:$AK$205,MATCH($A107,Employees!$BH$6:$BH$205,0)))</f>
        <v/>
      </c>
      <c r="O107" s="26" t="str">
        <f aca="false">IF($A107="","",INDEX(Employees!$AL$6:$AL$205,MATCH($A107,Employees!$BH$6:$BH$205,0)))</f>
        <v/>
      </c>
      <c r="P107" s="11" t="str">
        <f aca="false">IF($A107="","",INDEX(Employees!$AM$6:$AM$205,MATCH($A107,Employees!$BH$6:$BH$205,0)))</f>
        <v/>
      </c>
    </row>
    <row r="108" customFormat="false" ht="15" hidden="false" customHeight="false" outlineLevel="0" collapsed="false">
      <c r="A108" s="11" t="str">
        <f aca="false">IF(103&lt;=MAX(Employees!$BH$6:$BH$205),103,"")</f>
        <v/>
      </c>
      <c r="B108" s="11" t="str">
        <f aca="false">IF($A108="","",INDEX(Employees!$A$6:$A$205,MATCH($A108,Employees!$BH$6:$BH$205,0)))</f>
        <v/>
      </c>
      <c r="C108" s="11" t="str">
        <f aca="false">IF($A108="","",INDEX(Employees!$B$6:$B$205,MATCH($A108,Employees!$BH$6:$BH$205,0)))</f>
        <v/>
      </c>
      <c r="D108" s="11" t="str">
        <f aca="false">IF($A108="","",INDEX(Employees!$C$6:$C$205,MATCH($A108,Employees!$BH$6:$BH$205,0)))</f>
        <v/>
      </c>
      <c r="E108" s="11" t="str">
        <f aca="false">IF($A108="","",INDEX(Employees!$D$6:$D$205,MATCH($A108,Employees!$BH$6:$BH$205,0)))</f>
        <v/>
      </c>
      <c r="F108" s="11" t="str">
        <f aca="false">IF($A108="","",INDEX(Employees!$T$6:$T$205,MATCH($A108,Employees!$BH$6:$BH$205,0)))</f>
        <v/>
      </c>
      <c r="G108" s="26" t="str">
        <f aca="false">IF($A108="","",INDEX(Employees!$U$6:$U$205,MATCH($A108,Employees!$BH$6:$BH$205,0)))</f>
        <v/>
      </c>
      <c r="H108" s="28" t="str">
        <f aca="false">IF($A108="","",INDEX(Employees!$E$6:$E$205,MATCH($A108,Employees!$BH$6:$BH$205,0)))</f>
        <v/>
      </c>
      <c r="I108" s="11" t="str">
        <f aca="false">IF($A108="","",INDEX(Employees!$Z$6:$Z$205,MATCH($A108,Employees!$BH$6:$BH$205,0)))</f>
        <v/>
      </c>
      <c r="J108" s="26" t="str">
        <f aca="false">IF($A108="","",INDEX(Employees!$AB$6:$AB$205,MATCH($A108,Employees!$BH$6:$BH$205,0)))</f>
        <v/>
      </c>
      <c r="K108" s="26" t="str">
        <f aca="false">IF($A108="","",INDEX(Employees!$AI$6:$AI$205,MATCH($A108,Employees!$BH$6:$BH$205,0)))</f>
        <v/>
      </c>
      <c r="L108" s="26" t="str">
        <f aca="false">IF($A108="","",INDEX(Employees!$AG$6:$AG$205,MATCH($A108,Employees!$BH$6:$BH$205,0)))</f>
        <v/>
      </c>
      <c r="M108" s="26" t="str">
        <f aca="false">IF($A108="","",INDEX(Employees!$AH$6:$AH$205,MATCH($A108,Employees!$BH$6:$BH$205,0)))</f>
        <v/>
      </c>
      <c r="N108" s="26" t="str">
        <f aca="false">IF($A108="","",INDEX(Employees!$AK$6:$AK$205,MATCH($A108,Employees!$BH$6:$BH$205,0)))</f>
        <v/>
      </c>
      <c r="O108" s="26" t="str">
        <f aca="false">IF($A108="","",INDEX(Employees!$AL$6:$AL$205,MATCH($A108,Employees!$BH$6:$BH$205,0)))</f>
        <v/>
      </c>
      <c r="P108" s="11" t="str">
        <f aca="false">IF($A108="","",INDEX(Employees!$AM$6:$AM$205,MATCH($A108,Employees!$BH$6:$BH$205,0)))</f>
        <v/>
      </c>
    </row>
    <row r="109" customFormat="false" ht="15" hidden="false" customHeight="false" outlineLevel="0" collapsed="false">
      <c r="A109" s="11" t="str">
        <f aca="false">IF(104&lt;=MAX(Employees!$BH$6:$BH$205),104,"")</f>
        <v/>
      </c>
      <c r="B109" s="11" t="str">
        <f aca="false">IF($A109="","",INDEX(Employees!$A$6:$A$205,MATCH($A109,Employees!$BH$6:$BH$205,0)))</f>
        <v/>
      </c>
      <c r="C109" s="11" t="str">
        <f aca="false">IF($A109="","",INDEX(Employees!$B$6:$B$205,MATCH($A109,Employees!$BH$6:$BH$205,0)))</f>
        <v/>
      </c>
      <c r="D109" s="11" t="str">
        <f aca="false">IF($A109="","",INDEX(Employees!$C$6:$C$205,MATCH($A109,Employees!$BH$6:$BH$205,0)))</f>
        <v/>
      </c>
      <c r="E109" s="11" t="str">
        <f aca="false">IF($A109="","",INDEX(Employees!$D$6:$D$205,MATCH($A109,Employees!$BH$6:$BH$205,0)))</f>
        <v/>
      </c>
      <c r="F109" s="11" t="str">
        <f aca="false">IF($A109="","",INDEX(Employees!$T$6:$T$205,MATCH($A109,Employees!$BH$6:$BH$205,0)))</f>
        <v/>
      </c>
      <c r="G109" s="26" t="str">
        <f aca="false">IF($A109="","",INDEX(Employees!$U$6:$U$205,MATCH($A109,Employees!$BH$6:$BH$205,0)))</f>
        <v/>
      </c>
      <c r="H109" s="28" t="str">
        <f aca="false">IF($A109="","",INDEX(Employees!$E$6:$E$205,MATCH($A109,Employees!$BH$6:$BH$205,0)))</f>
        <v/>
      </c>
      <c r="I109" s="11" t="str">
        <f aca="false">IF($A109="","",INDEX(Employees!$Z$6:$Z$205,MATCH($A109,Employees!$BH$6:$BH$205,0)))</f>
        <v/>
      </c>
      <c r="J109" s="26" t="str">
        <f aca="false">IF($A109="","",INDEX(Employees!$AB$6:$AB$205,MATCH($A109,Employees!$BH$6:$BH$205,0)))</f>
        <v/>
      </c>
      <c r="K109" s="26" t="str">
        <f aca="false">IF($A109="","",INDEX(Employees!$AI$6:$AI$205,MATCH($A109,Employees!$BH$6:$BH$205,0)))</f>
        <v/>
      </c>
      <c r="L109" s="26" t="str">
        <f aca="false">IF($A109="","",INDEX(Employees!$AG$6:$AG$205,MATCH($A109,Employees!$BH$6:$BH$205,0)))</f>
        <v/>
      </c>
      <c r="M109" s="26" t="str">
        <f aca="false">IF($A109="","",INDEX(Employees!$AH$6:$AH$205,MATCH($A109,Employees!$BH$6:$BH$205,0)))</f>
        <v/>
      </c>
      <c r="N109" s="26" t="str">
        <f aca="false">IF($A109="","",INDEX(Employees!$AK$6:$AK$205,MATCH($A109,Employees!$BH$6:$BH$205,0)))</f>
        <v/>
      </c>
      <c r="O109" s="26" t="str">
        <f aca="false">IF($A109="","",INDEX(Employees!$AL$6:$AL$205,MATCH($A109,Employees!$BH$6:$BH$205,0)))</f>
        <v/>
      </c>
      <c r="P109" s="11" t="str">
        <f aca="false">IF($A109="","",INDEX(Employees!$AM$6:$AM$205,MATCH($A109,Employees!$BH$6:$BH$205,0)))</f>
        <v/>
      </c>
    </row>
    <row r="110" customFormat="false" ht="15" hidden="false" customHeight="false" outlineLevel="0" collapsed="false">
      <c r="A110" s="11" t="str">
        <f aca="false">IF(105&lt;=MAX(Employees!$BH$6:$BH$205),105,"")</f>
        <v/>
      </c>
      <c r="B110" s="11" t="str">
        <f aca="false">IF($A110="","",INDEX(Employees!$A$6:$A$205,MATCH($A110,Employees!$BH$6:$BH$205,0)))</f>
        <v/>
      </c>
      <c r="C110" s="11" t="str">
        <f aca="false">IF($A110="","",INDEX(Employees!$B$6:$B$205,MATCH($A110,Employees!$BH$6:$BH$205,0)))</f>
        <v/>
      </c>
      <c r="D110" s="11" t="str">
        <f aca="false">IF($A110="","",INDEX(Employees!$C$6:$C$205,MATCH($A110,Employees!$BH$6:$BH$205,0)))</f>
        <v/>
      </c>
      <c r="E110" s="11" t="str">
        <f aca="false">IF($A110="","",INDEX(Employees!$D$6:$D$205,MATCH($A110,Employees!$BH$6:$BH$205,0)))</f>
        <v/>
      </c>
      <c r="F110" s="11" t="str">
        <f aca="false">IF($A110="","",INDEX(Employees!$T$6:$T$205,MATCH($A110,Employees!$BH$6:$BH$205,0)))</f>
        <v/>
      </c>
      <c r="G110" s="26" t="str">
        <f aca="false">IF($A110="","",INDEX(Employees!$U$6:$U$205,MATCH($A110,Employees!$BH$6:$BH$205,0)))</f>
        <v/>
      </c>
      <c r="H110" s="28" t="str">
        <f aca="false">IF($A110="","",INDEX(Employees!$E$6:$E$205,MATCH($A110,Employees!$BH$6:$BH$205,0)))</f>
        <v/>
      </c>
      <c r="I110" s="11" t="str">
        <f aca="false">IF($A110="","",INDEX(Employees!$Z$6:$Z$205,MATCH($A110,Employees!$BH$6:$BH$205,0)))</f>
        <v/>
      </c>
      <c r="J110" s="26" t="str">
        <f aca="false">IF($A110="","",INDEX(Employees!$AB$6:$AB$205,MATCH($A110,Employees!$BH$6:$BH$205,0)))</f>
        <v/>
      </c>
      <c r="K110" s="26" t="str">
        <f aca="false">IF($A110="","",INDEX(Employees!$AI$6:$AI$205,MATCH($A110,Employees!$BH$6:$BH$205,0)))</f>
        <v/>
      </c>
      <c r="L110" s="26" t="str">
        <f aca="false">IF($A110="","",INDEX(Employees!$AG$6:$AG$205,MATCH($A110,Employees!$BH$6:$BH$205,0)))</f>
        <v/>
      </c>
      <c r="M110" s="26" t="str">
        <f aca="false">IF($A110="","",INDEX(Employees!$AH$6:$AH$205,MATCH($A110,Employees!$BH$6:$BH$205,0)))</f>
        <v/>
      </c>
      <c r="N110" s="26" t="str">
        <f aca="false">IF($A110="","",INDEX(Employees!$AK$6:$AK$205,MATCH($A110,Employees!$BH$6:$BH$205,0)))</f>
        <v/>
      </c>
      <c r="O110" s="26" t="str">
        <f aca="false">IF($A110="","",INDEX(Employees!$AL$6:$AL$205,MATCH($A110,Employees!$BH$6:$BH$205,0)))</f>
        <v/>
      </c>
      <c r="P110" s="11" t="str">
        <f aca="false">IF($A110="","",INDEX(Employees!$AM$6:$AM$205,MATCH($A110,Employees!$BH$6:$BH$205,0)))</f>
        <v/>
      </c>
    </row>
    <row r="111" customFormat="false" ht="15" hidden="false" customHeight="false" outlineLevel="0" collapsed="false">
      <c r="A111" s="11" t="str">
        <f aca="false">IF(106&lt;=MAX(Employees!$BH$6:$BH$205),106,"")</f>
        <v/>
      </c>
      <c r="B111" s="11" t="str">
        <f aca="false">IF($A111="","",INDEX(Employees!$A$6:$A$205,MATCH($A111,Employees!$BH$6:$BH$205,0)))</f>
        <v/>
      </c>
      <c r="C111" s="11" t="str">
        <f aca="false">IF($A111="","",INDEX(Employees!$B$6:$B$205,MATCH($A111,Employees!$BH$6:$BH$205,0)))</f>
        <v/>
      </c>
      <c r="D111" s="11" t="str">
        <f aca="false">IF($A111="","",INDEX(Employees!$C$6:$C$205,MATCH($A111,Employees!$BH$6:$BH$205,0)))</f>
        <v/>
      </c>
      <c r="E111" s="11" t="str">
        <f aca="false">IF($A111="","",INDEX(Employees!$D$6:$D$205,MATCH($A111,Employees!$BH$6:$BH$205,0)))</f>
        <v/>
      </c>
      <c r="F111" s="11" t="str">
        <f aca="false">IF($A111="","",INDEX(Employees!$T$6:$T$205,MATCH($A111,Employees!$BH$6:$BH$205,0)))</f>
        <v/>
      </c>
      <c r="G111" s="26" t="str">
        <f aca="false">IF($A111="","",INDEX(Employees!$U$6:$U$205,MATCH($A111,Employees!$BH$6:$BH$205,0)))</f>
        <v/>
      </c>
      <c r="H111" s="28" t="str">
        <f aca="false">IF($A111="","",INDEX(Employees!$E$6:$E$205,MATCH($A111,Employees!$BH$6:$BH$205,0)))</f>
        <v/>
      </c>
      <c r="I111" s="11" t="str">
        <f aca="false">IF($A111="","",INDEX(Employees!$Z$6:$Z$205,MATCH($A111,Employees!$BH$6:$BH$205,0)))</f>
        <v/>
      </c>
      <c r="J111" s="26" t="str">
        <f aca="false">IF($A111="","",INDEX(Employees!$AB$6:$AB$205,MATCH($A111,Employees!$BH$6:$BH$205,0)))</f>
        <v/>
      </c>
      <c r="K111" s="26" t="str">
        <f aca="false">IF($A111="","",INDEX(Employees!$AI$6:$AI$205,MATCH($A111,Employees!$BH$6:$BH$205,0)))</f>
        <v/>
      </c>
      <c r="L111" s="26" t="str">
        <f aca="false">IF($A111="","",INDEX(Employees!$AG$6:$AG$205,MATCH($A111,Employees!$BH$6:$BH$205,0)))</f>
        <v/>
      </c>
      <c r="M111" s="26" t="str">
        <f aca="false">IF($A111="","",INDEX(Employees!$AH$6:$AH$205,MATCH($A111,Employees!$BH$6:$BH$205,0)))</f>
        <v/>
      </c>
      <c r="N111" s="26" t="str">
        <f aca="false">IF($A111="","",INDEX(Employees!$AK$6:$AK$205,MATCH($A111,Employees!$BH$6:$BH$205,0)))</f>
        <v/>
      </c>
      <c r="O111" s="26" t="str">
        <f aca="false">IF($A111="","",INDEX(Employees!$AL$6:$AL$205,MATCH($A111,Employees!$BH$6:$BH$205,0)))</f>
        <v/>
      </c>
      <c r="P111" s="11" t="str">
        <f aca="false">IF($A111="","",INDEX(Employees!$AM$6:$AM$205,MATCH($A111,Employees!$BH$6:$BH$205,0)))</f>
        <v/>
      </c>
    </row>
    <row r="112" customFormat="false" ht="15" hidden="false" customHeight="false" outlineLevel="0" collapsed="false">
      <c r="A112" s="11" t="str">
        <f aca="false">IF(107&lt;=MAX(Employees!$BH$6:$BH$205),107,"")</f>
        <v/>
      </c>
      <c r="B112" s="11" t="str">
        <f aca="false">IF($A112="","",INDEX(Employees!$A$6:$A$205,MATCH($A112,Employees!$BH$6:$BH$205,0)))</f>
        <v/>
      </c>
      <c r="C112" s="11" t="str">
        <f aca="false">IF($A112="","",INDEX(Employees!$B$6:$B$205,MATCH($A112,Employees!$BH$6:$BH$205,0)))</f>
        <v/>
      </c>
      <c r="D112" s="11" t="str">
        <f aca="false">IF($A112="","",INDEX(Employees!$C$6:$C$205,MATCH($A112,Employees!$BH$6:$BH$205,0)))</f>
        <v/>
      </c>
      <c r="E112" s="11" t="str">
        <f aca="false">IF($A112="","",INDEX(Employees!$D$6:$D$205,MATCH($A112,Employees!$BH$6:$BH$205,0)))</f>
        <v/>
      </c>
      <c r="F112" s="11" t="str">
        <f aca="false">IF($A112="","",INDEX(Employees!$T$6:$T$205,MATCH($A112,Employees!$BH$6:$BH$205,0)))</f>
        <v/>
      </c>
      <c r="G112" s="26" t="str">
        <f aca="false">IF($A112="","",INDEX(Employees!$U$6:$U$205,MATCH($A112,Employees!$BH$6:$BH$205,0)))</f>
        <v/>
      </c>
      <c r="H112" s="28" t="str">
        <f aca="false">IF($A112="","",INDEX(Employees!$E$6:$E$205,MATCH($A112,Employees!$BH$6:$BH$205,0)))</f>
        <v/>
      </c>
      <c r="I112" s="11" t="str">
        <f aca="false">IF($A112="","",INDEX(Employees!$Z$6:$Z$205,MATCH($A112,Employees!$BH$6:$BH$205,0)))</f>
        <v/>
      </c>
      <c r="J112" s="26" t="str">
        <f aca="false">IF($A112="","",INDEX(Employees!$AB$6:$AB$205,MATCH($A112,Employees!$BH$6:$BH$205,0)))</f>
        <v/>
      </c>
      <c r="K112" s="26" t="str">
        <f aca="false">IF($A112="","",INDEX(Employees!$AI$6:$AI$205,MATCH($A112,Employees!$BH$6:$BH$205,0)))</f>
        <v/>
      </c>
      <c r="L112" s="26" t="str">
        <f aca="false">IF($A112="","",INDEX(Employees!$AG$6:$AG$205,MATCH($A112,Employees!$BH$6:$BH$205,0)))</f>
        <v/>
      </c>
      <c r="M112" s="26" t="str">
        <f aca="false">IF($A112="","",INDEX(Employees!$AH$6:$AH$205,MATCH($A112,Employees!$BH$6:$BH$205,0)))</f>
        <v/>
      </c>
      <c r="N112" s="26" t="str">
        <f aca="false">IF($A112="","",INDEX(Employees!$AK$6:$AK$205,MATCH($A112,Employees!$BH$6:$BH$205,0)))</f>
        <v/>
      </c>
      <c r="O112" s="26" t="str">
        <f aca="false">IF($A112="","",INDEX(Employees!$AL$6:$AL$205,MATCH($A112,Employees!$BH$6:$BH$205,0)))</f>
        <v/>
      </c>
      <c r="P112" s="11" t="str">
        <f aca="false">IF($A112="","",INDEX(Employees!$AM$6:$AM$205,MATCH($A112,Employees!$BH$6:$BH$205,0)))</f>
        <v/>
      </c>
    </row>
    <row r="113" customFormat="false" ht="15" hidden="false" customHeight="false" outlineLevel="0" collapsed="false">
      <c r="A113" s="11" t="str">
        <f aca="false">IF(108&lt;=MAX(Employees!$BH$6:$BH$205),108,"")</f>
        <v/>
      </c>
      <c r="B113" s="11" t="str">
        <f aca="false">IF($A113="","",INDEX(Employees!$A$6:$A$205,MATCH($A113,Employees!$BH$6:$BH$205,0)))</f>
        <v/>
      </c>
      <c r="C113" s="11" t="str">
        <f aca="false">IF($A113="","",INDEX(Employees!$B$6:$B$205,MATCH($A113,Employees!$BH$6:$BH$205,0)))</f>
        <v/>
      </c>
      <c r="D113" s="11" t="str">
        <f aca="false">IF($A113="","",INDEX(Employees!$C$6:$C$205,MATCH($A113,Employees!$BH$6:$BH$205,0)))</f>
        <v/>
      </c>
      <c r="E113" s="11" t="str">
        <f aca="false">IF($A113="","",INDEX(Employees!$D$6:$D$205,MATCH($A113,Employees!$BH$6:$BH$205,0)))</f>
        <v/>
      </c>
      <c r="F113" s="11" t="str">
        <f aca="false">IF($A113="","",INDEX(Employees!$T$6:$T$205,MATCH($A113,Employees!$BH$6:$BH$205,0)))</f>
        <v/>
      </c>
      <c r="G113" s="26" t="str">
        <f aca="false">IF($A113="","",INDEX(Employees!$U$6:$U$205,MATCH($A113,Employees!$BH$6:$BH$205,0)))</f>
        <v/>
      </c>
      <c r="H113" s="28" t="str">
        <f aca="false">IF($A113="","",INDEX(Employees!$E$6:$E$205,MATCH($A113,Employees!$BH$6:$BH$205,0)))</f>
        <v/>
      </c>
      <c r="I113" s="11" t="str">
        <f aca="false">IF($A113="","",INDEX(Employees!$Z$6:$Z$205,MATCH($A113,Employees!$BH$6:$BH$205,0)))</f>
        <v/>
      </c>
      <c r="J113" s="26" t="str">
        <f aca="false">IF($A113="","",INDEX(Employees!$AB$6:$AB$205,MATCH($A113,Employees!$BH$6:$BH$205,0)))</f>
        <v/>
      </c>
      <c r="K113" s="26" t="str">
        <f aca="false">IF($A113="","",INDEX(Employees!$AI$6:$AI$205,MATCH($A113,Employees!$BH$6:$BH$205,0)))</f>
        <v/>
      </c>
      <c r="L113" s="26" t="str">
        <f aca="false">IF($A113="","",INDEX(Employees!$AG$6:$AG$205,MATCH($A113,Employees!$BH$6:$BH$205,0)))</f>
        <v/>
      </c>
      <c r="M113" s="26" t="str">
        <f aca="false">IF($A113="","",INDEX(Employees!$AH$6:$AH$205,MATCH($A113,Employees!$BH$6:$BH$205,0)))</f>
        <v/>
      </c>
      <c r="N113" s="26" t="str">
        <f aca="false">IF($A113="","",INDEX(Employees!$AK$6:$AK$205,MATCH($A113,Employees!$BH$6:$BH$205,0)))</f>
        <v/>
      </c>
      <c r="O113" s="26" t="str">
        <f aca="false">IF($A113="","",INDEX(Employees!$AL$6:$AL$205,MATCH($A113,Employees!$BH$6:$BH$205,0)))</f>
        <v/>
      </c>
      <c r="P113" s="11" t="str">
        <f aca="false">IF($A113="","",INDEX(Employees!$AM$6:$AM$205,MATCH($A113,Employees!$BH$6:$BH$205,0)))</f>
        <v/>
      </c>
    </row>
    <row r="114" customFormat="false" ht="15" hidden="false" customHeight="false" outlineLevel="0" collapsed="false">
      <c r="A114" s="11" t="str">
        <f aca="false">IF(109&lt;=MAX(Employees!$BH$6:$BH$205),109,"")</f>
        <v/>
      </c>
      <c r="B114" s="11" t="str">
        <f aca="false">IF($A114="","",INDEX(Employees!$A$6:$A$205,MATCH($A114,Employees!$BH$6:$BH$205,0)))</f>
        <v/>
      </c>
      <c r="C114" s="11" t="str">
        <f aca="false">IF($A114="","",INDEX(Employees!$B$6:$B$205,MATCH($A114,Employees!$BH$6:$BH$205,0)))</f>
        <v/>
      </c>
      <c r="D114" s="11" t="str">
        <f aca="false">IF($A114="","",INDEX(Employees!$C$6:$C$205,MATCH($A114,Employees!$BH$6:$BH$205,0)))</f>
        <v/>
      </c>
      <c r="E114" s="11" t="str">
        <f aca="false">IF($A114="","",INDEX(Employees!$D$6:$D$205,MATCH($A114,Employees!$BH$6:$BH$205,0)))</f>
        <v/>
      </c>
      <c r="F114" s="11" t="str">
        <f aca="false">IF($A114="","",INDEX(Employees!$T$6:$T$205,MATCH($A114,Employees!$BH$6:$BH$205,0)))</f>
        <v/>
      </c>
      <c r="G114" s="26" t="str">
        <f aca="false">IF($A114="","",INDEX(Employees!$U$6:$U$205,MATCH($A114,Employees!$BH$6:$BH$205,0)))</f>
        <v/>
      </c>
      <c r="H114" s="28" t="str">
        <f aca="false">IF($A114="","",INDEX(Employees!$E$6:$E$205,MATCH($A114,Employees!$BH$6:$BH$205,0)))</f>
        <v/>
      </c>
      <c r="I114" s="11" t="str">
        <f aca="false">IF($A114="","",INDEX(Employees!$Z$6:$Z$205,MATCH($A114,Employees!$BH$6:$BH$205,0)))</f>
        <v/>
      </c>
      <c r="J114" s="26" t="str">
        <f aca="false">IF($A114="","",INDEX(Employees!$AB$6:$AB$205,MATCH($A114,Employees!$BH$6:$BH$205,0)))</f>
        <v/>
      </c>
      <c r="K114" s="26" t="str">
        <f aca="false">IF($A114="","",INDEX(Employees!$AI$6:$AI$205,MATCH($A114,Employees!$BH$6:$BH$205,0)))</f>
        <v/>
      </c>
      <c r="L114" s="26" t="str">
        <f aca="false">IF($A114="","",INDEX(Employees!$AG$6:$AG$205,MATCH($A114,Employees!$BH$6:$BH$205,0)))</f>
        <v/>
      </c>
      <c r="M114" s="26" t="str">
        <f aca="false">IF($A114="","",INDEX(Employees!$AH$6:$AH$205,MATCH($A114,Employees!$BH$6:$BH$205,0)))</f>
        <v/>
      </c>
      <c r="N114" s="26" t="str">
        <f aca="false">IF($A114="","",INDEX(Employees!$AK$6:$AK$205,MATCH($A114,Employees!$BH$6:$BH$205,0)))</f>
        <v/>
      </c>
      <c r="O114" s="26" t="str">
        <f aca="false">IF($A114="","",INDEX(Employees!$AL$6:$AL$205,MATCH($A114,Employees!$BH$6:$BH$205,0)))</f>
        <v/>
      </c>
      <c r="P114" s="11" t="str">
        <f aca="false">IF($A114="","",INDEX(Employees!$AM$6:$AM$205,MATCH($A114,Employees!$BH$6:$BH$205,0)))</f>
        <v/>
      </c>
    </row>
    <row r="115" customFormat="false" ht="15" hidden="false" customHeight="false" outlineLevel="0" collapsed="false">
      <c r="A115" s="11" t="str">
        <f aca="false">IF(110&lt;=MAX(Employees!$BH$6:$BH$205),110,"")</f>
        <v/>
      </c>
      <c r="B115" s="11" t="str">
        <f aca="false">IF($A115="","",INDEX(Employees!$A$6:$A$205,MATCH($A115,Employees!$BH$6:$BH$205,0)))</f>
        <v/>
      </c>
      <c r="C115" s="11" t="str">
        <f aca="false">IF($A115="","",INDEX(Employees!$B$6:$B$205,MATCH($A115,Employees!$BH$6:$BH$205,0)))</f>
        <v/>
      </c>
      <c r="D115" s="11" t="str">
        <f aca="false">IF($A115="","",INDEX(Employees!$C$6:$C$205,MATCH($A115,Employees!$BH$6:$BH$205,0)))</f>
        <v/>
      </c>
      <c r="E115" s="11" t="str">
        <f aca="false">IF($A115="","",INDEX(Employees!$D$6:$D$205,MATCH($A115,Employees!$BH$6:$BH$205,0)))</f>
        <v/>
      </c>
      <c r="F115" s="11" t="str">
        <f aca="false">IF($A115="","",INDEX(Employees!$T$6:$T$205,MATCH($A115,Employees!$BH$6:$BH$205,0)))</f>
        <v/>
      </c>
      <c r="G115" s="26" t="str">
        <f aca="false">IF($A115="","",INDEX(Employees!$U$6:$U$205,MATCH($A115,Employees!$BH$6:$BH$205,0)))</f>
        <v/>
      </c>
      <c r="H115" s="28" t="str">
        <f aca="false">IF($A115="","",INDEX(Employees!$E$6:$E$205,MATCH($A115,Employees!$BH$6:$BH$205,0)))</f>
        <v/>
      </c>
      <c r="I115" s="11" t="str">
        <f aca="false">IF($A115="","",INDEX(Employees!$Z$6:$Z$205,MATCH($A115,Employees!$BH$6:$BH$205,0)))</f>
        <v/>
      </c>
      <c r="J115" s="26" t="str">
        <f aca="false">IF($A115="","",INDEX(Employees!$AB$6:$AB$205,MATCH($A115,Employees!$BH$6:$BH$205,0)))</f>
        <v/>
      </c>
      <c r="K115" s="26" t="str">
        <f aca="false">IF($A115="","",INDEX(Employees!$AI$6:$AI$205,MATCH($A115,Employees!$BH$6:$BH$205,0)))</f>
        <v/>
      </c>
      <c r="L115" s="26" t="str">
        <f aca="false">IF($A115="","",INDEX(Employees!$AG$6:$AG$205,MATCH($A115,Employees!$BH$6:$BH$205,0)))</f>
        <v/>
      </c>
      <c r="M115" s="26" t="str">
        <f aca="false">IF($A115="","",INDEX(Employees!$AH$6:$AH$205,MATCH($A115,Employees!$BH$6:$BH$205,0)))</f>
        <v/>
      </c>
      <c r="N115" s="26" t="str">
        <f aca="false">IF($A115="","",INDEX(Employees!$AK$6:$AK$205,MATCH($A115,Employees!$BH$6:$BH$205,0)))</f>
        <v/>
      </c>
      <c r="O115" s="26" t="str">
        <f aca="false">IF($A115="","",INDEX(Employees!$AL$6:$AL$205,MATCH($A115,Employees!$BH$6:$BH$205,0)))</f>
        <v/>
      </c>
      <c r="P115" s="11" t="str">
        <f aca="false">IF($A115="","",INDEX(Employees!$AM$6:$AM$205,MATCH($A115,Employees!$BH$6:$BH$205,0)))</f>
        <v/>
      </c>
    </row>
    <row r="116" customFormat="false" ht="15" hidden="false" customHeight="false" outlineLevel="0" collapsed="false">
      <c r="A116" s="11" t="str">
        <f aca="false">IF(111&lt;=MAX(Employees!$BH$6:$BH$205),111,"")</f>
        <v/>
      </c>
      <c r="B116" s="11" t="str">
        <f aca="false">IF($A116="","",INDEX(Employees!$A$6:$A$205,MATCH($A116,Employees!$BH$6:$BH$205,0)))</f>
        <v/>
      </c>
      <c r="C116" s="11" t="str">
        <f aca="false">IF($A116="","",INDEX(Employees!$B$6:$B$205,MATCH($A116,Employees!$BH$6:$BH$205,0)))</f>
        <v/>
      </c>
      <c r="D116" s="11" t="str">
        <f aca="false">IF($A116="","",INDEX(Employees!$C$6:$C$205,MATCH($A116,Employees!$BH$6:$BH$205,0)))</f>
        <v/>
      </c>
      <c r="E116" s="11" t="str">
        <f aca="false">IF($A116="","",INDEX(Employees!$D$6:$D$205,MATCH($A116,Employees!$BH$6:$BH$205,0)))</f>
        <v/>
      </c>
      <c r="F116" s="11" t="str">
        <f aca="false">IF($A116="","",INDEX(Employees!$T$6:$T$205,MATCH($A116,Employees!$BH$6:$BH$205,0)))</f>
        <v/>
      </c>
      <c r="G116" s="26" t="str">
        <f aca="false">IF($A116="","",INDEX(Employees!$U$6:$U$205,MATCH($A116,Employees!$BH$6:$BH$205,0)))</f>
        <v/>
      </c>
      <c r="H116" s="28" t="str">
        <f aca="false">IF($A116="","",INDEX(Employees!$E$6:$E$205,MATCH($A116,Employees!$BH$6:$BH$205,0)))</f>
        <v/>
      </c>
      <c r="I116" s="11" t="str">
        <f aca="false">IF($A116="","",INDEX(Employees!$Z$6:$Z$205,MATCH($A116,Employees!$BH$6:$BH$205,0)))</f>
        <v/>
      </c>
      <c r="J116" s="26" t="str">
        <f aca="false">IF($A116="","",INDEX(Employees!$AB$6:$AB$205,MATCH($A116,Employees!$BH$6:$BH$205,0)))</f>
        <v/>
      </c>
      <c r="K116" s="26" t="str">
        <f aca="false">IF($A116="","",INDEX(Employees!$AI$6:$AI$205,MATCH($A116,Employees!$BH$6:$BH$205,0)))</f>
        <v/>
      </c>
      <c r="L116" s="26" t="str">
        <f aca="false">IF($A116="","",INDEX(Employees!$AG$6:$AG$205,MATCH($A116,Employees!$BH$6:$BH$205,0)))</f>
        <v/>
      </c>
      <c r="M116" s="26" t="str">
        <f aca="false">IF($A116="","",INDEX(Employees!$AH$6:$AH$205,MATCH($A116,Employees!$BH$6:$BH$205,0)))</f>
        <v/>
      </c>
      <c r="N116" s="26" t="str">
        <f aca="false">IF($A116="","",INDEX(Employees!$AK$6:$AK$205,MATCH($A116,Employees!$BH$6:$BH$205,0)))</f>
        <v/>
      </c>
      <c r="O116" s="26" t="str">
        <f aca="false">IF($A116="","",INDEX(Employees!$AL$6:$AL$205,MATCH($A116,Employees!$BH$6:$BH$205,0)))</f>
        <v/>
      </c>
      <c r="P116" s="11" t="str">
        <f aca="false">IF($A116="","",INDEX(Employees!$AM$6:$AM$205,MATCH($A116,Employees!$BH$6:$BH$205,0)))</f>
        <v/>
      </c>
    </row>
    <row r="117" customFormat="false" ht="15" hidden="false" customHeight="false" outlineLevel="0" collapsed="false">
      <c r="A117" s="11" t="str">
        <f aca="false">IF(112&lt;=MAX(Employees!$BH$6:$BH$205),112,"")</f>
        <v/>
      </c>
      <c r="B117" s="11" t="str">
        <f aca="false">IF($A117="","",INDEX(Employees!$A$6:$A$205,MATCH($A117,Employees!$BH$6:$BH$205,0)))</f>
        <v/>
      </c>
      <c r="C117" s="11" t="str">
        <f aca="false">IF($A117="","",INDEX(Employees!$B$6:$B$205,MATCH($A117,Employees!$BH$6:$BH$205,0)))</f>
        <v/>
      </c>
      <c r="D117" s="11" t="str">
        <f aca="false">IF($A117="","",INDEX(Employees!$C$6:$C$205,MATCH($A117,Employees!$BH$6:$BH$205,0)))</f>
        <v/>
      </c>
      <c r="E117" s="11" t="str">
        <f aca="false">IF($A117="","",INDEX(Employees!$D$6:$D$205,MATCH($A117,Employees!$BH$6:$BH$205,0)))</f>
        <v/>
      </c>
      <c r="F117" s="11" t="str">
        <f aca="false">IF($A117="","",INDEX(Employees!$T$6:$T$205,MATCH($A117,Employees!$BH$6:$BH$205,0)))</f>
        <v/>
      </c>
      <c r="G117" s="26" t="str">
        <f aca="false">IF($A117="","",INDEX(Employees!$U$6:$U$205,MATCH($A117,Employees!$BH$6:$BH$205,0)))</f>
        <v/>
      </c>
      <c r="H117" s="28" t="str">
        <f aca="false">IF($A117="","",INDEX(Employees!$E$6:$E$205,MATCH($A117,Employees!$BH$6:$BH$205,0)))</f>
        <v/>
      </c>
      <c r="I117" s="11" t="str">
        <f aca="false">IF($A117="","",INDEX(Employees!$Z$6:$Z$205,MATCH($A117,Employees!$BH$6:$BH$205,0)))</f>
        <v/>
      </c>
      <c r="J117" s="26" t="str">
        <f aca="false">IF($A117="","",INDEX(Employees!$AB$6:$AB$205,MATCH($A117,Employees!$BH$6:$BH$205,0)))</f>
        <v/>
      </c>
      <c r="K117" s="26" t="str">
        <f aca="false">IF($A117="","",INDEX(Employees!$AI$6:$AI$205,MATCH($A117,Employees!$BH$6:$BH$205,0)))</f>
        <v/>
      </c>
      <c r="L117" s="26" t="str">
        <f aca="false">IF($A117="","",INDEX(Employees!$AG$6:$AG$205,MATCH($A117,Employees!$BH$6:$BH$205,0)))</f>
        <v/>
      </c>
      <c r="M117" s="26" t="str">
        <f aca="false">IF($A117="","",INDEX(Employees!$AH$6:$AH$205,MATCH($A117,Employees!$BH$6:$BH$205,0)))</f>
        <v/>
      </c>
      <c r="N117" s="26" t="str">
        <f aca="false">IF($A117="","",INDEX(Employees!$AK$6:$AK$205,MATCH($A117,Employees!$BH$6:$BH$205,0)))</f>
        <v/>
      </c>
      <c r="O117" s="26" t="str">
        <f aca="false">IF($A117="","",INDEX(Employees!$AL$6:$AL$205,MATCH($A117,Employees!$BH$6:$BH$205,0)))</f>
        <v/>
      </c>
      <c r="P117" s="11" t="str">
        <f aca="false">IF($A117="","",INDEX(Employees!$AM$6:$AM$205,MATCH($A117,Employees!$BH$6:$BH$205,0)))</f>
        <v/>
      </c>
    </row>
    <row r="118" customFormat="false" ht="15" hidden="false" customHeight="false" outlineLevel="0" collapsed="false">
      <c r="A118" s="11" t="str">
        <f aca="false">IF(113&lt;=MAX(Employees!$BH$6:$BH$205),113,"")</f>
        <v/>
      </c>
      <c r="B118" s="11" t="str">
        <f aca="false">IF($A118="","",INDEX(Employees!$A$6:$A$205,MATCH($A118,Employees!$BH$6:$BH$205,0)))</f>
        <v/>
      </c>
      <c r="C118" s="11" t="str">
        <f aca="false">IF($A118="","",INDEX(Employees!$B$6:$B$205,MATCH($A118,Employees!$BH$6:$BH$205,0)))</f>
        <v/>
      </c>
      <c r="D118" s="11" t="str">
        <f aca="false">IF($A118="","",INDEX(Employees!$C$6:$C$205,MATCH($A118,Employees!$BH$6:$BH$205,0)))</f>
        <v/>
      </c>
      <c r="E118" s="11" t="str">
        <f aca="false">IF($A118="","",INDEX(Employees!$D$6:$D$205,MATCH($A118,Employees!$BH$6:$BH$205,0)))</f>
        <v/>
      </c>
      <c r="F118" s="11" t="str">
        <f aca="false">IF($A118="","",INDEX(Employees!$T$6:$T$205,MATCH($A118,Employees!$BH$6:$BH$205,0)))</f>
        <v/>
      </c>
      <c r="G118" s="26" t="str">
        <f aca="false">IF($A118="","",INDEX(Employees!$U$6:$U$205,MATCH($A118,Employees!$BH$6:$BH$205,0)))</f>
        <v/>
      </c>
      <c r="H118" s="28" t="str">
        <f aca="false">IF($A118="","",INDEX(Employees!$E$6:$E$205,MATCH($A118,Employees!$BH$6:$BH$205,0)))</f>
        <v/>
      </c>
      <c r="I118" s="11" t="str">
        <f aca="false">IF($A118="","",INDEX(Employees!$Z$6:$Z$205,MATCH($A118,Employees!$BH$6:$BH$205,0)))</f>
        <v/>
      </c>
      <c r="J118" s="26" t="str">
        <f aca="false">IF($A118="","",INDEX(Employees!$AB$6:$AB$205,MATCH($A118,Employees!$BH$6:$BH$205,0)))</f>
        <v/>
      </c>
      <c r="K118" s="26" t="str">
        <f aca="false">IF($A118="","",INDEX(Employees!$AI$6:$AI$205,MATCH($A118,Employees!$BH$6:$BH$205,0)))</f>
        <v/>
      </c>
      <c r="L118" s="26" t="str">
        <f aca="false">IF($A118="","",INDEX(Employees!$AG$6:$AG$205,MATCH($A118,Employees!$BH$6:$BH$205,0)))</f>
        <v/>
      </c>
      <c r="M118" s="26" t="str">
        <f aca="false">IF($A118="","",INDEX(Employees!$AH$6:$AH$205,MATCH($A118,Employees!$BH$6:$BH$205,0)))</f>
        <v/>
      </c>
      <c r="N118" s="26" t="str">
        <f aca="false">IF($A118="","",INDEX(Employees!$AK$6:$AK$205,MATCH($A118,Employees!$BH$6:$BH$205,0)))</f>
        <v/>
      </c>
      <c r="O118" s="26" t="str">
        <f aca="false">IF($A118="","",INDEX(Employees!$AL$6:$AL$205,MATCH($A118,Employees!$BH$6:$BH$205,0)))</f>
        <v/>
      </c>
      <c r="P118" s="11" t="str">
        <f aca="false">IF($A118="","",INDEX(Employees!$AM$6:$AM$205,MATCH($A118,Employees!$BH$6:$BH$205,0)))</f>
        <v/>
      </c>
    </row>
    <row r="119" customFormat="false" ht="15" hidden="false" customHeight="false" outlineLevel="0" collapsed="false">
      <c r="A119" s="11" t="str">
        <f aca="false">IF(114&lt;=MAX(Employees!$BH$6:$BH$205),114,"")</f>
        <v/>
      </c>
      <c r="B119" s="11" t="str">
        <f aca="false">IF($A119="","",INDEX(Employees!$A$6:$A$205,MATCH($A119,Employees!$BH$6:$BH$205,0)))</f>
        <v/>
      </c>
      <c r="C119" s="11" t="str">
        <f aca="false">IF($A119="","",INDEX(Employees!$B$6:$B$205,MATCH($A119,Employees!$BH$6:$BH$205,0)))</f>
        <v/>
      </c>
      <c r="D119" s="11" t="str">
        <f aca="false">IF($A119="","",INDEX(Employees!$C$6:$C$205,MATCH($A119,Employees!$BH$6:$BH$205,0)))</f>
        <v/>
      </c>
      <c r="E119" s="11" t="str">
        <f aca="false">IF($A119="","",INDEX(Employees!$D$6:$D$205,MATCH($A119,Employees!$BH$6:$BH$205,0)))</f>
        <v/>
      </c>
      <c r="F119" s="11" t="str">
        <f aca="false">IF($A119="","",INDEX(Employees!$T$6:$T$205,MATCH($A119,Employees!$BH$6:$BH$205,0)))</f>
        <v/>
      </c>
      <c r="G119" s="26" t="str">
        <f aca="false">IF($A119="","",INDEX(Employees!$U$6:$U$205,MATCH($A119,Employees!$BH$6:$BH$205,0)))</f>
        <v/>
      </c>
      <c r="H119" s="28" t="str">
        <f aca="false">IF($A119="","",INDEX(Employees!$E$6:$E$205,MATCH($A119,Employees!$BH$6:$BH$205,0)))</f>
        <v/>
      </c>
      <c r="I119" s="11" t="str">
        <f aca="false">IF($A119="","",INDEX(Employees!$Z$6:$Z$205,MATCH($A119,Employees!$BH$6:$BH$205,0)))</f>
        <v/>
      </c>
      <c r="J119" s="26" t="str">
        <f aca="false">IF($A119="","",INDEX(Employees!$AB$6:$AB$205,MATCH($A119,Employees!$BH$6:$BH$205,0)))</f>
        <v/>
      </c>
      <c r="K119" s="26" t="str">
        <f aca="false">IF($A119="","",INDEX(Employees!$AI$6:$AI$205,MATCH($A119,Employees!$BH$6:$BH$205,0)))</f>
        <v/>
      </c>
      <c r="L119" s="26" t="str">
        <f aca="false">IF($A119="","",INDEX(Employees!$AG$6:$AG$205,MATCH($A119,Employees!$BH$6:$BH$205,0)))</f>
        <v/>
      </c>
      <c r="M119" s="26" t="str">
        <f aca="false">IF($A119="","",INDEX(Employees!$AH$6:$AH$205,MATCH($A119,Employees!$BH$6:$BH$205,0)))</f>
        <v/>
      </c>
      <c r="N119" s="26" t="str">
        <f aca="false">IF($A119="","",INDEX(Employees!$AK$6:$AK$205,MATCH($A119,Employees!$BH$6:$BH$205,0)))</f>
        <v/>
      </c>
      <c r="O119" s="26" t="str">
        <f aca="false">IF($A119="","",INDEX(Employees!$AL$6:$AL$205,MATCH($A119,Employees!$BH$6:$BH$205,0)))</f>
        <v/>
      </c>
      <c r="P119" s="11" t="str">
        <f aca="false">IF($A119="","",INDEX(Employees!$AM$6:$AM$205,MATCH($A119,Employees!$BH$6:$BH$205,0)))</f>
        <v/>
      </c>
    </row>
    <row r="120" customFormat="false" ht="15" hidden="false" customHeight="false" outlineLevel="0" collapsed="false">
      <c r="A120" s="11" t="str">
        <f aca="false">IF(115&lt;=MAX(Employees!$BH$6:$BH$205),115,"")</f>
        <v/>
      </c>
      <c r="B120" s="11" t="str">
        <f aca="false">IF($A120="","",INDEX(Employees!$A$6:$A$205,MATCH($A120,Employees!$BH$6:$BH$205,0)))</f>
        <v/>
      </c>
      <c r="C120" s="11" t="str">
        <f aca="false">IF($A120="","",INDEX(Employees!$B$6:$B$205,MATCH($A120,Employees!$BH$6:$BH$205,0)))</f>
        <v/>
      </c>
      <c r="D120" s="11" t="str">
        <f aca="false">IF($A120="","",INDEX(Employees!$C$6:$C$205,MATCH($A120,Employees!$BH$6:$BH$205,0)))</f>
        <v/>
      </c>
      <c r="E120" s="11" t="str">
        <f aca="false">IF($A120="","",INDEX(Employees!$D$6:$D$205,MATCH($A120,Employees!$BH$6:$BH$205,0)))</f>
        <v/>
      </c>
      <c r="F120" s="11" t="str">
        <f aca="false">IF($A120="","",INDEX(Employees!$T$6:$T$205,MATCH($A120,Employees!$BH$6:$BH$205,0)))</f>
        <v/>
      </c>
      <c r="G120" s="26" t="str">
        <f aca="false">IF($A120="","",INDEX(Employees!$U$6:$U$205,MATCH($A120,Employees!$BH$6:$BH$205,0)))</f>
        <v/>
      </c>
      <c r="H120" s="28" t="str">
        <f aca="false">IF($A120="","",INDEX(Employees!$E$6:$E$205,MATCH($A120,Employees!$BH$6:$BH$205,0)))</f>
        <v/>
      </c>
      <c r="I120" s="11" t="str">
        <f aca="false">IF($A120="","",INDEX(Employees!$Z$6:$Z$205,MATCH($A120,Employees!$BH$6:$BH$205,0)))</f>
        <v/>
      </c>
      <c r="J120" s="26" t="str">
        <f aca="false">IF($A120="","",INDEX(Employees!$AB$6:$AB$205,MATCH($A120,Employees!$BH$6:$BH$205,0)))</f>
        <v/>
      </c>
      <c r="K120" s="26" t="str">
        <f aca="false">IF($A120="","",INDEX(Employees!$AI$6:$AI$205,MATCH($A120,Employees!$BH$6:$BH$205,0)))</f>
        <v/>
      </c>
      <c r="L120" s="26" t="str">
        <f aca="false">IF($A120="","",INDEX(Employees!$AG$6:$AG$205,MATCH($A120,Employees!$BH$6:$BH$205,0)))</f>
        <v/>
      </c>
      <c r="M120" s="26" t="str">
        <f aca="false">IF($A120="","",INDEX(Employees!$AH$6:$AH$205,MATCH($A120,Employees!$BH$6:$BH$205,0)))</f>
        <v/>
      </c>
      <c r="N120" s="26" t="str">
        <f aca="false">IF($A120="","",INDEX(Employees!$AK$6:$AK$205,MATCH($A120,Employees!$BH$6:$BH$205,0)))</f>
        <v/>
      </c>
      <c r="O120" s="26" t="str">
        <f aca="false">IF($A120="","",INDEX(Employees!$AL$6:$AL$205,MATCH($A120,Employees!$BH$6:$BH$205,0)))</f>
        <v/>
      </c>
      <c r="P120" s="11" t="str">
        <f aca="false">IF($A120="","",INDEX(Employees!$AM$6:$AM$205,MATCH($A120,Employees!$BH$6:$BH$205,0)))</f>
        <v/>
      </c>
    </row>
    <row r="121" customFormat="false" ht="15" hidden="false" customHeight="false" outlineLevel="0" collapsed="false">
      <c r="A121" s="11" t="str">
        <f aca="false">IF(116&lt;=MAX(Employees!$BH$6:$BH$205),116,"")</f>
        <v/>
      </c>
      <c r="B121" s="11" t="str">
        <f aca="false">IF($A121="","",INDEX(Employees!$A$6:$A$205,MATCH($A121,Employees!$BH$6:$BH$205,0)))</f>
        <v/>
      </c>
      <c r="C121" s="11" t="str">
        <f aca="false">IF($A121="","",INDEX(Employees!$B$6:$B$205,MATCH($A121,Employees!$BH$6:$BH$205,0)))</f>
        <v/>
      </c>
      <c r="D121" s="11" t="str">
        <f aca="false">IF($A121="","",INDEX(Employees!$C$6:$C$205,MATCH($A121,Employees!$BH$6:$BH$205,0)))</f>
        <v/>
      </c>
      <c r="E121" s="11" t="str">
        <f aca="false">IF($A121="","",INDEX(Employees!$D$6:$D$205,MATCH($A121,Employees!$BH$6:$BH$205,0)))</f>
        <v/>
      </c>
      <c r="F121" s="11" t="str">
        <f aca="false">IF($A121="","",INDEX(Employees!$T$6:$T$205,MATCH($A121,Employees!$BH$6:$BH$205,0)))</f>
        <v/>
      </c>
      <c r="G121" s="26" t="str">
        <f aca="false">IF($A121="","",INDEX(Employees!$U$6:$U$205,MATCH($A121,Employees!$BH$6:$BH$205,0)))</f>
        <v/>
      </c>
      <c r="H121" s="28" t="str">
        <f aca="false">IF($A121="","",INDEX(Employees!$E$6:$E$205,MATCH($A121,Employees!$BH$6:$BH$205,0)))</f>
        <v/>
      </c>
      <c r="I121" s="11" t="str">
        <f aca="false">IF($A121="","",INDEX(Employees!$Z$6:$Z$205,MATCH($A121,Employees!$BH$6:$BH$205,0)))</f>
        <v/>
      </c>
      <c r="J121" s="26" t="str">
        <f aca="false">IF($A121="","",INDEX(Employees!$AB$6:$AB$205,MATCH($A121,Employees!$BH$6:$BH$205,0)))</f>
        <v/>
      </c>
      <c r="K121" s="26" t="str">
        <f aca="false">IF($A121="","",INDEX(Employees!$AI$6:$AI$205,MATCH($A121,Employees!$BH$6:$BH$205,0)))</f>
        <v/>
      </c>
      <c r="L121" s="26" t="str">
        <f aca="false">IF($A121="","",INDEX(Employees!$AG$6:$AG$205,MATCH($A121,Employees!$BH$6:$BH$205,0)))</f>
        <v/>
      </c>
      <c r="M121" s="26" t="str">
        <f aca="false">IF($A121="","",INDEX(Employees!$AH$6:$AH$205,MATCH($A121,Employees!$BH$6:$BH$205,0)))</f>
        <v/>
      </c>
      <c r="N121" s="26" t="str">
        <f aca="false">IF($A121="","",INDEX(Employees!$AK$6:$AK$205,MATCH($A121,Employees!$BH$6:$BH$205,0)))</f>
        <v/>
      </c>
      <c r="O121" s="26" t="str">
        <f aca="false">IF($A121="","",INDEX(Employees!$AL$6:$AL$205,MATCH($A121,Employees!$BH$6:$BH$205,0)))</f>
        <v/>
      </c>
      <c r="P121" s="11" t="str">
        <f aca="false">IF($A121="","",INDEX(Employees!$AM$6:$AM$205,MATCH($A121,Employees!$BH$6:$BH$205,0)))</f>
        <v/>
      </c>
    </row>
    <row r="122" customFormat="false" ht="15" hidden="false" customHeight="false" outlineLevel="0" collapsed="false">
      <c r="A122" s="11" t="str">
        <f aca="false">IF(117&lt;=MAX(Employees!$BH$6:$BH$205),117,"")</f>
        <v/>
      </c>
      <c r="B122" s="11" t="str">
        <f aca="false">IF($A122="","",INDEX(Employees!$A$6:$A$205,MATCH($A122,Employees!$BH$6:$BH$205,0)))</f>
        <v/>
      </c>
      <c r="C122" s="11" t="str">
        <f aca="false">IF($A122="","",INDEX(Employees!$B$6:$B$205,MATCH($A122,Employees!$BH$6:$BH$205,0)))</f>
        <v/>
      </c>
      <c r="D122" s="11" t="str">
        <f aca="false">IF($A122="","",INDEX(Employees!$C$6:$C$205,MATCH($A122,Employees!$BH$6:$BH$205,0)))</f>
        <v/>
      </c>
      <c r="E122" s="11" t="str">
        <f aca="false">IF($A122="","",INDEX(Employees!$D$6:$D$205,MATCH($A122,Employees!$BH$6:$BH$205,0)))</f>
        <v/>
      </c>
      <c r="F122" s="11" t="str">
        <f aca="false">IF($A122="","",INDEX(Employees!$T$6:$T$205,MATCH($A122,Employees!$BH$6:$BH$205,0)))</f>
        <v/>
      </c>
      <c r="G122" s="26" t="str">
        <f aca="false">IF($A122="","",INDEX(Employees!$U$6:$U$205,MATCH($A122,Employees!$BH$6:$BH$205,0)))</f>
        <v/>
      </c>
      <c r="H122" s="28" t="str">
        <f aca="false">IF($A122="","",INDEX(Employees!$E$6:$E$205,MATCH($A122,Employees!$BH$6:$BH$205,0)))</f>
        <v/>
      </c>
      <c r="I122" s="11" t="str">
        <f aca="false">IF($A122="","",INDEX(Employees!$Z$6:$Z$205,MATCH($A122,Employees!$BH$6:$BH$205,0)))</f>
        <v/>
      </c>
      <c r="J122" s="26" t="str">
        <f aca="false">IF($A122="","",INDEX(Employees!$AB$6:$AB$205,MATCH($A122,Employees!$BH$6:$BH$205,0)))</f>
        <v/>
      </c>
      <c r="K122" s="26" t="str">
        <f aca="false">IF($A122="","",INDEX(Employees!$AI$6:$AI$205,MATCH($A122,Employees!$BH$6:$BH$205,0)))</f>
        <v/>
      </c>
      <c r="L122" s="26" t="str">
        <f aca="false">IF($A122="","",INDEX(Employees!$AG$6:$AG$205,MATCH($A122,Employees!$BH$6:$BH$205,0)))</f>
        <v/>
      </c>
      <c r="M122" s="26" t="str">
        <f aca="false">IF($A122="","",INDEX(Employees!$AH$6:$AH$205,MATCH($A122,Employees!$BH$6:$BH$205,0)))</f>
        <v/>
      </c>
      <c r="N122" s="26" t="str">
        <f aca="false">IF($A122="","",INDEX(Employees!$AK$6:$AK$205,MATCH($A122,Employees!$BH$6:$BH$205,0)))</f>
        <v/>
      </c>
      <c r="O122" s="26" t="str">
        <f aca="false">IF($A122="","",INDEX(Employees!$AL$6:$AL$205,MATCH($A122,Employees!$BH$6:$BH$205,0)))</f>
        <v/>
      </c>
      <c r="P122" s="11" t="str">
        <f aca="false">IF($A122="","",INDEX(Employees!$AM$6:$AM$205,MATCH($A122,Employees!$BH$6:$BH$205,0)))</f>
        <v/>
      </c>
    </row>
    <row r="123" customFormat="false" ht="15" hidden="false" customHeight="false" outlineLevel="0" collapsed="false">
      <c r="A123" s="11" t="str">
        <f aca="false">IF(118&lt;=MAX(Employees!$BH$6:$BH$205),118,"")</f>
        <v/>
      </c>
      <c r="B123" s="11" t="str">
        <f aca="false">IF($A123="","",INDEX(Employees!$A$6:$A$205,MATCH($A123,Employees!$BH$6:$BH$205,0)))</f>
        <v/>
      </c>
      <c r="C123" s="11" t="str">
        <f aca="false">IF($A123="","",INDEX(Employees!$B$6:$B$205,MATCH($A123,Employees!$BH$6:$BH$205,0)))</f>
        <v/>
      </c>
      <c r="D123" s="11" t="str">
        <f aca="false">IF($A123="","",INDEX(Employees!$C$6:$C$205,MATCH($A123,Employees!$BH$6:$BH$205,0)))</f>
        <v/>
      </c>
      <c r="E123" s="11" t="str">
        <f aca="false">IF($A123="","",INDEX(Employees!$D$6:$D$205,MATCH($A123,Employees!$BH$6:$BH$205,0)))</f>
        <v/>
      </c>
      <c r="F123" s="11" t="str">
        <f aca="false">IF($A123="","",INDEX(Employees!$T$6:$T$205,MATCH($A123,Employees!$BH$6:$BH$205,0)))</f>
        <v/>
      </c>
      <c r="G123" s="26" t="str">
        <f aca="false">IF($A123="","",INDEX(Employees!$U$6:$U$205,MATCH($A123,Employees!$BH$6:$BH$205,0)))</f>
        <v/>
      </c>
      <c r="H123" s="28" t="str">
        <f aca="false">IF($A123="","",INDEX(Employees!$E$6:$E$205,MATCH($A123,Employees!$BH$6:$BH$205,0)))</f>
        <v/>
      </c>
      <c r="I123" s="11" t="str">
        <f aca="false">IF($A123="","",INDEX(Employees!$Z$6:$Z$205,MATCH($A123,Employees!$BH$6:$BH$205,0)))</f>
        <v/>
      </c>
      <c r="J123" s="26" t="str">
        <f aca="false">IF($A123="","",INDEX(Employees!$AB$6:$AB$205,MATCH($A123,Employees!$BH$6:$BH$205,0)))</f>
        <v/>
      </c>
      <c r="K123" s="26" t="str">
        <f aca="false">IF($A123="","",INDEX(Employees!$AI$6:$AI$205,MATCH($A123,Employees!$BH$6:$BH$205,0)))</f>
        <v/>
      </c>
      <c r="L123" s="26" t="str">
        <f aca="false">IF($A123="","",INDEX(Employees!$AG$6:$AG$205,MATCH($A123,Employees!$BH$6:$BH$205,0)))</f>
        <v/>
      </c>
      <c r="M123" s="26" t="str">
        <f aca="false">IF($A123="","",INDEX(Employees!$AH$6:$AH$205,MATCH($A123,Employees!$BH$6:$BH$205,0)))</f>
        <v/>
      </c>
      <c r="N123" s="26" t="str">
        <f aca="false">IF($A123="","",INDEX(Employees!$AK$6:$AK$205,MATCH($A123,Employees!$BH$6:$BH$205,0)))</f>
        <v/>
      </c>
      <c r="O123" s="26" t="str">
        <f aca="false">IF($A123="","",INDEX(Employees!$AL$6:$AL$205,MATCH($A123,Employees!$BH$6:$BH$205,0)))</f>
        <v/>
      </c>
      <c r="P123" s="11" t="str">
        <f aca="false">IF($A123="","",INDEX(Employees!$AM$6:$AM$205,MATCH($A123,Employees!$BH$6:$BH$205,0)))</f>
        <v/>
      </c>
    </row>
    <row r="124" customFormat="false" ht="15" hidden="false" customHeight="false" outlineLevel="0" collapsed="false">
      <c r="A124" s="11" t="str">
        <f aca="false">IF(119&lt;=MAX(Employees!$BH$6:$BH$205),119,"")</f>
        <v/>
      </c>
      <c r="B124" s="11" t="str">
        <f aca="false">IF($A124="","",INDEX(Employees!$A$6:$A$205,MATCH($A124,Employees!$BH$6:$BH$205,0)))</f>
        <v/>
      </c>
      <c r="C124" s="11" t="str">
        <f aca="false">IF($A124="","",INDEX(Employees!$B$6:$B$205,MATCH($A124,Employees!$BH$6:$BH$205,0)))</f>
        <v/>
      </c>
      <c r="D124" s="11" t="str">
        <f aca="false">IF($A124="","",INDEX(Employees!$C$6:$C$205,MATCH($A124,Employees!$BH$6:$BH$205,0)))</f>
        <v/>
      </c>
      <c r="E124" s="11" t="str">
        <f aca="false">IF($A124="","",INDEX(Employees!$D$6:$D$205,MATCH($A124,Employees!$BH$6:$BH$205,0)))</f>
        <v/>
      </c>
      <c r="F124" s="11" t="str">
        <f aca="false">IF($A124="","",INDEX(Employees!$T$6:$T$205,MATCH($A124,Employees!$BH$6:$BH$205,0)))</f>
        <v/>
      </c>
      <c r="G124" s="26" t="str">
        <f aca="false">IF($A124="","",INDEX(Employees!$U$6:$U$205,MATCH($A124,Employees!$BH$6:$BH$205,0)))</f>
        <v/>
      </c>
      <c r="H124" s="28" t="str">
        <f aca="false">IF($A124="","",INDEX(Employees!$E$6:$E$205,MATCH($A124,Employees!$BH$6:$BH$205,0)))</f>
        <v/>
      </c>
      <c r="I124" s="11" t="str">
        <f aca="false">IF($A124="","",INDEX(Employees!$Z$6:$Z$205,MATCH($A124,Employees!$BH$6:$BH$205,0)))</f>
        <v/>
      </c>
      <c r="J124" s="26" t="str">
        <f aca="false">IF($A124="","",INDEX(Employees!$AB$6:$AB$205,MATCH($A124,Employees!$BH$6:$BH$205,0)))</f>
        <v/>
      </c>
      <c r="K124" s="26" t="str">
        <f aca="false">IF($A124="","",INDEX(Employees!$AI$6:$AI$205,MATCH($A124,Employees!$BH$6:$BH$205,0)))</f>
        <v/>
      </c>
      <c r="L124" s="26" t="str">
        <f aca="false">IF($A124="","",INDEX(Employees!$AG$6:$AG$205,MATCH($A124,Employees!$BH$6:$BH$205,0)))</f>
        <v/>
      </c>
      <c r="M124" s="26" t="str">
        <f aca="false">IF($A124="","",INDEX(Employees!$AH$6:$AH$205,MATCH($A124,Employees!$BH$6:$BH$205,0)))</f>
        <v/>
      </c>
      <c r="N124" s="26" t="str">
        <f aca="false">IF($A124="","",INDEX(Employees!$AK$6:$AK$205,MATCH($A124,Employees!$BH$6:$BH$205,0)))</f>
        <v/>
      </c>
      <c r="O124" s="26" t="str">
        <f aca="false">IF($A124="","",INDEX(Employees!$AL$6:$AL$205,MATCH($A124,Employees!$BH$6:$BH$205,0)))</f>
        <v/>
      </c>
      <c r="P124" s="11" t="str">
        <f aca="false">IF($A124="","",INDEX(Employees!$AM$6:$AM$205,MATCH($A124,Employees!$BH$6:$BH$205,0)))</f>
        <v/>
      </c>
    </row>
    <row r="125" customFormat="false" ht="15" hidden="false" customHeight="false" outlineLevel="0" collapsed="false">
      <c r="A125" s="11" t="str">
        <f aca="false">IF(120&lt;=MAX(Employees!$BH$6:$BH$205),120,"")</f>
        <v/>
      </c>
      <c r="B125" s="11" t="str">
        <f aca="false">IF($A125="","",INDEX(Employees!$A$6:$A$205,MATCH($A125,Employees!$BH$6:$BH$205,0)))</f>
        <v/>
      </c>
      <c r="C125" s="11" t="str">
        <f aca="false">IF($A125="","",INDEX(Employees!$B$6:$B$205,MATCH($A125,Employees!$BH$6:$BH$205,0)))</f>
        <v/>
      </c>
      <c r="D125" s="11" t="str">
        <f aca="false">IF($A125="","",INDEX(Employees!$C$6:$C$205,MATCH($A125,Employees!$BH$6:$BH$205,0)))</f>
        <v/>
      </c>
      <c r="E125" s="11" t="str">
        <f aca="false">IF($A125="","",INDEX(Employees!$D$6:$D$205,MATCH($A125,Employees!$BH$6:$BH$205,0)))</f>
        <v/>
      </c>
      <c r="F125" s="11" t="str">
        <f aca="false">IF($A125="","",INDEX(Employees!$T$6:$T$205,MATCH($A125,Employees!$BH$6:$BH$205,0)))</f>
        <v/>
      </c>
      <c r="G125" s="26" t="str">
        <f aca="false">IF($A125="","",INDEX(Employees!$U$6:$U$205,MATCH($A125,Employees!$BH$6:$BH$205,0)))</f>
        <v/>
      </c>
      <c r="H125" s="28" t="str">
        <f aca="false">IF($A125="","",INDEX(Employees!$E$6:$E$205,MATCH($A125,Employees!$BH$6:$BH$205,0)))</f>
        <v/>
      </c>
      <c r="I125" s="11" t="str">
        <f aca="false">IF($A125="","",INDEX(Employees!$Z$6:$Z$205,MATCH($A125,Employees!$BH$6:$BH$205,0)))</f>
        <v/>
      </c>
      <c r="J125" s="26" t="str">
        <f aca="false">IF($A125="","",INDEX(Employees!$AB$6:$AB$205,MATCH($A125,Employees!$BH$6:$BH$205,0)))</f>
        <v/>
      </c>
      <c r="K125" s="26" t="str">
        <f aca="false">IF($A125="","",INDEX(Employees!$AI$6:$AI$205,MATCH($A125,Employees!$BH$6:$BH$205,0)))</f>
        <v/>
      </c>
      <c r="L125" s="26" t="str">
        <f aca="false">IF($A125="","",INDEX(Employees!$AG$6:$AG$205,MATCH($A125,Employees!$BH$6:$BH$205,0)))</f>
        <v/>
      </c>
      <c r="M125" s="26" t="str">
        <f aca="false">IF($A125="","",INDEX(Employees!$AH$6:$AH$205,MATCH($A125,Employees!$BH$6:$BH$205,0)))</f>
        <v/>
      </c>
      <c r="N125" s="26" t="str">
        <f aca="false">IF($A125="","",INDEX(Employees!$AK$6:$AK$205,MATCH($A125,Employees!$BH$6:$BH$205,0)))</f>
        <v/>
      </c>
      <c r="O125" s="26" t="str">
        <f aca="false">IF($A125="","",INDEX(Employees!$AL$6:$AL$205,MATCH($A125,Employees!$BH$6:$BH$205,0)))</f>
        <v/>
      </c>
      <c r="P125" s="11" t="str">
        <f aca="false">IF($A125="","",INDEX(Employees!$AM$6:$AM$205,MATCH($A125,Employees!$BH$6:$BH$205,0)))</f>
        <v/>
      </c>
    </row>
    <row r="126" customFormat="false" ht="15" hidden="false" customHeight="false" outlineLevel="0" collapsed="false">
      <c r="A126" s="11" t="str">
        <f aca="false">IF(121&lt;=MAX(Employees!$BH$6:$BH$205),121,"")</f>
        <v/>
      </c>
      <c r="B126" s="11" t="str">
        <f aca="false">IF($A126="","",INDEX(Employees!$A$6:$A$205,MATCH($A126,Employees!$BH$6:$BH$205,0)))</f>
        <v/>
      </c>
      <c r="C126" s="11" t="str">
        <f aca="false">IF($A126="","",INDEX(Employees!$B$6:$B$205,MATCH($A126,Employees!$BH$6:$BH$205,0)))</f>
        <v/>
      </c>
      <c r="D126" s="11" t="str">
        <f aca="false">IF($A126="","",INDEX(Employees!$C$6:$C$205,MATCH($A126,Employees!$BH$6:$BH$205,0)))</f>
        <v/>
      </c>
      <c r="E126" s="11" t="str">
        <f aca="false">IF($A126="","",INDEX(Employees!$D$6:$D$205,MATCH($A126,Employees!$BH$6:$BH$205,0)))</f>
        <v/>
      </c>
      <c r="F126" s="11" t="str">
        <f aca="false">IF($A126="","",INDEX(Employees!$T$6:$T$205,MATCH($A126,Employees!$BH$6:$BH$205,0)))</f>
        <v/>
      </c>
      <c r="G126" s="26" t="str">
        <f aca="false">IF($A126="","",INDEX(Employees!$U$6:$U$205,MATCH($A126,Employees!$BH$6:$BH$205,0)))</f>
        <v/>
      </c>
      <c r="H126" s="28" t="str">
        <f aca="false">IF($A126="","",INDEX(Employees!$E$6:$E$205,MATCH($A126,Employees!$BH$6:$BH$205,0)))</f>
        <v/>
      </c>
      <c r="I126" s="11" t="str">
        <f aca="false">IF($A126="","",INDEX(Employees!$Z$6:$Z$205,MATCH($A126,Employees!$BH$6:$BH$205,0)))</f>
        <v/>
      </c>
      <c r="J126" s="26" t="str">
        <f aca="false">IF($A126="","",INDEX(Employees!$AB$6:$AB$205,MATCH($A126,Employees!$BH$6:$BH$205,0)))</f>
        <v/>
      </c>
      <c r="K126" s="26" t="str">
        <f aca="false">IF($A126="","",INDEX(Employees!$AI$6:$AI$205,MATCH($A126,Employees!$BH$6:$BH$205,0)))</f>
        <v/>
      </c>
      <c r="L126" s="26" t="str">
        <f aca="false">IF($A126="","",INDEX(Employees!$AG$6:$AG$205,MATCH($A126,Employees!$BH$6:$BH$205,0)))</f>
        <v/>
      </c>
      <c r="M126" s="26" t="str">
        <f aca="false">IF($A126="","",INDEX(Employees!$AH$6:$AH$205,MATCH($A126,Employees!$BH$6:$BH$205,0)))</f>
        <v/>
      </c>
      <c r="N126" s="26" t="str">
        <f aca="false">IF($A126="","",INDEX(Employees!$AK$6:$AK$205,MATCH($A126,Employees!$BH$6:$BH$205,0)))</f>
        <v/>
      </c>
      <c r="O126" s="26" t="str">
        <f aca="false">IF($A126="","",INDEX(Employees!$AL$6:$AL$205,MATCH($A126,Employees!$BH$6:$BH$205,0)))</f>
        <v/>
      </c>
      <c r="P126" s="11" t="str">
        <f aca="false">IF($A126="","",INDEX(Employees!$AM$6:$AM$205,MATCH($A126,Employees!$BH$6:$BH$205,0)))</f>
        <v/>
      </c>
    </row>
    <row r="127" customFormat="false" ht="15" hidden="false" customHeight="false" outlineLevel="0" collapsed="false">
      <c r="A127" s="11" t="str">
        <f aca="false">IF(122&lt;=MAX(Employees!$BH$6:$BH$205),122,"")</f>
        <v/>
      </c>
      <c r="B127" s="11" t="str">
        <f aca="false">IF($A127="","",INDEX(Employees!$A$6:$A$205,MATCH($A127,Employees!$BH$6:$BH$205,0)))</f>
        <v/>
      </c>
      <c r="C127" s="11" t="str">
        <f aca="false">IF($A127="","",INDEX(Employees!$B$6:$B$205,MATCH($A127,Employees!$BH$6:$BH$205,0)))</f>
        <v/>
      </c>
      <c r="D127" s="11" t="str">
        <f aca="false">IF($A127="","",INDEX(Employees!$C$6:$C$205,MATCH($A127,Employees!$BH$6:$BH$205,0)))</f>
        <v/>
      </c>
      <c r="E127" s="11" t="str">
        <f aca="false">IF($A127="","",INDEX(Employees!$D$6:$D$205,MATCH($A127,Employees!$BH$6:$BH$205,0)))</f>
        <v/>
      </c>
      <c r="F127" s="11" t="str">
        <f aca="false">IF($A127="","",INDEX(Employees!$T$6:$T$205,MATCH($A127,Employees!$BH$6:$BH$205,0)))</f>
        <v/>
      </c>
      <c r="G127" s="26" t="str">
        <f aca="false">IF($A127="","",INDEX(Employees!$U$6:$U$205,MATCH($A127,Employees!$BH$6:$BH$205,0)))</f>
        <v/>
      </c>
      <c r="H127" s="28" t="str">
        <f aca="false">IF($A127="","",INDEX(Employees!$E$6:$E$205,MATCH($A127,Employees!$BH$6:$BH$205,0)))</f>
        <v/>
      </c>
      <c r="I127" s="11" t="str">
        <f aca="false">IF($A127="","",INDEX(Employees!$Z$6:$Z$205,MATCH($A127,Employees!$BH$6:$BH$205,0)))</f>
        <v/>
      </c>
      <c r="J127" s="26" t="str">
        <f aca="false">IF($A127="","",INDEX(Employees!$AB$6:$AB$205,MATCH($A127,Employees!$BH$6:$BH$205,0)))</f>
        <v/>
      </c>
      <c r="K127" s="26" t="str">
        <f aca="false">IF($A127="","",INDEX(Employees!$AI$6:$AI$205,MATCH($A127,Employees!$BH$6:$BH$205,0)))</f>
        <v/>
      </c>
      <c r="L127" s="26" t="str">
        <f aca="false">IF($A127="","",INDEX(Employees!$AG$6:$AG$205,MATCH($A127,Employees!$BH$6:$BH$205,0)))</f>
        <v/>
      </c>
      <c r="M127" s="26" t="str">
        <f aca="false">IF($A127="","",INDEX(Employees!$AH$6:$AH$205,MATCH($A127,Employees!$BH$6:$BH$205,0)))</f>
        <v/>
      </c>
      <c r="N127" s="26" t="str">
        <f aca="false">IF($A127="","",INDEX(Employees!$AK$6:$AK$205,MATCH($A127,Employees!$BH$6:$BH$205,0)))</f>
        <v/>
      </c>
      <c r="O127" s="26" t="str">
        <f aca="false">IF($A127="","",INDEX(Employees!$AL$6:$AL$205,MATCH($A127,Employees!$BH$6:$BH$205,0)))</f>
        <v/>
      </c>
      <c r="P127" s="11" t="str">
        <f aca="false">IF($A127="","",INDEX(Employees!$AM$6:$AM$205,MATCH($A127,Employees!$BH$6:$BH$205,0)))</f>
        <v/>
      </c>
    </row>
    <row r="128" customFormat="false" ht="15" hidden="false" customHeight="false" outlineLevel="0" collapsed="false">
      <c r="A128" s="11" t="str">
        <f aca="false">IF(123&lt;=MAX(Employees!$BH$6:$BH$205),123,"")</f>
        <v/>
      </c>
      <c r="B128" s="11" t="str">
        <f aca="false">IF($A128="","",INDEX(Employees!$A$6:$A$205,MATCH($A128,Employees!$BH$6:$BH$205,0)))</f>
        <v/>
      </c>
      <c r="C128" s="11" t="str">
        <f aca="false">IF($A128="","",INDEX(Employees!$B$6:$B$205,MATCH($A128,Employees!$BH$6:$BH$205,0)))</f>
        <v/>
      </c>
      <c r="D128" s="11" t="str">
        <f aca="false">IF($A128="","",INDEX(Employees!$C$6:$C$205,MATCH($A128,Employees!$BH$6:$BH$205,0)))</f>
        <v/>
      </c>
      <c r="E128" s="11" t="str">
        <f aca="false">IF($A128="","",INDEX(Employees!$D$6:$D$205,MATCH($A128,Employees!$BH$6:$BH$205,0)))</f>
        <v/>
      </c>
      <c r="F128" s="11" t="str">
        <f aca="false">IF($A128="","",INDEX(Employees!$T$6:$T$205,MATCH($A128,Employees!$BH$6:$BH$205,0)))</f>
        <v/>
      </c>
      <c r="G128" s="26" t="str">
        <f aca="false">IF($A128="","",INDEX(Employees!$U$6:$U$205,MATCH($A128,Employees!$BH$6:$BH$205,0)))</f>
        <v/>
      </c>
      <c r="H128" s="28" t="str">
        <f aca="false">IF($A128="","",INDEX(Employees!$E$6:$E$205,MATCH($A128,Employees!$BH$6:$BH$205,0)))</f>
        <v/>
      </c>
      <c r="I128" s="11" t="str">
        <f aca="false">IF($A128="","",INDEX(Employees!$Z$6:$Z$205,MATCH($A128,Employees!$BH$6:$BH$205,0)))</f>
        <v/>
      </c>
      <c r="J128" s="26" t="str">
        <f aca="false">IF($A128="","",INDEX(Employees!$AB$6:$AB$205,MATCH($A128,Employees!$BH$6:$BH$205,0)))</f>
        <v/>
      </c>
      <c r="K128" s="26" t="str">
        <f aca="false">IF($A128="","",INDEX(Employees!$AI$6:$AI$205,MATCH($A128,Employees!$BH$6:$BH$205,0)))</f>
        <v/>
      </c>
      <c r="L128" s="26" t="str">
        <f aca="false">IF($A128="","",INDEX(Employees!$AG$6:$AG$205,MATCH($A128,Employees!$BH$6:$BH$205,0)))</f>
        <v/>
      </c>
      <c r="M128" s="26" t="str">
        <f aca="false">IF($A128="","",INDEX(Employees!$AH$6:$AH$205,MATCH($A128,Employees!$BH$6:$BH$205,0)))</f>
        <v/>
      </c>
      <c r="N128" s="26" t="str">
        <f aca="false">IF($A128="","",INDEX(Employees!$AK$6:$AK$205,MATCH($A128,Employees!$BH$6:$BH$205,0)))</f>
        <v/>
      </c>
      <c r="O128" s="26" t="str">
        <f aca="false">IF($A128="","",INDEX(Employees!$AL$6:$AL$205,MATCH($A128,Employees!$BH$6:$BH$205,0)))</f>
        <v/>
      </c>
      <c r="P128" s="11" t="str">
        <f aca="false">IF($A128="","",INDEX(Employees!$AM$6:$AM$205,MATCH($A128,Employees!$BH$6:$BH$205,0)))</f>
        <v/>
      </c>
    </row>
    <row r="129" customFormat="false" ht="15" hidden="false" customHeight="false" outlineLevel="0" collapsed="false">
      <c r="A129" s="11" t="str">
        <f aca="false">IF(124&lt;=MAX(Employees!$BH$6:$BH$205),124,"")</f>
        <v/>
      </c>
      <c r="B129" s="11" t="str">
        <f aca="false">IF($A129="","",INDEX(Employees!$A$6:$A$205,MATCH($A129,Employees!$BH$6:$BH$205,0)))</f>
        <v/>
      </c>
      <c r="C129" s="11" t="str">
        <f aca="false">IF($A129="","",INDEX(Employees!$B$6:$B$205,MATCH($A129,Employees!$BH$6:$BH$205,0)))</f>
        <v/>
      </c>
      <c r="D129" s="11" t="str">
        <f aca="false">IF($A129="","",INDEX(Employees!$C$6:$C$205,MATCH($A129,Employees!$BH$6:$BH$205,0)))</f>
        <v/>
      </c>
      <c r="E129" s="11" t="str">
        <f aca="false">IF($A129="","",INDEX(Employees!$D$6:$D$205,MATCH($A129,Employees!$BH$6:$BH$205,0)))</f>
        <v/>
      </c>
      <c r="F129" s="11" t="str">
        <f aca="false">IF($A129="","",INDEX(Employees!$T$6:$T$205,MATCH($A129,Employees!$BH$6:$BH$205,0)))</f>
        <v/>
      </c>
      <c r="G129" s="26" t="str">
        <f aca="false">IF($A129="","",INDEX(Employees!$U$6:$U$205,MATCH($A129,Employees!$BH$6:$BH$205,0)))</f>
        <v/>
      </c>
      <c r="H129" s="28" t="str">
        <f aca="false">IF($A129="","",INDEX(Employees!$E$6:$E$205,MATCH($A129,Employees!$BH$6:$BH$205,0)))</f>
        <v/>
      </c>
      <c r="I129" s="11" t="str">
        <f aca="false">IF($A129="","",INDEX(Employees!$Z$6:$Z$205,MATCH($A129,Employees!$BH$6:$BH$205,0)))</f>
        <v/>
      </c>
      <c r="J129" s="26" t="str">
        <f aca="false">IF($A129="","",INDEX(Employees!$AB$6:$AB$205,MATCH($A129,Employees!$BH$6:$BH$205,0)))</f>
        <v/>
      </c>
      <c r="K129" s="26" t="str">
        <f aca="false">IF($A129="","",INDEX(Employees!$AI$6:$AI$205,MATCH($A129,Employees!$BH$6:$BH$205,0)))</f>
        <v/>
      </c>
      <c r="L129" s="26" t="str">
        <f aca="false">IF($A129="","",INDEX(Employees!$AG$6:$AG$205,MATCH($A129,Employees!$BH$6:$BH$205,0)))</f>
        <v/>
      </c>
      <c r="M129" s="26" t="str">
        <f aca="false">IF($A129="","",INDEX(Employees!$AH$6:$AH$205,MATCH($A129,Employees!$BH$6:$BH$205,0)))</f>
        <v/>
      </c>
      <c r="N129" s="26" t="str">
        <f aca="false">IF($A129="","",INDEX(Employees!$AK$6:$AK$205,MATCH($A129,Employees!$BH$6:$BH$205,0)))</f>
        <v/>
      </c>
      <c r="O129" s="26" t="str">
        <f aca="false">IF($A129="","",INDEX(Employees!$AL$6:$AL$205,MATCH($A129,Employees!$BH$6:$BH$205,0)))</f>
        <v/>
      </c>
      <c r="P129" s="11" t="str">
        <f aca="false">IF($A129="","",INDEX(Employees!$AM$6:$AM$205,MATCH($A129,Employees!$BH$6:$BH$205,0)))</f>
        <v/>
      </c>
    </row>
    <row r="130" customFormat="false" ht="15" hidden="false" customHeight="false" outlineLevel="0" collapsed="false">
      <c r="A130" s="11" t="str">
        <f aca="false">IF(125&lt;=MAX(Employees!$BH$6:$BH$205),125,"")</f>
        <v/>
      </c>
      <c r="B130" s="11" t="str">
        <f aca="false">IF($A130="","",INDEX(Employees!$A$6:$A$205,MATCH($A130,Employees!$BH$6:$BH$205,0)))</f>
        <v/>
      </c>
      <c r="C130" s="11" t="str">
        <f aca="false">IF($A130="","",INDEX(Employees!$B$6:$B$205,MATCH($A130,Employees!$BH$6:$BH$205,0)))</f>
        <v/>
      </c>
      <c r="D130" s="11" t="str">
        <f aca="false">IF($A130="","",INDEX(Employees!$C$6:$C$205,MATCH($A130,Employees!$BH$6:$BH$205,0)))</f>
        <v/>
      </c>
      <c r="E130" s="11" t="str">
        <f aca="false">IF($A130="","",INDEX(Employees!$D$6:$D$205,MATCH($A130,Employees!$BH$6:$BH$205,0)))</f>
        <v/>
      </c>
      <c r="F130" s="11" t="str">
        <f aca="false">IF($A130="","",INDEX(Employees!$T$6:$T$205,MATCH($A130,Employees!$BH$6:$BH$205,0)))</f>
        <v/>
      </c>
      <c r="G130" s="26" t="str">
        <f aca="false">IF($A130="","",INDEX(Employees!$U$6:$U$205,MATCH($A130,Employees!$BH$6:$BH$205,0)))</f>
        <v/>
      </c>
      <c r="H130" s="28" t="str">
        <f aca="false">IF($A130="","",INDEX(Employees!$E$6:$E$205,MATCH($A130,Employees!$BH$6:$BH$205,0)))</f>
        <v/>
      </c>
      <c r="I130" s="11" t="str">
        <f aca="false">IF($A130="","",INDEX(Employees!$Z$6:$Z$205,MATCH($A130,Employees!$BH$6:$BH$205,0)))</f>
        <v/>
      </c>
      <c r="J130" s="26" t="str">
        <f aca="false">IF($A130="","",INDEX(Employees!$AB$6:$AB$205,MATCH($A130,Employees!$BH$6:$BH$205,0)))</f>
        <v/>
      </c>
      <c r="K130" s="26" t="str">
        <f aca="false">IF($A130="","",INDEX(Employees!$AI$6:$AI$205,MATCH($A130,Employees!$BH$6:$BH$205,0)))</f>
        <v/>
      </c>
      <c r="L130" s="26" t="str">
        <f aca="false">IF($A130="","",INDEX(Employees!$AG$6:$AG$205,MATCH($A130,Employees!$BH$6:$BH$205,0)))</f>
        <v/>
      </c>
      <c r="M130" s="26" t="str">
        <f aca="false">IF($A130="","",INDEX(Employees!$AH$6:$AH$205,MATCH($A130,Employees!$BH$6:$BH$205,0)))</f>
        <v/>
      </c>
      <c r="N130" s="26" t="str">
        <f aca="false">IF($A130="","",INDEX(Employees!$AK$6:$AK$205,MATCH($A130,Employees!$BH$6:$BH$205,0)))</f>
        <v/>
      </c>
      <c r="O130" s="26" t="str">
        <f aca="false">IF($A130="","",INDEX(Employees!$AL$6:$AL$205,MATCH($A130,Employees!$BH$6:$BH$205,0)))</f>
        <v/>
      </c>
      <c r="P130" s="11" t="str">
        <f aca="false">IF($A130="","",INDEX(Employees!$AM$6:$AM$205,MATCH($A130,Employees!$BH$6:$BH$205,0)))</f>
        <v/>
      </c>
    </row>
    <row r="131" customFormat="false" ht="15" hidden="false" customHeight="false" outlineLevel="0" collapsed="false">
      <c r="A131" s="11" t="str">
        <f aca="false">IF(126&lt;=MAX(Employees!$BH$6:$BH$205),126,"")</f>
        <v/>
      </c>
      <c r="B131" s="11" t="str">
        <f aca="false">IF($A131="","",INDEX(Employees!$A$6:$A$205,MATCH($A131,Employees!$BH$6:$BH$205,0)))</f>
        <v/>
      </c>
      <c r="C131" s="11" t="str">
        <f aca="false">IF($A131="","",INDEX(Employees!$B$6:$B$205,MATCH($A131,Employees!$BH$6:$BH$205,0)))</f>
        <v/>
      </c>
      <c r="D131" s="11" t="str">
        <f aca="false">IF($A131="","",INDEX(Employees!$C$6:$C$205,MATCH($A131,Employees!$BH$6:$BH$205,0)))</f>
        <v/>
      </c>
      <c r="E131" s="11" t="str">
        <f aca="false">IF($A131="","",INDEX(Employees!$D$6:$D$205,MATCH($A131,Employees!$BH$6:$BH$205,0)))</f>
        <v/>
      </c>
      <c r="F131" s="11" t="str">
        <f aca="false">IF($A131="","",INDEX(Employees!$T$6:$T$205,MATCH($A131,Employees!$BH$6:$BH$205,0)))</f>
        <v/>
      </c>
      <c r="G131" s="26" t="str">
        <f aca="false">IF($A131="","",INDEX(Employees!$U$6:$U$205,MATCH($A131,Employees!$BH$6:$BH$205,0)))</f>
        <v/>
      </c>
      <c r="H131" s="28" t="str">
        <f aca="false">IF($A131="","",INDEX(Employees!$E$6:$E$205,MATCH($A131,Employees!$BH$6:$BH$205,0)))</f>
        <v/>
      </c>
      <c r="I131" s="11" t="str">
        <f aca="false">IF($A131="","",INDEX(Employees!$Z$6:$Z$205,MATCH($A131,Employees!$BH$6:$BH$205,0)))</f>
        <v/>
      </c>
      <c r="J131" s="26" t="str">
        <f aca="false">IF($A131="","",INDEX(Employees!$AB$6:$AB$205,MATCH($A131,Employees!$BH$6:$BH$205,0)))</f>
        <v/>
      </c>
      <c r="K131" s="26" t="str">
        <f aca="false">IF($A131="","",INDEX(Employees!$AI$6:$AI$205,MATCH($A131,Employees!$BH$6:$BH$205,0)))</f>
        <v/>
      </c>
      <c r="L131" s="26" t="str">
        <f aca="false">IF($A131="","",INDEX(Employees!$AG$6:$AG$205,MATCH($A131,Employees!$BH$6:$BH$205,0)))</f>
        <v/>
      </c>
      <c r="M131" s="26" t="str">
        <f aca="false">IF($A131="","",INDEX(Employees!$AH$6:$AH$205,MATCH($A131,Employees!$BH$6:$BH$205,0)))</f>
        <v/>
      </c>
      <c r="N131" s="26" t="str">
        <f aca="false">IF($A131="","",INDEX(Employees!$AK$6:$AK$205,MATCH($A131,Employees!$BH$6:$BH$205,0)))</f>
        <v/>
      </c>
      <c r="O131" s="26" t="str">
        <f aca="false">IF($A131="","",INDEX(Employees!$AL$6:$AL$205,MATCH($A131,Employees!$BH$6:$BH$205,0)))</f>
        <v/>
      </c>
      <c r="P131" s="11" t="str">
        <f aca="false">IF($A131="","",INDEX(Employees!$AM$6:$AM$205,MATCH($A131,Employees!$BH$6:$BH$205,0)))</f>
        <v/>
      </c>
    </row>
    <row r="132" customFormat="false" ht="15" hidden="false" customHeight="false" outlineLevel="0" collapsed="false">
      <c r="A132" s="11" t="str">
        <f aca="false">IF(127&lt;=MAX(Employees!$BH$6:$BH$205),127,"")</f>
        <v/>
      </c>
      <c r="B132" s="11" t="str">
        <f aca="false">IF($A132="","",INDEX(Employees!$A$6:$A$205,MATCH($A132,Employees!$BH$6:$BH$205,0)))</f>
        <v/>
      </c>
      <c r="C132" s="11" t="str">
        <f aca="false">IF($A132="","",INDEX(Employees!$B$6:$B$205,MATCH($A132,Employees!$BH$6:$BH$205,0)))</f>
        <v/>
      </c>
      <c r="D132" s="11" t="str">
        <f aca="false">IF($A132="","",INDEX(Employees!$C$6:$C$205,MATCH($A132,Employees!$BH$6:$BH$205,0)))</f>
        <v/>
      </c>
      <c r="E132" s="11" t="str">
        <f aca="false">IF($A132="","",INDEX(Employees!$D$6:$D$205,MATCH($A132,Employees!$BH$6:$BH$205,0)))</f>
        <v/>
      </c>
      <c r="F132" s="11" t="str">
        <f aca="false">IF($A132="","",INDEX(Employees!$T$6:$T$205,MATCH($A132,Employees!$BH$6:$BH$205,0)))</f>
        <v/>
      </c>
      <c r="G132" s="26" t="str">
        <f aca="false">IF($A132="","",INDEX(Employees!$U$6:$U$205,MATCH($A132,Employees!$BH$6:$BH$205,0)))</f>
        <v/>
      </c>
      <c r="H132" s="28" t="str">
        <f aca="false">IF($A132="","",INDEX(Employees!$E$6:$E$205,MATCH($A132,Employees!$BH$6:$BH$205,0)))</f>
        <v/>
      </c>
      <c r="I132" s="11" t="str">
        <f aca="false">IF($A132="","",INDEX(Employees!$Z$6:$Z$205,MATCH($A132,Employees!$BH$6:$BH$205,0)))</f>
        <v/>
      </c>
      <c r="J132" s="26" t="str">
        <f aca="false">IF($A132="","",INDEX(Employees!$AB$6:$AB$205,MATCH($A132,Employees!$BH$6:$BH$205,0)))</f>
        <v/>
      </c>
      <c r="K132" s="26" t="str">
        <f aca="false">IF($A132="","",INDEX(Employees!$AI$6:$AI$205,MATCH($A132,Employees!$BH$6:$BH$205,0)))</f>
        <v/>
      </c>
      <c r="L132" s="26" t="str">
        <f aca="false">IF($A132="","",INDEX(Employees!$AG$6:$AG$205,MATCH($A132,Employees!$BH$6:$BH$205,0)))</f>
        <v/>
      </c>
      <c r="M132" s="26" t="str">
        <f aca="false">IF($A132="","",INDEX(Employees!$AH$6:$AH$205,MATCH($A132,Employees!$BH$6:$BH$205,0)))</f>
        <v/>
      </c>
      <c r="N132" s="26" t="str">
        <f aca="false">IF($A132="","",INDEX(Employees!$AK$6:$AK$205,MATCH($A132,Employees!$BH$6:$BH$205,0)))</f>
        <v/>
      </c>
      <c r="O132" s="26" t="str">
        <f aca="false">IF($A132="","",INDEX(Employees!$AL$6:$AL$205,MATCH($A132,Employees!$BH$6:$BH$205,0)))</f>
        <v/>
      </c>
      <c r="P132" s="11" t="str">
        <f aca="false">IF($A132="","",INDEX(Employees!$AM$6:$AM$205,MATCH($A132,Employees!$BH$6:$BH$205,0)))</f>
        <v/>
      </c>
    </row>
    <row r="133" customFormat="false" ht="15" hidden="false" customHeight="false" outlineLevel="0" collapsed="false">
      <c r="A133" s="11" t="str">
        <f aca="false">IF(128&lt;=MAX(Employees!$BH$6:$BH$205),128,"")</f>
        <v/>
      </c>
      <c r="B133" s="11" t="str">
        <f aca="false">IF($A133="","",INDEX(Employees!$A$6:$A$205,MATCH($A133,Employees!$BH$6:$BH$205,0)))</f>
        <v/>
      </c>
      <c r="C133" s="11" t="str">
        <f aca="false">IF($A133="","",INDEX(Employees!$B$6:$B$205,MATCH($A133,Employees!$BH$6:$BH$205,0)))</f>
        <v/>
      </c>
      <c r="D133" s="11" t="str">
        <f aca="false">IF($A133="","",INDEX(Employees!$C$6:$C$205,MATCH($A133,Employees!$BH$6:$BH$205,0)))</f>
        <v/>
      </c>
      <c r="E133" s="11" t="str">
        <f aca="false">IF($A133="","",INDEX(Employees!$D$6:$D$205,MATCH($A133,Employees!$BH$6:$BH$205,0)))</f>
        <v/>
      </c>
      <c r="F133" s="11" t="str">
        <f aca="false">IF($A133="","",INDEX(Employees!$T$6:$T$205,MATCH($A133,Employees!$BH$6:$BH$205,0)))</f>
        <v/>
      </c>
      <c r="G133" s="26" t="str">
        <f aca="false">IF($A133="","",INDEX(Employees!$U$6:$U$205,MATCH($A133,Employees!$BH$6:$BH$205,0)))</f>
        <v/>
      </c>
      <c r="H133" s="28" t="str">
        <f aca="false">IF($A133="","",INDEX(Employees!$E$6:$E$205,MATCH($A133,Employees!$BH$6:$BH$205,0)))</f>
        <v/>
      </c>
      <c r="I133" s="11" t="str">
        <f aca="false">IF($A133="","",INDEX(Employees!$Z$6:$Z$205,MATCH($A133,Employees!$BH$6:$BH$205,0)))</f>
        <v/>
      </c>
      <c r="J133" s="26" t="str">
        <f aca="false">IF($A133="","",INDEX(Employees!$AB$6:$AB$205,MATCH($A133,Employees!$BH$6:$BH$205,0)))</f>
        <v/>
      </c>
      <c r="K133" s="26" t="str">
        <f aca="false">IF($A133="","",INDEX(Employees!$AI$6:$AI$205,MATCH($A133,Employees!$BH$6:$BH$205,0)))</f>
        <v/>
      </c>
      <c r="L133" s="26" t="str">
        <f aca="false">IF($A133="","",INDEX(Employees!$AG$6:$AG$205,MATCH($A133,Employees!$BH$6:$BH$205,0)))</f>
        <v/>
      </c>
      <c r="M133" s="26" t="str">
        <f aca="false">IF($A133="","",INDEX(Employees!$AH$6:$AH$205,MATCH($A133,Employees!$BH$6:$BH$205,0)))</f>
        <v/>
      </c>
      <c r="N133" s="26" t="str">
        <f aca="false">IF($A133="","",INDEX(Employees!$AK$6:$AK$205,MATCH($A133,Employees!$BH$6:$BH$205,0)))</f>
        <v/>
      </c>
      <c r="O133" s="26" t="str">
        <f aca="false">IF($A133="","",INDEX(Employees!$AL$6:$AL$205,MATCH($A133,Employees!$BH$6:$BH$205,0)))</f>
        <v/>
      </c>
      <c r="P133" s="11" t="str">
        <f aca="false">IF($A133="","",INDEX(Employees!$AM$6:$AM$205,MATCH($A133,Employees!$BH$6:$BH$205,0)))</f>
        <v/>
      </c>
    </row>
    <row r="134" customFormat="false" ht="15" hidden="false" customHeight="false" outlineLevel="0" collapsed="false">
      <c r="A134" s="11" t="str">
        <f aca="false">IF(129&lt;=MAX(Employees!$BH$6:$BH$205),129,"")</f>
        <v/>
      </c>
      <c r="B134" s="11" t="str">
        <f aca="false">IF($A134="","",INDEX(Employees!$A$6:$A$205,MATCH($A134,Employees!$BH$6:$BH$205,0)))</f>
        <v/>
      </c>
      <c r="C134" s="11" t="str">
        <f aca="false">IF($A134="","",INDEX(Employees!$B$6:$B$205,MATCH($A134,Employees!$BH$6:$BH$205,0)))</f>
        <v/>
      </c>
      <c r="D134" s="11" t="str">
        <f aca="false">IF($A134="","",INDEX(Employees!$C$6:$C$205,MATCH($A134,Employees!$BH$6:$BH$205,0)))</f>
        <v/>
      </c>
      <c r="E134" s="11" t="str">
        <f aca="false">IF($A134="","",INDEX(Employees!$D$6:$D$205,MATCH($A134,Employees!$BH$6:$BH$205,0)))</f>
        <v/>
      </c>
      <c r="F134" s="11" t="str">
        <f aca="false">IF($A134="","",INDEX(Employees!$T$6:$T$205,MATCH($A134,Employees!$BH$6:$BH$205,0)))</f>
        <v/>
      </c>
      <c r="G134" s="26" t="str">
        <f aca="false">IF($A134="","",INDEX(Employees!$U$6:$U$205,MATCH($A134,Employees!$BH$6:$BH$205,0)))</f>
        <v/>
      </c>
      <c r="H134" s="28" t="str">
        <f aca="false">IF($A134="","",INDEX(Employees!$E$6:$E$205,MATCH($A134,Employees!$BH$6:$BH$205,0)))</f>
        <v/>
      </c>
      <c r="I134" s="11" t="str">
        <f aca="false">IF($A134="","",INDEX(Employees!$Z$6:$Z$205,MATCH($A134,Employees!$BH$6:$BH$205,0)))</f>
        <v/>
      </c>
      <c r="J134" s="26" t="str">
        <f aca="false">IF($A134="","",INDEX(Employees!$AB$6:$AB$205,MATCH($A134,Employees!$BH$6:$BH$205,0)))</f>
        <v/>
      </c>
      <c r="K134" s="26" t="str">
        <f aca="false">IF($A134="","",INDEX(Employees!$AI$6:$AI$205,MATCH($A134,Employees!$BH$6:$BH$205,0)))</f>
        <v/>
      </c>
      <c r="L134" s="26" t="str">
        <f aca="false">IF($A134="","",INDEX(Employees!$AG$6:$AG$205,MATCH($A134,Employees!$BH$6:$BH$205,0)))</f>
        <v/>
      </c>
      <c r="M134" s="26" t="str">
        <f aca="false">IF($A134="","",INDEX(Employees!$AH$6:$AH$205,MATCH($A134,Employees!$BH$6:$BH$205,0)))</f>
        <v/>
      </c>
      <c r="N134" s="26" t="str">
        <f aca="false">IF($A134="","",INDEX(Employees!$AK$6:$AK$205,MATCH($A134,Employees!$BH$6:$BH$205,0)))</f>
        <v/>
      </c>
      <c r="O134" s="26" t="str">
        <f aca="false">IF($A134="","",INDEX(Employees!$AL$6:$AL$205,MATCH($A134,Employees!$BH$6:$BH$205,0)))</f>
        <v/>
      </c>
      <c r="P134" s="11" t="str">
        <f aca="false">IF($A134="","",INDEX(Employees!$AM$6:$AM$205,MATCH($A134,Employees!$BH$6:$BH$205,0)))</f>
        <v/>
      </c>
    </row>
    <row r="135" customFormat="false" ht="15" hidden="false" customHeight="false" outlineLevel="0" collapsed="false">
      <c r="A135" s="11" t="str">
        <f aca="false">IF(130&lt;=MAX(Employees!$BH$6:$BH$205),130,"")</f>
        <v/>
      </c>
      <c r="B135" s="11" t="str">
        <f aca="false">IF($A135="","",INDEX(Employees!$A$6:$A$205,MATCH($A135,Employees!$BH$6:$BH$205,0)))</f>
        <v/>
      </c>
      <c r="C135" s="11" t="str">
        <f aca="false">IF($A135="","",INDEX(Employees!$B$6:$B$205,MATCH($A135,Employees!$BH$6:$BH$205,0)))</f>
        <v/>
      </c>
      <c r="D135" s="11" t="str">
        <f aca="false">IF($A135="","",INDEX(Employees!$C$6:$C$205,MATCH($A135,Employees!$BH$6:$BH$205,0)))</f>
        <v/>
      </c>
      <c r="E135" s="11" t="str">
        <f aca="false">IF($A135="","",INDEX(Employees!$D$6:$D$205,MATCH($A135,Employees!$BH$6:$BH$205,0)))</f>
        <v/>
      </c>
      <c r="F135" s="11" t="str">
        <f aca="false">IF($A135="","",INDEX(Employees!$T$6:$T$205,MATCH($A135,Employees!$BH$6:$BH$205,0)))</f>
        <v/>
      </c>
      <c r="G135" s="26" t="str">
        <f aca="false">IF($A135="","",INDEX(Employees!$U$6:$U$205,MATCH($A135,Employees!$BH$6:$BH$205,0)))</f>
        <v/>
      </c>
      <c r="H135" s="28" t="str">
        <f aca="false">IF($A135="","",INDEX(Employees!$E$6:$E$205,MATCH($A135,Employees!$BH$6:$BH$205,0)))</f>
        <v/>
      </c>
      <c r="I135" s="11" t="str">
        <f aca="false">IF($A135="","",INDEX(Employees!$Z$6:$Z$205,MATCH($A135,Employees!$BH$6:$BH$205,0)))</f>
        <v/>
      </c>
      <c r="J135" s="26" t="str">
        <f aca="false">IF($A135="","",INDEX(Employees!$AB$6:$AB$205,MATCH($A135,Employees!$BH$6:$BH$205,0)))</f>
        <v/>
      </c>
      <c r="K135" s="26" t="str">
        <f aca="false">IF($A135="","",INDEX(Employees!$AI$6:$AI$205,MATCH($A135,Employees!$BH$6:$BH$205,0)))</f>
        <v/>
      </c>
      <c r="L135" s="26" t="str">
        <f aca="false">IF($A135="","",INDEX(Employees!$AG$6:$AG$205,MATCH($A135,Employees!$BH$6:$BH$205,0)))</f>
        <v/>
      </c>
      <c r="M135" s="26" t="str">
        <f aca="false">IF($A135="","",INDEX(Employees!$AH$6:$AH$205,MATCH($A135,Employees!$BH$6:$BH$205,0)))</f>
        <v/>
      </c>
      <c r="N135" s="26" t="str">
        <f aca="false">IF($A135="","",INDEX(Employees!$AK$6:$AK$205,MATCH($A135,Employees!$BH$6:$BH$205,0)))</f>
        <v/>
      </c>
      <c r="O135" s="26" t="str">
        <f aca="false">IF($A135="","",INDEX(Employees!$AL$6:$AL$205,MATCH($A135,Employees!$BH$6:$BH$205,0)))</f>
        <v/>
      </c>
      <c r="P135" s="11" t="str">
        <f aca="false">IF($A135="","",INDEX(Employees!$AM$6:$AM$205,MATCH($A135,Employees!$BH$6:$BH$205,0)))</f>
        <v/>
      </c>
    </row>
    <row r="136" customFormat="false" ht="15" hidden="false" customHeight="false" outlineLevel="0" collapsed="false">
      <c r="A136" s="11" t="str">
        <f aca="false">IF(131&lt;=MAX(Employees!$BH$6:$BH$205),131,"")</f>
        <v/>
      </c>
      <c r="B136" s="11" t="str">
        <f aca="false">IF($A136="","",INDEX(Employees!$A$6:$A$205,MATCH($A136,Employees!$BH$6:$BH$205,0)))</f>
        <v/>
      </c>
      <c r="C136" s="11" t="str">
        <f aca="false">IF($A136="","",INDEX(Employees!$B$6:$B$205,MATCH($A136,Employees!$BH$6:$BH$205,0)))</f>
        <v/>
      </c>
      <c r="D136" s="11" t="str">
        <f aca="false">IF($A136="","",INDEX(Employees!$C$6:$C$205,MATCH($A136,Employees!$BH$6:$BH$205,0)))</f>
        <v/>
      </c>
      <c r="E136" s="11" t="str">
        <f aca="false">IF($A136="","",INDEX(Employees!$D$6:$D$205,MATCH($A136,Employees!$BH$6:$BH$205,0)))</f>
        <v/>
      </c>
      <c r="F136" s="11" t="str">
        <f aca="false">IF($A136="","",INDEX(Employees!$T$6:$T$205,MATCH($A136,Employees!$BH$6:$BH$205,0)))</f>
        <v/>
      </c>
      <c r="G136" s="26" t="str">
        <f aca="false">IF($A136="","",INDEX(Employees!$U$6:$U$205,MATCH($A136,Employees!$BH$6:$BH$205,0)))</f>
        <v/>
      </c>
      <c r="H136" s="28" t="str">
        <f aca="false">IF($A136="","",INDEX(Employees!$E$6:$E$205,MATCH($A136,Employees!$BH$6:$BH$205,0)))</f>
        <v/>
      </c>
      <c r="I136" s="11" t="str">
        <f aca="false">IF($A136="","",INDEX(Employees!$Z$6:$Z$205,MATCH($A136,Employees!$BH$6:$BH$205,0)))</f>
        <v/>
      </c>
      <c r="J136" s="26" t="str">
        <f aca="false">IF($A136="","",INDEX(Employees!$AB$6:$AB$205,MATCH($A136,Employees!$BH$6:$BH$205,0)))</f>
        <v/>
      </c>
      <c r="K136" s="26" t="str">
        <f aca="false">IF($A136="","",INDEX(Employees!$AI$6:$AI$205,MATCH($A136,Employees!$BH$6:$BH$205,0)))</f>
        <v/>
      </c>
      <c r="L136" s="26" t="str">
        <f aca="false">IF($A136="","",INDEX(Employees!$AG$6:$AG$205,MATCH($A136,Employees!$BH$6:$BH$205,0)))</f>
        <v/>
      </c>
      <c r="M136" s="26" t="str">
        <f aca="false">IF($A136="","",INDEX(Employees!$AH$6:$AH$205,MATCH($A136,Employees!$BH$6:$BH$205,0)))</f>
        <v/>
      </c>
      <c r="N136" s="26" t="str">
        <f aca="false">IF($A136="","",INDEX(Employees!$AK$6:$AK$205,MATCH($A136,Employees!$BH$6:$BH$205,0)))</f>
        <v/>
      </c>
      <c r="O136" s="26" t="str">
        <f aca="false">IF($A136="","",INDEX(Employees!$AL$6:$AL$205,MATCH($A136,Employees!$BH$6:$BH$205,0)))</f>
        <v/>
      </c>
      <c r="P136" s="11" t="str">
        <f aca="false">IF($A136="","",INDEX(Employees!$AM$6:$AM$205,MATCH($A136,Employees!$BH$6:$BH$205,0)))</f>
        <v/>
      </c>
    </row>
    <row r="137" customFormat="false" ht="15" hidden="false" customHeight="false" outlineLevel="0" collapsed="false">
      <c r="A137" s="11" t="str">
        <f aca="false">IF(132&lt;=MAX(Employees!$BH$6:$BH$205),132,"")</f>
        <v/>
      </c>
      <c r="B137" s="11" t="str">
        <f aca="false">IF($A137="","",INDEX(Employees!$A$6:$A$205,MATCH($A137,Employees!$BH$6:$BH$205,0)))</f>
        <v/>
      </c>
      <c r="C137" s="11" t="str">
        <f aca="false">IF($A137="","",INDEX(Employees!$B$6:$B$205,MATCH($A137,Employees!$BH$6:$BH$205,0)))</f>
        <v/>
      </c>
      <c r="D137" s="11" t="str">
        <f aca="false">IF($A137="","",INDEX(Employees!$C$6:$C$205,MATCH($A137,Employees!$BH$6:$BH$205,0)))</f>
        <v/>
      </c>
      <c r="E137" s="11" t="str">
        <f aca="false">IF($A137="","",INDEX(Employees!$D$6:$D$205,MATCH($A137,Employees!$BH$6:$BH$205,0)))</f>
        <v/>
      </c>
      <c r="F137" s="11" t="str">
        <f aca="false">IF($A137="","",INDEX(Employees!$T$6:$T$205,MATCH($A137,Employees!$BH$6:$BH$205,0)))</f>
        <v/>
      </c>
      <c r="G137" s="26" t="str">
        <f aca="false">IF($A137="","",INDEX(Employees!$U$6:$U$205,MATCH($A137,Employees!$BH$6:$BH$205,0)))</f>
        <v/>
      </c>
      <c r="H137" s="28" t="str">
        <f aca="false">IF($A137="","",INDEX(Employees!$E$6:$E$205,MATCH($A137,Employees!$BH$6:$BH$205,0)))</f>
        <v/>
      </c>
      <c r="I137" s="11" t="str">
        <f aca="false">IF($A137="","",INDEX(Employees!$Z$6:$Z$205,MATCH($A137,Employees!$BH$6:$BH$205,0)))</f>
        <v/>
      </c>
      <c r="J137" s="26" t="str">
        <f aca="false">IF($A137="","",INDEX(Employees!$AB$6:$AB$205,MATCH($A137,Employees!$BH$6:$BH$205,0)))</f>
        <v/>
      </c>
      <c r="K137" s="26" t="str">
        <f aca="false">IF($A137="","",INDEX(Employees!$AI$6:$AI$205,MATCH($A137,Employees!$BH$6:$BH$205,0)))</f>
        <v/>
      </c>
      <c r="L137" s="26" t="str">
        <f aca="false">IF($A137="","",INDEX(Employees!$AG$6:$AG$205,MATCH($A137,Employees!$BH$6:$BH$205,0)))</f>
        <v/>
      </c>
      <c r="M137" s="26" t="str">
        <f aca="false">IF($A137="","",INDEX(Employees!$AH$6:$AH$205,MATCH($A137,Employees!$BH$6:$BH$205,0)))</f>
        <v/>
      </c>
      <c r="N137" s="26" t="str">
        <f aca="false">IF($A137="","",INDEX(Employees!$AK$6:$AK$205,MATCH($A137,Employees!$BH$6:$BH$205,0)))</f>
        <v/>
      </c>
      <c r="O137" s="26" t="str">
        <f aca="false">IF($A137="","",INDEX(Employees!$AL$6:$AL$205,MATCH($A137,Employees!$BH$6:$BH$205,0)))</f>
        <v/>
      </c>
      <c r="P137" s="11" t="str">
        <f aca="false">IF($A137="","",INDEX(Employees!$AM$6:$AM$205,MATCH($A137,Employees!$BH$6:$BH$205,0)))</f>
        <v/>
      </c>
    </row>
    <row r="138" customFormat="false" ht="15" hidden="false" customHeight="false" outlineLevel="0" collapsed="false">
      <c r="A138" s="11" t="str">
        <f aca="false">IF(133&lt;=MAX(Employees!$BH$6:$BH$205),133,"")</f>
        <v/>
      </c>
      <c r="B138" s="11" t="str">
        <f aca="false">IF($A138="","",INDEX(Employees!$A$6:$A$205,MATCH($A138,Employees!$BH$6:$BH$205,0)))</f>
        <v/>
      </c>
      <c r="C138" s="11" t="str">
        <f aca="false">IF($A138="","",INDEX(Employees!$B$6:$B$205,MATCH($A138,Employees!$BH$6:$BH$205,0)))</f>
        <v/>
      </c>
      <c r="D138" s="11" t="str">
        <f aca="false">IF($A138="","",INDEX(Employees!$C$6:$C$205,MATCH($A138,Employees!$BH$6:$BH$205,0)))</f>
        <v/>
      </c>
      <c r="E138" s="11" t="str">
        <f aca="false">IF($A138="","",INDEX(Employees!$D$6:$D$205,MATCH($A138,Employees!$BH$6:$BH$205,0)))</f>
        <v/>
      </c>
      <c r="F138" s="11" t="str">
        <f aca="false">IF($A138="","",INDEX(Employees!$T$6:$T$205,MATCH($A138,Employees!$BH$6:$BH$205,0)))</f>
        <v/>
      </c>
      <c r="G138" s="26" t="str">
        <f aca="false">IF($A138="","",INDEX(Employees!$U$6:$U$205,MATCH($A138,Employees!$BH$6:$BH$205,0)))</f>
        <v/>
      </c>
      <c r="H138" s="28" t="str">
        <f aca="false">IF($A138="","",INDEX(Employees!$E$6:$E$205,MATCH($A138,Employees!$BH$6:$BH$205,0)))</f>
        <v/>
      </c>
      <c r="I138" s="11" t="str">
        <f aca="false">IF($A138="","",INDEX(Employees!$Z$6:$Z$205,MATCH($A138,Employees!$BH$6:$BH$205,0)))</f>
        <v/>
      </c>
      <c r="J138" s="26" t="str">
        <f aca="false">IF($A138="","",INDEX(Employees!$AB$6:$AB$205,MATCH($A138,Employees!$BH$6:$BH$205,0)))</f>
        <v/>
      </c>
      <c r="K138" s="26" t="str">
        <f aca="false">IF($A138="","",INDEX(Employees!$AI$6:$AI$205,MATCH($A138,Employees!$BH$6:$BH$205,0)))</f>
        <v/>
      </c>
      <c r="L138" s="26" t="str">
        <f aca="false">IF($A138="","",INDEX(Employees!$AG$6:$AG$205,MATCH($A138,Employees!$BH$6:$BH$205,0)))</f>
        <v/>
      </c>
      <c r="M138" s="26" t="str">
        <f aca="false">IF($A138="","",INDEX(Employees!$AH$6:$AH$205,MATCH($A138,Employees!$BH$6:$BH$205,0)))</f>
        <v/>
      </c>
      <c r="N138" s="26" t="str">
        <f aca="false">IF($A138="","",INDEX(Employees!$AK$6:$AK$205,MATCH($A138,Employees!$BH$6:$BH$205,0)))</f>
        <v/>
      </c>
      <c r="O138" s="26" t="str">
        <f aca="false">IF($A138="","",INDEX(Employees!$AL$6:$AL$205,MATCH($A138,Employees!$BH$6:$BH$205,0)))</f>
        <v/>
      </c>
      <c r="P138" s="11" t="str">
        <f aca="false">IF($A138="","",INDEX(Employees!$AM$6:$AM$205,MATCH($A138,Employees!$BH$6:$BH$205,0)))</f>
        <v/>
      </c>
    </row>
    <row r="139" customFormat="false" ht="15" hidden="false" customHeight="false" outlineLevel="0" collapsed="false">
      <c r="A139" s="11" t="str">
        <f aca="false">IF(134&lt;=MAX(Employees!$BH$6:$BH$205),134,"")</f>
        <v/>
      </c>
      <c r="B139" s="11" t="str">
        <f aca="false">IF($A139="","",INDEX(Employees!$A$6:$A$205,MATCH($A139,Employees!$BH$6:$BH$205,0)))</f>
        <v/>
      </c>
      <c r="C139" s="11" t="str">
        <f aca="false">IF($A139="","",INDEX(Employees!$B$6:$B$205,MATCH($A139,Employees!$BH$6:$BH$205,0)))</f>
        <v/>
      </c>
      <c r="D139" s="11" t="str">
        <f aca="false">IF($A139="","",INDEX(Employees!$C$6:$C$205,MATCH($A139,Employees!$BH$6:$BH$205,0)))</f>
        <v/>
      </c>
      <c r="E139" s="11" t="str">
        <f aca="false">IF($A139="","",INDEX(Employees!$D$6:$D$205,MATCH($A139,Employees!$BH$6:$BH$205,0)))</f>
        <v/>
      </c>
      <c r="F139" s="11" t="str">
        <f aca="false">IF($A139="","",INDEX(Employees!$T$6:$T$205,MATCH($A139,Employees!$BH$6:$BH$205,0)))</f>
        <v/>
      </c>
      <c r="G139" s="26" t="str">
        <f aca="false">IF($A139="","",INDEX(Employees!$U$6:$U$205,MATCH($A139,Employees!$BH$6:$BH$205,0)))</f>
        <v/>
      </c>
      <c r="H139" s="28" t="str">
        <f aca="false">IF($A139="","",INDEX(Employees!$E$6:$E$205,MATCH($A139,Employees!$BH$6:$BH$205,0)))</f>
        <v/>
      </c>
      <c r="I139" s="11" t="str">
        <f aca="false">IF($A139="","",INDEX(Employees!$Z$6:$Z$205,MATCH($A139,Employees!$BH$6:$BH$205,0)))</f>
        <v/>
      </c>
      <c r="J139" s="26" t="str">
        <f aca="false">IF($A139="","",INDEX(Employees!$AB$6:$AB$205,MATCH($A139,Employees!$BH$6:$BH$205,0)))</f>
        <v/>
      </c>
      <c r="K139" s="26" t="str">
        <f aca="false">IF($A139="","",INDEX(Employees!$AI$6:$AI$205,MATCH($A139,Employees!$BH$6:$BH$205,0)))</f>
        <v/>
      </c>
      <c r="L139" s="26" t="str">
        <f aca="false">IF($A139="","",INDEX(Employees!$AG$6:$AG$205,MATCH($A139,Employees!$BH$6:$BH$205,0)))</f>
        <v/>
      </c>
      <c r="M139" s="26" t="str">
        <f aca="false">IF($A139="","",INDEX(Employees!$AH$6:$AH$205,MATCH($A139,Employees!$BH$6:$BH$205,0)))</f>
        <v/>
      </c>
      <c r="N139" s="26" t="str">
        <f aca="false">IF($A139="","",INDEX(Employees!$AK$6:$AK$205,MATCH($A139,Employees!$BH$6:$BH$205,0)))</f>
        <v/>
      </c>
      <c r="O139" s="26" t="str">
        <f aca="false">IF($A139="","",INDEX(Employees!$AL$6:$AL$205,MATCH($A139,Employees!$BH$6:$BH$205,0)))</f>
        <v/>
      </c>
      <c r="P139" s="11" t="str">
        <f aca="false">IF($A139="","",INDEX(Employees!$AM$6:$AM$205,MATCH($A139,Employees!$BH$6:$BH$205,0)))</f>
        <v/>
      </c>
    </row>
    <row r="140" customFormat="false" ht="15" hidden="false" customHeight="false" outlineLevel="0" collapsed="false">
      <c r="A140" s="11" t="str">
        <f aca="false">IF(135&lt;=MAX(Employees!$BH$6:$BH$205),135,"")</f>
        <v/>
      </c>
      <c r="B140" s="11" t="str">
        <f aca="false">IF($A140="","",INDEX(Employees!$A$6:$A$205,MATCH($A140,Employees!$BH$6:$BH$205,0)))</f>
        <v/>
      </c>
      <c r="C140" s="11" t="str">
        <f aca="false">IF($A140="","",INDEX(Employees!$B$6:$B$205,MATCH($A140,Employees!$BH$6:$BH$205,0)))</f>
        <v/>
      </c>
      <c r="D140" s="11" t="str">
        <f aca="false">IF($A140="","",INDEX(Employees!$C$6:$C$205,MATCH($A140,Employees!$BH$6:$BH$205,0)))</f>
        <v/>
      </c>
      <c r="E140" s="11" t="str">
        <f aca="false">IF($A140="","",INDEX(Employees!$D$6:$D$205,MATCH($A140,Employees!$BH$6:$BH$205,0)))</f>
        <v/>
      </c>
      <c r="F140" s="11" t="str">
        <f aca="false">IF($A140="","",INDEX(Employees!$T$6:$T$205,MATCH($A140,Employees!$BH$6:$BH$205,0)))</f>
        <v/>
      </c>
      <c r="G140" s="26" t="str">
        <f aca="false">IF($A140="","",INDEX(Employees!$U$6:$U$205,MATCH($A140,Employees!$BH$6:$BH$205,0)))</f>
        <v/>
      </c>
      <c r="H140" s="28" t="str">
        <f aca="false">IF($A140="","",INDEX(Employees!$E$6:$E$205,MATCH($A140,Employees!$BH$6:$BH$205,0)))</f>
        <v/>
      </c>
      <c r="I140" s="11" t="str">
        <f aca="false">IF($A140="","",INDEX(Employees!$Z$6:$Z$205,MATCH($A140,Employees!$BH$6:$BH$205,0)))</f>
        <v/>
      </c>
      <c r="J140" s="26" t="str">
        <f aca="false">IF($A140="","",INDEX(Employees!$AB$6:$AB$205,MATCH($A140,Employees!$BH$6:$BH$205,0)))</f>
        <v/>
      </c>
      <c r="K140" s="26" t="str">
        <f aca="false">IF($A140="","",INDEX(Employees!$AI$6:$AI$205,MATCH($A140,Employees!$BH$6:$BH$205,0)))</f>
        <v/>
      </c>
      <c r="L140" s="26" t="str">
        <f aca="false">IF($A140="","",INDEX(Employees!$AG$6:$AG$205,MATCH($A140,Employees!$BH$6:$BH$205,0)))</f>
        <v/>
      </c>
      <c r="M140" s="26" t="str">
        <f aca="false">IF($A140="","",INDEX(Employees!$AH$6:$AH$205,MATCH($A140,Employees!$BH$6:$BH$205,0)))</f>
        <v/>
      </c>
      <c r="N140" s="26" t="str">
        <f aca="false">IF($A140="","",INDEX(Employees!$AK$6:$AK$205,MATCH($A140,Employees!$BH$6:$BH$205,0)))</f>
        <v/>
      </c>
      <c r="O140" s="26" t="str">
        <f aca="false">IF($A140="","",INDEX(Employees!$AL$6:$AL$205,MATCH($A140,Employees!$BH$6:$BH$205,0)))</f>
        <v/>
      </c>
      <c r="P140" s="11" t="str">
        <f aca="false">IF($A140="","",INDEX(Employees!$AM$6:$AM$205,MATCH($A140,Employees!$BH$6:$BH$205,0)))</f>
        <v/>
      </c>
    </row>
    <row r="141" customFormat="false" ht="15" hidden="false" customHeight="false" outlineLevel="0" collapsed="false">
      <c r="A141" s="11" t="str">
        <f aca="false">IF(136&lt;=MAX(Employees!$BH$6:$BH$205),136,"")</f>
        <v/>
      </c>
      <c r="B141" s="11" t="str">
        <f aca="false">IF($A141="","",INDEX(Employees!$A$6:$A$205,MATCH($A141,Employees!$BH$6:$BH$205,0)))</f>
        <v/>
      </c>
      <c r="C141" s="11" t="str">
        <f aca="false">IF($A141="","",INDEX(Employees!$B$6:$B$205,MATCH($A141,Employees!$BH$6:$BH$205,0)))</f>
        <v/>
      </c>
      <c r="D141" s="11" t="str">
        <f aca="false">IF($A141="","",INDEX(Employees!$C$6:$C$205,MATCH($A141,Employees!$BH$6:$BH$205,0)))</f>
        <v/>
      </c>
      <c r="E141" s="11" t="str">
        <f aca="false">IF($A141="","",INDEX(Employees!$D$6:$D$205,MATCH($A141,Employees!$BH$6:$BH$205,0)))</f>
        <v/>
      </c>
      <c r="F141" s="11" t="str">
        <f aca="false">IF($A141="","",INDEX(Employees!$T$6:$T$205,MATCH($A141,Employees!$BH$6:$BH$205,0)))</f>
        <v/>
      </c>
      <c r="G141" s="26" t="str">
        <f aca="false">IF($A141="","",INDEX(Employees!$U$6:$U$205,MATCH($A141,Employees!$BH$6:$BH$205,0)))</f>
        <v/>
      </c>
      <c r="H141" s="28" t="str">
        <f aca="false">IF($A141="","",INDEX(Employees!$E$6:$E$205,MATCH($A141,Employees!$BH$6:$BH$205,0)))</f>
        <v/>
      </c>
      <c r="I141" s="11" t="str">
        <f aca="false">IF($A141="","",INDEX(Employees!$Z$6:$Z$205,MATCH($A141,Employees!$BH$6:$BH$205,0)))</f>
        <v/>
      </c>
      <c r="J141" s="26" t="str">
        <f aca="false">IF($A141="","",INDEX(Employees!$AB$6:$AB$205,MATCH($A141,Employees!$BH$6:$BH$205,0)))</f>
        <v/>
      </c>
      <c r="K141" s="26" t="str">
        <f aca="false">IF($A141="","",INDEX(Employees!$AI$6:$AI$205,MATCH($A141,Employees!$BH$6:$BH$205,0)))</f>
        <v/>
      </c>
      <c r="L141" s="26" t="str">
        <f aca="false">IF($A141="","",INDEX(Employees!$AG$6:$AG$205,MATCH($A141,Employees!$BH$6:$BH$205,0)))</f>
        <v/>
      </c>
      <c r="M141" s="26" t="str">
        <f aca="false">IF($A141="","",INDEX(Employees!$AH$6:$AH$205,MATCH($A141,Employees!$BH$6:$BH$205,0)))</f>
        <v/>
      </c>
      <c r="N141" s="26" t="str">
        <f aca="false">IF($A141="","",INDEX(Employees!$AK$6:$AK$205,MATCH($A141,Employees!$BH$6:$BH$205,0)))</f>
        <v/>
      </c>
      <c r="O141" s="26" t="str">
        <f aca="false">IF($A141="","",INDEX(Employees!$AL$6:$AL$205,MATCH($A141,Employees!$BH$6:$BH$205,0)))</f>
        <v/>
      </c>
      <c r="P141" s="11" t="str">
        <f aca="false">IF($A141="","",INDEX(Employees!$AM$6:$AM$205,MATCH($A141,Employees!$BH$6:$BH$205,0)))</f>
        <v/>
      </c>
    </row>
    <row r="142" customFormat="false" ht="15" hidden="false" customHeight="false" outlineLevel="0" collapsed="false">
      <c r="A142" s="11" t="str">
        <f aca="false">IF(137&lt;=MAX(Employees!$BH$6:$BH$205),137,"")</f>
        <v/>
      </c>
      <c r="B142" s="11" t="str">
        <f aca="false">IF($A142="","",INDEX(Employees!$A$6:$A$205,MATCH($A142,Employees!$BH$6:$BH$205,0)))</f>
        <v/>
      </c>
      <c r="C142" s="11" t="str">
        <f aca="false">IF($A142="","",INDEX(Employees!$B$6:$B$205,MATCH($A142,Employees!$BH$6:$BH$205,0)))</f>
        <v/>
      </c>
      <c r="D142" s="11" t="str">
        <f aca="false">IF($A142="","",INDEX(Employees!$C$6:$C$205,MATCH($A142,Employees!$BH$6:$BH$205,0)))</f>
        <v/>
      </c>
      <c r="E142" s="11" t="str">
        <f aca="false">IF($A142="","",INDEX(Employees!$D$6:$D$205,MATCH($A142,Employees!$BH$6:$BH$205,0)))</f>
        <v/>
      </c>
      <c r="F142" s="11" t="str">
        <f aca="false">IF($A142="","",INDEX(Employees!$T$6:$T$205,MATCH($A142,Employees!$BH$6:$BH$205,0)))</f>
        <v/>
      </c>
      <c r="G142" s="26" t="str">
        <f aca="false">IF($A142="","",INDEX(Employees!$U$6:$U$205,MATCH($A142,Employees!$BH$6:$BH$205,0)))</f>
        <v/>
      </c>
      <c r="H142" s="28" t="str">
        <f aca="false">IF($A142="","",INDEX(Employees!$E$6:$E$205,MATCH($A142,Employees!$BH$6:$BH$205,0)))</f>
        <v/>
      </c>
      <c r="I142" s="11" t="str">
        <f aca="false">IF($A142="","",INDEX(Employees!$Z$6:$Z$205,MATCH($A142,Employees!$BH$6:$BH$205,0)))</f>
        <v/>
      </c>
      <c r="J142" s="26" t="str">
        <f aca="false">IF($A142="","",INDEX(Employees!$AB$6:$AB$205,MATCH($A142,Employees!$BH$6:$BH$205,0)))</f>
        <v/>
      </c>
      <c r="K142" s="26" t="str">
        <f aca="false">IF($A142="","",INDEX(Employees!$AI$6:$AI$205,MATCH($A142,Employees!$BH$6:$BH$205,0)))</f>
        <v/>
      </c>
      <c r="L142" s="26" t="str">
        <f aca="false">IF($A142="","",INDEX(Employees!$AG$6:$AG$205,MATCH($A142,Employees!$BH$6:$BH$205,0)))</f>
        <v/>
      </c>
      <c r="M142" s="26" t="str">
        <f aca="false">IF($A142="","",INDEX(Employees!$AH$6:$AH$205,MATCH($A142,Employees!$BH$6:$BH$205,0)))</f>
        <v/>
      </c>
      <c r="N142" s="26" t="str">
        <f aca="false">IF($A142="","",INDEX(Employees!$AK$6:$AK$205,MATCH($A142,Employees!$BH$6:$BH$205,0)))</f>
        <v/>
      </c>
      <c r="O142" s="26" t="str">
        <f aca="false">IF($A142="","",INDEX(Employees!$AL$6:$AL$205,MATCH($A142,Employees!$BH$6:$BH$205,0)))</f>
        <v/>
      </c>
      <c r="P142" s="11" t="str">
        <f aca="false">IF($A142="","",INDEX(Employees!$AM$6:$AM$205,MATCH($A142,Employees!$BH$6:$BH$205,0)))</f>
        <v/>
      </c>
    </row>
    <row r="143" customFormat="false" ht="15" hidden="false" customHeight="false" outlineLevel="0" collapsed="false">
      <c r="A143" s="11" t="str">
        <f aca="false">IF(138&lt;=MAX(Employees!$BH$6:$BH$205),138,"")</f>
        <v/>
      </c>
      <c r="B143" s="11" t="str">
        <f aca="false">IF($A143="","",INDEX(Employees!$A$6:$A$205,MATCH($A143,Employees!$BH$6:$BH$205,0)))</f>
        <v/>
      </c>
      <c r="C143" s="11" t="str">
        <f aca="false">IF($A143="","",INDEX(Employees!$B$6:$B$205,MATCH($A143,Employees!$BH$6:$BH$205,0)))</f>
        <v/>
      </c>
      <c r="D143" s="11" t="str">
        <f aca="false">IF($A143="","",INDEX(Employees!$C$6:$C$205,MATCH($A143,Employees!$BH$6:$BH$205,0)))</f>
        <v/>
      </c>
      <c r="E143" s="11" t="str">
        <f aca="false">IF($A143="","",INDEX(Employees!$D$6:$D$205,MATCH($A143,Employees!$BH$6:$BH$205,0)))</f>
        <v/>
      </c>
      <c r="F143" s="11" t="str">
        <f aca="false">IF($A143="","",INDEX(Employees!$T$6:$T$205,MATCH($A143,Employees!$BH$6:$BH$205,0)))</f>
        <v/>
      </c>
      <c r="G143" s="26" t="str">
        <f aca="false">IF($A143="","",INDEX(Employees!$U$6:$U$205,MATCH($A143,Employees!$BH$6:$BH$205,0)))</f>
        <v/>
      </c>
      <c r="H143" s="28" t="str">
        <f aca="false">IF($A143="","",INDEX(Employees!$E$6:$E$205,MATCH($A143,Employees!$BH$6:$BH$205,0)))</f>
        <v/>
      </c>
      <c r="I143" s="11" t="str">
        <f aca="false">IF($A143="","",INDEX(Employees!$Z$6:$Z$205,MATCH($A143,Employees!$BH$6:$BH$205,0)))</f>
        <v/>
      </c>
      <c r="J143" s="26" t="str">
        <f aca="false">IF($A143="","",INDEX(Employees!$AB$6:$AB$205,MATCH($A143,Employees!$BH$6:$BH$205,0)))</f>
        <v/>
      </c>
      <c r="K143" s="26" t="str">
        <f aca="false">IF($A143="","",INDEX(Employees!$AI$6:$AI$205,MATCH($A143,Employees!$BH$6:$BH$205,0)))</f>
        <v/>
      </c>
      <c r="L143" s="26" t="str">
        <f aca="false">IF($A143="","",INDEX(Employees!$AG$6:$AG$205,MATCH($A143,Employees!$BH$6:$BH$205,0)))</f>
        <v/>
      </c>
      <c r="M143" s="26" t="str">
        <f aca="false">IF($A143="","",INDEX(Employees!$AH$6:$AH$205,MATCH($A143,Employees!$BH$6:$BH$205,0)))</f>
        <v/>
      </c>
      <c r="N143" s="26" t="str">
        <f aca="false">IF($A143="","",INDEX(Employees!$AK$6:$AK$205,MATCH($A143,Employees!$BH$6:$BH$205,0)))</f>
        <v/>
      </c>
      <c r="O143" s="26" t="str">
        <f aca="false">IF($A143="","",INDEX(Employees!$AL$6:$AL$205,MATCH($A143,Employees!$BH$6:$BH$205,0)))</f>
        <v/>
      </c>
      <c r="P143" s="11" t="str">
        <f aca="false">IF($A143="","",INDEX(Employees!$AM$6:$AM$205,MATCH($A143,Employees!$BH$6:$BH$205,0)))</f>
        <v/>
      </c>
    </row>
    <row r="144" customFormat="false" ht="15" hidden="false" customHeight="false" outlineLevel="0" collapsed="false">
      <c r="A144" s="11" t="str">
        <f aca="false">IF(139&lt;=MAX(Employees!$BH$6:$BH$205),139,"")</f>
        <v/>
      </c>
      <c r="B144" s="11" t="str">
        <f aca="false">IF($A144="","",INDEX(Employees!$A$6:$A$205,MATCH($A144,Employees!$BH$6:$BH$205,0)))</f>
        <v/>
      </c>
      <c r="C144" s="11" t="str">
        <f aca="false">IF($A144="","",INDEX(Employees!$B$6:$B$205,MATCH($A144,Employees!$BH$6:$BH$205,0)))</f>
        <v/>
      </c>
      <c r="D144" s="11" t="str">
        <f aca="false">IF($A144="","",INDEX(Employees!$C$6:$C$205,MATCH($A144,Employees!$BH$6:$BH$205,0)))</f>
        <v/>
      </c>
      <c r="E144" s="11" t="str">
        <f aca="false">IF($A144="","",INDEX(Employees!$D$6:$D$205,MATCH($A144,Employees!$BH$6:$BH$205,0)))</f>
        <v/>
      </c>
      <c r="F144" s="11" t="str">
        <f aca="false">IF($A144="","",INDEX(Employees!$T$6:$T$205,MATCH($A144,Employees!$BH$6:$BH$205,0)))</f>
        <v/>
      </c>
      <c r="G144" s="26" t="str">
        <f aca="false">IF($A144="","",INDEX(Employees!$U$6:$U$205,MATCH($A144,Employees!$BH$6:$BH$205,0)))</f>
        <v/>
      </c>
      <c r="H144" s="28" t="str">
        <f aca="false">IF($A144="","",INDEX(Employees!$E$6:$E$205,MATCH($A144,Employees!$BH$6:$BH$205,0)))</f>
        <v/>
      </c>
      <c r="I144" s="11" t="str">
        <f aca="false">IF($A144="","",INDEX(Employees!$Z$6:$Z$205,MATCH($A144,Employees!$BH$6:$BH$205,0)))</f>
        <v/>
      </c>
      <c r="J144" s="26" t="str">
        <f aca="false">IF($A144="","",INDEX(Employees!$AB$6:$AB$205,MATCH($A144,Employees!$BH$6:$BH$205,0)))</f>
        <v/>
      </c>
      <c r="K144" s="26" t="str">
        <f aca="false">IF($A144="","",INDEX(Employees!$AI$6:$AI$205,MATCH($A144,Employees!$BH$6:$BH$205,0)))</f>
        <v/>
      </c>
      <c r="L144" s="26" t="str">
        <f aca="false">IF($A144="","",INDEX(Employees!$AG$6:$AG$205,MATCH($A144,Employees!$BH$6:$BH$205,0)))</f>
        <v/>
      </c>
      <c r="M144" s="26" t="str">
        <f aca="false">IF($A144="","",INDEX(Employees!$AH$6:$AH$205,MATCH($A144,Employees!$BH$6:$BH$205,0)))</f>
        <v/>
      </c>
      <c r="N144" s="26" t="str">
        <f aca="false">IF($A144="","",INDEX(Employees!$AK$6:$AK$205,MATCH($A144,Employees!$BH$6:$BH$205,0)))</f>
        <v/>
      </c>
      <c r="O144" s="26" t="str">
        <f aca="false">IF($A144="","",INDEX(Employees!$AL$6:$AL$205,MATCH($A144,Employees!$BH$6:$BH$205,0)))</f>
        <v/>
      </c>
      <c r="P144" s="11" t="str">
        <f aca="false">IF($A144="","",INDEX(Employees!$AM$6:$AM$205,MATCH($A144,Employees!$BH$6:$BH$205,0)))</f>
        <v/>
      </c>
    </row>
    <row r="145" customFormat="false" ht="15" hidden="false" customHeight="false" outlineLevel="0" collapsed="false">
      <c r="A145" s="11" t="str">
        <f aca="false">IF(140&lt;=MAX(Employees!$BH$6:$BH$205),140,"")</f>
        <v/>
      </c>
      <c r="B145" s="11" t="str">
        <f aca="false">IF($A145="","",INDEX(Employees!$A$6:$A$205,MATCH($A145,Employees!$BH$6:$BH$205,0)))</f>
        <v/>
      </c>
      <c r="C145" s="11" t="str">
        <f aca="false">IF($A145="","",INDEX(Employees!$B$6:$B$205,MATCH($A145,Employees!$BH$6:$BH$205,0)))</f>
        <v/>
      </c>
      <c r="D145" s="11" t="str">
        <f aca="false">IF($A145="","",INDEX(Employees!$C$6:$C$205,MATCH($A145,Employees!$BH$6:$BH$205,0)))</f>
        <v/>
      </c>
      <c r="E145" s="11" t="str">
        <f aca="false">IF($A145="","",INDEX(Employees!$D$6:$D$205,MATCH($A145,Employees!$BH$6:$BH$205,0)))</f>
        <v/>
      </c>
      <c r="F145" s="11" t="str">
        <f aca="false">IF($A145="","",INDEX(Employees!$T$6:$T$205,MATCH($A145,Employees!$BH$6:$BH$205,0)))</f>
        <v/>
      </c>
      <c r="G145" s="26" t="str">
        <f aca="false">IF($A145="","",INDEX(Employees!$U$6:$U$205,MATCH($A145,Employees!$BH$6:$BH$205,0)))</f>
        <v/>
      </c>
      <c r="H145" s="28" t="str">
        <f aca="false">IF($A145="","",INDEX(Employees!$E$6:$E$205,MATCH($A145,Employees!$BH$6:$BH$205,0)))</f>
        <v/>
      </c>
      <c r="I145" s="11" t="str">
        <f aca="false">IF($A145="","",INDEX(Employees!$Z$6:$Z$205,MATCH($A145,Employees!$BH$6:$BH$205,0)))</f>
        <v/>
      </c>
      <c r="J145" s="26" t="str">
        <f aca="false">IF($A145="","",INDEX(Employees!$AB$6:$AB$205,MATCH($A145,Employees!$BH$6:$BH$205,0)))</f>
        <v/>
      </c>
      <c r="K145" s="26" t="str">
        <f aca="false">IF($A145="","",INDEX(Employees!$AI$6:$AI$205,MATCH($A145,Employees!$BH$6:$BH$205,0)))</f>
        <v/>
      </c>
      <c r="L145" s="26" t="str">
        <f aca="false">IF($A145="","",INDEX(Employees!$AG$6:$AG$205,MATCH($A145,Employees!$BH$6:$BH$205,0)))</f>
        <v/>
      </c>
      <c r="M145" s="26" t="str">
        <f aca="false">IF($A145="","",INDEX(Employees!$AH$6:$AH$205,MATCH($A145,Employees!$BH$6:$BH$205,0)))</f>
        <v/>
      </c>
      <c r="N145" s="26" t="str">
        <f aca="false">IF($A145="","",INDEX(Employees!$AK$6:$AK$205,MATCH($A145,Employees!$BH$6:$BH$205,0)))</f>
        <v/>
      </c>
      <c r="O145" s="26" t="str">
        <f aca="false">IF($A145="","",INDEX(Employees!$AL$6:$AL$205,MATCH($A145,Employees!$BH$6:$BH$205,0)))</f>
        <v/>
      </c>
      <c r="P145" s="11" t="str">
        <f aca="false">IF($A145="","",INDEX(Employees!$AM$6:$AM$205,MATCH($A145,Employees!$BH$6:$BH$205,0)))</f>
        <v/>
      </c>
    </row>
    <row r="146" customFormat="false" ht="15" hidden="false" customHeight="false" outlineLevel="0" collapsed="false">
      <c r="A146" s="11" t="str">
        <f aca="false">IF(141&lt;=MAX(Employees!$BH$6:$BH$205),141,"")</f>
        <v/>
      </c>
      <c r="B146" s="11" t="str">
        <f aca="false">IF($A146="","",INDEX(Employees!$A$6:$A$205,MATCH($A146,Employees!$BH$6:$BH$205,0)))</f>
        <v/>
      </c>
      <c r="C146" s="11" t="str">
        <f aca="false">IF($A146="","",INDEX(Employees!$B$6:$B$205,MATCH($A146,Employees!$BH$6:$BH$205,0)))</f>
        <v/>
      </c>
      <c r="D146" s="11" t="str">
        <f aca="false">IF($A146="","",INDEX(Employees!$C$6:$C$205,MATCH($A146,Employees!$BH$6:$BH$205,0)))</f>
        <v/>
      </c>
      <c r="E146" s="11" t="str">
        <f aca="false">IF($A146="","",INDEX(Employees!$D$6:$D$205,MATCH($A146,Employees!$BH$6:$BH$205,0)))</f>
        <v/>
      </c>
      <c r="F146" s="11" t="str">
        <f aca="false">IF($A146="","",INDEX(Employees!$T$6:$T$205,MATCH($A146,Employees!$BH$6:$BH$205,0)))</f>
        <v/>
      </c>
      <c r="G146" s="26" t="str">
        <f aca="false">IF($A146="","",INDEX(Employees!$U$6:$U$205,MATCH($A146,Employees!$BH$6:$BH$205,0)))</f>
        <v/>
      </c>
      <c r="H146" s="28" t="str">
        <f aca="false">IF($A146="","",INDEX(Employees!$E$6:$E$205,MATCH($A146,Employees!$BH$6:$BH$205,0)))</f>
        <v/>
      </c>
      <c r="I146" s="11" t="str">
        <f aca="false">IF($A146="","",INDEX(Employees!$Z$6:$Z$205,MATCH($A146,Employees!$BH$6:$BH$205,0)))</f>
        <v/>
      </c>
      <c r="J146" s="26" t="str">
        <f aca="false">IF($A146="","",INDEX(Employees!$AB$6:$AB$205,MATCH($A146,Employees!$BH$6:$BH$205,0)))</f>
        <v/>
      </c>
      <c r="K146" s="26" t="str">
        <f aca="false">IF($A146="","",INDEX(Employees!$AI$6:$AI$205,MATCH($A146,Employees!$BH$6:$BH$205,0)))</f>
        <v/>
      </c>
      <c r="L146" s="26" t="str">
        <f aca="false">IF($A146="","",INDEX(Employees!$AG$6:$AG$205,MATCH($A146,Employees!$BH$6:$BH$205,0)))</f>
        <v/>
      </c>
      <c r="M146" s="26" t="str">
        <f aca="false">IF($A146="","",INDEX(Employees!$AH$6:$AH$205,MATCH($A146,Employees!$BH$6:$BH$205,0)))</f>
        <v/>
      </c>
      <c r="N146" s="26" t="str">
        <f aca="false">IF($A146="","",INDEX(Employees!$AK$6:$AK$205,MATCH($A146,Employees!$BH$6:$BH$205,0)))</f>
        <v/>
      </c>
      <c r="O146" s="26" t="str">
        <f aca="false">IF($A146="","",INDEX(Employees!$AL$6:$AL$205,MATCH($A146,Employees!$BH$6:$BH$205,0)))</f>
        <v/>
      </c>
      <c r="P146" s="11" t="str">
        <f aca="false">IF($A146="","",INDEX(Employees!$AM$6:$AM$205,MATCH($A146,Employees!$BH$6:$BH$205,0)))</f>
        <v/>
      </c>
    </row>
    <row r="147" customFormat="false" ht="15" hidden="false" customHeight="false" outlineLevel="0" collapsed="false">
      <c r="A147" s="11" t="str">
        <f aca="false">IF(142&lt;=MAX(Employees!$BH$6:$BH$205),142,"")</f>
        <v/>
      </c>
      <c r="B147" s="11" t="str">
        <f aca="false">IF($A147="","",INDEX(Employees!$A$6:$A$205,MATCH($A147,Employees!$BH$6:$BH$205,0)))</f>
        <v/>
      </c>
      <c r="C147" s="11" t="str">
        <f aca="false">IF($A147="","",INDEX(Employees!$B$6:$B$205,MATCH($A147,Employees!$BH$6:$BH$205,0)))</f>
        <v/>
      </c>
      <c r="D147" s="11" t="str">
        <f aca="false">IF($A147="","",INDEX(Employees!$C$6:$C$205,MATCH($A147,Employees!$BH$6:$BH$205,0)))</f>
        <v/>
      </c>
      <c r="E147" s="11" t="str">
        <f aca="false">IF($A147="","",INDEX(Employees!$D$6:$D$205,MATCH($A147,Employees!$BH$6:$BH$205,0)))</f>
        <v/>
      </c>
      <c r="F147" s="11" t="str">
        <f aca="false">IF($A147="","",INDEX(Employees!$T$6:$T$205,MATCH($A147,Employees!$BH$6:$BH$205,0)))</f>
        <v/>
      </c>
      <c r="G147" s="26" t="str">
        <f aca="false">IF($A147="","",INDEX(Employees!$U$6:$U$205,MATCH($A147,Employees!$BH$6:$BH$205,0)))</f>
        <v/>
      </c>
      <c r="H147" s="28" t="str">
        <f aca="false">IF($A147="","",INDEX(Employees!$E$6:$E$205,MATCH($A147,Employees!$BH$6:$BH$205,0)))</f>
        <v/>
      </c>
      <c r="I147" s="11" t="str">
        <f aca="false">IF($A147="","",INDEX(Employees!$Z$6:$Z$205,MATCH($A147,Employees!$BH$6:$BH$205,0)))</f>
        <v/>
      </c>
      <c r="J147" s="26" t="str">
        <f aca="false">IF($A147="","",INDEX(Employees!$AB$6:$AB$205,MATCH($A147,Employees!$BH$6:$BH$205,0)))</f>
        <v/>
      </c>
      <c r="K147" s="26" t="str">
        <f aca="false">IF($A147="","",INDEX(Employees!$AI$6:$AI$205,MATCH($A147,Employees!$BH$6:$BH$205,0)))</f>
        <v/>
      </c>
      <c r="L147" s="26" t="str">
        <f aca="false">IF($A147="","",INDEX(Employees!$AG$6:$AG$205,MATCH($A147,Employees!$BH$6:$BH$205,0)))</f>
        <v/>
      </c>
      <c r="M147" s="26" t="str">
        <f aca="false">IF($A147="","",INDEX(Employees!$AH$6:$AH$205,MATCH($A147,Employees!$BH$6:$BH$205,0)))</f>
        <v/>
      </c>
      <c r="N147" s="26" t="str">
        <f aca="false">IF($A147="","",INDEX(Employees!$AK$6:$AK$205,MATCH($A147,Employees!$BH$6:$BH$205,0)))</f>
        <v/>
      </c>
      <c r="O147" s="26" t="str">
        <f aca="false">IF($A147="","",INDEX(Employees!$AL$6:$AL$205,MATCH($A147,Employees!$BH$6:$BH$205,0)))</f>
        <v/>
      </c>
      <c r="P147" s="11" t="str">
        <f aca="false">IF($A147="","",INDEX(Employees!$AM$6:$AM$205,MATCH($A147,Employees!$BH$6:$BH$205,0)))</f>
        <v/>
      </c>
    </row>
    <row r="148" customFormat="false" ht="15" hidden="false" customHeight="false" outlineLevel="0" collapsed="false">
      <c r="A148" s="11" t="str">
        <f aca="false">IF(143&lt;=MAX(Employees!$BH$6:$BH$205),143,"")</f>
        <v/>
      </c>
      <c r="B148" s="11" t="str">
        <f aca="false">IF($A148="","",INDEX(Employees!$A$6:$A$205,MATCH($A148,Employees!$BH$6:$BH$205,0)))</f>
        <v/>
      </c>
      <c r="C148" s="11" t="str">
        <f aca="false">IF($A148="","",INDEX(Employees!$B$6:$B$205,MATCH($A148,Employees!$BH$6:$BH$205,0)))</f>
        <v/>
      </c>
      <c r="D148" s="11" t="str">
        <f aca="false">IF($A148="","",INDEX(Employees!$C$6:$C$205,MATCH($A148,Employees!$BH$6:$BH$205,0)))</f>
        <v/>
      </c>
      <c r="E148" s="11" t="str">
        <f aca="false">IF($A148="","",INDEX(Employees!$D$6:$D$205,MATCH($A148,Employees!$BH$6:$BH$205,0)))</f>
        <v/>
      </c>
      <c r="F148" s="11" t="str">
        <f aca="false">IF($A148="","",INDEX(Employees!$T$6:$T$205,MATCH($A148,Employees!$BH$6:$BH$205,0)))</f>
        <v/>
      </c>
      <c r="G148" s="26" t="str">
        <f aca="false">IF($A148="","",INDEX(Employees!$U$6:$U$205,MATCH($A148,Employees!$BH$6:$BH$205,0)))</f>
        <v/>
      </c>
      <c r="H148" s="28" t="str">
        <f aca="false">IF($A148="","",INDEX(Employees!$E$6:$E$205,MATCH($A148,Employees!$BH$6:$BH$205,0)))</f>
        <v/>
      </c>
      <c r="I148" s="11" t="str">
        <f aca="false">IF($A148="","",INDEX(Employees!$Z$6:$Z$205,MATCH($A148,Employees!$BH$6:$BH$205,0)))</f>
        <v/>
      </c>
      <c r="J148" s="26" t="str">
        <f aca="false">IF($A148="","",INDEX(Employees!$AB$6:$AB$205,MATCH($A148,Employees!$BH$6:$BH$205,0)))</f>
        <v/>
      </c>
      <c r="K148" s="26" t="str">
        <f aca="false">IF($A148="","",INDEX(Employees!$AI$6:$AI$205,MATCH($A148,Employees!$BH$6:$BH$205,0)))</f>
        <v/>
      </c>
      <c r="L148" s="26" t="str">
        <f aca="false">IF($A148="","",INDEX(Employees!$AG$6:$AG$205,MATCH($A148,Employees!$BH$6:$BH$205,0)))</f>
        <v/>
      </c>
      <c r="M148" s="26" t="str">
        <f aca="false">IF($A148="","",INDEX(Employees!$AH$6:$AH$205,MATCH($A148,Employees!$BH$6:$BH$205,0)))</f>
        <v/>
      </c>
      <c r="N148" s="26" t="str">
        <f aca="false">IF($A148="","",INDEX(Employees!$AK$6:$AK$205,MATCH($A148,Employees!$BH$6:$BH$205,0)))</f>
        <v/>
      </c>
      <c r="O148" s="26" t="str">
        <f aca="false">IF($A148="","",INDEX(Employees!$AL$6:$AL$205,MATCH($A148,Employees!$BH$6:$BH$205,0)))</f>
        <v/>
      </c>
      <c r="P148" s="11" t="str">
        <f aca="false">IF($A148="","",INDEX(Employees!$AM$6:$AM$205,MATCH($A148,Employees!$BH$6:$BH$205,0)))</f>
        <v/>
      </c>
    </row>
    <row r="149" customFormat="false" ht="15" hidden="false" customHeight="false" outlineLevel="0" collapsed="false">
      <c r="A149" s="11" t="str">
        <f aca="false">IF(144&lt;=MAX(Employees!$BH$6:$BH$205),144,"")</f>
        <v/>
      </c>
      <c r="B149" s="11" t="str">
        <f aca="false">IF($A149="","",INDEX(Employees!$A$6:$A$205,MATCH($A149,Employees!$BH$6:$BH$205,0)))</f>
        <v/>
      </c>
      <c r="C149" s="11" t="str">
        <f aca="false">IF($A149="","",INDEX(Employees!$B$6:$B$205,MATCH($A149,Employees!$BH$6:$BH$205,0)))</f>
        <v/>
      </c>
      <c r="D149" s="11" t="str">
        <f aca="false">IF($A149="","",INDEX(Employees!$C$6:$C$205,MATCH($A149,Employees!$BH$6:$BH$205,0)))</f>
        <v/>
      </c>
      <c r="E149" s="11" t="str">
        <f aca="false">IF($A149="","",INDEX(Employees!$D$6:$D$205,MATCH($A149,Employees!$BH$6:$BH$205,0)))</f>
        <v/>
      </c>
      <c r="F149" s="11" t="str">
        <f aca="false">IF($A149="","",INDEX(Employees!$T$6:$T$205,MATCH($A149,Employees!$BH$6:$BH$205,0)))</f>
        <v/>
      </c>
      <c r="G149" s="26" t="str">
        <f aca="false">IF($A149="","",INDEX(Employees!$U$6:$U$205,MATCH($A149,Employees!$BH$6:$BH$205,0)))</f>
        <v/>
      </c>
      <c r="H149" s="28" t="str">
        <f aca="false">IF($A149="","",INDEX(Employees!$E$6:$E$205,MATCH($A149,Employees!$BH$6:$BH$205,0)))</f>
        <v/>
      </c>
      <c r="I149" s="11" t="str">
        <f aca="false">IF($A149="","",INDEX(Employees!$Z$6:$Z$205,MATCH($A149,Employees!$BH$6:$BH$205,0)))</f>
        <v/>
      </c>
      <c r="J149" s="26" t="str">
        <f aca="false">IF($A149="","",INDEX(Employees!$AB$6:$AB$205,MATCH($A149,Employees!$BH$6:$BH$205,0)))</f>
        <v/>
      </c>
      <c r="K149" s="26" t="str">
        <f aca="false">IF($A149="","",INDEX(Employees!$AI$6:$AI$205,MATCH($A149,Employees!$BH$6:$BH$205,0)))</f>
        <v/>
      </c>
      <c r="L149" s="26" t="str">
        <f aca="false">IF($A149="","",INDEX(Employees!$AG$6:$AG$205,MATCH($A149,Employees!$BH$6:$BH$205,0)))</f>
        <v/>
      </c>
      <c r="M149" s="26" t="str">
        <f aca="false">IF($A149="","",INDEX(Employees!$AH$6:$AH$205,MATCH($A149,Employees!$BH$6:$BH$205,0)))</f>
        <v/>
      </c>
      <c r="N149" s="26" t="str">
        <f aca="false">IF($A149="","",INDEX(Employees!$AK$6:$AK$205,MATCH($A149,Employees!$BH$6:$BH$205,0)))</f>
        <v/>
      </c>
      <c r="O149" s="26" t="str">
        <f aca="false">IF($A149="","",INDEX(Employees!$AL$6:$AL$205,MATCH($A149,Employees!$BH$6:$BH$205,0)))</f>
        <v/>
      </c>
      <c r="P149" s="11" t="str">
        <f aca="false">IF($A149="","",INDEX(Employees!$AM$6:$AM$205,MATCH($A149,Employees!$BH$6:$BH$205,0)))</f>
        <v/>
      </c>
    </row>
    <row r="150" customFormat="false" ht="15" hidden="false" customHeight="false" outlineLevel="0" collapsed="false">
      <c r="A150" s="11" t="str">
        <f aca="false">IF(145&lt;=MAX(Employees!$BH$6:$BH$205),145,"")</f>
        <v/>
      </c>
      <c r="B150" s="11" t="str">
        <f aca="false">IF($A150="","",INDEX(Employees!$A$6:$A$205,MATCH($A150,Employees!$BH$6:$BH$205,0)))</f>
        <v/>
      </c>
      <c r="C150" s="11" t="str">
        <f aca="false">IF($A150="","",INDEX(Employees!$B$6:$B$205,MATCH($A150,Employees!$BH$6:$BH$205,0)))</f>
        <v/>
      </c>
      <c r="D150" s="11" t="str">
        <f aca="false">IF($A150="","",INDEX(Employees!$C$6:$C$205,MATCH($A150,Employees!$BH$6:$BH$205,0)))</f>
        <v/>
      </c>
      <c r="E150" s="11" t="str">
        <f aca="false">IF($A150="","",INDEX(Employees!$D$6:$D$205,MATCH($A150,Employees!$BH$6:$BH$205,0)))</f>
        <v/>
      </c>
      <c r="F150" s="11" t="str">
        <f aca="false">IF($A150="","",INDEX(Employees!$T$6:$T$205,MATCH($A150,Employees!$BH$6:$BH$205,0)))</f>
        <v/>
      </c>
      <c r="G150" s="26" t="str">
        <f aca="false">IF($A150="","",INDEX(Employees!$U$6:$U$205,MATCH($A150,Employees!$BH$6:$BH$205,0)))</f>
        <v/>
      </c>
      <c r="H150" s="28" t="str">
        <f aca="false">IF($A150="","",INDEX(Employees!$E$6:$E$205,MATCH($A150,Employees!$BH$6:$BH$205,0)))</f>
        <v/>
      </c>
      <c r="I150" s="11" t="str">
        <f aca="false">IF($A150="","",INDEX(Employees!$Z$6:$Z$205,MATCH($A150,Employees!$BH$6:$BH$205,0)))</f>
        <v/>
      </c>
      <c r="J150" s="26" t="str">
        <f aca="false">IF($A150="","",INDEX(Employees!$AB$6:$AB$205,MATCH($A150,Employees!$BH$6:$BH$205,0)))</f>
        <v/>
      </c>
      <c r="K150" s="26" t="str">
        <f aca="false">IF($A150="","",INDEX(Employees!$AI$6:$AI$205,MATCH($A150,Employees!$BH$6:$BH$205,0)))</f>
        <v/>
      </c>
      <c r="L150" s="26" t="str">
        <f aca="false">IF($A150="","",INDEX(Employees!$AG$6:$AG$205,MATCH($A150,Employees!$BH$6:$BH$205,0)))</f>
        <v/>
      </c>
      <c r="M150" s="26" t="str">
        <f aca="false">IF($A150="","",INDEX(Employees!$AH$6:$AH$205,MATCH($A150,Employees!$BH$6:$BH$205,0)))</f>
        <v/>
      </c>
      <c r="N150" s="26" t="str">
        <f aca="false">IF($A150="","",INDEX(Employees!$AK$6:$AK$205,MATCH($A150,Employees!$BH$6:$BH$205,0)))</f>
        <v/>
      </c>
      <c r="O150" s="26" t="str">
        <f aca="false">IF($A150="","",INDEX(Employees!$AL$6:$AL$205,MATCH($A150,Employees!$BH$6:$BH$205,0)))</f>
        <v/>
      </c>
      <c r="P150" s="11" t="str">
        <f aca="false">IF($A150="","",INDEX(Employees!$AM$6:$AM$205,MATCH($A150,Employees!$BH$6:$BH$205,0)))</f>
        <v/>
      </c>
    </row>
    <row r="151" customFormat="false" ht="15" hidden="false" customHeight="false" outlineLevel="0" collapsed="false">
      <c r="A151" s="11" t="str">
        <f aca="false">IF(146&lt;=MAX(Employees!$BH$6:$BH$205),146,"")</f>
        <v/>
      </c>
      <c r="B151" s="11" t="str">
        <f aca="false">IF($A151="","",INDEX(Employees!$A$6:$A$205,MATCH($A151,Employees!$BH$6:$BH$205,0)))</f>
        <v/>
      </c>
      <c r="C151" s="11" t="str">
        <f aca="false">IF($A151="","",INDEX(Employees!$B$6:$B$205,MATCH($A151,Employees!$BH$6:$BH$205,0)))</f>
        <v/>
      </c>
      <c r="D151" s="11" t="str">
        <f aca="false">IF($A151="","",INDEX(Employees!$C$6:$C$205,MATCH($A151,Employees!$BH$6:$BH$205,0)))</f>
        <v/>
      </c>
      <c r="E151" s="11" t="str">
        <f aca="false">IF($A151="","",INDEX(Employees!$D$6:$D$205,MATCH($A151,Employees!$BH$6:$BH$205,0)))</f>
        <v/>
      </c>
      <c r="F151" s="11" t="str">
        <f aca="false">IF($A151="","",INDEX(Employees!$T$6:$T$205,MATCH($A151,Employees!$BH$6:$BH$205,0)))</f>
        <v/>
      </c>
      <c r="G151" s="26" t="str">
        <f aca="false">IF($A151="","",INDEX(Employees!$U$6:$U$205,MATCH($A151,Employees!$BH$6:$BH$205,0)))</f>
        <v/>
      </c>
      <c r="H151" s="28" t="str">
        <f aca="false">IF($A151="","",INDEX(Employees!$E$6:$E$205,MATCH($A151,Employees!$BH$6:$BH$205,0)))</f>
        <v/>
      </c>
      <c r="I151" s="11" t="str">
        <f aca="false">IF($A151="","",INDEX(Employees!$Z$6:$Z$205,MATCH($A151,Employees!$BH$6:$BH$205,0)))</f>
        <v/>
      </c>
      <c r="J151" s="26" t="str">
        <f aca="false">IF($A151="","",INDEX(Employees!$AB$6:$AB$205,MATCH($A151,Employees!$BH$6:$BH$205,0)))</f>
        <v/>
      </c>
      <c r="K151" s="26" t="str">
        <f aca="false">IF($A151="","",INDEX(Employees!$AI$6:$AI$205,MATCH($A151,Employees!$BH$6:$BH$205,0)))</f>
        <v/>
      </c>
      <c r="L151" s="26" t="str">
        <f aca="false">IF($A151="","",INDEX(Employees!$AG$6:$AG$205,MATCH($A151,Employees!$BH$6:$BH$205,0)))</f>
        <v/>
      </c>
      <c r="M151" s="26" t="str">
        <f aca="false">IF($A151="","",INDEX(Employees!$AH$6:$AH$205,MATCH($A151,Employees!$BH$6:$BH$205,0)))</f>
        <v/>
      </c>
      <c r="N151" s="26" t="str">
        <f aca="false">IF($A151="","",INDEX(Employees!$AK$6:$AK$205,MATCH($A151,Employees!$BH$6:$BH$205,0)))</f>
        <v/>
      </c>
      <c r="O151" s="26" t="str">
        <f aca="false">IF($A151="","",INDEX(Employees!$AL$6:$AL$205,MATCH($A151,Employees!$BH$6:$BH$205,0)))</f>
        <v/>
      </c>
      <c r="P151" s="11" t="str">
        <f aca="false">IF($A151="","",INDEX(Employees!$AM$6:$AM$205,MATCH($A151,Employees!$BH$6:$BH$205,0)))</f>
        <v/>
      </c>
    </row>
    <row r="152" customFormat="false" ht="15" hidden="false" customHeight="false" outlineLevel="0" collapsed="false">
      <c r="A152" s="11" t="str">
        <f aca="false">IF(147&lt;=MAX(Employees!$BH$6:$BH$205),147,"")</f>
        <v/>
      </c>
      <c r="B152" s="11" t="str">
        <f aca="false">IF($A152="","",INDEX(Employees!$A$6:$A$205,MATCH($A152,Employees!$BH$6:$BH$205,0)))</f>
        <v/>
      </c>
      <c r="C152" s="11" t="str">
        <f aca="false">IF($A152="","",INDEX(Employees!$B$6:$B$205,MATCH($A152,Employees!$BH$6:$BH$205,0)))</f>
        <v/>
      </c>
      <c r="D152" s="11" t="str">
        <f aca="false">IF($A152="","",INDEX(Employees!$C$6:$C$205,MATCH($A152,Employees!$BH$6:$BH$205,0)))</f>
        <v/>
      </c>
      <c r="E152" s="11" t="str">
        <f aca="false">IF($A152="","",INDEX(Employees!$D$6:$D$205,MATCH($A152,Employees!$BH$6:$BH$205,0)))</f>
        <v/>
      </c>
      <c r="F152" s="11" t="str">
        <f aca="false">IF($A152="","",INDEX(Employees!$T$6:$T$205,MATCH($A152,Employees!$BH$6:$BH$205,0)))</f>
        <v/>
      </c>
      <c r="G152" s="26" t="str">
        <f aca="false">IF($A152="","",INDEX(Employees!$U$6:$U$205,MATCH($A152,Employees!$BH$6:$BH$205,0)))</f>
        <v/>
      </c>
      <c r="H152" s="28" t="str">
        <f aca="false">IF($A152="","",INDEX(Employees!$E$6:$E$205,MATCH($A152,Employees!$BH$6:$BH$205,0)))</f>
        <v/>
      </c>
      <c r="I152" s="11" t="str">
        <f aca="false">IF($A152="","",INDEX(Employees!$Z$6:$Z$205,MATCH($A152,Employees!$BH$6:$BH$205,0)))</f>
        <v/>
      </c>
      <c r="J152" s="26" t="str">
        <f aca="false">IF($A152="","",INDEX(Employees!$AB$6:$AB$205,MATCH($A152,Employees!$BH$6:$BH$205,0)))</f>
        <v/>
      </c>
      <c r="K152" s="26" t="str">
        <f aca="false">IF($A152="","",INDEX(Employees!$AI$6:$AI$205,MATCH($A152,Employees!$BH$6:$BH$205,0)))</f>
        <v/>
      </c>
      <c r="L152" s="26" t="str">
        <f aca="false">IF($A152="","",INDEX(Employees!$AG$6:$AG$205,MATCH($A152,Employees!$BH$6:$BH$205,0)))</f>
        <v/>
      </c>
      <c r="M152" s="26" t="str">
        <f aca="false">IF($A152="","",INDEX(Employees!$AH$6:$AH$205,MATCH($A152,Employees!$BH$6:$BH$205,0)))</f>
        <v/>
      </c>
      <c r="N152" s="26" t="str">
        <f aca="false">IF($A152="","",INDEX(Employees!$AK$6:$AK$205,MATCH($A152,Employees!$BH$6:$BH$205,0)))</f>
        <v/>
      </c>
      <c r="O152" s="26" t="str">
        <f aca="false">IF($A152="","",INDEX(Employees!$AL$6:$AL$205,MATCH($A152,Employees!$BH$6:$BH$205,0)))</f>
        <v/>
      </c>
      <c r="P152" s="11" t="str">
        <f aca="false">IF($A152="","",INDEX(Employees!$AM$6:$AM$205,MATCH($A152,Employees!$BH$6:$BH$205,0)))</f>
        <v/>
      </c>
    </row>
    <row r="153" customFormat="false" ht="15" hidden="false" customHeight="false" outlineLevel="0" collapsed="false">
      <c r="A153" s="11" t="str">
        <f aca="false">IF(148&lt;=MAX(Employees!$BH$6:$BH$205),148,"")</f>
        <v/>
      </c>
      <c r="B153" s="11" t="str">
        <f aca="false">IF($A153="","",INDEX(Employees!$A$6:$A$205,MATCH($A153,Employees!$BH$6:$BH$205,0)))</f>
        <v/>
      </c>
      <c r="C153" s="11" t="str">
        <f aca="false">IF($A153="","",INDEX(Employees!$B$6:$B$205,MATCH($A153,Employees!$BH$6:$BH$205,0)))</f>
        <v/>
      </c>
      <c r="D153" s="11" t="str">
        <f aca="false">IF($A153="","",INDEX(Employees!$C$6:$C$205,MATCH($A153,Employees!$BH$6:$BH$205,0)))</f>
        <v/>
      </c>
      <c r="E153" s="11" t="str">
        <f aca="false">IF($A153="","",INDEX(Employees!$D$6:$D$205,MATCH($A153,Employees!$BH$6:$BH$205,0)))</f>
        <v/>
      </c>
      <c r="F153" s="11" t="str">
        <f aca="false">IF($A153="","",INDEX(Employees!$T$6:$T$205,MATCH($A153,Employees!$BH$6:$BH$205,0)))</f>
        <v/>
      </c>
      <c r="G153" s="26" t="str">
        <f aca="false">IF($A153="","",INDEX(Employees!$U$6:$U$205,MATCH($A153,Employees!$BH$6:$BH$205,0)))</f>
        <v/>
      </c>
      <c r="H153" s="28" t="str">
        <f aca="false">IF($A153="","",INDEX(Employees!$E$6:$E$205,MATCH($A153,Employees!$BH$6:$BH$205,0)))</f>
        <v/>
      </c>
      <c r="I153" s="11" t="str">
        <f aca="false">IF($A153="","",INDEX(Employees!$Z$6:$Z$205,MATCH($A153,Employees!$BH$6:$BH$205,0)))</f>
        <v/>
      </c>
      <c r="J153" s="26" t="str">
        <f aca="false">IF($A153="","",INDEX(Employees!$AB$6:$AB$205,MATCH($A153,Employees!$BH$6:$BH$205,0)))</f>
        <v/>
      </c>
      <c r="K153" s="26" t="str">
        <f aca="false">IF($A153="","",INDEX(Employees!$AI$6:$AI$205,MATCH($A153,Employees!$BH$6:$BH$205,0)))</f>
        <v/>
      </c>
      <c r="L153" s="26" t="str">
        <f aca="false">IF($A153="","",INDEX(Employees!$AG$6:$AG$205,MATCH($A153,Employees!$BH$6:$BH$205,0)))</f>
        <v/>
      </c>
      <c r="M153" s="26" t="str">
        <f aca="false">IF($A153="","",INDEX(Employees!$AH$6:$AH$205,MATCH($A153,Employees!$BH$6:$BH$205,0)))</f>
        <v/>
      </c>
      <c r="N153" s="26" t="str">
        <f aca="false">IF($A153="","",INDEX(Employees!$AK$6:$AK$205,MATCH($A153,Employees!$BH$6:$BH$205,0)))</f>
        <v/>
      </c>
      <c r="O153" s="26" t="str">
        <f aca="false">IF($A153="","",INDEX(Employees!$AL$6:$AL$205,MATCH($A153,Employees!$BH$6:$BH$205,0)))</f>
        <v/>
      </c>
      <c r="P153" s="11" t="str">
        <f aca="false">IF($A153="","",INDEX(Employees!$AM$6:$AM$205,MATCH($A153,Employees!$BH$6:$BH$205,0)))</f>
        <v/>
      </c>
    </row>
    <row r="154" customFormat="false" ht="15" hidden="false" customHeight="false" outlineLevel="0" collapsed="false">
      <c r="A154" s="11" t="str">
        <f aca="false">IF(149&lt;=MAX(Employees!$BH$6:$BH$205),149,"")</f>
        <v/>
      </c>
      <c r="B154" s="11" t="str">
        <f aca="false">IF($A154="","",INDEX(Employees!$A$6:$A$205,MATCH($A154,Employees!$BH$6:$BH$205,0)))</f>
        <v/>
      </c>
      <c r="C154" s="11" t="str">
        <f aca="false">IF($A154="","",INDEX(Employees!$B$6:$B$205,MATCH($A154,Employees!$BH$6:$BH$205,0)))</f>
        <v/>
      </c>
      <c r="D154" s="11" t="str">
        <f aca="false">IF($A154="","",INDEX(Employees!$C$6:$C$205,MATCH($A154,Employees!$BH$6:$BH$205,0)))</f>
        <v/>
      </c>
      <c r="E154" s="11" t="str">
        <f aca="false">IF($A154="","",INDEX(Employees!$D$6:$D$205,MATCH($A154,Employees!$BH$6:$BH$205,0)))</f>
        <v/>
      </c>
      <c r="F154" s="11" t="str">
        <f aca="false">IF($A154="","",INDEX(Employees!$T$6:$T$205,MATCH($A154,Employees!$BH$6:$BH$205,0)))</f>
        <v/>
      </c>
      <c r="G154" s="26" t="str">
        <f aca="false">IF($A154="","",INDEX(Employees!$U$6:$U$205,MATCH($A154,Employees!$BH$6:$BH$205,0)))</f>
        <v/>
      </c>
      <c r="H154" s="28" t="str">
        <f aca="false">IF($A154="","",INDEX(Employees!$E$6:$E$205,MATCH($A154,Employees!$BH$6:$BH$205,0)))</f>
        <v/>
      </c>
      <c r="I154" s="11" t="str">
        <f aca="false">IF($A154="","",INDEX(Employees!$Z$6:$Z$205,MATCH($A154,Employees!$BH$6:$BH$205,0)))</f>
        <v/>
      </c>
      <c r="J154" s="26" t="str">
        <f aca="false">IF($A154="","",INDEX(Employees!$AB$6:$AB$205,MATCH($A154,Employees!$BH$6:$BH$205,0)))</f>
        <v/>
      </c>
      <c r="K154" s="26" t="str">
        <f aca="false">IF($A154="","",INDEX(Employees!$AI$6:$AI$205,MATCH($A154,Employees!$BH$6:$BH$205,0)))</f>
        <v/>
      </c>
      <c r="L154" s="26" t="str">
        <f aca="false">IF($A154="","",INDEX(Employees!$AG$6:$AG$205,MATCH($A154,Employees!$BH$6:$BH$205,0)))</f>
        <v/>
      </c>
      <c r="M154" s="26" t="str">
        <f aca="false">IF($A154="","",INDEX(Employees!$AH$6:$AH$205,MATCH($A154,Employees!$BH$6:$BH$205,0)))</f>
        <v/>
      </c>
      <c r="N154" s="26" t="str">
        <f aca="false">IF($A154="","",INDEX(Employees!$AK$6:$AK$205,MATCH($A154,Employees!$BH$6:$BH$205,0)))</f>
        <v/>
      </c>
      <c r="O154" s="26" t="str">
        <f aca="false">IF($A154="","",INDEX(Employees!$AL$6:$AL$205,MATCH($A154,Employees!$BH$6:$BH$205,0)))</f>
        <v/>
      </c>
      <c r="P154" s="11" t="str">
        <f aca="false">IF($A154="","",INDEX(Employees!$AM$6:$AM$205,MATCH($A154,Employees!$BH$6:$BH$205,0)))</f>
        <v/>
      </c>
    </row>
    <row r="155" customFormat="false" ht="15" hidden="false" customHeight="false" outlineLevel="0" collapsed="false">
      <c r="A155" s="11" t="str">
        <f aca="false">IF(150&lt;=MAX(Employees!$BH$6:$BH$205),150,"")</f>
        <v/>
      </c>
      <c r="B155" s="11" t="str">
        <f aca="false">IF($A155="","",INDEX(Employees!$A$6:$A$205,MATCH($A155,Employees!$BH$6:$BH$205,0)))</f>
        <v/>
      </c>
      <c r="C155" s="11" t="str">
        <f aca="false">IF($A155="","",INDEX(Employees!$B$6:$B$205,MATCH($A155,Employees!$BH$6:$BH$205,0)))</f>
        <v/>
      </c>
      <c r="D155" s="11" t="str">
        <f aca="false">IF($A155="","",INDEX(Employees!$C$6:$C$205,MATCH($A155,Employees!$BH$6:$BH$205,0)))</f>
        <v/>
      </c>
      <c r="E155" s="11" t="str">
        <f aca="false">IF($A155="","",INDEX(Employees!$D$6:$D$205,MATCH($A155,Employees!$BH$6:$BH$205,0)))</f>
        <v/>
      </c>
      <c r="F155" s="11" t="str">
        <f aca="false">IF($A155="","",INDEX(Employees!$T$6:$T$205,MATCH($A155,Employees!$BH$6:$BH$205,0)))</f>
        <v/>
      </c>
      <c r="G155" s="26" t="str">
        <f aca="false">IF($A155="","",INDEX(Employees!$U$6:$U$205,MATCH($A155,Employees!$BH$6:$BH$205,0)))</f>
        <v/>
      </c>
      <c r="H155" s="28" t="str">
        <f aca="false">IF($A155="","",INDEX(Employees!$E$6:$E$205,MATCH($A155,Employees!$BH$6:$BH$205,0)))</f>
        <v/>
      </c>
      <c r="I155" s="11" t="str">
        <f aca="false">IF($A155="","",INDEX(Employees!$Z$6:$Z$205,MATCH($A155,Employees!$BH$6:$BH$205,0)))</f>
        <v/>
      </c>
      <c r="J155" s="26" t="str">
        <f aca="false">IF($A155="","",INDEX(Employees!$AB$6:$AB$205,MATCH($A155,Employees!$BH$6:$BH$205,0)))</f>
        <v/>
      </c>
      <c r="K155" s="26" t="str">
        <f aca="false">IF($A155="","",INDEX(Employees!$AI$6:$AI$205,MATCH($A155,Employees!$BH$6:$BH$205,0)))</f>
        <v/>
      </c>
      <c r="L155" s="26" t="str">
        <f aca="false">IF($A155="","",INDEX(Employees!$AG$6:$AG$205,MATCH($A155,Employees!$BH$6:$BH$205,0)))</f>
        <v/>
      </c>
      <c r="M155" s="26" t="str">
        <f aca="false">IF($A155="","",INDEX(Employees!$AH$6:$AH$205,MATCH($A155,Employees!$BH$6:$BH$205,0)))</f>
        <v/>
      </c>
      <c r="N155" s="26" t="str">
        <f aca="false">IF($A155="","",INDEX(Employees!$AK$6:$AK$205,MATCH($A155,Employees!$BH$6:$BH$205,0)))</f>
        <v/>
      </c>
      <c r="O155" s="26" t="str">
        <f aca="false">IF($A155="","",INDEX(Employees!$AL$6:$AL$205,MATCH($A155,Employees!$BH$6:$BH$205,0)))</f>
        <v/>
      </c>
      <c r="P155" s="11" t="str">
        <f aca="false">IF($A155="","",INDEX(Employees!$AM$6:$AM$205,MATCH($A155,Employees!$BH$6:$BH$205,0)))</f>
        <v/>
      </c>
    </row>
    <row r="156" customFormat="false" ht="15" hidden="false" customHeight="false" outlineLevel="0" collapsed="false">
      <c r="A156" s="11" t="str">
        <f aca="false">IF(151&lt;=MAX(Employees!$BH$6:$BH$205),151,"")</f>
        <v/>
      </c>
      <c r="B156" s="11" t="str">
        <f aca="false">IF($A156="","",INDEX(Employees!$A$6:$A$205,MATCH($A156,Employees!$BH$6:$BH$205,0)))</f>
        <v/>
      </c>
      <c r="C156" s="11" t="str">
        <f aca="false">IF($A156="","",INDEX(Employees!$B$6:$B$205,MATCH($A156,Employees!$BH$6:$BH$205,0)))</f>
        <v/>
      </c>
      <c r="D156" s="11" t="str">
        <f aca="false">IF($A156="","",INDEX(Employees!$C$6:$C$205,MATCH($A156,Employees!$BH$6:$BH$205,0)))</f>
        <v/>
      </c>
      <c r="E156" s="11" t="str">
        <f aca="false">IF($A156="","",INDEX(Employees!$D$6:$D$205,MATCH($A156,Employees!$BH$6:$BH$205,0)))</f>
        <v/>
      </c>
      <c r="F156" s="11" t="str">
        <f aca="false">IF($A156="","",INDEX(Employees!$T$6:$T$205,MATCH($A156,Employees!$BH$6:$BH$205,0)))</f>
        <v/>
      </c>
      <c r="G156" s="26" t="str">
        <f aca="false">IF($A156="","",INDEX(Employees!$U$6:$U$205,MATCH($A156,Employees!$BH$6:$BH$205,0)))</f>
        <v/>
      </c>
      <c r="H156" s="28" t="str">
        <f aca="false">IF($A156="","",INDEX(Employees!$E$6:$E$205,MATCH($A156,Employees!$BH$6:$BH$205,0)))</f>
        <v/>
      </c>
      <c r="I156" s="11" t="str">
        <f aca="false">IF($A156="","",INDEX(Employees!$Z$6:$Z$205,MATCH($A156,Employees!$BH$6:$BH$205,0)))</f>
        <v/>
      </c>
      <c r="J156" s="26" t="str">
        <f aca="false">IF($A156="","",INDEX(Employees!$AB$6:$AB$205,MATCH($A156,Employees!$BH$6:$BH$205,0)))</f>
        <v/>
      </c>
      <c r="K156" s="26" t="str">
        <f aca="false">IF($A156="","",INDEX(Employees!$AI$6:$AI$205,MATCH($A156,Employees!$BH$6:$BH$205,0)))</f>
        <v/>
      </c>
      <c r="L156" s="26" t="str">
        <f aca="false">IF($A156="","",INDEX(Employees!$AG$6:$AG$205,MATCH($A156,Employees!$BH$6:$BH$205,0)))</f>
        <v/>
      </c>
      <c r="M156" s="26" t="str">
        <f aca="false">IF($A156="","",INDEX(Employees!$AH$6:$AH$205,MATCH($A156,Employees!$BH$6:$BH$205,0)))</f>
        <v/>
      </c>
      <c r="N156" s="26" t="str">
        <f aca="false">IF($A156="","",INDEX(Employees!$AK$6:$AK$205,MATCH($A156,Employees!$BH$6:$BH$205,0)))</f>
        <v/>
      </c>
      <c r="O156" s="26" t="str">
        <f aca="false">IF($A156="","",INDEX(Employees!$AL$6:$AL$205,MATCH($A156,Employees!$BH$6:$BH$205,0)))</f>
        <v/>
      </c>
      <c r="P156" s="11" t="str">
        <f aca="false">IF($A156="","",INDEX(Employees!$AM$6:$AM$205,MATCH($A156,Employees!$BH$6:$BH$205,0)))</f>
        <v/>
      </c>
    </row>
    <row r="157" customFormat="false" ht="15" hidden="false" customHeight="false" outlineLevel="0" collapsed="false">
      <c r="A157" s="11" t="str">
        <f aca="false">IF(152&lt;=MAX(Employees!$BH$6:$BH$205),152,"")</f>
        <v/>
      </c>
      <c r="B157" s="11" t="str">
        <f aca="false">IF($A157="","",INDEX(Employees!$A$6:$A$205,MATCH($A157,Employees!$BH$6:$BH$205,0)))</f>
        <v/>
      </c>
      <c r="C157" s="11" t="str">
        <f aca="false">IF($A157="","",INDEX(Employees!$B$6:$B$205,MATCH($A157,Employees!$BH$6:$BH$205,0)))</f>
        <v/>
      </c>
      <c r="D157" s="11" t="str">
        <f aca="false">IF($A157="","",INDEX(Employees!$C$6:$C$205,MATCH($A157,Employees!$BH$6:$BH$205,0)))</f>
        <v/>
      </c>
      <c r="E157" s="11" t="str">
        <f aca="false">IF($A157="","",INDEX(Employees!$D$6:$D$205,MATCH($A157,Employees!$BH$6:$BH$205,0)))</f>
        <v/>
      </c>
      <c r="F157" s="11" t="str">
        <f aca="false">IF($A157="","",INDEX(Employees!$T$6:$T$205,MATCH($A157,Employees!$BH$6:$BH$205,0)))</f>
        <v/>
      </c>
      <c r="G157" s="26" t="str">
        <f aca="false">IF($A157="","",INDEX(Employees!$U$6:$U$205,MATCH($A157,Employees!$BH$6:$BH$205,0)))</f>
        <v/>
      </c>
      <c r="H157" s="28" t="str">
        <f aca="false">IF($A157="","",INDEX(Employees!$E$6:$E$205,MATCH($A157,Employees!$BH$6:$BH$205,0)))</f>
        <v/>
      </c>
      <c r="I157" s="11" t="str">
        <f aca="false">IF($A157="","",INDEX(Employees!$Z$6:$Z$205,MATCH($A157,Employees!$BH$6:$BH$205,0)))</f>
        <v/>
      </c>
      <c r="J157" s="26" t="str">
        <f aca="false">IF($A157="","",INDEX(Employees!$AB$6:$AB$205,MATCH($A157,Employees!$BH$6:$BH$205,0)))</f>
        <v/>
      </c>
      <c r="K157" s="26" t="str">
        <f aca="false">IF($A157="","",INDEX(Employees!$AI$6:$AI$205,MATCH($A157,Employees!$BH$6:$BH$205,0)))</f>
        <v/>
      </c>
      <c r="L157" s="26" t="str">
        <f aca="false">IF($A157="","",INDEX(Employees!$AG$6:$AG$205,MATCH($A157,Employees!$BH$6:$BH$205,0)))</f>
        <v/>
      </c>
      <c r="M157" s="26" t="str">
        <f aca="false">IF($A157="","",INDEX(Employees!$AH$6:$AH$205,MATCH($A157,Employees!$BH$6:$BH$205,0)))</f>
        <v/>
      </c>
      <c r="N157" s="26" t="str">
        <f aca="false">IF($A157="","",INDEX(Employees!$AK$6:$AK$205,MATCH($A157,Employees!$BH$6:$BH$205,0)))</f>
        <v/>
      </c>
      <c r="O157" s="26" t="str">
        <f aca="false">IF($A157="","",INDEX(Employees!$AL$6:$AL$205,MATCH($A157,Employees!$BH$6:$BH$205,0)))</f>
        <v/>
      </c>
      <c r="P157" s="11" t="str">
        <f aca="false">IF($A157="","",INDEX(Employees!$AM$6:$AM$205,MATCH($A157,Employees!$BH$6:$BH$205,0)))</f>
        <v/>
      </c>
    </row>
    <row r="158" customFormat="false" ht="15" hidden="false" customHeight="false" outlineLevel="0" collapsed="false">
      <c r="A158" s="11" t="str">
        <f aca="false">IF(153&lt;=MAX(Employees!$BH$6:$BH$205),153,"")</f>
        <v/>
      </c>
      <c r="B158" s="11" t="str">
        <f aca="false">IF($A158="","",INDEX(Employees!$A$6:$A$205,MATCH($A158,Employees!$BH$6:$BH$205,0)))</f>
        <v/>
      </c>
      <c r="C158" s="11" t="str">
        <f aca="false">IF($A158="","",INDEX(Employees!$B$6:$B$205,MATCH($A158,Employees!$BH$6:$BH$205,0)))</f>
        <v/>
      </c>
      <c r="D158" s="11" t="str">
        <f aca="false">IF($A158="","",INDEX(Employees!$C$6:$C$205,MATCH($A158,Employees!$BH$6:$BH$205,0)))</f>
        <v/>
      </c>
      <c r="E158" s="11" t="str">
        <f aca="false">IF($A158="","",INDEX(Employees!$D$6:$D$205,MATCH($A158,Employees!$BH$6:$BH$205,0)))</f>
        <v/>
      </c>
      <c r="F158" s="11" t="str">
        <f aca="false">IF($A158="","",INDEX(Employees!$T$6:$T$205,MATCH($A158,Employees!$BH$6:$BH$205,0)))</f>
        <v/>
      </c>
      <c r="G158" s="26" t="str">
        <f aca="false">IF($A158="","",INDEX(Employees!$U$6:$U$205,MATCH($A158,Employees!$BH$6:$BH$205,0)))</f>
        <v/>
      </c>
      <c r="H158" s="28" t="str">
        <f aca="false">IF($A158="","",INDEX(Employees!$E$6:$E$205,MATCH($A158,Employees!$BH$6:$BH$205,0)))</f>
        <v/>
      </c>
      <c r="I158" s="11" t="str">
        <f aca="false">IF($A158="","",INDEX(Employees!$Z$6:$Z$205,MATCH($A158,Employees!$BH$6:$BH$205,0)))</f>
        <v/>
      </c>
      <c r="J158" s="26" t="str">
        <f aca="false">IF($A158="","",INDEX(Employees!$AB$6:$AB$205,MATCH($A158,Employees!$BH$6:$BH$205,0)))</f>
        <v/>
      </c>
      <c r="K158" s="26" t="str">
        <f aca="false">IF($A158="","",INDEX(Employees!$AI$6:$AI$205,MATCH($A158,Employees!$BH$6:$BH$205,0)))</f>
        <v/>
      </c>
      <c r="L158" s="26" t="str">
        <f aca="false">IF($A158="","",INDEX(Employees!$AG$6:$AG$205,MATCH($A158,Employees!$BH$6:$BH$205,0)))</f>
        <v/>
      </c>
      <c r="M158" s="26" t="str">
        <f aca="false">IF($A158="","",INDEX(Employees!$AH$6:$AH$205,MATCH($A158,Employees!$BH$6:$BH$205,0)))</f>
        <v/>
      </c>
      <c r="N158" s="26" t="str">
        <f aca="false">IF($A158="","",INDEX(Employees!$AK$6:$AK$205,MATCH($A158,Employees!$BH$6:$BH$205,0)))</f>
        <v/>
      </c>
      <c r="O158" s="26" t="str">
        <f aca="false">IF($A158="","",INDEX(Employees!$AL$6:$AL$205,MATCH($A158,Employees!$BH$6:$BH$205,0)))</f>
        <v/>
      </c>
      <c r="P158" s="11" t="str">
        <f aca="false">IF($A158="","",INDEX(Employees!$AM$6:$AM$205,MATCH($A158,Employees!$BH$6:$BH$205,0)))</f>
        <v/>
      </c>
    </row>
    <row r="159" customFormat="false" ht="15" hidden="false" customHeight="false" outlineLevel="0" collapsed="false">
      <c r="A159" s="11" t="str">
        <f aca="false">IF(154&lt;=MAX(Employees!$BH$6:$BH$205),154,"")</f>
        <v/>
      </c>
      <c r="B159" s="11" t="str">
        <f aca="false">IF($A159="","",INDEX(Employees!$A$6:$A$205,MATCH($A159,Employees!$BH$6:$BH$205,0)))</f>
        <v/>
      </c>
      <c r="C159" s="11" t="str">
        <f aca="false">IF($A159="","",INDEX(Employees!$B$6:$B$205,MATCH($A159,Employees!$BH$6:$BH$205,0)))</f>
        <v/>
      </c>
      <c r="D159" s="11" t="str">
        <f aca="false">IF($A159="","",INDEX(Employees!$C$6:$C$205,MATCH($A159,Employees!$BH$6:$BH$205,0)))</f>
        <v/>
      </c>
      <c r="E159" s="11" t="str">
        <f aca="false">IF($A159="","",INDEX(Employees!$D$6:$D$205,MATCH($A159,Employees!$BH$6:$BH$205,0)))</f>
        <v/>
      </c>
      <c r="F159" s="11" t="str">
        <f aca="false">IF($A159="","",INDEX(Employees!$T$6:$T$205,MATCH($A159,Employees!$BH$6:$BH$205,0)))</f>
        <v/>
      </c>
      <c r="G159" s="26" t="str">
        <f aca="false">IF($A159="","",INDEX(Employees!$U$6:$U$205,MATCH($A159,Employees!$BH$6:$BH$205,0)))</f>
        <v/>
      </c>
      <c r="H159" s="28" t="str">
        <f aca="false">IF($A159="","",INDEX(Employees!$E$6:$E$205,MATCH($A159,Employees!$BH$6:$BH$205,0)))</f>
        <v/>
      </c>
      <c r="I159" s="11" t="str">
        <f aca="false">IF($A159="","",INDEX(Employees!$Z$6:$Z$205,MATCH($A159,Employees!$BH$6:$BH$205,0)))</f>
        <v/>
      </c>
      <c r="J159" s="26" t="str">
        <f aca="false">IF($A159="","",INDEX(Employees!$AB$6:$AB$205,MATCH($A159,Employees!$BH$6:$BH$205,0)))</f>
        <v/>
      </c>
      <c r="K159" s="26" t="str">
        <f aca="false">IF($A159="","",INDEX(Employees!$AI$6:$AI$205,MATCH($A159,Employees!$BH$6:$BH$205,0)))</f>
        <v/>
      </c>
      <c r="L159" s="26" t="str">
        <f aca="false">IF($A159="","",INDEX(Employees!$AG$6:$AG$205,MATCH($A159,Employees!$BH$6:$BH$205,0)))</f>
        <v/>
      </c>
      <c r="M159" s="26" t="str">
        <f aca="false">IF($A159="","",INDEX(Employees!$AH$6:$AH$205,MATCH($A159,Employees!$BH$6:$BH$205,0)))</f>
        <v/>
      </c>
      <c r="N159" s="26" t="str">
        <f aca="false">IF($A159="","",INDEX(Employees!$AK$6:$AK$205,MATCH($A159,Employees!$BH$6:$BH$205,0)))</f>
        <v/>
      </c>
      <c r="O159" s="26" t="str">
        <f aca="false">IF($A159="","",INDEX(Employees!$AL$6:$AL$205,MATCH($A159,Employees!$BH$6:$BH$205,0)))</f>
        <v/>
      </c>
      <c r="P159" s="11" t="str">
        <f aca="false">IF($A159="","",INDEX(Employees!$AM$6:$AM$205,MATCH($A159,Employees!$BH$6:$BH$205,0)))</f>
        <v/>
      </c>
    </row>
    <row r="160" customFormat="false" ht="15" hidden="false" customHeight="false" outlineLevel="0" collapsed="false">
      <c r="A160" s="11" t="str">
        <f aca="false">IF(155&lt;=MAX(Employees!$BH$6:$BH$205),155,"")</f>
        <v/>
      </c>
      <c r="B160" s="11" t="str">
        <f aca="false">IF($A160="","",INDEX(Employees!$A$6:$A$205,MATCH($A160,Employees!$BH$6:$BH$205,0)))</f>
        <v/>
      </c>
      <c r="C160" s="11" t="str">
        <f aca="false">IF($A160="","",INDEX(Employees!$B$6:$B$205,MATCH($A160,Employees!$BH$6:$BH$205,0)))</f>
        <v/>
      </c>
      <c r="D160" s="11" t="str">
        <f aca="false">IF($A160="","",INDEX(Employees!$C$6:$C$205,MATCH($A160,Employees!$BH$6:$BH$205,0)))</f>
        <v/>
      </c>
      <c r="E160" s="11" t="str">
        <f aca="false">IF($A160="","",INDEX(Employees!$D$6:$D$205,MATCH($A160,Employees!$BH$6:$BH$205,0)))</f>
        <v/>
      </c>
      <c r="F160" s="11" t="str">
        <f aca="false">IF($A160="","",INDEX(Employees!$T$6:$T$205,MATCH($A160,Employees!$BH$6:$BH$205,0)))</f>
        <v/>
      </c>
      <c r="G160" s="26" t="str">
        <f aca="false">IF($A160="","",INDEX(Employees!$U$6:$U$205,MATCH($A160,Employees!$BH$6:$BH$205,0)))</f>
        <v/>
      </c>
      <c r="H160" s="28" t="str">
        <f aca="false">IF($A160="","",INDEX(Employees!$E$6:$E$205,MATCH($A160,Employees!$BH$6:$BH$205,0)))</f>
        <v/>
      </c>
      <c r="I160" s="11" t="str">
        <f aca="false">IF($A160="","",INDEX(Employees!$Z$6:$Z$205,MATCH($A160,Employees!$BH$6:$BH$205,0)))</f>
        <v/>
      </c>
      <c r="J160" s="26" t="str">
        <f aca="false">IF($A160="","",INDEX(Employees!$AB$6:$AB$205,MATCH($A160,Employees!$BH$6:$BH$205,0)))</f>
        <v/>
      </c>
      <c r="K160" s="26" t="str">
        <f aca="false">IF($A160="","",INDEX(Employees!$AI$6:$AI$205,MATCH($A160,Employees!$BH$6:$BH$205,0)))</f>
        <v/>
      </c>
      <c r="L160" s="26" t="str">
        <f aca="false">IF($A160="","",INDEX(Employees!$AG$6:$AG$205,MATCH($A160,Employees!$BH$6:$BH$205,0)))</f>
        <v/>
      </c>
      <c r="M160" s="26" t="str">
        <f aca="false">IF($A160="","",INDEX(Employees!$AH$6:$AH$205,MATCH($A160,Employees!$BH$6:$BH$205,0)))</f>
        <v/>
      </c>
      <c r="N160" s="26" t="str">
        <f aca="false">IF($A160="","",INDEX(Employees!$AK$6:$AK$205,MATCH($A160,Employees!$BH$6:$BH$205,0)))</f>
        <v/>
      </c>
      <c r="O160" s="26" t="str">
        <f aca="false">IF($A160="","",INDEX(Employees!$AL$6:$AL$205,MATCH($A160,Employees!$BH$6:$BH$205,0)))</f>
        <v/>
      </c>
      <c r="P160" s="11" t="str">
        <f aca="false">IF($A160="","",INDEX(Employees!$AM$6:$AM$205,MATCH($A160,Employees!$BH$6:$BH$205,0)))</f>
        <v/>
      </c>
    </row>
    <row r="161" customFormat="false" ht="15" hidden="false" customHeight="false" outlineLevel="0" collapsed="false">
      <c r="A161" s="11" t="str">
        <f aca="false">IF(156&lt;=MAX(Employees!$BH$6:$BH$205),156,"")</f>
        <v/>
      </c>
      <c r="B161" s="11" t="str">
        <f aca="false">IF($A161="","",INDEX(Employees!$A$6:$A$205,MATCH($A161,Employees!$BH$6:$BH$205,0)))</f>
        <v/>
      </c>
      <c r="C161" s="11" t="str">
        <f aca="false">IF($A161="","",INDEX(Employees!$B$6:$B$205,MATCH($A161,Employees!$BH$6:$BH$205,0)))</f>
        <v/>
      </c>
      <c r="D161" s="11" t="str">
        <f aca="false">IF($A161="","",INDEX(Employees!$C$6:$C$205,MATCH($A161,Employees!$BH$6:$BH$205,0)))</f>
        <v/>
      </c>
      <c r="E161" s="11" t="str">
        <f aca="false">IF($A161="","",INDEX(Employees!$D$6:$D$205,MATCH($A161,Employees!$BH$6:$BH$205,0)))</f>
        <v/>
      </c>
      <c r="F161" s="11" t="str">
        <f aca="false">IF($A161="","",INDEX(Employees!$T$6:$T$205,MATCH($A161,Employees!$BH$6:$BH$205,0)))</f>
        <v/>
      </c>
      <c r="G161" s="26" t="str">
        <f aca="false">IF($A161="","",INDEX(Employees!$U$6:$U$205,MATCH($A161,Employees!$BH$6:$BH$205,0)))</f>
        <v/>
      </c>
      <c r="H161" s="28" t="str">
        <f aca="false">IF($A161="","",INDEX(Employees!$E$6:$E$205,MATCH($A161,Employees!$BH$6:$BH$205,0)))</f>
        <v/>
      </c>
      <c r="I161" s="11" t="str">
        <f aca="false">IF($A161="","",INDEX(Employees!$Z$6:$Z$205,MATCH($A161,Employees!$BH$6:$BH$205,0)))</f>
        <v/>
      </c>
      <c r="J161" s="26" t="str">
        <f aca="false">IF($A161="","",INDEX(Employees!$AB$6:$AB$205,MATCH($A161,Employees!$BH$6:$BH$205,0)))</f>
        <v/>
      </c>
      <c r="K161" s="26" t="str">
        <f aca="false">IF($A161="","",INDEX(Employees!$AI$6:$AI$205,MATCH($A161,Employees!$BH$6:$BH$205,0)))</f>
        <v/>
      </c>
      <c r="L161" s="26" t="str">
        <f aca="false">IF($A161="","",INDEX(Employees!$AG$6:$AG$205,MATCH($A161,Employees!$BH$6:$BH$205,0)))</f>
        <v/>
      </c>
      <c r="M161" s="26" t="str">
        <f aca="false">IF($A161="","",INDEX(Employees!$AH$6:$AH$205,MATCH($A161,Employees!$BH$6:$BH$205,0)))</f>
        <v/>
      </c>
      <c r="N161" s="26" t="str">
        <f aca="false">IF($A161="","",INDEX(Employees!$AK$6:$AK$205,MATCH($A161,Employees!$BH$6:$BH$205,0)))</f>
        <v/>
      </c>
      <c r="O161" s="26" t="str">
        <f aca="false">IF($A161="","",INDEX(Employees!$AL$6:$AL$205,MATCH($A161,Employees!$BH$6:$BH$205,0)))</f>
        <v/>
      </c>
      <c r="P161" s="11" t="str">
        <f aca="false">IF($A161="","",INDEX(Employees!$AM$6:$AM$205,MATCH($A161,Employees!$BH$6:$BH$205,0)))</f>
        <v/>
      </c>
    </row>
    <row r="162" customFormat="false" ht="15" hidden="false" customHeight="false" outlineLevel="0" collapsed="false">
      <c r="A162" s="11" t="str">
        <f aca="false">IF(157&lt;=MAX(Employees!$BH$6:$BH$205),157,"")</f>
        <v/>
      </c>
      <c r="B162" s="11" t="str">
        <f aca="false">IF($A162="","",INDEX(Employees!$A$6:$A$205,MATCH($A162,Employees!$BH$6:$BH$205,0)))</f>
        <v/>
      </c>
      <c r="C162" s="11" t="str">
        <f aca="false">IF($A162="","",INDEX(Employees!$B$6:$B$205,MATCH($A162,Employees!$BH$6:$BH$205,0)))</f>
        <v/>
      </c>
      <c r="D162" s="11" t="str">
        <f aca="false">IF($A162="","",INDEX(Employees!$C$6:$C$205,MATCH($A162,Employees!$BH$6:$BH$205,0)))</f>
        <v/>
      </c>
      <c r="E162" s="11" t="str">
        <f aca="false">IF($A162="","",INDEX(Employees!$D$6:$D$205,MATCH($A162,Employees!$BH$6:$BH$205,0)))</f>
        <v/>
      </c>
      <c r="F162" s="11" t="str">
        <f aca="false">IF($A162="","",INDEX(Employees!$T$6:$T$205,MATCH($A162,Employees!$BH$6:$BH$205,0)))</f>
        <v/>
      </c>
      <c r="G162" s="26" t="str">
        <f aca="false">IF($A162="","",INDEX(Employees!$U$6:$U$205,MATCH($A162,Employees!$BH$6:$BH$205,0)))</f>
        <v/>
      </c>
      <c r="H162" s="28" t="str">
        <f aca="false">IF($A162="","",INDEX(Employees!$E$6:$E$205,MATCH($A162,Employees!$BH$6:$BH$205,0)))</f>
        <v/>
      </c>
      <c r="I162" s="11" t="str">
        <f aca="false">IF($A162="","",INDEX(Employees!$Z$6:$Z$205,MATCH($A162,Employees!$BH$6:$BH$205,0)))</f>
        <v/>
      </c>
      <c r="J162" s="26" t="str">
        <f aca="false">IF($A162="","",INDEX(Employees!$AB$6:$AB$205,MATCH($A162,Employees!$BH$6:$BH$205,0)))</f>
        <v/>
      </c>
      <c r="K162" s="26" t="str">
        <f aca="false">IF($A162="","",INDEX(Employees!$AI$6:$AI$205,MATCH($A162,Employees!$BH$6:$BH$205,0)))</f>
        <v/>
      </c>
      <c r="L162" s="26" t="str">
        <f aca="false">IF($A162="","",INDEX(Employees!$AG$6:$AG$205,MATCH($A162,Employees!$BH$6:$BH$205,0)))</f>
        <v/>
      </c>
      <c r="M162" s="26" t="str">
        <f aca="false">IF($A162="","",INDEX(Employees!$AH$6:$AH$205,MATCH($A162,Employees!$BH$6:$BH$205,0)))</f>
        <v/>
      </c>
      <c r="N162" s="26" t="str">
        <f aca="false">IF($A162="","",INDEX(Employees!$AK$6:$AK$205,MATCH($A162,Employees!$BH$6:$BH$205,0)))</f>
        <v/>
      </c>
      <c r="O162" s="26" t="str">
        <f aca="false">IF($A162="","",INDEX(Employees!$AL$6:$AL$205,MATCH($A162,Employees!$BH$6:$BH$205,0)))</f>
        <v/>
      </c>
      <c r="P162" s="11" t="str">
        <f aca="false">IF($A162="","",INDEX(Employees!$AM$6:$AM$205,MATCH($A162,Employees!$BH$6:$BH$205,0)))</f>
        <v/>
      </c>
    </row>
    <row r="163" customFormat="false" ht="15" hidden="false" customHeight="false" outlineLevel="0" collapsed="false">
      <c r="A163" s="11" t="str">
        <f aca="false">IF(158&lt;=MAX(Employees!$BH$6:$BH$205),158,"")</f>
        <v/>
      </c>
      <c r="B163" s="11" t="str">
        <f aca="false">IF($A163="","",INDEX(Employees!$A$6:$A$205,MATCH($A163,Employees!$BH$6:$BH$205,0)))</f>
        <v/>
      </c>
      <c r="C163" s="11" t="str">
        <f aca="false">IF($A163="","",INDEX(Employees!$B$6:$B$205,MATCH($A163,Employees!$BH$6:$BH$205,0)))</f>
        <v/>
      </c>
      <c r="D163" s="11" t="str">
        <f aca="false">IF($A163="","",INDEX(Employees!$C$6:$C$205,MATCH($A163,Employees!$BH$6:$BH$205,0)))</f>
        <v/>
      </c>
      <c r="E163" s="11" t="str">
        <f aca="false">IF($A163="","",INDEX(Employees!$D$6:$D$205,MATCH($A163,Employees!$BH$6:$BH$205,0)))</f>
        <v/>
      </c>
      <c r="F163" s="11" t="str">
        <f aca="false">IF($A163="","",INDEX(Employees!$T$6:$T$205,MATCH($A163,Employees!$BH$6:$BH$205,0)))</f>
        <v/>
      </c>
      <c r="G163" s="26" t="str">
        <f aca="false">IF($A163="","",INDEX(Employees!$U$6:$U$205,MATCH($A163,Employees!$BH$6:$BH$205,0)))</f>
        <v/>
      </c>
      <c r="H163" s="28" t="str">
        <f aca="false">IF($A163="","",INDEX(Employees!$E$6:$E$205,MATCH($A163,Employees!$BH$6:$BH$205,0)))</f>
        <v/>
      </c>
      <c r="I163" s="11" t="str">
        <f aca="false">IF($A163="","",INDEX(Employees!$Z$6:$Z$205,MATCH($A163,Employees!$BH$6:$BH$205,0)))</f>
        <v/>
      </c>
      <c r="J163" s="26" t="str">
        <f aca="false">IF($A163="","",INDEX(Employees!$AB$6:$AB$205,MATCH($A163,Employees!$BH$6:$BH$205,0)))</f>
        <v/>
      </c>
      <c r="K163" s="26" t="str">
        <f aca="false">IF($A163="","",INDEX(Employees!$AI$6:$AI$205,MATCH($A163,Employees!$BH$6:$BH$205,0)))</f>
        <v/>
      </c>
      <c r="L163" s="26" t="str">
        <f aca="false">IF($A163="","",INDEX(Employees!$AG$6:$AG$205,MATCH($A163,Employees!$BH$6:$BH$205,0)))</f>
        <v/>
      </c>
      <c r="M163" s="26" t="str">
        <f aca="false">IF($A163="","",INDEX(Employees!$AH$6:$AH$205,MATCH($A163,Employees!$BH$6:$BH$205,0)))</f>
        <v/>
      </c>
      <c r="N163" s="26" t="str">
        <f aca="false">IF($A163="","",INDEX(Employees!$AK$6:$AK$205,MATCH($A163,Employees!$BH$6:$BH$205,0)))</f>
        <v/>
      </c>
      <c r="O163" s="26" t="str">
        <f aca="false">IF($A163="","",INDEX(Employees!$AL$6:$AL$205,MATCH($A163,Employees!$BH$6:$BH$205,0)))</f>
        <v/>
      </c>
      <c r="P163" s="11" t="str">
        <f aca="false">IF($A163="","",INDEX(Employees!$AM$6:$AM$205,MATCH($A163,Employees!$BH$6:$BH$205,0)))</f>
        <v/>
      </c>
    </row>
    <row r="164" customFormat="false" ht="15" hidden="false" customHeight="false" outlineLevel="0" collapsed="false">
      <c r="A164" s="11" t="str">
        <f aca="false">IF(159&lt;=MAX(Employees!$BH$6:$BH$205),159,"")</f>
        <v/>
      </c>
      <c r="B164" s="11" t="str">
        <f aca="false">IF($A164="","",INDEX(Employees!$A$6:$A$205,MATCH($A164,Employees!$BH$6:$BH$205,0)))</f>
        <v/>
      </c>
      <c r="C164" s="11" t="str">
        <f aca="false">IF($A164="","",INDEX(Employees!$B$6:$B$205,MATCH($A164,Employees!$BH$6:$BH$205,0)))</f>
        <v/>
      </c>
      <c r="D164" s="11" t="str">
        <f aca="false">IF($A164="","",INDEX(Employees!$C$6:$C$205,MATCH($A164,Employees!$BH$6:$BH$205,0)))</f>
        <v/>
      </c>
      <c r="E164" s="11" t="str">
        <f aca="false">IF($A164="","",INDEX(Employees!$D$6:$D$205,MATCH($A164,Employees!$BH$6:$BH$205,0)))</f>
        <v/>
      </c>
      <c r="F164" s="11" t="str">
        <f aca="false">IF($A164="","",INDEX(Employees!$T$6:$T$205,MATCH($A164,Employees!$BH$6:$BH$205,0)))</f>
        <v/>
      </c>
      <c r="G164" s="26" t="str">
        <f aca="false">IF($A164="","",INDEX(Employees!$U$6:$U$205,MATCH($A164,Employees!$BH$6:$BH$205,0)))</f>
        <v/>
      </c>
      <c r="H164" s="28" t="str">
        <f aca="false">IF($A164="","",INDEX(Employees!$E$6:$E$205,MATCH($A164,Employees!$BH$6:$BH$205,0)))</f>
        <v/>
      </c>
      <c r="I164" s="11" t="str">
        <f aca="false">IF($A164="","",INDEX(Employees!$Z$6:$Z$205,MATCH($A164,Employees!$BH$6:$BH$205,0)))</f>
        <v/>
      </c>
      <c r="J164" s="26" t="str">
        <f aca="false">IF($A164="","",INDEX(Employees!$AB$6:$AB$205,MATCH($A164,Employees!$BH$6:$BH$205,0)))</f>
        <v/>
      </c>
      <c r="K164" s="26" t="str">
        <f aca="false">IF($A164="","",INDEX(Employees!$AI$6:$AI$205,MATCH($A164,Employees!$BH$6:$BH$205,0)))</f>
        <v/>
      </c>
      <c r="L164" s="26" t="str">
        <f aca="false">IF($A164="","",INDEX(Employees!$AG$6:$AG$205,MATCH($A164,Employees!$BH$6:$BH$205,0)))</f>
        <v/>
      </c>
      <c r="M164" s="26" t="str">
        <f aca="false">IF($A164="","",INDEX(Employees!$AH$6:$AH$205,MATCH($A164,Employees!$BH$6:$BH$205,0)))</f>
        <v/>
      </c>
      <c r="N164" s="26" t="str">
        <f aca="false">IF($A164="","",INDEX(Employees!$AK$6:$AK$205,MATCH($A164,Employees!$BH$6:$BH$205,0)))</f>
        <v/>
      </c>
      <c r="O164" s="26" t="str">
        <f aca="false">IF($A164="","",INDEX(Employees!$AL$6:$AL$205,MATCH($A164,Employees!$BH$6:$BH$205,0)))</f>
        <v/>
      </c>
      <c r="P164" s="11" t="str">
        <f aca="false">IF($A164="","",INDEX(Employees!$AM$6:$AM$205,MATCH($A164,Employees!$BH$6:$BH$205,0)))</f>
        <v/>
      </c>
    </row>
    <row r="165" customFormat="false" ht="15" hidden="false" customHeight="false" outlineLevel="0" collapsed="false">
      <c r="A165" s="11" t="str">
        <f aca="false">IF(160&lt;=MAX(Employees!$BH$6:$BH$205),160,"")</f>
        <v/>
      </c>
      <c r="B165" s="11" t="str">
        <f aca="false">IF($A165="","",INDEX(Employees!$A$6:$A$205,MATCH($A165,Employees!$BH$6:$BH$205,0)))</f>
        <v/>
      </c>
      <c r="C165" s="11" t="str">
        <f aca="false">IF($A165="","",INDEX(Employees!$B$6:$B$205,MATCH($A165,Employees!$BH$6:$BH$205,0)))</f>
        <v/>
      </c>
      <c r="D165" s="11" t="str">
        <f aca="false">IF($A165="","",INDEX(Employees!$C$6:$C$205,MATCH($A165,Employees!$BH$6:$BH$205,0)))</f>
        <v/>
      </c>
      <c r="E165" s="11" t="str">
        <f aca="false">IF($A165="","",INDEX(Employees!$D$6:$D$205,MATCH($A165,Employees!$BH$6:$BH$205,0)))</f>
        <v/>
      </c>
      <c r="F165" s="11" t="str">
        <f aca="false">IF($A165="","",INDEX(Employees!$T$6:$T$205,MATCH($A165,Employees!$BH$6:$BH$205,0)))</f>
        <v/>
      </c>
      <c r="G165" s="26" t="str">
        <f aca="false">IF($A165="","",INDEX(Employees!$U$6:$U$205,MATCH($A165,Employees!$BH$6:$BH$205,0)))</f>
        <v/>
      </c>
      <c r="H165" s="28" t="str">
        <f aca="false">IF($A165="","",INDEX(Employees!$E$6:$E$205,MATCH($A165,Employees!$BH$6:$BH$205,0)))</f>
        <v/>
      </c>
      <c r="I165" s="11" t="str">
        <f aca="false">IF($A165="","",INDEX(Employees!$Z$6:$Z$205,MATCH($A165,Employees!$BH$6:$BH$205,0)))</f>
        <v/>
      </c>
      <c r="J165" s="26" t="str">
        <f aca="false">IF($A165="","",INDEX(Employees!$AB$6:$AB$205,MATCH($A165,Employees!$BH$6:$BH$205,0)))</f>
        <v/>
      </c>
      <c r="K165" s="26" t="str">
        <f aca="false">IF($A165="","",INDEX(Employees!$AI$6:$AI$205,MATCH($A165,Employees!$BH$6:$BH$205,0)))</f>
        <v/>
      </c>
      <c r="L165" s="26" t="str">
        <f aca="false">IF($A165="","",INDEX(Employees!$AG$6:$AG$205,MATCH($A165,Employees!$BH$6:$BH$205,0)))</f>
        <v/>
      </c>
      <c r="M165" s="26" t="str">
        <f aca="false">IF($A165="","",INDEX(Employees!$AH$6:$AH$205,MATCH($A165,Employees!$BH$6:$BH$205,0)))</f>
        <v/>
      </c>
      <c r="N165" s="26" t="str">
        <f aca="false">IF($A165="","",INDEX(Employees!$AK$6:$AK$205,MATCH($A165,Employees!$BH$6:$BH$205,0)))</f>
        <v/>
      </c>
      <c r="O165" s="26" t="str">
        <f aca="false">IF($A165="","",INDEX(Employees!$AL$6:$AL$205,MATCH($A165,Employees!$BH$6:$BH$205,0)))</f>
        <v/>
      </c>
      <c r="P165" s="11" t="str">
        <f aca="false">IF($A165="","",INDEX(Employees!$AM$6:$AM$205,MATCH($A165,Employees!$BH$6:$BH$205,0)))</f>
        <v/>
      </c>
    </row>
    <row r="166" customFormat="false" ht="15" hidden="false" customHeight="false" outlineLevel="0" collapsed="false">
      <c r="A166" s="11" t="str">
        <f aca="false">IF(161&lt;=MAX(Employees!$BH$6:$BH$205),161,"")</f>
        <v/>
      </c>
      <c r="B166" s="11" t="str">
        <f aca="false">IF($A166="","",INDEX(Employees!$A$6:$A$205,MATCH($A166,Employees!$BH$6:$BH$205,0)))</f>
        <v/>
      </c>
      <c r="C166" s="11" t="str">
        <f aca="false">IF($A166="","",INDEX(Employees!$B$6:$B$205,MATCH($A166,Employees!$BH$6:$BH$205,0)))</f>
        <v/>
      </c>
      <c r="D166" s="11" t="str">
        <f aca="false">IF($A166="","",INDEX(Employees!$C$6:$C$205,MATCH($A166,Employees!$BH$6:$BH$205,0)))</f>
        <v/>
      </c>
      <c r="E166" s="11" t="str">
        <f aca="false">IF($A166="","",INDEX(Employees!$D$6:$D$205,MATCH($A166,Employees!$BH$6:$BH$205,0)))</f>
        <v/>
      </c>
      <c r="F166" s="11" t="str">
        <f aca="false">IF($A166="","",INDEX(Employees!$T$6:$T$205,MATCH($A166,Employees!$BH$6:$BH$205,0)))</f>
        <v/>
      </c>
      <c r="G166" s="26" t="str">
        <f aca="false">IF($A166="","",INDEX(Employees!$U$6:$U$205,MATCH($A166,Employees!$BH$6:$BH$205,0)))</f>
        <v/>
      </c>
      <c r="H166" s="28" t="str">
        <f aca="false">IF($A166="","",INDEX(Employees!$E$6:$E$205,MATCH($A166,Employees!$BH$6:$BH$205,0)))</f>
        <v/>
      </c>
      <c r="I166" s="11" t="str">
        <f aca="false">IF($A166="","",INDEX(Employees!$Z$6:$Z$205,MATCH($A166,Employees!$BH$6:$BH$205,0)))</f>
        <v/>
      </c>
      <c r="J166" s="26" t="str">
        <f aca="false">IF($A166="","",INDEX(Employees!$AB$6:$AB$205,MATCH($A166,Employees!$BH$6:$BH$205,0)))</f>
        <v/>
      </c>
      <c r="K166" s="26" t="str">
        <f aca="false">IF($A166="","",INDEX(Employees!$AI$6:$AI$205,MATCH($A166,Employees!$BH$6:$BH$205,0)))</f>
        <v/>
      </c>
      <c r="L166" s="26" t="str">
        <f aca="false">IF($A166="","",INDEX(Employees!$AG$6:$AG$205,MATCH($A166,Employees!$BH$6:$BH$205,0)))</f>
        <v/>
      </c>
      <c r="M166" s="26" t="str">
        <f aca="false">IF($A166="","",INDEX(Employees!$AH$6:$AH$205,MATCH($A166,Employees!$BH$6:$BH$205,0)))</f>
        <v/>
      </c>
      <c r="N166" s="26" t="str">
        <f aca="false">IF($A166="","",INDEX(Employees!$AK$6:$AK$205,MATCH($A166,Employees!$BH$6:$BH$205,0)))</f>
        <v/>
      </c>
      <c r="O166" s="26" t="str">
        <f aca="false">IF($A166="","",INDEX(Employees!$AL$6:$AL$205,MATCH($A166,Employees!$BH$6:$BH$205,0)))</f>
        <v/>
      </c>
      <c r="P166" s="11" t="str">
        <f aca="false">IF($A166="","",INDEX(Employees!$AM$6:$AM$205,MATCH($A166,Employees!$BH$6:$BH$205,0)))</f>
        <v/>
      </c>
    </row>
    <row r="167" customFormat="false" ht="15" hidden="false" customHeight="false" outlineLevel="0" collapsed="false">
      <c r="A167" s="11" t="str">
        <f aca="false">IF(162&lt;=MAX(Employees!$BH$6:$BH$205),162,"")</f>
        <v/>
      </c>
      <c r="B167" s="11" t="str">
        <f aca="false">IF($A167="","",INDEX(Employees!$A$6:$A$205,MATCH($A167,Employees!$BH$6:$BH$205,0)))</f>
        <v/>
      </c>
      <c r="C167" s="11" t="str">
        <f aca="false">IF($A167="","",INDEX(Employees!$B$6:$B$205,MATCH($A167,Employees!$BH$6:$BH$205,0)))</f>
        <v/>
      </c>
      <c r="D167" s="11" t="str">
        <f aca="false">IF($A167="","",INDEX(Employees!$C$6:$C$205,MATCH($A167,Employees!$BH$6:$BH$205,0)))</f>
        <v/>
      </c>
      <c r="E167" s="11" t="str">
        <f aca="false">IF($A167="","",INDEX(Employees!$D$6:$D$205,MATCH($A167,Employees!$BH$6:$BH$205,0)))</f>
        <v/>
      </c>
      <c r="F167" s="11" t="str">
        <f aca="false">IF($A167="","",INDEX(Employees!$T$6:$T$205,MATCH($A167,Employees!$BH$6:$BH$205,0)))</f>
        <v/>
      </c>
      <c r="G167" s="26" t="str">
        <f aca="false">IF($A167="","",INDEX(Employees!$U$6:$U$205,MATCH($A167,Employees!$BH$6:$BH$205,0)))</f>
        <v/>
      </c>
      <c r="H167" s="28" t="str">
        <f aca="false">IF($A167="","",INDEX(Employees!$E$6:$E$205,MATCH($A167,Employees!$BH$6:$BH$205,0)))</f>
        <v/>
      </c>
      <c r="I167" s="11" t="str">
        <f aca="false">IF($A167="","",INDEX(Employees!$Z$6:$Z$205,MATCH($A167,Employees!$BH$6:$BH$205,0)))</f>
        <v/>
      </c>
      <c r="J167" s="26" t="str">
        <f aca="false">IF($A167="","",INDEX(Employees!$AB$6:$AB$205,MATCH($A167,Employees!$BH$6:$BH$205,0)))</f>
        <v/>
      </c>
      <c r="K167" s="26" t="str">
        <f aca="false">IF($A167="","",INDEX(Employees!$AI$6:$AI$205,MATCH($A167,Employees!$BH$6:$BH$205,0)))</f>
        <v/>
      </c>
      <c r="L167" s="26" t="str">
        <f aca="false">IF($A167="","",INDEX(Employees!$AG$6:$AG$205,MATCH($A167,Employees!$BH$6:$BH$205,0)))</f>
        <v/>
      </c>
      <c r="M167" s="26" t="str">
        <f aca="false">IF($A167="","",INDEX(Employees!$AH$6:$AH$205,MATCH($A167,Employees!$BH$6:$BH$205,0)))</f>
        <v/>
      </c>
      <c r="N167" s="26" t="str">
        <f aca="false">IF($A167="","",INDEX(Employees!$AK$6:$AK$205,MATCH($A167,Employees!$BH$6:$BH$205,0)))</f>
        <v/>
      </c>
      <c r="O167" s="26" t="str">
        <f aca="false">IF($A167="","",INDEX(Employees!$AL$6:$AL$205,MATCH($A167,Employees!$BH$6:$BH$205,0)))</f>
        <v/>
      </c>
      <c r="P167" s="11" t="str">
        <f aca="false">IF($A167="","",INDEX(Employees!$AM$6:$AM$205,MATCH($A167,Employees!$BH$6:$BH$205,0)))</f>
        <v/>
      </c>
    </row>
    <row r="168" customFormat="false" ht="15" hidden="false" customHeight="false" outlineLevel="0" collapsed="false">
      <c r="A168" s="11" t="str">
        <f aca="false">IF(163&lt;=MAX(Employees!$BH$6:$BH$205),163,"")</f>
        <v/>
      </c>
      <c r="B168" s="11" t="str">
        <f aca="false">IF($A168="","",INDEX(Employees!$A$6:$A$205,MATCH($A168,Employees!$BH$6:$BH$205,0)))</f>
        <v/>
      </c>
      <c r="C168" s="11" t="str">
        <f aca="false">IF($A168="","",INDEX(Employees!$B$6:$B$205,MATCH($A168,Employees!$BH$6:$BH$205,0)))</f>
        <v/>
      </c>
      <c r="D168" s="11" t="str">
        <f aca="false">IF($A168="","",INDEX(Employees!$C$6:$C$205,MATCH($A168,Employees!$BH$6:$BH$205,0)))</f>
        <v/>
      </c>
      <c r="E168" s="11" t="str">
        <f aca="false">IF($A168="","",INDEX(Employees!$D$6:$D$205,MATCH($A168,Employees!$BH$6:$BH$205,0)))</f>
        <v/>
      </c>
      <c r="F168" s="11" t="str">
        <f aca="false">IF($A168="","",INDEX(Employees!$T$6:$T$205,MATCH($A168,Employees!$BH$6:$BH$205,0)))</f>
        <v/>
      </c>
      <c r="G168" s="26" t="str">
        <f aca="false">IF($A168="","",INDEX(Employees!$U$6:$U$205,MATCH($A168,Employees!$BH$6:$BH$205,0)))</f>
        <v/>
      </c>
      <c r="H168" s="28" t="str">
        <f aca="false">IF($A168="","",INDEX(Employees!$E$6:$E$205,MATCH($A168,Employees!$BH$6:$BH$205,0)))</f>
        <v/>
      </c>
      <c r="I168" s="11" t="str">
        <f aca="false">IF($A168="","",INDEX(Employees!$Z$6:$Z$205,MATCH($A168,Employees!$BH$6:$BH$205,0)))</f>
        <v/>
      </c>
      <c r="J168" s="26" t="str">
        <f aca="false">IF($A168="","",INDEX(Employees!$AB$6:$AB$205,MATCH($A168,Employees!$BH$6:$BH$205,0)))</f>
        <v/>
      </c>
      <c r="K168" s="26" t="str">
        <f aca="false">IF($A168="","",INDEX(Employees!$AI$6:$AI$205,MATCH($A168,Employees!$BH$6:$BH$205,0)))</f>
        <v/>
      </c>
      <c r="L168" s="26" t="str">
        <f aca="false">IF($A168="","",INDEX(Employees!$AG$6:$AG$205,MATCH($A168,Employees!$BH$6:$BH$205,0)))</f>
        <v/>
      </c>
      <c r="M168" s="26" t="str">
        <f aca="false">IF($A168="","",INDEX(Employees!$AH$6:$AH$205,MATCH($A168,Employees!$BH$6:$BH$205,0)))</f>
        <v/>
      </c>
      <c r="N168" s="26" t="str">
        <f aca="false">IF($A168="","",INDEX(Employees!$AK$6:$AK$205,MATCH($A168,Employees!$BH$6:$BH$205,0)))</f>
        <v/>
      </c>
      <c r="O168" s="26" t="str">
        <f aca="false">IF($A168="","",INDEX(Employees!$AL$6:$AL$205,MATCH($A168,Employees!$BH$6:$BH$205,0)))</f>
        <v/>
      </c>
      <c r="P168" s="11" t="str">
        <f aca="false">IF($A168="","",INDEX(Employees!$AM$6:$AM$205,MATCH($A168,Employees!$BH$6:$BH$205,0)))</f>
        <v/>
      </c>
    </row>
    <row r="169" customFormat="false" ht="15" hidden="false" customHeight="false" outlineLevel="0" collapsed="false">
      <c r="A169" s="11" t="str">
        <f aca="false">IF(164&lt;=MAX(Employees!$BH$6:$BH$205),164,"")</f>
        <v/>
      </c>
      <c r="B169" s="11" t="str">
        <f aca="false">IF($A169="","",INDEX(Employees!$A$6:$A$205,MATCH($A169,Employees!$BH$6:$BH$205,0)))</f>
        <v/>
      </c>
      <c r="C169" s="11" t="str">
        <f aca="false">IF($A169="","",INDEX(Employees!$B$6:$B$205,MATCH($A169,Employees!$BH$6:$BH$205,0)))</f>
        <v/>
      </c>
      <c r="D169" s="11" t="str">
        <f aca="false">IF($A169="","",INDEX(Employees!$C$6:$C$205,MATCH($A169,Employees!$BH$6:$BH$205,0)))</f>
        <v/>
      </c>
      <c r="E169" s="11" t="str">
        <f aca="false">IF($A169="","",INDEX(Employees!$D$6:$D$205,MATCH($A169,Employees!$BH$6:$BH$205,0)))</f>
        <v/>
      </c>
      <c r="F169" s="11" t="str">
        <f aca="false">IF($A169="","",INDEX(Employees!$T$6:$T$205,MATCH($A169,Employees!$BH$6:$BH$205,0)))</f>
        <v/>
      </c>
      <c r="G169" s="26" t="str">
        <f aca="false">IF($A169="","",INDEX(Employees!$U$6:$U$205,MATCH($A169,Employees!$BH$6:$BH$205,0)))</f>
        <v/>
      </c>
      <c r="H169" s="28" t="str">
        <f aca="false">IF($A169="","",INDEX(Employees!$E$6:$E$205,MATCH($A169,Employees!$BH$6:$BH$205,0)))</f>
        <v/>
      </c>
      <c r="I169" s="11" t="str">
        <f aca="false">IF($A169="","",INDEX(Employees!$Z$6:$Z$205,MATCH($A169,Employees!$BH$6:$BH$205,0)))</f>
        <v/>
      </c>
      <c r="J169" s="26" t="str">
        <f aca="false">IF($A169="","",INDEX(Employees!$AB$6:$AB$205,MATCH($A169,Employees!$BH$6:$BH$205,0)))</f>
        <v/>
      </c>
      <c r="K169" s="26" t="str">
        <f aca="false">IF($A169="","",INDEX(Employees!$AI$6:$AI$205,MATCH($A169,Employees!$BH$6:$BH$205,0)))</f>
        <v/>
      </c>
      <c r="L169" s="26" t="str">
        <f aca="false">IF($A169="","",INDEX(Employees!$AG$6:$AG$205,MATCH($A169,Employees!$BH$6:$BH$205,0)))</f>
        <v/>
      </c>
      <c r="M169" s="26" t="str">
        <f aca="false">IF($A169="","",INDEX(Employees!$AH$6:$AH$205,MATCH($A169,Employees!$BH$6:$BH$205,0)))</f>
        <v/>
      </c>
      <c r="N169" s="26" t="str">
        <f aca="false">IF($A169="","",INDEX(Employees!$AK$6:$AK$205,MATCH($A169,Employees!$BH$6:$BH$205,0)))</f>
        <v/>
      </c>
      <c r="O169" s="26" t="str">
        <f aca="false">IF($A169="","",INDEX(Employees!$AL$6:$AL$205,MATCH($A169,Employees!$BH$6:$BH$205,0)))</f>
        <v/>
      </c>
      <c r="P169" s="11" t="str">
        <f aca="false">IF($A169="","",INDEX(Employees!$AM$6:$AM$205,MATCH($A169,Employees!$BH$6:$BH$205,0)))</f>
        <v/>
      </c>
    </row>
    <row r="170" customFormat="false" ht="15" hidden="false" customHeight="false" outlineLevel="0" collapsed="false">
      <c r="A170" s="11" t="str">
        <f aca="false">IF(165&lt;=MAX(Employees!$BH$6:$BH$205),165,"")</f>
        <v/>
      </c>
      <c r="B170" s="11" t="str">
        <f aca="false">IF($A170="","",INDEX(Employees!$A$6:$A$205,MATCH($A170,Employees!$BH$6:$BH$205,0)))</f>
        <v/>
      </c>
      <c r="C170" s="11" t="str">
        <f aca="false">IF($A170="","",INDEX(Employees!$B$6:$B$205,MATCH($A170,Employees!$BH$6:$BH$205,0)))</f>
        <v/>
      </c>
      <c r="D170" s="11" t="str">
        <f aca="false">IF($A170="","",INDEX(Employees!$C$6:$C$205,MATCH($A170,Employees!$BH$6:$BH$205,0)))</f>
        <v/>
      </c>
      <c r="E170" s="11" t="str">
        <f aca="false">IF($A170="","",INDEX(Employees!$D$6:$D$205,MATCH($A170,Employees!$BH$6:$BH$205,0)))</f>
        <v/>
      </c>
      <c r="F170" s="11" t="str">
        <f aca="false">IF($A170="","",INDEX(Employees!$T$6:$T$205,MATCH($A170,Employees!$BH$6:$BH$205,0)))</f>
        <v/>
      </c>
      <c r="G170" s="26" t="str">
        <f aca="false">IF($A170="","",INDEX(Employees!$U$6:$U$205,MATCH($A170,Employees!$BH$6:$BH$205,0)))</f>
        <v/>
      </c>
      <c r="H170" s="28" t="str">
        <f aca="false">IF($A170="","",INDEX(Employees!$E$6:$E$205,MATCH($A170,Employees!$BH$6:$BH$205,0)))</f>
        <v/>
      </c>
      <c r="I170" s="11" t="str">
        <f aca="false">IF($A170="","",INDEX(Employees!$Z$6:$Z$205,MATCH($A170,Employees!$BH$6:$BH$205,0)))</f>
        <v/>
      </c>
      <c r="J170" s="26" t="str">
        <f aca="false">IF($A170="","",INDEX(Employees!$AB$6:$AB$205,MATCH($A170,Employees!$BH$6:$BH$205,0)))</f>
        <v/>
      </c>
      <c r="K170" s="26" t="str">
        <f aca="false">IF($A170="","",INDEX(Employees!$AI$6:$AI$205,MATCH($A170,Employees!$BH$6:$BH$205,0)))</f>
        <v/>
      </c>
      <c r="L170" s="26" t="str">
        <f aca="false">IF($A170="","",INDEX(Employees!$AG$6:$AG$205,MATCH($A170,Employees!$BH$6:$BH$205,0)))</f>
        <v/>
      </c>
      <c r="M170" s="26" t="str">
        <f aca="false">IF($A170="","",INDEX(Employees!$AH$6:$AH$205,MATCH($A170,Employees!$BH$6:$BH$205,0)))</f>
        <v/>
      </c>
      <c r="N170" s="26" t="str">
        <f aca="false">IF($A170="","",INDEX(Employees!$AK$6:$AK$205,MATCH($A170,Employees!$BH$6:$BH$205,0)))</f>
        <v/>
      </c>
      <c r="O170" s="26" t="str">
        <f aca="false">IF($A170="","",INDEX(Employees!$AL$6:$AL$205,MATCH($A170,Employees!$BH$6:$BH$205,0)))</f>
        <v/>
      </c>
      <c r="P170" s="11" t="str">
        <f aca="false">IF($A170="","",INDEX(Employees!$AM$6:$AM$205,MATCH($A170,Employees!$BH$6:$BH$205,0)))</f>
        <v/>
      </c>
    </row>
    <row r="171" customFormat="false" ht="15" hidden="false" customHeight="false" outlineLevel="0" collapsed="false">
      <c r="A171" s="11" t="str">
        <f aca="false">IF(166&lt;=MAX(Employees!$BH$6:$BH$205),166,"")</f>
        <v/>
      </c>
      <c r="B171" s="11" t="str">
        <f aca="false">IF($A171="","",INDEX(Employees!$A$6:$A$205,MATCH($A171,Employees!$BH$6:$BH$205,0)))</f>
        <v/>
      </c>
      <c r="C171" s="11" t="str">
        <f aca="false">IF($A171="","",INDEX(Employees!$B$6:$B$205,MATCH($A171,Employees!$BH$6:$BH$205,0)))</f>
        <v/>
      </c>
      <c r="D171" s="11" t="str">
        <f aca="false">IF($A171="","",INDEX(Employees!$C$6:$C$205,MATCH($A171,Employees!$BH$6:$BH$205,0)))</f>
        <v/>
      </c>
      <c r="E171" s="11" t="str">
        <f aca="false">IF($A171="","",INDEX(Employees!$D$6:$D$205,MATCH($A171,Employees!$BH$6:$BH$205,0)))</f>
        <v/>
      </c>
      <c r="F171" s="11" t="str">
        <f aca="false">IF($A171="","",INDEX(Employees!$T$6:$T$205,MATCH($A171,Employees!$BH$6:$BH$205,0)))</f>
        <v/>
      </c>
      <c r="G171" s="26" t="str">
        <f aca="false">IF($A171="","",INDEX(Employees!$U$6:$U$205,MATCH($A171,Employees!$BH$6:$BH$205,0)))</f>
        <v/>
      </c>
      <c r="H171" s="28" t="str">
        <f aca="false">IF($A171="","",INDEX(Employees!$E$6:$E$205,MATCH($A171,Employees!$BH$6:$BH$205,0)))</f>
        <v/>
      </c>
      <c r="I171" s="11" t="str">
        <f aca="false">IF($A171="","",INDEX(Employees!$Z$6:$Z$205,MATCH($A171,Employees!$BH$6:$BH$205,0)))</f>
        <v/>
      </c>
      <c r="J171" s="26" t="str">
        <f aca="false">IF($A171="","",INDEX(Employees!$AB$6:$AB$205,MATCH($A171,Employees!$BH$6:$BH$205,0)))</f>
        <v/>
      </c>
      <c r="K171" s="26" t="str">
        <f aca="false">IF($A171="","",INDEX(Employees!$AI$6:$AI$205,MATCH($A171,Employees!$BH$6:$BH$205,0)))</f>
        <v/>
      </c>
      <c r="L171" s="26" t="str">
        <f aca="false">IF($A171="","",INDEX(Employees!$AG$6:$AG$205,MATCH($A171,Employees!$BH$6:$BH$205,0)))</f>
        <v/>
      </c>
      <c r="M171" s="26" t="str">
        <f aca="false">IF($A171="","",INDEX(Employees!$AH$6:$AH$205,MATCH($A171,Employees!$BH$6:$BH$205,0)))</f>
        <v/>
      </c>
      <c r="N171" s="26" t="str">
        <f aca="false">IF($A171="","",INDEX(Employees!$AK$6:$AK$205,MATCH($A171,Employees!$BH$6:$BH$205,0)))</f>
        <v/>
      </c>
      <c r="O171" s="26" t="str">
        <f aca="false">IF($A171="","",INDEX(Employees!$AL$6:$AL$205,MATCH($A171,Employees!$BH$6:$BH$205,0)))</f>
        <v/>
      </c>
      <c r="P171" s="11" t="str">
        <f aca="false">IF($A171="","",INDEX(Employees!$AM$6:$AM$205,MATCH($A171,Employees!$BH$6:$BH$205,0)))</f>
        <v/>
      </c>
    </row>
    <row r="172" customFormat="false" ht="15" hidden="false" customHeight="false" outlineLevel="0" collapsed="false">
      <c r="A172" s="11" t="str">
        <f aca="false">IF(167&lt;=MAX(Employees!$BH$6:$BH$205),167,"")</f>
        <v/>
      </c>
      <c r="B172" s="11" t="str">
        <f aca="false">IF($A172="","",INDEX(Employees!$A$6:$A$205,MATCH($A172,Employees!$BH$6:$BH$205,0)))</f>
        <v/>
      </c>
      <c r="C172" s="11" t="str">
        <f aca="false">IF($A172="","",INDEX(Employees!$B$6:$B$205,MATCH($A172,Employees!$BH$6:$BH$205,0)))</f>
        <v/>
      </c>
      <c r="D172" s="11" t="str">
        <f aca="false">IF($A172="","",INDEX(Employees!$C$6:$C$205,MATCH($A172,Employees!$BH$6:$BH$205,0)))</f>
        <v/>
      </c>
      <c r="E172" s="11" t="str">
        <f aca="false">IF($A172="","",INDEX(Employees!$D$6:$D$205,MATCH($A172,Employees!$BH$6:$BH$205,0)))</f>
        <v/>
      </c>
      <c r="F172" s="11" t="str">
        <f aca="false">IF($A172="","",INDEX(Employees!$T$6:$T$205,MATCH($A172,Employees!$BH$6:$BH$205,0)))</f>
        <v/>
      </c>
      <c r="G172" s="26" t="str">
        <f aca="false">IF($A172="","",INDEX(Employees!$U$6:$U$205,MATCH($A172,Employees!$BH$6:$BH$205,0)))</f>
        <v/>
      </c>
      <c r="H172" s="28" t="str">
        <f aca="false">IF($A172="","",INDEX(Employees!$E$6:$E$205,MATCH($A172,Employees!$BH$6:$BH$205,0)))</f>
        <v/>
      </c>
      <c r="I172" s="11" t="str">
        <f aca="false">IF($A172="","",INDEX(Employees!$Z$6:$Z$205,MATCH($A172,Employees!$BH$6:$BH$205,0)))</f>
        <v/>
      </c>
      <c r="J172" s="26" t="str">
        <f aca="false">IF($A172="","",INDEX(Employees!$AB$6:$AB$205,MATCH($A172,Employees!$BH$6:$BH$205,0)))</f>
        <v/>
      </c>
      <c r="K172" s="26" t="str">
        <f aca="false">IF($A172="","",INDEX(Employees!$AI$6:$AI$205,MATCH($A172,Employees!$BH$6:$BH$205,0)))</f>
        <v/>
      </c>
      <c r="L172" s="26" t="str">
        <f aca="false">IF($A172="","",INDEX(Employees!$AG$6:$AG$205,MATCH($A172,Employees!$BH$6:$BH$205,0)))</f>
        <v/>
      </c>
      <c r="M172" s="26" t="str">
        <f aca="false">IF($A172="","",INDEX(Employees!$AH$6:$AH$205,MATCH($A172,Employees!$BH$6:$BH$205,0)))</f>
        <v/>
      </c>
      <c r="N172" s="26" t="str">
        <f aca="false">IF($A172="","",INDEX(Employees!$AK$6:$AK$205,MATCH($A172,Employees!$BH$6:$BH$205,0)))</f>
        <v/>
      </c>
      <c r="O172" s="26" t="str">
        <f aca="false">IF($A172="","",INDEX(Employees!$AL$6:$AL$205,MATCH($A172,Employees!$BH$6:$BH$205,0)))</f>
        <v/>
      </c>
      <c r="P172" s="11" t="str">
        <f aca="false">IF($A172="","",INDEX(Employees!$AM$6:$AM$205,MATCH($A172,Employees!$BH$6:$BH$205,0)))</f>
        <v/>
      </c>
    </row>
    <row r="173" customFormat="false" ht="15" hidden="false" customHeight="false" outlineLevel="0" collapsed="false">
      <c r="A173" s="11" t="str">
        <f aca="false">IF(168&lt;=MAX(Employees!$BH$6:$BH$205),168,"")</f>
        <v/>
      </c>
      <c r="B173" s="11" t="str">
        <f aca="false">IF($A173="","",INDEX(Employees!$A$6:$A$205,MATCH($A173,Employees!$BH$6:$BH$205,0)))</f>
        <v/>
      </c>
      <c r="C173" s="11" t="str">
        <f aca="false">IF($A173="","",INDEX(Employees!$B$6:$B$205,MATCH($A173,Employees!$BH$6:$BH$205,0)))</f>
        <v/>
      </c>
      <c r="D173" s="11" t="str">
        <f aca="false">IF($A173="","",INDEX(Employees!$C$6:$C$205,MATCH($A173,Employees!$BH$6:$BH$205,0)))</f>
        <v/>
      </c>
      <c r="E173" s="11" t="str">
        <f aca="false">IF($A173="","",INDEX(Employees!$D$6:$D$205,MATCH($A173,Employees!$BH$6:$BH$205,0)))</f>
        <v/>
      </c>
      <c r="F173" s="11" t="str">
        <f aca="false">IF($A173="","",INDEX(Employees!$T$6:$T$205,MATCH($A173,Employees!$BH$6:$BH$205,0)))</f>
        <v/>
      </c>
      <c r="G173" s="26" t="str">
        <f aca="false">IF($A173="","",INDEX(Employees!$U$6:$U$205,MATCH($A173,Employees!$BH$6:$BH$205,0)))</f>
        <v/>
      </c>
      <c r="H173" s="28" t="str">
        <f aca="false">IF($A173="","",INDEX(Employees!$E$6:$E$205,MATCH($A173,Employees!$BH$6:$BH$205,0)))</f>
        <v/>
      </c>
      <c r="I173" s="11" t="str">
        <f aca="false">IF($A173="","",INDEX(Employees!$Z$6:$Z$205,MATCH($A173,Employees!$BH$6:$BH$205,0)))</f>
        <v/>
      </c>
      <c r="J173" s="26" t="str">
        <f aca="false">IF($A173="","",INDEX(Employees!$AB$6:$AB$205,MATCH($A173,Employees!$BH$6:$BH$205,0)))</f>
        <v/>
      </c>
      <c r="K173" s="26" t="str">
        <f aca="false">IF($A173="","",INDEX(Employees!$AI$6:$AI$205,MATCH($A173,Employees!$BH$6:$BH$205,0)))</f>
        <v/>
      </c>
      <c r="L173" s="26" t="str">
        <f aca="false">IF($A173="","",INDEX(Employees!$AG$6:$AG$205,MATCH($A173,Employees!$BH$6:$BH$205,0)))</f>
        <v/>
      </c>
      <c r="M173" s="26" t="str">
        <f aca="false">IF($A173="","",INDEX(Employees!$AH$6:$AH$205,MATCH($A173,Employees!$BH$6:$BH$205,0)))</f>
        <v/>
      </c>
      <c r="N173" s="26" t="str">
        <f aca="false">IF($A173="","",INDEX(Employees!$AK$6:$AK$205,MATCH($A173,Employees!$BH$6:$BH$205,0)))</f>
        <v/>
      </c>
      <c r="O173" s="26" t="str">
        <f aca="false">IF($A173="","",INDEX(Employees!$AL$6:$AL$205,MATCH($A173,Employees!$BH$6:$BH$205,0)))</f>
        <v/>
      </c>
      <c r="P173" s="11" t="str">
        <f aca="false">IF($A173="","",INDEX(Employees!$AM$6:$AM$205,MATCH($A173,Employees!$BH$6:$BH$205,0)))</f>
        <v/>
      </c>
    </row>
    <row r="174" customFormat="false" ht="15" hidden="false" customHeight="false" outlineLevel="0" collapsed="false">
      <c r="A174" s="11" t="str">
        <f aca="false">IF(169&lt;=MAX(Employees!$BH$6:$BH$205),169,"")</f>
        <v/>
      </c>
      <c r="B174" s="11" t="str">
        <f aca="false">IF($A174="","",INDEX(Employees!$A$6:$A$205,MATCH($A174,Employees!$BH$6:$BH$205,0)))</f>
        <v/>
      </c>
      <c r="C174" s="11" t="str">
        <f aca="false">IF($A174="","",INDEX(Employees!$B$6:$B$205,MATCH($A174,Employees!$BH$6:$BH$205,0)))</f>
        <v/>
      </c>
      <c r="D174" s="11" t="str">
        <f aca="false">IF($A174="","",INDEX(Employees!$C$6:$C$205,MATCH($A174,Employees!$BH$6:$BH$205,0)))</f>
        <v/>
      </c>
      <c r="E174" s="11" t="str">
        <f aca="false">IF($A174="","",INDEX(Employees!$D$6:$D$205,MATCH($A174,Employees!$BH$6:$BH$205,0)))</f>
        <v/>
      </c>
      <c r="F174" s="11" t="str">
        <f aca="false">IF($A174="","",INDEX(Employees!$T$6:$T$205,MATCH($A174,Employees!$BH$6:$BH$205,0)))</f>
        <v/>
      </c>
      <c r="G174" s="26" t="str">
        <f aca="false">IF($A174="","",INDEX(Employees!$U$6:$U$205,MATCH($A174,Employees!$BH$6:$BH$205,0)))</f>
        <v/>
      </c>
      <c r="H174" s="28" t="str">
        <f aca="false">IF($A174="","",INDEX(Employees!$E$6:$E$205,MATCH($A174,Employees!$BH$6:$BH$205,0)))</f>
        <v/>
      </c>
      <c r="I174" s="11" t="str">
        <f aca="false">IF($A174="","",INDEX(Employees!$Z$6:$Z$205,MATCH($A174,Employees!$BH$6:$BH$205,0)))</f>
        <v/>
      </c>
      <c r="J174" s="26" t="str">
        <f aca="false">IF($A174="","",INDEX(Employees!$AB$6:$AB$205,MATCH($A174,Employees!$BH$6:$BH$205,0)))</f>
        <v/>
      </c>
      <c r="K174" s="26" t="str">
        <f aca="false">IF($A174="","",INDEX(Employees!$AI$6:$AI$205,MATCH($A174,Employees!$BH$6:$BH$205,0)))</f>
        <v/>
      </c>
      <c r="L174" s="26" t="str">
        <f aca="false">IF($A174="","",INDEX(Employees!$AG$6:$AG$205,MATCH($A174,Employees!$BH$6:$BH$205,0)))</f>
        <v/>
      </c>
      <c r="M174" s="26" t="str">
        <f aca="false">IF($A174="","",INDEX(Employees!$AH$6:$AH$205,MATCH($A174,Employees!$BH$6:$BH$205,0)))</f>
        <v/>
      </c>
      <c r="N174" s="26" t="str">
        <f aca="false">IF($A174="","",INDEX(Employees!$AK$6:$AK$205,MATCH($A174,Employees!$BH$6:$BH$205,0)))</f>
        <v/>
      </c>
      <c r="O174" s="26" t="str">
        <f aca="false">IF($A174="","",INDEX(Employees!$AL$6:$AL$205,MATCH($A174,Employees!$BH$6:$BH$205,0)))</f>
        <v/>
      </c>
      <c r="P174" s="11" t="str">
        <f aca="false">IF($A174="","",INDEX(Employees!$AM$6:$AM$205,MATCH($A174,Employees!$BH$6:$BH$205,0)))</f>
        <v/>
      </c>
    </row>
    <row r="175" customFormat="false" ht="15" hidden="false" customHeight="false" outlineLevel="0" collapsed="false">
      <c r="A175" s="11" t="str">
        <f aca="false">IF(170&lt;=MAX(Employees!$BH$6:$BH$205),170,"")</f>
        <v/>
      </c>
      <c r="B175" s="11" t="str">
        <f aca="false">IF($A175="","",INDEX(Employees!$A$6:$A$205,MATCH($A175,Employees!$BH$6:$BH$205,0)))</f>
        <v/>
      </c>
      <c r="C175" s="11" t="str">
        <f aca="false">IF($A175="","",INDEX(Employees!$B$6:$B$205,MATCH($A175,Employees!$BH$6:$BH$205,0)))</f>
        <v/>
      </c>
      <c r="D175" s="11" t="str">
        <f aca="false">IF($A175="","",INDEX(Employees!$C$6:$C$205,MATCH($A175,Employees!$BH$6:$BH$205,0)))</f>
        <v/>
      </c>
      <c r="E175" s="11" t="str">
        <f aca="false">IF($A175="","",INDEX(Employees!$D$6:$D$205,MATCH($A175,Employees!$BH$6:$BH$205,0)))</f>
        <v/>
      </c>
      <c r="F175" s="11" t="str">
        <f aca="false">IF($A175="","",INDEX(Employees!$T$6:$T$205,MATCH($A175,Employees!$BH$6:$BH$205,0)))</f>
        <v/>
      </c>
      <c r="G175" s="26" t="str">
        <f aca="false">IF($A175="","",INDEX(Employees!$U$6:$U$205,MATCH($A175,Employees!$BH$6:$BH$205,0)))</f>
        <v/>
      </c>
      <c r="H175" s="28" t="str">
        <f aca="false">IF($A175="","",INDEX(Employees!$E$6:$E$205,MATCH($A175,Employees!$BH$6:$BH$205,0)))</f>
        <v/>
      </c>
      <c r="I175" s="11" t="str">
        <f aca="false">IF($A175="","",INDEX(Employees!$Z$6:$Z$205,MATCH($A175,Employees!$BH$6:$BH$205,0)))</f>
        <v/>
      </c>
      <c r="J175" s="26" t="str">
        <f aca="false">IF($A175="","",INDEX(Employees!$AB$6:$AB$205,MATCH($A175,Employees!$BH$6:$BH$205,0)))</f>
        <v/>
      </c>
      <c r="K175" s="26" t="str">
        <f aca="false">IF($A175="","",INDEX(Employees!$AI$6:$AI$205,MATCH($A175,Employees!$BH$6:$BH$205,0)))</f>
        <v/>
      </c>
      <c r="L175" s="26" t="str">
        <f aca="false">IF($A175="","",INDEX(Employees!$AG$6:$AG$205,MATCH($A175,Employees!$BH$6:$BH$205,0)))</f>
        <v/>
      </c>
      <c r="M175" s="26" t="str">
        <f aca="false">IF($A175="","",INDEX(Employees!$AH$6:$AH$205,MATCH($A175,Employees!$BH$6:$BH$205,0)))</f>
        <v/>
      </c>
      <c r="N175" s="26" t="str">
        <f aca="false">IF($A175="","",INDEX(Employees!$AK$6:$AK$205,MATCH($A175,Employees!$BH$6:$BH$205,0)))</f>
        <v/>
      </c>
      <c r="O175" s="26" t="str">
        <f aca="false">IF($A175="","",INDEX(Employees!$AL$6:$AL$205,MATCH($A175,Employees!$BH$6:$BH$205,0)))</f>
        <v/>
      </c>
      <c r="P175" s="11" t="str">
        <f aca="false">IF($A175="","",INDEX(Employees!$AM$6:$AM$205,MATCH($A175,Employees!$BH$6:$BH$205,0)))</f>
        <v/>
      </c>
    </row>
    <row r="176" customFormat="false" ht="15" hidden="false" customHeight="false" outlineLevel="0" collapsed="false">
      <c r="A176" s="11" t="str">
        <f aca="false">IF(171&lt;=MAX(Employees!$BH$6:$BH$205),171,"")</f>
        <v/>
      </c>
      <c r="B176" s="11" t="str">
        <f aca="false">IF($A176="","",INDEX(Employees!$A$6:$A$205,MATCH($A176,Employees!$BH$6:$BH$205,0)))</f>
        <v/>
      </c>
      <c r="C176" s="11" t="str">
        <f aca="false">IF($A176="","",INDEX(Employees!$B$6:$B$205,MATCH($A176,Employees!$BH$6:$BH$205,0)))</f>
        <v/>
      </c>
      <c r="D176" s="11" t="str">
        <f aca="false">IF($A176="","",INDEX(Employees!$C$6:$C$205,MATCH($A176,Employees!$BH$6:$BH$205,0)))</f>
        <v/>
      </c>
      <c r="E176" s="11" t="str">
        <f aca="false">IF($A176="","",INDEX(Employees!$D$6:$D$205,MATCH($A176,Employees!$BH$6:$BH$205,0)))</f>
        <v/>
      </c>
      <c r="F176" s="11" t="str">
        <f aca="false">IF($A176="","",INDEX(Employees!$T$6:$T$205,MATCH($A176,Employees!$BH$6:$BH$205,0)))</f>
        <v/>
      </c>
      <c r="G176" s="26" t="str">
        <f aca="false">IF($A176="","",INDEX(Employees!$U$6:$U$205,MATCH($A176,Employees!$BH$6:$BH$205,0)))</f>
        <v/>
      </c>
      <c r="H176" s="28" t="str">
        <f aca="false">IF($A176="","",INDEX(Employees!$E$6:$E$205,MATCH($A176,Employees!$BH$6:$BH$205,0)))</f>
        <v/>
      </c>
      <c r="I176" s="11" t="str">
        <f aca="false">IF($A176="","",INDEX(Employees!$Z$6:$Z$205,MATCH($A176,Employees!$BH$6:$BH$205,0)))</f>
        <v/>
      </c>
      <c r="J176" s="26" t="str">
        <f aca="false">IF($A176="","",INDEX(Employees!$AB$6:$AB$205,MATCH($A176,Employees!$BH$6:$BH$205,0)))</f>
        <v/>
      </c>
      <c r="K176" s="26" t="str">
        <f aca="false">IF($A176="","",INDEX(Employees!$AI$6:$AI$205,MATCH($A176,Employees!$BH$6:$BH$205,0)))</f>
        <v/>
      </c>
      <c r="L176" s="26" t="str">
        <f aca="false">IF($A176="","",INDEX(Employees!$AG$6:$AG$205,MATCH($A176,Employees!$BH$6:$BH$205,0)))</f>
        <v/>
      </c>
      <c r="M176" s="26" t="str">
        <f aca="false">IF($A176="","",INDEX(Employees!$AH$6:$AH$205,MATCH($A176,Employees!$BH$6:$BH$205,0)))</f>
        <v/>
      </c>
      <c r="N176" s="26" t="str">
        <f aca="false">IF($A176="","",INDEX(Employees!$AK$6:$AK$205,MATCH($A176,Employees!$BH$6:$BH$205,0)))</f>
        <v/>
      </c>
      <c r="O176" s="26" t="str">
        <f aca="false">IF($A176="","",INDEX(Employees!$AL$6:$AL$205,MATCH($A176,Employees!$BH$6:$BH$205,0)))</f>
        <v/>
      </c>
      <c r="P176" s="11" t="str">
        <f aca="false">IF($A176="","",INDEX(Employees!$AM$6:$AM$205,MATCH($A176,Employees!$BH$6:$BH$205,0)))</f>
        <v/>
      </c>
    </row>
    <row r="177" customFormat="false" ht="15" hidden="false" customHeight="false" outlineLevel="0" collapsed="false">
      <c r="A177" s="11" t="str">
        <f aca="false">IF(172&lt;=MAX(Employees!$BH$6:$BH$205),172,"")</f>
        <v/>
      </c>
      <c r="B177" s="11" t="str">
        <f aca="false">IF($A177="","",INDEX(Employees!$A$6:$A$205,MATCH($A177,Employees!$BH$6:$BH$205,0)))</f>
        <v/>
      </c>
      <c r="C177" s="11" t="str">
        <f aca="false">IF($A177="","",INDEX(Employees!$B$6:$B$205,MATCH($A177,Employees!$BH$6:$BH$205,0)))</f>
        <v/>
      </c>
      <c r="D177" s="11" t="str">
        <f aca="false">IF($A177="","",INDEX(Employees!$C$6:$C$205,MATCH($A177,Employees!$BH$6:$BH$205,0)))</f>
        <v/>
      </c>
      <c r="E177" s="11" t="str">
        <f aca="false">IF($A177="","",INDEX(Employees!$D$6:$D$205,MATCH($A177,Employees!$BH$6:$BH$205,0)))</f>
        <v/>
      </c>
      <c r="F177" s="11" t="str">
        <f aca="false">IF($A177="","",INDEX(Employees!$T$6:$T$205,MATCH($A177,Employees!$BH$6:$BH$205,0)))</f>
        <v/>
      </c>
      <c r="G177" s="26" t="str">
        <f aca="false">IF($A177="","",INDEX(Employees!$U$6:$U$205,MATCH($A177,Employees!$BH$6:$BH$205,0)))</f>
        <v/>
      </c>
      <c r="H177" s="28" t="str">
        <f aca="false">IF($A177="","",INDEX(Employees!$E$6:$E$205,MATCH($A177,Employees!$BH$6:$BH$205,0)))</f>
        <v/>
      </c>
      <c r="I177" s="11" t="str">
        <f aca="false">IF($A177="","",INDEX(Employees!$Z$6:$Z$205,MATCH($A177,Employees!$BH$6:$BH$205,0)))</f>
        <v/>
      </c>
      <c r="J177" s="26" t="str">
        <f aca="false">IF($A177="","",INDEX(Employees!$AB$6:$AB$205,MATCH($A177,Employees!$BH$6:$BH$205,0)))</f>
        <v/>
      </c>
      <c r="K177" s="26" t="str">
        <f aca="false">IF($A177="","",INDEX(Employees!$AI$6:$AI$205,MATCH($A177,Employees!$BH$6:$BH$205,0)))</f>
        <v/>
      </c>
      <c r="L177" s="26" t="str">
        <f aca="false">IF($A177="","",INDEX(Employees!$AG$6:$AG$205,MATCH($A177,Employees!$BH$6:$BH$205,0)))</f>
        <v/>
      </c>
      <c r="M177" s="26" t="str">
        <f aca="false">IF($A177="","",INDEX(Employees!$AH$6:$AH$205,MATCH($A177,Employees!$BH$6:$BH$205,0)))</f>
        <v/>
      </c>
      <c r="N177" s="26" t="str">
        <f aca="false">IF($A177="","",INDEX(Employees!$AK$6:$AK$205,MATCH($A177,Employees!$BH$6:$BH$205,0)))</f>
        <v/>
      </c>
      <c r="O177" s="26" t="str">
        <f aca="false">IF($A177="","",INDEX(Employees!$AL$6:$AL$205,MATCH($A177,Employees!$BH$6:$BH$205,0)))</f>
        <v/>
      </c>
      <c r="P177" s="11" t="str">
        <f aca="false">IF($A177="","",INDEX(Employees!$AM$6:$AM$205,MATCH($A177,Employees!$BH$6:$BH$205,0)))</f>
        <v/>
      </c>
    </row>
    <row r="178" customFormat="false" ht="15" hidden="false" customHeight="false" outlineLevel="0" collapsed="false">
      <c r="A178" s="11" t="str">
        <f aca="false">IF(173&lt;=MAX(Employees!$BH$6:$BH$205),173,"")</f>
        <v/>
      </c>
      <c r="B178" s="11" t="str">
        <f aca="false">IF($A178="","",INDEX(Employees!$A$6:$A$205,MATCH($A178,Employees!$BH$6:$BH$205,0)))</f>
        <v/>
      </c>
      <c r="C178" s="11" t="str">
        <f aca="false">IF($A178="","",INDEX(Employees!$B$6:$B$205,MATCH($A178,Employees!$BH$6:$BH$205,0)))</f>
        <v/>
      </c>
      <c r="D178" s="11" t="str">
        <f aca="false">IF($A178="","",INDEX(Employees!$C$6:$C$205,MATCH($A178,Employees!$BH$6:$BH$205,0)))</f>
        <v/>
      </c>
      <c r="E178" s="11" t="str">
        <f aca="false">IF($A178="","",INDEX(Employees!$D$6:$D$205,MATCH($A178,Employees!$BH$6:$BH$205,0)))</f>
        <v/>
      </c>
      <c r="F178" s="11" t="str">
        <f aca="false">IF($A178="","",INDEX(Employees!$T$6:$T$205,MATCH($A178,Employees!$BH$6:$BH$205,0)))</f>
        <v/>
      </c>
      <c r="G178" s="26" t="str">
        <f aca="false">IF($A178="","",INDEX(Employees!$U$6:$U$205,MATCH($A178,Employees!$BH$6:$BH$205,0)))</f>
        <v/>
      </c>
      <c r="H178" s="28" t="str">
        <f aca="false">IF($A178="","",INDEX(Employees!$E$6:$E$205,MATCH($A178,Employees!$BH$6:$BH$205,0)))</f>
        <v/>
      </c>
      <c r="I178" s="11" t="str">
        <f aca="false">IF($A178="","",INDEX(Employees!$Z$6:$Z$205,MATCH($A178,Employees!$BH$6:$BH$205,0)))</f>
        <v/>
      </c>
      <c r="J178" s="26" t="str">
        <f aca="false">IF($A178="","",INDEX(Employees!$AB$6:$AB$205,MATCH($A178,Employees!$BH$6:$BH$205,0)))</f>
        <v/>
      </c>
      <c r="K178" s="26" t="str">
        <f aca="false">IF($A178="","",INDEX(Employees!$AI$6:$AI$205,MATCH($A178,Employees!$BH$6:$BH$205,0)))</f>
        <v/>
      </c>
      <c r="L178" s="26" t="str">
        <f aca="false">IF($A178="","",INDEX(Employees!$AG$6:$AG$205,MATCH($A178,Employees!$BH$6:$BH$205,0)))</f>
        <v/>
      </c>
      <c r="M178" s="26" t="str">
        <f aca="false">IF($A178="","",INDEX(Employees!$AH$6:$AH$205,MATCH($A178,Employees!$BH$6:$BH$205,0)))</f>
        <v/>
      </c>
      <c r="N178" s="26" t="str">
        <f aca="false">IF($A178="","",INDEX(Employees!$AK$6:$AK$205,MATCH($A178,Employees!$BH$6:$BH$205,0)))</f>
        <v/>
      </c>
      <c r="O178" s="26" t="str">
        <f aca="false">IF($A178="","",INDEX(Employees!$AL$6:$AL$205,MATCH($A178,Employees!$BH$6:$BH$205,0)))</f>
        <v/>
      </c>
      <c r="P178" s="11" t="str">
        <f aca="false">IF($A178="","",INDEX(Employees!$AM$6:$AM$205,MATCH($A178,Employees!$BH$6:$BH$205,0)))</f>
        <v/>
      </c>
    </row>
    <row r="179" customFormat="false" ht="15" hidden="false" customHeight="false" outlineLevel="0" collapsed="false">
      <c r="A179" s="11" t="str">
        <f aca="false">IF(174&lt;=MAX(Employees!$BH$6:$BH$205),174,"")</f>
        <v/>
      </c>
      <c r="B179" s="11" t="str">
        <f aca="false">IF($A179="","",INDEX(Employees!$A$6:$A$205,MATCH($A179,Employees!$BH$6:$BH$205,0)))</f>
        <v/>
      </c>
      <c r="C179" s="11" t="str">
        <f aca="false">IF($A179="","",INDEX(Employees!$B$6:$B$205,MATCH($A179,Employees!$BH$6:$BH$205,0)))</f>
        <v/>
      </c>
      <c r="D179" s="11" t="str">
        <f aca="false">IF($A179="","",INDEX(Employees!$C$6:$C$205,MATCH($A179,Employees!$BH$6:$BH$205,0)))</f>
        <v/>
      </c>
      <c r="E179" s="11" t="str">
        <f aca="false">IF($A179="","",INDEX(Employees!$D$6:$D$205,MATCH($A179,Employees!$BH$6:$BH$205,0)))</f>
        <v/>
      </c>
      <c r="F179" s="11" t="str">
        <f aca="false">IF($A179="","",INDEX(Employees!$T$6:$T$205,MATCH($A179,Employees!$BH$6:$BH$205,0)))</f>
        <v/>
      </c>
      <c r="G179" s="26" t="str">
        <f aca="false">IF($A179="","",INDEX(Employees!$U$6:$U$205,MATCH($A179,Employees!$BH$6:$BH$205,0)))</f>
        <v/>
      </c>
      <c r="H179" s="28" t="str">
        <f aca="false">IF($A179="","",INDEX(Employees!$E$6:$E$205,MATCH($A179,Employees!$BH$6:$BH$205,0)))</f>
        <v/>
      </c>
      <c r="I179" s="11" t="str">
        <f aca="false">IF($A179="","",INDEX(Employees!$Z$6:$Z$205,MATCH($A179,Employees!$BH$6:$BH$205,0)))</f>
        <v/>
      </c>
      <c r="J179" s="26" t="str">
        <f aca="false">IF($A179="","",INDEX(Employees!$AB$6:$AB$205,MATCH($A179,Employees!$BH$6:$BH$205,0)))</f>
        <v/>
      </c>
      <c r="K179" s="26" t="str">
        <f aca="false">IF($A179="","",INDEX(Employees!$AI$6:$AI$205,MATCH($A179,Employees!$BH$6:$BH$205,0)))</f>
        <v/>
      </c>
      <c r="L179" s="26" t="str">
        <f aca="false">IF($A179="","",INDEX(Employees!$AG$6:$AG$205,MATCH($A179,Employees!$BH$6:$BH$205,0)))</f>
        <v/>
      </c>
      <c r="M179" s="26" t="str">
        <f aca="false">IF($A179="","",INDEX(Employees!$AH$6:$AH$205,MATCH($A179,Employees!$BH$6:$BH$205,0)))</f>
        <v/>
      </c>
      <c r="N179" s="26" t="str">
        <f aca="false">IF($A179="","",INDEX(Employees!$AK$6:$AK$205,MATCH($A179,Employees!$BH$6:$BH$205,0)))</f>
        <v/>
      </c>
      <c r="O179" s="26" t="str">
        <f aca="false">IF($A179="","",INDEX(Employees!$AL$6:$AL$205,MATCH($A179,Employees!$BH$6:$BH$205,0)))</f>
        <v/>
      </c>
      <c r="P179" s="11" t="str">
        <f aca="false">IF($A179="","",INDEX(Employees!$AM$6:$AM$205,MATCH($A179,Employees!$BH$6:$BH$205,0)))</f>
        <v/>
      </c>
    </row>
    <row r="180" customFormat="false" ht="15" hidden="false" customHeight="false" outlineLevel="0" collapsed="false">
      <c r="A180" s="11" t="str">
        <f aca="false">IF(175&lt;=MAX(Employees!$BH$6:$BH$205),175,"")</f>
        <v/>
      </c>
      <c r="B180" s="11" t="str">
        <f aca="false">IF($A180="","",INDEX(Employees!$A$6:$A$205,MATCH($A180,Employees!$BH$6:$BH$205,0)))</f>
        <v/>
      </c>
      <c r="C180" s="11" t="str">
        <f aca="false">IF($A180="","",INDEX(Employees!$B$6:$B$205,MATCH($A180,Employees!$BH$6:$BH$205,0)))</f>
        <v/>
      </c>
      <c r="D180" s="11" t="str">
        <f aca="false">IF($A180="","",INDEX(Employees!$C$6:$C$205,MATCH($A180,Employees!$BH$6:$BH$205,0)))</f>
        <v/>
      </c>
      <c r="E180" s="11" t="str">
        <f aca="false">IF($A180="","",INDEX(Employees!$D$6:$D$205,MATCH($A180,Employees!$BH$6:$BH$205,0)))</f>
        <v/>
      </c>
      <c r="F180" s="11" t="str">
        <f aca="false">IF($A180="","",INDEX(Employees!$T$6:$T$205,MATCH($A180,Employees!$BH$6:$BH$205,0)))</f>
        <v/>
      </c>
      <c r="G180" s="26" t="str">
        <f aca="false">IF($A180="","",INDEX(Employees!$U$6:$U$205,MATCH($A180,Employees!$BH$6:$BH$205,0)))</f>
        <v/>
      </c>
      <c r="H180" s="28" t="str">
        <f aca="false">IF($A180="","",INDEX(Employees!$E$6:$E$205,MATCH($A180,Employees!$BH$6:$BH$205,0)))</f>
        <v/>
      </c>
      <c r="I180" s="11" t="str">
        <f aca="false">IF($A180="","",INDEX(Employees!$Z$6:$Z$205,MATCH($A180,Employees!$BH$6:$BH$205,0)))</f>
        <v/>
      </c>
      <c r="J180" s="26" t="str">
        <f aca="false">IF($A180="","",INDEX(Employees!$AB$6:$AB$205,MATCH($A180,Employees!$BH$6:$BH$205,0)))</f>
        <v/>
      </c>
      <c r="K180" s="26" t="str">
        <f aca="false">IF($A180="","",INDEX(Employees!$AI$6:$AI$205,MATCH($A180,Employees!$BH$6:$BH$205,0)))</f>
        <v/>
      </c>
      <c r="L180" s="26" t="str">
        <f aca="false">IF($A180="","",INDEX(Employees!$AG$6:$AG$205,MATCH($A180,Employees!$BH$6:$BH$205,0)))</f>
        <v/>
      </c>
      <c r="M180" s="26" t="str">
        <f aca="false">IF($A180="","",INDEX(Employees!$AH$6:$AH$205,MATCH($A180,Employees!$BH$6:$BH$205,0)))</f>
        <v/>
      </c>
      <c r="N180" s="26" t="str">
        <f aca="false">IF($A180="","",INDEX(Employees!$AK$6:$AK$205,MATCH($A180,Employees!$BH$6:$BH$205,0)))</f>
        <v/>
      </c>
      <c r="O180" s="26" t="str">
        <f aca="false">IF($A180="","",INDEX(Employees!$AL$6:$AL$205,MATCH($A180,Employees!$BH$6:$BH$205,0)))</f>
        <v/>
      </c>
      <c r="P180" s="11" t="str">
        <f aca="false">IF($A180="","",INDEX(Employees!$AM$6:$AM$205,MATCH($A180,Employees!$BH$6:$BH$205,0)))</f>
        <v/>
      </c>
    </row>
    <row r="181" customFormat="false" ht="15" hidden="false" customHeight="false" outlineLevel="0" collapsed="false">
      <c r="A181" s="11" t="str">
        <f aca="false">IF(176&lt;=MAX(Employees!$BH$6:$BH$205),176,"")</f>
        <v/>
      </c>
      <c r="B181" s="11" t="str">
        <f aca="false">IF($A181="","",INDEX(Employees!$A$6:$A$205,MATCH($A181,Employees!$BH$6:$BH$205,0)))</f>
        <v/>
      </c>
      <c r="C181" s="11" t="str">
        <f aca="false">IF($A181="","",INDEX(Employees!$B$6:$B$205,MATCH($A181,Employees!$BH$6:$BH$205,0)))</f>
        <v/>
      </c>
      <c r="D181" s="11" t="str">
        <f aca="false">IF($A181="","",INDEX(Employees!$C$6:$C$205,MATCH($A181,Employees!$BH$6:$BH$205,0)))</f>
        <v/>
      </c>
      <c r="E181" s="11" t="str">
        <f aca="false">IF($A181="","",INDEX(Employees!$D$6:$D$205,MATCH($A181,Employees!$BH$6:$BH$205,0)))</f>
        <v/>
      </c>
      <c r="F181" s="11" t="str">
        <f aca="false">IF($A181="","",INDEX(Employees!$T$6:$T$205,MATCH($A181,Employees!$BH$6:$BH$205,0)))</f>
        <v/>
      </c>
      <c r="G181" s="26" t="str">
        <f aca="false">IF($A181="","",INDEX(Employees!$U$6:$U$205,MATCH($A181,Employees!$BH$6:$BH$205,0)))</f>
        <v/>
      </c>
      <c r="H181" s="28" t="str">
        <f aca="false">IF($A181="","",INDEX(Employees!$E$6:$E$205,MATCH($A181,Employees!$BH$6:$BH$205,0)))</f>
        <v/>
      </c>
      <c r="I181" s="11" t="str">
        <f aca="false">IF($A181="","",INDEX(Employees!$Z$6:$Z$205,MATCH($A181,Employees!$BH$6:$BH$205,0)))</f>
        <v/>
      </c>
      <c r="J181" s="26" t="str">
        <f aca="false">IF($A181="","",INDEX(Employees!$AB$6:$AB$205,MATCH($A181,Employees!$BH$6:$BH$205,0)))</f>
        <v/>
      </c>
      <c r="K181" s="26" t="str">
        <f aca="false">IF($A181="","",INDEX(Employees!$AI$6:$AI$205,MATCH($A181,Employees!$BH$6:$BH$205,0)))</f>
        <v/>
      </c>
      <c r="L181" s="26" t="str">
        <f aca="false">IF($A181="","",INDEX(Employees!$AG$6:$AG$205,MATCH($A181,Employees!$BH$6:$BH$205,0)))</f>
        <v/>
      </c>
      <c r="M181" s="26" t="str">
        <f aca="false">IF($A181="","",INDEX(Employees!$AH$6:$AH$205,MATCH($A181,Employees!$BH$6:$BH$205,0)))</f>
        <v/>
      </c>
      <c r="N181" s="26" t="str">
        <f aca="false">IF($A181="","",INDEX(Employees!$AK$6:$AK$205,MATCH($A181,Employees!$BH$6:$BH$205,0)))</f>
        <v/>
      </c>
      <c r="O181" s="26" t="str">
        <f aca="false">IF($A181="","",INDEX(Employees!$AL$6:$AL$205,MATCH($A181,Employees!$BH$6:$BH$205,0)))</f>
        <v/>
      </c>
      <c r="P181" s="11" t="str">
        <f aca="false">IF($A181="","",INDEX(Employees!$AM$6:$AM$205,MATCH($A181,Employees!$BH$6:$BH$205,0)))</f>
        <v/>
      </c>
    </row>
    <row r="182" customFormat="false" ht="15" hidden="false" customHeight="false" outlineLevel="0" collapsed="false">
      <c r="A182" s="11" t="str">
        <f aca="false">IF(177&lt;=MAX(Employees!$BH$6:$BH$205),177,"")</f>
        <v/>
      </c>
      <c r="B182" s="11" t="str">
        <f aca="false">IF($A182="","",INDEX(Employees!$A$6:$A$205,MATCH($A182,Employees!$BH$6:$BH$205,0)))</f>
        <v/>
      </c>
      <c r="C182" s="11" t="str">
        <f aca="false">IF($A182="","",INDEX(Employees!$B$6:$B$205,MATCH($A182,Employees!$BH$6:$BH$205,0)))</f>
        <v/>
      </c>
      <c r="D182" s="11" t="str">
        <f aca="false">IF($A182="","",INDEX(Employees!$C$6:$C$205,MATCH($A182,Employees!$BH$6:$BH$205,0)))</f>
        <v/>
      </c>
      <c r="E182" s="11" t="str">
        <f aca="false">IF($A182="","",INDEX(Employees!$D$6:$D$205,MATCH($A182,Employees!$BH$6:$BH$205,0)))</f>
        <v/>
      </c>
      <c r="F182" s="11" t="str">
        <f aca="false">IF($A182="","",INDEX(Employees!$T$6:$T$205,MATCH($A182,Employees!$BH$6:$BH$205,0)))</f>
        <v/>
      </c>
      <c r="G182" s="26" t="str">
        <f aca="false">IF($A182="","",INDEX(Employees!$U$6:$U$205,MATCH($A182,Employees!$BH$6:$BH$205,0)))</f>
        <v/>
      </c>
      <c r="H182" s="28" t="str">
        <f aca="false">IF($A182="","",INDEX(Employees!$E$6:$E$205,MATCH($A182,Employees!$BH$6:$BH$205,0)))</f>
        <v/>
      </c>
      <c r="I182" s="11" t="str">
        <f aca="false">IF($A182="","",INDEX(Employees!$Z$6:$Z$205,MATCH($A182,Employees!$BH$6:$BH$205,0)))</f>
        <v/>
      </c>
      <c r="J182" s="26" t="str">
        <f aca="false">IF($A182="","",INDEX(Employees!$AB$6:$AB$205,MATCH($A182,Employees!$BH$6:$BH$205,0)))</f>
        <v/>
      </c>
      <c r="K182" s="26" t="str">
        <f aca="false">IF($A182="","",INDEX(Employees!$AI$6:$AI$205,MATCH($A182,Employees!$BH$6:$BH$205,0)))</f>
        <v/>
      </c>
      <c r="L182" s="26" t="str">
        <f aca="false">IF($A182="","",INDEX(Employees!$AG$6:$AG$205,MATCH($A182,Employees!$BH$6:$BH$205,0)))</f>
        <v/>
      </c>
      <c r="M182" s="26" t="str">
        <f aca="false">IF($A182="","",INDEX(Employees!$AH$6:$AH$205,MATCH($A182,Employees!$BH$6:$BH$205,0)))</f>
        <v/>
      </c>
      <c r="N182" s="26" t="str">
        <f aca="false">IF($A182="","",INDEX(Employees!$AK$6:$AK$205,MATCH($A182,Employees!$BH$6:$BH$205,0)))</f>
        <v/>
      </c>
      <c r="O182" s="26" t="str">
        <f aca="false">IF($A182="","",INDEX(Employees!$AL$6:$AL$205,MATCH($A182,Employees!$BH$6:$BH$205,0)))</f>
        <v/>
      </c>
      <c r="P182" s="11" t="str">
        <f aca="false">IF($A182="","",INDEX(Employees!$AM$6:$AM$205,MATCH($A182,Employees!$BH$6:$BH$205,0)))</f>
        <v/>
      </c>
    </row>
    <row r="183" customFormat="false" ht="15" hidden="false" customHeight="false" outlineLevel="0" collapsed="false">
      <c r="A183" s="11" t="str">
        <f aca="false">IF(178&lt;=MAX(Employees!$BH$6:$BH$205),178,"")</f>
        <v/>
      </c>
      <c r="B183" s="11" t="str">
        <f aca="false">IF($A183="","",INDEX(Employees!$A$6:$A$205,MATCH($A183,Employees!$BH$6:$BH$205,0)))</f>
        <v/>
      </c>
      <c r="C183" s="11" t="str">
        <f aca="false">IF($A183="","",INDEX(Employees!$B$6:$B$205,MATCH($A183,Employees!$BH$6:$BH$205,0)))</f>
        <v/>
      </c>
      <c r="D183" s="11" t="str">
        <f aca="false">IF($A183="","",INDEX(Employees!$C$6:$C$205,MATCH($A183,Employees!$BH$6:$BH$205,0)))</f>
        <v/>
      </c>
      <c r="E183" s="11" t="str">
        <f aca="false">IF($A183="","",INDEX(Employees!$D$6:$D$205,MATCH($A183,Employees!$BH$6:$BH$205,0)))</f>
        <v/>
      </c>
      <c r="F183" s="11" t="str">
        <f aca="false">IF($A183="","",INDEX(Employees!$T$6:$T$205,MATCH($A183,Employees!$BH$6:$BH$205,0)))</f>
        <v/>
      </c>
      <c r="G183" s="26" t="str">
        <f aca="false">IF($A183="","",INDEX(Employees!$U$6:$U$205,MATCH($A183,Employees!$BH$6:$BH$205,0)))</f>
        <v/>
      </c>
      <c r="H183" s="28" t="str">
        <f aca="false">IF($A183="","",INDEX(Employees!$E$6:$E$205,MATCH($A183,Employees!$BH$6:$BH$205,0)))</f>
        <v/>
      </c>
      <c r="I183" s="11" t="str">
        <f aca="false">IF($A183="","",INDEX(Employees!$Z$6:$Z$205,MATCH($A183,Employees!$BH$6:$BH$205,0)))</f>
        <v/>
      </c>
      <c r="J183" s="26" t="str">
        <f aca="false">IF($A183="","",INDEX(Employees!$AB$6:$AB$205,MATCH($A183,Employees!$BH$6:$BH$205,0)))</f>
        <v/>
      </c>
      <c r="K183" s="26" t="str">
        <f aca="false">IF($A183="","",INDEX(Employees!$AI$6:$AI$205,MATCH($A183,Employees!$BH$6:$BH$205,0)))</f>
        <v/>
      </c>
      <c r="L183" s="26" t="str">
        <f aca="false">IF($A183="","",INDEX(Employees!$AG$6:$AG$205,MATCH($A183,Employees!$BH$6:$BH$205,0)))</f>
        <v/>
      </c>
      <c r="M183" s="26" t="str">
        <f aca="false">IF($A183="","",INDEX(Employees!$AH$6:$AH$205,MATCH($A183,Employees!$BH$6:$BH$205,0)))</f>
        <v/>
      </c>
      <c r="N183" s="26" t="str">
        <f aca="false">IF($A183="","",INDEX(Employees!$AK$6:$AK$205,MATCH($A183,Employees!$BH$6:$BH$205,0)))</f>
        <v/>
      </c>
      <c r="O183" s="26" t="str">
        <f aca="false">IF($A183="","",INDEX(Employees!$AL$6:$AL$205,MATCH($A183,Employees!$BH$6:$BH$205,0)))</f>
        <v/>
      </c>
      <c r="P183" s="11" t="str">
        <f aca="false">IF($A183="","",INDEX(Employees!$AM$6:$AM$205,MATCH($A183,Employees!$BH$6:$BH$205,0)))</f>
        <v/>
      </c>
    </row>
    <row r="184" customFormat="false" ht="15" hidden="false" customHeight="false" outlineLevel="0" collapsed="false">
      <c r="A184" s="11" t="str">
        <f aca="false">IF(179&lt;=MAX(Employees!$BH$6:$BH$205),179,"")</f>
        <v/>
      </c>
      <c r="B184" s="11" t="str">
        <f aca="false">IF($A184="","",INDEX(Employees!$A$6:$A$205,MATCH($A184,Employees!$BH$6:$BH$205,0)))</f>
        <v/>
      </c>
      <c r="C184" s="11" t="str">
        <f aca="false">IF($A184="","",INDEX(Employees!$B$6:$B$205,MATCH($A184,Employees!$BH$6:$BH$205,0)))</f>
        <v/>
      </c>
      <c r="D184" s="11" t="str">
        <f aca="false">IF($A184="","",INDEX(Employees!$C$6:$C$205,MATCH($A184,Employees!$BH$6:$BH$205,0)))</f>
        <v/>
      </c>
      <c r="E184" s="11" t="str">
        <f aca="false">IF($A184="","",INDEX(Employees!$D$6:$D$205,MATCH($A184,Employees!$BH$6:$BH$205,0)))</f>
        <v/>
      </c>
      <c r="F184" s="11" t="str">
        <f aca="false">IF($A184="","",INDEX(Employees!$T$6:$T$205,MATCH($A184,Employees!$BH$6:$BH$205,0)))</f>
        <v/>
      </c>
      <c r="G184" s="26" t="str">
        <f aca="false">IF($A184="","",INDEX(Employees!$U$6:$U$205,MATCH($A184,Employees!$BH$6:$BH$205,0)))</f>
        <v/>
      </c>
      <c r="H184" s="28" t="str">
        <f aca="false">IF($A184="","",INDEX(Employees!$E$6:$E$205,MATCH($A184,Employees!$BH$6:$BH$205,0)))</f>
        <v/>
      </c>
      <c r="I184" s="11" t="str">
        <f aca="false">IF($A184="","",INDEX(Employees!$Z$6:$Z$205,MATCH($A184,Employees!$BH$6:$BH$205,0)))</f>
        <v/>
      </c>
      <c r="J184" s="26" t="str">
        <f aca="false">IF($A184="","",INDEX(Employees!$AB$6:$AB$205,MATCH($A184,Employees!$BH$6:$BH$205,0)))</f>
        <v/>
      </c>
      <c r="K184" s="26" t="str">
        <f aca="false">IF($A184="","",INDEX(Employees!$AI$6:$AI$205,MATCH($A184,Employees!$BH$6:$BH$205,0)))</f>
        <v/>
      </c>
      <c r="L184" s="26" t="str">
        <f aca="false">IF($A184="","",INDEX(Employees!$AG$6:$AG$205,MATCH($A184,Employees!$BH$6:$BH$205,0)))</f>
        <v/>
      </c>
      <c r="M184" s="26" t="str">
        <f aca="false">IF($A184="","",INDEX(Employees!$AH$6:$AH$205,MATCH($A184,Employees!$BH$6:$BH$205,0)))</f>
        <v/>
      </c>
      <c r="N184" s="26" t="str">
        <f aca="false">IF($A184="","",INDEX(Employees!$AK$6:$AK$205,MATCH($A184,Employees!$BH$6:$BH$205,0)))</f>
        <v/>
      </c>
      <c r="O184" s="26" t="str">
        <f aca="false">IF($A184="","",INDEX(Employees!$AL$6:$AL$205,MATCH($A184,Employees!$BH$6:$BH$205,0)))</f>
        <v/>
      </c>
      <c r="P184" s="11" t="str">
        <f aca="false">IF($A184="","",INDEX(Employees!$AM$6:$AM$205,MATCH($A184,Employees!$BH$6:$BH$205,0)))</f>
        <v/>
      </c>
    </row>
    <row r="185" customFormat="false" ht="15" hidden="false" customHeight="false" outlineLevel="0" collapsed="false">
      <c r="A185" s="11" t="str">
        <f aca="false">IF(180&lt;=MAX(Employees!$BH$6:$BH$205),180,"")</f>
        <v/>
      </c>
      <c r="B185" s="11" t="str">
        <f aca="false">IF($A185="","",INDEX(Employees!$A$6:$A$205,MATCH($A185,Employees!$BH$6:$BH$205,0)))</f>
        <v/>
      </c>
      <c r="C185" s="11" t="str">
        <f aca="false">IF($A185="","",INDEX(Employees!$B$6:$B$205,MATCH($A185,Employees!$BH$6:$BH$205,0)))</f>
        <v/>
      </c>
      <c r="D185" s="11" t="str">
        <f aca="false">IF($A185="","",INDEX(Employees!$C$6:$C$205,MATCH($A185,Employees!$BH$6:$BH$205,0)))</f>
        <v/>
      </c>
      <c r="E185" s="11" t="str">
        <f aca="false">IF($A185="","",INDEX(Employees!$D$6:$D$205,MATCH($A185,Employees!$BH$6:$BH$205,0)))</f>
        <v/>
      </c>
      <c r="F185" s="11" t="str">
        <f aca="false">IF($A185="","",INDEX(Employees!$T$6:$T$205,MATCH($A185,Employees!$BH$6:$BH$205,0)))</f>
        <v/>
      </c>
      <c r="G185" s="26" t="str">
        <f aca="false">IF($A185="","",INDEX(Employees!$U$6:$U$205,MATCH($A185,Employees!$BH$6:$BH$205,0)))</f>
        <v/>
      </c>
      <c r="H185" s="28" t="str">
        <f aca="false">IF($A185="","",INDEX(Employees!$E$6:$E$205,MATCH($A185,Employees!$BH$6:$BH$205,0)))</f>
        <v/>
      </c>
      <c r="I185" s="11" t="str">
        <f aca="false">IF($A185="","",INDEX(Employees!$Z$6:$Z$205,MATCH($A185,Employees!$BH$6:$BH$205,0)))</f>
        <v/>
      </c>
      <c r="J185" s="26" t="str">
        <f aca="false">IF($A185="","",INDEX(Employees!$AB$6:$AB$205,MATCH($A185,Employees!$BH$6:$BH$205,0)))</f>
        <v/>
      </c>
      <c r="K185" s="26" t="str">
        <f aca="false">IF($A185="","",INDEX(Employees!$AI$6:$AI$205,MATCH($A185,Employees!$BH$6:$BH$205,0)))</f>
        <v/>
      </c>
      <c r="L185" s="26" t="str">
        <f aca="false">IF($A185="","",INDEX(Employees!$AG$6:$AG$205,MATCH($A185,Employees!$BH$6:$BH$205,0)))</f>
        <v/>
      </c>
      <c r="M185" s="26" t="str">
        <f aca="false">IF($A185="","",INDEX(Employees!$AH$6:$AH$205,MATCH($A185,Employees!$BH$6:$BH$205,0)))</f>
        <v/>
      </c>
      <c r="N185" s="26" t="str">
        <f aca="false">IF($A185="","",INDEX(Employees!$AK$6:$AK$205,MATCH($A185,Employees!$BH$6:$BH$205,0)))</f>
        <v/>
      </c>
      <c r="O185" s="26" t="str">
        <f aca="false">IF($A185="","",INDEX(Employees!$AL$6:$AL$205,MATCH($A185,Employees!$BH$6:$BH$205,0)))</f>
        <v/>
      </c>
      <c r="P185" s="11" t="str">
        <f aca="false">IF($A185="","",INDEX(Employees!$AM$6:$AM$205,MATCH($A185,Employees!$BH$6:$BH$205,0)))</f>
        <v/>
      </c>
    </row>
    <row r="186" customFormat="false" ht="15" hidden="false" customHeight="false" outlineLevel="0" collapsed="false">
      <c r="A186" s="11" t="str">
        <f aca="false">IF(181&lt;=MAX(Employees!$BH$6:$BH$205),181,"")</f>
        <v/>
      </c>
      <c r="B186" s="11" t="str">
        <f aca="false">IF($A186="","",INDEX(Employees!$A$6:$A$205,MATCH($A186,Employees!$BH$6:$BH$205,0)))</f>
        <v/>
      </c>
      <c r="C186" s="11" t="str">
        <f aca="false">IF($A186="","",INDEX(Employees!$B$6:$B$205,MATCH($A186,Employees!$BH$6:$BH$205,0)))</f>
        <v/>
      </c>
      <c r="D186" s="11" t="str">
        <f aca="false">IF($A186="","",INDEX(Employees!$C$6:$C$205,MATCH($A186,Employees!$BH$6:$BH$205,0)))</f>
        <v/>
      </c>
      <c r="E186" s="11" t="str">
        <f aca="false">IF($A186="","",INDEX(Employees!$D$6:$D$205,MATCH($A186,Employees!$BH$6:$BH$205,0)))</f>
        <v/>
      </c>
      <c r="F186" s="11" t="str">
        <f aca="false">IF($A186="","",INDEX(Employees!$T$6:$T$205,MATCH($A186,Employees!$BH$6:$BH$205,0)))</f>
        <v/>
      </c>
      <c r="G186" s="26" t="str">
        <f aca="false">IF($A186="","",INDEX(Employees!$U$6:$U$205,MATCH($A186,Employees!$BH$6:$BH$205,0)))</f>
        <v/>
      </c>
      <c r="H186" s="28" t="str">
        <f aca="false">IF($A186="","",INDEX(Employees!$E$6:$E$205,MATCH($A186,Employees!$BH$6:$BH$205,0)))</f>
        <v/>
      </c>
      <c r="I186" s="11" t="str">
        <f aca="false">IF($A186="","",INDEX(Employees!$Z$6:$Z$205,MATCH($A186,Employees!$BH$6:$BH$205,0)))</f>
        <v/>
      </c>
      <c r="J186" s="26" t="str">
        <f aca="false">IF($A186="","",INDEX(Employees!$AB$6:$AB$205,MATCH($A186,Employees!$BH$6:$BH$205,0)))</f>
        <v/>
      </c>
      <c r="K186" s="26" t="str">
        <f aca="false">IF($A186="","",INDEX(Employees!$AI$6:$AI$205,MATCH($A186,Employees!$BH$6:$BH$205,0)))</f>
        <v/>
      </c>
      <c r="L186" s="26" t="str">
        <f aca="false">IF($A186="","",INDEX(Employees!$AG$6:$AG$205,MATCH($A186,Employees!$BH$6:$BH$205,0)))</f>
        <v/>
      </c>
      <c r="M186" s="26" t="str">
        <f aca="false">IF($A186="","",INDEX(Employees!$AH$6:$AH$205,MATCH($A186,Employees!$BH$6:$BH$205,0)))</f>
        <v/>
      </c>
      <c r="N186" s="26" t="str">
        <f aca="false">IF($A186="","",INDEX(Employees!$AK$6:$AK$205,MATCH($A186,Employees!$BH$6:$BH$205,0)))</f>
        <v/>
      </c>
      <c r="O186" s="26" t="str">
        <f aca="false">IF($A186="","",INDEX(Employees!$AL$6:$AL$205,MATCH($A186,Employees!$BH$6:$BH$205,0)))</f>
        <v/>
      </c>
      <c r="P186" s="11" t="str">
        <f aca="false">IF($A186="","",INDEX(Employees!$AM$6:$AM$205,MATCH($A186,Employees!$BH$6:$BH$205,0)))</f>
        <v/>
      </c>
    </row>
    <row r="187" customFormat="false" ht="15" hidden="false" customHeight="false" outlineLevel="0" collapsed="false">
      <c r="A187" s="11" t="str">
        <f aca="false">IF(182&lt;=MAX(Employees!$BH$6:$BH$205),182,"")</f>
        <v/>
      </c>
      <c r="B187" s="11" t="str">
        <f aca="false">IF($A187="","",INDEX(Employees!$A$6:$A$205,MATCH($A187,Employees!$BH$6:$BH$205,0)))</f>
        <v/>
      </c>
      <c r="C187" s="11" t="str">
        <f aca="false">IF($A187="","",INDEX(Employees!$B$6:$B$205,MATCH($A187,Employees!$BH$6:$BH$205,0)))</f>
        <v/>
      </c>
      <c r="D187" s="11" t="str">
        <f aca="false">IF($A187="","",INDEX(Employees!$C$6:$C$205,MATCH($A187,Employees!$BH$6:$BH$205,0)))</f>
        <v/>
      </c>
      <c r="E187" s="11" t="str">
        <f aca="false">IF($A187="","",INDEX(Employees!$D$6:$D$205,MATCH($A187,Employees!$BH$6:$BH$205,0)))</f>
        <v/>
      </c>
      <c r="F187" s="11" t="str">
        <f aca="false">IF($A187="","",INDEX(Employees!$T$6:$T$205,MATCH($A187,Employees!$BH$6:$BH$205,0)))</f>
        <v/>
      </c>
      <c r="G187" s="26" t="str">
        <f aca="false">IF($A187="","",INDEX(Employees!$U$6:$U$205,MATCH($A187,Employees!$BH$6:$BH$205,0)))</f>
        <v/>
      </c>
      <c r="H187" s="28" t="str">
        <f aca="false">IF($A187="","",INDEX(Employees!$E$6:$E$205,MATCH($A187,Employees!$BH$6:$BH$205,0)))</f>
        <v/>
      </c>
      <c r="I187" s="11" t="str">
        <f aca="false">IF($A187="","",INDEX(Employees!$Z$6:$Z$205,MATCH($A187,Employees!$BH$6:$BH$205,0)))</f>
        <v/>
      </c>
      <c r="J187" s="26" t="str">
        <f aca="false">IF($A187="","",INDEX(Employees!$AB$6:$AB$205,MATCH($A187,Employees!$BH$6:$BH$205,0)))</f>
        <v/>
      </c>
      <c r="K187" s="26" t="str">
        <f aca="false">IF($A187="","",INDEX(Employees!$AI$6:$AI$205,MATCH($A187,Employees!$BH$6:$BH$205,0)))</f>
        <v/>
      </c>
      <c r="L187" s="26" t="str">
        <f aca="false">IF($A187="","",INDEX(Employees!$AG$6:$AG$205,MATCH($A187,Employees!$BH$6:$BH$205,0)))</f>
        <v/>
      </c>
      <c r="M187" s="26" t="str">
        <f aca="false">IF($A187="","",INDEX(Employees!$AH$6:$AH$205,MATCH($A187,Employees!$BH$6:$BH$205,0)))</f>
        <v/>
      </c>
      <c r="N187" s="26" t="str">
        <f aca="false">IF($A187="","",INDEX(Employees!$AK$6:$AK$205,MATCH($A187,Employees!$BH$6:$BH$205,0)))</f>
        <v/>
      </c>
      <c r="O187" s="26" t="str">
        <f aca="false">IF($A187="","",INDEX(Employees!$AL$6:$AL$205,MATCH($A187,Employees!$BH$6:$BH$205,0)))</f>
        <v/>
      </c>
      <c r="P187" s="11" t="str">
        <f aca="false">IF($A187="","",INDEX(Employees!$AM$6:$AM$205,MATCH($A187,Employees!$BH$6:$BH$205,0)))</f>
        <v/>
      </c>
    </row>
    <row r="188" customFormat="false" ht="15" hidden="false" customHeight="false" outlineLevel="0" collapsed="false">
      <c r="A188" s="11" t="str">
        <f aca="false">IF(183&lt;=MAX(Employees!$BH$6:$BH$205),183,"")</f>
        <v/>
      </c>
      <c r="B188" s="11" t="str">
        <f aca="false">IF($A188="","",INDEX(Employees!$A$6:$A$205,MATCH($A188,Employees!$BH$6:$BH$205,0)))</f>
        <v/>
      </c>
      <c r="C188" s="11" t="str">
        <f aca="false">IF($A188="","",INDEX(Employees!$B$6:$B$205,MATCH($A188,Employees!$BH$6:$BH$205,0)))</f>
        <v/>
      </c>
      <c r="D188" s="11" t="str">
        <f aca="false">IF($A188="","",INDEX(Employees!$C$6:$C$205,MATCH($A188,Employees!$BH$6:$BH$205,0)))</f>
        <v/>
      </c>
      <c r="E188" s="11" t="str">
        <f aca="false">IF($A188="","",INDEX(Employees!$D$6:$D$205,MATCH($A188,Employees!$BH$6:$BH$205,0)))</f>
        <v/>
      </c>
      <c r="F188" s="11" t="str">
        <f aca="false">IF($A188="","",INDEX(Employees!$T$6:$T$205,MATCH($A188,Employees!$BH$6:$BH$205,0)))</f>
        <v/>
      </c>
      <c r="G188" s="26" t="str">
        <f aca="false">IF($A188="","",INDEX(Employees!$U$6:$U$205,MATCH($A188,Employees!$BH$6:$BH$205,0)))</f>
        <v/>
      </c>
      <c r="H188" s="28" t="str">
        <f aca="false">IF($A188="","",INDEX(Employees!$E$6:$E$205,MATCH($A188,Employees!$BH$6:$BH$205,0)))</f>
        <v/>
      </c>
      <c r="I188" s="11" t="str">
        <f aca="false">IF($A188="","",INDEX(Employees!$Z$6:$Z$205,MATCH($A188,Employees!$BH$6:$BH$205,0)))</f>
        <v/>
      </c>
      <c r="J188" s="26" t="str">
        <f aca="false">IF($A188="","",INDEX(Employees!$AB$6:$AB$205,MATCH($A188,Employees!$BH$6:$BH$205,0)))</f>
        <v/>
      </c>
      <c r="K188" s="26" t="str">
        <f aca="false">IF($A188="","",INDEX(Employees!$AI$6:$AI$205,MATCH($A188,Employees!$BH$6:$BH$205,0)))</f>
        <v/>
      </c>
      <c r="L188" s="26" t="str">
        <f aca="false">IF($A188="","",INDEX(Employees!$AG$6:$AG$205,MATCH($A188,Employees!$BH$6:$BH$205,0)))</f>
        <v/>
      </c>
      <c r="M188" s="26" t="str">
        <f aca="false">IF($A188="","",INDEX(Employees!$AH$6:$AH$205,MATCH($A188,Employees!$BH$6:$BH$205,0)))</f>
        <v/>
      </c>
      <c r="N188" s="26" t="str">
        <f aca="false">IF($A188="","",INDEX(Employees!$AK$6:$AK$205,MATCH($A188,Employees!$BH$6:$BH$205,0)))</f>
        <v/>
      </c>
      <c r="O188" s="26" t="str">
        <f aca="false">IF($A188="","",INDEX(Employees!$AL$6:$AL$205,MATCH($A188,Employees!$BH$6:$BH$205,0)))</f>
        <v/>
      </c>
      <c r="P188" s="11" t="str">
        <f aca="false">IF($A188="","",INDEX(Employees!$AM$6:$AM$205,MATCH($A188,Employees!$BH$6:$BH$205,0)))</f>
        <v/>
      </c>
    </row>
    <row r="189" customFormat="false" ht="15" hidden="false" customHeight="false" outlineLevel="0" collapsed="false">
      <c r="A189" s="11" t="str">
        <f aca="false">IF(184&lt;=MAX(Employees!$BH$6:$BH$205),184,"")</f>
        <v/>
      </c>
      <c r="B189" s="11" t="str">
        <f aca="false">IF($A189="","",INDEX(Employees!$A$6:$A$205,MATCH($A189,Employees!$BH$6:$BH$205,0)))</f>
        <v/>
      </c>
      <c r="C189" s="11" t="str">
        <f aca="false">IF($A189="","",INDEX(Employees!$B$6:$B$205,MATCH($A189,Employees!$BH$6:$BH$205,0)))</f>
        <v/>
      </c>
      <c r="D189" s="11" t="str">
        <f aca="false">IF($A189="","",INDEX(Employees!$C$6:$C$205,MATCH($A189,Employees!$BH$6:$BH$205,0)))</f>
        <v/>
      </c>
      <c r="E189" s="11" t="str">
        <f aca="false">IF($A189="","",INDEX(Employees!$D$6:$D$205,MATCH($A189,Employees!$BH$6:$BH$205,0)))</f>
        <v/>
      </c>
      <c r="F189" s="11" t="str">
        <f aca="false">IF($A189="","",INDEX(Employees!$T$6:$T$205,MATCH($A189,Employees!$BH$6:$BH$205,0)))</f>
        <v/>
      </c>
      <c r="G189" s="26" t="str">
        <f aca="false">IF($A189="","",INDEX(Employees!$U$6:$U$205,MATCH($A189,Employees!$BH$6:$BH$205,0)))</f>
        <v/>
      </c>
      <c r="H189" s="28" t="str">
        <f aca="false">IF($A189="","",INDEX(Employees!$E$6:$E$205,MATCH($A189,Employees!$BH$6:$BH$205,0)))</f>
        <v/>
      </c>
      <c r="I189" s="11" t="str">
        <f aca="false">IF($A189="","",INDEX(Employees!$Z$6:$Z$205,MATCH($A189,Employees!$BH$6:$BH$205,0)))</f>
        <v/>
      </c>
      <c r="J189" s="26" t="str">
        <f aca="false">IF($A189="","",INDEX(Employees!$AB$6:$AB$205,MATCH($A189,Employees!$BH$6:$BH$205,0)))</f>
        <v/>
      </c>
      <c r="K189" s="26" t="str">
        <f aca="false">IF($A189="","",INDEX(Employees!$AI$6:$AI$205,MATCH($A189,Employees!$BH$6:$BH$205,0)))</f>
        <v/>
      </c>
      <c r="L189" s="26" t="str">
        <f aca="false">IF($A189="","",INDEX(Employees!$AG$6:$AG$205,MATCH($A189,Employees!$BH$6:$BH$205,0)))</f>
        <v/>
      </c>
      <c r="M189" s="26" t="str">
        <f aca="false">IF($A189="","",INDEX(Employees!$AH$6:$AH$205,MATCH($A189,Employees!$BH$6:$BH$205,0)))</f>
        <v/>
      </c>
      <c r="N189" s="26" t="str">
        <f aca="false">IF($A189="","",INDEX(Employees!$AK$6:$AK$205,MATCH($A189,Employees!$BH$6:$BH$205,0)))</f>
        <v/>
      </c>
      <c r="O189" s="26" t="str">
        <f aca="false">IF($A189="","",INDEX(Employees!$AL$6:$AL$205,MATCH($A189,Employees!$BH$6:$BH$205,0)))</f>
        <v/>
      </c>
      <c r="P189" s="11" t="str">
        <f aca="false">IF($A189="","",INDEX(Employees!$AM$6:$AM$205,MATCH($A189,Employees!$BH$6:$BH$205,0)))</f>
        <v/>
      </c>
    </row>
    <row r="190" customFormat="false" ht="15" hidden="false" customHeight="false" outlineLevel="0" collapsed="false">
      <c r="A190" s="11" t="str">
        <f aca="false">IF(185&lt;=MAX(Employees!$BH$6:$BH$205),185,"")</f>
        <v/>
      </c>
      <c r="B190" s="11" t="str">
        <f aca="false">IF($A190="","",INDEX(Employees!$A$6:$A$205,MATCH($A190,Employees!$BH$6:$BH$205,0)))</f>
        <v/>
      </c>
      <c r="C190" s="11" t="str">
        <f aca="false">IF($A190="","",INDEX(Employees!$B$6:$B$205,MATCH($A190,Employees!$BH$6:$BH$205,0)))</f>
        <v/>
      </c>
      <c r="D190" s="11" t="str">
        <f aca="false">IF($A190="","",INDEX(Employees!$C$6:$C$205,MATCH($A190,Employees!$BH$6:$BH$205,0)))</f>
        <v/>
      </c>
      <c r="E190" s="11" t="str">
        <f aca="false">IF($A190="","",INDEX(Employees!$D$6:$D$205,MATCH($A190,Employees!$BH$6:$BH$205,0)))</f>
        <v/>
      </c>
      <c r="F190" s="11" t="str">
        <f aca="false">IF($A190="","",INDEX(Employees!$T$6:$T$205,MATCH($A190,Employees!$BH$6:$BH$205,0)))</f>
        <v/>
      </c>
      <c r="G190" s="26" t="str">
        <f aca="false">IF($A190="","",INDEX(Employees!$U$6:$U$205,MATCH($A190,Employees!$BH$6:$BH$205,0)))</f>
        <v/>
      </c>
      <c r="H190" s="28" t="str">
        <f aca="false">IF($A190="","",INDEX(Employees!$E$6:$E$205,MATCH($A190,Employees!$BH$6:$BH$205,0)))</f>
        <v/>
      </c>
      <c r="I190" s="11" t="str">
        <f aca="false">IF($A190="","",INDEX(Employees!$Z$6:$Z$205,MATCH($A190,Employees!$BH$6:$BH$205,0)))</f>
        <v/>
      </c>
      <c r="J190" s="26" t="str">
        <f aca="false">IF($A190="","",INDEX(Employees!$AB$6:$AB$205,MATCH($A190,Employees!$BH$6:$BH$205,0)))</f>
        <v/>
      </c>
      <c r="K190" s="26" t="str">
        <f aca="false">IF($A190="","",INDEX(Employees!$AI$6:$AI$205,MATCH($A190,Employees!$BH$6:$BH$205,0)))</f>
        <v/>
      </c>
      <c r="L190" s="26" t="str">
        <f aca="false">IF($A190="","",INDEX(Employees!$AG$6:$AG$205,MATCH($A190,Employees!$BH$6:$BH$205,0)))</f>
        <v/>
      </c>
      <c r="M190" s="26" t="str">
        <f aca="false">IF($A190="","",INDEX(Employees!$AH$6:$AH$205,MATCH($A190,Employees!$BH$6:$BH$205,0)))</f>
        <v/>
      </c>
      <c r="N190" s="26" t="str">
        <f aca="false">IF($A190="","",INDEX(Employees!$AK$6:$AK$205,MATCH($A190,Employees!$BH$6:$BH$205,0)))</f>
        <v/>
      </c>
      <c r="O190" s="26" t="str">
        <f aca="false">IF($A190="","",INDEX(Employees!$AL$6:$AL$205,MATCH($A190,Employees!$BH$6:$BH$205,0)))</f>
        <v/>
      </c>
      <c r="P190" s="11" t="str">
        <f aca="false">IF($A190="","",INDEX(Employees!$AM$6:$AM$205,MATCH($A190,Employees!$BH$6:$BH$205,0)))</f>
        <v/>
      </c>
    </row>
    <row r="191" customFormat="false" ht="15" hidden="false" customHeight="false" outlineLevel="0" collapsed="false">
      <c r="A191" s="11" t="str">
        <f aca="false">IF(186&lt;=MAX(Employees!$BH$6:$BH$205),186,"")</f>
        <v/>
      </c>
      <c r="B191" s="11" t="str">
        <f aca="false">IF($A191="","",INDEX(Employees!$A$6:$A$205,MATCH($A191,Employees!$BH$6:$BH$205,0)))</f>
        <v/>
      </c>
      <c r="C191" s="11" t="str">
        <f aca="false">IF($A191="","",INDEX(Employees!$B$6:$B$205,MATCH($A191,Employees!$BH$6:$BH$205,0)))</f>
        <v/>
      </c>
      <c r="D191" s="11" t="str">
        <f aca="false">IF($A191="","",INDEX(Employees!$C$6:$C$205,MATCH($A191,Employees!$BH$6:$BH$205,0)))</f>
        <v/>
      </c>
      <c r="E191" s="11" t="str">
        <f aca="false">IF($A191="","",INDEX(Employees!$D$6:$D$205,MATCH($A191,Employees!$BH$6:$BH$205,0)))</f>
        <v/>
      </c>
      <c r="F191" s="11" t="str">
        <f aca="false">IF($A191="","",INDEX(Employees!$T$6:$T$205,MATCH($A191,Employees!$BH$6:$BH$205,0)))</f>
        <v/>
      </c>
      <c r="G191" s="26" t="str">
        <f aca="false">IF($A191="","",INDEX(Employees!$U$6:$U$205,MATCH($A191,Employees!$BH$6:$BH$205,0)))</f>
        <v/>
      </c>
      <c r="H191" s="28" t="str">
        <f aca="false">IF($A191="","",INDEX(Employees!$E$6:$E$205,MATCH($A191,Employees!$BH$6:$BH$205,0)))</f>
        <v/>
      </c>
      <c r="I191" s="11" t="str">
        <f aca="false">IF($A191="","",INDEX(Employees!$Z$6:$Z$205,MATCH($A191,Employees!$BH$6:$BH$205,0)))</f>
        <v/>
      </c>
      <c r="J191" s="26" t="str">
        <f aca="false">IF($A191="","",INDEX(Employees!$AB$6:$AB$205,MATCH($A191,Employees!$BH$6:$BH$205,0)))</f>
        <v/>
      </c>
      <c r="K191" s="26" t="str">
        <f aca="false">IF($A191="","",INDEX(Employees!$AI$6:$AI$205,MATCH($A191,Employees!$BH$6:$BH$205,0)))</f>
        <v/>
      </c>
      <c r="L191" s="26" t="str">
        <f aca="false">IF($A191="","",INDEX(Employees!$AG$6:$AG$205,MATCH($A191,Employees!$BH$6:$BH$205,0)))</f>
        <v/>
      </c>
      <c r="M191" s="26" t="str">
        <f aca="false">IF($A191="","",INDEX(Employees!$AH$6:$AH$205,MATCH($A191,Employees!$BH$6:$BH$205,0)))</f>
        <v/>
      </c>
      <c r="N191" s="26" t="str">
        <f aca="false">IF($A191="","",INDEX(Employees!$AK$6:$AK$205,MATCH($A191,Employees!$BH$6:$BH$205,0)))</f>
        <v/>
      </c>
      <c r="O191" s="26" t="str">
        <f aca="false">IF($A191="","",INDEX(Employees!$AL$6:$AL$205,MATCH($A191,Employees!$BH$6:$BH$205,0)))</f>
        <v/>
      </c>
      <c r="P191" s="11" t="str">
        <f aca="false">IF($A191="","",INDEX(Employees!$AM$6:$AM$205,MATCH($A191,Employees!$BH$6:$BH$205,0)))</f>
        <v/>
      </c>
    </row>
    <row r="192" customFormat="false" ht="15" hidden="false" customHeight="false" outlineLevel="0" collapsed="false">
      <c r="A192" s="11" t="str">
        <f aca="false">IF(187&lt;=MAX(Employees!$BH$6:$BH$205),187,"")</f>
        <v/>
      </c>
      <c r="B192" s="11" t="str">
        <f aca="false">IF($A192="","",INDEX(Employees!$A$6:$A$205,MATCH($A192,Employees!$BH$6:$BH$205,0)))</f>
        <v/>
      </c>
      <c r="C192" s="11" t="str">
        <f aca="false">IF($A192="","",INDEX(Employees!$B$6:$B$205,MATCH($A192,Employees!$BH$6:$BH$205,0)))</f>
        <v/>
      </c>
      <c r="D192" s="11" t="str">
        <f aca="false">IF($A192="","",INDEX(Employees!$C$6:$C$205,MATCH($A192,Employees!$BH$6:$BH$205,0)))</f>
        <v/>
      </c>
      <c r="E192" s="11" t="str">
        <f aca="false">IF($A192="","",INDEX(Employees!$D$6:$D$205,MATCH($A192,Employees!$BH$6:$BH$205,0)))</f>
        <v/>
      </c>
      <c r="F192" s="11" t="str">
        <f aca="false">IF($A192="","",INDEX(Employees!$T$6:$T$205,MATCH($A192,Employees!$BH$6:$BH$205,0)))</f>
        <v/>
      </c>
      <c r="G192" s="26" t="str">
        <f aca="false">IF($A192="","",INDEX(Employees!$U$6:$U$205,MATCH($A192,Employees!$BH$6:$BH$205,0)))</f>
        <v/>
      </c>
      <c r="H192" s="28" t="str">
        <f aca="false">IF($A192="","",INDEX(Employees!$E$6:$E$205,MATCH($A192,Employees!$BH$6:$BH$205,0)))</f>
        <v/>
      </c>
      <c r="I192" s="11" t="str">
        <f aca="false">IF($A192="","",INDEX(Employees!$Z$6:$Z$205,MATCH($A192,Employees!$BH$6:$BH$205,0)))</f>
        <v/>
      </c>
      <c r="J192" s="26" t="str">
        <f aca="false">IF($A192="","",INDEX(Employees!$AB$6:$AB$205,MATCH($A192,Employees!$BH$6:$BH$205,0)))</f>
        <v/>
      </c>
      <c r="K192" s="26" t="str">
        <f aca="false">IF($A192="","",INDEX(Employees!$AI$6:$AI$205,MATCH($A192,Employees!$BH$6:$BH$205,0)))</f>
        <v/>
      </c>
      <c r="L192" s="26" t="str">
        <f aca="false">IF($A192="","",INDEX(Employees!$AG$6:$AG$205,MATCH($A192,Employees!$BH$6:$BH$205,0)))</f>
        <v/>
      </c>
      <c r="M192" s="26" t="str">
        <f aca="false">IF($A192="","",INDEX(Employees!$AH$6:$AH$205,MATCH($A192,Employees!$BH$6:$BH$205,0)))</f>
        <v/>
      </c>
      <c r="N192" s="26" t="str">
        <f aca="false">IF($A192="","",INDEX(Employees!$AK$6:$AK$205,MATCH($A192,Employees!$BH$6:$BH$205,0)))</f>
        <v/>
      </c>
      <c r="O192" s="26" t="str">
        <f aca="false">IF($A192="","",INDEX(Employees!$AL$6:$AL$205,MATCH($A192,Employees!$BH$6:$BH$205,0)))</f>
        <v/>
      </c>
      <c r="P192" s="11" t="str">
        <f aca="false">IF($A192="","",INDEX(Employees!$AM$6:$AM$205,MATCH($A192,Employees!$BH$6:$BH$205,0)))</f>
        <v/>
      </c>
    </row>
    <row r="193" customFormat="false" ht="15" hidden="false" customHeight="false" outlineLevel="0" collapsed="false">
      <c r="A193" s="11" t="str">
        <f aca="false">IF(188&lt;=MAX(Employees!$BH$6:$BH$205),188,"")</f>
        <v/>
      </c>
      <c r="B193" s="11" t="str">
        <f aca="false">IF($A193="","",INDEX(Employees!$A$6:$A$205,MATCH($A193,Employees!$BH$6:$BH$205,0)))</f>
        <v/>
      </c>
      <c r="C193" s="11" t="str">
        <f aca="false">IF($A193="","",INDEX(Employees!$B$6:$B$205,MATCH($A193,Employees!$BH$6:$BH$205,0)))</f>
        <v/>
      </c>
      <c r="D193" s="11" t="str">
        <f aca="false">IF($A193="","",INDEX(Employees!$C$6:$C$205,MATCH($A193,Employees!$BH$6:$BH$205,0)))</f>
        <v/>
      </c>
      <c r="E193" s="11" t="str">
        <f aca="false">IF($A193="","",INDEX(Employees!$D$6:$D$205,MATCH($A193,Employees!$BH$6:$BH$205,0)))</f>
        <v/>
      </c>
      <c r="F193" s="11" t="str">
        <f aca="false">IF($A193="","",INDEX(Employees!$T$6:$T$205,MATCH($A193,Employees!$BH$6:$BH$205,0)))</f>
        <v/>
      </c>
      <c r="G193" s="26" t="str">
        <f aca="false">IF($A193="","",INDEX(Employees!$U$6:$U$205,MATCH($A193,Employees!$BH$6:$BH$205,0)))</f>
        <v/>
      </c>
      <c r="H193" s="28" t="str">
        <f aca="false">IF($A193="","",INDEX(Employees!$E$6:$E$205,MATCH($A193,Employees!$BH$6:$BH$205,0)))</f>
        <v/>
      </c>
      <c r="I193" s="11" t="str">
        <f aca="false">IF($A193="","",INDEX(Employees!$Z$6:$Z$205,MATCH($A193,Employees!$BH$6:$BH$205,0)))</f>
        <v/>
      </c>
      <c r="J193" s="26" t="str">
        <f aca="false">IF($A193="","",INDEX(Employees!$AB$6:$AB$205,MATCH($A193,Employees!$BH$6:$BH$205,0)))</f>
        <v/>
      </c>
      <c r="K193" s="26" t="str">
        <f aca="false">IF($A193="","",INDEX(Employees!$AI$6:$AI$205,MATCH($A193,Employees!$BH$6:$BH$205,0)))</f>
        <v/>
      </c>
      <c r="L193" s="26" t="str">
        <f aca="false">IF($A193="","",INDEX(Employees!$AG$6:$AG$205,MATCH($A193,Employees!$BH$6:$BH$205,0)))</f>
        <v/>
      </c>
      <c r="M193" s="26" t="str">
        <f aca="false">IF($A193="","",INDEX(Employees!$AH$6:$AH$205,MATCH($A193,Employees!$BH$6:$BH$205,0)))</f>
        <v/>
      </c>
      <c r="N193" s="26" t="str">
        <f aca="false">IF($A193="","",INDEX(Employees!$AK$6:$AK$205,MATCH($A193,Employees!$BH$6:$BH$205,0)))</f>
        <v/>
      </c>
      <c r="O193" s="26" t="str">
        <f aca="false">IF($A193="","",INDEX(Employees!$AL$6:$AL$205,MATCH($A193,Employees!$BH$6:$BH$205,0)))</f>
        <v/>
      </c>
      <c r="P193" s="11" t="str">
        <f aca="false">IF($A193="","",INDEX(Employees!$AM$6:$AM$205,MATCH($A193,Employees!$BH$6:$BH$205,0)))</f>
        <v/>
      </c>
    </row>
    <row r="194" customFormat="false" ht="15" hidden="false" customHeight="false" outlineLevel="0" collapsed="false">
      <c r="A194" s="11" t="str">
        <f aca="false">IF(189&lt;=MAX(Employees!$BH$6:$BH$205),189,"")</f>
        <v/>
      </c>
      <c r="B194" s="11" t="str">
        <f aca="false">IF($A194="","",INDEX(Employees!$A$6:$A$205,MATCH($A194,Employees!$BH$6:$BH$205,0)))</f>
        <v/>
      </c>
      <c r="C194" s="11" t="str">
        <f aca="false">IF($A194="","",INDEX(Employees!$B$6:$B$205,MATCH($A194,Employees!$BH$6:$BH$205,0)))</f>
        <v/>
      </c>
      <c r="D194" s="11" t="str">
        <f aca="false">IF($A194="","",INDEX(Employees!$C$6:$C$205,MATCH($A194,Employees!$BH$6:$BH$205,0)))</f>
        <v/>
      </c>
      <c r="E194" s="11" t="str">
        <f aca="false">IF($A194="","",INDEX(Employees!$D$6:$D$205,MATCH($A194,Employees!$BH$6:$BH$205,0)))</f>
        <v/>
      </c>
      <c r="F194" s="11" t="str">
        <f aca="false">IF($A194="","",INDEX(Employees!$T$6:$T$205,MATCH($A194,Employees!$BH$6:$BH$205,0)))</f>
        <v/>
      </c>
      <c r="G194" s="26" t="str">
        <f aca="false">IF($A194="","",INDEX(Employees!$U$6:$U$205,MATCH($A194,Employees!$BH$6:$BH$205,0)))</f>
        <v/>
      </c>
      <c r="H194" s="28" t="str">
        <f aca="false">IF($A194="","",INDEX(Employees!$E$6:$E$205,MATCH($A194,Employees!$BH$6:$BH$205,0)))</f>
        <v/>
      </c>
      <c r="I194" s="11" t="str">
        <f aca="false">IF($A194="","",INDEX(Employees!$Z$6:$Z$205,MATCH($A194,Employees!$BH$6:$BH$205,0)))</f>
        <v/>
      </c>
      <c r="J194" s="26" t="str">
        <f aca="false">IF($A194="","",INDEX(Employees!$AB$6:$AB$205,MATCH($A194,Employees!$BH$6:$BH$205,0)))</f>
        <v/>
      </c>
      <c r="K194" s="26" t="str">
        <f aca="false">IF($A194="","",INDEX(Employees!$AI$6:$AI$205,MATCH($A194,Employees!$BH$6:$BH$205,0)))</f>
        <v/>
      </c>
      <c r="L194" s="26" t="str">
        <f aca="false">IF($A194="","",INDEX(Employees!$AG$6:$AG$205,MATCH($A194,Employees!$BH$6:$BH$205,0)))</f>
        <v/>
      </c>
      <c r="M194" s="26" t="str">
        <f aca="false">IF($A194="","",INDEX(Employees!$AH$6:$AH$205,MATCH($A194,Employees!$BH$6:$BH$205,0)))</f>
        <v/>
      </c>
      <c r="N194" s="26" t="str">
        <f aca="false">IF($A194="","",INDEX(Employees!$AK$6:$AK$205,MATCH($A194,Employees!$BH$6:$BH$205,0)))</f>
        <v/>
      </c>
      <c r="O194" s="26" t="str">
        <f aca="false">IF($A194="","",INDEX(Employees!$AL$6:$AL$205,MATCH($A194,Employees!$BH$6:$BH$205,0)))</f>
        <v/>
      </c>
      <c r="P194" s="11" t="str">
        <f aca="false">IF($A194="","",INDEX(Employees!$AM$6:$AM$205,MATCH($A194,Employees!$BH$6:$BH$205,0)))</f>
        <v/>
      </c>
    </row>
    <row r="195" customFormat="false" ht="15" hidden="false" customHeight="false" outlineLevel="0" collapsed="false">
      <c r="A195" s="11" t="str">
        <f aca="false">IF(190&lt;=MAX(Employees!$BH$6:$BH$205),190,"")</f>
        <v/>
      </c>
      <c r="B195" s="11" t="str">
        <f aca="false">IF($A195="","",INDEX(Employees!$A$6:$A$205,MATCH($A195,Employees!$BH$6:$BH$205,0)))</f>
        <v/>
      </c>
      <c r="C195" s="11" t="str">
        <f aca="false">IF($A195="","",INDEX(Employees!$B$6:$B$205,MATCH($A195,Employees!$BH$6:$BH$205,0)))</f>
        <v/>
      </c>
      <c r="D195" s="11" t="str">
        <f aca="false">IF($A195="","",INDEX(Employees!$C$6:$C$205,MATCH($A195,Employees!$BH$6:$BH$205,0)))</f>
        <v/>
      </c>
      <c r="E195" s="11" t="str">
        <f aca="false">IF($A195="","",INDEX(Employees!$D$6:$D$205,MATCH($A195,Employees!$BH$6:$BH$205,0)))</f>
        <v/>
      </c>
      <c r="F195" s="11" t="str">
        <f aca="false">IF($A195="","",INDEX(Employees!$T$6:$T$205,MATCH($A195,Employees!$BH$6:$BH$205,0)))</f>
        <v/>
      </c>
      <c r="G195" s="26" t="str">
        <f aca="false">IF($A195="","",INDEX(Employees!$U$6:$U$205,MATCH($A195,Employees!$BH$6:$BH$205,0)))</f>
        <v/>
      </c>
      <c r="H195" s="28" t="str">
        <f aca="false">IF($A195="","",INDEX(Employees!$E$6:$E$205,MATCH($A195,Employees!$BH$6:$BH$205,0)))</f>
        <v/>
      </c>
      <c r="I195" s="11" t="str">
        <f aca="false">IF($A195="","",INDEX(Employees!$Z$6:$Z$205,MATCH($A195,Employees!$BH$6:$BH$205,0)))</f>
        <v/>
      </c>
      <c r="J195" s="26" t="str">
        <f aca="false">IF($A195="","",INDEX(Employees!$AB$6:$AB$205,MATCH($A195,Employees!$BH$6:$BH$205,0)))</f>
        <v/>
      </c>
      <c r="K195" s="26" t="str">
        <f aca="false">IF($A195="","",INDEX(Employees!$AI$6:$AI$205,MATCH($A195,Employees!$BH$6:$BH$205,0)))</f>
        <v/>
      </c>
      <c r="L195" s="26" t="str">
        <f aca="false">IF($A195="","",INDEX(Employees!$AG$6:$AG$205,MATCH($A195,Employees!$BH$6:$BH$205,0)))</f>
        <v/>
      </c>
      <c r="M195" s="26" t="str">
        <f aca="false">IF($A195="","",INDEX(Employees!$AH$6:$AH$205,MATCH($A195,Employees!$BH$6:$BH$205,0)))</f>
        <v/>
      </c>
      <c r="N195" s="26" t="str">
        <f aca="false">IF($A195="","",INDEX(Employees!$AK$6:$AK$205,MATCH($A195,Employees!$BH$6:$BH$205,0)))</f>
        <v/>
      </c>
      <c r="O195" s="26" t="str">
        <f aca="false">IF($A195="","",INDEX(Employees!$AL$6:$AL$205,MATCH($A195,Employees!$BH$6:$BH$205,0)))</f>
        <v/>
      </c>
      <c r="P195" s="11" t="str">
        <f aca="false">IF($A195="","",INDEX(Employees!$AM$6:$AM$205,MATCH($A195,Employees!$BH$6:$BH$205,0)))</f>
        <v/>
      </c>
    </row>
    <row r="196" customFormat="false" ht="15" hidden="false" customHeight="false" outlineLevel="0" collapsed="false">
      <c r="A196" s="11" t="str">
        <f aca="false">IF(191&lt;=MAX(Employees!$BH$6:$BH$205),191,"")</f>
        <v/>
      </c>
      <c r="B196" s="11" t="str">
        <f aca="false">IF($A196="","",INDEX(Employees!$A$6:$A$205,MATCH($A196,Employees!$BH$6:$BH$205,0)))</f>
        <v/>
      </c>
      <c r="C196" s="11" t="str">
        <f aca="false">IF($A196="","",INDEX(Employees!$B$6:$B$205,MATCH($A196,Employees!$BH$6:$BH$205,0)))</f>
        <v/>
      </c>
      <c r="D196" s="11" t="str">
        <f aca="false">IF($A196="","",INDEX(Employees!$C$6:$C$205,MATCH($A196,Employees!$BH$6:$BH$205,0)))</f>
        <v/>
      </c>
      <c r="E196" s="11" t="str">
        <f aca="false">IF($A196="","",INDEX(Employees!$D$6:$D$205,MATCH($A196,Employees!$BH$6:$BH$205,0)))</f>
        <v/>
      </c>
      <c r="F196" s="11" t="str">
        <f aca="false">IF($A196="","",INDEX(Employees!$T$6:$T$205,MATCH($A196,Employees!$BH$6:$BH$205,0)))</f>
        <v/>
      </c>
      <c r="G196" s="26" t="str">
        <f aca="false">IF($A196="","",INDEX(Employees!$U$6:$U$205,MATCH($A196,Employees!$BH$6:$BH$205,0)))</f>
        <v/>
      </c>
      <c r="H196" s="28" t="str">
        <f aca="false">IF($A196="","",INDEX(Employees!$E$6:$E$205,MATCH($A196,Employees!$BH$6:$BH$205,0)))</f>
        <v/>
      </c>
      <c r="I196" s="11" t="str">
        <f aca="false">IF($A196="","",INDEX(Employees!$Z$6:$Z$205,MATCH($A196,Employees!$BH$6:$BH$205,0)))</f>
        <v/>
      </c>
      <c r="J196" s="26" t="str">
        <f aca="false">IF($A196="","",INDEX(Employees!$AB$6:$AB$205,MATCH($A196,Employees!$BH$6:$BH$205,0)))</f>
        <v/>
      </c>
      <c r="K196" s="26" t="str">
        <f aca="false">IF($A196="","",INDEX(Employees!$AI$6:$AI$205,MATCH($A196,Employees!$BH$6:$BH$205,0)))</f>
        <v/>
      </c>
      <c r="L196" s="26" t="str">
        <f aca="false">IF($A196="","",INDEX(Employees!$AG$6:$AG$205,MATCH($A196,Employees!$BH$6:$BH$205,0)))</f>
        <v/>
      </c>
      <c r="M196" s="26" t="str">
        <f aca="false">IF($A196="","",INDEX(Employees!$AH$6:$AH$205,MATCH($A196,Employees!$BH$6:$BH$205,0)))</f>
        <v/>
      </c>
      <c r="N196" s="26" t="str">
        <f aca="false">IF($A196="","",INDEX(Employees!$AK$6:$AK$205,MATCH($A196,Employees!$BH$6:$BH$205,0)))</f>
        <v/>
      </c>
      <c r="O196" s="26" t="str">
        <f aca="false">IF($A196="","",INDEX(Employees!$AL$6:$AL$205,MATCH($A196,Employees!$BH$6:$BH$205,0)))</f>
        <v/>
      </c>
      <c r="P196" s="11" t="str">
        <f aca="false">IF($A196="","",INDEX(Employees!$AM$6:$AM$205,MATCH($A196,Employees!$BH$6:$BH$205,0)))</f>
        <v/>
      </c>
    </row>
    <row r="197" customFormat="false" ht="15" hidden="false" customHeight="false" outlineLevel="0" collapsed="false">
      <c r="A197" s="11" t="str">
        <f aca="false">IF(192&lt;=MAX(Employees!$BH$6:$BH$205),192,"")</f>
        <v/>
      </c>
      <c r="B197" s="11" t="str">
        <f aca="false">IF($A197="","",INDEX(Employees!$A$6:$A$205,MATCH($A197,Employees!$BH$6:$BH$205,0)))</f>
        <v/>
      </c>
      <c r="C197" s="11" t="str">
        <f aca="false">IF($A197="","",INDEX(Employees!$B$6:$B$205,MATCH($A197,Employees!$BH$6:$BH$205,0)))</f>
        <v/>
      </c>
      <c r="D197" s="11" t="str">
        <f aca="false">IF($A197="","",INDEX(Employees!$C$6:$C$205,MATCH($A197,Employees!$BH$6:$BH$205,0)))</f>
        <v/>
      </c>
      <c r="E197" s="11" t="str">
        <f aca="false">IF($A197="","",INDEX(Employees!$D$6:$D$205,MATCH($A197,Employees!$BH$6:$BH$205,0)))</f>
        <v/>
      </c>
      <c r="F197" s="11" t="str">
        <f aca="false">IF($A197="","",INDEX(Employees!$T$6:$T$205,MATCH($A197,Employees!$BH$6:$BH$205,0)))</f>
        <v/>
      </c>
      <c r="G197" s="26" t="str">
        <f aca="false">IF($A197="","",INDEX(Employees!$U$6:$U$205,MATCH($A197,Employees!$BH$6:$BH$205,0)))</f>
        <v/>
      </c>
      <c r="H197" s="28" t="str">
        <f aca="false">IF($A197="","",INDEX(Employees!$E$6:$E$205,MATCH($A197,Employees!$BH$6:$BH$205,0)))</f>
        <v/>
      </c>
      <c r="I197" s="11" t="str">
        <f aca="false">IF($A197="","",INDEX(Employees!$Z$6:$Z$205,MATCH($A197,Employees!$BH$6:$BH$205,0)))</f>
        <v/>
      </c>
      <c r="J197" s="26" t="str">
        <f aca="false">IF($A197="","",INDEX(Employees!$AB$6:$AB$205,MATCH($A197,Employees!$BH$6:$BH$205,0)))</f>
        <v/>
      </c>
      <c r="K197" s="26" t="str">
        <f aca="false">IF($A197="","",INDEX(Employees!$AI$6:$AI$205,MATCH($A197,Employees!$BH$6:$BH$205,0)))</f>
        <v/>
      </c>
      <c r="L197" s="26" t="str">
        <f aca="false">IF($A197="","",INDEX(Employees!$AG$6:$AG$205,MATCH($A197,Employees!$BH$6:$BH$205,0)))</f>
        <v/>
      </c>
      <c r="M197" s="26" t="str">
        <f aca="false">IF($A197="","",INDEX(Employees!$AH$6:$AH$205,MATCH($A197,Employees!$BH$6:$BH$205,0)))</f>
        <v/>
      </c>
      <c r="N197" s="26" t="str">
        <f aca="false">IF($A197="","",INDEX(Employees!$AK$6:$AK$205,MATCH($A197,Employees!$BH$6:$BH$205,0)))</f>
        <v/>
      </c>
      <c r="O197" s="26" t="str">
        <f aca="false">IF($A197="","",INDEX(Employees!$AL$6:$AL$205,MATCH($A197,Employees!$BH$6:$BH$205,0)))</f>
        <v/>
      </c>
      <c r="P197" s="11" t="str">
        <f aca="false">IF($A197="","",INDEX(Employees!$AM$6:$AM$205,MATCH($A197,Employees!$BH$6:$BH$205,0)))</f>
        <v/>
      </c>
    </row>
    <row r="198" customFormat="false" ht="15" hidden="false" customHeight="false" outlineLevel="0" collapsed="false">
      <c r="A198" s="11" t="str">
        <f aca="false">IF(193&lt;=MAX(Employees!$BH$6:$BH$205),193,"")</f>
        <v/>
      </c>
      <c r="B198" s="11" t="str">
        <f aca="false">IF($A198="","",INDEX(Employees!$A$6:$A$205,MATCH($A198,Employees!$BH$6:$BH$205,0)))</f>
        <v/>
      </c>
      <c r="C198" s="11" t="str">
        <f aca="false">IF($A198="","",INDEX(Employees!$B$6:$B$205,MATCH($A198,Employees!$BH$6:$BH$205,0)))</f>
        <v/>
      </c>
      <c r="D198" s="11" t="str">
        <f aca="false">IF($A198="","",INDEX(Employees!$C$6:$C$205,MATCH($A198,Employees!$BH$6:$BH$205,0)))</f>
        <v/>
      </c>
      <c r="E198" s="11" t="str">
        <f aca="false">IF($A198="","",INDEX(Employees!$D$6:$D$205,MATCH($A198,Employees!$BH$6:$BH$205,0)))</f>
        <v/>
      </c>
      <c r="F198" s="11" t="str">
        <f aca="false">IF($A198="","",INDEX(Employees!$T$6:$T$205,MATCH($A198,Employees!$BH$6:$BH$205,0)))</f>
        <v/>
      </c>
      <c r="G198" s="26" t="str">
        <f aca="false">IF($A198="","",INDEX(Employees!$U$6:$U$205,MATCH($A198,Employees!$BH$6:$BH$205,0)))</f>
        <v/>
      </c>
      <c r="H198" s="28" t="str">
        <f aca="false">IF($A198="","",INDEX(Employees!$E$6:$E$205,MATCH($A198,Employees!$BH$6:$BH$205,0)))</f>
        <v/>
      </c>
      <c r="I198" s="11" t="str">
        <f aca="false">IF($A198="","",INDEX(Employees!$Z$6:$Z$205,MATCH($A198,Employees!$BH$6:$BH$205,0)))</f>
        <v/>
      </c>
      <c r="J198" s="26" t="str">
        <f aca="false">IF($A198="","",INDEX(Employees!$AB$6:$AB$205,MATCH($A198,Employees!$BH$6:$BH$205,0)))</f>
        <v/>
      </c>
      <c r="K198" s="26" t="str">
        <f aca="false">IF($A198="","",INDEX(Employees!$AI$6:$AI$205,MATCH($A198,Employees!$BH$6:$BH$205,0)))</f>
        <v/>
      </c>
      <c r="L198" s="26" t="str">
        <f aca="false">IF($A198="","",INDEX(Employees!$AG$6:$AG$205,MATCH($A198,Employees!$BH$6:$BH$205,0)))</f>
        <v/>
      </c>
      <c r="M198" s="26" t="str">
        <f aca="false">IF($A198="","",INDEX(Employees!$AH$6:$AH$205,MATCH($A198,Employees!$BH$6:$BH$205,0)))</f>
        <v/>
      </c>
      <c r="N198" s="26" t="str">
        <f aca="false">IF($A198="","",INDEX(Employees!$AK$6:$AK$205,MATCH($A198,Employees!$BH$6:$BH$205,0)))</f>
        <v/>
      </c>
      <c r="O198" s="26" t="str">
        <f aca="false">IF($A198="","",INDEX(Employees!$AL$6:$AL$205,MATCH($A198,Employees!$BH$6:$BH$205,0)))</f>
        <v/>
      </c>
      <c r="P198" s="11" t="str">
        <f aca="false">IF($A198="","",INDEX(Employees!$AM$6:$AM$205,MATCH($A198,Employees!$BH$6:$BH$205,0)))</f>
        <v/>
      </c>
    </row>
    <row r="199" customFormat="false" ht="15" hidden="false" customHeight="false" outlineLevel="0" collapsed="false">
      <c r="A199" s="11" t="str">
        <f aca="false">IF(194&lt;=MAX(Employees!$BH$6:$BH$205),194,"")</f>
        <v/>
      </c>
      <c r="B199" s="11" t="str">
        <f aca="false">IF($A199="","",INDEX(Employees!$A$6:$A$205,MATCH($A199,Employees!$BH$6:$BH$205,0)))</f>
        <v/>
      </c>
      <c r="C199" s="11" t="str">
        <f aca="false">IF($A199="","",INDEX(Employees!$B$6:$B$205,MATCH($A199,Employees!$BH$6:$BH$205,0)))</f>
        <v/>
      </c>
      <c r="D199" s="11" t="str">
        <f aca="false">IF($A199="","",INDEX(Employees!$C$6:$C$205,MATCH($A199,Employees!$BH$6:$BH$205,0)))</f>
        <v/>
      </c>
      <c r="E199" s="11" t="str">
        <f aca="false">IF($A199="","",INDEX(Employees!$D$6:$D$205,MATCH($A199,Employees!$BH$6:$BH$205,0)))</f>
        <v/>
      </c>
      <c r="F199" s="11" t="str">
        <f aca="false">IF($A199="","",INDEX(Employees!$T$6:$T$205,MATCH($A199,Employees!$BH$6:$BH$205,0)))</f>
        <v/>
      </c>
      <c r="G199" s="26" t="str">
        <f aca="false">IF($A199="","",INDEX(Employees!$U$6:$U$205,MATCH($A199,Employees!$BH$6:$BH$205,0)))</f>
        <v/>
      </c>
      <c r="H199" s="28" t="str">
        <f aca="false">IF($A199="","",INDEX(Employees!$E$6:$E$205,MATCH($A199,Employees!$BH$6:$BH$205,0)))</f>
        <v/>
      </c>
      <c r="I199" s="11" t="str">
        <f aca="false">IF($A199="","",INDEX(Employees!$Z$6:$Z$205,MATCH($A199,Employees!$BH$6:$BH$205,0)))</f>
        <v/>
      </c>
      <c r="J199" s="26" t="str">
        <f aca="false">IF($A199="","",INDEX(Employees!$AB$6:$AB$205,MATCH($A199,Employees!$BH$6:$BH$205,0)))</f>
        <v/>
      </c>
      <c r="K199" s="26" t="str">
        <f aca="false">IF($A199="","",INDEX(Employees!$AI$6:$AI$205,MATCH($A199,Employees!$BH$6:$BH$205,0)))</f>
        <v/>
      </c>
      <c r="L199" s="26" t="str">
        <f aca="false">IF($A199="","",INDEX(Employees!$AG$6:$AG$205,MATCH($A199,Employees!$BH$6:$BH$205,0)))</f>
        <v/>
      </c>
      <c r="M199" s="26" t="str">
        <f aca="false">IF($A199="","",INDEX(Employees!$AH$6:$AH$205,MATCH($A199,Employees!$BH$6:$BH$205,0)))</f>
        <v/>
      </c>
      <c r="N199" s="26" t="str">
        <f aca="false">IF($A199="","",INDEX(Employees!$AK$6:$AK$205,MATCH($A199,Employees!$BH$6:$BH$205,0)))</f>
        <v/>
      </c>
      <c r="O199" s="26" t="str">
        <f aca="false">IF($A199="","",INDEX(Employees!$AL$6:$AL$205,MATCH($A199,Employees!$BH$6:$BH$205,0)))</f>
        <v/>
      </c>
      <c r="P199" s="11" t="str">
        <f aca="false">IF($A199="","",INDEX(Employees!$AM$6:$AM$205,MATCH($A199,Employees!$BH$6:$BH$205,0)))</f>
        <v/>
      </c>
    </row>
    <row r="200" customFormat="false" ht="15" hidden="false" customHeight="false" outlineLevel="0" collapsed="false">
      <c r="A200" s="11" t="str">
        <f aca="false">IF(195&lt;=MAX(Employees!$BH$6:$BH$205),195,"")</f>
        <v/>
      </c>
      <c r="B200" s="11" t="str">
        <f aca="false">IF($A200="","",INDEX(Employees!$A$6:$A$205,MATCH($A200,Employees!$BH$6:$BH$205,0)))</f>
        <v/>
      </c>
      <c r="C200" s="11" t="str">
        <f aca="false">IF($A200="","",INDEX(Employees!$B$6:$B$205,MATCH($A200,Employees!$BH$6:$BH$205,0)))</f>
        <v/>
      </c>
      <c r="D200" s="11" t="str">
        <f aca="false">IF($A200="","",INDEX(Employees!$C$6:$C$205,MATCH($A200,Employees!$BH$6:$BH$205,0)))</f>
        <v/>
      </c>
      <c r="E200" s="11" t="str">
        <f aca="false">IF($A200="","",INDEX(Employees!$D$6:$D$205,MATCH($A200,Employees!$BH$6:$BH$205,0)))</f>
        <v/>
      </c>
      <c r="F200" s="11" t="str">
        <f aca="false">IF($A200="","",INDEX(Employees!$T$6:$T$205,MATCH($A200,Employees!$BH$6:$BH$205,0)))</f>
        <v/>
      </c>
      <c r="G200" s="26" t="str">
        <f aca="false">IF($A200="","",INDEX(Employees!$U$6:$U$205,MATCH($A200,Employees!$BH$6:$BH$205,0)))</f>
        <v/>
      </c>
      <c r="H200" s="28" t="str">
        <f aca="false">IF($A200="","",INDEX(Employees!$E$6:$E$205,MATCH($A200,Employees!$BH$6:$BH$205,0)))</f>
        <v/>
      </c>
      <c r="I200" s="11" t="str">
        <f aca="false">IF($A200="","",INDEX(Employees!$Z$6:$Z$205,MATCH($A200,Employees!$BH$6:$BH$205,0)))</f>
        <v/>
      </c>
      <c r="J200" s="26" t="str">
        <f aca="false">IF($A200="","",INDEX(Employees!$AB$6:$AB$205,MATCH($A200,Employees!$BH$6:$BH$205,0)))</f>
        <v/>
      </c>
      <c r="K200" s="26" t="str">
        <f aca="false">IF($A200="","",INDEX(Employees!$AI$6:$AI$205,MATCH($A200,Employees!$BH$6:$BH$205,0)))</f>
        <v/>
      </c>
      <c r="L200" s="26" t="str">
        <f aca="false">IF($A200="","",INDEX(Employees!$AG$6:$AG$205,MATCH($A200,Employees!$BH$6:$BH$205,0)))</f>
        <v/>
      </c>
      <c r="M200" s="26" t="str">
        <f aca="false">IF($A200="","",INDEX(Employees!$AH$6:$AH$205,MATCH($A200,Employees!$BH$6:$BH$205,0)))</f>
        <v/>
      </c>
      <c r="N200" s="26" t="str">
        <f aca="false">IF($A200="","",INDEX(Employees!$AK$6:$AK$205,MATCH($A200,Employees!$BH$6:$BH$205,0)))</f>
        <v/>
      </c>
      <c r="O200" s="26" t="str">
        <f aca="false">IF($A200="","",INDEX(Employees!$AL$6:$AL$205,MATCH($A200,Employees!$BH$6:$BH$205,0)))</f>
        <v/>
      </c>
      <c r="P200" s="11" t="str">
        <f aca="false">IF($A200="","",INDEX(Employees!$AM$6:$AM$205,MATCH($A200,Employees!$BH$6:$BH$205,0)))</f>
        <v/>
      </c>
    </row>
    <row r="201" customFormat="false" ht="15" hidden="false" customHeight="false" outlineLevel="0" collapsed="false">
      <c r="A201" s="11" t="str">
        <f aca="false">IF(196&lt;=MAX(Employees!$BH$6:$BH$205),196,"")</f>
        <v/>
      </c>
      <c r="B201" s="11" t="str">
        <f aca="false">IF($A201="","",INDEX(Employees!$A$6:$A$205,MATCH($A201,Employees!$BH$6:$BH$205,0)))</f>
        <v/>
      </c>
      <c r="C201" s="11" t="str">
        <f aca="false">IF($A201="","",INDEX(Employees!$B$6:$B$205,MATCH($A201,Employees!$BH$6:$BH$205,0)))</f>
        <v/>
      </c>
      <c r="D201" s="11" t="str">
        <f aca="false">IF($A201="","",INDEX(Employees!$C$6:$C$205,MATCH($A201,Employees!$BH$6:$BH$205,0)))</f>
        <v/>
      </c>
      <c r="E201" s="11" t="str">
        <f aca="false">IF($A201="","",INDEX(Employees!$D$6:$D$205,MATCH($A201,Employees!$BH$6:$BH$205,0)))</f>
        <v/>
      </c>
      <c r="F201" s="11" t="str">
        <f aca="false">IF($A201="","",INDEX(Employees!$T$6:$T$205,MATCH($A201,Employees!$BH$6:$BH$205,0)))</f>
        <v/>
      </c>
      <c r="G201" s="26" t="str">
        <f aca="false">IF($A201="","",INDEX(Employees!$U$6:$U$205,MATCH($A201,Employees!$BH$6:$BH$205,0)))</f>
        <v/>
      </c>
      <c r="H201" s="28" t="str">
        <f aca="false">IF($A201="","",INDEX(Employees!$E$6:$E$205,MATCH($A201,Employees!$BH$6:$BH$205,0)))</f>
        <v/>
      </c>
      <c r="I201" s="11" t="str">
        <f aca="false">IF($A201="","",INDEX(Employees!$Z$6:$Z$205,MATCH($A201,Employees!$BH$6:$BH$205,0)))</f>
        <v/>
      </c>
      <c r="J201" s="26" t="str">
        <f aca="false">IF($A201="","",INDEX(Employees!$AB$6:$AB$205,MATCH($A201,Employees!$BH$6:$BH$205,0)))</f>
        <v/>
      </c>
      <c r="K201" s="26" t="str">
        <f aca="false">IF($A201="","",INDEX(Employees!$AI$6:$AI$205,MATCH($A201,Employees!$BH$6:$BH$205,0)))</f>
        <v/>
      </c>
      <c r="L201" s="26" t="str">
        <f aca="false">IF($A201="","",INDEX(Employees!$AG$6:$AG$205,MATCH($A201,Employees!$BH$6:$BH$205,0)))</f>
        <v/>
      </c>
      <c r="M201" s="26" t="str">
        <f aca="false">IF($A201="","",INDEX(Employees!$AH$6:$AH$205,MATCH($A201,Employees!$BH$6:$BH$205,0)))</f>
        <v/>
      </c>
      <c r="N201" s="26" t="str">
        <f aca="false">IF($A201="","",INDEX(Employees!$AK$6:$AK$205,MATCH($A201,Employees!$BH$6:$BH$205,0)))</f>
        <v/>
      </c>
      <c r="O201" s="26" t="str">
        <f aca="false">IF($A201="","",INDEX(Employees!$AL$6:$AL$205,MATCH($A201,Employees!$BH$6:$BH$205,0)))</f>
        <v/>
      </c>
      <c r="P201" s="11" t="str">
        <f aca="false">IF($A201="","",INDEX(Employees!$AM$6:$AM$205,MATCH($A201,Employees!$BH$6:$BH$205,0)))</f>
        <v/>
      </c>
    </row>
    <row r="202" customFormat="false" ht="15" hidden="false" customHeight="false" outlineLevel="0" collapsed="false">
      <c r="A202" s="11" t="str">
        <f aca="false">IF(197&lt;=MAX(Employees!$BH$6:$BH$205),197,"")</f>
        <v/>
      </c>
      <c r="B202" s="11" t="str">
        <f aca="false">IF($A202="","",INDEX(Employees!$A$6:$A$205,MATCH($A202,Employees!$BH$6:$BH$205,0)))</f>
        <v/>
      </c>
      <c r="C202" s="11" t="str">
        <f aca="false">IF($A202="","",INDEX(Employees!$B$6:$B$205,MATCH($A202,Employees!$BH$6:$BH$205,0)))</f>
        <v/>
      </c>
      <c r="D202" s="11" t="str">
        <f aca="false">IF($A202="","",INDEX(Employees!$C$6:$C$205,MATCH($A202,Employees!$BH$6:$BH$205,0)))</f>
        <v/>
      </c>
      <c r="E202" s="11" t="str">
        <f aca="false">IF($A202="","",INDEX(Employees!$D$6:$D$205,MATCH($A202,Employees!$BH$6:$BH$205,0)))</f>
        <v/>
      </c>
      <c r="F202" s="11" t="str">
        <f aca="false">IF($A202="","",INDEX(Employees!$T$6:$T$205,MATCH($A202,Employees!$BH$6:$BH$205,0)))</f>
        <v/>
      </c>
      <c r="G202" s="26" t="str">
        <f aca="false">IF($A202="","",INDEX(Employees!$U$6:$U$205,MATCH($A202,Employees!$BH$6:$BH$205,0)))</f>
        <v/>
      </c>
      <c r="H202" s="28" t="str">
        <f aca="false">IF($A202="","",INDEX(Employees!$E$6:$E$205,MATCH($A202,Employees!$BH$6:$BH$205,0)))</f>
        <v/>
      </c>
      <c r="I202" s="11" t="str">
        <f aca="false">IF($A202="","",INDEX(Employees!$Z$6:$Z$205,MATCH($A202,Employees!$BH$6:$BH$205,0)))</f>
        <v/>
      </c>
      <c r="J202" s="26" t="str">
        <f aca="false">IF($A202="","",INDEX(Employees!$AB$6:$AB$205,MATCH($A202,Employees!$BH$6:$BH$205,0)))</f>
        <v/>
      </c>
      <c r="K202" s="26" t="str">
        <f aca="false">IF($A202="","",INDEX(Employees!$AI$6:$AI$205,MATCH($A202,Employees!$BH$6:$BH$205,0)))</f>
        <v/>
      </c>
      <c r="L202" s="26" t="str">
        <f aca="false">IF($A202="","",INDEX(Employees!$AG$6:$AG$205,MATCH($A202,Employees!$BH$6:$BH$205,0)))</f>
        <v/>
      </c>
      <c r="M202" s="26" t="str">
        <f aca="false">IF($A202="","",INDEX(Employees!$AH$6:$AH$205,MATCH($A202,Employees!$BH$6:$BH$205,0)))</f>
        <v/>
      </c>
      <c r="N202" s="26" t="str">
        <f aca="false">IF($A202="","",INDEX(Employees!$AK$6:$AK$205,MATCH($A202,Employees!$BH$6:$BH$205,0)))</f>
        <v/>
      </c>
      <c r="O202" s="26" t="str">
        <f aca="false">IF($A202="","",INDEX(Employees!$AL$6:$AL$205,MATCH($A202,Employees!$BH$6:$BH$205,0)))</f>
        <v/>
      </c>
      <c r="P202" s="11" t="str">
        <f aca="false">IF($A202="","",INDEX(Employees!$AM$6:$AM$205,MATCH($A202,Employees!$BH$6:$BH$205,0)))</f>
        <v/>
      </c>
    </row>
    <row r="203" customFormat="false" ht="15" hidden="false" customHeight="false" outlineLevel="0" collapsed="false">
      <c r="A203" s="11" t="str">
        <f aca="false">IF(198&lt;=MAX(Employees!$BH$6:$BH$205),198,"")</f>
        <v/>
      </c>
      <c r="B203" s="11" t="str">
        <f aca="false">IF($A203="","",INDEX(Employees!$A$6:$A$205,MATCH($A203,Employees!$BH$6:$BH$205,0)))</f>
        <v/>
      </c>
      <c r="C203" s="11" t="str">
        <f aca="false">IF($A203="","",INDEX(Employees!$B$6:$B$205,MATCH($A203,Employees!$BH$6:$BH$205,0)))</f>
        <v/>
      </c>
      <c r="D203" s="11" t="str">
        <f aca="false">IF($A203="","",INDEX(Employees!$C$6:$C$205,MATCH($A203,Employees!$BH$6:$BH$205,0)))</f>
        <v/>
      </c>
      <c r="E203" s="11" t="str">
        <f aca="false">IF($A203="","",INDEX(Employees!$D$6:$D$205,MATCH($A203,Employees!$BH$6:$BH$205,0)))</f>
        <v/>
      </c>
      <c r="F203" s="11" t="str">
        <f aca="false">IF($A203="","",INDEX(Employees!$T$6:$T$205,MATCH($A203,Employees!$BH$6:$BH$205,0)))</f>
        <v/>
      </c>
      <c r="G203" s="26" t="str">
        <f aca="false">IF($A203="","",INDEX(Employees!$U$6:$U$205,MATCH($A203,Employees!$BH$6:$BH$205,0)))</f>
        <v/>
      </c>
      <c r="H203" s="28" t="str">
        <f aca="false">IF($A203="","",INDEX(Employees!$E$6:$E$205,MATCH($A203,Employees!$BH$6:$BH$205,0)))</f>
        <v/>
      </c>
      <c r="I203" s="11" t="str">
        <f aca="false">IF($A203="","",INDEX(Employees!$Z$6:$Z$205,MATCH($A203,Employees!$BH$6:$BH$205,0)))</f>
        <v/>
      </c>
      <c r="J203" s="26" t="str">
        <f aca="false">IF($A203="","",INDEX(Employees!$AB$6:$AB$205,MATCH($A203,Employees!$BH$6:$BH$205,0)))</f>
        <v/>
      </c>
      <c r="K203" s="26" t="str">
        <f aca="false">IF($A203="","",INDEX(Employees!$AI$6:$AI$205,MATCH($A203,Employees!$BH$6:$BH$205,0)))</f>
        <v/>
      </c>
      <c r="L203" s="26" t="str">
        <f aca="false">IF($A203="","",INDEX(Employees!$AG$6:$AG$205,MATCH($A203,Employees!$BH$6:$BH$205,0)))</f>
        <v/>
      </c>
      <c r="M203" s="26" t="str">
        <f aca="false">IF($A203="","",INDEX(Employees!$AH$6:$AH$205,MATCH($A203,Employees!$BH$6:$BH$205,0)))</f>
        <v/>
      </c>
      <c r="N203" s="26" t="str">
        <f aca="false">IF($A203="","",INDEX(Employees!$AK$6:$AK$205,MATCH($A203,Employees!$BH$6:$BH$205,0)))</f>
        <v/>
      </c>
      <c r="O203" s="26" t="str">
        <f aca="false">IF($A203="","",INDEX(Employees!$AL$6:$AL$205,MATCH($A203,Employees!$BH$6:$BH$205,0)))</f>
        <v/>
      </c>
      <c r="P203" s="11" t="str">
        <f aca="false">IF($A203="","",INDEX(Employees!$AM$6:$AM$205,MATCH($A203,Employees!$BH$6:$BH$205,0)))</f>
        <v/>
      </c>
    </row>
    <row r="204" customFormat="false" ht="15" hidden="false" customHeight="false" outlineLevel="0" collapsed="false">
      <c r="A204" s="11" t="str">
        <f aca="false">IF(199&lt;=MAX(Employees!$BH$6:$BH$205),199,"")</f>
        <v/>
      </c>
      <c r="B204" s="11" t="str">
        <f aca="false">IF($A204="","",INDEX(Employees!$A$6:$A$205,MATCH($A204,Employees!$BH$6:$BH$205,0)))</f>
        <v/>
      </c>
      <c r="C204" s="11" t="str">
        <f aca="false">IF($A204="","",INDEX(Employees!$B$6:$B$205,MATCH($A204,Employees!$BH$6:$BH$205,0)))</f>
        <v/>
      </c>
      <c r="D204" s="11" t="str">
        <f aca="false">IF($A204="","",INDEX(Employees!$C$6:$C$205,MATCH($A204,Employees!$BH$6:$BH$205,0)))</f>
        <v/>
      </c>
      <c r="E204" s="11" t="str">
        <f aca="false">IF($A204="","",INDEX(Employees!$D$6:$D$205,MATCH($A204,Employees!$BH$6:$BH$205,0)))</f>
        <v/>
      </c>
      <c r="F204" s="11" t="str">
        <f aca="false">IF($A204="","",INDEX(Employees!$T$6:$T$205,MATCH($A204,Employees!$BH$6:$BH$205,0)))</f>
        <v/>
      </c>
      <c r="G204" s="26" t="str">
        <f aca="false">IF($A204="","",INDEX(Employees!$U$6:$U$205,MATCH($A204,Employees!$BH$6:$BH$205,0)))</f>
        <v/>
      </c>
      <c r="H204" s="28" t="str">
        <f aca="false">IF($A204="","",INDEX(Employees!$E$6:$E$205,MATCH($A204,Employees!$BH$6:$BH$205,0)))</f>
        <v/>
      </c>
      <c r="I204" s="11" t="str">
        <f aca="false">IF($A204="","",INDEX(Employees!$Z$6:$Z$205,MATCH($A204,Employees!$BH$6:$BH$205,0)))</f>
        <v/>
      </c>
      <c r="J204" s="26" t="str">
        <f aca="false">IF($A204="","",INDEX(Employees!$AB$6:$AB$205,MATCH($A204,Employees!$BH$6:$BH$205,0)))</f>
        <v/>
      </c>
      <c r="K204" s="26" t="str">
        <f aca="false">IF($A204="","",INDEX(Employees!$AI$6:$AI$205,MATCH($A204,Employees!$BH$6:$BH$205,0)))</f>
        <v/>
      </c>
      <c r="L204" s="26" t="str">
        <f aca="false">IF($A204="","",INDEX(Employees!$AG$6:$AG$205,MATCH($A204,Employees!$BH$6:$BH$205,0)))</f>
        <v/>
      </c>
      <c r="M204" s="26" t="str">
        <f aca="false">IF($A204="","",INDEX(Employees!$AH$6:$AH$205,MATCH($A204,Employees!$BH$6:$BH$205,0)))</f>
        <v/>
      </c>
      <c r="N204" s="26" t="str">
        <f aca="false">IF($A204="","",INDEX(Employees!$AK$6:$AK$205,MATCH($A204,Employees!$BH$6:$BH$205,0)))</f>
        <v/>
      </c>
      <c r="O204" s="26" t="str">
        <f aca="false">IF($A204="","",INDEX(Employees!$AL$6:$AL$205,MATCH($A204,Employees!$BH$6:$BH$205,0)))</f>
        <v/>
      </c>
      <c r="P204" s="11" t="str">
        <f aca="false">IF($A204="","",INDEX(Employees!$AM$6:$AM$205,MATCH($A204,Employees!$BH$6:$BH$205,0)))</f>
        <v/>
      </c>
    </row>
    <row r="205" customFormat="false" ht="15" hidden="false" customHeight="false" outlineLevel="0" collapsed="false">
      <c r="A205" s="11" t="str">
        <f aca="false">IF(200&lt;=MAX(Employees!$BH$6:$BH$205),200,"")</f>
        <v/>
      </c>
      <c r="B205" s="11" t="str">
        <f aca="false">IF($A205="","",INDEX(Employees!$A$6:$A$205,MATCH($A205,Employees!$BH$6:$BH$205,0)))</f>
        <v/>
      </c>
      <c r="C205" s="11" t="str">
        <f aca="false">IF($A205="","",INDEX(Employees!$B$6:$B$205,MATCH($A205,Employees!$BH$6:$BH$205,0)))</f>
        <v/>
      </c>
      <c r="D205" s="11" t="str">
        <f aca="false">IF($A205="","",INDEX(Employees!$C$6:$C$205,MATCH($A205,Employees!$BH$6:$BH$205,0)))</f>
        <v/>
      </c>
      <c r="E205" s="11" t="str">
        <f aca="false">IF($A205="","",INDEX(Employees!$D$6:$D$205,MATCH($A205,Employees!$BH$6:$BH$205,0)))</f>
        <v/>
      </c>
      <c r="F205" s="11" t="str">
        <f aca="false">IF($A205="","",INDEX(Employees!$T$6:$T$205,MATCH($A205,Employees!$BH$6:$BH$205,0)))</f>
        <v/>
      </c>
      <c r="G205" s="26" t="str">
        <f aca="false">IF($A205="","",INDEX(Employees!$U$6:$U$205,MATCH($A205,Employees!$BH$6:$BH$205,0)))</f>
        <v/>
      </c>
      <c r="H205" s="28" t="str">
        <f aca="false">IF($A205="","",INDEX(Employees!$E$6:$E$205,MATCH($A205,Employees!$BH$6:$BH$205,0)))</f>
        <v/>
      </c>
      <c r="I205" s="11" t="str">
        <f aca="false">IF($A205="","",INDEX(Employees!$Z$6:$Z$205,MATCH($A205,Employees!$BH$6:$BH$205,0)))</f>
        <v/>
      </c>
      <c r="J205" s="26" t="str">
        <f aca="false">IF($A205="","",INDEX(Employees!$AB$6:$AB$205,MATCH($A205,Employees!$BH$6:$BH$205,0)))</f>
        <v/>
      </c>
      <c r="K205" s="26" t="str">
        <f aca="false">IF($A205="","",INDEX(Employees!$AI$6:$AI$205,MATCH($A205,Employees!$BH$6:$BH$205,0)))</f>
        <v/>
      </c>
      <c r="L205" s="26" t="str">
        <f aca="false">IF($A205="","",INDEX(Employees!$AG$6:$AG$205,MATCH($A205,Employees!$BH$6:$BH$205,0)))</f>
        <v/>
      </c>
      <c r="M205" s="26" t="str">
        <f aca="false">IF($A205="","",INDEX(Employees!$AH$6:$AH$205,MATCH($A205,Employees!$BH$6:$BH$205,0)))</f>
        <v/>
      </c>
      <c r="N205" s="26" t="str">
        <f aca="false">IF($A205="","",INDEX(Employees!$AK$6:$AK$205,MATCH($A205,Employees!$BH$6:$BH$205,0)))</f>
        <v/>
      </c>
      <c r="O205" s="26" t="str">
        <f aca="false">IF($A205="","",INDEX(Employees!$AL$6:$AL$205,MATCH($A205,Employees!$BH$6:$BH$205,0)))</f>
        <v/>
      </c>
      <c r="P205" s="11" t="str">
        <f aca="false">IF($A205="","",INDEX(Employees!$AM$6:$AM$205,MATCH($A205,Employees!$BH$6:$BH$205,0)))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N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4" min="3" style="0" width="13"/>
    <col collapsed="false" customWidth="true" hidden="false" outlineLevel="0" max="5" min="5" style="0" width="14"/>
    <col collapsed="false" customWidth="true" hidden="false" outlineLevel="0" max="6" min="6" style="0" width="12"/>
    <col collapsed="false" customWidth="true" hidden="false" outlineLevel="0" max="7" min="7" style="0" width="8"/>
    <col collapsed="false" customWidth="true" hidden="false" outlineLevel="0" max="8" min="8" style="0" width="12"/>
    <col collapsed="false" customWidth="true" hidden="false" outlineLevel="0" max="9" min="9" style="0" width="11"/>
    <col collapsed="false" customWidth="true" hidden="false" outlineLevel="0" max="12" min="10" style="0" width="10"/>
    <col collapsed="false" customWidth="true" hidden="false" outlineLevel="0" max="13" min="13" style="0" width="44"/>
    <col collapsed="false" customWidth="true" hidden="false" outlineLevel="0" max="14" min="14" style="0" width="30"/>
  </cols>
  <sheetData>
    <row r="1" customFormat="false" ht="17.35" hidden="false" customHeight="false" outlineLevel="0" collapsed="false">
      <c r="A1" s="5" t="s">
        <v>260</v>
      </c>
    </row>
    <row r="2" customFormat="false" ht="15" hidden="false" customHeight="false" outlineLevel="0" collapsed="false">
      <c r="A2" s="6" t="s">
        <v>261</v>
      </c>
    </row>
    <row r="3" customFormat="false" ht="15" hidden="false" customHeight="false" outlineLevel="0" collapsed="false">
      <c r="A3" s="14" t="str">
        <f aca="false">"As-of date: "&amp;TEXT(AsOfDate,"dd/mm/yyyy")&amp;"   |   Employees listed: "&amp;COUNT(A6:A205)</f>
        <v>As-of date: 30/09/2026   |   Employees listed: 4</v>
      </c>
    </row>
    <row r="5" customFormat="false" ht="39.75" hidden="false" customHeight="true" outlineLevel="0" collapsed="false">
      <c r="A5" s="7" t="s">
        <v>249</v>
      </c>
      <c r="B5" s="7" t="s">
        <v>53</v>
      </c>
      <c r="C5" s="7" t="s">
        <v>93</v>
      </c>
      <c r="D5" s="7" t="s">
        <v>96</v>
      </c>
      <c r="E5" s="7" t="s">
        <v>147</v>
      </c>
      <c r="F5" s="7" t="s">
        <v>163</v>
      </c>
      <c r="G5" s="7" t="s">
        <v>250</v>
      </c>
      <c r="H5" s="7" t="s">
        <v>251</v>
      </c>
      <c r="I5" s="7" t="s">
        <v>169</v>
      </c>
      <c r="J5" s="7" t="s">
        <v>256</v>
      </c>
      <c r="K5" s="7" t="s">
        <v>257</v>
      </c>
      <c r="L5" s="7" t="s">
        <v>258</v>
      </c>
      <c r="M5" s="7" t="s">
        <v>182</v>
      </c>
      <c r="N5" s="7" t="s">
        <v>183</v>
      </c>
    </row>
    <row r="6" customFormat="false" ht="15" hidden="false" customHeight="false" outlineLevel="0" collapsed="false">
      <c r="A6" s="11" t="n">
        <f aca="false">IF(1&lt;=MAX(Employees!$BI$6:$BI$205),1,"")</f>
        <v>1</v>
      </c>
      <c r="B6" s="11" t="str">
        <f aca="false">IF($A6="","",INDEX(Employees!$A$6:$A$205,MATCH($A6,Employees!$BI$6:$BI$205,0)))</f>
        <v>E001</v>
      </c>
      <c r="C6" s="11" t="str">
        <f aca="false">IF($A6="","",INDEX(Employees!$B$6:$B$205,MATCH($A6,Employees!$BI$6:$BI$205,0)))</f>
        <v>Jane</v>
      </c>
      <c r="D6" s="11" t="str">
        <f aca="false">IF($A6="","",INDEX(Employees!$C$6:$C$205,MATCH($A6,Employees!$BI$6:$BI$205,0)))</f>
        <v>Citizen</v>
      </c>
      <c r="E6" s="11" t="str">
        <f aca="false">IF($A6="","",INDEX(Employees!$D$6:$D$205,MATCH($A6,Employees!$BI$6:$BI$205,0)))</f>
        <v>Operations</v>
      </c>
      <c r="F6" s="11" t="str">
        <f aca="false">IF($A6="","",INDEX(Employees!$T$6:$T$205,MATCH($A6,Employees!$BI$6:$BI$205,0)))</f>
        <v>Full-Time</v>
      </c>
      <c r="G6" s="26" t="n">
        <f aca="false">IF($A6="","",INDEX(Employees!$U$6:$U$205,MATCH($A6,Employees!$BI$6:$BI$205,0)))</f>
        <v>38</v>
      </c>
      <c r="H6" s="28" t="n">
        <f aca="false">IF($A6="","",INDEX(Employees!$E$6:$E$205,MATCH($A6,Employees!$BI$6:$BI$205,0)))</f>
        <v>44242</v>
      </c>
      <c r="I6" s="11" t="str">
        <f aca="false">IF($A6="","",INDEX(Employees!$Z$6:$Z$205,MATCH($A6,Employees!$BI$6:$BI$205,0)))</f>
        <v>5y 7m</v>
      </c>
      <c r="J6" s="26" t="n">
        <f aca="false">IF($A6="","",INDEX(Employees!$AB$6:$AB$205,MATCH($A6,Employees!$BI$6:$BI$205,0)))</f>
        <v>10</v>
      </c>
      <c r="K6" s="26" t="n">
        <f aca="false">IF($A6="","",INDEX(Employees!$AI$6:$AI$205,MATCH($A6,Employees!$BI$6:$BI$205,0)))</f>
        <v>9</v>
      </c>
      <c r="L6" s="26" t="n">
        <f aca="false">IF($A6="","",INDEX(Employees!$AK$6:$AK$205,MATCH($A6,Employees!$BI$6:$BI$205,0)))</f>
        <v>1</v>
      </c>
      <c r="M6" s="11" t="str">
        <f aca="false">IF($A6="","",INDEX(Employees!$AM$6:$AM$205,MATCH($A6,Employees!$BI$6:$BI$205,0)))</f>
        <v>ADD 1 day(s) (8 hrs) in EH</v>
      </c>
      <c r="N6" s="11" t="str">
        <f aca="false">IF($A6="","",INDEX(Employees!$AN$6:$AN$205,MATCH($A6,Employees!$BI$6:$BI$205,0)))</f>
        <v/>
      </c>
    </row>
    <row r="7" customFormat="false" ht="15" hidden="false" customHeight="false" outlineLevel="0" collapsed="false">
      <c r="A7" s="11" t="n">
        <f aca="false">IF(2&lt;=MAX(Employees!$BI$6:$BI$205),2,"")</f>
        <v>2</v>
      </c>
      <c r="B7" s="11" t="str">
        <f aca="false">IF($A7="","",INDEX(Employees!$A$6:$A$205,MATCH($A7,Employees!$BI$6:$BI$205,0)))</f>
        <v>E005</v>
      </c>
      <c r="C7" s="11" t="str">
        <f aca="false">IF($A7="","",INDEX(Employees!$B$6:$B$205,MATCH($A7,Employees!$BI$6:$BI$205,0)))</f>
        <v>Liam</v>
      </c>
      <c r="D7" s="11" t="str">
        <f aca="false">IF($A7="","",INDEX(Employees!$C$6:$C$205,MATCH($A7,Employees!$BI$6:$BI$205,0)))</f>
        <v>Brown</v>
      </c>
      <c r="E7" s="11" t="str">
        <f aca="false">IF($A7="","",INDEX(Employees!$D$6:$D$205,MATCH($A7,Employees!$BI$6:$BI$205,0)))</f>
        <v>Technical</v>
      </c>
      <c r="F7" s="11" t="str">
        <f aca="false">IF($A7="","",INDEX(Employees!$T$6:$T$205,MATCH($A7,Employees!$BI$6:$BI$205,0)))</f>
        <v>Full-Time</v>
      </c>
      <c r="G7" s="26" t="n">
        <f aca="false">IF($A7="","",INDEX(Employees!$U$6:$U$205,MATCH($A7,Employees!$BI$6:$BI$205,0)))</f>
        <v>38</v>
      </c>
      <c r="H7" s="28" t="n">
        <f aca="false">IF($A7="","",INDEX(Employees!$E$6:$E$205,MATCH($A7,Employees!$BI$6:$BI$205,0)))</f>
        <v>43840</v>
      </c>
      <c r="I7" s="11" t="str">
        <f aca="false">IF($A7="","",INDEX(Employees!$Z$6:$Z$205,MATCH($A7,Employees!$BI$6:$BI$205,0)))</f>
        <v>6y 8m</v>
      </c>
      <c r="J7" s="26" t="n">
        <f aca="false">IF($A7="","",INDEX(Employees!$AB$6:$AB$205,MATCH($A7,Employees!$BI$6:$BI$205,0)))</f>
        <v>12</v>
      </c>
      <c r="K7" s="26" t="n">
        <f aca="false">IF($A7="","",INDEX(Employees!$AI$6:$AI$205,MATCH($A7,Employees!$BI$6:$BI$205,0)))</f>
        <v>10</v>
      </c>
      <c r="L7" s="26" t="n">
        <f aca="false">IF($A7="","",INDEX(Employees!$AK$6:$AK$205,MATCH($A7,Employees!$BI$6:$BI$205,0)))</f>
        <v>2</v>
      </c>
      <c r="M7" s="11" t="str">
        <f aca="false">IF($A7="","",INDEX(Employees!$AM$6:$AM$205,MATCH($A7,Employees!$BI$6:$BI$205,0)))</f>
        <v>ADD 2 day(s) (16 hrs) in EH</v>
      </c>
      <c r="N7" s="11" t="str">
        <f aca="false">IF($A7="","",INDEX(Employees!$AN$6:$AN$205,MATCH($A7,Employees!$BI$6:$BI$205,0)))</f>
        <v/>
      </c>
    </row>
    <row r="8" customFormat="false" ht="15" hidden="false" customHeight="false" outlineLevel="0" collapsed="false">
      <c r="A8" s="11" t="n">
        <f aca="false">IF(3&lt;=MAX(Employees!$BI$6:$BI$205),3,"")</f>
        <v>3</v>
      </c>
      <c r="B8" s="11" t="str">
        <f aca="false">IF($A8="","",INDEX(Employees!$A$6:$A$205,MATCH($A8,Employees!$BI$6:$BI$205,0)))</f>
        <v>E006</v>
      </c>
      <c r="C8" s="11" t="str">
        <f aca="false">IF($A8="","",INDEX(Employees!$B$6:$B$205,MATCH($A8,Employees!$BI$6:$BI$205,0)))</f>
        <v>Olivia</v>
      </c>
      <c r="D8" s="11" t="str">
        <f aca="false">IF($A8="","",INDEX(Employees!$C$6:$C$205,MATCH($A8,Employees!$BI$6:$BI$205,0)))</f>
        <v>Smith</v>
      </c>
      <c r="E8" s="11" t="str">
        <f aca="false">IF($A8="","",INDEX(Employees!$D$6:$D$205,MATCH($A8,Employees!$BI$6:$BI$205,0)))</f>
        <v>Operations</v>
      </c>
      <c r="F8" s="11" t="str">
        <f aca="false">IF($A8="","",INDEX(Employees!$T$6:$T$205,MATCH($A8,Employees!$BI$6:$BI$205,0)))</f>
        <v>Full-Time</v>
      </c>
      <c r="G8" s="26" t="n">
        <f aca="false">IF($A8="","",INDEX(Employees!$U$6:$U$205,MATCH($A8,Employees!$BI$6:$BI$205,0)))</f>
        <v>38</v>
      </c>
      <c r="H8" s="28" t="n">
        <f aca="false">IF($A8="","",INDEX(Employees!$E$6:$E$205,MATCH($A8,Employees!$BI$6:$BI$205,0)))</f>
        <v>44686</v>
      </c>
      <c r="I8" s="11" t="str">
        <f aca="false">IF($A8="","",INDEX(Employees!$Z$6:$Z$205,MATCH($A8,Employees!$BI$6:$BI$205,0)))</f>
        <v>3y 10m</v>
      </c>
      <c r="J8" s="26" t="n">
        <f aca="false">IF($A8="","",INDEX(Employees!$AB$6:$AB$205,MATCH($A8,Employees!$BI$6:$BI$205,0)))</f>
        <v>3</v>
      </c>
      <c r="K8" s="26" t="n">
        <f aca="false">IF($A8="","",INDEX(Employees!$AI$6:$AI$205,MATCH($A8,Employees!$BI$6:$BI$205,0)))</f>
        <v>0</v>
      </c>
      <c r="L8" s="26" t="n">
        <f aca="false">IF($A8="","",INDEX(Employees!$AK$6:$AK$205,MATCH($A8,Employees!$BI$6:$BI$205,0)))</f>
        <v>3</v>
      </c>
      <c r="M8" s="11" t="str">
        <f aca="false">IF($A8="","",INDEX(Employees!$AM$6:$AM$205,MATCH($A8,Employees!$BI$6:$BI$205,0)))</f>
        <v>SET UP in EH - add 3 day(s) (24 hrs)</v>
      </c>
      <c r="N8" s="11" t="str">
        <f aca="false">IF($A8="","",INDEX(Employees!$AN$6:$AN$205,MATCH($A8,Employees!$BI$6:$BI$205,0)))</f>
        <v/>
      </c>
    </row>
    <row r="9" customFormat="false" ht="15" hidden="false" customHeight="false" outlineLevel="0" collapsed="false">
      <c r="A9" s="11" t="n">
        <f aca="false">IF(4&lt;=MAX(Employees!$BI$6:$BI$205),4,"")</f>
        <v>4</v>
      </c>
      <c r="B9" s="11" t="str">
        <f aca="false">IF($A9="","",INDEX(Employees!$A$6:$A$205,MATCH($A9,Employees!$BI$6:$BI$205,0)))</f>
        <v>E007</v>
      </c>
      <c r="C9" s="11" t="str">
        <f aca="false">IF($A9="","",INDEX(Employees!$B$6:$B$205,MATCH($A9,Employees!$BI$6:$BI$205,0)))</f>
        <v>Noah</v>
      </c>
      <c r="D9" s="11" t="str">
        <f aca="false">IF($A9="","",INDEX(Employees!$C$6:$C$205,MATCH($A9,Employees!$BI$6:$BI$205,0)))</f>
        <v>Wilson</v>
      </c>
      <c r="E9" s="11" t="str">
        <f aca="false">IF($A9="","",INDEX(Employees!$D$6:$D$205,MATCH($A9,Employees!$BI$6:$BI$205,0)))</f>
        <v>Sales</v>
      </c>
      <c r="F9" s="11" t="str">
        <f aca="false">IF($A9="","",INDEX(Employees!$T$6:$T$205,MATCH($A9,Employees!$BI$6:$BI$205,0)))</f>
        <v>Full-Time</v>
      </c>
      <c r="G9" s="26" t="n">
        <f aca="false">IF($A9="","",INDEX(Employees!$U$6:$U$205,MATCH($A9,Employees!$BI$6:$BI$205,0)))</f>
        <v>38</v>
      </c>
      <c r="H9" s="28" t="n">
        <f aca="false">IF($A9="","",INDEX(Employees!$E$6:$E$205,MATCH($A9,Employees!$BI$6:$BI$205,0)))</f>
        <v>43313</v>
      </c>
      <c r="I9" s="11" t="str">
        <f aca="false">IF($A9="","",INDEX(Employees!$Z$6:$Z$205,MATCH($A9,Employees!$BI$6:$BI$205,0)))</f>
        <v>8y 0m</v>
      </c>
      <c r="J9" s="26" t="n">
        <f aca="false">IF($A9="","",INDEX(Employees!$AB$6:$AB$205,MATCH($A9,Employees!$BI$6:$BI$205,0)))</f>
        <v>23</v>
      </c>
      <c r="K9" s="26" t="n">
        <f aca="false">IF($A9="","",INDEX(Employees!$AI$6:$AI$205,MATCH($A9,Employees!$BI$6:$BI$205,0)))</f>
        <v>5</v>
      </c>
      <c r="L9" s="26" t="str">
        <f aca="false">IF($A9="","",INDEX(Employees!$AK$6:$AK$205,MATCH($A9,Employees!$BI$6:$BI$205,0)))</f>
        <v/>
      </c>
      <c r="M9" s="11" t="str">
        <f aca="false">IF($A9="","",INDEX(Employees!$AM$6:$AM$205,MATCH($A9,Employees!$BI$6:$BI$205,0)))</f>
        <v>TERMINATED - forfeit 5 days still in EH</v>
      </c>
      <c r="N9" s="11" t="str">
        <f aca="false">IF($A9="","",INDEX(Employees!$AN$6:$AN$205,MATCH($A9,Employees!$BI$6:$BI$205,0)))</f>
        <v/>
      </c>
    </row>
    <row r="10" customFormat="false" ht="15" hidden="false" customHeight="false" outlineLevel="0" collapsed="false">
      <c r="A10" s="11" t="str">
        <f aca="false">IF(5&lt;=MAX(Employees!$BI$6:$BI$205),5,"")</f>
        <v/>
      </c>
      <c r="B10" s="11" t="str">
        <f aca="false">IF($A10="","",INDEX(Employees!$A$6:$A$205,MATCH($A10,Employees!$BI$6:$BI$205,0)))</f>
        <v/>
      </c>
      <c r="C10" s="11" t="str">
        <f aca="false">IF($A10="","",INDEX(Employees!$B$6:$B$205,MATCH($A10,Employees!$BI$6:$BI$205,0)))</f>
        <v/>
      </c>
      <c r="D10" s="11" t="str">
        <f aca="false">IF($A10="","",INDEX(Employees!$C$6:$C$205,MATCH($A10,Employees!$BI$6:$BI$205,0)))</f>
        <v/>
      </c>
      <c r="E10" s="11" t="str">
        <f aca="false">IF($A10="","",INDEX(Employees!$D$6:$D$205,MATCH($A10,Employees!$BI$6:$BI$205,0)))</f>
        <v/>
      </c>
      <c r="F10" s="11" t="str">
        <f aca="false">IF($A10="","",INDEX(Employees!$T$6:$T$205,MATCH($A10,Employees!$BI$6:$BI$205,0)))</f>
        <v/>
      </c>
      <c r="G10" s="26" t="str">
        <f aca="false">IF($A10="","",INDEX(Employees!$U$6:$U$205,MATCH($A10,Employees!$BI$6:$BI$205,0)))</f>
        <v/>
      </c>
      <c r="H10" s="28" t="str">
        <f aca="false">IF($A10="","",INDEX(Employees!$E$6:$E$205,MATCH($A10,Employees!$BI$6:$BI$205,0)))</f>
        <v/>
      </c>
      <c r="I10" s="11" t="str">
        <f aca="false">IF($A10="","",INDEX(Employees!$Z$6:$Z$205,MATCH($A10,Employees!$BI$6:$BI$205,0)))</f>
        <v/>
      </c>
      <c r="J10" s="26" t="str">
        <f aca="false">IF($A10="","",INDEX(Employees!$AB$6:$AB$205,MATCH($A10,Employees!$BI$6:$BI$205,0)))</f>
        <v/>
      </c>
      <c r="K10" s="26" t="str">
        <f aca="false">IF($A10="","",INDEX(Employees!$AI$6:$AI$205,MATCH($A10,Employees!$BI$6:$BI$205,0)))</f>
        <v/>
      </c>
      <c r="L10" s="26" t="str">
        <f aca="false">IF($A10="","",INDEX(Employees!$AK$6:$AK$205,MATCH($A10,Employees!$BI$6:$BI$205,0)))</f>
        <v/>
      </c>
      <c r="M10" s="11" t="str">
        <f aca="false">IF($A10="","",INDEX(Employees!$AM$6:$AM$205,MATCH($A10,Employees!$BI$6:$BI$205,0)))</f>
        <v/>
      </c>
      <c r="N10" s="11" t="str">
        <f aca="false">IF($A10="","",INDEX(Employees!$AN$6:$AN$205,MATCH($A10,Employees!$BI$6:$BI$205,0)))</f>
        <v/>
      </c>
    </row>
    <row r="11" customFormat="false" ht="15" hidden="false" customHeight="false" outlineLevel="0" collapsed="false">
      <c r="A11" s="11" t="str">
        <f aca="false">IF(6&lt;=MAX(Employees!$BI$6:$BI$205),6,"")</f>
        <v/>
      </c>
      <c r="B11" s="11" t="str">
        <f aca="false">IF($A11="","",INDEX(Employees!$A$6:$A$205,MATCH($A11,Employees!$BI$6:$BI$205,0)))</f>
        <v/>
      </c>
      <c r="C11" s="11" t="str">
        <f aca="false">IF($A11="","",INDEX(Employees!$B$6:$B$205,MATCH($A11,Employees!$BI$6:$BI$205,0)))</f>
        <v/>
      </c>
      <c r="D11" s="11" t="str">
        <f aca="false">IF($A11="","",INDEX(Employees!$C$6:$C$205,MATCH($A11,Employees!$BI$6:$BI$205,0)))</f>
        <v/>
      </c>
      <c r="E11" s="11" t="str">
        <f aca="false">IF($A11="","",INDEX(Employees!$D$6:$D$205,MATCH($A11,Employees!$BI$6:$BI$205,0)))</f>
        <v/>
      </c>
      <c r="F11" s="11" t="str">
        <f aca="false">IF($A11="","",INDEX(Employees!$T$6:$T$205,MATCH($A11,Employees!$BI$6:$BI$205,0)))</f>
        <v/>
      </c>
      <c r="G11" s="26" t="str">
        <f aca="false">IF($A11="","",INDEX(Employees!$U$6:$U$205,MATCH($A11,Employees!$BI$6:$BI$205,0)))</f>
        <v/>
      </c>
      <c r="H11" s="28" t="str">
        <f aca="false">IF($A11="","",INDEX(Employees!$E$6:$E$205,MATCH($A11,Employees!$BI$6:$BI$205,0)))</f>
        <v/>
      </c>
      <c r="I11" s="11" t="str">
        <f aca="false">IF($A11="","",INDEX(Employees!$Z$6:$Z$205,MATCH($A11,Employees!$BI$6:$BI$205,0)))</f>
        <v/>
      </c>
      <c r="J11" s="26" t="str">
        <f aca="false">IF($A11="","",INDEX(Employees!$AB$6:$AB$205,MATCH($A11,Employees!$BI$6:$BI$205,0)))</f>
        <v/>
      </c>
      <c r="K11" s="26" t="str">
        <f aca="false">IF($A11="","",INDEX(Employees!$AI$6:$AI$205,MATCH($A11,Employees!$BI$6:$BI$205,0)))</f>
        <v/>
      </c>
      <c r="L11" s="26" t="str">
        <f aca="false">IF($A11="","",INDEX(Employees!$AK$6:$AK$205,MATCH($A11,Employees!$BI$6:$BI$205,0)))</f>
        <v/>
      </c>
      <c r="M11" s="11" t="str">
        <f aca="false">IF($A11="","",INDEX(Employees!$AM$6:$AM$205,MATCH($A11,Employees!$BI$6:$BI$205,0)))</f>
        <v/>
      </c>
      <c r="N11" s="11" t="str">
        <f aca="false">IF($A11="","",INDEX(Employees!$AN$6:$AN$205,MATCH($A11,Employees!$BI$6:$BI$205,0)))</f>
        <v/>
      </c>
    </row>
    <row r="12" customFormat="false" ht="15" hidden="false" customHeight="false" outlineLevel="0" collapsed="false">
      <c r="A12" s="11" t="str">
        <f aca="false">IF(7&lt;=MAX(Employees!$BI$6:$BI$205),7,"")</f>
        <v/>
      </c>
      <c r="B12" s="11" t="str">
        <f aca="false">IF($A12="","",INDEX(Employees!$A$6:$A$205,MATCH($A12,Employees!$BI$6:$BI$205,0)))</f>
        <v/>
      </c>
      <c r="C12" s="11" t="str">
        <f aca="false">IF($A12="","",INDEX(Employees!$B$6:$B$205,MATCH($A12,Employees!$BI$6:$BI$205,0)))</f>
        <v/>
      </c>
      <c r="D12" s="11" t="str">
        <f aca="false">IF($A12="","",INDEX(Employees!$C$6:$C$205,MATCH($A12,Employees!$BI$6:$BI$205,0)))</f>
        <v/>
      </c>
      <c r="E12" s="11" t="str">
        <f aca="false">IF($A12="","",INDEX(Employees!$D$6:$D$205,MATCH($A12,Employees!$BI$6:$BI$205,0)))</f>
        <v/>
      </c>
      <c r="F12" s="11" t="str">
        <f aca="false">IF($A12="","",INDEX(Employees!$T$6:$T$205,MATCH($A12,Employees!$BI$6:$BI$205,0)))</f>
        <v/>
      </c>
      <c r="G12" s="26" t="str">
        <f aca="false">IF($A12="","",INDEX(Employees!$U$6:$U$205,MATCH($A12,Employees!$BI$6:$BI$205,0)))</f>
        <v/>
      </c>
      <c r="H12" s="28" t="str">
        <f aca="false">IF($A12="","",INDEX(Employees!$E$6:$E$205,MATCH($A12,Employees!$BI$6:$BI$205,0)))</f>
        <v/>
      </c>
      <c r="I12" s="11" t="str">
        <f aca="false">IF($A12="","",INDEX(Employees!$Z$6:$Z$205,MATCH($A12,Employees!$BI$6:$BI$205,0)))</f>
        <v/>
      </c>
      <c r="J12" s="26" t="str">
        <f aca="false">IF($A12="","",INDEX(Employees!$AB$6:$AB$205,MATCH($A12,Employees!$BI$6:$BI$205,0)))</f>
        <v/>
      </c>
      <c r="K12" s="26" t="str">
        <f aca="false">IF($A12="","",INDEX(Employees!$AI$6:$AI$205,MATCH($A12,Employees!$BI$6:$BI$205,0)))</f>
        <v/>
      </c>
      <c r="L12" s="26" t="str">
        <f aca="false">IF($A12="","",INDEX(Employees!$AK$6:$AK$205,MATCH($A12,Employees!$BI$6:$BI$205,0)))</f>
        <v/>
      </c>
      <c r="M12" s="11" t="str">
        <f aca="false">IF($A12="","",INDEX(Employees!$AM$6:$AM$205,MATCH($A12,Employees!$BI$6:$BI$205,0)))</f>
        <v/>
      </c>
      <c r="N12" s="11" t="str">
        <f aca="false">IF($A12="","",INDEX(Employees!$AN$6:$AN$205,MATCH($A12,Employees!$BI$6:$BI$205,0)))</f>
        <v/>
      </c>
    </row>
    <row r="13" customFormat="false" ht="15" hidden="false" customHeight="false" outlineLevel="0" collapsed="false">
      <c r="A13" s="11" t="str">
        <f aca="false">IF(8&lt;=MAX(Employees!$BI$6:$BI$205),8,"")</f>
        <v/>
      </c>
      <c r="B13" s="11" t="str">
        <f aca="false">IF($A13="","",INDEX(Employees!$A$6:$A$205,MATCH($A13,Employees!$BI$6:$BI$205,0)))</f>
        <v/>
      </c>
      <c r="C13" s="11" t="str">
        <f aca="false">IF($A13="","",INDEX(Employees!$B$6:$B$205,MATCH($A13,Employees!$BI$6:$BI$205,0)))</f>
        <v/>
      </c>
      <c r="D13" s="11" t="str">
        <f aca="false">IF($A13="","",INDEX(Employees!$C$6:$C$205,MATCH($A13,Employees!$BI$6:$BI$205,0)))</f>
        <v/>
      </c>
      <c r="E13" s="11" t="str">
        <f aca="false">IF($A13="","",INDEX(Employees!$D$6:$D$205,MATCH($A13,Employees!$BI$6:$BI$205,0)))</f>
        <v/>
      </c>
      <c r="F13" s="11" t="str">
        <f aca="false">IF($A13="","",INDEX(Employees!$T$6:$T$205,MATCH($A13,Employees!$BI$6:$BI$205,0)))</f>
        <v/>
      </c>
      <c r="G13" s="26" t="str">
        <f aca="false">IF($A13="","",INDEX(Employees!$U$6:$U$205,MATCH($A13,Employees!$BI$6:$BI$205,0)))</f>
        <v/>
      </c>
      <c r="H13" s="28" t="str">
        <f aca="false">IF($A13="","",INDEX(Employees!$E$6:$E$205,MATCH($A13,Employees!$BI$6:$BI$205,0)))</f>
        <v/>
      </c>
      <c r="I13" s="11" t="str">
        <f aca="false">IF($A13="","",INDEX(Employees!$Z$6:$Z$205,MATCH($A13,Employees!$BI$6:$BI$205,0)))</f>
        <v/>
      </c>
      <c r="J13" s="26" t="str">
        <f aca="false">IF($A13="","",INDEX(Employees!$AB$6:$AB$205,MATCH($A13,Employees!$BI$6:$BI$205,0)))</f>
        <v/>
      </c>
      <c r="K13" s="26" t="str">
        <f aca="false">IF($A13="","",INDEX(Employees!$AI$6:$AI$205,MATCH($A13,Employees!$BI$6:$BI$205,0)))</f>
        <v/>
      </c>
      <c r="L13" s="26" t="str">
        <f aca="false">IF($A13="","",INDEX(Employees!$AK$6:$AK$205,MATCH($A13,Employees!$BI$6:$BI$205,0)))</f>
        <v/>
      </c>
      <c r="M13" s="11" t="str">
        <f aca="false">IF($A13="","",INDEX(Employees!$AM$6:$AM$205,MATCH($A13,Employees!$BI$6:$BI$205,0)))</f>
        <v/>
      </c>
      <c r="N13" s="11" t="str">
        <f aca="false">IF($A13="","",INDEX(Employees!$AN$6:$AN$205,MATCH($A13,Employees!$BI$6:$BI$205,0)))</f>
        <v/>
      </c>
    </row>
    <row r="14" customFormat="false" ht="15" hidden="false" customHeight="false" outlineLevel="0" collapsed="false">
      <c r="A14" s="11" t="str">
        <f aca="false">IF(9&lt;=MAX(Employees!$BI$6:$BI$205),9,"")</f>
        <v/>
      </c>
      <c r="B14" s="11" t="str">
        <f aca="false">IF($A14="","",INDEX(Employees!$A$6:$A$205,MATCH($A14,Employees!$BI$6:$BI$205,0)))</f>
        <v/>
      </c>
      <c r="C14" s="11" t="str">
        <f aca="false">IF($A14="","",INDEX(Employees!$B$6:$B$205,MATCH($A14,Employees!$BI$6:$BI$205,0)))</f>
        <v/>
      </c>
      <c r="D14" s="11" t="str">
        <f aca="false">IF($A14="","",INDEX(Employees!$C$6:$C$205,MATCH($A14,Employees!$BI$6:$BI$205,0)))</f>
        <v/>
      </c>
      <c r="E14" s="11" t="str">
        <f aca="false">IF($A14="","",INDEX(Employees!$D$6:$D$205,MATCH($A14,Employees!$BI$6:$BI$205,0)))</f>
        <v/>
      </c>
      <c r="F14" s="11" t="str">
        <f aca="false">IF($A14="","",INDEX(Employees!$T$6:$T$205,MATCH($A14,Employees!$BI$6:$BI$205,0)))</f>
        <v/>
      </c>
      <c r="G14" s="26" t="str">
        <f aca="false">IF($A14="","",INDEX(Employees!$U$6:$U$205,MATCH($A14,Employees!$BI$6:$BI$205,0)))</f>
        <v/>
      </c>
      <c r="H14" s="28" t="str">
        <f aca="false">IF($A14="","",INDEX(Employees!$E$6:$E$205,MATCH($A14,Employees!$BI$6:$BI$205,0)))</f>
        <v/>
      </c>
      <c r="I14" s="11" t="str">
        <f aca="false">IF($A14="","",INDEX(Employees!$Z$6:$Z$205,MATCH($A14,Employees!$BI$6:$BI$205,0)))</f>
        <v/>
      </c>
      <c r="J14" s="26" t="str">
        <f aca="false">IF($A14="","",INDEX(Employees!$AB$6:$AB$205,MATCH($A14,Employees!$BI$6:$BI$205,0)))</f>
        <v/>
      </c>
      <c r="K14" s="26" t="str">
        <f aca="false">IF($A14="","",INDEX(Employees!$AI$6:$AI$205,MATCH($A14,Employees!$BI$6:$BI$205,0)))</f>
        <v/>
      </c>
      <c r="L14" s="26" t="str">
        <f aca="false">IF($A14="","",INDEX(Employees!$AK$6:$AK$205,MATCH($A14,Employees!$BI$6:$BI$205,0)))</f>
        <v/>
      </c>
      <c r="M14" s="11" t="str">
        <f aca="false">IF($A14="","",INDEX(Employees!$AM$6:$AM$205,MATCH($A14,Employees!$BI$6:$BI$205,0)))</f>
        <v/>
      </c>
      <c r="N14" s="11" t="str">
        <f aca="false">IF($A14="","",INDEX(Employees!$AN$6:$AN$205,MATCH($A14,Employees!$BI$6:$BI$205,0)))</f>
        <v/>
      </c>
    </row>
    <row r="15" customFormat="false" ht="15" hidden="false" customHeight="false" outlineLevel="0" collapsed="false">
      <c r="A15" s="11" t="str">
        <f aca="false">IF(10&lt;=MAX(Employees!$BI$6:$BI$205),10,"")</f>
        <v/>
      </c>
      <c r="B15" s="11" t="str">
        <f aca="false">IF($A15="","",INDEX(Employees!$A$6:$A$205,MATCH($A15,Employees!$BI$6:$BI$205,0)))</f>
        <v/>
      </c>
      <c r="C15" s="11" t="str">
        <f aca="false">IF($A15="","",INDEX(Employees!$B$6:$B$205,MATCH($A15,Employees!$BI$6:$BI$205,0)))</f>
        <v/>
      </c>
      <c r="D15" s="11" t="str">
        <f aca="false">IF($A15="","",INDEX(Employees!$C$6:$C$205,MATCH($A15,Employees!$BI$6:$BI$205,0)))</f>
        <v/>
      </c>
      <c r="E15" s="11" t="str">
        <f aca="false">IF($A15="","",INDEX(Employees!$D$6:$D$205,MATCH($A15,Employees!$BI$6:$BI$205,0)))</f>
        <v/>
      </c>
      <c r="F15" s="11" t="str">
        <f aca="false">IF($A15="","",INDEX(Employees!$T$6:$T$205,MATCH($A15,Employees!$BI$6:$BI$205,0)))</f>
        <v/>
      </c>
      <c r="G15" s="26" t="str">
        <f aca="false">IF($A15="","",INDEX(Employees!$U$6:$U$205,MATCH($A15,Employees!$BI$6:$BI$205,0)))</f>
        <v/>
      </c>
      <c r="H15" s="28" t="str">
        <f aca="false">IF($A15="","",INDEX(Employees!$E$6:$E$205,MATCH($A15,Employees!$BI$6:$BI$205,0)))</f>
        <v/>
      </c>
      <c r="I15" s="11" t="str">
        <f aca="false">IF($A15="","",INDEX(Employees!$Z$6:$Z$205,MATCH($A15,Employees!$BI$6:$BI$205,0)))</f>
        <v/>
      </c>
      <c r="J15" s="26" t="str">
        <f aca="false">IF($A15="","",INDEX(Employees!$AB$6:$AB$205,MATCH($A15,Employees!$BI$6:$BI$205,0)))</f>
        <v/>
      </c>
      <c r="K15" s="26" t="str">
        <f aca="false">IF($A15="","",INDEX(Employees!$AI$6:$AI$205,MATCH($A15,Employees!$BI$6:$BI$205,0)))</f>
        <v/>
      </c>
      <c r="L15" s="26" t="str">
        <f aca="false">IF($A15="","",INDEX(Employees!$AK$6:$AK$205,MATCH($A15,Employees!$BI$6:$BI$205,0)))</f>
        <v/>
      </c>
      <c r="M15" s="11" t="str">
        <f aca="false">IF($A15="","",INDEX(Employees!$AM$6:$AM$205,MATCH($A15,Employees!$BI$6:$BI$205,0)))</f>
        <v/>
      </c>
      <c r="N15" s="11" t="str">
        <f aca="false">IF($A15="","",INDEX(Employees!$AN$6:$AN$205,MATCH($A15,Employees!$BI$6:$BI$205,0)))</f>
        <v/>
      </c>
    </row>
    <row r="16" customFormat="false" ht="15" hidden="false" customHeight="false" outlineLevel="0" collapsed="false">
      <c r="A16" s="11" t="str">
        <f aca="false">IF(11&lt;=MAX(Employees!$BI$6:$BI$205),11,"")</f>
        <v/>
      </c>
      <c r="B16" s="11" t="str">
        <f aca="false">IF($A16="","",INDEX(Employees!$A$6:$A$205,MATCH($A16,Employees!$BI$6:$BI$205,0)))</f>
        <v/>
      </c>
      <c r="C16" s="11" t="str">
        <f aca="false">IF($A16="","",INDEX(Employees!$B$6:$B$205,MATCH($A16,Employees!$BI$6:$BI$205,0)))</f>
        <v/>
      </c>
      <c r="D16" s="11" t="str">
        <f aca="false">IF($A16="","",INDEX(Employees!$C$6:$C$205,MATCH($A16,Employees!$BI$6:$BI$205,0)))</f>
        <v/>
      </c>
      <c r="E16" s="11" t="str">
        <f aca="false">IF($A16="","",INDEX(Employees!$D$6:$D$205,MATCH($A16,Employees!$BI$6:$BI$205,0)))</f>
        <v/>
      </c>
      <c r="F16" s="11" t="str">
        <f aca="false">IF($A16="","",INDEX(Employees!$T$6:$T$205,MATCH($A16,Employees!$BI$6:$BI$205,0)))</f>
        <v/>
      </c>
      <c r="G16" s="26" t="str">
        <f aca="false">IF($A16="","",INDEX(Employees!$U$6:$U$205,MATCH($A16,Employees!$BI$6:$BI$205,0)))</f>
        <v/>
      </c>
      <c r="H16" s="28" t="str">
        <f aca="false">IF($A16="","",INDEX(Employees!$E$6:$E$205,MATCH($A16,Employees!$BI$6:$BI$205,0)))</f>
        <v/>
      </c>
      <c r="I16" s="11" t="str">
        <f aca="false">IF($A16="","",INDEX(Employees!$Z$6:$Z$205,MATCH($A16,Employees!$BI$6:$BI$205,0)))</f>
        <v/>
      </c>
      <c r="J16" s="26" t="str">
        <f aca="false">IF($A16="","",INDEX(Employees!$AB$6:$AB$205,MATCH($A16,Employees!$BI$6:$BI$205,0)))</f>
        <v/>
      </c>
      <c r="K16" s="26" t="str">
        <f aca="false">IF($A16="","",INDEX(Employees!$AI$6:$AI$205,MATCH($A16,Employees!$BI$6:$BI$205,0)))</f>
        <v/>
      </c>
      <c r="L16" s="26" t="str">
        <f aca="false">IF($A16="","",INDEX(Employees!$AK$6:$AK$205,MATCH($A16,Employees!$BI$6:$BI$205,0)))</f>
        <v/>
      </c>
      <c r="M16" s="11" t="str">
        <f aca="false">IF($A16="","",INDEX(Employees!$AM$6:$AM$205,MATCH($A16,Employees!$BI$6:$BI$205,0)))</f>
        <v/>
      </c>
      <c r="N16" s="11" t="str">
        <f aca="false">IF($A16="","",INDEX(Employees!$AN$6:$AN$205,MATCH($A16,Employees!$BI$6:$BI$205,0)))</f>
        <v/>
      </c>
    </row>
    <row r="17" customFormat="false" ht="15" hidden="false" customHeight="false" outlineLevel="0" collapsed="false">
      <c r="A17" s="11" t="str">
        <f aca="false">IF(12&lt;=MAX(Employees!$BI$6:$BI$205),12,"")</f>
        <v/>
      </c>
      <c r="B17" s="11" t="str">
        <f aca="false">IF($A17="","",INDEX(Employees!$A$6:$A$205,MATCH($A17,Employees!$BI$6:$BI$205,0)))</f>
        <v/>
      </c>
      <c r="C17" s="11" t="str">
        <f aca="false">IF($A17="","",INDEX(Employees!$B$6:$B$205,MATCH($A17,Employees!$BI$6:$BI$205,0)))</f>
        <v/>
      </c>
      <c r="D17" s="11" t="str">
        <f aca="false">IF($A17="","",INDEX(Employees!$C$6:$C$205,MATCH($A17,Employees!$BI$6:$BI$205,0)))</f>
        <v/>
      </c>
      <c r="E17" s="11" t="str">
        <f aca="false">IF($A17="","",INDEX(Employees!$D$6:$D$205,MATCH($A17,Employees!$BI$6:$BI$205,0)))</f>
        <v/>
      </c>
      <c r="F17" s="11" t="str">
        <f aca="false">IF($A17="","",INDEX(Employees!$T$6:$T$205,MATCH($A17,Employees!$BI$6:$BI$205,0)))</f>
        <v/>
      </c>
      <c r="G17" s="26" t="str">
        <f aca="false">IF($A17="","",INDEX(Employees!$U$6:$U$205,MATCH($A17,Employees!$BI$6:$BI$205,0)))</f>
        <v/>
      </c>
      <c r="H17" s="28" t="str">
        <f aca="false">IF($A17="","",INDEX(Employees!$E$6:$E$205,MATCH($A17,Employees!$BI$6:$BI$205,0)))</f>
        <v/>
      </c>
      <c r="I17" s="11" t="str">
        <f aca="false">IF($A17="","",INDEX(Employees!$Z$6:$Z$205,MATCH($A17,Employees!$BI$6:$BI$205,0)))</f>
        <v/>
      </c>
      <c r="J17" s="26" t="str">
        <f aca="false">IF($A17="","",INDEX(Employees!$AB$6:$AB$205,MATCH($A17,Employees!$BI$6:$BI$205,0)))</f>
        <v/>
      </c>
      <c r="K17" s="26" t="str">
        <f aca="false">IF($A17="","",INDEX(Employees!$AI$6:$AI$205,MATCH($A17,Employees!$BI$6:$BI$205,0)))</f>
        <v/>
      </c>
      <c r="L17" s="26" t="str">
        <f aca="false">IF($A17="","",INDEX(Employees!$AK$6:$AK$205,MATCH($A17,Employees!$BI$6:$BI$205,0)))</f>
        <v/>
      </c>
      <c r="M17" s="11" t="str">
        <f aca="false">IF($A17="","",INDEX(Employees!$AM$6:$AM$205,MATCH($A17,Employees!$BI$6:$BI$205,0)))</f>
        <v/>
      </c>
      <c r="N17" s="11" t="str">
        <f aca="false">IF($A17="","",INDEX(Employees!$AN$6:$AN$205,MATCH($A17,Employees!$BI$6:$BI$205,0)))</f>
        <v/>
      </c>
    </row>
    <row r="18" customFormat="false" ht="15" hidden="false" customHeight="false" outlineLevel="0" collapsed="false">
      <c r="A18" s="11" t="str">
        <f aca="false">IF(13&lt;=MAX(Employees!$BI$6:$BI$205),13,"")</f>
        <v/>
      </c>
      <c r="B18" s="11" t="str">
        <f aca="false">IF($A18="","",INDEX(Employees!$A$6:$A$205,MATCH($A18,Employees!$BI$6:$BI$205,0)))</f>
        <v/>
      </c>
      <c r="C18" s="11" t="str">
        <f aca="false">IF($A18="","",INDEX(Employees!$B$6:$B$205,MATCH($A18,Employees!$BI$6:$BI$205,0)))</f>
        <v/>
      </c>
      <c r="D18" s="11" t="str">
        <f aca="false">IF($A18="","",INDEX(Employees!$C$6:$C$205,MATCH($A18,Employees!$BI$6:$BI$205,0)))</f>
        <v/>
      </c>
      <c r="E18" s="11" t="str">
        <f aca="false">IF($A18="","",INDEX(Employees!$D$6:$D$205,MATCH($A18,Employees!$BI$6:$BI$205,0)))</f>
        <v/>
      </c>
      <c r="F18" s="11" t="str">
        <f aca="false">IF($A18="","",INDEX(Employees!$T$6:$T$205,MATCH($A18,Employees!$BI$6:$BI$205,0)))</f>
        <v/>
      </c>
      <c r="G18" s="26" t="str">
        <f aca="false">IF($A18="","",INDEX(Employees!$U$6:$U$205,MATCH($A18,Employees!$BI$6:$BI$205,0)))</f>
        <v/>
      </c>
      <c r="H18" s="28" t="str">
        <f aca="false">IF($A18="","",INDEX(Employees!$E$6:$E$205,MATCH($A18,Employees!$BI$6:$BI$205,0)))</f>
        <v/>
      </c>
      <c r="I18" s="11" t="str">
        <f aca="false">IF($A18="","",INDEX(Employees!$Z$6:$Z$205,MATCH($A18,Employees!$BI$6:$BI$205,0)))</f>
        <v/>
      </c>
      <c r="J18" s="26" t="str">
        <f aca="false">IF($A18="","",INDEX(Employees!$AB$6:$AB$205,MATCH($A18,Employees!$BI$6:$BI$205,0)))</f>
        <v/>
      </c>
      <c r="K18" s="26" t="str">
        <f aca="false">IF($A18="","",INDEX(Employees!$AI$6:$AI$205,MATCH($A18,Employees!$BI$6:$BI$205,0)))</f>
        <v/>
      </c>
      <c r="L18" s="26" t="str">
        <f aca="false">IF($A18="","",INDEX(Employees!$AK$6:$AK$205,MATCH($A18,Employees!$BI$6:$BI$205,0)))</f>
        <v/>
      </c>
      <c r="M18" s="11" t="str">
        <f aca="false">IF($A18="","",INDEX(Employees!$AM$6:$AM$205,MATCH($A18,Employees!$BI$6:$BI$205,0)))</f>
        <v/>
      </c>
      <c r="N18" s="11" t="str">
        <f aca="false">IF($A18="","",INDEX(Employees!$AN$6:$AN$205,MATCH($A18,Employees!$BI$6:$BI$205,0)))</f>
        <v/>
      </c>
    </row>
    <row r="19" customFormat="false" ht="15" hidden="false" customHeight="false" outlineLevel="0" collapsed="false">
      <c r="A19" s="11" t="str">
        <f aca="false">IF(14&lt;=MAX(Employees!$BI$6:$BI$205),14,"")</f>
        <v/>
      </c>
      <c r="B19" s="11" t="str">
        <f aca="false">IF($A19="","",INDEX(Employees!$A$6:$A$205,MATCH($A19,Employees!$BI$6:$BI$205,0)))</f>
        <v/>
      </c>
      <c r="C19" s="11" t="str">
        <f aca="false">IF($A19="","",INDEX(Employees!$B$6:$B$205,MATCH($A19,Employees!$BI$6:$BI$205,0)))</f>
        <v/>
      </c>
      <c r="D19" s="11" t="str">
        <f aca="false">IF($A19="","",INDEX(Employees!$C$6:$C$205,MATCH($A19,Employees!$BI$6:$BI$205,0)))</f>
        <v/>
      </c>
      <c r="E19" s="11" t="str">
        <f aca="false">IF($A19="","",INDEX(Employees!$D$6:$D$205,MATCH($A19,Employees!$BI$6:$BI$205,0)))</f>
        <v/>
      </c>
      <c r="F19" s="11" t="str">
        <f aca="false">IF($A19="","",INDEX(Employees!$T$6:$T$205,MATCH($A19,Employees!$BI$6:$BI$205,0)))</f>
        <v/>
      </c>
      <c r="G19" s="26" t="str">
        <f aca="false">IF($A19="","",INDEX(Employees!$U$6:$U$205,MATCH($A19,Employees!$BI$6:$BI$205,0)))</f>
        <v/>
      </c>
      <c r="H19" s="28" t="str">
        <f aca="false">IF($A19="","",INDEX(Employees!$E$6:$E$205,MATCH($A19,Employees!$BI$6:$BI$205,0)))</f>
        <v/>
      </c>
      <c r="I19" s="11" t="str">
        <f aca="false">IF($A19="","",INDEX(Employees!$Z$6:$Z$205,MATCH($A19,Employees!$BI$6:$BI$205,0)))</f>
        <v/>
      </c>
      <c r="J19" s="26" t="str">
        <f aca="false">IF($A19="","",INDEX(Employees!$AB$6:$AB$205,MATCH($A19,Employees!$BI$6:$BI$205,0)))</f>
        <v/>
      </c>
      <c r="K19" s="26" t="str">
        <f aca="false">IF($A19="","",INDEX(Employees!$AI$6:$AI$205,MATCH($A19,Employees!$BI$6:$BI$205,0)))</f>
        <v/>
      </c>
      <c r="L19" s="26" t="str">
        <f aca="false">IF($A19="","",INDEX(Employees!$AK$6:$AK$205,MATCH($A19,Employees!$BI$6:$BI$205,0)))</f>
        <v/>
      </c>
      <c r="M19" s="11" t="str">
        <f aca="false">IF($A19="","",INDEX(Employees!$AM$6:$AM$205,MATCH($A19,Employees!$BI$6:$BI$205,0)))</f>
        <v/>
      </c>
      <c r="N19" s="11" t="str">
        <f aca="false">IF($A19="","",INDEX(Employees!$AN$6:$AN$205,MATCH($A19,Employees!$BI$6:$BI$205,0)))</f>
        <v/>
      </c>
    </row>
    <row r="20" customFormat="false" ht="15" hidden="false" customHeight="false" outlineLevel="0" collapsed="false">
      <c r="A20" s="11" t="str">
        <f aca="false">IF(15&lt;=MAX(Employees!$BI$6:$BI$205),15,"")</f>
        <v/>
      </c>
      <c r="B20" s="11" t="str">
        <f aca="false">IF($A20="","",INDEX(Employees!$A$6:$A$205,MATCH($A20,Employees!$BI$6:$BI$205,0)))</f>
        <v/>
      </c>
      <c r="C20" s="11" t="str">
        <f aca="false">IF($A20="","",INDEX(Employees!$B$6:$B$205,MATCH($A20,Employees!$BI$6:$BI$205,0)))</f>
        <v/>
      </c>
      <c r="D20" s="11" t="str">
        <f aca="false">IF($A20="","",INDEX(Employees!$C$6:$C$205,MATCH($A20,Employees!$BI$6:$BI$205,0)))</f>
        <v/>
      </c>
      <c r="E20" s="11" t="str">
        <f aca="false">IF($A20="","",INDEX(Employees!$D$6:$D$205,MATCH($A20,Employees!$BI$6:$BI$205,0)))</f>
        <v/>
      </c>
      <c r="F20" s="11" t="str">
        <f aca="false">IF($A20="","",INDEX(Employees!$T$6:$T$205,MATCH($A20,Employees!$BI$6:$BI$205,0)))</f>
        <v/>
      </c>
      <c r="G20" s="26" t="str">
        <f aca="false">IF($A20="","",INDEX(Employees!$U$6:$U$205,MATCH($A20,Employees!$BI$6:$BI$205,0)))</f>
        <v/>
      </c>
      <c r="H20" s="28" t="str">
        <f aca="false">IF($A20="","",INDEX(Employees!$E$6:$E$205,MATCH($A20,Employees!$BI$6:$BI$205,0)))</f>
        <v/>
      </c>
      <c r="I20" s="11" t="str">
        <f aca="false">IF($A20="","",INDEX(Employees!$Z$6:$Z$205,MATCH($A20,Employees!$BI$6:$BI$205,0)))</f>
        <v/>
      </c>
      <c r="J20" s="26" t="str">
        <f aca="false">IF($A20="","",INDEX(Employees!$AB$6:$AB$205,MATCH($A20,Employees!$BI$6:$BI$205,0)))</f>
        <v/>
      </c>
      <c r="K20" s="26" t="str">
        <f aca="false">IF($A20="","",INDEX(Employees!$AI$6:$AI$205,MATCH($A20,Employees!$BI$6:$BI$205,0)))</f>
        <v/>
      </c>
      <c r="L20" s="26" t="str">
        <f aca="false">IF($A20="","",INDEX(Employees!$AK$6:$AK$205,MATCH($A20,Employees!$BI$6:$BI$205,0)))</f>
        <v/>
      </c>
      <c r="M20" s="11" t="str">
        <f aca="false">IF($A20="","",INDEX(Employees!$AM$6:$AM$205,MATCH($A20,Employees!$BI$6:$BI$205,0)))</f>
        <v/>
      </c>
      <c r="N20" s="11" t="str">
        <f aca="false">IF($A20="","",INDEX(Employees!$AN$6:$AN$205,MATCH($A20,Employees!$BI$6:$BI$205,0)))</f>
        <v/>
      </c>
    </row>
    <row r="21" customFormat="false" ht="15" hidden="false" customHeight="false" outlineLevel="0" collapsed="false">
      <c r="A21" s="11" t="str">
        <f aca="false">IF(16&lt;=MAX(Employees!$BI$6:$BI$205),16,"")</f>
        <v/>
      </c>
      <c r="B21" s="11" t="str">
        <f aca="false">IF($A21="","",INDEX(Employees!$A$6:$A$205,MATCH($A21,Employees!$BI$6:$BI$205,0)))</f>
        <v/>
      </c>
      <c r="C21" s="11" t="str">
        <f aca="false">IF($A21="","",INDEX(Employees!$B$6:$B$205,MATCH($A21,Employees!$BI$6:$BI$205,0)))</f>
        <v/>
      </c>
      <c r="D21" s="11" t="str">
        <f aca="false">IF($A21="","",INDEX(Employees!$C$6:$C$205,MATCH($A21,Employees!$BI$6:$BI$205,0)))</f>
        <v/>
      </c>
      <c r="E21" s="11" t="str">
        <f aca="false">IF($A21="","",INDEX(Employees!$D$6:$D$205,MATCH($A21,Employees!$BI$6:$BI$205,0)))</f>
        <v/>
      </c>
      <c r="F21" s="11" t="str">
        <f aca="false">IF($A21="","",INDEX(Employees!$T$6:$T$205,MATCH($A21,Employees!$BI$6:$BI$205,0)))</f>
        <v/>
      </c>
      <c r="G21" s="26" t="str">
        <f aca="false">IF($A21="","",INDEX(Employees!$U$6:$U$205,MATCH($A21,Employees!$BI$6:$BI$205,0)))</f>
        <v/>
      </c>
      <c r="H21" s="28" t="str">
        <f aca="false">IF($A21="","",INDEX(Employees!$E$6:$E$205,MATCH($A21,Employees!$BI$6:$BI$205,0)))</f>
        <v/>
      </c>
      <c r="I21" s="11" t="str">
        <f aca="false">IF($A21="","",INDEX(Employees!$Z$6:$Z$205,MATCH($A21,Employees!$BI$6:$BI$205,0)))</f>
        <v/>
      </c>
      <c r="J21" s="26" t="str">
        <f aca="false">IF($A21="","",INDEX(Employees!$AB$6:$AB$205,MATCH($A21,Employees!$BI$6:$BI$205,0)))</f>
        <v/>
      </c>
      <c r="K21" s="26" t="str">
        <f aca="false">IF($A21="","",INDEX(Employees!$AI$6:$AI$205,MATCH($A21,Employees!$BI$6:$BI$205,0)))</f>
        <v/>
      </c>
      <c r="L21" s="26" t="str">
        <f aca="false">IF($A21="","",INDEX(Employees!$AK$6:$AK$205,MATCH($A21,Employees!$BI$6:$BI$205,0)))</f>
        <v/>
      </c>
      <c r="M21" s="11" t="str">
        <f aca="false">IF($A21="","",INDEX(Employees!$AM$6:$AM$205,MATCH($A21,Employees!$BI$6:$BI$205,0)))</f>
        <v/>
      </c>
      <c r="N21" s="11" t="str">
        <f aca="false">IF($A21="","",INDEX(Employees!$AN$6:$AN$205,MATCH($A21,Employees!$BI$6:$BI$205,0)))</f>
        <v/>
      </c>
    </row>
    <row r="22" customFormat="false" ht="15" hidden="false" customHeight="false" outlineLevel="0" collapsed="false">
      <c r="A22" s="11" t="str">
        <f aca="false">IF(17&lt;=MAX(Employees!$BI$6:$BI$205),17,"")</f>
        <v/>
      </c>
      <c r="B22" s="11" t="str">
        <f aca="false">IF($A22="","",INDEX(Employees!$A$6:$A$205,MATCH($A22,Employees!$BI$6:$BI$205,0)))</f>
        <v/>
      </c>
      <c r="C22" s="11" t="str">
        <f aca="false">IF($A22="","",INDEX(Employees!$B$6:$B$205,MATCH($A22,Employees!$BI$6:$BI$205,0)))</f>
        <v/>
      </c>
      <c r="D22" s="11" t="str">
        <f aca="false">IF($A22="","",INDEX(Employees!$C$6:$C$205,MATCH($A22,Employees!$BI$6:$BI$205,0)))</f>
        <v/>
      </c>
      <c r="E22" s="11" t="str">
        <f aca="false">IF($A22="","",INDEX(Employees!$D$6:$D$205,MATCH($A22,Employees!$BI$6:$BI$205,0)))</f>
        <v/>
      </c>
      <c r="F22" s="11" t="str">
        <f aca="false">IF($A22="","",INDEX(Employees!$T$6:$T$205,MATCH($A22,Employees!$BI$6:$BI$205,0)))</f>
        <v/>
      </c>
      <c r="G22" s="26" t="str">
        <f aca="false">IF($A22="","",INDEX(Employees!$U$6:$U$205,MATCH($A22,Employees!$BI$6:$BI$205,0)))</f>
        <v/>
      </c>
      <c r="H22" s="28" t="str">
        <f aca="false">IF($A22="","",INDEX(Employees!$E$6:$E$205,MATCH($A22,Employees!$BI$6:$BI$205,0)))</f>
        <v/>
      </c>
      <c r="I22" s="11" t="str">
        <f aca="false">IF($A22="","",INDEX(Employees!$Z$6:$Z$205,MATCH($A22,Employees!$BI$6:$BI$205,0)))</f>
        <v/>
      </c>
      <c r="J22" s="26" t="str">
        <f aca="false">IF($A22="","",INDEX(Employees!$AB$6:$AB$205,MATCH($A22,Employees!$BI$6:$BI$205,0)))</f>
        <v/>
      </c>
      <c r="K22" s="26" t="str">
        <f aca="false">IF($A22="","",INDEX(Employees!$AI$6:$AI$205,MATCH($A22,Employees!$BI$6:$BI$205,0)))</f>
        <v/>
      </c>
      <c r="L22" s="26" t="str">
        <f aca="false">IF($A22="","",INDEX(Employees!$AK$6:$AK$205,MATCH($A22,Employees!$BI$6:$BI$205,0)))</f>
        <v/>
      </c>
      <c r="M22" s="11" t="str">
        <f aca="false">IF($A22="","",INDEX(Employees!$AM$6:$AM$205,MATCH($A22,Employees!$BI$6:$BI$205,0)))</f>
        <v/>
      </c>
      <c r="N22" s="11" t="str">
        <f aca="false">IF($A22="","",INDEX(Employees!$AN$6:$AN$205,MATCH($A22,Employees!$BI$6:$BI$205,0)))</f>
        <v/>
      </c>
    </row>
    <row r="23" customFormat="false" ht="15" hidden="false" customHeight="false" outlineLevel="0" collapsed="false">
      <c r="A23" s="11" t="str">
        <f aca="false">IF(18&lt;=MAX(Employees!$BI$6:$BI$205),18,"")</f>
        <v/>
      </c>
      <c r="B23" s="11" t="str">
        <f aca="false">IF($A23="","",INDEX(Employees!$A$6:$A$205,MATCH($A23,Employees!$BI$6:$BI$205,0)))</f>
        <v/>
      </c>
      <c r="C23" s="11" t="str">
        <f aca="false">IF($A23="","",INDEX(Employees!$B$6:$B$205,MATCH($A23,Employees!$BI$6:$BI$205,0)))</f>
        <v/>
      </c>
      <c r="D23" s="11" t="str">
        <f aca="false">IF($A23="","",INDEX(Employees!$C$6:$C$205,MATCH($A23,Employees!$BI$6:$BI$205,0)))</f>
        <v/>
      </c>
      <c r="E23" s="11" t="str">
        <f aca="false">IF($A23="","",INDEX(Employees!$D$6:$D$205,MATCH($A23,Employees!$BI$6:$BI$205,0)))</f>
        <v/>
      </c>
      <c r="F23" s="11" t="str">
        <f aca="false">IF($A23="","",INDEX(Employees!$T$6:$T$205,MATCH($A23,Employees!$BI$6:$BI$205,0)))</f>
        <v/>
      </c>
      <c r="G23" s="26" t="str">
        <f aca="false">IF($A23="","",INDEX(Employees!$U$6:$U$205,MATCH($A23,Employees!$BI$6:$BI$205,0)))</f>
        <v/>
      </c>
      <c r="H23" s="28" t="str">
        <f aca="false">IF($A23="","",INDEX(Employees!$E$6:$E$205,MATCH($A23,Employees!$BI$6:$BI$205,0)))</f>
        <v/>
      </c>
      <c r="I23" s="11" t="str">
        <f aca="false">IF($A23="","",INDEX(Employees!$Z$6:$Z$205,MATCH($A23,Employees!$BI$6:$BI$205,0)))</f>
        <v/>
      </c>
      <c r="J23" s="26" t="str">
        <f aca="false">IF($A23="","",INDEX(Employees!$AB$6:$AB$205,MATCH($A23,Employees!$BI$6:$BI$205,0)))</f>
        <v/>
      </c>
      <c r="K23" s="26" t="str">
        <f aca="false">IF($A23="","",INDEX(Employees!$AI$6:$AI$205,MATCH($A23,Employees!$BI$6:$BI$205,0)))</f>
        <v/>
      </c>
      <c r="L23" s="26" t="str">
        <f aca="false">IF($A23="","",INDEX(Employees!$AK$6:$AK$205,MATCH($A23,Employees!$BI$6:$BI$205,0)))</f>
        <v/>
      </c>
      <c r="M23" s="11" t="str">
        <f aca="false">IF($A23="","",INDEX(Employees!$AM$6:$AM$205,MATCH($A23,Employees!$BI$6:$BI$205,0)))</f>
        <v/>
      </c>
      <c r="N23" s="11" t="str">
        <f aca="false">IF($A23="","",INDEX(Employees!$AN$6:$AN$205,MATCH($A23,Employees!$BI$6:$BI$205,0)))</f>
        <v/>
      </c>
    </row>
    <row r="24" customFormat="false" ht="15" hidden="false" customHeight="false" outlineLevel="0" collapsed="false">
      <c r="A24" s="11" t="str">
        <f aca="false">IF(19&lt;=MAX(Employees!$BI$6:$BI$205),19,"")</f>
        <v/>
      </c>
      <c r="B24" s="11" t="str">
        <f aca="false">IF($A24="","",INDEX(Employees!$A$6:$A$205,MATCH($A24,Employees!$BI$6:$BI$205,0)))</f>
        <v/>
      </c>
      <c r="C24" s="11" t="str">
        <f aca="false">IF($A24="","",INDEX(Employees!$B$6:$B$205,MATCH($A24,Employees!$BI$6:$BI$205,0)))</f>
        <v/>
      </c>
      <c r="D24" s="11" t="str">
        <f aca="false">IF($A24="","",INDEX(Employees!$C$6:$C$205,MATCH($A24,Employees!$BI$6:$BI$205,0)))</f>
        <v/>
      </c>
      <c r="E24" s="11" t="str">
        <f aca="false">IF($A24="","",INDEX(Employees!$D$6:$D$205,MATCH($A24,Employees!$BI$6:$BI$205,0)))</f>
        <v/>
      </c>
      <c r="F24" s="11" t="str">
        <f aca="false">IF($A24="","",INDEX(Employees!$T$6:$T$205,MATCH($A24,Employees!$BI$6:$BI$205,0)))</f>
        <v/>
      </c>
      <c r="G24" s="26" t="str">
        <f aca="false">IF($A24="","",INDEX(Employees!$U$6:$U$205,MATCH($A24,Employees!$BI$6:$BI$205,0)))</f>
        <v/>
      </c>
      <c r="H24" s="28" t="str">
        <f aca="false">IF($A24="","",INDEX(Employees!$E$6:$E$205,MATCH($A24,Employees!$BI$6:$BI$205,0)))</f>
        <v/>
      </c>
      <c r="I24" s="11" t="str">
        <f aca="false">IF($A24="","",INDEX(Employees!$Z$6:$Z$205,MATCH($A24,Employees!$BI$6:$BI$205,0)))</f>
        <v/>
      </c>
      <c r="J24" s="26" t="str">
        <f aca="false">IF($A24="","",INDEX(Employees!$AB$6:$AB$205,MATCH($A24,Employees!$BI$6:$BI$205,0)))</f>
        <v/>
      </c>
      <c r="K24" s="26" t="str">
        <f aca="false">IF($A24="","",INDEX(Employees!$AI$6:$AI$205,MATCH($A24,Employees!$BI$6:$BI$205,0)))</f>
        <v/>
      </c>
      <c r="L24" s="26" t="str">
        <f aca="false">IF($A24="","",INDEX(Employees!$AK$6:$AK$205,MATCH($A24,Employees!$BI$6:$BI$205,0)))</f>
        <v/>
      </c>
      <c r="M24" s="11" t="str">
        <f aca="false">IF($A24="","",INDEX(Employees!$AM$6:$AM$205,MATCH($A24,Employees!$BI$6:$BI$205,0)))</f>
        <v/>
      </c>
      <c r="N24" s="11" t="str">
        <f aca="false">IF($A24="","",INDEX(Employees!$AN$6:$AN$205,MATCH($A24,Employees!$BI$6:$BI$205,0)))</f>
        <v/>
      </c>
    </row>
    <row r="25" customFormat="false" ht="15" hidden="false" customHeight="false" outlineLevel="0" collapsed="false">
      <c r="A25" s="11" t="str">
        <f aca="false">IF(20&lt;=MAX(Employees!$BI$6:$BI$205),20,"")</f>
        <v/>
      </c>
      <c r="B25" s="11" t="str">
        <f aca="false">IF($A25="","",INDEX(Employees!$A$6:$A$205,MATCH($A25,Employees!$BI$6:$BI$205,0)))</f>
        <v/>
      </c>
      <c r="C25" s="11" t="str">
        <f aca="false">IF($A25="","",INDEX(Employees!$B$6:$B$205,MATCH($A25,Employees!$BI$6:$BI$205,0)))</f>
        <v/>
      </c>
      <c r="D25" s="11" t="str">
        <f aca="false">IF($A25="","",INDEX(Employees!$C$6:$C$205,MATCH($A25,Employees!$BI$6:$BI$205,0)))</f>
        <v/>
      </c>
      <c r="E25" s="11" t="str">
        <f aca="false">IF($A25="","",INDEX(Employees!$D$6:$D$205,MATCH($A25,Employees!$BI$6:$BI$205,0)))</f>
        <v/>
      </c>
      <c r="F25" s="11" t="str">
        <f aca="false">IF($A25="","",INDEX(Employees!$T$6:$T$205,MATCH($A25,Employees!$BI$6:$BI$205,0)))</f>
        <v/>
      </c>
      <c r="G25" s="26" t="str">
        <f aca="false">IF($A25="","",INDEX(Employees!$U$6:$U$205,MATCH($A25,Employees!$BI$6:$BI$205,0)))</f>
        <v/>
      </c>
      <c r="H25" s="28" t="str">
        <f aca="false">IF($A25="","",INDEX(Employees!$E$6:$E$205,MATCH($A25,Employees!$BI$6:$BI$205,0)))</f>
        <v/>
      </c>
      <c r="I25" s="11" t="str">
        <f aca="false">IF($A25="","",INDEX(Employees!$Z$6:$Z$205,MATCH($A25,Employees!$BI$6:$BI$205,0)))</f>
        <v/>
      </c>
      <c r="J25" s="26" t="str">
        <f aca="false">IF($A25="","",INDEX(Employees!$AB$6:$AB$205,MATCH($A25,Employees!$BI$6:$BI$205,0)))</f>
        <v/>
      </c>
      <c r="K25" s="26" t="str">
        <f aca="false">IF($A25="","",INDEX(Employees!$AI$6:$AI$205,MATCH($A25,Employees!$BI$6:$BI$205,0)))</f>
        <v/>
      </c>
      <c r="L25" s="26" t="str">
        <f aca="false">IF($A25="","",INDEX(Employees!$AK$6:$AK$205,MATCH($A25,Employees!$BI$6:$BI$205,0)))</f>
        <v/>
      </c>
      <c r="M25" s="11" t="str">
        <f aca="false">IF($A25="","",INDEX(Employees!$AM$6:$AM$205,MATCH($A25,Employees!$BI$6:$BI$205,0)))</f>
        <v/>
      </c>
      <c r="N25" s="11" t="str">
        <f aca="false">IF($A25="","",INDEX(Employees!$AN$6:$AN$205,MATCH($A25,Employees!$BI$6:$BI$205,0)))</f>
        <v/>
      </c>
    </row>
    <row r="26" customFormat="false" ht="15" hidden="false" customHeight="false" outlineLevel="0" collapsed="false">
      <c r="A26" s="11" t="str">
        <f aca="false">IF(21&lt;=MAX(Employees!$BI$6:$BI$205),21,"")</f>
        <v/>
      </c>
      <c r="B26" s="11" t="str">
        <f aca="false">IF($A26="","",INDEX(Employees!$A$6:$A$205,MATCH($A26,Employees!$BI$6:$BI$205,0)))</f>
        <v/>
      </c>
      <c r="C26" s="11" t="str">
        <f aca="false">IF($A26="","",INDEX(Employees!$B$6:$B$205,MATCH($A26,Employees!$BI$6:$BI$205,0)))</f>
        <v/>
      </c>
      <c r="D26" s="11" t="str">
        <f aca="false">IF($A26="","",INDEX(Employees!$C$6:$C$205,MATCH($A26,Employees!$BI$6:$BI$205,0)))</f>
        <v/>
      </c>
      <c r="E26" s="11" t="str">
        <f aca="false">IF($A26="","",INDEX(Employees!$D$6:$D$205,MATCH($A26,Employees!$BI$6:$BI$205,0)))</f>
        <v/>
      </c>
      <c r="F26" s="11" t="str">
        <f aca="false">IF($A26="","",INDEX(Employees!$T$6:$T$205,MATCH($A26,Employees!$BI$6:$BI$205,0)))</f>
        <v/>
      </c>
      <c r="G26" s="26" t="str">
        <f aca="false">IF($A26="","",INDEX(Employees!$U$6:$U$205,MATCH($A26,Employees!$BI$6:$BI$205,0)))</f>
        <v/>
      </c>
      <c r="H26" s="28" t="str">
        <f aca="false">IF($A26="","",INDEX(Employees!$E$6:$E$205,MATCH($A26,Employees!$BI$6:$BI$205,0)))</f>
        <v/>
      </c>
      <c r="I26" s="11" t="str">
        <f aca="false">IF($A26="","",INDEX(Employees!$Z$6:$Z$205,MATCH($A26,Employees!$BI$6:$BI$205,0)))</f>
        <v/>
      </c>
      <c r="J26" s="26" t="str">
        <f aca="false">IF($A26="","",INDEX(Employees!$AB$6:$AB$205,MATCH($A26,Employees!$BI$6:$BI$205,0)))</f>
        <v/>
      </c>
      <c r="K26" s="26" t="str">
        <f aca="false">IF($A26="","",INDEX(Employees!$AI$6:$AI$205,MATCH($A26,Employees!$BI$6:$BI$205,0)))</f>
        <v/>
      </c>
      <c r="L26" s="26" t="str">
        <f aca="false">IF($A26="","",INDEX(Employees!$AK$6:$AK$205,MATCH($A26,Employees!$BI$6:$BI$205,0)))</f>
        <v/>
      </c>
      <c r="M26" s="11" t="str">
        <f aca="false">IF($A26="","",INDEX(Employees!$AM$6:$AM$205,MATCH($A26,Employees!$BI$6:$BI$205,0)))</f>
        <v/>
      </c>
      <c r="N26" s="11" t="str">
        <f aca="false">IF($A26="","",INDEX(Employees!$AN$6:$AN$205,MATCH($A26,Employees!$BI$6:$BI$205,0)))</f>
        <v/>
      </c>
    </row>
    <row r="27" customFormat="false" ht="15" hidden="false" customHeight="false" outlineLevel="0" collapsed="false">
      <c r="A27" s="11" t="str">
        <f aca="false">IF(22&lt;=MAX(Employees!$BI$6:$BI$205),22,"")</f>
        <v/>
      </c>
      <c r="B27" s="11" t="str">
        <f aca="false">IF($A27="","",INDEX(Employees!$A$6:$A$205,MATCH($A27,Employees!$BI$6:$BI$205,0)))</f>
        <v/>
      </c>
      <c r="C27" s="11" t="str">
        <f aca="false">IF($A27="","",INDEX(Employees!$B$6:$B$205,MATCH($A27,Employees!$BI$6:$BI$205,0)))</f>
        <v/>
      </c>
      <c r="D27" s="11" t="str">
        <f aca="false">IF($A27="","",INDEX(Employees!$C$6:$C$205,MATCH($A27,Employees!$BI$6:$BI$205,0)))</f>
        <v/>
      </c>
      <c r="E27" s="11" t="str">
        <f aca="false">IF($A27="","",INDEX(Employees!$D$6:$D$205,MATCH($A27,Employees!$BI$6:$BI$205,0)))</f>
        <v/>
      </c>
      <c r="F27" s="11" t="str">
        <f aca="false">IF($A27="","",INDEX(Employees!$T$6:$T$205,MATCH($A27,Employees!$BI$6:$BI$205,0)))</f>
        <v/>
      </c>
      <c r="G27" s="26" t="str">
        <f aca="false">IF($A27="","",INDEX(Employees!$U$6:$U$205,MATCH($A27,Employees!$BI$6:$BI$205,0)))</f>
        <v/>
      </c>
      <c r="H27" s="28" t="str">
        <f aca="false">IF($A27="","",INDEX(Employees!$E$6:$E$205,MATCH($A27,Employees!$BI$6:$BI$205,0)))</f>
        <v/>
      </c>
      <c r="I27" s="11" t="str">
        <f aca="false">IF($A27="","",INDEX(Employees!$Z$6:$Z$205,MATCH($A27,Employees!$BI$6:$BI$205,0)))</f>
        <v/>
      </c>
      <c r="J27" s="26" t="str">
        <f aca="false">IF($A27="","",INDEX(Employees!$AB$6:$AB$205,MATCH($A27,Employees!$BI$6:$BI$205,0)))</f>
        <v/>
      </c>
      <c r="K27" s="26" t="str">
        <f aca="false">IF($A27="","",INDEX(Employees!$AI$6:$AI$205,MATCH($A27,Employees!$BI$6:$BI$205,0)))</f>
        <v/>
      </c>
      <c r="L27" s="26" t="str">
        <f aca="false">IF($A27="","",INDEX(Employees!$AK$6:$AK$205,MATCH($A27,Employees!$BI$6:$BI$205,0)))</f>
        <v/>
      </c>
      <c r="M27" s="11" t="str">
        <f aca="false">IF($A27="","",INDEX(Employees!$AM$6:$AM$205,MATCH($A27,Employees!$BI$6:$BI$205,0)))</f>
        <v/>
      </c>
      <c r="N27" s="11" t="str">
        <f aca="false">IF($A27="","",INDEX(Employees!$AN$6:$AN$205,MATCH($A27,Employees!$BI$6:$BI$205,0)))</f>
        <v/>
      </c>
    </row>
    <row r="28" customFormat="false" ht="15" hidden="false" customHeight="false" outlineLevel="0" collapsed="false">
      <c r="A28" s="11" t="str">
        <f aca="false">IF(23&lt;=MAX(Employees!$BI$6:$BI$205),23,"")</f>
        <v/>
      </c>
      <c r="B28" s="11" t="str">
        <f aca="false">IF($A28="","",INDEX(Employees!$A$6:$A$205,MATCH($A28,Employees!$BI$6:$BI$205,0)))</f>
        <v/>
      </c>
      <c r="C28" s="11" t="str">
        <f aca="false">IF($A28="","",INDEX(Employees!$B$6:$B$205,MATCH($A28,Employees!$BI$6:$BI$205,0)))</f>
        <v/>
      </c>
      <c r="D28" s="11" t="str">
        <f aca="false">IF($A28="","",INDEX(Employees!$C$6:$C$205,MATCH($A28,Employees!$BI$6:$BI$205,0)))</f>
        <v/>
      </c>
      <c r="E28" s="11" t="str">
        <f aca="false">IF($A28="","",INDEX(Employees!$D$6:$D$205,MATCH($A28,Employees!$BI$6:$BI$205,0)))</f>
        <v/>
      </c>
      <c r="F28" s="11" t="str">
        <f aca="false">IF($A28="","",INDEX(Employees!$T$6:$T$205,MATCH($A28,Employees!$BI$6:$BI$205,0)))</f>
        <v/>
      </c>
      <c r="G28" s="26" t="str">
        <f aca="false">IF($A28="","",INDEX(Employees!$U$6:$U$205,MATCH($A28,Employees!$BI$6:$BI$205,0)))</f>
        <v/>
      </c>
      <c r="H28" s="28" t="str">
        <f aca="false">IF($A28="","",INDEX(Employees!$E$6:$E$205,MATCH($A28,Employees!$BI$6:$BI$205,0)))</f>
        <v/>
      </c>
      <c r="I28" s="11" t="str">
        <f aca="false">IF($A28="","",INDEX(Employees!$Z$6:$Z$205,MATCH($A28,Employees!$BI$6:$BI$205,0)))</f>
        <v/>
      </c>
      <c r="J28" s="26" t="str">
        <f aca="false">IF($A28="","",INDEX(Employees!$AB$6:$AB$205,MATCH($A28,Employees!$BI$6:$BI$205,0)))</f>
        <v/>
      </c>
      <c r="K28" s="26" t="str">
        <f aca="false">IF($A28="","",INDEX(Employees!$AI$6:$AI$205,MATCH($A28,Employees!$BI$6:$BI$205,0)))</f>
        <v/>
      </c>
      <c r="L28" s="26" t="str">
        <f aca="false">IF($A28="","",INDEX(Employees!$AK$6:$AK$205,MATCH($A28,Employees!$BI$6:$BI$205,0)))</f>
        <v/>
      </c>
      <c r="M28" s="11" t="str">
        <f aca="false">IF($A28="","",INDEX(Employees!$AM$6:$AM$205,MATCH($A28,Employees!$BI$6:$BI$205,0)))</f>
        <v/>
      </c>
      <c r="N28" s="11" t="str">
        <f aca="false">IF($A28="","",INDEX(Employees!$AN$6:$AN$205,MATCH($A28,Employees!$BI$6:$BI$205,0)))</f>
        <v/>
      </c>
    </row>
    <row r="29" customFormat="false" ht="15" hidden="false" customHeight="false" outlineLevel="0" collapsed="false">
      <c r="A29" s="11" t="str">
        <f aca="false">IF(24&lt;=MAX(Employees!$BI$6:$BI$205),24,"")</f>
        <v/>
      </c>
      <c r="B29" s="11" t="str">
        <f aca="false">IF($A29="","",INDEX(Employees!$A$6:$A$205,MATCH($A29,Employees!$BI$6:$BI$205,0)))</f>
        <v/>
      </c>
      <c r="C29" s="11" t="str">
        <f aca="false">IF($A29="","",INDEX(Employees!$B$6:$B$205,MATCH($A29,Employees!$BI$6:$BI$205,0)))</f>
        <v/>
      </c>
      <c r="D29" s="11" t="str">
        <f aca="false">IF($A29="","",INDEX(Employees!$C$6:$C$205,MATCH($A29,Employees!$BI$6:$BI$205,0)))</f>
        <v/>
      </c>
      <c r="E29" s="11" t="str">
        <f aca="false">IF($A29="","",INDEX(Employees!$D$6:$D$205,MATCH($A29,Employees!$BI$6:$BI$205,0)))</f>
        <v/>
      </c>
      <c r="F29" s="11" t="str">
        <f aca="false">IF($A29="","",INDEX(Employees!$T$6:$T$205,MATCH($A29,Employees!$BI$6:$BI$205,0)))</f>
        <v/>
      </c>
      <c r="G29" s="26" t="str">
        <f aca="false">IF($A29="","",INDEX(Employees!$U$6:$U$205,MATCH($A29,Employees!$BI$6:$BI$205,0)))</f>
        <v/>
      </c>
      <c r="H29" s="28" t="str">
        <f aca="false">IF($A29="","",INDEX(Employees!$E$6:$E$205,MATCH($A29,Employees!$BI$6:$BI$205,0)))</f>
        <v/>
      </c>
      <c r="I29" s="11" t="str">
        <f aca="false">IF($A29="","",INDEX(Employees!$Z$6:$Z$205,MATCH($A29,Employees!$BI$6:$BI$205,0)))</f>
        <v/>
      </c>
      <c r="J29" s="26" t="str">
        <f aca="false">IF($A29="","",INDEX(Employees!$AB$6:$AB$205,MATCH($A29,Employees!$BI$6:$BI$205,0)))</f>
        <v/>
      </c>
      <c r="K29" s="26" t="str">
        <f aca="false">IF($A29="","",INDEX(Employees!$AI$6:$AI$205,MATCH($A29,Employees!$BI$6:$BI$205,0)))</f>
        <v/>
      </c>
      <c r="L29" s="26" t="str">
        <f aca="false">IF($A29="","",INDEX(Employees!$AK$6:$AK$205,MATCH($A29,Employees!$BI$6:$BI$205,0)))</f>
        <v/>
      </c>
      <c r="M29" s="11" t="str">
        <f aca="false">IF($A29="","",INDEX(Employees!$AM$6:$AM$205,MATCH($A29,Employees!$BI$6:$BI$205,0)))</f>
        <v/>
      </c>
      <c r="N29" s="11" t="str">
        <f aca="false">IF($A29="","",INDEX(Employees!$AN$6:$AN$205,MATCH($A29,Employees!$BI$6:$BI$205,0)))</f>
        <v/>
      </c>
    </row>
    <row r="30" customFormat="false" ht="15" hidden="false" customHeight="false" outlineLevel="0" collapsed="false">
      <c r="A30" s="11" t="str">
        <f aca="false">IF(25&lt;=MAX(Employees!$BI$6:$BI$205),25,"")</f>
        <v/>
      </c>
      <c r="B30" s="11" t="str">
        <f aca="false">IF($A30="","",INDEX(Employees!$A$6:$A$205,MATCH($A30,Employees!$BI$6:$BI$205,0)))</f>
        <v/>
      </c>
      <c r="C30" s="11" t="str">
        <f aca="false">IF($A30="","",INDEX(Employees!$B$6:$B$205,MATCH($A30,Employees!$BI$6:$BI$205,0)))</f>
        <v/>
      </c>
      <c r="D30" s="11" t="str">
        <f aca="false">IF($A30="","",INDEX(Employees!$C$6:$C$205,MATCH($A30,Employees!$BI$6:$BI$205,0)))</f>
        <v/>
      </c>
      <c r="E30" s="11" t="str">
        <f aca="false">IF($A30="","",INDEX(Employees!$D$6:$D$205,MATCH($A30,Employees!$BI$6:$BI$205,0)))</f>
        <v/>
      </c>
      <c r="F30" s="11" t="str">
        <f aca="false">IF($A30="","",INDEX(Employees!$T$6:$T$205,MATCH($A30,Employees!$BI$6:$BI$205,0)))</f>
        <v/>
      </c>
      <c r="G30" s="26" t="str">
        <f aca="false">IF($A30="","",INDEX(Employees!$U$6:$U$205,MATCH($A30,Employees!$BI$6:$BI$205,0)))</f>
        <v/>
      </c>
      <c r="H30" s="28" t="str">
        <f aca="false">IF($A30="","",INDEX(Employees!$E$6:$E$205,MATCH($A30,Employees!$BI$6:$BI$205,0)))</f>
        <v/>
      </c>
      <c r="I30" s="11" t="str">
        <f aca="false">IF($A30="","",INDEX(Employees!$Z$6:$Z$205,MATCH($A30,Employees!$BI$6:$BI$205,0)))</f>
        <v/>
      </c>
      <c r="J30" s="26" t="str">
        <f aca="false">IF($A30="","",INDEX(Employees!$AB$6:$AB$205,MATCH($A30,Employees!$BI$6:$BI$205,0)))</f>
        <v/>
      </c>
      <c r="K30" s="26" t="str">
        <f aca="false">IF($A30="","",INDEX(Employees!$AI$6:$AI$205,MATCH($A30,Employees!$BI$6:$BI$205,0)))</f>
        <v/>
      </c>
      <c r="L30" s="26" t="str">
        <f aca="false">IF($A30="","",INDEX(Employees!$AK$6:$AK$205,MATCH($A30,Employees!$BI$6:$BI$205,0)))</f>
        <v/>
      </c>
      <c r="M30" s="11" t="str">
        <f aca="false">IF($A30="","",INDEX(Employees!$AM$6:$AM$205,MATCH($A30,Employees!$BI$6:$BI$205,0)))</f>
        <v/>
      </c>
      <c r="N30" s="11" t="str">
        <f aca="false">IF($A30="","",INDEX(Employees!$AN$6:$AN$205,MATCH($A30,Employees!$BI$6:$BI$205,0)))</f>
        <v/>
      </c>
    </row>
    <row r="31" customFormat="false" ht="15" hidden="false" customHeight="false" outlineLevel="0" collapsed="false">
      <c r="A31" s="11" t="str">
        <f aca="false">IF(26&lt;=MAX(Employees!$BI$6:$BI$205),26,"")</f>
        <v/>
      </c>
      <c r="B31" s="11" t="str">
        <f aca="false">IF($A31="","",INDEX(Employees!$A$6:$A$205,MATCH($A31,Employees!$BI$6:$BI$205,0)))</f>
        <v/>
      </c>
      <c r="C31" s="11" t="str">
        <f aca="false">IF($A31="","",INDEX(Employees!$B$6:$B$205,MATCH($A31,Employees!$BI$6:$BI$205,0)))</f>
        <v/>
      </c>
      <c r="D31" s="11" t="str">
        <f aca="false">IF($A31="","",INDEX(Employees!$C$6:$C$205,MATCH($A31,Employees!$BI$6:$BI$205,0)))</f>
        <v/>
      </c>
      <c r="E31" s="11" t="str">
        <f aca="false">IF($A31="","",INDEX(Employees!$D$6:$D$205,MATCH($A31,Employees!$BI$6:$BI$205,0)))</f>
        <v/>
      </c>
      <c r="F31" s="11" t="str">
        <f aca="false">IF($A31="","",INDEX(Employees!$T$6:$T$205,MATCH($A31,Employees!$BI$6:$BI$205,0)))</f>
        <v/>
      </c>
      <c r="G31" s="26" t="str">
        <f aca="false">IF($A31="","",INDEX(Employees!$U$6:$U$205,MATCH($A31,Employees!$BI$6:$BI$205,0)))</f>
        <v/>
      </c>
      <c r="H31" s="28" t="str">
        <f aca="false">IF($A31="","",INDEX(Employees!$E$6:$E$205,MATCH($A31,Employees!$BI$6:$BI$205,0)))</f>
        <v/>
      </c>
      <c r="I31" s="11" t="str">
        <f aca="false">IF($A31="","",INDEX(Employees!$Z$6:$Z$205,MATCH($A31,Employees!$BI$6:$BI$205,0)))</f>
        <v/>
      </c>
      <c r="J31" s="26" t="str">
        <f aca="false">IF($A31="","",INDEX(Employees!$AB$6:$AB$205,MATCH($A31,Employees!$BI$6:$BI$205,0)))</f>
        <v/>
      </c>
      <c r="K31" s="26" t="str">
        <f aca="false">IF($A31="","",INDEX(Employees!$AI$6:$AI$205,MATCH($A31,Employees!$BI$6:$BI$205,0)))</f>
        <v/>
      </c>
      <c r="L31" s="26" t="str">
        <f aca="false">IF($A31="","",INDEX(Employees!$AK$6:$AK$205,MATCH($A31,Employees!$BI$6:$BI$205,0)))</f>
        <v/>
      </c>
      <c r="M31" s="11" t="str">
        <f aca="false">IF($A31="","",INDEX(Employees!$AM$6:$AM$205,MATCH($A31,Employees!$BI$6:$BI$205,0)))</f>
        <v/>
      </c>
      <c r="N31" s="11" t="str">
        <f aca="false">IF($A31="","",INDEX(Employees!$AN$6:$AN$205,MATCH($A31,Employees!$BI$6:$BI$205,0)))</f>
        <v/>
      </c>
    </row>
    <row r="32" customFormat="false" ht="15" hidden="false" customHeight="false" outlineLevel="0" collapsed="false">
      <c r="A32" s="11" t="str">
        <f aca="false">IF(27&lt;=MAX(Employees!$BI$6:$BI$205),27,"")</f>
        <v/>
      </c>
      <c r="B32" s="11" t="str">
        <f aca="false">IF($A32="","",INDEX(Employees!$A$6:$A$205,MATCH($A32,Employees!$BI$6:$BI$205,0)))</f>
        <v/>
      </c>
      <c r="C32" s="11" t="str">
        <f aca="false">IF($A32="","",INDEX(Employees!$B$6:$B$205,MATCH($A32,Employees!$BI$6:$BI$205,0)))</f>
        <v/>
      </c>
      <c r="D32" s="11" t="str">
        <f aca="false">IF($A32="","",INDEX(Employees!$C$6:$C$205,MATCH($A32,Employees!$BI$6:$BI$205,0)))</f>
        <v/>
      </c>
      <c r="E32" s="11" t="str">
        <f aca="false">IF($A32="","",INDEX(Employees!$D$6:$D$205,MATCH($A32,Employees!$BI$6:$BI$205,0)))</f>
        <v/>
      </c>
      <c r="F32" s="11" t="str">
        <f aca="false">IF($A32="","",INDEX(Employees!$T$6:$T$205,MATCH($A32,Employees!$BI$6:$BI$205,0)))</f>
        <v/>
      </c>
      <c r="G32" s="26" t="str">
        <f aca="false">IF($A32="","",INDEX(Employees!$U$6:$U$205,MATCH($A32,Employees!$BI$6:$BI$205,0)))</f>
        <v/>
      </c>
      <c r="H32" s="28" t="str">
        <f aca="false">IF($A32="","",INDEX(Employees!$E$6:$E$205,MATCH($A32,Employees!$BI$6:$BI$205,0)))</f>
        <v/>
      </c>
      <c r="I32" s="11" t="str">
        <f aca="false">IF($A32="","",INDEX(Employees!$Z$6:$Z$205,MATCH($A32,Employees!$BI$6:$BI$205,0)))</f>
        <v/>
      </c>
      <c r="J32" s="26" t="str">
        <f aca="false">IF($A32="","",INDEX(Employees!$AB$6:$AB$205,MATCH($A32,Employees!$BI$6:$BI$205,0)))</f>
        <v/>
      </c>
      <c r="K32" s="26" t="str">
        <f aca="false">IF($A32="","",INDEX(Employees!$AI$6:$AI$205,MATCH($A32,Employees!$BI$6:$BI$205,0)))</f>
        <v/>
      </c>
      <c r="L32" s="26" t="str">
        <f aca="false">IF($A32="","",INDEX(Employees!$AK$6:$AK$205,MATCH($A32,Employees!$BI$6:$BI$205,0)))</f>
        <v/>
      </c>
      <c r="M32" s="11" t="str">
        <f aca="false">IF($A32="","",INDEX(Employees!$AM$6:$AM$205,MATCH($A32,Employees!$BI$6:$BI$205,0)))</f>
        <v/>
      </c>
      <c r="N32" s="11" t="str">
        <f aca="false">IF($A32="","",INDEX(Employees!$AN$6:$AN$205,MATCH($A32,Employees!$BI$6:$BI$205,0)))</f>
        <v/>
      </c>
    </row>
    <row r="33" customFormat="false" ht="15" hidden="false" customHeight="false" outlineLevel="0" collapsed="false">
      <c r="A33" s="11" t="str">
        <f aca="false">IF(28&lt;=MAX(Employees!$BI$6:$BI$205),28,"")</f>
        <v/>
      </c>
      <c r="B33" s="11" t="str">
        <f aca="false">IF($A33="","",INDEX(Employees!$A$6:$A$205,MATCH($A33,Employees!$BI$6:$BI$205,0)))</f>
        <v/>
      </c>
      <c r="C33" s="11" t="str">
        <f aca="false">IF($A33="","",INDEX(Employees!$B$6:$B$205,MATCH($A33,Employees!$BI$6:$BI$205,0)))</f>
        <v/>
      </c>
      <c r="D33" s="11" t="str">
        <f aca="false">IF($A33="","",INDEX(Employees!$C$6:$C$205,MATCH($A33,Employees!$BI$6:$BI$205,0)))</f>
        <v/>
      </c>
      <c r="E33" s="11" t="str">
        <f aca="false">IF($A33="","",INDEX(Employees!$D$6:$D$205,MATCH($A33,Employees!$BI$6:$BI$205,0)))</f>
        <v/>
      </c>
      <c r="F33" s="11" t="str">
        <f aca="false">IF($A33="","",INDEX(Employees!$T$6:$T$205,MATCH($A33,Employees!$BI$6:$BI$205,0)))</f>
        <v/>
      </c>
      <c r="G33" s="26" t="str">
        <f aca="false">IF($A33="","",INDEX(Employees!$U$6:$U$205,MATCH($A33,Employees!$BI$6:$BI$205,0)))</f>
        <v/>
      </c>
      <c r="H33" s="28" t="str">
        <f aca="false">IF($A33="","",INDEX(Employees!$E$6:$E$205,MATCH($A33,Employees!$BI$6:$BI$205,0)))</f>
        <v/>
      </c>
      <c r="I33" s="11" t="str">
        <f aca="false">IF($A33="","",INDEX(Employees!$Z$6:$Z$205,MATCH($A33,Employees!$BI$6:$BI$205,0)))</f>
        <v/>
      </c>
      <c r="J33" s="26" t="str">
        <f aca="false">IF($A33="","",INDEX(Employees!$AB$6:$AB$205,MATCH($A33,Employees!$BI$6:$BI$205,0)))</f>
        <v/>
      </c>
      <c r="K33" s="26" t="str">
        <f aca="false">IF($A33="","",INDEX(Employees!$AI$6:$AI$205,MATCH($A33,Employees!$BI$6:$BI$205,0)))</f>
        <v/>
      </c>
      <c r="L33" s="26" t="str">
        <f aca="false">IF($A33="","",INDEX(Employees!$AK$6:$AK$205,MATCH($A33,Employees!$BI$6:$BI$205,0)))</f>
        <v/>
      </c>
      <c r="M33" s="11" t="str">
        <f aca="false">IF($A33="","",INDEX(Employees!$AM$6:$AM$205,MATCH($A33,Employees!$BI$6:$BI$205,0)))</f>
        <v/>
      </c>
      <c r="N33" s="11" t="str">
        <f aca="false">IF($A33="","",INDEX(Employees!$AN$6:$AN$205,MATCH($A33,Employees!$BI$6:$BI$205,0)))</f>
        <v/>
      </c>
    </row>
    <row r="34" customFormat="false" ht="15" hidden="false" customHeight="false" outlineLevel="0" collapsed="false">
      <c r="A34" s="11" t="str">
        <f aca="false">IF(29&lt;=MAX(Employees!$BI$6:$BI$205),29,"")</f>
        <v/>
      </c>
      <c r="B34" s="11" t="str">
        <f aca="false">IF($A34="","",INDEX(Employees!$A$6:$A$205,MATCH($A34,Employees!$BI$6:$BI$205,0)))</f>
        <v/>
      </c>
      <c r="C34" s="11" t="str">
        <f aca="false">IF($A34="","",INDEX(Employees!$B$6:$B$205,MATCH($A34,Employees!$BI$6:$BI$205,0)))</f>
        <v/>
      </c>
      <c r="D34" s="11" t="str">
        <f aca="false">IF($A34="","",INDEX(Employees!$C$6:$C$205,MATCH($A34,Employees!$BI$6:$BI$205,0)))</f>
        <v/>
      </c>
      <c r="E34" s="11" t="str">
        <f aca="false">IF($A34="","",INDEX(Employees!$D$6:$D$205,MATCH($A34,Employees!$BI$6:$BI$205,0)))</f>
        <v/>
      </c>
      <c r="F34" s="11" t="str">
        <f aca="false">IF($A34="","",INDEX(Employees!$T$6:$T$205,MATCH($A34,Employees!$BI$6:$BI$205,0)))</f>
        <v/>
      </c>
      <c r="G34" s="26" t="str">
        <f aca="false">IF($A34="","",INDEX(Employees!$U$6:$U$205,MATCH($A34,Employees!$BI$6:$BI$205,0)))</f>
        <v/>
      </c>
      <c r="H34" s="28" t="str">
        <f aca="false">IF($A34="","",INDEX(Employees!$E$6:$E$205,MATCH($A34,Employees!$BI$6:$BI$205,0)))</f>
        <v/>
      </c>
      <c r="I34" s="11" t="str">
        <f aca="false">IF($A34="","",INDEX(Employees!$Z$6:$Z$205,MATCH($A34,Employees!$BI$6:$BI$205,0)))</f>
        <v/>
      </c>
      <c r="J34" s="26" t="str">
        <f aca="false">IF($A34="","",INDEX(Employees!$AB$6:$AB$205,MATCH($A34,Employees!$BI$6:$BI$205,0)))</f>
        <v/>
      </c>
      <c r="K34" s="26" t="str">
        <f aca="false">IF($A34="","",INDEX(Employees!$AI$6:$AI$205,MATCH($A34,Employees!$BI$6:$BI$205,0)))</f>
        <v/>
      </c>
      <c r="L34" s="26" t="str">
        <f aca="false">IF($A34="","",INDEX(Employees!$AK$6:$AK$205,MATCH($A34,Employees!$BI$6:$BI$205,0)))</f>
        <v/>
      </c>
      <c r="M34" s="11" t="str">
        <f aca="false">IF($A34="","",INDEX(Employees!$AM$6:$AM$205,MATCH($A34,Employees!$BI$6:$BI$205,0)))</f>
        <v/>
      </c>
      <c r="N34" s="11" t="str">
        <f aca="false">IF($A34="","",INDEX(Employees!$AN$6:$AN$205,MATCH($A34,Employees!$BI$6:$BI$205,0)))</f>
        <v/>
      </c>
    </row>
    <row r="35" customFormat="false" ht="15" hidden="false" customHeight="false" outlineLevel="0" collapsed="false">
      <c r="A35" s="11" t="str">
        <f aca="false">IF(30&lt;=MAX(Employees!$BI$6:$BI$205),30,"")</f>
        <v/>
      </c>
      <c r="B35" s="11" t="str">
        <f aca="false">IF($A35="","",INDEX(Employees!$A$6:$A$205,MATCH($A35,Employees!$BI$6:$BI$205,0)))</f>
        <v/>
      </c>
      <c r="C35" s="11" t="str">
        <f aca="false">IF($A35="","",INDEX(Employees!$B$6:$B$205,MATCH($A35,Employees!$BI$6:$BI$205,0)))</f>
        <v/>
      </c>
      <c r="D35" s="11" t="str">
        <f aca="false">IF($A35="","",INDEX(Employees!$C$6:$C$205,MATCH($A35,Employees!$BI$6:$BI$205,0)))</f>
        <v/>
      </c>
      <c r="E35" s="11" t="str">
        <f aca="false">IF($A35="","",INDEX(Employees!$D$6:$D$205,MATCH($A35,Employees!$BI$6:$BI$205,0)))</f>
        <v/>
      </c>
      <c r="F35" s="11" t="str">
        <f aca="false">IF($A35="","",INDEX(Employees!$T$6:$T$205,MATCH($A35,Employees!$BI$6:$BI$205,0)))</f>
        <v/>
      </c>
      <c r="G35" s="26" t="str">
        <f aca="false">IF($A35="","",INDEX(Employees!$U$6:$U$205,MATCH($A35,Employees!$BI$6:$BI$205,0)))</f>
        <v/>
      </c>
      <c r="H35" s="28" t="str">
        <f aca="false">IF($A35="","",INDEX(Employees!$E$6:$E$205,MATCH($A35,Employees!$BI$6:$BI$205,0)))</f>
        <v/>
      </c>
      <c r="I35" s="11" t="str">
        <f aca="false">IF($A35="","",INDEX(Employees!$Z$6:$Z$205,MATCH($A35,Employees!$BI$6:$BI$205,0)))</f>
        <v/>
      </c>
      <c r="J35" s="26" t="str">
        <f aca="false">IF($A35="","",INDEX(Employees!$AB$6:$AB$205,MATCH($A35,Employees!$BI$6:$BI$205,0)))</f>
        <v/>
      </c>
      <c r="K35" s="26" t="str">
        <f aca="false">IF($A35="","",INDEX(Employees!$AI$6:$AI$205,MATCH($A35,Employees!$BI$6:$BI$205,0)))</f>
        <v/>
      </c>
      <c r="L35" s="26" t="str">
        <f aca="false">IF($A35="","",INDEX(Employees!$AK$6:$AK$205,MATCH($A35,Employees!$BI$6:$BI$205,0)))</f>
        <v/>
      </c>
      <c r="M35" s="11" t="str">
        <f aca="false">IF($A35="","",INDEX(Employees!$AM$6:$AM$205,MATCH($A35,Employees!$BI$6:$BI$205,0)))</f>
        <v/>
      </c>
      <c r="N35" s="11" t="str">
        <f aca="false">IF($A35="","",INDEX(Employees!$AN$6:$AN$205,MATCH($A35,Employees!$BI$6:$BI$205,0)))</f>
        <v/>
      </c>
    </row>
    <row r="36" customFormat="false" ht="15" hidden="false" customHeight="false" outlineLevel="0" collapsed="false">
      <c r="A36" s="11" t="str">
        <f aca="false">IF(31&lt;=MAX(Employees!$BI$6:$BI$205),31,"")</f>
        <v/>
      </c>
      <c r="B36" s="11" t="str">
        <f aca="false">IF($A36="","",INDEX(Employees!$A$6:$A$205,MATCH($A36,Employees!$BI$6:$BI$205,0)))</f>
        <v/>
      </c>
      <c r="C36" s="11" t="str">
        <f aca="false">IF($A36="","",INDEX(Employees!$B$6:$B$205,MATCH($A36,Employees!$BI$6:$BI$205,0)))</f>
        <v/>
      </c>
      <c r="D36" s="11" t="str">
        <f aca="false">IF($A36="","",INDEX(Employees!$C$6:$C$205,MATCH($A36,Employees!$BI$6:$BI$205,0)))</f>
        <v/>
      </c>
      <c r="E36" s="11" t="str">
        <f aca="false">IF($A36="","",INDEX(Employees!$D$6:$D$205,MATCH($A36,Employees!$BI$6:$BI$205,0)))</f>
        <v/>
      </c>
      <c r="F36" s="11" t="str">
        <f aca="false">IF($A36="","",INDEX(Employees!$T$6:$T$205,MATCH($A36,Employees!$BI$6:$BI$205,0)))</f>
        <v/>
      </c>
      <c r="G36" s="26" t="str">
        <f aca="false">IF($A36="","",INDEX(Employees!$U$6:$U$205,MATCH($A36,Employees!$BI$6:$BI$205,0)))</f>
        <v/>
      </c>
      <c r="H36" s="28" t="str">
        <f aca="false">IF($A36="","",INDEX(Employees!$E$6:$E$205,MATCH($A36,Employees!$BI$6:$BI$205,0)))</f>
        <v/>
      </c>
      <c r="I36" s="11" t="str">
        <f aca="false">IF($A36="","",INDEX(Employees!$Z$6:$Z$205,MATCH($A36,Employees!$BI$6:$BI$205,0)))</f>
        <v/>
      </c>
      <c r="J36" s="26" t="str">
        <f aca="false">IF($A36="","",INDEX(Employees!$AB$6:$AB$205,MATCH($A36,Employees!$BI$6:$BI$205,0)))</f>
        <v/>
      </c>
      <c r="K36" s="26" t="str">
        <f aca="false">IF($A36="","",INDEX(Employees!$AI$6:$AI$205,MATCH($A36,Employees!$BI$6:$BI$205,0)))</f>
        <v/>
      </c>
      <c r="L36" s="26" t="str">
        <f aca="false">IF($A36="","",INDEX(Employees!$AK$6:$AK$205,MATCH($A36,Employees!$BI$6:$BI$205,0)))</f>
        <v/>
      </c>
      <c r="M36" s="11" t="str">
        <f aca="false">IF($A36="","",INDEX(Employees!$AM$6:$AM$205,MATCH($A36,Employees!$BI$6:$BI$205,0)))</f>
        <v/>
      </c>
      <c r="N36" s="11" t="str">
        <f aca="false">IF($A36="","",INDEX(Employees!$AN$6:$AN$205,MATCH($A36,Employees!$BI$6:$BI$205,0)))</f>
        <v/>
      </c>
    </row>
    <row r="37" customFormat="false" ht="15" hidden="false" customHeight="false" outlineLevel="0" collapsed="false">
      <c r="A37" s="11" t="str">
        <f aca="false">IF(32&lt;=MAX(Employees!$BI$6:$BI$205),32,"")</f>
        <v/>
      </c>
      <c r="B37" s="11" t="str">
        <f aca="false">IF($A37="","",INDEX(Employees!$A$6:$A$205,MATCH($A37,Employees!$BI$6:$BI$205,0)))</f>
        <v/>
      </c>
      <c r="C37" s="11" t="str">
        <f aca="false">IF($A37="","",INDEX(Employees!$B$6:$B$205,MATCH($A37,Employees!$BI$6:$BI$205,0)))</f>
        <v/>
      </c>
      <c r="D37" s="11" t="str">
        <f aca="false">IF($A37="","",INDEX(Employees!$C$6:$C$205,MATCH($A37,Employees!$BI$6:$BI$205,0)))</f>
        <v/>
      </c>
      <c r="E37" s="11" t="str">
        <f aca="false">IF($A37="","",INDEX(Employees!$D$6:$D$205,MATCH($A37,Employees!$BI$6:$BI$205,0)))</f>
        <v/>
      </c>
      <c r="F37" s="11" t="str">
        <f aca="false">IF($A37="","",INDEX(Employees!$T$6:$T$205,MATCH($A37,Employees!$BI$6:$BI$205,0)))</f>
        <v/>
      </c>
      <c r="G37" s="26" t="str">
        <f aca="false">IF($A37="","",INDEX(Employees!$U$6:$U$205,MATCH($A37,Employees!$BI$6:$BI$205,0)))</f>
        <v/>
      </c>
      <c r="H37" s="28" t="str">
        <f aca="false">IF($A37="","",INDEX(Employees!$E$6:$E$205,MATCH($A37,Employees!$BI$6:$BI$205,0)))</f>
        <v/>
      </c>
      <c r="I37" s="11" t="str">
        <f aca="false">IF($A37="","",INDEX(Employees!$Z$6:$Z$205,MATCH($A37,Employees!$BI$6:$BI$205,0)))</f>
        <v/>
      </c>
      <c r="J37" s="26" t="str">
        <f aca="false">IF($A37="","",INDEX(Employees!$AB$6:$AB$205,MATCH($A37,Employees!$BI$6:$BI$205,0)))</f>
        <v/>
      </c>
      <c r="K37" s="26" t="str">
        <f aca="false">IF($A37="","",INDEX(Employees!$AI$6:$AI$205,MATCH($A37,Employees!$BI$6:$BI$205,0)))</f>
        <v/>
      </c>
      <c r="L37" s="26" t="str">
        <f aca="false">IF($A37="","",INDEX(Employees!$AK$6:$AK$205,MATCH($A37,Employees!$BI$6:$BI$205,0)))</f>
        <v/>
      </c>
      <c r="M37" s="11" t="str">
        <f aca="false">IF($A37="","",INDEX(Employees!$AM$6:$AM$205,MATCH($A37,Employees!$BI$6:$BI$205,0)))</f>
        <v/>
      </c>
      <c r="N37" s="11" t="str">
        <f aca="false">IF($A37="","",INDEX(Employees!$AN$6:$AN$205,MATCH($A37,Employees!$BI$6:$BI$205,0)))</f>
        <v/>
      </c>
    </row>
    <row r="38" customFormat="false" ht="15" hidden="false" customHeight="false" outlineLevel="0" collapsed="false">
      <c r="A38" s="11" t="str">
        <f aca="false">IF(33&lt;=MAX(Employees!$BI$6:$BI$205),33,"")</f>
        <v/>
      </c>
      <c r="B38" s="11" t="str">
        <f aca="false">IF($A38="","",INDEX(Employees!$A$6:$A$205,MATCH($A38,Employees!$BI$6:$BI$205,0)))</f>
        <v/>
      </c>
      <c r="C38" s="11" t="str">
        <f aca="false">IF($A38="","",INDEX(Employees!$B$6:$B$205,MATCH($A38,Employees!$BI$6:$BI$205,0)))</f>
        <v/>
      </c>
      <c r="D38" s="11" t="str">
        <f aca="false">IF($A38="","",INDEX(Employees!$C$6:$C$205,MATCH($A38,Employees!$BI$6:$BI$205,0)))</f>
        <v/>
      </c>
      <c r="E38" s="11" t="str">
        <f aca="false">IF($A38="","",INDEX(Employees!$D$6:$D$205,MATCH($A38,Employees!$BI$6:$BI$205,0)))</f>
        <v/>
      </c>
      <c r="F38" s="11" t="str">
        <f aca="false">IF($A38="","",INDEX(Employees!$T$6:$T$205,MATCH($A38,Employees!$BI$6:$BI$205,0)))</f>
        <v/>
      </c>
      <c r="G38" s="26" t="str">
        <f aca="false">IF($A38="","",INDEX(Employees!$U$6:$U$205,MATCH($A38,Employees!$BI$6:$BI$205,0)))</f>
        <v/>
      </c>
      <c r="H38" s="28" t="str">
        <f aca="false">IF($A38="","",INDEX(Employees!$E$6:$E$205,MATCH($A38,Employees!$BI$6:$BI$205,0)))</f>
        <v/>
      </c>
      <c r="I38" s="11" t="str">
        <f aca="false">IF($A38="","",INDEX(Employees!$Z$6:$Z$205,MATCH($A38,Employees!$BI$6:$BI$205,0)))</f>
        <v/>
      </c>
      <c r="J38" s="26" t="str">
        <f aca="false">IF($A38="","",INDEX(Employees!$AB$6:$AB$205,MATCH($A38,Employees!$BI$6:$BI$205,0)))</f>
        <v/>
      </c>
      <c r="K38" s="26" t="str">
        <f aca="false">IF($A38="","",INDEX(Employees!$AI$6:$AI$205,MATCH($A38,Employees!$BI$6:$BI$205,0)))</f>
        <v/>
      </c>
      <c r="L38" s="26" t="str">
        <f aca="false">IF($A38="","",INDEX(Employees!$AK$6:$AK$205,MATCH($A38,Employees!$BI$6:$BI$205,0)))</f>
        <v/>
      </c>
      <c r="M38" s="11" t="str">
        <f aca="false">IF($A38="","",INDEX(Employees!$AM$6:$AM$205,MATCH($A38,Employees!$BI$6:$BI$205,0)))</f>
        <v/>
      </c>
      <c r="N38" s="11" t="str">
        <f aca="false">IF($A38="","",INDEX(Employees!$AN$6:$AN$205,MATCH($A38,Employees!$BI$6:$BI$205,0)))</f>
        <v/>
      </c>
    </row>
    <row r="39" customFormat="false" ht="15" hidden="false" customHeight="false" outlineLevel="0" collapsed="false">
      <c r="A39" s="11" t="str">
        <f aca="false">IF(34&lt;=MAX(Employees!$BI$6:$BI$205),34,"")</f>
        <v/>
      </c>
      <c r="B39" s="11" t="str">
        <f aca="false">IF($A39="","",INDEX(Employees!$A$6:$A$205,MATCH($A39,Employees!$BI$6:$BI$205,0)))</f>
        <v/>
      </c>
      <c r="C39" s="11" t="str">
        <f aca="false">IF($A39="","",INDEX(Employees!$B$6:$B$205,MATCH($A39,Employees!$BI$6:$BI$205,0)))</f>
        <v/>
      </c>
      <c r="D39" s="11" t="str">
        <f aca="false">IF($A39="","",INDEX(Employees!$C$6:$C$205,MATCH($A39,Employees!$BI$6:$BI$205,0)))</f>
        <v/>
      </c>
      <c r="E39" s="11" t="str">
        <f aca="false">IF($A39="","",INDEX(Employees!$D$6:$D$205,MATCH($A39,Employees!$BI$6:$BI$205,0)))</f>
        <v/>
      </c>
      <c r="F39" s="11" t="str">
        <f aca="false">IF($A39="","",INDEX(Employees!$T$6:$T$205,MATCH($A39,Employees!$BI$6:$BI$205,0)))</f>
        <v/>
      </c>
      <c r="G39" s="26" t="str">
        <f aca="false">IF($A39="","",INDEX(Employees!$U$6:$U$205,MATCH($A39,Employees!$BI$6:$BI$205,0)))</f>
        <v/>
      </c>
      <c r="H39" s="28" t="str">
        <f aca="false">IF($A39="","",INDEX(Employees!$E$6:$E$205,MATCH($A39,Employees!$BI$6:$BI$205,0)))</f>
        <v/>
      </c>
      <c r="I39" s="11" t="str">
        <f aca="false">IF($A39="","",INDEX(Employees!$Z$6:$Z$205,MATCH($A39,Employees!$BI$6:$BI$205,0)))</f>
        <v/>
      </c>
      <c r="J39" s="26" t="str">
        <f aca="false">IF($A39="","",INDEX(Employees!$AB$6:$AB$205,MATCH($A39,Employees!$BI$6:$BI$205,0)))</f>
        <v/>
      </c>
      <c r="K39" s="26" t="str">
        <f aca="false">IF($A39="","",INDEX(Employees!$AI$6:$AI$205,MATCH($A39,Employees!$BI$6:$BI$205,0)))</f>
        <v/>
      </c>
      <c r="L39" s="26" t="str">
        <f aca="false">IF($A39="","",INDEX(Employees!$AK$6:$AK$205,MATCH($A39,Employees!$BI$6:$BI$205,0)))</f>
        <v/>
      </c>
      <c r="M39" s="11" t="str">
        <f aca="false">IF($A39="","",INDEX(Employees!$AM$6:$AM$205,MATCH($A39,Employees!$BI$6:$BI$205,0)))</f>
        <v/>
      </c>
      <c r="N39" s="11" t="str">
        <f aca="false">IF($A39="","",INDEX(Employees!$AN$6:$AN$205,MATCH($A39,Employees!$BI$6:$BI$205,0)))</f>
        <v/>
      </c>
    </row>
    <row r="40" customFormat="false" ht="15" hidden="false" customHeight="false" outlineLevel="0" collapsed="false">
      <c r="A40" s="11" t="str">
        <f aca="false">IF(35&lt;=MAX(Employees!$BI$6:$BI$205),35,"")</f>
        <v/>
      </c>
      <c r="B40" s="11" t="str">
        <f aca="false">IF($A40="","",INDEX(Employees!$A$6:$A$205,MATCH($A40,Employees!$BI$6:$BI$205,0)))</f>
        <v/>
      </c>
      <c r="C40" s="11" t="str">
        <f aca="false">IF($A40="","",INDEX(Employees!$B$6:$B$205,MATCH($A40,Employees!$BI$6:$BI$205,0)))</f>
        <v/>
      </c>
      <c r="D40" s="11" t="str">
        <f aca="false">IF($A40="","",INDEX(Employees!$C$6:$C$205,MATCH($A40,Employees!$BI$6:$BI$205,0)))</f>
        <v/>
      </c>
      <c r="E40" s="11" t="str">
        <f aca="false">IF($A40="","",INDEX(Employees!$D$6:$D$205,MATCH($A40,Employees!$BI$6:$BI$205,0)))</f>
        <v/>
      </c>
      <c r="F40" s="11" t="str">
        <f aca="false">IF($A40="","",INDEX(Employees!$T$6:$T$205,MATCH($A40,Employees!$BI$6:$BI$205,0)))</f>
        <v/>
      </c>
      <c r="G40" s="26" t="str">
        <f aca="false">IF($A40="","",INDEX(Employees!$U$6:$U$205,MATCH($A40,Employees!$BI$6:$BI$205,0)))</f>
        <v/>
      </c>
      <c r="H40" s="28" t="str">
        <f aca="false">IF($A40="","",INDEX(Employees!$E$6:$E$205,MATCH($A40,Employees!$BI$6:$BI$205,0)))</f>
        <v/>
      </c>
      <c r="I40" s="11" t="str">
        <f aca="false">IF($A40="","",INDEX(Employees!$Z$6:$Z$205,MATCH($A40,Employees!$BI$6:$BI$205,0)))</f>
        <v/>
      </c>
      <c r="J40" s="26" t="str">
        <f aca="false">IF($A40="","",INDEX(Employees!$AB$6:$AB$205,MATCH($A40,Employees!$BI$6:$BI$205,0)))</f>
        <v/>
      </c>
      <c r="K40" s="26" t="str">
        <f aca="false">IF($A40="","",INDEX(Employees!$AI$6:$AI$205,MATCH($A40,Employees!$BI$6:$BI$205,0)))</f>
        <v/>
      </c>
      <c r="L40" s="26" t="str">
        <f aca="false">IF($A40="","",INDEX(Employees!$AK$6:$AK$205,MATCH($A40,Employees!$BI$6:$BI$205,0)))</f>
        <v/>
      </c>
      <c r="M40" s="11" t="str">
        <f aca="false">IF($A40="","",INDEX(Employees!$AM$6:$AM$205,MATCH($A40,Employees!$BI$6:$BI$205,0)))</f>
        <v/>
      </c>
      <c r="N40" s="11" t="str">
        <f aca="false">IF($A40="","",INDEX(Employees!$AN$6:$AN$205,MATCH($A40,Employees!$BI$6:$BI$205,0)))</f>
        <v/>
      </c>
    </row>
    <row r="41" customFormat="false" ht="15" hidden="false" customHeight="false" outlineLevel="0" collapsed="false">
      <c r="A41" s="11" t="str">
        <f aca="false">IF(36&lt;=MAX(Employees!$BI$6:$BI$205),36,"")</f>
        <v/>
      </c>
      <c r="B41" s="11" t="str">
        <f aca="false">IF($A41="","",INDEX(Employees!$A$6:$A$205,MATCH($A41,Employees!$BI$6:$BI$205,0)))</f>
        <v/>
      </c>
      <c r="C41" s="11" t="str">
        <f aca="false">IF($A41="","",INDEX(Employees!$B$6:$B$205,MATCH($A41,Employees!$BI$6:$BI$205,0)))</f>
        <v/>
      </c>
      <c r="D41" s="11" t="str">
        <f aca="false">IF($A41="","",INDEX(Employees!$C$6:$C$205,MATCH($A41,Employees!$BI$6:$BI$205,0)))</f>
        <v/>
      </c>
      <c r="E41" s="11" t="str">
        <f aca="false">IF($A41="","",INDEX(Employees!$D$6:$D$205,MATCH($A41,Employees!$BI$6:$BI$205,0)))</f>
        <v/>
      </c>
      <c r="F41" s="11" t="str">
        <f aca="false">IF($A41="","",INDEX(Employees!$T$6:$T$205,MATCH($A41,Employees!$BI$6:$BI$205,0)))</f>
        <v/>
      </c>
      <c r="G41" s="26" t="str">
        <f aca="false">IF($A41="","",INDEX(Employees!$U$6:$U$205,MATCH($A41,Employees!$BI$6:$BI$205,0)))</f>
        <v/>
      </c>
      <c r="H41" s="28" t="str">
        <f aca="false">IF($A41="","",INDEX(Employees!$E$6:$E$205,MATCH($A41,Employees!$BI$6:$BI$205,0)))</f>
        <v/>
      </c>
      <c r="I41" s="11" t="str">
        <f aca="false">IF($A41="","",INDEX(Employees!$Z$6:$Z$205,MATCH($A41,Employees!$BI$6:$BI$205,0)))</f>
        <v/>
      </c>
      <c r="J41" s="26" t="str">
        <f aca="false">IF($A41="","",INDEX(Employees!$AB$6:$AB$205,MATCH($A41,Employees!$BI$6:$BI$205,0)))</f>
        <v/>
      </c>
      <c r="K41" s="26" t="str">
        <f aca="false">IF($A41="","",INDEX(Employees!$AI$6:$AI$205,MATCH($A41,Employees!$BI$6:$BI$205,0)))</f>
        <v/>
      </c>
      <c r="L41" s="26" t="str">
        <f aca="false">IF($A41="","",INDEX(Employees!$AK$6:$AK$205,MATCH($A41,Employees!$BI$6:$BI$205,0)))</f>
        <v/>
      </c>
      <c r="M41" s="11" t="str">
        <f aca="false">IF($A41="","",INDEX(Employees!$AM$6:$AM$205,MATCH($A41,Employees!$BI$6:$BI$205,0)))</f>
        <v/>
      </c>
      <c r="N41" s="11" t="str">
        <f aca="false">IF($A41="","",INDEX(Employees!$AN$6:$AN$205,MATCH($A41,Employees!$BI$6:$BI$205,0)))</f>
        <v/>
      </c>
    </row>
    <row r="42" customFormat="false" ht="15" hidden="false" customHeight="false" outlineLevel="0" collapsed="false">
      <c r="A42" s="11" t="str">
        <f aca="false">IF(37&lt;=MAX(Employees!$BI$6:$BI$205),37,"")</f>
        <v/>
      </c>
      <c r="B42" s="11" t="str">
        <f aca="false">IF($A42="","",INDEX(Employees!$A$6:$A$205,MATCH($A42,Employees!$BI$6:$BI$205,0)))</f>
        <v/>
      </c>
      <c r="C42" s="11" t="str">
        <f aca="false">IF($A42="","",INDEX(Employees!$B$6:$B$205,MATCH($A42,Employees!$BI$6:$BI$205,0)))</f>
        <v/>
      </c>
      <c r="D42" s="11" t="str">
        <f aca="false">IF($A42="","",INDEX(Employees!$C$6:$C$205,MATCH($A42,Employees!$BI$6:$BI$205,0)))</f>
        <v/>
      </c>
      <c r="E42" s="11" t="str">
        <f aca="false">IF($A42="","",INDEX(Employees!$D$6:$D$205,MATCH($A42,Employees!$BI$6:$BI$205,0)))</f>
        <v/>
      </c>
      <c r="F42" s="11" t="str">
        <f aca="false">IF($A42="","",INDEX(Employees!$T$6:$T$205,MATCH($A42,Employees!$BI$6:$BI$205,0)))</f>
        <v/>
      </c>
      <c r="G42" s="26" t="str">
        <f aca="false">IF($A42="","",INDEX(Employees!$U$6:$U$205,MATCH($A42,Employees!$BI$6:$BI$205,0)))</f>
        <v/>
      </c>
      <c r="H42" s="28" t="str">
        <f aca="false">IF($A42="","",INDEX(Employees!$E$6:$E$205,MATCH($A42,Employees!$BI$6:$BI$205,0)))</f>
        <v/>
      </c>
      <c r="I42" s="11" t="str">
        <f aca="false">IF($A42="","",INDEX(Employees!$Z$6:$Z$205,MATCH($A42,Employees!$BI$6:$BI$205,0)))</f>
        <v/>
      </c>
      <c r="J42" s="26" t="str">
        <f aca="false">IF($A42="","",INDEX(Employees!$AB$6:$AB$205,MATCH($A42,Employees!$BI$6:$BI$205,0)))</f>
        <v/>
      </c>
      <c r="K42" s="26" t="str">
        <f aca="false">IF($A42="","",INDEX(Employees!$AI$6:$AI$205,MATCH($A42,Employees!$BI$6:$BI$205,0)))</f>
        <v/>
      </c>
      <c r="L42" s="26" t="str">
        <f aca="false">IF($A42="","",INDEX(Employees!$AK$6:$AK$205,MATCH($A42,Employees!$BI$6:$BI$205,0)))</f>
        <v/>
      </c>
      <c r="M42" s="11" t="str">
        <f aca="false">IF($A42="","",INDEX(Employees!$AM$6:$AM$205,MATCH($A42,Employees!$BI$6:$BI$205,0)))</f>
        <v/>
      </c>
      <c r="N42" s="11" t="str">
        <f aca="false">IF($A42="","",INDEX(Employees!$AN$6:$AN$205,MATCH($A42,Employees!$BI$6:$BI$205,0)))</f>
        <v/>
      </c>
    </row>
    <row r="43" customFormat="false" ht="15" hidden="false" customHeight="false" outlineLevel="0" collapsed="false">
      <c r="A43" s="11" t="str">
        <f aca="false">IF(38&lt;=MAX(Employees!$BI$6:$BI$205),38,"")</f>
        <v/>
      </c>
      <c r="B43" s="11" t="str">
        <f aca="false">IF($A43="","",INDEX(Employees!$A$6:$A$205,MATCH($A43,Employees!$BI$6:$BI$205,0)))</f>
        <v/>
      </c>
      <c r="C43" s="11" t="str">
        <f aca="false">IF($A43="","",INDEX(Employees!$B$6:$B$205,MATCH($A43,Employees!$BI$6:$BI$205,0)))</f>
        <v/>
      </c>
      <c r="D43" s="11" t="str">
        <f aca="false">IF($A43="","",INDEX(Employees!$C$6:$C$205,MATCH($A43,Employees!$BI$6:$BI$205,0)))</f>
        <v/>
      </c>
      <c r="E43" s="11" t="str">
        <f aca="false">IF($A43="","",INDEX(Employees!$D$6:$D$205,MATCH($A43,Employees!$BI$6:$BI$205,0)))</f>
        <v/>
      </c>
      <c r="F43" s="11" t="str">
        <f aca="false">IF($A43="","",INDEX(Employees!$T$6:$T$205,MATCH($A43,Employees!$BI$6:$BI$205,0)))</f>
        <v/>
      </c>
      <c r="G43" s="26" t="str">
        <f aca="false">IF($A43="","",INDEX(Employees!$U$6:$U$205,MATCH($A43,Employees!$BI$6:$BI$205,0)))</f>
        <v/>
      </c>
      <c r="H43" s="28" t="str">
        <f aca="false">IF($A43="","",INDEX(Employees!$E$6:$E$205,MATCH($A43,Employees!$BI$6:$BI$205,0)))</f>
        <v/>
      </c>
      <c r="I43" s="11" t="str">
        <f aca="false">IF($A43="","",INDEX(Employees!$Z$6:$Z$205,MATCH($A43,Employees!$BI$6:$BI$205,0)))</f>
        <v/>
      </c>
      <c r="J43" s="26" t="str">
        <f aca="false">IF($A43="","",INDEX(Employees!$AB$6:$AB$205,MATCH($A43,Employees!$BI$6:$BI$205,0)))</f>
        <v/>
      </c>
      <c r="K43" s="26" t="str">
        <f aca="false">IF($A43="","",INDEX(Employees!$AI$6:$AI$205,MATCH($A43,Employees!$BI$6:$BI$205,0)))</f>
        <v/>
      </c>
      <c r="L43" s="26" t="str">
        <f aca="false">IF($A43="","",INDEX(Employees!$AK$6:$AK$205,MATCH($A43,Employees!$BI$6:$BI$205,0)))</f>
        <v/>
      </c>
      <c r="M43" s="11" t="str">
        <f aca="false">IF($A43="","",INDEX(Employees!$AM$6:$AM$205,MATCH($A43,Employees!$BI$6:$BI$205,0)))</f>
        <v/>
      </c>
      <c r="N43" s="11" t="str">
        <f aca="false">IF($A43="","",INDEX(Employees!$AN$6:$AN$205,MATCH($A43,Employees!$BI$6:$BI$205,0)))</f>
        <v/>
      </c>
    </row>
    <row r="44" customFormat="false" ht="15" hidden="false" customHeight="false" outlineLevel="0" collapsed="false">
      <c r="A44" s="11" t="str">
        <f aca="false">IF(39&lt;=MAX(Employees!$BI$6:$BI$205),39,"")</f>
        <v/>
      </c>
      <c r="B44" s="11" t="str">
        <f aca="false">IF($A44="","",INDEX(Employees!$A$6:$A$205,MATCH($A44,Employees!$BI$6:$BI$205,0)))</f>
        <v/>
      </c>
      <c r="C44" s="11" t="str">
        <f aca="false">IF($A44="","",INDEX(Employees!$B$6:$B$205,MATCH($A44,Employees!$BI$6:$BI$205,0)))</f>
        <v/>
      </c>
      <c r="D44" s="11" t="str">
        <f aca="false">IF($A44="","",INDEX(Employees!$C$6:$C$205,MATCH($A44,Employees!$BI$6:$BI$205,0)))</f>
        <v/>
      </c>
      <c r="E44" s="11" t="str">
        <f aca="false">IF($A44="","",INDEX(Employees!$D$6:$D$205,MATCH($A44,Employees!$BI$6:$BI$205,0)))</f>
        <v/>
      </c>
      <c r="F44" s="11" t="str">
        <f aca="false">IF($A44="","",INDEX(Employees!$T$6:$T$205,MATCH($A44,Employees!$BI$6:$BI$205,0)))</f>
        <v/>
      </c>
      <c r="G44" s="26" t="str">
        <f aca="false">IF($A44="","",INDEX(Employees!$U$6:$U$205,MATCH($A44,Employees!$BI$6:$BI$205,0)))</f>
        <v/>
      </c>
      <c r="H44" s="28" t="str">
        <f aca="false">IF($A44="","",INDEX(Employees!$E$6:$E$205,MATCH($A44,Employees!$BI$6:$BI$205,0)))</f>
        <v/>
      </c>
      <c r="I44" s="11" t="str">
        <f aca="false">IF($A44="","",INDEX(Employees!$Z$6:$Z$205,MATCH($A44,Employees!$BI$6:$BI$205,0)))</f>
        <v/>
      </c>
      <c r="J44" s="26" t="str">
        <f aca="false">IF($A44="","",INDEX(Employees!$AB$6:$AB$205,MATCH($A44,Employees!$BI$6:$BI$205,0)))</f>
        <v/>
      </c>
      <c r="K44" s="26" t="str">
        <f aca="false">IF($A44="","",INDEX(Employees!$AI$6:$AI$205,MATCH($A44,Employees!$BI$6:$BI$205,0)))</f>
        <v/>
      </c>
      <c r="L44" s="26" t="str">
        <f aca="false">IF($A44="","",INDEX(Employees!$AK$6:$AK$205,MATCH($A44,Employees!$BI$6:$BI$205,0)))</f>
        <v/>
      </c>
      <c r="M44" s="11" t="str">
        <f aca="false">IF($A44="","",INDEX(Employees!$AM$6:$AM$205,MATCH($A44,Employees!$BI$6:$BI$205,0)))</f>
        <v/>
      </c>
      <c r="N44" s="11" t="str">
        <f aca="false">IF($A44="","",INDEX(Employees!$AN$6:$AN$205,MATCH($A44,Employees!$BI$6:$BI$205,0)))</f>
        <v/>
      </c>
    </row>
    <row r="45" customFormat="false" ht="15" hidden="false" customHeight="false" outlineLevel="0" collapsed="false">
      <c r="A45" s="11" t="str">
        <f aca="false">IF(40&lt;=MAX(Employees!$BI$6:$BI$205),40,"")</f>
        <v/>
      </c>
      <c r="B45" s="11" t="str">
        <f aca="false">IF($A45="","",INDEX(Employees!$A$6:$A$205,MATCH($A45,Employees!$BI$6:$BI$205,0)))</f>
        <v/>
      </c>
      <c r="C45" s="11" t="str">
        <f aca="false">IF($A45="","",INDEX(Employees!$B$6:$B$205,MATCH($A45,Employees!$BI$6:$BI$205,0)))</f>
        <v/>
      </c>
      <c r="D45" s="11" t="str">
        <f aca="false">IF($A45="","",INDEX(Employees!$C$6:$C$205,MATCH($A45,Employees!$BI$6:$BI$205,0)))</f>
        <v/>
      </c>
      <c r="E45" s="11" t="str">
        <f aca="false">IF($A45="","",INDEX(Employees!$D$6:$D$205,MATCH($A45,Employees!$BI$6:$BI$205,0)))</f>
        <v/>
      </c>
      <c r="F45" s="11" t="str">
        <f aca="false">IF($A45="","",INDEX(Employees!$T$6:$T$205,MATCH($A45,Employees!$BI$6:$BI$205,0)))</f>
        <v/>
      </c>
      <c r="G45" s="26" t="str">
        <f aca="false">IF($A45="","",INDEX(Employees!$U$6:$U$205,MATCH($A45,Employees!$BI$6:$BI$205,0)))</f>
        <v/>
      </c>
      <c r="H45" s="28" t="str">
        <f aca="false">IF($A45="","",INDEX(Employees!$E$6:$E$205,MATCH($A45,Employees!$BI$6:$BI$205,0)))</f>
        <v/>
      </c>
      <c r="I45" s="11" t="str">
        <f aca="false">IF($A45="","",INDEX(Employees!$Z$6:$Z$205,MATCH($A45,Employees!$BI$6:$BI$205,0)))</f>
        <v/>
      </c>
      <c r="J45" s="26" t="str">
        <f aca="false">IF($A45="","",INDEX(Employees!$AB$6:$AB$205,MATCH($A45,Employees!$BI$6:$BI$205,0)))</f>
        <v/>
      </c>
      <c r="K45" s="26" t="str">
        <f aca="false">IF($A45="","",INDEX(Employees!$AI$6:$AI$205,MATCH($A45,Employees!$BI$6:$BI$205,0)))</f>
        <v/>
      </c>
      <c r="L45" s="26" t="str">
        <f aca="false">IF($A45="","",INDEX(Employees!$AK$6:$AK$205,MATCH($A45,Employees!$BI$6:$BI$205,0)))</f>
        <v/>
      </c>
      <c r="M45" s="11" t="str">
        <f aca="false">IF($A45="","",INDEX(Employees!$AM$6:$AM$205,MATCH($A45,Employees!$BI$6:$BI$205,0)))</f>
        <v/>
      </c>
      <c r="N45" s="11" t="str">
        <f aca="false">IF($A45="","",INDEX(Employees!$AN$6:$AN$205,MATCH($A45,Employees!$BI$6:$BI$205,0)))</f>
        <v/>
      </c>
    </row>
    <row r="46" customFormat="false" ht="15" hidden="false" customHeight="false" outlineLevel="0" collapsed="false">
      <c r="A46" s="11" t="str">
        <f aca="false">IF(41&lt;=MAX(Employees!$BI$6:$BI$205),41,"")</f>
        <v/>
      </c>
      <c r="B46" s="11" t="str">
        <f aca="false">IF($A46="","",INDEX(Employees!$A$6:$A$205,MATCH($A46,Employees!$BI$6:$BI$205,0)))</f>
        <v/>
      </c>
      <c r="C46" s="11" t="str">
        <f aca="false">IF($A46="","",INDEX(Employees!$B$6:$B$205,MATCH($A46,Employees!$BI$6:$BI$205,0)))</f>
        <v/>
      </c>
      <c r="D46" s="11" t="str">
        <f aca="false">IF($A46="","",INDEX(Employees!$C$6:$C$205,MATCH($A46,Employees!$BI$6:$BI$205,0)))</f>
        <v/>
      </c>
      <c r="E46" s="11" t="str">
        <f aca="false">IF($A46="","",INDEX(Employees!$D$6:$D$205,MATCH($A46,Employees!$BI$6:$BI$205,0)))</f>
        <v/>
      </c>
      <c r="F46" s="11" t="str">
        <f aca="false">IF($A46="","",INDEX(Employees!$T$6:$T$205,MATCH($A46,Employees!$BI$6:$BI$205,0)))</f>
        <v/>
      </c>
      <c r="G46" s="26" t="str">
        <f aca="false">IF($A46="","",INDEX(Employees!$U$6:$U$205,MATCH($A46,Employees!$BI$6:$BI$205,0)))</f>
        <v/>
      </c>
      <c r="H46" s="28" t="str">
        <f aca="false">IF($A46="","",INDEX(Employees!$E$6:$E$205,MATCH($A46,Employees!$BI$6:$BI$205,0)))</f>
        <v/>
      </c>
      <c r="I46" s="11" t="str">
        <f aca="false">IF($A46="","",INDEX(Employees!$Z$6:$Z$205,MATCH($A46,Employees!$BI$6:$BI$205,0)))</f>
        <v/>
      </c>
      <c r="J46" s="26" t="str">
        <f aca="false">IF($A46="","",INDEX(Employees!$AB$6:$AB$205,MATCH($A46,Employees!$BI$6:$BI$205,0)))</f>
        <v/>
      </c>
      <c r="K46" s="26" t="str">
        <f aca="false">IF($A46="","",INDEX(Employees!$AI$6:$AI$205,MATCH($A46,Employees!$BI$6:$BI$205,0)))</f>
        <v/>
      </c>
      <c r="L46" s="26" t="str">
        <f aca="false">IF($A46="","",INDEX(Employees!$AK$6:$AK$205,MATCH($A46,Employees!$BI$6:$BI$205,0)))</f>
        <v/>
      </c>
      <c r="M46" s="11" t="str">
        <f aca="false">IF($A46="","",INDEX(Employees!$AM$6:$AM$205,MATCH($A46,Employees!$BI$6:$BI$205,0)))</f>
        <v/>
      </c>
      <c r="N46" s="11" t="str">
        <f aca="false">IF($A46="","",INDEX(Employees!$AN$6:$AN$205,MATCH($A46,Employees!$BI$6:$BI$205,0)))</f>
        <v/>
      </c>
    </row>
    <row r="47" customFormat="false" ht="15" hidden="false" customHeight="false" outlineLevel="0" collapsed="false">
      <c r="A47" s="11" t="str">
        <f aca="false">IF(42&lt;=MAX(Employees!$BI$6:$BI$205),42,"")</f>
        <v/>
      </c>
      <c r="B47" s="11" t="str">
        <f aca="false">IF($A47="","",INDEX(Employees!$A$6:$A$205,MATCH($A47,Employees!$BI$6:$BI$205,0)))</f>
        <v/>
      </c>
      <c r="C47" s="11" t="str">
        <f aca="false">IF($A47="","",INDEX(Employees!$B$6:$B$205,MATCH($A47,Employees!$BI$6:$BI$205,0)))</f>
        <v/>
      </c>
      <c r="D47" s="11" t="str">
        <f aca="false">IF($A47="","",INDEX(Employees!$C$6:$C$205,MATCH($A47,Employees!$BI$6:$BI$205,0)))</f>
        <v/>
      </c>
      <c r="E47" s="11" t="str">
        <f aca="false">IF($A47="","",INDEX(Employees!$D$6:$D$205,MATCH($A47,Employees!$BI$6:$BI$205,0)))</f>
        <v/>
      </c>
      <c r="F47" s="11" t="str">
        <f aca="false">IF($A47="","",INDEX(Employees!$T$6:$T$205,MATCH($A47,Employees!$BI$6:$BI$205,0)))</f>
        <v/>
      </c>
      <c r="G47" s="26" t="str">
        <f aca="false">IF($A47="","",INDEX(Employees!$U$6:$U$205,MATCH($A47,Employees!$BI$6:$BI$205,0)))</f>
        <v/>
      </c>
      <c r="H47" s="28" t="str">
        <f aca="false">IF($A47="","",INDEX(Employees!$E$6:$E$205,MATCH($A47,Employees!$BI$6:$BI$205,0)))</f>
        <v/>
      </c>
      <c r="I47" s="11" t="str">
        <f aca="false">IF($A47="","",INDEX(Employees!$Z$6:$Z$205,MATCH($A47,Employees!$BI$6:$BI$205,0)))</f>
        <v/>
      </c>
      <c r="J47" s="26" t="str">
        <f aca="false">IF($A47="","",INDEX(Employees!$AB$6:$AB$205,MATCH($A47,Employees!$BI$6:$BI$205,0)))</f>
        <v/>
      </c>
      <c r="K47" s="26" t="str">
        <f aca="false">IF($A47="","",INDEX(Employees!$AI$6:$AI$205,MATCH($A47,Employees!$BI$6:$BI$205,0)))</f>
        <v/>
      </c>
      <c r="L47" s="26" t="str">
        <f aca="false">IF($A47="","",INDEX(Employees!$AK$6:$AK$205,MATCH($A47,Employees!$BI$6:$BI$205,0)))</f>
        <v/>
      </c>
      <c r="M47" s="11" t="str">
        <f aca="false">IF($A47="","",INDEX(Employees!$AM$6:$AM$205,MATCH($A47,Employees!$BI$6:$BI$205,0)))</f>
        <v/>
      </c>
      <c r="N47" s="11" t="str">
        <f aca="false">IF($A47="","",INDEX(Employees!$AN$6:$AN$205,MATCH($A47,Employees!$BI$6:$BI$205,0)))</f>
        <v/>
      </c>
    </row>
    <row r="48" customFormat="false" ht="15" hidden="false" customHeight="false" outlineLevel="0" collapsed="false">
      <c r="A48" s="11" t="str">
        <f aca="false">IF(43&lt;=MAX(Employees!$BI$6:$BI$205),43,"")</f>
        <v/>
      </c>
      <c r="B48" s="11" t="str">
        <f aca="false">IF($A48="","",INDEX(Employees!$A$6:$A$205,MATCH($A48,Employees!$BI$6:$BI$205,0)))</f>
        <v/>
      </c>
      <c r="C48" s="11" t="str">
        <f aca="false">IF($A48="","",INDEX(Employees!$B$6:$B$205,MATCH($A48,Employees!$BI$6:$BI$205,0)))</f>
        <v/>
      </c>
      <c r="D48" s="11" t="str">
        <f aca="false">IF($A48="","",INDEX(Employees!$C$6:$C$205,MATCH($A48,Employees!$BI$6:$BI$205,0)))</f>
        <v/>
      </c>
      <c r="E48" s="11" t="str">
        <f aca="false">IF($A48="","",INDEX(Employees!$D$6:$D$205,MATCH($A48,Employees!$BI$6:$BI$205,0)))</f>
        <v/>
      </c>
      <c r="F48" s="11" t="str">
        <f aca="false">IF($A48="","",INDEX(Employees!$T$6:$T$205,MATCH($A48,Employees!$BI$6:$BI$205,0)))</f>
        <v/>
      </c>
      <c r="G48" s="26" t="str">
        <f aca="false">IF($A48="","",INDEX(Employees!$U$6:$U$205,MATCH($A48,Employees!$BI$6:$BI$205,0)))</f>
        <v/>
      </c>
      <c r="H48" s="28" t="str">
        <f aca="false">IF($A48="","",INDEX(Employees!$E$6:$E$205,MATCH($A48,Employees!$BI$6:$BI$205,0)))</f>
        <v/>
      </c>
      <c r="I48" s="11" t="str">
        <f aca="false">IF($A48="","",INDEX(Employees!$Z$6:$Z$205,MATCH($A48,Employees!$BI$6:$BI$205,0)))</f>
        <v/>
      </c>
      <c r="J48" s="26" t="str">
        <f aca="false">IF($A48="","",INDEX(Employees!$AB$6:$AB$205,MATCH($A48,Employees!$BI$6:$BI$205,0)))</f>
        <v/>
      </c>
      <c r="K48" s="26" t="str">
        <f aca="false">IF($A48="","",INDEX(Employees!$AI$6:$AI$205,MATCH($A48,Employees!$BI$6:$BI$205,0)))</f>
        <v/>
      </c>
      <c r="L48" s="26" t="str">
        <f aca="false">IF($A48="","",INDEX(Employees!$AK$6:$AK$205,MATCH($A48,Employees!$BI$6:$BI$205,0)))</f>
        <v/>
      </c>
      <c r="M48" s="11" t="str">
        <f aca="false">IF($A48="","",INDEX(Employees!$AM$6:$AM$205,MATCH($A48,Employees!$BI$6:$BI$205,0)))</f>
        <v/>
      </c>
      <c r="N48" s="11" t="str">
        <f aca="false">IF($A48="","",INDEX(Employees!$AN$6:$AN$205,MATCH($A48,Employees!$BI$6:$BI$205,0)))</f>
        <v/>
      </c>
    </row>
    <row r="49" customFormat="false" ht="15" hidden="false" customHeight="false" outlineLevel="0" collapsed="false">
      <c r="A49" s="11" t="str">
        <f aca="false">IF(44&lt;=MAX(Employees!$BI$6:$BI$205),44,"")</f>
        <v/>
      </c>
      <c r="B49" s="11" t="str">
        <f aca="false">IF($A49="","",INDEX(Employees!$A$6:$A$205,MATCH($A49,Employees!$BI$6:$BI$205,0)))</f>
        <v/>
      </c>
      <c r="C49" s="11" t="str">
        <f aca="false">IF($A49="","",INDEX(Employees!$B$6:$B$205,MATCH($A49,Employees!$BI$6:$BI$205,0)))</f>
        <v/>
      </c>
      <c r="D49" s="11" t="str">
        <f aca="false">IF($A49="","",INDEX(Employees!$C$6:$C$205,MATCH($A49,Employees!$BI$6:$BI$205,0)))</f>
        <v/>
      </c>
      <c r="E49" s="11" t="str">
        <f aca="false">IF($A49="","",INDEX(Employees!$D$6:$D$205,MATCH($A49,Employees!$BI$6:$BI$205,0)))</f>
        <v/>
      </c>
      <c r="F49" s="11" t="str">
        <f aca="false">IF($A49="","",INDEX(Employees!$T$6:$T$205,MATCH($A49,Employees!$BI$6:$BI$205,0)))</f>
        <v/>
      </c>
      <c r="G49" s="26" t="str">
        <f aca="false">IF($A49="","",INDEX(Employees!$U$6:$U$205,MATCH($A49,Employees!$BI$6:$BI$205,0)))</f>
        <v/>
      </c>
      <c r="H49" s="28" t="str">
        <f aca="false">IF($A49="","",INDEX(Employees!$E$6:$E$205,MATCH($A49,Employees!$BI$6:$BI$205,0)))</f>
        <v/>
      </c>
      <c r="I49" s="11" t="str">
        <f aca="false">IF($A49="","",INDEX(Employees!$Z$6:$Z$205,MATCH($A49,Employees!$BI$6:$BI$205,0)))</f>
        <v/>
      </c>
      <c r="J49" s="26" t="str">
        <f aca="false">IF($A49="","",INDEX(Employees!$AB$6:$AB$205,MATCH($A49,Employees!$BI$6:$BI$205,0)))</f>
        <v/>
      </c>
      <c r="K49" s="26" t="str">
        <f aca="false">IF($A49="","",INDEX(Employees!$AI$6:$AI$205,MATCH($A49,Employees!$BI$6:$BI$205,0)))</f>
        <v/>
      </c>
      <c r="L49" s="26" t="str">
        <f aca="false">IF($A49="","",INDEX(Employees!$AK$6:$AK$205,MATCH($A49,Employees!$BI$6:$BI$205,0)))</f>
        <v/>
      </c>
      <c r="M49" s="11" t="str">
        <f aca="false">IF($A49="","",INDEX(Employees!$AM$6:$AM$205,MATCH($A49,Employees!$BI$6:$BI$205,0)))</f>
        <v/>
      </c>
      <c r="N49" s="11" t="str">
        <f aca="false">IF($A49="","",INDEX(Employees!$AN$6:$AN$205,MATCH($A49,Employees!$BI$6:$BI$205,0)))</f>
        <v/>
      </c>
    </row>
    <row r="50" customFormat="false" ht="15" hidden="false" customHeight="false" outlineLevel="0" collapsed="false">
      <c r="A50" s="11" t="str">
        <f aca="false">IF(45&lt;=MAX(Employees!$BI$6:$BI$205),45,"")</f>
        <v/>
      </c>
      <c r="B50" s="11" t="str">
        <f aca="false">IF($A50="","",INDEX(Employees!$A$6:$A$205,MATCH($A50,Employees!$BI$6:$BI$205,0)))</f>
        <v/>
      </c>
      <c r="C50" s="11" t="str">
        <f aca="false">IF($A50="","",INDEX(Employees!$B$6:$B$205,MATCH($A50,Employees!$BI$6:$BI$205,0)))</f>
        <v/>
      </c>
      <c r="D50" s="11" t="str">
        <f aca="false">IF($A50="","",INDEX(Employees!$C$6:$C$205,MATCH($A50,Employees!$BI$6:$BI$205,0)))</f>
        <v/>
      </c>
      <c r="E50" s="11" t="str">
        <f aca="false">IF($A50="","",INDEX(Employees!$D$6:$D$205,MATCH($A50,Employees!$BI$6:$BI$205,0)))</f>
        <v/>
      </c>
      <c r="F50" s="11" t="str">
        <f aca="false">IF($A50="","",INDEX(Employees!$T$6:$T$205,MATCH($A50,Employees!$BI$6:$BI$205,0)))</f>
        <v/>
      </c>
      <c r="G50" s="26" t="str">
        <f aca="false">IF($A50="","",INDEX(Employees!$U$6:$U$205,MATCH($A50,Employees!$BI$6:$BI$205,0)))</f>
        <v/>
      </c>
      <c r="H50" s="28" t="str">
        <f aca="false">IF($A50="","",INDEX(Employees!$E$6:$E$205,MATCH($A50,Employees!$BI$6:$BI$205,0)))</f>
        <v/>
      </c>
      <c r="I50" s="11" t="str">
        <f aca="false">IF($A50="","",INDEX(Employees!$Z$6:$Z$205,MATCH($A50,Employees!$BI$6:$BI$205,0)))</f>
        <v/>
      </c>
      <c r="J50" s="26" t="str">
        <f aca="false">IF($A50="","",INDEX(Employees!$AB$6:$AB$205,MATCH($A50,Employees!$BI$6:$BI$205,0)))</f>
        <v/>
      </c>
      <c r="K50" s="26" t="str">
        <f aca="false">IF($A50="","",INDEX(Employees!$AI$6:$AI$205,MATCH($A50,Employees!$BI$6:$BI$205,0)))</f>
        <v/>
      </c>
      <c r="L50" s="26" t="str">
        <f aca="false">IF($A50="","",INDEX(Employees!$AK$6:$AK$205,MATCH($A50,Employees!$BI$6:$BI$205,0)))</f>
        <v/>
      </c>
      <c r="M50" s="11" t="str">
        <f aca="false">IF($A50="","",INDEX(Employees!$AM$6:$AM$205,MATCH($A50,Employees!$BI$6:$BI$205,0)))</f>
        <v/>
      </c>
      <c r="N50" s="11" t="str">
        <f aca="false">IF($A50="","",INDEX(Employees!$AN$6:$AN$205,MATCH($A50,Employees!$BI$6:$BI$205,0)))</f>
        <v/>
      </c>
    </row>
    <row r="51" customFormat="false" ht="15" hidden="false" customHeight="false" outlineLevel="0" collapsed="false">
      <c r="A51" s="11" t="str">
        <f aca="false">IF(46&lt;=MAX(Employees!$BI$6:$BI$205),46,"")</f>
        <v/>
      </c>
      <c r="B51" s="11" t="str">
        <f aca="false">IF($A51="","",INDEX(Employees!$A$6:$A$205,MATCH($A51,Employees!$BI$6:$BI$205,0)))</f>
        <v/>
      </c>
      <c r="C51" s="11" t="str">
        <f aca="false">IF($A51="","",INDEX(Employees!$B$6:$B$205,MATCH($A51,Employees!$BI$6:$BI$205,0)))</f>
        <v/>
      </c>
      <c r="D51" s="11" t="str">
        <f aca="false">IF($A51="","",INDEX(Employees!$C$6:$C$205,MATCH($A51,Employees!$BI$6:$BI$205,0)))</f>
        <v/>
      </c>
      <c r="E51" s="11" t="str">
        <f aca="false">IF($A51="","",INDEX(Employees!$D$6:$D$205,MATCH($A51,Employees!$BI$6:$BI$205,0)))</f>
        <v/>
      </c>
      <c r="F51" s="11" t="str">
        <f aca="false">IF($A51="","",INDEX(Employees!$T$6:$T$205,MATCH($A51,Employees!$BI$6:$BI$205,0)))</f>
        <v/>
      </c>
      <c r="G51" s="26" t="str">
        <f aca="false">IF($A51="","",INDEX(Employees!$U$6:$U$205,MATCH($A51,Employees!$BI$6:$BI$205,0)))</f>
        <v/>
      </c>
      <c r="H51" s="28" t="str">
        <f aca="false">IF($A51="","",INDEX(Employees!$E$6:$E$205,MATCH($A51,Employees!$BI$6:$BI$205,0)))</f>
        <v/>
      </c>
      <c r="I51" s="11" t="str">
        <f aca="false">IF($A51="","",INDEX(Employees!$Z$6:$Z$205,MATCH($A51,Employees!$BI$6:$BI$205,0)))</f>
        <v/>
      </c>
      <c r="J51" s="26" t="str">
        <f aca="false">IF($A51="","",INDEX(Employees!$AB$6:$AB$205,MATCH($A51,Employees!$BI$6:$BI$205,0)))</f>
        <v/>
      </c>
      <c r="K51" s="26" t="str">
        <f aca="false">IF($A51="","",INDEX(Employees!$AI$6:$AI$205,MATCH($A51,Employees!$BI$6:$BI$205,0)))</f>
        <v/>
      </c>
      <c r="L51" s="26" t="str">
        <f aca="false">IF($A51="","",INDEX(Employees!$AK$6:$AK$205,MATCH($A51,Employees!$BI$6:$BI$205,0)))</f>
        <v/>
      </c>
      <c r="M51" s="11" t="str">
        <f aca="false">IF($A51="","",INDEX(Employees!$AM$6:$AM$205,MATCH($A51,Employees!$BI$6:$BI$205,0)))</f>
        <v/>
      </c>
      <c r="N51" s="11" t="str">
        <f aca="false">IF($A51="","",INDEX(Employees!$AN$6:$AN$205,MATCH($A51,Employees!$BI$6:$BI$205,0)))</f>
        <v/>
      </c>
    </row>
    <row r="52" customFormat="false" ht="15" hidden="false" customHeight="false" outlineLevel="0" collapsed="false">
      <c r="A52" s="11" t="str">
        <f aca="false">IF(47&lt;=MAX(Employees!$BI$6:$BI$205),47,"")</f>
        <v/>
      </c>
      <c r="B52" s="11" t="str">
        <f aca="false">IF($A52="","",INDEX(Employees!$A$6:$A$205,MATCH($A52,Employees!$BI$6:$BI$205,0)))</f>
        <v/>
      </c>
      <c r="C52" s="11" t="str">
        <f aca="false">IF($A52="","",INDEX(Employees!$B$6:$B$205,MATCH($A52,Employees!$BI$6:$BI$205,0)))</f>
        <v/>
      </c>
      <c r="D52" s="11" t="str">
        <f aca="false">IF($A52="","",INDEX(Employees!$C$6:$C$205,MATCH($A52,Employees!$BI$6:$BI$205,0)))</f>
        <v/>
      </c>
      <c r="E52" s="11" t="str">
        <f aca="false">IF($A52="","",INDEX(Employees!$D$6:$D$205,MATCH($A52,Employees!$BI$6:$BI$205,0)))</f>
        <v/>
      </c>
      <c r="F52" s="11" t="str">
        <f aca="false">IF($A52="","",INDEX(Employees!$T$6:$T$205,MATCH($A52,Employees!$BI$6:$BI$205,0)))</f>
        <v/>
      </c>
      <c r="G52" s="26" t="str">
        <f aca="false">IF($A52="","",INDEX(Employees!$U$6:$U$205,MATCH($A52,Employees!$BI$6:$BI$205,0)))</f>
        <v/>
      </c>
      <c r="H52" s="28" t="str">
        <f aca="false">IF($A52="","",INDEX(Employees!$E$6:$E$205,MATCH($A52,Employees!$BI$6:$BI$205,0)))</f>
        <v/>
      </c>
      <c r="I52" s="11" t="str">
        <f aca="false">IF($A52="","",INDEX(Employees!$Z$6:$Z$205,MATCH($A52,Employees!$BI$6:$BI$205,0)))</f>
        <v/>
      </c>
      <c r="J52" s="26" t="str">
        <f aca="false">IF($A52="","",INDEX(Employees!$AB$6:$AB$205,MATCH($A52,Employees!$BI$6:$BI$205,0)))</f>
        <v/>
      </c>
      <c r="K52" s="26" t="str">
        <f aca="false">IF($A52="","",INDEX(Employees!$AI$6:$AI$205,MATCH($A52,Employees!$BI$6:$BI$205,0)))</f>
        <v/>
      </c>
      <c r="L52" s="26" t="str">
        <f aca="false">IF($A52="","",INDEX(Employees!$AK$6:$AK$205,MATCH($A52,Employees!$BI$6:$BI$205,0)))</f>
        <v/>
      </c>
      <c r="M52" s="11" t="str">
        <f aca="false">IF($A52="","",INDEX(Employees!$AM$6:$AM$205,MATCH($A52,Employees!$BI$6:$BI$205,0)))</f>
        <v/>
      </c>
      <c r="N52" s="11" t="str">
        <f aca="false">IF($A52="","",INDEX(Employees!$AN$6:$AN$205,MATCH($A52,Employees!$BI$6:$BI$205,0)))</f>
        <v/>
      </c>
    </row>
    <row r="53" customFormat="false" ht="15" hidden="false" customHeight="false" outlineLevel="0" collapsed="false">
      <c r="A53" s="11" t="str">
        <f aca="false">IF(48&lt;=MAX(Employees!$BI$6:$BI$205),48,"")</f>
        <v/>
      </c>
      <c r="B53" s="11" t="str">
        <f aca="false">IF($A53="","",INDEX(Employees!$A$6:$A$205,MATCH($A53,Employees!$BI$6:$BI$205,0)))</f>
        <v/>
      </c>
      <c r="C53" s="11" t="str">
        <f aca="false">IF($A53="","",INDEX(Employees!$B$6:$B$205,MATCH($A53,Employees!$BI$6:$BI$205,0)))</f>
        <v/>
      </c>
      <c r="D53" s="11" t="str">
        <f aca="false">IF($A53="","",INDEX(Employees!$C$6:$C$205,MATCH($A53,Employees!$BI$6:$BI$205,0)))</f>
        <v/>
      </c>
      <c r="E53" s="11" t="str">
        <f aca="false">IF($A53="","",INDEX(Employees!$D$6:$D$205,MATCH($A53,Employees!$BI$6:$BI$205,0)))</f>
        <v/>
      </c>
      <c r="F53" s="11" t="str">
        <f aca="false">IF($A53="","",INDEX(Employees!$T$6:$T$205,MATCH($A53,Employees!$BI$6:$BI$205,0)))</f>
        <v/>
      </c>
      <c r="G53" s="26" t="str">
        <f aca="false">IF($A53="","",INDEX(Employees!$U$6:$U$205,MATCH($A53,Employees!$BI$6:$BI$205,0)))</f>
        <v/>
      </c>
      <c r="H53" s="28" t="str">
        <f aca="false">IF($A53="","",INDEX(Employees!$E$6:$E$205,MATCH($A53,Employees!$BI$6:$BI$205,0)))</f>
        <v/>
      </c>
      <c r="I53" s="11" t="str">
        <f aca="false">IF($A53="","",INDEX(Employees!$Z$6:$Z$205,MATCH($A53,Employees!$BI$6:$BI$205,0)))</f>
        <v/>
      </c>
      <c r="J53" s="26" t="str">
        <f aca="false">IF($A53="","",INDEX(Employees!$AB$6:$AB$205,MATCH($A53,Employees!$BI$6:$BI$205,0)))</f>
        <v/>
      </c>
      <c r="K53" s="26" t="str">
        <f aca="false">IF($A53="","",INDEX(Employees!$AI$6:$AI$205,MATCH($A53,Employees!$BI$6:$BI$205,0)))</f>
        <v/>
      </c>
      <c r="L53" s="26" t="str">
        <f aca="false">IF($A53="","",INDEX(Employees!$AK$6:$AK$205,MATCH($A53,Employees!$BI$6:$BI$205,0)))</f>
        <v/>
      </c>
      <c r="M53" s="11" t="str">
        <f aca="false">IF($A53="","",INDEX(Employees!$AM$6:$AM$205,MATCH($A53,Employees!$BI$6:$BI$205,0)))</f>
        <v/>
      </c>
      <c r="N53" s="11" t="str">
        <f aca="false">IF($A53="","",INDEX(Employees!$AN$6:$AN$205,MATCH($A53,Employees!$BI$6:$BI$205,0)))</f>
        <v/>
      </c>
    </row>
    <row r="54" customFormat="false" ht="15" hidden="false" customHeight="false" outlineLevel="0" collapsed="false">
      <c r="A54" s="11" t="str">
        <f aca="false">IF(49&lt;=MAX(Employees!$BI$6:$BI$205),49,"")</f>
        <v/>
      </c>
      <c r="B54" s="11" t="str">
        <f aca="false">IF($A54="","",INDEX(Employees!$A$6:$A$205,MATCH($A54,Employees!$BI$6:$BI$205,0)))</f>
        <v/>
      </c>
      <c r="C54" s="11" t="str">
        <f aca="false">IF($A54="","",INDEX(Employees!$B$6:$B$205,MATCH($A54,Employees!$BI$6:$BI$205,0)))</f>
        <v/>
      </c>
      <c r="D54" s="11" t="str">
        <f aca="false">IF($A54="","",INDEX(Employees!$C$6:$C$205,MATCH($A54,Employees!$BI$6:$BI$205,0)))</f>
        <v/>
      </c>
      <c r="E54" s="11" t="str">
        <f aca="false">IF($A54="","",INDEX(Employees!$D$6:$D$205,MATCH($A54,Employees!$BI$6:$BI$205,0)))</f>
        <v/>
      </c>
      <c r="F54" s="11" t="str">
        <f aca="false">IF($A54="","",INDEX(Employees!$T$6:$T$205,MATCH($A54,Employees!$BI$6:$BI$205,0)))</f>
        <v/>
      </c>
      <c r="G54" s="26" t="str">
        <f aca="false">IF($A54="","",INDEX(Employees!$U$6:$U$205,MATCH($A54,Employees!$BI$6:$BI$205,0)))</f>
        <v/>
      </c>
      <c r="H54" s="28" t="str">
        <f aca="false">IF($A54="","",INDEX(Employees!$E$6:$E$205,MATCH($A54,Employees!$BI$6:$BI$205,0)))</f>
        <v/>
      </c>
      <c r="I54" s="11" t="str">
        <f aca="false">IF($A54="","",INDEX(Employees!$Z$6:$Z$205,MATCH($A54,Employees!$BI$6:$BI$205,0)))</f>
        <v/>
      </c>
      <c r="J54" s="26" t="str">
        <f aca="false">IF($A54="","",INDEX(Employees!$AB$6:$AB$205,MATCH($A54,Employees!$BI$6:$BI$205,0)))</f>
        <v/>
      </c>
      <c r="K54" s="26" t="str">
        <f aca="false">IF($A54="","",INDEX(Employees!$AI$6:$AI$205,MATCH($A54,Employees!$BI$6:$BI$205,0)))</f>
        <v/>
      </c>
      <c r="L54" s="26" t="str">
        <f aca="false">IF($A54="","",INDEX(Employees!$AK$6:$AK$205,MATCH($A54,Employees!$BI$6:$BI$205,0)))</f>
        <v/>
      </c>
      <c r="M54" s="11" t="str">
        <f aca="false">IF($A54="","",INDEX(Employees!$AM$6:$AM$205,MATCH($A54,Employees!$BI$6:$BI$205,0)))</f>
        <v/>
      </c>
      <c r="N54" s="11" t="str">
        <f aca="false">IF($A54="","",INDEX(Employees!$AN$6:$AN$205,MATCH($A54,Employees!$BI$6:$BI$205,0)))</f>
        <v/>
      </c>
    </row>
    <row r="55" customFormat="false" ht="15" hidden="false" customHeight="false" outlineLevel="0" collapsed="false">
      <c r="A55" s="11" t="str">
        <f aca="false">IF(50&lt;=MAX(Employees!$BI$6:$BI$205),50,"")</f>
        <v/>
      </c>
      <c r="B55" s="11" t="str">
        <f aca="false">IF($A55="","",INDEX(Employees!$A$6:$A$205,MATCH($A55,Employees!$BI$6:$BI$205,0)))</f>
        <v/>
      </c>
      <c r="C55" s="11" t="str">
        <f aca="false">IF($A55="","",INDEX(Employees!$B$6:$B$205,MATCH($A55,Employees!$BI$6:$BI$205,0)))</f>
        <v/>
      </c>
      <c r="D55" s="11" t="str">
        <f aca="false">IF($A55="","",INDEX(Employees!$C$6:$C$205,MATCH($A55,Employees!$BI$6:$BI$205,0)))</f>
        <v/>
      </c>
      <c r="E55" s="11" t="str">
        <f aca="false">IF($A55="","",INDEX(Employees!$D$6:$D$205,MATCH($A55,Employees!$BI$6:$BI$205,0)))</f>
        <v/>
      </c>
      <c r="F55" s="11" t="str">
        <f aca="false">IF($A55="","",INDEX(Employees!$T$6:$T$205,MATCH($A55,Employees!$BI$6:$BI$205,0)))</f>
        <v/>
      </c>
      <c r="G55" s="26" t="str">
        <f aca="false">IF($A55="","",INDEX(Employees!$U$6:$U$205,MATCH($A55,Employees!$BI$6:$BI$205,0)))</f>
        <v/>
      </c>
      <c r="H55" s="28" t="str">
        <f aca="false">IF($A55="","",INDEX(Employees!$E$6:$E$205,MATCH($A55,Employees!$BI$6:$BI$205,0)))</f>
        <v/>
      </c>
      <c r="I55" s="11" t="str">
        <f aca="false">IF($A55="","",INDEX(Employees!$Z$6:$Z$205,MATCH($A55,Employees!$BI$6:$BI$205,0)))</f>
        <v/>
      </c>
      <c r="J55" s="26" t="str">
        <f aca="false">IF($A55="","",INDEX(Employees!$AB$6:$AB$205,MATCH($A55,Employees!$BI$6:$BI$205,0)))</f>
        <v/>
      </c>
      <c r="K55" s="26" t="str">
        <f aca="false">IF($A55="","",INDEX(Employees!$AI$6:$AI$205,MATCH($A55,Employees!$BI$6:$BI$205,0)))</f>
        <v/>
      </c>
      <c r="L55" s="26" t="str">
        <f aca="false">IF($A55="","",INDEX(Employees!$AK$6:$AK$205,MATCH($A55,Employees!$BI$6:$BI$205,0)))</f>
        <v/>
      </c>
      <c r="M55" s="11" t="str">
        <f aca="false">IF($A55="","",INDEX(Employees!$AM$6:$AM$205,MATCH($A55,Employees!$BI$6:$BI$205,0)))</f>
        <v/>
      </c>
      <c r="N55" s="11" t="str">
        <f aca="false">IF($A55="","",INDEX(Employees!$AN$6:$AN$205,MATCH($A55,Employees!$BI$6:$BI$205,0)))</f>
        <v/>
      </c>
    </row>
    <row r="56" customFormat="false" ht="15" hidden="false" customHeight="false" outlineLevel="0" collapsed="false">
      <c r="A56" s="11" t="str">
        <f aca="false">IF(51&lt;=MAX(Employees!$BI$6:$BI$205),51,"")</f>
        <v/>
      </c>
      <c r="B56" s="11" t="str">
        <f aca="false">IF($A56="","",INDEX(Employees!$A$6:$A$205,MATCH($A56,Employees!$BI$6:$BI$205,0)))</f>
        <v/>
      </c>
      <c r="C56" s="11" t="str">
        <f aca="false">IF($A56="","",INDEX(Employees!$B$6:$B$205,MATCH($A56,Employees!$BI$6:$BI$205,0)))</f>
        <v/>
      </c>
      <c r="D56" s="11" t="str">
        <f aca="false">IF($A56="","",INDEX(Employees!$C$6:$C$205,MATCH($A56,Employees!$BI$6:$BI$205,0)))</f>
        <v/>
      </c>
      <c r="E56" s="11" t="str">
        <f aca="false">IF($A56="","",INDEX(Employees!$D$6:$D$205,MATCH($A56,Employees!$BI$6:$BI$205,0)))</f>
        <v/>
      </c>
      <c r="F56" s="11" t="str">
        <f aca="false">IF($A56="","",INDEX(Employees!$T$6:$T$205,MATCH($A56,Employees!$BI$6:$BI$205,0)))</f>
        <v/>
      </c>
      <c r="G56" s="26" t="str">
        <f aca="false">IF($A56="","",INDEX(Employees!$U$6:$U$205,MATCH($A56,Employees!$BI$6:$BI$205,0)))</f>
        <v/>
      </c>
      <c r="H56" s="28" t="str">
        <f aca="false">IF($A56="","",INDEX(Employees!$E$6:$E$205,MATCH($A56,Employees!$BI$6:$BI$205,0)))</f>
        <v/>
      </c>
      <c r="I56" s="11" t="str">
        <f aca="false">IF($A56="","",INDEX(Employees!$Z$6:$Z$205,MATCH($A56,Employees!$BI$6:$BI$205,0)))</f>
        <v/>
      </c>
      <c r="J56" s="26" t="str">
        <f aca="false">IF($A56="","",INDEX(Employees!$AB$6:$AB$205,MATCH($A56,Employees!$BI$6:$BI$205,0)))</f>
        <v/>
      </c>
      <c r="K56" s="26" t="str">
        <f aca="false">IF($A56="","",INDEX(Employees!$AI$6:$AI$205,MATCH($A56,Employees!$BI$6:$BI$205,0)))</f>
        <v/>
      </c>
      <c r="L56" s="26" t="str">
        <f aca="false">IF($A56="","",INDEX(Employees!$AK$6:$AK$205,MATCH($A56,Employees!$BI$6:$BI$205,0)))</f>
        <v/>
      </c>
      <c r="M56" s="11" t="str">
        <f aca="false">IF($A56="","",INDEX(Employees!$AM$6:$AM$205,MATCH($A56,Employees!$BI$6:$BI$205,0)))</f>
        <v/>
      </c>
      <c r="N56" s="11" t="str">
        <f aca="false">IF($A56="","",INDEX(Employees!$AN$6:$AN$205,MATCH($A56,Employees!$BI$6:$BI$205,0)))</f>
        <v/>
      </c>
    </row>
    <row r="57" customFormat="false" ht="15" hidden="false" customHeight="false" outlineLevel="0" collapsed="false">
      <c r="A57" s="11" t="str">
        <f aca="false">IF(52&lt;=MAX(Employees!$BI$6:$BI$205),52,"")</f>
        <v/>
      </c>
      <c r="B57" s="11" t="str">
        <f aca="false">IF($A57="","",INDEX(Employees!$A$6:$A$205,MATCH($A57,Employees!$BI$6:$BI$205,0)))</f>
        <v/>
      </c>
      <c r="C57" s="11" t="str">
        <f aca="false">IF($A57="","",INDEX(Employees!$B$6:$B$205,MATCH($A57,Employees!$BI$6:$BI$205,0)))</f>
        <v/>
      </c>
      <c r="D57" s="11" t="str">
        <f aca="false">IF($A57="","",INDEX(Employees!$C$6:$C$205,MATCH($A57,Employees!$BI$6:$BI$205,0)))</f>
        <v/>
      </c>
      <c r="E57" s="11" t="str">
        <f aca="false">IF($A57="","",INDEX(Employees!$D$6:$D$205,MATCH($A57,Employees!$BI$6:$BI$205,0)))</f>
        <v/>
      </c>
      <c r="F57" s="11" t="str">
        <f aca="false">IF($A57="","",INDEX(Employees!$T$6:$T$205,MATCH($A57,Employees!$BI$6:$BI$205,0)))</f>
        <v/>
      </c>
      <c r="G57" s="26" t="str">
        <f aca="false">IF($A57="","",INDEX(Employees!$U$6:$U$205,MATCH($A57,Employees!$BI$6:$BI$205,0)))</f>
        <v/>
      </c>
      <c r="H57" s="28" t="str">
        <f aca="false">IF($A57="","",INDEX(Employees!$E$6:$E$205,MATCH($A57,Employees!$BI$6:$BI$205,0)))</f>
        <v/>
      </c>
      <c r="I57" s="11" t="str">
        <f aca="false">IF($A57="","",INDEX(Employees!$Z$6:$Z$205,MATCH($A57,Employees!$BI$6:$BI$205,0)))</f>
        <v/>
      </c>
      <c r="J57" s="26" t="str">
        <f aca="false">IF($A57="","",INDEX(Employees!$AB$6:$AB$205,MATCH($A57,Employees!$BI$6:$BI$205,0)))</f>
        <v/>
      </c>
      <c r="K57" s="26" t="str">
        <f aca="false">IF($A57="","",INDEX(Employees!$AI$6:$AI$205,MATCH($A57,Employees!$BI$6:$BI$205,0)))</f>
        <v/>
      </c>
      <c r="L57" s="26" t="str">
        <f aca="false">IF($A57="","",INDEX(Employees!$AK$6:$AK$205,MATCH($A57,Employees!$BI$6:$BI$205,0)))</f>
        <v/>
      </c>
      <c r="M57" s="11" t="str">
        <f aca="false">IF($A57="","",INDEX(Employees!$AM$6:$AM$205,MATCH($A57,Employees!$BI$6:$BI$205,0)))</f>
        <v/>
      </c>
      <c r="N57" s="11" t="str">
        <f aca="false">IF($A57="","",INDEX(Employees!$AN$6:$AN$205,MATCH($A57,Employees!$BI$6:$BI$205,0)))</f>
        <v/>
      </c>
    </row>
    <row r="58" customFormat="false" ht="15" hidden="false" customHeight="false" outlineLevel="0" collapsed="false">
      <c r="A58" s="11" t="str">
        <f aca="false">IF(53&lt;=MAX(Employees!$BI$6:$BI$205),53,"")</f>
        <v/>
      </c>
      <c r="B58" s="11" t="str">
        <f aca="false">IF($A58="","",INDEX(Employees!$A$6:$A$205,MATCH($A58,Employees!$BI$6:$BI$205,0)))</f>
        <v/>
      </c>
      <c r="C58" s="11" t="str">
        <f aca="false">IF($A58="","",INDEX(Employees!$B$6:$B$205,MATCH($A58,Employees!$BI$6:$BI$205,0)))</f>
        <v/>
      </c>
      <c r="D58" s="11" t="str">
        <f aca="false">IF($A58="","",INDEX(Employees!$C$6:$C$205,MATCH($A58,Employees!$BI$6:$BI$205,0)))</f>
        <v/>
      </c>
      <c r="E58" s="11" t="str">
        <f aca="false">IF($A58="","",INDEX(Employees!$D$6:$D$205,MATCH($A58,Employees!$BI$6:$BI$205,0)))</f>
        <v/>
      </c>
      <c r="F58" s="11" t="str">
        <f aca="false">IF($A58="","",INDEX(Employees!$T$6:$T$205,MATCH($A58,Employees!$BI$6:$BI$205,0)))</f>
        <v/>
      </c>
      <c r="G58" s="26" t="str">
        <f aca="false">IF($A58="","",INDEX(Employees!$U$6:$U$205,MATCH($A58,Employees!$BI$6:$BI$205,0)))</f>
        <v/>
      </c>
      <c r="H58" s="28" t="str">
        <f aca="false">IF($A58="","",INDEX(Employees!$E$6:$E$205,MATCH($A58,Employees!$BI$6:$BI$205,0)))</f>
        <v/>
      </c>
      <c r="I58" s="11" t="str">
        <f aca="false">IF($A58="","",INDEX(Employees!$Z$6:$Z$205,MATCH($A58,Employees!$BI$6:$BI$205,0)))</f>
        <v/>
      </c>
      <c r="J58" s="26" t="str">
        <f aca="false">IF($A58="","",INDEX(Employees!$AB$6:$AB$205,MATCH($A58,Employees!$BI$6:$BI$205,0)))</f>
        <v/>
      </c>
      <c r="K58" s="26" t="str">
        <f aca="false">IF($A58="","",INDEX(Employees!$AI$6:$AI$205,MATCH($A58,Employees!$BI$6:$BI$205,0)))</f>
        <v/>
      </c>
      <c r="L58" s="26" t="str">
        <f aca="false">IF($A58="","",INDEX(Employees!$AK$6:$AK$205,MATCH($A58,Employees!$BI$6:$BI$205,0)))</f>
        <v/>
      </c>
      <c r="M58" s="11" t="str">
        <f aca="false">IF($A58="","",INDEX(Employees!$AM$6:$AM$205,MATCH($A58,Employees!$BI$6:$BI$205,0)))</f>
        <v/>
      </c>
      <c r="N58" s="11" t="str">
        <f aca="false">IF($A58="","",INDEX(Employees!$AN$6:$AN$205,MATCH($A58,Employees!$BI$6:$BI$205,0)))</f>
        <v/>
      </c>
    </row>
    <row r="59" customFormat="false" ht="15" hidden="false" customHeight="false" outlineLevel="0" collapsed="false">
      <c r="A59" s="11" t="str">
        <f aca="false">IF(54&lt;=MAX(Employees!$BI$6:$BI$205),54,"")</f>
        <v/>
      </c>
      <c r="B59" s="11" t="str">
        <f aca="false">IF($A59="","",INDEX(Employees!$A$6:$A$205,MATCH($A59,Employees!$BI$6:$BI$205,0)))</f>
        <v/>
      </c>
      <c r="C59" s="11" t="str">
        <f aca="false">IF($A59="","",INDEX(Employees!$B$6:$B$205,MATCH($A59,Employees!$BI$6:$BI$205,0)))</f>
        <v/>
      </c>
      <c r="D59" s="11" t="str">
        <f aca="false">IF($A59="","",INDEX(Employees!$C$6:$C$205,MATCH($A59,Employees!$BI$6:$BI$205,0)))</f>
        <v/>
      </c>
      <c r="E59" s="11" t="str">
        <f aca="false">IF($A59="","",INDEX(Employees!$D$6:$D$205,MATCH($A59,Employees!$BI$6:$BI$205,0)))</f>
        <v/>
      </c>
      <c r="F59" s="11" t="str">
        <f aca="false">IF($A59="","",INDEX(Employees!$T$6:$T$205,MATCH($A59,Employees!$BI$6:$BI$205,0)))</f>
        <v/>
      </c>
      <c r="G59" s="26" t="str">
        <f aca="false">IF($A59="","",INDEX(Employees!$U$6:$U$205,MATCH($A59,Employees!$BI$6:$BI$205,0)))</f>
        <v/>
      </c>
      <c r="H59" s="28" t="str">
        <f aca="false">IF($A59="","",INDEX(Employees!$E$6:$E$205,MATCH($A59,Employees!$BI$6:$BI$205,0)))</f>
        <v/>
      </c>
      <c r="I59" s="11" t="str">
        <f aca="false">IF($A59="","",INDEX(Employees!$Z$6:$Z$205,MATCH($A59,Employees!$BI$6:$BI$205,0)))</f>
        <v/>
      </c>
      <c r="J59" s="26" t="str">
        <f aca="false">IF($A59="","",INDEX(Employees!$AB$6:$AB$205,MATCH($A59,Employees!$BI$6:$BI$205,0)))</f>
        <v/>
      </c>
      <c r="K59" s="26" t="str">
        <f aca="false">IF($A59="","",INDEX(Employees!$AI$6:$AI$205,MATCH($A59,Employees!$BI$6:$BI$205,0)))</f>
        <v/>
      </c>
      <c r="L59" s="26" t="str">
        <f aca="false">IF($A59="","",INDEX(Employees!$AK$6:$AK$205,MATCH($A59,Employees!$BI$6:$BI$205,0)))</f>
        <v/>
      </c>
      <c r="M59" s="11" t="str">
        <f aca="false">IF($A59="","",INDEX(Employees!$AM$6:$AM$205,MATCH($A59,Employees!$BI$6:$BI$205,0)))</f>
        <v/>
      </c>
      <c r="N59" s="11" t="str">
        <f aca="false">IF($A59="","",INDEX(Employees!$AN$6:$AN$205,MATCH($A59,Employees!$BI$6:$BI$205,0)))</f>
        <v/>
      </c>
    </row>
    <row r="60" customFormat="false" ht="15" hidden="false" customHeight="false" outlineLevel="0" collapsed="false">
      <c r="A60" s="11" t="str">
        <f aca="false">IF(55&lt;=MAX(Employees!$BI$6:$BI$205),55,"")</f>
        <v/>
      </c>
      <c r="B60" s="11" t="str">
        <f aca="false">IF($A60="","",INDEX(Employees!$A$6:$A$205,MATCH($A60,Employees!$BI$6:$BI$205,0)))</f>
        <v/>
      </c>
      <c r="C60" s="11" t="str">
        <f aca="false">IF($A60="","",INDEX(Employees!$B$6:$B$205,MATCH($A60,Employees!$BI$6:$BI$205,0)))</f>
        <v/>
      </c>
      <c r="D60" s="11" t="str">
        <f aca="false">IF($A60="","",INDEX(Employees!$C$6:$C$205,MATCH($A60,Employees!$BI$6:$BI$205,0)))</f>
        <v/>
      </c>
      <c r="E60" s="11" t="str">
        <f aca="false">IF($A60="","",INDEX(Employees!$D$6:$D$205,MATCH($A60,Employees!$BI$6:$BI$205,0)))</f>
        <v/>
      </c>
      <c r="F60" s="11" t="str">
        <f aca="false">IF($A60="","",INDEX(Employees!$T$6:$T$205,MATCH($A60,Employees!$BI$6:$BI$205,0)))</f>
        <v/>
      </c>
      <c r="G60" s="26" t="str">
        <f aca="false">IF($A60="","",INDEX(Employees!$U$6:$U$205,MATCH($A60,Employees!$BI$6:$BI$205,0)))</f>
        <v/>
      </c>
      <c r="H60" s="28" t="str">
        <f aca="false">IF($A60="","",INDEX(Employees!$E$6:$E$205,MATCH($A60,Employees!$BI$6:$BI$205,0)))</f>
        <v/>
      </c>
      <c r="I60" s="11" t="str">
        <f aca="false">IF($A60="","",INDEX(Employees!$Z$6:$Z$205,MATCH($A60,Employees!$BI$6:$BI$205,0)))</f>
        <v/>
      </c>
      <c r="J60" s="26" t="str">
        <f aca="false">IF($A60="","",INDEX(Employees!$AB$6:$AB$205,MATCH($A60,Employees!$BI$6:$BI$205,0)))</f>
        <v/>
      </c>
      <c r="K60" s="26" t="str">
        <f aca="false">IF($A60="","",INDEX(Employees!$AI$6:$AI$205,MATCH($A60,Employees!$BI$6:$BI$205,0)))</f>
        <v/>
      </c>
      <c r="L60" s="26" t="str">
        <f aca="false">IF($A60="","",INDEX(Employees!$AK$6:$AK$205,MATCH($A60,Employees!$BI$6:$BI$205,0)))</f>
        <v/>
      </c>
      <c r="M60" s="11" t="str">
        <f aca="false">IF($A60="","",INDEX(Employees!$AM$6:$AM$205,MATCH($A60,Employees!$BI$6:$BI$205,0)))</f>
        <v/>
      </c>
      <c r="N60" s="11" t="str">
        <f aca="false">IF($A60="","",INDEX(Employees!$AN$6:$AN$205,MATCH($A60,Employees!$BI$6:$BI$205,0)))</f>
        <v/>
      </c>
    </row>
    <row r="61" customFormat="false" ht="15" hidden="false" customHeight="false" outlineLevel="0" collapsed="false">
      <c r="A61" s="11" t="str">
        <f aca="false">IF(56&lt;=MAX(Employees!$BI$6:$BI$205),56,"")</f>
        <v/>
      </c>
      <c r="B61" s="11" t="str">
        <f aca="false">IF($A61="","",INDEX(Employees!$A$6:$A$205,MATCH($A61,Employees!$BI$6:$BI$205,0)))</f>
        <v/>
      </c>
      <c r="C61" s="11" t="str">
        <f aca="false">IF($A61="","",INDEX(Employees!$B$6:$B$205,MATCH($A61,Employees!$BI$6:$BI$205,0)))</f>
        <v/>
      </c>
      <c r="D61" s="11" t="str">
        <f aca="false">IF($A61="","",INDEX(Employees!$C$6:$C$205,MATCH($A61,Employees!$BI$6:$BI$205,0)))</f>
        <v/>
      </c>
      <c r="E61" s="11" t="str">
        <f aca="false">IF($A61="","",INDEX(Employees!$D$6:$D$205,MATCH($A61,Employees!$BI$6:$BI$205,0)))</f>
        <v/>
      </c>
      <c r="F61" s="11" t="str">
        <f aca="false">IF($A61="","",INDEX(Employees!$T$6:$T$205,MATCH($A61,Employees!$BI$6:$BI$205,0)))</f>
        <v/>
      </c>
      <c r="G61" s="26" t="str">
        <f aca="false">IF($A61="","",INDEX(Employees!$U$6:$U$205,MATCH($A61,Employees!$BI$6:$BI$205,0)))</f>
        <v/>
      </c>
      <c r="H61" s="28" t="str">
        <f aca="false">IF($A61="","",INDEX(Employees!$E$6:$E$205,MATCH($A61,Employees!$BI$6:$BI$205,0)))</f>
        <v/>
      </c>
      <c r="I61" s="11" t="str">
        <f aca="false">IF($A61="","",INDEX(Employees!$Z$6:$Z$205,MATCH($A61,Employees!$BI$6:$BI$205,0)))</f>
        <v/>
      </c>
      <c r="J61" s="26" t="str">
        <f aca="false">IF($A61="","",INDEX(Employees!$AB$6:$AB$205,MATCH($A61,Employees!$BI$6:$BI$205,0)))</f>
        <v/>
      </c>
      <c r="K61" s="26" t="str">
        <f aca="false">IF($A61="","",INDEX(Employees!$AI$6:$AI$205,MATCH($A61,Employees!$BI$6:$BI$205,0)))</f>
        <v/>
      </c>
      <c r="L61" s="26" t="str">
        <f aca="false">IF($A61="","",INDEX(Employees!$AK$6:$AK$205,MATCH($A61,Employees!$BI$6:$BI$205,0)))</f>
        <v/>
      </c>
      <c r="M61" s="11" t="str">
        <f aca="false">IF($A61="","",INDEX(Employees!$AM$6:$AM$205,MATCH($A61,Employees!$BI$6:$BI$205,0)))</f>
        <v/>
      </c>
      <c r="N61" s="11" t="str">
        <f aca="false">IF($A61="","",INDEX(Employees!$AN$6:$AN$205,MATCH($A61,Employees!$BI$6:$BI$205,0)))</f>
        <v/>
      </c>
    </row>
    <row r="62" customFormat="false" ht="15" hidden="false" customHeight="false" outlineLevel="0" collapsed="false">
      <c r="A62" s="11" t="str">
        <f aca="false">IF(57&lt;=MAX(Employees!$BI$6:$BI$205),57,"")</f>
        <v/>
      </c>
      <c r="B62" s="11" t="str">
        <f aca="false">IF($A62="","",INDEX(Employees!$A$6:$A$205,MATCH($A62,Employees!$BI$6:$BI$205,0)))</f>
        <v/>
      </c>
      <c r="C62" s="11" t="str">
        <f aca="false">IF($A62="","",INDEX(Employees!$B$6:$B$205,MATCH($A62,Employees!$BI$6:$BI$205,0)))</f>
        <v/>
      </c>
      <c r="D62" s="11" t="str">
        <f aca="false">IF($A62="","",INDEX(Employees!$C$6:$C$205,MATCH($A62,Employees!$BI$6:$BI$205,0)))</f>
        <v/>
      </c>
      <c r="E62" s="11" t="str">
        <f aca="false">IF($A62="","",INDEX(Employees!$D$6:$D$205,MATCH($A62,Employees!$BI$6:$BI$205,0)))</f>
        <v/>
      </c>
      <c r="F62" s="11" t="str">
        <f aca="false">IF($A62="","",INDEX(Employees!$T$6:$T$205,MATCH($A62,Employees!$BI$6:$BI$205,0)))</f>
        <v/>
      </c>
      <c r="G62" s="26" t="str">
        <f aca="false">IF($A62="","",INDEX(Employees!$U$6:$U$205,MATCH($A62,Employees!$BI$6:$BI$205,0)))</f>
        <v/>
      </c>
      <c r="H62" s="28" t="str">
        <f aca="false">IF($A62="","",INDEX(Employees!$E$6:$E$205,MATCH($A62,Employees!$BI$6:$BI$205,0)))</f>
        <v/>
      </c>
      <c r="I62" s="11" t="str">
        <f aca="false">IF($A62="","",INDEX(Employees!$Z$6:$Z$205,MATCH($A62,Employees!$BI$6:$BI$205,0)))</f>
        <v/>
      </c>
      <c r="J62" s="26" t="str">
        <f aca="false">IF($A62="","",INDEX(Employees!$AB$6:$AB$205,MATCH($A62,Employees!$BI$6:$BI$205,0)))</f>
        <v/>
      </c>
      <c r="K62" s="26" t="str">
        <f aca="false">IF($A62="","",INDEX(Employees!$AI$6:$AI$205,MATCH($A62,Employees!$BI$6:$BI$205,0)))</f>
        <v/>
      </c>
      <c r="L62" s="26" t="str">
        <f aca="false">IF($A62="","",INDEX(Employees!$AK$6:$AK$205,MATCH($A62,Employees!$BI$6:$BI$205,0)))</f>
        <v/>
      </c>
      <c r="M62" s="11" t="str">
        <f aca="false">IF($A62="","",INDEX(Employees!$AM$6:$AM$205,MATCH($A62,Employees!$BI$6:$BI$205,0)))</f>
        <v/>
      </c>
      <c r="N62" s="11" t="str">
        <f aca="false">IF($A62="","",INDEX(Employees!$AN$6:$AN$205,MATCH($A62,Employees!$BI$6:$BI$205,0)))</f>
        <v/>
      </c>
    </row>
    <row r="63" customFormat="false" ht="15" hidden="false" customHeight="false" outlineLevel="0" collapsed="false">
      <c r="A63" s="11" t="str">
        <f aca="false">IF(58&lt;=MAX(Employees!$BI$6:$BI$205),58,"")</f>
        <v/>
      </c>
      <c r="B63" s="11" t="str">
        <f aca="false">IF($A63="","",INDEX(Employees!$A$6:$A$205,MATCH($A63,Employees!$BI$6:$BI$205,0)))</f>
        <v/>
      </c>
      <c r="C63" s="11" t="str">
        <f aca="false">IF($A63="","",INDEX(Employees!$B$6:$B$205,MATCH($A63,Employees!$BI$6:$BI$205,0)))</f>
        <v/>
      </c>
      <c r="D63" s="11" t="str">
        <f aca="false">IF($A63="","",INDEX(Employees!$C$6:$C$205,MATCH($A63,Employees!$BI$6:$BI$205,0)))</f>
        <v/>
      </c>
      <c r="E63" s="11" t="str">
        <f aca="false">IF($A63="","",INDEX(Employees!$D$6:$D$205,MATCH($A63,Employees!$BI$6:$BI$205,0)))</f>
        <v/>
      </c>
      <c r="F63" s="11" t="str">
        <f aca="false">IF($A63="","",INDEX(Employees!$T$6:$T$205,MATCH($A63,Employees!$BI$6:$BI$205,0)))</f>
        <v/>
      </c>
      <c r="G63" s="26" t="str">
        <f aca="false">IF($A63="","",INDEX(Employees!$U$6:$U$205,MATCH($A63,Employees!$BI$6:$BI$205,0)))</f>
        <v/>
      </c>
      <c r="H63" s="28" t="str">
        <f aca="false">IF($A63="","",INDEX(Employees!$E$6:$E$205,MATCH($A63,Employees!$BI$6:$BI$205,0)))</f>
        <v/>
      </c>
      <c r="I63" s="11" t="str">
        <f aca="false">IF($A63="","",INDEX(Employees!$Z$6:$Z$205,MATCH($A63,Employees!$BI$6:$BI$205,0)))</f>
        <v/>
      </c>
      <c r="J63" s="26" t="str">
        <f aca="false">IF($A63="","",INDEX(Employees!$AB$6:$AB$205,MATCH($A63,Employees!$BI$6:$BI$205,0)))</f>
        <v/>
      </c>
      <c r="K63" s="26" t="str">
        <f aca="false">IF($A63="","",INDEX(Employees!$AI$6:$AI$205,MATCH($A63,Employees!$BI$6:$BI$205,0)))</f>
        <v/>
      </c>
      <c r="L63" s="26" t="str">
        <f aca="false">IF($A63="","",INDEX(Employees!$AK$6:$AK$205,MATCH($A63,Employees!$BI$6:$BI$205,0)))</f>
        <v/>
      </c>
      <c r="M63" s="11" t="str">
        <f aca="false">IF($A63="","",INDEX(Employees!$AM$6:$AM$205,MATCH($A63,Employees!$BI$6:$BI$205,0)))</f>
        <v/>
      </c>
      <c r="N63" s="11" t="str">
        <f aca="false">IF($A63="","",INDEX(Employees!$AN$6:$AN$205,MATCH($A63,Employees!$BI$6:$BI$205,0)))</f>
        <v/>
      </c>
    </row>
    <row r="64" customFormat="false" ht="15" hidden="false" customHeight="false" outlineLevel="0" collapsed="false">
      <c r="A64" s="11" t="str">
        <f aca="false">IF(59&lt;=MAX(Employees!$BI$6:$BI$205),59,"")</f>
        <v/>
      </c>
      <c r="B64" s="11" t="str">
        <f aca="false">IF($A64="","",INDEX(Employees!$A$6:$A$205,MATCH($A64,Employees!$BI$6:$BI$205,0)))</f>
        <v/>
      </c>
      <c r="C64" s="11" t="str">
        <f aca="false">IF($A64="","",INDEX(Employees!$B$6:$B$205,MATCH($A64,Employees!$BI$6:$BI$205,0)))</f>
        <v/>
      </c>
      <c r="D64" s="11" t="str">
        <f aca="false">IF($A64="","",INDEX(Employees!$C$6:$C$205,MATCH($A64,Employees!$BI$6:$BI$205,0)))</f>
        <v/>
      </c>
      <c r="E64" s="11" t="str">
        <f aca="false">IF($A64="","",INDEX(Employees!$D$6:$D$205,MATCH($A64,Employees!$BI$6:$BI$205,0)))</f>
        <v/>
      </c>
      <c r="F64" s="11" t="str">
        <f aca="false">IF($A64="","",INDEX(Employees!$T$6:$T$205,MATCH($A64,Employees!$BI$6:$BI$205,0)))</f>
        <v/>
      </c>
      <c r="G64" s="26" t="str">
        <f aca="false">IF($A64="","",INDEX(Employees!$U$6:$U$205,MATCH($A64,Employees!$BI$6:$BI$205,0)))</f>
        <v/>
      </c>
      <c r="H64" s="28" t="str">
        <f aca="false">IF($A64="","",INDEX(Employees!$E$6:$E$205,MATCH($A64,Employees!$BI$6:$BI$205,0)))</f>
        <v/>
      </c>
      <c r="I64" s="11" t="str">
        <f aca="false">IF($A64="","",INDEX(Employees!$Z$6:$Z$205,MATCH($A64,Employees!$BI$6:$BI$205,0)))</f>
        <v/>
      </c>
      <c r="J64" s="26" t="str">
        <f aca="false">IF($A64="","",INDEX(Employees!$AB$6:$AB$205,MATCH($A64,Employees!$BI$6:$BI$205,0)))</f>
        <v/>
      </c>
      <c r="K64" s="26" t="str">
        <f aca="false">IF($A64="","",INDEX(Employees!$AI$6:$AI$205,MATCH($A64,Employees!$BI$6:$BI$205,0)))</f>
        <v/>
      </c>
      <c r="L64" s="26" t="str">
        <f aca="false">IF($A64="","",INDEX(Employees!$AK$6:$AK$205,MATCH($A64,Employees!$BI$6:$BI$205,0)))</f>
        <v/>
      </c>
      <c r="M64" s="11" t="str">
        <f aca="false">IF($A64="","",INDEX(Employees!$AM$6:$AM$205,MATCH($A64,Employees!$BI$6:$BI$205,0)))</f>
        <v/>
      </c>
      <c r="N64" s="11" t="str">
        <f aca="false">IF($A64="","",INDEX(Employees!$AN$6:$AN$205,MATCH($A64,Employees!$BI$6:$BI$205,0)))</f>
        <v/>
      </c>
    </row>
    <row r="65" customFormat="false" ht="15" hidden="false" customHeight="false" outlineLevel="0" collapsed="false">
      <c r="A65" s="11" t="str">
        <f aca="false">IF(60&lt;=MAX(Employees!$BI$6:$BI$205),60,"")</f>
        <v/>
      </c>
      <c r="B65" s="11" t="str">
        <f aca="false">IF($A65="","",INDEX(Employees!$A$6:$A$205,MATCH($A65,Employees!$BI$6:$BI$205,0)))</f>
        <v/>
      </c>
      <c r="C65" s="11" t="str">
        <f aca="false">IF($A65="","",INDEX(Employees!$B$6:$B$205,MATCH($A65,Employees!$BI$6:$BI$205,0)))</f>
        <v/>
      </c>
      <c r="D65" s="11" t="str">
        <f aca="false">IF($A65="","",INDEX(Employees!$C$6:$C$205,MATCH($A65,Employees!$BI$6:$BI$205,0)))</f>
        <v/>
      </c>
      <c r="E65" s="11" t="str">
        <f aca="false">IF($A65="","",INDEX(Employees!$D$6:$D$205,MATCH($A65,Employees!$BI$6:$BI$205,0)))</f>
        <v/>
      </c>
      <c r="F65" s="11" t="str">
        <f aca="false">IF($A65="","",INDEX(Employees!$T$6:$T$205,MATCH($A65,Employees!$BI$6:$BI$205,0)))</f>
        <v/>
      </c>
      <c r="G65" s="26" t="str">
        <f aca="false">IF($A65="","",INDEX(Employees!$U$6:$U$205,MATCH($A65,Employees!$BI$6:$BI$205,0)))</f>
        <v/>
      </c>
      <c r="H65" s="28" t="str">
        <f aca="false">IF($A65="","",INDEX(Employees!$E$6:$E$205,MATCH($A65,Employees!$BI$6:$BI$205,0)))</f>
        <v/>
      </c>
      <c r="I65" s="11" t="str">
        <f aca="false">IF($A65="","",INDEX(Employees!$Z$6:$Z$205,MATCH($A65,Employees!$BI$6:$BI$205,0)))</f>
        <v/>
      </c>
      <c r="J65" s="26" t="str">
        <f aca="false">IF($A65="","",INDEX(Employees!$AB$6:$AB$205,MATCH($A65,Employees!$BI$6:$BI$205,0)))</f>
        <v/>
      </c>
      <c r="K65" s="26" t="str">
        <f aca="false">IF($A65="","",INDEX(Employees!$AI$6:$AI$205,MATCH($A65,Employees!$BI$6:$BI$205,0)))</f>
        <v/>
      </c>
      <c r="L65" s="26" t="str">
        <f aca="false">IF($A65="","",INDEX(Employees!$AK$6:$AK$205,MATCH($A65,Employees!$BI$6:$BI$205,0)))</f>
        <v/>
      </c>
      <c r="M65" s="11" t="str">
        <f aca="false">IF($A65="","",INDEX(Employees!$AM$6:$AM$205,MATCH($A65,Employees!$BI$6:$BI$205,0)))</f>
        <v/>
      </c>
      <c r="N65" s="11" t="str">
        <f aca="false">IF($A65="","",INDEX(Employees!$AN$6:$AN$205,MATCH($A65,Employees!$BI$6:$BI$205,0)))</f>
        <v/>
      </c>
    </row>
    <row r="66" customFormat="false" ht="15" hidden="false" customHeight="false" outlineLevel="0" collapsed="false">
      <c r="A66" s="11" t="str">
        <f aca="false">IF(61&lt;=MAX(Employees!$BI$6:$BI$205),61,"")</f>
        <v/>
      </c>
      <c r="B66" s="11" t="str">
        <f aca="false">IF($A66="","",INDEX(Employees!$A$6:$A$205,MATCH($A66,Employees!$BI$6:$BI$205,0)))</f>
        <v/>
      </c>
      <c r="C66" s="11" t="str">
        <f aca="false">IF($A66="","",INDEX(Employees!$B$6:$B$205,MATCH($A66,Employees!$BI$6:$BI$205,0)))</f>
        <v/>
      </c>
      <c r="D66" s="11" t="str">
        <f aca="false">IF($A66="","",INDEX(Employees!$C$6:$C$205,MATCH($A66,Employees!$BI$6:$BI$205,0)))</f>
        <v/>
      </c>
      <c r="E66" s="11" t="str">
        <f aca="false">IF($A66="","",INDEX(Employees!$D$6:$D$205,MATCH($A66,Employees!$BI$6:$BI$205,0)))</f>
        <v/>
      </c>
      <c r="F66" s="11" t="str">
        <f aca="false">IF($A66="","",INDEX(Employees!$T$6:$T$205,MATCH($A66,Employees!$BI$6:$BI$205,0)))</f>
        <v/>
      </c>
      <c r="G66" s="26" t="str">
        <f aca="false">IF($A66="","",INDEX(Employees!$U$6:$U$205,MATCH($A66,Employees!$BI$6:$BI$205,0)))</f>
        <v/>
      </c>
      <c r="H66" s="28" t="str">
        <f aca="false">IF($A66="","",INDEX(Employees!$E$6:$E$205,MATCH($A66,Employees!$BI$6:$BI$205,0)))</f>
        <v/>
      </c>
      <c r="I66" s="11" t="str">
        <f aca="false">IF($A66="","",INDEX(Employees!$Z$6:$Z$205,MATCH($A66,Employees!$BI$6:$BI$205,0)))</f>
        <v/>
      </c>
      <c r="J66" s="26" t="str">
        <f aca="false">IF($A66="","",INDEX(Employees!$AB$6:$AB$205,MATCH($A66,Employees!$BI$6:$BI$205,0)))</f>
        <v/>
      </c>
      <c r="K66" s="26" t="str">
        <f aca="false">IF($A66="","",INDEX(Employees!$AI$6:$AI$205,MATCH($A66,Employees!$BI$6:$BI$205,0)))</f>
        <v/>
      </c>
      <c r="L66" s="26" t="str">
        <f aca="false">IF($A66="","",INDEX(Employees!$AK$6:$AK$205,MATCH($A66,Employees!$BI$6:$BI$205,0)))</f>
        <v/>
      </c>
      <c r="M66" s="11" t="str">
        <f aca="false">IF($A66="","",INDEX(Employees!$AM$6:$AM$205,MATCH($A66,Employees!$BI$6:$BI$205,0)))</f>
        <v/>
      </c>
      <c r="N66" s="11" t="str">
        <f aca="false">IF($A66="","",INDEX(Employees!$AN$6:$AN$205,MATCH($A66,Employees!$BI$6:$BI$205,0)))</f>
        <v/>
      </c>
    </row>
    <row r="67" customFormat="false" ht="15" hidden="false" customHeight="false" outlineLevel="0" collapsed="false">
      <c r="A67" s="11" t="str">
        <f aca="false">IF(62&lt;=MAX(Employees!$BI$6:$BI$205),62,"")</f>
        <v/>
      </c>
      <c r="B67" s="11" t="str">
        <f aca="false">IF($A67="","",INDEX(Employees!$A$6:$A$205,MATCH($A67,Employees!$BI$6:$BI$205,0)))</f>
        <v/>
      </c>
      <c r="C67" s="11" t="str">
        <f aca="false">IF($A67="","",INDEX(Employees!$B$6:$B$205,MATCH($A67,Employees!$BI$6:$BI$205,0)))</f>
        <v/>
      </c>
      <c r="D67" s="11" t="str">
        <f aca="false">IF($A67="","",INDEX(Employees!$C$6:$C$205,MATCH($A67,Employees!$BI$6:$BI$205,0)))</f>
        <v/>
      </c>
      <c r="E67" s="11" t="str">
        <f aca="false">IF($A67="","",INDEX(Employees!$D$6:$D$205,MATCH($A67,Employees!$BI$6:$BI$205,0)))</f>
        <v/>
      </c>
      <c r="F67" s="11" t="str">
        <f aca="false">IF($A67="","",INDEX(Employees!$T$6:$T$205,MATCH($A67,Employees!$BI$6:$BI$205,0)))</f>
        <v/>
      </c>
      <c r="G67" s="26" t="str">
        <f aca="false">IF($A67="","",INDEX(Employees!$U$6:$U$205,MATCH($A67,Employees!$BI$6:$BI$205,0)))</f>
        <v/>
      </c>
      <c r="H67" s="28" t="str">
        <f aca="false">IF($A67="","",INDEX(Employees!$E$6:$E$205,MATCH($A67,Employees!$BI$6:$BI$205,0)))</f>
        <v/>
      </c>
      <c r="I67" s="11" t="str">
        <f aca="false">IF($A67="","",INDEX(Employees!$Z$6:$Z$205,MATCH($A67,Employees!$BI$6:$BI$205,0)))</f>
        <v/>
      </c>
      <c r="J67" s="26" t="str">
        <f aca="false">IF($A67="","",INDEX(Employees!$AB$6:$AB$205,MATCH($A67,Employees!$BI$6:$BI$205,0)))</f>
        <v/>
      </c>
      <c r="K67" s="26" t="str">
        <f aca="false">IF($A67="","",INDEX(Employees!$AI$6:$AI$205,MATCH($A67,Employees!$BI$6:$BI$205,0)))</f>
        <v/>
      </c>
      <c r="L67" s="26" t="str">
        <f aca="false">IF($A67="","",INDEX(Employees!$AK$6:$AK$205,MATCH($A67,Employees!$BI$6:$BI$205,0)))</f>
        <v/>
      </c>
      <c r="M67" s="11" t="str">
        <f aca="false">IF($A67="","",INDEX(Employees!$AM$6:$AM$205,MATCH($A67,Employees!$BI$6:$BI$205,0)))</f>
        <v/>
      </c>
      <c r="N67" s="11" t="str">
        <f aca="false">IF($A67="","",INDEX(Employees!$AN$6:$AN$205,MATCH($A67,Employees!$BI$6:$BI$205,0)))</f>
        <v/>
      </c>
    </row>
    <row r="68" customFormat="false" ht="15" hidden="false" customHeight="false" outlineLevel="0" collapsed="false">
      <c r="A68" s="11" t="str">
        <f aca="false">IF(63&lt;=MAX(Employees!$BI$6:$BI$205),63,"")</f>
        <v/>
      </c>
      <c r="B68" s="11" t="str">
        <f aca="false">IF($A68="","",INDEX(Employees!$A$6:$A$205,MATCH($A68,Employees!$BI$6:$BI$205,0)))</f>
        <v/>
      </c>
      <c r="C68" s="11" t="str">
        <f aca="false">IF($A68="","",INDEX(Employees!$B$6:$B$205,MATCH($A68,Employees!$BI$6:$BI$205,0)))</f>
        <v/>
      </c>
      <c r="D68" s="11" t="str">
        <f aca="false">IF($A68="","",INDEX(Employees!$C$6:$C$205,MATCH($A68,Employees!$BI$6:$BI$205,0)))</f>
        <v/>
      </c>
      <c r="E68" s="11" t="str">
        <f aca="false">IF($A68="","",INDEX(Employees!$D$6:$D$205,MATCH($A68,Employees!$BI$6:$BI$205,0)))</f>
        <v/>
      </c>
      <c r="F68" s="11" t="str">
        <f aca="false">IF($A68="","",INDEX(Employees!$T$6:$T$205,MATCH($A68,Employees!$BI$6:$BI$205,0)))</f>
        <v/>
      </c>
      <c r="G68" s="26" t="str">
        <f aca="false">IF($A68="","",INDEX(Employees!$U$6:$U$205,MATCH($A68,Employees!$BI$6:$BI$205,0)))</f>
        <v/>
      </c>
      <c r="H68" s="28" t="str">
        <f aca="false">IF($A68="","",INDEX(Employees!$E$6:$E$205,MATCH($A68,Employees!$BI$6:$BI$205,0)))</f>
        <v/>
      </c>
      <c r="I68" s="11" t="str">
        <f aca="false">IF($A68="","",INDEX(Employees!$Z$6:$Z$205,MATCH($A68,Employees!$BI$6:$BI$205,0)))</f>
        <v/>
      </c>
      <c r="J68" s="26" t="str">
        <f aca="false">IF($A68="","",INDEX(Employees!$AB$6:$AB$205,MATCH($A68,Employees!$BI$6:$BI$205,0)))</f>
        <v/>
      </c>
      <c r="K68" s="26" t="str">
        <f aca="false">IF($A68="","",INDEX(Employees!$AI$6:$AI$205,MATCH($A68,Employees!$BI$6:$BI$205,0)))</f>
        <v/>
      </c>
      <c r="L68" s="26" t="str">
        <f aca="false">IF($A68="","",INDEX(Employees!$AK$6:$AK$205,MATCH($A68,Employees!$BI$6:$BI$205,0)))</f>
        <v/>
      </c>
      <c r="M68" s="11" t="str">
        <f aca="false">IF($A68="","",INDEX(Employees!$AM$6:$AM$205,MATCH($A68,Employees!$BI$6:$BI$205,0)))</f>
        <v/>
      </c>
      <c r="N68" s="11" t="str">
        <f aca="false">IF($A68="","",INDEX(Employees!$AN$6:$AN$205,MATCH($A68,Employees!$BI$6:$BI$205,0)))</f>
        <v/>
      </c>
    </row>
    <row r="69" customFormat="false" ht="15" hidden="false" customHeight="false" outlineLevel="0" collapsed="false">
      <c r="A69" s="11" t="str">
        <f aca="false">IF(64&lt;=MAX(Employees!$BI$6:$BI$205),64,"")</f>
        <v/>
      </c>
      <c r="B69" s="11" t="str">
        <f aca="false">IF($A69="","",INDEX(Employees!$A$6:$A$205,MATCH($A69,Employees!$BI$6:$BI$205,0)))</f>
        <v/>
      </c>
      <c r="C69" s="11" t="str">
        <f aca="false">IF($A69="","",INDEX(Employees!$B$6:$B$205,MATCH($A69,Employees!$BI$6:$BI$205,0)))</f>
        <v/>
      </c>
      <c r="D69" s="11" t="str">
        <f aca="false">IF($A69="","",INDEX(Employees!$C$6:$C$205,MATCH($A69,Employees!$BI$6:$BI$205,0)))</f>
        <v/>
      </c>
      <c r="E69" s="11" t="str">
        <f aca="false">IF($A69="","",INDEX(Employees!$D$6:$D$205,MATCH($A69,Employees!$BI$6:$BI$205,0)))</f>
        <v/>
      </c>
      <c r="F69" s="11" t="str">
        <f aca="false">IF($A69="","",INDEX(Employees!$T$6:$T$205,MATCH($A69,Employees!$BI$6:$BI$205,0)))</f>
        <v/>
      </c>
      <c r="G69" s="26" t="str">
        <f aca="false">IF($A69="","",INDEX(Employees!$U$6:$U$205,MATCH($A69,Employees!$BI$6:$BI$205,0)))</f>
        <v/>
      </c>
      <c r="H69" s="28" t="str">
        <f aca="false">IF($A69="","",INDEX(Employees!$E$6:$E$205,MATCH($A69,Employees!$BI$6:$BI$205,0)))</f>
        <v/>
      </c>
      <c r="I69" s="11" t="str">
        <f aca="false">IF($A69="","",INDEX(Employees!$Z$6:$Z$205,MATCH($A69,Employees!$BI$6:$BI$205,0)))</f>
        <v/>
      </c>
      <c r="J69" s="26" t="str">
        <f aca="false">IF($A69="","",INDEX(Employees!$AB$6:$AB$205,MATCH($A69,Employees!$BI$6:$BI$205,0)))</f>
        <v/>
      </c>
      <c r="K69" s="26" t="str">
        <f aca="false">IF($A69="","",INDEX(Employees!$AI$6:$AI$205,MATCH($A69,Employees!$BI$6:$BI$205,0)))</f>
        <v/>
      </c>
      <c r="L69" s="26" t="str">
        <f aca="false">IF($A69="","",INDEX(Employees!$AK$6:$AK$205,MATCH($A69,Employees!$BI$6:$BI$205,0)))</f>
        <v/>
      </c>
      <c r="M69" s="11" t="str">
        <f aca="false">IF($A69="","",INDEX(Employees!$AM$6:$AM$205,MATCH($A69,Employees!$BI$6:$BI$205,0)))</f>
        <v/>
      </c>
      <c r="N69" s="11" t="str">
        <f aca="false">IF($A69="","",INDEX(Employees!$AN$6:$AN$205,MATCH($A69,Employees!$BI$6:$BI$205,0)))</f>
        <v/>
      </c>
    </row>
    <row r="70" customFormat="false" ht="15" hidden="false" customHeight="false" outlineLevel="0" collapsed="false">
      <c r="A70" s="11" t="str">
        <f aca="false">IF(65&lt;=MAX(Employees!$BI$6:$BI$205),65,"")</f>
        <v/>
      </c>
      <c r="B70" s="11" t="str">
        <f aca="false">IF($A70="","",INDEX(Employees!$A$6:$A$205,MATCH($A70,Employees!$BI$6:$BI$205,0)))</f>
        <v/>
      </c>
      <c r="C70" s="11" t="str">
        <f aca="false">IF($A70="","",INDEX(Employees!$B$6:$B$205,MATCH($A70,Employees!$BI$6:$BI$205,0)))</f>
        <v/>
      </c>
      <c r="D70" s="11" t="str">
        <f aca="false">IF($A70="","",INDEX(Employees!$C$6:$C$205,MATCH($A70,Employees!$BI$6:$BI$205,0)))</f>
        <v/>
      </c>
      <c r="E70" s="11" t="str">
        <f aca="false">IF($A70="","",INDEX(Employees!$D$6:$D$205,MATCH($A70,Employees!$BI$6:$BI$205,0)))</f>
        <v/>
      </c>
      <c r="F70" s="11" t="str">
        <f aca="false">IF($A70="","",INDEX(Employees!$T$6:$T$205,MATCH($A70,Employees!$BI$6:$BI$205,0)))</f>
        <v/>
      </c>
      <c r="G70" s="26" t="str">
        <f aca="false">IF($A70="","",INDEX(Employees!$U$6:$U$205,MATCH($A70,Employees!$BI$6:$BI$205,0)))</f>
        <v/>
      </c>
      <c r="H70" s="28" t="str">
        <f aca="false">IF($A70="","",INDEX(Employees!$E$6:$E$205,MATCH($A70,Employees!$BI$6:$BI$205,0)))</f>
        <v/>
      </c>
      <c r="I70" s="11" t="str">
        <f aca="false">IF($A70="","",INDEX(Employees!$Z$6:$Z$205,MATCH($A70,Employees!$BI$6:$BI$205,0)))</f>
        <v/>
      </c>
      <c r="J70" s="26" t="str">
        <f aca="false">IF($A70="","",INDEX(Employees!$AB$6:$AB$205,MATCH($A70,Employees!$BI$6:$BI$205,0)))</f>
        <v/>
      </c>
      <c r="K70" s="26" t="str">
        <f aca="false">IF($A70="","",INDEX(Employees!$AI$6:$AI$205,MATCH($A70,Employees!$BI$6:$BI$205,0)))</f>
        <v/>
      </c>
      <c r="L70" s="26" t="str">
        <f aca="false">IF($A70="","",INDEX(Employees!$AK$6:$AK$205,MATCH($A70,Employees!$BI$6:$BI$205,0)))</f>
        <v/>
      </c>
      <c r="M70" s="11" t="str">
        <f aca="false">IF($A70="","",INDEX(Employees!$AM$6:$AM$205,MATCH($A70,Employees!$BI$6:$BI$205,0)))</f>
        <v/>
      </c>
      <c r="N70" s="11" t="str">
        <f aca="false">IF($A70="","",INDEX(Employees!$AN$6:$AN$205,MATCH($A70,Employees!$BI$6:$BI$205,0)))</f>
        <v/>
      </c>
    </row>
    <row r="71" customFormat="false" ht="15" hidden="false" customHeight="false" outlineLevel="0" collapsed="false">
      <c r="A71" s="11" t="str">
        <f aca="false">IF(66&lt;=MAX(Employees!$BI$6:$BI$205),66,"")</f>
        <v/>
      </c>
      <c r="B71" s="11" t="str">
        <f aca="false">IF($A71="","",INDEX(Employees!$A$6:$A$205,MATCH($A71,Employees!$BI$6:$BI$205,0)))</f>
        <v/>
      </c>
      <c r="C71" s="11" t="str">
        <f aca="false">IF($A71="","",INDEX(Employees!$B$6:$B$205,MATCH($A71,Employees!$BI$6:$BI$205,0)))</f>
        <v/>
      </c>
      <c r="D71" s="11" t="str">
        <f aca="false">IF($A71="","",INDEX(Employees!$C$6:$C$205,MATCH($A71,Employees!$BI$6:$BI$205,0)))</f>
        <v/>
      </c>
      <c r="E71" s="11" t="str">
        <f aca="false">IF($A71="","",INDEX(Employees!$D$6:$D$205,MATCH($A71,Employees!$BI$6:$BI$205,0)))</f>
        <v/>
      </c>
      <c r="F71" s="11" t="str">
        <f aca="false">IF($A71="","",INDEX(Employees!$T$6:$T$205,MATCH($A71,Employees!$BI$6:$BI$205,0)))</f>
        <v/>
      </c>
      <c r="G71" s="26" t="str">
        <f aca="false">IF($A71="","",INDEX(Employees!$U$6:$U$205,MATCH($A71,Employees!$BI$6:$BI$205,0)))</f>
        <v/>
      </c>
      <c r="H71" s="28" t="str">
        <f aca="false">IF($A71="","",INDEX(Employees!$E$6:$E$205,MATCH($A71,Employees!$BI$6:$BI$205,0)))</f>
        <v/>
      </c>
      <c r="I71" s="11" t="str">
        <f aca="false">IF($A71="","",INDEX(Employees!$Z$6:$Z$205,MATCH($A71,Employees!$BI$6:$BI$205,0)))</f>
        <v/>
      </c>
      <c r="J71" s="26" t="str">
        <f aca="false">IF($A71="","",INDEX(Employees!$AB$6:$AB$205,MATCH($A71,Employees!$BI$6:$BI$205,0)))</f>
        <v/>
      </c>
      <c r="K71" s="26" t="str">
        <f aca="false">IF($A71="","",INDEX(Employees!$AI$6:$AI$205,MATCH($A71,Employees!$BI$6:$BI$205,0)))</f>
        <v/>
      </c>
      <c r="L71" s="26" t="str">
        <f aca="false">IF($A71="","",INDEX(Employees!$AK$6:$AK$205,MATCH($A71,Employees!$BI$6:$BI$205,0)))</f>
        <v/>
      </c>
      <c r="M71" s="11" t="str">
        <f aca="false">IF($A71="","",INDEX(Employees!$AM$6:$AM$205,MATCH($A71,Employees!$BI$6:$BI$205,0)))</f>
        <v/>
      </c>
      <c r="N71" s="11" t="str">
        <f aca="false">IF($A71="","",INDEX(Employees!$AN$6:$AN$205,MATCH($A71,Employees!$BI$6:$BI$205,0)))</f>
        <v/>
      </c>
    </row>
    <row r="72" customFormat="false" ht="15" hidden="false" customHeight="false" outlineLevel="0" collapsed="false">
      <c r="A72" s="11" t="str">
        <f aca="false">IF(67&lt;=MAX(Employees!$BI$6:$BI$205),67,"")</f>
        <v/>
      </c>
      <c r="B72" s="11" t="str">
        <f aca="false">IF($A72="","",INDEX(Employees!$A$6:$A$205,MATCH($A72,Employees!$BI$6:$BI$205,0)))</f>
        <v/>
      </c>
      <c r="C72" s="11" t="str">
        <f aca="false">IF($A72="","",INDEX(Employees!$B$6:$B$205,MATCH($A72,Employees!$BI$6:$BI$205,0)))</f>
        <v/>
      </c>
      <c r="D72" s="11" t="str">
        <f aca="false">IF($A72="","",INDEX(Employees!$C$6:$C$205,MATCH($A72,Employees!$BI$6:$BI$205,0)))</f>
        <v/>
      </c>
      <c r="E72" s="11" t="str">
        <f aca="false">IF($A72="","",INDEX(Employees!$D$6:$D$205,MATCH($A72,Employees!$BI$6:$BI$205,0)))</f>
        <v/>
      </c>
      <c r="F72" s="11" t="str">
        <f aca="false">IF($A72="","",INDEX(Employees!$T$6:$T$205,MATCH($A72,Employees!$BI$6:$BI$205,0)))</f>
        <v/>
      </c>
      <c r="G72" s="26" t="str">
        <f aca="false">IF($A72="","",INDEX(Employees!$U$6:$U$205,MATCH($A72,Employees!$BI$6:$BI$205,0)))</f>
        <v/>
      </c>
      <c r="H72" s="28" t="str">
        <f aca="false">IF($A72="","",INDEX(Employees!$E$6:$E$205,MATCH($A72,Employees!$BI$6:$BI$205,0)))</f>
        <v/>
      </c>
      <c r="I72" s="11" t="str">
        <f aca="false">IF($A72="","",INDEX(Employees!$Z$6:$Z$205,MATCH($A72,Employees!$BI$6:$BI$205,0)))</f>
        <v/>
      </c>
      <c r="J72" s="26" t="str">
        <f aca="false">IF($A72="","",INDEX(Employees!$AB$6:$AB$205,MATCH($A72,Employees!$BI$6:$BI$205,0)))</f>
        <v/>
      </c>
      <c r="K72" s="26" t="str">
        <f aca="false">IF($A72="","",INDEX(Employees!$AI$6:$AI$205,MATCH($A72,Employees!$BI$6:$BI$205,0)))</f>
        <v/>
      </c>
      <c r="L72" s="26" t="str">
        <f aca="false">IF($A72="","",INDEX(Employees!$AK$6:$AK$205,MATCH($A72,Employees!$BI$6:$BI$205,0)))</f>
        <v/>
      </c>
      <c r="M72" s="11" t="str">
        <f aca="false">IF($A72="","",INDEX(Employees!$AM$6:$AM$205,MATCH($A72,Employees!$BI$6:$BI$205,0)))</f>
        <v/>
      </c>
      <c r="N72" s="11" t="str">
        <f aca="false">IF($A72="","",INDEX(Employees!$AN$6:$AN$205,MATCH($A72,Employees!$BI$6:$BI$205,0)))</f>
        <v/>
      </c>
    </row>
    <row r="73" customFormat="false" ht="15" hidden="false" customHeight="false" outlineLevel="0" collapsed="false">
      <c r="A73" s="11" t="str">
        <f aca="false">IF(68&lt;=MAX(Employees!$BI$6:$BI$205),68,"")</f>
        <v/>
      </c>
      <c r="B73" s="11" t="str">
        <f aca="false">IF($A73="","",INDEX(Employees!$A$6:$A$205,MATCH($A73,Employees!$BI$6:$BI$205,0)))</f>
        <v/>
      </c>
      <c r="C73" s="11" t="str">
        <f aca="false">IF($A73="","",INDEX(Employees!$B$6:$B$205,MATCH($A73,Employees!$BI$6:$BI$205,0)))</f>
        <v/>
      </c>
      <c r="D73" s="11" t="str">
        <f aca="false">IF($A73="","",INDEX(Employees!$C$6:$C$205,MATCH($A73,Employees!$BI$6:$BI$205,0)))</f>
        <v/>
      </c>
      <c r="E73" s="11" t="str">
        <f aca="false">IF($A73="","",INDEX(Employees!$D$6:$D$205,MATCH($A73,Employees!$BI$6:$BI$205,0)))</f>
        <v/>
      </c>
      <c r="F73" s="11" t="str">
        <f aca="false">IF($A73="","",INDEX(Employees!$T$6:$T$205,MATCH($A73,Employees!$BI$6:$BI$205,0)))</f>
        <v/>
      </c>
      <c r="G73" s="26" t="str">
        <f aca="false">IF($A73="","",INDEX(Employees!$U$6:$U$205,MATCH($A73,Employees!$BI$6:$BI$205,0)))</f>
        <v/>
      </c>
      <c r="H73" s="28" t="str">
        <f aca="false">IF($A73="","",INDEX(Employees!$E$6:$E$205,MATCH($A73,Employees!$BI$6:$BI$205,0)))</f>
        <v/>
      </c>
      <c r="I73" s="11" t="str">
        <f aca="false">IF($A73="","",INDEX(Employees!$Z$6:$Z$205,MATCH($A73,Employees!$BI$6:$BI$205,0)))</f>
        <v/>
      </c>
      <c r="J73" s="26" t="str">
        <f aca="false">IF($A73="","",INDEX(Employees!$AB$6:$AB$205,MATCH($A73,Employees!$BI$6:$BI$205,0)))</f>
        <v/>
      </c>
      <c r="K73" s="26" t="str">
        <f aca="false">IF($A73="","",INDEX(Employees!$AI$6:$AI$205,MATCH($A73,Employees!$BI$6:$BI$205,0)))</f>
        <v/>
      </c>
      <c r="L73" s="26" t="str">
        <f aca="false">IF($A73="","",INDEX(Employees!$AK$6:$AK$205,MATCH($A73,Employees!$BI$6:$BI$205,0)))</f>
        <v/>
      </c>
      <c r="M73" s="11" t="str">
        <f aca="false">IF($A73="","",INDEX(Employees!$AM$6:$AM$205,MATCH($A73,Employees!$BI$6:$BI$205,0)))</f>
        <v/>
      </c>
      <c r="N73" s="11" t="str">
        <f aca="false">IF($A73="","",INDEX(Employees!$AN$6:$AN$205,MATCH($A73,Employees!$BI$6:$BI$205,0)))</f>
        <v/>
      </c>
    </row>
    <row r="74" customFormat="false" ht="15" hidden="false" customHeight="false" outlineLevel="0" collapsed="false">
      <c r="A74" s="11" t="str">
        <f aca="false">IF(69&lt;=MAX(Employees!$BI$6:$BI$205),69,"")</f>
        <v/>
      </c>
      <c r="B74" s="11" t="str">
        <f aca="false">IF($A74="","",INDEX(Employees!$A$6:$A$205,MATCH($A74,Employees!$BI$6:$BI$205,0)))</f>
        <v/>
      </c>
      <c r="C74" s="11" t="str">
        <f aca="false">IF($A74="","",INDEX(Employees!$B$6:$B$205,MATCH($A74,Employees!$BI$6:$BI$205,0)))</f>
        <v/>
      </c>
      <c r="D74" s="11" t="str">
        <f aca="false">IF($A74="","",INDEX(Employees!$C$6:$C$205,MATCH($A74,Employees!$BI$6:$BI$205,0)))</f>
        <v/>
      </c>
      <c r="E74" s="11" t="str">
        <f aca="false">IF($A74="","",INDEX(Employees!$D$6:$D$205,MATCH($A74,Employees!$BI$6:$BI$205,0)))</f>
        <v/>
      </c>
      <c r="F74" s="11" t="str">
        <f aca="false">IF($A74="","",INDEX(Employees!$T$6:$T$205,MATCH($A74,Employees!$BI$6:$BI$205,0)))</f>
        <v/>
      </c>
      <c r="G74" s="26" t="str">
        <f aca="false">IF($A74="","",INDEX(Employees!$U$6:$U$205,MATCH($A74,Employees!$BI$6:$BI$205,0)))</f>
        <v/>
      </c>
      <c r="H74" s="28" t="str">
        <f aca="false">IF($A74="","",INDEX(Employees!$E$6:$E$205,MATCH($A74,Employees!$BI$6:$BI$205,0)))</f>
        <v/>
      </c>
      <c r="I74" s="11" t="str">
        <f aca="false">IF($A74="","",INDEX(Employees!$Z$6:$Z$205,MATCH($A74,Employees!$BI$6:$BI$205,0)))</f>
        <v/>
      </c>
      <c r="J74" s="26" t="str">
        <f aca="false">IF($A74="","",INDEX(Employees!$AB$6:$AB$205,MATCH($A74,Employees!$BI$6:$BI$205,0)))</f>
        <v/>
      </c>
      <c r="K74" s="26" t="str">
        <f aca="false">IF($A74="","",INDEX(Employees!$AI$6:$AI$205,MATCH($A74,Employees!$BI$6:$BI$205,0)))</f>
        <v/>
      </c>
      <c r="L74" s="26" t="str">
        <f aca="false">IF($A74="","",INDEX(Employees!$AK$6:$AK$205,MATCH($A74,Employees!$BI$6:$BI$205,0)))</f>
        <v/>
      </c>
      <c r="M74" s="11" t="str">
        <f aca="false">IF($A74="","",INDEX(Employees!$AM$6:$AM$205,MATCH($A74,Employees!$BI$6:$BI$205,0)))</f>
        <v/>
      </c>
      <c r="N74" s="11" t="str">
        <f aca="false">IF($A74="","",INDEX(Employees!$AN$6:$AN$205,MATCH($A74,Employees!$BI$6:$BI$205,0)))</f>
        <v/>
      </c>
    </row>
    <row r="75" customFormat="false" ht="15" hidden="false" customHeight="false" outlineLevel="0" collapsed="false">
      <c r="A75" s="11" t="str">
        <f aca="false">IF(70&lt;=MAX(Employees!$BI$6:$BI$205),70,"")</f>
        <v/>
      </c>
      <c r="B75" s="11" t="str">
        <f aca="false">IF($A75="","",INDEX(Employees!$A$6:$A$205,MATCH($A75,Employees!$BI$6:$BI$205,0)))</f>
        <v/>
      </c>
      <c r="C75" s="11" t="str">
        <f aca="false">IF($A75="","",INDEX(Employees!$B$6:$B$205,MATCH($A75,Employees!$BI$6:$BI$205,0)))</f>
        <v/>
      </c>
      <c r="D75" s="11" t="str">
        <f aca="false">IF($A75="","",INDEX(Employees!$C$6:$C$205,MATCH($A75,Employees!$BI$6:$BI$205,0)))</f>
        <v/>
      </c>
      <c r="E75" s="11" t="str">
        <f aca="false">IF($A75="","",INDEX(Employees!$D$6:$D$205,MATCH($A75,Employees!$BI$6:$BI$205,0)))</f>
        <v/>
      </c>
      <c r="F75" s="11" t="str">
        <f aca="false">IF($A75="","",INDEX(Employees!$T$6:$T$205,MATCH($A75,Employees!$BI$6:$BI$205,0)))</f>
        <v/>
      </c>
      <c r="G75" s="26" t="str">
        <f aca="false">IF($A75="","",INDEX(Employees!$U$6:$U$205,MATCH($A75,Employees!$BI$6:$BI$205,0)))</f>
        <v/>
      </c>
      <c r="H75" s="28" t="str">
        <f aca="false">IF($A75="","",INDEX(Employees!$E$6:$E$205,MATCH($A75,Employees!$BI$6:$BI$205,0)))</f>
        <v/>
      </c>
      <c r="I75" s="11" t="str">
        <f aca="false">IF($A75="","",INDEX(Employees!$Z$6:$Z$205,MATCH($A75,Employees!$BI$6:$BI$205,0)))</f>
        <v/>
      </c>
      <c r="J75" s="26" t="str">
        <f aca="false">IF($A75="","",INDEX(Employees!$AB$6:$AB$205,MATCH($A75,Employees!$BI$6:$BI$205,0)))</f>
        <v/>
      </c>
      <c r="K75" s="26" t="str">
        <f aca="false">IF($A75="","",INDEX(Employees!$AI$6:$AI$205,MATCH($A75,Employees!$BI$6:$BI$205,0)))</f>
        <v/>
      </c>
      <c r="L75" s="26" t="str">
        <f aca="false">IF($A75="","",INDEX(Employees!$AK$6:$AK$205,MATCH($A75,Employees!$BI$6:$BI$205,0)))</f>
        <v/>
      </c>
      <c r="M75" s="11" t="str">
        <f aca="false">IF($A75="","",INDEX(Employees!$AM$6:$AM$205,MATCH($A75,Employees!$BI$6:$BI$205,0)))</f>
        <v/>
      </c>
      <c r="N75" s="11" t="str">
        <f aca="false">IF($A75="","",INDEX(Employees!$AN$6:$AN$205,MATCH($A75,Employees!$BI$6:$BI$205,0)))</f>
        <v/>
      </c>
    </row>
    <row r="76" customFormat="false" ht="15" hidden="false" customHeight="false" outlineLevel="0" collapsed="false">
      <c r="A76" s="11" t="str">
        <f aca="false">IF(71&lt;=MAX(Employees!$BI$6:$BI$205),71,"")</f>
        <v/>
      </c>
      <c r="B76" s="11" t="str">
        <f aca="false">IF($A76="","",INDEX(Employees!$A$6:$A$205,MATCH($A76,Employees!$BI$6:$BI$205,0)))</f>
        <v/>
      </c>
      <c r="C76" s="11" t="str">
        <f aca="false">IF($A76="","",INDEX(Employees!$B$6:$B$205,MATCH($A76,Employees!$BI$6:$BI$205,0)))</f>
        <v/>
      </c>
      <c r="D76" s="11" t="str">
        <f aca="false">IF($A76="","",INDEX(Employees!$C$6:$C$205,MATCH($A76,Employees!$BI$6:$BI$205,0)))</f>
        <v/>
      </c>
      <c r="E76" s="11" t="str">
        <f aca="false">IF($A76="","",INDEX(Employees!$D$6:$D$205,MATCH($A76,Employees!$BI$6:$BI$205,0)))</f>
        <v/>
      </c>
      <c r="F76" s="11" t="str">
        <f aca="false">IF($A76="","",INDEX(Employees!$T$6:$T$205,MATCH($A76,Employees!$BI$6:$BI$205,0)))</f>
        <v/>
      </c>
      <c r="G76" s="26" t="str">
        <f aca="false">IF($A76="","",INDEX(Employees!$U$6:$U$205,MATCH($A76,Employees!$BI$6:$BI$205,0)))</f>
        <v/>
      </c>
      <c r="H76" s="28" t="str">
        <f aca="false">IF($A76="","",INDEX(Employees!$E$6:$E$205,MATCH($A76,Employees!$BI$6:$BI$205,0)))</f>
        <v/>
      </c>
      <c r="I76" s="11" t="str">
        <f aca="false">IF($A76="","",INDEX(Employees!$Z$6:$Z$205,MATCH($A76,Employees!$BI$6:$BI$205,0)))</f>
        <v/>
      </c>
      <c r="J76" s="26" t="str">
        <f aca="false">IF($A76="","",INDEX(Employees!$AB$6:$AB$205,MATCH($A76,Employees!$BI$6:$BI$205,0)))</f>
        <v/>
      </c>
      <c r="K76" s="26" t="str">
        <f aca="false">IF($A76="","",INDEX(Employees!$AI$6:$AI$205,MATCH($A76,Employees!$BI$6:$BI$205,0)))</f>
        <v/>
      </c>
      <c r="L76" s="26" t="str">
        <f aca="false">IF($A76="","",INDEX(Employees!$AK$6:$AK$205,MATCH($A76,Employees!$BI$6:$BI$205,0)))</f>
        <v/>
      </c>
      <c r="M76" s="11" t="str">
        <f aca="false">IF($A76="","",INDEX(Employees!$AM$6:$AM$205,MATCH($A76,Employees!$BI$6:$BI$205,0)))</f>
        <v/>
      </c>
      <c r="N76" s="11" t="str">
        <f aca="false">IF($A76="","",INDEX(Employees!$AN$6:$AN$205,MATCH($A76,Employees!$BI$6:$BI$205,0)))</f>
        <v/>
      </c>
    </row>
    <row r="77" customFormat="false" ht="15" hidden="false" customHeight="false" outlineLevel="0" collapsed="false">
      <c r="A77" s="11" t="str">
        <f aca="false">IF(72&lt;=MAX(Employees!$BI$6:$BI$205),72,"")</f>
        <v/>
      </c>
      <c r="B77" s="11" t="str">
        <f aca="false">IF($A77="","",INDEX(Employees!$A$6:$A$205,MATCH($A77,Employees!$BI$6:$BI$205,0)))</f>
        <v/>
      </c>
      <c r="C77" s="11" t="str">
        <f aca="false">IF($A77="","",INDEX(Employees!$B$6:$B$205,MATCH($A77,Employees!$BI$6:$BI$205,0)))</f>
        <v/>
      </c>
      <c r="D77" s="11" t="str">
        <f aca="false">IF($A77="","",INDEX(Employees!$C$6:$C$205,MATCH($A77,Employees!$BI$6:$BI$205,0)))</f>
        <v/>
      </c>
      <c r="E77" s="11" t="str">
        <f aca="false">IF($A77="","",INDEX(Employees!$D$6:$D$205,MATCH($A77,Employees!$BI$6:$BI$205,0)))</f>
        <v/>
      </c>
      <c r="F77" s="11" t="str">
        <f aca="false">IF($A77="","",INDEX(Employees!$T$6:$T$205,MATCH($A77,Employees!$BI$6:$BI$205,0)))</f>
        <v/>
      </c>
      <c r="G77" s="26" t="str">
        <f aca="false">IF($A77="","",INDEX(Employees!$U$6:$U$205,MATCH($A77,Employees!$BI$6:$BI$205,0)))</f>
        <v/>
      </c>
      <c r="H77" s="28" t="str">
        <f aca="false">IF($A77="","",INDEX(Employees!$E$6:$E$205,MATCH($A77,Employees!$BI$6:$BI$205,0)))</f>
        <v/>
      </c>
      <c r="I77" s="11" t="str">
        <f aca="false">IF($A77="","",INDEX(Employees!$Z$6:$Z$205,MATCH($A77,Employees!$BI$6:$BI$205,0)))</f>
        <v/>
      </c>
      <c r="J77" s="26" t="str">
        <f aca="false">IF($A77="","",INDEX(Employees!$AB$6:$AB$205,MATCH($A77,Employees!$BI$6:$BI$205,0)))</f>
        <v/>
      </c>
      <c r="K77" s="26" t="str">
        <f aca="false">IF($A77="","",INDEX(Employees!$AI$6:$AI$205,MATCH($A77,Employees!$BI$6:$BI$205,0)))</f>
        <v/>
      </c>
      <c r="L77" s="26" t="str">
        <f aca="false">IF($A77="","",INDEX(Employees!$AK$6:$AK$205,MATCH($A77,Employees!$BI$6:$BI$205,0)))</f>
        <v/>
      </c>
      <c r="M77" s="11" t="str">
        <f aca="false">IF($A77="","",INDEX(Employees!$AM$6:$AM$205,MATCH($A77,Employees!$BI$6:$BI$205,0)))</f>
        <v/>
      </c>
      <c r="N77" s="11" t="str">
        <f aca="false">IF($A77="","",INDEX(Employees!$AN$6:$AN$205,MATCH($A77,Employees!$BI$6:$BI$205,0)))</f>
        <v/>
      </c>
    </row>
    <row r="78" customFormat="false" ht="15" hidden="false" customHeight="false" outlineLevel="0" collapsed="false">
      <c r="A78" s="11" t="str">
        <f aca="false">IF(73&lt;=MAX(Employees!$BI$6:$BI$205),73,"")</f>
        <v/>
      </c>
      <c r="B78" s="11" t="str">
        <f aca="false">IF($A78="","",INDEX(Employees!$A$6:$A$205,MATCH($A78,Employees!$BI$6:$BI$205,0)))</f>
        <v/>
      </c>
      <c r="C78" s="11" t="str">
        <f aca="false">IF($A78="","",INDEX(Employees!$B$6:$B$205,MATCH($A78,Employees!$BI$6:$BI$205,0)))</f>
        <v/>
      </c>
      <c r="D78" s="11" t="str">
        <f aca="false">IF($A78="","",INDEX(Employees!$C$6:$C$205,MATCH($A78,Employees!$BI$6:$BI$205,0)))</f>
        <v/>
      </c>
      <c r="E78" s="11" t="str">
        <f aca="false">IF($A78="","",INDEX(Employees!$D$6:$D$205,MATCH($A78,Employees!$BI$6:$BI$205,0)))</f>
        <v/>
      </c>
      <c r="F78" s="11" t="str">
        <f aca="false">IF($A78="","",INDEX(Employees!$T$6:$T$205,MATCH($A78,Employees!$BI$6:$BI$205,0)))</f>
        <v/>
      </c>
      <c r="G78" s="26" t="str">
        <f aca="false">IF($A78="","",INDEX(Employees!$U$6:$U$205,MATCH($A78,Employees!$BI$6:$BI$205,0)))</f>
        <v/>
      </c>
      <c r="H78" s="28" t="str">
        <f aca="false">IF($A78="","",INDEX(Employees!$E$6:$E$205,MATCH($A78,Employees!$BI$6:$BI$205,0)))</f>
        <v/>
      </c>
      <c r="I78" s="11" t="str">
        <f aca="false">IF($A78="","",INDEX(Employees!$Z$6:$Z$205,MATCH($A78,Employees!$BI$6:$BI$205,0)))</f>
        <v/>
      </c>
      <c r="J78" s="26" t="str">
        <f aca="false">IF($A78="","",INDEX(Employees!$AB$6:$AB$205,MATCH($A78,Employees!$BI$6:$BI$205,0)))</f>
        <v/>
      </c>
      <c r="K78" s="26" t="str">
        <f aca="false">IF($A78="","",INDEX(Employees!$AI$6:$AI$205,MATCH($A78,Employees!$BI$6:$BI$205,0)))</f>
        <v/>
      </c>
      <c r="L78" s="26" t="str">
        <f aca="false">IF($A78="","",INDEX(Employees!$AK$6:$AK$205,MATCH($A78,Employees!$BI$6:$BI$205,0)))</f>
        <v/>
      </c>
      <c r="M78" s="11" t="str">
        <f aca="false">IF($A78="","",INDEX(Employees!$AM$6:$AM$205,MATCH($A78,Employees!$BI$6:$BI$205,0)))</f>
        <v/>
      </c>
      <c r="N78" s="11" t="str">
        <f aca="false">IF($A78="","",INDEX(Employees!$AN$6:$AN$205,MATCH($A78,Employees!$BI$6:$BI$205,0)))</f>
        <v/>
      </c>
    </row>
    <row r="79" customFormat="false" ht="15" hidden="false" customHeight="false" outlineLevel="0" collapsed="false">
      <c r="A79" s="11" t="str">
        <f aca="false">IF(74&lt;=MAX(Employees!$BI$6:$BI$205),74,"")</f>
        <v/>
      </c>
      <c r="B79" s="11" t="str">
        <f aca="false">IF($A79="","",INDEX(Employees!$A$6:$A$205,MATCH($A79,Employees!$BI$6:$BI$205,0)))</f>
        <v/>
      </c>
      <c r="C79" s="11" t="str">
        <f aca="false">IF($A79="","",INDEX(Employees!$B$6:$B$205,MATCH($A79,Employees!$BI$6:$BI$205,0)))</f>
        <v/>
      </c>
      <c r="D79" s="11" t="str">
        <f aca="false">IF($A79="","",INDEX(Employees!$C$6:$C$205,MATCH($A79,Employees!$BI$6:$BI$205,0)))</f>
        <v/>
      </c>
      <c r="E79" s="11" t="str">
        <f aca="false">IF($A79="","",INDEX(Employees!$D$6:$D$205,MATCH($A79,Employees!$BI$6:$BI$205,0)))</f>
        <v/>
      </c>
      <c r="F79" s="11" t="str">
        <f aca="false">IF($A79="","",INDEX(Employees!$T$6:$T$205,MATCH($A79,Employees!$BI$6:$BI$205,0)))</f>
        <v/>
      </c>
      <c r="G79" s="26" t="str">
        <f aca="false">IF($A79="","",INDEX(Employees!$U$6:$U$205,MATCH($A79,Employees!$BI$6:$BI$205,0)))</f>
        <v/>
      </c>
      <c r="H79" s="28" t="str">
        <f aca="false">IF($A79="","",INDEX(Employees!$E$6:$E$205,MATCH($A79,Employees!$BI$6:$BI$205,0)))</f>
        <v/>
      </c>
      <c r="I79" s="11" t="str">
        <f aca="false">IF($A79="","",INDEX(Employees!$Z$6:$Z$205,MATCH($A79,Employees!$BI$6:$BI$205,0)))</f>
        <v/>
      </c>
      <c r="J79" s="26" t="str">
        <f aca="false">IF($A79="","",INDEX(Employees!$AB$6:$AB$205,MATCH($A79,Employees!$BI$6:$BI$205,0)))</f>
        <v/>
      </c>
      <c r="K79" s="26" t="str">
        <f aca="false">IF($A79="","",INDEX(Employees!$AI$6:$AI$205,MATCH($A79,Employees!$BI$6:$BI$205,0)))</f>
        <v/>
      </c>
      <c r="L79" s="26" t="str">
        <f aca="false">IF($A79="","",INDEX(Employees!$AK$6:$AK$205,MATCH($A79,Employees!$BI$6:$BI$205,0)))</f>
        <v/>
      </c>
      <c r="M79" s="11" t="str">
        <f aca="false">IF($A79="","",INDEX(Employees!$AM$6:$AM$205,MATCH($A79,Employees!$BI$6:$BI$205,0)))</f>
        <v/>
      </c>
      <c r="N79" s="11" t="str">
        <f aca="false">IF($A79="","",INDEX(Employees!$AN$6:$AN$205,MATCH($A79,Employees!$BI$6:$BI$205,0)))</f>
        <v/>
      </c>
    </row>
    <row r="80" customFormat="false" ht="15" hidden="false" customHeight="false" outlineLevel="0" collapsed="false">
      <c r="A80" s="11" t="str">
        <f aca="false">IF(75&lt;=MAX(Employees!$BI$6:$BI$205),75,"")</f>
        <v/>
      </c>
      <c r="B80" s="11" t="str">
        <f aca="false">IF($A80="","",INDEX(Employees!$A$6:$A$205,MATCH($A80,Employees!$BI$6:$BI$205,0)))</f>
        <v/>
      </c>
      <c r="C80" s="11" t="str">
        <f aca="false">IF($A80="","",INDEX(Employees!$B$6:$B$205,MATCH($A80,Employees!$BI$6:$BI$205,0)))</f>
        <v/>
      </c>
      <c r="D80" s="11" t="str">
        <f aca="false">IF($A80="","",INDEX(Employees!$C$6:$C$205,MATCH($A80,Employees!$BI$6:$BI$205,0)))</f>
        <v/>
      </c>
      <c r="E80" s="11" t="str">
        <f aca="false">IF($A80="","",INDEX(Employees!$D$6:$D$205,MATCH($A80,Employees!$BI$6:$BI$205,0)))</f>
        <v/>
      </c>
      <c r="F80" s="11" t="str">
        <f aca="false">IF($A80="","",INDEX(Employees!$T$6:$T$205,MATCH($A80,Employees!$BI$6:$BI$205,0)))</f>
        <v/>
      </c>
      <c r="G80" s="26" t="str">
        <f aca="false">IF($A80="","",INDEX(Employees!$U$6:$U$205,MATCH($A80,Employees!$BI$6:$BI$205,0)))</f>
        <v/>
      </c>
      <c r="H80" s="28" t="str">
        <f aca="false">IF($A80="","",INDEX(Employees!$E$6:$E$205,MATCH($A80,Employees!$BI$6:$BI$205,0)))</f>
        <v/>
      </c>
      <c r="I80" s="11" t="str">
        <f aca="false">IF($A80="","",INDEX(Employees!$Z$6:$Z$205,MATCH($A80,Employees!$BI$6:$BI$205,0)))</f>
        <v/>
      </c>
      <c r="J80" s="26" t="str">
        <f aca="false">IF($A80="","",INDEX(Employees!$AB$6:$AB$205,MATCH($A80,Employees!$BI$6:$BI$205,0)))</f>
        <v/>
      </c>
      <c r="K80" s="26" t="str">
        <f aca="false">IF($A80="","",INDEX(Employees!$AI$6:$AI$205,MATCH($A80,Employees!$BI$6:$BI$205,0)))</f>
        <v/>
      </c>
      <c r="L80" s="26" t="str">
        <f aca="false">IF($A80="","",INDEX(Employees!$AK$6:$AK$205,MATCH($A80,Employees!$BI$6:$BI$205,0)))</f>
        <v/>
      </c>
      <c r="M80" s="11" t="str">
        <f aca="false">IF($A80="","",INDEX(Employees!$AM$6:$AM$205,MATCH($A80,Employees!$BI$6:$BI$205,0)))</f>
        <v/>
      </c>
      <c r="N80" s="11" t="str">
        <f aca="false">IF($A80="","",INDEX(Employees!$AN$6:$AN$205,MATCH($A80,Employees!$BI$6:$BI$205,0)))</f>
        <v/>
      </c>
    </row>
    <row r="81" customFormat="false" ht="15" hidden="false" customHeight="false" outlineLevel="0" collapsed="false">
      <c r="A81" s="11" t="str">
        <f aca="false">IF(76&lt;=MAX(Employees!$BI$6:$BI$205),76,"")</f>
        <v/>
      </c>
      <c r="B81" s="11" t="str">
        <f aca="false">IF($A81="","",INDEX(Employees!$A$6:$A$205,MATCH($A81,Employees!$BI$6:$BI$205,0)))</f>
        <v/>
      </c>
      <c r="C81" s="11" t="str">
        <f aca="false">IF($A81="","",INDEX(Employees!$B$6:$B$205,MATCH($A81,Employees!$BI$6:$BI$205,0)))</f>
        <v/>
      </c>
      <c r="D81" s="11" t="str">
        <f aca="false">IF($A81="","",INDEX(Employees!$C$6:$C$205,MATCH($A81,Employees!$BI$6:$BI$205,0)))</f>
        <v/>
      </c>
      <c r="E81" s="11" t="str">
        <f aca="false">IF($A81="","",INDEX(Employees!$D$6:$D$205,MATCH($A81,Employees!$BI$6:$BI$205,0)))</f>
        <v/>
      </c>
      <c r="F81" s="11" t="str">
        <f aca="false">IF($A81="","",INDEX(Employees!$T$6:$T$205,MATCH($A81,Employees!$BI$6:$BI$205,0)))</f>
        <v/>
      </c>
      <c r="G81" s="26" t="str">
        <f aca="false">IF($A81="","",INDEX(Employees!$U$6:$U$205,MATCH($A81,Employees!$BI$6:$BI$205,0)))</f>
        <v/>
      </c>
      <c r="H81" s="28" t="str">
        <f aca="false">IF($A81="","",INDEX(Employees!$E$6:$E$205,MATCH($A81,Employees!$BI$6:$BI$205,0)))</f>
        <v/>
      </c>
      <c r="I81" s="11" t="str">
        <f aca="false">IF($A81="","",INDEX(Employees!$Z$6:$Z$205,MATCH($A81,Employees!$BI$6:$BI$205,0)))</f>
        <v/>
      </c>
      <c r="J81" s="26" t="str">
        <f aca="false">IF($A81="","",INDEX(Employees!$AB$6:$AB$205,MATCH($A81,Employees!$BI$6:$BI$205,0)))</f>
        <v/>
      </c>
      <c r="K81" s="26" t="str">
        <f aca="false">IF($A81="","",INDEX(Employees!$AI$6:$AI$205,MATCH($A81,Employees!$BI$6:$BI$205,0)))</f>
        <v/>
      </c>
      <c r="L81" s="26" t="str">
        <f aca="false">IF($A81="","",INDEX(Employees!$AK$6:$AK$205,MATCH($A81,Employees!$BI$6:$BI$205,0)))</f>
        <v/>
      </c>
      <c r="M81" s="11" t="str">
        <f aca="false">IF($A81="","",INDEX(Employees!$AM$6:$AM$205,MATCH($A81,Employees!$BI$6:$BI$205,0)))</f>
        <v/>
      </c>
      <c r="N81" s="11" t="str">
        <f aca="false">IF($A81="","",INDEX(Employees!$AN$6:$AN$205,MATCH($A81,Employees!$BI$6:$BI$205,0)))</f>
        <v/>
      </c>
    </row>
    <row r="82" customFormat="false" ht="15" hidden="false" customHeight="false" outlineLevel="0" collapsed="false">
      <c r="A82" s="11" t="str">
        <f aca="false">IF(77&lt;=MAX(Employees!$BI$6:$BI$205),77,"")</f>
        <v/>
      </c>
      <c r="B82" s="11" t="str">
        <f aca="false">IF($A82="","",INDEX(Employees!$A$6:$A$205,MATCH($A82,Employees!$BI$6:$BI$205,0)))</f>
        <v/>
      </c>
      <c r="C82" s="11" t="str">
        <f aca="false">IF($A82="","",INDEX(Employees!$B$6:$B$205,MATCH($A82,Employees!$BI$6:$BI$205,0)))</f>
        <v/>
      </c>
      <c r="D82" s="11" t="str">
        <f aca="false">IF($A82="","",INDEX(Employees!$C$6:$C$205,MATCH($A82,Employees!$BI$6:$BI$205,0)))</f>
        <v/>
      </c>
      <c r="E82" s="11" t="str">
        <f aca="false">IF($A82="","",INDEX(Employees!$D$6:$D$205,MATCH($A82,Employees!$BI$6:$BI$205,0)))</f>
        <v/>
      </c>
      <c r="F82" s="11" t="str">
        <f aca="false">IF($A82="","",INDEX(Employees!$T$6:$T$205,MATCH($A82,Employees!$BI$6:$BI$205,0)))</f>
        <v/>
      </c>
      <c r="G82" s="26" t="str">
        <f aca="false">IF($A82="","",INDEX(Employees!$U$6:$U$205,MATCH($A82,Employees!$BI$6:$BI$205,0)))</f>
        <v/>
      </c>
      <c r="H82" s="28" t="str">
        <f aca="false">IF($A82="","",INDEX(Employees!$E$6:$E$205,MATCH($A82,Employees!$BI$6:$BI$205,0)))</f>
        <v/>
      </c>
      <c r="I82" s="11" t="str">
        <f aca="false">IF($A82="","",INDEX(Employees!$Z$6:$Z$205,MATCH($A82,Employees!$BI$6:$BI$205,0)))</f>
        <v/>
      </c>
      <c r="J82" s="26" t="str">
        <f aca="false">IF($A82="","",INDEX(Employees!$AB$6:$AB$205,MATCH($A82,Employees!$BI$6:$BI$205,0)))</f>
        <v/>
      </c>
      <c r="K82" s="26" t="str">
        <f aca="false">IF($A82="","",INDEX(Employees!$AI$6:$AI$205,MATCH($A82,Employees!$BI$6:$BI$205,0)))</f>
        <v/>
      </c>
      <c r="L82" s="26" t="str">
        <f aca="false">IF($A82="","",INDEX(Employees!$AK$6:$AK$205,MATCH($A82,Employees!$BI$6:$BI$205,0)))</f>
        <v/>
      </c>
      <c r="M82" s="11" t="str">
        <f aca="false">IF($A82="","",INDEX(Employees!$AM$6:$AM$205,MATCH($A82,Employees!$BI$6:$BI$205,0)))</f>
        <v/>
      </c>
      <c r="N82" s="11" t="str">
        <f aca="false">IF($A82="","",INDEX(Employees!$AN$6:$AN$205,MATCH($A82,Employees!$BI$6:$BI$205,0)))</f>
        <v/>
      </c>
    </row>
    <row r="83" customFormat="false" ht="15" hidden="false" customHeight="false" outlineLevel="0" collapsed="false">
      <c r="A83" s="11" t="str">
        <f aca="false">IF(78&lt;=MAX(Employees!$BI$6:$BI$205),78,"")</f>
        <v/>
      </c>
      <c r="B83" s="11" t="str">
        <f aca="false">IF($A83="","",INDEX(Employees!$A$6:$A$205,MATCH($A83,Employees!$BI$6:$BI$205,0)))</f>
        <v/>
      </c>
      <c r="C83" s="11" t="str">
        <f aca="false">IF($A83="","",INDEX(Employees!$B$6:$B$205,MATCH($A83,Employees!$BI$6:$BI$205,0)))</f>
        <v/>
      </c>
      <c r="D83" s="11" t="str">
        <f aca="false">IF($A83="","",INDEX(Employees!$C$6:$C$205,MATCH($A83,Employees!$BI$6:$BI$205,0)))</f>
        <v/>
      </c>
      <c r="E83" s="11" t="str">
        <f aca="false">IF($A83="","",INDEX(Employees!$D$6:$D$205,MATCH($A83,Employees!$BI$6:$BI$205,0)))</f>
        <v/>
      </c>
      <c r="F83" s="11" t="str">
        <f aca="false">IF($A83="","",INDEX(Employees!$T$6:$T$205,MATCH($A83,Employees!$BI$6:$BI$205,0)))</f>
        <v/>
      </c>
      <c r="G83" s="26" t="str">
        <f aca="false">IF($A83="","",INDEX(Employees!$U$6:$U$205,MATCH($A83,Employees!$BI$6:$BI$205,0)))</f>
        <v/>
      </c>
      <c r="H83" s="28" t="str">
        <f aca="false">IF($A83="","",INDEX(Employees!$E$6:$E$205,MATCH($A83,Employees!$BI$6:$BI$205,0)))</f>
        <v/>
      </c>
      <c r="I83" s="11" t="str">
        <f aca="false">IF($A83="","",INDEX(Employees!$Z$6:$Z$205,MATCH($A83,Employees!$BI$6:$BI$205,0)))</f>
        <v/>
      </c>
      <c r="J83" s="26" t="str">
        <f aca="false">IF($A83="","",INDEX(Employees!$AB$6:$AB$205,MATCH($A83,Employees!$BI$6:$BI$205,0)))</f>
        <v/>
      </c>
      <c r="K83" s="26" t="str">
        <f aca="false">IF($A83="","",INDEX(Employees!$AI$6:$AI$205,MATCH($A83,Employees!$BI$6:$BI$205,0)))</f>
        <v/>
      </c>
      <c r="L83" s="26" t="str">
        <f aca="false">IF($A83="","",INDEX(Employees!$AK$6:$AK$205,MATCH($A83,Employees!$BI$6:$BI$205,0)))</f>
        <v/>
      </c>
      <c r="M83" s="11" t="str">
        <f aca="false">IF($A83="","",INDEX(Employees!$AM$6:$AM$205,MATCH($A83,Employees!$BI$6:$BI$205,0)))</f>
        <v/>
      </c>
      <c r="N83" s="11" t="str">
        <f aca="false">IF($A83="","",INDEX(Employees!$AN$6:$AN$205,MATCH($A83,Employees!$BI$6:$BI$205,0)))</f>
        <v/>
      </c>
    </row>
    <row r="84" customFormat="false" ht="15" hidden="false" customHeight="false" outlineLevel="0" collapsed="false">
      <c r="A84" s="11" t="str">
        <f aca="false">IF(79&lt;=MAX(Employees!$BI$6:$BI$205),79,"")</f>
        <v/>
      </c>
      <c r="B84" s="11" t="str">
        <f aca="false">IF($A84="","",INDEX(Employees!$A$6:$A$205,MATCH($A84,Employees!$BI$6:$BI$205,0)))</f>
        <v/>
      </c>
      <c r="C84" s="11" t="str">
        <f aca="false">IF($A84="","",INDEX(Employees!$B$6:$B$205,MATCH($A84,Employees!$BI$6:$BI$205,0)))</f>
        <v/>
      </c>
      <c r="D84" s="11" t="str">
        <f aca="false">IF($A84="","",INDEX(Employees!$C$6:$C$205,MATCH($A84,Employees!$BI$6:$BI$205,0)))</f>
        <v/>
      </c>
      <c r="E84" s="11" t="str">
        <f aca="false">IF($A84="","",INDEX(Employees!$D$6:$D$205,MATCH($A84,Employees!$BI$6:$BI$205,0)))</f>
        <v/>
      </c>
      <c r="F84" s="11" t="str">
        <f aca="false">IF($A84="","",INDEX(Employees!$T$6:$T$205,MATCH($A84,Employees!$BI$6:$BI$205,0)))</f>
        <v/>
      </c>
      <c r="G84" s="26" t="str">
        <f aca="false">IF($A84="","",INDEX(Employees!$U$6:$U$205,MATCH($A84,Employees!$BI$6:$BI$205,0)))</f>
        <v/>
      </c>
      <c r="H84" s="28" t="str">
        <f aca="false">IF($A84="","",INDEX(Employees!$E$6:$E$205,MATCH($A84,Employees!$BI$6:$BI$205,0)))</f>
        <v/>
      </c>
      <c r="I84" s="11" t="str">
        <f aca="false">IF($A84="","",INDEX(Employees!$Z$6:$Z$205,MATCH($A84,Employees!$BI$6:$BI$205,0)))</f>
        <v/>
      </c>
      <c r="J84" s="26" t="str">
        <f aca="false">IF($A84="","",INDEX(Employees!$AB$6:$AB$205,MATCH($A84,Employees!$BI$6:$BI$205,0)))</f>
        <v/>
      </c>
      <c r="K84" s="26" t="str">
        <f aca="false">IF($A84="","",INDEX(Employees!$AI$6:$AI$205,MATCH($A84,Employees!$BI$6:$BI$205,0)))</f>
        <v/>
      </c>
      <c r="L84" s="26" t="str">
        <f aca="false">IF($A84="","",INDEX(Employees!$AK$6:$AK$205,MATCH($A84,Employees!$BI$6:$BI$205,0)))</f>
        <v/>
      </c>
      <c r="M84" s="11" t="str">
        <f aca="false">IF($A84="","",INDEX(Employees!$AM$6:$AM$205,MATCH($A84,Employees!$BI$6:$BI$205,0)))</f>
        <v/>
      </c>
      <c r="N84" s="11" t="str">
        <f aca="false">IF($A84="","",INDEX(Employees!$AN$6:$AN$205,MATCH($A84,Employees!$BI$6:$BI$205,0)))</f>
        <v/>
      </c>
    </row>
    <row r="85" customFormat="false" ht="15" hidden="false" customHeight="false" outlineLevel="0" collapsed="false">
      <c r="A85" s="11" t="str">
        <f aca="false">IF(80&lt;=MAX(Employees!$BI$6:$BI$205),80,"")</f>
        <v/>
      </c>
      <c r="B85" s="11" t="str">
        <f aca="false">IF($A85="","",INDEX(Employees!$A$6:$A$205,MATCH($A85,Employees!$BI$6:$BI$205,0)))</f>
        <v/>
      </c>
      <c r="C85" s="11" t="str">
        <f aca="false">IF($A85="","",INDEX(Employees!$B$6:$B$205,MATCH($A85,Employees!$BI$6:$BI$205,0)))</f>
        <v/>
      </c>
      <c r="D85" s="11" t="str">
        <f aca="false">IF($A85="","",INDEX(Employees!$C$6:$C$205,MATCH($A85,Employees!$BI$6:$BI$205,0)))</f>
        <v/>
      </c>
      <c r="E85" s="11" t="str">
        <f aca="false">IF($A85="","",INDEX(Employees!$D$6:$D$205,MATCH($A85,Employees!$BI$6:$BI$205,0)))</f>
        <v/>
      </c>
      <c r="F85" s="11" t="str">
        <f aca="false">IF($A85="","",INDEX(Employees!$T$6:$T$205,MATCH($A85,Employees!$BI$6:$BI$205,0)))</f>
        <v/>
      </c>
      <c r="G85" s="26" t="str">
        <f aca="false">IF($A85="","",INDEX(Employees!$U$6:$U$205,MATCH($A85,Employees!$BI$6:$BI$205,0)))</f>
        <v/>
      </c>
      <c r="H85" s="28" t="str">
        <f aca="false">IF($A85="","",INDEX(Employees!$E$6:$E$205,MATCH($A85,Employees!$BI$6:$BI$205,0)))</f>
        <v/>
      </c>
      <c r="I85" s="11" t="str">
        <f aca="false">IF($A85="","",INDEX(Employees!$Z$6:$Z$205,MATCH($A85,Employees!$BI$6:$BI$205,0)))</f>
        <v/>
      </c>
      <c r="J85" s="26" t="str">
        <f aca="false">IF($A85="","",INDEX(Employees!$AB$6:$AB$205,MATCH($A85,Employees!$BI$6:$BI$205,0)))</f>
        <v/>
      </c>
      <c r="K85" s="26" t="str">
        <f aca="false">IF($A85="","",INDEX(Employees!$AI$6:$AI$205,MATCH($A85,Employees!$BI$6:$BI$205,0)))</f>
        <v/>
      </c>
      <c r="L85" s="26" t="str">
        <f aca="false">IF($A85="","",INDEX(Employees!$AK$6:$AK$205,MATCH($A85,Employees!$BI$6:$BI$205,0)))</f>
        <v/>
      </c>
      <c r="M85" s="11" t="str">
        <f aca="false">IF($A85="","",INDEX(Employees!$AM$6:$AM$205,MATCH($A85,Employees!$BI$6:$BI$205,0)))</f>
        <v/>
      </c>
      <c r="N85" s="11" t="str">
        <f aca="false">IF($A85="","",INDEX(Employees!$AN$6:$AN$205,MATCH($A85,Employees!$BI$6:$BI$205,0)))</f>
        <v/>
      </c>
    </row>
    <row r="86" customFormat="false" ht="15" hidden="false" customHeight="false" outlineLevel="0" collapsed="false">
      <c r="A86" s="11" t="str">
        <f aca="false">IF(81&lt;=MAX(Employees!$BI$6:$BI$205),81,"")</f>
        <v/>
      </c>
      <c r="B86" s="11" t="str">
        <f aca="false">IF($A86="","",INDEX(Employees!$A$6:$A$205,MATCH($A86,Employees!$BI$6:$BI$205,0)))</f>
        <v/>
      </c>
      <c r="C86" s="11" t="str">
        <f aca="false">IF($A86="","",INDEX(Employees!$B$6:$B$205,MATCH($A86,Employees!$BI$6:$BI$205,0)))</f>
        <v/>
      </c>
      <c r="D86" s="11" t="str">
        <f aca="false">IF($A86="","",INDEX(Employees!$C$6:$C$205,MATCH($A86,Employees!$BI$6:$BI$205,0)))</f>
        <v/>
      </c>
      <c r="E86" s="11" t="str">
        <f aca="false">IF($A86="","",INDEX(Employees!$D$6:$D$205,MATCH($A86,Employees!$BI$6:$BI$205,0)))</f>
        <v/>
      </c>
      <c r="F86" s="11" t="str">
        <f aca="false">IF($A86="","",INDEX(Employees!$T$6:$T$205,MATCH($A86,Employees!$BI$6:$BI$205,0)))</f>
        <v/>
      </c>
      <c r="G86" s="26" t="str">
        <f aca="false">IF($A86="","",INDEX(Employees!$U$6:$U$205,MATCH($A86,Employees!$BI$6:$BI$205,0)))</f>
        <v/>
      </c>
      <c r="H86" s="28" t="str">
        <f aca="false">IF($A86="","",INDEX(Employees!$E$6:$E$205,MATCH($A86,Employees!$BI$6:$BI$205,0)))</f>
        <v/>
      </c>
      <c r="I86" s="11" t="str">
        <f aca="false">IF($A86="","",INDEX(Employees!$Z$6:$Z$205,MATCH($A86,Employees!$BI$6:$BI$205,0)))</f>
        <v/>
      </c>
      <c r="J86" s="26" t="str">
        <f aca="false">IF($A86="","",INDEX(Employees!$AB$6:$AB$205,MATCH($A86,Employees!$BI$6:$BI$205,0)))</f>
        <v/>
      </c>
      <c r="K86" s="26" t="str">
        <f aca="false">IF($A86="","",INDEX(Employees!$AI$6:$AI$205,MATCH($A86,Employees!$BI$6:$BI$205,0)))</f>
        <v/>
      </c>
      <c r="L86" s="26" t="str">
        <f aca="false">IF($A86="","",INDEX(Employees!$AK$6:$AK$205,MATCH($A86,Employees!$BI$6:$BI$205,0)))</f>
        <v/>
      </c>
      <c r="M86" s="11" t="str">
        <f aca="false">IF($A86="","",INDEX(Employees!$AM$6:$AM$205,MATCH($A86,Employees!$BI$6:$BI$205,0)))</f>
        <v/>
      </c>
      <c r="N86" s="11" t="str">
        <f aca="false">IF($A86="","",INDEX(Employees!$AN$6:$AN$205,MATCH($A86,Employees!$BI$6:$BI$205,0)))</f>
        <v/>
      </c>
    </row>
    <row r="87" customFormat="false" ht="15" hidden="false" customHeight="false" outlineLevel="0" collapsed="false">
      <c r="A87" s="11" t="str">
        <f aca="false">IF(82&lt;=MAX(Employees!$BI$6:$BI$205),82,"")</f>
        <v/>
      </c>
      <c r="B87" s="11" t="str">
        <f aca="false">IF($A87="","",INDEX(Employees!$A$6:$A$205,MATCH($A87,Employees!$BI$6:$BI$205,0)))</f>
        <v/>
      </c>
      <c r="C87" s="11" t="str">
        <f aca="false">IF($A87="","",INDEX(Employees!$B$6:$B$205,MATCH($A87,Employees!$BI$6:$BI$205,0)))</f>
        <v/>
      </c>
      <c r="D87" s="11" t="str">
        <f aca="false">IF($A87="","",INDEX(Employees!$C$6:$C$205,MATCH($A87,Employees!$BI$6:$BI$205,0)))</f>
        <v/>
      </c>
      <c r="E87" s="11" t="str">
        <f aca="false">IF($A87="","",INDEX(Employees!$D$6:$D$205,MATCH($A87,Employees!$BI$6:$BI$205,0)))</f>
        <v/>
      </c>
      <c r="F87" s="11" t="str">
        <f aca="false">IF($A87="","",INDEX(Employees!$T$6:$T$205,MATCH($A87,Employees!$BI$6:$BI$205,0)))</f>
        <v/>
      </c>
      <c r="G87" s="26" t="str">
        <f aca="false">IF($A87="","",INDEX(Employees!$U$6:$U$205,MATCH($A87,Employees!$BI$6:$BI$205,0)))</f>
        <v/>
      </c>
      <c r="H87" s="28" t="str">
        <f aca="false">IF($A87="","",INDEX(Employees!$E$6:$E$205,MATCH($A87,Employees!$BI$6:$BI$205,0)))</f>
        <v/>
      </c>
      <c r="I87" s="11" t="str">
        <f aca="false">IF($A87="","",INDEX(Employees!$Z$6:$Z$205,MATCH($A87,Employees!$BI$6:$BI$205,0)))</f>
        <v/>
      </c>
      <c r="J87" s="26" t="str">
        <f aca="false">IF($A87="","",INDEX(Employees!$AB$6:$AB$205,MATCH($A87,Employees!$BI$6:$BI$205,0)))</f>
        <v/>
      </c>
      <c r="K87" s="26" t="str">
        <f aca="false">IF($A87="","",INDEX(Employees!$AI$6:$AI$205,MATCH($A87,Employees!$BI$6:$BI$205,0)))</f>
        <v/>
      </c>
      <c r="L87" s="26" t="str">
        <f aca="false">IF($A87="","",INDEX(Employees!$AK$6:$AK$205,MATCH($A87,Employees!$BI$6:$BI$205,0)))</f>
        <v/>
      </c>
      <c r="M87" s="11" t="str">
        <f aca="false">IF($A87="","",INDEX(Employees!$AM$6:$AM$205,MATCH($A87,Employees!$BI$6:$BI$205,0)))</f>
        <v/>
      </c>
      <c r="N87" s="11" t="str">
        <f aca="false">IF($A87="","",INDEX(Employees!$AN$6:$AN$205,MATCH($A87,Employees!$BI$6:$BI$205,0)))</f>
        <v/>
      </c>
    </row>
    <row r="88" customFormat="false" ht="15" hidden="false" customHeight="false" outlineLevel="0" collapsed="false">
      <c r="A88" s="11" t="str">
        <f aca="false">IF(83&lt;=MAX(Employees!$BI$6:$BI$205),83,"")</f>
        <v/>
      </c>
      <c r="B88" s="11" t="str">
        <f aca="false">IF($A88="","",INDEX(Employees!$A$6:$A$205,MATCH($A88,Employees!$BI$6:$BI$205,0)))</f>
        <v/>
      </c>
      <c r="C88" s="11" t="str">
        <f aca="false">IF($A88="","",INDEX(Employees!$B$6:$B$205,MATCH($A88,Employees!$BI$6:$BI$205,0)))</f>
        <v/>
      </c>
      <c r="D88" s="11" t="str">
        <f aca="false">IF($A88="","",INDEX(Employees!$C$6:$C$205,MATCH($A88,Employees!$BI$6:$BI$205,0)))</f>
        <v/>
      </c>
      <c r="E88" s="11" t="str">
        <f aca="false">IF($A88="","",INDEX(Employees!$D$6:$D$205,MATCH($A88,Employees!$BI$6:$BI$205,0)))</f>
        <v/>
      </c>
      <c r="F88" s="11" t="str">
        <f aca="false">IF($A88="","",INDEX(Employees!$T$6:$T$205,MATCH($A88,Employees!$BI$6:$BI$205,0)))</f>
        <v/>
      </c>
      <c r="G88" s="26" t="str">
        <f aca="false">IF($A88="","",INDEX(Employees!$U$6:$U$205,MATCH($A88,Employees!$BI$6:$BI$205,0)))</f>
        <v/>
      </c>
      <c r="H88" s="28" t="str">
        <f aca="false">IF($A88="","",INDEX(Employees!$E$6:$E$205,MATCH($A88,Employees!$BI$6:$BI$205,0)))</f>
        <v/>
      </c>
      <c r="I88" s="11" t="str">
        <f aca="false">IF($A88="","",INDEX(Employees!$Z$6:$Z$205,MATCH($A88,Employees!$BI$6:$BI$205,0)))</f>
        <v/>
      </c>
      <c r="J88" s="26" t="str">
        <f aca="false">IF($A88="","",INDEX(Employees!$AB$6:$AB$205,MATCH($A88,Employees!$BI$6:$BI$205,0)))</f>
        <v/>
      </c>
      <c r="K88" s="26" t="str">
        <f aca="false">IF($A88="","",INDEX(Employees!$AI$6:$AI$205,MATCH($A88,Employees!$BI$6:$BI$205,0)))</f>
        <v/>
      </c>
      <c r="L88" s="26" t="str">
        <f aca="false">IF($A88="","",INDEX(Employees!$AK$6:$AK$205,MATCH($A88,Employees!$BI$6:$BI$205,0)))</f>
        <v/>
      </c>
      <c r="M88" s="11" t="str">
        <f aca="false">IF($A88="","",INDEX(Employees!$AM$6:$AM$205,MATCH($A88,Employees!$BI$6:$BI$205,0)))</f>
        <v/>
      </c>
      <c r="N88" s="11" t="str">
        <f aca="false">IF($A88="","",INDEX(Employees!$AN$6:$AN$205,MATCH($A88,Employees!$BI$6:$BI$205,0)))</f>
        <v/>
      </c>
    </row>
    <row r="89" customFormat="false" ht="15" hidden="false" customHeight="false" outlineLevel="0" collapsed="false">
      <c r="A89" s="11" t="str">
        <f aca="false">IF(84&lt;=MAX(Employees!$BI$6:$BI$205),84,"")</f>
        <v/>
      </c>
      <c r="B89" s="11" t="str">
        <f aca="false">IF($A89="","",INDEX(Employees!$A$6:$A$205,MATCH($A89,Employees!$BI$6:$BI$205,0)))</f>
        <v/>
      </c>
      <c r="C89" s="11" t="str">
        <f aca="false">IF($A89="","",INDEX(Employees!$B$6:$B$205,MATCH($A89,Employees!$BI$6:$BI$205,0)))</f>
        <v/>
      </c>
      <c r="D89" s="11" t="str">
        <f aca="false">IF($A89="","",INDEX(Employees!$C$6:$C$205,MATCH($A89,Employees!$BI$6:$BI$205,0)))</f>
        <v/>
      </c>
      <c r="E89" s="11" t="str">
        <f aca="false">IF($A89="","",INDEX(Employees!$D$6:$D$205,MATCH($A89,Employees!$BI$6:$BI$205,0)))</f>
        <v/>
      </c>
      <c r="F89" s="11" t="str">
        <f aca="false">IF($A89="","",INDEX(Employees!$T$6:$T$205,MATCH($A89,Employees!$BI$6:$BI$205,0)))</f>
        <v/>
      </c>
      <c r="G89" s="26" t="str">
        <f aca="false">IF($A89="","",INDEX(Employees!$U$6:$U$205,MATCH($A89,Employees!$BI$6:$BI$205,0)))</f>
        <v/>
      </c>
      <c r="H89" s="28" t="str">
        <f aca="false">IF($A89="","",INDEX(Employees!$E$6:$E$205,MATCH($A89,Employees!$BI$6:$BI$205,0)))</f>
        <v/>
      </c>
      <c r="I89" s="11" t="str">
        <f aca="false">IF($A89="","",INDEX(Employees!$Z$6:$Z$205,MATCH($A89,Employees!$BI$6:$BI$205,0)))</f>
        <v/>
      </c>
      <c r="J89" s="26" t="str">
        <f aca="false">IF($A89="","",INDEX(Employees!$AB$6:$AB$205,MATCH($A89,Employees!$BI$6:$BI$205,0)))</f>
        <v/>
      </c>
      <c r="K89" s="26" t="str">
        <f aca="false">IF($A89="","",INDEX(Employees!$AI$6:$AI$205,MATCH($A89,Employees!$BI$6:$BI$205,0)))</f>
        <v/>
      </c>
      <c r="L89" s="26" t="str">
        <f aca="false">IF($A89="","",INDEX(Employees!$AK$6:$AK$205,MATCH($A89,Employees!$BI$6:$BI$205,0)))</f>
        <v/>
      </c>
      <c r="M89" s="11" t="str">
        <f aca="false">IF($A89="","",INDEX(Employees!$AM$6:$AM$205,MATCH($A89,Employees!$BI$6:$BI$205,0)))</f>
        <v/>
      </c>
      <c r="N89" s="11" t="str">
        <f aca="false">IF($A89="","",INDEX(Employees!$AN$6:$AN$205,MATCH($A89,Employees!$BI$6:$BI$205,0)))</f>
        <v/>
      </c>
    </row>
    <row r="90" customFormat="false" ht="15" hidden="false" customHeight="false" outlineLevel="0" collapsed="false">
      <c r="A90" s="11" t="str">
        <f aca="false">IF(85&lt;=MAX(Employees!$BI$6:$BI$205),85,"")</f>
        <v/>
      </c>
      <c r="B90" s="11" t="str">
        <f aca="false">IF($A90="","",INDEX(Employees!$A$6:$A$205,MATCH($A90,Employees!$BI$6:$BI$205,0)))</f>
        <v/>
      </c>
      <c r="C90" s="11" t="str">
        <f aca="false">IF($A90="","",INDEX(Employees!$B$6:$B$205,MATCH($A90,Employees!$BI$6:$BI$205,0)))</f>
        <v/>
      </c>
      <c r="D90" s="11" t="str">
        <f aca="false">IF($A90="","",INDEX(Employees!$C$6:$C$205,MATCH($A90,Employees!$BI$6:$BI$205,0)))</f>
        <v/>
      </c>
      <c r="E90" s="11" t="str">
        <f aca="false">IF($A90="","",INDEX(Employees!$D$6:$D$205,MATCH($A90,Employees!$BI$6:$BI$205,0)))</f>
        <v/>
      </c>
      <c r="F90" s="11" t="str">
        <f aca="false">IF($A90="","",INDEX(Employees!$T$6:$T$205,MATCH($A90,Employees!$BI$6:$BI$205,0)))</f>
        <v/>
      </c>
      <c r="G90" s="26" t="str">
        <f aca="false">IF($A90="","",INDEX(Employees!$U$6:$U$205,MATCH($A90,Employees!$BI$6:$BI$205,0)))</f>
        <v/>
      </c>
      <c r="H90" s="28" t="str">
        <f aca="false">IF($A90="","",INDEX(Employees!$E$6:$E$205,MATCH($A90,Employees!$BI$6:$BI$205,0)))</f>
        <v/>
      </c>
      <c r="I90" s="11" t="str">
        <f aca="false">IF($A90="","",INDEX(Employees!$Z$6:$Z$205,MATCH($A90,Employees!$BI$6:$BI$205,0)))</f>
        <v/>
      </c>
      <c r="J90" s="26" t="str">
        <f aca="false">IF($A90="","",INDEX(Employees!$AB$6:$AB$205,MATCH($A90,Employees!$BI$6:$BI$205,0)))</f>
        <v/>
      </c>
      <c r="K90" s="26" t="str">
        <f aca="false">IF($A90="","",INDEX(Employees!$AI$6:$AI$205,MATCH($A90,Employees!$BI$6:$BI$205,0)))</f>
        <v/>
      </c>
      <c r="L90" s="26" t="str">
        <f aca="false">IF($A90="","",INDEX(Employees!$AK$6:$AK$205,MATCH($A90,Employees!$BI$6:$BI$205,0)))</f>
        <v/>
      </c>
      <c r="M90" s="11" t="str">
        <f aca="false">IF($A90="","",INDEX(Employees!$AM$6:$AM$205,MATCH($A90,Employees!$BI$6:$BI$205,0)))</f>
        <v/>
      </c>
      <c r="N90" s="11" t="str">
        <f aca="false">IF($A90="","",INDEX(Employees!$AN$6:$AN$205,MATCH($A90,Employees!$BI$6:$BI$205,0)))</f>
        <v/>
      </c>
    </row>
    <row r="91" customFormat="false" ht="15" hidden="false" customHeight="false" outlineLevel="0" collapsed="false">
      <c r="A91" s="11" t="str">
        <f aca="false">IF(86&lt;=MAX(Employees!$BI$6:$BI$205),86,"")</f>
        <v/>
      </c>
      <c r="B91" s="11" t="str">
        <f aca="false">IF($A91="","",INDEX(Employees!$A$6:$A$205,MATCH($A91,Employees!$BI$6:$BI$205,0)))</f>
        <v/>
      </c>
      <c r="C91" s="11" t="str">
        <f aca="false">IF($A91="","",INDEX(Employees!$B$6:$B$205,MATCH($A91,Employees!$BI$6:$BI$205,0)))</f>
        <v/>
      </c>
      <c r="D91" s="11" t="str">
        <f aca="false">IF($A91="","",INDEX(Employees!$C$6:$C$205,MATCH($A91,Employees!$BI$6:$BI$205,0)))</f>
        <v/>
      </c>
      <c r="E91" s="11" t="str">
        <f aca="false">IF($A91="","",INDEX(Employees!$D$6:$D$205,MATCH($A91,Employees!$BI$6:$BI$205,0)))</f>
        <v/>
      </c>
      <c r="F91" s="11" t="str">
        <f aca="false">IF($A91="","",INDEX(Employees!$T$6:$T$205,MATCH($A91,Employees!$BI$6:$BI$205,0)))</f>
        <v/>
      </c>
      <c r="G91" s="26" t="str">
        <f aca="false">IF($A91="","",INDEX(Employees!$U$6:$U$205,MATCH($A91,Employees!$BI$6:$BI$205,0)))</f>
        <v/>
      </c>
      <c r="H91" s="28" t="str">
        <f aca="false">IF($A91="","",INDEX(Employees!$E$6:$E$205,MATCH($A91,Employees!$BI$6:$BI$205,0)))</f>
        <v/>
      </c>
      <c r="I91" s="11" t="str">
        <f aca="false">IF($A91="","",INDEX(Employees!$Z$6:$Z$205,MATCH($A91,Employees!$BI$6:$BI$205,0)))</f>
        <v/>
      </c>
      <c r="J91" s="26" t="str">
        <f aca="false">IF($A91="","",INDEX(Employees!$AB$6:$AB$205,MATCH($A91,Employees!$BI$6:$BI$205,0)))</f>
        <v/>
      </c>
      <c r="K91" s="26" t="str">
        <f aca="false">IF($A91="","",INDEX(Employees!$AI$6:$AI$205,MATCH($A91,Employees!$BI$6:$BI$205,0)))</f>
        <v/>
      </c>
      <c r="L91" s="26" t="str">
        <f aca="false">IF($A91="","",INDEX(Employees!$AK$6:$AK$205,MATCH($A91,Employees!$BI$6:$BI$205,0)))</f>
        <v/>
      </c>
      <c r="M91" s="11" t="str">
        <f aca="false">IF($A91="","",INDEX(Employees!$AM$6:$AM$205,MATCH($A91,Employees!$BI$6:$BI$205,0)))</f>
        <v/>
      </c>
      <c r="N91" s="11" t="str">
        <f aca="false">IF($A91="","",INDEX(Employees!$AN$6:$AN$205,MATCH($A91,Employees!$BI$6:$BI$205,0)))</f>
        <v/>
      </c>
    </row>
    <row r="92" customFormat="false" ht="15" hidden="false" customHeight="false" outlineLevel="0" collapsed="false">
      <c r="A92" s="11" t="str">
        <f aca="false">IF(87&lt;=MAX(Employees!$BI$6:$BI$205),87,"")</f>
        <v/>
      </c>
      <c r="B92" s="11" t="str">
        <f aca="false">IF($A92="","",INDEX(Employees!$A$6:$A$205,MATCH($A92,Employees!$BI$6:$BI$205,0)))</f>
        <v/>
      </c>
      <c r="C92" s="11" t="str">
        <f aca="false">IF($A92="","",INDEX(Employees!$B$6:$B$205,MATCH($A92,Employees!$BI$6:$BI$205,0)))</f>
        <v/>
      </c>
      <c r="D92" s="11" t="str">
        <f aca="false">IF($A92="","",INDEX(Employees!$C$6:$C$205,MATCH($A92,Employees!$BI$6:$BI$205,0)))</f>
        <v/>
      </c>
      <c r="E92" s="11" t="str">
        <f aca="false">IF($A92="","",INDEX(Employees!$D$6:$D$205,MATCH($A92,Employees!$BI$6:$BI$205,0)))</f>
        <v/>
      </c>
      <c r="F92" s="11" t="str">
        <f aca="false">IF($A92="","",INDEX(Employees!$T$6:$T$205,MATCH($A92,Employees!$BI$6:$BI$205,0)))</f>
        <v/>
      </c>
      <c r="G92" s="26" t="str">
        <f aca="false">IF($A92="","",INDEX(Employees!$U$6:$U$205,MATCH($A92,Employees!$BI$6:$BI$205,0)))</f>
        <v/>
      </c>
      <c r="H92" s="28" t="str">
        <f aca="false">IF($A92="","",INDEX(Employees!$E$6:$E$205,MATCH($A92,Employees!$BI$6:$BI$205,0)))</f>
        <v/>
      </c>
      <c r="I92" s="11" t="str">
        <f aca="false">IF($A92="","",INDEX(Employees!$Z$6:$Z$205,MATCH($A92,Employees!$BI$6:$BI$205,0)))</f>
        <v/>
      </c>
      <c r="J92" s="26" t="str">
        <f aca="false">IF($A92="","",INDEX(Employees!$AB$6:$AB$205,MATCH($A92,Employees!$BI$6:$BI$205,0)))</f>
        <v/>
      </c>
      <c r="K92" s="26" t="str">
        <f aca="false">IF($A92="","",INDEX(Employees!$AI$6:$AI$205,MATCH($A92,Employees!$BI$6:$BI$205,0)))</f>
        <v/>
      </c>
      <c r="L92" s="26" t="str">
        <f aca="false">IF($A92="","",INDEX(Employees!$AK$6:$AK$205,MATCH($A92,Employees!$BI$6:$BI$205,0)))</f>
        <v/>
      </c>
      <c r="M92" s="11" t="str">
        <f aca="false">IF($A92="","",INDEX(Employees!$AM$6:$AM$205,MATCH($A92,Employees!$BI$6:$BI$205,0)))</f>
        <v/>
      </c>
      <c r="N92" s="11" t="str">
        <f aca="false">IF($A92="","",INDEX(Employees!$AN$6:$AN$205,MATCH($A92,Employees!$BI$6:$BI$205,0)))</f>
        <v/>
      </c>
    </row>
    <row r="93" customFormat="false" ht="15" hidden="false" customHeight="false" outlineLevel="0" collapsed="false">
      <c r="A93" s="11" t="str">
        <f aca="false">IF(88&lt;=MAX(Employees!$BI$6:$BI$205),88,"")</f>
        <v/>
      </c>
      <c r="B93" s="11" t="str">
        <f aca="false">IF($A93="","",INDEX(Employees!$A$6:$A$205,MATCH($A93,Employees!$BI$6:$BI$205,0)))</f>
        <v/>
      </c>
      <c r="C93" s="11" t="str">
        <f aca="false">IF($A93="","",INDEX(Employees!$B$6:$B$205,MATCH($A93,Employees!$BI$6:$BI$205,0)))</f>
        <v/>
      </c>
      <c r="D93" s="11" t="str">
        <f aca="false">IF($A93="","",INDEX(Employees!$C$6:$C$205,MATCH($A93,Employees!$BI$6:$BI$205,0)))</f>
        <v/>
      </c>
      <c r="E93" s="11" t="str">
        <f aca="false">IF($A93="","",INDEX(Employees!$D$6:$D$205,MATCH($A93,Employees!$BI$6:$BI$205,0)))</f>
        <v/>
      </c>
      <c r="F93" s="11" t="str">
        <f aca="false">IF($A93="","",INDEX(Employees!$T$6:$T$205,MATCH($A93,Employees!$BI$6:$BI$205,0)))</f>
        <v/>
      </c>
      <c r="G93" s="26" t="str">
        <f aca="false">IF($A93="","",INDEX(Employees!$U$6:$U$205,MATCH($A93,Employees!$BI$6:$BI$205,0)))</f>
        <v/>
      </c>
      <c r="H93" s="28" t="str">
        <f aca="false">IF($A93="","",INDEX(Employees!$E$6:$E$205,MATCH($A93,Employees!$BI$6:$BI$205,0)))</f>
        <v/>
      </c>
      <c r="I93" s="11" t="str">
        <f aca="false">IF($A93="","",INDEX(Employees!$Z$6:$Z$205,MATCH($A93,Employees!$BI$6:$BI$205,0)))</f>
        <v/>
      </c>
      <c r="J93" s="26" t="str">
        <f aca="false">IF($A93="","",INDEX(Employees!$AB$6:$AB$205,MATCH($A93,Employees!$BI$6:$BI$205,0)))</f>
        <v/>
      </c>
      <c r="K93" s="26" t="str">
        <f aca="false">IF($A93="","",INDEX(Employees!$AI$6:$AI$205,MATCH($A93,Employees!$BI$6:$BI$205,0)))</f>
        <v/>
      </c>
      <c r="L93" s="26" t="str">
        <f aca="false">IF($A93="","",INDEX(Employees!$AK$6:$AK$205,MATCH($A93,Employees!$BI$6:$BI$205,0)))</f>
        <v/>
      </c>
      <c r="M93" s="11" t="str">
        <f aca="false">IF($A93="","",INDEX(Employees!$AM$6:$AM$205,MATCH($A93,Employees!$BI$6:$BI$205,0)))</f>
        <v/>
      </c>
      <c r="N93" s="11" t="str">
        <f aca="false">IF($A93="","",INDEX(Employees!$AN$6:$AN$205,MATCH($A93,Employees!$BI$6:$BI$205,0)))</f>
        <v/>
      </c>
    </row>
    <row r="94" customFormat="false" ht="15" hidden="false" customHeight="false" outlineLevel="0" collapsed="false">
      <c r="A94" s="11" t="str">
        <f aca="false">IF(89&lt;=MAX(Employees!$BI$6:$BI$205),89,"")</f>
        <v/>
      </c>
      <c r="B94" s="11" t="str">
        <f aca="false">IF($A94="","",INDEX(Employees!$A$6:$A$205,MATCH($A94,Employees!$BI$6:$BI$205,0)))</f>
        <v/>
      </c>
      <c r="C94" s="11" t="str">
        <f aca="false">IF($A94="","",INDEX(Employees!$B$6:$B$205,MATCH($A94,Employees!$BI$6:$BI$205,0)))</f>
        <v/>
      </c>
      <c r="D94" s="11" t="str">
        <f aca="false">IF($A94="","",INDEX(Employees!$C$6:$C$205,MATCH($A94,Employees!$BI$6:$BI$205,0)))</f>
        <v/>
      </c>
      <c r="E94" s="11" t="str">
        <f aca="false">IF($A94="","",INDEX(Employees!$D$6:$D$205,MATCH($A94,Employees!$BI$6:$BI$205,0)))</f>
        <v/>
      </c>
      <c r="F94" s="11" t="str">
        <f aca="false">IF($A94="","",INDEX(Employees!$T$6:$T$205,MATCH($A94,Employees!$BI$6:$BI$205,0)))</f>
        <v/>
      </c>
      <c r="G94" s="26" t="str">
        <f aca="false">IF($A94="","",INDEX(Employees!$U$6:$U$205,MATCH($A94,Employees!$BI$6:$BI$205,0)))</f>
        <v/>
      </c>
      <c r="H94" s="28" t="str">
        <f aca="false">IF($A94="","",INDEX(Employees!$E$6:$E$205,MATCH($A94,Employees!$BI$6:$BI$205,0)))</f>
        <v/>
      </c>
      <c r="I94" s="11" t="str">
        <f aca="false">IF($A94="","",INDEX(Employees!$Z$6:$Z$205,MATCH($A94,Employees!$BI$6:$BI$205,0)))</f>
        <v/>
      </c>
      <c r="J94" s="26" t="str">
        <f aca="false">IF($A94="","",INDEX(Employees!$AB$6:$AB$205,MATCH($A94,Employees!$BI$6:$BI$205,0)))</f>
        <v/>
      </c>
      <c r="K94" s="26" t="str">
        <f aca="false">IF($A94="","",INDEX(Employees!$AI$6:$AI$205,MATCH($A94,Employees!$BI$6:$BI$205,0)))</f>
        <v/>
      </c>
      <c r="L94" s="26" t="str">
        <f aca="false">IF($A94="","",INDEX(Employees!$AK$6:$AK$205,MATCH($A94,Employees!$BI$6:$BI$205,0)))</f>
        <v/>
      </c>
      <c r="M94" s="11" t="str">
        <f aca="false">IF($A94="","",INDEX(Employees!$AM$6:$AM$205,MATCH($A94,Employees!$BI$6:$BI$205,0)))</f>
        <v/>
      </c>
      <c r="N94" s="11" t="str">
        <f aca="false">IF($A94="","",INDEX(Employees!$AN$6:$AN$205,MATCH($A94,Employees!$BI$6:$BI$205,0)))</f>
        <v/>
      </c>
    </row>
    <row r="95" customFormat="false" ht="15" hidden="false" customHeight="false" outlineLevel="0" collapsed="false">
      <c r="A95" s="11" t="str">
        <f aca="false">IF(90&lt;=MAX(Employees!$BI$6:$BI$205),90,"")</f>
        <v/>
      </c>
      <c r="B95" s="11" t="str">
        <f aca="false">IF($A95="","",INDEX(Employees!$A$6:$A$205,MATCH($A95,Employees!$BI$6:$BI$205,0)))</f>
        <v/>
      </c>
      <c r="C95" s="11" t="str">
        <f aca="false">IF($A95="","",INDEX(Employees!$B$6:$B$205,MATCH($A95,Employees!$BI$6:$BI$205,0)))</f>
        <v/>
      </c>
      <c r="D95" s="11" t="str">
        <f aca="false">IF($A95="","",INDEX(Employees!$C$6:$C$205,MATCH($A95,Employees!$BI$6:$BI$205,0)))</f>
        <v/>
      </c>
      <c r="E95" s="11" t="str">
        <f aca="false">IF($A95="","",INDEX(Employees!$D$6:$D$205,MATCH($A95,Employees!$BI$6:$BI$205,0)))</f>
        <v/>
      </c>
      <c r="F95" s="11" t="str">
        <f aca="false">IF($A95="","",INDEX(Employees!$T$6:$T$205,MATCH($A95,Employees!$BI$6:$BI$205,0)))</f>
        <v/>
      </c>
      <c r="G95" s="26" t="str">
        <f aca="false">IF($A95="","",INDEX(Employees!$U$6:$U$205,MATCH($A95,Employees!$BI$6:$BI$205,0)))</f>
        <v/>
      </c>
      <c r="H95" s="28" t="str">
        <f aca="false">IF($A95="","",INDEX(Employees!$E$6:$E$205,MATCH($A95,Employees!$BI$6:$BI$205,0)))</f>
        <v/>
      </c>
      <c r="I95" s="11" t="str">
        <f aca="false">IF($A95="","",INDEX(Employees!$Z$6:$Z$205,MATCH($A95,Employees!$BI$6:$BI$205,0)))</f>
        <v/>
      </c>
      <c r="J95" s="26" t="str">
        <f aca="false">IF($A95="","",INDEX(Employees!$AB$6:$AB$205,MATCH($A95,Employees!$BI$6:$BI$205,0)))</f>
        <v/>
      </c>
      <c r="K95" s="26" t="str">
        <f aca="false">IF($A95="","",INDEX(Employees!$AI$6:$AI$205,MATCH($A95,Employees!$BI$6:$BI$205,0)))</f>
        <v/>
      </c>
      <c r="L95" s="26" t="str">
        <f aca="false">IF($A95="","",INDEX(Employees!$AK$6:$AK$205,MATCH($A95,Employees!$BI$6:$BI$205,0)))</f>
        <v/>
      </c>
      <c r="M95" s="11" t="str">
        <f aca="false">IF($A95="","",INDEX(Employees!$AM$6:$AM$205,MATCH($A95,Employees!$BI$6:$BI$205,0)))</f>
        <v/>
      </c>
      <c r="N95" s="11" t="str">
        <f aca="false">IF($A95="","",INDEX(Employees!$AN$6:$AN$205,MATCH($A95,Employees!$BI$6:$BI$205,0)))</f>
        <v/>
      </c>
    </row>
    <row r="96" customFormat="false" ht="15" hidden="false" customHeight="false" outlineLevel="0" collapsed="false">
      <c r="A96" s="11" t="str">
        <f aca="false">IF(91&lt;=MAX(Employees!$BI$6:$BI$205),91,"")</f>
        <v/>
      </c>
      <c r="B96" s="11" t="str">
        <f aca="false">IF($A96="","",INDEX(Employees!$A$6:$A$205,MATCH($A96,Employees!$BI$6:$BI$205,0)))</f>
        <v/>
      </c>
      <c r="C96" s="11" t="str">
        <f aca="false">IF($A96="","",INDEX(Employees!$B$6:$B$205,MATCH($A96,Employees!$BI$6:$BI$205,0)))</f>
        <v/>
      </c>
      <c r="D96" s="11" t="str">
        <f aca="false">IF($A96="","",INDEX(Employees!$C$6:$C$205,MATCH($A96,Employees!$BI$6:$BI$205,0)))</f>
        <v/>
      </c>
      <c r="E96" s="11" t="str">
        <f aca="false">IF($A96="","",INDEX(Employees!$D$6:$D$205,MATCH($A96,Employees!$BI$6:$BI$205,0)))</f>
        <v/>
      </c>
      <c r="F96" s="11" t="str">
        <f aca="false">IF($A96="","",INDEX(Employees!$T$6:$T$205,MATCH($A96,Employees!$BI$6:$BI$205,0)))</f>
        <v/>
      </c>
      <c r="G96" s="26" t="str">
        <f aca="false">IF($A96="","",INDEX(Employees!$U$6:$U$205,MATCH($A96,Employees!$BI$6:$BI$205,0)))</f>
        <v/>
      </c>
      <c r="H96" s="28" t="str">
        <f aca="false">IF($A96="","",INDEX(Employees!$E$6:$E$205,MATCH($A96,Employees!$BI$6:$BI$205,0)))</f>
        <v/>
      </c>
      <c r="I96" s="11" t="str">
        <f aca="false">IF($A96="","",INDEX(Employees!$Z$6:$Z$205,MATCH($A96,Employees!$BI$6:$BI$205,0)))</f>
        <v/>
      </c>
      <c r="J96" s="26" t="str">
        <f aca="false">IF($A96="","",INDEX(Employees!$AB$6:$AB$205,MATCH($A96,Employees!$BI$6:$BI$205,0)))</f>
        <v/>
      </c>
      <c r="K96" s="26" t="str">
        <f aca="false">IF($A96="","",INDEX(Employees!$AI$6:$AI$205,MATCH($A96,Employees!$BI$6:$BI$205,0)))</f>
        <v/>
      </c>
      <c r="L96" s="26" t="str">
        <f aca="false">IF($A96="","",INDEX(Employees!$AK$6:$AK$205,MATCH($A96,Employees!$BI$6:$BI$205,0)))</f>
        <v/>
      </c>
      <c r="M96" s="11" t="str">
        <f aca="false">IF($A96="","",INDEX(Employees!$AM$6:$AM$205,MATCH($A96,Employees!$BI$6:$BI$205,0)))</f>
        <v/>
      </c>
      <c r="N96" s="11" t="str">
        <f aca="false">IF($A96="","",INDEX(Employees!$AN$6:$AN$205,MATCH($A96,Employees!$BI$6:$BI$205,0)))</f>
        <v/>
      </c>
    </row>
    <row r="97" customFormat="false" ht="15" hidden="false" customHeight="false" outlineLevel="0" collapsed="false">
      <c r="A97" s="11" t="str">
        <f aca="false">IF(92&lt;=MAX(Employees!$BI$6:$BI$205),92,"")</f>
        <v/>
      </c>
      <c r="B97" s="11" t="str">
        <f aca="false">IF($A97="","",INDEX(Employees!$A$6:$A$205,MATCH($A97,Employees!$BI$6:$BI$205,0)))</f>
        <v/>
      </c>
      <c r="C97" s="11" t="str">
        <f aca="false">IF($A97="","",INDEX(Employees!$B$6:$B$205,MATCH($A97,Employees!$BI$6:$BI$205,0)))</f>
        <v/>
      </c>
      <c r="D97" s="11" t="str">
        <f aca="false">IF($A97="","",INDEX(Employees!$C$6:$C$205,MATCH($A97,Employees!$BI$6:$BI$205,0)))</f>
        <v/>
      </c>
      <c r="E97" s="11" t="str">
        <f aca="false">IF($A97="","",INDEX(Employees!$D$6:$D$205,MATCH($A97,Employees!$BI$6:$BI$205,0)))</f>
        <v/>
      </c>
      <c r="F97" s="11" t="str">
        <f aca="false">IF($A97="","",INDEX(Employees!$T$6:$T$205,MATCH($A97,Employees!$BI$6:$BI$205,0)))</f>
        <v/>
      </c>
      <c r="G97" s="26" t="str">
        <f aca="false">IF($A97="","",INDEX(Employees!$U$6:$U$205,MATCH($A97,Employees!$BI$6:$BI$205,0)))</f>
        <v/>
      </c>
      <c r="H97" s="28" t="str">
        <f aca="false">IF($A97="","",INDEX(Employees!$E$6:$E$205,MATCH($A97,Employees!$BI$6:$BI$205,0)))</f>
        <v/>
      </c>
      <c r="I97" s="11" t="str">
        <f aca="false">IF($A97="","",INDEX(Employees!$Z$6:$Z$205,MATCH($A97,Employees!$BI$6:$BI$205,0)))</f>
        <v/>
      </c>
      <c r="J97" s="26" t="str">
        <f aca="false">IF($A97="","",INDEX(Employees!$AB$6:$AB$205,MATCH($A97,Employees!$BI$6:$BI$205,0)))</f>
        <v/>
      </c>
      <c r="K97" s="26" t="str">
        <f aca="false">IF($A97="","",INDEX(Employees!$AI$6:$AI$205,MATCH($A97,Employees!$BI$6:$BI$205,0)))</f>
        <v/>
      </c>
      <c r="L97" s="26" t="str">
        <f aca="false">IF($A97="","",INDEX(Employees!$AK$6:$AK$205,MATCH($A97,Employees!$BI$6:$BI$205,0)))</f>
        <v/>
      </c>
      <c r="M97" s="11" t="str">
        <f aca="false">IF($A97="","",INDEX(Employees!$AM$6:$AM$205,MATCH($A97,Employees!$BI$6:$BI$205,0)))</f>
        <v/>
      </c>
      <c r="N97" s="11" t="str">
        <f aca="false">IF($A97="","",INDEX(Employees!$AN$6:$AN$205,MATCH($A97,Employees!$BI$6:$BI$205,0)))</f>
        <v/>
      </c>
    </row>
    <row r="98" customFormat="false" ht="15" hidden="false" customHeight="false" outlineLevel="0" collapsed="false">
      <c r="A98" s="11" t="str">
        <f aca="false">IF(93&lt;=MAX(Employees!$BI$6:$BI$205),93,"")</f>
        <v/>
      </c>
      <c r="B98" s="11" t="str">
        <f aca="false">IF($A98="","",INDEX(Employees!$A$6:$A$205,MATCH($A98,Employees!$BI$6:$BI$205,0)))</f>
        <v/>
      </c>
      <c r="C98" s="11" t="str">
        <f aca="false">IF($A98="","",INDEX(Employees!$B$6:$B$205,MATCH($A98,Employees!$BI$6:$BI$205,0)))</f>
        <v/>
      </c>
      <c r="D98" s="11" t="str">
        <f aca="false">IF($A98="","",INDEX(Employees!$C$6:$C$205,MATCH($A98,Employees!$BI$6:$BI$205,0)))</f>
        <v/>
      </c>
      <c r="E98" s="11" t="str">
        <f aca="false">IF($A98="","",INDEX(Employees!$D$6:$D$205,MATCH($A98,Employees!$BI$6:$BI$205,0)))</f>
        <v/>
      </c>
      <c r="F98" s="11" t="str">
        <f aca="false">IF($A98="","",INDEX(Employees!$T$6:$T$205,MATCH($A98,Employees!$BI$6:$BI$205,0)))</f>
        <v/>
      </c>
      <c r="G98" s="26" t="str">
        <f aca="false">IF($A98="","",INDEX(Employees!$U$6:$U$205,MATCH($A98,Employees!$BI$6:$BI$205,0)))</f>
        <v/>
      </c>
      <c r="H98" s="28" t="str">
        <f aca="false">IF($A98="","",INDEX(Employees!$E$6:$E$205,MATCH($A98,Employees!$BI$6:$BI$205,0)))</f>
        <v/>
      </c>
      <c r="I98" s="11" t="str">
        <f aca="false">IF($A98="","",INDEX(Employees!$Z$6:$Z$205,MATCH($A98,Employees!$BI$6:$BI$205,0)))</f>
        <v/>
      </c>
      <c r="J98" s="26" t="str">
        <f aca="false">IF($A98="","",INDEX(Employees!$AB$6:$AB$205,MATCH($A98,Employees!$BI$6:$BI$205,0)))</f>
        <v/>
      </c>
      <c r="K98" s="26" t="str">
        <f aca="false">IF($A98="","",INDEX(Employees!$AI$6:$AI$205,MATCH($A98,Employees!$BI$6:$BI$205,0)))</f>
        <v/>
      </c>
      <c r="L98" s="26" t="str">
        <f aca="false">IF($A98="","",INDEX(Employees!$AK$6:$AK$205,MATCH($A98,Employees!$BI$6:$BI$205,0)))</f>
        <v/>
      </c>
      <c r="M98" s="11" t="str">
        <f aca="false">IF($A98="","",INDEX(Employees!$AM$6:$AM$205,MATCH($A98,Employees!$BI$6:$BI$205,0)))</f>
        <v/>
      </c>
      <c r="N98" s="11" t="str">
        <f aca="false">IF($A98="","",INDEX(Employees!$AN$6:$AN$205,MATCH($A98,Employees!$BI$6:$BI$205,0)))</f>
        <v/>
      </c>
    </row>
    <row r="99" customFormat="false" ht="15" hidden="false" customHeight="false" outlineLevel="0" collapsed="false">
      <c r="A99" s="11" t="str">
        <f aca="false">IF(94&lt;=MAX(Employees!$BI$6:$BI$205),94,"")</f>
        <v/>
      </c>
      <c r="B99" s="11" t="str">
        <f aca="false">IF($A99="","",INDEX(Employees!$A$6:$A$205,MATCH($A99,Employees!$BI$6:$BI$205,0)))</f>
        <v/>
      </c>
      <c r="C99" s="11" t="str">
        <f aca="false">IF($A99="","",INDEX(Employees!$B$6:$B$205,MATCH($A99,Employees!$BI$6:$BI$205,0)))</f>
        <v/>
      </c>
      <c r="D99" s="11" t="str">
        <f aca="false">IF($A99="","",INDEX(Employees!$C$6:$C$205,MATCH($A99,Employees!$BI$6:$BI$205,0)))</f>
        <v/>
      </c>
      <c r="E99" s="11" t="str">
        <f aca="false">IF($A99="","",INDEX(Employees!$D$6:$D$205,MATCH($A99,Employees!$BI$6:$BI$205,0)))</f>
        <v/>
      </c>
      <c r="F99" s="11" t="str">
        <f aca="false">IF($A99="","",INDEX(Employees!$T$6:$T$205,MATCH($A99,Employees!$BI$6:$BI$205,0)))</f>
        <v/>
      </c>
      <c r="G99" s="26" t="str">
        <f aca="false">IF($A99="","",INDEX(Employees!$U$6:$U$205,MATCH($A99,Employees!$BI$6:$BI$205,0)))</f>
        <v/>
      </c>
      <c r="H99" s="28" t="str">
        <f aca="false">IF($A99="","",INDEX(Employees!$E$6:$E$205,MATCH($A99,Employees!$BI$6:$BI$205,0)))</f>
        <v/>
      </c>
      <c r="I99" s="11" t="str">
        <f aca="false">IF($A99="","",INDEX(Employees!$Z$6:$Z$205,MATCH($A99,Employees!$BI$6:$BI$205,0)))</f>
        <v/>
      </c>
      <c r="J99" s="26" t="str">
        <f aca="false">IF($A99="","",INDEX(Employees!$AB$6:$AB$205,MATCH($A99,Employees!$BI$6:$BI$205,0)))</f>
        <v/>
      </c>
      <c r="K99" s="26" t="str">
        <f aca="false">IF($A99="","",INDEX(Employees!$AI$6:$AI$205,MATCH($A99,Employees!$BI$6:$BI$205,0)))</f>
        <v/>
      </c>
      <c r="L99" s="26" t="str">
        <f aca="false">IF($A99="","",INDEX(Employees!$AK$6:$AK$205,MATCH($A99,Employees!$BI$6:$BI$205,0)))</f>
        <v/>
      </c>
      <c r="M99" s="11" t="str">
        <f aca="false">IF($A99="","",INDEX(Employees!$AM$6:$AM$205,MATCH($A99,Employees!$BI$6:$BI$205,0)))</f>
        <v/>
      </c>
      <c r="N99" s="11" t="str">
        <f aca="false">IF($A99="","",INDEX(Employees!$AN$6:$AN$205,MATCH($A99,Employees!$BI$6:$BI$205,0)))</f>
        <v/>
      </c>
    </row>
    <row r="100" customFormat="false" ht="15" hidden="false" customHeight="false" outlineLevel="0" collapsed="false">
      <c r="A100" s="11" t="str">
        <f aca="false">IF(95&lt;=MAX(Employees!$BI$6:$BI$205),95,"")</f>
        <v/>
      </c>
      <c r="B100" s="11" t="str">
        <f aca="false">IF($A100="","",INDEX(Employees!$A$6:$A$205,MATCH($A100,Employees!$BI$6:$BI$205,0)))</f>
        <v/>
      </c>
      <c r="C100" s="11" t="str">
        <f aca="false">IF($A100="","",INDEX(Employees!$B$6:$B$205,MATCH($A100,Employees!$BI$6:$BI$205,0)))</f>
        <v/>
      </c>
      <c r="D100" s="11" t="str">
        <f aca="false">IF($A100="","",INDEX(Employees!$C$6:$C$205,MATCH($A100,Employees!$BI$6:$BI$205,0)))</f>
        <v/>
      </c>
      <c r="E100" s="11" t="str">
        <f aca="false">IF($A100="","",INDEX(Employees!$D$6:$D$205,MATCH($A100,Employees!$BI$6:$BI$205,0)))</f>
        <v/>
      </c>
      <c r="F100" s="11" t="str">
        <f aca="false">IF($A100="","",INDEX(Employees!$T$6:$T$205,MATCH($A100,Employees!$BI$6:$BI$205,0)))</f>
        <v/>
      </c>
      <c r="G100" s="26" t="str">
        <f aca="false">IF($A100="","",INDEX(Employees!$U$6:$U$205,MATCH($A100,Employees!$BI$6:$BI$205,0)))</f>
        <v/>
      </c>
      <c r="H100" s="28" t="str">
        <f aca="false">IF($A100="","",INDEX(Employees!$E$6:$E$205,MATCH($A100,Employees!$BI$6:$BI$205,0)))</f>
        <v/>
      </c>
      <c r="I100" s="11" t="str">
        <f aca="false">IF($A100="","",INDEX(Employees!$Z$6:$Z$205,MATCH($A100,Employees!$BI$6:$BI$205,0)))</f>
        <v/>
      </c>
      <c r="J100" s="26" t="str">
        <f aca="false">IF($A100="","",INDEX(Employees!$AB$6:$AB$205,MATCH($A100,Employees!$BI$6:$BI$205,0)))</f>
        <v/>
      </c>
      <c r="K100" s="26" t="str">
        <f aca="false">IF($A100="","",INDEX(Employees!$AI$6:$AI$205,MATCH($A100,Employees!$BI$6:$BI$205,0)))</f>
        <v/>
      </c>
      <c r="L100" s="26" t="str">
        <f aca="false">IF($A100="","",INDEX(Employees!$AK$6:$AK$205,MATCH($A100,Employees!$BI$6:$BI$205,0)))</f>
        <v/>
      </c>
      <c r="M100" s="11" t="str">
        <f aca="false">IF($A100="","",INDEX(Employees!$AM$6:$AM$205,MATCH($A100,Employees!$BI$6:$BI$205,0)))</f>
        <v/>
      </c>
      <c r="N100" s="11" t="str">
        <f aca="false">IF($A100="","",INDEX(Employees!$AN$6:$AN$205,MATCH($A100,Employees!$BI$6:$BI$205,0)))</f>
        <v/>
      </c>
    </row>
    <row r="101" customFormat="false" ht="15" hidden="false" customHeight="false" outlineLevel="0" collapsed="false">
      <c r="A101" s="11" t="str">
        <f aca="false">IF(96&lt;=MAX(Employees!$BI$6:$BI$205),96,"")</f>
        <v/>
      </c>
      <c r="B101" s="11" t="str">
        <f aca="false">IF($A101="","",INDEX(Employees!$A$6:$A$205,MATCH($A101,Employees!$BI$6:$BI$205,0)))</f>
        <v/>
      </c>
      <c r="C101" s="11" t="str">
        <f aca="false">IF($A101="","",INDEX(Employees!$B$6:$B$205,MATCH($A101,Employees!$BI$6:$BI$205,0)))</f>
        <v/>
      </c>
      <c r="D101" s="11" t="str">
        <f aca="false">IF($A101="","",INDEX(Employees!$C$6:$C$205,MATCH($A101,Employees!$BI$6:$BI$205,0)))</f>
        <v/>
      </c>
      <c r="E101" s="11" t="str">
        <f aca="false">IF($A101="","",INDEX(Employees!$D$6:$D$205,MATCH($A101,Employees!$BI$6:$BI$205,0)))</f>
        <v/>
      </c>
      <c r="F101" s="11" t="str">
        <f aca="false">IF($A101="","",INDEX(Employees!$T$6:$T$205,MATCH($A101,Employees!$BI$6:$BI$205,0)))</f>
        <v/>
      </c>
      <c r="G101" s="26" t="str">
        <f aca="false">IF($A101="","",INDEX(Employees!$U$6:$U$205,MATCH($A101,Employees!$BI$6:$BI$205,0)))</f>
        <v/>
      </c>
      <c r="H101" s="28" t="str">
        <f aca="false">IF($A101="","",INDEX(Employees!$E$6:$E$205,MATCH($A101,Employees!$BI$6:$BI$205,0)))</f>
        <v/>
      </c>
      <c r="I101" s="11" t="str">
        <f aca="false">IF($A101="","",INDEX(Employees!$Z$6:$Z$205,MATCH($A101,Employees!$BI$6:$BI$205,0)))</f>
        <v/>
      </c>
      <c r="J101" s="26" t="str">
        <f aca="false">IF($A101="","",INDEX(Employees!$AB$6:$AB$205,MATCH($A101,Employees!$BI$6:$BI$205,0)))</f>
        <v/>
      </c>
      <c r="K101" s="26" t="str">
        <f aca="false">IF($A101="","",INDEX(Employees!$AI$6:$AI$205,MATCH($A101,Employees!$BI$6:$BI$205,0)))</f>
        <v/>
      </c>
      <c r="L101" s="26" t="str">
        <f aca="false">IF($A101="","",INDEX(Employees!$AK$6:$AK$205,MATCH($A101,Employees!$BI$6:$BI$205,0)))</f>
        <v/>
      </c>
      <c r="M101" s="11" t="str">
        <f aca="false">IF($A101="","",INDEX(Employees!$AM$6:$AM$205,MATCH($A101,Employees!$BI$6:$BI$205,0)))</f>
        <v/>
      </c>
      <c r="N101" s="11" t="str">
        <f aca="false">IF($A101="","",INDEX(Employees!$AN$6:$AN$205,MATCH($A101,Employees!$BI$6:$BI$205,0)))</f>
        <v/>
      </c>
    </row>
    <row r="102" customFormat="false" ht="15" hidden="false" customHeight="false" outlineLevel="0" collapsed="false">
      <c r="A102" s="11" t="str">
        <f aca="false">IF(97&lt;=MAX(Employees!$BI$6:$BI$205),97,"")</f>
        <v/>
      </c>
      <c r="B102" s="11" t="str">
        <f aca="false">IF($A102="","",INDEX(Employees!$A$6:$A$205,MATCH($A102,Employees!$BI$6:$BI$205,0)))</f>
        <v/>
      </c>
      <c r="C102" s="11" t="str">
        <f aca="false">IF($A102="","",INDEX(Employees!$B$6:$B$205,MATCH($A102,Employees!$BI$6:$BI$205,0)))</f>
        <v/>
      </c>
      <c r="D102" s="11" t="str">
        <f aca="false">IF($A102="","",INDEX(Employees!$C$6:$C$205,MATCH($A102,Employees!$BI$6:$BI$205,0)))</f>
        <v/>
      </c>
      <c r="E102" s="11" t="str">
        <f aca="false">IF($A102="","",INDEX(Employees!$D$6:$D$205,MATCH($A102,Employees!$BI$6:$BI$205,0)))</f>
        <v/>
      </c>
      <c r="F102" s="11" t="str">
        <f aca="false">IF($A102="","",INDEX(Employees!$T$6:$T$205,MATCH($A102,Employees!$BI$6:$BI$205,0)))</f>
        <v/>
      </c>
      <c r="G102" s="26" t="str">
        <f aca="false">IF($A102="","",INDEX(Employees!$U$6:$U$205,MATCH($A102,Employees!$BI$6:$BI$205,0)))</f>
        <v/>
      </c>
      <c r="H102" s="28" t="str">
        <f aca="false">IF($A102="","",INDEX(Employees!$E$6:$E$205,MATCH($A102,Employees!$BI$6:$BI$205,0)))</f>
        <v/>
      </c>
      <c r="I102" s="11" t="str">
        <f aca="false">IF($A102="","",INDEX(Employees!$Z$6:$Z$205,MATCH($A102,Employees!$BI$6:$BI$205,0)))</f>
        <v/>
      </c>
      <c r="J102" s="26" t="str">
        <f aca="false">IF($A102="","",INDEX(Employees!$AB$6:$AB$205,MATCH($A102,Employees!$BI$6:$BI$205,0)))</f>
        <v/>
      </c>
      <c r="K102" s="26" t="str">
        <f aca="false">IF($A102="","",INDEX(Employees!$AI$6:$AI$205,MATCH($A102,Employees!$BI$6:$BI$205,0)))</f>
        <v/>
      </c>
      <c r="L102" s="26" t="str">
        <f aca="false">IF($A102="","",INDEX(Employees!$AK$6:$AK$205,MATCH($A102,Employees!$BI$6:$BI$205,0)))</f>
        <v/>
      </c>
      <c r="M102" s="11" t="str">
        <f aca="false">IF($A102="","",INDEX(Employees!$AM$6:$AM$205,MATCH($A102,Employees!$BI$6:$BI$205,0)))</f>
        <v/>
      </c>
      <c r="N102" s="11" t="str">
        <f aca="false">IF($A102="","",INDEX(Employees!$AN$6:$AN$205,MATCH($A102,Employees!$BI$6:$BI$205,0)))</f>
        <v/>
      </c>
    </row>
    <row r="103" customFormat="false" ht="15" hidden="false" customHeight="false" outlineLevel="0" collapsed="false">
      <c r="A103" s="11" t="str">
        <f aca="false">IF(98&lt;=MAX(Employees!$BI$6:$BI$205),98,"")</f>
        <v/>
      </c>
      <c r="B103" s="11" t="str">
        <f aca="false">IF($A103="","",INDEX(Employees!$A$6:$A$205,MATCH($A103,Employees!$BI$6:$BI$205,0)))</f>
        <v/>
      </c>
      <c r="C103" s="11" t="str">
        <f aca="false">IF($A103="","",INDEX(Employees!$B$6:$B$205,MATCH($A103,Employees!$BI$6:$BI$205,0)))</f>
        <v/>
      </c>
      <c r="D103" s="11" t="str">
        <f aca="false">IF($A103="","",INDEX(Employees!$C$6:$C$205,MATCH($A103,Employees!$BI$6:$BI$205,0)))</f>
        <v/>
      </c>
      <c r="E103" s="11" t="str">
        <f aca="false">IF($A103="","",INDEX(Employees!$D$6:$D$205,MATCH($A103,Employees!$BI$6:$BI$205,0)))</f>
        <v/>
      </c>
      <c r="F103" s="11" t="str">
        <f aca="false">IF($A103="","",INDEX(Employees!$T$6:$T$205,MATCH($A103,Employees!$BI$6:$BI$205,0)))</f>
        <v/>
      </c>
      <c r="G103" s="26" t="str">
        <f aca="false">IF($A103="","",INDEX(Employees!$U$6:$U$205,MATCH($A103,Employees!$BI$6:$BI$205,0)))</f>
        <v/>
      </c>
      <c r="H103" s="28" t="str">
        <f aca="false">IF($A103="","",INDEX(Employees!$E$6:$E$205,MATCH($A103,Employees!$BI$6:$BI$205,0)))</f>
        <v/>
      </c>
      <c r="I103" s="11" t="str">
        <f aca="false">IF($A103="","",INDEX(Employees!$Z$6:$Z$205,MATCH($A103,Employees!$BI$6:$BI$205,0)))</f>
        <v/>
      </c>
      <c r="J103" s="26" t="str">
        <f aca="false">IF($A103="","",INDEX(Employees!$AB$6:$AB$205,MATCH($A103,Employees!$BI$6:$BI$205,0)))</f>
        <v/>
      </c>
      <c r="K103" s="26" t="str">
        <f aca="false">IF($A103="","",INDEX(Employees!$AI$6:$AI$205,MATCH($A103,Employees!$BI$6:$BI$205,0)))</f>
        <v/>
      </c>
      <c r="L103" s="26" t="str">
        <f aca="false">IF($A103="","",INDEX(Employees!$AK$6:$AK$205,MATCH($A103,Employees!$BI$6:$BI$205,0)))</f>
        <v/>
      </c>
      <c r="M103" s="11" t="str">
        <f aca="false">IF($A103="","",INDEX(Employees!$AM$6:$AM$205,MATCH($A103,Employees!$BI$6:$BI$205,0)))</f>
        <v/>
      </c>
      <c r="N103" s="11" t="str">
        <f aca="false">IF($A103="","",INDEX(Employees!$AN$6:$AN$205,MATCH($A103,Employees!$BI$6:$BI$205,0)))</f>
        <v/>
      </c>
    </row>
    <row r="104" customFormat="false" ht="15" hidden="false" customHeight="false" outlineLevel="0" collapsed="false">
      <c r="A104" s="11" t="str">
        <f aca="false">IF(99&lt;=MAX(Employees!$BI$6:$BI$205),99,"")</f>
        <v/>
      </c>
      <c r="B104" s="11" t="str">
        <f aca="false">IF($A104="","",INDEX(Employees!$A$6:$A$205,MATCH($A104,Employees!$BI$6:$BI$205,0)))</f>
        <v/>
      </c>
      <c r="C104" s="11" t="str">
        <f aca="false">IF($A104="","",INDEX(Employees!$B$6:$B$205,MATCH($A104,Employees!$BI$6:$BI$205,0)))</f>
        <v/>
      </c>
      <c r="D104" s="11" t="str">
        <f aca="false">IF($A104="","",INDEX(Employees!$C$6:$C$205,MATCH($A104,Employees!$BI$6:$BI$205,0)))</f>
        <v/>
      </c>
      <c r="E104" s="11" t="str">
        <f aca="false">IF($A104="","",INDEX(Employees!$D$6:$D$205,MATCH($A104,Employees!$BI$6:$BI$205,0)))</f>
        <v/>
      </c>
      <c r="F104" s="11" t="str">
        <f aca="false">IF($A104="","",INDEX(Employees!$T$6:$T$205,MATCH($A104,Employees!$BI$6:$BI$205,0)))</f>
        <v/>
      </c>
      <c r="G104" s="26" t="str">
        <f aca="false">IF($A104="","",INDEX(Employees!$U$6:$U$205,MATCH($A104,Employees!$BI$6:$BI$205,0)))</f>
        <v/>
      </c>
      <c r="H104" s="28" t="str">
        <f aca="false">IF($A104="","",INDEX(Employees!$E$6:$E$205,MATCH($A104,Employees!$BI$6:$BI$205,0)))</f>
        <v/>
      </c>
      <c r="I104" s="11" t="str">
        <f aca="false">IF($A104="","",INDEX(Employees!$Z$6:$Z$205,MATCH($A104,Employees!$BI$6:$BI$205,0)))</f>
        <v/>
      </c>
      <c r="J104" s="26" t="str">
        <f aca="false">IF($A104="","",INDEX(Employees!$AB$6:$AB$205,MATCH($A104,Employees!$BI$6:$BI$205,0)))</f>
        <v/>
      </c>
      <c r="K104" s="26" t="str">
        <f aca="false">IF($A104="","",INDEX(Employees!$AI$6:$AI$205,MATCH($A104,Employees!$BI$6:$BI$205,0)))</f>
        <v/>
      </c>
      <c r="L104" s="26" t="str">
        <f aca="false">IF($A104="","",INDEX(Employees!$AK$6:$AK$205,MATCH($A104,Employees!$BI$6:$BI$205,0)))</f>
        <v/>
      </c>
      <c r="M104" s="11" t="str">
        <f aca="false">IF($A104="","",INDEX(Employees!$AM$6:$AM$205,MATCH($A104,Employees!$BI$6:$BI$205,0)))</f>
        <v/>
      </c>
      <c r="N104" s="11" t="str">
        <f aca="false">IF($A104="","",INDEX(Employees!$AN$6:$AN$205,MATCH($A104,Employees!$BI$6:$BI$205,0)))</f>
        <v/>
      </c>
    </row>
    <row r="105" customFormat="false" ht="15" hidden="false" customHeight="false" outlineLevel="0" collapsed="false">
      <c r="A105" s="11" t="str">
        <f aca="false">IF(100&lt;=MAX(Employees!$BI$6:$BI$205),100,"")</f>
        <v/>
      </c>
      <c r="B105" s="11" t="str">
        <f aca="false">IF($A105="","",INDEX(Employees!$A$6:$A$205,MATCH($A105,Employees!$BI$6:$BI$205,0)))</f>
        <v/>
      </c>
      <c r="C105" s="11" t="str">
        <f aca="false">IF($A105="","",INDEX(Employees!$B$6:$B$205,MATCH($A105,Employees!$BI$6:$BI$205,0)))</f>
        <v/>
      </c>
      <c r="D105" s="11" t="str">
        <f aca="false">IF($A105="","",INDEX(Employees!$C$6:$C$205,MATCH($A105,Employees!$BI$6:$BI$205,0)))</f>
        <v/>
      </c>
      <c r="E105" s="11" t="str">
        <f aca="false">IF($A105="","",INDEX(Employees!$D$6:$D$205,MATCH($A105,Employees!$BI$6:$BI$205,0)))</f>
        <v/>
      </c>
      <c r="F105" s="11" t="str">
        <f aca="false">IF($A105="","",INDEX(Employees!$T$6:$T$205,MATCH($A105,Employees!$BI$6:$BI$205,0)))</f>
        <v/>
      </c>
      <c r="G105" s="26" t="str">
        <f aca="false">IF($A105="","",INDEX(Employees!$U$6:$U$205,MATCH($A105,Employees!$BI$6:$BI$205,0)))</f>
        <v/>
      </c>
      <c r="H105" s="28" t="str">
        <f aca="false">IF($A105="","",INDEX(Employees!$E$6:$E$205,MATCH($A105,Employees!$BI$6:$BI$205,0)))</f>
        <v/>
      </c>
      <c r="I105" s="11" t="str">
        <f aca="false">IF($A105="","",INDEX(Employees!$Z$6:$Z$205,MATCH($A105,Employees!$BI$6:$BI$205,0)))</f>
        <v/>
      </c>
      <c r="J105" s="26" t="str">
        <f aca="false">IF($A105="","",INDEX(Employees!$AB$6:$AB$205,MATCH($A105,Employees!$BI$6:$BI$205,0)))</f>
        <v/>
      </c>
      <c r="K105" s="26" t="str">
        <f aca="false">IF($A105="","",INDEX(Employees!$AI$6:$AI$205,MATCH($A105,Employees!$BI$6:$BI$205,0)))</f>
        <v/>
      </c>
      <c r="L105" s="26" t="str">
        <f aca="false">IF($A105="","",INDEX(Employees!$AK$6:$AK$205,MATCH($A105,Employees!$BI$6:$BI$205,0)))</f>
        <v/>
      </c>
      <c r="M105" s="11" t="str">
        <f aca="false">IF($A105="","",INDEX(Employees!$AM$6:$AM$205,MATCH($A105,Employees!$BI$6:$BI$205,0)))</f>
        <v/>
      </c>
      <c r="N105" s="11" t="str">
        <f aca="false">IF($A105="","",INDEX(Employees!$AN$6:$AN$205,MATCH($A105,Employees!$BI$6:$BI$205,0)))</f>
        <v/>
      </c>
    </row>
    <row r="106" customFormat="false" ht="15" hidden="false" customHeight="false" outlineLevel="0" collapsed="false">
      <c r="A106" s="11" t="str">
        <f aca="false">IF(101&lt;=MAX(Employees!$BI$6:$BI$205),101,"")</f>
        <v/>
      </c>
      <c r="B106" s="11" t="str">
        <f aca="false">IF($A106="","",INDEX(Employees!$A$6:$A$205,MATCH($A106,Employees!$BI$6:$BI$205,0)))</f>
        <v/>
      </c>
      <c r="C106" s="11" t="str">
        <f aca="false">IF($A106="","",INDEX(Employees!$B$6:$B$205,MATCH($A106,Employees!$BI$6:$BI$205,0)))</f>
        <v/>
      </c>
      <c r="D106" s="11" t="str">
        <f aca="false">IF($A106="","",INDEX(Employees!$C$6:$C$205,MATCH($A106,Employees!$BI$6:$BI$205,0)))</f>
        <v/>
      </c>
      <c r="E106" s="11" t="str">
        <f aca="false">IF($A106="","",INDEX(Employees!$D$6:$D$205,MATCH($A106,Employees!$BI$6:$BI$205,0)))</f>
        <v/>
      </c>
      <c r="F106" s="11" t="str">
        <f aca="false">IF($A106="","",INDEX(Employees!$T$6:$T$205,MATCH($A106,Employees!$BI$6:$BI$205,0)))</f>
        <v/>
      </c>
      <c r="G106" s="26" t="str">
        <f aca="false">IF($A106="","",INDEX(Employees!$U$6:$U$205,MATCH($A106,Employees!$BI$6:$BI$205,0)))</f>
        <v/>
      </c>
      <c r="H106" s="28" t="str">
        <f aca="false">IF($A106="","",INDEX(Employees!$E$6:$E$205,MATCH($A106,Employees!$BI$6:$BI$205,0)))</f>
        <v/>
      </c>
      <c r="I106" s="11" t="str">
        <f aca="false">IF($A106="","",INDEX(Employees!$Z$6:$Z$205,MATCH($A106,Employees!$BI$6:$BI$205,0)))</f>
        <v/>
      </c>
      <c r="J106" s="26" t="str">
        <f aca="false">IF($A106="","",INDEX(Employees!$AB$6:$AB$205,MATCH($A106,Employees!$BI$6:$BI$205,0)))</f>
        <v/>
      </c>
      <c r="K106" s="26" t="str">
        <f aca="false">IF($A106="","",INDEX(Employees!$AI$6:$AI$205,MATCH($A106,Employees!$BI$6:$BI$205,0)))</f>
        <v/>
      </c>
      <c r="L106" s="26" t="str">
        <f aca="false">IF($A106="","",INDEX(Employees!$AK$6:$AK$205,MATCH($A106,Employees!$BI$6:$BI$205,0)))</f>
        <v/>
      </c>
      <c r="M106" s="11" t="str">
        <f aca="false">IF($A106="","",INDEX(Employees!$AM$6:$AM$205,MATCH($A106,Employees!$BI$6:$BI$205,0)))</f>
        <v/>
      </c>
      <c r="N106" s="11" t="str">
        <f aca="false">IF($A106="","",INDEX(Employees!$AN$6:$AN$205,MATCH($A106,Employees!$BI$6:$BI$205,0)))</f>
        <v/>
      </c>
    </row>
    <row r="107" customFormat="false" ht="15" hidden="false" customHeight="false" outlineLevel="0" collapsed="false">
      <c r="A107" s="11" t="str">
        <f aca="false">IF(102&lt;=MAX(Employees!$BI$6:$BI$205),102,"")</f>
        <v/>
      </c>
      <c r="B107" s="11" t="str">
        <f aca="false">IF($A107="","",INDEX(Employees!$A$6:$A$205,MATCH($A107,Employees!$BI$6:$BI$205,0)))</f>
        <v/>
      </c>
      <c r="C107" s="11" t="str">
        <f aca="false">IF($A107="","",INDEX(Employees!$B$6:$B$205,MATCH($A107,Employees!$BI$6:$BI$205,0)))</f>
        <v/>
      </c>
      <c r="D107" s="11" t="str">
        <f aca="false">IF($A107="","",INDEX(Employees!$C$6:$C$205,MATCH($A107,Employees!$BI$6:$BI$205,0)))</f>
        <v/>
      </c>
      <c r="E107" s="11" t="str">
        <f aca="false">IF($A107="","",INDEX(Employees!$D$6:$D$205,MATCH($A107,Employees!$BI$6:$BI$205,0)))</f>
        <v/>
      </c>
      <c r="F107" s="11" t="str">
        <f aca="false">IF($A107="","",INDEX(Employees!$T$6:$T$205,MATCH($A107,Employees!$BI$6:$BI$205,0)))</f>
        <v/>
      </c>
      <c r="G107" s="26" t="str">
        <f aca="false">IF($A107="","",INDEX(Employees!$U$6:$U$205,MATCH($A107,Employees!$BI$6:$BI$205,0)))</f>
        <v/>
      </c>
      <c r="H107" s="28" t="str">
        <f aca="false">IF($A107="","",INDEX(Employees!$E$6:$E$205,MATCH($A107,Employees!$BI$6:$BI$205,0)))</f>
        <v/>
      </c>
      <c r="I107" s="11" t="str">
        <f aca="false">IF($A107="","",INDEX(Employees!$Z$6:$Z$205,MATCH($A107,Employees!$BI$6:$BI$205,0)))</f>
        <v/>
      </c>
      <c r="J107" s="26" t="str">
        <f aca="false">IF($A107="","",INDEX(Employees!$AB$6:$AB$205,MATCH($A107,Employees!$BI$6:$BI$205,0)))</f>
        <v/>
      </c>
      <c r="K107" s="26" t="str">
        <f aca="false">IF($A107="","",INDEX(Employees!$AI$6:$AI$205,MATCH($A107,Employees!$BI$6:$BI$205,0)))</f>
        <v/>
      </c>
      <c r="L107" s="26" t="str">
        <f aca="false">IF($A107="","",INDEX(Employees!$AK$6:$AK$205,MATCH($A107,Employees!$BI$6:$BI$205,0)))</f>
        <v/>
      </c>
      <c r="M107" s="11" t="str">
        <f aca="false">IF($A107="","",INDEX(Employees!$AM$6:$AM$205,MATCH($A107,Employees!$BI$6:$BI$205,0)))</f>
        <v/>
      </c>
      <c r="N107" s="11" t="str">
        <f aca="false">IF($A107="","",INDEX(Employees!$AN$6:$AN$205,MATCH($A107,Employees!$BI$6:$BI$205,0)))</f>
        <v/>
      </c>
    </row>
    <row r="108" customFormat="false" ht="15" hidden="false" customHeight="false" outlineLevel="0" collapsed="false">
      <c r="A108" s="11" t="str">
        <f aca="false">IF(103&lt;=MAX(Employees!$BI$6:$BI$205),103,"")</f>
        <v/>
      </c>
      <c r="B108" s="11" t="str">
        <f aca="false">IF($A108="","",INDEX(Employees!$A$6:$A$205,MATCH($A108,Employees!$BI$6:$BI$205,0)))</f>
        <v/>
      </c>
      <c r="C108" s="11" t="str">
        <f aca="false">IF($A108="","",INDEX(Employees!$B$6:$B$205,MATCH($A108,Employees!$BI$6:$BI$205,0)))</f>
        <v/>
      </c>
      <c r="D108" s="11" t="str">
        <f aca="false">IF($A108="","",INDEX(Employees!$C$6:$C$205,MATCH($A108,Employees!$BI$6:$BI$205,0)))</f>
        <v/>
      </c>
      <c r="E108" s="11" t="str">
        <f aca="false">IF($A108="","",INDEX(Employees!$D$6:$D$205,MATCH($A108,Employees!$BI$6:$BI$205,0)))</f>
        <v/>
      </c>
      <c r="F108" s="11" t="str">
        <f aca="false">IF($A108="","",INDEX(Employees!$T$6:$T$205,MATCH($A108,Employees!$BI$6:$BI$205,0)))</f>
        <v/>
      </c>
      <c r="G108" s="26" t="str">
        <f aca="false">IF($A108="","",INDEX(Employees!$U$6:$U$205,MATCH($A108,Employees!$BI$6:$BI$205,0)))</f>
        <v/>
      </c>
      <c r="H108" s="28" t="str">
        <f aca="false">IF($A108="","",INDEX(Employees!$E$6:$E$205,MATCH($A108,Employees!$BI$6:$BI$205,0)))</f>
        <v/>
      </c>
      <c r="I108" s="11" t="str">
        <f aca="false">IF($A108="","",INDEX(Employees!$Z$6:$Z$205,MATCH($A108,Employees!$BI$6:$BI$205,0)))</f>
        <v/>
      </c>
      <c r="J108" s="26" t="str">
        <f aca="false">IF($A108="","",INDEX(Employees!$AB$6:$AB$205,MATCH($A108,Employees!$BI$6:$BI$205,0)))</f>
        <v/>
      </c>
      <c r="K108" s="26" t="str">
        <f aca="false">IF($A108="","",INDEX(Employees!$AI$6:$AI$205,MATCH($A108,Employees!$BI$6:$BI$205,0)))</f>
        <v/>
      </c>
      <c r="L108" s="26" t="str">
        <f aca="false">IF($A108="","",INDEX(Employees!$AK$6:$AK$205,MATCH($A108,Employees!$BI$6:$BI$205,0)))</f>
        <v/>
      </c>
      <c r="M108" s="11" t="str">
        <f aca="false">IF($A108="","",INDEX(Employees!$AM$6:$AM$205,MATCH($A108,Employees!$BI$6:$BI$205,0)))</f>
        <v/>
      </c>
      <c r="N108" s="11" t="str">
        <f aca="false">IF($A108="","",INDEX(Employees!$AN$6:$AN$205,MATCH($A108,Employees!$BI$6:$BI$205,0)))</f>
        <v/>
      </c>
    </row>
    <row r="109" customFormat="false" ht="15" hidden="false" customHeight="false" outlineLevel="0" collapsed="false">
      <c r="A109" s="11" t="str">
        <f aca="false">IF(104&lt;=MAX(Employees!$BI$6:$BI$205),104,"")</f>
        <v/>
      </c>
      <c r="B109" s="11" t="str">
        <f aca="false">IF($A109="","",INDEX(Employees!$A$6:$A$205,MATCH($A109,Employees!$BI$6:$BI$205,0)))</f>
        <v/>
      </c>
      <c r="C109" s="11" t="str">
        <f aca="false">IF($A109="","",INDEX(Employees!$B$6:$B$205,MATCH($A109,Employees!$BI$6:$BI$205,0)))</f>
        <v/>
      </c>
      <c r="D109" s="11" t="str">
        <f aca="false">IF($A109="","",INDEX(Employees!$C$6:$C$205,MATCH($A109,Employees!$BI$6:$BI$205,0)))</f>
        <v/>
      </c>
      <c r="E109" s="11" t="str">
        <f aca="false">IF($A109="","",INDEX(Employees!$D$6:$D$205,MATCH($A109,Employees!$BI$6:$BI$205,0)))</f>
        <v/>
      </c>
      <c r="F109" s="11" t="str">
        <f aca="false">IF($A109="","",INDEX(Employees!$T$6:$T$205,MATCH($A109,Employees!$BI$6:$BI$205,0)))</f>
        <v/>
      </c>
      <c r="G109" s="26" t="str">
        <f aca="false">IF($A109="","",INDEX(Employees!$U$6:$U$205,MATCH($A109,Employees!$BI$6:$BI$205,0)))</f>
        <v/>
      </c>
      <c r="H109" s="28" t="str">
        <f aca="false">IF($A109="","",INDEX(Employees!$E$6:$E$205,MATCH($A109,Employees!$BI$6:$BI$205,0)))</f>
        <v/>
      </c>
      <c r="I109" s="11" t="str">
        <f aca="false">IF($A109="","",INDEX(Employees!$Z$6:$Z$205,MATCH($A109,Employees!$BI$6:$BI$205,0)))</f>
        <v/>
      </c>
      <c r="J109" s="26" t="str">
        <f aca="false">IF($A109="","",INDEX(Employees!$AB$6:$AB$205,MATCH($A109,Employees!$BI$6:$BI$205,0)))</f>
        <v/>
      </c>
      <c r="K109" s="26" t="str">
        <f aca="false">IF($A109="","",INDEX(Employees!$AI$6:$AI$205,MATCH($A109,Employees!$BI$6:$BI$205,0)))</f>
        <v/>
      </c>
      <c r="L109" s="26" t="str">
        <f aca="false">IF($A109="","",INDEX(Employees!$AK$6:$AK$205,MATCH($A109,Employees!$BI$6:$BI$205,0)))</f>
        <v/>
      </c>
      <c r="M109" s="11" t="str">
        <f aca="false">IF($A109="","",INDEX(Employees!$AM$6:$AM$205,MATCH($A109,Employees!$BI$6:$BI$205,0)))</f>
        <v/>
      </c>
      <c r="N109" s="11" t="str">
        <f aca="false">IF($A109="","",INDEX(Employees!$AN$6:$AN$205,MATCH($A109,Employees!$BI$6:$BI$205,0)))</f>
        <v/>
      </c>
    </row>
    <row r="110" customFormat="false" ht="15" hidden="false" customHeight="false" outlineLevel="0" collapsed="false">
      <c r="A110" s="11" t="str">
        <f aca="false">IF(105&lt;=MAX(Employees!$BI$6:$BI$205),105,"")</f>
        <v/>
      </c>
      <c r="B110" s="11" t="str">
        <f aca="false">IF($A110="","",INDEX(Employees!$A$6:$A$205,MATCH($A110,Employees!$BI$6:$BI$205,0)))</f>
        <v/>
      </c>
      <c r="C110" s="11" t="str">
        <f aca="false">IF($A110="","",INDEX(Employees!$B$6:$B$205,MATCH($A110,Employees!$BI$6:$BI$205,0)))</f>
        <v/>
      </c>
      <c r="D110" s="11" t="str">
        <f aca="false">IF($A110="","",INDEX(Employees!$C$6:$C$205,MATCH($A110,Employees!$BI$6:$BI$205,0)))</f>
        <v/>
      </c>
      <c r="E110" s="11" t="str">
        <f aca="false">IF($A110="","",INDEX(Employees!$D$6:$D$205,MATCH($A110,Employees!$BI$6:$BI$205,0)))</f>
        <v/>
      </c>
      <c r="F110" s="11" t="str">
        <f aca="false">IF($A110="","",INDEX(Employees!$T$6:$T$205,MATCH($A110,Employees!$BI$6:$BI$205,0)))</f>
        <v/>
      </c>
      <c r="G110" s="26" t="str">
        <f aca="false">IF($A110="","",INDEX(Employees!$U$6:$U$205,MATCH($A110,Employees!$BI$6:$BI$205,0)))</f>
        <v/>
      </c>
      <c r="H110" s="28" t="str">
        <f aca="false">IF($A110="","",INDEX(Employees!$E$6:$E$205,MATCH($A110,Employees!$BI$6:$BI$205,0)))</f>
        <v/>
      </c>
      <c r="I110" s="11" t="str">
        <f aca="false">IF($A110="","",INDEX(Employees!$Z$6:$Z$205,MATCH($A110,Employees!$BI$6:$BI$205,0)))</f>
        <v/>
      </c>
      <c r="J110" s="26" t="str">
        <f aca="false">IF($A110="","",INDEX(Employees!$AB$6:$AB$205,MATCH($A110,Employees!$BI$6:$BI$205,0)))</f>
        <v/>
      </c>
      <c r="K110" s="26" t="str">
        <f aca="false">IF($A110="","",INDEX(Employees!$AI$6:$AI$205,MATCH($A110,Employees!$BI$6:$BI$205,0)))</f>
        <v/>
      </c>
      <c r="L110" s="26" t="str">
        <f aca="false">IF($A110="","",INDEX(Employees!$AK$6:$AK$205,MATCH($A110,Employees!$BI$6:$BI$205,0)))</f>
        <v/>
      </c>
      <c r="M110" s="11" t="str">
        <f aca="false">IF($A110="","",INDEX(Employees!$AM$6:$AM$205,MATCH($A110,Employees!$BI$6:$BI$205,0)))</f>
        <v/>
      </c>
      <c r="N110" s="11" t="str">
        <f aca="false">IF($A110="","",INDEX(Employees!$AN$6:$AN$205,MATCH($A110,Employees!$BI$6:$BI$205,0)))</f>
        <v/>
      </c>
    </row>
    <row r="111" customFormat="false" ht="15" hidden="false" customHeight="false" outlineLevel="0" collapsed="false">
      <c r="A111" s="11" t="str">
        <f aca="false">IF(106&lt;=MAX(Employees!$BI$6:$BI$205),106,"")</f>
        <v/>
      </c>
      <c r="B111" s="11" t="str">
        <f aca="false">IF($A111="","",INDEX(Employees!$A$6:$A$205,MATCH($A111,Employees!$BI$6:$BI$205,0)))</f>
        <v/>
      </c>
      <c r="C111" s="11" t="str">
        <f aca="false">IF($A111="","",INDEX(Employees!$B$6:$B$205,MATCH($A111,Employees!$BI$6:$BI$205,0)))</f>
        <v/>
      </c>
      <c r="D111" s="11" t="str">
        <f aca="false">IF($A111="","",INDEX(Employees!$C$6:$C$205,MATCH($A111,Employees!$BI$6:$BI$205,0)))</f>
        <v/>
      </c>
      <c r="E111" s="11" t="str">
        <f aca="false">IF($A111="","",INDEX(Employees!$D$6:$D$205,MATCH($A111,Employees!$BI$6:$BI$205,0)))</f>
        <v/>
      </c>
      <c r="F111" s="11" t="str">
        <f aca="false">IF($A111="","",INDEX(Employees!$T$6:$T$205,MATCH($A111,Employees!$BI$6:$BI$205,0)))</f>
        <v/>
      </c>
      <c r="G111" s="26" t="str">
        <f aca="false">IF($A111="","",INDEX(Employees!$U$6:$U$205,MATCH($A111,Employees!$BI$6:$BI$205,0)))</f>
        <v/>
      </c>
      <c r="H111" s="28" t="str">
        <f aca="false">IF($A111="","",INDEX(Employees!$E$6:$E$205,MATCH($A111,Employees!$BI$6:$BI$205,0)))</f>
        <v/>
      </c>
      <c r="I111" s="11" t="str">
        <f aca="false">IF($A111="","",INDEX(Employees!$Z$6:$Z$205,MATCH($A111,Employees!$BI$6:$BI$205,0)))</f>
        <v/>
      </c>
      <c r="J111" s="26" t="str">
        <f aca="false">IF($A111="","",INDEX(Employees!$AB$6:$AB$205,MATCH($A111,Employees!$BI$6:$BI$205,0)))</f>
        <v/>
      </c>
      <c r="K111" s="26" t="str">
        <f aca="false">IF($A111="","",INDEX(Employees!$AI$6:$AI$205,MATCH($A111,Employees!$BI$6:$BI$205,0)))</f>
        <v/>
      </c>
      <c r="L111" s="26" t="str">
        <f aca="false">IF($A111="","",INDEX(Employees!$AK$6:$AK$205,MATCH($A111,Employees!$BI$6:$BI$205,0)))</f>
        <v/>
      </c>
      <c r="M111" s="11" t="str">
        <f aca="false">IF($A111="","",INDEX(Employees!$AM$6:$AM$205,MATCH($A111,Employees!$BI$6:$BI$205,0)))</f>
        <v/>
      </c>
      <c r="N111" s="11" t="str">
        <f aca="false">IF($A111="","",INDEX(Employees!$AN$6:$AN$205,MATCH($A111,Employees!$BI$6:$BI$205,0)))</f>
        <v/>
      </c>
    </row>
    <row r="112" customFormat="false" ht="15" hidden="false" customHeight="false" outlineLevel="0" collapsed="false">
      <c r="A112" s="11" t="str">
        <f aca="false">IF(107&lt;=MAX(Employees!$BI$6:$BI$205),107,"")</f>
        <v/>
      </c>
      <c r="B112" s="11" t="str">
        <f aca="false">IF($A112="","",INDEX(Employees!$A$6:$A$205,MATCH($A112,Employees!$BI$6:$BI$205,0)))</f>
        <v/>
      </c>
      <c r="C112" s="11" t="str">
        <f aca="false">IF($A112="","",INDEX(Employees!$B$6:$B$205,MATCH($A112,Employees!$BI$6:$BI$205,0)))</f>
        <v/>
      </c>
      <c r="D112" s="11" t="str">
        <f aca="false">IF($A112="","",INDEX(Employees!$C$6:$C$205,MATCH($A112,Employees!$BI$6:$BI$205,0)))</f>
        <v/>
      </c>
      <c r="E112" s="11" t="str">
        <f aca="false">IF($A112="","",INDEX(Employees!$D$6:$D$205,MATCH($A112,Employees!$BI$6:$BI$205,0)))</f>
        <v/>
      </c>
      <c r="F112" s="11" t="str">
        <f aca="false">IF($A112="","",INDEX(Employees!$T$6:$T$205,MATCH($A112,Employees!$BI$6:$BI$205,0)))</f>
        <v/>
      </c>
      <c r="G112" s="26" t="str">
        <f aca="false">IF($A112="","",INDEX(Employees!$U$6:$U$205,MATCH($A112,Employees!$BI$6:$BI$205,0)))</f>
        <v/>
      </c>
      <c r="H112" s="28" t="str">
        <f aca="false">IF($A112="","",INDEX(Employees!$E$6:$E$205,MATCH($A112,Employees!$BI$6:$BI$205,0)))</f>
        <v/>
      </c>
      <c r="I112" s="11" t="str">
        <f aca="false">IF($A112="","",INDEX(Employees!$Z$6:$Z$205,MATCH($A112,Employees!$BI$6:$BI$205,0)))</f>
        <v/>
      </c>
      <c r="J112" s="26" t="str">
        <f aca="false">IF($A112="","",INDEX(Employees!$AB$6:$AB$205,MATCH($A112,Employees!$BI$6:$BI$205,0)))</f>
        <v/>
      </c>
      <c r="K112" s="26" t="str">
        <f aca="false">IF($A112="","",INDEX(Employees!$AI$6:$AI$205,MATCH($A112,Employees!$BI$6:$BI$205,0)))</f>
        <v/>
      </c>
      <c r="L112" s="26" t="str">
        <f aca="false">IF($A112="","",INDEX(Employees!$AK$6:$AK$205,MATCH($A112,Employees!$BI$6:$BI$205,0)))</f>
        <v/>
      </c>
      <c r="M112" s="11" t="str">
        <f aca="false">IF($A112="","",INDEX(Employees!$AM$6:$AM$205,MATCH($A112,Employees!$BI$6:$BI$205,0)))</f>
        <v/>
      </c>
      <c r="N112" s="11" t="str">
        <f aca="false">IF($A112="","",INDEX(Employees!$AN$6:$AN$205,MATCH($A112,Employees!$BI$6:$BI$205,0)))</f>
        <v/>
      </c>
    </row>
    <row r="113" customFormat="false" ht="15" hidden="false" customHeight="false" outlineLevel="0" collapsed="false">
      <c r="A113" s="11" t="str">
        <f aca="false">IF(108&lt;=MAX(Employees!$BI$6:$BI$205),108,"")</f>
        <v/>
      </c>
      <c r="B113" s="11" t="str">
        <f aca="false">IF($A113="","",INDEX(Employees!$A$6:$A$205,MATCH($A113,Employees!$BI$6:$BI$205,0)))</f>
        <v/>
      </c>
      <c r="C113" s="11" t="str">
        <f aca="false">IF($A113="","",INDEX(Employees!$B$6:$B$205,MATCH($A113,Employees!$BI$6:$BI$205,0)))</f>
        <v/>
      </c>
      <c r="D113" s="11" t="str">
        <f aca="false">IF($A113="","",INDEX(Employees!$C$6:$C$205,MATCH($A113,Employees!$BI$6:$BI$205,0)))</f>
        <v/>
      </c>
      <c r="E113" s="11" t="str">
        <f aca="false">IF($A113="","",INDEX(Employees!$D$6:$D$205,MATCH($A113,Employees!$BI$6:$BI$205,0)))</f>
        <v/>
      </c>
      <c r="F113" s="11" t="str">
        <f aca="false">IF($A113="","",INDEX(Employees!$T$6:$T$205,MATCH($A113,Employees!$BI$6:$BI$205,0)))</f>
        <v/>
      </c>
      <c r="G113" s="26" t="str">
        <f aca="false">IF($A113="","",INDEX(Employees!$U$6:$U$205,MATCH($A113,Employees!$BI$6:$BI$205,0)))</f>
        <v/>
      </c>
      <c r="H113" s="28" t="str">
        <f aca="false">IF($A113="","",INDEX(Employees!$E$6:$E$205,MATCH($A113,Employees!$BI$6:$BI$205,0)))</f>
        <v/>
      </c>
      <c r="I113" s="11" t="str">
        <f aca="false">IF($A113="","",INDEX(Employees!$Z$6:$Z$205,MATCH($A113,Employees!$BI$6:$BI$205,0)))</f>
        <v/>
      </c>
      <c r="J113" s="26" t="str">
        <f aca="false">IF($A113="","",INDEX(Employees!$AB$6:$AB$205,MATCH($A113,Employees!$BI$6:$BI$205,0)))</f>
        <v/>
      </c>
      <c r="K113" s="26" t="str">
        <f aca="false">IF($A113="","",INDEX(Employees!$AI$6:$AI$205,MATCH($A113,Employees!$BI$6:$BI$205,0)))</f>
        <v/>
      </c>
      <c r="L113" s="26" t="str">
        <f aca="false">IF($A113="","",INDEX(Employees!$AK$6:$AK$205,MATCH($A113,Employees!$BI$6:$BI$205,0)))</f>
        <v/>
      </c>
      <c r="M113" s="11" t="str">
        <f aca="false">IF($A113="","",INDEX(Employees!$AM$6:$AM$205,MATCH($A113,Employees!$BI$6:$BI$205,0)))</f>
        <v/>
      </c>
      <c r="N113" s="11" t="str">
        <f aca="false">IF($A113="","",INDEX(Employees!$AN$6:$AN$205,MATCH($A113,Employees!$BI$6:$BI$205,0)))</f>
        <v/>
      </c>
    </row>
    <row r="114" customFormat="false" ht="15" hidden="false" customHeight="false" outlineLevel="0" collapsed="false">
      <c r="A114" s="11" t="str">
        <f aca="false">IF(109&lt;=MAX(Employees!$BI$6:$BI$205),109,"")</f>
        <v/>
      </c>
      <c r="B114" s="11" t="str">
        <f aca="false">IF($A114="","",INDEX(Employees!$A$6:$A$205,MATCH($A114,Employees!$BI$6:$BI$205,0)))</f>
        <v/>
      </c>
      <c r="C114" s="11" t="str">
        <f aca="false">IF($A114="","",INDEX(Employees!$B$6:$B$205,MATCH($A114,Employees!$BI$6:$BI$205,0)))</f>
        <v/>
      </c>
      <c r="D114" s="11" t="str">
        <f aca="false">IF($A114="","",INDEX(Employees!$C$6:$C$205,MATCH($A114,Employees!$BI$6:$BI$205,0)))</f>
        <v/>
      </c>
      <c r="E114" s="11" t="str">
        <f aca="false">IF($A114="","",INDEX(Employees!$D$6:$D$205,MATCH($A114,Employees!$BI$6:$BI$205,0)))</f>
        <v/>
      </c>
      <c r="F114" s="11" t="str">
        <f aca="false">IF($A114="","",INDEX(Employees!$T$6:$T$205,MATCH($A114,Employees!$BI$6:$BI$205,0)))</f>
        <v/>
      </c>
      <c r="G114" s="26" t="str">
        <f aca="false">IF($A114="","",INDEX(Employees!$U$6:$U$205,MATCH($A114,Employees!$BI$6:$BI$205,0)))</f>
        <v/>
      </c>
      <c r="H114" s="28" t="str">
        <f aca="false">IF($A114="","",INDEX(Employees!$E$6:$E$205,MATCH($A114,Employees!$BI$6:$BI$205,0)))</f>
        <v/>
      </c>
      <c r="I114" s="11" t="str">
        <f aca="false">IF($A114="","",INDEX(Employees!$Z$6:$Z$205,MATCH($A114,Employees!$BI$6:$BI$205,0)))</f>
        <v/>
      </c>
      <c r="J114" s="26" t="str">
        <f aca="false">IF($A114="","",INDEX(Employees!$AB$6:$AB$205,MATCH($A114,Employees!$BI$6:$BI$205,0)))</f>
        <v/>
      </c>
      <c r="K114" s="26" t="str">
        <f aca="false">IF($A114="","",INDEX(Employees!$AI$6:$AI$205,MATCH($A114,Employees!$BI$6:$BI$205,0)))</f>
        <v/>
      </c>
      <c r="L114" s="26" t="str">
        <f aca="false">IF($A114="","",INDEX(Employees!$AK$6:$AK$205,MATCH($A114,Employees!$BI$6:$BI$205,0)))</f>
        <v/>
      </c>
      <c r="M114" s="11" t="str">
        <f aca="false">IF($A114="","",INDEX(Employees!$AM$6:$AM$205,MATCH($A114,Employees!$BI$6:$BI$205,0)))</f>
        <v/>
      </c>
      <c r="N114" s="11" t="str">
        <f aca="false">IF($A114="","",INDEX(Employees!$AN$6:$AN$205,MATCH($A114,Employees!$BI$6:$BI$205,0)))</f>
        <v/>
      </c>
    </row>
    <row r="115" customFormat="false" ht="15" hidden="false" customHeight="false" outlineLevel="0" collapsed="false">
      <c r="A115" s="11" t="str">
        <f aca="false">IF(110&lt;=MAX(Employees!$BI$6:$BI$205),110,"")</f>
        <v/>
      </c>
      <c r="B115" s="11" t="str">
        <f aca="false">IF($A115="","",INDEX(Employees!$A$6:$A$205,MATCH($A115,Employees!$BI$6:$BI$205,0)))</f>
        <v/>
      </c>
      <c r="C115" s="11" t="str">
        <f aca="false">IF($A115="","",INDEX(Employees!$B$6:$B$205,MATCH($A115,Employees!$BI$6:$BI$205,0)))</f>
        <v/>
      </c>
      <c r="D115" s="11" t="str">
        <f aca="false">IF($A115="","",INDEX(Employees!$C$6:$C$205,MATCH($A115,Employees!$BI$6:$BI$205,0)))</f>
        <v/>
      </c>
      <c r="E115" s="11" t="str">
        <f aca="false">IF($A115="","",INDEX(Employees!$D$6:$D$205,MATCH($A115,Employees!$BI$6:$BI$205,0)))</f>
        <v/>
      </c>
      <c r="F115" s="11" t="str">
        <f aca="false">IF($A115="","",INDEX(Employees!$T$6:$T$205,MATCH($A115,Employees!$BI$6:$BI$205,0)))</f>
        <v/>
      </c>
      <c r="G115" s="26" t="str">
        <f aca="false">IF($A115="","",INDEX(Employees!$U$6:$U$205,MATCH($A115,Employees!$BI$6:$BI$205,0)))</f>
        <v/>
      </c>
      <c r="H115" s="28" t="str">
        <f aca="false">IF($A115="","",INDEX(Employees!$E$6:$E$205,MATCH($A115,Employees!$BI$6:$BI$205,0)))</f>
        <v/>
      </c>
      <c r="I115" s="11" t="str">
        <f aca="false">IF($A115="","",INDEX(Employees!$Z$6:$Z$205,MATCH($A115,Employees!$BI$6:$BI$205,0)))</f>
        <v/>
      </c>
      <c r="J115" s="26" t="str">
        <f aca="false">IF($A115="","",INDEX(Employees!$AB$6:$AB$205,MATCH($A115,Employees!$BI$6:$BI$205,0)))</f>
        <v/>
      </c>
      <c r="K115" s="26" t="str">
        <f aca="false">IF($A115="","",INDEX(Employees!$AI$6:$AI$205,MATCH($A115,Employees!$BI$6:$BI$205,0)))</f>
        <v/>
      </c>
      <c r="L115" s="26" t="str">
        <f aca="false">IF($A115="","",INDEX(Employees!$AK$6:$AK$205,MATCH($A115,Employees!$BI$6:$BI$205,0)))</f>
        <v/>
      </c>
      <c r="M115" s="11" t="str">
        <f aca="false">IF($A115="","",INDEX(Employees!$AM$6:$AM$205,MATCH($A115,Employees!$BI$6:$BI$205,0)))</f>
        <v/>
      </c>
      <c r="N115" s="11" t="str">
        <f aca="false">IF($A115="","",INDEX(Employees!$AN$6:$AN$205,MATCH($A115,Employees!$BI$6:$BI$205,0)))</f>
        <v/>
      </c>
    </row>
    <row r="116" customFormat="false" ht="15" hidden="false" customHeight="false" outlineLevel="0" collapsed="false">
      <c r="A116" s="11" t="str">
        <f aca="false">IF(111&lt;=MAX(Employees!$BI$6:$BI$205),111,"")</f>
        <v/>
      </c>
      <c r="B116" s="11" t="str">
        <f aca="false">IF($A116="","",INDEX(Employees!$A$6:$A$205,MATCH($A116,Employees!$BI$6:$BI$205,0)))</f>
        <v/>
      </c>
      <c r="C116" s="11" t="str">
        <f aca="false">IF($A116="","",INDEX(Employees!$B$6:$B$205,MATCH($A116,Employees!$BI$6:$BI$205,0)))</f>
        <v/>
      </c>
      <c r="D116" s="11" t="str">
        <f aca="false">IF($A116="","",INDEX(Employees!$C$6:$C$205,MATCH($A116,Employees!$BI$6:$BI$205,0)))</f>
        <v/>
      </c>
      <c r="E116" s="11" t="str">
        <f aca="false">IF($A116="","",INDEX(Employees!$D$6:$D$205,MATCH($A116,Employees!$BI$6:$BI$205,0)))</f>
        <v/>
      </c>
      <c r="F116" s="11" t="str">
        <f aca="false">IF($A116="","",INDEX(Employees!$T$6:$T$205,MATCH($A116,Employees!$BI$6:$BI$205,0)))</f>
        <v/>
      </c>
      <c r="G116" s="26" t="str">
        <f aca="false">IF($A116="","",INDEX(Employees!$U$6:$U$205,MATCH($A116,Employees!$BI$6:$BI$205,0)))</f>
        <v/>
      </c>
      <c r="H116" s="28" t="str">
        <f aca="false">IF($A116="","",INDEX(Employees!$E$6:$E$205,MATCH($A116,Employees!$BI$6:$BI$205,0)))</f>
        <v/>
      </c>
      <c r="I116" s="11" t="str">
        <f aca="false">IF($A116="","",INDEX(Employees!$Z$6:$Z$205,MATCH($A116,Employees!$BI$6:$BI$205,0)))</f>
        <v/>
      </c>
      <c r="J116" s="26" t="str">
        <f aca="false">IF($A116="","",INDEX(Employees!$AB$6:$AB$205,MATCH($A116,Employees!$BI$6:$BI$205,0)))</f>
        <v/>
      </c>
      <c r="K116" s="26" t="str">
        <f aca="false">IF($A116="","",INDEX(Employees!$AI$6:$AI$205,MATCH($A116,Employees!$BI$6:$BI$205,0)))</f>
        <v/>
      </c>
      <c r="L116" s="26" t="str">
        <f aca="false">IF($A116="","",INDEX(Employees!$AK$6:$AK$205,MATCH($A116,Employees!$BI$6:$BI$205,0)))</f>
        <v/>
      </c>
      <c r="M116" s="11" t="str">
        <f aca="false">IF($A116="","",INDEX(Employees!$AM$6:$AM$205,MATCH($A116,Employees!$BI$6:$BI$205,0)))</f>
        <v/>
      </c>
      <c r="N116" s="11" t="str">
        <f aca="false">IF($A116="","",INDEX(Employees!$AN$6:$AN$205,MATCH($A116,Employees!$BI$6:$BI$205,0)))</f>
        <v/>
      </c>
    </row>
    <row r="117" customFormat="false" ht="15" hidden="false" customHeight="false" outlineLevel="0" collapsed="false">
      <c r="A117" s="11" t="str">
        <f aca="false">IF(112&lt;=MAX(Employees!$BI$6:$BI$205),112,"")</f>
        <v/>
      </c>
      <c r="B117" s="11" t="str">
        <f aca="false">IF($A117="","",INDEX(Employees!$A$6:$A$205,MATCH($A117,Employees!$BI$6:$BI$205,0)))</f>
        <v/>
      </c>
      <c r="C117" s="11" t="str">
        <f aca="false">IF($A117="","",INDEX(Employees!$B$6:$B$205,MATCH($A117,Employees!$BI$6:$BI$205,0)))</f>
        <v/>
      </c>
      <c r="D117" s="11" t="str">
        <f aca="false">IF($A117="","",INDEX(Employees!$C$6:$C$205,MATCH($A117,Employees!$BI$6:$BI$205,0)))</f>
        <v/>
      </c>
      <c r="E117" s="11" t="str">
        <f aca="false">IF($A117="","",INDEX(Employees!$D$6:$D$205,MATCH($A117,Employees!$BI$6:$BI$205,0)))</f>
        <v/>
      </c>
      <c r="F117" s="11" t="str">
        <f aca="false">IF($A117="","",INDEX(Employees!$T$6:$T$205,MATCH($A117,Employees!$BI$6:$BI$205,0)))</f>
        <v/>
      </c>
      <c r="G117" s="26" t="str">
        <f aca="false">IF($A117="","",INDEX(Employees!$U$6:$U$205,MATCH($A117,Employees!$BI$6:$BI$205,0)))</f>
        <v/>
      </c>
      <c r="H117" s="28" t="str">
        <f aca="false">IF($A117="","",INDEX(Employees!$E$6:$E$205,MATCH($A117,Employees!$BI$6:$BI$205,0)))</f>
        <v/>
      </c>
      <c r="I117" s="11" t="str">
        <f aca="false">IF($A117="","",INDEX(Employees!$Z$6:$Z$205,MATCH($A117,Employees!$BI$6:$BI$205,0)))</f>
        <v/>
      </c>
      <c r="J117" s="26" t="str">
        <f aca="false">IF($A117="","",INDEX(Employees!$AB$6:$AB$205,MATCH($A117,Employees!$BI$6:$BI$205,0)))</f>
        <v/>
      </c>
      <c r="K117" s="26" t="str">
        <f aca="false">IF($A117="","",INDEX(Employees!$AI$6:$AI$205,MATCH($A117,Employees!$BI$6:$BI$205,0)))</f>
        <v/>
      </c>
      <c r="L117" s="26" t="str">
        <f aca="false">IF($A117="","",INDEX(Employees!$AK$6:$AK$205,MATCH($A117,Employees!$BI$6:$BI$205,0)))</f>
        <v/>
      </c>
      <c r="M117" s="11" t="str">
        <f aca="false">IF($A117="","",INDEX(Employees!$AM$6:$AM$205,MATCH($A117,Employees!$BI$6:$BI$205,0)))</f>
        <v/>
      </c>
      <c r="N117" s="11" t="str">
        <f aca="false">IF($A117="","",INDEX(Employees!$AN$6:$AN$205,MATCH($A117,Employees!$BI$6:$BI$205,0)))</f>
        <v/>
      </c>
    </row>
    <row r="118" customFormat="false" ht="15" hidden="false" customHeight="false" outlineLevel="0" collapsed="false">
      <c r="A118" s="11" t="str">
        <f aca="false">IF(113&lt;=MAX(Employees!$BI$6:$BI$205),113,"")</f>
        <v/>
      </c>
      <c r="B118" s="11" t="str">
        <f aca="false">IF($A118="","",INDEX(Employees!$A$6:$A$205,MATCH($A118,Employees!$BI$6:$BI$205,0)))</f>
        <v/>
      </c>
      <c r="C118" s="11" t="str">
        <f aca="false">IF($A118="","",INDEX(Employees!$B$6:$B$205,MATCH($A118,Employees!$BI$6:$BI$205,0)))</f>
        <v/>
      </c>
      <c r="D118" s="11" t="str">
        <f aca="false">IF($A118="","",INDEX(Employees!$C$6:$C$205,MATCH($A118,Employees!$BI$6:$BI$205,0)))</f>
        <v/>
      </c>
      <c r="E118" s="11" t="str">
        <f aca="false">IF($A118="","",INDEX(Employees!$D$6:$D$205,MATCH($A118,Employees!$BI$6:$BI$205,0)))</f>
        <v/>
      </c>
      <c r="F118" s="11" t="str">
        <f aca="false">IF($A118="","",INDEX(Employees!$T$6:$T$205,MATCH($A118,Employees!$BI$6:$BI$205,0)))</f>
        <v/>
      </c>
      <c r="G118" s="26" t="str">
        <f aca="false">IF($A118="","",INDEX(Employees!$U$6:$U$205,MATCH($A118,Employees!$BI$6:$BI$205,0)))</f>
        <v/>
      </c>
      <c r="H118" s="28" t="str">
        <f aca="false">IF($A118="","",INDEX(Employees!$E$6:$E$205,MATCH($A118,Employees!$BI$6:$BI$205,0)))</f>
        <v/>
      </c>
      <c r="I118" s="11" t="str">
        <f aca="false">IF($A118="","",INDEX(Employees!$Z$6:$Z$205,MATCH($A118,Employees!$BI$6:$BI$205,0)))</f>
        <v/>
      </c>
      <c r="J118" s="26" t="str">
        <f aca="false">IF($A118="","",INDEX(Employees!$AB$6:$AB$205,MATCH($A118,Employees!$BI$6:$BI$205,0)))</f>
        <v/>
      </c>
      <c r="K118" s="26" t="str">
        <f aca="false">IF($A118="","",INDEX(Employees!$AI$6:$AI$205,MATCH($A118,Employees!$BI$6:$BI$205,0)))</f>
        <v/>
      </c>
      <c r="L118" s="26" t="str">
        <f aca="false">IF($A118="","",INDEX(Employees!$AK$6:$AK$205,MATCH($A118,Employees!$BI$6:$BI$205,0)))</f>
        <v/>
      </c>
      <c r="M118" s="11" t="str">
        <f aca="false">IF($A118="","",INDEX(Employees!$AM$6:$AM$205,MATCH($A118,Employees!$BI$6:$BI$205,0)))</f>
        <v/>
      </c>
      <c r="N118" s="11" t="str">
        <f aca="false">IF($A118="","",INDEX(Employees!$AN$6:$AN$205,MATCH($A118,Employees!$BI$6:$BI$205,0)))</f>
        <v/>
      </c>
    </row>
    <row r="119" customFormat="false" ht="15" hidden="false" customHeight="false" outlineLevel="0" collapsed="false">
      <c r="A119" s="11" t="str">
        <f aca="false">IF(114&lt;=MAX(Employees!$BI$6:$BI$205),114,"")</f>
        <v/>
      </c>
      <c r="B119" s="11" t="str">
        <f aca="false">IF($A119="","",INDEX(Employees!$A$6:$A$205,MATCH($A119,Employees!$BI$6:$BI$205,0)))</f>
        <v/>
      </c>
      <c r="C119" s="11" t="str">
        <f aca="false">IF($A119="","",INDEX(Employees!$B$6:$B$205,MATCH($A119,Employees!$BI$6:$BI$205,0)))</f>
        <v/>
      </c>
      <c r="D119" s="11" t="str">
        <f aca="false">IF($A119="","",INDEX(Employees!$C$6:$C$205,MATCH($A119,Employees!$BI$6:$BI$205,0)))</f>
        <v/>
      </c>
      <c r="E119" s="11" t="str">
        <f aca="false">IF($A119="","",INDEX(Employees!$D$6:$D$205,MATCH($A119,Employees!$BI$6:$BI$205,0)))</f>
        <v/>
      </c>
      <c r="F119" s="11" t="str">
        <f aca="false">IF($A119="","",INDEX(Employees!$T$6:$T$205,MATCH($A119,Employees!$BI$6:$BI$205,0)))</f>
        <v/>
      </c>
      <c r="G119" s="26" t="str">
        <f aca="false">IF($A119="","",INDEX(Employees!$U$6:$U$205,MATCH($A119,Employees!$BI$6:$BI$205,0)))</f>
        <v/>
      </c>
      <c r="H119" s="28" t="str">
        <f aca="false">IF($A119="","",INDEX(Employees!$E$6:$E$205,MATCH($A119,Employees!$BI$6:$BI$205,0)))</f>
        <v/>
      </c>
      <c r="I119" s="11" t="str">
        <f aca="false">IF($A119="","",INDEX(Employees!$Z$6:$Z$205,MATCH($A119,Employees!$BI$6:$BI$205,0)))</f>
        <v/>
      </c>
      <c r="J119" s="26" t="str">
        <f aca="false">IF($A119="","",INDEX(Employees!$AB$6:$AB$205,MATCH($A119,Employees!$BI$6:$BI$205,0)))</f>
        <v/>
      </c>
      <c r="K119" s="26" t="str">
        <f aca="false">IF($A119="","",INDEX(Employees!$AI$6:$AI$205,MATCH($A119,Employees!$BI$6:$BI$205,0)))</f>
        <v/>
      </c>
      <c r="L119" s="26" t="str">
        <f aca="false">IF($A119="","",INDEX(Employees!$AK$6:$AK$205,MATCH($A119,Employees!$BI$6:$BI$205,0)))</f>
        <v/>
      </c>
      <c r="M119" s="11" t="str">
        <f aca="false">IF($A119="","",INDEX(Employees!$AM$6:$AM$205,MATCH($A119,Employees!$BI$6:$BI$205,0)))</f>
        <v/>
      </c>
      <c r="N119" s="11" t="str">
        <f aca="false">IF($A119="","",INDEX(Employees!$AN$6:$AN$205,MATCH($A119,Employees!$BI$6:$BI$205,0)))</f>
        <v/>
      </c>
    </row>
    <row r="120" customFormat="false" ht="15" hidden="false" customHeight="false" outlineLevel="0" collapsed="false">
      <c r="A120" s="11" t="str">
        <f aca="false">IF(115&lt;=MAX(Employees!$BI$6:$BI$205),115,"")</f>
        <v/>
      </c>
      <c r="B120" s="11" t="str">
        <f aca="false">IF($A120="","",INDEX(Employees!$A$6:$A$205,MATCH($A120,Employees!$BI$6:$BI$205,0)))</f>
        <v/>
      </c>
      <c r="C120" s="11" t="str">
        <f aca="false">IF($A120="","",INDEX(Employees!$B$6:$B$205,MATCH($A120,Employees!$BI$6:$BI$205,0)))</f>
        <v/>
      </c>
      <c r="D120" s="11" t="str">
        <f aca="false">IF($A120="","",INDEX(Employees!$C$6:$C$205,MATCH($A120,Employees!$BI$6:$BI$205,0)))</f>
        <v/>
      </c>
      <c r="E120" s="11" t="str">
        <f aca="false">IF($A120="","",INDEX(Employees!$D$6:$D$205,MATCH($A120,Employees!$BI$6:$BI$205,0)))</f>
        <v/>
      </c>
      <c r="F120" s="11" t="str">
        <f aca="false">IF($A120="","",INDEX(Employees!$T$6:$T$205,MATCH($A120,Employees!$BI$6:$BI$205,0)))</f>
        <v/>
      </c>
      <c r="G120" s="26" t="str">
        <f aca="false">IF($A120="","",INDEX(Employees!$U$6:$U$205,MATCH($A120,Employees!$BI$6:$BI$205,0)))</f>
        <v/>
      </c>
      <c r="H120" s="28" t="str">
        <f aca="false">IF($A120="","",INDEX(Employees!$E$6:$E$205,MATCH($A120,Employees!$BI$6:$BI$205,0)))</f>
        <v/>
      </c>
      <c r="I120" s="11" t="str">
        <f aca="false">IF($A120="","",INDEX(Employees!$Z$6:$Z$205,MATCH($A120,Employees!$BI$6:$BI$205,0)))</f>
        <v/>
      </c>
      <c r="J120" s="26" t="str">
        <f aca="false">IF($A120="","",INDEX(Employees!$AB$6:$AB$205,MATCH($A120,Employees!$BI$6:$BI$205,0)))</f>
        <v/>
      </c>
      <c r="K120" s="26" t="str">
        <f aca="false">IF($A120="","",INDEX(Employees!$AI$6:$AI$205,MATCH($A120,Employees!$BI$6:$BI$205,0)))</f>
        <v/>
      </c>
      <c r="L120" s="26" t="str">
        <f aca="false">IF($A120="","",INDEX(Employees!$AK$6:$AK$205,MATCH($A120,Employees!$BI$6:$BI$205,0)))</f>
        <v/>
      </c>
      <c r="M120" s="11" t="str">
        <f aca="false">IF($A120="","",INDEX(Employees!$AM$6:$AM$205,MATCH($A120,Employees!$BI$6:$BI$205,0)))</f>
        <v/>
      </c>
      <c r="N120" s="11" t="str">
        <f aca="false">IF($A120="","",INDEX(Employees!$AN$6:$AN$205,MATCH($A120,Employees!$BI$6:$BI$205,0)))</f>
        <v/>
      </c>
    </row>
    <row r="121" customFormat="false" ht="15" hidden="false" customHeight="false" outlineLevel="0" collapsed="false">
      <c r="A121" s="11" t="str">
        <f aca="false">IF(116&lt;=MAX(Employees!$BI$6:$BI$205),116,"")</f>
        <v/>
      </c>
      <c r="B121" s="11" t="str">
        <f aca="false">IF($A121="","",INDEX(Employees!$A$6:$A$205,MATCH($A121,Employees!$BI$6:$BI$205,0)))</f>
        <v/>
      </c>
      <c r="C121" s="11" t="str">
        <f aca="false">IF($A121="","",INDEX(Employees!$B$6:$B$205,MATCH($A121,Employees!$BI$6:$BI$205,0)))</f>
        <v/>
      </c>
      <c r="D121" s="11" t="str">
        <f aca="false">IF($A121="","",INDEX(Employees!$C$6:$C$205,MATCH($A121,Employees!$BI$6:$BI$205,0)))</f>
        <v/>
      </c>
      <c r="E121" s="11" t="str">
        <f aca="false">IF($A121="","",INDEX(Employees!$D$6:$D$205,MATCH($A121,Employees!$BI$6:$BI$205,0)))</f>
        <v/>
      </c>
      <c r="F121" s="11" t="str">
        <f aca="false">IF($A121="","",INDEX(Employees!$T$6:$T$205,MATCH($A121,Employees!$BI$6:$BI$205,0)))</f>
        <v/>
      </c>
      <c r="G121" s="26" t="str">
        <f aca="false">IF($A121="","",INDEX(Employees!$U$6:$U$205,MATCH($A121,Employees!$BI$6:$BI$205,0)))</f>
        <v/>
      </c>
      <c r="H121" s="28" t="str">
        <f aca="false">IF($A121="","",INDEX(Employees!$E$6:$E$205,MATCH($A121,Employees!$BI$6:$BI$205,0)))</f>
        <v/>
      </c>
      <c r="I121" s="11" t="str">
        <f aca="false">IF($A121="","",INDEX(Employees!$Z$6:$Z$205,MATCH($A121,Employees!$BI$6:$BI$205,0)))</f>
        <v/>
      </c>
      <c r="J121" s="26" t="str">
        <f aca="false">IF($A121="","",INDEX(Employees!$AB$6:$AB$205,MATCH($A121,Employees!$BI$6:$BI$205,0)))</f>
        <v/>
      </c>
      <c r="K121" s="26" t="str">
        <f aca="false">IF($A121="","",INDEX(Employees!$AI$6:$AI$205,MATCH($A121,Employees!$BI$6:$BI$205,0)))</f>
        <v/>
      </c>
      <c r="L121" s="26" t="str">
        <f aca="false">IF($A121="","",INDEX(Employees!$AK$6:$AK$205,MATCH($A121,Employees!$BI$6:$BI$205,0)))</f>
        <v/>
      </c>
      <c r="M121" s="11" t="str">
        <f aca="false">IF($A121="","",INDEX(Employees!$AM$6:$AM$205,MATCH($A121,Employees!$BI$6:$BI$205,0)))</f>
        <v/>
      </c>
      <c r="N121" s="11" t="str">
        <f aca="false">IF($A121="","",INDEX(Employees!$AN$6:$AN$205,MATCH($A121,Employees!$BI$6:$BI$205,0)))</f>
        <v/>
      </c>
    </row>
    <row r="122" customFormat="false" ht="15" hidden="false" customHeight="false" outlineLevel="0" collapsed="false">
      <c r="A122" s="11" t="str">
        <f aca="false">IF(117&lt;=MAX(Employees!$BI$6:$BI$205),117,"")</f>
        <v/>
      </c>
      <c r="B122" s="11" t="str">
        <f aca="false">IF($A122="","",INDEX(Employees!$A$6:$A$205,MATCH($A122,Employees!$BI$6:$BI$205,0)))</f>
        <v/>
      </c>
      <c r="C122" s="11" t="str">
        <f aca="false">IF($A122="","",INDEX(Employees!$B$6:$B$205,MATCH($A122,Employees!$BI$6:$BI$205,0)))</f>
        <v/>
      </c>
      <c r="D122" s="11" t="str">
        <f aca="false">IF($A122="","",INDEX(Employees!$C$6:$C$205,MATCH($A122,Employees!$BI$6:$BI$205,0)))</f>
        <v/>
      </c>
      <c r="E122" s="11" t="str">
        <f aca="false">IF($A122="","",INDEX(Employees!$D$6:$D$205,MATCH($A122,Employees!$BI$6:$BI$205,0)))</f>
        <v/>
      </c>
      <c r="F122" s="11" t="str">
        <f aca="false">IF($A122="","",INDEX(Employees!$T$6:$T$205,MATCH($A122,Employees!$BI$6:$BI$205,0)))</f>
        <v/>
      </c>
      <c r="G122" s="26" t="str">
        <f aca="false">IF($A122="","",INDEX(Employees!$U$6:$U$205,MATCH($A122,Employees!$BI$6:$BI$205,0)))</f>
        <v/>
      </c>
      <c r="H122" s="28" t="str">
        <f aca="false">IF($A122="","",INDEX(Employees!$E$6:$E$205,MATCH($A122,Employees!$BI$6:$BI$205,0)))</f>
        <v/>
      </c>
      <c r="I122" s="11" t="str">
        <f aca="false">IF($A122="","",INDEX(Employees!$Z$6:$Z$205,MATCH($A122,Employees!$BI$6:$BI$205,0)))</f>
        <v/>
      </c>
      <c r="J122" s="26" t="str">
        <f aca="false">IF($A122="","",INDEX(Employees!$AB$6:$AB$205,MATCH($A122,Employees!$BI$6:$BI$205,0)))</f>
        <v/>
      </c>
      <c r="K122" s="26" t="str">
        <f aca="false">IF($A122="","",INDEX(Employees!$AI$6:$AI$205,MATCH($A122,Employees!$BI$6:$BI$205,0)))</f>
        <v/>
      </c>
      <c r="L122" s="26" t="str">
        <f aca="false">IF($A122="","",INDEX(Employees!$AK$6:$AK$205,MATCH($A122,Employees!$BI$6:$BI$205,0)))</f>
        <v/>
      </c>
      <c r="M122" s="11" t="str">
        <f aca="false">IF($A122="","",INDEX(Employees!$AM$6:$AM$205,MATCH($A122,Employees!$BI$6:$BI$205,0)))</f>
        <v/>
      </c>
      <c r="N122" s="11" t="str">
        <f aca="false">IF($A122="","",INDEX(Employees!$AN$6:$AN$205,MATCH($A122,Employees!$BI$6:$BI$205,0)))</f>
        <v/>
      </c>
    </row>
    <row r="123" customFormat="false" ht="15" hidden="false" customHeight="false" outlineLevel="0" collapsed="false">
      <c r="A123" s="11" t="str">
        <f aca="false">IF(118&lt;=MAX(Employees!$BI$6:$BI$205),118,"")</f>
        <v/>
      </c>
      <c r="B123" s="11" t="str">
        <f aca="false">IF($A123="","",INDEX(Employees!$A$6:$A$205,MATCH($A123,Employees!$BI$6:$BI$205,0)))</f>
        <v/>
      </c>
      <c r="C123" s="11" t="str">
        <f aca="false">IF($A123="","",INDEX(Employees!$B$6:$B$205,MATCH($A123,Employees!$BI$6:$BI$205,0)))</f>
        <v/>
      </c>
      <c r="D123" s="11" t="str">
        <f aca="false">IF($A123="","",INDEX(Employees!$C$6:$C$205,MATCH($A123,Employees!$BI$6:$BI$205,0)))</f>
        <v/>
      </c>
      <c r="E123" s="11" t="str">
        <f aca="false">IF($A123="","",INDEX(Employees!$D$6:$D$205,MATCH($A123,Employees!$BI$6:$BI$205,0)))</f>
        <v/>
      </c>
      <c r="F123" s="11" t="str">
        <f aca="false">IF($A123="","",INDEX(Employees!$T$6:$T$205,MATCH($A123,Employees!$BI$6:$BI$205,0)))</f>
        <v/>
      </c>
      <c r="G123" s="26" t="str">
        <f aca="false">IF($A123="","",INDEX(Employees!$U$6:$U$205,MATCH($A123,Employees!$BI$6:$BI$205,0)))</f>
        <v/>
      </c>
      <c r="H123" s="28" t="str">
        <f aca="false">IF($A123="","",INDEX(Employees!$E$6:$E$205,MATCH($A123,Employees!$BI$6:$BI$205,0)))</f>
        <v/>
      </c>
      <c r="I123" s="11" t="str">
        <f aca="false">IF($A123="","",INDEX(Employees!$Z$6:$Z$205,MATCH($A123,Employees!$BI$6:$BI$205,0)))</f>
        <v/>
      </c>
      <c r="J123" s="26" t="str">
        <f aca="false">IF($A123="","",INDEX(Employees!$AB$6:$AB$205,MATCH($A123,Employees!$BI$6:$BI$205,0)))</f>
        <v/>
      </c>
      <c r="K123" s="26" t="str">
        <f aca="false">IF($A123="","",INDEX(Employees!$AI$6:$AI$205,MATCH($A123,Employees!$BI$6:$BI$205,0)))</f>
        <v/>
      </c>
      <c r="L123" s="26" t="str">
        <f aca="false">IF($A123="","",INDEX(Employees!$AK$6:$AK$205,MATCH($A123,Employees!$BI$6:$BI$205,0)))</f>
        <v/>
      </c>
      <c r="M123" s="11" t="str">
        <f aca="false">IF($A123="","",INDEX(Employees!$AM$6:$AM$205,MATCH($A123,Employees!$BI$6:$BI$205,0)))</f>
        <v/>
      </c>
      <c r="N123" s="11" t="str">
        <f aca="false">IF($A123="","",INDEX(Employees!$AN$6:$AN$205,MATCH($A123,Employees!$BI$6:$BI$205,0)))</f>
        <v/>
      </c>
    </row>
    <row r="124" customFormat="false" ht="15" hidden="false" customHeight="false" outlineLevel="0" collapsed="false">
      <c r="A124" s="11" t="str">
        <f aca="false">IF(119&lt;=MAX(Employees!$BI$6:$BI$205),119,"")</f>
        <v/>
      </c>
      <c r="B124" s="11" t="str">
        <f aca="false">IF($A124="","",INDEX(Employees!$A$6:$A$205,MATCH($A124,Employees!$BI$6:$BI$205,0)))</f>
        <v/>
      </c>
      <c r="C124" s="11" t="str">
        <f aca="false">IF($A124="","",INDEX(Employees!$B$6:$B$205,MATCH($A124,Employees!$BI$6:$BI$205,0)))</f>
        <v/>
      </c>
      <c r="D124" s="11" t="str">
        <f aca="false">IF($A124="","",INDEX(Employees!$C$6:$C$205,MATCH($A124,Employees!$BI$6:$BI$205,0)))</f>
        <v/>
      </c>
      <c r="E124" s="11" t="str">
        <f aca="false">IF($A124="","",INDEX(Employees!$D$6:$D$205,MATCH($A124,Employees!$BI$6:$BI$205,0)))</f>
        <v/>
      </c>
      <c r="F124" s="11" t="str">
        <f aca="false">IF($A124="","",INDEX(Employees!$T$6:$T$205,MATCH($A124,Employees!$BI$6:$BI$205,0)))</f>
        <v/>
      </c>
      <c r="G124" s="26" t="str">
        <f aca="false">IF($A124="","",INDEX(Employees!$U$6:$U$205,MATCH($A124,Employees!$BI$6:$BI$205,0)))</f>
        <v/>
      </c>
      <c r="H124" s="28" t="str">
        <f aca="false">IF($A124="","",INDEX(Employees!$E$6:$E$205,MATCH($A124,Employees!$BI$6:$BI$205,0)))</f>
        <v/>
      </c>
      <c r="I124" s="11" t="str">
        <f aca="false">IF($A124="","",INDEX(Employees!$Z$6:$Z$205,MATCH($A124,Employees!$BI$6:$BI$205,0)))</f>
        <v/>
      </c>
      <c r="J124" s="26" t="str">
        <f aca="false">IF($A124="","",INDEX(Employees!$AB$6:$AB$205,MATCH($A124,Employees!$BI$6:$BI$205,0)))</f>
        <v/>
      </c>
      <c r="K124" s="26" t="str">
        <f aca="false">IF($A124="","",INDEX(Employees!$AI$6:$AI$205,MATCH($A124,Employees!$BI$6:$BI$205,0)))</f>
        <v/>
      </c>
      <c r="L124" s="26" t="str">
        <f aca="false">IF($A124="","",INDEX(Employees!$AK$6:$AK$205,MATCH($A124,Employees!$BI$6:$BI$205,0)))</f>
        <v/>
      </c>
      <c r="M124" s="11" t="str">
        <f aca="false">IF($A124="","",INDEX(Employees!$AM$6:$AM$205,MATCH($A124,Employees!$BI$6:$BI$205,0)))</f>
        <v/>
      </c>
      <c r="N124" s="11" t="str">
        <f aca="false">IF($A124="","",INDEX(Employees!$AN$6:$AN$205,MATCH($A124,Employees!$BI$6:$BI$205,0)))</f>
        <v/>
      </c>
    </row>
    <row r="125" customFormat="false" ht="15" hidden="false" customHeight="false" outlineLevel="0" collapsed="false">
      <c r="A125" s="11" t="str">
        <f aca="false">IF(120&lt;=MAX(Employees!$BI$6:$BI$205),120,"")</f>
        <v/>
      </c>
      <c r="B125" s="11" t="str">
        <f aca="false">IF($A125="","",INDEX(Employees!$A$6:$A$205,MATCH($A125,Employees!$BI$6:$BI$205,0)))</f>
        <v/>
      </c>
      <c r="C125" s="11" t="str">
        <f aca="false">IF($A125="","",INDEX(Employees!$B$6:$B$205,MATCH($A125,Employees!$BI$6:$BI$205,0)))</f>
        <v/>
      </c>
      <c r="D125" s="11" t="str">
        <f aca="false">IF($A125="","",INDEX(Employees!$C$6:$C$205,MATCH($A125,Employees!$BI$6:$BI$205,0)))</f>
        <v/>
      </c>
      <c r="E125" s="11" t="str">
        <f aca="false">IF($A125="","",INDEX(Employees!$D$6:$D$205,MATCH($A125,Employees!$BI$6:$BI$205,0)))</f>
        <v/>
      </c>
      <c r="F125" s="11" t="str">
        <f aca="false">IF($A125="","",INDEX(Employees!$T$6:$T$205,MATCH($A125,Employees!$BI$6:$BI$205,0)))</f>
        <v/>
      </c>
      <c r="G125" s="26" t="str">
        <f aca="false">IF($A125="","",INDEX(Employees!$U$6:$U$205,MATCH($A125,Employees!$BI$6:$BI$205,0)))</f>
        <v/>
      </c>
      <c r="H125" s="28" t="str">
        <f aca="false">IF($A125="","",INDEX(Employees!$E$6:$E$205,MATCH($A125,Employees!$BI$6:$BI$205,0)))</f>
        <v/>
      </c>
      <c r="I125" s="11" t="str">
        <f aca="false">IF($A125="","",INDEX(Employees!$Z$6:$Z$205,MATCH($A125,Employees!$BI$6:$BI$205,0)))</f>
        <v/>
      </c>
      <c r="J125" s="26" t="str">
        <f aca="false">IF($A125="","",INDEX(Employees!$AB$6:$AB$205,MATCH($A125,Employees!$BI$6:$BI$205,0)))</f>
        <v/>
      </c>
      <c r="K125" s="26" t="str">
        <f aca="false">IF($A125="","",INDEX(Employees!$AI$6:$AI$205,MATCH($A125,Employees!$BI$6:$BI$205,0)))</f>
        <v/>
      </c>
      <c r="L125" s="26" t="str">
        <f aca="false">IF($A125="","",INDEX(Employees!$AK$6:$AK$205,MATCH($A125,Employees!$BI$6:$BI$205,0)))</f>
        <v/>
      </c>
      <c r="M125" s="11" t="str">
        <f aca="false">IF($A125="","",INDEX(Employees!$AM$6:$AM$205,MATCH($A125,Employees!$BI$6:$BI$205,0)))</f>
        <v/>
      </c>
      <c r="N125" s="11" t="str">
        <f aca="false">IF($A125="","",INDEX(Employees!$AN$6:$AN$205,MATCH($A125,Employees!$BI$6:$BI$205,0)))</f>
        <v/>
      </c>
    </row>
    <row r="126" customFormat="false" ht="15" hidden="false" customHeight="false" outlineLevel="0" collapsed="false">
      <c r="A126" s="11" t="str">
        <f aca="false">IF(121&lt;=MAX(Employees!$BI$6:$BI$205),121,"")</f>
        <v/>
      </c>
      <c r="B126" s="11" t="str">
        <f aca="false">IF($A126="","",INDEX(Employees!$A$6:$A$205,MATCH($A126,Employees!$BI$6:$BI$205,0)))</f>
        <v/>
      </c>
      <c r="C126" s="11" t="str">
        <f aca="false">IF($A126="","",INDEX(Employees!$B$6:$B$205,MATCH($A126,Employees!$BI$6:$BI$205,0)))</f>
        <v/>
      </c>
      <c r="D126" s="11" t="str">
        <f aca="false">IF($A126="","",INDEX(Employees!$C$6:$C$205,MATCH($A126,Employees!$BI$6:$BI$205,0)))</f>
        <v/>
      </c>
      <c r="E126" s="11" t="str">
        <f aca="false">IF($A126="","",INDEX(Employees!$D$6:$D$205,MATCH($A126,Employees!$BI$6:$BI$205,0)))</f>
        <v/>
      </c>
      <c r="F126" s="11" t="str">
        <f aca="false">IF($A126="","",INDEX(Employees!$T$6:$T$205,MATCH($A126,Employees!$BI$6:$BI$205,0)))</f>
        <v/>
      </c>
      <c r="G126" s="26" t="str">
        <f aca="false">IF($A126="","",INDEX(Employees!$U$6:$U$205,MATCH($A126,Employees!$BI$6:$BI$205,0)))</f>
        <v/>
      </c>
      <c r="H126" s="28" t="str">
        <f aca="false">IF($A126="","",INDEX(Employees!$E$6:$E$205,MATCH($A126,Employees!$BI$6:$BI$205,0)))</f>
        <v/>
      </c>
      <c r="I126" s="11" t="str">
        <f aca="false">IF($A126="","",INDEX(Employees!$Z$6:$Z$205,MATCH($A126,Employees!$BI$6:$BI$205,0)))</f>
        <v/>
      </c>
      <c r="J126" s="26" t="str">
        <f aca="false">IF($A126="","",INDEX(Employees!$AB$6:$AB$205,MATCH($A126,Employees!$BI$6:$BI$205,0)))</f>
        <v/>
      </c>
      <c r="K126" s="26" t="str">
        <f aca="false">IF($A126="","",INDEX(Employees!$AI$6:$AI$205,MATCH($A126,Employees!$BI$6:$BI$205,0)))</f>
        <v/>
      </c>
      <c r="L126" s="26" t="str">
        <f aca="false">IF($A126="","",INDEX(Employees!$AK$6:$AK$205,MATCH($A126,Employees!$BI$6:$BI$205,0)))</f>
        <v/>
      </c>
      <c r="M126" s="11" t="str">
        <f aca="false">IF($A126="","",INDEX(Employees!$AM$6:$AM$205,MATCH($A126,Employees!$BI$6:$BI$205,0)))</f>
        <v/>
      </c>
      <c r="N126" s="11" t="str">
        <f aca="false">IF($A126="","",INDEX(Employees!$AN$6:$AN$205,MATCH($A126,Employees!$BI$6:$BI$205,0)))</f>
        <v/>
      </c>
    </row>
    <row r="127" customFormat="false" ht="15" hidden="false" customHeight="false" outlineLevel="0" collapsed="false">
      <c r="A127" s="11" t="str">
        <f aca="false">IF(122&lt;=MAX(Employees!$BI$6:$BI$205),122,"")</f>
        <v/>
      </c>
      <c r="B127" s="11" t="str">
        <f aca="false">IF($A127="","",INDEX(Employees!$A$6:$A$205,MATCH($A127,Employees!$BI$6:$BI$205,0)))</f>
        <v/>
      </c>
      <c r="C127" s="11" t="str">
        <f aca="false">IF($A127="","",INDEX(Employees!$B$6:$B$205,MATCH($A127,Employees!$BI$6:$BI$205,0)))</f>
        <v/>
      </c>
      <c r="D127" s="11" t="str">
        <f aca="false">IF($A127="","",INDEX(Employees!$C$6:$C$205,MATCH($A127,Employees!$BI$6:$BI$205,0)))</f>
        <v/>
      </c>
      <c r="E127" s="11" t="str">
        <f aca="false">IF($A127="","",INDEX(Employees!$D$6:$D$205,MATCH($A127,Employees!$BI$6:$BI$205,0)))</f>
        <v/>
      </c>
      <c r="F127" s="11" t="str">
        <f aca="false">IF($A127="","",INDEX(Employees!$T$6:$T$205,MATCH($A127,Employees!$BI$6:$BI$205,0)))</f>
        <v/>
      </c>
      <c r="G127" s="26" t="str">
        <f aca="false">IF($A127="","",INDEX(Employees!$U$6:$U$205,MATCH($A127,Employees!$BI$6:$BI$205,0)))</f>
        <v/>
      </c>
      <c r="H127" s="28" t="str">
        <f aca="false">IF($A127="","",INDEX(Employees!$E$6:$E$205,MATCH($A127,Employees!$BI$6:$BI$205,0)))</f>
        <v/>
      </c>
      <c r="I127" s="11" t="str">
        <f aca="false">IF($A127="","",INDEX(Employees!$Z$6:$Z$205,MATCH($A127,Employees!$BI$6:$BI$205,0)))</f>
        <v/>
      </c>
      <c r="J127" s="26" t="str">
        <f aca="false">IF($A127="","",INDEX(Employees!$AB$6:$AB$205,MATCH($A127,Employees!$BI$6:$BI$205,0)))</f>
        <v/>
      </c>
      <c r="K127" s="26" t="str">
        <f aca="false">IF($A127="","",INDEX(Employees!$AI$6:$AI$205,MATCH($A127,Employees!$BI$6:$BI$205,0)))</f>
        <v/>
      </c>
      <c r="L127" s="26" t="str">
        <f aca="false">IF($A127="","",INDEX(Employees!$AK$6:$AK$205,MATCH($A127,Employees!$BI$6:$BI$205,0)))</f>
        <v/>
      </c>
      <c r="M127" s="11" t="str">
        <f aca="false">IF($A127="","",INDEX(Employees!$AM$6:$AM$205,MATCH($A127,Employees!$BI$6:$BI$205,0)))</f>
        <v/>
      </c>
      <c r="N127" s="11" t="str">
        <f aca="false">IF($A127="","",INDEX(Employees!$AN$6:$AN$205,MATCH($A127,Employees!$BI$6:$BI$205,0)))</f>
        <v/>
      </c>
    </row>
    <row r="128" customFormat="false" ht="15" hidden="false" customHeight="false" outlineLevel="0" collapsed="false">
      <c r="A128" s="11" t="str">
        <f aca="false">IF(123&lt;=MAX(Employees!$BI$6:$BI$205),123,"")</f>
        <v/>
      </c>
      <c r="B128" s="11" t="str">
        <f aca="false">IF($A128="","",INDEX(Employees!$A$6:$A$205,MATCH($A128,Employees!$BI$6:$BI$205,0)))</f>
        <v/>
      </c>
      <c r="C128" s="11" t="str">
        <f aca="false">IF($A128="","",INDEX(Employees!$B$6:$B$205,MATCH($A128,Employees!$BI$6:$BI$205,0)))</f>
        <v/>
      </c>
      <c r="D128" s="11" t="str">
        <f aca="false">IF($A128="","",INDEX(Employees!$C$6:$C$205,MATCH($A128,Employees!$BI$6:$BI$205,0)))</f>
        <v/>
      </c>
      <c r="E128" s="11" t="str">
        <f aca="false">IF($A128="","",INDEX(Employees!$D$6:$D$205,MATCH($A128,Employees!$BI$6:$BI$205,0)))</f>
        <v/>
      </c>
      <c r="F128" s="11" t="str">
        <f aca="false">IF($A128="","",INDEX(Employees!$T$6:$T$205,MATCH($A128,Employees!$BI$6:$BI$205,0)))</f>
        <v/>
      </c>
      <c r="G128" s="26" t="str">
        <f aca="false">IF($A128="","",INDEX(Employees!$U$6:$U$205,MATCH($A128,Employees!$BI$6:$BI$205,0)))</f>
        <v/>
      </c>
      <c r="H128" s="28" t="str">
        <f aca="false">IF($A128="","",INDEX(Employees!$E$6:$E$205,MATCH($A128,Employees!$BI$6:$BI$205,0)))</f>
        <v/>
      </c>
      <c r="I128" s="11" t="str">
        <f aca="false">IF($A128="","",INDEX(Employees!$Z$6:$Z$205,MATCH($A128,Employees!$BI$6:$BI$205,0)))</f>
        <v/>
      </c>
      <c r="J128" s="26" t="str">
        <f aca="false">IF($A128="","",INDEX(Employees!$AB$6:$AB$205,MATCH($A128,Employees!$BI$6:$BI$205,0)))</f>
        <v/>
      </c>
      <c r="K128" s="26" t="str">
        <f aca="false">IF($A128="","",INDEX(Employees!$AI$6:$AI$205,MATCH($A128,Employees!$BI$6:$BI$205,0)))</f>
        <v/>
      </c>
      <c r="L128" s="26" t="str">
        <f aca="false">IF($A128="","",INDEX(Employees!$AK$6:$AK$205,MATCH($A128,Employees!$BI$6:$BI$205,0)))</f>
        <v/>
      </c>
      <c r="M128" s="11" t="str">
        <f aca="false">IF($A128="","",INDEX(Employees!$AM$6:$AM$205,MATCH($A128,Employees!$BI$6:$BI$205,0)))</f>
        <v/>
      </c>
      <c r="N128" s="11" t="str">
        <f aca="false">IF($A128="","",INDEX(Employees!$AN$6:$AN$205,MATCH($A128,Employees!$BI$6:$BI$205,0)))</f>
        <v/>
      </c>
    </row>
    <row r="129" customFormat="false" ht="15" hidden="false" customHeight="false" outlineLevel="0" collapsed="false">
      <c r="A129" s="11" t="str">
        <f aca="false">IF(124&lt;=MAX(Employees!$BI$6:$BI$205),124,"")</f>
        <v/>
      </c>
      <c r="B129" s="11" t="str">
        <f aca="false">IF($A129="","",INDEX(Employees!$A$6:$A$205,MATCH($A129,Employees!$BI$6:$BI$205,0)))</f>
        <v/>
      </c>
      <c r="C129" s="11" t="str">
        <f aca="false">IF($A129="","",INDEX(Employees!$B$6:$B$205,MATCH($A129,Employees!$BI$6:$BI$205,0)))</f>
        <v/>
      </c>
      <c r="D129" s="11" t="str">
        <f aca="false">IF($A129="","",INDEX(Employees!$C$6:$C$205,MATCH($A129,Employees!$BI$6:$BI$205,0)))</f>
        <v/>
      </c>
      <c r="E129" s="11" t="str">
        <f aca="false">IF($A129="","",INDEX(Employees!$D$6:$D$205,MATCH($A129,Employees!$BI$6:$BI$205,0)))</f>
        <v/>
      </c>
      <c r="F129" s="11" t="str">
        <f aca="false">IF($A129="","",INDEX(Employees!$T$6:$T$205,MATCH($A129,Employees!$BI$6:$BI$205,0)))</f>
        <v/>
      </c>
      <c r="G129" s="26" t="str">
        <f aca="false">IF($A129="","",INDEX(Employees!$U$6:$U$205,MATCH($A129,Employees!$BI$6:$BI$205,0)))</f>
        <v/>
      </c>
      <c r="H129" s="28" t="str">
        <f aca="false">IF($A129="","",INDEX(Employees!$E$6:$E$205,MATCH($A129,Employees!$BI$6:$BI$205,0)))</f>
        <v/>
      </c>
      <c r="I129" s="11" t="str">
        <f aca="false">IF($A129="","",INDEX(Employees!$Z$6:$Z$205,MATCH($A129,Employees!$BI$6:$BI$205,0)))</f>
        <v/>
      </c>
      <c r="J129" s="26" t="str">
        <f aca="false">IF($A129="","",INDEX(Employees!$AB$6:$AB$205,MATCH($A129,Employees!$BI$6:$BI$205,0)))</f>
        <v/>
      </c>
      <c r="K129" s="26" t="str">
        <f aca="false">IF($A129="","",INDEX(Employees!$AI$6:$AI$205,MATCH($A129,Employees!$BI$6:$BI$205,0)))</f>
        <v/>
      </c>
      <c r="L129" s="26" t="str">
        <f aca="false">IF($A129="","",INDEX(Employees!$AK$6:$AK$205,MATCH($A129,Employees!$BI$6:$BI$205,0)))</f>
        <v/>
      </c>
      <c r="M129" s="11" t="str">
        <f aca="false">IF($A129="","",INDEX(Employees!$AM$6:$AM$205,MATCH($A129,Employees!$BI$6:$BI$205,0)))</f>
        <v/>
      </c>
      <c r="N129" s="11" t="str">
        <f aca="false">IF($A129="","",INDEX(Employees!$AN$6:$AN$205,MATCH($A129,Employees!$BI$6:$BI$205,0)))</f>
        <v/>
      </c>
    </row>
    <row r="130" customFormat="false" ht="15" hidden="false" customHeight="false" outlineLevel="0" collapsed="false">
      <c r="A130" s="11" t="str">
        <f aca="false">IF(125&lt;=MAX(Employees!$BI$6:$BI$205),125,"")</f>
        <v/>
      </c>
      <c r="B130" s="11" t="str">
        <f aca="false">IF($A130="","",INDEX(Employees!$A$6:$A$205,MATCH($A130,Employees!$BI$6:$BI$205,0)))</f>
        <v/>
      </c>
      <c r="C130" s="11" t="str">
        <f aca="false">IF($A130="","",INDEX(Employees!$B$6:$B$205,MATCH($A130,Employees!$BI$6:$BI$205,0)))</f>
        <v/>
      </c>
      <c r="D130" s="11" t="str">
        <f aca="false">IF($A130="","",INDEX(Employees!$C$6:$C$205,MATCH($A130,Employees!$BI$6:$BI$205,0)))</f>
        <v/>
      </c>
      <c r="E130" s="11" t="str">
        <f aca="false">IF($A130="","",INDEX(Employees!$D$6:$D$205,MATCH($A130,Employees!$BI$6:$BI$205,0)))</f>
        <v/>
      </c>
      <c r="F130" s="11" t="str">
        <f aca="false">IF($A130="","",INDEX(Employees!$T$6:$T$205,MATCH($A130,Employees!$BI$6:$BI$205,0)))</f>
        <v/>
      </c>
      <c r="G130" s="26" t="str">
        <f aca="false">IF($A130="","",INDEX(Employees!$U$6:$U$205,MATCH($A130,Employees!$BI$6:$BI$205,0)))</f>
        <v/>
      </c>
      <c r="H130" s="28" t="str">
        <f aca="false">IF($A130="","",INDEX(Employees!$E$6:$E$205,MATCH($A130,Employees!$BI$6:$BI$205,0)))</f>
        <v/>
      </c>
      <c r="I130" s="11" t="str">
        <f aca="false">IF($A130="","",INDEX(Employees!$Z$6:$Z$205,MATCH($A130,Employees!$BI$6:$BI$205,0)))</f>
        <v/>
      </c>
      <c r="J130" s="26" t="str">
        <f aca="false">IF($A130="","",INDEX(Employees!$AB$6:$AB$205,MATCH($A130,Employees!$BI$6:$BI$205,0)))</f>
        <v/>
      </c>
      <c r="K130" s="26" t="str">
        <f aca="false">IF($A130="","",INDEX(Employees!$AI$6:$AI$205,MATCH($A130,Employees!$BI$6:$BI$205,0)))</f>
        <v/>
      </c>
      <c r="L130" s="26" t="str">
        <f aca="false">IF($A130="","",INDEX(Employees!$AK$6:$AK$205,MATCH($A130,Employees!$BI$6:$BI$205,0)))</f>
        <v/>
      </c>
      <c r="M130" s="11" t="str">
        <f aca="false">IF($A130="","",INDEX(Employees!$AM$6:$AM$205,MATCH($A130,Employees!$BI$6:$BI$205,0)))</f>
        <v/>
      </c>
      <c r="N130" s="11" t="str">
        <f aca="false">IF($A130="","",INDEX(Employees!$AN$6:$AN$205,MATCH($A130,Employees!$BI$6:$BI$205,0)))</f>
        <v/>
      </c>
    </row>
    <row r="131" customFormat="false" ht="15" hidden="false" customHeight="false" outlineLevel="0" collapsed="false">
      <c r="A131" s="11" t="str">
        <f aca="false">IF(126&lt;=MAX(Employees!$BI$6:$BI$205),126,"")</f>
        <v/>
      </c>
      <c r="B131" s="11" t="str">
        <f aca="false">IF($A131="","",INDEX(Employees!$A$6:$A$205,MATCH($A131,Employees!$BI$6:$BI$205,0)))</f>
        <v/>
      </c>
      <c r="C131" s="11" t="str">
        <f aca="false">IF($A131="","",INDEX(Employees!$B$6:$B$205,MATCH($A131,Employees!$BI$6:$BI$205,0)))</f>
        <v/>
      </c>
      <c r="D131" s="11" t="str">
        <f aca="false">IF($A131="","",INDEX(Employees!$C$6:$C$205,MATCH($A131,Employees!$BI$6:$BI$205,0)))</f>
        <v/>
      </c>
      <c r="E131" s="11" t="str">
        <f aca="false">IF($A131="","",INDEX(Employees!$D$6:$D$205,MATCH($A131,Employees!$BI$6:$BI$205,0)))</f>
        <v/>
      </c>
      <c r="F131" s="11" t="str">
        <f aca="false">IF($A131="","",INDEX(Employees!$T$6:$T$205,MATCH($A131,Employees!$BI$6:$BI$205,0)))</f>
        <v/>
      </c>
      <c r="G131" s="26" t="str">
        <f aca="false">IF($A131="","",INDEX(Employees!$U$6:$U$205,MATCH($A131,Employees!$BI$6:$BI$205,0)))</f>
        <v/>
      </c>
      <c r="H131" s="28" t="str">
        <f aca="false">IF($A131="","",INDEX(Employees!$E$6:$E$205,MATCH($A131,Employees!$BI$6:$BI$205,0)))</f>
        <v/>
      </c>
      <c r="I131" s="11" t="str">
        <f aca="false">IF($A131="","",INDEX(Employees!$Z$6:$Z$205,MATCH($A131,Employees!$BI$6:$BI$205,0)))</f>
        <v/>
      </c>
      <c r="J131" s="26" t="str">
        <f aca="false">IF($A131="","",INDEX(Employees!$AB$6:$AB$205,MATCH($A131,Employees!$BI$6:$BI$205,0)))</f>
        <v/>
      </c>
      <c r="K131" s="26" t="str">
        <f aca="false">IF($A131="","",INDEX(Employees!$AI$6:$AI$205,MATCH($A131,Employees!$BI$6:$BI$205,0)))</f>
        <v/>
      </c>
      <c r="L131" s="26" t="str">
        <f aca="false">IF($A131="","",INDEX(Employees!$AK$6:$AK$205,MATCH($A131,Employees!$BI$6:$BI$205,0)))</f>
        <v/>
      </c>
      <c r="M131" s="11" t="str">
        <f aca="false">IF($A131="","",INDEX(Employees!$AM$6:$AM$205,MATCH($A131,Employees!$BI$6:$BI$205,0)))</f>
        <v/>
      </c>
      <c r="N131" s="11" t="str">
        <f aca="false">IF($A131="","",INDEX(Employees!$AN$6:$AN$205,MATCH($A131,Employees!$BI$6:$BI$205,0)))</f>
        <v/>
      </c>
    </row>
    <row r="132" customFormat="false" ht="15" hidden="false" customHeight="false" outlineLevel="0" collapsed="false">
      <c r="A132" s="11" t="str">
        <f aca="false">IF(127&lt;=MAX(Employees!$BI$6:$BI$205),127,"")</f>
        <v/>
      </c>
      <c r="B132" s="11" t="str">
        <f aca="false">IF($A132="","",INDEX(Employees!$A$6:$A$205,MATCH($A132,Employees!$BI$6:$BI$205,0)))</f>
        <v/>
      </c>
      <c r="C132" s="11" t="str">
        <f aca="false">IF($A132="","",INDEX(Employees!$B$6:$B$205,MATCH($A132,Employees!$BI$6:$BI$205,0)))</f>
        <v/>
      </c>
      <c r="D132" s="11" t="str">
        <f aca="false">IF($A132="","",INDEX(Employees!$C$6:$C$205,MATCH($A132,Employees!$BI$6:$BI$205,0)))</f>
        <v/>
      </c>
      <c r="E132" s="11" t="str">
        <f aca="false">IF($A132="","",INDEX(Employees!$D$6:$D$205,MATCH($A132,Employees!$BI$6:$BI$205,0)))</f>
        <v/>
      </c>
      <c r="F132" s="11" t="str">
        <f aca="false">IF($A132="","",INDEX(Employees!$T$6:$T$205,MATCH($A132,Employees!$BI$6:$BI$205,0)))</f>
        <v/>
      </c>
      <c r="G132" s="26" t="str">
        <f aca="false">IF($A132="","",INDEX(Employees!$U$6:$U$205,MATCH($A132,Employees!$BI$6:$BI$205,0)))</f>
        <v/>
      </c>
      <c r="H132" s="28" t="str">
        <f aca="false">IF($A132="","",INDEX(Employees!$E$6:$E$205,MATCH($A132,Employees!$BI$6:$BI$205,0)))</f>
        <v/>
      </c>
      <c r="I132" s="11" t="str">
        <f aca="false">IF($A132="","",INDEX(Employees!$Z$6:$Z$205,MATCH($A132,Employees!$BI$6:$BI$205,0)))</f>
        <v/>
      </c>
      <c r="J132" s="26" t="str">
        <f aca="false">IF($A132="","",INDEX(Employees!$AB$6:$AB$205,MATCH($A132,Employees!$BI$6:$BI$205,0)))</f>
        <v/>
      </c>
      <c r="K132" s="26" t="str">
        <f aca="false">IF($A132="","",INDEX(Employees!$AI$6:$AI$205,MATCH($A132,Employees!$BI$6:$BI$205,0)))</f>
        <v/>
      </c>
      <c r="L132" s="26" t="str">
        <f aca="false">IF($A132="","",INDEX(Employees!$AK$6:$AK$205,MATCH($A132,Employees!$BI$6:$BI$205,0)))</f>
        <v/>
      </c>
      <c r="M132" s="11" t="str">
        <f aca="false">IF($A132="","",INDEX(Employees!$AM$6:$AM$205,MATCH($A132,Employees!$BI$6:$BI$205,0)))</f>
        <v/>
      </c>
      <c r="N132" s="11" t="str">
        <f aca="false">IF($A132="","",INDEX(Employees!$AN$6:$AN$205,MATCH($A132,Employees!$BI$6:$BI$205,0)))</f>
        <v/>
      </c>
    </row>
    <row r="133" customFormat="false" ht="15" hidden="false" customHeight="false" outlineLevel="0" collapsed="false">
      <c r="A133" s="11" t="str">
        <f aca="false">IF(128&lt;=MAX(Employees!$BI$6:$BI$205),128,"")</f>
        <v/>
      </c>
      <c r="B133" s="11" t="str">
        <f aca="false">IF($A133="","",INDEX(Employees!$A$6:$A$205,MATCH($A133,Employees!$BI$6:$BI$205,0)))</f>
        <v/>
      </c>
      <c r="C133" s="11" t="str">
        <f aca="false">IF($A133="","",INDEX(Employees!$B$6:$B$205,MATCH($A133,Employees!$BI$6:$BI$205,0)))</f>
        <v/>
      </c>
      <c r="D133" s="11" t="str">
        <f aca="false">IF($A133="","",INDEX(Employees!$C$6:$C$205,MATCH($A133,Employees!$BI$6:$BI$205,0)))</f>
        <v/>
      </c>
      <c r="E133" s="11" t="str">
        <f aca="false">IF($A133="","",INDEX(Employees!$D$6:$D$205,MATCH($A133,Employees!$BI$6:$BI$205,0)))</f>
        <v/>
      </c>
      <c r="F133" s="11" t="str">
        <f aca="false">IF($A133="","",INDEX(Employees!$T$6:$T$205,MATCH($A133,Employees!$BI$6:$BI$205,0)))</f>
        <v/>
      </c>
      <c r="G133" s="26" t="str">
        <f aca="false">IF($A133="","",INDEX(Employees!$U$6:$U$205,MATCH($A133,Employees!$BI$6:$BI$205,0)))</f>
        <v/>
      </c>
      <c r="H133" s="28" t="str">
        <f aca="false">IF($A133="","",INDEX(Employees!$E$6:$E$205,MATCH($A133,Employees!$BI$6:$BI$205,0)))</f>
        <v/>
      </c>
      <c r="I133" s="11" t="str">
        <f aca="false">IF($A133="","",INDEX(Employees!$Z$6:$Z$205,MATCH($A133,Employees!$BI$6:$BI$205,0)))</f>
        <v/>
      </c>
      <c r="J133" s="26" t="str">
        <f aca="false">IF($A133="","",INDEX(Employees!$AB$6:$AB$205,MATCH($A133,Employees!$BI$6:$BI$205,0)))</f>
        <v/>
      </c>
      <c r="K133" s="26" t="str">
        <f aca="false">IF($A133="","",INDEX(Employees!$AI$6:$AI$205,MATCH($A133,Employees!$BI$6:$BI$205,0)))</f>
        <v/>
      </c>
      <c r="L133" s="26" t="str">
        <f aca="false">IF($A133="","",INDEX(Employees!$AK$6:$AK$205,MATCH($A133,Employees!$BI$6:$BI$205,0)))</f>
        <v/>
      </c>
      <c r="M133" s="11" t="str">
        <f aca="false">IF($A133="","",INDEX(Employees!$AM$6:$AM$205,MATCH($A133,Employees!$BI$6:$BI$205,0)))</f>
        <v/>
      </c>
      <c r="N133" s="11" t="str">
        <f aca="false">IF($A133="","",INDEX(Employees!$AN$6:$AN$205,MATCH($A133,Employees!$BI$6:$BI$205,0)))</f>
        <v/>
      </c>
    </row>
    <row r="134" customFormat="false" ht="15" hidden="false" customHeight="false" outlineLevel="0" collapsed="false">
      <c r="A134" s="11" t="str">
        <f aca="false">IF(129&lt;=MAX(Employees!$BI$6:$BI$205),129,"")</f>
        <v/>
      </c>
      <c r="B134" s="11" t="str">
        <f aca="false">IF($A134="","",INDEX(Employees!$A$6:$A$205,MATCH($A134,Employees!$BI$6:$BI$205,0)))</f>
        <v/>
      </c>
      <c r="C134" s="11" t="str">
        <f aca="false">IF($A134="","",INDEX(Employees!$B$6:$B$205,MATCH($A134,Employees!$BI$6:$BI$205,0)))</f>
        <v/>
      </c>
      <c r="D134" s="11" t="str">
        <f aca="false">IF($A134="","",INDEX(Employees!$C$6:$C$205,MATCH($A134,Employees!$BI$6:$BI$205,0)))</f>
        <v/>
      </c>
      <c r="E134" s="11" t="str">
        <f aca="false">IF($A134="","",INDEX(Employees!$D$6:$D$205,MATCH($A134,Employees!$BI$6:$BI$205,0)))</f>
        <v/>
      </c>
      <c r="F134" s="11" t="str">
        <f aca="false">IF($A134="","",INDEX(Employees!$T$6:$T$205,MATCH($A134,Employees!$BI$6:$BI$205,0)))</f>
        <v/>
      </c>
      <c r="G134" s="26" t="str">
        <f aca="false">IF($A134="","",INDEX(Employees!$U$6:$U$205,MATCH($A134,Employees!$BI$6:$BI$205,0)))</f>
        <v/>
      </c>
      <c r="H134" s="28" t="str">
        <f aca="false">IF($A134="","",INDEX(Employees!$E$6:$E$205,MATCH($A134,Employees!$BI$6:$BI$205,0)))</f>
        <v/>
      </c>
      <c r="I134" s="11" t="str">
        <f aca="false">IF($A134="","",INDEX(Employees!$Z$6:$Z$205,MATCH($A134,Employees!$BI$6:$BI$205,0)))</f>
        <v/>
      </c>
      <c r="J134" s="26" t="str">
        <f aca="false">IF($A134="","",INDEX(Employees!$AB$6:$AB$205,MATCH($A134,Employees!$BI$6:$BI$205,0)))</f>
        <v/>
      </c>
      <c r="K134" s="26" t="str">
        <f aca="false">IF($A134="","",INDEX(Employees!$AI$6:$AI$205,MATCH($A134,Employees!$BI$6:$BI$205,0)))</f>
        <v/>
      </c>
      <c r="L134" s="26" t="str">
        <f aca="false">IF($A134="","",INDEX(Employees!$AK$6:$AK$205,MATCH($A134,Employees!$BI$6:$BI$205,0)))</f>
        <v/>
      </c>
      <c r="M134" s="11" t="str">
        <f aca="false">IF($A134="","",INDEX(Employees!$AM$6:$AM$205,MATCH($A134,Employees!$BI$6:$BI$205,0)))</f>
        <v/>
      </c>
      <c r="N134" s="11" t="str">
        <f aca="false">IF($A134="","",INDEX(Employees!$AN$6:$AN$205,MATCH($A134,Employees!$BI$6:$BI$205,0)))</f>
        <v/>
      </c>
    </row>
    <row r="135" customFormat="false" ht="15" hidden="false" customHeight="false" outlineLevel="0" collapsed="false">
      <c r="A135" s="11" t="str">
        <f aca="false">IF(130&lt;=MAX(Employees!$BI$6:$BI$205),130,"")</f>
        <v/>
      </c>
      <c r="B135" s="11" t="str">
        <f aca="false">IF($A135="","",INDEX(Employees!$A$6:$A$205,MATCH($A135,Employees!$BI$6:$BI$205,0)))</f>
        <v/>
      </c>
      <c r="C135" s="11" t="str">
        <f aca="false">IF($A135="","",INDEX(Employees!$B$6:$B$205,MATCH($A135,Employees!$BI$6:$BI$205,0)))</f>
        <v/>
      </c>
      <c r="D135" s="11" t="str">
        <f aca="false">IF($A135="","",INDEX(Employees!$C$6:$C$205,MATCH($A135,Employees!$BI$6:$BI$205,0)))</f>
        <v/>
      </c>
      <c r="E135" s="11" t="str">
        <f aca="false">IF($A135="","",INDEX(Employees!$D$6:$D$205,MATCH($A135,Employees!$BI$6:$BI$205,0)))</f>
        <v/>
      </c>
      <c r="F135" s="11" t="str">
        <f aca="false">IF($A135="","",INDEX(Employees!$T$6:$T$205,MATCH($A135,Employees!$BI$6:$BI$205,0)))</f>
        <v/>
      </c>
      <c r="G135" s="26" t="str">
        <f aca="false">IF($A135="","",INDEX(Employees!$U$6:$U$205,MATCH($A135,Employees!$BI$6:$BI$205,0)))</f>
        <v/>
      </c>
      <c r="H135" s="28" t="str">
        <f aca="false">IF($A135="","",INDEX(Employees!$E$6:$E$205,MATCH($A135,Employees!$BI$6:$BI$205,0)))</f>
        <v/>
      </c>
      <c r="I135" s="11" t="str">
        <f aca="false">IF($A135="","",INDEX(Employees!$Z$6:$Z$205,MATCH($A135,Employees!$BI$6:$BI$205,0)))</f>
        <v/>
      </c>
      <c r="J135" s="26" t="str">
        <f aca="false">IF($A135="","",INDEX(Employees!$AB$6:$AB$205,MATCH($A135,Employees!$BI$6:$BI$205,0)))</f>
        <v/>
      </c>
      <c r="K135" s="26" t="str">
        <f aca="false">IF($A135="","",INDEX(Employees!$AI$6:$AI$205,MATCH($A135,Employees!$BI$6:$BI$205,0)))</f>
        <v/>
      </c>
      <c r="L135" s="26" t="str">
        <f aca="false">IF($A135="","",INDEX(Employees!$AK$6:$AK$205,MATCH($A135,Employees!$BI$6:$BI$205,0)))</f>
        <v/>
      </c>
      <c r="M135" s="11" t="str">
        <f aca="false">IF($A135="","",INDEX(Employees!$AM$6:$AM$205,MATCH($A135,Employees!$BI$6:$BI$205,0)))</f>
        <v/>
      </c>
      <c r="N135" s="11" t="str">
        <f aca="false">IF($A135="","",INDEX(Employees!$AN$6:$AN$205,MATCH($A135,Employees!$BI$6:$BI$205,0)))</f>
        <v/>
      </c>
    </row>
    <row r="136" customFormat="false" ht="15" hidden="false" customHeight="false" outlineLevel="0" collapsed="false">
      <c r="A136" s="11" t="str">
        <f aca="false">IF(131&lt;=MAX(Employees!$BI$6:$BI$205),131,"")</f>
        <v/>
      </c>
      <c r="B136" s="11" t="str">
        <f aca="false">IF($A136="","",INDEX(Employees!$A$6:$A$205,MATCH($A136,Employees!$BI$6:$BI$205,0)))</f>
        <v/>
      </c>
      <c r="C136" s="11" t="str">
        <f aca="false">IF($A136="","",INDEX(Employees!$B$6:$B$205,MATCH($A136,Employees!$BI$6:$BI$205,0)))</f>
        <v/>
      </c>
      <c r="D136" s="11" t="str">
        <f aca="false">IF($A136="","",INDEX(Employees!$C$6:$C$205,MATCH($A136,Employees!$BI$6:$BI$205,0)))</f>
        <v/>
      </c>
      <c r="E136" s="11" t="str">
        <f aca="false">IF($A136="","",INDEX(Employees!$D$6:$D$205,MATCH($A136,Employees!$BI$6:$BI$205,0)))</f>
        <v/>
      </c>
      <c r="F136" s="11" t="str">
        <f aca="false">IF($A136="","",INDEX(Employees!$T$6:$T$205,MATCH($A136,Employees!$BI$6:$BI$205,0)))</f>
        <v/>
      </c>
      <c r="G136" s="26" t="str">
        <f aca="false">IF($A136="","",INDEX(Employees!$U$6:$U$205,MATCH($A136,Employees!$BI$6:$BI$205,0)))</f>
        <v/>
      </c>
      <c r="H136" s="28" t="str">
        <f aca="false">IF($A136="","",INDEX(Employees!$E$6:$E$205,MATCH($A136,Employees!$BI$6:$BI$205,0)))</f>
        <v/>
      </c>
      <c r="I136" s="11" t="str">
        <f aca="false">IF($A136="","",INDEX(Employees!$Z$6:$Z$205,MATCH($A136,Employees!$BI$6:$BI$205,0)))</f>
        <v/>
      </c>
      <c r="J136" s="26" t="str">
        <f aca="false">IF($A136="","",INDEX(Employees!$AB$6:$AB$205,MATCH($A136,Employees!$BI$6:$BI$205,0)))</f>
        <v/>
      </c>
      <c r="K136" s="26" t="str">
        <f aca="false">IF($A136="","",INDEX(Employees!$AI$6:$AI$205,MATCH($A136,Employees!$BI$6:$BI$205,0)))</f>
        <v/>
      </c>
      <c r="L136" s="26" t="str">
        <f aca="false">IF($A136="","",INDEX(Employees!$AK$6:$AK$205,MATCH($A136,Employees!$BI$6:$BI$205,0)))</f>
        <v/>
      </c>
      <c r="M136" s="11" t="str">
        <f aca="false">IF($A136="","",INDEX(Employees!$AM$6:$AM$205,MATCH($A136,Employees!$BI$6:$BI$205,0)))</f>
        <v/>
      </c>
      <c r="N136" s="11" t="str">
        <f aca="false">IF($A136="","",INDEX(Employees!$AN$6:$AN$205,MATCH($A136,Employees!$BI$6:$BI$205,0)))</f>
        <v/>
      </c>
    </row>
    <row r="137" customFormat="false" ht="15" hidden="false" customHeight="false" outlineLevel="0" collapsed="false">
      <c r="A137" s="11" t="str">
        <f aca="false">IF(132&lt;=MAX(Employees!$BI$6:$BI$205),132,"")</f>
        <v/>
      </c>
      <c r="B137" s="11" t="str">
        <f aca="false">IF($A137="","",INDEX(Employees!$A$6:$A$205,MATCH($A137,Employees!$BI$6:$BI$205,0)))</f>
        <v/>
      </c>
      <c r="C137" s="11" t="str">
        <f aca="false">IF($A137="","",INDEX(Employees!$B$6:$B$205,MATCH($A137,Employees!$BI$6:$BI$205,0)))</f>
        <v/>
      </c>
      <c r="D137" s="11" t="str">
        <f aca="false">IF($A137="","",INDEX(Employees!$C$6:$C$205,MATCH($A137,Employees!$BI$6:$BI$205,0)))</f>
        <v/>
      </c>
      <c r="E137" s="11" t="str">
        <f aca="false">IF($A137="","",INDEX(Employees!$D$6:$D$205,MATCH($A137,Employees!$BI$6:$BI$205,0)))</f>
        <v/>
      </c>
      <c r="F137" s="11" t="str">
        <f aca="false">IF($A137="","",INDEX(Employees!$T$6:$T$205,MATCH($A137,Employees!$BI$6:$BI$205,0)))</f>
        <v/>
      </c>
      <c r="G137" s="26" t="str">
        <f aca="false">IF($A137="","",INDEX(Employees!$U$6:$U$205,MATCH($A137,Employees!$BI$6:$BI$205,0)))</f>
        <v/>
      </c>
      <c r="H137" s="28" t="str">
        <f aca="false">IF($A137="","",INDEX(Employees!$E$6:$E$205,MATCH($A137,Employees!$BI$6:$BI$205,0)))</f>
        <v/>
      </c>
      <c r="I137" s="11" t="str">
        <f aca="false">IF($A137="","",INDEX(Employees!$Z$6:$Z$205,MATCH($A137,Employees!$BI$6:$BI$205,0)))</f>
        <v/>
      </c>
      <c r="J137" s="26" t="str">
        <f aca="false">IF($A137="","",INDEX(Employees!$AB$6:$AB$205,MATCH($A137,Employees!$BI$6:$BI$205,0)))</f>
        <v/>
      </c>
      <c r="K137" s="26" t="str">
        <f aca="false">IF($A137="","",INDEX(Employees!$AI$6:$AI$205,MATCH($A137,Employees!$BI$6:$BI$205,0)))</f>
        <v/>
      </c>
      <c r="L137" s="26" t="str">
        <f aca="false">IF($A137="","",INDEX(Employees!$AK$6:$AK$205,MATCH($A137,Employees!$BI$6:$BI$205,0)))</f>
        <v/>
      </c>
      <c r="M137" s="11" t="str">
        <f aca="false">IF($A137="","",INDEX(Employees!$AM$6:$AM$205,MATCH($A137,Employees!$BI$6:$BI$205,0)))</f>
        <v/>
      </c>
      <c r="N137" s="11" t="str">
        <f aca="false">IF($A137="","",INDEX(Employees!$AN$6:$AN$205,MATCH($A137,Employees!$BI$6:$BI$205,0)))</f>
        <v/>
      </c>
    </row>
    <row r="138" customFormat="false" ht="15" hidden="false" customHeight="false" outlineLevel="0" collapsed="false">
      <c r="A138" s="11" t="str">
        <f aca="false">IF(133&lt;=MAX(Employees!$BI$6:$BI$205),133,"")</f>
        <v/>
      </c>
      <c r="B138" s="11" t="str">
        <f aca="false">IF($A138="","",INDEX(Employees!$A$6:$A$205,MATCH($A138,Employees!$BI$6:$BI$205,0)))</f>
        <v/>
      </c>
      <c r="C138" s="11" t="str">
        <f aca="false">IF($A138="","",INDEX(Employees!$B$6:$B$205,MATCH($A138,Employees!$BI$6:$BI$205,0)))</f>
        <v/>
      </c>
      <c r="D138" s="11" t="str">
        <f aca="false">IF($A138="","",INDEX(Employees!$C$6:$C$205,MATCH($A138,Employees!$BI$6:$BI$205,0)))</f>
        <v/>
      </c>
      <c r="E138" s="11" t="str">
        <f aca="false">IF($A138="","",INDEX(Employees!$D$6:$D$205,MATCH($A138,Employees!$BI$6:$BI$205,0)))</f>
        <v/>
      </c>
      <c r="F138" s="11" t="str">
        <f aca="false">IF($A138="","",INDEX(Employees!$T$6:$T$205,MATCH($A138,Employees!$BI$6:$BI$205,0)))</f>
        <v/>
      </c>
      <c r="G138" s="26" t="str">
        <f aca="false">IF($A138="","",INDEX(Employees!$U$6:$U$205,MATCH($A138,Employees!$BI$6:$BI$205,0)))</f>
        <v/>
      </c>
      <c r="H138" s="28" t="str">
        <f aca="false">IF($A138="","",INDEX(Employees!$E$6:$E$205,MATCH($A138,Employees!$BI$6:$BI$205,0)))</f>
        <v/>
      </c>
      <c r="I138" s="11" t="str">
        <f aca="false">IF($A138="","",INDEX(Employees!$Z$6:$Z$205,MATCH($A138,Employees!$BI$6:$BI$205,0)))</f>
        <v/>
      </c>
      <c r="J138" s="26" t="str">
        <f aca="false">IF($A138="","",INDEX(Employees!$AB$6:$AB$205,MATCH($A138,Employees!$BI$6:$BI$205,0)))</f>
        <v/>
      </c>
      <c r="K138" s="26" t="str">
        <f aca="false">IF($A138="","",INDEX(Employees!$AI$6:$AI$205,MATCH($A138,Employees!$BI$6:$BI$205,0)))</f>
        <v/>
      </c>
      <c r="L138" s="26" t="str">
        <f aca="false">IF($A138="","",INDEX(Employees!$AK$6:$AK$205,MATCH($A138,Employees!$BI$6:$BI$205,0)))</f>
        <v/>
      </c>
      <c r="M138" s="11" t="str">
        <f aca="false">IF($A138="","",INDEX(Employees!$AM$6:$AM$205,MATCH($A138,Employees!$BI$6:$BI$205,0)))</f>
        <v/>
      </c>
      <c r="N138" s="11" t="str">
        <f aca="false">IF($A138="","",INDEX(Employees!$AN$6:$AN$205,MATCH($A138,Employees!$BI$6:$BI$205,0)))</f>
        <v/>
      </c>
    </row>
    <row r="139" customFormat="false" ht="15" hidden="false" customHeight="false" outlineLevel="0" collapsed="false">
      <c r="A139" s="11" t="str">
        <f aca="false">IF(134&lt;=MAX(Employees!$BI$6:$BI$205),134,"")</f>
        <v/>
      </c>
      <c r="B139" s="11" t="str">
        <f aca="false">IF($A139="","",INDEX(Employees!$A$6:$A$205,MATCH($A139,Employees!$BI$6:$BI$205,0)))</f>
        <v/>
      </c>
      <c r="C139" s="11" t="str">
        <f aca="false">IF($A139="","",INDEX(Employees!$B$6:$B$205,MATCH($A139,Employees!$BI$6:$BI$205,0)))</f>
        <v/>
      </c>
      <c r="D139" s="11" t="str">
        <f aca="false">IF($A139="","",INDEX(Employees!$C$6:$C$205,MATCH($A139,Employees!$BI$6:$BI$205,0)))</f>
        <v/>
      </c>
      <c r="E139" s="11" t="str">
        <f aca="false">IF($A139="","",INDEX(Employees!$D$6:$D$205,MATCH($A139,Employees!$BI$6:$BI$205,0)))</f>
        <v/>
      </c>
      <c r="F139" s="11" t="str">
        <f aca="false">IF($A139="","",INDEX(Employees!$T$6:$T$205,MATCH($A139,Employees!$BI$6:$BI$205,0)))</f>
        <v/>
      </c>
      <c r="G139" s="26" t="str">
        <f aca="false">IF($A139="","",INDEX(Employees!$U$6:$U$205,MATCH($A139,Employees!$BI$6:$BI$205,0)))</f>
        <v/>
      </c>
      <c r="H139" s="28" t="str">
        <f aca="false">IF($A139="","",INDEX(Employees!$E$6:$E$205,MATCH($A139,Employees!$BI$6:$BI$205,0)))</f>
        <v/>
      </c>
      <c r="I139" s="11" t="str">
        <f aca="false">IF($A139="","",INDEX(Employees!$Z$6:$Z$205,MATCH($A139,Employees!$BI$6:$BI$205,0)))</f>
        <v/>
      </c>
      <c r="J139" s="26" t="str">
        <f aca="false">IF($A139="","",INDEX(Employees!$AB$6:$AB$205,MATCH($A139,Employees!$BI$6:$BI$205,0)))</f>
        <v/>
      </c>
      <c r="K139" s="26" t="str">
        <f aca="false">IF($A139="","",INDEX(Employees!$AI$6:$AI$205,MATCH($A139,Employees!$BI$6:$BI$205,0)))</f>
        <v/>
      </c>
      <c r="L139" s="26" t="str">
        <f aca="false">IF($A139="","",INDEX(Employees!$AK$6:$AK$205,MATCH($A139,Employees!$BI$6:$BI$205,0)))</f>
        <v/>
      </c>
      <c r="M139" s="11" t="str">
        <f aca="false">IF($A139="","",INDEX(Employees!$AM$6:$AM$205,MATCH($A139,Employees!$BI$6:$BI$205,0)))</f>
        <v/>
      </c>
      <c r="N139" s="11" t="str">
        <f aca="false">IF($A139="","",INDEX(Employees!$AN$6:$AN$205,MATCH($A139,Employees!$BI$6:$BI$205,0)))</f>
        <v/>
      </c>
    </row>
    <row r="140" customFormat="false" ht="15" hidden="false" customHeight="false" outlineLevel="0" collapsed="false">
      <c r="A140" s="11" t="str">
        <f aca="false">IF(135&lt;=MAX(Employees!$BI$6:$BI$205),135,"")</f>
        <v/>
      </c>
      <c r="B140" s="11" t="str">
        <f aca="false">IF($A140="","",INDEX(Employees!$A$6:$A$205,MATCH($A140,Employees!$BI$6:$BI$205,0)))</f>
        <v/>
      </c>
      <c r="C140" s="11" t="str">
        <f aca="false">IF($A140="","",INDEX(Employees!$B$6:$B$205,MATCH($A140,Employees!$BI$6:$BI$205,0)))</f>
        <v/>
      </c>
      <c r="D140" s="11" t="str">
        <f aca="false">IF($A140="","",INDEX(Employees!$C$6:$C$205,MATCH($A140,Employees!$BI$6:$BI$205,0)))</f>
        <v/>
      </c>
      <c r="E140" s="11" t="str">
        <f aca="false">IF($A140="","",INDEX(Employees!$D$6:$D$205,MATCH($A140,Employees!$BI$6:$BI$205,0)))</f>
        <v/>
      </c>
      <c r="F140" s="11" t="str">
        <f aca="false">IF($A140="","",INDEX(Employees!$T$6:$T$205,MATCH($A140,Employees!$BI$6:$BI$205,0)))</f>
        <v/>
      </c>
      <c r="G140" s="26" t="str">
        <f aca="false">IF($A140="","",INDEX(Employees!$U$6:$U$205,MATCH($A140,Employees!$BI$6:$BI$205,0)))</f>
        <v/>
      </c>
      <c r="H140" s="28" t="str">
        <f aca="false">IF($A140="","",INDEX(Employees!$E$6:$E$205,MATCH($A140,Employees!$BI$6:$BI$205,0)))</f>
        <v/>
      </c>
      <c r="I140" s="11" t="str">
        <f aca="false">IF($A140="","",INDEX(Employees!$Z$6:$Z$205,MATCH($A140,Employees!$BI$6:$BI$205,0)))</f>
        <v/>
      </c>
      <c r="J140" s="26" t="str">
        <f aca="false">IF($A140="","",INDEX(Employees!$AB$6:$AB$205,MATCH($A140,Employees!$BI$6:$BI$205,0)))</f>
        <v/>
      </c>
      <c r="K140" s="26" t="str">
        <f aca="false">IF($A140="","",INDEX(Employees!$AI$6:$AI$205,MATCH($A140,Employees!$BI$6:$BI$205,0)))</f>
        <v/>
      </c>
      <c r="L140" s="26" t="str">
        <f aca="false">IF($A140="","",INDEX(Employees!$AK$6:$AK$205,MATCH($A140,Employees!$BI$6:$BI$205,0)))</f>
        <v/>
      </c>
      <c r="M140" s="11" t="str">
        <f aca="false">IF($A140="","",INDEX(Employees!$AM$6:$AM$205,MATCH($A140,Employees!$BI$6:$BI$205,0)))</f>
        <v/>
      </c>
      <c r="N140" s="11" t="str">
        <f aca="false">IF($A140="","",INDEX(Employees!$AN$6:$AN$205,MATCH($A140,Employees!$BI$6:$BI$205,0)))</f>
        <v/>
      </c>
    </row>
    <row r="141" customFormat="false" ht="15" hidden="false" customHeight="false" outlineLevel="0" collapsed="false">
      <c r="A141" s="11" t="str">
        <f aca="false">IF(136&lt;=MAX(Employees!$BI$6:$BI$205),136,"")</f>
        <v/>
      </c>
      <c r="B141" s="11" t="str">
        <f aca="false">IF($A141="","",INDEX(Employees!$A$6:$A$205,MATCH($A141,Employees!$BI$6:$BI$205,0)))</f>
        <v/>
      </c>
      <c r="C141" s="11" t="str">
        <f aca="false">IF($A141="","",INDEX(Employees!$B$6:$B$205,MATCH($A141,Employees!$BI$6:$BI$205,0)))</f>
        <v/>
      </c>
      <c r="D141" s="11" t="str">
        <f aca="false">IF($A141="","",INDEX(Employees!$C$6:$C$205,MATCH($A141,Employees!$BI$6:$BI$205,0)))</f>
        <v/>
      </c>
      <c r="E141" s="11" t="str">
        <f aca="false">IF($A141="","",INDEX(Employees!$D$6:$D$205,MATCH($A141,Employees!$BI$6:$BI$205,0)))</f>
        <v/>
      </c>
      <c r="F141" s="11" t="str">
        <f aca="false">IF($A141="","",INDEX(Employees!$T$6:$T$205,MATCH($A141,Employees!$BI$6:$BI$205,0)))</f>
        <v/>
      </c>
      <c r="G141" s="26" t="str">
        <f aca="false">IF($A141="","",INDEX(Employees!$U$6:$U$205,MATCH($A141,Employees!$BI$6:$BI$205,0)))</f>
        <v/>
      </c>
      <c r="H141" s="28" t="str">
        <f aca="false">IF($A141="","",INDEX(Employees!$E$6:$E$205,MATCH($A141,Employees!$BI$6:$BI$205,0)))</f>
        <v/>
      </c>
      <c r="I141" s="11" t="str">
        <f aca="false">IF($A141="","",INDEX(Employees!$Z$6:$Z$205,MATCH($A141,Employees!$BI$6:$BI$205,0)))</f>
        <v/>
      </c>
      <c r="J141" s="26" t="str">
        <f aca="false">IF($A141="","",INDEX(Employees!$AB$6:$AB$205,MATCH($A141,Employees!$BI$6:$BI$205,0)))</f>
        <v/>
      </c>
      <c r="K141" s="26" t="str">
        <f aca="false">IF($A141="","",INDEX(Employees!$AI$6:$AI$205,MATCH($A141,Employees!$BI$6:$BI$205,0)))</f>
        <v/>
      </c>
      <c r="L141" s="26" t="str">
        <f aca="false">IF($A141="","",INDEX(Employees!$AK$6:$AK$205,MATCH($A141,Employees!$BI$6:$BI$205,0)))</f>
        <v/>
      </c>
      <c r="M141" s="11" t="str">
        <f aca="false">IF($A141="","",INDEX(Employees!$AM$6:$AM$205,MATCH($A141,Employees!$BI$6:$BI$205,0)))</f>
        <v/>
      </c>
      <c r="N141" s="11" t="str">
        <f aca="false">IF($A141="","",INDEX(Employees!$AN$6:$AN$205,MATCH($A141,Employees!$BI$6:$BI$205,0)))</f>
        <v/>
      </c>
    </row>
    <row r="142" customFormat="false" ht="15" hidden="false" customHeight="false" outlineLevel="0" collapsed="false">
      <c r="A142" s="11" t="str">
        <f aca="false">IF(137&lt;=MAX(Employees!$BI$6:$BI$205),137,"")</f>
        <v/>
      </c>
      <c r="B142" s="11" t="str">
        <f aca="false">IF($A142="","",INDEX(Employees!$A$6:$A$205,MATCH($A142,Employees!$BI$6:$BI$205,0)))</f>
        <v/>
      </c>
      <c r="C142" s="11" t="str">
        <f aca="false">IF($A142="","",INDEX(Employees!$B$6:$B$205,MATCH($A142,Employees!$BI$6:$BI$205,0)))</f>
        <v/>
      </c>
      <c r="D142" s="11" t="str">
        <f aca="false">IF($A142="","",INDEX(Employees!$C$6:$C$205,MATCH($A142,Employees!$BI$6:$BI$205,0)))</f>
        <v/>
      </c>
      <c r="E142" s="11" t="str">
        <f aca="false">IF($A142="","",INDEX(Employees!$D$6:$D$205,MATCH($A142,Employees!$BI$6:$BI$205,0)))</f>
        <v/>
      </c>
      <c r="F142" s="11" t="str">
        <f aca="false">IF($A142="","",INDEX(Employees!$T$6:$T$205,MATCH($A142,Employees!$BI$6:$BI$205,0)))</f>
        <v/>
      </c>
      <c r="G142" s="26" t="str">
        <f aca="false">IF($A142="","",INDEX(Employees!$U$6:$U$205,MATCH($A142,Employees!$BI$6:$BI$205,0)))</f>
        <v/>
      </c>
      <c r="H142" s="28" t="str">
        <f aca="false">IF($A142="","",INDEX(Employees!$E$6:$E$205,MATCH($A142,Employees!$BI$6:$BI$205,0)))</f>
        <v/>
      </c>
      <c r="I142" s="11" t="str">
        <f aca="false">IF($A142="","",INDEX(Employees!$Z$6:$Z$205,MATCH($A142,Employees!$BI$6:$BI$205,0)))</f>
        <v/>
      </c>
      <c r="J142" s="26" t="str">
        <f aca="false">IF($A142="","",INDEX(Employees!$AB$6:$AB$205,MATCH($A142,Employees!$BI$6:$BI$205,0)))</f>
        <v/>
      </c>
      <c r="K142" s="26" t="str">
        <f aca="false">IF($A142="","",INDEX(Employees!$AI$6:$AI$205,MATCH($A142,Employees!$BI$6:$BI$205,0)))</f>
        <v/>
      </c>
      <c r="L142" s="26" t="str">
        <f aca="false">IF($A142="","",INDEX(Employees!$AK$6:$AK$205,MATCH($A142,Employees!$BI$6:$BI$205,0)))</f>
        <v/>
      </c>
      <c r="M142" s="11" t="str">
        <f aca="false">IF($A142="","",INDEX(Employees!$AM$6:$AM$205,MATCH($A142,Employees!$BI$6:$BI$205,0)))</f>
        <v/>
      </c>
      <c r="N142" s="11" t="str">
        <f aca="false">IF($A142="","",INDEX(Employees!$AN$6:$AN$205,MATCH($A142,Employees!$BI$6:$BI$205,0)))</f>
        <v/>
      </c>
    </row>
    <row r="143" customFormat="false" ht="15" hidden="false" customHeight="false" outlineLevel="0" collapsed="false">
      <c r="A143" s="11" t="str">
        <f aca="false">IF(138&lt;=MAX(Employees!$BI$6:$BI$205),138,"")</f>
        <v/>
      </c>
      <c r="B143" s="11" t="str">
        <f aca="false">IF($A143="","",INDEX(Employees!$A$6:$A$205,MATCH($A143,Employees!$BI$6:$BI$205,0)))</f>
        <v/>
      </c>
      <c r="C143" s="11" t="str">
        <f aca="false">IF($A143="","",INDEX(Employees!$B$6:$B$205,MATCH($A143,Employees!$BI$6:$BI$205,0)))</f>
        <v/>
      </c>
      <c r="D143" s="11" t="str">
        <f aca="false">IF($A143="","",INDEX(Employees!$C$6:$C$205,MATCH($A143,Employees!$BI$6:$BI$205,0)))</f>
        <v/>
      </c>
      <c r="E143" s="11" t="str">
        <f aca="false">IF($A143="","",INDEX(Employees!$D$6:$D$205,MATCH($A143,Employees!$BI$6:$BI$205,0)))</f>
        <v/>
      </c>
      <c r="F143" s="11" t="str">
        <f aca="false">IF($A143="","",INDEX(Employees!$T$6:$T$205,MATCH($A143,Employees!$BI$6:$BI$205,0)))</f>
        <v/>
      </c>
      <c r="G143" s="26" t="str">
        <f aca="false">IF($A143="","",INDEX(Employees!$U$6:$U$205,MATCH($A143,Employees!$BI$6:$BI$205,0)))</f>
        <v/>
      </c>
      <c r="H143" s="28" t="str">
        <f aca="false">IF($A143="","",INDEX(Employees!$E$6:$E$205,MATCH($A143,Employees!$BI$6:$BI$205,0)))</f>
        <v/>
      </c>
      <c r="I143" s="11" t="str">
        <f aca="false">IF($A143="","",INDEX(Employees!$Z$6:$Z$205,MATCH($A143,Employees!$BI$6:$BI$205,0)))</f>
        <v/>
      </c>
      <c r="J143" s="26" t="str">
        <f aca="false">IF($A143="","",INDEX(Employees!$AB$6:$AB$205,MATCH($A143,Employees!$BI$6:$BI$205,0)))</f>
        <v/>
      </c>
      <c r="K143" s="26" t="str">
        <f aca="false">IF($A143="","",INDEX(Employees!$AI$6:$AI$205,MATCH($A143,Employees!$BI$6:$BI$205,0)))</f>
        <v/>
      </c>
      <c r="L143" s="26" t="str">
        <f aca="false">IF($A143="","",INDEX(Employees!$AK$6:$AK$205,MATCH($A143,Employees!$BI$6:$BI$205,0)))</f>
        <v/>
      </c>
      <c r="M143" s="11" t="str">
        <f aca="false">IF($A143="","",INDEX(Employees!$AM$6:$AM$205,MATCH($A143,Employees!$BI$6:$BI$205,0)))</f>
        <v/>
      </c>
      <c r="N143" s="11" t="str">
        <f aca="false">IF($A143="","",INDEX(Employees!$AN$6:$AN$205,MATCH($A143,Employees!$BI$6:$BI$205,0)))</f>
        <v/>
      </c>
    </row>
    <row r="144" customFormat="false" ht="15" hidden="false" customHeight="false" outlineLevel="0" collapsed="false">
      <c r="A144" s="11" t="str">
        <f aca="false">IF(139&lt;=MAX(Employees!$BI$6:$BI$205),139,"")</f>
        <v/>
      </c>
      <c r="B144" s="11" t="str">
        <f aca="false">IF($A144="","",INDEX(Employees!$A$6:$A$205,MATCH($A144,Employees!$BI$6:$BI$205,0)))</f>
        <v/>
      </c>
      <c r="C144" s="11" t="str">
        <f aca="false">IF($A144="","",INDEX(Employees!$B$6:$B$205,MATCH($A144,Employees!$BI$6:$BI$205,0)))</f>
        <v/>
      </c>
      <c r="D144" s="11" t="str">
        <f aca="false">IF($A144="","",INDEX(Employees!$C$6:$C$205,MATCH($A144,Employees!$BI$6:$BI$205,0)))</f>
        <v/>
      </c>
      <c r="E144" s="11" t="str">
        <f aca="false">IF($A144="","",INDEX(Employees!$D$6:$D$205,MATCH($A144,Employees!$BI$6:$BI$205,0)))</f>
        <v/>
      </c>
      <c r="F144" s="11" t="str">
        <f aca="false">IF($A144="","",INDEX(Employees!$T$6:$T$205,MATCH($A144,Employees!$BI$6:$BI$205,0)))</f>
        <v/>
      </c>
      <c r="G144" s="26" t="str">
        <f aca="false">IF($A144="","",INDEX(Employees!$U$6:$U$205,MATCH($A144,Employees!$BI$6:$BI$205,0)))</f>
        <v/>
      </c>
      <c r="H144" s="28" t="str">
        <f aca="false">IF($A144="","",INDEX(Employees!$E$6:$E$205,MATCH($A144,Employees!$BI$6:$BI$205,0)))</f>
        <v/>
      </c>
      <c r="I144" s="11" t="str">
        <f aca="false">IF($A144="","",INDEX(Employees!$Z$6:$Z$205,MATCH($A144,Employees!$BI$6:$BI$205,0)))</f>
        <v/>
      </c>
      <c r="J144" s="26" t="str">
        <f aca="false">IF($A144="","",INDEX(Employees!$AB$6:$AB$205,MATCH($A144,Employees!$BI$6:$BI$205,0)))</f>
        <v/>
      </c>
      <c r="K144" s="26" t="str">
        <f aca="false">IF($A144="","",INDEX(Employees!$AI$6:$AI$205,MATCH($A144,Employees!$BI$6:$BI$205,0)))</f>
        <v/>
      </c>
      <c r="L144" s="26" t="str">
        <f aca="false">IF($A144="","",INDEX(Employees!$AK$6:$AK$205,MATCH($A144,Employees!$BI$6:$BI$205,0)))</f>
        <v/>
      </c>
      <c r="M144" s="11" t="str">
        <f aca="false">IF($A144="","",INDEX(Employees!$AM$6:$AM$205,MATCH($A144,Employees!$BI$6:$BI$205,0)))</f>
        <v/>
      </c>
      <c r="N144" s="11" t="str">
        <f aca="false">IF($A144="","",INDEX(Employees!$AN$6:$AN$205,MATCH($A144,Employees!$BI$6:$BI$205,0)))</f>
        <v/>
      </c>
    </row>
    <row r="145" customFormat="false" ht="15" hidden="false" customHeight="false" outlineLevel="0" collapsed="false">
      <c r="A145" s="11" t="str">
        <f aca="false">IF(140&lt;=MAX(Employees!$BI$6:$BI$205),140,"")</f>
        <v/>
      </c>
      <c r="B145" s="11" t="str">
        <f aca="false">IF($A145="","",INDEX(Employees!$A$6:$A$205,MATCH($A145,Employees!$BI$6:$BI$205,0)))</f>
        <v/>
      </c>
      <c r="C145" s="11" t="str">
        <f aca="false">IF($A145="","",INDEX(Employees!$B$6:$B$205,MATCH($A145,Employees!$BI$6:$BI$205,0)))</f>
        <v/>
      </c>
      <c r="D145" s="11" t="str">
        <f aca="false">IF($A145="","",INDEX(Employees!$C$6:$C$205,MATCH($A145,Employees!$BI$6:$BI$205,0)))</f>
        <v/>
      </c>
      <c r="E145" s="11" t="str">
        <f aca="false">IF($A145="","",INDEX(Employees!$D$6:$D$205,MATCH($A145,Employees!$BI$6:$BI$205,0)))</f>
        <v/>
      </c>
      <c r="F145" s="11" t="str">
        <f aca="false">IF($A145="","",INDEX(Employees!$T$6:$T$205,MATCH($A145,Employees!$BI$6:$BI$205,0)))</f>
        <v/>
      </c>
      <c r="G145" s="26" t="str">
        <f aca="false">IF($A145="","",INDEX(Employees!$U$6:$U$205,MATCH($A145,Employees!$BI$6:$BI$205,0)))</f>
        <v/>
      </c>
      <c r="H145" s="28" t="str">
        <f aca="false">IF($A145="","",INDEX(Employees!$E$6:$E$205,MATCH($A145,Employees!$BI$6:$BI$205,0)))</f>
        <v/>
      </c>
      <c r="I145" s="11" t="str">
        <f aca="false">IF($A145="","",INDEX(Employees!$Z$6:$Z$205,MATCH($A145,Employees!$BI$6:$BI$205,0)))</f>
        <v/>
      </c>
      <c r="J145" s="26" t="str">
        <f aca="false">IF($A145="","",INDEX(Employees!$AB$6:$AB$205,MATCH($A145,Employees!$BI$6:$BI$205,0)))</f>
        <v/>
      </c>
      <c r="K145" s="26" t="str">
        <f aca="false">IF($A145="","",INDEX(Employees!$AI$6:$AI$205,MATCH($A145,Employees!$BI$6:$BI$205,0)))</f>
        <v/>
      </c>
      <c r="L145" s="26" t="str">
        <f aca="false">IF($A145="","",INDEX(Employees!$AK$6:$AK$205,MATCH($A145,Employees!$BI$6:$BI$205,0)))</f>
        <v/>
      </c>
      <c r="M145" s="11" t="str">
        <f aca="false">IF($A145="","",INDEX(Employees!$AM$6:$AM$205,MATCH($A145,Employees!$BI$6:$BI$205,0)))</f>
        <v/>
      </c>
      <c r="N145" s="11" t="str">
        <f aca="false">IF($A145="","",INDEX(Employees!$AN$6:$AN$205,MATCH($A145,Employees!$BI$6:$BI$205,0)))</f>
        <v/>
      </c>
    </row>
    <row r="146" customFormat="false" ht="15" hidden="false" customHeight="false" outlineLevel="0" collapsed="false">
      <c r="A146" s="11" t="str">
        <f aca="false">IF(141&lt;=MAX(Employees!$BI$6:$BI$205),141,"")</f>
        <v/>
      </c>
      <c r="B146" s="11" t="str">
        <f aca="false">IF($A146="","",INDEX(Employees!$A$6:$A$205,MATCH($A146,Employees!$BI$6:$BI$205,0)))</f>
        <v/>
      </c>
      <c r="C146" s="11" t="str">
        <f aca="false">IF($A146="","",INDEX(Employees!$B$6:$B$205,MATCH($A146,Employees!$BI$6:$BI$205,0)))</f>
        <v/>
      </c>
      <c r="D146" s="11" t="str">
        <f aca="false">IF($A146="","",INDEX(Employees!$C$6:$C$205,MATCH($A146,Employees!$BI$6:$BI$205,0)))</f>
        <v/>
      </c>
      <c r="E146" s="11" t="str">
        <f aca="false">IF($A146="","",INDEX(Employees!$D$6:$D$205,MATCH($A146,Employees!$BI$6:$BI$205,0)))</f>
        <v/>
      </c>
      <c r="F146" s="11" t="str">
        <f aca="false">IF($A146="","",INDEX(Employees!$T$6:$T$205,MATCH($A146,Employees!$BI$6:$BI$205,0)))</f>
        <v/>
      </c>
      <c r="G146" s="26" t="str">
        <f aca="false">IF($A146="","",INDEX(Employees!$U$6:$U$205,MATCH($A146,Employees!$BI$6:$BI$205,0)))</f>
        <v/>
      </c>
      <c r="H146" s="28" t="str">
        <f aca="false">IF($A146="","",INDEX(Employees!$E$6:$E$205,MATCH($A146,Employees!$BI$6:$BI$205,0)))</f>
        <v/>
      </c>
      <c r="I146" s="11" t="str">
        <f aca="false">IF($A146="","",INDEX(Employees!$Z$6:$Z$205,MATCH($A146,Employees!$BI$6:$BI$205,0)))</f>
        <v/>
      </c>
      <c r="J146" s="26" t="str">
        <f aca="false">IF($A146="","",INDEX(Employees!$AB$6:$AB$205,MATCH($A146,Employees!$BI$6:$BI$205,0)))</f>
        <v/>
      </c>
      <c r="K146" s="26" t="str">
        <f aca="false">IF($A146="","",INDEX(Employees!$AI$6:$AI$205,MATCH($A146,Employees!$BI$6:$BI$205,0)))</f>
        <v/>
      </c>
      <c r="L146" s="26" t="str">
        <f aca="false">IF($A146="","",INDEX(Employees!$AK$6:$AK$205,MATCH($A146,Employees!$BI$6:$BI$205,0)))</f>
        <v/>
      </c>
      <c r="M146" s="11" t="str">
        <f aca="false">IF($A146="","",INDEX(Employees!$AM$6:$AM$205,MATCH($A146,Employees!$BI$6:$BI$205,0)))</f>
        <v/>
      </c>
      <c r="N146" s="11" t="str">
        <f aca="false">IF($A146="","",INDEX(Employees!$AN$6:$AN$205,MATCH($A146,Employees!$BI$6:$BI$205,0)))</f>
        <v/>
      </c>
    </row>
    <row r="147" customFormat="false" ht="15" hidden="false" customHeight="false" outlineLevel="0" collapsed="false">
      <c r="A147" s="11" t="str">
        <f aca="false">IF(142&lt;=MAX(Employees!$BI$6:$BI$205),142,"")</f>
        <v/>
      </c>
      <c r="B147" s="11" t="str">
        <f aca="false">IF($A147="","",INDEX(Employees!$A$6:$A$205,MATCH($A147,Employees!$BI$6:$BI$205,0)))</f>
        <v/>
      </c>
      <c r="C147" s="11" t="str">
        <f aca="false">IF($A147="","",INDEX(Employees!$B$6:$B$205,MATCH($A147,Employees!$BI$6:$BI$205,0)))</f>
        <v/>
      </c>
      <c r="D147" s="11" t="str">
        <f aca="false">IF($A147="","",INDEX(Employees!$C$6:$C$205,MATCH($A147,Employees!$BI$6:$BI$205,0)))</f>
        <v/>
      </c>
      <c r="E147" s="11" t="str">
        <f aca="false">IF($A147="","",INDEX(Employees!$D$6:$D$205,MATCH($A147,Employees!$BI$6:$BI$205,0)))</f>
        <v/>
      </c>
      <c r="F147" s="11" t="str">
        <f aca="false">IF($A147="","",INDEX(Employees!$T$6:$T$205,MATCH($A147,Employees!$BI$6:$BI$205,0)))</f>
        <v/>
      </c>
      <c r="G147" s="26" t="str">
        <f aca="false">IF($A147="","",INDEX(Employees!$U$6:$U$205,MATCH($A147,Employees!$BI$6:$BI$205,0)))</f>
        <v/>
      </c>
      <c r="H147" s="28" t="str">
        <f aca="false">IF($A147="","",INDEX(Employees!$E$6:$E$205,MATCH($A147,Employees!$BI$6:$BI$205,0)))</f>
        <v/>
      </c>
      <c r="I147" s="11" t="str">
        <f aca="false">IF($A147="","",INDEX(Employees!$Z$6:$Z$205,MATCH($A147,Employees!$BI$6:$BI$205,0)))</f>
        <v/>
      </c>
      <c r="J147" s="26" t="str">
        <f aca="false">IF($A147="","",INDEX(Employees!$AB$6:$AB$205,MATCH($A147,Employees!$BI$6:$BI$205,0)))</f>
        <v/>
      </c>
      <c r="K147" s="26" t="str">
        <f aca="false">IF($A147="","",INDEX(Employees!$AI$6:$AI$205,MATCH($A147,Employees!$BI$6:$BI$205,0)))</f>
        <v/>
      </c>
      <c r="L147" s="26" t="str">
        <f aca="false">IF($A147="","",INDEX(Employees!$AK$6:$AK$205,MATCH($A147,Employees!$BI$6:$BI$205,0)))</f>
        <v/>
      </c>
      <c r="M147" s="11" t="str">
        <f aca="false">IF($A147="","",INDEX(Employees!$AM$6:$AM$205,MATCH($A147,Employees!$BI$6:$BI$205,0)))</f>
        <v/>
      </c>
      <c r="N147" s="11" t="str">
        <f aca="false">IF($A147="","",INDEX(Employees!$AN$6:$AN$205,MATCH($A147,Employees!$BI$6:$BI$205,0)))</f>
        <v/>
      </c>
    </row>
    <row r="148" customFormat="false" ht="15" hidden="false" customHeight="false" outlineLevel="0" collapsed="false">
      <c r="A148" s="11" t="str">
        <f aca="false">IF(143&lt;=MAX(Employees!$BI$6:$BI$205),143,"")</f>
        <v/>
      </c>
      <c r="B148" s="11" t="str">
        <f aca="false">IF($A148="","",INDEX(Employees!$A$6:$A$205,MATCH($A148,Employees!$BI$6:$BI$205,0)))</f>
        <v/>
      </c>
      <c r="C148" s="11" t="str">
        <f aca="false">IF($A148="","",INDEX(Employees!$B$6:$B$205,MATCH($A148,Employees!$BI$6:$BI$205,0)))</f>
        <v/>
      </c>
      <c r="D148" s="11" t="str">
        <f aca="false">IF($A148="","",INDEX(Employees!$C$6:$C$205,MATCH($A148,Employees!$BI$6:$BI$205,0)))</f>
        <v/>
      </c>
      <c r="E148" s="11" t="str">
        <f aca="false">IF($A148="","",INDEX(Employees!$D$6:$D$205,MATCH($A148,Employees!$BI$6:$BI$205,0)))</f>
        <v/>
      </c>
      <c r="F148" s="11" t="str">
        <f aca="false">IF($A148="","",INDEX(Employees!$T$6:$T$205,MATCH($A148,Employees!$BI$6:$BI$205,0)))</f>
        <v/>
      </c>
      <c r="G148" s="26" t="str">
        <f aca="false">IF($A148="","",INDEX(Employees!$U$6:$U$205,MATCH($A148,Employees!$BI$6:$BI$205,0)))</f>
        <v/>
      </c>
      <c r="H148" s="28" t="str">
        <f aca="false">IF($A148="","",INDEX(Employees!$E$6:$E$205,MATCH($A148,Employees!$BI$6:$BI$205,0)))</f>
        <v/>
      </c>
      <c r="I148" s="11" t="str">
        <f aca="false">IF($A148="","",INDEX(Employees!$Z$6:$Z$205,MATCH($A148,Employees!$BI$6:$BI$205,0)))</f>
        <v/>
      </c>
      <c r="J148" s="26" t="str">
        <f aca="false">IF($A148="","",INDEX(Employees!$AB$6:$AB$205,MATCH($A148,Employees!$BI$6:$BI$205,0)))</f>
        <v/>
      </c>
      <c r="K148" s="26" t="str">
        <f aca="false">IF($A148="","",INDEX(Employees!$AI$6:$AI$205,MATCH($A148,Employees!$BI$6:$BI$205,0)))</f>
        <v/>
      </c>
      <c r="L148" s="26" t="str">
        <f aca="false">IF($A148="","",INDEX(Employees!$AK$6:$AK$205,MATCH($A148,Employees!$BI$6:$BI$205,0)))</f>
        <v/>
      </c>
      <c r="M148" s="11" t="str">
        <f aca="false">IF($A148="","",INDEX(Employees!$AM$6:$AM$205,MATCH($A148,Employees!$BI$6:$BI$205,0)))</f>
        <v/>
      </c>
      <c r="N148" s="11" t="str">
        <f aca="false">IF($A148="","",INDEX(Employees!$AN$6:$AN$205,MATCH($A148,Employees!$BI$6:$BI$205,0)))</f>
        <v/>
      </c>
    </row>
    <row r="149" customFormat="false" ht="15" hidden="false" customHeight="false" outlineLevel="0" collapsed="false">
      <c r="A149" s="11" t="str">
        <f aca="false">IF(144&lt;=MAX(Employees!$BI$6:$BI$205),144,"")</f>
        <v/>
      </c>
      <c r="B149" s="11" t="str">
        <f aca="false">IF($A149="","",INDEX(Employees!$A$6:$A$205,MATCH($A149,Employees!$BI$6:$BI$205,0)))</f>
        <v/>
      </c>
      <c r="C149" s="11" t="str">
        <f aca="false">IF($A149="","",INDEX(Employees!$B$6:$B$205,MATCH($A149,Employees!$BI$6:$BI$205,0)))</f>
        <v/>
      </c>
      <c r="D149" s="11" t="str">
        <f aca="false">IF($A149="","",INDEX(Employees!$C$6:$C$205,MATCH($A149,Employees!$BI$6:$BI$205,0)))</f>
        <v/>
      </c>
      <c r="E149" s="11" t="str">
        <f aca="false">IF($A149="","",INDEX(Employees!$D$6:$D$205,MATCH($A149,Employees!$BI$6:$BI$205,0)))</f>
        <v/>
      </c>
      <c r="F149" s="11" t="str">
        <f aca="false">IF($A149="","",INDEX(Employees!$T$6:$T$205,MATCH($A149,Employees!$BI$6:$BI$205,0)))</f>
        <v/>
      </c>
      <c r="G149" s="26" t="str">
        <f aca="false">IF($A149="","",INDEX(Employees!$U$6:$U$205,MATCH($A149,Employees!$BI$6:$BI$205,0)))</f>
        <v/>
      </c>
      <c r="H149" s="28" t="str">
        <f aca="false">IF($A149="","",INDEX(Employees!$E$6:$E$205,MATCH($A149,Employees!$BI$6:$BI$205,0)))</f>
        <v/>
      </c>
      <c r="I149" s="11" t="str">
        <f aca="false">IF($A149="","",INDEX(Employees!$Z$6:$Z$205,MATCH($A149,Employees!$BI$6:$BI$205,0)))</f>
        <v/>
      </c>
      <c r="J149" s="26" t="str">
        <f aca="false">IF($A149="","",INDEX(Employees!$AB$6:$AB$205,MATCH($A149,Employees!$BI$6:$BI$205,0)))</f>
        <v/>
      </c>
      <c r="K149" s="26" t="str">
        <f aca="false">IF($A149="","",INDEX(Employees!$AI$6:$AI$205,MATCH($A149,Employees!$BI$6:$BI$205,0)))</f>
        <v/>
      </c>
      <c r="L149" s="26" t="str">
        <f aca="false">IF($A149="","",INDEX(Employees!$AK$6:$AK$205,MATCH($A149,Employees!$BI$6:$BI$205,0)))</f>
        <v/>
      </c>
      <c r="M149" s="11" t="str">
        <f aca="false">IF($A149="","",INDEX(Employees!$AM$6:$AM$205,MATCH($A149,Employees!$BI$6:$BI$205,0)))</f>
        <v/>
      </c>
      <c r="N149" s="11" t="str">
        <f aca="false">IF($A149="","",INDEX(Employees!$AN$6:$AN$205,MATCH($A149,Employees!$BI$6:$BI$205,0)))</f>
        <v/>
      </c>
    </row>
    <row r="150" customFormat="false" ht="15" hidden="false" customHeight="false" outlineLevel="0" collapsed="false">
      <c r="A150" s="11" t="str">
        <f aca="false">IF(145&lt;=MAX(Employees!$BI$6:$BI$205),145,"")</f>
        <v/>
      </c>
      <c r="B150" s="11" t="str">
        <f aca="false">IF($A150="","",INDEX(Employees!$A$6:$A$205,MATCH($A150,Employees!$BI$6:$BI$205,0)))</f>
        <v/>
      </c>
      <c r="C150" s="11" t="str">
        <f aca="false">IF($A150="","",INDEX(Employees!$B$6:$B$205,MATCH($A150,Employees!$BI$6:$BI$205,0)))</f>
        <v/>
      </c>
      <c r="D150" s="11" t="str">
        <f aca="false">IF($A150="","",INDEX(Employees!$C$6:$C$205,MATCH($A150,Employees!$BI$6:$BI$205,0)))</f>
        <v/>
      </c>
      <c r="E150" s="11" t="str">
        <f aca="false">IF($A150="","",INDEX(Employees!$D$6:$D$205,MATCH($A150,Employees!$BI$6:$BI$205,0)))</f>
        <v/>
      </c>
      <c r="F150" s="11" t="str">
        <f aca="false">IF($A150="","",INDEX(Employees!$T$6:$T$205,MATCH($A150,Employees!$BI$6:$BI$205,0)))</f>
        <v/>
      </c>
      <c r="G150" s="26" t="str">
        <f aca="false">IF($A150="","",INDEX(Employees!$U$6:$U$205,MATCH($A150,Employees!$BI$6:$BI$205,0)))</f>
        <v/>
      </c>
      <c r="H150" s="28" t="str">
        <f aca="false">IF($A150="","",INDEX(Employees!$E$6:$E$205,MATCH($A150,Employees!$BI$6:$BI$205,0)))</f>
        <v/>
      </c>
      <c r="I150" s="11" t="str">
        <f aca="false">IF($A150="","",INDEX(Employees!$Z$6:$Z$205,MATCH($A150,Employees!$BI$6:$BI$205,0)))</f>
        <v/>
      </c>
      <c r="J150" s="26" t="str">
        <f aca="false">IF($A150="","",INDEX(Employees!$AB$6:$AB$205,MATCH($A150,Employees!$BI$6:$BI$205,0)))</f>
        <v/>
      </c>
      <c r="K150" s="26" t="str">
        <f aca="false">IF($A150="","",INDEX(Employees!$AI$6:$AI$205,MATCH($A150,Employees!$BI$6:$BI$205,0)))</f>
        <v/>
      </c>
      <c r="L150" s="26" t="str">
        <f aca="false">IF($A150="","",INDEX(Employees!$AK$6:$AK$205,MATCH($A150,Employees!$BI$6:$BI$205,0)))</f>
        <v/>
      </c>
      <c r="M150" s="11" t="str">
        <f aca="false">IF($A150="","",INDEX(Employees!$AM$6:$AM$205,MATCH($A150,Employees!$BI$6:$BI$205,0)))</f>
        <v/>
      </c>
      <c r="N150" s="11" t="str">
        <f aca="false">IF($A150="","",INDEX(Employees!$AN$6:$AN$205,MATCH($A150,Employees!$BI$6:$BI$205,0)))</f>
        <v/>
      </c>
    </row>
    <row r="151" customFormat="false" ht="15" hidden="false" customHeight="false" outlineLevel="0" collapsed="false">
      <c r="A151" s="11" t="str">
        <f aca="false">IF(146&lt;=MAX(Employees!$BI$6:$BI$205),146,"")</f>
        <v/>
      </c>
      <c r="B151" s="11" t="str">
        <f aca="false">IF($A151="","",INDEX(Employees!$A$6:$A$205,MATCH($A151,Employees!$BI$6:$BI$205,0)))</f>
        <v/>
      </c>
      <c r="C151" s="11" t="str">
        <f aca="false">IF($A151="","",INDEX(Employees!$B$6:$B$205,MATCH($A151,Employees!$BI$6:$BI$205,0)))</f>
        <v/>
      </c>
      <c r="D151" s="11" t="str">
        <f aca="false">IF($A151="","",INDEX(Employees!$C$6:$C$205,MATCH($A151,Employees!$BI$6:$BI$205,0)))</f>
        <v/>
      </c>
      <c r="E151" s="11" t="str">
        <f aca="false">IF($A151="","",INDEX(Employees!$D$6:$D$205,MATCH($A151,Employees!$BI$6:$BI$205,0)))</f>
        <v/>
      </c>
      <c r="F151" s="11" t="str">
        <f aca="false">IF($A151="","",INDEX(Employees!$T$6:$T$205,MATCH($A151,Employees!$BI$6:$BI$205,0)))</f>
        <v/>
      </c>
      <c r="G151" s="26" t="str">
        <f aca="false">IF($A151="","",INDEX(Employees!$U$6:$U$205,MATCH($A151,Employees!$BI$6:$BI$205,0)))</f>
        <v/>
      </c>
      <c r="H151" s="28" t="str">
        <f aca="false">IF($A151="","",INDEX(Employees!$E$6:$E$205,MATCH($A151,Employees!$BI$6:$BI$205,0)))</f>
        <v/>
      </c>
      <c r="I151" s="11" t="str">
        <f aca="false">IF($A151="","",INDEX(Employees!$Z$6:$Z$205,MATCH($A151,Employees!$BI$6:$BI$205,0)))</f>
        <v/>
      </c>
      <c r="J151" s="26" t="str">
        <f aca="false">IF($A151="","",INDEX(Employees!$AB$6:$AB$205,MATCH($A151,Employees!$BI$6:$BI$205,0)))</f>
        <v/>
      </c>
      <c r="K151" s="26" t="str">
        <f aca="false">IF($A151="","",INDEX(Employees!$AI$6:$AI$205,MATCH($A151,Employees!$BI$6:$BI$205,0)))</f>
        <v/>
      </c>
      <c r="L151" s="26" t="str">
        <f aca="false">IF($A151="","",INDEX(Employees!$AK$6:$AK$205,MATCH($A151,Employees!$BI$6:$BI$205,0)))</f>
        <v/>
      </c>
      <c r="M151" s="11" t="str">
        <f aca="false">IF($A151="","",INDEX(Employees!$AM$6:$AM$205,MATCH($A151,Employees!$BI$6:$BI$205,0)))</f>
        <v/>
      </c>
      <c r="N151" s="11" t="str">
        <f aca="false">IF($A151="","",INDEX(Employees!$AN$6:$AN$205,MATCH($A151,Employees!$BI$6:$BI$205,0)))</f>
        <v/>
      </c>
    </row>
    <row r="152" customFormat="false" ht="15" hidden="false" customHeight="false" outlineLevel="0" collapsed="false">
      <c r="A152" s="11" t="str">
        <f aca="false">IF(147&lt;=MAX(Employees!$BI$6:$BI$205),147,"")</f>
        <v/>
      </c>
      <c r="B152" s="11" t="str">
        <f aca="false">IF($A152="","",INDEX(Employees!$A$6:$A$205,MATCH($A152,Employees!$BI$6:$BI$205,0)))</f>
        <v/>
      </c>
      <c r="C152" s="11" t="str">
        <f aca="false">IF($A152="","",INDEX(Employees!$B$6:$B$205,MATCH($A152,Employees!$BI$6:$BI$205,0)))</f>
        <v/>
      </c>
      <c r="D152" s="11" t="str">
        <f aca="false">IF($A152="","",INDEX(Employees!$C$6:$C$205,MATCH($A152,Employees!$BI$6:$BI$205,0)))</f>
        <v/>
      </c>
      <c r="E152" s="11" t="str">
        <f aca="false">IF($A152="","",INDEX(Employees!$D$6:$D$205,MATCH($A152,Employees!$BI$6:$BI$205,0)))</f>
        <v/>
      </c>
      <c r="F152" s="11" t="str">
        <f aca="false">IF($A152="","",INDEX(Employees!$T$6:$T$205,MATCH($A152,Employees!$BI$6:$BI$205,0)))</f>
        <v/>
      </c>
      <c r="G152" s="26" t="str">
        <f aca="false">IF($A152="","",INDEX(Employees!$U$6:$U$205,MATCH($A152,Employees!$BI$6:$BI$205,0)))</f>
        <v/>
      </c>
      <c r="H152" s="28" t="str">
        <f aca="false">IF($A152="","",INDEX(Employees!$E$6:$E$205,MATCH($A152,Employees!$BI$6:$BI$205,0)))</f>
        <v/>
      </c>
      <c r="I152" s="11" t="str">
        <f aca="false">IF($A152="","",INDEX(Employees!$Z$6:$Z$205,MATCH($A152,Employees!$BI$6:$BI$205,0)))</f>
        <v/>
      </c>
      <c r="J152" s="26" t="str">
        <f aca="false">IF($A152="","",INDEX(Employees!$AB$6:$AB$205,MATCH($A152,Employees!$BI$6:$BI$205,0)))</f>
        <v/>
      </c>
      <c r="K152" s="26" t="str">
        <f aca="false">IF($A152="","",INDEX(Employees!$AI$6:$AI$205,MATCH($A152,Employees!$BI$6:$BI$205,0)))</f>
        <v/>
      </c>
      <c r="L152" s="26" t="str">
        <f aca="false">IF($A152="","",INDEX(Employees!$AK$6:$AK$205,MATCH($A152,Employees!$BI$6:$BI$205,0)))</f>
        <v/>
      </c>
      <c r="M152" s="11" t="str">
        <f aca="false">IF($A152="","",INDEX(Employees!$AM$6:$AM$205,MATCH($A152,Employees!$BI$6:$BI$205,0)))</f>
        <v/>
      </c>
      <c r="N152" s="11" t="str">
        <f aca="false">IF($A152="","",INDEX(Employees!$AN$6:$AN$205,MATCH($A152,Employees!$BI$6:$BI$205,0)))</f>
        <v/>
      </c>
    </row>
    <row r="153" customFormat="false" ht="15" hidden="false" customHeight="false" outlineLevel="0" collapsed="false">
      <c r="A153" s="11" t="str">
        <f aca="false">IF(148&lt;=MAX(Employees!$BI$6:$BI$205),148,"")</f>
        <v/>
      </c>
      <c r="B153" s="11" t="str">
        <f aca="false">IF($A153="","",INDEX(Employees!$A$6:$A$205,MATCH($A153,Employees!$BI$6:$BI$205,0)))</f>
        <v/>
      </c>
      <c r="C153" s="11" t="str">
        <f aca="false">IF($A153="","",INDEX(Employees!$B$6:$B$205,MATCH($A153,Employees!$BI$6:$BI$205,0)))</f>
        <v/>
      </c>
      <c r="D153" s="11" t="str">
        <f aca="false">IF($A153="","",INDEX(Employees!$C$6:$C$205,MATCH($A153,Employees!$BI$6:$BI$205,0)))</f>
        <v/>
      </c>
      <c r="E153" s="11" t="str">
        <f aca="false">IF($A153="","",INDEX(Employees!$D$6:$D$205,MATCH($A153,Employees!$BI$6:$BI$205,0)))</f>
        <v/>
      </c>
      <c r="F153" s="11" t="str">
        <f aca="false">IF($A153="","",INDEX(Employees!$T$6:$T$205,MATCH($A153,Employees!$BI$6:$BI$205,0)))</f>
        <v/>
      </c>
      <c r="G153" s="26" t="str">
        <f aca="false">IF($A153="","",INDEX(Employees!$U$6:$U$205,MATCH($A153,Employees!$BI$6:$BI$205,0)))</f>
        <v/>
      </c>
      <c r="H153" s="28" t="str">
        <f aca="false">IF($A153="","",INDEX(Employees!$E$6:$E$205,MATCH($A153,Employees!$BI$6:$BI$205,0)))</f>
        <v/>
      </c>
      <c r="I153" s="11" t="str">
        <f aca="false">IF($A153="","",INDEX(Employees!$Z$6:$Z$205,MATCH($A153,Employees!$BI$6:$BI$205,0)))</f>
        <v/>
      </c>
      <c r="J153" s="26" t="str">
        <f aca="false">IF($A153="","",INDEX(Employees!$AB$6:$AB$205,MATCH($A153,Employees!$BI$6:$BI$205,0)))</f>
        <v/>
      </c>
      <c r="K153" s="26" t="str">
        <f aca="false">IF($A153="","",INDEX(Employees!$AI$6:$AI$205,MATCH($A153,Employees!$BI$6:$BI$205,0)))</f>
        <v/>
      </c>
      <c r="L153" s="26" t="str">
        <f aca="false">IF($A153="","",INDEX(Employees!$AK$6:$AK$205,MATCH($A153,Employees!$BI$6:$BI$205,0)))</f>
        <v/>
      </c>
      <c r="M153" s="11" t="str">
        <f aca="false">IF($A153="","",INDEX(Employees!$AM$6:$AM$205,MATCH($A153,Employees!$BI$6:$BI$205,0)))</f>
        <v/>
      </c>
      <c r="N153" s="11" t="str">
        <f aca="false">IF($A153="","",INDEX(Employees!$AN$6:$AN$205,MATCH($A153,Employees!$BI$6:$BI$205,0)))</f>
        <v/>
      </c>
    </row>
    <row r="154" customFormat="false" ht="15" hidden="false" customHeight="false" outlineLevel="0" collapsed="false">
      <c r="A154" s="11" t="str">
        <f aca="false">IF(149&lt;=MAX(Employees!$BI$6:$BI$205),149,"")</f>
        <v/>
      </c>
      <c r="B154" s="11" t="str">
        <f aca="false">IF($A154="","",INDEX(Employees!$A$6:$A$205,MATCH($A154,Employees!$BI$6:$BI$205,0)))</f>
        <v/>
      </c>
      <c r="C154" s="11" t="str">
        <f aca="false">IF($A154="","",INDEX(Employees!$B$6:$B$205,MATCH($A154,Employees!$BI$6:$BI$205,0)))</f>
        <v/>
      </c>
      <c r="D154" s="11" t="str">
        <f aca="false">IF($A154="","",INDEX(Employees!$C$6:$C$205,MATCH($A154,Employees!$BI$6:$BI$205,0)))</f>
        <v/>
      </c>
      <c r="E154" s="11" t="str">
        <f aca="false">IF($A154="","",INDEX(Employees!$D$6:$D$205,MATCH($A154,Employees!$BI$6:$BI$205,0)))</f>
        <v/>
      </c>
      <c r="F154" s="11" t="str">
        <f aca="false">IF($A154="","",INDEX(Employees!$T$6:$T$205,MATCH($A154,Employees!$BI$6:$BI$205,0)))</f>
        <v/>
      </c>
      <c r="G154" s="26" t="str">
        <f aca="false">IF($A154="","",INDEX(Employees!$U$6:$U$205,MATCH($A154,Employees!$BI$6:$BI$205,0)))</f>
        <v/>
      </c>
      <c r="H154" s="28" t="str">
        <f aca="false">IF($A154="","",INDEX(Employees!$E$6:$E$205,MATCH($A154,Employees!$BI$6:$BI$205,0)))</f>
        <v/>
      </c>
      <c r="I154" s="11" t="str">
        <f aca="false">IF($A154="","",INDEX(Employees!$Z$6:$Z$205,MATCH($A154,Employees!$BI$6:$BI$205,0)))</f>
        <v/>
      </c>
      <c r="J154" s="26" t="str">
        <f aca="false">IF($A154="","",INDEX(Employees!$AB$6:$AB$205,MATCH($A154,Employees!$BI$6:$BI$205,0)))</f>
        <v/>
      </c>
      <c r="K154" s="26" t="str">
        <f aca="false">IF($A154="","",INDEX(Employees!$AI$6:$AI$205,MATCH($A154,Employees!$BI$6:$BI$205,0)))</f>
        <v/>
      </c>
      <c r="L154" s="26" t="str">
        <f aca="false">IF($A154="","",INDEX(Employees!$AK$6:$AK$205,MATCH($A154,Employees!$BI$6:$BI$205,0)))</f>
        <v/>
      </c>
      <c r="M154" s="11" t="str">
        <f aca="false">IF($A154="","",INDEX(Employees!$AM$6:$AM$205,MATCH($A154,Employees!$BI$6:$BI$205,0)))</f>
        <v/>
      </c>
      <c r="N154" s="11" t="str">
        <f aca="false">IF($A154="","",INDEX(Employees!$AN$6:$AN$205,MATCH($A154,Employees!$BI$6:$BI$205,0)))</f>
        <v/>
      </c>
    </row>
    <row r="155" customFormat="false" ht="15" hidden="false" customHeight="false" outlineLevel="0" collapsed="false">
      <c r="A155" s="11" t="str">
        <f aca="false">IF(150&lt;=MAX(Employees!$BI$6:$BI$205),150,"")</f>
        <v/>
      </c>
      <c r="B155" s="11" t="str">
        <f aca="false">IF($A155="","",INDEX(Employees!$A$6:$A$205,MATCH($A155,Employees!$BI$6:$BI$205,0)))</f>
        <v/>
      </c>
      <c r="C155" s="11" t="str">
        <f aca="false">IF($A155="","",INDEX(Employees!$B$6:$B$205,MATCH($A155,Employees!$BI$6:$BI$205,0)))</f>
        <v/>
      </c>
      <c r="D155" s="11" t="str">
        <f aca="false">IF($A155="","",INDEX(Employees!$C$6:$C$205,MATCH($A155,Employees!$BI$6:$BI$205,0)))</f>
        <v/>
      </c>
      <c r="E155" s="11" t="str">
        <f aca="false">IF($A155="","",INDEX(Employees!$D$6:$D$205,MATCH($A155,Employees!$BI$6:$BI$205,0)))</f>
        <v/>
      </c>
      <c r="F155" s="11" t="str">
        <f aca="false">IF($A155="","",INDEX(Employees!$T$6:$T$205,MATCH($A155,Employees!$BI$6:$BI$205,0)))</f>
        <v/>
      </c>
      <c r="G155" s="26" t="str">
        <f aca="false">IF($A155="","",INDEX(Employees!$U$6:$U$205,MATCH($A155,Employees!$BI$6:$BI$205,0)))</f>
        <v/>
      </c>
      <c r="H155" s="28" t="str">
        <f aca="false">IF($A155="","",INDEX(Employees!$E$6:$E$205,MATCH($A155,Employees!$BI$6:$BI$205,0)))</f>
        <v/>
      </c>
      <c r="I155" s="11" t="str">
        <f aca="false">IF($A155="","",INDEX(Employees!$Z$6:$Z$205,MATCH($A155,Employees!$BI$6:$BI$205,0)))</f>
        <v/>
      </c>
      <c r="J155" s="26" t="str">
        <f aca="false">IF($A155="","",INDEX(Employees!$AB$6:$AB$205,MATCH($A155,Employees!$BI$6:$BI$205,0)))</f>
        <v/>
      </c>
      <c r="K155" s="26" t="str">
        <f aca="false">IF($A155="","",INDEX(Employees!$AI$6:$AI$205,MATCH($A155,Employees!$BI$6:$BI$205,0)))</f>
        <v/>
      </c>
      <c r="L155" s="26" t="str">
        <f aca="false">IF($A155="","",INDEX(Employees!$AK$6:$AK$205,MATCH($A155,Employees!$BI$6:$BI$205,0)))</f>
        <v/>
      </c>
      <c r="M155" s="11" t="str">
        <f aca="false">IF($A155="","",INDEX(Employees!$AM$6:$AM$205,MATCH($A155,Employees!$BI$6:$BI$205,0)))</f>
        <v/>
      </c>
      <c r="N155" s="11" t="str">
        <f aca="false">IF($A155="","",INDEX(Employees!$AN$6:$AN$205,MATCH($A155,Employees!$BI$6:$BI$205,0)))</f>
        <v/>
      </c>
    </row>
    <row r="156" customFormat="false" ht="15" hidden="false" customHeight="false" outlineLevel="0" collapsed="false">
      <c r="A156" s="11" t="str">
        <f aca="false">IF(151&lt;=MAX(Employees!$BI$6:$BI$205),151,"")</f>
        <v/>
      </c>
      <c r="B156" s="11" t="str">
        <f aca="false">IF($A156="","",INDEX(Employees!$A$6:$A$205,MATCH($A156,Employees!$BI$6:$BI$205,0)))</f>
        <v/>
      </c>
      <c r="C156" s="11" t="str">
        <f aca="false">IF($A156="","",INDEX(Employees!$B$6:$B$205,MATCH($A156,Employees!$BI$6:$BI$205,0)))</f>
        <v/>
      </c>
      <c r="D156" s="11" t="str">
        <f aca="false">IF($A156="","",INDEX(Employees!$C$6:$C$205,MATCH($A156,Employees!$BI$6:$BI$205,0)))</f>
        <v/>
      </c>
      <c r="E156" s="11" t="str">
        <f aca="false">IF($A156="","",INDEX(Employees!$D$6:$D$205,MATCH($A156,Employees!$BI$6:$BI$205,0)))</f>
        <v/>
      </c>
      <c r="F156" s="11" t="str">
        <f aca="false">IF($A156="","",INDEX(Employees!$T$6:$T$205,MATCH($A156,Employees!$BI$6:$BI$205,0)))</f>
        <v/>
      </c>
      <c r="G156" s="26" t="str">
        <f aca="false">IF($A156="","",INDEX(Employees!$U$6:$U$205,MATCH($A156,Employees!$BI$6:$BI$205,0)))</f>
        <v/>
      </c>
      <c r="H156" s="28" t="str">
        <f aca="false">IF($A156="","",INDEX(Employees!$E$6:$E$205,MATCH($A156,Employees!$BI$6:$BI$205,0)))</f>
        <v/>
      </c>
      <c r="I156" s="11" t="str">
        <f aca="false">IF($A156="","",INDEX(Employees!$Z$6:$Z$205,MATCH($A156,Employees!$BI$6:$BI$205,0)))</f>
        <v/>
      </c>
      <c r="J156" s="26" t="str">
        <f aca="false">IF($A156="","",INDEX(Employees!$AB$6:$AB$205,MATCH($A156,Employees!$BI$6:$BI$205,0)))</f>
        <v/>
      </c>
      <c r="K156" s="26" t="str">
        <f aca="false">IF($A156="","",INDEX(Employees!$AI$6:$AI$205,MATCH($A156,Employees!$BI$6:$BI$205,0)))</f>
        <v/>
      </c>
      <c r="L156" s="26" t="str">
        <f aca="false">IF($A156="","",INDEX(Employees!$AK$6:$AK$205,MATCH($A156,Employees!$BI$6:$BI$205,0)))</f>
        <v/>
      </c>
      <c r="M156" s="11" t="str">
        <f aca="false">IF($A156="","",INDEX(Employees!$AM$6:$AM$205,MATCH($A156,Employees!$BI$6:$BI$205,0)))</f>
        <v/>
      </c>
      <c r="N156" s="11" t="str">
        <f aca="false">IF($A156="","",INDEX(Employees!$AN$6:$AN$205,MATCH($A156,Employees!$BI$6:$BI$205,0)))</f>
        <v/>
      </c>
    </row>
    <row r="157" customFormat="false" ht="15" hidden="false" customHeight="false" outlineLevel="0" collapsed="false">
      <c r="A157" s="11" t="str">
        <f aca="false">IF(152&lt;=MAX(Employees!$BI$6:$BI$205),152,"")</f>
        <v/>
      </c>
      <c r="B157" s="11" t="str">
        <f aca="false">IF($A157="","",INDEX(Employees!$A$6:$A$205,MATCH($A157,Employees!$BI$6:$BI$205,0)))</f>
        <v/>
      </c>
      <c r="C157" s="11" t="str">
        <f aca="false">IF($A157="","",INDEX(Employees!$B$6:$B$205,MATCH($A157,Employees!$BI$6:$BI$205,0)))</f>
        <v/>
      </c>
      <c r="D157" s="11" t="str">
        <f aca="false">IF($A157="","",INDEX(Employees!$C$6:$C$205,MATCH($A157,Employees!$BI$6:$BI$205,0)))</f>
        <v/>
      </c>
      <c r="E157" s="11" t="str">
        <f aca="false">IF($A157="","",INDEX(Employees!$D$6:$D$205,MATCH($A157,Employees!$BI$6:$BI$205,0)))</f>
        <v/>
      </c>
      <c r="F157" s="11" t="str">
        <f aca="false">IF($A157="","",INDEX(Employees!$T$6:$T$205,MATCH($A157,Employees!$BI$6:$BI$205,0)))</f>
        <v/>
      </c>
      <c r="G157" s="26" t="str">
        <f aca="false">IF($A157="","",INDEX(Employees!$U$6:$U$205,MATCH($A157,Employees!$BI$6:$BI$205,0)))</f>
        <v/>
      </c>
      <c r="H157" s="28" t="str">
        <f aca="false">IF($A157="","",INDEX(Employees!$E$6:$E$205,MATCH($A157,Employees!$BI$6:$BI$205,0)))</f>
        <v/>
      </c>
      <c r="I157" s="11" t="str">
        <f aca="false">IF($A157="","",INDEX(Employees!$Z$6:$Z$205,MATCH($A157,Employees!$BI$6:$BI$205,0)))</f>
        <v/>
      </c>
      <c r="J157" s="26" t="str">
        <f aca="false">IF($A157="","",INDEX(Employees!$AB$6:$AB$205,MATCH($A157,Employees!$BI$6:$BI$205,0)))</f>
        <v/>
      </c>
      <c r="K157" s="26" t="str">
        <f aca="false">IF($A157="","",INDEX(Employees!$AI$6:$AI$205,MATCH($A157,Employees!$BI$6:$BI$205,0)))</f>
        <v/>
      </c>
      <c r="L157" s="26" t="str">
        <f aca="false">IF($A157="","",INDEX(Employees!$AK$6:$AK$205,MATCH($A157,Employees!$BI$6:$BI$205,0)))</f>
        <v/>
      </c>
      <c r="M157" s="11" t="str">
        <f aca="false">IF($A157="","",INDEX(Employees!$AM$6:$AM$205,MATCH($A157,Employees!$BI$6:$BI$205,0)))</f>
        <v/>
      </c>
      <c r="N157" s="11" t="str">
        <f aca="false">IF($A157="","",INDEX(Employees!$AN$6:$AN$205,MATCH($A157,Employees!$BI$6:$BI$205,0)))</f>
        <v/>
      </c>
    </row>
    <row r="158" customFormat="false" ht="15" hidden="false" customHeight="false" outlineLevel="0" collapsed="false">
      <c r="A158" s="11" t="str">
        <f aca="false">IF(153&lt;=MAX(Employees!$BI$6:$BI$205),153,"")</f>
        <v/>
      </c>
      <c r="B158" s="11" t="str">
        <f aca="false">IF($A158="","",INDEX(Employees!$A$6:$A$205,MATCH($A158,Employees!$BI$6:$BI$205,0)))</f>
        <v/>
      </c>
      <c r="C158" s="11" t="str">
        <f aca="false">IF($A158="","",INDEX(Employees!$B$6:$B$205,MATCH($A158,Employees!$BI$6:$BI$205,0)))</f>
        <v/>
      </c>
      <c r="D158" s="11" t="str">
        <f aca="false">IF($A158="","",INDEX(Employees!$C$6:$C$205,MATCH($A158,Employees!$BI$6:$BI$205,0)))</f>
        <v/>
      </c>
      <c r="E158" s="11" t="str">
        <f aca="false">IF($A158="","",INDEX(Employees!$D$6:$D$205,MATCH($A158,Employees!$BI$6:$BI$205,0)))</f>
        <v/>
      </c>
      <c r="F158" s="11" t="str">
        <f aca="false">IF($A158="","",INDEX(Employees!$T$6:$T$205,MATCH($A158,Employees!$BI$6:$BI$205,0)))</f>
        <v/>
      </c>
      <c r="G158" s="26" t="str">
        <f aca="false">IF($A158="","",INDEX(Employees!$U$6:$U$205,MATCH($A158,Employees!$BI$6:$BI$205,0)))</f>
        <v/>
      </c>
      <c r="H158" s="28" t="str">
        <f aca="false">IF($A158="","",INDEX(Employees!$E$6:$E$205,MATCH($A158,Employees!$BI$6:$BI$205,0)))</f>
        <v/>
      </c>
      <c r="I158" s="11" t="str">
        <f aca="false">IF($A158="","",INDEX(Employees!$Z$6:$Z$205,MATCH($A158,Employees!$BI$6:$BI$205,0)))</f>
        <v/>
      </c>
      <c r="J158" s="26" t="str">
        <f aca="false">IF($A158="","",INDEX(Employees!$AB$6:$AB$205,MATCH($A158,Employees!$BI$6:$BI$205,0)))</f>
        <v/>
      </c>
      <c r="K158" s="26" t="str">
        <f aca="false">IF($A158="","",INDEX(Employees!$AI$6:$AI$205,MATCH($A158,Employees!$BI$6:$BI$205,0)))</f>
        <v/>
      </c>
      <c r="L158" s="26" t="str">
        <f aca="false">IF($A158="","",INDEX(Employees!$AK$6:$AK$205,MATCH($A158,Employees!$BI$6:$BI$205,0)))</f>
        <v/>
      </c>
      <c r="M158" s="11" t="str">
        <f aca="false">IF($A158="","",INDEX(Employees!$AM$6:$AM$205,MATCH($A158,Employees!$BI$6:$BI$205,0)))</f>
        <v/>
      </c>
      <c r="N158" s="11" t="str">
        <f aca="false">IF($A158="","",INDEX(Employees!$AN$6:$AN$205,MATCH($A158,Employees!$BI$6:$BI$205,0)))</f>
        <v/>
      </c>
    </row>
    <row r="159" customFormat="false" ht="15" hidden="false" customHeight="false" outlineLevel="0" collapsed="false">
      <c r="A159" s="11" t="str">
        <f aca="false">IF(154&lt;=MAX(Employees!$BI$6:$BI$205),154,"")</f>
        <v/>
      </c>
      <c r="B159" s="11" t="str">
        <f aca="false">IF($A159="","",INDEX(Employees!$A$6:$A$205,MATCH($A159,Employees!$BI$6:$BI$205,0)))</f>
        <v/>
      </c>
      <c r="C159" s="11" t="str">
        <f aca="false">IF($A159="","",INDEX(Employees!$B$6:$B$205,MATCH($A159,Employees!$BI$6:$BI$205,0)))</f>
        <v/>
      </c>
      <c r="D159" s="11" t="str">
        <f aca="false">IF($A159="","",INDEX(Employees!$C$6:$C$205,MATCH($A159,Employees!$BI$6:$BI$205,0)))</f>
        <v/>
      </c>
      <c r="E159" s="11" t="str">
        <f aca="false">IF($A159="","",INDEX(Employees!$D$6:$D$205,MATCH($A159,Employees!$BI$6:$BI$205,0)))</f>
        <v/>
      </c>
      <c r="F159" s="11" t="str">
        <f aca="false">IF($A159="","",INDEX(Employees!$T$6:$T$205,MATCH($A159,Employees!$BI$6:$BI$205,0)))</f>
        <v/>
      </c>
      <c r="G159" s="26" t="str">
        <f aca="false">IF($A159="","",INDEX(Employees!$U$6:$U$205,MATCH($A159,Employees!$BI$6:$BI$205,0)))</f>
        <v/>
      </c>
      <c r="H159" s="28" t="str">
        <f aca="false">IF($A159="","",INDEX(Employees!$E$6:$E$205,MATCH($A159,Employees!$BI$6:$BI$205,0)))</f>
        <v/>
      </c>
      <c r="I159" s="11" t="str">
        <f aca="false">IF($A159="","",INDEX(Employees!$Z$6:$Z$205,MATCH($A159,Employees!$BI$6:$BI$205,0)))</f>
        <v/>
      </c>
      <c r="J159" s="26" t="str">
        <f aca="false">IF($A159="","",INDEX(Employees!$AB$6:$AB$205,MATCH($A159,Employees!$BI$6:$BI$205,0)))</f>
        <v/>
      </c>
      <c r="K159" s="26" t="str">
        <f aca="false">IF($A159="","",INDEX(Employees!$AI$6:$AI$205,MATCH($A159,Employees!$BI$6:$BI$205,0)))</f>
        <v/>
      </c>
      <c r="L159" s="26" t="str">
        <f aca="false">IF($A159="","",INDEX(Employees!$AK$6:$AK$205,MATCH($A159,Employees!$BI$6:$BI$205,0)))</f>
        <v/>
      </c>
      <c r="M159" s="11" t="str">
        <f aca="false">IF($A159="","",INDEX(Employees!$AM$6:$AM$205,MATCH($A159,Employees!$BI$6:$BI$205,0)))</f>
        <v/>
      </c>
      <c r="N159" s="11" t="str">
        <f aca="false">IF($A159="","",INDEX(Employees!$AN$6:$AN$205,MATCH($A159,Employees!$BI$6:$BI$205,0)))</f>
        <v/>
      </c>
    </row>
    <row r="160" customFormat="false" ht="15" hidden="false" customHeight="false" outlineLevel="0" collapsed="false">
      <c r="A160" s="11" t="str">
        <f aca="false">IF(155&lt;=MAX(Employees!$BI$6:$BI$205),155,"")</f>
        <v/>
      </c>
      <c r="B160" s="11" t="str">
        <f aca="false">IF($A160="","",INDEX(Employees!$A$6:$A$205,MATCH($A160,Employees!$BI$6:$BI$205,0)))</f>
        <v/>
      </c>
      <c r="C160" s="11" t="str">
        <f aca="false">IF($A160="","",INDEX(Employees!$B$6:$B$205,MATCH($A160,Employees!$BI$6:$BI$205,0)))</f>
        <v/>
      </c>
      <c r="D160" s="11" t="str">
        <f aca="false">IF($A160="","",INDEX(Employees!$C$6:$C$205,MATCH($A160,Employees!$BI$6:$BI$205,0)))</f>
        <v/>
      </c>
      <c r="E160" s="11" t="str">
        <f aca="false">IF($A160="","",INDEX(Employees!$D$6:$D$205,MATCH($A160,Employees!$BI$6:$BI$205,0)))</f>
        <v/>
      </c>
      <c r="F160" s="11" t="str">
        <f aca="false">IF($A160="","",INDEX(Employees!$T$6:$T$205,MATCH($A160,Employees!$BI$6:$BI$205,0)))</f>
        <v/>
      </c>
      <c r="G160" s="26" t="str">
        <f aca="false">IF($A160="","",INDEX(Employees!$U$6:$U$205,MATCH($A160,Employees!$BI$6:$BI$205,0)))</f>
        <v/>
      </c>
      <c r="H160" s="28" t="str">
        <f aca="false">IF($A160="","",INDEX(Employees!$E$6:$E$205,MATCH($A160,Employees!$BI$6:$BI$205,0)))</f>
        <v/>
      </c>
      <c r="I160" s="11" t="str">
        <f aca="false">IF($A160="","",INDEX(Employees!$Z$6:$Z$205,MATCH($A160,Employees!$BI$6:$BI$205,0)))</f>
        <v/>
      </c>
      <c r="J160" s="26" t="str">
        <f aca="false">IF($A160="","",INDEX(Employees!$AB$6:$AB$205,MATCH($A160,Employees!$BI$6:$BI$205,0)))</f>
        <v/>
      </c>
      <c r="K160" s="26" t="str">
        <f aca="false">IF($A160="","",INDEX(Employees!$AI$6:$AI$205,MATCH($A160,Employees!$BI$6:$BI$205,0)))</f>
        <v/>
      </c>
      <c r="L160" s="26" t="str">
        <f aca="false">IF($A160="","",INDEX(Employees!$AK$6:$AK$205,MATCH($A160,Employees!$BI$6:$BI$205,0)))</f>
        <v/>
      </c>
      <c r="M160" s="11" t="str">
        <f aca="false">IF($A160="","",INDEX(Employees!$AM$6:$AM$205,MATCH($A160,Employees!$BI$6:$BI$205,0)))</f>
        <v/>
      </c>
      <c r="N160" s="11" t="str">
        <f aca="false">IF($A160="","",INDEX(Employees!$AN$6:$AN$205,MATCH($A160,Employees!$BI$6:$BI$205,0)))</f>
        <v/>
      </c>
    </row>
    <row r="161" customFormat="false" ht="15" hidden="false" customHeight="false" outlineLevel="0" collapsed="false">
      <c r="A161" s="11" t="str">
        <f aca="false">IF(156&lt;=MAX(Employees!$BI$6:$BI$205),156,"")</f>
        <v/>
      </c>
      <c r="B161" s="11" t="str">
        <f aca="false">IF($A161="","",INDEX(Employees!$A$6:$A$205,MATCH($A161,Employees!$BI$6:$BI$205,0)))</f>
        <v/>
      </c>
      <c r="C161" s="11" t="str">
        <f aca="false">IF($A161="","",INDEX(Employees!$B$6:$B$205,MATCH($A161,Employees!$BI$6:$BI$205,0)))</f>
        <v/>
      </c>
      <c r="D161" s="11" t="str">
        <f aca="false">IF($A161="","",INDEX(Employees!$C$6:$C$205,MATCH($A161,Employees!$BI$6:$BI$205,0)))</f>
        <v/>
      </c>
      <c r="E161" s="11" t="str">
        <f aca="false">IF($A161="","",INDEX(Employees!$D$6:$D$205,MATCH($A161,Employees!$BI$6:$BI$205,0)))</f>
        <v/>
      </c>
      <c r="F161" s="11" t="str">
        <f aca="false">IF($A161="","",INDEX(Employees!$T$6:$T$205,MATCH($A161,Employees!$BI$6:$BI$205,0)))</f>
        <v/>
      </c>
      <c r="G161" s="26" t="str">
        <f aca="false">IF($A161="","",INDEX(Employees!$U$6:$U$205,MATCH($A161,Employees!$BI$6:$BI$205,0)))</f>
        <v/>
      </c>
      <c r="H161" s="28" t="str">
        <f aca="false">IF($A161="","",INDEX(Employees!$E$6:$E$205,MATCH($A161,Employees!$BI$6:$BI$205,0)))</f>
        <v/>
      </c>
      <c r="I161" s="11" t="str">
        <f aca="false">IF($A161="","",INDEX(Employees!$Z$6:$Z$205,MATCH($A161,Employees!$BI$6:$BI$205,0)))</f>
        <v/>
      </c>
      <c r="J161" s="26" t="str">
        <f aca="false">IF($A161="","",INDEX(Employees!$AB$6:$AB$205,MATCH($A161,Employees!$BI$6:$BI$205,0)))</f>
        <v/>
      </c>
      <c r="K161" s="26" t="str">
        <f aca="false">IF($A161="","",INDEX(Employees!$AI$6:$AI$205,MATCH($A161,Employees!$BI$6:$BI$205,0)))</f>
        <v/>
      </c>
      <c r="L161" s="26" t="str">
        <f aca="false">IF($A161="","",INDEX(Employees!$AK$6:$AK$205,MATCH($A161,Employees!$BI$6:$BI$205,0)))</f>
        <v/>
      </c>
      <c r="M161" s="11" t="str">
        <f aca="false">IF($A161="","",INDEX(Employees!$AM$6:$AM$205,MATCH($A161,Employees!$BI$6:$BI$205,0)))</f>
        <v/>
      </c>
      <c r="N161" s="11" t="str">
        <f aca="false">IF($A161="","",INDEX(Employees!$AN$6:$AN$205,MATCH($A161,Employees!$BI$6:$BI$205,0)))</f>
        <v/>
      </c>
    </row>
    <row r="162" customFormat="false" ht="15" hidden="false" customHeight="false" outlineLevel="0" collapsed="false">
      <c r="A162" s="11" t="str">
        <f aca="false">IF(157&lt;=MAX(Employees!$BI$6:$BI$205),157,"")</f>
        <v/>
      </c>
      <c r="B162" s="11" t="str">
        <f aca="false">IF($A162="","",INDEX(Employees!$A$6:$A$205,MATCH($A162,Employees!$BI$6:$BI$205,0)))</f>
        <v/>
      </c>
      <c r="C162" s="11" t="str">
        <f aca="false">IF($A162="","",INDEX(Employees!$B$6:$B$205,MATCH($A162,Employees!$BI$6:$BI$205,0)))</f>
        <v/>
      </c>
      <c r="D162" s="11" t="str">
        <f aca="false">IF($A162="","",INDEX(Employees!$C$6:$C$205,MATCH($A162,Employees!$BI$6:$BI$205,0)))</f>
        <v/>
      </c>
      <c r="E162" s="11" t="str">
        <f aca="false">IF($A162="","",INDEX(Employees!$D$6:$D$205,MATCH($A162,Employees!$BI$6:$BI$205,0)))</f>
        <v/>
      </c>
      <c r="F162" s="11" t="str">
        <f aca="false">IF($A162="","",INDEX(Employees!$T$6:$T$205,MATCH($A162,Employees!$BI$6:$BI$205,0)))</f>
        <v/>
      </c>
      <c r="G162" s="26" t="str">
        <f aca="false">IF($A162="","",INDEX(Employees!$U$6:$U$205,MATCH($A162,Employees!$BI$6:$BI$205,0)))</f>
        <v/>
      </c>
      <c r="H162" s="28" t="str">
        <f aca="false">IF($A162="","",INDEX(Employees!$E$6:$E$205,MATCH($A162,Employees!$BI$6:$BI$205,0)))</f>
        <v/>
      </c>
      <c r="I162" s="11" t="str">
        <f aca="false">IF($A162="","",INDEX(Employees!$Z$6:$Z$205,MATCH($A162,Employees!$BI$6:$BI$205,0)))</f>
        <v/>
      </c>
      <c r="J162" s="26" t="str">
        <f aca="false">IF($A162="","",INDEX(Employees!$AB$6:$AB$205,MATCH($A162,Employees!$BI$6:$BI$205,0)))</f>
        <v/>
      </c>
      <c r="K162" s="26" t="str">
        <f aca="false">IF($A162="","",INDEX(Employees!$AI$6:$AI$205,MATCH($A162,Employees!$BI$6:$BI$205,0)))</f>
        <v/>
      </c>
      <c r="L162" s="26" t="str">
        <f aca="false">IF($A162="","",INDEX(Employees!$AK$6:$AK$205,MATCH($A162,Employees!$BI$6:$BI$205,0)))</f>
        <v/>
      </c>
      <c r="M162" s="11" t="str">
        <f aca="false">IF($A162="","",INDEX(Employees!$AM$6:$AM$205,MATCH($A162,Employees!$BI$6:$BI$205,0)))</f>
        <v/>
      </c>
      <c r="N162" s="11" t="str">
        <f aca="false">IF($A162="","",INDEX(Employees!$AN$6:$AN$205,MATCH($A162,Employees!$BI$6:$BI$205,0)))</f>
        <v/>
      </c>
    </row>
    <row r="163" customFormat="false" ht="15" hidden="false" customHeight="false" outlineLevel="0" collapsed="false">
      <c r="A163" s="11" t="str">
        <f aca="false">IF(158&lt;=MAX(Employees!$BI$6:$BI$205),158,"")</f>
        <v/>
      </c>
      <c r="B163" s="11" t="str">
        <f aca="false">IF($A163="","",INDEX(Employees!$A$6:$A$205,MATCH($A163,Employees!$BI$6:$BI$205,0)))</f>
        <v/>
      </c>
      <c r="C163" s="11" t="str">
        <f aca="false">IF($A163="","",INDEX(Employees!$B$6:$B$205,MATCH($A163,Employees!$BI$6:$BI$205,0)))</f>
        <v/>
      </c>
      <c r="D163" s="11" t="str">
        <f aca="false">IF($A163="","",INDEX(Employees!$C$6:$C$205,MATCH($A163,Employees!$BI$6:$BI$205,0)))</f>
        <v/>
      </c>
      <c r="E163" s="11" t="str">
        <f aca="false">IF($A163="","",INDEX(Employees!$D$6:$D$205,MATCH($A163,Employees!$BI$6:$BI$205,0)))</f>
        <v/>
      </c>
      <c r="F163" s="11" t="str">
        <f aca="false">IF($A163="","",INDEX(Employees!$T$6:$T$205,MATCH($A163,Employees!$BI$6:$BI$205,0)))</f>
        <v/>
      </c>
      <c r="G163" s="26" t="str">
        <f aca="false">IF($A163="","",INDEX(Employees!$U$6:$U$205,MATCH($A163,Employees!$BI$6:$BI$205,0)))</f>
        <v/>
      </c>
      <c r="H163" s="28" t="str">
        <f aca="false">IF($A163="","",INDEX(Employees!$E$6:$E$205,MATCH($A163,Employees!$BI$6:$BI$205,0)))</f>
        <v/>
      </c>
      <c r="I163" s="11" t="str">
        <f aca="false">IF($A163="","",INDEX(Employees!$Z$6:$Z$205,MATCH($A163,Employees!$BI$6:$BI$205,0)))</f>
        <v/>
      </c>
      <c r="J163" s="26" t="str">
        <f aca="false">IF($A163="","",INDEX(Employees!$AB$6:$AB$205,MATCH($A163,Employees!$BI$6:$BI$205,0)))</f>
        <v/>
      </c>
      <c r="K163" s="26" t="str">
        <f aca="false">IF($A163="","",INDEX(Employees!$AI$6:$AI$205,MATCH($A163,Employees!$BI$6:$BI$205,0)))</f>
        <v/>
      </c>
      <c r="L163" s="26" t="str">
        <f aca="false">IF($A163="","",INDEX(Employees!$AK$6:$AK$205,MATCH($A163,Employees!$BI$6:$BI$205,0)))</f>
        <v/>
      </c>
      <c r="M163" s="11" t="str">
        <f aca="false">IF($A163="","",INDEX(Employees!$AM$6:$AM$205,MATCH($A163,Employees!$BI$6:$BI$205,0)))</f>
        <v/>
      </c>
      <c r="N163" s="11" t="str">
        <f aca="false">IF($A163="","",INDEX(Employees!$AN$6:$AN$205,MATCH($A163,Employees!$BI$6:$BI$205,0)))</f>
        <v/>
      </c>
    </row>
    <row r="164" customFormat="false" ht="15" hidden="false" customHeight="false" outlineLevel="0" collapsed="false">
      <c r="A164" s="11" t="str">
        <f aca="false">IF(159&lt;=MAX(Employees!$BI$6:$BI$205),159,"")</f>
        <v/>
      </c>
      <c r="B164" s="11" t="str">
        <f aca="false">IF($A164="","",INDEX(Employees!$A$6:$A$205,MATCH($A164,Employees!$BI$6:$BI$205,0)))</f>
        <v/>
      </c>
      <c r="C164" s="11" t="str">
        <f aca="false">IF($A164="","",INDEX(Employees!$B$6:$B$205,MATCH($A164,Employees!$BI$6:$BI$205,0)))</f>
        <v/>
      </c>
      <c r="D164" s="11" t="str">
        <f aca="false">IF($A164="","",INDEX(Employees!$C$6:$C$205,MATCH($A164,Employees!$BI$6:$BI$205,0)))</f>
        <v/>
      </c>
      <c r="E164" s="11" t="str">
        <f aca="false">IF($A164="","",INDEX(Employees!$D$6:$D$205,MATCH($A164,Employees!$BI$6:$BI$205,0)))</f>
        <v/>
      </c>
      <c r="F164" s="11" t="str">
        <f aca="false">IF($A164="","",INDEX(Employees!$T$6:$T$205,MATCH($A164,Employees!$BI$6:$BI$205,0)))</f>
        <v/>
      </c>
      <c r="G164" s="26" t="str">
        <f aca="false">IF($A164="","",INDEX(Employees!$U$6:$U$205,MATCH($A164,Employees!$BI$6:$BI$205,0)))</f>
        <v/>
      </c>
      <c r="H164" s="28" t="str">
        <f aca="false">IF($A164="","",INDEX(Employees!$E$6:$E$205,MATCH($A164,Employees!$BI$6:$BI$205,0)))</f>
        <v/>
      </c>
      <c r="I164" s="11" t="str">
        <f aca="false">IF($A164="","",INDEX(Employees!$Z$6:$Z$205,MATCH($A164,Employees!$BI$6:$BI$205,0)))</f>
        <v/>
      </c>
      <c r="J164" s="26" t="str">
        <f aca="false">IF($A164="","",INDEX(Employees!$AB$6:$AB$205,MATCH($A164,Employees!$BI$6:$BI$205,0)))</f>
        <v/>
      </c>
      <c r="K164" s="26" t="str">
        <f aca="false">IF($A164="","",INDEX(Employees!$AI$6:$AI$205,MATCH($A164,Employees!$BI$6:$BI$205,0)))</f>
        <v/>
      </c>
      <c r="L164" s="26" t="str">
        <f aca="false">IF($A164="","",INDEX(Employees!$AK$6:$AK$205,MATCH($A164,Employees!$BI$6:$BI$205,0)))</f>
        <v/>
      </c>
      <c r="M164" s="11" t="str">
        <f aca="false">IF($A164="","",INDEX(Employees!$AM$6:$AM$205,MATCH($A164,Employees!$BI$6:$BI$205,0)))</f>
        <v/>
      </c>
      <c r="N164" s="11" t="str">
        <f aca="false">IF($A164="","",INDEX(Employees!$AN$6:$AN$205,MATCH($A164,Employees!$BI$6:$BI$205,0)))</f>
        <v/>
      </c>
    </row>
    <row r="165" customFormat="false" ht="15" hidden="false" customHeight="false" outlineLevel="0" collapsed="false">
      <c r="A165" s="11" t="str">
        <f aca="false">IF(160&lt;=MAX(Employees!$BI$6:$BI$205),160,"")</f>
        <v/>
      </c>
      <c r="B165" s="11" t="str">
        <f aca="false">IF($A165="","",INDEX(Employees!$A$6:$A$205,MATCH($A165,Employees!$BI$6:$BI$205,0)))</f>
        <v/>
      </c>
      <c r="C165" s="11" t="str">
        <f aca="false">IF($A165="","",INDEX(Employees!$B$6:$B$205,MATCH($A165,Employees!$BI$6:$BI$205,0)))</f>
        <v/>
      </c>
      <c r="D165" s="11" t="str">
        <f aca="false">IF($A165="","",INDEX(Employees!$C$6:$C$205,MATCH($A165,Employees!$BI$6:$BI$205,0)))</f>
        <v/>
      </c>
      <c r="E165" s="11" t="str">
        <f aca="false">IF($A165="","",INDEX(Employees!$D$6:$D$205,MATCH($A165,Employees!$BI$6:$BI$205,0)))</f>
        <v/>
      </c>
      <c r="F165" s="11" t="str">
        <f aca="false">IF($A165="","",INDEX(Employees!$T$6:$T$205,MATCH($A165,Employees!$BI$6:$BI$205,0)))</f>
        <v/>
      </c>
      <c r="G165" s="26" t="str">
        <f aca="false">IF($A165="","",INDEX(Employees!$U$6:$U$205,MATCH($A165,Employees!$BI$6:$BI$205,0)))</f>
        <v/>
      </c>
      <c r="H165" s="28" t="str">
        <f aca="false">IF($A165="","",INDEX(Employees!$E$6:$E$205,MATCH($A165,Employees!$BI$6:$BI$205,0)))</f>
        <v/>
      </c>
      <c r="I165" s="11" t="str">
        <f aca="false">IF($A165="","",INDEX(Employees!$Z$6:$Z$205,MATCH($A165,Employees!$BI$6:$BI$205,0)))</f>
        <v/>
      </c>
      <c r="J165" s="26" t="str">
        <f aca="false">IF($A165="","",INDEX(Employees!$AB$6:$AB$205,MATCH($A165,Employees!$BI$6:$BI$205,0)))</f>
        <v/>
      </c>
      <c r="K165" s="26" t="str">
        <f aca="false">IF($A165="","",INDEX(Employees!$AI$6:$AI$205,MATCH($A165,Employees!$BI$6:$BI$205,0)))</f>
        <v/>
      </c>
      <c r="L165" s="26" t="str">
        <f aca="false">IF($A165="","",INDEX(Employees!$AK$6:$AK$205,MATCH($A165,Employees!$BI$6:$BI$205,0)))</f>
        <v/>
      </c>
      <c r="M165" s="11" t="str">
        <f aca="false">IF($A165="","",INDEX(Employees!$AM$6:$AM$205,MATCH($A165,Employees!$BI$6:$BI$205,0)))</f>
        <v/>
      </c>
      <c r="N165" s="11" t="str">
        <f aca="false">IF($A165="","",INDEX(Employees!$AN$6:$AN$205,MATCH($A165,Employees!$BI$6:$BI$205,0)))</f>
        <v/>
      </c>
    </row>
    <row r="166" customFormat="false" ht="15" hidden="false" customHeight="false" outlineLevel="0" collapsed="false">
      <c r="A166" s="11" t="str">
        <f aca="false">IF(161&lt;=MAX(Employees!$BI$6:$BI$205),161,"")</f>
        <v/>
      </c>
      <c r="B166" s="11" t="str">
        <f aca="false">IF($A166="","",INDEX(Employees!$A$6:$A$205,MATCH($A166,Employees!$BI$6:$BI$205,0)))</f>
        <v/>
      </c>
      <c r="C166" s="11" t="str">
        <f aca="false">IF($A166="","",INDEX(Employees!$B$6:$B$205,MATCH($A166,Employees!$BI$6:$BI$205,0)))</f>
        <v/>
      </c>
      <c r="D166" s="11" t="str">
        <f aca="false">IF($A166="","",INDEX(Employees!$C$6:$C$205,MATCH($A166,Employees!$BI$6:$BI$205,0)))</f>
        <v/>
      </c>
      <c r="E166" s="11" t="str">
        <f aca="false">IF($A166="","",INDEX(Employees!$D$6:$D$205,MATCH($A166,Employees!$BI$6:$BI$205,0)))</f>
        <v/>
      </c>
      <c r="F166" s="11" t="str">
        <f aca="false">IF($A166="","",INDEX(Employees!$T$6:$T$205,MATCH($A166,Employees!$BI$6:$BI$205,0)))</f>
        <v/>
      </c>
      <c r="G166" s="26" t="str">
        <f aca="false">IF($A166="","",INDEX(Employees!$U$6:$U$205,MATCH($A166,Employees!$BI$6:$BI$205,0)))</f>
        <v/>
      </c>
      <c r="H166" s="28" t="str">
        <f aca="false">IF($A166="","",INDEX(Employees!$E$6:$E$205,MATCH($A166,Employees!$BI$6:$BI$205,0)))</f>
        <v/>
      </c>
      <c r="I166" s="11" t="str">
        <f aca="false">IF($A166="","",INDEX(Employees!$Z$6:$Z$205,MATCH($A166,Employees!$BI$6:$BI$205,0)))</f>
        <v/>
      </c>
      <c r="J166" s="26" t="str">
        <f aca="false">IF($A166="","",INDEX(Employees!$AB$6:$AB$205,MATCH($A166,Employees!$BI$6:$BI$205,0)))</f>
        <v/>
      </c>
      <c r="K166" s="26" t="str">
        <f aca="false">IF($A166="","",INDEX(Employees!$AI$6:$AI$205,MATCH($A166,Employees!$BI$6:$BI$205,0)))</f>
        <v/>
      </c>
      <c r="L166" s="26" t="str">
        <f aca="false">IF($A166="","",INDEX(Employees!$AK$6:$AK$205,MATCH($A166,Employees!$BI$6:$BI$205,0)))</f>
        <v/>
      </c>
      <c r="M166" s="11" t="str">
        <f aca="false">IF($A166="","",INDEX(Employees!$AM$6:$AM$205,MATCH($A166,Employees!$BI$6:$BI$205,0)))</f>
        <v/>
      </c>
      <c r="N166" s="11" t="str">
        <f aca="false">IF($A166="","",INDEX(Employees!$AN$6:$AN$205,MATCH($A166,Employees!$BI$6:$BI$205,0)))</f>
        <v/>
      </c>
    </row>
    <row r="167" customFormat="false" ht="15" hidden="false" customHeight="false" outlineLevel="0" collapsed="false">
      <c r="A167" s="11" t="str">
        <f aca="false">IF(162&lt;=MAX(Employees!$BI$6:$BI$205),162,"")</f>
        <v/>
      </c>
      <c r="B167" s="11" t="str">
        <f aca="false">IF($A167="","",INDEX(Employees!$A$6:$A$205,MATCH($A167,Employees!$BI$6:$BI$205,0)))</f>
        <v/>
      </c>
      <c r="C167" s="11" t="str">
        <f aca="false">IF($A167="","",INDEX(Employees!$B$6:$B$205,MATCH($A167,Employees!$BI$6:$BI$205,0)))</f>
        <v/>
      </c>
      <c r="D167" s="11" t="str">
        <f aca="false">IF($A167="","",INDEX(Employees!$C$6:$C$205,MATCH($A167,Employees!$BI$6:$BI$205,0)))</f>
        <v/>
      </c>
      <c r="E167" s="11" t="str">
        <f aca="false">IF($A167="","",INDEX(Employees!$D$6:$D$205,MATCH($A167,Employees!$BI$6:$BI$205,0)))</f>
        <v/>
      </c>
      <c r="F167" s="11" t="str">
        <f aca="false">IF($A167="","",INDEX(Employees!$T$6:$T$205,MATCH($A167,Employees!$BI$6:$BI$205,0)))</f>
        <v/>
      </c>
      <c r="G167" s="26" t="str">
        <f aca="false">IF($A167="","",INDEX(Employees!$U$6:$U$205,MATCH($A167,Employees!$BI$6:$BI$205,0)))</f>
        <v/>
      </c>
      <c r="H167" s="28" t="str">
        <f aca="false">IF($A167="","",INDEX(Employees!$E$6:$E$205,MATCH($A167,Employees!$BI$6:$BI$205,0)))</f>
        <v/>
      </c>
      <c r="I167" s="11" t="str">
        <f aca="false">IF($A167="","",INDEX(Employees!$Z$6:$Z$205,MATCH($A167,Employees!$BI$6:$BI$205,0)))</f>
        <v/>
      </c>
      <c r="J167" s="26" t="str">
        <f aca="false">IF($A167="","",INDEX(Employees!$AB$6:$AB$205,MATCH($A167,Employees!$BI$6:$BI$205,0)))</f>
        <v/>
      </c>
      <c r="K167" s="26" t="str">
        <f aca="false">IF($A167="","",INDEX(Employees!$AI$6:$AI$205,MATCH($A167,Employees!$BI$6:$BI$205,0)))</f>
        <v/>
      </c>
      <c r="L167" s="26" t="str">
        <f aca="false">IF($A167="","",INDEX(Employees!$AK$6:$AK$205,MATCH($A167,Employees!$BI$6:$BI$205,0)))</f>
        <v/>
      </c>
      <c r="M167" s="11" t="str">
        <f aca="false">IF($A167="","",INDEX(Employees!$AM$6:$AM$205,MATCH($A167,Employees!$BI$6:$BI$205,0)))</f>
        <v/>
      </c>
      <c r="N167" s="11" t="str">
        <f aca="false">IF($A167="","",INDEX(Employees!$AN$6:$AN$205,MATCH($A167,Employees!$BI$6:$BI$205,0)))</f>
        <v/>
      </c>
    </row>
    <row r="168" customFormat="false" ht="15" hidden="false" customHeight="false" outlineLevel="0" collapsed="false">
      <c r="A168" s="11" t="str">
        <f aca="false">IF(163&lt;=MAX(Employees!$BI$6:$BI$205),163,"")</f>
        <v/>
      </c>
      <c r="B168" s="11" t="str">
        <f aca="false">IF($A168="","",INDEX(Employees!$A$6:$A$205,MATCH($A168,Employees!$BI$6:$BI$205,0)))</f>
        <v/>
      </c>
      <c r="C168" s="11" t="str">
        <f aca="false">IF($A168="","",INDEX(Employees!$B$6:$B$205,MATCH($A168,Employees!$BI$6:$BI$205,0)))</f>
        <v/>
      </c>
      <c r="D168" s="11" t="str">
        <f aca="false">IF($A168="","",INDEX(Employees!$C$6:$C$205,MATCH($A168,Employees!$BI$6:$BI$205,0)))</f>
        <v/>
      </c>
      <c r="E168" s="11" t="str">
        <f aca="false">IF($A168="","",INDEX(Employees!$D$6:$D$205,MATCH($A168,Employees!$BI$6:$BI$205,0)))</f>
        <v/>
      </c>
      <c r="F168" s="11" t="str">
        <f aca="false">IF($A168="","",INDEX(Employees!$T$6:$T$205,MATCH($A168,Employees!$BI$6:$BI$205,0)))</f>
        <v/>
      </c>
      <c r="G168" s="26" t="str">
        <f aca="false">IF($A168="","",INDEX(Employees!$U$6:$U$205,MATCH($A168,Employees!$BI$6:$BI$205,0)))</f>
        <v/>
      </c>
      <c r="H168" s="28" t="str">
        <f aca="false">IF($A168="","",INDEX(Employees!$E$6:$E$205,MATCH($A168,Employees!$BI$6:$BI$205,0)))</f>
        <v/>
      </c>
      <c r="I168" s="11" t="str">
        <f aca="false">IF($A168="","",INDEX(Employees!$Z$6:$Z$205,MATCH($A168,Employees!$BI$6:$BI$205,0)))</f>
        <v/>
      </c>
      <c r="J168" s="26" t="str">
        <f aca="false">IF($A168="","",INDEX(Employees!$AB$6:$AB$205,MATCH($A168,Employees!$BI$6:$BI$205,0)))</f>
        <v/>
      </c>
      <c r="K168" s="26" t="str">
        <f aca="false">IF($A168="","",INDEX(Employees!$AI$6:$AI$205,MATCH($A168,Employees!$BI$6:$BI$205,0)))</f>
        <v/>
      </c>
      <c r="L168" s="26" t="str">
        <f aca="false">IF($A168="","",INDEX(Employees!$AK$6:$AK$205,MATCH($A168,Employees!$BI$6:$BI$205,0)))</f>
        <v/>
      </c>
      <c r="M168" s="11" t="str">
        <f aca="false">IF($A168="","",INDEX(Employees!$AM$6:$AM$205,MATCH($A168,Employees!$BI$6:$BI$205,0)))</f>
        <v/>
      </c>
      <c r="N168" s="11" t="str">
        <f aca="false">IF($A168="","",INDEX(Employees!$AN$6:$AN$205,MATCH($A168,Employees!$BI$6:$BI$205,0)))</f>
        <v/>
      </c>
    </row>
    <row r="169" customFormat="false" ht="15" hidden="false" customHeight="false" outlineLevel="0" collapsed="false">
      <c r="A169" s="11" t="str">
        <f aca="false">IF(164&lt;=MAX(Employees!$BI$6:$BI$205),164,"")</f>
        <v/>
      </c>
      <c r="B169" s="11" t="str">
        <f aca="false">IF($A169="","",INDEX(Employees!$A$6:$A$205,MATCH($A169,Employees!$BI$6:$BI$205,0)))</f>
        <v/>
      </c>
      <c r="C169" s="11" t="str">
        <f aca="false">IF($A169="","",INDEX(Employees!$B$6:$B$205,MATCH($A169,Employees!$BI$6:$BI$205,0)))</f>
        <v/>
      </c>
      <c r="D169" s="11" t="str">
        <f aca="false">IF($A169="","",INDEX(Employees!$C$6:$C$205,MATCH($A169,Employees!$BI$6:$BI$205,0)))</f>
        <v/>
      </c>
      <c r="E169" s="11" t="str">
        <f aca="false">IF($A169="","",INDEX(Employees!$D$6:$D$205,MATCH($A169,Employees!$BI$6:$BI$205,0)))</f>
        <v/>
      </c>
      <c r="F169" s="11" t="str">
        <f aca="false">IF($A169="","",INDEX(Employees!$T$6:$T$205,MATCH($A169,Employees!$BI$6:$BI$205,0)))</f>
        <v/>
      </c>
      <c r="G169" s="26" t="str">
        <f aca="false">IF($A169="","",INDEX(Employees!$U$6:$U$205,MATCH($A169,Employees!$BI$6:$BI$205,0)))</f>
        <v/>
      </c>
      <c r="H169" s="28" t="str">
        <f aca="false">IF($A169="","",INDEX(Employees!$E$6:$E$205,MATCH($A169,Employees!$BI$6:$BI$205,0)))</f>
        <v/>
      </c>
      <c r="I169" s="11" t="str">
        <f aca="false">IF($A169="","",INDEX(Employees!$Z$6:$Z$205,MATCH($A169,Employees!$BI$6:$BI$205,0)))</f>
        <v/>
      </c>
      <c r="J169" s="26" t="str">
        <f aca="false">IF($A169="","",INDEX(Employees!$AB$6:$AB$205,MATCH($A169,Employees!$BI$6:$BI$205,0)))</f>
        <v/>
      </c>
      <c r="K169" s="26" t="str">
        <f aca="false">IF($A169="","",INDEX(Employees!$AI$6:$AI$205,MATCH($A169,Employees!$BI$6:$BI$205,0)))</f>
        <v/>
      </c>
      <c r="L169" s="26" t="str">
        <f aca="false">IF($A169="","",INDEX(Employees!$AK$6:$AK$205,MATCH($A169,Employees!$BI$6:$BI$205,0)))</f>
        <v/>
      </c>
      <c r="M169" s="11" t="str">
        <f aca="false">IF($A169="","",INDEX(Employees!$AM$6:$AM$205,MATCH($A169,Employees!$BI$6:$BI$205,0)))</f>
        <v/>
      </c>
      <c r="N169" s="11" t="str">
        <f aca="false">IF($A169="","",INDEX(Employees!$AN$6:$AN$205,MATCH($A169,Employees!$BI$6:$BI$205,0)))</f>
        <v/>
      </c>
    </row>
    <row r="170" customFormat="false" ht="15" hidden="false" customHeight="false" outlineLevel="0" collapsed="false">
      <c r="A170" s="11" t="str">
        <f aca="false">IF(165&lt;=MAX(Employees!$BI$6:$BI$205),165,"")</f>
        <v/>
      </c>
      <c r="B170" s="11" t="str">
        <f aca="false">IF($A170="","",INDEX(Employees!$A$6:$A$205,MATCH($A170,Employees!$BI$6:$BI$205,0)))</f>
        <v/>
      </c>
      <c r="C170" s="11" t="str">
        <f aca="false">IF($A170="","",INDEX(Employees!$B$6:$B$205,MATCH($A170,Employees!$BI$6:$BI$205,0)))</f>
        <v/>
      </c>
      <c r="D170" s="11" t="str">
        <f aca="false">IF($A170="","",INDEX(Employees!$C$6:$C$205,MATCH($A170,Employees!$BI$6:$BI$205,0)))</f>
        <v/>
      </c>
      <c r="E170" s="11" t="str">
        <f aca="false">IF($A170="","",INDEX(Employees!$D$6:$D$205,MATCH($A170,Employees!$BI$6:$BI$205,0)))</f>
        <v/>
      </c>
      <c r="F170" s="11" t="str">
        <f aca="false">IF($A170="","",INDEX(Employees!$T$6:$T$205,MATCH($A170,Employees!$BI$6:$BI$205,0)))</f>
        <v/>
      </c>
      <c r="G170" s="26" t="str">
        <f aca="false">IF($A170="","",INDEX(Employees!$U$6:$U$205,MATCH($A170,Employees!$BI$6:$BI$205,0)))</f>
        <v/>
      </c>
      <c r="H170" s="28" t="str">
        <f aca="false">IF($A170="","",INDEX(Employees!$E$6:$E$205,MATCH($A170,Employees!$BI$6:$BI$205,0)))</f>
        <v/>
      </c>
      <c r="I170" s="11" t="str">
        <f aca="false">IF($A170="","",INDEX(Employees!$Z$6:$Z$205,MATCH($A170,Employees!$BI$6:$BI$205,0)))</f>
        <v/>
      </c>
      <c r="J170" s="26" t="str">
        <f aca="false">IF($A170="","",INDEX(Employees!$AB$6:$AB$205,MATCH($A170,Employees!$BI$6:$BI$205,0)))</f>
        <v/>
      </c>
      <c r="K170" s="26" t="str">
        <f aca="false">IF($A170="","",INDEX(Employees!$AI$6:$AI$205,MATCH($A170,Employees!$BI$6:$BI$205,0)))</f>
        <v/>
      </c>
      <c r="L170" s="26" t="str">
        <f aca="false">IF($A170="","",INDEX(Employees!$AK$6:$AK$205,MATCH($A170,Employees!$BI$6:$BI$205,0)))</f>
        <v/>
      </c>
      <c r="M170" s="11" t="str">
        <f aca="false">IF($A170="","",INDEX(Employees!$AM$6:$AM$205,MATCH($A170,Employees!$BI$6:$BI$205,0)))</f>
        <v/>
      </c>
      <c r="N170" s="11" t="str">
        <f aca="false">IF($A170="","",INDEX(Employees!$AN$6:$AN$205,MATCH($A170,Employees!$BI$6:$BI$205,0)))</f>
        <v/>
      </c>
    </row>
    <row r="171" customFormat="false" ht="15" hidden="false" customHeight="false" outlineLevel="0" collapsed="false">
      <c r="A171" s="11" t="str">
        <f aca="false">IF(166&lt;=MAX(Employees!$BI$6:$BI$205),166,"")</f>
        <v/>
      </c>
      <c r="B171" s="11" t="str">
        <f aca="false">IF($A171="","",INDEX(Employees!$A$6:$A$205,MATCH($A171,Employees!$BI$6:$BI$205,0)))</f>
        <v/>
      </c>
      <c r="C171" s="11" t="str">
        <f aca="false">IF($A171="","",INDEX(Employees!$B$6:$B$205,MATCH($A171,Employees!$BI$6:$BI$205,0)))</f>
        <v/>
      </c>
      <c r="D171" s="11" t="str">
        <f aca="false">IF($A171="","",INDEX(Employees!$C$6:$C$205,MATCH($A171,Employees!$BI$6:$BI$205,0)))</f>
        <v/>
      </c>
      <c r="E171" s="11" t="str">
        <f aca="false">IF($A171="","",INDEX(Employees!$D$6:$D$205,MATCH($A171,Employees!$BI$6:$BI$205,0)))</f>
        <v/>
      </c>
      <c r="F171" s="11" t="str">
        <f aca="false">IF($A171="","",INDEX(Employees!$T$6:$T$205,MATCH($A171,Employees!$BI$6:$BI$205,0)))</f>
        <v/>
      </c>
      <c r="G171" s="26" t="str">
        <f aca="false">IF($A171="","",INDEX(Employees!$U$6:$U$205,MATCH($A171,Employees!$BI$6:$BI$205,0)))</f>
        <v/>
      </c>
      <c r="H171" s="28" t="str">
        <f aca="false">IF($A171="","",INDEX(Employees!$E$6:$E$205,MATCH($A171,Employees!$BI$6:$BI$205,0)))</f>
        <v/>
      </c>
      <c r="I171" s="11" t="str">
        <f aca="false">IF($A171="","",INDEX(Employees!$Z$6:$Z$205,MATCH($A171,Employees!$BI$6:$BI$205,0)))</f>
        <v/>
      </c>
      <c r="J171" s="26" t="str">
        <f aca="false">IF($A171="","",INDEX(Employees!$AB$6:$AB$205,MATCH($A171,Employees!$BI$6:$BI$205,0)))</f>
        <v/>
      </c>
      <c r="K171" s="26" t="str">
        <f aca="false">IF($A171="","",INDEX(Employees!$AI$6:$AI$205,MATCH($A171,Employees!$BI$6:$BI$205,0)))</f>
        <v/>
      </c>
      <c r="L171" s="26" t="str">
        <f aca="false">IF($A171="","",INDEX(Employees!$AK$6:$AK$205,MATCH($A171,Employees!$BI$6:$BI$205,0)))</f>
        <v/>
      </c>
      <c r="M171" s="11" t="str">
        <f aca="false">IF($A171="","",INDEX(Employees!$AM$6:$AM$205,MATCH($A171,Employees!$BI$6:$BI$205,0)))</f>
        <v/>
      </c>
      <c r="N171" s="11" t="str">
        <f aca="false">IF($A171="","",INDEX(Employees!$AN$6:$AN$205,MATCH($A171,Employees!$BI$6:$BI$205,0)))</f>
        <v/>
      </c>
    </row>
    <row r="172" customFormat="false" ht="15" hidden="false" customHeight="false" outlineLevel="0" collapsed="false">
      <c r="A172" s="11" t="str">
        <f aca="false">IF(167&lt;=MAX(Employees!$BI$6:$BI$205),167,"")</f>
        <v/>
      </c>
      <c r="B172" s="11" t="str">
        <f aca="false">IF($A172="","",INDEX(Employees!$A$6:$A$205,MATCH($A172,Employees!$BI$6:$BI$205,0)))</f>
        <v/>
      </c>
      <c r="C172" s="11" t="str">
        <f aca="false">IF($A172="","",INDEX(Employees!$B$6:$B$205,MATCH($A172,Employees!$BI$6:$BI$205,0)))</f>
        <v/>
      </c>
      <c r="D172" s="11" t="str">
        <f aca="false">IF($A172="","",INDEX(Employees!$C$6:$C$205,MATCH($A172,Employees!$BI$6:$BI$205,0)))</f>
        <v/>
      </c>
      <c r="E172" s="11" t="str">
        <f aca="false">IF($A172="","",INDEX(Employees!$D$6:$D$205,MATCH($A172,Employees!$BI$6:$BI$205,0)))</f>
        <v/>
      </c>
      <c r="F172" s="11" t="str">
        <f aca="false">IF($A172="","",INDEX(Employees!$T$6:$T$205,MATCH($A172,Employees!$BI$6:$BI$205,0)))</f>
        <v/>
      </c>
      <c r="G172" s="26" t="str">
        <f aca="false">IF($A172="","",INDEX(Employees!$U$6:$U$205,MATCH($A172,Employees!$BI$6:$BI$205,0)))</f>
        <v/>
      </c>
      <c r="H172" s="28" t="str">
        <f aca="false">IF($A172="","",INDEX(Employees!$E$6:$E$205,MATCH($A172,Employees!$BI$6:$BI$205,0)))</f>
        <v/>
      </c>
      <c r="I172" s="11" t="str">
        <f aca="false">IF($A172="","",INDEX(Employees!$Z$6:$Z$205,MATCH($A172,Employees!$BI$6:$BI$205,0)))</f>
        <v/>
      </c>
      <c r="J172" s="26" t="str">
        <f aca="false">IF($A172="","",INDEX(Employees!$AB$6:$AB$205,MATCH($A172,Employees!$BI$6:$BI$205,0)))</f>
        <v/>
      </c>
      <c r="K172" s="26" t="str">
        <f aca="false">IF($A172="","",INDEX(Employees!$AI$6:$AI$205,MATCH($A172,Employees!$BI$6:$BI$205,0)))</f>
        <v/>
      </c>
      <c r="L172" s="26" t="str">
        <f aca="false">IF($A172="","",INDEX(Employees!$AK$6:$AK$205,MATCH($A172,Employees!$BI$6:$BI$205,0)))</f>
        <v/>
      </c>
      <c r="M172" s="11" t="str">
        <f aca="false">IF($A172="","",INDEX(Employees!$AM$6:$AM$205,MATCH($A172,Employees!$BI$6:$BI$205,0)))</f>
        <v/>
      </c>
      <c r="N172" s="11" t="str">
        <f aca="false">IF($A172="","",INDEX(Employees!$AN$6:$AN$205,MATCH($A172,Employees!$BI$6:$BI$205,0)))</f>
        <v/>
      </c>
    </row>
    <row r="173" customFormat="false" ht="15" hidden="false" customHeight="false" outlineLevel="0" collapsed="false">
      <c r="A173" s="11" t="str">
        <f aca="false">IF(168&lt;=MAX(Employees!$BI$6:$BI$205),168,"")</f>
        <v/>
      </c>
      <c r="B173" s="11" t="str">
        <f aca="false">IF($A173="","",INDEX(Employees!$A$6:$A$205,MATCH($A173,Employees!$BI$6:$BI$205,0)))</f>
        <v/>
      </c>
      <c r="C173" s="11" t="str">
        <f aca="false">IF($A173="","",INDEX(Employees!$B$6:$B$205,MATCH($A173,Employees!$BI$6:$BI$205,0)))</f>
        <v/>
      </c>
      <c r="D173" s="11" t="str">
        <f aca="false">IF($A173="","",INDEX(Employees!$C$6:$C$205,MATCH($A173,Employees!$BI$6:$BI$205,0)))</f>
        <v/>
      </c>
      <c r="E173" s="11" t="str">
        <f aca="false">IF($A173="","",INDEX(Employees!$D$6:$D$205,MATCH($A173,Employees!$BI$6:$BI$205,0)))</f>
        <v/>
      </c>
      <c r="F173" s="11" t="str">
        <f aca="false">IF($A173="","",INDEX(Employees!$T$6:$T$205,MATCH($A173,Employees!$BI$6:$BI$205,0)))</f>
        <v/>
      </c>
      <c r="G173" s="26" t="str">
        <f aca="false">IF($A173="","",INDEX(Employees!$U$6:$U$205,MATCH($A173,Employees!$BI$6:$BI$205,0)))</f>
        <v/>
      </c>
      <c r="H173" s="28" t="str">
        <f aca="false">IF($A173="","",INDEX(Employees!$E$6:$E$205,MATCH($A173,Employees!$BI$6:$BI$205,0)))</f>
        <v/>
      </c>
      <c r="I173" s="11" t="str">
        <f aca="false">IF($A173="","",INDEX(Employees!$Z$6:$Z$205,MATCH($A173,Employees!$BI$6:$BI$205,0)))</f>
        <v/>
      </c>
      <c r="J173" s="26" t="str">
        <f aca="false">IF($A173="","",INDEX(Employees!$AB$6:$AB$205,MATCH($A173,Employees!$BI$6:$BI$205,0)))</f>
        <v/>
      </c>
      <c r="K173" s="26" t="str">
        <f aca="false">IF($A173="","",INDEX(Employees!$AI$6:$AI$205,MATCH($A173,Employees!$BI$6:$BI$205,0)))</f>
        <v/>
      </c>
      <c r="L173" s="26" t="str">
        <f aca="false">IF($A173="","",INDEX(Employees!$AK$6:$AK$205,MATCH($A173,Employees!$BI$6:$BI$205,0)))</f>
        <v/>
      </c>
      <c r="M173" s="11" t="str">
        <f aca="false">IF($A173="","",INDEX(Employees!$AM$6:$AM$205,MATCH($A173,Employees!$BI$6:$BI$205,0)))</f>
        <v/>
      </c>
      <c r="N173" s="11" t="str">
        <f aca="false">IF($A173="","",INDEX(Employees!$AN$6:$AN$205,MATCH($A173,Employees!$BI$6:$BI$205,0)))</f>
        <v/>
      </c>
    </row>
    <row r="174" customFormat="false" ht="15" hidden="false" customHeight="false" outlineLevel="0" collapsed="false">
      <c r="A174" s="11" t="str">
        <f aca="false">IF(169&lt;=MAX(Employees!$BI$6:$BI$205),169,"")</f>
        <v/>
      </c>
      <c r="B174" s="11" t="str">
        <f aca="false">IF($A174="","",INDEX(Employees!$A$6:$A$205,MATCH($A174,Employees!$BI$6:$BI$205,0)))</f>
        <v/>
      </c>
      <c r="C174" s="11" t="str">
        <f aca="false">IF($A174="","",INDEX(Employees!$B$6:$B$205,MATCH($A174,Employees!$BI$6:$BI$205,0)))</f>
        <v/>
      </c>
      <c r="D174" s="11" t="str">
        <f aca="false">IF($A174="","",INDEX(Employees!$C$6:$C$205,MATCH($A174,Employees!$BI$6:$BI$205,0)))</f>
        <v/>
      </c>
      <c r="E174" s="11" t="str">
        <f aca="false">IF($A174="","",INDEX(Employees!$D$6:$D$205,MATCH($A174,Employees!$BI$6:$BI$205,0)))</f>
        <v/>
      </c>
      <c r="F174" s="11" t="str">
        <f aca="false">IF($A174="","",INDEX(Employees!$T$6:$T$205,MATCH($A174,Employees!$BI$6:$BI$205,0)))</f>
        <v/>
      </c>
      <c r="G174" s="26" t="str">
        <f aca="false">IF($A174="","",INDEX(Employees!$U$6:$U$205,MATCH($A174,Employees!$BI$6:$BI$205,0)))</f>
        <v/>
      </c>
      <c r="H174" s="28" t="str">
        <f aca="false">IF($A174="","",INDEX(Employees!$E$6:$E$205,MATCH($A174,Employees!$BI$6:$BI$205,0)))</f>
        <v/>
      </c>
      <c r="I174" s="11" t="str">
        <f aca="false">IF($A174="","",INDEX(Employees!$Z$6:$Z$205,MATCH($A174,Employees!$BI$6:$BI$205,0)))</f>
        <v/>
      </c>
      <c r="J174" s="26" t="str">
        <f aca="false">IF($A174="","",INDEX(Employees!$AB$6:$AB$205,MATCH($A174,Employees!$BI$6:$BI$205,0)))</f>
        <v/>
      </c>
      <c r="K174" s="26" t="str">
        <f aca="false">IF($A174="","",INDEX(Employees!$AI$6:$AI$205,MATCH($A174,Employees!$BI$6:$BI$205,0)))</f>
        <v/>
      </c>
      <c r="L174" s="26" t="str">
        <f aca="false">IF($A174="","",INDEX(Employees!$AK$6:$AK$205,MATCH($A174,Employees!$BI$6:$BI$205,0)))</f>
        <v/>
      </c>
      <c r="M174" s="11" t="str">
        <f aca="false">IF($A174="","",INDEX(Employees!$AM$6:$AM$205,MATCH($A174,Employees!$BI$6:$BI$205,0)))</f>
        <v/>
      </c>
      <c r="N174" s="11" t="str">
        <f aca="false">IF($A174="","",INDEX(Employees!$AN$6:$AN$205,MATCH($A174,Employees!$BI$6:$BI$205,0)))</f>
        <v/>
      </c>
    </row>
    <row r="175" customFormat="false" ht="15" hidden="false" customHeight="false" outlineLevel="0" collapsed="false">
      <c r="A175" s="11" t="str">
        <f aca="false">IF(170&lt;=MAX(Employees!$BI$6:$BI$205),170,"")</f>
        <v/>
      </c>
      <c r="B175" s="11" t="str">
        <f aca="false">IF($A175="","",INDEX(Employees!$A$6:$A$205,MATCH($A175,Employees!$BI$6:$BI$205,0)))</f>
        <v/>
      </c>
      <c r="C175" s="11" t="str">
        <f aca="false">IF($A175="","",INDEX(Employees!$B$6:$B$205,MATCH($A175,Employees!$BI$6:$BI$205,0)))</f>
        <v/>
      </c>
      <c r="D175" s="11" t="str">
        <f aca="false">IF($A175="","",INDEX(Employees!$C$6:$C$205,MATCH($A175,Employees!$BI$6:$BI$205,0)))</f>
        <v/>
      </c>
      <c r="E175" s="11" t="str">
        <f aca="false">IF($A175="","",INDEX(Employees!$D$6:$D$205,MATCH($A175,Employees!$BI$6:$BI$205,0)))</f>
        <v/>
      </c>
      <c r="F175" s="11" t="str">
        <f aca="false">IF($A175="","",INDEX(Employees!$T$6:$T$205,MATCH($A175,Employees!$BI$6:$BI$205,0)))</f>
        <v/>
      </c>
      <c r="G175" s="26" t="str">
        <f aca="false">IF($A175="","",INDEX(Employees!$U$6:$U$205,MATCH($A175,Employees!$BI$6:$BI$205,0)))</f>
        <v/>
      </c>
      <c r="H175" s="28" t="str">
        <f aca="false">IF($A175="","",INDEX(Employees!$E$6:$E$205,MATCH($A175,Employees!$BI$6:$BI$205,0)))</f>
        <v/>
      </c>
      <c r="I175" s="11" t="str">
        <f aca="false">IF($A175="","",INDEX(Employees!$Z$6:$Z$205,MATCH($A175,Employees!$BI$6:$BI$205,0)))</f>
        <v/>
      </c>
      <c r="J175" s="26" t="str">
        <f aca="false">IF($A175="","",INDEX(Employees!$AB$6:$AB$205,MATCH($A175,Employees!$BI$6:$BI$205,0)))</f>
        <v/>
      </c>
      <c r="K175" s="26" t="str">
        <f aca="false">IF($A175="","",INDEX(Employees!$AI$6:$AI$205,MATCH($A175,Employees!$BI$6:$BI$205,0)))</f>
        <v/>
      </c>
      <c r="L175" s="26" t="str">
        <f aca="false">IF($A175="","",INDEX(Employees!$AK$6:$AK$205,MATCH($A175,Employees!$BI$6:$BI$205,0)))</f>
        <v/>
      </c>
      <c r="M175" s="11" t="str">
        <f aca="false">IF($A175="","",INDEX(Employees!$AM$6:$AM$205,MATCH($A175,Employees!$BI$6:$BI$205,0)))</f>
        <v/>
      </c>
      <c r="N175" s="11" t="str">
        <f aca="false">IF($A175="","",INDEX(Employees!$AN$6:$AN$205,MATCH($A175,Employees!$BI$6:$BI$205,0)))</f>
        <v/>
      </c>
    </row>
    <row r="176" customFormat="false" ht="15" hidden="false" customHeight="false" outlineLevel="0" collapsed="false">
      <c r="A176" s="11" t="str">
        <f aca="false">IF(171&lt;=MAX(Employees!$BI$6:$BI$205),171,"")</f>
        <v/>
      </c>
      <c r="B176" s="11" t="str">
        <f aca="false">IF($A176="","",INDEX(Employees!$A$6:$A$205,MATCH($A176,Employees!$BI$6:$BI$205,0)))</f>
        <v/>
      </c>
      <c r="C176" s="11" t="str">
        <f aca="false">IF($A176="","",INDEX(Employees!$B$6:$B$205,MATCH($A176,Employees!$BI$6:$BI$205,0)))</f>
        <v/>
      </c>
      <c r="D176" s="11" t="str">
        <f aca="false">IF($A176="","",INDEX(Employees!$C$6:$C$205,MATCH($A176,Employees!$BI$6:$BI$205,0)))</f>
        <v/>
      </c>
      <c r="E176" s="11" t="str">
        <f aca="false">IF($A176="","",INDEX(Employees!$D$6:$D$205,MATCH($A176,Employees!$BI$6:$BI$205,0)))</f>
        <v/>
      </c>
      <c r="F176" s="11" t="str">
        <f aca="false">IF($A176="","",INDEX(Employees!$T$6:$T$205,MATCH($A176,Employees!$BI$6:$BI$205,0)))</f>
        <v/>
      </c>
      <c r="G176" s="26" t="str">
        <f aca="false">IF($A176="","",INDEX(Employees!$U$6:$U$205,MATCH($A176,Employees!$BI$6:$BI$205,0)))</f>
        <v/>
      </c>
      <c r="H176" s="28" t="str">
        <f aca="false">IF($A176="","",INDEX(Employees!$E$6:$E$205,MATCH($A176,Employees!$BI$6:$BI$205,0)))</f>
        <v/>
      </c>
      <c r="I176" s="11" t="str">
        <f aca="false">IF($A176="","",INDEX(Employees!$Z$6:$Z$205,MATCH($A176,Employees!$BI$6:$BI$205,0)))</f>
        <v/>
      </c>
      <c r="J176" s="26" t="str">
        <f aca="false">IF($A176="","",INDEX(Employees!$AB$6:$AB$205,MATCH($A176,Employees!$BI$6:$BI$205,0)))</f>
        <v/>
      </c>
      <c r="K176" s="26" t="str">
        <f aca="false">IF($A176="","",INDEX(Employees!$AI$6:$AI$205,MATCH($A176,Employees!$BI$6:$BI$205,0)))</f>
        <v/>
      </c>
      <c r="L176" s="26" t="str">
        <f aca="false">IF($A176="","",INDEX(Employees!$AK$6:$AK$205,MATCH($A176,Employees!$BI$6:$BI$205,0)))</f>
        <v/>
      </c>
      <c r="M176" s="11" t="str">
        <f aca="false">IF($A176="","",INDEX(Employees!$AM$6:$AM$205,MATCH($A176,Employees!$BI$6:$BI$205,0)))</f>
        <v/>
      </c>
      <c r="N176" s="11" t="str">
        <f aca="false">IF($A176="","",INDEX(Employees!$AN$6:$AN$205,MATCH($A176,Employees!$BI$6:$BI$205,0)))</f>
        <v/>
      </c>
    </row>
    <row r="177" customFormat="false" ht="15" hidden="false" customHeight="false" outlineLevel="0" collapsed="false">
      <c r="A177" s="11" t="str">
        <f aca="false">IF(172&lt;=MAX(Employees!$BI$6:$BI$205),172,"")</f>
        <v/>
      </c>
      <c r="B177" s="11" t="str">
        <f aca="false">IF($A177="","",INDEX(Employees!$A$6:$A$205,MATCH($A177,Employees!$BI$6:$BI$205,0)))</f>
        <v/>
      </c>
      <c r="C177" s="11" t="str">
        <f aca="false">IF($A177="","",INDEX(Employees!$B$6:$B$205,MATCH($A177,Employees!$BI$6:$BI$205,0)))</f>
        <v/>
      </c>
      <c r="D177" s="11" t="str">
        <f aca="false">IF($A177="","",INDEX(Employees!$C$6:$C$205,MATCH($A177,Employees!$BI$6:$BI$205,0)))</f>
        <v/>
      </c>
      <c r="E177" s="11" t="str">
        <f aca="false">IF($A177="","",INDEX(Employees!$D$6:$D$205,MATCH($A177,Employees!$BI$6:$BI$205,0)))</f>
        <v/>
      </c>
      <c r="F177" s="11" t="str">
        <f aca="false">IF($A177="","",INDEX(Employees!$T$6:$T$205,MATCH($A177,Employees!$BI$6:$BI$205,0)))</f>
        <v/>
      </c>
      <c r="G177" s="26" t="str">
        <f aca="false">IF($A177="","",INDEX(Employees!$U$6:$U$205,MATCH($A177,Employees!$BI$6:$BI$205,0)))</f>
        <v/>
      </c>
      <c r="H177" s="28" t="str">
        <f aca="false">IF($A177="","",INDEX(Employees!$E$6:$E$205,MATCH($A177,Employees!$BI$6:$BI$205,0)))</f>
        <v/>
      </c>
      <c r="I177" s="11" t="str">
        <f aca="false">IF($A177="","",INDEX(Employees!$Z$6:$Z$205,MATCH($A177,Employees!$BI$6:$BI$205,0)))</f>
        <v/>
      </c>
      <c r="J177" s="26" t="str">
        <f aca="false">IF($A177="","",INDEX(Employees!$AB$6:$AB$205,MATCH($A177,Employees!$BI$6:$BI$205,0)))</f>
        <v/>
      </c>
      <c r="K177" s="26" t="str">
        <f aca="false">IF($A177="","",INDEX(Employees!$AI$6:$AI$205,MATCH($A177,Employees!$BI$6:$BI$205,0)))</f>
        <v/>
      </c>
      <c r="L177" s="26" t="str">
        <f aca="false">IF($A177="","",INDEX(Employees!$AK$6:$AK$205,MATCH($A177,Employees!$BI$6:$BI$205,0)))</f>
        <v/>
      </c>
      <c r="M177" s="11" t="str">
        <f aca="false">IF($A177="","",INDEX(Employees!$AM$6:$AM$205,MATCH($A177,Employees!$BI$6:$BI$205,0)))</f>
        <v/>
      </c>
      <c r="N177" s="11" t="str">
        <f aca="false">IF($A177="","",INDEX(Employees!$AN$6:$AN$205,MATCH($A177,Employees!$BI$6:$BI$205,0)))</f>
        <v/>
      </c>
    </row>
    <row r="178" customFormat="false" ht="15" hidden="false" customHeight="false" outlineLevel="0" collapsed="false">
      <c r="A178" s="11" t="str">
        <f aca="false">IF(173&lt;=MAX(Employees!$BI$6:$BI$205),173,"")</f>
        <v/>
      </c>
      <c r="B178" s="11" t="str">
        <f aca="false">IF($A178="","",INDEX(Employees!$A$6:$A$205,MATCH($A178,Employees!$BI$6:$BI$205,0)))</f>
        <v/>
      </c>
      <c r="C178" s="11" t="str">
        <f aca="false">IF($A178="","",INDEX(Employees!$B$6:$B$205,MATCH($A178,Employees!$BI$6:$BI$205,0)))</f>
        <v/>
      </c>
      <c r="D178" s="11" t="str">
        <f aca="false">IF($A178="","",INDEX(Employees!$C$6:$C$205,MATCH($A178,Employees!$BI$6:$BI$205,0)))</f>
        <v/>
      </c>
      <c r="E178" s="11" t="str">
        <f aca="false">IF($A178="","",INDEX(Employees!$D$6:$D$205,MATCH($A178,Employees!$BI$6:$BI$205,0)))</f>
        <v/>
      </c>
      <c r="F178" s="11" t="str">
        <f aca="false">IF($A178="","",INDEX(Employees!$T$6:$T$205,MATCH($A178,Employees!$BI$6:$BI$205,0)))</f>
        <v/>
      </c>
      <c r="G178" s="26" t="str">
        <f aca="false">IF($A178="","",INDEX(Employees!$U$6:$U$205,MATCH($A178,Employees!$BI$6:$BI$205,0)))</f>
        <v/>
      </c>
      <c r="H178" s="28" t="str">
        <f aca="false">IF($A178="","",INDEX(Employees!$E$6:$E$205,MATCH($A178,Employees!$BI$6:$BI$205,0)))</f>
        <v/>
      </c>
      <c r="I178" s="11" t="str">
        <f aca="false">IF($A178="","",INDEX(Employees!$Z$6:$Z$205,MATCH($A178,Employees!$BI$6:$BI$205,0)))</f>
        <v/>
      </c>
      <c r="J178" s="26" t="str">
        <f aca="false">IF($A178="","",INDEX(Employees!$AB$6:$AB$205,MATCH($A178,Employees!$BI$6:$BI$205,0)))</f>
        <v/>
      </c>
      <c r="K178" s="26" t="str">
        <f aca="false">IF($A178="","",INDEX(Employees!$AI$6:$AI$205,MATCH($A178,Employees!$BI$6:$BI$205,0)))</f>
        <v/>
      </c>
      <c r="L178" s="26" t="str">
        <f aca="false">IF($A178="","",INDEX(Employees!$AK$6:$AK$205,MATCH($A178,Employees!$BI$6:$BI$205,0)))</f>
        <v/>
      </c>
      <c r="M178" s="11" t="str">
        <f aca="false">IF($A178="","",INDEX(Employees!$AM$6:$AM$205,MATCH($A178,Employees!$BI$6:$BI$205,0)))</f>
        <v/>
      </c>
      <c r="N178" s="11" t="str">
        <f aca="false">IF($A178="","",INDEX(Employees!$AN$6:$AN$205,MATCH($A178,Employees!$BI$6:$BI$205,0)))</f>
        <v/>
      </c>
    </row>
    <row r="179" customFormat="false" ht="15" hidden="false" customHeight="false" outlineLevel="0" collapsed="false">
      <c r="A179" s="11" t="str">
        <f aca="false">IF(174&lt;=MAX(Employees!$BI$6:$BI$205),174,"")</f>
        <v/>
      </c>
      <c r="B179" s="11" t="str">
        <f aca="false">IF($A179="","",INDEX(Employees!$A$6:$A$205,MATCH($A179,Employees!$BI$6:$BI$205,0)))</f>
        <v/>
      </c>
      <c r="C179" s="11" t="str">
        <f aca="false">IF($A179="","",INDEX(Employees!$B$6:$B$205,MATCH($A179,Employees!$BI$6:$BI$205,0)))</f>
        <v/>
      </c>
      <c r="D179" s="11" t="str">
        <f aca="false">IF($A179="","",INDEX(Employees!$C$6:$C$205,MATCH($A179,Employees!$BI$6:$BI$205,0)))</f>
        <v/>
      </c>
      <c r="E179" s="11" t="str">
        <f aca="false">IF($A179="","",INDEX(Employees!$D$6:$D$205,MATCH($A179,Employees!$BI$6:$BI$205,0)))</f>
        <v/>
      </c>
      <c r="F179" s="11" t="str">
        <f aca="false">IF($A179="","",INDEX(Employees!$T$6:$T$205,MATCH($A179,Employees!$BI$6:$BI$205,0)))</f>
        <v/>
      </c>
      <c r="G179" s="26" t="str">
        <f aca="false">IF($A179="","",INDEX(Employees!$U$6:$U$205,MATCH($A179,Employees!$BI$6:$BI$205,0)))</f>
        <v/>
      </c>
      <c r="H179" s="28" t="str">
        <f aca="false">IF($A179="","",INDEX(Employees!$E$6:$E$205,MATCH($A179,Employees!$BI$6:$BI$205,0)))</f>
        <v/>
      </c>
      <c r="I179" s="11" t="str">
        <f aca="false">IF($A179="","",INDEX(Employees!$Z$6:$Z$205,MATCH($A179,Employees!$BI$6:$BI$205,0)))</f>
        <v/>
      </c>
      <c r="J179" s="26" t="str">
        <f aca="false">IF($A179="","",INDEX(Employees!$AB$6:$AB$205,MATCH($A179,Employees!$BI$6:$BI$205,0)))</f>
        <v/>
      </c>
      <c r="K179" s="26" t="str">
        <f aca="false">IF($A179="","",INDEX(Employees!$AI$6:$AI$205,MATCH($A179,Employees!$BI$6:$BI$205,0)))</f>
        <v/>
      </c>
      <c r="L179" s="26" t="str">
        <f aca="false">IF($A179="","",INDEX(Employees!$AK$6:$AK$205,MATCH($A179,Employees!$BI$6:$BI$205,0)))</f>
        <v/>
      </c>
      <c r="M179" s="11" t="str">
        <f aca="false">IF($A179="","",INDEX(Employees!$AM$6:$AM$205,MATCH($A179,Employees!$BI$6:$BI$205,0)))</f>
        <v/>
      </c>
      <c r="N179" s="11" t="str">
        <f aca="false">IF($A179="","",INDEX(Employees!$AN$6:$AN$205,MATCH($A179,Employees!$BI$6:$BI$205,0)))</f>
        <v/>
      </c>
    </row>
    <row r="180" customFormat="false" ht="15" hidden="false" customHeight="false" outlineLevel="0" collapsed="false">
      <c r="A180" s="11" t="str">
        <f aca="false">IF(175&lt;=MAX(Employees!$BI$6:$BI$205),175,"")</f>
        <v/>
      </c>
      <c r="B180" s="11" t="str">
        <f aca="false">IF($A180="","",INDEX(Employees!$A$6:$A$205,MATCH($A180,Employees!$BI$6:$BI$205,0)))</f>
        <v/>
      </c>
      <c r="C180" s="11" t="str">
        <f aca="false">IF($A180="","",INDEX(Employees!$B$6:$B$205,MATCH($A180,Employees!$BI$6:$BI$205,0)))</f>
        <v/>
      </c>
      <c r="D180" s="11" t="str">
        <f aca="false">IF($A180="","",INDEX(Employees!$C$6:$C$205,MATCH($A180,Employees!$BI$6:$BI$205,0)))</f>
        <v/>
      </c>
      <c r="E180" s="11" t="str">
        <f aca="false">IF($A180="","",INDEX(Employees!$D$6:$D$205,MATCH($A180,Employees!$BI$6:$BI$205,0)))</f>
        <v/>
      </c>
      <c r="F180" s="11" t="str">
        <f aca="false">IF($A180="","",INDEX(Employees!$T$6:$T$205,MATCH($A180,Employees!$BI$6:$BI$205,0)))</f>
        <v/>
      </c>
      <c r="G180" s="26" t="str">
        <f aca="false">IF($A180="","",INDEX(Employees!$U$6:$U$205,MATCH($A180,Employees!$BI$6:$BI$205,0)))</f>
        <v/>
      </c>
      <c r="H180" s="28" t="str">
        <f aca="false">IF($A180="","",INDEX(Employees!$E$6:$E$205,MATCH($A180,Employees!$BI$6:$BI$205,0)))</f>
        <v/>
      </c>
      <c r="I180" s="11" t="str">
        <f aca="false">IF($A180="","",INDEX(Employees!$Z$6:$Z$205,MATCH($A180,Employees!$BI$6:$BI$205,0)))</f>
        <v/>
      </c>
      <c r="J180" s="26" t="str">
        <f aca="false">IF($A180="","",INDEX(Employees!$AB$6:$AB$205,MATCH($A180,Employees!$BI$6:$BI$205,0)))</f>
        <v/>
      </c>
      <c r="K180" s="26" t="str">
        <f aca="false">IF($A180="","",INDEX(Employees!$AI$6:$AI$205,MATCH($A180,Employees!$BI$6:$BI$205,0)))</f>
        <v/>
      </c>
      <c r="L180" s="26" t="str">
        <f aca="false">IF($A180="","",INDEX(Employees!$AK$6:$AK$205,MATCH($A180,Employees!$BI$6:$BI$205,0)))</f>
        <v/>
      </c>
      <c r="M180" s="11" t="str">
        <f aca="false">IF($A180="","",INDEX(Employees!$AM$6:$AM$205,MATCH($A180,Employees!$BI$6:$BI$205,0)))</f>
        <v/>
      </c>
      <c r="N180" s="11" t="str">
        <f aca="false">IF($A180="","",INDEX(Employees!$AN$6:$AN$205,MATCH($A180,Employees!$BI$6:$BI$205,0)))</f>
        <v/>
      </c>
    </row>
    <row r="181" customFormat="false" ht="15" hidden="false" customHeight="false" outlineLevel="0" collapsed="false">
      <c r="A181" s="11" t="str">
        <f aca="false">IF(176&lt;=MAX(Employees!$BI$6:$BI$205),176,"")</f>
        <v/>
      </c>
      <c r="B181" s="11" t="str">
        <f aca="false">IF($A181="","",INDEX(Employees!$A$6:$A$205,MATCH($A181,Employees!$BI$6:$BI$205,0)))</f>
        <v/>
      </c>
      <c r="C181" s="11" t="str">
        <f aca="false">IF($A181="","",INDEX(Employees!$B$6:$B$205,MATCH($A181,Employees!$BI$6:$BI$205,0)))</f>
        <v/>
      </c>
      <c r="D181" s="11" t="str">
        <f aca="false">IF($A181="","",INDEX(Employees!$C$6:$C$205,MATCH($A181,Employees!$BI$6:$BI$205,0)))</f>
        <v/>
      </c>
      <c r="E181" s="11" t="str">
        <f aca="false">IF($A181="","",INDEX(Employees!$D$6:$D$205,MATCH($A181,Employees!$BI$6:$BI$205,0)))</f>
        <v/>
      </c>
      <c r="F181" s="11" t="str">
        <f aca="false">IF($A181="","",INDEX(Employees!$T$6:$T$205,MATCH($A181,Employees!$BI$6:$BI$205,0)))</f>
        <v/>
      </c>
      <c r="G181" s="26" t="str">
        <f aca="false">IF($A181="","",INDEX(Employees!$U$6:$U$205,MATCH($A181,Employees!$BI$6:$BI$205,0)))</f>
        <v/>
      </c>
      <c r="H181" s="28" t="str">
        <f aca="false">IF($A181="","",INDEX(Employees!$E$6:$E$205,MATCH($A181,Employees!$BI$6:$BI$205,0)))</f>
        <v/>
      </c>
      <c r="I181" s="11" t="str">
        <f aca="false">IF($A181="","",INDEX(Employees!$Z$6:$Z$205,MATCH($A181,Employees!$BI$6:$BI$205,0)))</f>
        <v/>
      </c>
      <c r="J181" s="26" t="str">
        <f aca="false">IF($A181="","",INDEX(Employees!$AB$6:$AB$205,MATCH($A181,Employees!$BI$6:$BI$205,0)))</f>
        <v/>
      </c>
      <c r="K181" s="26" t="str">
        <f aca="false">IF($A181="","",INDEX(Employees!$AI$6:$AI$205,MATCH($A181,Employees!$BI$6:$BI$205,0)))</f>
        <v/>
      </c>
      <c r="L181" s="26" t="str">
        <f aca="false">IF($A181="","",INDEX(Employees!$AK$6:$AK$205,MATCH($A181,Employees!$BI$6:$BI$205,0)))</f>
        <v/>
      </c>
      <c r="M181" s="11" t="str">
        <f aca="false">IF($A181="","",INDEX(Employees!$AM$6:$AM$205,MATCH($A181,Employees!$BI$6:$BI$205,0)))</f>
        <v/>
      </c>
      <c r="N181" s="11" t="str">
        <f aca="false">IF($A181="","",INDEX(Employees!$AN$6:$AN$205,MATCH($A181,Employees!$BI$6:$BI$205,0)))</f>
        <v/>
      </c>
    </row>
    <row r="182" customFormat="false" ht="15" hidden="false" customHeight="false" outlineLevel="0" collapsed="false">
      <c r="A182" s="11" t="str">
        <f aca="false">IF(177&lt;=MAX(Employees!$BI$6:$BI$205),177,"")</f>
        <v/>
      </c>
      <c r="B182" s="11" t="str">
        <f aca="false">IF($A182="","",INDEX(Employees!$A$6:$A$205,MATCH($A182,Employees!$BI$6:$BI$205,0)))</f>
        <v/>
      </c>
      <c r="C182" s="11" t="str">
        <f aca="false">IF($A182="","",INDEX(Employees!$B$6:$B$205,MATCH($A182,Employees!$BI$6:$BI$205,0)))</f>
        <v/>
      </c>
      <c r="D182" s="11" t="str">
        <f aca="false">IF($A182="","",INDEX(Employees!$C$6:$C$205,MATCH($A182,Employees!$BI$6:$BI$205,0)))</f>
        <v/>
      </c>
      <c r="E182" s="11" t="str">
        <f aca="false">IF($A182="","",INDEX(Employees!$D$6:$D$205,MATCH($A182,Employees!$BI$6:$BI$205,0)))</f>
        <v/>
      </c>
      <c r="F182" s="11" t="str">
        <f aca="false">IF($A182="","",INDEX(Employees!$T$6:$T$205,MATCH($A182,Employees!$BI$6:$BI$205,0)))</f>
        <v/>
      </c>
      <c r="G182" s="26" t="str">
        <f aca="false">IF($A182="","",INDEX(Employees!$U$6:$U$205,MATCH($A182,Employees!$BI$6:$BI$205,0)))</f>
        <v/>
      </c>
      <c r="H182" s="28" t="str">
        <f aca="false">IF($A182="","",INDEX(Employees!$E$6:$E$205,MATCH($A182,Employees!$BI$6:$BI$205,0)))</f>
        <v/>
      </c>
      <c r="I182" s="11" t="str">
        <f aca="false">IF($A182="","",INDEX(Employees!$Z$6:$Z$205,MATCH($A182,Employees!$BI$6:$BI$205,0)))</f>
        <v/>
      </c>
      <c r="J182" s="26" t="str">
        <f aca="false">IF($A182="","",INDEX(Employees!$AB$6:$AB$205,MATCH($A182,Employees!$BI$6:$BI$205,0)))</f>
        <v/>
      </c>
      <c r="K182" s="26" t="str">
        <f aca="false">IF($A182="","",INDEX(Employees!$AI$6:$AI$205,MATCH($A182,Employees!$BI$6:$BI$205,0)))</f>
        <v/>
      </c>
      <c r="L182" s="26" t="str">
        <f aca="false">IF($A182="","",INDEX(Employees!$AK$6:$AK$205,MATCH($A182,Employees!$BI$6:$BI$205,0)))</f>
        <v/>
      </c>
      <c r="M182" s="11" t="str">
        <f aca="false">IF($A182="","",INDEX(Employees!$AM$6:$AM$205,MATCH($A182,Employees!$BI$6:$BI$205,0)))</f>
        <v/>
      </c>
      <c r="N182" s="11" t="str">
        <f aca="false">IF($A182="","",INDEX(Employees!$AN$6:$AN$205,MATCH($A182,Employees!$BI$6:$BI$205,0)))</f>
        <v/>
      </c>
    </row>
    <row r="183" customFormat="false" ht="15" hidden="false" customHeight="false" outlineLevel="0" collapsed="false">
      <c r="A183" s="11" t="str">
        <f aca="false">IF(178&lt;=MAX(Employees!$BI$6:$BI$205),178,"")</f>
        <v/>
      </c>
      <c r="B183" s="11" t="str">
        <f aca="false">IF($A183="","",INDEX(Employees!$A$6:$A$205,MATCH($A183,Employees!$BI$6:$BI$205,0)))</f>
        <v/>
      </c>
      <c r="C183" s="11" t="str">
        <f aca="false">IF($A183="","",INDEX(Employees!$B$6:$B$205,MATCH($A183,Employees!$BI$6:$BI$205,0)))</f>
        <v/>
      </c>
      <c r="D183" s="11" t="str">
        <f aca="false">IF($A183="","",INDEX(Employees!$C$6:$C$205,MATCH($A183,Employees!$BI$6:$BI$205,0)))</f>
        <v/>
      </c>
      <c r="E183" s="11" t="str">
        <f aca="false">IF($A183="","",INDEX(Employees!$D$6:$D$205,MATCH($A183,Employees!$BI$6:$BI$205,0)))</f>
        <v/>
      </c>
      <c r="F183" s="11" t="str">
        <f aca="false">IF($A183="","",INDEX(Employees!$T$6:$T$205,MATCH($A183,Employees!$BI$6:$BI$205,0)))</f>
        <v/>
      </c>
      <c r="G183" s="26" t="str">
        <f aca="false">IF($A183="","",INDEX(Employees!$U$6:$U$205,MATCH($A183,Employees!$BI$6:$BI$205,0)))</f>
        <v/>
      </c>
      <c r="H183" s="28" t="str">
        <f aca="false">IF($A183="","",INDEX(Employees!$E$6:$E$205,MATCH($A183,Employees!$BI$6:$BI$205,0)))</f>
        <v/>
      </c>
      <c r="I183" s="11" t="str">
        <f aca="false">IF($A183="","",INDEX(Employees!$Z$6:$Z$205,MATCH($A183,Employees!$BI$6:$BI$205,0)))</f>
        <v/>
      </c>
      <c r="J183" s="26" t="str">
        <f aca="false">IF($A183="","",INDEX(Employees!$AB$6:$AB$205,MATCH($A183,Employees!$BI$6:$BI$205,0)))</f>
        <v/>
      </c>
      <c r="K183" s="26" t="str">
        <f aca="false">IF($A183="","",INDEX(Employees!$AI$6:$AI$205,MATCH($A183,Employees!$BI$6:$BI$205,0)))</f>
        <v/>
      </c>
      <c r="L183" s="26" t="str">
        <f aca="false">IF($A183="","",INDEX(Employees!$AK$6:$AK$205,MATCH($A183,Employees!$BI$6:$BI$205,0)))</f>
        <v/>
      </c>
      <c r="M183" s="11" t="str">
        <f aca="false">IF($A183="","",INDEX(Employees!$AM$6:$AM$205,MATCH($A183,Employees!$BI$6:$BI$205,0)))</f>
        <v/>
      </c>
      <c r="N183" s="11" t="str">
        <f aca="false">IF($A183="","",INDEX(Employees!$AN$6:$AN$205,MATCH($A183,Employees!$BI$6:$BI$205,0)))</f>
        <v/>
      </c>
    </row>
    <row r="184" customFormat="false" ht="15" hidden="false" customHeight="false" outlineLevel="0" collapsed="false">
      <c r="A184" s="11" t="str">
        <f aca="false">IF(179&lt;=MAX(Employees!$BI$6:$BI$205),179,"")</f>
        <v/>
      </c>
      <c r="B184" s="11" t="str">
        <f aca="false">IF($A184="","",INDEX(Employees!$A$6:$A$205,MATCH($A184,Employees!$BI$6:$BI$205,0)))</f>
        <v/>
      </c>
      <c r="C184" s="11" t="str">
        <f aca="false">IF($A184="","",INDEX(Employees!$B$6:$B$205,MATCH($A184,Employees!$BI$6:$BI$205,0)))</f>
        <v/>
      </c>
      <c r="D184" s="11" t="str">
        <f aca="false">IF($A184="","",INDEX(Employees!$C$6:$C$205,MATCH($A184,Employees!$BI$6:$BI$205,0)))</f>
        <v/>
      </c>
      <c r="E184" s="11" t="str">
        <f aca="false">IF($A184="","",INDEX(Employees!$D$6:$D$205,MATCH($A184,Employees!$BI$6:$BI$205,0)))</f>
        <v/>
      </c>
      <c r="F184" s="11" t="str">
        <f aca="false">IF($A184="","",INDEX(Employees!$T$6:$T$205,MATCH($A184,Employees!$BI$6:$BI$205,0)))</f>
        <v/>
      </c>
      <c r="G184" s="26" t="str">
        <f aca="false">IF($A184="","",INDEX(Employees!$U$6:$U$205,MATCH($A184,Employees!$BI$6:$BI$205,0)))</f>
        <v/>
      </c>
      <c r="H184" s="28" t="str">
        <f aca="false">IF($A184="","",INDEX(Employees!$E$6:$E$205,MATCH($A184,Employees!$BI$6:$BI$205,0)))</f>
        <v/>
      </c>
      <c r="I184" s="11" t="str">
        <f aca="false">IF($A184="","",INDEX(Employees!$Z$6:$Z$205,MATCH($A184,Employees!$BI$6:$BI$205,0)))</f>
        <v/>
      </c>
      <c r="J184" s="26" t="str">
        <f aca="false">IF($A184="","",INDEX(Employees!$AB$6:$AB$205,MATCH($A184,Employees!$BI$6:$BI$205,0)))</f>
        <v/>
      </c>
      <c r="K184" s="26" t="str">
        <f aca="false">IF($A184="","",INDEX(Employees!$AI$6:$AI$205,MATCH($A184,Employees!$BI$6:$BI$205,0)))</f>
        <v/>
      </c>
      <c r="L184" s="26" t="str">
        <f aca="false">IF($A184="","",INDEX(Employees!$AK$6:$AK$205,MATCH($A184,Employees!$BI$6:$BI$205,0)))</f>
        <v/>
      </c>
      <c r="M184" s="11" t="str">
        <f aca="false">IF($A184="","",INDEX(Employees!$AM$6:$AM$205,MATCH($A184,Employees!$BI$6:$BI$205,0)))</f>
        <v/>
      </c>
      <c r="N184" s="11" t="str">
        <f aca="false">IF($A184="","",INDEX(Employees!$AN$6:$AN$205,MATCH($A184,Employees!$BI$6:$BI$205,0)))</f>
        <v/>
      </c>
    </row>
    <row r="185" customFormat="false" ht="15" hidden="false" customHeight="false" outlineLevel="0" collapsed="false">
      <c r="A185" s="11" t="str">
        <f aca="false">IF(180&lt;=MAX(Employees!$BI$6:$BI$205),180,"")</f>
        <v/>
      </c>
      <c r="B185" s="11" t="str">
        <f aca="false">IF($A185="","",INDEX(Employees!$A$6:$A$205,MATCH($A185,Employees!$BI$6:$BI$205,0)))</f>
        <v/>
      </c>
      <c r="C185" s="11" t="str">
        <f aca="false">IF($A185="","",INDEX(Employees!$B$6:$B$205,MATCH($A185,Employees!$BI$6:$BI$205,0)))</f>
        <v/>
      </c>
      <c r="D185" s="11" t="str">
        <f aca="false">IF($A185="","",INDEX(Employees!$C$6:$C$205,MATCH($A185,Employees!$BI$6:$BI$205,0)))</f>
        <v/>
      </c>
      <c r="E185" s="11" t="str">
        <f aca="false">IF($A185="","",INDEX(Employees!$D$6:$D$205,MATCH($A185,Employees!$BI$6:$BI$205,0)))</f>
        <v/>
      </c>
      <c r="F185" s="11" t="str">
        <f aca="false">IF($A185="","",INDEX(Employees!$T$6:$T$205,MATCH($A185,Employees!$BI$6:$BI$205,0)))</f>
        <v/>
      </c>
      <c r="G185" s="26" t="str">
        <f aca="false">IF($A185="","",INDEX(Employees!$U$6:$U$205,MATCH($A185,Employees!$BI$6:$BI$205,0)))</f>
        <v/>
      </c>
      <c r="H185" s="28" t="str">
        <f aca="false">IF($A185="","",INDEX(Employees!$E$6:$E$205,MATCH($A185,Employees!$BI$6:$BI$205,0)))</f>
        <v/>
      </c>
      <c r="I185" s="11" t="str">
        <f aca="false">IF($A185="","",INDEX(Employees!$Z$6:$Z$205,MATCH($A185,Employees!$BI$6:$BI$205,0)))</f>
        <v/>
      </c>
      <c r="J185" s="26" t="str">
        <f aca="false">IF($A185="","",INDEX(Employees!$AB$6:$AB$205,MATCH($A185,Employees!$BI$6:$BI$205,0)))</f>
        <v/>
      </c>
      <c r="K185" s="26" t="str">
        <f aca="false">IF($A185="","",INDEX(Employees!$AI$6:$AI$205,MATCH($A185,Employees!$BI$6:$BI$205,0)))</f>
        <v/>
      </c>
      <c r="L185" s="26" t="str">
        <f aca="false">IF($A185="","",INDEX(Employees!$AK$6:$AK$205,MATCH($A185,Employees!$BI$6:$BI$205,0)))</f>
        <v/>
      </c>
      <c r="M185" s="11" t="str">
        <f aca="false">IF($A185="","",INDEX(Employees!$AM$6:$AM$205,MATCH($A185,Employees!$BI$6:$BI$205,0)))</f>
        <v/>
      </c>
      <c r="N185" s="11" t="str">
        <f aca="false">IF($A185="","",INDEX(Employees!$AN$6:$AN$205,MATCH($A185,Employees!$BI$6:$BI$205,0)))</f>
        <v/>
      </c>
    </row>
    <row r="186" customFormat="false" ht="15" hidden="false" customHeight="false" outlineLevel="0" collapsed="false">
      <c r="A186" s="11" t="str">
        <f aca="false">IF(181&lt;=MAX(Employees!$BI$6:$BI$205),181,"")</f>
        <v/>
      </c>
      <c r="B186" s="11" t="str">
        <f aca="false">IF($A186="","",INDEX(Employees!$A$6:$A$205,MATCH($A186,Employees!$BI$6:$BI$205,0)))</f>
        <v/>
      </c>
      <c r="C186" s="11" t="str">
        <f aca="false">IF($A186="","",INDEX(Employees!$B$6:$B$205,MATCH($A186,Employees!$BI$6:$BI$205,0)))</f>
        <v/>
      </c>
      <c r="D186" s="11" t="str">
        <f aca="false">IF($A186="","",INDEX(Employees!$C$6:$C$205,MATCH($A186,Employees!$BI$6:$BI$205,0)))</f>
        <v/>
      </c>
      <c r="E186" s="11" t="str">
        <f aca="false">IF($A186="","",INDEX(Employees!$D$6:$D$205,MATCH($A186,Employees!$BI$6:$BI$205,0)))</f>
        <v/>
      </c>
      <c r="F186" s="11" t="str">
        <f aca="false">IF($A186="","",INDEX(Employees!$T$6:$T$205,MATCH($A186,Employees!$BI$6:$BI$205,0)))</f>
        <v/>
      </c>
      <c r="G186" s="26" t="str">
        <f aca="false">IF($A186="","",INDEX(Employees!$U$6:$U$205,MATCH($A186,Employees!$BI$6:$BI$205,0)))</f>
        <v/>
      </c>
      <c r="H186" s="28" t="str">
        <f aca="false">IF($A186="","",INDEX(Employees!$E$6:$E$205,MATCH($A186,Employees!$BI$6:$BI$205,0)))</f>
        <v/>
      </c>
      <c r="I186" s="11" t="str">
        <f aca="false">IF($A186="","",INDEX(Employees!$Z$6:$Z$205,MATCH($A186,Employees!$BI$6:$BI$205,0)))</f>
        <v/>
      </c>
      <c r="J186" s="26" t="str">
        <f aca="false">IF($A186="","",INDEX(Employees!$AB$6:$AB$205,MATCH($A186,Employees!$BI$6:$BI$205,0)))</f>
        <v/>
      </c>
      <c r="K186" s="26" t="str">
        <f aca="false">IF($A186="","",INDEX(Employees!$AI$6:$AI$205,MATCH($A186,Employees!$BI$6:$BI$205,0)))</f>
        <v/>
      </c>
      <c r="L186" s="26" t="str">
        <f aca="false">IF($A186="","",INDEX(Employees!$AK$6:$AK$205,MATCH($A186,Employees!$BI$6:$BI$205,0)))</f>
        <v/>
      </c>
      <c r="M186" s="11" t="str">
        <f aca="false">IF($A186="","",INDEX(Employees!$AM$6:$AM$205,MATCH($A186,Employees!$BI$6:$BI$205,0)))</f>
        <v/>
      </c>
      <c r="N186" s="11" t="str">
        <f aca="false">IF($A186="","",INDEX(Employees!$AN$6:$AN$205,MATCH($A186,Employees!$BI$6:$BI$205,0)))</f>
        <v/>
      </c>
    </row>
    <row r="187" customFormat="false" ht="15" hidden="false" customHeight="false" outlineLevel="0" collapsed="false">
      <c r="A187" s="11" t="str">
        <f aca="false">IF(182&lt;=MAX(Employees!$BI$6:$BI$205),182,"")</f>
        <v/>
      </c>
      <c r="B187" s="11" t="str">
        <f aca="false">IF($A187="","",INDEX(Employees!$A$6:$A$205,MATCH($A187,Employees!$BI$6:$BI$205,0)))</f>
        <v/>
      </c>
      <c r="C187" s="11" t="str">
        <f aca="false">IF($A187="","",INDEX(Employees!$B$6:$B$205,MATCH($A187,Employees!$BI$6:$BI$205,0)))</f>
        <v/>
      </c>
      <c r="D187" s="11" t="str">
        <f aca="false">IF($A187="","",INDEX(Employees!$C$6:$C$205,MATCH($A187,Employees!$BI$6:$BI$205,0)))</f>
        <v/>
      </c>
      <c r="E187" s="11" t="str">
        <f aca="false">IF($A187="","",INDEX(Employees!$D$6:$D$205,MATCH($A187,Employees!$BI$6:$BI$205,0)))</f>
        <v/>
      </c>
      <c r="F187" s="11" t="str">
        <f aca="false">IF($A187="","",INDEX(Employees!$T$6:$T$205,MATCH($A187,Employees!$BI$6:$BI$205,0)))</f>
        <v/>
      </c>
      <c r="G187" s="26" t="str">
        <f aca="false">IF($A187="","",INDEX(Employees!$U$6:$U$205,MATCH($A187,Employees!$BI$6:$BI$205,0)))</f>
        <v/>
      </c>
      <c r="H187" s="28" t="str">
        <f aca="false">IF($A187="","",INDEX(Employees!$E$6:$E$205,MATCH($A187,Employees!$BI$6:$BI$205,0)))</f>
        <v/>
      </c>
      <c r="I187" s="11" t="str">
        <f aca="false">IF($A187="","",INDEX(Employees!$Z$6:$Z$205,MATCH($A187,Employees!$BI$6:$BI$205,0)))</f>
        <v/>
      </c>
      <c r="J187" s="26" t="str">
        <f aca="false">IF($A187="","",INDEX(Employees!$AB$6:$AB$205,MATCH($A187,Employees!$BI$6:$BI$205,0)))</f>
        <v/>
      </c>
      <c r="K187" s="26" t="str">
        <f aca="false">IF($A187="","",INDEX(Employees!$AI$6:$AI$205,MATCH($A187,Employees!$BI$6:$BI$205,0)))</f>
        <v/>
      </c>
      <c r="L187" s="26" t="str">
        <f aca="false">IF($A187="","",INDEX(Employees!$AK$6:$AK$205,MATCH($A187,Employees!$BI$6:$BI$205,0)))</f>
        <v/>
      </c>
      <c r="M187" s="11" t="str">
        <f aca="false">IF($A187="","",INDEX(Employees!$AM$6:$AM$205,MATCH($A187,Employees!$BI$6:$BI$205,0)))</f>
        <v/>
      </c>
      <c r="N187" s="11" t="str">
        <f aca="false">IF($A187="","",INDEX(Employees!$AN$6:$AN$205,MATCH($A187,Employees!$BI$6:$BI$205,0)))</f>
        <v/>
      </c>
    </row>
    <row r="188" customFormat="false" ht="15" hidden="false" customHeight="false" outlineLevel="0" collapsed="false">
      <c r="A188" s="11" t="str">
        <f aca="false">IF(183&lt;=MAX(Employees!$BI$6:$BI$205),183,"")</f>
        <v/>
      </c>
      <c r="B188" s="11" t="str">
        <f aca="false">IF($A188="","",INDEX(Employees!$A$6:$A$205,MATCH($A188,Employees!$BI$6:$BI$205,0)))</f>
        <v/>
      </c>
      <c r="C188" s="11" t="str">
        <f aca="false">IF($A188="","",INDEX(Employees!$B$6:$B$205,MATCH($A188,Employees!$BI$6:$BI$205,0)))</f>
        <v/>
      </c>
      <c r="D188" s="11" t="str">
        <f aca="false">IF($A188="","",INDEX(Employees!$C$6:$C$205,MATCH($A188,Employees!$BI$6:$BI$205,0)))</f>
        <v/>
      </c>
      <c r="E188" s="11" t="str">
        <f aca="false">IF($A188="","",INDEX(Employees!$D$6:$D$205,MATCH($A188,Employees!$BI$6:$BI$205,0)))</f>
        <v/>
      </c>
      <c r="F188" s="11" t="str">
        <f aca="false">IF($A188="","",INDEX(Employees!$T$6:$T$205,MATCH($A188,Employees!$BI$6:$BI$205,0)))</f>
        <v/>
      </c>
      <c r="G188" s="26" t="str">
        <f aca="false">IF($A188="","",INDEX(Employees!$U$6:$U$205,MATCH($A188,Employees!$BI$6:$BI$205,0)))</f>
        <v/>
      </c>
      <c r="H188" s="28" t="str">
        <f aca="false">IF($A188="","",INDEX(Employees!$E$6:$E$205,MATCH($A188,Employees!$BI$6:$BI$205,0)))</f>
        <v/>
      </c>
      <c r="I188" s="11" t="str">
        <f aca="false">IF($A188="","",INDEX(Employees!$Z$6:$Z$205,MATCH($A188,Employees!$BI$6:$BI$205,0)))</f>
        <v/>
      </c>
      <c r="J188" s="26" t="str">
        <f aca="false">IF($A188="","",INDEX(Employees!$AB$6:$AB$205,MATCH($A188,Employees!$BI$6:$BI$205,0)))</f>
        <v/>
      </c>
      <c r="K188" s="26" t="str">
        <f aca="false">IF($A188="","",INDEX(Employees!$AI$6:$AI$205,MATCH($A188,Employees!$BI$6:$BI$205,0)))</f>
        <v/>
      </c>
      <c r="L188" s="26" t="str">
        <f aca="false">IF($A188="","",INDEX(Employees!$AK$6:$AK$205,MATCH($A188,Employees!$BI$6:$BI$205,0)))</f>
        <v/>
      </c>
      <c r="M188" s="11" t="str">
        <f aca="false">IF($A188="","",INDEX(Employees!$AM$6:$AM$205,MATCH($A188,Employees!$BI$6:$BI$205,0)))</f>
        <v/>
      </c>
      <c r="N188" s="11" t="str">
        <f aca="false">IF($A188="","",INDEX(Employees!$AN$6:$AN$205,MATCH($A188,Employees!$BI$6:$BI$205,0)))</f>
        <v/>
      </c>
    </row>
    <row r="189" customFormat="false" ht="15" hidden="false" customHeight="false" outlineLevel="0" collapsed="false">
      <c r="A189" s="11" t="str">
        <f aca="false">IF(184&lt;=MAX(Employees!$BI$6:$BI$205),184,"")</f>
        <v/>
      </c>
      <c r="B189" s="11" t="str">
        <f aca="false">IF($A189="","",INDEX(Employees!$A$6:$A$205,MATCH($A189,Employees!$BI$6:$BI$205,0)))</f>
        <v/>
      </c>
      <c r="C189" s="11" t="str">
        <f aca="false">IF($A189="","",INDEX(Employees!$B$6:$B$205,MATCH($A189,Employees!$BI$6:$BI$205,0)))</f>
        <v/>
      </c>
      <c r="D189" s="11" t="str">
        <f aca="false">IF($A189="","",INDEX(Employees!$C$6:$C$205,MATCH($A189,Employees!$BI$6:$BI$205,0)))</f>
        <v/>
      </c>
      <c r="E189" s="11" t="str">
        <f aca="false">IF($A189="","",INDEX(Employees!$D$6:$D$205,MATCH($A189,Employees!$BI$6:$BI$205,0)))</f>
        <v/>
      </c>
      <c r="F189" s="11" t="str">
        <f aca="false">IF($A189="","",INDEX(Employees!$T$6:$T$205,MATCH($A189,Employees!$BI$6:$BI$205,0)))</f>
        <v/>
      </c>
      <c r="G189" s="26" t="str">
        <f aca="false">IF($A189="","",INDEX(Employees!$U$6:$U$205,MATCH($A189,Employees!$BI$6:$BI$205,0)))</f>
        <v/>
      </c>
      <c r="H189" s="28" t="str">
        <f aca="false">IF($A189="","",INDEX(Employees!$E$6:$E$205,MATCH($A189,Employees!$BI$6:$BI$205,0)))</f>
        <v/>
      </c>
      <c r="I189" s="11" t="str">
        <f aca="false">IF($A189="","",INDEX(Employees!$Z$6:$Z$205,MATCH($A189,Employees!$BI$6:$BI$205,0)))</f>
        <v/>
      </c>
      <c r="J189" s="26" t="str">
        <f aca="false">IF($A189="","",INDEX(Employees!$AB$6:$AB$205,MATCH($A189,Employees!$BI$6:$BI$205,0)))</f>
        <v/>
      </c>
      <c r="K189" s="26" t="str">
        <f aca="false">IF($A189="","",INDEX(Employees!$AI$6:$AI$205,MATCH($A189,Employees!$BI$6:$BI$205,0)))</f>
        <v/>
      </c>
      <c r="L189" s="26" t="str">
        <f aca="false">IF($A189="","",INDEX(Employees!$AK$6:$AK$205,MATCH($A189,Employees!$BI$6:$BI$205,0)))</f>
        <v/>
      </c>
      <c r="M189" s="11" t="str">
        <f aca="false">IF($A189="","",INDEX(Employees!$AM$6:$AM$205,MATCH($A189,Employees!$BI$6:$BI$205,0)))</f>
        <v/>
      </c>
      <c r="N189" s="11" t="str">
        <f aca="false">IF($A189="","",INDEX(Employees!$AN$6:$AN$205,MATCH($A189,Employees!$BI$6:$BI$205,0)))</f>
        <v/>
      </c>
    </row>
    <row r="190" customFormat="false" ht="15" hidden="false" customHeight="false" outlineLevel="0" collapsed="false">
      <c r="A190" s="11" t="str">
        <f aca="false">IF(185&lt;=MAX(Employees!$BI$6:$BI$205),185,"")</f>
        <v/>
      </c>
      <c r="B190" s="11" t="str">
        <f aca="false">IF($A190="","",INDEX(Employees!$A$6:$A$205,MATCH($A190,Employees!$BI$6:$BI$205,0)))</f>
        <v/>
      </c>
      <c r="C190" s="11" t="str">
        <f aca="false">IF($A190="","",INDEX(Employees!$B$6:$B$205,MATCH($A190,Employees!$BI$6:$BI$205,0)))</f>
        <v/>
      </c>
      <c r="D190" s="11" t="str">
        <f aca="false">IF($A190="","",INDEX(Employees!$C$6:$C$205,MATCH($A190,Employees!$BI$6:$BI$205,0)))</f>
        <v/>
      </c>
      <c r="E190" s="11" t="str">
        <f aca="false">IF($A190="","",INDEX(Employees!$D$6:$D$205,MATCH($A190,Employees!$BI$6:$BI$205,0)))</f>
        <v/>
      </c>
      <c r="F190" s="11" t="str">
        <f aca="false">IF($A190="","",INDEX(Employees!$T$6:$T$205,MATCH($A190,Employees!$BI$6:$BI$205,0)))</f>
        <v/>
      </c>
      <c r="G190" s="26" t="str">
        <f aca="false">IF($A190="","",INDEX(Employees!$U$6:$U$205,MATCH($A190,Employees!$BI$6:$BI$205,0)))</f>
        <v/>
      </c>
      <c r="H190" s="28" t="str">
        <f aca="false">IF($A190="","",INDEX(Employees!$E$6:$E$205,MATCH($A190,Employees!$BI$6:$BI$205,0)))</f>
        <v/>
      </c>
      <c r="I190" s="11" t="str">
        <f aca="false">IF($A190="","",INDEX(Employees!$Z$6:$Z$205,MATCH($A190,Employees!$BI$6:$BI$205,0)))</f>
        <v/>
      </c>
      <c r="J190" s="26" t="str">
        <f aca="false">IF($A190="","",INDEX(Employees!$AB$6:$AB$205,MATCH($A190,Employees!$BI$6:$BI$205,0)))</f>
        <v/>
      </c>
      <c r="K190" s="26" t="str">
        <f aca="false">IF($A190="","",INDEX(Employees!$AI$6:$AI$205,MATCH($A190,Employees!$BI$6:$BI$205,0)))</f>
        <v/>
      </c>
      <c r="L190" s="26" t="str">
        <f aca="false">IF($A190="","",INDEX(Employees!$AK$6:$AK$205,MATCH($A190,Employees!$BI$6:$BI$205,0)))</f>
        <v/>
      </c>
      <c r="M190" s="11" t="str">
        <f aca="false">IF($A190="","",INDEX(Employees!$AM$6:$AM$205,MATCH($A190,Employees!$BI$6:$BI$205,0)))</f>
        <v/>
      </c>
      <c r="N190" s="11" t="str">
        <f aca="false">IF($A190="","",INDEX(Employees!$AN$6:$AN$205,MATCH($A190,Employees!$BI$6:$BI$205,0)))</f>
        <v/>
      </c>
    </row>
    <row r="191" customFormat="false" ht="15" hidden="false" customHeight="false" outlineLevel="0" collapsed="false">
      <c r="A191" s="11" t="str">
        <f aca="false">IF(186&lt;=MAX(Employees!$BI$6:$BI$205),186,"")</f>
        <v/>
      </c>
      <c r="B191" s="11" t="str">
        <f aca="false">IF($A191="","",INDEX(Employees!$A$6:$A$205,MATCH($A191,Employees!$BI$6:$BI$205,0)))</f>
        <v/>
      </c>
      <c r="C191" s="11" t="str">
        <f aca="false">IF($A191="","",INDEX(Employees!$B$6:$B$205,MATCH($A191,Employees!$BI$6:$BI$205,0)))</f>
        <v/>
      </c>
      <c r="D191" s="11" t="str">
        <f aca="false">IF($A191="","",INDEX(Employees!$C$6:$C$205,MATCH($A191,Employees!$BI$6:$BI$205,0)))</f>
        <v/>
      </c>
      <c r="E191" s="11" t="str">
        <f aca="false">IF($A191="","",INDEX(Employees!$D$6:$D$205,MATCH($A191,Employees!$BI$6:$BI$205,0)))</f>
        <v/>
      </c>
      <c r="F191" s="11" t="str">
        <f aca="false">IF($A191="","",INDEX(Employees!$T$6:$T$205,MATCH($A191,Employees!$BI$6:$BI$205,0)))</f>
        <v/>
      </c>
      <c r="G191" s="26" t="str">
        <f aca="false">IF($A191="","",INDEX(Employees!$U$6:$U$205,MATCH($A191,Employees!$BI$6:$BI$205,0)))</f>
        <v/>
      </c>
      <c r="H191" s="28" t="str">
        <f aca="false">IF($A191="","",INDEX(Employees!$E$6:$E$205,MATCH($A191,Employees!$BI$6:$BI$205,0)))</f>
        <v/>
      </c>
      <c r="I191" s="11" t="str">
        <f aca="false">IF($A191="","",INDEX(Employees!$Z$6:$Z$205,MATCH($A191,Employees!$BI$6:$BI$205,0)))</f>
        <v/>
      </c>
      <c r="J191" s="26" t="str">
        <f aca="false">IF($A191="","",INDEX(Employees!$AB$6:$AB$205,MATCH($A191,Employees!$BI$6:$BI$205,0)))</f>
        <v/>
      </c>
      <c r="K191" s="26" t="str">
        <f aca="false">IF($A191="","",INDEX(Employees!$AI$6:$AI$205,MATCH($A191,Employees!$BI$6:$BI$205,0)))</f>
        <v/>
      </c>
      <c r="L191" s="26" t="str">
        <f aca="false">IF($A191="","",INDEX(Employees!$AK$6:$AK$205,MATCH($A191,Employees!$BI$6:$BI$205,0)))</f>
        <v/>
      </c>
      <c r="M191" s="11" t="str">
        <f aca="false">IF($A191="","",INDEX(Employees!$AM$6:$AM$205,MATCH($A191,Employees!$BI$6:$BI$205,0)))</f>
        <v/>
      </c>
      <c r="N191" s="11" t="str">
        <f aca="false">IF($A191="","",INDEX(Employees!$AN$6:$AN$205,MATCH($A191,Employees!$BI$6:$BI$205,0)))</f>
        <v/>
      </c>
    </row>
    <row r="192" customFormat="false" ht="15" hidden="false" customHeight="false" outlineLevel="0" collapsed="false">
      <c r="A192" s="11" t="str">
        <f aca="false">IF(187&lt;=MAX(Employees!$BI$6:$BI$205),187,"")</f>
        <v/>
      </c>
      <c r="B192" s="11" t="str">
        <f aca="false">IF($A192="","",INDEX(Employees!$A$6:$A$205,MATCH($A192,Employees!$BI$6:$BI$205,0)))</f>
        <v/>
      </c>
      <c r="C192" s="11" t="str">
        <f aca="false">IF($A192="","",INDEX(Employees!$B$6:$B$205,MATCH($A192,Employees!$BI$6:$BI$205,0)))</f>
        <v/>
      </c>
      <c r="D192" s="11" t="str">
        <f aca="false">IF($A192="","",INDEX(Employees!$C$6:$C$205,MATCH($A192,Employees!$BI$6:$BI$205,0)))</f>
        <v/>
      </c>
      <c r="E192" s="11" t="str">
        <f aca="false">IF($A192="","",INDEX(Employees!$D$6:$D$205,MATCH($A192,Employees!$BI$6:$BI$205,0)))</f>
        <v/>
      </c>
      <c r="F192" s="11" t="str">
        <f aca="false">IF($A192="","",INDEX(Employees!$T$6:$T$205,MATCH($A192,Employees!$BI$6:$BI$205,0)))</f>
        <v/>
      </c>
      <c r="G192" s="26" t="str">
        <f aca="false">IF($A192="","",INDEX(Employees!$U$6:$U$205,MATCH($A192,Employees!$BI$6:$BI$205,0)))</f>
        <v/>
      </c>
      <c r="H192" s="28" t="str">
        <f aca="false">IF($A192="","",INDEX(Employees!$E$6:$E$205,MATCH($A192,Employees!$BI$6:$BI$205,0)))</f>
        <v/>
      </c>
      <c r="I192" s="11" t="str">
        <f aca="false">IF($A192="","",INDEX(Employees!$Z$6:$Z$205,MATCH($A192,Employees!$BI$6:$BI$205,0)))</f>
        <v/>
      </c>
      <c r="J192" s="26" t="str">
        <f aca="false">IF($A192="","",INDEX(Employees!$AB$6:$AB$205,MATCH($A192,Employees!$BI$6:$BI$205,0)))</f>
        <v/>
      </c>
      <c r="K192" s="26" t="str">
        <f aca="false">IF($A192="","",INDEX(Employees!$AI$6:$AI$205,MATCH($A192,Employees!$BI$6:$BI$205,0)))</f>
        <v/>
      </c>
      <c r="L192" s="26" t="str">
        <f aca="false">IF($A192="","",INDEX(Employees!$AK$6:$AK$205,MATCH($A192,Employees!$BI$6:$BI$205,0)))</f>
        <v/>
      </c>
      <c r="M192" s="11" t="str">
        <f aca="false">IF($A192="","",INDEX(Employees!$AM$6:$AM$205,MATCH($A192,Employees!$BI$6:$BI$205,0)))</f>
        <v/>
      </c>
      <c r="N192" s="11" t="str">
        <f aca="false">IF($A192="","",INDEX(Employees!$AN$6:$AN$205,MATCH($A192,Employees!$BI$6:$BI$205,0)))</f>
        <v/>
      </c>
    </row>
    <row r="193" customFormat="false" ht="15" hidden="false" customHeight="false" outlineLevel="0" collapsed="false">
      <c r="A193" s="11" t="str">
        <f aca="false">IF(188&lt;=MAX(Employees!$BI$6:$BI$205),188,"")</f>
        <v/>
      </c>
      <c r="B193" s="11" t="str">
        <f aca="false">IF($A193="","",INDEX(Employees!$A$6:$A$205,MATCH($A193,Employees!$BI$6:$BI$205,0)))</f>
        <v/>
      </c>
      <c r="C193" s="11" t="str">
        <f aca="false">IF($A193="","",INDEX(Employees!$B$6:$B$205,MATCH($A193,Employees!$BI$6:$BI$205,0)))</f>
        <v/>
      </c>
      <c r="D193" s="11" t="str">
        <f aca="false">IF($A193="","",INDEX(Employees!$C$6:$C$205,MATCH($A193,Employees!$BI$6:$BI$205,0)))</f>
        <v/>
      </c>
      <c r="E193" s="11" t="str">
        <f aca="false">IF($A193="","",INDEX(Employees!$D$6:$D$205,MATCH($A193,Employees!$BI$6:$BI$205,0)))</f>
        <v/>
      </c>
      <c r="F193" s="11" t="str">
        <f aca="false">IF($A193="","",INDEX(Employees!$T$6:$T$205,MATCH($A193,Employees!$BI$6:$BI$205,0)))</f>
        <v/>
      </c>
      <c r="G193" s="26" t="str">
        <f aca="false">IF($A193="","",INDEX(Employees!$U$6:$U$205,MATCH($A193,Employees!$BI$6:$BI$205,0)))</f>
        <v/>
      </c>
      <c r="H193" s="28" t="str">
        <f aca="false">IF($A193="","",INDEX(Employees!$E$6:$E$205,MATCH($A193,Employees!$BI$6:$BI$205,0)))</f>
        <v/>
      </c>
      <c r="I193" s="11" t="str">
        <f aca="false">IF($A193="","",INDEX(Employees!$Z$6:$Z$205,MATCH($A193,Employees!$BI$6:$BI$205,0)))</f>
        <v/>
      </c>
      <c r="J193" s="26" t="str">
        <f aca="false">IF($A193="","",INDEX(Employees!$AB$6:$AB$205,MATCH($A193,Employees!$BI$6:$BI$205,0)))</f>
        <v/>
      </c>
      <c r="K193" s="26" t="str">
        <f aca="false">IF($A193="","",INDEX(Employees!$AI$6:$AI$205,MATCH($A193,Employees!$BI$6:$BI$205,0)))</f>
        <v/>
      </c>
      <c r="L193" s="26" t="str">
        <f aca="false">IF($A193="","",INDEX(Employees!$AK$6:$AK$205,MATCH($A193,Employees!$BI$6:$BI$205,0)))</f>
        <v/>
      </c>
      <c r="M193" s="11" t="str">
        <f aca="false">IF($A193="","",INDEX(Employees!$AM$6:$AM$205,MATCH($A193,Employees!$BI$6:$BI$205,0)))</f>
        <v/>
      </c>
      <c r="N193" s="11" t="str">
        <f aca="false">IF($A193="","",INDEX(Employees!$AN$6:$AN$205,MATCH($A193,Employees!$BI$6:$BI$205,0)))</f>
        <v/>
      </c>
    </row>
    <row r="194" customFormat="false" ht="15" hidden="false" customHeight="false" outlineLevel="0" collapsed="false">
      <c r="A194" s="11" t="str">
        <f aca="false">IF(189&lt;=MAX(Employees!$BI$6:$BI$205),189,"")</f>
        <v/>
      </c>
      <c r="B194" s="11" t="str">
        <f aca="false">IF($A194="","",INDEX(Employees!$A$6:$A$205,MATCH($A194,Employees!$BI$6:$BI$205,0)))</f>
        <v/>
      </c>
      <c r="C194" s="11" t="str">
        <f aca="false">IF($A194="","",INDEX(Employees!$B$6:$B$205,MATCH($A194,Employees!$BI$6:$BI$205,0)))</f>
        <v/>
      </c>
      <c r="D194" s="11" t="str">
        <f aca="false">IF($A194="","",INDEX(Employees!$C$6:$C$205,MATCH($A194,Employees!$BI$6:$BI$205,0)))</f>
        <v/>
      </c>
      <c r="E194" s="11" t="str">
        <f aca="false">IF($A194="","",INDEX(Employees!$D$6:$D$205,MATCH($A194,Employees!$BI$6:$BI$205,0)))</f>
        <v/>
      </c>
      <c r="F194" s="11" t="str">
        <f aca="false">IF($A194="","",INDEX(Employees!$T$6:$T$205,MATCH($A194,Employees!$BI$6:$BI$205,0)))</f>
        <v/>
      </c>
      <c r="G194" s="26" t="str">
        <f aca="false">IF($A194="","",INDEX(Employees!$U$6:$U$205,MATCH($A194,Employees!$BI$6:$BI$205,0)))</f>
        <v/>
      </c>
      <c r="H194" s="28" t="str">
        <f aca="false">IF($A194="","",INDEX(Employees!$E$6:$E$205,MATCH($A194,Employees!$BI$6:$BI$205,0)))</f>
        <v/>
      </c>
      <c r="I194" s="11" t="str">
        <f aca="false">IF($A194="","",INDEX(Employees!$Z$6:$Z$205,MATCH($A194,Employees!$BI$6:$BI$205,0)))</f>
        <v/>
      </c>
      <c r="J194" s="26" t="str">
        <f aca="false">IF($A194="","",INDEX(Employees!$AB$6:$AB$205,MATCH($A194,Employees!$BI$6:$BI$205,0)))</f>
        <v/>
      </c>
      <c r="K194" s="26" t="str">
        <f aca="false">IF($A194="","",INDEX(Employees!$AI$6:$AI$205,MATCH($A194,Employees!$BI$6:$BI$205,0)))</f>
        <v/>
      </c>
      <c r="L194" s="26" t="str">
        <f aca="false">IF($A194="","",INDEX(Employees!$AK$6:$AK$205,MATCH($A194,Employees!$BI$6:$BI$205,0)))</f>
        <v/>
      </c>
      <c r="M194" s="11" t="str">
        <f aca="false">IF($A194="","",INDEX(Employees!$AM$6:$AM$205,MATCH($A194,Employees!$BI$6:$BI$205,0)))</f>
        <v/>
      </c>
      <c r="N194" s="11" t="str">
        <f aca="false">IF($A194="","",INDEX(Employees!$AN$6:$AN$205,MATCH($A194,Employees!$BI$6:$BI$205,0)))</f>
        <v/>
      </c>
    </row>
    <row r="195" customFormat="false" ht="15" hidden="false" customHeight="false" outlineLevel="0" collapsed="false">
      <c r="A195" s="11" t="str">
        <f aca="false">IF(190&lt;=MAX(Employees!$BI$6:$BI$205),190,"")</f>
        <v/>
      </c>
      <c r="B195" s="11" t="str">
        <f aca="false">IF($A195="","",INDEX(Employees!$A$6:$A$205,MATCH($A195,Employees!$BI$6:$BI$205,0)))</f>
        <v/>
      </c>
      <c r="C195" s="11" t="str">
        <f aca="false">IF($A195="","",INDEX(Employees!$B$6:$B$205,MATCH($A195,Employees!$BI$6:$BI$205,0)))</f>
        <v/>
      </c>
      <c r="D195" s="11" t="str">
        <f aca="false">IF($A195="","",INDEX(Employees!$C$6:$C$205,MATCH($A195,Employees!$BI$6:$BI$205,0)))</f>
        <v/>
      </c>
      <c r="E195" s="11" t="str">
        <f aca="false">IF($A195="","",INDEX(Employees!$D$6:$D$205,MATCH($A195,Employees!$BI$6:$BI$205,0)))</f>
        <v/>
      </c>
      <c r="F195" s="11" t="str">
        <f aca="false">IF($A195="","",INDEX(Employees!$T$6:$T$205,MATCH($A195,Employees!$BI$6:$BI$205,0)))</f>
        <v/>
      </c>
      <c r="G195" s="26" t="str">
        <f aca="false">IF($A195="","",INDEX(Employees!$U$6:$U$205,MATCH($A195,Employees!$BI$6:$BI$205,0)))</f>
        <v/>
      </c>
      <c r="H195" s="28" t="str">
        <f aca="false">IF($A195="","",INDEX(Employees!$E$6:$E$205,MATCH($A195,Employees!$BI$6:$BI$205,0)))</f>
        <v/>
      </c>
      <c r="I195" s="11" t="str">
        <f aca="false">IF($A195="","",INDEX(Employees!$Z$6:$Z$205,MATCH($A195,Employees!$BI$6:$BI$205,0)))</f>
        <v/>
      </c>
      <c r="J195" s="26" t="str">
        <f aca="false">IF($A195="","",INDEX(Employees!$AB$6:$AB$205,MATCH($A195,Employees!$BI$6:$BI$205,0)))</f>
        <v/>
      </c>
      <c r="K195" s="26" t="str">
        <f aca="false">IF($A195="","",INDEX(Employees!$AI$6:$AI$205,MATCH($A195,Employees!$BI$6:$BI$205,0)))</f>
        <v/>
      </c>
      <c r="L195" s="26" t="str">
        <f aca="false">IF($A195="","",INDEX(Employees!$AK$6:$AK$205,MATCH($A195,Employees!$BI$6:$BI$205,0)))</f>
        <v/>
      </c>
      <c r="M195" s="11" t="str">
        <f aca="false">IF($A195="","",INDEX(Employees!$AM$6:$AM$205,MATCH($A195,Employees!$BI$6:$BI$205,0)))</f>
        <v/>
      </c>
      <c r="N195" s="11" t="str">
        <f aca="false">IF($A195="","",INDEX(Employees!$AN$6:$AN$205,MATCH($A195,Employees!$BI$6:$BI$205,0)))</f>
        <v/>
      </c>
    </row>
    <row r="196" customFormat="false" ht="15" hidden="false" customHeight="false" outlineLevel="0" collapsed="false">
      <c r="A196" s="11" t="str">
        <f aca="false">IF(191&lt;=MAX(Employees!$BI$6:$BI$205),191,"")</f>
        <v/>
      </c>
      <c r="B196" s="11" t="str">
        <f aca="false">IF($A196="","",INDEX(Employees!$A$6:$A$205,MATCH($A196,Employees!$BI$6:$BI$205,0)))</f>
        <v/>
      </c>
      <c r="C196" s="11" t="str">
        <f aca="false">IF($A196="","",INDEX(Employees!$B$6:$B$205,MATCH($A196,Employees!$BI$6:$BI$205,0)))</f>
        <v/>
      </c>
      <c r="D196" s="11" t="str">
        <f aca="false">IF($A196="","",INDEX(Employees!$C$6:$C$205,MATCH($A196,Employees!$BI$6:$BI$205,0)))</f>
        <v/>
      </c>
      <c r="E196" s="11" t="str">
        <f aca="false">IF($A196="","",INDEX(Employees!$D$6:$D$205,MATCH($A196,Employees!$BI$6:$BI$205,0)))</f>
        <v/>
      </c>
      <c r="F196" s="11" t="str">
        <f aca="false">IF($A196="","",INDEX(Employees!$T$6:$T$205,MATCH($A196,Employees!$BI$6:$BI$205,0)))</f>
        <v/>
      </c>
      <c r="G196" s="26" t="str">
        <f aca="false">IF($A196="","",INDEX(Employees!$U$6:$U$205,MATCH($A196,Employees!$BI$6:$BI$205,0)))</f>
        <v/>
      </c>
      <c r="H196" s="28" t="str">
        <f aca="false">IF($A196="","",INDEX(Employees!$E$6:$E$205,MATCH($A196,Employees!$BI$6:$BI$205,0)))</f>
        <v/>
      </c>
      <c r="I196" s="11" t="str">
        <f aca="false">IF($A196="","",INDEX(Employees!$Z$6:$Z$205,MATCH($A196,Employees!$BI$6:$BI$205,0)))</f>
        <v/>
      </c>
      <c r="J196" s="26" t="str">
        <f aca="false">IF($A196="","",INDEX(Employees!$AB$6:$AB$205,MATCH($A196,Employees!$BI$6:$BI$205,0)))</f>
        <v/>
      </c>
      <c r="K196" s="26" t="str">
        <f aca="false">IF($A196="","",INDEX(Employees!$AI$6:$AI$205,MATCH($A196,Employees!$BI$6:$BI$205,0)))</f>
        <v/>
      </c>
      <c r="L196" s="26" t="str">
        <f aca="false">IF($A196="","",INDEX(Employees!$AK$6:$AK$205,MATCH($A196,Employees!$BI$6:$BI$205,0)))</f>
        <v/>
      </c>
      <c r="M196" s="11" t="str">
        <f aca="false">IF($A196="","",INDEX(Employees!$AM$6:$AM$205,MATCH($A196,Employees!$BI$6:$BI$205,0)))</f>
        <v/>
      </c>
      <c r="N196" s="11" t="str">
        <f aca="false">IF($A196="","",INDEX(Employees!$AN$6:$AN$205,MATCH($A196,Employees!$BI$6:$BI$205,0)))</f>
        <v/>
      </c>
    </row>
    <row r="197" customFormat="false" ht="15" hidden="false" customHeight="false" outlineLevel="0" collapsed="false">
      <c r="A197" s="11" t="str">
        <f aca="false">IF(192&lt;=MAX(Employees!$BI$6:$BI$205),192,"")</f>
        <v/>
      </c>
      <c r="B197" s="11" t="str">
        <f aca="false">IF($A197="","",INDEX(Employees!$A$6:$A$205,MATCH($A197,Employees!$BI$6:$BI$205,0)))</f>
        <v/>
      </c>
      <c r="C197" s="11" t="str">
        <f aca="false">IF($A197="","",INDEX(Employees!$B$6:$B$205,MATCH($A197,Employees!$BI$6:$BI$205,0)))</f>
        <v/>
      </c>
      <c r="D197" s="11" t="str">
        <f aca="false">IF($A197="","",INDEX(Employees!$C$6:$C$205,MATCH($A197,Employees!$BI$6:$BI$205,0)))</f>
        <v/>
      </c>
      <c r="E197" s="11" t="str">
        <f aca="false">IF($A197="","",INDEX(Employees!$D$6:$D$205,MATCH($A197,Employees!$BI$6:$BI$205,0)))</f>
        <v/>
      </c>
      <c r="F197" s="11" t="str">
        <f aca="false">IF($A197="","",INDEX(Employees!$T$6:$T$205,MATCH($A197,Employees!$BI$6:$BI$205,0)))</f>
        <v/>
      </c>
      <c r="G197" s="26" t="str">
        <f aca="false">IF($A197="","",INDEX(Employees!$U$6:$U$205,MATCH($A197,Employees!$BI$6:$BI$205,0)))</f>
        <v/>
      </c>
      <c r="H197" s="28" t="str">
        <f aca="false">IF($A197="","",INDEX(Employees!$E$6:$E$205,MATCH($A197,Employees!$BI$6:$BI$205,0)))</f>
        <v/>
      </c>
      <c r="I197" s="11" t="str">
        <f aca="false">IF($A197="","",INDEX(Employees!$Z$6:$Z$205,MATCH($A197,Employees!$BI$6:$BI$205,0)))</f>
        <v/>
      </c>
      <c r="J197" s="26" t="str">
        <f aca="false">IF($A197="","",INDEX(Employees!$AB$6:$AB$205,MATCH($A197,Employees!$BI$6:$BI$205,0)))</f>
        <v/>
      </c>
      <c r="K197" s="26" t="str">
        <f aca="false">IF($A197="","",INDEX(Employees!$AI$6:$AI$205,MATCH($A197,Employees!$BI$6:$BI$205,0)))</f>
        <v/>
      </c>
      <c r="L197" s="26" t="str">
        <f aca="false">IF($A197="","",INDEX(Employees!$AK$6:$AK$205,MATCH($A197,Employees!$BI$6:$BI$205,0)))</f>
        <v/>
      </c>
      <c r="M197" s="11" t="str">
        <f aca="false">IF($A197="","",INDEX(Employees!$AM$6:$AM$205,MATCH($A197,Employees!$BI$6:$BI$205,0)))</f>
        <v/>
      </c>
      <c r="N197" s="11" t="str">
        <f aca="false">IF($A197="","",INDEX(Employees!$AN$6:$AN$205,MATCH($A197,Employees!$BI$6:$BI$205,0)))</f>
        <v/>
      </c>
    </row>
    <row r="198" customFormat="false" ht="15" hidden="false" customHeight="false" outlineLevel="0" collapsed="false">
      <c r="A198" s="11" t="str">
        <f aca="false">IF(193&lt;=MAX(Employees!$BI$6:$BI$205),193,"")</f>
        <v/>
      </c>
      <c r="B198" s="11" t="str">
        <f aca="false">IF($A198="","",INDEX(Employees!$A$6:$A$205,MATCH($A198,Employees!$BI$6:$BI$205,0)))</f>
        <v/>
      </c>
      <c r="C198" s="11" t="str">
        <f aca="false">IF($A198="","",INDEX(Employees!$B$6:$B$205,MATCH($A198,Employees!$BI$6:$BI$205,0)))</f>
        <v/>
      </c>
      <c r="D198" s="11" t="str">
        <f aca="false">IF($A198="","",INDEX(Employees!$C$6:$C$205,MATCH($A198,Employees!$BI$6:$BI$205,0)))</f>
        <v/>
      </c>
      <c r="E198" s="11" t="str">
        <f aca="false">IF($A198="","",INDEX(Employees!$D$6:$D$205,MATCH($A198,Employees!$BI$6:$BI$205,0)))</f>
        <v/>
      </c>
      <c r="F198" s="11" t="str">
        <f aca="false">IF($A198="","",INDEX(Employees!$T$6:$T$205,MATCH($A198,Employees!$BI$6:$BI$205,0)))</f>
        <v/>
      </c>
      <c r="G198" s="26" t="str">
        <f aca="false">IF($A198="","",INDEX(Employees!$U$6:$U$205,MATCH($A198,Employees!$BI$6:$BI$205,0)))</f>
        <v/>
      </c>
      <c r="H198" s="28" t="str">
        <f aca="false">IF($A198="","",INDEX(Employees!$E$6:$E$205,MATCH($A198,Employees!$BI$6:$BI$205,0)))</f>
        <v/>
      </c>
      <c r="I198" s="11" t="str">
        <f aca="false">IF($A198="","",INDEX(Employees!$Z$6:$Z$205,MATCH($A198,Employees!$BI$6:$BI$205,0)))</f>
        <v/>
      </c>
      <c r="J198" s="26" t="str">
        <f aca="false">IF($A198="","",INDEX(Employees!$AB$6:$AB$205,MATCH($A198,Employees!$BI$6:$BI$205,0)))</f>
        <v/>
      </c>
      <c r="K198" s="26" t="str">
        <f aca="false">IF($A198="","",INDEX(Employees!$AI$6:$AI$205,MATCH($A198,Employees!$BI$6:$BI$205,0)))</f>
        <v/>
      </c>
      <c r="L198" s="26" t="str">
        <f aca="false">IF($A198="","",INDEX(Employees!$AK$6:$AK$205,MATCH($A198,Employees!$BI$6:$BI$205,0)))</f>
        <v/>
      </c>
      <c r="M198" s="11" t="str">
        <f aca="false">IF($A198="","",INDEX(Employees!$AM$6:$AM$205,MATCH($A198,Employees!$BI$6:$BI$205,0)))</f>
        <v/>
      </c>
      <c r="N198" s="11" t="str">
        <f aca="false">IF($A198="","",INDEX(Employees!$AN$6:$AN$205,MATCH($A198,Employees!$BI$6:$BI$205,0)))</f>
        <v/>
      </c>
    </row>
    <row r="199" customFormat="false" ht="15" hidden="false" customHeight="false" outlineLevel="0" collapsed="false">
      <c r="A199" s="11" t="str">
        <f aca="false">IF(194&lt;=MAX(Employees!$BI$6:$BI$205),194,"")</f>
        <v/>
      </c>
      <c r="B199" s="11" t="str">
        <f aca="false">IF($A199="","",INDEX(Employees!$A$6:$A$205,MATCH($A199,Employees!$BI$6:$BI$205,0)))</f>
        <v/>
      </c>
      <c r="C199" s="11" t="str">
        <f aca="false">IF($A199="","",INDEX(Employees!$B$6:$B$205,MATCH($A199,Employees!$BI$6:$BI$205,0)))</f>
        <v/>
      </c>
      <c r="D199" s="11" t="str">
        <f aca="false">IF($A199="","",INDEX(Employees!$C$6:$C$205,MATCH($A199,Employees!$BI$6:$BI$205,0)))</f>
        <v/>
      </c>
      <c r="E199" s="11" t="str">
        <f aca="false">IF($A199="","",INDEX(Employees!$D$6:$D$205,MATCH($A199,Employees!$BI$6:$BI$205,0)))</f>
        <v/>
      </c>
      <c r="F199" s="11" t="str">
        <f aca="false">IF($A199="","",INDEX(Employees!$T$6:$T$205,MATCH($A199,Employees!$BI$6:$BI$205,0)))</f>
        <v/>
      </c>
      <c r="G199" s="26" t="str">
        <f aca="false">IF($A199="","",INDEX(Employees!$U$6:$U$205,MATCH($A199,Employees!$BI$6:$BI$205,0)))</f>
        <v/>
      </c>
      <c r="H199" s="28" t="str">
        <f aca="false">IF($A199="","",INDEX(Employees!$E$6:$E$205,MATCH($A199,Employees!$BI$6:$BI$205,0)))</f>
        <v/>
      </c>
      <c r="I199" s="11" t="str">
        <f aca="false">IF($A199="","",INDEX(Employees!$Z$6:$Z$205,MATCH($A199,Employees!$BI$6:$BI$205,0)))</f>
        <v/>
      </c>
      <c r="J199" s="26" t="str">
        <f aca="false">IF($A199="","",INDEX(Employees!$AB$6:$AB$205,MATCH($A199,Employees!$BI$6:$BI$205,0)))</f>
        <v/>
      </c>
      <c r="K199" s="26" t="str">
        <f aca="false">IF($A199="","",INDEX(Employees!$AI$6:$AI$205,MATCH($A199,Employees!$BI$6:$BI$205,0)))</f>
        <v/>
      </c>
      <c r="L199" s="26" t="str">
        <f aca="false">IF($A199="","",INDEX(Employees!$AK$6:$AK$205,MATCH($A199,Employees!$BI$6:$BI$205,0)))</f>
        <v/>
      </c>
      <c r="M199" s="11" t="str">
        <f aca="false">IF($A199="","",INDEX(Employees!$AM$6:$AM$205,MATCH($A199,Employees!$BI$6:$BI$205,0)))</f>
        <v/>
      </c>
      <c r="N199" s="11" t="str">
        <f aca="false">IF($A199="","",INDEX(Employees!$AN$6:$AN$205,MATCH($A199,Employees!$BI$6:$BI$205,0)))</f>
        <v/>
      </c>
    </row>
    <row r="200" customFormat="false" ht="15" hidden="false" customHeight="false" outlineLevel="0" collapsed="false">
      <c r="A200" s="11" t="str">
        <f aca="false">IF(195&lt;=MAX(Employees!$BI$6:$BI$205),195,"")</f>
        <v/>
      </c>
      <c r="B200" s="11" t="str">
        <f aca="false">IF($A200="","",INDEX(Employees!$A$6:$A$205,MATCH($A200,Employees!$BI$6:$BI$205,0)))</f>
        <v/>
      </c>
      <c r="C200" s="11" t="str">
        <f aca="false">IF($A200="","",INDEX(Employees!$B$6:$B$205,MATCH($A200,Employees!$BI$6:$BI$205,0)))</f>
        <v/>
      </c>
      <c r="D200" s="11" t="str">
        <f aca="false">IF($A200="","",INDEX(Employees!$C$6:$C$205,MATCH($A200,Employees!$BI$6:$BI$205,0)))</f>
        <v/>
      </c>
      <c r="E200" s="11" t="str">
        <f aca="false">IF($A200="","",INDEX(Employees!$D$6:$D$205,MATCH($A200,Employees!$BI$6:$BI$205,0)))</f>
        <v/>
      </c>
      <c r="F200" s="11" t="str">
        <f aca="false">IF($A200="","",INDEX(Employees!$T$6:$T$205,MATCH($A200,Employees!$BI$6:$BI$205,0)))</f>
        <v/>
      </c>
      <c r="G200" s="26" t="str">
        <f aca="false">IF($A200="","",INDEX(Employees!$U$6:$U$205,MATCH($A200,Employees!$BI$6:$BI$205,0)))</f>
        <v/>
      </c>
      <c r="H200" s="28" t="str">
        <f aca="false">IF($A200="","",INDEX(Employees!$E$6:$E$205,MATCH($A200,Employees!$BI$6:$BI$205,0)))</f>
        <v/>
      </c>
      <c r="I200" s="11" t="str">
        <f aca="false">IF($A200="","",INDEX(Employees!$Z$6:$Z$205,MATCH($A200,Employees!$BI$6:$BI$205,0)))</f>
        <v/>
      </c>
      <c r="J200" s="26" t="str">
        <f aca="false">IF($A200="","",INDEX(Employees!$AB$6:$AB$205,MATCH($A200,Employees!$BI$6:$BI$205,0)))</f>
        <v/>
      </c>
      <c r="K200" s="26" t="str">
        <f aca="false">IF($A200="","",INDEX(Employees!$AI$6:$AI$205,MATCH($A200,Employees!$BI$6:$BI$205,0)))</f>
        <v/>
      </c>
      <c r="L200" s="26" t="str">
        <f aca="false">IF($A200="","",INDEX(Employees!$AK$6:$AK$205,MATCH($A200,Employees!$BI$6:$BI$205,0)))</f>
        <v/>
      </c>
      <c r="M200" s="11" t="str">
        <f aca="false">IF($A200="","",INDEX(Employees!$AM$6:$AM$205,MATCH($A200,Employees!$BI$6:$BI$205,0)))</f>
        <v/>
      </c>
      <c r="N200" s="11" t="str">
        <f aca="false">IF($A200="","",INDEX(Employees!$AN$6:$AN$205,MATCH($A200,Employees!$BI$6:$BI$205,0)))</f>
        <v/>
      </c>
    </row>
    <row r="201" customFormat="false" ht="15" hidden="false" customHeight="false" outlineLevel="0" collapsed="false">
      <c r="A201" s="11" t="str">
        <f aca="false">IF(196&lt;=MAX(Employees!$BI$6:$BI$205),196,"")</f>
        <v/>
      </c>
      <c r="B201" s="11" t="str">
        <f aca="false">IF($A201="","",INDEX(Employees!$A$6:$A$205,MATCH($A201,Employees!$BI$6:$BI$205,0)))</f>
        <v/>
      </c>
      <c r="C201" s="11" t="str">
        <f aca="false">IF($A201="","",INDEX(Employees!$B$6:$B$205,MATCH($A201,Employees!$BI$6:$BI$205,0)))</f>
        <v/>
      </c>
      <c r="D201" s="11" t="str">
        <f aca="false">IF($A201="","",INDEX(Employees!$C$6:$C$205,MATCH($A201,Employees!$BI$6:$BI$205,0)))</f>
        <v/>
      </c>
      <c r="E201" s="11" t="str">
        <f aca="false">IF($A201="","",INDEX(Employees!$D$6:$D$205,MATCH($A201,Employees!$BI$6:$BI$205,0)))</f>
        <v/>
      </c>
      <c r="F201" s="11" t="str">
        <f aca="false">IF($A201="","",INDEX(Employees!$T$6:$T$205,MATCH($A201,Employees!$BI$6:$BI$205,0)))</f>
        <v/>
      </c>
      <c r="G201" s="26" t="str">
        <f aca="false">IF($A201="","",INDEX(Employees!$U$6:$U$205,MATCH($A201,Employees!$BI$6:$BI$205,0)))</f>
        <v/>
      </c>
      <c r="H201" s="28" t="str">
        <f aca="false">IF($A201="","",INDEX(Employees!$E$6:$E$205,MATCH($A201,Employees!$BI$6:$BI$205,0)))</f>
        <v/>
      </c>
      <c r="I201" s="11" t="str">
        <f aca="false">IF($A201="","",INDEX(Employees!$Z$6:$Z$205,MATCH($A201,Employees!$BI$6:$BI$205,0)))</f>
        <v/>
      </c>
      <c r="J201" s="26" t="str">
        <f aca="false">IF($A201="","",INDEX(Employees!$AB$6:$AB$205,MATCH($A201,Employees!$BI$6:$BI$205,0)))</f>
        <v/>
      </c>
      <c r="K201" s="26" t="str">
        <f aca="false">IF($A201="","",INDEX(Employees!$AI$6:$AI$205,MATCH($A201,Employees!$BI$6:$BI$205,0)))</f>
        <v/>
      </c>
      <c r="L201" s="26" t="str">
        <f aca="false">IF($A201="","",INDEX(Employees!$AK$6:$AK$205,MATCH($A201,Employees!$BI$6:$BI$205,0)))</f>
        <v/>
      </c>
      <c r="M201" s="11" t="str">
        <f aca="false">IF($A201="","",INDEX(Employees!$AM$6:$AM$205,MATCH($A201,Employees!$BI$6:$BI$205,0)))</f>
        <v/>
      </c>
      <c r="N201" s="11" t="str">
        <f aca="false">IF($A201="","",INDEX(Employees!$AN$6:$AN$205,MATCH($A201,Employees!$BI$6:$BI$205,0)))</f>
        <v/>
      </c>
    </row>
    <row r="202" customFormat="false" ht="15" hidden="false" customHeight="false" outlineLevel="0" collapsed="false">
      <c r="A202" s="11" t="str">
        <f aca="false">IF(197&lt;=MAX(Employees!$BI$6:$BI$205),197,"")</f>
        <v/>
      </c>
      <c r="B202" s="11" t="str">
        <f aca="false">IF($A202="","",INDEX(Employees!$A$6:$A$205,MATCH($A202,Employees!$BI$6:$BI$205,0)))</f>
        <v/>
      </c>
      <c r="C202" s="11" t="str">
        <f aca="false">IF($A202="","",INDEX(Employees!$B$6:$B$205,MATCH($A202,Employees!$BI$6:$BI$205,0)))</f>
        <v/>
      </c>
      <c r="D202" s="11" t="str">
        <f aca="false">IF($A202="","",INDEX(Employees!$C$6:$C$205,MATCH($A202,Employees!$BI$6:$BI$205,0)))</f>
        <v/>
      </c>
      <c r="E202" s="11" t="str">
        <f aca="false">IF($A202="","",INDEX(Employees!$D$6:$D$205,MATCH($A202,Employees!$BI$6:$BI$205,0)))</f>
        <v/>
      </c>
      <c r="F202" s="11" t="str">
        <f aca="false">IF($A202="","",INDEX(Employees!$T$6:$T$205,MATCH($A202,Employees!$BI$6:$BI$205,0)))</f>
        <v/>
      </c>
      <c r="G202" s="26" t="str">
        <f aca="false">IF($A202="","",INDEX(Employees!$U$6:$U$205,MATCH($A202,Employees!$BI$6:$BI$205,0)))</f>
        <v/>
      </c>
      <c r="H202" s="28" t="str">
        <f aca="false">IF($A202="","",INDEX(Employees!$E$6:$E$205,MATCH($A202,Employees!$BI$6:$BI$205,0)))</f>
        <v/>
      </c>
      <c r="I202" s="11" t="str">
        <f aca="false">IF($A202="","",INDEX(Employees!$Z$6:$Z$205,MATCH($A202,Employees!$BI$6:$BI$205,0)))</f>
        <v/>
      </c>
      <c r="J202" s="26" t="str">
        <f aca="false">IF($A202="","",INDEX(Employees!$AB$6:$AB$205,MATCH($A202,Employees!$BI$6:$BI$205,0)))</f>
        <v/>
      </c>
      <c r="K202" s="26" t="str">
        <f aca="false">IF($A202="","",INDEX(Employees!$AI$6:$AI$205,MATCH($A202,Employees!$BI$6:$BI$205,0)))</f>
        <v/>
      </c>
      <c r="L202" s="26" t="str">
        <f aca="false">IF($A202="","",INDEX(Employees!$AK$6:$AK$205,MATCH($A202,Employees!$BI$6:$BI$205,0)))</f>
        <v/>
      </c>
      <c r="M202" s="11" t="str">
        <f aca="false">IF($A202="","",INDEX(Employees!$AM$6:$AM$205,MATCH($A202,Employees!$BI$6:$BI$205,0)))</f>
        <v/>
      </c>
      <c r="N202" s="11" t="str">
        <f aca="false">IF($A202="","",INDEX(Employees!$AN$6:$AN$205,MATCH($A202,Employees!$BI$6:$BI$205,0)))</f>
        <v/>
      </c>
    </row>
    <row r="203" customFormat="false" ht="15" hidden="false" customHeight="false" outlineLevel="0" collapsed="false">
      <c r="A203" s="11" t="str">
        <f aca="false">IF(198&lt;=MAX(Employees!$BI$6:$BI$205),198,"")</f>
        <v/>
      </c>
      <c r="B203" s="11" t="str">
        <f aca="false">IF($A203="","",INDEX(Employees!$A$6:$A$205,MATCH($A203,Employees!$BI$6:$BI$205,0)))</f>
        <v/>
      </c>
      <c r="C203" s="11" t="str">
        <f aca="false">IF($A203="","",INDEX(Employees!$B$6:$B$205,MATCH($A203,Employees!$BI$6:$BI$205,0)))</f>
        <v/>
      </c>
      <c r="D203" s="11" t="str">
        <f aca="false">IF($A203="","",INDEX(Employees!$C$6:$C$205,MATCH($A203,Employees!$BI$6:$BI$205,0)))</f>
        <v/>
      </c>
      <c r="E203" s="11" t="str">
        <f aca="false">IF($A203="","",INDEX(Employees!$D$6:$D$205,MATCH($A203,Employees!$BI$6:$BI$205,0)))</f>
        <v/>
      </c>
      <c r="F203" s="11" t="str">
        <f aca="false">IF($A203="","",INDEX(Employees!$T$6:$T$205,MATCH($A203,Employees!$BI$6:$BI$205,0)))</f>
        <v/>
      </c>
      <c r="G203" s="26" t="str">
        <f aca="false">IF($A203="","",INDEX(Employees!$U$6:$U$205,MATCH($A203,Employees!$BI$6:$BI$205,0)))</f>
        <v/>
      </c>
      <c r="H203" s="28" t="str">
        <f aca="false">IF($A203="","",INDEX(Employees!$E$6:$E$205,MATCH($A203,Employees!$BI$6:$BI$205,0)))</f>
        <v/>
      </c>
      <c r="I203" s="11" t="str">
        <f aca="false">IF($A203="","",INDEX(Employees!$Z$6:$Z$205,MATCH($A203,Employees!$BI$6:$BI$205,0)))</f>
        <v/>
      </c>
      <c r="J203" s="26" t="str">
        <f aca="false">IF($A203="","",INDEX(Employees!$AB$6:$AB$205,MATCH($A203,Employees!$BI$6:$BI$205,0)))</f>
        <v/>
      </c>
      <c r="K203" s="26" t="str">
        <f aca="false">IF($A203="","",INDEX(Employees!$AI$6:$AI$205,MATCH($A203,Employees!$BI$6:$BI$205,0)))</f>
        <v/>
      </c>
      <c r="L203" s="26" t="str">
        <f aca="false">IF($A203="","",INDEX(Employees!$AK$6:$AK$205,MATCH($A203,Employees!$BI$6:$BI$205,0)))</f>
        <v/>
      </c>
      <c r="M203" s="11" t="str">
        <f aca="false">IF($A203="","",INDEX(Employees!$AM$6:$AM$205,MATCH($A203,Employees!$BI$6:$BI$205,0)))</f>
        <v/>
      </c>
      <c r="N203" s="11" t="str">
        <f aca="false">IF($A203="","",INDEX(Employees!$AN$6:$AN$205,MATCH($A203,Employees!$BI$6:$BI$205,0)))</f>
        <v/>
      </c>
    </row>
    <row r="204" customFormat="false" ht="15" hidden="false" customHeight="false" outlineLevel="0" collapsed="false">
      <c r="A204" s="11" t="str">
        <f aca="false">IF(199&lt;=MAX(Employees!$BI$6:$BI$205),199,"")</f>
        <v/>
      </c>
      <c r="B204" s="11" t="str">
        <f aca="false">IF($A204="","",INDEX(Employees!$A$6:$A$205,MATCH($A204,Employees!$BI$6:$BI$205,0)))</f>
        <v/>
      </c>
      <c r="C204" s="11" t="str">
        <f aca="false">IF($A204="","",INDEX(Employees!$B$6:$B$205,MATCH($A204,Employees!$BI$6:$BI$205,0)))</f>
        <v/>
      </c>
      <c r="D204" s="11" t="str">
        <f aca="false">IF($A204="","",INDEX(Employees!$C$6:$C$205,MATCH($A204,Employees!$BI$6:$BI$205,0)))</f>
        <v/>
      </c>
      <c r="E204" s="11" t="str">
        <f aca="false">IF($A204="","",INDEX(Employees!$D$6:$D$205,MATCH($A204,Employees!$BI$6:$BI$205,0)))</f>
        <v/>
      </c>
      <c r="F204" s="11" t="str">
        <f aca="false">IF($A204="","",INDEX(Employees!$T$6:$T$205,MATCH($A204,Employees!$BI$6:$BI$205,0)))</f>
        <v/>
      </c>
      <c r="G204" s="26" t="str">
        <f aca="false">IF($A204="","",INDEX(Employees!$U$6:$U$205,MATCH($A204,Employees!$BI$6:$BI$205,0)))</f>
        <v/>
      </c>
      <c r="H204" s="28" t="str">
        <f aca="false">IF($A204="","",INDEX(Employees!$E$6:$E$205,MATCH($A204,Employees!$BI$6:$BI$205,0)))</f>
        <v/>
      </c>
      <c r="I204" s="11" t="str">
        <f aca="false">IF($A204="","",INDEX(Employees!$Z$6:$Z$205,MATCH($A204,Employees!$BI$6:$BI$205,0)))</f>
        <v/>
      </c>
      <c r="J204" s="26" t="str">
        <f aca="false">IF($A204="","",INDEX(Employees!$AB$6:$AB$205,MATCH($A204,Employees!$BI$6:$BI$205,0)))</f>
        <v/>
      </c>
      <c r="K204" s="26" t="str">
        <f aca="false">IF($A204="","",INDEX(Employees!$AI$6:$AI$205,MATCH($A204,Employees!$BI$6:$BI$205,0)))</f>
        <v/>
      </c>
      <c r="L204" s="26" t="str">
        <f aca="false">IF($A204="","",INDEX(Employees!$AK$6:$AK$205,MATCH($A204,Employees!$BI$6:$BI$205,0)))</f>
        <v/>
      </c>
      <c r="M204" s="11" t="str">
        <f aca="false">IF($A204="","",INDEX(Employees!$AM$6:$AM$205,MATCH($A204,Employees!$BI$6:$BI$205,0)))</f>
        <v/>
      </c>
      <c r="N204" s="11" t="str">
        <f aca="false">IF($A204="","",INDEX(Employees!$AN$6:$AN$205,MATCH($A204,Employees!$BI$6:$BI$205,0)))</f>
        <v/>
      </c>
    </row>
    <row r="205" customFormat="false" ht="15" hidden="false" customHeight="false" outlineLevel="0" collapsed="false">
      <c r="A205" s="11" t="str">
        <f aca="false">IF(200&lt;=MAX(Employees!$BI$6:$BI$205),200,"")</f>
        <v/>
      </c>
      <c r="B205" s="11" t="str">
        <f aca="false">IF($A205="","",INDEX(Employees!$A$6:$A$205,MATCH($A205,Employees!$BI$6:$BI$205,0)))</f>
        <v/>
      </c>
      <c r="C205" s="11" t="str">
        <f aca="false">IF($A205="","",INDEX(Employees!$B$6:$B$205,MATCH($A205,Employees!$BI$6:$BI$205,0)))</f>
        <v/>
      </c>
      <c r="D205" s="11" t="str">
        <f aca="false">IF($A205="","",INDEX(Employees!$C$6:$C$205,MATCH($A205,Employees!$BI$6:$BI$205,0)))</f>
        <v/>
      </c>
      <c r="E205" s="11" t="str">
        <f aca="false">IF($A205="","",INDEX(Employees!$D$6:$D$205,MATCH($A205,Employees!$BI$6:$BI$205,0)))</f>
        <v/>
      </c>
      <c r="F205" s="11" t="str">
        <f aca="false">IF($A205="","",INDEX(Employees!$T$6:$T$205,MATCH($A205,Employees!$BI$6:$BI$205,0)))</f>
        <v/>
      </c>
      <c r="G205" s="26" t="str">
        <f aca="false">IF($A205="","",INDEX(Employees!$U$6:$U$205,MATCH($A205,Employees!$BI$6:$BI$205,0)))</f>
        <v/>
      </c>
      <c r="H205" s="28" t="str">
        <f aca="false">IF($A205="","",INDEX(Employees!$E$6:$E$205,MATCH($A205,Employees!$BI$6:$BI$205,0)))</f>
        <v/>
      </c>
      <c r="I205" s="11" t="str">
        <f aca="false">IF($A205="","",INDEX(Employees!$Z$6:$Z$205,MATCH($A205,Employees!$BI$6:$BI$205,0)))</f>
        <v/>
      </c>
      <c r="J205" s="26" t="str">
        <f aca="false">IF($A205="","",INDEX(Employees!$AB$6:$AB$205,MATCH($A205,Employees!$BI$6:$BI$205,0)))</f>
        <v/>
      </c>
      <c r="K205" s="26" t="str">
        <f aca="false">IF($A205="","",INDEX(Employees!$AI$6:$AI$205,MATCH($A205,Employees!$BI$6:$BI$205,0)))</f>
        <v/>
      </c>
      <c r="L205" s="26" t="str">
        <f aca="false">IF($A205="","",INDEX(Employees!$AK$6:$AK$205,MATCH($A205,Employees!$BI$6:$BI$205,0)))</f>
        <v/>
      </c>
      <c r="M205" s="11" t="str">
        <f aca="false">IF($A205="","",INDEX(Employees!$AM$6:$AM$205,MATCH($A205,Employees!$BI$6:$BI$205,0)))</f>
        <v/>
      </c>
      <c r="N205" s="11" t="str">
        <f aca="false">IF($A205="","",INDEX(Employees!$AN$6:$AN$205,MATCH($A205,Employees!$BI$6:$BI$205,0)))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2: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14"/>
    <col collapsed="false" customWidth="true" hidden="false" outlineLevel="0" max="4" min="4" style="0" width="3"/>
    <col collapsed="false" customWidth="true" hidden="false" outlineLevel="0" max="5" min="5" style="0" width="20"/>
    <col collapsed="false" customWidth="true" hidden="false" outlineLevel="0" max="8" min="6" style="0" width="12"/>
    <col collapsed="false" customWidth="true" hidden="false" outlineLevel="0" max="11" min="9" style="0" width="14"/>
    <col collapsed="false" customWidth="true" hidden="false" outlineLevel="0" max="12" min="12" style="0" width="12"/>
  </cols>
  <sheetData>
    <row r="2" customFormat="false" ht="17.35" hidden="false" customHeight="false" outlineLevel="0" collapsed="false">
      <c r="B2" s="5" t="s">
        <v>262</v>
      </c>
    </row>
    <row r="3" customFormat="false" ht="15" hidden="false" customHeight="false" outlineLevel="0" collapsed="false">
      <c r="B3" s="14" t="str">
        <f aca="false">"As at "&amp;TEXT(AsOfDate,"dd/mm/yyyy")&amp;IF(EH_Ready,""," - EH export not mapped, EH figures blank")</f>
        <v>As at 30/09/2026</v>
      </c>
    </row>
    <row r="5" customFormat="false" ht="15" hidden="false" customHeight="false" outlineLevel="0" collapsed="false">
      <c r="B5" s="7" t="s">
        <v>263</v>
      </c>
      <c r="C5" s="7" t="s">
        <v>36</v>
      </c>
      <c r="E5" s="7" t="s">
        <v>147</v>
      </c>
      <c r="F5" s="7" t="s">
        <v>264</v>
      </c>
      <c r="G5" s="7" t="s">
        <v>265</v>
      </c>
      <c r="H5" s="7" t="s">
        <v>266</v>
      </c>
      <c r="I5" s="7" t="s">
        <v>267</v>
      </c>
      <c r="J5" s="7" t="s">
        <v>268</v>
      </c>
      <c r="K5" s="7" t="s">
        <v>269</v>
      </c>
      <c r="L5" s="7" t="s">
        <v>270</v>
      </c>
    </row>
    <row r="6" customFormat="false" ht="15" hidden="false" customHeight="false" outlineLevel="0" collapsed="false">
      <c r="B6" s="33" t="s">
        <v>271</v>
      </c>
      <c r="C6" s="34" t="n">
        <f aca="false">COUNTIF(Employees!$AO$6:$AO$205,1)</f>
        <v>8</v>
      </c>
      <c r="E6" s="11" t="str">
        <f aca="false">IF(INDEX(DeptList,1)="","",INDEX(DeptList,1))</f>
        <v>Operations</v>
      </c>
      <c r="F6" s="11" t="n">
        <f aca="false">IF($E6="","",COUNTIFS(Employees!$D$6:$D$205,$E6,Employees!$AO$6:$AO$205,1,Employees!$BF$6:$BF$205,0))</f>
        <v>2</v>
      </c>
      <c r="G6" s="11" t="n">
        <f aca="false">IF($E6="","",COUNTIFS(Employees!$D$6:$D$205,$E6,Employees!$AA$6:$AA$205,"Yes*"))</f>
        <v>2</v>
      </c>
      <c r="H6" s="11" t="n">
        <f aca="false">IF($E6="","",COUNTIFS(Employees!$D$6:$D$205,$E6,Employees!$AA$6:$AA$205,"Not yet*"))</f>
        <v>0</v>
      </c>
      <c r="I6" s="11" t="n">
        <f aca="false">IF($E6="","",COUNTIFS(Employees!$D$6:$D$205,$E6,Employees!$AA$6:$AA$205,"Not eligible*")+COUNTIFS(Employees!$D$6:$D$205,$E6,Employees!$AA$6:$AA$205,"No longer*"))</f>
        <v>0</v>
      </c>
      <c r="J6" s="26" t="n">
        <f aca="false">IF($E6="","",SUMIFS(Employees!$AB$6:$AB$205,Employees!$D$6:$D$205,$E6,Employees!$BF$6:$BF$205,0))</f>
        <v>13</v>
      </c>
      <c r="K6" s="26" t="n">
        <f aca="false">IF($E6="","",SUMIFS(Employees!$AG$6:$AG$205,Employees!$D$6:$D$205,$E6,Employees!$BF$6:$BF$205,0))</f>
        <v>8</v>
      </c>
      <c r="L6" s="26" t="n">
        <f aca="false">IF($E6="","",SUMIFS(Employees!$AK$6:$AK$205,Employees!$D$6:$D$205,$E6,Employees!$AK$6:$AK$205,"&gt;0"))</f>
        <v>4</v>
      </c>
    </row>
    <row r="7" customFormat="false" ht="15" hidden="false" customHeight="false" outlineLevel="0" collapsed="false">
      <c r="B7" s="33" t="s">
        <v>272</v>
      </c>
      <c r="C7" s="34" t="n">
        <f aca="false">COUNTIFS(Employees!$AO$6:$AO$205,1,Employees!$BF$6:$BF$205,0)</f>
        <v>7</v>
      </c>
      <c r="E7" s="11" t="str">
        <f aca="false">IF(INDEX(DeptList,2)="","",INDEX(DeptList,2))</f>
        <v>Sales</v>
      </c>
      <c r="F7" s="11" t="n">
        <f aca="false">IF($E7="","",COUNTIFS(Employees!$D$6:$D$205,$E7,Employees!$AO$6:$AO$205,1,Employees!$BF$6:$BF$205,0))</f>
        <v>1</v>
      </c>
      <c r="G7" s="11" t="n">
        <f aca="false">IF($E7="","",COUNTIFS(Employees!$D$6:$D$205,$E7,Employees!$AA$6:$AA$205,"Yes*"))</f>
        <v>1</v>
      </c>
      <c r="H7" s="11" t="n">
        <f aca="false">IF($E7="","",COUNTIFS(Employees!$D$6:$D$205,$E7,Employees!$AA$6:$AA$205,"Not yet*"))</f>
        <v>0</v>
      </c>
      <c r="I7" s="11" t="n">
        <f aca="false">IF($E7="","",COUNTIFS(Employees!$D$6:$D$205,$E7,Employees!$AA$6:$AA$205,"Not eligible*")+COUNTIFS(Employees!$D$6:$D$205,$E7,Employees!$AA$6:$AA$205,"No longer*"))</f>
        <v>0</v>
      </c>
      <c r="J7" s="26" t="n">
        <f aca="false">IF($E7="","",SUMIFS(Employees!$AB$6:$AB$205,Employees!$D$6:$D$205,$E7,Employees!$BF$6:$BF$205,0))</f>
        <v>4</v>
      </c>
      <c r="K7" s="26" t="n">
        <f aca="false">IF($E7="","",SUMIFS(Employees!$AG$6:$AG$205,Employees!$D$6:$D$205,$E7,Employees!$BF$6:$BF$205,0))</f>
        <v>4</v>
      </c>
      <c r="L7" s="26" t="n">
        <f aca="false">IF($E7="","",SUMIFS(Employees!$AK$6:$AK$205,Employees!$D$6:$D$205,$E7,Employees!$AK$6:$AK$205,"&gt;0"))</f>
        <v>0</v>
      </c>
    </row>
    <row r="8" customFormat="false" ht="15" hidden="false" customHeight="false" outlineLevel="0" collapsed="false">
      <c r="B8" s="33" t="s">
        <v>273</v>
      </c>
      <c r="C8" s="34" t="n">
        <f aca="false">COUNTIF(Employees!$AA$6:$AA$205,"Yes*")</f>
        <v>4</v>
      </c>
      <c r="E8" s="11" t="str">
        <f aca="false">IF(INDEX(DeptList,3)="","",INDEX(DeptList,3))</f>
        <v>Technical</v>
      </c>
      <c r="F8" s="11" t="n">
        <f aca="false">IF($E8="","",COUNTIFS(Employees!$D$6:$D$205,$E8,Employees!$AO$6:$AO$205,1,Employees!$BF$6:$BF$205,0))</f>
        <v>1</v>
      </c>
      <c r="G8" s="11" t="n">
        <f aca="false">IF($E8="","",COUNTIFS(Employees!$D$6:$D$205,$E8,Employees!$AA$6:$AA$205,"Yes*"))</f>
        <v>1</v>
      </c>
      <c r="H8" s="11" t="n">
        <f aca="false">IF($E8="","",COUNTIFS(Employees!$D$6:$D$205,$E8,Employees!$AA$6:$AA$205,"Not yet*"))</f>
        <v>0</v>
      </c>
      <c r="I8" s="11" t="n">
        <f aca="false">IF($E8="","",COUNTIFS(Employees!$D$6:$D$205,$E8,Employees!$AA$6:$AA$205,"Not eligible*")+COUNTIFS(Employees!$D$6:$D$205,$E8,Employees!$AA$6:$AA$205,"No longer*"))</f>
        <v>0</v>
      </c>
      <c r="J8" s="26" t="n">
        <f aca="false">IF($E8="","",SUMIFS(Employees!$AB$6:$AB$205,Employees!$D$6:$D$205,$E8,Employees!$BF$6:$BF$205,0))</f>
        <v>12</v>
      </c>
      <c r="K8" s="26" t="n">
        <f aca="false">IF($E8="","",SUMIFS(Employees!$AG$6:$AG$205,Employees!$D$6:$D$205,$E8,Employees!$BF$6:$BF$205,0))</f>
        <v>10</v>
      </c>
      <c r="L8" s="26" t="n">
        <f aca="false">IF($E8="","",SUMIFS(Employees!$AK$6:$AK$205,Employees!$D$6:$D$205,$E8,Employees!$AK$6:$AK$205,"&gt;0"))</f>
        <v>2</v>
      </c>
    </row>
    <row r="9" customFormat="false" ht="15" hidden="false" customHeight="false" outlineLevel="0" collapsed="false">
      <c r="B9" s="33" t="s">
        <v>274</v>
      </c>
      <c r="C9" s="34" t="n">
        <f aca="false">COUNTIF(Employees!$AA$6:$AA$205,"Not yet*")</f>
        <v>1</v>
      </c>
      <c r="E9" s="11" t="str">
        <f aca="false">IF(INDEX(DeptList,4)="","",INDEX(DeptList,4))</f>
        <v>Warehouse</v>
      </c>
      <c r="F9" s="11" t="n">
        <f aca="false">IF($E9="","",COUNTIFS(Employees!$D$6:$D$205,$E9,Employees!$AO$6:$AO$205,1,Employees!$BF$6:$BF$205,0))</f>
        <v>1</v>
      </c>
      <c r="G9" s="11" t="n">
        <f aca="false">IF($E9="","",COUNTIFS(Employees!$D$6:$D$205,$E9,Employees!$AA$6:$AA$205,"Yes*"))</f>
        <v>0</v>
      </c>
      <c r="H9" s="11" t="n">
        <f aca="false">IF($E9="","",COUNTIFS(Employees!$D$6:$D$205,$E9,Employees!$AA$6:$AA$205,"Not yet*"))</f>
        <v>0</v>
      </c>
      <c r="I9" s="11" t="n">
        <f aca="false">IF($E9="","",COUNTIFS(Employees!$D$6:$D$205,$E9,Employees!$AA$6:$AA$205,"Not eligible*")+COUNTIFS(Employees!$D$6:$D$205,$E9,Employees!$AA$6:$AA$205,"No longer*"))</f>
        <v>1</v>
      </c>
      <c r="J9" s="26" t="n">
        <f aca="false">IF($E9="","",SUMIFS(Employees!$AB$6:$AB$205,Employees!$D$6:$D$205,$E9,Employees!$BF$6:$BF$205,0))</f>
        <v>0</v>
      </c>
      <c r="K9" s="26" t="n">
        <f aca="false">IF($E9="","",SUMIFS(Employees!$AG$6:$AG$205,Employees!$D$6:$D$205,$E9,Employees!$BF$6:$BF$205,0))</f>
        <v>0</v>
      </c>
      <c r="L9" s="26" t="n">
        <f aca="false">IF($E9="","",SUMIFS(Employees!$AK$6:$AK$205,Employees!$D$6:$D$205,$E9,Employees!$AK$6:$AK$205,"&gt;0"))</f>
        <v>0</v>
      </c>
    </row>
    <row r="10" customFormat="false" ht="15" hidden="false" customHeight="false" outlineLevel="0" collapsed="false">
      <c r="B10" s="33" t="s">
        <v>275</v>
      </c>
      <c r="C10" s="34" t="n">
        <f aca="false">COUNTIF(Employees!$AA$6:$AA$205,"Not eligible*")</f>
        <v>1</v>
      </c>
      <c r="E10" s="11" t="str">
        <f aca="false">IF(INDEX(DeptList,5)="","",INDEX(DeptList,5))</f>
        <v>Administration</v>
      </c>
      <c r="F10" s="11" t="n">
        <f aca="false">IF($E10="","",COUNTIFS(Employees!$D$6:$D$205,$E10,Employees!$AO$6:$AO$205,1,Employees!$BF$6:$BF$205,0))</f>
        <v>2</v>
      </c>
      <c r="G10" s="11" t="n">
        <f aca="false">IF($E10="","",COUNTIFS(Employees!$D$6:$D$205,$E10,Employees!$AA$6:$AA$205,"Yes*"))</f>
        <v>0</v>
      </c>
      <c r="H10" s="11" t="n">
        <f aca="false">IF($E10="","",COUNTIFS(Employees!$D$6:$D$205,$E10,Employees!$AA$6:$AA$205,"Not yet*"))</f>
        <v>1</v>
      </c>
      <c r="I10" s="11" t="n">
        <f aca="false">IF($E10="","",COUNTIFS(Employees!$D$6:$D$205,$E10,Employees!$AA$6:$AA$205,"Not eligible*")+COUNTIFS(Employees!$D$6:$D$205,$E10,Employees!$AA$6:$AA$205,"No longer*"))</f>
        <v>1</v>
      </c>
      <c r="J10" s="26" t="n">
        <f aca="false">IF($E10="","",SUMIFS(Employees!$AB$6:$AB$205,Employees!$D$6:$D$205,$E10,Employees!$BF$6:$BF$205,0))</f>
        <v>1</v>
      </c>
      <c r="K10" s="26" t="n">
        <f aca="false">IF($E10="","",SUMIFS(Employees!$AG$6:$AG$205,Employees!$D$6:$D$205,$E10,Employees!$BF$6:$BF$205,0))</f>
        <v>1</v>
      </c>
      <c r="L10" s="26" t="n">
        <f aca="false">IF($E10="","",SUMIFS(Employees!$AK$6:$AK$205,Employees!$D$6:$D$205,$E10,Employees!$AK$6:$AK$205,"&gt;0"))</f>
        <v>0</v>
      </c>
    </row>
    <row r="11" customFormat="false" ht="15" hidden="false" customHeight="false" outlineLevel="0" collapsed="false">
      <c r="B11" s="33" t="s">
        <v>276</v>
      </c>
      <c r="C11" s="34" t="n">
        <f aca="false">COUNTIF(Employees!$AA$6:$AA$205,"No longer*")</f>
        <v>1</v>
      </c>
      <c r="E11" s="11" t="str">
        <f aca="false">IF(INDEX(DeptList,6)="","",INDEX(DeptList,6))</f>
        <v>Finance</v>
      </c>
      <c r="F11" s="11" t="n">
        <f aca="false">IF($E11="","",COUNTIFS(Employees!$D$6:$D$205,$E11,Employees!$AO$6:$AO$205,1,Employees!$BF$6:$BF$205,0))</f>
        <v>0</v>
      </c>
      <c r="G11" s="11" t="n">
        <f aca="false">IF($E11="","",COUNTIFS(Employees!$D$6:$D$205,$E11,Employees!$AA$6:$AA$205,"Yes*"))</f>
        <v>0</v>
      </c>
      <c r="H11" s="11" t="n">
        <f aca="false">IF($E11="","",COUNTIFS(Employees!$D$6:$D$205,$E11,Employees!$AA$6:$AA$205,"Not yet*"))</f>
        <v>0</v>
      </c>
      <c r="I11" s="11" t="n">
        <f aca="false">IF($E11="","",COUNTIFS(Employees!$D$6:$D$205,$E11,Employees!$AA$6:$AA$205,"Not eligible*")+COUNTIFS(Employees!$D$6:$D$205,$E11,Employees!$AA$6:$AA$205,"No longer*"))</f>
        <v>0</v>
      </c>
      <c r="J11" s="26" t="n">
        <f aca="false">IF($E11="","",SUMIFS(Employees!$AB$6:$AB$205,Employees!$D$6:$D$205,$E11,Employees!$BF$6:$BF$205,0))</f>
        <v>0</v>
      </c>
      <c r="K11" s="26" t="n">
        <f aca="false">IF($E11="","",SUMIFS(Employees!$AG$6:$AG$205,Employees!$D$6:$D$205,$E11,Employees!$BF$6:$BF$205,0))</f>
        <v>0</v>
      </c>
      <c r="L11" s="26" t="n">
        <f aca="false">IF($E11="","",SUMIFS(Employees!$AK$6:$AK$205,Employees!$D$6:$D$205,$E11,Employees!$AK$6:$AK$205,"&gt;0"))</f>
        <v>0</v>
      </c>
    </row>
    <row r="12" customFormat="false" ht="15" hidden="false" customHeight="false" outlineLevel="0" collapsed="false">
      <c r="B12" s="33" t="s">
        <v>277</v>
      </c>
      <c r="C12" s="34" t="n">
        <f aca="false">COUNTIF(Employees!$BF$6:$BF$205,1)</f>
        <v>1</v>
      </c>
      <c r="E12" s="11" t="str">
        <f aca="false">IF(INDEX(DeptList,7)="","",INDEX(DeptList,7))</f>
        <v>Management</v>
      </c>
      <c r="F12" s="11" t="n">
        <f aca="false">IF($E12="","",COUNTIFS(Employees!$D$6:$D$205,$E12,Employees!$AO$6:$AO$205,1,Employees!$BF$6:$BF$205,0))</f>
        <v>0</v>
      </c>
      <c r="G12" s="11" t="n">
        <f aca="false">IF($E12="","",COUNTIFS(Employees!$D$6:$D$205,$E12,Employees!$AA$6:$AA$205,"Yes*"))</f>
        <v>0</v>
      </c>
      <c r="H12" s="11" t="n">
        <f aca="false">IF($E12="","",COUNTIFS(Employees!$D$6:$D$205,$E12,Employees!$AA$6:$AA$205,"Not yet*"))</f>
        <v>0</v>
      </c>
      <c r="I12" s="11" t="n">
        <f aca="false">IF($E12="","",COUNTIFS(Employees!$D$6:$D$205,$E12,Employees!$AA$6:$AA$205,"Not eligible*")+COUNTIFS(Employees!$D$6:$D$205,$E12,Employees!$AA$6:$AA$205,"No longer*"))</f>
        <v>0</v>
      </c>
      <c r="J12" s="26" t="n">
        <f aca="false">IF($E12="","",SUMIFS(Employees!$AB$6:$AB$205,Employees!$D$6:$D$205,$E12,Employees!$BF$6:$BF$205,0))</f>
        <v>0</v>
      </c>
      <c r="K12" s="26" t="n">
        <f aca="false">IF($E12="","",SUMIFS(Employees!$AG$6:$AG$205,Employees!$D$6:$D$205,$E12,Employees!$BF$6:$BF$205,0))</f>
        <v>0</v>
      </c>
      <c r="L12" s="26" t="n">
        <f aca="false">IF($E12="","",SUMIFS(Employees!$AK$6:$AK$205,Employees!$D$6:$D$205,$E12,Employees!$AK$6:$AK$205,"&gt;0"))</f>
        <v>0</v>
      </c>
    </row>
    <row r="13" customFormat="false" ht="15" hidden="false" customHeight="false" outlineLevel="0" collapsed="false">
      <c r="E13" s="11" t="str">
        <f aca="false">IF(INDEX(DeptList,8)="","",INDEX(DeptList,8))</f>
        <v/>
      </c>
      <c r="F13" s="11" t="str">
        <f aca="false">IF($E13="","",COUNTIFS(Employees!$D$6:$D$205,$E13,Employees!$AO$6:$AO$205,1,Employees!$BF$6:$BF$205,0))</f>
        <v/>
      </c>
      <c r="G13" s="11" t="str">
        <f aca="false">IF($E13="","",COUNTIFS(Employees!$D$6:$D$205,$E13,Employees!$AA$6:$AA$205,"Yes*"))</f>
        <v/>
      </c>
      <c r="H13" s="11" t="str">
        <f aca="false">IF($E13="","",COUNTIFS(Employees!$D$6:$D$205,$E13,Employees!$AA$6:$AA$205,"Not yet*"))</f>
        <v/>
      </c>
      <c r="I13" s="11" t="str">
        <f aca="false">IF($E13="","",COUNTIFS(Employees!$D$6:$D$205,$E13,Employees!$AA$6:$AA$205,"Not eligible*")+COUNTIFS(Employees!$D$6:$D$205,$E13,Employees!$AA$6:$AA$205,"No longer*"))</f>
        <v/>
      </c>
      <c r="J13" s="26" t="str">
        <f aca="false">IF($E13="","",SUMIFS(Employees!$AB$6:$AB$205,Employees!$D$6:$D$205,$E13,Employees!$BF$6:$BF$205,0))</f>
        <v/>
      </c>
      <c r="K13" s="26" t="str">
        <f aca="false">IF($E13="","",SUMIFS(Employees!$AG$6:$AG$205,Employees!$D$6:$D$205,$E13,Employees!$BF$6:$BF$205,0))</f>
        <v/>
      </c>
      <c r="L13" s="26" t="str">
        <f aca="false">IF($E13="","",SUMIFS(Employees!$AK$6:$AK$205,Employees!$D$6:$D$205,$E13,Employees!$AK$6:$AK$205,"&gt;0"))</f>
        <v/>
      </c>
    </row>
    <row r="14" customFormat="false" ht="15" hidden="false" customHeight="false" outlineLevel="0" collapsed="false">
      <c r="B14" s="33" t="s">
        <v>278</v>
      </c>
      <c r="C14" s="26" t="n">
        <f aca="false">SUMIFS(Employees!$AB$6:$AB$205,Employees!$BF$6:$BF$205,0)</f>
        <v>30</v>
      </c>
      <c r="E14" s="11" t="str">
        <f aca="false">IF(INDEX(DeptList,9)="","",INDEX(DeptList,9))</f>
        <v/>
      </c>
      <c r="F14" s="11" t="str">
        <f aca="false">IF($E14="","",COUNTIFS(Employees!$D$6:$D$205,$E14,Employees!$AO$6:$AO$205,1,Employees!$BF$6:$BF$205,0))</f>
        <v/>
      </c>
      <c r="G14" s="11" t="str">
        <f aca="false">IF($E14="","",COUNTIFS(Employees!$D$6:$D$205,$E14,Employees!$AA$6:$AA$205,"Yes*"))</f>
        <v/>
      </c>
      <c r="H14" s="11" t="str">
        <f aca="false">IF($E14="","",COUNTIFS(Employees!$D$6:$D$205,$E14,Employees!$AA$6:$AA$205,"Not yet*"))</f>
        <v/>
      </c>
      <c r="I14" s="11" t="str">
        <f aca="false">IF($E14="","",COUNTIFS(Employees!$D$6:$D$205,$E14,Employees!$AA$6:$AA$205,"Not eligible*")+COUNTIFS(Employees!$D$6:$D$205,$E14,Employees!$AA$6:$AA$205,"No longer*"))</f>
        <v/>
      </c>
      <c r="J14" s="26" t="str">
        <f aca="false">IF($E14="","",SUMIFS(Employees!$AB$6:$AB$205,Employees!$D$6:$D$205,$E14,Employees!$BF$6:$BF$205,0))</f>
        <v/>
      </c>
      <c r="K14" s="26" t="str">
        <f aca="false">IF($E14="","",SUMIFS(Employees!$AG$6:$AG$205,Employees!$D$6:$D$205,$E14,Employees!$BF$6:$BF$205,0))</f>
        <v/>
      </c>
      <c r="L14" s="26" t="str">
        <f aca="false">IF($E14="","",SUMIFS(Employees!$AK$6:$AK$205,Employees!$D$6:$D$205,$E14,Employees!$AK$6:$AK$205,"&gt;0"))</f>
        <v/>
      </c>
    </row>
    <row r="15" customFormat="false" ht="15" hidden="false" customHeight="false" outlineLevel="0" collapsed="false">
      <c r="B15" s="33" t="s">
        <v>279</v>
      </c>
      <c r="C15" s="26" t="n">
        <f aca="false">SUMIFS(Employees!$AC$6:$AC$205,Employees!$BF$6:$BF$205,0)</f>
        <v>240</v>
      </c>
      <c r="E15" s="11" t="str">
        <f aca="false">IF(INDEX(DeptList,10)="","",INDEX(DeptList,10))</f>
        <v/>
      </c>
      <c r="F15" s="11" t="str">
        <f aca="false">IF($E15="","",COUNTIFS(Employees!$D$6:$D$205,$E15,Employees!$AO$6:$AO$205,1,Employees!$BF$6:$BF$205,0))</f>
        <v/>
      </c>
      <c r="G15" s="11" t="str">
        <f aca="false">IF($E15="","",COUNTIFS(Employees!$D$6:$D$205,$E15,Employees!$AA$6:$AA$205,"Yes*"))</f>
        <v/>
      </c>
      <c r="H15" s="11" t="str">
        <f aca="false">IF($E15="","",COUNTIFS(Employees!$D$6:$D$205,$E15,Employees!$AA$6:$AA$205,"Not yet*"))</f>
        <v/>
      </c>
      <c r="I15" s="11" t="str">
        <f aca="false">IF($E15="","",COUNTIFS(Employees!$D$6:$D$205,$E15,Employees!$AA$6:$AA$205,"Not eligible*")+COUNTIFS(Employees!$D$6:$D$205,$E15,Employees!$AA$6:$AA$205,"No longer*"))</f>
        <v/>
      </c>
      <c r="J15" s="26" t="str">
        <f aca="false">IF($E15="","",SUMIFS(Employees!$AB$6:$AB$205,Employees!$D$6:$D$205,$E15,Employees!$BF$6:$BF$205,0))</f>
        <v/>
      </c>
      <c r="K15" s="26" t="str">
        <f aca="false">IF($E15="","",SUMIFS(Employees!$AG$6:$AG$205,Employees!$D$6:$D$205,$E15,Employees!$BF$6:$BF$205,0))</f>
        <v/>
      </c>
      <c r="L15" s="26" t="str">
        <f aca="false">IF($E15="","",SUMIFS(Employees!$AK$6:$AK$205,Employees!$D$6:$D$205,$E15,Employees!$AK$6:$AK$205,"&gt;0"))</f>
        <v/>
      </c>
    </row>
    <row r="16" customFormat="false" ht="15" hidden="false" customHeight="false" outlineLevel="0" collapsed="false">
      <c r="B16" s="33" t="s">
        <v>280</v>
      </c>
      <c r="C16" s="26" t="n">
        <f aca="false">SUMIFS(Employees!$AG$6:$AG$205,Employees!$BF$6:$BF$205,0)</f>
        <v>23</v>
      </c>
      <c r="E16" s="11" t="str">
        <f aca="false">IF(INDEX(DeptList,11)="","",INDEX(DeptList,11))</f>
        <v/>
      </c>
      <c r="F16" s="11" t="str">
        <f aca="false">IF($E16="","",COUNTIFS(Employees!$D$6:$D$205,$E16,Employees!$AO$6:$AO$205,1,Employees!$BF$6:$BF$205,0))</f>
        <v/>
      </c>
      <c r="G16" s="11" t="str">
        <f aca="false">IF($E16="","",COUNTIFS(Employees!$D$6:$D$205,$E16,Employees!$AA$6:$AA$205,"Yes*"))</f>
        <v/>
      </c>
      <c r="H16" s="11" t="str">
        <f aca="false">IF($E16="","",COUNTIFS(Employees!$D$6:$D$205,$E16,Employees!$AA$6:$AA$205,"Not yet*"))</f>
        <v/>
      </c>
      <c r="I16" s="11" t="str">
        <f aca="false">IF($E16="","",COUNTIFS(Employees!$D$6:$D$205,$E16,Employees!$AA$6:$AA$205,"Not eligible*")+COUNTIFS(Employees!$D$6:$D$205,$E16,Employees!$AA$6:$AA$205,"No longer*"))</f>
        <v/>
      </c>
      <c r="J16" s="26" t="str">
        <f aca="false">IF($E16="","",SUMIFS(Employees!$AB$6:$AB$205,Employees!$D$6:$D$205,$E16,Employees!$BF$6:$BF$205,0))</f>
        <v/>
      </c>
      <c r="K16" s="26" t="str">
        <f aca="false">IF($E16="","",SUMIFS(Employees!$AG$6:$AG$205,Employees!$D$6:$D$205,$E16,Employees!$BF$6:$BF$205,0))</f>
        <v/>
      </c>
      <c r="L16" s="26" t="str">
        <f aca="false">IF($E16="","",SUMIFS(Employees!$AK$6:$AK$205,Employees!$D$6:$D$205,$E16,Employees!$AK$6:$AK$205,"&gt;0"))</f>
        <v/>
      </c>
    </row>
    <row r="17" customFormat="false" ht="15" hidden="false" customHeight="false" outlineLevel="0" collapsed="false">
      <c r="B17" s="33" t="s">
        <v>281</v>
      </c>
      <c r="C17" s="26" t="n">
        <f aca="false">SUMIFS(Employees!$AG$6:$AG$205,Employees!$BF$6:$BF$205,0)*HoursPerDay</f>
        <v>184</v>
      </c>
      <c r="E17" s="11" t="str">
        <f aca="false">IF(INDEX(DeptList,12)="","",INDEX(DeptList,12))</f>
        <v/>
      </c>
      <c r="F17" s="11" t="str">
        <f aca="false">IF($E17="","",COUNTIFS(Employees!$D$6:$D$205,$E17,Employees!$AO$6:$AO$205,1,Employees!$BF$6:$BF$205,0))</f>
        <v/>
      </c>
      <c r="G17" s="11" t="str">
        <f aca="false">IF($E17="","",COUNTIFS(Employees!$D$6:$D$205,$E17,Employees!$AA$6:$AA$205,"Yes*"))</f>
        <v/>
      </c>
      <c r="H17" s="11" t="str">
        <f aca="false">IF($E17="","",COUNTIFS(Employees!$D$6:$D$205,$E17,Employees!$AA$6:$AA$205,"Not yet*"))</f>
        <v/>
      </c>
      <c r="I17" s="11" t="str">
        <f aca="false">IF($E17="","",COUNTIFS(Employees!$D$6:$D$205,$E17,Employees!$AA$6:$AA$205,"Not eligible*")+COUNTIFS(Employees!$D$6:$D$205,$E17,Employees!$AA$6:$AA$205,"No longer*"))</f>
        <v/>
      </c>
      <c r="J17" s="26" t="str">
        <f aca="false">IF($E17="","",SUMIFS(Employees!$AB$6:$AB$205,Employees!$D$6:$D$205,$E17,Employees!$BF$6:$BF$205,0))</f>
        <v/>
      </c>
      <c r="K17" s="26" t="str">
        <f aca="false">IF($E17="","",SUMIFS(Employees!$AG$6:$AG$205,Employees!$D$6:$D$205,$E17,Employees!$BF$6:$BF$205,0))</f>
        <v/>
      </c>
      <c r="L17" s="26" t="str">
        <f aca="false">IF($E17="","",SUMIFS(Employees!$AK$6:$AK$205,Employees!$D$6:$D$205,$E17,Employees!$AK$6:$AK$205,"&gt;0"))</f>
        <v/>
      </c>
    </row>
    <row r="18" customFormat="false" ht="15" hidden="false" customHeight="false" outlineLevel="0" collapsed="false">
      <c r="B18" s="33" t="s">
        <v>282</v>
      </c>
      <c r="C18" s="26" t="n">
        <f aca="false">SUMIFS(Employees!$AH$6:$AH$205,Employees!$BF$6:$BF$205,0)</f>
        <v>1</v>
      </c>
      <c r="E18" s="11" t="str">
        <f aca="false">IF(INDEX(DeptList,13)="","",INDEX(DeptList,13))</f>
        <v/>
      </c>
      <c r="F18" s="11" t="str">
        <f aca="false">IF($E18="","",COUNTIFS(Employees!$D$6:$D$205,$E18,Employees!$AO$6:$AO$205,1,Employees!$BF$6:$BF$205,0))</f>
        <v/>
      </c>
      <c r="G18" s="11" t="str">
        <f aca="false">IF($E18="","",COUNTIFS(Employees!$D$6:$D$205,$E18,Employees!$AA$6:$AA$205,"Yes*"))</f>
        <v/>
      </c>
      <c r="H18" s="11" t="str">
        <f aca="false">IF($E18="","",COUNTIFS(Employees!$D$6:$D$205,$E18,Employees!$AA$6:$AA$205,"Not yet*"))</f>
        <v/>
      </c>
      <c r="I18" s="11" t="str">
        <f aca="false">IF($E18="","",COUNTIFS(Employees!$D$6:$D$205,$E18,Employees!$AA$6:$AA$205,"Not eligible*")+COUNTIFS(Employees!$D$6:$D$205,$E18,Employees!$AA$6:$AA$205,"No longer*"))</f>
        <v/>
      </c>
      <c r="J18" s="26" t="str">
        <f aca="false">IF($E18="","",SUMIFS(Employees!$AB$6:$AB$205,Employees!$D$6:$D$205,$E18,Employees!$BF$6:$BF$205,0))</f>
        <v/>
      </c>
      <c r="K18" s="26" t="str">
        <f aca="false">IF($E18="","",SUMIFS(Employees!$AG$6:$AG$205,Employees!$D$6:$D$205,$E18,Employees!$BF$6:$BF$205,0))</f>
        <v/>
      </c>
      <c r="L18" s="26" t="str">
        <f aca="false">IF($E18="","",SUMIFS(Employees!$AK$6:$AK$205,Employees!$D$6:$D$205,$E18,Employees!$AK$6:$AK$205,"&gt;0"))</f>
        <v/>
      </c>
    </row>
    <row r="19" customFormat="false" ht="15" hidden="false" customHeight="false" outlineLevel="0" collapsed="false">
      <c r="B19" s="33" t="s">
        <v>283</v>
      </c>
      <c r="C19" s="29" t="n">
        <f aca="false">SUMIFS(Employees!$AJ$6:$AJ$205,Employees!$BF$6:$BF$205,0)</f>
        <v>7484</v>
      </c>
      <c r="E19" s="11" t="str">
        <f aca="false">IF(INDEX(DeptList,14)="","",INDEX(DeptList,14))</f>
        <v/>
      </c>
      <c r="F19" s="11" t="str">
        <f aca="false">IF($E19="","",COUNTIFS(Employees!$D$6:$D$205,$E19,Employees!$AO$6:$AO$205,1,Employees!$BF$6:$BF$205,0))</f>
        <v/>
      </c>
      <c r="G19" s="11" t="str">
        <f aca="false">IF($E19="","",COUNTIFS(Employees!$D$6:$D$205,$E19,Employees!$AA$6:$AA$205,"Yes*"))</f>
        <v/>
      </c>
      <c r="H19" s="11" t="str">
        <f aca="false">IF($E19="","",COUNTIFS(Employees!$D$6:$D$205,$E19,Employees!$AA$6:$AA$205,"Not yet*"))</f>
        <v/>
      </c>
      <c r="I19" s="11" t="str">
        <f aca="false">IF($E19="","",COUNTIFS(Employees!$D$6:$D$205,$E19,Employees!$AA$6:$AA$205,"Not eligible*")+COUNTIFS(Employees!$D$6:$D$205,$E19,Employees!$AA$6:$AA$205,"No longer*"))</f>
        <v/>
      </c>
      <c r="J19" s="26" t="str">
        <f aca="false">IF($E19="","",SUMIFS(Employees!$AB$6:$AB$205,Employees!$D$6:$D$205,$E19,Employees!$BF$6:$BF$205,0))</f>
        <v/>
      </c>
      <c r="K19" s="26" t="str">
        <f aca="false">IF($E19="","",SUMIFS(Employees!$AG$6:$AG$205,Employees!$D$6:$D$205,$E19,Employees!$BF$6:$BF$205,0))</f>
        <v/>
      </c>
      <c r="L19" s="26" t="str">
        <f aca="false">IF($E19="","",SUMIFS(Employees!$AK$6:$AK$205,Employees!$D$6:$D$205,$E19,Employees!$AK$6:$AK$205,"&gt;0"))</f>
        <v/>
      </c>
    </row>
    <row r="20" customFormat="false" ht="15" hidden="false" customHeight="false" outlineLevel="0" collapsed="false">
      <c r="E20" s="11" t="str">
        <f aca="false">IF(INDEX(DeptList,15)="","",INDEX(DeptList,15))</f>
        <v/>
      </c>
      <c r="F20" s="11" t="str">
        <f aca="false">IF($E20="","",COUNTIFS(Employees!$D$6:$D$205,$E20,Employees!$AO$6:$AO$205,1,Employees!$BF$6:$BF$205,0))</f>
        <v/>
      </c>
      <c r="G20" s="11" t="str">
        <f aca="false">IF($E20="","",COUNTIFS(Employees!$D$6:$D$205,$E20,Employees!$AA$6:$AA$205,"Yes*"))</f>
        <v/>
      </c>
      <c r="H20" s="11" t="str">
        <f aca="false">IF($E20="","",COUNTIFS(Employees!$D$6:$D$205,$E20,Employees!$AA$6:$AA$205,"Not yet*"))</f>
        <v/>
      </c>
      <c r="I20" s="11" t="str">
        <f aca="false">IF($E20="","",COUNTIFS(Employees!$D$6:$D$205,$E20,Employees!$AA$6:$AA$205,"Not eligible*")+COUNTIFS(Employees!$D$6:$D$205,$E20,Employees!$AA$6:$AA$205,"No longer*"))</f>
        <v/>
      </c>
      <c r="J20" s="26" t="str">
        <f aca="false">IF($E20="","",SUMIFS(Employees!$AB$6:$AB$205,Employees!$D$6:$D$205,$E20,Employees!$BF$6:$BF$205,0))</f>
        <v/>
      </c>
      <c r="K20" s="26" t="str">
        <f aca="false">IF($E20="","",SUMIFS(Employees!$AG$6:$AG$205,Employees!$D$6:$D$205,$E20,Employees!$BF$6:$BF$205,0))</f>
        <v/>
      </c>
      <c r="L20" s="26" t="str">
        <f aca="false">IF($E20="","",SUMIFS(Employees!$AK$6:$AK$205,Employees!$D$6:$D$205,$E20,Employees!$AK$6:$AK$205,"&gt;0"))</f>
        <v/>
      </c>
    </row>
    <row r="21" customFormat="false" ht="15" hidden="false" customHeight="false" outlineLevel="0" collapsed="false">
      <c r="B21" s="33" t="s">
        <v>284</v>
      </c>
      <c r="C21" s="34" t="n">
        <f aca="false">COUNT(Employees!$BG$6:$BG$205)</f>
        <v>1</v>
      </c>
      <c r="E21" s="11" t="str">
        <f aca="false">IF(INDEX(DeptList,16)="","",INDEX(DeptList,16))</f>
        <v/>
      </c>
      <c r="F21" s="11" t="str">
        <f aca="false">IF($E21="","",COUNTIFS(Employees!$D$6:$D$205,$E21,Employees!$AO$6:$AO$205,1,Employees!$BF$6:$BF$205,0))</f>
        <v/>
      </c>
      <c r="G21" s="11" t="str">
        <f aca="false">IF($E21="","",COUNTIFS(Employees!$D$6:$D$205,$E21,Employees!$AA$6:$AA$205,"Yes*"))</f>
        <v/>
      </c>
      <c r="H21" s="11" t="str">
        <f aca="false">IF($E21="","",COUNTIFS(Employees!$D$6:$D$205,$E21,Employees!$AA$6:$AA$205,"Not yet*"))</f>
        <v/>
      </c>
      <c r="I21" s="11" t="str">
        <f aca="false">IF($E21="","",COUNTIFS(Employees!$D$6:$D$205,$E21,Employees!$AA$6:$AA$205,"Not eligible*")+COUNTIFS(Employees!$D$6:$D$205,$E21,Employees!$AA$6:$AA$205,"No longer*"))</f>
        <v/>
      </c>
      <c r="J21" s="26" t="str">
        <f aca="false">IF($E21="","",SUMIFS(Employees!$AB$6:$AB$205,Employees!$D$6:$D$205,$E21,Employees!$BF$6:$BF$205,0))</f>
        <v/>
      </c>
      <c r="K21" s="26" t="str">
        <f aca="false">IF($E21="","",SUMIFS(Employees!$AG$6:$AG$205,Employees!$D$6:$D$205,$E21,Employees!$BF$6:$BF$205,0))</f>
        <v/>
      </c>
      <c r="L21" s="26" t="str">
        <f aca="false">IF($E21="","",SUMIFS(Employees!$AK$6:$AK$205,Employees!$D$6:$D$205,$E21,Employees!$AK$6:$AK$205,"&gt;0"))</f>
        <v/>
      </c>
    </row>
    <row r="22" customFormat="false" ht="15" hidden="false" customHeight="false" outlineLevel="0" collapsed="false">
      <c r="B22" s="33" t="s">
        <v>285</v>
      </c>
      <c r="C22" s="34" t="n">
        <f aca="false">COUNT(Employees!$BH$6:$BH$205)</f>
        <v>2</v>
      </c>
      <c r="E22" s="11" t="str">
        <f aca="false">IF(INDEX(DeptList,17)="","",INDEX(DeptList,17))</f>
        <v/>
      </c>
      <c r="F22" s="11" t="str">
        <f aca="false">IF($E22="","",COUNTIFS(Employees!$D$6:$D$205,$E22,Employees!$AO$6:$AO$205,1,Employees!$BF$6:$BF$205,0))</f>
        <v/>
      </c>
      <c r="G22" s="11" t="str">
        <f aca="false">IF($E22="","",COUNTIFS(Employees!$D$6:$D$205,$E22,Employees!$AA$6:$AA$205,"Yes*"))</f>
        <v/>
      </c>
      <c r="H22" s="11" t="str">
        <f aca="false">IF($E22="","",COUNTIFS(Employees!$D$6:$D$205,$E22,Employees!$AA$6:$AA$205,"Not yet*"))</f>
        <v/>
      </c>
      <c r="I22" s="11" t="str">
        <f aca="false">IF($E22="","",COUNTIFS(Employees!$D$6:$D$205,$E22,Employees!$AA$6:$AA$205,"Not eligible*")+COUNTIFS(Employees!$D$6:$D$205,$E22,Employees!$AA$6:$AA$205,"No longer*"))</f>
        <v/>
      </c>
      <c r="J22" s="26" t="str">
        <f aca="false">IF($E22="","",SUMIFS(Employees!$AB$6:$AB$205,Employees!$D$6:$D$205,$E22,Employees!$BF$6:$BF$205,0))</f>
        <v/>
      </c>
      <c r="K22" s="26" t="str">
        <f aca="false">IF($E22="","",SUMIFS(Employees!$AG$6:$AG$205,Employees!$D$6:$D$205,$E22,Employees!$BF$6:$BF$205,0))</f>
        <v/>
      </c>
      <c r="L22" s="26" t="str">
        <f aca="false">IF($E22="","",SUMIFS(Employees!$AK$6:$AK$205,Employees!$D$6:$D$205,$E22,Employees!$AK$6:$AK$205,"&gt;0"))</f>
        <v/>
      </c>
    </row>
    <row r="23" customFormat="false" ht="15" hidden="false" customHeight="false" outlineLevel="0" collapsed="false">
      <c r="B23" s="33" t="s">
        <v>286</v>
      </c>
      <c r="C23" s="26" t="n">
        <f aca="false">SUMIF(Employees!$AK$6:$AK$205,"&gt;0")</f>
        <v>6</v>
      </c>
      <c r="E23" s="11" t="str">
        <f aca="false">IF(INDEX(DeptList,18)="","",INDEX(DeptList,18))</f>
        <v/>
      </c>
      <c r="F23" s="11" t="str">
        <f aca="false">IF($E23="","",COUNTIFS(Employees!$D$6:$D$205,$E23,Employees!$AO$6:$AO$205,1,Employees!$BF$6:$BF$205,0))</f>
        <v/>
      </c>
      <c r="G23" s="11" t="str">
        <f aca="false">IF($E23="","",COUNTIFS(Employees!$D$6:$D$205,$E23,Employees!$AA$6:$AA$205,"Yes*"))</f>
        <v/>
      </c>
      <c r="H23" s="11" t="str">
        <f aca="false">IF($E23="","",COUNTIFS(Employees!$D$6:$D$205,$E23,Employees!$AA$6:$AA$205,"Not yet*"))</f>
        <v/>
      </c>
      <c r="I23" s="11" t="str">
        <f aca="false">IF($E23="","",COUNTIFS(Employees!$D$6:$D$205,$E23,Employees!$AA$6:$AA$205,"Not eligible*")+COUNTIFS(Employees!$D$6:$D$205,$E23,Employees!$AA$6:$AA$205,"No longer*"))</f>
        <v/>
      </c>
      <c r="J23" s="26" t="str">
        <f aca="false">IF($E23="","",SUMIFS(Employees!$AB$6:$AB$205,Employees!$D$6:$D$205,$E23,Employees!$BF$6:$BF$205,0))</f>
        <v/>
      </c>
      <c r="K23" s="26" t="str">
        <f aca="false">IF($E23="","",SUMIFS(Employees!$AG$6:$AG$205,Employees!$D$6:$D$205,$E23,Employees!$BF$6:$BF$205,0))</f>
        <v/>
      </c>
      <c r="L23" s="26" t="str">
        <f aca="false">IF($E23="","",SUMIFS(Employees!$AK$6:$AK$205,Employees!$D$6:$D$205,$E23,Employees!$AK$6:$AK$205,"&gt;0"))</f>
        <v/>
      </c>
    </row>
    <row r="24" customFormat="false" ht="15" hidden="false" customHeight="false" outlineLevel="0" collapsed="false">
      <c r="B24" s="33" t="s">
        <v>287</v>
      </c>
      <c r="C24" s="26" t="n">
        <f aca="false">SUMIF(Employees!$AK$6:$AK$205,"&gt;0")*HoursPerDay</f>
        <v>48</v>
      </c>
      <c r="E24" s="11" t="str">
        <f aca="false">IF(INDEX(DeptList,19)="","",INDEX(DeptList,19))</f>
        <v/>
      </c>
      <c r="F24" s="11" t="str">
        <f aca="false">IF($E24="","",COUNTIFS(Employees!$D$6:$D$205,$E24,Employees!$AO$6:$AO$205,1,Employees!$BF$6:$BF$205,0))</f>
        <v/>
      </c>
      <c r="G24" s="11" t="str">
        <f aca="false">IF($E24="","",COUNTIFS(Employees!$D$6:$D$205,$E24,Employees!$AA$6:$AA$205,"Yes*"))</f>
        <v/>
      </c>
      <c r="H24" s="11" t="str">
        <f aca="false">IF($E24="","",COUNTIFS(Employees!$D$6:$D$205,$E24,Employees!$AA$6:$AA$205,"Not yet*"))</f>
        <v/>
      </c>
      <c r="I24" s="11" t="str">
        <f aca="false">IF($E24="","",COUNTIFS(Employees!$D$6:$D$205,$E24,Employees!$AA$6:$AA$205,"Not eligible*")+COUNTIFS(Employees!$D$6:$D$205,$E24,Employees!$AA$6:$AA$205,"No longer*"))</f>
        <v/>
      </c>
      <c r="J24" s="26" t="str">
        <f aca="false">IF($E24="","",SUMIFS(Employees!$AB$6:$AB$205,Employees!$D$6:$D$205,$E24,Employees!$BF$6:$BF$205,0))</f>
        <v/>
      </c>
      <c r="K24" s="26" t="str">
        <f aca="false">IF($E24="","",SUMIFS(Employees!$AG$6:$AG$205,Employees!$D$6:$D$205,$E24,Employees!$BF$6:$BF$205,0))</f>
        <v/>
      </c>
      <c r="L24" s="26" t="str">
        <f aca="false">IF($E24="","",SUMIFS(Employees!$AK$6:$AK$205,Employees!$D$6:$D$205,$E24,Employees!$AK$6:$AK$205,"&gt;0"))</f>
        <v/>
      </c>
    </row>
    <row r="25" customFormat="false" ht="15" hidden="false" customHeight="false" outlineLevel="0" collapsed="false">
      <c r="B25" s="33" t="s">
        <v>288</v>
      </c>
      <c r="C25" s="34" t="n">
        <f aca="false">COUNTIF(Employees!$AM$6:$AM$205,"CHECK*")</f>
        <v>0</v>
      </c>
      <c r="E25" s="11" t="str">
        <f aca="false">IF(INDEX(DeptList,20)="","",INDEX(DeptList,20))</f>
        <v/>
      </c>
      <c r="F25" s="11" t="str">
        <f aca="false">IF($E25="","",COUNTIFS(Employees!$D$6:$D$205,$E25,Employees!$AO$6:$AO$205,1,Employees!$BF$6:$BF$205,0))</f>
        <v/>
      </c>
      <c r="G25" s="11" t="str">
        <f aca="false">IF($E25="","",COUNTIFS(Employees!$D$6:$D$205,$E25,Employees!$AA$6:$AA$205,"Yes*"))</f>
        <v/>
      </c>
      <c r="H25" s="11" t="str">
        <f aca="false">IF($E25="","",COUNTIFS(Employees!$D$6:$D$205,$E25,Employees!$AA$6:$AA$205,"Not yet*"))</f>
        <v/>
      </c>
      <c r="I25" s="11" t="str">
        <f aca="false">IF($E25="","",COUNTIFS(Employees!$D$6:$D$205,$E25,Employees!$AA$6:$AA$205,"Not eligible*")+COUNTIFS(Employees!$D$6:$D$205,$E25,Employees!$AA$6:$AA$205,"No longer*"))</f>
        <v/>
      </c>
      <c r="J25" s="26" t="str">
        <f aca="false">IF($E25="","",SUMIFS(Employees!$AB$6:$AB$205,Employees!$D$6:$D$205,$E25,Employees!$BF$6:$BF$205,0))</f>
        <v/>
      </c>
      <c r="K25" s="26" t="str">
        <f aca="false">IF($E25="","",SUMIFS(Employees!$AG$6:$AG$205,Employees!$D$6:$D$205,$E25,Employees!$BF$6:$BF$205,0))</f>
        <v/>
      </c>
      <c r="L25" s="26" t="str">
        <f aca="false">IF($E25="","",SUMIFS(Employees!$AK$6:$AK$205,Employees!$D$6:$D$205,$E25,Employees!$AK$6:$AK$205,"&gt;0"))</f>
        <v/>
      </c>
    </row>
    <row r="26" customFormat="false" ht="15" hidden="false" customHeight="false" outlineLevel="0" collapsed="false">
      <c r="B26" s="33" t="s">
        <v>289</v>
      </c>
      <c r="C26" s="34" t="n">
        <f aca="false">COUNTIF(Employees!$AM$6:$AM$205,"TERMINATED*")</f>
        <v>1</v>
      </c>
      <c r="E26" s="14" t="s">
        <v>290</v>
      </c>
      <c r="F26" s="35" t="n">
        <f aca="false">SUM(F6:F25)</f>
        <v>7</v>
      </c>
      <c r="G26" s="35" t="n">
        <f aca="false">SUM(G6:G25)</f>
        <v>4</v>
      </c>
      <c r="H26" s="35" t="n">
        <f aca="false">SUM(H6:H25)</f>
        <v>1</v>
      </c>
      <c r="I26" s="35" t="n">
        <f aca="false">SUM(I6:I25)</f>
        <v>2</v>
      </c>
      <c r="J26" s="36" t="n">
        <f aca="false">SUM(J6:J25)</f>
        <v>30</v>
      </c>
      <c r="K26" s="36" t="n">
        <f aca="false">SUM(K6:K25)</f>
        <v>23</v>
      </c>
      <c r="L26" s="36" t="n">
        <f aca="false">SUM(L6:L25)</f>
        <v>6</v>
      </c>
    </row>
    <row r="27" customFormat="false" ht="15" hidden="false" customHeight="false" outlineLevel="0" collapsed="false">
      <c r="B27" s="33" t="s">
        <v>291</v>
      </c>
      <c r="C27" s="34" t="n">
        <f aca="false">COUNTIF(Employees!$AN$6:$AN$205,"?*")</f>
        <v>0</v>
      </c>
      <c r="E27" s="6" t="s">
        <v>292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Y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6"/>
    <col collapsed="false" customWidth="true" hidden="false" outlineLevel="0" max="4" min="4" style="0" width="3"/>
    <col collapsed="false" customWidth="true" hidden="false" outlineLevel="0" max="5" min="5" style="0" width="30"/>
    <col collapsed="false" customWidth="true" hidden="false" outlineLevel="0" max="6" min="6" style="0" width="16"/>
    <col collapsed="false" customWidth="true" hidden="false" outlineLevel="0" max="7" min="7" style="0" width="3"/>
    <col collapsed="false" customWidth="true" hidden="false" outlineLevel="0" max="8" min="8" style="0" width="5"/>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9"/>
    <col collapsed="false" customWidth="true" hidden="false" outlineLevel="0" max="14" min="14" style="0" width="8"/>
    <col collapsed="false" customWidth="true" hidden="false" outlineLevel="0" max="15" min="15" style="0" width="9"/>
    <col collapsed="false" customWidth="true" hidden="false" outlineLevel="0" max="16" min="16" style="0" width="12"/>
    <col collapsed="false" customWidth="true" hidden="false" outlineLevel="0" max="17" min="17" style="0" width="5"/>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9"/>
    <col collapsed="false" customWidth="true" hidden="false" outlineLevel="0" max="23" min="23" style="0" width="8"/>
    <col collapsed="false" customWidth="true" hidden="false" outlineLevel="0" max="24" min="24" style="0" width="9"/>
    <col collapsed="false" customWidth="true" hidden="false" outlineLevel="0" max="25" min="25" style="0" width="12"/>
  </cols>
  <sheetData>
    <row r="2" customFormat="false" ht="17.35" hidden="false" customHeight="false" outlineLevel="0" collapsed="false">
      <c r="B2" s="5" t="s">
        <v>293</v>
      </c>
    </row>
    <row r="3" customFormat="false" ht="15" hidden="false" customHeight="false" outlineLevel="0" collapsed="false">
      <c r="B3" s="6" t="s">
        <v>294</v>
      </c>
    </row>
    <row r="5" customFormat="false" ht="15" hidden="false" customHeight="false" outlineLevel="0" collapsed="false">
      <c r="B5" s="14" t="s">
        <v>295</v>
      </c>
      <c r="C5" s="37" t="str">
        <f aca="false">Employees!BJ6</f>
        <v>E001 - Jane Citizen</v>
      </c>
    </row>
    <row r="6" customFormat="false" ht="15" hidden="false" customHeight="false" outlineLevel="0" collapsed="false">
      <c r="B6" s="8" t="s">
        <v>296</v>
      </c>
      <c r="C6" s="38" t="str">
        <f aca="false">IF(ISNUMBER(MATCH($C$5,Employees!$BJ$6:$BJ$205,0)),"Yes","NO - pick from the list")</f>
        <v>Yes</v>
      </c>
    </row>
    <row r="8" customFormat="false" ht="15" hidden="false" customHeight="false" outlineLevel="0" collapsed="false">
      <c r="B8" s="33" t="s">
        <v>297</v>
      </c>
      <c r="C8" s="39" t="n">
        <f aca="false">IF($C$6&lt;&gt;"Yes","",INDEX(Employees!$E$6:$E$205,MATCH($C$5,Employees!$BJ$6:$BJ$205,0)))</f>
        <v>44242</v>
      </c>
      <c r="E8" s="33" t="s">
        <v>298</v>
      </c>
      <c r="F8" s="39" t="n">
        <f aca="false">IF($C$6&lt;&gt;"Yes","",INDEX(Employees!$N$6:$N$205,MATCH($C$5,Employees!$BJ$6:$BJ$205,0)))</f>
        <v>0</v>
      </c>
    </row>
    <row r="9" customFormat="false" ht="15" hidden="false" customHeight="false" outlineLevel="0" collapsed="false">
      <c r="B9" s="33" t="s">
        <v>299</v>
      </c>
      <c r="C9" s="40" t="str">
        <f aca="false">IF($C$6&lt;&gt;"Yes","",INDEX(Employees!$F$6:$F$205,MATCH($C$5,Employees!$BJ$6:$BJ$205,0)))</f>
        <v>Full-Time</v>
      </c>
      <c r="E9" s="33" t="s">
        <v>300</v>
      </c>
      <c r="F9" s="39" t="n">
        <f aca="false">IF($C$6&lt;&gt;"Yes","",INDEX(Employees!$O$6:$O$205,MATCH($C$5,Employees!$BJ$6:$BJ$205,0)))</f>
        <v>0</v>
      </c>
    </row>
    <row r="10" customFormat="false" ht="15" hidden="false" customHeight="false" outlineLevel="0" collapsed="false">
      <c r="B10" s="33" t="s">
        <v>301</v>
      </c>
      <c r="C10" s="41" t="n">
        <f aca="false">IF($C$6&lt;&gt;"Yes","",INDEX(Employees!$G$6:$G$205,MATCH($C$5,Employees!$BJ$6:$BJ$205,0)))</f>
        <v>38</v>
      </c>
      <c r="E10" s="33" t="s">
        <v>302</v>
      </c>
      <c r="F10" s="41" t="n">
        <f aca="false">IF($C$6&lt;&gt;"Yes","",INDEX(Employees!$P$6:$P$205,MATCH($C$5,Employees!$BJ$6:$BJ$205,0)))</f>
        <v>0</v>
      </c>
    </row>
    <row r="11" customFormat="false" ht="15" hidden="false" customHeight="false" outlineLevel="0" collapsed="false">
      <c r="B11" s="33" t="s">
        <v>303</v>
      </c>
      <c r="C11" s="39" t="n">
        <f aca="false">IF($C$6&lt;&gt;"Yes","",INDEX(Employees!$H$6:$H$205,MATCH($C$5,Employees!$BJ$6:$BJ$205,0)))</f>
        <v>0</v>
      </c>
      <c r="E11" s="33" t="s">
        <v>304</v>
      </c>
      <c r="F11" s="39" t="n">
        <f aca="false">IF($C$6&lt;&gt;"Yes","",INDEX(Employees!$Q$6:$Q$205,MATCH($C$5,Employees!$BJ$6:$BJ$205,0)))</f>
        <v>0</v>
      </c>
    </row>
    <row r="12" customFormat="false" ht="15" hidden="false" customHeight="false" outlineLevel="0" collapsed="false">
      <c r="B12" s="33" t="s">
        <v>305</v>
      </c>
      <c r="C12" s="40" t="n">
        <f aca="false">IF($C$6&lt;&gt;"Yes","",INDEX(Employees!$I$6:$I$205,MATCH($C$5,Employees!$BJ$6:$BJ$205,0)))</f>
        <v>0</v>
      </c>
      <c r="E12" s="33" t="s">
        <v>306</v>
      </c>
      <c r="F12" s="39" t="n">
        <f aca="false">IF($C$6&lt;&gt;"Yes","",INDEX(Employees!$X$6:$X$205,MATCH($C$5,Employees!$BJ$6:$BJ$205,0)))</f>
        <v>46295</v>
      </c>
    </row>
    <row r="13" customFormat="false" ht="15" hidden="false" customHeight="false" outlineLevel="0" collapsed="false">
      <c r="B13" s="33" t="s">
        <v>307</v>
      </c>
      <c r="C13" s="41" t="n">
        <f aca="false">IF($C$6&lt;&gt;"Yes","",INDEX(Employees!$J$6:$J$205,MATCH($C$5,Employees!$BJ$6:$BJ$205,0)))</f>
        <v>0</v>
      </c>
      <c r="E13" s="33" t="s">
        <v>308</v>
      </c>
      <c r="F13" s="40" t="str">
        <f aca="false">IF($C$6&lt;&gt;"Yes","",INDEX(Employees!$V$6:$V$205,MATCH($C$5,Employees!$BJ$6:$BJ$205,0)))</f>
        <v>Full-Time</v>
      </c>
    </row>
    <row r="14" customFormat="false" ht="15" hidden="false" customHeight="false" outlineLevel="0" collapsed="false">
      <c r="B14" s="33" t="s">
        <v>309</v>
      </c>
      <c r="C14" s="39" t="n">
        <f aca="false">IF($C$6&lt;&gt;"Yes","",INDEX(Employees!$K$6:$K$205,MATCH($C$5,Employees!$BJ$6:$BJ$205,0)))</f>
        <v>0</v>
      </c>
      <c r="E14" s="33" t="s">
        <v>310</v>
      </c>
      <c r="F14" s="41" t="n">
        <f aca="false">IF($C$6&lt;&gt;"Yes","",INDEX(Employees!$AB$6:$AB$205,MATCH($C$5,Employees!$BJ$6:$BJ$205,0)))</f>
        <v>10</v>
      </c>
    </row>
    <row r="15" customFormat="false" ht="15" hidden="false" customHeight="false" outlineLevel="0" collapsed="false">
      <c r="B15" s="33" t="s">
        <v>311</v>
      </c>
      <c r="C15" s="40" t="n">
        <f aca="false">IF($C$6&lt;&gt;"Yes","",INDEX(Employees!$L$6:$L$205,MATCH($C$5,Employees!$BJ$6:$BJ$205,0)))</f>
        <v>0</v>
      </c>
      <c r="E15" s="33" t="s">
        <v>312</v>
      </c>
      <c r="F15" s="42" t="n">
        <f aca="false">IF($C$6&lt;&gt;"Yes","",SUM($P$20:$P$99)+SUM($Y$20:$Y$99))</f>
        <v>10</v>
      </c>
    </row>
    <row r="16" customFormat="false" ht="15" hidden="false" customHeight="false" outlineLevel="0" collapsed="false">
      <c r="B16" s="33" t="s">
        <v>313</v>
      </c>
      <c r="C16" s="41" t="n">
        <f aca="false">IF($C$6&lt;&gt;"Yes","",INDEX(Employees!$M$6:$M$205,MATCH($C$5,Employees!$BJ$6:$BJ$205,0)))</f>
        <v>0</v>
      </c>
      <c r="E16" s="33" t="s">
        <v>314</v>
      </c>
      <c r="F16" s="15" t="str">
        <f aca="false">IF($C$6&lt;&gt;"Yes","",IF(ABS(N(F14)-N(F15))&lt;0.001,"Yes - matches","NO - schedule longer than table (very long service) or check data"))</f>
        <v>Yes - matches</v>
      </c>
    </row>
    <row r="17" customFormat="false" ht="15" hidden="false" customHeight="false" outlineLevel="0" collapsed="false">
      <c r="B17" s="8" t="s">
        <v>315</v>
      </c>
      <c r="C17" s="38" t="n">
        <f aca="false">IF($C$6&lt;&gt;"Yes","",IF(OR($F$8="",$F$9=""),0,$F$9-$F$8+1)+N($F$10))</f>
        <v>0</v>
      </c>
    </row>
    <row r="18" customFormat="false" ht="15" hidden="false" customHeight="true" outlineLevel="0" collapsed="false">
      <c r="H18" s="18" t="s">
        <v>316</v>
      </c>
      <c r="I18" s="18"/>
      <c r="J18" s="18"/>
      <c r="K18" s="18"/>
      <c r="L18" s="18"/>
      <c r="M18" s="18"/>
      <c r="N18" s="18"/>
      <c r="O18" s="18"/>
      <c r="P18" s="18"/>
      <c r="Q18" s="18" t="s">
        <v>317</v>
      </c>
      <c r="R18" s="18"/>
      <c r="S18" s="18"/>
      <c r="T18" s="18"/>
      <c r="U18" s="18"/>
      <c r="V18" s="18"/>
      <c r="W18" s="18"/>
      <c r="X18" s="18"/>
      <c r="Y18" s="18"/>
    </row>
    <row r="19" customFormat="false" ht="39.75" hidden="false" customHeight="true" outlineLevel="0" collapsed="false">
      <c r="H19" s="7" t="s">
        <v>249</v>
      </c>
      <c r="I19" s="7" t="s">
        <v>318</v>
      </c>
      <c r="J19" s="7" t="s">
        <v>319</v>
      </c>
      <c r="K19" s="7" t="s">
        <v>320</v>
      </c>
      <c r="L19" s="7" t="s">
        <v>321</v>
      </c>
      <c r="M19" s="7" t="s">
        <v>322</v>
      </c>
      <c r="N19" s="7" t="s">
        <v>323</v>
      </c>
      <c r="O19" s="7" t="s">
        <v>324</v>
      </c>
      <c r="P19" s="7" t="s">
        <v>325</v>
      </c>
      <c r="Q19" s="7" t="s">
        <v>249</v>
      </c>
      <c r="R19" s="7" t="s">
        <v>318</v>
      </c>
      <c r="S19" s="7" t="s">
        <v>319</v>
      </c>
      <c r="T19" s="7" t="s">
        <v>320</v>
      </c>
      <c r="U19" s="7" t="s">
        <v>321</v>
      </c>
      <c r="V19" s="7" t="s">
        <v>322</v>
      </c>
      <c r="W19" s="7" t="s">
        <v>323</v>
      </c>
      <c r="X19" s="7" t="s">
        <v>324</v>
      </c>
      <c r="Y19" s="7" t="s">
        <v>325</v>
      </c>
    </row>
    <row r="20" customFormat="false" ht="15" hidden="false" customHeight="false" outlineLevel="0" collapsed="false">
      <c r="H20" s="27" t="n">
        <v>1</v>
      </c>
      <c r="I20" s="27" t="n">
        <f aca="false">IF(0&lt;FT_PreY5,FT_First+FT_Int1*0,FT_Y5+FT_Int2*(0-FT_PreY5))</f>
        <v>36</v>
      </c>
      <c r="J20" s="27" t="str">
        <f aca="false">INT(I20/12)&amp;"y "&amp;MOD(I20,12)&amp;"m"</f>
        <v>3y 0m</v>
      </c>
      <c r="K20" s="28" t="n">
        <f aca="false">IF($C$6&lt;&gt;"Yes","",IF(AND($F$8&lt;&gt;"",EDATE($C$8,I20)&lt;$F$8),EDATE($C$8+N($F$10),I20),EDATE($C$8+$C$17,I20)))</f>
        <v>45337</v>
      </c>
      <c r="L20" s="27" t="str">
        <f aca="false">IF(K20="","",IF(AND($C$14&lt;&gt;"",K20&gt;=$C$14),$C$15,IF(AND($C$11&lt;&gt;"",K20&gt;=$C$11),$C$12,$C$9)))</f>
        <v>Full-Time</v>
      </c>
      <c r="M20" s="26" t="n">
        <f aca="false">IF(K20="","",IF(AND($C$14&lt;&gt;"",K20&gt;=$C$14),$C$16,IF(AND($C$11&lt;&gt;"",K20&gt;=$C$11),$C$13,$C$10)))</f>
        <v>38</v>
      </c>
      <c r="N20" s="27" t="str">
        <f aca="false">IF(K20="","",IF(L20="","None",IF(IFERROR(VLOOKUP(L20,TypeTable,2,0),"None")="PT",IF(N(M20)&gt;=PT_MinHours,"PT","None"),IFERROR(VLOOKUP(L20,TypeTable,2,0),"None"))))</f>
        <v>FT</v>
      </c>
      <c r="O20" s="27" t="n">
        <f aca="false">IF(I20&lt;FT_Y5,1,IF(MOD(I20-FT_Y5,12)=0,FT_AnnivDays,1))</f>
        <v>1</v>
      </c>
      <c r="P20" s="26" t="n">
        <f aca="false">IF(K20="","",IF(AND(N20="FT",K20&lt;=$F$12),O20,0))</f>
        <v>1</v>
      </c>
      <c r="Q20" s="27" t="n">
        <v>1</v>
      </c>
      <c r="R20" s="27" t="n">
        <f aca="false">PT_First+PT_Int*0</f>
        <v>60</v>
      </c>
      <c r="S20" s="27" t="str">
        <f aca="false">INT(R20/12)&amp;"y "&amp;MOD(R20,12)&amp;"m"</f>
        <v>5y 0m</v>
      </c>
      <c r="T20" s="28" t="n">
        <f aca="false">IF($C$6&lt;&gt;"Yes","",IF(AND($F$8&lt;&gt;"",EDATE($C$8,R20)&lt;$F$8),EDATE($C$8+N($F$10),R20),EDATE($C$8+$C$17,R20)))</f>
        <v>46068</v>
      </c>
      <c r="U20" s="27" t="str">
        <f aca="false">IF(T20="","",IF(AND($C$14&lt;&gt;"",T20&gt;=$C$14),$C$15,IF(AND($C$11&lt;&gt;"",T20&gt;=$C$11),$C$12,$C$9)))</f>
        <v>Full-Time</v>
      </c>
      <c r="V20" s="26" t="n">
        <f aca="false">IF(T20="","",IF(AND($C$14&lt;&gt;"",T20&gt;=$C$14),$C$16,IF(AND($C$11&lt;&gt;"",T20&gt;=$C$11),$C$13,$C$10)))</f>
        <v>38</v>
      </c>
      <c r="W20" s="27" t="str">
        <f aca="false">IF(T20="","",IF(U20="","None",IF(IFERROR(VLOOKUP(U20,TypeTable,2,0),"None")="PT",IF(N(V20)&gt;=PT_MinHours,"PT","None"),IFERROR(VLOOKUP(U20,TypeTable,2,0),"None"))))</f>
        <v>FT</v>
      </c>
      <c r="X20" s="27" t="n">
        <v>1</v>
      </c>
      <c r="Y20" s="26" t="n">
        <f aca="false">IF(T20="","",IF(AND(W20="PT",T20&lt;=$F$12),X20,0))</f>
        <v>0</v>
      </c>
    </row>
    <row r="21" customFormat="false" ht="15" hidden="false" customHeight="false" outlineLevel="0" collapsed="false">
      <c r="H21" s="27" t="n">
        <v>2</v>
      </c>
      <c r="I21" s="27" t="n">
        <f aca="false">IF(1&lt;FT_PreY5,FT_First+FT_Int1*1,FT_Y5+FT_Int2*(1-FT_PreY5))</f>
        <v>40</v>
      </c>
      <c r="J21" s="27" t="str">
        <f aca="false">INT(I21/12)&amp;"y "&amp;MOD(I21,12)&amp;"m"</f>
        <v>3y 4m</v>
      </c>
      <c r="K21" s="28" t="n">
        <f aca="false">IF($C$6&lt;&gt;"Yes","",IF(AND($F$8&lt;&gt;"",EDATE($C$8,I21)&lt;$F$8),EDATE($C$8+N($F$10),I21),EDATE($C$8+$C$17,I21)))</f>
        <v>45458</v>
      </c>
      <c r="L21" s="27" t="str">
        <f aca="false">IF(K21="","",IF(AND($C$14&lt;&gt;"",K21&gt;=$C$14),$C$15,IF(AND($C$11&lt;&gt;"",K21&gt;=$C$11),$C$12,$C$9)))</f>
        <v>Full-Time</v>
      </c>
      <c r="M21" s="26" t="n">
        <f aca="false">IF(K21="","",IF(AND($C$14&lt;&gt;"",K21&gt;=$C$14),$C$16,IF(AND($C$11&lt;&gt;"",K21&gt;=$C$11),$C$13,$C$10)))</f>
        <v>38</v>
      </c>
      <c r="N21" s="27" t="str">
        <f aca="false">IF(K21="","",IF(L21="","None",IF(IFERROR(VLOOKUP(L21,TypeTable,2,0),"None")="PT",IF(N(M21)&gt;=PT_MinHours,"PT","None"),IFERROR(VLOOKUP(L21,TypeTable,2,0),"None"))))</f>
        <v>FT</v>
      </c>
      <c r="O21" s="27" t="n">
        <f aca="false">IF(I21&lt;FT_Y5,1,IF(MOD(I21-FT_Y5,12)=0,FT_AnnivDays,1))</f>
        <v>1</v>
      </c>
      <c r="P21" s="26" t="n">
        <f aca="false">IF(K21="","",IF(AND(N21="FT",K21&lt;=$F$12),O21,0))</f>
        <v>1</v>
      </c>
      <c r="Q21" s="27" t="n">
        <v>2</v>
      </c>
      <c r="R21" s="27" t="n">
        <f aca="false">PT_First+PT_Int*1</f>
        <v>64</v>
      </c>
      <c r="S21" s="27" t="str">
        <f aca="false">INT(R21/12)&amp;"y "&amp;MOD(R21,12)&amp;"m"</f>
        <v>5y 4m</v>
      </c>
      <c r="T21" s="28" t="n">
        <f aca="false">IF($C$6&lt;&gt;"Yes","",IF(AND($F$8&lt;&gt;"",EDATE($C$8,R21)&lt;$F$8),EDATE($C$8+N($F$10),R21),EDATE($C$8+$C$17,R21)))</f>
        <v>46188</v>
      </c>
      <c r="U21" s="27" t="str">
        <f aca="false">IF(T21="","",IF(AND($C$14&lt;&gt;"",T21&gt;=$C$14),$C$15,IF(AND($C$11&lt;&gt;"",T21&gt;=$C$11),$C$12,$C$9)))</f>
        <v>Full-Time</v>
      </c>
      <c r="V21" s="26" t="n">
        <f aca="false">IF(T21="","",IF(AND($C$14&lt;&gt;"",T21&gt;=$C$14),$C$16,IF(AND($C$11&lt;&gt;"",T21&gt;=$C$11),$C$13,$C$10)))</f>
        <v>38</v>
      </c>
      <c r="W21" s="27" t="str">
        <f aca="false">IF(T21="","",IF(U21="","None",IF(IFERROR(VLOOKUP(U21,TypeTable,2,0),"None")="PT",IF(N(V21)&gt;=PT_MinHours,"PT","None"),IFERROR(VLOOKUP(U21,TypeTable,2,0),"None"))))</f>
        <v>FT</v>
      </c>
      <c r="X21" s="27" t="n">
        <v>1</v>
      </c>
      <c r="Y21" s="26" t="n">
        <f aca="false">IF(T21="","",IF(AND(W21="PT",T21&lt;=$F$12),X21,0))</f>
        <v>0</v>
      </c>
    </row>
    <row r="22" customFormat="false" ht="15" hidden="false" customHeight="false" outlineLevel="0" collapsed="false">
      <c r="H22" s="27" t="n">
        <v>3</v>
      </c>
      <c r="I22" s="27" t="n">
        <f aca="false">IF(2&lt;FT_PreY5,FT_First+FT_Int1*2,FT_Y5+FT_Int2*(2-FT_PreY5))</f>
        <v>44</v>
      </c>
      <c r="J22" s="27" t="str">
        <f aca="false">INT(I22/12)&amp;"y "&amp;MOD(I22,12)&amp;"m"</f>
        <v>3y 8m</v>
      </c>
      <c r="K22" s="28" t="n">
        <f aca="false">IF($C$6&lt;&gt;"Yes","",IF(AND($F$8&lt;&gt;"",EDATE($C$8,I22)&lt;$F$8),EDATE($C$8+N($F$10),I22),EDATE($C$8+$C$17,I22)))</f>
        <v>45580</v>
      </c>
      <c r="L22" s="27" t="str">
        <f aca="false">IF(K22="","",IF(AND($C$14&lt;&gt;"",K22&gt;=$C$14),$C$15,IF(AND($C$11&lt;&gt;"",K22&gt;=$C$11),$C$12,$C$9)))</f>
        <v>Full-Time</v>
      </c>
      <c r="M22" s="26" t="n">
        <f aca="false">IF(K22="","",IF(AND($C$14&lt;&gt;"",K22&gt;=$C$14),$C$16,IF(AND($C$11&lt;&gt;"",K22&gt;=$C$11),$C$13,$C$10)))</f>
        <v>38</v>
      </c>
      <c r="N22" s="27" t="str">
        <f aca="false">IF(K22="","",IF(L22="","None",IF(IFERROR(VLOOKUP(L22,TypeTable,2,0),"None")="PT",IF(N(M22)&gt;=PT_MinHours,"PT","None"),IFERROR(VLOOKUP(L22,TypeTable,2,0),"None"))))</f>
        <v>FT</v>
      </c>
      <c r="O22" s="27" t="n">
        <f aca="false">IF(I22&lt;FT_Y5,1,IF(MOD(I22-FT_Y5,12)=0,FT_AnnivDays,1))</f>
        <v>1</v>
      </c>
      <c r="P22" s="26" t="n">
        <f aca="false">IF(K22="","",IF(AND(N22="FT",K22&lt;=$F$12),O22,0))</f>
        <v>1</v>
      </c>
      <c r="Q22" s="27" t="n">
        <v>3</v>
      </c>
      <c r="R22" s="27" t="n">
        <f aca="false">PT_First+PT_Int*2</f>
        <v>68</v>
      </c>
      <c r="S22" s="27" t="str">
        <f aca="false">INT(R22/12)&amp;"y "&amp;MOD(R22,12)&amp;"m"</f>
        <v>5y 8m</v>
      </c>
      <c r="T22" s="28" t="n">
        <f aca="false">IF($C$6&lt;&gt;"Yes","",IF(AND($F$8&lt;&gt;"",EDATE($C$8,R22)&lt;$F$8),EDATE($C$8+N($F$10),R22),EDATE($C$8+$C$17,R22)))</f>
        <v>46310</v>
      </c>
      <c r="U22" s="27" t="str">
        <f aca="false">IF(T22="","",IF(AND($C$14&lt;&gt;"",T22&gt;=$C$14),$C$15,IF(AND($C$11&lt;&gt;"",T22&gt;=$C$11),$C$12,$C$9)))</f>
        <v>Full-Time</v>
      </c>
      <c r="V22" s="26" t="n">
        <f aca="false">IF(T22="","",IF(AND($C$14&lt;&gt;"",T22&gt;=$C$14),$C$16,IF(AND($C$11&lt;&gt;"",T22&gt;=$C$11),$C$13,$C$10)))</f>
        <v>38</v>
      </c>
      <c r="W22" s="27" t="str">
        <f aca="false">IF(T22="","",IF(U22="","None",IF(IFERROR(VLOOKUP(U22,TypeTable,2,0),"None")="PT",IF(N(V22)&gt;=PT_MinHours,"PT","None"),IFERROR(VLOOKUP(U22,TypeTable,2,0),"None"))))</f>
        <v>FT</v>
      </c>
      <c r="X22" s="27" t="n">
        <v>1</v>
      </c>
      <c r="Y22" s="26" t="n">
        <f aca="false">IF(T22="","",IF(AND(W22="PT",T22&lt;=$F$12),X22,0))</f>
        <v>0</v>
      </c>
    </row>
    <row r="23" customFormat="false" ht="15" hidden="false" customHeight="false" outlineLevel="0" collapsed="false">
      <c r="H23" s="27" t="n">
        <v>4</v>
      </c>
      <c r="I23" s="27" t="n">
        <f aca="false">IF(3&lt;FT_PreY5,FT_First+FT_Int1*3,FT_Y5+FT_Int2*(3-FT_PreY5))</f>
        <v>48</v>
      </c>
      <c r="J23" s="27" t="str">
        <f aca="false">INT(I23/12)&amp;"y "&amp;MOD(I23,12)&amp;"m"</f>
        <v>4y 0m</v>
      </c>
      <c r="K23" s="28" t="n">
        <f aca="false">IF($C$6&lt;&gt;"Yes","",IF(AND($F$8&lt;&gt;"",EDATE($C$8,I23)&lt;$F$8),EDATE($C$8+N($F$10),I23),EDATE($C$8+$C$17,I23)))</f>
        <v>45703</v>
      </c>
      <c r="L23" s="27" t="str">
        <f aca="false">IF(K23="","",IF(AND($C$14&lt;&gt;"",K23&gt;=$C$14),$C$15,IF(AND($C$11&lt;&gt;"",K23&gt;=$C$11),$C$12,$C$9)))</f>
        <v>Full-Time</v>
      </c>
      <c r="M23" s="26" t="n">
        <f aca="false">IF(K23="","",IF(AND($C$14&lt;&gt;"",K23&gt;=$C$14),$C$16,IF(AND($C$11&lt;&gt;"",K23&gt;=$C$11),$C$13,$C$10)))</f>
        <v>38</v>
      </c>
      <c r="N23" s="27" t="str">
        <f aca="false">IF(K23="","",IF(L23="","None",IF(IFERROR(VLOOKUP(L23,TypeTable,2,0),"None")="PT",IF(N(M23)&gt;=PT_MinHours,"PT","None"),IFERROR(VLOOKUP(L23,TypeTable,2,0),"None"))))</f>
        <v>FT</v>
      </c>
      <c r="O23" s="27" t="n">
        <f aca="false">IF(I23&lt;FT_Y5,1,IF(MOD(I23-FT_Y5,12)=0,FT_AnnivDays,1))</f>
        <v>1</v>
      </c>
      <c r="P23" s="26" t="n">
        <f aca="false">IF(K23="","",IF(AND(N23="FT",K23&lt;=$F$12),O23,0))</f>
        <v>1</v>
      </c>
      <c r="Q23" s="27" t="n">
        <v>4</v>
      </c>
      <c r="R23" s="27" t="n">
        <f aca="false">PT_First+PT_Int*3</f>
        <v>72</v>
      </c>
      <c r="S23" s="27" t="str">
        <f aca="false">INT(R23/12)&amp;"y "&amp;MOD(R23,12)&amp;"m"</f>
        <v>6y 0m</v>
      </c>
      <c r="T23" s="28" t="n">
        <f aca="false">IF($C$6&lt;&gt;"Yes","",IF(AND($F$8&lt;&gt;"",EDATE($C$8,R23)&lt;$F$8),EDATE($C$8+N($F$10),R23),EDATE($C$8+$C$17,R23)))</f>
        <v>46433</v>
      </c>
      <c r="U23" s="27" t="str">
        <f aca="false">IF(T23="","",IF(AND($C$14&lt;&gt;"",T23&gt;=$C$14),$C$15,IF(AND($C$11&lt;&gt;"",T23&gt;=$C$11),$C$12,$C$9)))</f>
        <v>Full-Time</v>
      </c>
      <c r="V23" s="26" t="n">
        <f aca="false">IF(T23="","",IF(AND($C$14&lt;&gt;"",T23&gt;=$C$14),$C$16,IF(AND($C$11&lt;&gt;"",T23&gt;=$C$11),$C$13,$C$10)))</f>
        <v>38</v>
      </c>
      <c r="W23" s="27" t="str">
        <f aca="false">IF(T23="","",IF(U23="","None",IF(IFERROR(VLOOKUP(U23,TypeTable,2,0),"None")="PT",IF(N(V23)&gt;=PT_MinHours,"PT","None"),IFERROR(VLOOKUP(U23,TypeTable,2,0),"None"))))</f>
        <v>FT</v>
      </c>
      <c r="X23" s="27" t="n">
        <v>1</v>
      </c>
      <c r="Y23" s="26" t="n">
        <f aca="false">IF(T23="","",IF(AND(W23="PT",T23&lt;=$F$12),X23,0))</f>
        <v>0</v>
      </c>
    </row>
    <row r="24" customFormat="false" ht="15" hidden="false" customHeight="false" outlineLevel="0" collapsed="false">
      <c r="H24" s="27" t="n">
        <v>5</v>
      </c>
      <c r="I24" s="27" t="n">
        <f aca="false">IF(4&lt;FT_PreY5,FT_First+FT_Int1*4,FT_Y5+FT_Int2*(4-FT_PreY5))</f>
        <v>52</v>
      </c>
      <c r="J24" s="27" t="str">
        <f aca="false">INT(I24/12)&amp;"y "&amp;MOD(I24,12)&amp;"m"</f>
        <v>4y 4m</v>
      </c>
      <c r="K24" s="28" t="n">
        <f aca="false">IF($C$6&lt;&gt;"Yes","",IF(AND($F$8&lt;&gt;"",EDATE($C$8,I24)&lt;$F$8),EDATE($C$8+N($F$10),I24),EDATE($C$8+$C$17,I24)))</f>
        <v>45823</v>
      </c>
      <c r="L24" s="27" t="str">
        <f aca="false">IF(K24="","",IF(AND($C$14&lt;&gt;"",K24&gt;=$C$14),$C$15,IF(AND($C$11&lt;&gt;"",K24&gt;=$C$11),$C$12,$C$9)))</f>
        <v>Full-Time</v>
      </c>
      <c r="M24" s="26" t="n">
        <f aca="false">IF(K24="","",IF(AND($C$14&lt;&gt;"",K24&gt;=$C$14),$C$16,IF(AND($C$11&lt;&gt;"",K24&gt;=$C$11),$C$13,$C$10)))</f>
        <v>38</v>
      </c>
      <c r="N24" s="27" t="str">
        <f aca="false">IF(K24="","",IF(L24="","None",IF(IFERROR(VLOOKUP(L24,TypeTable,2,0),"None")="PT",IF(N(M24)&gt;=PT_MinHours,"PT","None"),IFERROR(VLOOKUP(L24,TypeTable,2,0),"None"))))</f>
        <v>FT</v>
      </c>
      <c r="O24" s="27" t="n">
        <f aca="false">IF(I24&lt;FT_Y5,1,IF(MOD(I24-FT_Y5,12)=0,FT_AnnivDays,1))</f>
        <v>1</v>
      </c>
      <c r="P24" s="26" t="n">
        <f aca="false">IF(K24="","",IF(AND(N24="FT",K24&lt;=$F$12),O24,0))</f>
        <v>1</v>
      </c>
      <c r="Q24" s="27" t="n">
        <v>5</v>
      </c>
      <c r="R24" s="27" t="n">
        <f aca="false">PT_First+PT_Int*4</f>
        <v>76</v>
      </c>
      <c r="S24" s="27" t="str">
        <f aca="false">INT(R24/12)&amp;"y "&amp;MOD(R24,12)&amp;"m"</f>
        <v>6y 4m</v>
      </c>
      <c r="T24" s="28" t="n">
        <f aca="false">IF($C$6&lt;&gt;"Yes","",IF(AND($F$8&lt;&gt;"",EDATE($C$8,R24)&lt;$F$8),EDATE($C$8+N($F$10),R24),EDATE($C$8+$C$17,R24)))</f>
        <v>46553</v>
      </c>
      <c r="U24" s="27" t="str">
        <f aca="false">IF(T24="","",IF(AND($C$14&lt;&gt;"",T24&gt;=$C$14),$C$15,IF(AND($C$11&lt;&gt;"",T24&gt;=$C$11),$C$12,$C$9)))</f>
        <v>Full-Time</v>
      </c>
      <c r="V24" s="26" t="n">
        <f aca="false">IF(T24="","",IF(AND($C$14&lt;&gt;"",T24&gt;=$C$14),$C$16,IF(AND($C$11&lt;&gt;"",T24&gt;=$C$11),$C$13,$C$10)))</f>
        <v>38</v>
      </c>
      <c r="W24" s="27" t="str">
        <f aca="false">IF(T24="","",IF(U24="","None",IF(IFERROR(VLOOKUP(U24,TypeTable,2,0),"None")="PT",IF(N(V24)&gt;=PT_MinHours,"PT","None"),IFERROR(VLOOKUP(U24,TypeTable,2,0),"None"))))</f>
        <v>FT</v>
      </c>
      <c r="X24" s="27" t="n">
        <v>1</v>
      </c>
      <c r="Y24" s="26" t="n">
        <f aca="false">IF(T24="","",IF(AND(W24="PT",T24&lt;=$F$12),X24,0))</f>
        <v>0</v>
      </c>
    </row>
    <row r="25" customFormat="false" ht="15" hidden="false" customHeight="false" outlineLevel="0" collapsed="false">
      <c r="H25" s="27" t="n">
        <v>6</v>
      </c>
      <c r="I25" s="27" t="n">
        <f aca="false">IF(5&lt;FT_PreY5,FT_First+FT_Int1*5,FT_Y5+FT_Int2*(5-FT_PreY5))</f>
        <v>56</v>
      </c>
      <c r="J25" s="27" t="str">
        <f aca="false">INT(I25/12)&amp;"y "&amp;MOD(I25,12)&amp;"m"</f>
        <v>4y 8m</v>
      </c>
      <c r="K25" s="28" t="n">
        <f aca="false">IF($C$6&lt;&gt;"Yes","",IF(AND($F$8&lt;&gt;"",EDATE($C$8,I25)&lt;$F$8),EDATE($C$8+N($F$10),I25),EDATE($C$8+$C$17,I25)))</f>
        <v>45945</v>
      </c>
      <c r="L25" s="27" t="str">
        <f aca="false">IF(K25="","",IF(AND($C$14&lt;&gt;"",K25&gt;=$C$14),$C$15,IF(AND($C$11&lt;&gt;"",K25&gt;=$C$11),$C$12,$C$9)))</f>
        <v>Full-Time</v>
      </c>
      <c r="M25" s="26" t="n">
        <f aca="false">IF(K25="","",IF(AND($C$14&lt;&gt;"",K25&gt;=$C$14),$C$16,IF(AND($C$11&lt;&gt;"",K25&gt;=$C$11),$C$13,$C$10)))</f>
        <v>38</v>
      </c>
      <c r="N25" s="27" t="str">
        <f aca="false">IF(K25="","",IF(L25="","None",IF(IFERROR(VLOOKUP(L25,TypeTable,2,0),"None")="PT",IF(N(M25)&gt;=PT_MinHours,"PT","None"),IFERROR(VLOOKUP(L25,TypeTable,2,0),"None"))))</f>
        <v>FT</v>
      </c>
      <c r="O25" s="27" t="n">
        <f aca="false">IF(I25&lt;FT_Y5,1,IF(MOD(I25-FT_Y5,12)=0,FT_AnnivDays,1))</f>
        <v>1</v>
      </c>
      <c r="P25" s="26" t="n">
        <f aca="false">IF(K25="","",IF(AND(N25="FT",K25&lt;=$F$12),O25,0))</f>
        <v>1</v>
      </c>
      <c r="Q25" s="27" t="n">
        <v>6</v>
      </c>
      <c r="R25" s="27" t="n">
        <f aca="false">PT_First+PT_Int*5</f>
        <v>80</v>
      </c>
      <c r="S25" s="27" t="str">
        <f aca="false">INT(R25/12)&amp;"y "&amp;MOD(R25,12)&amp;"m"</f>
        <v>6y 8m</v>
      </c>
      <c r="T25" s="28" t="n">
        <f aca="false">IF($C$6&lt;&gt;"Yes","",IF(AND($F$8&lt;&gt;"",EDATE($C$8,R25)&lt;$F$8),EDATE($C$8+N($F$10),R25),EDATE($C$8+$C$17,R25)))</f>
        <v>46675</v>
      </c>
      <c r="U25" s="27" t="str">
        <f aca="false">IF(T25="","",IF(AND($C$14&lt;&gt;"",T25&gt;=$C$14),$C$15,IF(AND($C$11&lt;&gt;"",T25&gt;=$C$11),$C$12,$C$9)))</f>
        <v>Full-Time</v>
      </c>
      <c r="V25" s="26" t="n">
        <f aca="false">IF(T25="","",IF(AND($C$14&lt;&gt;"",T25&gt;=$C$14),$C$16,IF(AND($C$11&lt;&gt;"",T25&gt;=$C$11),$C$13,$C$10)))</f>
        <v>38</v>
      </c>
      <c r="W25" s="27" t="str">
        <f aca="false">IF(T25="","",IF(U25="","None",IF(IFERROR(VLOOKUP(U25,TypeTable,2,0),"None")="PT",IF(N(V25)&gt;=PT_MinHours,"PT","None"),IFERROR(VLOOKUP(U25,TypeTable,2,0),"None"))))</f>
        <v>FT</v>
      </c>
      <c r="X25" s="27" t="n">
        <v>1</v>
      </c>
      <c r="Y25" s="26" t="n">
        <f aca="false">IF(T25="","",IF(AND(W25="PT",T25&lt;=$F$12),X25,0))</f>
        <v>0</v>
      </c>
    </row>
    <row r="26" customFormat="false" ht="15" hidden="false" customHeight="false" outlineLevel="0" collapsed="false">
      <c r="H26" s="27" t="n">
        <v>7</v>
      </c>
      <c r="I26" s="27" t="n">
        <f aca="false">IF(6&lt;FT_PreY5,FT_First+FT_Int1*6,FT_Y5+FT_Int2*(6-FT_PreY5))</f>
        <v>60</v>
      </c>
      <c r="J26" s="27" t="str">
        <f aca="false">INT(I26/12)&amp;"y "&amp;MOD(I26,12)&amp;"m"</f>
        <v>5y 0m</v>
      </c>
      <c r="K26" s="28" t="n">
        <f aca="false">IF($C$6&lt;&gt;"Yes","",IF(AND($F$8&lt;&gt;"",EDATE($C$8,I26)&lt;$F$8),EDATE($C$8+N($F$10),I26),EDATE($C$8+$C$17,I26)))</f>
        <v>46068</v>
      </c>
      <c r="L26" s="27" t="str">
        <f aca="false">IF(K26="","",IF(AND($C$14&lt;&gt;"",K26&gt;=$C$14),$C$15,IF(AND($C$11&lt;&gt;"",K26&gt;=$C$11),$C$12,$C$9)))</f>
        <v>Full-Time</v>
      </c>
      <c r="M26" s="26" t="n">
        <f aca="false">IF(K26="","",IF(AND($C$14&lt;&gt;"",K26&gt;=$C$14),$C$16,IF(AND($C$11&lt;&gt;"",K26&gt;=$C$11),$C$13,$C$10)))</f>
        <v>38</v>
      </c>
      <c r="N26" s="27" t="str">
        <f aca="false">IF(K26="","",IF(L26="","None",IF(IFERROR(VLOOKUP(L26,TypeTable,2,0),"None")="PT",IF(N(M26)&gt;=PT_MinHours,"PT","None"),IFERROR(VLOOKUP(L26,TypeTable,2,0),"None"))))</f>
        <v>FT</v>
      </c>
      <c r="O26" s="27" t="n">
        <f aca="false">IF(I26&lt;FT_Y5,1,IF(MOD(I26-FT_Y5,12)=0,FT_AnnivDays,1))</f>
        <v>2</v>
      </c>
      <c r="P26" s="26" t="n">
        <f aca="false">IF(K26="","",IF(AND(N26="FT",K26&lt;=$F$12),O26,0))</f>
        <v>2</v>
      </c>
      <c r="Q26" s="27" t="n">
        <v>7</v>
      </c>
      <c r="R26" s="27" t="n">
        <f aca="false">PT_First+PT_Int*6</f>
        <v>84</v>
      </c>
      <c r="S26" s="27" t="str">
        <f aca="false">INT(R26/12)&amp;"y "&amp;MOD(R26,12)&amp;"m"</f>
        <v>7y 0m</v>
      </c>
      <c r="T26" s="28" t="n">
        <f aca="false">IF($C$6&lt;&gt;"Yes","",IF(AND($F$8&lt;&gt;"",EDATE($C$8,R26)&lt;$F$8),EDATE($C$8+N($F$10),R26),EDATE($C$8+$C$17,R26)))</f>
        <v>46798</v>
      </c>
      <c r="U26" s="27" t="str">
        <f aca="false">IF(T26="","",IF(AND($C$14&lt;&gt;"",T26&gt;=$C$14),$C$15,IF(AND($C$11&lt;&gt;"",T26&gt;=$C$11),$C$12,$C$9)))</f>
        <v>Full-Time</v>
      </c>
      <c r="V26" s="26" t="n">
        <f aca="false">IF(T26="","",IF(AND($C$14&lt;&gt;"",T26&gt;=$C$14),$C$16,IF(AND($C$11&lt;&gt;"",T26&gt;=$C$11),$C$13,$C$10)))</f>
        <v>38</v>
      </c>
      <c r="W26" s="27" t="str">
        <f aca="false">IF(T26="","",IF(U26="","None",IF(IFERROR(VLOOKUP(U26,TypeTable,2,0),"None")="PT",IF(N(V26)&gt;=PT_MinHours,"PT","None"),IFERROR(VLOOKUP(U26,TypeTable,2,0),"None"))))</f>
        <v>FT</v>
      </c>
      <c r="X26" s="27" t="n">
        <v>1</v>
      </c>
      <c r="Y26" s="26" t="n">
        <f aca="false">IF(T26="","",IF(AND(W26="PT",T26&lt;=$F$12),X26,0))</f>
        <v>0</v>
      </c>
    </row>
    <row r="27" customFormat="false" ht="15" hidden="false" customHeight="false" outlineLevel="0" collapsed="false">
      <c r="H27" s="27" t="n">
        <v>8</v>
      </c>
      <c r="I27" s="27" t="n">
        <f aca="false">IF(7&lt;FT_PreY5,FT_First+FT_Int1*7,FT_Y5+FT_Int2*(7-FT_PreY5))</f>
        <v>63</v>
      </c>
      <c r="J27" s="27" t="str">
        <f aca="false">INT(I27/12)&amp;"y "&amp;MOD(I27,12)&amp;"m"</f>
        <v>5y 3m</v>
      </c>
      <c r="K27" s="28" t="n">
        <f aca="false">IF($C$6&lt;&gt;"Yes","",IF(AND($F$8&lt;&gt;"",EDATE($C$8,I27)&lt;$F$8),EDATE($C$8+N($F$10),I27),EDATE($C$8+$C$17,I27)))</f>
        <v>46157</v>
      </c>
      <c r="L27" s="27" t="str">
        <f aca="false">IF(K27="","",IF(AND($C$14&lt;&gt;"",K27&gt;=$C$14),$C$15,IF(AND($C$11&lt;&gt;"",K27&gt;=$C$11),$C$12,$C$9)))</f>
        <v>Full-Time</v>
      </c>
      <c r="M27" s="26" t="n">
        <f aca="false">IF(K27="","",IF(AND($C$14&lt;&gt;"",K27&gt;=$C$14),$C$16,IF(AND($C$11&lt;&gt;"",K27&gt;=$C$11),$C$13,$C$10)))</f>
        <v>38</v>
      </c>
      <c r="N27" s="27" t="str">
        <f aca="false">IF(K27="","",IF(L27="","None",IF(IFERROR(VLOOKUP(L27,TypeTable,2,0),"None")="PT",IF(N(M27)&gt;=PT_MinHours,"PT","None"),IFERROR(VLOOKUP(L27,TypeTable,2,0),"None"))))</f>
        <v>FT</v>
      </c>
      <c r="O27" s="27" t="n">
        <f aca="false">IF(I27&lt;FT_Y5,1,IF(MOD(I27-FT_Y5,12)=0,FT_AnnivDays,1))</f>
        <v>1</v>
      </c>
      <c r="P27" s="26" t="n">
        <f aca="false">IF(K27="","",IF(AND(N27="FT",K27&lt;=$F$12),O27,0))</f>
        <v>1</v>
      </c>
      <c r="Q27" s="27" t="n">
        <v>8</v>
      </c>
      <c r="R27" s="27" t="n">
        <f aca="false">PT_First+PT_Int*7</f>
        <v>88</v>
      </c>
      <c r="S27" s="27" t="str">
        <f aca="false">INT(R27/12)&amp;"y "&amp;MOD(R27,12)&amp;"m"</f>
        <v>7y 4m</v>
      </c>
      <c r="T27" s="28" t="n">
        <f aca="false">IF($C$6&lt;&gt;"Yes","",IF(AND($F$8&lt;&gt;"",EDATE($C$8,R27)&lt;$F$8),EDATE($C$8+N($F$10),R27),EDATE($C$8+$C$17,R27)))</f>
        <v>46919</v>
      </c>
      <c r="U27" s="27" t="str">
        <f aca="false">IF(T27="","",IF(AND($C$14&lt;&gt;"",T27&gt;=$C$14),$C$15,IF(AND($C$11&lt;&gt;"",T27&gt;=$C$11),$C$12,$C$9)))</f>
        <v>Full-Time</v>
      </c>
      <c r="V27" s="26" t="n">
        <f aca="false">IF(T27="","",IF(AND($C$14&lt;&gt;"",T27&gt;=$C$14),$C$16,IF(AND($C$11&lt;&gt;"",T27&gt;=$C$11),$C$13,$C$10)))</f>
        <v>38</v>
      </c>
      <c r="W27" s="27" t="str">
        <f aca="false">IF(T27="","",IF(U27="","None",IF(IFERROR(VLOOKUP(U27,TypeTable,2,0),"None")="PT",IF(N(V27)&gt;=PT_MinHours,"PT","None"),IFERROR(VLOOKUP(U27,TypeTable,2,0),"None"))))</f>
        <v>FT</v>
      </c>
      <c r="X27" s="27" t="n">
        <v>1</v>
      </c>
      <c r="Y27" s="26" t="n">
        <f aca="false">IF(T27="","",IF(AND(W27="PT",T27&lt;=$F$12),X27,0))</f>
        <v>0</v>
      </c>
    </row>
    <row r="28" customFormat="false" ht="15" hidden="false" customHeight="false" outlineLevel="0" collapsed="false">
      <c r="H28" s="27" t="n">
        <v>9</v>
      </c>
      <c r="I28" s="27" t="n">
        <f aca="false">IF(8&lt;FT_PreY5,FT_First+FT_Int1*8,FT_Y5+FT_Int2*(8-FT_PreY5))</f>
        <v>66</v>
      </c>
      <c r="J28" s="27" t="str">
        <f aca="false">INT(I28/12)&amp;"y "&amp;MOD(I28,12)&amp;"m"</f>
        <v>5y 6m</v>
      </c>
      <c r="K28" s="28" t="n">
        <f aca="false">IF($C$6&lt;&gt;"Yes","",IF(AND($F$8&lt;&gt;"",EDATE($C$8,I28)&lt;$F$8),EDATE($C$8+N($F$10),I28),EDATE($C$8+$C$17,I28)))</f>
        <v>46249</v>
      </c>
      <c r="L28" s="27" t="str">
        <f aca="false">IF(K28="","",IF(AND($C$14&lt;&gt;"",K28&gt;=$C$14),$C$15,IF(AND($C$11&lt;&gt;"",K28&gt;=$C$11),$C$12,$C$9)))</f>
        <v>Full-Time</v>
      </c>
      <c r="M28" s="26" t="n">
        <f aca="false">IF(K28="","",IF(AND($C$14&lt;&gt;"",K28&gt;=$C$14),$C$16,IF(AND($C$11&lt;&gt;"",K28&gt;=$C$11),$C$13,$C$10)))</f>
        <v>38</v>
      </c>
      <c r="N28" s="27" t="str">
        <f aca="false">IF(K28="","",IF(L28="","None",IF(IFERROR(VLOOKUP(L28,TypeTable,2,0),"None")="PT",IF(N(M28)&gt;=PT_MinHours,"PT","None"),IFERROR(VLOOKUP(L28,TypeTable,2,0),"None"))))</f>
        <v>FT</v>
      </c>
      <c r="O28" s="27" t="n">
        <f aca="false">IF(I28&lt;FT_Y5,1,IF(MOD(I28-FT_Y5,12)=0,FT_AnnivDays,1))</f>
        <v>1</v>
      </c>
      <c r="P28" s="26" t="n">
        <f aca="false">IF(K28="","",IF(AND(N28="FT",K28&lt;=$F$12),O28,0))</f>
        <v>1</v>
      </c>
      <c r="Q28" s="27" t="n">
        <v>9</v>
      </c>
      <c r="R28" s="27" t="n">
        <f aca="false">PT_First+PT_Int*8</f>
        <v>92</v>
      </c>
      <c r="S28" s="27" t="str">
        <f aca="false">INT(R28/12)&amp;"y "&amp;MOD(R28,12)&amp;"m"</f>
        <v>7y 8m</v>
      </c>
      <c r="T28" s="28" t="n">
        <f aca="false">IF($C$6&lt;&gt;"Yes","",IF(AND($F$8&lt;&gt;"",EDATE($C$8,R28)&lt;$F$8),EDATE($C$8+N($F$10),R28),EDATE($C$8+$C$17,R28)))</f>
        <v>47041</v>
      </c>
      <c r="U28" s="27" t="str">
        <f aca="false">IF(T28="","",IF(AND($C$14&lt;&gt;"",T28&gt;=$C$14),$C$15,IF(AND($C$11&lt;&gt;"",T28&gt;=$C$11),$C$12,$C$9)))</f>
        <v>Full-Time</v>
      </c>
      <c r="V28" s="26" t="n">
        <f aca="false">IF(T28="","",IF(AND($C$14&lt;&gt;"",T28&gt;=$C$14),$C$16,IF(AND($C$11&lt;&gt;"",T28&gt;=$C$11),$C$13,$C$10)))</f>
        <v>38</v>
      </c>
      <c r="W28" s="27" t="str">
        <f aca="false">IF(T28="","",IF(U28="","None",IF(IFERROR(VLOOKUP(U28,TypeTable,2,0),"None")="PT",IF(N(V28)&gt;=PT_MinHours,"PT","None"),IFERROR(VLOOKUP(U28,TypeTable,2,0),"None"))))</f>
        <v>FT</v>
      </c>
      <c r="X28" s="27" t="n">
        <v>1</v>
      </c>
      <c r="Y28" s="26" t="n">
        <f aca="false">IF(T28="","",IF(AND(W28="PT",T28&lt;=$F$12),X28,0))</f>
        <v>0</v>
      </c>
    </row>
    <row r="29" customFormat="false" ht="15" hidden="false" customHeight="false" outlineLevel="0" collapsed="false">
      <c r="H29" s="27" t="n">
        <v>10</v>
      </c>
      <c r="I29" s="27" t="n">
        <f aca="false">IF(9&lt;FT_PreY5,FT_First+FT_Int1*9,FT_Y5+FT_Int2*(9-FT_PreY5))</f>
        <v>69</v>
      </c>
      <c r="J29" s="27" t="str">
        <f aca="false">INT(I29/12)&amp;"y "&amp;MOD(I29,12)&amp;"m"</f>
        <v>5y 9m</v>
      </c>
      <c r="K29" s="28" t="n">
        <f aca="false">IF($C$6&lt;&gt;"Yes","",IF(AND($F$8&lt;&gt;"",EDATE($C$8,I29)&lt;$F$8),EDATE($C$8+N($F$10),I29),EDATE($C$8+$C$17,I29)))</f>
        <v>46341</v>
      </c>
      <c r="L29" s="27" t="str">
        <f aca="false">IF(K29="","",IF(AND($C$14&lt;&gt;"",K29&gt;=$C$14),$C$15,IF(AND($C$11&lt;&gt;"",K29&gt;=$C$11),$C$12,$C$9)))</f>
        <v>Full-Time</v>
      </c>
      <c r="M29" s="26" t="n">
        <f aca="false">IF(K29="","",IF(AND($C$14&lt;&gt;"",K29&gt;=$C$14),$C$16,IF(AND($C$11&lt;&gt;"",K29&gt;=$C$11),$C$13,$C$10)))</f>
        <v>38</v>
      </c>
      <c r="N29" s="27" t="str">
        <f aca="false">IF(K29="","",IF(L29="","None",IF(IFERROR(VLOOKUP(L29,TypeTable,2,0),"None")="PT",IF(N(M29)&gt;=PT_MinHours,"PT","None"),IFERROR(VLOOKUP(L29,TypeTable,2,0),"None"))))</f>
        <v>FT</v>
      </c>
      <c r="O29" s="27" t="n">
        <f aca="false">IF(I29&lt;FT_Y5,1,IF(MOD(I29-FT_Y5,12)=0,FT_AnnivDays,1))</f>
        <v>1</v>
      </c>
      <c r="P29" s="26" t="n">
        <f aca="false">IF(K29="","",IF(AND(N29="FT",K29&lt;=$F$12),O29,0))</f>
        <v>0</v>
      </c>
      <c r="Q29" s="27" t="n">
        <v>10</v>
      </c>
      <c r="R29" s="27" t="n">
        <f aca="false">PT_First+PT_Int*9</f>
        <v>96</v>
      </c>
      <c r="S29" s="27" t="str">
        <f aca="false">INT(R29/12)&amp;"y "&amp;MOD(R29,12)&amp;"m"</f>
        <v>8y 0m</v>
      </c>
      <c r="T29" s="28" t="n">
        <f aca="false">IF($C$6&lt;&gt;"Yes","",IF(AND($F$8&lt;&gt;"",EDATE($C$8,R29)&lt;$F$8),EDATE($C$8+N($F$10),R29),EDATE($C$8+$C$17,R29)))</f>
        <v>47164</v>
      </c>
      <c r="U29" s="27" t="str">
        <f aca="false">IF(T29="","",IF(AND($C$14&lt;&gt;"",T29&gt;=$C$14),$C$15,IF(AND($C$11&lt;&gt;"",T29&gt;=$C$11),$C$12,$C$9)))</f>
        <v>Full-Time</v>
      </c>
      <c r="V29" s="26" t="n">
        <f aca="false">IF(T29="","",IF(AND($C$14&lt;&gt;"",T29&gt;=$C$14),$C$16,IF(AND($C$11&lt;&gt;"",T29&gt;=$C$11),$C$13,$C$10)))</f>
        <v>38</v>
      </c>
      <c r="W29" s="27" t="str">
        <f aca="false">IF(T29="","",IF(U29="","None",IF(IFERROR(VLOOKUP(U29,TypeTable,2,0),"None")="PT",IF(N(V29)&gt;=PT_MinHours,"PT","None"),IFERROR(VLOOKUP(U29,TypeTable,2,0),"None"))))</f>
        <v>FT</v>
      </c>
      <c r="X29" s="27" t="n">
        <v>1</v>
      </c>
      <c r="Y29" s="26" t="n">
        <f aca="false">IF(T29="","",IF(AND(W29="PT",T29&lt;=$F$12),X29,0))</f>
        <v>0</v>
      </c>
    </row>
    <row r="30" customFormat="false" ht="15" hidden="false" customHeight="false" outlineLevel="0" collapsed="false">
      <c r="H30" s="27" t="n">
        <v>11</v>
      </c>
      <c r="I30" s="27" t="n">
        <f aca="false">IF(10&lt;FT_PreY5,FT_First+FT_Int1*10,FT_Y5+FT_Int2*(10-FT_PreY5))</f>
        <v>72</v>
      </c>
      <c r="J30" s="27" t="str">
        <f aca="false">INT(I30/12)&amp;"y "&amp;MOD(I30,12)&amp;"m"</f>
        <v>6y 0m</v>
      </c>
      <c r="K30" s="28" t="n">
        <f aca="false">IF($C$6&lt;&gt;"Yes","",IF(AND($F$8&lt;&gt;"",EDATE($C$8,I30)&lt;$F$8),EDATE($C$8+N($F$10),I30),EDATE($C$8+$C$17,I30)))</f>
        <v>46433</v>
      </c>
      <c r="L30" s="27" t="str">
        <f aca="false">IF(K30="","",IF(AND($C$14&lt;&gt;"",K30&gt;=$C$14),$C$15,IF(AND($C$11&lt;&gt;"",K30&gt;=$C$11),$C$12,$C$9)))</f>
        <v>Full-Time</v>
      </c>
      <c r="M30" s="26" t="n">
        <f aca="false">IF(K30="","",IF(AND($C$14&lt;&gt;"",K30&gt;=$C$14),$C$16,IF(AND($C$11&lt;&gt;"",K30&gt;=$C$11),$C$13,$C$10)))</f>
        <v>38</v>
      </c>
      <c r="N30" s="27" t="str">
        <f aca="false">IF(K30="","",IF(L30="","None",IF(IFERROR(VLOOKUP(L30,TypeTable,2,0),"None")="PT",IF(N(M30)&gt;=PT_MinHours,"PT","None"),IFERROR(VLOOKUP(L30,TypeTable,2,0),"None"))))</f>
        <v>FT</v>
      </c>
      <c r="O30" s="27" t="n">
        <f aca="false">IF(I30&lt;FT_Y5,1,IF(MOD(I30-FT_Y5,12)=0,FT_AnnivDays,1))</f>
        <v>2</v>
      </c>
      <c r="P30" s="26" t="n">
        <f aca="false">IF(K30="","",IF(AND(N30="FT",K30&lt;=$F$12),O30,0))</f>
        <v>0</v>
      </c>
      <c r="Q30" s="27" t="n">
        <v>11</v>
      </c>
      <c r="R30" s="27" t="n">
        <f aca="false">PT_First+PT_Int*10</f>
        <v>100</v>
      </c>
      <c r="S30" s="27" t="str">
        <f aca="false">INT(R30/12)&amp;"y "&amp;MOD(R30,12)&amp;"m"</f>
        <v>8y 4m</v>
      </c>
      <c r="T30" s="28" t="n">
        <f aca="false">IF($C$6&lt;&gt;"Yes","",IF(AND($F$8&lt;&gt;"",EDATE($C$8,R30)&lt;$F$8),EDATE($C$8+N($F$10),R30),EDATE($C$8+$C$17,R30)))</f>
        <v>47284</v>
      </c>
      <c r="U30" s="27" t="str">
        <f aca="false">IF(T30="","",IF(AND($C$14&lt;&gt;"",T30&gt;=$C$14),$C$15,IF(AND($C$11&lt;&gt;"",T30&gt;=$C$11),$C$12,$C$9)))</f>
        <v>Full-Time</v>
      </c>
      <c r="V30" s="26" t="n">
        <f aca="false">IF(T30="","",IF(AND($C$14&lt;&gt;"",T30&gt;=$C$14),$C$16,IF(AND($C$11&lt;&gt;"",T30&gt;=$C$11),$C$13,$C$10)))</f>
        <v>38</v>
      </c>
      <c r="W30" s="27" t="str">
        <f aca="false">IF(T30="","",IF(U30="","None",IF(IFERROR(VLOOKUP(U30,TypeTable,2,0),"None")="PT",IF(N(V30)&gt;=PT_MinHours,"PT","None"),IFERROR(VLOOKUP(U30,TypeTable,2,0),"None"))))</f>
        <v>FT</v>
      </c>
      <c r="X30" s="27" t="n">
        <v>1</v>
      </c>
      <c r="Y30" s="26" t="n">
        <f aca="false">IF(T30="","",IF(AND(W30="PT",T30&lt;=$F$12),X30,0))</f>
        <v>0</v>
      </c>
    </row>
    <row r="31" customFormat="false" ht="15" hidden="false" customHeight="false" outlineLevel="0" collapsed="false">
      <c r="H31" s="27" t="n">
        <v>12</v>
      </c>
      <c r="I31" s="27" t="n">
        <f aca="false">IF(11&lt;FT_PreY5,FT_First+FT_Int1*11,FT_Y5+FT_Int2*(11-FT_PreY5))</f>
        <v>75</v>
      </c>
      <c r="J31" s="27" t="str">
        <f aca="false">INT(I31/12)&amp;"y "&amp;MOD(I31,12)&amp;"m"</f>
        <v>6y 3m</v>
      </c>
      <c r="K31" s="28" t="n">
        <f aca="false">IF($C$6&lt;&gt;"Yes","",IF(AND($F$8&lt;&gt;"",EDATE($C$8,I31)&lt;$F$8),EDATE($C$8+N($F$10),I31),EDATE($C$8+$C$17,I31)))</f>
        <v>46522</v>
      </c>
      <c r="L31" s="27" t="str">
        <f aca="false">IF(K31="","",IF(AND($C$14&lt;&gt;"",K31&gt;=$C$14),$C$15,IF(AND($C$11&lt;&gt;"",K31&gt;=$C$11),$C$12,$C$9)))</f>
        <v>Full-Time</v>
      </c>
      <c r="M31" s="26" t="n">
        <f aca="false">IF(K31="","",IF(AND($C$14&lt;&gt;"",K31&gt;=$C$14),$C$16,IF(AND($C$11&lt;&gt;"",K31&gt;=$C$11),$C$13,$C$10)))</f>
        <v>38</v>
      </c>
      <c r="N31" s="27" t="str">
        <f aca="false">IF(K31="","",IF(L31="","None",IF(IFERROR(VLOOKUP(L31,TypeTable,2,0),"None")="PT",IF(N(M31)&gt;=PT_MinHours,"PT","None"),IFERROR(VLOOKUP(L31,TypeTable,2,0),"None"))))</f>
        <v>FT</v>
      </c>
      <c r="O31" s="27" t="n">
        <f aca="false">IF(I31&lt;FT_Y5,1,IF(MOD(I31-FT_Y5,12)=0,FT_AnnivDays,1))</f>
        <v>1</v>
      </c>
      <c r="P31" s="26" t="n">
        <f aca="false">IF(K31="","",IF(AND(N31="FT",K31&lt;=$F$12),O31,0))</f>
        <v>0</v>
      </c>
      <c r="Q31" s="27" t="n">
        <v>12</v>
      </c>
      <c r="R31" s="27" t="n">
        <f aca="false">PT_First+PT_Int*11</f>
        <v>104</v>
      </c>
      <c r="S31" s="27" t="str">
        <f aca="false">INT(R31/12)&amp;"y "&amp;MOD(R31,12)&amp;"m"</f>
        <v>8y 8m</v>
      </c>
      <c r="T31" s="28" t="n">
        <f aca="false">IF($C$6&lt;&gt;"Yes","",IF(AND($F$8&lt;&gt;"",EDATE($C$8,R31)&lt;$F$8),EDATE($C$8+N($F$10),R31),EDATE($C$8+$C$17,R31)))</f>
        <v>47406</v>
      </c>
      <c r="U31" s="27" t="str">
        <f aca="false">IF(T31="","",IF(AND($C$14&lt;&gt;"",T31&gt;=$C$14),$C$15,IF(AND($C$11&lt;&gt;"",T31&gt;=$C$11),$C$12,$C$9)))</f>
        <v>Full-Time</v>
      </c>
      <c r="V31" s="26" t="n">
        <f aca="false">IF(T31="","",IF(AND($C$14&lt;&gt;"",T31&gt;=$C$14),$C$16,IF(AND($C$11&lt;&gt;"",T31&gt;=$C$11),$C$13,$C$10)))</f>
        <v>38</v>
      </c>
      <c r="W31" s="27" t="str">
        <f aca="false">IF(T31="","",IF(U31="","None",IF(IFERROR(VLOOKUP(U31,TypeTable,2,0),"None")="PT",IF(N(V31)&gt;=PT_MinHours,"PT","None"),IFERROR(VLOOKUP(U31,TypeTable,2,0),"None"))))</f>
        <v>FT</v>
      </c>
      <c r="X31" s="27" t="n">
        <v>1</v>
      </c>
      <c r="Y31" s="26" t="n">
        <f aca="false">IF(T31="","",IF(AND(W31="PT",T31&lt;=$F$12),X31,0))</f>
        <v>0</v>
      </c>
    </row>
    <row r="32" customFormat="false" ht="15" hidden="false" customHeight="false" outlineLevel="0" collapsed="false">
      <c r="H32" s="27" t="n">
        <v>13</v>
      </c>
      <c r="I32" s="27" t="n">
        <f aca="false">IF(12&lt;FT_PreY5,FT_First+FT_Int1*12,FT_Y5+FT_Int2*(12-FT_PreY5))</f>
        <v>78</v>
      </c>
      <c r="J32" s="27" t="str">
        <f aca="false">INT(I32/12)&amp;"y "&amp;MOD(I32,12)&amp;"m"</f>
        <v>6y 6m</v>
      </c>
      <c r="K32" s="28" t="n">
        <f aca="false">IF($C$6&lt;&gt;"Yes","",IF(AND($F$8&lt;&gt;"",EDATE($C$8,I32)&lt;$F$8),EDATE($C$8+N($F$10),I32),EDATE($C$8+$C$17,I32)))</f>
        <v>46614</v>
      </c>
      <c r="L32" s="27" t="str">
        <f aca="false">IF(K32="","",IF(AND($C$14&lt;&gt;"",K32&gt;=$C$14),$C$15,IF(AND($C$11&lt;&gt;"",K32&gt;=$C$11),$C$12,$C$9)))</f>
        <v>Full-Time</v>
      </c>
      <c r="M32" s="26" t="n">
        <f aca="false">IF(K32="","",IF(AND($C$14&lt;&gt;"",K32&gt;=$C$14),$C$16,IF(AND($C$11&lt;&gt;"",K32&gt;=$C$11),$C$13,$C$10)))</f>
        <v>38</v>
      </c>
      <c r="N32" s="27" t="str">
        <f aca="false">IF(K32="","",IF(L32="","None",IF(IFERROR(VLOOKUP(L32,TypeTable,2,0),"None")="PT",IF(N(M32)&gt;=PT_MinHours,"PT","None"),IFERROR(VLOOKUP(L32,TypeTable,2,0),"None"))))</f>
        <v>FT</v>
      </c>
      <c r="O32" s="27" t="n">
        <f aca="false">IF(I32&lt;FT_Y5,1,IF(MOD(I32-FT_Y5,12)=0,FT_AnnivDays,1))</f>
        <v>1</v>
      </c>
      <c r="P32" s="26" t="n">
        <f aca="false">IF(K32="","",IF(AND(N32="FT",K32&lt;=$F$12),O32,0))</f>
        <v>0</v>
      </c>
      <c r="Q32" s="27" t="n">
        <v>13</v>
      </c>
      <c r="R32" s="27" t="n">
        <f aca="false">PT_First+PT_Int*12</f>
        <v>108</v>
      </c>
      <c r="S32" s="27" t="str">
        <f aca="false">INT(R32/12)&amp;"y "&amp;MOD(R32,12)&amp;"m"</f>
        <v>9y 0m</v>
      </c>
      <c r="T32" s="28" t="n">
        <f aca="false">IF($C$6&lt;&gt;"Yes","",IF(AND($F$8&lt;&gt;"",EDATE($C$8,R32)&lt;$F$8),EDATE($C$8+N($F$10),R32),EDATE($C$8+$C$17,R32)))</f>
        <v>47529</v>
      </c>
      <c r="U32" s="27" t="str">
        <f aca="false">IF(T32="","",IF(AND($C$14&lt;&gt;"",T32&gt;=$C$14),$C$15,IF(AND($C$11&lt;&gt;"",T32&gt;=$C$11),$C$12,$C$9)))</f>
        <v>Full-Time</v>
      </c>
      <c r="V32" s="26" t="n">
        <f aca="false">IF(T32="","",IF(AND($C$14&lt;&gt;"",T32&gt;=$C$14),$C$16,IF(AND($C$11&lt;&gt;"",T32&gt;=$C$11),$C$13,$C$10)))</f>
        <v>38</v>
      </c>
      <c r="W32" s="27" t="str">
        <f aca="false">IF(T32="","",IF(U32="","None",IF(IFERROR(VLOOKUP(U32,TypeTable,2,0),"None")="PT",IF(N(V32)&gt;=PT_MinHours,"PT","None"),IFERROR(VLOOKUP(U32,TypeTable,2,0),"None"))))</f>
        <v>FT</v>
      </c>
      <c r="X32" s="27" t="n">
        <v>1</v>
      </c>
      <c r="Y32" s="26" t="n">
        <f aca="false">IF(T32="","",IF(AND(W32="PT",T32&lt;=$F$12),X32,0))</f>
        <v>0</v>
      </c>
    </row>
    <row r="33" customFormat="false" ht="15" hidden="false" customHeight="false" outlineLevel="0" collapsed="false">
      <c r="H33" s="27" t="n">
        <v>14</v>
      </c>
      <c r="I33" s="27" t="n">
        <f aca="false">IF(13&lt;FT_PreY5,FT_First+FT_Int1*13,FT_Y5+FT_Int2*(13-FT_PreY5))</f>
        <v>81</v>
      </c>
      <c r="J33" s="27" t="str">
        <f aca="false">INT(I33/12)&amp;"y "&amp;MOD(I33,12)&amp;"m"</f>
        <v>6y 9m</v>
      </c>
      <c r="K33" s="28" t="n">
        <f aca="false">IF($C$6&lt;&gt;"Yes","",IF(AND($F$8&lt;&gt;"",EDATE($C$8,I33)&lt;$F$8),EDATE($C$8+N($F$10),I33),EDATE($C$8+$C$17,I33)))</f>
        <v>46706</v>
      </c>
      <c r="L33" s="27" t="str">
        <f aca="false">IF(K33="","",IF(AND($C$14&lt;&gt;"",K33&gt;=$C$14),$C$15,IF(AND($C$11&lt;&gt;"",K33&gt;=$C$11),$C$12,$C$9)))</f>
        <v>Full-Time</v>
      </c>
      <c r="M33" s="26" t="n">
        <f aca="false">IF(K33="","",IF(AND($C$14&lt;&gt;"",K33&gt;=$C$14),$C$16,IF(AND($C$11&lt;&gt;"",K33&gt;=$C$11),$C$13,$C$10)))</f>
        <v>38</v>
      </c>
      <c r="N33" s="27" t="str">
        <f aca="false">IF(K33="","",IF(L33="","None",IF(IFERROR(VLOOKUP(L33,TypeTable,2,0),"None")="PT",IF(N(M33)&gt;=PT_MinHours,"PT","None"),IFERROR(VLOOKUP(L33,TypeTable,2,0),"None"))))</f>
        <v>FT</v>
      </c>
      <c r="O33" s="27" t="n">
        <f aca="false">IF(I33&lt;FT_Y5,1,IF(MOD(I33-FT_Y5,12)=0,FT_AnnivDays,1))</f>
        <v>1</v>
      </c>
      <c r="P33" s="26" t="n">
        <f aca="false">IF(K33="","",IF(AND(N33="FT",K33&lt;=$F$12),O33,0))</f>
        <v>0</v>
      </c>
      <c r="Q33" s="27" t="n">
        <v>14</v>
      </c>
      <c r="R33" s="27" t="n">
        <f aca="false">PT_First+PT_Int*13</f>
        <v>112</v>
      </c>
      <c r="S33" s="27" t="str">
        <f aca="false">INT(R33/12)&amp;"y "&amp;MOD(R33,12)&amp;"m"</f>
        <v>9y 4m</v>
      </c>
      <c r="T33" s="28" t="n">
        <f aca="false">IF($C$6&lt;&gt;"Yes","",IF(AND($F$8&lt;&gt;"",EDATE($C$8,R33)&lt;$F$8),EDATE($C$8+N($F$10),R33),EDATE($C$8+$C$17,R33)))</f>
        <v>47649</v>
      </c>
      <c r="U33" s="27" t="str">
        <f aca="false">IF(T33="","",IF(AND($C$14&lt;&gt;"",T33&gt;=$C$14),$C$15,IF(AND($C$11&lt;&gt;"",T33&gt;=$C$11),$C$12,$C$9)))</f>
        <v>Full-Time</v>
      </c>
      <c r="V33" s="26" t="n">
        <f aca="false">IF(T33="","",IF(AND($C$14&lt;&gt;"",T33&gt;=$C$14),$C$16,IF(AND($C$11&lt;&gt;"",T33&gt;=$C$11),$C$13,$C$10)))</f>
        <v>38</v>
      </c>
      <c r="W33" s="27" t="str">
        <f aca="false">IF(T33="","",IF(U33="","None",IF(IFERROR(VLOOKUP(U33,TypeTable,2,0),"None")="PT",IF(N(V33)&gt;=PT_MinHours,"PT","None"),IFERROR(VLOOKUP(U33,TypeTable,2,0),"None"))))</f>
        <v>FT</v>
      </c>
      <c r="X33" s="27" t="n">
        <v>1</v>
      </c>
      <c r="Y33" s="26" t="n">
        <f aca="false">IF(T33="","",IF(AND(W33="PT",T33&lt;=$F$12),X33,0))</f>
        <v>0</v>
      </c>
    </row>
    <row r="34" customFormat="false" ht="15" hidden="false" customHeight="false" outlineLevel="0" collapsed="false">
      <c r="H34" s="27" t="n">
        <v>15</v>
      </c>
      <c r="I34" s="27" t="n">
        <f aca="false">IF(14&lt;FT_PreY5,FT_First+FT_Int1*14,FT_Y5+FT_Int2*(14-FT_PreY5))</f>
        <v>84</v>
      </c>
      <c r="J34" s="27" t="str">
        <f aca="false">INT(I34/12)&amp;"y "&amp;MOD(I34,12)&amp;"m"</f>
        <v>7y 0m</v>
      </c>
      <c r="K34" s="28" t="n">
        <f aca="false">IF($C$6&lt;&gt;"Yes","",IF(AND($F$8&lt;&gt;"",EDATE($C$8,I34)&lt;$F$8),EDATE($C$8+N($F$10),I34),EDATE($C$8+$C$17,I34)))</f>
        <v>46798</v>
      </c>
      <c r="L34" s="27" t="str">
        <f aca="false">IF(K34="","",IF(AND($C$14&lt;&gt;"",K34&gt;=$C$14),$C$15,IF(AND($C$11&lt;&gt;"",K34&gt;=$C$11),$C$12,$C$9)))</f>
        <v>Full-Time</v>
      </c>
      <c r="M34" s="26" t="n">
        <f aca="false">IF(K34="","",IF(AND($C$14&lt;&gt;"",K34&gt;=$C$14),$C$16,IF(AND($C$11&lt;&gt;"",K34&gt;=$C$11),$C$13,$C$10)))</f>
        <v>38</v>
      </c>
      <c r="N34" s="27" t="str">
        <f aca="false">IF(K34="","",IF(L34="","None",IF(IFERROR(VLOOKUP(L34,TypeTable,2,0),"None")="PT",IF(N(M34)&gt;=PT_MinHours,"PT","None"),IFERROR(VLOOKUP(L34,TypeTable,2,0),"None"))))</f>
        <v>FT</v>
      </c>
      <c r="O34" s="27" t="n">
        <f aca="false">IF(I34&lt;FT_Y5,1,IF(MOD(I34-FT_Y5,12)=0,FT_AnnivDays,1))</f>
        <v>2</v>
      </c>
      <c r="P34" s="26" t="n">
        <f aca="false">IF(K34="","",IF(AND(N34="FT",K34&lt;=$F$12),O34,0))</f>
        <v>0</v>
      </c>
      <c r="Q34" s="27" t="n">
        <v>15</v>
      </c>
      <c r="R34" s="27" t="n">
        <f aca="false">PT_First+PT_Int*14</f>
        <v>116</v>
      </c>
      <c r="S34" s="27" t="str">
        <f aca="false">INT(R34/12)&amp;"y "&amp;MOD(R34,12)&amp;"m"</f>
        <v>9y 8m</v>
      </c>
      <c r="T34" s="28" t="n">
        <f aca="false">IF($C$6&lt;&gt;"Yes","",IF(AND($F$8&lt;&gt;"",EDATE($C$8,R34)&lt;$F$8),EDATE($C$8+N($F$10),R34),EDATE($C$8+$C$17,R34)))</f>
        <v>47771</v>
      </c>
      <c r="U34" s="27" t="str">
        <f aca="false">IF(T34="","",IF(AND($C$14&lt;&gt;"",T34&gt;=$C$14),$C$15,IF(AND($C$11&lt;&gt;"",T34&gt;=$C$11),$C$12,$C$9)))</f>
        <v>Full-Time</v>
      </c>
      <c r="V34" s="26" t="n">
        <f aca="false">IF(T34="","",IF(AND($C$14&lt;&gt;"",T34&gt;=$C$14),$C$16,IF(AND($C$11&lt;&gt;"",T34&gt;=$C$11),$C$13,$C$10)))</f>
        <v>38</v>
      </c>
      <c r="W34" s="27" t="str">
        <f aca="false">IF(T34="","",IF(U34="","None",IF(IFERROR(VLOOKUP(U34,TypeTable,2,0),"None")="PT",IF(N(V34)&gt;=PT_MinHours,"PT","None"),IFERROR(VLOOKUP(U34,TypeTable,2,0),"None"))))</f>
        <v>FT</v>
      </c>
      <c r="X34" s="27" t="n">
        <v>1</v>
      </c>
      <c r="Y34" s="26" t="n">
        <f aca="false">IF(T34="","",IF(AND(W34="PT",T34&lt;=$F$12),X34,0))</f>
        <v>0</v>
      </c>
    </row>
    <row r="35" customFormat="false" ht="15" hidden="false" customHeight="false" outlineLevel="0" collapsed="false">
      <c r="H35" s="27" t="n">
        <v>16</v>
      </c>
      <c r="I35" s="27" t="n">
        <f aca="false">IF(15&lt;FT_PreY5,FT_First+FT_Int1*15,FT_Y5+FT_Int2*(15-FT_PreY5))</f>
        <v>87</v>
      </c>
      <c r="J35" s="27" t="str">
        <f aca="false">INT(I35/12)&amp;"y "&amp;MOD(I35,12)&amp;"m"</f>
        <v>7y 3m</v>
      </c>
      <c r="K35" s="28" t="n">
        <f aca="false">IF($C$6&lt;&gt;"Yes","",IF(AND($F$8&lt;&gt;"",EDATE($C$8,I35)&lt;$F$8),EDATE($C$8+N($F$10),I35),EDATE($C$8+$C$17,I35)))</f>
        <v>46888</v>
      </c>
      <c r="L35" s="27" t="str">
        <f aca="false">IF(K35="","",IF(AND($C$14&lt;&gt;"",K35&gt;=$C$14),$C$15,IF(AND($C$11&lt;&gt;"",K35&gt;=$C$11),$C$12,$C$9)))</f>
        <v>Full-Time</v>
      </c>
      <c r="M35" s="26" t="n">
        <f aca="false">IF(K35="","",IF(AND($C$14&lt;&gt;"",K35&gt;=$C$14),$C$16,IF(AND($C$11&lt;&gt;"",K35&gt;=$C$11),$C$13,$C$10)))</f>
        <v>38</v>
      </c>
      <c r="N35" s="27" t="str">
        <f aca="false">IF(K35="","",IF(L35="","None",IF(IFERROR(VLOOKUP(L35,TypeTable,2,0),"None")="PT",IF(N(M35)&gt;=PT_MinHours,"PT","None"),IFERROR(VLOOKUP(L35,TypeTable,2,0),"None"))))</f>
        <v>FT</v>
      </c>
      <c r="O35" s="27" t="n">
        <f aca="false">IF(I35&lt;FT_Y5,1,IF(MOD(I35-FT_Y5,12)=0,FT_AnnivDays,1))</f>
        <v>1</v>
      </c>
      <c r="P35" s="26" t="n">
        <f aca="false">IF(K35="","",IF(AND(N35="FT",K35&lt;=$F$12),O35,0))</f>
        <v>0</v>
      </c>
      <c r="Q35" s="27" t="n">
        <v>16</v>
      </c>
      <c r="R35" s="27" t="n">
        <f aca="false">PT_First+PT_Int*15</f>
        <v>120</v>
      </c>
      <c r="S35" s="27" t="str">
        <f aca="false">INT(R35/12)&amp;"y "&amp;MOD(R35,12)&amp;"m"</f>
        <v>10y 0m</v>
      </c>
      <c r="T35" s="28" t="n">
        <f aca="false">IF($C$6&lt;&gt;"Yes","",IF(AND($F$8&lt;&gt;"",EDATE($C$8,R35)&lt;$F$8),EDATE($C$8+N($F$10),R35),EDATE($C$8+$C$17,R35)))</f>
        <v>47894</v>
      </c>
      <c r="U35" s="27" t="str">
        <f aca="false">IF(T35="","",IF(AND($C$14&lt;&gt;"",T35&gt;=$C$14),$C$15,IF(AND($C$11&lt;&gt;"",T35&gt;=$C$11),$C$12,$C$9)))</f>
        <v>Full-Time</v>
      </c>
      <c r="V35" s="26" t="n">
        <f aca="false">IF(T35="","",IF(AND($C$14&lt;&gt;"",T35&gt;=$C$14),$C$16,IF(AND($C$11&lt;&gt;"",T35&gt;=$C$11),$C$13,$C$10)))</f>
        <v>38</v>
      </c>
      <c r="W35" s="27" t="str">
        <f aca="false">IF(T35="","",IF(U35="","None",IF(IFERROR(VLOOKUP(U35,TypeTable,2,0),"None")="PT",IF(N(V35)&gt;=PT_MinHours,"PT","None"),IFERROR(VLOOKUP(U35,TypeTable,2,0),"None"))))</f>
        <v>FT</v>
      </c>
      <c r="X35" s="27" t="n">
        <v>1</v>
      </c>
      <c r="Y35" s="26" t="n">
        <f aca="false">IF(T35="","",IF(AND(W35="PT",T35&lt;=$F$12),X35,0))</f>
        <v>0</v>
      </c>
    </row>
    <row r="36" customFormat="false" ht="15" hidden="false" customHeight="false" outlineLevel="0" collapsed="false">
      <c r="H36" s="27" t="n">
        <v>17</v>
      </c>
      <c r="I36" s="27" t="n">
        <f aca="false">IF(16&lt;FT_PreY5,FT_First+FT_Int1*16,FT_Y5+FT_Int2*(16-FT_PreY5))</f>
        <v>90</v>
      </c>
      <c r="J36" s="27" t="str">
        <f aca="false">INT(I36/12)&amp;"y "&amp;MOD(I36,12)&amp;"m"</f>
        <v>7y 6m</v>
      </c>
      <c r="K36" s="28" t="n">
        <f aca="false">IF($C$6&lt;&gt;"Yes","",IF(AND($F$8&lt;&gt;"",EDATE($C$8,I36)&lt;$F$8),EDATE($C$8+N($F$10),I36),EDATE($C$8+$C$17,I36)))</f>
        <v>46980</v>
      </c>
      <c r="L36" s="27" t="str">
        <f aca="false">IF(K36="","",IF(AND($C$14&lt;&gt;"",K36&gt;=$C$14),$C$15,IF(AND($C$11&lt;&gt;"",K36&gt;=$C$11),$C$12,$C$9)))</f>
        <v>Full-Time</v>
      </c>
      <c r="M36" s="26" t="n">
        <f aca="false">IF(K36="","",IF(AND($C$14&lt;&gt;"",K36&gt;=$C$14),$C$16,IF(AND($C$11&lt;&gt;"",K36&gt;=$C$11),$C$13,$C$10)))</f>
        <v>38</v>
      </c>
      <c r="N36" s="27" t="str">
        <f aca="false">IF(K36="","",IF(L36="","None",IF(IFERROR(VLOOKUP(L36,TypeTable,2,0),"None")="PT",IF(N(M36)&gt;=PT_MinHours,"PT","None"),IFERROR(VLOOKUP(L36,TypeTable,2,0),"None"))))</f>
        <v>FT</v>
      </c>
      <c r="O36" s="27" t="n">
        <f aca="false">IF(I36&lt;FT_Y5,1,IF(MOD(I36-FT_Y5,12)=0,FT_AnnivDays,1))</f>
        <v>1</v>
      </c>
      <c r="P36" s="26" t="n">
        <f aca="false">IF(K36="","",IF(AND(N36="FT",K36&lt;=$F$12),O36,0))</f>
        <v>0</v>
      </c>
      <c r="Q36" s="27" t="n">
        <v>17</v>
      </c>
      <c r="R36" s="27" t="n">
        <f aca="false">PT_First+PT_Int*16</f>
        <v>124</v>
      </c>
      <c r="S36" s="27" t="str">
        <f aca="false">INT(R36/12)&amp;"y "&amp;MOD(R36,12)&amp;"m"</f>
        <v>10y 4m</v>
      </c>
      <c r="T36" s="28" t="n">
        <f aca="false">IF($C$6&lt;&gt;"Yes","",IF(AND($F$8&lt;&gt;"",EDATE($C$8,R36)&lt;$F$8),EDATE($C$8+N($F$10),R36),EDATE($C$8+$C$17,R36)))</f>
        <v>48014</v>
      </c>
      <c r="U36" s="27" t="str">
        <f aca="false">IF(T36="","",IF(AND($C$14&lt;&gt;"",T36&gt;=$C$14),$C$15,IF(AND($C$11&lt;&gt;"",T36&gt;=$C$11),$C$12,$C$9)))</f>
        <v>Full-Time</v>
      </c>
      <c r="V36" s="26" t="n">
        <f aca="false">IF(T36="","",IF(AND($C$14&lt;&gt;"",T36&gt;=$C$14),$C$16,IF(AND($C$11&lt;&gt;"",T36&gt;=$C$11),$C$13,$C$10)))</f>
        <v>38</v>
      </c>
      <c r="W36" s="27" t="str">
        <f aca="false">IF(T36="","",IF(U36="","None",IF(IFERROR(VLOOKUP(U36,TypeTable,2,0),"None")="PT",IF(N(V36)&gt;=PT_MinHours,"PT","None"),IFERROR(VLOOKUP(U36,TypeTable,2,0),"None"))))</f>
        <v>FT</v>
      </c>
      <c r="X36" s="27" t="n">
        <v>1</v>
      </c>
      <c r="Y36" s="26" t="n">
        <f aca="false">IF(T36="","",IF(AND(W36="PT",T36&lt;=$F$12),X36,0))</f>
        <v>0</v>
      </c>
    </row>
    <row r="37" customFormat="false" ht="15" hidden="false" customHeight="false" outlineLevel="0" collapsed="false">
      <c r="H37" s="27" t="n">
        <v>18</v>
      </c>
      <c r="I37" s="27" t="n">
        <f aca="false">IF(17&lt;FT_PreY5,FT_First+FT_Int1*17,FT_Y5+FT_Int2*(17-FT_PreY5))</f>
        <v>93</v>
      </c>
      <c r="J37" s="27" t="str">
        <f aca="false">INT(I37/12)&amp;"y "&amp;MOD(I37,12)&amp;"m"</f>
        <v>7y 9m</v>
      </c>
      <c r="K37" s="28" t="n">
        <f aca="false">IF($C$6&lt;&gt;"Yes","",IF(AND($F$8&lt;&gt;"",EDATE($C$8,I37)&lt;$F$8),EDATE($C$8+N($F$10),I37),EDATE($C$8+$C$17,I37)))</f>
        <v>47072</v>
      </c>
      <c r="L37" s="27" t="str">
        <f aca="false">IF(K37="","",IF(AND($C$14&lt;&gt;"",K37&gt;=$C$14),$C$15,IF(AND($C$11&lt;&gt;"",K37&gt;=$C$11),$C$12,$C$9)))</f>
        <v>Full-Time</v>
      </c>
      <c r="M37" s="26" t="n">
        <f aca="false">IF(K37="","",IF(AND($C$14&lt;&gt;"",K37&gt;=$C$14),$C$16,IF(AND($C$11&lt;&gt;"",K37&gt;=$C$11),$C$13,$C$10)))</f>
        <v>38</v>
      </c>
      <c r="N37" s="27" t="str">
        <f aca="false">IF(K37="","",IF(L37="","None",IF(IFERROR(VLOOKUP(L37,TypeTable,2,0),"None")="PT",IF(N(M37)&gt;=PT_MinHours,"PT","None"),IFERROR(VLOOKUP(L37,TypeTable,2,0),"None"))))</f>
        <v>FT</v>
      </c>
      <c r="O37" s="27" t="n">
        <f aca="false">IF(I37&lt;FT_Y5,1,IF(MOD(I37-FT_Y5,12)=0,FT_AnnivDays,1))</f>
        <v>1</v>
      </c>
      <c r="P37" s="26" t="n">
        <f aca="false">IF(K37="","",IF(AND(N37="FT",K37&lt;=$F$12),O37,0))</f>
        <v>0</v>
      </c>
      <c r="Q37" s="27" t="n">
        <v>18</v>
      </c>
      <c r="R37" s="27" t="n">
        <f aca="false">PT_First+PT_Int*17</f>
        <v>128</v>
      </c>
      <c r="S37" s="27" t="str">
        <f aca="false">INT(R37/12)&amp;"y "&amp;MOD(R37,12)&amp;"m"</f>
        <v>10y 8m</v>
      </c>
      <c r="T37" s="28" t="n">
        <f aca="false">IF($C$6&lt;&gt;"Yes","",IF(AND($F$8&lt;&gt;"",EDATE($C$8,R37)&lt;$F$8),EDATE($C$8+N($F$10),R37),EDATE($C$8+$C$17,R37)))</f>
        <v>48136</v>
      </c>
      <c r="U37" s="27" t="str">
        <f aca="false">IF(T37="","",IF(AND($C$14&lt;&gt;"",T37&gt;=$C$14),$C$15,IF(AND($C$11&lt;&gt;"",T37&gt;=$C$11),$C$12,$C$9)))</f>
        <v>Full-Time</v>
      </c>
      <c r="V37" s="26" t="n">
        <f aca="false">IF(T37="","",IF(AND($C$14&lt;&gt;"",T37&gt;=$C$14),$C$16,IF(AND($C$11&lt;&gt;"",T37&gt;=$C$11),$C$13,$C$10)))</f>
        <v>38</v>
      </c>
      <c r="W37" s="27" t="str">
        <f aca="false">IF(T37="","",IF(U37="","None",IF(IFERROR(VLOOKUP(U37,TypeTable,2,0),"None")="PT",IF(N(V37)&gt;=PT_MinHours,"PT","None"),IFERROR(VLOOKUP(U37,TypeTable,2,0),"None"))))</f>
        <v>FT</v>
      </c>
      <c r="X37" s="27" t="n">
        <v>1</v>
      </c>
      <c r="Y37" s="26" t="n">
        <f aca="false">IF(T37="","",IF(AND(W37="PT",T37&lt;=$F$12),X37,0))</f>
        <v>0</v>
      </c>
    </row>
    <row r="38" customFormat="false" ht="15" hidden="false" customHeight="false" outlineLevel="0" collapsed="false">
      <c r="H38" s="27" t="n">
        <v>19</v>
      </c>
      <c r="I38" s="27" t="n">
        <f aca="false">IF(18&lt;FT_PreY5,FT_First+FT_Int1*18,FT_Y5+FT_Int2*(18-FT_PreY5))</f>
        <v>96</v>
      </c>
      <c r="J38" s="27" t="str">
        <f aca="false">INT(I38/12)&amp;"y "&amp;MOD(I38,12)&amp;"m"</f>
        <v>8y 0m</v>
      </c>
      <c r="K38" s="28" t="n">
        <f aca="false">IF($C$6&lt;&gt;"Yes","",IF(AND($F$8&lt;&gt;"",EDATE($C$8,I38)&lt;$F$8),EDATE($C$8+N($F$10),I38),EDATE($C$8+$C$17,I38)))</f>
        <v>47164</v>
      </c>
      <c r="L38" s="27" t="str">
        <f aca="false">IF(K38="","",IF(AND($C$14&lt;&gt;"",K38&gt;=$C$14),$C$15,IF(AND($C$11&lt;&gt;"",K38&gt;=$C$11),$C$12,$C$9)))</f>
        <v>Full-Time</v>
      </c>
      <c r="M38" s="26" t="n">
        <f aca="false">IF(K38="","",IF(AND($C$14&lt;&gt;"",K38&gt;=$C$14),$C$16,IF(AND($C$11&lt;&gt;"",K38&gt;=$C$11),$C$13,$C$10)))</f>
        <v>38</v>
      </c>
      <c r="N38" s="27" t="str">
        <f aca="false">IF(K38="","",IF(L38="","None",IF(IFERROR(VLOOKUP(L38,TypeTable,2,0),"None")="PT",IF(N(M38)&gt;=PT_MinHours,"PT","None"),IFERROR(VLOOKUP(L38,TypeTable,2,0),"None"))))</f>
        <v>FT</v>
      </c>
      <c r="O38" s="27" t="n">
        <f aca="false">IF(I38&lt;FT_Y5,1,IF(MOD(I38-FT_Y5,12)=0,FT_AnnivDays,1))</f>
        <v>2</v>
      </c>
      <c r="P38" s="26" t="n">
        <f aca="false">IF(K38="","",IF(AND(N38="FT",K38&lt;=$F$12),O38,0))</f>
        <v>0</v>
      </c>
      <c r="Q38" s="27" t="n">
        <v>19</v>
      </c>
      <c r="R38" s="27" t="n">
        <f aca="false">PT_First+PT_Int*18</f>
        <v>132</v>
      </c>
      <c r="S38" s="27" t="str">
        <f aca="false">INT(R38/12)&amp;"y "&amp;MOD(R38,12)&amp;"m"</f>
        <v>11y 0m</v>
      </c>
      <c r="T38" s="28" t="n">
        <f aca="false">IF($C$6&lt;&gt;"Yes","",IF(AND($F$8&lt;&gt;"",EDATE($C$8,R38)&lt;$F$8),EDATE($C$8+N($F$10),R38),EDATE($C$8+$C$17,R38)))</f>
        <v>48259</v>
      </c>
      <c r="U38" s="27" t="str">
        <f aca="false">IF(T38="","",IF(AND($C$14&lt;&gt;"",T38&gt;=$C$14),$C$15,IF(AND($C$11&lt;&gt;"",T38&gt;=$C$11),$C$12,$C$9)))</f>
        <v>Full-Time</v>
      </c>
      <c r="V38" s="26" t="n">
        <f aca="false">IF(T38="","",IF(AND($C$14&lt;&gt;"",T38&gt;=$C$14),$C$16,IF(AND($C$11&lt;&gt;"",T38&gt;=$C$11),$C$13,$C$10)))</f>
        <v>38</v>
      </c>
      <c r="W38" s="27" t="str">
        <f aca="false">IF(T38="","",IF(U38="","None",IF(IFERROR(VLOOKUP(U38,TypeTable,2,0),"None")="PT",IF(N(V38)&gt;=PT_MinHours,"PT","None"),IFERROR(VLOOKUP(U38,TypeTable,2,0),"None"))))</f>
        <v>FT</v>
      </c>
      <c r="X38" s="27" t="n">
        <v>1</v>
      </c>
      <c r="Y38" s="26" t="n">
        <f aca="false">IF(T38="","",IF(AND(W38="PT",T38&lt;=$F$12),X38,0))</f>
        <v>0</v>
      </c>
    </row>
    <row r="39" customFormat="false" ht="15" hidden="false" customHeight="false" outlineLevel="0" collapsed="false">
      <c r="H39" s="27" t="n">
        <v>20</v>
      </c>
      <c r="I39" s="27" t="n">
        <f aca="false">IF(19&lt;FT_PreY5,FT_First+FT_Int1*19,FT_Y5+FT_Int2*(19-FT_PreY5))</f>
        <v>99</v>
      </c>
      <c r="J39" s="27" t="str">
        <f aca="false">INT(I39/12)&amp;"y "&amp;MOD(I39,12)&amp;"m"</f>
        <v>8y 3m</v>
      </c>
      <c r="K39" s="28" t="n">
        <f aca="false">IF($C$6&lt;&gt;"Yes","",IF(AND($F$8&lt;&gt;"",EDATE($C$8,I39)&lt;$F$8),EDATE($C$8+N($F$10),I39),EDATE($C$8+$C$17,I39)))</f>
        <v>47253</v>
      </c>
      <c r="L39" s="27" t="str">
        <f aca="false">IF(K39="","",IF(AND($C$14&lt;&gt;"",K39&gt;=$C$14),$C$15,IF(AND($C$11&lt;&gt;"",K39&gt;=$C$11),$C$12,$C$9)))</f>
        <v>Full-Time</v>
      </c>
      <c r="M39" s="26" t="n">
        <f aca="false">IF(K39="","",IF(AND($C$14&lt;&gt;"",K39&gt;=$C$14),$C$16,IF(AND($C$11&lt;&gt;"",K39&gt;=$C$11),$C$13,$C$10)))</f>
        <v>38</v>
      </c>
      <c r="N39" s="27" t="str">
        <f aca="false">IF(K39="","",IF(L39="","None",IF(IFERROR(VLOOKUP(L39,TypeTable,2,0),"None")="PT",IF(N(M39)&gt;=PT_MinHours,"PT","None"),IFERROR(VLOOKUP(L39,TypeTable,2,0),"None"))))</f>
        <v>FT</v>
      </c>
      <c r="O39" s="27" t="n">
        <f aca="false">IF(I39&lt;FT_Y5,1,IF(MOD(I39-FT_Y5,12)=0,FT_AnnivDays,1))</f>
        <v>1</v>
      </c>
      <c r="P39" s="26" t="n">
        <f aca="false">IF(K39="","",IF(AND(N39="FT",K39&lt;=$F$12),O39,0))</f>
        <v>0</v>
      </c>
      <c r="Q39" s="27" t="n">
        <v>20</v>
      </c>
      <c r="R39" s="27" t="n">
        <f aca="false">PT_First+PT_Int*19</f>
        <v>136</v>
      </c>
      <c r="S39" s="27" t="str">
        <f aca="false">INT(R39/12)&amp;"y "&amp;MOD(R39,12)&amp;"m"</f>
        <v>11y 4m</v>
      </c>
      <c r="T39" s="28" t="n">
        <f aca="false">IF($C$6&lt;&gt;"Yes","",IF(AND($F$8&lt;&gt;"",EDATE($C$8,R39)&lt;$F$8),EDATE($C$8+N($F$10),R39),EDATE($C$8+$C$17,R39)))</f>
        <v>48380</v>
      </c>
      <c r="U39" s="27" t="str">
        <f aca="false">IF(T39="","",IF(AND($C$14&lt;&gt;"",T39&gt;=$C$14),$C$15,IF(AND($C$11&lt;&gt;"",T39&gt;=$C$11),$C$12,$C$9)))</f>
        <v>Full-Time</v>
      </c>
      <c r="V39" s="26" t="n">
        <f aca="false">IF(T39="","",IF(AND($C$14&lt;&gt;"",T39&gt;=$C$14),$C$16,IF(AND($C$11&lt;&gt;"",T39&gt;=$C$11),$C$13,$C$10)))</f>
        <v>38</v>
      </c>
      <c r="W39" s="27" t="str">
        <f aca="false">IF(T39="","",IF(U39="","None",IF(IFERROR(VLOOKUP(U39,TypeTable,2,0),"None")="PT",IF(N(V39)&gt;=PT_MinHours,"PT","None"),IFERROR(VLOOKUP(U39,TypeTable,2,0),"None"))))</f>
        <v>FT</v>
      </c>
      <c r="X39" s="27" t="n">
        <v>1</v>
      </c>
      <c r="Y39" s="26" t="n">
        <f aca="false">IF(T39="","",IF(AND(W39="PT",T39&lt;=$F$12),X39,0))</f>
        <v>0</v>
      </c>
    </row>
    <row r="40" customFormat="false" ht="15" hidden="false" customHeight="false" outlineLevel="0" collapsed="false">
      <c r="H40" s="27" t="n">
        <v>21</v>
      </c>
      <c r="I40" s="27" t="n">
        <f aca="false">IF(20&lt;FT_PreY5,FT_First+FT_Int1*20,FT_Y5+FT_Int2*(20-FT_PreY5))</f>
        <v>102</v>
      </c>
      <c r="J40" s="27" t="str">
        <f aca="false">INT(I40/12)&amp;"y "&amp;MOD(I40,12)&amp;"m"</f>
        <v>8y 6m</v>
      </c>
      <c r="K40" s="28" t="n">
        <f aca="false">IF($C$6&lt;&gt;"Yes","",IF(AND($F$8&lt;&gt;"",EDATE($C$8,I40)&lt;$F$8),EDATE($C$8+N($F$10),I40),EDATE($C$8+$C$17,I40)))</f>
        <v>47345</v>
      </c>
      <c r="L40" s="27" t="str">
        <f aca="false">IF(K40="","",IF(AND($C$14&lt;&gt;"",K40&gt;=$C$14),$C$15,IF(AND($C$11&lt;&gt;"",K40&gt;=$C$11),$C$12,$C$9)))</f>
        <v>Full-Time</v>
      </c>
      <c r="M40" s="26" t="n">
        <f aca="false">IF(K40="","",IF(AND($C$14&lt;&gt;"",K40&gt;=$C$14),$C$16,IF(AND($C$11&lt;&gt;"",K40&gt;=$C$11),$C$13,$C$10)))</f>
        <v>38</v>
      </c>
      <c r="N40" s="27" t="str">
        <f aca="false">IF(K40="","",IF(L40="","None",IF(IFERROR(VLOOKUP(L40,TypeTable,2,0),"None")="PT",IF(N(M40)&gt;=PT_MinHours,"PT","None"),IFERROR(VLOOKUP(L40,TypeTable,2,0),"None"))))</f>
        <v>FT</v>
      </c>
      <c r="O40" s="27" t="n">
        <f aca="false">IF(I40&lt;FT_Y5,1,IF(MOD(I40-FT_Y5,12)=0,FT_AnnivDays,1))</f>
        <v>1</v>
      </c>
      <c r="P40" s="26" t="n">
        <f aca="false">IF(K40="","",IF(AND(N40="FT",K40&lt;=$F$12),O40,0))</f>
        <v>0</v>
      </c>
      <c r="Q40" s="27" t="n">
        <v>21</v>
      </c>
      <c r="R40" s="27" t="n">
        <f aca="false">PT_First+PT_Int*20</f>
        <v>140</v>
      </c>
      <c r="S40" s="27" t="str">
        <f aca="false">INT(R40/12)&amp;"y "&amp;MOD(R40,12)&amp;"m"</f>
        <v>11y 8m</v>
      </c>
      <c r="T40" s="28" t="n">
        <f aca="false">IF($C$6&lt;&gt;"Yes","",IF(AND($F$8&lt;&gt;"",EDATE($C$8,R40)&lt;$F$8),EDATE($C$8+N($F$10),R40),EDATE($C$8+$C$17,R40)))</f>
        <v>48502</v>
      </c>
      <c r="U40" s="27" t="str">
        <f aca="false">IF(T40="","",IF(AND($C$14&lt;&gt;"",T40&gt;=$C$14),$C$15,IF(AND($C$11&lt;&gt;"",T40&gt;=$C$11),$C$12,$C$9)))</f>
        <v>Full-Time</v>
      </c>
      <c r="V40" s="26" t="n">
        <f aca="false">IF(T40="","",IF(AND($C$14&lt;&gt;"",T40&gt;=$C$14),$C$16,IF(AND($C$11&lt;&gt;"",T40&gt;=$C$11),$C$13,$C$10)))</f>
        <v>38</v>
      </c>
      <c r="W40" s="27" t="str">
        <f aca="false">IF(T40="","",IF(U40="","None",IF(IFERROR(VLOOKUP(U40,TypeTable,2,0),"None")="PT",IF(N(V40)&gt;=PT_MinHours,"PT","None"),IFERROR(VLOOKUP(U40,TypeTable,2,0),"None"))))</f>
        <v>FT</v>
      </c>
      <c r="X40" s="27" t="n">
        <v>1</v>
      </c>
      <c r="Y40" s="26" t="n">
        <f aca="false">IF(T40="","",IF(AND(W40="PT",T40&lt;=$F$12),X40,0))</f>
        <v>0</v>
      </c>
    </row>
    <row r="41" customFormat="false" ht="15" hidden="false" customHeight="false" outlineLevel="0" collapsed="false">
      <c r="H41" s="27" t="n">
        <v>22</v>
      </c>
      <c r="I41" s="27" t="n">
        <f aca="false">IF(21&lt;FT_PreY5,FT_First+FT_Int1*21,FT_Y5+FT_Int2*(21-FT_PreY5))</f>
        <v>105</v>
      </c>
      <c r="J41" s="27" t="str">
        <f aca="false">INT(I41/12)&amp;"y "&amp;MOD(I41,12)&amp;"m"</f>
        <v>8y 9m</v>
      </c>
      <c r="K41" s="28" t="n">
        <f aca="false">IF($C$6&lt;&gt;"Yes","",IF(AND($F$8&lt;&gt;"",EDATE($C$8,I41)&lt;$F$8),EDATE($C$8+N($F$10),I41),EDATE($C$8+$C$17,I41)))</f>
        <v>47437</v>
      </c>
      <c r="L41" s="27" t="str">
        <f aca="false">IF(K41="","",IF(AND($C$14&lt;&gt;"",K41&gt;=$C$14),$C$15,IF(AND($C$11&lt;&gt;"",K41&gt;=$C$11),$C$12,$C$9)))</f>
        <v>Full-Time</v>
      </c>
      <c r="M41" s="26" t="n">
        <f aca="false">IF(K41="","",IF(AND($C$14&lt;&gt;"",K41&gt;=$C$14),$C$16,IF(AND($C$11&lt;&gt;"",K41&gt;=$C$11),$C$13,$C$10)))</f>
        <v>38</v>
      </c>
      <c r="N41" s="27" t="str">
        <f aca="false">IF(K41="","",IF(L41="","None",IF(IFERROR(VLOOKUP(L41,TypeTable,2,0),"None")="PT",IF(N(M41)&gt;=PT_MinHours,"PT","None"),IFERROR(VLOOKUP(L41,TypeTable,2,0),"None"))))</f>
        <v>FT</v>
      </c>
      <c r="O41" s="27" t="n">
        <f aca="false">IF(I41&lt;FT_Y5,1,IF(MOD(I41-FT_Y5,12)=0,FT_AnnivDays,1))</f>
        <v>1</v>
      </c>
      <c r="P41" s="26" t="n">
        <f aca="false">IF(K41="","",IF(AND(N41="FT",K41&lt;=$F$12),O41,0))</f>
        <v>0</v>
      </c>
      <c r="Q41" s="27" t="n">
        <v>22</v>
      </c>
      <c r="R41" s="27" t="n">
        <f aca="false">PT_First+PT_Int*21</f>
        <v>144</v>
      </c>
      <c r="S41" s="27" t="str">
        <f aca="false">INT(R41/12)&amp;"y "&amp;MOD(R41,12)&amp;"m"</f>
        <v>12y 0m</v>
      </c>
      <c r="T41" s="28" t="n">
        <f aca="false">IF($C$6&lt;&gt;"Yes","",IF(AND($F$8&lt;&gt;"",EDATE($C$8,R41)&lt;$F$8),EDATE($C$8+N($F$10),R41),EDATE($C$8+$C$17,R41)))</f>
        <v>48625</v>
      </c>
      <c r="U41" s="27" t="str">
        <f aca="false">IF(T41="","",IF(AND($C$14&lt;&gt;"",T41&gt;=$C$14),$C$15,IF(AND($C$11&lt;&gt;"",T41&gt;=$C$11),$C$12,$C$9)))</f>
        <v>Full-Time</v>
      </c>
      <c r="V41" s="26" t="n">
        <f aca="false">IF(T41="","",IF(AND($C$14&lt;&gt;"",T41&gt;=$C$14),$C$16,IF(AND($C$11&lt;&gt;"",T41&gt;=$C$11),$C$13,$C$10)))</f>
        <v>38</v>
      </c>
      <c r="W41" s="27" t="str">
        <f aca="false">IF(T41="","",IF(U41="","None",IF(IFERROR(VLOOKUP(U41,TypeTable,2,0),"None")="PT",IF(N(V41)&gt;=PT_MinHours,"PT","None"),IFERROR(VLOOKUP(U41,TypeTable,2,0),"None"))))</f>
        <v>FT</v>
      </c>
      <c r="X41" s="27" t="n">
        <v>1</v>
      </c>
      <c r="Y41" s="26" t="n">
        <f aca="false">IF(T41="","",IF(AND(W41="PT",T41&lt;=$F$12),X41,0))</f>
        <v>0</v>
      </c>
    </row>
    <row r="42" customFormat="false" ht="15" hidden="false" customHeight="false" outlineLevel="0" collapsed="false">
      <c r="H42" s="27" t="n">
        <v>23</v>
      </c>
      <c r="I42" s="27" t="n">
        <f aca="false">IF(22&lt;FT_PreY5,FT_First+FT_Int1*22,FT_Y5+FT_Int2*(22-FT_PreY5))</f>
        <v>108</v>
      </c>
      <c r="J42" s="27" t="str">
        <f aca="false">INT(I42/12)&amp;"y "&amp;MOD(I42,12)&amp;"m"</f>
        <v>9y 0m</v>
      </c>
      <c r="K42" s="28" t="n">
        <f aca="false">IF($C$6&lt;&gt;"Yes","",IF(AND($F$8&lt;&gt;"",EDATE($C$8,I42)&lt;$F$8),EDATE($C$8+N($F$10),I42),EDATE($C$8+$C$17,I42)))</f>
        <v>47529</v>
      </c>
      <c r="L42" s="27" t="str">
        <f aca="false">IF(K42="","",IF(AND($C$14&lt;&gt;"",K42&gt;=$C$14),$C$15,IF(AND($C$11&lt;&gt;"",K42&gt;=$C$11),$C$12,$C$9)))</f>
        <v>Full-Time</v>
      </c>
      <c r="M42" s="26" t="n">
        <f aca="false">IF(K42="","",IF(AND($C$14&lt;&gt;"",K42&gt;=$C$14),$C$16,IF(AND($C$11&lt;&gt;"",K42&gt;=$C$11),$C$13,$C$10)))</f>
        <v>38</v>
      </c>
      <c r="N42" s="27" t="str">
        <f aca="false">IF(K42="","",IF(L42="","None",IF(IFERROR(VLOOKUP(L42,TypeTable,2,0),"None")="PT",IF(N(M42)&gt;=PT_MinHours,"PT","None"),IFERROR(VLOOKUP(L42,TypeTable,2,0),"None"))))</f>
        <v>FT</v>
      </c>
      <c r="O42" s="27" t="n">
        <f aca="false">IF(I42&lt;FT_Y5,1,IF(MOD(I42-FT_Y5,12)=0,FT_AnnivDays,1))</f>
        <v>2</v>
      </c>
      <c r="P42" s="26" t="n">
        <f aca="false">IF(K42="","",IF(AND(N42="FT",K42&lt;=$F$12),O42,0))</f>
        <v>0</v>
      </c>
      <c r="Q42" s="27" t="n">
        <v>23</v>
      </c>
      <c r="R42" s="27" t="n">
        <f aca="false">PT_First+PT_Int*22</f>
        <v>148</v>
      </c>
      <c r="S42" s="27" t="str">
        <f aca="false">INT(R42/12)&amp;"y "&amp;MOD(R42,12)&amp;"m"</f>
        <v>12y 4m</v>
      </c>
      <c r="T42" s="28" t="n">
        <f aca="false">IF($C$6&lt;&gt;"Yes","",IF(AND($F$8&lt;&gt;"",EDATE($C$8,R42)&lt;$F$8),EDATE($C$8+N($F$10),R42),EDATE($C$8+$C$17,R42)))</f>
        <v>48745</v>
      </c>
      <c r="U42" s="27" t="str">
        <f aca="false">IF(T42="","",IF(AND($C$14&lt;&gt;"",T42&gt;=$C$14),$C$15,IF(AND($C$11&lt;&gt;"",T42&gt;=$C$11),$C$12,$C$9)))</f>
        <v>Full-Time</v>
      </c>
      <c r="V42" s="26" t="n">
        <f aca="false">IF(T42="","",IF(AND($C$14&lt;&gt;"",T42&gt;=$C$14),$C$16,IF(AND($C$11&lt;&gt;"",T42&gt;=$C$11),$C$13,$C$10)))</f>
        <v>38</v>
      </c>
      <c r="W42" s="27" t="str">
        <f aca="false">IF(T42="","",IF(U42="","None",IF(IFERROR(VLOOKUP(U42,TypeTable,2,0),"None")="PT",IF(N(V42)&gt;=PT_MinHours,"PT","None"),IFERROR(VLOOKUP(U42,TypeTable,2,0),"None"))))</f>
        <v>FT</v>
      </c>
      <c r="X42" s="27" t="n">
        <v>1</v>
      </c>
      <c r="Y42" s="26" t="n">
        <f aca="false">IF(T42="","",IF(AND(W42="PT",T42&lt;=$F$12),X42,0))</f>
        <v>0</v>
      </c>
    </row>
    <row r="43" customFormat="false" ht="15" hidden="false" customHeight="false" outlineLevel="0" collapsed="false">
      <c r="H43" s="27" t="n">
        <v>24</v>
      </c>
      <c r="I43" s="27" t="n">
        <f aca="false">IF(23&lt;FT_PreY5,FT_First+FT_Int1*23,FT_Y5+FT_Int2*(23-FT_PreY5))</f>
        <v>111</v>
      </c>
      <c r="J43" s="27" t="str">
        <f aca="false">INT(I43/12)&amp;"y "&amp;MOD(I43,12)&amp;"m"</f>
        <v>9y 3m</v>
      </c>
      <c r="K43" s="28" t="n">
        <f aca="false">IF($C$6&lt;&gt;"Yes","",IF(AND($F$8&lt;&gt;"",EDATE($C$8,I43)&lt;$F$8),EDATE($C$8+N($F$10),I43),EDATE($C$8+$C$17,I43)))</f>
        <v>47618</v>
      </c>
      <c r="L43" s="27" t="str">
        <f aca="false">IF(K43="","",IF(AND($C$14&lt;&gt;"",K43&gt;=$C$14),$C$15,IF(AND($C$11&lt;&gt;"",K43&gt;=$C$11),$C$12,$C$9)))</f>
        <v>Full-Time</v>
      </c>
      <c r="M43" s="26" t="n">
        <f aca="false">IF(K43="","",IF(AND($C$14&lt;&gt;"",K43&gt;=$C$14),$C$16,IF(AND($C$11&lt;&gt;"",K43&gt;=$C$11),$C$13,$C$10)))</f>
        <v>38</v>
      </c>
      <c r="N43" s="27" t="str">
        <f aca="false">IF(K43="","",IF(L43="","None",IF(IFERROR(VLOOKUP(L43,TypeTable,2,0),"None")="PT",IF(N(M43)&gt;=PT_MinHours,"PT","None"),IFERROR(VLOOKUP(L43,TypeTable,2,0),"None"))))</f>
        <v>FT</v>
      </c>
      <c r="O43" s="27" t="n">
        <f aca="false">IF(I43&lt;FT_Y5,1,IF(MOD(I43-FT_Y5,12)=0,FT_AnnivDays,1))</f>
        <v>1</v>
      </c>
      <c r="P43" s="26" t="n">
        <f aca="false">IF(K43="","",IF(AND(N43="FT",K43&lt;=$F$12),O43,0))</f>
        <v>0</v>
      </c>
      <c r="Q43" s="27" t="n">
        <v>24</v>
      </c>
      <c r="R43" s="27" t="n">
        <f aca="false">PT_First+PT_Int*23</f>
        <v>152</v>
      </c>
      <c r="S43" s="27" t="str">
        <f aca="false">INT(R43/12)&amp;"y "&amp;MOD(R43,12)&amp;"m"</f>
        <v>12y 8m</v>
      </c>
      <c r="T43" s="28" t="n">
        <f aca="false">IF($C$6&lt;&gt;"Yes","",IF(AND($F$8&lt;&gt;"",EDATE($C$8,R43)&lt;$F$8),EDATE($C$8+N($F$10),R43),EDATE($C$8+$C$17,R43)))</f>
        <v>48867</v>
      </c>
      <c r="U43" s="27" t="str">
        <f aca="false">IF(T43="","",IF(AND($C$14&lt;&gt;"",T43&gt;=$C$14),$C$15,IF(AND($C$11&lt;&gt;"",T43&gt;=$C$11),$C$12,$C$9)))</f>
        <v>Full-Time</v>
      </c>
      <c r="V43" s="26" t="n">
        <f aca="false">IF(T43="","",IF(AND($C$14&lt;&gt;"",T43&gt;=$C$14),$C$16,IF(AND($C$11&lt;&gt;"",T43&gt;=$C$11),$C$13,$C$10)))</f>
        <v>38</v>
      </c>
      <c r="W43" s="27" t="str">
        <f aca="false">IF(T43="","",IF(U43="","None",IF(IFERROR(VLOOKUP(U43,TypeTable,2,0),"None")="PT",IF(N(V43)&gt;=PT_MinHours,"PT","None"),IFERROR(VLOOKUP(U43,TypeTable,2,0),"None"))))</f>
        <v>FT</v>
      </c>
      <c r="X43" s="27" t="n">
        <v>1</v>
      </c>
      <c r="Y43" s="26" t="n">
        <f aca="false">IF(T43="","",IF(AND(W43="PT",T43&lt;=$F$12),X43,0))</f>
        <v>0</v>
      </c>
    </row>
    <row r="44" customFormat="false" ht="15" hidden="false" customHeight="false" outlineLevel="0" collapsed="false">
      <c r="H44" s="27" t="n">
        <v>25</v>
      </c>
      <c r="I44" s="27" t="n">
        <f aca="false">IF(24&lt;FT_PreY5,FT_First+FT_Int1*24,FT_Y5+FT_Int2*(24-FT_PreY5))</f>
        <v>114</v>
      </c>
      <c r="J44" s="27" t="str">
        <f aca="false">INT(I44/12)&amp;"y "&amp;MOD(I44,12)&amp;"m"</f>
        <v>9y 6m</v>
      </c>
      <c r="K44" s="28" t="n">
        <f aca="false">IF($C$6&lt;&gt;"Yes","",IF(AND($F$8&lt;&gt;"",EDATE($C$8,I44)&lt;$F$8),EDATE($C$8+N($F$10),I44),EDATE($C$8+$C$17,I44)))</f>
        <v>47710</v>
      </c>
      <c r="L44" s="27" t="str">
        <f aca="false">IF(K44="","",IF(AND($C$14&lt;&gt;"",K44&gt;=$C$14),$C$15,IF(AND($C$11&lt;&gt;"",K44&gt;=$C$11),$C$12,$C$9)))</f>
        <v>Full-Time</v>
      </c>
      <c r="M44" s="26" t="n">
        <f aca="false">IF(K44="","",IF(AND($C$14&lt;&gt;"",K44&gt;=$C$14),$C$16,IF(AND($C$11&lt;&gt;"",K44&gt;=$C$11),$C$13,$C$10)))</f>
        <v>38</v>
      </c>
      <c r="N44" s="27" t="str">
        <f aca="false">IF(K44="","",IF(L44="","None",IF(IFERROR(VLOOKUP(L44,TypeTable,2,0),"None")="PT",IF(N(M44)&gt;=PT_MinHours,"PT","None"),IFERROR(VLOOKUP(L44,TypeTable,2,0),"None"))))</f>
        <v>FT</v>
      </c>
      <c r="O44" s="27" t="n">
        <f aca="false">IF(I44&lt;FT_Y5,1,IF(MOD(I44-FT_Y5,12)=0,FT_AnnivDays,1))</f>
        <v>1</v>
      </c>
      <c r="P44" s="26" t="n">
        <f aca="false">IF(K44="","",IF(AND(N44="FT",K44&lt;=$F$12),O44,0))</f>
        <v>0</v>
      </c>
      <c r="Q44" s="27" t="n">
        <v>25</v>
      </c>
      <c r="R44" s="27" t="n">
        <f aca="false">PT_First+PT_Int*24</f>
        <v>156</v>
      </c>
      <c r="S44" s="27" t="str">
        <f aca="false">INT(R44/12)&amp;"y "&amp;MOD(R44,12)&amp;"m"</f>
        <v>13y 0m</v>
      </c>
      <c r="T44" s="28" t="n">
        <f aca="false">IF($C$6&lt;&gt;"Yes","",IF(AND($F$8&lt;&gt;"",EDATE($C$8,R44)&lt;$F$8),EDATE($C$8+N($F$10),R44),EDATE($C$8+$C$17,R44)))</f>
        <v>48990</v>
      </c>
      <c r="U44" s="27" t="str">
        <f aca="false">IF(T44="","",IF(AND($C$14&lt;&gt;"",T44&gt;=$C$14),$C$15,IF(AND($C$11&lt;&gt;"",T44&gt;=$C$11),$C$12,$C$9)))</f>
        <v>Full-Time</v>
      </c>
      <c r="V44" s="26" t="n">
        <f aca="false">IF(T44="","",IF(AND($C$14&lt;&gt;"",T44&gt;=$C$14),$C$16,IF(AND($C$11&lt;&gt;"",T44&gt;=$C$11),$C$13,$C$10)))</f>
        <v>38</v>
      </c>
      <c r="W44" s="27" t="str">
        <f aca="false">IF(T44="","",IF(U44="","None",IF(IFERROR(VLOOKUP(U44,TypeTable,2,0),"None")="PT",IF(N(V44)&gt;=PT_MinHours,"PT","None"),IFERROR(VLOOKUP(U44,TypeTable,2,0),"None"))))</f>
        <v>FT</v>
      </c>
      <c r="X44" s="27" t="n">
        <v>1</v>
      </c>
      <c r="Y44" s="26" t="n">
        <f aca="false">IF(T44="","",IF(AND(W44="PT",T44&lt;=$F$12),X44,0))</f>
        <v>0</v>
      </c>
    </row>
    <row r="45" customFormat="false" ht="15" hidden="false" customHeight="false" outlineLevel="0" collapsed="false">
      <c r="H45" s="27" t="n">
        <v>26</v>
      </c>
      <c r="I45" s="27" t="n">
        <f aca="false">IF(25&lt;FT_PreY5,FT_First+FT_Int1*25,FT_Y5+FT_Int2*(25-FT_PreY5))</f>
        <v>117</v>
      </c>
      <c r="J45" s="27" t="str">
        <f aca="false">INT(I45/12)&amp;"y "&amp;MOD(I45,12)&amp;"m"</f>
        <v>9y 9m</v>
      </c>
      <c r="K45" s="28" t="n">
        <f aca="false">IF($C$6&lt;&gt;"Yes","",IF(AND($F$8&lt;&gt;"",EDATE($C$8,I45)&lt;$F$8),EDATE($C$8+N($F$10),I45),EDATE($C$8+$C$17,I45)))</f>
        <v>47802</v>
      </c>
      <c r="L45" s="27" t="str">
        <f aca="false">IF(K45="","",IF(AND($C$14&lt;&gt;"",K45&gt;=$C$14),$C$15,IF(AND($C$11&lt;&gt;"",K45&gt;=$C$11),$C$12,$C$9)))</f>
        <v>Full-Time</v>
      </c>
      <c r="M45" s="26" t="n">
        <f aca="false">IF(K45="","",IF(AND($C$14&lt;&gt;"",K45&gt;=$C$14),$C$16,IF(AND($C$11&lt;&gt;"",K45&gt;=$C$11),$C$13,$C$10)))</f>
        <v>38</v>
      </c>
      <c r="N45" s="27" t="str">
        <f aca="false">IF(K45="","",IF(L45="","None",IF(IFERROR(VLOOKUP(L45,TypeTable,2,0),"None")="PT",IF(N(M45)&gt;=PT_MinHours,"PT","None"),IFERROR(VLOOKUP(L45,TypeTable,2,0),"None"))))</f>
        <v>FT</v>
      </c>
      <c r="O45" s="27" t="n">
        <f aca="false">IF(I45&lt;FT_Y5,1,IF(MOD(I45-FT_Y5,12)=0,FT_AnnivDays,1))</f>
        <v>1</v>
      </c>
      <c r="P45" s="26" t="n">
        <f aca="false">IF(K45="","",IF(AND(N45="FT",K45&lt;=$F$12),O45,0))</f>
        <v>0</v>
      </c>
      <c r="Q45" s="27" t="n">
        <v>26</v>
      </c>
      <c r="R45" s="27" t="n">
        <f aca="false">PT_First+PT_Int*25</f>
        <v>160</v>
      </c>
      <c r="S45" s="27" t="str">
        <f aca="false">INT(R45/12)&amp;"y "&amp;MOD(R45,12)&amp;"m"</f>
        <v>13y 4m</v>
      </c>
      <c r="T45" s="28" t="n">
        <f aca="false">IF($C$6&lt;&gt;"Yes","",IF(AND($F$8&lt;&gt;"",EDATE($C$8,R45)&lt;$F$8),EDATE($C$8+N($F$10),R45),EDATE($C$8+$C$17,R45)))</f>
        <v>49110</v>
      </c>
      <c r="U45" s="27" t="str">
        <f aca="false">IF(T45="","",IF(AND($C$14&lt;&gt;"",T45&gt;=$C$14),$C$15,IF(AND($C$11&lt;&gt;"",T45&gt;=$C$11),$C$12,$C$9)))</f>
        <v>Full-Time</v>
      </c>
      <c r="V45" s="26" t="n">
        <f aca="false">IF(T45="","",IF(AND($C$14&lt;&gt;"",T45&gt;=$C$14),$C$16,IF(AND($C$11&lt;&gt;"",T45&gt;=$C$11),$C$13,$C$10)))</f>
        <v>38</v>
      </c>
      <c r="W45" s="27" t="str">
        <f aca="false">IF(T45="","",IF(U45="","None",IF(IFERROR(VLOOKUP(U45,TypeTable,2,0),"None")="PT",IF(N(V45)&gt;=PT_MinHours,"PT","None"),IFERROR(VLOOKUP(U45,TypeTable,2,0),"None"))))</f>
        <v>FT</v>
      </c>
      <c r="X45" s="27" t="n">
        <v>1</v>
      </c>
      <c r="Y45" s="26" t="n">
        <f aca="false">IF(T45="","",IF(AND(W45="PT",T45&lt;=$F$12),X45,0))</f>
        <v>0</v>
      </c>
    </row>
    <row r="46" customFormat="false" ht="15" hidden="false" customHeight="false" outlineLevel="0" collapsed="false">
      <c r="H46" s="27" t="n">
        <v>27</v>
      </c>
      <c r="I46" s="27" t="n">
        <f aca="false">IF(26&lt;FT_PreY5,FT_First+FT_Int1*26,FT_Y5+FT_Int2*(26-FT_PreY5))</f>
        <v>120</v>
      </c>
      <c r="J46" s="27" t="str">
        <f aca="false">INT(I46/12)&amp;"y "&amp;MOD(I46,12)&amp;"m"</f>
        <v>10y 0m</v>
      </c>
      <c r="K46" s="28" t="n">
        <f aca="false">IF($C$6&lt;&gt;"Yes","",IF(AND($F$8&lt;&gt;"",EDATE($C$8,I46)&lt;$F$8),EDATE($C$8+N($F$10),I46),EDATE($C$8+$C$17,I46)))</f>
        <v>47894</v>
      </c>
      <c r="L46" s="27" t="str">
        <f aca="false">IF(K46="","",IF(AND($C$14&lt;&gt;"",K46&gt;=$C$14),$C$15,IF(AND($C$11&lt;&gt;"",K46&gt;=$C$11),$C$12,$C$9)))</f>
        <v>Full-Time</v>
      </c>
      <c r="M46" s="26" t="n">
        <f aca="false">IF(K46="","",IF(AND($C$14&lt;&gt;"",K46&gt;=$C$14),$C$16,IF(AND($C$11&lt;&gt;"",K46&gt;=$C$11),$C$13,$C$10)))</f>
        <v>38</v>
      </c>
      <c r="N46" s="27" t="str">
        <f aca="false">IF(K46="","",IF(L46="","None",IF(IFERROR(VLOOKUP(L46,TypeTable,2,0),"None")="PT",IF(N(M46)&gt;=PT_MinHours,"PT","None"),IFERROR(VLOOKUP(L46,TypeTable,2,0),"None"))))</f>
        <v>FT</v>
      </c>
      <c r="O46" s="27" t="n">
        <f aca="false">IF(I46&lt;FT_Y5,1,IF(MOD(I46-FT_Y5,12)=0,FT_AnnivDays,1))</f>
        <v>2</v>
      </c>
      <c r="P46" s="26" t="n">
        <f aca="false">IF(K46="","",IF(AND(N46="FT",K46&lt;=$F$12),O46,0))</f>
        <v>0</v>
      </c>
      <c r="Q46" s="27" t="n">
        <v>27</v>
      </c>
      <c r="R46" s="27" t="n">
        <f aca="false">PT_First+PT_Int*26</f>
        <v>164</v>
      </c>
      <c r="S46" s="27" t="str">
        <f aca="false">INT(R46/12)&amp;"y "&amp;MOD(R46,12)&amp;"m"</f>
        <v>13y 8m</v>
      </c>
      <c r="T46" s="28" t="n">
        <f aca="false">IF($C$6&lt;&gt;"Yes","",IF(AND($F$8&lt;&gt;"",EDATE($C$8,R46)&lt;$F$8),EDATE($C$8+N($F$10),R46),EDATE($C$8+$C$17,R46)))</f>
        <v>49232</v>
      </c>
      <c r="U46" s="27" t="str">
        <f aca="false">IF(T46="","",IF(AND($C$14&lt;&gt;"",T46&gt;=$C$14),$C$15,IF(AND($C$11&lt;&gt;"",T46&gt;=$C$11),$C$12,$C$9)))</f>
        <v>Full-Time</v>
      </c>
      <c r="V46" s="26" t="n">
        <f aca="false">IF(T46="","",IF(AND($C$14&lt;&gt;"",T46&gt;=$C$14),$C$16,IF(AND($C$11&lt;&gt;"",T46&gt;=$C$11),$C$13,$C$10)))</f>
        <v>38</v>
      </c>
      <c r="W46" s="27" t="str">
        <f aca="false">IF(T46="","",IF(U46="","None",IF(IFERROR(VLOOKUP(U46,TypeTable,2,0),"None")="PT",IF(N(V46)&gt;=PT_MinHours,"PT","None"),IFERROR(VLOOKUP(U46,TypeTable,2,0),"None"))))</f>
        <v>FT</v>
      </c>
      <c r="X46" s="27" t="n">
        <v>1</v>
      </c>
      <c r="Y46" s="26" t="n">
        <f aca="false">IF(T46="","",IF(AND(W46="PT",T46&lt;=$F$12),X46,0))</f>
        <v>0</v>
      </c>
    </row>
    <row r="47" customFormat="false" ht="15" hidden="false" customHeight="false" outlineLevel="0" collapsed="false">
      <c r="H47" s="27" t="n">
        <v>28</v>
      </c>
      <c r="I47" s="27" t="n">
        <f aca="false">IF(27&lt;FT_PreY5,FT_First+FT_Int1*27,FT_Y5+FT_Int2*(27-FT_PreY5))</f>
        <v>123</v>
      </c>
      <c r="J47" s="27" t="str">
        <f aca="false">INT(I47/12)&amp;"y "&amp;MOD(I47,12)&amp;"m"</f>
        <v>10y 3m</v>
      </c>
      <c r="K47" s="28" t="n">
        <f aca="false">IF($C$6&lt;&gt;"Yes","",IF(AND($F$8&lt;&gt;"",EDATE($C$8,I47)&lt;$F$8),EDATE($C$8+N($F$10),I47),EDATE($C$8+$C$17,I47)))</f>
        <v>47983</v>
      </c>
      <c r="L47" s="27" t="str">
        <f aca="false">IF(K47="","",IF(AND($C$14&lt;&gt;"",K47&gt;=$C$14),$C$15,IF(AND($C$11&lt;&gt;"",K47&gt;=$C$11),$C$12,$C$9)))</f>
        <v>Full-Time</v>
      </c>
      <c r="M47" s="26" t="n">
        <f aca="false">IF(K47="","",IF(AND($C$14&lt;&gt;"",K47&gt;=$C$14),$C$16,IF(AND($C$11&lt;&gt;"",K47&gt;=$C$11),$C$13,$C$10)))</f>
        <v>38</v>
      </c>
      <c r="N47" s="27" t="str">
        <f aca="false">IF(K47="","",IF(L47="","None",IF(IFERROR(VLOOKUP(L47,TypeTable,2,0),"None")="PT",IF(N(M47)&gt;=PT_MinHours,"PT","None"),IFERROR(VLOOKUP(L47,TypeTable,2,0),"None"))))</f>
        <v>FT</v>
      </c>
      <c r="O47" s="27" t="n">
        <f aca="false">IF(I47&lt;FT_Y5,1,IF(MOD(I47-FT_Y5,12)=0,FT_AnnivDays,1))</f>
        <v>1</v>
      </c>
      <c r="P47" s="26" t="n">
        <f aca="false">IF(K47="","",IF(AND(N47="FT",K47&lt;=$F$12),O47,0))</f>
        <v>0</v>
      </c>
      <c r="Q47" s="27" t="n">
        <v>28</v>
      </c>
      <c r="R47" s="27" t="n">
        <f aca="false">PT_First+PT_Int*27</f>
        <v>168</v>
      </c>
      <c r="S47" s="27" t="str">
        <f aca="false">INT(R47/12)&amp;"y "&amp;MOD(R47,12)&amp;"m"</f>
        <v>14y 0m</v>
      </c>
      <c r="T47" s="28" t="n">
        <f aca="false">IF($C$6&lt;&gt;"Yes","",IF(AND($F$8&lt;&gt;"",EDATE($C$8,R47)&lt;$F$8),EDATE($C$8+N($F$10),R47),EDATE($C$8+$C$17,R47)))</f>
        <v>49355</v>
      </c>
      <c r="U47" s="27" t="str">
        <f aca="false">IF(T47="","",IF(AND($C$14&lt;&gt;"",T47&gt;=$C$14),$C$15,IF(AND($C$11&lt;&gt;"",T47&gt;=$C$11),$C$12,$C$9)))</f>
        <v>Full-Time</v>
      </c>
      <c r="V47" s="26" t="n">
        <f aca="false">IF(T47="","",IF(AND($C$14&lt;&gt;"",T47&gt;=$C$14),$C$16,IF(AND($C$11&lt;&gt;"",T47&gt;=$C$11),$C$13,$C$10)))</f>
        <v>38</v>
      </c>
      <c r="W47" s="27" t="str">
        <f aca="false">IF(T47="","",IF(U47="","None",IF(IFERROR(VLOOKUP(U47,TypeTable,2,0),"None")="PT",IF(N(V47)&gt;=PT_MinHours,"PT","None"),IFERROR(VLOOKUP(U47,TypeTable,2,0),"None"))))</f>
        <v>FT</v>
      </c>
      <c r="X47" s="27" t="n">
        <v>1</v>
      </c>
      <c r="Y47" s="26" t="n">
        <f aca="false">IF(T47="","",IF(AND(W47="PT",T47&lt;=$F$12),X47,0))</f>
        <v>0</v>
      </c>
    </row>
    <row r="48" customFormat="false" ht="15" hidden="false" customHeight="false" outlineLevel="0" collapsed="false">
      <c r="H48" s="27" t="n">
        <v>29</v>
      </c>
      <c r="I48" s="27" t="n">
        <f aca="false">IF(28&lt;FT_PreY5,FT_First+FT_Int1*28,FT_Y5+FT_Int2*(28-FT_PreY5))</f>
        <v>126</v>
      </c>
      <c r="J48" s="27" t="str">
        <f aca="false">INT(I48/12)&amp;"y "&amp;MOD(I48,12)&amp;"m"</f>
        <v>10y 6m</v>
      </c>
      <c r="K48" s="28" t="n">
        <f aca="false">IF($C$6&lt;&gt;"Yes","",IF(AND($F$8&lt;&gt;"",EDATE($C$8,I48)&lt;$F$8),EDATE($C$8+N($F$10),I48),EDATE($C$8+$C$17,I48)))</f>
        <v>48075</v>
      </c>
      <c r="L48" s="27" t="str">
        <f aca="false">IF(K48="","",IF(AND($C$14&lt;&gt;"",K48&gt;=$C$14),$C$15,IF(AND($C$11&lt;&gt;"",K48&gt;=$C$11),$C$12,$C$9)))</f>
        <v>Full-Time</v>
      </c>
      <c r="M48" s="26" t="n">
        <f aca="false">IF(K48="","",IF(AND($C$14&lt;&gt;"",K48&gt;=$C$14),$C$16,IF(AND($C$11&lt;&gt;"",K48&gt;=$C$11),$C$13,$C$10)))</f>
        <v>38</v>
      </c>
      <c r="N48" s="27" t="str">
        <f aca="false">IF(K48="","",IF(L48="","None",IF(IFERROR(VLOOKUP(L48,TypeTable,2,0),"None")="PT",IF(N(M48)&gt;=PT_MinHours,"PT","None"),IFERROR(VLOOKUP(L48,TypeTable,2,0),"None"))))</f>
        <v>FT</v>
      </c>
      <c r="O48" s="27" t="n">
        <f aca="false">IF(I48&lt;FT_Y5,1,IF(MOD(I48-FT_Y5,12)=0,FT_AnnivDays,1))</f>
        <v>1</v>
      </c>
      <c r="P48" s="26" t="n">
        <f aca="false">IF(K48="","",IF(AND(N48="FT",K48&lt;=$F$12),O48,0))</f>
        <v>0</v>
      </c>
      <c r="Q48" s="27" t="n">
        <v>29</v>
      </c>
      <c r="R48" s="27" t="n">
        <f aca="false">PT_First+PT_Int*28</f>
        <v>172</v>
      </c>
      <c r="S48" s="27" t="str">
        <f aca="false">INT(R48/12)&amp;"y "&amp;MOD(R48,12)&amp;"m"</f>
        <v>14y 4m</v>
      </c>
      <c r="T48" s="28" t="n">
        <f aca="false">IF($C$6&lt;&gt;"Yes","",IF(AND($F$8&lt;&gt;"",EDATE($C$8,R48)&lt;$F$8),EDATE($C$8+N($F$10),R48),EDATE($C$8+$C$17,R48)))</f>
        <v>49475</v>
      </c>
      <c r="U48" s="27" t="str">
        <f aca="false">IF(T48="","",IF(AND($C$14&lt;&gt;"",T48&gt;=$C$14),$C$15,IF(AND($C$11&lt;&gt;"",T48&gt;=$C$11),$C$12,$C$9)))</f>
        <v>Full-Time</v>
      </c>
      <c r="V48" s="26" t="n">
        <f aca="false">IF(T48="","",IF(AND($C$14&lt;&gt;"",T48&gt;=$C$14),$C$16,IF(AND($C$11&lt;&gt;"",T48&gt;=$C$11),$C$13,$C$10)))</f>
        <v>38</v>
      </c>
      <c r="W48" s="27" t="str">
        <f aca="false">IF(T48="","",IF(U48="","None",IF(IFERROR(VLOOKUP(U48,TypeTable,2,0),"None")="PT",IF(N(V48)&gt;=PT_MinHours,"PT","None"),IFERROR(VLOOKUP(U48,TypeTable,2,0),"None"))))</f>
        <v>FT</v>
      </c>
      <c r="X48" s="27" t="n">
        <v>1</v>
      </c>
      <c r="Y48" s="26" t="n">
        <f aca="false">IF(T48="","",IF(AND(W48="PT",T48&lt;=$F$12),X48,0))</f>
        <v>0</v>
      </c>
    </row>
    <row r="49" customFormat="false" ht="15" hidden="false" customHeight="false" outlineLevel="0" collapsed="false">
      <c r="H49" s="27" t="n">
        <v>30</v>
      </c>
      <c r="I49" s="27" t="n">
        <f aca="false">IF(29&lt;FT_PreY5,FT_First+FT_Int1*29,FT_Y5+FT_Int2*(29-FT_PreY5))</f>
        <v>129</v>
      </c>
      <c r="J49" s="27" t="str">
        <f aca="false">INT(I49/12)&amp;"y "&amp;MOD(I49,12)&amp;"m"</f>
        <v>10y 9m</v>
      </c>
      <c r="K49" s="28" t="n">
        <f aca="false">IF($C$6&lt;&gt;"Yes","",IF(AND($F$8&lt;&gt;"",EDATE($C$8,I49)&lt;$F$8),EDATE($C$8+N($F$10),I49),EDATE($C$8+$C$17,I49)))</f>
        <v>48167</v>
      </c>
      <c r="L49" s="27" t="str">
        <f aca="false">IF(K49="","",IF(AND($C$14&lt;&gt;"",K49&gt;=$C$14),$C$15,IF(AND($C$11&lt;&gt;"",K49&gt;=$C$11),$C$12,$C$9)))</f>
        <v>Full-Time</v>
      </c>
      <c r="M49" s="26" t="n">
        <f aca="false">IF(K49="","",IF(AND($C$14&lt;&gt;"",K49&gt;=$C$14),$C$16,IF(AND($C$11&lt;&gt;"",K49&gt;=$C$11),$C$13,$C$10)))</f>
        <v>38</v>
      </c>
      <c r="N49" s="27" t="str">
        <f aca="false">IF(K49="","",IF(L49="","None",IF(IFERROR(VLOOKUP(L49,TypeTable,2,0),"None")="PT",IF(N(M49)&gt;=PT_MinHours,"PT","None"),IFERROR(VLOOKUP(L49,TypeTable,2,0),"None"))))</f>
        <v>FT</v>
      </c>
      <c r="O49" s="27" t="n">
        <f aca="false">IF(I49&lt;FT_Y5,1,IF(MOD(I49-FT_Y5,12)=0,FT_AnnivDays,1))</f>
        <v>1</v>
      </c>
      <c r="P49" s="26" t="n">
        <f aca="false">IF(K49="","",IF(AND(N49="FT",K49&lt;=$F$12),O49,0))</f>
        <v>0</v>
      </c>
      <c r="Q49" s="27" t="n">
        <v>30</v>
      </c>
      <c r="R49" s="27" t="n">
        <f aca="false">PT_First+PT_Int*29</f>
        <v>176</v>
      </c>
      <c r="S49" s="27" t="str">
        <f aca="false">INT(R49/12)&amp;"y "&amp;MOD(R49,12)&amp;"m"</f>
        <v>14y 8m</v>
      </c>
      <c r="T49" s="28" t="n">
        <f aca="false">IF($C$6&lt;&gt;"Yes","",IF(AND($F$8&lt;&gt;"",EDATE($C$8,R49)&lt;$F$8),EDATE($C$8+N($F$10),R49),EDATE($C$8+$C$17,R49)))</f>
        <v>49597</v>
      </c>
      <c r="U49" s="27" t="str">
        <f aca="false">IF(T49="","",IF(AND($C$14&lt;&gt;"",T49&gt;=$C$14),$C$15,IF(AND($C$11&lt;&gt;"",T49&gt;=$C$11),$C$12,$C$9)))</f>
        <v>Full-Time</v>
      </c>
      <c r="V49" s="26" t="n">
        <f aca="false">IF(T49="","",IF(AND($C$14&lt;&gt;"",T49&gt;=$C$14),$C$16,IF(AND($C$11&lt;&gt;"",T49&gt;=$C$11),$C$13,$C$10)))</f>
        <v>38</v>
      </c>
      <c r="W49" s="27" t="str">
        <f aca="false">IF(T49="","",IF(U49="","None",IF(IFERROR(VLOOKUP(U49,TypeTable,2,0),"None")="PT",IF(N(V49)&gt;=PT_MinHours,"PT","None"),IFERROR(VLOOKUP(U49,TypeTable,2,0),"None"))))</f>
        <v>FT</v>
      </c>
      <c r="X49" s="27" t="n">
        <v>1</v>
      </c>
      <c r="Y49" s="26" t="n">
        <f aca="false">IF(T49="","",IF(AND(W49="PT",T49&lt;=$F$12),X49,0))</f>
        <v>0</v>
      </c>
    </row>
    <row r="50" customFormat="false" ht="15" hidden="false" customHeight="false" outlineLevel="0" collapsed="false">
      <c r="H50" s="27" t="n">
        <v>31</v>
      </c>
      <c r="I50" s="27" t="n">
        <f aca="false">IF(30&lt;FT_PreY5,FT_First+FT_Int1*30,FT_Y5+FT_Int2*(30-FT_PreY5))</f>
        <v>132</v>
      </c>
      <c r="J50" s="27" t="str">
        <f aca="false">INT(I50/12)&amp;"y "&amp;MOD(I50,12)&amp;"m"</f>
        <v>11y 0m</v>
      </c>
      <c r="K50" s="28" t="n">
        <f aca="false">IF($C$6&lt;&gt;"Yes","",IF(AND($F$8&lt;&gt;"",EDATE($C$8,I50)&lt;$F$8),EDATE($C$8+N($F$10),I50),EDATE($C$8+$C$17,I50)))</f>
        <v>48259</v>
      </c>
      <c r="L50" s="27" t="str">
        <f aca="false">IF(K50="","",IF(AND($C$14&lt;&gt;"",K50&gt;=$C$14),$C$15,IF(AND($C$11&lt;&gt;"",K50&gt;=$C$11),$C$12,$C$9)))</f>
        <v>Full-Time</v>
      </c>
      <c r="M50" s="26" t="n">
        <f aca="false">IF(K50="","",IF(AND($C$14&lt;&gt;"",K50&gt;=$C$14),$C$16,IF(AND($C$11&lt;&gt;"",K50&gt;=$C$11),$C$13,$C$10)))</f>
        <v>38</v>
      </c>
      <c r="N50" s="27" t="str">
        <f aca="false">IF(K50="","",IF(L50="","None",IF(IFERROR(VLOOKUP(L50,TypeTable,2,0),"None")="PT",IF(N(M50)&gt;=PT_MinHours,"PT","None"),IFERROR(VLOOKUP(L50,TypeTable,2,0),"None"))))</f>
        <v>FT</v>
      </c>
      <c r="O50" s="27" t="n">
        <f aca="false">IF(I50&lt;FT_Y5,1,IF(MOD(I50-FT_Y5,12)=0,FT_AnnivDays,1))</f>
        <v>2</v>
      </c>
      <c r="P50" s="26" t="n">
        <f aca="false">IF(K50="","",IF(AND(N50="FT",K50&lt;=$F$12),O50,0))</f>
        <v>0</v>
      </c>
      <c r="Q50" s="27" t="n">
        <v>31</v>
      </c>
      <c r="R50" s="27" t="n">
        <f aca="false">PT_First+PT_Int*30</f>
        <v>180</v>
      </c>
      <c r="S50" s="27" t="str">
        <f aca="false">INT(R50/12)&amp;"y "&amp;MOD(R50,12)&amp;"m"</f>
        <v>15y 0m</v>
      </c>
      <c r="T50" s="28" t="n">
        <f aca="false">IF($C$6&lt;&gt;"Yes","",IF(AND($F$8&lt;&gt;"",EDATE($C$8,R50)&lt;$F$8),EDATE($C$8+N($F$10),R50),EDATE($C$8+$C$17,R50)))</f>
        <v>49720</v>
      </c>
      <c r="U50" s="27" t="str">
        <f aca="false">IF(T50="","",IF(AND($C$14&lt;&gt;"",T50&gt;=$C$14),$C$15,IF(AND($C$11&lt;&gt;"",T50&gt;=$C$11),$C$12,$C$9)))</f>
        <v>Full-Time</v>
      </c>
      <c r="V50" s="26" t="n">
        <f aca="false">IF(T50="","",IF(AND($C$14&lt;&gt;"",T50&gt;=$C$14),$C$16,IF(AND($C$11&lt;&gt;"",T50&gt;=$C$11),$C$13,$C$10)))</f>
        <v>38</v>
      </c>
      <c r="W50" s="27" t="str">
        <f aca="false">IF(T50="","",IF(U50="","None",IF(IFERROR(VLOOKUP(U50,TypeTable,2,0),"None")="PT",IF(N(V50)&gt;=PT_MinHours,"PT","None"),IFERROR(VLOOKUP(U50,TypeTable,2,0),"None"))))</f>
        <v>FT</v>
      </c>
      <c r="X50" s="27" t="n">
        <v>1</v>
      </c>
      <c r="Y50" s="26" t="n">
        <f aca="false">IF(T50="","",IF(AND(W50="PT",T50&lt;=$F$12),X50,0))</f>
        <v>0</v>
      </c>
    </row>
    <row r="51" customFormat="false" ht="15" hidden="false" customHeight="false" outlineLevel="0" collapsed="false">
      <c r="H51" s="27" t="n">
        <v>32</v>
      </c>
      <c r="I51" s="27" t="n">
        <f aca="false">IF(31&lt;FT_PreY5,FT_First+FT_Int1*31,FT_Y5+FT_Int2*(31-FT_PreY5))</f>
        <v>135</v>
      </c>
      <c r="J51" s="27" t="str">
        <f aca="false">INT(I51/12)&amp;"y "&amp;MOD(I51,12)&amp;"m"</f>
        <v>11y 3m</v>
      </c>
      <c r="K51" s="28" t="n">
        <f aca="false">IF($C$6&lt;&gt;"Yes","",IF(AND($F$8&lt;&gt;"",EDATE($C$8,I51)&lt;$F$8),EDATE($C$8+N($F$10),I51),EDATE($C$8+$C$17,I51)))</f>
        <v>48349</v>
      </c>
      <c r="L51" s="27" t="str">
        <f aca="false">IF(K51="","",IF(AND($C$14&lt;&gt;"",K51&gt;=$C$14),$C$15,IF(AND($C$11&lt;&gt;"",K51&gt;=$C$11),$C$12,$C$9)))</f>
        <v>Full-Time</v>
      </c>
      <c r="M51" s="26" t="n">
        <f aca="false">IF(K51="","",IF(AND($C$14&lt;&gt;"",K51&gt;=$C$14),$C$16,IF(AND($C$11&lt;&gt;"",K51&gt;=$C$11),$C$13,$C$10)))</f>
        <v>38</v>
      </c>
      <c r="N51" s="27" t="str">
        <f aca="false">IF(K51="","",IF(L51="","None",IF(IFERROR(VLOOKUP(L51,TypeTable,2,0),"None")="PT",IF(N(M51)&gt;=PT_MinHours,"PT","None"),IFERROR(VLOOKUP(L51,TypeTable,2,0),"None"))))</f>
        <v>FT</v>
      </c>
      <c r="O51" s="27" t="n">
        <f aca="false">IF(I51&lt;FT_Y5,1,IF(MOD(I51-FT_Y5,12)=0,FT_AnnivDays,1))</f>
        <v>1</v>
      </c>
      <c r="P51" s="26" t="n">
        <f aca="false">IF(K51="","",IF(AND(N51="FT",K51&lt;=$F$12),O51,0))</f>
        <v>0</v>
      </c>
      <c r="Q51" s="27" t="n">
        <v>32</v>
      </c>
      <c r="R51" s="27" t="n">
        <f aca="false">PT_First+PT_Int*31</f>
        <v>184</v>
      </c>
      <c r="S51" s="27" t="str">
        <f aca="false">INT(R51/12)&amp;"y "&amp;MOD(R51,12)&amp;"m"</f>
        <v>15y 4m</v>
      </c>
      <c r="T51" s="28" t="n">
        <f aca="false">IF($C$6&lt;&gt;"Yes","",IF(AND($F$8&lt;&gt;"",EDATE($C$8,R51)&lt;$F$8),EDATE($C$8+N($F$10),R51),EDATE($C$8+$C$17,R51)))</f>
        <v>49841</v>
      </c>
      <c r="U51" s="27" t="str">
        <f aca="false">IF(T51="","",IF(AND($C$14&lt;&gt;"",T51&gt;=$C$14),$C$15,IF(AND($C$11&lt;&gt;"",T51&gt;=$C$11),$C$12,$C$9)))</f>
        <v>Full-Time</v>
      </c>
      <c r="V51" s="26" t="n">
        <f aca="false">IF(T51="","",IF(AND($C$14&lt;&gt;"",T51&gt;=$C$14),$C$16,IF(AND($C$11&lt;&gt;"",T51&gt;=$C$11),$C$13,$C$10)))</f>
        <v>38</v>
      </c>
      <c r="W51" s="27" t="str">
        <f aca="false">IF(T51="","",IF(U51="","None",IF(IFERROR(VLOOKUP(U51,TypeTable,2,0),"None")="PT",IF(N(V51)&gt;=PT_MinHours,"PT","None"),IFERROR(VLOOKUP(U51,TypeTable,2,0),"None"))))</f>
        <v>FT</v>
      </c>
      <c r="X51" s="27" t="n">
        <v>1</v>
      </c>
      <c r="Y51" s="26" t="n">
        <f aca="false">IF(T51="","",IF(AND(W51="PT",T51&lt;=$F$12),X51,0))</f>
        <v>0</v>
      </c>
    </row>
    <row r="52" customFormat="false" ht="15" hidden="false" customHeight="false" outlineLevel="0" collapsed="false">
      <c r="H52" s="27" t="n">
        <v>33</v>
      </c>
      <c r="I52" s="27" t="n">
        <f aca="false">IF(32&lt;FT_PreY5,FT_First+FT_Int1*32,FT_Y5+FT_Int2*(32-FT_PreY5))</f>
        <v>138</v>
      </c>
      <c r="J52" s="27" t="str">
        <f aca="false">INT(I52/12)&amp;"y "&amp;MOD(I52,12)&amp;"m"</f>
        <v>11y 6m</v>
      </c>
      <c r="K52" s="28" t="n">
        <f aca="false">IF($C$6&lt;&gt;"Yes","",IF(AND($F$8&lt;&gt;"",EDATE($C$8,I52)&lt;$F$8),EDATE($C$8+N($F$10),I52),EDATE($C$8+$C$17,I52)))</f>
        <v>48441</v>
      </c>
      <c r="L52" s="27" t="str">
        <f aca="false">IF(K52="","",IF(AND($C$14&lt;&gt;"",K52&gt;=$C$14),$C$15,IF(AND($C$11&lt;&gt;"",K52&gt;=$C$11),$C$12,$C$9)))</f>
        <v>Full-Time</v>
      </c>
      <c r="M52" s="26" t="n">
        <f aca="false">IF(K52="","",IF(AND($C$14&lt;&gt;"",K52&gt;=$C$14),$C$16,IF(AND($C$11&lt;&gt;"",K52&gt;=$C$11),$C$13,$C$10)))</f>
        <v>38</v>
      </c>
      <c r="N52" s="27" t="str">
        <f aca="false">IF(K52="","",IF(L52="","None",IF(IFERROR(VLOOKUP(L52,TypeTable,2,0),"None")="PT",IF(N(M52)&gt;=PT_MinHours,"PT","None"),IFERROR(VLOOKUP(L52,TypeTable,2,0),"None"))))</f>
        <v>FT</v>
      </c>
      <c r="O52" s="27" t="n">
        <f aca="false">IF(I52&lt;FT_Y5,1,IF(MOD(I52-FT_Y5,12)=0,FT_AnnivDays,1))</f>
        <v>1</v>
      </c>
      <c r="P52" s="26" t="n">
        <f aca="false">IF(K52="","",IF(AND(N52="FT",K52&lt;=$F$12),O52,0))</f>
        <v>0</v>
      </c>
      <c r="Q52" s="27" t="n">
        <v>33</v>
      </c>
      <c r="R52" s="27" t="n">
        <f aca="false">PT_First+PT_Int*32</f>
        <v>188</v>
      </c>
      <c r="S52" s="27" t="str">
        <f aca="false">INT(R52/12)&amp;"y "&amp;MOD(R52,12)&amp;"m"</f>
        <v>15y 8m</v>
      </c>
      <c r="T52" s="28" t="n">
        <f aca="false">IF($C$6&lt;&gt;"Yes","",IF(AND($F$8&lt;&gt;"",EDATE($C$8,R52)&lt;$F$8),EDATE($C$8+N($F$10),R52),EDATE($C$8+$C$17,R52)))</f>
        <v>49963</v>
      </c>
      <c r="U52" s="27" t="str">
        <f aca="false">IF(T52="","",IF(AND($C$14&lt;&gt;"",T52&gt;=$C$14),$C$15,IF(AND($C$11&lt;&gt;"",T52&gt;=$C$11),$C$12,$C$9)))</f>
        <v>Full-Time</v>
      </c>
      <c r="V52" s="26" t="n">
        <f aca="false">IF(T52="","",IF(AND($C$14&lt;&gt;"",T52&gt;=$C$14),$C$16,IF(AND($C$11&lt;&gt;"",T52&gt;=$C$11),$C$13,$C$10)))</f>
        <v>38</v>
      </c>
      <c r="W52" s="27" t="str">
        <f aca="false">IF(T52="","",IF(U52="","None",IF(IFERROR(VLOOKUP(U52,TypeTable,2,0),"None")="PT",IF(N(V52)&gt;=PT_MinHours,"PT","None"),IFERROR(VLOOKUP(U52,TypeTable,2,0),"None"))))</f>
        <v>FT</v>
      </c>
      <c r="X52" s="27" t="n">
        <v>1</v>
      </c>
      <c r="Y52" s="26" t="n">
        <f aca="false">IF(T52="","",IF(AND(W52="PT",T52&lt;=$F$12),X52,0))</f>
        <v>0</v>
      </c>
    </row>
    <row r="53" customFormat="false" ht="15" hidden="false" customHeight="false" outlineLevel="0" collapsed="false">
      <c r="H53" s="27" t="n">
        <v>34</v>
      </c>
      <c r="I53" s="27" t="n">
        <f aca="false">IF(33&lt;FT_PreY5,FT_First+FT_Int1*33,FT_Y5+FT_Int2*(33-FT_PreY5))</f>
        <v>141</v>
      </c>
      <c r="J53" s="27" t="str">
        <f aca="false">INT(I53/12)&amp;"y "&amp;MOD(I53,12)&amp;"m"</f>
        <v>11y 9m</v>
      </c>
      <c r="K53" s="28" t="n">
        <f aca="false">IF($C$6&lt;&gt;"Yes","",IF(AND($F$8&lt;&gt;"",EDATE($C$8,I53)&lt;$F$8),EDATE($C$8+N($F$10),I53),EDATE($C$8+$C$17,I53)))</f>
        <v>48533</v>
      </c>
      <c r="L53" s="27" t="str">
        <f aca="false">IF(K53="","",IF(AND($C$14&lt;&gt;"",K53&gt;=$C$14),$C$15,IF(AND($C$11&lt;&gt;"",K53&gt;=$C$11),$C$12,$C$9)))</f>
        <v>Full-Time</v>
      </c>
      <c r="M53" s="26" t="n">
        <f aca="false">IF(K53="","",IF(AND($C$14&lt;&gt;"",K53&gt;=$C$14),$C$16,IF(AND($C$11&lt;&gt;"",K53&gt;=$C$11),$C$13,$C$10)))</f>
        <v>38</v>
      </c>
      <c r="N53" s="27" t="str">
        <f aca="false">IF(K53="","",IF(L53="","None",IF(IFERROR(VLOOKUP(L53,TypeTable,2,0),"None")="PT",IF(N(M53)&gt;=PT_MinHours,"PT","None"),IFERROR(VLOOKUP(L53,TypeTable,2,0),"None"))))</f>
        <v>FT</v>
      </c>
      <c r="O53" s="27" t="n">
        <f aca="false">IF(I53&lt;FT_Y5,1,IF(MOD(I53-FT_Y5,12)=0,FT_AnnivDays,1))</f>
        <v>1</v>
      </c>
      <c r="P53" s="26" t="n">
        <f aca="false">IF(K53="","",IF(AND(N53="FT",K53&lt;=$F$12),O53,0))</f>
        <v>0</v>
      </c>
      <c r="Q53" s="27" t="n">
        <v>34</v>
      </c>
      <c r="R53" s="27" t="n">
        <f aca="false">PT_First+PT_Int*33</f>
        <v>192</v>
      </c>
      <c r="S53" s="27" t="str">
        <f aca="false">INT(R53/12)&amp;"y "&amp;MOD(R53,12)&amp;"m"</f>
        <v>16y 0m</v>
      </c>
      <c r="T53" s="28" t="n">
        <f aca="false">IF($C$6&lt;&gt;"Yes","",IF(AND($F$8&lt;&gt;"",EDATE($C$8,R53)&lt;$F$8),EDATE($C$8+N($F$10),R53),EDATE($C$8+$C$17,R53)))</f>
        <v>50086</v>
      </c>
      <c r="U53" s="27" t="str">
        <f aca="false">IF(T53="","",IF(AND($C$14&lt;&gt;"",T53&gt;=$C$14),$C$15,IF(AND($C$11&lt;&gt;"",T53&gt;=$C$11),$C$12,$C$9)))</f>
        <v>Full-Time</v>
      </c>
      <c r="V53" s="26" t="n">
        <f aca="false">IF(T53="","",IF(AND($C$14&lt;&gt;"",T53&gt;=$C$14),$C$16,IF(AND($C$11&lt;&gt;"",T53&gt;=$C$11),$C$13,$C$10)))</f>
        <v>38</v>
      </c>
      <c r="W53" s="27" t="str">
        <f aca="false">IF(T53="","",IF(U53="","None",IF(IFERROR(VLOOKUP(U53,TypeTable,2,0),"None")="PT",IF(N(V53)&gt;=PT_MinHours,"PT","None"),IFERROR(VLOOKUP(U53,TypeTable,2,0),"None"))))</f>
        <v>FT</v>
      </c>
      <c r="X53" s="27" t="n">
        <v>1</v>
      </c>
      <c r="Y53" s="26" t="n">
        <f aca="false">IF(T53="","",IF(AND(W53="PT",T53&lt;=$F$12),X53,0))</f>
        <v>0</v>
      </c>
    </row>
    <row r="54" customFormat="false" ht="15" hidden="false" customHeight="false" outlineLevel="0" collapsed="false">
      <c r="H54" s="27" t="n">
        <v>35</v>
      </c>
      <c r="I54" s="27" t="n">
        <f aca="false">IF(34&lt;FT_PreY5,FT_First+FT_Int1*34,FT_Y5+FT_Int2*(34-FT_PreY5))</f>
        <v>144</v>
      </c>
      <c r="J54" s="27" t="str">
        <f aca="false">INT(I54/12)&amp;"y "&amp;MOD(I54,12)&amp;"m"</f>
        <v>12y 0m</v>
      </c>
      <c r="K54" s="28" t="n">
        <f aca="false">IF($C$6&lt;&gt;"Yes","",IF(AND($F$8&lt;&gt;"",EDATE($C$8,I54)&lt;$F$8),EDATE($C$8+N($F$10),I54),EDATE($C$8+$C$17,I54)))</f>
        <v>48625</v>
      </c>
      <c r="L54" s="27" t="str">
        <f aca="false">IF(K54="","",IF(AND($C$14&lt;&gt;"",K54&gt;=$C$14),$C$15,IF(AND($C$11&lt;&gt;"",K54&gt;=$C$11),$C$12,$C$9)))</f>
        <v>Full-Time</v>
      </c>
      <c r="M54" s="26" t="n">
        <f aca="false">IF(K54="","",IF(AND($C$14&lt;&gt;"",K54&gt;=$C$14),$C$16,IF(AND($C$11&lt;&gt;"",K54&gt;=$C$11),$C$13,$C$10)))</f>
        <v>38</v>
      </c>
      <c r="N54" s="27" t="str">
        <f aca="false">IF(K54="","",IF(L54="","None",IF(IFERROR(VLOOKUP(L54,TypeTable,2,0),"None")="PT",IF(N(M54)&gt;=PT_MinHours,"PT","None"),IFERROR(VLOOKUP(L54,TypeTable,2,0),"None"))))</f>
        <v>FT</v>
      </c>
      <c r="O54" s="27" t="n">
        <f aca="false">IF(I54&lt;FT_Y5,1,IF(MOD(I54-FT_Y5,12)=0,FT_AnnivDays,1))</f>
        <v>2</v>
      </c>
      <c r="P54" s="26" t="n">
        <f aca="false">IF(K54="","",IF(AND(N54="FT",K54&lt;=$F$12),O54,0))</f>
        <v>0</v>
      </c>
      <c r="Q54" s="27" t="n">
        <v>35</v>
      </c>
      <c r="R54" s="27" t="n">
        <f aca="false">PT_First+PT_Int*34</f>
        <v>196</v>
      </c>
      <c r="S54" s="27" t="str">
        <f aca="false">INT(R54/12)&amp;"y "&amp;MOD(R54,12)&amp;"m"</f>
        <v>16y 4m</v>
      </c>
      <c r="T54" s="28" t="n">
        <f aca="false">IF($C$6&lt;&gt;"Yes","",IF(AND($F$8&lt;&gt;"",EDATE($C$8,R54)&lt;$F$8),EDATE($C$8+N($F$10),R54),EDATE($C$8+$C$17,R54)))</f>
        <v>50206</v>
      </c>
      <c r="U54" s="27" t="str">
        <f aca="false">IF(T54="","",IF(AND($C$14&lt;&gt;"",T54&gt;=$C$14),$C$15,IF(AND($C$11&lt;&gt;"",T54&gt;=$C$11),$C$12,$C$9)))</f>
        <v>Full-Time</v>
      </c>
      <c r="V54" s="26" t="n">
        <f aca="false">IF(T54="","",IF(AND($C$14&lt;&gt;"",T54&gt;=$C$14),$C$16,IF(AND($C$11&lt;&gt;"",T54&gt;=$C$11),$C$13,$C$10)))</f>
        <v>38</v>
      </c>
      <c r="W54" s="27" t="str">
        <f aca="false">IF(T54="","",IF(U54="","None",IF(IFERROR(VLOOKUP(U54,TypeTable,2,0),"None")="PT",IF(N(V54)&gt;=PT_MinHours,"PT","None"),IFERROR(VLOOKUP(U54,TypeTable,2,0),"None"))))</f>
        <v>FT</v>
      </c>
      <c r="X54" s="27" t="n">
        <v>1</v>
      </c>
      <c r="Y54" s="26" t="n">
        <f aca="false">IF(T54="","",IF(AND(W54="PT",T54&lt;=$F$12),X54,0))</f>
        <v>0</v>
      </c>
    </row>
    <row r="55" customFormat="false" ht="15" hidden="false" customHeight="false" outlineLevel="0" collapsed="false">
      <c r="H55" s="27" t="n">
        <v>36</v>
      </c>
      <c r="I55" s="27" t="n">
        <f aca="false">IF(35&lt;FT_PreY5,FT_First+FT_Int1*35,FT_Y5+FT_Int2*(35-FT_PreY5))</f>
        <v>147</v>
      </c>
      <c r="J55" s="27" t="str">
        <f aca="false">INT(I55/12)&amp;"y "&amp;MOD(I55,12)&amp;"m"</f>
        <v>12y 3m</v>
      </c>
      <c r="K55" s="28" t="n">
        <f aca="false">IF($C$6&lt;&gt;"Yes","",IF(AND($F$8&lt;&gt;"",EDATE($C$8,I55)&lt;$F$8),EDATE($C$8+N($F$10),I55),EDATE($C$8+$C$17,I55)))</f>
        <v>48714</v>
      </c>
      <c r="L55" s="27" t="str">
        <f aca="false">IF(K55="","",IF(AND($C$14&lt;&gt;"",K55&gt;=$C$14),$C$15,IF(AND($C$11&lt;&gt;"",K55&gt;=$C$11),$C$12,$C$9)))</f>
        <v>Full-Time</v>
      </c>
      <c r="M55" s="26" t="n">
        <f aca="false">IF(K55="","",IF(AND($C$14&lt;&gt;"",K55&gt;=$C$14),$C$16,IF(AND($C$11&lt;&gt;"",K55&gt;=$C$11),$C$13,$C$10)))</f>
        <v>38</v>
      </c>
      <c r="N55" s="27" t="str">
        <f aca="false">IF(K55="","",IF(L55="","None",IF(IFERROR(VLOOKUP(L55,TypeTable,2,0),"None")="PT",IF(N(M55)&gt;=PT_MinHours,"PT","None"),IFERROR(VLOOKUP(L55,TypeTable,2,0),"None"))))</f>
        <v>FT</v>
      </c>
      <c r="O55" s="27" t="n">
        <f aca="false">IF(I55&lt;FT_Y5,1,IF(MOD(I55-FT_Y5,12)=0,FT_AnnivDays,1))</f>
        <v>1</v>
      </c>
      <c r="P55" s="26" t="n">
        <f aca="false">IF(K55="","",IF(AND(N55="FT",K55&lt;=$F$12),O55,0))</f>
        <v>0</v>
      </c>
      <c r="Q55" s="27" t="n">
        <v>36</v>
      </c>
      <c r="R55" s="27" t="n">
        <f aca="false">PT_First+PT_Int*35</f>
        <v>200</v>
      </c>
      <c r="S55" s="27" t="str">
        <f aca="false">INT(R55/12)&amp;"y "&amp;MOD(R55,12)&amp;"m"</f>
        <v>16y 8m</v>
      </c>
      <c r="T55" s="28" t="n">
        <f aca="false">IF($C$6&lt;&gt;"Yes","",IF(AND($F$8&lt;&gt;"",EDATE($C$8,R55)&lt;$F$8),EDATE($C$8+N($F$10),R55),EDATE($C$8+$C$17,R55)))</f>
        <v>50328</v>
      </c>
      <c r="U55" s="27" t="str">
        <f aca="false">IF(T55="","",IF(AND($C$14&lt;&gt;"",T55&gt;=$C$14),$C$15,IF(AND($C$11&lt;&gt;"",T55&gt;=$C$11),$C$12,$C$9)))</f>
        <v>Full-Time</v>
      </c>
      <c r="V55" s="26" t="n">
        <f aca="false">IF(T55="","",IF(AND($C$14&lt;&gt;"",T55&gt;=$C$14),$C$16,IF(AND($C$11&lt;&gt;"",T55&gt;=$C$11),$C$13,$C$10)))</f>
        <v>38</v>
      </c>
      <c r="W55" s="27" t="str">
        <f aca="false">IF(T55="","",IF(U55="","None",IF(IFERROR(VLOOKUP(U55,TypeTable,2,0),"None")="PT",IF(N(V55)&gt;=PT_MinHours,"PT","None"),IFERROR(VLOOKUP(U55,TypeTable,2,0),"None"))))</f>
        <v>FT</v>
      </c>
      <c r="X55" s="27" t="n">
        <v>1</v>
      </c>
      <c r="Y55" s="26" t="n">
        <f aca="false">IF(T55="","",IF(AND(W55="PT",T55&lt;=$F$12),X55,0))</f>
        <v>0</v>
      </c>
    </row>
    <row r="56" customFormat="false" ht="15" hidden="false" customHeight="false" outlineLevel="0" collapsed="false">
      <c r="H56" s="27" t="n">
        <v>37</v>
      </c>
      <c r="I56" s="27" t="n">
        <f aca="false">IF(36&lt;FT_PreY5,FT_First+FT_Int1*36,FT_Y5+FT_Int2*(36-FT_PreY5))</f>
        <v>150</v>
      </c>
      <c r="J56" s="27" t="str">
        <f aca="false">INT(I56/12)&amp;"y "&amp;MOD(I56,12)&amp;"m"</f>
        <v>12y 6m</v>
      </c>
      <c r="K56" s="28" t="n">
        <f aca="false">IF($C$6&lt;&gt;"Yes","",IF(AND($F$8&lt;&gt;"",EDATE($C$8,I56)&lt;$F$8),EDATE($C$8+N($F$10),I56),EDATE($C$8+$C$17,I56)))</f>
        <v>48806</v>
      </c>
      <c r="L56" s="27" t="str">
        <f aca="false">IF(K56="","",IF(AND($C$14&lt;&gt;"",K56&gt;=$C$14),$C$15,IF(AND($C$11&lt;&gt;"",K56&gt;=$C$11),$C$12,$C$9)))</f>
        <v>Full-Time</v>
      </c>
      <c r="M56" s="26" t="n">
        <f aca="false">IF(K56="","",IF(AND($C$14&lt;&gt;"",K56&gt;=$C$14),$C$16,IF(AND($C$11&lt;&gt;"",K56&gt;=$C$11),$C$13,$C$10)))</f>
        <v>38</v>
      </c>
      <c r="N56" s="27" t="str">
        <f aca="false">IF(K56="","",IF(L56="","None",IF(IFERROR(VLOOKUP(L56,TypeTable,2,0),"None")="PT",IF(N(M56)&gt;=PT_MinHours,"PT","None"),IFERROR(VLOOKUP(L56,TypeTable,2,0),"None"))))</f>
        <v>FT</v>
      </c>
      <c r="O56" s="27" t="n">
        <f aca="false">IF(I56&lt;FT_Y5,1,IF(MOD(I56-FT_Y5,12)=0,FT_AnnivDays,1))</f>
        <v>1</v>
      </c>
      <c r="P56" s="26" t="n">
        <f aca="false">IF(K56="","",IF(AND(N56="FT",K56&lt;=$F$12),O56,0))</f>
        <v>0</v>
      </c>
      <c r="Q56" s="27" t="n">
        <v>37</v>
      </c>
      <c r="R56" s="27" t="n">
        <f aca="false">PT_First+PT_Int*36</f>
        <v>204</v>
      </c>
      <c r="S56" s="27" t="str">
        <f aca="false">INT(R56/12)&amp;"y "&amp;MOD(R56,12)&amp;"m"</f>
        <v>17y 0m</v>
      </c>
      <c r="T56" s="28" t="n">
        <f aca="false">IF($C$6&lt;&gt;"Yes","",IF(AND($F$8&lt;&gt;"",EDATE($C$8,R56)&lt;$F$8),EDATE($C$8+N($F$10),R56),EDATE($C$8+$C$17,R56)))</f>
        <v>50451</v>
      </c>
      <c r="U56" s="27" t="str">
        <f aca="false">IF(T56="","",IF(AND($C$14&lt;&gt;"",T56&gt;=$C$14),$C$15,IF(AND($C$11&lt;&gt;"",T56&gt;=$C$11),$C$12,$C$9)))</f>
        <v>Full-Time</v>
      </c>
      <c r="V56" s="26" t="n">
        <f aca="false">IF(T56="","",IF(AND($C$14&lt;&gt;"",T56&gt;=$C$14),$C$16,IF(AND($C$11&lt;&gt;"",T56&gt;=$C$11),$C$13,$C$10)))</f>
        <v>38</v>
      </c>
      <c r="W56" s="27" t="str">
        <f aca="false">IF(T56="","",IF(U56="","None",IF(IFERROR(VLOOKUP(U56,TypeTable,2,0),"None")="PT",IF(N(V56)&gt;=PT_MinHours,"PT","None"),IFERROR(VLOOKUP(U56,TypeTable,2,0),"None"))))</f>
        <v>FT</v>
      </c>
      <c r="X56" s="27" t="n">
        <v>1</v>
      </c>
      <c r="Y56" s="26" t="n">
        <f aca="false">IF(T56="","",IF(AND(W56="PT",T56&lt;=$F$12),X56,0))</f>
        <v>0</v>
      </c>
    </row>
    <row r="57" customFormat="false" ht="15" hidden="false" customHeight="false" outlineLevel="0" collapsed="false">
      <c r="H57" s="27" t="n">
        <v>38</v>
      </c>
      <c r="I57" s="27" t="n">
        <f aca="false">IF(37&lt;FT_PreY5,FT_First+FT_Int1*37,FT_Y5+FT_Int2*(37-FT_PreY5))</f>
        <v>153</v>
      </c>
      <c r="J57" s="27" t="str">
        <f aca="false">INT(I57/12)&amp;"y "&amp;MOD(I57,12)&amp;"m"</f>
        <v>12y 9m</v>
      </c>
      <c r="K57" s="28" t="n">
        <f aca="false">IF($C$6&lt;&gt;"Yes","",IF(AND($F$8&lt;&gt;"",EDATE($C$8,I57)&lt;$F$8),EDATE($C$8+N($F$10),I57),EDATE($C$8+$C$17,I57)))</f>
        <v>48898</v>
      </c>
      <c r="L57" s="27" t="str">
        <f aca="false">IF(K57="","",IF(AND($C$14&lt;&gt;"",K57&gt;=$C$14),$C$15,IF(AND($C$11&lt;&gt;"",K57&gt;=$C$11),$C$12,$C$9)))</f>
        <v>Full-Time</v>
      </c>
      <c r="M57" s="26" t="n">
        <f aca="false">IF(K57="","",IF(AND($C$14&lt;&gt;"",K57&gt;=$C$14),$C$16,IF(AND($C$11&lt;&gt;"",K57&gt;=$C$11),$C$13,$C$10)))</f>
        <v>38</v>
      </c>
      <c r="N57" s="27" t="str">
        <f aca="false">IF(K57="","",IF(L57="","None",IF(IFERROR(VLOOKUP(L57,TypeTable,2,0),"None")="PT",IF(N(M57)&gt;=PT_MinHours,"PT","None"),IFERROR(VLOOKUP(L57,TypeTable,2,0),"None"))))</f>
        <v>FT</v>
      </c>
      <c r="O57" s="27" t="n">
        <f aca="false">IF(I57&lt;FT_Y5,1,IF(MOD(I57-FT_Y5,12)=0,FT_AnnivDays,1))</f>
        <v>1</v>
      </c>
      <c r="P57" s="26" t="n">
        <f aca="false">IF(K57="","",IF(AND(N57="FT",K57&lt;=$F$12),O57,0))</f>
        <v>0</v>
      </c>
      <c r="Q57" s="27" t="n">
        <v>38</v>
      </c>
      <c r="R57" s="27" t="n">
        <f aca="false">PT_First+PT_Int*37</f>
        <v>208</v>
      </c>
      <c r="S57" s="27" t="str">
        <f aca="false">INT(R57/12)&amp;"y "&amp;MOD(R57,12)&amp;"m"</f>
        <v>17y 4m</v>
      </c>
      <c r="T57" s="28" t="n">
        <f aca="false">IF($C$6&lt;&gt;"Yes","",IF(AND($F$8&lt;&gt;"",EDATE($C$8,R57)&lt;$F$8),EDATE($C$8+N($F$10),R57),EDATE($C$8+$C$17,R57)))</f>
        <v>50571</v>
      </c>
      <c r="U57" s="27" t="str">
        <f aca="false">IF(T57="","",IF(AND($C$14&lt;&gt;"",T57&gt;=$C$14),$C$15,IF(AND($C$11&lt;&gt;"",T57&gt;=$C$11),$C$12,$C$9)))</f>
        <v>Full-Time</v>
      </c>
      <c r="V57" s="26" t="n">
        <f aca="false">IF(T57="","",IF(AND($C$14&lt;&gt;"",T57&gt;=$C$14),$C$16,IF(AND($C$11&lt;&gt;"",T57&gt;=$C$11),$C$13,$C$10)))</f>
        <v>38</v>
      </c>
      <c r="W57" s="27" t="str">
        <f aca="false">IF(T57="","",IF(U57="","None",IF(IFERROR(VLOOKUP(U57,TypeTable,2,0),"None")="PT",IF(N(V57)&gt;=PT_MinHours,"PT","None"),IFERROR(VLOOKUP(U57,TypeTable,2,0),"None"))))</f>
        <v>FT</v>
      </c>
      <c r="X57" s="27" t="n">
        <v>1</v>
      </c>
      <c r="Y57" s="26" t="n">
        <f aca="false">IF(T57="","",IF(AND(W57="PT",T57&lt;=$F$12),X57,0))</f>
        <v>0</v>
      </c>
    </row>
    <row r="58" customFormat="false" ht="15" hidden="false" customHeight="false" outlineLevel="0" collapsed="false">
      <c r="H58" s="27" t="n">
        <v>39</v>
      </c>
      <c r="I58" s="27" t="n">
        <f aca="false">IF(38&lt;FT_PreY5,FT_First+FT_Int1*38,FT_Y5+FT_Int2*(38-FT_PreY5))</f>
        <v>156</v>
      </c>
      <c r="J58" s="27" t="str">
        <f aca="false">INT(I58/12)&amp;"y "&amp;MOD(I58,12)&amp;"m"</f>
        <v>13y 0m</v>
      </c>
      <c r="K58" s="28" t="n">
        <f aca="false">IF($C$6&lt;&gt;"Yes","",IF(AND($F$8&lt;&gt;"",EDATE($C$8,I58)&lt;$F$8),EDATE($C$8+N($F$10),I58),EDATE($C$8+$C$17,I58)))</f>
        <v>48990</v>
      </c>
      <c r="L58" s="27" t="str">
        <f aca="false">IF(K58="","",IF(AND($C$14&lt;&gt;"",K58&gt;=$C$14),$C$15,IF(AND($C$11&lt;&gt;"",K58&gt;=$C$11),$C$12,$C$9)))</f>
        <v>Full-Time</v>
      </c>
      <c r="M58" s="26" t="n">
        <f aca="false">IF(K58="","",IF(AND($C$14&lt;&gt;"",K58&gt;=$C$14),$C$16,IF(AND($C$11&lt;&gt;"",K58&gt;=$C$11),$C$13,$C$10)))</f>
        <v>38</v>
      </c>
      <c r="N58" s="27" t="str">
        <f aca="false">IF(K58="","",IF(L58="","None",IF(IFERROR(VLOOKUP(L58,TypeTable,2,0),"None")="PT",IF(N(M58)&gt;=PT_MinHours,"PT","None"),IFERROR(VLOOKUP(L58,TypeTable,2,0),"None"))))</f>
        <v>FT</v>
      </c>
      <c r="O58" s="27" t="n">
        <f aca="false">IF(I58&lt;FT_Y5,1,IF(MOD(I58-FT_Y5,12)=0,FT_AnnivDays,1))</f>
        <v>2</v>
      </c>
      <c r="P58" s="26" t="n">
        <f aca="false">IF(K58="","",IF(AND(N58="FT",K58&lt;=$F$12),O58,0))</f>
        <v>0</v>
      </c>
      <c r="Q58" s="27" t="n">
        <v>39</v>
      </c>
      <c r="R58" s="27" t="n">
        <f aca="false">PT_First+PT_Int*38</f>
        <v>212</v>
      </c>
      <c r="S58" s="27" t="str">
        <f aca="false">INT(R58/12)&amp;"y "&amp;MOD(R58,12)&amp;"m"</f>
        <v>17y 8m</v>
      </c>
      <c r="T58" s="28" t="n">
        <f aca="false">IF($C$6&lt;&gt;"Yes","",IF(AND($F$8&lt;&gt;"",EDATE($C$8,R58)&lt;$F$8),EDATE($C$8+N($F$10),R58),EDATE($C$8+$C$17,R58)))</f>
        <v>50693</v>
      </c>
      <c r="U58" s="27" t="str">
        <f aca="false">IF(T58="","",IF(AND($C$14&lt;&gt;"",T58&gt;=$C$14),$C$15,IF(AND($C$11&lt;&gt;"",T58&gt;=$C$11),$C$12,$C$9)))</f>
        <v>Full-Time</v>
      </c>
      <c r="V58" s="26" t="n">
        <f aca="false">IF(T58="","",IF(AND($C$14&lt;&gt;"",T58&gt;=$C$14),$C$16,IF(AND($C$11&lt;&gt;"",T58&gt;=$C$11),$C$13,$C$10)))</f>
        <v>38</v>
      </c>
      <c r="W58" s="27" t="str">
        <f aca="false">IF(T58="","",IF(U58="","None",IF(IFERROR(VLOOKUP(U58,TypeTable,2,0),"None")="PT",IF(N(V58)&gt;=PT_MinHours,"PT","None"),IFERROR(VLOOKUP(U58,TypeTable,2,0),"None"))))</f>
        <v>FT</v>
      </c>
      <c r="X58" s="27" t="n">
        <v>1</v>
      </c>
      <c r="Y58" s="26" t="n">
        <f aca="false">IF(T58="","",IF(AND(W58="PT",T58&lt;=$F$12),X58,0))</f>
        <v>0</v>
      </c>
    </row>
    <row r="59" customFormat="false" ht="15" hidden="false" customHeight="false" outlineLevel="0" collapsed="false">
      <c r="H59" s="27" t="n">
        <v>40</v>
      </c>
      <c r="I59" s="27" t="n">
        <f aca="false">IF(39&lt;FT_PreY5,FT_First+FT_Int1*39,FT_Y5+FT_Int2*(39-FT_PreY5))</f>
        <v>159</v>
      </c>
      <c r="J59" s="27" t="str">
        <f aca="false">INT(I59/12)&amp;"y "&amp;MOD(I59,12)&amp;"m"</f>
        <v>13y 3m</v>
      </c>
      <c r="K59" s="28" t="n">
        <f aca="false">IF($C$6&lt;&gt;"Yes","",IF(AND($F$8&lt;&gt;"",EDATE($C$8,I59)&lt;$F$8),EDATE($C$8+N($F$10),I59),EDATE($C$8+$C$17,I59)))</f>
        <v>49079</v>
      </c>
      <c r="L59" s="27" t="str">
        <f aca="false">IF(K59="","",IF(AND($C$14&lt;&gt;"",K59&gt;=$C$14),$C$15,IF(AND($C$11&lt;&gt;"",K59&gt;=$C$11),$C$12,$C$9)))</f>
        <v>Full-Time</v>
      </c>
      <c r="M59" s="26" t="n">
        <f aca="false">IF(K59="","",IF(AND($C$14&lt;&gt;"",K59&gt;=$C$14),$C$16,IF(AND($C$11&lt;&gt;"",K59&gt;=$C$11),$C$13,$C$10)))</f>
        <v>38</v>
      </c>
      <c r="N59" s="27" t="str">
        <f aca="false">IF(K59="","",IF(L59="","None",IF(IFERROR(VLOOKUP(L59,TypeTable,2,0),"None")="PT",IF(N(M59)&gt;=PT_MinHours,"PT","None"),IFERROR(VLOOKUP(L59,TypeTable,2,0),"None"))))</f>
        <v>FT</v>
      </c>
      <c r="O59" s="27" t="n">
        <f aca="false">IF(I59&lt;FT_Y5,1,IF(MOD(I59-FT_Y5,12)=0,FT_AnnivDays,1))</f>
        <v>1</v>
      </c>
      <c r="P59" s="26" t="n">
        <f aca="false">IF(K59="","",IF(AND(N59="FT",K59&lt;=$F$12),O59,0))</f>
        <v>0</v>
      </c>
      <c r="Q59" s="27" t="n">
        <v>40</v>
      </c>
      <c r="R59" s="27" t="n">
        <f aca="false">PT_First+PT_Int*39</f>
        <v>216</v>
      </c>
      <c r="S59" s="27" t="str">
        <f aca="false">INT(R59/12)&amp;"y "&amp;MOD(R59,12)&amp;"m"</f>
        <v>18y 0m</v>
      </c>
      <c r="T59" s="28" t="n">
        <f aca="false">IF($C$6&lt;&gt;"Yes","",IF(AND($F$8&lt;&gt;"",EDATE($C$8,R59)&lt;$F$8),EDATE($C$8+N($F$10),R59),EDATE($C$8+$C$17,R59)))</f>
        <v>50816</v>
      </c>
      <c r="U59" s="27" t="str">
        <f aca="false">IF(T59="","",IF(AND($C$14&lt;&gt;"",T59&gt;=$C$14),$C$15,IF(AND($C$11&lt;&gt;"",T59&gt;=$C$11),$C$12,$C$9)))</f>
        <v>Full-Time</v>
      </c>
      <c r="V59" s="26" t="n">
        <f aca="false">IF(T59="","",IF(AND($C$14&lt;&gt;"",T59&gt;=$C$14),$C$16,IF(AND($C$11&lt;&gt;"",T59&gt;=$C$11),$C$13,$C$10)))</f>
        <v>38</v>
      </c>
      <c r="W59" s="27" t="str">
        <f aca="false">IF(T59="","",IF(U59="","None",IF(IFERROR(VLOOKUP(U59,TypeTable,2,0),"None")="PT",IF(N(V59)&gt;=PT_MinHours,"PT","None"),IFERROR(VLOOKUP(U59,TypeTable,2,0),"None"))))</f>
        <v>FT</v>
      </c>
      <c r="X59" s="27" t="n">
        <v>1</v>
      </c>
      <c r="Y59" s="26" t="n">
        <f aca="false">IF(T59="","",IF(AND(W59="PT",T59&lt;=$F$12),X59,0))</f>
        <v>0</v>
      </c>
    </row>
    <row r="60" customFormat="false" ht="15" hidden="false" customHeight="false" outlineLevel="0" collapsed="false">
      <c r="H60" s="27" t="n">
        <v>41</v>
      </c>
      <c r="I60" s="27" t="n">
        <f aca="false">IF(40&lt;FT_PreY5,FT_First+FT_Int1*40,FT_Y5+FT_Int2*(40-FT_PreY5))</f>
        <v>162</v>
      </c>
      <c r="J60" s="27" t="str">
        <f aca="false">INT(I60/12)&amp;"y "&amp;MOD(I60,12)&amp;"m"</f>
        <v>13y 6m</v>
      </c>
      <c r="K60" s="28" t="n">
        <f aca="false">IF($C$6&lt;&gt;"Yes","",IF(AND($F$8&lt;&gt;"",EDATE($C$8,I60)&lt;$F$8),EDATE($C$8+N($F$10),I60),EDATE($C$8+$C$17,I60)))</f>
        <v>49171</v>
      </c>
      <c r="L60" s="27" t="str">
        <f aca="false">IF(K60="","",IF(AND($C$14&lt;&gt;"",K60&gt;=$C$14),$C$15,IF(AND($C$11&lt;&gt;"",K60&gt;=$C$11),$C$12,$C$9)))</f>
        <v>Full-Time</v>
      </c>
      <c r="M60" s="26" t="n">
        <f aca="false">IF(K60="","",IF(AND($C$14&lt;&gt;"",K60&gt;=$C$14),$C$16,IF(AND($C$11&lt;&gt;"",K60&gt;=$C$11),$C$13,$C$10)))</f>
        <v>38</v>
      </c>
      <c r="N60" s="27" t="str">
        <f aca="false">IF(K60="","",IF(L60="","None",IF(IFERROR(VLOOKUP(L60,TypeTable,2,0),"None")="PT",IF(N(M60)&gt;=PT_MinHours,"PT","None"),IFERROR(VLOOKUP(L60,TypeTable,2,0),"None"))))</f>
        <v>FT</v>
      </c>
      <c r="O60" s="27" t="n">
        <f aca="false">IF(I60&lt;FT_Y5,1,IF(MOD(I60-FT_Y5,12)=0,FT_AnnivDays,1))</f>
        <v>1</v>
      </c>
      <c r="P60" s="26" t="n">
        <f aca="false">IF(K60="","",IF(AND(N60="FT",K60&lt;=$F$12),O60,0))</f>
        <v>0</v>
      </c>
      <c r="Q60" s="27" t="n">
        <v>41</v>
      </c>
      <c r="R60" s="27" t="n">
        <f aca="false">PT_First+PT_Int*40</f>
        <v>220</v>
      </c>
      <c r="S60" s="27" t="str">
        <f aca="false">INT(R60/12)&amp;"y "&amp;MOD(R60,12)&amp;"m"</f>
        <v>18y 4m</v>
      </c>
      <c r="T60" s="28" t="n">
        <f aca="false">IF($C$6&lt;&gt;"Yes","",IF(AND($F$8&lt;&gt;"",EDATE($C$8,R60)&lt;$F$8),EDATE($C$8+N($F$10),R60),EDATE($C$8+$C$17,R60)))</f>
        <v>50936</v>
      </c>
      <c r="U60" s="27" t="str">
        <f aca="false">IF(T60="","",IF(AND($C$14&lt;&gt;"",T60&gt;=$C$14),$C$15,IF(AND($C$11&lt;&gt;"",T60&gt;=$C$11),$C$12,$C$9)))</f>
        <v>Full-Time</v>
      </c>
      <c r="V60" s="26" t="n">
        <f aca="false">IF(T60="","",IF(AND($C$14&lt;&gt;"",T60&gt;=$C$14),$C$16,IF(AND($C$11&lt;&gt;"",T60&gt;=$C$11),$C$13,$C$10)))</f>
        <v>38</v>
      </c>
      <c r="W60" s="27" t="str">
        <f aca="false">IF(T60="","",IF(U60="","None",IF(IFERROR(VLOOKUP(U60,TypeTable,2,0),"None")="PT",IF(N(V60)&gt;=PT_MinHours,"PT","None"),IFERROR(VLOOKUP(U60,TypeTable,2,0),"None"))))</f>
        <v>FT</v>
      </c>
      <c r="X60" s="27" t="n">
        <v>1</v>
      </c>
      <c r="Y60" s="26" t="n">
        <f aca="false">IF(T60="","",IF(AND(W60="PT",T60&lt;=$F$12),X60,0))</f>
        <v>0</v>
      </c>
    </row>
    <row r="61" customFormat="false" ht="15" hidden="false" customHeight="false" outlineLevel="0" collapsed="false">
      <c r="H61" s="27" t="n">
        <v>42</v>
      </c>
      <c r="I61" s="27" t="n">
        <f aca="false">IF(41&lt;FT_PreY5,FT_First+FT_Int1*41,FT_Y5+FT_Int2*(41-FT_PreY5))</f>
        <v>165</v>
      </c>
      <c r="J61" s="27" t="str">
        <f aca="false">INT(I61/12)&amp;"y "&amp;MOD(I61,12)&amp;"m"</f>
        <v>13y 9m</v>
      </c>
      <c r="K61" s="28" t="n">
        <f aca="false">IF($C$6&lt;&gt;"Yes","",IF(AND($F$8&lt;&gt;"",EDATE($C$8,I61)&lt;$F$8),EDATE($C$8+N($F$10),I61),EDATE($C$8+$C$17,I61)))</f>
        <v>49263</v>
      </c>
      <c r="L61" s="27" t="str">
        <f aca="false">IF(K61="","",IF(AND($C$14&lt;&gt;"",K61&gt;=$C$14),$C$15,IF(AND($C$11&lt;&gt;"",K61&gt;=$C$11),$C$12,$C$9)))</f>
        <v>Full-Time</v>
      </c>
      <c r="M61" s="26" t="n">
        <f aca="false">IF(K61="","",IF(AND($C$14&lt;&gt;"",K61&gt;=$C$14),$C$16,IF(AND($C$11&lt;&gt;"",K61&gt;=$C$11),$C$13,$C$10)))</f>
        <v>38</v>
      </c>
      <c r="N61" s="27" t="str">
        <f aca="false">IF(K61="","",IF(L61="","None",IF(IFERROR(VLOOKUP(L61,TypeTable,2,0),"None")="PT",IF(N(M61)&gt;=PT_MinHours,"PT","None"),IFERROR(VLOOKUP(L61,TypeTable,2,0),"None"))))</f>
        <v>FT</v>
      </c>
      <c r="O61" s="27" t="n">
        <f aca="false">IF(I61&lt;FT_Y5,1,IF(MOD(I61-FT_Y5,12)=0,FT_AnnivDays,1))</f>
        <v>1</v>
      </c>
      <c r="P61" s="26" t="n">
        <f aca="false">IF(K61="","",IF(AND(N61="FT",K61&lt;=$F$12),O61,0))</f>
        <v>0</v>
      </c>
      <c r="Q61" s="27" t="n">
        <v>42</v>
      </c>
      <c r="R61" s="27" t="n">
        <f aca="false">PT_First+PT_Int*41</f>
        <v>224</v>
      </c>
      <c r="S61" s="27" t="str">
        <f aca="false">INT(R61/12)&amp;"y "&amp;MOD(R61,12)&amp;"m"</f>
        <v>18y 8m</v>
      </c>
      <c r="T61" s="28" t="n">
        <f aca="false">IF($C$6&lt;&gt;"Yes","",IF(AND($F$8&lt;&gt;"",EDATE($C$8,R61)&lt;$F$8),EDATE($C$8+N($F$10),R61),EDATE($C$8+$C$17,R61)))</f>
        <v>51058</v>
      </c>
      <c r="U61" s="27" t="str">
        <f aca="false">IF(T61="","",IF(AND($C$14&lt;&gt;"",T61&gt;=$C$14),$C$15,IF(AND($C$11&lt;&gt;"",T61&gt;=$C$11),$C$12,$C$9)))</f>
        <v>Full-Time</v>
      </c>
      <c r="V61" s="26" t="n">
        <f aca="false">IF(T61="","",IF(AND($C$14&lt;&gt;"",T61&gt;=$C$14),$C$16,IF(AND($C$11&lt;&gt;"",T61&gt;=$C$11),$C$13,$C$10)))</f>
        <v>38</v>
      </c>
      <c r="W61" s="27" t="str">
        <f aca="false">IF(T61="","",IF(U61="","None",IF(IFERROR(VLOOKUP(U61,TypeTable,2,0),"None")="PT",IF(N(V61)&gt;=PT_MinHours,"PT","None"),IFERROR(VLOOKUP(U61,TypeTable,2,0),"None"))))</f>
        <v>FT</v>
      </c>
      <c r="X61" s="27" t="n">
        <v>1</v>
      </c>
      <c r="Y61" s="26" t="n">
        <f aca="false">IF(T61="","",IF(AND(W61="PT",T61&lt;=$F$12),X61,0))</f>
        <v>0</v>
      </c>
    </row>
    <row r="62" customFormat="false" ht="15" hidden="false" customHeight="false" outlineLevel="0" collapsed="false">
      <c r="H62" s="27" t="n">
        <v>43</v>
      </c>
      <c r="I62" s="27" t="n">
        <f aca="false">IF(42&lt;FT_PreY5,FT_First+FT_Int1*42,FT_Y5+FT_Int2*(42-FT_PreY5))</f>
        <v>168</v>
      </c>
      <c r="J62" s="27" t="str">
        <f aca="false">INT(I62/12)&amp;"y "&amp;MOD(I62,12)&amp;"m"</f>
        <v>14y 0m</v>
      </c>
      <c r="K62" s="28" t="n">
        <f aca="false">IF($C$6&lt;&gt;"Yes","",IF(AND($F$8&lt;&gt;"",EDATE($C$8,I62)&lt;$F$8),EDATE($C$8+N($F$10),I62),EDATE($C$8+$C$17,I62)))</f>
        <v>49355</v>
      </c>
      <c r="L62" s="27" t="str">
        <f aca="false">IF(K62="","",IF(AND($C$14&lt;&gt;"",K62&gt;=$C$14),$C$15,IF(AND($C$11&lt;&gt;"",K62&gt;=$C$11),$C$12,$C$9)))</f>
        <v>Full-Time</v>
      </c>
      <c r="M62" s="26" t="n">
        <f aca="false">IF(K62="","",IF(AND($C$14&lt;&gt;"",K62&gt;=$C$14),$C$16,IF(AND($C$11&lt;&gt;"",K62&gt;=$C$11),$C$13,$C$10)))</f>
        <v>38</v>
      </c>
      <c r="N62" s="27" t="str">
        <f aca="false">IF(K62="","",IF(L62="","None",IF(IFERROR(VLOOKUP(L62,TypeTable,2,0),"None")="PT",IF(N(M62)&gt;=PT_MinHours,"PT","None"),IFERROR(VLOOKUP(L62,TypeTable,2,0),"None"))))</f>
        <v>FT</v>
      </c>
      <c r="O62" s="27" t="n">
        <f aca="false">IF(I62&lt;FT_Y5,1,IF(MOD(I62-FT_Y5,12)=0,FT_AnnivDays,1))</f>
        <v>2</v>
      </c>
      <c r="P62" s="26" t="n">
        <f aca="false">IF(K62="","",IF(AND(N62="FT",K62&lt;=$F$12),O62,0))</f>
        <v>0</v>
      </c>
      <c r="Q62" s="27" t="n">
        <v>43</v>
      </c>
      <c r="R62" s="27" t="n">
        <f aca="false">PT_First+PT_Int*42</f>
        <v>228</v>
      </c>
      <c r="S62" s="27" t="str">
        <f aca="false">INT(R62/12)&amp;"y "&amp;MOD(R62,12)&amp;"m"</f>
        <v>19y 0m</v>
      </c>
      <c r="T62" s="28" t="n">
        <f aca="false">IF($C$6&lt;&gt;"Yes","",IF(AND($F$8&lt;&gt;"",EDATE($C$8,R62)&lt;$F$8),EDATE($C$8+N($F$10),R62),EDATE($C$8+$C$17,R62)))</f>
        <v>51181</v>
      </c>
      <c r="U62" s="27" t="str">
        <f aca="false">IF(T62="","",IF(AND($C$14&lt;&gt;"",T62&gt;=$C$14),$C$15,IF(AND($C$11&lt;&gt;"",T62&gt;=$C$11),$C$12,$C$9)))</f>
        <v>Full-Time</v>
      </c>
      <c r="V62" s="26" t="n">
        <f aca="false">IF(T62="","",IF(AND($C$14&lt;&gt;"",T62&gt;=$C$14),$C$16,IF(AND($C$11&lt;&gt;"",T62&gt;=$C$11),$C$13,$C$10)))</f>
        <v>38</v>
      </c>
      <c r="W62" s="27" t="str">
        <f aca="false">IF(T62="","",IF(U62="","None",IF(IFERROR(VLOOKUP(U62,TypeTable,2,0),"None")="PT",IF(N(V62)&gt;=PT_MinHours,"PT","None"),IFERROR(VLOOKUP(U62,TypeTable,2,0),"None"))))</f>
        <v>FT</v>
      </c>
      <c r="X62" s="27" t="n">
        <v>1</v>
      </c>
      <c r="Y62" s="26" t="n">
        <f aca="false">IF(T62="","",IF(AND(W62="PT",T62&lt;=$F$12),X62,0))</f>
        <v>0</v>
      </c>
    </row>
    <row r="63" customFormat="false" ht="15" hidden="false" customHeight="false" outlineLevel="0" collapsed="false">
      <c r="H63" s="27" t="n">
        <v>44</v>
      </c>
      <c r="I63" s="27" t="n">
        <f aca="false">IF(43&lt;FT_PreY5,FT_First+FT_Int1*43,FT_Y5+FT_Int2*(43-FT_PreY5))</f>
        <v>171</v>
      </c>
      <c r="J63" s="27" t="str">
        <f aca="false">INT(I63/12)&amp;"y "&amp;MOD(I63,12)&amp;"m"</f>
        <v>14y 3m</v>
      </c>
      <c r="K63" s="28" t="n">
        <f aca="false">IF($C$6&lt;&gt;"Yes","",IF(AND($F$8&lt;&gt;"",EDATE($C$8,I63)&lt;$F$8),EDATE($C$8+N($F$10),I63),EDATE($C$8+$C$17,I63)))</f>
        <v>49444</v>
      </c>
      <c r="L63" s="27" t="str">
        <f aca="false">IF(K63="","",IF(AND($C$14&lt;&gt;"",K63&gt;=$C$14),$C$15,IF(AND($C$11&lt;&gt;"",K63&gt;=$C$11),$C$12,$C$9)))</f>
        <v>Full-Time</v>
      </c>
      <c r="M63" s="26" t="n">
        <f aca="false">IF(K63="","",IF(AND($C$14&lt;&gt;"",K63&gt;=$C$14),$C$16,IF(AND($C$11&lt;&gt;"",K63&gt;=$C$11),$C$13,$C$10)))</f>
        <v>38</v>
      </c>
      <c r="N63" s="27" t="str">
        <f aca="false">IF(K63="","",IF(L63="","None",IF(IFERROR(VLOOKUP(L63,TypeTable,2,0),"None")="PT",IF(N(M63)&gt;=PT_MinHours,"PT","None"),IFERROR(VLOOKUP(L63,TypeTable,2,0),"None"))))</f>
        <v>FT</v>
      </c>
      <c r="O63" s="27" t="n">
        <f aca="false">IF(I63&lt;FT_Y5,1,IF(MOD(I63-FT_Y5,12)=0,FT_AnnivDays,1))</f>
        <v>1</v>
      </c>
      <c r="P63" s="26" t="n">
        <f aca="false">IF(K63="","",IF(AND(N63="FT",K63&lt;=$F$12),O63,0))</f>
        <v>0</v>
      </c>
      <c r="Q63" s="27" t="n">
        <v>44</v>
      </c>
      <c r="R63" s="27" t="n">
        <f aca="false">PT_First+PT_Int*43</f>
        <v>232</v>
      </c>
      <c r="S63" s="27" t="str">
        <f aca="false">INT(R63/12)&amp;"y "&amp;MOD(R63,12)&amp;"m"</f>
        <v>19y 4m</v>
      </c>
      <c r="T63" s="28" t="n">
        <f aca="false">IF($C$6&lt;&gt;"Yes","",IF(AND($F$8&lt;&gt;"",EDATE($C$8,R63)&lt;$F$8),EDATE($C$8+N($F$10),R63),EDATE($C$8+$C$17,R63)))</f>
        <v>51302</v>
      </c>
      <c r="U63" s="27" t="str">
        <f aca="false">IF(T63="","",IF(AND($C$14&lt;&gt;"",T63&gt;=$C$14),$C$15,IF(AND($C$11&lt;&gt;"",T63&gt;=$C$11),$C$12,$C$9)))</f>
        <v>Full-Time</v>
      </c>
      <c r="V63" s="26" t="n">
        <f aca="false">IF(T63="","",IF(AND($C$14&lt;&gt;"",T63&gt;=$C$14),$C$16,IF(AND($C$11&lt;&gt;"",T63&gt;=$C$11),$C$13,$C$10)))</f>
        <v>38</v>
      </c>
      <c r="W63" s="27" t="str">
        <f aca="false">IF(T63="","",IF(U63="","None",IF(IFERROR(VLOOKUP(U63,TypeTable,2,0),"None")="PT",IF(N(V63)&gt;=PT_MinHours,"PT","None"),IFERROR(VLOOKUP(U63,TypeTable,2,0),"None"))))</f>
        <v>FT</v>
      </c>
      <c r="X63" s="27" t="n">
        <v>1</v>
      </c>
      <c r="Y63" s="26" t="n">
        <f aca="false">IF(T63="","",IF(AND(W63="PT",T63&lt;=$F$12),X63,0))</f>
        <v>0</v>
      </c>
    </row>
    <row r="64" customFormat="false" ht="15" hidden="false" customHeight="false" outlineLevel="0" collapsed="false">
      <c r="H64" s="27" t="n">
        <v>45</v>
      </c>
      <c r="I64" s="27" t="n">
        <f aca="false">IF(44&lt;FT_PreY5,FT_First+FT_Int1*44,FT_Y5+FT_Int2*(44-FT_PreY5))</f>
        <v>174</v>
      </c>
      <c r="J64" s="27" t="str">
        <f aca="false">INT(I64/12)&amp;"y "&amp;MOD(I64,12)&amp;"m"</f>
        <v>14y 6m</v>
      </c>
      <c r="K64" s="28" t="n">
        <f aca="false">IF($C$6&lt;&gt;"Yes","",IF(AND($F$8&lt;&gt;"",EDATE($C$8,I64)&lt;$F$8),EDATE($C$8+N($F$10),I64),EDATE($C$8+$C$17,I64)))</f>
        <v>49536</v>
      </c>
      <c r="L64" s="27" t="str">
        <f aca="false">IF(K64="","",IF(AND($C$14&lt;&gt;"",K64&gt;=$C$14),$C$15,IF(AND($C$11&lt;&gt;"",K64&gt;=$C$11),$C$12,$C$9)))</f>
        <v>Full-Time</v>
      </c>
      <c r="M64" s="26" t="n">
        <f aca="false">IF(K64="","",IF(AND($C$14&lt;&gt;"",K64&gt;=$C$14),$C$16,IF(AND($C$11&lt;&gt;"",K64&gt;=$C$11),$C$13,$C$10)))</f>
        <v>38</v>
      </c>
      <c r="N64" s="27" t="str">
        <f aca="false">IF(K64="","",IF(L64="","None",IF(IFERROR(VLOOKUP(L64,TypeTable,2,0),"None")="PT",IF(N(M64)&gt;=PT_MinHours,"PT","None"),IFERROR(VLOOKUP(L64,TypeTable,2,0),"None"))))</f>
        <v>FT</v>
      </c>
      <c r="O64" s="27" t="n">
        <f aca="false">IF(I64&lt;FT_Y5,1,IF(MOD(I64-FT_Y5,12)=0,FT_AnnivDays,1))</f>
        <v>1</v>
      </c>
      <c r="P64" s="26" t="n">
        <f aca="false">IF(K64="","",IF(AND(N64="FT",K64&lt;=$F$12),O64,0))</f>
        <v>0</v>
      </c>
      <c r="Q64" s="27" t="n">
        <v>45</v>
      </c>
      <c r="R64" s="27" t="n">
        <f aca="false">PT_First+PT_Int*44</f>
        <v>236</v>
      </c>
      <c r="S64" s="27" t="str">
        <f aca="false">INT(R64/12)&amp;"y "&amp;MOD(R64,12)&amp;"m"</f>
        <v>19y 8m</v>
      </c>
      <c r="T64" s="28" t="n">
        <f aca="false">IF($C$6&lt;&gt;"Yes","",IF(AND($F$8&lt;&gt;"",EDATE($C$8,R64)&lt;$F$8),EDATE($C$8+N($F$10),R64),EDATE($C$8+$C$17,R64)))</f>
        <v>51424</v>
      </c>
      <c r="U64" s="27" t="str">
        <f aca="false">IF(T64="","",IF(AND($C$14&lt;&gt;"",T64&gt;=$C$14),$C$15,IF(AND($C$11&lt;&gt;"",T64&gt;=$C$11),$C$12,$C$9)))</f>
        <v>Full-Time</v>
      </c>
      <c r="V64" s="26" t="n">
        <f aca="false">IF(T64="","",IF(AND($C$14&lt;&gt;"",T64&gt;=$C$14),$C$16,IF(AND($C$11&lt;&gt;"",T64&gt;=$C$11),$C$13,$C$10)))</f>
        <v>38</v>
      </c>
      <c r="W64" s="27" t="str">
        <f aca="false">IF(T64="","",IF(U64="","None",IF(IFERROR(VLOOKUP(U64,TypeTable,2,0),"None")="PT",IF(N(V64)&gt;=PT_MinHours,"PT","None"),IFERROR(VLOOKUP(U64,TypeTable,2,0),"None"))))</f>
        <v>FT</v>
      </c>
      <c r="X64" s="27" t="n">
        <v>1</v>
      </c>
      <c r="Y64" s="26" t="n">
        <f aca="false">IF(T64="","",IF(AND(W64="PT",T64&lt;=$F$12),X64,0))</f>
        <v>0</v>
      </c>
    </row>
    <row r="65" customFormat="false" ht="15" hidden="false" customHeight="false" outlineLevel="0" collapsed="false">
      <c r="H65" s="27" t="n">
        <v>46</v>
      </c>
      <c r="I65" s="27" t="n">
        <f aca="false">IF(45&lt;FT_PreY5,FT_First+FT_Int1*45,FT_Y5+FT_Int2*(45-FT_PreY5))</f>
        <v>177</v>
      </c>
      <c r="J65" s="27" t="str">
        <f aca="false">INT(I65/12)&amp;"y "&amp;MOD(I65,12)&amp;"m"</f>
        <v>14y 9m</v>
      </c>
      <c r="K65" s="28" t="n">
        <f aca="false">IF($C$6&lt;&gt;"Yes","",IF(AND($F$8&lt;&gt;"",EDATE($C$8,I65)&lt;$F$8),EDATE($C$8+N($F$10),I65),EDATE($C$8+$C$17,I65)))</f>
        <v>49628</v>
      </c>
      <c r="L65" s="27" t="str">
        <f aca="false">IF(K65="","",IF(AND($C$14&lt;&gt;"",K65&gt;=$C$14),$C$15,IF(AND($C$11&lt;&gt;"",K65&gt;=$C$11),$C$12,$C$9)))</f>
        <v>Full-Time</v>
      </c>
      <c r="M65" s="26" t="n">
        <f aca="false">IF(K65="","",IF(AND($C$14&lt;&gt;"",K65&gt;=$C$14),$C$16,IF(AND($C$11&lt;&gt;"",K65&gt;=$C$11),$C$13,$C$10)))</f>
        <v>38</v>
      </c>
      <c r="N65" s="27" t="str">
        <f aca="false">IF(K65="","",IF(L65="","None",IF(IFERROR(VLOOKUP(L65,TypeTable,2,0),"None")="PT",IF(N(M65)&gt;=PT_MinHours,"PT","None"),IFERROR(VLOOKUP(L65,TypeTable,2,0),"None"))))</f>
        <v>FT</v>
      </c>
      <c r="O65" s="27" t="n">
        <f aca="false">IF(I65&lt;FT_Y5,1,IF(MOD(I65-FT_Y5,12)=0,FT_AnnivDays,1))</f>
        <v>1</v>
      </c>
      <c r="P65" s="26" t="n">
        <f aca="false">IF(K65="","",IF(AND(N65="FT",K65&lt;=$F$12),O65,0))</f>
        <v>0</v>
      </c>
      <c r="Q65" s="27" t="n">
        <v>46</v>
      </c>
      <c r="R65" s="27" t="n">
        <f aca="false">PT_First+PT_Int*45</f>
        <v>240</v>
      </c>
      <c r="S65" s="27" t="str">
        <f aca="false">INT(R65/12)&amp;"y "&amp;MOD(R65,12)&amp;"m"</f>
        <v>20y 0m</v>
      </c>
      <c r="T65" s="28" t="n">
        <f aca="false">IF($C$6&lt;&gt;"Yes","",IF(AND($F$8&lt;&gt;"",EDATE($C$8,R65)&lt;$F$8),EDATE($C$8+N($F$10),R65),EDATE($C$8+$C$17,R65)))</f>
        <v>51547</v>
      </c>
      <c r="U65" s="27" t="str">
        <f aca="false">IF(T65="","",IF(AND($C$14&lt;&gt;"",T65&gt;=$C$14),$C$15,IF(AND($C$11&lt;&gt;"",T65&gt;=$C$11),$C$12,$C$9)))</f>
        <v>Full-Time</v>
      </c>
      <c r="V65" s="26" t="n">
        <f aca="false">IF(T65="","",IF(AND($C$14&lt;&gt;"",T65&gt;=$C$14),$C$16,IF(AND($C$11&lt;&gt;"",T65&gt;=$C$11),$C$13,$C$10)))</f>
        <v>38</v>
      </c>
      <c r="W65" s="27" t="str">
        <f aca="false">IF(T65="","",IF(U65="","None",IF(IFERROR(VLOOKUP(U65,TypeTable,2,0),"None")="PT",IF(N(V65)&gt;=PT_MinHours,"PT","None"),IFERROR(VLOOKUP(U65,TypeTable,2,0),"None"))))</f>
        <v>FT</v>
      </c>
      <c r="X65" s="27" t="n">
        <v>1</v>
      </c>
      <c r="Y65" s="26" t="n">
        <f aca="false">IF(T65="","",IF(AND(W65="PT",T65&lt;=$F$12),X65,0))</f>
        <v>0</v>
      </c>
    </row>
    <row r="66" customFormat="false" ht="15" hidden="false" customHeight="false" outlineLevel="0" collapsed="false">
      <c r="H66" s="27" t="n">
        <v>47</v>
      </c>
      <c r="I66" s="27" t="n">
        <f aca="false">IF(46&lt;FT_PreY5,FT_First+FT_Int1*46,FT_Y5+FT_Int2*(46-FT_PreY5))</f>
        <v>180</v>
      </c>
      <c r="J66" s="27" t="str">
        <f aca="false">INT(I66/12)&amp;"y "&amp;MOD(I66,12)&amp;"m"</f>
        <v>15y 0m</v>
      </c>
      <c r="K66" s="28" t="n">
        <f aca="false">IF($C$6&lt;&gt;"Yes","",IF(AND($F$8&lt;&gt;"",EDATE($C$8,I66)&lt;$F$8),EDATE($C$8+N($F$10),I66),EDATE($C$8+$C$17,I66)))</f>
        <v>49720</v>
      </c>
      <c r="L66" s="27" t="str">
        <f aca="false">IF(K66="","",IF(AND($C$14&lt;&gt;"",K66&gt;=$C$14),$C$15,IF(AND($C$11&lt;&gt;"",K66&gt;=$C$11),$C$12,$C$9)))</f>
        <v>Full-Time</v>
      </c>
      <c r="M66" s="26" t="n">
        <f aca="false">IF(K66="","",IF(AND($C$14&lt;&gt;"",K66&gt;=$C$14),$C$16,IF(AND($C$11&lt;&gt;"",K66&gt;=$C$11),$C$13,$C$10)))</f>
        <v>38</v>
      </c>
      <c r="N66" s="27" t="str">
        <f aca="false">IF(K66="","",IF(L66="","None",IF(IFERROR(VLOOKUP(L66,TypeTable,2,0),"None")="PT",IF(N(M66)&gt;=PT_MinHours,"PT","None"),IFERROR(VLOOKUP(L66,TypeTable,2,0),"None"))))</f>
        <v>FT</v>
      </c>
      <c r="O66" s="27" t="n">
        <f aca="false">IF(I66&lt;FT_Y5,1,IF(MOD(I66-FT_Y5,12)=0,FT_AnnivDays,1))</f>
        <v>2</v>
      </c>
      <c r="P66" s="26" t="n">
        <f aca="false">IF(K66="","",IF(AND(N66="FT",K66&lt;=$F$12),O66,0))</f>
        <v>0</v>
      </c>
      <c r="Q66" s="27" t="n">
        <v>47</v>
      </c>
      <c r="R66" s="27" t="n">
        <f aca="false">PT_First+PT_Int*46</f>
        <v>244</v>
      </c>
      <c r="S66" s="27" t="str">
        <f aca="false">INT(R66/12)&amp;"y "&amp;MOD(R66,12)&amp;"m"</f>
        <v>20y 4m</v>
      </c>
      <c r="T66" s="28" t="n">
        <f aca="false">IF($C$6&lt;&gt;"Yes","",IF(AND($F$8&lt;&gt;"",EDATE($C$8,R66)&lt;$F$8),EDATE($C$8+N($F$10),R66),EDATE($C$8+$C$17,R66)))</f>
        <v>51667</v>
      </c>
      <c r="U66" s="27" t="str">
        <f aca="false">IF(T66="","",IF(AND($C$14&lt;&gt;"",T66&gt;=$C$14),$C$15,IF(AND($C$11&lt;&gt;"",T66&gt;=$C$11),$C$12,$C$9)))</f>
        <v>Full-Time</v>
      </c>
      <c r="V66" s="26" t="n">
        <f aca="false">IF(T66="","",IF(AND($C$14&lt;&gt;"",T66&gt;=$C$14),$C$16,IF(AND($C$11&lt;&gt;"",T66&gt;=$C$11),$C$13,$C$10)))</f>
        <v>38</v>
      </c>
      <c r="W66" s="27" t="str">
        <f aca="false">IF(T66="","",IF(U66="","None",IF(IFERROR(VLOOKUP(U66,TypeTable,2,0),"None")="PT",IF(N(V66)&gt;=PT_MinHours,"PT","None"),IFERROR(VLOOKUP(U66,TypeTable,2,0),"None"))))</f>
        <v>FT</v>
      </c>
      <c r="X66" s="27" t="n">
        <v>1</v>
      </c>
      <c r="Y66" s="26" t="n">
        <f aca="false">IF(T66="","",IF(AND(W66="PT",T66&lt;=$F$12),X66,0))</f>
        <v>0</v>
      </c>
    </row>
    <row r="67" customFormat="false" ht="15" hidden="false" customHeight="false" outlineLevel="0" collapsed="false">
      <c r="H67" s="27" t="n">
        <v>48</v>
      </c>
      <c r="I67" s="27" t="n">
        <f aca="false">IF(47&lt;FT_PreY5,FT_First+FT_Int1*47,FT_Y5+FT_Int2*(47-FT_PreY5))</f>
        <v>183</v>
      </c>
      <c r="J67" s="27" t="str">
        <f aca="false">INT(I67/12)&amp;"y "&amp;MOD(I67,12)&amp;"m"</f>
        <v>15y 3m</v>
      </c>
      <c r="K67" s="28" t="n">
        <f aca="false">IF($C$6&lt;&gt;"Yes","",IF(AND($F$8&lt;&gt;"",EDATE($C$8,I67)&lt;$F$8),EDATE($C$8+N($F$10),I67),EDATE($C$8+$C$17,I67)))</f>
        <v>49810</v>
      </c>
      <c r="L67" s="27" t="str">
        <f aca="false">IF(K67="","",IF(AND($C$14&lt;&gt;"",K67&gt;=$C$14),$C$15,IF(AND($C$11&lt;&gt;"",K67&gt;=$C$11),$C$12,$C$9)))</f>
        <v>Full-Time</v>
      </c>
      <c r="M67" s="26" t="n">
        <f aca="false">IF(K67="","",IF(AND($C$14&lt;&gt;"",K67&gt;=$C$14),$C$16,IF(AND($C$11&lt;&gt;"",K67&gt;=$C$11),$C$13,$C$10)))</f>
        <v>38</v>
      </c>
      <c r="N67" s="27" t="str">
        <f aca="false">IF(K67="","",IF(L67="","None",IF(IFERROR(VLOOKUP(L67,TypeTable,2,0),"None")="PT",IF(N(M67)&gt;=PT_MinHours,"PT","None"),IFERROR(VLOOKUP(L67,TypeTable,2,0),"None"))))</f>
        <v>FT</v>
      </c>
      <c r="O67" s="27" t="n">
        <f aca="false">IF(I67&lt;FT_Y5,1,IF(MOD(I67-FT_Y5,12)=0,FT_AnnivDays,1))</f>
        <v>1</v>
      </c>
      <c r="P67" s="26" t="n">
        <f aca="false">IF(K67="","",IF(AND(N67="FT",K67&lt;=$F$12),O67,0))</f>
        <v>0</v>
      </c>
      <c r="Q67" s="27" t="n">
        <v>48</v>
      </c>
      <c r="R67" s="27" t="n">
        <f aca="false">PT_First+PT_Int*47</f>
        <v>248</v>
      </c>
      <c r="S67" s="27" t="str">
        <f aca="false">INT(R67/12)&amp;"y "&amp;MOD(R67,12)&amp;"m"</f>
        <v>20y 8m</v>
      </c>
      <c r="T67" s="28" t="n">
        <f aca="false">IF($C$6&lt;&gt;"Yes","",IF(AND($F$8&lt;&gt;"",EDATE($C$8,R67)&lt;$F$8),EDATE($C$8+N($F$10),R67),EDATE($C$8+$C$17,R67)))</f>
        <v>51789</v>
      </c>
      <c r="U67" s="27" t="str">
        <f aca="false">IF(T67="","",IF(AND($C$14&lt;&gt;"",T67&gt;=$C$14),$C$15,IF(AND($C$11&lt;&gt;"",T67&gt;=$C$11),$C$12,$C$9)))</f>
        <v>Full-Time</v>
      </c>
      <c r="V67" s="26" t="n">
        <f aca="false">IF(T67="","",IF(AND($C$14&lt;&gt;"",T67&gt;=$C$14),$C$16,IF(AND($C$11&lt;&gt;"",T67&gt;=$C$11),$C$13,$C$10)))</f>
        <v>38</v>
      </c>
      <c r="W67" s="27" t="str">
        <f aca="false">IF(T67="","",IF(U67="","None",IF(IFERROR(VLOOKUP(U67,TypeTable,2,0),"None")="PT",IF(N(V67)&gt;=PT_MinHours,"PT","None"),IFERROR(VLOOKUP(U67,TypeTable,2,0),"None"))))</f>
        <v>FT</v>
      </c>
      <c r="X67" s="27" t="n">
        <v>1</v>
      </c>
      <c r="Y67" s="26" t="n">
        <f aca="false">IF(T67="","",IF(AND(W67="PT",T67&lt;=$F$12),X67,0))</f>
        <v>0</v>
      </c>
    </row>
    <row r="68" customFormat="false" ht="15" hidden="false" customHeight="false" outlineLevel="0" collapsed="false">
      <c r="H68" s="27" t="n">
        <v>49</v>
      </c>
      <c r="I68" s="27" t="n">
        <f aca="false">IF(48&lt;FT_PreY5,FT_First+FT_Int1*48,FT_Y5+FT_Int2*(48-FT_PreY5))</f>
        <v>186</v>
      </c>
      <c r="J68" s="27" t="str">
        <f aca="false">INT(I68/12)&amp;"y "&amp;MOD(I68,12)&amp;"m"</f>
        <v>15y 6m</v>
      </c>
      <c r="K68" s="28" t="n">
        <f aca="false">IF($C$6&lt;&gt;"Yes","",IF(AND($F$8&lt;&gt;"",EDATE($C$8,I68)&lt;$F$8),EDATE($C$8+N($F$10),I68),EDATE($C$8+$C$17,I68)))</f>
        <v>49902</v>
      </c>
      <c r="L68" s="27" t="str">
        <f aca="false">IF(K68="","",IF(AND($C$14&lt;&gt;"",K68&gt;=$C$14),$C$15,IF(AND($C$11&lt;&gt;"",K68&gt;=$C$11),$C$12,$C$9)))</f>
        <v>Full-Time</v>
      </c>
      <c r="M68" s="26" t="n">
        <f aca="false">IF(K68="","",IF(AND($C$14&lt;&gt;"",K68&gt;=$C$14),$C$16,IF(AND($C$11&lt;&gt;"",K68&gt;=$C$11),$C$13,$C$10)))</f>
        <v>38</v>
      </c>
      <c r="N68" s="27" t="str">
        <f aca="false">IF(K68="","",IF(L68="","None",IF(IFERROR(VLOOKUP(L68,TypeTable,2,0),"None")="PT",IF(N(M68)&gt;=PT_MinHours,"PT","None"),IFERROR(VLOOKUP(L68,TypeTable,2,0),"None"))))</f>
        <v>FT</v>
      </c>
      <c r="O68" s="27" t="n">
        <f aca="false">IF(I68&lt;FT_Y5,1,IF(MOD(I68-FT_Y5,12)=0,FT_AnnivDays,1))</f>
        <v>1</v>
      </c>
      <c r="P68" s="26" t="n">
        <f aca="false">IF(K68="","",IF(AND(N68="FT",K68&lt;=$F$12),O68,0))</f>
        <v>0</v>
      </c>
      <c r="Q68" s="27" t="n">
        <v>49</v>
      </c>
      <c r="R68" s="27" t="n">
        <f aca="false">PT_First+PT_Int*48</f>
        <v>252</v>
      </c>
      <c r="S68" s="27" t="str">
        <f aca="false">INT(R68/12)&amp;"y "&amp;MOD(R68,12)&amp;"m"</f>
        <v>21y 0m</v>
      </c>
      <c r="T68" s="28" t="n">
        <f aca="false">IF($C$6&lt;&gt;"Yes","",IF(AND($F$8&lt;&gt;"",EDATE($C$8,R68)&lt;$F$8),EDATE($C$8+N($F$10),R68),EDATE($C$8+$C$17,R68)))</f>
        <v>51912</v>
      </c>
      <c r="U68" s="27" t="str">
        <f aca="false">IF(T68="","",IF(AND($C$14&lt;&gt;"",T68&gt;=$C$14),$C$15,IF(AND($C$11&lt;&gt;"",T68&gt;=$C$11),$C$12,$C$9)))</f>
        <v>Full-Time</v>
      </c>
      <c r="V68" s="26" t="n">
        <f aca="false">IF(T68="","",IF(AND($C$14&lt;&gt;"",T68&gt;=$C$14),$C$16,IF(AND($C$11&lt;&gt;"",T68&gt;=$C$11),$C$13,$C$10)))</f>
        <v>38</v>
      </c>
      <c r="W68" s="27" t="str">
        <f aca="false">IF(T68="","",IF(U68="","None",IF(IFERROR(VLOOKUP(U68,TypeTable,2,0),"None")="PT",IF(N(V68)&gt;=PT_MinHours,"PT","None"),IFERROR(VLOOKUP(U68,TypeTable,2,0),"None"))))</f>
        <v>FT</v>
      </c>
      <c r="X68" s="27" t="n">
        <v>1</v>
      </c>
      <c r="Y68" s="26" t="n">
        <f aca="false">IF(T68="","",IF(AND(W68="PT",T68&lt;=$F$12),X68,0))</f>
        <v>0</v>
      </c>
    </row>
    <row r="69" customFormat="false" ht="15" hidden="false" customHeight="false" outlineLevel="0" collapsed="false">
      <c r="H69" s="27" t="n">
        <v>50</v>
      </c>
      <c r="I69" s="27" t="n">
        <f aca="false">IF(49&lt;FT_PreY5,FT_First+FT_Int1*49,FT_Y5+FT_Int2*(49-FT_PreY5))</f>
        <v>189</v>
      </c>
      <c r="J69" s="27" t="str">
        <f aca="false">INT(I69/12)&amp;"y "&amp;MOD(I69,12)&amp;"m"</f>
        <v>15y 9m</v>
      </c>
      <c r="K69" s="28" t="n">
        <f aca="false">IF($C$6&lt;&gt;"Yes","",IF(AND($F$8&lt;&gt;"",EDATE($C$8,I69)&lt;$F$8),EDATE($C$8+N($F$10),I69),EDATE($C$8+$C$17,I69)))</f>
        <v>49994</v>
      </c>
      <c r="L69" s="27" t="str">
        <f aca="false">IF(K69="","",IF(AND($C$14&lt;&gt;"",K69&gt;=$C$14),$C$15,IF(AND($C$11&lt;&gt;"",K69&gt;=$C$11),$C$12,$C$9)))</f>
        <v>Full-Time</v>
      </c>
      <c r="M69" s="26" t="n">
        <f aca="false">IF(K69="","",IF(AND($C$14&lt;&gt;"",K69&gt;=$C$14),$C$16,IF(AND($C$11&lt;&gt;"",K69&gt;=$C$11),$C$13,$C$10)))</f>
        <v>38</v>
      </c>
      <c r="N69" s="27" t="str">
        <f aca="false">IF(K69="","",IF(L69="","None",IF(IFERROR(VLOOKUP(L69,TypeTable,2,0),"None")="PT",IF(N(M69)&gt;=PT_MinHours,"PT","None"),IFERROR(VLOOKUP(L69,TypeTable,2,0),"None"))))</f>
        <v>FT</v>
      </c>
      <c r="O69" s="27" t="n">
        <f aca="false">IF(I69&lt;FT_Y5,1,IF(MOD(I69-FT_Y5,12)=0,FT_AnnivDays,1))</f>
        <v>1</v>
      </c>
      <c r="P69" s="26" t="n">
        <f aca="false">IF(K69="","",IF(AND(N69="FT",K69&lt;=$F$12),O69,0))</f>
        <v>0</v>
      </c>
      <c r="Q69" s="27" t="n">
        <v>50</v>
      </c>
      <c r="R69" s="27" t="n">
        <f aca="false">PT_First+PT_Int*49</f>
        <v>256</v>
      </c>
      <c r="S69" s="27" t="str">
        <f aca="false">INT(R69/12)&amp;"y "&amp;MOD(R69,12)&amp;"m"</f>
        <v>21y 4m</v>
      </c>
      <c r="T69" s="28" t="n">
        <f aca="false">IF($C$6&lt;&gt;"Yes","",IF(AND($F$8&lt;&gt;"",EDATE($C$8,R69)&lt;$F$8),EDATE($C$8+N($F$10),R69),EDATE($C$8+$C$17,R69)))</f>
        <v>52032</v>
      </c>
      <c r="U69" s="27" t="str">
        <f aca="false">IF(T69="","",IF(AND($C$14&lt;&gt;"",T69&gt;=$C$14),$C$15,IF(AND($C$11&lt;&gt;"",T69&gt;=$C$11),$C$12,$C$9)))</f>
        <v>Full-Time</v>
      </c>
      <c r="V69" s="26" t="n">
        <f aca="false">IF(T69="","",IF(AND($C$14&lt;&gt;"",T69&gt;=$C$14),$C$16,IF(AND($C$11&lt;&gt;"",T69&gt;=$C$11),$C$13,$C$10)))</f>
        <v>38</v>
      </c>
      <c r="W69" s="27" t="str">
        <f aca="false">IF(T69="","",IF(U69="","None",IF(IFERROR(VLOOKUP(U69,TypeTable,2,0),"None")="PT",IF(N(V69)&gt;=PT_MinHours,"PT","None"),IFERROR(VLOOKUP(U69,TypeTable,2,0),"None"))))</f>
        <v>FT</v>
      </c>
      <c r="X69" s="27" t="n">
        <v>1</v>
      </c>
      <c r="Y69" s="26" t="n">
        <f aca="false">IF(T69="","",IF(AND(W69="PT",T69&lt;=$F$12),X69,0))</f>
        <v>0</v>
      </c>
    </row>
    <row r="70" customFormat="false" ht="15" hidden="false" customHeight="false" outlineLevel="0" collapsed="false">
      <c r="H70" s="27" t="n">
        <v>51</v>
      </c>
      <c r="I70" s="27" t="n">
        <f aca="false">IF(50&lt;FT_PreY5,FT_First+FT_Int1*50,FT_Y5+FT_Int2*(50-FT_PreY5))</f>
        <v>192</v>
      </c>
      <c r="J70" s="27" t="str">
        <f aca="false">INT(I70/12)&amp;"y "&amp;MOD(I70,12)&amp;"m"</f>
        <v>16y 0m</v>
      </c>
      <c r="K70" s="28" t="n">
        <f aca="false">IF($C$6&lt;&gt;"Yes","",IF(AND($F$8&lt;&gt;"",EDATE($C$8,I70)&lt;$F$8),EDATE($C$8+N($F$10),I70),EDATE($C$8+$C$17,I70)))</f>
        <v>50086</v>
      </c>
      <c r="L70" s="27" t="str">
        <f aca="false">IF(K70="","",IF(AND($C$14&lt;&gt;"",K70&gt;=$C$14),$C$15,IF(AND($C$11&lt;&gt;"",K70&gt;=$C$11),$C$12,$C$9)))</f>
        <v>Full-Time</v>
      </c>
      <c r="M70" s="26" t="n">
        <f aca="false">IF(K70="","",IF(AND($C$14&lt;&gt;"",K70&gt;=$C$14),$C$16,IF(AND($C$11&lt;&gt;"",K70&gt;=$C$11),$C$13,$C$10)))</f>
        <v>38</v>
      </c>
      <c r="N70" s="27" t="str">
        <f aca="false">IF(K70="","",IF(L70="","None",IF(IFERROR(VLOOKUP(L70,TypeTable,2,0),"None")="PT",IF(N(M70)&gt;=PT_MinHours,"PT","None"),IFERROR(VLOOKUP(L70,TypeTable,2,0),"None"))))</f>
        <v>FT</v>
      </c>
      <c r="O70" s="27" t="n">
        <f aca="false">IF(I70&lt;FT_Y5,1,IF(MOD(I70-FT_Y5,12)=0,FT_AnnivDays,1))</f>
        <v>2</v>
      </c>
      <c r="P70" s="26" t="n">
        <f aca="false">IF(K70="","",IF(AND(N70="FT",K70&lt;=$F$12),O70,0))</f>
        <v>0</v>
      </c>
      <c r="Q70" s="27" t="n">
        <v>51</v>
      </c>
      <c r="R70" s="27" t="n">
        <f aca="false">PT_First+PT_Int*50</f>
        <v>260</v>
      </c>
      <c r="S70" s="27" t="str">
        <f aca="false">INT(R70/12)&amp;"y "&amp;MOD(R70,12)&amp;"m"</f>
        <v>21y 8m</v>
      </c>
      <c r="T70" s="28" t="n">
        <f aca="false">IF($C$6&lt;&gt;"Yes","",IF(AND($F$8&lt;&gt;"",EDATE($C$8,R70)&lt;$F$8),EDATE($C$8+N($F$10),R70),EDATE($C$8+$C$17,R70)))</f>
        <v>52154</v>
      </c>
      <c r="U70" s="27" t="str">
        <f aca="false">IF(T70="","",IF(AND($C$14&lt;&gt;"",T70&gt;=$C$14),$C$15,IF(AND($C$11&lt;&gt;"",T70&gt;=$C$11),$C$12,$C$9)))</f>
        <v>Full-Time</v>
      </c>
      <c r="V70" s="26" t="n">
        <f aca="false">IF(T70="","",IF(AND($C$14&lt;&gt;"",T70&gt;=$C$14),$C$16,IF(AND($C$11&lt;&gt;"",T70&gt;=$C$11),$C$13,$C$10)))</f>
        <v>38</v>
      </c>
      <c r="W70" s="27" t="str">
        <f aca="false">IF(T70="","",IF(U70="","None",IF(IFERROR(VLOOKUP(U70,TypeTable,2,0),"None")="PT",IF(N(V70)&gt;=PT_MinHours,"PT","None"),IFERROR(VLOOKUP(U70,TypeTable,2,0),"None"))))</f>
        <v>FT</v>
      </c>
      <c r="X70" s="27" t="n">
        <v>1</v>
      </c>
      <c r="Y70" s="26" t="n">
        <f aca="false">IF(T70="","",IF(AND(W70="PT",T70&lt;=$F$12),X70,0))</f>
        <v>0</v>
      </c>
    </row>
    <row r="71" customFormat="false" ht="15" hidden="false" customHeight="false" outlineLevel="0" collapsed="false">
      <c r="H71" s="27" t="n">
        <v>52</v>
      </c>
      <c r="I71" s="27" t="n">
        <f aca="false">IF(51&lt;FT_PreY5,FT_First+FT_Int1*51,FT_Y5+FT_Int2*(51-FT_PreY5))</f>
        <v>195</v>
      </c>
      <c r="J71" s="27" t="str">
        <f aca="false">INT(I71/12)&amp;"y "&amp;MOD(I71,12)&amp;"m"</f>
        <v>16y 3m</v>
      </c>
      <c r="K71" s="28" t="n">
        <f aca="false">IF($C$6&lt;&gt;"Yes","",IF(AND($F$8&lt;&gt;"",EDATE($C$8,I71)&lt;$F$8),EDATE($C$8+N($F$10),I71),EDATE($C$8+$C$17,I71)))</f>
        <v>50175</v>
      </c>
      <c r="L71" s="27" t="str">
        <f aca="false">IF(K71="","",IF(AND($C$14&lt;&gt;"",K71&gt;=$C$14),$C$15,IF(AND($C$11&lt;&gt;"",K71&gt;=$C$11),$C$12,$C$9)))</f>
        <v>Full-Time</v>
      </c>
      <c r="M71" s="26" t="n">
        <f aca="false">IF(K71="","",IF(AND($C$14&lt;&gt;"",K71&gt;=$C$14),$C$16,IF(AND($C$11&lt;&gt;"",K71&gt;=$C$11),$C$13,$C$10)))</f>
        <v>38</v>
      </c>
      <c r="N71" s="27" t="str">
        <f aca="false">IF(K71="","",IF(L71="","None",IF(IFERROR(VLOOKUP(L71,TypeTable,2,0),"None")="PT",IF(N(M71)&gt;=PT_MinHours,"PT","None"),IFERROR(VLOOKUP(L71,TypeTable,2,0),"None"))))</f>
        <v>FT</v>
      </c>
      <c r="O71" s="27" t="n">
        <f aca="false">IF(I71&lt;FT_Y5,1,IF(MOD(I71-FT_Y5,12)=0,FT_AnnivDays,1))</f>
        <v>1</v>
      </c>
      <c r="P71" s="26" t="n">
        <f aca="false">IF(K71="","",IF(AND(N71="FT",K71&lt;=$F$12),O71,0))</f>
        <v>0</v>
      </c>
      <c r="Q71" s="27" t="n">
        <v>52</v>
      </c>
      <c r="R71" s="27" t="n">
        <f aca="false">PT_First+PT_Int*51</f>
        <v>264</v>
      </c>
      <c r="S71" s="27" t="str">
        <f aca="false">INT(R71/12)&amp;"y "&amp;MOD(R71,12)&amp;"m"</f>
        <v>22y 0m</v>
      </c>
      <c r="T71" s="28" t="n">
        <f aca="false">IF($C$6&lt;&gt;"Yes","",IF(AND($F$8&lt;&gt;"",EDATE($C$8,R71)&lt;$F$8),EDATE($C$8+N($F$10),R71),EDATE($C$8+$C$17,R71)))</f>
        <v>52277</v>
      </c>
      <c r="U71" s="27" t="str">
        <f aca="false">IF(T71="","",IF(AND($C$14&lt;&gt;"",T71&gt;=$C$14),$C$15,IF(AND($C$11&lt;&gt;"",T71&gt;=$C$11),$C$12,$C$9)))</f>
        <v>Full-Time</v>
      </c>
      <c r="V71" s="26" t="n">
        <f aca="false">IF(T71="","",IF(AND($C$14&lt;&gt;"",T71&gt;=$C$14),$C$16,IF(AND($C$11&lt;&gt;"",T71&gt;=$C$11),$C$13,$C$10)))</f>
        <v>38</v>
      </c>
      <c r="W71" s="27" t="str">
        <f aca="false">IF(T71="","",IF(U71="","None",IF(IFERROR(VLOOKUP(U71,TypeTable,2,0),"None")="PT",IF(N(V71)&gt;=PT_MinHours,"PT","None"),IFERROR(VLOOKUP(U71,TypeTable,2,0),"None"))))</f>
        <v>FT</v>
      </c>
      <c r="X71" s="27" t="n">
        <v>1</v>
      </c>
      <c r="Y71" s="26" t="n">
        <f aca="false">IF(T71="","",IF(AND(W71="PT",T71&lt;=$F$12),X71,0))</f>
        <v>0</v>
      </c>
    </row>
    <row r="72" customFormat="false" ht="15" hidden="false" customHeight="false" outlineLevel="0" collapsed="false">
      <c r="H72" s="27" t="n">
        <v>53</v>
      </c>
      <c r="I72" s="27" t="n">
        <f aca="false">IF(52&lt;FT_PreY5,FT_First+FT_Int1*52,FT_Y5+FT_Int2*(52-FT_PreY5))</f>
        <v>198</v>
      </c>
      <c r="J72" s="27" t="str">
        <f aca="false">INT(I72/12)&amp;"y "&amp;MOD(I72,12)&amp;"m"</f>
        <v>16y 6m</v>
      </c>
      <c r="K72" s="28" t="n">
        <f aca="false">IF($C$6&lt;&gt;"Yes","",IF(AND($F$8&lt;&gt;"",EDATE($C$8,I72)&lt;$F$8),EDATE($C$8+N($F$10),I72),EDATE($C$8+$C$17,I72)))</f>
        <v>50267</v>
      </c>
      <c r="L72" s="27" t="str">
        <f aca="false">IF(K72="","",IF(AND($C$14&lt;&gt;"",K72&gt;=$C$14),$C$15,IF(AND($C$11&lt;&gt;"",K72&gt;=$C$11),$C$12,$C$9)))</f>
        <v>Full-Time</v>
      </c>
      <c r="M72" s="26" t="n">
        <f aca="false">IF(K72="","",IF(AND($C$14&lt;&gt;"",K72&gt;=$C$14),$C$16,IF(AND($C$11&lt;&gt;"",K72&gt;=$C$11),$C$13,$C$10)))</f>
        <v>38</v>
      </c>
      <c r="N72" s="27" t="str">
        <f aca="false">IF(K72="","",IF(L72="","None",IF(IFERROR(VLOOKUP(L72,TypeTable,2,0),"None")="PT",IF(N(M72)&gt;=PT_MinHours,"PT","None"),IFERROR(VLOOKUP(L72,TypeTable,2,0),"None"))))</f>
        <v>FT</v>
      </c>
      <c r="O72" s="27" t="n">
        <f aca="false">IF(I72&lt;FT_Y5,1,IF(MOD(I72-FT_Y5,12)=0,FT_AnnivDays,1))</f>
        <v>1</v>
      </c>
      <c r="P72" s="26" t="n">
        <f aca="false">IF(K72="","",IF(AND(N72="FT",K72&lt;=$F$12),O72,0))</f>
        <v>0</v>
      </c>
      <c r="Q72" s="27" t="n">
        <v>53</v>
      </c>
      <c r="R72" s="27" t="n">
        <f aca="false">PT_First+PT_Int*52</f>
        <v>268</v>
      </c>
      <c r="S72" s="27" t="str">
        <f aca="false">INT(R72/12)&amp;"y "&amp;MOD(R72,12)&amp;"m"</f>
        <v>22y 4m</v>
      </c>
      <c r="T72" s="28" t="n">
        <f aca="false">IF($C$6&lt;&gt;"Yes","",IF(AND($F$8&lt;&gt;"",EDATE($C$8,R72)&lt;$F$8),EDATE($C$8+N($F$10),R72),EDATE($C$8+$C$17,R72)))</f>
        <v>52397</v>
      </c>
      <c r="U72" s="27" t="str">
        <f aca="false">IF(T72="","",IF(AND($C$14&lt;&gt;"",T72&gt;=$C$14),$C$15,IF(AND($C$11&lt;&gt;"",T72&gt;=$C$11),$C$12,$C$9)))</f>
        <v>Full-Time</v>
      </c>
      <c r="V72" s="26" t="n">
        <f aca="false">IF(T72="","",IF(AND($C$14&lt;&gt;"",T72&gt;=$C$14),$C$16,IF(AND($C$11&lt;&gt;"",T72&gt;=$C$11),$C$13,$C$10)))</f>
        <v>38</v>
      </c>
      <c r="W72" s="27" t="str">
        <f aca="false">IF(T72="","",IF(U72="","None",IF(IFERROR(VLOOKUP(U72,TypeTable,2,0),"None")="PT",IF(N(V72)&gt;=PT_MinHours,"PT","None"),IFERROR(VLOOKUP(U72,TypeTable,2,0),"None"))))</f>
        <v>FT</v>
      </c>
      <c r="X72" s="27" t="n">
        <v>1</v>
      </c>
      <c r="Y72" s="26" t="n">
        <f aca="false">IF(T72="","",IF(AND(W72="PT",T72&lt;=$F$12),X72,0))</f>
        <v>0</v>
      </c>
    </row>
    <row r="73" customFormat="false" ht="15" hidden="false" customHeight="false" outlineLevel="0" collapsed="false">
      <c r="H73" s="27" t="n">
        <v>54</v>
      </c>
      <c r="I73" s="27" t="n">
        <f aca="false">IF(53&lt;FT_PreY5,FT_First+FT_Int1*53,FT_Y5+FT_Int2*(53-FT_PreY5))</f>
        <v>201</v>
      </c>
      <c r="J73" s="27" t="str">
        <f aca="false">INT(I73/12)&amp;"y "&amp;MOD(I73,12)&amp;"m"</f>
        <v>16y 9m</v>
      </c>
      <c r="K73" s="28" t="n">
        <f aca="false">IF($C$6&lt;&gt;"Yes","",IF(AND($F$8&lt;&gt;"",EDATE($C$8,I73)&lt;$F$8),EDATE($C$8+N($F$10),I73),EDATE($C$8+$C$17,I73)))</f>
        <v>50359</v>
      </c>
      <c r="L73" s="27" t="str">
        <f aca="false">IF(K73="","",IF(AND($C$14&lt;&gt;"",K73&gt;=$C$14),$C$15,IF(AND($C$11&lt;&gt;"",K73&gt;=$C$11),$C$12,$C$9)))</f>
        <v>Full-Time</v>
      </c>
      <c r="M73" s="26" t="n">
        <f aca="false">IF(K73="","",IF(AND($C$14&lt;&gt;"",K73&gt;=$C$14),$C$16,IF(AND($C$11&lt;&gt;"",K73&gt;=$C$11),$C$13,$C$10)))</f>
        <v>38</v>
      </c>
      <c r="N73" s="27" t="str">
        <f aca="false">IF(K73="","",IF(L73="","None",IF(IFERROR(VLOOKUP(L73,TypeTable,2,0),"None")="PT",IF(N(M73)&gt;=PT_MinHours,"PT","None"),IFERROR(VLOOKUP(L73,TypeTable,2,0),"None"))))</f>
        <v>FT</v>
      </c>
      <c r="O73" s="27" t="n">
        <f aca="false">IF(I73&lt;FT_Y5,1,IF(MOD(I73-FT_Y5,12)=0,FT_AnnivDays,1))</f>
        <v>1</v>
      </c>
      <c r="P73" s="26" t="n">
        <f aca="false">IF(K73="","",IF(AND(N73="FT",K73&lt;=$F$12),O73,0))</f>
        <v>0</v>
      </c>
      <c r="Q73" s="27" t="n">
        <v>54</v>
      </c>
      <c r="R73" s="27" t="n">
        <f aca="false">PT_First+PT_Int*53</f>
        <v>272</v>
      </c>
      <c r="S73" s="27" t="str">
        <f aca="false">INT(R73/12)&amp;"y "&amp;MOD(R73,12)&amp;"m"</f>
        <v>22y 8m</v>
      </c>
      <c r="T73" s="28" t="n">
        <f aca="false">IF($C$6&lt;&gt;"Yes","",IF(AND($F$8&lt;&gt;"",EDATE($C$8,R73)&lt;$F$8),EDATE($C$8+N($F$10),R73),EDATE($C$8+$C$17,R73)))</f>
        <v>52519</v>
      </c>
      <c r="U73" s="27" t="str">
        <f aca="false">IF(T73="","",IF(AND($C$14&lt;&gt;"",T73&gt;=$C$14),$C$15,IF(AND($C$11&lt;&gt;"",T73&gt;=$C$11),$C$12,$C$9)))</f>
        <v>Full-Time</v>
      </c>
      <c r="V73" s="26" t="n">
        <f aca="false">IF(T73="","",IF(AND($C$14&lt;&gt;"",T73&gt;=$C$14),$C$16,IF(AND($C$11&lt;&gt;"",T73&gt;=$C$11),$C$13,$C$10)))</f>
        <v>38</v>
      </c>
      <c r="W73" s="27" t="str">
        <f aca="false">IF(T73="","",IF(U73="","None",IF(IFERROR(VLOOKUP(U73,TypeTable,2,0),"None")="PT",IF(N(V73)&gt;=PT_MinHours,"PT","None"),IFERROR(VLOOKUP(U73,TypeTable,2,0),"None"))))</f>
        <v>FT</v>
      </c>
      <c r="X73" s="27" t="n">
        <v>1</v>
      </c>
      <c r="Y73" s="26" t="n">
        <f aca="false">IF(T73="","",IF(AND(W73="PT",T73&lt;=$F$12),X73,0))</f>
        <v>0</v>
      </c>
    </row>
    <row r="74" customFormat="false" ht="15" hidden="false" customHeight="false" outlineLevel="0" collapsed="false">
      <c r="H74" s="27" t="n">
        <v>55</v>
      </c>
      <c r="I74" s="27" t="n">
        <f aca="false">IF(54&lt;FT_PreY5,FT_First+FT_Int1*54,FT_Y5+FT_Int2*(54-FT_PreY5))</f>
        <v>204</v>
      </c>
      <c r="J74" s="27" t="str">
        <f aca="false">INT(I74/12)&amp;"y "&amp;MOD(I74,12)&amp;"m"</f>
        <v>17y 0m</v>
      </c>
      <c r="K74" s="28" t="n">
        <f aca="false">IF($C$6&lt;&gt;"Yes","",IF(AND($F$8&lt;&gt;"",EDATE($C$8,I74)&lt;$F$8),EDATE($C$8+N($F$10),I74),EDATE($C$8+$C$17,I74)))</f>
        <v>50451</v>
      </c>
      <c r="L74" s="27" t="str">
        <f aca="false">IF(K74="","",IF(AND($C$14&lt;&gt;"",K74&gt;=$C$14),$C$15,IF(AND($C$11&lt;&gt;"",K74&gt;=$C$11),$C$12,$C$9)))</f>
        <v>Full-Time</v>
      </c>
      <c r="M74" s="26" t="n">
        <f aca="false">IF(K74="","",IF(AND($C$14&lt;&gt;"",K74&gt;=$C$14),$C$16,IF(AND($C$11&lt;&gt;"",K74&gt;=$C$11),$C$13,$C$10)))</f>
        <v>38</v>
      </c>
      <c r="N74" s="27" t="str">
        <f aca="false">IF(K74="","",IF(L74="","None",IF(IFERROR(VLOOKUP(L74,TypeTable,2,0),"None")="PT",IF(N(M74)&gt;=PT_MinHours,"PT","None"),IFERROR(VLOOKUP(L74,TypeTable,2,0),"None"))))</f>
        <v>FT</v>
      </c>
      <c r="O74" s="27" t="n">
        <f aca="false">IF(I74&lt;FT_Y5,1,IF(MOD(I74-FT_Y5,12)=0,FT_AnnivDays,1))</f>
        <v>2</v>
      </c>
      <c r="P74" s="26" t="n">
        <f aca="false">IF(K74="","",IF(AND(N74="FT",K74&lt;=$F$12),O74,0))</f>
        <v>0</v>
      </c>
      <c r="Q74" s="27" t="n">
        <v>55</v>
      </c>
      <c r="R74" s="27" t="n">
        <f aca="false">PT_First+PT_Int*54</f>
        <v>276</v>
      </c>
      <c r="S74" s="27" t="str">
        <f aca="false">INT(R74/12)&amp;"y "&amp;MOD(R74,12)&amp;"m"</f>
        <v>23y 0m</v>
      </c>
      <c r="T74" s="28" t="n">
        <f aca="false">IF($C$6&lt;&gt;"Yes","",IF(AND($F$8&lt;&gt;"",EDATE($C$8,R74)&lt;$F$8),EDATE($C$8+N($F$10),R74),EDATE($C$8+$C$17,R74)))</f>
        <v>52642</v>
      </c>
      <c r="U74" s="27" t="str">
        <f aca="false">IF(T74="","",IF(AND($C$14&lt;&gt;"",T74&gt;=$C$14),$C$15,IF(AND($C$11&lt;&gt;"",T74&gt;=$C$11),$C$12,$C$9)))</f>
        <v>Full-Time</v>
      </c>
      <c r="V74" s="26" t="n">
        <f aca="false">IF(T74="","",IF(AND($C$14&lt;&gt;"",T74&gt;=$C$14),$C$16,IF(AND($C$11&lt;&gt;"",T74&gt;=$C$11),$C$13,$C$10)))</f>
        <v>38</v>
      </c>
      <c r="W74" s="27" t="str">
        <f aca="false">IF(T74="","",IF(U74="","None",IF(IFERROR(VLOOKUP(U74,TypeTable,2,0),"None")="PT",IF(N(V74)&gt;=PT_MinHours,"PT","None"),IFERROR(VLOOKUP(U74,TypeTable,2,0),"None"))))</f>
        <v>FT</v>
      </c>
      <c r="X74" s="27" t="n">
        <v>1</v>
      </c>
      <c r="Y74" s="26" t="n">
        <f aca="false">IF(T74="","",IF(AND(W74="PT",T74&lt;=$F$12),X74,0))</f>
        <v>0</v>
      </c>
    </row>
    <row r="75" customFormat="false" ht="15" hidden="false" customHeight="false" outlineLevel="0" collapsed="false">
      <c r="H75" s="27" t="n">
        <v>56</v>
      </c>
      <c r="I75" s="27" t="n">
        <f aca="false">IF(55&lt;FT_PreY5,FT_First+FT_Int1*55,FT_Y5+FT_Int2*(55-FT_PreY5))</f>
        <v>207</v>
      </c>
      <c r="J75" s="27" t="str">
        <f aca="false">INT(I75/12)&amp;"y "&amp;MOD(I75,12)&amp;"m"</f>
        <v>17y 3m</v>
      </c>
      <c r="K75" s="28" t="n">
        <f aca="false">IF($C$6&lt;&gt;"Yes","",IF(AND($F$8&lt;&gt;"",EDATE($C$8,I75)&lt;$F$8),EDATE($C$8+N($F$10),I75),EDATE($C$8+$C$17,I75)))</f>
        <v>50540</v>
      </c>
      <c r="L75" s="27" t="str">
        <f aca="false">IF(K75="","",IF(AND($C$14&lt;&gt;"",K75&gt;=$C$14),$C$15,IF(AND($C$11&lt;&gt;"",K75&gt;=$C$11),$C$12,$C$9)))</f>
        <v>Full-Time</v>
      </c>
      <c r="M75" s="26" t="n">
        <f aca="false">IF(K75="","",IF(AND($C$14&lt;&gt;"",K75&gt;=$C$14),$C$16,IF(AND($C$11&lt;&gt;"",K75&gt;=$C$11),$C$13,$C$10)))</f>
        <v>38</v>
      </c>
      <c r="N75" s="27" t="str">
        <f aca="false">IF(K75="","",IF(L75="","None",IF(IFERROR(VLOOKUP(L75,TypeTable,2,0),"None")="PT",IF(N(M75)&gt;=PT_MinHours,"PT","None"),IFERROR(VLOOKUP(L75,TypeTable,2,0),"None"))))</f>
        <v>FT</v>
      </c>
      <c r="O75" s="27" t="n">
        <f aca="false">IF(I75&lt;FT_Y5,1,IF(MOD(I75-FT_Y5,12)=0,FT_AnnivDays,1))</f>
        <v>1</v>
      </c>
      <c r="P75" s="26" t="n">
        <f aca="false">IF(K75="","",IF(AND(N75="FT",K75&lt;=$F$12),O75,0))</f>
        <v>0</v>
      </c>
      <c r="Q75" s="27" t="n">
        <v>56</v>
      </c>
      <c r="R75" s="27" t="n">
        <f aca="false">PT_First+PT_Int*55</f>
        <v>280</v>
      </c>
      <c r="S75" s="27" t="str">
        <f aca="false">INT(R75/12)&amp;"y "&amp;MOD(R75,12)&amp;"m"</f>
        <v>23y 4m</v>
      </c>
      <c r="T75" s="28" t="n">
        <f aca="false">IF($C$6&lt;&gt;"Yes","",IF(AND($F$8&lt;&gt;"",EDATE($C$8,R75)&lt;$F$8),EDATE($C$8+N($F$10),R75),EDATE($C$8+$C$17,R75)))</f>
        <v>52763</v>
      </c>
      <c r="U75" s="27" t="str">
        <f aca="false">IF(T75="","",IF(AND($C$14&lt;&gt;"",T75&gt;=$C$14),$C$15,IF(AND($C$11&lt;&gt;"",T75&gt;=$C$11),$C$12,$C$9)))</f>
        <v>Full-Time</v>
      </c>
      <c r="V75" s="26" t="n">
        <f aca="false">IF(T75="","",IF(AND($C$14&lt;&gt;"",T75&gt;=$C$14),$C$16,IF(AND($C$11&lt;&gt;"",T75&gt;=$C$11),$C$13,$C$10)))</f>
        <v>38</v>
      </c>
      <c r="W75" s="27" t="str">
        <f aca="false">IF(T75="","",IF(U75="","None",IF(IFERROR(VLOOKUP(U75,TypeTable,2,0),"None")="PT",IF(N(V75)&gt;=PT_MinHours,"PT","None"),IFERROR(VLOOKUP(U75,TypeTable,2,0),"None"))))</f>
        <v>FT</v>
      </c>
      <c r="X75" s="27" t="n">
        <v>1</v>
      </c>
      <c r="Y75" s="26" t="n">
        <f aca="false">IF(T75="","",IF(AND(W75="PT",T75&lt;=$F$12),X75,0))</f>
        <v>0</v>
      </c>
    </row>
    <row r="76" customFormat="false" ht="15" hidden="false" customHeight="false" outlineLevel="0" collapsed="false">
      <c r="H76" s="27" t="n">
        <v>57</v>
      </c>
      <c r="I76" s="27" t="n">
        <f aca="false">IF(56&lt;FT_PreY5,FT_First+FT_Int1*56,FT_Y5+FT_Int2*(56-FT_PreY5))</f>
        <v>210</v>
      </c>
      <c r="J76" s="27" t="str">
        <f aca="false">INT(I76/12)&amp;"y "&amp;MOD(I76,12)&amp;"m"</f>
        <v>17y 6m</v>
      </c>
      <c r="K76" s="28" t="n">
        <f aca="false">IF($C$6&lt;&gt;"Yes","",IF(AND($F$8&lt;&gt;"",EDATE($C$8,I76)&lt;$F$8),EDATE($C$8+N($F$10),I76),EDATE($C$8+$C$17,I76)))</f>
        <v>50632</v>
      </c>
      <c r="L76" s="27" t="str">
        <f aca="false">IF(K76="","",IF(AND($C$14&lt;&gt;"",K76&gt;=$C$14),$C$15,IF(AND($C$11&lt;&gt;"",K76&gt;=$C$11),$C$12,$C$9)))</f>
        <v>Full-Time</v>
      </c>
      <c r="M76" s="26" t="n">
        <f aca="false">IF(K76="","",IF(AND($C$14&lt;&gt;"",K76&gt;=$C$14),$C$16,IF(AND($C$11&lt;&gt;"",K76&gt;=$C$11),$C$13,$C$10)))</f>
        <v>38</v>
      </c>
      <c r="N76" s="27" t="str">
        <f aca="false">IF(K76="","",IF(L76="","None",IF(IFERROR(VLOOKUP(L76,TypeTable,2,0),"None")="PT",IF(N(M76)&gt;=PT_MinHours,"PT","None"),IFERROR(VLOOKUP(L76,TypeTable,2,0),"None"))))</f>
        <v>FT</v>
      </c>
      <c r="O76" s="27" t="n">
        <f aca="false">IF(I76&lt;FT_Y5,1,IF(MOD(I76-FT_Y5,12)=0,FT_AnnivDays,1))</f>
        <v>1</v>
      </c>
      <c r="P76" s="26" t="n">
        <f aca="false">IF(K76="","",IF(AND(N76="FT",K76&lt;=$F$12),O76,0))</f>
        <v>0</v>
      </c>
      <c r="Q76" s="27" t="n">
        <v>57</v>
      </c>
      <c r="R76" s="27" t="n">
        <f aca="false">PT_First+PT_Int*56</f>
        <v>284</v>
      </c>
      <c r="S76" s="27" t="str">
        <f aca="false">INT(R76/12)&amp;"y "&amp;MOD(R76,12)&amp;"m"</f>
        <v>23y 8m</v>
      </c>
      <c r="T76" s="28" t="n">
        <f aca="false">IF($C$6&lt;&gt;"Yes","",IF(AND($F$8&lt;&gt;"",EDATE($C$8,R76)&lt;$F$8),EDATE($C$8+N($F$10),R76),EDATE($C$8+$C$17,R76)))</f>
        <v>52885</v>
      </c>
      <c r="U76" s="27" t="str">
        <f aca="false">IF(T76="","",IF(AND($C$14&lt;&gt;"",T76&gt;=$C$14),$C$15,IF(AND($C$11&lt;&gt;"",T76&gt;=$C$11),$C$12,$C$9)))</f>
        <v>Full-Time</v>
      </c>
      <c r="V76" s="26" t="n">
        <f aca="false">IF(T76="","",IF(AND($C$14&lt;&gt;"",T76&gt;=$C$14),$C$16,IF(AND($C$11&lt;&gt;"",T76&gt;=$C$11),$C$13,$C$10)))</f>
        <v>38</v>
      </c>
      <c r="W76" s="27" t="str">
        <f aca="false">IF(T76="","",IF(U76="","None",IF(IFERROR(VLOOKUP(U76,TypeTable,2,0),"None")="PT",IF(N(V76)&gt;=PT_MinHours,"PT","None"),IFERROR(VLOOKUP(U76,TypeTable,2,0),"None"))))</f>
        <v>FT</v>
      </c>
      <c r="X76" s="27" t="n">
        <v>1</v>
      </c>
      <c r="Y76" s="26" t="n">
        <f aca="false">IF(T76="","",IF(AND(W76="PT",T76&lt;=$F$12),X76,0))</f>
        <v>0</v>
      </c>
    </row>
    <row r="77" customFormat="false" ht="15" hidden="false" customHeight="false" outlineLevel="0" collapsed="false">
      <c r="H77" s="27" t="n">
        <v>58</v>
      </c>
      <c r="I77" s="27" t="n">
        <f aca="false">IF(57&lt;FT_PreY5,FT_First+FT_Int1*57,FT_Y5+FT_Int2*(57-FT_PreY5))</f>
        <v>213</v>
      </c>
      <c r="J77" s="27" t="str">
        <f aca="false">INT(I77/12)&amp;"y "&amp;MOD(I77,12)&amp;"m"</f>
        <v>17y 9m</v>
      </c>
      <c r="K77" s="28" t="n">
        <f aca="false">IF($C$6&lt;&gt;"Yes","",IF(AND($F$8&lt;&gt;"",EDATE($C$8,I77)&lt;$F$8),EDATE($C$8+N($F$10),I77),EDATE($C$8+$C$17,I77)))</f>
        <v>50724</v>
      </c>
      <c r="L77" s="27" t="str">
        <f aca="false">IF(K77="","",IF(AND($C$14&lt;&gt;"",K77&gt;=$C$14),$C$15,IF(AND($C$11&lt;&gt;"",K77&gt;=$C$11),$C$12,$C$9)))</f>
        <v>Full-Time</v>
      </c>
      <c r="M77" s="26" t="n">
        <f aca="false">IF(K77="","",IF(AND($C$14&lt;&gt;"",K77&gt;=$C$14),$C$16,IF(AND($C$11&lt;&gt;"",K77&gt;=$C$11),$C$13,$C$10)))</f>
        <v>38</v>
      </c>
      <c r="N77" s="27" t="str">
        <f aca="false">IF(K77="","",IF(L77="","None",IF(IFERROR(VLOOKUP(L77,TypeTable,2,0),"None")="PT",IF(N(M77)&gt;=PT_MinHours,"PT","None"),IFERROR(VLOOKUP(L77,TypeTable,2,0),"None"))))</f>
        <v>FT</v>
      </c>
      <c r="O77" s="27" t="n">
        <f aca="false">IF(I77&lt;FT_Y5,1,IF(MOD(I77-FT_Y5,12)=0,FT_AnnivDays,1))</f>
        <v>1</v>
      </c>
      <c r="P77" s="26" t="n">
        <f aca="false">IF(K77="","",IF(AND(N77="FT",K77&lt;=$F$12),O77,0))</f>
        <v>0</v>
      </c>
      <c r="Q77" s="27" t="n">
        <v>58</v>
      </c>
      <c r="R77" s="27" t="n">
        <f aca="false">PT_First+PT_Int*57</f>
        <v>288</v>
      </c>
      <c r="S77" s="27" t="str">
        <f aca="false">INT(R77/12)&amp;"y "&amp;MOD(R77,12)&amp;"m"</f>
        <v>24y 0m</v>
      </c>
      <c r="T77" s="28" t="n">
        <f aca="false">IF($C$6&lt;&gt;"Yes","",IF(AND($F$8&lt;&gt;"",EDATE($C$8,R77)&lt;$F$8),EDATE($C$8+N($F$10),R77),EDATE($C$8+$C$17,R77)))</f>
        <v>53008</v>
      </c>
      <c r="U77" s="27" t="str">
        <f aca="false">IF(T77="","",IF(AND($C$14&lt;&gt;"",T77&gt;=$C$14),$C$15,IF(AND($C$11&lt;&gt;"",T77&gt;=$C$11),$C$12,$C$9)))</f>
        <v>Full-Time</v>
      </c>
      <c r="V77" s="26" t="n">
        <f aca="false">IF(T77="","",IF(AND($C$14&lt;&gt;"",T77&gt;=$C$14),$C$16,IF(AND($C$11&lt;&gt;"",T77&gt;=$C$11),$C$13,$C$10)))</f>
        <v>38</v>
      </c>
      <c r="W77" s="27" t="str">
        <f aca="false">IF(T77="","",IF(U77="","None",IF(IFERROR(VLOOKUP(U77,TypeTable,2,0),"None")="PT",IF(N(V77)&gt;=PT_MinHours,"PT","None"),IFERROR(VLOOKUP(U77,TypeTable,2,0),"None"))))</f>
        <v>FT</v>
      </c>
      <c r="X77" s="27" t="n">
        <v>1</v>
      </c>
      <c r="Y77" s="26" t="n">
        <f aca="false">IF(T77="","",IF(AND(W77="PT",T77&lt;=$F$12),X77,0))</f>
        <v>0</v>
      </c>
    </row>
    <row r="78" customFormat="false" ht="15" hidden="false" customHeight="false" outlineLevel="0" collapsed="false">
      <c r="H78" s="27" t="n">
        <v>59</v>
      </c>
      <c r="I78" s="27" t="n">
        <f aca="false">IF(58&lt;FT_PreY5,FT_First+FT_Int1*58,FT_Y5+FT_Int2*(58-FT_PreY5))</f>
        <v>216</v>
      </c>
      <c r="J78" s="27" t="str">
        <f aca="false">INT(I78/12)&amp;"y "&amp;MOD(I78,12)&amp;"m"</f>
        <v>18y 0m</v>
      </c>
      <c r="K78" s="28" t="n">
        <f aca="false">IF($C$6&lt;&gt;"Yes","",IF(AND($F$8&lt;&gt;"",EDATE($C$8,I78)&lt;$F$8),EDATE($C$8+N($F$10),I78),EDATE($C$8+$C$17,I78)))</f>
        <v>50816</v>
      </c>
      <c r="L78" s="27" t="str">
        <f aca="false">IF(K78="","",IF(AND($C$14&lt;&gt;"",K78&gt;=$C$14),$C$15,IF(AND($C$11&lt;&gt;"",K78&gt;=$C$11),$C$12,$C$9)))</f>
        <v>Full-Time</v>
      </c>
      <c r="M78" s="26" t="n">
        <f aca="false">IF(K78="","",IF(AND($C$14&lt;&gt;"",K78&gt;=$C$14),$C$16,IF(AND($C$11&lt;&gt;"",K78&gt;=$C$11),$C$13,$C$10)))</f>
        <v>38</v>
      </c>
      <c r="N78" s="27" t="str">
        <f aca="false">IF(K78="","",IF(L78="","None",IF(IFERROR(VLOOKUP(L78,TypeTable,2,0),"None")="PT",IF(N(M78)&gt;=PT_MinHours,"PT","None"),IFERROR(VLOOKUP(L78,TypeTable,2,0),"None"))))</f>
        <v>FT</v>
      </c>
      <c r="O78" s="27" t="n">
        <f aca="false">IF(I78&lt;FT_Y5,1,IF(MOD(I78-FT_Y5,12)=0,FT_AnnivDays,1))</f>
        <v>2</v>
      </c>
      <c r="P78" s="26" t="n">
        <f aca="false">IF(K78="","",IF(AND(N78="FT",K78&lt;=$F$12),O78,0))</f>
        <v>0</v>
      </c>
      <c r="Q78" s="27" t="n">
        <v>59</v>
      </c>
      <c r="R78" s="27" t="n">
        <f aca="false">PT_First+PT_Int*58</f>
        <v>292</v>
      </c>
      <c r="S78" s="27" t="str">
        <f aca="false">INT(R78/12)&amp;"y "&amp;MOD(R78,12)&amp;"m"</f>
        <v>24y 4m</v>
      </c>
      <c r="T78" s="28" t="n">
        <f aca="false">IF($C$6&lt;&gt;"Yes","",IF(AND($F$8&lt;&gt;"",EDATE($C$8,R78)&lt;$F$8),EDATE($C$8+N($F$10),R78),EDATE($C$8+$C$17,R78)))</f>
        <v>53128</v>
      </c>
      <c r="U78" s="27" t="str">
        <f aca="false">IF(T78="","",IF(AND($C$14&lt;&gt;"",T78&gt;=$C$14),$C$15,IF(AND($C$11&lt;&gt;"",T78&gt;=$C$11),$C$12,$C$9)))</f>
        <v>Full-Time</v>
      </c>
      <c r="V78" s="26" t="n">
        <f aca="false">IF(T78="","",IF(AND($C$14&lt;&gt;"",T78&gt;=$C$14),$C$16,IF(AND($C$11&lt;&gt;"",T78&gt;=$C$11),$C$13,$C$10)))</f>
        <v>38</v>
      </c>
      <c r="W78" s="27" t="str">
        <f aca="false">IF(T78="","",IF(U78="","None",IF(IFERROR(VLOOKUP(U78,TypeTable,2,0),"None")="PT",IF(N(V78)&gt;=PT_MinHours,"PT","None"),IFERROR(VLOOKUP(U78,TypeTable,2,0),"None"))))</f>
        <v>FT</v>
      </c>
      <c r="X78" s="27" t="n">
        <v>1</v>
      </c>
      <c r="Y78" s="26" t="n">
        <f aca="false">IF(T78="","",IF(AND(W78="PT",T78&lt;=$F$12),X78,0))</f>
        <v>0</v>
      </c>
    </row>
    <row r="79" customFormat="false" ht="15" hidden="false" customHeight="false" outlineLevel="0" collapsed="false">
      <c r="H79" s="27" t="n">
        <v>60</v>
      </c>
      <c r="I79" s="27" t="n">
        <f aca="false">IF(59&lt;FT_PreY5,FT_First+FT_Int1*59,FT_Y5+FT_Int2*(59-FT_PreY5))</f>
        <v>219</v>
      </c>
      <c r="J79" s="27" t="str">
        <f aca="false">INT(I79/12)&amp;"y "&amp;MOD(I79,12)&amp;"m"</f>
        <v>18y 3m</v>
      </c>
      <c r="K79" s="28" t="n">
        <f aca="false">IF($C$6&lt;&gt;"Yes","",IF(AND($F$8&lt;&gt;"",EDATE($C$8,I79)&lt;$F$8),EDATE($C$8+N($F$10),I79),EDATE($C$8+$C$17,I79)))</f>
        <v>50905</v>
      </c>
      <c r="L79" s="27" t="str">
        <f aca="false">IF(K79="","",IF(AND($C$14&lt;&gt;"",K79&gt;=$C$14),$C$15,IF(AND($C$11&lt;&gt;"",K79&gt;=$C$11),$C$12,$C$9)))</f>
        <v>Full-Time</v>
      </c>
      <c r="M79" s="26" t="n">
        <f aca="false">IF(K79="","",IF(AND($C$14&lt;&gt;"",K79&gt;=$C$14),$C$16,IF(AND($C$11&lt;&gt;"",K79&gt;=$C$11),$C$13,$C$10)))</f>
        <v>38</v>
      </c>
      <c r="N79" s="27" t="str">
        <f aca="false">IF(K79="","",IF(L79="","None",IF(IFERROR(VLOOKUP(L79,TypeTable,2,0),"None")="PT",IF(N(M79)&gt;=PT_MinHours,"PT","None"),IFERROR(VLOOKUP(L79,TypeTable,2,0),"None"))))</f>
        <v>FT</v>
      </c>
      <c r="O79" s="27" t="n">
        <f aca="false">IF(I79&lt;FT_Y5,1,IF(MOD(I79-FT_Y5,12)=0,FT_AnnivDays,1))</f>
        <v>1</v>
      </c>
      <c r="P79" s="26" t="n">
        <f aca="false">IF(K79="","",IF(AND(N79="FT",K79&lt;=$F$12),O79,0))</f>
        <v>0</v>
      </c>
      <c r="Q79" s="27" t="n">
        <v>60</v>
      </c>
      <c r="R79" s="27" t="n">
        <f aca="false">PT_First+PT_Int*59</f>
        <v>296</v>
      </c>
      <c r="S79" s="27" t="str">
        <f aca="false">INT(R79/12)&amp;"y "&amp;MOD(R79,12)&amp;"m"</f>
        <v>24y 8m</v>
      </c>
      <c r="T79" s="28" t="n">
        <f aca="false">IF($C$6&lt;&gt;"Yes","",IF(AND($F$8&lt;&gt;"",EDATE($C$8,R79)&lt;$F$8),EDATE($C$8+N($F$10),R79),EDATE($C$8+$C$17,R79)))</f>
        <v>53250</v>
      </c>
      <c r="U79" s="27" t="str">
        <f aca="false">IF(T79="","",IF(AND($C$14&lt;&gt;"",T79&gt;=$C$14),$C$15,IF(AND($C$11&lt;&gt;"",T79&gt;=$C$11),$C$12,$C$9)))</f>
        <v>Full-Time</v>
      </c>
      <c r="V79" s="26" t="n">
        <f aca="false">IF(T79="","",IF(AND($C$14&lt;&gt;"",T79&gt;=$C$14),$C$16,IF(AND($C$11&lt;&gt;"",T79&gt;=$C$11),$C$13,$C$10)))</f>
        <v>38</v>
      </c>
      <c r="W79" s="27" t="str">
        <f aca="false">IF(T79="","",IF(U79="","None",IF(IFERROR(VLOOKUP(U79,TypeTable,2,0),"None")="PT",IF(N(V79)&gt;=PT_MinHours,"PT","None"),IFERROR(VLOOKUP(U79,TypeTable,2,0),"None"))))</f>
        <v>FT</v>
      </c>
      <c r="X79" s="27" t="n">
        <v>1</v>
      </c>
      <c r="Y79" s="26" t="n">
        <f aca="false">IF(T79="","",IF(AND(W79="PT",T79&lt;=$F$12),X79,0))</f>
        <v>0</v>
      </c>
    </row>
    <row r="80" customFormat="false" ht="15" hidden="false" customHeight="false" outlineLevel="0" collapsed="false">
      <c r="H80" s="27" t="n">
        <v>61</v>
      </c>
      <c r="I80" s="27" t="n">
        <f aca="false">IF(60&lt;FT_PreY5,FT_First+FT_Int1*60,FT_Y5+FT_Int2*(60-FT_PreY5))</f>
        <v>222</v>
      </c>
      <c r="J80" s="27" t="str">
        <f aca="false">INT(I80/12)&amp;"y "&amp;MOD(I80,12)&amp;"m"</f>
        <v>18y 6m</v>
      </c>
      <c r="K80" s="28" t="n">
        <f aca="false">IF($C$6&lt;&gt;"Yes","",IF(AND($F$8&lt;&gt;"",EDATE($C$8,I80)&lt;$F$8),EDATE($C$8+N($F$10),I80),EDATE($C$8+$C$17,I80)))</f>
        <v>50997</v>
      </c>
      <c r="L80" s="27" t="str">
        <f aca="false">IF(K80="","",IF(AND($C$14&lt;&gt;"",K80&gt;=$C$14),$C$15,IF(AND($C$11&lt;&gt;"",K80&gt;=$C$11),$C$12,$C$9)))</f>
        <v>Full-Time</v>
      </c>
      <c r="M80" s="26" t="n">
        <f aca="false">IF(K80="","",IF(AND($C$14&lt;&gt;"",K80&gt;=$C$14),$C$16,IF(AND($C$11&lt;&gt;"",K80&gt;=$C$11),$C$13,$C$10)))</f>
        <v>38</v>
      </c>
      <c r="N80" s="27" t="str">
        <f aca="false">IF(K80="","",IF(L80="","None",IF(IFERROR(VLOOKUP(L80,TypeTable,2,0),"None")="PT",IF(N(M80)&gt;=PT_MinHours,"PT","None"),IFERROR(VLOOKUP(L80,TypeTable,2,0),"None"))))</f>
        <v>FT</v>
      </c>
      <c r="O80" s="27" t="n">
        <f aca="false">IF(I80&lt;FT_Y5,1,IF(MOD(I80-FT_Y5,12)=0,FT_AnnivDays,1))</f>
        <v>1</v>
      </c>
      <c r="P80" s="26" t="n">
        <f aca="false">IF(K80="","",IF(AND(N80="FT",K80&lt;=$F$12),O80,0))</f>
        <v>0</v>
      </c>
      <c r="Q80" s="27" t="n">
        <v>61</v>
      </c>
      <c r="R80" s="27" t="n">
        <f aca="false">PT_First+PT_Int*60</f>
        <v>300</v>
      </c>
      <c r="S80" s="27" t="str">
        <f aca="false">INT(R80/12)&amp;"y "&amp;MOD(R80,12)&amp;"m"</f>
        <v>25y 0m</v>
      </c>
      <c r="T80" s="28" t="n">
        <f aca="false">IF($C$6&lt;&gt;"Yes","",IF(AND($F$8&lt;&gt;"",EDATE($C$8,R80)&lt;$F$8),EDATE($C$8+N($F$10),R80),EDATE($C$8+$C$17,R80)))</f>
        <v>53373</v>
      </c>
      <c r="U80" s="27" t="str">
        <f aca="false">IF(T80="","",IF(AND($C$14&lt;&gt;"",T80&gt;=$C$14),$C$15,IF(AND($C$11&lt;&gt;"",T80&gt;=$C$11),$C$12,$C$9)))</f>
        <v>Full-Time</v>
      </c>
      <c r="V80" s="26" t="n">
        <f aca="false">IF(T80="","",IF(AND($C$14&lt;&gt;"",T80&gt;=$C$14),$C$16,IF(AND($C$11&lt;&gt;"",T80&gt;=$C$11),$C$13,$C$10)))</f>
        <v>38</v>
      </c>
      <c r="W80" s="27" t="str">
        <f aca="false">IF(T80="","",IF(U80="","None",IF(IFERROR(VLOOKUP(U80,TypeTable,2,0),"None")="PT",IF(N(V80)&gt;=PT_MinHours,"PT","None"),IFERROR(VLOOKUP(U80,TypeTable,2,0),"None"))))</f>
        <v>FT</v>
      </c>
      <c r="X80" s="27" t="n">
        <v>1</v>
      </c>
      <c r="Y80" s="26" t="n">
        <f aca="false">IF(T80="","",IF(AND(W80="PT",T80&lt;=$F$12),X80,0))</f>
        <v>0</v>
      </c>
    </row>
    <row r="81" customFormat="false" ht="15" hidden="false" customHeight="false" outlineLevel="0" collapsed="false">
      <c r="H81" s="27" t="n">
        <v>62</v>
      </c>
      <c r="I81" s="27" t="n">
        <f aca="false">IF(61&lt;FT_PreY5,FT_First+FT_Int1*61,FT_Y5+FT_Int2*(61-FT_PreY5))</f>
        <v>225</v>
      </c>
      <c r="J81" s="27" t="str">
        <f aca="false">INT(I81/12)&amp;"y "&amp;MOD(I81,12)&amp;"m"</f>
        <v>18y 9m</v>
      </c>
      <c r="K81" s="28" t="n">
        <f aca="false">IF($C$6&lt;&gt;"Yes","",IF(AND($F$8&lt;&gt;"",EDATE($C$8,I81)&lt;$F$8),EDATE($C$8+N($F$10),I81),EDATE($C$8+$C$17,I81)))</f>
        <v>51089</v>
      </c>
      <c r="L81" s="27" t="str">
        <f aca="false">IF(K81="","",IF(AND($C$14&lt;&gt;"",K81&gt;=$C$14),$C$15,IF(AND($C$11&lt;&gt;"",K81&gt;=$C$11),$C$12,$C$9)))</f>
        <v>Full-Time</v>
      </c>
      <c r="M81" s="26" t="n">
        <f aca="false">IF(K81="","",IF(AND($C$14&lt;&gt;"",K81&gt;=$C$14),$C$16,IF(AND($C$11&lt;&gt;"",K81&gt;=$C$11),$C$13,$C$10)))</f>
        <v>38</v>
      </c>
      <c r="N81" s="27" t="str">
        <f aca="false">IF(K81="","",IF(L81="","None",IF(IFERROR(VLOOKUP(L81,TypeTable,2,0),"None")="PT",IF(N(M81)&gt;=PT_MinHours,"PT","None"),IFERROR(VLOOKUP(L81,TypeTable,2,0),"None"))))</f>
        <v>FT</v>
      </c>
      <c r="O81" s="27" t="n">
        <f aca="false">IF(I81&lt;FT_Y5,1,IF(MOD(I81-FT_Y5,12)=0,FT_AnnivDays,1))</f>
        <v>1</v>
      </c>
      <c r="P81" s="26" t="n">
        <f aca="false">IF(K81="","",IF(AND(N81="FT",K81&lt;=$F$12),O81,0))</f>
        <v>0</v>
      </c>
      <c r="Q81" s="27" t="n">
        <v>62</v>
      </c>
      <c r="R81" s="27" t="n">
        <f aca="false">PT_First+PT_Int*61</f>
        <v>304</v>
      </c>
      <c r="S81" s="27" t="str">
        <f aca="false">INT(R81/12)&amp;"y "&amp;MOD(R81,12)&amp;"m"</f>
        <v>25y 4m</v>
      </c>
      <c r="T81" s="28" t="n">
        <f aca="false">IF($C$6&lt;&gt;"Yes","",IF(AND($F$8&lt;&gt;"",EDATE($C$8,R81)&lt;$F$8),EDATE($C$8+N($F$10),R81),EDATE($C$8+$C$17,R81)))</f>
        <v>53493</v>
      </c>
      <c r="U81" s="27" t="str">
        <f aca="false">IF(T81="","",IF(AND($C$14&lt;&gt;"",T81&gt;=$C$14),$C$15,IF(AND($C$11&lt;&gt;"",T81&gt;=$C$11),$C$12,$C$9)))</f>
        <v>Full-Time</v>
      </c>
      <c r="V81" s="26" t="n">
        <f aca="false">IF(T81="","",IF(AND($C$14&lt;&gt;"",T81&gt;=$C$14),$C$16,IF(AND($C$11&lt;&gt;"",T81&gt;=$C$11),$C$13,$C$10)))</f>
        <v>38</v>
      </c>
      <c r="W81" s="27" t="str">
        <f aca="false">IF(T81="","",IF(U81="","None",IF(IFERROR(VLOOKUP(U81,TypeTable,2,0),"None")="PT",IF(N(V81)&gt;=PT_MinHours,"PT","None"),IFERROR(VLOOKUP(U81,TypeTable,2,0),"None"))))</f>
        <v>FT</v>
      </c>
      <c r="X81" s="27" t="n">
        <v>1</v>
      </c>
      <c r="Y81" s="26" t="n">
        <f aca="false">IF(T81="","",IF(AND(W81="PT",T81&lt;=$F$12),X81,0))</f>
        <v>0</v>
      </c>
    </row>
    <row r="82" customFormat="false" ht="15" hidden="false" customHeight="false" outlineLevel="0" collapsed="false">
      <c r="H82" s="27" t="n">
        <v>63</v>
      </c>
      <c r="I82" s="27" t="n">
        <f aca="false">IF(62&lt;FT_PreY5,FT_First+FT_Int1*62,FT_Y5+FT_Int2*(62-FT_PreY5))</f>
        <v>228</v>
      </c>
      <c r="J82" s="27" t="str">
        <f aca="false">INT(I82/12)&amp;"y "&amp;MOD(I82,12)&amp;"m"</f>
        <v>19y 0m</v>
      </c>
      <c r="K82" s="28" t="n">
        <f aca="false">IF($C$6&lt;&gt;"Yes","",IF(AND($F$8&lt;&gt;"",EDATE($C$8,I82)&lt;$F$8),EDATE($C$8+N($F$10),I82),EDATE($C$8+$C$17,I82)))</f>
        <v>51181</v>
      </c>
      <c r="L82" s="27" t="str">
        <f aca="false">IF(K82="","",IF(AND($C$14&lt;&gt;"",K82&gt;=$C$14),$C$15,IF(AND($C$11&lt;&gt;"",K82&gt;=$C$11),$C$12,$C$9)))</f>
        <v>Full-Time</v>
      </c>
      <c r="M82" s="26" t="n">
        <f aca="false">IF(K82="","",IF(AND($C$14&lt;&gt;"",K82&gt;=$C$14),$C$16,IF(AND($C$11&lt;&gt;"",K82&gt;=$C$11),$C$13,$C$10)))</f>
        <v>38</v>
      </c>
      <c r="N82" s="27" t="str">
        <f aca="false">IF(K82="","",IF(L82="","None",IF(IFERROR(VLOOKUP(L82,TypeTable,2,0),"None")="PT",IF(N(M82)&gt;=PT_MinHours,"PT","None"),IFERROR(VLOOKUP(L82,TypeTable,2,0),"None"))))</f>
        <v>FT</v>
      </c>
      <c r="O82" s="27" t="n">
        <f aca="false">IF(I82&lt;FT_Y5,1,IF(MOD(I82-FT_Y5,12)=0,FT_AnnivDays,1))</f>
        <v>2</v>
      </c>
      <c r="P82" s="26" t="n">
        <f aca="false">IF(K82="","",IF(AND(N82="FT",K82&lt;=$F$12),O82,0))</f>
        <v>0</v>
      </c>
      <c r="Q82" s="27" t="n">
        <v>63</v>
      </c>
      <c r="R82" s="27" t="n">
        <f aca="false">PT_First+PT_Int*62</f>
        <v>308</v>
      </c>
      <c r="S82" s="27" t="str">
        <f aca="false">INT(R82/12)&amp;"y "&amp;MOD(R82,12)&amp;"m"</f>
        <v>25y 8m</v>
      </c>
      <c r="T82" s="28" t="n">
        <f aca="false">IF($C$6&lt;&gt;"Yes","",IF(AND($F$8&lt;&gt;"",EDATE($C$8,R82)&lt;$F$8),EDATE($C$8+N($F$10),R82),EDATE($C$8+$C$17,R82)))</f>
        <v>53615</v>
      </c>
      <c r="U82" s="27" t="str">
        <f aca="false">IF(T82="","",IF(AND($C$14&lt;&gt;"",T82&gt;=$C$14),$C$15,IF(AND($C$11&lt;&gt;"",T82&gt;=$C$11),$C$12,$C$9)))</f>
        <v>Full-Time</v>
      </c>
      <c r="V82" s="26" t="n">
        <f aca="false">IF(T82="","",IF(AND($C$14&lt;&gt;"",T82&gt;=$C$14),$C$16,IF(AND($C$11&lt;&gt;"",T82&gt;=$C$11),$C$13,$C$10)))</f>
        <v>38</v>
      </c>
      <c r="W82" s="27" t="str">
        <f aca="false">IF(T82="","",IF(U82="","None",IF(IFERROR(VLOOKUP(U82,TypeTable,2,0),"None")="PT",IF(N(V82)&gt;=PT_MinHours,"PT","None"),IFERROR(VLOOKUP(U82,TypeTable,2,0),"None"))))</f>
        <v>FT</v>
      </c>
      <c r="X82" s="27" t="n">
        <v>1</v>
      </c>
      <c r="Y82" s="26" t="n">
        <f aca="false">IF(T82="","",IF(AND(W82="PT",T82&lt;=$F$12),X82,0))</f>
        <v>0</v>
      </c>
    </row>
    <row r="83" customFormat="false" ht="15" hidden="false" customHeight="false" outlineLevel="0" collapsed="false">
      <c r="H83" s="27" t="n">
        <v>64</v>
      </c>
      <c r="I83" s="27" t="n">
        <f aca="false">IF(63&lt;FT_PreY5,FT_First+FT_Int1*63,FT_Y5+FT_Int2*(63-FT_PreY5))</f>
        <v>231</v>
      </c>
      <c r="J83" s="27" t="str">
        <f aca="false">INT(I83/12)&amp;"y "&amp;MOD(I83,12)&amp;"m"</f>
        <v>19y 3m</v>
      </c>
      <c r="K83" s="28" t="n">
        <f aca="false">IF($C$6&lt;&gt;"Yes","",IF(AND($F$8&lt;&gt;"",EDATE($C$8,I83)&lt;$F$8),EDATE($C$8+N($F$10),I83),EDATE($C$8+$C$17,I83)))</f>
        <v>51271</v>
      </c>
      <c r="L83" s="27" t="str">
        <f aca="false">IF(K83="","",IF(AND($C$14&lt;&gt;"",K83&gt;=$C$14),$C$15,IF(AND($C$11&lt;&gt;"",K83&gt;=$C$11),$C$12,$C$9)))</f>
        <v>Full-Time</v>
      </c>
      <c r="M83" s="26" t="n">
        <f aca="false">IF(K83="","",IF(AND($C$14&lt;&gt;"",K83&gt;=$C$14),$C$16,IF(AND($C$11&lt;&gt;"",K83&gt;=$C$11),$C$13,$C$10)))</f>
        <v>38</v>
      </c>
      <c r="N83" s="27" t="str">
        <f aca="false">IF(K83="","",IF(L83="","None",IF(IFERROR(VLOOKUP(L83,TypeTable,2,0),"None")="PT",IF(N(M83)&gt;=PT_MinHours,"PT","None"),IFERROR(VLOOKUP(L83,TypeTable,2,0),"None"))))</f>
        <v>FT</v>
      </c>
      <c r="O83" s="27" t="n">
        <f aca="false">IF(I83&lt;FT_Y5,1,IF(MOD(I83-FT_Y5,12)=0,FT_AnnivDays,1))</f>
        <v>1</v>
      </c>
      <c r="P83" s="26" t="n">
        <f aca="false">IF(K83="","",IF(AND(N83="FT",K83&lt;=$F$12),O83,0))</f>
        <v>0</v>
      </c>
      <c r="Q83" s="27" t="n">
        <v>64</v>
      </c>
      <c r="R83" s="27" t="n">
        <f aca="false">PT_First+PT_Int*63</f>
        <v>312</v>
      </c>
      <c r="S83" s="27" t="str">
        <f aca="false">INT(R83/12)&amp;"y "&amp;MOD(R83,12)&amp;"m"</f>
        <v>26y 0m</v>
      </c>
      <c r="T83" s="28" t="n">
        <f aca="false">IF($C$6&lt;&gt;"Yes","",IF(AND($F$8&lt;&gt;"",EDATE($C$8,R83)&lt;$F$8),EDATE($C$8+N($F$10),R83),EDATE($C$8+$C$17,R83)))</f>
        <v>53738</v>
      </c>
      <c r="U83" s="27" t="str">
        <f aca="false">IF(T83="","",IF(AND($C$14&lt;&gt;"",T83&gt;=$C$14),$C$15,IF(AND($C$11&lt;&gt;"",T83&gt;=$C$11),$C$12,$C$9)))</f>
        <v>Full-Time</v>
      </c>
      <c r="V83" s="26" t="n">
        <f aca="false">IF(T83="","",IF(AND($C$14&lt;&gt;"",T83&gt;=$C$14),$C$16,IF(AND($C$11&lt;&gt;"",T83&gt;=$C$11),$C$13,$C$10)))</f>
        <v>38</v>
      </c>
      <c r="W83" s="27" t="str">
        <f aca="false">IF(T83="","",IF(U83="","None",IF(IFERROR(VLOOKUP(U83,TypeTable,2,0),"None")="PT",IF(N(V83)&gt;=PT_MinHours,"PT","None"),IFERROR(VLOOKUP(U83,TypeTable,2,0),"None"))))</f>
        <v>FT</v>
      </c>
      <c r="X83" s="27" t="n">
        <v>1</v>
      </c>
      <c r="Y83" s="26" t="n">
        <f aca="false">IF(T83="","",IF(AND(W83="PT",T83&lt;=$F$12),X83,0))</f>
        <v>0</v>
      </c>
    </row>
    <row r="84" customFormat="false" ht="15" hidden="false" customHeight="false" outlineLevel="0" collapsed="false">
      <c r="H84" s="27" t="n">
        <v>65</v>
      </c>
      <c r="I84" s="27" t="n">
        <f aca="false">IF(64&lt;FT_PreY5,FT_First+FT_Int1*64,FT_Y5+FT_Int2*(64-FT_PreY5))</f>
        <v>234</v>
      </c>
      <c r="J84" s="27" t="str">
        <f aca="false">INT(I84/12)&amp;"y "&amp;MOD(I84,12)&amp;"m"</f>
        <v>19y 6m</v>
      </c>
      <c r="K84" s="28" t="n">
        <f aca="false">IF($C$6&lt;&gt;"Yes","",IF(AND($F$8&lt;&gt;"",EDATE($C$8,I84)&lt;$F$8),EDATE($C$8+N($F$10),I84),EDATE($C$8+$C$17,I84)))</f>
        <v>51363</v>
      </c>
      <c r="L84" s="27" t="str">
        <f aca="false">IF(K84="","",IF(AND($C$14&lt;&gt;"",K84&gt;=$C$14),$C$15,IF(AND($C$11&lt;&gt;"",K84&gt;=$C$11),$C$12,$C$9)))</f>
        <v>Full-Time</v>
      </c>
      <c r="M84" s="26" t="n">
        <f aca="false">IF(K84="","",IF(AND($C$14&lt;&gt;"",K84&gt;=$C$14),$C$16,IF(AND($C$11&lt;&gt;"",K84&gt;=$C$11),$C$13,$C$10)))</f>
        <v>38</v>
      </c>
      <c r="N84" s="27" t="str">
        <f aca="false">IF(K84="","",IF(L84="","None",IF(IFERROR(VLOOKUP(L84,TypeTable,2,0),"None")="PT",IF(N(M84)&gt;=PT_MinHours,"PT","None"),IFERROR(VLOOKUP(L84,TypeTable,2,0),"None"))))</f>
        <v>FT</v>
      </c>
      <c r="O84" s="27" t="n">
        <f aca="false">IF(I84&lt;FT_Y5,1,IF(MOD(I84-FT_Y5,12)=0,FT_AnnivDays,1))</f>
        <v>1</v>
      </c>
      <c r="P84" s="26" t="n">
        <f aca="false">IF(K84="","",IF(AND(N84="FT",K84&lt;=$F$12),O84,0))</f>
        <v>0</v>
      </c>
      <c r="Q84" s="27" t="n">
        <v>65</v>
      </c>
      <c r="R84" s="27" t="n">
        <f aca="false">PT_First+PT_Int*64</f>
        <v>316</v>
      </c>
      <c r="S84" s="27" t="str">
        <f aca="false">INT(R84/12)&amp;"y "&amp;MOD(R84,12)&amp;"m"</f>
        <v>26y 4m</v>
      </c>
      <c r="T84" s="28" t="n">
        <f aca="false">IF($C$6&lt;&gt;"Yes","",IF(AND($F$8&lt;&gt;"",EDATE($C$8,R84)&lt;$F$8),EDATE($C$8+N($F$10),R84),EDATE($C$8+$C$17,R84)))</f>
        <v>53858</v>
      </c>
      <c r="U84" s="27" t="str">
        <f aca="false">IF(T84="","",IF(AND($C$14&lt;&gt;"",T84&gt;=$C$14),$C$15,IF(AND($C$11&lt;&gt;"",T84&gt;=$C$11),$C$12,$C$9)))</f>
        <v>Full-Time</v>
      </c>
      <c r="V84" s="26" t="n">
        <f aca="false">IF(T84="","",IF(AND($C$14&lt;&gt;"",T84&gt;=$C$14),$C$16,IF(AND($C$11&lt;&gt;"",T84&gt;=$C$11),$C$13,$C$10)))</f>
        <v>38</v>
      </c>
      <c r="W84" s="27" t="str">
        <f aca="false">IF(T84="","",IF(U84="","None",IF(IFERROR(VLOOKUP(U84,TypeTable,2,0),"None")="PT",IF(N(V84)&gt;=PT_MinHours,"PT","None"),IFERROR(VLOOKUP(U84,TypeTable,2,0),"None"))))</f>
        <v>FT</v>
      </c>
      <c r="X84" s="27" t="n">
        <v>1</v>
      </c>
      <c r="Y84" s="26" t="n">
        <f aca="false">IF(T84="","",IF(AND(W84="PT",T84&lt;=$F$12),X84,0))</f>
        <v>0</v>
      </c>
    </row>
    <row r="85" customFormat="false" ht="15" hidden="false" customHeight="false" outlineLevel="0" collapsed="false">
      <c r="H85" s="27" t="n">
        <v>66</v>
      </c>
      <c r="I85" s="27" t="n">
        <f aca="false">IF(65&lt;FT_PreY5,FT_First+FT_Int1*65,FT_Y5+FT_Int2*(65-FT_PreY5))</f>
        <v>237</v>
      </c>
      <c r="J85" s="27" t="str">
        <f aca="false">INT(I85/12)&amp;"y "&amp;MOD(I85,12)&amp;"m"</f>
        <v>19y 9m</v>
      </c>
      <c r="K85" s="28" t="n">
        <f aca="false">IF($C$6&lt;&gt;"Yes","",IF(AND($F$8&lt;&gt;"",EDATE($C$8,I85)&lt;$F$8),EDATE($C$8+N($F$10),I85),EDATE($C$8+$C$17,I85)))</f>
        <v>51455</v>
      </c>
      <c r="L85" s="27" t="str">
        <f aca="false">IF(K85="","",IF(AND($C$14&lt;&gt;"",K85&gt;=$C$14),$C$15,IF(AND($C$11&lt;&gt;"",K85&gt;=$C$11),$C$12,$C$9)))</f>
        <v>Full-Time</v>
      </c>
      <c r="M85" s="26" t="n">
        <f aca="false">IF(K85="","",IF(AND($C$14&lt;&gt;"",K85&gt;=$C$14),$C$16,IF(AND($C$11&lt;&gt;"",K85&gt;=$C$11),$C$13,$C$10)))</f>
        <v>38</v>
      </c>
      <c r="N85" s="27" t="str">
        <f aca="false">IF(K85="","",IF(L85="","None",IF(IFERROR(VLOOKUP(L85,TypeTable,2,0),"None")="PT",IF(N(M85)&gt;=PT_MinHours,"PT","None"),IFERROR(VLOOKUP(L85,TypeTable,2,0),"None"))))</f>
        <v>FT</v>
      </c>
      <c r="O85" s="27" t="n">
        <f aca="false">IF(I85&lt;FT_Y5,1,IF(MOD(I85-FT_Y5,12)=0,FT_AnnivDays,1))</f>
        <v>1</v>
      </c>
      <c r="P85" s="26" t="n">
        <f aca="false">IF(K85="","",IF(AND(N85="FT",K85&lt;=$F$12),O85,0))</f>
        <v>0</v>
      </c>
      <c r="Q85" s="27" t="n">
        <v>66</v>
      </c>
      <c r="R85" s="27" t="n">
        <f aca="false">PT_First+PT_Int*65</f>
        <v>320</v>
      </c>
      <c r="S85" s="27" t="str">
        <f aca="false">INT(R85/12)&amp;"y "&amp;MOD(R85,12)&amp;"m"</f>
        <v>26y 8m</v>
      </c>
      <c r="T85" s="28" t="n">
        <f aca="false">IF($C$6&lt;&gt;"Yes","",IF(AND($F$8&lt;&gt;"",EDATE($C$8,R85)&lt;$F$8),EDATE($C$8+N($F$10),R85),EDATE($C$8+$C$17,R85)))</f>
        <v>53980</v>
      </c>
      <c r="U85" s="27" t="str">
        <f aca="false">IF(T85="","",IF(AND($C$14&lt;&gt;"",T85&gt;=$C$14),$C$15,IF(AND($C$11&lt;&gt;"",T85&gt;=$C$11),$C$12,$C$9)))</f>
        <v>Full-Time</v>
      </c>
      <c r="V85" s="26" t="n">
        <f aca="false">IF(T85="","",IF(AND($C$14&lt;&gt;"",T85&gt;=$C$14),$C$16,IF(AND($C$11&lt;&gt;"",T85&gt;=$C$11),$C$13,$C$10)))</f>
        <v>38</v>
      </c>
      <c r="W85" s="27" t="str">
        <f aca="false">IF(T85="","",IF(U85="","None",IF(IFERROR(VLOOKUP(U85,TypeTable,2,0),"None")="PT",IF(N(V85)&gt;=PT_MinHours,"PT","None"),IFERROR(VLOOKUP(U85,TypeTable,2,0),"None"))))</f>
        <v>FT</v>
      </c>
      <c r="X85" s="27" t="n">
        <v>1</v>
      </c>
      <c r="Y85" s="26" t="n">
        <f aca="false">IF(T85="","",IF(AND(W85="PT",T85&lt;=$F$12),X85,0))</f>
        <v>0</v>
      </c>
    </row>
    <row r="86" customFormat="false" ht="15" hidden="false" customHeight="false" outlineLevel="0" collapsed="false">
      <c r="H86" s="27" t="n">
        <v>67</v>
      </c>
      <c r="I86" s="27" t="n">
        <f aca="false">IF(66&lt;FT_PreY5,FT_First+FT_Int1*66,FT_Y5+FT_Int2*(66-FT_PreY5))</f>
        <v>240</v>
      </c>
      <c r="J86" s="27" t="str">
        <f aca="false">INT(I86/12)&amp;"y "&amp;MOD(I86,12)&amp;"m"</f>
        <v>20y 0m</v>
      </c>
      <c r="K86" s="28" t="n">
        <f aca="false">IF($C$6&lt;&gt;"Yes","",IF(AND($F$8&lt;&gt;"",EDATE($C$8,I86)&lt;$F$8),EDATE($C$8+N($F$10),I86),EDATE($C$8+$C$17,I86)))</f>
        <v>51547</v>
      </c>
      <c r="L86" s="27" t="str">
        <f aca="false">IF(K86="","",IF(AND($C$14&lt;&gt;"",K86&gt;=$C$14),$C$15,IF(AND($C$11&lt;&gt;"",K86&gt;=$C$11),$C$12,$C$9)))</f>
        <v>Full-Time</v>
      </c>
      <c r="M86" s="26" t="n">
        <f aca="false">IF(K86="","",IF(AND($C$14&lt;&gt;"",K86&gt;=$C$14),$C$16,IF(AND($C$11&lt;&gt;"",K86&gt;=$C$11),$C$13,$C$10)))</f>
        <v>38</v>
      </c>
      <c r="N86" s="27" t="str">
        <f aca="false">IF(K86="","",IF(L86="","None",IF(IFERROR(VLOOKUP(L86,TypeTable,2,0),"None")="PT",IF(N(M86)&gt;=PT_MinHours,"PT","None"),IFERROR(VLOOKUP(L86,TypeTable,2,0),"None"))))</f>
        <v>FT</v>
      </c>
      <c r="O86" s="27" t="n">
        <f aca="false">IF(I86&lt;FT_Y5,1,IF(MOD(I86-FT_Y5,12)=0,FT_AnnivDays,1))</f>
        <v>2</v>
      </c>
      <c r="P86" s="26" t="n">
        <f aca="false">IF(K86="","",IF(AND(N86="FT",K86&lt;=$F$12),O86,0))</f>
        <v>0</v>
      </c>
      <c r="Q86" s="27" t="n">
        <v>67</v>
      </c>
      <c r="R86" s="27" t="n">
        <f aca="false">PT_First+PT_Int*66</f>
        <v>324</v>
      </c>
      <c r="S86" s="27" t="str">
        <f aca="false">INT(R86/12)&amp;"y "&amp;MOD(R86,12)&amp;"m"</f>
        <v>27y 0m</v>
      </c>
      <c r="T86" s="28" t="n">
        <f aca="false">IF($C$6&lt;&gt;"Yes","",IF(AND($F$8&lt;&gt;"",EDATE($C$8,R86)&lt;$F$8),EDATE($C$8+N($F$10),R86),EDATE($C$8+$C$17,R86)))</f>
        <v>54103</v>
      </c>
      <c r="U86" s="27" t="str">
        <f aca="false">IF(T86="","",IF(AND($C$14&lt;&gt;"",T86&gt;=$C$14),$C$15,IF(AND($C$11&lt;&gt;"",T86&gt;=$C$11),$C$12,$C$9)))</f>
        <v>Full-Time</v>
      </c>
      <c r="V86" s="26" t="n">
        <f aca="false">IF(T86="","",IF(AND($C$14&lt;&gt;"",T86&gt;=$C$14),$C$16,IF(AND($C$11&lt;&gt;"",T86&gt;=$C$11),$C$13,$C$10)))</f>
        <v>38</v>
      </c>
      <c r="W86" s="27" t="str">
        <f aca="false">IF(T86="","",IF(U86="","None",IF(IFERROR(VLOOKUP(U86,TypeTable,2,0),"None")="PT",IF(N(V86)&gt;=PT_MinHours,"PT","None"),IFERROR(VLOOKUP(U86,TypeTable,2,0),"None"))))</f>
        <v>FT</v>
      </c>
      <c r="X86" s="27" t="n">
        <v>1</v>
      </c>
      <c r="Y86" s="26" t="n">
        <f aca="false">IF(T86="","",IF(AND(W86="PT",T86&lt;=$F$12),X86,0))</f>
        <v>0</v>
      </c>
    </row>
    <row r="87" customFormat="false" ht="15" hidden="false" customHeight="false" outlineLevel="0" collapsed="false">
      <c r="H87" s="27" t="n">
        <v>68</v>
      </c>
      <c r="I87" s="27" t="n">
        <f aca="false">IF(67&lt;FT_PreY5,FT_First+FT_Int1*67,FT_Y5+FT_Int2*(67-FT_PreY5))</f>
        <v>243</v>
      </c>
      <c r="J87" s="27" t="str">
        <f aca="false">INT(I87/12)&amp;"y "&amp;MOD(I87,12)&amp;"m"</f>
        <v>20y 3m</v>
      </c>
      <c r="K87" s="28" t="n">
        <f aca="false">IF($C$6&lt;&gt;"Yes","",IF(AND($F$8&lt;&gt;"",EDATE($C$8,I87)&lt;$F$8),EDATE($C$8+N($F$10),I87),EDATE($C$8+$C$17,I87)))</f>
        <v>51636</v>
      </c>
      <c r="L87" s="27" t="str">
        <f aca="false">IF(K87="","",IF(AND($C$14&lt;&gt;"",K87&gt;=$C$14),$C$15,IF(AND($C$11&lt;&gt;"",K87&gt;=$C$11),$C$12,$C$9)))</f>
        <v>Full-Time</v>
      </c>
      <c r="M87" s="26" t="n">
        <f aca="false">IF(K87="","",IF(AND($C$14&lt;&gt;"",K87&gt;=$C$14),$C$16,IF(AND($C$11&lt;&gt;"",K87&gt;=$C$11),$C$13,$C$10)))</f>
        <v>38</v>
      </c>
      <c r="N87" s="27" t="str">
        <f aca="false">IF(K87="","",IF(L87="","None",IF(IFERROR(VLOOKUP(L87,TypeTable,2,0),"None")="PT",IF(N(M87)&gt;=PT_MinHours,"PT","None"),IFERROR(VLOOKUP(L87,TypeTable,2,0),"None"))))</f>
        <v>FT</v>
      </c>
      <c r="O87" s="27" t="n">
        <f aca="false">IF(I87&lt;FT_Y5,1,IF(MOD(I87-FT_Y5,12)=0,FT_AnnivDays,1))</f>
        <v>1</v>
      </c>
      <c r="P87" s="26" t="n">
        <f aca="false">IF(K87="","",IF(AND(N87="FT",K87&lt;=$F$12),O87,0))</f>
        <v>0</v>
      </c>
      <c r="Q87" s="27" t="n">
        <v>68</v>
      </c>
      <c r="R87" s="27" t="n">
        <f aca="false">PT_First+PT_Int*67</f>
        <v>328</v>
      </c>
      <c r="S87" s="27" t="str">
        <f aca="false">INT(R87/12)&amp;"y "&amp;MOD(R87,12)&amp;"m"</f>
        <v>27y 4m</v>
      </c>
      <c r="T87" s="28" t="n">
        <f aca="false">IF($C$6&lt;&gt;"Yes","",IF(AND($F$8&lt;&gt;"",EDATE($C$8,R87)&lt;$F$8),EDATE($C$8+N($F$10),R87),EDATE($C$8+$C$17,R87)))</f>
        <v>54224</v>
      </c>
      <c r="U87" s="27" t="str">
        <f aca="false">IF(T87="","",IF(AND($C$14&lt;&gt;"",T87&gt;=$C$14),$C$15,IF(AND($C$11&lt;&gt;"",T87&gt;=$C$11),$C$12,$C$9)))</f>
        <v>Full-Time</v>
      </c>
      <c r="V87" s="26" t="n">
        <f aca="false">IF(T87="","",IF(AND($C$14&lt;&gt;"",T87&gt;=$C$14),$C$16,IF(AND($C$11&lt;&gt;"",T87&gt;=$C$11),$C$13,$C$10)))</f>
        <v>38</v>
      </c>
      <c r="W87" s="27" t="str">
        <f aca="false">IF(T87="","",IF(U87="","None",IF(IFERROR(VLOOKUP(U87,TypeTable,2,0),"None")="PT",IF(N(V87)&gt;=PT_MinHours,"PT","None"),IFERROR(VLOOKUP(U87,TypeTable,2,0),"None"))))</f>
        <v>FT</v>
      </c>
      <c r="X87" s="27" t="n">
        <v>1</v>
      </c>
      <c r="Y87" s="26" t="n">
        <f aca="false">IF(T87="","",IF(AND(W87="PT",T87&lt;=$F$12),X87,0))</f>
        <v>0</v>
      </c>
    </row>
    <row r="88" customFormat="false" ht="15" hidden="false" customHeight="false" outlineLevel="0" collapsed="false">
      <c r="H88" s="27" t="n">
        <v>69</v>
      </c>
      <c r="I88" s="27" t="n">
        <f aca="false">IF(68&lt;FT_PreY5,FT_First+FT_Int1*68,FT_Y5+FT_Int2*(68-FT_PreY5))</f>
        <v>246</v>
      </c>
      <c r="J88" s="27" t="str">
        <f aca="false">INT(I88/12)&amp;"y "&amp;MOD(I88,12)&amp;"m"</f>
        <v>20y 6m</v>
      </c>
      <c r="K88" s="28" t="n">
        <f aca="false">IF($C$6&lt;&gt;"Yes","",IF(AND($F$8&lt;&gt;"",EDATE($C$8,I88)&lt;$F$8),EDATE($C$8+N($F$10),I88),EDATE($C$8+$C$17,I88)))</f>
        <v>51728</v>
      </c>
      <c r="L88" s="27" t="str">
        <f aca="false">IF(K88="","",IF(AND($C$14&lt;&gt;"",K88&gt;=$C$14),$C$15,IF(AND($C$11&lt;&gt;"",K88&gt;=$C$11),$C$12,$C$9)))</f>
        <v>Full-Time</v>
      </c>
      <c r="M88" s="26" t="n">
        <f aca="false">IF(K88="","",IF(AND($C$14&lt;&gt;"",K88&gt;=$C$14),$C$16,IF(AND($C$11&lt;&gt;"",K88&gt;=$C$11),$C$13,$C$10)))</f>
        <v>38</v>
      </c>
      <c r="N88" s="27" t="str">
        <f aca="false">IF(K88="","",IF(L88="","None",IF(IFERROR(VLOOKUP(L88,TypeTable,2,0),"None")="PT",IF(N(M88)&gt;=PT_MinHours,"PT","None"),IFERROR(VLOOKUP(L88,TypeTable,2,0),"None"))))</f>
        <v>FT</v>
      </c>
      <c r="O88" s="27" t="n">
        <f aca="false">IF(I88&lt;FT_Y5,1,IF(MOD(I88-FT_Y5,12)=0,FT_AnnivDays,1))</f>
        <v>1</v>
      </c>
      <c r="P88" s="26" t="n">
        <f aca="false">IF(K88="","",IF(AND(N88="FT",K88&lt;=$F$12),O88,0))</f>
        <v>0</v>
      </c>
      <c r="Q88" s="27" t="n">
        <v>69</v>
      </c>
      <c r="R88" s="27" t="n">
        <f aca="false">PT_First+PT_Int*68</f>
        <v>332</v>
      </c>
      <c r="S88" s="27" t="str">
        <f aca="false">INT(R88/12)&amp;"y "&amp;MOD(R88,12)&amp;"m"</f>
        <v>27y 8m</v>
      </c>
      <c r="T88" s="28" t="n">
        <f aca="false">IF($C$6&lt;&gt;"Yes","",IF(AND($F$8&lt;&gt;"",EDATE($C$8,R88)&lt;$F$8),EDATE($C$8+N($F$10),R88),EDATE($C$8+$C$17,R88)))</f>
        <v>54346</v>
      </c>
      <c r="U88" s="27" t="str">
        <f aca="false">IF(T88="","",IF(AND($C$14&lt;&gt;"",T88&gt;=$C$14),$C$15,IF(AND($C$11&lt;&gt;"",T88&gt;=$C$11),$C$12,$C$9)))</f>
        <v>Full-Time</v>
      </c>
      <c r="V88" s="26" t="n">
        <f aca="false">IF(T88="","",IF(AND($C$14&lt;&gt;"",T88&gt;=$C$14),$C$16,IF(AND($C$11&lt;&gt;"",T88&gt;=$C$11),$C$13,$C$10)))</f>
        <v>38</v>
      </c>
      <c r="W88" s="27" t="str">
        <f aca="false">IF(T88="","",IF(U88="","None",IF(IFERROR(VLOOKUP(U88,TypeTable,2,0),"None")="PT",IF(N(V88)&gt;=PT_MinHours,"PT","None"),IFERROR(VLOOKUP(U88,TypeTable,2,0),"None"))))</f>
        <v>FT</v>
      </c>
      <c r="X88" s="27" t="n">
        <v>1</v>
      </c>
      <c r="Y88" s="26" t="n">
        <f aca="false">IF(T88="","",IF(AND(W88="PT",T88&lt;=$F$12),X88,0))</f>
        <v>0</v>
      </c>
    </row>
    <row r="89" customFormat="false" ht="15" hidden="false" customHeight="false" outlineLevel="0" collapsed="false">
      <c r="H89" s="27" t="n">
        <v>70</v>
      </c>
      <c r="I89" s="27" t="n">
        <f aca="false">IF(69&lt;FT_PreY5,FT_First+FT_Int1*69,FT_Y5+FT_Int2*(69-FT_PreY5))</f>
        <v>249</v>
      </c>
      <c r="J89" s="27" t="str">
        <f aca="false">INT(I89/12)&amp;"y "&amp;MOD(I89,12)&amp;"m"</f>
        <v>20y 9m</v>
      </c>
      <c r="K89" s="28" t="n">
        <f aca="false">IF($C$6&lt;&gt;"Yes","",IF(AND($F$8&lt;&gt;"",EDATE($C$8,I89)&lt;$F$8),EDATE($C$8+N($F$10),I89),EDATE($C$8+$C$17,I89)))</f>
        <v>51820</v>
      </c>
      <c r="L89" s="27" t="str">
        <f aca="false">IF(K89="","",IF(AND($C$14&lt;&gt;"",K89&gt;=$C$14),$C$15,IF(AND($C$11&lt;&gt;"",K89&gt;=$C$11),$C$12,$C$9)))</f>
        <v>Full-Time</v>
      </c>
      <c r="M89" s="26" t="n">
        <f aca="false">IF(K89="","",IF(AND($C$14&lt;&gt;"",K89&gt;=$C$14),$C$16,IF(AND($C$11&lt;&gt;"",K89&gt;=$C$11),$C$13,$C$10)))</f>
        <v>38</v>
      </c>
      <c r="N89" s="27" t="str">
        <f aca="false">IF(K89="","",IF(L89="","None",IF(IFERROR(VLOOKUP(L89,TypeTable,2,0),"None")="PT",IF(N(M89)&gt;=PT_MinHours,"PT","None"),IFERROR(VLOOKUP(L89,TypeTable,2,0),"None"))))</f>
        <v>FT</v>
      </c>
      <c r="O89" s="27" t="n">
        <f aca="false">IF(I89&lt;FT_Y5,1,IF(MOD(I89-FT_Y5,12)=0,FT_AnnivDays,1))</f>
        <v>1</v>
      </c>
      <c r="P89" s="26" t="n">
        <f aca="false">IF(K89="","",IF(AND(N89="FT",K89&lt;=$F$12),O89,0))</f>
        <v>0</v>
      </c>
      <c r="Q89" s="27" t="n">
        <v>70</v>
      </c>
      <c r="R89" s="27" t="n">
        <f aca="false">PT_First+PT_Int*69</f>
        <v>336</v>
      </c>
      <c r="S89" s="27" t="str">
        <f aca="false">INT(R89/12)&amp;"y "&amp;MOD(R89,12)&amp;"m"</f>
        <v>28y 0m</v>
      </c>
      <c r="T89" s="28" t="n">
        <f aca="false">IF($C$6&lt;&gt;"Yes","",IF(AND($F$8&lt;&gt;"",EDATE($C$8,R89)&lt;$F$8),EDATE($C$8+N($F$10),R89),EDATE($C$8+$C$17,R89)))</f>
        <v>54469</v>
      </c>
      <c r="U89" s="27" t="str">
        <f aca="false">IF(T89="","",IF(AND($C$14&lt;&gt;"",T89&gt;=$C$14),$C$15,IF(AND($C$11&lt;&gt;"",T89&gt;=$C$11),$C$12,$C$9)))</f>
        <v>Full-Time</v>
      </c>
      <c r="V89" s="26" t="n">
        <f aca="false">IF(T89="","",IF(AND($C$14&lt;&gt;"",T89&gt;=$C$14),$C$16,IF(AND($C$11&lt;&gt;"",T89&gt;=$C$11),$C$13,$C$10)))</f>
        <v>38</v>
      </c>
      <c r="W89" s="27" t="str">
        <f aca="false">IF(T89="","",IF(U89="","None",IF(IFERROR(VLOOKUP(U89,TypeTable,2,0),"None")="PT",IF(N(V89)&gt;=PT_MinHours,"PT","None"),IFERROR(VLOOKUP(U89,TypeTable,2,0),"None"))))</f>
        <v>FT</v>
      </c>
      <c r="X89" s="27" t="n">
        <v>1</v>
      </c>
      <c r="Y89" s="26" t="n">
        <f aca="false">IF(T89="","",IF(AND(W89="PT",T89&lt;=$F$12),X89,0))</f>
        <v>0</v>
      </c>
    </row>
    <row r="90" customFormat="false" ht="15" hidden="false" customHeight="false" outlineLevel="0" collapsed="false">
      <c r="H90" s="27" t="n">
        <v>71</v>
      </c>
      <c r="I90" s="27" t="n">
        <f aca="false">IF(70&lt;FT_PreY5,FT_First+FT_Int1*70,FT_Y5+FT_Int2*(70-FT_PreY5))</f>
        <v>252</v>
      </c>
      <c r="J90" s="27" t="str">
        <f aca="false">INT(I90/12)&amp;"y "&amp;MOD(I90,12)&amp;"m"</f>
        <v>21y 0m</v>
      </c>
      <c r="K90" s="28" t="n">
        <f aca="false">IF($C$6&lt;&gt;"Yes","",IF(AND($F$8&lt;&gt;"",EDATE($C$8,I90)&lt;$F$8),EDATE($C$8+N($F$10),I90),EDATE($C$8+$C$17,I90)))</f>
        <v>51912</v>
      </c>
      <c r="L90" s="27" t="str">
        <f aca="false">IF(K90="","",IF(AND($C$14&lt;&gt;"",K90&gt;=$C$14),$C$15,IF(AND($C$11&lt;&gt;"",K90&gt;=$C$11),$C$12,$C$9)))</f>
        <v>Full-Time</v>
      </c>
      <c r="M90" s="26" t="n">
        <f aca="false">IF(K90="","",IF(AND($C$14&lt;&gt;"",K90&gt;=$C$14),$C$16,IF(AND($C$11&lt;&gt;"",K90&gt;=$C$11),$C$13,$C$10)))</f>
        <v>38</v>
      </c>
      <c r="N90" s="27" t="str">
        <f aca="false">IF(K90="","",IF(L90="","None",IF(IFERROR(VLOOKUP(L90,TypeTable,2,0),"None")="PT",IF(N(M90)&gt;=PT_MinHours,"PT","None"),IFERROR(VLOOKUP(L90,TypeTable,2,0),"None"))))</f>
        <v>FT</v>
      </c>
      <c r="O90" s="27" t="n">
        <f aca="false">IF(I90&lt;FT_Y5,1,IF(MOD(I90-FT_Y5,12)=0,FT_AnnivDays,1))</f>
        <v>2</v>
      </c>
      <c r="P90" s="26" t="n">
        <f aca="false">IF(K90="","",IF(AND(N90="FT",K90&lt;=$F$12),O90,0))</f>
        <v>0</v>
      </c>
      <c r="Q90" s="27" t="n">
        <v>71</v>
      </c>
      <c r="R90" s="27" t="n">
        <f aca="false">PT_First+PT_Int*70</f>
        <v>340</v>
      </c>
      <c r="S90" s="27" t="str">
        <f aca="false">INT(R90/12)&amp;"y "&amp;MOD(R90,12)&amp;"m"</f>
        <v>28y 4m</v>
      </c>
      <c r="T90" s="28" t="n">
        <f aca="false">IF($C$6&lt;&gt;"Yes","",IF(AND($F$8&lt;&gt;"",EDATE($C$8,R90)&lt;$F$8),EDATE($C$8+N($F$10),R90),EDATE($C$8+$C$17,R90)))</f>
        <v>54589</v>
      </c>
      <c r="U90" s="27" t="str">
        <f aca="false">IF(T90="","",IF(AND($C$14&lt;&gt;"",T90&gt;=$C$14),$C$15,IF(AND($C$11&lt;&gt;"",T90&gt;=$C$11),$C$12,$C$9)))</f>
        <v>Full-Time</v>
      </c>
      <c r="V90" s="26" t="n">
        <f aca="false">IF(T90="","",IF(AND($C$14&lt;&gt;"",T90&gt;=$C$14),$C$16,IF(AND($C$11&lt;&gt;"",T90&gt;=$C$11),$C$13,$C$10)))</f>
        <v>38</v>
      </c>
      <c r="W90" s="27" t="str">
        <f aca="false">IF(T90="","",IF(U90="","None",IF(IFERROR(VLOOKUP(U90,TypeTable,2,0),"None")="PT",IF(N(V90)&gt;=PT_MinHours,"PT","None"),IFERROR(VLOOKUP(U90,TypeTable,2,0),"None"))))</f>
        <v>FT</v>
      </c>
      <c r="X90" s="27" t="n">
        <v>1</v>
      </c>
      <c r="Y90" s="26" t="n">
        <f aca="false">IF(T90="","",IF(AND(W90="PT",T90&lt;=$F$12),X90,0))</f>
        <v>0</v>
      </c>
    </row>
    <row r="91" customFormat="false" ht="15" hidden="false" customHeight="false" outlineLevel="0" collapsed="false">
      <c r="H91" s="27" t="n">
        <v>72</v>
      </c>
      <c r="I91" s="27" t="n">
        <f aca="false">IF(71&lt;FT_PreY5,FT_First+FT_Int1*71,FT_Y5+FT_Int2*(71-FT_PreY5))</f>
        <v>255</v>
      </c>
      <c r="J91" s="27" t="str">
        <f aca="false">INT(I91/12)&amp;"y "&amp;MOD(I91,12)&amp;"m"</f>
        <v>21y 3m</v>
      </c>
      <c r="K91" s="28" t="n">
        <f aca="false">IF($C$6&lt;&gt;"Yes","",IF(AND($F$8&lt;&gt;"",EDATE($C$8,I91)&lt;$F$8),EDATE($C$8+N($F$10),I91),EDATE($C$8+$C$17,I91)))</f>
        <v>52001</v>
      </c>
      <c r="L91" s="27" t="str">
        <f aca="false">IF(K91="","",IF(AND($C$14&lt;&gt;"",K91&gt;=$C$14),$C$15,IF(AND($C$11&lt;&gt;"",K91&gt;=$C$11),$C$12,$C$9)))</f>
        <v>Full-Time</v>
      </c>
      <c r="M91" s="26" t="n">
        <f aca="false">IF(K91="","",IF(AND($C$14&lt;&gt;"",K91&gt;=$C$14),$C$16,IF(AND($C$11&lt;&gt;"",K91&gt;=$C$11),$C$13,$C$10)))</f>
        <v>38</v>
      </c>
      <c r="N91" s="27" t="str">
        <f aca="false">IF(K91="","",IF(L91="","None",IF(IFERROR(VLOOKUP(L91,TypeTable,2,0),"None")="PT",IF(N(M91)&gt;=PT_MinHours,"PT","None"),IFERROR(VLOOKUP(L91,TypeTable,2,0),"None"))))</f>
        <v>FT</v>
      </c>
      <c r="O91" s="27" t="n">
        <f aca="false">IF(I91&lt;FT_Y5,1,IF(MOD(I91-FT_Y5,12)=0,FT_AnnivDays,1))</f>
        <v>1</v>
      </c>
      <c r="P91" s="26" t="n">
        <f aca="false">IF(K91="","",IF(AND(N91="FT",K91&lt;=$F$12),O91,0))</f>
        <v>0</v>
      </c>
      <c r="Q91" s="27" t="n">
        <v>72</v>
      </c>
      <c r="R91" s="27" t="n">
        <f aca="false">PT_First+PT_Int*71</f>
        <v>344</v>
      </c>
      <c r="S91" s="27" t="str">
        <f aca="false">INT(R91/12)&amp;"y "&amp;MOD(R91,12)&amp;"m"</f>
        <v>28y 8m</v>
      </c>
      <c r="T91" s="28" t="n">
        <f aca="false">IF($C$6&lt;&gt;"Yes","",IF(AND($F$8&lt;&gt;"",EDATE($C$8,R91)&lt;$F$8),EDATE($C$8+N($F$10),R91),EDATE($C$8+$C$17,R91)))</f>
        <v>54711</v>
      </c>
      <c r="U91" s="27" t="str">
        <f aca="false">IF(T91="","",IF(AND($C$14&lt;&gt;"",T91&gt;=$C$14),$C$15,IF(AND($C$11&lt;&gt;"",T91&gt;=$C$11),$C$12,$C$9)))</f>
        <v>Full-Time</v>
      </c>
      <c r="V91" s="26" t="n">
        <f aca="false">IF(T91="","",IF(AND($C$14&lt;&gt;"",T91&gt;=$C$14),$C$16,IF(AND($C$11&lt;&gt;"",T91&gt;=$C$11),$C$13,$C$10)))</f>
        <v>38</v>
      </c>
      <c r="W91" s="27" t="str">
        <f aca="false">IF(T91="","",IF(U91="","None",IF(IFERROR(VLOOKUP(U91,TypeTable,2,0),"None")="PT",IF(N(V91)&gt;=PT_MinHours,"PT","None"),IFERROR(VLOOKUP(U91,TypeTable,2,0),"None"))))</f>
        <v>FT</v>
      </c>
      <c r="X91" s="27" t="n">
        <v>1</v>
      </c>
      <c r="Y91" s="26" t="n">
        <f aca="false">IF(T91="","",IF(AND(W91="PT",T91&lt;=$F$12),X91,0))</f>
        <v>0</v>
      </c>
    </row>
    <row r="92" customFormat="false" ht="15" hidden="false" customHeight="false" outlineLevel="0" collapsed="false">
      <c r="H92" s="27" t="n">
        <v>73</v>
      </c>
      <c r="I92" s="27" t="n">
        <f aca="false">IF(72&lt;FT_PreY5,FT_First+FT_Int1*72,FT_Y5+FT_Int2*(72-FT_PreY5))</f>
        <v>258</v>
      </c>
      <c r="J92" s="27" t="str">
        <f aca="false">INT(I92/12)&amp;"y "&amp;MOD(I92,12)&amp;"m"</f>
        <v>21y 6m</v>
      </c>
      <c r="K92" s="28" t="n">
        <f aca="false">IF($C$6&lt;&gt;"Yes","",IF(AND($F$8&lt;&gt;"",EDATE($C$8,I92)&lt;$F$8),EDATE($C$8+N($F$10),I92),EDATE($C$8+$C$17,I92)))</f>
        <v>52093</v>
      </c>
      <c r="L92" s="27" t="str">
        <f aca="false">IF(K92="","",IF(AND($C$14&lt;&gt;"",K92&gt;=$C$14),$C$15,IF(AND($C$11&lt;&gt;"",K92&gt;=$C$11),$C$12,$C$9)))</f>
        <v>Full-Time</v>
      </c>
      <c r="M92" s="26" t="n">
        <f aca="false">IF(K92="","",IF(AND($C$14&lt;&gt;"",K92&gt;=$C$14),$C$16,IF(AND($C$11&lt;&gt;"",K92&gt;=$C$11),$C$13,$C$10)))</f>
        <v>38</v>
      </c>
      <c r="N92" s="27" t="str">
        <f aca="false">IF(K92="","",IF(L92="","None",IF(IFERROR(VLOOKUP(L92,TypeTable,2,0),"None")="PT",IF(N(M92)&gt;=PT_MinHours,"PT","None"),IFERROR(VLOOKUP(L92,TypeTable,2,0),"None"))))</f>
        <v>FT</v>
      </c>
      <c r="O92" s="27" t="n">
        <f aca="false">IF(I92&lt;FT_Y5,1,IF(MOD(I92-FT_Y5,12)=0,FT_AnnivDays,1))</f>
        <v>1</v>
      </c>
      <c r="P92" s="26" t="n">
        <f aca="false">IF(K92="","",IF(AND(N92="FT",K92&lt;=$F$12),O92,0))</f>
        <v>0</v>
      </c>
      <c r="Q92" s="27" t="n">
        <v>73</v>
      </c>
      <c r="R92" s="27" t="n">
        <f aca="false">PT_First+PT_Int*72</f>
        <v>348</v>
      </c>
      <c r="S92" s="27" t="str">
        <f aca="false">INT(R92/12)&amp;"y "&amp;MOD(R92,12)&amp;"m"</f>
        <v>29y 0m</v>
      </c>
      <c r="T92" s="28" t="n">
        <f aca="false">IF($C$6&lt;&gt;"Yes","",IF(AND($F$8&lt;&gt;"",EDATE($C$8,R92)&lt;$F$8),EDATE($C$8+N($F$10),R92),EDATE($C$8+$C$17,R92)))</f>
        <v>54834</v>
      </c>
      <c r="U92" s="27" t="str">
        <f aca="false">IF(T92="","",IF(AND($C$14&lt;&gt;"",T92&gt;=$C$14),$C$15,IF(AND($C$11&lt;&gt;"",T92&gt;=$C$11),$C$12,$C$9)))</f>
        <v>Full-Time</v>
      </c>
      <c r="V92" s="26" t="n">
        <f aca="false">IF(T92="","",IF(AND($C$14&lt;&gt;"",T92&gt;=$C$14),$C$16,IF(AND($C$11&lt;&gt;"",T92&gt;=$C$11),$C$13,$C$10)))</f>
        <v>38</v>
      </c>
      <c r="W92" s="27" t="str">
        <f aca="false">IF(T92="","",IF(U92="","None",IF(IFERROR(VLOOKUP(U92,TypeTable,2,0),"None")="PT",IF(N(V92)&gt;=PT_MinHours,"PT","None"),IFERROR(VLOOKUP(U92,TypeTable,2,0),"None"))))</f>
        <v>FT</v>
      </c>
      <c r="X92" s="27" t="n">
        <v>1</v>
      </c>
      <c r="Y92" s="26" t="n">
        <f aca="false">IF(T92="","",IF(AND(W92="PT",T92&lt;=$F$12),X92,0))</f>
        <v>0</v>
      </c>
    </row>
    <row r="93" customFormat="false" ht="15" hidden="false" customHeight="false" outlineLevel="0" collapsed="false">
      <c r="H93" s="27" t="n">
        <v>74</v>
      </c>
      <c r="I93" s="27" t="n">
        <f aca="false">IF(73&lt;FT_PreY5,FT_First+FT_Int1*73,FT_Y5+FT_Int2*(73-FT_PreY5))</f>
        <v>261</v>
      </c>
      <c r="J93" s="27" t="str">
        <f aca="false">INT(I93/12)&amp;"y "&amp;MOD(I93,12)&amp;"m"</f>
        <v>21y 9m</v>
      </c>
      <c r="K93" s="28" t="n">
        <f aca="false">IF($C$6&lt;&gt;"Yes","",IF(AND($F$8&lt;&gt;"",EDATE($C$8,I93)&lt;$F$8),EDATE($C$8+N($F$10),I93),EDATE($C$8+$C$17,I93)))</f>
        <v>52185</v>
      </c>
      <c r="L93" s="27" t="str">
        <f aca="false">IF(K93="","",IF(AND($C$14&lt;&gt;"",K93&gt;=$C$14),$C$15,IF(AND($C$11&lt;&gt;"",K93&gt;=$C$11),$C$12,$C$9)))</f>
        <v>Full-Time</v>
      </c>
      <c r="M93" s="26" t="n">
        <f aca="false">IF(K93="","",IF(AND($C$14&lt;&gt;"",K93&gt;=$C$14),$C$16,IF(AND($C$11&lt;&gt;"",K93&gt;=$C$11),$C$13,$C$10)))</f>
        <v>38</v>
      </c>
      <c r="N93" s="27" t="str">
        <f aca="false">IF(K93="","",IF(L93="","None",IF(IFERROR(VLOOKUP(L93,TypeTable,2,0),"None")="PT",IF(N(M93)&gt;=PT_MinHours,"PT","None"),IFERROR(VLOOKUP(L93,TypeTable,2,0),"None"))))</f>
        <v>FT</v>
      </c>
      <c r="O93" s="27" t="n">
        <f aca="false">IF(I93&lt;FT_Y5,1,IF(MOD(I93-FT_Y5,12)=0,FT_AnnivDays,1))</f>
        <v>1</v>
      </c>
      <c r="P93" s="26" t="n">
        <f aca="false">IF(K93="","",IF(AND(N93="FT",K93&lt;=$F$12),O93,0))</f>
        <v>0</v>
      </c>
      <c r="Q93" s="27" t="n">
        <v>74</v>
      </c>
      <c r="R93" s="27" t="n">
        <f aca="false">PT_First+PT_Int*73</f>
        <v>352</v>
      </c>
      <c r="S93" s="27" t="str">
        <f aca="false">INT(R93/12)&amp;"y "&amp;MOD(R93,12)&amp;"m"</f>
        <v>29y 4m</v>
      </c>
      <c r="T93" s="28" t="n">
        <f aca="false">IF($C$6&lt;&gt;"Yes","",IF(AND($F$8&lt;&gt;"",EDATE($C$8,R93)&lt;$F$8),EDATE($C$8+N($F$10),R93),EDATE($C$8+$C$17,R93)))</f>
        <v>54954</v>
      </c>
      <c r="U93" s="27" t="str">
        <f aca="false">IF(T93="","",IF(AND($C$14&lt;&gt;"",T93&gt;=$C$14),$C$15,IF(AND($C$11&lt;&gt;"",T93&gt;=$C$11),$C$12,$C$9)))</f>
        <v>Full-Time</v>
      </c>
      <c r="V93" s="26" t="n">
        <f aca="false">IF(T93="","",IF(AND($C$14&lt;&gt;"",T93&gt;=$C$14),$C$16,IF(AND($C$11&lt;&gt;"",T93&gt;=$C$11),$C$13,$C$10)))</f>
        <v>38</v>
      </c>
      <c r="W93" s="27" t="str">
        <f aca="false">IF(T93="","",IF(U93="","None",IF(IFERROR(VLOOKUP(U93,TypeTable,2,0),"None")="PT",IF(N(V93)&gt;=PT_MinHours,"PT","None"),IFERROR(VLOOKUP(U93,TypeTable,2,0),"None"))))</f>
        <v>FT</v>
      </c>
      <c r="X93" s="27" t="n">
        <v>1</v>
      </c>
      <c r="Y93" s="26" t="n">
        <f aca="false">IF(T93="","",IF(AND(W93="PT",T93&lt;=$F$12),X93,0))</f>
        <v>0</v>
      </c>
    </row>
    <row r="94" customFormat="false" ht="15" hidden="false" customHeight="false" outlineLevel="0" collapsed="false">
      <c r="H94" s="27" t="n">
        <v>75</v>
      </c>
      <c r="I94" s="27" t="n">
        <f aca="false">IF(74&lt;FT_PreY5,FT_First+FT_Int1*74,FT_Y5+FT_Int2*(74-FT_PreY5))</f>
        <v>264</v>
      </c>
      <c r="J94" s="27" t="str">
        <f aca="false">INT(I94/12)&amp;"y "&amp;MOD(I94,12)&amp;"m"</f>
        <v>22y 0m</v>
      </c>
      <c r="K94" s="28" t="n">
        <f aca="false">IF($C$6&lt;&gt;"Yes","",IF(AND($F$8&lt;&gt;"",EDATE($C$8,I94)&lt;$F$8),EDATE($C$8+N($F$10),I94),EDATE($C$8+$C$17,I94)))</f>
        <v>52277</v>
      </c>
      <c r="L94" s="27" t="str">
        <f aca="false">IF(K94="","",IF(AND($C$14&lt;&gt;"",K94&gt;=$C$14),$C$15,IF(AND($C$11&lt;&gt;"",K94&gt;=$C$11),$C$12,$C$9)))</f>
        <v>Full-Time</v>
      </c>
      <c r="M94" s="26" t="n">
        <f aca="false">IF(K94="","",IF(AND($C$14&lt;&gt;"",K94&gt;=$C$14),$C$16,IF(AND($C$11&lt;&gt;"",K94&gt;=$C$11),$C$13,$C$10)))</f>
        <v>38</v>
      </c>
      <c r="N94" s="27" t="str">
        <f aca="false">IF(K94="","",IF(L94="","None",IF(IFERROR(VLOOKUP(L94,TypeTable,2,0),"None")="PT",IF(N(M94)&gt;=PT_MinHours,"PT","None"),IFERROR(VLOOKUP(L94,TypeTable,2,0),"None"))))</f>
        <v>FT</v>
      </c>
      <c r="O94" s="27" t="n">
        <f aca="false">IF(I94&lt;FT_Y5,1,IF(MOD(I94-FT_Y5,12)=0,FT_AnnivDays,1))</f>
        <v>2</v>
      </c>
      <c r="P94" s="26" t="n">
        <f aca="false">IF(K94="","",IF(AND(N94="FT",K94&lt;=$F$12),O94,0))</f>
        <v>0</v>
      </c>
      <c r="Q94" s="27" t="n">
        <v>75</v>
      </c>
      <c r="R94" s="27" t="n">
        <f aca="false">PT_First+PT_Int*74</f>
        <v>356</v>
      </c>
      <c r="S94" s="27" t="str">
        <f aca="false">INT(R94/12)&amp;"y "&amp;MOD(R94,12)&amp;"m"</f>
        <v>29y 8m</v>
      </c>
      <c r="T94" s="28" t="n">
        <f aca="false">IF($C$6&lt;&gt;"Yes","",IF(AND($F$8&lt;&gt;"",EDATE($C$8,R94)&lt;$F$8),EDATE($C$8+N($F$10),R94),EDATE($C$8+$C$17,R94)))</f>
        <v>55076</v>
      </c>
      <c r="U94" s="27" t="str">
        <f aca="false">IF(T94="","",IF(AND($C$14&lt;&gt;"",T94&gt;=$C$14),$C$15,IF(AND($C$11&lt;&gt;"",T94&gt;=$C$11),$C$12,$C$9)))</f>
        <v>Full-Time</v>
      </c>
      <c r="V94" s="26" t="n">
        <f aca="false">IF(T94="","",IF(AND($C$14&lt;&gt;"",T94&gt;=$C$14),$C$16,IF(AND($C$11&lt;&gt;"",T94&gt;=$C$11),$C$13,$C$10)))</f>
        <v>38</v>
      </c>
      <c r="W94" s="27" t="str">
        <f aca="false">IF(T94="","",IF(U94="","None",IF(IFERROR(VLOOKUP(U94,TypeTable,2,0),"None")="PT",IF(N(V94)&gt;=PT_MinHours,"PT","None"),IFERROR(VLOOKUP(U94,TypeTable,2,0),"None"))))</f>
        <v>FT</v>
      </c>
      <c r="X94" s="27" t="n">
        <v>1</v>
      </c>
      <c r="Y94" s="26" t="n">
        <f aca="false">IF(T94="","",IF(AND(W94="PT",T94&lt;=$F$12),X94,0))</f>
        <v>0</v>
      </c>
    </row>
    <row r="95" customFormat="false" ht="15" hidden="false" customHeight="false" outlineLevel="0" collapsed="false">
      <c r="H95" s="27" t="n">
        <v>76</v>
      </c>
      <c r="I95" s="27" t="n">
        <f aca="false">IF(75&lt;FT_PreY5,FT_First+FT_Int1*75,FT_Y5+FT_Int2*(75-FT_PreY5))</f>
        <v>267</v>
      </c>
      <c r="J95" s="27" t="str">
        <f aca="false">INT(I95/12)&amp;"y "&amp;MOD(I95,12)&amp;"m"</f>
        <v>22y 3m</v>
      </c>
      <c r="K95" s="28" t="n">
        <f aca="false">IF($C$6&lt;&gt;"Yes","",IF(AND($F$8&lt;&gt;"",EDATE($C$8,I95)&lt;$F$8),EDATE($C$8+N($F$10),I95),EDATE($C$8+$C$17,I95)))</f>
        <v>52366</v>
      </c>
      <c r="L95" s="27" t="str">
        <f aca="false">IF(K95="","",IF(AND($C$14&lt;&gt;"",K95&gt;=$C$14),$C$15,IF(AND($C$11&lt;&gt;"",K95&gt;=$C$11),$C$12,$C$9)))</f>
        <v>Full-Time</v>
      </c>
      <c r="M95" s="26" t="n">
        <f aca="false">IF(K95="","",IF(AND($C$14&lt;&gt;"",K95&gt;=$C$14),$C$16,IF(AND($C$11&lt;&gt;"",K95&gt;=$C$11),$C$13,$C$10)))</f>
        <v>38</v>
      </c>
      <c r="N95" s="27" t="str">
        <f aca="false">IF(K95="","",IF(L95="","None",IF(IFERROR(VLOOKUP(L95,TypeTable,2,0),"None")="PT",IF(N(M95)&gt;=PT_MinHours,"PT","None"),IFERROR(VLOOKUP(L95,TypeTable,2,0),"None"))))</f>
        <v>FT</v>
      </c>
      <c r="O95" s="27" t="n">
        <f aca="false">IF(I95&lt;FT_Y5,1,IF(MOD(I95-FT_Y5,12)=0,FT_AnnivDays,1))</f>
        <v>1</v>
      </c>
      <c r="P95" s="26" t="n">
        <f aca="false">IF(K95="","",IF(AND(N95="FT",K95&lt;=$F$12),O95,0))</f>
        <v>0</v>
      </c>
      <c r="Q95" s="27" t="n">
        <v>76</v>
      </c>
      <c r="R95" s="27" t="n">
        <f aca="false">PT_First+PT_Int*75</f>
        <v>360</v>
      </c>
      <c r="S95" s="27" t="str">
        <f aca="false">INT(R95/12)&amp;"y "&amp;MOD(R95,12)&amp;"m"</f>
        <v>30y 0m</v>
      </c>
      <c r="T95" s="28" t="n">
        <f aca="false">IF($C$6&lt;&gt;"Yes","",IF(AND($F$8&lt;&gt;"",EDATE($C$8,R95)&lt;$F$8),EDATE($C$8+N($F$10),R95),EDATE($C$8+$C$17,R95)))</f>
        <v>55199</v>
      </c>
      <c r="U95" s="27" t="str">
        <f aca="false">IF(T95="","",IF(AND($C$14&lt;&gt;"",T95&gt;=$C$14),$C$15,IF(AND($C$11&lt;&gt;"",T95&gt;=$C$11),$C$12,$C$9)))</f>
        <v>Full-Time</v>
      </c>
      <c r="V95" s="26" t="n">
        <f aca="false">IF(T95="","",IF(AND($C$14&lt;&gt;"",T95&gt;=$C$14),$C$16,IF(AND($C$11&lt;&gt;"",T95&gt;=$C$11),$C$13,$C$10)))</f>
        <v>38</v>
      </c>
      <c r="W95" s="27" t="str">
        <f aca="false">IF(T95="","",IF(U95="","None",IF(IFERROR(VLOOKUP(U95,TypeTable,2,0),"None")="PT",IF(N(V95)&gt;=PT_MinHours,"PT","None"),IFERROR(VLOOKUP(U95,TypeTable,2,0),"None"))))</f>
        <v>FT</v>
      </c>
      <c r="X95" s="27" t="n">
        <v>1</v>
      </c>
      <c r="Y95" s="26" t="n">
        <f aca="false">IF(T95="","",IF(AND(W95="PT",T95&lt;=$F$12),X95,0))</f>
        <v>0</v>
      </c>
    </row>
    <row r="96" customFormat="false" ht="15" hidden="false" customHeight="false" outlineLevel="0" collapsed="false">
      <c r="H96" s="27" t="n">
        <v>77</v>
      </c>
      <c r="I96" s="27" t="n">
        <f aca="false">IF(76&lt;FT_PreY5,FT_First+FT_Int1*76,FT_Y5+FT_Int2*(76-FT_PreY5))</f>
        <v>270</v>
      </c>
      <c r="J96" s="27" t="str">
        <f aca="false">INT(I96/12)&amp;"y "&amp;MOD(I96,12)&amp;"m"</f>
        <v>22y 6m</v>
      </c>
      <c r="K96" s="28" t="n">
        <f aca="false">IF($C$6&lt;&gt;"Yes","",IF(AND($F$8&lt;&gt;"",EDATE($C$8,I96)&lt;$F$8),EDATE($C$8+N($F$10),I96),EDATE($C$8+$C$17,I96)))</f>
        <v>52458</v>
      </c>
      <c r="L96" s="27" t="str">
        <f aca="false">IF(K96="","",IF(AND($C$14&lt;&gt;"",K96&gt;=$C$14),$C$15,IF(AND($C$11&lt;&gt;"",K96&gt;=$C$11),$C$12,$C$9)))</f>
        <v>Full-Time</v>
      </c>
      <c r="M96" s="26" t="n">
        <f aca="false">IF(K96="","",IF(AND($C$14&lt;&gt;"",K96&gt;=$C$14),$C$16,IF(AND($C$11&lt;&gt;"",K96&gt;=$C$11),$C$13,$C$10)))</f>
        <v>38</v>
      </c>
      <c r="N96" s="27" t="str">
        <f aca="false">IF(K96="","",IF(L96="","None",IF(IFERROR(VLOOKUP(L96,TypeTable,2,0),"None")="PT",IF(N(M96)&gt;=PT_MinHours,"PT","None"),IFERROR(VLOOKUP(L96,TypeTable,2,0),"None"))))</f>
        <v>FT</v>
      </c>
      <c r="O96" s="27" t="n">
        <f aca="false">IF(I96&lt;FT_Y5,1,IF(MOD(I96-FT_Y5,12)=0,FT_AnnivDays,1))</f>
        <v>1</v>
      </c>
      <c r="P96" s="26" t="n">
        <f aca="false">IF(K96="","",IF(AND(N96="FT",K96&lt;=$F$12),O96,0))</f>
        <v>0</v>
      </c>
      <c r="Q96" s="27" t="n">
        <v>77</v>
      </c>
      <c r="R96" s="27" t="n">
        <f aca="false">PT_First+PT_Int*76</f>
        <v>364</v>
      </c>
      <c r="S96" s="27" t="str">
        <f aca="false">INT(R96/12)&amp;"y "&amp;MOD(R96,12)&amp;"m"</f>
        <v>30y 4m</v>
      </c>
      <c r="T96" s="28" t="n">
        <f aca="false">IF($C$6&lt;&gt;"Yes","",IF(AND($F$8&lt;&gt;"",EDATE($C$8,R96)&lt;$F$8),EDATE($C$8+N($F$10),R96),EDATE($C$8+$C$17,R96)))</f>
        <v>55319</v>
      </c>
      <c r="U96" s="27" t="str">
        <f aca="false">IF(T96="","",IF(AND($C$14&lt;&gt;"",T96&gt;=$C$14),$C$15,IF(AND($C$11&lt;&gt;"",T96&gt;=$C$11),$C$12,$C$9)))</f>
        <v>Full-Time</v>
      </c>
      <c r="V96" s="26" t="n">
        <f aca="false">IF(T96="","",IF(AND($C$14&lt;&gt;"",T96&gt;=$C$14),$C$16,IF(AND($C$11&lt;&gt;"",T96&gt;=$C$11),$C$13,$C$10)))</f>
        <v>38</v>
      </c>
      <c r="W96" s="27" t="str">
        <f aca="false">IF(T96="","",IF(U96="","None",IF(IFERROR(VLOOKUP(U96,TypeTable,2,0),"None")="PT",IF(N(V96)&gt;=PT_MinHours,"PT","None"),IFERROR(VLOOKUP(U96,TypeTable,2,0),"None"))))</f>
        <v>FT</v>
      </c>
      <c r="X96" s="27" t="n">
        <v>1</v>
      </c>
      <c r="Y96" s="26" t="n">
        <f aca="false">IF(T96="","",IF(AND(W96="PT",T96&lt;=$F$12),X96,0))</f>
        <v>0</v>
      </c>
    </row>
    <row r="97" customFormat="false" ht="15" hidden="false" customHeight="false" outlineLevel="0" collapsed="false">
      <c r="H97" s="27" t="n">
        <v>78</v>
      </c>
      <c r="I97" s="27" t="n">
        <f aca="false">IF(77&lt;FT_PreY5,FT_First+FT_Int1*77,FT_Y5+FT_Int2*(77-FT_PreY5))</f>
        <v>273</v>
      </c>
      <c r="J97" s="27" t="str">
        <f aca="false">INT(I97/12)&amp;"y "&amp;MOD(I97,12)&amp;"m"</f>
        <v>22y 9m</v>
      </c>
      <c r="K97" s="28" t="n">
        <f aca="false">IF($C$6&lt;&gt;"Yes","",IF(AND($F$8&lt;&gt;"",EDATE($C$8,I97)&lt;$F$8),EDATE($C$8+N($F$10),I97),EDATE($C$8+$C$17,I97)))</f>
        <v>52550</v>
      </c>
      <c r="L97" s="27" t="str">
        <f aca="false">IF(K97="","",IF(AND($C$14&lt;&gt;"",K97&gt;=$C$14),$C$15,IF(AND($C$11&lt;&gt;"",K97&gt;=$C$11),$C$12,$C$9)))</f>
        <v>Full-Time</v>
      </c>
      <c r="M97" s="26" t="n">
        <f aca="false">IF(K97="","",IF(AND($C$14&lt;&gt;"",K97&gt;=$C$14),$C$16,IF(AND($C$11&lt;&gt;"",K97&gt;=$C$11),$C$13,$C$10)))</f>
        <v>38</v>
      </c>
      <c r="N97" s="27" t="str">
        <f aca="false">IF(K97="","",IF(L97="","None",IF(IFERROR(VLOOKUP(L97,TypeTable,2,0),"None")="PT",IF(N(M97)&gt;=PT_MinHours,"PT","None"),IFERROR(VLOOKUP(L97,TypeTable,2,0),"None"))))</f>
        <v>FT</v>
      </c>
      <c r="O97" s="27" t="n">
        <f aca="false">IF(I97&lt;FT_Y5,1,IF(MOD(I97-FT_Y5,12)=0,FT_AnnivDays,1))</f>
        <v>1</v>
      </c>
      <c r="P97" s="26" t="n">
        <f aca="false">IF(K97="","",IF(AND(N97="FT",K97&lt;=$F$12),O97,0))</f>
        <v>0</v>
      </c>
      <c r="Q97" s="27" t="n">
        <v>78</v>
      </c>
      <c r="R97" s="27" t="n">
        <f aca="false">PT_First+PT_Int*77</f>
        <v>368</v>
      </c>
      <c r="S97" s="27" t="str">
        <f aca="false">INT(R97/12)&amp;"y "&amp;MOD(R97,12)&amp;"m"</f>
        <v>30y 8m</v>
      </c>
      <c r="T97" s="28" t="n">
        <f aca="false">IF($C$6&lt;&gt;"Yes","",IF(AND($F$8&lt;&gt;"",EDATE($C$8,R97)&lt;$F$8),EDATE($C$8+N($F$10),R97),EDATE($C$8+$C$17,R97)))</f>
        <v>55441</v>
      </c>
      <c r="U97" s="27" t="str">
        <f aca="false">IF(T97="","",IF(AND($C$14&lt;&gt;"",T97&gt;=$C$14),$C$15,IF(AND($C$11&lt;&gt;"",T97&gt;=$C$11),$C$12,$C$9)))</f>
        <v>Full-Time</v>
      </c>
      <c r="V97" s="26" t="n">
        <f aca="false">IF(T97="","",IF(AND($C$14&lt;&gt;"",T97&gt;=$C$14),$C$16,IF(AND($C$11&lt;&gt;"",T97&gt;=$C$11),$C$13,$C$10)))</f>
        <v>38</v>
      </c>
      <c r="W97" s="27" t="str">
        <f aca="false">IF(T97="","",IF(U97="","None",IF(IFERROR(VLOOKUP(U97,TypeTable,2,0),"None")="PT",IF(N(V97)&gt;=PT_MinHours,"PT","None"),IFERROR(VLOOKUP(U97,TypeTable,2,0),"None"))))</f>
        <v>FT</v>
      </c>
      <c r="X97" s="27" t="n">
        <v>1</v>
      </c>
      <c r="Y97" s="26" t="n">
        <f aca="false">IF(T97="","",IF(AND(W97="PT",T97&lt;=$F$12),X97,0))</f>
        <v>0</v>
      </c>
    </row>
    <row r="98" customFormat="false" ht="15" hidden="false" customHeight="false" outlineLevel="0" collapsed="false">
      <c r="H98" s="27" t="n">
        <v>79</v>
      </c>
      <c r="I98" s="27" t="n">
        <f aca="false">IF(78&lt;FT_PreY5,FT_First+FT_Int1*78,FT_Y5+FT_Int2*(78-FT_PreY5))</f>
        <v>276</v>
      </c>
      <c r="J98" s="27" t="str">
        <f aca="false">INT(I98/12)&amp;"y "&amp;MOD(I98,12)&amp;"m"</f>
        <v>23y 0m</v>
      </c>
      <c r="K98" s="28" t="n">
        <f aca="false">IF($C$6&lt;&gt;"Yes","",IF(AND($F$8&lt;&gt;"",EDATE($C$8,I98)&lt;$F$8),EDATE($C$8+N($F$10),I98),EDATE($C$8+$C$17,I98)))</f>
        <v>52642</v>
      </c>
      <c r="L98" s="27" t="str">
        <f aca="false">IF(K98="","",IF(AND($C$14&lt;&gt;"",K98&gt;=$C$14),$C$15,IF(AND($C$11&lt;&gt;"",K98&gt;=$C$11),$C$12,$C$9)))</f>
        <v>Full-Time</v>
      </c>
      <c r="M98" s="26" t="n">
        <f aca="false">IF(K98="","",IF(AND($C$14&lt;&gt;"",K98&gt;=$C$14),$C$16,IF(AND($C$11&lt;&gt;"",K98&gt;=$C$11),$C$13,$C$10)))</f>
        <v>38</v>
      </c>
      <c r="N98" s="27" t="str">
        <f aca="false">IF(K98="","",IF(L98="","None",IF(IFERROR(VLOOKUP(L98,TypeTable,2,0),"None")="PT",IF(N(M98)&gt;=PT_MinHours,"PT","None"),IFERROR(VLOOKUP(L98,TypeTable,2,0),"None"))))</f>
        <v>FT</v>
      </c>
      <c r="O98" s="27" t="n">
        <f aca="false">IF(I98&lt;FT_Y5,1,IF(MOD(I98-FT_Y5,12)=0,FT_AnnivDays,1))</f>
        <v>2</v>
      </c>
      <c r="P98" s="26" t="n">
        <f aca="false">IF(K98="","",IF(AND(N98="FT",K98&lt;=$F$12),O98,0))</f>
        <v>0</v>
      </c>
      <c r="Q98" s="27" t="n">
        <v>79</v>
      </c>
      <c r="R98" s="27" t="n">
        <f aca="false">PT_First+PT_Int*78</f>
        <v>372</v>
      </c>
      <c r="S98" s="27" t="str">
        <f aca="false">INT(R98/12)&amp;"y "&amp;MOD(R98,12)&amp;"m"</f>
        <v>31y 0m</v>
      </c>
      <c r="T98" s="28" t="n">
        <f aca="false">IF($C$6&lt;&gt;"Yes","",IF(AND($F$8&lt;&gt;"",EDATE($C$8,R98)&lt;$F$8),EDATE($C$8+N($F$10),R98),EDATE($C$8+$C$17,R98)))</f>
        <v>55564</v>
      </c>
      <c r="U98" s="27" t="str">
        <f aca="false">IF(T98="","",IF(AND($C$14&lt;&gt;"",T98&gt;=$C$14),$C$15,IF(AND($C$11&lt;&gt;"",T98&gt;=$C$11),$C$12,$C$9)))</f>
        <v>Full-Time</v>
      </c>
      <c r="V98" s="26" t="n">
        <f aca="false">IF(T98="","",IF(AND($C$14&lt;&gt;"",T98&gt;=$C$14),$C$16,IF(AND($C$11&lt;&gt;"",T98&gt;=$C$11),$C$13,$C$10)))</f>
        <v>38</v>
      </c>
      <c r="W98" s="27" t="str">
        <f aca="false">IF(T98="","",IF(U98="","None",IF(IFERROR(VLOOKUP(U98,TypeTable,2,0),"None")="PT",IF(N(V98)&gt;=PT_MinHours,"PT","None"),IFERROR(VLOOKUP(U98,TypeTable,2,0),"None"))))</f>
        <v>FT</v>
      </c>
      <c r="X98" s="27" t="n">
        <v>1</v>
      </c>
      <c r="Y98" s="26" t="n">
        <f aca="false">IF(T98="","",IF(AND(W98="PT",T98&lt;=$F$12),X98,0))</f>
        <v>0</v>
      </c>
    </row>
    <row r="99" customFormat="false" ht="15" hidden="false" customHeight="false" outlineLevel="0" collapsed="false">
      <c r="H99" s="27" t="n">
        <v>80</v>
      </c>
      <c r="I99" s="27" t="n">
        <f aca="false">IF(79&lt;FT_PreY5,FT_First+FT_Int1*79,FT_Y5+FT_Int2*(79-FT_PreY5))</f>
        <v>279</v>
      </c>
      <c r="J99" s="27" t="str">
        <f aca="false">INT(I99/12)&amp;"y "&amp;MOD(I99,12)&amp;"m"</f>
        <v>23y 3m</v>
      </c>
      <c r="K99" s="28" t="n">
        <f aca="false">IF($C$6&lt;&gt;"Yes","",IF(AND($F$8&lt;&gt;"",EDATE($C$8,I99)&lt;$F$8),EDATE($C$8+N($F$10),I99),EDATE($C$8+$C$17,I99)))</f>
        <v>52732</v>
      </c>
      <c r="L99" s="27" t="str">
        <f aca="false">IF(K99="","",IF(AND($C$14&lt;&gt;"",K99&gt;=$C$14),$C$15,IF(AND($C$11&lt;&gt;"",K99&gt;=$C$11),$C$12,$C$9)))</f>
        <v>Full-Time</v>
      </c>
      <c r="M99" s="26" t="n">
        <f aca="false">IF(K99="","",IF(AND($C$14&lt;&gt;"",K99&gt;=$C$14),$C$16,IF(AND($C$11&lt;&gt;"",K99&gt;=$C$11),$C$13,$C$10)))</f>
        <v>38</v>
      </c>
      <c r="N99" s="27" t="str">
        <f aca="false">IF(K99="","",IF(L99="","None",IF(IFERROR(VLOOKUP(L99,TypeTable,2,0),"None")="PT",IF(N(M99)&gt;=PT_MinHours,"PT","None"),IFERROR(VLOOKUP(L99,TypeTable,2,0),"None"))))</f>
        <v>FT</v>
      </c>
      <c r="O99" s="27" t="n">
        <f aca="false">IF(I99&lt;FT_Y5,1,IF(MOD(I99-FT_Y5,12)=0,FT_AnnivDays,1))</f>
        <v>1</v>
      </c>
      <c r="P99" s="26" t="n">
        <f aca="false">IF(K99="","",IF(AND(N99="FT",K99&lt;=$F$12),O99,0))</f>
        <v>0</v>
      </c>
      <c r="Q99" s="27" t="n">
        <v>80</v>
      </c>
      <c r="R99" s="27" t="n">
        <f aca="false">PT_First+PT_Int*79</f>
        <v>376</v>
      </c>
      <c r="S99" s="27" t="str">
        <f aca="false">INT(R99/12)&amp;"y "&amp;MOD(R99,12)&amp;"m"</f>
        <v>31y 4m</v>
      </c>
      <c r="T99" s="28" t="n">
        <f aca="false">IF($C$6&lt;&gt;"Yes","",IF(AND($F$8&lt;&gt;"",EDATE($C$8,R99)&lt;$F$8),EDATE($C$8+N($F$10),R99),EDATE($C$8+$C$17,R99)))</f>
        <v>55685</v>
      </c>
      <c r="U99" s="27" t="str">
        <f aca="false">IF(T99="","",IF(AND($C$14&lt;&gt;"",T99&gt;=$C$14),$C$15,IF(AND($C$11&lt;&gt;"",T99&gt;=$C$11),$C$12,$C$9)))</f>
        <v>Full-Time</v>
      </c>
      <c r="V99" s="26" t="n">
        <f aca="false">IF(T99="","",IF(AND($C$14&lt;&gt;"",T99&gt;=$C$14),$C$16,IF(AND($C$11&lt;&gt;"",T99&gt;=$C$11),$C$13,$C$10)))</f>
        <v>38</v>
      </c>
      <c r="W99" s="27" t="str">
        <f aca="false">IF(T99="","",IF(U99="","None",IF(IFERROR(VLOOKUP(U99,TypeTable,2,0),"None")="PT",IF(N(V99)&gt;=PT_MinHours,"PT","None"),IFERROR(VLOOKUP(U99,TypeTable,2,0),"None"))))</f>
        <v>FT</v>
      </c>
      <c r="X99" s="27" t="n">
        <v>1</v>
      </c>
      <c r="Y99" s="26" t="n">
        <f aca="false">IF(T99="","",IF(AND(W99="PT",T99&lt;=$F$12),X99,0))</f>
        <v>0</v>
      </c>
    </row>
  </sheetData>
  <mergeCells count="2">
    <mergeCell ref="H18:P18"/>
    <mergeCell ref="Q18:Y18"/>
  </mergeCells>
  <conditionalFormatting sqref="H20:P99">
    <cfRule type="expression" priority="2" aboveAverage="0" equalAverage="0" bottom="0" percent="0" rank="0" text="" dxfId="18">
      <formula>N($P20)&gt;0</formula>
    </cfRule>
  </conditionalFormatting>
  <conditionalFormatting sqref="Q20:Y99">
    <cfRule type="expression" priority="3" aboveAverage="0" equalAverage="0" bottom="0" percent="0" rank="0" text="" dxfId="18">
      <formula>N($Y20)&gt;0</formula>
    </cfRule>
  </conditionalFormatting>
  <dataValidations count="1">
    <dataValidation allowBlank="true" errorStyle="stop" operator="between" showDropDown="false" showErrorMessage="false" showInputMessage="false" sqref="C5" type="list">
      <formula1>Employees!$BJ$6:$BJ$205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2026-09-30T06:35:06Z</dcterms:created>
  <dc:creator>openpyxl</dc:creator>
  <dc:description/>
  <dc:language>en-US</dc:language>
  <cp:lastModifiedBy/>
  <dcterms:modified xsi:type="dcterms:W3CDTF">2026-09-30T06:35:07Z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