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4025" yWindow="-16320" windowWidth="29040" windowHeight="15720" tabRatio="600" firstSheet="0" activeTab="0" autoFilterDateGrouping="1"/>
  </bookViews>
  <sheets>
    <sheet name="Summary " sheetId="1" state="visible" r:id="rId1"/>
    <sheet name="22 Sep 2026" sheetId="2" state="visible" r:id="rId2"/>
    <sheet name="20 Sept 2026 " sheetId="3" state="visible" r:id="rId3"/>
    <sheet name="21 Aug 2026" sheetId="4" state="visible" r:id="rId4"/>
    <sheet name="07 Aug 2026" sheetId="5" state="visible" r:id="rId5"/>
  </sheets>
  <definedNames>
    <definedName name="_xlnm._FilterDatabase" localSheetId="1" hidden="1">'22 Sep 2026'!$A$2:$Q$11</definedName>
    <definedName name="_xlnm._FilterDatabase" localSheetId="2" hidden="1">'20 Sept 2026 '!$A$2:$Q$14</definedName>
    <definedName name="_xlnm._FilterDatabase" localSheetId="3" hidden="1">'21 Aug 2026'!$A$2:$Q$7</definedName>
    <definedName name="_xlnm._FilterDatabase" localSheetId="4" hidden="1">'07 Aug 2026'!$A$2:$T$6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\$#,##0.00###"/>
    <numFmt numFmtId="165" formatCode="\$#,##0.00"/>
    <numFmt numFmtId="166" formatCode="dd/mm/yyyy"/>
    <numFmt numFmtId="167" formatCode="yyyy-mm-dd"/>
    <numFmt numFmtId="168" formatCode="$#,##0.00&quot;/hr&quot;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alibri"/>
      <family val="2"/>
      <b val="1"/>
      <color rgb="FF000000"/>
      <sz val="11"/>
    </font>
    <font/>
    <font>
      <b val="1"/>
      <color rgb="00FFFFFF"/>
      <sz val="10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color rgb="00404040"/>
      <sz val="9"/>
    </font>
    <font>
      <b val="1"/>
    </font>
    <font>
      <b val="1"/>
      <color rgb="009C0006"/>
      <sz val="9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4546A"/>
      </patternFill>
    </fill>
    <fill>
      <patternFill patternType="solid">
        <fgColor rgb="00C00000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3" borderId="0" pivotButton="0" quotePrefix="0" xfId="0"/>
    <xf numFmtId="0" fontId="1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2" fontId="0" fillId="2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7" borderId="1" pivotButton="0" quotePrefix="0" xfId="0"/>
    <xf numFmtId="0" fontId="4" fillId="6" borderId="2" applyAlignment="1" pivotButton="0" quotePrefix="0" xfId="0">
      <alignment horizontal="center" vertical="center" wrapText="1"/>
    </xf>
    <xf numFmtId="166" fontId="3" fillId="8" borderId="2" pivotButton="0" quotePrefix="0" xfId="0"/>
    <xf numFmtId="0" fontId="3" fillId="8" borderId="2" applyAlignment="1" pivotButton="0" quotePrefix="0" xfId="0">
      <alignment horizontal="center"/>
    </xf>
    <xf numFmtId="0" fontId="3" fillId="8" borderId="2" pivotButton="0" quotePrefix="0" xfId="0"/>
    <xf numFmtId="166" fontId="3" fillId="8" borderId="2" applyAlignment="1" pivotButton="0" quotePrefix="0" xfId="0">
      <alignment horizontal="center"/>
    </xf>
    <xf numFmtId="4" fontId="3" fillId="8" borderId="2" pivotButton="0" quotePrefix="0" xfId="0"/>
    <xf numFmtId="168" fontId="3" fillId="8" borderId="2" pivotButton="0" quotePrefix="0" xfId="0"/>
    <xf numFmtId="0" fontId="8" fillId="8" borderId="2" applyAlignment="1" pivotButton="0" quotePrefix="0" xfId="0">
      <alignment vertical="top" wrapText="1"/>
    </xf>
    <xf numFmtId="0" fontId="9" fillId="9" borderId="2" pivotButton="0" quotePrefix="0" xfId="0"/>
    <xf numFmtId="4" fontId="9" fillId="9" borderId="2" pivotButton="0" quotePrefix="0" xfId="0"/>
    <xf numFmtId="0" fontId="10" fillId="0" borderId="1" applyAlignment="1" pivotButton="0" quotePrefix="0" xfId="0">
      <alignment vertical="top" wrapText="1"/>
    </xf>
    <xf numFmtId="0" fontId="7" fillId="10" borderId="1" pivotButton="0" quotePrefix="0" xfId="0"/>
    <xf numFmtId="0" fontId="3" fillId="0" borderId="2" pivotButton="0" quotePrefix="0" xfId="0"/>
    <xf numFmtId="166" fontId="3" fillId="0" borderId="2" pivotButton="0" quotePrefix="0" xfId="0"/>
    <xf numFmtId="0" fontId="3" fillId="0" borderId="2" applyAlignment="1" pivotButton="0" quotePrefix="0" xfId="0">
      <alignment horizontal="center"/>
    </xf>
    <xf numFmtId="4" fontId="3" fillId="0" borderId="2" pivotButton="0" quotePrefix="0" xfId="0"/>
    <xf numFmtId="168" fontId="3" fillId="0" borderId="2" pivotButton="0" quotePrefix="0" xfId="0"/>
    <xf numFmtId="0" fontId="9" fillId="11" borderId="2" pivotButton="0" quotePrefix="0" xfId="0"/>
    <xf numFmtId="4" fontId="9" fillId="11" borderId="2" pivotButton="0" quotePrefix="0" xfId="0"/>
    <xf numFmtId="166" fontId="3" fillId="0" borderId="2" applyAlignment="1" pivotButton="0" quotePrefix="0" xfId="0">
      <alignment horizontal="center"/>
    </xf>
    <xf numFmtId="0" fontId="8" fillId="0" borderId="2" applyAlignment="1" pivotButton="0" quotePrefix="0" xfId="0">
      <alignment vertical="top" wrapText="1"/>
    </xf>
    <xf numFmtId="0" fontId="10" fillId="8" borderId="2" applyAlignment="1" pivotButton="0" quotePrefix="0" xfId="0">
      <alignment vertical="top" wrapText="1"/>
    </xf>
    <xf numFmtId="166" fontId="3" fillId="12" borderId="2" pivotButton="0" quotePrefix="0" xfId="0"/>
    <xf numFmtId="0" fontId="3" fillId="12" borderId="2" applyAlignment="1" pivotButton="0" quotePrefix="0" xfId="0">
      <alignment horizontal="center"/>
    </xf>
    <xf numFmtId="0" fontId="3" fillId="12" borderId="2" pivotButton="0" quotePrefix="0" xfId="0"/>
    <xf numFmtId="166" fontId="3" fillId="12" borderId="2" applyAlignment="1" pivotButton="0" quotePrefix="0" xfId="0">
      <alignment horizontal="center"/>
    </xf>
    <xf numFmtId="4" fontId="3" fillId="12" borderId="2" pivotButton="0" quotePrefix="0" xfId="0"/>
    <xf numFmtId="168" fontId="3" fillId="12" borderId="2" pivotButton="0" quotePrefix="0" xfId="0"/>
    <xf numFmtId="0" fontId="10" fillId="12" borderId="2" applyAlignment="1" pivotButton="0" quotePrefix="0" xfId="0">
      <alignment vertical="top" wrapText="1"/>
    </xf>
    <xf numFmtId="0" fontId="9" fillId="0" borderId="2" pivotButton="0" quotePrefix="0" xfId="0"/>
    <xf numFmtId="166" fontId="9" fillId="0" borderId="2" pivotButton="0" quotePrefix="0" xfId="0"/>
    <xf numFmtId="4" fontId="9" fillId="0" borderId="2" pivotButton="0" quotePrefix="0" xfId="0"/>
    <xf numFmtId="168" fontId="9" fillId="0" borderId="2" pivotButton="0" quotePrefix="0" xfId="0"/>
    <xf numFmtId="0" fontId="9" fillId="0" borderId="2" applyAlignment="1" pivotButton="0" quotePrefix="0" xfId="0">
      <alignment vertical="top" wrapText="1"/>
    </xf>
    <xf numFmtId="168" fontId="9" fillId="11" borderId="2" pivotButton="0" quotePrefix="0" xfId="0"/>
    <xf numFmtId="0" fontId="9" fillId="11" borderId="2" applyAlignment="1" pivotButton="0" quotePrefix="0" xfId="0">
      <alignment vertical="top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6" borderId="0" pivotButton="0" quotePrefix="0" xfId="0"/>
    <xf numFmtId="166" fontId="0" fillId="0" borderId="0" pivotButton="0" quotePrefix="0" xfId="0"/>
  </cellXfs>
  <cellStyles count="1">
    <cellStyle name="Normal" xfId="0" builtinId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5"/>
  <sheetViews>
    <sheetView showGridLines="0" tabSelected="1" workbookViewId="0">
      <pane ySplit="2" topLeftCell="A3" activePane="bottomLeft" state="frozen"/>
      <selection pane="bottomLeft" activeCell="E18" sqref="E18"/>
    </sheetView>
  </sheetViews>
  <sheetFormatPr baseColWidth="8" defaultRowHeight="15"/>
  <cols>
    <col width="30" customWidth="1" style="17" min="1" max="1"/>
    <col width="9" bestFit="1" customWidth="1" style="17" min="2" max="2"/>
    <col width="26" customWidth="1" style="17" min="3" max="4"/>
    <col width="12" customWidth="1" style="12" min="4" max="4"/>
    <col width="34" bestFit="1" customWidth="1" style="17" min="5" max="5"/>
    <col width="10" customWidth="1" style="17" min="6" max="16384"/>
    <col width="10" customWidth="1" style="12" min="7" max="7"/>
    <col width="12" customWidth="1" style="12" min="8" max="8"/>
    <col width="11" customWidth="1" style="12" min="9" max="9"/>
    <col width="11" customWidth="1" style="12" min="10" max="10"/>
    <col width="11" customWidth="1" style="12" min="11" max="11"/>
    <col width="14" customWidth="1" style="12" min="12" max="12"/>
    <col width="14" customWidth="1" style="12" min="13" max="13"/>
    <col width="52" customWidth="1" style="12" min="14" max="14"/>
  </cols>
  <sheetData>
    <row r="1" ht="4.5" customHeight="1" s="12">
      <c r="A1" s="23" t="inlineStr">
        <is>
          <t>TIMESHEET TO PAYROLL RECONCILIATION (HOURS AND PAY RATE) - Jonathan Hendratno (Employee ID 12414219)</t>
        </is>
      </c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</row>
    <row r="2" ht="30" customHeight="1" s="12">
      <c r="A2" s="25" t="inlineStr">
        <is>
          <t>Hours and hourly pay rate only - no gross earnings, taxable earnings or superannuation appear anywhere in this file. Timesheet hours transcribed from the timesheet screenshots. Paid hours are pulled live by formula from the pay-run tabs, matched on work date AND location. Pay periods and dates paid are taken from the Employment Hero pay history. Prepared 22/09/2026.</t>
        </is>
      </c>
      <c r="O2" s="24" t="n"/>
      <c r="P2" s="24" t="n"/>
      <c r="Q2" s="24" t="n"/>
      <c r="R2" s="24" t="n"/>
      <c r="S2" s="24" t="n"/>
      <c r="T2" s="24" t="n"/>
      <c r="U2" s="24" t="n"/>
      <c r="V2" s="24" t="n"/>
    </row>
    <row r="3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</row>
    <row r="4">
      <c r="A4" s="26" t="inlineStr">
        <is>
          <t>A.  QUERY RESPONSE  -  the 16 hours claimed missing WERE paid.  Nothing is owing.</t>
        </is>
      </c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4" t="n"/>
      <c r="P4" s="24" t="n"/>
      <c r="Q4" s="24" t="n"/>
      <c r="R4" s="24" t="n"/>
      <c r="S4" s="24" t="n"/>
      <c r="T4" s="24" t="n"/>
      <c r="U4" s="24" t="n"/>
      <c r="V4" s="24" t="n"/>
    </row>
    <row r="5" ht="32" customHeight="1" s="12">
      <c r="A5" s="27" t="inlineStr">
        <is>
          <t>Date</t>
        </is>
      </c>
      <c r="B5" s="27" t="inlineStr">
        <is>
          <t>Day</t>
        </is>
      </c>
      <c r="C5" s="27" t="inlineStr">
        <is>
          <t>Location / Client</t>
        </is>
      </c>
      <c r="D5" s="27" t="inlineStr">
        <is>
          <t>Pay Period</t>
        </is>
      </c>
      <c r="E5" s="27" t="inlineStr">
        <is>
          <t>Date
Paid</t>
        </is>
      </c>
      <c r="F5" s="27" t="inlineStr">
        <is>
          <t>Hours
Claimed Missing</t>
        </is>
      </c>
      <c r="G5" s="27" t="inlineStr">
        <is>
          <t>Hours
Actually Paid</t>
        </is>
      </c>
      <c r="H5" s="27" t="inlineStr">
        <is>
          <t>Shortfall
(Hrs)</t>
        </is>
      </c>
      <c r="I5" s="27" t="inlineStr">
        <is>
          <t>Rate Paid</t>
        </is>
      </c>
      <c r="J5" s="27" t="inlineStr">
        <is>
          <t>Where to find it on that tab</t>
        </is>
      </c>
      <c r="K5" s="27" t="inlineStr">
        <is>
          <t>Outcome</t>
        </is>
      </c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</row>
    <row r="6">
      <c r="A6" s="28" t="n">
        <v>46258</v>
      </c>
      <c r="B6" s="29" t="inlineStr">
        <is>
          <t>Mon</t>
        </is>
      </c>
      <c r="C6" s="30" t="inlineStr">
        <is>
          <t>DTTL Mel Tech FT 1 [ONS]</t>
        </is>
      </c>
      <c r="D6" s="30" t="inlineStr">
        <is>
          <t>22/08/2026 - 04/09/2026</t>
        </is>
      </c>
      <c r="E6" s="31" t="n">
        <v>46273</v>
      </c>
      <c r="F6" s="32" t="n">
        <v>8</v>
      </c>
      <c r="G6" s="32">
        <f>SUMIFS('07 Aug 2026'!$G$3:$G$6,'07 Aug 2026'!$O$3:$O$6,$A6,'07 Aug 2026'!$K$3:$K$6,$C6)+SUMIFS('21 Aug 2026'!$G$3:$G$7,'21 Aug 2026'!$O$3:$O$7,$A6,'21 Aug 2026'!$K$3:$K$7,$C6)+SUMIFS('20 Sept 2026 '!$G$3:$G$14,'20 Sept 2026 '!$O$3:$O$14,$A6,'20 Sept 2026 '!$K$3:$K$14,$C6)+SUMIFS('22 Sep 2026'!$G$3:$G$11,'22 Sep 2026'!$O$3:$O$11,$A6,'22 Sep 2026'!$K$3:$K$11,$C6)</f>
        <v/>
      </c>
      <c r="H6" s="32">
        <f>F6-G6</f>
        <v/>
      </c>
      <c r="I6" s="33">
        <f>IFERROR(AVERAGEIFS('07 Aug 2026'!$M$3:$M$6,'07 Aug 2026'!$O$3:$O$6,$A6,'07 Aug 2026'!$K$3:$K$6,$C6),IFERROR(AVERAGEIFS('21 Aug 2026'!$M$3:$M$7,'21 Aug 2026'!$O$3:$O$7,$A6,'21 Aug 2026'!$K$3:$K$7,$C6),IFERROR(AVERAGEIFS('20 Sept 2026 '!$M$3:$M$14,'20 Sept 2026 '!$O$3:$O$14,$A6,'20 Sept 2026 '!$K$3:$K$14,$C6),IFERROR(AVERAGEIFS('22 Sep 2026'!$M$3:$M$11,'22 Sep 2026'!$O$3:$O$11,$A6,'22 Sep 2026'!$K$3:$K$11,$C6),""))))</f>
        <v/>
      </c>
      <c r="J6" s="34" t="inlineStr">
        <is>
          <t>'20 Sept 2026 ' rows 3 and 4  (3.5 hrs 08:30-12:00  +  4.5 hrs 12:30-17:00)</t>
        </is>
      </c>
      <c r="K6" s="29">
        <f>IF(ROUND(H6,2)=0,"PAID IN FULL - nothing owing","SHORTFALL - investigate")</f>
        <v/>
      </c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</row>
    <row r="7">
      <c r="A7" s="28" t="n">
        <v>46262</v>
      </c>
      <c r="B7" s="29" t="inlineStr">
        <is>
          <t>Fri</t>
        </is>
      </c>
      <c r="C7" s="30" t="inlineStr">
        <is>
          <t>DTTL Mel Tech FT 1 [ONS]</t>
        </is>
      </c>
      <c r="D7" s="30" t="inlineStr">
        <is>
          <t>22/08/2026 - 04/09/2026</t>
        </is>
      </c>
      <c r="E7" s="31" t="n">
        <v>46273</v>
      </c>
      <c r="F7" s="32" t="n">
        <v>8</v>
      </c>
      <c r="G7" s="32">
        <f>SUMIFS('07 Aug 2026'!$G$3:$G$6,'07 Aug 2026'!$O$3:$O$6,$A7,'07 Aug 2026'!$K$3:$K$6,$C7)+SUMIFS('21 Aug 2026'!$G$3:$G$7,'21 Aug 2026'!$O$3:$O$7,$A7,'21 Aug 2026'!$K$3:$K$7,$C7)+SUMIFS('20 Sept 2026 '!$G$3:$G$14,'20 Sept 2026 '!$O$3:$O$14,$A7,'20 Sept 2026 '!$K$3:$K$14,$C7)+SUMIFS('22 Sep 2026'!$G$3:$G$11,'22 Sep 2026'!$O$3:$O$11,$A7,'22 Sep 2026'!$K$3:$K$11,$C7)</f>
        <v/>
      </c>
      <c r="H7" s="32">
        <f>F7-G7</f>
        <v/>
      </c>
      <c r="I7" s="33">
        <f>IFERROR(AVERAGEIFS('07 Aug 2026'!$M$3:$M$6,'07 Aug 2026'!$O$3:$O$6,$A7,'07 Aug 2026'!$K$3:$K$6,$C7),IFERROR(AVERAGEIFS('21 Aug 2026'!$M$3:$M$7,'21 Aug 2026'!$O$3:$O$7,$A7,'21 Aug 2026'!$K$3:$K$7,$C7),IFERROR(AVERAGEIFS('20 Sept 2026 '!$M$3:$M$14,'20 Sept 2026 '!$O$3:$O$14,$A7,'20 Sept 2026 '!$K$3:$K$14,$C7),IFERROR(AVERAGEIFS('22 Sep 2026'!$M$3:$M$11,'22 Sep 2026'!$O$3:$O$11,$A7,'22 Sep 2026'!$K$3:$K$11,$C7),""))))</f>
        <v/>
      </c>
      <c r="J7" s="34" t="inlineStr">
        <is>
          <t>'20 Sept 2026 ' rows 5 and 6  (3.5 hrs 08:30-12:00  +  4.5 hrs 12:30-17:00)</t>
        </is>
      </c>
      <c r="K7" s="29">
        <f>IF(ROUND(H7,2)=0,"PAID IN FULL - nothing owing","SHORTFALL - investigate")</f>
        <v/>
      </c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</row>
    <row r="8">
      <c r="A8" s="35" t="inlineStr">
        <is>
          <t>TOTAL CLAIMED</t>
        </is>
      </c>
      <c r="B8" s="35" t="n"/>
      <c r="C8" s="35" t="n"/>
      <c r="D8" s="35" t="n"/>
      <c r="E8" s="35" t="n"/>
      <c r="F8" s="36">
        <f>SUM(F6:F7)</f>
        <v/>
      </c>
      <c r="G8" s="36">
        <f>SUM(G6:G7)</f>
        <v/>
      </c>
      <c r="H8" s="36">
        <f>SUM(H6:H7)</f>
        <v/>
      </c>
      <c r="I8" s="35" t="n"/>
      <c r="J8" s="35" t="n"/>
      <c r="K8" s="35">
        <f>IF(ROUND(H8,2)=0,"NIL OWING - all "&amp;TEXT(F8,"0")&amp;" hrs paid","HOURS OWING - investigate")</f>
        <v/>
      </c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</row>
    <row r="9" ht="32" customHeight="1" s="12">
      <c r="A9" s="37" t="inlineStr">
        <is>
          <t>WHY IT LOOKED MISSING:  Each day is split across two pay lines, either side of the unpaid lunch break - 3.5 hrs + 4.5 hrs - so neither line ever shows as "8 hours" when you scan the payslip. Both days fall in the pay period 22/08/2026 - 04/09/2026, paid on 08/09/2026.</t>
        </is>
      </c>
      <c r="O9" s="24" t="n"/>
      <c r="P9" s="24" t="n"/>
      <c r="Q9" s="24" t="n"/>
      <c r="R9" s="24" t="n"/>
      <c r="S9" s="24" t="n"/>
      <c r="T9" s="24" t="n"/>
      <c r="U9" s="24" t="n"/>
      <c r="V9" s="24" t="n"/>
    </row>
    <row r="10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</row>
    <row r="11">
      <c r="A11" s="38" t="inlineStr">
        <is>
          <t>B.  PAY PERIOD SUMMARY  -  timesheet hours vs hours paid, by pay period and the date each was paid</t>
        </is>
      </c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24" t="n"/>
      <c r="P11" s="24" t="n"/>
      <c r="Q11" s="24" t="n"/>
      <c r="R11" s="24" t="n"/>
      <c r="S11" s="24" t="n"/>
      <c r="T11" s="24" t="n"/>
      <c r="U11" s="24" t="n"/>
      <c r="V11" s="24" t="n"/>
    </row>
    <row r="12" ht="32" customHeight="1" s="12">
      <c r="A12" s="27" t="inlineStr">
        <is>
          <t>Pay Period</t>
        </is>
      </c>
      <c r="B12" s="27" t="inlineStr">
        <is>
          <t>Date
Paid</t>
        </is>
      </c>
      <c r="C12" s="27" t="inlineStr">
        <is>
          <t>Source Tab in Workbook</t>
        </is>
      </c>
      <c r="D12" s="27" t="inlineStr">
        <is>
          <t>Timesheets
(count)</t>
        </is>
      </c>
      <c r="E12" s="27" t="inlineStr">
        <is>
          <t>Timesheet
Hours</t>
        </is>
      </c>
      <c r="F12" s="27" t="inlineStr">
        <is>
          <t>Paid
Hours</t>
        </is>
      </c>
      <c r="G12" s="27" t="inlineStr">
        <is>
          <t>Variance
(Hrs)</t>
        </is>
      </c>
      <c r="H12" s="27" t="inlineStr">
        <is>
          <t>Rate Paid</t>
        </is>
      </c>
      <c r="I12" s="27" t="inlineStr">
        <is>
          <t>Rate
Check</t>
        </is>
      </c>
      <c r="J12" s="27" t="inlineStr">
        <is>
          <t>Status</t>
        </is>
      </c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</row>
    <row r="13">
      <c r="A13" s="39" t="inlineStr">
        <is>
          <t>25/07/2026 - 07/08/2026</t>
        </is>
      </c>
      <c r="B13" s="40" t="n">
        <v>46245</v>
      </c>
      <c r="C13" s="39" t="inlineStr">
        <is>
          <t>07 Aug 2026</t>
        </is>
      </c>
      <c r="D13" s="41">
        <f>COUNTIFS($C$21:$C$36,$A13)</f>
        <v/>
      </c>
      <c r="E13" s="42">
        <f>SUMIFS($I$21:$I$36,$C$21:$C$36,$A13)</f>
        <v/>
      </c>
      <c r="F13" s="42">
        <f>SUMIFS($J$21:$J$36,$C$21:$C$36,$A13)</f>
        <v/>
      </c>
      <c r="G13" s="42">
        <f>E13-F13</f>
        <v/>
      </c>
      <c r="H13" s="43">
        <f>IFERROR(AVERAGEIFS($L$21:$L$36,$C$21:$C$36,$A13),"")</f>
        <v/>
      </c>
      <c r="I13" s="41">
        <f>IF(H13="","",IF(ROUND(H13,2)=37.5,"OK","NOT $37.50 - see Section D"))</f>
        <v/>
      </c>
      <c r="J13" s="39">
        <f>IF(ROUND(G13,2)=0,"Reconciled","VARIANCE - investigate")</f>
        <v/>
      </c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</row>
    <row r="14">
      <c r="A14" s="39" t="inlineStr">
        <is>
          <t>08/08/2026 - 21/08/2026</t>
        </is>
      </c>
      <c r="B14" s="40" t="n">
        <v>46259</v>
      </c>
      <c r="C14" s="39" t="inlineStr">
        <is>
          <t>21 Aug 2026</t>
        </is>
      </c>
      <c r="D14" s="41">
        <f>COUNTIFS($C$21:$C$36,$A14)</f>
        <v/>
      </c>
      <c r="E14" s="42">
        <f>SUMIFS($I$21:$I$36,$C$21:$C$36,$A14)</f>
        <v/>
      </c>
      <c r="F14" s="42">
        <f>SUMIFS($J$21:$J$36,$C$21:$C$36,$A14)</f>
        <v/>
      </c>
      <c r="G14" s="42">
        <f>E14-F14</f>
        <v/>
      </c>
      <c r="H14" s="43">
        <f>IFERROR(AVERAGEIFS($L$21:$L$36,$C$21:$C$36,$A14),"")</f>
        <v/>
      </c>
      <c r="I14" s="41">
        <f>IF(H14="","",IF(ROUND(H14,2)=37.5,"OK","NOT $37.50 - see Section D"))</f>
        <v/>
      </c>
      <c r="J14" s="39">
        <f>IF(ROUND(G14,2)=0,"Reconciled","VARIANCE - investigate")</f>
        <v/>
      </c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</row>
    <row r="15">
      <c r="A15" s="39" t="inlineStr">
        <is>
          <t>22/08/2026 - 04/09/2026</t>
        </is>
      </c>
      <c r="B15" s="40" t="n">
        <v>46273</v>
      </c>
      <c r="C15" s="39" t="inlineStr">
        <is>
          <t>20 Sept 2026 + 22 Sep 2026</t>
        </is>
      </c>
      <c r="D15" s="41">
        <f>COUNTIFS($C$21:$C$36,$A15)</f>
        <v/>
      </c>
      <c r="E15" s="42">
        <f>SUMIFS($I$21:$I$36,$C$21:$C$36,$A15)</f>
        <v/>
      </c>
      <c r="F15" s="42">
        <f>SUMIFS($J$21:$J$36,$C$21:$C$36,$A15)</f>
        <v/>
      </c>
      <c r="G15" s="42">
        <f>E15-F15</f>
        <v/>
      </c>
      <c r="H15" s="43">
        <f>IFERROR(AVERAGEIFS($L$21:$L$36,$C$21:$C$36,$A15),"")</f>
        <v/>
      </c>
      <c r="I15" s="41">
        <f>IF(H15="","",IF(ROUND(H15,2)=37.5,"OK","NOT $37.50 - see Section D"))</f>
        <v/>
      </c>
      <c r="J15" s="39">
        <f>IF(ROUND(G15,2)=0,"Reconciled","VARIANCE - investigate")</f>
        <v/>
      </c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</row>
    <row r="16">
      <c r="A16" s="39" t="inlineStr">
        <is>
          <t>05/09/2026 - 18/09/2026</t>
        </is>
      </c>
      <c r="B16" s="40" t="n">
        <v>46287</v>
      </c>
      <c r="C16" s="39" t="inlineStr">
        <is>
          <t>22 Sep 2026</t>
        </is>
      </c>
      <c r="D16" s="41">
        <f>COUNTIFS($C$21:$C$36,$A16)</f>
        <v/>
      </c>
      <c r="E16" s="42">
        <f>SUMIFS($I$21:$I$36,$C$21:$C$36,$A16)</f>
        <v/>
      </c>
      <c r="F16" s="42">
        <f>SUMIFS($J$21:$J$36,$C$21:$C$36,$A16)</f>
        <v/>
      </c>
      <c r="G16" s="42">
        <f>E16-F16</f>
        <v/>
      </c>
      <c r="H16" s="43">
        <f>IFERROR(AVERAGEIFS($L$21:$L$36,$C$21:$C$36,$A16),"")</f>
        <v/>
      </c>
      <c r="I16" s="41">
        <f>IF(H16="","",IF(ROUND(H16,2)=37.5,"OK","NOT $37.50 - see Section D"))</f>
        <v/>
      </c>
      <c r="J16" s="39">
        <f>IF(ROUND(G16,2)=0,"Reconciled","VARIANCE - investigate")</f>
        <v/>
      </c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</row>
    <row r="17">
      <c r="A17" s="44" t="inlineStr">
        <is>
          <t>TOTAL</t>
        </is>
      </c>
      <c r="B17" s="44" t="n"/>
      <c r="C17" s="44" t="n"/>
      <c r="D17" s="44">
        <f>SUM(D13:D16)</f>
        <v/>
      </c>
      <c r="E17" s="45">
        <f>SUM(E13:E16)</f>
        <v/>
      </c>
      <c r="F17" s="45">
        <f>SUM(F13:F16)</f>
        <v/>
      </c>
      <c r="G17" s="45">
        <f>SUM(G13:G16)</f>
        <v/>
      </c>
      <c r="H17" s="44" t="n"/>
      <c r="I17" s="44" t="n"/>
      <c r="J17" s="44">
        <f>IF(ROUND(G17,2)=0,"FULLY RECONCILED","VARIANCE - investigate")</f>
        <v/>
      </c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</row>
    <row r="19">
      <c r="A19" s="38" t="inlineStr">
        <is>
          <t>C.  DAY-BY-DAY RECONCILIATION  -  every timesheet line matched to the pay period that paid it.  The Notes column shows how each day was split across pay lines either side of the unpaid break.</t>
        </is>
      </c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24" t="n"/>
      <c r="P19" s="24" t="n"/>
      <c r="Q19" s="24" t="n"/>
      <c r="R19" s="24" t="n"/>
      <c r="S19" s="24" t="n"/>
      <c r="T19" s="24" t="n"/>
      <c r="U19" s="24" t="n"/>
      <c r="V19" s="24" t="n"/>
    </row>
    <row r="20" ht="32" customHeight="1" s="12">
      <c r="A20" s="27" t="inlineStr">
        <is>
          <t>Date</t>
        </is>
      </c>
      <c r="B20" s="27" t="inlineStr">
        <is>
          <t>Day</t>
        </is>
      </c>
      <c r="C20" s="27" t="inlineStr">
        <is>
          <t>Pay Period</t>
        </is>
      </c>
      <c r="D20" s="27" t="inlineStr">
        <is>
          <t>Date
Paid</t>
        </is>
      </c>
      <c r="E20" s="27" t="inlineStr">
        <is>
          <t>Location / Client (per timesheet)</t>
        </is>
      </c>
      <c r="F20" s="27" t="inlineStr">
        <is>
          <t>Start</t>
        </is>
      </c>
      <c r="G20" s="27" t="inlineStr">
        <is>
          <t>End</t>
        </is>
      </c>
      <c r="H20" s="27" t="inlineStr">
        <is>
          <t>Break</t>
        </is>
      </c>
      <c r="I20" s="27" t="inlineStr">
        <is>
          <t>Timesheet
Hours</t>
        </is>
      </c>
      <c r="J20" s="27" t="inlineStr">
        <is>
          <t>Paid
Hours</t>
        </is>
      </c>
      <c r="K20" s="27" t="inlineStr">
        <is>
          <t>Variance
(Hrs)</t>
        </is>
      </c>
      <c r="L20" s="27" t="inlineStr">
        <is>
          <t>Rate Paid</t>
        </is>
      </c>
      <c r="M20" s="27" t="inlineStr">
        <is>
          <t>Rate
Check</t>
        </is>
      </c>
      <c r="N20" s="27" t="inlineStr">
        <is>
          <t>Notes</t>
        </is>
      </c>
      <c r="O20" s="24" t="n"/>
      <c r="P20" s="24" t="n"/>
      <c r="Q20" s="24" t="n"/>
      <c r="R20" s="24" t="n"/>
      <c r="S20" s="24" t="n"/>
      <c r="T20" s="24" t="n"/>
      <c r="U20" s="24" t="n"/>
      <c r="V20" s="24" t="n"/>
    </row>
    <row r="21">
      <c r="A21" s="40" t="n">
        <v>46232</v>
      </c>
      <c r="B21" s="41" t="inlineStr">
        <is>
          <t>Wed</t>
        </is>
      </c>
      <c r="C21" s="39" t="inlineStr">
        <is>
          <t>25/07/2026 - 07/08/2026</t>
        </is>
      </c>
      <c r="D21" s="46" t="n">
        <v>46245</v>
      </c>
      <c r="E21" s="39" t="inlineStr">
        <is>
          <t>CBA FT Tech MEL - 12 months [ONS]</t>
        </is>
      </c>
      <c r="F21" s="41" t="inlineStr">
        <is>
          <t>7:00 AM</t>
        </is>
      </c>
      <c r="G21" s="41" t="inlineStr">
        <is>
          <t>4:00 PM</t>
        </is>
      </c>
      <c r="H21" s="41" t="inlineStr">
        <is>
          <t>12:30-1:30</t>
        </is>
      </c>
      <c r="I21" s="42" t="n">
        <v>8</v>
      </c>
      <c r="J21" s="42">
        <f>SUMIFS('07 Aug 2026'!$G$3:$G$6,'07 Aug 2026'!$O$3:$O$6,$A21,'07 Aug 2026'!$K$3:$K$6,$E21)+SUMIFS('21 Aug 2026'!$G$3:$G$7,'21 Aug 2026'!$O$3:$O$7,$A21,'21 Aug 2026'!$K$3:$K$7,$E21)+SUMIFS('20 Sept 2026 '!$G$3:$G$14,'20 Sept 2026 '!$O$3:$O$14,$A21,'20 Sept 2026 '!$K$3:$K$14,$E21)+SUMIFS('22 Sep 2026'!$G$3:$G$11,'22 Sep 2026'!$O$3:$O$11,$A21,'22 Sep 2026'!$K$3:$K$11,$E21)</f>
        <v/>
      </c>
      <c r="K21" s="42">
        <f>I21-J21</f>
        <v/>
      </c>
      <c r="L21" s="43">
        <f>IFERROR(AVERAGEIFS('07 Aug 2026'!$M$3:$M$6,'07 Aug 2026'!$O$3:$O$6,$A21,'07 Aug 2026'!$K$3:$K$6,$E21),IFERROR(AVERAGEIFS('21 Aug 2026'!$M$3:$M$7,'21 Aug 2026'!$O$3:$O$7,$A21,'21 Aug 2026'!$K$3:$K$7,$E21),IFERROR(AVERAGEIFS('20 Sept 2026 '!$M$3:$M$14,'20 Sept 2026 '!$O$3:$O$14,$A21,'20 Sept 2026 '!$K$3:$K$14,$E21),IFERROR(AVERAGEIFS('22 Sep 2026'!$M$3:$M$11,'22 Sep 2026'!$O$3:$O$11,$A21,'22 Sep 2026'!$K$3:$K$11,$E21),""))))</f>
        <v/>
      </c>
      <c r="M21" s="41">
        <f>IF(J21=0,"",IF(ROUND(L21,2)=37.5,"OK","NOT $37.50 - see Section D"))</f>
        <v/>
      </c>
      <c r="N21" s="47" t="inlineStr">
        <is>
          <t>Paid as 5.5 + 2.5 hrs either side of break. Rate later corrected to $37.50/hr - see Section D.</t>
        </is>
      </c>
      <c r="O21" s="24" t="n"/>
      <c r="P21" s="24" t="n"/>
      <c r="Q21" s="24" t="n"/>
      <c r="R21" s="24" t="n"/>
      <c r="S21" s="24" t="n"/>
      <c r="T21" s="24" t="n"/>
      <c r="U21" s="24" t="n"/>
      <c r="V21" s="24" t="n"/>
    </row>
    <row r="22">
      <c r="A22" s="40" t="n">
        <v>46233</v>
      </c>
      <c r="B22" s="41" t="inlineStr">
        <is>
          <t>Thu</t>
        </is>
      </c>
      <c r="C22" s="39" t="inlineStr">
        <is>
          <t>25/07/2026 - 07/08/2026</t>
        </is>
      </c>
      <c r="D22" s="46" t="n">
        <v>46245</v>
      </c>
      <c r="E22" s="39" t="inlineStr">
        <is>
          <t>PWC – MEL Technician [ONS]</t>
        </is>
      </c>
      <c r="F22" s="41" t="inlineStr">
        <is>
          <t>8:00 AM</t>
        </is>
      </c>
      <c r="G22" s="41" t="inlineStr">
        <is>
          <t>12:00 PM</t>
        </is>
      </c>
      <c r="H22" s="41" t="inlineStr">
        <is>
          <t>-</t>
        </is>
      </c>
      <c r="I22" s="42" t="n">
        <v>4</v>
      </c>
      <c r="J22" s="42">
        <f>SUMIFS('07 Aug 2026'!$G$3:$G$6,'07 Aug 2026'!$O$3:$O$6,$A22,'07 Aug 2026'!$K$3:$K$6,$E22)+SUMIFS('21 Aug 2026'!$G$3:$G$7,'21 Aug 2026'!$O$3:$O$7,$A22,'21 Aug 2026'!$K$3:$K$7,$E22)+SUMIFS('20 Sept 2026 '!$G$3:$G$14,'20 Sept 2026 '!$O$3:$O$14,$A22,'20 Sept 2026 '!$K$3:$K$14,$E22)+SUMIFS('22 Sep 2026'!$G$3:$G$11,'22 Sep 2026'!$O$3:$O$11,$A22,'22 Sep 2026'!$K$3:$K$11,$E22)</f>
        <v/>
      </c>
      <c r="K22" s="42">
        <f>I22-J22</f>
        <v/>
      </c>
      <c r="L22" s="43">
        <f>IFERROR(AVERAGEIFS('07 Aug 2026'!$M$3:$M$6,'07 Aug 2026'!$O$3:$O$6,$A22,'07 Aug 2026'!$K$3:$K$6,$E22),IFERROR(AVERAGEIFS('21 Aug 2026'!$M$3:$M$7,'21 Aug 2026'!$O$3:$O$7,$A22,'21 Aug 2026'!$K$3:$K$7,$E22),IFERROR(AVERAGEIFS('20 Sept 2026 '!$M$3:$M$14,'20 Sept 2026 '!$O$3:$O$14,$A22,'20 Sept 2026 '!$K$3:$K$14,$E22),IFERROR(AVERAGEIFS('22 Sep 2026'!$M$3:$M$11,'22 Sep 2026'!$O$3:$O$11,$A22,'22 Sep 2026'!$K$3:$K$11,$E22),""))))</f>
        <v/>
      </c>
      <c r="M22" s="41">
        <f>IF(J22=0,"",IF(ROUND(L22,2)=37.5,"OK","NOT $37.50 - see Section D"))</f>
        <v/>
      </c>
      <c r="N22" s="47" t="inlineStr">
        <is>
          <t>Paid as a single 4 hr line - no break taken. Two separate timesheets this day - matched by location. Rate later corrected to $37.50/hr - see Section D.</t>
        </is>
      </c>
      <c r="O22" s="24" t="n"/>
      <c r="P22" s="24" t="n"/>
      <c r="Q22" s="24" t="n"/>
      <c r="R22" s="24" t="n"/>
      <c r="S22" s="24" t="n"/>
      <c r="T22" s="24" t="n"/>
      <c r="U22" s="24" t="n"/>
      <c r="V22" s="24" t="n"/>
    </row>
    <row r="23">
      <c r="A23" s="40" t="n">
        <v>46233</v>
      </c>
      <c r="B23" s="41" t="inlineStr">
        <is>
          <t>Thu</t>
        </is>
      </c>
      <c r="C23" s="39" t="inlineStr">
        <is>
          <t>25/07/2026 - 07/08/2026</t>
        </is>
      </c>
      <c r="D23" s="46" t="n">
        <v>46245</v>
      </c>
      <c r="E23" s="39" t="inlineStr">
        <is>
          <t>Aware Super AV Maintenance [ONS]</t>
        </is>
      </c>
      <c r="F23" s="41" t="inlineStr">
        <is>
          <t>2:25 PM</t>
        </is>
      </c>
      <c r="G23" s="41" t="inlineStr">
        <is>
          <t>6:25 PM</t>
        </is>
      </c>
      <c r="H23" s="41" t="inlineStr">
        <is>
          <t>-</t>
        </is>
      </c>
      <c r="I23" s="42" t="n">
        <v>4</v>
      </c>
      <c r="J23" s="42">
        <f>SUMIFS('07 Aug 2026'!$G$3:$G$6,'07 Aug 2026'!$O$3:$O$6,$A23,'07 Aug 2026'!$K$3:$K$6,$E23)+SUMIFS('21 Aug 2026'!$G$3:$G$7,'21 Aug 2026'!$O$3:$O$7,$A23,'21 Aug 2026'!$K$3:$K$7,$E23)+SUMIFS('20 Sept 2026 '!$G$3:$G$14,'20 Sept 2026 '!$O$3:$O$14,$A23,'20 Sept 2026 '!$K$3:$K$14,$E23)+SUMIFS('22 Sep 2026'!$G$3:$G$11,'22 Sep 2026'!$O$3:$O$11,$A23,'22 Sep 2026'!$K$3:$K$11,$E23)</f>
        <v/>
      </c>
      <c r="K23" s="42">
        <f>I23-J23</f>
        <v/>
      </c>
      <c r="L23" s="43">
        <f>IFERROR(AVERAGEIFS('07 Aug 2026'!$M$3:$M$6,'07 Aug 2026'!$O$3:$O$6,$A23,'07 Aug 2026'!$K$3:$K$6,$E23),IFERROR(AVERAGEIFS('21 Aug 2026'!$M$3:$M$7,'21 Aug 2026'!$O$3:$O$7,$A23,'21 Aug 2026'!$K$3:$K$7,$E23),IFERROR(AVERAGEIFS('20 Sept 2026 '!$M$3:$M$14,'20 Sept 2026 '!$O$3:$O$14,$A23,'20 Sept 2026 '!$K$3:$K$14,$E23),IFERROR(AVERAGEIFS('22 Sep 2026'!$M$3:$M$11,'22 Sep 2026'!$O$3:$O$11,$A23,'22 Sep 2026'!$K$3:$K$11,$E23),""))))</f>
        <v/>
      </c>
      <c r="M23" s="41">
        <f>IF(J23=0,"",IF(ROUND(L23,2)=37.5,"OK","NOT $37.50 - see Section D"))</f>
        <v/>
      </c>
      <c r="N23" s="47" t="inlineStr">
        <is>
          <t>Paid as a single 4 hr line - no break taken. Two separate timesheets this day - matched by location. Rate later corrected to $37.50/hr - see Section D.</t>
        </is>
      </c>
      <c r="O23" s="24" t="n"/>
      <c r="P23" s="24" t="n"/>
      <c r="Q23" s="24" t="n"/>
      <c r="R23" s="24" t="n"/>
      <c r="S23" s="24" t="n"/>
      <c r="T23" s="24" t="n"/>
      <c r="U23" s="24" t="n"/>
      <c r="V23" s="24" t="n"/>
    </row>
    <row r="24">
      <c r="A24" s="40" t="n">
        <v>46252</v>
      </c>
      <c r="B24" s="41" t="inlineStr">
        <is>
          <t>Tue</t>
        </is>
      </c>
      <c r="C24" s="39" t="inlineStr">
        <is>
          <t>08/08/2026 - 21/08/2026</t>
        </is>
      </c>
      <c r="D24" s="46" t="n">
        <v>46259</v>
      </c>
      <c r="E24" s="39" t="inlineStr">
        <is>
          <t>CBA FT Tech MEL - 12 months [ONS]</t>
        </is>
      </c>
      <c r="F24" s="41" t="inlineStr">
        <is>
          <t>7:00 AM</t>
        </is>
      </c>
      <c r="G24" s="41" t="inlineStr">
        <is>
          <t>4:00 PM</t>
        </is>
      </c>
      <c r="H24" s="41" t="inlineStr">
        <is>
          <t>12:00-1:00</t>
        </is>
      </c>
      <c r="I24" s="42" t="n">
        <v>8</v>
      </c>
      <c r="J24" s="42">
        <f>SUMIFS('07 Aug 2026'!$G$3:$G$6,'07 Aug 2026'!$O$3:$O$6,$A24,'07 Aug 2026'!$K$3:$K$6,$E24)+SUMIFS('21 Aug 2026'!$G$3:$G$7,'21 Aug 2026'!$O$3:$O$7,$A24,'21 Aug 2026'!$K$3:$K$7,$E24)+SUMIFS('20 Sept 2026 '!$G$3:$G$14,'20 Sept 2026 '!$O$3:$O$14,$A24,'20 Sept 2026 '!$K$3:$K$14,$E24)+SUMIFS('22 Sep 2026'!$G$3:$G$11,'22 Sep 2026'!$O$3:$O$11,$A24,'22 Sep 2026'!$K$3:$K$11,$E24)</f>
        <v/>
      </c>
      <c r="K24" s="42">
        <f>I24-J24</f>
        <v/>
      </c>
      <c r="L24" s="43">
        <f>IFERROR(AVERAGEIFS('07 Aug 2026'!$M$3:$M$6,'07 Aug 2026'!$O$3:$O$6,$A24,'07 Aug 2026'!$K$3:$K$6,$E24),IFERROR(AVERAGEIFS('21 Aug 2026'!$M$3:$M$7,'21 Aug 2026'!$O$3:$O$7,$A24,'21 Aug 2026'!$K$3:$K$7,$E24),IFERROR(AVERAGEIFS('20 Sept 2026 '!$M$3:$M$14,'20 Sept 2026 '!$O$3:$O$14,$A24,'20 Sept 2026 '!$K$3:$K$14,$E24),IFERROR(AVERAGEIFS('22 Sep 2026'!$M$3:$M$11,'22 Sep 2026'!$O$3:$O$11,$A24,'22 Sep 2026'!$K$3:$K$11,$E24),""))))</f>
        <v/>
      </c>
      <c r="M24" s="41">
        <f>IF(J24=0,"",IF(ROUND(L24,2)=37.5,"OK","NOT $37.50 - see Section D"))</f>
        <v/>
      </c>
      <c r="N24" s="47" t="inlineStr">
        <is>
          <t>Paid as 5 + 3 hrs either side of break</t>
        </is>
      </c>
      <c r="O24" s="24" t="n"/>
      <c r="P24" s="24" t="n"/>
      <c r="Q24" s="24" t="n"/>
      <c r="R24" s="24" t="n"/>
      <c r="S24" s="24" t="n"/>
      <c r="T24" s="24" t="n"/>
      <c r="U24" s="24" t="n"/>
      <c r="V24" s="24" t="n"/>
    </row>
    <row r="25">
      <c r="A25" s="40" t="n">
        <v>46254</v>
      </c>
      <c r="B25" s="41" t="inlineStr">
        <is>
          <t>Thu</t>
        </is>
      </c>
      <c r="C25" s="39" t="inlineStr">
        <is>
          <t>08/08/2026 - 21/08/2026</t>
        </is>
      </c>
      <c r="D25" s="46" t="n">
        <v>46259</v>
      </c>
      <c r="E25" s="39" t="inlineStr">
        <is>
          <t>PWC National Pool of Hours [ONS]</t>
        </is>
      </c>
      <c r="F25" s="41" t="inlineStr">
        <is>
          <t>1:00 PM</t>
        </is>
      </c>
      <c r="G25" s="41" t="inlineStr">
        <is>
          <t>5:00 PM</t>
        </is>
      </c>
      <c r="H25" s="41" t="inlineStr">
        <is>
          <t>-</t>
        </is>
      </c>
      <c r="I25" s="42" t="n">
        <v>4</v>
      </c>
      <c r="J25" s="42">
        <f>SUMIFS('07 Aug 2026'!$G$3:$G$6,'07 Aug 2026'!$O$3:$O$6,$A25,'07 Aug 2026'!$K$3:$K$6,$E25)+SUMIFS('21 Aug 2026'!$G$3:$G$7,'21 Aug 2026'!$O$3:$O$7,$A25,'21 Aug 2026'!$K$3:$K$7,$E25)+SUMIFS('20 Sept 2026 '!$G$3:$G$14,'20 Sept 2026 '!$O$3:$O$14,$A25,'20 Sept 2026 '!$K$3:$K$14,$E25)+SUMIFS('22 Sep 2026'!$G$3:$G$11,'22 Sep 2026'!$O$3:$O$11,$A25,'22 Sep 2026'!$K$3:$K$11,$E25)</f>
        <v/>
      </c>
      <c r="K25" s="42">
        <f>I25-J25</f>
        <v/>
      </c>
      <c r="L25" s="43">
        <f>IFERROR(AVERAGEIFS('07 Aug 2026'!$M$3:$M$6,'07 Aug 2026'!$O$3:$O$6,$A25,'07 Aug 2026'!$K$3:$K$6,$E25),IFERROR(AVERAGEIFS('21 Aug 2026'!$M$3:$M$7,'21 Aug 2026'!$O$3:$O$7,$A25,'21 Aug 2026'!$K$3:$K$7,$E25),IFERROR(AVERAGEIFS('20 Sept 2026 '!$M$3:$M$14,'20 Sept 2026 '!$O$3:$O$14,$A25,'20 Sept 2026 '!$K$3:$K$14,$E25),IFERROR(AVERAGEIFS('22 Sep 2026'!$M$3:$M$11,'22 Sep 2026'!$O$3:$O$11,$A25,'22 Sep 2026'!$K$3:$K$11,$E25),""))))</f>
        <v/>
      </c>
      <c r="M25" s="41">
        <f>IF(J25=0,"",IF(ROUND(L25,2)=37.5,"OK","NOT $37.50 - see Section D"))</f>
        <v/>
      </c>
      <c r="N25" s="47" t="inlineStr">
        <is>
          <t>Paid as a single 4 hr line - no break taken</t>
        </is>
      </c>
      <c r="O25" s="24" t="n"/>
      <c r="P25" s="24" t="n"/>
      <c r="Q25" s="24" t="n"/>
      <c r="R25" s="24" t="n"/>
      <c r="S25" s="24" t="n"/>
      <c r="T25" s="24" t="n"/>
      <c r="U25" s="24" t="n"/>
      <c r="V25" s="24" t="n"/>
    </row>
    <row r="26" ht="32" customHeight="1" s="12">
      <c r="A26" s="28" t="n">
        <v>46258</v>
      </c>
      <c r="B26" s="29" t="inlineStr">
        <is>
          <t>Mon</t>
        </is>
      </c>
      <c r="C26" s="30" t="inlineStr">
        <is>
          <t>22/08/2026 - 04/09/2026</t>
        </is>
      </c>
      <c r="D26" s="31" t="n">
        <v>46273</v>
      </c>
      <c r="E26" s="30" t="inlineStr">
        <is>
          <t>DTTL Mel Tech FT 1 [ONS]</t>
        </is>
      </c>
      <c r="F26" s="29" t="inlineStr">
        <is>
          <t>8:30 AM</t>
        </is>
      </c>
      <c r="G26" s="29" t="inlineStr">
        <is>
          <t>5:00 PM</t>
        </is>
      </c>
      <c r="H26" s="29" t="inlineStr">
        <is>
          <t>12:00-12:30</t>
        </is>
      </c>
      <c r="I26" s="32" t="n">
        <v>8</v>
      </c>
      <c r="J26" s="32">
        <f>SUMIFS('07 Aug 2026'!$G$3:$G$6,'07 Aug 2026'!$O$3:$O$6,$A26,'07 Aug 2026'!$K$3:$K$6,$E26)+SUMIFS('21 Aug 2026'!$G$3:$G$7,'21 Aug 2026'!$O$3:$O$7,$A26,'21 Aug 2026'!$K$3:$K$7,$E26)+SUMIFS('20 Sept 2026 '!$G$3:$G$14,'20 Sept 2026 '!$O$3:$O$14,$A26,'20 Sept 2026 '!$K$3:$K$14,$E26)+SUMIFS('22 Sep 2026'!$G$3:$G$11,'22 Sep 2026'!$O$3:$O$11,$A26,'22 Sep 2026'!$K$3:$K$11,$E26)</f>
        <v/>
      </c>
      <c r="K26" s="32">
        <f>I26-J26</f>
        <v/>
      </c>
      <c r="L26" s="33">
        <f>IFERROR(AVERAGEIFS('07 Aug 2026'!$M$3:$M$6,'07 Aug 2026'!$O$3:$O$6,$A26,'07 Aug 2026'!$K$3:$K$6,$E26),IFERROR(AVERAGEIFS('21 Aug 2026'!$M$3:$M$7,'21 Aug 2026'!$O$3:$O$7,$A26,'21 Aug 2026'!$K$3:$K$7,$E26),IFERROR(AVERAGEIFS('20 Sept 2026 '!$M$3:$M$14,'20 Sept 2026 '!$O$3:$O$14,$A26,'20 Sept 2026 '!$K$3:$K$14,$E26),IFERROR(AVERAGEIFS('22 Sep 2026'!$M$3:$M$11,'22 Sep 2026'!$O$3:$O$11,$A26,'22 Sep 2026'!$K$3:$K$11,$E26),""))))</f>
        <v/>
      </c>
      <c r="M26" s="29">
        <f>IF(J26=0,"",IF(ROUND(L26,2)=37.5,"OK","NOT $37.50 - see Section D"))</f>
        <v/>
      </c>
      <c r="N26" s="48" t="inlineStr">
        <is>
          <t>QUERY - claimed missing. PAID IN FULL as 3.5 + 4.5 hrs. See Section A.</t>
        </is>
      </c>
      <c r="O26" s="24" t="n"/>
      <c r="P26" s="24" t="n"/>
      <c r="Q26" s="24" t="n"/>
      <c r="R26" s="24" t="n"/>
      <c r="S26" s="24" t="n"/>
      <c r="T26" s="24" t="n"/>
      <c r="U26" s="24" t="n"/>
      <c r="V26" s="24" t="n"/>
    </row>
    <row r="27" ht="32" customHeight="1" s="12">
      <c r="A27" s="49" t="n">
        <v>46259</v>
      </c>
      <c r="B27" s="50" t="inlineStr">
        <is>
          <t>Tue</t>
        </is>
      </c>
      <c r="C27" s="51" t="inlineStr">
        <is>
          <t>22/08/2026 - 04/09/2026</t>
        </is>
      </c>
      <c r="D27" s="52" t="n">
        <v>46273</v>
      </c>
      <c r="E27" s="51" t="inlineStr">
        <is>
          <t>PWC National Pool of Hours [ONS]</t>
        </is>
      </c>
      <c r="F27" s="50" t="inlineStr">
        <is>
          <t>8:00 AM</t>
        </is>
      </c>
      <c r="G27" s="50" t="inlineStr">
        <is>
          <t>5:00 PM</t>
        </is>
      </c>
      <c r="H27" s="50" t="inlineStr">
        <is>
          <t>12:00-1:00</t>
        </is>
      </c>
      <c r="I27" s="53" t="n">
        <v>8</v>
      </c>
      <c r="J27" s="53">
        <f>SUMIFS('07 Aug 2026'!$G$3:$G$6,'07 Aug 2026'!$O$3:$O$6,$A27,'07 Aug 2026'!$K$3:$K$6,$E27)+SUMIFS('21 Aug 2026'!$G$3:$G$7,'21 Aug 2026'!$O$3:$O$7,$A27,'21 Aug 2026'!$K$3:$K$7,$E27)+SUMIFS('20 Sept 2026 '!$G$3:$G$14,'20 Sept 2026 '!$O$3:$O$14,$A27,'20 Sept 2026 '!$K$3:$K$14,$E27)+SUMIFS('22 Sep 2026'!$G$3:$G$11,'22 Sep 2026'!$O$3:$O$11,$A27,'22 Sep 2026'!$K$3:$K$11,$E27)</f>
        <v/>
      </c>
      <c r="K27" s="53">
        <f>I27-J27</f>
        <v/>
      </c>
      <c r="L27" s="54">
        <f>IFERROR(AVERAGEIFS('07 Aug 2026'!$M$3:$M$6,'07 Aug 2026'!$O$3:$O$6,$A27,'07 Aug 2026'!$K$3:$K$6,$E27),IFERROR(AVERAGEIFS('21 Aug 2026'!$M$3:$M$7,'21 Aug 2026'!$O$3:$O$7,$A27,'21 Aug 2026'!$K$3:$K$7,$E27),IFERROR(AVERAGEIFS('20 Sept 2026 '!$M$3:$M$14,'20 Sept 2026 '!$O$3:$O$14,$A27,'20 Sept 2026 '!$K$3:$K$14,$E27),IFERROR(AVERAGEIFS('22 Sep 2026'!$M$3:$M$11,'22 Sep 2026'!$O$3:$O$11,$A27,'22 Sep 2026'!$K$3:$K$11,$E27),""))))</f>
        <v/>
      </c>
      <c r="M27" s="50">
        <f>IF(J27=0,"",IF(ROUND(L27,2)=37.5,"OK","NOT $37.50 - see Section D"))</f>
        <v/>
      </c>
      <c r="N27" s="55" t="inlineStr">
        <is>
          <t>Paid as 4 + 4 hrs. Appears on the 22 Sep 2026 tab, not with the rest of this period - confirm the date actually paid.</t>
        </is>
      </c>
      <c r="O27" s="24" t="n"/>
      <c r="P27" s="24" t="n"/>
      <c r="Q27" s="24" t="n"/>
      <c r="R27" s="24" t="n"/>
      <c r="S27" s="24" t="n"/>
      <c r="T27" s="24" t="n"/>
      <c r="U27" s="24" t="n"/>
      <c r="V27" s="24" t="n"/>
    </row>
    <row r="28" ht="32" customHeight="1" s="12">
      <c r="A28" s="49" t="n">
        <v>46260</v>
      </c>
      <c r="B28" s="50" t="inlineStr">
        <is>
          <t>Wed</t>
        </is>
      </c>
      <c r="C28" s="51" t="inlineStr">
        <is>
          <t>22/08/2026 - 04/09/2026</t>
        </is>
      </c>
      <c r="D28" s="52" t="n">
        <v>46273</v>
      </c>
      <c r="E28" s="51" t="inlineStr">
        <is>
          <t>PWC National Pool of Hours [ONS]</t>
        </is>
      </c>
      <c r="F28" s="50" t="inlineStr">
        <is>
          <t>8:00 AM</t>
        </is>
      </c>
      <c r="G28" s="50" t="inlineStr">
        <is>
          <t>4:00 PM</t>
        </is>
      </c>
      <c r="H28" s="50" t="inlineStr">
        <is>
          <t>12:00-12:30</t>
        </is>
      </c>
      <c r="I28" s="53" t="n">
        <v>7.5</v>
      </c>
      <c r="J28" s="53">
        <f>SUMIFS('07 Aug 2026'!$G$3:$G$6,'07 Aug 2026'!$O$3:$O$6,$A28,'07 Aug 2026'!$K$3:$K$6,$E28)+SUMIFS('21 Aug 2026'!$G$3:$G$7,'21 Aug 2026'!$O$3:$O$7,$A28,'21 Aug 2026'!$K$3:$K$7,$E28)+SUMIFS('20 Sept 2026 '!$G$3:$G$14,'20 Sept 2026 '!$O$3:$O$14,$A28,'20 Sept 2026 '!$K$3:$K$14,$E28)+SUMIFS('22 Sep 2026'!$G$3:$G$11,'22 Sep 2026'!$O$3:$O$11,$A28,'22 Sep 2026'!$K$3:$K$11,$E28)</f>
        <v/>
      </c>
      <c r="K28" s="53">
        <f>I28-J28</f>
        <v/>
      </c>
      <c r="L28" s="54">
        <f>IFERROR(AVERAGEIFS('07 Aug 2026'!$M$3:$M$6,'07 Aug 2026'!$O$3:$O$6,$A28,'07 Aug 2026'!$K$3:$K$6,$E28),IFERROR(AVERAGEIFS('21 Aug 2026'!$M$3:$M$7,'21 Aug 2026'!$O$3:$O$7,$A28,'21 Aug 2026'!$K$3:$K$7,$E28),IFERROR(AVERAGEIFS('20 Sept 2026 '!$M$3:$M$14,'20 Sept 2026 '!$O$3:$O$14,$A28,'20 Sept 2026 '!$K$3:$K$14,$E28),IFERROR(AVERAGEIFS('22 Sep 2026'!$M$3:$M$11,'22 Sep 2026'!$O$3:$O$11,$A28,'22 Sep 2026'!$K$3:$K$11,$E28),""))))</f>
        <v/>
      </c>
      <c r="M28" s="50">
        <f>IF(J28=0,"",IF(ROUND(L28,2)=37.5,"OK","NOT $37.50 - see Section D"))</f>
        <v/>
      </c>
      <c r="N28" s="55" t="inlineStr">
        <is>
          <t>Paid as 4 + 3.5 hrs. Appears on the 22 Sep 2026 tab, not with the rest of this period - confirm the date actually paid.</t>
        </is>
      </c>
      <c r="O28" s="24" t="n"/>
      <c r="P28" s="24" t="n"/>
      <c r="Q28" s="24" t="n"/>
      <c r="R28" s="24" t="n"/>
      <c r="S28" s="24" t="n"/>
      <c r="T28" s="24" t="n"/>
      <c r="U28" s="24" t="n"/>
      <c r="V28" s="24" t="n"/>
    </row>
    <row r="29" ht="32" customHeight="1" s="12">
      <c r="A29" s="49" t="n">
        <v>46261</v>
      </c>
      <c r="B29" s="50" t="inlineStr">
        <is>
          <t>Thu</t>
        </is>
      </c>
      <c r="C29" s="51" t="inlineStr">
        <is>
          <t>22/08/2026 - 04/09/2026</t>
        </is>
      </c>
      <c r="D29" s="52" t="n">
        <v>46273</v>
      </c>
      <c r="E29" s="51" t="inlineStr">
        <is>
          <t>PWC National Pool of Hours [ONS]</t>
        </is>
      </c>
      <c r="F29" s="50" t="inlineStr">
        <is>
          <t>8:00 AM</t>
        </is>
      </c>
      <c r="G29" s="50" t="inlineStr">
        <is>
          <t>5:00 PM</t>
        </is>
      </c>
      <c r="H29" s="50" t="inlineStr">
        <is>
          <t>12:00-1:00</t>
        </is>
      </c>
      <c r="I29" s="53" t="n">
        <v>8</v>
      </c>
      <c r="J29" s="53">
        <f>SUMIFS('07 Aug 2026'!$G$3:$G$6,'07 Aug 2026'!$O$3:$O$6,$A29,'07 Aug 2026'!$K$3:$K$6,$E29)+SUMIFS('21 Aug 2026'!$G$3:$G$7,'21 Aug 2026'!$O$3:$O$7,$A29,'21 Aug 2026'!$K$3:$K$7,$E29)+SUMIFS('20 Sept 2026 '!$G$3:$G$14,'20 Sept 2026 '!$O$3:$O$14,$A29,'20 Sept 2026 '!$K$3:$K$14,$E29)+SUMIFS('22 Sep 2026'!$G$3:$G$11,'22 Sep 2026'!$O$3:$O$11,$A29,'22 Sep 2026'!$K$3:$K$11,$E29)</f>
        <v/>
      </c>
      <c r="K29" s="53">
        <f>I29-J29</f>
        <v/>
      </c>
      <c r="L29" s="54">
        <f>IFERROR(AVERAGEIFS('07 Aug 2026'!$M$3:$M$6,'07 Aug 2026'!$O$3:$O$6,$A29,'07 Aug 2026'!$K$3:$K$6,$E29),IFERROR(AVERAGEIFS('21 Aug 2026'!$M$3:$M$7,'21 Aug 2026'!$O$3:$O$7,$A29,'21 Aug 2026'!$K$3:$K$7,$E29),IFERROR(AVERAGEIFS('20 Sept 2026 '!$M$3:$M$14,'20 Sept 2026 '!$O$3:$O$14,$A29,'20 Sept 2026 '!$K$3:$K$14,$E29),IFERROR(AVERAGEIFS('22 Sep 2026'!$M$3:$M$11,'22 Sep 2026'!$O$3:$O$11,$A29,'22 Sep 2026'!$K$3:$K$11,$E29),""))))</f>
        <v/>
      </c>
      <c r="M29" s="50">
        <f>IF(J29=0,"",IF(ROUND(L29,2)=37.5,"OK","NOT $37.50 - see Section D"))</f>
        <v/>
      </c>
      <c r="N29" s="55" t="inlineStr">
        <is>
          <t>Paid as 4 + 4 hrs. Appears on the 22 Sep 2026 tab, not with the rest of this period - confirm the date actually paid.</t>
        </is>
      </c>
      <c r="O29" s="24" t="n"/>
      <c r="P29" s="24" t="n"/>
      <c r="Q29" s="24" t="n"/>
      <c r="R29" s="24" t="n"/>
      <c r="S29" s="24" t="n"/>
      <c r="T29" s="24" t="n"/>
      <c r="U29" s="24" t="n"/>
      <c r="V29" s="24" t="n"/>
    </row>
    <row r="30" ht="32" customHeight="1" s="12">
      <c r="A30" s="28" t="n">
        <v>46262</v>
      </c>
      <c r="B30" s="29" t="inlineStr">
        <is>
          <t>Fri</t>
        </is>
      </c>
      <c r="C30" s="30" t="inlineStr">
        <is>
          <t>22/08/2026 - 04/09/2026</t>
        </is>
      </c>
      <c r="D30" s="31" t="n">
        <v>46273</v>
      </c>
      <c r="E30" s="30" t="inlineStr">
        <is>
          <t>DTTL Mel Tech FT 1 [ONS]</t>
        </is>
      </c>
      <c r="F30" s="29" t="inlineStr">
        <is>
          <t>8:30 AM</t>
        </is>
      </c>
      <c r="G30" s="29" t="inlineStr">
        <is>
          <t>5:00 PM</t>
        </is>
      </c>
      <c r="H30" s="29" t="inlineStr">
        <is>
          <t>12:00-12:30</t>
        </is>
      </c>
      <c r="I30" s="32" t="n">
        <v>8</v>
      </c>
      <c r="J30" s="32">
        <f>SUMIFS('07 Aug 2026'!$G$3:$G$6,'07 Aug 2026'!$O$3:$O$6,$A30,'07 Aug 2026'!$K$3:$K$6,$E30)+SUMIFS('21 Aug 2026'!$G$3:$G$7,'21 Aug 2026'!$O$3:$O$7,$A30,'21 Aug 2026'!$K$3:$K$7,$E30)+SUMIFS('20 Sept 2026 '!$G$3:$G$14,'20 Sept 2026 '!$O$3:$O$14,$A30,'20 Sept 2026 '!$K$3:$K$14,$E30)+SUMIFS('22 Sep 2026'!$G$3:$G$11,'22 Sep 2026'!$O$3:$O$11,$A30,'22 Sep 2026'!$K$3:$K$11,$E30)</f>
        <v/>
      </c>
      <c r="K30" s="32">
        <f>I30-J30</f>
        <v/>
      </c>
      <c r="L30" s="33">
        <f>IFERROR(AVERAGEIFS('07 Aug 2026'!$M$3:$M$6,'07 Aug 2026'!$O$3:$O$6,$A30,'07 Aug 2026'!$K$3:$K$6,$E30),IFERROR(AVERAGEIFS('21 Aug 2026'!$M$3:$M$7,'21 Aug 2026'!$O$3:$O$7,$A30,'21 Aug 2026'!$K$3:$K$7,$E30),IFERROR(AVERAGEIFS('20 Sept 2026 '!$M$3:$M$14,'20 Sept 2026 '!$O$3:$O$14,$A30,'20 Sept 2026 '!$K$3:$K$14,$E30),IFERROR(AVERAGEIFS('22 Sep 2026'!$M$3:$M$11,'22 Sep 2026'!$O$3:$O$11,$A30,'22 Sep 2026'!$K$3:$K$11,$E30),""))))</f>
        <v/>
      </c>
      <c r="M30" s="29">
        <f>IF(J30=0,"",IF(ROUND(L30,2)=37.5,"OK","NOT $37.50 - see Section D"))</f>
        <v/>
      </c>
      <c r="N30" s="48" t="inlineStr">
        <is>
          <t>QUERY - claimed missing. PAID IN FULL as 3.5 + 4.5 hrs. See Section A.</t>
        </is>
      </c>
      <c r="O30" s="24" t="n"/>
      <c r="P30" s="24" t="n"/>
      <c r="Q30" s="24" t="n"/>
      <c r="R30" s="24" t="n"/>
      <c r="S30" s="24" t="n"/>
      <c r="T30" s="24" t="n"/>
      <c r="U30" s="24" t="n"/>
      <c r="V30" s="24" t="n"/>
    </row>
    <row r="31">
      <c r="A31" s="40" t="n">
        <v>46265</v>
      </c>
      <c r="B31" s="41" t="inlineStr">
        <is>
          <t>Mon</t>
        </is>
      </c>
      <c r="C31" s="39" t="inlineStr">
        <is>
          <t>22/08/2026 - 04/09/2026</t>
        </is>
      </c>
      <c r="D31" s="46" t="n">
        <v>46273</v>
      </c>
      <c r="E31" s="39" t="inlineStr">
        <is>
          <t>DTTL Mel Tech FT 1 [ONS]</t>
        </is>
      </c>
      <c r="F31" s="41" t="inlineStr">
        <is>
          <t>8:30 AM</t>
        </is>
      </c>
      <c r="G31" s="41" t="inlineStr">
        <is>
          <t>5:00 PM</t>
        </is>
      </c>
      <c r="H31" s="41" t="inlineStr">
        <is>
          <t>12:00-12:30</t>
        </is>
      </c>
      <c r="I31" s="42" t="n">
        <v>8</v>
      </c>
      <c r="J31" s="42">
        <f>SUMIFS('07 Aug 2026'!$G$3:$G$6,'07 Aug 2026'!$O$3:$O$6,$A31,'07 Aug 2026'!$K$3:$K$6,$E31)+SUMIFS('21 Aug 2026'!$G$3:$G$7,'21 Aug 2026'!$O$3:$O$7,$A31,'21 Aug 2026'!$K$3:$K$7,$E31)+SUMIFS('20 Sept 2026 '!$G$3:$G$14,'20 Sept 2026 '!$O$3:$O$14,$A31,'20 Sept 2026 '!$K$3:$K$14,$E31)+SUMIFS('22 Sep 2026'!$G$3:$G$11,'22 Sep 2026'!$O$3:$O$11,$A31,'22 Sep 2026'!$K$3:$K$11,$E31)</f>
        <v/>
      </c>
      <c r="K31" s="42">
        <f>I31-J31</f>
        <v/>
      </c>
      <c r="L31" s="43">
        <f>IFERROR(AVERAGEIFS('07 Aug 2026'!$M$3:$M$6,'07 Aug 2026'!$O$3:$O$6,$A31,'07 Aug 2026'!$K$3:$K$6,$E31),IFERROR(AVERAGEIFS('21 Aug 2026'!$M$3:$M$7,'21 Aug 2026'!$O$3:$O$7,$A31,'21 Aug 2026'!$K$3:$K$7,$E31),IFERROR(AVERAGEIFS('20 Sept 2026 '!$M$3:$M$14,'20 Sept 2026 '!$O$3:$O$14,$A31,'20 Sept 2026 '!$K$3:$K$14,$E31),IFERROR(AVERAGEIFS('22 Sep 2026'!$M$3:$M$11,'22 Sep 2026'!$O$3:$O$11,$A31,'22 Sep 2026'!$K$3:$K$11,$E31),""))))</f>
        <v/>
      </c>
      <c r="M31" s="41">
        <f>IF(J31=0,"",IF(ROUND(L31,2)=37.5,"OK","NOT $37.50 - see Section D"))</f>
        <v/>
      </c>
      <c r="N31" s="47" t="inlineStr">
        <is>
          <t>Paid as 3.5 + 4.5 hrs</t>
        </is>
      </c>
      <c r="O31" s="24" t="n"/>
      <c r="P31" s="24" t="n"/>
      <c r="Q31" s="24" t="n"/>
      <c r="R31" s="24" t="n"/>
      <c r="S31" s="24" t="n"/>
      <c r="T31" s="24" t="n"/>
      <c r="U31" s="24" t="n"/>
      <c r="V31" s="24" t="n"/>
    </row>
    <row r="32">
      <c r="A32" s="40" t="n">
        <v>46266</v>
      </c>
      <c r="B32" s="41" t="inlineStr">
        <is>
          <t>Tue</t>
        </is>
      </c>
      <c r="C32" s="39" t="inlineStr">
        <is>
          <t>22/08/2026 - 04/09/2026</t>
        </is>
      </c>
      <c r="D32" s="46" t="n">
        <v>46273</v>
      </c>
      <c r="E32" s="39" t="inlineStr">
        <is>
          <t>DTTL Mel Tech FT 1 [ONS]</t>
        </is>
      </c>
      <c r="F32" s="41" t="inlineStr">
        <is>
          <t>9:00 AM</t>
        </is>
      </c>
      <c r="G32" s="41" t="inlineStr">
        <is>
          <t>5:30 PM</t>
        </is>
      </c>
      <c r="H32" s="41" t="inlineStr">
        <is>
          <t>12:00-12:30</t>
        </is>
      </c>
      <c r="I32" s="42" t="n">
        <v>8</v>
      </c>
      <c r="J32" s="42">
        <f>SUMIFS('07 Aug 2026'!$G$3:$G$6,'07 Aug 2026'!$O$3:$O$6,$A32,'07 Aug 2026'!$K$3:$K$6,$E32)+SUMIFS('21 Aug 2026'!$G$3:$G$7,'21 Aug 2026'!$O$3:$O$7,$A32,'21 Aug 2026'!$K$3:$K$7,$E32)+SUMIFS('20 Sept 2026 '!$G$3:$G$14,'20 Sept 2026 '!$O$3:$O$14,$A32,'20 Sept 2026 '!$K$3:$K$14,$E32)+SUMIFS('22 Sep 2026'!$G$3:$G$11,'22 Sep 2026'!$O$3:$O$11,$A32,'22 Sep 2026'!$K$3:$K$11,$E32)</f>
        <v/>
      </c>
      <c r="K32" s="42">
        <f>I32-J32</f>
        <v/>
      </c>
      <c r="L32" s="43">
        <f>IFERROR(AVERAGEIFS('07 Aug 2026'!$M$3:$M$6,'07 Aug 2026'!$O$3:$O$6,$A32,'07 Aug 2026'!$K$3:$K$6,$E32),IFERROR(AVERAGEIFS('21 Aug 2026'!$M$3:$M$7,'21 Aug 2026'!$O$3:$O$7,$A32,'21 Aug 2026'!$K$3:$K$7,$E32),IFERROR(AVERAGEIFS('20 Sept 2026 '!$M$3:$M$14,'20 Sept 2026 '!$O$3:$O$14,$A32,'20 Sept 2026 '!$K$3:$K$14,$E32),IFERROR(AVERAGEIFS('22 Sep 2026'!$M$3:$M$11,'22 Sep 2026'!$O$3:$O$11,$A32,'22 Sep 2026'!$K$3:$K$11,$E32),""))))</f>
        <v/>
      </c>
      <c r="M32" s="41">
        <f>IF(J32=0,"",IF(ROUND(L32,2)=37.5,"OK","NOT $37.50 - see Section D"))</f>
        <v/>
      </c>
      <c r="N32" s="47" t="inlineStr">
        <is>
          <t>Paid as 3 + 5 hrs</t>
        </is>
      </c>
      <c r="O32" s="24" t="n"/>
      <c r="P32" s="24" t="n"/>
      <c r="Q32" s="24" t="n"/>
      <c r="R32" s="24" t="n"/>
      <c r="S32" s="24" t="n"/>
      <c r="T32" s="24" t="n"/>
      <c r="U32" s="24" t="n"/>
      <c r="V32" s="24" t="n"/>
    </row>
    <row r="33">
      <c r="A33" s="40" t="n">
        <v>46267</v>
      </c>
      <c r="B33" s="41" t="inlineStr">
        <is>
          <t>Wed</t>
        </is>
      </c>
      <c r="C33" s="39" t="inlineStr">
        <is>
          <t>22/08/2026 - 04/09/2026</t>
        </is>
      </c>
      <c r="D33" s="46" t="n">
        <v>46273</v>
      </c>
      <c r="E33" s="39" t="inlineStr">
        <is>
          <t>DTTL Mel Tech FT 1 [ONS]</t>
        </is>
      </c>
      <c r="F33" s="41" t="inlineStr">
        <is>
          <t>9:00 AM</t>
        </is>
      </c>
      <c r="G33" s="41" t="inlineStr">
        <is>
          <t>5:30 PM</t>
        </is>
      </c>
      <c r="H33" s="41" t="inlineStr">
        <is>
          <t>12:00-12:30</t>
        </is>
      </c>
      <c r="I33" s="42" t="n">
        <v>8</v>
      </c>
      <c r="J33" s="42">
        <f>SUMIFS('07 Aug 2026'!$G$3:$G$6,'07 Aug 2026'!$O$3:$O$6,$A33,'07 Aug 2026'!$K$3:$K$6,$E33)+SUMIFS('21 Aug 2026'!$G$3:$G$7,'21 Aug 2026'!$O$3:$O$7,$A33,'21 Aug 2026'!$K$3:$K$7,$E33)+SUMIFS('20 Sept 2026 '!$G$3:$G$14,'20 Sept 2026 '!$O$3:$O$14,$A33,'20 Sept 2026 '!$K$3:$K$14,$E33)+SUMIFS('22 Sep 2026'!$G$3:$G$11,'22 Sep 2026'!$O$3:$O$11,$A33,'22 Sep 2026'!$K$3:$K$11,$E33)</f>
        <v/>
      </c>
      <c r="K33" s="42">
        <f>I33-J33</f>
        <v/>
      </c>
      <c r="L33" s="43">
        <f>IFERROR(AVERAGEIFS('07 Aug 2026'!$M$3:$M$6,'07 Aug 2026'!$O$3:$O$6,$A33,'07 Aug 2026'!$K$3:$K$6,$E33),IFERROR(AVERAGEIFS('21 Aug 2026'!$M$3:$M$7,'21 Aug 2026'!$O$3:$O$7,$A33,'21 Aug 2026'!$K$3:$K$7,$E33),IFERROR(AVERAGEIFS('20 Sept 2026 '!$M$3:$M$14,'20 Sept 2026 '!$O$3:$O$14,$A33,'20 Sept 2026 '!$K$3:$K$14,$E33),IFERROR(AVERAGEIFS('22 Sep 2026'!$M$3:$M$11,'22 Sep 2026'!$O$3:$O$11,$A33,'22 Sep 2026'!$K$3:$K$11,$E33),""))))</f>
        <v/>
      </c>
      <c r="M33" s="41">
        <f>IF(J33=0,"",IF(ROUND(L33,2)=37.5,"OK","NOT $37.50 - see Section D"))</f>
        <v/>
      </c>
      <c r="N33" s="47" t="inlineStr">
        <is>
          <t>Paid as 3 + 5 hrs</t>
        </is>
      </c>
      <c r="O33" s="24" t="n"/>
      <c r="P33" s="24" t="n"/>
      <c r="Q33" s="24" t="n"/>
      <c r="R33" s="24" t="n"/>
      <c r="S33" s="24" t="n"/>
      <c r="T33" s="24" t="n"/>
      <c r="U33" s="24" t="n"/>
      <c r="V33" s="24" t="n"/>
    </row>
    <row r="34">
      <c r="A34" s="40" t="n">
        <v>46269</v>
      </c>
      <c r="B34" s="41" t="inlineStr">
        <is>
          <t>Fri</t>
        </is>
      </c>
      <c r="C34" s="39" t="inlineStr">
        <is>
          <t>22/08/2026 - 04/09/2026</t>
        </is>
      </c>
      <c r="D34" s="46" t="n">
        <v>46273</v>
      </c>
      <c r="E34" s="39" t="inlineStr">
        <is>
          <t>DTTL Mel Tech FT 1 [ONS]</t>
        </is>
      </c>
      <c r="F34" s="41" t="inlineStr">
        <is>
          <t>8:30 AM</t>
        </is>
      </c>
      <c r="G34" s="41" t="inlineStr">
        <is>
          <t>5:00 PM</t>
        </is>
      </c>
      <c r="H34" s="41" t="inlineStr">
        <is>
          <t>12:00-12:30</t>
        </is>
      </c>
      <c r="I34" s="42" t="n">
        <v>8</v>
      </c>
      <c r="J34" s="42">
        <f>SUMIFS('07 Aug 2026'!$G$3:$G$6,'07 Aug 2026'!$O$3:$O$6,$A34,'07 Aug 2026'!$K$3:$K$6,$E34)+SUMIFS('21 Aug 2026'!$G$3:$G$7,'21 Aug 2026'!$O$3:$O$7,$A34,'21 Aug 2026'!$K$3:$K$7,$E34)+SUMIFS('20 Sept 2026 '!$G$3:$G$14,'20 Sept 2026 '!$O$3:$O$14,$A34,'20 Sept 2026 '!$K$3:$K$14,$E34)+SUMIFS('22 Sep 2026'!$G$3:$G$11,'22 Sep 2026'!$O$3:$O$11,$A34,'22 Sep 2026'!$K$3:$K$11,$E34)</f>
        <v/>
      </c>
      <c r="K34" s="42">
        <f>I34-J34</f>
        <v/>
      </c>
      <c r="L34" s="43">
        <f>IFERROR(AVERAGEIFS('07 Aug 2026'!$M$3:$M$6,'07 Aug 2026'!$O$3:$O$6,$A34,'07 Aug 2026'!$K$3:$K$6,$E34),IFERROR(AVERAGEIFS('21 Aug 2026'!$M$3:$M$7,'21 Aug 2026'!$O$3:$O$7,$A34,'21 Aug 2026'!$K$3:$K$7,$E34),IFERROR(AVERAGEIFS('20 Sept 2026 '!$M$3:$M$14,'20 Sept 2026 '!$O$3:$O$14,$A34,'20 Sept 2026 '!$K$3:$K$14,$E34),IFERROR(AVERAGEIFS('22 Sep 2026'!$M$3:$M$11,'22 Sep 2026'!$O$3:$O$11,$A34,'22 Sep 2026'!$K$3:$K$11,$E34),""))))</f>
        <v/>
      </c>
      <c r="M34" s="41">
        <f>IF(J34=0,"",IF(ROUND(L34,2)=37.5,"OK","NOT $37.50 - see Section D"))</f>
        <v/>
      </c>
      <c r="N34" s="47" t="inlineStr">
        <is>
          <t>Paid as 3.5 + 4.5 hrs</t>
        </is>
      </c>
      <c r="O34" s="24" t="n"/>
      <c r="P34" s="24" t="n"/>
      <c r="Q34" s="24" t="n"/>
      <c r="R34" s="24" t="n"/>
      <c r="S34" s="24" t="n"/>
      <c r="T34" s="24" t="n"/>
      <c r="U34" s="24" t="n"/>
      <c r="V34" s="24" t="n"/>
    </row>
    <row r="35">
      <c r="A35" s="40" t="n">
        <v>46275</v>
      </c>
      <c r="B35" s="41" t="inlineStr">
        <is>
          <t>Thu</t>
        </is>
      </c>
      <c r="C35" s="39" t="inlineStr">
        <is>
          <t>05/09/2026 - 18/09/2026</t>
        </is>
      </c>
      <c r="D35" s="46" t="n">
        <v>46287</v>
      </c>
      <c r="E35" s="39" t="inlineStr">
        <is>
          <t>PWC National Pool of Hours [ONS]</t>
        </is>
      </c>
      <c r="F35" s="41" t="inlineStr">
        <is>
          <t>8:00 AM</t>
        </is>
      </c>
      <c r="G35" s="41" t="inlineStr">
        <is>
          <t>5:00 PM</t>
        </is>
      </c>
      <c r="H35" s="41" t="inlineStr">
        <is>
          <t>12:00-1:00</t>
        </is>
      </c>
      <c r="I35" s="42" t="n">
        <v>8</v>
      </c>
      <c r="J35" s="42">
        <f>SUMIFS('07 Aug 2026'!$G$3:$G$6,'07 Aug 2026'!$O$3:$O$6,$A35,'07 Aug 2026'!$K$3:$K$6,$E35)+SUMIFS('21 Aug 2026'!$G$3:$G$7,'21 Aug 2026'!$O$3:$O$7,$A35,'21 Aug 2026'!$K$3:$K$7,$E35)+SUMIFS('20 Sept 2026 '!$G$3:$G$14,'20 Sept 2026 '!$O$3:$O$14,$A35,'20 Sept 2026 '!$K$3:$K$14,$E35)+SUMIFS('22 Sep 2026'!$G$3:$G$11,'22 Sep 2026'!$O$3:$O$11,$A35,'22 Sep 2026'!$K$3:$K$11,$E35)</f>
        <v/>
      </c>
      <c r="K35" s="42">
        <f>I35-J35</f>
        <v/>
      </c>
      <c r="L35" s="43">
        <f>IFERROR(AVERAGEIFS('07 Aug 2026'!$M$3:$M$6,'07 Aug 2026'!$O$3:$O$6,$A35,'07 Aug 2026'!$K$3:$K$6,$E35),IFERROR(AVERAGEIFS('21 Aug 2026'!$M$3:$M$7,'21 Aug 2026'!$O$3:$O$7,$A35,'21 Aug 2026'!$K$3:$K$7,$E35),IFERROR(AVERAGEIFS('20 Sept 2026 '!$M$3:$M$14,'20 Sept 2026 '!$O$3:$O$14,$A35,'20 Sept 2026 '!$K$3:$K$14,$E35),IFERROR(AVERAGEIFS('22 Sep 2026'!$M$3:$M$11,'22 Sep 2026'!$O$3:$O$11,$A35,'22 Sep 2026'!$K$3:$K$11,$E35),""))))</f>
        <v/>
      </c>
      <c r="M35" s="41">
        <f>IF(J35=0,"",IF(ROUND(L35,2)=37.5,"OK","NOT $37.50 - see Section D"))</f>
        <v/>
      </c>
      <c r="N35" s="47" t="inlineStr">
        <is>
          <t>Paid as 4 + 4 hrs</t>
        </is>
      </c>
      <c r="O35" s="24" t="n"/>
      <c r="P35" s="24" t="n"/>
      <c r="Q35" s="24" t="n"/>
      <c r="R35" s="24" t="n"/>
      <c r="S35" s="24" t="n"/>
      <c r="T35" s="24" t="n"/>
      <c r="U35" s="24" t="n"/>
      <c r="V35" s="24" t="n"/>
    </row>
    <row r="36">
      <c r="A36" s="40" t="n">
        <v>46282</v>
      </c>
      <c r="B36" s="41" t="inlineStr">
        <is>
          <t>Thu</t>
        </is>
      </c>
      <c r="C36" s="39" t="inlineStr">
        <is>
          <t>05/09/2026 - 18/09/2026</t>
        </is>
      </c>
      <c r="D36" s="46" t="n">
        <v>46287</v>
      </c>
      <c r="E36" s="39" t="inlineStr">
        <is>
          <t>Aware Super AV Maintenance [ONS]</t>
        </is>
      </c>
      <c r="F36" s="41" t="inlineStr">
        <is>
          <t>11:30 AM</t>
        </is>
      </c>
      <c r="G36" s="41" t="inlineStr">
        <is>
          <t>3:30 PM</t>
        </is>
      </c>
      <c r="H36" s="41" t="inlineStr">
        <is>
          <t>-</t>
        </is>
      </c>
      <c r="I36" s="42" t="n">
        <v>4</v>
      </c>
      <c r="J36" s="42">
        <f>SUMIFS('07 Aug 2026'!$G$3:$G$6,'07 Aug 2026'!$O$3:$O$6,$A36,'07 Aug 2026'!$K$3:$K$6,$E36)+SUMIFS('21 Aug 2026'!$G$3:$G$7,'21 Aug 2026'!$O$3:$O$7,$A36,'21 Aug 2026'!$K$3:$K$7,$E36)+SUMIFS('20 Sept 2026 '!$G$3:$G$14,'20 Sept 2026 '!$O$3:$O$14,$A36,'20 Sept 2026 '!$K$3:$K$14,$E36)+SUMIFS('22 Sep 2026'!$G$3:$G$11,'22 Sep 2026'!$O$3:$O$11,$A36,'22 Sep 2026'!$K$3:$K$11,$E36)</f>
        <v/>
      </c>
      <c r="K36" s="42">
        <f>I36-J36</f>
        <v/>
      </c>
      <c r="L36" s="43">
        <f>IFERROR(AVERAGEIFS('07 Aug 2026'!$M$3:$M$6,'07 Aug 2026'!$O$3:$O$6,$A36,'07 Aug 2026'!$K$3:$K$6,$E36),IFERROR(AVERAGEIFS('21 Aug 2026'!$M$3:$M$7,'21 Aug 2026'!$O$3:$O$7,$A36,'21 Aug 2026'!$K$3:$K$7,$E36),IFERROR(AVERAGEIFS('20 Sept 2026 '!$M$3:$M$14,'20 Sept 2026 '!$O$3:$O$14,$A36,'20 Sept 2026 '!$K$3:$K$14,$E36),IFERROR(AVERAGEIFS('22 Sep 2026'!$M$3:$M$11,'22 Sep 2026'!$O$3:$O$11,$A36,'22 Sep 2026'!$K$3:$K$11,$E36),""))))</f>
        <v/>
      </c>
      <c r="M36" s="41">
        <f>IF(J36=0,"",IF(ROUND(L36,2)=37.5,"OK","NOT $37.50 - see Section D"))</f>
        <v/>
      </c>
      <c r="N36" s="47" t="inlineStr">
        <is>
          <t>Paid as a single 4 hr line - no break taken</t>
        </is>
      </c>
      <c r="O36" s="24" t="n"/>
      <c r="P36" s="24" t="n"/>
      <c r="Q36" s="24" t="n"/>
      <c r="R36" s="24" t="n"/>
      <c r="S36" s="24" t="n"/>
      <c r="T36" s="24" t="n"/>
      <c r="U36" s="24" t="n"/>
      <c r="V36" s="24" t="n"/>
    </row>
    <row r="37">
      <c r="A37" s="44" t="inlineStr">
        <is>
          <t>TOTAL</t>
        </is>
      </c>
      <c r="B37" s="44" t="n"/>
      <c r="C37" s="44" t="n"/>
      <c r="D37" s="44" t="n"/>
      <c r="E37" s="44" t="n"/>
      <c r="F37" s="44" t="n"/>
      <c r="G37" s="44" t="n"/>
      <c r="H37" s="44" t="n"/>
      <c r="I37" s="45">
        <f>SUM(I21:I36)</f>
        <v/>
      </c>
      <c r="J37" s="45">
        <f>SUM(J21:J36)</f>
        <v/>
      </c>
      <c r="K37" s="45">
        <f>SUM(K21:K36)</f>
        <v/>
      </c>
      <c r="L37" s="44" t="n"/>
      <c r="M37" s="44" t="n"/>
      <c r="N37" s="44">
        <f>IF(ROUND(K37,2)=0,"HOURS AGREE","VARIANCE")</f>
        <v/>
      </c>
      <c r="O37" s="24" t="n"/>
      <c r="P37" s="24" t="n"/>
      <c r="Q37" s="24" t="n"/>
      <c r="R37" s="24" t="n"/>
      <c r="S37" s="24" t="n"/>
      <c r="T37" s="24" t="n"/>
      <c r="U37" s="24" t="n"/>
      <c r="V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</row>
    <row r="39">
      <c r="A39" s="38" t="inlineStr">
        <is>
          <t>D.  PAY RATE REVIEW  -  the incorrect rate on the pay period 25/07/2026 - 07/08/2026, and its correction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24" t="n"/>
      <c r="P39" s="24" t="n"/>
      <c r="Q39" s="24" t="n"/>
      <c r="R39" s="24" t="n"/>
      <c r="S39" s="24" t="n"/>
      <c r="T39" s="24" t="n"/>
      <c r="U39" s="24" t="n"/>
      <c r="V39" s="24" t="n"/>
    </row>
    <row r="40" ht="32" customHeight="1" s="12">
      <c r="A40" s="27" t="inlineStr">
        <is>
          <t>Item</t>
        </is>
      </c>
      <c r="B40" s="27" t="inlineStr">
        <is>
          <t>Paid On</t>
        </is>
      </c>
      <c r="C40" s="27" t="inlineStr">
        <is>
          <t>Hours</t>
        </is>
      </c>
      <c r="D40" s="27" t="inlineStr">
        <is>
          <t>Rate Applied</t>
        </is>
      </c>
      <c r="E40" s="27" t="inlineStr">
        <is>
          <t>Comment</t>
        </is>
      </c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</row>
    <row r="41">
      <c r="A41" s="39" t="inlineStr">
        <is>
          <t>Rate originally applied</t>
        </is>
      </c>
      <c r="B41" s="40" t="n">
        <v>46245</v>
      </c>
      <c r="C41" s="42">
        <f>'07 Aug 2026'!G3+'07 Aug 2026'!G4+'07 Aug 2026'!G5+'07 Aug 2026'!G6</f>
        <v/>
      </c>
      <c r="D41" s="43">
        <f>'07 Aug 2026'!M3</f>
        <v/>
      </c>
      <c r="E41" s="47" t="inlineStr">
        <is>
          <t>INCORRECT - the rate used on the first pay period</t>
        </is>
      </c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</row>
    <row r="42">
      <c r="A42" s="39" t="inlineStr">
        <is>
          <t>Correct rate for the role</t>
        </is>
      </c>
      <c r="B42" s="40" t="n">
        <v>46245</v>
      </c>
      <c r="C42" s="42">
        <f>C41</f>
        <v/>
      </c>
      <c r="D42" s="43" t="n">
        <v>37.5</v>
      </c>
      <c r="E42" s="47" t="inlineStr">
        <is>
          <t>Casual Ordinary Hours rate that should have applied</t>
        </is>
      </c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</row>
    <row r="43">
      <c r="A43" s="39" t="inlineStr">
        <is>
          <t>Reversal line</t>
        </is>
      </c>
      <c r="B43" s="40" t="n">
        <v>46259</v>
      </c>
      <c r="C43" s="42">
        <f>'21 Aug 2026'!G3</f>
        <v/>
      </c>
      <c r="D43" s="43">
        <f>'21 Aug 2026'!M3</f>
        <v/>
      </c>
      <c r="E43" s="47" t="inlineStr">
        <is>
          <t>All 16 hrs paid at the incorrect rate were reversed</t>
        </is>
      </c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</row>
    <row r="44">
      <c r="A44" s="39" t="inlineStr">
        <is>
          <t>Re-payment line</t>
        </is>
      </c>
      <c r="B44" s="40" t="n">
        <v>46259</v>
      </c>
      <c r="C44" s="42">
        <f>'21 Aug 2026'!G4</f>
        <v/>
      </c>
      <c r="D44" s="43">
        <f>'21 Aug 2026'!M4</f>
        <v/>
      </c>
      <c r="E44" s="47" t="inlineStr">
        <is>
          <t>The same 16 hrs re-paid at the correct rate</t>
        </is>
      </c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</row>
    <row r="45">
      <c r="A45" s="56" t="inlineStr">
        <is>
          <t>NET EFFECT ON HOURS</t>
        </is>
      </c>
      <c r="B45" s="57" t="n">
        <v>46259</v>
      </c>
      <c r="C45" s="58">
        <f>C43+C44</f>
        <v/>
      </c>
      <c r="D45" s="59" t="inlineStr"/>
      <c r="E45" s="60" t="inlineStr">
        <is>
          <t>Nil - no hours added or removed. These lines correct the rate only</t>
        </is>
      </c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</row>
    <row r="46">
      <c r="A46" s="44" t="inlineStr">
        <is>
          <t>RATE NOW APPLYING</t>
        </is>
      </c>
      <c r="B46" s="44" t="inlineStr"/>
      <c r="C46" s="45">
        <f>C41</f>
        <v/>
      </c>
      <c r="D46" s="61">
        <f>'21 Aug 2026'!M4</f>
        <v/>
      </c>
      <c r="E46" s="62">
        <f>IF(ROUND(D46,2)=37.5,"CORRECTED - all hours now stand at the correct rate","STILL INCORRECT - investigate")</f>
        <v/>
      </c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</row>
    <row r="48">
      <c r="A48" s="38" t="inlineStr">
        <is>
          <t>E.  COMPLETENESS CHECK  -  proves no paid hours sit outside this reconciliation</t>
        </is>
      </c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24" t="n"/>
      <c r="P48" s="24" t="n"/>
      <c r="Q48" s="24" t="n"/>
      <c r="R48" s="24" t="n"/>
      <c r="S48" s="24" t="n"/>
      <c r="T48" s="24" t="n"/>
      <c r="U48" s="24" t="n"/>
      <c r="V48" s="24" t="n"/>
    </row>
    <row r="49" ht="32" customHeight="1" s="12">
      <c r="A49" s="27" t="inlineStr">
        <is>
          <t>Check</t>
        </is>
      </c>
      <c r="B49" s="27" t="inlineStr">
        <is>
          <t>Hours</t>
        </is>
      </c>
      <c r="C49" s="27" t="inlineStr">
        <is>
          <t>Result</t>
        </is>
      </c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</row>
    <row r="50">
      <c r="A50" s="39" t="inlineStr">
        <is>
          <t>Total hours on all four pay-run tabs (including the two rate-correction lines)</t>
        </is>
      </c>
      <c r="B50" s="42">
        <f>SUM('07 Aug 2026'!$G$3:$G$6)+SUM('21 Aug 2026'!$G$3:$G$7)+SUM('20 Sept 2026 '!$G$3:$G$14)+SUM('22 Sep 2026'!$G$3:$G$11)</f>
        <v/>
      </c>
      <c r="C50" s="47" t="inlineStr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</row>
    <row r="51">
      <c r="A51" s="39" t="inlineStr">
        <is>
          <t>Total paid hours matched to a timesheet line in Section C</t>
        </is>
      </c>
      <c r="B51" s="42">
        <f>J37</f>
        <v/>
      </c>
      <c r="C51" s="47" t="inlineStr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</row>
    <row r="52">
      <c r="A52" s="39" t="inlineStr">
        <is>
          <t>Unmatched paid hours</t>
        </is>
      </c>
      <c r="B52" s="42">
        <f>B50-B51</f>
        <v/>
      </c>
      <c r="C52" s="47">
        <f>IF(ROUND(B52,2)=0,"OK - every paid hour ties to a timesheet line","INVESTIGATE - unmatched paid hours")</f>
        <v/>
      </c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</row>
    <row r="53">
      <c r="A53" s="39" t="inlineStr">
        <is>
          <t>Total timesheet hours per the screenshots</t>
        </is>
      </c>
      <c r="B53" s="42">
        <f>I37</f>
        <v/>
      </c>
      <c r="C53" s="47" t="inlineStr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</row>
    <row r="54">
      <c r="A54" s="44" t="inlineStr">
        <is>
          <t>HOURS VARIANCE (timesheet less paid)</t>
        </is>
      </c>
      <c r="B54" s="45">
        <f>B53-B51</f>
        <v/>
      </c>
      <c r="C54" s="62">
        <f>IF(ROUND(B54,2)=0,"FULLY RECONCILED - nil hours variance","VARIANCE - investigate")</f>
        <v/>
      </c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</row>
    <row r="56">
      <c r="A56" s="38" t="inlineStr">
        <is>
          <t>F.  FINDINGS</t>
        </is>
      </c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24" t="n"/>
      <c r="P56" s="24" t="n"/>
      <c r="Q56" s="24" t="n"/>
      <c r="R56" s="24" t="n"/>
      <c r="S56" s="24" t="n"/>
      <c r="T56" s="24" t="n"/>
      <c r="U56" s="24" t="n"/>
      <c r="V56" s="24" t="n"/>
    </row>
    <row r="57">
      <c r="A57" s="63" t="inlineStr">
        <is>
          <t>1.</t>
        </is>
      </c>
      <c r="B57" s="64" t="inlineStr">
        <is>
          <t>The 16 hours queried (24 Aug and 28 Aug, DTTL) are NOT missing - they were paid in full.</t>
        </is>
      </c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</row>
    <row r="58" ht="36" customHeight="1" s="12">
      <c r="A58" s="24" t="n"/>
      <c r="B58" s="65" t="inlineStr">
        <is>
          <t>Both days fall in the pay period 22/08/2026 - 04/09/2026, which was paid on 08/09/2026. Each was paid as 3.5 hrs + 4.5 hrs either side of the unpaid break, which is why neither shows as a single 8 hour entry. 16 hours in total, nil shortfall. See Section A and the two highlighted rows in Section C.</t>
        </is>
      </c>
      <c r="O58" s="24" t="n"/>
      <c r="P58" s="24" t="n"/>
      <c r="Q58" s="24" t="n"/>
      <c r="R58" s="24" t="n"/>
      <c r="S58" s="24" t="n"/>
      <c r="T58" s="24" t="n"/>
      <c r="U58" s="24" t="n"/>
      <c r="V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</row>
    <row r="60">
      <c r="A60" s="63" t="inlineStr">
        <is>
          <t>2.</t>
        </is>
      </c>
      <c r="B60" s="64" t="inlineStr">
        <is>
          <t>Hours reconcile in full across all four pay periods.</t>
        </is>
      </c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</row>
    <row r="61" ht="36" customHeight="1" s="12">
      <c r="A61" s="24" t="n"/>
      <c r="B61" s="65" t="inlineStr">
        <is>
          <t>All 111.50 timesheet hours have been paid. Nil variance at day level, at pay period level and in total, and every paid line ties back to a timesheet entry.</t>
        </is>
      </c>
      <c r="O61" s="24" t="n"/>
      <c r="P61" s="24" t="n"/>
      <c r="Q61" s="24" t="n"/>
      <c r="R61" s="24" t="n"/>
      <c r="S61" s="24" t="n"/>
      <c r="T61" s="24" t="n"/>
      <c r="U61" s="24" t="n"/>
      <c r="V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</row>
    <row r="63">
      <c r="A63" s="63" t="inlineStr">
        <is>
          <t>3.</t>
        </is>
      </c>
      <c r="B63" s="64" t="inlineStr">
        <is>
          <t>CHECK THIS - 23.50 hours may have been paid two weeks late.</t>
        </is>
      </c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</row>
    <row r="64" ht="36" customHeight="1" s="12">
      <c r="A64" s="24" t="n"/>
      <c r="B64" s="65" t="inlineStr">
        <is>
          <t>The hours worked on 25, 26 and 27 August fall in the pay period 22/08/2026 - 04/09/2026, which was paid on 08/09/2026. In this workbook they sit on the 22 Sep 2026 tab, apart from the rest of that period. If that tab represents the run paid on 22/09/2026, those 23.50 hours were paid a fortnight after the rest of the period. The hours themselves are correct and fully paid - only the date they reached him is in question. Confirm against the payslips. These rows are shaded in Section C.</t>
        </is>
      </c>
      <c r="O64" s="24" t="n"/>
      <c r="P64" s="24" t="n"/>
      <c r="Q64" s="24" t="n"/>
      <c r="R64" s="24" t="n"/>
      <c r="S64" s="24" t="n"/>
      <c r="T64" s="24" t="n"/>
      <c r="U64" s="24" t="n"/>
      <c r="V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</row>
    <row r="66">
      <c r="A66" s="63" t="inlineStr">
        <is>
          <t>4.</t>
        </is>
      </c>
      <c r="B66" s="64" t="inlineStr">
        <is>
          <t>The rate on the period 25/07/2026 - 07/08/2026 was wrong, and has been corrected.</t>
        </is>
      </c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</row>
    <row r="67" ht="36" customHeight="1" s="12">
      <c r="A67" s="24" t="n"/>
      <c r="B67" s="65" t="inlineStr">
        <is>
          <t>16 hrs were first paid at $35.15/hr instead of $37.50/hr on 11/08/2026. Those hours were reversed and re-paid at $37.50/hr on 25/08/2026, so all hours now stand at the correct rate. Every other line across the four periods was paid at $37.50/hr.</t>
        </is>
      </c>
      <c r="O67" s="24" t="n"/>
      <c r="P67" s="24" t="n"/>
      <c r="Q67" s="24" t="n"/>
      <c r="R67" s="24" t="n"/>
      <c r="S67" s="24" t="n"/>
      <c r="T67" s="24" t="n"/>
      <c r="U67" s="24" t="n"/>
      <c r="V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</row>
    <row r="69">
      <c r="A69" s="63" t="inlineStr">
        <is>
          <t>5.</t>
        </is>
      </c>
      <c r="B69" s="64" t="inlineStr">
        <is>
          <t>The rate-correction lines were booked to the wrong location.</t>
        </is>
      </c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</row>
    <row r="70" ht="36" customHeight="1" s="12">
      <c r="A70" s="24" t="n"/>
      <c r="B70" s="65" t="inlineStr">
        <is>
          <t>The original 16 hrs were split CBA 8 hrs, PwC - MEL Technician 4 hrs and Aware Super 4 hrs. The reversal and re-payment put all 16 hrs against CBA FT Tech MEL. Hours and rate paid are correct, but job costing for PwC and Aware Super is understated by 4 hrs each and CBA is overstated by 8 hrs. Worth raising with payroll if client recharges run off this data.</t>
        </is>
      </c>
      <c r="O70" s="24" t="n"/>
      <c r="P70" s="24" t="n"/>
      <c r="Q70" s="24" t="n"/>
      <c r="R70" s="24" t="n"/>
      <c r="S70" s="24" t="n"/>
      <c r="T70" s="24" t="n"/>
      <c r="U70" s="24" t="n"/>
      <c r="V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</row>
    <row r="72">
      <c r="A72" s="63" t="inlineStr">
        <is>
          <t>6.</t>
        </is>
      </c>
      <c r="B72" s="64" t="inlineStr">
        <is>
          <t>The pay period 08/08/2026 - 21/08/2026 carries three separate payment dates.</t>
        </is>
      </c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</row>
    <row r="73" ht="36" customHeight="1" s="12">
      <c r="A73" s="24" t="n"/>
      <c r="B73" s="65" t="inlineStr">
        <is>
          <t>The pay history shows that period paid on 25/08/2026, 26/08/2026 and 28/08/2026. This reconciliation uses 25/08/2026, the first of them. The extra runs are consistent with the rate correction being processed separately. Worth confirming what the 26/08 and 28/08 runs covered.</t>
        </is>
      </c>
      <c r="O73" s="24" t="n"/>
      <c r="P73" s="24" t="n"/>
      <c r="Q73" s="24" t="n"/>
      <c r="R73" s="24" t="n"/>
      <c r="S73" s="24" t="n"/>
      <c r="T73" s="24" t="n"/>
      <c r="U73" s="24" t="n"/>
      <c r="V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</row>
    <row r="76" ht="40" customHeight="1" s="12">
      <c r="A76" s="25" t="inlineStr">
        <is>
          <t>Timesheet hours transcribed from the timesheet screenshots for the periods ending 07/08/2026, 21/08/2026, 04/09/2026 and 18/09/2026, all showing status PROCESSED. Paid hours from the Earnings Details tabs in this workbook. Pay periods and dates paid taken from the Employment Hero pay history. NOTE: the tab names in this workbook are NOT payment dates - the Pay Period and Date Paid columns are the authoritative reference.</t>
        </is>
      </c>
      <c r="O76" s="24" t="n"/>
      <c r="P76" s="24" t="n"/>
      <c r="Q76" s="24" t="n"/>
      <c r="R76" s="24" t="n"/>
      <c r="S76" s="24" t="n"/>
      <c r="T76" s="24" t="n"/>
      <c r="U76" s="24" t="n"/>
      <c r="V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</row>
  </sheetData>
  <mergeCells count="15">
    <mergeCell ref="A9:N9"/>
    <mergeCell ref="B72:J72"/>
    <mergeCell ref="B67:N67"/>
    <mergeCell ref="B61:N61"/>
    <mergeCell ref="B60:J60"/>
    <mergeCell ref="A2:N2"/>
    <mergeCell ref="B58:N58"/>
    <mergeCell ref="B63:J63"/>
    <mergeCell ref="B66:J66"/>
    <mergeCell ref="B70:N70"/>
    <mergeCell ref="B57:J57"/>
    <mergeCell ref="B73:N73"/>
    <mergeCell ref="B64:N64"/>
    <mergeCell ref="A76:N76"/>
    <mergeCell ref="B69:J69"/>
  </mergeCells>
  <conditionalFormatting sqref="G13:G17">
    <cfRule type="cellIs" priority="1" operator="notEqual" dxfId="0">
      <formula>0</formula>
    </cfRule>
  </conditionalFormatting>
  <conditionalFormatting sqref="K21:K37">
    <cfRule type="cellIs" priority="2" operator="notEqual" dxfId="0">
      <formula>0</formula>
    </cfRule>
  </conditionalFormatting>
  <conditionalFormatting sqref="H6:H8">
    <cfRule type="cellIs" priority="3" operator="notEqual" dxfId="0">
      <formula>0</formula>
    </cfRule>
  </conditionalFormatting>
  <conditionalFormatting sqref="J13:J17">
    <cfRule type="expression" priority="4" dxfId="1">
      <formula>ISNUMBER(SEARCH("Reconciled",J13))+ISNUMBER(SEARCH("FULLY",J13))&gt;0</formula>
    </cfRule>
    <cfRule type="expression" priority="5" dxfId="0">
      <formula>ISNUMBER(SEARCH("VARIANCE",J13))&gt;0</formula>
    </cfRule>
  </conditionalFormatting>
  <conditionalFormatting sqref="C50:C54">
    <cfRule type="expression" priority="6" dxfId="1">
      <formula>ISNUMBER(SEARCH("OK",C50))+ISNUMBER(SEARCH("FULLY",C50))&gt;0</formula>
    </cfRule>
    <cfRule type="expression" priority="7" dxfId="0">
      <formula>ISNUMBER(SEARCH("INVESTIGATE",C50))+ISNUMBER(SEARCH("VARIANCE",C50))&gt;0</formula>
    </cfRule>
  </conditionalFormatting>
  <conditionalFormatting sqref="K6:K8">
    <cfRule type="expression" priority="8" dxfId="1">
      <formula>ISNUMBER(SEARCH("PAID IN FULL",K6))+ISNUMBER(SEARCH("NIL OWING",K6))&gt;0</formula>
    </cfRule>
    <cfRule type="expression" priority="9" dxfId="0">
      <formula>ISNUMBER(SEARCH("SHORTFALL",K6))+ISNUMBER(SEARCH("OWING - ",K6))&gt;0</formula>
    </cfRule>
  </conditionalFormatting>
  <conditionalFormatting sqref="M21:M36">
    <cfRule type="expression" priority="10" dxfId="1">
      <formula>ISNUMBER(SEARCH("OK",M21))&gt;0</formula>
    </cfRule>
    <cfRule type="expression" priority="11" dxfId="0">
      <formula>ISNUMBER(SEARCH("NOT $",M21))&gt;0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F2" sqref="F2"/>
    </sheetView>
  </sheetViews>
  <sheetFormatPr baseColWidth="8" defaultRowHeight="15"/>
  <cols>
    <col width="15" customWidth="1" style="12" min="1" max="1"/>
    <col width="19.7109375" customWidth="1" style="12" min="2" max="2"/>
    <col width="19.85546875" customWidth="1" style="12" min="3" max="3"/>
    <col width="15" customWidth="1" style="12" min="4" max="4"/>
    <col width="22.85546875" customWidth="1" style="12" min="5" max="5"/>
    <col width="27.140625" customWidth="1" style="12" min="6" max="6"/>
    <col width="8" bestFit="1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6.5703125" customWidth="1" style="12" min="11" max="11"/>
    <col width="229" customWidth="1" style="12" min="12" max="12"/>
    <col width="9.85546875" customWidth="1" style="14" min="13" max="13"/>
    <col width="9.7109375" customWidth="1" style="12" min="14" max="14"/>
    <col width="18" customWidth="1" style="15" min="15" max="15"/>
    <col width="32" customWidth="1" style="15" min="16" max="16"/>
    <col width="9" customWidth="1" style="15" min="17" max="17"/>
    <col width="9.140625" customWidth="1" style="12" min="18" max="16384"/>
  </cols>
  <sheetData>
    <row r="1" customFormat="1" s="8">
      <c r="A1" s="8" t="inlineStr">
        <is>
          <t>Earnings Details</t>
        </is>
      </c>
      <c r="G1" s="9" t="n"/>
      <c r="M1" s="10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66" t="inlineStr">
        <is>
          <t>Work Date (helper)</t>
        </is>
      </c>
      <c r="P2" s="66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4</v>
      </c>
      <c r="H3" t="inlineStr">
        <is>
          <t>Hours</t>
        </is>
      </c>
      <c r="I3" t="n">
        <v>731888</v>
      </c>
      <c r="J3" t="inlineStr">
        <is>
          <t>20250731</t>
        </is>
      </c>
      <c r="K3" t="inlineStr">
        <is>
          <t>PWC National Pool of Hours [ONS]</t>
        </is>
      </c>
      <c r="L3" t="inlineStr">
        <is>
          <t>25/08/2026 - 08:00 to 12:00</t>
        </is>
      </c>
      <c r="M3" s="14" t="n">
        <v>37.5</v>
      </c>
      <c r="N3" t="inlineStr">
        <is>
          <t>per Hour</t>
        </is>
      </c>
      <c r="O3" s="67">
        <f>IFERROR(DATE(VALUE(MID(L3,FIND("/",L3,FIND("/",L3)+1)+1,4)),VALUE(MID(L3,FIND("/",L3)+1,FIND("/",L3,FIND("/",L3)+1)-FIND("/",L3)-1)),VALUE(LEFT(L3,FIND("/",L3)-1))),IF(ISNUMBER(L3),L3,""))</f>
        <v/>
      </c>
      <c r="P3">
        <f>IF(O3="","No - adjustment line (no work date)",IF(COUNTIFS('Summary '!$A$21:$A$36,O3,'Summary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4</v>
      </c>
      <c r="H4" t="inlineStr">
        <is>
          <t>Hours</t>
        </is>
      </c>
      <c r="I4" t="n">
        <v>731888</v>
      </c>
      <c r="J4" t="inlineStr">
        <is>
          <t>20250731</t>
        </is>
      </c>
      <c r="K4" t="inlineStr">
        <is>
          <t>PWC National Pool of Hours [ONS]</t>
        </is>
      </c>
      <c r="L4" t="inlineStr">
        <is>
          <t>25/08/2026 - 13:00 to 17:00</t>
        </is>
      </c>
      <c r="M4" s="14" t="n">
        <v>37.5</v>
      </c>
      <c r="N4" t="inlineStr">
        <is>
          <t>per Hour</t>
        </is>
      </c>
      <c r="O4" s="67">
        <f>IFERROR(DATE(VALUE(MID(L4,FIND("/",L4,FIND("/",L4)+1)+1,4)),VALUE(MID(L4,FIND("/",L4)+1,FIND("/",L4,FIND("/",L4)+1)-FIND("/",L4)-1)),VALUE(LEFT(L4,FIND("/",L4)-1))),IF(ISNUMBER(L4),L4,""))</f>
        <v/>
      </c>
      <c r="P4">
        <f>IF(O4="","No - adjustment line (no work date)",IF(COUNTIFS('Summary '!$A$21:$A$36,O4,'Summary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4</v>
      </c>
      <c r="H5" t="inlineStr">
        <is>
          <t>Hours</t>
        </is>
      </c>
      <c r="I5" t="n">
        <v>731888</v>
      </c>
      <c r="J5" t="inlineStr">
        <is>
          <t>20250731</t>
        </is>
      </c>
      <c r="K5" t="inlineStr">
        <is>
          <t>PWC National Pool of Hours [ONS]</t>
        </is>
      </c>
      <c r="L5" t="inlineStr">
        <is>
          <t>26/08/2026 - 08:00 to 12:00</t>
        </is>
      </c>
      <c r="M5" s="14" t="n">
        <v>37.5</v>
      </c>
      <c r="N5" t="inlineStr">
        <is>
          <t>per Hour</t>
        </is>
      </c>
      <c r="O5" s="67">
        <f>IFERROR(DATE(VALUE(MID(L5,FIND("/",L5,FIND("/",L5)+1)+1,4)),VALUE(MID(L5,FIND("/",L5)+1,FIND("/",L5,FIND("/",L5)+1)-FIND("/",L5)-1)),VALUE(LEFT(L5,FIND("/",L5)-1))),IF(ISNUMBER(L5),L5,""))</f>
        <v/>
      </c>
      <c r="P5">
        <f>IF(O5="","No - adjustment line (no work date)",IF(COUNTIFS('Summary '!$A$21:$A$36,O5,'Summary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3.5</v>
      </c>
      <c r="H6" t="inlineStr">
        <is>
          <t>Hours</t>
        </is>
      </c>
      <c r="I6" t="n">
        <v>731888</v>
      </c>
      <c r="J6" t="inlineStr">
        <is>
          <t>20250731</t>
        </is>
      </c>
      <c r="K6" t="inlineStr">
        <is>
          <t>PWC National Pool of Hours [ONS]</t>
        </is>
      </c>
      <c r="L6" t="inlineStr">
        <is>
          <t>26/08/2026 - 12:30 to 16:00</t>
        </is>
      </c>
      <c r="M6" s="14" t="n">
        <v>37.5</v>
      </c>
      <c r="N6" t="inlineStr">
        <is>
          <t>per Hour</t>
        </is>
      </c>
      <c r="O6" s="67">
        <f>IFERROR(DATE(VALUE(MID(L6,FIND("/",L6,FIND("/",L6)+1)+1,4)),VALUE(MID(L6,FIND("/",L6)+1,FIND("/",L6,FIND("/",L6)+1)-FIND("/",L6)-1)),VALUE(LEFT(L6,FIND("/",L6)-1))),IF(ISNUMBER(L6),L6,""))</f>
        <v/>
      </c>
      <c r="P6">
        <f>IF(O6="","No - adjustment line (no work date)",IF(COUNTIFS('Summary '!$A$21:$A$36,O6,'Summary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4</v>
      </c>
      <c r="H7" t="inlineStr">
        <is>
          <t>Hours</t>
        </is>
      </c>
      <c r="I7" t="n">
        <v>731888</v>
      </c>
      <c r="J7" t="inlineStr">
        <is>
          <t>20250731</t>
        </is>
      </c>
      <c r="K7" t="inlineStr">
        <is>
          <t>PWC National Pool of Hours [ONS]</t>
        </is>
      </c>
      <c r="L7" t="inlineStr">
        <is>
          <t>27/08/2026 - 08:00 to 12:00</t>
        </is>
      </c>
      <c r="M7" s="14" t="n">
        <v>37.5</v>
      </c>
      <c r="N7" t="inlineStr">
        <is>
          <t>per Hour</t>
        </is>
      </c>
      <c r="O7" s="67">
        <f>IFERROR(DATE(VALUE(MID(L7,FIND("/",L7,FIND("/",L7)+1)+1,4)),VALUE(MID(L7,FIND("/",L7)+1,FIND("/",L7,FIND("/",L7)+1)-FIND("/",L7)-1)),VALUE(LEFT(L7,FIND("/",L7)-1))),IF(ISNUMBER(L7),L7,""))</f>
        <v/>
      </c>
      <c r="P7">
        <f>IF(O7="","No - adjustment line (no work date)",IF(COUNTIFS('Summary '!$A$21:$A$36,O7,'Summary '!$E$21:$E$36,K7)&gt;0,"Yes","NO MATCH - INVESTIGATE"))</f>
        <v/>
      </c>
    </row>
    <row r="8">
      <c r="A8" t="n">
        <v>12414219</v>
      </c>
      <c r="C8" t="inlineStr">
        <is>
          <t>Jonathan Hendratno</t>
        </is>
      </c>
      <c r="D8" t="n">
        <v>2856297</v>
      </c>
      <c r="E8" t="inlineStr">
        <is>
          <t>2286634</t>
        </is>
      </c>
      <c r="F8" t="inlineStr">
        <is>
          <t>Casual Ordinary Hours</t>
        </is>
      </c>
      <c r="G8" s="13" t="n">
        <v>4</v>
      </c>
      <c r="H8" t="inlineStr">
        <is>
          <t>Hours</t>
        </is>
      </c>
      <c r="I8" t="n">
        <v>731888</v>
      </c>
      <c r="J8" t="inlineStr">
        <is>
          <t>20250731</t>
        </is>
      </c>
      <c r="K8" t="inlineStr">
        <is>
          <t>PWC National Pool of Hours [ONS]</t>
        </is>
      </c>
      <c r="L8" t="inlineStr">
        <is>
          <t>27/08/2026 - 13:00 to 17:00</t>
        </is>
      </c>
      <c r="M8" s="14" t="n">
        <v>37.5</v>
      </c>
      <c r="N8" t="inlineStr">
        <is>
          <t>per Hour</t>
        </is>
      </c>
      <c r="O8" s="67">
        <f>IFERROR(DATE(VALUE(MID(L8,FIND("/",L8,FIND("/",L8)+1)+1,4)),VALUE(MID(L8,FIND("/",L8)+1,FIND("/",L8,FIND("/",L8)+1)-FIND("/",L8)-1)),VALUE(LEFT(L8,FIND("/",L8)-1))),IF(ISNUMBER(L8),L8,""))</f>
        <v/>
      </c>
      <c r="P8">
        <f>IF(O8="","No - adjustment line (no work date)",IF(COUNTIFS('Summary '!$A$21:$A$36,O8,'Summary '!$E$21:$E$36,K8)&gt;0,"Yes","NO MATCH - INVESTIGATE"))</f>
        <v/>
      </c>
    </row>
    <row r="9">
      <c r="A9" t="n">
        <v>12414219</v>
      </c>
      <c r="C9" t="inlineStr">
        <is>
          <t>Jonathan Hendratno</t>
        </is>
      </c>
      <c r="D9" t="n">
        <v>2856297</v>
      </c>
      <c r="E9" t="inlineStr">
        <is>
          <t>2286634</t>
        </is>
      </c>
      <c r="F9" t="inlineStr">
        <is>
          <t>Casual Ordinary Hours</t>
        </is>
      </c>
      <c r="G9" s="13" t="n">
        <v>4</v>
      </c>
      <c r="H9" t="inlineStr">
        <is>
          <t>Hours</t>
        </is>
      </c>
      <c r="I9" t="n">
        <v>731888</v>
      </c>
      <c r="J9" t="inlineStr">
        <is>
          <t>20250731</t>
        </is>
      </c>
      <c r="K9" t="inlineStr">
        <is>
          <t>PWC National Pool of Hours [ONS]</t>
        </is>
      </c>
      <c r="L9" t="inlineStr">
        <is>
          <t>10/09/2026 - 08:00 to 12:00</t>
        </is>
      </c>
      <c r="M9" s="14" t="n">
        <v>37.5</v>
      </c>
      <c r="N9" t="inlineStr">
        <is>
          <t>per Hour</t>
        </is>
      </c>
      <c r="O9" s="67">
        <f>IFERROR(DATE(VALUE(MID(L9,FIND("/",L9,FIND("/",L9)+1)+1,4)),VALUE(MID(L9,FIND("/",L9)+1,FIND("/",L9,FIND("/",L9)+1)-FIND("/",L9)-1)),VALUE(LEFT(L9,FIND("/",L9)-1))),IF(ISNUMBER(L9),L9,""))</f>
        <v/>
      </c>
      <c r="P9">
        <f>IF(O9="","No - adjustment line (no work date)",IF(COUNTIFS('Summary '!$A$21:$A$36,O9,'Summary '!$E$21:$E$36,K9)&gt;0,"Yes","NO MATCH - INVESTIGATE"))</f>
        <v/>
      </c>
    </row>
    <row r="10">
      <c r="A10" t="n">
        <v>12414219</v>
      </c>
      <c r="C10" t="inlineStr">
        <is>
          <t>Jonathan Hendratno</t>
        </is>
      </c>
      <c r="D10" t="n">
        <v>2856297</v>
      </c>
      <c r="E10" t="inlineStr">
        <is>
          <t>2286634</t>
        </is>
      </c>
      <c r="F10" t="inlineStr">
        <is>
          <t>Casual Ordinary Hours</t>
        </is>
      </c>
      <c r="G10" s="13" t="n">
        <v>4</v>
      </c>
      <c r="H10" t="inlineStr">
        <is>
          <t>Hours</t>
        </is>
      </c>
      <c r="I10" t="n">
        <v>731888</v>
      </c>
      <c r="J10" t="inlineStr">
        <is>
          <t>20250731</t>
        </is>
      </c>
      <c r="K10" t="inlineStr">
        <is>
          <t>PWC National Pool of Hours [ONS]</t>
        </is>
      </c>
      <c r="L10" t="inlineStr">
        <is>
          <t>10/09/2026 - 13:00 to 17:00</t>
        </is>
      </c>
      <c r="M10" s="14" t="n">
        <v>37.5</v>
      </c>
      <c r="N10" t="inlineStr">
        <is>
          <t>per Hour</t>
        </is>
      </c>
      <c r="O10" s="67">
        <f>IFERROR(DATE(VALUE(MID(L10,FIND("/",L10,FIND("/",L10)+1)+1,4)),VALUE(MID(L10,FIND("/",L10)+1,FIND("/",L10,FIND("/",L10)+1)-FIND("/",L10)-1)),VALUE(LEFT(L10,FIND("/",L10)-1))),IF(ISNUMBER(L10),L10,""))</f>
        <v/>
      </c>
      <c r="P10">
        <f>IF(O10="","No - adjustment line (no work date)",IF(COUNTIFS('Summary '!$A$21:$A$36,O10,'Summary '!$E$21:$E$36,K10)&gt;0,"Yes","NO MATCH - INVESTIGATE"))</f>
        <v/>
      </c>
    </row>
    <row r="11">
      <c r="A11" t="n">
        <v>12414219</v>
      </c>
      <c r="C11" t="inlineStr">
        <is>
          <t>Jonathan Hendratno</t>
        </is>
      </c>
      <c r="D11" t="n">
        <v>2856297</v>
      </c>
      <c r="E11" t="inlineStr">
        <is>
          <t>2286634</t>
        </is>
      </c>
      <c r="F11" t="inlineStr">
        <is>
          <t>Casual Ordinary Hours</t>
        </is>
      </c>
      <c r="G11" s="13" t="n">
        <v>4</v>
      </c>
      <c r="H11" t="inlineStr">
        <is>
          <t>Hours</t>
        </is>
      </c>
      <c r="I11" t="n">
        <v>777409</v>
      </c>
      <c r="J11" t="inlineStr">
        <is>
          <t>26022301</t>
        </is>
      </c>
      <c r="K11" t="inlineStr">
        <is>
          <t>Aware Super AV Maintenance [ONS]</t>
        </is>
      </c>
      <c r="L11" t="inlineStr">
        <is>
          <t>17/09/2026 - 11:30 to 15:30</t>
        </is>
      </c>
      <c r="M11" s="14" t="n">
        <v>37.5</v>
      </c>
      <c r="N11" t="inlineStr">
        <is>
          <t>per Hour</t>
        </is>
      </c>
      <c r="O11" s="67">
        <f>IFERROR(DATE(VALUE(MID(L11,FIND("/",L11,FIND("/",L11)+1)+1,4)),VALUE(MID(L11,FIND("/",L11)+1,FIND("/",L11,FIND("/",L11)+1)-FIND("/",L11)-1)),VALUE(LEFT(L11,FIND("/",L11)-1))),IF(ISNUMBER(L11),L11,""))</f>
        <v/>
      </c>
      <c r="P11">
        <f>IF(O11="","No - adjustment line (no work date)",IF(COUNTIFS('Summary '!$A$21:$A$36,O11,'Summary '!$E$21:$E$36,K11)&gt;0,"Yes","NO MATCH - INVESTIGATE"))</f>
        <v/>
      </c>
    </row>
  </sheetData>
  <autoFilter ref="A2:Q1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F32" sqref="F32"/>
    </sheetView>
  </sheetViews>
  <sheetFormatPr baseColWidth="8" defaultRowHeight="15"/>
  <cols>
    <col width="15" customWidth="1" style="12" min="1" max="1"/>
    <col width="19.7109375" customWidth="1" style="12" min="2" max="2"/>
    <col width="20" customWidth="1" style="12" min="3" max="3"/>
    <col width="15" customWidth="1" style="12" min="4" max="4"/>
    <col width="22.85546875" customWidth="1" style="12" min="5" max="5"/>
    <col width="27.140625" customWidth="1" style="12" min="6" max="6"/>
    <col width="5.57031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69.7109375" customWidth="1" style="12" min="11" max="11"/>
    <col width="161.7109375" customWidth="1" style="12" min="12" max="12"/>
    <col width="9.85546875" customWidth="1" style="14" min="13" max="13"/>
    <col width="9.7109375" customWidth="1" style="12" min="14" max="14"/>
    <col width="18" customWidth="1" style="15" min="15" max="15"/>
    <col width="32" customWidth="1" style="15" min="16" max="16"/>
    <col width="9" customWidth="1" style="15" min="17" max="17"/>
    <col width="9.140625" customWidth="1" style="12" min="18" max="16384"/>
  </cols>
  <sheetData>
    <row r="1" customFormat="1" s="8">
      <c r="A1" s="8" t="inlineStr">
        <is>
          <t>Earnings Details</t>
        </is>
      </c>
      <c r="G1" s="9" t="n"/>
      <c r="M1" s="10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66" t="inlineStr">
        <is>
          <t>Work Date (helper)</t>
        </is>
      </c>
      <c r="P2" s="66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3.5</v>
      </c>
      <c r="H3" t="inlineStr">
        <is>
          <t>Hours</t>
        </is>
      </c>
      <c r="I3" t="n">
        <v>441224</v>
      </c>
      <c r="J3" t="inlineStr">
        <is>
          <t>725</t>
        </is>
      </c>
      <c r="K3" t="inlineStr">
        <is>
          <t>DTTL Mel Tech FT 1 [ONS]</t>
        </is>
      </c>
      <c r="L3" t="inlineStr">
        <is>
          <t>24/08/2026 - 08:30 to 12:00</t>
        </is>
      </c>
      <c r="M3" s="14" t="n">
        <v>37.5</v>
      </c>
      <c r="N3" t="inlineStr">
        <is>
          <t>per Hour</t>
        </is>
      </c>
      <c r="O3" s="67">
        <f>IFERROR(DATE(VALUE(MID(L3,FIND("/",L3,FIND("/",L3)+1)+1,4)),VALUE(MID(L3,FIND("/",L3)+1,FIND("/",L3,FIND("/",L3)+1)-FIND("/",L3)-1)),VALUE(LEFT(L3,FIND("/",L3)-1))),IF(ISNUMBER(L3),L3,""))</f>
        <v/>
      </c>
      <c r="P3">
        <f>IF(O3="","No - adjustment line (no work date)",IF(COUNTIFS('Summary '!$A$21:$A$36,O3,'Summary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4.5</v>
      </c>
      <c r="H4" t="inlineStr">
        <is>
          <t>Hours</t>
        </is>
      </c>
      <c r="I4" t="n">
        <v>441224</v>
      </c>
      <c r="J4" t="inlineStr">
        <is>
          <t>725</t>
        </is>
      </c>
      <c r="K4" t="inlineStr">
        <is>
          <t>DTTL Mel Tech FT 1 [ONS]</t>
        </is>
      </c>
      <c r="L4" t="inlineStr">
        <is>
          <t>24/08/2026 - 12:30 to 17:00</t>
        </is>
      </c>
      <c r="M4" s="14" t="n">
        <v>37.5</v>
      </c>
      <c r="N4" t="inlineStr">
        <is>
          <t>per Hour</t>
        </is>
      </c>
      <c r="O4" s="67">
        <f>IFERROR(DATE(VALUE(MID(L4,FIND("/",L4,FIND("/",L4)+1)+1,4)),VALUE(MID(L4,FIND("/",L4)+1,FIND("/",L4,FIND("/",L4)+1)-FIND("/",L4)-1)),VALUE(LEFT(L4,FIND("/",L4)-1))),IF(ISNUMBER(L4),L4,""))</f>
        <v/>
      </c>
      <c r="P4">
        <f>IF(O4="","No - adjustment line (no work date)",IF(COUNTIFS('Summary '!$A$21:$A$36,O4,'Summary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3.5</v>
      </c>
      <c r="H5" t="inlineStr">
        <is>
          <t>Hours</t>
        </is>
      </c>
      <c r="I5" t="n">
        <v>441224</v>
      </c>
      <c r="J5" t="inlineStr">
        <is>
          <t>725</t>
        </is>
      </c>
      <c r="K5" t="inlineStr">
        <is>
          <t>DTTL Mel Tech FT 1 [ONS]</t>
        </is>
      </c>
      <c r="L5" t="inlineStr">
        <is>
          <t>28/08/2026 - 08:30 to 12:00</t>
        </is>
      </c>
      <c r="M5" s="14" t="n">
        <v>37.5</v>
      </c>
      <c r="N5" t="inlineStr">
        <is>
          <t>per Hour</t>
        </is>
      </c>
      <c r="O5" s="67">
        <f>IFERROR(DATE(VALUE(MID(L5,FIND("/",L5,FIND("/",L5)+1)+1,4)),VALUE(MID(L5,FIND("/",L5)+1,FIND("/",L5,FIND("/",L5)+1)-FIND("/",L5)-1)),VALUE(LEFT(L5,FIND("/",L5)-1))),IF(ISNUMBER(L5),L5,""))</f>
        <v/>
      </c>
      <c r="P5">
        <f>IF(O5="","No - adjustment line (no work date)",IF(COUNTIFS('Summary '!$A$21:$A$36,O5,'Summary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4.5</v>
      </c>
      <c r="H6" t="inlineStr">
        <is>
          <t>Hours</t>
        </is>
      </c>
      <c r="I6" t="n">
        <v>441224</v>
      </c>
      <c r="J6" t="inlineStr">
        <is>
          <t>725</t>
        </is>
      </c>
      <c r="K6" t="inlineStr">
        <is>
          <t>DTTL Mel Tech FT 1 [ONS]</t>
        </is>
      </c>
      <c r="L6" t="inlineStr">
        <is>
          <t>28/08/2026 - 12:30 to 17:00</t>
        </is>
      </c>
      <c r="M6" s="14" t="n">
        <v>37.5</v>
      </c>
      <c r="N6" t="inlineStr">
        <is>
          <t>per Hour</t>
        </is>
      </c>
      <c r="O6" s="67">
        <f>IFERROR(DATE(VALUE(MID(L6,FIND("/",L6,FIND("/",L6)+1)+1,4)),VALUE(MID(L6,FIND("/",L6)+1,FIND("/",L6,FIND("/",L6)+1)-FIND("/",L6)-1)),VALUE(LEFT(L6,FIND("/",L6)-1))),IF(ISNUMBER(L6),L6,""))</f>
        <v/>
      </c>
      <c r="P6">
        <f>IF(O6="","No - adjustment line (no work date)",IF(COUNTIFS('Summary '!$A$21:$A$36,O6,'Summary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3.5</v>
      </c>
      <c r="H7" t="inlineStr">
        <is>
          <t>Hours</t>
        </is>
      </c>
      <c r="I7" t="n">
        <v>441224</v>
      </c>
      <c r="J7" t="inlineStr">
        <is>
          <t>725</t>
        </is>
      </c>
      <c r="K7" t="inlineStr">
        <is>
          <t>DTTL Mel Tech FT 1 [ONS]</t>
        </is>
      </c>
      <c r="L7" t="inlineStr">
        <is>
          <t>31/08/2026 - 08:30 to 12:00</t>
        </is>
      </c>
      <c r="M7" s="14" t="n">
        <v>37.5</v>
      </c>
      <c r="N7" t="inlineStr">
        <is>
          <t>per Hour</t>
        </is>
      </c>
      <c r="O7" s="67">
        <f>IFERROR(DATE(VALUE(MID(L7,FIND("/",L7,FIND("/",L7)+1)+1,4)),VALUE(MID(L7,FIND("/",L7)+1,FIND("/",L7,FIND("/",L7)+1)-FIND("/",L7)-1)),VALUE(LEFT(L7,FIND("/",L7)-1))),IF(ISNUMBER(L7),L7,""))</f>
        <v/>
      </c>
      <c r="P7">
        <f>IF(O7="","No - adjustment line (no work date)",IF(COUNTIFS('Summary '!$A$21:$A$36,O7,'Summary '!$E$21:$E$36,K7)&gt;0,"Yes","NO MATCH - INVESTIGATE"))</f>
        <v/>
      </c>
    </row>
    <row r="8">
      <c r="A8" t="n">
        <v>12414219</v>
      </c>
      <c r="C8" t="inlineStr">
        <is>
          <t>Jonathan Hendratno</t>
        </is>
      </c>
      <c r="D8" t="n">
        <v>2856297</v>
      </c>
      <c r="E8" t="inlineStr">
        <is>
          <t>2286634</t>
        </is>
      </c>
      <c r="F8" t="inlineStr">
        <is>
          <t>Casual Ordinary Hours</t>
        </is>
      </c>
      <c r="G8" s="13" t="n">
        <v>4.5</v>
      </c>
      <c r="H8" t="inlineStr">
        <is>
          <t>Hours</t>
        </is>
      </c>
      <c r="I8" t="n">
        <v>441224</v>
      </c>
      <c r="J8" t="inlineStr">
        <is>
          <t>725</t>
        </is>
      </c>
      <c r="K8" t="inlineStr">
        <is>
          <t>DTTL Mel Tech FT 1 [ONS]</t>
        </is>
      </c>
      <c r="L8" t="inlineStr">
        <is>
          <t>31/08/2026 - 12:30 to 17:00</t>
        </is>
      </c>
      <c r="M8" s="14" t="n">
        <v>37.5</v>
      </c>
      <c r="N8" t="inlineStr">
        <is>
          <t>per Hour</t>
        </is>
      </c>
      <c r="O8" s="67">
        <f>IFERROR(DATE(VALUE(MID(L8,FIND("/",L8,FIND("/",L8)+1)+1,4)),VALUE(MID(L8,FIND("/",L8)+1,FIND("/",L8,FIND("/",L8)+1)-FIND("/",L8)-1)),VALUE(LEFT(L8,FIND("/",L8)-1))),IF(ISNUMBER(L8),L8,""))</f>
        <v/>
      </c>
      <c r="P8">
        <f>IF(O8="","No - adjustment line (no work date)",IF(COUNTIFS('Summary '!$A$21:$A$36,O8,'Summary '!$E$21:$E$36,K8)&gt;0,"Yes","NO MATCH - INVESTIGATE"))</f>
        <v/>
      </c>
    </row>
    <row r="9">
      <c r="A9" t="n">
        <v>12414219</v>
      </c>
      <c r="C9" t="inlineStr">
        <is>
          <t>Jonathan Hendratno</t>
        </is>
      </c>
      <c r="D9" t="n">
        <v>2856297</v>
      </c>
      <c r="E9" t="inlineStr">
        <is>
          <t>2286634</t>
        </is>
      </c>
      <c r="F9" t="inlineStr">
        <is>
          <t>Casual Ordinary Hours</t>
        </is>
      </c>
      <c r="G9" s="13" t="n">
        <v>3</v>
      </c>
      <c r="H9" t="inlineStr">
        <is>
          <t>Hours</t>
        </is>
      </c>
      <c r="I9" t="n">
        <v>441224</v>
      </c>
      <c r="J9" t="inlineStr">
        <is>
          <t>725</t>
        </is>
      </c>
      <c r="K9" t="inlineStr">
        <is>
          <t>DTTL Mel Tech FT 1 [ONS]</t>
        </is>
      </c>
      <c r="L9" t="inlineStr">
        <is>
          <t>1/09/2026 - 09:00 to 12:00</t>
        </is>
      </c>
      <c r="M9" s="14" t="n">
        <v>37.5</v>
      </c>
      <c r="N9" t="inlineStr">
        <is>
          <t>per Hour</t>
        </is>
      </c>
      <c r="O9" s="67">
        <f>IFERROR(DATE(VALUE(MID(L9,FIND("/",L9,FIND("/",L9)+1)+1,4)),VALUE(MID(L9,FIND("/",L9)+1,FIND("/",L9,FIND("/",L9)+1)-FIND("/",L9)-1)),VALUE(LEFT(L9,FIND("/",L9)-1))),IF(ISNUMBER(L9),L9,""))</f>
        <v/>
      </c>
      <c r="P9">
        <f>IF(O9="","No - adjustment line (no work date)",IF(COUNTIFS('Summary '!$A$21:$A$36,O9,'Summary '!$E$21:$E$36,K9)&gt;0,"Yes","NO MATCH - INVESTIGATE"))</f>
        <v/>
      </c>
    </row>
    <row r="10">
      <c r="A10" t="n">
        <v>12414219</v>
      </c>
      <c r="C10" t="inlineStr">
        <is>
          <t>Jonathan Hendratno</t>
        </is>
      </c>
      <c r="D10" t="n">
        <v>2856297</v>
      </c>
      <c r="E10" t="inlineStr">
        <is>
          <t>2286634</t>
        </is>
      </c>
      <c r="F10" t="inlineStr">
        <is>
          <t>Casual Ordinary Hours</t>
        </is>
      </c>
      <c r="G10" s="13" t="n">
        <v>5</v>
      </c>
      <c r="H10" t="inlineStr">
        <is>
          <t>Hours</t>
        </is>
      </c>
      <c r="I10" t="n">
        <v>441224</v>
      </c>
      <c r="J10" t="inlineStr">
        <is>
          <t>725</t>
        </is>
      </c>
      <c r="K10" t="inlineStr">
        <is>
          <t>DTTL Mel Tech FT 1 [ONS]</t>
        </is>
      </c>
      <c r="L10" t="inlineStr">
        <is>
          <t>1/09/2026 - 12:30 to 17:30</t>
        </is>
      </c>
      <c r="M10" s="14" t="n">
        <v>37.5</v>
      </c>
      <c r="N10" t="inlineStr">
        <is>
          <t>per Hour</t>
        </is>
      </c>
      <c r="O10" s="67">
        <f>IFERROR(DATE(VALUE(MID(L10,FIND("/",L10,FIND("/",L10)+1)+1,4)),VALUE(MID(L10,FIND("/",L10)+1,FIND("/",L10,FIND("/",L10)+1)-FIND("/",L10)-1)),VALUE(LEFT(L10,FIND("/",L10)-1))),IF(ISNUMBER(L10),L10,""))</f>
        <v/>
      </c>
      <c r="P10">
        <f>IF(O10="","No - adjustment line (no work date)",IF(COUNTIFS('Summary '!$A$21:$A$36,O10,'Summary '!$E$21:$E$36,K10)&gt;0,"Yes","NO MATCH - INVESTIGATE"))</f>
        <v/>
      </c>
    </row>
    <row r="11">
      <c r="A11" t="n">
        <v>12414219</v>
      </c>
      <c r="C11" t="inlineStr">
        <is>
          <t>Jonathan Hendratno</t>
        </is>
      </c>
      <c r="D11" t="n">
        <v>2856297</v>
      </c>
      <c r="E11" t="inlineStr">
        <is>
          <t>2286634</t>
        </is>
      </c>
      <c r="F11" t="inlineStr">
        <is>
          <t>Casual Ordinary Hours</t>
        </is>
      </c>
      <c r="G11" s="13" t="n">
        <v>3</v>
      </c>
      <c r="H11" t="inlineStr">
        <is>
          <t>Hours</t>
        </is>
      </c>
      <c r="I11" t="n">
        <v>441224</v>
      </c>
      <c r="J11" t="inlineStr">
        <is>
          <t>725</t>
        </is>
      </c>
      <c r="K11" t="inlineStr">
        <is>
          <t>DTTL Mel Tech FT 1 [ONS]</t>
        </is>
      </c>
      <c r="L11" t="inlineStr">
        <is>
          <t>2/09/2026 - 09:00 to 12:00</t>
        </is>
      </c>
      <c r="M11" s="14" t="n">
        <v>37.5</v>
      </c>
      <c r="N11" t="inlineStr">
        <is>
          <t>per Hour</t>
        </is>
      </c>
      <c r="O11" s="67">
        <f>IFERROR(DATE(VALUE(MID(L11,FIND("/",L11,FIND("/",L11)+1)+1,4)),VALUE(MID(L11,FIND("/",L11)+1,FIND("/",L11,FIND("/",L11)+1)-FIND("/",L11)-1)),VALUE(LEFT(L11,FIND("/",L11)-1))),IF(ISNUMBER(L11),L11,""))</f>
        <v/>
      </c>
      <c r="P11">
        <f>IF(O11="","No - adjustment line (no work date)",IF(COUNTIFS('Summary '!$A$21:$A$36,O11,'Summary '!$E$21:$E$36,K11)&gt;0,"Yes","NO MATCH - INVESTIGATE"))</f>
        <v/>
      </c>
    </row>
    <row r="12">
      <c r="A12" t="n">
        <v>12414219</v>
      </c>
      <c r="C12" t="inlineStr">
        <is>
          <t>Jonathan Hendratno</t>
        </is>
      </c>
      <c r="D12" t="n">
        <v>2856297</v>
      </c>
      <c r="E12" t="inlineStr">
        <is>
          <t>2286634</t>
        </is>
      </c>
      <c r="F12" t="inlineStr">
        <is>
          <t>Casual Ordinary Hours</t>
        </is>
      </c>
      <c r="G12" s="13" t="n">
        <v>5</v>
      </c>
      <c r="H12" t="inlineStr">
        <is>
          <t>Hours</t>
        </is>
      </c>
      <c r="I12" t="n">
        <v>441224</v>
      </c>
      <c r="J12" t="inlineStr">
        <is>
          <t>725</t>
        </is>
      </c>
      <c r="K12" t="inlineStr">
        <is>
          <t>DTTL Mel Tech FT 1 [ONS]</t>
        </is>
      </c>
      <c r="L12" t="inlineStr">
        <is>
          <t>2/09/2026 - 12:30 to 17:30</t>
        </is>
      </c>
      <c r="M12" s="14" t="n">
        <v>37.5</v>
      </c>
      <c r="N12" t="inlineStr">
        <is>
          <t>per Hour</t>
        </is>
      </c>
      <c r="O12" s="67">
        <f>IFERROR(DATE(VALUE(MID(L12,FIND("/",L12,FIND("/",L12)+1)+1,4)),VALUE(MID(L12,FIND("/",L12)+1,FIND("/",L12,FIND("/",L12)+1)-FIND("/",L12)-1)),VALUE(LEFT(L12,FIND("/",L12)-1))),IF(ISNUMBER(L12),L12,""))</f>
        <v/>
      </c>
      <c r="P12">
        <f>IF(O12="","No - adjustment line (no work date)",IF(COUNTIFS('Summary '!$A$21:$A$36,O12,'Summary '!$E$21:$E$36,K12)&gt;0,"Yes","NO MATCH - INVESTIGATE"))</f>
        <v/>
      </c>
    </row>
    <row r="13">
      <c r="A13" t="n">
        <v>12414219</v>
      </c>
      <c r="C13" t="inlineStr">
        <is>
          <t>Jonathan Hendratno</t>
        </is>
      </c>
      <c r="D13" t="n">
        <v>2856297</v>
      </c>
      <c r="E13" t="inlineStr">
        <is>
          <t>2286634</t>
        </is>
      </c>
      <c r="F13" t="inlineStr">
        <is>
          <t>Casual Ordinary Hours</t>
        </is>
      </c>
      <c r="G13" s="13" t="n">
        <v>3.5</v>
      </c>
      <c r="H13" t="inlineStr">
        <is>
          <t>Hours</t>
        </is>
      </c>
      <c r="I13" t="n">
        <v>441224</v>
      </c>
      <c r="J13" t="inlineStr">
        <is>
          <t>725</t>
        </is>
      </c>
      <c r="K13" t="inlineStr">
        <is>
          <t>DTTL Mel Tech FT 1 [ONS]</t>
        </is>
      </c>
      <c r="L13" t="inlineStr">
        <is>
          <t>4/09/2026 - 08:30 to 12:00</t>
        </is>
      </c>
      <c r="M13" s="14" t="n">
        <v>37.5</v>
      </c>
      <c r="N13" t="inlineStr">
        <is>
          <t>per Hour</t>
        </is>
      </c>
      <c r="O13" s="67">
        <f>IFERROR(DATE(VALUE(MID(L13,FIND("/",L13,FIND("/",L13)+1)+1,4)),VALUE(MID(L13,FIND("/",L13)+1,FIND("/",L13,FIND("/",L13)+1)-FIND("/",L13)-1)),VALUE(LEFT(L13,FIND("/",L13)-1))),IF(ISNUMBER(L13),L13,""))</f>
        <v/>
      </c>
      <c r="P13">
        <f>IF(O13="","No - adjustment line (no work date)",IF(COUNTIFS('Summary '!$A$21:$A$36,O13,'Summary '!$E$21:$E$36,K13)&gt;0,"Yes","NO MATCH - INVESTIGATE"))</f>
        <v/>
      </c>
    </row>
    <row r="14">
      <c r="A14" t="n">
        <v>12414219</v>
      </c>
      <c r="C14" t="inlineStr">
        <is>
          <t>Jonathan Hendratno</t>
        </is>
      </c>
      <c r="D14" t="n">
        <v>2856297</v>
      </c>
      <c r="E14" t="inlineStr">
        <is>
          <t>2286634</t>
        </is>
      </c>
      <c r="F14" t="inlineStr">
        <is>
          <t>Casual Ordinary Hours</t>
        </is>
      </c>
      <c r="G14" s="13" t="n">
        <v>4.5</v>
      </c>
      <c r="H14" t="inlineStr">
        <is>
          <t>Hours</t>
        </is>
      </c>
      <c r="I14" t="n">
        <v>441224</v>
      </c>
      <c r="J14" t="inlineStr">
        <is>
          <t>725</t>
        </is>
      </c>
      <c r="K14" t="inlineStr">
        <is>
          <t>DTTL Mel Tech FT 1 [ONS]</t>
        </is>
      </c>
      <c r="L14" t="inlineStr">
        <is>
          <t>4/09/2026 - 12:30 to 17:00</t>
        </is>
      </c>
      <c r="M14" s="14" t="n">
        <v>37.5</v>
      </c>
      <c r="N14" t="inlineStr">
        <is>
          <t>per Hour</t>
        </is>
      </c>
      <c r="O14" s="67">
        <f>IFERROR(DATE(VALUE(MID(L14,FIND("/",L14,FIND("/",L14)+1)+1,4)),VALUE(MID(L14,FIND("/",L14)+1,FIND("/",L14,FIND("/",L14)+1)-FIND("/",L14)-1)),VALUE(LEFT(L14,FIND("/",L14)-1))),IF(ISNUMBER(L14),L14,""))</f>
        <v/>
      </c>
      <c r="P14">
        <f>IF(O14="","No - adjustment line (no work date)",IF(COUNTIFS('Summary '!$A$21:$A$36,O14,'Summary '!$E$21:$E$36,K14)&gt;0,"Yes","NO MATCH - INVESTIGATE"))</f>
        <v/>
      </c>
    </row>
  </sheetData>
  <autoFilter ref="A2:Q1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E30" sqref="E30"/>
    </sheetView>
  </sheetViews>
  <sheetFormatPr baseColWidth="8" defaultRowHeight="15"/>
  <cols>
    <col width="15" customWidth="1" style="12" min="1" max="1"/>
    <col width="19.7109375" customWidth="1" style="12" min="2" max="2"/>
    <col width="30.28515625" customWidth="1" style="12" min="3" max="3"/>
    <col width="15" customWidth="1" style="12" min="4" max="4"/>
    <col width="22.85546875" customWidth="1" style="12" min="5" max="5"/>
    <col width="36" customWidth="1" style="12" min="6" max="6"/>
    <col width="6.1406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5.140625" customWidth="1" style="12" min="11" max="11"/>
    <col width="185.140625" customWidth="1" style="12" min="12" max="12"/>
    <col width="9.85546875" customWidth="1" style="14" min="13" max="13"/>
    <col width="9.7109375" customWidth="1" style="12" min="14" max="14"/>
    <col width="18" customWidth="1" style="15" min="15" max="15"/>
    <col width="32" customWidth="1" style="15" min="16" max="16"/>
    <col width="9" customWidth="1" style="15" min="17" max="17"/>
    <col width="9.140625" customWidth="1" style="12" min="18" max="16384"/>
  </cols>
  <sheetData>
    <row r="1" customFormat="1" s="8">
      <c r="A1" s="8" t="inlineStr">
        <is>
          <t>Earnings Details</t>
        </is>
      </c>
      <c r="G1" s="9" t="n"/>
      <c r="M1" s="10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66" t="inlineStr">
        <is>
          <t>Work Date (helper)</t>
        </is>
      </c>
      <c r="P2" s="66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-16</v>
      </c>
      <c r="H3" t="inlineStr">
        <is>
          <t>Hours</t>
        </is>
      </c>
      <c r="I3" t="n">
        <v>770681</v>
      </c>
      <c r="J3" t="inlineStr">
        <is>
          <t>26043001</t>
        </is>
      </c>
      <c r="K3" t="inlineStr">
        <is>
          <t>CBA FT Tech MEL - 12 months [ONS]</t>
        </is>
      </c>
      <c r="L3" t="inlineStr">
        <is>
          <t>Reversal of incorrect rate for fortnight ending 07/08/2026</t>
        </is>
      </c>
      <c r="M3" s="14" t="n">
        <v>35.15</v>
      </c>
      <c r="N3" t="inlineStr">
        <is>
          <t>per Hour</t>
        </is>
      </c>
      <c r="O3" s="67">
        <f>IFERROR(DATE(VALUE(MID(L3,FIND("/",L3,FIND("/",L3)+1)+1,4)),VALUE(MID(L3,FIND("/",L3)+1,FIND("/",L3,FIND("/",L3)+1)-FIND("/",L3)-1)),VALUE(LEFT(L3,FIND("/",L3)-1))),IF(ISNUMBER(L3),L3,""))</f>
        <v/>
      </c>
      <c r="P3">
        <f>IF(O3="","No - adjustment line (no work date)",IF(COUNTIFS('Summary '!$A$21:$A$36,O3,'Summary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16</v>
      </c>
      <c r="H4" t="inlineStr">
        <is>
          <t>Hours</t>
        </is>
      </c>
      <c r="I4" t="n">
        <v>770681</v>
      </c>
      <c r="J4" t="inlineStr">
        <is>
          <t>26043001</t>
        </is>
      </c>
      <c r="K4" t="inlineStr">
        <is>
          <t>CBA FT Tech MEL - 12 months [ONS]</t>
        </is>
      </c>
      <c r="L4" t="inlineStr">
        <is>
          <t>Reversal of incorrect rate for fortnight ending 07/08/2026</t>
        </is>
      </c>
      <c r="M4" s="14" t="n">
        <v>37.5</v>
      </c>
      <c r="N4" t="inlineStr">
        <is>
          <t>per Hour</t>
        </is>
      </c>
      <c r="O4" s="67">
        <f>IFERROR(DATE(VALUE(MID(L4,FIND("/",L4,FIND("/",L4)+1)+1,4)),VALUE(MID(L4,FIND("/",L4)+1,FIND("/",L4,FIND("/",L4)+1)-FIND("/",L4)-1)),VALUE(LEFT(L4,FIND("/",L4)-1))),IF(ISNUMBER(L4),L4,""))</f>
        <v/>
      </c>
      <c r="P4">
        <f>IF(O4="","No - adjustment line (no work date)",IF(COUNTIFS('Summary '!$A$21:$A$36,O4,'Summary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5</v>
      </c>
      <c r="H5" t="inlineStr">
        <is>
          <t>Hours</t>
        </is>
      </c>
      <c r="I5" t="n">
        <v>770681</v>
      </c>
      <c r="J5" t="inlineStr">
        <is>
          <t>26043001</t>
        </is>
      </c>
      <c r="K5" t="inlineStr">
        <is>
          <t>CBA FT Tech MEL - 12 months [ONS]</t>
        </is>
      </c>
      <c r="L5" t="inlineStr">
        <is>
          <t xml:space="preserve">18/08/2026 - 07:00 to 12:00. 435 Bourke St - CBA </t>
        </is>
      </c>
      <c r="M5" s="14" t="n">
        <v>37.5</v>
      </c>
      <c r="N5" t="inlineStr">
        <is>
          <t>per Hour</t>
        </is>
      </c>
      <c r="O5" s="67">
        <f>IFERROR(DATE(VALUE(MID(L5,FIND("/",L5,FIND("/",L5)+1)+1,4)),VALUE(MID(L5,FIND("/",L5)+1,FIND("/",L5,FIND("/",L5)+1)-FIND("/",L5)-1)),VALUE(LEFT(L5,FIND("/",L5)-1))),IF(ISNUMBER(L5),L5,""))</f>
        <v/>
      </c>
      <c r="P5">
        <f>IF(O5="","No - adjustment line (no work date)",IF(COUNTIFS('Summary '!$A$21:$A$36,O5,'Summary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3</v>
      </c>
      <c r="H6" t="inlineStr">
        <is>
          <t>Hours</t>
        </is>
      </c>
      <c r="I6" t="n">
        <v>770681</v>
      </c>
      <c r="J6" t="inlineStr">
        <is>
          <t>26043001</t>
        </is>
      </c>
      <c r="K6" t="inlineStr">
        <is>
          <t>CBA FT Tech MEL - 12 months [ONS]</t>
        </is>
      </c>
      <c r="L6" t="inlineStr">
        <is>
          <t xml:space="preserve">18/08/2026 - 13:00 to 16:00. 435 Bourke St - CBA </t>
        </is>
      </c>
      <c r="M6" s="14" t="n">
        <v>37.5</v>
      </c>
      <c r="N6" t="inlineStr">
        <is>
          <t>per Hour</t>
        </is>
      </c>
      <c r="O6" s="67">
        <f>IFERROR(DATE(VALUE(MID(L6,FIND("/",L6,FIND("/",L6)+1)+1,4)),VALUE(MID(L6,FIND("/",L6)+1,FIND("/",L6,FIND("/",L6)+1)-FIND("/",L6)-1)),VALUE(LEFT(L6,FIND("/",L6)-1))),IF(ISNUMBER(L6),L6,""))</f>
        <v/>
      </c>
      <c r="P6">
        <f>IF(O6="","No - adjustment line (no work date)",IF(COUNTIFS('Summary '!$A$21:$A$36,O6,'Summary '!$E$21:$E$36,K6)&gt;0,"Yes","NO MATCH - INVESTIGATE"))</f>
        <v/>
      </c>
    </row>
    <row r="7">
      <c r="A7" t="n">
        <v>12414219</v>
      </c>
      <c r="C7" t="inlineStr">
        <is>
          <t>Jonathan Hendratno</t>
        </is>
      </c>
      <c r="D7" t="n">
        <v>2856297</v>
      </c>
      <c r="E7" t="inlineStr">
        <is>
          <t>2286634</t>
        </is>
      </c>
      <c r="F7" t="inlineStr">
        <is>
          <t>Casual Ordinary Hours</t>
        </is>
      </c>
      <c r="G7" s="13" t="n">
        <v>4</v>
      </c>
      <c r="H7" t="inlineStr">
        <is>
          <t>Hours</t>
        </is>
      </c>
      <c r="I7" t="n">
        <v>731888</v>
      </c>
      <c r="J7" t="inlineStr">
        <is>
          <t>20250731</t>
        </is>
      </c>
      <c r="K7" t="inlineStr">
        <is>
          <t>PWC National Pool of Hours [ONS]</t>
        </is>
      </c>
      <c r="L7" t="inlineStr">
        <is>
          <t>20/08/2026 - 13:00 to 17:00</t>
        </is>
      </c>
      <c r="M7" s="14" t="n">
        <v>37.5</v>
      </c>
      <c r="N7" t="inlineStr">
        <is>
          <t>per Hour</t>
        </is>
      </c>
      <c r="O7" s="67">
        <f>IFERROR(DATE(VALUE(MID(L7,FIND("/",L7,FIND("/",L7)+1)+1,4)),VALUE(MID(L7,FIND("/",L7)+1,FIND("/",L7,FIND("/",L7)+1)-FIND("/",L7)-1)),VALUE(LEFT(L7,FIND("/",L7)-1))),IF(ISNUMBER(L7),L7,""))</f>
        <v/>
      </c>
      <c r="P7">
        <f>IF(O7="","No - adjustment line (no work date)",IF(COUNTIFS('Summary '!$A$21:$A$36,O7,'Summary '!$E$21:$E$36,K7)&gt;0,"Yes","NO MATCH - INVESTIGATE"))</f>
        <v/>
      </c>
    </row>
  </sheetData>
  <autoFilter ref="A2:Q7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C25" sqref="C25"/>
    </sheetView>
  </sheetViews>
  <sheetFormatPr baseColWidth="8" defaultRowHeight="15"/>
  <cols>
    <col width="15" customWidth="1" style="12" min="1" max="1"/>
    <col width="19.7109375" customWidth="1" style="12" min="2" max="2"/>
    <col width="23.7109375" customWidth="1" style="12" min="3" max="3"/>
    <col width="15" customWidth="1" style="12" min="4" max="4"/>
    <col width="22.85546875" customWidth="1" style="12" min="5" max="5"/>
    <col width="27.140625" customWidth="1" style="12" min="6" max="6"/>
    <col width="5.5703125" customWidth="1" style="13" min="7" max="7"/>
    <col width="9.42578125" customWidth="1" style="12" min="8" max="8"/>
    <col width="10.7109375" customWidth="1" style="12" min="9" max="9"/>
    <col width="18.5703125" customWidth="1" style="12" min="10" max="10"/>
    <col width="55.42578125" customWidth="1" style="12" min="11" max="11"/>
    <col width="70.28515625" customWidth="1" style="12" min="12" max="12"/>
    <col width="9.85546875" customWidth="1" style="14" min="13" max="13"/>
    <col width="9.7109375" customWidth="1" style="12" min="14" max="14"/>
    <col width="18" customWidth="1" style="15" min="15" max="15"/>
    <col width="32" customWidth="1" style="15" min="16" max="16"/>
    <col width="9" customWidth="1" style="15" min="17" max="17"/>
  </cols>
  <sheetData>
    <row r="1" customFormat="1" s="8">
      <c r="A1" s="8" t="inlineStr">
        <is>
          <t>Earnings Details</t>
        </is>
      </c>
      <c r="G1" s="9" t="n"/>
      <c r="M1" s="10" t="n"/>
    </row>
    <row r="2" customFormat="1" s="8">
      <c r="A2" s="8" t="inlineStr">
        <is>
          <t>Employee Id</t>
        </is>
      </c>
      <c r="B2" s="8" t="inlineStr">
        <is>
          <t>Employee External Id</t>
        </is>
      </c>
      <c r="C2" s="8" t="inlineStr">
        <is>
          <t>Employee Name</t>
        </is>
      </c>
      <c r="D2" s="8" t="inlineStr">
        <is>
          <t>Pay Category Id</t>
        </is>
      </c>
      <c r="E2" s="8" t="inlineStr">
        <is>
          <t>Pay Category External Id</t>
        </is>
      </c>
      <c r="F2" s="8" t="inlineStr">
        <is>
          <t>Pay Category Name</t>
        </is>
      </c>
      <c r="G2" s="9" t="inlineStr">
        <is>
          <t>Units</t>
        </is>
      </c>
      <c r="H2" s="8" t="inlineStr">
        <is>
          <t>Unit Type</t>
        </is>
      </c>
      <c r="I2" s="8" t="inlineStr">
        <is>
          <t>Location Id</t>
        </is>
      </c>
      <c r="J2" s="8" t="inlineStr">
        <is>
          <t>Location External Id</t>
        </is>
      </c>
      <c r="K2" s="8" t="inlineStr">
        <is>
          <t>Location Name</t>
        </is>
      </c>
      <c r="L2" s="8" t="inlineStr">
        <is>
          <t>Notes</t>
        </is>
      </c>
      <c r="M2" s="10" t="inlineStr">
        <is>
          <t>Rate</t>
        </is>
      </c>
      <c r="N2" s="8" t="inlineStr">
        <is>
          <t>Rate Type</t>
        </is>
      </c>
      <c r="O2" s="66" t="inlineStr">
        <is>
          <t>Work Date (helper)</t>
        </is>
      </c>
      <c r="P2" s="66" t="inlineStr">
        <is>
          <t>Matched to Timesheet?</t>
        </is>
      </c>
    </row>
    <row r="3">
      <c r="A3" t="n">
        <v>12414219</v>
      </c>
      <c r="C3" t="inlineStr">
        <is>
          <t>Jonathan Hendratno</t>
        </is>
      </c>
      <c r="D3" t="n">
        <v>2856297</v>
      </c>
      <c r="E3" t="inlineStr">
        <is>
          <t>2286634</t>
        </is>
      </c>
      <c r="F3" t="inlineStr">
        <is>
          <t>Casual Ordinary Hours</t>
        </is>
      </c>
      <c r="G3" s="13" t="n">
        <v>5.5</v>
      </c>
      <c r="H3" t="inlineStr">
        <is>
          <t>Hours</t>
        </is>
      </c>
      <c r="I3" t="n">
        <v>770681</v>
      </c>
      <c r="J3" t="inlineStr">
        <is>
          <t>26043001</t>
        </is>
      </c>
      <c r="K3" t="inlineStr">
        <is>
          <t>CBA FT Tech MEL - 12 months [ONS]</t>
        </is>
      </c>
      <c r="L3" s="16" t="n">
        <v>46232</v>
      </c>
      <c r="M3" s="14" t="n">
        <v>35.15</v>
      </c>
      <c r="N3" t="inlineStr">
        <is>
          <t>per Hour</t>
        </is>
      </c>
      <c r="O3" s="67">
        <f>IFERROR(DATE(VALUE(MID(L3,FIND("/",L3,FIND("/",L3)+1)+1,4)),VALUE(MID(L3,FIND("/",L3)+1,FIND("/",L3,FIND("/",L3)+1)-FIND("/",L3)-1)),VALUE(LEFT(L3,FIND("/",L3)-1))),IF(ISNUMBER(L3),L3,""))</f>
        <v/>
      </c>
      <c r="P3">
        <f>IF(O3="","No - adjustment line (no work date)",IF(COUNTIFS('Summary '!$A$21:$A$36,O3,'Summary '!$E$21:$E$36,K3)&gt;0,"Yes","NO MATCH - INVESTIGATE"))</f>
        <v/>
      </c>
    </row>
    <row r="4">
      <c r="A4" t="n">
        <v>12414219</v>
      </c>
      <c r="C4" t="inlineStr">
        <is>
          <t>Jonathan Hendratno</t>
        </is>
      </c>
      <c r="D4" t="n">
        <v>2856297</v>
      </c>
      <c r="E4" t="inlineStr">
        <is>
          <t>2286634</t>
        </is>
      </c>
      <c r="F4" t="inlineStr">
        <is>
          <t>Casual Ordinary Hours</t>
        </is>
      </c>
      <c r="G4" s="13" t="n">
        <v>2.5</v>
      </c>
      <c r="H4" t="inlineStr">
        <is>
          <t>Hours</t>
        </is>
      </c>
      <c r="I4" t="n">
        <v>770681</v>
      </c>
      <c r="J4" t="inlineStr">
        <is>
          <t>26043001</t>
        </is>
      </c>
      <c r="K4" t="inlineStr">
        <is>
          <t>CBA FT Tech MEL - 12 months [ONS]</t>
        </is>
      </c>
      <c r="L4" s="16" t="n">
        <v>46232</v>
      </c>
      <c r="M4" s="14" t="n">
        <v>35.15</v>
      </c>
      <c r="N4" t="inlineStr">
        <is>
          <t>per Hour</t>
        </is>
      </c>
      <c r="O4" s="67">
        <f>IFERROR(DATE(VALUE(MID(L4,FIND("/",L4,FIND("/",L4)+1)+1,4)),VALUE(MID(L4,FIND("/",L4)+1,FIND("/",L4,FIND("/",L4)+1)-FIND("/",L4)-1)),VALUE(LEFT(L4,FIND("/",L4)-1))),IF(ISNUMBER(L4),L4,""))</f>
        <v/>
      </c>
      <c r="P4">
        <f>IF(O4="","No - adjustment line (no work date)",IF(COUNTIFS('Summary '!$A$21:$A$36,O4,'Summary '!$E$21:$E$36,K4)&gt;0,"Yes","NO MATCH - INVESTIGATE"))</f>
        <v/>
      </c>
    </row>
    <row r="5">
      <c r="A5" t="n">
        <v>12414219</v>
      </c>
      <c r="C5" t="inlineStr">
        <is>
          <t>Jonathan Hendratno</t>
        </is>
      </c>
      <c r="D5" t="n">
        <v>2856297</v>
      </c>
      <c r="E5" t="inlineStr">
        <is>
          <t>2286634</t>
        </is>
      </c>
      <c r="F5" t="inlineStr">
        <is>
          <t>Casual Ordinary Hours</t>
        </is>
      </c>
      <c r="G5" s="13" t="n">
        <v>4</v>
      </c>
      <c r="H5" t="inlineStr">
        <is>
          <t>Hours</t>
        </is>
      </c>
      <c r="I5" t="n">
        <v>441184</v>
      </c>
      <c r="J5" t="inlineStr">
        <is>
          <t>2392</t>
        </is>
      </c>
      <c r="K5" t="inlineStr">
        <is>
          <t>PWC – MEL Technician [ONS]</t>
        </is>
      </c>
      <c r="L5" s="16" t="n">
        <v>46233</v>
      </c>
      <c r="M5" s="14" t="n">
        <v>35.15</v>
      </c>
      <c r="N5" t="inlineStr">
        <is>
          <t>per Hour</t>
        </is>
      </c>
      <c r="O5" s="67">
        <f>IFERROR(DATE(VALUE(MID(L5,FIND("/",L5,FIND("/",L5)+1)+1,4)),VALUE(MID(L5,FIND("/",L5)+1,FIND("/",L5,FIND("/",L5)+1)-FIND("/",L5)-1)),VALUE(LEFT(L5,FIND("/",L5)-1))),IF(ISNUMBER(L5),L5,""))</f>
        <v/>
      </c>
      <c r="P5">
        <f>IF(O5="","No - adjustment line (no work date)",IF(COUNTIFS('Summary '!$A$21:$A$36,O5,'Summary '!$E$21:$E$36,K5)&gt;0,"Yes","NO MATCH - INVESTIGATE"))</f>
        <v/>
      </c>
    </row>
    <row r="6">
      <c r="A6" t="n">
        <v>12414219</v>
      </c>
      <c r="C6" t="inlineStr">
        <is>
          <t>Jonathan Hendratno</t>
        </is>
      </c>
      <c r="D6" t="n">
        <v>2856297</v>
      </c>
      <c r="E6" t="inlineStr">
        <is>
          <t>2286634</t>
        </is>
      </c>
      <c r="F6" t="inlineStr">
        <is>
          <t>Casual Ordinary Hours</t>
        </is>
      </c>
      <c r="G6" s="13" t="n">
        <v>4</v>
      </c>
      <c r="H6" t="inlineStr">
        <is>
          <t>Hours</t>
        </is>
      </c>
      <c r="I6" t="n">
        <v>777409</v>
      </c>
      <c r="J6" t="inlineStr">
        <is>
          <t>26022301</t>
        </is>
      </c>
      <c r="K6" t="inlineStr">
        <is>
          <t>Aware Super AV Maintenance [ONS]</t>
        </is>
      </c>
      <c r="L6" s="16" t="n">
        <v>46233</v>
      </c>
      <c r="M6" s="14" t="n">
        <v>35.15</v>
      </c>
      <c r="N6" t="inlineStr">
        <is>
          <t>per Hour</t>
        </is>
      </c>
      <c r="O6" s="67">
        <f>IFERROR(DATE(VALUE(MID(L6,FIND("/",L6,FIND("/",L6)+1)+1,4)),VALUE(MID(L6,FIND("/",L6)+1,FIND("/",L6,FIND("/",L6)+1)-FIND("/",L6)-1)),VALUE(LEFT(L6,FIND("/",L6)-1))),IF(ISNUMBER(L6),L6,""))</f>
        <v/>
      </c>
      <c r="P6">
        <f>IF(O6="","No - adjustment line (no work date)",IF(COUNTIFS('Summary '!$A$21:$A$36,O6,'Summary '!$E$21:$E$36,K6)&gt;0,"Yes","NO MATCH - INVESTIGATE"))</f>
        <v/>
      </c>
    </row>
  </sheetData>
  <autoFilter ref="A2:T6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Danica Nelson</dc:creator>
  <dcterms:created xsi:type="dcterms:W3CDTF">2026-09-22T05:04:15Z</dcterms:created>
  <dcterms:modified xsi:type="dcterms:W3CDTF">2026-09-22T06:59:34Z</dcterms:modified>
  <cp:lastModifiedBy>Danica Nelson</cp:lastModifiedBy>
</cp:coreProperties>
</file>