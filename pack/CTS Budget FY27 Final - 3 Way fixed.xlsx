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omments9.xml" ContentType="application/vnd.openxmlformats-officedocument.spreadsheetml.comments+xml"/>
  <Override PartName="/xl/threadedComments/threadedComment9.xml" ContentType="application/vnd.ms-excel.threadedcomments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corptechservices.sharepoint.com/sites/CTSNASAccountsYBackup/Shared Documents/06 Financial Reporting/03 Budgets &amp; Forecasts/FY2027/"/>
    </mc:Choice>
  </mc:AlternateContent>
  <xr:revisionPtr revIDLastSave="17861" documentId="8_{9F149611-CF8C-46C0-964E-6D90ED0A1FB2}" xr6:coauthVersionLast="47" xr6:coauthVersionMax="47" xr10:uidLastSave="{DCF86DB4-790D-4957-8296-CBEF335C7BF5}"/>
  <bookViews>
    <workbookView xWindow="5805" yWindow="1050" windowWidth="21600" windowHeight="11295" tabRatio="869" firstSheet="1" activeTab="3" xr2:uid="{00000000-000D-0000-FFFF-FFFF00000000}"/>
  </bookViews>
  <sheets>
    <sheet name="FY25 Forecast summary - Main" sheetId="30" state="hidden" r:id="rId1"/>
    <sheet name="Sheet1" sheetId="38" r:id="rId2"/>
    <sheet name="TO DO" sheetId="39" state="hidden" r:id="rId3"/>
    <sheet name="FY27 Budget - Actuals" sheetId="41" r:id="rId4"/>
    <sheet name="FY27 Budget" sheetId="24" r:id="rId5"/>
    <sheet name="FY27 Budget - detailed" sheetId="17" r:id="rId6"/>
    <sheet name="CTS Overheads" sheetId="15" r:id="rId7"/>
    <sheet name="Sheet2" sheetId="33" state="hidden" r:id="rId8"/>
    <sheet name="CONS" sheetId="2" r:id="rId9"/>
    <sheet name="CONS Fixed Costs" sheetId="3" r:id="rId10"/>
    <sheet name="CONS Sales Forecast" sheetId="26" r:id="rId11"/>
    <sheet name="ONS" sheetId="5" r:id="rId12"/>
    <sheet name="ONS Fixed Costs" sheetId="6" r:id="rId13"/>
    <sheet name="ONS Sales Forecast" sheetId="25" r:id="rId14"/>
    <sheet name="PRD" sheetId="10" r:id="rId15"/>
    <sheet name="PRD Fixed Costs" sheetId="11" r:id="rId16"/>
    <sheet name="PRD Sales Forecast" sheetId="28" r:id="rId17"/>
    <sheet name="Casual Pays FY26" sheetId="40" r:id="rId18"/>
    <sheet name="Data Validation" sheetId="31" r:id="rId19"/>
    <sheet name="Casual Pays FY24" sheetId="29" state="hidden" r:id="rId20"/>
    <sheet name="Rental Breakdown" sheetId="36" r:id="rId21"/>
  </sheets>
  <externalReferences>
    <externalReference r:id="rId22"/>
    <externalReference r:id="rId23"/>
    <externalReference r:id="rId24"/>
  </externalReferences>
  <definedNames>
    <definedName name="__xlchart.v1.0" localSheetId="10" hidden="1">[1]Summary!#REF!</definedName>
    <definedName name="__xlchart.v1.0" localSheetId="13" hidden="1">[1]Summary!#REF!</definedName>
    <definedName name="__xlchart.v1.0" localSheetId="16" hidden="1">[1]Summary!#REF!</definedName>
    <definedName name="__xlchart.v1.0" hidden="1">[1]Summary!#REF!</definedName>
    <definedName name="__xlchart.v1.1" localSheetId="10" hidden="1">[1]Summary!#REF!</definedName>
    <definedName name="__xlchart.v1.1" localSheetId="13" hidden="1">[1]Summary!#REF!</definedName>
    <definedName name="__xlchart.v1.1" localSheetId="16" hidden="1">[1]Summary!#REF!</definedName>
    <definedName name="__xlchart.v1.1" hidden="1">[1]Summary!#REF!</definedName>
    <definedName name="__xlchart.v1.2" localSheetId="10" hidden="1">[1]Summary!#REF!</definedName>
    <definedName name="__xlchart.v1.2" localSheetId="13" hidden="1">[1]Summary!#REF!</definedName>
    <definedName name="__xlchart.v1.2" localSheetId="16" hidden="1">[1]Summary!#REF!</definedName>
    <definedName name="__xlchart.v1.2" hidden="1">[1]Summary!#REF!</definedName>
    <definedName name="__xlchart.v1.3" localSheetId="10" hidden="1">[1]Summary!#REF!</definedName>
    <definedName name="__xlchart.v1.3" localSheetId="13" hidden="1">[1]Summary!#REF!</definedName>
    <definedName name="__xlchart.v1.3" localSheetId="16" hidden="1">[1]Summary!#REF!</definedName>
    <definedName name="__xlchart.v1.3" hidden="1">[1]Summary!#REF!</definedName>
    <definedName name="_xlnm._FilterDatabase" localSheetId="19" hidden="1">'Casual Pays FY24'!$A$1:$O$391</definedName>
    <definedName name="_xlnm._FilterDatabase" localSheetId="17" hidden="1">'Casual Pays FY26'!$A$2:$J$2</definedName>
    <definedName name="_xlnm._FilterDatabase" localSheetId="10" hidden="1">'CONS Sales Forecast'!$DO$3:$EE$3</definedName>
    <definedName name="_xlnm._FilterDatabase" localSheetId="13" hidden="1">'ONS Sales Forecast'!$A$3:$DW$3</definedName>
    <definedName name="_xlnm._FilterDatabase" localSheetId="16" hidden="1">'PRD Sales Forecast'!$A$3:$ET$58</definedName>
    <definedName name="AcctName" localSheetId="10">#REF!</definedName>
    <definedName name="AcctName" localSheetId="13">#REF!</definedName>
    <definedName name="AcctName" localSheetId="16">#REF!</definedName>
    <definedName name="AcctName">#REF!</definedName>
    <definedName name="AcctSubCate" localSheetId="10">#REF!</definedName>
    <definedName name="AcctSubCate" localSheetId="13">#REF!</definedName>
    <definedName name="AcctSubCate" localSheetId="16">#REF!</definedName>
    <definedName name="AcctSubCate">#REF!</definedName>
    <definedName name="_xlnm.Print_Area" localSheetId="6">'CTS Overheads'!$A:$A</definedName>
    <definedName name="_xlnm.Print_Area" localSheetId="0">'FY25 Forecast summary - Main'!#REF!</definedName>
    <definedName name="_xlnm.Print_Area" localSheetId="4">'FY27 Budget'!#REF!</definedName>
    <definedName name="_xlnm.Print_Area" localSheetId="3">'FY27 Budget - Actuals'!#REF!</definedName>
    <definedName name="_xlnm.Print_Area" localSheetId="5">'FY27 Budget - detailed'!#REF!</definedName>
  </definedNames>
  <calcPr calcId="191028" fullCalcOnLoad="1"/>
  <pivotCaches>
    <pivotCache cacheId="105" r:id="rId2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41" l="1"/>
  <c r="G3" i="41"/>
  <c r="F6" i="41"/>
  <c r="E16" i="41" l="1"/>
  <c r="E15" i="41"/>
  <c r="F15" i="41"/>
  <c r="F16" i="41" s="1"/>
  <c r="E14" i="41"/>
  <c r="F14" i="41"/>
  <c r="E12" i="41"/>
  <c r="E11" i="41"/>
  <c r="F11" i="41"/>
  <c r="F12" i="41" s="1"/>
  <c r="E10" i="41"/>
  <c r="F10" i="41"/>
  <c r="E6" i="41"/>
  <c r="F7" i="41"/>
  <c r="F8" i="41"/>
  <c r="D6" i="41"/>
  <c r="DS20" i="26" l="1"/>
  <c r="C13" i="41" l="1"/>
  <c r="C9" i="41"/>
  <c r="C8" i="41"/>
  <c r="C7" i="41"/>
  <c r="C5" i="41"/>
  <c r="C4" i="41"/>
  <c r="C3" i="41"/>
  <c r="D38" i="15" l="1"/>
  <c r="D36" i="15"/>
  <c r="U39" i="15"/>
  <c r="C44" i="11" s="1"/>
  <c r="Q36" i="36"/>
  <c r="R30" i="36" s="1"/>
  <c r="DK38" i="25"/>
  <c r="DR58" i="28"/>
  <c r="DR36" i="28"/>
  <c r="DR7" i="28"/>
  <c r="DR30" i="28"/>
  <c r="DR16" i="28"/>
  <c r="DR35" i="28"/>
  <c r="EG71" i="26"/>
  <c r="DR73" i="26"/>
  <c r="DK15" i="25"/>
  <c r="R33" i="36" l="1"/>
  <c r="R35" i="36"/>
  <c r="R34" i="36"/>
  <c r="R32" i="36"/>
  <c r="R31" i="36"/>
  <c r="DY28" i="28"/>
  <c r="C14" i="41"/>
  <c r="D14" i="41"/>
  <c r="D10" i="41"/>
  <c r="O56" i="41"/>
  <c r="N56" i="41"/>
  <c r="O55" i="41"/>
  <c r="N55" i="41"/>
  <c r="O54" i="41"/>
  <c r="O53" i="41"/>
  <c r="O52" i="41"/>
  <c r="B14" i="41"/>
  <c r="B10" i="41"/>
  <c r="B6" i="41"/>
  <c r="S31" i="36" l="1"/>
  <c r="C6" i="41"/>
  <c r="C10" i="41"/>
  <c r="R36" i="36"/>
  <c r="D11" i="41"/>
  <c r="D15" i="41" s="1"/>
  <c r="D16" i="41" s="1"/>
  <c r="B11" i="41"/>
  <c r="B12" i="41" s="1"/>
  <c r="S36" i="36" l="1"/>
  <c r="C11" i="41"/>
  <c r="C12" i="41" s="1"/>
  <c r="B15" i="41"/>
  <c r="B16" i="41" s="1"/>
  <c r="D12" i="41"/>
  <c r="C15" i="41" l="1"/>
  <c r="C16" i="41" s="1"/>
  <c r="DR29" i="28"/>
  <c r="EF29" i="28"/>
  <c r="EF5" i="28"/>
  <c r="DR5" i="28"/>
  <c r="DK32" i="25"/>
  <c r="DL32" i="25"/>
  <c r="CN9" i="28"/>
  <c r="DW15" i="25"/>
  <c r="DI15" i="25"/>
  <c r="EG8" i="26"/>
  <c r="J19" i="39" l="1"/>
  <c r="K18" i="39"/>
  <c r="L18" i="39" s="1"/>
  <c r="K17" i="39"/>
  <c r="L17" i="39" s="1"/>
  <c r="K16" i="39"/>
  <c r="L16" i="39" s="1"/>
  <c r="K15" i="39"/>
  <c r="L15" i="39" s="1"/>
  <c r="K14" i="39"/>
  <c r="L14" i="39" s="1"/>
  <c r="N9" i="10"/>
  <c r="R8" i="2"/>
  <c r="Q8" i="2"/>
  <c r="P8" i="2"/>
  <c r="O8" i="2"/>
  <c r="N8" i="2"/>
  <c r="M8" i="2"/>
  <c r="L8" i="2"/>
  <c r="K8" i="2"/>
  <c r="J8" i="2"/>
  <c r="I8" i="2"/>
  <c r="H8" i="2"/>
  <c r="K9" i="5"/>
  <c r="L9" i="5"/>
  <c r="M9" i="5"/>
  <c r="N9" i="5"/>
  <c r="O9" i="5"/>
  <c r="P9" i="5"/>
  <c r="Q9" i="5"/>
  <c r="H9" i="5"/>
  <c r="I9" i="5"/>
  <c r="J9" i="5"/>
  <c r="G9" i="5"/>
  <c r="DI34" i="25"/>
  <c r="CO5" i="28"/>
  <c r="CP5" i="28" s="1"/>
  <c r="CQ5" i="28" s="1"/>
  <c r="CR5" i="28" s="1"/>
  <c r="CS5" i="28" s="1"/>
  <c r="CT5" i="28" s="1"/>
  <c r="CU5" i="28" s="1"/>
  <c r="CV5" i="28" s="1"/>
  <c r="CW5" i="28" s="1"/>
  <c r="CX5" i="28" s="1"/>
  <c r="CY5" i="28" s="1"/>
  <c r="CO4" i="28"/>
  <c r="CP4" i="28" s="1"/>
  <c r="CQ4" i="28" s="1"/>
  <c r="CR4" i="28" s="1"/>
  <c r="CS4" i="28" s="1"/>
  <c r="CT4" i="28" s="1"/>
  <c r="CU4" i="28" s="1"/>
  <c r="CV4" i="28" s="1"/>
  <c r="CW4" i="28" s="1"/>
  <c r="CX4" i="28" s="1"/>
  <c r="CY4" i="28" s="1"/>
  <c r="DF29" i="25"/>
  <c r="DG29" i="25" s="1"/>
  <c r="DH29" i="25" s="1"/>
  <c r="CZ29" i="25"/>
  <c r="DA29" i="25" s="1"/>
  <c r="DB29" i="25" s="1"/>
  <c r="DC29" i="25" s="1"/>
  <c r="DD29" i="25" s="1"/>
  <c r="DE29" i="25" s="1"/>
  <c r="DS17" i="26"/>
  <c r="DT17" i="26"/>
  <c r="DU17" i="26"/>
  <c r="DV17" i="26"/>
  <c r="DW17" i="26"/>
  <c r="DX17" i="26"/>
  <c r="DY17" i="26"/>
  <c r="DZ17" i="26"/>
  <c r="EA17" i="26"/>
  <c r="EB17" i="26"/>
  <c r="EC17" i="26"/>
  <c r="DR17" i="26"/>
  <c r="DS16" i="26"/>
  <c r="DT16" i="26"/>
  <c r="DU16" i="26"/>
  <c r="DV16" i="26"/>
  <c r="DW16" i="26"/>
  <c r="DX16" i="26"/>
  <c r="DY16" i="26"/>
  <c r="DZ16" i="26"/>
  <c r="EA16" i="26"/>
  <c r="EB16" i="26"/>
  <c r="EC16" i="26"/>
  <c r="DR16" i="26"/>
  <c r="D3" i="15"/>
  <c r="M52" i="24"/>
  <c r="M53" i="24"/>
  <c r="M54" i="24"/>
  <c r="M55" i="24"/>
  <c r="M56" i="24"/>
  <c r="L55" i="24"/>
  <c r="L56" i="24"/>
  <c r="P9" i="10"/>
  <c r="M9" i="10"/>
  <c r="L10" i="5"/>
  <c r="M10" i="5"/>
  <c r="L9" i="10"/>
  <c r="I9" i="10"/>
  <c r="O10" i="5"/>
  <c r="O9" i="10"/>
  <c r="J9" i="10"/>
  <c r="G10" i="5"/>
  <c r="Q10" i="5"/>
  <c r="P10" i="5"/>
  <c r="S9" i="10"/>
  <c r="I10" i="5"/>
  <c r="H10" i="5"/>
  <c r="F10" i="5"/>
  <c r="Q9" i="10"/>
  <c r="K10" i="5"/>
  <c r="H9" i="10"/>
  <c r="K9" i="10"/>
  <c r="R9" i="10"/>
  <c r="J10" i="5"/>
  <c r="N10" i="5"/>
  <c r="S8" i="2" l="1"/>
  <c r="CY29" i="25"/>
  <c r="DB7" i="28"/>
  <c r="DB8" i="28"/>
  <c r="DB9" i="28"/>
  <c r="DB10" i="28"/>
  <c r="DB11" i="28"/>
  <c r="DB12" i="28"/>
  <c r="DB13" i="28"/>
  <c r="DB14" i="28"/>
  <c r="DB15" i="28"/>
  <c r="DB16" i="28"/>
  <c r="DB17" i="28"/>
  <c r="DB18" i="28"/>
  <c r="DB19" i="28"/>
  <c r="DB20" i="28"/>
  <c r="DB21" i="28"/>
  <c r="DB22" i="28"/>
  <c r="DB23" i="28"/>
  <c r="DB24" i="28"/>
  <c r="DB25" i="28"/>
  <c r="DB26" i="28"/>
  <c r="DB27" i="28"/>
  <c r="DB28" i="28"/>
  <c r="DB29" i="28"/>
  <c r="DB30" i="28"/>
  <c r="DB31" i="28"/>
  <c r="DB32" i="28"/>
  <c r="DB33" i="28"/>
  <c r="DB34" i="28"/>
  <c r="DB35" i="28"/>
  <c r="DB36" i="28"/>
  <c r="D5" i="6" l="1"/>
  <c r="E5" i="6" s="1"/>
  <c r="D18" i="6"/>
  <c r="D115" i="15"/>
  <c r="B92" i="15"/>
  <c r="D21" i="15"/>
  <c r="C23" i="11"/>
  <c r="C22" i="11"/>
  <c r="D15" i="3"/>
  <c r="O9" i="6"/>
  <c r="D18" i="15"/>
  <c r="DR4" i="26"/>
  <c r="CZ4" i="28"/>
  <c r="DU9" i="26"/>
  <c r="DT9" i="26" s="1"/>
  <c r="DR8" i="26"/>
  <c r="H36" i="6"/>
  <c r="H32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25" i="6"/>
  <c r="E19" i="6"/>
  <c r="F19" i="6" s="1"/>
  <c r="G19" i="6" s="1"/>
  <c r="E18" i="6"/>
  <c r="H22" i="10"/>
  <c r="O8" i="6"/>
  <c r="G18" i="2"/>
  <c r="D75" i="15"/>
  <c r="H64" i="17" s="1"/>
  <c r="CX18" i="25"/>
  <c r="CY18" i="25" s="1"/>
  <c r="CZ18" i="25" s="1"/>
  <c r="DA18" i="25" s="1"/>
  <c r="DB18" i="25" s="1"/>
  <c r="DC18" i="25" s="1"/>
  <c r="DD18" i="25" s="1"/>
  <c r="DE18" i="25" s="1"/>
  <c r="DF18" i="25" s="1"/>
  <c r="DG18" i="25" s="1"/>
  <c r="DH18" i="25" s="1"/>
  <c r="CX19" i="25"/>
  <c r="CY19" i="25" s="1"/>
  <c r="CZ19" i="25" s="1"/>
  <c r="DA19" i="25" s="1"/>
  <c r="DB19" i="25" s="1"/>
  <c r="DC19" i="25" s="1"/>
  <c r="DD19" i="25" s="1"/>
  <c r="DE19" i="25" s="1"/>
  <c r="DF19" i="25" s="1"/>
  <c r="DG19" i="25" s="1"/>
  <c r="DH19" i="25" s="1"/>
  <c r="CX28" i="25"/>
  <c r="CY28" i="25" s="1"/>
  <c r="CZ28" i="25" s="1"/>
  <c r="DA28" i="25" s="1"/>
  <c r="DB28" i="25" s="1"/>
  <c r="DC28" i="25" s="1"/>
  <c r="DD28" i="25" s="1"/>
  <c r="DE28" i="25" s="1"/>
  <c r="DF28" i="25" s="1"/>
  <c r="DG28" i="25" s="1"/>
  <c r="DH28" i="25" s="1"/>
  <c r="CX23" i="25"/>
  <c r="CY23" i="25" s="1"/>
  <c r="CZ23" i="25" s="1"/>
  <c r="DA23" i="25" s="1"/>
  <c r="DB23" i="25" s="1"/>
  <c r="DC23" i="25" s="1"/>
  <c r="DD23" i="25" s="1"/>
  <c r="DE23" i="25" s="1"/>
  <c r="DF23" i="25" s="1"/>
  <c r="DG23" i="25" s="1"/>
  <c r="DH23" i="25" s="1"/>
  <c r="CX24" i="25"/>
  <c r="CY24" i="25" s="1"/>
  <c r="CZ24" i="25" s="1"/>
  <c r="DA24" i="25" s="1"/>
  <c r="DB24" i="25" s="1"/>
  <c r="DC24" i="25" s="1"/>
  <c r="DD24" i="25" s="1"/>
  <c r="DE24" i="25" s="1"/>
  <c r="DF24" i="25" s="1"/>
  <c r="DG24" i="25" s="1"/>
  <c r="DH24" i="25" s="1"/>
  <c r="CX25" i="25"/>
  <c r="CY25" i="25" s="1"/>
  <c r="CZ25" i="25" s="1"/>
  <c r="DA25" i="25" s="1"/>
  <c r="DB25" i="25" s="1"/>
  <c r="DC25" i="25" s="1"/>
  <c r="DD25" i="25" s="1"/>
  <c r="DE25" i="25" s="1"/>
  <c r="DF25" i="25" s="1"/>
  <c r="DG25" i="25" s="1"/>
  <c r="DH25" i="25" s="1"/>
  <c r="CX26" i="25"/>
  <c r="CY26" i="25" s="1"/>
  <c r="CZ26" i="25" s="1"/>
  <c r="DA26" i="25" s="1"/>
  <c r="DB26" i="25" s="1"/>
  <c r="DC26" i="25" s="1"/>
  <c r="DD26" i="25" s="1"/>
  <c r="DE26" i="25" s="1"/>
  <c r="DF26" i="25" s="1"/>
  <c r="DG26" i="25" s="1"/>
  <c r="DH26" i="25" s="1"/>
  <c r="CX27" i="25"/>
  <c r="CY27" i="25" s="1"/>
  <c r="CZ27" i="25" s="1"/>
  <c r="DA27" i="25" s="1"/>
  <c r="DB27" i="25" s="1"/>
  <c r="DC27" i="25" s="1"/>
  <c r="DD27" i="25" s="1"/>
  <c r="DE27" i="25" s="1"/>
  <c r="DF27" i="25" s="1"/>
  <c r="DG27" i="25" s="1"/>
  <c r="DH27" i="25" s="1"/>
  <c r="H67" i="17"/>
  <c r="B26" i="3"/>
  <c r="B27" i="3"/>
  <c r="B25" i="3"/>
  <c r="C34" i="3"/>
  <c r="F34" i="15"/>
  <c r="U44" i="15"/>
  <c r="D40" i="15" s="1"/>
  <c r="U43" i="15"/>
  <c r="D39" i="15" s="1"/>
  <c r="U37" i="15"/>
  <c r="D37" i="15" s="1"/>
  <c r="U40" i="15"/>
  <c r="D13" i="3" s="1"/>
  <c r="U41" i="15"/>
  <c r="D41" i="15" s="1"/>
  <c r="S23" i="36"/>
  <c r="S22" i="36"/>
  <c r="S21" i="36"/>
  <c r="S20" i="36"/>
  <c r="S19" i="36"/>
  <c r="E10" i="6"/>
  <c r="E47" i="15"/>
  <c r="E9" i="15"/>
  <c r="F9" i="15" s="1"/>
  <c r="G9" i="15" s="1"/>
  <c r="H9" i="15" s="1"/>
  <c r="I9" i="15" s="1"/>
  <c r="J9" i="15" s="1"/>
  <c r="K9" i="15" s="1"/>
  <c r="L9" i="15" s="1"/>
  <c r="M9" i="15" s="1"/>
  <c r="N9" i="15" s="1"/>
  <c r="O9" i="15" s="1"/>
  <c r="D9" i="11"/>
  <c r="B98" i="15"/>
  <c r="E79" i="15"/>
  <c r="F79" i="15" s="1"/>
  <c r="G79" i="15" s="1"/>
  <c r="H79" i="15" s="1"/>
  <c r="I79" i="15" s="1"/>
  <c r="J79" i="15" s="1"/>
  <c r="K79" i="15" s="1"/>
  <c r="L79" i="15" s="1"/>
  <c r="M79" i="15" s="1"/>
  <c r="N79" i="15" s="1"/>
  <c r="O79" i="15" s="1"/>
  <c r="F63" i="15"/>
  <c r="S10" i="10"/>
  <c r="DS4" i="26" l="1"/>
  <c r="I22" i="10"/>
  <c r="J22" i="10" s="1"/>
  <c r="K22" i="10" s="1"/>
  <c r="L22" i="10" s="1"/>
  <c r="M22" i="10" s="1"/>
  <c r="N22" i="10" s="1"/>
  <c r="O22" i="10" s="1"/>
  <c r="P22" i="10" s="1"/>
  <c r="Q22" i="10" s="1"/>
  <c r="R22" i="10" s="1"/>
  <c r="S22" i="10" s="1"/>
  <c r="H18" i="2"/>
  <c r="I18" i="2" s="1"/>
  <c r="J18" i="2" s="1"/>
  <c r="K18" i="2" s="1"/>
  <c r="L18" i="2" s="1"/>
  <c r="M18" i="2" s="1"/>
  <c r="N18" i="2" s="1"/>
  <c r="O18" i="2" s="1"/>
  <c r="P18" i="2" s="1"/>
  <c r="Q18" i="2" s="1"/>
  <c r="R18" i="2" s="1"/>
  <c r="DT4" i="26" l="1"/>
  <c r="DU4" i="26" s="1"/>
  <c r="DV4" i="26" s="1"/>
  <c r="DW4" i="26" s="1"/>
  <c r="DX4" i="26" s="1"/>
  <c r="DY4" i="26" s="1"/>
  <c r="DZ4" i="26" s="1"/>
  <c r="EA4" i="26" s="1"/>
  <c r="EB4" i="26" s="1"/>
  <c r="EC4" i="26" s="1"/>
  <c r="T22" i="10"/>
  <c r="S18" i="2"/>
  <c r="M22" i="36"/>
  <c r="T20" i="36" s="1"/>
  <c r="M19" i="36"/>
  <c r="T13" i="10"/>
  <c r="D61" i="15"/>
  <c r="D45" i="15"/>
  <c r="H41" i="17" s="1"/>
  <c r="D58" i="15"/>
  <c r="C41" i="11"/>
  <c r="R9" i="5"/>
  <c r="CX75" i="25"/>
  <c r="CW39" i="25"/>
  <c r="CX39" i="25" s="1"/>
  <c r="CY39" i="25" s="1"/>
  <c r="CZ39" i="25" s="1"/>
  <c r="DA39" i="25" s="1"/>
  <c r="DB39" i="25" s="1"/>
  <c r="DC39" i="25" s="1"/>
  <c r="DD39" i="25" s="1"/>
  <c r="DE39" i="25" s="1"/>
  <c r="DF39" i="25" s="1"/>
  <c r="DG39" i="25" s="1"/>
  <c r="DH39" i="25" s="1"/>
  <c r="U23" i="36" l="1"/>
  <c r="V23" i="36" s="1"/>
  <c r="U22" i="36"/>
  <c r="V22" i="36" s="1"/>
  <c r="U20" i="36"/>
  <c r="V20" i="36" s="1"/>
  <c r="U21" i="36"/>
  <c r="V21" i="36" s="1"/>
  <c r="U19" i="36"/>
  <c r="M23" i="36"/>
  <c r="I67" i="17"/>
  <c r="J67" i="17"/>
  <c r="K67" i="17"/>
  <c r="L67" i="17"/>
  <c r="M67" i="17"/>
  <c r="N67" i="17"/>
  <c r="O67" i="17"/>
  <c r="P67" i="17"/>
  <c r="Q67" i="17"/>
  <c r="R67" i="17"/>
  <c r="S67" i="17"/>
  <c r="D65" i="15"/>
  <c r="E65" i="15"/>
  <c r="V19" i="36" l="1"/>
  <c r="U26" i="36"/>
  <c r="I44" i="17"/>
  <c r="J44" i="17"/>
  <c r="K44" i="17"/>
  <c r="L44" i="17"/>
  <c r="M44" i="17"/>
  <c r="N44" i="17"/>
  <c r="O44" i="17"/>
  <c r="P44" i="17"/>
  <c r="Q44" i="17"/>
  <c r="R44" i="17"/>
  <c r="S44" i="17"/>
  <c r="H44" i="17"/>
  <c r="H24" i="17"/>
  <c r="I60" i="17"/>
  <c r="J60" i="17"/>
  <c r="L60" i="17"/>
  <c r="M60" i="17"/>
  <c r="N60" i="17"/>
  <c r="O60" i="17"/>
  <c r="P60" i="17"/>
  <c r="Q60" i="17"/>
  <c r="R60" i="17"/>
  <c r="S60" i="17"/>
  <c r="I61" i="17"/>
  <c r="J61" i="17"/>
  <c r="K61" i="17"/>
  <c r="L61" i="17"/>
  <c r="N61" i="17"/>
  <c r="O61" i="17"/>
  <c r="P61" i="17"/>
  <c r="Q61" i="17"/>
  <c r="R61" i="17"/>
  <c r="S61" i="17"/>
  <c r="I43" i="17"/>
  <c r="J43" i="17"/>
  <c r="K43" i="17"/>
  <c r="L43" i="17"/>
  <c r="M43" i="17"/>
  <c r="N43" i="17"/>
  <c r="O43" i="17"/>
  <c r="P43" i="17"/>
  <c r="Q43" i="17"/>
  <c r="R43" i="17"/>
  <c r="S43" i="17"/>
  <c r="I47" i="17"/>
  <c r="J47" i="17"/>
  <c r="K47" i="17"/>
  <c r="L47" i="17"/>
  <c r="M47" i="17"/>
  <c r="N47" i="17"/>
  <c r="O47" i="17"/>
  <c r="P47" i="17"/>
  <c r="Q47" i="17"/>
  <c r="R47" i="17"/>
  <c r="S47" i="17"/>
  <c r="I54" i="17"/>
  <c r="J54" i="17"/>
  <c r="K54" i="17"/>
  <c r="L54" i="17"/>
  <c r="M54" i="17"/>
  <c r="N54" i="17"/>
  <c r="O54" i="17"/>
  <c r="P54" i="17"/>
  <c r="Q54" i="17"/>
  <c r="R54" i="17"/>
  <c r="S54" i="17"/>
  <c r="I55" i="17"/>
  <c r="J55" i="17"/>
  <c r="K55" i="17"/>
  <c r="L55" i="17"/>
  <c r="M55" i="17"/>
  <c r="N55" i="17"/>
  <c r="O55" i="17"/>
  <c r="P55" i="17"/>
  <c r="Q55" i="17"/>
  <c r="R55" i="17"/>
  <c r="S55" i="17"/>
  <c r="P28" i="17"/>
  <c r="Q28" i="17"/>
  <c r="R28" i="17"/>
  <c r="S28" i="17"/>
  <c r="P29" i="17"/>
  <c r="Q29" i="17"/>
  <c r="R29" i="17"/>
  <c r="S29" i="17"/>
  <c r="P30" i="17"/>
  <c r="Q30" i="17"/>
  <c r="R30" i="17"/>
  <c r="S30" i="17"/>
  <c r="P35" i="17"/>
  <c r="Q35" i="17"/>
  <c r="R35" i="17"/>
  <c r="S35" i="17"/>
  <c r="P36" i="17"/>
  <c r="Q36" i="17"/>
  <c r="R36" i="17"/>
  <c r="S36" i="17"/>
  <c r="I28" i="17"/>
  <c r="J28" i="17"/>
  <c r="K28" i="17"/>
  <c r="L28" i="17"/>
  <c r="M28" i="17"/>
  <c r="N28" i="17"/>
  <c r="O28" i="17"/>
  <c r="I29" i="17"/>
  <c r="J29" i="17"/>
  <c r="K29" i="17"/>
  <c r="L29" i="17"/>
  <c r="M29" i="17"/>
  <c r="N29" i="17"/>
  <c r="O29" i="17"/>
  <c r="I30" i="17"/>
  <c r="J30" i="17"/>
  <c r="K30" i="17"/>
  <c r="L30" i="17"/>
  <c r="M30" i="17"/>
  <c r="N30" i="17"/>
  <c r="O30" i="17"/>
  <c r="I35" i="17"/>
  <c r="J35" i="17"/>
  <c r="K35" i="17"/>
  <c r="L35" i="17"/>
  <c r="M35" i="17"/>
  <c r="N35" i="17"/>
  <c r="O35" i="17"/>
  <c r="I36" i="17"/>
  <c r="J36" i="17"/>
  <c r="K36" i="17"/>
  <c r="L36" i="17"/>
  <c r="M36" i="17"/>
  <c r="N36" i="17"/>
  <c r="O36" i="17"/>
  <c r="D109" i="15"/>
  <c r="D7" i="11"/>
  <c r="D6" i="11"/>
  <c r="D5" i="11"/>
  <c r="D4" i="11"/>
  <c r="D3" i="11"/>
  <c r="D2" i="11"/>
  <c r="E2" i="11" s="1"/>
  <c r="D17" i="6"/>
  <c r="D16" i="6"/>
  <c r="H39" i="6" s="1"/>
  <c r="D15" i="6"/>
  <c r="D14" i="6"/>
  <c r="D12" i="6"/>
  <c r="D11" i="6"/>
  <c r="D8" i="6"/>
  <c r="E8" i="6" s="1"/>
  <c r="D7" i="6"/>
  <c r="D6" i="6"/>
  <c r="E6" i="6" s="1"/>
  <c r="D4" i="6"/>
  <c r="E4" i="6" s="1"/>
  <c r="D2" i="6"/>
  <c r="E2" i="6" s="1"/>
  <c r="D4" i="3"/>
  <c r="D3" i="3"/>
  <c r="E3" i="3" s="1"/>
  <c r="B19" i="17"/>
  <c r="B67" i="17" s="1"/>
  <c r="B44" i="17" l="1"/>
  <c r="C44" i="17"/>
  <c r="A44" i="17"/>
  <c r="C30" i="17"/>
  <c r="B30" i="17"/>
  <c r="A30" i="17"/>
  <c r="B54" i="17"/>
  <c r="B61" i="17"/>
  <c r="B28" i="17"/>
  <c r="C55" i="17"/>
  <c r="B55" i="17"/>
  <c r="A55" i="17"/>
  <c r="C29" i="17"/>
  <c r="A29" i="17"/>
  <c r="B29" i="17"/>
  <c r="C35" i="17"/>
  <c r="B35" i="17"/>
  <c r="A35" i="17"/>
  <c r="B36" i="17"/>
  <c r="A36" i="17"/>
  <c r="C36" i="17"/>
  <c r="B60" i="17"/>
  <c r="A60" i="17"/>
  <c r="C60" i="17"/>
  <c r="C47" i="17"/>
  <c r="B47" i="17"/>
  <c r="A47" i="17"/>
  <c r="A43" i="17"/>
  <c r="B43" i="17"/>
  <c r="C43" i="17"/>
  <c r="F8" i="6"/>
  <c r="G8" i="6" s="1"/>
  <c r="EF6" i="28"/>
  <c r="EG6" i="28"/>
  <c r="EH6" i="28"/>
  <c r="EI6" i="28"/>
  <c r="EJ6" i="28"/>
  <c r="EK6" i="28"/>
  <c r="EL6" i="28"/>
  <c r="EM6" i="28"/>
  <c r="EN6" i="28"/>
  <c r="EO6" i="28"/>
  <c r="EP6" i="28"/>
  <c r="EQ6" i="28"/>
  <c r="EF7" i="28"/>
  <c r="EG7" i="28"/>
  <c r="EH7" i="28"/>
  <c r="EI7" i="28"/>
  <c r="EJ7" i="28"/>
  <c r="EK7" i="28"/>
  <c r="EL7" i="28"/>
  <c r="EM7" i="28"/>
  <c r="EN7" i="28"/>
  <c r="EO7" i="28"/>
  <c r="EP7" i="28"/>
  <c r="EQ7" i="28"/>
  <c r="EF8" i="28"/>
  <c r="EG8" i="28"/>
  <c r="EH8" i="28"/>
  <c r="EI8" i="28"/>
  <c r="EJ8" i="28"/>
  <c r="EK8" i="28"/>
  <c r="EL8" i="28"/>
  <c r="EM8" i="28"/>
  <c r="EN8" i="28"/>
  <c r="EO8" i="28"/>
  <c r="EP8" i="28"/>
  <c r="EQ8" i="28"/>
  <c r="EG9" i="28"/>
  <c r="EH9" i="28"/>
  <c r="EI9" i="28"/>
  <c r="EJ9" i="28"/>
  <c r="EK9" i="28"/>
  <c r="EL9" i="28"/>
  <c r="EM9" i="28"/>
  <c r="EN9" i="28"/>
  <c r="EO9" i="28"/>
  <c r="EP9" i="28"/>
  <c r="EQ9" i="28"/>
  <c r="EF10" i="28"/>
  <c r="EG10" i="28"/>
  <c r="EH10" i="28"/>
  <c r="EI10" i="28"/>
  <c r="EJ10" i="28"/>
  <c r="EK10" i="28"/>
  <c r="EL10" i="28"/>
  <c r="EM10" i="28"/>
  <c r="EN10" i="28"/>
  <c r="EO10" i="28"/>
  <c r="EP10" i="28"/>
  <c r="EQ10" i="28"/>
  <c r="EF11" i="28"/>
  <c r="EG11" i="28"/>
  <c r="EH11" i="28"/>
  <c r="EI11" i="28"/>
  <c r="EJ11" i="28"/>
  <c r="EK11" i="28"/>
  <c r="EL11" i="28"/>
  <c r="EM11" i="28"/>
  <c r="EN11" i="28"/>
  <c r="EO11" i="28"/>
  <c r="EP11" i="28"/>
  <c r="EQ11" i="28"/>
  <c r="EF12" i="28"/>
  <c r="EG12" i="28"/>
  <c r="EH12" i="28"/>
  <c r="EI12" i="28"/>
  <c r="EJ12" i="28"/>
  <c r="EK12" i="28"/>
  <c r="EL12" i="28"/>
  <c r="EM12" i="28"/>
  <c r="EN12" i="28"/>
  <c r="EO12" i="28"/>
  <c r="EP12" i="28"/>
  <c r="EQ12" i="28"/>
  <c r="EF13" i="28"/>
  <c r="EG13" i="28"/>
  <c r="EH13" i="28"/>
  <c r="EI13" i="28"/>
  <c r="EJ13" i="28"/>
  <c r="EK13" i="28"/>
  <c r="EL13" i="28"/>
  <c r="EM13" i="28"/>
  <c r="EN13" i="28"/>
  <c r="EO13" i="28"/>
  <c r="EP13" i="28"/>
  <c r="EQ13" i="28"/>
  <c r="EF14" i="28"/>
  <c r="EG14" i="28"/>
  <c r="EH14" i="28"/>
  <c r="EI14" i="28"/>
  <c r="EJ14" i="28"/>
  <c r="EK14" i="28"/>
  <c r="EL14" i="28"/>
  <c r="EM14" i="28"/>
  <c r="EN14" i="28"/>
  <c r="EO14" i="28"/>
  <c r="EP14" i="28"/>
  <c r="EQ14" i="28"/>
  <c r="EF15" i="28"/>
  <c r="EG15" i="28"/>
  <c r="EH15" i="28"/>
  <c r="EI15" i="28"/>
  <c r="EJ15" i="28"/>
  <c r="EK15" i="28"/>
  <c r="EL15" i="28"/>
  <c r="EM15" i="28"/>
  <c r="EN15" i="28"/>
  <c r="EO15" i="28"/>
  <c r="EP15" i="28"/>
  <c r="EQ15" i="28"/>
  <c r="EG16" i="28"/>
  <c r="EH16" i="28"/>
  <c r="EI16" i="28"/>
  <c r="EJ16" i="28"/>
  <c r="EK16" i="28"/>
  <c r="EL16" i="28"/>
  <c r="EM16" i="28"/>
  <c r="EN16" i="28"/>
  <c r="EO16" i="28"/>
  <c r="EP16" i="28"/>
  <c r="EQ16" i="28"/>
  <c r="EF17" i="28"/>
  <c r="EG17" i="28"/>
  <c r="EH17" i="28"/>
  <c r="EI17" i="28"/>
  <c r="EJ17" i="28"/>
  <c r="EK17" i="28"/>
  <c r="EL17" i="28"/>
  <c r="EM17" i="28"/>
  <c r="EN17" i="28"/>
  <c r="EO17" i="28"/>
  <c r="EP17" i="28"/>
  <c r="EQ17" i="28"/>
  <c r="EF18" i="28"/>
  <c r="EG18" i="28"/>
  <c r="EH18" i="28"/>
  <c r="EI18" i="28"/>
  <c r="EJ18" i="28"/>
  <c r="EK18" i="28"/>
  <c r="EL18" i="28"/>
  <c r="EM18" i="28"/>
  <c r="EN18" i="28"/>
  <c r="EO18" i="28"/>
  <c r="EP18" i="28"/>
  <c r="EQ18" i="28"/>
  <c r="EF19" i="28"/>
  <c r="EG19" i="28"/>
  <c r="EH19" i="28"/>
  <c r="EI19" i="28"/>
  <c r="EJ19" i="28"/>
  <c r="EK19" i="28"/>
  <c r="EL19" i="28"/>
  <c r="EM19" i="28"/>
  <c r="EN19" i="28"/>
  <c r="EO19" i="28"/>
  <c r="EP19" i="28"/>
  <c r="EQ19" i="28"/>
  <c r="EF20" i="28"/>
  <c r="EG20" i="28"/>
  <c r="EH20" i="28"/>
  <c r="EI20" i="28"/>
  <c r="EJ20" i="28"/>
  <c r="EK20" i="28"/>
  <c r="EL20" i="28"/>
  <c r="EM20" i="28"/>
  <c r="EN20" i="28"/>
  <c r="EO20" i="28"/>
  <c r="EP20" i="28"/>
  <c r="EQ20" i="28"/>
  <c r="EF21" i="28"/>
  <c r="EG21" i="28"/>
  <c r="EH21" i="28"/>
  <c r="EI21" i="28"/>
  <c r="EJ21" i="28"/>
  <c r="EK21" i="28"/>
  <c r="EL21" i="28"/>
  <c r="EM21" i="28"/>
  <c r="EN21" i="28"/>
  <c r="EO21" i="28"/>
  <c r="EP21" i="28"/>
  <c r="EQ21" i="28"/>
  <c r="EF22" i="28"/>
  <c r="EG22" i="28"/>
  <c r="EH22" i="28"/>
  <c r="EI22" i="28"/>
  <c r="EJ22" i="28"/>
  <c r="EK22" i="28"/>
  <c r="EL22" i="28"/>
  <c r="EM22" i="28"/>
  <c r="EN22" i="28"/>
  <c r="EO22" i="28"/>
  <c r="EP22" i="28"/>
  <c r="EQ22" i="28"/>
  <c r="EF23" i="28"/>
  <c r="EG23" i="28"/>
  <c r="EH23" i="28"/>
  <c r="EI23" i="28"/>
  <c r="EJ23" i="28"/>
  <c r="EK23" i="28"/>
  <c r="EL23" i="28"/>
  <c r="EM23" i="28"/>
  <c r="EN23" i="28"/>
  <c r="EO23" i="28"/>
  <c r="EP23" i="28"/>
  <c r="EQ23" i="28"/>
  <c r="EF24" i="28"/>
  <c r="EG24" i="28"/>
  <c r="EH24" i="28"/>
  <c r="EI24" i="28"/>
  <c r="EJ24" i="28"/>
  <c r="EK24" i="28"/>
  <c r="EL24" i="28"/>
  <c r="EM24" i="28"/>
  <c r="EN24" i="28"/>
  <c r="EO24" i="28"/>
  <c r="EP24" i="28"/>
  <c r="EQ24" i="28"/>
  <c r="EF25" i="28"/>
  <c r="EG25" i="28"/>
  <c r="EH25" i="28"/>
  <c r="EI25" i="28"/>
  <c r="EJ25" i="28"/>
  <c r="EK25" i="28"/>
  <c r="EL25" i="28"/>
  <c r="EM25" i="28"/>
  <c r="EN25" i="28"/>
  <c r="EO25" i="28"/>
  <c r="EP25" i="28"/>
  <c r="EQ25" i="28"/>
  <c r="EF26" i="28"/>
  <c r="EG26" i="28"/>
  <c r="EH26" i="28"/>
  <c r="EI26" i="28"/>
  <c r="EJ26" i="28"/>
  <c r="EK26" i="28"/>
  <c r="EL26" i="28"/>
  <c r="EM26" i="28"/>
  <c r="EN26" i="28"/>
  <c r="EO26" i="28"/>
  <c r="EP26" i="28"/>
  <c r="EQ26" i="28"/>
  <c r="EF27" i="28"/>
  <c r="EG27" i="28"/>
  <c r="EH27" i="28"/>
  <c r="EI27" i="28"/>
  <c r="EJ27" i="28"/>
  <c r="EK27" i="28"/>
  <c r="EL27" i="28"/>
  <c r="EM27" i="28"/>
  <c r="EN27" i="28"/>
  <c r="EO27" i="28"/>
  <c r="EP27" i="28"/>
  <c r="EQ27" i="28"/>
  <c r="EG28" i="28"/>
  <c r="EH28" i="28"/>
  <c r="EI28" i="28"/>
  <c r="EJ28" i="28"/>
  <c r="EK28" i="28"/>
  <c r="EL28" i="28"/>
  <c r="EM28" i="28"/>
  <c r="EN28" i="28"/>
  <c r="EO28" i="28"/>
  <c r="EP28" i="28"/>
  <c r="EQ28" i="28"/>
  <c r="EG29" i="28"/>
  <c r="EH29" i="28"/>
  <c r="EI29" i="28"/>
  <c r="EJ29" i="28"/>
  <c r="EK29" i="28"/>
  <c r="EL29" i="28"/>
  <c r="EM29" i="28"/>
  <c r="EN29" i="28"/>
  <c r="EO29" i="28"/>
  <c r="EP29" i="28"/>
  <c r="EQ29" i="28"/>
  <c r="EG30" i="28"/>
  <c r="EH30" i="28"/>
  <c r="EI30" i="28"/>
  <c r="EJ30" i="28"/>
  <c r="EK30" i="28"/>
  <c r="EL30" i="28"/>
  <c r="EM30" i="28"/>
  <c r="EN30" i="28"/>
  <c r="EO30" i="28"/>
  <c r="EP30" i="28"/>
  <c r="EQ30" i="28"/>
  <c r="EF31" i="28"/>
  <c r="EG31" i="28"/>
  <c r="EH31" i="28"/>
  <c r="EI31" i="28"/>
  <c r="EJ31" i="28"/>
  <c r="EK31" i="28"/>
  <c r="EL31" i="28"/>
  <c r="EM31" i="28"/>
  <c r="EN31" i="28"/>
  <c r="EO31" i="28"/>
  <c r="EP31" i="28"/>
  <c r="EQ31" i="28"/>
  <c r="EF32" i="28"/>
  <c r="EG32" i="28"/>
  <c r="EH32" i="28"/>
  <c r="EI32" i="28"/>
  <c r="EJ32" i="28"/>
  <c r="EK32" i="28"/>
  <c r="EL32" i="28"/>
  <c r="EM32" i="28"/>
  <c r="EN32" i="28"/>
  <c r="EO32" i="28"/>
  <c r="EP32" i="28"/>
  <c r="EQ32" i="28"/>
  <c r="EF33" i="28"/>
  <c r="EG33" i="28"/>
  <c r="EH33" i="28"/>
  <c r="EI33" i="28"/>
  <c r="EJ33" i="28"/>
  <c r="EK33" i="28"/>
  <c r="EL33" i="28"/>
  <c r="EM33" i="28"/>
  <c r="EN33" i="28"/>
  <c r="EO33" i="28"/>
  <c r="EP33" i="28"/>
  <c r="EQ33" i="28"/>
  <c r="EF34" i="28"/>
  <c r="EG34" i="28"/>
  <c r="EH34" i="28"/>
  <c r="EI34" i="28"/>
  <c r="EJ34" i="28"/>
  <c r="EK34" i="28"/>
  <c r="EL34" i="28"/>
  <c r="EM34" i="28"/>
  <c r="EN34" i="28"/>
  <c r="EO34" i="28"/>
  <c r="EP34" i="28"/>
  <c r="EQ34" i="28"/>
  <c r="EG35" i="28"/>
  <c r="EH35" i="28"/>
  <c r="EI35" i="28"/>
  <c r="EJ35" i="28"/>
  <c r="EK35" i="28"/>
  <c r="EL35" i="28"/>
  <c r="EM35" i="28"/>
  <c r="EN35" i="28"/>
  <c r="EO35" i="28"/>
  <c r="EP35" i="28"/>
  <c r="EQ35" i="28"/>
  <c r="EF36" i="28"/>
  <c r="EG36" i="28"/>
  <c r="EH36" i="28"/>
  <c r="EI36" i="28"/>
  <c r="EJ36" i="28"/>
  <c r="EK36" i="28"/>
  <c r="EL36" i="28"/>
  <c r="EM36" i="28"/>
  <c r="EN36" i="28"/>
  <c r="EO36" i="28"/>
  <c r="EP36" i="28"/>
  <c r="EQ36" i="28"/>
  <c r="EF37" i="28"/>
  <c r="EG37" i="28"/>
  <c r="EH37" i="28"/>
  <c r="EI37" i="28"/>
  <c r="EJ37" i="28"/>
  <c r="EK37" i="28"/>
  <c r="EL37" i="28"/>
  <c r="EM37" i="28"/>
  <c r="EN37" i="28"/>
  <c r="EO37" i="28"/>
  <c r="EP37" i="28"/>
  <c r="EQ37" i="28"/>
  <c r="EF38" i="28"/>
  <c r="EG38" i="28"/>
  <c r="EH38" i="28"/>
  <c r="EI38" i="28"/>
  <c r="EJ38" i="28"/>
  <c r="EK38" i="28"/>
  <c r="EL38" i="28"/>
  <c r="EM38" i="28"/>
  <c r="EN38" i="28"/>
  <c r="EO38" i="28"/>
  <c r="EP38" i="28"/>
  <c r="EQ38" i="28"/>
  <c r="EF39" i="28"/>
  <c r="EG39" i="28"/>
  <c r="EH39" i="28"/>
  <c r="EI39" i="28"/>
  <c r="EJ39" i="28"/>
  <c r="EK39" i="28"/>
  <c r="EL39" i="28"/>
  <c r="EM39" i="28"/>
  <c r="EN39" i="28"/>
  <c r="EO39" i="28"/>
  <c r="EP39" i="28"/>
  <c r="EQ39" i="28"/>
  <c r="EF40" i="28"/>
  <c r="EG40" i="28"/>
  <c r="EH40" i="28"/>
  <c r="EI40" i="28"/>
  <c r="EJ40" i="28"/>
  <c r="EK40" i="28"/>
  <c r="EL40" i="28"/>
  <c r="EM40" i="28"/>
  <c r="EN40" i="28"/>
  <c r="EO40" i="28"/>
  <c r="EP40" i="28"/>
  <c r="EQ40" i="28"/>
  <c r="EF41" i="28"/>
  <c r="EG41" i="28"/>
  <c r="EH41" i="28"/>
  <c r="EI41" i="28"/>
  <c r="EJ41" i="28"/>
  <c r="EK41" i="28"/>
  <c r="EL41" i="28"/>
  <c r="EM41" i="28"/>
  <c r="EN41" i="28"/>
  <c r="EO41" i="28"/>
  <c r="EP41" i="28"/>
  <c r="EQ41" i="28"/>
  <c r="EF42" i="28"/>
  <c r="EG42" i="28"/>
  <c r="EH42" i="28"/>
  <c r="EI42" i="28"/>
  <c r="EJ42" i="28"/>
  <c r="EK42" i="28"/>
  <c r="EL42" i="28"/>
  <c r="EM42" i="28"/>
  <c r="EN42" i="28"/>
  <c r="EO42" i="28"/>
  <c r="EP42" i="28"/>
  <c r="EQ42" i="28"/>
  <c r="EF43" i="28"/>
  <c r="EG43" i="28"/>
  <c r="EH43" i="28"/>
  <c r="EI43" i="28"/>
  <c r="EJ43" i="28"/>
  <c r="EK43" i="28"/>
  <c r="EL43" i="28"/>
  <c r="EM43" i="28"/>
  <c r="EN43" i="28"/>
  <c r="EO43" i="28"/>
  <c r="EP43" i="28"/>
  <c r="EQ43" i="28"/>
  <c r="EF44" i="28"/>
  <c r="EG44" i="28"/>
  <c r="EH44" i="28"/>
  <c r="EI44" i="28"/>
  <c r="EJ44" i="28"/>
  <c r="EK44" i="28"/>
  <c r="EL44" i="28"/>
  <c r="EM44" i="28"/>
  <c r="EN44" i="28"/>
  <c r="EO44" i="28"/>
  <c r="EP44" i="28"/>
  <c r="EQ44" i="28"/>
  <c r="EF45" i="28"/>
  <c r="EG45" i="28"/>
  <c r="EH45" i="28"/>
  <c r="EI45" i="28"/>
  <c r="EJ45" i="28"/>
  <c r="EK45" i="28"/>
  <c r="EL45" i="28"/>
  <c r="EM45" i="28"/>
  <c r="EN45" i="28"/>
  <c r="EO45" i="28"/>
  <c r="EP45" i="28"/>
  <c r="EQ45" i="28"/>
  <c r="EF46" i="28"/>
  <c r="EG46" i="28"/>
  <c r="EH46" i="28"/>
  <c r="EI46" i="28"/>
  <c r="EJ46" i="28"/>
  <c r="EK46" i="28"/>
  <c r="EL46" i="28"/>
  <c r="EM46" i="28"/>
  <c r="EN46" i="28"/>
  <c r="EO46" i="28"/>
  <c r="EP46" i="28"/>
  <c r="EQ46" i="28"/>
  <c r="EF47" i="28"/>
  <c r="EG47" i="28"/>
  <c r="EH47" i="28"/>
  <c r="EI47" i="28"/>
  <c r="EJ47" i="28"/>
  <c r="EK47" i="28"/>
  <c r="EL47" i="28"/>
  <c r="EM47" i="28"/>
  <c r="EN47" i="28"/>
  <c r="EO47" i="28"/>
  <c r="EP47" i="28"/>
  <c r="EQ47" i="28"/>
  <c r="EF48" i="28"/>
  <c r="EG48" i="28"/>
  <c r="EH48" i="28"/>
  <c r="EI48" i="28"/>
  <c r="EJ48" i="28"/>
  <c r="EK48" i="28"/>
  <c r="EL48" i="28"/>
  <c r="EM48" i="28"/>
  <c r="EN48" i="28"/>
  <c r="EO48" i="28"/>
  <c r="EP48" i="28"/>
  <c r="EQ48" i="28"/>
  <c r="EF49" i="28"/>
  <c r="EG49" i="28"/>
  <c r="EH49" i="28"/>
  <c r="EI49" i="28"/>
  <c r="EJ49" i="28"/>
  <c r="EK49" i="28"/>
  <c r="EL49" i="28"/>
  <c r="EM49" i="28"/>
  <c r="EN49" i="28"/>
  <c r="EO49" i="28"/>
  <c r="EP49" i="28"/>
  <c r="EQ49" i="28"/>
  <c r="EF50" i="28"/>
  <c r="EG50" i="28"/>
  <c r="EH50" i="28"/>
  <c r="EI50" i="28"/>
  <c r="EJ50" i="28"/>
  <c r="EK50" i="28"/>
  <c r="EL50" i="28"/>
  <c r="EM50" i="28"/>
  <c r="EN50" i="28"/>
  <c r="EO50" i="28"/>
  <c r="EP50" i="28"/>
  <c r="EQ50" i="28"/>
  <c r="DS6" i="28"/>
  <c r="DT6" i="28"/>
  <c r="DU6" i="28"/>
  <c r="DV6" i="28"/>
  <c r="DW6" i="28"/>
  <c r="DX6" i="28"/>
  <c r="DY6" i="28"/>
  <c r="DZ6" i="28"/>
  <c r="EA6" i="28"/>
  <c r="EB6" i="28"/>
  <c r="EC6" i="28"/>
  <c r="DS7" i="28"/>
  <c r="DT7" i="28"/>
  <c r="DU7" i="28"/>
  <c r="DV7" i="28"/>
  <c r="DW7" i="28"/>
  <c r="DX7" i="28"/>
  <c r="DY7" i="28"/>
  <c r="DZ7" i="28"/>
  <c r="EA7" i="28"/>
  <c r="EB7" i="28"/>
  <c r="EC7" i="28"/>
  <c r="DR8" i="28"/>
  <c r="DS8" i="28"/>
  <c r="DT8" i="28"/>
  <c r="DU8" i="28"/>
  <c r="DV8" i="28"/>
  <c r="DW8" i="28"/>
  <c r="DX8" i="28"/>
  <c r="DY8" i="28"/>
  <c r="DZ8" i="28"/>
  <c r="EA8" i="28"/>
  <c r="EB8" i="28"/>
  <c r="EC8" i="28"/>
  <c r="DS9" i="28"/>
  <c r="DT9" i="28"/>
  <c r="DU9" i="28"/>
  <c r="DV9" i="28"/>
  <c r="DW9" i="28"/>
  <c r="DX9" i="28"/>
  <c r="DY9" i="28"/>
  <c r="DZ9" i="28"/>
  <c r="EA9" i="28"/>
  <c r="EB9" i="28"/>
  <c r="EC9" i="28"/>
  <c r="DR10" i="28"/>
  <c r="DS10" i="28"/>
  <c r="DT10" i="28"/>
  <c r="DU10" i="28"/>
  <c r="DV10" i="28"/>
  <c r="DW10" i="28"/>
  <c r="DX10" i="28"/>
  <c r="DY10" i="28"/>
  <c r="DZ10" i="28"/>
  <c r="EA10" i="28"/>
  <c r="EB10" i="28"/>
  <c r="EC10" i="28"/>
  <c r="DS11" i="28"/>
  <c r="DT11" i="28"/>
  <c r="DU11" i="28"/>
  <c r="DV11" i="28"/>
  <c r="DW11" i="28"/>
  <c r="DX11" i="28"/>
  <c r="DY11" i="28"/>
  <c r="DZ11" i="28"/>
  <c r="EA11" i="28"/>
  <c r="EB11" i="28"/>
  <c r="EC11" i="28"/>
  <c r="DR12" i="28"/>
  <c r="DS12" i="28"/>
  <c r="DT12" i="28"/>
  <c r="DU12" i="28"/>
  <c r="DV12" i="28"/>
  <c r="DW12" i="28"/>
  <c r="DX12" i="28"/>
  <c r="DY12" i="28"/>
  <c r="DZ12" i="28"/>
  <c r="EA12" i="28"/>
  <c r="EB12" i="28"/>
  <c r="EC12" i="28"/>
  <c r="DR13" i="28"/>
  <c r="DS13" i="28"/>
  <c r="DT13" i="28"/>
  <c r="DU13" i="28"/>
  <c r="DV13" i="28"/>
  <c r="DW13" i="28"/>
  <c r="DX13" i="28"/>
  <c r="DY13" i="28"/>
  <c r="DZ13" i="28"/>
  <c r="EA13" i="28"/>
  <c r="EB13" i="28"/>
  <c r="EC13" i="28"/>
  <c r="DR14" i="28"/>
  <c r="DS14" i="28"/>
  <c r="DT14" i="28"/>
  <c r="DU14" i="28"/>
  <c r="DV14" i="28"/>
  <c r="DW14" i="28"/>
  <c r="DX14" i="28"/>
  <c r="DY14" i="28"/>
  <c r="DZ14" i="28"/>
  <c r="EA14" i="28"/>
  <c r="EB14" i="28"/>
  <c r="EC14" i="28"/>
  <c r="DS15" i="28"/>
  <c r="DT15" i="28"/>
  <c r="DU15" i="28"/>
  <c r="DV15" i="28"/>
  <c r="DW15" i="28"/>
  <c r="DX15" i="28"/>
  <c r="DY15" i="28"/>
  <c r="DZ15" i="28"/>
  <c r="EA15" i="28"/>
  <c r="EB15" i="28"/>
  <c r="EC15" i="28"/>
  <c r="DS16" i="28"/>
  <c r="DT16" i="28"/>
  <c r="DU16" i="28"/>
  <c r="DV16" i="28"/>
  <c r="DW16" i="28"/>
  <c r="DX16" i="28"/>
  <c r="DY16" i="28"/>
  <c r="DZ16" i="28"/>
  <c r="EA16" i="28"/>
  <c r="EB16" i="28"/>
  <c r="EC16" i="28"/>
  <c r="DR17" i="28"/>
  <c r="DS17" i="28"/>
  <c r="DT17" i="28"/>
  <c r="DU17" i="28"/>
  <c r="DV17" i="28"/>
  <c r="DW17" i="28"/>
  <c r="DX17" i="28"/>
  <c r="DY17" i="28"/>
  <c r="DZ17" i="28"/>
  <c r="EA17" i="28"/>
  <c r="EB17" i="28"/>
  <c r="EC17" i="28"/>
  <c r="DS18" i="28"/>
  <c r="DT18" i="28"/>
  <c r="DU18" i="28"/>
  <c r="DV18" i="28"/>
  <c r="DW18" i="28"/>
  <c r="DX18" i="28"/>
  <c r="DY18" i="28"/>
  <c r="DZ18" i="28"/>
  <c r="EA18" i="28"/>
  <c r="EB18" i="28"/>
  <c r="EC18" i="28"/>
  <c r="DS19" i="28"/>
  <c r="DT19" i="28"/>
  <c r="DU19" i="28"/>
  <c r="DV19" i="28"/>
  <c r="DW19" i="28"/>
  <c r="DX19" i="28"/>
  <c r="DY19" i="28"/>
  <c r="DZ19" i="28"/>
  <c r="EA19" i="28"/>
  <c r="EB19" i="28"/>
  <c r="EC19" i="28"/>
  <c r="DS20" i="28"/>
  <c r="DT20" i="28"/>
  <c r="DU20" i="28"/>
  <c r="DV20" i="28"/>
  <c r="DW20" i="28"/>
  <c r="DX20" i="28"/>
  <c r="DY20" i="28"/>
  <c r="DZ20" i="28"/>
  <c r="EA20" i="28"/>
  <c r="EB20" i="28"/>
  <c r="EC20" i="28"/>
  <c r="DR21" i="28"/>
  <c r="DS21" i="28"/>
  <c r="DT21" i="28"/>
  <c r="DU21" i="28"/>
  <c r="DV21" i="28"/>
  <c r="DW21" i="28"/>
  <c r="DX21" i="28"/>
  <c r="DY21" i="28"/>
  <c r="DZ21" i="28"/>
  <c r="EA21" i="28"/>
  <c r="EB21" i="28"/>
  <c r="EC21" i="28"/>
  <c r="DR22" i="28"/>
  <c r="DS22" i="28"/>
  <c r="DT22" i="28"/>
  <c r="DU22" i="28"/>
  <c r="DV22" i="28"/>
  <c r="DW22" i="28"/>
  <c r="DX22" i="28"/>
  <c r="DY22" i="28"/>
  <c r="DZ22" i="28"/>
  <c r="EA22" i="28"/>
  <c r="EB22" i="28"/>
  <c r="EC22" i="28"/>
  <c r="DR23" i="28"/>
  <c r="DS23" i="28"/>
  <c r="DT23" i="28"/>
  <c r="DU23" i="28"/>
  <c r="DV23" i="28"/>
  <c r="DW23" i="28"/>
  <c r="DX23" i="28"/>
  <c r="DY23" i="28"/>
  <c r="DZ23" i="28"/>
  <c r="EA23" i="28"/>
  <c r="EB23" i="28"/>
  <c r="EC23" i="28"/>
  <c r="DR24" i="28"/>
  <c r="DS24" i="28"/>
  <c r="DT24" i="28"/>
  <c r="DU24" i="28"/>
  <c r="DV24" i="28"/>
  <c r="DW24" i="28"/>
  <c r="DX24" i="28"/>
  <c r="DY24" i="28"/>
  <c r="DZ24" i="28"/>
  <c r="EA24" i="28"/>
  <c r="EB24" i="28"/>
  <c r="EC24" i="28"/>
  <c r="DR25" i="28"/>
  <c r="DS25" i="28"/>
  <c r="DT25" i="28"/>
  <c r="DU25" i="28"/>
  <c r="DV25" i="28"/>
  <c r="DW25" i="28"/>
  <c r="DX25" i="28"/>
  <c r="DY25" i="28"/>
  <c r="DZ25" i="28"/>
  <c r="EA25" i="28"/>
  <c r="EB25" i="28"/>
  <c r="EC25" i="28"/>
  <c r="DS26" i="28"/>
  <c r="DT26" i="28"/>
  <c r="DU26" i="28"/>
  <c r="DV26" i="28"/>
  <c r="DW26" i="28"/>
  <c r="DX26" i="28"/>
  <c r="DY26" i="28"/>
  <c r="DZ26" i="28"/>
  <c r="EA26" i="28"/>
  <c r="EB26" i="28"/>
  <c r="EC26" i="28"/>
  <c r="DS27" i="28"/>
  <c r="DT27" i="28"/>
  <c r="DU27" i="28"/>
  <c r="DV27" i="28"/>
  <c r="DW27" i="28"/>
  <c r="DX27" i="28"/>
  <c r="DY27" i="28"/>
  <c r="DZ27" i="28"/>
  <c r="EA27" i="28"/>
  <c r="EB27" i="28"/>
  <c r="EC27" i="28"/>
  <c r="DR28" i="28"/>
  <c r="DS28" i="28"/>
  <c r="DT28" i="28"/>
  <c r="DU28" i="28"/>
  <c r="DV28" i="28"/>
  <c r="DW28" i="28"/>
  <c r="DX28" i="28"/>
  <c r="DZ28" i="28"/>
  <c r="EA28" i="28"/>
  <c r="EB28" i="28"/>
  <c r="EC28" i="28"/>
  <c r="DS29" i="28"/>
  <c r="DT29" i="28"/>
  <c r="DU29" i="28"/>
  <c r="DV29" i="28"/>
  <c r="DW29" i="28"/>
  <c r="DX29" i="28"/>
  <c r="DY29" i="28"/>
  <c r="DZ29" i="28"/>
  <c r="EA29" i="28"/>
  <c r="EB29" i="28"/>
  <c r="EC29" i="28"/>
  <c r="DS30" i="28"/>
  <c r="DT30" i="28"/>
  <c r="DU30" i="28"/>
  <c r="DV30" i="28"/>
  <c r="DW30" i="28"/>
  <c r="DX30" i="28"/>
  <c r="DY30" i="28"/>
  <c r="DZ30" i="28"/>
  <c r="EA30" i="28"/>
  <c r="EB30" i="28"/>
  <c r="EC30" i="28"/>
  <c r="DR31" i="28"/>
  <c r="DS31" i="28"/>
  <c r="DT31" i="28"/>
  <c r="DU31" i="28"/>
  <c r="DV31" i="28"/>
  <c r="DW31" i="28"/>
  <c r="DX31" i="28"/>
  <c r="DY31" i="28"/>
  <c r="DZ31" i="28"/>
  <c r="EA31" i="28"/>
  <c r="EB31" i="28"/>
  <c r="EC31" i="28"/>
  <c r="DR32" i="28"/>
  <c r="DS32" i="28"/>
  <c r="DT32" i="28"/>
  <c r="DU32" i="28"/>
  <c r="DV32" i="28"/>
  <c r="DW32" i="28"/>
  <c r="DX32" i="28"/>
  <c r="DY32" i="28"/>
  <c r="DZ32" i="28"/>
  <c r="EA32" i="28"/>
  <c r="EB32" i="28"/>
  <c r="EC32" i="28"/>
  <c r="DR33" i="28"/>
  <c r="DS33" i="28"/>
  <c r="DT33" i="28"/>
  <c r="DU33" i="28"/>
  <c r="DV33" i="28"/>
  <c r="DW33" i="28"/>
  <c r="DX33" i="28"/>
  <c r="DY33" i="28"/>
  <c r="DZ33" i="28"/>
  <c r="EA33" i="28"/>
  <c r="EB33" i="28"/>
  <c r="EC33" i="28"/>
  <c r="DR34" i="28"/>
  <c r="DS34" i="28"/>
  <c r="DT34" i="28"/>
  <c r="DU34" i="28"/>
  <c r="DV34" i="28"/>
  <c r="DW34" i="28"/>
  <c r="DX34" i="28"/>
  <c r="DY34" i="28"/>
  <c r="DZ34" i="28"/>
  <c r="EA34" i="28"/>
  <c r="EB34" i="28"/>
  <c r="EC34" i="28"/>
  <c r="DS35" i="28"/>
  <c r="DT35" i="28"/>
  <c r="DU35" i="28"/>
  <c r="DV35" i="28"/>
  <c r="DW35" i="28"/>
  <c r="DX35" i="28"/>
  <c r="DY35" i="28"/>
  <c r="DZ35" i="28"/>
  <c r="EA35" i="28"/>
  <c r="EB35" i="28"/>
  <c r="EC35" i="28"/>
  <c r="DS36" i="28"/>
  <c r="DT36" i="28"/>
  <c r="DU36" i="28"/>
  <c r="DV36" i="28"/>
  <c r="DW36" i="28"/>
  <c r="DX36" i="28"/>
  <c r="DY36" i="28"/>
  <c r="DZ36" i="28"/>
  <c r="EA36" i="28"/>
  <c r="EB36" i="28"/>
  <c r="EC36" i="28"/>
  <c r="DR37" i="28"/>
  <c r="DS37" i="28"/>
  <c r="DT37" i="28"/>
  <c r="DU37" i="28"/>
  <c r="DV37" i="28"/>
  <c r="DW37" i="28"/>
  <c r="DX37" i="28"/>
  <c r="DY37" i="28"/>
  <c r="DZ37" i="28"/>
  <c r="EA37" i="28"/>
  <c r="EB37" i="28"/>
  <c r="EC37" i="28"/>
  <c r="DR38" i="28"/>
  <c r="DS38" i="28"/>
  <c r="DT38" i="28"/>
  <c r="DU38" i="28"/>
  <c r="DV38" i="28"/>
  <c r="DW38" i="28"/>
  <c r="DX38" i="28"/>
  <c r="DY38" i="28"/>
  <c r="DZ38" i="28"/>
  <c r="EA38" i="28"/>
  <c r="EB38" i="28"/>
  <c r="EC38" i="28"/>
  <c r="DR39" i="28"/>
  <c r="DS39" i="28"/>
  <c r="DT39" i="28"/>
  <c r="DU39" i="28"/>
  <c r="DV39" i="28"/>
  <c r="DW39" i="28"/>
  <c r="DX39" i="28"/>
  <c r="DY39" i="28"/>
  <c r="DZ39" i="28"/>
  <c r="EA39" i="28"/>
  <c r="EB39" i="28"/>
  <c r="EC39" i="28"/>
  <c r="DR40" i="28"/>
  <c r="DS40" i="28"/>
  <c r="DT40" i="28"/>
  <c r="DU40" i="28"/>
  <c r="DV40" i="28"/>
  <c r="DW40" i="28"/>
  <c r="DX40" i="28"/>
  <c r="DY40" i="28"/>
  <c r="DZ40" i="28"/>
  <c r="EA40" i="28"/>
  <c r="EB40" i="28"/>
  <c r="EC40" i="28"/>
  <c r="DR41" i="28"/>
  <c r="DS41" i="28"/>
  <c r="DT41" i="28"/>
  <c r="DU41" i="28"/>
  <c r="DV41" i="28"/>
  <c r="DW41" i="28"/>
  <c r="DX41" i="28"/>
  <c r="DY41" i="28"/>
  <c r="DZ41" i="28"/>
  <c r="EA41" i="28"/>
  <c r="EB41" i="28"/>
  <c r="EC41" i="28"/>
  <c r="DR42" i="28"/>
  <c r="DS42" i="28"/>
  <c r="DT42" i="28"/>
  <c r="DU42" i="28"/>
  <c r="DV42" i="28"/>
  <c r="DW42" i="28"/>
  <c r="DX42" i="28"/>
  <c r="DY42" i="28"/>
  <c r="DZ42" i="28"/>
  <c r="EA42" i="28"/>
  <c r="EB42" i="28"/>
  <c r="EC42" i="28"/>
  <c r="DR43" i="28"/>
  <c r="DS43" i="28"/>
  <c r="DT43" i="28"/>
  <c r="DU43" i="28"/>
  <c r="DV43" i="28"/>
  <c r="DW43" i="28"/>
  <c r="DX43" i="28"/>
  <c r="DY43" i="28"/>
  <c r="DZ43" i="28"/>
  <c r="EA43" i="28"/>
  <c r="EB43" i="28"/>
  <c r="EC43" i="28"/>
  <c r="DR44" i="28"/>
  <c r="DS44" i="28"/>
  <c r="DT44" i="28"/>
  <c r="DU44" i="28"/>
  <c r="DV44" i="28"/>
  <c r="DW44" i="28"/>
  <c r="DX44" i="28"/>
  <c r="DY44" i="28"/>
  <c r="DZ44" i="28"/>
  <c r="EA44" i="28"/>
  <c r="EB44" i="28"/>
  <c r="EC44" i="28"/>
  <c r="DR45" i="28"/>
  <c r="DS45" i="28"/>
  <c r="DT45" i="28"/>
  <c r="DU45" i="28"/>
  <c r="DV45" i="28"/>
  <c r="DW45" i="28"/>
  <c r="DX45" i="28"/>
  <c r="DY45" i="28"/>
  <c r="DZ45" i="28"/>
  <c r="EA45" i="28"/>
  <c r="EB45" i="28"/>
  <c r="EC45" i="28"/>
  <c r="DR46" i="28"/>
  <c r="DS46" i="28"/>
  <c r="DT46" i="28"/>
  <c r="DU46" i="28"/>
  <c r="DV46" i="28"/>
  <c r="DW46" i="28"/>
  <c r="DX46" i="28"/>
  <c r="DY46" i="28"/>
  <c r="DZ46" i="28"/>
  <c r="EA46" i="28"/>
  <c r="EB46" i="28"/>
  <c r="EC46" i="28"/>
  <c r="DR47" i="28"/>
  <c r="DS47" i="28"/>
  <c r="DT47" i="28"/>
  <c r="DU47" i="28"/>
  <c r="DV47" i="28"/>
  <c r="DW47" i="28"/>
  <c r="DX47" i="28"/>
  <c r="DY47" i="28"/>
  <c r="DZ47" i="28"/>
  <c r="EA47" i="28"/>
  <c r="EB47" i="28"/>
  <c r="EC47" i="28"/>
  <c r="DR48" i="28"/>
  <c r="DS48" i="28"/>
  <c r="DT48" i="28"/>
  <c r="DU48" i="28"/>
  <c r="DV48" i="28"/>
  <c r="DW48" i="28"/>
  <c r="DX48" i="28"/>
  <c r="DY48" i="28"/>
  <c r="DZ48" i="28"/>
  <c r="EA48" i="28"/>
  <c r="EB48" i="28"/>
  <c r="EC48" i="28"/>
  <c r="DR49" i="28"/>
  <c r="DS49" i="28"/>
  <c r="DT49" i="28"/>
  <c r="DU49" i="28"/>
  <c r="DV49" i="28"/>
  <c r="DW49" i="28"/>
  <c r="DX49" i="28"/>
  <c r="DY49" i="28"/>
  <c r="DZ49" i="28"/>
  <c r="EA49" i="28"/>
  <c r="EB49" i="28"/>
  <c r="EC49" i="28"/>
  <c r="DR50" i="28"/>
  <c r="DS50" i="28"/>
  <c r="DT50" i="28"/>
  <c r="DU50" i="28"/>
  <c r="DV50" i="28"/>
  <c r="DW50" i="28"/>
  <c r="DX50" i="28"/>
  <c r="DY50" i="28"/>
  <c r="DZ50" i="28"/>
  <c r="EA50" i="28"/>
  <c r="EB50" i="28"/>
  <c r="EC50" i="28"/>
  <c r="DS4" i="28"/>
  <c r="DT4" i="28"/>
  <c r="DU4" i="28"/>
  <c r="DV4" i="28"/>
  <c r="DW4" i="28"/>
  <c r="DX4" i="28"/>
  <c r="DY4" i="28"/>
  <c r="DZ4" i="28"/>
  <c r="EA4" i="28"/>
  <c r="EB4" i="28"/>
  <c r="EC4" i="28"/>
  <c r="DP6" i="28"/>
  <c r="DP7" i="28"/>
  <c r="DP8" i="28"/>
  <c r="DP9" i="28"/>
  <c r="DP10" i="28"/>
  <c r="DP11" i="28"/>
  <c r="DP12" i="28"/>
  <c r="DP13" i="28"/>
  <c r="DP14" i="28"/>
  <c r="DP15" i="28"/>
  <c r="DP16" i="28"/>
  <c r="DP17" i="28"/>
  <c r="DP18" i="28"/>
  <c r="DP19" i="28"/>
  <c r="DP20" i="28"/>
  <c r="DP21" i="28"/>
  <c r="DP22" i="28"/>
  <c r="DP23" i="28"/>
  <c r="DP24" i="28"/>
  <c r="DP25" i="28"/>
  <c r="DP26" i="28"/>
  <c r="DP27" i="28"/>
  <c r="DP28" i="28"/>
  <c r="DP29" i="28"/>
  <c r="DP30" i="28"/>
  <c r="DP31" i="28"/>
  <c r="DP32" i="28"/>
  <c r="DP33" i="28"/>
  <c r="DP34" i="28"/>
  <c r="DP35" i="28"/>
  <c r="DP36" i="28"/>
  <c r="DP37" i="28"/>
  <c r="DP38" i="28"/>
  <c r="DP39" i="28"/>
  <c r="DP40" i="28"/>
  <c r="DP41" i="28"/>
  <c r="DP42" i="28"/>
  <c r="DP43" i="28"/>
  <c r="DP44" i="28"/>
  <c r="DP45" i="28"/>
  <c r="DP46" i="28"/>
  <c r="DP47" i="28"/>
  <c r="DP48" i="28"/>
  <c r="DP49" i="28"/>
  <c r="DP50" i="28"/>
  <c r="DP5" i="28"/>
  <c r="DP4" i="28"/>
  <c r="CZ6" i="28"/>
  <c r="CZ7" i="28"/>
  <c r="CZ8" i="28"/>
  <c r="CZ9" i="28"/>
  <c r="CZ10" i="28"/>
  <c r="CZ11" i="28"/>
  <c r="CZ12" i="28"/>
  <c r="CZ13" i="28"/>
  <c r="CZ14" i="28"/>
  <c r="CZ15" i="28"/>
  <c r="CZ16" i="28"/>
  <c r="CZ17" i="28"/>
  <c r="CZ18" i="28"/>
  <c r="CZ19" i="28"/>
  <c r="CZ20" i="28"/>
  <c r="CZ21" i="28"/>
  <c r="CZ22" i="28"/>
  <c r="CZ23" i="28"/>
  <c r="CZ24" i="28"/>
  <c r="CZ25" i="28"/>
  <c r="CZ26" i="28"/>
  <c r="CZ27" i="28"/>
  <c r="CZ28" i="28"/>
  <c r="CZ29" i="28"/>
  <c r="CZ30" i="28"/>
  <c r="CZ31" i="28"/>
  <c r="CZ32" i="28"/>
  <c r="CZ33" i="28"/>
  <c r="CZ34" i="28"/>
  <c r="CZ35" i="28"/>
  <c r="CZ36" i="28"/>
  <c r="CZ37" i="28"/>
  <c r="CZ38" i="28"/>
  <c r="CZ39" i="28"/>
  <c r="CZ40" i="28"/>
  <c r="CZ41" i="28"/>
  <c r="CZ42" i="28"/>
  <c r="CZ43" i="28"/>
  <c r="CZ44" i="28"/>
  <c r="CZ45" i="28"/>
  <c r="CZ46" i="28"/>
  <c r="CZ47" i="28"/>
  <c r="CZ48" i="28"/>
  <c r="CZ49" i="28"/>
  <c r="CZ50" i="28"/>
  <c r="CZ5" i="28"/>
  <c r="DC7" i="28"/>
  <c r="DC8" i="28"/>
  <c r="DC9" i="28"/>
  <c r="DC10" i="28"/>
  <c r="DC11" i="28"/>
  <c r="DC12" i="28"/>
  <c r="DC13" i="28"/>
  <c r="DC14" i="28"/>
  <c r="DC15" i="28"/>
  <c r="DC16" i="28"/>
  <c r="DC17" i="28"/>
  <c r="DC18" i="28"/>
  <c r="DC19" i="28"/>
  <c r="DC20" i="28"/>
  <c r="DC21" i="28"/>
  <c r="DC22" i="28"/>
  <c r="DC23" i="28"/>
  <c r="DC24" i="28"/>
  <c r="DC25" i="28"/>
  <c r="DC26" i="28"/>
  <c r="DC27" i="28"/>
  <c r="DC28" i="28"/>
  <c r="DC29" i="28"/>
  <c r="DC30" i="28"/>
  <c r="DC31" i="28"/>
  <c r="DC32" i="28"/>
  <c r="DC33" i="28"/>
  <c r="DC34" i="28"/>
  <c r="DC35" i="28"/>
  <c r="DC36" i="28"/>
  <c r="DC37" i="28"/>
  <c r="DC38" i="28"/>
  <c r="DC39" i="28"/>
  <c r="DC40" i="28"/>
  <c r="DC41" i="28"/>
  <c r="DC42" i="28"/>
  <c r="DC43" i="28"/>
  <c r="DC44" i="28"/>
  <c r="DC45" i="28"/>
  <c r="DC46" i="28"/>
  <c r="DC47" i="28"/>
  <c r="DC48" i="28"/>
  <c r="DC49" i="28"/>
  <c r="DC50" i="28"/>
  <c r="DC6" i="28"/>
  <c r="CX61" i="25"/>
  <c r="CY61" i="25"/>
  <c r="CZ61" i="25"/>
  <c r="DA61" i="25"/>
  <c r="DB61" i="25"/>
  <c r="DC61" i="25"/>
  <c r="DD61" i="25"/>
  <c r="DE61" i="25"/>
  <c r="DF61" i="25"/>
  <c r="DG61" i="25"/>
  <c r="DH61" i="25"/>
  <c r="EH5" i="26"/>
  <c r="EI5" i="26"/>
  <c r="EJ5" i="26"/>
  <c r="EK5" i="26"/>
  <c r="EL5" i="26"/>
  <c r="EM5" i="26"/>
  <c r="EN5" i="26"/>
  <c r="EO5" i="26"/>
  <c r="EP5" i="26"/>
  <c r="EQ5" i="26"/>
  <c r="ER5" i="26"/>
  <c r="EH6" i="26"/>
  <c r="EI6" i="26"/>
  <c r="EJ6" i="26"/>
  <c r="EK6" i="26"/>
  <c r="EL6" i="26"/>
  <c r="EM6" i="26"/>
  <c r="EN6" i="26"/>
  <c r="EO6" i="26"/>
  <c r="EP6" i="26"/>
  <c r="EQ6" i="26"/>
  <c r="ER6" i="26"/>
  <c r="EH7" i="26"/>
  <c r="EI7" i="26"/>
  <c r="EJ7" i="26"/>
  <c r="EK7" i="26"/>
  <c r="EL7" i="26"/>
  <c r="EM7" i="26"/>
  <c r="EN7" i="26"/>
  <c r="EO7" i="26"/>
  <c r="EP7" i="26"/>
  <c r="EQ7" i="26"/>
  <c r="ER7" i="26"/>
  <c r="EH8" i="26"/>
  <c r="EI8" i="26"/>
  <c r="EJ8" i="26"/>
  <c r="EK8" i="26"/>
  <c r="EL8" i="26"/>
  <c r="EM8" i="26"/>
  <c r="EN8" i="26"/>
  <c r="EO8" i="26"/>
  <c r="EP8" i="26"/>
  <c r="EQ8" i="26"/>
  <c r="ER8" i="26"/>
  <c r="EH9" i="26"/>
  <c r="EI9" i="26"/>
  <c r="EJ9" i="26"/>
  <c r="EK9" i="26"/>
  <c r="EL9" i="26"/>
  <c r="EM9" i="26"/>
  <c r="EN9" i="26"/>
  <c r="EO9" i="26"/>
  <c r="EP9" i="26"/>
  <c r="EQ9" i="26"/>
  <c r="ER9" i="26"/>
  <c r="EH10" i="26"/>
  <c r="EI10" i="26"/>
  <c r="EJ10" i="26"/>
  <c r="EK10" i="26"/>
  <c r="EL10" i="26"/>
  <c r="EM10" i="26"/>
  <c r="EN10" i="26"/>
  <c r="EO10" i="26"/>
  <c r="EP10" i="26"/>
  <c r="EQ10" i="26"/>
  <c r="ER10" i="26"/>
  <c r="EH11" i="26"/>
  <c r="EI11" i="26"/>
  <c r="EJ11" i="26"/>
  <c r="EK11" i="26"/>
  <c r="EL11" i="26"/>
  <c r="EM11" i="26"/>
  <c r="EN11" i="26"/>
  <c r="EO11" i="26"/>
  <c r="EP11" i="26"/>
  <c r="EQ11" i="26"/>
  <c r="ER11" i="26"/>
  <c r="EH12" i="26"/>
  <c r="EI12" i="26"/>
  <c r="EM12" i="26"/>
  <c r="EN12" i="26"/>
  <c r="EO12" i="26"/>
  <c r="EP12" i="26"/>
  <c r="EQ12" i="26"/>
  <c r="ER12" i="26"/>
  <c r="EH14" i="26"/>
  <c r="EI14" i="26"/>
  <c r="EJ14" i="26"/>
  <c r="EK14" i="26"/>
  <c r="EL14" i="26"/>
  <c r="EM14" i="26"/>
  <c r="EN14" i="26"/>
  <c r="EO14" i="26"/>
  <c r="EP14" i="26"/>
  <c r="EQ14" i="26"/>
  <c r="ER14" i="26"/>
  <c r="EH15" i="26"/>
  <c r="EI15" i="26"/>
  <c r="EJ15" i="26"/>
  <c r="EK15" i="26"/>
  <c r="EL15" i="26"/>
  <c r="EM15" i="26"/>
  <c r="EN15" i="26"/>
  <c r="EO15" i="26"/>
  <c r="EP15" i="26"/>
  <c r="EQ15" i="26"/>
  <c r="ER15" i="26"/>
  <c r="EH16" i="26"/>
  <c r="EI16" i="26"/>
  <c r="EJ16" i="26"/>
  <c r="EK16" i="26"/>
  <c r="EL16" i="26"/>
  <c r="EM16" i="26"/>
  <c r="EN16" i="26"/>
  <c r="EO16" i="26"/>
  <c r="EP16" i="26"/>
  <c r="EQ16" i="26"/>
  <c r="ER16" i="26"/>
  <c r="EH17" i="26"/>
  <c r="EI17" i="26"/>
  <c r="EJ17" i="26"/>
  <c r="EK17" i="26"/>
  <c r="EL17" i="26"/>
  <c r="EM17" i="26"/>
  <c r="EN17" i="26"/>
  <c r="EO17" i="26"/>
  <c r="EP17" i="26"/>
  <c r="EQ17" i="26"/>
  <c r="ER17" i="26"/>
  <c r="EH18" i="26"/>
  <c r="EI18" i="26"/>
  <c r="EJ18" i="26"/>
  <c r="EK18" i="26"/>
  <c r="EL18" i="26"/>
  <c r="EM18" i="26"/>
  <c r="EN18" i="26"/>
  <c r="EO18" i="26"/>
  <c r="EP18" i="26"/>
  <c r="EQ18" i="26"/>
  <c r="ER18" i="26"/>
  <c r="EH19" i="26"/>
  <c r="EI19" i="26"/>
  <c r="EJ19" i="26"/>
  <c r="EK19" i="26"/>
  <c r="EL19" i="26"/>
  <c r="EM19" i="26"/>
  <c r="EN19" i="26"/>
  <c r="EO19" i="26"/>
  <c r="EP19" i="26"/>
  <c r="EQ19" i="26"/>
  <c r="ER19" i="26"/>
  <c r="EH20" i="26"/>
  <c r="EI20" i="26"/>
  <c r="EJ20" i="26"/>
  <c r="EK20" i="26"/>
  <c r="EL20" i="26"/>
  <c r="EM20" i="26"/>
  <c r="EN20" i="26"/>
  <c r="EO20" i="26"/>
  <c r="EP20" i="26"/>
  <c r="EQ20" i="26"/>
  <c r="ER20" i="26"/>
  <c r="EH21" i="26"/>
  <c r="EI21" i="26"/>
  <c r="EJ21" i="26"/>
  <c r="EK21" i="26"/>
  <c r="EL21" i="26"/>
  <c r="EM21" i="26"/>
  <c r="EN21" i="26"/>
  <c r="EO21" i="26"/>
  <c r="EP21" i="26"/>
  <c r="EQ21" i="26"/>
  <c r="ER21" i="26"/>
  <c r="EH22" i="26"/>
  <c r="EI22" i="26"/>
  <c r="EJ22" i="26"/>
  <c r="EK22" i="26"/>
  <c r="EL22" i="26"/>
  <c r="EM22" i="26"/>
  <c r="EN22" i="26"/>
  <c r="EO22" i="26"/>
  <c r="EP22" i="26"/>
  <c r="EQ22" i="26"/>
  <c r="ER22" i="26"/>
  <c r="EH23" i="26"/>
  <c r="EI23" i="26"/>
  <c r="EJ23" i="26"/>
  <c r="EK23" i="26"/>
  <c r="EL23" i="26"/>
  <c r="EM23" i="26"/>
  <c r="EN23" i="26"/>
  <c r="EO23" i="26"/>
  <c r="EP23" i="26"/>
  <c r="EQ23" i="26"/>
  <c r="ER23" i="26"/>
  <c r="EH24" i="26"/>
  <c r="EI24" i="26"/>
  <c r="EJ24" i="26"/>
  <c r="EK24" i="26"/>
  <c r="EL24" i="26"/>
  <c r="EM24" i="26"/>
  <c r="EN24" i="26"/>
  <c r="EO24" i="26"/>
  <c r="EP24" i="26"/>
  <c r="EQ24" i="26"/>
  <c r="ER24" i="26"/>
  <c r="EH25" i="26"/>
  <c r="EI25" i="26"/>
  <c r="EJ25" i="26"/>
  <c r="EK25" i="26"/>
  <c r="EL25" i="26"/>
  <c r="EM25" i="26"/>
  <c r="EN25" i="26"/>
  <c r="EO25" i="26"/>
  <c r="EP25" i="26"/>
  <c r="EQ25" i="26"/>
  <c r="ER25" i="26"/>
  <c r="EH26" i="26"/>
  <c r="EI26" i="26"/>
  <c r="EJ26" i="26"/>
  <c r="EK26" i="26"/>
  <c r="EL26" i="26"/>
  <c r="EM26" i="26"/>
  <c r="EN26" i="26"/>
  <c r="EO26" i="26"/>
  <c r="EP26" i="26"/>
  <c r="EQ26" i="26"/>
  <c r="ER26" i="26"/>
  <c r="EH27" i="26"/>
  <c r="EI27" i="26"/>
  <c r="EJ27" i="26"/>
  <c r="EK27" i="26"/>
  <c r="EL27" i="26"/>
  <c r="EM27" i="26"/>
  <c r="EN27" i="26"/>
  <c r="EO27" i="26"/>
  <c r="EP27" i="26"/>
  <c r="EQ27" i="26"/>
  <c r="ER27" i="26"/>
  <c r="EH28" i="26"/>
  <c r="EI28" i="26"/>
  <c r="EJ28" i="26"/>
  <c r="EK28" i="26"/>
  <c r="EL28" i="26"/>
  <c r="EM28" i="26"/>
  <c r="EN28" i="26"/>
  <c r="EO28" i="26"/>
  <c r="EP28" i="26"/>
  <c r="EQ28" i="26"/>
  <c r="ER28" i="26"/>
  <c r="EH29" i="26"/>
  <c r="EI29" i="26"/>
  <c r="EJ29" i="26"/>
  <c r="EK29" i="26"/>
  <c r="EL29" i="26"/>
  <c r="EM29" i="26"/>
  <c r="EN29" i="26"/>
  <c r="EO29" i="26"/>
  <c r="EP29" i="26"/>
  <c r="EQ29" i="26"/>
  <c r="ER29" i="26"/>
  <c r="EH30" i="26"/>
  <c r="EI30" i="26"/>
  <c r="EJ30" i="26"/>
  <c r="EK30" i="26"/>
  <c r="EL30" i="26"/>
  <c r="EM30" i="26"/>
  <c r="EN30" i="26"/>
  <c r="EO30" i="26"/>
  <c r="EP30" i="26"/>
  <c r="EQ30" i="26"/>
  <c r="ER30" i="26"/>
  <c r="EH31" i="26"/>
  <c r="EI31" i="26"/>
  <c r="EJ31" i="26"/>
  <c r="EK31" i="26"/>
  <c r="EL31" i="26"/>
  <c r="EM31" i="26"/>
  <c r="EN31" i="26"/>
  <c r="EO31" i="26"/>
  <c r="EP31" i="26"/>
  <c r="EQ31" i="26"/>
  <c r="ER31" i="26"/>
  <c r="EH32" i="26"/>
  <c r="EI32" i="26"/>
  <c r="EJ32" i="26"/>
  <c r="EK32" i="26"/>
  <c r="EL32" i="26"/>
  <c r="EM32" i="26"/>
  <c r="EN32" i="26"/>
  <c r="EO32" i="26"/>
  <c r="EP32" i="26"/>
  <c r="EQ32" i="26"/>
  <c r="ER32" i="26"/>
  <c r="EH33" i="26"/>
  <c r="EI33" i="26"/>
  <c r="EJ33" i="26"/>
  <c r="EK33" i="26"/>
  <c r="EL33" i="26"/>
  <c r="EM33" i="26"/>
  <c r="EN33" i="26"/>
  <c r="EO33" i="26"/>
  <c r="EP33" i="26"/>
  <c r="EQ33" i="26"/>
  <c r="ER33" i="26"/>
  <c r="EH34" i="26"/>
  <c r="EI34" i="26"/>
  <c r="EJ34" i="26"/>
  <c r="EK34" i="26"/>
  <c r="EL34" i="26"/>
  <c r="EM34" i="26"/>
  <c r="EN34" i="26"/>
  <c r="EO34" i="26"/>
  <c r="EP34" i="26"/>
  <c r="EQ34" i="26"/>
  <c r="ER34" i="26"/>
  <c r="EH35" i="26"/>
  <c r="EI35" i="26"/>
  <c r="EJ35" i="26"/>
  <c r="EK35" i="26"/>
  <c r="EL35" i="26"/>
  <c r="EM35" i="26"/>
  <c r="EN35" i="26"/>
  <c r="EO35" i="26"/>
  <c r="EP35" i="26"/>
  <c r="EQ35" i="26"/>
  <c r="ER35" i="26"/>
  <c r="EH36" i="26"/>
  <c r="EI36" i="26"/>
  <c r="EJ36" i="26"/>
  <c r="EK36" i="26"/>
  <c r="EL36" i="26"/>
  <c r="EM36" i="26"/>
  <c r="EN36" i="26"/>
  <c r="EO36" i="26"/>
  <c r="EP36" i="26"/>
  <c r="EQ36" i="26"/>
  <c r="ER36" i="26"/>
  <c r="EH37" i="26"/>
  <c r="EI37" i="26"/>
  <c r="EJ37" i="26"/>
  <c r="EK37" i="26"/>
  <c r="EL37" i="26"/>
  <c r="EM37" i="26"/>
  <c r="EN37" i="26"/>
  <c r="EO37" i="26"/>
  <c r="EP37" i="26"/>
  <c r="EQ37" i="26"/>
  <c r="ER37" i="26"/>
  <c r="EH38" i="26"/>
  <c r="EI38" i="26"/>
  <c r="EJ38" i="26"/>
  <c r="EK38" i="26"/>
  <c r="EL38" i="26"/>
  <c r="EM38" i="26"/>
  <c r="EN38" i="26"/>
  <c r="EO38" i="26"/>
  <c r="EP38" i="26"/>
  <c r="EQ38" i="26"/>
  <c r="ER38" i="26"/>
  <c r="EH39" i="26"/>
  <c r="EI39" i="26"/>
  <c r="EJ39" i="26"/>
  <c r="EK39" i="26"/>
  <c r="EL39" i="26"/>
  <c r="EM39" i="26"/>
  <c r="EN39" i="26"/>
  <c r="EO39" i="26"/>
  <c r="EP39" i="26"/>
  <c r="EQ39" i="26"/>
  <c r="ER39" i="26"/>
  <c r="EH40" i="26"/>
  <c r="EI40" i="26"/>
  <c r="EJ40" i="26"/>
  <c r="EK40" i="26"/>
  <c r="EL40" i="26"/>
  <c r="EM40" i="26"/>
  <c r="EN40" i="26"/>
  <c r="EO40" i="26"/>
  <c r="EP40" i="26"/>
  <c r="EQ40" i="26"/>
  <c r="ER40" i="26"/>
  <c r="EH41" i="26"/>
  <c r="EI41" i="26"/>
  <c r="EJ41" i="26"/>
  <c r="EK41" i="26"/>
  <c r="EL41" i="26"/>
  <c r="EM41" i="26"/>
  <c r="EN41" i="26"/>
  <c r="EO41" i="26"/>
  <c r="EP41" i="26"/>
  <c r="EQ41" i="26"/>
  <c r="ER41" i="26"/>
  <c r="EH42" i="26"/>
  <c r="EI42" i="26"/>
  <c r="EJ42" i="26"/>
  <c r="EK42" i="26"/>
  <c r="EL42" i="26"/>
  <c r="EM42" i="26"/>
  <c r="EN42" i="26"/>
  <c r="EO42" i="26"/>
  <c r="EP42" i="26"/>
  <c r="EQ42" i="26"/>
  <c r="ER42" i="26"/>
  <c r="EH43" i="26"/>
  <c r="EI43" i="26"/>
  <c r="EJ43" i="26"/>
  <c r="EK43" i="26"/>
  <c r="EL43" i="26"/>
  <c r="EM43" i="26"/>
  <c r="EN43" i="26"/>
  <c r="EO43" i="26"/>
  <c r="EP43" i="26"/>
  <c r="EQ43" i="26"/>
  <c r="ER43" i="26"/>
  <c r="EH44" i="26"/>
  <c r="EI44" i="26"/>
  <c r="EJ44" i="26"/>
  <c r="EK44" i="26"/>
  <c r="EL44" i="26"/>
  <c r="EM44" i="26"/>
  <c r="EN44" i="26"/>
  <c r="EO44" i="26"/>
  <c r="EP44" i="26"/>
  <c r="EQ44" i="26"/>
  <c r="ER44" i="26"/>
  <c r="EH45" i="26"/>
  <c r="EI45" i="26"/>
  <c r="EJ45" i="26"/>
  <c r="EK45" i="26"/>
  <c r="EL45" i="26"/>
  <c r="EM45" i="26"/>
  <c r="EN45" i="26"/>
  <c r="EO45" i="26"/>
  <c r="EP45" i="26"/>
  <c r="EQ45" i="26"/>
  <c r="ER45" i="26"/>
  <c r="EH46" i="26"/>
  <c r="EI46" i="26"/>
  <c r="EJ46" i="26"/>
  <c r="EK46" i="26"/>
  <c r="EL46" i="26"/>
  <c r="EM46" i="26"/>
  <c r="EN46" i="26"/>
  <c r="EO46" i="26"/>
  <c r="EP46" i="26"/>
  <c r="EQ46" i="26"/>
  <c r="ER46" i="26"/>
  <c r="EH47" i="26"/>
  <c r="EI47" i="26"/>
  <c r="EJ47" i="26"/>
  <c r="EK47" i="26"/>
  <c r="EL47" i="26"/>
  <c r="EM47" i="26"/>
  <c r="EN47" i="26"/>
  <c r="EO47" i="26"/>
  <c r="EP47" i="26"/>
  <c r="EQ47" i="26"/>
  <c r="ER47" i="26"/>
  <c r="EH48" i="26"/>
  <c r="EI48" i="26"/>
  <c r="EJ48" i="26"/>
  <c r="EK48" i="26"/>
  <c r="EL48" i="26"/>
  <c r="EM48" i="26"/>
  <c r="EN48" i="26"/>
  <c r="EO48" i="26"/>
  <c r="EP48" i="26"/>
  <c r="EQ48" i="26"/>
  <c r="ER48" i="26"/>
  <c r="EH49" i="26"/>
  <c r="EI49" i="26"/>
  <c r="EJ49" i="26"/>
  <c r="EK49" i="26"/>
  <c r="EL49" i="26"/>
  <c r="EM49" i="26"/>
  <c r="EN49" i="26"/>
  <c r="EO49" i="26"/>
  <c r="EP49" i="26"/>
  <c r="EQ49" i="26"/>
  <c r="ER49" i="26"/>
  <c r="EH50" i="26"/>
  <c r="EI50" i="26"/>
  <c r="EJ50" i="26"/>
  <c r="EK50" i="26"/>
  <c r="EL50" i="26"/>
  <c r="EM50" i="26"/>
  <c r="EN50" i="26"/>
  <c r="EO50" i="26"/>
  <c r="EP50" i="26"/>
  <c r="EQ50" i="26"/>
  <c r="ER50" i="26"/>
  <c r="EH51" i="26"/>
  <c r="EI51" i="26"/>
  <c r="EJ51" i="26"/>
  <c r="EK51" i="26"/>
  <c r="EL51" i="26"/>
  <c r="EM51" i="26"/>
  <c r="EN51" i="26"/>
  <c r="EO51" i="26"/>
  <c r="EP51" i="26"/>
  <c r="EQ51" i="26"/>
  <c r="ER51" i="26"/>
  <c r="EH52" i="26"/>
  <c r="EI52" i="26"/>
  <c r="EJ52" i="26"/>
  <c r="EK52" i="26"/>
  <c r="EL52" i="26"/>
  <c r="EM52" i="26"/>
  <c r="EN52" i="26"/>
  <c r="EO52" i="26"/>
  <c r="EP52" i="26"/>
  <c r="EQ52" i="26"/>
  <c r="ER52" i="26"/>
  <c r="EH53" i="26"/>
  <c r="EI53" i="26"/>
  <c r="EJ53" i="26"/>
  <c r="EK53" i="26"/>
  <c r="EL53" i="26"/>
  <c r="EM53" i="26"/>
  <c r="EN53" i="26"/>
  <c r="EO53" i="26"/>
  <c r="EP53" i="26"/>
  <c r="EQ53" i="26"/>
  <c r="ER53" i="26"/>
  <c r="EH54" i="26"/>
  <c r="EI54" i="26"/>
  <c r="EJ54" i="26"/>
  <c r="EK54" i="26"/>
  <c r="EL54" i="26"/>
  <c r="EM54" i="26"/>
  <c r="EN54" i="26"/>
  <c r="EO54" i="26"/>
  <c r="EP54" i="26"/>
  <c r="EQ54" i="26"/>
  <c r="ER54" i="26"/>
  <c r="EH55" i="26"/>
  <c r="EI55" i="26"/>
  <c r="EJ55" i="26"/>
  <c r="EK55" i="26"/>
  <c r="EL55" i="26"/>
  <c r="EM55" i="26"/>
  <c r="EN55" i="26"/>
  <c r="EO55" i="26"/>
  <c r="EP55" i="26"/>
  <c r="EQ55" i="26"/>
  <c r="ER55" i="26"/>
  <c r="EH56" i="26"/>
  <c r="EI56" i="26"/>
  <c r="EJ56" i="26"/>
  <c r="EK56" i="26"/>
  <c r="EL56" i="26"/>
  <c r="EM56" i="26"/>
  <c r="EN56" i="26"/>
  <c r="EO56" i="26"/>
  <c r="EP56" i="26"/>
  <c r="EQ56" i="26"/>
  <c r="ER56" i="26"/>
  <c r="EH57" i="26"/>
  <c r="EI57" i="26"/>
  <c r="EJ57" i="26"/>
  <c r="EK57" i="26"/>
  <c r="EL57" i="26"/>
  <c r="EM57" i="26"/>
  <c r="EN57" i="26"/>
  <c r="EO57" i="26"/>
  <c r="EP57" i="26"/>
  <c r="EQ57" i="26"/>
  <c r="ER57" i="26"/>
  <c r="EH58" i="26"/>
  <c r="EI58" i="26"/>
  <c r="EJ58" i="26"/>
  <c r="EK58" i="26"/>
  <c r="EL58" i="26"/>
  <c r="EM58" i="26"/>
  <c r="EN58" i="26"/>
  <c r="EO58" i="26"/>
  <c r="EP58" i="26"/>
  <c r="EQ58" i="26"/>
  <c r="ER58" i="26"/>
  <c r="EH59" i="26"/>
  <c r="EI59" i="26"/>
  <c r="EJ59" i="26"/>
  <c r="EK59" i="26"/>
  <c r="EL59" i="26"/>
  <c r="EM59" i="26"/>
  <c r="EN59" i="26"/>
  <c r="EO59" i="26"/>
  <c r="EP59" i="26"/>
  <c r="EQ59" i="26"/>
  <c r="ER59" i="26"/>
  <c r="EH60" i="26"/>
  <c r="EI60" i="26"/>
  <c r="EJ60" i="26"/>
  <c r="EK60" i="26"/>
  <c r="EL60" i="26"/>
  <c r="EM60" i="26"/>
  <c r="EN60" i="26"/>
  <c r="EO60" i="26"/>
  <c r="EP60" i="26"/>
  <c r="EQ60" i="26"/>
  <c r="ER60" i="26"/>
  <c r="EH61" i="26"/>
  <c r="EI61" i="26"/>
  <c r="EJ61" i="26"/>
  <c r="EK61" i="26"/>
  <c r="EL61" i="26"/>
  <c r="EM61" i="26"/>
  <c r="EN61" i="26"/>
  <c r="EO61" i="26"/>
  <c r="EP61" i="26"/>
  <c r="EQ61" i="26"/>
  <c r="ER61" i="26"/>
  <c r="EH62" i="26"/>
  <c r="EI62" i="26"/>
  <c r="EJ62" i="26"/>
  <c r="EK62" i="26"/>
  <c r="EL62" i="26"/>
  <c r="EM62" i="26"/>
  <c r="EN62" i="26"/>
  <c r="EO62" i="26"/>
  <c r="EP62" i="26"/>
  <c r="EQ62" i="26"/>
  <c r="ER62" i="26"/>
  <c r="EH63" i="26"/>
  <c r="EI63" i="26"/>
  <c r="EJ63" i="26"/>
  <c r="EK63" i="26"/>
  <c r="EL63" i="26"/>
  <c r="EM63" i="26"/>
  <c r="EN63" i="26"/>
  <c r="EO63" i="26"/>
  <c r="EP63" i="26"/>
  <c r="EQ63" i="26"/>
  <c r="ER63" i="26"/>
  <c r="EH64" i="26"/>
  <c r="EI64" i="26"/>
  <c r="EJ64" i="26"/>
  <c r="EK64" i="26"/>
  <c r="EL64" i="26"/>
  <c r="EM64" i="26"/>
  <c r="EN64" i="26"/>
  <c r="EO64" i="26"/>
  <c r="EP64" i="26"/>
  <c r="EQ64" i="26"/>
  <c r="ER64" i="26"/>
  <c r="EH65" i="26"/>
  <c r="EI65" i="26"/>
  <c r="EJ65" i="26"/>
  <c r="EK65" i="26"/>
  <c r="EL65" i="26"/>
  <c r="EM65" i="26"/>
  <c r="EN65" i="26"/>
  <c r="EO65" i="26"/>
  <c r="EP65" i="26"/>
  <c r="EQ65" i="26"/>
  <c r="ER65" i="26"/>
  <c r="EH66" i="26"/>
  <c r="EI66" i="26"/>
  <c r="EJ66" i="26"/>
  <c r="EK66" i="26"/>
  <c r="EL66" i="26"/>
  <c r="EM66" i="26"/>
  <c r="EN66" i="26"/>
  <c r="EO66" i="26"/>
  <c r="EP66" i="26"/>
  <c r="EQ66" i="26"/>
  <c r="ER66" i="26"/>
  <c r="EG27" i="26"/>
  <c r="EG28" i="26"/>
  <c r="EG29" i="26"/>
  <c r="EG30" i="26"/>
  <c r="EG31" i="26"/>
  <c r="EG32" i="26"/>
  <c r="EG33" i="26"/>
  <c r="EG34" i="26"/>
  <c r="EG35" i="26"/>
  <c r="EG36" i="26"/>
  <c r="EG37" i="26"/>
  <c r="EG38" i="26"/>
  <c r="EG39" i="26"/>
  <c r="EG40" i="26"/>
  <c r="EG41" i="26"/>
  <c r="EG42" i="26"/>
  <c r="EG43" i="26"/>
  <c r="EG44" i="26"/>
  <c r="EG45" i="26"/>
  <c r="EG46" i="26"/>
  <c r="EG47" i="26"/>
  <c r="EG48" i="26"/>
  <c r="EG49" i="26"/>
  <c r="EG50" i="26"/>
  <c r="EG51" i="26"/>
  <c r="EG52" i="26"/>
  <c r="EG53" i="26"/>
  <c r="EG54" i="26"/>
  <c r="EG55" i="26"/>
  <c r="EG56" i="26"/>
  <c r="EG57" i="26"/>
  <c r="EG58" i="26"/>
  <c r="EG59" i="26"/>
  <c r="EG60" i="26"/>
  <c r="EG61" i="26"/>
  <c r="EG62" i="26"/>
  <c r="EG63" i="26"/>
  <c r="EG64" i="26"/>
  <c r="EG65" i="26"/>
  <c r="EG66" i="26"/>
  <c r="EG6" i="26"/>
  <c r="EG7" i="26"/>
  <c r="EG9" i="26"/>
  <c r="EG11" i="26"/>
  <c r="EG12" i="26"/>
  <c r="EG14" i="26"/>
  <c r="EG19" i="26"/>
  <c r="EG24" i="26"/>
  <c r="EG25" i="26"/>
  <c r="EG26" i="26"/>
  <c r="EG5" i="26"/>
  <c r="EE4" i="26"/>
  <c r="DR20" i="26"/>
  <c r="EE20" i="26" s="1"/>
  <c r="EE11" i="26"/>
  <c r="EE7" i="26"/>
  <c r="EE58" i="26"/>
  <c r="EE59" i="26"/>
  <c r="EE60" i="26"/>
  <c r="EE61" i="26"/>
  <c r="EE62" i="26"/>
  <c r="EE63" i="26"/>
  <c r="EE64" i="26"/>
  <c r="EE65" i="26"/>
  <c r="EE66" i="26"/>
  <c r="EE6" i="26"/>
  <c r="EE8" i="26"/>
  <c r="EE9" i="26"/>
  <c r="EE14" i="26"/>
  <c r="EE16" i="26"/>
  <c r="EE17" i="26"/>
  <c r="EE18" i="26"/>
  <c r="EE19" i="26"/>
  <c r="EE24" i="26"/>
  <c r="EE25" i="26"/>
  <c r="EE26" i="26"/>
  <c r="EE27" i="26"/>
  <c r="EE28" i="26"/>
  <c r="EE29" i="26"/>
  <c r="EE30" i="26"/>
  <c r="EE31" i="26"/>
  <c r="EE32" i="26"/>
  <c r="EE33" i="26"/>
  <c r="EE34" i="26"/>
  <c r="EE35" i="26"/>
  <c r="EE36" i="26"/>
  <c r="EE37" i="26"/>
  <c r="EE38" i="26"/>
  <c r="EE39" i="26"/>
  <c r="EE40" i="26"/>
  <c r="EE41" i="26"/>
  <c r="EE42" i="26"/>
  <c r="EE43" i="26"/>
  <c r="EE44" i="26"/>
  <c r="EE45" i="26"/>
  <c r="EE46" i="26"/>
  <c r="EE47" i="26"/>
  <c r="EE48" i="26"/>
  <c r="EE49" i="26"/>
  <c r="EE50" i="26"/>
  <c r="EE51" i="26"/>
  <c r="EE52" i="26"/>
  <c r="EE53" i="26"/>
  <c r="EE54" i="26"/>
  <c r="EE55" i="26"/>
  <c r="EE56" i="26"/>
  <c r="EE57" i="26"/>
  <c r="EE5" i="26"/>
  <c r="DR23" i="26"/>
  <c r="DR22" i="26"/>
  <c r="DR21" i="26"/>
  <c r="DR15" i="26"/>
  <c r="DS13" i="26"/>
  <c r="DS67" i="26" s="1"/>
  <c r="DT13" i="26"/>
  <c r="EI13" i="26" s="1"/>
  <c r="DU13" i="26"/>
  <c r="EJ13" i="26" s="1"/>
  <c r="DV13" i="26"/>
  <c r="EK13" i="26" s="1"/>
  <c r="DW13" i="26"/>
  <c r="EL13" i="26" s="1"/>
  <c r="DX13" i="26"/>
  <c r="EM13" i="26" s="1"/>
  <c r="DY13" i="26"/>
  <c r="EN13" i="26" s="1"/>
  <c r="DZ13" i="26"/>
  <c r="EO13" i="26" s="1"/>
  <c r="EA13" i="26"/>
  <c r="EP13" i="26" s="1"/>
  <c r="EB13" i="26"/>
  <c r="EQ13" i="26" s="1"/>
  <c r="EC13" i="26"/>
  <c r="ER13" i="26" s="1"/>
  <c r="DR13" i="26"/>
  <c r="DV12" i="26"/>
  <c r="EK12" i="26" s="1"/>
  <c r="DW12" i="26"/>
  <c r="EL12" i="26" s="1"/>
  <c r="DU12" i="26"/>
  <c r="DR10" i="26"/>
  <c r="EE10" i="26" s="1"/>
  <c r="CX77" i="25"/>
  <c r="DK5" i="25"/>
  <c r="DL5" i="25"/>
  <c r="DM5" i="25"/>
  <c r="DN5" i="25"/>
  <c r="DO5" i="25"/>
  <c r="DP5" i="25"/>
  <c r="DQ5" i="25"/>
  <c r="DR5" i="25"/>
  <c r="DS5" i="25"/>
  <c r="DT5" i="25"/>
  <c r="DU5" i="25"/>
  <c r="DV5" i="25"/>
  <c r="DL6" i="25"/>
  <c r="DM6" i="25"/>
  <c r="DN6" i="25"/>
  <c r="DO6" i="25"/>
  <c r="DP6" i="25"/>
  <c r="DQ6" i="25"/>
  <c r="DR6" i="25"/>
  <c r="DS6" i="25"/>
  <c r="DT6" i="25"/>
  <c r="DU6" i="25"/>
  <c r="DV6" i="25"/>
  <c r="DL7" i="25"/>
  <c r="DM7" i="25"/>
  <c r="DN7" i="25"/>
  <c r="DO7" i="25"/>
  <c r="DP7" i="25"/>
  <c r="DQ7" i="25"/>
  <c r="DR7" i="25"/>
  <c r="DS7" i="25"/>
  <c r="DT7" i="25"/>
  <c r="DU7" i="25"/>
  <c r="DV7" i="25"/>
  <c r="DL8" i="25"/>
  <c r="DM8" i="25"/>
  <c r="DN8" i="25"/>
  <c r="DO8" i="25"/>
  <c r="DP8" i="25"/>
  <c r="DQ8" i="25"/>
  <c r="DR8" i="25"/>
  <c r="DS8" i="25"/>
  <c r="DT8" i="25"/>
  <c r="DU8" i="25"/>
  <c r="DV8" i="25"/>
  <c r="DL9" i="25"/>
  <c r="DM9" i="25"/>
  <c r="DN9" i="25"/>
  <c r="DO9" i="25"/>
  <c r="DP9" i="25"/>
  <c r="DQ9" i="25"/>
  <c r="DR9" i="25"/>
  <c r="DS9" i="25"/>
  <c r="DT9" i="25"/>
  <c r="DU9" i="25"/>
  <c r="DV9" i="25"/>
  <c r="DL10" i="25"/>
  <c r="DM10" i="25"/>
  <c r="DN10" i="25"/>
  <c r="DO10" i="25"/>
  <c r="DP10" i="25"/>
  <c r="DQ10" i="25"/>
  <c r="DR10" i="25"/>
  <c r="DS10" i="25"/>
  <c r="DT10" i="25"/>
  <c r="DU10" i="25"/>
  <c r="DV10" i="25"/>
  <c r="DK11" i="25"/>
  <c r="DL11" i="25"/>
  <c r="DM11" i="25"/>
  <c r="DN11" i="25"/>
  <c r="DO11" i="25"/>
  <c r="DP11" i="25"/>
  <c r="DQ11" i="25"/>
  <c r="DR11" i="25"/>
  <c r="DS11" i="25"/>
  <c r="DT11" i="25"/>
  <c r="DU11" i="25"/>
  <c r="DV11" i="25"/>
  <c r="DL12" i="25"/>
  <c r="DM12" i="25"/>
  <c r="DN12" i="25"/>
  <c r="DO12" i="25"/>
  <c r="DP12" i="25"/>
  <c r="DQ12" i="25"/>
  <c r="DR12" i="25"/>
  <c r="DS12" i="25"/>
  <c r="DT12" i="25"/>
  <c r="DU12" i="25"/>
  <c r="DV12" i="25"/>
  <c r="DK13" i="25"/>
  <c r="DL13" i="25"/>
  <c r="DM13" i="25"/>
  <c r="DN13" i="25"/>
  <c r="DO13" i="25"/>
  <c r="DP13" i="25"/>
  <c r="DQ13" i="25"/>
  <c r="DR13" i="25"/>
  <c r="DS13" i="25"/>
  <c r="DT13" i="25"/>
  <c r="DU13" i="25"/>
  <c r="DV13" i="25"/>
  <c r="DK14" i="25"/>
  <c r="DL14" i="25"/>
  <c r="DM14" i="25"/>
  <c r="DN14" i="25"/>
  <c r="DO14" i="25"/>
  <c r="DP14" i="25"/>
  <c r="DQ14" i="25"/>
  <c r="DR14" i="25"/>
  <c r="DS14" i="25"/>
  <c r="DT14" i="25"/>
  <c r="DU14" i="25"/>
  <c r="DV14" i="25"/>
  <c r="DL16" i="25"/>
  <c r="DM16" i="25"/>
  <c r="DN16" i="25"/>
  <c r="DO16" i="25"/>
  <c r="DP16" i="25"/>
  <c r="DQ16" i="25"/>
  <c r="DR16" i="25"/>
  <c r="DS16" i="25"/>
  <c r="DT16" i="25"/>
  <c r="DU16" i="25"/>
  <c r="DV16" i="25"/>
  <c r="DK17" i="25"/>
  <c r="DL17" i="25"/>
  <c r="DM17" i="25"/>
  <c r="DN17" i="25"/>
  <c r="DO17" i="25"/>
  <c r="DP17" i="25"/>
  <c r="DQ17" i="25"/>
  <c r="DR17" i="25"/>
  <c r="DS17" i="25"/>
  <c r="DT17" i="25"/>
  <c r="DU17" i="25"/>
  <c r="DV17" i="25"/>
  <c r="DK18" i="25"/>
  <c r="DL18" i="25"/>
  <c r="DM18" i="25"/>
  <c r="DN18" i="25"/>
  <c r="DO18" i="25"/>
  <c r="DP18" i="25"/>
  <c r="DQ18" i="25"/>
  <c r="DR18" i="25"/>
  <c r="DS18" i="25"/>
  <c r="DT18" i="25"/>
  <c r="DU18" i="25"/>
  <c r="DV18" i="25"/>
  <c r="DK19" i="25"/>
  <c r="DL19" i="25"/>
  <c r="DM19" i="25"/>
  <c r="DN19" i="25"/>
  <c r="DO19" i="25"/>
  <c r="DP19" i="25"/>
  <c r="DQ19" i="25"/>
  <c r="DR19" i="25"/>
  <c r="DS19" i="25"/>
  <c r="DT19" i="25"/>
  <c r="DU19" i="25"/>
  <c r="DV19" i="25"/>
  <c r="DK20" i="25"/>
  <c r="DL20" i="25"/>
  <c r="DM20" i="25"/>
  <c r="DN20" i="25"/>
  <c r="DO20" i="25"/>
  <c r="DP20" i="25"/>
  <c r="DQ20" i="25"/>
  <c r="DR20" i="25"/>
  <c r="DS20" i="25"/>
  <c r="DT20" i="25"/>
  <c r="DU20" i="25"/>
  <c r="DV20" i="25"/>
  <c r="DL21" i="25"/>
  <c r="DM21" i="25"/>
  <c r="DN21" i="25"/>
  <c r="DO21" i="25"/>
  <c r="DP21" i="25"/>
  <c r="DQ21" i="25"/>
  <c r="DR21" i="25"/>
  <c r="DS21" i="25"/>
  <c r="DT21" i="25"/>
  <c r="DU21" i="25"/>
  <c r="DV21" i="25"/>
  <c r="DK22" i="25"/>
  <c r="DL22" i="25"/>
  <c r="DM22" i="25"/>
  <c r="DN22" i="25"/>
  <c r="DO22" i="25"/>
  <c r="DP22" i="25"/>
  <c r="DQ22" i="25"/>
  <c r="DR22" i="25"/>
  <c r="DS22" i="25"/>
  <c r="DT22" i="25"/>
  <c r="DU22" i="25"/>
  <c r="DV22" i="25"/>
  <c r="DK23" i="25"/>
  <c r="DL23" i="25"/>
  <c r="DM23" i="25"/>
  <c r="DN23" i="25"/>
  <c r="DO23" i="25"/>
  <c r="DP23" i="25"/>
  <c r="DQ23" i="25"/>
  <c r="DR23" i="25"/>
  <c r="DS23" i="25"/>
  <c r="DT23" i="25"/>
  <c r="DU23" i="25"/>
  <c r="DV23" i="25"/>
  <c r="DK24" i="25"/>
  <c r="DL24" i="25"/>
  <c r="DM24" i="25"/>
  <c r="DN24" i="25"/>
  <c r="DO24" i="25"/>
  <c r="DP24" i="25"/>
  <c r="DQ24" i="25"/>
  <c r="DR24" i="25"/>
  <c r="DS24" i="25"/>
  <c r="DT24" i="25"/>
  <c r="DU24" i="25"/>
  <c r="DV24" i="25"/>
  <c r="DK25" i="25"/>
  <c r="DL25" i="25"/>
  <c r="DM25" i="25"/>
  <c r="DN25" i="25"/>
  <c r="DO25" i="25"/>
  <c r="DP25" i="25"/>
  <c r="DQ25" i="25"/>
  <c r="DR25" i="25"/>
  <c r="DS25" i="25"/>
  <c r="DT25" i="25"/>
  <c r="DU25" i="25"/>
  <c r="DV25" i="25"/>
  <c r="DK26" i="25"/>
  <c r="DL26" i="25"/>
  <c r="DM26" i="25"/>
  <c r="DN26" i="25"/>
  <c r="DO26" i="25"/>
  <c r="DP26" i="25"/>
  <c r="DQ26" i="25"/>
  <c r="DR26" i="25"/>
  <c r="DS26" i="25"/>
  <c r="DT26" i="25"/>
  <c r="DU26" i="25"/>
  <c r="DV26" i="25"/>
  <c r="DK27" i="25"/>
  <c r="DL27" i="25"/>
  <c r="DM27" i="25"/>
  <c r="DN27" i="25"/>
  <c r="DO27" i="25"/>
  <c r="DP27" i="25"/>
  <c r="DQ27" i="25"/>
  <c r="DR27" i="25"/>
  <c r="DS27" i="25"/>
  <c r="DT27" i="25"/>
  <c r="DU27" i="25"/>
  <c r="DV27" i="25"/>
  <c r="DK28" i="25"/>
  <c r="DL28" i="25"/>
  <c r="DM28" i="25"/>
  <c r="DN28" i="25"/>
  <c r="DO28" i="25"/>
  <c r="DP28" i="25"/>
  <c r="DQ28" i="25"/>
  <c r="DR28" i="25"/>
  <c r="DS28" i="25"/>
  <c r="DT28" i="25"/>
  <c r="DU28" i="25"/>
  <c r="DV28" i="25"/>
  <c r="DK29" i="25"/>
  <c r="DL29" i="25"/>
  <c r="DM29" i="25"/>
  <c r="DN29" i="25"/>
  <c r="DO29" i="25"/>
  <c r="DP29" i="25"/>
  <c r="DQ29" i="25"/>
  <c r="DR29" i="25"/>
  <c r="DS29" i="25"/>
  <c r="DT29" i="25"/>
  <c r="DU29" i="25"/>
  <c r="DV29" i="25"/>
  <c r="DK30" i="25"/>
  <c r="DL30" i="25"/>
  <c r="DM30" i="25"/>
  <c r="DN30" i="25"/>
  <c r="DO30" i="25"/>
  <c r="DP30" i="25"/>
  <c r="DQ30" i="25"/>
  <c r="DR30" i="25"/>
  <c r="DS30" i="25"/>
  <c r="DT30" i="25"/>
  <c r="DU30" i="25"/>
  <c r="DV30" i="25"/>
  <c r="DL31" i="25"/>
  <c r="DM31" i="25"/>
  <c r="DN31" i="25"/>
  <c r="DO31" i="25"/>
  <c r="DP31" i="25"/>
  <c r="DQ31" i="25"/>
  <c r="DR31" i="25"/>
  <c r="DS31" i="25"/>
  <c r="DT31" i="25"/>
  <c r="DU31" i="25"/>
  <c r="DV31" i="25"/>
  <c r="DM32" i="25"/>
  <c r="DN32" i="25"/>
  <c r="DO32" i="25"/>
  <c r="DP32" i="25"/>
  <c r="DQ32" i="25"/>
  <c r="DR32" i="25"/>
  <c r="DS32" i="25"/>
  <c r="DT32" i="25"/>
  <c r="DU32" i="25"/>
  <c r="DV32" i="25"/>
  <c r="DK33" i="25"/>
  <c r="DL33" i="25"/>
  <c r="DM33" i="25"/>
  <c r="DN33" i="25"/>
  <c r="DO33" i="25"/>
  <c r="DP33" i="25"/>
  <c r="DQ33" i="25"/>
  <c r="DR33" i="25"/>
  <c r="DS33" i="25"/>
  <c r="DT33" i="25"/>
  <c r="DU33" i="25"/>
  <c r="DV33" i="25"/>
  <c r="DL35" i="25"/>
  <c r="DM35" i="25"/>
  <c r="DN35" i="25"/>
  <c r="DO35" i="25"/>
  <c r="DP35" i="25"/>
  <c r="DQ35" i="25"/>
  <c r="DR35" i="25"/>
  <c r="DS35" i="25"/>
  <c r="DT35" i="25"/>
  <c r="DU35" i="25"/>
  <c r="DV35" i="25"/>
  <c r="DK36" i="25"/>
  <c r="DL36" i="25"/>
  <c r="DM36" i="25"/>
  <c r="DN36" i="25"/>
  <c r="DO36" i="25"/>
  <c r="DP36" i="25"/>
  <c r="DQ36" i="25"/>
  <c r="DR36" i="25"/>
  <c r="DS36" i="25"/>
  <c r="DT36" i="25"/>
  <c r="DU36" i="25"/>
  <c r="DV36" i="25"/>
  <c r="DL37" i="25"/>
  <c r="DM37" i="25"/>
  <c r="DN37" i="25"/>
  <c r="DO37" i="25"/>
  <c r="DP37" i="25"/>
  <c r="DQ37" i="25"/>
  <c r="DR37" i="25"/>
  <c r="DS37" i="25"/>
  <c r="DT37" i="25"/>
  <c r="DU37" i="25"/>
  <c r="DV37" i="25"/>
  <c r="DM38" i="25"/>
  <c r="DN38" i="25"/>
  <c r="DO38" i="25"/>
  <c r="DP38" i="25"/>
  <c r="DQ38" i="25"/>
  <c r="DR38" i="25"/>
  <c r="DS38" i="25"/>
  <c r="DT38" i="25"/>
  <c r="DU38" i="25"/>
  <c r="DV38" i="25"/>
  <c r="DK39" i="25"/>
  <c r="DL39" i="25"/>
  <c r="DM39" i="25"/>
  <c r="DN39" i="25"/>
  <c r="DO39" i="25"/>
  <c r="DP39" i="25"/>
  <c r="DQ39" i="25"/>
  <c r="DR39" i="25"/>
  <c r="DS39" i="25"/>
  <c r="DT39" i="25"/>
  <c r="DU39" i="25"/>
  <c r="DV39" i="25"/>
  <c r="DK40" i="25"/>
  <c r="DL40" i="25"/>
  <c r="DM40" i="25"/>
  <c r="DN40" i="25"/>
  <c r="DO40" i="25"/>
  <c r="DP40" i="25"/>
  <c r="DQ40" i="25"/>
  <c r="DR40" i="25"/>
  <c r="DS40" i="25"/>
  <c r="DT40" i="25"/>
  <c r="DU40" i="25"/>
  <c r="DV40" i="25"/>
  <c r="DK41" i="25"/>
  <c r="DL41" i="25"/>
  <c r="DM41" i="25"/>
  <c r="DN41" i="25"/>
  <c r="DO41" i="25"/>
  <c r="DP41" i="25"/>
  <c r="DQ41" i="25"/>
  <c r="DR41" i="25"/>
  <c r="DS41" i="25"/>
  <c r="DT41" i="25"/>
  <c r="DU41" i="25"/>
  <c r="DV41" i="25"/>
  <c r="DK42" i="25"/>
  <c r="DL42" i="25"/>
  <c r="DM42" i="25"/>
  <c r="DN42" i="25"/>
  <c r="DO42" i="25"/>
  <c r="DP42" i="25"/>
  <c r="DQ42" i="25"/>
  <c r="DR42" i="25"/>
  <c r="DS42" i="25"/>
  <c r="DT42" i="25"/>
  <c r="DU42" i="25"/>
  <c r="DV42" i="25"/>
  <c r="DK43" i="25"/>
  <c r="DL43" i="25"/>
  <c r="DM43" i="25"/>
  <c r="DN43" i="25"/>
  <c r="DO43" i="25"/>
  <c r="DP43" i="25"/>
  <c r="DQ43" i="25"/>
  <c r="DR43" i="25"/>
  <c r="DS43" i="25"/>
  <c r="DT43" i="25"/>
  <c r="DU43" i="25"/>
  <c r="DV43" i="25"/>
  <c r="DK44" i="25"/>
  <c r="DL44" i="25"/>
  <c r="DM44" i="25"/>
  <c r="DN44" i="25"/>
  <c r="DO44" i="25"/>
  <c r="DP44" i="25"/>
  <c r="DQ44" i="25"/>
  <c r="DR44" i="25"/>
  <c r="DS44" i="25"/>
  <c r="DT44" i="25"/>
  <c r="DU44" i="25"/>
  <c r="DV44" i="25"/>
  <c r="DK45" i="25"/>
  <c r="DL45" i="25"/>
  <c r="DM45" i="25"/>
  <c r="DN45" i="25"/>
  <c r="DO45" i="25"/>
  <c r="DP45" i="25"/>
  <c r="DQ45" i="25"/>
  <c r="DR45" i="25"/>
  <c r="DS45" i="25"/>
  <c r="DT45" i="25"/>
  <c r="DU45" i="25"/>
  <c r="DV45" i="25"/>
  <c r="DK46" i="25"/>
  <c r="DL46" i="25"/>
  <c r="DM46" i="25"/>
  <c r="DN46" i="25"/>
  <c r="DO46" i="25"/>
  <c r="DP46" i="25"/>
  <c r="DQ46" i="25"/>
  <c r="DR46" i="25"/>
  <c r="DS46" i="25"/>
  <c r="DT46" i="25"/>
  <c r="DU46" i="25"/>
  <c r="DV46" i="25"/>
  <c r="DK47" i="25"/>
  <c r="DL47" i="25"/>
  <c r="DM47" i="25"/>
  <c r="DN47" i="25"/>
  <c r="DO47" i="25"/>
  <c r="DP47" i="25"/>
  <c r="DQ47" i="25"/>
  <c r="DR47" i="25"/>
  <c r="DS47" i="25"/>
  <c r="DT47" i="25"/>
  <c r="DU47" i="25"/>
  <c r="DV47" i="25"/>
  <c r="DK48" i="25"/>
  <c r="DL48" i="25"/>
  <c r="DM48" i="25"/>
  <c r="DN48" i="25"/>
  <c r="DO48" i="25"/>
  <c r="DP48" i="25"/>
  <c r="DQ48" i="25"/>
  <c r="DR48" i="25"/>
  <c r="DS48" i="25"/>
  <c r="DT48" i="25"/>
  <c r="DU48" i="25"/>
  <c r="DV48" i="25"/>
  <c r="DK49" i="25"/>
  <c r="DL49" i="25"/>
  <c r="DM49" i="25"/>
  <c r="DN49" i="25"/>
  <c r="DO49" i="25"/>
  <c r="DP49" i="25"/>
  <c r="DQ49" i="25"/>
  <c r="DR49" i="25"/>
  <c r="DS49" i="25"/>
  <c r="DT49" i="25"/>
  <c r="DU49" i="25"/>
  <c r="DV49" i="25"/>
  <c r="DK50" i="25"/>
  <c r="DL50" i="25"/>
  <c r="DM50" i="25"/>
  <c r="DN50" i="25"/>
  <c r="DO50" i="25"/>
  <c r="DP50" i="25"/>
  <c r="DQ50" i="25"/>
  <c r="DR50" i="25"/>
  <c r="DS50" i="25"/>
  <c r="DT50" i="25"/>
  <c r="DU50" i="25"/>
  <c r="DV50" i="25"/>
  <c r="DK51" i="25"/>
  <c r="DL51" i="25"/>
  <c r="DM51" i="25"/>
  <c r="DN51" i="25"/>
  <c r="DO51" i="25"/>
  <c r="DP51" i="25"/>
  <c r="DQ51" i="25"/>
  <c r="DR51" i="25"/>
  <c r="DS51" i="25"/>
  <c r="DT51" i="25"/>
  <c r="DU51" i="25"/>
  <c r="DV51" i="25"/>
  <c r="DK52" i="25"/>
  <c r="DL52" i="25"/>
  <c r="DM52" i="25"/>
  <c r="DN52" i="25"/>
  <c r="DO52" i="25"/>
  <c r="DP52" i="25"/>
  <c r="DQ52" i="25"/>
  <c r="DR52" i="25"/>
  <c r="DS52" i="25"/>
  <c r="DT52" i="25"/>
  <c r="DU52" i="25"/>
  <c r="DV52" i="25"/>
  <c r="DK53" i="25"/>
  <c r="DL53" i="25"/>
  <c r="DM53" i="25"/>
  <c r="DN53" i="25"/>
  <c r="DO53" i="25"/>
  <c r="DP53" i="25"/>
  <c r="DQ53" i="25"/>
  <c r="DR53" i="25"/>
  <c r="DS53" i="25"/>
  <c r="DT53" i="25"/>
  <c r="DU53" i="25"/>
  <c r="DV53" i="25"/>
  <c r="DK54" i="25"/>
  <c r="DL54" i="25"/>
  <c r="DM54" i="25"/>
  <c r="DN54" i="25"/>
  <c r="DO54" i="25"/>
  <c r="DP54" i="25"/>
  <c r="DQ54" i="25"/>
  <c r="DR54" i="25"/>
  <c r="DS54" i="25"/>
  <c r="DT54" i="25"/>
  <c r="DU54" i="25"/>
  <c r="DV54" i="25"/>
  <c r="DK55" i="25"/>
  <c r="DL55" i="25"/>
  <c r="DM55" i="25"/>
  <c r="DN55" i="25"/>
  <c r="DO55" i="25"/>
  <c r="DP55" i="25"/>
  <c r="DQ55" i="25"/>
  <c r="DR55" i="25"/>
  <c r="DS55" i="25"/>
  <c r="DT55" i="25"/>
  <c r="DU55" i="25"/>
  <c r="DV55" i="25"/>
  <c r="DK56" i="25"/>
  <c r="DL56" i="25"/>
  <c r="DM56" i="25"/>
  <c r="DN56" i="25"/>
  <c r="DO56" i="25"/>
  <c r="DP56" i="25"/>
  <c r="DQ56" i="25"/>
  <c r="DR56" i="25"/>
  <c r="DS56" i="25"/>
  <c r="DT56" i="25"/>
  <c r="DU56" i="25"/>
  <c r="DV56" i="25"/>
  <c r="DK57" i="25"/>
  <c r="DL57" i="25"/>
  <c r="DM57" i="25"/>
  <c r="DN57" i="25"/>
  <c r="DO57" i="25"/>
  <c r="DP57" i="25"/>
  <c r="DQ57" i="25"/>
  <c r="DR57" i="25"/>
  <c r="DS57" i="25"/>
  <c r="DT57" i="25"/>
  <c r="DU57" i="25"/>
  <c r="DV57" i="25"/>
  <c r="DK58" i="25"/>
  <c r="DL58" i="25"/>
  <c r="DM58" i="25"/>
  <c r="DN58" i="25"/>
  <c r="DO58" i="25"/>
  <c r="DP58" i="25"/>
  <c r="DQ58" i="25"/>
  <c r="DR58" i="25"/>
  <c r="DS58" i="25"/>
  <c r="DT58" i="25"/>
  <c r="DU58" i="25"/>
  <c r="DV58" i="25"/>
  <c r="DL59" i="25"/>
  <c r="DM59" i="25"/>
  <c r="DN59" i="25"/>
  <c r="DO59" i="25"/>
  <c r="DP59" i="25"/>
  <c r="DQ59" i="25"/>
  <c r="DR59" i="25"/>
  <c r="DS59" i="25"/>
  <c r="DT59" i="25"/>
  <c r="DU59" i="25"/>
  <c r="DV59" i="25"/>
  <c r="DK60" i="25"/>
  <c r="DL60" i="25"/>
  <c r="DM60" i="25"/>
  <c r="DN60" i="25"/>
  <c r="DO60" i="25"/>
  <c r="DP60" i="25"/>
  <c r="DQ60" i="25"/>
  <c r="DR60" i="25"/>
  <c r="DS60" i="25"/>
  <c r="DT60" i="25"/>
  <c r="DU60" i="25"/>
  <c r="DV60" i="25"/>
  <c r="DL4" i="25"/>
  <c r="DM4" i="25"/>
  <c r="DN4" i="25"/>
  <c r="DO4" i="25"/>
  <c r="DP4" i="25"/>
  <c r="DQ4" i="25"/>
  <c r="DR4" i="25"/>
  <c r="DS4" i="25"/>
  <c r="DT4" i="25"/>
  <c r="DU4" i="25"/>
  <c r="DV4" i="25"/>
  <c r="DK4" i="25"/>
  <c r="DI5" i="25"/>
  <c r="DI6" i="25"/>
  <c r="DI7" i="25"/>
  <c r="DI8" i="25"/>
  <c r="DI9" i="25"/>
  <c r="DI10" i="25"/>
  <c r="DI11" i="25"/>
  <c r="DI12" i="25"/>
  <c r="DI13" i="25"/>
  <c r="DI14" i="25"/>
  <c r="DI16" i="25"/>
  <c r="DI17" i="25"/>
  <c r="DI18" i="25"/>
  <c r="DI19" i="25"/>
  <c r="DI20" i="25"/>
  <c r="DI21" i="25"/>
  <c r="DI22" i="25"/>
  <c r="DI23" i="25"/>
  <c r="DI24" i="25"/>
  <c r="DI25" i="25"/>
  <c r="DI26" i="25"/>
  <c r="DI27" i="25"/>
  <c r="DI28" i="25"/>
  <c r="DI29" i="25"/>
  <c r="DI30" i="25"/>
  <c r="DI31" i="25"/>
  <c r="DI32" i="25"/>
  <c r="DI33" i="25"/>
  <c r="DI35" i="25"/>
  <c r="DI36" i="25"/>
  <c r="DI37" i="25"/>
  <c r="DI38" i="25"/>
  <c r="DI39" i="25"/>
  <c r="DI40" i="25"/>
  <c r="DI41" i="25"/>
  <c r="DI42" i="25"/>
  <c r="DI43" i="25"/>
  <c r="DI44" i="25"/>
  <c r="DI45" i="25"/>
  <c r="DI46" i="25"/>
  <c r="DI47" i="25"/>
  <c r="DI48" i="25"/>
  <c r="DI49" i="25"/>
  <c r="DI50" i="25"/>
  <c r="DI51" i="25"/>
  <c r="DI52" i="25"/>
  <c r="DI53" i="25"/>
  <c r="DI54" i="25"/>
  <c r="DI55" i="25"/>
  <c r="DI56" i="25"/>
  <c r="DI57" i="25"/>
  <c r="DI58" i="25"/>
  <c r="DI60" i="25"/>
  <c r="DI4" i="25"/>
  <c r="B97" i="15"/>
  <c r="P44" i="41" l="1"/>
  <c r="O51" i="41"/>
  <c r="O49" i="41"/>
  <c r="N53" i="41"/>
  <c r="N43" i="41"/>
  <c r="M43" i="24"/>
  <c r="O43" i="41"/>
  <c r="O50" i="41"/>
  <c r="N54" i="41"/>
  <c r="M44" i="24"/>
  <c r="O44" i="41"/>
  <c r="L49" i="24"/>
  <c r="N49" i="41"/>
  <c r="N43" i="24"/>
  <c r="P43" i="41"/>
  <c r="ED28" i="28"/>
  <c r="A19" i="17"/>
  <c r="ES23" i="26"/>
  <c r="ES14" i="26"/>
  <c r="C19" i="17"/>
  <c r="L54" i="24"/>
  <c r="ES10" i="26"/>
  <c r="DW57" i="25"/>
  <c r="DW49" i="25"/>
  <c r="DW41" i="25"/>
  <c r="DW20" i="25"/>
  <c r="DW9" i="25"/>
  <c r="EE12" i="26"/>
  <c r="EE15" i="26"/>
  <c r="DW4" i="25"/>
  <c r="ES20" i="26"/>
  <c r="DW56" i="25"/>
  <c r="DW52" i="25"/>
  <c r="DW46" i="25"/>
  <c r="DW17" i="25"/>
  <c r="DW14" i="25"/>
  <c r="DW37" i="25"/>
  <c r="DW35" i="25"/>
  <c r="DW51" i="25"/>
  <c r="DW43" i="25"/>
  <c r="DW30" i="25"/>
  <c r="DW22" i="25"/>
  <c r="DW11" i="25"/>
  <c r="DW54" i="25"/>
  <c r="DW47" i="25"/>
  <c r="EE13" i="26"/>
  <c r="EE23" i="26"/>
  <c r="EH13" i="26"/>
  <c r="ES13" i="26" s="1"/>
  <c r="EJ12" i="26"/>
  <c r="ES12" i="26" s="1"/>
  <c r="DW48" i="25"/>
  <c r="DW44" i="25"/>
  <c r="DW40" i="25"/>
  <c r="DW31" i="25"/>
  <c r="DW12" i="25"/>
  <c r="DW55" i="25"/>
  <c r="DW16" i="25"/>
  <c r="DW53" i="25"/>
  <c r="DW45" i="25"/>
  <c r="DW13" i="25"/>
  <c r="DW58" i="25"/>
  <c r="DW50" i="25"/>
  <c r="DW42" i="25"/>
  <c r="DW21" i="25"/>
  <c r="DW10" i="25"/>
  <c r="EE22" i="26"/>
  <c r="ES18" i="26"/>
  <c r="L53" i="24"/>
  <c r="L43" i="24"/>
  <c r="DW29" i="25"/>
  <c r="ES22" i="26"/>
  <c r="ES19" i="26"/>
  <c r="ES17" i="26"/>
  <c r="ES15" i="26"/>
  <c r="DW32" i="25"/>
  <c r="DW7" i="25"/>
  <c r="M49" i="24"/>
  <c r="ES11" i="26"/>
  <c r="ES8" i="26"/>
  <c r="CX79" i="25"/>
  <c r="EE21" i="26"/>
  <c r="L52" i="24" s="1"/>
  <c r="M50" i="24"/>
  <c r="CX81" i="25"/>
  <c r="M51" i="24"/>
  <c r="DW5" i="25"/>
  <c r="ES21" i="26"/>
  <c r="ES16" i="26"/>
  <c r="DW60" i="25"/>
  <c r="DW8" i="25"/>
  <c r="ED50" i="28"/>
  <c r="ED48" i="28"/>
  <c r="ED46" i="28"/>
  <c r="ED44" i="28"/>
  <c r="ED42" i="28"/>
  <c r="ED40" i="28"/>
  <c r="ED38" i="28"/>
  <c r="ED34" i="28"/>
  <c r="ED26" i="28"/>
  <c r="ED18" i="28"/>
  <c r="ED16" i="28"/>
  <c r="ED14" i="28"/>
  <c r="ED12" i="28"/>
  <c r="ED8" i="28"/>
  <c r="ED6" i="28"/>
  <c r="ER35" i="28"/>
  <c r="ER19" i="28"/>
  <c r="ED22" i="28"/>
  <c r="ER47" i="28"/>
  <c r="ER45" i="28"/>
  <c r="ER39" i="28"/>
  <c r="ER37" i="28"/>
  <c r="ER31" i="28"/>
  <c r="ER29" i="28"/>
  <c r="ER23" i="28"/>
  <c r="ER21" i="28"/>
  <c r="ER15" i="28"/>
  <c r="ER13" i="28"/>
  <c r="ER7" i="28"/>
  <c r="ED47" i="28"/>
  <c r="ED36" i="28"/>
  <c r="ED32" i="28"/>
  <c r="ED30" i="28"/>
  <c r="ED20" i="28"/>
  <c r="ED39" i="28"/>
  <c r="ED31" i="28"/>
  <c r="ED13" i="28"/>
  <c r="ER50" i="28"/>
  <c r="ER48" i="28"/>
  <c r="ER46" i="28"/>
  <c r="ER44" i="28"/>
  <c r="ER43" i="28"/>
  <c r="ER42" i="28"/>
  <c r="ER40" i="28"/>
  <c r="ER38" i="28"/>
  <c r="ER36" i="28"/>
  <c r="ER34" i="28"/>
  <c r="ER32" i="28"/>
  <c r="ER30" i="28"/>
  <c r="ER28" i="28"/>
  <c r="ER27" i="28"/>
  <c r="ER26" i="28"/>
  <c r="ER24" i="28"/>
  <c r="ER22" i="28"/>
  <c r="ER20" i="28"/>
  <c r="ER18" i="28"/>
  <c r="ER16" i="28"/>
  <c r="ER14" i="28"/>
  <c r="ER12" i="28"/>
  <c r="ER11" i="28"/>
  <c r="ER10" i="28"/>
  <c r="ER8" i="28"/>
  <c r="ER6" i="28"/>
  <c r="ER49" i="28"/>
  <c r="ER41" i="28"/>
  <c r="ER33" i="28"/>
  <c r="ER25" i="28"/>
  <c r="ER17" i="28"/>
  <c r="ER9" i="28"/>
  <c r="N44" i="24"/>
  <c r="ED10" i="28"/>
  <c r="ED49" i="28"/>
  <c r="ED45" i="28"/>
  <c r="ED43" i="28"/>
  <c r="ED41" i="28"/>
  <c r="ED37" i="28"/>
  <c r="ED35" i="28"/>
  <c r="ED33" i="28"/>
  <c r="ED29" i="28"/>
  <c r="ED27" i="28"/>
  <c r="ED25" i="28"/>
  <c r="ED23" i="28"/>
  <c r="ED21" i="28"/>
  <c r="ED19" i="28"/>
  <c r="ED17" i="28"/>
  <c r="ED11" i="28"/>
  <c r="ED9" i="28"/>
  <c r="ED7" i="28"/>
  <c r="DW38" i="25"/>
  <c r="ED24" i="28"/>
  <c r="ED15" i="28"/>
  <c r="DW33" i="25"/>
  <c r="DW36" i="25"/>
  <c r="ES7" i="26"/>
  <c r="ES5" i="26"/>
  <c r="ES9" i="26"/>
  <c r="ES6" i="26"/>
  <c r="DW19" i="25"/>
  <c r="DW18" i="25"/>
  <c r="DW23" i="25"/>
  <c r="DW24" i="25"/>
  <c r="DW28" i="25"/>
  <c r="DW26" i="25"/>
  <c r="DW25" i="25"/>
  <c r="CX80" i="25"/>
  <c r="DW27" i="25"/>
  <c r="DW6" i="25"/>
  <c r="DW39" i="25"/>
  <c r="B122" i="15"/>
  <c r="B123" i="15" s="1"/>
  <c r="B124" i="15" s="1"/>
  <c r="E58" i="15"/>
  <c r="I50" i="17" s="1"/>
  <c r="E57" i="15"/>
  <c r="I49" i="17" s="1"/>
  <c r="E56" i="15"/>
  <c r="I48" i="17" s="1"/>
  <c r="D8" i="15"/>
  <c r="I105" i="40"/>
  <c r="C21" i="11"/>
  <c r="C46" i="11" s="1"/>
  <c r="C33" i="11"/>
  <c r="P10" i="10"/>
  <c r="R10" i="10"/>
  <c r="O10" i="10"/>
  <c r="I10" i="10"/>
  <c r="L10" i="10"/>
  <c r="H10" i="10"/>
  <c r="M10" i="10"/>
  <c r="J10" i="10"/>
  <c r="N10" i="10"/>
  <c r="A67" i="17" l="1"/>
  <c r="A61" i="17"/>
  <c r="A54" i="17"/>
  <c r="A28" i="17"/>
  <c r="C48" i="17"/>
  <c r="B48" i="17"/>
  <c r="A48" i="17"/>
  <c r="C67" i="17"/>
  <c r="C61" i="17"/>
  <c r="C54" i="17"/>
  <c r="C28" i="17"/>
  <c r="B49" i="17"/>
  <c r="A49" i="17"/>
  <c r="C49" i="17"/>
  <c r="A50" i="17"/>
  <c r="C50" i="17"/>
  <c r="B50" i="17"/>
  <c r="O44" i="24"/>
  <c r="Q44" i="41"/>
  <c r="N50" i="41"/>
  <c r="O43" i="24"/>
  <c r="O57" i="41"/>
  <c r="N52" i="41"/>
  <c r="N51" i="41"/>
  <c r="Q43" i="41"/>
  <c r="L50" i="24"/>
  <c r="L51" i="24"/>
  <c r="CX82" i="25"/>
  <c r="CY80" i="25" s="1"/>
  <c r="M57" i="24"/>
  <c r="F56" i="15"/>
  <c r="H12" i="10"/>
  <c r="R12" i="10"/>
  <c r="N12" i="10"/>
  <c r="Q12" i="10"/>
  <c r="M12" i="10"/>
  <c r="I12" i="10"/>
  <c r="J12" i="10"/>
  <c r="P12" i="10"/>
  <c r="L12" i="10"/>
  <c r="O12" i="10"/>
  <c r="S12" i="10"/>
  <c r="K12" i="10"/>
  <c r="F58" i="15"/>
  <c r="F57" i="15"/>
  <c r="C75" i="11"/>
  <c r="D75" i="11" s="1"/>
  <c r="E75" i="11" s="1"/>
  <c r="F75" i="11" s="1"/>
  <c r="G75" i="11" s="1"/>
  <c r="H75" i="11" s="1"/>
  <c r="I75" i="11" s="1"/>
  <c r="J75" i="11" s="1"/>
  <c r="K75" i="11" s="1"/>
  <c r="L75" i="11" s="1"/>
  <c r="M75" i="11" s="1"/>
  <c r="D66" i="15"/>
  <c r="D35" i="3"/>
  <c r="E35" i="3" s="1"/>
  <c r="F35" i="3" s="1"/>
  <c r="G35" i="3" s="1"/>
  <c r="H35" i="3" s="1"/>
  <c r="I35" i="3" s="1"/>
  <c r="J35" i="3" s="1"/>
  <c r="K35" i="3" s="1"/>
  <c r="L35" i="3" s="1"/>
  <c r="M35" i="3" s="1"/>
  <c r="N35" i="3" s="1"/>
  <c r="D52" i="6"/>
  <c r="E52" i="6" s="1"/>
  <c r="F52" i="6" s="1"/>
  <c r="G52" i="6" s="1"/>
  <c r="H52" i="6" s="1"/>
  <c r="I52" i="6" s="1"/>
  <c r="J52" i="6" s="1"/>
  <c r="K52" i="6" s="1"/>
  <c r="L52" i="6" s="1"/>
  <c r="M52" i="6" s="1"/>
  <c r="N52" i="6" s="1"/>
  <c r="N57" i="41" l="1"/>
  <c r="CY81" i="25"/>
  <c r="CY79" i="25"/>
  <c r="L57" i="24"/>
  <c r="G56" i="15"/>
  <c r="J48" i="17"/>
  <c r="T12" i="10"/>
  <c r="O66" i="15"/>
  <c r="J50" i="17"/>
  <c r="G58" i="15"/>
  <c r="G57" i="15"/>
  <c r="J49" i="17"/>
  <c r="H58" i="17"/>
  <c r="N66" i="15"/>
  <c r="M66" i="15"/>
  <c r="F66" i="15"/>
  <c r="E66" i="15"/>
  <c r="I58" i="17" s="1"/>
  <c r="L66" i="15"/>
  <c r="K66" i="15"/>
  <c r="J66" i="15"/>
  <c r="I66" i="15"/>
  <c r="H66" i="15"/>
  <c r="G66" i="15"/>
  <c r="DE55" i="28"/>
  <c r="DF55" i="28"/>
  <c r="DG55" i="28"/>
  <c r="DH55" i="28"/>
  <c r="DI55" i="28"/>
  <c r="DJ55" i="28"/>
  <c r="DK55" i="28"/>
  <c r="DL55" i="28"/>
  <c r="DM55" i="28"/>
  <c r="DN55" i="28"/>
  <c r="DO55" i="28"/>
  <c r="DE56" i="28"/>
  <c r="DF56" i="28"/>
  <c r="DG56" i="28"/>
  <c r="DH56" i="28"/>
  <c r="DI56" i="28"/>
  <c r="DJ56" i="28"/>
  <c r="DK56" i="28"/>
  <c r="DL56" i="28"/>
  <c r="DM56" i="28"/>
  <c r="DN56" i="28"/>
  <c r="DO56" i="28"/>
  <c r="DD56" i="28"/>
  <c r="DD55" i="28"/>
  <c r="CO55" i="28"/>
  <c r="CP55" i="28"/>
  <c r="CQ55" i="28"/>
  <c r="CR55" i="28"/>
  <c r="CS55" i="28"/>
  <c r="CT55" i="28"/>
  <c r="CU55" i="28"/>
  <c r="CV55" i="28"/>
  <c r="CW55" i="28"/>
  <c r="CX55" i="28"/>
  <c r="CY55" i="28"/>
  <c r="CO56" i="28"/>
  <c r="CP56" i="28"/>
  <c r="CQ56" i="28"/>
  <c r="CR56" i="28"/>
  <c r="CS56" i="28"/>
  <c r="CT56" i="28"/>
  <c r="CU56" i="28"/>
  <c r="CV56" i="28"/>
  <c r="CW56" i="28"/>
  <c r="CX56" i="28"/>
  <c r="CY56" i="28"/>
  <c r="CN55" i="28"/>
  <c r="CN56" i="28"/>
  <c r="ER2" i="26"/>
  <c r="EH2" i="26"/>
  <c r="EI2" i="26"/>
  <c r="EJ2" i="26"/>
  <c r="EK2" i="26"/>
  <c r="EL2" i="26"/>
  <c r="EM2" i="26"/>
  <c r="EN2" i="26"/>
  <c r="EO2" i="26"/>
  <c r="EP2" i="26"/>
  <c r="EQ2" i="26"/>
  <c r="EG2" i="26"/>
  <c r="DS73" i="26"/>
  <c r="EH73" i="26" s="1"/>
  <c r="DT73" i="26"/>
  <c r="EI73" i="26" s="1"/>
  <c r="DU73" i="26"/>
  <c r="EJ73" i="26" s="1"/>
  <c r="DV73" i="26"/>
  <c r="EK73" i="26" s="1"/>
  <c r="DW73" i="26"/>
  <c r="EL73" i="26" s="1"/>
  <c r="DX73" i="26"/>
  <c r="EM73" i="26" s="1"/>
  <c r="DY73" i="26"/>
  <c r="EN73" i="26" s="1"/>
  <c r="DZ73" i="26"/>
  <c r="EO73" i="26" s="1"/>
  <c r="EA73" i="26"/>
  <c r="EP73" i="26" s="1"/>
  <c r="EB73" i="26"/>
  <c r="EQ73" i="26" s="1"/>
  <c r="EC73" i="26"/>
  <c r="ER73" i="26" s="1"/>
  <c r="CW66" i="25"/>
  <c r="CW67" i="25"/>
  <c r="CX66" i="25"/>
  <c r="CY66" i="25"/>
  <c r="CZ66" i="25"/>
  <c r="DA66" i="25"/>
  <c r="DB66" i="25"/>
  <c r="DC66" i="25"/>
  <c r="DD66" i="25"/>
  <c r="DE66" i="25"/>
  <c r="DF66" i="25"/>
  <c r="DG66" i="25"/>
  <c r="DH66" i="25"/>
  <c r="CX67" i="25"/>
  <c r="CY67" i="25"/>
  <c r="CZ67" i="25"/>
  <c r="DA67" i="25"/>
  <c r="DB67" i="25"/>
  <c r="DC67" i="25"/>
  <c r="DD67" i="25"/>
  <c r="DE67" i="25"/>
  <c r="DF67" i="25"/>
  <c r="DG67" i="25"/>
  <c r="DH67" i="25"/>
  <c r="A58" i="17" l="1"/>
  <c r="C58" i="17"/>
  <c r="B58" i="17"/>
  <c r="H56" i="15"/>
  <c r="K48" i="17"/>
  <c r="H58" i="15"/>
  <c r="K50" i="17"/>
  <c r="H57" i="15"/>
  <c r="K49" i="17"/>
  <c r="P66" i="15"/>
  <c r="E75" i="15"/>
  <c r="O3" i="6"/>
  <c r="DB6" i="28"/>
  <c r="DB37" i="28"/>
  <c r="DB38" i="28"/>
  <c r="DB39" i="28"/>
  <c r="DB40" i="28"/>
  <c r="DB41" i="28"/>
  <c r="DB42" i="28"/>
  <c r="DB43" i="28"/>
  <c r="DB44" i="28"/>
  <c r="DB45" i="28"/>
  <c r="DB46" i="28"/>
  <c r="DB47" i="28"/>
  <c r="DB48" i="28"/>
  <c r="DB49" i="28"/>
  <c r="DB50" i="28"/>
  <c r="A51" i="11"/>
  <c r="A52" i="11"/>
  <c r="A53" i="11"/>
  <c r="A54" i="11"/>
  <c r="A55" i="11"/>
  <c r="A56" i="11"/>
  <c r="A57" i="11"/>
  <c r="A50" i="11"/>
  <c r="C35" i="11"/>
  <c r="EG55" i="28"/>
  <c r="EO55" i="28"/>
  <c r="EL56" i="28"/>
  <c r="EG57" i="28"/>
  <c r="EH57" i="28"/>
  <c r="EI57" i="28"/>
  <c r="EJ57" i="28"/>
  <c r="EK57" i="28"/>
  <c r="EL57" i="28"/>
  <c r="EM57" i="28"/>
  <c r="EN57" i="28"/>
  <c r="EO57" i="28"/>
  <c r="EP57" i="28"/>
  <c r="EQ57" i="28"/>
  <c r="EF57" i="28"/>
  <c r="DS55" i="28"/>
  <c r="EA55" i="28"/>
  <c r="DX56" i="28"/>
  <c r="EG4" i="28"/>
  <c r="EH4" i="28"/>
  <c r="EI4" i="28"/>
  <c r="EJ4" i="28"/>
  <c r="EK4" i="28"/>
  <c r="EL4" i="28"/>
  <c r="EM4" i="28"/>
  <c r="EN4" i="28"/>
  <c r="EO4" i="28"/>
  <c r="EP4" i="28"/>
  <c r="EQ4" i="28"/>
  <c r="EG5" i="28"/>
  <c r="EH5" i="28"/>
  <c r="EI5" i="28"/>
  <c r="EJ5" i="28"/>
  <c r="EK5" i="28"/>
  <c r="EL5" i="28"/>
  <c r="EM5" i="28"/>
  <c r="EN5" i="28"/>
  <c r="EO5" i="28"/>
  <c r="EP5" i="28"/>
  <c r="EQ5" i="28"/>
  <c r="DS5" i="28"/>
  <c r="DT5" i="28"/>
  <c r="DU5" i="28"/>
  <c r="DV5" i="28"/>
  <c r="DW5" i="28"/>
  <c r="DX5" i="28"/>
  <c r="DY5" i="28"/>
  <c r="DZ5" i="28"/>
  <c r="EA5" i="28"/>
  <c r="EB5" i="28"/>
  <c r="EC5" i="28"/>
  <c r="ED4" i="28"/>
  <c r="EG2" i="28"/>
  <c r="EH2" i="28"/>
  <c r="EI2" i="28"/>
  <c r="EJ2" i="28"/>
  <c r="EK2" i="28"/>
  <c r="EL2" i="28"/>
  <c r="EM2" i="28"/>
  <c r="EN2" i="28"/>
  <c r="EO2" i="28"/>
  <c r="EP2" i="28"/>
  <c r="EQ2" i="28"/>
  <c r="ER2" i="28"/>
  <c r="EF2" i="28"/>
  <c r="DS2" i="28"/>
  <c r="DT2" i="28"/>
  <c r="DU2" i="28"/>
  <c r="DV2" i="28"/>
  <c r="DW2" i="28"/>
  <c r="DX2" i="28"/>
  <c r="DY2" i="28"/>
  <c r="DZ2" i="28"/>
  <c r="EA2" i="28"/>
  <c r="EB2" i="28"/>
  <c r="EC2" i="28"/>
  <c r="ED2" i="28"/>
  <c r="DR2" i="28"/>
  <c r="DE2" i="28"/>
  <c r="DF2" i="28"/>
  <c r="DG2" i="28"/>
  <c r="DH2" i="28"/>
  <c r="DI2" i="28"/>
  <c r="DJ2" i="28"/>
  <c r="DK2" i="28"/>
  <c r="DL2" i="28"/>
  <c r="DM2" i="28"/>
  <c r="DN2" i="28"/>
  <c r="DO2" i="28"/>
  <c r="DP2" i="28"/>
  <c r="DD2" i="28"/>
  <c r="DP57" i="28"/>
  <c r="CZ57" i="28"/>
  <c r="EQ56" i="28"/>
  <c r="EP56" i="28"/>
  <c r="EO56" i="28"/>
  <c r="EN56" i="28"/>
  <c r="EM56" i="28"/>
  <c r="EK56" i="28"/>
  <c r="EJ56" i="28"/>
  <c r="EI56" i="28"/>
  <c r="EH56" i="28"/>
  <c r="EG56" i="28"/>
  <c r="EC56" i="28"/>
  <c r="EB56" i="28"/>
  <c r="EA56" i="28"/>
  <c r="DZ56" i="28"/>
  <c r="DY56" i="28"/>
  <c r="DW56" i="28"/>
  <c r="DV56" i="28"/>
  <c r="DU56" i="28"/>
  <c r="DT56" i="28"/>
  <c r="DS56" i="28"/>
  <c r="CZ56" i="28"/>
  <c r="ED56" i="28" s="1"/>
  <c r="EQ55" i="28"/>
  <c r="EP55" i="28"/>
  <c r="EN55" i="28"/>
  <c r="EM55" i="28"/>
  <c r="EL55" i="28"/>
  <c r="EK55" i="28"/>
  <c r="EJ55" i="28"/>
  <c r="EI55" i="28"/>
  <c r="EC55" i="28"/>
  <c r="EB55" i="28"/>
  <c r="DZ55" i="28"/>
  <c r="DY55" i="28"/>
  <c r="DX55" i="28"/>
  <c r="DW55" i="28"/>
  <c r="DV55" i="28"/>
  <c r="DU55" i="28"/>
  <c r="DT55" i="28"/>
  <c r="CZ55" i="28"/>
  <c r="ED55" i="28" s="1"/>
  <c r="DO51" i="28"/>
  <c r="DN51" i="28"/>
  <c r="DM51" i="28"/>
  <c r="DL51" i="28"/>
  <c r="DK51" i="28"/>
  <c r="DJ51" i="28"/>
  <c r="DI51" i="28"/>
  <c r="DH51" i="28"/>
  <c r="DG51" i="28"/>
  <c r="DF51" i="28"/>
  <c r="DE51" i="28"/>
  <c r="DD51" i="28"/>
  <c r="CX51" i="28"/>
  <c r="CW51" i="28"/>
  <c r="CS51" i="28"/>
  <c r="CP51" i="28"/>
  <c r="CO51" i="28"/>
  <c r="CT51" i="28"/>
  <c r="CY51" i="28"/>
  <c r="CV51" i="28"/>
  <c r="CU51" i="28"/>
  <c r="CR51" i="28"/>
  <c r="CN51" i="28"/>
  <c r="BR51" i="28"/>
  <c r="BS51" i="28"/>
  <c r="CF51" i="28"/>
  <c r="CG51" i="28"/>
  <c r="DV67" i="25"/>
  <c r="DU67" i="25"/>
  <c r="DT67" i="25"/>
  <c r="DS67" i="25"/>
  <c r="DR67" i="25"/>
  <c r="DQ67" i="25"/>
  <c r="DP67" i="25"/>
  <c r="DO67" i="25"/>
  <c r="DN67" i="25"/>
  <c r="DM67" i="25"/>
  <c r="DV66" i="25"/>
  <c r="DU66" i="25"/>
  <c r="DT66" i="25"/>
  <c r="DS66" i="25"/>
  <c r="DR66" i="25"/>
  <c r="DQ66" i="25"/>
  <c r="DP66" i="25"/>
  <c r="DO66" i="25"/>
  <c r="DN66" i="25"/>
  <c r="DM66" i="25"/>
  <c r="DL66" i="25"/>
  <c r="CR56" i="25"/>
  <c r="CN61" i="25"/>
  <c r="CO61" i="25"/>
  <c r="CP61" i="25"/>
  <c r="CQ61" i="25"/>
  <c r="P54" i="41" l="1"/>
  <c r="Q54" i="41" s="1"/>
  <c r="P55" i="41"/>
  <c r="Q55" i="41" s="1"/>
  <c r="P52" i="41"/>
  <c r="Q52" i="41" s="1"/>
  <c r="P51" i="41"/>
  <c r="Q51" i="41" s="1"/>
  <c r="P53" i="41"/>
  <c r="Q53" i="41" s="1"/>
  <c r="P49" i="41"/>
  <c r="P50" i="41"/>
  <c r="Q50" i="41" s="1"/>
  <c r="P56" i="41"/>
  <c r="Q56" i="41" s="1"/>
  <c r="CS64" i="28"/>
  <c r="CV64" i="28"/>
  <c r="CX64" i="28"/>
  <c r="CU64" i="28"/>
  <c r="CT64" i="28"/>
  <c r="CY64" i="28"/>
  <c r="N54" i="24"/>
  <c r="O54" i="24" s="1"/>
  <c r="N52" i="24"/>
  <c r="O52" i="24" s="1"/>
  <c r="N49" i="24"/>
  <c r="N51" i="24"/>
  <c r="O51" i="24" s="1"/>
  <c r="N53" i="24"/>
  <c r="O53" i="24" s="1"/>
  <c r="N56" i="24"/>
  <c r="O56" i="24" s="1"/>
  <c r="N50" i="24"/>
  <c r="O50" i="24" s="1"/>
  <c r="N55" i="24"/>
  <c r="O55" i="24" s="1"/>
  <c r="CP64" i="28"/>
  <c r="CO64" i="28"/>
  <c r="CN64" i="28"/>
  <c r="CR64" i="28"/>
  <c r="CW64" i="28"/>
  <c r="I56" i="15"/>
  <c r="L48" i="17"/>
  <c r="ED5" i="28"/>
  <c r="ED51" i="28" s="1"/>
  <c r="F75" i="15"/>
  <c r="I64" i="17"/>
  <c r="I58" i="15"/>
  <c r="L50" i="17"/>
  <c r="I57" i="15"/>
  <c r="L49" i="17"/>
  <c r="DL67" i="25"/>
  <c r="DR61" i="25"/>
  <c r="DS61" i="25"/>
  <c r="DI66" i="25"/>
  <c r="DI67" i="25"/>
  <c r="DQ61" i="25"/>
  <c r="EN51" i="28"/>
  <c r="EB51" i="28"/>
  <c r="EA51" i="28"/>
  <c r="DU51" i="28"/>
  <c r="EP51" i="28"/>
  <c r="DZ51" i="28"/>
  <c r="DP56" i="28"/>
  <c r="ER56" i="28" s="1"/>
  <c r="DY51" i="28"/>
  <c r="EC51" i="28"/>
  <c r="DX51" i="28"/>
  <c r="EK51" i="28"/>
  <c r="DP55" i="28"/>
  <c r="ER55" i="28" s="1"/>
  <c r="EM51" i="28"/>
  <c r="EQ51" i="28"/>
  <c r="EL51" i="28"/>
  <c r="EO51" i="28"/>
  <c r="ER4" i="28"/>
  <c r="EH55" i="28"/>
  <c r="ER5" i="28"/>
  <c r="EI51" i="28"/>
  <c r="EH51" i="28"/>
  <c r="EJ51" i="28"/>
  <c r="EG51" i="28"/>
  <c r="DP51" i="28"/>
  <c r="DV51" i="28"/>
  <c r="DS51" i="28"/>
  <c r="DR51" i="28"/>
  <c r="DT51" i="28"/>
  <c r="CZ51" i="28"/>
  <c r="DW51" i="28"/>
  <c r="EF51" i="28"/>
  <c r="CQ51" i="28"/>
  <c r="CQ64" i="28" s="1"/>
  <c r="I4" i="41" s="1"/>
  <c r="DU61" i="25"/>
  <c r="DT61" i="25"/>
  <c r="DM61" i="25"/>
  <c r="DL61" i="25"/>
  <c r="DP61" i="25"/>
  <c r="DN61" i="25"/>
  <c r="DO61" i="25"/>
  <c r="DW66" i="25"/>
  <c r="DV61" i="25"/>
  <c r="EE74" i="26"/>
  <c r="EE73" i="26"/>
  <c r="EC67" i="26"/>
  <c r="EB67" i="26"/>
  <c r="EA67" i="26"/>
  <c r="DZ67" i="26"/>
  <c r="DY67" i="26"/>
  <c r="DX67" i="26"/>
  <c r="DW67" i="26"/>
  <c r="DV67" i="26"/>
  <c r="DU67" i="26"/>
  <c r="DT67" i="26"/>
  <c r="DR67" i="26"/>
  <c r="G2" i="2" s="1"/>
  <c r="E3" i="41" s="1"/>
  <c r="EL4" i="26"/>
  <c r="EK4" i="26"/>
  <c r="EJ4" i="26"/>
  <c r="EI4" i="26"/>
  <c r="EH4" i="26"/>
  <c r="DH67" i="26"/>
  <c r="DK67" i="26"/>
  <c r="DI67" i="26"/>
  <c r="DJ67" i="26"/>
  <c r="C64" i="17" l="1"/>
  <c r="B64" i="17"/>
  <c r="A64" i="17"/>
  <c r="P45" i="41"/>
  <c r="P47" i="41" s="1"/>
  <c r="F4" i="24"/>
  <c r="H4" i="41"/>
  <c r="P57" i="41"/>
  <c r="Q49" i="41"/>
  <c r="N2" i="10"/>
  <c r="L4" i="41"/>
  <c r="S2" i="10"/>
  <c r="Q4" i="41"/>
  <c r="K4" i="24"/>
  <c r="M4" i="41"/>
  <c r="Q2" i="10"/>
  <c r="O4" i="41"/>
  <c r="N4" i="24"/>
  <c r="P4" i="41"/>
  <c r="H4" i="24"/>
  <c r="J4" i="41"/>
  <c r="L4" i="24"/>
  <c r="N4" i="41"/>
  <c r="H2" i="10"/>
  <c r="E4" i="41"/>
  <c r="M2" i="10"/>
  <c r="K4" i="41"/>
  <c r="E4" i="24"/>
  <c r="G4" i="41"/>
  <c r="D3" i="24"/>
  <c r="G7" i="2"/>
  <c r="DR72" i="26" s="1"/>
  <c r="O2" i="10"/>
  <c r="P2" i="10"/>
  <c r="I4" i="24"/>
  <c r="R2" i="10"/>
  <c r="J4" i="24"/>
  <c r="O4" i="24"/>
  <c r="D4" i="24"/>
  <c r="N57" i="24"/>
  <c r="J2" i="10"/>
  <c r="I2" i="10"/>
  <c r="M4" i="24"/>
  <c r="N45" i="24"/>
  <c r="N47" i="24" s="1"/>
  <c r="L2" i="10"/>
  <c r="O49" i="24"/>
  <c r="J56" i="15"/>
  <c r="M48" i="17"/>
  <c r="G4" i="24"/>
  <c r="K2" i="10"/>
  <c r="CZ64" i="28"/>
  <c r="ES4" i="26"/>
  <c r="G75" i="15"/>
  <c r="J64" i="17"/>
  <c r="J58" i="15"/>
  <c r="M50" i="17"/>
  <c r="J57" i="15"/>
  <c r="M49" i="17"/>
  <c r="DU64" i="28"/>
  <c r="DZ64" i="28"/>
  <c r="EC64" i="28"/>
  <c r="DY64" i="28"/>
  <c r="EA64" i="28"/>
  <c r="EB64" i="28"/>
  <c r="H2" i="2"/>
  <c r="P2" i="2"/>
  <c r="EN67" i="26"/>
  <c r="O2" i="2"/>
  <c r="EH67" i="26"/>
  <c r="I2" i="2"/>
  <c r="Q2" i="2"/>
  <c r="K2" i="2"/>
  <c r="EI67" i="26"/>
  <c r="J2" i="2"/>
  <c r="L2" i="2"/>
  <c r="R2" i="2"/>
  <c r="M2" i="2"/>
  <c r="EM67" i="26"/>
  <c r="N2" i="2"/>
  <c r="ES63" i="26"/>
  <c r="ES66" i="26"/>
  <c r="ES65" i="26"/>
  <c r="ES25" i="26"/>
  <c r="ES58" i="26"/>
  <c r="EO67" i="26"/>
  <c r="ES27" i="26"/>
  <c r="ES60" i="26"/>
  <c r="DW67" i="25"/>
  <c r="DX64" i="28"/>
  <c r="ER51" i="28"/>
  <c r="DS64" i="28"/>
  <c r="DV64" i="28"/>
  <c r="DR64" i="28"/>
  <c r="DT64" i="28"/>
  <c r="DW64" i="28"/>
  <c r="ES59" i="26"/>
  <c r="ES62" i="26"/>
  <c r="ES57" i="26"/>
  <c r="ES64" i="26"/>
  <c r="EQ67" i="26"/>
  <c r="EP67" i="26"/>
  <c r="EK67" i="26"/>
  <c r="ES61" i="26"/>
  <c r="ES34" i="26"/>
  <c r="ES42" i="26"/>
  <c r="ES50" i="26"/>
  <c r="ES26" i="26"/>
  <c r="ES52" i="26"/>
  <c r="ES36" i="26"/>
  <c r="ES44" i="26"/>
  <c r="EJ67" i="26"/>
  <c r="ES28" i="26"/>
  <c r="ES35" i="26"/>
  <c r="ES43" i="26"/>
  <c r="ES51" i="26"/>
  <c r="ES32" i="26"/>
  <c r="ES40" i="26"/>
  <c r="ES48" i="26"/>
  <c r="EL67" i="26"/>
  <c r="ES41" i="26"/>
  <c r="EE67" i="26"/>
  <c r="ES31" i="26"/>
  <c r="ES39" i="26"/>
  <c r="ES47" i="26"/>
  <c r="ES55" i="26"/>
  <c r="ES49" i="26"/>
  <c r="ES30" i="26"/>
  <c r="ES38" i="26"/>
  <c r="ES46" i="26"/>
  <c r="ES54" i="26"/>
  <c r="ES33" i="26"/>
  <c r="ES24" i="26"/>
  <c r="ES29" i="26"/>
  <c r="ES37" i="26"/>
  <c r="ES45" i="26"/>
  <c r="ES53" i="26"/>
  <c r="ES73" i="26"/>
  <c r="EG67" i="26"/>
  <c r="H4" i="2" l="1"/>
  <c r="M7" i="2"/>
  <c r="L3" i="41"/>
  <c r="O7" i="2"/>
  <c r="N3" i="41"/>
  <c r="DA64" i="28"/>
  <c r="J7" i="2"/>
  <c r="I3" i="41"/>
  <c r="P7" i="2"/>
  <c r="O3" i="41"/>
  <c r="L7" i="2"/>
  <c r="K3" i="41"/>
  <c r="L45" i="24"/>
  <c r="L47" i="24" s="1"/>
  <c r="N45" i="41"/>
  <c r="H7" i="2"/>
  <c r="K7" i="2"/>
  <c r="J3" i="41"/>
  <c r="R4" i="41"/>
  <c r="R7" i="2"/>
  <c r="Q3" i="41"/>
  <c r="N7" i="2"/>
  <c r="M3" i="41"/>
  <c r="Q7" i="2"/>
  <c r="P3" i="41"/>
  <c r="I7" i="2"/>
  <c r="H3" i="41"/>
  <c r="P4" i="24"/>
  <c r="S4" i="24" s="1"/>
  <c r="K56" i="15"/>
  <c r="N48" i="17"/>
  <c r="ED64" i="28"/>
  <c r="EF64" i="28" s="1"/>
  <c r="N3" i="24"/>
  <c r="R3" i="17"/>
  <c r="I3" i="17"/>
  <c r="E3" i="24"/>
  <c r="J3" i="24"/>
  <c r="N3" i="17"/>
  <c r="I3" i="24"/>
  <c r="M3" i="17"/>
  <c r="K3" i="17"/>
  <c r="G3" i="24"/>
  <c r="Q3" i="17"/>
  <c r="M3" i="24"/>
  <c r="H3" i="24"/>
  <c r="L3" i="17"/>
  <c r="O3" i="17"/>
  <c r="K3" i="24"/>
  <c r="J3" i="17"/>
  <c r="F3" i="24"/>
  <c r="S3" i="17"/>
  <c r="O3" i="24"/>
  <c r="P3" i="17"/>
  <c r="L3" i="24"/>
  <c r="H75" i="15"/>
  <c r="K64" i="17"/>
  <c r="K58" i="15"/>
  <c r="N50" i="17"/>
  <c r="K57" i="15"/>
  <c r="N49" i="17"/>
  <c r="ER67" i="26"/>
  <c r="N47" i="41" l="1"/>
  <c r="V4" i="41"/>
  <c r="U4" i="41"/>
  <c r="T4" i="41"/>
  <c r="S4" i="41"/>
  <c r="R3" i="41"/>
  <c r="T4" i="24"/>
  <c r="L56" i="15"/>
  <c r="O48" i="17"/>
  <c r="P3" i="24"/>
  <c r="I75" i="15"/>
  <c r="L64" i="17"/>
  <c r="L58" i="15"/>
  <c r="O50" i="17"/>
  <c r="L57" i="15"/>
  <c r="O49" i="17"/>
  <c r="ES67" i="26"/>
  <c r="H11" i="11"/>
  <c r="B76" i="11" s="1"/>
  <c r="I21" i="6"/>
  <c r="C53" i="6" s="1"/>
  <c r="D36" i="3"/>
  <c r="E36" i="3"/>
  <c r="F36" i="3"/>
  <c r="G36" i="3"/>
  <c r="H36" i="3"/>
  <c r="I36" i="3"/>
  <c r="J36" i="3"/>
  <c r="K36" i="3"/>
  <c r="L36" i="3"/>
  <c r="M36" i="3"/>
  <c r="N36" i="3"/>
  <c r="C36" i="3"/>
  <c r="T3" i="41" l="1"/>
  <c r="S3" i="41"/>
  <c r="V3" i="41"/>
  <c r="U3" i="41"/>
  <c r="S3" i="24"/>
  <c r="T3" i="24"/>
  <c r="Q3" i="24"/>
  <c r="R3" i="24"/>
  <c r="M56" i="15"/>
  <c r="P48" i="17"/>
  <c r="J75" i="15"/>
  <c r="M64" i="17"/>
  <c r="M58" i="15"/>
  <c r="P50" i="17"/>
  <c r="M57" i="15"/>
  <c r="P49" i="17"/>
  <c r="F76" i="11"/>
  <c r="D67" i="15"/>
  <c r="G76" i="11"/>
  <c r="M76" i="11"/>
  <c r="H76" i="11"/>
  <c r="I76" i="11"/>
  <c r="J76" i="11"/>
  <c r="C76" i="11"/>
  <c r="K76" i="11"/>
  <c r="E76" i="11"/>
  <c r="D76" i="11"/>
  <c r="L76" i="11"/>
  <c r="H53" i="6"/>
  <c r="M53" i="6"/>
  <c r="J53" i="6"/>
  <c r="F53" i="6"/>
  <c r="K53" i="6"/>
  <c r="I53" i="6"/>
  <c r="G53" i="6"/>
  <c r="N53" i="6"/>
  <c r="E53" i="6"/>
  <c r="L53" i="6"/>
  <c r="D53" i="6"/>
  <c r="H21" i="6"/>
  <c r="C51" i="6" s="1"/>
  <c r="F18" i="6"/>
  <c r="G18" i="6" s="1"/>
  <c r="D3" i="6"/>
  <c r="F67" i="15" l="1"/>
  <c r="J57" i="17" s="1"/>
  <c r="I67" i="15"/>
  <c r="M57" i="17" s="1"/>
  <c r="G67" i="15"/>
  <c r="K57" i="17" s="1"/>
  <c r="M67" i="15"/>
  <c r="Q57" i="17" s="1"/>
  <c r="E67" i="15"/>
  <c r="I57" i="17" s="1"/>
  <c r="K67" i="15"/>
  <c r="O57" i="17" s="1"/>
  <c r="E3" i="6"/>
  <c r="F3" i="6" s="1"/>
  <c r="L67" i="15"/>
  <c r="P57" i="17" s="1"/>
  <c r="H67" i="15"/>
  <c r="L57" i="17" s="1"/>
  <c r="J67" i="15"/>
  <c r="N57" i="17" s="1"/>
  <c r="N67" i="15"/>
  <c r="R57" i="17" s="1"/>
  <c r="O67" i="15"/>
  <c r="S57" i="17" s="1"/>
  <c r="N56" i="15"/>
  <c r="Q48" i="17"/>
  <c r="K75" i="15"/>
  <c r="N64" i="17"/>
  <c r="N58" i="15"/>
  <c r="Q50" i="17"/>
  <c r="N57" i="15"/>
  <c r="Q49" i="17"/>
  <c r="H26" i="6"/>
  <c r="E61" i="15"/>
  <c r="E5" i="15"/>
  <c r="D18" i="3"/>
  <c r="D60" i="15"/>
  <c r="D24" i="15"/>
  <c r="E24" i="15" s="1"/>
  <c r="F24" i="15" s="1"/>
  <c r="G24" i="15" s="1"/>
  <c r="H24" i="15" s="1"/>
  <c r="I24" i="15" s="1"/>
  <c r="J24" i="15" s="1"/>
  <c r="K24" i="15" s="1"/>
  <c r="L24" i="15" s="1"/>
  <c r="M24" i="15" s="1"/>
  <c r="N24" i="15" s="1"/>
  <c r="O24" i="15" s="1"/>
  <c r="C29" i="11"/>
  <c r="C32" i="11"/>
  <c r="C40" i="11"/>
  <c r="O7" i="6"/>
  <c r="O12" i="6"/>
  <c r="F15" i="5" s="1"/>
  <c r="D15" i="15"/>
  <c r="C27" i="11"/>
  <c r="C57" i="17" l="1"/>
  <c r="B57" i="17"/>
  <c r="A57" i="17"/>
  <c r="N21" i="5"/>
  <c r="O21" i="5"/>
  <c r="I21" i="5"/>
  <c r="K21" i="5"/>
  <c r="Q21" i="5"/>
  <c r="F21" i="5"/>
  <c r="G21" i="5"/>
  <c r="L21" i="5"/>
  <c r="M21" i="5"/>
  <c r="H21" i="5"/>
  <c r="P21" i="5"/>
  <c r="J21" i="5"/>
  <c r="F5" i="15"/>
  <c r="I24" i="17"/>
  <c r="O56" i="15"/>
  <c r="S48" i="17" s="1"/>
  <c r="R48" i="17"/>
  <c r="L75" i="15"/>
  <c r="O64" i="17"/>
  <c r="F61" i="15"/>
  <c r="I53" i="17"/>
  <c r="O58" i="15"/>
  <c r="S50" i="17" s="1"/>
  <c r="R50" i="17"/>
  <c r="O57" i="15"/>
  <c r="S49" i="17" s="1"/>
  <c r="R49" i="17"/>
  <c r="P24" i="15"/>
  <c r="E46" i="15"/>
  <c r="F46" i="15" s="1"/>
  <c r="G46" i="15" s="1"/>
  <c r="H46" i="15" s="1"/>
  <c r="I46" i="15" s="1"/>
  <c r="J46" i="15" s="1"/>
  <c r="K46" i="15" s="1"/>
  <c r="L46" i="15" s="1"/>
  <c r="M46" i="15" s="1"/>
  <c r="N46" i="15" s="1"/>
  <c r="O46" i="15" s="1"/>
  <c r="D17" i="3"/>
  <c r="D16" i="3"/>
  <c r="C42" i="11"/>
  <c r="C53" i="17" l="1"/>
  <c r="B53" i="17"/>
  <c r="A53" i="17"/>
  <c r="A24" i="17"/>
  <c r="B24" i="17"/>
  <c r="C24" i="17"/>
  <c r="G5" i="15"/>
  <c r="J24" i="17"/>
  <c r="M75" i="15"/>
  <c r="P64" i="17"/>
  <c r="G61" i="15"/>
  <c r="J53" i="17"/>
  <c r="P46" i="15"/>
  <c r="C39" i="11"/>
  <c r="C28" i="11"/>
  <c r="C24" i="11"/>
  <c r="C31" i="11"/>
  <c r="C25" i="11"/>
  <c r="C26" i="11"/>
  <c r="H5" i="15" l="1"/>
  <c r="K24" i="17"/>
  <c r="N75" i="15"/>
  <c r="Q64" i="17"/>
  <c r="H61" i="15"/>
  <c r="K53" i="17"/>
  <c r="O2" i="6"/>
  <c r="D81" i="15"/>
  <c r="E81" i="15" l="1"/>
  <c r="F81" i="15" s="1"/>
  <c r="G81" i="15" s="1"/>
  <c r="H81" i="15" s="1"/>
  <c r="I81" i="15" s="1"/>
  <c r="J81" i="15" s="1"/>
  <c r="K81" i="15" s="1"/>
  <c r="L81" i="15" s="1"/>
  <c r="M81" i="15" s="1"/>
  <c r="N81" i="15" s="1"/>
  <c r="O81" i="15" s="1"/>
  <c r="I5" i="15"/>
  <c r="L24" i="17"/>
  <c r="O75" i="15"/>
  <c r="S64" i="17" s="1"/>
  <c r="R64" i="17"/>
  <c r="I61" i="15"/>
  <c r="L53" i="17"/>
  <c r="H27" i="6"/>
  <c r="H29" i="6"/>
  <c r="H30" i="6"/>
  <c r="H31" i="6"/>
  <c r="H33" i="6"/>
  <c r="H34" i="6"/>
  <c r="H35" i="6"/>
  <c r="H37" i="6"/>
  <c r="H38" i="6"/>
  <c r="H40" i="6"/>
  <c r="H25" i="6"/>
  <c r="D19" i="3"/>
  <c r="D20" i="3" s="1"/>
  <c r="B100" i="15"/>
  <c r="B99" i="15"/>
  <c r="B94" i="15"/>
  <c r="B93" i="15"/>
  <c r="C109" i="15"/>
  <c r="G94" i="15" s="1"/>
  <c r="D23" i="15"/>
  <c r="E77" i="15"/>
  <c r="F77" i="15" s="1"/>
  <c r="G77" i="15" s="1"/>
  <c r="H77" i="15" s="1"/>
  <c r="I77" i="15" s="1"/>
  <c r="J77" i="15" s="1"/>
  <c r="K77" i="15" s="1"/>
  <c r="L77" i="15" s="1"/>
  <c r="M77" i="15" s="1"/>
  <c r="N77" i="15" s="1"/>
  <c r="O77" i="15" s="1"/>
  <c r="D76" i="15"/>
  <c r="E76" i="15" s="1"/>
  <c r="F76" i="15" l="1"/>
  <c r="I65" i="17"/>
  <c r="J5" i="15"/>
  <c r="M24" i="17"/>
  <c r="J61" i="15"/>
  <c r="M53" i="17"/>
  <c r="F5" i="6"/>
  <c r="G5" i="6" s="1"/>
  <c r="H28" i="6"/>
  <c r="D94" i="15"/>
  <c r="I94" i="15"/>
  <c r="F94" i="15"/>
  <c r="L94" i="15"/>
  <c r="K94" i="15"/>
  <c r="M94" i="15"/>
  <c r="E94" i="15"/>
  <c r="H94" i="15"/>
  <c r="J94" i="15"/>
  <c r="C94" i="15"/>
  <c r="E109" i="15"/>
  <c r="F109" i="15" s="1"/>
  <c r="G109" i="15" s="1"/>
  <c r="H109" i="15" s="1"/>
  <c r="E23" i="15"/>
  <c r="F23" i="15" s="1"/>
  <c r="G23" i="15" s="1"/>
  <c r="H23" i="15" s="1"/>
  <c r="I23" i="15" s="1"/>
  <c r="J23" i="15" s="1"/>
  <c r="K23" i="15" s="1"/>
  <c r="L23" i="15" s="1"/>
  <c r="M23" i="15" s="1"/>
  <c r="N23" i="15" s="1"/>
  <c r="O23" i="15" s="1"/>
  <c r="E83" i="15"/>
  <c r="A80" i="15"/>
  <c r="E22" i="15"/>
  <c r="F22" i="15" s="1"/>
  <c r="G22" i="15" s="1"/>
  <c r="H22" i="15" s="1"/>
  <c r="I22" i="15" s="1"/>
  <c r="J22" i="15" s="1"/>
  <c r="K22" i="15" s="1"/>
  <c r="L22" i="15" s="1"/>
  <c r="M22" i="15" s="1"/>
  <c r="N22" i="15" s="1"/>
  <c r="O22" i="15" s="1"/>
  <c r="P22" i="15" s="1"/>
  <c r="E53" i="15"/>
  <c r="D59" i="15"/>
  <c r="E59" i="15" s="1"/>
  <c r="E21" i="15"/>
  <c r="F21" i="15" s="1"/>
  <c r="G21" i="15" s="1"/>
  <c r="H21" i="15" s="1"/>
  <c r="I21" i="15" s="1"/>
  <c r="J21" i="15" s="1"/>
  <c r="K21" i="15" s="1"/>
  <c r="L21" i="15" s="1"/>
  <c r="M21" i="15" s="1"/>
  <c r="N21" i="15" s="1"/>
  <c r="O21" i="15" s="1"/>
  <c r="E60" i="15"/>
  <c r="E54" i="15"/>
  <c r="E45" i="15"/>
  <c r="F45" i="15" s="1"/>
  <c r="G45" i="15" s="1"/>
  <c r="H45" i="15" s="1"/>
  <c r="I45" i="15" s="1"/>
  <c r="J45" i="15" s="1"/>
  <c r="K45" i="15" s="1"/>
  <c r="L45" i="15" s="1"/>
  <c r="M45" i="15" s="1"/>
  <c r="N45" i="15" s="1"/>
  <c r="O45" i="15" s="1"/>
  <c r="E44" i="15"/>
  <c r="E3" i="15"/>
  <c r="I23" i="17" s="1"/>
  <c r="E30" i="15"/>
  <c r="E31" i="15"/>
  <c r="D32" i="15"/>
  <c r="E32" i="15" s="1"/>
  <c r="L7" i="15"/>
  <c r="E7" i="15"/>
  <c r="E6" i="15"/>
  <c r="E25" i="15"/>
  <c r="F25" i="15" s="1"/>
  <c r="G25" i="15" s="1"/>
  <c r="H25" i="15" s="1"/>
  <c r="I25" i="15" s="1"/>
  <c r="J25" i="15" s="1"/>
  <c r="K25" i="15" s="1"/>
  <c r="L25" i="15" s="1"/>
  <c r="M25" i="15" s="1"/>
  <c r="N25" i="15" s="1"/>
  <c r="O25" i="15" s="1"/>
  <c r="E19" i="15"/>
  <c r="E17" i="15"/>
  <c r="F17" i="15" s="1"/>
  <c r="G17" i="15" s="1"/>
  <c r="H17" i="15" s="1"/>
  <c r="I17" i="15" s="1"/>
  <c r="J17" i="15" s="1"/>
  <c r="K17" i="15" s="1"/>
  <c r="L17" i="15" s="1"/>
  <c r="M17" i="15" s="1"/>
  <c r="N17" i="15" s="1"/>
  <c r="O17" i="15" s="1"/>
  <c r="E12" i="15"/>
  <c r="F12" i="15" s="1"/>
  <c r="G12" i="15" s="1"/>
  <c r="H12" i="15" s="1"/>
  <c r="I12" i="15" s="1"/>
  <c r="J12" i="15" s="1"/>
  <c r="K12" i="15" s="1"/>
  <c r="L12" i="15" s="1"/>
  <c r="M12" i="15" s="1"/>
  <c r="N12" i="15" s="1"/>
  <c r="O12" i="15" s="1"/>
  <c r="E11" i="15"/>
  <c r="F11" i="15" s="1"/>
  <c r="G11" i="15" s="1"/>
  <c r="H11" i="15" s="1"/>
  <c r="I11" i="15" s="1"/>
  <c r="J11" i="15" s="1"/>
  <c r="K11" i="15" s="1"/>
  <c r="L11" i="15" s="1"/>
  <c r="M11" i="15" s="1"/>
  <c r="N11" i="15" s="1"/>
  <c r="O11" i="15" s="1"/>
  <c r="E10" i="15"/>
  <c r="F10" i="15" s="1"/>
  <c r="G10" i="15" s="1"/>
  <c r="H10" i="15" s="1"/>
  <c r="I10" i="15" s="1"/>
  <c r="J10" i="15" s="1"/>
  <c r="K10" i="15" s="1"/>
  <c r="L10" i="15" s="1"/>
  <c r="M10" i="15" s="1"/>
  <c r="N10" i="15" s="1"/>
  <c r="O10" i="15" s="1"/>
  <c r="A23" i="17" l="1"/>
  <c r="C23" i="17"/>
  <c r="B23" i="17"/>
  <c r="C65" i="17"/>
  <c r="B65" i="17"/>
  <c r="A65" i="17"/>
  <c r="F44" i="15"/>
  <c r="I41" i="17"/>
  <c r="F7" i="15"/>
  <c r="I26" i="17"/>
  <c r="F54" i="15"/>
  <c r="I46" i="17"/>
  <c r="F6" i="15"/>
  <c r="I25" i="17"/>
  <c r="N7" i="15"/>
  <c r="R26" i="17" s="1"/>
  <c r="P26" i="17"/>
  <c r="F60" i="15"/>
  <c r="I52" i="17"/>
  <c r="K5" i="15"/>
  <c r="N24" i="17"/>
  <c r="F59" i="15"/>
  <c r="I51" i="17"/>
  <c r="F32" i="15"/>
  <c r="I34" i="17"/>
  <c r="F31" i="15"/>
  <c r="I33" i="17"/>
  <c r="F30" i="15"/>
  <c r="I32" i="17"/>
  <c r="F53" i="15"/>
  <c r="I45" i="17"/>
  <c r="G76" i="15"/>
  <c r="J65" i="17"/>
  <c r="K61" i="15"/>
  <c r="N53" i="17"/>
  <c r="F83" i="15"/>
  <c r="I66" i="17"/>
  <c r="F3" i="15"/>
  <c r="P23" i="15"/>
  <c r="E18" i="15"/>
  <c r="P11" i="15"/>
  <c r="D16" i="15"/>
  <c r="E16" i="15" s="1"/>
  <c r="F16" i="15" s="1"/>
  <c r="G16" i="15" s="1"/>
  <c r="H16" i="15" s="1"/>
  <c r="I16" i="15" s="1"/>
  <c r="J16" i="15" s="1"/>
  <c r="K16" i="15" s="1"/>
  <c r="L16" i="15" s="1"/>
  <c r="M16" i="15" s="1"/>
  <c r="N16" i="15" s="1"/>
  <c r="O16" i="15" s="1"/>
  <c r="E15" i="15"/>
  <c r="F15" i="15" s="1"/>
  <c r="G15" i="15" s="1"/>
  <c r="H15" i="15" s="1"/>
  <c r="I15" i="15" s="1"/>
  <c r="J15" i="15" s="1"/>
  <c r="K15" i="15" s="1"/>
  <c r="L15" i="15" s="1"/>
  <c r="M15" i="15" s="1"/>
  <c r="N15" i="15" s="1"/>
  <c r="O15" i="15" s="1"/>
  <c r="D14" i="15"/>
  <c r="E14" i="15" s="1"/>
  <c r="F14" i="15" s="1"/>
  <c r="G14" i="15" s="1"/>
  <c r="H14" i="15" s="1"/>
  <c r="I14" i="15" s="1"/>
  <c r="J14" i="15" s="1"/>
  <c r="K14" i="15" s="1"/>
  <c r="L14" i="15" s="1"/>
  <c r="M14" i="15" s="1"/>
  <c r="N14" i="15" s="1"/>
  <c r="O14" i="15" s="1"/>
  <c r="E8" i="15"/>
  <c r="F8" i="15" s="1"/>
  <c r="G8" i="15" s="1"/>
  <c r="H8" i="15" s="1"/>
  <c r="I8" i="15" s="1"/>
  <c r="J8" i="15" s="1"/>
  <c r="K8" i="15" s="1"/>
  <c r="L8" i="15" s="1"/>
  <c r="M8" i="15" s="1"/>
  <c r="N8" i="15" s="1"/>
  <c r="O8" i="15" s="1"/>
  <c r="DG71" i="26"/>
  <c r="BQ12" i="28"/>
  <c r="BQ5" i="28"/>
  <c r="BQ6" i="28"/>
  <c r="BQ17" i="28"/>
  <c r="CD14" i="28"/>
  <c r="C45" i="17" l="1"/>
  <c r="B45" i="17"/>
  <c r="A45" i="17"/>
  <c r="C25" i="17"/>
  <c r="B25" i="17"/>
  <c r="A25" i="17"/>
  <c r="B32" i="17"/>
  <c r="C32" i="17"/>
  <c r="A32" i="17"/>
  <c r="B34" i="17"/>
  <c r="C34" i="17"/>
  <c r="A34" i="17"/>
  <c r="A66" i="17"/>
  <c r="C66" i="17"/>
  <c r="B66" i="17"/>
  <c r="C41" i="17"/>
  <c r="C42" i="17" s="1"/>
  <c r="B41" i="17"/>
  <c r="A41" i="17"/>
  <c r="B51" i="17"/>
  <c r="A51" i="17"/>
  <c r="C51" i="17"/>
  <c r="A46" i="17"/>
  <c r="B46" i="17"/>
  <c r="C46" i="17"/>
  <c r="C52" i="17"/>
  <c r="B52" i="17"/>
  <c r="A52" i="17"/>
  <c r="C33" i="17"/>
  <c r="B33" i="17"/>
  <c r="A33" i="17"/>
  <c r="B26" i="17"/>
  <c r="A26" i="17"/>
  <c r="C26" i="17"/>
  <c r="G30" i="15"/>
  <c r="J32" i="17"/>
  <c r="L5" i="15"/>
  <c r="O24" i="17"/>
  <c r="G54" i="15"/>
  <c r="J46" i="17"/>
  <c r="G53" i="15"/>
  <c r="J45" i="17"/>
  <c r="G6" i="15"/>
  <c r="J25" i="17"/>
  <c r="G60" i="15"/>
  <c r="J52" i="17"/>
  <c r="G3" i="15"/>
  <c r="J23" i="17"/>
  <c r="G59" i="15"/>
  <c r="J51" i="17"/>
  <c r="G7" i="15"/>
  <c r="J26" i="17"/>
  <c r="G31" i="15"/>
  <c r="J33" i="17"/>
  <c r="H76" i="15"/>
  <c r="K65" i="17"/>
  <c r="G32" i="15"/>
  <c r="J34" i="17"/>
  <c r="G44" i="15"/>
  <c r="J41" i="17"/>
  <c r="F18" i="15"/>
  <c r="L61" i="15"/>
  <c r="O53" i="17"/>
  <c r="G83" i="15"/>
  <c r="J66" i="17"/>
  <c r="BQ51" i="28"/>
  <c r="CM22" i="25"/>
  <c r="A56" i="17" l="1"/>
  <c r="B56" i="17"/>
  <c r="C56" i="17"/>
  <c r="H3" i="15"/>
  <c r="K23" i="17"/>
  <c r="H54" i="15"/>
  <c r="K46" i="17"/>
  <c r="H53" i="15"/>
  <c r="K45" i="17"/>
  <c r="I76" i="15"/>
  <c r="L65" i="17"/>
  <c r="H32" i="15"/>
  <c r="K34" i="17"/>
  <c r="H59" i="15"/>
  <c r="K51" i="17"/>
  <c r="H31" i="15"/>
  <c r="K33" i="17"/>
  <c r="H60" i="15"/>
  <c r="K52" i="17"/>
  <c r="M5" i="15"/>
  <c r="P24" i="17"/>
  <c r="H44" i="15"/>
  <c r="K41" i="17"/>
  <c r="H7" i="15"/>
  <c r="K26" i="17"/>
  <c r="H6" i="15"/>
  <c r="K25" i="17"/>
  <c r="H30" i="15"/>
  <c r="K32" i="17"/>
  <c r="G18" i="15"/>
  <c r="M61" i="15"/>
  <c r="P53" i="17"/>
  <c r="H83" i="15"/>
  <c r="K66" i="17"/>
  <c r="DG5" i="26"/>
  <c r="DG67" i="26" s="1"/>
  <c r="I53" i="15" l="1"/>
  <c r="L45" i="17"/>
  <c r="I6" i="15"/>
  <c r="L25" i="17"/>
  <c r="I60" i="15"/>
  <c r="L52" i="17"/>
  <c r="I7" i="15"/>
  <c r="L26" i="17"/>
  <c r="I31" i="15"/>
  <c r="L33" i="17"/>
  <c r="I59" i="15"/>
  <c r="L51" i="17"/>
  <c r="J76" i="15"/>
  <c r="M65" i="17"/>
  <c r="I44" i="15"/>
  <c r="L41" i="17"/>
  <c r="I54" i="15"/>
  <c r="L46" i="17"/>
  <c r="I30" i="15"/>
  <c r="L32" i="17"/>
  <c r="N5" i="15"/>
  <c r="Q24" i="17"/>
  <c r="I32" i="15"/>
  <c r="L34" i="17"/>
  <c r="I3" i="15"/>
  <c r="L23" i="17"/>
  <c r="H18" i="15"/>
  <c r="N61" i="15"/>
  <c r="Q53" i="17"/>
  <c r="I83" i="15"/>
  <c r="L66" i="17"/>
  <c r="DL71" i="26"/>
  <c r="DK71" i="26"/>
  <c r="G51" i="11"/>
  <c r="G64" i="11" s="1"/>
  <c r="J60" i="15" l="1"/>
  <c r="M52" i="17"/>
  <c r="J7" i="15"/>
  <c r="M26" i="17"/>
  <c r="K76" i="15"/>
  <c r="N65" i="17"/>
  <c r="J32" i="15"/>
  <c r="M34" i="17"/>
  <c r="O5" i="15"/>
  <c r="S24" i="17" s="1"/>
  <c r="R24" i="17"/>
  <c r="J59" i="15"/>
  <c r="M51" i="17"/>
  <c r="J44" i="15"/>
  <c r="M41" i="17"/>
  <c r="J30" i="15"/>
  <c r="M32" i="17"/>
  <c r="J6" i="15"/>
  <c r="M25" i="17"/>
  <c r="J3" i="15"/>
  <c r="M23" i="17"/>
  <c r="J54" i="15"/>
  <c r="M46" i="17"/>
  <c r="J31" i="15"/>
  <c r="M33" i="17"/>
  <c r="J53" i="15"/>
  <c r="M45" i="17"/>
  <c r="I18" i="15"/>
  <c r="O61" i="15"/>
  <c r="S53" i="17" s="1"/>
  <c r="R53" i="17"/>
  <c r="J83" i="15"/>
  <c r="M66" i="17"/>
  <c r="I116" i="15"/>
  <c r="J117" i="15"/>
  <c r="D64" i="15" s="1"/>
  <c r="H57" i="17" s="1"/>
  <c r="K32" i="15" l="1"/>
  <c r="N34" i="17"/>
  <c r="K30" i="15"/>
  <c r="N32" i="17"/>
  <c r="K44" i="15"/>
  <c r="N41" i="17"/>
  <c r="K31" i="15"/>
  <c r="N33" i="17"/>
  <c r="K54" i="15"/>
  <c r="N46" i="17"/>
  <c r="L76" i="15"/>
  <c r="O65" i="17"/>
  <c r="K3" i="15"/>
  <c r="N23" i="17"/>
  <c r="K59" i="15"/>
  <c r="N51" i="17"/>
  <c r="K7" i="15"/>
  <c r="N26" i="17"/>
  <c r="K53" i="15"/>
  <c r="N45" i="17"/>
  <c r="K6" i="15"/>
  <c r="N25" i="17"/>
  <c r="K60" i="15"/>
  <c r="N52" i="17"/>
  <c r="J18" i="15"/>
  <c r="K83" i="15"/>
  <c r="N66" i="17"/>
  <c r="AL56" i="28"/>
  <c r="BP56" i="28" s="1"/>
  <c r="BP51" i="28"/>
  <c r="BT51" i="28"/>
  <c r="BU51" i="28"/>
  <c r="BV50" i="28"/>
  <c r="CD51" i="28"/>
  <c r="CE51" i="28"/>
  <c r="CH51" i="28"/>
  <c r="CI51" i="28"/>
  <c r="CJ50" i="28"/>
  <c r="L44" i="15" l="1"/>
  <c r="O41" i="17"/>
  <c r="L53" i="15"/>
  <c r="O45" i="17"/>
  <c r="M76" i="15"/>
  <c r="P65" i="17"/>
  <c r="M7" i="15"/>
  <c r="O26" i="17"/>
  <c r="L54" i="15"/>
  <c r="O46" i="17"/>
  <c r="L6" i="15"/>
  <c r="O25" i="17"/>
  <c r="L59" i="15"/>
  <c r="O51" i="17"/>
  <c r="O23" i="17"/>
  <c r="L3" i="15"/>
  <c r="L30" i="15"/>
  <c r="O32" i="17"/>
  <c r="L60" i="15"/>
  <c r="O52" i="17"/>
  <c r="L31" i="15"/>
  <c r="O33" i="17"/>
  <c r="L32" i="15"/>
  <c r="O34" i="17"/>
  <c r="K18" i="15"/>
  <c r="L83" i="15"/>
  <c r="O66" i="17"/>
  <c r="BP64" i="28"/>
  <c r="DC20" i="26"/>
  <c r="BZ13" i="28"/>
  <c r="BL4" i="28"/>
  <c r="BL5" i="28"/>
  <c r="CI33" i="25"/>
  <c r="M59" i="15" l="1"/>
  <c r="P51" i="17"/>
  <c r="N76" i="15"/>
  <c r="Q65" i="17"/>
  <c r="M32" i="15"/>
  <c r="P34" i="17"/>
  <c r="O7" i="15"/>
  <c r="S26" i="17" s="1"/>
  <c r="Q26" i="17"/>
  <c r="M60" i="15"/>
  <c r="P52" i="17"/>
  <c r="M53" i="15"/>
  <c r="P45" i="17"/>
  <c r="M3" i="15"/>
  <c r="P23" i="17"/>
  <c r="M31" i="15"/>
  <c r="P33" i="17"/>
  <c r="M6" i="15"/>
  <c r="P25" i="17"/>
  <c r="M30" i="15"/>
  <c r="P32" i="17"/>
  <c r="M54" i="15"/>
  <c r="P46" i="17"/>
  <c r="M44" i="15"/>
  <c r="P41" i="17"/>
  <c r="L18" i="15"/>
  <c r="M83" i="15"/>
  <c r="P66" i="17"/>
  <c r="CI54" i="28"/>
  <c r="CH54" i="28"/>
  <c r="DD20" i="26"/>
  <c r="BM17" i="28"/>
  <c r="CJ12" i="25"/>
  <c r="CJ29" i="25"/>
  <c r="N44" i="15" l="1"/>
  <c r="Q41" i="17"/>
  <c r="N3" i="15"/>
  <c r="Q23" i="17"/>
  <c r="N31" i="15"/>
  <c r="Q33" i="17"/>
  <c r="N32" i="15"/>
  <c r="Q34" i="17"/>
  <c r="N54" i="15"/>
  <c r="Q46" i="17"/>
  <c r="N30" i="15"/>
  <c r="Q32" i="17"/>
  <c r="N53" i="15"/>
  <c r="Q45" i="17"/>
  <c r="O76" i="15"/>
  <c r="S65" i="17" s="1"/>
  <c r="R65" i="17"/>
  <c r="N6" i="15"/>
  <c r="Q25" i="17"/>
  <c r="N60" i="15"/>
  <c r="Q52" i="17"/>
  <c r="N59" i="15"/>
  <c r="Q51" i="17"/>
  <c r="M18" i="15"/>
  <c r="N83" i="15"/>
  <c r="Q66" i="17"/>
  <c r="BT54" i="28"/>
  <c r="CD54" i="28"/>
  <c r="BP54" i="28"/>
  <c r="BP58" i="28" s="1"/>
  <c r="BU54" i="28"/>
  <c r="CK33" i="25"/>
  <c r="DE20" i="26"/>
  <c r="BN4" i="28"/>
  <c r="BO4" i="28"/>
  <c r="BN5" i="28"/>
  <c r="CB13" i="28"/>
  <c r="O32" i="15" l="1"/>
  <c r="S34" i="17" s="1"/>
  <c r="R34" i="17"/>
  <c r="O31" i="15"/>
  <c r="S33" i="17" s="1"/>
  <c r="R33" i="17"/>
  <c r="O59" i="15"/>
  <c r="S51" i="17" s="1"/>
  <c r="R51" i="17"/>
  <c r="O53" i="15"/>
  <c r="S45" i="17" s="1"/>
  <c r="R45" i="17"/>
  <c r="O60" i="15"/>
  <c r="S52" i="17" s="1"/>
  <c r="R52" i="17"/>
  <c r="O30" i="15"/>
  <c r="S32" i="17" s="1"/>
  <c r="R32" i="17"/>
  <c r="O3" i="15"/>
  <c r="S23" i="17" s="1"/>
  <c r="R23" i="17"/>
  <c r="O6" i="15"/>
  <c r="S25" i="17" s="1"/>
  <c r="R25" i="17"/>
  <c r="O54" i="15"/>
  <c r="S46" i="17" s="1"/>
  <c r="R46" i="17"/>
  <c r="O44" i="15"/>
  <c r="S41" i="17" s="1"/>
  <c r="R41" i="17"/>
  <c r="N18" i="15"/>
  <c r="O83" i="15"/>
  <c r="R66" i="17"/>
  <c r="BO58" i="28"/>
  <c r="CC17" i="28"/>
  <c r="BO17" i="28"/>
  <c r="O18" i="15" l="1"/>
  <c r="S66" i="17"/>
  <c r="P83" i="15"/>
  <c r="DF59" i="26"/>
  <c r="DF20" i="26"/>
  <c r="CR61" i="25" l="1"/>
  <c r="CM61" i="25"/>
  <c r="CS53" i="25"/>
  <c r="CS54" i="25"/>
  <c r="CS55" i="25"/>
  <c r="DG72" i="26" l="1"/>
  <c r="DL67" i="26"/>
  <c r="DL72" i="26" s="1"/>
  <c r="DM60" i="26"/>
  <c r="DM61" i="26"/>
  <c r="DM62" i="26"/>
  <c r="DM63" i="26"/>
  <c r="DM64" i="26"/>
  <c r="DM65" i="26"/>
  <c r="DM66" i="26"/>
  <c r="DM59" i="26"/>
  <c r="DF5" i="26"/>
  <c r="CL37" i="25" l="1"/>
  <c r="BM4" i="28" l="1"/>
  <c r="CA13" i="28"/>
  <c r="BM23" i="28"/>
  <c r="CB35" i="28"/>
  <c r="BN35" i="28"/>
  <c r="BN28" i="28"/>
  <c r="CB28" i="28"/>
  <c r="CB10" i="28"/>
  <c r="BN10" i="28"/>
  <c r="BN17" i="28"/>
  <c r="CB5" i="28"/>
  <c r="DE16" i="26"/>
  <c r="CK26" i="25" l="1"/>
  <c r="CK37" i="25"/>
  <c r="CK13" i="25"/>
  <c r="CK7" i="25"/>
  <c r="CK5" i="25"/>
  <c r="CJ13" i="25"/>
  <c r="CJ39" i="25"/>
  <c r="CJ23" i="25"/>
  <c r="BH10" i="28" l="1"/>
  <c r="BH9" i="28"/>
  <c r="BO21" i="28"/>
  <c r="BO10" i="28"/>
  <c r="BO9" i="28"/>
  <c r="BV21" i="28" l="1"/>
  <c r="BV9" i="28"/>
  <c r="BV10" i="28"/>
  <c r="CI41" i="25"/>
  <c r="CH57" i="25"/>
  <c r="CG57" i="25"/>
  <c r="CI57" i="25"/>
  <c r="CI8" i="25"/>
  <c r="CI6" i="25"/>
  <c r="CI37" i="25"/>
  <c r="BZ4" i="28"/>
  <c r="BJ17" i="28"/>
  <c r="CS57" i="25" l="1"/>
  <c r="BX13" i="28" l="1"/>
  <c r="BY58" i="28" l="1"/>
  <c r="BX58" i="28"/>
  <c r="BK58" i="28"/>
  <c r="BJ58" i="28"/>
  <c r="BY13" i="28"/>
  <c r="BK5" i="28"/>
  <c r="BV5" i="28" s="1"/>
  <c r="BK17" i="28"/>
  <c r="BK12" i="28"/>
  <c r="BK4" i="28"/>
  <c r="BY28" i="28"/>
  <c r="BJ4" i="28"/>
  <c r="CG7" i="25"/>
  <c r="CG8" i="25"/>
  <c r="BJ65" i="28" l="1"/>
  <c r="BK65" i="28"/>
  <c r="DC5" i="26"/>
  <c r="DB5" i="26"/>
  <c r="DA16" i="26"/>
  <c r="DA5" i="26"/>
  <c r="CH29" i="25"/>
  <c r="CH37" i="25"/>
  <c r="CG37" i="25"/>
  <c r="CG60" i="25"/>
  <c r="J49" i="3" l="1"/>
  <c r="I49" i="3"/>
  <c r="H49" i="3"/>
  <c r="G49" i="3"/>
  <c r="D49" i="3"/>
  <c r="E49" i="3"/>
  <c r="F49" i="3"/>
  <c r="K49" i="3"/>
  <c r="L49" i="3"/>
  <c r="M49" i="3"/>
  <c r="N49" i="3"/>
  <c r="C49" i="3"/>
  <c r="B96" i="15"/>
  <c r="B95" i="15"/>
  <c r="B101" i="15" l="1"/>
  <c r="B102" i="15" s="1"/>
  <c r="D73" i="15" s="1"/>
  <c r="G55" i="11"/>
  <c r="G54" i="11"/>
  <c r="G53" i="11"/>
  <c r="G52" i="11"/>
  <c r="G50" i="11"/>
  <c r="P77" i="15"/>
  <c r="C44" i="3"/>
  <c r="DB27" i="26"/>
  <c r="DC27" i="26"/>
  <c r="DD27" i="26"/>
  <c r="DE27" i="26"/>
  <c r="DF27" i="26"/>
  <c r="DB28" i="26"/>
  <c r="DC28" i="26"/>
  <c r="DD28" i="26"/>
  <c r="DE28" i="26"/>
  <c r="DF28" i="26"/>
  <c r="DB29" i="26"/>
  <c r="DC29" i="26"/>
  <c r="DD29" i="26"/>
  <c r="DE29" i="26"/>
  <c r="DF29" i="26"/>
  <c r="DB30" i="26"/>
  <c r="DC30" i="26"/>
  <c r="DD30" i="26"/>
  <c r="DE30" i="26"/>
  <c r="DF30" i="26"/>
  <c r="DB31" i="26"/>
  <c r="DC31" i="26"/>
  <c r="DD31" i="26"/>
  <c r="DE31" i="26"/>
  <c r="DF31" i="26"/>
  <c r="DB32" i="26"/>
  <c r="DC32" i="26"/>
  <c r="DD32" i="26"/>
  <c r="DE32" i="26"/>
  <c r="DF32" i="26"/>
  <c r="DB33" i="26"/>
  <c r="DC33" i="26"/>
  <c r="DD33" i="26"/>
  <c r="DE33" i="26"/>
  <c r="DF33" i="26"/>
  <c r="DB34" i="26"/>
  <c r="DC34" i="26"/>
  <c r="DD34" i="26"/>
  <c r="DE34" i="26"/>
  <c r="DF34" i="26"/>
  <c r="DB35" i="26"/>
  <c r="DC35" i="26"/>
  <c r="DD35" i="26"/>
  <c r="DE35" i="26"/>
  <c r="DF35" i="26"/>
  <c r="DB36" i="26"/>
  <c r="DC36" i="26"/>
  <c r="DD36" i="26"/>
  <c r="DE36" i="26"/>
  <c r="DF36" i="26"/>
  <c r="DB37" i="26"/>
  <c r="DC37" i="26"/>
  <c r="DD37" i="26"/>
  <c r="DE37" i="26"/>
  <c r="DF37" i="26"/>
  <c r="DB38" i="26"/>
  <c r="DC38" i="26"/>
  <c r="DD38" i="26"/>
  <c r="DE38" i="26"/>
  <c r="DF38" i="26"/>
  <c r="DB39" i="26"/>
  <c r="DC39" i="26"/>
  <c r="DD39" i="26"/>
  <c r="DE39" i="26"/>
  <c r="DF39" i="26"/>
  <c r="DB40" i="26"/>
  <c r="DC40" i="26"/>
  <c r="DD40" i="26"/>
  <c r="DE40" i="26"/>
  <c r="DF40" i="26"/>
  <c r="DB41" i="26"/>
  <c r="DC41" i="26"/>
  <c r="DD41" i="26"/>
  <c r="DE41" i="26"/>
  <c r="DF41" i="26"/>
  <c r="DB42" i="26"/>
  <c r="DC42" i="26"/>
  <c r="DD42" i="26"/>
  <c r="DE42" i="26"/>
  <c r="DF42" i="26"/>
  <c r="DB43" i="26"/>
  <c r="DC43" i="26"/>
  <c r="DD43" i="26"/>
  <c r="DE43" i="26"/>
  <c r="DF43" i="26"/>
  <c r="DB44" i="26"/>
  <c r="DC44" i="26"/>
  <c r="DD44" i="26"/>
  <c r="DE44" i="26"/>
  <c r="DF44" i="26"/>
  <c r="DB45" i="26"/>
  <c r="DC45" i="26"/>
  <c r="DD45" i="26"/>
  <c r="DE45" i="26"/>
  <c r="DF45" i="26"/>
  <c r="DB46" i="26"/>
  <c r="DC46" i="26"/>
  <c r="DD46" i="26"/>
  <c r="DE46" i="26"/>
  <c r="DF46" i="26"/>
  <c r="DB47" i="26"/>
  <c r="DC47" i="26"/>
  <c r="DD47" i="26"/>
  <c r="DE47" i="26"/>
  <c r="DF47" i="26"/>
  <c r="DB48" i="26"/>
  <c r="DC48" i="26"/>
  <c r="DD48" i="26"/>
  <c r="DE48" i="26"/>
  <c r="DF48" i="26"/>
  <c r="DB49" i="26"/>
  <c r="DC49" i="26"/>
  <c r="DD49" i="26"/>
  <c r="DE49" i="26"/>
  <c r="DF49" i="26"/>
  <c r="DB50" i="26"/>
  <c r="DC50" i="26"/>
  <c r="DD50" i="26"/>
  <c r="DE50" i="26"/>
  <c r="DF50" i="26"/>
  <c r="DB51" i="26"/>
  <c r="DC51" i="26"/>
  <c r="DD51" i="26"/>
  <c r="DE51" i="26"/>
  <c r="DF51" i="26"/>
  <c r="DB52" i="26"/>
  <c r="DC52" i="26"/>
  <c r="DD52" i="26"/>
  <c r="DE52" i="26"/>
  <c r="DF52" i="26"/>
  <c r="DB53" i="26"/>
  <c r="DC53" i="26"/>
  <c r="DD53" i="26"/>
  <c r="DE53" i="26"/>
  <c r="DF53" i="26"/>
  <c r="DB54" i="26"/>
  <c r="DC54" i="26"/>
  <c r="DD54" i="26"/>
  <c r="DE54" i="26"/>
  <c r="DF54" i="26"/>
  <c r="DB55" i="26"/>
  <c r="DC55" i="26"/>
  <c r="DD55" i="26"/>
  <c r="DE55" i="26"/>
  <c r="DF55" i="26"/>
  <c r="DA27" i="26"/>
  <c r="DA28" i="26"/>
  <c r="DA29" i="26"/>
  <c r="DA30" i="26"/>
  <c r="DA31" i="26"/>
  <c r="DA32" i="26"/>
  <c r="DA33" i="26"/>
  <c r="DA34" i="26"/>
  <c r="DA35" i="26"/>
  <c r="DA36" i="26"/>
  <c r="DA37" i="26"/>
  <c r="DA38" i="26"/>
  <c r="DA39" i="26"/>
  <c r="DA40" i="26"/>
  <c r="DA41" i="26"/>
  <c r="DA42" i="26"/>
  <c r="DA43" i="26"/>
  <c r="DA44" i="26"/>
  <c r="DA45" i="26"/>
  <c r="DA46" i="26"/>
  <c r="DA47" i="26"/>
  <c r="DA48" i="26"/>
  <c r="DA49" i="26"/>
  <c r="DA50" i="26"/>
  <c r="DA51" i="26"/>
  <c r="DA52" i="26"/>
  <c r="DA53" i="26"/>
  <c r="DA54" i="26"/>
  <c r="DA55" i="26"/>
  <c r="B103" i="15" l="1"/>
  <c r="D68" i="15" s="1"/>
  <c r="G65" i="11"/>
  <c r="G70" i="11"/>
  <c r="G71" i="11"/>
  <c r="G66" i="11"/>
  <c r="G69" i="11"/>
  <c r="G63" i="11"/>
  <c r="E29" i="15"/>
  <c r="I31" i="17" s="1"/>
  <c r="DM57" i="26"/>
  <c r="DM48" i="26"/>
  <c r="DM40" i="26"/>
  <c r="DM32" i="26"/>
  <c r="DM55" i="26"/>
  <c r="DM47" i="26"/>
  <c r="DM39" i="26"/>
  <c r="DM31" i="26"/>
  <c r="DM54" i="26"/>
  <c r="DM46" i="26"/>
  <c r="DM38" i="26"/>
  <c r="DM30" i="26"/>
  <c r="DM53" i="26"/>
  <c r="DM45" i="26"/>
  <c r="DM37" i="26"/>
  <c r="DM29" i="26"/>
  <c r="DM52" i="26"/>
  <c r="DM44" i="26"/>
  <c r="DM36" i="26"/>
  <c r="DM51" i="26"/>
  <c r="DM43" i="26"/>
  <c r="DM35" i="26"/>
  <c r="DM27" i="26"/>
  <c r="DM50" i="26"/>
  <c r="DM42" i="26"/>
  <c r="DM34" i="26"/>
  <c r="DM49" i="26"/>
  <c r="DM41" i="26"/>
  <c r="DM33" i="26"/>
  <c r="DM28" i="26"/>
  <c r="C108" i="15"/>
  <c r="E36" i="15"/>
  <c r="F36" i="15" s="1"/>
  <c r="G36" i="15" s="1"/>
  <c r="H36" i="15" s="1"/>
  <c r="I36" i="15" s="1"/>
  <c r="J36" i="15" s="1"/>
  <c r="K36" i="15" s="1"/>
  <c r="L36" i="15" s="1"/>
  <c r="M36" i="15" s="1"/>
  <c r="N36" i="15" s="1"/>
  <c r="O36" i="15" s="1"/>
  <c r="E40" i="15"/>
  <c r="F40" i="15" s="1"/>
  <c r="G40" i="15" s="1"/>
  <c r="H40" i="15" s="1"/>
  <c r="I40" i="15" s="1"/>
  <c r="J40" i="15" s="1"/>
  <c r="K40" i="15" s="1"/>
  <c r="L40" i="15" s="1"/>
  <c r="M40" i="15" s="1"/>
  <c r="N40" i="15" s="1"/>
  <c r="O40" i="15" s="1"/>
  <c r="E39" i="15"/>
  <c r="F39" i="15" s="1"/>
  <c r="G39" i="15" s="1"/>
  <c r="H39" i="15" s="1"/>
  <c r="I39" i="15" s="1"/>
  <c r="J39" i="15" s="1"/>
  <c r="K39" i="15" s="1"/>
  <c r="L39" i="15" s="1"/>
  <c r="M39" i="15" s="1"/>
  <c r="N39" i="15" s="1"/>
  <c r="O39" i="15" s="1"/>
  <c r="E38" i="15"/>
  <c r="F38" i="15" s="1"/>
  <c r="G38" i="15" s="1"/>
  <c r="H38" i="15" s="1"/>
  <c r="I38" i="15" s="1"/>
  <c r="J38" i="15" s="1"/>
  <c r="K38" i="15" s="1"/>
  <c r="L38" i="15" s="1"/>
  <c r="M38" i="15" s="1"/>
  <c r="N38" i="15" s="1"/>
  <c r="O38" i="15" s="1"/>
  <c r="A31" i="17" l="1"/>
  <c r="B31" i="17"/>
  <c r="C31" i="17"/>
  <c r="D108" i="15"/>
  <c r="E108" i="15" s="1"/>
  <c r="A40" i="15"/>
  <c r="K38" i="17" s="1"/>
  <c r="G72" i="11"/>
  <c r="E41" i="15"/>
  <c r="I39" i="17" s="1"/>
  <c r="E37" i="15"/>
  <c r="F37" i="15" s="1"/>
  <c r="G37" i="15" s="1"/>
  <c r="H37" i="15" s="1"/>
  <c r="I37" i="15" s="1"/>
  <c r="J37" i="15" s="1"/>
  <c r="K37" i="15" s="1"/>
  <c r="L37" i="15" s="1"/>
  <c r="M37" i="15" s="1"/>
  <c r="N37" i="15" s="1"/>
  <c r="O37" i="15" s="1"/>
  <c r="F29" i="15"/>
  <c r="J31" i="17" s="1"/>
  <c r="P40" i="15"/>
  <c r="Q27" i="6"/>
  <c r="P55" i="15"/>
  <c r="AQ4" i="28"/>
  <c r="AP4" i="28"/>
  <c r="AN4" i="28"/>
  <c r="AM4" i="28"/>
  <c r="AL4" i="28"/>
  <c r="AK4" i="28"/>
  <c r="AJ4" i="28"/>
  <c r="AI4" i="28"/>
  <c r="AH4" i="28"/>
  <c r="AG4" i="28"/>
  <c r="AF4" i="28"/>
  <c r="AQ5" i="28"/>
  <c r="AP5" i="28"/>
  <c r="AO5" i="28"/>
  <c r="AN5" i="28"/>
  <c r="AM5" i="28"/>
  <c r="AL5" i="28"/>
  <c r="AK5" i="28"/>
  <c r="AJ5" i="28"/>
  <c r="AI5" i="28"/>
  <c r="AH5" i="28"/>
  <c r="AG5" i="28"/>
  <c r="AF5" i="28"/>
  <c r="CY27" i="26"/>
  <c r="CY28" i="26"/>
  <c r="CY31" i="26"/>
  <c r="CY32" i="26"/>
  <c r="CY33" i="26"/>
  <c r="CY34" i="26"/>
  <c r="CY35" i="26"/>
  <c r="CY36" i="26"/>
  <c r="CY37" i="26"/>
  <c r="CY38" i="26"/>
  <c r="CY39" i="26"/>
  <c r="CY40" i="26"/>
  <c r="CY41" i="26"/>
  <c r="CY42" i="26"/>
  <c r="CY43" i="26"/>
  <c r="CY44" i="26"/>
  <c r="CY45" i="26"/>
  <c r="CY46" i="26"/>
  <c r="CY47" i="26"/>
  <c r="CY48" i="26"/>
  <c r="CY49" i="26"/>
  <c r="CY50" i="26"/>
  <c r="CY51" i="26"/>
  <c r="CY52" i="26"/>
  <c r="CY53" i="26"/>
  <c r="CY54" i="26"/>
  <c r="CY55" i="26"/>
  <c r="CY57" i="26"/>
  <c r="C14" i="24"/>
  <c r="H27" i="3"/>
  <c r="I27" i="3"/>
  <c r="J27" i="3"/>
  <c r="K27" i="3"/>
  <c r="L27" i="3"/>
  <c r="M27" i="3"/>
  <c r="N27" i="3"/>
  <c r="G70" i="15"/>
  <c r="K60" i="17" s="1"/>
  <c r="I72" i="15"/>
  <c r="M61" i="17" s="1"/>
  <c r="C20" i="11"/>
  <c r="G12" i="2"/>
  <c r="C107" i="15"/>
  <c r="D107" i="15" s="1"/>
  <c r="P17" i="15"/>
  <c r="H60" i="17"/>
  <c r="B39" i="17" l="1"/>
  <c r="C39" i="17"/>
  <c r="A39" i="17"/>
  <c r="C45" i="11"/>
  <c r="C43" i="11" s="1"/>
  <c r="H17" i="10" s="1"/>
  <c r="I17" i="10" s="1"/>
  <c r="N38" i="17"/>
  <c r="M38" i="17"/>
  <c r="O38" i="17"/>
  <c r="R38" i="17"/>
  <c r="J38" i="17"/>
  <c r="Q38" i="17"/>
  <c r="P38" i="17"/>
  <c r="I38" i="17"/>
  <c r="L38" i="17"/>
  <c r="S38" i="17"/>
  <c r="F108" i="15"/>
  <c r="G108" i="15" s="1"/>
  <c r="H108" i="15" s="1"/>
  <c r="C92" i="15"/>
  <c r="E107" i="15"/>
  <c r="D93" i="15"/>
  <c r="H12" i="2"/>
  <c r="I12" i="2" s="1"/>
  <c r="J12" i="2" s="1"/>
  <c r="K12" i="2" s="1"/>
  <c r="L12" i="2" s="1"/>
  <c r="M12" i="2" s="1"/>
  <c r="N12" i="2" s="1"/>
  <c r="O12" i="2" s="1"/>
  <c r="P12" i="2" s="1"/>
  <c r="Q12" i="2" s="1"/>
  <c r="R12" i="2" s="1"/>
  <c r="Q28" i="6"/>
  <c r="N17" i="5" s="1"/>
  <c r="E9" i="3"/>
  <c r="D10" i="3"/>
  <c r="D9" i="3"/>
  <c r="E10" i="3"/>
  <c r="C15" i="11"/>
  <c r="E16" i="11" s="1"/>
  <c r="P37" i="15"/>
  <c r="F41" i="15"/>
  <c r="J39" i="17" s="1"/>
  <c r="G29" i="15"/>
  <c r="K31" i="17" s="1"/>
  <c r="H48" i="17"/>
  <c r="H46" i="17"/>
  <c r="H47" i="17"/>
  <c r="H45" i="17"/>
  <c r="H43" i="17"/>
  <c r="H25" i="17"/>
  <c r="H23" i="17"/>
  <c r="I14" i="17"/>
  <c r="J14" i="17"/>
  <c r="K14" i="17"/>
  <c r="L14" i="17"/>
  <c r="M14" i="17"/>
  <c r="N14" i="17"/>
  <c r="O14" i="17"/>
  <c r="P14" i="17"/>
  <c r="Q14" i="17"/>
  <c r="R14" i="17"/>
  <c r="S14" i="17"/>
  <c r="H14" i="17"/>
  <c r="BS58" i="25"/>
  <c r="BS59" i="25"/>
  <c r="F2" i="5"/>
  <c r="BS57" i="25" s="1"/>
  <c r="G2" i="5"/>
  <c r="G5" i="5" s="1"/>
  <c r="H2" i="5"/>
  <c r="H5" i="5" s="1"/>
  <c r="I2" i="5"/>
  <c r="J2" i="5"/>
  <c r="J5" i="5" s="1"/>
  <c r="K2" i="5"/>
  <c r="L2" i="5"/>
  <c r="M2" i="5"/>
  <c r="M5" i="5" s="1"/>
  <c r="N2" i="5"/>
  <c r="N5" i="5" s="1"/>
  <c r="O2" i="5"/>
  <c r="O5" i="5" s="1"/>
  <c r="P2" i="5"/>
  <c r="P5" i="5" s="1"/>
  <c r="Q2" i="5"/>
  <c r="BT58" i="25"/>
  <c r="BU58" i="25"/>
  <c r="BV58" i="25"/>
  <c r="BW58" i="25"/>
  <c r="BX58" i="25"/>
  <c r="BY58" i="25"/>
  <c r="BZ58" i="25"/>
  <c r="CA58" i="25"/>
  <c r="CB58" i="25"/>
  <c r="CC58" i="25"/>
  <c r="CD58" i="25"/>
  <c r="BT59" i="25"/>
  <c r="BU59" i="25"/>
  <c r="BV59" i="25"/>
  <c r="BW59" i="25"/>
  <c r="BX59" i="25"/>
  <c r="BY59" i="25"/>
  <c r="BZ59" i="25"/>
  <c r="CA59" i="25"/>
  <c r="CB59" i="25"/>
  <c r="CC59" i="25"/>
  <c r="CD59" i="25"/>
  <c r="R3" i="5"/>
  <c r="R4" i="5"/>
  <c r="I10" i="17"/>
  <c r="J10" i="17"/>
  <c r="K10" i="17"/>
  <c r="L10" i="17"/>
  <c r="M10" i="17"/>
  <c r="N10" i="17"/>
  <c r="O10" i="17"/>
  <c r="P10" i="17"/>
  <c r="Q10" i="17"/>
  <c r="R10" i="17"/>
  <c r="S10" i="17"/>
  <c r="H10" i="17"/>
  <c r="CN73" i="26"/>
  <c r="CO73" i="26"/>
  <c r="CP73" i="26"/>
  <c r="CQ73" i="26"/>
  <c r="CR73" i="26"/>
  <c r="CS73" i="26"/>
  <c r="DG73" i="26" s="1"/>
  <c r="CT73" i="26"/>
  <c r="CU73" i="26"/>
  <c r="CV73" i="26"/>
  <c r="CW73" i="26"/>
  <c r="CX73" i="26"/>
  <c r="I11" i="11"/>
  <c r="D84" i="15"/>
  <c r="A49" i="15"/>
  <c r="Q32" i="15"/>
  <c r="D13" i="15"/>
  <c r="U12" i="15"/>
  <c r="C38" i="17" l="1"/>
  <c r="C40" i="17" s="1"/>
  <c r="H28" i="2" s="1"/>
  <c r="A38" i="17"/>
  <c r="A40" i="17" s="1"/>
  <c r="I30" i="10" s="1"/>
  <c r="B38" i="17"/>
  <c r="B40" i="17" s="1"/>
  <c r="N11" i="10"/>
  <c r="AL55" i="28" s="1"/>
  <c r="BP55" i="28" s="1"/>
  <c r="S11" i="10"/>
  <c r="S13" i="17" s="1"/>
  <c r="J11" i="10"/>
  <c r="J13" i="17" s="1"/>
  <c r="L11" i="10"/>
  <c r="L13" i="17" s="1"/>
  <c r="M11" i="10"/>
  <c r="M13" i="17" s="1"/>
  <c r="K11" i="10"/>
  <c r="K13" i="17" s="1"/>
  <c r="I11" i="10"/>
  <c r="O11" i="10"/>
  <c r="O13" i="17" s="1"/>
  <c r="Q11" i="10"/>
  <c r="Q13" i="17" s="1"/>
  <c r="H11" i="10"/>
  <c r="H13" i="17" s="1"/>
  <c r="R11" i="10"/>
  <c r="R13" i="17" s="1"/>
  <c r="P11" i="10"/>
  <c r="P13" i="17" s="1"/>
  <c r="CA57" i="25"/>
  <c r="CA61" i="25" s="1"/>
  <c r="CC57" i="25"/>
  <c r="CC61" i="25" s="1"/>
  <c r="CB57" i="25"/>
  <c r="CB61" i="25" s="1"/>
  <c r="BZ57" i="25"/>
  <c r="BZ61" i="25" s="1"/>
  <c r="BT57" i="25"/>
  <c r="BT61" i="25" s="1"/>
  <c r="F107" i="15"/>
  <c r="G107" i="15" s="1"/>
  <c r="H107" i="15" s="1"/>
  <c r="G17" i="5"/>
  <c r="J17" i="5"/>
  <c r="F17" i="5"/>
  <c r="F9" i="3"/>
  <c r="G13" i="2" s="1"/>
  <c r="Q17" i="5"/>
  <c r="H17" i="5"/>
  <c r="P17" i="5"/>
  <c r="L17" i="5"/>
  <c r="O17" i="5"/>
  <c r="I17" i="5"/>
  <c r="K17" i="5"/>
  <c r="M17" i="5"/>
  <c r="BV57" i="25"/>
  <c r="BV61" i="25" s="1"/>
  <c r="I5" i="5"/>
  <c r="CD57" i="25"/>
  <c r="CD61" i="25" s="1"/>
  <c r="Q5" i="5"/>
  <c r="BW57" i="25"/>
  <c r="BW61" i="25" s="1"/>
  <c r="BY57" i="25"/>
  <c r="BY61" i="25" s="1"/>
  <c r="L5" i="5"/>
  <c r="BU57" i="25"/>
  <c r="BU61" i="25" s="1"/>
  <c r="R2" i="5"/>
  <c r="K5" i="5"/>
  <c r="I77" i="11"/>
  <c r="O16" i="10" s="1"/>
  <c r="C77" i="11"/>
  <c r="I16" i="10" s="1"/>
  <c r="K77" i="11"/>
  <c r="Q16" i="10" s="1"/>
  <c r="J77" i="11"/>
  <c r="P16" i="10" s="1"/>
  <c r="D77" i="11"/>
  <c r="J16" i="10" s="1"/>
  <c r="L77" i="11"/>
  <c r="R16" i="10" s="1"/>
  <c r="H77" i="11"/>
  <c r="N16" i="10" s="1"/>
  <c r="E77" i="11"/>
  <c r="K16" i="10" s="1"/>
  <c r="M77" i="11"/>
  <c r="S16" i="10" s="1"/>
  <c r="F77" i="11"/>
  <c r="L16" i="10" s="1"/>
  <c r="B77" i="11"/>
  <c r="H16" i="10" s="1"/>
  <c r="G77" i="11"/>
  <c r="M16" i="10" s="1"/>
  <c r="H18" i="10"/>
  <c r="E13" i="15"/>
  <c r="H29" i="15"/>
  <c r="L31" i="17" s="1"/>
  <c r="G41" i="15"/>
  <c r="K39" i="17" s="1"/>
  <c r="CE59" i="25"/>
  <c r="H65" i="17"/>
  <c r="BX57" i="25"/>
  <c r="BX61" i="25" s="1"/>
  <c r="CE58" i="25"/>
  <c r="I13" i="17" l="1"/>
  <c r="N13" i="17"/>
  <c r="T11" i="10"/>
  <c r="F13" i="15"/>
  <c r="H41" i="15"/>
  <c r="L39" i="17" s="1"/>
  <c r="I29" i="15"/>
  <c r="M31" i="17" s="1"/>
  <c r="H39" i="17"/>
  <c r="CE57" i="25"/>
  <c r="BS61" i="25"/>
  <c r="AR47" i="28"/>
  <c r="AF51" i="28"/>
  <c r="BH17" i="28"/>
  <c r="G13" i="15" l="1"/>
  <c r="J29" i="15"/>
  <c r="N31" i="17" s="1"/>
  <c r="I41" i="15"/>
  <c r="M39" i="17" s="1"/>
  <c r="H13" i="15" l="1"/>
  <c r="K29" i="15"/>
  <c r="O31" i="17" s="1"/>
  <c r="J41" i="15"/>
  <c r="N39" i="17" s="1"/>
  <c r="I13" i="15" l="1"/>
  <c r="L29" i="15"/>
  <c r="P31" i="17" s="1"/>
  <c r="K41" i="15"/>
  <c r="O39" i="17" s="1"/>
  <c r="J17" i="10" l="1"/>
  <c r="K17" i="10" s="1"/>
  <c r="L17" i="10" s="1"/>
  <c r="M17" i="10" s="1"/>
  <c r="N17" i="10" s="1"/>
  <c r="O17" i="10" s="1"/>
  <c r="P17" i="10" s="1"/>
  <c r="Q17" i="10" s="1"/>
  <c r="R17" i="10" s="1"/>
  <c r="S17" i="10" s="1"/>
  <c r="J13" i="15"/>
  <c r="M29" i="15"/>
  <c r="Q31" i="17" s="1"/>
  <c r="L41" i="15"/>
  <c r="P39" i="17" s="1"/>
  <c r="BZ6" i="28"/>
  <c r="CA6" i="28"/>
  <c r="CB6" i="28"/>
  <c r="CC6" i="28"/>
  <c r="BY7" i="28"/>
  <c r="BZ7" i="28"/>
  <c r="CA7" i="28"/>
  <c r="CB7" i="28"/>
  <c r="CC7" i="28"/>
  <c r="BY8" i="28"/>
  <c r="BZ8" i="28"/>
  <c r="CA8" i="28"/>
  <c r="CB8" i="28"/>
  <c r="CC8" i="28"/>
  <c r="BY11" i="28"/>
  <c r="BZ11" i="28"/>
  <c r="CA11" i="28"/>
  <c r="CB11" i="28"/>
  <c r="CC11" i="28"/>
  <c r="BZ12" i="28"/>
  <c r="CA12" i="28"/>
  <c r="CC12" i="28"/>
  <c r="BZ14" i="28"/>
  <c r="CA14" i="28"/>
  <c r="CB14" i="28"/>
  <c r="CC14" i="28"/>
  <c r="BY15" i="28"/>
  <c r="BZ15" i="28"/>
  <c r="CC15" i="28"/>
  <c r="BY16" i="28"/>
  <c r="BZ16" i="28"/>
  <c r="CB16" i="28"/>
  <c r="CC16" i="28"/>
  <c r="BY18" i="28"/>
  <c r="BZ18" i="28"/>
  <c r="CA18" i="28"/>
  <c r="CB18" i="28"/>
  <c r="CC18" i="28"/>
  <c r="BY19" i="28"/>
  <c r="BZ19" i="28"/>
  <c r="CA19" i="28"/>
  <c r="CB19" i="28"/>
  <c r="CC19" i="28"/>
  <c r="CA20" i="28"/>
  <c r="CC20" i="28"/>
  <c r="BZ22" i="28"/>
  <c r="CA22" i="28"/>
  <c r="CB22" i="28"/>
  <c r="CC22" i="28"/>
  <c r="BY23" i="28"/>
  <c r="BZ23" i="28"/>
  <c r="CA23" i="28"/>
  <c r="CB23" i="28"/>
  <c r="CC23" i="28"/>
  <c r="BY24" i="28"/>
  <c r="BZ24" i="28"/>
  <c r="CA24" i="28"/>
  <c r="CB24" i="28"/>
  <c r="CC24" i="28"/>
  <c r="BY25" i="28"/>
  <c r="BZ25" i="28"/>
  <c r="CA25" i="28"/>
  <c r="CB25" i="28"/>
  <c r="CC25" i="28"/>
  <c r="BY26" i="28"/>
  <c r="BZ26" i="28"/>
  <c r="CA26" i="28"/>
  <c r="CB26" i="28"/>
  <c r="CC26" i="28"/>
  <c r="BY27" i="28"/>
  <c r="CA27" i="28"/>
  <c r="CB27" i="28"/>
  <c r="CC27" i="28"/>
  <c r="BY30" i="28"/>
  <c r="CA30" i="28"/>
  <c r="CB30" i="28"/>
  <c r="BZ32" i="28"/>
  <c r="CB32" i="28"/>
  <c r="BZ33" i="28"/>
  <c r="CB33" i="28"/>
  <c r="CC33" i="28"/>
  <c r="BY34" i="28"/>
  <c r="BZ34" i="28"/>
  <c r="CA34" i="28"/>
  <c r="CB34" i="28"/>
  <c r="CC34" i="28"/>
  <c r="CB37" i="28"/>
  <c r="CC37" i="28"/>
  <c r="BY38" i="28"/>
  <c r="BZ38" i="28"/>
  <c r="CA38" i="28"/>
  <c r="CB38" i="28"/>
  <c r="CC38" i="28"/>
  <c r="BY40" i="28"/>
  <c r="BZ40" i="28"/>
  <c r="CA40" i="28"/>
  <c r="CB40" i="28"/>
  <c r="CC40" i="28"/>
  <c r="BY41" i="28"/>
  <c r="BZ41" i="28"/>
  <c r="CA41" i="28"/>
  <c r="CB41" i="28"/>
  <c r="CC41" i="28"/>
  <c r="BY42" i="28"/>
  <c r="BZ42" i="28"/>
  <c r="CA42" i="28"/>
  <c r="CB42" i="28"/>
  <c r="CC42" i="28"/>
  <c r="BY43" i="28"/>
  <c r="CA43" i="28"/>
  <c r="CB43" i="28"/>
  <c r="CC43" i="28"/>
  <c r="BY44" i="28"/>
  <c r="BZ44" i="28"/>
  <c r="CA44" i="28"/>
  <c r="CB44" i="28"/>
  <c r="CC44" i="28"/>
  <c r="BY45" i="28"/>
  <c r="BZ45" i="28"/>
  <c r="CA45" i="28"/>
  <c r="CB45" i="28"/>
  <c r="CC45" i="28"/>
  <c r="BY46" i="28"/>
  <c r="BZ46" i="28"/>
  <c r="CA46" i="28"/>
  <c r="CB46" i="28"/>
  <c r="BY47" i="28"/>
  <c r="BZ47" i="28"/>
  <c r="CA47" i="28"/>
  <c r="CB47" i="28"/>
  <c r="CC47" i="28"/>
  <c r="BY48" i="28"/>
  <c r="BZ48" i="28"/>
  <c r="CA48" i="28"/>
  <c r="CB48" i="28"/>
  <c r="CC48" i="28"/>
  <c r="BX6" i="28"/>
  <c r="BX7" i="28"/>
  <c r="BX8" i="28"/>
  <c r="BX11" i="28"/>
  <c r="BX12" i="28"/>
  <c r="BX15" i="28"/>
  <c r="BX16" i="28"/>
  <c r="BX18" i="28"/>
  <c r="BX19" i="28"/>
  <c r="BX20" i="28"/>
  <c r="BX22" i="28"/>
  <c r="BX23" i="28"/>
  <c r="BX24" i="28"/>
  <c r="BX25" i="28"/>
  <c r="BX26" i="28"/>
  <c r="BX27" i="28"/>
  <c r="BX28" i="28"/>
  <c r="BX30" i="28"/>
  <c r="BX32" i="28"/>
  <c r="BX33" i="28"/>
  <c r="BX34" i="28"/>
  <c r="BX38" i="28"/>
  <c r="BX40" i="28"/>
  <c r="BX41" i="28"/>
  <c r="BX42" i="28"/>
  <c r="BX44" i="28"/>
  <c r="BX45" i="28"/>
  <c r="BX46" i="28"/>
  <c r="BX47" i="28"/>
  <c r="BX48" i="28"/>
  <c r="BX4" i="28"/>
  <c r="BL6" i="28"/>
  <c r="BM6" i="28"/>
  <c r="BN6" i="28"/>
  <c r="BO6" i="28"/>
  <c r="BK7" i="28"/>
  <c r="BL7" i="28"/>
  <c r="BM7" i="28"/>
  <c r="BN7" i="28"/>
  <c r="BO7" i="28"/>
  <c r="BK8" i="28"/>
  <c r="BL8" i="28"/>
  <c r="BM8" i="28"/>
  <c r="BN8" i="28"/>
  <c r="BO8" i="28"/>
  <c r="BL11" i="28"/>
  <c r="BM11" i="28"/>
  <c r="BN11" i="28"/>
  <c r="BO11" i="28"/>
  <c r="BM12" i="28"/>
  <c r="BO12" i="28"/>
  <c r="BL14" i="28"/>
  <c r="BM14" i="28"/>
  <c r="BN14" i="28"/>
  <c r="BO14" i="28"/>
  <c r="BK15" i="28"/>
  <c r="BL15" i="28"/>
  <c r="BL16" i="28"/>
  <c r="BN16" i="28"/>
  <c r="BO16" i="28"/>
  <c r="BK18" i="28"/>
  <c r="BL18" i="28"/>
  <c r="BK19" i="28"/>
  <c r="BL19" i="28"/>
  <c r="BM19" i="28"/>
  <c r="BN19" i="28"/>
  <c r="BO19" i="28"/>
  <c r="BM20" i="28"/>
  <c r="BO20" i="28"/>
  <c r="BL22" i="28"/>
  <c r="BM22" i="28"/>
  <c r="BN22" i="28"/>
  <c r="BO22" i="28"/>
  <c r="BK23" i="28"/>
  <c r="BL23" i="28"/>
  <c r="BN23" i="28"/>
  <c r="BO23" i="28"/>
  <c r="BK24" i="28"/>
  <c r="BL25" i="28"/>
  <c r="BM25" i="28"/>
  <c r="BK26" i="28"/>
  <c r="BL26" i="28"/>
  <c r="BM26" i="28"/>
  <c r="BN26" i="28"/>
  <c r="BO26" i="28"/>
  <c r="BM27" i="28"/>
  <c r="BN27" i="28"/>
  <c r="BO27" i="28"/>
  <c r="BK30" i="28"/>
  <c r="BL30" i="28"/>
  <c r="BM30" i="28"/>
  <c r="BN30" i="28"/>
  <c r="BO30" i="28"/>
  <c r="BL32" i="28"/>
  <c r="BL33" i="28"/>
  <c r="BN33" i="28"/>
  <c r="BO33" i="28"/>
  <c r="BK34" i="28"/>
  <c r="BL34" i="28"/>
  <c r="BM34" i="28"/>
  <c r="BN34" i="28"/>
  <c r="BO34" i="28"/>
  <c r="BK37" i="28"/>
  <c r="BL37" i="28"/>
  <c r="BM37" i="28"/>
  <c r="BN37" i="28"/>
  <c r="BO37" i="28"/>
  <c r="BK38" i="28"/>
  <c r="BL38" i="28"/>
  <c r="BM38" i="28"/>
  <c r="BN38" i="28"/>
  <c r="BO38" i="28"/>
  <c r="BK40" i="28"/>
  <c r="BL40" i="28"/>
  <c r="BM40" i="28"/>
  <c r="BN40" i="28"/>
  <c r="BO40" i="28"/>
  <c r="BK41" i="28"/>
  <c r="BL41" i="28"/>
  <c r="BM41" i="28"/>
  <c r="BN41" i="28"/>
  <c r="BO41" i="28"/>
  <c r="BK42" i="28"/>
  <c r="BL42" i="28"/>
  <c r="BM42" i="28"/>
  <c r="BN42" i="28"/>
  <c r="BO42" i="28"/>
  <c r="BN43" i="28"/>
  <c r="BO43" i="28"/>
  <c r="BO44" i="28"/>
  <c r="BL47" i="28"/>
  <c r="BM47" i="28"/>
  <c r="BO47" i="28"/>
  <c r="BK48" i="28"/>
  <c r="BL48" i="28"/>
  <c r="BM48" i="28"/>
  <c r="BN48" i="28"/>
  <c r="BO48" i="28"/>
  <c r="BJ6" i="28"/>
  <c r="BJ7" i="28"/>
  <c r="BJ11" i="28"/>
  <c r="BJ16" i="28"/>
  <c r="BJ18" i="28"/>
  <c r="BJ19" i="28"/>
  <c r="BJ20" i="28"/>
  <c r="BJ22" i="28"/>
  <c r="BJ23" i="28"/>
  <c r="BJ24" i="28"/>
  <c r="BJ25" i="28"/>
  <c r="BJ26" i="28"/>
  <c r="BJ27" i="28"/>
  <c r="BJ28" i="28"/>
  <c r="BJ30" i="28"/>
  <c r="BJ32" i="28"/>
  <c r="BJ33" i="28"/>
  <c r="BJ34" i="28"/>
  <c r="BJ37" i="28"/>
  <c r="BJ38" i="28"/>
  <c r="BJ40" i="28"/>
  <c r="BJ41" i="28"/>
  <c r="BJ42" i="28"/>
  <c r="BJ43" i="28"/>
  <c r="BJ45" i="28"/>
  <c r="BJ47" i="28"/>
  <c r="BJ48" i="28"/>
  <c r="AW56" i="28"/>
  <c r="AX56" i="28"/>
  <c r="AY56" i="28"/>
  <c r="AZ56" i="28"/>
  <c r="BA56" i="28"/>
  <c r="BB56" i="28"/>
  <c r="CD56" i="28" s="1"/>
  <c r="BC56" i="28"/>
  <c r="BD56" i="28"/>
  <c r="BE56" i="28"/>
  <c r="BF56" i="28"/>
  <c r="CH56" i="28" s="1"/>
  <c r="BG56" i="28"/>
  <c r="CI56" i="28" s="1"/>
  <c r="AV56" i="28"/>
  <c r="AW55" i="28"/>
  <c r="AX55" i="28"/>
  <c r="AY55" i="28"/>
  <c r="AZ55" i="28"/>
  <c r="BA55" i="28"/>
  <c r="BB55" i="28"/>
  <c r="CD55" i="28" s="1"/>
  <c r="BC55" i="28"/>
  <c r="BD55" i="28"/>
  <c r="BE55" i="28"/>
  <c r="BF55" i="28"/>
  <c r="CH55" i="28" s="1"/>
  <c r="BG55" i="28"/>
  <c r="CI55" i="28" s="1"/>
  <c r="AV55" i="28"/>
  <c r="AG55" i="28"/>
  <c r="AH55" i="28"/>
  <c r="AI55" i="28"/>
  <c r="AJ55" i="28"/>
  <c r="AK55" i="28"/>
  <c r="AM55" i="28"/>
  <c r="AN55" i="28"/>
  <c r="AO55" i="28"/>
  <c r="AP55" i="28"/>
  <c r="BT55" i="28" s="1"/>
  <c r="AQ55" i="28"/>
  <c r="BU55" i="28" s="1"/>
  <c r="AG56" i="28"/>
  <c r="AH56" i="28"/>
  <c r="AI56" i="28"/>
  <c r="AJ56" i="28"/>
  <c r="AK56" i="28"/>
  <c r="AM56" i="28"/>
  <c r="AN56" i="28"/>
  <c r="AO56" i="28"/>
  <c r="AP56" i="28"/>
  <c r="BT56" i="28" s="1"/>
  <c r="AQ56" i="28"/>
  <c r="BU56" i="28" s="1"/>
  <c r="AF56" i="28"/>
  <c r="AF55" i="28"/>
  <c r="T14" i="10"/>
  <c r="BH6" i="28"/>
  <c r="BH7" i="28"/>
  <c r="BH8" i="28"/>
  <c r="BH11" i="28"/>
  <c r="BH12" i="28"/>
  <c r="BH13" i="28"/>
  <c r="BH14" i="28"/>
  <c r="BH15" i="28"/>
  <c r="BH16" i="28"/>
  <c r="BH18" i="28"/>
  <c r="BH19" i="28"/>
  <c r="BH20" i="28"/>
  <c r="BH22" i="28"/>
  <c r="BH23" i="28"/>
  <c r="BH24" i="28"/>
  <c r="BH25" i="28"/>
  <c r="BH26" i="28"/>
  <c r="BH27" i="28"/>
  <c r="BH28" i="28"/>
  <c r="BH30" i="28"/>
  <c r="BH31" i="28"/>
  <c r="BH32" i="28"/>
  <c r="BH33" i="28"/>
  <c r="BH34" i="28"/>
  <c r="BH35" i="28"/>
  <c r="BH37" i="28"/>
  <c r="BH38" i="28"/>
  <c r="BH40" i="28"/>
  <c r="BH41" i="28"/>
  <c r="BH42" i="28"/>
  <c r="BH43" i="28"/>
  <c r="BH44" i="28"/>
  <c r="BH45" i="28"/>
  <c r="BH46" i="28"/>
  <c r="BH47" i="28"/>
  <c r="BH48" i="28"/>
  <c r="BH5" i="28"/>
  <c r="BH4" i="28"/>
  <c r="AR6" i="28"/>
  <c r="AR7" i="28"/>
  <c r="AR8" i="28"/>
  <c r="AR11" i="28"/>
  <c r="AR12" i="28"/>
  <c r="AR13" i="28"/>
  <c r="AR14" i="28"/>
  <c r="AR15" i="28"/>
  <c r="AR16" i="28"/>
  <c r="AR17" i="28"/>
  <c r="AR18" i="28"/>
  <c r="AR19" i="28"/>
  <c r="AR20" i="28"/>
  <c r="AR22" i="28"/>
  <c r="AR23" i="28"/>
  <c r="AR24" i="28"/>
  <c r="AR25" i="28"/>
  <c r="AR26" i="28"/>
  <c r="AR27" i="28"/>
  <c r="AR28" i="28"/>
  <c r="AR30" i="28"/>
  <c r="AR31" i="28"/>
  <c r="AR32" i="28"/>
  <c r="AR33" i="28"/>
  <c r="AR34" i="28"/>
  <c r="AR35" i="28"/>
  <c r="AR37" i="28"/>
  <c r="AR38" i="28"/>
  <c r="AR40" i="28"/>
  <c r="AR41" i="28"/>
  <c r="AR42" i="28"/>
  <c r="AR43" i="28"/>
  <c r="AR44" i="28"/>
  <c r="AR45" i="28"/>
  <c r="AR46" i="28"/>
  <c r="AR48" i="28"/>
  <c r="AR5" i="28"/>
  <c r="AR4" i="28"/>
  <c r="BH57" i="28"/>
  <c r="BG51" i="28"/>
  <c r="BF51" i="28"/>
  <c r="BE51" i="28"/>
  <c r="BD51" i="28"/>
  <c r="BC51" i="28"/>
  <c r="BB51" i="28"/>
  <c r="BA51" i="28"/>
  <c r="AZ51" i="28"/>
  <c r="AY51" i="28"/>
  <c r="AX51" i="28"/>
  <c r="AW51" i="28"/>
  <c r="AV51" i="28"/>
  <c r="AF64" i="28" s="1"/>
  <c r="DB4" i="26"/>
  <c r="DC4" i="26"/>
  <c r="DD4" i="26"/>
  <c r="DE4" i="26"/>
  <c r="DF4" i="26"/>
  <c r="DB6" i="26"/>
  <c r="DC6" i="26"/>
  <c r="DD6" i="26"/>
  <c r="DF6" i="26"/>
  <c r="DB7" i="26"/>
  <c r="DD7" i="26"/>
  <c r="DE7" i="26"/>
  <c r="DB8" i="26"/>
  <c r="DC8" i="26"/>
  <c r="DD8" i="26"/>
  <c r="DB9" i="26"/>
  <c r="DC9" i="26"/>
  <c r="DE9" i="26"/>
  <c r="DF9" i="26"/>
  <c r="DB10" i="26"/>
  <c r="DC10" i="26"/>
  <c r="DD10" i="26"/>
  <c r="DE10" i="26"/>
  <c r="DF10" i="26"/>
  <c r="DB11" i="26"/>
  <c r="DC11" i="26"/>
  <c r="DD11" i="26"/>
  <c r="DE11" i="26"/>
  <c r="DB12" i="26"/>
  <c r="DC13" i="26"/>
  <c r="DD13" i="26"/>
  <c r="DF13" i="26"/>
  <c r="DF14" i="26"/>
  <c r="DB16" i="26"/>
  <c r="DC16" i="26"/>
  <c r="DF16" i="26"/>
  <c r="DC17" i="26"/>
  <c r="DD17" i="26"/>
  <c r="DF17" i="26"/>
  <c r="DF18" i="26"/>
  <c r="DC19" i="26"/>
  <c r="DD19" i="26"/>
  <c r="DF19" i="26"/>
  <c r="DB22" i="26"/>
  <c r="DD22" i="26"/>
  <c r="DE22" i="26"/>
  <c r="DB23" i="26"/>
  <c r="DC23" i="26"/>
  <c r="DE23" i="26"/>
  <c r="DF23" i="26"/>
  <c r="DC24" i="26"/>
  <c r="DD24" i="26"/>
  <c r="DF24" i="26"/>
  <c r="DB25" i="26"/>
  <c r="DC25" i="26"/>
  <c r="DE25" i="26"/>
  <c r="DF25" i="26"/>
  <c r="DE26" i="26"/>
  <c r="DA7" i="26"/>
  <c r="DA8" i="26"/>
  <c r="DA10" i="26"/>
  <c r="DA11" i="26"/>
  <c r="DA13" i="26"/>
  <c r="DA19" i="26"/>
  <c r="DA22" i="26"/>
  <c r="DA23" i="26"/>
  <c r="DA24" i="26"/>
  <c r="DA4" i="26"/>
  <c r="K13" i="15" l="1"/>
  <c r="G57" i="11"/>
  <c r="M41" i="15"/>
  <c r="Q39" i="17" s="1"/>
  <c r="N29" i="15"/>
  <c r="R31" i="17" s="1"/>
  <c r="BL51" i="28"/>
  <c r="DF67" i="26"/>
  <c r="DD67" i="26"/>
  <c r="BX51" i="28"/>
  <c r="BX60" i="28" s="1"/>
  <c r="BX61" i="28" s="1"/>
  <c r="BK51" i="28"/>
  <c r="BK60" i="28" s="1"/>
  <c r="BK61" i="28" s="1"/>
  <c r="BY51" i="28"/>
  <c r="BY60" i="28" s="1"/>
  <c r="BY61" i="28" s="1"/>
  <c r="BJ51" i="28"/>
  <c r="BJ60" i="28" s="1"/>
  <c r="BJ61" i="28" s="1"/>
  <c r="DA67" i="26"/>
  <c r="DB67" i="26"/>
  <c r="CJ11" i="28"/>
  <c r="BV37" i="28"/>
  <c r="BV27" i="28"/>
  <c r="BV18" i="28"/>
  <c r="BV8" i="28"/>
  <c r="CJ20" i="28"/>
  <c r="BV38" i="28"/>
  <c r="BV28" i="28"/>
  <c r="BV19" i="28"/>
  <c r="BV11" i="28"/>
  <c r="CJ48" i="28"/>
  <c r="BV45" i="28"/>
  <c r="BV35" i="28"/>
  <c r="BV26" i="28"/>
  <c r="BV17" i="28"/>
  <c r="BV7" i="28"/>
  <c r="CJ24" i="28"/>
  <c r="CJ15" i="28"/>
  <c r="BV16" i="28"/>
  <c r="BV6" i="28"/>
  <c r="BV33" i="28"/>
  <c r="BV15" i="28"/>
  <c r="BV23" i="28"/>
  <c r="BV14" i="28"/>
  <c r="BV31" i="28"/>
  <c r="BV22" i="28"/>
  <c r="CJ19" i="28"/>
  <c r="BV44" i="28"/>
  <c r="BV34" i="28"/>
  <c r="BV25" i="28"/>
  <c r="BV43" i="28"/>
  <c r="BV32" i="28"/>
  <c r="BV12" i="28"/>
  <c r="BV41" i="28"/>
  <c r="BV42" i="28"/>
  <c r="BV40" i="28"/>
  <c r="BV30" i="28"/>
  <c r="BV20" i="28"/>
  <c r="CJ27" i="28"/>
  <c r="CJ32" i="28"/>
  <c r="AR51" i="28"/>
  <c r="BV4" i="28"/>
  <c r="CJ31" i="28"/>
  <c r="CJ13" i="28"/>
  <c r="CJ6" i="28"/>
  <c r="AR56" i="28"/>
  <c r="BV56" i="28" s="1"/>
  <c r="BV47" i="28"/>
  <c r="CJ33" i="28"/>
  <c r="CJ46" i="28"/>
  <c r="CJ43" i="28"/>
  <c r="CJ40" i="28"/>
  <c r="CJ37" i="28"/>
  <c r="CJ18" i="28"/>
  <c r="CJ8" i="28"/>
  <c r="CJ30" i="28"/>
  <c r="CJ26" i="28"/>
  <c r="BZ51" i="28"/>
  <c r="CJ38" i="28"/>
  <c r="CJ44" i="28"/>
  <c r="CJ42" i="28"/>
  <c r="CJ28" i="28"/>
  <c r="CJ23" i="28"/>
  <c r="CJ22" i="28"/>
  <c r="CJ14" i="28"/>
  <c r="CJ4" i="28"/>
  <c r="CJ47" i="28"/>
  <c r="CJ16" i="28"/>
  <c r="BV48" i="28"/>
  <c r="BV46" i="28"/>
  <c r="CJ5" i="28"/>
  <c r="BV24" i="28"/>
  <c r="BV13" i="28"/>
  <c r="BH56" i="28"/>
  <c r="CJ56" i="28" s="1"/>
  <c r="AR55" i="28"/>
  <c r="BV55" i="28" s="1"/>
  <c r="BH55" i="28"/>
  <c r="CJ55" i="28" s="1"/>
  <c r="CJ41" i="28"/>
  <c r="CA51" i="28"/>
  <c r="CB51" i="28"/>
  <c r="CJ45" i="28"/>
  <c r="CJ17" i="28"/>
  <c r="CJ7" i="28"/>
  <c r="CC51" i="28"/>
  <c r="CJ34" i="28"/>
  <c r="CJ25" i="28"/>
  <c r="CJ12" i="28"/>
  <c r="CJ35" i="28"/>
  <c r="T10" i="10"/>
  <c r="BH51" i="28"/>
  <c r="L13" i="15" l="1"/>
  <c r="O29" i="15"/>
  <c r="S31" i="17" s="1"/>
  <c r="N41" i="15"/>
  <c r="R39" i="17" s="1"/>
  <c r="BV51" i="28"/>
  <c r="CJ51" i="28"/>
  <c r="BK64" i="28"/>
  <c r="BK66" i="28" s="1"/>
  <c r="BK67" i="28" s="1"/>
  <c r="BJ64" i="28"/>
  <c r="BJ66" i="28" s="1"/>
  <c r="BJ67" i="28" s="1"/>
  <c r="DK73" i="26"/>
  <c r="DL73" i="26"/>
  <c r="CM73" i="26"/>
  <c r="S9" i="2"/>
  <c r="M13" i="15" l="1"/>
  <c r="O41" i="15"/>
  <c r="S39" i="17" s="1"/>
  <c r="BV64" i="28"/>
  <c r="CY73" i="26"/>
  <c r="CY5" i="26"/>
  <c r="CY6" i="26"/>
  <c r="CY7" i="26"/>
  <c r="CY8" i="26"/>
  <c r="CY9" i="26"/>
  <c r="CY10" i="26"/>
  <c r="CY11" i="26"/>
  <c r="CY12" i="26"/>
  <c r="CY13" i="26"/>
  <c r="CY14" i="26"/>
  <c r="CY15" i="26"/>
  <c r="CY16" i="26"/>
  <c r="CY17" i="26"/>
  <c r="CY18" i="26"/>
  <c r="CY19" i="26"/>
  <c r="CY20" i="26"/>
  <c r="CY21" i="26"/>
  <c r="CY22" i="26"/>
  <c r="CY23" i="26"/>
  <c r="CY24" i="26"/>
  <c r="CY25" i="26"/>
  <c r="CY26" i="26"/>
  <c r="N13" i="15" l="1"/>
  <c r="CE56" i="25"/>
  <c r="O13" i="15" l="1"/>
  <c r="D20" i="6"/>
  <c r="BT67" i="25"/>
  <c r="BU67" i="25"/>
  <c r="BV67" i="25"/>
  <c r="BW67" i="25"/>
  <c r="BX67" i="25"/>
  <c r="BY67" i="25"/>
  <c r="BZ67" i="25"/>
  <c r="CA67" i="25"/>
  <c r="CB67" i="25"/>
  <c r="CC67" i="25"/>
  <c r="CD67" i="25"/>
  <c r="BS67" i="25"/>
  <c r="BT66" i="25"/>
  <c r="BU66" i="25"/>
  <c r="BV66" i="25"/>
  <c r="BW66" i="25"/>
  <c r="BX66" i="25"/>
  <c r="BY66" i="25"/>
  <c r="BZ66" i="25"/>
  <c r="CA66" i="25"/>
  <c r="CB66" i="25"/>
  <c r="CC66" i="25"/>
  <c r="CD66" i="25"/>
  <c r="BS66" i="25"/>
  <c r="F12" i="5" s="1"/>
  <c r="H17" i="17" l="1"/>
  <c r="Q12" i="5"/>
  <c r="CR66" i="25"/>
  <c r="I12" i="5"/>
  <c r="M13" i="5"/>
  <c r="CQ66" i="25"/>
  <c r="P12" i="5"/>
  <c r="H12" i="5"/>
  <c r="K13" i="5"/>
  <c r="CL67" i="25"/>
  <c r="N12" i="5"/>
  <c r="F13" i="5"/>
  <c r="J13" i="5"/>
  <c r="L13" i="5"/>
  <c r="CM67" i="25"/>
  <c r="O12" i="5"/>
  <c r="G12" i="5"/>
  <c r="M12" i="5"/>
  <c r="CR67" i="25"/>
  <c r="Q13" i="5"/>
  <c r="I13" i="5"/>
  <c r="CM66" i="25"/>
  <c r="L12" i="5"/>
  <c r="H13" i="5"/>
  <c r="P13" i="5"/>
  <c r="CQ67" i="25"/>
  <c r="K12" i="5"/>
  <c r="O13" i="5"/>
  <c r="G13" i="5"/>
  <c r="J12" i="5"/>
  <c r="N13" i="5"/>
  <c r="CH5" i="25"/>
  <c r="CI5" i="25"/>
  <c r="CJ5" i="25"/>
  <c r="CL5" i="25"/>
  <c r="CJ6" i="25"/>
  <c r="CH8" i="25"/>
  <c r="CJ8" i="25"/>
  <c r="CK8" i="25"/>
  <c r="CL8" i="25"/>
  <c r="CH11" i="25"/>
  <c r="CH14" i="25"/>
  <c r="CI14" i="25"/>
  <c r="CJ14" i="25"/>
  <c r="CK14" i="25"/>
  <c r="CL14" i="25"/>
  <c r="CH12" i="25"/>
  <c r="CL12" i="25"/>
  <c r="CH13" i="25"/>
  <c r="CI13" i="25"/>
  <c r="CL13" i="25"/>
  <c r="CH16" i="25"/>
  <c r="CI16" i="25"/>
  <c r="CJ16" i="25"/>
  <c r="CK16" i="25"/>
  <c r="CL16" i="25"/>
  <c r="CH17" i="25"/>
  <c r="CI17" i="25"/>
  <c r="CJ17" i="25"/>
  <c r="CK17" i="25"/>
  <c r="CL17" i="25"/>
  <c r="CH18" i="25"/>
  <c r="CI18" i="25"/>
  <c r="CJ18" i="25"/>
  <c r="CK18" i="25"/>
  <c r="CL18" i="25"/>
  <c r="CI20" i="25"/>
  <c r="CH21" i="25"/>
  <c r="CI21" i="25"/>
  <c r="CJ21" i="25"/>
  <c r="CK21" i="25"/>
  <c r="CL21" i="25"/>
  <c r="CH22" i="25"/>
  <c r="CI22" i="25"/>
  <c r="CJ22" i="25"/>
  <c r="CK22" i="25"/>
  <c r="CL22" i="25"/>
  <c r="CH24" i="25"/>
  <c r="CI24" i="25"/>
  <c r="CJ24" i="25"/>
  <c r="CK24" i="25"/>
  <c r="CL24" i="25"/>
  <c r="CH27" i="25"/>
  <c r="CI27" i="25"/>
  <c r="CJ27" i="25"/>
  <c r="CK27" i="25"/>
  <c r="CL27" i="25"/>
  <c r="CH25" i="25"/>
  <c r="CI25" i="25"/>
  <c r="CJ25" i="25"/>
  <c r="CK25" i="25"/>
  <c r="CL25" i="25"/>
  <c r="CH23" i="25"/>
  <c r="CI23" i="25"/>
  <c r="CK23" i="25"/>
  <c r="CL23" i="25"/>
  <c r="CH28" i="25"/>
  <c r="CI28" i="25"/>
  <c r="CJ28" i="25"/>
  <c r="CK28" i="25"/>
  <c r="CL28" i="25"/>
  <c r="CH30" i="25"/>
  <c r="CI30" i="25"/>
  <c r="CJ30" i="25"/>
  <c r="CK30" i="25"/>
  <c r="CL30" i="25"/>
  <c r="CK29" i="25"/>
  <c r="CL29" i="25"/>
  <c r="CH19" i="25"/>
  <c r="CI19" i="25"/>
  <c r="CJ19" i="25"/>
  <c r="CK19" i="25"/>
  <c r="CL19" i="25"/>
  <c r="CH26" i="25"/>
  <c r="CI26" i="25"/>
  <c r="CJ26" i="25"/>
  <c r="CL26" i="25"/>
  <c r="CH31" i="25"/>
  <c r="CI32" i="25"/>
  <c r="CJ32" i="25"/>
  <c r="CK32" i="25"/>
  <c r="CH36" i="25"/>
  <c r="CI36" i="25"/>
  <c r="CJ36" i="25"/>
  <c r="CK36" i="25"/>
  <c r="CL36" i="25"/>
  <c r="CH38" i="25"/>
  <c r="CJ38" i="25"/>
  <c r="CL38" i="25"/>
  <c r="CH43" i="25"/>
  <c r="CI43" i="25"/>
  <c r="CJ43" i="25"/>
  <c r="CK43" i="25"/>
  <c r="CH42" i="25"/>
  <c r="CI42" i="25"/>
  <c r="CJ42" i="25"/>
  <c r="CK42" i="25"/>
  <c r="CL42" i="25"/>
  <c r="CH40" i="25"/>
  <c r="CI40" i="25"/>
  <c r="CJ40" i="25"/>
  <c r="CK40" i="25"/>
  <c r="CL40" i="25"/>
  <c r="CH44" i="25"/>
  <c r="CI44" i="25"/>
  <c r="CJ44" i="25"/>
  <c r="CK44" i="25"/>
  <c r="CL44" i="25"/>
  <c r="CH49" i="25"/>
  <c r="CI49" i="25"/>
  <c r="CJ49" i="25"/>
  <c r="CK49" i="25"/>
  <c r="CL49" i="25"/>
  <c r="CH50" i="25"/>
  <c r="CI50" i="25"/>
  <c r="CJ50" i="25"/>
  <c r="CK50" i="25"/>
  <c r="CL50" i="25"/>
  <c r="CH35" i="25"/>
  <c r="CH46" i="25"/>
  <c r="CI46" i="25"/>
  <c r="CJ46" i="25"/>
  <c r="CL46" i="25"/>
  <c r="CI45" i="25"/>
  <c r="CH52" i="25"/>
  <c r="CI52" i="25"/>
  <c r="CJ52" i="25"/>
  <c r="CK52" i="25"/>
  <c r="CL52" i="25"/>
  <c r="CG11" i="25"/>
  <c r="CG14" i="25"/>
  <c r="CG12" i="25"/>
  <c r="CG13" i="25"/>
  <c r="CG16" i="25"/>
  <c r="CG17" i="25"/>
  <c r="CG18" i="25"/>
  <c r="CG21" i="25"/>
  <c r="CG22" i="25"/>
  <c r="CG24" i="25"/>
  <c r="CG27" i="25"/>
  <c r="CG25" i="25"/>
  <c r="CG23" i="25"/>
  <c r="CG28" i="25"/>
  <c r="CG30" i="25"/>
  <c r="CG29" i="25"/>
  <c r="CG19" i="25"/>
  <c r="CG26" i="25"/>
  <c r="CG36" i="25"/>
  <c r="CG38" i="25"/>
  <c r="CG43" i="25"/>
  <c r="CG42" i="25"/>
  <c r="CG40" i="25"/>
  <c r="CG44" i="25"/>
  <c r="CG49" i="25"/>
  <c r="CG50" i="25"/>
  <c r="CG45" i="25"/>
  <c r="CG52" i="25"/>
  <c r="CG5" i="25"/>
  <c r="CE5" i="25"/>
  <c r="CE6" i="25"/>
  <c r="CE7" i="25"/>
  <c r="CE8" i="25"/>
  <c r="CE9" i="25"/>
  <c r="CE10" i="25"/>
  <c r="CE11" i="25"/>
  <c r="CE14" i="25"/>
  <c r="CE12" i="25"/>
  <c r="CE13" i="25"/>
  <c r="CE16" i="25"/>
  <c r="CE17" i="25"/>
  <c r="CE18" i="25"/>
  <c r="CE20" i="25"/>
  <c r="CE21" i="25"/>
  <c r="CE22" i="25"/>
  <c r="CE24" i="25"/>
  <c r="CE27" i="25"/>
  <c r="CE25" i="25"/>
  <c r="CE23" i="25"/>
  <c r="CE28" i="25"/>
  <c r="CE30" i="25"/>
  <c r="CE29" i="25"/>
  <c r="CE19" i="25"/>
  <c r="CE26" i="25"/>
  <c r="CE31" i="25"/>
  <c r="CE32" i="25"/>
  <c r="CE33" i="25"/>
  <c r="CE36" i="25"/>
  <c r="CE37" i="25"/>
  <c r="CE38" i="25"/>
  <c r="CE39" i="25"/>
  <c r="CE41" i="25"/>
  <c r="CE43" i="25"/>
  <c r="CE42" i="25"/>
  <c r="CE40" i="25"/>
  <c r="CE44" i="25"/>
  <c r="CE49" i="25"/>
  <c r="CE50" i="25"/>
  <c r="CE35" i="25"/>
  <c r="CE46" i="25"/>
  <c r="CE45" i="25"/>
  <c r="CE52" i="25"/>
  <c r="CE51" i="25"/>
  <c r="CE48" i="25"/>
  <c r="CE4" i="25"/>
  <c r="CE47" i="25"/>
  <c r="A52" i="15"/>
  <c r="C48" i="11"/>
  <c r="D48" i="11"/>
  <c r="E48" i="11"/>
  <c r="F48" i="11"/>
  <c r="H48" i="11"/>
  <c r="I48" i="11"/>
  <c r="J48" i="11"/>
  <c r="K48" i="11"/>
  <c r="L48" i="11"/>
  <c r="M48" i="11"/>
  <c r="B48" i="11"/>
  <c r="D23" i="6"/>
  <c r="E23" i="6"/>
  <c r="F23" i="6"/>
  <c r="G23" i="6"/>
  <c r="I23" i="6"/>
  <c r="J23" i="6"/>
  <c r="K23" i="6"/>
  <c r="L23" i="6"/>
  <c r="M23" i="6"/>
  <c r="N23" i="6"/>
  <c r="C23" i="6"/>
  <c r="D23" i="3"/>
  <c r="D25" i="3" s="1"/>
  <c r="E23" i="3"/>
  <c r="F23" i="3"/>
  <c r="F25" i="3" s="1"/>
  <c r="G23" i="3"/>
  <c r="G25" i="3" s="1"/>
  <c r="H25" i="3"/>
  <c r="I23" i="3"/>
  <c r="I25" i="3" s="1"/>
  <c r="J23" i="3"/>
  <c r="J25" i="3" s="1"/>
  <c r="K23" i="3"/>
  <c r="K25" i="3" s="1"/>
  <c r="L23" i="3"/>
  <c r="L25" i="3" s="1"/>
  <c r="M23" i="3"/>
  <c r="M25" i="3" s="1"/>
  <c r="N23" i="3"/>
  <c r="N25" i="3" s="1"/>
  <c r="C23" i="3"/>
  <c r="G32" i="6" l="1"/>
  <c r="G39" i="6"/>
  <c r="G36" i="6"/>
  <c r="F36" i="6"/>
  <c r="F32" i="6"/>
  <c r="F39" i="6"/>
  <c r="M36" i="6"/>
  <c r="M32" i="6"/>
  <c r="M39" i="6"/>
  <c r="D33" i="6"/>
  <c r="D36" i="6"/>
  <c r="D25" i="6"/>
  <c r="D31" i="6"/>
  <c r="D30" i="6"/>
  <c r="D26" i="6"/>
  <c r="D29" i="6"/>
  <c r="D39" i="6"/>
  <c r="D27" i="6"/>
  <c r="D32" i="6"/>
  <c r="I32" i="6"/>
  <c r="I39" i="6"/>
  <c r="I36" i="6"/>
  <c r="N36" i="6"/>
  <c r="N32" i="6"/>
  <c r="N39" i="6"/>
  <c r="E36" i="6"/>
  <c r="E39" i="6"/>
  <c r="E32" i="6"/>
  <c r="L39" i="6"/>
  <c r="L36" i="6"/>
  <c r="L32" i="6"/>
  <c r="J39" i="6"/>
  <c r="J36" i="6"/>
  <c r="J32" i="6"/>
  <c r="C32" i="6"/>
  <c r="C26" i="6"/>
  <c r="C36" i="6"/>
  <c r="C42" i="6"/>
  <c r="C39" i="6"/>
  <c r="C25" i="6"/>
  <c r="K32" i="6"/>
  <c r="K36" i="6"/>
  <c r="K39" i="6"/>
  <c r="C25" i="3"/>
  <c r="C26" i="3"/>
  <c r="D8" i="11"/>
  <c r="G56" i="11" s="1"/>
  <c r="B50" i="11"/>
  <c r="B63" i="11" s="1"/>
  <c r="B53" i="11"/>
  <c r="B52" i="11"/>
  <c r="B66" i="11" s="1"/>
  <c r="B51" i="11"/>
  <c r="B54" i="11"/>
  <c r="B55" i="11"/>
  <c r="B57" i="11"/>
  <c r="B56" i="11"/>
  <c r="D50" i="11"/>
  <c r="D51" i="11"/>
  <c r="D55" i="11"/>
  <c r="D52" i="11"/>
  <c r="D54" i="11"/>
  <c r="D53" i="11"/>
  <c r="D57" i="11"/>
  <c r="I8" i="10"/>
  <c r="C50" i="11"/>
  <c r="C55" i="11"/>
  <c r="C52" i="11"/>
  <c r="C51" i="11"/>
  <c r="C64" i="11" s="1"/>
  <c r="C53" i="11"/>
  <c r="C54" i="11"/>
  <c r="C57" i="11"/>
  <c r="K50" i="11"/>
  <c r="K51" i="11"/>
  <c r="K64" i="11" s="1"/>
  <c r="K53" i="11"/>
  <c r="K55" i="11"/>
  <c r="K57" i="11"/>
  <c r="K52" i="11"/>
  <c r="K54" i="11"/>
  <c r="J50" i="11"/>
  <c r="J51" i="11"/>
  <c r="J64" i="11" s="1"/>
  <c r="J53" i="11"/>
  <c r="J55" i="11"/>
  <c r="J57" i="11"/>
  <c r="J52" i="11"/>
  <c r="J54" i="11"/>
  <c r="I54" i="11"/>
  <c r="I53" i="11"/>
  <c r="I57" i="11"/>
  <c r="I50" i="11"/>
  <c r="I52" i="11"/>
  <c r="I51" i="11"/>
  <c r="I64" i="11" s="1"/>
  <c r="I55" i="11"/>
  <c r="L52" i="11"/>
  <c r="L54" i="11"/>
  <c r="L51" i="11"/>
  <c r="L64" i="11" s="1"/>
  <c r="L53" i="11"/>
  <c r="L55" i="11"/>
  <c r="L57" i="11"/>
  <c r="L50" i="11"/>
  <c r="M52" i="11"/>
  <c r="M54" i="11"/>
  <c r="M51" i="11"/>
  <c r="M64" i="11" s="1"/>
  <c r="M53" i="11"/>
  <c r="M55" i="11"/>
  <c r="M57" i="11"/>
  <c r="M50" i="11"/>
  <c r="H53" i="11"/>
  <c r="H57" i="11"/>
  <c r="H52" i="11"/>
  <c r="H50" i="11"/>
  <c r="H51" i="11"/>
  <c r="H64" i="11" s="1"/>
  <c r="H55" i="11"/>
  <c r="H54" i="11"/>
  <c r="F52" i="11"/>
  <c r="F53" i="11"/>
  <c r="F51" i="11"/>
  <c r="F55" i="11"/>
  <c r="F57" i="11"/>
  <c r="F54" i="11"/>
  <c r="F50" i="11"/>
  <c r="E52" i="11"/>
  <c r="E50" i="11"/>
  <c r="E51" i="11"/>
  <c r="E55" i="11"/>
  <c r="E54" i="11"/>
  <c r="E53" i="11"/>
  <c r="E57" i="11"/>
  <c r="J28" i="6"/>
  <c r="J29" i="6"/>
  <c r="J37" i="6"/>
  <c r="J30" i="6"/>
  <c r="J38" i="6"/>
  <c r="J40" i="6"/>
  <c r="J33" i="6"/>
  <c r="J25" i="6"/>
  <c r="J26" i="6"/>
  <c r="J34" i="6"/>
  <c r="J31" i="6"/>
  <c r="J35" i="6"/>
  <c r="J27" i="6"/>
  <c r="G27" i="6"/>
  <c r="G31" i="6"/>
  <c r="G35" i="6"/>
  <c r="G28" i="6"/>
  <c r="G40" i="6"/>
  <c r="G29" i="6"/>
  <c r="G33" i="6"/>
  <c r="G37" i="6"/>
  <c r="G25" i="6"/>
  <c r="G26" i="6"/>
  <c r="G30" i="6"/>
  <c r="G34" i="6"/>
  <c r="G38" i="6"/>
  <c r="E27" i="6"/>
  <c r="E35" i="6"/>
  <c r="E28" i="6"/>
  <c r="E29" i="6"/>
  <c r="E37" i="6"/>
  <c r="E31" i="6"/>
  <c r="E40" i="6"/>
  <c r="E25" i="6"/>
  <c r="E38" i="6"/>
  <c r="E33" i="6"/>
  <c r="E26" i="6"/>
  <c r="E34" i="6"/>
  <c r="E30" i="6"/>
  <c r="F27" i="6"/>
  <c r="F35" i="6"/>
  <c r="F28" i="6"/>
  <c r="F37" i="6"/>
  <c r="F29" i="6"/>
  <c r="F38" i="6"/>
  <c r="F31" i="6"/>
  <c r="F40" i="6"/>
  <c r="F25" i="6"/>
  <c r="F33" i="6"/>
  <c r="F30" i="6"/>
  <c r="F34" i="6"/>
  <c r="F26" i="6"/>
  <c r="D28" i="6"/>
  <c r="D37" i="6"/>
  <c r="D40" i="6"/>
  <c r="D34" i="6"/>
  <c r="D35" i="6"/>
  <c r="D38" i="6"/>
  <c r="C31" i="6"/>
  <c r="C30" i="6"/>
  <c r="C34" i="6"/>
  <c r="C41" i="6"/>
  <c r="C27" i="6"/>
  <c r="C38" i="6"/>
  <c r="C40" i="6"/>
  <c r="C33" i="6"/>
  <c r="C29" i="6"/>
  <c r="C28" i="6"/>
  <c r="C37" i="6"/>
  <c r="C35" i="6"/>
  <c r="N28" i="6"/>
  <c r="N29" i="6"/>
  <c r="N37" i="6"/>
  <c r="N30" i="6"/>
  <c r="N38" i="6"/>
  <c r="N40" i="6"/>
  <c r="N33" i="6"/>
  <c r="N25" i="6"/>
  <c r="N26" i="6"/>
  <c r="N34" i="6"/>
  <c r="N31" i="6"/>
  <c r="N35" i="6"/>
  <c r="N27" i="6"/>
  <c r="L28" i="6"/>
  <c r="L29" i="6"/>
  <c r="L37" i="6"/>
  <c r="L30" i="6"/>
  <c r="L38" i="6"/>
  <c r="L40" i="6"/>
  <c r="L33" i="6"/>
  <c r="L25" i="6"/>
  <c r="L26" i="6"/>
  <c r="L34" i="6"/>
  <c r="L31" i="6"/>
  <c r="L35" i="6"/>
  <c r="L27" i="6"/>
  <c r="I28" i="6"/>
  <c r="I29" i="6"/>
  <c r="I37" i="6"/>
  <c r="I30" i="6"/>
  <c r="I38" i="6"/>
  <c r="I40" i="6"/>
  <c r="I33" i="6"/>
  <c r="I25" i="6"/>
  <c r="I26" i="6"/>
  <c r="I34" i="6"/>
  <c r="I35" i="6"/>
  <c r="I27" i="6"/>
  <c r="I31" i="6"/>
  <c r="M27" i="6"/>
  <c r="M35" i="6"/>
  <c r="M28" i="6"/>
  <c r="M29" i="6"/>
  <c r="M37" i="6"/>
  <c r="M31" i="6"/>
  <c r="M40" i="6"/>
  <c r="M25" i="6"/>
  <c r="M38" i="6"/>
  <c r="M33" i="6"/>
  <c r="M26" i="6"/>
  <c r="M30" i="6"/>
  <c r="M34" i="6"/>
  <c r="K28" i="6"/>
  <c r="K29" i="6"/>
  <c r="K37" i="6"/>
  <c r="K30" i="6"/>
  <c r="K38" i="6"/>
  <c r="K40" i="6"/>
  <c r="K33" i="6"/>
  <c r="K25" i="6"/>
  <c r="K26" i="6"/>
  <c r="K34" i="6"/>
  <c r="K27" i="6"/>
  <c r="K31" i="6"/>
  <c r="K35" i="6"/>
  <c r="F59" i="11"/>
  <c r="F60" i="11"/>
  <c r="F58" i="11"/>
  <c r="E59" i="11"/>
  <c r="E60" i="11"/>
  <c r="E58" i="11"/>
  <c r="D60" i="11"/>
  <c r="D58" i="11"/>
  <c r="D59" i="11"/>
  <c r="CR65" i="25"/>
  <c r="CN69" i="25"/>
  <c r="CQ65" i="25"/>
  <c r="M17" i="17"/>
  <c r="O18" i="17"/>
  <c r="P18" i="17"/>
  <c r="J18" i="17"/>
  <c r="I17" i="17"/>
  <c r="K17" i="17"/>
  <c r="H18" i="17"/>
  <c r="P17" i="17"/>
  <c r="L17" i="17"/>
  <c r="N17" i="17"/>
  <c r="Q17" i="17"/>
  <c r="L18" i="17"/>
  <c r="R18" i="17"/>
  <c r="I18" i="17"/>
  <c r="M18" i="17"/>
  <c r="S17" i="17"/>
  <c r="O17" i="17"/>
  <c r="K18" i="17"/>
  <c r="J17" i="17"/>
  <c r="Q18" i="17"/>
  <c r="S18" i="17"/>
  <c r="N18" i="17"/>
  <c r="R17" i="17"/>
  <c r="CH61" i="25"/>
  <c r="CG61" i="25"/>
  <c r="CS30" i="25"/>
  <c r="M41" i="6"/>
  <c r="M42" i="6"/>
  <c r="E41" i="6"/>
  <c r="E42" i="6"/>
  <c r="L41" i="6"/>
  <c r="L42" i="6"/>
  <c r="D41" i="6"/>
  <c r="D42" i="6"/>
  <c r="G41" i="6"/>
  <c r="G42" i="6"/>
  <c r="K41" i="6"/>
  <c r="K42" i="6"/>
  <c r="N41" i="6"/>
  <c r="N42" i="6"/>
  <c r="J41" i="6"/>
  <c r="J42" i="6"/>
  <c r="F41" i="6"/>
  <c r="F42" i="6"/>
  <c r="I41" i="6"/>
  <c r="I42" i="6"/>
  <c r="H41" i="6"/>
  <c r="H42" i="6"/>
  <c r="E26" i="3"/>
  <c r="E25" i="3"/>
  <c r="CS41" i="25"/>
  <c r="CS4" i="25"/>
  <c r="CS51" i="25"/>
  <c r="CS45" i="25"/>
  <c r="CS49" i="25"/>
  <c r="CS39" i="25"/>
  <c r="CS37" i="25"/>
  <c r="CS28" i="25"/>
  <c r="CS13" i="25"/>
  <c r="CS10" i="25"/>
  <c r="CS17" i="25"/>
  <c r="CS20" i="25"/>
  <c r="CS48" i="25"/>
  <c r="CS46" i="25"/>
  <c r="CS35" i="25"/>
  <c r="CS44" i="25"/>
  <c r="CS40" i="25"/>
  <c r="CS43" i="25"/>
  <c r="CS36" i="25"/>
  <c r="CS33" i="25"/>
  <c r="CS27" i="25"/>
  <c r="CS24" i="25"/>
  <c r="CS22" i="25"/>
  <c r="CS18" i="25"/>
  <c r="CS12" i="25"/>
  <c r="CS14" i="25"/>
  <c r="CS9" i="25"/>
  <c r="CS8" i="25"/>
  <c r="CS6" i="25"/>
  <c r="CS5" i="25"/>
  <c r="CS26" i="25"/>
  <c r="CS19" i="25"/>
  <c r="CS23" i="25"/>
  <c r="CS31" i="25"/>
  <c r="CS56" i="25"/>
  <c r="R13" i="5"/>
  <c r="CS47" i="25"/>
  <c r="CS50" i="25"/>
  <c r="CS38" i="25"/>
  <c r="CS29" i="25"/>
  <c r="CS21" i="25"/>
  <c r="CS11" i="25"/>
  <c r="CS52" i="25"/>
  <c r="CS42" i="25"/>
  <c r="CS32" i="25"/>
  <c r="CS25" i="25"/>
  <c r="CS16" i="25"/>
  <c r="CS7" i="25"/>
  <c r="B65" i="11" l="1"/>
  <c r="H4" i="10" s="1"/>
  <c r="B64" i="11"/>
  <c r="B68" i="11" s="1"/>
  <c r="C50" i="6"/>
  <c r="H56" i="11"/>
  <c r="H74" i="11" s="1" a="1"/>
  <c r="H74" i="11" s="1"/>
  <c r="E56" i="11"/>
  <c r="E74" i="11" s="1" a="1"/>
  <c r="E74" i="11" s="1"/>
  <c r="F56" i="11"/>
  <c r="F74" i="11" s="1" a="1"/>
  <c r="F74" i="11" s="1"/>
  <c r="J56" i="11"/>
  <c r="J62" i="11" s="1"/>
  <c r="C56" i="11"/>
  <c r="C62" i="11" s="1"/>
  <c r="L56" i="11"/>
  <c r="L74" i="11" s="1" a="1"/>
  <c r="L74" i="11" s="1"/>
  <c r="I56" i="11"/>
  <c r="I62" i="11" s="1"/>
  <c r="D56" i="11"/>
  <c r="D74" i="11" s="1" a="1"/>
  <c r="D74" i="11" s="1"/>
  <c r="C28" i="3"/>
  <c r="C33" i="3" s="1"/>
  <c r="H50" i="6"/>
  <c r="M56" i="11"/>
  <c r="M74" i="11" s="1" a="1"/>
  <c r="M74" i="11" s="1"/>
  <c r="K56" i="11"/>
  <c r="K74" i="11" s="1" a="1"/>
  <c r="K74" i="11" s="1"/>
  <c r="G62" i="11"/>
  <c r="G74" i="11" a="1"/>
  <c r="G74" i="11" s="1"/>
  <c r="F61" i="11"/>
  <c r="L8" i="10" s="1"/>
  <c r="G50" i="6"/>
  <c r="K50" i="6"/>
  <c r="M50" i="6"/>
  <c r="I50" i="6"/>
  <c r="L50" i="6"/>
  <c r="F50" i="6"/>
  <c r="E50" i="6"/>
  <c r="J50" i="6"/>
  <c r="D50" i="6"/>
  <c r="B74" i="11" a="1"/>
  <c r="B74" i="11" s="1"/>
  <c r="E70" i="11"/>
  <c r="E65" i="11"/>
  <c r="L63" i="11"/>
  <c r="L69" i="11"/>
  <c r="J66" i="11"/>
  <c r="J71" i="11"/>
  <c r="K66" i="11"/>
  <c r="K71" i="11"/>
  <c r="D70" i="11"/>
  <c r="D65" i="11"/>
  <c r="H69" i="11"/>
  <c r="H63" i="11"/>
  <c r="L70" i="11"/>
  <c r="L65" i="11"/>
  <c r="I69" i="11"/>
  <c r="I63" i="11"/>
  <c r="M70" i="11"/>
  <c r="M65" i="11"/>
  <c r="C70" i="11"/>
  <c r="C65" i="11"/>
  <c r="E63" i="11"/>
  <c r="F65" i="11"/>
  <c r="F70" i="11"/>
  <c r="H71" i="11"/>
  <c r="H66" i="11"/>
  <c r="J70" i="11"/>
  <c r="J65" i="11"/>
  <c r="K70" i="11"/>
  <c r="K65" i="11"/>
  <c r="C66" i="11"/>
  <c r="C71" i="11"/>
  <c r="D66" i="11"/>
  <c r="D71" i="11"/>
  <c r="I65" i="11"/>
  <c r="I70" i="11"/>
  <c r="B71" i="11"/>
  <c r="D61" i="11"/>
  <c r="J8" i="10" s="1"/>
  <c r="E66" i="11"/>
  <c r="E71" i="11"/>
  <c r="F66" i="11"/>
  <c r="F71" i="11"/>
  <c r="H65" i="11"/>
  <c r="H70" i="11"/>
  <c r="M66" i="11"/>
  <c r="M71" i="11"/>
  <c r="L66" i="11"/>
  <c r="L71" i="11"/>
  <c r="J63" i="11"/>
  <c r="J69" i="11"/>
  <c r="K63" i="11"/>
  <c r="K69" i="11"/>
  <c r="C69" i="11"/>
  <c r="C63" i="11"/>
  <c r="B70" i="11"/>
  <c r="I71" i="11"/>
  <c r="I66" i="11"/>
  <c r="F63" i="11"/>
  <c r="M69" i="11"/>
  <c r="M63" i="11"/>
  <c r="D63" i="11"/>
  <c r="B62" i="11"/>
  <c r="B69" i="11"/>
  <c r="J48" i="6"/>
  <c r="J43" i="6"/>
  <c r="J45" i="6"/>
  <c r="H45" i="6"/>
  <c r="H43" i="6"/>
  <c r="H48" i="6"/>
  <c r="C45" i="6"/>
  <c r="C48" i="6"/>
  <c r="C43" i="6"/>
  <c r="L45" i="6"/>
  <c r="L43" i="6"/>
  <c r="L48" i="6"/>
  <c r="D45" i="6"/>
  <c r="D48" i="6"/>
  <c r="D43" i="6"/>
  <c r="N43" i="6"/>
  <c r="N48" i="6"/>
  <c r="N45" i="6"/>
  <c r="I48" i="6"/>
  <c r="I43" i="6"/>
  <c r="I45" i="6"/>
  <c r="K45" i="6"/>
  <c r="K48" i="6"/>
  <c r="K43" i="6"/>
  <c r="E43" i="6"/>
  <c r="E45" i="6"/>
  <c r="E48" i="6"/>
  <c r="F43" i="6"/>
  <c r="F48" i="6"/>
  <c r="F45" i="6"/>
  <c r="G43" i="6"/>
  <c r="G45" i="6"/>
  <c r="G48" i="6"/>
  <c r="M43" i="6"/>
  <c r="M45" i="6"/>
  <c r="M48" i="6"/>
  <c r="E61" i="11"/>
  <c r="K8" i="10" s="1"/>
  <c r="DM73" i="26"/>
  <c r="DC67" i="26"/>
  <c r="DE67" i="26"/>
  <c r="DM58" i="26"/>
  <c r="DM15" i="26"/>
  <c r="DM21" i="26"/>
  <c r="DM13" i="26"/>
  <c r="DM20" i="26"/>
  <c r="DM12" i="26"/>
  <c r="DM11" i="26"/>
  <c r="DM26" i="26"/>
  <c r="DM18" i="26"/>
  <c r="DM10" i="26"/>
  <c r="DM7" i="26"/>
  <c r="DM19" i="26"/>
  <c r="DM25" i="26"/>
  <c r="DM17" i="26"/>
  <c r="DM9" i="26"/>
  <c r="DM24" i="26"/>
  <c r="DM16" i="26"/>
  <c r="DM8" i="26"/>
  <c r="DM23" i="26"/>
  <c r="DM22" i="26"/>
  <c r="DM14" i="26"/>
  <c r="DM6" i="26"/>
  <c r="DM5" i="26"/>
  <c r="DM4" i="26"/>
  <c r="CS67" i="25"/>
  <c r="CS66" i="25"/>
  <c r="CL61" i="25"/>
  <c r="CK61" i="25"/>
  <c r="CJ61" i="25"/>
  <c r="CI61" i="25"/>
  <c r="CS60" i="25"/>
  <c r="CS61" i="25" s="1"/>
  <c r="H62" i="11" l="1"/>
  <c r="F69" i="11"/>
  <c r="F72" i="11" s="1"/>
  <c r="K62" i="11"/>
  <c r="J74" i="11" a="1"/>
  <c r="J74" i="11" s="1"/>
  <c r="C74" i="11" a="1"/>
  <c r="C74" i="11" s="1"/>
  <c r="L62" i="11"/>
  <c r="I74" i="11" a="1"/>
  <c r="I74" i="11" s="1"/>
  <c r="M62" i="11"/>
  <c r="D69" i="15"/>
  <c r="D62" i="11"/>
  <c r="F64" i="11"/>
  <c r="F62" i="11"/>
  <c r="D69" i="11"/>
  <c r="D72" i="11" s="1"/>
  <c r="E64" i="11"/>
  <c r="L72" i="11"/>
  <c r="K72" i="11"/>
  <c r="E62" i="11"/>
  <c r="C72" i="11"/>
  <c r="I72" i="11"/>
  <c r="B72" i="11"/>
  <c r="B67" i="11"/>
  <c r="M72" i="11"/>
  <c r="D64" i="11"/>
  <c r="J72" i="11"/>
  <c r="E69" i="11"/>
  <c r="E72" i="11" s="1"/>
  <c r="H72" i="11"/>
  <c r="T8" i="10"/>
  <c r="C44" i="6"/>
  <c r="C46" i="6" s="1"/>
  <c r="C47" i="6"/>
  <c r="C49" i="6" s="1"/>
  <c r="C31" i="3"/>
  <c r="C32" i="3" s="1"/>
  <c r="DM67" i="26"/>
  <c r="DK72" i="26"/>
  <c r="C29" i="3"/>
  <c r="C30" i="3" s="1"/>
  <c r="B3" i="33" a="1"/>
  <c r="B3" i="33" s="1"/>
  <c r="CY74" i="26"/>
  <c r="CY58" i="26"/>
  <c r="CY4" i="26"/>
  <c r="CN67" i="26"/>
  <c r="CO67" i="26"/>
  <c r="CP67" i="26"/>
  <c r="CQ67" i="26"/>
  <c r="CR67" i="26"/>
  <c r="CS67" i="26"/>
  <c r="CT67" i="26"/>
  <c r="CU67" i="26"/>
  <c r="CV67" i="26"/>
  <c r="CW67" i="26"/>
  <c r="CX67" i="26"/>
  <c r="CM67" i="26"/>
  <c r="CE67" i="25"/>
  <c r="CE66" i="25"/>
  <c r="AQ51" i="28"/>
  <c r="AQ64" i="28" s="1"/>
  <c r="AP51" i="28"/>
  <c r="AP64" i="28" s="1"/>
  <c r="AO51" i="28"/>
  <c r="AO64" i="28" s="1"/>
  <c r="AN51" i="28"/>
  <c r="AN64" i="28" s="1"/>
  <c r="AM51" i="28"/>
  <c r="AM64" i="28" s="1"/>
  <c r="AL51" i="28"/>
  <c r="AL64" i="28" s="1"/>
  <c r="AK51" i="28"/>
  <c r="AK64" i="28" s="1"/>
  <c r="AJ51" i="28"/>
  <c r="AJ64" i="28" s="1"/>
  <c r="AI51" i="28"/>
  <c r="AI64" i="28" s="1"/>
  <c r="AH51" i="28"/>
  <c r="AH64" i="28" s="1"/>
  <c r="AG51" i="28"/>
  <c r="AG64" i="28" s="1"/>
  <c r="AR57" i="28"/>
  <c r="H3" i="28"/>
  <c r="O3" i="28"/>
  <c r="AB3" i="28"/>
  <c r="G6" i="5"/>
  <c r="CE60" i="25"/>
  <c r="CE61" i="25" s="1"/>
  <c r="Q6" i="5"/>
  <c r="P6" i="5"/>
  <c r="O6" i="5"/>
  <c r="K6" i="5"/>
  <c r="I5" i="24" l="1"/>
  <c r="K5" i="41"/>
  <c r="K6" i="41" s="1"/>
  <c r="M5" i="24"/>
  <c r="O5" i="41"/>
  <c r="O6" i="41" s="1"/>
  <c r="N5" i="24"/>
  <c r="P5" i="41"/>
  <c r="P6" i="41" s="1"/>
  <c r="O5" i="24"/>
  <c r="Q5" i="41"/>
  <c r="Q6" i="41" s="1"/>
  <c r="E5" i="24"/>
  <c r="G5" i="41"/>
  <c r="R5" i="17"/>
  <c r="S5" i="17"/>
  <c r="M5" i="17"/>
  <c r="Q5" i="17"/>
  <c r="CY67" i="26"/>
  <c r="BT76" i="25"/>
  <c r="BU76" i="25" s="1"/>
  <c r="BU75" i="25"/>
  <c r="I5" i="17"/>
  <c r="DV72" i="26"/>
  <c r="EC72" i="26"/>
  <c r="DU72" i="26"/>
  <c r="EB72" i="26"/>
  <c r="DT72" i="26"/>
  <c r="EA72" i="26"/>
  <c r="DS72" i="26"/>
  <c r="DZ72" i="26"/>
  <c r="DY72" i="26"/>
  <c r="DX72" i="26"/>
  <c r="DW72" i="26"/>
  <c r="CE74" i="25"/>
  <c r="AR64" i="28"/>
  <c r="BO51" i="28"/>
  <c r="BO60" i="28" s="1"/>
  <c r="BN51" i="28"/>
  <c r="BM51" i="28"/>
  <c r="M6" i="5"/>
  <c r="L6" i="5"/>
  <c r="N6" i="5"/>
  <c r="J6" i="5"/>
  <c r="H6" i="5"/>
  <c r="F5" i="24" l="1"/>
  <c r="H5" i="41"/>
  <c r="H6" i="41" s="1"/>
  <c r="H5" i="24"/>
  <c r="J5" i="41"/>
  <c r="J6" i="41" s="1"/>
  <c r="J5" i="24"/>
  <c r="L5" i="41"/>
  <c r="L6" i="41" s="1"/>
  <c r="L5" i="24"/>
  <c r="N5" i="41"/>
  <c r="N6" i="41" s="1"/>
  <c r="K5" i="24"/>
  <c r="M5" i="41"/>
  <c r="M6" i="41" s="1"/>
  <c r="EL72" i="26"/>
  <c r="EO72" i="26"/>
  <c r="EP72" i="26"/>
  <c r="EH72" i="26"/>
  <c r="EM72" i="26"/>
  <c r="EI72" i="26"/>
  <c r="EJ72" i="26"/>
  <c r="ER72" i="26"/>
  <c r="EK72" i="26"/>
  <c r="EE72" i="26"/>
  <c r="EQ72" i="26"/>
  <c r="EN72" i="26"/>
  <c r="BX64" i="28"/>
  <c r="CQ72" i="28"/>
  <c r="CQ71" i="28"/>
  <c r="CQ70" i="28"/>
  <c r="L5" i="17"/>
  <c r="O5" i="17"/>
  <c r="P5" i="17"/>
  <c r="J5" i="17"/>
  <c r="N5" i="17"/>
  <c r="AS64" i="28"/>
  <c r="BM64" i="28"/>
  <c r="BQ64" i="28"/>
  <c r="BT64" i="28"/>
  <c r="BS64" i="28"/>
  <c r="BU64" i="28"/>
  <c r="BR64" i="28"/>
  <c r="BN64" i="28"/>
  <c r="BO64" i="28"/>
  <c r="BL64" i="28"/>
  <c r="AI70" i="28"/>
  <c r="AI71" i="28"/>
  <c r="AI72" i="28"/>
  <c r="CN72" i="26"/>
  <c r="I9" i="17"/>
  <c r="CS72" i="26"/>
  <c r="N9" i="17"/>
  <c r="CX72" i="26"/>
  <c r="S9" i="17"/>
  <c r="CW72" i="26"/>
  <c r="R9" i="17"/>
  <c r="CO72" i="26"/>
  <c r="J9" i="17"/>
  <c r="CU72" i="26"/>
  <c r="P9" i="17"/>
  <c r="CP72" i="26"/>
  <c r="K9" i="17"/>
  <c r="CR72" i="26"/>
  <c r="M9" i="17"/>
  <c r="Q9" i="17"/>
  <c r="CV72" i="26"/>
  <c r="CT72" i="26"/>
  <c r="O9" i="17"/>
  <c r="CQ72" i="26"/>
  <c r="L9" i="17"/>
  <c r="H3" i="17"/>
  <c r="ES72" i="26" l="1"/>
  <c r="H9" i="17"/>
  <c r="CM72" i="26"/>
  <c r="I6" i="5"/>
  <c r="G11" i="2"/>
  <c r="G5" i="24" l="1"/>
  <c r="I5" i="41"/>
  <c r="I6" i="41" s="1"/>
  <c r="K5" i="17"/>
  <c r="CY72" i="26"/>
  <c r="R21" i="5"/>
  <c r="U75" i="15" l="1"/>
  <c r="P25" i="15"/>
  <c r="P21" i="15"/>
  <c r="E7" i="11" l="1"/>
  <c r="F7" i="11" s="1"/>
  <c r="E9" i="11"/>
  <c r="F9" i="11" s="1"/>
  <c r="E6" i="11"/>
  <c r="F6" i="11" s="1"/>
  <c r="E8" i="11"/>
  <c r="F8" i="11" s="1"/>
  <c r="E5" i="11"/>
  <c r="F5" i="11" s="1"/>
  <c r="E4" i="11"/>
  <c r="F4" i="11" s="1"/>
  <c r="P4" i="6"/>
  <c r="E11" i="6"/>
  <c r="F11" i="6" s="1"/>
  <c r="G11" i="6" s="1"/>
  <c r="E7" i="6"/>
  <c r="F2" i="6" l="1"/>
  <c r="H5" i="10"/>
  <c r="H7" i="10"/>
  <c r="I5" i="10"/>
  <c r="C68" i="11"/>
  <c r="I7" i="10" s="1"/>
  <c r="E51" i="6"/>
  <c r="M51" i="6"/>
  <c r="K51" i="6"/>
  <c r="I51" i="6"/>
  <c r="F51" i="6"/>
  <c r="F16" i="5"/>
  <c r="F4" i="6"/>
  <c r="G4" i="6" s="1"/>
  <c r="D51" i="6"/>
  <c r="E15" i="6"/>
  <c r="F15" i="6" s="1"/>
  <c r="G15" i="6" s="1"/>
  <c r="F6" i="6"/>
  <c r="G6" i="6" s="1"/>
  <c r="F7" i="6"/>
  <c r="G7" i="6" s="1"/>
  <c r="G3" i="6"/>
  <c r="E14" i="6"/>
  <c r="E13" i="6"/>
  <c r="J51" i="6"/>
  <c r="E17" i="6"/>
  <c r="E9" i="6"/>
  <c r="H51" i="6"/>
  <c r="L51" i="6"/>
  <c r="E16" i="6"/>
  <c r="F16" i="6" s="1"/>
  <c r="G16" i="6" s="1"/>
  <c r="G51" i="6"/>
  <c r="E12" i="6"/>
  <c r="N51" i="6"/>
  <c r="E3" i="11"/>
  <c r="F3" i="11" s="1"/>
  <c r="F10" i="6"/>
  <c r="G10" i="6" s="1"/>
  <c r="F13" i="6" l="1"/>
  <c r="G13" i="6" s="1"/>
  <c r="F9" i="6"/>
  <c r="G9" i="6" s="1"/>
  <c r="DE54" i="28"/>
  <c r="DE58" i="28" s="1"/>
  <c r="DD54" i="28"/>
  <c r="DD58" i="28" s="1"/>
  <c r="DD60" i="28" s="1"/>
  <c r="DD61" i="28" s="1"/>
  <c r="E20" i="6"/>
  <c r="G2" i="6"/>
  <c r="AV54" i="28"/>
  <c r="AV58" i="28" s="1"/>
  <c r="AW54" i="28"/>
  <c r="AW58" i="28" s="1"/>
  <c r="G16" i="5"/>
  <c r="G35" i="5" s="1"/>
  <c r="F12" i="6"/>
  <c r="G12" i="6" s="1"/>
  <c r="F17" i="6"/>
  <c r="G17" i="6" s="1"/>
  <c r="F14" i="6"/>
  <c r="G14" i="6" s="1"/>
  <c r="F2" i="11"/>
  <c r="G2" i="11" s="1"/>
  <c r="D34" i="3"/>
  <c r="E34" i="3"/>
  <c r="F34" i="3"/>
  <c r="G34" i="3"/>
  <c r="H34" i="3"/>
  <c r="I34" i="3"/>
  <c r="J34" i="3"/>
  <c r="K34" i="3"/>
  <c r="L34" i="3"/>
  <c r="M34" i="3"/>
  <c r="N34" i="3"/>
  <c r="EF58" i="28" l="1"/>
  <c r="EF60" i="28" s="1"/>
  <c r="EF61" i="28" s="1"/>
  <c r="EG54" i="28"/>
  <c r="EG58" i="28" s="1"/>
  <c r="EG60" i="28" s="1"/>
  <c r="EG61" i="28" s="1"/>
  <c r="DE60" i="28"/>
  <c r="DE61" i="28" s="1"/>
  <c r="F20" i="6"/>
  <c r="G20" i="6"/>
  <c r="AV60" i="28"/>
  <c r="AV61" i="28"/>
  <c r="AW61" i="28"/>
  <c r="AW60" i="28"/>
  <c r="H16" i="5"/>
  <c r="G5" i="2" l="1"/>
  <c r="I16" i="5"/>
  <c r="H31" i="17"/>
  <c r="J16" i="5" l="1"/>
  <c r="D26" i="3"/>
  <c r="D28" i="3" s="1"/>
  <c r="G26" i="3"/>
  <c r="G28" i="3" s="1"/>
  <c r="G33" i="3" s="1"/>
  <c r="E4" i="3"/>
  <c r="O20" i="15"/>
  <c r="S27" i="17" s="1"/>
  <c r="N20" i="15"/>
  <c r="R27" i="17" s="1"/>
  <c r="M20" i="15"/>
  <c r="Q27" i="17" s="1"/>
  <c r="L20" i="15"/>
  <c r="P27" i="17" s="1"/>
  <c r="K20" i="15"/>
  <c r="O27" i="17" s="1"/>
  <c r="J20" i="15"/>
  <c r="N27" i="17" s="1"/>
  <c r="I20" i="15"/>
  <c r="M27" i="17" s="1"/>
  <c r="H20" i="15"/>
  <c r="L27" i="17" s="1"/>
  <c r="G20" i="15"/>
  <c r="K27" i="17" s="1"/>
  <c r="F20" i="15"/>
  <c r="J27" i="17" s="1"/>
  <c r="D20" i="15"/>
  <c r="D82" i="15"/>
  <c r="A84" i="15" l="1"/>
  <c r="P82" i="15"/>
  <c r="H66" i="17"/>
  <c r="A25" i="15"/>
  <c r="H27" i="17"/>
  <c r="E20" i="15"/>
  <c r="E28" i="3"/>
  <c r="K16" i="5"/>
  <c r="F3" i="3"/>
  <c r="G3" i="3" s="1"/>
  <c r="F4" i="3"/>
  <c r="P9" i="15"/>
  <c r="P20" i="15" l="1"/>
  <c r="I27" i="17"/>
  <c r="L16" i="5"/>
  <c r="A27" i="17" l="1"/>
  <c r="A37" i="17" s="1"/>
  <c r="C27" i="17"/>
  <c r="C37" i="17" s="1"/>
  <c r="B27" i="17"/>
  <c r="B37" i="17" s="1"/>
  <c r="M16" i="5"/>
  <c r="N16" i="5" s="1"/>
  <c r="O16" i="5" s="1"/>
  <c r="P16" i="5" s="1"/>
  <c r="Q16" i="5" s="1"/>
  <c r="C113" i="15"/>
  <c r="D113" i="15" s="1"/>
  <c r="C112" i="15"/>
  <c r="D112" i="15" s="1"/>
  <c r="C110" i="15"/>
  <c r="D110" i="15" s="1"/>
  <c r="C111" i="15"/>
  <c r="D111" i="15" s="1"/>
  <c r="C114" i="15"/>
  <c r="D114" i="15" s="1"/>
  <c r="J32" i="10" l="1"/>
  <c r="R32" i="10"/>
  <c r="K32" i="10"/>
  <c r="S32" i="10"/>
  <c r="L32" i="10"/>
  <c r="I32" i="10"/>
  <c r="M32" i="10"/>
  <c r="Q32" i="10"/>
  <c r="N32" i="10"/>
  <c r="O32" i="10"/>
  <c r="P32" i="10"/>
  <c r="L95" i="15"/>
  <c r="C115" i="15"/>
  <c r="E112" i="15"/>
  <c r="H97" i="15"/>
  <c r="G97" i="15"/>
  <c r="M98" i="15"/>
  <c r="F98" i="15"/>
  <c r="J98" i="15"/>
  <c r="E113" i="15"/>
  <c r="I98" i="15"/>
  <c r="L98" i="15"/>
  <c r="K98" i="15"/>
  <c r="E98" i="15"/>
  <c r="D98" i="15"/>
  <c r="C98" i="15"/>
  <c r="H98" i="15"/>
  <c r="G98" i="15"/>
  <c r="C96" i="15"/>
  <c r="D96" i="15"/>
  <c r="E111" i="15"/>
  <c r="J95" i="15"/>
  <c r="M95" i="15"/>
  <c r="E110" i="15"/>
  <c r="J93" i="15"/>
  <c r="I93" i="15"/>
  <c r="C93" i="15"/>
  <c r="E93" i="15"/>
  <c r="L93" i="15"/>
  <c r="H93" i="15"/>
  <c r="G93" i="15"/>
  <c r="M93" i="15"/>
  <c r="F93" i="15"/>
  <c r="K93" i="15"/>
  <c r="I97" i="15"/>
  <c r="J97" i="15"/>
  <c r="C97" i="15"/>
  <c r="D97" i="15"/>
  <c r="E97" i="15"/>
  <c r="K97" i="15"/>
  <c r="L97" i="15"/>
  <c r="E99" i="15"/>
  <c r="F97" i="15"/>
  <c r="M97" i="15"/>
  <c r="I95" i="15" l="1"/>
  <c r="E95" i="15"/>
  <c r="F95" i="15"/>
  <c r="G95" i="15"/>
  <c r="H95" i="15"/>
  <c r="C116" i="15"/>
  <c r="C117" i="15" s="1"/>
  <c r="K95" i="15"/>
  <c r="D95" i="15"/>
  <c r="C95" i="15"/>
  <c r="D99" i="15"/>
  <c r="M99" i="15"/>
  <c r="E114" i="15"/>
  <c r="H99" i="15"/>
  <c r="J99" i="15"/>
  <c r="L99" i="15"/>
  <c r="I99" i="15"/>
  <c r="G99" i="15"/>
  <c r="K99" i="15"/>
  <c r="J100" i="15"/>
  <c r="I100" i="15"/>
  <c r="C100" i="15"/>
  <c r="K100" i="15"/>
  <c r="D74" i="15"/>
  <c r="F100" i="15"/>
  <c r="E115" i="15"/>
  <c r="D100" i="15"/>
  <c r="L100" i="15"/>
  <c r="E100" i="15"/>
  <c r="M100" i="15"/>
  <c r="G100" i="15"/>
  <c r="H100" i="15"/>
  <c r="F99" i="15"/>
  <c r="C99" i="15"/>
  <c r="F112" i="15"/>
  <c r="G112" i="15" s="1"/>
  <c r="F113" i="15"/>
  <c r="G113" i="15" s="1"/>
  <c r="F111" i="15"/>
  <c r="G111" i="15" s="1"/>
  <c r="F110" i="15"/>
  <c r="G110" i="15" s="1"/>
  <c r="L92" i="15"/>
  <c r="K92" i="15"/>
  <c r="G92" i="15"/>
  <c r="E92" i="15"/>
  <c r="J92" i="15"/>
  <c r="I92" i="15"/>
  <c r="H92" i="15"/>
  <c r="F92" i="15"/>
  <c r="M92" i="15"/>
  <c r="D92" i="15"/>
  <c r="C101" i="15" l="1"/>
  <c r="C102" i="15" s="1"/>
  <c r="E73" i="15" s="1"/>
  <c r="E116" i="15"/>
  <c r="E117" i="15" s="1"/>
  <c r="D101" i="15"/>
  <c r="D103" i="15" s="1"/>
  <c r="F68" i="15" s="1"/>
  <c r="E101" i="15"/>
  <c r="E103" i="15" s="1"/>
  <c r="G68" i="15" s="1"/>
  <c r="H63" i="17"/>
  <c r="J101" i="15"/>
  <c r="J103" i="15" s="1"/>
  <c r="L68" i="15" s="1"/>
  <c r="F114" i="15"/>
  <c r="G114" i="15" s="1"/>
  <c r="I101" i="15"/>
  <c r="I103" i="15" s="1"/>
  <c r="K68" i="15" s="1"/>
  <c r="D86" i="15"/>
  <c r="K101" i="15"/>
  <c r="K103" i="15" s="1"/>
  <c r="M68" i="15" s="1"/>
  <c r="F101" i="15"/>
  <c r="F103" i="15" s="1"/>
  <c r="H68" i="15" s="1"/>
  <c r="G101" i="15"/>
  <c r="G103" i="15" s="1"/>
  <c r="I68" i="15" s="1"/>
  <c r="M101" i="15"/>
  <c r="L101" i="15"/>
  <c r="L103" i="15" s="1"/>
  <c r="N68" i="15" s="1"/>
  <c r="H101" i="15"/>
  <c r="F115" i="15"/>
  <c r="C103" i="15" l="1"/>
  <c r="E68" i="15" s="1"/>
  <c r="J74" i="15"/>
  <c r="N63" i="17" s="1"/>
  <c r="H103" i="15"/>
  <c r="J68" i="15" s="1"/>
  <c r="O74" i="15"/>
  <c r="S63" i="17" s="1"/>
  <c r="M103" i="15"/>
  <c r="O68" i="15" s="1"/>
  <c r="F116" i="15"/>
  <c r="F117" i="15" s="1"/>
  <c r="G115" i="15"/>
  <c r="F65" i="15"/>
  <c r="G65" i="15"/>
  <c r="K58" i="17" s="1"/>
  <c r="J65" i="15"/>
  <c r="N58" i="17" s="1"/>
  <c r="M65" i="15"/>
  <c r="Q58" i="17" s="1"/>
  <c r="N65" i="15"/>
  <c r="R58" i="17" s="1"/>
  <c r="L65" i="15"/>
  <c r="P58" i="17" s="1"/>
  <c r="K65" i="15"/>
  <c r="O58" i="17" s="1"/>
  <c r="O65" i="15"/>
  <c r="S58" i="17" s="1"/>
  <c r="I65" i="15"/>
  <c r="M58" i="17" s="1"/>
  <c r="H65" i="15"/>
  <c r="L58" i="17" s="1"/>
  <c r="H62" i="17"/>
  <c r="M102" i="15"/>
  <c r="C6" i="24"/>
  <c r="O73" i="15" l="1"/>
  <c r="S62" i="17" s="1"/>
  <c r="P65" i="15"/>
  <c r="J58" i="17"/>
  <c r="T58" i="17" s="1"/>
  <c r="B14" i="30"/>
  <c r="C13" i="30"/>
  <c r="C14" i="30" s="1"/>
  <c r="C9" i="30"/>
  <c r="B9" i="30"/>
  <c r="B8" i="30"/>
  <c r="C7" i="30"/>
  <c r="B7" i="30"/>
  <c r="C5" i="30"/>
  <c r="B5" i="30"/>
  <c r="C4" i="30"/>
  <c r="B4" i="30"/>
  <c r="C3" i="30"/>
  <c r="C6" i="30" s="1"/>
  <c r="B3" i="30"/>
  <c r="C10" i="24"/>
  <c r="C11" i="24" s="1"/>
  <c r="U58" i="17" l="1"/>
  <c r="C12" i="24"/>
  <c r="C15" i="24"/>
  <c r="C16" i="24" s="1"/>
  <c r="C8" i="30"/>
  <c r="B6" i="30"/>
  <c r="B10" i="30"/>
  <c r="C10" i="30"/>
  <c r="B11" i="30" l="1"/>
  <c r="B12" i="30" s="1"/>
  <c r="C11" i="30"/>
  <c r="B15" i="30" l="1"/>
  <c r="B16" i="30" s="1"/>
  <c r="C12" i="30"/>
  <c r="C15" i="30"/>
  <c r="C16" i="30" l="1"/>
  <c r="R5" i="10" l="1"/>
  <c r="L68" i="11"/>
  <c r="R7" i="10" s="1"/>
  <c r="N5" i="10"/>
  <c r="H68" i="11"/>
  <c r="N7" i="10" s="1"/>
  <c r="Q5" i="10"/>
  <c r="K68" i="11"/>
  <c r="Q7" i="10" s="1"/>
  <c r="S5" i="10"/>
  <c r="M68" i="11"/>
  <c r="S7" i="10" s="1"/>
  <c r="M5" i="10"/>
  <c r="G68" i="11"/>
  <c r="M7" i="10" s="1"/>
  <c r="O5" i="10"/>
  <c r="I68" i="11"/>
  <c r="O7" i="10" s="1"/>
  <c r="P5" i="10"/>
  <c r="J68" i="11"/>
  <c r="P7" i="10" s="1"/>
  <c r="J5" i="10"/>
  <c r="D68" i="11"/>
  <c r="J7" i="10" s="1"/>
  <c r="K5" i="10"/>
  <c r="E68" i="11"/>
  <c r="K7" i="10" s="1"/>
  <c r="L5" i="10"/>
  <c r="F68" i="11"/>
  <c r="L7" i="10" s="1"/>
  <c r="DF54" i="28" l="1"/>
  <c r="DF58" i="28" s="1"/>
  <c r="DG54" i="28"/>
  <c r="DG58" i="28" s="1"/>
  <c r="DM54" i="28"/>
  <c r="DM58" i="28" s="1"/>
  <c r="DH54" i="28"/>
  <c r="EJ54" i="28" s="1"/>
  <c r="EJ58" i="28" s="1"/>
  <c r="EJ60" i="28" s="1"/>
  <c r="EJ61" i="28" s="1"/>
  <c r="DI54" i="28"/>
  <c r="EK54" i="28" s="1"/>
  <c r="EK58" i="28" s="1"/>
  <c r="EK60" i="28" s="1"/>
  <c r="EK61" i="28" s="1"/>
  <c r="DK54" i="28"/>
  <c r="DJ54" i="28"/>
  <c r="DO54" i="28"/>
  <c r="DL54" i="28"/>
  <c r="DN54" i="28"/>
  <c r="BB54" i="28"/>
  <c r="BD54" i="28"/>
  <c r="AX54" i="28"/>
  <c r="BG54" i="28"/>
  <c r="AY54" i="28"/>
  <c r="BA54" i="28"/>
  <c r="BE54" i="28"/>
  <c r="T5" i="10"/>
  <c r="T7" i="10"/>
  <c r="AZ54" i="28"/>
  <c r="BC54" i="28"/>
  <c r="BF54" i="28"/>
  <c r="I62" i="17"/>
  <c r="E74" i="15"/>
  <c r="I63" i="17" s="1"/>
  <c r="I74" i="15"/>
  <c r="M63" i="17" s="1"/>
  <c r="G102" i="15"/>
  <c r="D102" i="15"/>
  <c r="F73" i="15" s="1"/>
  <c r="F74" i="15"/>
  <c r="J63" i="17" s="1"/>
  <c r="K102" i="15"/>
  <c r="M74" i="15"/>
  <c r="Q63" i="17" s="1"/>
  <c r="J102" i="15"/>
  <c r="L74" i="15"/>
  <c r="P63" i="17" s="1"/>
  <c r="I102" i="15"/>
  <c r="K74" i="15"/>
  <c r="O63" i="17" s="1"/>
  <c r="E102" i="15"/>
  <c r="G74" i="15"/>
  <c r="K63" i="17" s="1"/>
  <c r="H74" i="15"/>
  <c r="L63" i="17" s="1"/>
  <c r="F102" i="15"/>
  <c r="L102" i="15"/>
  <c r="N74" i="15"/>
  <c r="R63" i="17" s="1"/>
  <c r="H102" i="15"/>
  <c r="J73" i="15" s="1"/>
  <c r="R12" i="5"/>
  <c r="A63" i="17" l="1"/>
  <c r="B63" i="17"/>
  <c r="C63" i="17"/>
  <c r="C62" i="17"/>
  <c r="B62" i="17"/>
  <c r="A62" i="17"/>
  <c r="N73" i="15"/>
  <c r="R62" i="17" s="1"/>
  <c r="H73" i="15"/>
  <c r="L62" i="17" s="1"/>
  <c r="M73" i="15"/>
  <c r="Q62" i="17" s="1"/>
  <c r="G73" i="15"/>
  <c r="K62" i="17" s="1"/>
  <c r="I73" i="15"/>
  <c r="M62" i="17" s="1"/>
  <c r="L73" i="15"/>
  <c r="P62" i="17" s="1"/>
  <c r="K73" i="15"/>
  <c r="O62" i="17" s="1"/>
  <c r="J62" i="17"/>
  <c r="EI54" i="28"/>
  <c r="EI58" i="28" s="1"/>
  <c r="EI60" i="28" s="1"/>
  <c r="EI61" i="28" s="1"/>
  <c r="EH54" i="28"/>
  <c r="EH58" i="28" s="1"/>
  <c r="EH60" i="28" s="1"/>
  <c r="EH61" i="28" s="1"/>
  <c r="EO54" i="28"/>
  <c r="EO58" i="28" s="1"/>
  <c r="EO60" i="28" s="1"/>
  <c r="EO61" i="28" s="1"/>
  <c r="DI58" i="28"/>
  <c r="DI60" i="28" s="1"/>
  <c r="DI61" i="28" s="1"/>
  <c r="DH58" i="28"/>
  <c r="DH60" i="28" s="1"/>
  <c r="DH61" i="28" s="1"/>
  <c r="DP54" i="28"/>
  <c r="DP58" i="28" s="1"/>
  <c r="DL58" i="28"/>
  <c r="EN54" i="28"/>
  <c r="EN58" i="28" s="1"/>
  <c r="EN60" i="28" s="1"/>
  <c r="EN61" i="28" s="1"/>
  <c r="DN58" i="28"/>
  <c r="EP54" i="28"/>
  <c r="EP58" i="28" s="1"/>
  <c r="DG60" i="28"/>
  <c r="DG61" i="28" s="1"/>
  <c r="DF60" i="28"/>
  <c r="DF61" i="28" s="1"/>
  <c r="DK58" i="28"/>
  <c r="EM54" i="28"/>
  <c r="EM58" i="28" s="1"/>
  <c r="EM60" i="28" s="1"/>
  <c r="EM61" i="28" s="1"/>
  <c r="DO58" i="28"/>
  <c r="EQ54" i="28"/>
  <c r="EQ58" i="28" s="1"/>
  <c r="EQ60" i="28" s="1"/>
  <c r="EQ61" i="28" s="1"/>
  <c r="DJ58" i="28"/>
  <c r="EL54" i="28"/>
  <c r="EL58" i="28" s="1"/>
  <c r="EL60" i="28" s="1"/>
  <c r="EL61" i="28" s="1"/>
  <c r="DM60" i="28"/>
  <c r="DM61" i="28" s="1"/>
  <c r="N62" i="17"/>
  <c r="BB58" i="28"/>
  <c r="BB61" i="28" s="1"/>
  <c r="CD58" i="28"/>
  <c r="BP65" i="28" s="1"/>
  <c r="BA58" i="28"/>
  <c r="BA61" i="28" s="1"/>
  <c r="CC58" i="28"/>
  <c r="BO65" i="28" s="1"/>
  <c r="AY58" i="28"/>
  <c r="AY60" i="28" s="1"/>
  <c r="CA58" i="28"/>
  <c r="CA60" i="28" s="1"/>
  <c r="CA61" i="28" s="1"/>
  <c r="BG58" i="28"/>
  <c r="BG60" i="28" s="1"/>
  <c r="CI58" i="28"/>
  <c r="CI60" i="28" s="1"/>
  <c r="CI61" i="28" s="1"/>
  <c r="AZ58" i="28"/>
  <c r="AZ60" i="28" s="1"/>
  <c r="CB58" i="28"/>
  <c r="CB60" i="28" s="1"/>
  <c r="CB61" i="28" s="1"/>
  <c r="AX58" i="28"/>
  <c r="AX61" i="28" s="1"/>
  <c r="BZ58" i="28"/>
  <c r="BZ60" i="28" s="1"/>
  <c r="BZ61" i="28" s="1"/>
  <c r="BE58" i="28"/>
  <c r="BE60" i="28" s="1"/>
  <c r="CG58" i="28"/>
  <c r="CG60" i="28" s="1"/>
  <c r="CG61" i="28" s="1"/>
  <c r="BF58" i="28"/>
  <c r="BF60" i="28" s="1"/>
  <c r="CH58" i="28"/>
  <c r="CH60" i="28" s="1"/>
  <c r="CH61" i="28" s="1"/>
  <c r="BC58" i="28"/>
  <c r="BC61" i="28" s="1"/>
  <c r="CE58" i="28"/>
  <c r="CE60" i="28" s="1"/>
  <c r="CE61" i="28" s="1"/>
  <c r="BD58" i="28"/>
  <c r="BD61" i="28" s="1"/>
  <c r="CF58" i="28"/>
  <c r="CF60" i="28" s="1"/>
  <c r="CF61" i="28" s="1"/>
  <c r="BH54" i="28"/>
  <c r="CJ54" i="28" s="1"/>
  <c r="BA60" i="28" l="1"/>
  <c r="ER54" i="28"/>
  <c r="ER58" i="28" s="1"/>
  <c r="ER60" i="28" s="1"/>
  <c r="ER61" i="28" s="1"/>
  <c r="DK60" i="28"/>
  <c r="DK61" i="28" s="1"/>
  <c r="DL60" i="28"/>
  <c r="DL61" i="28" s="1"/>
  <c r="DJ60" i="28"/>
  <c r="DJ61" i="28" s="1"/>
  <c r="EP60" i="28"/>
  <c r="EP61" i="28" s="1"/>
  <c r="DO60" i="28"/>
  <c r="DO61" i="28" s="1"/>
  <c r="DN60" i="28"/>
  <c r="DN61" i="28" s="1"/>
  <c r="DP60" i="28"/>
  <c r="DP61" i="28" s="1"/>
  <c r="AX60" i="28"/>
  <c r="BB60" i="28"/>
  <c r="BC60" i="28"/>
  <c r="AZ61" i="28"/>
  <c r="CD60" i="28"/>
  <c r="CD61" i="28" s="1"/>
  <c r="BD60" i="28"/>
  <c r="CC60" i="28"/>
  <c r="CC61" i="28" s="1"/>
  <c r="BG61" i="28"/>
  <c r="BH58" i="28"/>
  <c r="BH61" i="28" s="1"/>
  <c r="CJ58" i="28"/>
  <c r="BF61" i="28"/>
  <c r="BE61" i="28"/>
  <c r="AY61" i="28"/>
  <c r="BH60" i="28" l="1"/>
  <c r="CJ60" i="28"/>
  <c r="CJ61" i="28" s="1"/>
  <c r="R22" i="5"/>
  <c r="H14" i="2"/>
  <c r="I14" i="2"/>
  <c r="J14" i="2"/>
  <c r="K14" i="2"/>
  <c r="L14" i="2"/>
  <c r="M14" i="2"/>
  <c r="N14" i="2"/>
  <c r="O14" i="2"/>
  <c r="P14" i="2"/>
  <c r="Q14" i="2"/>
  <c r="R14" i="2"/>
  <c r="G14" i="2"/>
  <c r="N4" i="10" l="1"/>
  <c r="I4" i="10"/>
  <c r="L4" i="10"/>
  <c r="K4" i="10"/>
  <c r="S4" i="10"/>
  <c r="R4" i="10"/>
  <c r="Q4" i="10"/>
  <c r="O4" i="10"/>
  <c r="H69" i="15"/>
  <c r="H86" i="15" l="1"/>
  <c r="L59" i="17"/>
  <c r="P4" i="10"/>
  <c r="M4" i="10"/>
  <c r="J4" i="10"/>
  <c r="N20" i="10"/>
  <c r="O20" i="10"/>
  <c r="P20" i="10"/>
  <c r="Q20" i="10"/>
  <c r="R20" i="10"/>
  <c r="S20" i="10"/>
  <c r="M20" i="10"/>
  <c r="I20" i="10"/>
  <c r="L20" i="10"/>
  <c r="K20" i="10"/>
  <c r="C67" i="11"/>
  <c r="I6" i="10" s="1"/>
  <c r="CO54" i="28" s="1"/>
  <c r="H20" i="10"/>
  <c r="H21" i="10"/>
  <c r="J20" i="10"/>
  <c r="H67" i="11"/>
  <c r="N6" i="10" s="1"/>
  <c r="CT54" i="28" s="1"/>
  <c r="D67" i="11"/>
  <c r="J6" i="10" s="1"/>
  <c r="I67" i="11"/>
  <c r="O6" i="10" s="1"/>
  <c r="CU54" i="28" s="1"/>
  <c r="E67" i="11"/>
  <c r="K6" i="10" s="1"/>
  <c r="CQ54" i="28" s="1"/>
  <c r="J67" i="11"/>
  <c r="P6" i="10" s="1"/>
  <c r="F67" i="11"/>
  <c r="L6" i="10" s="1"/>
  <c r="CR54" i="28" s="1"/>
  <c r="M67" i="11"/>
  <c r="S6" i="10" s="1"/>
  <c r="CY54" i="28" s="1"/>
  <c r="G67" i="11"/>
  <c r="M6" i="10" s="1"/>
  <c r="H6" i="10"/>
  <c r="AF54" i="28" s="1"/>
  <c r="K67" i="11"/>
  <c r="Q6" i="10" s="1"/>
  <c r="CW54" i="28" s="1"/>
  <c r="L67" i="11"/>
  <c r="R6" i="10" s="1"/>
  <c r="CX54" i="28" s="1"/>
  <c r="N21" i="10"/>
  <c r="K21" i="10"/>
  <c r="R21" i="10"/>
  <c r="L21" i="10"/>
  <c r="Q21" i="10"/>
  <c r="S21" i="10"/>
  <c r="O21" i="10"/>
  <c r="M21" i="10"/>
  <c r="J21" i="10"/>
  <c r="P21" i="10"/>
  <c r="I21" i="10"/>
  <c r="H24" i="10" l="1"/>
  <c r="CN54" i="28"/>
  <c r="CS54" i="28"/>
  <c r="CS58" i="28" s="1"/>
  <c r="CP54" i="28"/>
  <c r="DT54" i="28" s="1"/>
  <c r="DT58" i="28" s="1"/>
  <c r="CU58" i="28"/>
  <c r="DY54" i="28"/>
  <c r="DY58" i="28" s="1"/>
  <c r="CX58" i="28"/>
  <c r="EB54" i="28"/>
  <c r="EB58" i="28" s="1"/>
  <c r="CW58" i="28"/>
  <c r="EA54" i="28"/>
  <c r="EA58" i="28" s="1"/>
  <c r="DV54" i="28"/>
  <c r="DV58" i="28" s="1"/>
  <c r="CR58" i="28"/>
  <c r="CQ58" i="28"/>
  <c r="DU54" i="28"/>
  <c r="DU58" i="28" s="1"/>
  <c r="CT58" i="28"/>
  <c r="DX54" i="28"/>
  <c r="DX58" i="28" s="1"/>
  <c r="CY58" i="28"/>
  <c r="EC54" i="28"/>
  <c r="EC58" i="28" s="1"/>
  <c r="CV54" i="28"/>
  <c r="CO58" i="28"/>
  <c r="DS54" i="28"/>
  <c r="DS58" i="28" s="1"/>
  <c r="AL54" i="28"/>
  <c r="N12" i="17"/>
  <c r="AM54" i="28"/>
  <c r="BQ58" i="28" s="1"/>
  <c r="O12" i="17"/>
  <c r="AN54" i="28"/>
  <c r="BR58" i="28" s="1"/>
  <c r="P12" i="17"/>
  <c r="M12" i="17"/>
  <c r="AK54" i="28"/>
  <c r="AQ54" i="28"/>
  <c r="BU58" i="28" s="1"/>
  <c r="S15" i="10"/>
  <c r="Q12" i="17"/>
  <c r="AO54" i="28"/>
  <c r="J12" i="17"/>
  <c r="AH54" i="28"/>
  <c r="H12" i="17"/>
  <c r="AF58" i="28"/>
  <c r="H15" i="10"/>
  <c r="H11" i="17" s="1"/>
  <c r="E8" i="41" s="1"/>
  <c r="K12" i="17"/>
  <c r="AI54" i="28"/>
  <c r="BM58" i="28" s="1"/>
  <c r="R12" i="17"/>
  <c r="AP54" i="28"/>
  <c r="I12" i="17"/>
  <c r="AG54" i="28"/>
  <c r="L12" i="17"/>
  <c r="AJ54" i="28"/>
  <c r="BN58" i="28" s="1"/>
  <c r="S12" i="17"/>
  <c r="T4" i="10"/>
  <c r="G17" i="2"/>
  <c r="G16" i="2"/>
  <c r="T20" i="10"/>
  <c r="T21" i="10"/>
  <c r="G6" i="2"/>
  <c r="DR71" i="26" s="1"/>
  <c r="H72" i="17" l="1"/>
  <c r="DW54" i="28"/>
  <c r="DW58" i="28" s="1"/>
  <c r="DW65" i="28" s="1"/>
  <c r="DW66" i="28" s="1"/>
  <c r="DW67" i="28" s="1"/>
  <c r="G20" i="2"/>
  <c r="H70" i="17" s="1"/>
  <c r="EG75" i="26"/>
  <c r="EG77" i="26" s="1"/>
  <c r="EG78" i="26" s="1"/>
  <c r="DR75" i="26"/>
  <c r="DR77" i="26" s="1"/>
  <c r="DR78" i="26" s="1"/>
  <c r="CP58" i="28"/>
  <c r="CP60" i="28" s="1"/>
  <c r="CP61" i="28" s="1"/>
  <c r="CZ54" i="28"/>
  <c r="CZ58" i="28" s="1"/>
  <c r="CN58" i="28"/>
  <c r="CN65" i="28" s="1"/>
  <c r="CR60" i="28"/>
  <c r="CR61" i="28" s="1"/>
  <c r="CR65" i="28"/>
  <c r="DV65" i="28"/>
  <c r="DV66" i="28" s="1"/>
  <c r="DV67" i="28" s="1"/>
  <c r="DV60" i="28"/>
  <c r="DV61" i="28" s="1"/>
  <c r="CW65" i="28"/>
  <c r="CW60" i="28"/>
  <c r="CW61" i="28" s="1"/>
  <c r="DT65" i="28"/>
  <c r="DT66" i="28" s="1"/>
  <c r="DT67" i="28" s="1"/>
  <c r="DT60" i="28"/>
  <c r="DT61" i="28" s="1"/>
  <c r="CS60" i="28"/>
  <c r="CS61" i="28" s="1"/>
  <c r="CS65" i="28"/>
  <c r="DR65" i="28"/>
  <c r="DR66" i="28" s="1"/>
  <c r="DR67" i="28" s="1"/>
  <c r="DR60" i="28"/>
  <c r="DR61" i="28" s="1"/>
  <c r="EA60" i="28"/>
  <c r="EA61" i="28" s="1"/>
  <c r="EA65" i="28"/>
  <c r="EA66" i="28" s="1"/>
  <c r="EA67" i="28" s="1"/>
  <c r="DX65" i="28"/>
  <c r="DX66" i="28" s="1"/>
  <c r="DX67" i="28" s="1"/>
  <c r="DX60" i="28"/>
  <c r="DX61" i="28" s="1"/>
  <c r="EB60" i="28"/>
  <c r="EB61" i="28" s="1"/>
  <c r="EB65" i="28"/>
  <c r="EB66" i="28" s="1"/>
  <c r="EB67" i="28" s="1"/>
  <c r="DS60" i="28"/>
  <c r="DS61" i="28" s="1"/>
  <c r="DS65" i="28"/>
  <c r="DS66" i="28" s="1"/>
  <c r="DS67" i="28" s="1"/>
  <c r="CT60" i="28"/>
  <c r="CT61" i="28" s="1"/>
  <c r="CT65" i="28"/>
  <c r="CX65" i="28"/>
  <c r="CX60" i="28"/>
  <c r="CX61" i="28" s="1"/>
  <c r="CO65" i="28"/>
  <c r="CO60" i="28"/>
  <c r="CO61" i="28" s="1"/>
  <c r="DU65" i="28"/>
  <c r="DU66" i="28" s="1"/>
  <c r="DU67" i="28" s="1"/>
  <c r="DU60" i="28"/>
  <c r="DU61" i="28" s="1"/>
  <c r="DY60" i="28"/>
  <c r="DY61" i="28" s="1"/>
  <c r="DY65" i="28"/>
  <c r="DY66" i="28" s="1"/>
  <c r="DY67" i="28" s="1"/>
  <c r="EC65" i="28"/>
  <c r="EC66" i="28" s="1"/>
  <c r="EC67" i="28" s="1"/>
  <c r="EC60" i="28"/>
  <c r="EC61" i="28" s="1"/>
  <c r="CY65" i="28"/>
  <c r="CY60" i="28"/>
  <c r="CY61" i="28" s="1"/>
  <c r="CV58" i="28"/>
  <c r="DZ54" i="28"/>
  <c r="DZ58" i="28" s="1"/>
  <c r="CQ65" i="28"/>
  <c r="CQ60" i="28"/>
  <c r="CQ61" i="28" s="1"/>
  <c r="CU60" i="28"/>
  <c r="CU61" i="28" s="1"/>
  <c r="CU65" i="28"/>
  <c r="AQ58" i="28"/>
  <c r="AQ60" i="28" s="1"/>
  <c r="AQ66" i="28" s="1"/>
  <c r="AQ67" i="28" s="1"/>
  <c r="AL58" i="28"/>
  <c r="AL65" i="28" s="1"/>
  <c r="AH58" i="28"/>
  <c r="AH65" i="28" s="1"/>
  <c r="BL58" i="28"/>
  <c r="BR65" i="28"/>
  <c r="BR60" i="28"/>
  <c r="BR61" i="28" s="1"/>
  <c r="BQ65" i="28"/>
  <c r="BQ60" i="28"/>
  <c r="BQ61" i="28" s="1"/>
  <c r="AK58" i="28"/>
  <c r="AK60" i="28" s="1"/>
  <c r="AK61" i="28" s="1"/>
  <c r="AN58" i="28"/>
  <c r="AN60" i="28" s="1"/>
  <c r="AN61" i="28" s="1"/>
  <c r="AO58" i="28"/>
  <c r="AO65" i="28" s="1"/>
  <c r="BS58" i="28"/>
  <c r="BM65" i="28"/>
  <c r="BM60" i="28"/>
  <c r="BM61" i="28" s="1"/>
  <c r="AP58" i="28"/>
  <c r="AP65" i="28" s="1"/>
  <c r="BT58" i="28"/>
  <c r="AM58" i="28"/>
  <c r="AM60" i="28" s="1"/>
  <c r="AM66" i="28" s="1"/>
  <c r="AM67" i="28" s="1"/>
  <c r="AI58" i="28"/>
  <c r="AI65" i="28" s="1"/>
  <c r="BN65" i="28"/>
  <c r="BN60" i="28"/>
  <c r="BN61" i="28" s="1"/>
  <c r="BU65" i="28"/>
  <c r="BU60" i="28"/>
  <c r="BU61" i="28" s="1"/>
  <c r="AF60" i="28"/>
  <c r="AF66" i="28" s="1"/>
  <c r="AF67" i="28" s="1"/>
  <c r="AF65" i="28"/>
  <c r="H8" i="17"/>
  <c r="G10" i="2"/>
  <c r="CM71" i="26"/>
  <c r="CM75" i="26" s="1"/>
  <c r="CM77" i="26" s="1"/>
  <c r="CM78" i="26" s="1"/>
  <c r="AR54" i="28"/>
  <c r="AJ58" i="28"/>
  <c r="DW60" i="28" l="1"/>
  <c r="DW61" i="28" s="1"/>
  <c r="ED54" i="28"/>
  <c r="ED58" i="28" s="1"/>
  <c r="ED65" i="28" s="1"/>
  <c r="ED66" i="28" s="1"/>
  <c r="ED67" i="28" s="1"/>
  <c r="CP65" i="28"/>
  <c r="CZ65" i="28"/>
  <c r="DA65" i="28" s="1"/>
  <c r="CN60" i="28"/>
  <c r="CN61" i="28" s="1"/>
  <c r="CZ60" i="28"/>
  <c r="CT66" i="28"/>
  <c r="CT67" i="28" s="1"/>
  <c r="CP66" i="28"/>
  <c r="CP67" i="28" s="1"/>
  <c r="CQ66" i="28"/>
  <c r="CQ67" i="28" s="1"/>
  <c r="DZ60" i="28"/>
  <c r="DZ61" i="28" s="1"/>
  <c r="DZ65" i="28"/>
  <c r="DZ66" i="28" s="1"/>
  <c r="DZ67" i="28" s="1"/>
  <c r="CV65" i="28"/>
  <c r="CV60" i="28"/>
  <c r="CV61" i="28" s="1"/>
  <c r="CS66" i="28"/>
  <c r="CS67" i="28" s="1"/>
  <c r="CR66" i="28"/>
  <c r="CR67" i="28" s="1"/>
  <c r="CW66" i="28"/>
  <c r="CW67" i="28" s="1"/>
  <c r="CY66" i="28"/>
  <c r="CY67" i="28" s="1"/>
  <c r="CO66" i="28"/>
  <c r="CO67" i="28" s="1"/>
  <c r="CX66" i="28"/>
  <c r="CX67" i="28" s="1"/>
  <c r="CU66" i="28"/>
  <c r="CU67" i="28" s="1"/>
  <c r="AQ65" i="28"/>
  <c r="BV54" i="28"/>
  <c r="BV58" i="28" s="1"/>
  <c r="AM65" i="28"/>
  <c r="AI60" i="28"/>
  <c r="AI66" i="28" s="1"/>
  <c r="AI67" i="28" s="1"/>
  <c r="AH60" i="28"/>
  <c r="AH66" i="28" s="1"/>
  <c r="AH67" i="28" s="1"/>
  <c r="AN65" i="28"/>
  <c r="AL60" i="28"/>
  <c r="AL66" i="28" s="1"/>
  <c r="AL67" i="28" s="1"/>
  <c r="BP60" i="28"/>
  <c r="BP61" i="28" s="1"/>
  <c r="AO60" i="28"/>
  <c r="AO61" i="28" s="1"/>
  <c r="BO61" i="28"/>
  <c r="AP60" i="28"/>
  <c r="AP66" i="28" s="1"/>
  <c r="AP67" i="28" s="1"/>
  <c r="BN66" i="28"/>
  <c r="BN67" i="28" s="1"/>
  <c r="BM66" i="28"/>
  <c r="BM67" i="28" s="1"/>
  <c r="AK65" i="28"/>
  <c r="BS65" i="28"/>
  <c r="BS60" i="28"/>
  <c r="BS61" i="28" s="1"/>
  <c r="BR66" i="28"/>
  <c r="BR67" i="28" s="1"/>
  <c r="BU66" i="28"/>
  <c r="BU67" i="28" s="1"/>
  <c r="BQ66" i="28"/>
  <c r="BQ67" i="28" s="1"/>
  <c r="BL65" i="28"/>
  <c r="BL66" i="28" s="1"/>
  <c r="BL67" i="28" s="1"/>
  <c r="BL60" i="28"/>
  <c r="BL61" i="28" s="1"/>
  <c r="BT65" i="28"/>
  <c r="BT60" i="28"/>
  <c r="BT61" i="28" s="1"/>
  <c r="AF61" i="28"/>
  <c r="AQ61" i="28"/>
  <c r="AK66" i="28"/>
  <c r="AK67" i="28" s="1"/>
  <c r="AM61" i="28"/>
  <c r="AN66" i="28"/>
  <c r="AN67" i="28" s="1"/>
  <c r="AJ60" i="28"/>
  <c r="AJ66" i="28" s="1"/>
  <c r="AJ67" i="28" s="1"/>
  <c r="AJ65" i="28"/>
  <c r="ED60" i="28" l="1"/>
  <c r="ED61" i="28" s="1"/>
  <c r="CN66" i="28"/>
  <c r="CN67" i="28" s="1"/>
  <c r="CZ61" i="28"/>
  <c r="CZ66" i="28"/>
  <c r="DA66" i="28" s="1"/>
  <c r="CV66" i="28"/>
  <c r="CV67" i="28" s="1"/>
  <c r="BV65" i="28"/>
  <c r="BV66" i="28" s="1"/>
  <c r="BV67" i="28" s="1"/>
  <c r="BV60" i="28"/>
  <c r="BV61" i="28" s="1"/>
  <c r="AI61" i="28"/>
  <c r="AH61" i="28"/>
  <c r="AL61" i="28"/>
  <c r="AO66" i="28"/>
  <c r="AO67" i="28" s="1"/>
  <c r="BP66" i="28"/>
  <c r="BP67" i="28" s="1"/>
  <c r="BT66" i="28"/>
  <c r="BT67" i="28" s="1"/>
  <c r="AP61" i="28"/>
  <c r="BS66" i="28"/>
  <c r="BS67" i="28" s="1"/>
  <c r="BO66" i="28"/>
  <c r="BO67" i="28" s="1"/>
  <c r="AJ61" i="28"/>
  <c r="E21" i="6"/>
  <c r="CZ67" i="28" l="1"/>
  <c r="D21" i="6"/>
  <c r="Y19" i="17"/>
  <c r="F19" i="5" l="1"/>
  <c r="N50" i="6"/>
  <c r="F8" i="5"/>
  <c r="F7" i="5"/>
  <c r="F20" i="5"/>
  <c r="CW65" i="25" l="1"/>
  <c r="DK69" i="25" s="1"/>
  <c r="F14" i="5"/>
  <c r="H16" i="17"/>
  <c r="BS65" i="25"/>
  <c r="L44" i="6"/>
  <c r="L47" i="6"/>
  <c r="L49" i="6" s="1"/>
  <c r="E44" i="6"/>
  <c r="H7" i="5" s="1"/>
  <c r="E47" i="6"/>
  <c r="E49" i="6" s="1"/>
  <c r="D44" i="6"/>
  <c r="D47" i="6"/>
  <c r="D49" i="6" s="1"/>
  <c r="G20" i="5" s="1"/>
  <c r="I47" i="6"/>
  <c r="I49" i="6" s="1"/>
  <c r="I44" i="6"/>
  <c r="K44" i="6"/>
  <c r="K47" i="6"/>
  <c r="K49" i="6" s="1"/>
  <c r="J47" i="6"/>
  <c r="J49" i="6" s="1"/>
  <c r="J44" i="6"/>
  <c r="F44" i="6"/>
  <c r="F47" i="6"/>
  <c r="F49" i="6" s="1"/>
  <c r="G44" i="6"/>
  <c r="G47" i="6"/>
  <c r="G49" i="6" s="1"/>
  <c r="H47" i="6"/>
  <c r="H49" i="6" s="1"/>
  <c r="H44" i="6"/>
  <c r="M44" i="6"/>
  <c r="M47" i="6"/>
  <c r="M49" i="6" s="1"/>
  <c r="N44" i="6"/>
  <c r="N47" i="6"/>
  <c r="N49" i="6" s="1"/>
  <c r="CW69" i="25" l="1"/>
  <c r="G7" i="5"/>
  <c r="D46" i="6"/>
  <c r="G8" i="5" s="1"/>
  <c r="H15" i="17"/>
  <c r="E9" i="41" s="1"/>
  <c r="BS69" i="25"/>
  <c r="BS71" i="25" s="1"/>
  <c r="BS72" i="25" s="1"/>
  <c r="B4" i="33" a="1"/>
  <c r="B4" i="33" s="1"/>
  <c r="B5" i="33" s="1"/>
  <c r="N46" i="6"/>
  <c r="Q8" i="5" s="1"/>
  <c r="Q7" i="5"/>
  <c r="F46" i="6"/>
  <c r="I8" i="5" s="1"/>
  <c r="I7" i="5"/>
  <c r="J46" i="6"/>
  <c r="M8" i="5" s="1"/>
  <c r="M7" i="5"/>
  <c r="M46" i="6"/>
  <c r="P8" i="5" s="1"/>
  <c r="P7" i="5"/>
  <c r="H46" i="6"/>
  <c r="K8" i="5" s="1"/>
  <c r="K7" i="5"/>
  <c r="K46" i="6"/>
  <c r="N8" i="5" s="1"/>
  <c r="N7" i="5"/>
  <c r="G46" i="6"/>
  <c r="J8" i="5" s="1"/>
  <c r="J7" i="5"/>
  <c r="I46" i="6"/>
  <c r="L8" i="5" s="1"/>
  <c r="L7" i="5"/>
  <c r="L46" i="6"/>
  <c r="O8" i="5" s="1"/>
  <c r="O7" i="5"/>
  <c r="E46" i="6"/>
  <c r="H8" i="5" s="1"/>
  <c r="J16" i="17" s="1"/>
  <c r="G19" i="5"/>
  <c r="N20" i="5"/>
  <c r="N19" i="5"/>
  <c r="H20" i="5"/>
  <c r="H19" i="5"/>
  <c r="J20" i="5"/>
  <c r="J19" i="5"/>
  <c r="I20" i="5"/>
  <c r="I19" i="5"/>
  <c r="L20" i="5"/>
  <c r="L19" i="5"/>
  <c r="Q20" i="5"/>
  <c r="Q19" i="5"/>
  <c r="P20" i="5"/>
  <c r="P19" i="5"/>
  <c r="O20" i="5"/>
  <c r="O19" i="5"/>
  <c r="K20" i="5"/>
  <c r="K19" i="5"/>
  <c r="M20" i="5"/>
  <c r="M19" i="5"/>
  <c r="DG65" i="25" l="1"/>
  <c r="DU65" i="25" s="1"/>
  <c r="DU69" i="25" s="1"/>
  <c r="DU71" i="25" s="1"/>
  <c r="DU72" i="25" s="1"/>
  <c r="DC65" i="25"/>
  <c r="DQ65" i="25" s="1"/>
  <c r="DQ69" i="25" s="1"/>
  <c r="DQ71" i="25" s="1"/>
  <c r="DQ72" i="25" s="1"/>
  <c r="DE65" i="25"/>
  <c r="DS65" i="25" s="1"/>
  <c r="DS69" i="25" s="1"/>
  <c r="DS71" i="25" s="1"/>
  <c r="DS72" i="25" s="1"/>
  <c r="CZ65" i="25"/>
  <c r="DN65" i="25" s="1"/>
  <c r="DN69" i="25" s="1"/>
  <c r="DN71" i="25" s="1"/>
  <c r="DN72" i="25" s="1"/>
  <c r="CX65" i="25"/>
  <c r="CX69" i="25" s="1"/>
  <c r="CX71" i="25" s="1"/>
  <c r="CX72" i="25" s="1"/>
  <c r="DA65" i="25"/>
  <c r="DD65" i="25"/>
  <c r="DF65" i="25"/>
  <c r="DB65" i="25"/>
  <c r="DH65" i="25"/>
  <c r="CY65" i="25"/>
  <c r="BT65" i="25"/>
  <c r="BT69" i="25" s="1"/>
  <c r="BT71" i="25" s="1"/>
  <c r="BT72" i="25" s="1"/>
  <c r="BY65" i="25"/>
  <c r="BZ65" i="25"/>
  <c r="R16" i="17"/>
  <c r="N16" i="17"/>
  <c r="D9" i="24"/>
  <c r="Q16" i="17"/>
  <c r="M16" i="17"/>
  <c r="S16" i="17"/>
  <c r="O16" i="17"/>
  <c r="L16" i="17"/>
  <c r="I16" i="17"/>
  <c r="P16" i="17"/>
  <c r="K16" i="17"/>
  <c r="BU65" i="25"/>
  <c r="CI69" i="25" s="1"/>
  <c r="BW65" i="25"/>
  <c r="BV65" i="25"/>
  <c r="CA65" i="25"/>
  <c r="BX65" i="25"/>
  <c r="CB65" i="25"/>
  <c r="CB69" i="25" s="1"/>
  <c r="CB71" i="25" s="1"/>
  <c r="CB72" i="25" s="1"/>
  <c r="CD65" i="25"/>
  <c r="CD69" i="25" s="1"/>
  <c r="CD71" i="25" s="1"/>
  <c r="CD72" i="25" s="1"/>
  <c r="CC65" i="25"/>
  <c r="CC69" i="25" s="1"/>
  <c r="CC71" i="25" s="1"/>
  <c r="CC72" i="25" s="1"/>
  <c r="R19" i="5"/>
  <c r="R20" i="5"/>
  <c r="BO26" i="25"/>
  <c r="O391" i="29"/>
  <c r="N391" i="29"/>
  <c r="R10" i="5"/>
  <c r="Q54" i="28"/>
  <c r="AA48" i="28"/>
  <c r="Z48" i="28"/>
  <c r="Y48" i="28"/>
  <c r="X48" i="28"/>
  <c r="W48" i="28"/>
  <c r="V48" i="28"/>
  <c r="U48" i="28"/>
  <c r="T48" i="28"/>
  <c r="S48" i="28"/>
  <c r="R48" i="28"/>
  <c r="P48" i="28"/>
  <c r="AB47" i="28"/>
  <c r="O47" i="28"/>
  <c r="H47" i="28"/>
  <c r="AB46" i="28"/>
  <c r="O46" i="28"/>
  <c r="H46" i="28"/>
  <c r="AB45" i="28"/>
  <c r="O45" i="28"/>
  <c r="H45" i="28"/>
  <c r="AB44" i="28"/>
  <c r="O44" i="28"/>
  <c r="H44" i="28"/>
  <c r="AB43" i="28"/>
  <c r="O43" i="28"/>
  <c r="H43" i="28"/>
  <c r="Q42" i="28"/>
  <c r="AB42" i="28" s="1"/>
  <c r="O42" i="28"/>
  <c r="H42" i="28"/>
  <c r="AB41" i="28"/>
  <c r="O41" i="28"/>
  <c r="H41" i="28"/>
  <c r="AB40" i="28"/>
  <c r="O40" i="28"/>
  <c r="H40" i="28"/>
  <c r="AB38" i="28"/>
  <c r="O38" i="28"/>
  <c r="H38" i="28"/>
  <c r="AB37" i="28"/>
  <c r="O37" i="28"/>
  <c r="H37" i="28"/>
  <c r="AB35" i="28"/>
  <c r="O35" i="28"/>
  <c r="H35" i="28"/>
  <c r="AB34" i="28"/>
  <c r="O34" i="28"/>
  <c r="H34" i="28"/>
  <c r="AB33" i="28"/>
  <c r="O33" i="28"/>
  <c r="H33" i="28"/>
  <c r="AB32" i="28"/>
  <c r="O32" i="28"/>
  <c r="H32" i="28"/>
  <c r="AB31" i="28"/>
  <c r="O31" i="28"/>
  <c r="H31" i="28"/>
  <c r="AB30" i="28"/>
  <c r="O30" i="28"/>
  <c r="H30" i="28"/>
  <c r="AB28" i="28"/>
  <c r="O28" i="28"/>
  <c r="H28" i="28"/>
  <c r="AB27" i="28"/>
  <c r="O27" i="28"/>
  <c r="H27" i="28"/>
  <c r="AB26" i="28"/>
  <c r="O26" i="28"/>
  <c r="H26" i="28"/>
  <c r="AB25" i="28"/>
  <c r="O25" i="28"/>
  <c r="H25" i="28"/>
  <c r="AB24" i="28"/>
  <c r="O24" i="28"/>
  <c r="H24" i="28"/>
  <c r="AB23" i="28"/>
  <c r="O23" i="28"/>
  <c r="H23" i="28"/>
  <c r="AB22" i="28"/>
  <c r="O22" i="28"/>
  <c r="H22" i="28"/>
  <c r="AB20" i="28"/>
  <c r="O20" i="28"/>
  <c r="H20" i="28"/>
  <c r="AB19" i="28"/>
  <c r="O19" i="28"/>
  <c r="H19" i="28"/>
  <c r="AB18" i="28"/>
  <c r="O18" i="28"/>
  <c r="H18" i="28"/>
  <c r="AB17" i="28"/>
  <c r="O17" i="28"/>
  <c r="H17" i="28"/>
  <c r="AB16" i="28"/>
  <c r="O16" i="28"/>
  <c r="H16" i="28"/>
  <c r="AB15" i="28"/>
  <c r="O15" i="28"/>
  <c r="H15" i="28"/>
  <c r="AB14" i="28"/>
  <c r="O14" i="28"/>
  <c r="H14" i="28"/>
  <c r="AB13" i="28"/>
  <c r="O13" i="28"/>
  <c r="H13" i="28"/>
  <c r="AB12" i="28"/>
  <c r="O12" i="28"/>
  <c r="H12" i="28"/>
  <c r="AB11" i="28"/>
  <c r="O11" i="28"/>
  <c r="H11" i="28"/>
  <c r="AB8" i="28"/>
  <c r="O8" i="28"/>
  <c r="H8" i="28"/>
  <c r="AB7" i="28"/>
  <c r="O7" i="28"/>
  <c r="H7" i="28"/>
  <c r="AB6" i="28"/>
  <c r="O6" i="28"/>
  <c r="H6" i="28"/>
  <c r="AB5" i="28"/>
  <c r="O5" i="28"/>
  <c r="H5" i="28"/>
  <c r="AB4" i="28"/>
  <c r="O4" i="28"/>
  <c r="H4" i="28"/>
  <c r="DC69" i="25" l="1"/>
  <c r="DC71" i="25" s="1"/>
  <c r="DC72" i="25" s="1"/>
  <c r="DG69" i="25"/>
  <c r="DG71" i="25" s="1"/>
  <c r="DG72" i="25" s="1"/>
  <c r="DE69" i="25"/>
  <c r="DE71" i="25" s="1"/>
  <c r="DE72" i="25" s="1"/>
  <c r="CZ69" i="25"/>
  <c r="CZ71" i="25" s="1"/>
  <c r="CZ72" i="25" s="1"/>
  <c r="DL65" i="25"/>
  <c r="DL69" i="25" s="1"/>
  <c r="DL71" i="25" s="1"/>
  <c r="DL72" i="25" s="1"/>
  <c r="DI65" i="25"/>
  <c r="DI69" i="25" s="1"/>
  <c r="DP65" i="25"/>
  <c r="DP69" i="25" s="1"/>
  <c r="DP71" i="25" s="1"/>
  <c r="DP72" i="25" s="1"/>
  <c r="DB69" i="25"/>
  <c r="DB71" i="25" s="1"/>
  <c r="DB72" i="25" s="1"/>
  <c r="DF69" i="25"/>
  <c r="DF71" i="25" s="1"/>
  <c r="DF72" i="25" s="1"/>
  <c r="DT65" i="25"/>
  <c r="DT69" i="25" s="1"/>
  <c r="DT71" i="25" s="1"/>
  <c r="DT72" i="25" s="1"/>
  <c r="DR65" i="25"/>
  <c r="DR69" i="25" s="1"/>
  <c r="DR71" i="25" s="1"/>
  <c r="DR72" i="25" s="1"/>
  <c r="DD69" i="25"/>
  <c r="DD71" i="25" s="1"/>
  <c r="DD72" i="25" s="1"/>
  <c r="DA69" i="25"/>
  <c r="DA71" i="25" s="1"/>
  <c r="DA72" i="25" s="1"/>
  <c r="DO65" i="25"/>
  <c r="DO69" i="25" s="1"/>
  <c r="DO71" i="25" s="1"/>
  <c r="DO72" i="25" s="1"/>
  <c r="DV65" i="25"/>
  <c r="DV69" i="25" s="1"/>
  <c r="DV71" i="25" s="1"/>
  <c r="DV72" i="25" s="1"/>
  <c r="DH69" i="25"/>
  <c r="DH71" i="25" s="1"/>
  <c r="DH72" i="25" s="1"/>
  <c r="DM65" i="25"/>
  <c r="DM69" i="25" s="1"/>
  <c r="DM71" i="25" s="1"/>
  <c r="DM72" i="25" s="1"/>
  <c r="CY69" i="25"/>
  <c r="CY71" i="25" s="1"/>
  <c r="CY72" i="25" s="1"/>
  <c r="CP69" i="25"/>
  <c r="BU69" i="25"/>
  <c r="BU71" i="25" s="1"/>
  <c r="BU72" i="25" s="1"/>
  <c r="CQ69" i="25"/>
  <c r="CA69" i="25"/>
  <c r="CA71" i="25" s="1"/>
  <c r="CA72" i="25" s="1"/>
  <c r="BW69" i="25"/>
  <c r="BW71" i="25" s="1"/>
  <c r="BW72" i="25" s="1"/>
  <c r="BY69" i="25"/>
  <c r="BY71" i="25" s="1"/>
  <c r="BY72" i="25" s="1"/>
  <c r="BZ69" i="25"/>
  <c r="BZ71" i="25" s="1"/>
  <c r="BZ72" i="25" s="1"/>
  <c r="BX69" i="25"/>
  <c r="BX71" i="25" s="1"/>
  <c r="BX72" i="25" s="1"/>
  <c r="CE65" i="25"/>
  <c r="CE69" i="25" s="1"/>
  <c r="CE71" i="25" s="1"/>
  <c r="CE72" i="25" s="1"/>
  <c r="CM69" i="25"/>
  <c r="CK69" i="25"/>
  <c r="CH69" i="25"/>
  <c r="CH71" i="25" s="1"/>
  <c r="CH72" i="25" s="1"/>
  <c r="CI71" i="25"/>
  <c r="CI72" i="25" s="1"/>
  <c r="CO69" i="25"/>
  <c r="CG69" i="25"/>
  <c r="CG71" i="25" s="1"/>
  <c r="CG72" i="25" s="1"/>
  <c r="CL69" i="25"/>
  <c r="CJ69" i="25"/>
  <c r="BV69" i="25"/>
  <c r="BV71" i="25" s="1"/>
  <c r="BV72" i="25" s="1"/>
  <c r="H48" i="28"/>
  <c r="AB48" i="28"/>
  <c r="P54" i="28" s="1"/>
  <c r="P55" i="28" s="1"/>
  <c r="O48" i="28"/>
  <c r="Q48" i="28"/>
  <c r="BO60" i="25"/>
  <c r="DW65" i="25" l="1"/>
  <c r="DW69" i="25" s="1"/>
  <c r="CQ71" i="25"/>
  <c r="CQ72" i="25" s="1"/>
  <c r="CK71" i="25"/>
  <c r="CK72" i="25" s="1"/>
  <c r="CJ71" i="25"/>
  <c r="CJ72" i="25" s="1"/>
  <c r="CM71" i="25"/>
  <c r="CM72" i="25" s="1"/>
  <c r="CL71" i="25"/>
  <c r="CL72" i="25" s="1"/>
  <c r="CO71" i="25"/>
  <c r="CO72" i="25" s="1"/>
  <c r="CN71" i="25"/>
  <c r="CN72" i="25" s="1"/>
  <c r="CP71" i="25"/>
  <c r="CP72" i="25" s="1"/>
  <c r="CS65" i="25"/>
  <c r="CS69" i="25" s="1"/>
  <c r="CS71" i="25" s="1"/>
  <c r="CR69" i="25"/>
  <c r="P4" i="15"/>
  <c r="P5" i="15"/>
  <c r="P6" i="15"/>
  <c r="P7" i="15"/>
  <c r="P8" i="15"/>
  <c r="P12" i="15"/>
  <c r="P13" i="15"/>
  <c r="P14" i="15"/>
  <c r="P15" i="15"/>
  <c r="P16" i="15"/>
  <c r="P18" i="15"/>
  <c r="P19" i="15"/>
  <c r="P26" i="15"/>
  <c r="P27" i="15"/>
  <c r="P28" i="15"/>
  <c r="P29" i="15"/>
  <c r="P30" i="15"/>
  <c r="P31" i="15"/>
  <c r="P32" i="15"/>
  <c r="P33" i="15"/>
  <c r="P34" i="15"/>
  <c r="P35" i="15"/>
  <c r="P36" i="15"/>
  <c r="P38" i="15"/>
  <c r="P39" i="15"/>
  <c r="P44" i="15"/>
  <c r="P45" i="15"/>
  <c r="P47" i="15"/>
  <c r="P48" i="15"/>
  <c r="P49" i="15"/>
  <c r="P50" i="15"/>
  <c r="P51" i="15"/>
  <c r="P52" i="15"/>
  <c r="P53" i="15"/>
  <c r="P54" i="15"/>
  <c r="P56" i="15"/>
  <c r="P57" i="15"/>
  <c r="P59" i="15"/>
  <c r="P61" i="15"/>
  <c r="P62" i="15"/>
  <c r="P63" i="15"/>
  <c r="P70" i="15"/>
  <c r="P71" i="15"/>
  <c r="P72" i="15"/>
  <c r="P76" i="15"/>
  <c r="P78" i="15"/>
  <c r="P79" i="15"/>
  <c r="P80" i="15"/>
  <c r="P81" i="15"/>
  <c r="P84" i="15"/>
  <c r="P85" i="15"/>
  <c r="P3" i="15"/>
  <c r="H61" i="17"/>
  <c r="H54" i="17"/>
  <c r="H55" i="17"/>
  <c r="H53" i="17"/>
  <c r="H49" i="17"/>
  <c r="H51" i="17"/>
  <c r="H36" i="17"/>
  <c r="H35" i="17"/>
  <c r="H33" i="17"/>
  <c r="H34" i="17"/>
  <c r="H32" i="17"/>
  <c r="H29" i="17"/>
  <c r="H30" i="17"/>
  <c r="H28" i="17"/>
  <c r="H26" i="17"/>
  <c r="CS72" i="25" l="1"/>
  <c r="CR71" i="25"/>
  <c r="CR72" i="25" s="1"/>
  <c r="T46" i="17"/>
  <c r="U46" i="17" s="1"/>
  <c r="T36" i="17"/>
  <c r="U36" i="17" s="1"/>
  <c r="T30" i="17"/>
  <c r="U30" i="17" s="1"/>
  <c r="T32" i="17"/>
  <c r="U32" i="17" s="1"/>
  <c r="T44" i="17"/>
  <c r="U44" i="17" s="1"/>
  <c r="T51" i="17"/>
  <c r="U51" i="17" s="1"/>
  <c r="T55" i="17"/>
  <c r="U55" i="17" s="1"/>
  <c r="T31" i="17"/>
  <c r="U31" i="17" s="1"/>
  <c r="T61" i="17"/>
  <c r="U61" i="17" s="1"/>
  <c r="T23" i="17"/>
  <c r="U23" i="17" s="1"/>
  <c r="T28" i="17"/>
  <c r="U28" i="17" s="1"/>
  <c r="T29" i="17"/>
  <c r="U29" i="17" s="1"/>
  <c r="T49" i="17"/>
  <c r="U49" i="17" s="1"/>
  <c r="T54" i="17"/>
  <c r="U54" i="17" s="1"/>
  <c r="T34" i="17"/>
  <c r="U34" i="17" s="1"/>
  <c r="T48" i="17"/>
  <c r="U48" i="17" s="1"/>
  <c r="T25" i="17"/>
  <c r="U25" i="17" s="1"/>
  <c r="T33" i="17"/>
  <c r="U33" i="17" s="1"/>
  <c r="T35" i="17"/>
  <c r="U35" i="17" s="1"/>
  <c r="T26" i="17"/>
  <c r="U26" i="17" s="1"/>
  <c r="T43" i="17"/>
  <c r="U43" i="17" s="1"/>
  <c r="T45" i="17"/>
  <c r="U45" i="17" s="1"/>
  <c r="T60" i="17"/>
  <c r="U60" i="17" s="1"/>
  <c r="T47" i="17"/>
  <c r="U47" i="17" s="1"/>
  <c r="T67" i="17"/>
  <c r="U67" i="17" s="1"/>
  <c r="T53" i="17"/>
  <c r="U53" i="17" s="1"/>
  <c r="T24" i="17"/>
  <c r="U24" i="17" s="1"/>
  <c r="P75" i="15"/>
  <c r="G15" i="5"/>
  <c r="H15" i="5" l="1"/>
  <c r="I15" i="5" s="1"/>
  <c r="J15" i="5" s="1"/>
  <c r="K15" i="5" s="1"/>
  <c r="L15" i="5" s="1"/>
  <c r="M15" i="5" s="1"/>
  <c r="N15" i="5" s="1"/>
  <c r="O15" i="5" s="1"/>
  <c r="P15" i="5" s="1"/>
  <c r="Q15" i="5" s="1"/>
  <c r="G37" i="5"/>
  <c r="A42" i="17"/>
  <c r="B42" i="17"/>
  <c r="T64" i="17"/>
  <c r="U64" i="17" s="1"/>
  <c r="T65" i="17"/>
  <c r="U65" i="17" s="1"/>
  <c r="T41" i="17"/>
  <c r="U41" i="17" s="1"/>
  <c r="T66" i="17"/>
  <c r="U66" i="17" s="1"/>
  <c r="K116" i="15"/>
  <c r="K117" i="15" s="1"/>
  <c r="D8" i="24" l="1"/>
  <c r="R15" i="5"/>
  <c r="D8" i="30"/>
  <c r="I18" i="10"/>
  <c r="I24" i="10" s="1"/>
  <c r="P10" i="15"/>
  <c r="P41" i="15"/>
  <c r="P60" i="15"/>
  <c r="H52" i="17"/>
  <c r="H111" i="15"/>
  <c r="H110" i="15"/>
  <c r="H115" i="15"/>
  <c r="H114" i="15"/>
  <c r="T52" i="17" l="1"/>
  <c r="U52" i="17" s="1"/>
  <c r="T39" i="17"/>
  <c r="U39" i="17" s="1"/>
  <c r="H38" i="17"/>
  <c r="H113" i="15"/>
  <c r="H112" i="15" l="1"/>
  <c r="H116" i="15" s="1"/>
  <c r="H117" i="15" s="1"/>
  <c r="T27" i="17"/>
  <c r="U27" i="17" s="1"/>
  <c r="T38" i="17"/>
  <c r="U38" i="17" s="1"/>
  <c r="BO6" i="25"/>
  <c r="BO8" i="25"/>
  <c r="BO9" i="25"/>
  <c r="BO11" i="25"/>
  <c r="BO14" i="25"/>
  <c r="BO12" i="25"/>
  <c r="BO13" i="25"/>
  <c r="BO16" i="25"/>
  <c r="BO17" i="25"/>
  <c r="BO18" i="25"/>
  <c r="BO20" i="25"/>
  <c r="BO21" i="25"/>
  <c r="BO22" i="25"/>
  <c r="BO24" i="25"/>
  <c r="BO27" i="25"/>
  <c r="BO23" i="25"/>
  <c r="BO28" i="25"/>
  <c r="BO30" i="25"/>
  <c r="BO29" i="25"/>
  <c r="BO19" i="25"/>
  <c r="BO31" i="25"/>
  <c r="BO32" i="25"/>
  <c r="BO33" i="25"/>
  <c r="BO36" i="25"/>
  <c r="BO37" i="25"/>
  <c r="BO38" i="25"/>
  <c r="BO39" i="25"/>
  <c r="BO41" i="25"/>
  <c r="BO43" i="25"/>
  <c r="BO42" i="25"/>
  <c r="BO40" i="25"/>
  <c r="BO44" i="25"/>
  <c r="BO50" i="25"/>
  <c r="BO35" i="25"/>
  <c r="BO46" i="25"/>
  <c r="BO45" i="25"/>
  <c r="BO52" i="25"/>
  <c r="BO51" i="25"/>
  <c r="BO48" i="25"/>
  <c r="BO4" i="25"/>
  <c r="BO47" i="25"/>
  <c r="BO56" i="25"/>
  <c r="BO5" i="25"/>
  <c r="AZ5" i="25"/>
  <c r="AJ61" i="25"/>
  <c r="AJ69" i="25" s="1"/>
  <c r="AI61" i="25"/>
  <c r="AI69" i="25" s="1"/>
  <c r="AG61" i="25"/>
  <c r="AG69" i="25" s="1"/>
  <c r="AF61" i="25"/>
  <c r="AF69" i="25" s="1"/>
  <c r="AD61" i="25"/>
  <c r="AD69" i="25" s="1"/>
  <c r="AC61" i="25"/>
  <c r="AC69" i="25" s="1"/>
  <c r="AA61" i="25"/>
  <c r="AA69" i="25" s="1"/>
  <c r="Z61" i="25"/>
  <c r="Z69" i="25" s="1"/>
  <c r="W61" i="25"/>
  <c r="W69" i="25" s="1"/>
  <c r="T61" i="25"/>
  <c r="T69" i="25" s="1"/>
  <c r="Q61" i="25"/>
  <c r="Q69" i="25" s="1"/>
  <c r="N61" i="25"/>
  <c r="N69" i="25" s="1"/>
  <c r="F61" i="25"/>
  <c r="F69" i="25" s="1"/>
  <c r="AL60" i="25"/>
  <c r="AK60" i="25"/>
  <c r="AH60" i="25"/>
  <c r="AE60" i="25"/>
  <c r="AB60" i="25"/>
  <c r="Y60" i="25"/>
  <c r="V60" i="25"/>
  <c r="S60" i="25"/>
  <c r="P60" i="25"/>
  <c r="M60" i="25"/>
  <c r="J60" i="25"/>
  <c r="G60" i="25"/>
  <c r="D60" i="25"/>
  <c r="AL47" i="25"/>
  <c r="AK47" i="25"/>
  <c r="AH47" i="25"/>
  <c r="AE47" i="25"/>
  <c r="AB47" i="25"/>
  <c r="Y47" i="25"/>
  <c r="V47" i="25"/>
  <c r="S47" i="25"/>
  <c r="P47" i="25"/>
  <c r="K47" i="25"/>
  <c r="J47" i="25"/>
  <c r="G47" i="25"/>
  <c r="B47" i="25"/>
  <c r="AZ48" i="25"/>
  <c r="AL48" i="25"/>
  <c r="AK48" i="25"/>
  <c r="AH48" i="25"/>
  <c r="AE48" i="25"/>
  <c r="AB48" i="25"/>
  <c r="Y48" i="25"/>
  <c r="V48" i="25"/>
  <c r="S48" i="25"/>
  <c r="P48" i="25"/>
  <c r="M48" i="25"/>
  <c r="J48" i="25"/>
  <c r="G48" i="25"/>
  <c r="D48" i="25"/>
  <c r="AZ51" i="25"/>
  <c r="AL51" i="25"/>
  <c r="AK51" i="25"/>
  <c r="AH51" i="25"/>
  <c r="AE51" i="25"/>
  <c r="AB51" i="25"/>
  <c r="Y51" i="25"/>
  <c r="V51" i="25"/>
  <c r="S51" i="25"/>
  <c r="P51" i="25"/>
  <c r="M51" i="25"/>
  <c r="J51" i="25"/>
  <c r="G51" i="25"/>
  <c r="D51" i="25"/>
  <c r="AZ52" i="25"/>
  <c r="AL52" i="25"/>
  <c r="AK52" i="25"/>
  <c r="AH52" i="25"/>
  <c r="AE52" i="25"/>
  <c r="AB52" i="25"/>
  <c r="AZ45" i="25"/>
  <c r="AL45" i="25"/>
  <c r="AK45" i="25"/>
  <c r="AH45" i="25"/>
  <c r="AE45" i="25"/>
  <c r="AB45" i="25"/>
  <c r="Y45" i="25"/>
  <c r="V45" i="25"/>
  <c r="S45" i="25"/>
  <c r="P45" i="25"/>
  <c r="M45" i="25"/>
  <c r="J45" i="25"/>
  <c r="G45" i="25"/>
  <c r="D45" i="25"/>
  <c r="AZ46" i="25"/>
  <c r="AK46" i="25"/>
  <c r="AH46" i="25"/>
  <c r="AE46" i="25"/>
  <c r="AB46" i="25"/>
  <c r="X46" i="25"/>
  <c r="V46" i="25"/>
  <c r="S46" i="25"/>
  <c r="P46" i="25"/>
  <c r="M46" i="25"/>
  <c r="J46" i="25"/>
  <c r="G46" i="25"/>
  <c r="D46" i="25"/>
  <c r="AZ35" i="25"/>
  <c r="AK35" i="25"/>
  <c r="AH35" i="25"/>
  <c r="AE35" i="25"/>
  <c r="AB35" i="25"/>
  <c r="Y35" i="25"/>
  <c r="V35" i="25"/>
  <c r="S35" i="25"/>
  <c r="P35" i="25"/>
  <c r="L35" i="25"/>
  <c r="M35" i="25" s="1"/>
  <c r="I35" i="25"/>
  <c r="G35" i="25"/>
  <c r="D35" i="25"/>
  <c r="AZ50" i="25"/>
  <c r="AK50" i="25"/>
  <c r="AH50" i="25"/>
  <c r="AE50" i="25"/>
  <c r="AB50" i="25"/>
  <c r="Y50" i="25"/>
  <c r="V50" i="25"/>
  <c r="S50" i="25"/>
  <c r="P50" i="25"/>
  <c r="M50" i="25"/>
  <c r="I50" i="25"/>
  <c r="G50" i="25"/>
  <c r="D50" i="25"/>
  <c r="BH49" i="25"/>
  <c r="AZ49" i="25"/>
  <c r="AK49" i="25"/>
  <c r="AH49" i="25"/>
  <c r="AE49" i="25"/>
  <c r="AB49" i="25"/>
  <c r="X49" i="25"/>
  <c r="Y49" i="25" s="1"/>
  <c r="U49" i="25"/>
  <c r="R49" i="25"/>
  <c r="S49" i="25" s="1"/>
  <c r="P49" i="25"/>
  <c r="L49" i="25"/>
  <c r="M49" i="25" s="1"/>
  <c r="I49" i="25"/>
  <c r="G49" i="25"/>
  <c r="D49" i="25"/>
  <c r="AZ44" i="25"/>
  <c r="AL44" i="25"/>
  <c r="AK44" i="25"/>
  <c r="AH44" i="25"/>
  <c r="AE44" i="25"/>
  <c r="AB44" i="25"/>
  <c r="Y44" i="25"/>
  <c r="V44" i="25"/>
  <c r="S44" i="25"/>
  <c r="P44" i="25"/>
  <c r="M44" i="25"/>
  <c r="J44" i="25"/>
  <c r="G44" i="25"/>
  <c r="D44" i="25"/>
  <c r="AZ40" i="25"/>
  <c r="AK40" i="25"/>
  <c r="AH40" i="25"/>
  <c r="AE40" i="25"/>
  <c r="AB40" i="25"/>
  <c r="Y40" i="25"/>
  <c r="V40" i="25"/>
  <c r="S40" i="25"/>
  <c r="P40" i="25"/>
  <c r="L40" i="25"/>
  <c r="M40" i="25" s="1"/>
  <c r="I40" i="25"/>
  <c r="G40" i="25"/>
  <c r="C40" i="25"/>
  <c r="D40" i="25" s="1"/>
  <c r="AZ42" i="25"/>
  <c r="AL42" i="25"/>
  <c r="AK42" i="25"/>
  <c r="AH42" i="25"/>
  <c r="AE42" i="25"/>
  <c r="AB42" i="25"/>
  <c r="AZ43" i="25"/>
  <c r="AL43" i="25"/>
  <c r="AK43" i="25"/>
  <c r="AH43" i="25"/>
  <c r="AE43" i="25"/>
  <c r="AB43" i="25"/>
  <c r="Y43" i="25"/>
  <c r="V43" i="25"/>
  <c r="S43" i="25"/>
  <c r="P43" i="25"/>
  <c r="M43" i="25"/>
  <c r="J43" i="25"/>
  <c r="G43" i="25"/>
  <c r="D43" i="25"/>
  <c r="AZ41" i="25"/>
  <c r="AL41" i="25"/>
  <c r="AK41" i="25"/>
  <c r="AH41" i="25"/>
  <c r="AE41" i="25"/>
  <c r="AB41" i="25"/>
  <c r="Y41" i="25"/>
  <c r="V41" i="25"/>
  <c r="S41" i="25"/>
  <c r="P41" i="25"/>
  <c r="M41" i="25"/>
  <c r="AZ39" i="25"/>
  <c r="AK39" i="25"/>
  <c r="AH39" i="25"/>
  <c r="AE39" i="25"/>
  <c r="AB39" i="25"/>
  <c r="X39" i="25"/>
  <c r="V39" i="25"/>
  <c r="S39" i="25"/>
  <c r="P39" i="25"/>
  <c r="M39" i="25"/>
  <c r="J39" i="25"/>
  <c r="G39" i="25"/>
  <c r="D39" i="25"/>
  <c r="AZ38" i="25"/>
  <c r="AL38" i="25"/>
  <c r="AK38" i="25"/>
  <c r="AH38" i="25"/>
  <c r="AE38" i="25"/>
  <c r="AB38" i="25"/>
  <c r="Y38" i="25"/>
  <c r="V38" i="25"/>
  <c r="AZ37" i="25"/>
  <c r="AL37" i="25"/>
  <c r="AK37" i="25"/>
  <c r="AH37" i="25"/>
  <c r="AE37" i="25"/>
  <c r="AB37" i="25"/>
  <c r="Y37" i="25"/>
  <c r="V37" i="25"/>
  <c r="AZ36" i="25"/>
  <c r="AL36" i="25"/>
  <c r="AK36" i="25"/>
  <c r="AH36" i="25"/>
  <c r="AE36" i="25"/>
  <c r="AB36" i="25"/>
  <c r="Y36" i="25"/>
  <c r="V36" i="25"/>
  <c r="AZ33" i="25"/>
  <c r="AL33" i="25"/>
  <c r="AK33" i="25"/>
  <c r="AH33" i="25"/>
  <c r="AE33" i="25"/>
  <c r="AB33" i="25"/>
  <c r="Y33" i="25"/>
  <c r="V33" i="25"/>
  <c r="AZ32" i="25"/>
  <c r="AL32" i="25"/>
  <c r="AK32" i="25"/>
  <c r="AH32" i="25"/>
  <c r="AE32" i="25"/>
  <c r="AB32" i="25"/>
  <c r="Y32" i="25"/>
  <c r="V32" i="25"/>
  <c r="AZ31" i="25"/>
  <c r="AL31" i="25"/>
  <c r="AK31" i="25"/>
  <c r="AH31" i="25"/>
  <c r="AE31" i="25"/>
  <c r="AB31" i="25"/>
  <c r="Y31" i="25"/>
  <c r="V31" i="25"/>
  <c r="S31" i="25"/>
  <c r="P31" i="25"/>
  <c r="M31" i="25"/>
  <c r="J31" i="25"/>
  <c r="G31" i="25"/>
  <c r="D31" i="25"/>
  <c r="AZ19" i="25"/>
  <c r="AL19" i="25"/>
  <c r="AK19" i="25"/>
  <c r="AH19" i="25"/>
  <c r="AE19" i="25"/>
  <c r="AB19" i="25"/>
  <c r="AZ29" i="25"/>
  <c r="AK29" i="25"/>
  <c r="AH29" i="25"/>
  <c r="AE29" i="25"/>
  <c r="AB29" i="25"/>
  <c r="Y29" i="25"/>
  <c r="V29" i="25"/>
  <c r="R29" i="25"/>
  <c r="P29" i="25"/>
  <c r="M29" i="25"/>
  <c r="J29" i="25"/>
  <c r="G29" i="25"/>
  <c r="D29" i="25"/>
  <c r="AZ30" i="25"/>
  <c r="AK30" i="25"/>
  <c r="AH30" i="25"/>
  <c r="AE30" i="25"/>
  <c r="AB30" i="25"/>
  <c r="Y30" i="25"/>
  <c r="V30" i="25"/>
  <c r="R30" i="25"/>
  <c r="O30" i="25"/>
  <c r="P30" i="25" s="1"/>
  <c r="M30" i="25"/>
  <c r="J30" i="25"/>
  <c r="G30" i="25"/>
  <c r="D30" i="25"/>
  <c r="AS28" i="25"/>
  <c r="AL28" i="25"/>
  <c r="AK28" i="25"/>
  <c r="AH28" i="25"/>
  <c r="AE28" i="25"/>
  <c r="AB28" i="25"/>
  <c r="AZ23" i="25"/>
  <c r="AK23" i="25"/>
  <c r="AH23" i="25"/>
  <c r="AE23" i="25"/>
  <c r="AB23" i="25"/>
  <c r="Y23" i="25"/>
  <c r="V23" i="25"/>
  <c r="R23" i="25"/>
  <c r="S23" i="25" s="1"/>
  <c r="O23" i="25"/>
  <c r="P23" i="25" s="1"/>
  <c r="M23" i="25"/>
  <c r="J23" i="25"/>
  <c r="G23" i="25"/>
  <c r="D23" i="25"/>
  <c r="BE25" i="25"/>
  <c r="AZ25" i="25"/>
  <c r="AL25" i="25"/>
  <c r="AK25" i="25"/>
  <c r="AH25" i="25"/>
  <c r="AE25" i="25"/>
  <c r="AB25" i="25"/>
  <c r="Y25" i="25"/>
  <c r="V25" i="25"/>
  <c r="S25" i="25"/>
  <c r="P25" i="25"/>
  <c r="M25" i="25"/>
  <c r="J25" i="25"/>
  <c r="G25" i="25"/>
  <c r="D25" i="25"/>
  <c r="AZ27" i="25"/>
  <c r="AL27" i="25"/>
  <c r="AK27" i="25"/>
  <c r="AH27" i="25"/>
  <c r="AE27" i="25"/>
  <c r="AB27" i="25"/>
  <c r="Y27" i="25"/>
  <c r="V27" i="25"/>
  <c r="S27" i="25"/>
  <c r="P27" i="25"/>
  <c r="M27" i="25"/>
  <c r="J27" i="25"/>
  <c r="G27" i="25"/>
  <c r="D27" i="25"/>
  <c r="AZ24" i="25"/>
  <c r="AL24" i="25"/>
  <c r="AK24" i="25"/>
  <c r="AH24" i="25"/>
  <c r="AE24" i="25"/>
  <c r="AB24" i="25"/>
  <c r="Y24" i="25"/>
  <c r="V24" i="25"/>
  <c r="S24" i="25"/>
  <c r="P24" i="25"/>
  <c r="M24" i="25"/>
  <c r="J24" i="25"/>
  <c r="G24" i="25"/>
  <c r="D24" i="25"/>
  <c r="AZ22" i="25"/>
  <c r="AL22" i="25"/>
  <c r="AK22" i="25"/>
  <c r="AH22" i="25"/>
  <c r="AE22" i="25"/>
  <c r="AB22" i="25"/>
  <c r="AZ21" i="25"/>
  <c r="AL21" i="25"/>
  <c r="AK21" i="25"/>
  <c r="AH21" i="25"/>
  <c r="AE21" i="25"/>
  <c r="AB21" i="25"/>
  <c r="Y21" i="25"/>
  <c r="V21" i="25"/>
  <c r="S21" i="25"/>
  <c r="P21" i="25"/>
  <c r="M21" i="25"/>
  <c r="J21" i="25"/>
  <c r="G21" i="25"/>
  <c r="D21" i="25"/>
  <c r="AZ20" i="25"/>
  <c r="AK20" i="25"/>
  <c r="AH20" i="25"/>
  <c r="AE20" i="25"/>
  <c r="AB20" i="25"/>
  <c r="Y20" i="25"/>
  <c r="V20" i="25"/>
  <c r="S20" i="25"/>
  <c r="P20" i="25"/>
  <c r="M20" i="25"/>
  <c r="J20" i="25"/>
  <c r="G20" i="25"/>
  <c r="C20" i="25"/>
  <c r="AZ18" i="25"/>
  <c r="AL18" i="25"/>
  <c r="AK18" i="25"/>
  <c r="AH18" i="25"/>
  <c r="AE18" i="25"/>
  <c r="AB18" i="25"/>
  <c r="Y18" i="25"/>
  <c r="V18" i="25"/>
  <c r="S18" i="25"/>
  <c r="P18" i="25"/>
  <c r="M18" i="25"/>
  <c r="J18" i="25"/>
  <c r="G18" i="25"/>
  <c r="D18" i="25"/>
  <c r="AZ17" i="25"/>
  <c r="AL17" i="25"/>
  <c r="AK17" i="25"/>
  <c r="AH17" i="25"/>
  <c r="AE17" i="25"/>
  <c r="AB17" i="25"/>
  <c r="AZ16" i="25"/>
  <c r="AL16" i="25"/>
  <c r="AK16" i="25"/>
  <c r="AH16" i="25"/>
  <c r="AE16" i="25"/>
  <c r="AB16" i="25"/>
  <c r="AZ13" i="25"/>
  <c r="AK13" i="25"/>
  <c r="AH13" i="25"/>
  <c r="AE13" i="25"/>
  <c r="AB13" i="25"/>
  <c r="Y13" i="25"/>
  <c r="V13" i="25"/>
  <c r="R13" i="25"/>
  <c r="O13" i="25"/>
  <c r="M13" i="25"/>
  <c r="J13" i="25"/>
  <c r="G13" i="25"/>
  <c r="D13" i="25"/>
  <c r="AZ12" i="25"/>
  <c r="AK12" i="25"/>
  <c r="AH12" i="25"/>
  <c r="AE12" i="25"/>
  <c r="AB12" i="25"/>
  <c r="Y12" i="25"/>
  <c r="V12" i="25"/>
  <c r="S12" i="25"/>
  <c r="P12" i="25"/>
  <c r="L12" i="25"/>
  <c r="J12" i="25"/>
  <c r="G12" i="25"/>
  <c r="D12" i="25"/>
  <c r="AZ14" i="25"/>
  <c r="AK14" i="25"/>
  <c r="AH14" i="25"/>
  <c r="AE14" i="25"/>
  <c r="AB14" i="25"/>
  <c r="Y14" i="25"/>
  <c r="V14" i="25"/>
  <c r="R14" i="25"/>
  <c r="S14" i="25" s="1"/>
  <c r="O14" i="25"/>
  <c r="M14" i="25"/>
  <c r="J14" i="25"/>
  <c r="G14" i="25"/>
  <c r="D14" i="25"/>
  <c r="AZ11" i="25"/>
  <c r="AL11" i="25"/>
  <c r="AK11" i="25"/>
  <c r="AH11" i="25"/>
  <c r="AE11" i="25"/>
  <c r="AB11" i="25"/>
  <c r="Y11" i="25"/>
  <c r="V11" i="25"/>
  <c r="S11" i="25"/>
  <c r="P11" i="25"/>
  <c r="M11" i="25"/>
  <c r="J11" i="25"/>
  <c r="G11" i="25"/>
  <c r="D11" i="25"/>
  <c r="BN10" i="25"/>
  <c r="BM10" i="25"/>
  <c r="BL10" i="25"/>
  <c r="BK10" i="25"/>
  <c r="BJ10" i="25"/>
  <c r="BI10" i="25"/>
  <c r="BH10" i="25"/>
  <c r="BG10" i="25"/>
  <c r="BF10" i="25"/>
  <c r="BE10" i="25"/>
  <c r="BD10" i="25"/>
  <c r="BC10" i="25"/>
  <c r="AY10" i="25"/>
  <c r="AX10" i="25"/>
  <c r="AW10" i="25"/>
  <c r="AV10" i="25"/>
  <c r="AU10" i="25"/>
  <c r="AT10" i="25"/>
  <c r="AS10" i="25"/>
  <c r="AR10" i="25"/>
  <c r="AQ10" i="25"/>
  <c r="AP10" i="25"/>
  <c r="AO10" i="25"/>
  <c r="AN10" i="25"/>
  <c r="AL10" i="25"/>
  <c r="AK10" i="25"/>
  <c r="AH10" i="25"/>
  <c r="AE10" i="25"/>
  <c r="AB10" i="25"/>
  <c r="Y10" i="25"/>
  <c r="V10" i="25"/>
  <c r="S10" i="25"/>
  <c r="P10" i="25"/>
  <c r="K10" i="25"/>
  <c r="H10" i="25"/>
  <c r="E10" i="25"/>
  <c r="B10" i="25"/>
  <c r="AZ9" i="25"/>
  <c r="AK9" i="25"/>
  <c r="AH9" i="25"/>
  <c r="AE9" i="25"/>
  <c r="AB9" i="25"/>
  <c r="Y9" i="25"/>
  <c r="V9" i="25"/>
  <c r="R9" i="25"/>
  <c r="O9" i="25"/>
  <c r="M9" i="25"/>
  <c r="J9" i="25"/>
  <c r="G9" i="25"/>
  <c r="D9" i="25"/>
  <c r="AZ8" i="25"/>
  <c r="AK8" i="25"/>
  <c r="AH8" i="25"/>
  <c r="AE8" i="25"/>
  <c r="AB8" i="25"/>
  <c r="X8" i="25"/>
  <c r="U8" i="25"/>
  <c r="S8" i="25"/>
  <c r="P8" i="25"/>
  <c r="M8" i="25"/>
  <c r="I8" i="25"/>
  <c r="G8" i="25"/>
  <c r="D8" i="25"/>
  <c r="BN7" i="25"/>
  <c r="BM7" i="25"/>
  <c r="BL7" i="25"/>
  <c r="BK7" i="25"/>
  <c r="BJ7" i="25"/>
  <c r="BI7" i="25"/>
  <c r="BH7" i="25"/>
  <c r="BG7" i="25"/>
  <c r="BF7" i="25"/>
  <c r="BE7" i="25"/>
  <c r="BD7" i="25" s="1"/>
  <c r="AY7" i="25"/>
  <c r="AX7" i="25"/>
  <c r="AW7" i="25"/>
  <c r="AV7" i="25"/>
  <c r="AU7" i="25"/>
  <c r="AT7" i="25"/>
  <c r="AS7" i="25"/>
  <c r="AR7" i="25"/>
  <c r="AQ7" i="25"/>
  <c r="AP7" i="25"/>
  <c r="AO7" i="25"/>
  <c r="AN7" i="25"/>
  <c r="AL7" i="25"/>
  <c r="AK7" i="25"/>
  <c r="AH7" i="25"/>
  <c r="AE7" i="25"/>
  <c r="AB7" i="25"/>
  <c r="Y7" i="25"/>
  <c r="V7" i="25"/>
  <c r="S7" i="25"/>
  <c r="P7" i="25"/>
  <c r="M7" i="25"/>
  <c r="J7" i="25"/>
  <c r="G7" i="25"/>
  <c r="D7" i="25"/>
  <c r="AZ6" i="25"/>
  <c r="AL6" i="25"/>
  <c r="AK6" i="25"/>
  <c r="AH6" i="25"/>
  <c r="AE6" i="25"/>
  <c r="AB6" i="25"/>
  <c r="Y6" i="25"/>
  <c r="V6" i="25"/>
  <c r="S6" i="25"/>
  <c r="P6" i="25"/>
  <c r="M6" i="25"/>
  <c r="J6" i="25"/>
  <c r="G6" i="25"/>
  <c r="D6" i="25"/>
  <c r="AL5" i="25"/>
  <c r="AK5" i="25"/>
  <c r="AH5" i="25"/>
  <c r="AE5" i="25"/>
  <c r="AB5" i="25"/>
  <c r="Y5" i="25"/>
  <c r="V5" i="25"/>
  <c r="S5" i="25"/>
  <c r="P5" i="25"/>
  <c r="M5" i="25"/>
  <c r="J5" i="25"/>
  <c r="G5" i="25"/>
  <c r="D5" i="25"/>
  <c r="BJ61" i="25" l="1"/>
  <c r="BJ69" i="25" s="1"/>
  <c r="AR61" i="25"/>
  <c r="AR69" i="25" s="1"/>
  <c r="AN61" i="25"/>
  <c r="AN69" i="25" s="1"/>
  <c r="AV61" i="25"/>
  <c r="AV69" i="25" s="1"/>
  <c r="AS61" i="25"/>
  <c r="AS69" i="25" s="1"/>
  <c r="AX61" i="25"/>
  <c r="AX69" i="25" s="1"/>
  <c r="AP61" i="25"/>
  <c r="AP69" i="25" s="1"/>
  <c r="H35" i="5"/>
  <c r="I35" i="5"/>
  <c r="K28" i="2"/>
  <c r="I28" i="2"/>
  <c r="J28" i="2"/>
  <c r="I37" i="5"/>
  <c r="H37" i="5"/>
  <c r="J30" i="10"/>
  <c r="K30" i="10"/>
  <c r="AT61" i="25"/>
  <c r="AT69" i="25" s="1"/>
  <c r="AU61" i="25"/>
  <c r="AU69" i="25" s="1"/>
  <c r="AO61" i="25"/>
  <c r="AO69" i="25" s="1"/>
  <c r="AW61" i="25"/>
  <c r="AW69" i="25" s="1"/>
  <c r="AQ61" i="25"/>
  <c r="AQ69" i="25" s="1"/>
  <c r="AY61" i="25"/>
  <c r="AY69" i="25" s="1"/>
  <c r="K35" i="5"/>
  <c r="P35" i="5"/>
  <c r="L35" i="5"/>
  <c r="M35" i="5"/>
  <c r="N35" i="5"/>
  <c r="O35" i="5"/>
  <c r="Q35" i="5"/>
  <c r="J35" i="5"/>
  <c r="R28" i="2"/>
  <c r="M28" i="2"/>
  <c r="Q28" i="2"/>
  <c r="L28" i="2"/>
  <c r="O28" i="2"/>
  <c r="N28" i="2"/>
  <c r="P28" i="2"/>
  <c r="P30" i="10"/>
  <c r="Q30" i="10"/>
  <c r="R30" i="10"/>
  <c r="M30" i="10"/>
  <c r="S30" i="10"/>
  <c r="L30" i="10"/>
  <c r="N30" i="10"/>
  <c r="O30" i="10"/>
  <c r="Q37" i="5"/>
  <c r="K37" i="5"/>
  <c r="N37" i="5"/>
  <c r="P37" i="5"/>
  <c r="J37" i="5"/>
  <c r="O37" i="5"/>
  <c r="L37" i="5"/>
  <c r="M37" i="5"/>
  <c r="AK69" i="25"/>
  <c r="AE69" i="25"/>
  <c r="AH69" i="25"/>
  <c r="BK61" i="25"/>
  <c r="S13" i="25"/>
  <c r="AZ28" i="25"/>
  <c r="AL49" i="25"/>
  <c r="AL20" i="25"/>
  <c r="BO49" i="25"/>
  <c r="D47" i="25"/>
  <c r="V49" i="25"/>
  <c r="M47" i="25"/>
  <c r="BL61" i="25"/>
  <c r="BM61" i="25"/>
  <c r="BN61" i="25"/>
  <c r="AB61" i="25"/>
  <c r="AB69" i="25" s="1"/>
  <c r="BE61" i="25"/>
  <c r="BH61" i="25"/>
  <c r="BI61" i="25"/>
  <c r="I61" i="25"/>
  <c r="I69" i="25" s="1"/>
  <c r="R61" i="25"/>
  <c r="R69" i="25" s="1"/>
  <c r="AZ7" i="25"/>
  <c r="BD61" i="25"/>
  <c r="BO7" i="25"/>
  <c r="U61" i="25"/>
  <c r="U69" i="25" s="1"/>
  <c r="V8" i="25"/>
  <c r="X61" i="25"/>
  <c r="X73" i="25" s="1"/>
  <c r="Y8" i="25"/>
  <c r="O61" i="25"/>
  <c r="O69" i="25" s="1"/>
  <c r="AL9" i="25"/>
  <c r="B61" i="25"/>
  <c r="B69" i="25" s="1"/>
  <c r="D10" i="25"/>
  <c r="E61" i="25"/>
  <c r="E69" i="25" s="1"/>
  <c r="G10" i="25"/>
  <c r="G61" i="25" s="1"/>
  <c r="G69" i="25" s="1"/>
  <c r="H61" i="25"/>
  <c r="H69" i="25" s="1"/>
  <c r="J10" i="25"/>
  <c r="K61" i="25"/>
  <c r="K69" i="25" s="1"/>
  <c r="M10" i="25"/>
  <c r="BC61" i="25"/>
  <c r="BO10" i="25"/>
  <c r="AL14" i="25"/>
  <c r="P14" i="25"/>
  <c r="AL12" i="25"/>
  <c r="M12" i="25"/>
  <c r="P13" i="25"/>
  <c r="AL13" i="25"/>
  <c r="AL30" i="25"/>
  <c r="S30" i="25"/>
  <c r="AL29" i="25"/>
  <c r="S29" i="25"/>
  <c r="Y39" i="25"/>
  <c r="AL39" i="25"/>
  <c r="AL40" i="25"/>
  <c r="AL50" i="25"/>
  <c r="J50" i="25"/>
  <c r="AL35" i="25"/>
  <c r="J35" i="25"/>
  <c r="AL46" i="25"/>
  <c r="Y46" i="25"/>
  <c r="AE61" i="25"/>
  <c r="AH61" i="25"/>
  <c r="AK61" i="25"/>
  <c r="D20" i="25"/>
  <c r="J40" i="25"/>
  <c r="J49" i="25"/>
  <c r="C61" i="25"/>
  <c r="C69" i="25" s="1"/>
  <c r="L61" i="25"/>
  <c r="L69" i="25" s="1"/>
  <c r="AL8" i="25"/>
  <c r="P9" i="25"/>
  <c r="BF25" i="25"/>
  <c r="AL23" i="25"/>
  <c r="AZ10" i="25"/>
  <c r="S9" i="25"/>
  <c r="J8" i="25"/>
  <c r="AZ61" i="25" l="1"/>
  <c r="BE74" i="25" s="1"/>
  <c r="AZ69" i="25"/>
  <c r="D61" i="25"/>
  <c r="D69" i="25" s="1"/>
  <c r="BC69" i="25"/>
  <c r="E5" i="30"/>
  <c r="BD69" i="25"/>
  <c r="BI69" i="25"/>
  <c r="X69" i="25"/>
  <c r="BN69" i="25"/>
  <c r="V61" i="25"/>
  <c r="V69" i="25" s="1"/>
  <c r="N5" i="30"/>
  <c r="BM69" i="25"/>
  <c r="BE69" i="25"/>
  <c r="BL69" i="25"/>
  <c r="BH69" i="25"/>
  <c r="BK69" i="25"/>
  <c r="K5" i="30"/>
  <c r="S61" i="25"/>
  <c r="S69" i="25" s="1"/>
  <c r="J61" i="25"/>
  <c r="J69" i="25" s="1"/>
  <c r="P61" i="25"/>
  <c r="P69" i="25" s="1"/>
  <c r="F5" i="30"/>
  <c r="BG25" i="25"/>
  <c r="BO25" i="25" s="1"/>
  <c r="BF61" i="25"/>
  <c r="AL61" i="25"/>
  <c r="BD74" i="25" s="1"/>
  <c r="M61" i="25"/>
  <c r="M69" i="25" s="1"/>
  <c r="Y61" i="25"/>
  <c r="Y69" i="25" s="1"/>
  <c r="D73" i="25" l="1"/>
  <c r="G73" i="25"/>
  <c r="J73" i="25" s="1"/>
  <c r="M73" i="25" s="1"/>
  <c r="P73" i="25" s="1"/>
  <c r="S73" i="25" s="1"/>
  <c r="V73" i="25" s="1"/>
  <c r="Y73" i="25" s="1"/>
  <c r="AB73" i="25" s="1"/>
  <c r="AE73" i="25" s="1"/>
  <c r="AH73" i="25" s="1"/>
  <c r="AK73" i="25" s="1"/>
  <c r="BF69" i="25"/>
  <c r="AL69" i="25"/>
  <c r="J5" i="30"/>
  <c r="BO61" i="25"/>
  <c r="BO73" i="25" s="1"/>
  <c r="BG61" i="25"/>
  <c r="I5" i="30"/>
  <c r="BO69" i="25" l="1"/>
  <c r="AL73" i="25"/>
  <c r="BG69" i="25"/>
  <c r="M5" i="30"/>
  <c r="BF74" i="25"/>
  <c r="BF75" i="25" s="1"/>
  <c r="L5" i="30"/>
  <c r="O5" i="30"/>
  <c r="H5" i="30"/>
  <c r="G5" i="30"/>
  <c r="B60" i="5" l="1"/>
  <c r="S19" i="2"/>
  <c r="J18" i="10" l="1"/>
  <c r="H11" i="2"/>
  <c r="F21" i="6"/>
  <c r="H30" i="2" l="1"/>
  <c r="K18" i="10"/>
  <c r="I11" i="2"/>
  <c r="T2" i="10"/>
  <c r="U2" i="10" s="1"/>
  <c r="CG71" i="26"/>
  <c r="CF71" i="26"/>
  <c r="CD71" i="26"/>
  <c r="CC71" i="26"/>
  <c r="CA71" i="26"/>
  <c r="BZ71" i="26"/>
  <c r="BX71" i="26"/>
  <c r="BW71" i="26"/>
  <c r="BU71" i="26"/>
  <c r="BT71" i="26"/>
  <c r="BR71" i="26"/>
  <c r="BQ71" i="26"/>
  <c r="BO71" i="26"/>
  <c r="BN71" i="26"/>
  <c r="BL71" i="26"/>
  <c r="BK71" i="26"/>
  <c r="BI71" i="26"/>
  <c r="BH71" i="26"/>
  <c r="BF71" i="26"/>
  <c r="BE71" i="26"/>
  <c r="BC71" i="26"/>
  <c r="BB71" i="26"/>
  <c r="AZ71" i="26"/>
  <c r="AY71" i="26"/>
  <c r="AL71" i="26"/>
  <c r="AI71" i="26"/>
  <c r="AF71" i="26"/>
  <c r="AC71" i="26"/>
  <c r="Z71" i="26"/>
  <c r="W71" i="26"/>
  <c r="T71" i="26"/>
  <c r="Q71" i="26"/>
  <c r="N71" i="26"/>
  <c r="K71" i="26"/>
  <c r="H71" i="26"/>
  <c r="E71" i="26"/>
  <c r="CH70" i="26"/>
  <c r="CI70" i="26" s="1"/>
  <c r="CH69" i="26"/>
  <c r="CH68" i="26"/>
  <c r="CH67" i="26"/>
  <c r="CH58" i="26"/>
  <c r="CH55" i="26"/>
  <c r="CH54" i="26"/>
  <c r="CH53" i="26"/>
  <c r="CH52" i="26"/>
  <c r="CH51" i="26"/>
  <c r="CH50" i="26"/>
  <c r="CH49" i="26"/>
  <c r="CH48" i="26"/>
  <c r="CH47" i="26"/>
  <c r="CH46" i="26"/>
  <c r="CH45" i="26"/>
  <c r="CH44" i="26"/>
  <c r="CH43" i="26"/>
  <c r="CH42" i="26"/>
  <c r="CH41" i="26"/>
  <c r="CH40" i="26"/>
  <c r="CH39" i="26"/>
  <c r="AQ39" i="26"/>
  <c r="AP39" i="26"/>
  <c r="AO39" i="26"/>
  <c r="AN39" i="26"/>
  <c r="CH38" i="26"/>
  <c r="AQ38" i="26"/>
  <c r="AP38" i="26"/>
  <c r="AO38" i="26"/>
  <c r="AN38" i="26"/>
  <c r="AM38" i="26"/>
  <c r="AJ38" i="26"/>
  <c r="AG38" i="26"/>
  <c r="AD38" i="26"/>
  <c r="AA38" i="26"/>
  <c r="X38" i="26"/>
  <c r="U38" i="26"/>
  <c r="R38" i="26"/>
  <c r="O38" i="26"/>
  <c r="L38" i="26"/>
  <c r="I38" i="26"/>
  <c r="F38" i="26"/>
  <c r="CH37" i="26"/>
  <c r="AQ37" i="26"/>
  <c r="AP37" i="26"/>
  <c r="AO37" i="26"/>
  <c r="AN37" i="26"/>
  <c r="AM37" i="26"/>
  <c r="AJ37" i="26"/>
  <c r="AG37" i="26"/>
  <c r="AD37" i="26"/>
  <c r="AA37" i="26"/>
  <c r="X37" i="26"/>
  <c r="U37" i="26"/>
  <c r="R37" i="26"/>
  <c r="I37" i="26"/>
  <c r="F37" i="26"/>
  <c r="CH36" i="26"/>
  <c r="AQ36" i="26"/>
  <c r="AP36" i="26"/>
  <c r="AO36" i="26"/>
  <c r="AN36" i="26"/>
  <c r="AM36" i="26"/>
  <c r="AJ36" i="26"/>
  <c r="AG36" i="26"/>
  <c r="AD36" i="26"/>
  <c r="AA36" i="26"/>
  <c r="X36" i="26"/>
  <c r="U36" i="26"/>
  <c r="R36" i="26"/>
  <c r="O36" i="26"/>
  <c r="L36" i="26"/>
  <c r="I36" i="26"/>
  <c r="F36" i="26"/>
  <c r="CH35" i="26"/>
  <c r="AP35" i="26"/>
  <c r="AO35" i="26"/>
  <c r="AN35" i="26"/>
  <c r="AK35" i="26"/>
  <c r="AH35" i="26"/>
  <c r="AJ35" i="26" s="1"/>
  <c r="AE35" i="26"/>
  <c r="AG35" i="26" s="1"/>
  <c r="AB35" i="26"/>
  <c r="AD35" i="26" s="1"/>
  <c r="Y35" i="26"/>
  <c r="AA35" i="26" s="1"/>
  <c r="V35" i="26"/>
  <c r="X35" i="26" s="1"/>
  <c r="S35" i="26"/>
  <c r="U35" i="26" s="1"/>
  <c r="P35" i="26"/>
  <c r="R35" i="26" s="1"/>
  <c r="M35" i="26"/>
  <c r="O35" i="26" s="1"/>
  <c r="J35" i="26"/>
  <c r="L35" i="26" s="1"/>
  <c r="G35" i="26"/>
  <c r="D35" i="26"/>
  <c r="F35" i="26" s="1"/>
  <c r="CH34" i="26"/>
  <c r="AQ34" i="26"/>
  <c r="AP34" i="26"/>
  <c r="AO34" i="26"/>
  <c r="AN34" i="26"/>
  <c r="AM34" i="26"/>
  <c r="AJ34" i="26"/>
  <c r="AG34" i="26"/>
  <c r="AD34" i="26"/>
  <c r="AA34" i="26"/>
  <c r="X34" i="26"/>
  <c r="U34" i="26"/>
  <c r="R34" i="26"/>
  <c r="O34" i="26"/>
  <c r="L34" i="26"/>
  <c r="I34" i="26"/>
  <c r="F34" i="26"/>
  <c r="CH33" i="26"/>
  <c r="AQ33" i="26"/>
  <c r="AP33" i="26"/>
  <c r="AO33" i="26"/>
  <c r="AN33" i="26"/>
  <c r="AM33" i="26"/>
  <c r="AJ33" i="26"/>
  <c r="AG33" i="26"/>
  <c r="AD33" i="26"/>
  <c r="AA33" i="26"/>
  <c r="X33" i="26"/>
  <c r="CH32" i="26"/>
  <c r="AQ32" i="26"/>
  <c r="AP32" i="26"/>
  <c r="AO32" i="26"/>
  <c r="AN32" i="26"/>
  <c r="AM32" i="26"/>
  <c r="AJ32" i="26"/>
  <c r="AG32" i="26"/>
  <c r="AD32" i="26"/>
  <c r="AA32" i="26"/>
  <c r="X32" i="26"/>
  <c r="U32" i="26"/>
  <c r="R32" i="26"/>
  <c r="O32" i="26"/>
  <c r="CH31" i="26"/>
  <c r="AQ31" i="26"/>
  <c r="AP31" i="26"/>
  <c r="AO31" i="26"/>
  <c r="AN31" i="26"/>
  <c r="AM31" i="26"/>
  <c r="AJ31" i="26"/>
  <c r="AG31" i="26"/>
  <c r="AD31" i="26"/>
  <c r="AA31" i="26"/>
  <c r="X31" i="26"/>
  <c r="L31" i="26"/>
  <c r="I31" i="26"/>
  <c r="F31" i="26"/>
  <c r="CH30" i="26"/>
  <c r="AQ30" i="26"/>
  <c r="AP30" i="26"/>
  <c r="AO30" i="26"/>
  <c r="AN30" i="26"/>
  <c r="X30" i="26"/>
  <c r="CH29" i="26"/>
  <c r="AQ29" i="26"/>
  <c r="AP29" i="26"/>
  <c r="AO29" i="26"/>
  <c r="AN29" i="26"/>
  <c r="AM29" i="26"/>
  <c r="AJ29" i="26"/>
  <c r="AG29" i="26"/>
  <c r="AD29" i="26"/>
  <c r="AA29" i="26"/>
  <c r="X29" i="26"/>
  <c r="U29" i="26"/>
  <c r="R29" i="26"/>
  <c r="O29" i="26"/>
  <c r="L29" i="26"/>
  <c r="I29" i="26"/>
  <c r="F29" i="26"/>
  <c r="CH28" i="26"/>
  <c r="AQ28" i="26"/>
  <c r="AP28" i="26"/>
  <c r="AO28" i="26"/>
  <c r="AN28" i="26"/>
  <c r="AM28" i="26"/>
  <c r="AJ28" i="26"/>
  <c r="AG28" i="26"/>
  <c r="AD28" i="26"/>
  <c r="AA28" i="26"/>
  <c r="X28" i="26"/>
  <c r="U28" i="26"/>
  <c r="R28" i="26"/>
  <c r="CH27" i="26"/>
  <c r="AQ27" i="26"/>
  <c r="AP27" i="26"/>
  <c r="AO27" i="26"/>
  <c r="AN27" i="26"/>
  <c r="AM27" i="26"/>
  <c r="AJ27" i="26"/>
  <c r="AG27" i="26"/>
  <c r="AD27" i="26"/>
  <c r="AA27" i="26"/>
  <c r="X27" i="26"/>
  <c r="U27" i="26"/>
  <c r="R27" i="26"/>
  <c r="O27" i="26"/>
  <c r="L27" i="26"/>
  <c r="I27" i="26"/>
  <c r="F27" i="26"/>
  <c r="CH26" i="26"/>
  <c r="AQ26" i="26"/>
  <c r="AP26" i="26"/>
  <c r="AO26" i="26"/>
  <c r="AN26" i="26"/>
  <c r="AM26" i="26"/>
  <c r="AJ26" i="26"/>
  <c r="AG26" i="26"/>
  <c r="AD26" i="26"/>
  <c r="AA26" i="26"/>
  <c r="X26" i="26"/>
  <c r="U26" i="26"/>
  <c r="R26" i="26"/>
  <c r="O26" i="26"/>
  <c r="L26" i="26"/>
  <c r="I26" i="26"/>
  <c r="F26" i="26"/>
  <c r="CH25" i="26"/>
  <c r="AP25" i="26"/>
  <c r="AO25" i="26"/>
  <c r="AN25" i="26"/>
  <c r="AK25" i="26"/>
  <c r="AM25" i="26" s="1"/>
  <c r="AH25" i="26"/>
  <c r="AJ25" i="26" s="1"/>
  <c r="AE25" i="26"/>
  <c r="AG25" i="26" s="1"/>
  <c r="AB25" i="26"/>
  <c r="AD25" i="26" s="1"/>
  <c r="Y25" i="26"/>
  <c r="AA25" i="26" s="1"/>
  <c r="V25" i="26"/>
  <c r="X25" i="26" s="1"/>
  <c r="S25" i="26"/>
  <c r="U25" i="26" s="1"/>
  <c r="P25" i="26"/>
  <c r="R25" i="26" s="1"/>
  <c r="M25" i="26"/>
  <c r="O25" i="26" s="1"/>
  <c r="J25" i="26"/>
  <c r="L25" i="26" s="1"/>
  <c r="G25" i="26"/>
  <c r="I25" i="26" s="1"/>
  <c r="D25" i="26"/>
  <c r="F25" i="26" s="1"/>
  <c r="CH24" i="26"/>
  <c r="AQ24" i="26"/>
  <c r="AP24" i="26"/>
  <c r="AO24" i="26"/>
  <c r="AN24" i="26"/>
  <c r="O24" i="26"/>
  <c r="CH23" i="26"/>
  <c r="AQ23" i="26"/>
  <c r="AP23" i="26"/>
  <c r="AO23" i="26"/>
  <c r="AN23" i="26"/>
  <c r="AM23" i="26"/>
  <c r="AJ23" i="26"/>
  <c r="AG23" i="26"/>
  <c r="AD23" i="26"/>
  <c r="AA23" i="26"/>
  <c r="X23" i="26"/>
  <c r="U23" i="26"/>
  <c r="R23" i="26"/>
  <c r="O23" i="26"/>
  <c r="L23" i="26"/>
  <c r="I23" i="26"/>
  <c r="F23" i="26"/>
  <c r="CH22" i="26"/>
  <c r="AQ22" i="26"/>
  <c r="AP22" i="26"/>
  <c r="AO22" i="26"/>
  <c r="AN22" i="26"/>
  <c r="CH21" i="26"/>
  <c r="AQ21" i="26"/>
  <c r="AP21" i="26"/>
  <c r="AO21" i="26"/>
  <c r="AN21" i="26"/>
  <c r="AM21" i="26"/>
  <c r="AJ21" i="26"/>
  <c r="AG21" i="26"/>
  <c r="AD21" i="26"/>
  <c r="AA21" i="26"/>
  <c r="X21" i="26"/>
  <c r="U21" i="26"/>
  <c r="R21" i="26"/>
  <c r="O21" i="26"/>
  <c r="L21" i="26"/>
  <c r="I21" i="26"/>
  <c r="F21" i="26"/>
  <c r="CH20" i="26"/>
  <c r="AQ20" i="26"/>
  <c r="AP20" i="26"/>
  <c r="AO20" i="26"/>
  <c r="AN20" i="26"/>
  <c r="AM20" i="26"/>
  <c r="AJ20" i="26"/>
  <c r="AG20" i="26"/>
  <c r="AD20" i="26"/>
  <c r="AA20" i="26"/>
  <c r="X20" i="26"/>
  <c r="U20" i="26"/>
  <c r="R20" i="26"/>
  <c r="O20" i="26"/>
  <c r="L20" i="26"/>
  <c r="I20" i="26"/>
  <c r="F20" i="26"/>
  <c r="CH19" i="26"/>
  <c r="AQ19" i="26"/>
  <c r="AP19" i="26"/>
  <c r="AO19" i="26"/>
  <c r="AN19" i="26"/>
  <c r="AM19" i="26"/>
  <c r="AJ19" i="26"/>
  <c r="AG19" i="26"/>
  <c r="AD19" i="26"/>
  <c r="AA19" i="26"/>
  <c r="X19" i="26"/>
  <c r="U19" i="26"/>
  <c r="R19" i="26"/>
  <c r="O19" i="26"/>
  <c r="L19" i="26"/>
  <c r="I19" i="26"/>
  <c r="F19" i="26"/>
  <c r="CH18" i="26"/>
  <c r="AQ18" i="26"/>
  <c r="AP18" i="26"/>
  <c r="AO18" i="26"/>
  <c r="AN18" i="26"/>
  <c r="AM18" i="26"/>
  <c r="AJ18" i="26"/>
  <c r="AG18" i="26"/>
  <c r="AD18" i="26"/>
  <c r="AA18" i="26"/>
  <c r="X18" i="26"/>
  <c r="U18" i="26"/>
  <c r="R18" i="26"/>
  <c r="O18" i="26"/>
  <c r="L18" i="26"/>
  <c r="I18" i="26"/>
  <c r="F18" i="26"/>
  <c r="CH17" i="26"/>
  <c r="AQ17" i="26"/>
  <c r="AP17" i="26"/>
  <c r="AO17" i="26"/>
  <c r="AN17" i="26"/>
  <c r="AM17" i="26"/>
  <c r="AJ17" i="26"/>
  <c r="AG17" i="26"/>
  <c r="AD17" i="26"/>
  <c r="AA17" i="26"/>
  <c r="X17" i="26"/>
  <c r="U17" i="26"/>
  <c r="R17" i="26"/>
  <c r="O17" i="26"/>
  <c r="L17" i="26"/>
  <c r="I17" i="26"/>
  <c r="F17" i="26"/>
  <c r="CH16" i="26"/>
  <c r="AQ16" i="26"/>
  <c r="AP16" i="26"/>
  <c r="AO16" i="26"/>
  <c r="AN16" i="26"/>
  <c r="AM16" i="26"/>
  <c r="AJ16" i="26"/>
  <c r="AG16" i="26"/>
  <c r="AD16" i="26"/>
  <c r="AA16" i="26"/>
  <c r="X16" i="26"/>
  <c r="U16" i="26"/>
  <c r="R16" i="26"/>
  <c r="O16" i="26"/>
  <c r="L16" i="26"/>
  <c r="I16" i="26"/>
  <c r="F16" i="26"/>
  <c r="CH15" i="26"/>
  <c r="AQ15" i="26"/>
  <c r="AP15" i="26"/>
  <c r="AO15" i="26"/>
  <c r="AN15" i="26"/>
  <c r="AM15" i="26"/>
  <c r="AJ15" i="26"/>
  <c r="AG15" i="26"/>
  <c r="AD15" i="26"/>
  <c r="AA15" i="26"/>
  <c r="X15" i="26"/>
  <c r="U15" i="26"/>
  <c r="R15" i="26"/>
  <c r="O15" i="26"/>
  <c r="L15" i="26"/>
  <c r="I15" i="26"/>
  <c r="F15" i="26"/>
  <c r="CH14" i="26"/>
  <c r="CE13" i="26"/>
  <c r="CE71" i="26" s="1"/>
  <c r="CB13" i="26"/>
  <c r="CB71" i="26" s="1"/>
  <c r="BY13" i="26"/>
  <c r="BY71" i="26" s="1"/>
  <c r="BV13" i="26"/>
  <c r="BV71" i="26" s="1"/>
  <c r="BS13" i="26"/>
  <c r="BS71" i="26" s="1"/>
  <c r="BP13" i="26"/>
  <c r="BP71" i="26" s="1"/>
  <c r="BM13" i="26"/>
  <c r="BM71" i="26" s="1"/>
  <c r="BJ13" i="26"/>
  <c r="BJ71" i="26" s="1"/>
  <c r="BG13" i="26"/>
  <c r="BG71" i="26" s="1"/>
  <c r="BD13" i="26"/>
  <c r="BD71" i="26" s="1"/>
  <c r="BA13" i="26"/>
  <c r="BA71" i="26" s="1"/>
  <c r="E3" i="30" s="1"/>
  <c r="AX13" i="26"/>
  <c r="AX71" i="26" s="1"/>
  <c r="AP13" i="26"/>
  <c r="AO13" i="26"/>
  <c r="AN13" i="26"/>
  <c r="AK13" i="26"/>
  <c r="AM13" i="26" s="1"/>
  <c r="AH13" i="26"/>
  <c r="AE13" i="26"/>
  <c r="AG13" i="26" s="1"/>
  <c r="AB13" i="26"/>
  <c r="AD13" i="26" s="1"/>
  <c r="Y13" i="26"/>
  <c r="AA13" i="26" s="1"/>
  <c r="V13" i="26"/>
  <c r="X13" i="26" s="1"/>
  <c r="S13" i="26"/>
  <c r="P13" i="26"/>
  <c r="M13" i="26"/>
  <c r="O13" i="26" s="1"/>
  <c r="J13" i="26"/>
  <c r="G13" i="26"/>
  <c r="D13" i="26"/>
  <c r="F13" i="26" s="1"/>
  <c r="CH12" i="26"/>
  <c r="AQ12" i="26"/>
  <c r="AP12" i="26"/>
  <c r="AO12" i="26"/>
  <c r="AN12" i="26"/>
  <c r="AM12" i="26"/>
  <c r="AJ12" i="26"/>
  <c r="AG12" i="26"/>
  <c r="AD12" i="26"/>
  <c r="AA12" i="26"/>
  <c r="X12" i="26"/>
  <c r="U12" i="26"/>
  <c r="R12" i="26"/>
  <c r="O12" i="26"/>
  <c r="L12" i="26"/>
  <c r="I12" i="26"/>
  <c r="F12" i="26"/>
  <c r="CH11" i="26"/>
  <c r="L11" i="26"/>
  <c r="CH10" i="26"/>
  <c r="AQ10" i="26"/>
  <c r="AP10" i="26"/>
  <c r="AO10" i="26"/>
  <c r="AN10" i="26"/>
  <c r="AM10" i="26"/>
  <c r="AJ10" i="26"/>
  <c r="AG10" i="26"/>
  <c r="AD10" i="26"/>
  <c r="AA10" i="26"/>
  <c r="X10" i="26"/>
  <c r="U10" i="26"/>
  <c r="R10" i="26"/>
  <c r="O10" i="26"/>
  <c r="L10" i="26"/>
  <c r="I10" i="26"/>
  <c r="F10" i="26"/>
  <c r="CH9" i="26"/>
  <c r="AP9" i="26"/>
  <c r="AO9" i="26"/>
  <c r="AN9" i="26"/>
  <c r="AM9" i="26"/>
  <c r="AJ9" i="26"/>
  <c r="AE9" i="26"/>
  <c r="AD9" i="26"/>
  <c r="AA9" i="26"/>
  <c r="V9" i="26"/>
  <c r="X9" i="26" s="1"/>
  <c r="U9" i="26"/>
  <c r="R9" i="26"/>
  <c r="M9" i="26"/>
  <c r="O9" i="26" s="1"/>
  <c r="L9" i="26"/>
  <c r="I9" i="26"/>
  <c r="D9" i="26"/>
  <c r="CH8" i="26"/>
  <c r="AQ8" i="26"/>
  <c r="AP8" i="26"/>
  <c r="AO8" i="26"/>
  <c r="AN8" i="26"/>
  <c r="AM8" i="26"/>
  <c r="AJ8" i="26"/>
  <c r="AG8" i="26"/>
  <c r="AD8" i="26"/>
  <c r="AA8" i="26"/>
  <c r="X8" i="26"/>
  <c r="U8" i="26"/>
  <c r="R8" i="26"/>
  <c r="O8" i="26"/>
  <c r="L8" i="26"/>
  <c r="I8" i="26"/>
  <c r="F8" i="26"/>
  <c r="CH7" i="26"/>
  <c r="AQ7" i="26"/>
  <c r="AP7" i="26"/>
  <c r="AO7" i="26"/>
  <c r="AN7" i="26"/>
  <c r="AM7" i="26"/>
  <c r="AJ7" i="26"/>
  <c r="AG7" i="26"/>
  <c r="AD7" i="26"/>
  <c r="AA7" i="26"/>
  <c r="X7" i="26"/>
  <c r="U7" i="26"/>
  <c r="R7" i="26"/>
  <c r="O7" i="26"/>
  <c r="L7" i="26"/>
  <c r="I7" i="26"/>
  <c r="F7" i="26"/>
  <c r="CH6" i="26"/>
  <c r="AQ6" i="26"/>
  <c r="AP6" i="26"/>
  <c r="AO6" i="26"/>
  <c r="AN6" i="26"/>
  <c r="AM6" i="26"/>
  <c r="AJ6" i="26"/>
  <c r="AG6" i="26"/>
  <c r="AD6" i="26"/>
  <c r="AA6" i="26"/>
  <c r="X6" i="26"/>
  <c r="U6" i="26"/>
  <c r="R6" i="26"/>
  <c r="O6" i="26"/>
  <c r="L6" i="26"/>
  <c r="I6" i="26"/>
  <c r="F6" i="26"/>
  <c r="CH5" i="26"/>
  <c r="AQ5" i="26"/>
  <c r="AP5" i="26"/>
  <c r="AO5" i="26"/>
  <c r="AN5" i="26"/>
  <c r="AM5" i="26"/>
  <c r="AJ5" i="26"/>
  <c r="AG5" i="26"/>
  <c r="AD5" i="26"/>
  <c r="AA5" i="26"/>
  <c r="X5" i="26"/>
  <c r="U5" i="26"/>
  <c r="R5" i="26"/>
  <c r="O5" i="26"/>
  <c r="L5" i="26"/>
  <c r="I5" i="26"/>
  <c r="F5" i="26"/>
  <c r="AQ4" i="26"/>
  <c r="AP4" i="26"/>
  <c r="AO4" i="26"/>
  <c r="AN4" i="26"/>
  <c r="AM4" i="26"/>
  <c r="AJ4" i="26"/>
  <c r="AG4" i="26"/>
  <c r="AD4" i="26"/>
  <c r="AA4" i="26"/>
  <c r="X4" i="26"/>
  <c r="I30" i="2" l="1"/>
  <c r="AH71" i="26"/>
  <c r="AR39" i="26"/>
  <c r="J71" i="26"/>
  <c r="P71" i="26"/>
  <c r="AR38" i="26"/>
  <c r="AB71" i="26"/>
  <c r="G71" i="26"/>
  <c r="S71" i="26"/>
  <c r="AR21" i="26"/>
  <c r="AR28" i="26"/>
  <c r="AR18" i="26"/>
  <c r="AR8" i="26"/>
  <c r="AR10" i="26"/>
  <c r="AR15" i="26"/>
  <c r="D71" i="26"/>
  <c r="AR12" i="26"/>
  <c r="AR34" i="26"/>
  <c r="AR37" i="26"/>
  <c r="AE71" i="26"/>
  <c r="AR5" i="26"/>
  <c r="AR31" i="26"/>
  <c r="AR33" i="26"/>
  <c r="AR6" i="26"/>
  <c r="AR7" i="26"/>
  <c r="AR30" i="26"/>
  <c r="AR19" i="26"/>
  <c r="AR22" i="26"/>
  <c r="AR29" i="26"/>
  <c r="AR26" i="26"/>
  <c r="AG9" i="26"/>
  <c r="AG71" i="26" s="1"/>
  <c r="AR36" i="26"/>
  <c r="R13" i="26"/>
  <c r="R71" i="26" s="1"/>
  <c r="AR16" i="26"/>
  <c r="AR27" i="26"/>
  <c r="AD71" i="26"/>
  <c r="AR17" i="26"/>
  <c r="AR24" i="26"/>
  <c r="AR32" i="26"/>
  <c r="AP71" i="26"/>
  <c r="AK71" i="26"/>
  <c r="AN71" i="26"/>
  <c r="AQ9" i="26"/>
  <c r="AR9" i="26" s="1"/>
  <c r="AR23" i="26"/>
  <c r="AQ35" i="26"/>
  <c r="AR35" i="26" s="1"/>
  <c r="AO71" i="26"/>
  <c r="AK74" i="26" s="1"/>
  <c r="AR20" i="26"/>
  <c r="AQ25" i="26"/>
  <c r="AR25" i="26" s="1"/>
  <c r="J11" i="2"/>
  <c r="L18" i="10"/>
  <c r="K24" i="10"/>
  <c r="X71" i="26"/>
  <c r="AA71" i="26"/>
  <c r="O71" i="26"/>
  <c r="M71" i="26"/>
  <c r="AR4" i="26"/>
  <c r="I13" i="26"/>
  <c r="I71" i="26" s="1"/>
  <c r="U13" i="26"/>
  <c r="U71" i="26" s="1"/>
  <c r="AQ13" i="26"/>
  <c r="AM35" i="26"/>
  <c r="AM71" i="26" s="1"/>
  <c r="V71" i="26"/>
  <c r="CH13" i="26"/>
  <c r="CH71" i="26" s="1"/>
  <c r="CH72" i="26" s="1"/>
  <c r="F9" i="26"/>
  <c r="F71" i="26" s="1"/>
  <c r="L13" i="26"/>
  <c r="L71" i="26" s="1"/>
  <c r="AJ13" i="26"/>
  <c r="AJ71" i="26" s="1"/>
  <c r="Y71" i="26"/>
  <c r="J30" i="2" l="1"/>
  <c r="K72" i="17"/>
  <c r="AQ71" i="26"/>
  <c r="AK75" i="26" s="1"/>
  <c r="AR13" i="26"/>
  <c r="AR71" i="26" s="1"/>
  <c r="D3" i="30"/>
  <c r="S7" i="2"/>
  <c r="M18" i="10"/>
  <c r="K11" i="2"/>
  <c r="B14" i="24"/>
  <c r="B10" i="24"/>
  <c r="B6" i="24"/>
  <c r="K30" i="2" l="1"/>
  <c r="DM72" i="26"/>
  <c r="N18" i="10"/>
  <c r="L11" i="2"/>
  <c r="B11" i="24"/>
  <c r="L30" i="2" l="1"/>
  <c r="O18" i="10"/>
  <c r="M11" i="2"/>
  <c r="B12" i="24"/>
  <c r="B15" i="24"/>
  <c r="B16" i="24" s="1"/>
  <c r="M30" i="2" l="1"/>
  <c r="P18" i="10"/>
  <c r="N11" i="2"/>
  <c r="D58" i="2"/>
  <c r="D79" i="10"/>
  <c r="D80" i="10"/>
  <c r="B49" i="10"/>
  <c r="C49" i="10"/>
  <c r="N30" i="2" l="1"/>
  <c r="Q18" i="10"/>
  <c r="O11" i="2"/>
  <c r="G7" i="11"/>
  <c r="G4" i="11"/>
  <c r="G5" i="11"/>
  <c r="G8" i="11"/>
  <c r="G9" i="11"/>
  <c r="G6" i="11"/>
  <c r="G3" i="11"/>
  <c r="O30" i="2" l="1"/>
  <c r="R18" i="10"/>
  <c r="P11" i="2"/>
  <c r="I3" i="30"/>
  <c r="F3" i="30"/>
  <c r="K3" i="30"/>
  <c r="J3" i="30"/>
  <c r="H3" i="30"/>
  <c r="G3" i="30"/>
  <c r="N3" i="30"/>
  <c r="M3" i="30"/>
  <c r="L3" i="30"/>
  <c r="O3" i="30"/>
  <c r="T3" i="17"/>
  <c r="P30" i="2" l="1"/>
  <c r="S18" i="10"/>
  <c r="Q11" i="2"/>
  <c r="P3" i="30"/>
  <c r="Q30" i="2" l="1"/>
  <c r="R11" i="2"/>
  <c r="R3" i="30"/>
  <c r="Q3" i="30"/>
  <c r="T19" i="10"/>
  <c r="R11" i="5"/>
  <c r="R30" i="2" l="1"/>
  <c r="S11" i="2"/>
  <c r="T16" i="10"/>
  <c r="T17" i="10"/>
  <c r="T23" i="10"/>
  <c r="R16" i="5"/>
  <c r="S3" i="2"/>
  <c r="S15" i="2"/>
  <c r="S12" i="2"/>
  <c r="B32" i="5"/>
  <c r="B61" i="5" s="1"/>
  <c r="C81" i="10"/>
  <c r="B81" i="10"/>
  <c r="D78" i="10"/>
  <c r="D77" i="10"/>
  <c r="D76" i="10"/>
  <c r="D75" i="10"/>
  <c r="D74" i="10"/>
  <c r="D73" i="10"/>
  <c r="D72" i="10"/>
  <c r="D71" i="10"/>
  <c r="D70" i="10"/>
  <c r="D69" i="10"/>
  <c r="D68" i="10"/>
  <c r="D67" i="10"/>
  <c r="D66" i="10"/>
  <c r="D65" i="10"/>
  <c r="D64" i="10"/>
  <c r="D63" i="10"/>
  <c r="D62" i="10"/>
  <c r="D61" i="10"/>
  <c r="D60" i="10"/>
  <c r="D59" i="10"/>
  <c r="D58" i="10"/>
  <c r="D57" i="10"/>
  <c r="D56" i="10"/>
  <c r="D55" i="10"/>
  <c r="D54" i="10"/>
  <c r="D53" i="10"/>
  <c r="D52" i="10"/>
  <c r="D51" i="10"/>
  <c r="D50" i="10"/>
  <c r="D48" i="10"/>
  <c r="D46" i="10"/>
  <c r="D45" i="10"/>
  <c r="D44" i="10"/>
  <c r="D43" i="10"/>
  <c r="D42" i="10"/>
  <c r="D41" i="10"/>
  <c r="D40" i="10"/>
  <c r="D39" i="10"/>
  <c r="D38" i="10"/>
  <c r="D37" i="10"/>
  <c r="D36" i="10"/>
  <c r="D35" i="10"/>
  <c r="D34" i="10"/>
  <c r="D33" i="10"/>
  <c r="D32" i="10"/>
  <c r="D31" i="10"/>
  <c r="D30" i="10"/>
  <c r="D28" i="10"/>
  <c r="D27" i="10"/>
  <c r="D26" i="10"/>
  <c r="D25" i="10"/>
  <c r="D24" i="10"/>
  <c r="D23" i="10"/>
  <c r="D9" i="10"/>
  <c r="D19" i="10"/>
  <c r="D18" i="10"/>
  <c r="D17" i="10"/>
  <c r="D16" i="10"/>
  <c r="D15" i="10"/>
  <c r="D11" i="10"/>
  <c r="D6" i="10"/>
  <c r="D4" i="10"/>
  <c r="D3" i="10"/>
  <c r="C64" i="2"/>
  <c r="B64" i="2"/>
  <c r="C33" i="2"/>
  <c r="B33" i="2"/>
  <c r="D3" i="2"/>
  <c r="D4" i="2"/>
  <c r="D7" i="2"/>
  <c r="D10" i="2"/>
  <c r="D11" i="2"/>
  <c r="D12" i="2"/>
  <c r="D13" i="2"/>
  <c r="D14" i="2"/>
  <c r="D5" i="2"/>
  <c r="D15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9" i="2"/>
  <c r="D60" i="2"/>
  <c r="D61" i="2"/>
  <c r="D62" i="2"/>
  <c r="D63" i="2"/>
  <c r="O13" i="2"/>
  <c r="F18" i="5" l="1"/>
  <c r="N13" i="2"/>
  <c r="M13" i="2"/>
  <c r="L13" i="2"/>
  <c r="K13" i="2"/>
  <c r="R13" i="2"/>
  <c r="J13" i="2"/>
  <c r="Q13" i="2"/>
  <c r="I13" i="2"/>
  <c r="P13" i="2"/>
  <c r="H13" i="2"/>
  <c r="C82" i="10"/>
  <c r="B82" i="10"/>
  <c r="D49" i="10"/>
  <c r="D81" i="10"/>
  <c r="G77" i="10" s="1"/>
  <c r="C65" i="2"/>
  <c r="D64" i="2"/>
  <c r="B65" i="2"/>
  <c r="D33" i="2"/>
  <c r="H31" i="2" l="1"/>
  <c r="F23" i="5"/>
  <c r="G14" i="5"/>
  <c r="G18" i="5"/>
  <c r="S13" i="2"/>
  <c r="D65" i="2"/>
  <c r="D82" i="10"/>
  <c r="H18" i="5" l="1"/>
  <c r="I18" i="5" s="1"/>
  <c r="J18" i="5" s="1"/>
  <c r="K18" i="5" s="1"/>
  <c r="L18" i="5" s="1"/>
  <c r="M18" i="5" s="1"/>
  <c r="N18" i="5" s="1"/>
  <c r="O18" i="5" s="1"/>
  <c r="P18" i="5" s="1"/>
  <c r="Q18" i="5" s="1"/>
  <c r="G23" i="5"/>
  <c r="G38" i="5"/>
  <c r="H71" i="17"/>
  <c r="H82" i="17"/>
  <c r="F30" i="5"/>
  <c r="G24" i="5"/>
  <c r="R18" i="5" l="1"/>
  <c r="N4" i="2"/>
  <c r="M4" i="2"/>
  <c r="R4" i="2"/>
  <c r="Q4" i="2"/>
  <c r="O4" i="2"/>
  <c r="P4" i="2"/>
  <c r="L4" i="2"/>
  <c r="K4" i="2"/>
  <c r="I4" i="2"/>
  <c r="J4" i="2"/>
  <c r="G4" i="2"/>
  <c r="G21" i="2" s="1"/>
  <c r="G22" i="2" s="1"/>
  <c r="S2" i="2"/>
  <c r="T2" i="2" s="1"/>
  <c r="V3" i="17" l="1"/>
  <c r="P58" i="15"/>
  <c r="H50" i="17"/>
  <c r="S4" i="2"/>
  <c r="T50" i="17" l="1"/>
  <c r="U50" i="17" s="1"/>
  <c r="I3" i="10"/>
  <c r="H3" i="10"/>
  <c r="M3" i="10"/>
  <c r="L3" i="10"/>
  <c r="K3" i="10"/>
  <c r="J3" i="10"/>
  <c r="H25" i="10" l="1"/>
  <c r="H26" i="10" s="1"/>
  <c r="I33" i="10"/>
  <c r="J33" i="10"/>
  <c r="K33" i="10"/>
  <c r="L33" i="10"/>
  <c r="M33" i="10"/>
  <c r="N33" i="10"/>
  <c r="O33" i="10"/>
  <c r="P33" i="10"/>
  <c r="Q33" i="10"/>
  <c r="R33" i="10"/>
  <c r="S33" i="10"/>
  <c r="J31" i="2"/>
  <c r="I31" i="2"/>
  <c r="O31" i="2"/>
  <c r="R31" i="2"/>
  <c r="N31" i="2"/>
  <c r="K31" i="2"/>
  <c r="L31" i="2"/>
  <c r="M31" i="2"/>
  <c r="Q31" i="2"/>
  <c r="P31" i="2"/>
  <c r="I38" i="5"/>
  <c r="H38" i="5"/>
  <c r="J4" i="17"/>
  <c r="F4" i="30" s="1"/>
  <c r="F6" i="30" s="1"/>
  <c r="K4" i="17"/>
  <c r="K6" i="17" s="1"/>
  <c r="L4" i="17"/>
  <c r="H6" i="24" s="1"/>
  <c r="M4" i="17"/>
  <c r="M6" i="17" s="1"/>
  <c r="P38" i="5"/>
  <c r="O38" i="5"/>
  <c r="Q38" i="5"/>
  <c r="L38" i="5"/>
  <c r="N38" i="5"/>
  <c r="J38" i="5"/>
  <c r="K38" i="5"/>
  <c r="M38" i="5"/>
  <c r="I4" i="17"/>
  <c r="E4" i="30" s="1"/>
  <c r="E6" i="30" s="1"/>
  <c r="G6" i="24"/>
  <c r="F6" i="24"/>
  <c r="H4" i="17"/>
  <c r="J6" i="17" l="1"/>
  <c r="G4" i="30"/>
  <c r="G6" i="30" s="1"/>
  <c r="H4" i="30"/>
  <c r="H6" i="30" s="1"/>
  <c r="L6" i="17"/>
  <c r="I6" i="24"/>
  <c r="I4" i="30"/>
  <c r="I6" i="30" s="1"/>
  <c r="E6" i="24"/>
  <c r="I6" i="17"/>
  <c r="D4" i="30"/>
  <c r="C10" i="11"/>
  <c r="C11" i="11" s="1"/>
  <c r="T63" i="17" l="1"/>
  <c r="P74" i="15"/>
  <c r="P64" i="15"/>
  <c r="G116" i="15"/>
  <c r="G117" i="15" s="1"/>
  <c r="U63" i="17" l="1"/>
  <c r="H59" i="17"/>
  <c r="P68" i="15"/>
  <c r="T62" i="17"/>
  <c r="P73" i="15"/>
  <c r="H68" i="17" l="1"/>
  <c r="H69" i="17" s="1"/>
  <c r="H73" i="17"/>
  <c r="U62" i="17"/>
  <c r="D13" i="24" l="1"/>
  <c r="T18" i="10"/>
  <c r="P15" i="10"/>
  <c r="N15" i="10"/>
  <c r="O15" i="10"/>
  <c r="Q15" i="10"/>
  <c r="R15" i="10"/>
  <c r="K15" i="10"/>
  <c r="L15" i="10"/>
  <c r="D10" i="11"/>
  <c r="D11" i="11" s="1"/>
  <c r="E10" i="11"/>
  <c r="E11" i="11" s="1"/>
  <c r="L25" i="10" l="1"/>
  <c r="K25" i="10"/>
  <c r="J15" i="10"/>
  <c r="M15" i="10"/>
  <c r="G10" i="11"/>
  <c r="G11" i="11" s="1"/>
  <c r="F10" i="11"/>
  <c r="F11" i="11" s="1"/>
  <c r="M25" i="10" l="1"/>
  <c r="J25" i="10"/>
  <c r="I15" i="10"/>
  <c r="I25" i="10" s="1"/>
  <c r="M11" i="17"/>
  <c r="L11" i="17"/>
  <c r="P11" i="17"/>
  <c r="O11" i="17"/>
  <c r="J11" i="17"/>
  <c r="S11" i="17"/>
  <c r="R11" i="17"/>
  <c r="Q11" i="17"/>
  <c r="K11" i="17"/>
  <c r="T9" i="10"/>
  <c r="N11" i="17"/>
  <c r="L8" i="41" s="1"/>
  <c r="T6" i="10"/>
  <c r="R3" i="10"/>
  <c r="P3" i="10"/>
  <c r="O3" i="10"/>
  <c r="N3" i="10"/>
  <c r="H8" i="24" l="1"/>
  <c r="J8" i="41"/>
  <c r="L8" i="24"/>
  <c r="N8" i="41"/>
  <c r="I8" i="24"/>
  <c r="K8" i="41"/>
  <c r="N8" i="24"/>
  <c r="P8" i="41"/>
  <c r="F8" i="24"/>
  <c r="H8" i="41"/>
  <c r="K8" i="24"/>
  <c r="M8" i="41"/>
  <c r="G8" i="24"/>
  <c r="I8" i="41"/>
  <c r="M8" i="24"/>
  <c r="O8" i="41"/>
  <c r="O8" i="24"/>
  <c r="Q8" i="41"/>
  <c r="I11" i="17"/>
  <c r="T15" i="10"/>
  <c r="R25" i="10"/>
  <c r="R4" i="17"/>
  <c r="P25" i="10"/>
  <c r="P4" i="17"/>
  <c r="O25" i="10"/>
  <c r="O4" i="17"/>
  <c r="N25" i="10"/>
  <c r="N4" i="17"/>
  <c r="J8" i="30"/>
  <c r="J8" i="24"/>
  <c r="AG58" i="28"/>
  <c r="AG65" i="28" s="1"/>
  <c r="AR58" i="28"/>
  <c r="F8" i="30"/>
  <c r="M8" i="30"/>
  <c r="O8" i="30"/>
  <c r="N8" i="30"/>
  <c r="K8" i="30"/>
  <c r="L8" i="30"/>
  <c r="H8" i="30"/>
  <c r="G8" i="30"/>
  <c r="I8" i="30"/>
  <c r="S24" i="10"/>
  <c r="M24" i="10"/>
  <c r="O24" i="10"/>
  <c r="L24" i="10"/>
  <c r="J24" i="10"/>
  <c r="N24" i="10"/>
  <c r="R24" i="10"/>
  <c r="P24" i="10"/>
  <c r="Q24" i="10"/>
  <c r="Q3" i="10"/>
  <c r="S3" i="10"/>
  <c r="E8" i="30" l="1"/>
  <c r="P8" i="30" s="1"/>
  <c r="G8" i="41"/>
  <c r="R8" i="41" s="1"/>
  <c r="T24" i="10"/>
  <c r="T35" i="10" s="1"/>
  <c r="L72" i="17"/>
  <c r="L36" i="10"/>
  <c r="L37" i="10" s="1"/>
  <c r="L35" i="10"/>
  <c r="M36" i="10"/>
  <c r="M37" i="10" s="1"/>
  <c r="M35" i="10"/>
  <c r="S36" i="10"/>
  <c r="S37" i="10" s="1"/>
  <c r="S35" i="10"/>
  <c r="R36" i="10"/>
  <c r="R37" i="10" s="1"/>
  <c r="R35" i="10"/>
  <c r="O36" i="10"/>
  <c r="O37" i="10" s="1"/>
  <c r="O35" i="10"/>
  <c r="Q36" i="10"/>
  <c r="Q37" i="10" s="1"/>
  <c r="Q35" i="10"/>
  <c r="P36" i="10"/>
  <c r="P37" i="10" s="1"/>
  <c r="P35" i="10"/>
  <c r="N36" i="10"/>
  <c r="N37" i="10" s="1"/>
  <c r="N35" i="10"/>
  <c r="O72" i="17"/>
  <c r="M72" i="17"/>
  <c r="Q72" i="17"/>
  <c r="I72" i="17"/>
  <c r="P72" i="17"/>
  <c r="R72" i="17"/>
  <c r="N72" i="17"/>
  <c r="S72" i="17"/>
  <c r="J72" i="17"/>
  <c r="E8" i="24"/>
  <c r="P8" i="24" s="1"/>
  <c r="T11" i="17"/>
  <c r="U11" i="17" s="1"/>
  <c r="S25" i="10"/>
  <c r="S4" i="17"/>
  <c r="N6" i="24"/>
  <c r="N4" i="30"/>
  <c r="N6" i="30" s="1"/>
  <c r="R6" i="17"/>
  <c r="Q25" i="10"/>
  <c r="Q4" i="17"/>
  <c r="L6" i="24"/>
  <c r="L4" i="30"/>
  <c r="L6" i="30" s="1"/>
  <c r="P6" i="17"/>
  <c r="K6" i="24"/>
  <c r="K4" i="30"/>
  <c r="K6" i="30" s="1"/>
  <c r="O6" i="17"/>
  <c r="J6" i="24"/>
  <c r="J4" i="30"/>
  <c r="AR60" i="28"/>
  <c r="AR65" i="28"/>
  <c r="U15" i="10" s="1"/>
  <c r="V11" i="17"/>
  <c r="AG60" i="28"/>
  <c r="AG66" i="28" s="1"/>
  <c r="AG67" i="28" s="1"/>
  <c r="M26" i="10"/>
  <c r="T3" i="10"/>
  <c r="T25" i="10" l="1"/>
  <c r="T26" i="10" s="1"/>
  <c r="S8" i="41"/>
  <c r="T8" i="41"/>
  <c r="U8" i="41"/>
  <c r="V8" i="41"/>
  <c r="T8" i="24"/>
  <c r="S8" i="24"/>
  <c r="AS65" i="28"/>
  <c r="T4" i="17"/>
  <c r="T72" i="17"/>
  <c r="R8" i="24"/>
  <c r="AR66" i="28"/>
  <c r="AR67" i="28" s="1"/>
  <c r="AR61" i="28"/>
  <c r="O6" i="24"/>
  <c r="O4" i="30"/>
  <c r="O6" i="30" s="1"/>
  <c r="S6" i="17"/>
  <c r="M6" i="24"/>
  <c r="M4" i="30"/>
  <c r="M6" i="30" s="1"/>
  <c r="Q6" i="17"/>
  <c r="J6" i="30"/>
  <c r="AG61" i="28"/>
  <c r="R8" i="30"/>
  <c r="Q8" i="30"/>
  <c r="S26" i="10"/>
  <c r="I26" i="10"/>
  <c r="O26" i="10"/>
  <c r="L26" i="10"/>
  <c r="J26" i="10"/>
  <c r="P26" i="10"/>
  <c r="R26" i="10"/>
  <c r="Q26" i="10"/>
  <c r="K26" i="10"/>
  <c r="N26" i="10"/>
  <c r="V4" i="17" l="1"/>
  <c r="R4" i="24"/>
  <c r="AS66" i="28"/>
  <c r="Q8" i="24"/>
  <c r="P4" i="30"/>
  <c r="R4" i="30" s="1"/>
  <c r="N6" i="17"/>
  <c r="Q4" i="24" l="1"/>
  <c r="Q4" i="30"/>
  <c r="Q23" i="5"/>
  <c r="S71" i="17" l="1"/>
  <c r="K23" i="5"/>
  <c r="R17" i="5"/>
  <c r="M71" i="17" l="1"/>
  <c r="G21" i="6"/>
  <c r="L14" i="5" l="1"/>
  <c r="K14" i="5"/>
  <c r="R7" i="5"/>
  <c r="J14" i="5"/>
  <c r="O14" i="5"/>
  <c r="I14" i="5"/>
  <c r="R8" i="5"/>
  <c r="I15" i="17"/>
  <c r="N14" i="5"/>
  <c r="M14" i="5"/>
  <c r="Q14" i="5"/>
  <c r="P14" i="5"/>
  <c r="H14" i="5"/>
  <c r="E9" i="24" l="1"/>
  <c r="G9" i="41"/>
  <c r="I24" i="5"/>
  <c r="K24" i="5"/>
  <c r="H24" i="5"/>
  <c r="L24" i="5"/>
  <c r="J24" i="5"/>
  <c r="E9" i="30"/>
  <c r="P24" i="5"/>
  <c r="M24" i="5"/>
  <c r="N24" i="5"/>
  <c r="O24" i="5"/>
  <c r="Q24" i="5"/>
  <c r="J15" i="17"/>
  <c r="H9" i="41" s="1"/>
  <c r="M15" i="17"/>
  <c r="K9" i="41" s="1"/>
  <c r="L15" i="17"/>
  <c r="J9" i="41" s="1"/>
  <c r="D9" i="30"/>
  <c r="K15" i="17"/>
  <c r="I9" i="41" s="1"/>
  <c r="P15" i="17"/>
  <c r="R15" i="17"/>
  <c r="S15" i="17"/>
  <c r="O15" i="17"/>
  <c r="N15" i="17"/>
  <c r="Q15" i="17"/>
  <c r="T57" i="17"/>
  <c r="P67" i="15"/>
  <c r="R14" i="5"/>
  <c r="J23" i="5"/>
  <c r="L23" i="5"/>
  <c r="M23" i="5"/>
  <c r="N23" i="5"/>
  <c r="O23" i="5"/>
  <c r="H23" i="5"/>
  <c r="P23" i="5"/>
  <c r="I23" i="5"/>
  <c r="M9" i="24" l="1"/>
  <c r="O9" i="41"/>
  <c r="O9" i="24"/>
  <c r="Q9" i="41"/>
  <c r="N9" i="24"/>
  <c r="P9" i="41"/>
  <c r="J9" i="24"/>
  <c r="L9" i="41"/>
  <c r="K9" i="24"/>
  <c r="M9" i="41"/>
  <c r="L9" i="24"/>
  <c r="N9" i="41"/>
  <c r="H77" i="17"/>
  <c r="H79" i="17" s="1"/>
  <c r="U57" i="17"/>
  <c r="O71" i="17"/>
  <c r="N71" i="17"/>
  <c r="K71" i="17"/>
  <c r="L71" i="17"/>
  <c r="R71" i="17"/>
  <c r="J71" i="17"/>
  <c r="Q71" i="17"/>
  <c r="I71" i="17"/>
  <c r="P71" i="17"/>
  <c r="H9" i="30"/>
  <c r="H9" i="24"/>
  <c r="F9" i="30"/>
  <c r="F9" i="24"/>
  <c r="G9" i="30"/>
  <c r="G9" i="24"/>
  <c r="I9" i="30"/>
  <c r="I9" i="24"/>
  <c r="V15" i="17"/>
  <c r="T15" i="17"/>
  <c r="U15" i="17" s="1"/>
  <c r="S14" i="5"/>
  <c r="R23" i="5"/>
  <c r="L9" i="30"/>
  <c r="J9" i="30"/>
  <c r="K9" i="30"/>
  <c r="M9" i="30"/>
  <c r="O9" i="30"/>
  <c r="N9" i="30"/>
  <c r="P25" i="5"/>
  <c r="H25" i="5"/>
  <c r="O25" i="5"/>
  <c r="O30" i="5"/>
  <c r="K30" i="5"/>
  <c r="K25" i="5"/>
  <c r="I30" i="5"/>
  <c r="I25" i="5"/>
  <c r="J30" i="5"/>
  <c r="J25" i="5"/>
  <c r="G25" i="5"/>
  <c r="G30" i="5"/>
  <c r="N25" i="5"/>
  <c r="N30" i="5"/>
  <c r="L25" i="5"/>
  <c r="H30" i="5"/>
  <c r="L30" i="5"/>
  <c r="M25" i="5"/>
  <c r="M30" i="5"/>
  <c r="P30" i="5"/>
  <c r="R9" i="41" l="1"/>
  <c r="V9" i="41" s="1"/>
  <c r="P9" i="24"/>
  <c r="T71" i="17"/>
  <c r="P9" i="30"/>
  <c r="R9" i="30" s="1"/>
  <c r="S14" i="2"/>
  <c r="Q30" i="5"/>
  <c r="Q25" i="5"/>
  <c r="T9" i="41" l="1"/>
  <c r="S9" i="41"/>
  <c r="U9" i="41"/>
  <c r="R9" i="24"/>
  <c r="T9" i="24"/>
  <c r="S9" i="24"/>
  <c r="Q9" i="24"/>
  <c r="Q9" i="30"/>
  <c r="R30" i="5"/>
  <c r="H7" i="17" l="1"/>
  <c r="E7" i="41" s="1"/>
  <c r="D7" i="24" l="1"/>
  <c r="D10" i="24" s="1"/>
  <c r="H19" i="17"/>
  <c r="D7" i="30"/>
  <c r="G26" i="2"/>
  <c r="D10" i="30" l="1"/>
  <c r="D13" i="30" l="1"/>
  <c r="D14" i="30" s="1"/>
  <c r="D14" i="24" l="1"/>
  <c r="M26" i="3" l="1"/>
  <c r="H26" i="3"/>
  <c r="F6" i="3"/>
  <c r="G4" i="3"/>
  <c r="G6" i="3" s="1"/>
  <c r="J26" i="3"/>
  <c r="E6" i="3"/>
  <c r="H28" i="3" l="1"/>
  <c r="H33" i="3" s="1"/>
  <c r="I69" i="15" s="1"/>
  <c r="J28" i="3"/>
  <c r="J33" i="3" s="1"/>
  <c r="K69" i="15" s="1"/>
  <c r="M28" i="3"/>
  <c r="M31" i="3" s="1"/>
  <c r="M32" i="3" s="1"/>
  <c r="D29" i="3"/>
  <c r="H5" i="2" s="1"/>
  <c r="D33" i="3"/>
  <c r="E69" i="15" s="1"/>
  <c r="E86" i="15" s="1"/>
  <c r="D31" i="3"/>
  <c r="D32" i="3" s="1"/>
  <c r="N26" i="3"/>
  <c r="I26" i="3"/>
  <c r="L26" i="3"/>
  <c r="F26" i="3"/>
  <c r="K26" i="3"/>
  <c r="H29" i="3" l="1"/>
  <c r="H30" i="3" s="1"/>
  <c r="L6" i="2" s="1"/>
  <c r="H31" i="3"/>
  <c r="H32" i="3" s="1"/>
  <c r="L17" i="2" s="1"/>
  <c r="I86" i="15"/>
  <c r="M59" i="17"/>
  <c r="I59" i="17"/>
  <c r="K86" i="15"/>
  <c r="O59" i="17"/>
  <c r="J29" i="3"/>
  <c r="J30" i="3" s="1"/>
  <c r="N6" i="2" s="1"/>
  <c r="F28" i="3"/>
  <c r="F31" i="3" s="1"/>
  <c r="F32" i="3" s="1"/>
  <c r="N28" i="3"/>
  <c r="N31" i="3" s="1"/>
  <c r="N32" i="3" s="1"/>
  <c r="K28" i="3"/>
  <c r="K33" i="3" s="1"/>
  <c r="L69" i="15" s="1"/>
  <c r="L28" i="3"/>
  <c r="L33" i="3" s="1"/>
  <c r="M69" i="15" s="1"/>
  <c r="M29" i="3"/>
  <c r="M30" i="3" s="1"/>
  <c r="Q6" i="2" s="1"/>
  <c r="I28" i="3"/>
  <c r="M33" i="3"/>
  <c r="N69" i="15" s="1"/>
  <c r="J31" i="3"/>
  <c r="J32" i="3" s="1"/>
  <c r="N17" i="2" s="1"/>
  <c r="D30" i="3"/>
  <c r="H6" i="2" s="1"/>
  <c r="H10" i="2" s="1"/>
  <c r="E33" i="3"/>
  <c r="F69" i="15" s="1"/>
  <c r="E29" i="3"/>
  <c r="E31" i="3"/>
  <c r="E32" i="3" s="1"/>
  <c r="Q16" i="2"/>
  <c r="Q17" i="2"/>
  <c r="H16" i="2"/>
  <c r="H17" i="2"/>
  <c r="G31" i="3"/>
  <c r="G32" i="3" s="1"/>
  <c r="G29" i="3"/>
  <c r="H20" i="2" l="1"/>
  <c r="I68" i="17"/>
  <c r="I77" i="17" s="1"/>
  <c r="I79" i="17" s="1"/>
  <c r="C59" i="17"/>
  <c r="C68" i="17" s="1"/>
  <c r="H29" i="2" s="1"/>
  <c r="A59" i="17"/>
  <c r="A68" i="17" s="1"/>
  <c r="I31" i="10" s="1"/>
  <c r="B59" i="17"/>
  <c r="B68" i="17" s="1"/>
  <c r="G36" i="5" s="1"/>
  <c r="L16" i="2"/>
  <c r="L20" i="2" s="1"/>
  <c r="L5" i="2"/>
  <c r="L10" i="2" s="1"/>
  <c r="Q20" i="2"/>
  <c r="N5" i="2"/>
  <c r="DY71" i="26" s="1"/>
  <c r="DY75" i="26" s="1"/>
  <c r="DY77" i="26" s="1"/>
  <c r="DY78" i="26" s="1"/>
  <c r="M86" i="15"/>
  <c r="Q59" i="17"/>
  <c r="F86" i="15"/>
  <c r="J59" i="17"/>
  <c r="J68" i="17" s="1"/>
  <c r="N86" i="15"/>
  <c r="R59" i="17"/>
  <c r="R68" i="17" s="1"/>
  <c r="L86" i="15"/>
  <c r="P59" i="17"/>
  <c r="DS71" i="26"/>
  <c r="N33" i="3"/>
  <c r="O69" i="15" s="1"/>
  <c r="F33" i="3"/>
  <c r="G69" i="15" s="1"/>
  <c r="F29" i="3"/>
  <c r="F30" i="3" s="1"/>
  <c r="J6" i="2" s="1"/>
  <c r="N29" i="3"/>
  <c r="N30" i="3" s="1"/>
  <c r="R6" i="2" s="1"/>
  <c r="H21" i="2"/>
  <c r="M68" i="17"/>
  <c r="M77" i="17" s="1"/>
  <c r="M79" i="17" s="1"/>
  <c r="O68" i="17"/>
  <c r="K31" i="3"/>
  <c r="K32" i="3" s="1"/>
  <c r="O17" i="2" s="1"/>
  <c r="I31" i="3"/>
  <c r="I32" i="3" s="1"/>
  <c r="M17" i="2" s="1"/>
  <c r="Q5" i="2"/>
  <c r="EB71" i="26" s="1"/>
  <c r="I33" i="3"/>
  <c r="J69" i="15" s="1"/>
  <c r="I29" i="3"/>
  <c r="M5" i="2" s="1"/>
  <c r="K29" i="3"/>
  <c r="O5" i="2" s="1"/>
  <c r="L31" i="3"/>
  <c r="L32" i="3" s="1"/>
  <c r="P17" i="2" s="1"/>
  <c r="L29" i="3"/>
  <c r="L30" i="3" s="1"/>
  <c r="P6" i="2" s="1"/>
  <c r="N16" i="2"/>
  <c r="N20" i="2" s="1"/>
  <c r="CN71" i="26"/>
  <c r="CN75" i="26" s="1"/>
  <c r="CN77" i="26" s="1"/>
  <c r="CN78" i="26" s="1"/>
  <c r="I8" i="17"/>
  <c r="I7" i="17"/>
  <c r="G7" i="41" s="1"/>
  <c r="G30" i="3"/>
  <c r="K6" i="2" s="1"/>
  <c r="K5" i="2"/>
  <c r="E30" i="3"/>
  <c r="I6" i="2" s="1"/>
  <c r="I5" i="2"/>
  <c r="J17" i="2"/>
  <c r="J16" i="2"/>
  <c r="I16" i="2"/>
  <c r="I17" i="2"/>
  <c r="R16" i="2"/>
  <c r="R17" i="2"/>
  <c r="K16" i="2"/>
  <c r="K17" i="2"/>
  <c r="H33" i="2" l="1"/>
  <c r="I69" i="17"/>
  <c r="G10" i="41"/>
  <c r="DW71" i="26"/>
  <c r="EL71" i="26" s="1"/>
  <c r="EL75" i="26" s="1"/>
  <c r="EL77" i="26" s="1"/>
  <c r="EL78" i="26" s="1"/>
  <c r="CR71" i="26"/>
  <c r="CR75" i="26" s="1"/>
  <c r="CR77" i="26" s="1"/>
  <c r="CR78" i="26" s="1"/>
  <c r="M8" i="17"/>
  <c r="N10" i="2"/>
  <c r="N21" i="2" s="1"/>
  <c r="O8" i="17"/>
  <c r="J20" i="2"/>
  <c r="I20" i="2"/>
  <c r="K20" i="2"/>
  <c r="EN71" i="26"/>
  <c r="EN75" i="26" s="1"/>
  <c r="EN77" i="26" s="1"/>
  <c r="EN78" i="26" s="1"/>
  <c r="CT71" i="26"/>
  <c r="CT75" i="26" s="1"/>
  <c r="CT77" i="26" s="1"/>
  <c r="CT78" i="26" s="1"/>
  <c r="R20" i="2"/>
  <c r="DT71" i="26"/>
  <c r="EI71" i="26" s="1"/>
  <c r="EI75" i="26" s="1"/>
  <c r="EI77" i="26" s="1"/>
  <c r="EI78" i="26" s="1"/>
  <c r="J77" i="17"/>
  <c r="J79" i="17" s="1"/>
  <c r="R77" i="17"/>
  <c r="R79" i="17" s="1"/>
  <c r="O69" i="17"/>
  <c r="O77" i="17"/>
  <c r="O79" i="17" s="1"/>
  <c r="R5" i="2"/>
  <c r="J5" i="2"/>
  <c r="J10" i="2" s="1"/>
  <c r="J69" i="17"/>
  <c r="O86" i="15"/>
  <c r="S59" i="17"/>
  <c r="S68" i="17" s="1"/>
  <c r="J86" i="15"/>
  <c r="N59" i="17"/>
  <c r="N68" i="17" s="1"/>
  <c r="G86" i="15"/>
  <c r="K59" i="17"/>
  <c r="K68" i="17" s="1"/>
  <c r="DV71" i="26"/>
  <c r="EQ71" i="26"/>
  <c r="EQ75" i="26" s="1"/>
  <c r="EQ77" i="26" s="1"/>
  <c r="EQ78" i="26" s="1"/>
  <c r="EB75" i="26"/>
  <c r="EB77" i="26" s="1"/>
  <c r="EB78" i="26" s="1"/>
  <c r="EH71" i="26"/>
  <c r="DS75" i="26"/>
  <c r="DS77" i="26" s="1"/>
  <c r="DS78" i="26" s="1"/>
  <c r="M69" i="17"/>
  <c r="P69" i="15"/>
  <c r="P86" i="15" s="1"/>
  <c r="M70" i="17"/>
  <c r="L21" i="2"/>
  <c r="K30" i="3"/>
  <c r="O6" i="2" s="1"/>
  <c r="P8" i="17" s="1"/>
  <c r="O16" i="2"/>
  <c r="O20" i="2" s="1"/>
  <c r="R69" i="17"/>
  <c r="P16" i="2"/>
  <c r="P20" i="2" s="1"/>
  <c r="M16" i="2"/>
  <c r="O70" i="17"/>
  <c r="O73" i="17" s="1"/>
  <c r="I70" i="17"/>
  <c r="I73" i="17" s="1"/>
  <c r="R70" i="17"/>
  <c r="R73" i="17" s="1"/>
  <c r="P13" i="41" s="1"/>
  <c r="Q10" i="2"/>
  <c r="CW71" i="26"/>
  <c r="CW75" i="26" s="1"/>
  <c r="CW77" i="26" s="1"/>
  <c r="CW78" i="26" s="1"/>
  <c r="L68" i="17"/>
  <c r="Q68" i="17"/>
  <c r="E7" i="24"/>
  <c r="E10" i="24" s="1"/>
  <c r="P5" i="2"/>
  <c r="EA71" i="26" s="1"/>
  <c r="I30" i="3"/>
  <c r="M6" i="2" s="1"/>
  <c r="N8" i="17" s="1"/>
  <c r="R8" i="17"/>
  <c r="DH75" i="26"/>
  <c r="P68" i="17"/>
  <c r="P77" i="17" s="1"/>
  <c r="P79" i="17" s="1"/>
  <c r="J8" i="17"/>
  <c r="L8" i="17"/>
  <c r="DL75" i="26"/>
  <c r="DB75" i="26"/>
  <c r="DB77" i="26" s="1"/>
  <c r="DB78" i="26" s="1"/>
  <c r="I19" i="17"/>
  <c r="E7" i="30"/>
  <c r="E10" i="30" s="1"/>
  <c r="K10" i="2"/>
  <c r="I10" i="2"/>
  <c r="DJ75" i="26"/>
  <c r="CQ71" i="26"/>
  <c r="CQ75" i="26" s="1"/>
  <c r="CQ77" i="26" s="1"/>
  <c r="CQ78" i="26" s="1"/>
  <c r="CO71" i="26"/>
  <c r="L26" i="2"/>
  <c r="DF75" i="26"/>
  <c r="DF77" i="26" s="1"/>
  <c r="DA75" i="26"/>
  <c r="DA77" i="26" s="1"/>
  <c r="Q26" i="2"/>
  <c r="S17" i="2"/>
  <c r="M7" i="17"/>
  <c r="K7" i="41" s="1"/>
  <c r="K10" i="41" s="1"/>
  <c r="K11" i="41" s="1"/>
  <c r="K12" i="41" s="1"/>
  <c r="H26" i="2"/>
  <c r="N26" i="2"/>
  <c r="G13" i="41" l="1"/>
  <c r="G14" i="41" s="1"/>
  <c r="G11" i="41"/>
  <c r="G12" i="41" s="1"/>
  <c r="K13" i="24"/>
  <c r="K14" i="24" s="1"/>
  <c r="M13" i="41"/>
  <c r="P14" i="41"/>
  <c r="EC71" i="26"/>
  <c r="EC75" i="26" s="1"/>
  <c r="EC77" i="26" s="1"/>
  <c r="EC78" i="26" s="1"/>
  <c r="R10" i="2"/>
  <c r="R21" i="2" s="1"/>
  <c r="O7" i="17"/>
  <c r="DW75" i="26"/>
  <c r="DW77" i="26" s="1"/>
  <c r="DW78" i="26" s="1"/>
  <c r="CX71" i="26"/>
  <c r="CX75" i="26" s="1"/>
  <c r="CX77" i="26" s="1"/>
  <c r="CX78" i="26" s="1"/>
  <c r="S8" i="17"/>
  <c r="E11" i="24"/>
  <c r="E12" i="24" s="1"/>
  <c r="M20" i="2"/>
  <c r="N70" i="17" s="1"/>
  <c r="N73" i="17" s="1"/>
  <c r="DT75" i="26"/>
  <c r="DT77" i="26" s="1"/>
  <c r="DT78" i="26" s="1"/>
  <c r="K8" i="17"/>
  <c r="CP71" i="26"/>
  <c r="DD75" i="26" s="1"/>
  <c r="DD77" i="26" s="1"/>
  <c r="DD78" i="26" s="1"/>
  <c r="DU71" i="26"/>
  <c r="EJ71" i="26" s="1"/>
  <c r="EJ75" i="26" s="1"/>
  <c r="EJ77" i="26" s="1"/>
  <c r="EJ78" i="26" s="1"/>
  <c r="K77" i="17"/>
  <c r="K79" i="17" s="1"/>
  <c r="Q77" i="17"/>
  <c r="Q79" i="17" s="1"/>
  <c r="N77" i="17"/>
  <c r="N79" i="17" s="1"/>
  <c r="L77" i="17"/>
  <c r="L79" i="17" s="1"/>
  <c r="O10" i="2"/>
  <c r="O21" i="2" s="1"/>
  <c r="L69" i="17"/>
  <c r="K69" i="17"/>
  <c r="DX71" i="26"/>
  <c r="EH75" i="26"/>
  <c r="EH77" i="26" s="1"/>
  <c r="EH78" i="26" s="1"/>
  <c r="DZ71" i="26"/>
  <c r="Q69" i="17"/>
  <c r="P69" i="17"/>
  <c r="EP71" i="26"/>
  <c r="EP75" i="26" s="1"/>
  <c r="EP77" i="26" s="1"/>
  <c r="EP78" i="26" s="1"/>
  <c r="EA75" i="26"/>
  <c r="EA77" i="26" s="1"/>
  <c r="EA78" i="26" s="1"/>
  <c r="EK71" i="26"/>
  <c r="EK75" i="26" s="1"/>
  <c r="EK77" i="26" s="1"/>
  <c r="EK78" i="26" s="1"/>
  <c r="DV75" i="26"/>
  <c r="DV77" i="26" s="1"/>
  <c r="DV78" i="26" s="1"/>
  <c r="CU71" i="26"/>
  <c r="CU75" i="26" s="1"/>
  <c r="CU77" i="26" s="1"/>
  <c r="CU78" i="26" s="1"/>
  <c r="S16" i="2"/>
  <c r="P70" i="17"/>
  <c r="P73" i="17" s="1"/>
  <c r="N13" i="41" s="1"/>
  <c r="S69" i="17"/>
  <c r="S6" i="2"/>
  <c r="CV71" i="26"/>
  <c r="CV75" i="26" s="1"/>
  <c r="CV77" i="26" s="1"/>
  <c r="CV78" i="26" s="1"/>
  <c r="K21" i="2"/>
  <c r="L70" i="17"/>
  <c r="L73" i="17" s="1"/>
  <c r="Q8" i="17"/>
  <c r="S70" i="17"/>
  <c r="S73" i="17" s="1"/>
  <c r="J21" i="2"/>
  <c r="Q21" i="2"/>
  <c r="Q22" i="2" s="1"/>
  <c r="K70" i="17"/>
  <c r="K73" i="17" s="1"/>
  <c r="I13" i="41" s="1"/>
  <c r="J70" i="17"/>
  <c r="J73" i="17" s="1"/>
  <c r="Q70" i="17"/>
  <c r="Q73" i="17" s="1"/>
  <c r="P10" i="2"/>
  <c r="Q7" i="17" s="1"/>
  <c r="O7" i="41" s="1"/>
  <c r="O10" i="41" s="1"/>
  <c r="O11" i="41" s="1"/>
  <c r="O12" i="41" s="1"/>
  <c r="S5" i="2"/>
  <c r="R7" i="17"/>
  <c r="DF78" i="26"/>
  <c r="DL77" i="26"/>
  <c r="DL78" i="26" s="1"/>
  <c r="DH77" i="26"/>
  <c r="DH78" i="26" s="1"/>
  <c r="DJ77" i="26"/>
  <c r="DJ78" i="26" s="1"/>
  <c r="N13" i="24"/>
  <c r="N14" i="24" s="1"/>
  <c r="M73" i="17"/>
  <c r="K13" i="41" s="1"/>
  <c r="CS71" i="26"/>
  <c r="DG75" i="26" s="1"/>
  <c r="M10" i="2"/>
  <c r="DK75" i="26"/>
  <c r="DA78" i="26"/>
  <c r="M19" i="17"/>
  <c r="M20" i="17" s="1"/>
  <c r="I7" i="24"/>
  <c r="I10" i="24" s="1"/>
  <c r="I11" i="24" s="1"/>
  <c r="I12" i="24" s="1"/>
  <c r="T59" i="17"/>
  <c r="DE75" i="26"/>
  <c r="DI75" i="26"/>
  <c r="I21" i="2"/>
  <c r="I20" i="17"/>
  <c r="I21" i="17" s="1"/>
  <c r="DC75" i="26"/>
  <c r="DC77" i="26" s="1"/>
  <c r="DC78" i="26" s="1"/>
  <c r="CO75" i="26"/>
  <c r="CO77" i="26" s="1"/>
  <c r="CO78" i="26" s="1"/>
  <c r="J26" i="2"/>
  <c r="K13" i="30"/>
  <c r="K14" i="30" s="1"/>
  <c r="K26" i="2"/>
  <c r="K7" i="17"/>
  <c r="I7" i="41" s="1"/>
  <c r="I10" i="41" s="1"/>
  <c r="I11" i="41" s="1"/>
  <c r="I12" i="41" s="1"/>
  <c r="I7" i="30"/>
  <c r="I10" i="30" s="1"/>
  <c r="I11" i="30" s="1"/>
  <c r="L22" i="2"/>
  <c r="E11" i="30"/>
  <c r="N22" i="2"/>
  <c r="O26" i="2"/>
  <c r="R26" i="2"/>
  <c r="H22" i="2"/>
  <c r="I26" i="2"/>
  <c r="L7" i="17"/>
  <c r="J7" i="41" s="1"/>
  <c r="J10" i="41" s="1"/>
  <c r="J11" i="41" s="1"/>
  <c r="J12" i="41" s="1"/>
  <c r="P26" i="2"/>
  <c r="J7" i="17"/>
  <c r="H7" i="41" s="1"/>
  <c r="N13" i="30"/>
  <c r="N14" i="30" s="1"/>
  <c r="E13" i="24" l="1"/>
  <c r="H27" i="10"/>
  <c r="H10" i="41"/>
  <c r="N7" i="30"/>
  <c r="N10" i="30" s="1"/>
  <c r="N11" i="30" s="1"/>
  <c r="N15" i="30" s="1"/>
  <c r="N16" i="30" s="1"/>
  <c r="P7" i="41"/>
  <c r="P10" i="41" s="1"/>
  <c r="P11" i="41" s="1"/>
  <c r="P12" i="41" s="1"/>
  <c r="O19" i="17"/>
  <c r="O20" i="17" s="1"/>
  <c r="O74" i="17" s="1"/>
  <c r="O75" i="17" s="1"/>
  <c r="M7" i="41"/>
  <c r="M10" i="41" s="1"/>
  <c r="M11" i="41" s="1"/>
  <c r="M12" i="41" s="1"/>
  <c r="I14" i="41"/>
  <c r="I15" i="41" s="1"/>
  <c r="I16" i="41" s="1"/>
  <c r="N14" i="41"/>
  <c r="G15" i="41"/>
  <c r="G16" i="41" s="1"/>
  <c r="K14" i="41"/>
  <c r="K15" i="41" s="1"/>
  <c r="K16" i="41" s="1"/>
  <c r="M13" i="24"/>
  <c r="M14" i="24" s="1"/>
  <c r="O13" i="41"/>
  <c r="O13" i="24"/>
  <c r="O14" i="24" s="1"/>
  <c r="Q13" i="41"/>
  <c r="F13" i="24"/>
  <c r="F14" i="24" s="1"/>
  <c r="H13" i="41"/>
  <c r="J13" i="24"/>
  <c r="J14" i="24" s="1"/>
  <c r="L13" i="41"/>
  <c r="H13" i="24"/>
  <c r="H14" i="24" s="1"/>
  <c r="J13" i="41"/>
  <c r="M14" i="41"/>
  <c r="ER71" i="26"/>
  <c r="ER75" i="26" s="1"/>
  <c r="ER77" i="26" s="1"/>
  <c r="ER78" i="26" s="1"/>
  <c r="S10" i="2"/>
  <c r="K7" i="24"/>
  <c r="K10" i="24" s="1"/>
  <c r="K11" i="24" s="1"/>
  <c r="K12" i="24" s="1"/>
  <c r="K7" i="30"/>
  <c r="K10" i="30" s="1"/>
  <c r="K11" i="30" s="1"/>
  <c r="K15" i="30" s="1"/>
  <c r="K16" i="30" s="1"/>
  <c r="S7" i="17"/>
  <c r="S20" i="2"/>
  <c r="S26" i="2" s="1"/>
  <c r="P7" i="17"/>
  <c r="M26" i="2"/>
  <c r="CP75" i="26"/>
  <c r="CP77" i="26" s="1"/>
  <c r="CP78" i="26" s="1"/>
  <c r="N29" i="2"/>
  <c r="N33" i="2" s="1"/>
  <c r="O29" i="2"/>
  <c r="O33" i="2" s="1"/>
  <c r="P29" i="2"/>
  <c r="P33" i="2" s="1"/>
  <c r="I29" i="2"/>
  <c r="I33" i="2" s="1"/>
  <c r="Q29" i="2"/>
  <c r="Q33" i="2" s="1"/>
  <c r="J29" i="2"/>
  <c r="J33" i="2" s="1"/>
  <c r="R29" i="2"/>
  <c r="R33" i="2" s="1"/>
  <c r="M29" i="2"/>
  <c r="M33" i="2" s="1"/>
  <c r="K29" i="2"/>
  <c r="K33" i="2" s="1"/>
  <c r="L29" i="2"/>
  <c r="L33" i="2" s="1"/>
  <c r="O31" i="10"/>
  <c r="O38" i="10" s="1"/>
  <c r="O27" i="10" s="1"/>
  <c r="O28" i="10" s="1"/>
  <c r="I38" i="10"/>
  <c r="R31" i="10"/>
  <c r="R38" i="10" s="1"/>
  <c r="R27" i="10" s="1"/>
  <c r="R28" i="10" s="1"/>
  <c r="Q31" i="10"/>
  <c r="Q38" i="10" s="1"/>
  <c r="Q27" i="10" s="1"/>
  <c r="Q28" i="10" s="1"/>
  <c r="J31" i="10"/>
  <c r="J38" i="10" s="1"/>
  <c r="J27" i="10" s="1"/>
  <c r="J28" i="10" s="1"/>
  <c r="P31" i="10"/>
  <c r="P38" i="10" s="1"/>
  <c r="P27" i="10" s="1"/>
  <c r="P28" i="10" s="1"/>
  <c r="K31" i="10"/>
  <c r="K38" i="10" s="1"/>
  <c r="N31" i="10"/>
  <c r="N38" i="10" s="1"/>
  <c r="N27" i="10" s="1"/>
  <c r="M31" i="10"/>
  <c r="M38" i="10" s="1"/>
  <c r="M27" i="10" s="1"/>
  <c r="M28" i="10" s="1"/>
  <c r="S31" i="10"/>
  <c r="S38" i="10" s="1"/>
  <c r="L31" i="10"/>
  <c r="DU75" i="26"/>
  <c r="DU77" i="26" s="1"/>
  <c r="DU78" i="26" s="1"/>
  <c r="T68" i="17"/>
  <c r="U68" i="17" s="1"/>
  <c r="U59" i="17"/>
  <c r="H36" i="5"/>
  <c r="H40" i="5" s="1"/>
  <c r="H26" i="5" s="1"/>
  <c r="H27" i="5" s="1"/>
  <c r="G40" i="5"/>
  <c r="G26" i="5" s="1"/>
  <c r="G27" i="5" s="1"/>
  <c r="I36" i="5"/>
  <c r="I40" i="5" s="1"/>
  <c r="I26" i="5" s="1"/>
  <c r="I27" i="5" s="1"/>
  <c r="EO71" i="26"/>
  <c r="EO75" i="26" s="1"/>
  <c r="EO77" i="26" s="1"/>
  <c r="EO78" i="26" s="1"/>
  <c r="DZ75" i="26"/>
  <c r="DZ77" i="26" s="1"/>
  <c r="DZ78" i="26" s="1"/>
  <c r="N69" i="17"/>
  <c r="EM71" i="26"/>
  <c r="EM75" i="26" s="1"/>
  <c r="EM77" i="26" s="1"/>
  <c r="EM78" i="26" s="1"/>
  <c r="DX75" i="26"/>
  <c r="DX77" i="26" s="1"/>
  <c r="DX78" i="26" s="1"/>
  <c r="EE71" i="26"/>
  <c r="EE75" i="26" s="1"/>
  <c r="EE77" i="26" s="1"/>
  <c r="EE78" i="26" s="1"/>
  <c r="P90" i="15"/>
  <c r="N7" i="24"/>
  <c r="N10" i="24" s="1"/>
  <c r="N11" i="24" s="1"/>
  <c r="N12" i="24" s="1"/>
  <c r="L36" i="5"/>
  <c r="L40" i="5" s="1"/>
  <c r="L26" i="5" s="1"/>
  <c r="L27" i="5" s="1"/>
  <c r="P36" i="5"/>
  <c r="P40" i="5" s="1"/>
  <c r="P26" i="5" s="1"/>
  <c r="P27" i="5" s="1"/>
  <c r="O36" i="5"/>
  <c r="O40" i="5" s="1"/>
  <c r="O26" i="5" s="1"/>
  <c r="O27" i="5" s="1"/>
  <c r="K36" i="5"/>
  <c r="K40" i="5" s="1"/>
  <c r="K26" i="5" s="1"/>
  <c r="K27" i="5" s="1"/>
  <c r="Q36" i="5"/>
  <c r="Q40" i="5" s="1"/>
  <c r="Q26" i="5" s="1"/>
  <c r="Q27" i="5" s="1"/>
  <c r="N36" i="5"/>
  <c r="N40" i="5" s="1"/>
  <c r="N26" i="5" s="1"/>
  <c r="N27" i="5" s="1"/>
  <c r="J36" i="5"/>
  <c r="J40" i="5" s="1"/>
  <c r="J26" i="5" s="1"/>
  <c r="J27" i="5" s="1"/>
  <c r="M36" i="5"/>
  <c r="M40" i="5" s="1"/>
  <c r="M26" i="5" s="1"/>
  <c r="M27" i="5" s="1"/>
  <c r="R19" i="17"/>
  <c r="R20" i="17" s="1"/>
  <c r="R21" i="17" s="1"/>
  <c r="M21" i="2"/>
  <c r="P21" i="2"/>
  <c r="P22" i="2" s="1"/>
  <c r="DK77" i="26"/>
  <c r="DK78" i="26" s="1"/>
  <c r="DE77" i="26"/>
  <c r="DE78" i="26" s="1"/>
  <c r="DG77" i="26"/>
  <c r="DG78" i="26" s="1"/>
  <c r="CS75" i="26"/>
  <c r="CS77" i="26" s="1"/>
  <c r="CS78" i="26" s="1"/>
  <c r="DI77" i="26"/>
  <c r="DI78" i="26" s="1"/>
  <c r="CY71" i="26"/>
  <c r="CY75" i="26" s="1"/>
  <c r="N7" i="17"/>
  <c r="F7" i="24"/>
  <c r="F10" i="24" s="1"/>
  <c r="L13" i="24"/>
  <c r="L14" i="24" s="1"/>
  <c r="I13" i="24"/>
  <c r="I14" i="24" s="1"/>
  <c r="I15" i="24" s="1"/>
  <c r="I16" i="24" s="1"/>
  <c r="I13" i="30"/>
  <c r="I14" i="30" s="1"/>
  <c r="I15" i="30" s="1"/>
  <c r="I16" i="30" s="1"/>
  <c r="T70" i="17"/>
  <c r="L19" i="17"/>
  <c r="L20" i="17" s="1"/>
  <c r="H7" i="24"/>
  <c r="H10" i="24" s="1"/>
  <c r="H11" i="24" s="1"/>
  <c r="H12" i="24" s="1"/>
  <c r="Q19" i="17"/>
  <c r="Q20" i="17" s="1"/>
  <c r="M7" i="24"/>
  <c r="M10" i="24" s="1"/>
  <c r="M11" i="24" s="1"/>
  <c r="M12" i="24" s="1"/>
  <c r="K19" i="17"/>
  <c r="K20" i="17" s="1"/>
  <c r="G7" i="24"/>
  <c r="G10" i="24" s="1"/>
  <c r="G11" i="24" s="1"/>
  <c r="G12" i="24" s="1"/>
  <c r="G13" i="24"/>
  <c r="J19" i="17"/>
  <c r="DM71" i="26"/>
  <c r="DM75" i="26" s="1"/>
  <c r="DM77" i="26" s="1"/>
  <c r="DM78" i="26" s="1"/>
  <c r="G13" i="30"/>
  <c r="G14" i="30" s="1"/>
  <c r="M13" i="30"/>
  <c r="M14" i="30" s="1"/>
  <c r="T73" i="17"/>
  <c r="E13" i="30"/>
  <c r="F13" i="30"/>
  <c r="F14" i="30" s="1"/>
  <c r="H13" i="30"/>
  <c r="H14" i="30" s="1"/>
  <c r="M7" i="30"/>
  <c r="M10" i="30" s="1"/>
  <c r="M11" i="30" s="1"/>
  <c r="R22" i="2"/>
  <c r="L13" i="30"/>
  <c r="L14" i="30" s="1"/>
  <c r="K22" i="2"/>
  <c r="H7" i="30"/>
  <c r="H10" i="30" s="1"/>
  <c r="H11" i="30" s="1"/>
  <c r="I12" i="30"/>
  <c r="F7" i="30"/>
  <c r="I22" i="2"/>
  <c r="J13" i="30"/>
  <c r="J14" i="30" s="1"/>
  <c r="O22" i="2"/>
  <c r="J22" i="2"/>
  <c r="E12" i="30"/>
  <c r="O13" i="30"/>
  <c r="O14" i="30" s="1"/>
  <c r="M74" i="17"/>
  <c r="M75" i="17" s="1"/>
  <c r="M21" i="17"/>
  <c r="I74" i="17"/>
  <c r="G7" i="30"/>
  <c r="G10" i="30" s="1"/>
  <c r="G11" i="30" s="1"/>
  <c r="T10" i="2" l="1"/>
  <c r="E20" i="24"/>
  <c r="E18" i="24" s="1"/>
  <c r="N12" i="30"/>
  <c r="O21" i="17"/>
  <c r="M15" i="41"/>
  <c r="M16" i="41" s="1"/>
  <c r="J7" i="30"/>
  <c r="J10" i="30" s="1"/>
  <c r="J11" i="30" s="1"/>
  <c r="J12" i="30" s="1"/>
  <c r="L7" i="41"/>
  <c r="P19" i="17"/>
  <c r="P20" i="17" s="1"/>
  <c r="P74" i="17" s="1"/>
  <c r="P75" i="17" s="1"/>
  <c r="N7" i="41"/>
  <c r="N10" i="41" s="1"/>
  <c r="N11" i="41" s="1"/>
  <c r="N12" i="41" s="1"/>
  <c r="S19" i="17"/>
  <c r="S20" i="17" s="1"/>
  <c r="S74" i="17" s="1"/>
  <c r="S75" i="17" s="1"/>
  <c r="Q7" i="41"/>
  <c r="Q10" i="41" s="1"/>
  <c r="Q11" i="41" s="1"/>
  <c r="Q12" i="41" s="1"/>
  <c r="H11" i="41"/>
  <c r="H12" i="41" s="1"/>
  <c r="P15" i="41"/>
  <c r="P16" i="41" s="1"/>
  <c r="G20" i="41"/>
  <c r="G18" i="41" s="1"/>
  <c r="N20" i="41"/>
  <c r="N18" i="41" s="1"/>
  <c r="O20" i="41"/>
  <c r="O18" i="41" s="1"/>
  <c r="L14" i="41"/>
  <c r="L20" i="41"/>
  <c r="L18" i="41" s="1"/>
  <c r="M20" i="41"/>
  <c r="M18" i="41" s="1"/>
  <c r="H14" i="41"/>
  <c r="R13" i="41"/>
  <c r="Q20" i="41"/>
  <c r="Q18" i="41" s="1"/>
  <c r="I20" i="41"/>
  <c r="I18" i="41" s="1"/>
  <c r="Q14" i="41"/>
  <c r="S27" i="10"/>
  <c r="S28" i="10" s="1"/>
  <c r="I27" i="10"/>
  <c r="P20" i="41"/>
  <c r="P18" i="41" s="1"/>
  <c r="H20" i="41"/>
  <c r="H18" i="41" s="1"/>
  <c r="J14" i="41"/>
  <c r="J15" i="41" s="1"/>
  <c r="J16" i="41" s="1"/>
  <c r="O14" i="41"/>
  <c r="O15" i="41" s="1"/>
  <c r="O16" i="41" s="1"/>
  <c r="K20" i="41"/>
  <c r="K18" i="41" s="1"/>
  <c r="K15" i="24"/>
  <c r="K16" i="24" s="1"/>
  <c r="K12" i="30"/>
  <c r="O7" i="30"/>
  <c r="O10" i="30" s="1"/>
  <c r="O11" i="30" s="1"/>
  <c r="O15" i="30" s="1"/>
  <c r="O16" i="30" s="1"/>
  <c r="O7" i="24"/>
  <c r="O10" i="24" s="1"/>
  <c r="O11" i="24" s="1"/>
  <c r="O12" i="24" s="1"/>
  <c r="S42" i="2"/>
  <c r="L7" i="30"/>
  <c r="L10" i="30" s="1"/>
  <c r="L11" i="30" s="1"/>
  <c r="L12" i="30" s="1"/>
  <c r="L7" i="24"/>
  <c r="L10" i="24" s="1"/>
  <c r="L11" i="24" s="1"/>
  <c r="L12" i="24" s="1"/>
  <c r="F11" i="24"/>
  <c r="F12" i="24" s="1"/>
  <c r="P13" i="24"/>
  <c r="F20" i="24"/>
  <c r="F18" i="24" s="1"/>
  <c r="G20" i="24"/>
  <c r="G18" i="24" s="1"/>
  <c r="ES71" i="26"/>
  <c r="ES75" i="26" s="1"/>
  <c r="ES77" i="26" s="1"/>
  <c r="ES78" i="26" s="1"/>
  <c r="K27" i="10"/>
  <c r="K28" i="10" s="1"/>
  <c r="L38" i="10"/>
  <c r="L27" i="10" s="1"/>
  <c r="L28" i="10" s="1"/>
  <c r="R74" i="17"/>
  <c r="R75" i="17" s="1"/>
  <c r="N20" i="24"/>
  <c r="N18" i="24" s="1"/>
  <c r="T77" i="17"/>
  <c r="J20" i="24"/>
  <c r="J18" i="24" s="1"/>
  <c r="S21" i="2"/>
  <c r="S22" i="2" s="1"/>
  <c r="M22" i="2"/>
  <c r="M20" i="24"/>
  <c r="M18" i="24" s="1"/>
  <c r="L20" i="24"/>
  <c r="L18" i="24" s="1"/>
  <c r="V7" i="17"/>
  <c r="O20" i="24"/>
  <c r="O18" i="24" s="1"/>
  <c r="I20" i="24"/>
  <c r="I18" i="24" s="1"/>
  <c r="K20" i="24"/>
  <c r="K18" i="24" s="1"/>
  <c r="J7" i="24"/>
  <c r="J10" i="24" s="1"/>
  <c r="J11" i="24" s="1"/>
  <c r="J12" i="24" s="1"/>
  <c r="T7" i="17"/>
  <c r="U7" i="17" s="1"/>
  <c r="N19" i="17"/>
  <c r="N20" i="17" s="1"/>
  <c r="N74" i="17" s="1"/>
  <c r="N75" i="17" s="1"/>
  <c r="M23" i="2"/>
  <c r="M24" i="2" s="1"/>
  <c r="K23" i="2"/>
  <c r="K24" i="2" s="1"/>
  <c r="I23" i="2"/>
  <c r="I24" i="2" s="1"/>
  <c r="J23" i="2"/>
  <c r="J24" i="2" s="1"/>
  <c r="G23" i="2"/>
  <c r="G24" i="2" s="1"/>
  <c r="O42" i="2"/>
  <c r="O43" i="2" s="1"/>
  <c r="R42" i="2"/>
  <c r="R43" i="2" s="1"/>
  <c r="P42" i="2"/>
  <c r="P43" i="2" s="1"/>
  <c r="O23" i="2"/>
  <c r="O24" i="2" s="1"/>
  <c r="G19" i="30"/>
  <c r="J42" i="2"/>
  <c r="J43" i="2" s="1"/>
  <c r="R23" i="2"/>
  <c r="R24" i="2" s="1"/>
  <c r="N42" i="2"/>
  <c r="N43" i="2" s="1"/>
  <c r="N23" i="2"/>
  <c r="N24" i="2" s="1"/>
  <c r="P23" i="2"/>
  <c r="P24" i="2" s="1"/>
  <c r="L42" i="2"/>
  <c r="L43" i="2" s="1"/>
  <c r="L23" i="2"/>
  <c r="L24" i="2" s="1"/>
  <c r="Q42" i="2"/>
  <c r="Q43" i="2" s="1"/>
  <c r="Q23" i="2"/>
  <c r="Q24" i="2" s="1"/>
  <c r="K42" i="2"/>
  <c r="K43" i="2" s="1"/>
  <c r="G14" i="24"/>
  <c r="G15" i="24" s="1"/>
  <c r="G16" i="24" s="1"/>
  <c r="N28" i="10"/>
  <c r="J20" i="17"/>
  <c r="G42" i="2"/>
  <c r="G43" i="2" s="1"/>
  <c r="E19" i="30"/>
  <c r="H42" i="2"/>
  <c r="H43" i="2" s="1"/>
  <c r="H23" i="2"/>
  <c r="H24" i="2" s="1"/>
  <c r="M42" i="2"/>
  <c r="M43" i="2" s="1"/>
  <c r="F19" i="30"/>
  <c r="I42" i="2"/>
  <c r="I43" i="2" s="1"/>
  <c r="H15" i="24"/>
  <c r="H16" i="24" s="1"/>
  <c r="M15" i="24"/>
  <c r="M16" i="24" s="1"/>
  <c r="E14" i="24"/>
  <c r="M15" i="30"/>
  <c r="M16" i="30" s="1"/>
  <c r="M12" i="30"/>
  <c r="Q74" i="17"/>
  <c r="Q75" i="17" s="1"/>
  <c r="Q21" i="17"/>
  <c r="E14" i="30"/>
  <c r="P13" i="30"/>
  <c r="L21" i="17"/>
  <c r="L74" i="17"/>
  <c r="L75" i="17" s="1"/>
  <c r="G15" i="30"/>
  <c r="G16" i="30" s="1"/>
  <c r="G12" i="30"/>
  <c r="F10" i="30"/>
  <c r="I75" i="17"/>
  <c r="K21" i="17"/>
  <c r="K74" i="17"/>
  <c r="K75" i="17" s="1"/>
  <c r="H15" i="30"/>
  <c r="H16" i="30" s="1"/>
  <c r="H12" i="30"/>
  <c r="J15" i="30" l="1"/>
  <c r="J16" i="30" s="1"/>
  <c r="P21" i="17"/>
  <c r="S21" i="17"/>
  <c r="Q15" i="41"/>
  <c r="Q16" i="41" s="1"/>
  <c r="L10" i="41"/>
  <c r="R7" i="41"/>
  <c r="N15" i="41"/>
  <c r="N16" i="41" s="1"/>
  <c r="T27" i="10"/>
  <c r="T28" i="10" s="1"/>
  <c r="V13" i="41"/>
  <c r="U13" i="41"/>
  <c r="T13" i="41"/>
  <c r="S13" i="41"/>
  <c r="H15" i="41"/>
  <c r="H16" i="41" s="1"/>
  <c r="R14" i="41"/>
  <c r="J20" i="41"/>
  <c r="J18" i="41" s="1"/>
  <c r="I28" i="10"/>
  <c r="T38" i="10"/>
  <c r="H28" i="10"/>
  <c r="D20" i="24"/>
  <c r="D18" i="24" s="1"/>
  <c r="E20" i="41"/>
  <c r="E18" i="41" s="1"/>
  <c r="O12" i="30"/>
  <c r="O15" i="24"/>
  <c r="O16" i="24" s="1"/>
  <c r="L15" i="30"/>
  <c r="L16" i="30" s="1"/>
  <c r="L15" i="24"/>
  <c r="L16" i="24" s="1"/>
  <c r="P7" i="30"/>
  <c r="R7" i="30" s="1"/>
  <c r="S13" i="24"/>
  <c r="T13" i="24"/>
  <c r="R13" i="24"/>
  <c r="P14" i="24"/>
  <c r="P10" i="24"/>
  <c r="P7" i="24"/>
  <c r="N15" i="24"/>
  <c r="N16" i="24" s="1"/>
  <c r="J15" i="24"/>
  <c r="J16" i="24" s="1"/>
  <c r="H20" i="24"/>
  <c r="H18" i="24" s="1"/>
  <c r="S43" i="2"/>
  <c r="N21" i="17"/>
  <c r="T19" i="17"/>
  <c r="S23" i="2"/>
  <c r="S24" i="2" s="1"/>
  <c r="F11" i="30"/>
  <c r="P10" i="30"/>
  <c r="Q13" i="24"/>
  <c r="R13" i="30"/>
  <c r="Q13" i="30"/>
  <c r="J74" i="17"/>
  <c r="J21" i="17"/>
  <c r="P14" i="30"/>
  <c r="E15" i="30"/>
  <c r="E16" i="30" s="1"/>
  <c r="E15" i="24"/>
  <c r="E16" i="24" s="1"/>
  <c r="U7" i="41" l="1"/>
  <c r="V7" i="41"/>
  <c r="S7" i="41"/>
  <c r="T7" i="41"/>
  <c r="L11" i="41"/>
  <c r="R10" i="41"/>
  <c r="U14" i="41"/>
  <c r="S14" i="41"/>
  <c r="T14" i="41"/>
  <c r="V14" i="41"/>
  <c r="T39" i="10"/>
  <c r="R20" i="41"/>
  <c r="P20" i="24"/>
  <c r="Q7" i="30"/>
  <c r="T10" i="24"/>
  <c r="S10" i="24"/>
  <c r="T7" i="24"/>
  <c r="S7" i="24"/>
  <c r="R14" i="24"/>
  <c r="S14" i="24"/>
  <c r="T14" i="24"/>
  <c r="R7" i="24"/>
  <c r="Q7" i="24"/>
  <c r="R10" i="24"/>
  <c r="J75" i="17"/>
  <c r="R14" i="30"/>
  <c r="Q14" i="30"/>
  <c r="Q10" i="24"/>
  <c r="F15" i="24"/>
  <c r="F16" i="24" s="1"/>
  <c r="R10" i="30"/>
  <c r="Q10" i="30"/>
  <c r="Q14" i="24"/>
  <c r="F12" i="30"/>
  <c r="F15" i="30"/>
  <c r="F16" i="30" s="1"/>
  <c r="L12" i="41" l="1"/>
  <c r="L15" i="41"/>
  <c r="L16" i="41" s="1"/>
  <c r="T10" i="41"/>
  <c r="V10" i="41"/>
  <c r="U10" i="41"/>
  <c r="S10" i="41"/>
  <c r="CY77" i="26"/>
  <c r="CY78" i="26" s="1"/>
  <c r="DK59" i="25"/>
  <c r="DW59" i="25" s="1"/>
  <c r="DW61" i="25" s="1"/>
  <c r="DW71" i="25" s="1"/>
  <c r="DW72" i="25" s="1"/>
  <c r="DI59" i="25"/>
  <c r="DI61" i="25" s="1"/>
  <c r="O45" i="41" s="1"/>
  <c r="CW61" i="25"/>
  <c r="O47" i="41" l="1"/>
  <c r="Q45" i="41"/>
  <c r="DK61" i="25"/>
  <c r="DK71" i="25" s="1"/>
  <c r="DK72" i="25" s="1"/>
  <c r="CY77" i="25"/>
  <c r="M45" i="24"/>
  <c r="CW71" i="25"/>
  <c r="CW72" i="25" s="1"/>
  <c r="F5" i="5"/>
  <c r="DI74" i="25"/>
  <c r="CY75" i="25"/>
  <c r="CX76" i="25"/>
  <c r="DI71" i="25"/>
  <c r="DI72" i="25" s="1"/>
  <c r="Q47" i="41" l="1"/>
  <c r="M47" i="24"/>
  <c r="O45" i="24"/>
  <c r="F6" i="5"/>
  <c r="R5" i="5"/>
  <c r="R6" i="5" s="1"/>
  <c r="CY76" i="25"/>
  <c r="CX78" i="25"/>
  <c r="E5" i="41" l="1"/>
  <c r="R5" i="41" s="1"/>
  <c r="R44" i="41"/>
  <c r="R43" i="41"/>
  <c r="R45" i="41"/>
  <c r="O47" i="24"/>
  <c r="P45" i="24" s="1"/>
  <c r="R24" i="5"/>
  <c r="S6" i="5"/>
  <c r="D5" i="24"/>
  <c r="H5" i="17"/>
  <c r="F24" i="5"/>
  <c r="U5" i="41" l="1"/>
  <c r="S5" i="41"/>
  <c r="V5" i="41"/>
  <c r="T5" i="41"/>
  <c r="P43" i="24"/>
  <c r="P44" i="24"/>
  <c r="D6" i="24"/>
  <c r="P5" i="24"/>
  <c r="F25" i="5"/>
  <c r="F26" i="5"/>
  <c r="T5" i="17"/>
  <c r="D5" i="30"/>
  <c r="H6" i="17"/>
  <c r="T6" i="17" s="1"/>
  <c r="S24" i="5"/>
  <c r="R25" i="5"/>
  <c r="R6" i="41" l="1"/>
  <c r="X5" i="41" s="1"/>
  <c r="R11" i="41"/>
  <c r="T5" i="24"/>
  <c r="S5" i="24"/>
  <c r="D11" i="24"/>
  <c r="P6" i="24"/>
  <c r="T20" i="17"/>
  <c r="T21" i="17" s="1"/>
  <c r="H20" i="17"/>
  <c r="P5" i="30"/>
  <c r="D6" i="30"/>
  <c r="V5" i="17"/>
  <c r="F27" i="5"/>
  <c r="R26" i="5"/>
  <c r="R27" i="5" s="1"/>
  <c r="R52" i="41" l="1"/>
  <c r="X3" i="41"/>
  <c r="X4" i="41"/>
  <c r="R53" i="41"/>
  <c r="S6" i="41"/>
  <c r="R54" i="41"/>
  <c r="V6" i="41"/>
  <c r="R56" i="41"/>
  <c r="R49" i="41"/>
  <c r="R51" i="41"/>
  <c r="U6" i="41"/>
  <c r="R55" i="41"/>
  <c r="T6" i="41"/>
  <c r="R50" i="41"/>
  <c r="S11" i="41"/>
  <c r="U11" i="41"/>
  <c r="T11" i="41"/>
  <c r="V11" i="41"/>
  <c r="R12" i="41"/>
  <c r="R15" i="41"/>
  <c r="V4" i="24"/>
  <c r="V3" i="24"/>
  <c r="V5" i="24"/>
  <c r="R6" i="24"/>
  <c r="P56" i="24"/>
  <c r="P52" i="24"/>
  <c r="P54" i="24"/>
  <c r="P51" i="24"/>
  <c r="P53" i="24"/>
  <c r="P50" i="24"/>
  <c r="P55" i="24"/>
  <c r="P49" i="24"/>
  <c r="T6" i="24"/>
  <c r="S6" i="24"/>
  <c r="D12" i="24"/>
  <c r="P11" i="24"/>
  <c r="Q6" i="24"/>
  <c r="D15" i="24"/>
  <c r="D16" i="24" s="1"/>
  <c r="H21" i="17"/>
  <c r="H74" i="17"/>
  <c r="R5" i="24"/>
  <c r="Q5" i="24"/>
  <c r="P6" i="30"/>
  <c r="D11" i="30"/>
  <c r="R5" i="30"/>
  <c r="Q5" i="30"/>
  <c r="R16" i="41" l="1"/>
  <c r="U15" i="41"/>
  <c r="S15" i="41"/>
  <c r="V15" i="41"/>
  <c r="T15" i="41"/>
  <c r="R11" i="24"/>
  <c r="S11" i="24"/>
  <c r="T11" i="24"/>
  <c r="P15" i="24"/>
  <c r="P12" i="24"/>
  <c r="Q11" i="24"/>
  <c r="D12" i="30"/>
  <c r="D15" i="30"/>
  <c r="D16" i="30" s="1"/>
  <c r="H75" i="17"/>
  <c r="T74" i="17"/>
  <c r="T75" i="17" s="1"/>
  <c r="Q6" i="30"/>
  <c r="R6" i="30"/>
  <c r="P11" i="30"/>
  <c r="P16" i="24" l="1"/>
  <c r="S15" i="24"/>
  <c r="T15" i="24"/>
  <c r="Q15" i="24"/>
  <c r="R15" i="24"/>
  <c r="P15" i="30"/>
  <c r="R11" i="30"/>
  <c r="Q11" i="30"/>
  <c r="P12" i="30"/>
  <c r="Q15" i="30" l="1"/>
  <c r="P16" i="30"/>
  <c r="R15" i="3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tc={B281D091-3B3B-411D-8544-8A8361852161}</author>
  </authors>
  <commentList>
    <comment ref="B3" authorId="0" shapeId="0" xr:uid="{B281D091-3B3B-411D-8544-8A836185216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@Emelda Waiya 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tc={A914F8D2-8D25-4255-A6AF-8F584D9F89C8}</author>
    <author>tc={F80D5A3F-F7C7-4877-BFD4-D260E56D2392}</author>
    <author>tc={747C9623-7515-40B4-8086-2B532E62C306}</author>
    <author>tc={006C2716-1F01-43C1-9D82-AD0817B1143F}</author>
    <author>tc={FF049AC3-4574-4093-86BF-433CB1068425}</author>
    <author>tc={CAB367E4-067E-49A4-9B13-7D6E64FDB39D}</author>
    <author>tc={51A5DE75-3177-48A4-A259-D0D1FC473D8B}</author>
    <author>tc={EFD4C21A-504D-4CCD-9EF9-73519EFE4CFF}</author>
    <author>tc={E543D22C-DBB6-4A90-8CAB-65E2D34BA623}</author>
    <author>tc={BF5BAE14-8480-4E55-94AB-01E33E097E7B}</author>
    <author>tc={97BE930C-7706-48AA-BF57-A8ABF638EC04}</author>
    <author>tc={36FF579A-3492-4959-AA8F-F28F44A803A6}</author>
    <author>tc={31DD13DD-D811-4DAD-92D1-067A7D475216}</author>
    <author>tc={8D007CAC-92BE-40AB-B80D-C9C8C4D7D963}</author>
    <author>tc={02E669BE-4135-4B84-89D8-A95472AB0D52}</author>
    <author>tc={DBCA1BBB-4E64-45B9-8DC3-265E2CE7A53A}</author>
    <author>tc={8837CA3F-C0B0-46B8-B162-15CC65855AF8}</author>
    <author>tc={CAB59158-CE23-4DB6-B30C-108CE55F9F2F}</author>
    <author>tc={A66F89A8-4EE3-4C85-B038-F93A23002A5D}</author>
    <author>tc={F2C9711B-4E6A-4339-9648-819706CF3DE3}</author>
    <author>tc={B21152A8-9F5E-44E9-9A33-C37DC3C8C441}</author>
  </authors>
  <commentList>
    <comment ref="F3" authorId="0" shapeId="0" xr:uid="{A914F8D2-8D25-4255-A6AF-8F584D9F89C8}">
      <text>
        <t>[Threaded comment]
Your version of Excel allows you to read this threaded comment; however, any edits to it will get removed if the file is opened in a newer version of Excel. Learn more: https://go.microsoft.com/fwlink/?linkid=870924
Comment:
    Lodgement of ASIC fee</t>
      </text>
    </comment>
    <comment ref="L3" authorId="1" shapeId="0" xr:uid="{F80D5A3F-F7C7-4877-BFD4-D260E56D2392}">
      <text>
        <t>[Threaded comment]
Your version of Excel allows you to read this threaded comment; however, any edits to it will get removed if the file is opened in a newer version of Excel. Learn more: https://go.microsoft.com/fwlink/?linkid=870924
Comment:
    FBT</t>
      </text>
    </comment>
    <comment ref="L7" authorId="2" shapeId="0" xr:uid="{747C9623-7515-40B4-8086-2B532E62C30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Includes Annual BG Fee </t>
      </text>
    </comment>
    <comment ref="B9" authorId="3" shapeId="0" xr:uid="{006C2716-1F01-43C1-9D82-AD0817B1143F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@Jordan Sexty could you please advise what else falls under ESG so we can check if 3k per month is too much or not enough?
Reply:
    CDP, SBTI, any additional which may be required by clients. @Gianmaria  Gonzales-Yao</t>
      </text>
    </comment>
    <comment ref="G12" authorId="4" shapeId="0" xr:uid="{FF049AC3-4574-4093-86BF-433CB1068425}">
      <text>
        <t>[Threaded comment]
Your version of Excel allows you to read this threaded comment; however, any edits to it will get removed if the file is opened in a newer version of Excel. Learn more: https://go.microsoft.com/fwlink/?linkid=870924
Comment:
    DL subscription resumes here</t>
      </text>
    </comment>
    <comment ref="K26" authorId="5" shapeId="0" xr:uid="{CAB367E4-067E-49A4-9B13-7D6E64FDB39D}">
      <text>
        <t>[Threaded comment]
Your version of Excel allows you to read this threaded comment; however, any edits to it will get removed if the file is opened in a newer version of Excel. Learn more: https://go.microsoft.com/fwlink/?linkid=870924
Comment:
    ASX Refinitiv</t>
      </text>
    </comment>
    <comment ref="I27" authorId="6" shapeId="0" xr:uid="{51A5DE75-3177-48A4-A259-D0D1FC473D8B}">
      <text>
        <t>[Threaded comment]
Your version of Excel allows you to read this threaded comment; however, any edits to it will get removed if the file is opened in a newer version of Excel. Learn more: https://go.microsoft.com/fwlink/?linkid=870924
Comment:
    Christmas</t>
      </text>
    </comment>
    <comment ref="E33" authorId="7" shapeId="0" xr:uid="{EFD4C21A-504D-4CCD-9EF9-73519EFE4CFF}">
      <text>
        <t>[Threaded comment]
Your version of Excel allows you to read this threaded comment; however, any edits to it will get removed if the file is opened in a newer version of Excel. Learn more: https://go.microsoft.com/fwlink/?linkid=870924
Comment:
    CTS Day transport</t>
      </text>
    </comment>
    <comment ref="B44" authorId="8" shapeId="0" xr:uid="{E543D22C-DBB6-4A90-8CAB-65E2D34BA623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@Emelda Waiya to cancel</t>
      </text>
    </comment>
    <comment ref="E47" authorId="9" shapeId="0" xr:uid="{BF5BAE14-8480-4E55-94AB-01E33E097E7B}">
      <text>
        <t>[Threaded comment]
Your version of Excel allows you to read this threaded comment; however, any edits to it will get removed if the file is opened in a newer version of Excel. Learn more: https://go.microsoft.com/fwlink/?linkid=870924
Comment:
    Website update</t>
      </text>
    </comment>
    <comment ref="E48" authorId="10" shapeId="0" xr:uid="{97BE930C-7706-48AA-BF57-A8ABF638EC04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 on CTS 20-year logo</t>
      </text>
    </comment>
    <comment ref="E62" authorId="11" shapeId="0" xr:uid="{36FF579A-3492-4959-AA8F-F28F44A803A6}">
      <text>
        <t>[Threaded comment]
Your version of Excel allows you to read this threaded comment; however, any edits to it will get removed if the file is opened in a newer version of Excel. Learn more: https://go.microsoft.com/fwlink/?linkid=870924
Comment:
    CTS Day</t>
      </text>
    </comment>
    <comment ref="I62" authorId="12" shapeId="0" xr:uid="{31DD13DD-D811-4DAD-92D1-067A7D475216}">
      <text>
        <t>[Threaded comment]
Your version of Excel allows you to read this threaded comment; however, any edits to it will get removed if the file is opened in a newer version of Excel. Learn more: https://go.microsoft.com/fwlink/?linkid=870924
Comment:
    Christmas party travel for staff</t>
      </text>
    </comment>
    <comment ref="F63" authorId="13" shapeId="0" xr:uid="{8D007CAC-92BE-40AB-B80D-C9C8C4D7D963}">
      <text>
        <t>[Threaded comment]
Your version of Excel allows you to read this threaded comment; however, any edits to it will get removed if the file is opened in a newer version of Excel. Learn more: https://go.microsoft.com/fwlink/?linkid=870924
Comment:
    20-year anniversary</t>
      </text>
    </comment>
    <comment ref="I63" authorId="14" shapeId="0" xr:uid="{02E669BE-4135-4B84-89D8-A95472AB0D5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Christmas Gifts</t>
      </text>
    </comment>
    <comment ref="G70" authorId="15" shapeId="0" xr:uid="{DBCA1BBB-4E64-45B9-8DC3-265E2CE7A53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Production survival kit</t>
      </text>
    </comment>
    <comment ref="E72" authorId="16" shapeId="0" xr:uid="{8837CA3F-C0B0-46B8-B162-15CC65855AF8}">
      <text>
        <t>[Threaded comment]
Your version of Excel allows you to read this threaded comment; however, any edits to it will get removed if the file is opened in a newer version of Excel. Learn more: https://go.microsoft.com/fwlink/?linkid=870924
Comment:
    CTS Day</t>
      </text>
    </comment>
    <comment ref="I72" authorId="17" shapeId="0" xr:uid="{CAB59158-CE23-4DB6-B30C-108CE55F9F2F}">
      <text>
        <t>[Threaded comment]
Your version of Excel allows you to read this threaded comment; however, any edits to it will get removed if the file is opened in a newer version of Excel. Learn more: https://go.microsoft.com/fwlink/?linkid=870924
Comment:
    Christmas party &amp; gifts for staff</t>
      </text>
    </comment>
    <comment ref="D106" authorId="18" shapeId="0" xr:uid="{A66F89A8-4EE3-4C85-B038-F93A23002A5D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 based on forecasted increase in rate</t>
      </text>
    </comment>
    <comment ref="F107" authorId="19" shapeId="0" xr:uid="{F2C9711B-4E6A-4339-9648-819706CF3DE3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Includes Employer Contributed Super $32,500 for FY2027</t>
      </text>
    </comment>
    <comment ref="A120" authorId="20" shapeId="0" xr:uid="{B21152A8-9F5E-44E9-9A33-C37DC3C8C441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 after FY finishes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tc={2F844AB0-8D3C-4425-940C-5172B9AA0859}</author>
    <author>tc={2399B528-A5B2-4AD1-BD73-7E1BC5623000}</author>
  </authors>
  <commentList>
    <comment ref="B3" authorId="0" shapeId="0" xr:uid="{2F844AB0-8D3C-4425-940C-5172B9AA0859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project basis</t>
      </text>
    </comment>
    <comment ref="E25" authorId="1" shapeId="0" xr:uid="{2399B528-A5B2-4AD1-BD73-7E1BC5623000}">
      <text>
        <t>[Threaded comment]
Your version of Excel allows you to read this threaded comment; however, any edits to it will get removed if the file is opened in a newer version of Excel. Learn more: https://go.microsoft.com/fwlink/?linkid=870924
Comment:
    Potentially back to 4 days from Sep 2025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tc={DADC720F-FF8A-49DC-8C09-3CD4B300D930}</author>
    <author>tc={2D7C1C8F-E824-44AB-A2F6-AFFCBFAC6C68}</author>
    <author>tc={D0EB8A3A-141C-461F-8DE0-3959F0F70C5F}</author>
    <author>tc={06E471E2-3718-4896-BFEE-091E2CF06684}</author>
    <author>tc={E9939E03-2CDD-4870-A327-5A0567A83E11}</author>
    <author>Jessica Nguyen</author>
    <author>tc={E369B734-AE82-48E7-B7B2-2D99901F5F0F}</author>
    <author>tc={A4A547CA-A4DB-417E-982B-0EAD0AD131CA}</author>
    <author>tc={359CA05B-DC5A-4785-8E2C-7515B65CDD82}</author>
    <author>tc={B92D1E77-CD38-424B-92E8-F685F003EA07}</author>
    <author>tc={A915CC4E-9244-4802-AEFE-8D53031A7EB3}</author>
    <author>tc={26CFEEE0-96B9-41D4-8E67-5FB104985F36}</author>
    <author>tc={DB7FB967-6C28-4B71-8939-E50B8C6321B7}</author>
    <author>tc={B7E936E3-5210-45C2-9689-FA657643224D}</author>
    <author>tc={D57D0246-EAAC-47DE-A7F6-249F62FD8189}</author>
    <author>tc={C74282BB-ADC9-43AB-B69D-8CB08BF33366}</author>
    <author>tc={54FC061C-4815-4309-B581-BDC63DBF0AA3}</author>
    <author>tc={0168EF1F-AB55-4696-98FB-93E5995F1611}</author>
    <author>tc={A9E7C301-87E9-4253-85CE-F4795F1B2933}</author>
  </authors>
  <commentList>
    <comment ref="CJ3" authorId="0" shapeId="0" xr:uid="{DADC720F-FF8A-49DC-8C09-3CD4B300D930}">
      <text>
        <t>[Threaded comment]
Your version of Excel allows you to read this threaded comment; however, any edits to it will get removed if the file is opened in a newer version of Excel. Learn more: https://go.microsoft.com/fwlink/?linkid=870924
Comment:
    Mandatory, please select from the drop down list.</t>
      </text>
    </comment>
    <comment ref="DO3" authorId="1" shapeId="0" xr:uid="{2D7C1C8F-E824-44AB-A2F6-AFFCBFAC6C68}">
      <text>
        <t>[Threaded comment]
Your version of Excel allows you to read this threaded comment; however, any edits to it will get removed if the file is opened in a newer version of Excel. Learn more: https://go.microsoft.com/fwlink/?linkid=870924
Comment:
    Mandatory, please select from the drop down list.</t>
      </text>
    </comment>
    <comment ref="DG15" authorId="2" shapeId="0" xr:uid="{D0EB8A3A-141C-461F-8DE0-3959F0F70C5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accrued</t>
      </text>
    </comment>
    <comment ref="DH15" authorId="3" shapeId="0" xr:uid="{06E471E2-3718-4896-BFEE-091E2CF06684}">
      <text>
        <t>[Threaded comment]
Your version of Excel allows you to read this threaded comment; however, any edits to it will get removed if the file is opened in a newer version of Excel. Learn more: https://go.microsoft.com/fwlink/?linkid=870924
Comment:
    accrued</t>
      </text>
    </comment>
    <comment ref="EG17" authorId="4" shapeId="0" xr:uid="{E9939E03-2CDD-4870-A327-5A0567A83E11}">
      <text>
        <t>[Threaded comment]
Your version of Excel allows you to read this threaded comment; however, any edits to it will get removed if the file is opened in a newer version of Excel. Learn more: https://go.microsoft.com/fwlink/?linkid=870924
Comment:
    YSG</t>
      </text>
    </comment>
    <comment ref="AI38" authorId="5" shapeId="0" xr:uid="{3B2402CE-4DBD-4012-B3ED-5FEFDBBC76D6}">
      <text>
        <r>
          <rPr>
            <b/>
            <sz val="9"/>
            <color indexed="81"/>
            <rFont val="Tahoma"/>
            <family val="2"/>
          </rPr>
          <t>Alpha Nobis FM P/L: Investa Directory Board 2023 $500
Plus 
PWC Monthly Contract Consulting $499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C56" authorId="6" shapeId="0" xr:uid="{E369B734-AE82-48E7-B7B2-2D99901F5F0F}">
      <text>
        <t>[Threaded comment]
Your version of Excel allows you to read this threaded comment; however, any edits to it will get removed if the file is opened in a newer version of Excel. Learn more: https://go.microsoft.com/fwlink/?linkid=870924
Comment:
    Scentre Group</t>
      </text>
    </comment>
    <comment ref="CL57" authorId="7" shapeId="0" xr:uid="{A4A547CA-A4DB-417E-982B-0EAD0AD131CA}">
      <text>
        <t>[Threaded comment]
Your version of Excel allows you to read this threaded comment; however, any edits to it will get removed if the file is opened in a newer version of Excel. Learn more: https://go.microsoft.com/fwlink/?linkid=870924
Comment:
    20% N/N &amp; 80% N/E</t>
      </text>
    </comment>
    <comment ref="DA57" authorId="8" shapeId="0" xr:uid="{359CA05B-DC5A-4785-8E2C-7515B65CDD82}">
      <text>
        <t>[Threaded comment]
Your version of Excel allows you to read this threaded comment; however, any edits to it will get removed if the file is opened in a newer version of Excel. Learn more: https://go.microsoft.com/fwlink/?linkid=870924
Comment:
    JC Purchases</t>
      </text>
    </comment>
    <comment ref="DC57" authorId="9" shapeId="0" xr:uid="{B92D1E77-CD38-424B-92E8-F685F003EA07}">
      <text>
        <t>[Threaded comment]
Your version of Excel allows you to read this threaded comment; however, any edits to it will get removed if the file is opened in a newer version of Excel. Learn more: https://go.microsoft.com/fwlink/?linkid=870924
Comment:
    Scentre Group</t>
      </text>
    </comment>
    <comment ref="DD57" authorId="10" shapeId="0" xr:uid="{A915CC4E-9244-4802-AEFE-8D53031A7EB3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Remondis</t>
      </text>
    </comment>
    <comment ref="DE57" authorId="11" shapeId="0" xr:uid="{26CFEEE0-96B9-41D4-8E67-5FB104985F36}">
      <text>
        <t>[Threaded comment]
Your version of Excel allows you to read this threaded comment; however, any edits to it will get removed if the file is opened in a newer version of Excel. Learn more: https://go.microsoft.com/fwlink/?linkid=870924
Comment:
    Novigi</t>
      </text>
    </comment>
    <comment ref="DF57" authorId="12" shapeId="0" xr:uid="{DB7FB967-6C28-4B71-8939-E50B8C6321B7}">
      <text>
        <t>[Threaded comment]
Your version of Excel allows you to read this threaded comment; however, any edits to it will get removed if the file is opened in a newer version of Excel. Learn more: https://go.microsoft.com/fwlink/?linkid=870924
Comment:
    Novigi Boardroom consult</t>
      </text>
    </comment>
    <comment ref="DQ57" authorId="13" shapeId="0" xr:uid="{B7E936E3-5210-45C2-9689-FA657643224D}">
      <text>
        <t>[Threaded comment]
Your version of Excel allows you to read this threaded comment; however, any edits to it will get removed if the file is opened in a newer version of Excel. Learn more: https://go.microsoft.com/fwlink/?linkid=870924
Comment:
    20% N/N &amp; 80% N/E</t>
      </text>
    </comment>
    <comment ref="CL58" authorId="14" shapeId="0" xr:uid="{D57D0246-EAAC-47DE-A7F6-249F62FD8189}">
      <text>
        <t>[Threaded comment]
Your version of Excel allows you to read this threaded comment; however, any edits to it will get removed if the file is opened in a newer version of Excel. Learn more: https://go.microsoft.com/fwlink/?linkid=870924
Comment:
    20% N/N &amp; 80% N/E</t>
      </text>
    </comment>
    <comment ref="DE58" authorId="15" shapeId="0" xr:uid="{C74282BB-ADC9-43AB-B69D-8CB08BF33366}">
      <text>
        <t>[Threaded comment]
Your version of Excel allows you to read this threaded comment; however, any edits to it will get removed if the file is opened in a newer version of Excel. Learn more: https://go.microsoft.com/fwlink/?linkid=870924
Comment:
    Presynct</t>
      </text>
    </comment>
    <comment ref="DQ58" authorId="16" shapeId="0" xr:uid="{54FC061C-4815-4309-B581-BDC63DBF0AA3}">
      <text>
        <t>[Threaded comment]
Your version of Excel allows you to read this threaded comment; however, any edits to it will get removed if the file is opened in a newer version of Excel. Learn more: https://go.microsoft.com/fwlink/?linkid=870924
Comment:
    20% N/N &amp; 80% N/E</t>
      </text>
    </comment>
    <comment ref="DE59" authorId="17" shapeId="0" xr:uid="{0168EF1F-AB55-4696-98FB-93E5995F1611}">
      <text>
        <t>[Threaded comment]
Your version of Excel allows you to read this threaded comment; however, any edits to it will get removed if the file is opened in a newer version of Excel. Learn more: https://go.microsoft.com/fwlink/?linkid=870924
Comment:
    Novigi</t>
      </text>
    </comment>
    <comment ref="DF59" authorId="18" shapeId="0" xr:uid="{A9E7C301-87E9-4253-85CE-F4795F1B2933}">
      <text>
        <t>[Threaded comment]
Your version of Excel allows you to read this threaded comment; however, any edits to it will get removed if the file is opened in a newer version of Excel. Learn more: https://go.microsoft.com/fwlink/?linkid=870924
Comment:
    Novigi Boardroom consult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tc={6E6AD788-C884-4661-9E9C-D55CDF1B1851}</author>
  </authors>
  <commentList>
    <comment ref="E10" authorId="0" shapeId="0" xr:uid="{6E6AD788-C884-4661-9E9C-D55CDF1B1851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pivot table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tc={2E86A114-230A-4646-9A30-EBC6ECC3D47A}</author>
    <author>tc={0469104B-C28E-4D95-B4D2-83CDA8881126}</author>
    <author>tc={53B0346C-FD5E-4A0A-A460-2CA9EB4F9DB2}</author>
    <author>tc={100DC293-54B9-49DC-BE04-28A35D1EB180}</author>
  </authors>
  <commentList>
    <comment ref="D9" authorId="0" shapeId="0" xr:uid="{2E86A114-230A-4646-9A30-EBC6ECC3D47A}">
      <text>
        <t>[Threaded comment]
Your version of Excel allows you to read this threaded comment; however, any edits to it will get removed if the file is opened in a newer version of Excel. Learn more: https://go.microsoft.com/fwlink/?linkid=870924
Comment:
    manual</t>
      </text>
    </comment>
    <comment ref="D10" authorId="1" shapeId="0" xr:uid="{0469104B-C28E-4D95-B4D2-83CDA8881126}">
      <text>
        <t>[Threaded comment]
Your version of Excel allows you to read this threaded comment; however, any edits to it will get removed if the file is opened in a newer version of Excel. Learn more: https://go.microsoft.com/fwlink/?linkid=870924
Comment:
    manual</t>
      </text>
    </comment>
    <comment ref="D13" authorId="2" shapeId="0" xr:uid="{53B0346C-FD5E-4A0A-A460-2CA9EB4F9DB2}">
      <text>
        <t>[Threaded comment]
Your version of Excel allows you to read this threaded comment; however, any edits to it will get removed if the file is opened in a newer version of Excel. Learn more: https://go.microsoft.com/fwlink/?linkid=870924
Comment:
    manual</t>
      </text>
    </comment>
    <comment ref="B53" authorId="3" shapeId="0" xr:uid="{100DC293-54B9-49DC-BE04-28A35D1EB180}">
      <text>
        <t>[Threaded comment]
Your version of Excel allows you to read this threaded comment; however, any edits to it will get removed if the file is opened in a newer version of Excel. Learn more: https://go.microsoft.com/fwlink/?linkid=870924
Comment:
    Manually taken from AL-LSL Provision spreadsheet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tc={D7E06146-407B-4824-881E-805759CFBBD5}</author>
    <author>tc={254D2DA6-7DC7-4007-A6AA-B2652276E9A4}</author>
    <author>tc={CFA24B3F-9E77-44FF-8A6E-D166DAEF35FE}</author>
    <author>tc={9410152B-A56B-4086-8F82-F26C215152B6}</author>
    <author>tc={5545BBAB-87F8-4786-AE3D-13887D604972}</author>
    <author>tc={D6EF3FFA-FD45-4DD6-AE04-B3521BEE533D}</author>
    <author>tc={32889464-C848-4C92-938D-9E151417132D}</author>
    <author>tc={48BAD467-F765-45FC-97AA-996206DCCDFE}</author>
    <author>tc={07A1F3D3-0C04-4936-BB89-AE55546042CA}</author>
  </authors>
  <commentList>
    <comment ref="BQ3" authorId="0" shapeId="0" xr:uid="{D7E06146-407B-4824-881E-805759CFBBD5}">
      <text>
        <t>[Threaded comment]
Your version of Excel allows you to read this threaded comment; however, any edits to it will get removed if the file is opened in a newer version of Excel. Learn more: https://go.microsoft.com/fwlink/?linkid=870924
Comment:
    Mandatory, please select from the drop down list.</t>
      </text>
    </comment>
    <comment ref="CU3" authorId="1" shapeId="0" xr:uid="{254D2DA6-7DC7-4007-A6AA-B2652276E9A4}">
      <text>
        <t>[Threaded comment]
Your version of Excel allows you to read this threaded comment; however, any edits to it will get removed if the file is opened in a newer version of Excel. Learn more: https://go.microsoft.com/fwlink/?linkid=870924
Comment:
    Mandatory, please select from the drop down list.</t>
      </text>
    </comment>
    <comment ref="DF29" authorId="2" shapeId="0" xr:uid="{CFA24B3F-9E77-44FF-8A6E-D166DAEF35FE}">
      <text>
        <t>[Threaded comment]
Your version of Excel allows you to read this threaded comment; however, any edits to it will get removed if the file is opened in a newer version of Excel. Learn more: https://go.microsoft.com/fwlink/?linkid=870924
Comment:
    50% chance of extension to this price.</t>
      </text>
    </comment>
    <comment ref="CW39" authorId="3" shapeId="0" xr:uid="{9410152B-A56B-4086-8F82-F26C215152B6}">
      <text>
        <t>[Threaded comment]
Your version of Excel allows you to read this threaded comment; however, any edits to it will get removed if the file is opened in a newer version of Excel. Learn more: https://go.microsoft.com/fwlink/?linkid=870924
Comment:
    $520 DTTL + $240 CBA + $60 BW</t>
      </text>
    </comment>
    <comment ref="CI56" authorId="4" shapeId="0" xr:uid="{5545BBAB-87F8-4786-AE3D-13887D604972}">
      <text>
        <t>[Threaded comment]
Your version of Excel allows you to read this threaded comment; however, any edits to it will get removed if the file is opened in a newer version of Excel. Learn more: https://go.microsoft.com/fwlink/?linkid=870924
Comment:
    APN</t>
      </text>
    </comment>
    <comment ref="CI57" authorId="5" shapeId="0" xr:uid="{D6EF3FFA-FD45-4DD6-AE04-B3521BEE533D}">
      <text>
        <t>[Threaded comment]
Your version of Excel allows you to read this threaded comment; however, any edits to it will get removed if the file is opened in a newer version of Excel. Learn more: https://go.microsoft.com/fwlink/?linkid=870924
Comment:
    540 DTTL + 240 CBA</t>
      </text>
    </comment>
    <comment ref="CJ65" authorId="6" shapeId="0" xr:uid="{32889464-C848-4C92-938D-9E151417132D}">
      <text>
        <t>[Threaded comment]
Your version of Excel allows you to read this threaded comment; however, any edits to it will get removed if the file is opened in a newer version of Excel. Learn more: https://go.microsoft.com/fwlink/?linkid=870924
Comment:
    Excludes Dan’s Salary from Oct-Jun</t>
      </text>
    </comment>
    <comment ref="BR66" authorId="7" shapeId="0" xr:uid="{48BAD467-F765-45FC-97AA-996206DCCDFE}">
      <text>
        <t>[Threaded comment]
Your version of Excel allows you to read this threaded comment; however, any edits to it will get removed if the file is opened in a newer version of Excel. Learn more: https://go.microsoft.com/fwlink/?linkid=870924
Comment:
    Labour Hire Licences</t>
      </text>
    </comment>
    <comment ref="CV66" authorId="8" shapeId="0" xr:uid="{07A1F3D3-0C04-4936-BB89-AE55546042CA}">
      <text>
        <t>[Threaded comment]
Your version of Excel allows you to read this threaded comment; however, any edits to it will get removed if the file is opened in a newer version of Excel. Learn more: https://go.microsoft.com/fwlink/?linkid=870924
Comment:
    Labour Hire Licences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tc={C36036E5-3283-45F5-8379-FF83AA8F2690}</author>
    <author>tc={7F209AC2-65FD-4AA6-8AEA-1451D9402055}</author>
    <author>tc={064ABCB2-0351-44B1-83B6-99073ADB87B2}</author>
    <author>tc={15B0FE71-C9AA-4960-8192-7B9F1F6DEA78}</author>
    <author>tc={2541E1EB-37D7-4F13-ABFF-83D04AD4BAB4}</author>
    <author>tc={AD2C892C-2045-48B0-83B0-32236D9F7D99}</author>
    <author>tc={A0046C6F-0025-4EF1-9C38-A7F831AF00D9}</author>
    <author>tc={6DA2C6D2-22D0-41A1-AA96-6D3D0952757F}</author>
    <author>tc={7D4836FE-17B8-4093-9146-F8192ADA7DBB}</author>
    <author>tc={C27F9436-86B9-4D1A-8EBA-F9F18A6C2D86}</author>
    <author>tc={769640DF-04DD-412C-A210-51FCB7CEC3CE}</author>
    <author>tc={CD04B6A2-BB58-41B4-BB9C-83B1571DE2E0}</author>
    <author>tc={C3D0C6A4-A522-4F01-B581-4CDADECAA120}</author>
    <author>tc={730B7946-84A5-40FB-97B1-76C2710778D1}</author>
    <author>tc={B48D1D2A-21C4-4F25-9D31-13A2597083C7}</author>
    <author>tc={770F92EF-B037-479C-A4E4-573A6F17E007}</author>
    <author>tc={F511AF68-94DE-4B6F-9E88-3AB252B7CC7E}</author>
    <author>tc={30AC70B4-E1B6-4E66-A21A-F09EEAC27FD8}</author>
    <author>tc={03C1BCF7-A3E7-44C1-AFB0-6464267D22F2}</author>
    <author>tc={703BD1CA-C828-4506-8498-16DED45F2B53}</author>
    <author>Jaazaniah Salanoa</author>
    <author>Guest User</author>
    <author>tc={06CDE319-4334-444D-A2C6-B4E12D056B2A}</author>
    <author>Jordan Sexty</author>
  </authors>
  <commentList>
    <comment ref="AD3" authorId="0" shapeId="0" xr:uid="{C36036E5-3283-45F5-8379-FF83AA8F2690}">
      <text>
        <t>[Threaded comment]
Your version of Excel allows you to read this threaded comment; however, any edits to it will get removed if the file is opened in a newer version of Excel. Learn more: https://go.microsoft.com/fwlink/?linkid=870924
Comment:
    Mandatory. Please select from the drop down list.</t>
      </text>
    </comment>
    <comment ref="AT3" authorId="1" shapeId="0" xr:uid="{7F209AC2-65FD-4AA6-8AEA-1451D9402055}">
      <text>
        <t>[Threaded comment]
Your version of Excel allows you to read this threaded comment; however, any edits to it will get removed if the file is opened in a newer version of Excel. Learn more: https://go.microsoft.com/fwlink/?linkid=870924
Comment:
    Mandatory. Please select from the drop down list.</t>
      </text>
    </comment>
    <comment ref="CL3" authorId="2" shapeId="0" xr:uid="{064ABCB2-0351-44B1-83B6-99073ADB87B2}">
      <text>
        <t>[Threaded comment]
Your version of Excel allows you to read this threaded comment; however, any edits to it will get removed if the file is opened in a newer version of Excel. Learn more: https://go.microsoft.com/fwlink/?linkid=870924
Comment:
    Mandatory. Please select from the drop down list.</t>
      </text>
    </comment>
    <comment ref="DB3" authorId="3" shapeId="0" xr:uid="{15B0FE71-C9AA-4960-8192-7B9F1F6DEA78}">
      <text>
        <t>[Threaded comment]
Your version of Excel allows you to read this threaded comment; however, any edits to it will get removed if the file is opened in a newer version of Excel. Learn more: https://go.microsoft.com/fwlink/?linkid=870924
Comment:
    Mandatory. Please select from the drop down list.</t>
      </text>
    </comment>
    <comment ref="BJ4" authorId="4" shapeId="0" xr:uid="{2541E1EB-37D7-4F13-ABFF-83D04AD4BAB4}">
      <text>
        <t>[Threaded comment]
Your version of Excel allows you to read this threaded comment; however, any edits to it will get removed if the file is opened in a newer version of Excel. Learn more: https://go.microsoft.com/fwlink/?linkid=870924
Comment:
    Dimensional
Optiver</t>
      </text>
    </comment>
    <comment ref="BK4" authorId="5" shapeId="0" xr:uid="{AD2C892C-2045-48B0-83B0-32236D9F7D99}">
      <text>
        <t>[Threaded comment]
Your version of Excel allows you to read this threaded comment; however, any edits to it will get removed if the file is opened in a newer version of Excel. Learn more: https://go.microsoft.com/fwlink/?linkid=870924
Comment:
    Dimensional
Loghic
St. Vincent
Woke</t>
      </text>
    </comment>
    <comment ref="BL4" authorId="6" shapeId="0" xr:uid="{A0046C6F-0025-4EF1-9C38-A7F831AF00D9}">
      <text>
        <t>[Threaded comment]
Your version of Excel allows you to read this threaded comment; however, any edits to it will get removed if the file is opened in a newer version of Excel. Learn more: https://go.microsoft.com/fwlink/?linkid=870924
Comment:
    DFA, EY, ICC</t>
      </text>
    </comment>
    <comment ref="BM4" authorId="7" shapeId="0" xr:uid="{6DA2C6D2-22D0-41A1-AA96-6D3D0952757F}">
      <text>
        <t>[Threaded comment]
Your version of Excel allows you to read this threaded comment; however, any edits to it will get removed if the file is opened in a newer version of Excel. Learn more: https://go.microsoft.com/fwlink/?linkid=870924
Comment:
    Dimensional &amp; Ootoz &amp; Ventia</t>
      </text>
    </comment>
    <comment ref="BN4" authorId="8" shapeId="0" xr:uid="{7D4836FE-17B8-4093-9146-F8192ADA7DBB}">
      <text>
        <t>[Threaded comment]
Your version of Excel allows you to read this threaded comment; however, any edits to it will get removed if the file is opened in a newer version of Excel. Learn more: https://go.microsoft.com/fwlink/?linkid=870924
Comment:
    Dimensional &amp; Elkiem &amp; Fredon &amp; Vega</t>
      </text>
    </comment>
    <comment ref="BO4" authorId="9" shapeId="0" xr:uid="{C27F9436-86B9-4D1A-8EBA-F9F18A6C2D86}">
      <text>
        <t>[Threaded comment]
Your version of Excel allows you to read this threaded comment; however, any edits to it will get removed if the file is opened in a newer version of Excel. Learn more: https://go.microsoft.com/fwlink/?linkid=870924
Comment:
    Optiver/Vega</t>
      </text>
    </comment>
    <comment ref="BY4" authorId="10" shapeId="0" xr:uid="{769640DF-04DD-412C-A210-51FCB7CEC3CE}">
      <text>
        <t>[Threaded comment]
Your version of Excel allows you to read this threaded comment; however, any edits to it will get removed if the file is opened in a newer version of Excel. Learn more: https://go.microsoft.com/fwlink/?linkid=870924
Comment:
    St. Vincent</t>
      </text>
    </comment>
    <comment ref="CB4" authorId="11" shapeId="0" xr:uid="{CD04B6A2-BB58-41B4-BB9C-83B1571DE2E0}">
      <text>
        <t>[Threaded comment]
Your version of Excel allows you to read this threaded comment; however, any edits to it will get removed if the file is opened in a newer version of Excel. Learn more: https://go.microsoft.com/fwlink/?linkid=870924
Comment:
    Vega</t>
      </text>
    </comment>
    <comment ref="BK5" authorId="12" shapeId="0" xr:uid="{C3D0C6A4-A522-4F01-B581-4CDADECAA120}">
      <text>
        <t>[Threaded comment]
Your version of Excel allows you to read this threaded comment; however, any edits to it will get removed if the file is opened in a newer version of Excel. Learn more: https://go.microsoft.com/fwlink/?linkid=870924
Comment:
    Symal
Amazon
Virgin</t>
      </text>
    </comment>
    <comment ref="BL5" authorId="13" shapeId="0" xr:uid="{730B7946-84A5-40FB-97B1-76C2710778D1}">
      <text>
        <t>[Threaded comment]
Your version of Excel allows you to read this threaded comment; however, any edits to it will get removed if the file is opened in a newer version of Excel. Learn more: https://go.microsoft.com/fwlink/?linkid=870924
Comment:
    Elkiem; Production Technologies, AI Media</t>
      </text>
    </comment>
    <comment ref="BN5" authorId="14" shapeId="0" xr:uid="{B48D1D2A-21C4-4F25-9D31-13A2597083C7}">
      <text>
        <t>[Threaded comment]
Your version of Excel allows you to read this threaded comment; however, any edits to it will get removed if the file is opened in a newer version of Excel. Learn more: https://go.microsoft.com/fwlink/?linkid=870924
Comment:
    ART &amp; Noumi</t>
      </text>
    </comment>
    <comment ref="BQ5" authorId="15" shapeId="0" xr:uid="{770F92EF-B037-479C-A4E4-573A6F17E007}">
      <text>
        <t>[Threaded comment]
Your version of Excel allows you to read this threaded comment; however, any edits to it will get removed if the file is opened in a newer version of Excel. Learn more: https://go.microsoft.com/fwlink/?linkid=870924
Comment:
    Nyrada and Loreto</t>
      </text>
    </comment>
    <comment ref="BY5" authorId="16" shapeId="0" xr:uid="{F511AF68-94DE-4B6F-9E88-3AB252B7CC7E}">
      <text>
        <t>[Threaded comment]
Your version of Excel allows you to read this threaded comment; however, any edits to it will get removed if the file is opened in a newer version of Excel. Learn more: https://go.microsoft.com/fwlink/?linkid=870924
Comment:
    Symal</t>
      </text>
    </comment>
    <comment ref="BZ5" authorId="17" shapeId="0" xr:uid="{30AC70B4-E1B6-4E66-A21A-F09EEAC27FD8}">
      <text>
        <t>[Threaded comment]
Your version of Excel allows you to read this threaded comment; however, any edits to it will get removed if the file is opened in a newer version of Excel. Learn more: https://go.microsoft.com/fwlink/?linkid=870924
Comment:
    AI Media</t>
      </text>
    </comment>
    <comment ref="CA5" authorId="18" shapeId="0" xr:uid="{03C1BCF7-A3E7-44C1-AFB0-6464267D22F2}">
      <text>
        <t>[Threaded comment]
Your version of Excel allows you to read this threaded comment; however, any edits to it will get removed if the file is opened in a newer version of Excel. Learn more: https://go.microsoft.com/fwlink/?linkid=870924
Comment:
    LSEG</t>
      </text>
    </comment>
    <comment ref="DR5" authorId="19" shapeId="0" xr:uid="{703BD1CA-C828-4506-8498-16DED45F2B53}">
      <text>
        <t>[Threaded comment]
Your version of Excel allows you to read this threaded comment; however, any edits to it will get removed if the file is opened in a newer version of Excel. Learn more: https://go.microsoft.com/fwlink/?linkid=870924
Comment:
    Litecard, Microsoft, Chin Collective</t>
      </text>
    </comment>
    <comment ref="Q6" authorId="20" shapeId="0" xr:uid="{7B8E63AF-44CE-483D-9551-A67AEFBF9D9C}">
      <text>
        <r>
          <rPr>
            <b/>
            <sz val="9"/>
            <color indexed="81"/>
            <rFont val="Tahoma"/>
            <family val="2"/>
          </rPr>
          <t>FY Results</t>
        </r>
      </text>
    </comment>
    <comment ref="W6" authorId="20" shapeId="0" xr:uid="{AE5B03DC-292A-45BF-A200-EC18E17108A3}">
      <text>
        <r>
          <rPr>
            <b/>
            <sz val="9"/>
            <color indexed="81"/>
            <rFont val="Tahoma"/>
            <family val="2"/>
          </rPr>
          <t>HY Results</t>
        </r>
      </text>
    </comment>
    <comment ref="X6" authorId="20" shapeId="0" xr:uid="{ED55E231-4B2B-44F9-B660-F2CAAAEA1145}">
      <text>
        <r>
          <rPr>
            <b/>
            <sz val="9"/>
            <color indexed="81"/>
            <rFont val="Tahoma"/>
            <family val="2"/>
          </rPr>
          <t>Investor Day</t>
        </r>
      </text>
    </comment>
    <comment ref="U7" authorId="21" shapeId="0" xr:uid="{357A2A2B-152A-441B-B305-D4748563EA54}">
      <text>
        <r>
          <rPr>
            <sz val="10"/>
            <rFont val="Arial"/>
            <family val="2"/>
          </rPr>
          <t xml:space="preserve">Unknown User:
ESG Event
</t>
        </r>
      </text>
    </comment>
    <comment ref="W7" authorId="21" shapeId="0" xr:uid="{35407D6A-93B2-4CD9-9996-9D17711E057C}">
      <text>
        <r>
          <rPr>
            <sz val="10"/>
            <rFont val="Arial"/>
            <family val="2"/>
          </rPr>
          <t xml:space="preserve">Unknown User:
AGM
</t>
        </r>
      </text>
    </comment>
    <comment ref="AA7" authorId="21" shapeId="0" xr:uid="{16DE5F72-F567-4C70-8647-86968569B5CC}">
      <text>
        <r>
          <rPr>
            <sz val="10"/>
            <rFont val="Arial"/>
            <family val="2"/>
          </rPr>
          <t>Unknown User:
Investor Day</t>
        </r>
      </text>
    </comment>
    <comment ref="P13" authorId="20" shapeId="0" xr:uid="{D597D8A6-84FE-41A5-BD26-3A1E52749C1A}">
      <text>
        <r>
          <rPr>
            <b/>
            <sz val="9"/>
            <color indexed="81"/>
            <rFont val="Tahoma"/>
            <family val="2"/>
          </rPr>
          <t>Listings, Business Committee</t>
        </r>
      </text>
    </comment>
    <comment ref="Q13" authorId="20" shapeId="0" xr:uid="{35BB03A1-5A43-4957-9070-47F901D8773E}">
      <text>
        <r>
          <rPr>
            <b/>
            <sz val="9"/>
            <color indexed="81"/>
            <rFont val="Tahoma"/>
            <family val="2"/>
          </rPr>
          <t>Listings, CEO Connect, FY Results</t>
        </r>
      </text>
    </comment>
    <comment ref="R13" authorId="20" shapeId="0" xr:uid="{7BD736D3-9E51-4E85-9374-A984842D26E3}">
      <text>
        <r>
          <rPr>
            <b/>
            <sz val="9"/>
            <color indexed="81"/>
            <rFont val="Tahoma"/>
            <family val="2"/>
          </rPr>
          <t>Listings, AGM</t>
        </r>
      </text>
    </comment>
    <comment ref="S13" authorId="20" shapeId="0" xr:uid="{BAFFADD5-B1C3-4269-A1F6-C28642F562EA}">
      <text>
        <r>
          <rPr>
            <b/>
            <sz val="9"/>
            <color indexed="81"/>
            <rFont val="Tahoma"/>
            <family val="2"/>
          </rPr>
          <t>Listings</t>
        </r>
      </text>
    </comment>
    <comment ref="T13" authorId="20" shapeId="0" xr:uid="{9BE6F1BF-D83D-465E-A862-8E0B7354C6DA}">
      <text>
        <r>
          <rPr>
            <b/>
            <sz val="9"/>
            <color indexed="81"/>
            <rFont val="Tahoma"/>
            <family val="2"/>
          </rPr>
          <t>Listings, Auditorium</t>
        </r>
      </text>
    </comment>
    <comment ref="U13" authorId="20" shapeId="0" xr:uid="{A5E462D2-FF9F-4B7D-83F9-A953A3BA2B6A}">
      <text>
        <r>
          <rPr>
            <b/>
            <sz val="9"/>
            <color indexed="81"/>
            <rFont val="Tahoma"/>
            <family val="2"/>
          </rPr>
          <t>Listings</t>
        </r>
      </text>
    </comment>
    <comment ref="V13" authorId="20" shapeId="0" xr:uid="{3ADAA51B-CEB6-483B-AEF6-F2E84A01238B}">
      <text>
        <r>
          <rPr>
            <b/>
            <sz val="9"/>
            <color indexed="81"/>
            <rFont val="Tahoma"/>
            <family val="2"/>
          </rPr>
          <t>Listings</t>
        </r>
      </text>
    </comment>
    <comment ref="W13" authorId="20" shapeId="0" xr:uid="{FE1D0545-C74C-4241-B5AB-25DEF9D6C103}">
      <text>
        <r>
          <rPr>
            <b/>
            <sz val="9"/>
            <color indexed="81"/>
            <rFont val="Tahoma"/>
            <family val="2"/>
          </rPr>
          <t>Listings, HY Results</t>
        </r>
      </text>
    </comment>
    <comment ref="X13" authorId="20" shapeId="0" xr:uid="{5E9B544F-C399-4E5E-8615-DDCF496FD68A}">
      <text>
        <r>
          <rPr>
            <b/>
            <sz val="9"/>
            <color indexed="81"/>
            <rFont val="Tahoma"/>
            <family val="2"/>
          </rPr>
          <t xml:space="preserve">Listings, CEO Connect </t>
        </r>
      </text>
    </comment>
    <comment ref="Y13" authorId="20" shapeId="0" xr:uid="{28B250EE-FAFE-4323-9BCE-3418E539B26C}">
      <text>
        <r>
          <rPr>
            <b/>
            <sz val="9"/>
            <color indexed="81"/>
            <rFont val="Tahoma"/>
            <family val="2"/>
          </rPr>
          <t xml:space="preserve">Listings, CEO Connect </t>
        </r>
      </text>
    </comment>
    <comment ref="Z13" authorId="20" shapeId="0" xr:uid="{7DEE285C-CC4D-4C3F-8ABB-2C034A7506F4}">
      <text>
        <r>
          <rPr>
            <b/>
            <sz val="9"/>
            <color indexed="81"/>
            <rFont val="Tahoma"/>
            <family val="2"/>
          </rPr>
          <t xml:space="preserve">Listings, Zoom licence </t>
        </r>
      </text>
    </comment>
    <comment ref="AA13" authorId="20" shapeId="0" xr:uid="{2371FE54-FC57-4E8F-819A-095F0C728686}">
      <text>
        <r>
          <rPr>
            <b/>
            <sz val="9"/>
            <color indexed="81"/>
            <rFont val="Tahoma"/>
            <family val="2"/>
          </rPr>
          <t>Advisers Day (auditorium)</t>
        </r>
      </text>
    </comment>
    <comment ref="BM13" authorId="22" shapeId="0" xr:uid="{06CDE319-4334-444D-A2C6-B4E12D056B2A}">
      <text>
        <t>[Threaded comment]
Your version of Excel allows you to read this threaded comment; however, any edits to it will get removed if the file is opened in a newer version of Excel. Learn more: https://go.microsoft.com/fwlink/?linkid=870924
Comment:
    increase</t>
      </text>
    </comment>
    <comment ref="Q16" authorId="20" shapeId="0" xr:uid="{0EC9C173-8955-455C-96C8-D86D2C59EF10}">
      <text>
        <r>
          <rPr>
            <b/>
            <sz val="9"/>
            <color indexed="81"/>
            <rFont val="Tahoma"/>
            <family val="2"/>
          </rPr>
          <t>COH Results</t>
        </r>
      </text>
    </comment>
    <comment ref="S16" authorId="20" shapeId="0" xr:uid="{8235A62C-9C44-4F09-AF91-4F1ADCADD88B}">
      <text>
        <r>
          <rPr>
            <b/>
            <sz val="9"/>
            <color indexed="81"/>
            <rFont val="Tahoma"/>
            <family val="2"/>
          </rPr>
          <t>COH AGM</t>
        </r>
      </text>
    </comment>
    <comment ref="W16" authorId="20" shapeId="0" xr:uid="{12F4D4DE-B991-4A30-A489-B7ADA9ED8CC1}">
      <text>
        <r>
          <rPr>
            <b/>
            <sz val="9"/>
            <color indexed="81"/>
            <rFont val="Tahoma"/>
            <family val="2"/>
          </rPr>
          <t>COH Results</t>
        </r>
      </text>
    </comment>
    <comment ref="P17" authorId="20" shapeId="0" xr:uid="{F50AD437-6C9B-4961-9CE8-25CDE9C80F43}">
      <text/>
    </comment>
    <comment ref="S17" authorId="20" shapeId="0" xr:uid="{E33578CA-A7D9-4733-9DAB-C0C544682333}">
      <text>
        <r>
          <rPr>
            <b/>
            <sz val="9"/>
            <color indexed="81"/>
            <rFont val="Tahoma"/>
            <family val="2"/>
          </rPr>
          <t>CBA AGM, Agile meeting, Everest Awards</t>
        </r>
      </text>
    </comment>
    <comment ref="T17" authorId="20" shapeId="0" xr:uid="{F4B77C9B-BCD1-4431-825B-89AA52615A59}">
      <text>
        <r>
          <rPr>
            <b/>
            <sz val="9"/>
            <color indexed="81"/>
            <rFont val="Tahoma"/>
            <family val="2"/>
          </rPr>
          <t>CEO Customer Forum, CFP Story @ 50%</t>
        </r>
      </text>
    </comment>
    <comment ref="U17" authorId="20" shapeId="0" xr:uid="{F74167ED-E8F9-45EE-AEBB-BE18262B5FA7}">
      <text>
        <r>
          <rPr>
            <b/>
            <sz val="9"/>
            <color indexed="81"/>
            <rFont val="Tahoma"/>
            <family val="2"/>
          </rPr>
          <t xml:space="preserve">Unity
</t>
        </r>
      </text>
    </comment>
    <comment ref="Z17" authorId="20" shapeId="0" xr:uid="{E01ADFDD-3AA9-4974-A13D-D38FD635C6B9}">
      <text>
        <r>
          <rPr>
            <b/>
            <sz val="9"/>
            <color indexed="81"/>
            <rFont val="Tahoma"/>
            <family val="2"/>
          </rPr>
          <t>IM&amp;B</t>
        </r>
      </text>
    </comment>
    <comment ref="P18" authorId="20" shapeId="0" xr:uid="{FEFE65FF-19D2-41D9-A442-F3CDA9DFA7FF}">
      <text>
        <r>
          <rPr>
            <b/>
            <sz val="9"/>
            <color indexed="81"/>
            <rFont val="Tahoma"/>
            <family val="2"/>
          </rPr>
          <t>CGI</t>
        </r>
      </text>
    </comment>
    <comment ref="Q25" authorId="20" shapeId="0" xr:uid="{B01E2B32-8E23-42BA-A0A1-51BB270DBF86}">
      <text>
        <r>
          <rPr>
            <b/>
            <sz val="9"/>
            <color indexed="81"/>
            <rFont val="Tahoma"/>
            <family val="2"/>
          </rPr>
          <t>Mirvac</t>
        </r>
      </text>
    </comment>
    <comment ref="T25" authorId="20" shapeId="0" xr:uid="{97505EB4-38BF-4A50-AB87-67211589B6C1}">
      <text>
        <r>
          <rPr>
            <b/>
            <sz val="9"/>
            <color indexed="81"/>
            <rFont val="Tahoma"/>
            <family val="2"/>
          </rPr>
          <t>PPT</t>
        </r>
      </text>
    </comment>
    <comment ref="W25" authorId="20" shapeId="0" xr:uid="{6776D0E9-A484-4FDF-9EA1-9DFE922EA09E}">
      <text>
        <r>
          <rPr>
            <b/>
            <sz val="9"/>
            <color indexed="81"/>
            <rFont val="Tahoma"/>
            <family val="2"/>
          </rPr>
          <t>Mirvac</t>
        </r>
      </text>
    </comment>
    <comment ref="X25" authorId="20" shapeId="0" xr:uid="{2DA8FB69-36C2-40DD-BB95-FFD016ABF3B3}">
      <text>
        <r>
          <rPr>
            <b/>
            <sz val="9"/>
            <color indexed="81"/>
            <rFont val="Tahoma"/>
            <family val="2"/>
          </rPr>
          <t>Challenger</t>
        </r>
      </text>
    </comment>
    <comment ref="Y25" authorId="20" shapeId="0" xr:uid="{F653C6D9-E556-44D9-B13C-BD7C0DD754EE}">
      <text>
        <r>
          <rPr>
            <b/>
            <sz val="9"/>
            <color indexed="81"/>
            <rFont val="Tahoma"/>
            <family val="2"/>
          </rPr>
          <t>Mirvac</t>
        </r>
      </text>
    </comment>
    <comment ref="Q28" authorId="20" shapeId="0" xr:uid="{6926DD0F-6A02-4330-AADC-DD3B96919617}">
      <text>
        <r>
          <rPr>
            <b/>
            <sz val="9"/>
            <color indexed="81"/>
            <rFont val="Tahoma"/>
            <family val="2"/>
          </rPr>
          <t>SUN et al.</t>
        </r>
      </text>
    </comment>
    <comment ref="S28" authorId="20" shapeId="0" xr:uid="{3703AFAA-65B8-432E-A42F-D734D8AB4E8B}">
      <text>
        <r>
          <rPr>
            <b/>
            <sz val="9"/>
            <color indexed="81"/>
            <rFont val="Tahoma"/>
            <family val="2"/>
          </rPr>
          <t>Telstra AGM</t>
        </r>
      </text>
    </comment>
    <comment ref="Q35" authorId="20" shapeId="0" xr:uid="{50678B5D-9527-4C6D-A13D-6B6B73655B81}">
      <text>
        <r>
          <rPr>
            <b/>
            <sz val="9"/>
            <color indexed="81"/>
            <rFont val="Tahoma"/>
            <family val="2"/>
          </rPr>
          <t>HY Results</t>
        </r>
      </text>
    </comment>
    <comment ref="T35" authorId="20" shapeId="0" xr:uid="{364AD092-6048-40BF-8BF1-618635DE0C98}">
      <text>
        <r>
          <rPr>
            <b/>
            <sz val="9"/>
            <color indexed="81"/>
            <rFont val="Tahoma"/>
            <family val="2"/>
          </rPr>
          <t>Investor Day</t>
        </r>
      </text>
    </comment>
    <comment ref="W35" authorId="20" shapeId="0" xr:uid="{5AF6AEA8-4F15-463E-A984-AEA39D5EF5C6}">
      <text>
        <r>
          <rPr>
            <b/>
            <sz val="9"/>
            <color indexed="81"/>
            <rFont val="Tahoma"/>
            <family val="2"/>
          </rPr>
          <t>FY Results</t>
        </r>
      </text>
    </comment>
    <comment ref="P38" authorId="23" shapeId="0" xr:uid="{13A67C99-22CD-4CEE-A8A4-205EE5F18E8A}">
      <text>
        <r>
          <rPr>
            <sz val="10"/>
            <rFont val="Arial"/>
            <family val="2"/>
          </rPr>
          <t>Jordan Sexty:
Pending Quote</t>
        </r>
      </text>
    </comment>
    <comment ref="Q38" authorId="23" shapeId="0" xr:uid="{E6C7C700-F172-4FD6-85FE-A4C3AF13C213}">
      <text>
        <r>
          <rPr>
            <sz val="10"/>
            <rFont val="Arial"/>
            <family val="2"/>
          </rPr>
          <t>Jordan Sexty:
Pending Quote</t>
        </r>
      </text>
    </comment>
    <comment ref="R38" authorId="23" shapeId="0" xr:uid="{D7D7A603-464A-4DA1-9F05-ED5BE1F14834}">
      <text>
        <r>
          <rPr>
            <sz val="10"/>
            <rFont val="Arial"/>
            <family val="2"/>
          </rPr>
          <t>Jordan Sexty:
Pending Quote</t>
        </r>
      </text>
    </comment>
    <comment ref="S38" authorId="23" shapeId="0" xr:uid="{A2F9E858-59B7-40CE-BA43-528E90095540}">
      <text>
        <r>
          <rPr>
            <sz val="10"/>
            <rFont val="Arial"/>
            <family val="2"/>
          </rPr>
          <t>Jordan Sexty:
Pending Quote</t>
        </r>
      </text>
    </comment>
    <comment ref="T38" authorId="23" shapeId="0" xr:uid="{35CA3289-538F-40CB-ADBE-4644C82D876C}">
      <text>
        <r>
          <rPr>
            <sz val="10"/>
            <rFont val="Arial"/>
            <family val="2"/>
          </rPr>
          <t>Jordan Sexty:
Pending Quote</t>
        </r>
      </text>
    </comment>
    <comment ref="U38" authorId="23" shapeId="0" xr:uid="{C9E4A00F-0DC7-4AFB-A2EF-93DDC5C72E33}">
      <text>
        <r>
          <rPr>
            <sz val="10"/>
            <rFont val="Arial"/>
            <family val="2"/>
          </rPr>
          <t>Jordan Sexty:
Pending Quote</t>
        </r>
      </text>
    </comment>
    <comment ref="V38" authorId="23" shapeId="0" xr:uid="{0F8C04B3-3D2B-4972-AFF9-BD08DABD8515}">
      <text>
        <r>
          <rPr>
            <sz val="10"/>
            <rFont val="Arial"/>
            <family val="2"/>
          </rPr>
          <t>Jordan Sexty:
Pending Quote</t>
        </r>
      </text>
    </comment>
    <comment ref="W38" authorId="23" shapeId="0" xr:uid="{F28990F6-0CBE-4E4E-8074-193187E83949}">
      <text>
        <r>
          <rPr>
            <sz val="10"/>
            <rFont val="Arial"/>
            <family val="2"/>
          </rPr>
          <t>Jordan Sexty:
Pending Quote</t>
        </r>
      </text>
    </comment>
    <comment ref="X38" authorId="23" shapeId="0" xr:uid="{0E4CA172-0470-484F-AA21-4B3BDC24AB73}">
      <text>
        <r>
          <rPr>
            <sz val="10"/>
            <rFont val="Arial"/>
            <family val="2"/>
          </rPr>
          <t>Jordan Sexty:
Pending Quote</t>
        </r>
      </text>
    </comment>
    <comment ref="Y38" authorId="23" shapeId="0" xr:uid="{7F5DBFE4-8AFE-4101-B0ED-0A09C75F35B9}">
      <text>
        <r>
          <rPr>
            <sz val="10"/>
            <rFont val="Arial"/>
            <family val="2"/>
          </rPr>
          <t>Jordan Sexty:
Pending Quote</t>
        </r>
      </text>
    </comment>
    <comment ref="Z38" authorId="23" shapeId="0" xr:uid="{D1FD6DA7-E5DC-46C3-A420-BF7ED63BB81C}">
      <text>
        <r>
          <rPr>
            <sz val="10"/>
            <rFont val="Arial"/>
            <family val="2"/>
          </rPr>
          <t>Jordan Sexty:
Pending Quote</t>
        </r>
      </text>
    </comment>
    <comment ref="AA38" authorId="23" shapeId="0" xr:uid="{9009C53B-AA81-4418-B6C8-EB5923EB86CF}">
      <text>
        <r>
          <rPr>
            <sz val="10"/>
            <rFont val="Arial"/>
            <family val="2"/>
          </rPr>
          <t>Jordan Sexty:
Pending Quote</t>
        </r>
      </text>
    </comment>
    <comment ref="P40" authorId="23" shapeId="0" xr:uid="{EE684796-8CA8-4588-8F52-FC8D77852EEF}">
      <text>
        <r>
          <rPr>
            <sz val="10"/>
            <rFont val="Arial"/>
            <family val="2"/>
          </rPr>
          <t>Jordan Sexty:
Unconfirmed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tc={F009EB8B-A039-4059-A9EE-00A38CE6A0EF}</author>
  </authors>
  <commentList>
    <comment ref="A1" authorId="0" shapeId="0" xr:uid="{F009EB8B-A039-4059-A9EE-00A38CE6A0EF}">
      <text>
        <t>[Threaded comment]
Your version of Excel allows you to read this threaded comment; however, any edits to it will get removed if the file is opened in a newer version of Excel. Learn more: https://go.microsoft.com/fwlink/?linkid=870924
Comment:
    Run for the FY.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<sst xmlns="http://schemas.openxmlformats.org/spreadsheetml/2006/main" count="7827" uniqueCount="1410">
  <si>
    <t>ACTUAL</t>
  </si>
  <si>
    <t>FORECAST</t>
  </si>
  <si>
    <t>FY24</t>
  </si>
  <si>
    <t>FY25</t>
  </si>
  <si>
    <t>Forecast vs Actual</t>
  </si>
  <si>
    <t>Consulting</t>
  </si>
  <si>
    <t>Production</t>
  </si>
  <si>
    <t>Onsite</t>
  </si>
  <si>
    <t>Total Income</t>
  </si>
  <si>
    <t>Consulting Direct Costs</t>
  </si>
  <si>
    <t>Production Direct Costs</t>
  </si>
  <si>
    <t>Onsite Direct Costs</t>
  </si>
  <si>
    <t>Total Cost of Sales</t>
  </si>
  <si>
    <t>Gross Profit</t>
  </si>
  <si>
    <t>Gross Profit Margin</t>
  </si>
  <si>
    <t>CTS Overheads</t>
  </si>
  <si>
    <t>Total Expenses</t>
  </si>
  <si>
    <t>Operating Profit</t>
  </si>
  <si>
    <t>Profit Margin</t>
  </si>
  <si>
    <t xml:space="preserve">Commentary </t>
  </si>
  <si>
    <t>Respective Revenue Targets were "sense-checked" by DL</t>
  </si>
  <si>
    <t>Total New Business $292K across all departments ($24K/month)</t>
  </si>
  <si>
    <t>In comparison to a 45k per month forecasted in the previous FY</t>
  </si>
  <si>
    <t xml:space="preserve">12% Increase in CTS Overheads: </t>
  </si>
  <si>
    <t>- a standard 3.8% was forecasted for wages across the board</t>
  </si>
  <si>
    <t xml:space="preserve">- 16K for additional new office expenses </t>
  </si>
  <si>
    <t>Approved by DL on 19/07/2024</t>
  </si>
  <si>
    <t>Total</t>
  </si>
  <si>
    <t>Variance</t>
  </si>
  <si>
    <t>Consulting COS</t>
  </si>
  <si>
    <t xml:space="preserve">Labour </t>
  </si>
  <si>
    <t>Equipment &amp; Services</t>
  </si>
  <si>
    <t>Transportation</t>
  </si>
  <si>
    <t>Production COS</t>
  </si>
  <si>
    <t>Onsite COS</t>
  </si>
  <si>
    <t>3Way</t>
  </si>
  <si>
    <t>Staff</t>
  </si>
  <si>
    <t>Office Dept</t>
  </si>
  <si>
    <t>PRD/VID</t>
  </si>
  <si>
    <t>ONS</t>
  </si>
  <si>
    <t>CONS/INT</t>
  </si>
  <si>
    <t>General &amp; Admin</t>
  </si>
  <si>
    <t>3 Way</t>
  </si>
  <si>
    <t>Accounting Fees</t>
  </si>
  <si>
    <t>Legal Fees</t>
  </si>
  <si>
    <t>*$42K/12</t>
  </si>
  <si>
    <t>Payroll Processing Fee</t>
  </si>
  <si>
    <t>Bank Charges</t>
  </si>
  <si>
    <t>*4K</t>
  </si>
  <si>
    <t>Dues &amp; Subscriptions</t>
  </si>
  <si>
    <t>Donations / Charity</t>
  </si>
  <si>
    <t>Freight Paid</t>
  </si>
  <si>
    <t>Filing Fee</t>
  </si>
  <si>
    <t>Instant Asset Write Off</t>
  </si>
  <si>
    <t>Credit Card Fees Paid</t>
  </si>
  <si>
    <t>Business Advisory</t>
  </si>
  <si>
    <t>Custodian Vaults</t>
  </si>
  <si>
    <t>Taxis/Parking</t>
  </si>
  <si>
    <t>Stamp Duty (Indirect)</t>
  </si>
  <si>
    <t>Business Insurances</t>
  </si>
  <si>
    <t>Other Insurance</t>
  </si>
  <si>
    <t>Travel Insurance</t>
  </si>
  <si>
    <t>Advertising</t>
  </si>
  <si>
    <t>Operating Expense</t>
  </si>
  <si>
    <t>Office Supplies</t>
  </si>
  <si>
    <t>Postage</t>
  </si>
  <si>
    <t>Printing</t>
  </si>
  <si>
    <t>Electricity</t>
  </si>
  <si>
    <t>Repairs &amp; Maintenance</t>
  </si>
  <si>
    <t>1300 Number</t>
  </si>
  <si>
    <t>Office Phones</t>
  </si>
  <si>
    <t>Mobile Phones</t>
  </si>
  <si>
    <t>Internet</t>
  </si>
  <si>
    <t>Office Cleaning</t>
  </si>
  <si>
    <t>IT Network Service &amp; Support</t>
  </si>
  <si>
    <t>Travel &amp; Per Diems</t>
  </si>
  <si>
    <t>Client Entertainment</t>
  </si>
  <si>
    <t>Employment Expnses</t>
  </si>
  <si>
    <t>Leave expense (Long Service)</t>
  </si>
  <si>
    <t>Leave expense (Annual)</t>
  </si>
  <si>
    <t>Payroll Tax</t>
  </si>
  <si>
    <t>Staff Amenities</t>
  </si>
  <si>
    <t>Staff Entertainment</t>
  </si>
  <si>
    <t>Superannuation - Admin</t>
  </si>
  <si>
    <t>Indirect Salaries/Wages - Admin</t>
  </si>
  <si>
    <t>Workers' Compensation</t>
  </si>
  <si>
    <t>Training Material &amp; Courses</t>
  </si>
  <si>
    <t>Recruitment</t>
  </si>
  <si>
    <t>Other Expenses</t>
  </si>
  <si>
    <t>Rent/Rental Outgoings</t>
  </si>
  <si>
    <t>Check</t>
  </si>
  <si>
    <t>KPMG</t>
  </si>
  <si>
    <t>Employsure $800 p/m</t>
  </si>
  <si>
    <t>Employment Hero</t>
  </si>
  <si>
    <t>CBA/CCs</t>
  </si>
  <si>
    <t>MS Licences</t>
  </si>
  <si>
    <t>Dashlane</t>
  </si>
  <si>
    <t>Zoho</t>
  </si>
  <si>
    <t>*neat pulse pro</t>
  </si>
  <si>
    <t>Amazon</t>
  </si>
  <si>
    <t>Buffer</t>
  </si>
  <si>
    <t>Donations &amp; Charity</t>
  </si>
  <si>
    <t>Donations</t>
  </si>
  <si>
    <t>Freight</t>
  </si>
  <si>
    <t>*ASIC filing fee $300 ~~</t>
  </si>
  <si>
    <t>CC fees</t>
  </si>
  <si>
    <t>80/20 Advisors</t>
  </si>
  <si>
    <t>Stamp Duty (indirect)</t>
  </si>
  <si>
    <t>Key Man (Asteron)</t>
  </si>
  <si>
    <t>Blinq Technologies</t>
  </si>
  <si>
    <t>RJW Digital</t>
  </si>
  <si>
    <t>Discretionary</t>
  </si>
  <si>
    <t>PO Box (AusPost)</t>
  </si>
  <si>
    <t>Ricoh</t>
  </si>
  <si>
    <t>Energy Australia</t>
  </si>
  <si>
    <t>1300 &amp; 1800 Number</t>
  </si>
  <si>
    <t>Optus</t>
  </si>
  <si>
    <t>IT Support (monthly) 6-4700</t>
  </si>
  <si>
    <t>Travel &amp; PD</t>
  </si>
  <si>
    <t>*reduced from $400. Does this include travel for Interstate xmas parties?</t>
  </si>
  <si>
    <t>Leave expense (Long Service Admin)</t>
  </si>
  <si>
    <t>LSL</t>
  </si>
  <si>
    <t>Leave expense (Annual Leave - Admin)</t>
  </si>
  <si>
    <t>AL</t>
  </si>
  <si>
    <t>Leave expense Annual Leave (ONS, CONS, PRD)</t>
  </si>
  <si>
    <t>Leave expense LSL (ONS, CONS, PRD)</t>
  </si>
  <si>
    <t>Payroll Tax (Admin)</t>
  </si>
  <si>
    <t>Ptax</t>
  </si>
  <si>
    <t>*average of ptax 9000 CC</t>
  </si>
  <si>
    <t>Payroll Tax (ONS, CONS, PRD)</t>
  </si>
  <si>
    <t>Miscellaneous</t>
  </si>
  <si>
    <t>Zip water filter</t>
  </si>
  <si>
    <t>*filter only excl. labour</t>
  </si>
  <si>
    <t>Staff Ent</t>
  </si>
  <si>
    <t>**includes xmas gifts</t>
  </si>
  <si>
    <t>Superannuation (Admin)</t>
  </si>
  <si>
    <t>Based on calc below</t>
  </si>
  <si>
    <t>**Interstate parties allocated to ONS</t>
  </si>
  <si>
    <t>Indirect Wages/Salaries - Admin</t>
  </si>
  <si>
    <t xml:space="preserve">Linkedin Job Post </t>
  </si>
  <si>
    <t>Other Expense</t>
  </si>
  <si>
    <t>Working Days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</si>
  <si>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</si>
  <si>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</si>
  <si>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</si>
  <si>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</si>
  <si>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</si>
  <si>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</si>
  <si>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</si>
  <si>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</si>
  <si>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</si>
  <si>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</si>
  <si>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</si>
  <si>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June</t>
  </si>
  <si>
    <t>LUGSTEIN, Duncan</t>
  </si>
  <si>
    <t>LUGSTEIN, Premila</t>
  </si>
  <si>
    <t>SEXTY, Jordan</t>
  </si>
  <si>
    <t>YAO, Gianmaria-Gonzales</t>
  </si>
  <si>
    <t>NIKODINOVSKI, Isabella (casual)</t>
  </si>
  <si>
    <t>Superannuation</t>
  </si>
  <si>
    <t>Full Name</t>
  </si>
  <si>
    <t>Old Rates</t>
  </si>
  <si>
    <t>Super</t>
  </si>
  <si>
    <t>Total - Annual</t>
  </si>
  <si>
    <t>PTAX</t>
  </si>
  <si>
    <t>AL Expense</t>
  </si>
  <si>
    <t>LSL Expense</t>
  </si>
  <si>
    <t>Mobile Phone</t>
  </si>
  <si>
    <t>PRD</t>
  </si>
  <si>
    <t>VID</t>
  </si>
  <si>
    <t>INT</t>
  </si>
  <si>
    <t>CONS</t>
  </si>
  <si>
    <t>Support</t>
  </si>
  <si>
    <t>Total - Monthly</t>
  </si>
  <si>
    <t>Rent</t>
  </si>
  <si>
    <t>Rental Outgoings</t>
  </si>
  <si>
    <t>ACTUAL FY23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</si>
  <si>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</si>
  <si>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</si>
  <si>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</si>
  <si>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</si>
  <si>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</si>
  <si>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</si>
  <si>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</si>
  <si>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</si>
  <si>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</si>
  <si>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</si>
  <si>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Integration</t>
  </si>
  <si>
    <t>Revenue</t>
  </si>
  <si>
    <t>As per Forecast</t>
  </si>
  <si>
    <t>Contract Support Staff</t>
  </si>
  <si>
    <t>ADDITIONAL - Breakeven</t>
  </si>
  <si>
    <t>Subscriptions &amp; Licences - Income</t>
  </si>
  <si>
    <t>Total Revenue</t>
  </si>
  <si>
    <t>Freight &amp;Travel - WORKTECH</t>
  </si>
  <si>
    <t>Direct Salaries</t>
  </si>
  <si>
    <t>Direct Superannuation</t>
  </si>
  <si>
    <t>Production Labour</t>
  </si>
  <si>
    <t>COGs</t>
  </si>
  <si>
    <t>Ad Hoc Service Labour</t>
  </si>
  <si>
    <t>Total COGs</t>
  </si>
  <si>
    <t>Installation Labour</t>
  </si>
  <si>
    <t>Gen Ad</t>
  </si>
  <si>
    <t>Equipment Sales</t>
  </si>
  <si>
    <t>Bus Ins</t>
  </si>
  <si>
    <t>Tech Consulting/Project Manage</t>
  </si>
  <si>
    <t>OpEx</t>
  </si>
  <si>
    <t>Tech Event Management</t>
  </si>
  <si>
    <t>Freight &amp;Travel - ADMIN</t>
  </si>
  <si>
    <t>Freight &amp;Travel - ONS</t>
  </si>
  <si>
    <t>Freight &amp;Travel - PRD</t>
  </si>
  <si>
    <t>Emp</t>
  </si>
  <si>
    <t>Discretionary Bonuses</t>
  </si>
  <si>
    <t>Indirect Salaries</t>
  </si>
  <si>
    <t>Indirect Superannuation</t>
  </si>
  <si>
    <t>Equipment - Purchase</t>
  </si>
  <si>
    <t>Miscellaneous Expenses</t>
  </si>
  <si>
    <t>Sub-Contract Labour - WORKTECH</t>
  </si>
  <si>
    <t>Total OpEx</t>
  </si>
  <si>
    <t>Sub-Contract Labour - CONS</t>
  </si>
  <si>
    <t>Service - hires</t>
  </si>
  <si>
    <t>Subscriptions &amp; Licences</t>
  </si>
  <si>
    <t>Damage Waiver</t>
  </si>
  <si>
    <t>Net Profit</t>
  </si>
  <si>
    <t>Direct Salaries - WORKTECH</t>
  </si>
  <si>
    <t>NetProfit Margin</t>
  </si>
  <si>
    <t>Direct Salaries - CONS</t>
  </si>
  <si>
    <t>Direct Wages - CONS</t>
  </si>
  <si>
    <t>Total Direct Costs</t>
  </si>
  <si>
    <t>Direct Superannuation-WORKTECH</t>
  </si>
  <si>
    <t>Direct Superannuation - CONS</t>
  </si>
  <si>
    <t>Direct Travel - PRD</t>
  </si>
  <si>
    <t>Employment Expenses</t>
  </si>
  <si>
    <t>Direct Travel - CONS</t>
  </si>
  <si>
    <t>General &amp; Administrative Exp</t>
  </si>
  <si>
    <t>Direct Freight - ONS</t>
  </si>
  <si>
    <t>Operating Expenses</t>
  </si>
  <si>
    <t>Direct Freight - WORKTECH</t>
  </si>
  <si>
    <t>Total COGS</t>
  </si>
  <si>
    <t xml:space="preserve">Notes: </t>
  </si>
  <si>
    <t>Do we keep 15% for COGS</t>
  </si>
  <si>
    <t>Do we keep 20% for overhead calc or perhaps 5% based on 'staff' category in opex split</t>
  </si>
  <si>
    <t>Indirect Salaries - WORKTECH</t>
  </si>
  <si>
    <t>Indirect Salaries - CONS</t>
  </si>
  <si>
    <t>Indirect Wages - CONS</t>
  </si>
  <si>
    <t>Total Gross Profit</t>
  </si>
  <si>
    <t>Fixed Expenses per Employee</t>
  </si>
  <si>
    <t>Old rate</t>
  </si>
  <si>
    <t>Full-time Staff</t>
  </si>
  <si>
    <t>Salary at 27 pay runs</t>
  </si>
  <si>
    <t>RENT - Monthly</t>
  </si>
  <si>
    <t>Dues/Subscriptions</t>
  </si>
  <si>
    <t>Monthly Fees</t>
  </si>
  <si>
    <t>Department</t>
  </si>
  <si>
    <t>Brookvale (Mecon)</t>
  </si>
  <si>
    <t>Contract Insurances</t>
  </si>
  <si>
    <t>ASt Store Advanced Spatial technologies</t>
  </si>
  <si>
    <t>Qwillr</t>
  </si>
  <si>
    <t>AutoCad</t>
  </si>
  <si>
    <t xml:space="preserve">Direct Salaries </t>
  </si>
  <si>
    <t>Add to main detailed tab</t>
  </si>
  <si>
    <t>Client / Account</t>
  </si>
  <si>
    <t>Job Description</t>
  </si>
  <si>
    <t>Forecast</t>
  </si>
  <si>
    <t>Actual</t>
  </si>
  <si>
    <t>Jul-Dec 2023 Actual 
$ Total</t>
  </si>
  <si>
    <t>Jan-Jun 2024 Actual 
$ Total</t>
  </si>
  <si>
    <t>Running Total FY2024</t>
  </si>
  <si>
    <t>Forecasted Total FY2024</t>
  </si>
  <si>
    <t>Project / ID</t>
  </si>
  <si>
    <t>TOTAL</t>
  </si>
  <si>
    <t>Beetroot Music</t>
  </si>
  <si>
    <t>The Art Wall Bar - LED Video Wall Design (AKA)</t>
  </si>
  <si>
    <t>CODE</t>
  </si>
  <si>
    <t>Blacktown Council</t>
  </si>
  <si>
    <t>Showground Memorial Stage</t>
  </si>
  <si>
    <t>Likely/Confirmed</t>
  </si>
  <si>
    <t>DAWE</t>
  </si>
  <si>
    <t>Bunker Theatrette</t>
  </si>
  <si>
    <t>x12</t>
  </si>
  <si>
    <t>Tentative</t>
  </si>
  <si>
    <t>Regional Upgrades to meet standards</t>
  </si>
  <si>
    <t>Unlikely</t>
  </si>
  <si>
    <t>Sound Masking</t>
  </si>
  <si>
    <t>DAFF</t>
  </si>
  <si>
    <t>DESE</t>
  </si>
  <si>
    <t>Maintenance Extension</t>
  </si>
  <si>
    <t>CRM</t>
  </si>
  <si>
    <t>DFA</t>
  </si>
  <si>
    <t>Meeting Room Upgrades Consulting Services</t>
  </si>
  <si>
    <t>Forum</t>
  </si>
  <si>
    <t>DTTL</t>
  </si>
  <si>
    <t>Adhoc Consulting Hours</t>
  </si>
  <si>
    <t>XiO Cloud Licensing</t>
  </si>
  <si>
    <t>Per Quote</t>
  </si>
  <si>
    <t>XiO Cloud / Service Now Integration</t>
  </si>
  <si>
    <t>Service Calls</t>
  </si>
  <si>
    <t>Box Sales</t>
  </si>
  <si>
    <t>CONS / INT</t>
  </si>
  <si>
    <t>National Rollout</t>
  </si>
  <si>
    <t>FY22-23</t>
  </si>
  <si>
    <t>FY24-25</t>
  </si>
  <si>
    <t xml:space="preserve">Law Society  </t>
  </si>
  <si>
    <t>AV Upgrade</t>
  </si>
  <si>
    <t>NSW Property</t>
  </si>
  <si>
    <t>6PSQ Condeco</t>
  </si>
  <si>
    <t>231 Elizabeth St Proxyclick</t>
  </si>
  <si>
    <t xml:space="preserve">CONS   </t>
  </si>
  <si>
    <t>INVESTA</t>
  </si>
  <si>
    <t>420 George Signage</t>
  </si>
  <si>
    <t>INT / CONS</t>
  </si>
  <si>
    <t>Proxyclick / Condeco Licenses</t>
  </si>
  <si>
    <t>PMG</t>
  </si>
  <si>
    <t>Consulting Opportunity</t>
  </si>
  <si>
    <t>PwC</t>
  </si>
  <si>
    <t>Sydney Mobile Kit Relocation</t>
  </si>
  <si>
    <t>SYD &amp; Melb Additional Lapels</t>
  </si>
  <si>
    <t>Project Works</t>
  </si>
  <si>
    <t>RWC</t>
  </si>
  <si>
    <t>Whitlam Room Refurbishment</t>
  </si>
  <si>
    <t>SOH</t>
  </si>
  <si>
    <t>Recording and Broadcast Studios Tender</t>
  </si>
  <si>
    <t>St Lukes</t>
  </si>
  <si>
    <t>Cartwright Room</t>
  </si>
  <si>
    <t>?</t>
  </si>
  <si>
    <t>Tank Stream Labs</t>
  </si>
  <si>
    <t>Live Event Space</t>
  </si>
  <si>
    <t>TBC</t>
  </si>
  <si>
    <t>North Head Quarantine Station (AKA)</t>
  </si>
  <si>
    <t>UNSW</t>
  </si>
  <si>
    <t>GUI Design Development</t>
  </si>
  <si>
    <t>Consulting Services</t>
  </si>
  <si>
    <t>Westpac</t>
  </si>
  <si>
    <t>Unique Space Consulting</t>
  </si>
  <si>
    <t>New Business MISC</t>
  </si>
  <si>
    <t>Lendlease</t>
  </si>
  <si>
    <t>TBD</t>
  </si>
  <si>
    <t>Deutsche Bank</t>
  </si>
  <si>
    <t>Macquarie</t>
  </si>
  <si>
    <t>4PSQ Proxyclick Visitor Management System</t>
  </si>
  <si>
    <t xml:space="preserve">INT </t>
  </si>
  <si>
    <t>NSW Gov</t>
  </si>
  <si>
    <t>NSW Gov Newcastle Visitor Management Solution</t>
  </si>
  <si>
    <t>PWC</t>
  </si>
  <si>
    <t>PwC Sydney Shure ULXD  - Mobile Studio</t>
  </si>
  <si>
    <t>CON</t>
  </si>
  <si>
    <t>WIN</t>
  </si>
  <si>
    <t>WIN TV Broadcast</t>
  </si>
  <si>
    <t>C91 Radio project</t>
  </si>
  <si>
    <t>HP</t>
  </si>
  <si>
    <t>HP Melb 21 rooms</t>
  </si>
  <si>
    <t>Installs</t>
  </si>
  <si>
    <t xml:space="preserve"> HP SYD 10 rooms</t>
  </si>
  <si>
    <t>Other</t>
  </si>
  <si>
    <t>HP TAS 6 rooms</t>
  </si>
  <si>
    <t>APA</t>
  </si>
  <si>
    <t>Proxyclick Visitor Management Implementation</t>
  </si>
  <si>
    <t>Proxyclick</t>
  </si>
  <si>
    <t>Stone &amp; Chalk</t>
  </si>
  <si>
    <t>Irwin Solutions</t>
  </si>
  <si>
    <t>Corrs</t>
  </si>
  <si>
    <t>Melbourne</t>
  </si>
  <si>
    <t>Perth</t>
  </si>
  <si>
    <t>BTC Investment Group</t>
  </si>
  <si>
    <t>Robyn's Nest</t>
  </si>
  <si>
    <t>Sri Venkateswara Temple Function Hall</t>
  </si>
  <si>
    <t>Yorkway Private</t>
  </si>
  <si>
    <t>Acoustics &amp; UC Refresh</t>
  </si>
  <si>
    <t>St Catherines School</t>
  </si>
  <si>
    <t>LED Wall</t>
  </si>
  <si>
    <t>NEW BUSINESS</t>
  </si>
  <si>
    <t>MISC</t>
  </si>
  <si>
    <t>GRAND TOTAL</t>
  </si>
  <si>
    <t>CONS Jan-June Revenue</t>
  </si>
  <si>
    <t xml:space="preserve">Note: </t>
  </si>
  <si>
    <t>Does the revenue include equipment sales or just based on consulting work?</t>
  </si>
  <si>
    <t>ONSITE</t>
  </si>
  <si>
    <t>Mobile Phone Plans</t>
  </si>
  <si>
    <t>Equipment Hires</t>
  </si>
  <si>
    <t>*based on OpEx split</t>
  </si>
  <si>
    <t>Ins</t>
  </si>
  <si>
    <t>Meal &amp; Travel - ONS</t>
  </si>
  <si>
    <t>Meal &amp; Travel - PRD</t>
  </si>
  <si>
    <t>Telecommunication</t>
  </si>
  <si>
    <t>Direct Salaries - ONS</t>
  </si>
  <si>
    <t>Direct Wages - ONS</t>
  </si>
  <si>
    <t>Direct Wages - PRD</t>
  </si>
  <si>
    <t>Direct Wages - VID</t>
  </si>
  <si>
    <t>Direct Superannuation - ONS</t>
  </si>
  <si>
    <t>Direct Travel - ONS</t>
  </si>
  <si>
    <t>Net Profit Margin</t>
  </si>
  <si>
    <t>Direct Freight - PRD</t>
  </si>
  <si>
    <t>Direct Mobile - ONS</t>
  </si>
  <si>
    <t>Notes: Check if the direct costs are correct</t>
  </si>
  <si>
    <t>Indirect Salaries - ONS</t>
  </si>
  <si>
    <t>Indirect Wages - ONS</t>
  </si>
  <si>
    <t>Old hourly rate</t>
  </si>
  <si>
    <t>FT/PT Staff</t>
  </si>
  <si>
    <t>Salary based on 27 pay runs</t>
  </si>
  <si>
    <t>Carlo Daru</t>
  </si>
  <si>
    <t>Avetta</t>
  </si>
  <si>
    <t>Daniel SOBKOWSKI</t>
  </si>
  <si>
    <t>Danielle HURLEY</t>
  </si>
  <si>
    <t>Dylan Satherley</t>
  </si>
  <si>
    <t>Isaac BUTTERWORTH</t>
  </si>
  <si>
    <t>Kent Vincent DEJOS</t>
  </si>
  <si>
    <t>Kyle Krishnappa</t>
  </si>
  <si>
    <t>VIC Labour Hire Licence</t>
  </si>
  <si>
    <t>Nicholas Pinnington</t>
  </si>
  <si>
    <t>Tina Nguyen</t>
  </si>
  <si>
    <t>Tyrell SHORTT</t>
  </si>
  <si>
    <t>Wade TONNA</t>
  </si>
  <si>
    <t>Suite</t>
  </si>
  <si>
    <t>% allocation</t>
  </si>
  <si>
    <t>Direct Salaries (Simon)</t>
  </si>
  <si>
    <t xml:space="preserve">Direct Superannuation </t>
  </si>
  <si>
    <t>Indirect Salaries (Simon)</t>
  </si>
  <si>
    <t xml:space="preserve">Indirect Superannuation 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</si>
  <si>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</si>
  <si>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</si>
  <si>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</si>
  <si>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</si>
  <si>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</si>
  <si>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</si>
  <si>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</si>
  <si>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</si>
  <si>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</si>
  <si>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</si>
  <si>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</si>
  <si>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</si>
  <si>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</si>
  <si>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</si>
  <si>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</si>
  <si>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</si>
  <si>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</si>
  <si>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</si>
  <si>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</si>
  <si>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</si>
  <si>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</si>
  <si>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</si>
  <si>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</si>
  <si>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</si>
  <si>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FY24 Grand Total</t>
  </si>
  <si>
    <t>Notes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</si>
  <si>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</si>
  <si>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</si>
  <si>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</si>
  <si>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</si>
  <si>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</si>
  <si>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</si>
  <si>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</si>
  <si>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</si>
  <si>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</si>
  <si>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</si>
  <si>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</si>
  <si>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</si>
  <si>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FY25 Grand Total</t>
  </si>
  <si>
    <t>Job Name</t>
  </si>
  <si>
    <t>FY23 Grand Total</t>
  </si>
  <si>
    <t>Bank West Contract</t>
  </si>
  <si>
    <t>Bankwest Additional Tech [ONS]</t>
  </si>
  <si>
    <t>Bankwest Half Tech [ONS]</t>
  </si>
  <si>
    <t>Bankwest Spotify</t>
  </si>
  <si>
    <t>CBA Afterhours VC [ONS]</t>
  </si>
  <si>
    <t>CBA Afterhours Support [ONS]</t>
  </si>
  <si>
    <t>CBA Brisbane Onsite (1280)</t>
  </si>
  <si>
    <t>CBA Spotify</t>
  </si>
  <si>
    <t>CBP DP1 Tech [ONS]</t>
  </si>
  <si>
    <t>CBS Tech [ONS]</t>
  </si>
  <si>
    <t>CBP South Tech [ONS]</t>
  </si>
  <si>
    <t>CBP Team Leader</t>
  </si>
  <si>
    <t>Danebank AV Tech [ONS]</t>
  </si>
  <si>
    <t>Dentons AV 2023 [ONS]</t>
  </si>
  <si>
    <t>DTTL 1300 Number</t>
  </si>
  <si>
    <t>DTTL ADL Onsite ONS</t>
  </si>
  <si>
    <t>DTTL BNE Onsite</t>
  </si>
  <si>
    <t>DTTL Dedicated Technician[ONS]</t>
  </si>
  <si>
    <t>DTTL MEL Tech (part-time)</t>
  </si>
  <si>
    <t>DTTL MEL Tech [ONS]</t>
  </si>
  <si>
    <t>DTTL Melb Tech 2 [ONS]</t>
  </si>
  <si>
    <t>DTTL SYD 2nd Level [ONS]</t>
  </si>
  <si>
    <t>DTTL SYD STL (DS) [ONS]</t>
  </si>
  <si>
    <t>DTTL SYD STL (DH) [ONS]</t>
  </si>
  <si>
    <t>DTTL SYD Internal [JR]</t>
  </si>
  <si>
    <t>DTTL SYD Internal [DW]</t>
  </si>
  <si>
    <t xml:space="preserve">DTTL SYD Internal </t>
  </si>
  <si>
    <t>DTTL MEL Site Team Leader [ONS</t>
  </si>
  <si>
    <t>DTTL MEL/NAT Site Team Leader [ONS</t>
  </si>
  <si>
    <t>DTTL SYD Technician [DH]</t>
  </si>
  <si>
    <t>DTTL SYD Technician (JR) [ONS]</t>
  </si>
  <si>
    <t>DTTL SYD Technician (JR)part-time [ONS]</t>
  </si>
  <si>
    <t>DTTL WA Tech</t>
  </si>
  <si>
    <t xml:space="preserve">DTTL Perth </t>
  </si>
  <si>
    <t>DTTL WA (part-time)</t>
  </si>
  <si>
    <t>DTTL Additional Role CBR (Forecast)</t>
  </si>
  <si>
    <t>DTTL CBR [ONS]</t>
  </si>
  <si>
    <t>DTTL Additional Role SYD (Forecast)</t>
  </si>
  <si>
    <t>DTTL SYD L2 (DH) [ONS]</t>
  </si>
  <si>
    <t>DTTL SYD L2 (CL) [ONS]</t>
  </si>
  <si>
    <t>DTTL QQT Additional Role</t>
  </si>
  <si>
    <t>EY BNE</t>
  </si>
  <si>
    <t>EY MELB Tech</t>
  </si>
  <si>
    <t>EY QLD</t>
  </si>
  <si>
    <t>EY SYD Tech Support</t>
  </si>
  <si>
    <t>KPMG SYD Tech [ONS]</t>
  </si>
  <si>
    <t>PWC – MEL Technician</t>
  </si>
  <si>
    <t>PWC - PER Tech</t>
  </si>
  <si>
    <t>PWC - SYD Tech</t>
  </si>
  <si>
    <t>PWC BNE ONSITE</t>
  </si>
  <si>
    <t>PWC CBR Technician [ONS]</t>
  </si>
  <si>
    <t>PWC Onsite Event - MEL</t>
  </si>
  <si>
    <t>PWC - Webcast Tech (SYD)</t>
  </si>
  <si>
    <t>Ad-Hoc bookings</t>
  </si>
  <si>
    <t>PWC Webcast Technician STD</t>
  </si>
  <si>
    <t>PWC - Webcast Tech</t>
  </si>
  <si>
    <t>Westpac 1st Tech (AC) [ONS]</t>
  </si>
  <si>
    <t>Westpac 2nd Tech [ONS]</t>
  </si>
  <si>
    <t>KPMG SYD Tech</t>
  </si>
  <si>
    <t>Ricoh - Qantas Tech</t>
  </si>
  <si>
    <t xml:space="preserve">Woolworths/Ammacus or Ricoh - ONS </t>
  </si>
  <si>
    <t xml:space="preserve">Woolworths/Ammacus  - DS </t>
  </si>
  <si>
    <t>Stone &amp; Chalk - Support</t>
  </si>
  <si>
    <t>Additional /New Business</t>
  </si>
  <si>
    <t>AGL, Ricoh</t>
  </si>
  <si>
    <t>Grand Total</t>
  </si>
  <si>
    <t>Financial Year</t>
  </si>
  <si>
    <t>FY23</t>
  </si>
  <si>
    <t>Revenue Forecasted</t>
  </si>
  <si>
    <t>Video</t>
  </si>
  <si>
    <t>Video Labour</t>
  </si>
  <si>
    <t>Freight &amp;Travel - VID</t>
  </si>
  <si>
    <t>Conference Call Charge</t>
  </si>
  <si>
    <t>Dues/Subscriptions/Insurance</t>
  </si>
  <si>
    <t>Equipment - Hires</t>
  </si>
  <si>
    <t>Sub-Contract Labour - PRD</t>
  </si>
  <si>
    <t>Sub-Contract Labour - VID</t>
  </si>
  <si>
    <t>Direct Salaries - PRD</t>
  </si>
  <si>
    <t>Direct Salaries - VID</t>
  </si>
  <si>
    <t>Direct Superannuation - PRD</t>
  </si>
  <si>
    <t>Direct Superannuation - VID</t>
  </si>
  <si>
    <t>Direct Travel - VID</t>
  </si>
  <si>
    <t>Direct Freight - VID</t>
  </si>
  <si>
    <t>Direct Mobile - PRD</t>
  </si>
  <si>
    <t>Credit Card Paid - PRD</t>
  </si>
  <si>
    <t>Credit Card Paid - ADMIN</t>
  </si>
  <si>
    <t>Indirect Salaries - PRD</t>
  </si>
  <si>
    <t>Indirect Salaries - VID</t>
  </si>
  <si>
    <t>Indirect Wages - PRD</t>
  </si>
  <si>
    <t>Indirect Wages - VID</t>
  </si>
  <si>
    <t>Old Rate</t>
  </si>
  <si>
    <t>Milo RANKIN</t>
  </si>
  <si>
    <t>Tyler WOOD</t>
  </si>
  <si>
    <t>Viocorp International Pty Ltd</t>
  </si>
  <si>
    <t>Vimeo Inc</t>
  </si>
  <si>
    <t>Adobe</t>
  </si>
  <si>
    <t>Spotify</t>
  </si>
  <si>
    <t>Motion Array</t>
  </si>
  <si>
    <t>Internet Clicker</t>
  </si>
  <si>
    <t>Plumsail</t>
  </si>
  <si>
    <t>Qantas</t>
  </si>
  <si>
    <t>Direct Salaries (70%)</t>
  </si>
  <si>
    <t>Direct Salaries (65%)</t>
  </si>
  <si>
    <t>Indirect Salaries (70%)</t>
  </si>
  <si>
    <t>Indirect Salaries (65%)</t>
  </si>
  <si>
    <t>Clients</t>
  </si>
  <si>
    <t>Jan-19</t>
  </si>
  <si>
    <t>Feb-19</t>
  </si>
  <si>
    <t>Mar-19</t>
  </si>
  <si>
    <t>Apr-19</t>
  </si>
  <si>
    <t>May-19</t>
  </si>
  <si>
    <t>Jun-19</t>
  </si>
  <si>
    <t>Jan-20</t>
  </si>
  <si>
    <t>Feb-20</t>
  </si>
  <si>
    <t>Mar-20</t>
  </si>
  <si>
    <t>Apr-20</t>
  </si>
  <si>
    <t>May-20</t>
  </si>
  <si>
    <t>Jun-20</t>
  </si>
  <si>
    <t>TOTAL2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</si>
  <si>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</si>
  <si>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</si>
  <si>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</si>
  <si>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</si>
  <si>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</si>
  <si>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</si>
  <si>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</si>
  <si>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</si>
  <si>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</si>
  <si>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</si>
  <si>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</si>
  <si>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</si>
  <si>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Total-25</t>
  </si>
  <si>
    <t>Notes:</t>
  </si>
  <si>
    <t>Additional (Existing/New)</t>
  </si>
  <si>
    <t xml:space="preserve">Additional (New/New) </t>
  </si>
  <si>
    <t>AGL Energy Limited</t>
  </si>
  <si>
    <t>ALL</t>
  </si>
  <si>
    <t>Arup</t>
  </si>
  <si>
    <t>Lander &amp; Rogers</t>
  </si>
  <si>
    <t>Australian Securities Exchange</t>
  </si>
  <si>
    <t>CEO Institute</t>
  </si>
  <si>
    <t>Chorus Call</t>
  </si>
  <si>
    <t xml:space="preserve">Cochlear </t>
  </si>
  <si>
    <t>Commonwealth Bank of Australia</t>
  </si>
  <si>
    <t>Deloitte Services P/L for Deloitte Services Trust</t>
  </si>
  <si>
    <t>Diversified</t>
  </si>
  <si>
    <t>Downer</t>
  </si>
  <si>
    <t>GPT Group</t>
  </si>
  <si>
    <t>ICC</t>
  </si>
  <si>
    <t>Link Market Services Limited</t>
  </si>
  <si>
    <t>Notified</t>
  </si>
  <si>
    <t>NSWDCS</t>
  </si>
  <si>
    <t>ON24</t>
  </si>
  <si>
    <t>Orient Capital Pty Ltd</t>
  </si>
  <si>
    <t>Parliament of NSW</t>
  </si>
  <si>
    <t>PricewaterhouseCoopers</t>
  </si>
  <si>
    <t>Royal Society of New South Wales</t>
  </si>
  <si>
    <t>TLC</t>
  </si>
  <si>
    <t>Trinity Grammar</t>
  </si>
  <si>
    <t>Ventia</t>
  </si>
  <si>
    <t>Westpac Group</t>
  </si>
  <si>
    <t>Woolworths Group</t>
  </si>
  <si>
    <t>University of Wollongong</t>
  </si>
  <si>
    <t>Sydney Catholic Schools</t>
  </si>
  <si>
    <t>$22,591.00</t>
  </si>
  <si>
    <t>$118,985.20</t>
  </si>
  <si>
    <t>$66,990.15</t>
  </si>
  <si>
    <t>$56,288.63</t>
  </si>
  <si>
    <t>$98,924.20</t>
  </si>
  <si>
    <t>$41,578.45</t>
  </si>
  <si>
    <t xml:space="preserve"> $21,394.00 </t>
  </si>
  <si>
    <t>$180,619.70</t>
  </si>
  <si>
    <t>$53,569.16</t>
  </si>
  <si>
    <t>$33,561.75</t>
  </si>
  <si>
    <t>$111,293.75</t>
  </si>
  <si>
    <t>$54,153.35</t>
  </si>
  <si>
    <t>Year</t>
  </si>
  <si>
    <t>Sales Forecast</t>
  </si>
  <si>
    <t>Client Count</t>
  </si>
  <si>
    <t>Difference</t>
  </si>
  <si>
    <t>FYQ1</t>
  </si>
  <si>
    <t>Gross Revenue</t>
  </si>
  <si>
    <t>FYQ2</t>
  </si>
  <si>
    <t>FYQ3</t>
  </si>
  <si>
    <t>FYQ4</t>
  </si>
  <si>
    <t>Pay Category</t>
  </si>
  <si>
    <t>Pay Category Id</t>
  </si>
  <si>
    <t>PayCategoryExternalId</t>
  </si>
  <si>
    <t>Pay Run</t>
  </si>
  <si>
    <t>Date Paid</t>
  </si>
  <si>
    <t>Employee Id</t>
  </si>
  <si>
    <t>First Name</t>
  </si>
  <si>
    <t>Surname</t>
  </si>
  <si>
    <t>ExternalId</t>
  </si>
  <si>
    <t>Location</t>
  </si>
  <si>
    <t>Units</t>
  </si>
  <si>
    <t>Rate</t>
  </si>
  <si>
    <t>Amount</t>
  </si>
  <si>
    <t>SG Super</t>
  </si>
  <si>
    <t>Casual Ordinary Hours</t>
  </si>
  <si>
    <t>1983062</t>
  </si>
  <si>
    <t>CTS - Fortnight (01/08/2023)</t>
  </si>
  <si>
    <t>4745758</t>
  </si>
  <si>
    <t>Adam</t>
  </si>
  <si>
    <t>Arnou</t>
  </si>
  <si>
    <t>224</t>
  </si>
  <si>
    <t>CTS</t>
  </si>
  <si>
    <t>6182525</t>
  </si>
  <si>
    <t>Amaravati</t>
  </si>
  <si>
    <t>R</t>
  </si>
  <si>
    <t>5393480</t>
  </si>
  <si>
    <t>Anay</t>
  </si>
  <si>
    <t>Tiwari</t>
  </si>
  <si>
    <t>6275943</t>
  </si>
  <si>
    <t>Ashish</t>
  </si>
  <si>
    <t>Kafle</t>
  </si>
  <si>
    <t>4745775</t>
  </si>
  <si>
    <t>Beatriz Angela</t>
  </si>
  <si>
    <t>DE GRANO</t>
  </si>
  <si>
    <t>283</t>
  </si>
  <si>
    <t>4745986</t>
  </si>
  <si>
    <t>Chuike</t>
  </si>
  <si>
    <t>LEE</t>
  </si>
  <si>
    <t>194</t>
  </si>
  <si>
    <t>6041567</t>
  </si>
  <si>
    <t>Declan</t>
  </si>
  <si>
    <t>Duncan-Keen</t>
  </si>
  <si>
    <t>5957445</t>
  </si>
  <si>
    <t>Worner</t>
  </si>
  <si>
    <t>4745998</t>
  </si>
  <si>
    <t>Isabella</t>
  </si>
  <si>
    <t>NIKODINOVSKI</t>
  </si>
  <si>
    <t>252</t>
  </si>
  <si>
    <t>5371045</t>
  </si>
  <si>
    <t>Karl</t>
  </si>
  <si>
    <t>Jenner</t>
  </si>
  <si>
    <t>VIDEO</t>
  </si>
  <si>
    <t>6791488</t>
  </si>
  <si>
    <t>Luke</t>
  </si>
  <si>
    <t>Turner</t>
  </si>
  <si>
    <t>4988031</t>
  </si>
  <si>
    <t>Pranish</t>
  </si>
  <si>
    <t>Singh</t>
  </si>
  <si>
    <t>325</t>
  </si>
  <si>
    <t>4745791</t>
  </si>
  <si>
    <t>Tawonashe</t>
  </si>
  <si>
    <t>MADANGURE</t>
  </si>
  <si>
    <t>312</t>
  </si>
  <si>
    <t>CTS - Fortnight (15/08/2023)</t>
  </si>
  <si>
    <t>4950610</t>
  </si>
  <si>
    <t>Evan</t>
  </si>
  <si>
    <t>Davies</t>
  </si>
  <si>
    <t>334</t>
  </si>
  <si>
    <t>PRODUCTION</t>
  </si>
  <si>
    <t>4746029</t>
  </si>
  <si>
    <t>Harry</t>
  </si>
  <si>
    <t>MACKENZIE</t>
  </si>
  <si>
    <t>316</t>
  </si>
  <si>
    <t>6207822</t>
  </si>
  <si>
    <t>Juan Gabriel</t>
  </si>
  <si>
    <t>Lopez</t>
  </si>
  <si>
    <t>6877390</t>
  </si>
  <si>
    <t>Kent Vincent</t>
  </si>
  <si>
    <t>Dejos</t>
  </si>
  <si>
    <t>4988501</t>
  </si>
  <si>
    <t>Roberto</t>
  </si>
  <si>
    <t>Serritelli</t>
  </si>
  <si>
    <t>317</t>
  </si>
  <si>
    <t>5111974</t>
  </si>
  <si>
    <t>Roger</t>
  </si>
  <si>
    <t>Wehbe</t>
  </si>
  <si>
    <t>333</t>
  </si>
  <si>
    <t>CTS - Fortnight (05/12/2023)</t>
  </si>
  <si>
    <t>4745780</t>
  </si>
  <si>
    <t>Abel</t>
  </si>
  <si>
    <t>SAVIGE</t>
  </si>
  <si>
    <t>298</t>
  </si>
  <si>
    <t>7221801</t>
  </si>
  <si>
    <t>Adithya</t>
  </si>
  <si>
    <t>Devan</t>
  </si>
  <si>
    <t>7505860</t>
  </si>
  <si>
    <t>Ange</t>
  </si>
  <si>
    <t>Geroukos</t>
  </si>
  <si>
    <t>7279913</t>
  </si>
  <si>
    <t>Cristian</t>
  </si>
  <si>
    <t>Plaza</t>
  </si>
  <si>
    <t>7484808</t>
  </si>
  <si>
    <t>Damien</t>
  </si>
  <si>
    <t>Suchy</t>
  </si>
  <si>
    <t>4746032</t>
  </si>
  <si>
    <t>Daniel</t>
  </si>
  <si>
    <t>COURT</t>
  </si>
  <si>
    <t>319</t>
  </si>
  <si>
    <t>7118495</t>
  </si>
  <si>
    <t>John</t>
  </si>
  <si>
    <t>Rizvi</t>
  </si>
  <si>
    <t>7436022</t>
  </si>
  <si>
    <t>Kieran</t>
  </si>
  <si>
    <t>O'Regan</t>
  </si>
  <si>
    <t>6095424</t>
  </si>
  <si>
    <t>Mon Raldie</t>
  </si>
  <si>
    <t>Antonio</t>
  </si>
  <si>
    <t>7315851</t>
  </si>
  <si>
    <t>Patrick</t>
  </si>
  <si>
    <t>Siassios</t>
  </si>
  <si>
    <t>7129294</t>
  </si>
  <si>
    <t>Ruairidh</t>
  </si>
  <si>
    <t>Howard</t>
  </si>
  <si>
    <t>7163949</t>
  </si>
  <si>
    <t>Sangeeta</t>
  </si>
  <si>
    <t>Lachmaiya</t>
  </si>
  <si>
    <t>5974757</t>
  </si>
  <si>
    <t>Scott</t>
  </si>
  <si>
    <t>Rigby</t>
  </si>
  <si>
    <t>7259145</t>
  </si>
  <si>
    <t>Vasundhra</t>
  </si>
  <si>
    <t>Bhatt</t>
  </si>
  <si>
    <t>CTS - Fortnight (19/12/2023)</t>
  </si>
  <si>
    <t>4745994</t>
  </si>
  <si>
    <t>Aiesha</t>
  </si>
  <si>
    <t>BACALSO</t>
  </si>
  <si>
    <t>238</t>
  </si>
  <si>
    <t>5557931</t>
  </si>
  <si>
    <t>Alex</t>
  </si>
  <si>
    <t>Gage</t>
  </si>
  <si>
    <t>CTS - Fortnight (27/02/2024)</t>
  </si>
  <si>
    <t>8072235</t>
  </si>
  <si>
    <t>David</t>
  </si>
  <si>
    <t>Serisier</t>
  </si>
  <si>
    <t>8072179</t>
  </si>
  <si>
    <t>Sameer</t>
  </si>
  <si>
    <t>CTS - Fortnight (26/03/2024)</t>
  </si>
  <si>
    <t>CTS - Fortnight (09/04/2024)</t>
  </si>
  <si>
    <t>8172750</t>
  </si>
  <si>
    <t>Jeremy</t>
  </si>
  <si>
    <t>8205805</t>
  </si>
  <si>
    <t>Mykala</t>
  </si>
  <si>
    <t>Harrison</t>
  </si>
  <si>
    <t>CTS - Fortnight (23/04/2024)</t>
  </si>
  <si>
    <t>5652917</t>
  </si>
  <si>
    <t>Kreshan</t>
  </si>
  <si>
    <t>Prem Kumar</t>
  </si>
  <si>
    <t>CTS - Fortnight (21/05/2024)</t>
  </si>
  <si>
    <t>CTS - Fortnight (04/06/2024)</t>
  </si>
  <si>
    <t>8542029</t>
  </si>
  <si>
    <t>James</t>
  </si>
  <si>
    <t>Incoll</t>
  </si>
  <si>
    <t>CTS - Fortnight (04/07/2023)</t>
  </si>
  <si>
    <t>5925536</t>
  </si>
  <si>
    <t>Thom</t>
  </si>
  <si>
    <t>Fryda</t>
  </si>
  <si>
    <t>5928164</t>
  </si>
  <si>
    <t>Tina</t>
  </si>
  <si>
    <t>Nguyen</t>
  </si>
  <si>
    <t>CTS - Fortnight (18/07/2023)</t>
  </si>
  <si>
    <t>6656452</t>
  </si>
  <si>
    <t>Silvio</t>
  </si>
  <si>
    <t>Letchakowski</t>
  </si>
  <si>
    <t>6713688</t>
  </si>
  <si>
    <t>Stephen</t>
  </si>
  <si>
    <t>Dobson</t>
  </si>
  <si>
    <t>CTS - Fortnight (29/08/2023)</t>
  </si>
  <si>
    <t>CTS - Fortnight (12/09/2023)</t>
  </si>
  <si>
    <t>CTS - Fortnight (26/09/2023)</t>
  </si>
  <si>
    <t>CTS - Fortnight (10/10/2023)</t>
  </si>
  <si>
    <t>CTS - Fortnight (24/10/2023)</t>
  </si>
  <si>
    <t>4746016</t>
  </si>
  <si>
    <t>Damian</t>
  </si>
  <si>
    <t>Masters</t>
  </si>
  <si>
    <t>302</t>
  </si>
  <si>
    <t>CTS - Fortnight (07/11/2023)</t>
  </si>
  <si>
    <t>CTS - Fortnight (21/11/2023)</t>
  </si>
  <si>
    <t>7437685</t>
  </si>
  <si>
    <t>Kyle</t>
  </si>
  <si>
    <t>Crispin</t>
  </si>
  <si>
    <t>CTS - Fortnight (02/01/2024)</t>
  </si>
  <si>
    <t>CTS - Fortnight (16/01/2024)</t>
  </si>
  <si>
    <t>7340671</t>
  </si>
  <si>
    <t>Jack</t>
  </si>
  <si>
    <t>Sankey</t>
  </si>
  <si>
    <t>CTS - Fortnight (30/01/2024)</t>
  </si>
  <si>
    <t>7825332</t>
  </si>
  <si>
    <t>Angus</t>
  </si>
  <si>
    <t>Rawson</t>
  </si>
  <si>
    <t>CTS - Fortnight (13/02/2024)</t>
  </si>
  <si>
    <t>5861785</t>
  </si>
  <si>
    <t>Andrew</t>
  </si>
  <si>
    <t>Calov</t>
  </si>
  <si>
    <t>CONSULTING</t>
  </si>
  <si>
    <t>CTS - Fortnight (12/03/2024)</t>
  </si>
  <si>
    <t>CTS - Fortnight (07/05/2024)</t>
  </si>
  <si>
    <t>8501100</t>
  </si>
  <si>
    <t>Makomborero Mark</t>
  </si>
  <si>
    <t>Madzinga</t>
  </si>
  <si>
    <t>CTS - Fortnight (18/06/2024)</t>
  </si>
  <si>
    <t>Ad-hoc (24/05/2024)</t>
  </si>
  <si>
    <t>Ad-hoc (08/11/2023)</t>
  </si>
  <si>
    <t>Casual - Overtime x 1.5</t>
  </si>
  <si>
    <t>1983065</t>
  </si>
  <si>
    <t>4745990</t>
  </si>
  <si>
    <t>Jaazaniah</t>
  </si>
  <si>
    <t>SALANOA</t>
  </si>
  <si>
    <t>199</t>
  </si>
  <si>
    <t>4745979</t>
  </si>
  <si>
    <t>BUTLER</t>
  </si>
  <si>
    <t>150</t>
  </si>
  <si>
    <t>4745975</t>
  </si>
  <si>
    <t>CHAE</t>
  </si>
  <si>
    <t>123</t>
  </si>
  <si>
    <t>Totals</t>
  </si>
  <si>
    <t>Total (Oct-Jun)</t>
  </si>
  <si>
    <t>Support Direct Costs</t>
  </si>
  <si>
    <t>Salaries ex Super (Old Rate)</t>
  </si>
  <si>
    <t>Salaries ex Super (New Rate)</t>
  </si>
  <si>
    <t>WAIYA, Emelda</t>
  </si>
  <si>
    <t>Jun</t>
  </si>
  <si>
    <t xml:space="preserve">PTAX Calculation </t>
  </si>
  <si>
    <t>Tax Rate at 5.45%</t>
  </si>
  <si>
    <t>Payroll tax thresholds and rates | Revenue NSW</t>
  </si>
  <si>
    <t>PTAX Rate</t>
  </si>
  <si>
    <t>Salary expense excl threshold</t>
  </si>
  <si>
    <t>Employsure (WHS &amp; FW) until 2028</t>
  </si>
  <si>
    <t>MYOB/Xero</t>
  </si>
  <si>
    <t>The CEO Institute (DL &amp; JS)</t>
  </si>
  <si>
    <t>Police Check</t>
  </si>
  <si>
    <t>**Linkedin (Jordan) - monthly</t>
  </si>
  <si>
    <t>*swapped to annual fee from 05/12/2024</t>
  </si>
  <si>
    <t>*monthly payment / total employed staff * number of admin staff'</t>
  </si>
  <si>
    <t>IT</t>
  </si>
  <si>
    <t>*3.75% increase on rent &amp; outgoing</t>
  </si>
  <si>
    <t>Posh Services (Plant maintenance)</t>
  </si>
  <si>
    <t>Dues &amp; Subscriptions (Admin CC)</t>
  </si>
  <si>
    <t>Subtotal</t>
  </si>
  <si>
    <t>Rent/Rental Outgoings (+3.75% increase per year)</t>
  </si>
  <si>
    <t>RENT (+3.75% increase per year)</t>
  </si>
  <si>
    <t>Tawonashe MADANGURE</t>
  </si>
  <si>
    <t>Mobile Phones Expense</t>
  </si>
  <si>
    <t>Mobile</t>
  </si>
  <si>
    <t>Hotline</t>
  </si>
  <si>
    <t>Contract Expenses Review (Legal Fees)</t>
  </si>
  <si>
    <t>Blake CRISFORD</t>
  </si>
  <si>
    <t>Sebastien Hathaway</t>
  </si>
  <si>
    <t>PigeonLab</t>
  </si>
  <si>
    <t>Brookvale (Removable Equipment)</t>
  </si>
  <si>
    <t>Live U (Annual)</t>
  </si>
  <si>
    <t>Live U (Pacific Media - Monthly)</t>
  </si>
  <si>
    <t>Zoom (Monthly)</t>
  </si>
  <si>
    <t>vMix (Monthly)</t>
  </si>
  <si>
    <t>Current (Monthly)</t>
  </si>
  <si>
    <t>Total (excl. Simon)</t>
  </si>
  <si>
    <t>Dues &amp; Subscriptions &amp; Legal</t>
  </si>
  <si>
    <t>Insurance</t>
  </si>
  <si>
    <t>Workers Comp</t>
  </si>
  <si>
    <t>Worker's Compensation</t>
  </si>
  <si>
    <t>Insurance (Avetta)</t>
  </si>
  <si>
    <t xml:space="preserve">*Run the Ordinary Time Earnings Report in EH </t>
  </si>
  <si>
    <t>Industry</t>
  </si>
  <si>
    <t>Finance</t>
  </si>
  <si>
    <t>Business Services</t>
  </si>
  <si>
    <t>IT &amp; Media</t>
  </si>
  <si>
    <t>Energy, Utilities, Infrastructure</t>
  </si>
  <si>
    <t>Government</t>
  </si>
  <si>
    <t>Other Sectors (Schools, Hospitals, etc)</t>
  </si>
  <si>
    <t xml:space="preserve">Cost of Sales </t>
  </si>
  <si>
    <t>Clients/Job Numbers</t>
  </si>
  <si>
    <t>&lt; Toggle between Forecast vs Actual</t>
  </si>
  <si>
    <t>&lt; Manually update to highlight current month</t>
  </si>
  <si>
    <t>PRD FY26</t>
  </si>
  <si>
    <t>FY26 ONS</t>
  </si>
  <si>
    <t>Client/Job Name</t>
  </si>
  <si>
    <t>FY26 CONS</t>
  </si>
  <si>
    <t>BUDGET</t>
  </si>
  <si>
    <t>Budget</t>
  </si>
  <si>
    <t>Forecast/Actual</t>
  </si>
  <si>
    <t>Cost of Sales</t>
  </si>
  <si>
    <t>&lt; Toggle between Forecast vs Actual vs Budget</t>
  </si>
  <si>
    <t>Public Holidays</t>
  </si>
  <si>
    <t>AV User Group</t>
  </si>
  <si>
    <t>expensed</t>
  </si>
  <si>
    <t>MSA Managed</t>
  </si>
  <si>
    <t xml:space="preserve">Azure </t>
  </si>
  <si>
    <t>Tickets</t>
  </si>
  <si>
    <t>Bankwest Phone</t>
  </si>
  <si>
    <t>DTTL BNE Onsite ONS</t>
  </si>
  <si>
    <t>DTTL SYD Technician [ONS]</t>
  </si>
  <si>
    <t>-</t>
  </si>
  <si>
    <t xml:space="preserve">Ricoh - Campari </t>
  </si>
  <si>
    <t xml:space="preserve"> $                      -   </t>
  </si>
  <si>
    <t xml:space="preserve">ARUP National - Support </t>
  </si>
  <si>
    <t>Spacera (TBC)</t>
  </si>
  <si>
    <t>Equipment &amp; Misc &amp; Service</t>
  </si>
  <si>
    <t>Transport</t>
  </si>
  <si>
    <t>Caspar</t>
  </si>
  <si>
    <t>Nivison-Smith</t>
  </si>
  <si>
    <t>Dylan</t>
  </si>
  <si>
    <t>Ebrahim</t>
  </si>
  <si>
    <t>Seedat</t>
  </si>
  <si>
    <t>Gary</t>
  </si>
  <si>
    <t>CARTER</t>
  </si>
  <si>
    <t>Jeffrey</t>
  </si>
  <si>
    <t>Kempin</t>
  </si>
  <si>
    <t>Joshua</t>
  </si>
  <si>
    <t>Thomasson</t>
  </si>
  <si>
    <t>Zekic</t>
  </si>
  <si>
    <t>Mark</t>
  </si>
  <si>
    <t>Brooks</t>
  </si>
  <si>
    <t>Matthew</t>
  </si>
  <si>
    <t>Anderson</t>
  </si>
  <si>
    <t>Minoli</t>
  </si>
  <si>
    <t>De Silva</t>
  </si>
  <si>
    <t>Morgan</t>
  </si>
  <si>
    <t>Palmer</t>
  </si>
  <si>
    <t>ADAM</t>
  </si>
  <si>
    <t>Row Labels</t>
  </si>
  <si>
    <t>Column Labels</t>
  </si>
  <si>
    <t>Paid month</t>
  </si>
  <si>
    <t>Employee ID</t>
  </si>
  <si>
    <t>First name</t>
  </si>
  <si>
    <t>Primary location</t>
  </si>
  <si>
    <t>Total gross plus super</t>
  </si>
  <si>
    <t>Sum of Total gross plus super</t>
  </si>
  <si>
    <t>CTS / ONSITE / Bankwest Additional Tech [ONS]</t>
  </si>
  <si>
    <t>CTS / ONSITE / Ricoh - QANTAS [ONS]</t>
  </si>
  <si>
    <t>Employment Type</t>
  </si>
  <si>
    <t>Casual</t>
  </si>
  <si>
    <t>Gross Profit %</t>
  </si>
  <si>
    <t>Misc</t>
  </si>
  <si>
    <t>Equipment &amp; Services (LH Licences &amp; Mobile Phone)</t>
  </si>
  <si>
    <t>Reduce by 10%</t>
  </si>
  <si>
    <t>Artefact</t>
  </si>
  <si>
    <t>ASI</t>
  </si>
  <si>
    <t>ASX</t>
  </si>
  <si>
    <t>Australian Museum</t>
  </si>
  <si>
    <t>AusPayNet</t>
  </si>
  <si>
    <t xml:space="preserve">$-   </t>
  </si>
  <si>
    <t>Bankwest</t>
  </si>
  <si>
    <t>Corrs Chambers Westgarth</t>
  </si>
  <si>
    <t>Deloitte</t>
  </si>
  <si>
    <t>DEWR</t>
  </si>
  <si>
    <t>Hills Grammar School</t>
  </si>
  <si>
    <t>HP Poly</t>
  </si>
  <si>
    <t>Metcash</t>
  </si>
  <si>
    <t>Property NSW</t>
  </si>
  <si>
    <t>Spacera</t>
  </si>
  <si>
    <t>Stryker</t>
  </si>
  <si>
    <t>VinoMofo</t>
  </si>
  <si>
    <t xml:space="preserve"> $-   </t>
  </si>
  <si>
    <t>Super at 12%</t>
  </si>
  <si>
    <t>Total - Annual (Annual + Super)</t>
  </si>
  <si>
    <t>Transport (INT &amp; CONS)</t>
  </si>
  <si>
    <t>Aristocrat (ALL)</t>
  </si>
  <si>
    <t>EY</t>
  </si>
  <si>
    <t>Garvan Institute</t>
  </si>
  <si>
    <t>Arinex (ICC OPs)</t>
  </si>
  <si>
    <t>COS</t>
  </si>
  <si>
    <t>CTS / ONSITE / KPMG BNE Tech [ONS]</t>
  </si>
  <si>
    <t>Amadeus</t>
  </si>
  <si>
    <t>Anggaraksa</t>
  </si>
  <si>
    <t>CTS / ONSITE / DTTL Mel Tech FT 2 [ONS]</t>
  </si>
  <si>
    <t>CTS / ONSITE / DTTL BNE Onsite [ONS]</t>
  </si>
  <si>
    <t>CTS / ONSITE / DTTL Mel Tech FT 1 [ONS]</t>
  </si>
  <si>
    <t>CTS / ONSITE / Bank West Contract [ONS]</t>
  </si>
  <si>
    <t>Emily</t>
  </si>
  <si>
    <t>Cooper</t>
  </si>
  <si>
    <t>CTS / VIDEO / VIDEO DEPT [VID]</t>
  </si>
  <si>
    <t>Isabel</t>
  </si>
  <si>
    <t>Folland</t>
  </si>
  <si>
    <t>CTS / ONSITE / DTTL ADL Onsite [ONS]</t>
  </si>
  <si>
    <t>Maximus</t>
  </si>
  <si>
    <t>Juckes</t>
  </si>
  <si>
    <t>CTS / ONSITE / DTTL National STL [ONS]</t>
  </si>
  <si>
    <t>CTS / ONSITE / ONSITE (including PROD backup)</t>
  </si>
  <si>
    <t>CTS / ONSITE / DTTL MEL Additional Tech [ONS]</t>
  </si>
  <si>
    <t>*update as month finishes</t>
  </si>
  <si>
    <t>Salaries Casual Video (Gross + Super)</t>
  </si>
  <si>
    <t>Equipment (Production)</t>
  </si>
  <si>
    <t>Equipment (Video)</t>
  </si>
  <si>
    <t>Transportation (Production)</t>
  </si>
  <si>
    <t>Transportation (Video)</t>
  </si>
  <si>
    <t>Direct Salaries Video (70%)</t>
  </si>
  <si>
    <t>Direct Salaries (Production)</t>
  </si>
  <si>
    <t>Direct Salaries (Video)</t>
  </si>
  <si>
    <t>Direct Superannuation (Production)</t>
  </si>
  <si>
    <t>Direct Superannuation (Video)</t>
  </si>
  <si>
    <t>Beautiful AI</t>
  </si>
  <si>
    <t>Live U (Pacific Media - Monthly sims)</t>
  </si>
  <si>
    <t>AddEvent</t>
  </si>
  <si>
    <t>Total OpEx (Prod/Vid Only)</t>
  </si>
  <si>
    <t>Total OpEx incl. Overhead split</t>
  </si>
  <si>
    <t xml:space="preserve">AL Expense Calculation Logic </t>
  </si>
  <si>
    <t>Gen &amp; Ad</t>
  </si>
  <si>
    <t>MUFG</t>
  </si>
  <si>
    <t>Gorss Profit</t>
  </si>
  <si>
    <t>St Catherines</t>
  </si>
  <si>
    <t>One School Global</t>
  </si>
  <si>
    <t>Direct Salaries (10%)</t>
  </si>
  <si>
    <t>Indirect Salaries (90%)</t>
  </si>
  <si>
    <t>1. Business Communication</t>
  </si>
  <si>
    <t>2. Business Interruption</t>
  </si>
  <si>
    <t>Invoice Number</t>
  </si>
  <si>
    <t>Amount (Premium + FSL)</t>
  </si>
  <si>
    <t>Period Covered</t>
  </si>
  <si>
    <t>3. Removable equipment</t>
  </si>
  <si>
    <t>4. Mecon Annual Contract Works</t>
  </si>
  <si>
    <t>5. Corporate Travel</t>
  </si>
  <si>
    <t>6. Group Journey Cover</t>
  </si>
  <si>
    <t>7. IT Liability</t>
  </si>
  <si>
    <t>8. Management Liability</t>
  </si>
  <si>
    <t>Insurer</t>
  </si>
  <si>
    <t>CGU</t>
  </si>
  <si>
    <t>IUA</t>
  </si>
  <si>
    <t>AIG</t>
  </si>
  <si>
    <t>Mecon</t>
  </si>
  <si>
    <t>Chubb</t>
  </si>
  <si>
    <t>GL Code</t>
  </si>
  <si>
    <t>6-2300 Other Insurance</t>
  </si>
  <si>
    <t>6-2400 Travel Insurance</t>
  </si>
  <si>
    <t>Cost Centre</t>
  </si>
  <si>
    <t xml:space="preserve">IT Costs: </t>
  </si>
  <si>
    <t>Microsoft Azure</t>
  </si>
  <si>
    <t>MSA and Office</t>
  </si>
  <si>
    <t>Apple (icloud)</t>
  </si>
  <si>
    <t>AVIXA Annual Silver Membership</t>
  </si>
  <si>
    <t>Optus (Evolve Voice)</t>
  </si>
  <si>
    <t>Optus (All coded to 9000)</t>
  </si>
  <si>
    <t xml:space="preserve">4 x Optus </t>
  </si>
  <si>
    <t>CONS Overhead</t>
  </si>
  <si>
    <t>ONS Overhead</t>
  </si>
  <si>
    <t>PRD Overhead</t>
  </si>
  <si>
    <t>FY26 (YTD)</t>
  </si>
  <si>
    <t>Cleaning</t>
  </si>
  <si>
    <t>Storeroom Rental</t>
  </si>
  <si>
    <t>Storeroom</t>
  </si>
  <si>
    <t>Rent/Outgoings/Rebate</t>
  </si>
  <si>
    <t>Rent/Rental Outgoings/Cleaning</t>
  </si>
  <si>
    <t>Rent/Outgoings/Cleaning</t>
  </si>
  <si>
    <t>Stamp Duty</t>
  </si>
  <si>
    <t>EUR 449.98</t>
  </si>
  <si>
    <t>Gabriela</t>
  </si>
  <si>
    <t>Panza Romanini Alchaar</t>
  </si>
  <si>
    <t>CTS / ONSITE / PWC – MEL Technician [ONS]</t>
  </si>
  <si>
    <t>(office assets) - includes 14k extra from FY2025</t>
  </si>
  <si>
    <t>Filing Fee - Meyer West</t>
  </si>
  <si>
    <t>Jason Ng</t>
  </si>
  <si>
    <t>FT Fixed Term Super</t>
  </si>
  <si>
    <t>Salaries FT Fixed Term (Gross + Super)</t>
  </si>
  <si>
    <t>Chloe LANDAYAN</t>
  </si>
  <si>
    <t>20 days AL allowed / 250 working days in a year</t>
  </si>
  <si>
    <t>Ispring</t>
  </si>
  <si>
    <t>FY2026</t>
  </si>
  <si>
    <t>N/N</t>
  </si>
  <si>
    <t>N/E</t>
  </si>
  <si>
    <t>E/E</t>
  </si>
  <si>
    <t>New Business - N/E</t>
  </si>
  <si>
    <t>New business N/E</t>
  </si>
  <si>
    <t>Salary</t>
  </si>
  <si>
    <t>Budget vs Actual</t>
  </si>
  <si>
    <t>DTTL Additional</t>
  </si>
  <si>
    <t>COMBINED BUDGET</t>
  </si>
  <si>
    <t>COMBINED ACTUAL &amp; FORECAST</t>
  </si>
  <si>
    <t>Scentre Group</t>
  </si>
  <si>
    <t xml:space="preserve"> </t>
  </si>
  <si>
    <t>Aust Retirement Trust</t>
  </si>
  <si>
    <t>Automic</t>
  </si>
  <si>
    <t>Elkiem</t>
  </si>
  <si>
    <t>Support Budget</t>
  </si>
  <si>
    <t>Production Budget</t>
  </si>
  <si>
    <t>Consulting Budget</t>
  </si>
  <si>
    <t>Support Forecast</t>
  </si>
  <si>
    <t>Production Forecast</t>
  </si>
  <si>
    <t>Consulting Forecast</t>
  </si>
  <si>
    <t>PWC Perth</t>
  </si>
  <si>
    <t>Novigi</t>
  </si>
  <si>
    <t>National Pharmacies</t>
  </si>
  <si>
    <t>City of Sydney</t>
  </si>
  <si>
    <t>Conservatorium of Music</t>
  </si>
  <si>
    <t>Kirra</t>
  </si>
  <si>
    <t xml:space="preserve">Woolworths </t>
  </si>
  <si>
    <t>Australian Retirement Trust</t>
  </si>
  <si>
    <t xml:space="preserve">Jetstar (Ricoh) - TBC </t>
  </si>
  <si>
    <t xml:space="preserve">Shell (Ricoh) - TBC </t>
  </si>
  <si>
    <t xml:space="preserve">ABS (Gen E) - TBC </t>
  </si>
  <si>
    <t>Investa</t>
  </si>
  <si>
    <t>Mitchell Healey</t>
  </si>
  <si>
    <t>CHERRY, Graham</t>
  </si>
  <si>
    <t>Red tabs are temporary - should be deleted in new FY</t>
  </si>
  <si>
    <t>Symal</t>
  </si>
  <si>
    <t>Virgin</t>
  </si>
  <si>
    <t>Linkedin (Jordan&amp;Graham)</t>
  </si>
  <si>
    <t>Lucidchart (USD)</t>
  </si>
  <si>
    <t>First Focus (Managed Services Azure)</t>
  </si>
  <si>
    <t>First Focus (MSA, Office, Planner, Visio, Business)</t>
  </si>
  <si>
    <t>Inclusive if MS increases as per FF</t>
  </si>
  <si>
    <t>Dicker Data (subscription&amp;support for neat pulse pro until 2027)</t>
  </si>
  <si>
    <t>Adobe (Marketing)</t>
  </si>
  <si>
    <t>Bus. Com (Brookvale)</t>
  </si>
  <si>
    <t>Business Interruption (Brookvale)</t>
  </si>
  <si>
    <t>IT (Brookvale)</t>
  </si>
  <si>
    <t>Management Liability (Brookvale)</t>
  </si>
  <si>
    <t>Corp Travel Policy&amp;Group Journey (Brookvale)</t>
  </si>
  <si>
    <t>Webflow (CMS) (USD)</t>
  </si>
  <si>
    <t>Optus (Evolve Internet + Lugstein Home wifi)</t>
  </si>
  <si>
    <t>Youtube (DL)</t>
  </si>
  <si>
    <t>Trends Journal</t>
  </si>
  <si>
    <t xml:space="preserve">Emelda Waiya </t>
  </si>
  <si>
    <t>Head of HR</t>
  </si>
  <si>
    <t>Office Admin</t>
  </si>
  <si>
    <t>NIKODINOVSKI, Isabella (casual incl of 25% loading)</t>
  </si>
  <si>
    <t>New hourly rate 4%</t>
  </si>
  <si>
    <t>Robert Mahood</t>
  </si>
  <si>
    <t>John Rizvi</t>
  </si>
  <si>
    <t>ACT Worker's Compensation Insurance FY2027</t>
  </si>
  <si>
    <t>ACT Labour Hire Licence</t>
  </si>
  <si>
    <t>Jaazaniah Salanoa</t>
  </si>
  <si>
    <t>Australian Tender</t>
  </si>
  <si>
    <t>Seek Ads, etc (Flatworld)</t>
  </si>
  <si>
    <t>3x licences p/m</t>
  </si>
  <si>
    <t>Overhead</t>
  </si>
  <si>
    <t>Charged to CBA AGM</t>
  </si>
  <si>
    <t>MailChimp</t>
  </si>
  <si>
    <t>4x Telstra</t>
  </si>
  <si>
    <t>Telstra - Nighthawk</t>
  </si>
  <si>
    <t xml:space="preserve">	DR Cleaning Direct B Bld</t>
  </si>
  <si>
    <t>FY2027</t>
  </si>
  <si>
    <t>DR Cleaning Tenancy Std - Contr</t>
  </si>
  <si>
    <t>Office Rent</t>
  </si>
  <si>
    <t>Outgoings Recoverable</t>
  </si>
  <si>
    <t>Rental Rebate</t>
  </si>
  <si>
    <t>Storeroom Rent</t>
  </si>
  <si>
    <t>Safety Culture</t>
  </si>
  <si>
    <t>prepayments</t>
  </si>
  <si>
    <t>Smartsheets</t>
  </si>
  <si>
    <t>GPTW</t>
  </si>
  <si>
    <t>Easton Belle &amp; Meyer West</t>
  </si>
  <si>
    <t>Instant Asset Write-Off (up to $20k per asset)</t>
  </si>
  <si>
    <t>*Maternity Leave</t>
  </si>
  <si>
    <t>Sangeeta Lachimaya</t>
  </si>
  <si>
    <t>Support Manager</t>
  </si>
  <si>
    <t xml:space="preserve">FT Fixed Term Contract - 1 </t>
  </si>
  <si>
    <t>FT Fixed Term Contract - 2</t>
  </si>
  <si>
    <t>FT Fixed Term Contract - 3</t>
  </si>
  <si>
    <t>FY27 CONS</t>
  </si>
  <si>
    <t>PWC National Pool of Hours</t>
  </si>
  <si>
    <t>Optiver</t>
  </si>
  <si>
    <t>Vega</t>
  </si>
  <si>
    <t>PRD FY27</t>
  </si>
  <si>
    <t>FY27 ONS</t>
  </si>
  <si>
    <t>Health</t>
  </si>
  <si>
    <t>Education</t>
  </si>
  <si>
    <t>Total Production Salaries</t>
  </si>
  <si>
    <t>WA Worker's Comp Insurance FY2027</t>
  </si>
  <si>
    <t>QLD Worker's Comp Insurance FY2027</t>
  </si>
  <si>
    <t>VIC Worker's Comp Insurance FY2027 (DXC)</t>
  </si>
  <si>
    <t>NSW Worker's Compensation Insurance FY2027</t>
  </si>
  <si>
    <t>SA Worker's Comp Insurance FY2027</t>
  </si>
  <si>
    <t>AL Expense (Prod &amp; Vid)</t>
  </si>
  <si>
    <t>Zoom (Annual)</t>
  </si>
  <si>
    <t>Total hours</t>
  </si>
  <si>
    <t>Gross earnings</t>
  </si>
  <si>
    <t>Total gross earnings</t>
  </si>
  <si>
    <t>Total tax exempt earnings</t>
  </si>
  <si>
    <t>Pre-tax deductions</t>
  </si>
  <si>
    <t>Taxable earnings</t>
  </si>
  <si>
    <t>PAYG withheld</t>
  </si>
  <si>
    <t>Post-tax deductions</t>
  </si>
  <si>
    <t>Net earnings</t>
  </si>
  <si>
    <t>Super contributions</t>
  </si>
  <si>
    <t>Annual Leave Taken</t>
  </si>
  <si>
    <t>Bonus</t>
  </si>
  <si>
    <t>Bonus Leave Taken</t>
  </si>
  <si>
    <t>Casual - Overtime x 1.75</t>
  </si>
  <si>
    <t>Casual - Overtime x 2</t>
  </si>
  <si>
    <t>Casual - Sunday</t>
  </si>
  <si>
    <t>Casual No Meal Break</t>
  </si>
  <si>
    <t>Casual working through meal break</t>
  </si>
  <si>
    <t>Community Service Leave Taken</t>
  </si>
  <si>
    <t>Compassionate Leave Taken</t>
  </si>
  <si>
    <t>Meal allowance while travelling - not local shows - 5 working days or more</t>
  </si>
  <si>
    <t>Meal allowance while travelling - not local shows - less than 5 working days</t>
  </si>
  <si>
    <t>Per Diems</t>
  </si>
  <si>
    <t>Permanent - Less than 10 hrs break</t>
  </si>
  <si>
    <t>Permanent - Overtime x 1.5</t>
  </si>
  <si>
    <t>Permanent - Overtime x 2</t>
  </si>
  <si>
    <t>Permanent - Overtime x1.25</t>
  </si>
  <si>
    <t>Permanent - Overtime x1.5</t>
  </si>
  <si>
    <t>Permanent - Public Holiday</t>
  </si>
  <si>
    <t>Permanent - Public Holiday not worked</t>
  </si>
  <si>
    <t>Permanent Ordinary Hours</t>
  </si>
  <si>
    <t>Permanent working through meal break</t>
  </si>
  <si>
    <t>Personal/Carer's Leave Taken</t>
  </si>
  <si>
    <t>Time in lieu approved</t>
  </si>
  <si>
    <t>Time in lieu taken</t>
  </si>
  <si>
    <t>Unused leave payment (normal termination)</t>
  </si>
  <si>
    <t>Unused Leave Payment (Type O)</t>
  </si>
  <si>
    <t>Pre-Tax Deduction</t>
  </si>
  <si>
    <t>Salary Sacrifice Super</t>
  </si>
  <si>
    <t>PAYG</t>
  </si>
  <si>
    <t>STSL</t>
  </si>
  <si>
    <t>Child support deduction</t>
  </si>
  <si>
    <t>Earned Wage Access Post-tax deduction</t>
  </si>
  <si>
    <t>Post-Tax Deduction</t>
  </si>
  <si>
    <t>SG</t>
  </si>
  <si>
    <t>Employer contribution (RESC)</t>
  </si>
  <si>
    <t>Employer contribution (Non-RESC)</t>
  </si>
  <si>
    <t>January 2026</t>
  </si>
  <si>
    <t>CTS / ONSITE / PWC IT P/T BNE [ONS]</t>
  </si>
  <si>
    <t>February 2026</t>
  </si>
  <si>
    <t>September 2025</t>
  </si>
  <si>
    <t>October 2025</t>
  </si>
  <si>
    <t>November 2025</t>
  </si>
  <si>
    <t>December 2025</t>
  </si>
  <si>
    <t>CTS / ONSITE / PWC IT Support - Brisbane [ONS]</t>
  </si>
  <si>
    <t>March 2026</t>
  </si>
  <si>
    <t>April 2026</t>
  </si>
  <si>
    <t>May 2026</t>
  </si>
  <si>
    <t>June 2026</t>
  </si>
  <si>
    <t>July 2025</t>
  </si>
  <si>
    <t>CTS / PRODUCTION / PRODUCTION [PRD]</t>
  </si>
  <si>
    <t>August 2025</t>
  </si>
  <si>
    <t>Alana</t>
  </si>
  <si>
    <t>Carling</t>
  </si>
  <si>
    <t>Alexander</t>
  </si>
  <si>
    <t>Mattock</t>
  </si>
  <si>
    <t>Anton</t>
  </si>
  <si>
    <t>Khumala</t>
  </si>
  <si>
    <t>Cai</t>
  </si>
  <si>
    <t>Neilson</t>
  </si>
  <si>
    <t>CTS / ONSITE / PWC IT Support – Melbourne [ONS]</t>
  </si>
  <si>
    <t>Milios</t>
  </si>
  <si>
    <t>Dimitri</t>
  </si>
  <si>
    <t>Gerakios</t>
  </si>
  <si>
    <t>Motsi</t>
  </si>
  <si>
    <t>CTS / ONSITE / PWC - PER Tech [ONS]</t>
  </si>
  <si>
    <t>CTS / ONSITE / PWC - MEL Tech [ONS]</t>
  </si>
  <si>
    <t>Alysandratos</t>
  </si>
  <si>
    <t>CTS / ONSITE / DTTL SYD FT Tech 1 [ONS]</t>
  </si>
  <si>
    <t>Jonathan</t>
  </si>
  <si>
    <t>Hendratno</t>
  </si>
  <si>
    <t>Velarde</t>
  </si>
  <si>
    <t>CTS / ONSITE / DTTL SYD FT Tech 2 [ONS]</t>
  </si>
  <si>
    <t>Layla</t>
  </si>
  <si>
    <t>Phillips</t>
  </si>
  <si>
    <t>CTS / ONSITE / PWC - SYD Tech [ONS]</t>
  </si>
  <si>
    <t>CTS / ONSITE / PWC IT Support – Sydney [ONS]</t>
  </si>
  <si>
    <t>Peter</t>
  </si>
  <si>
    <t>Kiernan</t>
  </si>
  <si>
    <t>Raigardas</t>
  </si>
  <si>
    <t>Breskys</t>
  </si>
  <si>
    <t>CTS / PRODUCTION / Dimensional Audio Operator FEB 2025 [PRD]</t>
  </si>
  <si>
    <t>CTS / CTS / MARKETING / COMMS [CTS]</t>
  </si>
  <si>
    <t>Ryan</t>
  </si>
  <si>
    <t>SZETO</t>
  </si>
  <si>
    <t>Simone</t>
  </si>
  <si>
    <t>Citrani</t>
  </si>
  <si>
    <t>CTS / ONSITE / DTTL MEL Tech (PT) [ONS]</t>
  </si>
  <si>
    <t>Timothy</t>
  </si>
  <si>
    <t>Camden</t>
  </si>
  <si>
    <t>Vivek</t>
  </si>
  <si>
    <t>Kini</t>
  </si>
  <si>
    <t>Zach</t>
  </si>
  <si>
    <t>Lecher</t>
  </si>
  <si>
    <t>CTS / ONSITE / CBA FT Tech MEL - 12 months [ONS]</t>
  </si>
  <si>
    <t>Zed</t>
  </si>
  <si>
    <t>Norrie</t>
  </si>
  <si>
    <t>Gross to Net Report in EH</t>
  </si>
  <si>
    <t>Casual Pays needs to be updated for June</t>
  </si>
  <si>
    <t>Em to check overhead bills</t>
  </si>
  <si>
    <t>Check Ptax calcs and input actual pay for the FY on 29/06</t>
  </si>
  <si>
    <t>AL expense update</t>
  </si>
  <si>
    <t>ONS Sales Budget</t>
  </si>
  <si>
    <t>PRD Sales Budget</t>
  </si>
  <si>
    <t>CONS Sales Budget</t>
  </si>
  <si>
    <t>Tax Free Threshold for FY 2027</t>
  </si>
  <si>
    <t>Total Annual Salary ex Super (FT/PT) FY2026</t>
  </si>
  <si>
    <t>3x</t>
  </si>
  <si>
    <t>Aware Super</t>
  </si>
  <si>
    <t>Blackrock (Ricoh)</t>
  </si>
  <si>
    <t>Average Weighting (Approx)</t>
  </si>
  <si>
    <t>Other Sectors (Schools, Hospitals, etc) </t>
  </si>
  <si>
    <t>CBA</t>
  </si>
  <si>
    <t>Wayflyer</t>
  </si>
  <si>
    <t>PTS</t>
  </si>
  <si>
    <t>Visagio</t>
  </si>
  <si>
    <t>FY27 (YTD)</t>
  </si>
  <si>
    <t>Global Philanthropic</t>
  </si>
  <si>
    <t>Ingenia Communities Group</t>
  </si>
  <si>
    <t>N2 Dance Productions</t>
  </si>
  <si>
    <t>STAFF</t>
  </si>
  <si>
    <t>Admin</t>
  </si>
  <si>
    <t>Prouduction</t>
  </si>
  <si>
    <t>OFFICE DEPT</t>
  </si>
  <si>
    <t>New hourly rate 3%</t>
  </si>
  <si>
    <t>New rate 3%</t>
  </si>
  <si>
    <t>New Rates at 3%</t>
  </si>
  <si>
    <t>Telstra</t>
  </si>
  <si>
    <t>Total Overhead Only</t>
  </si>
  <si>
    <t>Total COS Only (prod)</t>
  </si>
  <si>
    <t>Total COS Only (vid)</t>
  </si>
  <si>
    <t>First Focus Total Support Fee (incl DMARC, Storage, Firewall + Projects+CORE Managed)</t>
  </si>
  <si>
    <t>Fixed</t>
  </si>
  <si>
    <t>KPMG FY2027</t>
  </si>
  <si>
    <t>ESG (SBTi)</t>
  </si>
  <si>
    <t>Training</t>
  </si>
  <si>
    <t>Sub-contracted lead consultants</t>
  </si>
  <si>
    <t>Re-visit CONS Sales budget based on probability</t>
  </si>
  <si>
    <t>Insurances FY26</t>
  </si>
  <si>
    <t>1847169 </t>
  </si>
  <si>
    <t>1847148 </t>
  </si>
  <si>
    <t>1847147 </t>
  </si>
  <si>
    <t>1847146 </t>
  </si>
  <si>
    <t>1846354 </t>
  </si>
  <si>
    <t>1846314 </t>
  </si>
  <si>
    <t>30/09/2025 to 30/09/2026</t>
  </si>
  <si>
    <t>30/09/2026 to 30/09/2026</t>
  </si>
  <si>
    <t>Salaries (Casual + Super + Spacera)</t>
  </si>
  <si>
    <t>Emmett</t>
  </si>
  <si>
    <t>Todd</t>
  </si>
  <si>
    <t>DTTL SYD L1 (CL) [ONS]</t>
  </si>
  <si>
    <t>DTTL SYD Internal / QQT</t>
  </si>
  <si>
    <t>DTTL SYD Technician L2 [ONS]</t>
  </si>
  <si>
    <t>NSW Worker's Comp (Admin only)</t>
  </si>
  <si>
    <t>Layla Philipps</t>
  </si>
  <si>
    <t>APA (Sydney, Melbourne, Adelaide, Kidman)</t>
  </si>
  <si>
    <t>Dimensional</t>
  </si>
  <si>
    <t>Qwilr and Zoho</t>
  </si>
  <si>
    <t>Zoho - Prod</t>
  </si>
  <si>
    <t>Zoho - Vid</t>
  </si>
  <si>
    <t>Instant Asset reduced to $5k per month</t>
  </si>
  <si>
    <t>ESG Budget reduced to $500 per month</t>
  </si>
  <si>
    <t>CTS 20-year anniversary budgeted at $8.5k in Aug</t>
  </si>
  <si>
    <t xml:space="preserve">Headcount: Budget removed for Office Admin, Head of HR, 2 Prod technicians, 1 Cons intern </t>
  </si>
  <si>
    <t>Budget vs LY</t>
  </si>
  <si>
    <t xml:space="preserve">IT Support increased by $36k </t>
  </si>
  <si>
    <t>Website update cost in Aug $12k</t>
  </si>
  <si>
    <t>CTS Logo Update $9.3k</t>
  </si>
  <si>
    <t xml:space="preserve">Salary increases factored in 3% </t>
  </si>
  <si>
    <t>DL Employer Contributed Super</t>
  </si>
  <si>
    <t xml:space="preserve">Budget Expense commentaries: </t>
  </si>
  <si>
    <t>Revenue is forecast to be strongest during: October ($921K for AGM Season) August ($951K where $400k worth of consulting work becomes realised)</t>
  </si>
  <si>
    <t>Support services remain the largest contributor to revenue, followed by Production, indicating the business continues to rely on recurring operational work rather than project-based consulting.</t>
  </si>
  <si>
    <t xml:space="preserve">Budget Sales commentaries: </t>
  </si>
  <si>
    <t>PWC IT National Pool of Hours</t>
  </si>
  <si>
    <t>PWC IT Nat. Pool of Hrs COS</t>
  </si>
  <si>
    <t>INT- Equip/Sub-Contract/Licenses (50% of revenue)</t>
  </si>
  <si>
    <t>Production: $2.09M (34% of revenue)Support: $3M (47% of revenue)Consulting: $1.10M (18% of revenue)</t>
  </si>
  <si>
    <t>Aware Super (COS)</t>
  </si>
  <si>
    <t>Salaries Casual Production (Gross + Super + Spacera)</t>
  </si>
  <si>
    <t>CBA Melbourne</t>
  </si>
  <si>
    <t>Total Overhead</t>
  </si>
  <si>
    <t>Breakeven</t>
  </si>
  <si>
    <t>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</si>
</sst>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6" formatCode="&quot;$&quot;#,##0;[Red]\-&quot;$&quot;#,##0"/>
    <numFmt numFmtId="8" formatCode="&quot;$&quot;#,##0.00;[Red]\-&quot;$&quot;#,##0.00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&quot;$&quot;#,##0.00_);[Red]\(&quot;$&quot;#,##0.00\)"/>
    <numFmt numFmtId="165" formatCode="_(&quot;$&quot;* #,##0.00_);_(&quot;$&quot;* \(#,##0.00\);_(&quot;$&quot;* &quot;-&quot;??_);_(@_)"/>
    <numFmt numFmtId="166" formatCode="_(&quot;$&quot;* #,##0_);_(&quot;$&quot;* \(#,##0\);_(&quot;$&quot;* &quot;-&quot;??_);_(@_)"/>
    <numFmt numFmtId="167" formatCode="_-&quot;$&quot;* #,##0_-;\-&quot;$&quot;* #,##0_-;_-&quot;$&quot;* &quot;-&quot;??_-;_-@_-"/>
    <numFmt numFmtId="168" formatCode="_-[$$-C09]* #,##0_-;\-[$$-C09]* #,##0_-;_-[$$-C09]* &quot;-&quot;??_-;_-@_-"/>
    <numFmt numFmtId="169" formatCode="[$$-C09]#,##0.00"/>
    <numFmt numFmtId="170" formatCode="_-* #,##0_-;\-* #,##0_-;_-* &quot;-&quot;??_-;_-@_-"/>
    <numFmt numFmtId="171" formatCode="_([$$-409]* #,##0.00_);_([$$-409]* \(#,##0.00\);_([$$-409]* &quot;-&quot;??_);_(@_)"/>
    <numFmt numFmtId="172" formatCode="&quot;$&quot;#,##0.00"/>
    <numFmt numFmtId="173" formatCode="0.0%"/>
    <numFmt numFmtId="174" formatCode="\$#,##0.00"/>
    <numFmt numFmtId="175" formatCode="&quot;$&quot;#,##0.0000;[Red]\-&quot;$&quot;#,##0.0000"/>
    <numFmt numFmtId="176" formatCode="0.0000"/>
    <numFmt numFmtId="177" formatCode="&quot;$&quot;#,##0.00;[Red]&quot;$&quot;#,##0.00"/>
    <numFmt numFmtId="178" formatCode="_-&quot;$&quot;* #,##0.0000_-;\-&quot;$&quot;* #,##0.0000_-;_-&quot;$&quot;* &quot;-&quot;??_-;_-@_-"/>
    <numFmt numFmtId="179" formatCode="_-&quot;$&quot;* #,##0.0_-;\-&quot;$&quot;* #,##0.0_-;_-&quot;$&quot;* &quot;-&quot;??_-;_-@_-"/>
  </numFmts>
  <fonts count="5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Arial"/>
      <family val="2"/>
    </font>
    <font>
      <b/>
      <sz val="9"/>
      <color indexed="81"/>
      <name val="Tahoma"/>
      <family val="2"/>
    </font>
    <font>
      <strike/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9"/>
      <color indexed="81"/>
      <name val="Tahoma"/>
      <family val="2"/>
    </font>
    <font>
      <b/>
      <u/>
      <sz val="10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i/>
      <sz val="10"/>
      <name val="Calibri"/>
      <family val="2"/>
      <scheme val="minor"/>
    </font>
    <font>
      <i/>
      <sz val="10"/>
      <name val="Arial"/>
      <family val="2"/>
    </font>
    <font>
      <b/>
      <i/>
      <sz val="10"/>
      <color rgb="FFFF0000"/>
      <name val="Calibri"/>
      <family val="2"/>
      <scheme val="minor"/>
    </font>
    <font>
      <sz val="8"/>
      <name val="Arial"/>
      <family val="2"/>
    </font>
    <font>
      <sz val="11"/>
      <color rgb="FF000000"/>
      <name val="Calibri"/>
      <family val="2"/>
    </font>
    <font>
      <b/>
      <u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i/>
      <sz val="10"/>
      <name val="Calibri"/>
      <family val="2"/>
      <scheme val="minor"/>
    </font>
    <font>
      <u/>
      <sz val="10"/>
      <color theme="10"/>
      <name val="Arial"/>
      <family val="2"/>
    </font>
    <font>
      <sz val="10"/>
      <color rgb="FFFF0000"/>
      <name val="Arial"/>
      <family val="2"/>
    </font>
    <font>
      <sz val="10"/>
      <color rgb="FF0061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333333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name val="Calibri"/>
      <family val="2"/>
    </font>
    <font>
      <b/>
      <sz val="10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FF0000"/>
      <name val="Calibri"/>
      <family val="2"/>
    </font>
    <font>
      <sz val="10"/>
      <color rgb="FFFF0000"/>
      <name val="Calibri"/>
      <family val="2"/>
    </font>
    <font>
      <i/>
      <sz val="10"/>
      <color rgb="FFFF0000"/>
      <name val="Calibri"/>
      <family val="2"/>
      <scheme val="minor"/>
    </font>
    <font>
      <b/>
      <sz val="11"/>
      <color rgb="FFFFFFFF"/>
      <name val="Aptos Narrow"/>
      <family val="2"/>
    </font>
    <font>
      <sz val="11"/>
      <color rgb="FFFF0000"/>
      <name val="Calibri"/>
      <family val="2"/>
    </font>
    <font>
      <sz val="10"/>
      <color theme="9" tint="-0.499984740745262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70C0"/>
      <name val="Arial"/>
      <family val="2"/>
    </font>
    <font>
      <b/>
      <sz val="10"/>
      <color rgb="FF0070C0"/>
      <name val="Arial"/>
      <family val="2"/>
    </font>
    <font>
      <sz val="10"/>
      <color rgb="FF0070C0"/>
      <name val="Calibri"/>
      <family val="2"/>
      <scheme val="minor"/>
    </font>
    <font>
      <b/>
      <sz val="10"/>
      <color rgb="FF0070C0"/>
      <name val="Calibri"/>
      <family val="2"/>
      <scheme val="minor"/>
    </font>
  </fonts>
  <fills count="5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theme="4" tint="0.79998168889431442"/>
      </patternFill>
    </fill>
    <fill>
      <patternFill patternType="solid">
        <fgColor theme="6"/>
        <bgColor theme="4" tint="0.79998168889431442"/>
      </patternFill>
    </fill>
    <fill>
      <patternFill patternType="solid">
        <fgColor theme="0" tint="-0.14999847407452621"/>
        <bgColor theme="4" tint="0.79998168889431442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theme="4"/>
      </patternFill>
    </fill>
    <fill>
      <patternFill patternType="solid">
        <fgColor theme="4" tint="0.59999389629810485"/>
        <bgColor theme="4"/>
      </patternFill>
    </fill>
    <fill>
      <patternFill patternType="solid">
        <fgColor theme="0" tint="-0.14999847407452621"/>
        <bgColor theme="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5" tint="0.59999389629810485"/>
        <bgColor theme="4"/>
      </patternFill>
    </fill>
    <fill>
      <patternFill patternType="solid">
        <fgColor rgb="FFFF0000"/>
        <bgColor rgb="FF000000"/>
      </patternFill>
    </fill>
    <fill>
      <patternFill patternType="solid">
        <fgColor rgb="FF4EA72E"/>
        <bgColor rgb="FF000000"/>
      </patternFill>
    </fill>
    <fill>
      <patternFill patternType="solid">
        <fgColor rgb="FF156082"/>
        <bgColor rgb="FF000000"/>
      </patternFill>
    </fill>
    <fill>
      <patternFill patternType="solid">
        <fgColor theme="6" tint="0.59999389629810485"/>
        <bgColor theme="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theme="4"/>
      </patternFill>
    </fill>
    <fill>
      <patternFill patternType="solid">
        <fgColor rgb="FFD9D9D9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/>
      </patternFill>
    </fill>
    <fill>
      <patternFill patternType="solid">
        <fgColor theme="3" tint="0.79998168889431442"/>
        <bgColor indexed="64"/>
      </patternFill>
    </fill>
  </fills>
  <borders count="5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</borders>
  <cellStyleXfs count="68">
    <xf numFmtId="0" fontId="0" fillId="0" borderId="0"/>
    <xf numFmtId="165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10" fillId="0" borderId="0"/>
    <xf numFmtId="0" fontId="10" fillId="0" borderId="0"/>
    <xf numFmtId="0" fontId="8" fillId="0" borderId="0"/>
    <xf numFmtId="44" fontId="8" fillId="0" borderId="0" applyFont="0" applyFill="0" applyBorder="0" applyAlignment="0" applyProtection="0"/>
    <xf numFmtId="0" fontId="8" fillId="0" borderId="0"/>
    <xf numFmtId="0" fontId="10" fillId="0" borderId="0"/>
    <xf numFmtId="43" fontId="8" fillId="0" borderId="0" applyFont="0" applyFill="0" applyBorder="0" applyAlignment="0" applyProtection="0"/>
    <xf numFmtId="0" fontId="10" fillId="0" borderId="0"/>
    <xf numFmtId="44" fontId="8" fillId="0" borderId="0" applyFont="0" applyFill="0" applyBorder="0" applyAlignment="0" applyProtection="0"/>
    <xf numFmtId="0" fontId="8" fillId="0" borderId="0"/>
    <xf numFmtId="0" fontId="10" fillId="0" borderId="0"/>
    <xf numFmtId="43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44" fontId="8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165" fontId="11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17" fillId="6" borderId="0" applyNumberFormat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4" fillId="0" borderId="0"/>
    <xf numFmtId="0" fontId="3" fillId="0" borderId="0"/>
    <xf numFmtId="44" fontId="3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32" fillId="0" borderId="0" applyBorder="0"/>
    <xf numFmtId="0" fontId="36" fillId="0" borderId="0" applyNumberFormat="0" applyFill="0" applyBorder="0" applyAlignment="0" applyProtection="0"/>
    <xf numFmtId="0" fontId="52" fillId="48" borderId="0" applyNumberFormat="0" applyBorder="0" applyAlignment="0" applyProtection="0"/>
  </cellStyleXfs>
  <cellXfs count="727">
    <xf numFmtId="0" fontId="0" fillId="0" borderId="0" xfId="0"/>
    <xf numFmtId="0" fontId="8" fillId="0" borderId="0" xfId="0" applyFont="1"/>
    <xf numFmtId="0" fontId="9" fillId="0" borderId="0" xfId="0" applyFont="1"/>
    <xf numFmtId="165" fontId="8" fillId="0" borderId="0" xfId="1" applyFont="1" applyFill="1" applyBorder="1"/>
    <xf numFmtId="166" fontId="8" fillId="0" borderId="0" xfId="1" applyNumberFormat="1" applyFont="1" applyFill="1" applyBorder="1"/>
    <xf numFmtId="166" fontId="8" fillId="0" borderId="0" xfId="0" applyNumberFormat="1" applyFont="1"/>
    <xf numFmtId="165" fontId="0" fillId="0" borderId="0" xfId="1" applyFont="1"/>
    <xf numFmtId="165" fontId="8" fillId="0" borderId="0" xfId="1" applyFont="1"/>
    <xf numFmtId="166" fontId="8" fillId="0" borderId="0" xfId="1" applyNumberFormat="1" applyFont="1"/>
    <xf numFmtId="166" fontId="0" fillId="0" borderId="0" xfId="0" applyNumberFormat="1"/>
    <xf numFmtId="14" fontId="0" fillId="0" borderId="0" xfId="0" applyNumberFormat="1"/>
    <xf numFmtId="8" fontId="0" fillId="0" borderId="0" xfId="0" applyNumberFormat="1"/>
    <xf numFmtId="0" fontId="9" fillId="3" borderId="0" xfId="0" applyFont="1" applyFill="1"/>
    <xf numFmtId="14" fontId="8" fillId="0" borderId="0" xfId="0" applyNumberFormat="1" applyFont="1"/>
    <xf numFmtId="8" fontId="8" fillId="0" borderId="0" xfId="0" applyNumberFormat="1" applyFont="1"/>
    <xf numFmtId="0" fontId="8" fillId="0" borderId="2" xfId="0" applyFont="1" applyBorder="1"/>
    <xf numFmtId="0" fontId="9" fillId="0" borderId="2" xfId="0" applyFont="1" applyBorder="1"/>
    <xf numFmtId="166" fontId="9" fillId="0" borderId="2" xfId="0" applyNumberFormat="1" applyFont="1" applyBorder="1"/>
    <xf numFmtId="166" fontId="9" fillId="0" borderId="2" xfId="1" applyNumberFormat="1" applyFont="1" applyFill="1" applyBorder="1"/>
    <xf numFmtId="14" fontId="9" fillId="0" borderId="2" xfId="0" applyNumberFormat="1" applyFont="1" applyBorder="1"/>
    <xf numFmtId="8" fontId="9" fillId="0" borderId="2" xfId="0" applyNumberFormat="1" applyFont="1" applyBorder="1"/>
    <xf numFmtId="9" fontId="9" fillId="0" borderId="0" xfId="2" applyFont="1" applyFill="1" applyBorder="1"/>
    <xf numFmtId="0" fontId="9" fillId="0" borderId="1" xfId="0" applyFont="1" applyBorder="1"/>
    <xf numFmtId="0" fontId="9" fillId="0" borderId="2" xfId="0" applyFont="1" applyBorder="1" applyAlignment="1">
      <alignment horizontal="right"/>
    </xf>
    <xf numFmtId="0" fontId="9" fillId="0" borderId="0" xfId="0" applyFont="1" applyAlignment="1">
      <alignment horizontal="right"/>
    </xf>
    <xf numFmtId="0" fontId="0" fillId="0" borderId="2" xfId="0" applyBorder="1"/>
    <xf numFmtId="165" fontId="0" fillId="0" borderId="2" xfId="0" applyNumberFormat="1" applyBorder="1"/>
    <xf numFmtId="0" fontId="9" fillId="4" borderId="4" xfId="0" applyFont="1" applyFill="1" applyBorder="1"/>
    <xf numFmtId="0" fontId="8" fillId="0" borderId="0" xfId="3"/>
    <xf numFmtId="0" fontId="9" fillId="4" borderId="3" xfId="0" applyFont="1" applyFill="1" applyBorder="1"/>
    <xf numFmtId="165" fontId="0" fillId="0" borderId="0" xfId="1" applyFont="1" applyFill="1"/>
    <xf numFmtId="166" fontId="0" fillId="0" borderId="0" xfId="1" applyNumberFormat="1" applyFont="1" applyFill="1"/>
    <xf numFmtId="2" fontId="0" fillId="0" borderId="0" xfId="0" applyNumberFormat="1"/>
    <xf numFmtId="9" fontId="0" fillId="0" borderId="0" xfId="2" applyFont="1" applyFill="1"/>
    <xf numFmtId="165" fontId="0" fillId="0" borderId="0" xfId="1" applyFont="1" applyFill="1" applyBorder="1"/>
    <xf numFmtId="165" fontId="9" fillId="0" borderId="0" xfId="1" applyFont="1" applyFill="1" applyBorder="1"/>
    <xf numFmtId="165" fontId="0" fillId="0" borderId="0" xfId="0" applyNumberFormat="1"/>
    <xf numFmtId="3" fontId="0" fillId="0" borderId="0" xfId="0" applyNumberFormat="1"/>
    <xf numFmtId="166" fontId="0" fillId="0" borderId="0" xfId="1" applyNumberFormat="1" applyFont="1" applyFill="1" applyBorder="1"/>
    <xf numFmtId="1" fontId="0" fillId="0" borderId="0" xfId="1" applyNumberFormat="1" applyFont="1" applyFill="1" applyBorder="1"/>
    <xf numFmtId="9" fontId="0" fillId="0" borderId="0" xfId="2" applyFont="1"/>
    <xf numFmtId="44" fontId="0" fillId="0" borderId="0" xfId="0" applyNumberFormat="1"/>
    <xf numFmtId="0" fontId="12" fillId="0" borderId="0" xfId="0" applyFont="1" applyAlignment="1">
      <alignment horizontal="center"/>
    </xf>
    <xf numFmtId="49" fontId="13" fillId="0" borderId="2" xfId="0" applyNumberFormat="1" applyFont="1" applyBorder="1" applyAlignment="1">
      <alignment horizontal="left"/>
    </xf>
    <xf numFmtId="0" fontId="13" fillId="0" borderId="0" xfId="0" applyFont="1"/>
    <xf numFmtId="167" fontId="13" fillId="0" borderId="0" xfId="1" applyNumberFormat="1" applyFont="1" applyFill="1"/>
    <xf numFmtId="166" fontId="13" fillId="0" borderId="0" xfId="0" applyNumberFormat="1" applyFont="1"/>
    <xf numFmtId="164" fontId="13" fillId="0" borderId="0" xfId="0" applyNumberFormat="1" applyFont="1"/>
    <xf numFmtId="0" fontId="13" fillId="3" borderId="0" xfId="0" applyFont="1" applyFill="1" applyAlignment="1">
      <alignment horizontal="left"/>
    </xf>
    <xf numFmtId="0" fontId="13" fillId="5" borderId="0" xfId="0" applyFont="1" applyFill="1"/>
    <xf numFmtId="167" fontId="13" fillId="0" borderId="0" xfId="0" applyNumberFormat="1" applyFont="1"/>
    <xf numFmtId="49" fontId="13" fillId="0" borderId="0" xfId="0" applyNumberFormat="1" applyFont="1" applyAlignment="1">
      <alignment horizontal="left"/>
    </xf>
    <xf numFmtId="166" fontId="13" fillId="0" borderId="0" xfId="1" applyNumberFormat="1" applyFont="1" applyFill="1" applyBorder="1"/>
    <xf numFmtId="166" fontId="13" fillId="0" borderId="0" xfId="1" applyNumberFormat="1" applyFont="1" applyFill="1" applyBorder="1" applyAlignment="1">
      <alignment horizontal="right"/>
    </xf>
    <xf numFmtId="9" fontId="13" fillId="0" borderId="0" xfId="2" applyFont="1" applyFill="1" applyBorder="1"/>
    <xf numFmtId="49" fontId="12" fillId="3" borderId="1" xfId="0" applyNumberFormat="1" applyFont="1" applyFill="1" applyBorder="1" applyAlignment="1">
      <alignment horizontal="left"/>
    </xf>
    <xf numFmtId="9" fontId="12" fillId="3" borderId="1" xfId="2" applyFont="1" applyFill="1" applyBorder="1" applyAlignment="1">
      <alignment horizontal="right"/>
    </xf>
    <xf numFmtId="9" fontId="12" fillId="5" borderId="1" xfId="2" applyFont="1" applyFill="1" applyBorder="1" applyAlignment="1">
      <alignment horizontal="right"/>
    </xf>
    <xf numFmtId="17" fontId="14" fillId="5" borderId="4" xfId="0" applyNumberFormat="1" applyFont="1" applyFill="1" applyBorder="1"/>
    <xf numFmtId="0" fontId="12" fillId="5" borderId="4" xfId="0" applyFont="1" applyFill="1" applyBorder="1" applyAlignment="1">
      <alignment horizontal="center"/>
    </xf>
    <xf numFmtId="49" fontId="12" fillId="5" borderId="1" xfId="0" applyNumberFormat="1" applyFont="1" applyFill="1" applyBorder="1" applyAlignment="1">
      <alignment horizontal="left"/>
    </xf>
    <xf numFmtId="0" fontId="15" fillId="0" borderId="0" xfId="5" applyFont="1" applyAlignment="1">
      <alignment wrapText="1"/>
    </xf>
    <xf numFmtId="0" fontId="16" fillId="0" borderId="0" xfId="5" applyFont="1"/>
    <xf numFmtId="0" fontId="13" fillId="3" borderId="0" xfId="0" applyFont="1" applyFill="1"/>
    <xf numFmtId="0" fontId="12" fillId="3" borderId="0" xfId="0" applyFont="1" applyFill="1"/>
    <xf numFmtId="0" fontId="12" fillId="0" borderId="0" xfId="0" applyFont="1"/>
    <xf numFmtId="49" fontId="12" fillId="0" borderId="0" xfId="0" applyNumberFormat="1" applyFont="1" applyAlignment="1">
      <alignment horizontal="left"/>
    </xf>
    <xf numFmtId="166" fontId="13" fillId="0" borderId="0" xfId="1" applyNumberFormat="1" applyFont="1"/>
    <xf numFmtId="166" fontId="12" fillId="3" borderId="1" xfId="1" applyNumberFormat="1" applyFont="1" applyFill="1" applyBorder="1" applyAlignment="1">
      <alignment horizontal="right"/>
    </xf>
    <xf numFmtId="166" fontId="12" fillId="5" borderId="1" xfId="1" applyNumberFormat="1" applyFont="1" applyFill="1" applyBorder="1" applyAlignment="1">
      <alignment horizontal="right"/>
    </xf>
    <xf numFmtId="166" fontId="13" fillId="5" borderId="0" xfId="1" applyNumberFormat="1" applyFont="1" applyFill="1" applyBorder="1"/>
    <xf numFmtId="166" fontId="14" fillId="5" borderId="4" xfId="1" applyNumberFormat="1" applyFont="1" applyFill="1" applyBorder="1"/>
    <xf numFmtId="166" fontId="13" fillId="0" borderId="0" xfId="7" applyNumberFormat="1" applyFont="1" applyFill="1" applyBorder="1"/>
    <xf numFmtId="0" fontId="8" fillId="11" borderId="2" xfId="3" applyFill="1" applyBorder="1"/>
    <xf numFmtId="166" fontId="8" fillId="11" borderId="2" xfId="1" applyNumberFormat="1" applyFont="1" applyFill="1" applyBorder="1"/>
    <xf numFmtId="44" fontId="8" fillId="0" borderId="0" xfId="0" applyNumberFormat="1" applyFont="1"/>
    <xf numFmtId="166" fontId="0" fillId="0" borderId="0" xfId="1" applyNumberFormat="1" applyFont="1" applyBorder="1"/>
    <xf numFmtId="166" fontId="9" fillId="0" borderId="0" xfId="1" applyNumberFormat="1" applyFont="1" applyBorder="1"/>
    <xf numFmtId="1" fontId="0" fillId="0" borderId="0" xfId="1" applyNumberFormat="1" applyFont="1" applyBorder="1"/>
    <xf numFmtId="166" fontId="8" fillId="0" borderId="0" xfId="1" applyNumberFormat="1" applyFont="1" applyBorder="1"/>
    <xf numFmtId="166" fontId="9" fillId="0" borderId="0" xfId="1" applyNumberFormat="1" applyFont="1" applyFill="1" applyBorder="1"/>
    <xf numFmtId="166" fontId="13" fillId="0" borderId="0" xfId="1" quotePrefix="1" applyNumberFormat="1" applyFont="1" applyFill="1" applyBorder="1"/>
    <xf numFmtId="14" fontId="14" fillId="5" borderId="4" xfId="1" applyNumberFormat="1" applyFont="1" applyFill="1" applyBorder="1"/>
    <xf numFmtId="165" fontId="0" fillId="12" borderId="0" xfId="1" applyFont="1" applyFill="1"/>
    <xf numFmtId="165" fontId="13" fillId="0" borderId="0" xfId="1" applyFont="1"/>
    <xf numFmtId="165" fontId="13" fillId="2" borderId="0" xfId="1" applyFont="1" applyFill="1"/>
    <xf numFmtId="165" fontId="15" fillId="7" borderId="11" xfId="1" applyFont="1" applyFill="1" applyBorder="1" applyAlignment="1">
      <alignment horizontal="left"/>
    </xf>
    <xf numFmtId="43" fontId="0" fillId="0" borderId="0" xfId="52" applyFont="1"/>
    <xf numFmtId="170" fontId="0" fillId="0" borderId="0" xfId="52" applyNumberFormat="1" applyFont="1"/>
    <xf numFmtId="0" fontId="12" fillId="5" borderId="0" xfId="0" applyFont="1" applyFill="1" applyAlignment="1">
      <alignment horizontal="center"/>
    </xf>
    <xf numFmtId="167" fontId="23" fillId="0" borderId="0" xfId="0" applyNumberFormat="1" applyFont="1"/>
    <xf numFmtId="0" fontId="0" fillId="0" borderId="0" xfId="0" applyAlignment="1">
      <alignment horizontal="center"/>
    </xf>
    <xf numFmtId="0" fontId="18" fillId="0" borderId="0" xfId="0" applyFont="1"/>
    <xf numFmtId="9" fontId="0" fillId="0" borderId="0" xfId="2" applyFont="1" applyAlignment="1">
      <alignment horizontal="center"/>
    </xf>
    <xf numFmtId="43" fontId="13" fillId="0" borderId="0" xfId="52" applyFont="1"/>
    <xf numFmtId="0" fontId="8" fillId="0" borderId="0" xfId="0" applyFont="1" applyAlignment="1">
      <alignment horizontal="center"/>
    </xf>
    <xf numFmtId="9" fontId="13" fillId="0" borderId="0" xfId="2" applyFont="1"/>
    <xf numFmtId="166" fontId="8" fillId="0" borderId="0" xfId="0" applyNumberFormat="1" applyFont="1" applyAlignment="1">
      <alignment horizontal="left"/>
    </xf>
    <xf numFmtId="6" fontId="12" fillId="0" borderId="0" xfId="0" applyNumberFormat="1" applyFont="1" applyAlignment="1">
      <alignment horizontal="left"/>
    </xf>
    <xf numFmtId="165" fontId="13" fillId="0" borderId="0" xfId="1" applyFont="1" applyAlignment="1">
      <alignment horizontal="left"/>
    </xf>
    <xf numFmtId="0" fontId="16" fillId="0" borderId="7" xfId="5" applyFont="1" applyBorder="1"/>
    <xf numFmtId="0" fontId="13" fillId="0" borderId="16" xfId="0" applyFont="1" applyBorder="1"/>
    <xf numFmtId="0" fontId="13" fillId="2" borderId="0" xfId="0" applyFont="1" applyFill="1" applyAlignment="1">
      <alignment horizontal="left"/>
    </xf>
    <xf numFmtId="0" fontId="12" fillId="14" borderId="0" xfId="0" applyFont="1" applyFill="1" applyAlignment="1">
      <alignment horizontal="left"/>
    </xf>
    <xf numFmtId="0" fontId="13" fillId="16" borderId="0" xfId="0" applyFont="1" applyFill="1" applyAlignment="1">
      <alignment horizontal="left"/>
    </xf>
    <xf numFmtId="167" fontId="12" fillId="0" borderId="0" xfId="0" applyNumberFormat="1" applyFont="1"/>
    <xf numFmtId="0" fontId="12" fillId="3" borderId="4" xfId="0" applyFont="1" applyFill="1" applyBorder="1" applyAlignment="1">
      <alignment horizontal="center"/>
    </xf>
    <xf numFmtId="9" fontId="12" fillId="0" borderId="0" xfId="2" applyFont="1" applyFill="1" applyBorder="1"/>
    <xf numFmtId="166" fontId="12" fillId="0" borderId="0" xfId="1" applyNumberFormat="1" applyFont="1" applyFill="1" applyBorder="1"/>
    <xf numFmtId="166" fontId="13" fillId="0" borderId="9" xfId="1" applyNumberFormat="1" applyFont="1" applyBorder="1"/>
    <xf numFmtId="166" fontId="13" fillId="0" borderId="0" xfId="1" applyNumberFormat="1" applyFont="1" applyBorder="1"/>
    <xf numFmtId="166" fontId="13" fillId="0" borderId="8" xfId="1" applyNumberFormat="1" applyFont="1" applyBorder="1"/>
    <xf numFmtId="165" fontId="13" fillId="20" borderId="0" xfId="1" applyFont="1" applyFill="1"/>
    <xf numFmtId="166" fontId="13" fillId="2" borderId="9" xfId="1" applyNumberFormat="1" applyFont="1" applyFill="1" applyBorder="1"/>
    <xf numFmtId="165" fontId="13" fillId="0" borderId="28" xfId="1" applyFont="1" applyBorder="1"/>
    <xf numFmtId="166" fontId="15" fillId="8" borderId="3" xfId="1" applyNumberFormat="1" applyFont="1" applyFill="1" applyBorder="1"/>
    <xf numFmtId="166" fontId="15" fillId="8" borderId="4" xfId="1" applyNumberFormat="1" applyFont="1" applyFill="1" applyBorder="1"/>
    <xf numFmtId="166" fontId="15" fillId="8" borderId="31" xfId="1" applyNumberFormat="1" applyFont="1" applyFill="1" applyBorder="1"/>
    <xf numFmtId="166" fontId="15" fillId="8" borderId="25" xfId="1" applyNumberFormat="1" applyFont="1" applyFill="1" applyBorder="1"/>
    <xf numFmtId="165" fontId="9" fillId="0" borderId="2" xfId="0" applyNumberFormat="1" applyFont="1" applyBorder="1"/>
    <xf numFmtId="165" fontId="0" fillId="4" borderId="0" xfId="1" applyFont="1" applyFill="1"/>
    <xf numFmtId="0" fontId="12" fillId="0" borderId="20" xfId="0" applyFont="1" applyBorder="1"/>
    <xf numFmtId="0" fontId="12" fillId="0" borderId="19" xfId="0" applyFont="1" applyBorder="1"/>
    <xf numFmtId="0" fontId="15" fillId="9" borderId="19" xfId="0" applyFont="1" applyFill="1" applyBorder="1" applyAlignment="1">
      <alignment horizontal="center"/>
    </xf>
    <xf numFmtId="0" fontId="12" fillId="0" borderId="21" xfId="0" applyFont="1" applyBorder="1"/>
    <xf numFmtId="0" fontId="12" fillId="0" borderId="22" xfId="0" applyFont="1" applyBorder="1"/>
    <xf numFmtId="0" fontId="12" fillId="0" borderId="2" xfId="0" applyFont="1" applyBorder="1"/>
    <xf numFmtId="0" fontId="15" fillId="7" borderId="23" xfId="0" applyFont="1" applyFill="1" applyBorder="1" applyAlignment="1">
      <alignment horizontal="center"/>
    </xf>
    <xf numFmtId="0" fontId="15" fillId="17" borderId="19" xfId="0" applyFont="1" applyFill="1" applyBorder="1" applyAlignment="1">
      <alignment horizontal="center"/>
    </xf>
    <xf numFmtId="0" fontId="15" fillId="18" borderId="19" xfId="0" applyFont="1" applyFill="1" applyBorder="1" applyAlignment="1">
      <alignment horizontal="center"/>
    </xf>
    <xf numFmtId="0" fontId="15" fillId="19" borderId="19" xfId="0" applyFont="1" applyFill="1" applyBorder="1" applyAlignment="1">
      <alignment horizontal="center"/>
    </xf>
    <xf numFmtId="0" fontId="12" fillId="11" borderId="0" xfId="0" applyFont="1" applyFill="1"/>
    <xf numFmtId="0" fontId="12" fillId="11" borderId="24" xfId="0" applyFont="1" applyFill="1" applyBorder="1"/>
    <xf numFmtId="0" fontId="13" fillId="0" borderId="25" xfId="0" applyFont="1" applyBorder="1"/>
    <xf numFmtId="0" fontId="15" fillId="7" borderId="26" xfId="0" applyFont="1" applyFill="1" applyBorder="1" applyAlignment="1">
      <alignment horizontal="center"/>
    </xf>
    <xf numFmtId="0" fontId="12" fillId="11" borderId="19" xfId="0" applyFont="1" applyFill="1" applyBorder="1"/>
    <xf numFmtId="0" fontId="12" fillId="11" borderId="27" xfId="0" applyFont="1" applyFill="1" applyBorder="1"/>
    <xf numFmtId="0" fontId="13" fillId="0" borderId="10" xfId="0" applyFont="1" applyBorder="1" applyAlignment="1">
      <alignment horizontal="left"/>
    </xf>
    <xf numFmtId="166" fontId="13" fillId="0" borderId="10" xfId="0" applyNumberFormat="1" applyFont="1" applyBorder="1"/>
    <xf numFmtId="165" fontId="13" fillId="0" borderId="10" xfId="0" applyNumberFormat="1" applyFont="1" applyBorder="1"/>
    <xf numFmtId="166" fontId="13" fillId="0" borderId="9" xfId="0" applyNumberFormat="1" applyFont="1" applyBorder="1" applyAlignment="1">
      <alignment horizontal="left"/>
    </xf>
    <xf numFmtId="166" fontId="13" fillId="0" borderId="0" xfId="0" applyNumberFormat="1" applyFont="1" applyAlignment="1">
      <alignment horizontal="left"/>
    </xf>
    <xf numFmtId="0" fontId="13" fillId="0" borderId="10" xfId="0" applyFont="1" applyBorder="1"/>
    <xf numFmtId="0" fontId="13" fillId="12" borderId="10" xfId="0" applyFont="1" applyFill="1" applyBorder="1" applyAlignment="1">
      <alignment horizontal="left"/>
    </xf>
    <xf numFmtId="0" fontId="22" fillId="12" borderId="10" xfId="0" applyFont="1" applyFill="1" applyBorder="1" applyAlignment="1">
      <alignment horizontal="left"/>
    </xf>
    <xf numFmtId="0" fontId="13" fillId="20" borderId="0" xfId="0" applyFont="1" applyFill="1"/>
    <xf numFmtId="0" fontId="13" fillId="12" borderId="9" xfId="0" applyFont="1" applyFill="1" applyBorder="1" applyAlignment="1">
      <alignment horizontal="left"/>
    </xf>
    <xf numFmtId="171" fontId="13" fillId="0" borderId="0" xfId="0" applyNumberFormat="1" applyFont="1"/>
    <xf numFmtId="171" fontId="13" fillId="0" borderId="29" xfId="0" applyNumberFormat="1" applyFont="1" applyBorder="1"/>
    <xf numFmtId="9" fontId="13" fillId="0" borderId="0" xfId="0" applyNumberFormat="1" applyFont="1"/>
    <xf numFmtId="165" fontId="13" fillId="0" borderId="0" xfId="0" applyNumberFormat="1" applyFont="1"/>
    <xf numFmtId="0" fontId="13" fillId="12" borderId="30" xfId="0" applyFont="1" applyFill="1" applyBorder="1" applyAlignment="1">
      <alignment horizontal="left"/>
    </xf>
    <xf numFmtId="171" fontId="13" fillId="20" borderId="0" xfId="0" applyNumberFormat="1" applyFont="1" applyFill="1"/>
    <xf numFmtId="0" fontId="13" fillId="0" borderId="8" xfId="0" applyFont="1" applyBorder="1"/>
    <xf numFmtId="171" fontId="13" fillId="0" borderId="8" xfId="0" applyNumberFormat="1" applyFont="1" applyBorder="1"/>
    <xf numFmtId="0" fontId="15" fillId="7" borderId="11" xfId="0" applyFont="1" applyFill="1" applyBorder="1" applyAlignment="1">
      <alignment horizontal="left"/>
    </xf>
    <xf numFmtId="0" fontId="15" fillId="7" borderId="19" xfId="0" applyFont="1" applyFill="1" applyBorder="1" applyAlignment="1">
      <alignment horizontal="left"/>
    </xf>
    <xf numFmtId="165" fontId="12" fillId="8" borderId="20" xfId="0" applyNumberFormat="1" applyFont="1" applyFill="1" applyBorder="1"/>
    <xf numFmtId="165" fontId="12" fillId="8" borderId="32" xfId="0" applyNumberFormat="1" applyFont="1" applyFill="1" applyBorder="1"/>
    <xf numFmtId="0" fontId="13" fillId="0" borderId="24" xfId="0" applyFont="1" applyBorder="1"/>
    <xf numFmtId="0" fontId="25" fillId="0" borderId="0" xfId="0" applyFont="1" applyAlignment="1">
      <alignment horizontal="center"/>
    </xf>
    <xf numFmtId="0" fontId="12" fillId="0" borderId="0" xfId="0" applyFont="1" applyAlignment="1">
      <alignment wrapText="1"/>
    </xf>
    <xf numFmtId="165" fontId="23" fillId="0" borderId="0" xfId="0" applyNumberFormat="1" applyFont="1"/>
    <xf numFmtId="165" fontId="0" fillId="4" borderId="0" xfId="0" applyNumberFormat="1" applyFill="1"/>
    <xf numFmtId="49" fontId="28" fillId="25" borderId="0" xfId="0" applyNumberFormat="1" applyFont="1" applyFill="1" applyAlignment="1">
      <alignment horizontal="left"/>
    </xf>
    <xf numFmtId="0" fontId="28" fillId="25" borderId="0" xfId="0" applyFont="1" applyFill="1"/>
    <xf numFmtId="49" fontId="28" fillId="0" borderId="0" xfId="0" applyNumberFormat="1" applyFont="1" applyAlignment="1">
      <alignment horizontal="left"/>
    </xf>
    <xf numFmtId="9" fontId="16" fillId="0" borderId="0" xfId="2" applyFont="1" applyAlignment="1">
      <alignment horizontal="center" vertical="center"/>
    </xf>
    <xf numFmtId="165" fontId="29" fillId="0" borderId="0" xfId="1" applyFont="1" applyFill="1"/>
    <xf numFmtId="0" fontId="8" fillId="26" borderId="0" xfId="0" applyFont="1" applyFill="1"/>
    <xf numFmtId="9" fontId="0" fillId="0" borderId="0" xfId="0" applyNumberFormat="1" applyAlignment="1">
      <alignment horizontal="center"/>
    </xf>
    <xf numFmtId="9" fontId="13" fillId="0" borderId="0" xfId="52" applyNumberFormat="1" applyFont="1"/>
    <xf numFmtId="166" fontId="9" fillId="2" borderId="0" xfId="0" applyNumberFormat="1" applyFont="1" applyFill="1"/>
    <xf numFmtId="166" fontId="9" fillId="8" borderId="2" xfId="0" applyNumberFormat="1" applyFont="1" applyFill="1" applyBorder="1"/>
    <xf numFmtId="166" fontId="30" fillId="0" borderId="0" xfId="1" applyNumberFormat="1" applyFont="1" applyFill="1" applyBorder="1"/>
    <xf numFmtId="17" fontId="14" fillId="5" borderId="4" xfId="1" quotePrefix="1" applyNumberFormat="1" applyFont="1" applyFill="1" applyBorder="1"/>
    <xf numFmtId="166" fontId="28" fillId="0" borderId="0" xfId="0" applyNumberFormat="1" applyFont="1" applyAlignment="1">
      <alignment horizontal="left" indent="2"/>
    </xf>
    <xf numFmtId="173" fontId="12" fillId="5" borderId="1" xfId="2" applyNumberFormat="1" applyFont="1" applyFill="1" applyBorder="1" applyAlignment="1">
      <alignment horizontal="right"/>
    </xf>
    <xf numFmtId="173" fontId="12" fillId="3" borderId="1" xfId="2" applyNumberFormat="1" applyFont="1" applyFill="1" applyBorder="1" applyAlignment="1">
      <alignment horizontal="right"/>
    </xf>
    <xf numFmtId="0" fontId="33" fillId="0" borderId="0" xfId="65" applyFont="1"/>
    <xf numFmtId="0" fontId="32" fillId="0" borderId="0" xfId="65"/>
    <xf numFmtId="14" fontId="32" fillId="0" borderId="0" xfId="65" applyNumberFormat="1"/>
    <xf numFmtId="174" fontId="32" fillId="0" borderId="0" xfId="65" applyNumberFormat="1"/>
    <xf numFmtId="0" fontId="34" fillId="0" borderId="42" xfId="65" applyFont="1" applyBorder="1"/>
    <xf numFmtId="174" fontId="34" fillId="0" borderId="42" xfId="65" applyNumberFormat="1" applyFont="1" applyBorder="1"/>
    <xf numFmtId="2" fontId="9" fillId="0" borderId="0" xfId="0" applyNumberFormat="1" applyFont="1"/>
    <xf numFmtId="166" fontId="35" fillId="0" borderId="0" xfId="1" applyNumberFormat="1" applyFont="1" applyFill="1" applyBorder="1"/>
    <xf numFmtId="166" fontId="35" fillId="0" borderId="0" xfId="1" applyNumberFormat="1" applyFont="1" applyFill="1" applyBorder="1" applyAlignment="1">
      <alignment horizontal="right"/>
    </xf>
    <xf numFmtId="164" fontId="8" fillId="0" borderId="0" xfId="1" applyNumberFormat="1" applyFont="1"/>
    <xf numFmtId="173" fontId="13" fillId="0" borderId="0" xfId="0" applyNumberFormat="1" applyFont="1"/>
    <xf numFmtId="166" fontId="13" fillId="0" borderId="0" xfId="1" applyNumberFormat="1" applyFont="1" applyFill="1" applyBorder="1" applyAlignment="1"/>
    <xf numFmtId="166" fontId="13" fillId="0" borderId="0" xfId="1" applyNumberFormat="1" applyFont="1" applyAlignment="1"/>
    <xf numFmtId="166" fontId="12" fillId="3" borderId="1" xfId="1" applyNumberFormat="1" applyFont="1" applyFill="1" applyBorder="1" applyAlignment="1"/>
    <xf numFmtId="166" fontId="12" fillId="5" borderId="1" xfId="1" applyNumberFormat="1" applyFont="1" applyFill="1" applyBorder="1" applyAlignment="1"/>
    <xf numFmtId="0" fontId="26" fillId="12" borderId="0" xfId="0" applyFont="1" applyFill="1"/>
    <xf numFmtId="9" fontId="8" fillId="0" borderId="0" xfId="0" applyNumberFormat="1" applyFont="1" applyAlignment="1">
      <alignment horizontal="center"/>
    </xf>
    <xf numFmtId="165" fontId="8" fillId="0" borderId="0" xfId="1" applyFont="1" applyAlignment="1">
      <alignment horizontal="center"/>
    </xf>
    <xf numFmtId="9" fontId="0" fillId="0" borderId="0" xfId="0" applyNumberFormat="1"/>
    <xf numFmtId="0" fontId="8" fillId="29" borderId="0" xfId="0" applyFont="1" applyFill="1"/>
    <xf numFmtId="0" fontId="9" fillId="29" borderId="0" xfId="0" applyFont="1" applyFill="1"/>
    <xf numFmtId="49" fontId="12" fillId="29" borderId="0" xfId="0" applyNumberFormat="1" applyFont="1" applyFill="1" applyAlignment="1">
      <alignment horizontal="left"/>
    </xf>
    <xf numFmtId="0" fontId="8" fillId="12" borderId="0" xfId="0" applyFont="1" applyFill="1"/>
    <xf numFmtId="49" fontId="13" fillId="0" borderId="0" xfId="0" applyNumberFormat="1" applyFont="1" applyAlignment="1">
      <alignment horizontal="left" indent="2"/>
    </xf>
    <xf numFmtId="0" fontId="13" fillId="0" borderId="0" xfId="0" applyFont="1" applyAlignment="1">
      <alignment horizontal="left" indent="2"/>
    </xf>
    <xf numFmtId="44" fontId="13" fillId="0" borderId="0" xfId="0" applyNumberFormat="1" applyFont="1"/>
    <xf numFmtId="166" fontId="13" fillId="30" borderId="0" xfId="0" applyNumberFormat="1" applyFont="1" applyFill="1"/>
    <xf numFmtId="44" fontId="13" fillId="30" borderId="0" xfId="0" applyNumberFormat="1" applyFont="1" applyFill="1"/>
    <xf numFmtId="166" fontId="8" fillId="2" borderId="0" xfId="1" applyNumberFormat="1" applyFont="1" applyFill="1" applyBorder="1"/>
    <xf numFmtId="9" fontId="8" fillId="0" borderId="0" xfId="2" applyFont="1"/>
    <xf numFmtId="165" fontId="8" fillId="0" borderId="0" xfId="0" applyNumberFormat="1" applyFont="1"/>
    <xf numFmtId="14" fontId="12" fillId="2" borderId="0" xfId="0" applyNumberFormat="1" applyFont="1" applyFill="1" applyAlignment="1">
      <alignment horizontal="center"/>
    </xf>
    <xf numFmtId="176" fontId="16" fillId="0" borderId="2" xfId="5" applyNumberFormat="1" applyFont="1" applyBorder="1"/>
    <xf numFmtId="166" fontId="13" fillId="0" borderId="2" xfId="7" applyNumberFormat="1" applyFont="1" applyFill="1" applyBorder="1"/>
    <xf numFmtId="166" fontId="13" fillId="2" borderId="2" xfId="7" applyNumberFormat="1" applyFont="1" applyFill="1" applyBorder="1"/>
    <xf numFmtId="166" fontId="16" fillId="0" borderId="2" xfId="5" applyNumberFormat="1" applyFont="1" applyBorder="1"/>
    <xf numFmtId="176" fontId="16" fillId="0" borderId="0" xfId="5" applyNumberFormat="1" applyFont="1"/>
    <xf numFmtId="166" fontId="16" fillId="0" borderId="0" xfId="5" applyNumberFormat="1" applyFont="1"/>
    <xf numFmtId="0" fontId="13" fillId="0" borderId="4" xfId="0" applyFont="1" applyBorder="1"/>
    <xf numFmtId="176" fontId="16" fillId="0" borderId="4" xfId="5" applyNumberFormat="1" applyFont="1" applyBorder="1"/>
    <xf numFmtId="166" fontId="13" fillId="0" borderId="4" xfId="7" applyNumberFormat="1" applyFont="1" applyFill="1" applyBorder="1"/>
    <xf numFmtId="166" fontId="16" fillId="0" borderId="4" xfId="5" applyNumberFormat="1" applyFont="1" applyBorder="1"/>
    <xf numFmtId="176" fontId="13" fillId="0" borderId="0" xfId="0" applyNumberFormat="1" applyFont="1"/>
    <xf numFmtId="0" fontId="15" fillId="0" borderId="12" xfId="5" applyFont="1" applyBorder="1" applyAlignment="1">
      <alignment wrapText="1"/>
    </xf>
    <xf numFmtId="0" fontId="15" fillId="0" borderId="13" xfId="5" applyFont="1" applyBorder="1" applyAlignment="1">
      <alignment wrapText="1"/>
    </xf>
    <xf numFmtId="44" fontId="15" fillId="0" borderId="13" xfId="7" applyFont="1" applyFill="1" applyBorder="1" applyAlignment="1">
      <alignment wrapText="1"/>
    </xf>
    <xf numFmtId="0" fontId="15" fillId="0" borderId="13" xfId="5" applyFont="1" applyBorder="1" applyAlignment="1">
      <alignment vertical="center" wrapText="1"/>
    </xf>
    <xf numFmtId="0" fontId="12" fillId="0" borderId="13" xfId="0" applyFont="1" applyBorder="1"/>
    <xf numFmtId="44" fontId="15" fillId="0" borderId="14" xfId="7" applyFont="1" applyFill="1" applyBorder="1" applyAlignment="1">
      <alignment wrapText="1"/>
    </xf>
    <xf numFmtId="0" fontId="16" fillId="0" borderId="43" xfId="5" applyFont="1" applyBorder="1"/>
    <xf numFmtId="166" fontId="16" fillId="0" borderId="44" xfId="5" applyNumberFormat="1" applyFont="1" applyBorder="1"/>
    <xf numFmtId="166" fontId="16" fillId="0" borderId="15" xfId="5" applyNumberFormat="1" applyFont="1" applyBorder="1"/>
    <xf numFmtId="0" fontId="16" fillId="0" borderId="15" xfId="5" applyFont="1" applyBorder="1"/>
    <xf numFmtId="0" fontId="13" fillId="0" borderId="45" xfId="0" applyFont="1" applyBorder="1"/>
    <xf numFmtId="0" fontId="16" fillId="0" borderId="46" xfId="5" applyFont="1" applyBorder="1"/>
    <xf numFmtId="0" fontId="13" fillId="0" borderId="7" xfId="0" applyFont="1" applyBorder="1"/>
    <xf numFmtId="166" fontId="13" fillId="0" borderId="15" xfId="0" applyNumberFormat="1" applyFont="1" applyBorder="1"/>
    <xf numFmtId="0" fontId="13" fillId="0" borderId="17" xfId="0" applyFont="1" applyBorder="1"/>
    <xf numFmtId="166" fontId="13" fillId="0" borderId="17" xfId="1" applyNumberFormat="1" applyFont="1" applyFill="1" applyBorder="1"/>
    <xf numFmtId="166" fontId="13" fillId="0" borderId="18" xfId="1" applyNumberFormat="1" applyFont="1" applyFill="1" applyBorder="1"/>
    <xf numFmtId="43" fontId="8" fillId="0" borderId="0" xfId="52" applyFont="1" applyAlignment="1"/>
    <xf numFmtId="43" fontId="12" fillId="0" borderId="0" xfId="52" applyFont="1" applyAlignment="1"/>
    <xf numFmtId="43" fontId="12" fillId="0" borderId="0" xfId="0" applyNumberFormat="1" applyFont="1"/>
    <xf numFmtId="43" fontId="13" fillId="0" borderId="0" xfId="0" applyNumberFormat="1" applyFont="1"/>
    <xf numFmtId="0" fontId="36" fillId="0" borderId="0" xfId="66"/>
    <xf numFmtId="0" fontId="12" fillId="0" borderId="12" xfId="0" applyFont="1" applyBorder="1"/>
    <xf numFmtId="43" fontId="13" fillId="0" borderId="14" xfId="52" applyFont="1" applyBorder="1"/>
    <xf numFmtId="43" fontId="13" fillId="0" borderId="15" xfId="52" applyFont="1" applyBorder="1"/>
    <xf numFmtId="43" fontId="13" fillId="0" borderId="18" xfId="52" applyFont="1" applyBorder="1"/>
    <xf numFmtId="43" fontId="13" fillId="0" borderId="47" xfId="52" applyFont="1" applyBorder="1"/>
    <xf numFmtId="167" fontId="13" fillId="22" borderId="0" xfId="1" applyNumberFormat="1" applyFont="1" applyFill="1"/>
    <xf numFmtId="167" fontId="13" fillId="22" borderId="0" xfId="0" applyNumberFormat="1" applyFont="1" applyFill="1"/>
    <xf numFmtId="168" fontId="13" fillId="22" borderId="0" xfId="1" applyNumberFormat="1" applyFont="1" applyFill="1" applyBorder="1" applyAlignment="1">
      <alignment horizontal="left"/>
    </xf>
    <xf numFmtId="167" fontId="13" fillId="22" borderId="0" xfId="1" applyNumberFormat="1" applyFont="1" applyFill="1" applyBorder="1"/>
    <xf numFmtId="0" fontId="28" fillId="25" borderId="2" xfId="0" applyFont="1" applyFill="1" applyBorder="1"/>
    <xf numFmtId="167" fontId="13" fillId="22" borderId="2" xfId="1" applyNumberFormat="1" applyFont="1" applyFill="1" applyBorder="1"/>
    <xf numFmtId="167" fontId="13" fillId="22" borderId="2" xfId="0" applyNumberFormat="1" applyFont="1" applyFill="1" applyBorder="1"/>
    <xf numFmtId="167" fontId="12" fillId="0" borderId="4" xfId="0" applyNumberFormat="1" applyFont="1" applyBorder="1"/>
    <xf numFmtId="0" fontId="28" fillId="25" borderId="4" xfId="0" applyFont="1" applyFill="1" applyBorder="1"/>
    <xf numFmtId="167" fontId="13" fillId="0" borderId="4" xfId="0" applyNumberFormat="1" applyFont="1" applyBorder="1"/>
    <xf numFmtId="49" fontId="12" fillId="0" borderId="2" xfId="0" applyNumberFormat="1" applyFont="1" applyBorder="1" applyAlignment="1">
      <alignment horizontal="left"/>
    </xf>
    <xf numFmtId="49" fontId="28" fillId="25" borderId="2" xfId="0" applyNumberFormat="1" applyFont="1" applyFill="1" applyBorder="1" applyAlignment="1">
      <alignment horizontal="left"/>
    </xf>
    <xf numFmtId="0" fontId="13" fillId="0" borderId="2" xfId="0" applyFont="1" applyBorder="1"/>
    <xf numFmtId="167" fontId="13" fillId="0" borderId="2" xfId="1" applyNumberFormat="1" applyFont="1" applyBorder="1"/>
    <xf numFmtId="167" fontId="13" fillId="0" borderId="2" xfId="0" applyNumberFormat="1" applyFont="1" applyBorder="1"/>
    <xf numFmtId="49" fontId="27" fillId="0" borderId="0" xfId="0" applyNumberFormat="1" applyFont="1" applyAlignment="1">
      <alignment horizontal="left"/>
    </xf>
    <xf numFmtId="167" fontId="13" fillId="0" borderId="4" xfId="1" applyNumberFormat="1" applyFont="1" applyBorder="1"/>
    <xf numFmtId="49" fontId="28" fillId="25" borderId="4" xfId="0" applyNumberFormat="1" applyFont="1" applyFill="1" applyBorder="1" applyAlignment="1">
      <alignment horizontal="left"/>
    </xf>
    <xf numFmtId="167" fontId="13" fillId="22" borderId="4" xfId="1" applyNumberFormat="1" applyFont="1" applyFill="1" applyBorder="1"/>
    <xf numFmtId="167" fontId="13" fillId="22" borderId="4" xfId="0" applyNumberFormat="1" applyFont="1" applyFill="1" applyBorder="1"/>
    <xf numFmtId="167" fontId="13" fillId="0" borderId="2" xfId="1" applyNumberFormat="1" applyFont="1" applyFill="1" applyBorder="1"/>
    <xf numFmtId="167" fontId="12" fillId="0" borderId="4" xfId="1" applyNumberFormat="1" applyFont="1" applyBorder="1"/>
    <xf numFmtId="177" fontId="0" fillId="0" borderId="0" xfId="0" applyNumberFormat="1"/>
    <xf numFmtId="0" fontId="8" fillId="22" borderId="0" xfId="0" applyFont="1" applyFill="1"/>
    <xf numFmtId="14" fontId="8" fillId="22" borderId="0" xfId="0" applyNumberFormat="1" applyFont="1" applyFill="1"/>
    <xf numFmtId="175" fontId="8" fillId="0" borderId="0" xfId="0" applyNumberFormat="1" applyFont="1"/>
    <xf numFmtId="0" fontId="8" fillId="27" borderId="0" xfId="0" applyFont="1" applyFill="1"/>
    <xf numFmtId="0" fontId="0" fillId="27" borderId="0" xfId="0" applyFill="1"/>
    <xf numFmtId="0" fontId="8" fillId="27" borderId="0" xfId="3" applyFill="1"/>
    <xf numFmtId="175" fontId="0" fillId="0" borderId="0" xfId="0" applyNumberFormat="1"/>
    <xf numFmtId="0" fontId="9" fillId="4" borderId="0" xfId="0" applyFont="1" applyFill="1"/>
    <xf numFmtId="2" fontId="8" fillId="0" borderId="0" xfId="0" applyNumberFormat="1" applyFont="1"/>
    <xf numFmtId="178" fontId="8" fillId="0" borderId="0" xfId="0" applyNumberFormat="1" applyFont="1"/>
    <xf numFmtId="178" fontId="8" fillId="12" borderId="0" xfId="0" applyNumberFormat="1" applyFont="1" applyFill="1"/>
    <xf numFmtId="0" fontId="13" fillId="22" borderId="10" xfId="0" applyFont="1" applyFill="1" applyBorder="1" applyAlignment="1">
      <alignment horizontal="left"/>
    </xf>
    <xf numFmtId="0" fontId="22" fillId="22" borderId="10" xfId="0" applyFont="1" applyFill="1" applyBorder="1" applyAlignment="1">
      <alignment horizontal="left"/>
    </xf>
    <xf numFmtId="0" fontId="13" fillId="22" borderId="30" xfId="0" applyFont="1" applyFill="1" applyBorder="1" applyAlignment="1">
      <alignment horizontal="left"/>
    </xf>
    <xf numFmtId="0" fontId="15" fillId="19" borderId="19" xfId="0" applyFont="1" applyFill="1" applyBorder="1" applyAlignment="1">
      <alignment horizontal="left"/>
    </xf>
    <xf numFmtId="0" fontId="13" fillId="5" borderId="2" xfId="0" applyFont="1" applyFill="1" applyBorder="1"/>
    <xf numFmtId="0" fontId="13" fillId="5" borderId="4" xfId="0" applyFont="1" applyFill="1" applyBorder="1"/>
    <xf numFmtId="0" fontId="18" fillId="5" borderId="21" xfId="61" applyFont="1" applyFill="1" applyBorder="1"/>
    <xf numFmtId="0" fontId="18" fillId="5" borderId="10" xfId="61" applyFont="1" applyFill="1" applyBorder="1"/>
    <xf numFmtId="0" fontId="18" fillId="5" borderId="10" xfId="61" applyFont="1" applyFill="1" applyBorder="1" applyAlignment="1">
      <alignment horizontal="left" indent="2"/>
    </xf>
    <xf numFmtId="0" fontId="18" fillId="5" borderId="25" xfId="61" applyFont="1" applyFill="1" applyBorder="1" applyAlignment="1">
      <alignment horizontal="left" indent="2"/>
    </xf>
    <xf numFmtId="0" fontId="16" fillId="0" borderId="0" xfId="61" applyFont="1"/>
    <xf numFmtId="0" fontId="16" fillId="0" borderId="12" xfId="61" applyFont="1" applyBorder="1"/>
    <xf numFmtId="0" fontId="16" fillId="0" borderId="13" xfId="61" applyFont="1" applyBorder="1"/>
    <xf numFmtId="0" fontId="16" fillId="0" borderId="14" xfId="61" applyFont="1" applyBorder="1"/>
    <xf numFmtId="0" fontId="13" fillId="10" borderId="13" xfId="61" applyFont="1" applyFill="1" applyBorder="1"/>
    <xf numFmtId="0" fontId="16" fillId="0" borderId="43" xfId="61" applyFont="1" applyBorder="1"/>
    <xf numFmtId="0" fontId="16" fillId="0" borderId="2" xfId="61" applyFont="1" applyBorder="1"/>
    <xf numFmtId="0" fontId="16" fillId="0" borderId="44" xfId="61" applyFont="1" applyBorder="1"/>
    <xf numFmtId="44" fontId="13" fillId="10" borderId="2" xfId="61" applyNumberFormat="1" applyFont="1" applyFill="1" applyBorder="1"/>
    <xf numFmtId="169" fontId="16" fillId="0" borderId="2" xfId="61" applyNumberFormat="1" applyFont="1" applyBorder="1"/>
    <xf numFmtId="169" fontId="16" fillId="0" borderId="2" xfId="61" applyNumberFormat="1" applyFont="1" applyBorder="1" applyAlignment="1">
      <alignment horizontal="right"/>
    </xf>
    <xf numFmtId="172" fontId="38" fillId="12" borderId="2" xfId="48" applyNumberFormat="1" applyFont="1" applyFill="1" applyBorder="1"/>
    <xf numFmtId="0" fontId="16" fillId="22" borderId="22" xfId="61" applyFont="1" applyFill="1" applyBorder="1"/>
    <xf numFmtId="0" fontId="16" fillId="0" borderId="7" xfId="61" applyFont="1" applyBorder="1"/>
    <xf numFmtId="0" fontId="16" fillId="0" borderId="15" xfId="61" applyFont="1" applyBorder="1"/>
    <xf numFmtId="44" fontId="13" fillId="10" borderId="0" xfId="61" applyNumberFormat="1" applyFont="1" applyFill="1"/>
    <xf numFmtId="169" fontId="16" fillId="0" borderId="0" xfId="61" applyNumberFormat="1" applyFont="1"/>
    <xf numFmtId="169" fontId="38" fillId="12" borderId="0" xfId="48" applyNumberFormat="1" applyFont="1" applyFill="1" applyBorder="1"/>
    <xf numFmtId="0" fontId="16" fillId="22" borderId="9" xfId="61" applyFont="1" applyFill="1" applyBorder="1"/>
    <xf numFmtId="44" fontId="13" fillId="10" borderId="0" xfId="64" applyFont="1" applyFill="1" applyBorder="1"/>
    <xf numFmtId="169" fontId="16" fillId="0" borderId="0" xfId="61" applyNumberFormat="1" applyFont="1" applyAlignment="1">
      <alignment horizontal="right"/>
    </xf>
    <xf numFmtId="172" fontId="38" fillId="12" borderId="0" xfId="48" applyNumberFormat="1" applyFont="1" applyFill="1" applyBorder="1"/>
    <xf numFmtId="169" fontId="16" fillId="24" borderId="0" xfId="61" applyNumberFormat="1" applyFont="1" applyFill="1" applyAlignment="1">
      <alignment horizontal="right"/>
    </xf>
    <xf numFmtId="169" fontId="38" fillId="24" borderId="0" xfId="48" applyNumberFormat="1" applyFont="1" applyFill="1" applyBorder="1"/>
    <xf numFmtId="44" fontId="16" fillId="0" borderId="0" xfId="64" applyFont="1" applyBorder="1"/>
    <xf numFmtId="44" fontId="16" fillId="0" borderId="15" xfId="64" applyFont="1" applyBorder="1"/>
    <xf numFmtId="44" fontId="16" fillId="0" borderId="7" xfId="64" applyFont="1" applyBorder="1"/>
    <xf numFmtId="44" fontId="39" fillId="0" borderId="7" xfId="64" applyFont="1" applyBorder="1"/>
    <xf numFmtId="44" fontId="39" fillId="0" borderId="0" xfId="64" applyFont="1" applyBorder="1"/>
    <xf numFmtId="44" fontId="39" fillId="0" borderId="15" xfId="64" applyFont="1" applyBorder="1"/>
    <xf numFmtId="169" fontId="39" fillId="0" borderId="0" xfId="64" applyNumberFormat="1" applyFont="1" applyBorder="1"/>
    <xf numFmtId="169" fontId="15" fillId="0" borderId="0" xfId="61" applyNumberFormat="1" applyFont="1"/>
    <xf numFmtId="0" fontId="15" fillId="5" borderId="21" xfId="61" applyFont="1" applyFill="1" applyBorder="1"/>
    <xf numFmtId="0" fontId="15" fillId="5" borderId="0" xfId="61" applyFont="1" applyFill="1"/>
    <xf numFmtId="0" fontId="15" fillId="0" borderId="0" xfId="61" applyFont="1"/>
    <xf numFmtId="0" fontId="16" fillId="5" borderId="22" xfId="61" applyFont="1" applyFill="1" applyBorder="1"/>
    <xf numFmtId="0" fontId="16" fillId="5" borderId="2" xfId="61" applyFont="1" applyFill="1" applyBorder="1"/>
    <xf numFmtId="0" fontId="15" fillId="5" borderId="10" xfId="61" applyFont="1" applyFill="1" applyBorder="1"/>
    <xf numFmtId="0" fontId="16" fillId="5" borderId="9" xfId="61" applyFont="1" applyFill="1" applyBorder="1"/>
    <xf numFmtId="0" fontId="16" fillId="5" borderId="0" xfId="61" applyFont="1" applyFill="1"/>
    <xf numFmtId="0" fontId="15" fillId="5" borderId="10" xfId="61" applyFont="1" applyFill="1" applyBorder="1" applyAlignment="1">
      <alignment horizontal="left" indent="2"/>
    </xf>
    <xf numFmtId="0" fontId="15" fillId="5" borderId="25" xfId="61" applyFont="1" applyFill="1" applyBorder="1" applyAlignment="1">
      <alignment horizontal="left" indent="2"/>
    </xf>
    <xf numFmtId="0" fontId="16" fillId="5" borderId="3" xfId="61" applyFont="1" applyFill="1" applyBorder="1"/>
    <xf numFmtId="17" fontId="13" fillId="0" borderId="0" xfId="3" applyNumberFormat="1" applyFont="1"/>
    <xf numFmtId="0" fontId="13" fillId="0" borderId="0" xfId="3" applyFont="1"/>
    <xf numFmtId="0" fontId="13" fillId="0" borderId="2" xfId="3" applyFont="1" applyBorder="1"/>
    <xf numFmtId="169" fontId="13" fillId="0" borderId="2" xfId="3" applyNumberFormat="1" applyFont="1" applyBorder="1"/>
    <xf numFmtId="44" fontId="13" fillId="0" borderId="7" xfId="64" applyFont="1" applyBorder="1"/>
    <xf numFmtId="44" fontId="13" fillId="0" borderId="0" xfId="64" applyFont="1" applyBorder="1"/>
    <xf numFmtId="44" fontId="13" fillId="0" borderId="15" xfId="64" applyFont="1" applyBorder="1"/>
    <xf numFmtId="169" fontId="13" fillId="0" borderId="0" xfId="64" applyNumberFormat="1" applyFont="1" applyBorder="1"/>
    <xf numFmtId="169" fontId="13" fillId="0" borderId="0" xfId="3" applyNumberFormat="1" applyFont="1"/>
    <xf numFmtId="0" fontId="13" fillId="23" borderId="0" xfId="3" applyFont="1" applyFill="1"/>
    <xf numFmtId="169" fontId="13" fillId="24" borderId="0" xfId="64" applyNumberFormat="1" applyFont="1" applyFill="1" applyBorder="1"/>
    <xf numFmtId="169" fontId="13" fillId="24" borderId="0" xfId="64" applyNumberFormat="1" applyFont="1" applyFill="1" applyBorder="1" applyAlignment="1">
      <alignment horizontal="right"/>
    </xf>
    <xf numFmtId="0" fontId="40" fillId="0" borderId="0" xfId="3" applyFont="1"/>
    <xf numFmtId="0" fontId="15" fillId="0" borderId="0" xfId="0" applyFont="1" applyAlignment="1">
      <alignment horizontal="left"/>
    </xf>
    <xf numFmtId="165" fontId="12" fillId="0" borderId="0" xfId="0" applyNumberFormat="1" applyFont="1"/>
    <xf numFmtId="165" fontId="12" fillId="8" borderId="19" xfId="0" applyNumberFormat="1" applyFont="1" applyFill="1" applyBorder="1"/>
    <xf numFmtId="169" fontId="13" fillId="24" borderId="0" xfId="7" applyNumberFormat="1" applyFont="1" applyFill="1"/>
    <xf numFmtId="169" fontId="16" fillId="24" borderId="0" xfId="5" applyNumberFormat="1" applyFont="1" applyFill="1" applyAlignment="1">
      <alignment horizontal="right"/>
    </xf>
    <xf numFmtId="169" fontId="38" fillId="24" borderId="0" xfId="48" applyNumberFormat="1" applyFont="1" applyFill="1"/>
    <xf numFmtId="172" fontId="38" fillId="12" borderId="0" xfId="48" applyNumberFormat="1" applyFont="1" applyFill="1"/>
    <xf numFmtId="17" fontId="12" fillId="33" borderId="48" xfId="3" applyNumberFormat="1" applyFont="1" applyFill="1" applyBorder="1"/>
    <xf numFmtId="0" fontId="12" fillId="34" borderId="49" xfId="61" applyFont="1" applyFill="1" applyBorder="1" applyAlignment="1">
      <alignment horizontal="center"/>
    </xf>
    <xf numFmtId="0" fontId="12" fillId="34" borderId="27" xfId="61" applyFont="1" applyFill="1" applyBorder="1" applyAlignment="1">
      <alignment horizontal="center"/>
    </xf>
    <xf numFmtId="0" fontId="41" fillId="0" borderId="0" xfId="61" quotePrefix="1" applyFont="1"/>
    <xf numFmtId="172" fontId="16" fillId="0" borderId="24" xfId="1" applyNumberFormat="1" applyFont="1" applyFill="1" applyBorder="1"/>
    <xf numFmtId="172" fontId="16" fillId="0" borderId="8" xfId="1" applyNumberFormat="1" applyFont="1" applyFill="1" applyBorder="1"/>
    <xf numFmtId="0" fontId="12" fillId="35" borderId="19" xfId="61" applyFont="1" applyFill="1" applyBorder="1"/>
    <xf numFmtId="0" fontId="16" fillId="22" borderId="19" xfId="61" applyFont="1" applyFill="1" applyBorder="1"/>
    <xf numFmtId="17" fontId="12" fillId="35" borderId="19" xfId="3" applyNumberFormat="1" applyFont="1" applyFill="1" applyBorder="1"/>
    <xf numFmtId="172" fontId="12" fillId="35" borderId="19" xfId="3" applyNumberFormat="1" applyFont="1" applyFill="1" applyBorder="1"/>
    <xf numFmtId="172" fontId="16" fillId="5" borderId="24" xfId="61" applyNumberFormat="1" applyFont="1" applyFill="1" applyBorder="1"/>
    <xf numFmtId="172" fontId="16" fillId="5" borderId="8" xfId="61" applyNumberFormat="1" applyFont="1" applyFill="1" applyBorder="1"/>
    <xf numFmtId="17" fontId="12" fillId="25" borderId="22" xfId="0" applyNumberFormat="1" applyFont="1" applyFill="1" applyBorder="1" applyAlignment="1">
      <alignment horizontal="center"/>
    </xf>
    <xf numFmtId="17" fontId="12" fillId="22" borderId="22" xfId="0" applyNumberFormat="1" applyFont="1" applyFill="1" applyBorder="1"/>
    <xf numFmtId="0" fontId="12" fillId="22" borderId="19" xfId="0" applyFont="1" applyFill="1" applyBorder="1"/>
    <xf numFmtId="17" fontId="12" fillId="35" borderId="19" xfId="3" applyNumberFormat="1" applyFont="1" applyFill="1" applyBorder="1" applyAlignment="1">
      <alignment horizontal="center"/>
    </xf>
    <xf numFmtId="0" fontId="13" fillId="5" borderId="21" xfId="0" applyFont="1" applyFill="1" applyBorder="1"/>
    <xf numFmtId="0" fontId="13" fillId="5" borderId="10" xfId="0" applyFont="1" applyFill="1" applyBorder="1"/>
    <xf numFmtId="165" fontId="13" fillId="5" borderId="10" xfId="0" applyNumberFormat="1" applyFont="1" applyFill="1" applyBorder="1"/>
    <xf numFmtId="0" fontId="42" fillId="0" borderId="0" xfId="3" applyFont="1"/>
    <xf numFmtId="0" fontId="42" fillId="20" borderId="22" xfId="3" applyFont="1" applyFill="1" applyBorder="1"/>
    <xf numFmtId="0" fontId="42" fillId="2" borderId="1" xfId="3" applyFont="1" applyFill="1" applyBorder="1" applyAlignment="1">
      <alignment horizontal="center"/>
    </xf>
    <xf numFmtId="0" fontId="42" fillId="2" borderId="0" xfId="3" applyFont="1" applyFill="1" applyAlignment="1">
      <alignment horizontal="center"/>
    </xf>
    <xf numFmtId="0" fontId="42" fillId="0" borderId="0" xfId="3" applyFont="1" applyAlignment="1">
      <alignment horizontal="center" vertical="center" wrapText="1"/>
    </xf>
    <xf numFmtId="0" fontId="42" fillId="13" borderId="0" xfId="3" applyFont="1" applyFill="1"/>
    <xf numFmtId="0" fontId="42" fillId="14" borderId="0" xfId="3" applyFont="1" applyFill="1"/>
    <xf numFmtId="0" fontId="42" fillId="15" borderId="0" xfId="3" applyFont="1" applyFill="1"/>
    <xf numFmtId="167" fontId="42" fillId="0" borderId="0" xfId="3" applyNumberFormat="1" applyFont="1"/>
    <xf numFmtId="9" fontId="42" fillId="0" borderId="0" xfId="56" applyFont="1"/>
    <xf numFmtId="3" fontId="42" fillId="0" borderId="0" xfId="3" applyNumberFormat="1" applyFont="1"/>
    <xf numFmtId="0" fontId="43" fillId="0" borderId="0" xfId="3" applyFont="1"/>
    <xf numFmtId="8" fontId="42" fillId="0" borderId="0" xfId="3" applyNumberFormat="1" applyFont="1"/>
    <xf numFmtId="14" fontId="42" fillId="0" borderId="0" xfId="3" applyNumberFormat="1" applyFont="1"/>
    <xf numFmtId="17" fontId="42" fillId="28" borderId="0" xfId="3" applyNumberFormat="1" applyFont="1" applyFill="1"/>
    <xf numFmtId="0" fontId="44" fillId="8" borderId="19" xfId="54" applyFont="1" applyFill="1" applyBorder="1" applyAlignment="1">
      <alignment horizontal="center" vertical="center" wrapText="1"/>
    </xf>
    <xf numFmtId="0" fontId="44" fillId="8" borderId="20" xfId="54" applyFont="1" applyFill="1" applyBorder="1" applyAlignment="1">
      <alignment horizontal="center" vertical="center" wrapText="1"/>
    </xf>
    <xf numFmtId="17" fontId="43" fillId="22" borderId="19" xfId="3" applyNumberFormat="1" applyFont="1" applyFill="1" applyBorder="1"/>
    <xf numFmtId="14" fontId="43" fillId="22" borderId="19" xfId="3" applyNumberFormat="1" applyFont="1" applyFill="1" applyBorder="1"/>
    <xf numFmtId="0" fontId="43" fillId="22" borderId="19" xfId="3" applyFont="1" applyFill="1" applyBorder="1" applyAlignment="1">
      <alignment horizontal="center" vertical="center" wrapText="1"/>
    </xf>
    <xf numFmtId="0" fontId="45" fillId="0" borderId="0" xfId="54" applyFont="1"/>
    <xf numFmtId="0" fontId="45" fillId="22" borderId="19" xfId="54" applyFont="1" applyFill="1" applyBorder="1"/>
    <xf numFmtId="0" fontId="42" fillId="0" borderId="9" xfId="3" applyFont="1" applyBorder="1"/>
    <xf numFmtId="165" fontId="42" fillId="0" borderId="24" xfId="1" applyFont="1" applyBorder="1"/>
    <xf numFmtId="165" fontId="42" fillId="0" borderId="8" xfId="1" applyFont="1" applyBorder="1"/>
    <xf numFmtId="0" fontId="44" fillId="22" borderId="19" xfId="54" applyFont="1" applyFill="1" applyBorder="1"/>
    <xf numFmtId="165" fontId="43" fillId="8" borderId="19" xfId="1" applyFont="1" applyFill="1" applyBorder="1"/>
    <xf numFmtId="0" fontId="44" fillId="8" borderId="25" xfId="54" applyFont="1" applyFill="1" applyBorder="1" applyAlignment="1">
      <alignment horizontal="center" vertical="center" wrapText="1"/>
    </xf>
    <xf numFmtId="0" fontId="44" fillId="20" borderId="3" xfId="54" applyFont="1" applyFill="1" applyBorder="1" applyAlignment="1">
      <alignment horizontal="center" vertical="center" wrapText="1"/>
    </xf>
    <xf numFmtId="0" fontId="44" fillId="8" borderId="3" xfId="54" applyFont="1" applyFill="1" applyBorder="1" applyAlignment="1">
      <alignment horizontal="center" vertical="center" wrapText="1"/>
    </xf>
    <xf numFmtId="0" fontId="44" fillId="8" borderId="31" xfId="54" applyFont="1" applyFill="1" applyBorder="1" applyAlignment="1">
      <alignment horizontal="center" vertical="center" wrapText="1"/>
    </xf>
    <xf numFmtId="0" fontId="44" fillId="8" borderId="0" xfId="54" applyFont="1" applyFill="1" applyAlignment="1">
      <alignment horizontal="center" vertical="center" wrapText="1"/>
    </xf>
    <xf numFmtId="0" fontId="45" fillId="0" borderId="9" xfId="54" applyFont="1" applyBorder="1"/>
    <xf numFmtId="0" fontId="45" fillId="13" borderId="8" xfId="54" applyFont="1" applyFill="1" applyBorder="1"/>
    <xf numFmtId="167" fontId="45" fillId="0" borderId="9" xfId="55" applyNumberFormat="1" applyFont="1" applyFill="1" applyBorder="1"/>
    <xf numFmtId="167" fontId="45" fillId="0" borderId="0" xfId="55" applyNumberFormat="1" applyFont="1" applyFill="1" applyBorder="1"/>
    <xf numFmtId="167" fontId="45" fillId="0" borderId="8" xfId="55" applyNumberFormat="1" applyFont="1" applyFill="1" applyBorder="1"/>
    <xf numFmtId="167" fontId="45" fillId="0" borderId="0" xfId="55" applyNumberFormat="1" applyFont="1"/>
    <xf numFmtId="167" fontId="45" fillId="0" borderId="10" xfId="55" applyNumberFormat="1" applyFont="1" applyBorder="1"/>
    <xf numFmtId="167" fontId="45" fillId="0" borderId="9" xfId="55" applyNumberFormat="1" applyFont="1" applyBorder="1"/>
    <xf numFmtId="167" fontId="45" fillId="20" borderId="9" xfId="55" applyNumberFormat="1" applyFont="1" applyFill="1" applyBorder="1"/>
    <xf numFmtId="167" fontId="45" fillId="0" borderId="8" xfId="55" applyNumberFormat="1" applyFont="1" applyBorder="1"/>
    <xf numFmtId="167" fontId="45" fillId="0" borderId="0" xfId="55" applyNumberFormat="1" applyFont="1" applyBorder="1"/>
    <xf numFmtId="167" fontId="45" fillId="0" borderId="22" xfId="55" applyNumberFormat="1" applyFont="1" applyBorder="1"/>
    <xf numFmtId="167" fontId="45" fillId="0" borderId="2" xfId="55" applyNumberFormat="1" applyFont="1" applyBorder="1"/>
    <xf numFmtId="167" fontId="45" fillId="0" borderId="24" xfId="55" applyNumberFormat="1" applyFont="1" applyBorder="1"/>
    <xf numFmtId="0" fontId="46" fillId="0" borderId="0" xfId="54" applyFont="1"/>
    <xf numFmtId="0" fontId="45" fillId="22" borderId="21" xfId="54" applyFont="1" applyFill="1" applyBorder="1"/>
    <xf numFmtId="0" fontId="45" fillId="22" borderId="10" xfId="54" applyFont="1" applyFill="1" applyBorder="1"/>
    <xf numFmtId="0" fontId="45" fillId="14" borderId="8" xfId="54" applyFont="1" applyFill="1" applyBorder="1"/>
    <xf numFmtId="0" fontId="45" fillId="0" borderId="36" xfId="54" applyFont="1" applyBorder="1"/>
    <xf numFmtId="167" fontId="45" fillId="0" borderId="37" xfId="55" applyNumberFormat="1" applyFont="1" applyBorder="1"/>
    <xf numFmtId="167" fontId="45" fillId="0" borderId="36" xfId="55" applyNumberFormat="1" applyFont="1" applyBorder="1"/>
    <xf numFmtId="0" fontId="45" fillId="10" borderId="9" xfId="54" applyFont="1" applyFill="1" applyBorder="1"/>
    <xf numFmtId="0" fontId="45" fillId="10" borderId="0" xfId="54" applyFont="1" applyFill="1"/>
    <xf numFmtId="0" fontId="45" fillId="10" borderId="8" xfId="54" applyFont="1" applyFill="1" applyBorder="1"/>
    <xf numFmtId="167" fontId="45" fillId="10" borderId="9" xfId="55" applyNumberFormat="1" applyFont="1" applyFill="1" applyBorder="1"/>
    <xf numFmtId="167" fontId="45" fillId="10" borderId="0" xfId="55" applyNumberFormat="1" applyFont="1" applyFill="1" applyBorder="1"/>
    <xf numFmtId="167" fontId="45" fillId="10" borderId="8" xfId="55" applyNumberFormat="1" applyFont="1" applyFill="1" applyBorder="1"/>
    <xf numFmtId="0" fontId="45" fillId="10" borderId="36" xfId="54" applyFont="1" applyFill="1" applyBorder="1"/>
    <xf numFmtId="0" fontId="47" fillId="0" borderId="0" xfId="54" applyFont="1"/>
    <xf numFmtId="0" fontId="45" fillId="15" borderId="8" xfId="54" applyFont="1" applyFill="1" applyBorder="1"/>
    <xf numFmtId="167" fontId="47" fillId="31" borderId="36" xfId="55" applyNumberFormat="1" applyFont="1" applyFill="1" applyBorder="1"/>
    <xf numFmtId="0" fontId="44" fillId="14" borderId="8" xfId="54" applyFont="1" applyFill="1" applyBorder="1"/>
    <xf numFmtId="167" fontId="45" fillId="0" borderId="0" xfId="55" applyNumberFormat="1" applyFont="1" applyFill="1"/>
    <xf numFmtId="167" fontId="45" fillId="0" borderId="10" xfId="55" applyNumberFormat="1" applyFont="1" applyFill="1" applyBorder="1"/>
    <xf numFmtId="0" fontId="45" fillId="22" borderId="36" xfId="54" applyFont="1" applyFill="1" applyBorder="1"/>
    <xf numFmtId="167" fontId="45" fillId="22" borderId="37" xfId="55" applyNumberFormat="1" applyFont="1" applyFill="1" applyBorder="1"/>
    <xf numFmtId="167" fontId="45" fillId="22" borderId="36" xfId="55" applyNumberFormat="1" applyFont="1" applyFill="1" applyBorder="1"/>
    <xf numFmtId="167" fontId="45" fillId="0" borderId="37" xfId="55" applyNumberFormat="1" applyFont="1" applyFill="1" applyBorder="1"/>
    <xf numFmtId="167" fontId="45" fillId="0" borderId="36" xfId="55" applyNumberFormat="1" applyFont="1" applyFill="1" applyBorder="1"/>
    <xf numFmtId="0" fontId="45" fillId="2" borderId="36" xfId="54" applyFont="1" applyFill="1" applyBorder="1"/>
    <xf numFmtId="0" fontId="45" fillId="0" borderId="38" xfId="54" applyFont="1" applyBorder="1"/>
    <xf numFmtId="167" fontId="45" fillId="0" borderId="39" xfId="55" applyNumberFormat="1" applyFont="1" applyBorder="1"/>
    <xf numFmtId="167" fontId="45" fillId="0" borderId="38" xfId="55" applyNumberFormat="1" applyFont="1" applyBorder="1"/>
    <xf numFmtId="0" fontId="45" fillId="22" borderId="25" xfId="54" applyFont="1" applyFill="1" applyBorder="1"/>
    <xf numFmtId="167" fontId="45" fillId="0" borderId="0" xfId="54" applyNumberFormat="1" applyFont="1"/>
    <xf numFmtId="0" fontId="45" fillId="8" borderId="5" xfId="54" applyFont="1" applyFill="1" applyBorder="1"/>
    <xf numFmtId="0" fontId="45" fillId="8" borderId="6" xfId="54" applyFont="1" applyFill="1" applyBorder="1"/>
    <xf numFmtId="0" fontId="44" fillId="8" borderId="40" xfId="54" applyFont="1" applyFill="1" applyBorder="1"/>
    <xf numFmtId="167" fontId="45" fillId="8" borderId="41" xfId="54" applyNumberFormat="1" applyFont="1" applyFill="1" applyBorder="1"/>
    <xf numFmtId="167" fontId="45" fillId="20" borderId="20" xfId="54" applyNumberFormat="1" applyFont="1" applyFill="1" applyBorder="1"/>
    <xf numFmtId="167" fontId="45" fillId="8" borderId="19" xfId="54" applyNumberFormat="1" applyFont="1" applyFill="1" applyBorder="1"/>
    <xf numFmtId="167" fontId="45" fillId="8" borderId="27" xfId="54" applyNumberFormat="1" applyFont="1" applyFill="1" applyBorder="1"/>
    <xf numFmtId="167" fontId="45" fillId="8" borderId="4" xfId="54" applyNumberFormat="1" applyFont="1" applyFill="1" applyBorder="1"/>
    <xf numFmtId="167" fontId="45" fillId="8" borderId="3" xfId="54" applyNumberFormat="1" applyFont="1" applyFill="1" applyBorder="1"/>
    <xf numFmtId="0" fontId="42" fillId="0" borderId="0" xfId="0" applyFont="1"/>
    <xf numFmtId="179" fontId="42" fillId="0" borderId="0" xfId="0" applyNumberFormat="1" applyFont="1"/>
    <xf numFmtId="44" fontId="12" fillId="8" borderId="20" xfId="0" applyNumberFormat="1" applyFont="1" applyFill="1" applyBorder="1"/>
    <xf numFmtId="0" fontId="43" fillId="0" borderId="0" xfId="0" applyFont="1"/>
    <xf numFmtId="17" fontId="42" fillId="2" borderId="0" xfId="0" applyNumberFormat="1" applyFont="1" applyFill="1"/>
    <xf numFmtId="0" fontId="43" fillId="22" borderId="0" xfId="0" applyFont="1" applyFill="1"/>
    <xf numFmtId="2" fontId="13" fillId="0" borderId="0" xfId="1" applyNumberFormat="1" applyFont="1"/>
    <xf numFmtId="2" fontId="13" fillId="0" borderId="0" xfId="0" applyNumberFormat="1" applyFont="1"/>
    <xf numFmtId="2" fontId="12" fillId="11" borderId="19" xfId="0" applyNumberFormat="1" applyFont="1" applyFill="1" applyBorder="1"/>
    <xf numFmtId="2" fontId="12" fillId="8" borderId="20" xfId="0" applyNumberFormat="1" applyFont="1" applyFill="1" applyBorder="1"/>
    <xf numFmtId="2" fontId="13" fillId="5" borderId="2" xfId="0" applyNumberFormat="1" applyFont="1" applyFill="1" applyBorder="1"/>
    <xf numFmtId="2" fontId="13" fillId="5" borderId="0" xfId="0" applyNumberFormat="1" applyFont="1" applyFill="1"/>
    <xf numFmtId="2" fontId="13" fillId="5" borderId="4" xfId="0" applyNumberFormat="1" applyFont="1" applyFill="1" applyBorder="1"/>
    <xf numFmtId="2" fontId="12" fillId="0" borderId="0" xfId="0" applyNumberFormat="1" applyFont="1"/>
    <xf numFmtId="166" fontId="16" fillId="5" borderId="31" xfId="1" applyNumberFormat="1" applyFont="1" applyFill="1" applyBorder="1"/>
    <xf numFmtId="17" fontId="12" fillId="35" borderId="21" xfId="3" applyNumberFormat="1" applyFont="1" applyFill="1" applyBorder="1" applyAlignment="1">
      <alignment horizontal="center"/>
    </xf>
    <xf numFmtId="166" fontId="16" fillId="0" borderId="24" xfId="1" applyNumberFormat="1" applyFont="1" applyFill="1" applyBorder="1"/>
    <xf numFmtId="166" fontId="16" fillId="0" borderId="8" xfId="1" applyNumberFormat="1" applyFont="1" applyFill="1" applyBorder="1"/>
    <xf numFmtId="166" fontId="12" fillId="35" borderId="19" xfId="1" applyNumberFormat="1" applyFont="1" applyFill="1" applyBorder="1"/>
    <xf numFmtId="166" fontId="16" fillId="0" borderId="22" xfId="1" applyNumberFormat="1" applyFont="1" applyBorder="1"/>
    <xf numFmtId="166" fontId="16" fillId="0" borderId="9" xfId="1" applyNumberFormat="1" applyFont="1" applyBorder="1"/>
    <xf numFmtId="166" fontId="16" fillId="5" borderId="9" xfId="1" applyNumberFormat="1" applyFont="1" applyFill="1" applyBorder="1"/>
    <xf numFmtId="166" fontId="16" fillId="5" borderId="0" xfId="1" applyNumberFormat="1" applyFont="1" applyFill="1" applyBorder="1"/>
    <xf numFmtId="0" fontId="13" fillId="5" borderId="22" xfId="0" applyFont="1" applyFill="1" applyBorder="1"/>
    <xf numFmtId="0" fontId="13" fillId="5" borderId="9" xfId="0" applyFont="1" applyFill="1" applyBorder="1"/>
    <xf numFmtId="0" fontId="13" fillId="5" borderId="3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33" fillId="0" borderId="0" xfId="65" applyFont="1" applyAlignment="1">
      <alignment horizontal="center"/>
    </xf>
    <xf numFmtId="0" fontId="32" fillId="0" borderId="0" xfId="65" quotePrefix="1"/>
    <xf numFmtId="174" fontId="0" fillId="0" borderId="0" xfId="0" applyNumberFormat="1"/>
    <xf numFmtId="9" fontId="12" fillId="8" borderId="20" xfId="2" applyFont="1" applyFill="1" applyBorder="1"/>
    <xf numFmtId="9" fontId="12" fillId="8" borderId="19" xfId="2" applyFont="1" applyFill="1" applyBorder="1"/>
    <xf numFmtId="165" fontId="13" fillId="5" borderId="0" xfId="1" applyFont="1" applyFill="1"/>
    <xf numFmtId="165" fontId="12" fillId="8" borderId="20" xfId="1" applyFont="1" applyFill="1" applyBorder="1"/>
    <xf numFmtId="165" fontId="13" fillId="5" borderId="10" xfId="1" applyFont="1" applyFill="1" applyBorder="1"/>
    <xf numFmtId="165" fontId="12" fillId="8" borderId="19" xfId="1" applyFont="1" applyFill="1" applyBorder="1"/>
    <xf numFmtId="0" fontId="13" fillId="5" borderId="25" xfId="0" applyFont="1" applyFill="1" applyBorder="1"/>
    <xf numFmtId="0" fontId="1" fillId="5" borderId="10" xfId="61" applyFont="1" applyFill="1" applyBorder="1" applyAlignment="1">
      <alignment horizontal="left" indent="2"/>
    </xf>
    <xf numFmtId="0" fontId="13" fillId="22" borderId="10" xfId="0" applyFont="1" applyFill="1" applyBorder="1" applyAlignment="1">
      <alignment horizontal="center"/>
    </xf>
    <xf numFmtId="0" fontId="13" fillId="22" borderId="9" xfId="0" applyFont="1" applyFill="1" applyBorder="1" applyAlignment="1">
      <alignment horizontal="center"/>
    </xf>
    <xf numFmtId="0" fontId="13" fillId="22" borderId="30" xfId="0" applyFont="1" applyFill="1" applyBorder="1" applyAlignment="1">
      <alignment horizontal="center"/>
    </xf>
    <xf numFmtId="166" fontId="42" fillId="0" borderId="0" xfId="1" applyNumberFormat="1" applyFont="1"/>
    <xf numFmtId="165" fontId="42" fillId="0" borderId="0" xfId="1" applyFont="1"/>
    <xf numFmtId="165" fontId="42" fillId="0" borderId="9" xfId="3" applyNumberFormat="1" applyFont="1" applyBorder="1"/>
    <xf numFmtId="166" fontId="42" fillId="0" borderId="22" xfId="3" applyNumberFormat="1" applyFont="1" applyBorder="1"/>
    <xf numFmtId="165" fontId="13" fillId="5" borderId="9" xfId="0" applyNumberFormat="1" applyFont="1" applyFill="1" applyBorder="1"/>
    <xf numFmtId="172" fontId="16" fillId="0" borderId="0" xfId="1" applyNumberFormat="1" applyFont="1" applyFill="1" applyBorder="1"/>
    <xf numFmtId="6" fontId="16" fillId="0" borderId="2" xfId="61" applyNumberFormat="1" applyFont="1" applyBorder="1"/>
    <xf numFmtId="6" fontId="16" fillId="0" borderId="0" xfId="61" applyNumberFormat="1" applyFont="1"/>
    <xf numFmtId="6" fontId="13" fillId="0" borderId="0" xfId="61" applyNumberFormat="1" applyFont="1"/>
    <xf numFmtId="165" fontId="16" fillId="0" borderId="0" xfId="1" applyFont="1"/>
    <xf numFmtId="165" fontId="12" fillId="35" borderId="19" xfId="1" applyFont="1" applyFill="1" applyBorder="1"/>
    <xf numFmtId="165" fontId="16" fillId="0" borderId="2" xfId="1" applyFont="1" applyBorder="1"/>
    <xf numFmtId="165" fontId="16" fillId="0" borderId="24" xfId="1" applyFont="1" applyFill="1" applyBorder="1"/>
    <xf numFmtId="165" fontId="16" fillId="0" borderId="8" xfId="1" applyFont="1" applyFill="1" applyBorder="1"/>
    <xf numFmtId="165" fontId="16" fillId="5" borderId="2" xfId="1" applyFont="1" applyFill="1" applyBorder="1"/>
    <xf numFmtId="165" fontId="16" fillId="5" borderId="24" xfId="1" applyFont="1" applyFill="1" applyBorder="1"/>
    <xf numFmtId="165" fontId="16" fillId="5" borderId="0" xfId="1" applyFont="1" applyFill="1"/>
    <xf numFmtId="165" fontId="16" fillId="5" borderId="8" xfId="1" applyFont="1" applyFill="1" applyBorder="1"/>
    <xf numFmtId="165" fontId="16" fillId="5" borderId="4" xfId="1" applyFont="1" applyFill="1" applyBorder="1"/>
    <xf numFmtId="165" fontId="16" fillId="5" borderId="31" xfId="1" applyFont="1" applyFill="1" applyBorder="1"/>
    <xf numFmtId="9" fontId="12" fillId="35" borderId="19" xfId="2" applyFont="1" applyFill="1" applyBorder="1"/>
    <xf numFmtId="0" fontId="15" fillId="36" borderId="19" xfId="0" applyFont="1" applyFill="1" applyBorder="1" applyAlignment="1">
      <alignment horizontal="left"/>
    </xf>
    <xf numFmtId="165" fontId="12" fillId="37" borderId="19" xfId="1" applyFont="1" applyFill="1" applyBorder="1"/>
    <xf numFmtId="9" fontId="12" fillId="37" borderId="19" xfId="2" applyFont="1" applyFill="1" applyBorder="1"/>
    <xf numFmtId="0" fontId="16" fillId="0" borderId="8" xfId="61" applyFont="1" applyBorder="1"/>
    <xf numFmtId="0" fontId="8" fillId="25" borderId="0" xfId="0" applyFont="1" applyFill="1"/>
    <xf numFmtId="0" fontId="29" fillId="25" borderId="0" xfId="0" applyFont="1" applyFill="1"/>
    <xf numFmtId="9" fontId="16" fillId="0" borderId="0" xfId="61" applyNumberFormat="1" applyFont="1"/>
    <xf numFmtId="10" fontId="12" fillId="0" borderId="0" xfId="0" applyNumberFormat="1" applyFont="1"/>
    <xf numFmtId="44" fontId="42" fillId="0" borderId="0" xfId="3" applyNumberFormat="1" applyFont="1"/>
    <xf numFmtId="0" fontId="8" fillId="0" borderId="0" xfId="1" applyNumberFormat="1" applyFont="1" applyFill="1" applyBorder="1"/>
    <xf numFmtId="166" fontId="8" fillId="0" borderId="0" xfId="1" quotePrefix="1" applyNumberFormat="1" applyFont="1" applyFill="1" applyBorder="1"/>
    <xf numFmtId="166" fontId="9" fillId="0" borderId="19" xfId="1" applyNumberFormat="1" applyFont="1" applyFill="1" applyBorder="1"/>
    <xf numFmtId="0" fontId="9" fillId="0" borderId="19" xfId="1" applyNumberFormat="1" applyFont="1" applyFill="1" applyBorder="1"/>
    <xf numFmtId="166" fontId="8" fillId="0" borderId="19" xfId="1" applyNumberFormat="1" applyFont="1" applyFill="1" applyBorder="1"/>
    <xf numFmtId="0" fontId="13" fillId="0" borderId="19" xfId="0" applyFont="1" applyBorder="1"/>
    <xf numFmtId="165" fontId="8" fillId="0" borderId="19" xfId="1" applyFont="1" applyFill="1" applyBorder="1"/>
    <xf numFmtId="166" fontId="8" fillId="0" borderId="19" xfId="1" quotePrefix="1" applyNumberFormat="1" applyFont="1" applyFill="1" applyBorder="1"/>
    <xf numFmtId="0" fontId="8" fillId="0" borderId="19" xfId="1" applyNumberFormat="1" applyFont="1" applyFill="1" applyBorder="1"/>
    <xf numFmtId="166" fontId="8" fillId="32" borderId="19" xfId="1" applyNumberFormat="1" applyFont="1" applyFill="1" applyBorder="1"/>
    <xf numFmtId="166" fontId="9" fillId="0" borderId="0" xfId="0" applyNumberFormat="1" applyFont="1"/>
    <xf numFmtId="0" fontId="13" fillId="0" borderId="0" xfId="2" applyNumberFormat="1" applyFont="1"/>
    <xf numFmtId="0" fontId="37" fillId="0" borderId="0" xfId="0" applyFont="1"/>
    <xf numFmtId="166" fontId="12" fillId="0" borderId="0" xfId="0" applyNumberFormat="1" applyFont="1"/>
    <xf numFmtId="0" fontId="49" fillId="38" borderId="0" xfId="0" applyFont="1" applyFill="1"/>
    <xf numFmtId="0" fontId="49" fillId="39" borderId="0" xfId="0" applyFont="1" applyFill="1"/>
    <xf numFmtId="0" fontId="49" fillId="40" borderId="0" xfId="0" applyFont="1" applyFill="1"/>
    <xf numFmtId="43" fontId="0" fillId="4" borderId="0" xfId="0" applyNumberFormat="1" applyFill="1"/>
    <xf numFmtId="44" fontId="9" fillId="0" borderId="0" xfId="0" applyNumberFormat="1" applyFont="1"/>
    <xf numFmtId="0" fontId="29" fillId="27" borderId="0" xfId="0" applyFont="1" applyFill="1"/>
    <xf numFmtId="0" fontId="29" fillId="27" borderId="0" xfId="0" applyFont="1" applyFill="1" applyAlignment="1">
      <alignment horizontal="left" indent="3"/>
    </xf>
    <xf numFmtId="8" fontId="29" fillId="27" borderId="0" xfId="0" applyNumberFormat="1" applyFont="1" applyFill="1"/>
    <xf numFmtId="44" fontId="16" fillId="0" borderId="0" xfId="61" applyNumberFormat="1" applyFont="1"/>
    <xf numFmtId="173" fontId="13" fillId="0" borderId="0" xfId="2" applyNumberFormat="1" applyFont="1"/>
    <xf numFmtId="0" fontId="45" fillId="2" borderId="10" xfId="54" applyFont="1" applyFill="1" applyBorder="1"/>
    <xf numFmtId="0" fontId="16" fillId="2" borderId="22" xfId="61" applyFont="1" applyFill="1" applyBorder="1"/>
    <xf numFmtId="0" fontId="16" fillId="2" borderId="9" xfId="61" applyFont="1" applyFill="1" applyBorder="1"/>
    <xf numFmtId="167" fontId="15" fillId="0" borderId="0" xfId="5" applyNumberFormat="1" applyFont="1" applyAlignment="1">
      <alignment wrapText="1"/>
    </xf>
    <xf numFmtId="9" fontId="42" fillId="0" borderId="0" xfId="2" applyFont="1"/>
    <xf numFmtId="9" fontId="12" fillId="0" borderId="0" xfId="2" applyFont="1"/>
    <xf numFmtId="9" fontId="16" fillId="0" borderId="0" xfId="2" applyFont="1"/>
    <xf numFmtId="165" fontId="23" fillId="0" borderId="2" xfId="1" applyFont="1" applyBorder="1"/>
    <xf numFmtId="165" fontId="23" fillId="0" borderId="0" xfId="1" applyFont="1"/>
    <xf numFmtId="165" fontId="47" fillId="0" borderId="0" xfId="1" applyFont="1"/>
    <xf numFmtId="0" fontId="47" fillId="0" borderId="0" xfId="3" applyFont="1"/>
    <xf numFmtId="0" fontId="47" fillId="0" borderId="9" xfId="3" applyFont="1" applyBorder="1"/>
    <xf numFmtId="0" fontId="45" fillId="26" borderId="10" xfId="54" applyFont="1" applyFill="1" applyBorder="1"/>
    <xf numFmtId="6" fontId="23" fillId="0" borderId="0" xfId="61" applyNumberFormat="1" applyFont="1"/>
    <xf numFmtId="2" fontId="12" fillId="8" borderId="1" xfId="0" applyNumberFormat="1" applyFont="1" applyFill="1" applyBorder="1"/>
    <xf numFmtId="165" fontId="13" fillId="0" borderId="0" xfId="1" applyFont="1" applyFill="1"/>
    <xf numFmtId="2" fontId="12" fillId="21" borderId="19" xfId="0" applyNumberFormat="1" applyFont="1" applyFill="1" applyBorder="1"/>
    <xf numFmtId="0" fontId="12" fillId="21" borderId="19" xfId="0" applyFont="1" applyFill="1" applyBorder="1"/>
    <xf numFmtId="0" fontId="43" fillId="12" borderId="19" xfId="3" applyFont="1" applyFill="1" applyBorder="1" applyAlignment="1">
      <alignment horizontal="center" vertical="center" wrapText="1"/>
    </xf>
    <xf numFmtId="173" fontId="12" fillId="35" borderId="19" xfId="2" applyNumberFormat="1" applyFont="1" applyFill="1" applyBorder="1"/>
    <xf numFmtId="166" fontId="16" fillId="0" borderId="9" xfId="1" applyNumberFormat="1" applyFont="1" applyFill="1" applyBorder="1"/>
    <xf numFmtId="166" fontId="16" fillId="0" borderId="22" xfId="1" applyNumberFormat="1" applyFont="1" applyFill="1" applyBorder="1"/>
    <xf numFmtId="17" fontId="12" fillId="41" borderId="21" xfId="3" applyNumberFormat="1" applyFont="1" applyFill="1" applyBorder="1" applyAlignment="1">
      <alignment horizontal="center"/>
    </xf>
    <xf numFmtId="17" fontId="12" fillId="41" borderId="19" xfId="3" applyNumberFormat="1" applyFont="1" applyFill="1" applyBorder="1" applyAlignment="1">
      <alignment horizontal="center"/>
    </xf>
    <xf numFmtId="17" fontId="12" fillId="37" borderId="21" xfId="3" applyNumberFormat="1" applyFont="1" applyFill="1" applyBorder="1" applyAlignment="1">
      <alignment horizontal="center"/>
    </xf>
    <xf numFmtId="17" fontId="12" fillId="37" borderId="19" xfId="3" applyNumberFormat="1" applyFont="1" applyFill="1" applyBorder="1" applyAlignment="1">
      <alignment horizontal="center"/>
    </xf>
    <xf numFmtId="173" fontId="12" fillId="8" borderId="20" xfId="2" applyNumberFormat="1" applyFont="1" applyFill="1" applyBorder="1"/>
    <xf numFmtId="173" fontId="12" fillId="8" borderId="19" xfId="2" applyNumberFormat="1" applyFont="1" applyFill="1" applyBorder="1"/>
    <xf numFmtId="173" fontId="9" fillId="0" borderId="0" xfId="2" applyNumberFormat="1" applyFont="1" applyFill="1" applyBorder="1"/>
    <xf numFmtId="166" fontId="45" fillId="0" borderId="22" xfId="3" applyNumberFormat="1" applyFont="1" applyBorder="1"/>
    <xf numFmtId="165" fontId="45" fillId="0" borderId="9" xfId="3" applyNumberFormat="1" applyFont="1" applyBorder="1"/>
    <xf numFmtId="166" fontId="16" fillId="42" borderId="9" xfId="1" applyNumberFormat="1" applyFont="1" applyFill="1" applyBorder="1"/>
    <xf numFmtId="17" fontId="0" fillId="0" borderId="0" xfId="0" applyNumberFormat="1"/>
    <xf numFmtId="43" fontId="0" fillId="32" borderId="0" xfId="52" applyFont="1" applyFill="1"/>
    <xf numFmtId="10" fontId="13" fillId="0" borderId="0" xfId="0" applyNumberFormat="1" applyFont="1"/>
    <xf numFmtId="43" fontId="0" fillId="12" borderId="0" xfId="52" applyFont="1" applyFill="1"/>
    <xf numFmtId="165" fontId="47" fillId="0" borderId="9" xfId="3" applyNumberFormat="1" applyFont="1" applyBorder="1"/>
    <xf numFmtId="166" fontId="16" fillId="5" borderId="8" xfId="1" applyNumberFormat="1" applyFont="1" applyFill="1" applyBorder="1"/>
    <xf numFmtId="8" fontId="47" fillId="0" borderId="0" xfId="3" applyNumberFormat="1" applyFont="1"/>
    <xf numFmtId="166" fontId="13" fillId="0" borderId="22" xfId="1" applyNumberFormat="1" applyFont="1" applyBorder="1"/>
    <xf numFmtId="166" fontId="8" fillId="3" borderId="0" xfId="1" applyNumberFormat="1" applyFont="1" applyFill="1" applyBorder="1"/>
    <xf numFmtId="0" fontId="28" fillId="27" borderId="2" xfId="0" applyFont="1" applyFill="1" applyBorder="1"/>
    <xf numFmtId="0" fontId="28" fillId="27" borderId="0" xfId="0" applyFont="1" applyFill="1"/>
    <xf numFmtId="49" fontId="28" fillId="27" borderId="0" xfId="0" applyNumberFormat="1" applyFont="1" applyFill="1" applyAlignment="1">
      <alignment horizontal="left"/>
    </xf>
    <xf numFmtId="0" fontId="28" fillId="27" borderId="4" xfId="0" applyFont="1" applyFill="1" applyBorder="1"/>
    <xf numFmtId="49" fontId="48" fillId="25" borderId="0" xfId="0" applyNumberFormat="1" applyFont="1" applyFill="1" applyAlignment="1">
      <alignment horizontal="left"/>
    </xf>
    <xf numFmtId="49" fontId="28" fillId="27" borderId="4" xfId="0" applyNumberFormat="1" applyFont="1" applyFill="1" applyBorder="1" applyAlignment="1">
      <alignment horizontal="left"/>
    </xf>
    <xf numFmtId="0" fontId="23" fillId="0" borderId="7" xfId="5" applyFont="1" applyBorder="1"/>
    <xf numFmtId="0" fontId="8" fillId="0" borderId="0" xfId="0" applyFont="1" applyAlignment="1">
      <alignment horizontal="right"/>
    </xf>
    <xf numFmtId="43" fontId="37" fillId="0" borderId="0" xfId="52" applyFont="1" applyAlignment="1"/>
    <xf numFmtId="0" fontId="23" fillId="0" borderId="0" xfId="0" applyFont="1"/>
    <xf numFmtId="0" fontId="27" fillId="0" borderId="0" xfId="5" applyFont="1" applyAlignment="1">
      <alignment wrapText="1"/>
    </xf>
    <xf numFmtId="0" fontId="23" fillId="0" borderId="0" xfId="5" applyFont="1"/>
    <xf numFmtId="166" fontId="23" fillId="0" borderId="0" xfId="0" applyNumberFormat="1" applyFont="1"/>
    <xf numFmtId="8" fontId="8" fillId="27" borderId="0" xfId="0" applyNumberFormat="1" applyFont="1" applyFill="1"/>
    <xf numFmtId="43" fontId="8" fillId="27" borderId="0" xfId="52" applyFont="1" applyFill="1"/>
    <xf numFmtId="165" fontId="8" fillId="27" borderId="0" xfId="1" applyFont="1" applyFill="1"/>
    <xf numFmtId="0" fontId="0" fillId="26" borderId="0" xfId="0" applyFill="1"/>
    <xf numFmtId="43" fontId="0" fillId="0" borderId="0" xfId="0" applyNumberFormat="1"/>
    <xf numFmtId="0" fontId="13" fillId="26" borderId="7" xfId="0" applyFont="1" applyFill="1" applyBorder="1"/>
    <xf numFmtId="8" fontId="29" fillId="0" borderId="0" xfId="0" applyNumberFormat="1" applyFont="1"/>
    <xf numFmtId="0" fontId="29" fillId="0" borderId="0" xfId="0" applyFont="1"/>
    <xf numFmtId="165" fontId="42" fillId="0" borderId="0" xfId="3" applyNumberFormat="1" applyFont="1"/>
    <xf numFmtId="165" fontId="43" fillId="8" borderId="27" xfId="1" applyFont="1" applyFill="1" applyBorder="1"/>
    <xf numFmtId="17" fontId="12" fillId="43" borderId="48" xfId="3" applyNumberFormat="1" applyFont="1" applyFill="1" applyBorder="1"/>
    <xf numFmtId="17" fontId="12" fillId="35" borderId="19" xfId="3" applyNumberFormat="1" applyFont="1" applyFill="1" applyBorder="1" applyAlignment="1">
      <alignment horizontal="right"/>
    </xf>
    <xf numFmtId="0" fontId="16" fillId="22" borderId="0" xfId="61" applyFont="1" applyFill="1"/>
    <xf numFmtId="0" fontId="16" fillId="22" borderId="25" xfId="61" applyFont="1" applyFill="1" applyBorder="1"/>
    <xf numFmtId="0" fontId="12" fillId="35" borderId="27" xfId="61" applyFont="1" applyFill="1" applyBorder="1"/>
    <xf numFmtId="0" fontId="12" fillId="34" borderId="21" xfId="61" applyFont="1" applyFill="1" applyBorder="1" applyAlignment="1">
      <alignment horizontal="center"/>
    </xf>
    <xf numFmtId="0" fontId="16" fillId="22" borderId="8" xfId="61" applyFont="1" applyFill="1" applyBorder="1"/>
    <xf numFmtId="166" fontId="16" fillId="0" borderId="21" xfId="1" applyNumberFormat="1" applyFont="1" applyBorder="1"/>
    <xf numFmtId="166" fontId="16" fillId="0" borderId="0" xfId="1" applyNumberFormat="1" applyFont="1" applyBorder="1"/>
    <xf numFmtId="0" fontId="16" fillId="0" borderId="10" xfId="61" applyFont="1" applyBorder="1"/>
    <xf numFmtId="166" fontId="16" fillId="0" borderId="2" xfId="1" applyNumberFormat="1" applyFont="1" applyBorder="1"/>
    <xf numFmtId="166" fontId="16" fillId="0" borderId="10" xfId="1" applyNumberFormat="1" applyFont="1" applyBorder="1"/>
    <xf numFmtId="166" fontId="12" fillId="35" borderId="27" xfId="1" applyNumberFormat="1" applyFont="1" applyFill="1" applyBorder="1"/>
    <xf numFmtId="166" fontId="16" fillId="0" borderId="10" xfId="1" applyNumberFormat="1" applyFont="1" applyFill="1" applyBorder="1"/>
    <xf numFmtId="0" fontId="16" fillId="5" borderId="24" xfId="61" applyFont="1" applyFill="1" applyBorder="1"/>
    <xf numFmtId="0" fontId="16" fillId="5" borderId="8" xfId="61" applyFont="1" applyFill="1" applyBorder="1"/>
    <xf numFmtId="166" fontId="16" fillId="5" borderId="10" xfId="1" applyNumberFormat="1" applyFont="1" applyFill="1" applyBorder="1"/>
    <xf numFmtId="0" fontId="16" fillId="5" borderId="21" xfId="61" applyFont="1" applyFill="1" applyBorder="1"/>
    <xf numFmtId="0" fontId="16" fillId="5" borderId="10" xfId="61" applyFont="1" applyFill="1" applyBorder="1"/>
    <xf numFmtId="166" fontId="16" fillId="5" borderId="25" xfId="1" applyNumberFormat="1" applyFont="1" applyFill="1" applyBorder="1"/>
    <xf numFmtId="174" fontId="34" fillId="0" borderId="0" xfId="65" applyNumberFormat="1" applyFont="1"/>
    <xf numFmtId="0" fontId="50" fillId="32" borderId="0" xfId="65" applyFont="1" applyFill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22" fillId="12" borderId="9" xfId="0" applyFont="1" applyFill="1" applyBorder="1" applyAlignment="1">
      <alignment horizontal="left"/>
    </xf>
    <xf numFmtId="0" fontId="13" fillId="20" borderId="28" xfId="0" applyFont="1" applyFill="1" applyBorder="1"/>
    <xf numFmtId="0" fontId="42" fillId="44" borderId="8" xfId="0" applyFont="1" applyFill="1" applyBorder="1"/>
    <xf numFmtId="2" fontId="12" fillId="0" borderId="12" xfId="0" applyNumberFormat="1" applyFont="1" applyBorder="1"/>
    <xf numFmtId="165" fontId="12" fillId="0" borderId="13" xfId="0" applyNumberFormat="1" applyFont="1" applyBorder="1"/>
    <xf numFmtId="9" fontId="12" fillId="0" borderId="14" xfId="2" applyFont="1" applyBorder="1"/>
    <xf numFmtId="2" fontId="12" fillId="0" borderId="7" xfId="0" applyNumberFormat="1" applyFont="1" applyBorder="1"/>
    <xf numFmtId="9" fontId="12" fillId="0" borderId="15" xfId="2" applyFont="1" applyBorder="1"/>
    <xf numFmtId="2" fontId="13" fillId="0" borderId="7" xfId="0" applyNumberFormat="1" applyFont="1" applyBorder="1"/>
    <xf numFmtId="2" fontId="12" fillId="0" borderId="15" xfId="0" applyNumberFormat="1" applyFont="1" applyBorder="1"/>
    <xf numFmtId="2" fontId="13" fillId="0" borderId="16" xfId="0" applyNumberFormat="1" applyFont="1" applyBorder="1"/>
    <xf numFmtId="165" fontId="13" fillId="0" borderId="17" xfId="0" applyNumberFormat="1" applyFont="1" applyBorder="1"/>
    <xf numFmtId="0" fontId="13" fillId="0" borderId="18" xfId="0" applyFont="1" applyBorder="1"/>
    <xf numFmtId="0" fontId="13" fillId="22" borderId="0" xfId="61" applyFont="1" applyFill="1"/>
    <xf numFmtId="165" fontId="13" fillId="0" borderId="2" xfId="1" applyFont="1" applyBorder="1"/>
    <xf numFmtId="8" fontId="16" fillId="0" borderId="0" xfId="61" applyNumberFormat="1" applyFont="1"/>
    <xf numFmtId="10" fontId="13" fillId="45" borderId="0" xfId="0" applyNumberFormat="1" applyFont="1" applyFill="1"/>
    <xf numFmtId="166" fontId="13" fillId="0" borderId="0" xfId="2" applyNumberFormat="1" applyFont="1" applyFill="1" applyBorder="1"/>
    <xf numFmtId="165" fontId="13" fillId="0" borderId="0" xfId="1" applyFont="1" applyFill="1" applyBorder="1"/>
    <xf numFmtId="44" fontId="12" fillId="5" borderId="1" xfId="1" applyNumberFormat="1" applyFont="1" applyFill="1" applyBorder="1" applyAlignment="1">
      <alignment horizontal="right"/>
    </xf>
    <xf numFmtId="166" fontId="8" fillId="45" borderId="0" xfId="1" applyNumberFormat="1" applyFont="1" applyFill="1" applyBorder="1"/>
    <xf numFmtId="14" fontId="8" fillId="26" borderId="0" xfId="0" applyNumberFormat="1" applyFont="1" applyFill="1"/>
    <xf numFmtId="166" fontId="9" fillId="2" borderId="2" xfId="1" applyNumberFormat="1" applyFont="1" applyFill="1" applyBorder="1"/>
    <xf numFmtId="165" fontId="0" fillId="2" borderId="2" xfId="0" applyNumberFormat="1" applyFill="1" applyBorder="1"/>
    <xf numFmtId="175" fontId="37" fillId="0" borderId="0" xfId="0" applyNumberFormat="1" applyFont="1"/>
    <xf numFmtId="165" fontId="8" fillId="22" borderId="0" xfId="1" applyFont="1" applyFill="1"/>
    <xf numFmtId="0" fontId="23" fillId="22" borderId="0" xfId="61" applyFont="1" applyFill="1"/>
    <xf numFmtId="165" fontId="16" fillId="46" borderId="0" xfId="1" applyFont="1" applyFill="1"/>
    <xf numFmtId="173" fontId="13" fillId="0" borderId="0" xfId="2" applyNumberFormat="1" applyFont="1" applyFill="1" applyBorder="1"/>
    <xf numFmtId="165" fontId="13" fillId="12" borderId="0" xfId="1" applyFont="1" applyFill="1"/>
    <xf numFmtId="9" fontId="12" fillId="0" borderId="0" xfId="2" applyFont="1" applyAlignment="1">
      <alignment horizontal="center"/>
    </xf>
    <xf numFmtId="165" fontId="51" fillId="0" borderId="0" xfId="1" applyFont="1" applyFill="1"/>
    <xf numFmtId="166" fontId="51" fillId="0" borderId="9" xfId="1" applyNumberFormat="1" applyFont="1" applyFill="1" applyBorder="1"/>
    <xf numFmtId="166" fontId="51" fillId="0" borderId="10" xfId="1" applyNumberFormat="1" applyFont="1" applyBorder="1"/>
    <xf numFmtId="166" fontId="13" fillId="0" borderId="9" xfId="1" applyNumberFormat="1" applyFont="1" applyFill="1" applyBorder="1"/>
    <xf numFmtId="166" fontId="13" fillId="47" borderId="0" xfId="1" applyNumberFormat="1" applyFont="1" applyFill="1" applyBorder="1"/>
    <xf numFmtId="17" fontId="14" fillId="47" borderId="4" xfId="1" quotePrefix="1" applyNumberFormat="1" applyFont="1" applyFill="1" applyBorder="1"/>
    <xf numFmtId="166" fontId="12" fillId="47" borderId="1" xfId="1" applyNumberFormat="1" applyFont="1" applyFill="1" applyBorder="1" applyAlignment="1">
      <alignment horizontal="right"/>
    </xf>
    <xf numFmtId="166" fontId="12" fillId="47" borderId="1" xfId="1" applyNumberFormat="1" applyFont="1" applyFill="1" applyBorder="1" applyAlignment="1"/>
    <xf numFmtId="166" fontId="13" fillId="0" borderId="0" xfId="2" applyNumberFormat="1" applyFont="1"/>
    <xf numFmtId="10" fontId="0" fillId="0" borderId="0" xfId="0" applyNumberFormat="1"/>
    <xf numFmtId="0" fontId="52" fillId="48" borderId="0" xfId="67"/>
    <xf numFmtId="0" fontId="53" fillId="0" borderId="0" xfId="0" applyFont="1" applyAlignment="1">
      <alignment horizontal="center"/>
    </xf>
    <xf numFmtId="9" fontId="53" fillId="0" borderId="0" xfId="2" applyFont="1" applyAlignment="1">
      <alignment horizontal="center"/>
    </xf>
    <xf numFmtId="0" fontId="53" fillId="0" borderId="0" xfId="0" applyFont="1"/>
    <xf numFmtId="9" fontId="53" fillId="0" borderId="0" xfId="0" applyNumberFormat="1" applyFont="1" applyAlignment="1">
      <alignment horizontal="center"/>
    </xf>
    <xf numFmtId="44" fontId="53" fillId="0" borderId="0" xfId="0" applyNumberFormat="1" applyFont="1"/>
    <xf numFmtId="0" fontId="54" fillId="0" borderId="0" xfId="0" applyFont="1" applyAlignment="1">
      <alignment horizontal="center"/>
    </xf>
    <xf numFmtId="9" fontId="54" fillId="0" borderId="0" xfId="0" applyNumberFormat="1" applyFont="1" applyAlignment="1">
      <alignment horizontal="center"/>
    </xf>
    <xf numFmtId="44" fontId="53" fillId="0" borderId="0" xfId="0" applyNumberFormat="1" applyFont="1" applyAlignment="1">
      <alignment horizontal="center"/>
    </xf>
    <xf numFmtId="0" fontId="55" fillId="0" borderId="0" xfId="0" applyFont="1"/>
    <xf numFmtId="0" fontId="56" fillId="0" borderId="0" xfId="0" applyFont="1" applyAlignment="1">
      <alignment horizontal="center"/>
    </xf>
    <xf numFmtId="166" fontId="55" fillId="0" borderId="0" xfId="0" applyNumberFormat="1" applyFont="1"/>
    <xf numFmtId="166" fontId="8" fillId="27" borderId="0" xfId="0" applyNumberFormat="1" applyFont="1" applyFill="1"/>
    <xf numFmtId="166" fontId="8" fillId="27" borderId="0" xfId="1" applyNumberFormat="1" applyFont="1" applyFill="1" applyBorder="1"/>
    <xf numFmtId="49" fontId="13" fillId="2" borderId="0" xfId="0" applyNumberFormat="1" applyFont="1" applyFill="1" applyAlignment="1">
      <alignment horizontal="left" indent="2"/>
    </xf>
    <xf numFmtId="166" fontId="9" fillId="2" borderId="2" xfId="0" applyNumberFormat="1" applyFont="1" applyFill="1" applyBorder="1"/>
    <xf numFmtId="166" fontId="0" fillId="2" borderId="0" xfId="1" applyNumberFormat="1" applyFont="1" applyFill="1" applyBorder="1"/>
    <xf numFmtId="166" fontId="8" fillId="30" borderId="0" xfId="1" applyNumberFormat="1" applyFont="1" applyFill="1" applyBorder="1"/>
    <xf numFmtId="166" fontId="8" fillId="49" borderId="0" xfId="1" applyNumberFormat="1" applyFont="1" applyFill="1" applyBorder="1"/>
    <xf numFmtId="165" fontId="8" fillId="10" borderId="0" xfId="1" applyFont="1" applyFill="1" applyBorder="1"/>
    <xf numFmtId="44" fontId="8" fillId="2" borderId="0" xfId="0" applyNumberFormat="1" applyFont="1" applyFill="1"/>
    <xf numFmtId="0" fontId="12" fillId="0" borderId="0" xfId="0" applyFont="1" applyAlignment="1">
      <alignment horizontal="center"/>
    </xf>
    <xf numFmtId="166" fontId="9" fillId="0" borderId="20" xfId="1" applyNumberFormat="1" applyFont="1" applyFill="1" applyBorder="1" applyAlignment="1">
      <alignment horizontal="center"/>
    </xf>
    <xf numFmtId="166" fontId="9" fillId="0" borderId="27" xfId="1" applyNumberFormat="1" applyFont="1" applyFill="1" applyBorder="1" applyAlignment="1">
      <alignment horizontal="center"/>
    </xf>
    <xf numFmtId="0" fontId="9" fillId="4" borderId="0" xfId="0" applyFont="1" applyFill="1" applyAlignment="1">
      <alignment horizontal="center"/>
    </xf>
    <xf numFmtId="17" fontId="43" fillId="21" borderId="34" xfId="3" applyNumberFormat="1" applyFont="1" applyFill="1" applyBorder="1" applyAlignment="1">
      <alignment horizontal="center"/>
    </xf>
    <xf numFmtId="17" fontId="43" fillId="21" borderId="35" xfId="3" applyNumberFormat="1" applyFont="1" applyFill="1" applyBorder="1" applyAlignment="1">
      <alignment horizontal="center"/>
    </xf>
    <xf numFmtId="0" fontId="42" fillId="2" borderId="20" xfId="3" applyFont="1" applyFill="1" applyBorder="1" applyAlignment="1">
      <alignment horizontal="center"/>
    </xf>
    <xf numFmtId="0" fontId="42" fillId="2" borderId="27" xfId="3" applyFont="1" applyFill="1" applyBorder="1" applyAlignment="1">
      <alignment horizontal="center"/>
    </xf>
    <xf numFmtId="17" fontId="42" fillId="2" borderId="20" xfId="3" applyNumberFormat="1" applyFont="1" applyFill="1" applyBorder="1" applyAlignment="1">
      <alignment horizontal="center"/>
    </xf>
    <xf numFmtId="0" fontId="42" fillId="2" borderId="1" xfId="3" applyFont="1" applyFill="1" applyBorder="1" applyAlignment="1">
      <alignment horizontal="center"/>
    </xf>
    <xf numFmtId="17" fontId="43" fillId="21" borderId="33" xfId="3" applyNumberFormat="1" applyFont="1" applyFill="1" applyBorder="1" applyAlignment="1">
      <alignment horizontal="center"/>
    </xf>
    <xf numFmtId="0" fontId="44" fillId="8" borderId="20" xfId="54" applyFont="1" applyFill="1" applyBorder="1" applyAlignment="1">
      <alignment horizontal="center" vertical="center" wrapText="1"/>
    </xf>
    <xf numFmtId="0" fontId="44" fillId="8" borderId="1" xfId="54" applyFont="1" applyFill="1" applyBorder="1" applyAlignment="1">
      <alignment horizontal="center" vertical="center" wrapText="1"/>
    </xf>
    <xf numFmtId="0" fontId="44" fillId="8" borderId="27" xfId="54" applyFont="1" applyFill="1" applyBorder="1" applyAlignment="1">
      <alignment horizontal="center" vertical="center" wrapText="1"/>
    </xf>
    <xf numFmtId="17" fontId="42" fillId="2" borderId="1" xfId="3" applyNumberFormat="1" applyFont="1" applyFill="1" applyBorder="1" applyAlignment="1">
      <alignment horizontal="center"/>
    </xf>
    <xf numFmtId="0" fontId="15" fillId="7" borderId="20" xfId="0" applyFont="1" applyFill="1" applyBorder="1" applyAlignment="1">
      <alignment horizontal="center"/>
    </xf>
    <xf numFmtId="0" fontId="15" fillId="7" borderId="27" xfId="0" applyFont="1" applyFill="1" applyBorder="1" applyAlignment="1">
      <alignment horizontal="center"/>
    </xf>
    <xf numFmtId="0" fontId="12" fillId="8" borderId="19" xfId="0" applyFont="1" applyFill="1" applyBorder="1" applyAlignment="1">
      <alignment horizontal="center"/>
    </xf>
    <xf numFmtId="0" fontId="12" fillId="21" borderId="20" xfId="3" applyFont="1" applyFill="1" applyBorder="1" applyAlignment="1">
      <alignment horizontal="center"/>
    </xf>
    <xf numFmtId="0" fontId="12" fillId="21" borderId="27" xfId="3" applyFont="1" applyFill="1" applyBorder="1" applyAlignment="1">
      <alignment horizontal="center"/>
    </xf>
    <xf numFmtId="0" fontId="33" fillId="0" borderId="0" xfId="65" applyFont="1" applyAlignment="1">
      <alignment horizontal="center"/>
    </xf>
  </cellXfs>
  <cellStyles count="68">
    <cellStyle name="Accent4" xfId="67" builtinId="41"/>
    <cellStyle name="Comma" xfId="52" builtinId="3"/>
    <cellStyle name="Comma 2" xfId="15" xr:uid="{00000000-0005-0000-0000-000000000000}"/>
    <cellStyle name="Comma 2 2" xfId="28" xr:uid="{00000000-0005-0000-0000-000001000000}"/>
    <cellStyle name="Comma 2 2 2" xfId="35" xr:uid="{00000000-0005-0000-0000-000002000000}"/>
    <cellStyle name="Comma 2 3" xfId="31" xr:uid="{00000000-0005-0000-0000-000003000000}"/>
    <cellStyle name="Comma 2 4" xfId="46" xr:uid="{6E21A71D-84FF-4489-813E-54760A7C0F12}"/>
    <cellStyle name="Comma 3" xfId="19" xr:uid="{00000000-0005-0000-0000-000004000000}"/>
    <cellStyle name="Comma 3 2" xfId="34" xr:uid="{00000000-0005-0000-0000-000005000000}"/>
    <cellStyle name="Comma 4" xfId="22" xr:uid="{00000000-0005-0000-0000-000006000000}"/>
    <cellStyle name="Comma 5" xfId="10" xr:uid="{00000000-0005-0000-0000-000007000000}"/>
    <cellStyle name="Comma 6" xfId="39" xr:uid="{509AA1D4-78B6-4652-BF02-12BE7AD4EE6A}"/>
    <cellStyle name="Comma 7" xfId="43" xr:uid="{89954491-C0E9-4119-8843-270ACDBC127F}"/>
    <cellStyle name="Comma 8" xfId="59" xr:uid="{23E5AEAA-E903-4EA2-8CD6-9C2702EABA70}"/>
    <cellStyle name="Currency" xfId="1" builtinId="4"/>
    <cellStyle name="Currency 2" xfId="7" xr:uid="{00000000-0005-0000-0000-000009000000}"/>
    <cellStyle name="Currency 2 2" xfId="30" xr:uid="{00000000-0005-0000-0000-00000A000000}"/>
    <cellStyle name="Currency 2 2 2" xfId="37" xr:uid="{00000000-0005-0000-0000-00000B000000}"/>
    <cellStyle name="Currency 2 3" xfId="33" xr:uid="{00000000-0005-0000-0000-00000C000000}"/>
    <cellStyle name="Currency 2 4" xfId="27" xr:uid="{00000000-0005-0000-0000-00000D000000}"/>
    <cellStyle name="Currency 2 5" xfId="45" xr:uid="{5CD04C3B-2D06-4615-BF1A-C5A517123806}"/>
    <cellStyle name="Currency 2 6" xfId="58" xr:uid="{9CCC4967-F1D5-4ABA-ACFE-3D977966BEEA}"/>
    <cellStyle name="Currency 2 7" xfId="63" xr:uid="{60ED7A2E-7143-43D8-AC18-63B3734B3193}"/>
    <cellStyle name="Currency 2 8" xfId="64" xr:uid="{BA72E458-AB02-423F-A9C2-05D17172B98C}"/>
    <cellStyle name="Currency 3" xfId="12" xr:uid="{00000000-0005-0000-0000-00000E000000}"/>
    <cellStyle name="Currency 3 2" xfId="36" xr:uid="{00000000-0005-0000-0000-00000F000000}"/>
    <cellStyle name="Currency 3 3" xfId="29" xr:uid="{00000000-0005-0000-0000-000010000000}"/>
    <cellStyle name="Currency 3 4" xfId="47" xr:uid="{117D2E48-B0DE-4274-A5E6-E325151A5F05}"/>
    <cellStyle name="Currency 4" xfId="25" xr:uid="{00000000-0005-0000-0000-000011000000}"/>
    <cellStyle name="Currency 4 2" xfId="32" xr:uid="{00000000-0005-0000-0000-000012000000}"/>
    <cellStyle name="Currency 5" xfId="26" xr:uid="{00000000-0005-0000-0000-000013000000}"/>
    <cellStyle name="Currency 6" xfId="38" xr:uid="{AB1BD04A-D7AD-459A-912C-7D28193EC808}"/>
    <cellStyle name="Currency 7" xfId="44" xr:uid="{B6A84F02-6F9A-4094-8899-F2A1B419A0D3}"/>
    <cellStyle name="Currency 8" xfId="50" xr:uid="{53679859-B585-4A3B-8A40-8A9771ACF9D8}"/>
    <cellStyle name="Currency 8 2" xfId="55" xr:uid="{DA2C6E16-A95B-4516-BCB3-BCCA16D178DA}"/>
    <cellStyle name="Good" xfId="48" builtinId="26"/>
    <cellStyle name="Hyperlink" xfId="66" builtinId="8"/>
    <cellStyle name="Normal" xfId="0" builtinId="0"/>
    <cellStyle name="Normal 10" xfId="21" xr:uid="{00000000-0005-0000-0000-000015000000}"/>
    <cellStyle name="Normal 11" xfId="3" xr:uid="{00000000-0005-0000-0000-000016000000}"/>
    <cellStyle name="Normal 12" xfId="41" xr:uid="{6AA48334-56C8-48BD-AFFE-8437713A2FF4}"/>
    <cellStyle name="Normal 13" xfId="49" xr:uid="{2F1A4196-C4F3-4C05-B85B-304986488F05}"/>
    <cellStyle name="Normal 13 2" xfId="53" xr:uid="{E2B6C98C-473A-4130-B02F-FE7D134F3BFA}"/>
    <cellStyle name="Normal 13 2 2" xfId="54" xr:uid="{84E83DBB-83B0-4EA7-A8CA-6C11A78159AA}"/>
    <cellStyle name="Normal 14" xfId="65" xr:uid="{A80E5B12-049D-4679-9F25-C782BBA0AD16}"/>
    <cellStyle name="Normal 2" xfId="5" xr:uid="{00000000-0005-0000-0000-000017000000}"/>
    <cellStyle name="Normal 2 2" xfId="13" xr:uid="{00000000-0005-0000-0000-000018000000}"/>
    <cellStyle name="Normal 2 3" xfId="24" xr:uid="{00000000-0005-0000-0000-000019000000}"/>
    <cellStyle name="Normal 2 4" xfId="57" xr:uid="{8CBFE14B-1A35-4E65-9C2B-36E1ECBDEABD}"/>
    <cellStyle name="Normal 2 5" xfId="61" xr:uid="{B02B3115-2437-44C3-BE00-3005BA3621A3}"/>
    <cellStyle name="Normal 3" xfId="4" xr:uid="{00000000-0005-0000-0000-00001A000000}"/>
    <cellStyle name="Normal 4" xfId="6" xr:uid="{00000000-0005-0000-0000-00001B000000}"/>
    <cellStyle name="Normal 5" xfId="8" xr:uid="{00000000-0005-0000-0000-00001C000000}"/>
    <cellStyle name="Normal 6" xfId="9" xr:uid="{00000000-0005-0000-0000-00001D000000}"/>
    <cellStyle name="Normal 7" xfId="11" xr:uid="{00000000-0005-0000-0000-00001E000000}"/>
    <cellStyle name="Normal 8" xfId="14" xr:uid="{00000000-0005-0000-0000-00001F000000}"/>
    <cellStyle name="Normal 9" xfId="18" xr:uid="{00000000-0005-0000-0000-000020000000}"/>
    <cellStyle name="Percent" xfId="2" builtinId="5"/>
    <cellStyle name="Percent 10" xfId="60" xr:uid="{4CA2BAC7-FCE4-45C4-ABE5-3F0D3C22D3B8}"/>
    <cellStyle name="Percent 2" xfId="16" xr:uid="{00000000-0005-0000-0000-000022000000}"/>
    <cellStyle name="Percent 2 2" xfId="62" xr:uid="{9AC811AA-4CEE-4517-9B46-28B64958D37E}"/>
    <cellStyle name="Percent 3" xfId="17" xr:uid="{00000000-0005-0000-0000-000023000000}"/>
    <cellStyle name="Percent 4" xfId="20" xr:uid="{00000000-0005-0000-0000-000024000000}"/>
    <cellStyle name="Percent 5" xfId="23" xr:uid="{00000000-0005-0000-0000-000025000000}"/>
    <cellStyle name="Percent 6" xfId="40" xr:uid="{E26E4838-9687-4997-8EA2-86886548B540}"/>
    <cellStyle name="Percent 7" xfId="42" xr:uid="{6A16C0BD-A9DD-40FC-AD9D-D1B15002B460}"/>
    <cellStyle name="Percent 8" xfId="51" xr:uid="{3A15A40D-3B16-4BB7-8528-91AF3E8B8500}"/>
    <cellStyle name="Percent 9" xfId="56" xr:uid="{CD580576-27C5-44E9-A027-01A3020C3140}"/>
  </cellStyles>
  <dxfs count="149"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53DDDD"/>
      <color rgb="FF122B82"/>
      <color rgb="FFF3384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1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3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2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styles" Target="styles.xml"/><Relationship Id="rId30" Type="http://schemas.microsoft.com/office/2017/10/relationships/person" Target="persons/person.xml"/><Relationship Id="rId35" Type="http://schemas.openxmlformats.org/officeDocument/2006/relationships/customXml" Target="../customXml/item3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2000" b="1"/>
              <a:t>Budget</a:t>
            </a:r>
            <a:r>
              <a:rPr lang="en-AU" sz="2000" b="1" baseline="0"/>
              <a:t> vs Rolling Forecast</a:t>
            </a:r>
            <a:endParaRPr lang="en-AU" sz="2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Sheet1!$B$19</c:f>
              <c:strCache>
                <c:ptCount val="1"/>
                <c:pt idx="0">
                  <c:v>Support Budget</c:v>
                </c:pt>
              </c:strCache>
            </c:strRef>
          </c:tx>
          <c:spPr>
            <a:ln w="28575" cap="rnd">
              <a:solidFill>
                <a:srgbClr val="F33844"/>
              </a:solidFill>
              <a:round/>
            </a:ln>
            <a:effectLst/>
          </c:spPr>
          <c:marker>
            <c:symbol val="none"/>
          </c:marker>
          <c:cat>
            <c:numRef>
              <c:f>Sheet1!$A$20:$A$31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Sheet1!$B$20:$B$31</c:f>
              <c:numCache>
                <c:formatCode>_(* #,##0.00_);_(* \(#,##0.00\);_(* "-"??_);_(@_)</c:formatCode>
                <c:ptCount val="12"/>
                <c:pt idx="0">
                  <c:v>250360.46</c:v>
                </c:pt>
                <c:pt idx="1">
                  <c:v>249340.46</c:v>
                </c:pt>
                <c:pt idx="2">
                  <c:v>241360.46</c:v>
                </c:pt>
                <c:pt idx="3">
                  <c:v>242840.46</c:v>
                </c:pt>
                <c:pt idx="4">
                  <c:v>243860.46</c:v>
                </c:pt>
                <c:pt idx="5">
                  <c:v>243520.46</c:v>
                </c:pt>
                <c:pt idx="6">
                  <c:v>248860.46</c:v>
                </c:pt>
                <c:pt idx="7">
                  <c:v>248520.46</c:v>
                </c:pt>
                <c:pt idx="8">
                  <c:v>249540.46</c:v>
                </c:pt>
                <c:pt idx="9">
                  <c:v>249200.46</c:v>
                </c:pt>
                <c:pt idx="10">
                  <c:v>249540.46</c:v>
                </c:pt>
                <c:pt idx="11">
                  <c:v>237720.46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60-4A94-83DC-ACFA468E7FC5}"/>
            </c:ext>
          </c:extLst>
        </c:ser>
        <c:ser>
          <c:idx val="1"/>
          <c:order val="1"/>
          <c:tx>
            <c:strRef>
              <c:f>Sheet1!$C$19</c:f>
              <c:strCache>
                <c:ptCount val="1"/>
                <c:pt idx="0">
                  <c:v>Production Budget</c:v>
                </c:pt>
              </c:strCache>
            </c:strRef>
          </c:tx>
          <c:spPr>
            <a:ln w="28575" cap="rnd">
              <a:solidFill>
                <a:srgbClr val="53DDDD"/>
              </a:solidFill>
              <a:round/>
            </a:ln>
            <a:effectLst/>
          </c:spPr>
          <c:marker>
            <c:symbol val="none"/>
          </c:marker>
          <c:cat>
            <c:numRef>
              <c:f>Sheet1!$A$20:$A$31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Sheet1!$C$20:$C$31</c:f>
              <c:numCache>
                <c:formatCode>_(* #,##0.00_);_(* \(#,##0.00\);_(* "-"??_);_(@_)</c:formatCode>
                <c:ptCount val="12"/>
                <c:pt idx="0">
                  <c:v>46825</c:v>
                </c:pt>
                <c:pt idx="1">
                  <c:v>298950</c:v>
                </c:pt>
                <c:pt idx="2">
                  <c:v>170580</c:v>
                </c:pt>
                <c:pt idx="3">
                  <c:v>749300</c:v>
                </c:pt>
                <c:pt idx="4">
                  <c:v>316250</c:v>
                </c:pt>
                <c:pt idx="5">
                  <c:v>106490</c:v>
                </c:pt>
                <c:pt idx="6">
                  <c:v>31860</c:v>
                </c:pt>
                <c:pt idx="7">
                  <c:v>303900</c:v>
                </c:pt>
                <c:pt idx="8">
                  <c:v>156100</c:v>
                </c:pt>
                <c:pt idx="9">
                  <c:v>78400</c:v>
                </c:pt>
                <c:pt idx="10">
                  <c:v>134375</c:v>
                </c:pt>
                <c:pt idx="11">
                  <c:v>167050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60-4A94-83DC-ACFA468E7FC5}"/>
            </c:ext>
          </c:extLst>
        </c:ser>
        <c:ser>
          <c:idx val="2"/>
          <c:order val="2"/>
          <c:tx>
            <c:strRef>
              <c:f>Sheet1!$D$19</c:f>
              <c:strCache>
                <c:ptCount val="1"/>
                <c:pt idx="0">
                  <c:v>Consulting Budget</c:v>
                </c:pt>
              </c:strCache>
            </c:strRef>
          </c:tx>
          <c:spPr>
            <a:ln w="28575" cap="rnd">
              <a:solidFill>
                <a:srgbClr val="122B82"/>
              </a:solidFill>
              <a:round/>
            </a:ln>
            <a:effectLst/>
          </c:spPr>
          <c:marker>
            <c:symbol val="none"/>
          </c:marker>
          <c:cat>
            <c:numRef>
              <c:f>Sheet1!$A$20:$A$31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Sheet1!$D$20:$D$31</c:f>
              <c:numCache>
                <c:formatCode>_(* #,##0.00_);_(* \(#,##0.00\);_(* "-"??_);_(@_)</c:formatCode>
                <c:ptCount val="12"/>
                <c:pt idx="0">
                  <c:v>69527</c:v>
                </c:pt>
                <c:pt idx="1">
                  <c:v>80527</c:v>
                </c:pt>
                <c:pt idx="2">
                  <c:v>52027</c:v>
                </c:pt>
                <c:pt idx="3">
                  <c:v>79027</c:v>
                </c:pt>
                <c:pt idx="4">
                  <c:v>69027</c:v>
                </c:pt>
                <c:pt idx="5">
                  <c:v>38527</c:v>
                </c:pt>
                <c:pt idx="6">
                  <c:v>37027</c:v>
                </c:pt>
                <c:pt idx="7">
                  <c:v>80027</c:v>
                </c:pt>
                <c:pt idx="8">
                  <c:v>72027</c:v>
                </c:pt>
                <c:pt idx="9">
                  <c:v>61527</c:v>
                </c:pt>
                <c:pt idx="10">
                  <c:v>51500</c:v>
                </c:pt>
                <c:pt idx="11">
                  <c:v>65500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660-4A94-83DC-ACFA468E7FC5}"/>
            </c:ext>
          </c:extLst>
        </c:ser>
        <c:ser>
          <c:idx val="3"/>
          <c:order val="3"/>
          <c:tx>
            <c:strRef>
              <c:f>Sheet1!$E$19</c:f>
              <c:strCache>
                <c:ptCount val="1"/>
                <c:pt idx="0">
                  <c:v>Support Forecast</c:v>
                </c:pt>
              </c:strCache>
            </c:strRef>
          </c:tx>
          <c:spPr>
            <a:ln w="28575" cap="rnd">
              <a:solidFill>
                <a:srgbClr val="F33844"/>
              </a:solidFill>
              <a:prstDash val="lgDash"/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8575" cap="rnd">
                <a:solidFill>
                  <a:srgbClr val="F33844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C660-4A94-83DC-ACFA468E7FC5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rgbClr val="F33844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C660-4A94-83DC-ACFA468E7FC5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28575" cap="rnd">
                <a:solidFill>
                  <a:srgbClr val="F33844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C660-4A94-83DC-ACFA468E7FC5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28575" cap="rnd">
                <a:solidFill>
                  <a:srgbClr val="F33844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0-EAAF-4002-A78F-D56D006D017A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28575" cap="rnd">
                <a:solidFill>
                  <a:srgbClr val="F33844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EAAF-4002-A78F-D56D006D017A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28575" cap="rnd">
                <a:solidFill>
                  <a:srgbClr val="F33844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E-EAAF-4002-A78F-D56D006D017A}"/>
              </c:ext>
            </c:extLst>
          </c:dPt>
          <c:cat>
            <c:numRef>
              <c:f>Sheet1!$A$20:$A$31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Sheet1!$E$20:$E$31</c:f>
              <c:numCache>
                <c:formatCode>_(* #,##0.00_);_(* \(#,##0.00\);_(* "-"??_);_(@_)</c:formatCode>
                <c:ptCount val="12"/>
                <c:pt idx="0">
                  <c:v>230051.49</c:v>
                </c:pt>
                <c:pt idx="1">
                  <c:v>222694.94999999998</c:v>
                </c:pt>
                <c:pt idx="2">
                  <c:v>231214.00999999998</c:v>
                </c:pt>
                <c:pt idx="3">
                  <c:v>221948.09000000003</c:v>
                </c:pt>
                <c:pt idx="4">
                  <c:v>229035.14</c:v>
                </c:pt>
                <c:pt idx="5">
                  <c:v>233853.71</c:v>
                </c:pt>
                <c:pt idx="6">
                  <c:v>193910.46</c:v>
                </c:pt>
                <c:pt idx="7">
                  <c:v>197600.46</c:v>
                </c:pt>
                <c:pt idx="8">
                  <c:v>223304.56</c:v>
                </c:pt>
                <c:pt idx="9">
                  <c:v>221162.62</c:v>
                </c:pt>
                <c:pt idx="10">
                  <c:v>233092.62</c:v>
                </c:pt>
                <c:pt idx="11">
                  <c:v>221272.62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660-4A94-83DC-ACFA468E7FC5}"/>
            </c:ext>
          </c:extLst>
        </c:ser>
        <c:ser>
          <c:idx val="4"/>
          <c:order val="4"/>
          <c:tx>
            <c:strRef>
              <c:f>Sheet1!$F$19</c:f>
              <c:strCache>
                <c:ptCount val="1"/>
                <c:pt idx="0">
                  <c:v>Production Forecast</c:v>
                </c:pt>
              </c:strCache>
            </c:strRef>
          </c:tx>
          <c:spPr>
            <a:ln w="28575" cap="rnd">
              <a:solidFill>
                <a:srgbClr val="53DDDD"/>
              </a:solidFill>
              <a:prstDash val="lgDash"/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rgbClr val="53DDDD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C660-4A94-83DC-ACFA468E7FC5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28575" cap="rnd">
                <a:solidFill>
                  <a:srgbClr val="53DDDD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C660-4A94-83DC-ACFA468E7FC5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28575" cap="rnd">
                <a:solidFill>
                  <a:srgbClr val="53DDDD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EAAF-4002-A78F-D56D006D017A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28575" cap="rnd">
                <a:solidFill>
                  <a:srgbClr val="53DDDD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2-EAAF-4002-A78F-D56D006D017A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28575" cap="rnd">
                <a:solidFill>
                  <a:srgbClr val="53DDDD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EAAF-4002-A78F-D56D006D017A}"/>
              </c:ext>
            </c:extLst>
          </c:dPt>
          <c:cat>
            <c:numRef>
              <c:f>Sheet1!$A$20:$A$31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Sheet1!$F$20:$F$31</c:f>
              <c:numCache>
                <c:formatCode>_(* #,##0.00_);_(* \(#,##0.00\);_(* "-"??_);_(@_)</c:formatCode>
                <c:ptCount val="12"/>
                <c:pt idx="0">
                  <c:v>49635.14</c:v>
                </c:pt>
                <c:pt idx="1">
                  <c:v>302890.78000000003</c:v>
                </c:pt>
                <c:pt idx="2">
                  <c:v>95358.5</c:v>
                </c:pt>
                <c:pt idx="3">
                  <c:v>776911.15</c:v>
                </c:pt>
                <c:pt idx="4">
                  <c:v>253388.38999999996</c:v>
                </c:pt>
                <c:pt idx="5">
                  <c:v>96218.489999999991</c:v>
                </c:pt>
                <c:pt idx="6">
                  <c:v>26360</c:v>
                </c:pt>
                <c:pt idx="7">
                  <c:v>294500</c:v>
                </c:pt>
                <c:pt idx="8">
                  <c:v>148700</c:v>
                </c:pt>
                <c:pt idx="9">
                  <c:v>103400</c:v>
                </c:pt>
                <c:pt idx="10">
                  <c:v>151300</c:v>
                </c:pt>
                <c:pt idx="11">
                  <c:v>147550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660-4A94-83DC-ACFA468E7FC5}"/>
            </c:ext>
          </c:extLst>
        </c:ser>
        <c:ser>
          <c:idx val="5"/>
          <c:order val="5"/>
          <c:tx>
            <c:strRef>
              <c:f>Sheet1!$G$19</c:f>
              <c:strCache>
                <c:ptCount val="1"/>
                <c:pt idx="0">
                  <c:v>Consulting Forecast</c:v>
                </c:pt>
              </c:strCache>
            </c:strRef>
          </c:tx>
          <c:spPr>
            <a:ln w="28575" cap="rnd">
              <a:solidFill>
                <a:srgbClr val="122B82"/>
              </a:solidFill>
              <a:prstDash val="lgDash"/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rgbClr val="122B82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C660-4A94-83DC-ACFA468E7FC5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28575" cap="rnd">
                <a:solidFill>
                  <a:srgbClr val="122B82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A-C660-4A94-83DC-ACFA468E7FC5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28575" cap="rnd">
                <a:solidFill>
                  <a:srgbClr val="122B82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4-EAAF-4002-A78F-D56D006D017A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28575" cap="rnd">
                <a:solidFill>
                  <a:srgbClr val="122B82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EAAF-4002-A78F-D56D006D017A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28575" cap="rnd">
                <a:solidFill>
                  <a:srgbClr val="122B82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6-EAAF-4002-A78F-D56D006D017A}"/>
              </c:ext>
            </c:extLst>
          </c:dPt>
          <c:cat>
            <c:numRef>
              <c:f>Sheet1!$A$20:$A$31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Sheet1!$G$20:$G$31</c:f>
              <c:numCache>
                <c:formatCode>_(* #,##0.00_);_(* \(#,##0.00\);_(* "-"??_);_(@_)</c:formatCode>
                <c:ptCount val="12"/>
                <c:pt idx="0">
                  <c:v>41121.43</c:v>
                </c:pt>
                <c:pt idx="1">
                  <c:v>25865.16</c:v>
                </c:pt>
                <c:pt idx="2">
                  <c:v>29750.720000000008</c:v>
                </c:pt>
                <c:pt idx="3">
                  <c:v>36702.62000000001</c:v>
                </c:pt>
                <c:pt idx="4">
                  <c:v>24123.650000000012</c:v>
                </c:pt>
                <c:pt idx="5">
                  <c:v>22816.110000000008</c:v>
                </c:pt>
                <c:pt idx="6">
                  <c:v>52896.785000000003</c:v>
                </c:pt>
                <c:pt idx="7">
                  <c:v>105726.785</c:v>
                </c:pt>
                <c:pt idx="8">
                  <c:v>272880</c:v>
                </c:pt>
                <c:pt idx="9">
                  <c:v>81380</c:v>
                </c:pt>
                <c:pt idx="10">
                  <c:v>68353</c:v>
                </c:pt>
                <c:pt idx="11">
                  <c:v>1122853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660-4A94-83DC-ACFA468E7F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3341088"/>
        <c:axId val="1303334848"/>
      </c:lineChart>
      <c:dateAx>
        <c:axId val="130334108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3334848"/>
        <c:crosses val="autoZero"/>
        <c:auto val="1"/>
        <c:lblOffset val="100"/>
        <c:baseTimeUnit val="months"/>
      </c:dateAx>
      <c:valAx>
        <c:axId val="1303334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3341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ocumenttasks/documenttask1.xml><?xml version="1.0" encoding="utf-8"?>
<Tasks xmlns="http://schemas.microsoft.com/office/tasks/2019/documenttasks">
  <Task id="{8B1AF064-D349-43A5-9861-252E4413DB41}">
    <Anchor>
      <Comment id="{006C2716-1F01-43C1-9D82-AD0817B1143F}"/>
    </Anchor>
    <History>
      <Event time="2026-06-22T00:40:06.31" id="{309A2915-1CAD-4DB9-9BEB-9CBA3F0CB6E9}">
        <Attribution userId="S::Gianmaria.Gonzales-Yao@ctsav.com.au::fbff0e3a-cdfc-406b-9468-aea47ffa91d6" userName="Gianmaria  Gonzales-Yao" userProvider="AD"/>
        <Anchor>
          <Comment id="{006C2716-1F01-43C1-9D82-AD0817B1143F}"/>
        </Anchor>
        <Create/>
      </Event>
      <Event time="2026-06-22T00:40:06.31" id="{568D55D5-4512-46D5-8C51-B4D8DFA9F7EC}">
        <Attribution userId="S::Gianmaria.Gonzales-Yao@ctsav.com.au::fbff0e3a-cdfc-406b-9468-aea47ffa91d6" userName="Gianmaria  Gonzales-Yao" userProvider="AD"/>
        <Anchor>
          <Comment id="{006C2716-1F01-43C1-9D82-AD0817B1143F}"/>
        </Anchor>
        <Assign userId="S::jordan.sexty@ctsav.com.au::6c63b1f0-9d89-4916-9311-0afa5abcb7c8" userName="Jordan Sexty" userProvider="AD"/>
      </Event>
      <Event time="2026-06-22T00:40:06.31" id="{1B79AD48-352E-47BA-A4C7-1D57238FA004}">
        <Attribution userId="S::Gianmaria.Gonzales-Yao@ctsav.com.au::fbff0e3a-cdfc-406b-9468-aea47ffa91d6" userName="Gianmaria  Gonzales-Yao" userProvider="AD"/>
        <Anchor>
          <Comment id="{006C2716-1F01-43C1-9D82-AD0817B1143F}"/>
        </Anchor>
        <SetTitle title="@Jordan Sexty could you please advise what else falls under ESG so we can check if 3k per month is too much or not enough?"/>
      </Event>
    </History>
  </Task>
  <Task id="{A9F6CC9B-3B98-4C4C-B6F1-4EE4FAF1DD53}">
    <Anchor>
      <Comment id="{E543D22C-DBB6-4A90-8CAB-65E2D34BA623}"/>
    </Anchor>
    <History>
      <Event time="2026-06-22T00:57:29.79" id="{BE90A50E-BBB9-4C52-A0BB-72709F0474F3}">
        <Attribution userId="S::Gianmaria.Gonzales-Yao@ctsav.com.au::fbff0e3a-cdfc-406b-9468-aea47ffa91d6" userName="Gianmaria  Gonzales-Yao" userProvider="AD"/>
        <Anchor>
          <Comment id="{E543D22C-DBB6-4A90-8CAB-65E2D34BA623}"/>
        </Anchor>
        <Create/>
      </Event>
      <Event time="2026-06-22T00:57:29.79" id="{94199163-9041-4836-86CF-5AEF63EA4364}">
        <Attribution userId="S::Gianmaria.Gonzales-Yao@ctsav.com.au::fbff0e3a-cdfc-406b-9468-aea47ffa91d6" userName="Gianmaria  Gonzales-Yao" userProvider="AD"/>
        <Anchor>
          <Comment id="{E543D22C-DBB6-4A90-8CAB-65E2D34BA623}"/>
        </Anchor>
        <Assign userId="S::emelda.waiya@ctsav.com.au::5f1b5daf-ba38-4116-a7a8-c6b44de8fb26" userName="Emelda Waiya" userProvider="AD"/>
      </Event>
      <Event time="2026-06-22T00:57:29.79" id="{66152FDB-F020-4C31-854A-06E583D4A75B}">
        <Attribution userId="S::Gianmaria.Gonzales-Yao@ctsav.com.au::fbff0e3a-cdfc-406b-9468-aea47ffa91d6" userName="Gianmaria  Gonzales-Yao" userProvider="AD"/>
        <Anchor>
          <Comment id="{E543D22C-DBB6-4A90-8CAB-65E2D34BA623}"/>
        </Anchor>
        <SetTitle title="@Emelda Waiya to cancel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586740</xdr:colOff>
      <xdr:row>16</xdr:row>
      <xdr:rowOff>171449</xdr:rowOff>
    </xdr:from>
    <xdr:to>
      <xdr:col>19</xdr:col>
      <xdr:colOff>19050</xdr:colOff>
      <xdr:row>44</xdr:row>
      <xdr:rowOff>87629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DAF0361-BDE2-6B66-25BA-D0E529678F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128</xdr:row>
      <xdr:rowOff>0</xdr:rowOff>
    </xdr:from>
    <xdr:to>
      <xdr:col>6</xdr:col>
      <xdr:colOff>482868</xdr:colOff>
      <xdr:row>154</xdr:row>
      <xdr:rowOff>54426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30E7ED7-CEAE-AC12-AD6C-BE27965920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492855"/>
          <a:ext cx="8428450" cy="454953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orptechservices-my.sharepoint.com/personal/marjay_pangan_corptechservices_com_au/Documents/CTS/30092019/2019-09%20-%20Utilisation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03%20Forecasts/FY2027/COS%20Analysis%20for%20Budget%20&amp;%20Forecast%20FY2027.xlsx" TargetMode="External"/><Relationship Id="rId2" Type="http://schemas.openxmlformats.org/officeDocument/2006/relationships/externalLinkPath" Target="https://corptechservices.sharepoint.com/sites/CTSNASAccountsYBackup/Shared%20Documents/CTS%20Financial%20Reports/Forecasts/FY2027/COS%20Analysis%20for%20Budget%20&amp;%20Forecast%20FY2027.xlsx" TargetMode="External"/><Relationship Id="rId1" Type="http://schemas.openxmlformats.org/officeDocument/2006/relationships/externalLinkPath" Target="/sites/CTSNASAccountsYBackup/Shared%20Documents/06%20Financial%20Reporting/03%20Forecasts/FY2027/COS%20Analysis%20for%20Budget%20&amp;%20Forecast%20FY2027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03%20Forecasts/FY2027/COS%20Analysis%20for%20Budget%20&amp;%20Forecast.xlsx" TargetMode="External"/><Relationship Id="rId2" Type="http://schemas.openxmlformats.org/officeDocument/2006/relationships/externalLinkPath" Target="https://corptechservices.sharepoint.com/sites/CTSNASAccountsYBackup/Shared%20Documents/CTS%20Financial%20Reports/Forecasts/FY2027/COS%20Analysis%20for%20Budget%20&amp;%20Forecast.xlsx" TargetMode="External"/><Relationship Id="rId1" Type="http://schemas.openxmlformats.org/officeDocument/2006/relationships/externalLinkPath" Target="/sites/CTSNASAccountsYBackup/Shared%20Documents/06%20Financial%20Reporting/03%20Forecasts/FY2027/COS%20Analysis%20for%20Budget%20&amp;%20Foreca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Non-Chargeable"/>
      <sheetName val="All hours"/>
      <sheetName val="CBA"/>
      <sheetName val="Westpac"/>
      <sheetName val="Roger"/>
      <sheetName val="Sheet1"/>
      <sheetName val="report"/>
      <sheetName val="Lookup"/>
      <sheetName val="Production (2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Y2025"/>
      <sheetName val="FY2026"/>
      <sheetName val="Average of FYs"/>
    </sheetNames>
    <sheetDataSet>
      <sheetData sheetId="0"/>
      <sheetData sheetId="1"/>
      <sheetData sheetId="2">
        <row r="5">
          <cell r="R5">
            <v>-1188.7230000000002</v>
          </cell>
          <cell r="S5">
            <v>-991.06600000000014</v>
          </cell>
          <cell r="T5">
            <v>-2214.4794000000006</v>
          </cell>
          <cell r="U5">
            <v>-1026.6731000000002</v>
          </cell>
          <cell r="V5">
            <v>-1170.5177500000002</v>
          </cell>
          <cell r="W5">
            <v>-1170.4971500000001</v>
          </cell>
          <cell r="X5">
            <v>-1254.81295</v>
          </cell>
          <cell r="Y5">
            <v>-1170.5126</v>
          </cell>
          <cell r="Z5">
            <v>-1104.3402500000002</v>
          </cell>
          <cell r="AA5">
            <v>-1104.44325</v>
          </cell>
          <cell r="AB5">
            <v>-1070.7725500000001</v>
          </cell>
          <cell r="AC5">
            <v>-988.08930000000009</v>
          </cell>
        </row>
        <row r="6">
          <cell r="R6">
            <v>-25.75</v>
          </cell>
          <cell r="S6">
            <v>-253.21520000000001</v>
          </cell>
          <cell r="T6">
            <v>-64.683999999999997</v>
          </cell>
          <cell r="U6">
            <v>-1630.46425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-124.81025</v>
          </cell>
          <cell r="AA6">
            <v>-113.88195</v>
          </cell>
          <cell r="AB6">
            <v>-67.887299999999996</v>
          </cell>
          <cell r="AC6">
            <v>0</v>
          </cell>
        </row>
        <row r="11">
          <cell r="R11">
            <v>-10238.7871</v>
          </cell>
          <cell r="S11">
            <v>-55548.319827999992</v>
          </cell>
          <cell r="T11">
            <v>-16032.470149999999</v>
          </cell>
          <cell r="U11">
            <v>-267058.70384999999</v>
          </cell>
          <cell r="V11">
            <v>-35037.5821</v>
          </cell>
          <cell r="W11">
            <v>-24005.34995</v>
          </cell>
          <cell r="X11">
            <v>-7406.4776499999998</v>
          </cell>
          <cell r="Y11">
            <v>-55206.171750000001</v>
          </cell>
          <cell r="Z11">
            <v>-13443.498199999998</v>
          </cell>
          <cell r="AA11">
            <v>-14367.403049999999</v>
          </cell>
          <cell r="AB11">
            <v>-17571.516749999999</v>
          </cell>
          <cell r="AC11">
            <v>-20102.061950000003</v>
          </cell>
        </row>
        <row r="12">
          <cell r="R12">
            <v>-1875.7020999999997</v>
          </cell>
          <cell r="S12">
            <v>-7892.2822999999989</v>
          </cell>
          <cell r="T12">
            <v>-4853.0509999999986</v>
          </cell>
          <cell r="U12">
            <v>-26952.6692</v>
          </cell>
          <cell r="V12">
            <v>-10474.337800000007</v>
          </cell>
          <cell r="W12">
            <v>-3222.36015</v>
          </cell>
          <cell r="X12">
            <v>-644.54309999999998</v>
          </cell>
          <cell r="Y12">
            <v>-7542.8856999999989</v>
          </cell>
          <cell r="Z12">
            <v>-3319.9784</v>
          </cell>
          <cell r="AA12">
            <v>-2012.1719500000006</v>
          </cell>
          <cell r="AB12">
            <v>-3706.2541500000002</v>
          </cell>
          <cell r="AC12">
            <v>-3259.1208499999998</v>
          </cell>
        </row>
        <row r="17">
          <cell r="R17">
            <v>-167.11750000000001</v>
          </cell>
          <cell r="S17">
            <v>-369.255</v>
          </cell>
          <cell r="T17">
            <v>-247.20000000000002</v>
          </cell>
          <cell r="U17">
            <v>0</v>
          </cell>
          <cell r="V17">
            <v>0</v>
          </cell>
          <cell r="W17">
            <v>-669.5</v>
          </cell>
          <cell r="X17">
            <v>0</v>
          </cell>
          <cell r="Y17">
            <v>-651.47500000000002</v>
          </cell>
          <cell r="Z17">
            <v>0</v>
          </cell>
          <cell r="AA17">
            <v>0</v>
          </cell>
          <cell r="AB17">
            <v>0</v>
          </cell>
          <cell r="AC17">
            <v>-672.71875</v>
          </cell>
        </row>
        <row r="18">
          <cell r="R18">
            <v>-161.81815000000003</v>
          </cell>
          <cell r="S18">
            <v>0</v>
          </cell>
          <cell r="T18">
            <v>-15.01225</v>
          </cell>
          <cell r="U18">
            <v>-627.65109999999993</v>
          </cell>
          <cell r="V18">
            <v>-277.56440000000003</v>
          </cell>
          <cell r="W18">
            <v>-9.3627000000000002</v>
          </cell>
          <cell r="X18">
            <v>0</v>
          </cell>
          <cell r="Y18">
            <v>-89.002300000000005</v>
          </cell>
          <cell r="Z18">
            <v>-63.695200000000007</v>
          </cell>
          <cell r="AA18">
            <v>-84.217950000000002</v>
          </cell>
          <cell r="AB18">
            <v>-79.938299999999998</v>
          </cell>
          <cell r="AC18">
            <v>-23.896000000000001</v>
          </cell>
        </row>
        <row r="24">
          <cell r="R24">
            <v>-645.20744999999999</v>
          </cell>
          <cell r="S24">
            <v>-58.030200000000008</v>
          </cell>
          <cell r="T24">
            <v>-49.2958</v>
          </cell>
          <cell r="U24">
            <v>-10.3</v>
          </cell>
          <cell r="V24">
            <v>-1390.52575</v>
          </cell>
          <cell r="W24">
            <v>-87.210099999999997</v>
          </cell>
          <cell r="X24">
            <v>-37.08</v>
          </cell>
          <cell r="Y24">
            <v>-41.2</v>
          </cell>
          <cell r="Z24">
            <v>-1100.7609999999997</v>
          </cell>
          <cell r="AA24">
            <v>-128.26075</v>
          </cell>
          <cell r="AB24">
            <v>-1101.17815</v>
          </cell>
          <cell r="AC24">
            <v>-3019.4964999999997</v>
          </cell>
        </row>
        <row r="30">
          <cell r="R30">
            <v>0</v>
          </cell>
          <cell r="S30">
            <v>0</v>
          </cell>
          <cell r="T30">
            <v>-546.56949999999995</v>
          </cell>
          <cell r="U30">
            <v>-276.80220000000003</v>
          </cell>
          <cell r="V30">
            <v>-355.03584999999998</v>
          </cell>
          <cell r="W30">
            <v>0</v>
          </cell>
          <cell r="X30">
            <v>-392.49695000000003</v>
          </cell>
          <cell r="Y30">
            <v>-29.118100000000002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Y2025"/>
      <sheetName val="FY2026"/>
      <sheetName val="Average of FYs"/>
    </sheetNames>
    <sheetDataSet>
      <sheetData sheetId="0" refreshError="1"/>
      <sheetData sheetId="1" refreshError="1"/>
      <sheetData sheetId="2">
        <row r="5">
          <cell r="R5">
            <v>-1188.7230000000002</v>
          </cell>
          <cell r="S5">
            <v>-991.06600000000014</v>
          </cell>
          <cell r="T5">
            <v>-2214.4794000000006</v>
          </cell>
          <cell r="U5">
            <v>-1026.6731000000002</v>
          </cell>
          <cell r="V5">
            <v>-1170.5177500000002</v>
          </cell>
          <cell r="W5">
            <v>-1170.4971500000001</v>
          </cell>
          <cell r="X5">
            <v>-1254.81295</v>
          </cell>
          <cell r="Y5">
            <v>-1170.5126</v>
          </cell>
          <cell r="Z5">
            <v>-1104.3402500000002</v>
          </cell>
          <cell r="AA5">
            <v>-1104.44325</v>
          </cell>
          <cell r="AB5">
            <v>-1070.7725500000001</v>
          </cell>
          <cell r="AC5">
            <v>-988.08930000000009</v>
          </cell>
        </row>
        <row r="6">
          <cell r="R6">
            <v>-25.75</v>
          </cell>
          <cell r="S6">
            <v>-253.21520000000001</v>
          </cell>
          <cell r="T6">
            <v>-64.683999999999997</v>
          </cell>
          <cell r="U6">
            <v>-1630.46425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-124.81025</v>
          </cell>
          <cell r="AA6">
            <v>-113.88195</v>
          </cell>
          <cell r="AB6">
            <v>-67.887299999999996</v>
          </cell>
          <cell r="AC6">
            <v>0</v>
          </cell>
        </row>
      </sheetData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Emelda Waiya" id="{A2F11CE6-23A6-40C6-B6E5-035177C30E9A}" userId="emelda.waiya@ctsav.com.au" providerId="PeoplePicker"/>
  <person displayName="Jordan Sexty" id="{CD842C59-8EEE-4580-ACDE-1384FFE83A8E}" userId="jordan.sexty@ctsav.com.au" providerId="PeoplePicker"/>
  <person displayName="Gianmaria  Gonzales-Yao" id="{967AD9CB-C72E-4C3A-952B-479701ED905A}" userId="Gianmaria.Gonzales-Yao@ctsav.com.au" providerId="PeoplePicker"/>
  <person displayName="Jordan Sexty" id="{AFC0B511-50B5-4351-B0A2-37FA76E1D646}" userId="S::jordan.sexty@ctsav.com.au::6c63b1f0-9d89-4916-9311-0afa5abcb7c8" providerId="AD"/>
  <person displayName="Gianmaria  Gonzales-Yao" id="{5CD8FB3E-056B-4FA4-9680-1615C40CADA7}" userId="S::Gianmaria.Gonzales-Yao@ctsav.com.au::fbff0e3a-cdfc-406b-9468-aea47ffa91d6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ianmaria  Gonzales-Yao" refreshedDate="46203.603201041667" createdVersion="8" refreshedVersion="8" minRefreshableVersion="3" recordCount="283" xr:uid="{32B53DA4-FCEE-42C8-B31F-A11489B1B380}">
  <cacheSource type="worksheet">
    <worksheetSource ref="A2:J285" sheet="Casual Pays FY26"/>
  </cacheSource>
  <cacheFields count="10">
    <cacheField name="Paid month" numFmtId="0">
      <sharedItems containsBlank="1" count="13">
        <s v="January 2026"/>
        <s v="February 2026"/>
        <s v="September 2025"/>
        <s v="October 2025"/>
        <s v="November 2025"/>
        <s v="December 2025"/>
        <s v="March 2026"/>
        <s v="April 2026"/>
        <s v="May 2026"/>
        <s v="June 2026"/>
        <s v="July 2025"/>
        <s v="August 2025"/>
        <m/>
      </sharedItems>
    </cacheField>
    <cacheField name="Employee ID" numFmtId="0">
      <sharedItems containsString="0" containsBlank="1" containsNumber="1" containsInteger="1" minValue="4745738" maxValue="13750237"/>
    </cacheField>
    <cacheField name="First name" numFmtId="0">
      <sharedItems containsBlank="1" count="49">
        <s v="Abel"/>
        <s v="Adam"/>
        <s v="Alana"/>
        <s v="Alex"/>
        <s v="Alexander"/>
        <s v="Amadeus"/>
        <s v="Anton"/>
        <s v="Cai"/>
        <s v="Caspar"/>
        <s v="David"/>
        <s v="Dimitri"/>
        <s v="Dylan"/>
        <s v="Ebrahim"/>
        <s v="Emily"/>
        <s v="Gabriela"/>
        <s v="Gary"/>
        <s v="Isabel"/>
        <s v="Jaazaniah"/>
        <s v="James"/>
        <s v="Jeffrey"/>
        <s v="Jeremy"/>
        <s v="John"/>
        <s v="Jonathan"/>
        <s v="Joshua"/>
        <s v="Juan Gabriel"/>
        <s v="Karl"/>
        <s v="Layla"/>
        <s v="Makomborero Mark"/>
        <s v="Mark"/>
        <s v="Matthew"/>
        <s v="Maximus"/>
        <s v="Minoli"/>
        <s v="Morgan"/>
        <s v="Peter"/>
        <s v="Raigardas"/>
        <s v="Roberto"/>
        <s v="Roger"/>
        <s v="Ruairidh"/>
        <s v="Ryan"/>
        <s v="Sangeeta"/>
        <s v="Simone"/>
        <s v="Stephen"/>
        <s v="Timothy"/>
        <s v="Vivek"/>
        <s v="Zach"/>
        <s v="Zed"/>
        <s v="Emmett"/>
        <s v="Patrick"/>
        <m/>
      </sharedItems>
    </cacheField>
    <cacheField name="Surname" numFmtId="0">
      <sharedItems containsBlank="1"/>
    </cacheField>
    <cacheField name="Employment Type" numFmtId="0">
      <sharedItems containsBlank="1"/>
    </cacheField>
    <cacheField name="Department" numFmtId="0">
      <sharedItems containsBlank="1" count="5">
        <s v="ONSITE"/>
        <s v="PRODUCTION"/>
        <s v="VIDEO"/>
        <s v="CONSULTING"/>
        <m/>
      </sharedItems>
    </cacheField>
    <cacheField name="Primary location" numFmtId="0">
      <sharedItems containsBlank="1"/>
    </cacheField>
    <cacheField name="Casual Ordinary Hours" numFmtId="0">
      <sharedItems containsString="0" containsBlank="1" containsNumber="1" minValue="65.02" maxValue="5998.2"/>
    </cacheField>
    <cacheField name="Total gross plus super" numFmtId="0">
      <sharedItems containsString="0" containsBlank="1" containsNumber="1" minValue="72.819999999999993" maxValue="7159.94"/>
    </cacheField>
    <cacheField name="Total hours" numFmtId="0">
      <sharedItems containsString="0" containsBlank="1" containsNumber="1" minValue="0" maxValue="17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3">
  <r>
    <x v="0"/>
    <n v="4745780"/>
    <x v="0"/>
    <s v="SAVIGE"/>
    <s v="Casual"/>
    <x v="0"/>
    <s v="CTS / ONSITE / PWC IT P/T BNE [ONS]"/>
    <n v="2831.39"/>
    <n v="3171.15"/>
    <n v="71.75"/>
  </r>
  <r>
    <x v="1"/>
    <n v="4745780"/>
    <x v="0"/>
    <s v="SAVIGE"/>
    <s v="Casual"/>
    <x v="0"/>
    <s v="CTS / ONSITE / PWC IT P/T BNE [ONS]"/>
    <n v="1578.47"/>
    <n v="1767.89"/>
    <n v="40"/>
  </r>
  <r>
    <x v="2"/>
    <n v="4745780"/>
    <x v="0"/>
    <s v="SAVIGE"/>
    <s v="Casual"/>
    <x v="0"/>
    <s v="CTS / ONSITE / KPMG BNE Tech [ONS]"/>
    <n v="4104.03"/>
    <n v="4596.51"/>
    <n v="104"/>
  </r>
  <r>
    <x v="3"/>
    <n v="4745780"/>
    <x v="0"/>
    <s v="SAVIGE"/>
    <s v="Casual"/>
    <x v="0"/>
    <s v="CTS / ONSITE / KPMG BNE Tech [ONS]"/>
    <n v="3926.46"/>
    <n v="4760.67"/>
    <n v="106"/>
  </r>
  <r>
    <x v="4"/>
    <n v="4745780"/>
    <x v="0"/>
    <s v="SAVIGE"/>
    <s v="Casual"/>
    <x v="0"/>
    <s v="CTS / ONSITE / KPMG BNE Tech [ONS]"/>
    <n v="3788.34"/>
    <n v="4242.9399999999996"/>
    <n v="96"/>
  </r>
  <r>
    <x v="5"/>
    <n v="4745780"/>
    <x v="0"/>
    <s v="SAVIGE"/>
    <s v="Casual"/>
    <x v="0"/>
    <s v="CTS / ONSITE / KPMG BNE Tech [ONS]"/>
    <n v="4419.72"/>
    <n v="5088.21"/>
    <n v="114.5"/>
  </r>
  <r>
    <x v="1"/>
    <n v="4745780"/>
    <x v="0"/>
    <s v="SAVIGE"/>
    <s v="Casual"/>
    <x v="0"/>
    <s v="CTS / ONSITE / PWC IT Support - Brisbane [ONS]"/>
    <n v="2426.9"/>
    <n v="2828.62"/>
    <n v="63.5"/>
  </r>
  <r>
    <x v="6"/>
    <n v="4745780"/>
    <x v="0"/>
    <s v="SAVIGE"/>
    <s v="Casual"/>
    <x v="0"/>
    <s v="CTS / ONSITE / PWC IT Support - Brisbane [ONS]"/>
    <n v="5998.2"/>
    <n v="7159.94"/>
    <n v="160"/>
  </r>
  <r>
    <x v="7"/>
    <n v="4745780"/>
    <x v="0"/>
    <s v="SAVIGE"/>
    <s v="Casual"/>
    <x v="0"/>
    <s v="CTS / ONSITE / PWC IT Support - Brisbane [ONS]"/>
    <n v="5524.66"/>
    <n v="6408.6"/>
    <n v="144"/>
  </r>
  <r>
    <x v="8"/>
    <n v="4745780"/>
    <x v="0"/>
    <s v="SAVIGE"/>
    <s v="Casual"/>
    <x v="0"/>
    <s v="CTS / ONSITE / PWC IT Support - Brisbane [ONS]"/>
    <n v="5445.73"/>
    <n v="6430.69"/>
    <n v="144"/>
  </r>
  <r>
    <x v="9"/>
    <n v="4745780"/>
    <x v="0"/>
    <s v="SAVIGE"/>
    <s v="Casual"/>
    <x v="0"/>
    <s v="CTS / ONSITE / PWC IT Support - Brisbane [ONS]"/>
    <n v="2209.86"/>
    <n v="2475.04"/>
    <n v="56"/>
  </r>
  <r>
    <x v="10"/>
    <n v="4745758"/>
    <x v="1"/>
    <s v="Arnou"/>
    <s v="Casual"/>
    <x v="1"/>
    <s v="CTS / PRODUCTION / PRODUCTION [PRD]"/>
    <n v="466.37"/>
    <n v="624.35"/>
    <n v="9.25"/>
  </r>
  <r>
    <x v="11"/>
    <n v="4745758"/>
    <x v="1"/>
    <s v="Arnou"/>
    <s v="Casual"/>
    <x v="1"/>
    <s v="CTS / PRODUCTION / PRODUCTION [PRD]"/>
    <n v="2404.6999999999998"/>
    <n v="2734.08"/>
    <n v="41.75"/>
  </r>
  <r>
    <x v="2"/>
    <n v="4745758"/>
    <x v="1"/>
    <s v="Arnou"/>
    <s v="Casual"/>
    <x v="1"/>
    <s v="CTS / PRODUCTION / PRODUCTION [PRD]"/>
    <n v="408.07"/>
    <n v="457.04"/>
    <n v="7"/>
  </r>
  <r>
    <x v="3"/>
    <n v="4745758"/>
    <x v="1"/>
    <s v="Arnou"/>
    <s v="Casual"/>
    <x v="1"/>
    <s v="CTS / PRODUCTION / PRODUCTION [PRD]"/>
    <n v="233.18"/>
    <n v="261.16000000000003"/>
    <n v="4"/>
  </r>
  <r>
    <x v="4"/>
    <n v="4745758"/>
    <x v="1"/>
    <s v="Arnou"/>
    <s v="Casual"/>
    <x v="1"/>
    <s v="CTS / PRODUCTION / PRODUCTION [PRD]"/>
    <n v="1807.18"/>
    <n v="2146.46"/>
    <n v="32.5"/>
  </r>
  <r>
    <x v="5"/>
    <n v="4745758"/>
    <x v="1"/>
    <s v="Arnou"/>
    <s v="Casual"/>
    <x v="1"/>
    <s v="CTS / PRODUCTION / PRODUCTION [PRD]"/>
    <n v="4547.07"/>
    <n v="6137.39"/>
    <n v="87.5"/>
  </r>
  <r>
    <x v="8"/>
    <n v="4745758"/>
    <x v="1"/>
    <s v="Arnou"/>
    <s v="Casual"/>
    <x v="1"/>
    <s v="CTS / PRODUCTION / PRODUCTION [PRD]"/>
    <n v="466.37"/>
    <n v="522.33000000000004"/>
    <n v="8"/>
  </r>
  <r>
    <x v="9"/>
    <n v="4745758"/>
    <x v="1"/>
    <s v="Arnou"/>
    <s v="Casual"/>
    <x v="1"/>
    <s v="CTS / PRODUCTION / PRODUCTION [PRD]"/>
    <n v="1384.53"/>
    <n v="1550.67"/>
    <n v="23.75"/>
  </r>
  <r>
    <x v="10"/>
    <n v="11258447"/>
    <x v="2"/>
    <s v="Carling"/>
    <s v="Casual"/>
    <x v="2"/>
    <s v="CTS / PRODUCTION / PRODUCTION [PRD]"/>
    <n v="152.47"/>
    <n v="170.77"/>
    <n v="4.25"/>
  </r>
  <r>
    <x v="5"/>
    <n v="11258447"/>
    <x v="2"/>
    <s v="Carling"/>
    <s v="Casual"/>
    <x v="2"/>
    <s v="CTS / PRODUCTION / PRODUCTION [PRD]"/>
    <n v="145"/>
    <n v="162.4"/>
    <n v="4"/>
  </r>
  <r>
    <x v="1"/>
    <n v="11258447"/>
    <x v="2"/>
    <s v="Carling"/>
    <s v="Casual"/>
    <x v="2"/>
    <s v="CTS / PRODUCTION / PRODUCTION [PRD]"/>
    <n v="652.5"/>
    <n v="730.8"/>
    <n v="18"/>
  </r>
  <r>
    <x v="6"/>
    <n v="11258447"/>
    <x v="2"/>
    <s v="Carling"/>
    <s v="Casual"/>
    <x v="2"/>
    <s v="CTS / PRODUCTION / PRODUCTION [PRD]"/>
    <n v="824.69"/>
    <n v="923.65"/>
    <n v="22.75"/>
  </r>
  <r>
    <x v="8"/>
    <n v="11258447"/>
    <x v="2"/>
    <s v="Carling"/>
    <s v="Casual"/>
    <x v="2"/>
    <s v="CTS / PRODUCTION / PRODUCTION [PRD]"/>
    <n v="543.75"/>
    <n v="634.38"/>
    <n v="15.5"/>
  </r>
  <r>
    <x v="9"/>
    <n v="11258447"/>
    <x v="2"/>
    <s v="Carling"/>
    <s v="Casual"/>
    <x v="2"/>
    <s v="CTS / PRODUCTION / PRODUCTION [PRD]"/>
    <n v="253.75"/>
    <n v="284.2"/>
    <n v="7"/>
  </r>
  <r>
    <x v="10"/>
    <n v="5557931"/>
    <x v="3"/>
    <s v="Gage"/>
    <s v="Casual"/>
    <x v="1"/>
    <s v="CTS / PRODUCTION / PRODUCTION [PRD]"/>
    <n v="65.02"/>
    <n v="72.819999999999993"/>
    <n v="0"/>
  </r>
  <r>
    <x v="11"/>
    <n v="5557931"/>
    <x v="3"/>
    <s v="Gage"/>
    <s v="Casual"/>
    <x v="1"/>
    <s v="CTS / PRODUCTION / PRODUCTION [PRD]"/>
    <n v="1807.16"/>
    <n v="2146.44"/>
    <n v="32.5"/>
  </r>
  <r>
    <x v="5"/>
    <n v="5557931"/>
    <x v="3"/>
    <s v="Gage"/>
    <s v="Casual"/>
    <x v="1"/>
    <s v="CTS / PRODUCTION / PRODUCTION [PRD]"/>
    <n v="1821.73"/>
    <n v="2121.96"/>
    <n v="32.25"/>
  </r>
  <r>
    <x v="1"/>
    <n v="5557931"/>
    <x v="3"/>
    <s v="Gage"/>
    <s v="Casual"/>
    <x v="1"/>
    <s v="CTS / PRODUCTION / PRODUCTION [PRD]"/>
    <n v="408.07"/>
    <n v="457.04"/>
    <n v="7"/>
  </r>
  <r>
    <x v="6"/>
    <n v="5557931"/>
    <x v="3"/>
    <s v="Gage"/>
    <s v="Casual"/>
    <x v="1"/>
    <s v="CTS / PRODUCTION / PRODUCTION [PRD]"/>
    <n v="408.07"/>
    <n v="457.04"/>
    <n v="7"/>
  </r>
  <r>
    <x v="6"/>
    <n v="12726992"/>
    <x v="4"/>
    <s v="Mattock"/>
    <s v="Casual"/>
    <x v="1"/>
    <s v="CTS / PRODUCTION / PRODUCTION [PRD]"/>
    <n v="725"/>
    <n v="812"/>
    <n v="14.5"/>
  </r>
  <r>
    <x v="8"/>
    <n v="12726992"/>
    <x v="4"/>
    <s v="Mattock"/>
    <s v="Casual"/>
    <x v="1"/>
    <s v="CTS / PRODUCTION / PRODUCTION [PRD]"/>
    <n v="2687.5"/>
    <n v="3115"/>
    <n v="55.25"/>
  </r>
  <r>
    <x v="9"/>
    <n v="12726992"/>
    <x v="4"/>
    <s v="Mattock"/>
    <s v="Casual"/>
    <x v="1"/>
    <s v="CTS / PRODUCTION / PRODUCTION [PRD]"/>
    <n v="375"/>
    <n v="420"/>
    <n v="7.5"/>
  </r>
  <r>
    <x v="10"/>
    <n v="10720623"/>
    <x v="5"/>
    <s v="Anggaraksa"/>
    <s v="Casual"/>
    <x v="0"/>
    <s v="CTS / ONSITE / DTTL Mel Tech FT 2 [ONS]"/>
    <n v="2474.81"/>
    <n v="2771.79"/>
    <n v="71.75"/>
  </r>
  <r>
    <x v="11"/>
    <n v="10720623"/>
    <x v="5"/>
    <s v="Anggaraksa"/>
    <s v="Casual"/>
    <x v="0"/>
    <s v="CTS / ONSITE / DTTL Mel Tech FT 2 [ONS]"/>
    <n v="281.2"/>
    <n v="314.94"/>
    <n v="8"/>
  </r>
  <r>
    <x v="2"/>
    <n v="10720623"/>
    <x v="5"/>
    <s v="Anggaraksa"/>
    <s v="Casual"/>
    <x v="0"/>
    <s v="CTS / ONSITE / DTTL Mel Tech FT 2 [ONS]"/>
    <n v="1581.75"/>
    <n v="1919.19"/>
    <n v="48"/>
  </r>
  <r>
    <x v="3"/>
    <n v="10720623"/>
    <x v="5"/>
    <s v="Anggaraksa"/>
    <s v="Casual"/>
    <x v="0"/>
    <s v="CTS / ONSITE / DTTL Mel Tech FT 2 [ONS]"/>
    <n v="1792.65"/>
    <n v="2007.77"/>
    <n v="51"/>
  </r>
  <r>
    <x v="1"/>
    <n v="12754705"/>
    <x v="6"/>
    <s v="Khumala"/>
    <s v="Casual"/>
    <x v="1"/>
    <s v="CTS / PRODUCTION / PRODUCTION [PRD]"/>
    <n v="780"/>
    <n v="920.4"/>
    <n v="15.5"/>
  </r>
  <r>
    <x v="6"/>
    <n v="12754705"/>
    <x v="6"/>
    <s v="Khumala"/>
    <s v="Casual"/>
    <x v="1"/>
    <s v="CTS / PRODUCTION / PRODUCTION [PRD]"/>
    <n v="416"/>
    <n v="538.72"/>
    <n v="9"/>
  </r>
  <r>
    <x v="3"/>
    <n v="11950796"/>
    <x v="7"/>
    <s v="Neilson"/>
    <s v="Casual"/>
    <x v="0"/>
    <s v="CTS / ONSITE / DTTL National STL [ONS]"/>
    <n v="421.8"/>
    <n v="472.42"/>
    <n v="12"/>
  </r>
  <r>
    <x v="4"/>
    <n v="11950796"/>
    <x v="7"/>
    <s v="Neilson"/>
    <s v="Casual"/>
    <x v="0"/>
    <s v="CTS / ONSITE / DTTL National STL [ONS]"/>
    <n v="281.2"/>
    <n v="327.24"/>
    <n v="8.25"/>
  </r>
  <r>
    <x v="5"/>
    <n v="11950796"/>
    <x v="7"/>
    <s v="Neilson"/>
    <s v="Casual"/>
    <x v="0"/>
    <s v="CTS / ONSITE / DTTL National STL [ONS]"/>
    <n v="843.6"/>
    <n v="1043.25"/>
    <n v="26"/>
  </r>
  <r>
    <x v="6"/>
    <n v="11950796"/>
    <x v="7"/>
    <s v="Neilson"/>
    <s v="Casual"/>
    <x v="0"/>
    <s v="CTS / ONSITE / DTTL National STL [ONS]"/>
    <n v="4921"/>
    <n v="5708.36"/>
    <n v="144"/>
  </r>
  <r>
    <x v="7"/>
    <n v="11950796"/>
    <x v="7"/>
    <s v="Neilson"/>
    <s v="Casual"/>
    <x v="0"/>
    <s v="CTS / ONSITE / DTTL National STL [ONS]"/>
    <n v="4921"/>
    <n v="5708.36"/>
    <n v="144"/>
  </r>
  <r>
    <x v="8"/>
    <n v="11950796"/>
    <x v="7"/>
    <s v="Neilson"/>
    <s v="Casual"/>
    <x v="0"/>
    <s v="CTS / ONSITE / DTTL National STL [ONS]"/>
    <n v="5131.8999999999996"/>
    <n v="6042.99"/>
    <n v="152"/>
  </r>
  <r>
    <x v="9"/>
    <n v="11950796"/>
    <x v="7"/>
    <s v="Neilson"/>
    <s v="Casual"/>
    <x v="0"/>
    <s v="CTS / ONSITE / DTTL National STL [ONS]"/>
    <n v="1687.2"/>
    <n v="1889.66"/>
    <n v="48"/>
  </r>
  <r>
    <x v="1"/>
    <n v="11950796"/>
    <x v="7"/>
    <s v="Neilson"/>
    <s v="Casual"/>
    <x v="0"/>
    <s v="CTS / ONSITE / PWC IT Support – Melbourne [ONS]"/>
    <n v="1335.7"/>
    <n v="1594.4"/>
    <n v="40"/>
  </r>
  <r>
    <x v="10"/>
    <n v="7198283"/>
    <x v="8"/>
    <s v="Nivison-Smith"/>
    <s v="Casual"/>
    <x v="1"/>
    <s v="CTS / PRODUCTION / PRODUCTION [PRD]"/>
    <n v="144.34"/>
    <n v="161.66"/>
    <n v="4.25"/>
  </r>
  <r>
    <x v="11"/>
    <n v="7198283"/>
    <x v="8"/>
    <s v="Nivison-Smith"/>
    <s v="Casual"/>
    <x v="1"/>
    <s v="CTS / PRODUCTION / PRODUCTION [PRD]"/>
    <n v="1335.7"/>
    <n v="1532.89"/>
    <n v="38.75"/>
  </r>
  <r>
    <x v="4"/>
    <n v="7198283"/>
    <x v="8"/>
    <s v="Nivison-Smith"/>
    <s v="Casual"/>
    <x v="1"/>
    <s v="CTS / PRODUCTION / PRODUCTION [PRD]"/>
    <n v="606.33000000000004"/>
    <n v="781.59"/>
    <n v="18.75"/>
  </r>
  <r>
    <x v="5"/>
    <n v="7198283"/>
    <x v="8"/>
    <s v="Nivison-Smith"/>
    <s v="Casual"/>
    <x v="1"/>
    <s v="CTS / PRODUCTION / PRODUCTION [PRD]"/>
    <n v="659.06"/>
    <n v="762.74"/>
    <n v="19.25"/>
  </r>
  <r>
    <x v="1"/>
    <n v="7198283"/>
    <x v="8"/>
    <s v="Nivison-Smith"/>
    <s v="Casual"/>
    <x v="1"/>
    <s v="CTS / PRODUCTION / PRODUCTION [PRD]"/>
    <n v="1107.23"/>
    <n v="1313.91"/>
    <n v="33"/>
  </r>
  <r>
    <x v="6"/>
    <n v="7198283"/>
    <x v="8"/>
    <s v="Nivison-Smith"/>
    <s v="Casual"/>
    <x v="1"/>
    <s v="CTS / PRODUCTION / PRODUCTION [PRD]"/>
    <n v="764.51"/>
    <n v="856.25"/>
    <n v="21.75"/>
  </r>
  <r>
    <x v="8"/>
    <n v="7198283"/>
    <x v="8"/>
    <s v="Nivison-Smith"/>
    <s v="Casual"/>
    <x v="1"/>
    <s v="CTS / PRODUCTION / PRODUCTION [PRD]"/>
    <n v="562.4"/>
    <n v="629.89"/>
    <n v="16"/>
  </r>
  <r>
    <x v="9"/>
    <n v="7198283"/>
    <x v="8"/>
    <s v="Nivison-Smith"/>
    <s v="Casual"/>
    <x v="1"/>
    <s v="CTS / PRODUCTION / PRODUCTION [PRD]"/>
    <n v="474.52"/>
    <n v="605.28"/>
    <n v="15"/>
  </r>
  <r>
    <x v="4"/>
    <n v="12097319"/>
    <x v="9"/>
    <s v="Milios"/>
    <s v="Casual"/>
    <x v="0"/>
    <s v="CTS / ONSITE / Bank West Contract [ONS]"/>
    <n v="1195.0999999999999"/>
    <n v="1338.52"/>
    <n v="34"/>
  </r>
  <r>
    <x v="5"/>
    <n v="12097319"/>
    <x v="9"/>
    <s v="Milios"/>
    <s v="Casual"/>
    <x v="0"/>
    <s v="CTS / ONSITE / Bank West Contract [ONS]"/>
    <n v="1247.83"/>
    <n v="1397.57"/>
    <n v="35.5"/>
  </r>
  <r>
    <x v="0"/>
    <n v="12097319"/>
    <x v="9"/>
    <s v="Milios"/>
    <s v="Casual"/>
    <x v="0"/>
    <s v="CTS / ONSITE / Bank West Contract [ONS]"/>
    <n v="140.6"/>
    <n v="157.47"/>
    <n v="4"/>
  </r>
  <r>
    <x v="1"/>
    <n v="12097319"/>
    <x v="9"/>
    <s v="Milios"/>
    <s v="Casual"/>
    <x v="0"/>
    <s v="CTS / ONSITE / Bank West Contract [ONS]"/>
    <n v="298.77999999999997"/>
    <n v="334.63"/>
    <n v="8.5"/>
  </r>
  <r>
    <x v="7"/>
    <n v="12097319"/>
    <x v="9"/>
    <s v="Milios"/>
    <s v="Casual"/>
    <x v="0"/>
    <s v="CTS / ONSITE / Bank West Contract [ONS]"/>
    <n v="826.03"/>
    <n v="925.15"/>
    <n v="23.5"/>
  </r>
  <r>
    <x v="8"/>
    <n v="12097319"/>
    <x v="9"/>
    <s v="Milios"/>
    <s v="Casual"/>
    <x v="0"/>
    <s v="CTS / ONSITE / Bank West Contract [ONS]"/>
    <n v="175.75"/>
    <n v="196.84"/>
    <n v="5"/>
  </r>
  <r>
    <x v="9"/>
    <n v="12097319"/>
    <x v="9"/>
    <s v="Milios"/>
    <s v="Casual"/>
    <x v="0"/>
    <s v="CTS / ONSITE / Bank West Contract [ONS]"/>
    <n v="175.75"/>
    <n v="196.84"/>
    <n v="5"/>
  </r>
  <r>
    <x v="7"/>
    <n v="13135316"/>
    <x v="10"/>
    <s v="Gerakios"/>
    <s v="Casual"/>
    <x v="1"/>
    <s v="CTS / PRODUCTION / PRODUCTION [PRD]"/>
    <n v="509.68"/>
    <n v="570.84"/>
    <n v="14.5"/>
  </r>
  <r>
    <x v="8"/>
    <n v="13135316"/>
    <x v="10"/>
    <s v="Gerakios"/>
    <s v="Casual"/>
    <x v="1"/>
    <s v="CTS / PRODUCTION / PRODUCTION [PRD]"/>
    <n v="1265.4000000000001"/>
    <n v="1417.25"/>
    <n v="36"/>
  </r>
  <r>
    <x v="9"/>
    <n v="13135316"/>
    <x v="10"/>
    <s v="Gerakios"/>
    <s v="Casual"/>
    <x v="1"/>
    <s v="CTS / PRODUCTION / PRODUCTION [PRD]"/>
    <n v="1546.6"/>
    <n v="1732.19"/>
    <n v="44"/>
  </r>
  <r>
    <x v="0"/>
    <n v="12271906"/>
    <x v="11"/>
    <s v="Motsi"/>
    <s v="Casual"/>
    <x v="0"/>
    <s v="CTS / ONSITE / Bank West Contract [ONS]"/>
    <n v="210.9"/>
    <n v="236.21"/>
    <n v="6"/>
  </r>
  <r>
    <x v="1"/>
    <n v="12271906"/>
    <x v="11"/>
    <s v="Motsi"/>
    <s v="Casual"/>
    <x v="0"/>
    <s v="CTS / ONSITE / Bank West Contract [ONS]"/>
    <n v="2355.0500000000002"/>
    <n v="2637.65"/>
    <n v="67"/>
  </r>
  <r>
    <x v="6"/>
    <n v="12271906"/>
    <x v="11"/>
    <s v="Motsi"/>
    <s v="Casual"/>
    <x v="0"/>
    <s v="CTS / ONSITE / Bank West Contract [ONS]"/>
    <n v="1318.12"/>
    <n v="1476.3"/>
    <n v="37.5"/>
  </r>
  <r>
    <x v="7"/>
    <n v="12271906"/>
    <x v="11"/>
    <s v="Motsi"/>
    <s v="Casual"/>
    <x v="0"/>
    <s v="CTS / ONSITE / Bank West Contract [ONS]"/>
    <n v="2179.3000000000002"/>
    <n v="2440.81"/>
    <n v="62"/>
  </r>
  <r>
    <x v="9"/>
    <n v="12271906"/>
    <x v="11"/>
    <s v="Motsi"/>
    <s v="Casual"/>
    <x v="0"/>
    <s v="CTS / ONSITE / Bank West Contract [ONS]"/>
    <n v="263.62"/>
    <n v="295.26"/>
    <n v="7.5"/>
  </r>
  <r>
    <x v="11"/>
    <n v="9587203"/>
    <x v="12"/>
    <s v="Seedat"/>
    <s v="Casual"/>
    <x v="0"/>
    <s v="CTS / ONSITE / Bank West Contract [ONS]"/>
    <n v="650.28"/>
    <n v="740.61"/>
    <n v="18.75"/>
  </r>
  <r>
    <x v="2"/>
    <n v="9587203"/>
    <x v="12"/>
    <s v="Seedat"/>
    <s v="Casual"/>
    <x v="0"/>
    <s v="CTS / ONSITE / Bank West Contract [ONS]"/>
    <n v="386.65"/>
    <n v="433.05"/>
    <n v="11"/>
  </r>
  <r>
    <x v="3"/>
    <n v="9587203"/>
    <x v="12"/>
    <s v="Seedat"/>
    <s v="Casual"/>
    <x v="0"/>
    <s v="CTS / ONSITE / Bank West Contract [ONS]"/>
    <n v="562.4"/>
    <n v="629.88"/>
    <n v="16"/>
  </r>
  <r>
    <x v="4"/>
    <n v="9587203"/>
    <x v="12"/>
    <s v="Seedat"/>
    <s v="Casual"/>
    <x v="0"/>
    <s v="CTS / ONSITE / Bank West Contract [ONS]"/>
    <n v="439.38"/>
    <n v="492.1"/>
    <n v="12.5"/>
  </r>
  <r>
    <x v="5"/>
    <n v="9587203"/>
    <x v="12"/>
    <s v="Seedat"/>
    <s v="Casual"/>
    <x v="0"/>
    <s v="CTS / ONSITE / Bank West Contract [ONS]"/>
    <n v="562.4"/>
    <n v="629.89"/>
    <n v="16"/>
  </r>
  <r>
    <x v="0"/>
    <n v="9587203"/>
    <x v="12"/>
    <s v="Seedat"/>
    <s v="Casual"/>
    <x v="0"/>
    <s v="CTS / ONSITE / Bank West Contract [ONS]"/>
    <n v="281.2"/>
    <n v="314.94"/>
    <n v="8"/>
  </r>
  <r>
    <x v="1"/>
    <n v="9587203"/>
    <x v="12"/>
    <s v="Seedat"/>
    <s v="Casual"/>
    <x v="0"/>
    <s v="CTS / ONSITE / Bank West Contract [ONS]"/>
    <n v="246.05"/>
    <n v="275.58"/>
    <n v="7"/>
  </r>
  <r>
    <x v="6"/>
    <n v="9587203"/>
    <x v="12"/>
    <s v="Seedat"/>
    <s v="Casual"/>
    <x v="0"/>
    <s v="CTS / ONSITE / Bank West Contract [ONS]"/>
    <n v="140.6"/>
    <n v="157.47"/>
    <n v="4"/>
  </r>
  <r>
    <x v="7"/>
    <n v="9587203"/>
    <x v="12"/>
    <s v="Seedat"/>
    <s v="Casual"/>
    <x v="0"/>
    <s v="CTS / ONSITE / Bank West Contract [ONS]"/>
    <n v="492.1"/>
    <n v="551.15"/>
    <n v="14"/>
  </r>
  <r>
    <x v="9"/>
    <n v="9587203"/>
    <x v="12"/>
    <s v="Seedat"/>
    <s v="Casual"/>
    <x v="0"/>
    <s v="CTS / ONSITE / Bank West Contract [ONS]"/>
    <n v="140.6"/>
    <n v="157.47"/>
    <n v="4"/>
  </r>
  <r>
    <x v="10"/>
    <n v="10749213"/>
    <x v="13"/>
    <s v="Cooper"/>
    <s v="Casual"/>
    <x v="2"/>
    <s v="CTS / VIDEO / VIDEO DEPT [VID]"/>
    <n v="209.63"/>
    <n v="234.79"/>
    <n v="4.25"/>
  </r>
  <r>
    <x v="11"/>
    <n v="10749213"/>
    <x v="13"/>
    <s v="Cooper"/>
    <s v="Casual"/>
    <x v="2"/>
    <s v="CTS / VIDEO / VIDEO DEPT [VID]"/>
    <n v="1899.01"/>
    <n v="2195.9499999999998"/>
    <n v="39.5"/>
  </r>
  <r>
    <x v="5"/>
    <n v="10749213"/>
    <x v="13"/>
    <s v="Cooper"/>
    <s v="Casual"/>
    <x v="2"/>
    <s v="CTS / VIDEO / VIDEO DEPT [VID]"/>
    <n v="1738.78"/>
    <n v="3711.34"/>
    <n v="39"/>
  </r>
  <r>
    <x v="1"/>
    <n v="10749213"/>
    <x v="13"/>
    <s v="Cooper"/>
    <s v="Casual"/>
    <x v="2"/>
    <s v="CTS / VIDEO / VIDEO DEPT [VID]"/>
    <n v="1442.82"/>
    <n v="1615.96"/>
    <n v="29.25"/>
  </r>
  <r>
    <x v="6"/>
    <n v="10749213"/>
    <x v="13"/>
    <s v="Cooper"/>
    <s v="Casual"/>
    <x v="2"/>
    <s v="CTS / VIDEO / VIDEO DEPT [VID]"/>
    <n v="789.24"/>
    <n v="883.94"/>
    <n v="16"/>
  </r>
  <r>
    <x v="8"/>
    <n v="10749213"/>
    <x v="13"/>
    <s v="Cooper"/>
    <s v="Casual"/>
    <x v="2"/>
    <s v="CTS / VIDEO / VIDEO DEPT [VID]"/>
    <n v="394.62"/>
    <n v="441.97"/>
    <n v="8"/>
  </r>
  <r>
    <x v="9"/>
    <n v="10749213"/>
    <x v="13"/>
    <s v="Cooper"/>
    <s v="Casual"/>
    <x v="2"/>
    <s v="CTS / VIDEO / VIDEO DEPT [VID]"/>
    <n v="505.6"/>
    <n v="566.27"/>
    <n v="10.25"/>
  </r>
  <r>
    <x v="11"/>
    <n v="10563333"/>
    <x v="14"/>
    <s v="Panza Romanini Alchaar"/>
    <s v="Casual"/>
    <x v="1"/>
    <s v="CTS / PRODUCTION / PRODUCTION [PRD]"/>
    <n v="527.25"/>
    <n v="590.52"/>
    <n v="15"/>
  </r>
  <r>
    <x v="5"/>
    <n v="10563333"/>
    <x v="14"/>
    <s v="Panza Romanini Alchaar"/>
    <s v="Casual"/>
    <x v="1"/>
    <s v="CTS / PRODUCTION / PRODUCTION [PRD]"/>
    <n v="1142.3699999999999"/>
    <n v="2853.28"/>
    <n v="34"/>
  </r>
  <r>
    <x v="1"/>
    <n v="10563333"/>
    <x v="14"/>
    <s v="Panza Romanini Alchaar"/>
    <s v="Casual"/>
    <x v="1"/>
    <s v="CTS / PRODUCTION / PRODUCTION [PRD]"/>
    <n v="790.87"/>
    <n v="917.41"/>
    <n v="23"/>
  </r>
  <r>
    <x v="6"/>
    <n v="10563333"/>
    <x v="14"/>
    <s v="Panza Romanini Alchaar"/>
    <s v="Casual"/>
    <x v="1"/>
    <s v="CTS / PRODUCTION / PRODUCTION [PRD]"/>
    <n v="140.6"/>
    <n v="157.47"/>
    <n v="4"/>
  </r>
  <r>
    <x v="7"/>
    <n v="10563333"/>
    <x v="14"/>
    <s v="Panza Romanini Alchaar"/>
    <s v="Casual"/>
    <x v="1"/>
    <s v="CTS / PRODUCTION / PRODUCTION [PRD]"/>
    <n v="386.65"/>
    <n v="433.05"/>
    <n v="11"/>
  </r>
  <r>
    <x v="8"/>
    <n v="10563333"/>
    <x v="14"/>
    <s v="Panza Romanini Alchaar"/>
    <s v="Casual"/>
    <x v="1"/>
    <s v="CTS / PRODUCTION / PRODUCTION [PRD]"/>
    <n v="527.26"/>
    <n v="615.13"/>
    <n v="15.5"/>
  </r>
  <r>
    <x v="9"/>
    <n v="10563333"/>
    <x v="14"/>
    <s v="Panza Romanini Alchaar"/>
    <s v="Casual"/>
    <x v="1"/>
    <s v="CTS / PRODUCTION / PRODUCTION [PRD]"/>
    <n v="149.38999999999999"/>
    <n v="167.32"/>
    <n v="4.25"/>
  </r>
  <r>
    <x v="8"/>
    <n v="4745971"/>
    <x v="15"/>
    <s v="CARTER"/>
    <s v="Casual"/>
    <x v="0"/>
    <s v="CTS / ONSITE / PWC - PER Tech [ONS]"/>
    <n v="2658.91"/>
    <n v="2977.98"/>
    <n v="59.5"/>
  </r>
  <r>
    <x v="9"/>
    <n v="4745971"/>
    <x v="15"/>
    <s v="CARTER"/>
    <s v="Casual"/>
    <x v="0"/>
    <s v="CTS / ONSITE / PWC - PER Tech [ONS]"/>
    <n v="335.16"/>
    <n v="375.38"/>
    <n v="7.5"/>
  </r>
  <r>
    <x v="10"/>
    <n v="10869538"/>
    <x v="16"/>
    <s v="Folland"/>
    <s v="Casual"/>
    <x v="0"/>
    <s v="CTS / ONSITE / DTTL BNE Onsite [ONS]"/>
    <n v="543.39"/>
    <n v="632.38"/>
    <n v="16.5"/>
  </r>
  <r>
    <x v="11"/>
    <n v="10869538"/>
    <x v="16"/>
    <s v="Folland"/>
    <s v="Casual"/>
    <x v="0"/>
    <s v="CTS / ONSITE / DTTL BNE Onsite [ONS]"/>
    <n v="149.38999999999999"/>
    <n v="170.17"/>
    <n v="4.25"/>
  </r>
  <r>
    <x v="4"/>
    <n v="10869538"/>
    <x v="16"/>
    <s v="Folland"/>
    <s v="Casual"/>
    <x v="0"/>
    <s v="CTS / ONSITE / DTTL BNE Onsite [ONS]"/>
    <n v="281.2"/>
    <n v="314.94"/>
    <n v="8"/>
  </r>
  <r>
    <x v="1"/>
    <n v="10869538"/>
    <x v="16"/>
    <s v="Folland"/>
    <s v="Casual"/>
    <x v="0"/>
    <s v="CTS / ONSITE / DTTL BNE Onsite [ONS]"/>
    <n v="562.4"/>
    <n v="654.49"/>
    <n v="16.5"/>
  </r>
  <r>
    <x v="10"/>
    <n v="4745990"/>
    <x v="17"/>
    <s v="SALANOA"/>
    <s v="Casual"/>
    <x v="1"/>
    <s v="CTS / PRODUCTION / PRODUCTION [PRD]"/>
    <n v="1926.71"/>
    <n v="2344.7399999999998"/>
    <n v="35.25"/>
  </r>
  <r>
    <x v="11"/>
    <n v="4745990"/>
    <x v="17"/>
    <s v="SALANOA"/>
    <s v="Casual"/>
    <x v="1"/>
    <s v="CTS / PRODUCTION / PRODUCTION [PRD]"/>
    <n v="715.22"/>
    <n v="4437.66"/>
    <n v="76.5"/>
  </r>
  <r>
    <x v="5"/>
    <n v="4745990"/>
    <x v="17"/>
    <s v="SALANOA"/>
    <s v="Casual"/>
    <x v="1"/>
    <s v="CTS / PRODUCTION / PRODUCTION [PRD]"/>
    <n v="4145.34"/>
    <n v="4642.78"/>
    <n v="89.25"/>
  </r>
  <r>
    <x v="1"/>
    <n v="4745990"/>
    <x v="17"/>
    <s v="SALANOA"/>
    <s v="Casual"/>
    <x v="1"/>
    <s v="CTS / PRODUCTION / PRODUCTION [PRD]"/>
    <n v="729.81"/>
    <n v="4452"/>
    <n v="84.5"/>
  </r>
  <r>
    <x v="9"/>
    <n v="4745979"/>
    <x v="18"/>
    <s v="BUTLER"/>
    <s v="Casual"/>
    <x v="1"/>
    <s v="CTS / PRODUCTION / PRODUCTION [PRD]"/>
    <n v="800"/>
    <n v="896"/>
    <n v="16"/>
  </r>
  <r>
    <x v="10"/>
    <n v="9674440"/>
    <x v="19"/>
    <s v="Kempin"/>
    <s v="Casual"/>
    <x v="0"/>
    <s v="CTS / ONSITE / PWC – MEL Technician [ONS]"/>
    <n v="2240"/>
    <n v="2508.8000000000002"/>
    <n v="64"/>
  </r>
  <r>
    <x v="10"/>
    <n v="9674440"/>
    <x v="19"/>
    <s v="Kempin"/>
    <s v="Casual"/>
    <x v="0"/>
    <s v="CTS / ONSITE / PWC - MEL Tech [ONS]"/>
    <n v="3927.2"/>
    <n v="4398.46"/>
    <n v="112"/>
  </r>
  <r>
    <x v="11"/>
    <n v="9674440"/>
    <x v="19"/>
    <s v="Kempin"/>
    <s v="Casual"/>
    <x v="0"/>
    <s v="CTS / ONSITE / PWC - MEL Tech [ONS]"/>
    <n v="3655.6"/>
    <n v="4094.27"/>
    <n v="104"/>
  </r>
  <r>
    <x v="2"/>
    <n v="9674440"/>
    <x v="19"/>
    <s v="Kempin"/>
    <s v="Casual"/>
    <x v="0"/>
    <s v="CTS / ONSITE / PWC - MEL Tech [ONS]"/>
    <n v="4710.1000000000004"/>
    <n v="5373.73"/>
    <n v="136"/>
  </r>
  <r>
    <x v="3"/>
    <n v="9674440"/>
    <x v="19"/>
    <s v="Kempin"/>
    <s v="Casual"/>
    <x v="0"/>
    <s v="CTS / ONSITE / PWC - MEL Tech [ONS]"/>
    <n v="3936.8"/>
    <n v="4409.22"/>
    <n v="112"/>
  </r>
  <r>
    <x v="4"/>
    <n v="9674440"/>
    <x v="19"/>
    <s v="Kempin"/>
    <s v="Casual"/>
    <x v="0"/>
    <s v="CTS / ONSITE / PWC - MEL Tech [ONS]"/>
    <n v="3866.5"/>
    <n v="4428.8999999999996"/>
    <n v="112"/>
  </r>
  <r>
    <x v="5"/>
    <n v="9674440"/>
    <x v="19"/>
    <s v="Kempin"/>
    <s v="Casual"/>
    <x v="0"/>
    <s v="CTS / ONSITE / PWC - MEL Tech [ONS]"/>
    <n v="5834.9"/>
    <n v="6633.5"/>
    <n v="168"/>
  </r>
  <r>
    <x v="0"/>
    <n v="9674440"/>
    <x v="19"/>
    <s v="Kempin"/>
    <s v="Casual"/>
    <x v="0"/>
    <s v="CTS / ONSITE / PWC - MEL Tech [ONS]"/>
    <n v="2109"/>
    <n v="2362.08"/>
    <n v="60"/>
  </r>
  <r>
    <x v="1"/>
    <n v="9674440"/>
    <x v="19"/>
    <s v="Kempin"/>
    <s v="Casual"/>
    <x v="0"/>
    <s v="CTS / ONSITE / PWC - MEL Tech [ONS]"/>
    <n v="281.2"/>
    <n v="314.94"/>
    <n v="8"/>
  </r>
  <r>
    <x v="6"/>
    <n v="9674440"/>
    <x v="19"/>
    <s v="Kempin"/>
    <s v="Casual"/>
    <x v="0"/>
    <s v="CTS / ONSITE / PWC - MEL Tech [ONS]"/>
    <n v="843.6"/>
    <n v="944.83"/>
    <n v="24"/>
  </r>
  <r>
    <x v="7"/>
    <n v="9674440"/>
    <x v="19"/>
    <s v="Kempin"/>
    <s v="Casual"/>
    <x v="0"/>
    <s v="CTS / ONSITE / PWC - MEL Tech [ONS]"/>
    <n v="1072.07"/>
    <n v="1200.72"/>
    <n v="30.5"/>
  </r>
  <r>
    <x v="6"/>
    <n v="12835159"/>
    <x v="20"/>
    <s v="Alysandratos"/>
    <s v="Casual"/>
    <x v="1"/>
    <s v="CTS / PRODUCTION / PRODUCTION [PRD]"/>
    <n v="773.3"/>
    <n v="866.09"/>
    <n v="22"/>
  </r>
  <r>
    <x v="7"/>
    <n v="12835159"/>
    <x v="20"/>
    <s v="Alysandratos"/>
    <s v="Casual"/>
    <x v="1"/>
    <s v="CTS / PRODUCTION / PRODUCTION [PRD]"/>
    <n v="140.6"/>
    <n v="157.47"/>
    <n v="4"/>
  </r>
  <r>
    <x v="8"/>
    <n v="12835159"/>
    <x v="20"/>
    <s v="Alysandratos"/>
    <s v="Casual"/>
    <x v="1"/>
    <s v="CTS / PRODUCTION / PRODUCTION [PRD]"/>
    <n v="1089.6500000000001"/>
    <n v="1220.4100000000001"/>
    <n v="31"/>
  </r>
  <r>
    <x v="3"/>
    <n v="4745975"/>
    <x v="21"/>
    <s v="CHAE"/>
    <s v="Casual"/>
    <x v="1"/>
    <s v="CTS / PRODUCTION / PRODUCTION [PRD]"/>
    <n v="1693.18"/>
    <n v="5496.75"/>
    <n v="63.25"/>
  </r>
  <r>
    <x v="10"/>
    <n v="7118495"/>
    <x v="21"/>
    <s v="Rizvi"/>
    <s v="Casual"/>
    <x v="0"/>
    <s v="CTS / ONSITE / DTTL SYD FT Tech 1 [ONS]"/>
    <n v="1803.4"/>
    <n v="2051.4499999999998"/>
    <n v="53.25"/>
  </r>
  <r>
    <x v="11"/>
    <n v="7118495"/>
    <x v="21"/>
    <s v="Rizvi"/>
    <s v="Casual"/>
    <x v="0"/>
    <s v="CTS / ONSITE / DTTL SYD FT Tech 1 [ONS]"/>
    <n v="2170.5100000000002"/>
    <n v="2430.9699999999998"/>
    <n v="61.75"/>
  </r>
  <r>
    <x v="2"/>
    <n v="7118495"/>
    <x v="21"/>
    <s v="Rizvi"/>
    <s v="Casual"/>
    <x v="0"/>
    <s v="CTS / ONSITE / DTTL SYD FT Tech 1 [ONS]"/>
    <n v="1423.58"/>
    <n v="1619.01"/>
    <n v="41"/>
  </r>
  <r>
    <x v="3"/>
    <n v="7118495"/>
    <x v="21"/>
    <s v="Rizvi"/>
    <s v="Casual"/>
    <x v="0"/>
    <s v="CTS / ONSITE / DTTL SYD FT Tech 1 [ONS]"/>
    <n v="984.2"/>
    <n v="1114.5999999999999"/>
    <n v="28.25"/>
  </r>
  <r>
    <x v="4"/>
    <n v="7118495"/>
    <x v="21"/>
    <s v="Rizvi"/>
    <s v="Casual"/>
    <x v="0"/>
    <s v="CTS / ONSITE / DTTL SYD FT Tech 1 [ONS]"/>
    <n v="843.6"/>
    <n v="944.83"/>
    <n v="24"/>
  </r>
  <r>
    <x v="5"/>
    <n v="7118495"/>
    <x v="21"/>
    <s v="Rizvi"/>
    <s v="Casual"/>
    <x v="0"/>
    <s v="CTS / ONSITE / DTTL SYD FT Tech 1 [ONS]"/>
    <n v="1546.6"/>
    <n v="1732.19"/>
    <n v="44"/>
  </r>
  <r>
    <x v="0"/>
    <n v="7118495"/>
    <x v="21"/>
    <s v="Rizvi"/>
    <s v="Casual"/>
    <x v="0"/>
    <s v="CTS / ONSITE / DTTL SYD FT Tech 1 [ONS]"/>
    <n v="1019.35"/>
    <n v="1141.67"/>
    <n v="29"/>
  </r>
  <r>
    <x v="0"/>
    <n v="7118495"/>
    <x v="21"/>
    <s v="Rizvi"/>
    <s v="Casual"/>
    <x v="0"/>
    <s v="CTS / ONSITE / Ricoh - QANTAS [ONS]"/>
    <n v="2179.3000000000002"/>
    <n v="2539.2399999999998"/>
    <n v="64"/>
  </r>
  <r>
    <x v="5"/>
    <n v="12414219"/>
    <x v="22"/>
    <s v="Hendratno"/>
    <s v="Casual"/>
    <x v="0"/>
    <s v="CTS / ONSITE / PWC - MEL Tech [ONS]"/>
    <n v="562.4"/>
    <n v="629.89"/>
    <n v="16"/>
  </r>
  <r>
    <x v="1"/>
    <n v="12414219"/>
    <x v="22"/>
    <s v="Hendratno"/>
    <s v="Casual"/>
    <x v="0"/>
    <s v="CTS / ONSITE / PWC - MEL Tech [ONS]"/>
    <n v="281.2"/>
    <n v="314.94"/>
    <n v="8"/>
  </r>
  <r>
    <x v="6"/>
    <n v="12414219"/>
    <x v="22"/>
    <s v="Hendratno"/>
    <s v="Casual"/>
    <x v="0"/>
    <s v="CTS / ONSITE / PWC - MEL Tech [ONS]"/>
    <n v="1441.15"/>
    <n v="1663.29"/>
    <n v="42"/>
  </r>
  <r>
    <x v="7"/>
    <n v="12414219"/>
    <x v="22"/>
    <s v="Hendratno"/>
    <s v="Casual"/>
    <x v="0"/>
    <s v="CTS / ONSITE / PWC - MEL Tech [ONS]"/>
    <n v="562.4"/>
    <n v="629.88"/>
    <n v="16"/>
  </r>
  <r>
    <x v="8"/>
    <n v="12414219"/>
    <x v="22"/>
    <s v="Hendratno"/>
    <s v="Casual"/>
    <x v="0"/>
    <s v="CTS / ONSITE / PWC - MEL Tech [ONS]"/>
    <n v="421.8"/>
    <n v="497.02"/>
    <n v="12.5"/>
  </r>
  <r>
    <x v="9"/>
    <n v="12414219"/>
    <x v="22"/>
    <s v="Hendratno"/>
    <s v="Casual"/>
    <x v="0"/>
    <s v="CTS / ONSITE / PWC - MEL Tech [ONS]"/>
    <n v="281.2"/>
    <n v="314.94"/>
    <n v="8"/>
  </r>
  <r>
    <x v="10"/>
    <n v="9380772"/>
    <x v="23"/>
    <s v="Thomasson"/>
    <s v="Casual"/>
    <x v="0"/>
    <s v="CTS / ONSITE / Bankwest Additional Tech [ONS]"/>
    <n v="237.74"/>
    <n v="266.27"/>
    <n v="7"/>
  </r>
  <r>
    <x v="6"/>
    <n v="12951361"/>
    <x v="23"/>
    <s v="Velarde"/>
    <s v="Casual"/>
    <x v="0"/>
    <s v="CTS / ONSITE / ONSITE (including PROD backup)"/>
    <n v="1275"/>
    <n v="1428"/>
    <n v="34"/>
  </r>
  <r>
    <x v="7"/>
    <n v="12951361"/>
    <x v="23"/>
    <s v="Velarde"/>
    <s v="Casual"/>
    <x v="0"/>
    <s v="CTS / ONSITE / ONSITE (including PROD backup)"/>
    <n v="2100"/>
    <n v="2352"/>
    <n v="56"/>
  </r>
  <r>
    <x v="10"/>
    <n v="10429316"/>
    <x v="23"/>
    <s v="Zekic"/>
    <s v="Casual"/>
    <x v="0"/>
    <s v="CTS / ONSITE / DTTL SYD FT Tech 2 [ONS]"/>
    <n v="790.88"/>
    <n v="885.78"/>
    <n v="22.5"/>
  </r>
  <r>
    <x v="11"/>
    <n v="10429316"/>
    <x v="23"/>
    <s v="Zekic"/>
    <s v="Casual"/>
    <x v="0"/>
    <s v="CTS / ONSITE / DTTL SYD FT Tech 2 [ONS]"/>
    <n v="1845.38"/>
    <n v="2066.8200000000002"/>
    <n v="52.5"/>
  </r>
  <r>
    <x v="2"/>
    <n v="10429316"/>
    <x v="23"/>
    <s v="Zekic"/>
    <s v="Casual"/>
    <x v="0"/>
    <s v="CTS / ONSITE / DTTL SYD FT Tech 2 [ONS]"/>
    <n v="5123.12"/>
    <n v="5922.44"/>
    <n v="149.5"/>
  </r>
  <r>
    <x v="3"/>
    <n v="10429316"/>
    <x v="23"/>
    <s v="Zekic"/>
    <s v="Casual"/>
    <x v="0"/>
    <s v="CTS / ONSITE / DTTL SYD FT Tech 2 [ONS]"/>
    <n v="281.2"/>
    <n v="314.94"/>
    <n v="8"/>
  </r>
  <r>
    <x v="4"/>
    <n v="10429316"/>
    <x v="23"/>
    <s v="Zekic"/>
    <s v="Casual"/>
    <x v="0"/>
    <s v="CTS / ONSITE / DTTL SYD FT Tech 2 [ONS]"/>
    <n v="984.2"/>
    <n v="1102.3"/>
    <n v="28"/>
  </r>
  <r>
    <x v="5"/>
    <n v="10429316"/>
    <x v="23"/>
    <s v="Zekic"/>
    <s v="Casual"/>
    <x v="0"/>
    <s v="CTS / ONSITE / DTTL SYD FT Tech 2 [ONS]"/>
    <n v="421.8"/>
    <n v="472.41"/>
    <n v="12"/>
  </r>
  <r>
    <x v="0"/>
    <n v="10429316"/>
    <x v="23"/>
    <s v="Zekic"/>
    <s v="Casual"/>
    <x v="0"/>
    <s v="CTS / ONSITE / DTTL SYD FT Tech 2 [ONS]"/>
    <n v="140.6"/>
    <n v="157.47"/>
    <n v="4"/>
  </r>
  <r>
    <x v="1"/>
    <n v="10429316"/>
    <x v="23"/>
    <s v="Zekic"/>
    <s v="Casual"/>
    <x v="0"/>
    <s v="CTS / ONSITE / DTTL SYD FT Tech 2 [ONS]"/>
    <n v="667.85"/>
    <n v="748"/>
    <n v="19"/>
  </r>
  <r>
    <x v="6"/>
    <n v="10429316"/>
    <x v="23"/>
    <s v="Zekic"/>
    <s v="Casual"/>
    <x v="0"/>
    <s v="CTS / ONSITE / DTTL SYD FT Tech 2 [ONS]"/>
    <n v="913.9"/>
    <n v="1023.57"/>
    <n v="26"/>
  </r>
  <r>
    <x v="7"/>
    <n v="10429316"/>
    <x v="23"/>
    <s v="Zekic"/>
    <s v="Casual"/>
    <x v="0"/>
    <s v="CTS / ONSITE / DTTL SYD FT Tech 2 [ONS]"/>
    <n v="738.15"/>
    <n v="826.73"/>
    <n v="21"/>
  </r>
  <r>
    <x v="8"/>
    <n v="10429316"/>
    <x v="23"/>
    <s v="Zekic"/>
    <s v="Casual"/>
    <x v="0"/>
    <s v="CTS / ONSITE / DTTL SYD FT Tech 2 [ONS]"/>
    <n v="1124.8"/>
    <n v="1259.77"/>
    <n v="32"/>
  </r>
  <r>
    <x v="9"/>
    <n v="10429316"/>
    <x v="23"/>
    <s v="Zekic"/>
    <s v="Casual"/>
    <x v="0"/>
    <s v="CTS / ONSITE / DTTL SYD FT Tech 2 [ONS]"/>
    <n v="492.1"/>
    <n v="551.15"/>
    <n v="14"/>
  </r>
  <r>
    <x v="10"/>
    <n v="6207822"/>
    <x v="24"/>
    <s v="Lopez"/>
    <s v="Casual"/>
    <x v="0"/>
    <s v="CTS / ONSITE / DTTL ADL Onsite [ONS]"/>
    <n v="297.17"/>
    <n v="332.83"/>
    <n v="8.75"/>
  </r>
  <r>
    <x v="11"/>
    <n v="6207822"/>
    <x v="24"/>
    <s v="Lopez"/>
    <s v="Casual"/>
    <x v="0"/>
    <s v="CTS / ONSITE / DTTL ADL Onsite [ONS]"/>
    <n v="281.2"/>
    <n v="314.94"/>
    <n v="8"/>
  </r>
  <r>
    <x v="10"/>
    <n v="5371045"/>
    <x v="25"/>
    <s v="Jenner"/>
    <s v="Casual"/>
    <x v="2"/>
    <s v="CTS / VIDEO / VIDEO DEPT [VID]"/>
    <n v="524.66"/>
    <n v="587.62"/>
    <n v="13"/>
  </r>
  <r>
    <x v="11"/>
    <n v="5371045"/>
    <x v="25"/>
    <s v="Jenner"/>
    <s v="Casual"/>
    <x v="2"/>
    <s v="CTS / VIDEO / VIDEO DEPT [VID]"/>
    <n v="807.18"/>
    <n v="932.29"/>
    <n v="20.5"/>
  </r>
  <r>
    <x v="2"/>
    <n v="5371045"/>
    <x v="25"/>
    <s v="Jenner"/>
    <s v="Casual"/>
    <x v="2"/>
    <s v="CTS / VIDEO / VIDEO DEPT [VID]"/>
    <n v="968.61"/>
    <n v="1169.5899999999999"/>
    <n v="25.5"/>
  </r>
  <r>
    <x v="4"/>
    <n v="5371045"/>
    <x v="25"/>
    <s v="Jenner"/>
    <s v="Casual"/>
    <x v="2"/>
    <s v="CTS / VIDEO / VIDEO DEPT [VID]"/>
    <n v="322.87"/>
    <n v="474.61"/>
    <n v="10"/>
  </r>
  <r>
    <x v="5"/>
    <n v="5371045"/>
    <x v="25"/>
    <s v="Jenner"/>
    <s v="Casual"/>
    <x v="2"/>
    <s v="CTS / VIDEO / VIDEO DEPT [VID]"/>
    <n v="1594.17"/>
    <n v="1841.97"/>
    <n v="40.5"/>
  </r>
  <r>
    <x v="0"/>
    <n v="5371045"/>
    <x v="25"/>
    <s v="Jenner"/>
    <s v="Casual"/>
    <x v="2"/>
    <s v="CTS / VIDEO / VIDEO DEPT [VID]"/>
    <n v="161.43"/>
    <n v="180.8"/>
    <n v="4"/>
  </r>
  <r>
    <x v="1"/>
    <n v="5371045"/>
    <x v="25"/>
    <s v="Jenner"/>
    <s v="Casual"/>
    <x v="2"/>
    <s v="CTS / VIDEO / VIDEO DEPT [VID]"/>
    <n v="1251.1300000000001"/>
    <n v="1651.47"/>
    <n v="35.25"/>
  </r>
  <r>
    <x v="6"/>
    <n v="5371045"/>
    <x v="25"/>
    <s v="Jenner"/>
    <s v="Casual"/>
    <x v="2"/>
    <s v="CTS / VIDEO / VIDEO DEPT [VID]"/>
    <n v="645.74"/>
    <n v="723.23"/>
    <n v="16"/>
  </r>
  <r>
    <x v="4"/>
    <n v="12116359"/>
    <x v="26"/>
    <s v="Phillips"/>
    <s v="Casual"/>
    <x v="0"/>
    <s v="CTS / ONSITE / PWC - SYD Tech [ONS]"/>
    <n v="3550.15"/>
    <n v="3976.17"/>
    <n v="101"/>
  </r>
  <r>
    <x v="5"/>
    <n v="12116359"/>
    <x v="26"/>
    <s v="Phillips"/>
    <s v="Casual"/>
    <x v="0"/>
    <s v="CTS / ONSITE / PWC - SYD Tech [ONS]"/>
    <n v="3181.08"/>
    <n v="3562.81"/>
    <n v="90.5"/>
  </r>
  <r>
    <x v="0"/>
    <n v="12116359"/>
    <x v="26"/>
    <s v="Phillips"/>
    <s v="Casual"/>
    <x v="0"/>
    <s v="CTS / ONSITE / PWC - SYD Tech [ONS]"/>
    <n v="254.84"/>
    <n v="285.42"/>
    <n v="7.25"/>
  </r>
  <r>
    <x v="1"/>
    <n v="12116359"/>
    <x v="26"/>
    <s v="Phillips"/>
    <s v="Casual"/>
    <x v="0"/>
    <s v="CTS / ONSITE / PWC IT Support – Sydney [ONS]"/>
    <n v="1388.42"/>
    <n v="1555.03"/>
    <n v="39.5"/>
  </r>
  <r>
    <x v="6"/>
    <n v="12116359"/>
    <x v="26"/>
    <s v="Phillips"/>
    <s v="Casual"/>
    <x v="0"/>
    <s v="CTS / ONSITE / PWC IT Support – Sydney [ONS]"/>
    <n v="5342.8"/>
    <n v="6303.81"/>
    <n v="158.5"/>
  </r>
  <r>
    <x v="7"/>
    <n v="12116359"/>
    <x v="26"/>
    <s v="Phillips"/>
    <s v="Casual"/>
    <x v="0"/>
    <s v="CTS / ONSITE / PWC IT Support – Sydney [ONS]"/>
    <n v="4639.8"/>
    <n v="5295"/>
    <n v="134"/>
  </r>
  <r>
    <x v="8"/>
    <n v="12116359"/>
    <x v="26"/>
    <s v="Phillips"/>
    <s v="Casual"/>
    <x v="0"/>
    <s v="CTS / ONSITE / PWC IT Support – Sydney [ONS]"/>
    <n v="5131.8999999999996"/>
    <n v="6042.99"/>
    <n v="152"/>
  </r>
  <r>
    <x v="10"/>
    <n v="8501100"/>
    <x v="27"/>
    <s v="Madzinga"/>
    <s v="Casual"/>
    <x v="0"/>
    <s v="CTS / ONSITE / DTTL Mel Tech FT 2 [ONS]"/>
    <n v="573.99"/>
    <n v="642.87"/>
    <n v="16"/>
  </r>
  <r>
    <x v="10"/>
    <n v="9215694"/>
    <x v="28"/>
    <s v="Brooks"/>
    <s v="Casual"/>
    <x v="0"/>
    <s v="CTS / ONSITE / DTTL Mel Tech FT 2 [ONS]"/>
    <n v="1368"/>
    <n v="1532.15"/>
    <n v="40"/>
  </r>
  <r>
    <x v="11"/>
    <n v="9215694"/>
    <x v="28"/>
    <s v="Brooks"/>
    <s v="Casual"/>
    <x v="0"/>
    <s v="CTS / ONSITE / DTTL Mel Tech FT 2 [ONS]"/>
    <n v="281.2"/>
    <n v="314.94"/>
    <n v="8"/>
  </r>
  <r>
    <x v="10"/>
    <n v="10498422"/>
    <x v="29"/>
    <s v="Anderson"/>
    <s v="Casual"/>
    <x v="0"/>
    <s v="CTS / ONSITE / DTTL SYD FT Tech 1 [ONS]"/>
    <n v="1105.8"/>
    <n v="1238.5"/>
    <n v="32"/>
  </r>
  <r>
    <x v="11"/>
    <n v="10498422"/>
    <x v="29"/>
    <s v="Anderson"/>
    <s v="Casual"/>
    <x v="0"/>
    <s v="CTS / ONSITE / DTTL SYD FT Tech 1 [ONS]"/>
    <n v="281.2"/>
    <n v="314.94"/>
    <n v="8"/>
  </r>
  <r>
    <x v="2"/>
    <n v="10498422"/>
    <x v="29"/>
    <s v="Anderson"/>
    <s v="Casual"/>
    <x v="0"/>
    <s v="CTS / ONSITE / DTTL SYD FT Tech 1 [ONS]"/>
    <n v="1643.26"/>
    <n v="1840.45"/>
    <n v="46.75"/>
  </r>
  <r>
    <x v="3"/>
    <n v="10498422"/>
    <x v="29"/>
    <s v="Anderson"/>
    <s v="Casual"/>
    <x v="0"/>
    <s v="CTS / ONSITE / DTTL SYD FT Tech 1 [ONS]"/>
    <n v="509.68"/>
    <n v="570.84"/>
    <n v="14.5"/>
  </r>
  <r>
    <x v="4"/>
    <n v="10498422"/>
    <x v="29"/>
    <s v="Anderson"/>
    <s v="Casual"/>
    <x v="0"/>
    <s v="CTS / ONSITE / DTTL SYD FT Tech 1 [ONS]"/>
    <n v="544.82000000000005"/>
    <n v="610.20000000000005"/>
    <n v="15.5"/>
  </r>
  <r>
    <x v="5"/>
    <n v="10498422"/>
    <x v="29"/>
    <s v="Anderson"/>
    <s v="Casual"/>
    <x v="0"/>
    <s v="CTS / ONSITE / DTTL SYD FT Tech 1 [ONS]"/>
    <n v="1757.49"/>
    <n v="2017.6"/>
    <n v="51"/>
  </r>
  <r>
    <x v="11"/>
    <n v="10875145"/>
    <x v="30"/>
    <s v="Juckes"/>
    <s v="Casual"/>
    <x v="0"/>
    <s v="CTS / ONSITE / DTTL ADL Onsite [ONS]"/>
    <n v="360.28"/>
    <n v="466.79"/>
    <n v="11.25"/>
  </r>
  <r>
    <x v="1"/>
    <n v="10875145"/>
    <x v="30"/>
    <s v="Juckes"/>
    <s v="Casual"/>
    <x v="0"/>
    <s v="CTS / ONSITE / DTTL ADL Onsite [ONS]"/>
    <n v="421.8"/>
    <n v="472.41"/>
    <n v="12"/>
  </r>
  <r>
    <x v="7"/>
    <n v="10875145"/>
    <x v="30"/>
    <s v="Juckes"/>
    <s v="Casual"/>
    <x v="0"/>
    <s v="CTS / ONSITE / DTTL ADL Onsite [ONS]"/>
    <n v="140.6"/>
    <n v="157.47"/>
    <n v="4"/>
  </r>
  <r>
    <x v="8"/>
    <n v="10875145"/>
    <x v="30"/>
    <s v="Juckes"/>
    <s v="Casual"/>
    <x v="0"/>
    <s v="CTS / ONSITE / DTTL ADL Onsite [ONS]"/>
    <n v="1669.62"/>
    <n v="1869.98"/>
    <n v="47.5"/>
  </r>
  <r>
    <x v="9"/>
    <n v="10875145"/>
    <x v="30"/>
    <s v="Juckes"/>
    <s v="Casual"/>
    <x v="0"/>
    <s v="CTS / ONSITE / DTTL ADL Onsite [ONS]"/>
    <n v="175.75"/>
    <n v="196.84"/>
    <n v="5"/>
  </r>
  <r>
    <x v="10"/>
    <n v="9569711"/>
    <x v="31"/>
    <s v="De Silva"/>
    <s v="Casual"/>
    <x v="0"/>
    <s v="CTS / ONSITE / DTTL SYD FT Tech 2 [ONS]"/>
    <n v="1295.27"/>
    <n v="1450.69"/>
    <n v="37.5"/>
  </r>
  <r>
    <x v="11"/>
    <n v="9569711"/>
    <x v="31"/>
    <s v="De Silva"/>
    <s v="Casual"/>
    <x v="0"/>
    <s v="CTS / ONSITE / DTTL SYD FT Tech 2 [ONS]"/>
    <n v="703"/>
    <n v="787.36"/>
    <n v="20"/>
  </r>
  <r>
    <x v="2"/>
    <n v="9569711"/>
    <x v="31"/>
    <s v="De Silva"/>
    <s v="Casual"/>
    <x v="0"/>
    <s v="CTS / ONSITE / DTTL SYD FT Tech 2 [ONS]"/>
    <n v="281.2"/>
    <n v="314.94"/>
    <n v="8"/>
  </r>
  <r>
    <x v="10"/>
    <n v="9682976"/>
    <x v="32"/>
    <s v="Palmer"/>
    <s v="Casual"/>
    <x v="0"/>
    <s v="CTS / ONSITE / DTTL BNE Onsite [ONS]"/>
    <n v="287"/>
    <n v="346.55"/>
    <n v="8.5"/>
  </r>
  <r>
    <x v="11"/>
    <n v="9682976"/>
    <x v="32"/>
    <s v="Palmer"/>
    <s v="Casual"/>
    <x v="0"/>
    <s v="CTS / ONSITE / DTTL BNE Onsite [ONS]"/>
    <n v="290"/>
    <n v="324.8"/>
    <n v="8"/>
  </r>
  <r>
    <x v="1"/>
    <n v="9682976"/>
    <x v="32"/>
    <s v="Palmer"/>
    <s v="Casual"/>
    <x v="0"/>
    <s v="CTS / ONSITE / PWC IT P/T BNE [ONS]"/>
    <n v="870"/>
    <n v="974.4"/>
    <n v="24"/>
  </r>
  <r>
    <x v="6"/>
    <n v="9682976"/>
    <x v="32"/>
    <s v="Palmer"/>
    <s v="Casual"/>
    <x v="0"/>
    <s v="CTS / ONSITE / PWC IT P/T BNE [ONS]"/>
    <n v="3190"/>
    <n v="3572.8"/>
    <n v="88"/>
  </r>
  <r>
    <x v="7"/>
    <n v="9682976"/>
    <x v="32"/>
    <s v="Palmer"/>
    <s v="Casual"/>
    <x v="0"/>
    <s v="CTS / ONSITE / PWC IT P/T BNE [ONS]"/>
    <n v="2900"/>
    <n v="3273.38"/>
    <n v="80.5"/>
  </r>
  <r>
    <x v="8"/>
    <n v="9682976"/>
    <x v="32"/>
    <s v="Palmer"/>
    <s v="Casual"/>
    <x v="0"/>
    <s v="CTS / ONSITE / PWC IT P/T BNE [ONS]"/>
    <n v="3190"/>
    <n v="3572.8"/>
    <n v="88"/>
  </r>
  <r>
    <x v="1"/>
    <n v="12870012"/>
    <x v="33"/>
    <s v="Kiernan"/>
    <s v="Casual"/>
    <x v="1"/>
    <s v="CTS / PRODUCTION / PRODUCTION [PRD]"/>
    <n v="957.69"/>
    <n v="1141.3699999999999"/>
    <n v="20.5"/>
  </r>
  <r>
    <x v="10"/>
    <n v="11557039"/>
    <x v="34"/>
    <s v="Breskys"/>
    <s v="Casual"/>
    <x v="1"/>
    <s v="CTS / PRODUCTION / Dimensional Audio Operator FEB 2025 [PRD]"/>
    <n v="550"/>
    <n v="616"/>
    <n v="11"/>
  </r>
  <r>
    <x v="11"/>
    <n v="11557039"/>
    <x v="34"/>
    <s v="Breskys"/>
    <s v="Casual"/>
    <x v="1"/>
    <s v="CTS / PRODUCTION / Dimensional Audio Operator FEB 2025 [PRD]"/>
    <n v="925"/>
    <n v="1141"/>
    <n v="20"/>
  </r>
  <r>
    <x v="5"/>
    <n v="11557039"/>
    <x v="34"/>
    <s v="Breskys"/>
    <s v="Casual"/>
    <x v="1"/>
    <s v="CTS / PRODUCTION / Dimensional Audio Operator FEB 2025 [PRD]"/>
    <n v="400"/>
    <n v="448"/>
    <n v="8"/>
  </r>
  <r>
    <x v="1"/>
    <n v="11557039"/>
    <x v="34"/>
    <s v="Breskys"/>
    <s v="Casual"/>
    <x v="1"/>
    <s v="CTS / PRODUCTION / Dimensional Audio Operator FEB 2025 [PRD]"/>
    <n v="600"/>
    <n v="672"/>
    <n v="12"/>
  </r>
  <r>
    <x v="7"/>
    <n v="11557039"/>
    <x v="34"/>
    <s v="Breskys"/>
    <s v="Casual"/>
    <x v="1"/>
    <s v="CTS / PRODUCTION / Dimensional Audio Operator FEB 2025 [PRD]"/>
    <n v="200"/>
    <n v="224"/>
    <n v="4"/>
  </r>
  <r>
    <x v="6"/>
    <n v="4988501"/>
    <x v="35"/>
    <s v="Serritelli"/>
    <s v="Casual"/>
    <x v="0"/>
    <s v="CTS / ONSITE / DTTL BNE Onsite [ONS]"/>
    <n v="338.5"/>
    <n v="379.12"/>
    <n v="8"/>
  </r>
  <r>
    <x v="8"/>
    <n v="4988501"/>
    <x v="35"/>
    <s v="Serritelli"/>
    <s v="Casual"/>
    <x v="0"/>
    <s v="CTS / ONSITE / DTTL BNE Onsite [ONS]"/>
    <n v="677"/>
    <n v="758.24"/>
    <n v="16"/>
  </r>
  <r>
    <x v="4"/>
    <n v="5111974"/>
    <x v="36"/>
    <s v="Wehbe"/>
    <s v="Casual"/>
    <x v="1"/>
    <s v="CTS / CTS / MARKETING / COMMS [CTS]"/>
    <n v="727.58"/>
    <n v="814.89"/>
    <n v="14.75"/>
  </r>
  <r>
    <x v="5"/>
    <n v="5111974"/>
    <x v="36"/>
    <s v="Wehbe"/>
    <s v="Casual"/>
    <x v="1"/>
    <s v="CTS / CTS / MARKETING / COMMS [CTS]"/>
    <n v="2799.33"/>
    <n v="3135.25"/>
    <n v="56.75"/>
  </r>
  <r>
    <x v="1"/>
    <n v="5111974"/>
    <x v="36"/>
    <s v="Wehbe"/>
    <s v="Casual"/>
    <x v="1"/>
    <s v="CTS / CTS / MARKETING / COMMS [CTS]"/>
    <n v="1270.19"/>
    <n v="1587.85"/>
    <n v="28"/>
  </r>
  <r>
    <x v="10"/>
    <n v="7129294"/>
    <x v="37"/>
    <s v="Howard"/>
    <s v="Casual"/>
    <x v="0"/>
    <s v="CTS / ONSITE / DTTL SYD FT Tech 2 [ONS]"/>
    <n v="1035.8499999999999"/>
    <n v="1207.7"/>
    <n v="31.5"/>
  </r>
  <r>
    <x v="11"/>
    <n v="7129294"/>
    <x v="37"/>
    <s v="Howard"/>
    <s v="Casual"/>
    <x v="0"/>
    <s v="CTS / ONSITE / DTTL SYD FT Tech 2 [ONS]"/>
    <n v="421.8"/>
    <n v="472.41"/>
    <n v="12"/>
  </r>
  <r>
    <x v="2"/>
    <n v="7129294"/>
    <x v="37"/>
    <s v="Howard"/>
    <s v="Casual"/>
    <x v="0"/>
    <s v="CTS / ONSITE / DTTL SYD FT Tech 2 [ONS]"/>
    <n v="421.8"/>
    <n v="472.42"/>
    <n v="12"/>
  </r>
  <r>
    <x v="3"/>
    <n v="7129294"/>
    <x v="37"/>
    <s v="Howard"/>
    <s v="Casual"/>
    <x v="0"/>
    <s v="CTS / ONSITE / DTTL SYD FT Tech 2 [ONS]"/>
    <n v="140.6"/>
    <n v="157.47"/>
    <n v="4"/>
  </r>
  <r>
    <x v="4"/>
    <n v="7129294"/>
    <x v="37"/>
    <s v="Howard"/>
    <s v="Casual"/>
    <x v="0"/>
    <s v="CTS / ONSITE / DTTL SYD FT Tech 2 [ONS]"/>
    <n v="553.61"/>
    <n v="620.04"/>
    <n v="15.75"/>
  </r>
  <r>
    <x v="5"/>
    <n v="7129294"/>
    <x v="37"/>
    <s v="Howard"/>
    <s v="Casual"/>
    <x v="0"/>
    <s v="CTS / ONSITE / DTTL SYD FT Tech 2 [ONS]"/>
    <n v="140.6"/>
    <n v="157.47"/>
    <n v="4"/>
  </r>
  <r>
    <x v="1"/>
    <n v="7129294"/>
    <x v="37"/>
    <s v="Howard"/>
    <s v="Casual"/>
    <x v="0"/>
    <s v="CTS / ONSITE / DTTL SYD FT Tech 2 [ONS]"/>
    <n v="140.6"/>
    <n v="157.47"/>
    <n v="4"/>
  </r>
  <r>
    <x v="6"/>
    <n v="7129294"/>
    <x v="37"/>
    <s v="Howard"/>
    <s v="Casual"/>
    <x v="0"/>
    <s v="CTS / ONSITE / DTTL SYD FT Tech 2 [ONS]"/>
    <n v="140.6"/>
    <n v="157.47"/>
    <n v="4"/>
  </r>
  <r>
    <x v="8"/>
    <n v="7129294"/>
    <x v="37"/>
    <s v="Howard"/>
    <s v="Casual"/>
    <x v="0"/>
    <s v="CTS / ONSITE / DTTL SYD FT Tech 2 [ONS]"/>
    <n v="140.6"/>
    <n v="157.47"/>
    <n v="4"/>
  </r>
  <r>
    <x v="9"/>
    <n v="7129294"/>
    <x v="37"/>
    <s v="Howard"/>
    <s v="Casual"/>
    <x v="0"/>
    <s v="CTS / ONSITE / DTTL SYD FT Tech 2 [ONS]"/>
    <n v="421.8"/>
    <n v="472.42"/>
    <n v="12"/>
  </r>
  <r>
    <x v="10"/>
    <n v="4745738"/>
    <x v="38"/>
    <s v="SZETO"/>
    <s v="Casual"/>
    <x v="0"/>
    <s v="CTS / ONSITE / DTTL MEL Additional Tech [ONS]"/>
    <n v="1260"/>
    <n v="1411.2"/>
    <n v="28"/>
  </r>
  <r>
    <x v="10"/>
    <n v="7163949"/>
    <x v="39"/>
    <s v="Lachmaiya"/>
    <s v="Casual"/>
    <x v="0"/>
    <s v="CTS / ONSITE / DTTL SYD FT Tech 2 [ONS]"/>
    <n v="451.01"/>
    <n v="505.13"/>
    <n v="13"/>
  </r>
  <r>
    <x v="11"/>
    <n v="7163949"/>
    <x v="39"/>
    <s v="Lachmaiya"/>
    <s v="Casual"/>
    <x v="0"/>
    <s v="CTS / ONSITE / DTTL SYD FT Tech 2 [ONS]"/>
    <n v="386.65"/>
    <n v="433.05"/>
    <n v="11"/>
  </r>
  <r>
    <x v="2"/>
    <n v="7163949"/>
    <x v="39"/>
    <s v="Lachmaiya"/>
    <s v="Casual"/>
    <x v="0"/>
    <s v="CTS / ONSITE / DTTL SYD FT Tech 2 [ONS]"/>
    <n v="1124.8"/>
    <n v="1358.19"/>
    <n v="34"/>
  </r>
  <r>
    <x v="3"/>
    <n v="7163949"/>
    <x v="39"/>
    <s v="Lachmaiya"/>
    <s v="Casual"/>
    <x v="0"/>
    <s v="CTS / ONSITE / DTTL SYD FT Tech 2 [ONS]"/>
    <n v="2706.54"/>
    <n v="3105.15"/>
    <n v="78.5"/>
  </r>
  <r>
    <x v="4"/>
    <n v="7163949"/>
    <x v="39"/>
    <s v="Lachmaiya"/>
    <s v="Casual"/>
    <x v="0"/>
    <s v="CTS / ONSITE / DTTL SYD FT Tech 2 [ONS]"/>
    <n v="1669.62"/>
    <n v="1869.98"/>
    <n v="47.5"/>
  </r>
  <r>
    <x v="5"/>
    <n v="7163949"/>
    <x v="39"/>
    <s v="Lachmaiya"/>
    <s v="Casual"/>
    <x v="0"/>
    <s v="CTS / ONSITE / DTTL SYD FT Tech 2 [ONS]"/>
    <n v="913.9"/>
    <n v="1023.57"/>
    <n v="26"/>
  </r>
  <r>
    <x v="0"/>
    <n v="7163949"/>
    <x v="39"/>
    <s v="Lachmaiya"/>
    <s v="Casual"/>
    <x v="0"/>
    <s v="CTS / ONSITE / DTTL SYD FT Tech 2 [ONS]"/>
    <n v="615.12"/>
    <n v="688.94"/>
    <n v="17.5"/>
  </r>
  <r>
    <x v="1"/>
    <n v="7163949"/>
    <x v="39"/>
    <s v="Lachmaiya"/>
    <s v="Casual"/>
    <x v="0"/>
    <s v="CTS / ONSITE / DTTL SYD FT Tech 2 [ONS]"/>
    <n v="1124.8"/>
    <n v="1259.78"/>
    <n v="32"/>
  </r>
  <r>
    <x v="6"/>
    <n v="7163949"/>
    <x v="39"/>
    <s v="Lachmaiya"/>
    <s v="Casual"/>
    <x v="0"/>
    <s v="CTS / ONSITE / DTTL SYD FT Tech 2 [ONS]"/>
    <n v="1827.8"/>
    <n v="2047.13"/>
    <n v="52"/>
  </r>
  <r>
    <x v="7"/>
    <n v="7163949"/>
    <x v="39"/>
    <s v="Lachmaiya"/>
    <s v="Casual"/>
    <x v="0"/>
    <s v="CTS / ONSITE / DTTL SYD FT Tech 2 [ONS]"/>
    <n v="1177.52"/>
    <n v="1318.82"/>
    <n v="33.5"/>
  </r>
  <r>
    <x v="8"/>
    <n v="7163949"/>
    <x v="39"/>
    <s v="Lachmaiya"/>
    <s v="Casual"/>
    <x v="0"/>
    <s v="CTS / ONSITE / DTTL SYD FT Tech 2 [ONS]"/>
    <n v="1546.6"/>
    <n v="1732.2"/>
    <n v="44"/>
  </r>
  <r>
    <x v="3"/>
    <n v="12101522"/>
    <x v="40"/>
    <s v="Citrani"/>
    <s v="Casual"/>
    <x v="0"/>
    <s v="CTS / ONSITE / Bank West Contract [ONS]"/>
    <n v="140.6"/>
    <n v="157.47"/>
    <n v="4"/>
  </r>
  <r>
    <x v="4"/>
    <n v="12101522"/>
    <x v="40"/>
    <s v="Citrani"/>
    <s v="Casual"/>
    <x v="0"/>
    <s v="CTS / ONSITE / Bank West Contract [ONS]"/>
    <n v="210.9"/>
    <n v="236.21"/>
    <n v="6"/>
  </r>
  <r>
    <x v="5"/>
    <n v="12101522"/>
    <x v="40"/>
    <s v="Citrani"/>
    <s v="Casual"/>
    <x v="0"/>
    <s v="CTS / ONSITE / Bank West Contract [ONS]"/>
    <n v="1282.97"/>
    <n v="1436.92"/>
    <n v="36.5"/>
  </r>
  <r>
    <x v="0"/>
    <n v="12101522"/>
    <x v="40"/>
    <s v="Citrani"/>
    <s v="Casual"/>
    <x v="0"/>
    <s v="CTS / ONSITE / Bank West Contract [ONS]"/>
    <n v="878.75"/>
    <n v="984.2"/>
    <n v="25"/>
  </r>
  <r>
    <x v="6"/>
    <n v="12101522"/>
    <x v="40"/>
    <s v="Citrani"/>
    <s v="Casual"/>
    <x v="0"/>
    <s v="CTS / ONSITE / Bank West Contract [ONS]"/>
    <n v="140.6"/>
    <n v="157.47"/>
    <n v="4"/>
  </r>
  <r>
    <x v="7"/>
    <n v="12101522"/>
    <x v="40"/>
    <s v="Citrani"/>
    <s v="Casual"/>
    <x v="0"/>
    <s v="CTS / ONSITE / Bank West Contract [ONS]"/>
    <n v="140.6"/>
    <n v="157.47"/>
    <n v="4"/>
  </r>
  <r>
    <x v="8"/>
    <n v="12101522"/>
    <x v="40"/>
    <s v="Citrani"/>
    <s v="Casual"/>
    <x v="0"/>
    <s v="CTS / ONSITE / Bank West Contract [ONS]"/>
    <n v="281.2"/>
    <n v="314.94"/>
    <n v="8"/>
  </r>
  <r>
    <x v="9"/>
    <n v="12101522"/>
    <x v="40"/>
    <s v="Citrani"/>
    <s v="Casual"/>
    <x v="0"/>
    <s v="CTS / ONSITE / Bank West Contract [ONS]"/>
    <n v="175.75"/>
    <n v="196.84"/>
    <n v="5"/>
  </r>
  <r>
    <x v="5"/>
    <n v="4746026"/>
    <x v="41"/>
    <s v="ADAM"/>
    <s v="Casual"/>
    <x v="0"/>
    <s v="CTS / ONSITE / DTTL MEL Tech (PT) [ONS]"/>
    <n v="180"/>
    <n v="201.6"/>
    <n v="4"/>
  </r>
  <r>
    <x v="7"/>
    <n v="12728703"/>
    <x v="42"/>
    <s v="Camden"/>
    <s v="Casual"/>
    <x v="1"/>
    <s v="CTS / PRODUCTION / PRODUCTION [PRD]"/>
    <n v="152"/>
    <n v="170.24"/>
    <n v="4"/>
  </r>
  <r>
    <x v="4"/>
    <n v="12127216"/>
    <x v="43"/>
    <s v="Kini"/>
    <s v="Casual"/>
    <x v="0"/>
    <s v="CTS / ONSITE / DTTL MEL Additional Tech [ONS]"/>
    <n v="3498.12"/>
    <n v="3917.9"/>
    <n v="96.5"/>
  </r>
  <r>
    <x v="5"/>
    <n v="12127216"/>
    <x v="43"/>
    <s v="Kini"/>
    <s v="Casual"/>
    <x v="0"/>
    <s v="CTS / ONSITE / DTTL MEL Additional Tech [ONS]"/>
    <n v="3190"/>
    <n v="3572.8"/>
    <n v="88"/>
  </r>
  <r>
    <x v="11"/>
    <n v="11554172"/>
    <x v="44"/>
    <s v="Lecher"/>
    <s v="Casual"/>
    <x v="0"/>
    <s v="CTS / ONSITE / DTTL Mel Tech FT 1 [ONS]"/>
    <n v="562.4"/>
    <n v="629.89"/>
    <n v="16"/>
  </r>
  <r>
    <x v="2"/>
    <n v="11554172"/>
    <x v="44"/>
    <s v="Lecher"/>
    <s v="Casual"/>
    <x v="0"/>
    <s v="CTS / ONSITE / DTTL Mel Tech FT 1 [ONS]"/>
    <n v="281.2"/>
    <n v="314.94"/>
    <n v="8"/>
  </r>
  <r>
    <x v="3"/>
    <n v="11554172"/>
    <x v="44"/>
    <s v="Lecher"/>
    <s v="Casual"/>
    <x v="0"/>
    <s v="CTS / ONSITE / DTTL Mel Tech FT 1 [ONS]"/>
    <n v="281.2"/>
    <n v="314.94"/>
    <n v="8"/>
  </r>
  <r>
    <x v="4"/>
    <n v="11554172"/>
    <x v="44"/>
    <s v="Lecher"/>
    <s v="Casual"/>
    <x v="0"/>
    <s v="CTS / ONSITE / DTTL Mel Tech FT 1 [ONS]"/>
    <n v="246.05"/>
    <n v="275.58"/>
    <n v="7"/>
  </r>
  <r>
    <x v="5"/>
    <n v="11554172"/>
    <x v="44"/>
    <s v="Lecher"/>
    <s v="Casual"/>
    <x v="0"/>
    <s v="CTS / ONSITE / DTTL Mel Tech FT 1 [ONS]"/>
    <n v="2899.88"/>
    <n v="3247.86"/>
    <n v="82.5"/>
  </r>
  <r>
    <x v="7"/>
    <n v="11554172"/>
    <x v="44"/>
    <s v="Lecher"/>
    <s v="Casual"/>
    <x v="0"/>
    <s v="CTS / ONSITE / DTTL Mel Tech FT 1 [ONS]"/>
    <n v="263.62"/>
    <n v="295.26"/>
    <n v="7.5"/>
  </r>
  <r>
    <x v="8"/>
    <n v="11554172"/>
    <x v="44"/>
    <s v="Lecher"/>
    <s v="Casual"/>
    <x v="0"/>
    <s v="CTS / ONSITE / DTTL Mel Tech FT 1 [ONS]"/>
    <n v="509.68"/>
    <n v="570.84"/>
    <n v="14.5"/>
  </r>
  <r>
    <x v="8"/>
    <n v="11554172"/>
    <x v="44"/>
    <s v="Lecher"/>
    <s v="Casual"/>
    <x v="0"/>
    <s v="CTS / ONSITE / CBA FT Tech MEL - 12 months [ONS]"/>
    <n v="1335.7"/>
    <n v="1569.8"/>
    <n v="39.5"/>
  </r>
  <r>
    <x v="9"/>
    <n v="11554172"/>
    <x v="44"/>
    <s v="Lecher"/>
    <s v="Casual"/>
    <x v="0"/>
    <s v="CTS / ONSITE / CBA FT Tech MEL - 12 months [ONS]"/>
    <n v="1854.16"/>
    <n v="2076.66"/>
    <n v="52.75"/>
  </r>
  <r>
    <x v="10"/>
    <n v="11533654"/>
    <x v="45"/>
    <s v="Norrie"/>
    <s v="Casual"/>
    <x v="0"/>
    <s v="CTS / ONSITE / PWC - MEL Tech [ONS]"/>
    <n v="580"/>
    <n v="649.6"/>
    <n v="16"/>
  </r>
  <r>
    <x v="11"/>
    <n v="11533654"/>
    <x v="45"/>
    <s v="Norrie"/>
    <s v="Casual"/>
    <x v="0"/>
    <s v="CTS / ONSITE / PWC - MEL Tech [ONS]"/>
    <n v="1450"/>
    <n v="1624"/>
    <n v="40"/>
  </r>
  <r>
    <x v="2"/>
    <n v="11533654"/>
    <x v="45"/>
    <s v="Norrie"/>
    <s v="Casual"/>
    <x v="0"/>
    <s v="CTS / ONSITE / PWC - MEL Tech [ONS]"/>
    <n v="870"/>
    <n v="974.4"/>
    <n v="24"/>
  </r>
  <r>
    <x v="3"/>
    <n v="11533654"/>
    <x v="45"/>
    <s v="Norrie"/>
    <s v="Casual"/>
    <x v="0"/>
    <s v="CTS / ONSITE / PWC - MEL Tech [ONS]"/>
    <n v="1450"/>
    <n v="1624"/>
    <n v="40"/>
  </r>
  <r>
    <x v="4"/>
    <n v="11533654"/>
    <x v="45"/>
    <s v="Norrie"/>
    <s v="Casual"/>
    <x v="0"/>
    <s v="CTS / ONSITE / PWC - MEL Tech [ONS]"/>
    <n v="2011.88"/>
    <n v="2253.3000000000002"/>
    <n v="55.5"/>
  </r>
  <r>
    <x v="5"/>
    <n v="11533654"/>
    <x v="45"/>
    <s v="Norrie"/>
    <s v="Casual"/>
    <x v="0"/>
    <s v="CTS / ONSITE / PWC - MEL Tech [ONS]"/>
    <n v="870"/>
    <n v="974.4"/>
    <n v="24"/>
  </r>
  <r>
    <x v="0"/>
    <n v="11533654"/>
    <x v="45"/>
    <s v="Norrie"/>
    <s v="Casual"/>
    <x v="0"/>
    <s v="CTS / ONSITE / PWC - MEL Tech [ONS]"/>
    <n v="344.38"/>
    <n v="385.7"/>
    <n v="9.5"/>
  </r>
  <r>
    <x v="6"/>
    <n v="11533654"/>
    <x v="45"/>
    <s v="Norrie"/>
    <s v="Casual"/>
    <x v="0"/>
    <s v="CTS / ONSITE / PWC - MEL Tech [ONS]"/>
    <n v="290"/>
    <n v="324.8"/>
    <n v="8"/>
  </r>
  <r>
    <x v="7"/>
    <n v="11533654"/>
    <x v="45"/>
    <s v="Norrie"/>
    <s v="Casual"/>
    <x v="0"/>
    <s v="CTS / ONSITE / PWC - MEL Tech [ONS]"/>
    <n v="2002.81"/>
    <n v="2243.15"/>
    <n v="55.25"/>
  </r>
  <r>
    <x v="8"/>
    <n v="11533654"/>
    <x v="45"/>
    <s v="Norrie"/>
    <s v="Casual"/>
    <x v="0"/>
    <s v="CTS / ONSITE / PWC - MEL Tech [ONS]"/>
    <n v="1848.75"/>
    <n v="2070.6"/>
    <n v="51"/>
  </r>
  <r>
    <x v="9"/>
    <n v="4745780"/>
    <x v="0"/>
    <s v="SAVIGE"/>
    <s v="Casual"/>
    <x v="0"/>
    <m/>
    <n v="2209.86"/>
    <n v="2475.04"/>
    <n v="56"/>
  </r>
  <r>
    <x v="9"/>
    <n v="4745780"/>
    <x v="0"/>
    <s v="SAVIGE"/>
    <s v="Casual"/>
    <x v="0"/>
    <m/>
    <n v="4104.03"/>
    <n v="4596.51"/>
    <n v="104"/>
  </r>
  <r>
    <x v="9"/>
    <n v="4745758"/>
    <x v="1"/>
    <s v="Arnou"/>
    <s v="Casual"/>
    <x v="1"/>
    <m/>
    <n v="2404.71"/>
    <n v="2693.27"/>
    <n v="41.25"/>
  </r>
  <r>
    <x v="9"/>
    <n v="11258447"/>
    <x v="2"/>
    <s v="Carling"/>
    <s v="Casual"/>
    <x v="1"/>
    <m/>
    <n v="253.75"/>
    <n v="284.2"/>
    <n v="7"/>
  </r>
  <r>
    <x v="9"/>
    <n v="12726992"/>
    <x v="4"/>
    <s v="Mattock"/>
    <s v="Casual"/>
    <x v="1"/>
    <m/>
    <n v="1050"/>
    <n v="1176"/>
    <n v="21"/>
  </r>
  <r>
    <x v="9"/>
    <n v="12754705"/>
    <x v="6"/>
    <s v="Khumala"/>
    <s v="Casual"/>
    <x v="1"/>
    <m/>
    <n v="780"/>
    <n v="873.6"/>
    <n v="15"/>
  </r>
  <r>
    <x v="9"/>
    <n v="11950796"/>
    <x v="7"/>
    <s v="Neilson"/>
    <s v="Casual"/>
    <x v="0"/>
    <m/>
    <n v="5905.2"/>
    <n v="6712.24"/>
    <n v="170"/>
  </r>
  <r>
    <x v="9"/>
    <n v="7198283"/>
    <x v="8"/>
    <s v="Nivison-Smith"/>
    <s v="Casual"/>
    <x v="1"/>
    <m/>
    <n v="703"/>
    <n v="861.18"/>
    <n v="21.5"/>
  </r>
  <r>
    <x v="9"/>
    <n v="12097319"/>
    <x v="9"/>
    <s v="Milios"/>
    <s v="Casual"/>
    <x v="0"/>
    <m/>
    <n v="351.5"/>
    <n v="393.68"/>
    <n v="10"/>
  </r>
  <r>
    <x v="9"/>
    <n v="13135316"/>
    <x v="10"/>
    <s v="Gerakios"/>
    <s v="Casual"/>
    <x v="1"/>
    <m/>
    <n v="3690.75"/>
    <n v="4133.6400000000003"/>
    <n v="105"/>
  </r>
  <r>
    <x v="9"/>
    <n v="12271906"/>
    <x v="11"/>
    <s v="Motsi"/>
    <s v="Casual"/>
    <x v="0"/>
    <m/>
    <n v="263.62"/>
    <n v="295.26"/>
    <n v="7.5"/>
  </r>
  <r>
    <x v="9"/>
    <n v="9587203"/>
    <x v="12"/>
    <s v="Seedat"/>
    <s v="Casual"/>
    <x v="0"/>
    <m/>
    <n v="281.2"/>
    <n v="314.94"/>
    <n v="8"/>
  </r>
  <r>
    <x v="9"/>
    <n v="10749213"/>
    <x v="13"/>
    <s v="Cooper"/>
    <s v="Casual"/>
    <x v="2"/>
    <m/>
    <n v="838.56"/>
    <n v="939.19"/>
    <n v="17"/>
  </r>
  <r>
    <x v="9"/>
    <n v="13750237"/>
    <x v="46"/>
    <s v="Todd"/>
    <s v="Casual"/>
    <x v="0"/>
    <m/>
    <n v="543.4"/>
    <n v="608.61"/>
    <n v="16"/>
  </r>
  <r>
    <x v="9"/>
    <n v="10563333"/>
    <x v="14"/>
    <s v="Panza Romanini Alchaar"/>
    <s v="Casual"/>
    <x v="1"/>
    <m/>
    <n v="149.38999999999999"/>
    <n v="167.32"/>
    <n v="4.25"/>
  </r>
  <r>
    <x v="9"/>
    <n v="4745971"/>
    <x v="15"/>
    <s v="CARTER"/>
    <s v="Casual"/>
    <x v="0"/>
    <m/>
    <n v="335.16"/>
    <n v="375.38"/>
    <n v="7.5"/>
  </r>
  <r>
    <x v="9"/>
    <n v="4745979"/>
    <x v="18"/>
    <s v="BUTLER"/>
    <s v="Casual"/>
    <x v="1"/>
    <m/>
    <n v="1600"/>
    <n v="1792"/>
    <n v="32"/>
  </r>
  <r>
    <x v="9"/>
    <n v="12835159"/>
    <x v="20"/>
    <s v="Alysandratos"/>
    <s v="Casual"/>
    <x v="1"/>
    <m/>
    <n v="281.2"/>
    <n v="339.54"/>
    <n v="8.5"/>
  </r>
  <r>
    <x v="9"/>
    <n v="12414219"/>
    <x v="22"/>
    <s v="Hendratno"/>
    <s v="Casual"/>
    <x v="0"/>
    <m/>
    <n v="509.68"/>
    <n v="570.84"/>
    <n v="14.5"/>
  </r>
  <r>
    <x v="9"/>
    <n v="12951361"/>
    <x v="23"/>
    <s v="Velarde"/>
    <s v="Casual"/>
    <x v="0"/>
    <m/>
    <n v="843.75"/>
    <n v="945"/>
    <n v="22.5"/>
  </r>
  <r>
    <x v="9"/>
    <n v="10429316"/>
    <x v="23"/>
    <s v="Zekic"/>
    <s v="Casual"/>
    <x v="0"/>
    <m/>
    <n v="632.70000000000005"/>
    <n v="708.62"/>
    <n v="18"/>
  </r>
  <r>
    <x v="9"/>
    <n v="10875145"/>
    <x v="30"/>
    <s v="Juckes"/>
    <s v="Casual"/>
    <x v="0"/>
    <m/>
    <n v="316.35000000000002"/>
    <n v="354.31"/>
    <n v="9"/>
  </r>
  <r>
    <x v="9"/>
    <n v="4745762"/>
    <x v="47"/>
    <s v="LEE"/>
    <s v="Casual"/>
    <x v="3"/>
    <m/>
    <n v="410.4"/>
    <n v="1789.18"/>
    <n v="31.14"/>
  </r>
  <r>
    <x v="9"/>
    <n v="4988501"/>
    <x v="35"/>
    <s v="Serritelli"/>
    <s v="Casual"/>
    <x v="0"/>
    <m/>
    <n v="338.5"/>
    <n v="379.12"/>
    <n v="8"/>
  </r>
  <r>
    <x v="9"/>
    <n v="7129294"/>
    <x v="37"/>
    <s v="Howard"/>
    <s v="Casual"/>
    <x v="0"/>
    <m/>
    <n v="966.62"/>
    <n v="1082.6199999999999"/>
    <n v="27.5"/>
  </r>
  <r>
    <x v="9"/>
    <n v="12101522"/>
    <x v="40"/>
    <s v="Citrani"/>
    <s v="Casual"/>
    <x v="0"/>
    <m/>
    <n v="984.2"/>
    <n v="1102.3"/>
    <n v="28"/>
  </r>
  <r>
    <x v="9"/>
    <n v="12728703"/>
    <x v="42"/>
    <s v="Camden"/>
    <s v="Casual"/>
    <x v="1"/>
    <m/>
    <n v="152"/>
    <n v="170.24"/>
    <n v="4"/>
  </r>
  <r>
    <x v="9"/>
    <n v="11554172"/>
    <x v="44"/>
    <s v="Lecher"/>
    <s v="Casual"/>
    <x v="0"/>
    <m/>
    <n v="2978.96"/>
    <n v="3336.44"/>
    <n v="84.75"/>
  </r>
  <r>
    <x v="9"/>
    <n v="11533654"/>
    <x v="45"/>
    <s v="Norrie"/>
    <s v="Casual"/>
    <x v="0"/>
    <m/>
    <n v="580"/>
    <n v="649.6"/>
    <n v="16"/>
  </r>
  <r>
    <x v="12"/>
    <m/>
    <x v="48"/>
    <m/>
    <m/>
    <x v="4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73CD12-3F21-4907-BDBA-30D3AE2BCE4F}" name="PivotTable2" cacheId="10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C38:BO56" firstHeaderRow="1" firstDataRow="2" firstDataCol="1" rowPageCount="1" colPageCount="1"/>
  <pivotFields count="10">
    <pivotField axis="axisCol" showAll="0">
      <items count="14">
        <item x="7"/>
        <item x="11"/>
        <item x="5"/>
        <item x="1"/>
        <item x="0"/>
        <item x="10"/>
        <item x="9"/>
        <item x="6"/>
        <item x="8"/>
        <item x="4"/>
        <item x="3"/>
        <item x="2"/>
        <item x="12"/>
        <item t="default"/>
      </items>
    </pivotField>
    <pivotField showAll="0"/>
    <pivotField axis="axisRow" showAll="0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showAll="0"/>
    <pivotField showAll="0"/>
    <pivotField axis="axisPage" multipleItemSelectionAllowed="1" showAll="0">
      <items count="6">
        <item h="1" x="0"/>
        <item x="1"/>
        <item h="1" x="2"/>
        <item h="1" x="3"/>
        <item h="1" x="4"/>
        <item t="default"/>
      </items>
    </pivotField>
    <pivotField showAll="0"/>
    <pivotField numFmtId="174" showAll="0"/>
    <pivotField dataField="1" numFmtId="174" showAll="0"/>
    <pivotField showAll="0"/>
  </pivotFields>
  <rowFields count="1">
    <field x="2"/>
  </rowFields>
  <rowItems count="17">
    <i>
      <x v="1"/>
    </i>
    <i>
      <x v="2"/>
    </i>
    <i>
      <x v="3"/>
    </i>
    <i>
      <x v="4"/>
    </i>
    <i>
      <x v="6"/>
    </i>
    <i>
      <x v="8"/>
    </i>
    <i>
      <x v="10"/>
    </i>
    <i>
      <x v="14"/>
    </i>
    <i>
      <x v="17"/>
    </i>
    <i>
      <x v="18"/>
    </i>
    <i>
      <x v="20"/>
    </i>
    <i>
      <x v="21"/>
    </i>
    <i>
      <x v="33"/>
    </i>
    <i>
      <x v="34"/>
    </i>
    <i>
      <x v="36"/>
    </i>
    <i>
      <x v="42"/>
    </i>
    <i t="grand">
      <x/>
    </i>
  </rowItems>
  <colFields count="1">
    <field x="0"/>
  </colFields>
  <colItems count="12">
    <i>
      <x/>
    </i>
    <i>
      <x v="1"/>
    </i>
    <i>
      <x v="2"/>
    </i>
    <i>
      <x v="3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pageFields count="1">
    <pageField fld="5" hier="-1"/>
  </pageFields>
  <dataFields count="1">
    <dataField name="Sum of Total gross plus super" fld="8" baseField="0" baseItem="0" numFmtId="17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378D6D-B681-4195-AB65-633E5A2BFA45}" name="PivotTable1" cacheId="10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C3:BP35" firstHeaderRow="1" firstDataRow="2" firstDataCol="1" rowPageCount="1" colPageCount="1"/>
  <pivotFields count="10">
    <pivotField axis="axisCol" showAll="0">
      <items count="14">
        <item x="7"/>
        <item x="11"/>
        <item x="5"/>
        <item x="1"/>
        <item x="0"/>
        <item x="10"/>
        <item x="9"/>
        <item x="6"/>
        <item x="8"/>
        <item x="4"/>
        <item x="3"/>
        <item x="2"/>
        <item x="12"/>
        <item t="default"/>
      </items>
    </pivotField>
    <pivotField showAll="0"/>
    <pivotField axis="axisRow" showAll="0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showAll="0"/>
    <pivotField showAll="0"/>
    <pivotField axis="axisPage" multipleItemSelectionAllowed="1" showAll="0">
      <items count="6">
        <item x="0"/>
        <item h="1" x="1"/>
        <item h="1" x="2"/>
        <item h="1" x="3"/>
        <item h="1" x="4"/>
        <item t="default"/>
      </items>
    </pivotField>
    <pivotField showAll="0"/>
    <pivotField numFmtId="174" showAll="0"/>
    <pivotField dataField="1" numFmtId="174" showAll="0"/>
    <pivotField showAll="0"/>
  </pivotFields>
  <rowFields count="1">
    <field x="2"/>
  </rowFields>
  <rowItems count="31">
    <i>
      <x/>
    </i>
    <i>
      <x v="5"/>
    </i>
    <i>
      <x v="7"/>
    </i>
    <i>
      <x v="9"/>
    </i>
    <i>
      <x v="11"/>
    </i>
    <i>
      <x v="12"/>
    </i>
    <i>
      <x v="15"/>
    </i>
    <i>
      <x v="16"/>
    </i>
    <i>
      <x v="19"/>
    </i>
    <i>
      <x v="21"/>
    </i>
    <i>
      <x v="22"/>
    </i>
    <i>
      <x v="23"/>
    </i>
    <i>
      <x v="24"/>
    </i>
    <i>
      <x v="26"/>
    </i>
    <i>
      <x v="27"/>
    </i>
    <i>
      <x v="28"/>
    </i>
    <i>
      <x v="29"/>
    </i>
    <i>
      <x v="30"/>
    </i>
    <i>
      <x v="31"/>
    </i>
    <i>
      <x v="32"/>
    </i>
    <i>
      <x v="35"/>
    </i>
    <i>
      <x v="37"/>
    </i>
    <i>
      <x v="38"/>
    </i>
    <i>
      <x v="39"/>
    </i>
    <i>
      <x v="40"/>
    </i>
    <i>
      <x v="41"/>
    </i>
    <i>
      <x v="43"/>
    </i>
    <i>
      <x v="44"/>
    </i>
    <i>
      <x v="45"/>
    </i>
    <i>
      <x v="46"/>
    </i>
    <i t="grand">
      <x/>
    </i>
  </rowItems>
  <colFields count="1">
    <field x="0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pageFields count="1">
    <pageField fld="5" hier="-1"/>
  </pageFields>
  <dataFields count="1">
    <dataField name="Sum of Total gross plus super" fld="8" baseField="0" baseItem="0" numFmtId="17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024E7A-BEE6-4CB6-9757-4412467E2683}" name="PivotTable3" cacheId="10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C60:BN65" firstHeaderRow="1" firstDataRow="2" firstDataCol="1" rowPageCount="1" colPageCount="1"/>
  <pivotFields count="10">
    <pivotField axis="axisCol" showAll="0">
      <items count="14">
        <item x="7"/>
        <item x="11"/>
        <item x="5"/>
        <item x="1"/>
        <item x="0"/>
        <item x="10"/>
        <item x="9"/>
        <item x="6"/>
        <item x="8"/>
        <item x="4"/>
        <item x="3"/>
        <item x="2"/>
        <item x="12"/>
        <item t="default"/>
      </items>
    </pivotField>
    <pivotField showAll="0"/>
    <pivotField axis="axisRow" showAll="0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showAll="0"/>
    <pivotField showAll="0"/>
    <pivotField axis="axisPage" multipleItemSelectionAllowed="1" showAll="0">
      <items count="6">
        <item h="1" x="0"/>
        <item h="1" x="1"/>
        <item x="2"/>
        <item h="1" x="3"/>
        <item h="1" x="4"/>
        <item t="default"/>
      </items>
    </pivotField>
    <pivotField showAll="0"/>
    <pivotField numFmtId="174" showAll="0"/>
    <pivotField dataField="1" numFmtId="174" showAll="0"/>
    <pivotField showAll="0"/>
  </pivotFields>
  <rowFields count="1">
    <field x="2"/>
  </rowFields>
  <rowItems count="4">
    <i>
      <x v="2"/>
    </i>
    <i>
      <x v="13"/>
    </i>
    <i>
      <x v="25"/>
    </i>
    <i t="grand">
      <x/>
    </i>
  </rowItems>
  <colFields count="1">
    <field x="0"/>
  </colFields>
  <col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1"/>
    </i>
    <i t="grand">
      <x/>
    </i>
  </colItems>
  <pageFields count="1">
    <pageField fld="5" hier="-1"/>
  </pageFields>
  <dataFields count="1">
    <dataField name="Sum of Total gross plus super" fld="8" baseField="0" baseItem="0" numFmtId="17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3" dT="2026-06-16T23:38:08.57" personId="{5CD8FB3E-056B-4FA4-9680-1615C40CADA7}" id="{B281D091-3B3B-411D-8544-8A8361852161}">
    <text xml:space="preserve">@Emelda Waiya </text>
    <mentions>
      <mention mentionpersonId="{A2F11CE6-23A6-40C6-B6E5-035177C30E9A}" mentionId="{5B74C25C-910A-4644-8A07-816018E7738E}" startIndex="0" length="13"/>
    </mentions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F3" dT="2026-05-28T22:54:54.25" personId="{5CD8FB3E-056B-4FA4-9680-1615C40CADA7}" id="{A914F8D2-8D25-4255-A6AF-8F584D9F89C8}">
    <text>Lodgement of ASIC fee</text>
  </threadedComment>
  <threadedComment ref="L3" dT="2026-05-28T06:52:02.59" personId="{5CD8FB3E-056B-4FA4-9680-1615C40CADA7}" id="{F80D5A3F-F7C7-4877-BFD4-D260E56D2392}">
    <text>FBT</text>
  </threadedComment>
  <threadedComment ref="L7" dT="2026-03-19T23:14:39.62" personId="{5CD8FB3E-056B-4FA4-9680-1615C40CADA7}" id="{747C9623-7515-40B4-8086-2B532E62C306}">
    <text xml:space="preserve">Includes Annual BG Fee </text>
  </threadedComment>
  <threadedComment ref="B9" dT="2026-06-22T00:40:06.32" personId="{5CD8FB3E-056B-4FA4-9680-1615C40CADA7}" id="{006C2716-1F01-43C1-9D82-AD0817B1143F}">
    <text>@Jordan Sexty could you please advise what else falls under ESG so we can check if 3k per month is too much or not enough?</text>
    <mentions>
      <mention mentionpersonId="{CD842C59-8EEE-4580-ACDE-1384FFE83A8E}" mentionId="{F7CC797B-5EB1-4A01-9B04-45B4A45CFE13}" startIndex="0" length="13"/>
    </mentions>
  </threadedComment>
  <threadedComment ref="B9" dT="2026-06-22T01:20:31.22" personId="{AFC0B511-50B5-4351-B0A2-37FA76E1D646}" id="{D36B5530-43F3-4C07-A68F-348FD1EB7FC7}" parentId="{006C2716-1F01-43C1-9D82-AD0817B1143F}">
    <text>CDP, SBTI, any additional which may be required by clients. @Gianmaria  Gonzales-Yao</text>
    <mentions>
      <mention mentionpersonId="{967AD9CB-C72E-4C3A-952B-479701ED905A}" mentionId="{302FE75A-6549-4BFB-BA98-5032E77C8B22}" startIndex="60" length="24"/>
    </mentions>
  </threadedComment>
  <threadedComment ref="G12" dT="2026-03-19T21:39:01.12" personId="{5CD8FB3E-056B-4FA4-9680-1615C40CADA7}" id="{FF049AC3-4574-4093-86BF-433CB1068425}">
    <text>DL subscription resumes here</text>
  </threadedComment>
  <threadedComment ref="K26" dT="2026-03-19T22:49:35.88" personId="{5CD8FB3E-056B-4FA4-9680-1615C40CADA7}" id="{CAB367E4-067E-49A4-9B13-7D6E64FDB39D}">
    <text>ASX Refinitiv</text>
  </threadedComment>
  <threadedComment ref="I27" dT="2026-03-20T00:16:07.50" personId="{5CD8FB3E-056B-4FA4-9680-1615C40CADA7}" id="{51A5DE75-3177-48A4-A259-D0D1FC473D8B}">
    <text>Christmas</text>
  </threadedComment>
  <threadedComment ref="E33" dT="2026-03-19T23:30:07.79" personId="{5CD8FB3E-056B-4FA4-9680-1615C40CADA7}" id="{EFD4C21A-504D-4CCD-9EF9-73519EFE4CFF}">
    <text>CTS Day transport</text>
  </threadedComment>
  <threadedComment ref="B44" dT="2026-06-22T00:57:29.79" personId="{5CD8FB3E-056B-4FA4-9680-1615C40CADA7}" id="{E543D22C-DBB6-4A90-8CAB-65E2D34BA623}">
    <text>@Emelda Waiya to cancel</text>
    <mentions>
      <mention mentionpersonId="{A2F11CE6-23A6-40C6-B6E5-035177C30E9A}" mentionId="{C00CE0B1-FFC6-4E8D-8F26-959B0B4C48FD}" startIndex="0" length="13"/>
    </mentions>
  </threadedComment>
  <threadedComment ref="E47" dT="2026-06-22T02:53:49.29" personId="{5CD8FB3E-056B-4FA4-9680-1615C40CADA7}" id="{BF5BAE14-8480-4E55-94AB-01E33E097E7B}">
    <text>Website update</text>
  </threadedComment>
  <threadedComment ref="E48" dT="2026-06-22T01:00:06.48" personId="{5CD8FB3E-056B-4FA4-9680-1615C40CADA7}" id="{97BE930C-7706-48AA-BF57-A8ABF638EC04}">
    <text>Update on CTS 20-year logo</text>
  </threadedComment>
  <threadedComment ref="E62" dT="2025-05-16T04:27:11.98" personId="{5CD8FB3E-056B-4FA4-9680-1615C40CADA7}" id="{36FF579A-3492-4959-AA8F-F28F44A803A6}">
    <text>CTS Day</text>
  </threadedComment>
  <threadedComment ref="I62" dT="2025-05-16T04:31:17.24" personId="{5CD8FB3E-056B-4FA4-9680-1615C40CADA7}" id="{31DD13DD-D811-4DAD-92D1-067A7D475216}">
    <text>Christmas party travel for staff</text>
  </threadedComment>
  <threadedComment ref="F63" dT="2026-06-22T01:04:58.16" personId="{5CD8FB3E-056B-4FA4-9680-1615C40CADA7}" id="{8D007CAC-92BE-40AB-B80D-C9C8C4D7D963}">
    <text>20-year anniversary</text>
  </threadedComment>
  <threadedComment ref="I63" dT="2026-04-22T05:50:29.28" personId="{5CD8FB3E-056B-4FA4-9680-1615C40CADA7}" id="{02E669BE-4135-4B84-89D8-A95472AB0D52}">
    <text>Client Christmas Gifts</text>
  </threadedComment>
  <threadedComment ref="G70" dT="2025-05-16T04:32:45.51" personId="{5CD8FB3E-056B-4FA4-9680-1615C40CADA7}" id="{DBCA1BBB-4E64-45B9-8DC3-265E2CE7A53A}">
    <text>Production survival kit</text>
  </threadedComment>
  <threadedComment ref="E72" dT="2025-02-12T02:33:23.88" personId="{5CD8FB3E-056B-4FA4-9680-1615C40CADA7}" id="{8837CA3F-C0B0-46B8-B162-15CC65855AF8}">
    <text>CTS Day</text>
  </threadedComment>
  <threadedComment ref="I72" dT="2025-02-12T02:33:16.73" personId="{5CD8FB3E-056B-4FA4-9680-1615C40CADA7}" id="{CAB59158-CE23-4DB6-B30C-108CE55F9F2F}">
    <text>Christmas party &amp; gifts for staff</text>
  </threadedComment>
  <threadedComment ref="D106" dT="2025-02-11T23:46:35.77" personId="{5CD8FB3E-056B-4FA4-9680-1615C40CADA7}" id="{A66F89A8-4EE3-4C85-B038-F93A23002A5D}">
    <text>Update based on forecasted increase in rate</text>
  </threadedComment>
  <threadedComment ref="F107" dT="2026-07-10T06:04:09.88" personId="{5CD8FB3E-056B-4FA4-9680-1615C40CADA7}" id="{F2C9711B-4E6A-4339-9648-819706CF3DE3}">
    <text>Includes Employer Contributed Super $32,500 for FY2027</text>
  </threadedComment>
  <threadedComment ref="A120" dT="2026-03-26T04:40:00.88" personId="{5CD8FB3E-056B-4FA4-9680-1615C40CADA7}" id="{B21152A8-9F5E-44E9-9A33-C37DC3C8C441}">
    <text>Update after FY finishes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3" dT="2026-06-22T01:18:31.50" personId="{5CD8FB3E-056B-4FA4-9680-1615C40CADA7}" id="{2F844AB0-8D3C-4425-940C-5172B9AA0859}">
    <text>Based on project basis</text>
  </threadedComment>
  <threadedComment ref="E25" dT="2025-05-18T23:45:24.15" personId="{5CD8FB3E-056B-4FA4-9680-1615C40CADA7}" id="{2399B528-A5B2-4AD1-BD73-7E1BC5623000}">
    <text>Potentially back to 4 days from Sep 2025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CJ3" dT="2025-02-19T05:36:02.38" personId="{5CD8FB3E-056B-4FA4-9680-1615C40CADA7}" id="{DADC720F-FF8A-49DC-8C09-3CD4B300D930}">
    <text>Mandatory, please select from the drop down list.</text>
  </threadedComment>
  <threadedComment ref="DO3" dT="2025-02-19T05:36:02.38" personId="{5CD8FB3E-056B-4FA4-9680-1615C40CADA7}" id="{2D7C1C8F-E824-44AB-A2F6-AFFCBFAC6C68}">
    <text>Mandatory, please select from the drop down list.</text>
  </threadedComment>
  <threadedComment ref="DG15" dT="2026-03-10T01:07:45.24" personId="{5CD8FB3E-056B-4FA4-9680-1615C40CADA7}" id="{D0EB8A3A-141C-461F-8DE0-3959F0F70C5F}">
    <text>accrued</text>
  </threadedComment>
  <threadedComment ref="DH15" dT="2026-03-10T01:07:38.32" personId="{5CD8FB3E-056B-4FA4-9680-1615C40CADA7}" id="{06E471E2-3718-4896-BFEE-091E2CF06684}">
    <text>accrued</text>
  </threadedComment>
  <threadedComment ref="EG17" dT="2026-08-14T05:15:18.27" personId="{5CD8FB3E-056B-4FA4-9680-1615C40CADA7}" id="{E9939E03-2CDD-4870-A327-5A0567A83E11}">
    <text>YSG</text>
  </threadedComment>
  <threadedComment ref="DC56" dT="2025-10-06T23:05:11.52" personId="{5CD8FB3E-056B-4FA4-9680-1615C40CADA7}" id="{E369B734-AE82-48E7-B7B2-2D99901F5F0F}">
    <text>Scentre Group</text>
  </threadedComment>
  <threadedComment ref="CL57" dT="2025-07-24T01:22:20.72" personId="{5CD8FB3E-056B-4FA4-9680-1615C40CADA7}" id="{A4A547CA-A4DB-417E-982B-0EAD0AD131CA}">
    <text>20% N/N &amp; 80% N/E</text>
  </threadedComment>
  <threadedComment ref="DA57" dT="2025-09-17T00:10:46.35" personId="{5CD8FB3E-056B-4FA4-9680-1615C40CADA7}" id="{359CA05B-DC5A-4785-8E2C-7515B65CDD82}">
    <text>JC Purchases</text>
  </threadedComment>
  <threadedComment ref="DC57" dT="2025-10-06T23:05:11.52" personId="{5CD8FB3E-056B-4FA4-9680-1615C40CADA7}" id="{B92D1E77-CD38-424B-92E8-F685F003EA07}">
    <text>Scentre Group</text>
  </threadedComment>
  <threadedComment ref="DD57" dT="2025-10-07T04:41:06.23" personId="{5CD8FB3E-056B-4FA4-9680-1615C40CADA7}" id="{A915CC4E-9244-4802-AEFE-8D53031A7EB3}">
    <text>Remondis</text>
  </threadedComment>
  <threadedComment ref="DE57" dT="2025-10-07T06:05:41.75" personId="{5CD8FB3E-056B-4FA4-9680-1615C40CADA7}" id="{26CFEEE0-96B9-41D4-8E67-5FB104985F36}">
    <text>Novigi</text>
  </threadedComment>
  <threadedComment ref="DF57" dT="2026-01-04T22:56:31.93" personId="{5CD8FB3E-056B-4FA4-9680-1615C40CADA7}" id="{DB7FB967-6C28-4B71-8939-E50B8C6321B7}">
    <text>Novigi Boardroom consult</text>
  </threadedComment>
  <threadedComment ref="DQ57" dT="2025-07-24T01:22:20.72" personId="{5CD8FB3E-056B-4FA4-9680-1615C40CADA7}" id="{B7E936E3-5210-45C2-9689-FA657643224D}">
    <text>20% N/N &amp; 80% N/E</text>
  </threadedComment>
  <threadedComment ref="CL58" dT="2025-07-24T01:22:26.79" personId="{5CD8FB3E-056B-4FA4-9680-1615C40CADA7}" id="{D57D0246-EAAC-47DE-A7F6-249F62FD8189}">
    <text>20% N/N &amp; 80% N/E</text>
  </threadedComment>
  <threadedComment ref="DE58" dT="2025-12-09T06:04:38.90" personId="{5CD8FB3E-056B-4FA4-9680-1615C40CADA7}" id="{C74282BB-ADC9-43AB-B69D-8CB08BF33366}">
    <text>Presynct</text>
  </threadedComment>
  <threadedComment ref="DQ58" dT="2025-07-24T01:22:26.79" personId="{5CD8FB3E-056B-4FA4-9680-1615C40CADA7}" id="{54FC061C-4815-4309-B581-BDC63DBF0AA3}">
    <text>20% N/N &amp; 80% N/E</text>
  </threadedComment>
  <threadedComment ref="DE59" dT="2025-10-07T06:05:41.75" personId="{5CD8FB3E-056B-4FA4-9680-1615C40CADA7}" id="{0168EF1F-AB55-4696-98FB-93E5995F1611}">
    <text>Novigi</text>
  </threadedComment>
  <threadedComment ref="DF59" dT="2026-01-04T22:56:31.93" personId="{5CD8FB3E-056B-4FA4-9680-1615C40CADA7}" id="{A9E7C301-87E9-4253-85CE-F4795F1B2933}">
    <text>Novigi Boardroom consult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E10" dT="2025-03-31T01:44:23.62" personId="{5CD8FB3E-056B-4FA4-9680-1615C40CADA7}" id="{6E6AD788-C884-4661-9E9C-D55CDF1B1851}">
    <text>Based on pivot table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D9" dT="2026-06-22T03:54:04.69" personId="{5CD8FB3E-056B-4FA4-9680-1615C40CADA7}" id="{2E86A114-230A-4646-9A30-EBC6ECC3D47A}">
    <text>manual</text>
  </threadedComment>
  <threadedComment ref="D10" dT="2026-06-22T03:53:43.22" personId="{5CD8FB3E-056B-4FA4-9680-1615C40CADA7}" id="{0469104B-C28E-4D95-B4D2-83CDA8881126}">
    <text>manual</text>
  </threadedComment>
  <threadedComment ref="D13" dT="2026-06-22T03:54:04.69" personId="{5CD8FB3E-056B-4FA4-9680-1615C40CADA7}" id="{53B0346C-FD5E-4A0A-A460-2CA9EB4F9DB2}">
    <text>manual</text>
  </threadedComment>
  <threadedComment ref="B53" dT="2026-05-21T23:31:00.52" personId="{5CD8FB3E-056B-4FA4-9680-1615C40CADA7}" id="{100DC293-54B9-49DC-BE04-28A35D1EB180}">
    <text>Manually taken from AL-LSL Provision spreadsheet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BQ3" dT="2025-02-18T23:47:58.62" personId="{5CD8FB3E-056B-4FA4-9680-1615C40CADA7}" id="{D7E06146-407B-4824-881E-805759CFBBD5}">
    <text>Mandatory, please select from the drop down list.</text>
  </threadedComment>
  <threadedComment ref="CU3" dT="2025-02-18T23:47:58.62" personId="{5CD8FB3E-056B-4FA4-9680-1615C40CADA7}" id="{254D2DA6-7DC7-4007-A6AA-B2652276E9A4}">
    <text>Mandatory, please select from the drop down list.</text>
  </threadedComment>
  <threadedComment ref="DF29" dT="2026-08-03T05:11:45.39" personId="{5CD8FB3E-056B-4FA4-9680-1615C40CADA7}" id="{CFA24B3F-9E77-44FF-8A6E-D166DAEF35FE}">
    <text>50% chance of extension to this price.</text>
  </threadedComment>
  <threadedComment ref="CW39" dT="2026-06-17T10:42:02.14" personId="{5CD8FB3E-056B-4FA4-9680-1615C40CADA7}" id="{9410152B-A56B-4086-8F82-F26C215152B6}">
    <text>$520 DTTL + $240 CBA + $60 BW</text>
  </threadedComment>
  <threadedComment ref="CI56" dT="2025-10-06T23:00:24.00" personId="{5CD8FB3E-056B-4FA4-9680-1615C40CADA7}" id="{5545BBAB-87F8-4786-AE3D-13887D604972}">
    <text>APN</text>
  </threadedComment>
  <threadedComment ref="CI57" dT="2025-10-06T23:00:45.79" personId="{5CD8FB3E-056B-4FA4-9680-1615C40CADA7}" id="{D6EF3FFA-FD45-4DD6-AE04-B3521BEE533D}">
    <text>540 DTTL + 240 CBA</text>
  </threadedComment>
  <threadedComment ref="CJ65" dT="2025-10-10T04:28:13.15" personId="{5CD8FB3E-056B-4FA4-9680-1615C40CADA7}" id="{32889464-C848-4C92-938D-9E151417132D}">
    <text>Excludes Dan’s Salary from Oct-Jun</text>
  </threadedComment>
  <threadedComment ref="BR66" dT="2025-05-13T00:42:33.00" personId="{5CD8FB3E-056B-4FA4-9680-1615C40CADA7}" id="{48BAD467-F765-45FC-97AA-996206DCCDFE}">
    <text>Labour Hire Licences</text>
  </threadedComment>
  <threadedComment ref="CV66" dT="2025-05-13T00:42:33.00" personId="{5CD8FB3E-056B-4FA4-9680-1615C40CADA7}" id="{07A1F3D3-0C04-4936-BB89-AE55546042CA}">
    <text>Labour Hire Licences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AD3" dT="2025-02-18T23:52:51.57" personId="{5CD8FB3E-056B-4FA4-9680-1615C40CADA7}" id="{C36036E5-3283-45F5-8379-FF83AA8F2690}">
    <text>Mandatory. Please select from the drop down list.</text>
  </threadedComment>
  <threadedComment ref="AT3" dT="2025-02-18T23:52:51.57" personId="{5CD8FB3E-056B-4FA4-9680-1615C40CADA7}" id="{7F209AC2-65FD-4AA6-8AEA-1451D9402055}">
    <text>Mandatory. Please select from the drop down list.</text>
  </threadedComment>
  <threadedComment ref="CL3" dT="2025-02-18T23:52:51.57" personId="{5CD8FB3E-056B-4FA4-9680-1615C40CADA7}" id="{064ABCB2-0351-44B1-83B6-99073ADB87B2}">
    <text>Mandatory. Please select from the drop down list.</text>
  </threadedComment>
  <threadedComment ref="DB3" dT="2025-02-18T23:52:51.57" personId="{5CD8FB3E-056B-4FA4-9680-1615C40CADA7}" id="{15B0FE71-C9AA-4960-8192-7B9F1F6DEA78}">
    <text>Mandatory. Please select from the drop down list.</text>
  </threadedComment>
  <threadedComment ref="BJ4" dT="2025-09-17T01:31:57.54" personId="{5CD8FB3E-056B-4FA4-9680-1615C40CADA7}" id="{2541E1EB-37D7-4F13-ABFF-83D04AD4BAB4}">
    <text>Dimensional
Optiver</text>
  </threadedComment>
  <threadedComment ref="BK4" dT="2025-09-17T01:39:55.45" personId="{5CD8FB3E-056B-4FA4-9680-1615C40CADA7}" id="{AD2C892C-2045-48B0-83B0-32236D9F7D99}">
    <text>Dimensional
Loghic
St. Vincent
Woke</text>
  </threadedComment>
  <threadedComment ref="BL4" dT="2025-10-06T22:34:15.35" personId="{5CD8FB3E-056B-4FA4-9680-1615C40CADA7}" id="{A0046C6F-0025-4EF1-9C38-A7F831AF00D9}">
    <text>DFA, EY, ICC</text>
  </threadedComment>
  <threadedComment ref="BM4" dT="2025-12-09T02:49:51.50" personId="{5CD8FB3E-056B-4FA4-9680-1615C40CADA7}" id="{6DA2C6D2-22D0-41A1-AA96-6D3D0952757F}">
    <text>Dimensional &amp; Ootoz &amp; Ventia</text>
  </threadedComment>
  <threadedComment ref="BN4" dT="2025-12-09T01:28:30.67" personId="{5CD8FB3E-056B-4FA4-9680-1615C40CADA7}" id="{7D4836FE-17B8-4093-9146-F8192ADA7DBB}">
    <text>Dimensional &amp; Elkiem &amp; Fredon &amp; Vega</text>
  </threadedComment>
  <threadedComment ref="BO4" dT="2026-01-04T23:46:40.84" personId="{5CD8FB3E-056B-4FA4-9680-1615C40CADA7}" id="{C27F9436-86B9-4D1A-8EBA-F9F18A6C2D86}">
    <text>Optiver/Vega</text>
  </threadedComment>
  <threadedComment ref="BY4" dT="2025-09-17T01:45:00.86" personId="{5CD8FB3E-056B-4FA4-9680-1615C40CADA7}" id="{769640DF-04DD-412C-A210-51FCB7CEC3CE}">
    <text>St. Vincent</text>
  </threadedComment>
  <threadedComment ref="CB4" dT="2025-12-09T01:34:01.60" personId="{5CD8FB3E-056B-4FA4-9680-1615C40CADA7}" id="{CD04B6A2-BB58-41B4-BB9C-83B1571DE2E0}">
    <text>Vega</text>
  </threadedComment>
  <threadedComment ref="BK5" dT="2025-09-17T01:45:33.65" personId="{5CD8FB3E-056B-4FA4-9680-1615C40CADA7}" id="{C3D0C6A4-A522-4F01-B581-4CDADECAA120}">
    <text>Symal
Amazon
Virgin</text>
  </threadedComment>
  <threadedComment ref="BL5" dT="2025-10-06T22:34:32.84" personId="{5CD8FB3E-056B-4FA4-9680-1615C40CADA7}" id="{730B7946-84A5-40FB-97B1-76C2710778D1}">
    <text>Elkiem; Production Technologies, AI Media</text>
  </threadedComment>
  <threadedComment ref="BN5" dT="2025-12-09T01:19:51.51" personId="{5CD8FB3E-056B-4FA4-9680-1615C40CADA7}" id="{B48D1D2A-21C4-4F25-9D31-13A2597083C7}">
    <text>ART &amp; Noumi</text>
  </threadedComment>
  <threadedComment ref="BQ5" dT="2026-03-10T01:30:48.58" personId="{5CD8FB3E-056B-4FA4-9680-1615C40CADA7}" id="{770F92EF-B037-479C-A4E4-573A6F17E007}">
    <text>Nyrada and Loreto</text>
  </threadedComment>
  <threadedComment ref="BY5" dT="2025-09-17T01:45:45.15" personId="{5CD8FB3E-056B-4FA4-9680-1615C40CADA7}" id="{F511AF68-94DE-4B6F-9E88-3AB252B7CC7E}">
    <text>Symal</text>
  </threadedComment>
  <threadedComment ref="BZ5" dT="2025-10-06T22:42:37.19" personId="{5CD8FB3E-056B-4FA4-9680-1615C40CADA7}" id="{30AC70B4-E1B6-4E66-A21A-F09EEAC27FD8}">
    <text>AI Media</text>
  </threadedComment>
  <threadedComment ref="CA5" dT="2025-10-06T22:39:45.66" personId="{5CD8FB3E-056B-4FA4-9680-1615C40CADA7}" id="{03C1BCF7-A3E7-44C1-AFB0-6464267D22F2}">
    <text>LSEG</text>
  </threadedComment>
  <threadedComment ref="DR5" dT="2026-08-14T05:56:19.66" personId="{5CD8FB3E-056B-4FA4-9680-1615C40CADA7}" id="{703BD1CA-C828-4506-8498-16DED45F2B53}">
    <text>Litecard, Microsoft, Chin Collective</text>
  </threadedComment>
  <threadedComment ref="BM13" dT="2025-10-13T03:13:10.24" personId="{5CD8FB3E-056B-4FA4-9680-1615C40CADA7}" id="{06CDE319-4334-444D-A2C6-B4E12D056B2A}">
    <text>increase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A1" dT="2026-06-12T01:58:15.32" personId="{5CD8FB3E-056B-4FA4-9680-1615C40CADA7}" id="{F009EB8B-A039-4059-A9EE-00A38CE6A0EF}">
    <text>Run for the FY.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7" Type="http://schemas.microsoft.com/office/2019/04/relationships/documenttask" Target="../documenttasks/documenttask1.x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revenue.nsw.gov.au/taxes-duties-levies-royalties/payroll-tax/lodge-and-pay-returns/thresholds-and-rates" TargetMode="External"/><Relationship Id="rId6" Type="http://schemas.microsoft.com/office/2017/10/relationships/threadedComment" Target="../threadedComments/threadedComment2.xml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4.xml"/></Relationships>
</file>

<file path=xl/worksheets/_rels/sheet1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Relationship Id="rId4" Type="http://schemas.microsoft.com/office/2017/10/relationships/threadedComment" Target="../threadedComments/threadedComment6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Relationship Id="rId4" Type="http://schemas.microsoft.com/office/2017/10/relationships/threadedComment" Target="../threadedComments/threadedComment7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8.xml"/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microsoft.com/office/2017/10/relationships/threadedComment" Target="../threadedComments/threadedComment9.xml"/><Relationship Id="rId5" Type="http://schemas.openxmlformats.org/officeDocument/2006/relationships/comments" Target="../comments9.xml"/><Relationship Id="rId4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EA3ED-9EBF-40C3-8135-BB7124FBCF37}">
  <sheetPr codeName="Sheet1">
    <tabColor theme="9" tint="0.59999389629810485"/>
  </sheetPr>
  <dimension ref="A1:AN34"/>
  <sheetViews>
    <sheetView showGridLines="0" zoomScaleNormal="100" workbookViewId="0">
      <pane xSplit="1" topLeftCell="B1" activePane="topRight" state="frozen"/>
      <selection pane="topRight" activeCell="L25" sqref="L25"/>
    </sheetView>
  </sheetViews>
  <sheetFormatPr defaultColWidth="9.140625" defaultRowHeight="12.75" customHeight="1" x14ac:dyDescent="0.2"/>
  <cols>
    <col min="1" max="1" width="21" style="46" bestFit="1" customWidth="1"/>
    <col min="2" max="2" width="12" style="46" bestFit="1" customWidth="1"/>
    <col min="3" max="3" width="12" style="46" customWidth="1"/>
    <col min="4" max="4" width="10.7109375" style="52" customWidth="1"/>
    <col min="5" max="6" width="10.140625" style="52" customWidth="1"/>
    <col min="7" max="8" width="11" style="52" customWidth="1"/>
    <col min="9" max="13" width="10.140625" style="52" customWidth="1"/>
    <col min="14" max="14" width="10.140625" style="52" bestFit="1" customWidth="1"/>
    <col min="15" max="15" width="9.85546875" style="52" bestFit="1" customWidth="1"/>
    <col min="16" max="16" width="14" style="52" customWidth="1"/>
    <col min="17" max="17" width="7.42578125" style="44" customWidth="1"/>
    <col min="18" max="18" width="11.5703125" style="44" bestFit="1" customWidth="1"/>
    <col min="19" max="27" width="12.7109375" style="44" customWidth="1"/>
    <col min="28" max="16384" width="9.140625" style="44"/>
  </cols>
  <sheetData>
    <row r="1" spans="1:19" ht="12.75" customHeight="1" x14ac:dyDescent="0.2">
      <c r="A1" s="63"/>
      <c r="B1" s="48" t="s">
        <v>0</v>
      </c>
      <c r="C1" s="48" t="s">
        <v>0</v>
      </c>
      <c r="D1" s="70" t="s">
        <v>1</v>
      </c>
      <c r="E1" s="70" t="s">
        <v>1</v>
      </c>
      <c r="F1" s="70" t="s">
        <v>1</v>
      </c>
      <c r="G1" s="70" t="s">
        <v>1</v>
      </c>
      <c r="H1" s="70" t="s">
        <v>1</v>
      </c>
      <c r="I1" s="70" t="s">
        <v>1</v>
      </c>
      <c r="J1" s="70" t="s">
        <v>1</v>
      </c>
      <c r="K1" s="70" t="s">
        <v>1</v>
      </c>
      <c r="L1" s="70" t="s">
        <v>1</v>
      </c>
      <c r="M1" s="70" t="s">
        <v>1</v>
      </c>
      <c r="N1" s="70" t="s">
        <v>1</v>
      </c>
      <c r="O1" s="70" t="s">
        <v>1</v>
      </c>
      <c r="P1" s="70" t="s">
        <v>1</v>
      </c>
    </row>
    <row r="2" spans="1:19" s="42" customFormat="1" ht="12.75" customHeight="1" x14ac:dyDescent="0.2">
      <c r="A2" s="64"/>
      <c r="B2" s="106" t="s">
        <v>2</v>
      </c>
      <c r="C2" s="106" t="s">
        <v>3</v>
      </c>
      <c r="D2" s="175">
        <v>45474</v>
      </c>
      <c r="E2" s="175">
        <v>45505</v>
      </c>
      <c r="F2" s="175">
        <v>45536</v>
      </c>
      <c r="G2" s="175">
        <v>45566</v>
      </c>
      <c r="H2" s="175">
        <v>45597</v>
      </c>
      <c r="I2" s="175">
        <v>45627</v>
      </c>
      <c r="J2" s="175">
        <v>45658</v>
      </c>
      <c r="K2" s="175">
        <v>45689</v>
      </c>
      <c r="L2" s="175">
        <v>45717</v>
      </c>
      <c r="M2" s="175">
        <v>45748</v>
      </c>
      <c r="N2" s="175">
        <v>45778</v>
      </c>
      <c r="O2" s="175">
        <v>45809</v>
      </c>
      <c r="P2" s="71" t="s">
        <v>869</v>
      </c>
      <c r="Q2" s="706" t="s">
        <v>4</v>
      </c>
      <c r="R2" s="706"/>
    </row>
    <row r="3" spans="1:19" ht="12.75" customHeight="1" x14ac:dyDescent="0.2">
      <c r="A3" s="43" t="s">
        <v>5</v>
      </c>
      <c r="B3" s="190" t="e">
        <f>'FY27 Budget - detailed'!#REF!</f>
        <v>#REF!</v>
      </c>
      <c r="C3" s="190" t="e">
        <f>#REF!+#REF!+#REF!</f>
        <v>#REF!</v>
      </c>
      <c r="D3" s="191">
        <f>'FY27 Budget - detailed'!H3</f>
        <v>297416.4916666667</v>
      </c>
      <c r="E3" s="191">
        <f>'FY27 Budget - detailed'!I3</f>
        <v>465645.39166666666</v>
      </c>
      <c r="F3" s="191">
        <f>'FY27 Budget - detailed'!J3</f>
        <v>82321.891666666663</v>
      </c>
      <c r="G3" s="191">
        <f>'FY27 Budget - detailed'!K3</f>
        <v>100061.89166666668</v>
      </c>
      <c r="H3" s="191">
        <f>'FY27 Budget - detailed'!L3</f>
        <v>36337.39166666667</v>
      </c>
      <c r="I3" s="191">
        <f>'FY27 Budget - detailed'!M3</f>
        <v>31337.39166666667</v>
      </c>
      <c r="J3" s="191">
        <f>'FY27 Budget - detailed'!N3</f>
        <v>27340.651666666668</v>
      </c>
      <c r="K3" s="191">
        <f>'FY27 Budget - detailed'!O3</f>
        <v>32340.651666666668</v>
      </c>
      <c r="L3" s="191">
        <f>'FY27 Budget - detailed'!P3</f>
        <v>32340.651666666668</v>
      </c>
      <c r="M3" s="191">
        <f>'FY27 Budget - detailed'!Q3</f>
        <v>32340.651666666668</v>
      </c>
      <c r="N3" s="191">
        <f>'FY27 Budget - detailed'!R3</f>
        <v>8035.0716666666667</v>
      </c>
      <c r="O3" s="191">
        <f>'FY27 Budget - detailed'!S3</f>
        <v>8035.0716666666667</v>
      </c>
      <c r="P3" s="190">
        <f t="shared" ref="P3:P10" si="0">D3+E3+F3+G3+H3+I3+J3+K3+L3+M3+N3+O3</f>
        <v>1153553.2000000002</v>
      </c>
      <c r="Q3" s="107" t="e">
        <f t="shared" ref="Q3:Q11" si="1">(C3-P3)/P3</f>
        <v>#REF!</v>
      </c>
      <c r="R3" s="108" t="e">
        <f t="shared" ref="R3:R11" si="2">+P3-C3</f>
        <v>#REF!</v>
      </c>
    </row>
    <row r="4" spans="1:19" ht="12.75" customHeight="1" x14ac:dyDescent="0.2">
      <c r="A4" s="51" t="s">
        <v>6</v>
      </c>
      <c r="B4" s="190" t="e">
        <f>'FY27 Budget - detailed'!#REF!</f>
        <v>#REF!</v>
      </c>
      <c r="C4" s="190" t="e">
        <f>#REF!+#REF!+#REF!</f>
        <v>#REF!</v>
      </c>
      <c r="D4" s="191">
        <f>'FY27 Budget - detailed'!H4</f>
        <v>73000.02</v>
      </c>
      <c r="E4" s="191">
        <f>'FY27 Budget - detailed'!I4</f>
        <v>251215.02</v>
      </c>
      <c r="F4" s="191">
        <f>'FY27 Budget - detailed'!J4</f>
        <v>83326.02</v>
      </c>
      <c r="G4" s="191">
        <f>'FY27 Budget - detailed'!K4</f>
        <v>587307.02</v>
      </c>
      <c r="H4" s="191">
        <f>'FY27 Budget - detailed'!L4</f>
        <v>241601.02</v>
      </c>
      <c r="I4" s="191">
        <f>'FY27 Budget - detailed'!M4</f>
        <v>62316.020000000004</v>
      </c>
      <c r="J4" s="191">
        <f>'FY27 Budget - detailed'!N4</f>
        <v>64261.936667000002</v>
      </c>
      <c r="K4" s="191">
        <f>'FY27 Budget - detailed'!O4</f>
        <v>281912.02</v>
      </c>
      <c r="L4" s="191">
        <f>'FY27 Budget - detailed'!P4</f>
        <v>128882.02</v>
      </c>
      <c r="M4" s="191">
        <f>'FY27 Budget - detailed'!Q4</f>
        <v>98752.02</v>
      </c>
      <c r="N4" s="191">
        <f>'FY27 Budget - detailed'!R4</f>
        <v>135511.936667</v>
      </c>
      <c r="O4" s="191">
        <f>'FY27 Budget - detailed'!S4</f>
        <v>82637.02</v>
      </c>
      <c r="P4" s="190">
        <f t="shared" si="0"/>
        <v>2090722.0733340001</v>
      </c>
      <c r="Q4" s="107" t="e">
        <f t="shared" si="1"/>
        <v>#REF!</v>
      </c>
      <c r="R4" s="108" t="e">
        <f t="shared" si="2"/>
        <v>#REF!</v>
      </c>
    </row>
    <row r="5" spans="1:19" ht="12.75" customHeight="1" x14ac:dyDescent="0.2">
      <c r="A5" s="51" t="s">
        <v>7</v>
      </c>
      <c r="B5" s="190" t="e">
        <f>'FY27 Budget - detailed'!#REF!</f>
        <v>#REF!</v>
      </c>
      <c r="C5" s="190" t="e">
        <f>#REF!+#REF!+#REF!</f>
        <v>#REF!</v>
      </c>
      <c r="D5" s="191">
        <f>'FY27 Budget - detailed'!H5</f>
        <v>238860.66999999998</v>
      </c>
      <c r="E5" s="191">
        <f>'FY27 Budget - detailed'!I5</f>
        <v>256307.33</v>
      </c>
      <c r="F5" s="191">
        <f>'FY27 Budget - detailed'!J5</f>
        <v>248016.77</v>
      </c>
      <c r="G5" s="191">
        <f>'FY27 Budget - detailed'!K5</f>
        <v>263046.77</v>
      </c>
      <c r="H5" s="191">
        <f>'FY27 Budget - detailed'!L5</f>
        <v>262366.77</v>
      </c>
      <c r="I5" s="191">
        <f>'FY27 Budget - detailed'!M5</f>
        <v>251316.77</v>
      </c>
      <c r="J5" s="191">
        <f>'FY27 Budget - detailed'!N5</f>
        <v>262366.77</v>
      </c>
      <c r="K5" s="191">
        <f>'FY27 Budget - detailed'!O5</f>
        <v>262366.77</v>
      </c>
      <c r="L5" s="191">
        <f>'FY27 Budget - detailed'!P5</f>
        <v>253016.77</v>
      </c>
      <c r="M5" s="191">
        <f>'FY27 Budget - detailed'!Q5</f>
        <v>261266.77</v>
      </c>
      <c r="N5" s="191">
        <f>'FY27 Budget - detailed'!R5</f>
        <v>258950.11000000002</v>
      </c>
      <c r="O5" s="191">
        <f>'FY27 Budget - detailed'!S5</f>
        <v>242443.11000000002</v>
      </c>
      <c r="P5" s="190">
        <f t="shared" si="0"/>
        <v>3060325.38</v>
      </c>
      <c r="Q5" s="107" t="e">
        <f t="shared" si="1"/>
        <v>#REF!</v>
      </c>
      <c r="R5" s="108" t="e">
        <f t="shared" si="2"/>
        <v>#REF!</v>
      </c>
    </row>
    <row r="6" spans="1:19" ht="12.75" customHeight="1" x14ac:dyDescent="0.2">
      <c r="A6" s="55" t="s">
        <v>8</v>
      </c>
      <c r="B6" s="68" t="e">
        <f>SUM(B3:B5)</f>
        <v>#REF!</v>
      </c>
      <c r="C6" s="68" t="e">
        <f>SUM(C3:C5)</f>
        <v>#REF!</v>
      </c>
      <c r="D6" s="69">
        <f>SUM(D3:D5)</f>
        <v>609277.18166666664</v>
      </c>
      <c r="E6" s="69">
        <f t="shared" ref="E6:O6" si="3">SUM(E3:E5)</f>
        <v>973167.74166666658</v>
      </c>
      <c r="F6" s="69">
        <f t="shared" si="3"/>
        <v>413664.68166666664</v>
      </c>
      <c r="G6" s="69">
        <f t="shared" si="3"/>
        <v>950415.68166666676</v>
      </c>
      <c r="H6" s="69">
        <f t="shared" si="3"/>
        <v>540305.18166666664</v>
      </c>
      <c r="I6" s="69">
        <f t="shared" si="3"/>
        <v>344970.18166666664</v>
      </c>
      <c r="J6" s="69">
        <f t="shared" si="3"/>
        <v>353969.35833366669</v>
      </c>
      <c r="K6" s="69">
        <f t="shared" si="3"/>
        <v>576619.44166666665</v>
      </c>
      <c r="L6" s="69">
        <f t="shared" si="3"/>
        <v>414239.44166666665</v>
      </c>
      <c r="M6" s="69">
        <f t="shared" si="3"/>
        <v>392359.44166666665</v>
      </c>
      <c r="N6" s="69">
        <f t="shared" si="3"/>
        <v>402497.1183336667</v>
      </c>
      <c r="O6" s="69">
        <f t="shared" si="3"/>
        <v>333115.20166666666</v>
      </c>
      <c r="P6" s="69">
        <f t="shared" si="0"/>
        <v>6304600.6533339992</v>
      </c>
      <c r="Q6" s="107" t="e">
        <f t="shared" si="1"/>
        <v>#REF!</v>
      </c>
      <c r="R6" s="108" t="e">
        <f t="shared" si="2"/>
        <v>#REF!</v>
      </c>
      <c r="S6" s="46"/>
    </row>
    <row r="7" spans="1:19" ht="12.75" customHeight="1" x14ac:dyDescent="0.2">
      <c r="A7" s="46" t="s">
        <v>9</v>
      </c>
      <c r="B7" s="190" t="e">
        <f>'FY27 Budget - detailed'!#REF!</f>
        <v>#REF!</v>
      </c>
      <c r="C7" s="190" t="e">
        <f>#REF!+#REF!+#REF!</f>
        <v>#REF!</v>
      </c>
      <c r="D7" s="190">
        <f>'FY27 Budget - detailed'!H7</f>
        <v>156894.91234767181</v>
      </c>
      <c r="E7" s="190">
        <f>'FY27 Budget - detailed'!I7</f>
        <v>239607.17366026258</v>
      </c>
      <c r="F7" s="190">
        <f>'FY27 Budget - detailed'!J7</f>
        <v>50130.111515418597</v>
      </c>
      <c r="G7" s="190">
        <f>'FY27 Budget - detailed'!K7</f>
        <v>58336.59925557088</v>
      </c>
      <c r="H7" s="190">
        <f>'FY27 Budget - detailed'!L7</f>
        <v>27394.351833493958</v>
      </c>
      <c r="I7" s="190">
        <f>'FY27 Budget - detailed'!M7</f>
        <v>23963.879536378259</v>
      </c>
      <c r="J7" s="190">
        <f>'FY27 Budget - detailed'!N7</f>
        <v>21263.504217185644</v>
      </c>
      <c r="K7" s="190">
        <f>'FY27 Budget - detailed'!O7</f>
        <v>24080.806697185642</v>
      </c>
      <c r="L7" s="190">
        <f>'FY27 Budget - detailed'!P7</f>
        <v>25062.908775257485</v>
      </c>
      <c r="M7" s="190">
        <f>'FY27 Budget - detailed'!Q7</f>
        <v>24323.317688537914</v>
      </c>
      <c r="N7" s="190">
        <f>'FY27 Budget - detailed'!R7</f>
        <v>12517.147616378257</v>
      </c>
      <c r="O7" s="190">
        <f>'FY27 Budget - detailed'!S7</f>
        <v>17919.297896378259</v>
      </c>
      <c r="P7" s="190">
        <f t="shared" si="0"/>
        <v>681494.01103971933</v>
      </c>
      <c r="Q7" s="107" t="e">
        <f t="shared" si="1"/>
        <v>#REF!</v>
      </c>
      <c r="R7" s="108" t="e">
        <f t="shared" si="2"/>
        <v>#REF!</v>
      </c>
    </row>
    <row r="8" spans="1:19" ht="12.75" customHeight="1" x14ac:dyDescent="0.2">
      <c r="A8" s="46" t="s">
        <v>10</v>
      </c>
      <c r="B8" s="190" t="e">
        <f>'FY27 Budget - detailed'!#REF!</f>
        <v>#REF!</v>
      </c>
      <c r="C8" s="190" t="e">
        <f>#REF!+#REF!+#REF!</f>
        <v>#REF!</v>
      </c>
      <c r="D8" s="190">
        <f>'FY27 Budget - detailed'!H11</f>
        <v>52683.663485863028</v>
      </c>
      <c r="E8" s="190">
        <f>'FY27 Budget - detailed'!I11</f>
        <v>100269.81170493504</v>
      </c>
      <c r="F8" s="190">
        <f>'FY27 Budget - detailed'!J11</f>
        <v>103519.69466078594</v>
      </c>
      <c r="G8" s="190">
        <f>'FY27 Budget - detailed'!K11</f>
        <v>285683.94306389819</v>
      </c>
      <c r="H8" s="190">
        <f>'FY27 Budget - detailed'!L11</f>
        <v>104223.85100357098</v>
      </c>
      <c r="I8" s="190">
        <f>'FY27 Budget - detailed'!M11</f>
        <v>83048.459754416632</v>
      </c>
      <c r="J8" s="190">
        <f>'FY27 Budget - detailed'!N11</f>
        <v>45343.173259935029</v>
      </c>
      <c r="K8" s="190">
        <f>'FY27 Budget - detailed'!O11</f>
        <v>109744.54951493503</v>
      </c>
      <c r="L8" s="190">
        <f>'FY27 Budget - detailed'!P11</f>
        <v>59313.374450564894</v>
      </c>
      <c r="M8" s="190">
        <f>'FY27 Budget - detailed'!Q11</f>
        <v>48118.512397468621</v>
      </c>
      <c r="N8" s="190">
        <f>'FY27 Budget - detailed'!R11</f>
        <v>60551.388619416626</v>
      </c>
      <c r="O8" s="190">
        <f>'FY27 Budget - detailed'!S11</f>
        <v>85630.235144416627</v>
      </c>
      <c r="P8" s="190">
        <f t="shared" si="0"/>
        <v>1138130.6570602064</v>
      </c>
      <c r="Q8" s="107" t="e">
        <f t="shared" si="1"/>
        <v>#REF!</v>
      </c>
      <c r="R8" s="108" t="e">
        <f t="shared" si="2"/>
        <v>#REF!</v>
      </c>
    </row>
    <row r="9" spans="1:19" ht="12.75" customHeight="1" x14ac:dyDescent="0.2">
      <c r="A9" s="46" t="s">
        <v>11</v>
      </c>
      <c r="B9" s="190" t="e">
        <f>'FY27 Budget - detailed'!#REF!</f>
        <v>#REF!</v>
      </c>
      <c r="C9" s="190" t="e">
        <f>#REF!+#REF!+#REF!</f>
        <v>#REF!</v>
      </c>
      <c r="D9" s="190">
        <f>'FY27 Budget - detailed'!H15</f>
        <v>129391.67512851999</v>
      </c>
      <c r="E9" s="190">
        <f>'FY27 Budget - detailed'!I15</f>
        <v>115678.56798330561</v>
      </c>
      <c r="F9" s="190">
        <f>'FY27 Budget - detailed'!J15</f>
        <v>135541.8521616362</v>
      </c>
      <c r="G9" s="190">
        <f>'FY27 Budget - detailed'!K15</f>
        <v>130158.68086163618</v>
      </c>
      <c r="H9" s="190">
        <f>'FY27 Budget - detailed'!L15</f>
        <v>127598.9414083056</v>
      </c>
      <c r="I9" s="190">
        <f>'FY27 Budget - detailed'!M15</f>
        <v>134912.17803497089</v>
      </c>
      <c r="J9" s="190">
        <f>'FY27 Budget - detailed'!N15</f>
        <v>112466.5602583056</v>
      </c>
      <c r="K9" s="190">
        <f>'FY27 Budget - detailed'!O15</f>
        <v>116012.62255830559</v>
      </c>
      <c r="L9" s="190">
        <f>'FY27 Budget - detailed'!P15</f>
        <v>142206.77103663617</v>
      </c>
      <c r="M9" s="190">
        <f>'FY27 Budget - detailed'!Q15</f>
        <v>134804.1068583056</v>
      </c>
      <c r="N9" s="190">
        <f>'FY27 Budget - detailed'!R15</f>
        <v>141480.1032099709</v>
      </c>
      <c r="O9" s="190">
        <f>'FY27 Budget - detailed'!S15</f>
        <v>139270.00100997087</v>
      </c>
      <c r="P9" s="190">
        <f t="shared" si="0"/>
        <v>1559522.0605098694</v>
      </c>
      <c r="Q9" s="107" t="e">
        <f t="shared" si="1"/>
        <v>#REF!</v>
      </c>
      <c r="R9" s="108" t="e">
        <f t="shared" si="2"/>
        <v>#REF!</v>
      </c>
    </row>
    <row r="10" spans="1:19" ht="12.75" customHeight="1" x14ac:dyDescent="0.2">
      <c r="A10" s="55" t="s">
        <v>12</v>
      </c>
      <c r="B10" s="192" t="e">
        <f t="shared" ref="B10:C10" si="4">SUM(B7:B9)</f>
        <v>#REF!</v>
      </c>
      <c r="C10" s="192" t="e">
        <f t="shared" si="4"/>
        <v>#REF!</v>
      </c>
      <c r="D10" s="193">
        <f>SUM(D7:D9)</f>
        <v>338970.25096205482</v>
      </c>
      <c r="E10" s="193">
        <f t="shared" ref="E10:O10" si="5">SUM(E7:E9)</f>
        <v>455555.55334850325</v>
      </c>
      <c r="F10" s="193">
        <f t="shared" si="5"/>
        <v>289191.65833784069</v>
      </c>
      <c r="G10" s="193">
        <f t="shared" si="5"/>
        <v>474179.22318110522</v>
      </c>
      <c r="H10" s="193">
        <f t="shared" si="5"/>
        <v>259217.14424537052</v>
      </c>
      <c r="I10" s="193">
        <f t="shared" si="5"/>
        <v>241924.51732576577</v>
      </c>
      <c r="J10" s="193">
        <f t="shared" si="5"/>
        <v>179073.23773542629</v>
      </c>
      <c r="K10" s="193">
        <f t="shared" si="5"/>
        <v>249837.97877042627</v>
      </c>
      <c r="L10" s="193">
        <f t="shared" si="5"/>
        <v>226583.05426245855</v>
      </c>
      <c r="M10" s="193">
        <f t="shared" si="5"/>
        <v>207245.93694431212</v>
      </c>
      <c r="N10" s="193">
        <f t="shared" si="5"/>
        <v>214548.63944576579</v>
      </c>
      <c r="O10" s="193">
        <f t="shared" si="5"/>
        <v>242819.53405076577</v>
      </c>
      <c r="P10" s="193">
        <f t="shared" si="0"/>
        <v>3379146.7286097948</v>
      </c>
      <c r="Q10" s="107" t="e">
        <f t="shared" si="1"/>
        <v>#REF!</v>
      </c>
      <c r="R10" s="108" t="e">
        <f t="shared" si="2"/>
        <v>#REF!</v>
      </c>
    </row>
    <row r="11" spans="1:19" ht="12.75" customHeight="1" x14ac:dyDescent="0.2">
      <c r="A11" s="55" t="s">
        <v>13</v>
      </c>
      <c r="B11" s="192" t="e">
        <f>+B6-B10</f>
        <v>#REF!</v>
      </c>
      <c r="C11" s="192" t="e">
        <f>+C6-C10</f>
        <v>#REF!</v>
      </c>
      <c r="D11" s="193">
        <f>+D6-D10</f>
        <v>270306.93070461182</v>
      </c>
      <c r="E11" s="193">
        <f t="shared" ref="E11:P11" si="6">+E6-E10</f>
        <v>517612.18831816333</v>
      </c>
      <c r="F11" s="193">
        <f t="shared" si="6"/>
        <v>124473.02332882595</v>
      </c>
      <c r="G11" s="193">
        <f t="shared" si="6"/>
        <v>476236.45848556154</v>
      </c>
      <c r="H11" s="193">
        <f t="shared" si="6"/>
        <v>281088.03742129612</v>
      </c>
      <c r="I11" s="193">
        <f t="shared" si="6"/>
        <v>103045.66434090087</v>
      </c>
      <c r="J11" s="193">
        <f t="shared" si="6"/>
        <v>174896.12059824041</v>
      </c>
      <c r="K11" s="193">
        <f t="shared" si="6"/>
        <v>326781.46289624041</v>
      </c>
      <c r="L11" s="193">
        <f t="shared" si="6"/>
        <v>187656.3874042081</v>
      </c>
      <c r="M11" s="193">
        <f t="shared" si="6"/>
        <v>185113.50472235453</v>
      </c>
      <c r="N11" s="193">
        <f t="shared" si="6"/>
        <v>187948.47888790091</v>
      </c>
      <c r="O11" s="193">
        <f t="shared" si="6"/>
        <v>90295.667615900893</v>
      </c>
      <c r="P11" s="193">
        <f t="shared" si="6"/>
        <v>2925453.9247242045</v>
      </c>
      <c r="Q11" s="107" t="e">
        <f t="shared" si="1"/>
        <v>#REF!</v>
      </c>
      <c r="R11" s="108" t="e">
        <f t="shared" si="2"/>
        <v>#REF!</v>
      </c>
    </row>
    <row r="12" spans="1:19" ht="12.75" customHeight="1" x14ac:dyDescent="0.2">
      <c r="A12" s="55" t="s">
        <v>14</v>
      </c>
      <c r="B12" s="56" t="e">
        <f>+B11/B6</f>
        <v>#REF!</v>
      </c>
      <c r="C12" s="56" t="e">
        <f>+C11/C6</f>
        <v>#REF!</v>
      </c>
      <c r="D12" s="177">
        <f>+D11/D6</f>
        <v>0.44365182028513217</v>
      </c>
      <c r="E12" s="177">
        <f t="shared" ref="E12:O12" si="7">+E11/E6</f>
        <v>0.53188383272105821</v>
      </c>
      <c r="F12" s="177">
        <f t="shared" si="7"/>
        <v>0.30090319247783165</v>
      </c>
      <c r="G12" s="177">
        <f t="shared" si="7"/>
        <v>0.50108228186052695</v>
      </c>
      <c r="H12" s="177">
        <f t="shared" si="7"/>
        <v>0.52023938869923569</v>
      </c>
      <c r="I12" s="177">
        <f t="shared" si="7"/>
        <v>0.29870890244209719</v>
      </c>
      <c r="J12" s="177">
        <f t="shared" si="7"/>
        <v>0.49409960630935695</v>
      </c>
      <c r="K12" s="177">
        <f t="shared" si="7"/>
        <v>0.56671946743888479</v>
      </c>
      <c r="L12" s="177">
        <f t="shared" si="7"/>
        <v>0.45301429204612742</v>
      </c>
      <c r="M12" s="177">
        <f t="shared" si="7"/>
        <v>0.47179571857893449</v>
      </c>
      <c r="N12" s="177">
        <f t="shared" si="7"/>
        <v>0.46695608571312358</v>
      </c>
      <c r="O12" s="177">
        <f t="shared" si="7"/>
        <v>0.27106438602659655</v>
      </c>
      <c r="P12" s="177">
        <f>+P11/P6</f>
        <v>0.46401891025043207</v>
      </c>
      <c r="Q12" s="107"/>
      <c r="R12" s="108"/>
    </row>
    <row r="13" spans="1:19" ht="12.75" customHeight="1" x14ac:dyDescent="0.2">
      <c r="A13" s="51" t="s">
        <v>15</v>
      </c>
      <c r="B13" s="53">
        <v>2434714.1599999997</v>
      </c>
      <c r="C13" s="53" t="e">
        <f>#REF!+#REF!+#REF!</f>
        <v>#REF!</v>
      </c>
      <c r="D13" s="53">
        <f>'FY27 Budget - detailed'!H$73</f>
        <v>218401.69548750622</v>
      </c>
      <c r="E13" s="53">
        <f>'FY27 Budget - detailed'!I$73</f>
        <v>239717.06231355245</v>
      </c>
      <c r="F13" s="53">
        <f>'FY27 Budget - detailed'!J$73</f>
        <v>231573.14623077027</v>
      </c>
      <c r="G13" s="53">
        <f>'FY27 Budget - detailed'!K$73</f>
        <v>209130.75085855028</v>
      </c>
      <c r="H13" s="53">
        <f>'FY27 Budget - detailed'!L$73</f>
        <v>202345.83494521788</v>
      </c>
      <c r="I13" s="53">
        <f>'FY27 Budget - detailed'!M$73</f>
        <v>201077.03700540407</v>
      </c>
      <c r="J13" s="53">
        <f>'FY27 Budget - detailed'!N$73</f>
        <v>201203.7104472479</v>
      </c>
      <c r="K13" s="53">
        <f>'FY27 Budget - detailed'!O$73</f>
        <v>197422.84212471783</v>
      </c>
      <c r="L13" s="53">
        <f>'FY27 Budget - detailed'!P$73</f>
        <v>211706.91335330025</v>
      </c>
      <c r="M13" s="53">
        <f>'FY27 Budget - detailed'!Q$73</f>
        <v>198848.19990646787</v>
      </c>
      <c r="N13" s="53">
        <f>'FY27 Budget - detailed'!R$73</f>
        <v>208673.80802352406</v>
      </c>
      <c r="O13" s="53">
        <f>'FY27 Budget - detailed'!S$73</f>
        <v>208102.17029788403</v>
      </c>
      <c r="P13" s="53">
        <f>D13+E13+F13+G13+H13+I13+J13+K13+L13+M13+N13+O13</f>
        <v>2528203.1709941425</v>
      </c>
      <c r="Q13" s="107" t="e">
        <f>(C13-P13)/P13</f>
        <v>#REF!</v>
      </c>
      <c r="R13" s="108" t="e">
        <f>+P13-C13</f>
        <v>#REF!</v>
      </c>
    </row>
    <row r="14" spans="1:19" ht="12.75" customHeight="1" x14ac:dyDescent="0.2">
      <c r="A14" s="55" t="s">
        <v>16</v>
      </c>
      <c r="B14" s="192">
        <f t="shared" ref="B14:O14" si="8">SUM(B13:B13)</f>
        <v>2434714.1599999997</v>
      </c>
      <c r="C14" s="192" t="e">
        <f t="shared" si="8"/>
        <v>#REF!</v>
      </c>
      <c r="D14" s="193">
        <f>SUM(D13:D13)</f>
        <v>218401.69548750622</v>
      </c>
      <c r="E14" s="193">
        <f t="shared" si="8"/>
        <v>239717.06231355245</v>
      </c>
      <c r="F14" s="193">
        <f t="shared" si="8"/>
        <v>231573.14623077027</v>
      </c>
      <c r="G14" s="193">
        <f t="shared" si="8"/>
        <v>209130.75085855028</v>
      </c>
      <c r="H14" s="193">
        <f t="shared" si="8"/>
        <v>202345.83494521788</v>
      </c>
      <c r="I14" s="193">
        <f t="shared" si="8"/>
        <v>201077.03700540407</v>
      </c>
      <c r="J14" s="193">
        <f t="shared" si="8"/>
        <v>201203.7104472479</v>
      </c>
      <c r="K14" s="193">
        <f t="shared" si="8"/>
        <v>197422.84212471783</v>
      </c>
      <c r="L14" s="193">
        <f t="shared" si="8"/>
        <v>211706.91335330025</v>
      </c>
      <c r="M14" s="193">
        <f t="shared" si="8"/>
        <v>198848.19990646787</v>
      </c>
      <c r="N14" s="193">
        <f t="shared" si="8"/>
        <v>208673.80802352406</v>
      </c>
      <c r="O14" s="193">
        <f t="shared" si="8"/>
        <v>208102.17029788403</v>
      </c>
      <c r="P14" s="193">
        <f>D14+E14+F14+G14+H14+I14+J14+K14+L14+M14+N14+O14</f>
        <v>2528203.1709941425</v>
      </c>
      <c r="Q14" s="107" t="e">
        <f>(C14-P14)/P14</f>
        <v>#REF!</v>
      </c>
      <c r="R14" s="108" t="e">
        <f>+P14-C14</f>
        <v>#REF!</v>
      </c>
    </row>
    <row r="15" spans="1:19" ht="12.75" customHeight="1" x14ac:dyDescent="0.2">
      <c r="A15" s="55" t="s">
        <v>17</v>
      </c>
      <c r="B15" s="192" t="e">
        <f>+B11-B14</f>
        <v>#REF!</v>
      </c>
      <c r="C15" s="192" t="e">
        <f>+C11-C14</f>
        <v>#REF!</v>
      </c>
      <c r="D15" s="193">
        <f t="shared" ref="D15:N15" si="9">+D11-D14</f>
        <v>51905.235217105597</v>
      </c>
      <c r="E15" s="193">
        <f t="shared" si="9"/>
        <v>277895.12600461091</v>
      </c>
      <c r="F15" s="193">
        <f t="shared" si="9"/>
        <v>-107100.12290194433</v>
      </c>
      <c r="G15" s="193">
        <f t="shared" si="9"/>
        <v>267105.70762701123</v>
      </c>
      <c r="H15" s="193">
        <f t="shared" si="9"/>
        <v>78742.202476078237</v>
      </c>
      <c r="I15" s="193">
        <f t="shared" si="9"/>
        <v>-98031.3726645032</v>
      </c>
      <c r="J15" s="193">
        <f t="shared" si="9"/>
        <v>-26307.589849007491</v>
      </c>
      <c r="K15" s="193">
        <f t="shared" si="9"/>
        <v>129358.62077152258</v>
      </c>
      <c r="L15" s="193">
        <f t="shared" si="9"/>
        <v>-24050.525949092145</v>
      </c>
      <c r="M15" s="193">
        <f t="shared" si="9"/>
        <v>-13734.695184113341</v>
      </c>
      <c r="N15" s="193">
        <f t="shared" si="9"/>
        <v>-20725.329135623149</v>
      </c>
      <c r="O15" s="193">
        <f>+O11-O14</f>
        <v>-117806.50268198314</v>
      </c>
      <c r="P15" s="193">
        <f>+P11-P14</f>
        <v>397250.75373006193</v>
      </c>
      <c r="Q15" s="107" t="e">
        <f>(C15-P15)/P15</f>
        <v>#REF!</v>
      </c>
      <c r="R15" s="108" t="e">
        <f>+P15-C15</f>
        <v>#REF!</v>
      </c>
    </row>
    <row r="16" spans="1:19" ht="12.75" customHeight="1" x14ac:dyDescent="0.2">
      <c r="A16" s="55" t="s">
        <v>18</v>
      </c>
      <c r="B16" s="178" t="e">
        <f>+B15/B6</f>
        <v>#REF!</v>
      </c>
      <c r="C16" s="177" t="e">
        <f>+C15/C6</f>
        <v>#REF!</v>
      </c>
      <c r="D16" s="177">
        <f>+D15/D6</f>
        <v>8.5191497037718972E-2</v>
      </c>
      <c r="E16" s="177">
        <f t="shared" ref="E16:O16" si="10">+E15/E6</f>
        <v>0.28555727250954921</v>
      </c>
      <c r="F16" s="177">
        <f t="shared" si="10"/>
        <v>-0.25890564906444252</v>
      </c>
      <c r="G16" s="177">
        <f t="shared" si="10"/>
        <v>0.28104093059429497</v>
      </c>
      <c r="H16" s="177">
        <f t="shared" si="10"/>
        <v>0.14573653029420156</v>
      </c>
      <c r="I16" s="177">
        <f t="shared" si="10"/>
        <v>-0.28417346737297922</v>
      </c>
      <c r="J16" s="177">
        <f t="shared" si="10"/>
        <v>-7.4321658724506967E-2</v>
      </c>
      <c r="K16" s="177">
        <f t="shared" si="10"/>
        <v>0.22433967955992451</v>
      </c>
      <c r="L16" s="177">
        <f t="shared" si="10"/>
        <v>-5.8059478480190947E-2</v>
      </c>
      <c r="M16" s="177">
        <f t="shared" si="10"/>
        <v>-3.5005389766513649E-2</v>
      </c>
      <c r="N16" s="177">
        <f t="shared" si="10"/>
        <v>-5.1491869609963339E-2</v>
      </c>
      <c r="O16" s="177">
        <f t="shared" si="10"/>
        <v>-0.35365093544985315</v>
      </c>
      <c r="P16" s="177">
        <f>+P15/P6</f>
        <v>6.3009661606399731E-2</v>
      </c>
      <c r="Q16" s="57"/>
      <c r="R16" s="57"/>
    </row>
    <row r="17" spans="1:40" ht="12.75" customHeight="1" x14ac:dyDescent="0.2">
      <c r="Q17" s="54"/>
    </row>
    <row r="18" spans="1:40" ht="12.75" customHeight="1" x14ac:dyDescent="0.2">
      <c r="A18" s="46" t="s">
        <v>19</v>
      </c>
      <c r="Q18" s="54"/>
    </row>
    <row r="19" spans="1:40" ht="12.75" customHeight="1" x14ac:dyDescent="0.2">
      <c r="A19" s="46" t="s">
        <v>20</v>
      </c>
      <c r="E19" s="52">
        <f>CONS!H33+ONS!G40+PRD!I38</f>
        <v>239717.06231355251</v>
      </c>
      <c r="F19" s="52">
        <f>CONS!I33+ONS!H40+PRD!J38</f>
        <v>247510.83722880704</v>
      </c>
      <c r="G19" s="52">
        <f>CONS!J33+ONS!I40+PRD!K38</f>
        <v>247510.83722880704</v>
      </c>
    </row>
    <row r="20" spans="1:40" ht="12.75" customHeight="1" x14ac:dyDescent="0.2">
      <c r="A20" s="46" t="s">
        <v>21</v>
      </c>
    </row>
    <row r="21" spans="1:40" ht="12.75" customHeight="1" x14ac:dyDescent="0.2">
      <c r="A21" s="176" t="s">
        <v>22</v>
      </c>
    </row>
    <row r="22" spans="1:40" ht="12.75" customHeight="1" x14ac:dyDescent="0.2">
      <c r="A22" s="46" t="s">
        <v>23</v>
      </c>
    </row>
    <row r="23" spans="1:40" s="46" customFormat="1" ht="12.75" customHeight="1" x14ac:dyDescent="0.2">
      <c r="A23" s="81" t="s">
        <v>24</v>
      </c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4"/>
      <c r="AJ23" s="44"/>
      <c r="AK23" s="44"/>
      <c r="AL23" s="44"/>
      <c r="AM23" s="44"/>
      <c r="AN23" s="44"/>
    </row>
    <row r="24" spans="1:40" s="46" customFormat="1" ht="12.75" customHeight="1" x14ac:dyDescent="0.2">
      <c r="A24" s="81" t="s">
        <v>25</v>
      </c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  <c r="AJ24" s="44"/>
      <c r="AK24" s="44"/>
      <c r="AL24" s="44"/>
      <c r="AM24" s="44"/>
      <c r="AN24" s="44"/>
    </row>
    <row r="25" spans="1:40" s="46" customFormat="1" ht="12.75" customHeight="1" x14ac:dyDescent="0.2">
      <c r="A25" s="46" t="s">
        <v>26</v>
      </c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4"/>
      <c r="AI25" s="44"/>
      <c r="AJ25" s="44"/>
      <c r="AK25" s="44"/>
      <c r="AL25" s="44"/>
      <c r="AM25" s="44"/>
      <c r="AN25" s="44"/>
    </row>
    <row r="26" spans="1:40" ht="12.75" customHeight="1" x14ac:dyDescent="0.2">
      <c r="A26" s="81"/>
    </row>
    <row r="28" spans="1:40" s="46" customFormat="1" ht="12.75" customHeight="1" x14ac:dyDescent="0.2"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P28" s="52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4"/>
      <c r="AM28" s="44"/>
      <c r="AN28" s="44"/>
    </row>
    <row r="32" spans="1:40" s="46" customFormat="1" ht="12.75" customHeight="1" x14ac:dyDescent="0.2"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4"/>
      <c r="AJ32" s="44"/>
      <c r="AK32" s="44"/>
      <c r="AL32" s="44"/>
      <c r="AM32" s="44"/>
      <c r="AN32" s="44"/>
    </row>
    <row r="33" spans="4:40" s="46" customFormat="1" ht="12.75" customHeight="1" x14ac:dyDescent="0.2"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4"/>
      <c r="AJ33" s="44"/>
      <c r="AK33" s="44"/>
      <c r="AL33" s="44"/>
      <c r="AM33" s="44"/>
      <c r="AN33" s="44"/>
    </row>
    <row r="34" spans="4:40" s="46" customFormat="1" ht="12.75" customHeight="1" x14ac:dyDescent="0.2"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  <c r="AK34" s="44"/>
      <c r="AL34" s="44"/>
      <c r="AM34" s="44"/>
      <c r="AN34" s="44"/>
    </row>
  </sheetData>
  <mergeCells count="1">
    <mergeCell ref="Q2:R2"/>
  </mergeCells>
  <conditionalFormatting sqref="B16:R16">
    <cfRule type="cellIs" dxfId="148" priority="4" operator="greaterThan">
      <formula>0</formula>
    </cfRule>
  </conditionalFormatting>
  <conditionalFormatting sqref="C16:R16">
    <cfRule type="cellIs" dxfId="147" priority="1" operator="lessThan">
      <formula>0</formula>
    </cfRule>
  </conditionalFormatting>
  <conditionalFormatting sqref="Q3:R15 Q17">
    <cfRule type="cellIs" dxfId="146" priority="2" operator="lessThan">
      <formula>0</formula>
    </cfRule>
    <cfRule type="cellIs" dxfId="145" priority="3" operator="greaterThan">
      <formula>0</formula>
    </cfRule>
  </conditionalFormatting>
  <pageMargins left="0.25" right="0.25" top="0.75" bottom="0.75" header="0.3" footer="0.3"/>
  <pageSetup paperSize="9" orientation="landscape" cellComments="atEnd" horizontalDpi="300" verticalDpi="300" r:id="rId1"/>
  <headerFooter alignWithMargins="0">
    <oddHeader>&amp;L&amp;8&amp;C&amp;8MYOB / Excel&amp;R&amp;8</oddHeader>
    <oddFooter>&amp;CPage &amp;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21C79-8B73-472E-B6CF-438AB2EDF1BE}">
  <sheetPr codeName="Sheet2">
    <tabColor theme="9" tint="0.59999389629810485"/>
  </sheetPr>
  <dimension ref="A3:P31"/>
  <sheetViews>
    <sheetView workbookViewId="0">
      <selection activeCell="W35" sqref="W35"/>
    </sheetView>
  </sheetViews>
  <sheetFormatPr defaultRowHeight="12.75" x14ac:dyDescent="0.2"/>
  <cols>
    <col min="2" max="2" width="13.7109375" bestFit="1" customWidth="1"/>
    <col min="3" max="3" width="16.28515625" bestFit="1" customWidth="1"/>
    <col min="4" max="4" width="15.85546875" bestFit="1" customWidth="1"/>
    <col min="5" max="5" width="11.42578125" bestFit="1" customWidth="1"/>
    <col min="6" max="6" width="15.28515625" bestFit="1" customWidth="1"/>
    <col min="7" max="7" width="17.7109375" bestFit="1" customWidth="1"/>
    <col min="8" max="8" width="17.28515625" bestFit="1" customWidth="1"/>
  </cols>
  <sheetData>
    <row r="3" spans="1:16" x14ac:dyDescent="0.2">
      <c r="P3" t="s">
        <v>591</v>
      </c>
    </row>
    <row r="4" spans="1:16" x14ac:dyDescent="0.2">
      <c r="P4" t="s">
        <v>1144</v>
      </c>
    </row>
    <row r="5" spans="1:16" x14ac:dyDescent="0.2">
      <c r="A5" t="s">
        <v>172</v>
      </c>
      <c r="B5" s="589">
        <v>45839</v>
      </c>
      <c r="C5" s="589">
        <v>45870</v>
      </c>
      <c r="D5" s="589">
        <v>45901</v>
      </c>
      <c r="E5" s="589">
        <v>45931</v>
      </c>
      <c r="F5" s="589">
        <v>45962</v>
      </c>
      <c r="G5" s="589">
        <v>45992</v>
      </c>
      <c r="H5" s="589">
        <v>46023</v>
      </c>
      <c r="I5" s="589">
        <v>46054</v>
      </c>
      <c r="J5" s="589">
        <v>46082</v>
      </c>
      <c r="K5" s="589">
        <v>46113</v>
      </c>
      <c r="L5" s="589">
        <v>46143</v>
      </c>
      <c r="M5" s="589">
        <v>46174</v>
      </c>
    </row>
    <row r="6" spans="1:16" x14ac:dyDescent="0.2">
      <c r="A6" t="s">
        <v>931</v>
      </c>
      <c r="B6">
        <v>250360.46</v>
      </c>
      <c r="C6">
        <v>249340.46</v>
      </c>
      <c r="D6">
        <v>241360.46</v>
      </c>
      <c r="E6">
        <v>242840.46</v>
      </c>
      <c r="F6">
        <v>243860.46</v>
      </c>
      <c r="G6">
        <v>243520.46</v>
      </c>
      <c r="H6">
        <v>248860.46</v>
      </c>
      <c r="I6">
        <v>248520.46</v>
      </c>
      <c r="J6">
        <v>249540.46</v>
      </c>
      <c r="K6">
        <v>249200.46</v>
      </c>
      <c r="L6">
        <v>249540.46</v>
      </c>
      <c r="M6">
        <v>237720.46</v>
      </c>
    </row>
    <row r="7" spans="1:16" x14ac:dyDescent="0.2">
      <c r="A7" t="s">
        <v>263</v>
      </c>
      <c r="B7">
        <v>230051.49</v>
      </c>
      <c r="C7">
        <v>222701.07809999998</v>
      </c>
      <c r="D7">
        <v>231234.35119999998</v>
      </c>
      <c r="E7">
        <v>226930.46</v>
      </c>
      <c r="F7">
        <v>225020.46</v>
      </c>
      <c r="G7">
        <v>225700.46</v>
      </c>
      <c r="H7">
        <v>219590.46</v>
      </c>
      <c r="I7">
        <v>218360.46</v>
      </c>
      <c r="J7">
        <v>219380.46</v>
      </c>
      <c r="K7">
        <v>221290.46</v>
      </c>
      <c r="L7">
        <v>233420.46</v>
      </c>
      <c r="M7">
        <v>221600.46</v>
      </c>
    </row>
    <row r="9" spans="1:16" x14ac:dyDescent="0.2">
      <c r="A9" t="s">
        <v>6</v>
      </c>
      <c r="B9" s="589">
        <v>45839</v>
      </c>
      <c r="C9" s="589">
        <v>45870</v>
      </c>
      <c r="D9" s="589">
        <v>45901</v>
      </c>
      <c r="E9" s="589">
        <v>45931</v>
      </c>
      <c r="F9" s="589">
        <v>45962</v>
      </c>
      <c r="G9" s="589">
        <v>45992</v>
      </c>
      <c r="H9" s="589">
        <v>46023</v>
      </c>
      <c r="I9" s="589">
        <v>46054</v>
      </c>
      <c r="J9" s="589">
        <v>46082</v>
      </c>
      <c r="K9" s="589">
        <v>46113</v>
      </c>
      <c r="L9" s="589">
        <v>46143</v>
      </c>
      <c r="M9" s="589">
        <v>46174</v>
      </c>
    </row>
    <row r="10" spans="1:16" x14ac:dyDescent="0.2">
      <c r="A10" t="s">
        <v>931</v>
      </c>
      <c r="B10">
        <v>46825</v>
      </c>
      <c r="C10">
        <v>298950</v>
      </c>
      <c r="D10">
        <v>170580</v>
      </c>
      <c r="E10">
        <v>749300</v>
      </c>
      <c r="F10">
        <v>316250</v>
      </c>
      <c r="G10">
        <v>106490</v>
      </c>
      <c r="H10">
        <v>31860</v>
      </c>
      <c r="I10">
        <v>303900</v>
      </c>
      <c r="J10">
        <v>156100</v>
      </c>
      <c r="K10">
        <v>78400</v>
      </c>
      <c r="L10">
        <v>134375</v>
      </c>
      <c r="M10">
        <v>167050</v>
      </c>
    </row>
    <row r="11" spans="1:16" x14ac:dyDescent="0.2">
      <c r="A11" t="s">
        <v>263</v>
      </c>
      <c r="B11">
        <v>49635.14</v>
      </c>
      <c r="C11">
        <v>302897.09380000003</v>
      </c>
      <c r="D11">
        <v>95379.457599999994</v>
      </c>
      <c r="E11">
        <v>694120</v>
      </c>
      <c r="F11">
        <v>370750</v>
      </c>
      <c r="G11">
        <v>103890</v>
      </c>
      <c r="H11">
        <v>31860</v>
      </c>
      <c r="I11">
        <v>305300</v>
      </c>
      <c r="J11">
        <v>156100</v>
      </c>
      <c r="K11">
        <v>79800</v>
      </c>
      <c r="L11">
        <v>134375</v>
      </c>
      <c r="M11">
        <v>168450</v>
      </c>
    </row>
    <row r="13" spans="1:16" x14ac:dyDescent="0.2">
      <c r="A13" t="s">
        <v>5</v>
      </c>
      <c r="B13" s="589">
        <v>45839</v>
      </c>
      <c r="C13" s="589">
        <v>45870</v>
      </c>
      <c r="D13" s="589">
        <v>45901</v>
      </c>
      <c r="E13" s="589">
        <v>45931</v>
      </c>
      <c r="F13" s="589">
        <v>45962</v>
      </c>
      <c r="G13" s="589">
        <v>45992</v>
      </c>
      <c r="H13" s="589">
        <v>46023</v>
      </c>
      <c r="I13" s="589">
        <v>46054</v>
      </c>
      <c r="J13" s="589">
        <v>46082</v>
      </c>
      <c r="K13" s="589">
        <v>46113</v>
      </c>
      <c r="L13" s="589">
        <v>46143</v>
      </c>
      <c r="M13" s="589">
        <v>46174</v>
      </c>
    </row>
    <row r="14" spans="1:16" x14ac:dyDescent="0.2">
      <c r="A14" t="s">
        <v>931</v>
      </c>
      <c r="B14">
        <v>69527</v>
      </c>
      <c r="C14">
        <v>80527</v>
      </c>
      <c r="D14">
        <v>52027</v>
      </c>
      <c r="E14">
        <v>79027</v>
      </c>
      <c r="F14">
        <v>69027</v>
      </c>
      <c r="G14">
        <v>38527</v>
      </c>
      <c r="H14">
        <v>37027</v>
      </c>
      <c r="I14">
        <v>80027</v>
      </c>
      <c r="J14">
        <v>72027</v>
      </c>
      <c r="K14">
        <v>61527</v>
      </c>
      <c r="L14">
        <v>51500</v>
      </c>
      <c r="M14">
        <v>65500</v>
      </c>
    </row>
    <row r="15" spans="1:16" x14ac:dyDescent="0.2">
      <c r="A15" t="s">
        <v>263</v>
      </c>
      <c r="B15">
        <v>41121.43</v>
      </c>
      <c r="C15">
        <v>25871.288100000002</v>
      </c>
      <c r="D15">
        <v>29771.061200000007</v>
      </c>
      <c r="E15">
        <v>76880</v>
      </c>
      <c r="F15">
        <v>69861.5</v>
      </c>
      <c r="G15">
        <v>183880</v>
      </c>
      <c r="H15">
        <v>39380</v>
      </c>
      <c r="I15">
        <v>80380</v>
      </c>
      <c r="J15">
        <v>63380</v>
      </c>
      <c r="K15">
        <v>62880</v>
      </c>
      <c r="L15">
        <v>42853</v>
      </c>
      <c r="M15">
        <v>66853</v>
      </c>
    </row>
    <row r="18" spans="1:7" x14ac:dyDescent="0.2">
      <c r="A18" t="s">
        <v>931</v>
      </c>
      <c r="F18" t="s">
        <v>263</v>
      </c>
    </row>
    <row r="19" spans="1:7" x14ac:dyDescent="0.2">
      <c r="B19" t="s">
        <v>1124</v>
      </c>
      <c r="C19" t="s">
        <v>1125</v>
      </c>
      <c r="D19" t="s">
        <v>1126</v>
      </c>
      <c r="E19" t="s">
        <v>1127</v>
      </c>
      <c r="F19" t="s">
        <v>1128</v>
      </c>
      <c r="G19" t="s">
        <v>1129</v>
      </c>
    </row>
    <row r="20" spans="1:7" x14ac:dyDescent="0.2">
      <c r="A20" s="589">
        <v>45839</v>
      </c>
      <c r="B20" s="87">
        <v>250360.46</v>
      </c>
      <c r="C20" s="87">
        <v>46825</v>
      </c>
      <c r="D20" s="87">
        <v>69527</v>
      </c>
      <c r="E20" s="590">
        <v>230051.49</v>
      </c>
      <c r="F20" s="590">
        <v>49635.14</v>
      </c>
      <c r="G20" s="590">
        <v>41121.43</v>
      </c>
    </row>
    <row r="21" spans="1:7" x14ac:dyDescent="0.2">
      <c r="A21" s="589">
        <v>45870</v>
      </c>
      <c r="B21" s="87">
        <v>249340.46</v>
      </c>
      <c r="C21" s="87">
        <v>298950</v>
      </c>
      <c r="D21" s="87">
        <v>80527</v>
      </c>
      <c r="E21" s="590">
        <v>222694.94999999998</v>
      </c>
      <c r="F21" s="590">
        <v>302890.78000000003</v>
      </c>
      <c r="G21" s="590">
        <v>25865.16</v>
      </c>
    </row>
    <row r="22" spans="1:7" x14ac:dyDescent="0.2">
      <c r="A22" s="589">
        <v>45901</v>
      </c>
      <c r="B22" s="87">
        <v>241360.46</v>
      </c>
      <c r="C22" s="87">
        <v>170580</v>
      </c>
      <c r="D22" s="87">
        <v>52027</v>
      </c>
      <c r="E22" s="590">
        <v>231214.00999999998</v>
      </c>
      <c r="F22" s="590">
        <v>95358.5</v>
      </c>
      <c r="G22" s="590">
        <v>29750.720000000008</v>
      </c>
    </row>
    <row r="23" spans="1:7" x14ac:dyDescent="0.2">
      <c r="A23" s="589">
        <v>45931</v>
      </c>
      <c r="B23" s="87">
        <v>242840.46</v>
      </c>
      <c r="C23" s="87">
        <v>749300</v>
      </c>
      <c r="D23" s="87">
        <v>79027</v>
      </c>
      <c r="E23" s="592">
        <v>221948.09000000003</v>
      </c>
      <c r="F23" s="592">
        <v>776911.15</v>
      </c>
      <c r="G23" s="592">
        <v>36702.62000000001</v>
      </c>
    </row>
    <row r="24" spans="1:7" x14ac:dyDescent="0.2">
      <c r="A24" s="589">
        <v>45962</v>
      </c>
      <c r="B24" s="87">
        <v>243860.46</v>
      </c>
      <c r="C24" s="87">
        <v>316250</v>
      </c>
      <c r="D24" s="87">
        <v>69027</v>
      </c>
      <c r="E24" s="592">
        <v>229035.14</v>
      </c>
      <c r="F24" s="592">
        <v>253388.38999999996</v>
      </c>
      <c r="G24" s="592">
        <v>24123.650000000012</v>
      </c>
    </row>
    <row r="25" spans="1:7" x14ac:dyDescent="0.2">
      <c r="A25" s="589">
        <v>45992</v>
      </c>
      <c r="B25" s="87">
        <v>243520.46</v>
      </c>
      <c r="C25" s="87">
        <v>106490</v>
      </c>
      <c r="D25" s="87">
        <v>38527</v>
      </c>
      <c r="E25" s="592">
        <v>233853.71</v>
      </c>
      <c r="F25" s="592">
        <v>96218.489999999991</v>
      </c>
      <c r="G25" s="592">
        <v>22816.110000000008</v>
      </c>
    </row>
    <row r="26" spans="1:7" x14ac:dyDescent="0.2">
      <c r="A26" s="589">
        <v>46023</v>
      </c>
      <c r="B26" s="87">
        <v>248860.46</v>
      </c>
      <c r="C26" s="87">
        <v>31860</v>
      </c>
      <c r="D26" s="87">
        <v>37027</v>
      </c>
      <c r="E26" s="87">
        <v>193910.46</v>
      </c>
      <c r="F26" s="87">
        <v>26360</v>
      </c>
      <c r="G26" s="87">
        <v>52896.785000000003</v>
      </c>
    </row>
    <row r="27" spans="1:7" x14ac:dyDescent="0.2">
      <c r="A27" s="589">
        <v>46054</v>
      </c>
      <c r="B27" s="87">
        <v>248520.46</v>
      </c>
      <c r="C27" s="87">
        <v>303900</v>
      </c>
      <c r="D27" s="87">
        <v>80027</v>
      </c>
      <c r="E27" s="87">
        <v>197600.46</v>
      </c>
      <c r="F27" s="87">
        <v>294500</v>
      </c>
      <c r="G27" s="87">
        <v>105726.785</v>
      </c>
    </row>
    <row r="28" spans="1:7" x14ac:dyDescent="0.2">
      <c r="A28" s="589">
        <v>46082</v>
      </c>
      <c r="B28" s="87">
        <v>249540.46</v>
      </c>
      <c r="C28" s="87">
        <v>156100</v>
      </c>
      <c r="D28" s="87">
        <v>72027</v>
      </c>
      <c r="E28" s="87">
        <v>223304.56</v>
      </c>
      <c r="F28" s="87">
        <v>148700</v>
      </c>
      <c r="G28" s="87">
        <v>272880</v>
      </c>
    </row>
    <row r="29" spans="1:7" x14ac:dyDescent="0.2">
      <c r="A29" s="589">
        <v>46113</v>
      </c>
      <c r="B29" s="87">
        <v>249200.46</v>
      </c>
      <c r="C29" s="87">
        <v>78400</v>
      </c>
      <c r="D29" s="87">
        <v>61527</v>
      </c>
      <c r="E29" s="87">
        <v>221162.62</v>
      </c>
      <c r="F29" s="87">
        <v>103400</v>
      </c>
      <c r="G29" s="87">
        <v>81380</v>
      </c>
    </row>
    <row r="30" spans="1:7" x14ac:dyDescent="0.2">
      <c r="A30" s="589">
        <v>46143</v>
      </c>
      <c r="B30" s="87">
        <v>249540.46</v>
      </c>
      <c r="C30" s="87">
        <v>134375</v>
      </c>
      <c r="D30" s="87">
        <v>51500</v>
      </c>
      <c r="E30" s="87">
        <v>233092.62</v>
      </c>
      <c r="F30" s="87">
        <v>151300</v>
      </c>
      <c r="G30" s="87">
        <v>68353</v>
      </c>
    </row>
    <row r="31" spans="1:7" x14ac:dyDescent="0.2">
      <c r="A31" s="589">
        <v>46174</v>
      </c>
      <c r="B31" s="87">
        <v>237720.46</v>
      </c>
      <c r="C31" s="87">
        <v>167050</v>
      </c>
      <c r="D31" s="87">
        <v>65500</v>
      </c>
      <c r="E31" s="87">
        <v>221272.62</v>
      </c>
      <c r="F31" s="87">
        <v>147550</v>
      </c>
      <c r="G31" s="87">
        <v>1122853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3BD54-AF0C-4186-AD86-0FA6172BC0A5}">
  <sheetPr codeName="Sheet3">
    <tabColor theme="9" tint="0.59999389629810485"/>
  </sheetPr>
  <dimension ref="A2:L27"/>
  <sheetViews>
    <sheetView workbookViewId="0">
      <selection activeCell="O15" sqref="O15"/>
    </sheetView>
  </sheetViews>
  <sheetFormatPr defaultRowHeight="12.75" x14ac:dyDescent="0.2"/>
  <sheetData>
    <row r="2" spans="1:12" x14ac:dyDescent="0.2">
      <c r="A2" s="643" t="b">
        <v>0</v>
      </c>
      <c r="B2" t="s">
        <v>1324</v>
      </c>
    </row>
    <row r="3" spans="1:12" x14ac:dyDescent="0.2">
      <c r="A3" s="643" t="b">
        <v>1</v>
      </c>
      <c r="B3" t="s">
        <v>1325</v>
      </c>
    </row>
    <row r="4" spans="1:12" x14ac:dyDescent="0.2">
      <c r="A4" s="643" t="b">
        <v>1</v>
      </c>
      <c r="B4" t="s">
        <v>1326</v>
      </c>
    </row>
    <row r="5" spans="1:12" x14ac:dyDescent="0.2">
      <c r="A5" s="643" t="b">
        <v>1</v>
      </c>
      <c r="B5" t="s">
        <v>1327</v>
      </c>
    </row>
    <row r="6" spans="1:12" x14ac:dyDescent="0.2">
      <c r="A6" s="643" t="b">
        <v>1</v>
      </c>
      <c r="B6" t="s">
        <v>1328</v>
      </c>
    </row>
    <row r="7" spans="1:12" x14ac:dyDescent="0.2">
      <c r="A7" s="643" t="b">
        <v>1</v>
      </c>
      <c r="B7" t="s">
        <v>1329</v>
      </c>
    </row>
    <row r="8" spans="1:12" x14ac:dyDescent="0.2">
      <c r="A8" s="643" t="b">
        <v>1</v>
      </c>
      <c r="B8" t="s">
        <v>1330</v>
      </c>
    </row>
    <row r="9" spans="1:12" x14ac:dyDescent="0.2">
      <c r="A9" s="643" t="b">
        <v>0</v>
      </c>
      <c r="B9" s="1" t="s">
        <v>1363</v>
      </c>
    </row>
    <row r="12" spans="1:12" x14ac:dyDescent="0.2">
      <c r="I12" s="2" t="s">
        <v>1346</v>
      </c>
      <c r="K12" s="44"/>
      <c r="L12" s="44"/>
    </row>
    <row r="13" spans="1:12" x14ac:dyDescent="0.2">
      <c r="I13" s="1" t="s">
        <v>1347</v>
      </c>
      <c r="J13">
        <v>7</v>
      </c>
      <c r="K13" s="44"/>
      <c r="L13" s="44"/>
    </row>
    <row r="14" spans="1:12" x14ac:dyDescent="0.2">
      <c r="I14" s="1" t="s">
        <v>5</v>
      </c>
      <c r="J14">
        <v>0</v>
      </c>
      <c r="K14" s="44">
        <f>(J14/67)*$J$13</f>
        <v>0</v>
      </c>
      <c r="L14" s="44">
        <f>K14/$J$13</f>
        <v>0</v>
      </c>
    </row>
    <row r="15" spans="1:12" x14ac:dyDescent="0.2">
      <c r="I15" s="1" t="s">
        <v>187</v>
      </c>
      <c r="J15">
        <v>1</v>
      </c>
      <c r="K15" s="44">
        <f t="shared" ref="K15:K18" si="0">(J15/67)*$J$13</f>
        <v>0.1044776119402985</v>
      </c>
      <c r="L15" s="44">
        <f t="shared" ref="L15:L18" si="1">K15/$J$13</f>
        <v>1.4925373134328358E-2</v>
      </c>
    </row>
    <row r="16" spans="1:12" x14ac:dyDescent="0.2">
      <c r="I16" s="1" t="s">
        <v>7</v>
      </c>
      <c r="J16">
        <v>39</v>
      </c>
      <c r="K16" s="44">
        <f t="shared" si="0"/>
        <v>4.0746268656716422</v>
      </c>
      <c r="L16" s="44">
        <f t="shared" si="1"/>
        <v>0.58208955223880599</v>
      </c>
    </row>
    <row r="17" spans="9:12" x14ac:dyDescent="0.2">
      <c r="I17" s="1" t="s">
        <v>1348</v>
      </c>
      <c r="J17">
        <v>24</v>
      </c>
      <c r="K17" s="44">
        <f t="shared" si="0"/>
        <v>2.5074626865671639</v>
      </c>
      <c r="L17" s="44">
        <f t="shared" si="1"/>
        <v>0.35820895522388058</v>
      </c>
    </row>
    <row r="18" spans="9:12" x14ac:dyDescent="0.2">
      <c r="I18" s="1" t="s">
        <v>528</v>
      </c>
      <c r="J18">
        <v>3</v>
      </c>
      <c r="K18" s="44">
        <f t="shared" si="0"/>
        <v>0.31343283582089548</v>
      </c>
      <c r="L18" s="44">
        <f t="shared" si="1"/>
        <v>4.4776119402985072E-2</v>
      </c>
    </row>
    <row r="19" spans="9:12" x14ac:dyDescent="0.2">
      <c r="J19">
        <f>SUM(J13:J18)</f>
        <v>74</v>
      </c>
      <c r="K19" s="44"/>
      <c r="L19" s="44"/>
    </row>
    <row r="22" spans="9:12" x14ac:dyDescent="0.2">
      <c r="I22" s="2" t="s">
        <v>1349</v>
      </c>
    </row>
    <row r="23" spans="9:12" x14ac:dyDescent="0.2">
      <c r="I23" t="s">
        <v>172</v>
      </c>
      <c r="J23">
        <v>1.7899999999999999E-2</v>
      </c>
    </row>
    <row r="24" spans="9:12" x14ac:dyDescent="0.2">
      <c r="I24" t="s">
        <v>6</v>
      </c>
      <c r="J24">
        <v>0.875</v>
      </c>
    </row>
    <row r="25" spans="9:12" x14ac:dyDescent="0.2">
      <c r="I25" t="s">
        <v>528</v>
      </c>
      <c r="J25">
        <v>7.1300000000000002E-2</v>
      </c>
    </row>
    <row r="26" spans="9:12" x14ac:dyDescent="0.2">
      <c r="I26" t="s">
        <v>5</v>
      </c>
      <c r="J26">
        <v>1.7899999999999999E-2</v>
      </c>
    </row>
    <row r="27" spans="9:12" x14ac:dyDescent="0.2">
      <c r="I27" t="s">
        <v>187</v>
      </c>
      <c r="J27">
        <v>1.7899999999999999E-2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CD16D-590C-43DA-9287-A7989E7555F6}">
  <sheetPr>
    <tabColor theme="9" tint="0.59999389629810485"/>
  </sheetPr>
  <dimension ref="A1:AQ57"/>
  <sheetViews>
    <sheetView showGridLines="0" tabSelected="1" zoomScale="90" zoomScaleNormal="90" workbookViewId="0">
      <pane xSplit="1" topLeftCell="B1" activePane="topRight" state="frozen"/>
      <selection pane="topRight" activeCell="G7" sqref="G7"/>
    </sheetView>
  </sheetViews>
  <sheetFormatPr defaultColWidth="9.140625" defaultRowHeight="12.75" customHeight="1" x14ac:dyDescent="0.2"/>
  <cols>
    <col min="1" max="1" width="30" style="46" customWidth="1"/>
    <col min="2" max="4" width="12" style="46" customWidth="1"/>
    <col min="5" max="5" width="12" style="52" hidden="1" customWidth="1"/>
    <col min="6" max="6" width="12" style="46" customWidth="1"/>
    <col min="7" max="8" width="10.140625" style="52" customWidth="1"/>
    <col min="9" max="10" width="11" style="52" customWidth="1"/>
    <col min="11" max="13" width="10.140625" style="52" customWidth="1"/>
    <col min="14" max="17" width="11" style="52" bestFit="1" customWidth="1"/>
    <col min="18" max="18" width="14" style="52" customWidth="1"/>
    <col min="19" max="19" width="7.42578125" style="44" customWidth="1"/>
    <col min="20" max="20" width="11.5703125" style="44" bestFit="1" customWidth="1"/>
    <col min="21" max="21" width="6.7109375" style="44" customWidth="1"/>
    <col min="22" max="30" width="12.7109375" style="44" customWidth="1"/>
    <col min="31" max="16384" width="9.140625" style="44"/>
  </cols>
  <sheetData>
    <row r="1" spans="1:24" x14ac:dyDescent="0.2">
      <c r="A1" s="63"/>
      <c r="B1" s="48" t="s">
        <v>0</v>
      </c>
      <c r="C1" s="48" t="s">
        <v>0</v>
      </c>
      <c r="D1" s="679" t="s">
        <v>0</v>
      </c>
      <c r="E1" s="70" t="s">
        <v>930</v>
      </c>
      <c r="F1" s="679" t="s">
        <v>0</v>
      </c>
      <c r="G1" s="70" t="s">
        <v>930</v>
      </c>
      <c r="H1" s="70" t="s">
        <v>930</v>
      </c>
      <c r="I1" s="70" t="s">
        <v>930</v>
      </c>
      <c r="J1" s="70" t="s">
        <v>930</v>
      </c>
      <c r="K1" s="70" t="s">
        <v>930</v>
      </c>
      <c r="L1" s="70" t="s">
        <v>930</v>
      </c>
      <c r="M1" s="70" t="s">
        <v>930</v>
      </c>
      <c r="N1" s="70" t="s">
        <v>930</v>
      </c>
      <c r="O1" s="70" t="s">
        <v>930</v>
      </c>
      <c r="P1" s="70" t="s">
        <v>930</v>
      </c>
      <c r="Q1" s="70" t="s">
        <v>930</v>
      </c>
      <c r="R1" s="70" t="s">
        <v>930</v>
      </c>
    </row>
    <row r="2" spans="1:24" s="42" customFormat="1" x14ac:dyDescent="0.2">
      <c r="A2" s="64"/>
      <c r="B2" s="106" t="s">
        <v>1088</v>
      </c>
      <c r="C2" s="106" t="s">
        <v>1342</v>
      </c>
      <c r="D2" s="680">
        <v>46204</v>
      </c>
      <c r="E2" s="175">
        <v>46204</v>
      </c>
      <c r="F2" s="680">
        <v>46235</v>
      </c>
      <c r="G2" s="175">
        <v>46235</v>
      </c>
      <c r="H2" s="175">
        <v>46266</v>
      </c>
      <c r="I2" s="175">
        <v>46296</v>
      </c>
      <c r="J2" s="175">
        <v>46327</v>
      </c>
      <c r="K2" s="175">
        <v>46357</v>
      </c>
      <c r="L2" s="175">
        <v>46388</v>
      </c>
      <c r="M2" s="175">
        <v>46419</v>
      </c>
      <c r="N2" s="175">
        <v>46447</v>
      </c>
      <c r="O2" s="175">
        <v>46478</v>
      </c>
      <c r="P2" s="175">
        <v>46508</v>
      </c>
      <c r="Q2" s="175">
        <v>46539</v>
      </c>
      <c r="R2" s="71" t="s">
        <v>27</v>
      </c>
      <c r="S2" s="706" t="s">
        <v>1115</v>
      </c>
      <c r="T2" s="706"/>
      <c r="U2" s="706" t="s">
        <v>1390</v>
      </c>
      <c r="V2" s="706"/>
      <c r="W2" s="674"/>
    </row>
    <row r="3" spans="1:24" x14ac:dyDescent="0.2">
      <c r="A3" s="43" t="s">
        <v>5</v>
      </c>
      <c r="B3" s="190">
        <v>944789.6399999999</v>
      </c>
      <c r="C3" s="190">
        <f>D3+F3</f>
        <v>207091.24</v>
      </c>
      <c r="D3" s="191">
        <v>112803.24</v>
      </c>
      <c r="E3" s="191">
        <f>CONS!G2</f>
        <v>297416.4916666667</v>
      </c>
      <c r="F3" s="191">
        <v>94288</v>
      </c>
      <c r="G3" s="191">
        <f>CONS!H2</f>
        <v>465645.39166666666</v>
      </c>
      <c r="H3" s="191">
        <f>CONS!I2</f>
        <v>82321.891666666663</v>
      </c>
      <c r="I3" s="191">
        <f>CONS!J2</f>
        <v>100061.89166666668</v>
      </c>
      <c r="J3" s="191">
        <f>CONS!K2</f>
        <v>36337.39166666667</v>
      </c>
      <c r="K3" s="191">
        <f>CONS!L2</f>
        <v>31337.39166666667</v>
      </c>
      <c r="L3" s="191">
        <f>CONS!M2</f>
        <v>27340.651666666668</v>
      </c>
      <c r="M3" s="191">
        <f>CONS!N2</f>
        <v>32340.651666666668</v>
      </c>
      <c r="N3" s="191">
        <f>CONS!O2</f>
        <v>32340.651666666668</v>
      </c>
      <c r="O3" s="191">
        <f>CONS!P2</f>
        <v>32340.651666666668</v>
      </c>
      <c r="P3" s="191">
        <f>CONS!Q2</f>
        <v>8035.0716666666667</v>
      </c>
      <c r="Q3" s="191">
        <f>CONS!R2</f>
        <v>8035.0716666666667</v>
      </c>
      <c r="R3" s="191">
        <f>E3+G3+H3+I3+J3+K3+L3+M3+N3+O3+P3+Q3</f>
        <v>1153553.2000000002</v>
      </c>
      <c r="S3" s="107">
        <f>(C3-R3)/R3</f>
        <v>-0.82047534522031584</v>
      </c>
      <c r="T3" s="108">
        <f t="shared" ref="T3:T11" si="0">+R3-C3</f>
        <v>946461.9600000002</v>
      </c>
      <c r="U3" s="107">
        <f>(R3-B3)/B3</f>
        <v>0.22096300717268694</v>
      </c>
      <c r="V3" s="108">
        <f>+R3-B3</f>
        <v>208763.56000000029</v>
      </c>
      <c r="W3" s="96"/>
      <c r="X3" s="556">
        <f>R3/$R$6</f>
        <v>0.18297006637366922</v>
      </c>
    </row>
    <row r="4" spans="1:24" x14ac:dyDescent="0.2">
      <c r="A4" s="51" t="s">
        <v>6</v>
      </c>
      <c r="B4" s="190">
        <v>2444121.4</v>
      </c>
      <c r="C4" s="190">
        <f t="shared" ref="C4:C5" si="1">D4+F4</f>
        <v>379542.03</v>
      </c>
      <c r="D4" s="191">
        <v>110900.03</v>
      </c>
      <c r="E4" s="191">
        <f>'PRD Sales Forecast'!CN64</f>
        <v>73000.02</v>
      </c>
      <c r="F4" s="191">
        <v>268642</v>
      </c>
      <c r="G4" s="191">
        <f>'PRD Sales Forecast'!CO64</f>
        <v>251215.02</v>
      </c>
      <c r="H4" s="191">
        <f>'PRD Sales Forecast'!CP64</f>
        <v>83326.02</v>
      </c>
      <c r="I4" s="191">
        <f>'PRD Sales Forecast'!CQ64</f>
        <v>587307.02</v>
      </c>
      <c r="J4" s="191">
        <f>'PRD Sales Forecast'!CR64</f>
        <v>241601.02</v>
      </c>
      <c r="K4" s="191">
        <f>'PRD Sales Forecast'!CS64</f>
        <v>62316.020000000004</v>
      </c>
      <c r="L4" s="191">
        <f>'PRD Sales Forecast'!CT64</f>
        <v>64261.936667000002</v>
      </c>
      <c r="M4" s="191">
        <f>'PRD Sales Forecast'!CU64</f>
        <v>281912.02</v>
      </c>
      <c r="N4" s="191">
        <f>'PRD Sales Forecast'!CV64</f>
        <v>128882.02</v>
      </c>
      <c r="O4" s="191">
        <f>'PRD Sales Forecast'!CW64</f>
        <v>98752.02</v>
      </c>
      <c r="P4" s="191">
        <f>'PRD Sales Forecast'!CX64</f>
        <v>135511.936667</v>
      </c>
      <c r="Q4" s="191">
        <f>'PRD Sales Forecast'!CY64</f>
        <v>82637.02</v>
      </c>
      <c r="R4" s="191">
        <f>E4+G4+H4+I4+J4+K4+L4+M4+N4+O4+P4+Q4</f>
        <v>2090722.0733340001</v>
      </c>
      <c r="S4" s="107">
        <f t="shared" ref="S4:S11" si="2">(C4-R4)/R4</f>
        <v>-0.81846366150678374</v>
      </c>
      <c r="T4" s="108">
        <f t="shared" si="0"/>
        <v>1711180.043334</v>
      </c>
      <c r="U4" s="107">
        <f t="shared" ref="U4:U9" si="3">(R4-B4)/B4</f>
        <v>-0.14459156024983041</v>
      </c>
      <c r="V4" s="108">
        <f t="shared" ref="V4:V15" si="4">+R4-B4</f>
        <v>-353399.32666599983</v>
      </c>
      <c r="W4" s="96"/>
      <c r="X4" s="556">
        <f t="shared" ref="X4:X5" si="5">R4/$R$6</f>
        <v>0.33161847804402717</v>
      </c>
    </row>
    <row r="5" spans="1:24" x14ac:dyDescent="0.2">
      <c r="A5" s="51" t="s">
        <v>172</v>
      </c>
      <c r="B5" s="190">
        <v>2724274.9900000016</v>
      </c>
      <c r="C5" s="190">
        <f t="shared" si="1"/>
        <v>475638.94</v>
      </c>
      <c r="D5" s="191">
        <v>235402.94</v>
      </c>
      <c r="E5" s="191">
        <f>ONS!F6</f>
        <v>238860.66999999998</v>
      </c>
      <c r="F5" s="191">
        <v>240236</v>
      </c>
      <c r="G5" s="191">
        <f>ONS!G6</f>
        <v>256307.33</v>
      </c>
      <c r="H5" s="191">
        <f>ONS!H6</f>
        <v>248016.77</v>
      </c>
      <c r="I5" s="191">
        <f>ONS!I6</f>
        <v>263046.77</v>
      </c>
      <c r="J5" s="191">
        <f>ONS!J6</f>
        <v>262366.77</v>
      </c>
      <c r="K5" s="191">
        <f>ONS!K6</f>
        <v>251316.77</v>
      </c>
      <c r="L5" s="191">
        <f>ONS!L6</f>
        <v>262366.77</v>
      </c>
      <c r="M5" s="191">
        <f>ONS!M6</f>
        <v>262366.77</v>
      </c>
      <c r="N5" s="191">
        <f>ONS!N6</f>
        <v>253016.77</v>
      </c>
      <c r="O5" s="191">
        <f>ONS!O6</f>
        <v>261266.77</v>
      </c>
      <c r="P5" s="191">
        <f>ONS!P6</f>
        <v>258950.11000000002</v>
      </c>
      <c r="Q5" s="191">
        <f>ONS!Q6</f>
        <v>242443.11000000002</v>
      </c>
      <c r="R5" s="191">
        <f t="shared" ref="R5:R9" si="6">E5+G5+H5+I5+J5+K5+L5+M5+N5+O5+P5+Q5</f>
        <v>3060325.38</v>
      </c>
      <c r="S5" s="107">
        <f t="shared" si="2"/>
        <v>-0.84457896434528801</v>
      </c>
      <c r="T5" s="108">
        <f t="shared" si="0"/>
        <v>2584686.44</v>
      </c>
      <c r="U5" s="107">
        <f t="shared" si="3"/>
        <v>0.1233540634603844</v>
      </c>
      <c r="V5" s="108">
        <f t="shared" si="4"/>
        <v>336050.38999999827</v>
      </c>
      <c r="W5" s="96"/>
      <c r="X5" s="556">
        <f t="shared" si="5"/>
        <v>0.48541145558230375</v>
      </c>
    </row>
    <row r="6" spans="1:24" x14ac:dyDescent="0.2">
      <c r="A6" s="55" t="s">
        <v>8</v>
      </c>
      <c r="B6" s="68">
        <f>SUM(B3:B5)</f>
        <v>6113186.0300000012</v>
      </c>
      <c r="C6" s="68">
        <f>SUM(C3:C5)</f>
        <v>1062272.21</v>
      </c>
      <c r="D6" s="681">
        <f>SUM(D3:D5)</f>
        <v>459106.21</v>
      </c>
      <c r="E6" s="681">
        <f t="shared" ref="E6:F6" si="7">SUM(E3:E5)</f>
        <v>609277.18166666664</v>
      </c>
      <c r="F6" s="681">
        <f>SUM(F3:F5)</f>
        <v>603166</v>
      </c>
      <c r="G6" s="69">
        <f>SUM(G3:G5)</f>
        <v>973167.74166666658</v>
      </c>
      <c r="H6" s="69">
        <f t="shared" ref="G6:P6" si="8">SUM(H3:H5)</f>
        <v>413664.68166666664</v>
      </c>
      <c r="I6" s="69">
        <f t="shared" si="8"/>
        <v>950415.68166666676</v>
      </c>
      <c r="J6" s="69">
        <f t="shared" si="8"/>
        <v>540305.18166666664</v>
      </c>
      <c r="K6" s="69">
        <f t="shared" si="8"/>
        <v>344970.18166666664</v>
      </c>
      <c r="L6" s="69">
        <f t="shared" si="8"/>
        <v>353969.35833366669</v>
      </c>
      <c r="M6" s="69">
        <f t="shared" si="8"/>
        <v>576619.44166666665</v>
      </c>
      <c r="N6" s="69">
        <f t="shared" si="8"/>
        <v>414239.44166666665</v>
      </c>
      <c r="O6" s="69">
        <f t="shared" si="8"/>
        <v>392359.44166666665</v>
      </c>
      <c r="P6" s="69">
        <f t="shared" si="8"/>
        <v>402497.1183336667</v>
      </c>
      <c r="Q6" s="69">
        <f>SUM(Q3:Q5)</f>
        <v>333115.20166666666</v>
      </c>
      <c r="R6" s="69">
        <f>E6+G6+H6+I6+J6+K6+L6+M6+N6+O6+P6+Q6</f>
        <v>6304600.6533339992</v>
      </c>
      <c r="S6" s="107">
        <f t="shared" si="2"/>
        <v>-0.83150840657318248</v>
      </c>
      <c r="T6" s="108">
        <f>+R6-C6</f>
        <v>5242328.4433339993</v>
      </c>
      <c r="U6" s="107">
        <f t="shared" si="3"/>
        <v>3.1311761558481151E-2</v>
      </c>
      <c r="V6" s="108">
        <f t="shared" si="4"/>
        <v>191414.62333399802</v>
      </c>
      <c r="W6" s="96"/>
    </row>
    <row r="7" spans="1:24" x14ac:dyDescent="0.2">
      <c r="A7" s="46" t="s">
        <v>9</v>
      </c>
      <c r="B7" s="190">
        <v>744807.03999999992</v>
      </c>
      <c r="C7" s="190">
        <f t="shared" ref="C7:C9" si="9">D7+F7</f>
        <v>182140.37</v>
      </c>
      <c r="D7" s="190">
        <v>106364.37</v>
      </c>
      <c r="E7" s="190">
        <f>'FY27 Budget - detailed'!H7</f>
        <v>156894.91234767181</v>
      </c>
      <c r="F7" s="190">
        <f>73229+2547</f>
        <v>75776</v>
      </c>
      <c r="G7" s="190">
        <f>'FY27 Budget - detailed'!I7</f>
        <v>239607.17366026258</v>
      </c>
      <c r="H7" s="190">
        <f>'FY27 Budget - detailed'!J7</f>
        <v>50130.111515418597</v>
      </c>
      <c r="I7" s="190">
        <f>'FY27 Budget - detailed'!K7</f>
        <v>58336.59925557088</v>
      </c>
      <c r="J7" s="190">
        <f>'FY27 Budget - detailed'!L7</f>
        <v>27394.351833493958</v>
      </c>
      <c r="K7" s="190">
        <f>'FY27 Budget - detailed'!M7</f>
        <v>23963.879536378259</v>
      </c>
      <c r="L7" s="190">
        <f>'FY27 Budget - detailed'!N7</f>
        <v>21263.504217185644</v>
      </c>
      <c r="M7" s="190">
        <f>'FY27 Budget - detailed'!O7</f>
        <v>24080.806697185642</v>
      </c>
      <c r="N7" s="190">
        <f>'FY27 Budget - detailed'!P7</f>
        <v>25062.908775257485</v>
      </c>
      <c r="O7" s="190">
        <f>'FY27 Budget - detailed'!Q7</f>
        <v>24323.317688537914</v>
      </c>
      <c r="P7" s="190">
        <f>'FY27 Budget - detailed'!R7</f>
        <v>12517.147616378257</v>
      </c>
      <c r="Q7" s="190">
        <f>'FY27 Budget - detailed'!S7</f>
        <v>17919.297896378259</v>
      </c>
      <c r="R7" s="190">
        <f t="shared" si="6"/>
        <v>681494.01103971933</v>
      </c>
      <c r="S7" s="107">
        <f t="shared" si="2"/>
        <v>-0.73273371878629123</v>
      </c>
      <c r="T7" s="108">
        <f t="shared" si="0"/>
        <v>499353.64103971934</v>
      </c>
      <c r="U7" s="107">
        <f t="shared" si="3"/>
        <v>-8.5005948601507036E-2</v>
      </c>
      <c r="V7" s="108">
        <f t="shared" si="4"/>
        <v>-63313.028960280586</v>
      </c>
    </row>
    <row r="8" spans="1:24" x14ac:dyDescent="0.2">
      <c r="A8" s="46" t="s">
        <v>10</v>
      </c>
      <c r="B8" s="190">
        <v>1172927.9400000002</v>
      </c>
      <c r="C8" s="190">
        <f t="shared" si="9"/>
        <v>169851.09</v>
      </c>
      <c r="D8" s="190">
        <v>44738.09</v>
      </c>
      <c r="E8" s="190">
        <f>'FY27 Budget - detailed'!H11</f>
        <v>52683.663485863028</v>
      </c>
      <c r="F8" s="190">
        <f>120188+4925</f>
        <v>125113</v>
      </c>
      <c r="G8" s="190">
        <f>'FY27 Budget - detailed'!I11</f>
        <v>100269.81170493504</v>
      </c>
      <c r="H8" s="190">
        <f>'FY27 Budget - detailed'!J11</f>
        <v>103519.69466078594</v>
      </c>
      <c r="I8" s="190">
        <f>'FY27 Budget - detailed'!K11</f>
        <v>285683.94306389819</v>
      </c>
      <c r="J8" s="190">
        <f>'FY27 Budget - detailed'!L11</f>
        <v>104223.85100357098</v>
      </c>
      <c r="K8" s="190">
        <f>'FY27 Budget - detailed'!M11</f>
        <v>83048.459754416632</v>
      </c>
      <c r="L8" s="190">
        <f>'FY27 Budget - detailed'!N11</f>
        <v>45343.173259935029</v>
      </c>
      <c r="M8" s="190">
        <f>'FY27 Budget - detailed'!O11</f>
        <v>109744.54951493503</v>
      </c>
      <c r="N8" s="190">
        <f>'FY27 Budget - detailed'!P11</f>
        <v>59313.374450564894</v>
      </c>
      <c r="O8" s="190">
        <f>'FY27 Budget - detailed'!Q11</f>
        <v>48118.512397468621</v>
      </c>
      <c r="P8" s="190">
        <f>'FY27 Budget - detailed'!R11</f>
        <v>60551.388619416626</v>
      </c>
      <c r="Q8" s="190">
        <f>'FY27 Budget - detailed'!S11</f>
        <v>85630.235144416627</v>
      </c>
      <c r="R8" s="190">
        <f t="shared" si="6"/>
        <v>1138130.6570602064</v>
      </c>
      <c r="S8" s="107">
        <f t="shared" si="2"/>
        <v>-0.8507631009266321</v>
      </c>
      <c r="T8" s="108">
        <f t="shared" si="0"/>
        <v>968279.56706020643</v>
      </c>
      <c r="U8" s="107">
        <f t="shared" si="3"/>
        <v>-2.9667025358602821E-2</v>
      </c>
      <c r="V8" s="108">
        <f t="shared" si="4"/>
        <v>-34797.282939793775</v>
      </c>
    </row>
    <row r="9" spans="1:24" x14ac:dyDescent="0.2">
      <c r="A9" s="46" t="s">
        <v>870</v>
      </c>
      <c r="B9" s="190">
        <v>1579333.3500000008</v>
      </c>
      <c r="C9" s="190">
        <f t="shared" si="9"/>
        <v>266009.68999999994</v>
      </c>
      <c r="D9" s="190">
        <v>131411.68999999997</v>
      </c>
      <c r="E9" s="190">
        <f>'FY27 Budget - detailed'!H15</f>
        <v>129391.67512851999</v>
      </c>
      <c r="F9" s="190">
        <v>134598</v>
      </c>
      <c r="G9" s="190">
        <f>'FY27 Budget - detailed'!I15</f>
        <v>115678.56798330561</v>
      </c>
      <c r="H9" s="190">
        <f>'FY27 Budget - detailed'!J15</f>
        <v>135541.8521616362</v>
      </c>
      <c r="I9" s="190">
        <f>'FY27 Budget - detailed'!K15</f>
        <v>130158.68086163618</v>
      </c>
      <c r="J9" s="190">
        <f>'FY27 Budget - detailed'!L15</f>
        <v>127598.9414083056</v>
      </c>
      <c r="K9" s="190">
        <f>'FY27 Budget - detailed'!M15</f>
        <v>134912.17803497089</v>
      </c>
      <c r="L9" s="190">
        <f>'FY27 Budget - detailed'!N15</f>
        <v>112466.5602583056</v>
      </c>
      <c r="M9" s="190">
        <f>'FY27 Budget - detailed'!O15</f>
        <v>116012.62255830559</v>
      </c>
      <c r="N9" s="190">
        <f>'FY27 Budget - detailed'!P15</f>
        <v>142206.77103663617</v>
      </c>
      <c r="O9" s="190">
        <f>'FY27 Budget - detailed'!Q15</f>
        <v>134804.1068583056</v>
      </c>
      <c r="P9" s="190">
        <f>'FY27 Budget - detailed'!R15</f>
        <v>141480.1032099709</v>
      </c>
      <c r="Q9" s="190">
        <f>'FY27 Budget - detailed'!S15</f>
        <v>139270.00100997087</v>
      </c>
      <c r="R9" s="190">
        <f t="shared" si="6"/>
        <v>1559522.0605098694</v>
      </c>
      <c r="S9" s="107">
        <f t="shared" si="2"/>
        <v>-0.82942870977212668</v>
      </c>
      <c r="T9" s="108">
        <f t="shared" si="0"/>
        <v>1293512.3705098694</v>
      </c>
      <c r="U9" s="107">
        <f t="shared" si="3"/>
        <v>-1.2544083546473211E-2</v>
      </c>
      <c r="V9" s="108">
        <f t="shared" si="4"/>
        <v>-19811.289490131428</v>
      </c>
    </row>
    <row r="10" spans="1:24" x14ac:dyDescent="0.2">
      <c r="A10" s="55" t="s">
        <v>12</v>
      </c>
      <c r="B10" s="192">
        <f t="shared" ref="B10" si="10">SUM(B7:B9)</f>
        <v>3497068.330000001</v>
      </c>
      <c r="C10" s="192">
        <f>SUM(C7:C9)</f>
        <v>618001.14999999991</v>
      </c>
      <c r="D10" s="682">
        <f>SUM(D7:D9)</f>
        <v>282514.14999999997</v>
      </c>
      <c r="E10" s="682">
        <f t="shared" ref="E10:F10" si="11">SUM(E7:E9)</f>
        <v>338970.25096205482</v>
      </c>
      <c r="F10" s="682">
        <f t="shared" si="11"/>
        <v>335487</v>
      </c>
      <c r="G10" s="193">
        <f t="shared" ref="G10:P10" si="12">SUM(G7:G9)</f>
        <v>455555.55334850325</v>
      </c>
      <c r="H10" s="193">
        <f t="shared" si="12"/>
        <v>289191.65833784069</v>
      </c>
      <c r="I10" s="193">
        <f t="shared" si="12"/>
        <v>474179.22318110522</v>
      </c>
      <c r="J10" s="193">
        <f t="shared" si="12"/>
        <v>259217.14424537052</v>
      </c>
      <c r="K10" s="193">
        <f t="shared" si="12"/>
        <v>241924.51732576577</v>
      </c>
      <c r="L10" s="193">
        <f t="shared" si="12"/>
        <v>179073.23773542629</v>
      </c>
      <c r="M10" s="193">
        <f t="shared" si="12"/>
        <v>249837.97877042627</v>
      </c>
      <c r="N10" s="193">
        <f t="shared" si="12"/>
        <v>226583.05426245855</v>
      </c>
      <c r="O10" s="193">
        <f t="shared" si="12"/>
        <v>207245.93694431212</v>
      </c>
      <c r="P10" s="193">
        <f t="shared" si="12"/>
        <v>214548.63944576579</v>
      </c>
      <c r="Q10" s="193">
        <f>SUM(Q7:Q9)</f>
        <v>242819.53405076577</v>
      </c>
      <c r="R10" s="193">
        <f>E10+G10+H10+I10+J10+K10+L10+M10+N10+O10+P10+Q10</f>
        <v>3379146.7286097948</v>
      </c>
      <c r="S10" s="107">
        <f t="shared" si="2"/>
        <v>-0.81711325383782607</v>
      </c>
      <c r="T10" s="108">
        <f t="shared" si="0"/>
        <v>2761145.5786097948</v>
      </c>
      <c r="U10" s="107">
        <f>(R10-B10)/B10</f>
        <v>-3.3720130767420899E-2</v>
      </c>
      <c r="V10" s="108">
        <f t="shared" si="4"/>
        <v>-117921.60139020626</v>
      </c>
      <c r="W10" s="96"/>
    </row>
    <row r="11" spans="1:24" x14ac:dyDescent="0.2">
      <c r="A11" s="55" t="s">
        <v>13</v>
      </c>
      <c r="B11" s="192">
        <f>+B6-B10</f>
        <v>2616117.7000000002</v>
      </c>
      <c r="C11" s="192">
        <f>+C6-C10</f>
        <v>444271.06000000006</v>
      </c>
      <c r="D11" s="682">
        <f>+D6-D10</f>
        <v>176592.06000000006</v>
      </c>
      <c r="E11" s="682">
        <f t="shared" ref="E11:F11" si="13">+E6-E10</f>
        <v>270306.93070461182</v>
      </c>
      <c r="F11" s="682">
        <f t="shared" si="13"/>
        <v>267679</v>
      </c>
      <c r="G11" s="193">
        <f t="shared" ref="G11:P11" si="14">+G6-G10</f>
        <v>517612.18831816333</v>
      </c>
      <c r="H11" s="193">
        <f t="shared" si="14"/>
        <v>124473.02332882595</v>
      </c>
      <c r="I11" s="193">
        <f t="shared" si="14"/>
        <v>476236.45848556154</v>
      </c>
      <c r="J11" s="193">
        <f t="shared" si="14"/>
        <v>281088.03742129612</v>
      </c>
      <c r="K11" s="193">
        <f t="shared" si="14"/>
        <v>103045.66434090087</v>
      </c>
      <c r="L11" s="193">
        <f t="shared" si="14"/>
        <v>174896.12059824041</v>
      </c>
      <c r="M11" s="193">
        <f t="shared" si="14"/>
        <v>326781.46289624041</v>
      </c>
      <c r="N11" s="193">
        <f t="shared" si="14"/>
        <v>187656.3874042081</v>
      </c>
      <c r="O11" s="193">
        <f t="shared" si="14"/>
        <v>185113.50472235453</v>
      </c>
      <c r="P11" s="193">
        <f t="shared" si="14"/>
        <v>187948.47888790091</v>
      </c>
      <c r="Q11" s="193">
        <f>+Q6-Q10</f>
        <v>90295.667615900893</v>
      </c>
      <c r="R11" s="193">
        <f>E11+G11+H11+I11+J11+K11+L11+M11+N11+O11+P11+Q11</f>
        <v>2925453.9247242045</v>
      </c>
      <c r="S11" s="107">
        <f t="shared" si="2"/>
        <v>-0.84813602557699364</v>
      </c>
      <c r="T11" s="108">
        <f t="shared" si="0"/>
        <v>2481182.8647242044</v>
      </c>
      <c r="U11" s="107">
        <f>(R11-B11)/B11</f>
        <v>0.11824247231850626</v>
      </c>
      <c r="V11" s="108">
        <f t="shared" si="4"/>
        <v>309336.22472420428</v>
      </c>
    </row>
    <row r="12" spans="1:24" x14ac:dyDescent="0.2">
      <c r="A12" s="55" t="s">
        <v>14</v>
      </c>
      <c r="B12" s="178">
        <f>+B11/B6</f>
        <v>0.4279466856008633</v>
      </c>
      <c r="C12" s="178">
        <f>+C11/C6</f>
        <v>0.41822713219618168</v>
      </c>
      <c r="D12" s="177">
        <f>+D11/D6</f>
        <v>0.38464315261603638</v>
      </c>
      <c r="E12" s="177">
        <f t="shared" ref="E12:F12" si="15">+E11/E6</f>
        <v>0.44365182028513217</v>
      </c>
      <c r="F12" s="177">
        <f t="shared" si="15"/>
        <v>0.44378993510907444</v>
      </c>
      <c r="G12" s="177">
        <f t="shared" ref="G12:P12" si="16">+G11/G6</f>
        <v>0.53188383272105821</v>
      </c>
      <c r="H12" s="177">
        <f t="shared" si="16"/>
        <v>0.30090319247783165</v>
      </c>
      <c r="I12" s="177">
        <f t="shared" si="16"/>
        <v>0.50108228186052695</v>
      </c>
      <c r="J12" s="177">
        <f t="shared" si="16"/>
        <v>0.52023938869923569</v>
      </c>
      <c r="K12" s="177">
        <f t="shared" si="16"/>
        <v>0.29870890244209719</v>
      </c>
      <c r="L12" s="177">
        <f t="shared" si="16"/>
        <v>0.49409960630935695</v>
      </c>
      <c r="M12" s="177">
        <f t="shared" si="16"/>
        <v>0.56671946743888479</v>
      </c>
      <c r="N12" s="177">
        <f t="shared" si="16"/>
        <v>0.45301429204612742</v>
      </c>
      <c r="O12" s="177">
        <f t="shared" si="16"/>
        <v>0.47179571857893449</v>
      </c>
      <c r="P12" s="177">
        <f t="shared" si="16"/>
        <v>0.46695608571312358</v>
      </c>
      <c r="Q12" s="177">
        <f>+Q11/Q6</f>
        <v>0.27106438602659655</v>
      </c>
      <c r="R12" s="177">
        <f>+R11/R6</f>
        <v>0.46401891025043207</v>
      </c>
      <c r="S12" s="107"/>
      <c r="T12" s="108"/>
      <c r="U12" s="108"/>
    </row>
    <row r="13" spans="1:24" x14ac:dyDescent="0.2">
      <c r="A13" s="51" t="s">
        <v>15</v>
      </c>
      <c r="B13" s="53">
        <v>2380904.6600000006</v>
      </c>
      <c r="C13" s="53">
        <f>D13+F13</f>
        <v>411287.76000000007</v>
      </c>
      <c r="D13" s="53">
        <v>202397.94000000006</v>
      </c>
      <c r="E13" s="53">
        <v>202397.94000000006</v>
      </c>
      <c r="F13" s="53">
        <v>208889.82</v>
      </c>
      <c r="G13" s="53">
        <f>'FY27 Budget - detailed'!I73</f>
        <v>239717.06231355245</v>
      </c>
      <c r="H13" s="53">
        <f>'FY27 Budget - detailed'!J73</f>
        <v>231573.14623077027</v>
      </c>
      <c r="I13" s="53">
        <f>'FY27 Budget - detailed'!K73</f>
        <v>209130.75085855028</v>
      </c>
      <c r="J13" s="53">
        <f>'FY27 Budget - detailed'!L73</f>
        <v>202345.83494521788</v>
      </c>
      <c r="K13" s="53">
        <f>'FY27 Budget - detailed'!M73</f>
        <v>201077.03700540407</v>
      </c>
      <c r="L13" s="53">
        <f>'FY27 Budget - detailed'!N73</f>
        <v>201203.7104472479</v>
      </c>
      <c r="M13" s="53">
        <f>'FY27 Budget - detailed'!O73</f>
        <v>197422.84212471783</v>
      </c>
      <c r="N13" s="53">
        <f>'FY27 Budget - detailed'!P73</f>
        <v>211706.91335330025</v>
      </c>
      <c r="O13" s="53">
        <f>'FY27 Budget - detailed'!Q73</f>
        <v>198848.19990646787</v>
      </c>
      <c r="P13" s="53">
        <f>'FY27 Budget - detailed'!R73</f>
        <v>208673.80802352406</v>
      </c>
      <c r="Q13" s="53">
        <f>'FY27 Budget - detailed'!S73</f>
        <v>208102.17029788403</v>
      </c>
      <c r="R13" s="53">
        <f>+E13+G13+H13+I13+J13+K13+L13+M13+N13+O13+P13+Q13</f>
        <v>2512199.4155066367</v>
      </c>
      <c r="S13" s="107">
        <f>(C13-R13)/R13</f>
        <v>-0.83628379281464982</v>
      </c>
      <c r="T13" s="108">
        <f>+R13-C13</f>
        <v>2100911.6555066365</v>
      </c>
      <c r="U13" s="107">
        <f>(R13-B13)/B13</f>
        <v>5.5144902571040405E-2</v>
      </c>
      <c r="V13" s="108">
        <f t="shared" si="4"/>
        <v>131294.75550663611</v>
      </c>
      <c r="W13" s="96"/>
    </row>
    <row r="14" spans="1:24" x14ac:dyDescent="0.2">
      <c r="A14" s="55" t="s">
        <v>16</v>
      </c>
      <c r="B14" s="192">
        <f t="shared" ref="B14:Q14" si="17">SUM(B13:B13)</f>
        <v>2380904.6600000006</v>
      </c>
      <c r="C14" s="192">
        <f>SUM(C13:C13)</f>
        <v>411287.76000000007</v>
      </c>
      <c r="D14" s="682">
        <f>SUM(D13:D13)</f>
        <v>202397.94000000006</v>
      </c>
      <c r="E14" s="682">
        <f t="shared" ref="E14:F14" si="18">SUM(E13:E13)</f>
        <v>202397.94000000006</v>
      </c>
      <c r="F14" s="682">
        <f t="shared" si="18"/>
        <v>208889.82</v>
      </c>
      <c r="G14" s="193">
        <f t="shared" si="17"/>
        <v>239717.06231355245</v>
      </c>
      <c r="H14" s="193">
        <f t="shared" si="17"/>
        <v>231573.14623077027</v>
      </c>
      <c r="I14" s="193">
        <f t="shared" si="17"/>
        <v>209130.75085855028</v>
      </c>
      <c r="J14" s="193">
        <f t="shared" si="17"/>
        <v>202345.83494521788</v>
      </c>
      <c r="K14" s="193">
        <f t="shared" si="17"/>
        <v>201077.03700540407</v>
      </c>
      <c r="L14" s="193">
        <f t="shared" si="17"/>
        <v>201203.7104472479</v>
      </c>
      <c r="M14" s="193">
        <f t="shared" si="17"/>
        <v>197422.84212471783</v>
      </c>
      <c r="N14" s="193">
        <f t="shared" si="17"/>
        <v>211706.91335330025</v>
      </c>
      <c r="O14" s="193">
        <f t="shared" si="17"/>
        <v>198848.19990646787</v>
      </c>
      <c r="P14" s="193">
        <f t="shared" si="17"/>
        <v>208673.80802352406</v>
      </c>
      <c r="Q14" s="193">
        <f t="shared" si="17"/>
        <v>208102.17029788403</v>
      </c>
      <c r="R14" s="193">
        <f>+E14+G14+H14+I14+J14+K14+L14+M14+N14+O14+P14+Q14</f>
        <v>2512199.4155066367</v>
      </c>
      <c r="S14" s="107">
        <f>(C14-R14)/R14</f>
        <v>-0.83628379281464982</v>
      </c>
      <c r="T14" s="108">
        <f>+R14-C14</f>
        <v>2100911.6555066365</v>
      </c>
      <c r="U14" s="107">
        <f t="shared" ref="U14:U15" si="19">(R14-B14)/B14</f>
        <v>5.5144902571040405E-2</v>
      </c>
      <c r="V14" s="108">
        <f t="shared" si="4"/>
        <v>131294.75550663611</v>
      </c>
    </row>
    <row r="15" spans="1:24" x14ac:dyDescent="0.2">
      <c r="A15" s="55" t="s">
        <v>17</v>
      </c>
      <c r="B15" s="192">
        <f>+B11-B14</f>
        <v>235213.03999999957</v>
      </c>
      <c r="C15" s="192">
        <f>+C11-C14</f>
        <v>32983.299999999988</v>
      </c>
      <c r="D15" s="682">
        <f t="shared" ref="D15:F15" si="20">+D11-D14</f>
        <v>-25805.880000000005</v>
      </c>
      <c r="E15" s="682">
        <f t="shared" si="20"/>
        <v>67908.990704611759</v>
      </c>
      <c r="F15" s="682">
        <f t="shared" si="20"/>
        <v>58789.179999999993</v>
      </c>
      <c r="G15" s="193">
        <f t="shared" ref="G15:P15" si="21">+G11-G14</f>
        <v>277895.12600461091</v>
      </c>
      <c r="H15" s="193">
        <f t="shared" si="21"/>
        <v>-107100.12290194433</v>
      </c>
      <c r="I15" s="193">
        <f t="shared" si="21"/>
        <v>267105.70762701123</v>
      </c>
      <c r="J15" s="193">
        <f t="shared" si="21"/>
        <v>78742.202476078237</v>
      </c>
      <c r="K15" s="193">
        <f t="shared" si="21"/>
        <v>-98031.3726645032</v>
      </c>
      <c r="L15" s="193">
        <f t="shared" si="21"/>
        <v>-26307.589849007491</v>
      </c>
      <c r="M15" s="193">
        <f t="shared" si="21"/>
        <v>129358.62077152258</v>
      </c>
      <c r="N15" s="193">
        <f t="shared" si="21"/>
        <v>-24050.525949092145</v>
      </c>
      <c r="O15" s="193">
        <f t="shared" si="21"/>
        <v>-13734.695184113341</v>
      </c>
      <c r="P15" s="193">
        <f t="shared" si="21"/>
        <v>-20725.329135623149</v>
      </c>
      <c r="Q15" s="193">
        <f>+Q11-Q14</f>
        <v>-117806.50268198314</v>
      </c>
      <c r="R15" s="193">
        <f>+R11-R14</f>
        <v>413254.50921756774</v>
      </c>
      <c r="S15" s="107">
        <f>(C15-R15)/R15</f>
        <v>-0.92018647282893862</v>
      </c>
      <c r="T15" s="108">
        <f>+R15-C15</f>
        <v>380271.20921756775</v>
      </c>
      <c r="U15" s="107">
        <f t="shared" si="19"/>
        <v>0.75693706955009166</v>
      </c>
      <c r="V15" s="108">
        <f t="shared" si="4"/>
        <v>178041.46921756817</v>
      </c>
    </row>
    <row r="16" spans="1:24" x14ac:dyDescent="0.2">
      <c r="A16" s="55" t="s">
        <v>18</v>
      </c>
      <c r="B16" s="178">
        <f>+B15/B6</f>
        <v>3.8476342588906871E-2</v>
      </c>
      <c r="C16" s="177">
        <f>+C15/C6</f>
        <v>3.1049762659234009E-2</v>
      </c>
      <c r="D16" s="177">
        <f>+D15/D6</f>
        <v>-5.6208954350671934E-2</v>
      </c>
      <c r="E16" s="177">
        <f t="shared" ref="E16:F16" si="22">+E15/E6</f>
        <v>0.11145828655333513</v>
      </c>
      <c r="F16" s="177">
        <f t="shared" si="22"/>
        <v>9.7467662301920194E-2</v>
      </c>
      <c r="G16" s="177">
        <f t="shared" ref="G16:Q16" si="23">+G15/G6</f>
        <v>0.28555727250954921</v>
      </c>
      <c r="H16" s="177">
        <f t="shared" si="23"/>
        <v>-0.25890564906444252</v>
      </c>
      <c r="I16" s="177">
        <f t="shared" si="23"/>
        <v>0.28104093059429497</v>
      </c>
      <c r="J16" s="177">
        <f t="shared" si="23"/>
        <v>0.14573653029420156</v>
      </c>
      <c r="K16" s="177">
        <f t="shared" si="23"/>
        <v>-0.28417346737297922</v>
      </c>
      <c r="L16" s="177">
        <f t="shared" si="23"/>
        <v>-7.4321658724506967E-2</v>
      </c>
      <c r="M16" s="177">
        <f t="shared" si="23"/>
        <v>0.22433967955992451</v>
      </c>
      <c r="N16" s="177">
        <f t="shared" si="23"/>
        <v>-5.8059478480190947E-2</v>
      </c>
      <c r="O16" s="177">
        <f t="shared" si="23"/>
        <v>-3.5005389766513649E-2</v>
      </c>
      <c r="P16" s="177">
        <f t="shared" si="23"/>
        <v>-5.1491869609963339E-2</v>
      </c>
      <c r="Q16" s="177">
        <f t="shared" si="23"/>
        <v>-0.35365093544985315</v>
      </c>
      <c r="R16" s="177">
        <f>+R15/R6</f>
        <v>6.5548086538840561E-2</v>
      </c>
      <c r="S16" s="57"/>
      <c r="T16" s="57"/>
      <c r="U16" s="108"/>
    </row>
    <row r="17" spans="1:43" x14ac:dyDescent="0.2">
      <c r="S17" s="54"/>
      <c r="U17" s="108"/>
    </row>
    <row r="18" spans="1:43" x14ac:dyDescent="0.2">
      <c r="E18" s="662">
        <f>E13-E20</f>
        <v>-16003.75548750622</v>
      </c>
      <c r="G18" s="52">
        <f>G13-G20</f>
        <v>0</v>
      </c>
      <c r="H18" s="52">
        <f>H13-H20</f>
        <v>-15937.690998036764</v>
      </c>
      <c r="I18" s="52">
        <f>I13-I20</f>
        <v>-38380.086370256759</v>
      </c>
      <c r="J18" s="52">
        <f>J13-J20</f>
        <v>-43331.854445257719</v>
      </c>
      <c r="K18" s="52">
        <f t="shared" ref="K18:Q18" si="24">K13-K20</f>
        <v>-41895.079104237258</v>
      </c>
      <c r="L18" s="52">
        <f>L13-L20</f>
        <v>-39345.274943227705</v>
      </c>
      <c r="M18" s="52">
        <f>M13-M20</f>
        <v>-43126.143265757768</v>
      </c>
      <c r="N18" s="52">
        <f>N13-N20</f>
        <v>-33688.333475506806</v>
      </c>
      <c r="O18" s="52">
        <f t="shared" si="24"/>
        <v>-41700.785484007734</v>
      </c>
      <c r="P18" s="52">
        <f t="shared" si="24"/>
        <v>-34298.308086117264</v>
      </c>
      <c r="Q18" s="52">
        <f t="shared" si="24"/>
        <v>-34869.945811757294</v>
      </c>
      <c r="S18" s="54"/>
      <c r="U18" s="108"/>
    </row>
    <row r="19" spans="1:43" x14ac:dyDescent="0.2">
      <c r="E19" s="662"/>
      <c r="U19" s="108"/>
    </row>
    <row r="20" spans="1:43" x14ac:dyDescent="0.2">
      <c r="E20" s="52">
        <f>CONS!G33+ONS!F40+PRD!H38</f>
        <v>218401.69548750628</v>
      </c>
      <c r="G20" s="52">
        <f>CONS!H33+ONS!G40+PRD!I38</f>
        <v>239717.06231355251</v>
      </c>
      <c r="H20" s="52">
        <f>CONS!I33+ONS!H40+PRD!J38</f>
        <v>247510.83722880704</v>
      </c>
      <c r="I20" s="52">
        <f>CONS!J33+ONS!I40+PRD!K38</f>
        <v>247510.83722880704</v>
      </c>
      <c r="J20" s="52">
        <f>CONS!K33+ONS!J40+PRD!L38</f>
        <v>245677.6893904756</v>
      </c>
      <c r="K20" s="52">
        <f>CONS!L33+ONS!K40+PRD!M38</f>
        <v>242972.11610964133</v>
      </c>
      <c r="L20" s="52">
        <f>CONS!M33+ONS!L40+PRD!N38</f>
        <v>240548.9853904756</v>
      </c>
      <c r="M20" s="52">
        <f>CONS!N33+ONS!M40+PRD!O38</f>
        <v>240548.9853904756</v>
      </c>
      <c r="N20" s="52">
        <f>CONS!O33+ONS!N40+PRD!P38</f>
        <v>245395.24682880705</v>
      </c>
      <c r="O20" s="52">
        <f>CONS!P33+ONS!O40+PRD!Q38</f>
        <v>240548.9853904756</v>
      </c>
      <c r="P20" s="52">
        <f>CONS!Q33+ONS!P40+PRD!R38</f>
        <v>242972.11610964133</v>
      </c>
      <c r="Q20" s="52">
        <f>CONS!R33+ONS!Q40+PRD!S38</f>
        <v>242972.11610964133</v>
      </c>
      <c r="R20" s="52">
        <f>CONS!S33+ONS!R40+PRD!T38</f>
        <v>1376440.7709328814</v>
      </c>
      <c r="S20" s="556"/>
      <c r="U20" s="108"/>
    </row>
    <row r="21" spans="1:43" x14ac:dyDescent="0.2">
      <c r="E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</row>
    <row r="22" spans="1:43" x14ac:dyDescent="0.2">
      <c r="E22" s="683"/>
      <c r="G22" s="96"/>
      <c r="I22" s="96"/>
      <c r="J22" s="96"/>
      <c r="K22" s="96"/>
      <c r="L22" s="96"/>
      <c r="M22" s="96"/>
      <c r="N22" s="96"/>
      <c r="O22" s="96"/>
      <c r="P22" s="96"/>
      <c r="Q22" s="96"/>
    </row>
    <row r="23" spans="1:43" s="46" customFormat="1" x14ac:dyDescent="0.2">
      <c r="A23" s="81"/>
      <c r="E23" s="52"/>
      <c r="G23" s="52"/>
      <c r="I23" s="52"/>
      <c r="J23" s="52"/>
      <c r="K23" s="52"/>
      <c r="L23" s="52"/>
      <c r="M23" s="52"/>
      <c r="N23" s="52"/>
      <c r="O23" s="52"/>
      <c r="P23" s="52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4"/>
      <c r="AJ23" s="44"/>
      <c r="AK23" s="44"/>
      <c r="AL23" s="44"/>
      <c r="AM23" s="44"/>
      <c r="AN23" s="44"/>
      <c r="AO23" s="44"/>
      <c r="AP23" s="44"/>
      <c r="AQ23" s="44"/>
    </row>
    <row r="24" spans="1:43" s="46" customFormat="1" x14ac:dyDescent="0.2">
      <c r="A24" s="546"/>
      <c r="E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  <c r="AJ24" s="44"/>
      <c r="AK24" s="44"/>
      <c r="AL24" s="44"/>
      <c r="AM24" s="44"/>
      <c r="AN24" s="44"/>
      <c r="AO24" s="44"/>
      <c r="AP24" s="44"/>
      <c r="AQ24" s="44"/>
    </row>
    <row r="25" spans="1:43" s="46" customFormat="1" x14ac:dyDescent="0.2">
      <c r="E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4"/>
      <c r="AI25" s="44"/>
      <c r="AJ25" s="44"/>
      <c r="AK25" s="44"/>
      <c r="AL25" s="44"/>
      <c r="AM25" s="44"/>
      <c r="AN25" s="44"/>
      <c r="AO25" s="44"/>
      <c r="AP25" s="44"/>
      <c r="AQ25" s="44"/>
    </row>
    <row r="26" spans="1:43" s="46" customFormat="1" x14ac:dyDescent="0.2">
      <c r="E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  <c r="AI26" s="44"/>
      <c r="AJ26" s="44"/>
      <c r="AK26" s="44"/>
      <c r="AL26" s="44"/>
      <c r="AM26" s="44"/>
      <c r="AN26" s="44"/>
      <c r="AO26" s="44"/>
      <c r="AP26" s="44"/>
      <c r="AQ26" s="44"/>
    </row>
    <row r="27" spans="1:43" s="46" customFormat="1" x14ac:dyDescent="0.2">
      <c r="E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4"/>
      <c r="AM27" s="44"/>
      <c r="AN27" s="44"/>
      <c r="AO27" s="44"/>
      <c r="AP27" s="44"/>
      <c r="AQ27" s="44"/>
    </row>
    <row r="28" spans="1:43" x14ac:dyDescent="0.2"/>
    <row r="30" spans="1:43" s="46" customFormat="1" x14ac:dyDescent="0.2">
      <c r="E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AQ30" s="44"/>
    </row>
    <row r="32" spans="1:43" ht="12.75" customHeight="1" x14ac:dyDescent="0.2">
      <c r="E32" s="46" t="s">
        <v>1396</v>
      </c>
      <c r="J32" s="54"/>
      <c r="K32" s="54"/>
      <c r="M32" s="46" t="s">
        <v>1399</v>
      </c>
    </row>
    <row r="33" spans="5:43" ht="12.75" customHeight="1" x14ac:dyDescent="0.2">
      <c r="E33" s="46" t="s">
        <v>1387</v>
      </c>
      <c r="K33" s="54"/>
      <c r="M33" s="52" t="s">
        <v>1403</v>
      </c>
      <c r="S33" s="556"/>
    </row>
    <row r="34" spans="5:43" s="46" customFormat="1" x14ac:dyDescent="0.2">
      <c r="E34" s="46" t="s">
        <v>1386</v>
      </c>
      <c r="G34" s="52"/>
      <c r="H34" s="52"/>
      <c r="I34" s="52"/>
      <c r="J34" s="52"/>
      <c r="K34" s="54"/>
      <c r="L34" s="52"/>
      <c r="M34" s="46" t="s">
        <v>1397</v>
      </c>
      <c r="P34" s="52"/>
      <c r="Q34" s="52"/>
      <c r="R34" s="52"/>
      <c r="S34" s="556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  <c r="AK34" s="44"/>
      <c r="AL34" s="44"/>
      <c r="AM34" s="44"/>
      <c r="AN34" s="44"/>
      <c r="AO34" s="44"/>
      <c r="AP34" s="44"/>
      <c r="AQ34" s="44"/>
    </row>
    <row r="35" spans="5:43" s="46" customFormat="1" x14ac:dyDescent="0.2">
      <c r="E35" s="46" t="s">
        <v>1391</v>
      </c>
      <c r="G35" s="52"/>
      <c r="H35" s="52"/>
      <c r="I35" s="52"/>
      <c r="J35" s="52"/>
      <c r="K35" s="54"/>
      <c r="L35" s="52"/>
      <c r="M35" s="46" t="s">
        <v>1398</v>
      </c>
      <c r="P35" s="52"/>
      <c r="Q35" s="52"/>
      <c r="R35" s="52"/>
      <c r="S35" s="556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4"/>
      <c r="AJ35" s="44"/>
      <c r="AK35" s="44"/>
      <c r="AL35" s="44"/>
      <c r="AM35" s="44"/>
      <c r="AN35" s="44"/>
      <c r="AO35" s="44"/>
      <c r="AP35" s="44"/>
      <c r="AQ35" s="44"/>
    </row>
    <row r="36" spans="5:43" s="46" customFormat="1" x14ac:dyDescent="0.2">
      <c r="E36" s="46" t="s">
        <v>1388</v>
      </c>
      <c r="G36" s="52"/>
      <c r="H36" s="52"/>
      <c r="I36" s="52"/>
      <c r="J36" s="52"/>
      <c r="K36" s="52"/>
      <c r="L36" s="52"/>
      <c r="P36" s="52"/>
      <c r="Q36" s="52"/>
      <c r="R36" s="52"/>
      <c r="S36" s="556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4"/>
      <c r="AJ36" s="44"/>
      <c r="AK36" s="44"/>
      <c r="AL36" s="44"/>
      <c r="AM36" s="44"/>
      <c r="AN36" s="44"/>
      <c r="AO36" s="44"/>
      <c r="AP36" s="44"/>
      <c r="AQ36" s="44"/>
    </row>
    <row r="37" spans="5:43" ht="12.75" customHeight="1" x14ac:dyDescent="0.2">
      <c r="E37" s="46" t="s">
        <v>1389</v>
      </c>
      <c r="S37" s="556"/>
    </row>
    <row r="38" spans="5:43" ht="12.75" customHeight="1" x14ac:dyDescent="0.2">
      <c r="E38" s="52" t="s">
        <v>1392</v>
      </c>
      <c r="S38" s="556"/>
    </row>
    <row r="39" spans="5:43" ht="12.75" customHeight="1" x14ac:dyDescent="0.2">
      <c r="E39" s="52" t="s">
        <v>1393</v>
      </c>
      <c r="S39" s="556"/>
    </row>
    <row r="40" spans="5:43" ht="12.75" customHeight="1" x14ac:dyDescent="0.2">
      <c r="E40" s="52" t="s">
        <v>1394</v>
      </c>
      <c r="S40" s="556"/>
    </row>
    <row r="41" spans="5:43" ht="12.75" customHeight="1" x14ac:dyDescent="0.2">
      <c r="S41" s="556"/>
    </row>
    <row r="42" spans="5:43" ht="12.75" customHeight="1" x14ac:dyDescent="0.2">
      <c r="N42" s="52" t="s">
        <v>171</v>
      </c>
      <c r="O42" s="52" t="s">
        <v>39</v>
      </c>
      <c r="P42" s="52" t="s">
        <v>168</v>
      </c>
      <c r="S42" s="556"/>
    </row>
    <row r="43" spans="5:43" ht="12.75" customHeight="1" x14ac:dyDescent="0.2">
      <c r="M43" s="52" t="s">
        <v>1110</v>
      </c>
      <c r="N43" s="52">
        <f>'CONS Sales Forecast'!EE16+'CONS Sales Forecast'!EE17</f>
        <v>31392</v>
      </c>
      <c r="O43" s="52">
        <f>'ONS Sales Forecast'!DI38</f>
        <v>45000</v>
      </c>
      <c r="P43" s="52">
        <f>'PRD Sales Forecast'!CZ4+'PRD Sales Forecast'!DP4</f>
        <v>120000</v>
      </c>
      <c r="Q43" s="52">
        <f>SUM(N43:P43)</f>
        <v>196392</v>
      </c>
      <c r="R43" s="672">
        <f>Q43/$Q$47</f>
        <v>3.1150585231142901E-2</v>
      </c>
      <c r="S43" s="556"/>
    </row>
    <row r="44" spans="5:43" ht="12.75" customHeight="1" x14ac:dyDescent="0.2">
      <c r="M44" s="52" t="s">
        <v>1109</v>
      </c>
      <c r="O44" s="52">
        <f>'ONS Sales Forecast'!DI8</f>
        <v>131483.30000000002</v>
      </c>
      <c r="P44" s="52">
        <f>'PRD Sales Forecast'!CZ5+'PRD Sales Forecast'!DP5</f>
        <v>90000</v>
      </c>
      <c r="Q44" s="52">
        <f t="shared" ref="Q44:Q45" si="25">SUM(N44:P44)</f>
        <v>221483.30000000002</v>
      </c>
      <c r="R44" s="672">
        <f>Q44/$Q$47</f>
        <v>3.5130424935459661E-2</v>
      </c>
      <c r="S44" s="556"/>
    </row>
    <row r="45" spans="5:43" ht="12.75" customHeight="1" x14ac:dyDescent="0.2">
      <c r="M45" s="52" t="s">
        <v>1111</v>
      </c>
      <c r="N45" s="52">
        <f>'CONS Sales Forecast'!EE67-'FY27 Budget - Actuals'!N43</f>
        <v>1122161.2000000002</v>
      </c>
      <c r="O45" s="52">
        <f>'ONS Sales Forecast'!DI61-'FY27 Budget - Actuals'!O43-'FY27 Budget - Actuals'!O44</f>
        <v>2883842.0800000005</v>
      </c>
      <c r="P45" s="52">
        <f>'PRD Sales Forecast'!CZ51+'PRD Sales Forecast'!DP51-'FY27 Budget - Actuals'!P43-'FY27 Budget - Actuals'!P44</f>
        <v>1880722.0733340001</v>
      </c>
      <c r="Q45" s="52">
        <f t="shared" si="25"/>
        <v>5886725.3533340003</v>
      </c>
      <c r="R45" s="672">
        <f>Q45/$Q$47</f>
        <v>0.93371898983339752</v>
      </c>
      <c r="S45" s="556"/>
    </row>
    <row r="46" spans="5:43" ht="12.75" customHeight="1" x14ac:dyDescent="0.2">
      <c r="R46" s="672"/>
    </row>
    <row r="47" spans="5:43" ht="12.75" customHeight="1" x14ac:dyDescent="0.2">
      <c r="N47" s="52">
        <f>SUM(N43:N46)</f>
        <v>1153553.2000000002</v>
      </c>
      <c r="O47" s="52">
        <f t="shared" ref="O47:Q47" si="26">SUM(O43:O46)</f>
        <v>3060325.3800000004</v>
      </c>
      <c r="P47" s="52">
        <f t="shared" si="26"/>
        <v>2090722.0733340001</v>
      </c>
      <c r="Q47" s="52">
        <f t="shared" si="26"/>
        <v>6304600.6533340001</v>
      </c>
    </row>
    <row r="48" spans="5:43" ht="12.75" customHeight="1" x14ac:dyDescent="0.2">
      <c r="P48" s="46"/>
      <c r="Q48" s="46"/>
    </row>
    <row r="49" spans="13:18" ht="12.75" customHeight="1" x14ac:dyDescent="0.2">
      <c r="M49" s="52" t="s">
        <v>917</v>
      </c>
      <c r="N49" s="52">
        <f>SUMIF('CONS Sales Forecast'!$DO$4:$DO$30,M49,'CONS Sales Forecast'!$EE$4:$EE$30)</f>
        <v>0</v>
      </c>
      <c r="O49" s="52">
        <f>SUMIF('ONS Sales Forecast'!$CU$4:$CU$52,M49,'ONS Sales Forecast'!$DI$4:$DI$52)</f>
        <v>1743442.36</v>
      </c>
      <c r="P49" s="52">
        <f>SUMIF('PRD Sales Forecast'!$CL$4:$CL$49,M49,'PRD Sales Forecast'!$CZ$4:$CZ$49)+SUMIF('PRD Sales Forecast'!$DB$4:$DB$49,M49,'PRD Sales Forecast'!$DP$4:$DP$49)</f>
        <v>84352</v>
      </c>
      <c r="Q49" s="52">
        <f>SUM(N49:P49)</f>
        <v>1827794.36</v>
      </c>
      <c r="R49" s="672">
        <f>Q49/$R$6</f>
        <v>0.28991437531153158</v>
      </c>
    </row>
    <row r="50" spans="13:18" ht="12.75" customHeight="1" x14ac:dyDescent="0.2">
      <c r="M50" s="52" t="s">
        <v>916</v>
      </c>
      <c r="N50" s="52">
        <f>SUMIF('CONS Sales Forecast'!$DO$4:$DO$30,M50,'CONS Sales Forecast'!$EE$4:$EE$30)</f>
        <v>802388</v>
      </c>
      <c r="O50" s="52">
        <f>SUMIF('ONS Sales Forecast'!$CU$4:$CU$52,M50,'ONS Sales Forecast'!$DI$4:$DI$52)</f>
        <v>1147695.26</v>
      </c>
      <c r="P50" s="52">
        <f>SUMIF('PRD Sales Forecast'!$CL$4:$CL$49,M50,'PRD Sales Forecast'!$CZ$4:$CZ$49)+SUMIF('PRD Sales Forecast'!$DB$4:$DB$49,M50,'PRD Sales Forecast'!$DP$4:$DP$49)</f>
        <v>877754.63333400001</v>
      </c>
      <c r="Q50" s="52">
        <f t="shared" ref="Q50:Q55" si="27">SUM(N50:P50)</f>
        <v>2827837.8933339999</v>
      </c>
      <c r="R50" s="672">
        <f t="shared" ref="R50:R56" si="28">Q50/$R$6</f>
        <v>0.44853560896653821</v>
      </c>
    </row>
    <row r="51" spans="13:18" ht="12.75" customHeight="1" x14ac:dyDescent="0.2">
      <c r="M51" s="52" t="s">
        <v>918</v>
      </c>
      <c r="N51" s="52">
        <f>SUMIF('CONS Sales Forecast'!$DO$4:$DO$30,M51,'CONS Sales Forecast'!$EE$4:$EE$30)</f>
        <v>65575</v>
      </c>
      <c r="O51" s="52">
        <f>SUMIF('ONS Sales Forecast'!$CU$4:$CU$52,M51,'ONS Sales Forecast'!$DI$4:$DI$52)</f>
        <v>169187.76</v>
      </c>
      <c r="P51" s="52">
        <f>SUMIF('PRD Sales Forecast'!$CL$4:$CL$49,M51,'PRD Sales Forecast'!$CZ$4:$CZ$49)+SUMIF('PRD Sales Forecast'!$DB$4:$DB$49,M51,'PRD Sales Forecast'!$DP$4:$DP$49)</f>
        <v>235215.19999999998</v>
      </c>
      <c r="Q51" s="52">
        <f t="shared" si="27"/>
        <v>469977.95999999996</v>
      </c>
      <c r="R51" s="672">
        <f t="shared" si="28"/>
        <v>7.4545238603093159E-2</v>
      </c>
    </row>
    <row r="52" spans="13:18" ht="12.75" customHeight="1" x14ac:dyDescent="0.2">
      <c r="M52" s="52" t="s">
        <v>919</v>
      </c>
      <c r="N52" s="52">
        <f>SUMIF('CONS Sales Forecast'!$DO$4:$DO$30,M52,'CONS Sales Forecast'!$EE$4:$EE$30)</f>
        <v>37402.400000000001</v>
      </c>
      <c r="O52" s="52">
        <f>SUMIF('ONS Sales Forecast'!$CU$4:$CU$52,M52,'ONS Sales Forecast'!$DI$4:$DI$52)</f>
        <v>0</v>
      </c>
      <c r="P52" s="52">
        <f>SUMIF('PRD Sales Forecast'!$CL$4:$CL$49,M52,'PRD Sales Forecast'!$CZ$4:$CZ$49)+SUMIF('PRD Sales Forecast'!$DB$4:$DB$49,M52,'PRD Sales Forecast'!$DP$4:$DP$49)</f>
        <v>465848.24</v>
      </c>
      <c r="Q52" s="52">
        <f t="shared" si="27"/>
        <v>503250.64</v>
      </c>
      <c r="R52" s="672">
        <f t="shared" si="28"/>
        <v>7.9822762403495132E-2</v>
      </c>
    </row>
    <row r="53" spans="13:18" ht="12.75" customHeight="1" x14ac:dyDescent="0.2">
      <c r="M53" s="52" t="s">
        <v>921</v>
      </c>
      <c r="N53" s="52">
        <f>SUMIF('CONS Sales Forecast'!$DO$4:$DO$30,M53,'CONS Sales Forecast'!$EE$4:$EE$30)</f>
        <v>31392</v>
      </c>
      <c r="O53" s="52">
        <f>SUMIF('ONS Sales Forecast'!$CU$4:$CU$52,M53,'ONS Sales Forecast'!$DI$4:$DI$52)</f>
        <v>0</v>
      </c>
      <c r="P53" s="52">
        <f>SUMIF('PRD Sales Forecast'!$CL$4:$CL$49,M53,'PRD Sales Forecast'!$CZ$4:$CZ$49)+SUMIF('PRD Sales Forecast'!$DB$4:$DB$49,M53,'PRD Sales Forecast'!$DP$4:$DP$49)</f>
        <v>107132</v>
      </c>
      <c r="Q53" s="52">
        <f t="shared" si="27"/>
        <v>138524</v>
      </c>
      <c r="R53" s="672">
        <f t="shared" si="28"/>
        <v>2.1971891261145262E-2</v>
      </c>
    </row>
    <row r="54" spans="13:18" ht="12.75" customHeight="1" x14ac:dyDescent="0.2">
      <c r="M54" s="52" t="s">
        <v>920</v>
      </c>
      <c r="N54" s="52">
        <f>SUMIF('CONS Sales Forecast'!$DO$4:$DO$30,M54,'CONS Sales Forecast'!$EE$4:$EE$30)</f>
        <v>207795.80000000005</v>
      </c>
      <c r="O54" s="52">
        <f>SUMIF('ONS Sales Forecast'!$CU$4:$CU$52,M54,'ONS Sales Forecast'!$DI$4:$DI$52)</f>
        <v>0</v>
      </c>
      <c r="P54" s="52">
        <f>SUMIF('PRD Sales Forecast'!$CL$4:$CL$49,M54,'PRD Sales Forecast'!$CZ$4:$CZ$49)+SUMIF('PRD Sales Forecast'!$DB$4:$DB$49,M54,'PRD Sales Forecast'!$DP$4:$DP$49)</f>
        <v>0</v>
      </c>
      <c r="Q54" s="52">
        <f t="shared" si="27"/>
        <v>207795.80000000005</v>
      </c>
      <c r="R54" s="672">
        <f t="shared" si="28"/>
        <v>3.2959391312138611E-2</v>
      </c>
    </row>
    <row r="55" spans="13:18" ht="12.75" customHeight="1" x14ac:dyDescent="0.2">
      <c r="M55" s="52" t="s">
        <v>1206</v>
      </c>
      <c r="N55" s="52">
        <f>SUMIF('CONS Sales Forecast'!$DO$4:$DO$30,M55,'CONS Sales Forecast'!$EE$4:$EE$30)</f>
        <v>0</v>
      </c>
      <c r="O55" s="52">
        <f>SUMIF('ONS Sales Forecast'!$CU$4:$CU$52,M55,'ONS Sales Forecast'!$DI$4:$DI$52)</f>
        <v>0</v>
      </c>
      <c r="P55" s="52">
        <f>SUMIF('PRD Sales Forecast'!$CL$4:$CL$49,M55,'PRD Sales Forecast'!$CZ$4:$CZ$49)+SUMIF('PRD Sales Forecast'!$DB$4:$DB$49,M55,'PRD Sales Forecast'!$DP$4:$DP$49)</f>
        <v>105420</v>
      </c>
      <c r="Q55" s="52">
        <f t="shared" si="27"/>
        <v>105420</v>
      </c>
      <c r="R55" s="672">
        <f t="shared" si="28"/>
        <v>1.6721122525699038E-2</v>
      </c>
    </row>
    <row r="56" spans="13:18" ht="12.75" customHeight="1" x14ac:dyDescent="0.2">
      <c r="M56" s="52" t="s">
        <v>1207</v>
      </c>
      <c r="N56" s="52">
        <f>SUMIF('CONS Sales Forecast'!$DO$4:$DO$30,M56,'CONS Sales Forecast'!$EE$4:$EE$30)</f>
        <v>0</v>
      </c>
      <c r="O56" s="52">
        <f>SUMIF('ONS Sales Forecast'!$CU$4:$CU$52,M56,'ONS Sales Forecast'!$DI$4:$DI$52)</f>
        <v>0</v>
      </c>
      <c r="P56" s="52">
        <f>SUMIF('PRD Sales Forecast'!$CL$4:$CL$49,M56,'PRD Sales Forecast'!$CZ$4:$CZ$49)+SUMIF('PRD Sales Forecast'!$DB$4:$DB$49,M56,'PRD Sales Forecast'!$DP$4:$DP$49)</f>
        <v>5000</v>
      </c>
      <c r="Q56" s="52">
        <f>SUM(N56:P56)</f>
        <v>5000</v>
      </c>
      <c r="R56" s="672">
        <f t="shared" si="28"/>
        <v>7.9307164322230301E-4</v>
      </c>
    </row>
    <row r="57" spans="13:18" ht="12.75" customHeight="1" x14ac:dyDescent="0.2">
      <c r="N57" s="52">
        <f>SUM(N49:N56)</f>
        <v>1144553.2000000002</v>
      </c>
      <c r="O57" s="52">
        <f>SUM(O49:O56)</f>
        <v>3060325.38</v>
      </c>
      <c r="P57" s="52">
        <f>SUM(P49:P56)</f>
        <v>1880722.0733340001</v>
      </c>
    </row>
  </sheetData>
  <mergeCells count="2">
    <mergeCell ref="S2:T2"/>
    <mergeCell ref="U2:V2"/>
  </mergeCells>
  <conditionalFormatting sqref="B16:T16">
    <cfRule type="cellIs" dxfId="144" priority="10" operator="greaterThan">
      <formula>0</formula>
    </cfRule>
  </conditionalFormatting>
  <conditionalFormatting sqref="C16:T16">
    <cfRule type="cellIs" dxfId="143" priority="7" operator="lessThan">
      <formula>0</formula>
    </cfRule>
  </conditionalFormatting>
  <conditionalFormatting sqref="S12:U12 S13:T15 S17">
    <cfRule type="cellIs" dxfId="142" priority="8" operator="lessThan">
      <formula>0</formula>
    </cfRule>
    <cfRule type="cellIs" dxfId="141" priority="9" operator="greaterThan">
      <formula>0</formula>
    </cfRule>
  </conditionalFormatting>
  <conditionalFormatting sqref="S3:V11">
    <cfRule type="cellIs" dxfId="140" priority="3" operator="lessThan">
      <formula>0</formula>
    </cfRule>
    <cfRule type="cellIs" dxfId="139" priority="4" operator="greaterThan">
      <formula>0</formula>
    </cfRule>
  </conditionalFormatting>
  <conditionalFormatting sqref="U13:U20">
    <cfRule type="cellIs" dxfId="138" priority="1" operator="lessThan">
      <formula>0</formula>
    </cfRule>
    <cfRule type="cellIs" dxfId="137" priority="2" operator="greaterThan">
      <formula>0</formula>
    </cfRule>
  </conditionalFormatting>
  <conditionalFormatting sqref="V13:V15">
    <cfRule type="cellIs" dxfId="136" priority="5" operator="lessThan">
      <formula>0</formula>
    </cfRule>
    <cfRule type="cellIs" dxfId="135" priority="6" operator="greaterThan">
      <formula>0</formula>
    </cfRule>
  </conditionalFormatting>
  <pageMargins left="0.25" right="0.25" top="0.75" bottom="0.75" header="0.3" footer="0.3"/>
  <pageSetup paperSize="9" orientation="landscape" cellComments="atEnd" horizontalDpi="300" verticalDpi="300" r:id="rId1"/>
  <headerFooter alignWithMargins="0">
    <oddHeader>&amp;L&amp;8&amp;C&amp;8MYOB / Excel&amp;R&amp;8</oddHeader>
    <oddFooter>&amp;CPage &amp;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D2A41-5EC7-493D-9960-928F243FD8A9}">
  <sheetPr codeName="Sheet4">
    <tabColor theme="9" tint="0.59999389629810485"/>
  </sheetPr>
  <dimension ref="A1:AO57"/>
  <sheetViews>
    <sheetView showGridLines="0" zoomScale="90" zoomScaleNormal="90" workbookViewId="0">
      <pane xSplit="1" topLeftCell="B1" activePane="topRight" state="frozen"/>
      <selection pane="topRight" activeCell="E3" sqref="E3"/>
    </sheetView>
  </sheetViews>
  <sheetFormatPr defaultColWidth="9.140625" defaultRowHeight="12.75" customHeight="1" x14ac:dyDescent="0.2"/>
  <cols>
    <col min="1" max="1" width="21" style="46" bestFit="1" customWidth="1"/>
    <col min="2" max="2" width="12" style="46" customWidth="1"/>
    <col min="3" max="3" width="12" style="46" hidden="1" customWidth="1"/>
    <col min="4" max="4" width="12" style="52" bestFit="1" customWidth="1"/>
    <col min="5" max="6" width="10.140625" style="52" customWidth="1"/>
    <col min="7" max="8" width="11" style="52" customWidth="1"/>
    <col min="9" max="11" width="10.140625" style="52" customWidth="1"/>
    <col min="12" max="15" width="11" style="52" bestFit="1" customWidth="1"/>
    <col min="16" max="16" width="14" style="52" customWidth="1"/>
    <col min="17" max="17" width="7.42578125" style="44" customWidth="1"/>
    <col min="18" max="18" width="11.5703125" style="44" bestFit="1" customWidth="1"/>
    <col min="19" max="19" width="6.7109375" style="44" customWidth="1"/>
    <col min="20" max="28" width="12.7109375" style="44" customWidth="1"/>
    <col min="29" max="16384" width="9.140625" style="44"/>
  </cols>
  <sheetData>
    <row r="1" spans="1:22" x14ac:dyDescent="0.2">
      <c r="A1" s="63"/>
      <c r="B1" s="48" t="s">
        <v>0</v>
      </c>
      <c r="C1" s="48" t="s">
        <v>0</v>
      </c>
      <c r="D1" s="70" t="s">
        <v>930</v>
      </c>
      <c r="E1" s="70" t="s">
        <v>930</v>
      </c>
      <c r="F1" s="70" t="s">
        <v>930</v>
      </c>
      <c r="G1" s="70" t="s">
        <v>930</v>
      </c>
      <c r="H1" s="70" t="s">
        <v>930</v>
      </c>
      <c r="I1" s="70" t="s">
        <v>930</v>
      </c>
      <c r="J1" s="70" t="s">
        <v>930</v>
      </c>
      <c r="K1" s="70" t="s">
        <v>930</v>
      </c>
      <c r="L1" s="70" t="s">
        <v>930</v>
      </c>
      <c r="M1" s="70" t="s">
        <v>930</v>
      </c>
      <c r="N1" s="70" t="s">
        <v>930</v>
      </c>
      <c r="O1" s="70" t="s">
        <v>930</v>
      </c>
      <c r="P1" s="70" t="s">
        <v>930</v>
      </c>
    </row>
    <row r="2" spans="1:22" s="42" customFormat="1" x14ac:dyDescent="0.2">
      <c r="A2" s="64"/>
      <c r="B2" s="106" t="s">
        <v>1088</v>
      </c>
      <c r="C2" s="106" t="s">
        <v>1342</v>
      </c>
      <c r="D2" s="175">
        <v>46204</v>
      </c>
      <c r="E2" s="175">
        <v>46235</v>
      </c>
      <c r="F2" s="175">
        <v>46266</v>
      </c>
      <c r="G2" s="175">
        <v>46296</v>
      </c>
      <c r="H2" s="175">
        <v>46327</v>
      </c>
      <c r="I2" s="175">
        <v>46357</v>
      </c>
      <c r="J2" s="175">
        <v>46388</v>
      </c>
      <c r="K2" s="175">
        <v>46419</v>
      </c>
      <c r="L2" s="175">
        <v>46447</v>
      </c>
      <c r="M2" s="175">
        <v>46478</v>
      </c>
      <c r="N2" s="175">
        <v>46508</v>
      </c>
      <c r="O2" s="175">
        <v>46539</v>
      </c>
      <c r="P2" s="71" t="s">
        <v>27</v>
      </c>
      <c r="Q2" s="706" t="s">
        <v>1115</v>
      </c>
      <c r="R2" s="706"/>
      <c r="S2" s="706" t="s">
        <v>1390</v>
      </c>
      <c r="T2" s="706"/>
      <c r="U2" s="674"/>
    </row>
    <row r="3" spans="1:22" x14ac:dyDescent="0.2">
      <c r="A3" s="43" t="s">
        <v>5</v>
      </c>
      <c r="B3" s="190">
        <v>944789.6399999999</v>
      </c>
      <c r="C3" s="190">
        <v>0</v>
      </c>
      <c r="D3" s="191">
        <f>CONS!G2</f>
        <v>297416.4916666667</v>
      </c>
      <c r="E3" s="191">
        <f>CONS!H2</f>
        <v>465645.39166666666</v>
      </c>
      <c r="F3" s="191">
        <f>CONS!I2</f>
        <v>82321.891666666663</v>
      </c>
      <c r="G3" s="191">
        <f>CONS!J2</f>
        <v>100061.89166666668</v>
      </c>
      <c r="H3" s="191">
        <f>CONS!K2</f>
        <v>36337.39166666667</v>
      </c>
      <c r="I3" s="191">
        <f>CONS!L2</f>
        <v>31337.39166666667</v>
      </c>
      <c r="J3" s="191">
        <f>CONS!M2</f>
        <v>27340.651666666668</v>
      </c>
      <c r="K3" s="191">
        <f>CONS!N2</f>
        <v>32340.651666666668</v>
      </c>
      <c r="L3" s="191">
        <f>CONS!O2</f>
        <v>32340.651666666668</v>
      </c>
      <c r="M3" s="191">
        <f>CONS!P2</f>
        <v>32340.651666666668</v>
      </c>
      <c r="N3" s="191">
        <f>CONS!Q2</f>
        <v>8035.0716666666667</v>
      </c>
      <c r="O3" s="191">
        <f>CONS!R2</f>
        <v>8035.0716666666667</v>
      </c>
      <c r="P3" s="191">
        <f>D3+E3+F3+G3+H3+I3+J3+K3+L3+M3+N3+O3</f>
        <v>1153553.2000000002</v>
      </c>
      <c r="Q3" s="107">
        <f>(C3-P3)/P3</f>
        <v>-1</v>
      </c>
      <c r="R3" s="108">
        <f t="shared" ref="R3:R11" si="0">+P3-C3</f>
        <v>1153553.2000000002</v>
      </c>
      <c r="S3" s="107">
        <f>(P3-B3)/B3</f>
        <v>0.22096300717268694</v>
      </c>
      <c r="T3" s="108">
        <f>+P3-B3</f>
        <v>208763.56000000029</v>
      </c>
      <c r="U3" s="96"/>
      <c r="V3" s="556">
        <f>P3/$P$6</f>
        <v>0.18297006637366922</v>
      </c>
    </row>
    <row r="4" spans="1:22" x14ac:dyDescent="0.2">
      <c r="A4" s="51" t="s">
        <v>6</v>
      </c>
      <c r="B4" s="190">
        <v>2444121.4</v>
      </c>
      <c r="C4" s="190">
        <v>0</v>
      </c>
      <c r="D4" s="191">
        <f>'PRD Sales Forecast'!CN64</f>
        <v>73000.02</v>
      </c>
      <c r="E4" s="191">
        <f>'PRD Sales Forecast'!CO64</f>
        <v>251215.02</v>
      </c>
      <c r="F4" s="191">
        <f>'PRD Sales Forecast'!CP64</f>
        <v>83326.02</v>
      </c>
      <c r="G4" s="191">
        <f>'PRD Sales Forecast'!CQ64</f>
        <v>587307.02</v>
      </c>
      <c r="H4" s="191">
        <f>'PRD Sales Forecast'!CR64</f>
        <v>241601.02</v>
      </c>
      <c r="I4" s="191">
        <f>'PRD Sales Forecast'!CS64</f>
        <v>62316.020000000004</v>
      </c>
      <c r="J4" s="191">
        <f>'PRD Sales Forecast'!CT64</f>
        <v>64261.936667000002</v>
      </c>
      <c r="K4" s="191">
        <f>'PRD Sales Forecast'!CU64</f>
        <v>281912.02</v>
      </c>
      <c r="L4" s="191">
        <f>'PRD Sales Forecast'!CV64</f>
        <v>128882.02</v>
      </c>
      <c r="M4" s="191">
        <f>'PRD Sales Forecast'!CW64</f>
        <v>98752.02</v>
      </c>
      <c r="N4" s="191">
        <f>'PRD Sales Forecast'!CX64</f>
        <v>135511.936667</v>
      </c>
      <c r="O4" s="191">
        <f>'PRD Sales Forecast'!CY64</f>
        <v>82637.02</v>
      </c>
      <c r="P4" s="191">
        <f>D4+E4+F4+G4+H4+I4+J4+K4+L4+M4+N4+O4</f>
        <v>2090722.0733340001</v>
      </c>
      <c r="Q4" s="107">
        <f t="shared" ref="Q4:Q11" si="1">(C4-P4)/P4</f>
        <v>-1</v>
      </c>
      <c r="R4" s="108">
        <f t="shared" si="0"/>
        <v>2090722.0733340001</v>
      </c>
      <c r="S4" s="107">
        <f t="shared" ref="S4:S8" si="2">(P4-B4)/B4</f>
        <v>-0.14459156024983041</v>
      </c>
      <c r="T4" s="108">
        <f t="shared" ref="T4:T15" si="3">+P4-B4</f>
        <v>-353399.32666599983</v>
      </c>
      <c r="U4" s="96"/>
      <c r="V4" s="556">
        <f t="shared" ref="V4:V5" si="4">P4/$P$6</f>
        <v>0.33161847804402717</v>
      </c>
    </row>
    <row r="5" spans="1:22" x14ac:dyDescent="0.2">
      <c r="A5" s="51" t="s">
        <v>172</v>
      </c>
      <c r="B5" s="190">
        <v>2724274.9900000016</v>
      </c>
      <c r="C5" s="190">
        <v>0</v>
      </c>
      <c r="D5" s="191">
        <f>ONS!F6</f>
        <v>238860.66999999998</v>
      </c>
      <c r="E5" s="191">
        <f>ONS!G6</f>
        <v>256307.33</v>
      </c>
      <c r="F5" s="191">
        <f>ONS!H6</f>
        <v>248016.77</v>
      </c>
      <c r="G5" s="191">
        <f>ONS!I6</f>
        <v>263046.77</v>
      </c>
      <c r="H5" s="191">
        <f>ONS!J6</f>
        <v>262366.77</v>
      </c>
      <c r="I5" s="191">
        <f>ONS!K6</f>
        <v>251316.77</v>
      </c>
      <c r="J5" s="191">
        <f>ONS!L6</f>
        <v>262366.77</v>
      </c>
      <c r="K5" s="191">
        <f>ONS!M6</f>
        <v>262366.77</v>
      </c>
      <c r="L5" s="191">
        <f>ONS!N6</f>
        <v>253016.77</v>
      </c>
      <c r="M5" s="191">
        <f>ONS!O6</f>
        <v>261266.77</v>
      </c>
      <c r="N5" s="191">
        <f>ONS!P6</f>
        <v>258950.11000000002</v>
      </c>
      <c r="O5" s="191">
        <f>ONS!Q6</f>
        <v>242443.11000000002</v>
      </c>
      <c r="P5" s="191">
        <f t="shared" ref="P5:P9" si="5">D5+E5+F5+G5+H5+I5+J5+K5+L5+M5+N5+O5</f>
        <v>3060325.38</v>
      </c>
      <c r="Q5" s="107">
        <f t="shared" si="1"/>
        <v>-1</v>
      </c>
      <c r="R5" s="108">
        <f t="shared" si="0"/>
        <v>3060325.38</v>
      </c>
      <c r="S5" s="107">
        <f t="shared" si="2"/>
        <v>0.1233540634603844</v>
      </c>
      <c r="T5" s="108">
        <f t="shared" si="3"/>
        <v>336050.38999999827</v>
      </c>
      <c r="U5" s="96"/>
      <c r="V5" s="556">
        <f t="shared" si="4"/>
        <v>0.48541145558230375</v>
      </c>
    </row>
    <row r="6" spans="1:22" x14ac:dyDescent="0.2">
      <c r="A6" s="55" t="s">
        <v>8</v>
      </c>
      <c r="B6" s="68">
        <f>SUM(B3:B5)</f>
        <v>6113186.0300000012</v>
      </c>
      <c r="C6" s="68">
        <f>SUM(C3:C5)</f>
        <v>0</v>
      </c>
      <c r="D6" s="69">
        <f>SUM(D3:D5)</f>
        <v>609277.18166666664</v>
      </c>
      <c r="E6" s="69">
        <f t="shared" ref="E6:O6" si="6">SUM(E3:E5)</f>
        <v>973167.74166666658</v>
      </c>
      <c r="F6" s="69">
        <f t="shared" ref="F6" si="7">SUM(F3:F5)</f>
        <v>413664.68166666664</v>
      </c>
      <c r="G6" s="69">
        <f t="shared" si="6"/>
        <v>950415.68166666676</v>
      </c>
      <c r="H6" s="69">
        <f t="shared" si="6"/>
        <v>540305.18166666664</v>
      </c>
      <c r="I6" s="69">
        <f t="shared" si="6"/>
        <v>344970.18166666664</v>
      </c>
      <c r="J6" s="69">
        <f t="shared" si="6"/>
        <v>353969.35833366669</v>
      </c>
      <c r="K6" s="69">
        <f t="shared" si="6"/>
        <v>576619.44166666665</v>
      </c>
      <c r="L6" s="69">
        <f t="shared" si="6"/>
        <v>414239.44166666665</v>
      </c>
      <c r="M6" s="69">
        <f t="shared" si="6"/>
        <v>392359.44166666665</v>
      </c>
      <c r="N6" s="69">
        <f t="shared" si="6"/>
        <v>402497.1183336667</v>
      </c>
      <c r="O6" s="69">
        <f t="shared" si="6"/>
        <v>333115.20166666666</v>
      </c>
      <c r="P6" s="69">
        <f>D6+E6+F6+G6+H6+I6+J6+K6+L6+M6+N6+O6</f>
        <v>6304600.6533339992</v>
      </c>
      <c r="Q6" s="107">
        <f t="shared" si="1"/>
        <v>-1</v>
      </c>
      <c r="R6" s="108">
        <f t="shared" si="0"/>
        <v>6304600.6533339992</v>
      </c>
      <c r="S6" s="107">
        <f t="shared" si="2"/>
        <v>3.1311761558481151E-2</v>
      </c>
      <c r="T6" s="108">
        <f t="shared" si="3"/>
        <v>191414.62333399802</v>
      </c>
      <c r="U6" s="96"/>
    </row>
    <row r="7" spans="1:22" x14ac:dyDescent="0.2">
      <c r="A7" s="46" t="s">
        <v>9</v>
      </c>
      <c r="B7" s="190">
        <v>744807.03999999992</v>
      </c>
      <c r="C7" s="190">
        <v>0</v>
      </c>
      <c r="D7" s="190">
        <f>'FY27 Budget - detailed'!H7</f>
        <v>156894.91234767181</v>
      </c>
      <c r="E7" s="190">
        <f>'FY27 Budget - detailed'!I7</f>
        <v>239607.17366026258</v>
      </c>
      <c r="F7" s="190">
        <f>'FY27 Budget - detailed'!J7</f>
        <v>50130.111515418597</v>
      </c>
      <c r="G7" s="190">
        <f>'FY27 Budget - detailed'!K7</f>
        <v>58336.59925557088</v>
      </c>
      <c r="H7" s="190">
        <f>'FY27 Budget - detailed'!L7</f>
        <v>27394.351833493958</v>
      </c>
      <c r="I7" s="190">
        <f>'FY27 Budget - detailed'!M7</f>
        <v>23963.879536378259</v>
      </c>
      <c r="J7" s="190">
        <f>'FY27 Budget - detailed'!N7</f>
        <v>21263.504217185644</v>
      </c>
      <c r="K7" s="190">
        <f>'FY27 Budget - detailed'!O7</f>
        <v>24080.806697185642</v>
      </c>
      <c r="L7" s="190">
        <f>'FY27 Budget - detailed'!P7</f>
        <v>25062.908775257485</v>
      </c>
      <c r="M7" s="190">
        <f>'FY27 Budget - detailed'!Q7</f>
        <v>24323.317688537914</v>
      </c>
      <c r="N7" s="190">
        <f>'FY27 Budget - detailed'!R7</f>
        <v>12517.147616378257</v>
      </c>
      <c r="O7" s="190">
        <f>'FY27 Budget - detailed'!S7</f>
        <v>17919.297896378259</v>
      </c>
      <c r="P7" s="190">
        <f t="shared" si="5"/>
        <v>681494.01103971933</v>
      </c>
      <c r="Q7" s="107">
        <f t="shared" si="1"/>
        <v>-1</v>
      </c>
      <c r="R7" s="108">
        <f t="shared" si="0"/>
        <v>681494.01103971933</v>
      </c>
      <c r="S7" s="107">
        <f t="shared" si="2"/>
        <v>-8.5005948601507036E-2</v>
      </c>
      <c r="T7" s="108">
        <f t="shared" si="3"/>
        <v>-63313.028960280586</v>
      </c>
    </row>
    <row r="8" spans="1:22" x14ac:dyDescent="0.2">
      <c r="A8" s="46" t="s">
        <v>10</v>
      </c>
      <c r="B8" s="190">
        <v>1172927.9400000002</v>
      </c>
      <c r="C8" s="190">
        <v>0</v>
      </c>
      <c r="D8" s="190">
        <f>'FY27 Budget - detailed'!H11</f>
        <v>52683.663485863028</v>
      </c>
      <c r="E8" s="190">
        <f>'FY27 Budget - detailed'!I11</f>
        <v>100269.81170493504</v>
      </c>
      <c r="F8" s="190">
        <f>'FY27 Budget - detailed'!J11</f>
        <v>103519.69466078594</v>
      </c>
      <c r="G8" s="190">
        <f>'FY27 Budget - detailed'!K11</f>
        <v>285683.94306389819</v>
      </c>
      <c r="H8" s="190">
        <f>'FY27 Budget - detailed'!L11</f>
        <v>104223.85100357098</v>
      </c>
      <c r="I8" s="190">
        <f>'FY27 Budget - detailed'!M11</f>
        <v>83048.459754416632</v>
      </c>
      <c r="J8" s="190">
        <f>'FY27 Budget - detailed'!N11</f>
        <v>45343.173259935029</v>
      </c>
      <c r="K8" s="190">
        <f>'FY27 Budget - detailed'!O11</f>
        <v>109744.54951493503</v>
      </c>
      <c r="L8" s="190">
        <f>'FY27 Budget - detailed'!P11</f>
        <v>59313.374450564894</v>
      </c>
      <c r="M8" s="190">
        <f>'FY27 Budget - detailed'!Q11</f>
        <v>48118.512397468621</v>
      </c>
      <c r="N8" s="190">
        <f>'FY27 Budget - detailed'!R11</f>
        <v>60551.388619416626</v>
      </c>
      <c r="O8" s="190">
        <f>'FY27 Budget - detailed'!S11</f>
        <v>85630.235144416627</v>
      </c>
      <c r="P8" s="190">
        <f t="shared" si="5"/>
        <v>1138130.6570602064</v>
      </c>
      <c r="Q8" s="107">
        <f t="shared" si="1"/>
        <v>-1</v>
      </c>
      <c r="R8" s="108">
        <f t="shared" si="0"/>
        <v>1138130.6570602064</v>
      </c>
      <c r="S8" s="107">
        <f t="shared" si="2"/>
        <v>-2.9667025358602821E-2</v>
      </c>
      <c r="T8" s="108">
        <f t="shared" si="3"/>
        <v>-34797.282939793775</v>
      </c>
    </row>
    <row r="9" spans="1:22" x14ac:dyDescent="0.2">
      <c r="A9" s="46" t="s">
        <v>870</v>
      </c>
      <c r="B9" s="190">
        <v>1579333.3500000008</v>
      </c>
      <c r="C9" s="190">
        <v>0</v>
      </c>
      <c r="D9" s="190">
        <f>'FY27 Budget - detailed'!H15</f>
        <v>129391.67512851999</v>
      </c>
      <c r="E9" s="190">
        <f>'FY27 Budget - detailed'!I15</f>
        <v>115678.56798330561</v>
      </c>
      <c r="F9" s="190">
        <f>'FY27 Budget - detailed'!J15</f>
        <v>135541.8521616362</v>
      </c>
      <c r="G9" s="190">
        <f>'FY27 Budget - detailed'!K15</f>
        <v>130158.68086163618</v>
      </c>
      <c r="H9" s="190">
        <f>'FY27 Budget - detailed'!L15</f>
        <v>127598.9414083056</v>
      </c>
      <c r="I9" s="190">
        <f>'FY27 Budget - detailed'!M15</f>
        <v>134912.17803497089</v>
      </c>
      <c r="J9" s="190">
        <f>'FY27 Budget - detailed'!N15</f>
        <v>112466.5602583056</v>
      </c>
      <c r="K9" s="190">
        <f>'FY27 Budget - detailed'!O15</f>
        <v>116012.62255830559</v>
      </c>
      <c r="L9" s="190">
        <f>'FY27 Budget - detailed'!P15</f>
        <v>142206.77103663617</v>
      </c>
      <c r="M9" s="190">
        <f>'FY27 Budget - detailed'!Q15</f>
        <v>134804.1068583056</v>
      </c>
      <c r="N9" s="190">
        <f>'FY27 Budget - detailed'!R15</f>
        <v>141480.1032099709</v>
      </c>
      <c r="O9" s="190">
        <f>'FY27 Budget - detailed'!S15</f>
        <v>139270.00100997087</v>
      </c>
      <c r="P9" s="190">
        <f t="shared" si="5"/>
        <v>1559522.0605098694</v>
      </c>
      <c r="Q9" s="107">
        <f t="shared" si="1"/>
        <v>-1</v>
      </c>
      <c r="R9" s="108">
        <f t="shared" si="0"/>
        <v>1559522.0605098694</v>
      </c>
      <c r="S9" s="107">
        <f t="shared" ref="S9" si="8">(P9-B9)/B9</f>
        <v>-1.2544083546473211E-2</v>
      </c>
      <c r="T9" s="108">
        <f t="shared" si="3"/>
        <v>-19811.289490131428</v>
      </c>
    </row>
    <row r="10" spans="1:22" x14ac:dyDescent="0.2">
      <c r="A10" s="55" t="s">
        <v>12</v>
      </c>
      <c r="B10" s="192">
        <f t="shared" ref="B10" si="9">SUM(B7:B9)</f>
        <v>3497068.330000001</v>
      </c>
      <c r="C10" s="192">
        <f>SUM(C7:C9)</f>
        <v>0</v>
      </c>
      <c r="D10" s="193">
        <f>SUM(D7:D9)</f>
        <v>338970.25096205482</v>
      </c>
      <c r="E10" s="193">
        <f t="shared" ref="E10:O10" si="10">SUM(E7:E9)</f>
        <v>455555.55334850325</v>
      </c>
      <c r="F10" s="193">
        <f t="shared" si="10"/>
        <v>289191.65833784069</v>
      </c>
      <c r="G10" s="193">
        <f t="shared" si="10"/>
        <v>474179.22318110522</v>
      </c>
      <c r="H10" s="193">
        <f t="shared" si="10"/>
        <v>259217.14424537052</v>
      </c>
      <c r="I10" s="193">
        <f t="shared" si="10"/>
        <v>241924.51732576577</v>
      </c>
      <c r="J10" s="193">
        <f t="shared" si="10"/>
        <v>179073.23773542629</v>
      </c>
      <c r="K10" s="193">
        <f t="shared" si="10"/>
        <v>249837.97877042627</v>
      </c>
      <c r="L10" s="193">
        <f t="shared" si="10"/>
        <v>226583.05426245855</v>
      </c>
      <c r="M10" s="193">
        <f t="shared" si="10"/>
        <v>207245.93694431212</v>
      </c>
      <c r="N10" s="193">
        <f t="shared" si="10"/>
        <v>214548.63944576579</v>
      </c>
      <c r="O10" s="193">
        <f t="shared" si="10"/>
        <v>242819.53405076577</v>
      </c>
      <c r="P10" s="193">
        <f>D10+E10+F10+G10+H10+I10+J10+K10+L10+M10+N10+O10</f>
        <v>3379146.7286097948</v>
      </c>
      <c r="Q10" s="107">
        <f t="shared" si="1"/>
        <v>-1</v>
      </c>
      <c r="R10" s="108">
        <f t="shared" si="0"/>
        <v>3379146.7286097948</v>
      </c>
      <c r="S10" s="107">
        <f>(P10-B10)/B10</f>
        <v>-3.3720130767420899E-2</v>
      </c>
      <c r="T10" s="108">
        <f t="shared" si="3"/>
        <v>-117921.60139020626</v>
      </c>
      <c r="U10" s="96"/>
    </row>
    <row r="11" spans="1:22" x14ac:dyDescent="0.2">
      <c r="A11" s="55" t="s">
        <v>13</v>
      </c>
      <c r="B11" s="192">
        <f>+B6-B10</f>
        <v>2616117.7000000002</v>
      </c>
      <c r="C11" s="192">
        <f>+C6-C10</f>
        <v>0</v>
      </c>
      <c r="D11" s="193">
        <f>+D6-D10</f>
        <v>270306.93070461182</v>
      </c>
      <c r="E11" s="193">
        <f t="shared" ref="E11:O11" si="11">+E6-E10</f>
        <v>517612.18831816333</v>
      </c>
      <c r="F11" s="193">
        <f t="shared" si="11"/>
        <v>124473.02332882595</v>
      </c>
      <c r="G11" s="193">
        <f t="shared" si="11"/>
        <v>476236.45848556154</v>
      </c>
      <c r="H11" s="193">
        <f t="shared" si="11"/>
        <v>281088.03742129612</v>
      </c>
      <c r="I11" s="193">
        <f t="shared" si="11"/>
        <v>103045.66434090087</v>
      </c>
      <c r="J11" s="193">
        <f t="shared" si="11"/>
        <v>174896.12059824041</v>
      </c>
      <c r="K11" s="193">
        <f t="shared" si="11"/>
        <v>326781.46289624041</v>
      </c>
      <c r="L11" s="193">
        <f t="shared" si="11"/>
        <v>187656.3874042081</v>
      </c>
      <c r="M11" s="193">
        <f t="shared" si="11"/>
        <v>185113.50472235453</v>
      </c>
      <c r="N11" s="193">
        <f t="shared" si="11"/>
        <v>187948.47888790091</v>
      </c>
      <c r="O11" s="193">
        <f t="shared" si="11"/>
        <v>90295.667615900893</v>
      </c>
      <c r="P11" s="193">
        <f>D11+E11+F11+G11+H11+I11+J11+K11+L11+M11+N11+O11</f>
        <v>2925453.9247242045</v>
      </c>
      <c r="Q11" s="107">
        <f t="shared" si="1"/>
        <v>-1</v>
      </c>
      <c r="R11" s="108">
        <f t="shared" si="0"/>
        <v>2925453.9247242045</v>
      </c>
      <c r="S11" s="107">
        <f>(P11-B11)/B11</f>
        <v>0.11824247231850626</v>
      </c>
      <c r="T11" s="108">
        <f t="shared" si="3"/>
        <v>309336.22472420428</v>
      </c>
    </row>
    <row r="12" spans="1:22" x14ac:dyDescent="0.2">
      <c r="A12" s="55" t="s">
        <v>14</v>
      </c>
      <c r="B12" s="178">
        <f>+B11/B6</f>
        <v>0.4279466856008633</v>
      </c>
      <c r="C12" s="178" t="e">
        <f>+C11/C6</f>
        <v>#DIV/0!</v>
      </c>
      <c r="D12" s="177">
        <f>+D11/D6</f>
        <v>0.44365182028513217</v>
      </c>
      <c r="E12" s="177">
        <f t="shared" ref="E12:O12" si="12">+E11/E6</f>
        <v>0.53188383272105821</v>
      </c>
      <c r="F12" s="177">
        <f t="shared" si="12"/>
        <v>0.30090319247783165</v>
      </c>
      <c r="G12" s="177">
        <f t="shared" si="12"/>
        <v>0.50108228186052695</v>
      </c>
      <c r="H12" s="177">
        <f t="shared" si="12"/>
        <v>0.52023938869923569</v>
      </c>
      <c r="I12" s="177">
        <f t="shared" si="12"/>
        <v>0.29870890244209719</v>
      </c>
      <c r="J12" s="177">
        <f t="shared" si="12"/>
        <v>0.49409960630935695</v>
      </c>
      <c r="K12" s="177">
        <f t="shared" si="12"/>
        <v>0.56671946743888479</v>
      </c>
      <c r="L12" s="177">
        <f t="shared" si="12"/>
        <v>0.45301429204612742</v>
      </c>
      <c r="M12" s="177">
        <f t="shared" si="12"/>
        <v>0.47179571857893449</v>
      </c>
      <c r="N12" s="177">
        <f t="shared" si="12"/>
        <v>0.46695608571312358</v>
      </c>
      <c r="O12" s="177">
        <f t="shared" si="12"/>
        <v>0.27106438602659655</v>
      </c>
      <c r="P12" s="177">
        <f>+P11/P6</f>
        <v>0.46401891025043207</v>
      </c>
      <c r="Q12" s="107"/>
      <c r="R12" s="108"/>
      <c r="S12" s="108"/>
    </row>
    <row r="13" spans="1:22" x14ac:dyDescent="0.2">
      <c r="A13" s="51" t="s">
        <v>15</v>
      </c>
      <c r="B13" s="53">
        <v>2380904.6600000006</v>
      </c>
      <c r="C13" s="53">
        <v>0</v>
      </c>
      <c r="D13" s="53">
        <f>'FY27 Budget - detailed'!H73</f>
        <v>218401.69548750622</v>
      </c>
      <c r="E13" s="53">
        <f>'FY27 Budget - detailed'!I73</f>
        <v>239717.06231355245</v>
      </c>
      <c r="F13" s="53">
        <f>'FY27 Budget - detailed'!J73</f>
        <v>231573.14623077027</v>
      </c>
      <c r="G13" s="53">
        <f>'FY27 Budget - detailed'!K73</f>
        <v>209130.75085855028</v>
      </c>
      <c r="H13" s="53">
        <f>'FY27 Budget - detailed'!L73</f>
        <v>202345.83494521788</v>
      </c>
      <c r="I13" s="53">
        <f>'FY27 Budget - detailed'!M73</f>
        <v>201077.03700540407</v>
      </c>
      <c r="J13" s="53">
        <f>'FY27 Budget - detailed'!N73</f>
        <v>201203.7104472479</v>
      </c>
      <c r="K13" s="53">
        <f>'FY27 Budget - detailed'!O73</f>
        <v>197422.84212471783</v>
      </c>
      <c r="L13" s="53">
        <f>'FY27 Budget - detailed'!P73</f>
        <v>211706.91335330025</v>
      </c>
      <c r="M13" s="53">
        <f>'FY27 Budget - detailed'!Q73</f>
        <v>198848.19990646787</v>
      </c>
      <c r="N13" s="53">
        <f>'FY27 Budget - detailed'!R73</f>
        <v>208673.80802352406</v>
      </c>
      <c r="O13" s="53">
        <f>'FY27 Budget - detailed'!S73</f>
        <v>208102.17029788403</v>
      </c>
      <c r="P13" s="53">
        <f>+D13+E13+F13+G13+H13+I13+J13+K13+L13+M13+N13+O13</f>
        <v>2528203.1709941425</v>
      </c>
      <c r="Q13" s="107">
        <f>(C13-P13)/P13</f>
        <v>-1</v>
      </c>
      <c r="R13" s="108">
        <f>+P13-C13</f>
        <v>2528203.1709941425</v>
      </c>
      <c r="S13" s="107">
        <f>(P13-B13)/B13</f>
        <v>6.1866614597722649E-2</v>
      </c>
      <c r="T13" s="108">
        <f t="shared" si="3"/>
        <v>147298.51099414192</v>
      </c>
      <c r="U13" s="96"/>
    </row>
    <row r="14" spans="1:22" x14ac:dyDescent="0.2">
      <c r="A14" s="55" t="s">
        <v>16</v>
      </c>
      <c r="B14" s="192">
        <f t="shared" ref="B14:O14" si="13">SUM(B13:B13)</f>
        <v>2380904.6600000006</v>
      </c>
      <c r="C14" s="192">
        <f>SUM(C13:C13)</f>
        <v>0</v>
      </c>
      <c r="D14" s="193">
        <f>SUM(D13:D13)</f>
        <v>218401.69548750622</v>
      </c>
      <c r="E14" s="193">
        <f t="shared" si="13"/>
        <v>239717.06231355245</v>
      </c>
      <c r="F14" s="193">
        <f t="shared" si="13"/>
        <v>231573.14623077027</v>
      </c>
      <c r="G14" s="193">
        <f t="shared" si="13"/>
        <v>209130.75085855028</v>
      </c>
      <c r="H14" s="193">
        <f t="shared" si="13"/>
        <v>202345.83494521788</v>
      </c>
      <c r="I14" s="193">
        <f t="shared" si="13"/>
        <v>201077.03700540407</v>
      </c>
      <c r="J14" s="193">
        <f t="shared" si="13"/>
        <v>201203.7104472479</v>
      </c>
      <c r="K14" s="193">
        <f t="shared" si="13"/>
        <v>197422.84212471783</v>
      </c>
      <c r="L14" s="193">
        <f t="shared" si="13"/>
        <v>211706.91335330025</v>
      </c>
      <c r="M14" s="193">
        <f t="shared" si="13"/>
        <v>198848.19990646787</v>
      </c>
      <c r="N14" s="193">
        <f t="shared" si="13"/>
        <v>208673.80802352406</v>
      </c>
      <c r="O14" s="193">
        <f t="shared" si="13"/>
        <v>208102.17029788403</v>
      </c>
      <c r="P14" s="193">
        <f>+D14+E14+F14+G14+H14+I14+J14+K14+L14+M14+N14+O14</f>
        <v>2528203.1709941425</v>
      </c>
      <c r="Q14" s="107">
        <f>(C14-P14)/P14</f>
        <v>-1</v>
      </c>
      <c r="R14" s="108">
        <f>+P14-C14</f>
        <v>2528203.1709941425</v>
      </c>
      <c r="S14" s="107">
        <f t="shared" ref="S14:S15" si="14">(P14-B14)/B14</f>
        <v>6.1866614597722649E-2</v>
      </c>
      <c r="T14" s="108">
        <f t="shared" si="3"/>
        <v>147298.51099414192</v>
      </c>
    </row>
    <row r="15" spans="1:22" x14ac:dyDescent="0.2">
      <c r="A15" s="55" t="s">
        <v>17</v>
      </c>
      <c r="B15" s="192">
        <f>+B11-B14</f>
        <v>235213.03999999957</v>
      </c>
      <c r="C15" s="192">
        <f>+C11-C14</f>
        <v>0</v>
      </c>
      <c r="D15" s="193">
        <f t="shared" ref="D15:N15" si="15">+D11-D14</f>
        <v>51905.235217105597</v>
      </c>
      <c r="E15" s="193">
        <f t="shared" si="15"/>
        <v>277895.12600461091</v>
      </c>
      <c r="F15" s="193">
        <f t="shared" si="15"/>
        <v>-107100.12290194433</v>
      </c>
      <c r="G15" s="193">
        <f t="shared" si="15"/>
        <v>267105.70762701123</v>
      </c>
      <c r="H15" s="193">
        <f t="shared" si="15"/>
        <v>78742.202476078237</v>
      </c>
      <c r="I15" s="193">
        <f t="shared" si="15"/>
        <v>-98031.3726645032</v>
      </c>
      <c r="J15" s="193">
        <f t="shared" si="15"/>
        <v>-26307.589849007491</v>
      </c>
      <c r="K15" s="193">
        <f t="shared" si="15"/>
        <v>129358.62077152258</v>
      </c>
      <c r="L15" s="193">
        <f t="shared" si="15"/>
        <v>-24050.525949092145</v>
      </c>
      <c r="M15" s="193">
        <f t="shared" si="15"/>
        <v>-13734.695184113341</v>
      </c>
      <c r="N15" s="193">
        <f t="shared" si="15"/>
        <v>-20725.329135623149</v>
      </c>
      <c r="O15" s="193">
        <f>+O11-O14</f>
        <v>-117806.50268198314</v>
      </c>
      <c r="P15" s="193">
        <f>+P11-P14</f>
        <v>397250.75373006193</v>
      </c>
      <c r="Q15" s="107">
        <f>(C15-P15)/P15</f>
        <v>-1</v>
      </c>
      <c r="R15" s="108">
        <f>+P15-C15</f>
        <v>397250.75373006193</v>
      </c>
      <c r="S15" s="107">
        <f t="shared" si="14"/>
        <v>0.68889766370972738</v>
      </c>
      <c r="T15" s="108">
        <f t="shared" si="3"/>
        <v>162037.71373006236</v>
      </c>
    </row>
    <row r="16" spans="1:22" x14ac:dyDescent="0.2">
      <c r="A16" s="55" t="s">
        <v>18</v>
      </c>
      <c r="B16" s="178">
        <f>+B15/B6</f>
        <v>3.8476342588906871E-2</v>
      </c>
      <c r="C16" s="177" t="e">
        <f>+C15/C6</f>
        <v>#DIV/0!</v>
      </c>
      <c r="D16" s="177">
        <f>+D15/D6</f>
        <v>8.5191497037718972E-2</v>
      </c>
      <c r="E16" s="177">
        <f t="shared" ref="E16:O16" si="16">+E15/E6</f>
        <v>0.28555727250954921</v>
      </c>
      <c r="F16" s="177">
        <f t="shared" si="16"/>
        <v>-0.25890564906444252</v>
      </c>
      <c r="G16" s="177">
        <f t="shared" si="16"/>
        <v>0.28104093059429497</v>
      </c>
      <c r="H16" s="177">
        <f t="shared" si="16"/>
        <v>0.14573653029420156</v>
      </c>
      <c r="I16" s="177">
        <f t="shared" si="16"/>
        <v>-0.28417346737297922</v>
      </c>
      <c r="J16" s="177">
        <f t="shared" si="16"/>
        <v>-7.4321658724506967E-2</v>
      </c>
      <c r="K16" s="177">
        <f t="shared" si="16"/>
        <v>0.22433967955992451</v>
      </c>
      <c r="L16" s="177">
        <f t="shared" si="16"/>
        <v>-5.8059478480190947E-2</v>
      </c>
      <c r="M16" s="177">
        <f t="shared" si="16"/>
        <v>-3.5005389766513649E-2</v>
      </c>
      <c r="N16" s="177">
        <f t="shared" si="16"/>
        <v>-5.1491869609963339E-2</v>
      </c>
      <c r="O16" s="177">
        <f t="shared" si="16"/>
        <v>-0.35365093544985315</v>
      </c>
      <c r="P16" s="177">
        <f>+P15/P6</f>
        <v>6.3009661606399731E-2</v>
      </c>
      <c r="Q16" s="57"/>
      <c r="R16" s="57"/>
      <c r="S16" s="108"/>
    </row>
    <row r="17" spans="1:41" x14ac:dyDescent="0.2">
      <c r="Q17" s="54"/>
      <c r="S17" s="108"/>
    </row>
    <row r="18" spans="1:41" x14ac:dyDescent="0.2">
      <c r="D18" s="662">
        <f>D13-D20</f>
        <v>0</v>
      </c>
      <c r="E18" s="52">
        <f>E13-E20</f>
        <v>0</v>
      </c>
      <c r="F18" s="52">
        <f>F13-F20</f>
        <v>-15937.690998036764</v>
      </c>
      <c r="G18" s="52">
        <f>G13-G20</f>
        <v>-38380.086370256759</v>
      </c>
      <c r="H18" s="52">
        <f>H13-H20</f>
        <v>-43331.854445257719</v>
      </c>
      <c r="I18" s="52">
        <f t="shared" ref="I18:O18" si="17">I13-I20</f>
        <v>-41895.079104237258</v>
      </c>
      <c r="J18" s="52">
        <f>J13-J20</f>
        <v>-39345.274943227705</v>
      </c>
      <c r="K18" s="52">
        <f>K13-K20</f>
        <v>-43126.143265757768</v>
      </c>
      <c r="L18" s="52">
        <f>L13-L20</f>
        <v>-33688.333475506806</v>
      </c>
      <c r="M18" s="52">
        <f t="shared" si="17"/>
        <v>-41700.785484007734</v>
      </c>
      <c r="N18" s="52">
        <f t="shared" si="17"/>
        <v>-34298.308086117264</v>
      </c>
      <c r="O18" s="52">
        <f t="shared" si="17"/>
        <v>-34869.945811757294</v>
      </c>
      <c r="Q18" s="54"/>
      <c r="S18" s="108"/>
    </row>
    <row r="19" spans="1:41" x14ac:dyDescent="0.2">
      <c r="D19" s="662"/>
      <c r="S19" s="108"/>
    </row>
    <row r="20" spans="1:41" x14ac:dyDescent="0.2">
      <c r="D20" s="52">
        <f>CONS!G33+ONS!F40+PRD!H38</f>
        <v>218401.69548750628</v>
      </c>
      <c r="E20" s="52">
        <f>CONS!H33+ONS!G40+PRD!I38</f>
        <v>239717.06231355251</v>
      </c>
      <c r="F20" s="52">
        <f>CONS!I33+ONS!H40+PRD!J38</f>
        <v>247510.83722880704</v>
      </c>
      <c r="G20" s="52">
        <f>CONS!J33+ONS!I40+PRD!K38</f>
        <v>247510.83722880704</v>
      </c>
      <c r="H20" s="52">
        <f>CONS!K33+ONS!J40+PRD!L38</f>
        <v>245677.6893904756</v>
      </c>
      <c r="I20" s="52">
        <f>CONS!L33+ONS!K40+PRD!M38</f>
        <v>242972.11610964133</v>
      </c>
      <c r="J20" s="52">
        <f>CONS!M33+ONS!L40+PRD!N38</f>
        <v>240548.9853904756</v>
      </c>
      <c r="K20" s="52">
        <f>CONS!N33+ONS!M40+PRD!O38</f>
        <v>240548.9853904756</v>
      </c>
      <c r="L20" s="52">
        <f>CONS!O33+ONS!N40+PRD!P38</f>
        <v>245395.24682880705</v>
      </c>
      <c r="M20" s="52">
        <f>CONS!P33+ONS!O40+PRD!Q38</f>
        <v>240548.9853904756</v>
      </c>
      <c r="N20" s="52">
        <f>CONS!Q33+ONS!P40+PRD!R38</f>
        <v>242972.11610964133</v>
      </c>
      <c r="O20" s="52">
        <f>CONS!R33+ONS!Q40+PRD!S38</f>
        <v>242972.11610964133</v>
      </c>
      <c r="P20" s="52">
        <f>CONS!S33+ONS!R40+PRD!T38</f>
        <v>1376440.7709328814</v>
      </c>
      <c r="Q20" s="556"/>
      <c r="S20" s="108"/>
    </row>
    <row r="21" spans="1:41" x14ac:dyDescent="0.2"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</row>
    <row r="22" spans="1:41" x14ac:dyDescent="0.2">
      <c r="D22" s="96"/>
      <c r="E22" s="96"/>
      <c r="G22" s="96"/>
      <c r="H22" s="96"/>
      <c r="I22" s="96"/>
      <c r="J22" s="96"/>
      <c r="K22" s="96"/>
      <c r="L22" s="96"/>
      <c r="M22" s="96"/>
      <c r="N22" s="96"/>
      <c r="O22" s="96"/>
    </row>
    <row r="23" spans="1:41" s="46" customFormat="1" x14ac:dyDescent="0.2">
      <c r="A23" s="81"/>
      <c r="D23" s="52"/>
      <c r="E23" s="52"/>
      <c r="G23" s="52"/>
      <c r="H23" s="52"/>
      <c r="I23" s="52"/>
      <c r="J23" s="52"/>
      <c r="K23" s="52"/>
      <c r="L23" s="52"/>
      <c r="M23" s="52"/>
      <c r="N23" s="52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4"/>
      <c r="AJ23" s="44"/>
      <c r="AK23" s="44"/>
      <c r="AL23" s="44"/>
      <c r="AM23" s="44"/>
      <c r="AN23" s="44"/>
      <c r="AO23" s="44"/>
    </row>
    <row r="24" spans="1:41" s="46" customFormat="1" x14ac:dyDescent="0.2">
      <c r="A24" s="546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  <c r="AJ24" s="44"/>
      <c r="AK24" s="44"/>
      <c r="AL24" s="44"/>
      <c r="AM24" s="44"/>
      <c r="AN24" s="44"/>
      <c r="AO24" s="44"/>
    </row>
    <row r="25" spans="1:41" s="46" customFormat="1" x14ac:dyDescent="0.2"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4"/>
      <c r="AI25" s="44"/>
      <c r="AJ25" s="44"/>
      <c r="AK25" s="44"/>
      <c r="AL25" s="44"/>
      <c r="AM25" s="44"/>
      <c r="AN25" s="44"/>
      <c r="AO25" s="44"/>
    </row>
    <row r="26" spans="1:41" s="46" customFormat="1" x14ac:dyDescent="0.2"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  <c r="AI26" s="44"/>
      <c r="AJ26" s="44"/>
      <c r="AK26" s="44"/>
      <c r="AL26" s="44"/>
      <c r="AM26" s="44"/>
      <c r="AN26" s="44"/>
      <c r="AO26" s="44"/>
    </row>
    <row r="27" spans="1:41" s="46" customFormat="1" x14ac:dyDescent="0.2"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4"/>
      <c r="AM27" s="44"/>
      <c r="AN27" s="44"/>
      <c r="AO27" s="44"/>
    </row>
    <row r="28" spans="1:41" x14ac:dyDescent="0.2"/>
    <row r="30" spans="1:41" s="46" customFormat="1" x14ac:dyDescent="0.2"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O30" s="44"/>
    </row>
    <row r="32" spans="1:41" ht="12.75" customHeight="1" x14ac:dyDescent="0.2">
      <c r="D32" s="46" t="s">
        <v>1396</v>
      </c>
      <c r="H32" s="54"/>
      <c r="I32" s="54"/>
      <c r="K32" s="46" t="s">
        <v>1399</v>
      </c>
    </row>
    <row r="33" spans="4:41" ht="12.75" customHeight="1" x14ac:dyDescent="0.2">
      <c r="D33" s="46" t="s">
        <v>1387</v>
      </c>
      <c r="I33" s="54"/>
      <c r="K33" s="52" t="s">
        <v>1403</v>
      </c>
      <c r="Q33" s="556"/>
    </row>
    <row r="34" spans="4:41" s="46" customFormat="1" x14ac:dyDescent="0.2">
      <c r="D34" s="46" t="s">
        <v>1386</v>
      </c>
      <c r="E34" s="52"/>
      <c r="F34" s="52"/>
      <c r="G34" s="52"/>
      <c r="H34" s="52"/>
      <c r="I34" s="54"/>
      <c r="J34" s="52"/>
      <c r="K34" s="46" t="s">
        <v>1397</v>
      </c>
      <c r="N34" s="52"/>
      <c r="O34" s="52"/>
      <c r="P34" s="52"/>
      <c r="Q34" s="556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  <c r="AK34" s="44"/>
      <c r="AL34" s="44"/>
      <c r="AM34" s="44"/>
      <c r="AN34" s="44"/>
      <c r="AO34" s="44"/>
    </row>
    <row r="35" spans="4:41" s="46" customFormat="1" x14ac:dyDescent="0.2">
      <c r="D35" s="46" t="s">
        <v>1391</v>
      </c>
      <c r="E35" s="52"/>
      <c r="F35" s="52"/>
      <c r="G35" s="52"/>
      <c r="H35" s="52"/>
      <c r="I35" s="54"/>
      <c r="J35" s="52"/>
      <c r="K35" s="46" t="s">
        <v>1398</v>
      </c>
      <c r="N35" s="52"/>
      <c r="O35" s="52"/>
      <c r="P35" s="52"/>
      <c r="Q35" s="556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4"/>
      <c r="AJ35" s="44"/>
      <c r="AK35" s="44"/>
      <c r="AL35" s="44"/>
      <c r="AM35" s="44"/>
      <c r="AN35" s="44"/>
      <c r="AO35" s="44"/>
    </row>
    <row r="36" spans="4:41" s="46" customFormat="1" x14ac:dyDescent="0.2">
      <c r="D36" s="46" t="s">
        <v>1388</v>
      </c>
      <c r="E36" s="52"/>
      <c r="F36" s="52"/>
      <c r="G36" s="52"/>
      <c r="H36" s="52"/>
      <c r="I36" s="52"/>
      <c r="J36" s="52"/>
      <c r="N36" s="52"/>
      <c r="O36" s="52"/>
      <c r="P36" s="52"/>
      <c r="Q36" s="556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4"/>
      <c r="AJ36" s="44"/>
      <c r="AK36" s="44"/>
      <c r="AL36" s="44"/>
      <c r="AM36" s="44"/>
      <c r="AN36" s="44"/>
      <c r="AO36" s="44"/>
    </row>
    <row r="37" spans="4:41" ht="12.75" customHeight="1" x14ac:dyDescent="0.2">
      <c r="D37" s="46" t="s">
        <v>1389</v>
      </c>
      <c r="Q37" s="556"/>
    </row>
    <row r="38" spans="4:41" ht="12.75" customHeight="1" x14ac:dyDescent="0.2">
      <c r="D38" s="52" t="s">
        <v>1392</v>
      </c>
      <c r="Q38" s="556"/>
    </row>
    <row r="39" spans="4:41" ht="12.75" customHeight="1" x14ac:dyDescent="0.2">
      <c r="D39" s="52" t="s">
        <v>1393</v>
      </c>
      <c r="Q39" s="556"/>
    </row>
    <row r="40" spans="4:41" ht="12.75" customHeight="1" x14ac:dyDescent="0.2">
      <c r="D40" s="52" t="s">
        <v>1394</v>
      </c>
      <c r="Q40" s="556"/>
    </row>
    <row r="41" spans="4:41" ht="12.75" customHeight="1" x14ac:dyDescent="0.2">
      <c r="Q41" s="556"/>
    </row>
    <row r="42" spans="4:41" ht="12.75" customHeight="1" x14ac:dyDescent="0.2">
      <c r="L42" s="52" t="s">
        <v>171</v>
      </c>
      <c r="M42" s="52" t="s">
        <v>39</v>
      </c>
      <c r="N42" s="52" t="s">
        <v>168</v>
      </c>
      <c r="Q42" s="556"/>
    </row>
    <row r="43" spans="4:41" ht="12.75" customHeight="1" x14ac:dyDescent="0.2">
      <c r="K43" s="52" t="s">
        <v>1110</v>
      </c>
      <c r="L43" s="52">
        <f>'CONS Sales Forecast'!EE16+'CONS Sales Forecast'!EE17</f>
        <v>31392</v>
      </c>
      <c r="M43" s="52">
        <f>'ONS Sales Forecast'!DI38</f>
        <v>45000</v>
      </c>
      <c r="N43" s="52">
        <f>'PRD Sales Forecast'!CZ4+'PRD Sales Forecast'!DP4</f>
        <v>120000</v>
      </c>
      <c r="O43" s="52">
        <f>SUM(L43:N43)</f>
        <v>196392</v>
      </c>
      <c r="P43" s="672">
        <f>O43/$O$47</f>
        <v>3.1150585231142901E-2</v>
      </c>
      <c r="Q43" s="556"/>
    </row>
    <row r="44" spans="4:41" ht="12.75" customHeight="1" x14ac:dyDescent="0.2">
      <c r="K44" s="52" t="s">
        <v>1109</v>
      </c>
      <c r="M44" s="52">
        <f>'ONS Sales Forecast'!DI8</f>
        <v>131483.30000000002</v>
      </c>
      <c r="N44" s="52">
        <f>'PRD Sales Forecast'!CZ5+'PRD Sales Forecast'!DP5</f>
        <v>90000</v>
      </c>
      <c r="O44" s="52">
        <f t="shared" ref="O44:O45" si="18">SUM(L44:N44)</f>
        <v>221483.30000000002</v>
      </c>
      <c r="P44" s="672">
        <f>O44/$O$47</f>
        <v>3.5130424935459661E-2</v>
      </c>
      <c r="Q44" s="556"/>
    </row>
    <row r="45" spans="4:41" ht="12.75" customHeight="1" x14ac:dyDescent="0.2">
      <c r="K45" s="52" t="s">
        <v>1111</v>
      </c>
      <c r="L45" s="52">
        <f>'CONS Sales Forecast'!EE67-'FY27 Budget'!L43</f>
        <v>1122161.2000000002</v>
      </c>
      <c r="M45" s="52">
        <f>'ONS Sales Forecast'!DI61-'FY27 Budget'!M43-'FY27 Budget'!M44</f>
        <v>2883842.0800000005</v>
      </c>
      <c r="N45" s="52">
        <f>'PRD Sales Forecast'!CZ51+'PRD Sales Forecast'!DP51-'FY27 Budget'!N43-'FY27 Budget'!N44</f>
        <v>1880722.0733340001</v>
      </c>
      <c r="O45" s="52">
        <f t="shared" si="18"/>
        <v>5886725.3533340003</v>
      </c>
      <c r="P45" s="672">
        <f>O45/$O$47</f>
        <v>0.93371898983339752</v>
      </c>
      <c r="Q45" s="556"/>
    </row>
    <row r="46" spans="4:41" ht="12.75" customHeight="1" x14ac:dyDescent="0.2">
      <c r="P46" s="672"/>
    </row>
    <row r="47" spans="4:41" ht="12.75" customHeight="1" x14ac:dyDescent="0.2">
      <c r="L47" s="52">
        <f>SUM(L43:L46)</f>
        <v>1153553.2000000002</v>
      </c>
      <c r="M47" s="52">
        <f t="shared" ref="M47:O47" si="19">SUM(M43:M46)</f>
        <v>3060325.3800000004</v>
      </c>
      <c r="N47" s="52">
        <f t="shared" si="19"/>
        <v>2090722.0733340001</v>
      </c>
      <c r="O47" s="52">
        <f t="shared" si="19"/>
        <v>6304600.6533340001</v>
      </c>
    </row>
    <row r="48" spans="4:41" ht="12.75" customHeight="1" x14ac:dyDescent="0.2">
      <c r="N48" s="46"/>
      <c r="O48" s="46"/>
    </row>
    <row r="49" spans="11:16" ht="12.75" customHeight="1" x14ac:dyDescent="0.2">
      <c r="K49" s="52" t="s">
        <v>917</v>
      </c>
      <c r="L49" s="52">
        <f>SUMIF('CONS Sales Forecast'!$DO$4:$DO$30,K49,'CONS Sales Forecast'!$EE$4:$EE$30)</f>
        <v>0</v>
      </c>
      <c r="M49" s="52">
        <f>SUMIF('ONS Sales Forecast'!$CU$4:$CU$52,K49,'ONS Sales Forecast'!$DI$4:$DI$52)</f>
        <v>1743442.36</v>
      </c>
      <c r="N49" s="52">
        <f>SUMIF('PRD Sales Forecast'!$CL$4:$CL$49,K49,'PRD Sales Forecast'!$CZ$4:$CZ$49)+SUMIF('PRD Sales Forecast'!$DB$4:$DB$49,K49,'PRD Sales Forecast'!$DP$4:$DP$49)</f>
        <v>84352</v>
      </c>
      <c r="O49" s="52">
        <f>SUM(L49:N49)</f>
        <v>1827794.36</v>
      </c>
      <c r="P49" s="672">
        <f>O49/$P$6</f>
        <v>0.28991437531153158</v>
      </c>
    </row>
    <row r="50" spans="11:16" ht="12.75" customHeight="1" x14ac:dyDescent="0.2">
      <c r="K50" s="52" t="s">
        <v>916</v>
      </c>
      <c r="L50" s="52">
        <f>SUMIF('CONS Sales Forecast'!$DO$4:$DO$30,K50,'CONS Sales Forecast'!$EE$4:$EE$30)</f>
        <v>802388</v>
      </c>
      <c r="M50" s="52">
        <f>SUMIF('ONS Sales Forecast'!$CU$4:$CU$52,K50,'ONS Sales Forecast'!$DI$4:$DI$52)</f>
        <v>1147695.26</v>
      </c>
      <c r="N50" s="52">
        <f>SUMIF('PRD Sales Forecast'!$CL$4:$CL$49,K50,'PRD Sales Forecast'!$CZ$4:$CZ$49)+SUMIF('PRD Sales Forecast'!$DB$4:$DB$49,K50,'PRD Sales Forecast'!$DP$4:$DP$49)</f>
        <v>877754.63333400001</v>
      </c>
      <c r="O50" s="52">
        <f t="shared" ref="O50:O55" si="20">SUM(L50:N50)</f>
        <v>2827837.8933339999</v>
      </c>
      <c r="P50" s="672">
        <f t="shared" ref="P50:P56" si="21">O50/$P$6</f>
        <v>0.44853560896653821</v>
      </c>
    </row>
    <row r="51" spans="11:16" ht="12.75" customHeight="1" x14ac:dyDescent="0.2">
      <c r="K51" s="52" t="s">
        <v>918</v>
      </c>
      <c r="L51" s="52">
        <f>SUMIF('CONS Sales Forecast'!$DO$4:$DO$30,K51,'CONS Sales Forecast'!$EE$4:$EE$30)</f>
        <v>65575</v>
      </c>
      <c r="M51" s="52">
        <f>SUMIF('ONS Sales Forecast'!$CU$4:$CU$52,K51,'ONS Sales Forecast'!$DI$4:$DI$52)</f>
        <v>169187.76</v>
      </c>
      <c r="N51" s="52">
        <f>SUMIF('PRD Sales Forecast'!$CL$4:$CL$49,K51,'PRD Sales Forecast'!$CZ$4:$CZ$49)+SUMIF('PRD Sales Forecast'!$DB$4:$DB$49,K51,'PRD Sales Forecast'!$DP$4:$DP$49)</f>
        <v>235215.19999999998</v>
      </c>
      <c r="O51" s="52">
        <f t="shared" si="20"/>
        <v>469977.95999999996</v>
      </c>
      <c r="P51" s="672">
        <f t="shared" si="21"/>
        <v>7.4545238603093159E-2</v>
      </c>
    </row>
    <row r="52" spans="11:16" ht="12.75" customHeight="1" x14ac:dyDescent="0.2">
      <c r="K52" s="52" t="s">
        <v>919</v>
      </c>
      <c r="L52" s="52">
        <f>SUMIF('CONS Sales Forecast'!$DO$4:$DO$30,K52,'CONS Sales Forecast'!$EE$4:$EE$30)</f>
        <v>37402.400000000001</v>
      </c>
      <c r="M52" s="52">
        <f>SUMIF('ONS Sales Forecast'!$CU$4:$CU$52,K52,'ONS Sales Forecast'!$DI$4:$DI$52)</f>
        <v>0</v>
      </c>
      <c r="N52" s="52">
        <f>SUMIF('PRD Sales Forecast'!$CL$4:$CL$49,K52,'PRD Sales Forecast'!$CZ$4:$CZ$49)+SUMIF('PRD Sales Forecast'!$DB$4:$DB$49,K52,'PRD Sales Forecast'!$DP$4:$DP$49)</f>
        <v>465848.24</v>
      </c>
      <c r="O52" s="52">
        <f t="shared" si="20"/>
        <v>503250.64</v>
      </c>
      <c r="P52" s="672">
        <f t="shared" si="21"/>
        <v>7.9822762403495132E-2</v>
      </c>
    </row>
    <row r="53" spans="11:16" ht="12.75" customHeight="1" x14ac:dyDescent="0.2">
      <c r="K53" s="52" t="s">
        <v>921</v>
      </c>
      <c r="L53" s="52">
        <f>SUMIF('CONS Sales Forecast'!$DO$4:$DO$30,K53,'CONS Sales Forecast'!$EE$4:$EE$30)</f>
        <v>31392</v>
      </c>
      <c r="M53" s="52">
        <f>SUMIF('ONS Sales Forecast'!$CU$4:$CU$52,K53,'ONS Sales Forecast'!$DI$4:$DI$52)</f>
        <v>0</v>
      </c>
      <c r="N53" s="52">
        <f>SUMIF('PRD Sales Forecast'!$CL$4:$CL$49,K53,'PRD Sales Forecast'!$CZ$4:$CZ$49)+SUMIF('PRD Sales Forecast'!$DB$4:$DB$49,K53,'PRD Sales Forecast'!$DP$4:$DP$49)</f>
        <v>107132</v>
      </c>
      <c r="O53" s="52">
        <f t="shared" si="20"/>
        <v>138524</v>
      </c>
      <c r="P53" s="672">
        <f t="shared" si="21"/>
        <v>2.1971891261145262E-2</v>
      </c>
    </row>
    <row r="54" spans="11:16" ht="12.75" customHeight="1" x14ac:dyDescent="0.2">
      <c r="K54" s="52" t="s">
        <v>920</v>
      </c>
      <c r="L54" s="52">
        <f>SUMIF('CONS Sales Forecast'!$DO$4:$DO$30,K54,'CONS Sales Forecast'!$EE$4:$EE$30)</f>
        <v>207795.80000000005</v>
      </c>
      <c r="M54" s="52">
        <f>SUMIF('ONS Sales Forecast'!$CU$4:$CU$52,K54,'ONS Sales Forecast'!$DI$4:$DI$52)</f>
        <v>0</v>
      </c>
      <c r="N54" s="52">
        <f>SUMIF('PRD Sales Forecast'!$CL$4:$CL$49,K54,'PRD Sales Forecast'!$CZ$4:$CZ$49)+SUMIF('PRD Sales Forecast'!$DB$4:$DB$49,K54,'PRD Sales Forecast'!$DP$4:$DP$49)</f>
        <v>0</v>
      </c>
      <c r="O54" s="52">
        <f t="shared" si="20"/>
        <v>207795.80000000005</v>
      </c>
      <c r="P54" s="672">
        <f t="shared" si="21"/>
        <v>3.2959391312138611E-2</v>
      </c>
    </row>
    <row r="55" spans="11:16" ht="12.75" customHeight="1" x14ac:dyDescent="0.2">
      <c r="K55" s="52" t="s">
        <v>1206</v>
      </c>
      <c r="L55" s="52">
        <f>SUMIF('CONS Sales Forecast'!$DO$4:$DO$30,K55,'CONS Sales Forecast'!$EE$4:$EE$30)</f>
        <v>0</v>
      </c>
      <c r="M55" s="52">
        <f>SUMIF('ONS Sales Forecast'!$CU$4:$CU$52,K55,'ONS Sales Forecast'!$DI$4:$DI$52)</f>
        <v>0</v>
      </c>
      <c r="N55" s="52">
        <f>SUMIF('PRD Sales Forecast'!$CL$4:$CL$49,K55,'PRD Sales Forecast'!$CZ$4:$CZ$49)+SUMIF('PRD Sales Forecast'!$DB$4:$DB$49,K55,'PRD Sales Forecast'!$DP$4:$DP$49)</f>
        <v>105420</v>
      </c>
      <c r="O55" s="52">
        <f t="shared" si="20"/>
        <v>105420</v>
      </c>
      <c r="P55" s="672">
        <f t="shared" si="21"/>
        <v>1.6721122525699038E-2</v>
      </c>
    </row>
    <row r="56" spans="11:16" ht="12.75" customHeight="1" x14ac:dyDescent="0.2">
      <c r="K56" s="52" t="s">
        <v>1207</v>
      </c>
      <c r="L56" s="52">
        <f>SUMIF('CONS Sales Forecast'!$DO$4:$DO$30,K56,'CONS Sales Forecast'!$EE$4:$EE$30)</f>
        <v>0</v>
      </c>
      <c r="M56" s="52">
        <f>SUMIF('ONS Sales Forecast'!$CU$4:$CU$52,K56,'ONS Sales Forecast'!$DI$4:$DI$52)</f>
        <v>0</v>
      </c>
      <c r="N56" s="52">
        <f>SUMIF('PRD Sales Forecast'!$CL$4:$CL$49,K56,'PRD Sales Forecast'!$CZ$4:$CZ$49)+SUMIF('PRD Sales Forecast'!$DB$4:$DB$49,K56,'PRD Sales Forecast'!$DP$4:$DP$49)</f>
        <v>5000</v>
      </c>
      <c r="O56" s="52">
        <f>SUM(L56:N56)</f>
        <v>5000</v>
      </c>
      <c r="P56" s="672">
        <f t="shared" si="21"/>
        <v>7.9307164322230301E-4</v>
      </c>
    </row>
    <row r="57" spans="11:16" ht="12.75" customHeight="1" x14ac:dyDescent="0.2">
      <c r="L57" s="52">
        <f>SUM(L49:L56)</f>
        <v>1144553.2000000002</v>
      </c>
      <c r="M57" s="52">
        <f>SUM(M49:M56)</f>
        <v>3060325.38</v>
      </c>
      <c r="N57" s="52">
        <f>SUM(N49:N56)</f>
        <v>1880722.0733340001</v>
      </c>
    </row>
  </sheetData>
  <mergeCells count="2">
    <mergeCell ref="Q2:R2"/>
    <mergeCell ref="S2:T2"/>
  </mergeCells>
  <phoneticPr fontId="31" type="noConversion"/>
  <conditionalFormatting sqref="B16:R16">
    <cfRule type="cellIs" dxfId="134" priority="16" operator="greaterThan">
      <formula>0</formula>
    </cfRule>
  </conditionalFormatting>
  <conditionalFormatting sqref="C16:R16">
    <cfRule type="cellIs" dxfId="133" priority="11" operator="lessThan">
      <formula>0</formula>
    </cfRule>
  </conditionalFormatting>
  <conditionalFormatting sqref="Q12:S12 Q13:R15 Q17">
    <cfRule type="cellIs" dxfId="132" priority="14" operator="lessThan">
      <formula>0</formula>
    </cfRule>
    <cfRule type="cellIs" dxfId="131" priority="15" operator="greaterThan">
      <formula>0</formula>
    </cfRule>
  </conditionalFormatting>
  <conditionalFormatting sqref="Q3:T11">
    <cfRule type="cellIs" dxfId="130" priority="3" operator="lessThan">
      <formula>0</formula>
    </cfRule>
    <cfRule type="cellIs" dxfId="129" priority="4" operator="greaterThan">
      <formula>0</formula>
    </cfRule>
  </conditionalFormatting>
  <conditionalFormatting sqref="S13:S20">
    <cfRule type="cellIs" dxfId="128" priority="1" operator="lessThan">
      <formula>0</formula>
    </cfRule>
    <cfRule type="cellIs" dxfId="127" priority="2" operator="greaterThan">
      <formula>0</formula>
    </cfRule>
  </conditionalFormatting>
  <conditionalFormatting sqref="T13:T15">
    <cfRule type="cellIs" dxfId="126" priority="5" operator="lessThan">
      <formula>0</formula>
    </cfRule>
    <cfRule type="cellIs" dxfId="125" priority="6" operator="greaterThan">
      <formula>0</formula>
    </cfRule>
  </conditionalFormatting>
  <pageMargins left="0.25" right="0.25" top="0.75" bottom="0.75" header="0.3" footer="0.3"/>
  <pageSetup paperSize="9" orientation="landscape" cellComments="atEnd" horizontalDpi="300" verticalDpi="300" r:id="rId1"/>
  <headerFooter alignWithMargins="0">
    <oddHeader>&amp;L&amp;8&amp;C&amp;8MYOB / Excel&amp;R&amp;8</oddHeader>
    <oddFooter>&amp;CPage &amp;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407DE-051E-438A-80A2-0509A0525330}">
  <sheetPr codeName="Sheet5"/>
  <dimension ref="A1:AQ101"/>
  <sheetViews>
    <sheetView showGridLines="0" zoomScaleNormal="100" workbookViewId="0">
      <pane ySplit="2" topLeftCell="A9" activePane="bottomLeft" state="frozen"/>
      <selection pane="bottomLeft" activeCell="E34" sqref="E34"/>
    </sheetView>
  </sheetViews>
  <sheetFormatPr defaultColWidth="9.140625" defaultRowHeight="12.75" x14ac:dyDescent="0.2"/>
  <cols>
    <col min="1" max="2" width="11" style="44" bestFit="1" customWidth="1"/>
    <col min="3" max="3" width="10" style="44" bestFit="1" customWidth="1"/>
    <col min="4" max="4" width="9.140625" style="44"/>
    <col min="5" max="5" width="10.140625" style="44" bestFit="1" customWidth="1"/>
    <col min="6" max="6" width="10.140625" style="694" customWidth="1"/>
    <col min="7" max="7" width="31.28515625" style="46" bestFit="1" customWidth="1"/>
    <col min="8" max="8" width="10" style="52" customWidth="1"/>
    <col min="9" max="10" width="10" style="52" bestFit="1" customWidth="1"/>
    <col min="11" max="11" width="11" style="52" bestFit="1" customWidth="1"/>
    <col min="12" max="19" width="10" style="52" bestFit="1" customWidth="1"/>
    <col min="20" max="20" width="13.5703125" style="52" bestFit="1" customWidth="1"/>
    <col min="21" max="21" width="11" style="44" bestFit="1" customWidth="1"/>
    <col min="22" max="23" width="12.7109375" style="44" customWidth="1"/>
    <col min="25" max="30" width="12.7109375" style="44" customWidth="1"/>
    <col min="31" max="16384" width="9.140625" style="44"/>
  </cols>
  <sheetData>
    <row r="1" spans="1:24" x14ac:dyDescent="0.2">
      <c r="A1" s="210">
        <v>46235</v>
      </c>
      <c r="G1" s="63"/>
      <c r="H1" s="70" t="s">
        <v>1</v>
      </c>
      <c r="I1" s="70" t="s">
        <v>1</v>
      </c>
      <c r="J1" s="70" t="s">
        <v>1</v>
      </c>
      <c r="K1" s="70" t="s">
        <v>1</v>
      </c>
      <c r="L1" s="70" t="s">
        <v>1</v>
      </c>
      <c r="M1" s="70" t="s">
        <v>1</v>
      </c>
      <c r="N1" s="70" t="s">
        <v>1</v>
      </c>
      <c r="O1" s="70" t="s">
        <v>1</v>
      </c>
      <c r="P1" s="70" t="s">
        <v>1</v>
      </c>
      <c r="Q1" s="70" t="s">
        <v>1</v>
      </c>
      <c r="R1" s="70" t="s">
        <v>1</v>
      </c>
      <c r="S1" s="70" t="s">
        <v>1</v>
      </c>
      <c r="T1" s="70" t="s">
        <v>1</v>
      </c>
    </row>
    <row r="2" spans="1:24" s="42" customFormat="1" x14ac:dyDescent="0.2">
      <c r="F2" s="695"/>
      <c r="G2" s="64"/>
      <c r="H2" s="82">
        <v>46204</v>
      </c>
      <c r="I2" s="82">
        <v>46235</v>
      </c>
      <c r="J2" s="82">
        <v>46266</v>
      </c>
      <c r="K2" s="82">
        <v>46296</v>
      </c>
      <c r="L2" s="82">
        <v>46327</v>
      </c>
      <c r="M2" s="82">
        <v>46357</v>
      </c>
      <c r="N2" s="82">
        <v>46388</v>
      </c>
      <c r="O2" s="82">
        <v>46419</v>
      </c>
      <c r="P2" s="82">
        <v>46447</v>
      </c>
      <c r="Q2" s="82">
        <v>46478</v>
      </c>
      <c r="R2" s="82">
        <v>46508</v>
      </c>
      <c r="S2" s="82">
        <v>46539</v>
      </c>
      <c r="T2" s="71" t="s">
        <v>27</v>
      </c>
      <c r="U2" s="42" t="s">
        <v>28</v>
      </c>
    </row>
    <row r="3" spans="1:24" x14ac:dyDescent="0.2">
      <c r="G3" s="43" t="s">
        <v>5</v>
      </c>
      <c r="H3" s="67">
        <f>CONS!G2</f>
        <v>297416.4916666667</v>
      </c>
      <c r="I3" s="67">
        <f>CONS!H2</f>
        <v>465645.39166666666</v>
      </c>
      <c r="J3" s="67">
        <f>CONS!I2</f>
        <v>82321.891666666663</v>
      </c>
      <c r="K3" s="67">
        <f>CONS!J2</f>
        <v>100061.89166666668</v>
      </c>
      <c r="L3" s="67">
        <f>CONS!K2</f>
        <v>36337.39166666667</v>
      </c>
      <c r="M3" s="67">
        <f>CONS!L2</f>
        <v>31337.39166666667</v>
      </c>
      <c r="N3" s="67">
        <f>CONS!M2</f>
        <v>27340.651666666668</v>
      </c>
      <c r="O3" s="67">
        <f>CONS!N2</f>
        <v>32340.651666666668</v>
      </c>
      <c r="P3" s="67">
        <f>CONS!O2</f>
        <v>32340.651666666668</v>
      </c>
      <c r="Q3" s="67">
        <f>CONS!P2</f>
        <v>32340.651666666668</v>
      </c>
      <c r="R3" s="67">
        <f>CONS!Q2</f>
        <v>8035.0716666666667</v>
      </c>
      <c r="S3" s="67">
        <f>CONS!R2</f>
        <v>8035.0716666666667</v>
      </c>
      <c r="T3" s="52">
        <f>SUM(H3:S3)</f>
        <v>1153553.2000000002</v>
      </c>
      <c r="U3" s="54"/>
      <c r="V3" s="189" t="b">
        <f>T3=CONS!S2</f>
        <v>1</v>
      </c>
    </row>
    <row r="4" spans="1:24" x14ac:dyDescent="0.2">
      <c r="G4" s="51" t="s">
        <v>6</v>
      </c>
      <c r="H4" s="67">
        <f>PRD!H3</f>
        <v>73000.02</v>
      </c>
      <c r="I4" s="67">
        <f>PRD!I3</f>
        <v>251215.02</v>
      </c>
      <c r="J4" s="67">
        <f>PRD!J3</f>
        <v>83326.02</v>
      </c>
      <c r="K4" s="67">
        <f>PRD!K3</f>
        <v>587307.02</v>
      </c>
      <c r="L4" s="67">
        <f>PRD!L3</f>
        <v>241601.02</v>
      </c>
      <c r="M4" s="67">
        <f>PRD!M3</f>
        <v>62316.020000000004</v>
      </c>
      <c r="N4" s="67">
        <f>PRD!N3</f>
        <v>64261.936667000002</v>
      </c>
      <c r="O4" s="67">
        <f>PRD!O3</f>
        <v>281912.02</v>
      </c>
      <c r="P4" s="67">
        <f>PRD!P3</f>
        <v>128882.02</v>
      </c>
      <c r="Q4" s="67">
        <f>PRD!Q3</f>
        <v>98752.02</v>
      </c>
      <c r="R4" s="67">
        <f>PRD!R3</f>
        <v>135511.936667</v>
      </c>
      <c r="S4" s="67">
        <f>PRD!S3</f>
        <v>82637.02</v>
      </c>
      <c r="T4" s="52">
        <f t="shared" ref="T4" si="0">SUM(H4:S4)</f>
        <v>2090722.0733340001</v>
      </c>
      <c r="U4" s="54"/>
      <c r="V4" s="189" t="b">
        <f>T4=PRD!T2</f>
        <v>1</v>
      </c>
    </row>
    <row r="5" spans="1:24" x14ac:dyDescent="0.2">
      <c r="G5" s="51" t="s">
        <v>7</v>
      </c>
      <c r="H5" s="67">
        <f>ONS!F6</f>
        <v>238860.66999999998</v>
      </c>
      <c r="I5" s="67">
        <f>ONS!G6</f>
        <v>256307.33</v>
      </c>
      <c r="J5" s="67">
        <f>ONS!H6</f>
        <v>248016.77</v>
      </c>
      <c r="K5" s="67">
        <f>ONS!I6</f>
        <v>263046.77</v>
      </c>
      <c r="L5" s="67">
        <f>ONS!J6</f>
        <v>262366.77</v>
      </c>
      <c r="M5" s="67">
        <f>ONS!K6</f>
        <v>251316.77</v>
      </c>
      <c r="N5" s="67">
        <f>ONS!L6</f>
        <v>262366.77</v>
      </c>
      <c r="O5" s="67">
        <f>ONS!M6</f>
        <v>262366.77</v>
      </c>
      <c r="P5" s="67">
        <f>ONS!N6</f>
        <v>253016.77</v>
      </c>
      <c r="Q5" s="67">
        <f>ONS!O6</f>
        <v>261266.77</v>
      </c>
      <c r="R5" s="67">
        <f>ONS!P6</f>
        <v>258950.11000000002</v>
      </c>
      <c r="S5" s="67">
        <f>ONS!Q6</f>
        <v>242443.11000000002</v>
      </c>
      <c r="T5" s="52">
        <f>SUM(H5:S5)</f>
        <v>3060325.38</v>
      </c>
      <c r="U5" s="54"/>
      <c r="V5" s="189" t="b">
        <f>T5=ONS!R6</f>
        <v>1</v>
      </c>
    </row>
    <row r="6" spans="1:24" x14ac:dyDescent="0.2">
      <c r="G6" s="55" t="s">
        <v>8</v>
      </c>
      <c r="H6" s="69">
        <f t="shared" ref="H6:S6" si="1">SUM(H3:H5)</f>
        <v>609277.18166666664</v>
      </c>
      <c r="I6" s="69">
        <f t="shared" si="1"/>
        <v>973167.74166666658</v>
      </c>
      <c r="J6" s="69">
        <f t="shared" si="1"/>
        <v>413664.68166666664</v>
      </c>
      <c r="K6" s="69">
        <f t="shared" si="1"/>
        <v>950415.68166666676</v>
      </c>
      <c r="L6" s="69">
        <f t="shared" si="1"/>
        <v>540305.18166666664</v>
      </c>
      <c r="M6" s="69">
        <f t="shared" si="1"/>
        <v>344970.18166666664</v>
      </c>
      <c r="N6" s="69">
        <f t="shared" si="1"/>
        <v>353969.35833366669</v>
      </c>
      <c r="O6" s="69">
        <f t="shared" si="1"/>
        <v>576619.44166666665</v>
      </c>
      <c r="P6" s="69">
        <f t="shared" si="1"/>
        <v>414239.44166666665</v>
      </c>
      <c r="Q6" s="69">
        <f t="shared" si="1"/>
        <v>392359.44166666665</v>
      </c>
      <c r="R6" s="69">
        <f t="shared" si="1"/>
        <v>402497.1183336667</v>
      </c>
      <c r="S6" s="69">
        <f t="shared" si="1"/>
        <v>333115.20166666666</v>
      </c>
      <c r="T6" s="69">
        <f>SUM(H6:S6)</f>
        <v>6304600.6533339992</v>
      </c>
      <c r="U6" s="54"/>
    </row>
    <row r="7" spans="1:24" x14ac:dyDescent="0.2">
      <c r="G7" s="43" t="s">
        <v>29</v>
      </c>
      <c r="H7" s="52">
        <f>-CONS!G10</f>
        <v>156894.91234767181</v>
      </c>
      <c r="I7" s="52">
        <f>-CONS!H10</f>
        <v>239607.17366026258</v>
      </c>
      <c r="J7" s="52">
        <f>-CONS!I10</f>
        <v>50130.111515418597</v>
      </c>
      <c r="K7" s="52">
        <f>-CONS!J10</f>
        <v>58336.59925557088</v>
      </c>
      <c r="L7" s="52">
        <f>-CONS!K10</f>
        <v>27394.351833493958</v>
      </c>
      <c r="M7" s="52">
        <f>-CONS!L10</f>
        <v>23963.879536378259</v>
      </c>
      <c r="N7" s="52">
        <f>-CONS!M10</f>
        <v>21263.504217185644</v>
      </c>
      <c r="O7" s="52">
        <f>-CONS!N10</f>
        <v>24080.806697185642</v>
      </c>
      <c r="P7" s="52">
        <f>-CONS!O10</f>
        <v>25062.908775257485</v>
      </c>
      <c r="Q7" s="52">
        <f>-CONS!P10</f>
        <v>24323.317688537914</v>
      </c>
      <c r="R7" s="52">
        <f>-CONS!Q10</f>
        <v>12517.147616378257</v>
      </c>
      <c r="S7" s="52">
        <f>-CONS!R10</f>
        <v>17919.297896378259</v>
      </c>
      <c r="T7" s="52">
        <f>SUM(H7:S7)</f>
        <v>681494.01103971933</v>
      </c>
      <c r="U7" s="54" t="b">
        <f>T7=-CONS!S10</f>
        <v>1</v>
      </c>
      <c r="V7" s="94">
        <f>CONS!S10</f>
        <v>-681494.01103971933</v>
      </c>
      <c r="X7" s="44"/>
    </row>
    <row r="8" spans="1:24" x14ac:dyDescent="0.2">
      <c r="G8" s="202" t="s">
        <v>30</v>
      </c>
      <c r="H8" s="52">
        <f>-CONS!G5-CONS!G6</f>
        <v>7209.6149543384618</v>
      </c>
      <c r="I8" s="52">
        <f>-CONS!H5-CONS!H6</f>
        <v>6457.3073069292304</v>
      </c>
      <c r="J8" s="52">
        <f>-CONS!I5-CONS!I6</f>
        <v>8018.1534222375394</v>
      </c>
      <c r="K8" s="52">
        <f>-CONS!J5-CONS!J6</f>
        <v>8018.1534222375394</v>
      </c>
      <c r="L8" s="52">
        <f>-CONS!K5-CONS!K6</f>
        <v>7289.2303838523085</v>
      </c>
      <c r="M8" s="52">
        <f>-CONS!L5-CONS!L6</f>
        <v>7653.6919030449244</v>
      </c>
      <c r="N8" s="52">
        <f>-CONS!M5-CONS!M6</f>
        <v>7289.2303838523085</v>
      </c>
      <c r="O8" s="52">
        <f>-CONS!N5-CONS!N6</f>
        <v>7289.2303838523085</v>
      </c>
      <c r="P8" s="52">
        <f>-CONS!O5-CONS!O6</f>
        <v>8018.1534222375394</v>
      </c>
      <c r="Q8" s="52">
        <f>-CONS!P5-CONS!P6</f>
        <v>7289.2303838523085</v>
      </c>
      <c r="R8" s="52">
        <f>-CONS!Q5-CONS!Q6</f>
        <v>7653.6919030449244</v>
      </c>
      <c r="S8" s="52">
        <f>-CONS!R5-CONS!R6</f>
        <v>7653.6919030449244</v>
      </c>
      <c r="U8" s="54"/>
      <c r="V8" s="96"/>
      <c r="X8" s="44"/>
    </row>
    <row r="9" spans="1:24" x14ac:dyDescent="0.2">
      <c r="G9" s="202" t="s">
        <v>31</v>
      </c>
      <c r="H9" s="52">
        <f>-CONS!G7</f>
        <v>148708.24583333335</v>
      </c>
      <c r="I9" s="52">
        <f>-CONS!H7</f>
        <v>232822.69583333333</v>
      </c>
      <c r="J9" s="52">
        <f>-CONS!I7</f>
        <v>41160.945833333331</v>
      </c>
      <c r="K9" s="52">
        <f>-CONS!J7</f>
        <v>50030.945833333339</v>
      </c>
      <c r="L9" s="52">
        <f>-CONS!K7</f>
        <v>18168.695833333335</v>
      </c>
      <c r="M9" s="52">
        <f>-CONS!L7</f>
        <v>15668.695833333335</v>
      </c>
      <c r="N9" s="52">
        <f>-CONS!M7</f>
        <v>13670.325833333334</v>
      </c>
      <c r="O9" s="52">
        <f>-CONS!N7</f>
        <v>16170.325833333334</v>
      </c>
      <c r="P9" s="52">
        <f>-CONS!O7</f>
        <v>16170.325833333334</v>
      </c>
      <c r="Q9" s="52">
        <f>-CONS!P7</f>
        <v>16170.325833333334</v>
      </c>
      <c r="R9" s="52">
        <f>-CONS!Q7</f>
        <v>4017.5358333333334</v>
      </c>
      <c r="S9" s="52">
        <f>-CONS!R7</f>
        <v>4017.5358333333334</v>
      </c>
      <c r="U9" s="54"/>
      <c r="V9" s="96"/>
      <c r="X9" s="44"/>
    </row>
    <row r="10" spans="1:24" x14ac:dyDescent="0.2">
      <c r="G10" s="202" t="s">
        <v>32</v>
      </c>
      <c r="H10" s="52">
        <f>-CONS!G9</f>
        <v>689.55155999999999</v>
      </c>
      <c r="I10" s="52">
        <f>-CONS!H9</f>
        <v>39.670520000000003</v>
      </c>
      <c r="J10" s="52">
        <f>-CONS!I9</f>
        <v>663.5122598477227</v>
      </c>
      <c r="K10" s="52">
        <f>-CONS!J9</f>
        <v>0</v>
      </c>
      <c r="L10" s="52">
        <f>-CONS!K9</f>
        <v>1648.9256163083166</v>
      </c>
      <c r="M10" s="52">
        <f>-CONS!L9</f>
        <v>353.99180000000001</v>
      </c>
      <c r="N10" s="52">
        <f>-CONS!M9</f>
        <v>16.448</v>
      </c>
      <c r="O10" s="52">
        <f>-CONS!N9</f>
        <v>333.75047999999998</v>
      </c>
      <c r="P10" s="52">
        <f>-CONS!O9</f>
        <v>586.92951968660975</v>
      </c>
      <c r="Q10" s="52">
        <f>-CONS!P9</f>
        <v>576.26147135227086</v>
      </c>
      <c r="R10" s="52">
        <f>-CONS!Q9</f>
        <v>558.41988000000003</v>
      </c>
      <c r="S10" s="52">
        <f>-CONS!R9</f>
        <v>5960.5701599999993</v>
      </c>
      <c r="U10" s="54"/>
      <c r="V10" s="544"/>
      <c r="X10" s="44"/>
    </row>
    <row r="11" spans="1:24" x14ac:dyDescent="0.2">
      <c r="G11" s="51" t="s">
        <v>33</v>
      </c>
      <c r="H11" s="52">
        <f>-PRD!H15</f>
        <v>52683.663485863028</v>
      </c>
      <c r="I11" s="52">
        <f>-PRD!I15</f>
        <v>100269.81170493504</v>
      </c>
      <c r="J11" s="52">
        <f>-PRD!J15</f>
        <v>103519.69466078594</v>
      </c>
      <c r="K11" s="52">
        <f>-PRD!K15</f>
        <v>285683.94306389819</v>
      </c>
      <c r="L11" s="52">
        <f>-PRD!L15</f>
        <v>104223.85100357098</v>
      </c>
      <c r="M11" s="52">
        <f>-PRD!M15</f>
        <v>83048.459754416632</v>
      </c>
      <c r="N11" s="52">
        <f>-PRD!N15</f>
        <v>45343.173259935029</v>
      </c>
      <c r="O11" s="52">
        <f>-PRD!O15</f>
        <v>109744.54951493503</v>
      </c>
      <c r="P11" s="52">
        <f>-PRD!P15</f>
        <v>59313.374450564894</v>
      </c>
      <c r="Q11" s="52">
        <f>-PRD!Q15</f>
        <v>48118.512397468621</v>
      </c>
      <c r="R11" s="52">
        <f>-PRD!R15</f>
        <v>60551.388619416626</v>
      </c>
      <c r="S11" s="52">
        <f>-PRD!S15</f>
        <v>85630.235144416627</v>
      </c>
      <c r="T11" s="52">
        <f>SUM(H11:S11)</f>
        <v>1138130.6570602064</v>
      </c>
      <c r="U11" s="54" t="b">
        <f>T11=-PRD!T15</f>
        <v>1</v>
      </c>
      <c r="V11" s="544">
        <f>PRD!T15</f>
        <v>-1138130.6570602064</v>
      </c>
      <c r="X11" s="44"/>
    </row>
    <row r="12" spans="1:24" x14ac:dyDescent="0.2">
      <c r="G12" s="202" t="s">
        <v>30</v>
      </c>
      <c r="H12" s="52">
        <f>-PRD!H4-PRD!H5-PRD!H6-PRD!H7-PRD!H9-PRD!H10-PRD!H8</f>
        <v>34963.676875559999</v>
      </c>
      <c r="I12" s="52">
        <f>-PRD!I4-PRD!I5-PRD!I6-PRD!I7-PRD!I9-PRD!I10-PRD!I8</f>
        <v>43309.260414632001</v>
      </c>
      <c r="J12" s="52">
        <f>-PRD!J4-PRD!J5-PRD!J6-PRD!J7-PRD!J9-PRD!J10-PRD!J8</f>
        <v>39454.055113595205</v>
      </c>
      <c r="K12" s="52">
        <f>-PRD!K4-PRD!K5-PRD!K6-PRD!K7-PRD!K9-PRD!K10-PRD!K8</f>
        <v>43781.570913595206</v>
      </c>
      <c r="L12" s="52">
        <f>-PRD!L4-PRD!L5-PRD!L6-PRD!L7-PRD!L9-PRD!L10-PRD!L8</f>
        <v>51301.025614632003</v>
      </c>
      <c r="M12" s="52">
        <f>-PRD!M4-PRD!M5-PRD!M6-PRD!M7-PRD!M9-PRD!M10-PRD!M8</f>
        <v>49723.144764113596</v>
      </c>
      <c r="N12" s="52">
        <f>-PRD!N4-PRD!N5-PRD!N6-PRD!N7-PRD!N9-PRD!N10-PRD!N8</f>
        <v>27041.553989631997</v>
      </c>
      <c r="O12" s="52">
        <f>-PRD!O4-PRD!O5-PRD!O6-PRD!O7-PRD!O9-PRD!O10-PRD!O8</f>
        <v>43046.735964631996</v>
      </c>
      <c r="P12" s="52">
        <f>-PRD!P4-PRD!P5-PRD!P6-PRD!P7-PRD!P9-PRD!P10-PRD!P8</f>
        <v>36001.14611359519</v>
      </c>
      <c r="Q12" s="52">
        <f>-PRD!Q4-PRD!Q5-PRD!Q6-PRD!Q7-PRD!Q9-PRD!Q10-PRD!Q8</f>
        <v>28481.656989632</v>
      </c>
      <c r="R12" s="52">
        <f>-PRD!R4-PRD!R5-PRD!R6-PRD!R7-PRD!R9-PRD!R10-PRD!R8</f>
        <v>37174.461389113596</v>
      </c>
      <c r="S12" s="52">
        <f>-PRD!S4-PRD!S5-PRD!S6-PRD!S7-PRD!S9-PRD!S10</f>
        <v>48755.359514113596</v>
      </c>
      <c r="U12" s="54"/>
      <c r="V12" s="544"/>
      <c r="X12" s="44"/>
    </row>
    <row r="13" spans="1:24" x14ac:dyDescent="0.2">
      <c r="G13" s="202" t="s">
        <v>31</v>
      </c>
      <c r="H13" s="52">
        <f>-PRD!H11-PRD!H12</f>
        <v>16456.235370303031</v>
      </c>
      <c r="I13" s="52">
        <f>-PRD!I11-PRD!I12</f>
        <v>53025.213090303034</v>
      </c>
      <c r="J13" s="52">
        <f>-PRD!J11-PRD!J12</f>
        <v>55901.120190303031</v>
      </c>
      <c r="K13" s="52">
        <f>-PRD!K11-PRD!K12</f>
        <v>223518.29863030303</v>
      </c>
      <c r="L13" s="52">
        <f>-PRD!L11-PRD!L12</f>
        <v>47833.787340779738</v>
      </c>
      <c r="M13" s="52">
        <f>-PRD!M11-PRD!M12</f>
        <v>30380.639830303033</v>
      </c>
      <c r="N13" s="52">
        <f>-PRD!N11-PRD!N12</f>
        <v>17774.774410303035</v>
      </c>
      <c r="O13" s="52">
        <f>-PRD!O11-PRD!O12</f>
        <v>60051.72159030303</v>
      </c>
      <c r="P13" s="52">
        <f>-PRD!P11-PRD!P12</f>
        <v>19785.994730303035</v>
      </c>
      <c r="Q13" s="52">
        <f>-PRD!Q11-PRD!Q12</f>
        <v>18710.506270303031</v>
      </c>
      <c r="R13" s="52">
        <f>-PRD!R11-PRD!R12</f>
        <v>21713.109230303031</v>
      </c>
      <c r="S13" s="52">
        <f>-PRD!S11-PRD!S12</f>
        <v>32960.714230303034</v>
      </c>
      <c r="U13" s="54"/>
      <c r="V13" s="544"/>
      <c r="X13" s="44"/>
    </row>
    <row r="14" spans="1:24" x14ac:dyDescent="0.2">
      <c r="G14" s="202" t="s">
        <v>32</v>
      </c>
      <c r="H14" s="52">
        <f>-PRD!H13-PRD!H14</f>
        <v>1263.7512399999998</v>
      </c>
      <c r="I14" s="52">
        <f>-PRD!I13-PRD!I14</f>
        <v>3935.3381999999997</v>
      </c>
      <c r="J14" s="52">
        <f>-PRD!J13-PRD!J14</f>
        <v>8164.5193568877194</v>
      </c>
      <c r="K14" s="52">
        <f>-PRD!K13-PRD!K14</f>
        <v>18384.073520000002</v>
      </c>
      <c r="L14" s="52">
        <f>-PRD!L13-PRD!L14</f>
        <v>5089.0380481592292</v>
      </c>
      <c r="M14" s="52">
        <f>-PRD!M13-PRD!M14</f>
        <v>2944.6751599999998</v>
      </c>
      <c r="N14" s="52">
        <f>-PRD!N13-PRD!N14</f>
        <v>526.84486000000004</v>
      </c>
      <c r="O14" s="52">
        <f>-PRD!O13-PRD!O14</f>
        <v>6646.0919599999997</v>
      </c>
      <c r="P14" s="52">
        <f>-PRD!P13-PRD!P14</f>
        <v>3526.2336066666671</v>
      </c>
      <c r="Q14" s="52">
        <f>-PRD!Q13-PRD!Q14</f>
        <v>926.3491375335941</v>
      </c>
      <c r="R14" s="52">
        <f>-PRD!R13-PRD!R14</f>
        <v>1663.818</v>
      </c>
      <c r="S14" s="52">
        <f>-PRD!S13-PRD!S14</f>
        <v>3914.1614000000004</v>
      </c>
      <c r="U14" s="54"/>
      <c r="V14" s="544"/>
      <c r="X14" s="44"/>
    </row>
    <row r="15" spans="1:24" x14ac:dyDescent="0.2">
      <c r="G15" s="51" t="s">
        <v>34</v>
      </c>
      <c r="H15" s="52">
        <f>-ONS!F14</f>
        <v>129391.67512851999</v>
      </c>
      <c r="I15" s="52">
        <f>-ONS!G14</f>
        <v>115678.56798330561</v>
      </c>
      <c r="J15" s="52">
        <f>-ONS!H14</f>
        <v>135541.8521616362</v>
      </c>
      <c r="K15" s="52">
        <f>-ONS!I14</f>
        <v>130158.68086163618</v>
      </c>
      <c r="L15" s="52">
        <f>-ONS!J14</f>
        <v>127598.9414083056</v>
      </c>
      <c r="M15" s="52">
        <f>-ONS!K14</f>
        <v>134912.17803497089</v>
      </c>
      <c r="N15" s="52">
        <f>-ONS!L14</f>
        <v>112466.5602583056</v>
      </c>
      <c r="O15" s="52">
        <f>-ONS!M14</f>
        <v>116012.62255830559</v>
      </c>
      <c r="P15" s="52">
        <f>-ONS!N14</f>
        <v>142206.77103663617</v>
      </c>
      <c r="Q15" s="52">
        <f>-ONS!O14</f>
        <v>134804.1068583056</v>
      </c>
      <c r="R15" s="52">
        <f>-ONS!P14</f>
        <v>141480.1032099709</v>
      </c>
      <c r="S15" s="52">
        <f>-ONS!Q14</f>
        <v>139270.00100997087</v>
      </c>
      <c r="T15" s="52">
        <f>SUM(H15:S15)</f>
        <v>1559522.0605098694</v>
      </c>
      <c r="U15" s="661" t="b">
        <f>T15=-ONS!R14</f>
        <v>1</v>
      </c>
      <c r="V15" s="544">
        <f>ONS!R14</f>
        <v>-1559522.0605098694</v>
      </c>
      <c r="X15" s="44"/>
    </row>
    <row r="16" spans="1:24" x14ac:dyDescent="0.2">
      <c r="A16" s="44" t="s">
        <v>35</v>
      </c>
      <c r="G16" s="202" t="s">
        <v>30</v>
      </c>
      <c r="H16" s="52">
        <f>-ONS!F7-ONS!F8-ONS!F10</f>
        <v>127977.20212851999</v>
      </c>
      <c r="I16" s="52">
        <f>-ONS!G7-ONS!G8-ONS!G10</f>
        <v>109984.28678330559</v>
      </c>
      <c r="J16" s="52">
        <f>-ONS!H7-ONS!H8-ONS!H10</f>
        <v>128812.68876163616</v>
      </c>
      <c r="K16" s="52">
        <f>-ONS!I7-ONS!I8-ONS!I10</f>
        <v>123051.54351163618</v>
      </c>
      <c r="L16" s="52">
        <f>-ONS!J7-ONS!J8-ONS!J10</f>
        <v>121978.4236583056</v>
      </c>
      <c r="M16" s="52">
        <f>-ONS!K7-ONS!K8-ONS!K10</f>
        <v>133541.68088497088</v>
      </c>
      <c r="N16" s="52">
        <f>-ONS!L7-ONS!L8-ONS!L10</f>
        <v>106761.7473083056</v>
      </c>
      <c r="O16" s="52">
        <f>-ONS!M7-ONS!M8-ONS!M10</f>
        <v>110392.10995830559</v>
      </c>
      <c r="P16" s="52">
        <f>-ONS!N7-ONS!N8-ONS!N10</f>
        <v>136527.62053663615</v>
      </c>
      <c r="Q16" s="52">
        <f>-ONS!O7-ONS!O8-ONS!O10</f>
        <v>129135.78165830558</v>
      </c>
      <c r="R16" s="52">
        <f>-ONS!P7-ONS!P8-ONS!P10</f>
        <v>135891.4433599709</v>
      </c>
      <c r="S16" s="52">
        <f>-ONS!Q7-ONS!Q8-ONS!Q10</f>
        <v>133831.91170997088</v>
      </c>
      <c r="U16" s="54"/>
      <c r="V16" s="544"/>
      <c r="X16" s="44"/>
    </row>
    <row r="17" spans="1:25" x14ac:dyDescent="0.2">
      <c r="A17" s="591">
        <v>0.34</v>
      </c>
      <c r="B17" s="591">
        <v>0.33</v>
      </c>
      <c r="C17" s="591">
        <v>0.33</v>
      </c>
      <c r="G17" s="202" t="s">
        <v>31</v>
      </c>
      <c r="H17" s="52">
        <f>-ONS!F12</f>
        <v>1188.7230000000002</v>
      </c>
      <c r="I17" s="52">
        <f>-ONS!G12</f>
        <v>991.06600000000014</v>
      </c>
      <c r="J17" s="52">
        <f>-ONS!H12</f>
        <v>2214.4794000000006</v>
      </c>
      <c r="K17" s="52">
        <f>-ONS!I12</f>
        <v>1026.6731000000002</v>
      </c>
      <c r="L17" s="52">
        <f>-ONS!J12</f>
        <v>1170.5177500000002</v>
      </c>
      <c r="M17" s="52">
        <f>-ONS!K12</f>
        <v>1170.4971500000001</v>
      </c>
      <c r="N17" s="52">
        <f>-ONS!L12</f>
        <v>1254.81295</v>
      </c>
      <c r="O17" s="52">
        <f>-ONS!M12</f>
        <v>1170.5126</v>
      </c>
      <c r="P17" s="52">
        <f>-ONS!N12</f>
        <v>1104.3402500000002</v>
      </c>
      <c r="Q17" s="52">
        <f>-ONS!O12</f>
        <v>1104.44325</v>
      </c>
      <c r="R17" s="52">
        <f>-ONS!P12</f>
        <v>1070.7725500000001</v>
      </c>
      <c r="S17" s="52">
        <f>-ONS!Q12</f>
        <v>988.08930000000009</v>
      </c>
      <c r="U17" s="54"/>
      <c r="V17" s="544"/>
      <c r="X17" s="44"/>
    </row>
    <row r="18" spans="1:25" x14ac:dyDescent="0.2">
      <c r="A18" s="660" t="s">
        <v>36</v>
      </c>
      <c r="B18" s="660"/>
      <c r="C18" s="660"/>
      <c r="G18" s="202" t="s">
        <v>32</v>
      </c>
      <c r="H18" s="52">
        <f>-ONS!F13</f>
        <v>25.75</v>
      </c>
      <c r="I18" s="52">
        <f>-ONS!G13</f>
        <v>253.21520000000001</v>
      </c>
      <c r="J18" s="52">
        <f>-ONS!H13</f>
        <v>64.683999999999997</v>
      </c>
      <c r="K18" s="52">
        <f>-ONS!I13</f>
        <v>1630.46425</v>
      </c>
      <c r="L18" s="52">
        <f>-ONS!J13</f>
        <v>0</v>
      </c>
      <c r="M18" s="52">
        <f>-ONS!K13</f>
        <v>0</v>
      </c>
      <c r="N18" s="52">
        <f>-ONS!L13</f>
        <v>0</v>
      </c>
      <c r="O18" s="52">
        <f>-ONS!M13</f>
        <v>0</v>
      </c>
      <c r="P18" s="52">
        <f>-ONS!N13</f>
        <v>124.81025</v>
      </c>
      <c r="Q18" s="52">
        <f>-ONS!O13</f>
        <v>113.88195</v>
      </c>
      <c r="R18" s="52">
        <f>-ONS!P13</f>
        <v>67.887299999999996</v>
      </c>
      <c r="S18" s="52">
        <f>-ONS!Q13</f>
        <v>0</v>
      </c>
      <c r="U18" s="54"/>
      <c r="V18" s="96"/>
      <c r="X18" s="44"/>
    </row>
    <row r="19" spans="1:25" x14ac:dyDescent="0.2">
      <c r="A19" s="660">
        <f>'TO DO'!L17+'TO DO'!L18</f>
        <v>0.40298507462686567</v>
      </c>
      <c r="B19" s="660">
        <f>'TO DO'!L16</f>
        <v>0.58208955223880599</v>
      </c>
      <c r="C19" s="660">
        <f>'TO DO'!L14+'TO DO'!L15</f>
        <v>1.4925373134328358E-2</v>
      </c>
      <c r="G19" s="55" t="s">
        <v>12</v>
      </c>
      <c r="H19" s="69">
        <f>H7+H11+H15</f>
        <v>338970.25096205482</v>
      </c>
      <c r="I19" s="69">
        <f t="shared" ref="I19:S19" si="2">I7+I11+I15</f>
        <v>455555.55334850325</v>
      </c>
      <c r="J19" s="69">
        <f t="shared" si="2"/>
        <v>289191.65833784069</v>
      </c>
      <c r="K19" s="69">
        <f t="shared" si="2"/>
        <v>474179.22318110522</v>
      </c>
      <c r="L19" s="69">
        <f t="shared" si="2"/>
        <v>259217.14424537052</v>
      </c>
      <c r="M19" s="69">
        <f t="shared" si="2"/>
        <v>241924.51732576577</v>
      </c>
      <c r="N19" s="69">
        <f t="shared" si="2"/>
        <v>179073.23773542629</v>
      </c>
      <c r="O19" s="69">
        <f t="shared" si="2"/>
        <v>249837.97877042627</v>
      </c>
      <c r="P19" s="69">
        <f t="shared" si="2"/>
        <v>226583.05426245855</v>
      </c>
      <c r="Q19" s="69">
        <f t="shared" si="2"/>
        <v>207245.93694431212</v>
      </c>
      <c r="R19" s="69">
        <f t="shared" si="2"/>
        <v>214548.63944576579</v>
      </c>
      <c r="S19" s="69">
        <f t="shared" si="2"/>
        <v>242819.53405076577</v>
      </c>
      <c r="T19" s="69">
        <f>SUM(H19:S19)</f>
        <v>3379146.7286097948</v>
      </c>
      <c r="U19" s="54"/>
      <c r="X19" s="44"/>
      <c r="Y19" s="44">
        <f>48+12+41</f>
        <v>101</v>
      </c>
    </row>
    <row r="20" spans="1:25" x14ac:dyDescent="0.2">
      <c r="A20" s="591" t="s">
        <v>37</v>
      </c>
      <c r="B20" s="591"/>
      <c r="C20" s="591"/>
      <c r="G20" s="55" t="s">
        <v>13</v>
      </c>
      <c r="H20" s="69">
        <f>+H6-H19</f>
        <v>270306.93070461182</v>
      </c>
      <c r="I20" s="69">
        <f t="shared" ref="I20:T20" si="3">+I6-I19</f>
        <v>517612.18831816333</v>
      </c>
      <c r="J20" s="69">
        <f t="shared" si="3"/>
        <v>124473.02332882595</v>
      </c>
      <c r="K20" s="69">
        <f t="shared" si="3"/>
        <v>476236.45848556154</v>
      </c>
      <c r="L20" s="69">
        <f t="shared" si="3"/>
        <v>281088.03742129612</v>
      </c>
      <c r="M20" s="69">
        <f t="shared" si="3"/>
        <v>103045.66434090087</v>
      </c>
      <c r="N20" s="69">
        <f t="shared" si="3"/>
        <v>174896.12059824041</v>
      </c>
      <c r="O20" s="69">
        <f t="shared" si="3"/>
        <v>326781.46289624041</v>
      </c>
      <c r="P20" s="69">
        <f t="shared" si="3"/>
        <v>187656.3874042081</v>
      </c>
      <c r="Q20" s="69">
        <f t="shared" si="3"/>
        <v>185113.50472235453</v>
      </c>
      <c r="R20" s="69">
        <f t="shared" si="3"/>
        <v>187948.47888790091</v>
      </c>
      <c r="S20" s="69">
        <f t="shared" si="3"/>
        <v>90295.667615900893</v>
      </c>
      <c r="T20" s="69">
        <f t="shared" si="3"/>
        <v>2925453.9247242045</v>
      </c>
      <c r="U20" s="54"/>
      <c r="X20" s="44"/>
    </row>
    <row r="21" spans="1:25" x14ac:dyDescent="0.2">
      <c r="A21" s="591">
        <v>0.94630000000000003</v>
      </c>
      <c r="B21" s="591">
        <v>1.7899999999999999E-2</v>
      </c>
      <c r="C21" s="591">
        <v>3.5799999999999998E-2</v>
      </c>
      <c r="G21" s="55" t="s">
        <v>14</v>
      </c>
      <c r="H21" s="57">
        <f>+H20/H6</f>
        <v>0.44365182028513217</v>
      </c>
      <c r="I21" s="57">
        <f t="shared" ref="I21:S21" si="4">+I20/I6</f>
        <v>0.53188383272105821</v>
      </c>
      <c r="J21" s="57">
        <f t="shared" si="4"/>
        <v>0.30090319247783165</v>
      </c>
      <c r="K21" s="57">
        <f t="shared" si="4"/>
        <v>0.50108228186052695</v>
      </c>
      <c r="L21" s="57">
        <f t="shared" si="4"/>
        <v>0.52023938869923569</v>
      </c>
      <c r="M21" s="57">
        <f t="shared" si="4"/>
        <v>0.29870890244209719</v>
      </c>
      <c r="N21" s="57">
        <f t="shared" si="4"/>
        <v>0.49409960630935695</v>
      </c>
      <c r="O21" s="57">
        <f t="shared" si="4"/>
        <v>0.56671946743888479</v>
      </c>
      <c r="P21" s="57">
        <f t="shared" si="4"/>
        <v>0.45301429204612742</v>
      </c>
      <c r="Q21" s="57">
        <f t="shared" si="4"/>
        <v>0.47179571857893449</v>
      </c>
      <c r="R21" s="57">
        <f t="shared" si="4"/>
        <v>0.46695608571312358</v>
      </c>
      <c r="S21" s="57">
        <f t="shared" si="4"/>
        <v>0.27106438602659655</v>
      </c>
      <c r="T21" s="57">
        <f>+T20/T6</f>
        <v>0.46401891025043207</v>
      </c>
      <c r="U21" s="54"/>
      <c r="X21" s="44"/>
    </row>
    <row r="22" spans="1:25" x14ac:dyDescent="0.2">
      <c r="A22" s="44" t="s">
        <v>38</v>
      </c>
      <c r="B22" s="44" t="s">
        <v>39</v>
      </c>
      <c r="C22" s="44" t="s">
        <v>40</v>
      </c>
      <c r="G22" s="51" t="s">
        <v>41</v>
      </c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U22" s="54"/>
      <c r="X22" s="44"/>
    </row>
    <row r="23" spans="1:25" x14ac:dyDescent="0.2">
      <c r="A23" s="46">
        <f>$I$23*A17</f>
        <v>1161.6666666666667</v>
      </c>
      <c r="B23" s="46">
        <f>$I$23*B17</f>
        <v>1127.5000000000002</v>
      </c>
      <c r="C23" s="46">
        <f>$I$23*C17</f>
        <v>1127.5000000000002</v>
      </c>
      <c r="E23" s="44" t="s">
        <v>42</v>
      </c>
      <c r="G23" s="202" t="s">
        <v>43</v>
      </c>
      <c r="H23" s="53">
        <f>'CTS Overheads'!D3</f>
        <v>3416.666666666667</v>
      </c>
      <c r="I23" s="53">
        <f>'CTS Overheads'!E3</f>
        <v>3416.666666666667</v>
      </c>
      <c r="J23" s="53">
        <f>'CTS Overheads'!F3</f>
        <v>4166.666666666667</v>
      </c>
      <c r="K23" s="53">
        <f>'CTS Overheads'!G3</f>
        <v>4166.666666666667</v>
      </c>
      <c r="L23" s="53">
        <f>'CTS Overheads'!H3</f>
        <v>4166.666666666667</v>
      </c>
      <c r="M23" s="53">
        <f>'CTS Overheads'!I3</f>
        <v>4166.666666666667</v>
      </c>
      <c r="N23" s="53">
        <f>'CTS Overheads'!J3</f>
        <v>4166.666666666667</v>
      </c>
      <c r="O23" s="53">
        <f>'CTS Overheads'!K3</f>
        <v>4166.666666666667</v>
      </c>
      <c r="P23" s="53">
        <f>'CTS Overheads'!L3</f>
        <v>5716.666666666667</v>
      </c>
      <c r="Q23" s="53">
        <f>'CTS Overheads'!M3</f>
        <v>5716.666666666667</v>
      </c>
      <c r="R23" s="53">
        <f>'CTS Overheads'!N3</f>
        <v>5716.666666666667</v>
      </c>
      <c r="S23" s="53">
        <f>'CTS Overheads'!O3</f>
        <v>5716.666666666667</v>
      </c>
      <c r="T23" s="52">
        <f>SUM(H23:S23)</f>
        <v>54700</v>
      </c>
      <c r="U23" s="54" t="b">
        <f>T23='CTS Overheads'!P3</f>
        <v>1</v>
      </c>
      <c r="X23" s="44"/>
    </row>
    <row r="24" spans="1:25" x14ac:dyDescent="0.2">
      <c r="A24" s="46">
        <f>$I$24*A17</f>
        <v>612</v>
      </c>
      <c r="B24" s="46">
        <f>$I$24*B17</f>
        <v>594</v>
      </c>
      <c r="C24" s="46">
        <f>$I$24*C17</f>
        <v>594</v>
      </c>
      <c r="E24" s="44" t="s">
        <v>42</v>
      </c>
      <c r="G24" s="202" t="s">
        <v>44</v>
      </c>
      <c r="H24" s="53">
        <f>'CTS Overheads'!D4+'CTS Overheads'!D5</f>
        <v>1800</v>
      </c>
      <c r="I24" s="53">
        <f>'CTS Overheads'!E4+'CTS Overheads'!E5</f>
        <v>1800</v>
      </c>
      <c r="J24" s="53">
        <f>'CTS Overheads'!F4+'CTS Overheads'!F5</f>
        <v>1800</v>
      </c>
      <c r="K24" s="53">
        <f>'CTS Overheads'!G4+'CTS Overheads'!G5</f>
        <v>1800</v>
      </c>
      <c r="L24" s="53">
        <f>'CTS Overheads'!H4+'CTS Overheads'!H5</f>
        <v>1800</v>
      </c>
      <c r="M24" s="53">
        <f>'CTS Overheads'!I4+'CTS Overheads'!I5</f>
        <v>1800</v>
      </c>
      <c r="N24" s="53">
        <f>'CTS Overheads'!J4+'CTS Overheads'!J5</f>
        <v>1800</v>
      </c>
      <c r="O24" s="53">
        <f>'CTS Overheads'!K4+'CTS Overheads'!K5</f>
        <v>1800</v>
      </c>
      <c r="P24" s="53">
        <f>'CTS Overheads'!L4+'CTS Overheads'!L5</f>
        <v>1800</v>
      </c>
      <c r="Q24" s="53">
        <f>'CTS Overheads'!M4+'CTS Overheads'!M5</f>
        <v>1800</v>
      </c>
      <c r="R24" s="53">
        <f>'CTS Overheads'!N4+'CTS Overheads'!N5</f>
        <v>1800</v>
      </c>
      <c r="S24" s="53">
        <f>'CTS Overheads'!O4+'CTS Overheads'!O5</f>
        <v>1800</v>
      </c>
      <c r="T24" s="52">
        <f t="shared" ref="T24:T67" si="5">SUM(H24:S24)</f>
        <v>21600</v>
      </c>
      <c r="U24" s="54" t="b">
        <f>T24='CTS Overheads'!P4+'CTS Overheads'!P5</f>
        <v>1</v>
      </c>
      <c r="V24" s="44" t="s">
        <v>45</v>
      </c>
      <c r="X24" s="44"/>
    </row>
    <row r="25" spans="1:25" x14ac:dyDescent="0.2">
      <c r="A25" s="46">
        <f>$I$25*A19</f>
        <v>866.41791044776119</v>
      </c>
      <c r="B25" s="46">
        <f>$I$25*B19</f>
        <v>1251.4925373134329</v>
      </c>
      <c r="C25" s="46">
        <f>$I$25*C19</f>
        <v>32.089552238805972</v>
      </c>
      <c r="E25" s="44" t="s">
        <v>36</v>
      </c>
      <c r="G25" s="202" t="s">
        <v>46</v>
      </c>
      <c r="H25" s="53">
        <f>'CTS Overheads'!D6</f>
        <v>2150</v>
      </c>
      <c r="I25" s="53">
        <f>'CTS Overheads'!E6</f>
        <v>2150</v>
      </c>
      <c r="J25" s="53">
        <f>'CTS Overheads'!F6</f>
        <v>2150</v>
      </c>
      <c r="K25" s="53">
        <f>'CTS Overheads'!G6</f>
        <v>2150</v>
      </c>
      <c r="L25" s="53">
        <f>'CTS Overheads'!H6</f>
        <v>2150</v>
      </c>
      <c r="M25" s="53">
        <f>'CTS Overheads'!I6</f>
        <v>2150</v>
      </c>
      <c r="N25" s="53">
        <f>'CTS Overheads'!J6</f>
        <v>2150</v>
      </c>
      <c r="O25" s="53">
        <f>'CTS Overheads'!K6</f>
        <v>2150</v>
      </c>
      <c r="P25" s="53">
        <f>'CTS Overheads'!L6</f>
        <v>2150</v>
      </c>
      <c r="Q25" s="53">
        <f>'CTS Overheads'!M6</f>
        <v>2150</v>
      </c>
      <c r="R25" s="53">
        <f>'CTS Overheads'!N6</f>
        <v>2150</v>
      </c>
      <c r="S25" s="53">
        <f>'CTS Overheads'!O6</f>
        <v>2150</v>
      </c>
      <c r="T25" s="52">
        <f t="shared" si="5"/>
        <v>25800</v>
      </c>
      <c r="U25" s="54" t="b">
        <f>T25='CTS Overheads'!P6</f>
        <v>1</v>
      </c>
      <c r="X25" s="44"/>
    </row>
    <row r="26" spans="1:25" x14ac:dyDescent="0.2">
      <c r="A26" s="46">
        <f>$I$26*A17</f>
        <v>170.0</v>
      </c>
      <c r="B26" s="46">
        <f>$I$26*B17</f>
        <v>165.0</v>
      </c>
      <c r="C26" s="46">
        <f>$I$26*C17</f>
        <v>165.0</v>
      </c>
      <c r="E26" s="44" t="s">
        <v>42</v>
      </c>
      <c r="G26" s="202" t="s">
        <v>47</v>
      </c>
      <c r="H26" s="53">
        <f>'CTS Overheads'!D7</f>
        <v>500</v>
      </c>
      <c r="I26" s="53">
        <f>'CTS Overheads'!E7</f>
        <v>500</v>
      </c>
      <c r="J26" s="53">
        <f>'CTS Overheads'!F7</f>
        <v>500</v>
      </c>
      <c r="K26" s="53">
        <f>'CTS Overheads'!G7</f>
        <v>500</v>
      </c>
      <c r="L26" s="53">
        <f>'CTS Overheads'!H7</f>
        <v>500</v>
      </c>
      <c r="M26" s="53">
        <f>'CTS Overheads'!I7</f>
        <v>500</v>
      </c>
      <c r="N26" s="53">
        <f>'CTS Overheads'!J7</f>
        <v>500</v>
      </c>
      <c r="O26" s="53">
        <f>'CTS Overheads'!K7</f>
        <v>500</v>
      </c>
      <c r="P26" s="53">
        <f>'CTS Overheads'!L7</f>
        <v>2758</v>
      </c>
      <c r="Q26" s="53">
        <f>'CTS Overheads'!M7</f>
        <v>500</v>
      </c>
      <c r="R26" s="53">
        <f>'CTS Overheads'!N7</f>
        <v>2758</v>
      </c>
      <c r="S26" s="53">
        <f>'CTS Overheads'!O7</f>
        <v>500</v>
      </c>
      <c r="T26" s="52">
        <f t="shared" si="5"/>
        <v>10516</v>
      </c>
      <c r="U26" s="54" t="b">
        <f>T26='CTS Overheads'!P7</f>
        <v>1</v>
      </c>
      <c r="V26" s="44" t="s">
        <v>48</v>
      </c>
      <c r="X26" s="44"/>
    </row>
    <row r="27" spans="1:25" x14ac:dyDescent="0.2">
      <c r="A27" s="204">
        <f>$I$27*A17</f>
        <v>2273.5758272727276</v>
      </c>
      <c r="B27" s="204">
        <f>$I$27*B17</f>
        <v>2206.70595</v>
      </c>
      <c r="C27" s="204">
        <f>$I$27*C17</f>
        <v>2206.70595</v>
      </c>
      <c r="E27" s="44" t="s">
        <v>42</v>
      </c>
      <c r="G27" s="699" t="s">
        <v>890</v>
      </c>
      <c r="H27" s="53">
        <f>SUM('CTS Overheads'!D8:D25)</f>
        <v>6686.9877272727272</v>
      </c>
      <c r="I27" s="53">
        <f>SUM('CTS Overheads'!E8:E25)</f>
        <v>6686.9877272727272</v>
      </c>
      <c r="J27" s="53">
        <f>SUM('CTS Overheads'!F8:F25)</f>
        <v>6686.9877272727272</v>
      </c>
      <c r="K27" s="53">
        <f>SUM('CTS Overheads'!G8:G25)</f>
        <v>7386.9877272727272</v>
      </c>
      <c r="L27" s="53">
        <f>SUM('CTS Overheads'!H8:H25)</f>
        <v>7386.9877272727272</v>
      </c>
      <c r="M27" s="53">
        <f>SUM('CTS Overheads'!I8:I25)</f>
        <v>7386.9877272727272</v>
      </c>
      <c r="N27" s="53">
        <f>SUM('CTS Overheads'!J8:J25)</f>
        <v>7386.9877272727272</v>
      </c>
      <c r="O27" s="53">
        <f>SUM('CTS Overheads'!K8:K25)</f>
        <v>7386.9877272727272</v>
      </c>
      <c r="P27" s="53">
        <f>SUM('CTS Overheads'!L8:L25)</f>
        <v>7386.9877272727272</v>
      </c>
      <c r="Q27" s="53">
        <f>SUM('CTS Overheads'!M8:M25)</f>
        <v>7386.9877272727272</v>
      </c>
      <c r="R27" s="53">
        <f>SUM('CTS Overheads'!N8:N25)</f>
        <v>7386.9877272727272</v>
      </c>
      <c r="S27" s="53">
        <f>SUM('CTS Overheads'!O8:O25)</f>
        <v>7386.9877272727272</v>
      </c>
      <c r="T27" s="52">
        <f t="shared" si="5"/>
        <v>86543.852727272722</v>
      </c>
      <c r="U27" s="54" t="b">
        <f>T27=SUM('CTS Overheads'!P8:P25)</f>
        <v>1</v>
      </c>
      <c r="X27" s="44"/>
    </row>
    <row r="28" spans="1:25" ht="13.15" customHeight="1" x14ac:dyDescent="0.2">
      <c r="A28" s="46">
        <f>$I$28*A17</f>
        <v>0.0</v>
      </c>
      <c r="B28" s="46">
        <f>$I$28*B17</f>
        <v>0.0</v>
      </c>
      <c r="C28" s="46">
        <f>$I$28*C17</f>
        <v>0.0</v>
      </c>
      <c r="E28" s="44" t="s">
        <v>42</v>
      </c>
      <c r="G28" s="203" t="s">
        <v>50</v>
      </c>
      <c r="H28" s="53">
        <f>'CTS Overheads'!D26</f>
        <v>0</v>
      </c>
      <c r="I28" s="53">
        <f>'CTS Overheads'!E26</f>
        <v>0</v>
      </c>
      <c r="J28" s="53">
        <f>'CTS Overheads'!F26</f>
        <v>0</v>
      </c>
      <c r="K28" s="53">
        <f>'CTS Overheads'!G26</f>
        <v>0</v>
      </c>
      <c r="L28" s="53">
        <f>'CTS Overheads'!H26</f>
        <v>0</v>
      </c>
      <c r="M28" s="53">
        <f>'CTS Overheads'!I26</f>
        <v>0</v>
      </c>
      <c r="N28" s="53">
        <f>'CTS Overheads'!J26</f>
        <v>0</v>
      </c>
      <c r="O28" s="53">
        <f>'CTS Overheads'!K26</f>
        <v>200</v>
      </c>
      <c r="P28" s="53">
        <f>'CTS Overheads'!L26</f>
        <v>0</v>
      </c>
      <c r="Q28" s="53">
        <f>'CTS Overheads'!M26</f>
        <v>0</v>
      </c>
      <c r="R28" s="53">
        <f>'CTS Overheads'!N26</f>
        <v>0</v>
      </c>
      <c r="S28" s="53">
        <f>'CTS Overheads'!O26</f>
        <v>5000</v>
      </c>
      <c r="T28" s="52">
        <f t="shared" si="5"/>
        <v>5200</v>
      </c>
      <c r="U28" s="54" t="b">
        <f>T28='CTS Overheads'!P26</f>
        <v>1</v>
      </c>
      <c r="X28" s="44"/>
    </row>
    <row r="29" spans="1:25" x14ac:dyDescent="0.2">
      <c r="A29" s="46">
        <f>$I$29*A17</f>
        <v>10.200000000000001</v>
      </c>
      <c r="B29" s="46">
        <f>$I$29*B17</f>
        <v>9.9</v>
      </c>
      <c r="C29" s="46">
        <f>$I$29*C17</f>
        <v>9.9</v>
      </c>
      <c r="E29" s="44" t="s">
        <v>42</v>
      </c>
      <c r="G29" s="202" t="s">
        <v>51</v>
      </c>
      <c r="H29" s="53">
        <f>'CTS Overheads'!D27</f>
        <v>30</v>
      </c>
      <c r="I29" s="53">
        <f>'CTS Overheads'!E27</f>
        <v>30</v>
      </c>
      <c r="J29" s="53">
        <f>'CTS Overheads'!F27</f>
        <v>30</v>
      </c>
      <c r="K29" s="53">
        <f>'CTS Overheads'!G27</f>
        <v>30</v>
      </c>
      <c r="L29" s="53">
        <f>'CTS Overheads'!H27</f>
        <v>30</v>
      </c>
      <c r="M29" s="53">
        <f>'CTS Overheads'!I27</f>
        <v>150</v>
      </c>
      <c r="N29" s="53">
        <f>'CTS Overheads'!J27</f>
        <v>30</v>
      </c>
      <c r="O29" s="53">
        <f>'CTS Overheads'!K27</f>
        <v>30</v>
      </c>
      <c r="P29" s="53">
        <f>'CTS Overheads'!L27</f>
        <v>30</v>
      </c>
      <c r="Q29" s="53">
        <f>'CTS Overheads'!M27</f>
        <v>30</v>
      </c>
      <c r="R29" s="53">
        <f>'CTS Overheads'!N27</f>
        <v>30</v>
      </c>
      <c r="S29" s="53">
        <f>'CTS Overheads'!O27</f>
        <v>30</v>
      </c>
      <c r="T29" s="52">
        <f t="shared" si="5"/>
        <v>480</v>
      </c>
      <c r="U29" s="54" t="b">
        <f>T29='CTS Overheads'!P27</f>
        <v>1</v>
      </c>
      <c r="X29" s="44"/>
    </row>
    <row r="30" spans="1:25" x14ac:dyDescent="0.2">
      <c r="A30" s="46">
        <f>$I$30*A17</f>
        <v>0</v>
      </c>
      <c r="B30" s="46">
        <f>$I$30*B17</f>
        <v>0</v>
      </c>
      <c r="C30" s="46">
        <f>$I$30*C17</f>
        <v>0</v>
      </c>
      <c r="E30" s="44" t="s">
        <v>42</v>
      </c>
      <c r="G30" s="202" t="s">
        <v>52</v>
      </c>
      <c r="H30" s="53">
        <f>'CTS Overheads'!D28</f>
        <v>0</v>
      </c>
      <c r="I30" s="53">
        <f>'CTS Overheads'!E28</f>
        <v>0</v>
      </c>
      <c r="J30" s="53">
        <f>'CTS Overheads'!F28</f>
        <v>825</v>
      </c>
      <c r="K30" s="53">
        <f>'CTS Overheads'!G28</f>
        <v>0</v>
      </c>
      <c r="L30" s="53">
        <f>'CTS Overheads'!H28</f>
        <v>0</v>
      </c>
      <c r="M30" s="53">
        <f>'CTS Overheads'!I28</f>
        <v>0</v>
      </c>
      <c r="N30" s="53">
        <f>'CTS Overheads'!J28</f>
        <v>0</v>
      </c>
      <c r="O30" s="53">
        <f>'CTS Overheads'!K28</f>
        <v>0</v>
      </c>
      <c r="P30" s="53">
        <f>'CTS Overheads'!L28</f>
        <v>0</v>
      </c>
      <c r="Q30" s="53">
        <f>'CTS Overheads'!M28</f>
        <v>0</v>
      </c>
      <c r="R30" s="53">
        <f>'CTS Overheads'!N28</f>
        <v>0</v>
      </c>
      <c r="S30" s="53">
        <f>'CTS Overheads'!O28</f>
        <v>0</v>
      </c>
      <c r="T30" s="52">
        <f t="shared" si="5"/>
        <v>825</v>
      </c>
      <c r="U30" s="54" t="b">
        <f>T30='CTS Overheads'!P28</f>
        <v>1</v>
      </c>
      <c r="X30" s="44"/>
    </row>
    <row r="31" spans="1:25" x14ac:dyDescent="0.2">
      <c r="A31" s="46">
        <f>$I$31*A21</f>
        <v>4731.5</v>
      </c>
      <c r="B31" s="46">
        <f>$I$31*B21</f>
        <v>89.5</v>
      </c>
      <c r="C31" s="46">
        <f>$I$31*C21</f>
        <v>179</v>
      </c>
      <c r="E31" s="44" t="s">
        <v>37</v>
      </c>
      <c r="G31" s="699" t="s">
        <v>53</v>
      </c>
      <c r="H31" s="53">
        <f>'CTS Overheads'!D29</f>
        <v>5000</v>
      </c>
      <c r="I31" s="53">
        <f>'CTS Overheads'!E29</f>
        <v>5000</v>
      </c>
      <c r="J31" s="53">
        <f>'CTS Overheads'!F29</f>
        <v>5000</v>
      </c>
      <c r="K31" s="53">
        <f>'CTS Overheads'!G29</f>
        <v>5000</v>
      </c>
      <c r="L31" s="53">
        <f>'CTS Overheads'!H29</f>
        <v>5000</v>
      </c>
      <c r="M31" s="53">
        <f>'CTS Overheads'!I29</f>
        <v>5000</v>
      </c>
      <c r="N31" s="53">
        <f>'CTS Overheads'!J29</f>
        <v>5000</v>
      </c>
      <c r="O31" s="53">
        <f>'CTS Overheads'!K29</f>
        <v>5000</v>
      </c>
      <c r="P31" s="53">
        <f>'CTS Overheads'!L29</f>
        <v>5000</v>
      </c>
      <c r="Q31" s="53">
        <f>'CTS Overheads'!M29</f>
        <v>5000</v>
      </c>
      <c r="R31" s="53">
        <f>'CTS Overheads'!N29</f>
        <v>5000</v>
      </c>
      <c r="S31" s="53">
        <f>'CTS Overheads'!O29</f>
        <v>5000</v>
      </c>
      <c r="T31" s="52">
        <f t="shared" si="5"/>
        <v>60000</v>
      </c>
      <c r="U31" s="54" t="b">
        <f>T31='CTS Overheads'!P29</f>
        <v>1</v>
      </c>
      <c r="V31" s="46"/>
      <c r="X31" s="44"/>
    </row>
    <row r="32" spans="1:25" x14ac:dyDescent="0.2">
      <c r="A32" s="46">
        <f>$I$32*A17</f>
        <v>6.8000000000000007</v>
      </c>
      <c r="B32" s="46">
        <f>$I$32*B17</f>
        <v>6.6000000000000005</v>
      </c>
      <c r="C32" s="46">
        <f>$I$32*C17</f>
        <v>6.6000000000000005</v>
      </c>
      <c r="E32" s="44" t="s">
        <v>42</v>
      </c>
      <c r="G32" s="202" t="s">
        <v>54</v>
      </c>
      <c r="H32" s="53">
        <f>'CTS Overheads'!D30</f>
        <v>20</v>
      </c>
      <c r="I32" s="53">
        <f>'CTS Overheads'!E30</f>
        <v>20</v>
      </c>
      <c r="J32" s="53">
        <f>'CTS Overheads'!F30</f>
        <v>20</v>
      </c>
      <c r="K32" s="53">
        <f>'CTS Overheads'!G30</f>
        <v>20</v>
      </c>
      <c r="L32" s="53">
        <f>'CTS Overheads'!H30</f>
        <v>20</v>
      </c>
      <c r="M32" s="53">
        <f>'CTS Overheads'!I30</f>
        <v>20</v>
      </c>
      <c r="N32" s="53">
        <f>'CTS Overheads'!J30</f>
        <v>20</v>
      </c>
      <c r="O32" s="53">
        <f>'CTS Overheads'!K30</f>
        <v>20</v>
      </c>
      <c r="P32" s="53">
        <f>'CTS Overheads'!L30</f>
        <v>20</v>
      </c>
      <c r="Q32" s="53">
        <f>'CTS Overheads'!M30</f>
        <v>20</v>
      </c>
      <c r="R32" s="53">
        <f>'CTS Overheads'!N30</f>
        <v>20</v>
      </c>
      <c r="S32" s="53">
        <f>'CTS Overheads'!O30</f>
        <v>20</v>
      </c>
      <c r="T32" s="52">
        <f t="shared" si="5"/>
        <v>240</v>
      </c>
      <c r="U32" s="54" t="b">
        <f>T32='CTS Overheads'!P30</f>
        <v>1</v>
      </c>
      <c r="X32" s="44"/>
    </row>
    <row r="33" spans="1:24" x14ac:dyDescent="0.2">
      <c r="A33" s="46">
        <f>$I$33*A17</f>
        <v>408.00000000000006</v>
      </c>
      <c r="B33" s="46">
        <f>$I$33*B17</f>
        <v>396</v>
      </c>
      <c r="C33" s="46">
        <f>$I$33*C17</f>
        <v>396</v>
      </c>
      <c r="E33" s="44" t="s">
        <v>42</v>
      </c>
      <c r="G33" s="202" t="s">
        <v>55</v>
      </c>
      <c r="H33" s="53">
        <f>'CTS Overheads'!D31</f>
        <v>1200</v>
      </c>
      <c r="I33" s="53">
        <f>'CTS Overheads'!E31</f>
        <v>1200</v>
      </c>
      <c r="J33" s="53">
        <f>'CTS Overheads'!F31</f>
        <v>1200</v>
      </c>
      <c r="K33" s="53">
        <f>'CTS Overheads'!G31</f>
        <v>1200</v>
      </c>
      <c r="L33" s="53">
        <f>'CTS Overheads'!H31</f>
        <v>1200</v>
      </c>
      <c r="M33" s="53">
        <f>'CTS Overheads'!I31</f>
        <v>1200</v>
      </c>
      <c r="N33" s="53">
        <f>'CTS Overheads'!J31</f>
        <v>1200</v>
      </c>
      <c r="O33" s="53">
        <f>'CTS Overheads'!K31</f>
        <v>1200</v>
      </c>
      <c r="P33" s="53">
        <f>'CTS Overheads'!L31</f>
        <v>1200</v>
      </c>
      <c r="Q33" s="53">
        <f>'CTS Overheads'!M31</f>
        <v>1200</v>
      </c>
      <c r="R33" s="53">
        <f>'CTS Overheads'!N31</f>
        <v>1200</v>
      </c>
      <c r="S33" s="53">
        <f>'CTS Overheads'!O31</f>
        <v>1200</v>
      </c>
      <c r="T33" s="52">
        <f t="shared" si="5"/>
        <v>14400</v>
      </c>
      <c r="U33" s="54" t="b">
        <f>T33='CTS Overheads'!P31</f>
        <v>1</v>
      </c>
      <c r="X33" s="44"/>
    </row>
    <row r="34" spans="1:24" x14ac:dyDescent="0.2">
      <c r="A34" s="46">
        <f>$I$34*A17</f>
        <v>76.474216666666678</v>
      </c>
      <c r="B34" s="46">
        <f>$I$34*B17</f>
        <v>74.224975000000001</v>
      </c>
      <c r="C34" s="46">
        <f>$I$34*C17</f>
        <v>74.224975000000001</v>
      </c>
      <c r="E34" s="44" t="s">
        <v>42</v>
      </c>
      <c r="G34" s="202" t="s">
        <v>56</v>
      </c>
      <c r="H34" s="53">
        <f>'CTS Overheads'!D32</f>
        <v>224.92416666666668</v>
      </c>
      <c r="I34" s="53">
        <f>'CTS Overheads'!E32</f>
        <v>224.92416666666668</v>
      </c>
      <c r="J34" s="53">
        <f>'CTS Overheads'!F32</f>
        <v>224.92416666666668</v>
      </c>
      <c r="K34" s="53">
        <f>'CTS Overheads'!G32</f>
        <v>224.92416666666668</v>
      </c>
      <c r="L34" s="53">
        <f>'CTS Overheads'!H32</f>
        <v>224.92416666666668</v>
      </c>
      <c r="M34" s="53">
        <f>'CTS Overheads'!I32</f>
        <v>224.92416666666668</v>
      </c>
      <c r="N34" s="53">
        <f>'CTS Overheads'!J32</f>
        <v>224.92416666666668</v>
      </c>
      <c r="O34" s="53">
        <f>'CTS Overheads'!K32</f>
        <v>224.92416666666668</v>
      </c>
      <c r="P34" s="53">
        <f>'CTS Overheads'!L32</f>
        <v>224.92416666666668</v>
      </c>
      <c r="Q34" s="53">
        <f>'CTS Overheads'!M32</f>
        <v>224.92416666666668</v>
      </c>
      <c r="R34" s="53">
        <f>'CTS Overheads'!N32</f>
        <v>224.92416666666668</v>
      </c>
      <c r="S34" s="53">
        <f>'CTS Overheads'!O32</f>
        <v>224.92416666666668</v>
      </c>
      <c r="T34" s="52">
        <f t="shared" si="5"/>
        <v>2699.09</v>
      </c>
      <c r="U34" s="54" t="b">
        <f>T34='CTS Overheads'!P32</f>
        <v>1</v>
      </c>
      <c r="X34" s="44"/>
    </row>
    <row r="35" spans="1:24" x14ac:dyDescent="0.2">
      <c r="A35" s="46">
        <f>$I$35*A17</f>
        <v>187</v>
      </c>
      <c r="B35" s="46">
        <f>$I$35*B17</f>
        <v>181.5</v>
      </c>
      <c r="C35" s="46">
        <f>$I$35*C17</f>
        <v>181.5</v>
      </c>
      <c r="E35" s="44" t="s">
        <v>42</v>
      </c>
      <c r="G35" s="202" t="s">
        <v>57</v>
      </c>
      <c r="H35" s="53">
        <f>'CTS Overheads'!D33</f>
        <v>300</v>
      </c>
      <c r="I35" s="53">
        <f>'CTS Overheads'!E33</f>
        <v>550</v>
      </c>
      <c r="J35" s="53">
        <f>'CTS Overheads'!F33</f>
        <v>300</v>
      </c>
      <c r="K35" s="53">
        <f>'CTS Overheads'!G33</f>
        <v>150</v>
      </c>
      <c r="L35" s="53">
        <f>'CTS Overheads'!H33</f>
        <v>150</v>
      </c>
      <c r="M35" s="53">
        <f>'CTS Overheads'!I33</f>
        <v>100</v>
      </c>
      <c r="N35" s="53">
        <f>'CTS Overheads'!J33</f>
        <v>50</v>
      </c>
      <c r="O35" s="53">
        <f>'CTS Overheads'!K33</f>
        <v>150</v>
      </c>
      <c r="P35" s="53">
        <f>'CTS Overheads'!L33</f>
        <v>150</v>
      </c>
      <c r="Q35" s="53">
        <f>'CTS Overheads'!M33</f>
        <v>100</v>
      </c>
      <c r="R35" s="53">
        <f>'CTS Overheads'!N33</f>
        <v>150</v>
      </c>
      <c r="S35" s="53">
        <f>'CTS Overheads'!O33</f>
        <v>100</v>
      </c>
      <c r="T35" s="52">
        <f t="shared" si="5"/>
        <v>2250</v>
      </c>
      <c r="U35" s="54" t="b">
        <f>T35='CTS Overheads'!P33</f>
        <v>1</v>
      </c>
      <c r="X35" s="44"/>
    </row>
    <row r="36" spans="1:24" x14ac:dyDescent="0.2">
      <c r="A36" s="46">
        <f>$I$36*A17</f>
        <v>0</v>
      </c>
      <c r="B36" s="46">
        <f>$I$36*B17</f>
        <v>0</v>
      </c>
      <c r="C36" s="46">
        <f>$I$36*C17</f>
        <v>0</v>
      </c>
      <c r="E36" s="44" t="s">
        <v>42</v>
      </c>
      <c r="G36" s="202" t="s">
        <v>58</v>
      </c>
      <c r="H36" s="53">
        <f>'CTS Overheads'!D34</f>
        <v>0</v>
      </c>
      <c r="I36" s="53">
        <f>'CTS Overheads'!E34</f>
        <v>0</v>
      </c>
      <c r="J36" s="53">
        <f>'CTS Overheads'!F34</f>
        <v>2741.81</v>
      </c>
      <c r="K36" s="53">
        <f>'CTS Overheads'!G34</f>
        <v>0</v>
      </c>
      <c r="L36" s="53">
        <f>'CTS Overheads'!H34</f>
        <v>0</v>
      </c>
      <c r="M36" s="53">
        <f>'CTS Overheads'!I34</f>
        <v>0</v>
      </c>
      <c r="N36" s="53">
        <f>'CTS Overheads'!J34</f>
        <v>0</v>
      </c>
      <c r="O36" s="53">
        <f>'CTS Overheads'!K34</f>
        <v>0</v>
      </c>
      <c r="P36" s="53">
        <f>'CTS Overheads'!L34</f>
        <v>0</v>
      </c>
      <c r="Q36" s="53">
        <f>'CTS Overheads'!M34</f>
        <v>0</v>
      </c>
      <c r="R36" s="53">
        <f>'CTS Overheads'!N34</f>
        <v>0</v>
      </c>
      <c r="S36" s="53">
        <f>'CTS Overheads'!O34</f>
        <v>0</v>
      </c>
      <c r="T36" s="52">
        <f t="shared" si="5"/>
        <v>2741.81</v>
      </c>
      <c r="U36" s="54" t="b">
        <f>T36='CTS Overheads'!P34</f>
        <v>1</v>
      </c>
      <c r="X36" s="44"/>
    </row>
    <row r="37" spans="1:24" x14ac:dyDescent="0.2">
      <c r="A37" s="205">
        <f>SUM(A23:A36)</f>
        <v>10535.127158367255</v>
      </c>
      <c r="B37" s="205">
        <f t="shared" ref="B37" si="6">SUM(B23:B36)</f>
        <v>6228.4682384328362</v>
      </c>
      <c r="C37" s="205">
        <f>SUM(C23:C36)</f>
        <v>4814.9831638059704</v>
      </c>
      <c r="G37" s="51" t="s">
        <v>59</v>
      </c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U37" s="54"/>
      <c r="X37" s="44"/>
    </row>
    <row r="38" spans="1:24" x14ac:dyDescent="0.2">
      <c r="A38" s="204">
        <f>$I$38*A17</f>
        <v>1160.9846833333334</v>
      </c>
      <c r="B38" s="204">
        <f>$I$38*B17</f>
        <v>1126.8380749999999</v>
      </c>
      <c r="C38" s="204">
        <f>$I$38*C17</f>
        <v>1126.8380749999999</v>
      </c>
      <c r="E38" s="44" t="s">
        <v>42</v>
      </c>
      <c r="G38" s="202" t="s">
        <v>60</v>
      </c>
      <c r="H38" s="187">
        <f>'CTS Overheads'!$A$40</f>
        <v>3414.6608333333329</v>
      </c>
      <c r="I38" s="187">
        <f>'CTS Overheads'!$A$40</f>
        <v>3414.6608333333329</v>
      </c>
      <c r="J38" s="187">
        <f>'CTS Overheads'!$A$40</f>
        <v>3414.6608333333329</v>
      </c>
      <c r="K38" s="187">
        <f>'CTS Overheads'!$A$40</f>
        <v>3414.6608333333329</v>
      </c>
      <c r="L38" s="187">
        <f>'CTS Overheads'!$A$40</f>
        <v>3414.6608333333329</v>
      </c>
      <c r="M38" s="187">
        <f>'CTS Overheads'!$A$40</f>
        <v>3414.6608333333329</v>
      </c>
      <c r="N38" s="187">
        <f>'CTS Overheads'!$A$40</f>
        <v>3414.6608333333329</v>
      </c>
      <c r="O38" s="187">
        <f>'CTS Overheads'!$A$40</f>
        <v>3414.6608333333329</v>
      </c>
      <c r="P38" s="187">
        <f>'CTS Overheads'!$A$40</f>
        <v>3414.6608333333329</v>
      </c>
      <c r="Q38" s="187">
        <f>'CTS Overheads'!$A$40</f>
        <v>3414.6608333333329</v>
      </c>
      <c r="R38" s="187">
        <f>'CTS Overheads'!$A$40</f>
        <v>3414.6608333333329</v>
      </c>
      <c r="S38" s="187">
        <f>'CTS Overheads'!$A$40</f>
        <v>3414.6608333333329</v>
      </c>
      <c r="T38" s="186">
        <f t="shared" si="5"/>
        <v>40975.929999999993</v>
      </c>
      <c r="U38" s="54" t="b">
        <f>T38=SUM('CTS Overheads'!P36:P40)</f>
        <v>1</v>
      </c>
      <c r="X38" s="44"/>
    </row>
    <row r="39" spans="1:24" x14ac:dyDescent="0.2">
      <c r="A39" s="204">
        <f>$I$39*A17</f>
        <v>35.785000000000004</v>
      </c>
      <c r="B39" s="204">
        <f>$I$39*B17</f>
        <v>34.732500000000002</v>
      </c>
      <c r="C39" s="204">
        <f>$I$39*C17</f>
        <v>34.732500000000002</v>
      </c>
      <c r="E39" s="44" t="s">
        <v>42</v>
      </c>
      <c r="G39" s="202" t="s">
        <v>61</v>
      </c>
      <c r="H39" s="187">
        <f>'CTS Overheads'!D41</f>
        <v>105.25</v>
      </c>
      <c r="I39" s="187">
        <f>'CTS Overheads'!E41</f>
        <v>105.25</v>
      </c>
      <c r="J39" s="187">
        <f>'CTS Overheads'!F41</f>
        <v>105.25</v>
      </c>
      <c r="K39" s="187">
        <f>'CTS Overheads'!G41</f>
        <v>105.25</v>
      </c>
      <c r="L39" s="187">
        <f>'CTS Overheads'!H41</f>
        <v>105.25</v>
      </c>
      <c r="M39" s="187">
        <f>'CTS Overheads'!I41</f>
        <v>105.25</v>
      </c>
      <c r="N39" s="187">
        <f>'CTS Overheads'!J41</f>
        <v>105.25</v>
      </c>
      <c r="O39" s="187">
        <f>'CTS Overheads'!K41</f>
        <v>105.25</v>
      </c>
      <c r="P39" s="187">
        <f>'CTS Overheads'!L41</f>
        <v>105.25</v>
      </c>
      <c r="Q39" s="187">
        <f>'CTS Overheads'!M41</f>
        <v>105.25</v>
      </c>
      <c r="R39" s="187">
        <f>'CTS Overheads'!N41</f>
        <v>105.25</v>
      </c>
      <c r="S39" s="187">
        <f>'CTS Overheads'!O41</f>
        <v>105.25</v>
      </c>
      <c r="T39" s="186">
        <f t="shared" si="5"/>
        <v>1263</v>
      </c>
      <c r="U39" s="54" t="b">
        <f>T39='CTS Overheads'!P41</f>
        <v>1</v>
      </c>
      <c r="X39" s="44"/>
    </row>
    <row r="40" spans="1:24" x14ac:dyDescent="0.2">
      <c r="A40" s="206">
        <f>SUM(A38:A39)</f>
        <v>1196.7696833333334</v>
      </c>
      <c r="B40" s="206">
        <f>SUM(B38:B39)</f>
        <v>1161.570575</v>
      </c>
      <c r="C40" s="206">
        <f>SUM(C38:C39)</f>
        <v>1161.570575</v>
      </c>
      <c r="G40" s="202"/>
      <c r="H40" s="187"/>
      <c r="I40" s="187"/>
      <c r="J40" s="187"/>
      <c r="K40" s="187"/>
      <c r="L40" s="187"/>
      <c r="M40" s="187"/>
      <c r="N40" s="187"/>
      <c r="O40" s="187"/>
      <c r="P40" s="187"/>
      <c r="Q40" s="187"/>
      <c r="R40" s="187"/>
      <c r="S40" s="187"/>
      <c r="T40" s="186"/>
      <c r="U40" s="54"/>
      <c r="X40" s="44"/>
    </row>
    <row r="41" spans="1:24" x14ac:dyDescent="0.2">
      <c r="A41" s="204">
        <f>$I$41*A17</f>
        <v>8718.9089999999997</v>
      </c>
      <c r="B41" s="204">
        <f>$I$41*B17</f>
        <v>8462.4704999999994</v>
      </c>
      <c r="C41" s="204">
        <f>$I$41*C17</f>
        <v>8462.4704999999994</v>
      </c>
      <c r="E41" s="44" t="s">
        <v>42</v>
      </c>
      <c r="G41" s="51" t="s">
        <v>62</v>
      </c>
      <c r="H41" s="53">
        <f>SUM('CTS Overheads'!D44:D48)</f>
        <v>4643.8500000000004</v>
      </c>
      <c r="I41" s="53">
        <f>SUM('CTS Overheads'!E44:E48)</f>
        <v>25643.85</v>
      </c>
      <c r="J41" s="53">
        <f>SUM('CTS Overheads'!F44:F48)</f>
        <v>4643.8500000000004</v>
      </c>
      <c r="K41" s="53">
        <f>SUM('CTS Overheads'!G44:G48)</f>
        <v>4643.8500000000004</v>
      </c>
      <c r="L41" s="53">
        <f>SUM('CTS Overheads'!H44:H48)</f>
        <v>4643.8500000000004</v>
      </c>
      <c r="M41" s="53">
        <f>SUM('CTS Overheads'!I44:I48)</f>
        <v>4643.8500000000004</v>
      </c>
      <c r="N41" s="53">
        <f>SUM('CTS Overheads'!J44:J48)</f>
        <v>4643.8500000000004</v>
      </c>
      <c r="O41" s="53">
        <f>SUM('CTS Overheads'!K44:K48)</f>
        <v>4643.8500000000004</v>
      </c>
      <c r="P41" s="53">
        <f>SUM('CTS Overheads'!L44:L48)</f>
        <v>4643.8500000000004</v>
      </c>
      <c r="Q41" s="53">
        <f>SUM('CTS Overheads'!M44:M48)</f>
        <v>4643.8500000000004</v>
      </c>
      <c r="R41" s="53">
        <f>SUM('CTS Overheads'!N44:N48)</f>
        <v>4643.8500000000004</v>
      </c>
      <c r="S41" s="53">
        <f>SUM('CTS Overheads'!O44:O48)</f>
        <v>4643.8500000000004</v>
      </c>
      <c r="T41" s="52">
        <f t="shared" si="5"/>
        <v>76726.2</v>
      </c>
      <c r="U41" s="54" t="b">
        <f>T41=SUM('CTS Overheads'!P44:P48)</f>
        <v>1</v>
      </c>
      <c r="X41" s="44"/>
    </row>
    <row r="42" spans="1:24" x14ac:dyDescent="0.2">
      <c r="A42" s="206">
        <f>SUM(A41)</f>
        <v>8718.9089999999997</v>
      </c>
      <c r="B42" s="206">
        <f>SUM(B41)</f>
        <v>8462.4704999999994</v>
      </c>
      <c r="C42" s="206">
        <f>SUM(C41)</f>
        <v>8462.4704999999994</v>
      </c>
      <c r="G42" s="51" t="s">
        <v>63</v>
      </c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U42" s="54"/>
      <c r="X42" s="44"/>
    </row>
    <row r="43" spans="1:24" x14ac:dyDescent="0.2">
      <c r="A43" s="204">
        <f>$I$43*A21</f>
        <v>189.26000000000002</v>
      </c>
      <c r="B43" s="204">
        <f>$I$43*B21</f>
        <v>3.58</v>
      </c>
      <c r="C43" s="204">
        <f>$I$43*C21</f>
        <v>7.16</v>
      </c>
      <c r="E43" s="44" t="s">
        <v>37</v>
      </c>
      <c r="G43" s="202" t="s">
        <v>64</v>
      </c>
      <c r="H43" s="53">
        <f>'CTS Overheads'!D50</f>
        <v>200</v>
      </c>
      <c r="I43" s="53">
        <f>'CTS Overheads'!E50</f>
        <v>200</v>
      </c>
      <c r="J43" s="53">
        <f>'CTS Overheads'!F50</f>
        <v>200</v>
      </c>
      <c r="K43" s="53">
        <f>'CTS Overheads'!G50</f>
        <v>200</v>
      </c>
      <c r="L43" s="53">
        <f>'CTS Overheads'!H50</f>
        <v>200</v>
      </c>
      <c r="M43" s="53">
        <f>'CTS Overheads'!I50</f>
        <v>200</v>
      </c>
      <c r="N43" s="53">
        <f>'CTS Overheads'!J50</f>
        <v>200</v>
      </c>
      <c r="O43" s="53">
        <f>'CTS Overheads'!K50</f>
        <v>200</v>
      </c>
      <c r="P43" s="53">
        <f>'CTS Overheads'!L50</f>
        <v>200</v>
      </c>
      <c r="Q43" s="53">
        <f>'CTS Overheads'!M50</f>
        <v>200</v>
      </c>
      <c r="R43" s="53">
        <f>'CTS Overheads'!N50</f>
        <v>200</v>
      </c>
      <c r="S43" s="53">
        <f>'CTS Overheads'!O50</f>
        <v>200</v>
      </c>
      <c r="T43" s="52">
        <f t="shared" si="5"/>
        <v>2400</v>
      </c>
      <c r="U43" s="54" t="b">
        <f>T43='CTS Overheads'!P50</f>
        <v>1</v>
      </c>
      <c r="X43" s="44"/>
    </row>
    <row r="44" spans="1:24" x14ac:dyDescent="0.2">
      <c r="A44" s="204">
        <f>$I$44*A17</f>
        <v>15.98</v>
      </c>
      <c r="B44" s="204">
        <f>$I$44*B17</f>
        <v>15.510000000000002</v>
      </c>
      <c r="C44" s="204">
        <f>$I$44*C17</f>
        <v>15.510000000000002</v>
      </c>
      <c r="E44" s="44" t="s">
        <v>42</v>
      </c>
      <c r="G44" s="202" t="s">
        <v>65</v>
      </c>
      <c r="H44" s="53">
        <f>'CTS Overheads'!D51+'CTS Overheads'!D52</f>
        <v>47</v>
      </c>
      <c r="I44" s="53">
        <f>'CTS Overheads'!E51+'CTS Overheads'!E52</f>
        <v>47</v>
      </c>
      <c r="J44" s="53">
        <f>'CTS Overheads'!F51+'CTS Overheads'!F52</f>
        <v>47</v>
      </c>
      <c r="K44" s="53">
        <f>'CTS Overheads'!G51+'CTS Overheads'!G52</f>
        <v>47</v>
      </c>
      <c r="L44" s="53">
        <f>'CTS Overheads'!H51+'CTS Overheads'!H52</f>
        <v>47</v>
      </c>
      <c r="M44" s="53">
        <f>'CTS Overheads'!I51+'CTS Overheads'!I52</f>
        <v>297</v>
      </c>
      <c r="N44" s="53">
        <f>'CTS Overheads'!J51+'CTS Overheads'!J52</f>
        <v>147</v>
      </c>
      <c r="O44" s="53">
        <f>'CTS Overheads'!K51+'CTS Overheads'!K52</f>
        <v>47</v>
      </c>
      <c r="P44" s="53">
        <f>'CTS Overheads'!L51+'CTS Overheads'!L52</f>
        <v>47</v>
      </c>
      <c r="Q44" s="53">
        <f>'CTS Overheads'!M51+'CTS Overheads'!M52</f>
        <v>47</v>
      </c>
      <c r="R44" s="53">
        <f>'CTS Overheads'!N51+'CTS Overheads'!N52</f>
        <v>47</v>
      </c>
      <c r="S44" s="53">
        <f>'CTS Overheads'!O51+'CTS Overheads'!O52</f>
        <v>47</v>
      </c>
      <c r="T44" s="52">
        <f t="shared" si="5"/>
        <v>914</v>
      </c>
      <c r="U44" s="54" t="b">
        <f>T44='CTS Overheads'!P52+'CTS Overheads'!P51</f>
        <v>1</v>
      </c>
      <c r="X44" s="44"/>
    </row>
    <row r="45" spans="1:24" x14ac:dyDescent="0.2">
      <c r="A45" s="204">
        <f>$I$45*A21</f>
        <v>189.26000000000002</v>
      </c>
      <c r="B45" s="204">
        <f>$I$45*B21</f>
        <v>3.58</v>
      </c>
      <c r="C45" s="204">
        <f>$I$45*C21</f>
        <v>7.16</v>
      </c>
      <c r="E45" s="44" t="s">
        <v>37</v>
      </c>
      <c r="G45" s="202" t="s">
        <v>66</v>
      </c>
      <c r="H45" s="53">
        <f>'CTS Overheads'!D53</f>
        <v>200</v>
      </c>
      <c r="I45" s="53">
        <f>'CTS Overheads'!E53</f>
        <v>200</v>
      </c>
      <c r="J45" s="53">
        <f>'CTS Overheads'!F53</f>
        <v>200</v>
      </c>
      <c r="K45" s="53">
        <f>'CTS Overheads'!G53</f>
        <v>200</v>
      </c>
      <c r="L45" s="53">
        <f>'CTS Overheads'!H53</f>
        <v>200</v>
      </c>
      <c r="M45" s="53">
        <f>'CTS Overheads'!I53</f>
        <v>200</v>
      </c>
      <c r="N45" s="53">
        <f>'CTS Overheads'!J53</f>
        <v>200</v>
      </c>
      <c r="O45" s="53">
        <f>'CTS Overheads'!K53</f>
        <v>200</v>
      </c>
      <c r="P45" s="53">
        <f>'CTS Overheads'!L53</f>
        <v>200</v>
      </c>
      <c r="Q45" s="53">
        <f>'CTS Overheads'!M53</f>
        <v>200</v>
      </c>
      <c r="R45" s="53">
        <f>'CTS Overheads'!N53</f>
        <v>200</v>
      </c>
      <c r="S45" s="53">
        <f>'CTS Overheads'!O53</f>
        <v>200</v>
      </c>
      <c r="T45" s="52">
        <f t="shared" si="5"/>
        <v>2400</v>
      </c>
      <c r="U45" s="54" t="b">
        <f>T45='CTS Overheads'!P53</f>
        <v>1</v>
      </c>
      <c r="X45" s="44"/>
    </row>
    <row r="46" spans="1:24" x14ac:dyDescent="0.2">
      <c r="A46" s="46">
        <f>$I$46*A21</f>
        <v>283.89</v>
      </c>
      <c r="B46" s="46">
        <f>$I$46*B21</f>
        <v>5.37</v>
      </c>
      <c r="C46" s="46">
        <f>$I$46*C21</f>
        <v>10.74</v>
      </c>
      <c r="E46" s="44" t="s">
        <v>37</v>
      </c>
      <c r="G46" s="202" t="s">
        <v>67</v>
      </c>
      <c r="H46" s="53">
        <f>'CTS Overheads'!D54</f>
        <v>300</v>
      </c>
      <c r="I46" s="53">
        <f>'CTS Overheads'!E54</f>
        <v>300</v>
      </c>
      <c r="J46" s="53">
        <f>'CTS Overheads'!F54</f>
        <v>300</v>
      </c>
      <c r="K46" s="53">
        <f>'CTS Overheads'!G54</f>
        <v>300</v>
      </c>
      <c r="L46" s="53">
        <f>'CTS Overheads'!H54</f>
        <v>300</v>
      </c>
      <c r="M46" s="53">
        <f>'CTS Overheads'!I54</f>
        <v>300</v>
      </c>
      <c r="N46" s="53">
        <f>'CTS Overheads'!J54</f>
        <v>300</v>
      </c>
      <c r="O46" s="53">
        <f>'CTS Overheads'!K54</f>
        <v>300</v>
      </c>
      <c r="P46" s="53">
        <f>'CTS Overheads'!L54</f>
        <v>300</v>
      </c>
      <c r="Q46" s="53">
        <f>'CTS Overheads'!M54</f>
        <v>300</v>
      </c>
      <c r="R46" s="53">
        <f>'CTS Overheads'!N54</f>
        <v>300</v>
      </c>
      <c r="S46" s="53">
        <f>'CTS Overheads'!O54</f>
        <v>300</v>
      </c>
      <c r="T46" s="52">
        <f t="shared" si="5"/>
        <v>3600</v>
      </c>
      <c r="U46" s="54" t="b">
        <f>T46='CTS Overheads'!P54</f>
        <v>1</v>
      </c>
      <c r="X46" s="44"/>
    </row>
    <row r="47" spans="1:24" x14ac:dyDescent="0.2">
      <c r="A47" s="46">
        <f>$I$47*A21</f>
        <v>189.26000000000002</v>
      </c>
      <c r="B47" s="46">
        <f>$I$47*B21</f>
        <v>3.58</v>
      </c>
      <c r="C47" s="46">
        <f>$I$47*C21</f>
        <v>7.16</v>
      </c>
      <c r="E47" s="44" t="s">
        <v>37</v>
      </c>
      <c r="G47" s="699" t="s">
        <v>68</v>
      </c>
      <c r="H47" s="53">
        <f>'CTS Overheads'!D55</f>
        <v>200</v>
      </c>
      <c r="I47" s="53">
        <f>'CTS Overheads'!E55</f>
        <v>200</v>
      </c>
      <c r="J47" s="53">
        <f>'CTS Overheads'!F55</f>
        <v>200</v>
      </c>
      <c r="K47" s="53">
        <f>'CTS Overheads'!G55</f>
        <v>200</v>
      </c>
      <c r="L47" s="53">
        <f>'CTS Overheads'!H55</f>
        <v>200</v>
      </c>
      <c r="M47" s="53">
        <f>'CTS Overheads'!I55</f>
        <v>200</v>
      </c>
      <c r="N47" s="53">
        <f>'CTS Overheads'!J55</f>
        <v>200</v>
      </c>
      <c r="O47" s="53">
        <f>'CTS Overheads'!K55</f>
        <v>200</v>
      </c>
      <c r="P47" s="53">
        <f>'CTS Overheads'!L55</f>
        <v>200</v>
      </c>
      <c r="Q47" s="53">
        <f>'CTS Overheads'!M55</f>
        <v>200</v>
      </c>
      <c r="R47" s="53">
        <f>'CTS Overheads'!N55</f>
        <v>200</v>
      </c>
      <c r="S47" s="53">
        <f>'CTS Overheads'!O55</f>
        <v>200</v>
      </c>
      <c r="T47" s="52">
        <f t="shared" si="5"/>
        <v>2400</v>
      </c>
      <c r="U47" s="54" t="b">
        <f>T47='CTS Overheads'!P55</f>
        <v>1</v>
      </c>
      <c r="X47" s="44"/>
    </row>
    <row r="48" spans="1:24" x14ac:dyDescent="0.2">
      <c r="A48" s="46">
        <f>$I$48*A17</f>
        <v>22.1</v>
      </c>
      <c r="B48" s="46">
        <f>$I$48*B17</f>
        <v>21.45</v>
      </c>
      <c r="C48" s="46">
        <f>$I$48*C17</f>
        <v>21.45</v>
      </c>
      <c r="E48" s="44" t="s">
        <v>42</v>
      </c>
      <c r="G48" s="699" t="s">
        <v>69</v>
      </c>
      <c r="H48" s="53">
        <f>'CTS Overheads'!D56</f>
        <v>65</v>
      </c>
      <c r="I48" s="53">
        <f>'CTS Overheads'!E56</f>
        <v>65</v>
      </c>
      <c r="J48" s="53">
        <f>'CTS Overheads'!F56</f>
        <v>65</v>
      </c>
      <c r="K48" s="53">
        <f>'CTS Overheads'!G56</f>
        <v>65</v>
      </c>
      <c r="L48" s="53">
        <f>'CTS Overheads'!H56</f>
        <v>65</v>
      </c>
      <c r="M48" s="53">
        <f>'CTS Overheads'!I56</f>
        <v>65</v>
      </c>
      <c r="N48" s="53">
        <f>'CTS Overheads'!J56</f>
        <v>65</v>
      </c>
      <c r="O48" s="53">
        <f>'CTS Overheads'!K56</f>
        <v>65</v>
      </c>
      <c r="P48" s="53">
        <f>'CTS Overheads'!L56</f>
        <v>65</v>
      </c>
      <c r="Q48" s="53">
        <f>'CTS Overheads'!M56</f>
        <v>65</v>
      </c>
      <c r="R48" s="53">
        <f>'CTS Overheads'!N56</f>
        <v>65</v>
      </c>
      <c r="S48" s="53">
        <f>'CTS Overheads'!O56</f>
        <v>65</v>
      </c>
      <c r="T48" s="52">
        <f t="shared" si="5"/>
        <v>780</v>
      </c>
      <c r="U48" s="54" t="b">
        <f>T48='CTS Overheads'!P56</f>
        <v>1</v>
      </c>
      <c r="X48" s="44"/>
    </row>
    <row r="49" spans="1:24" x14ac:dyDescent="0.2">
      <c r="A49" s="46">
        <f>$I$49*A17</f>
        <v>68.0</v>
      </c>
      <c r="B49" s="46">
        <f>$I$49*B17</f>
        <v>66.0</v>
      </c>
      <c r="C49" s="46">
        <f>$I$49*C17</f>
        <v>66.0</v>
      </c>
      <c r="E49" s="44" t="s">
        <v>42</v>
      </c>
      <c r="G49" s="202" t="s">
        <v>70</v>
      </c>
      <c r="H49" s="53">
        <f>'CTS Overheads'!D57</f>
        <v>200</v>
      </c>
      <c r="I49" s="53">
        <f>'CTS Overheads'!E57</f>
        <v>200</v>
      </c>
      <c r="J49" s="53">
        <f>'CTS Overheads'!F57</f>
        <v>200</v>
      </c>
      <c r="K49" s="53">
        <f>'CTS Overheads'!G57</f>
        <v>200</v>
      </c>
      <c r="L49" s="53">
        <f>'CTS Overheads'!H57</f>
        <v>200</v>
      </c>
      <c r="M49" s="53">
        <f>'CTS Overheads'!I57</f>
        <v>200</v>
      </c>
      <c r="N49" s="53">
        <f>'CTS Overheads'!J57</f>
        <v>200</v>
      </c>
      <c r="O49" s="53">
        <f>'CTS Overheads'!K57</f>
        <v>200</v>
      </c>
      <c r="P49" s="53">
        <f>'CTS Overheads'!L57</f>
        <v>200</v>
      </c>
      <c r="Q49" s="53">
        <f>'CTS Overheads'!M57</f>
        <v>200</v>
      </c>
      <c r="R49" s="53">
        <f>'CTS Overheads'!N57</f>
        <v>200</v>
      </c>
      <c r="S49" s="53">
        <f>'CTS Overheads'!O57</f>
        <v>200</v>
      </c>
      <c r="T49" s="52">
        <f t="shared" si="5"/>
        <v>2400</v>
      </c>
      <c r="U49" s="54" t="b">
        <f>T49='CTS Overheads'!P57</f>
        <v>1</v>
      </c>
      <c r="X49" s="44"/>
    </row>
    <row r="50" spans="1:24" x14ac:dyDescent="0.2">
      <c r="A50" s="46">
        <f>$I$50*A17</f>
        <v>93.5</v>
      </c>
      <c r="B50" s="46">
        <f>$I$50*B17</f>
        <v>90.75</v>
      </c>
      <c r="C50" s="46">
        <f>$I$50*C17</f>
        <v>90.75</v>
      </c>
      <c r="E50" s="44" t="s">
        <v>42</v>
      </c>
      <c r="G50" s="699" t="s">
        <v>71</v>
      </c>
      <c r="H50" s="53">
        <f>'CTS Overheads'!D58</f>
        <v>275</v>
      </c>
      <c r="I50" s="53">
        <f>'CTS Overheads'!E58</f>
        <v>275</v>
      </c>
      <c r="J50" s="53">
        <f>'CTS Overheads'!F58</f>
        <v>275</v>
      </c>
      <c r="K50" s="53">
        <f>'CTS Overheads'!G58</f>
        <v>275</v>
      </c>
      <c r="L50" s="53">
        <f>'CTS Overheads'!H58</f>
        <v>275</v>
      </c>
      <c r="M50" s="53">
        <f>'CTS Overheads'!I58</f>
        <v>275</v>
      </c>
      <c r="N50" s="53">
        <f>'CTS Overheads'!J58</f>
        <v>275</v>
      </c>
      <c r="O50" s="53">
        <f>'CTS Overheads'!K58</f>
        <v>275</v>
      </c>
      <c r="P50" s="53">
        <f>'CTS Overheads'!L58</f>
        <v>275</v>
      </c>
      <c r="Q50" s="53">
        <f>'CTS Overheads'!M58</f>
        <v>275</v>
      </c>
      <c r="R50" s="53">
        <f>'CTS Overheads'!N58</f>
        <v>275</v>
      </c>
      <c r="S50" s="53">
        <f>'CTS Overheads'!O58</f>
        <v>275</v>
      </c>
      <c r="T50" s="52">
        <f t="shared" si="5"/>
        <v>3300</v>
      </c>
      <c r="U50" s="54" t="b">
        <f>T50='CTS Overheads'!P58</f>
        <v>1</v>
      </c>
      <c r="X50" s="44"/>
    </row>
    <row r="51" spans="1:24" x14ac:dyDescent="0.2">
      <c r="A51" s="46">
        <f>$I$51*A21</f>
        <v>379.65555999999998</v>
      </c>
      <c r="B51" s="46">
        <f>$I$51*B21</f>
        <v>7.1814799999999996</v>
      </c>
      <c r="C51" s="46">
        <f>$I$51*C21</f>
        <v>14.362959999999999</v>
      </c>
      <c r="E51" s="44" t="s">
        <v>37</v>
      </c>
      <c r="G51" s="699" t="s">
        <v>72</v>
      </c>
      <c r="H51" s="53">
        <f>'CTS Overheads'!D59</f>
        <v>401.2</v>
      </c>
      <c r="I51" s="53">
        <f>'CTS Overheads'!E59</f>
        <v>401.2</v>
      </c>
      <c r="J51" s="53">
        <f>'CTS Overheads'!F59</f>
        <v>401.2</v>
      </c>
      <c r="K51" s="53">
        <f>'CTS Overheads'!G59</f>
        <v>401.2</v>
      </c>
      <c r="L51" s="53">
        <f>'CTS Overheads'!H59</f>
        <v>401.2</v>
      </c>
      <c r="M51" s="53">
        <f>'CTS Overheads'!I59</f>
        <v>401.2</v>
      </c>
      <c r="N51" s="53">
        <f>'CTS Overheads'!J59</f>
        <v>401.2</v>
      </c>
      <c r="O51" s="53">
        <f>'CTS Overheads'!K59</f>
        <v>401.2</v>
      </c>
      <c r="P51" s="53">
        <f>'CTS Overheads'!L59</f>
        <v>401.2</v>
      </c>
      <c r="Q51" s="53">
        <f>'CTS Overheads'!M59</f>
        <v>401.2</v>
      </c>
      <c r="R51" s="53">
        <f>'CTS Overheads'!N59</f>
        <v>401.2</v>
      </c>
      <c r="S51" s="53">
        <f>'CTS Overheads'!O59</f>
        <v>401.2</v>
      </c>
      <c r="T51" s="52">
        <f t="shared" si="5"/>
        <v>4814.3999999999987</v>
      </c>
      <c r="U51" s="54" t="b">
        <f>T51='CTS Overheads'!P59</f>
        <v>1</v>
      </c>
      <c r="X51" s="44"/>
    </row>
    <row r="52" spans="1:24" x14ac:dyDescent="0.2">
      <c r="A52" s="46">
        <f>$I$52*A21</f>
        <v>321.60005500000005</v>
      </c>
      <c r="B52" s="46">
        <f>$I$52*B21</f>
        <v>6.0833149999999998</v>
      </c>
      <c r="C52" s="46">
        <f>$I$52*C21</f>
        <v>12.16663</v>
      </c>
      <c r="E52" s="44" t="s">
        <v>37</v>
      </c>
      <c r="G52" s="202" t="s">
        <v>73</v>
      </c>
      <c r="H52" s="53">
        <f>'CTS Overheads'!D60</f>
        <v>339.85</v>
      </c>
      <c r="I52" s="53">
        <f>'CTS Overheads'!E60</f>
        <v>339.85</v>
      </c>
      <c r="J52" s="53">
        <f>'CTS Overheads'!F60</f>
        <v>339.85</v>
      </c>
      <c r="K52" s="53">
        <f>'CTS Overheads'!G60</f>
        <v>339.85</v>
      </c>
      <c r="L52" s="53">
        <f>'CTS Overheads'!H60</f>
        <v>339.85</v>
      </c>
      <c r="M52" s="53">
        <f>'CTS Overheads'!I60</f>
        <v>339.85</v>
      </c>
      <c r="N52" s="53">
        <f>'CTS Overheads'!J60</f>
        <v>339.85</v>
      </c>
      <c r="O52" s="53">
        <f>'CTS Overheads'!K60</f>
        <v>339.85</v>
      </c>
      <c r="P52" s="53">
        <f>'CTS Overheads'!L60</f>
        <v>339.85</v>
      </c>
      <c r="Q52" s="53">
        <f>'CTS Overheads'!M60</f>
        <v>339.85</v>
      </c>
      <c r="R52" s="53">
        <f>'CTS Overheads'!N60</f>
        <v>339.85</v>
      </c>
      <c r="S52" s="53">
        <f>'CTS Overheads'!O60</f>
        <v>339.85</v>
      </c>
      <c r="T52" s="52">
        <f t="shared" si="5"/>
        <v>4078.1999999999994</v>
      </c>
      <c r="U52" s="54" t="b">
        <f>T52='CTS Overheads'!P60</f>
        <v>1</v>
      </c>
      <c r="X52" s="44"/>
    </row>
    <row r="53" spans="1:24" x14ac:dyDescent="0.2">
      <c r="A53" s="46">
        <f>$I$53*A17</f>
        <v>4226.2</v>
      </c>
      <c r="B53" s="46">
        <f>$I$53*B17</f>
        <v>4101.9</v>
      </c>
      <c r="C53" s="46">
        <f>$I$53*C17</f>
        <v>4101.9</v>
      </c>
      <c r="E53" s="44" t="s">
        <v>42</v>
      </c>
      <c r="G53" s="699" t="s">
        <v>74</v>
      </c>
      <c r="H53" s="53">
        <f>'CTS Overheads'!D61</f>
        <v>12430</v>
      </c>
      <c r="I53" s="53">
        <f>'CTS Overheads'!E61</f>
        <v>12430</v>
      </c>
      <c r="J53" s="53">
        <f>'CTS Overheads'!F61</f>
        <v>12430</v>
      </c>
      <c r="K53" s="53">
        <f>'CTS Overheads'!G61</f>
        <v>12430</v>
      </c>
      <c r="L53" s="53">
        <f>'CTS Overheads'!H61</f>
        <v>12430</v>
      </c>
      <c r="M53" s="53">
        <f>'CTS Overheads'!I61</f>
        <v>12430</v>
      </c>
      <c r="N53" s="53">
        <f>'CTS Overheads'!J61</f>
        <v>12430</v>
      </c>
      <c r="O53" s="53">
        <f>'CTS Overheads'!K61</f>
        <v>12430</v>
      </c>
      <c r="P53" s="53">
        <f>'CTS Overheads'!L61</f>
        <v>12430</v>
      </c>
      <c r="Q53" s="53">
        <f>'CTS Overheads'!M61</f>
        <v>12430</v>
      </c>
      <c r="R53" s="53">
        <f>'CTS Overheads'!N61</f>
        <v>12430</v>
      </c>
      <c r="S53" s="53">
        <f>'CTS Overheads'!O61</f>
        <v>12430</v>
      </c>
      <c r="T53" s="52">
        <f t="shared" si="5"/>
        <v>149160</v>
      </c>
      <c r="U53" s="54" t="b">
        <f>T53='CTS Overheads'!P61</f>
        <v>1</v>
      </c>
      <c r="X53" s="44"/>
    </row>
    <row r="54" spans="1:24" x14ac:dyDescent="0.2">
      <c r="A54" s="46">
        <f>$I$54*A19</f>
        <v>3707.4626865671644</v>
      </c>
      <c r="B54" s="46">
        <f>$I$54*B19</f>
        <v>5355.2238805970146</v>
      </c>
      <c r="C54" s="46">
        <f>$I$54*C19</f>
        <v>137.31343283582089</v>
      </c>
      <c r="E54" s="44" t="s">
        <v>36</v>
      </c>
      <c r="G54" s="202" t="s">
        <v>75</v>
      </c>
      <c r="H54" s="53">
        <f>'CTS Overheads'!D62</f>
        <v>200</v>
      </c>
      <c r="I54" s="53">
        <f>'CTS Overheads'!E62</f>
        <v>9200</v>
      </c>
      <c r="J54" s="53">
        <f>'CTS Overheads'!F62</f>
        <v>200</v>
      </c>
      <c r="K54" s="53">
        <f>'CTS Overheads'!G62</f>
        <v>200</v>
      </c>
      <c r="L54" s="53">
        <f>'CTS Overheads'!H62</f>
        <v>200</v>
      </c>
      <c r="M54" s="53">
        <f>'CTS Overheads'!I62</f>
        <v>3000</v>
      </c>
      <c r="N54" s="53">
        <f>'CTS Overheads'!J62</f>
        <v>200</v>
      </c>
      <c r="O54" s="53">
        <f>'CTS Overheads'!K62</f>
        <v>200</v>
      </c>
      <c r="P54" s="53">
        <f>'CTS Overheads'!L62</f>
        <v>200</v>
      </c>
      <c r="Q54" s="53">
        <f>'CTS Overheads'!M62</f>
        <v>200</v>
      </c>
      <c r="R54" s="53">
        <f>'CTS Overheads'!N62</f>
        <v>200</v>
      </c>
      <c r="S54" s="53">
        <f>'CTS Overheads'!O62</f>
        <v>200</v>
      </c>
      <c r="T54" s="52">
        <f t="shared" si="5"/>
        <v>14200</v>
      </c>
      <c r="U54" s="54" t="b">
        <f>T54='CTS Overheads'!P62</f>
        <v>1</v>
      </c>
      <c r="X54" s="44"/>
    </row>
    <row r="55" spans="1:24" x14ac:dyDescent="0.2">
      <c r="A55" s="46">
        <f>$I$55*A17</f>
        <v>170</v>
      </c>
      <c r="B55" s="46">
        <f>$I$55*B17</f>
        <v>165</v>
      </c>
      <c r="C55" s="46">
        <f>$I$55*C17</f>
        <v>165</v>
      </c>
      <c r="E55" s="44" t="s">
        <v>42</v>
      </c>
      <c r="G55" s="202" t="s">
        <v>76</v>
      </c>
      <c r="H55" s="53">
        <f>'CTS Overheads'!D63</f>
        <v>500</v>
      </c>
      <c r="I55" s="53">
        <f>'CTS Overheads'!E63</f>
        <v>500</v>
      </c>
      <c r="J55" s="53">
        <f>'CTS Overheads'!F63</f>
        <v>8500</v>
      </c>
      <c r="K55" s="53">
        <f>'CTS Overheads'!G63</f>
        <v>500</v>
      </c>
      <c r="L55" s="53">
        <f>'CTS Overheads'!H63</f>
        <v>500</v>
      </c>
      <c r="M55" s="53">
        <f>'CTS Overheads'!I63</f>
        <v>5000</v>
      </c>
      <c r="N55" s="53">
        <f>'CTS Overheads'!J63</f>
        <v>500</v>
      </c>
      <c r="O55" s="53">
        <f>'CTS Overheads'!K63</f>
        <v>500</v>
      </c>
      <c r="P55" s="53">
        <f>'CTS Overheads'!L63</f>
        <v>500</v>
      </c>
      <c r="Q55" s="53">
        <f>'CTS Overheads'!M63</f>
        <v>500</v>
      </c>
      <c r="R55" s="53">
        <f>'CTS Overheads'!N63</f>
        <v>500</v>
      </c>
      <c r="S55" s="53">
        <f>'CTS Overheads'!O63</f>
        <v>500</v>
      </c>
      <c r="T55" s="52">
        <f t="shared" si="5"/>
        <v>18500</v>
      </c>
      <c r="U55" s="54" t="b">
        <f>T55='CTS Overheads'!P63</f>
        <v>1</v>
      </c>
      <c r="X55" s="44"/>
    </row>
    <row r="56" spans="1:24" x14ac:dyDescent="0.2">
      <c r="A56" s="206">
        <f>SUM(A43:A55)</f>
        <v>10777.653674701494</v>
      </c>
      <c r="B56" s="206">
        <f>SUM(B43:B55)</f>
        <v>12985.586436791044</v>
      </c>
      <c r="C56" s="206">
        <f>SUM(C43:C55)</f>
        <v>594.80988850746269</v>
      </c>
      <c r="G56" s="51" t="s">
        <v>77</v>
      </c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U56" s="54"/>
      <c r="X56" s="44"/>
    </row>
    <row r="57" spans="1:24" x14ac:dyDescent="0.2">
      <c r="A57" s="204">
        <f>$I$57*A19</f>
        <v>458.26650268656783</v>
      </c>
      <c r="B57" s="204">
        <f>$I$57*B19</f>
        <v>661.94050388059793</v>
      </c>
      <c r="C57" s="204">
        <f>$I$57*C19</f>
        <v>16.972833432835845</v>
      </c>
      <c r="E57" s="44" t="s">
        <v>36</v>
      </c>
      <c r="G57" s="51" t="s">
        <v>78</v>
      </c>
      <c r="H57" s="53">
        <f>'CTS Overheads'!D64+'CTS Overheads'!D67</f>
        <v>797.48984000000121</v>
      </c>
      <c r="I57" s="53">
        <f>'CTS Overheads'!E64+'CTS Overheads'!E67</f>
        <v>1137.1798400000016</v>
      </c>
      <c r="J57" s="53">
        <f>'CTS Overheads'!F64+'CTS Overheads'!F67</f>
        <v>1137.1798400000016</v>
      </c>
      <c r="K57" s="53">
        <f>'CTS Overheads'!G64+'CTS Overheads'!G67</f>
        <v>1137.1798400000016</v>
      </c>
      <c r="L57" s="53">
        <f>'CTS Overheads'!H64+'CTS Overheads'!H67</f>
        <v>1137.1798400000016</v>
      </c>
      <c r="M57" s="53">
        <f>'CTS Overheads'!I64+'CTS Overheads'!I67</f>
        <v>1137.1798400000016</v>
      </c>
      <c r="N57" s="53">
        <f>'CTS Overheads'!J64+'CTS Overheads'!J67</f>
        <v>1137.1798400000016</v>
      </c>
      <c r="O57" s="53">
        <f>'CTS Overheads'!K64+'CTS Overheads'!K67</f>
        <v>1137.1798400000016</v>
      </c>
      <c r="P57" s="53">
        <f>'CTS Overheads'!L64+'CTS Overheads'!L67</f>
        <v>1137.1798400000016</v>
      </c>
      <c r="Q57" s="53">
        <f>'CTS Overheads'!M64+'CTS Overheads'!M67</f>
        <v>1137.1798400000016</v>
      </c>
      <c r="R57" s="53">
        <f>'CTS Overheads'!N64+'CTS Overheads'!N67</f>
        <v>1137.1798400000016</v>
      </c>
      <c r="S57" s="53">
        <f>'CTS Overheads'!O64+'CTS Overheads'!O67</f>
        <v>1137.1798400000016</v>
      </c>
      <c r="T57" s="52">
        <f t="shared" si="5"/>
        <v>13306.468080000017</v>
      </c>
      <c r="U57" s="661" t="b">
        <f>T57='CTS Overheads'!P64+'CTS Overheads'!P67</f>
        <v>1</v>
      </c>
      <c r="X57" s="44"/>
    </row>
    <row r="58" spans="1:24" x14ac:dyDescent="0.2">
      <c r="A58" s="204">
        <f>$I$58*A19</f>
        <v>2341.6708029850756</v>
      </c>
      <c r="B58" s="204">
        <f>$I$58*B19</f>
        <v>3382.413382089554</v>
      </c>
      <c r="C58" s="204">
        <f>$I$58*C19</f>
        <v>86.72854825870651</v>
      </c>
      <c r="E58" s="44" t="s">
        <v>36</v>
      </c>
      <c r="G58" s="51" t="s">
        <v>79</v>
      </c>
      <c r="H58" s="53">
        <f>'CTS Overheads'!D65+'CTS Overheads'!D66</f>
        <v>5810.8127333333359</v>
      </c>
      <c r="I58" s="53">
        <f>'CTS Overheads'!E65+'CTS Overheads'!E66</f>
        <v>5810.8127333333359</v>
      </c>
      <c r="J58" s="53">
        <f>'CTS Overheads'!F65+'CTS Overheads'!F66</f>
        <v>5810.8127333333359</v>
      </c>
      <c r="K58" s="53">
        <f>'CTS Overheads'!G65+'CTS Overheads'!G66</f>
        <v>5810.8127333333359</v>
      </c>
      <c r="L58" s="53">
        <f>'CTS Overheads'!H65+'CTS Overheads'!H66</f>
        <v>5810.8127333333359</v>
      </c>
      <c r="M58" s="53">
        <f>'CTS Overheads'!I65+'CTS Overheads'!I66</f>
        <v>5810.8127333333359</v>
      </c>
      <c r="N58" s="53">
        <f>'CTS Overheads'!J65+'CTS Overheads'!J66</f>
        <v>5810.8127333333359</v>
      </c>
      <c r="O58" s="53">
        <f>'CTS Overheads'!K65+'CTS Overheads'!K66</f>
        <v>5810.8127333333359</v>
      </c>
      <c r="P58" s="53">
        <f>'CTS Overheads'!L65+'CTS Overheads'!L66</f>
        <v>5810.8127333333359</v>
      </c>
      <c r="Q58" s="53">
        <f>'CTS Overheads'!M65+'CTS Overheads'!M66</f>
        <v>5810.8127333333359</v>
      </c>
      <c r="R58" s="53">
        <f>'CTS Overheads'!N65+'CTS Overheads'!N66</f>
        <v>5810.8127333333359</v>
      </c>
      <c r="S58" s="53">
        <f>'CTS Overheads'!O65+'CTS Overheads'!O66</f>
        <v>5810.8127333333359</v>
      </c>
      <c r="T58" s="52">
        <f>ROUND(SUM(H58:S58),2)</f>
        <v>69729.75</v>
      </c>
      <c r="U58" s="661" t="b">
        <f>T58=ROUND('CTS Overheads'!P65+'CTS Overheads'!P66,2)</f>
        <v>1</v>
      </c>
      <c r="X58" s="44"/>
    </row>
    <row r="59" spans="1:24" x14ac:dyDescent="0.2">
      <c r="A59" s="204">
        <f>$I$59*A19</f>
        <v>2919.9032752971184</v>
      </c>
      <c r="B59" s="204">
        <f>$I$59*B19</f>
        <v>4217.6380643180601</v>
      </c>
      <c r="C59" s="204">
        <f>$I$59*C19</f>
        <v>108.14456575174512</v>
      </c>
      <c r="E59" s="44" t="s">
        <v>36</v>
      </c>
      <c r="G59" s="51" t="s">
        <v>80</v>
      </c>
      <c r="H59" s="53">
        <f>'CTS Overheads'!D68+'CTS Overheads'!D69</f>
        <v>7875.2584022538458</v>
      </c>
      <c r="I59" s="53">
        <f>'CTS Overheads'!E68+'CTS Overheads'!E69</f>
        <v>7245.6859053669232</v>
      </c>
      <c r="J59" s="53">
        <f>'CTS Overheads'!F68+'CTS Overheads'!F69</f>
        <v>7758.8504650901541</v>
      </c>
      <c r="K59" s="53">
        <f>'CTS Overheads'!G68+'CTS Overheads'!G69</f>
        <v>7431.0352384061553</v>
      </c>
      <c r="L59" s="53">
        <f>'CTS Overheads'!H68+'CTS Overheads'!H69</f>
        <v>7029.9861378692312</v>
      </c>
      <c r="M59" s="53">
        <f>'CTS Overheads'!I68+'CTS Overheads'!I69</f>
        <v>7633.9184022816935</v>
      </c>
      <c r="N59" s="53">
        <f>'CTS Overheads'!J68+'CTS Overheads'!J69</f>
        <v>6565.8466654352305</v>
      </c>
      <c r="O59" s="53">
        <f>'CTS Overheads'!K68+'CTS Overheads'!K69</f>
        <v>7035.6973173692313</v>
      </c>
      <c r="P59" s="53">
        <f>'CTS Overheads'!L68+'CTS Overheads'!L69</f>
        <v>7849.7881331561548</v>
      </c>
      <c r="Q59" s="53">
        <f>'CTS Overheads'!M68+'CTS Overheads'!M69</f>
        <v>7161.0550991192304</v>
      </c>
      <c r="R59" s="53">
        <f>'CTS Overheads'!N68+'CTS Overheads'!N69</f>
        <v>7804.8135225456917</v>
      </c>
      <c r="S59" s="53">
        <f>'CTS Overheads'!O68+'CTS Overheads'!O69</f>
        <v>6766.5352841376925</v>
      </c>
      <c r="T59" s="52">
        <f t="shared" si="5"/>
        <v>88158.470573031227</v>
      </c>
      <c r="U59" s="54" t="b">
        <f>T59='CTS Overheads'!P68+'CTS Overheads'!P69</f>
        <v>1</v>
      </c>
      <c r="X59" s="44"/>
    </row>
    <row r="60" spans="1:24" x14ac:dyDescent="0.2">
      <c r="A60" s="46">
        <f>$I$60*A21</f>
        <v>94.63000000000001</v>
      </c>
      <c r="B60" s="46">
        <f>$I$60*B21</f>
        <v>1.79</v>
      </c>
      <c r="C60" s="46">
        <f>$I$60*C21</f>
        <v>3.58</v>
      </c>
      <c r="E60" s="44" t="s">
        <v>37</v>
      </c>
      <c r="G60" s="51" t="s">
        <v>81</v>
      </c>
      <c r="H60" s="53">
        <f>'CTS Overheads'!D70+'CTS Overheads'!D71</f>
        <v>100</v>
      </c>
      <c r="I60" s="53">
        <f>'CTS Overheads'!E70+'CTS Overheads'!E71</f>
        <v>100</v>
      </c>
      <c r="J60" s="53">
        <f>'CTS Overheads'!F70+'CTS Overheads'!F71</f>
        <v>665</v>
      </c>
      <c r="K60" s="53">
        <f>'CTS Overheads'!G70+'CTS Overheads'!G71</f>
        <v>200</v>
      </c>
      <c r="L60" s="53">
        <f>'CTS Overheads'!H70+'CTS Overheads'!H71</f>
        <v>100</v>
      </c>
      <c r="M60" s="53">
        <f>'CTS Overheads'!I70+'CTS Overheads'!I71</f>
        <v>665</v>
      </c>
      <c r="N60" s="53">
        <f>'CTS Overheads'!J70+'CTS Overheads'!J71</f>
        <v>100</v>
      </c>
      <c r="O60" s="53">
        <f>'CTS Overheads'!K70+'CTS Overheads'!K71</f>
        <v>100</v>
      </c>
      <c r="P60" s="53">
        <f>'CTS Overheads'!L70+'CTS Overheads'!L71</f>
        <v>665</v>
      </c>
      <c r="Q60" s="53">
        <f>'CTS Overheads'!M70+'CTS Overheads'!M71</f>
        <v>100</v>
      </c>
      <c r="R60" s="53">
        <f>'CTS Overheads'!N70+'CTS Overheads'!N71</f>
        <v>100</v>
      </c>
      <c r="S60" s="53">
        <f>'CTS Overheads'!O70+'CTS Overheads'!O71</f>
        <v>100</v>
      </c>
      <c r="T60" s="52">
        <f t="shared" si="5"/>
        <v>2995</v>
      </c>
      <c r="U60" s="54" t="b">
        <f>T60='CTS Overheads'!P70+'CTS Overheads'!P71</f>
        <v>1</v>
      </c>
      <c r="X60" s="44"/>
    </row>
    <row r="61" spans="1:24" x14ac:dyDescent="0.2">
      <c r="A61" s="46">
        <f>$I$61*A19</f>
        <v>2014.9253731343283</v>
      </c>
      <c r="B61" s="46">
        <f>$I$61*B19</f>
        <v>2910.4477611940301</v>
      </c>
      <c r="C61" s="46">
        <f>$I$61*C19</f>
        <v>74.626865671641795</v>
      </c>
      <c r="E61" s="44" t="s">
        <v>36</v>
      </c>
      <c r="G61" s="202" t="s">
        <v>82</v>
      </c>
      <c r="H61" s="53">
        <f>'CTS Overheads'!D72</f>
        <v>500</v>
      </c>
      <c r="I61" s="53">
        <f>'CTS Overheads'!E72</f>
        <v>5000</v>
      </c>
      <c r="J61" s="53">
        <f>'CTS Overheads'!F72</f>
        <v>500</v>
      </c>
      <c r="K61" s="53">
        <f>'CTS Overheads'!G72</f>
        <v>500</v>
      </c>
      <c r="L61" s="53">
        <f>'CTS Overheads'!H72</f>
        <v>500</v>
      </c>
      <c r="M61" s="53">
        <f>'CTS Overheads'!I72</f>
        <v>6500</v>
      </c>
      <c r="N61" s="53">
        <f>'CTS Overheads'!J72</f>
        <v>500</v>
      </c>
      <c r="O61" s="53">
        <f>'CTS Overheads'!K72</f>
        <v>500</v>
      </c>
      <c r="P61" s="53">
        <f>'CTS Overheads'!L72</f>
        <v>500</v>
      </c>
      <c r="Q61" s="53">
        <f>'CTS Overheads'!M72</f>
        <v>500</v>
      </c>
      <c r="R61" s="53">
        <f>'CTS Overheads'!N72</f>
        <v>500</v>
      </c>
      <c r="S61" s="53">
        <f>'CTS Overheads'!O72</f>
        <v>500</v>
      </c>
      <c r="T61" s="52">
        <f t="shared" si="5"/>
        <v>16500</v>
      </c>
      <c r="U61" s="54" t="b">
        <f>T61='CTS Overheads'!P72</f>
        <v>1</v>
      </c>
      <c r="X61" s="44"/>
    </row>
    <row r="62" spans="1:24" x14ac:dyDescent="0.2">
      <c r="A62" s="204">
        <f t="shared" ref="A62:A67" si="7">I62*$A$19</f>
        <v>3242.6100949970146</v>
      </c>
      <c r="B62" s="204">
        <f t="shared" ref="B62:B67" si="8">I62*$B$19</f>
        <v>4683.7701372179108</v>
      </c>
      <c r="C62" s="204">
        <f t="shared" ref="C62:C67" si="9">I62*$C$19</f>
        <v>120.09667018507461</v>
      </c>
      <c r="E62" s="44" t="s">
        <v>36</v>
      </c>
      <c r="G62" s="202" t="s">
        <v>83</v>
      </c>
      <c r="H62" s="53">
        <f>'CTS Overheads'!D73</f>
        <v>8826.3442112000012</v>
      </c>
      <c r="I62" s="53">
        <f>'CTS Overheads'!E73</f>
        <v>8046.4769023999997</v>
      </c>
      <c r="J62" s="53">
        <f>'CTS Overheads'!F73</f>
        <v>8626.9055926399997</v>
      </c>
      <c r="K62" s="53">
        <f>'CTS Overheads'!G73</f>
        <v>7487.6802199040003</v>
      </c>
      <c r="L62" s="53">
        <f>'CTS Overheads'!H73</f>
        <v>7010.8174726400002</v>
      </c>
      <c r="M62" s="53">
        <f>'CTS Overheads'!I73</f>
        <v>5580.229230848</v>
      </c>
      <c r="N62" s="53">
        <f>'CTS Overheads'!J73</f>
        <v>7487.6802199040003</v>
      </c>
      <c r="O62" s="53">
        <f>'CTS Overheads'!K73</f>
        <v>7010.8174726400002</v>
      </c>
      <c r="P62" s="53">
        <f>'CTS Overheads'!L73</f>
        <v>7487.6802199040003</v>
      </c>
      <c r="Q62" s="53">
        <f>'CTS Overheads'!M73</f>
        <v>7010.8174726400002</v>
      </c>
      <c r="R62" s="53">
        <f>'CTS Overheads'!N73</f>
        <v>7487.6802199040003</v>
      </c>
      <c r="S62" s="53">
        <f>'CTS Overheads'!O73</f>
        <v>7249.2488462719994</v>
      </c>
      <c r="T62" s="52">
        <f t="shared" si="5"/>
        <v>89312.378080896015</v>
      </c>
      <c r="U62" s="54" t="b">
        <f>T62='CTS Overheads'!P73</f>
        <v>1</v>
      </c>
      <c r="X62" s="44"/>
    </row>
    <row r="63" spans="1:24" x14ac:dyDescent="0.2">
      <c r="A63" s="204">
        <f t="shared" si="7"/>
        <v>19741.859000597015</v>
      </c>
      <c r="B63" s="46">
        <f t="shared" si="8"/>
        <v>28516.018556417912</v>
      </c>
      <c r="C63" s="46">
        <f t="shared" si="9"/>
        <v>731.17996298507467</v>
      </c>
      <c r="E63" s="44" t="s">
        <v>36</v>
      </c>
      <c r="G63" s="202" t="s">
        <v>84</v>
      </c>
      <c r="H63" s="53">
        <f>'CTS Overheads'!D74</f>
        <v>55487.951760000004</v>
      </c>
      <c r="I63" s="53">
        <f>'CTS Overheads'!E74</f>
        <v>48989.057520000002</v>
      </c>
      <c r="J63" s="53">
        <f>'CTS Overheads'!F74</f>
        <v>53825.963272000001</v>
      </c>
      <c r="K63" s="53">
        <f>'CTS Overheads'!G74</f>
        <v>44332.418499200001</v>
      </c>
      <c r="L63" s="53">
        <f>'CTS Overheads'!H74</f>
        <v>40358.562272000003</v>
      </c>
      <c r="M63" s="53">
        <f>'CTS Overheads'!I74</f>
        <v>28436.993590400001</v>
      </c>
      <c r="N63" s="53">
        <f>'CTS Overheads'!J74</f>
        <v>44332.418499200001</v>
      </c>
      <c r="O63" s="53">
        <f>'CTS Overheads'!K74</f>
        <v>40358.562272000003</v>
      </c>
      <c r="P63" s="53">
        <f>'CTS Overheads'!L74</f>
        <v>44332.418499200001</v>
      </c>
      <c r="Q63" s="53">
        <f>'CTS Overheads'!M74</f>
        <v>40358.562272000003</v>
      </c>
      <c r="R63" s="53">
        <f>'CTS Overheads'!N74</f>
        <v>44332.418499200001</v>
      </c>
      <c r="S63" s="53">
        <f>'CTS Overheads'!O74</f>
        <v>42345.490385599995</v>
      </c>
      <c r="T63" s="52">
        <f t="shared" si="5"/>
        <v>527490.81734080007</v>
      </c>
      <c r="U63" s="54" t="b">
        <f>T63='CTS Overheads'!P74</f>
        <v>1</v>
      </c>
      <c r="X63" s="44"/>
    </row>
    <row r="64" spans="1:24" x14ac:dyDescent="0.2">
      <c r="A64" s="204">
        <f t="shared" si="7"/>
        <v>13.057362227324912</v>
      </c>
      <c r="B64" s="46">
        <f t="shared" si="8"/>
        <v>18.860634328358209</v>
      </c>
      <c r="C64" s="46">
        <f t="shared" si="9"/>
        <v>0.48360600841944118</v>
      </c>
      <c r="E64" s="44" t="s">
        <v>36</v>
      </c>
      <c r="G64" s="202" t="s">
        <v>85</v>
      </c>
      <c r="H64" s="53">
        <f>'CTS Overheads'!D75</f>
        <v>32.401602564102561</v>
      </c>
      <c r="I64" s="53">
        <f>'CTS Overheads'!E75</f>
        <v>32.401602564102561</v>
      </c>
      <c r="J64" s="53">
        <f>'CTS Overheads'!F75</f>
        <v>32.401602564102561</v>
      </c>
      <c r="K64" s="53">
        <f>'CTS Overheads'!G75</f>
        <v>32.401602564102561</v>
      </c>
      <c r="L64" s="53">
        <f>'CTS Overheads'!H75</f>
        <v>32.401602564102561</v>
      </c>
      <c r="M64" s="53">
        <f>'CTS Overheads'!I75</f>
        <v>32.401602564102561</v>
      </c>
      <c r="N64" s="53">
        <f>'CTS Overheads'!J75</f>
        <v>32.401602564102561</v>
      </c>
      <c r="O64" s="53">
        <f>'CTS Overheads'!K75</f>
        <v>32.401602564102561</v>
      </c>
      <c r="P64" s="53">
        <f>'CTS Overheads'!L75</f>
        <v>32.401602564102561</v>
      </c>
      <c r="Q64" s="53">
        <f>'CTS Overheads'!M75</f>
        <v>32.401602564102561</v>
      </c>
      <c r="R64" s="53">
        <f>'CTS Overheads'!N75</f>
        <v>32.401602564102561</v>
      </c>
      <c r="S64" s="53">
        <f>'CTS Overheads'!O75</f>
        <v>32.401602564102561</v>
      </c>
      <c r="T64" s="52">
        <f t="shared" si="5"/>
        <v>388.81923076923084</v>
      </c>
      <c r="U64" s="54" t="b">
        <f>T64='CTS Overheads'!P75</f>
        <v>1</v>
      </c>
      <c r="X64" s="44"/>
    </row>
    <row r="65" spans="1:43" x14ac:dyDescent="0.2">
      <c r="A65" s="204">
        <f t="shared" si="7"/>
        <v>429.57906716417904</v>
      </c>
      <c r="B65" s="46">
        <f t="shared" si="8"/>
        <v>620.50309701492529</v>
      </c>
      <c r="C65" s="46">
        <f t="shared" si="9"/>
        <v>15.91033582089552</v>
      </c>
      <c r="E65" s="44" t="s">
        <v>36</v>
      </c>
      <c r="G65" s="202" t="s">
        <v>86</v>
      </c>
      <c r="H65" s="53">
        <f>SUM('CTS Overheads'!D76:D79)</f>
        <v>1065.9924999999998</v>
      </c>
      <c r="I65" s="53">
        <f>SUM('CTS Overheads'!E76:E79)</f>
        <v>1065.9924999999998</v>
      </c>
      <c r="J65" s="53">
        <f>SUM('CTS Overheads'!F76:F79)</f>
        <v>1065.9924999999998</v>
      </c>
      <c r="K65" s="53">
        <f>SUM('CTS Overheads'!G76:G79)</f>
        <v>1065.9924999999998</v>
      </c>
      <c r="L65" s="53">
        <f>SUM('CTS Overheads'!H76:H79)</f>
        <v>1065.9924999999998</v>
      </c>
      <c r="M65" s="53">
        <f>SUM('CTS Overheads'!I76:I79)</f>
        <v>1065.9924999999998</v>
      </c>
      <c r="N65" s="53">
        <f>SUM('CTS Overheads'!J76:J79)</f>
        <v>1065.9924999999998</v>
      </c>
      <c r="O65" s="53">
        <f>SUM('CTS Overheads'!K76:K79)</f>
        <v>1065.9924999999998</v>
      </c>
      <c r="P65" s="53">
        <f>SUM('CTS Overheads'!L76:L79)</f>
        <v>1065.9924999999998</v>
      </c>
      <c r="Q65" s="53">
        <f>SUM('CTS Overheads'!M76:M79)</f>
        <v>1065.9924999999998</v>
      </c>
      <c r="R65" s="53">
        <f>SUM('CTS Overheads'!N76:N79)</f>
        <v>1065.9924999999998</v>
      </c>
      <c r="S65" s="53">
        <f>SUM('CTS Overheads'!O76:O79)</f>
        <v>1065.9924999999998</v>
      </c>
      <c r="T65" s="52">
        <f t="shared" si="5"/>
        <v>12791.910000000002</v>
      </c>
      <c r="U65" s="54" t="b">
        <f>T65=(SUM('CTS Overheads'!P76:P79))</f>
        <v>1</v>
      </c>
      <c r="X65" s="44"/>
    </row>
    <row r="66" spans="1:43" x14ac:dyDescent="0.2">
      <c r="A66" s="204">
        <f t="shared" si="7"/>
        <v>302.23880597014926</v>
      </c>
      <c r="B66" s="46">
        <f t="shared" si="8"/>
        <v>436.56716417910451</v>
      </c>
      <c r="C66" s="46">
        <f t="shared" si="9"/>
        <v>11.194029850746269</v>
      </c>
      <c r="E66" s="44" t="s">
        <v>36</v>
      </c>
      <c r="G66" s="202" t="s">
        <v>87</v>
      </c>
      <c r="H66" s="53">
        <f>SUM('CTS Overheads'!D81:D84)</f>
        <v>750</v>
      </c>
      <c r="I66" s="53">
        <f>SUM('CTS Overheads'!E81:E84)</f>
        <v>750</v>
      </c>
      <c r="J66" s="53">
        <f>SUM('CTS Overheads'!F81:F84)</f>
        <v>750</v>
      </c>
      <c r="K66" s="53">
        <f>SUM('CTS Overheads'!G81:G84)</f>
        <v>750</v>
      </c>
      <c r="L66" s="53">
        <f>SUM('CTS Overheads'!H81:H84)</f>
        <v>750</v>
      </c>
      <c r="M66" s="53">
        <f>SUM('CTS Overheads'!I81:I84)</f>
        <v>750</v>
      </c>
      <c r="N66" s="53">
        <f>SUM('CTS Overheads'!J81:J84)</f>
        <v>750</v>
      </c>
      <c r="O66" s="53">
        <f>SUM('CTS Overheads'!K81:K84)</f>
        <v>750</v>
      </c>
      <c r="P66" s="53">
        <f>SUM('CTS Overheads'!L81:L84)</f>
        <v>750</v>
      </c>
      <c r="Q66" s="53">
        <f>SUM('CTS Overheads'!M81:M84)</f>
        <v>750</v>
      </c>
      <c r="R66" s="53">
        <f>SUM('CTS Overheads'!N81:N84)</f>
        <v>750</v>
      </c>
      <c r="S66" s="53">
        <f>SUM('CTS Overheads'!O81:O84)</f>
        <v>750</v>
      </c>
      <c r="T66" s="52">
        <f t="shared" si="5"/>
        <v>9000</v>
      </c>
      <c r="U66" s="54" t="b">
        <f>T66=SUM('CTS Overheads'!P81:P84)</f>
        <v>1</v>
      </c>
      <c r="X66" s="44"/>
    </row>
    <row r="67" spans="1:43" x14ac:dyDescent="0.2">
      <c r="A67" s="204">
        <f t="shared" si="7"/>
        <v>161.19402985074626</v>
      </c>
      <c r="B67" s="46">
        <f t="shared" si="8"/>
        <v>232.8358208955224</v>
      </c>
      <c r="C67" s="46">
        <f t="shared" si="9"/>
        <v>5.9701492537313428</v>
      </c>
      <c r="E67" s="44" t="s">
        <v>36</v>
      </c>
      <c r="G67" s="203" t="s">
        <v>88</v>
      </c>
      <c r="H67" s="53">
        <f>'CTS Overheads'!D85</f>
        <v>400</v>
      </c>
      <c r="I67" s="53">
        <f>'CTS Overheads'!E85</f>
        <v>400</v>
      </c>
      <c r="J67" s="53">
        <f>'CTS Overheads'!F85</f>
        <v>400</v>
      </c>
      <c r="K67" s="53">
        <f>'CTS Overheads'!G85</f>
        <v>400</v>
      </c>
      <c r="L67" s="53">
        <f>'CTS Overheads'!H85</f>
        <v>400</v>
      </c>
      <c r="M67" s="53">
        <f>'CTS Overheads'!I85</f>
        <v>400</v>
      </c>
      <c r="N67" s="53">
        <f>'CTS Overheads'!J85</f>
        <v>400</v>
      </c>
      <c r="O67" s="53">
        <f>'CTS Overheads'!K85</f>
        <v>400</v>
      </c>
      <c r="P67" s="53">
        <f>'CTS Overheads'!L85</f>
        <v>400</v>
      </c>
      <c r="Q67" s="53">
        <f>'CTS Overheads'!M85</f>
        <v>400</v>
      </c>
      <c r="R67" s="53">
        <f>'CTS Overheads'!N85</f>
        <v>400</v>
      </c>
      <c r="S67" s="53">
        <f>'CTS Overheads'!O85</f>
        <v>400</v>
      </c>
      <c r="T67" s="52">
        <f t="shared" si="5"/>
        <v>4800</v>
      </c>
      <c r="U67" s="54" t="b">
        <f>T67='CTS Overheads'!P85</f>
        <v>1</v>
      </c>
      <c r="X67" s="44"/>
    </row>
    <row r="68" spans="1:43" x14ac:dyDescent="0.2">
      <c r="A68" s="206">
        <f>SUM(A57:A67)</f>
        <v>31719.934314909522</v>
      </c>
      <c r="B68" s="206">
        <f>SUM(B57:B67)</f>
        <v>45682.785121535984</v>
      </c>
      <c r="C68" s="206">
        <f>SUM(C57:C67)</f>
        <v>1174.8875672188713</v>
      </c>
      <c r="G68" s="46" t="s">
        <v>891</v>
      </c>
      <c r="H68" s="53">
        <f>ROUND(SUM(H23:H67),2)</f>
        <v>126496.64</v>
      </c>
      <c r="I68" s="53">
        <f>ROUND(SUM(I23:I67),2)</f>
        <v>153678</v>
      </c>
      <c r="J68" s="53">
        <f>ROUND(SUM(J23:J67),2)</f>
        <v>137740.31</v>
      </c>
      <c r="K68" s="53">
        <f t="shared" ref="K68:S68" si="10">ROUND(SUM(K23:K67),2)</f>
        <v>115297.91</v>
      </c>
      <c r="L68" s="53">
        <f t="shared" si="10"/>
        <v>110346.14</v>
      </c>
      <c r="M68" s="53">
        <f t="shared" si="10"/>
        <v>111782.92</v>
      </c>
      <c r="N68" s="53">
        <f t="shared" si="10"/>
        <v>114332.72</v>
      </c>
      <c r="O68" s="53">
        <f t="shared" si="10"/>
        <v>110551.85</v>
      </c>
      <c r="P68" s="53">
        <f t="shared" si="10"/>
        <v>119989.66</v>
      </c>
      <c r="Q68" s="53">
        <f t="shared" si="10"/>
        <v>111977.21</v>
      </c>
      <c r="R68" s="53">
        <f t="shared" si="10"/>
        <v>119379.69</v>
      </c>
      <c r="S68" s="53">
        <f t="shared" si="10"/>
        <v>118808.05</v>
      </c>
      <c r="T68" s="662">
        <f>ROUND(SUM(T23:T67),2)</f>
        <v>1450381.1</v>
      </c>
      <c r="U68" s="54" t="b">
        <f>T68='CTS Overheads'!P86</f>
        <v>1</v>
      </c>
      <c r="X68" s="44"/>
    </row>
    <row r="69" spans="1:43" x14ac:dyDescent="0.2">
      <c r="H69" s="52" t="b">
        <f>H68='CTS Overheads'!D86</f>
        <v>1</v>
      </c>
      <c r="I69" s="52" t="b">
        <f>I68='CTS Overheads'!E86</f>
        <v>1</v>
      </c>
      <c r="J69" s="52" t="b">
        <f>J68='CTS Overheads'!F86</f>
        <v>1</v>
      </c>
      <c r="K69" s="52" t="b">
        <f>K68='CTS Overheads'!G86</f>
        <v>1</v>
      </c>
      <c r="L69" s="52" t="b">
        <f>L68='CTS Overheads'!H86</f>
        <v>1</v>
      </c>
      <c r="M69" s="52" t="b">
        <f>M68='CTS Overheads'!I86</f>
        <v>1</v>
      </c>
      <c r="N69" s="52" t="b">
        <f>N68='CTS Overheads'!J86</f>
        <v>1</v>
      </c>
      <c r="O69" s="52" t="b">
        <f>O68='CTS Overheads'!K86</f>
        <v>1</v>
      </c>
      <c r="P69" s="52" t="b">
        <f>P68='CTS Overheads'!L86</f>
        <v>1</v>
      </c>
      <c r="Q69" s="52" t="b">
        <f>Q68='CTS Overheads'!M86</f>
        <v>1</v>
      </c>
      <c r="R69" s="52" t="b">
        <f>R68='CTS Overheads'!N86</f>
        <v>1</v>
      </c>
      <c r="S69" s="52" t="b">
        <f>S68='CTS Overheads'!O86</f>
        <v>1</v>
      </c>
      <c r="X69" s="44"/>
    </row>
    <row r="70" spans="1:43" x14ac:dyDescent="0.2">
      <c r="G70" s="46" t="s">
        <v>1085</v>
      </c>
      <c r="H70" s="52">
        <f>-CONS!G20</f>
        <v>9396.6784717096143</v>
      </c>
      <c r="I70" s="52">
        <f>-CONS!H20</f>
        <v>8644.3708243003857</v>
      </c>
      <c r="J70" s="52">
        <f>-CONS!I20</f>
        <v>10205.216939608694</v>
      </c>
      <c r="K70" s="52">
        <f>-CONS!J20</f>
        <v>10205.216939608694</v>
      </c>
      <c r="L70" s="52">
        <f>-CONS!K20</f>
        <v>9476.2939012234619</v>
      </c>
      <c r="M70" s="52">
        <f>-CONS!L20</f>
        <v>9840.7554204160788</v>
      </c>
      <c r="N70" s="52">
        <f>-CONS!M20</f>
        <v>9476.2939012234619</v>
      </c>
      <c r="O70" s="52">
        <f>-CONS!N20</f>
        <v>9476.2939012234619</v>
      </c>
      <c r="P70" s="52">
        <f>-CONS!O20</f>
        <v>10205.216939608694</v>
      </c>
      <c r="Q70" s="52">
        <f>-CONS!P20</f>
        <v>9476.2939012234619</v>
      </c>
      <c r="R70" s="52">
        <f>-CONS!Q20</f>
        <v>9840.7554204160788</v>
      </c>
      <c r="S70" s="52">
        <f>-CONS!R20</f>
        <v>9840.7554204160788</v>
      </c>
      <c r="T70" s="52">
        <f>SUM(H70:S70)</f>
        <v>116084.14198097817</v>
      </c>
      <c r="X70" s="44"/>
    </row>
    <row r="71" spans="1:43" x14ac:dyDescent="0.2">
      <c r="G71" s="46" t="s">
        <v>1086</v>
      </c>
      <c r="H71" s="52">
        <f>-ONS!F23</f>
        <v>29319.965441780962</v>
      </c>
      <c r="I71" s="52">
        <f>-ONS!G23</f>
        <v>26580.438145115364</v>
      </c>
      <c r="J71" s="52">
        <f>-ONS!H23</f>
        <v>28659.960870296807</v>
      </c>
      <c r="K71" s="52">
        <f>-ONS!I23</f>
        <v>28659.960870296807</v>
      </c>
      <c r="L71" s="52">
        <f>-ONS!J23</f>
        <v>26580.438145115364</v>
      </c>
      <c r="M71" s="52">
        <f>-ONS!K23</f>
        <v>27620.199507706086</v>
      </c>
      <c r="N71" s="52">
        <f>-ONS!L23</f>
        <v>26580.438145115364</v>
      </c>
      <c r="O71" s="52">
        <f>-ONS!M23</f>
        <v>26580.438145115364</v>
      </c>
      <c r="P71" s="52">
        <f>-ONS!N23</f>
        <v>28659.960870296807</v>
      </c>
      <c r="Q71" s="52">
        <f>-ONS!O23</f>
        <v>26580.438145115364</v>
      </c>
      <c r="R71" s="52">
        <f>-ONS!P23</f>
        <v>27620.199507706086</v>
      </c>
      <c r="S71" s="52">
        <f>-ONS!Q23</f>
        <v>27620.199507706086</v>
      </c>
      <c r="T71" s="52">
        <f>SUM(H71:S71)</f>
        <v>331062.63730136654</v>
      </c>
      <c r="X71" s="44"/>
    </row>
    <row r="72" spans="1:43" x14ac:dyDescent="0.2">
      <c r="G72" s="46" t="s">
        <v>1087</v>
      </c>
      <c r="H72" s="52">
        <f>-PRD!H24</f>
        <v>53188.411130724984</v>
      </c>
      <c r="I72" s="52">
        <f>-PRD!I24</f>
        <v>50814.256946532987</v>
      </c>
      <c r="J72" s="52">
        <f>-PRD!J24</f>
        <v>54967.663021297783</v>
      </c>
      <c r="K72" s="52">
        <f>-PRD!K24</f>
        <v>54967.663021297783</v>
      </c>
      <c r="L72" s="52">
        <f>-PRD!L24</f>
        <v>55942.960946532992</v>
      </c>
      <c r="M72" s="52">
        <f>-PRD!M24</f>
        <v>51833.164783915396</v>
      </c>
      <c r="N72" s="52">
        <f>-PRD!N24</f>
        <v>50814.256946532987</v>
      </c>
      <c r="O72" s="52">
        <f>-PRD!O24</f>
        <v>50814.256946532987</v>
      </c>
      <c r="P72" s="52">
        <f>-PRD!P24</f>
        <v>52852.07262129779</v>
      </c>
      <c r="Q72" s="52">
        <f>-PRD!Q24</f>
        <v>50814.256946532987</v>
      </c>
      <c r="R72" s="52">
        <f>-PRD!R24</f>
        <v>51833.164783915396</v>
      </c>
      <c r="S72" s="52">
        <f>-PRD!S24</f>
        <v>51833.164783915396</v>
      </c>
      <c r="T72" s="52">
        <f>SUM(H72:S72)</f>
        <v>630675.29287902941</v>
      </c>
      <c r="X72" s="44"/>
    </row>
    <row r="73" spans="1:43" x14ac:dyDescent="0.2">
      <c r="G73" s="55" t="s">
        <v>16</v>
      </c>
      <c r="H73" s="69">
        <f>SUM(H23:H67)+SUM(H70:H72)</f>
        <v>218401.69548750622</v>
      </c>
      <c r="I73" s="69">
        <f>SUM(I23:I67)+SUM(I70:I72)</f>
        <v>239717.06231355245</v>
      </c>
      <c r="J73" s="69">
        <f t="shared" ref="J73:S73" si="11">SUM(J23:J67)+SUM(J70:J72)</f>
        <v>231573.14623077027</v>
      </c>
      <c r="K73" s="69">
        <f>SUM(K23:K67)+SUM(K70:K72)</f>
        <v>209130.75085855028</v>
      </c>
      <c r="L73" s="69">
        <f>SUM(L23:L67)+SUM(L70:L72)</f>
        <v>202345.83494521788</v>
      </c>
      <c r="M73" s="69">
        <f t="shared" si="11"/>
        <v>201077.03700540407</v>
      </c>
      <c r="N73" s="69">
        <f t="shared" si="11"/>
        <v>201203.7104472479</v>
      </c>
      <c r="O73" s="69">
        <f t="shared" si="11"/>
        <v>197422.84212471783</v>
      </c>
      <c r="P73" s="69">
        <f t="shared" si="11"/>
        <v>211706.91335330025</v>
      </c>
      <c r="Q73" s="69">
        <f t="shared" si="11"/>
        <v>198848.19990646787</v>
      </c>
      <c r="R73" s="69">
        <f t="shared" si="11"/>
        <v>208673.80802352406</v>
      </c>
      <c r="S73" s="69">
        <f t="shared" si="11"/>
        <v>208102.17029788403</v>
      </c>
      <c r="T73" s="69">
        <f t="shared" ref="T73:T74" si="12">SUM(H73:S73)</f>
        <v>2528203.1709941425</v>
      </c>
      <c r="U73" s="54"/>
      <c r="X73" s="44"/>
    </row>
    <row r="74" spans="1:43" x14ac:dyDescent="0.2">
      <c r="G74" s="55" t="s">
        <v>17</v>
      </c>
      <c r="H74" s="69">
        <f t="shared" ref="H74:S74" si="13">+H20-H73</f>
        <v>51905.235217105597</v>
      </c>
      <c r="I74" s="69">
        <f t="shared" si="13"/>
        <v>277895.12600461091</v>
      </c>
      <c r="J74" s="69">
        <f t="shared" si="13"/>
        <v>-107100.12290194433</v>
      </c>
      <c r="K74" s="69">
        <f t="shared" si="13"/>
        <v>267105.70762701123</v>
      </c>
      <c r="L74" s="69">
        <f t="shared" si="13"/>
        <v>78742.202476078237</v>
      </c>
      <c r="M74" s="69">
        <f t="shared" si="13"/>
        <v>-98031.3726645032</v>
      </c>
      <c r="N74" s="69">
        <f t="shared" si="13"/>
        <v>-26307.589849007491</v>
      </c>
      <c r="O74" s="69">
        <f t="shared" si="13"/>
        <v>129358.62077152258</v>
      </c>
      <c r="P74" s="69">
        <f t="shared" si="13"/>
        <v>-24050.525949092145</v>
      </c>
      <c r="Q74" s="69">
        <f t="shared" si="13"/>
        <v>-13734.695184113341</v>
      </c>
      <c r="R74" s="69">
        <f t="shared" si="13"/>
        <v>-20725.329135623149</v>
      </c>
      <c r="S74" s="69">
        <f t="shared" si="13"/>
        <v>-117806.50268198314</v>
      </c>
      <c r="T74" s="69">
        <f t="shared" si="12"/>
        <v>397250.75373006181</v>
      </c>
      <c r="U74" s="54"/>
      <c r="X74" s="44"/>
    </row>
    <row r="75" spans="1:43" x14ac:dyDescent="0.2">
      <c r="G75" s="55" t="s">
        <v>18</v>
      </c>
      <c r="H75" s="177">
        <f t="shared" ref="H75:T75" si="14">+H74/H6</f>
        <v>8.5191497037718972E-2</v>
      </c>
      <c r="I75" s="177">
        <f t="shared" si="14"/>
        <v>0.28555727250954921</v>
      </c>
      <c r="J75" s="177">
        <f t="shared" si="14"/>
        <v>-0.25890564906444252</v>
      </c>
      <c r="K75" s="177">
        <f t="shared" si="14"/>
        <v>0.28104093059429497</v>
      </c>
      <c r="L75" s="177">
        <f t="shared" si="14"/>
        <v>0.14573653029420156</v>
      </c>
      <c r="M75" s="177">
        <f t="shared" si="14"/>
        <v>-0.28417346737297922</v>
      </c>
      <c r="N75" s="177">
        <f t="shared" si="14"/>
        <v>-7.4321658724506967E-2</v>
      </c>
      <c r="O75" s="177">
        <f t="shared" si="14"/>
        <v>0.22433967955992451</v>
      </c>
      <c r="P75" s="177">
        <f t="shared" si="14"/>
        <v>-5.8059478480190947E-2</v>
      </c>
      <c r="Q75" s="177">
        <f t="shared" si="14"/>
        <v>-3.5005389766513649E-2</v>
      </c>
      <c r="R75" s="177">
        <f t="shared" si="14"/>
        <v>-5.1491869609963339E-2</v>
      </c>
      <c r="S75" s="177">
        <f t="shared" si="14"/>
        <v>-0.35365093544985315</v>
      </c>
      <c r="T75" s="177">
        <f t="shared" si="14"/>
        <v>6.3009661606399703E-2</v>
      </c>
      <c r="U75" s="54"/>
      <c r="X75" s="44"/>
    </row>
    <row r="76" spans="1:43" x14ac:dyDescent="0.2">
      <c r="X76" s="44"/>
    </row>
    <row r="77" spans="1:43" x14ac:dyDescent="0.2">
      <c r="H77" s="52">
        <f>H68</f>
        <v>126496.64</v>
      </c>
      <c r="I77" s="52">
        <f t="shared" ref="I77:R77" si="15">I68</f>
        <v>153678</v>
      </c>
      <c r="J77" s="52">
        <f t="shared" si="15"/>
        <v>137740.31</v>
      </c>
      <c r="K77" s="52">
        <f t="shared" si="15"/>
        <v>115297.91</v>
      </c>
      <c r="L77" s="52">
        <f t="shared" si="15"/>
        <v>110346.14</v>
      </c>
      <c r="M77" s="52">
        <f t="shared" si="15"/>
        <v>111782.92</v>
      </c>
      <c r="N77" s="52">
        <f t="shared" si="15"/>
        <v>114332.72</v>
      </c>
      <c r="O77" s="52">
        <f t="shared" si="15"/>
        <v>110551.85</v>
      </c>
      <c r="P77" s="52">
        <f t="shared" si="15"/>
        <v>119989.66</v>
      </c>
      <c r="Q77" s="52">
        <f t="shared" si="15"/>
        <v>111977.21</v>
      </c>
      <c r="R77" s="52">
        <f t="shared" si="15"/>
        <v>119379.69</v>
      </c>
      <c r="S77" s="174" t="s">
        <v>90</v>
      </c>
      <c r="T77" s="52">
        <f>SUM(T23:T67)-'CTS Overheads'!P86</f>
        <v>-3.9672309067100286E-3</v>
      </c>
    </row>
    <row r="79" spans="1:43" s="46" customFormat="1" x14ac:dyDescent="0.2">
      <c r="F79" s="696"/>
      <c r="H79" s="52">
        <f>H68-H77</f>
        <v>0</v>
      </c>
      <c r="I79" s="52">
        <f t="shared" ref="I79:R79" si="16">I68-I77</f>
        <v>0</v>
      </c>
      <c r="J79" s="52">
        <f t="shared" si="16"/>
        <v>0</v>
      </c>
      <c r="K79" s="52">
        <f t="shared" si="16"/>
        <v>0</v>
      </c>
      <c r="L79" s="52">
        <f t="shared" si="16"/>
        <v>0</v>
      </c>
      <c r="M79" s="52">
        <f t="shared" si="16"/>
        <v>0</v>
      </c>
      <c r="N79" s="52">
        <f t="shared" si="16"/>
        <v>0</v>
      </c>
      <c r="O79" s="52">
        <f t="shared" si="16"/>
        <v>0</v>
      </c>
      <c r="P79" s="52">
        <f t="shared" si="16"/>
        <v>0</v>
      </c>
      <c r="Q79" s="52">
        <f t="shared" si="16"/>
        <v>0</v>
      </c>
      <c r="R79" s="52">
        <f t="shared" si="16"/>
        <v>0</v>
      </c>
      <c r="S79" s="52"/>
      <c r="T79" s="52"/>
      <c r="U79" s="44"/>
      <c r="V79" s="44"/>
      <c r="Y79" s="44"/>
      <c r="Z79" s="44"/>
      <c r="AA79" s="44"/>
      <c r="AB79" s="44"/>
      <c r="AC79" s="44"/>
      <c r="AD79" s="44"/>
      <c r="AE79" s="44"/>
      <c r="AF79" s="44"/>
      <c r="AG79" s="44"/>
      <c r="AH79" s="44"/>
      <c r="AI79" s="44"/>
      <c r="AJ79" s="44"/>
      <c r="AK79" s="44"/>
      <c r="AL79" s="44"/>
      <c r="AM79" s="44"/>
      <c r="AN79" s="44"/>
      <c r="AO79" s="44"/>
      <c r="AP79" s="44"/>
      <c r="AQ79" s="44"/>
    </row>
    <row r="80" spans="1:43" s="46" customFormat="1" x14ac:dyDescent="0.2">
      <c r="F80" s="696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44"/>
      <c r="V80" s="44"/>
      <c r="W80" s="44"/>
      <c r="Y80" s="44"/>
      <c r="Z80" s="44"/>
      <c r="AA80" s="44"/>
      <c r="AB80" s="44"/>
      <c r="AC80" s="44"/>
      <c r="AD80" s="44"/>
      <c r="AE80" s="44"/>
      <c r="AF80" s="44"/>
      <c r="AG80" s="44"/>
      <c r="AH80" s="44"/>
      <c r="AI80" s="44"/>
      <c r="AJ80" s="44"/>
      <c r="AK80" s="44"/>
      <c r="AL80" s="44"/>
      <c r="AM80" s="44"/>
      <c r="AN80" s="44"/>
      <c r="AO80" s="44"/>
      <c r="AP80" s="44"/>
      <c r="AQ80" s="44"/>
    </row>
    <row r="81" spans="6:43" s="46" customFormat="1" x14ac:dyDescent="0.2">
      <c r="F81" s="696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44"/>
      <c r="V81" s="44"/>
      <c r="W81" s="44"/>
      <c r="Y81" s="44"/>
      <c r="Z81" s="44"/>
      <c r="AA81" s="44"/>
      <c r="AB81" s="44"/>
      <c r="AC81" s="44"/>
      <c r="AD81" s="44"/>
      <c r="AE81" s="44"/>
      <c r="AF81" s="44"/>
      <c r="AG81" s="44"/>
      <c r="AH81" s="44"/>
      <c r="AI81" s="44"/>
      <c r="AJ81" s="44"/>
      <c r="AK81" s="44"/>
      <c r="AL81" s="44"/>
      <c r="AM81" s="44"/>
      <c r="AN81" s="44"/>
      <c r="AO81" s="44"/>
      <c r="AP81" s="44"/>
      <c r="AQ81" s="44"/>
    </row>
    <row r="82" spans="6:43" x14ac:dyDescent="0.2">
      <c r="H82" s="52">
        <f>-(CONS!G20+ONS!F23+PRD!H24)</f>
        <v>91905.055044215551</v>
      </c>
      <c r="X82" s="44"/>
    </row>
    <row r="83" spans="6:43" x14ac:dyDescent="0.2">
      <c r="X83" s="44"/>
    </row>
    <row r="84" spans="6:43" s="46" customFormat="1" x14ac:dyDescent="0.2">
      <c r="F84" s="696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44"/>
      <c r="V84" s="44"/>
      <c r="W84" s="44"/>
      <c r="Y84" s="44"/>
      <c r="Z84" s="44"/>
      <c r="AA84" s="44"/>
      <c r="AB84" s="44"/>
      <c r="AC84" s="44"/>
      <c r="AD84" s="44"/>
      <c r="AE84" s="44"/>
      <c r="AF84" s="44"/>
      <c r="AG84" s="44"/>
      <c r="AH84" s="44"/>
      <c r="AI84" s="44"/>
      <c r="AJ84" s="44"/>
      <c r="AK84" s="44"/>
      <c r="AL84" s="44"/>
      <c r="AM84" s="44"/>
      <c r="AN84" s="44"/>
      <c r="AO84" s="44"/>
      <c r="AP84" s="44"/>
      <c r="AQ84" s="44"/>
    </row>
    <row r="85" spans="6:43" x14ac:dyDescent="0.2">
      <c r="X85" s="44"/>
    </row>
    <row r="86" spans="6:43" x14ac:dyDescent="0.2">
      <c r="X86" s="44"/>
    </row>
    <row r="87" spans="6:43" x14ac:dyDescent="0.2">
      <c r="X87" s="44"/>
    </row>
    <row r="88" spans="6:43" s="46" customFormat="1" x14ac:dyDescent="0.2">
      <c r="F88" s="696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44"/>
      <c r="V88" s="44"/>
      <c r="W88" s="44"/>
      <c r="Y88" s="44"/>
      <c r="Z88" s="44"/>
      <c r="AA88" s="44"/>
      <c r="AB88" s="44"/>
      <c r="AC88" s="44"/>
      <c r="AD88" s="44"/>
      <c r="AE88" s="44"/>
      <c r="AF88" s="44"/>
      <c r="AG88" s="44"/>
      <c r="AH88" s="44"/>
      <c r="AI88" s="44"/>
      <c r="AJ88" s="44"/>
      <c r="AK88" s="44"/>
      <c r="AL88" s="44"/>
      <c r="AM88" s="44"/>
      <c r="AN88" s="44"/>
      <c r="AO88" s="44"/>
      <c r="AP88" s="44"/>
      <c r="AQ88" s="44"/>
    </row>
    <row r="89" spans="6:43" s="46" customFormat="1" x14ac:dyDescent="0.2">
      <c r="F89" s="696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44"/>
      <c r="V89" s="44"/>
      <c r="W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44"/>
      <c r="AL89" s="44"/>
      <c r="AM89" s="44"/>
      <c r="AN89" s="44"/>
      <c r="AO89" s="44"/>
      <c r="AP89" s="44"/>
      <c r="AQ89" s="44"/>
    </row>
    <row r="90" spans="6:43" s="46" customFormat="1" x14ac:dyDescent="0.2">
      <c r="F90" s="696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44"/>
      <c r="V90" s="44"/>
      <c r="W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</row>
    <row r="92" spans="6:43" x14ac:dyDescent="0.2">
      <c r="X92" s="44"/>
    </row>
    <row r="95" spans="6:43" x14ac:dyDescent="0.2">
      <c r="X95" s="44"/>
    </row>
    <row r="99" spans="24:24" x14ac:dyDescent="0.2">
      <c r="X99" s="44"/>
    </row>
    <row r="100" spans="24:24" x14ac:dyDescent="0.2">
      <c r="X100" s="44"/>
    </row>
    <row r="101" spans="24:24" x14ac:dyDescent="0.2">
      <c r="X101" s="44"/>
    </row>
  </sheetData>
  <phoneticPr fontId="19" type="noConversion"/>
  <conditionalFormatting sqref="H2:S19 H20:T20 H21:S68 H73:S75">
    <cfRule type="expression" dxfId="124" priority="5">
      <formula>H$2=$A$1</formula>
    </cfRule>
  </conditionalFormatting>
  <conditionalFormatting sqref="H69:S72">
    <cfRule type="containsText" dxfId="123" priority="3" operator="containsText" text="FALSE">
      <formula>NOT(ISERROR(SEARCH("FALSE",H69)))</formula>
    </cfRule>
    <cfRule type="containsText" dxfId="122" priority="4" operator="containsText" text="TRUE">
      <formula>NOT(ISERROR(SEARCH("TRUE",H69)))</formula>
    </cfRule>
  </conditionalFormatting>
  <conditionalFormatting sqref="H75:T75">
    <cfRule type="cellIs" dxfId="121" priority="17" operator="greaterThan">
      <formula>0</formula>
    </cfRule>
  </conditionalFormatting>
  <conditionalFormatting sqref="U1:U1048576">
    <cfRule type="containsText" dxfId="120" priority="1" operator="containsText" text="true">
      <formula>NOT(ISERROR(SEARCH("true",U1)))</formula>
    </cfRule>
  </conditionalFormatting>
  <conditionalFormatting sqref="U3:U6 U20:U21 U74:U75">
    <cfRule type="cellIs" dxfId="119" priority="14" operator="greaterThan">
      <formula>0</formula>
    </cfRule>
    <cfRule type="cellIs" dxfId="118" priority="15" operator="lessThan">
      <formula>0</formula>
    </cfRule>
    <cfRule type="cellIs" dxfId="117" priority="16" operator="greaterThan">
      <formula>0</formula>
    </cfRule>
  </conditionalFormatting>
  <conditionalFormatting sqref="U7:U18">
    <cfRule type="cellIs" dxfId="116" priority="12" operator="lessThan">
      <formula>-0.05</formula>
    </cfRule>
    <cfRule type="cellIs" dxfId="115" priority="13" operator="greaterThan">
      <formula>0</formula>
    </cfRule>
  </conditionalFormatting>
  <conditionalFormatting sqref="U19">
    <cfRule type="cellIs" dxfId="114" priority="10" operator="lessThan">
      <formula>0</formula>
    </cfRule>
    <cfRule type="cellIs" dxfId="113" priority="11" operator="greaterThan">
      <formula>$V$19</formula>
    </cfRule>
  </conditionalFormatting>
  <conditionalFormatting sqref="U22:U68 U73">
    <cfRule type="cellIs" dxfId="112" priority="8" operator="lessThan">
      <formula>0</formula>
    </cfRule>
    <cfRule type="cellIs" dxfId="111" priority="9" operator="greaterThan">
      <formula>0</formula>
    </cfRule>
  </conditionalFormatting>
  <dataValidations count="1">
    <dataValidation type="list" allowBlank="1" showInputMessage="1" showErrorMessage="1" sqref="E38:F40" xr:uid="{31C04F8E-6847-458A-8556-AFE0E0434246}">
      <formula1>$AH$1:$AH$3</formula1>
    </dataValidation>
  </dataValidations>
  <pageMargins left="0.25" right="0.25" top="0.75" bottom="0.75" header="0.3" footer="0.3"/>
  <pageSetup paperSize="9" orientation="landscape" cellComments="atEnd" horizontalDpi="300" verticalDpi="300" r:id="rId1"/>
  <headerFooter alignWithMargins="0">
    <oddHeader>&amp;L&amp;8&amp;C&amp;8MYOB / Excel&amp;R&amp;8</oddHeader>
    <oddFooter>&amp;CPage &amp;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09555-9A9D-4542-B98A-CF8605511046}">
  <sheetPr codeName="Sheet6">
    <tabColor theme="9" tint="-0.249977111117893"/>
  </sheetPr>
  <dimension ref="A1:AG140"/>
  <sheetViews>
    <sheetView showGridLines="0" zoomScale="110" zoomScaleNormal="110" workbookViewId="0">
      <pane ySplit="2" topLeftCell="A98" activePane="bottomLeft" state="frozen"/>
      <selection pane="bottomLeft" activeCell="E118" sqref="E118"/>
    </sheetView>
  </sheetViews>
  <sheetFormatPr defaultColWidth="9.140625" defaultRowHeight="12.75" x14ac:dyDescent="0.2"/>
  <cols>
    <col min="1" max="1" width="43.42578125" style="44" bestFit="1" customWidth="1"/>
    <col min="2" max="2" width="26" style="44" customWidth="1"/>
    <col min="3" max="3" width="10.42578125" style="44" bestFit="1" customWidth="1"/>
    <col min="4" max="6" width="12.140625" style="44" bestFit="1" customWidth="1"/>
    <col min="7" max="7" width="14.28515625" style="44" bestFit="1" customWidth="1"/>
    <col min="8" max="15" width="12.140625" style="44" bestFit="1" customWidth="1"/>
    <col min="16" max="16" width="13.7109375" style="44" bestFit="1" customWidth="1"/>
    <col min="17" max="17" width="7.42578125" style="44" customWidth="1"/>
    <col min="18" max="18" width="29.85546875" style="44" bestFit="1" customWidth="1"/>
    <col min="19" max="19" width="12.7109375" style="44" customWidth="1"/>
    <col min="20" max="20" width="24.140625" style="46" bestFit="1" customWidth="1"/>
    <col min="21" max="21" width="24.7109375" style="46" bestFit="1" customWidth="1"/>
    <col min="22" max="22" width="24.7109375" style="46" customWidth="1"/>
    <col min="23" max="23" width="25.42578125" style="46" bestFit="1" customWidth="1"/>
    <col min="24" max="24" width="14.85546875" style="46" bestFit="1" customWidth="1"/>
    <col min="25" max="25" width="23.42578125" style="46" bestFit="1" customWidth="1"/>
    <col min="26" max="27" width="10" style="46" bestFit="1" customWidth="1"/>
    <col min="28" max="29" width="9.85546875" style="1" bestFit="1" customWidth="1"/>
    <col min="30" max="30" width="12.85546875" style="1" bestFit="1" customWidth="1"/>
    <col min="31" max="33" width="9.85546875" style="1" bestFit="1" customWidth="1"/>
    <col min="34" max="42" width="12.7109375" style="44" customWidth="1"/>
    <col min="43" max="16384" width="9.140625" style="44"/>
  </cols>
  <sheetData>
    <row r="1" spans="1:33" x14ac:dyDescent="0.2">
      <c r="A1" s="49"/>
      <c r="B1" s="49"/>
      <c r="C1" s="49"/>
      <c r="D1" s="49" t="s">
        <v>1</v>
      </c>
      <c r="E1" s="49" t="s">
        <v>1</v>
      </c>
      <c r="F1" s="49" t="s">
        <v>1</v>
      </c>
      <c r="G1" s="49" t="s">
        <v>1</v>
      </c>
      <c r="H1" s="49" t="s">
        <v>1</v>
      </c>
      <c r="I1" s="49" t="s">
        <v>1</v>
      </c>
      <c r="J1" s="49" t="s">
        <v>1</v>
      </c>
      <c r="K1" s="49" t="s">
        <v>1</v>
      </c>
      <c r="L1" s="49" t="s">
        <v>1</v>
      </c>
      <c r="M1" s="49" t="s">
        <v>1</v>
      </c>
      <c r="N1" s="49" t="s">
        <v>1</v>
      </c>
      <c r="O1" s="49" t="s">
        <v>1</v>
      </c>
      <c r="P1" s="49" t="s">
        <v>1</v>
      </c>
      <c r="Q1" s="49"/>
      <c r="R1" s="49"/>
      <c r="S1" s="102"/>
      <c r="T1" s="99"/>
      <c r="U1" s="44"/>
      <c r="V1" s="44"/>
      <c r="W1" s="44"/>
      <c r="X1" s="44"/>
      <c r="Y1" s="44"/>
      <c r="Z1" s="44"/>
      <c r="AA1" s="44"/>
    </row>
    <row r="2" spans="1:33" s="42" customFormat="1" x14ac:dyDescent="0.2">
      <c r="A2" s="58" t="s">
        <v>15</v>
      </c>
      <c r="B2" s="58"/>
      <c r="C2" s="58"/>
      <c r="D2" s="58">
        <v>46204</v>
      </c>
      <c r="E2" s="58">
        <v>46235</v>
      </c>
      <c r="F2" s="58">
        <v>46266</v>
      </c>
      <c r="G2" s="58">
        <v>46296</v>
      </c>
      <c r="H2" s="58">
        <v>46327</v>
      </c>
      <c r="I2" s="58">
        <v>46357</v>
      </c>
      <c r="J2" s="58">
        <v>46388</v>
      </c>
      <c r="K2" s="58">
        <v>46419</v>
      </c>
      <c r="L2" s="58">
        <v>46447</v>
      </c>
      <c r="M2" s="58">
        <v>46478</v>
      </c>
      <c r="N2" s="58">
        <v>46508</v>
      </c>
      <c r="O2" s="58">
        <v>46539</v>
      </c>
      <c r="P2" s="59" t="s">
        <v>27</v>
      </c>
      <c r="Q2" s="89"/>
      <c r="R2" s="89"/>
      <c r="S2" s="103"/>
      <c r="T2" s="98"/>
      <c r="U2" s="65"/>
      <c r="V2" s="65"/>
      <c r="W2" s="65"/>
      <c r="X2" s="65"/>
      <c r="Y2" s="65"/>
      <c r="Z2" s="65"/>
      <c r="AA2" s="65"/>
      <c r="AB2" s="1"/>
      <c r="AC2" s="1"/>
      <c r="AD2" s="1"/>
      <c r="AE2" s="1"/>
      <c r="AF2" s="1"/>
      <c r="AG2" s="1"/>
    </row>
    <row r="3" spans="1:33" x14ac:dyDescent="0.2">
      <c r="A3" s="66" t="s">
        <v>43</v>
      </c>
      <c r="B3" s="600" t="s">
        <v>1359</v>
      </c>
      <c r="C3" s="164"/>
      <c r="D3" s="249">
        <f>(25000/12)+(16000/12)</f>
        <v>3416.666666666667</v>
      </c>
      <c r="E3" s="249">
        <f>D3</f>
        <v>3416.666666666667</v>
      </c>
      <c r="F3" s="249">
        <f>E3+750</f>
        <v>4166.666666666667</v>
      </c>
      <c r="G3" s="249">
        <f t="shared" ref="G3:O3" si="0">F3</f>
        <v>4166.666666666667</v>
      </c>
      <c r="H3" s="249">
        <f t="shared" si="0"/>
        <v>4166.666666666667</v>
      </c>
      <c r="I3" s="249">
        <f t="shared" si="0"/>
        <v>4166.666666666667</v>
      </c>
      <c r="J3" s="249">
        <f t="shared" si="0"/>
        <v>4166.666666666667</v>
      </c>
      <c r="K3" s="249">
        <f t="shared" si="0"/>
        <v>4166.666666666667</v>
      </c>
      <c r="L3" s="249">
        <f>K3+1550</f>
        <v>5716.666666666667</v>
      </c>
      <c r="M3" s="249">
        <f t="shared" si="0"/>
        <v>5716.666666666667</v>
      </c>
      <c r="N3" s="249">
        <f t="shared" si="0"/>
        <v>5716.666666666667</v>
      </c>
      <c r="O3" s="249">
        <f t="shared" si="0"/>
        <v>5716.666666666667</v>
      </c>
      <c r="P3" s="250">
        <f>SUM(D3:O3)</f>
        <v>54700</v>
      </c>
      <c r="Q3" s="50"/>
      <c r="R3" s="50"/>
      <c r="S3" s="104"/>
      <c r="T3" s="51"/>
      <c r="U3" s="51"/>
      <c r="V3" s="51"/>
      <c r="W3" s="51"/>
      <c r="X3" s="51"/>
      <c r="Y3" s="51"/>
      <c r="Z3" s="51"/>
      <c r="AA3" s="51"/>
    </row>
    <row r="4" spans="1:33" x14ac:dyDescent="0.2">
      <c r="A4" s="66" t="s">
        <v>44</v>
      </c>
      <c r="B4" s="600" t="s">
        <v>880</v>
      </c>
      <c r="C4" s="164"/>
      <c r="D4" s="249">
        <v>800</v>
      </c>
      <c r="E4" s="249">
        <v>800</v>
      </c>
      <c r="F4" s="249">
        <v>800</v>
      </c>
      <c r="G4" s="249">
        <v>800</v>
      </c>
      <c r="H4" s="249">
        <v>800</v>
      </c>
      <c r="I4" s="249">
        <v>800</v>
      </c>
      <c r="J4" s="249">
        <v>800</v>
      </c>
      <c r="K4" s="249">
        <v>800</v>
      </c>
      <c r="L4" s="249">
        <v>800</v>
      </c>
      <c r="M4" s="249">
        <v>800</v>
      </c>
      <c r="N4" s="249">
        <v>800</v>
      </c>
      <c r="O4" s="249">
        <v>800</v>
      </c>
      <c r="P4" s="250">
        <f t="shared" ref="P4:P68" si="1">SUM(D4:O4)</f>
        <v>9600</v>
      </c>
      <c r="Q4" s="50" t="s">
        <v>92</v>
      </c>
      <c r="R4" s="50"/>
      <c r="T4" s="51"/>
      <c r="U4" s="51"/>
      <c r="V4" s="51"/>
      <c r="W4" s="51"/>
      <c r="X4" s="51"/>
      <c r="Y4" s="51"/>
      <c r="Z4" s="51"/>
      <c r="AA4" s="51"/>
    </row>
    <row r="5" spans="1:33" x14ac:dyDescent="0.2">
      <c r="A5" s="66" t="s">
        <v>44</v>
      </c>
      <c r="B5" s="600" t="s">
        <v>1192</v>
      </c>
      <c r="C5" s="164"/>
      <c r="D5" s="249">
        <v>1000</v>
      </c>
      <c r="E5" s="249">
        <f>D5</f>
        <v>1000</v>
      </c>
      <c r="F5" s="249">
        <f t="shared" ref="F5:O5" si="2">E5</f>
        <v>1000</v>
      </c>
      <c r="G5" s="249">
        <f t="shared" si="2"/>
        <v>1000</v>
      </c>
      <c r="H5" s="249">
        <f t="shared" si="2"/>
        <v>1000</v>
      </c>
      <c r="I5" s="249">
        <f t="shared" si="2"/>
        <v>1000</v>
      </c>
      <c r="J5" s="249">
        <f t="shared" si="2"/>
        <v>1000</v>
      </c>
      <c r="K5" s="249">
        <f t="shared" si="2"/>
        <v>1000</v>
      </c>
      <c r="L5" s="249">
        <f t="shared" si="2"/>
        <v>1000</v>
      </c>
      <c r="M5" s="249">
        <f t="shared" si="2"/>
        <v>1000</v>
      </c>
      <c r="N5" s="249">
        <f t="shared" si="2"/>
        <v>1000</v>
      </c>
      <c r="O5" s="249">
        <f t="shared" si="2"/>
        <v>1000</v>
      </c>
      <c r="P5" s="250">
        <f t="shared" si="1"/>
        <v>12000</v>
      </c>
      <c r="Q5" s="50"/>
      <c r="R5" s="50"/>
      <c r="T5" s="51"/>
      <c r="U5" s="51"/>
      <c r="V5" s="51"/>
      <c r="W5" s="51"/>
      <c r="X5" s="51"/>
      <c r="Y5" s="51"/>
      <c r="Z5" s="51"/>
      <c r="AA5" s="51"/>
    </row>
    <row r="6" spans="1:33" x14ac:dyDescent="0.2">
      <c r="A6" s="66" t="s">
        <v>46</v>
      </c>
      <c r="B6" s="600" t="s">
        <v>93</v>
      </c>
      <c r="C6" s="164"/>
      <c r="D6" s="251">
        <v>2150</v>
      </c>
      <c r="E6" s="251">
        <f>D6</f>
        <v>2150</v>
      </c>
      <c r="F6" s="251">
        <f t="shared" ref="F6:O6" si="3">E6</f>
        <v>2150</v>
      </c>
      <c r="G6" s="251">
        <f t="shared" si="3"/>
        <v>2150</v>
      </c>
      <c r="H6" s="251">
        <f t="shared" si="3"/>
        <v>2150</v>
      </c>
      <c r="I6" s="251">
        <f t="shared" si="3"/>
        <v>2150</v>
      </c>
      <c r="J6" s="251">
        <f t="shared" si="3"/>
        <v>2150</v>
      </c>
      <c r="K6" s="251">
        <f t="shared" si="3"/>
        <v>2150</v>
      </c>
      <c r="L6" s="251">
        <f t="shared" si="3"/>
        <v>2150</v>
      </c>
      <c r="M6" s="251">
        <f t="shared" si="3"/>
        <v>2150</v>
      </c>
      <c r="N6" s="251">
        <f t="shared" si="3"/>
        <v>2150</v>
      </c>
      <c r="O6" s="251">
        <f t="shared" si="3"/>
        <v>2150</v>
      </c>
      <c r="P6" s="250">
        <f t="shared" si="1"/>
        <v>25800</v>
      </c>
      <c r="Q6" s="50"/>
      <c r="R6" s="50"/>
      <c r="T6" s="66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</row>
    <row r="7" spans="1:33" x14ac:dyDescent="0.2">
      <c r="A7" s="66" t="s">
        <v>47</v>
      </c>
      <c r="B7" s="600" t="s">
        <v>94</v>
      </c>
      <c r="C7" s="257"/>
      <c r="D7" s="249">
        <v>500</v>
      </c>
      <c r="E7" s="249">
        <f>D7</f>
        <v>500</v>
      </c>
      <c r="F7" s="249">
        <f t="shared" ref="F7:K7" si="4">E7</f>
        <v>500</v>
      </c>
      <c r="G7" s="249">
        <f t="shared" si="4"/>
        <v>500</v>
      </c>
      <c r="H7" s="249">
        <f t="shared" si="4"/>
        <v>500</v>
      </c>
      <c r="I7" s="249">
        <f t="shared" si="4"/>
        <v>500</v>
      </c>
      <c r="J7" s="249">
        <f t="shared" si="4"/>
        <v>500</v>
      </c>
      <c r="K7" s="249">
        <f t="shared" si="4"/>
        <v>500</v>
      </c>
      <c r="L7" s="249">
        <f>2258+500</f>
        <v>2758</v>
      </c>
      <c r="M7" s="249">
        <f>K7</f>
        <v>500</v>
      </c>
      <c r="N7" s="249">
        <f t="shared" ref="N7:O7" si="5">L7</f>
        <v>2758</v>
      </c>
      <c r="O7" s="249">
        <f t="shared" si="5"/>
        <v>500</v>
      </c>
      <c r="P7" s="250">
        <f t="shared" si="1"/>
        <v>10516</v>
      </c>
      <c r="Q7" s="50"/>
      <c r="R7" s="50"/>
      <c r="T7" s="51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3" x14ac:dyDescent="0.2">
      <c r="A8" s="126" t="s">
        <v>49</v>
      </c>
      <c r="B8" s="598" t="s">
        <v>881</v>
      </c>
      <c r="C8" s="164"/>
      <c r="D8" s="254">
        <f>90.91+2</f>
        <v>92.91</v>
      </c>
      <c r="E8" s="254">
        <f>D8</f>
        <v>92.91</v>
      </c>
      <c r="F8" s="254">
        <f t="shared" ref="F8:O9" si="6">E8</f>
        <v>92.91</v>
      </c>
      <c r="G8" s="254">
        <f t="shared" si="6"/>
        <v>92.91</v>
      </c>
      <c r="H8" s="254">
        <f t="shared" si="6"/>
        <v>92.91</v>
      </c>
      <c r="I8" s="254">
        <f t="shared" si="6"/>
        <v>92.91</v>
      </c>
      <c r="J8" s="254">
        <f t="shared" si="6"/>
        <v>92.91</v>
      </c>
      <c r="K8" s="254">
        <f t="shared" si="6"/>
        <v>92.91</v>
      </c>
      <c r="L8" s="254">
        <f t="shared" si="6"/>
        <v>92.91</v>
      </c>
      <c r="M8" s="254">
        <f t="shared" si="6"/>
        <v>92.91</v>
      </c>
      <c r="N8" s="254">
        <f t="shared" si="6"/>
        <v>92.91</v>
      </c>
      <c r="O8" s="254">
        <f t="shared" si="6"/>
        <v>92.91</v>
      </c>
      <c r="P8" s="255">
        <f t="shared" si="1"/>
        <v>1114.9199999999998</v>
      </c>
      <c r="Q8" s="50"/>
      <c r="R8" s="50"/>
      <c r="T8" s="51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</row>
    <row r="9" spans="1:33" x14ac:dyDescent="0.2">
      <c r="A9" s="66"/>
      <c r="B9" s="599" t="s">
        <v>1360</v>
      </c>
      <c r="C9" s="164"/>
      <c r="D9" s="252">
        <v>500</v>
      </c>
      <c r="E9" s="252">
        <f>D9</f>
        <v>500</v>
      </c>
      <c r="F9" s="252">
        <f t="shared" si="6"/>
        <v>500</v>
      </c>
      <c r="G9" s="252">
        <f t="shared" si="6"/>
        <v>500</v>
      </c>
      <c r="H9" s="252">
        <f t="shared" si="6"/>
        <v>500</v>
      </c>
      <c r="I9" s="252">
        <f t="shared" si="6"/>
        <v>500</v>
      </c>
      <c r="J9" s="252">
        <f t="shared" si="6"/>
        <v>500</v>
      </c>
      <c r="K9" s="252">
        <f t="shared" si="6"/>
        <v>500</v>
      </c>
      <c r="L9" s="252">
        <f t="shared" si="6"/>
        <v>500</v>
      </c>
      <c r="M9" s="252">
        <f t="shared" si="6"/>
        <v>500</v>
      </c>
      <c r="N9" s="252">
        <f t="shared" si="6"/>
        <v>500</v>
      </c>
      <c r="O9" s="252">
        <f t="shared" si="6"/>
        <v>500</v>
      </c>
      <c r="P9" s="250">
        <f>SUM(D9:O9)</f>
        <v>6000</v>
      </c>
      <c r="Q9" s="50"/>
      <c r="R9" s="50"/>
      <c r="T9" s="51"/>
      <c r="U9" s="51"/>
      <c r="V9" s="51"/>
      <c r="W9" s="51"/>
      <c r="X9" s="51"/>
      <c r="Y9" s="51"/>
      <c r="Z9" s="51"/>
      <c r="AA9" s="51"/>
    </row>
    <row r="10" spans="1:33" x14ac:dyDescent="0.2">
      <c r="A10" s="65"/>
      <c r="B10" s="599" t="s">
        <v>1149</v>
      </c>
      <c r="C10" s="165"/>
      <c r="D10" s="252">
        <v>595</v>
      </c>
      <c r="E10" s="252">
        <f t="shared" ref="E10:E20" si="7">D10</f>
        <v>595</v>
      </c>
      <c r="F10" s="252">
        <f t="shared" ref="F10:O10" si="8">E10</f>
        <v>595</v>
      </c>
      <c r="G10" s="252">
        <f t="shared" si="8"/>
        <v>595</v>
      </c>
      <c r="H10" s="252">
        <f t="shared" si="8"/>
        <v>595</v>
      </c>
      <c r="I10" s="252">
        <f t="shared" si="8"/>
        <v>595</v>
      </c>
      <c r="J10" s="252">
        <f t="shared" si="8"/>
        <v>595</v>
      </c>
      <c r="K10" s="252">
        <f t="shared" si="8"/>
        <v>595</v>
      </c>
      <c r="L10" s="252">
        <f t="shared" si="8"/>
        <v>595</v>
      </c>
      <c r="M10" s="252">
        <f t="shared" si="8"/>
        <v>595</v>
      </c>
      <c r="N10" s="252">
        <f t="shared" si="8"/>
        <v>595</v>
      </c>
      <c r="O10" s="252">
        <f t="shared" si="8"/>
        <v>595</v>
      </c>
      <c r="P10" s="250">
        <f t="shared" si="1"/>
        <v>7140</v>
      </c>
      <c r="Q10" s="44" t="s">
        <v>95</v>
      </c>
      <c r="S10" s="44" t="s">
        <v>1077</v>
      </c>
      <c r="T10" s="51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</row>
    <row r="11" spans="1:33" x14ac:dyDescent="0.2">
      <c r="A11" s="65"/>
      <c r="B11" s="599" t="s">
        <v>1150</v>
      </c>
      <c r="C11" s="165"/>
      <c r="D11" s="252">
        <v>2897.09</v>
      </c>
      <c r="E11" s="252">
        <f t="shared" si="7"/>
        <v>2897.09</v>
      </c>
      <c r="F11" s="252">
        <f t="shared" ref="F11:O11" si="9">E11</f>
        <v>2897.09</v>
      </c>
      <c r="G11" s="252">
        <f t="shared" si="9"/>
        <v>2897.09</v>
      </c>
      <c r="H11" s="252">
        <f t="shared" si="9"/>
        <v>2897.09</v>
      </c>
      <c r="I11" s="252">
        <f t="shared" si="9"/>
        <v>2897.09</v>
      </c>
      <c r="J11" s="252">
        <f t="shared" si="9"/>
        <v>2897.09</v>
      </c>
      <c r="K11" s="252">
        <f t="shared" si="9"/>
        <v>2897.09</v>
      </c>
      <c r="L11" s="252">
        <f t="shared" si="9"/>
        <v>2897.09</v>
      </c>
      <c r="M11" s="252">
        <f t="shared" si="9"/>
        <v>2897.09</v>
      </c>
      <c r="N11" s="252">
        <f t="shared" si="9"/>
        <v>2897.09</v>
      </c>
      <c r="O11" s="252">
        <f t="shared" si="9"/>
        <v>2897.09</v>
      </c>
      <c r="P11" s="250">
        <f t="shared" si="1"/>
        <v>34765.08</v>
      </c>
      <c r="Q11" s="44" t="s">
        <v>1151</v>
      </c>
      <c r="T11" s="51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</row>
    <row r="12" spans="1:33" x14ac:dyDescent="0.2">
      <c r="A12" s="65"/>
      <c r="B12" s="599" t="s">
        <v>882</v>
      </c>
      <c r="C12" s="165"/>
      <c r="D12" s="252">
        <v>700</v>
      </c>
      <c r="E12" s="252">
        <f t="shared" si="7"/>
        <v>700</v>
      </c>
      <c r="F12" s="252">
        <f t="shared" ref="F12:O12" si="10">E12</f>
        <v>700</v>
      </c>
      <c r="G12" s="252">
        <f>F12*2</f>
        <v>1400</v>
      </c>
      <c r="H12" s="252">
        <f t="shared" si="10"/>
        <v>1400</v>
      </c>
      <c r="I12" s="252">
        <f t="shared" si="10"/>
        <v>1400</v>
      </c>
      <c r="J12" s="252">
        <f t="shared" si="10"/>
        <v>1400</v>
      </c>
      <c r="K12" s="252">
        <f t="shared" si="10"/>
        <v>1400</v>
      </c>
      <c r="L12" s="252">
        <f t="shared" si="10"/>
        <v>1400</v>
      </c>
      <c r="M12" s="252">
        <f t="shared" si="10"/>
        <v>1400</v>
      </c>
      <c r="N12" s="252">
        <f t="shared" si="10"/>
        <v>1400</v>
      </c>
      <c r="O12" s="252">
        <f t="shared" si="10"/>
        <v>1400</v>
      </c>
      <c r="P12" s="250">
        <f t="shared" si="1"/>
        <v>14700</v>
      </c>
      <c r="Q12" s="50"/>
      <c r="R12" s="50"/>
      <c r="S12" s="44" t="s">
        <v>1078</v>
      </c>
      <c r="T12" s="44">
        <v>597</v>
      </c>
      <c r="U12" s="4">
        <f>T12+T13</f>
        <v>2097</v>
      </c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</row>
    <row r="13" spans="1:33" x14ac:dyDescent="0.2">
      <c r="A13" s="65"/>
      <c r="B13" s="599" t="s">
        <v>96</v>
      </c>
      <c r="C13" s="165"/>
      <c r="D13" s="252">
        <f>2790/12</f>
        <v>232.5</v>
      </c>
      <c r="E13" s="252">
        <f t="shared" si="7"/>
        <v>232.5</v>
      </c>
      <c r="F13" s="252">
        <f t="shared" ref="F13:O13" si="11">E13</f>
        <v>232.5</v>
      </c>
      <c r="G13" s="252">
        <f t="shared" si="11"/>
        <v>232.5</v>
      </c>
      <c r="H13" s="252">
        <f t="shared" si="11"/>
        <v>232.5</v>
      </c>
      <c r="I13" s="252">
        <f t="shared" si="11"/>
        <v>232.5</v>
      </c>
      <c r="J13" s="252">
        <f t="shared" si="11"/>
        <v>232.5</v>
      </c>
      <c r="K13" s="252">
        <f t="shared" si="11"/>
        <v>232.5</v>
      </c>
      <c r="L13" s="252">
        <f t="shared" si="11"/>
        <v>232.5</v>
      </c>
      <c r="M13" s="252">
        <f t="shared" si="11"/>
        <v>232.5</v>
      </c>
      <c r="N13" s="252">
        <f t="shared" si="11"/>
        <v>232.5</v>
      </c>
      <c r="O13" s="252">
        <f t="shared" si="11"/>
        <v>232.5</v>
      </c>
      <c r="P13" s="250">
        <f t="shared" si="1"/>
        <v>2790</v>
      </c>
      <c r="Q13" s="50"/>
      <c r="R13" s="50"/>
      <c r="S13" s="44" t="s">
        <v>1079</v>
      </c>
      <c r="T13" s="44">
        <v>1500</v>
      </c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</row>
    <row r="14" spans="1:33" x14ac:dyDescent="0.2">
      <c r="A14" s="65"/>
      <c r="B14" s="599" t="s">
        <v>1147</v>
      </c>
      <c r="C14" s="165"/>
      <c r="D14" s="252">
        <f>37+60</f>
        <v>97</v>
      </c>
      <c r="E14" s="252">
        <f t="shared" si="7"/>
        <v>97</v>
      </c>
      <c r="F14" s="252">
        <f t="shared" ref="F14:O14" si="12">E14</f>
        <v>97</v>
      </c>
      <c r="G14" s="252">
        <f t="shared" si="12"/>
        <v>97</v>
      </c>
      <c r="H14" s="252">
        <f t="shared" si="12"/>
        <v>97</v>
      </c>
      <c r="I14" s="252">
        <f t="shared" si="12"/>
        <v>97</v>
      </c>
      <c r="J14" s="252">
        <f t="shared" si="12"/>
        <v>97</v>
      </c>
      <c r="K14" s="252">
        <f t="shared" si="12"/>
        <v>97</v>
      </c>
      <c r="L14" s="252">
        <f t="shared" si="12"/>
        <v>97</v>
      </c>
      <c r="M14" s="252">
        <f t="shared" si="12"/>
        <v>97</v>
      </c>
      <c r="N14" s="252">
        <f t="shared" si="12"/>
        <v>97</v>
      </c>
      <c r="O14" s="252">
        <f t="shared" si="12"/>
        <v>97</v>
      </c>
      <c r="P14" s="250">
        <f t="shared" si="1"/>
        <v>1164</v>
      </c>
      <c r="Q14" s="50" t="s">
        <v>884</v>
      </c>
      <c r="R14" s="50"/>
      <c r="T14" s="51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</row>
    <row r="15" spans="1:33" x14ac:dyDescent="0.2">
      <c r="A15" s="65"/>
      <c r="B15" s="599" t="s">
        <v>1148</v>
      </c>
      <c r="C15" s="165"/>
      <c r="D15" s="252">
        <f>505/12</f>
        <v>42.083333333333336</v>
      </c>
      <c r="E15" s="252">
        <f t="shared" si="7"/>
        <v>42.083333333333336</v>
      </c>
      <c r="F15" s="252">
        <f t="shared" ref="F15:O15" si="13">E15</f>
        <v>42.083333333333336</v>
      </c>
      <c r="G15" s="252">
        <f t="shared" si="13"/>
        <v>42.083333333333336</v>
      </c>
      <c r="H15" s="252">
        <f t="shared" si="13"/>
        <v>42.083333333333336</v>
      </c>
      <c r="I15" s="252">
        <f t="shared" si="13"/>
        <v>42.083333333333336</v>
      </c>
      <c r="J15" s="252">
        <f t="shared" si="13"/>
        <v>42.083333333333336</v>
      </c>
      <c r="K15" s="252">
        <f t="shared" si="13"/>
        <v>42.083333333333336</v>
      </c>
      <c r="L15" s="252">
        <f t="shared" si="13"/>
        <v>42.083333333333336</v>
      </c>
      <c r="M15" s="252">
        <f t="shared" si="13"/>
        <v>42.083333333333336</v>
      </c>
      <c r="N15" s="252">
        <f t="shared" si="13"/>
        <v>42.083333333333336</v>
      </c>
      <c r="O15" s="252">
        <f t="shared" si="13"/>
        <v>42.083333333333336</v>
      </c>
      <c r="P15" s="250">
        <f t="shared" si="1"/>
        <v>504.99999999999994</v>
      </c>
      <c r="Q15" s="50"/>
      <c r="R15" s="50"/>
      <c r="T15" s="51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</row>
    <row r="16" spans="1:33" x14ac:dyDescent="0.2">
      <c r="A16" s="65"/>
      <c r="B16" s="599" t="s">
        <v>1081</v>
      </c>
      <c r="C16" s="165"/>
      <c r="D16" s="252">
        <f>2850/12</f>
        <v>237.5</v>
      </c>
      <c r="E16" s="252">
        <f t="shared" si="7"/>
        <v>237.5</v>
      </c>
      <c r="F16" s="252">
        <f t="shared" ref="F16:O16" si="14">E16</f>
        <v>237.5</v>
      </c>
      <c r="G16" s="252">
        <f t="shared" si="14"/>
        <v>237.5</v>
      </c>
      <c r="H16" s="252">
        <f t="shared" si="14"/>
        <v>237.5</v>
      </c>
      <c r="I16" s="252">
        <f t="shared" si="14"/>
        <v>237.5</v>
      </c>
      <c r="J16" s="252">
        <f t="shared" si="14"/>
        <v>237.5</v>
      </c>
      <c r="K16" s="252">
        <f t="shared" si="14"/>
        <v>237.5</v>
      </c>
      <c r="L16" s="252">
        <f t="shared" si="14"/>
        <v>237.5</v>
      </c>
      <c r="M16" s="252">
        <f t="shared" si="14"/>
        <v>237.5</v>
      </c>
      <c r="N16" s="252">
        <f t="shared" si="14"/>
        <v>237.5</v>
      </c>
      <c r="O16" s="252">
        <f t="shared" si="14"/>
        <v>237.5</v>
      </c>
      <c r="P16" s="250">
        <f t="shared" si="1"/>
        <v>2850</v>
      </c>
      <c r="Q16" s="50"/>
      <c r="R16" s="50"/>
      <c r="T16" s="4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</row>
    <row r="17" spans="1:33" x14ac:dyDescent="0.2">
      <c r="A17" s="65"/>
      <c r="B17" s="599" t="s">
        <v>1080</v>
      </c>
      <c r="C17" s="165"/>
      <c r="D17" s="252">
        <v>14</v>
      </c>
      <c r="E17" s="252">
        <f t="shared" si="7"/>
        <v>14</v>
      </c>
      <c r="F17" s="252">
        <f t="shared" ref="F17:O17" si="15">E17</f>
        <v>14</v>
      </c>
      <c r="G17" s="252">
        <f t="shared" si="15"/>
        <v>14</v>
      </c>
      <c r="H17" s="252">
        <f t="shared" si="15"/>
        <v>14</v>
      </c>
      <c r="I17" s="252">
        <f t="shared" si="15"/>
        <v>14</v>
      </c>
      <c r="J17" s="252">
        <f t="shared" si="15"/>
        <v>14</v>
      </c>
      <c r="K17" s="252">
        <f t="shared" si="15"/>
        <v>14</v>
      </c>
      <c r="L17" s="252">
        <f t="shared" si="15"/>
        <v>14</v>
      </c>
      <c r="M17" s="252">
        <f t="shared" si="15"/>
        <v>14</v>
      </c>
      <c r="N17" s="252">
        <f t="shared" si="15"/>
        <v>14</v>
      </c>
      <c r="O17" s="252">
        <f t="shared" si="15"/>
        <v>14</v>
      </c>
      <c r="P17" s="250">
        <f t="shared" si="1"/>
        <v>168</v>
      </c>
      <c r="Q17" s="50"/>
      <c r="R17" s="50"/>
      <c r="T17" s="51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</row>
    <row r="18" spans="1:33" x14ac:dyDescent="0.2">
      <c r="A18" s="65"/>
      <c r="B18" s="599" t="s">
        <v>97</v>
      </c>
      <c r="C18" s="165"/>
      <c r="D18" s="252">
        <f>2640/12</f>
        <v>220</v>
      </c>
      <c r="E18" s="252">
        <f t="shared" si="7"/>
        <v>220</v>
      </c>
      <c r="F18" s="252">
        <f t="shared" ref="F18:O18" si="16">E18</f>
        <v>220</v>
      </c>
      <c r="G18" s="252">
        <f t="shared" si="16"/>
        <v>220</v>
      </c>
      <c r="H18" s="252">
        <f t="shared" si="16"/>
        <v>220</v>
      </c>
      <c r="I18" s="252">
        <f t="shared" si="16"/>
        <v>220</v>
      </c>
      <c r="J18" s="252">
        <f t="shared" si="16"/>
        <v>220</v>
      </c>
      <c r="K18" s="252">
        <f t="shared" si="16"/>
        <v>220</v>
      </c>
      <c r="L18" s="252">
        <f t="shared" si="16"/>
        <v>220</v>
      </c>
      <c r="M18" s="252">
        <f t="shared" si="16"/>
        <v>220</v>
      </c>
      <c r="N18" s="252">
        <f t="shared" si="16"/>
        <v>220</v>
      </c>
      <c r="O18" s="252">
        <f t="shared" si="16"/>
        <v>220</v>
      </c>
      <c r="P18" s="250">
        <f t="shared" si="1"/>
        <v>2640</v>
      </c>
      <c r="Q18" s="50"/>
      <c r="R18" s="50"/>
      <c r="T18" s="51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</row>
    <row r="19" spans="1:33" x14ac:dyDescent="0.2">
      <c r="A19" s="65"/>
      <c r="B19" s="599" t="s">
        <v>1152</v>
      </c>
      <c r="C19" s="165"/>
      <c r="D19" s="252">
        <v>38.75</v>
      </c>
      <c r="E19" s="252">
        <f t="shared" si="7"/>
        <v>38.75</v>
      </c>
      <c r="F19" s="252">
        <v>38.75</v>
      </c>
      <c r="G19" s="252">
        <v>38.75</v>
      </c>
      <c r="H19" s="252">
        <v>38.75</v>
      </c>
      <c r="I19" s="252">
        <v>38.75</v>
      </c>
      <c r="J19" s="252">
        <v>38.75</v>
      </c>
      <c r="K19" s="252">
        <v>38.75</v>
      </c>
      <c r="L19" s="252">
        <v>38.75</v>
      </c>
      <c r="M19" s="252">
        <v>38.75</v>
      </c>
      <c r="N19" s="252">
        <v>38.75</v>
      </c>
      <c r="O19" s="252">
        <v>38.75</v>
      </c>
      <c r="P19" s="250">
        <f t="shared" si="1"/>
        <v>465</v>
      </c>
      <c r="Q19" s="50" t="s">
        <v>98</v>
      </c>
      <c r="R19" s="50"/>
      <c r="T19" s="51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</row>
    <row r="20" spans="1:33" x14ac:dyDescent="0.2">
      <c r="A20" s="65"/>
      <c r="B20" s="599" t="s">
        <v>99</v>
      </c>
      <c r="C20" s="165"/>
      <c r="D20" s="252">
        <f>71.82/12</f>
        <v>5.9849999999999994</v>
      </c>
      <c r="E20" s="252">
        <f t="shared" si="7"/>
        <v>5.9849999999999994</v>
      </c>
      <c r="F20" s="252">
        <f t="shared" ref="F20:O20" si="17">71.82/12</f>
        <v>5.9849999999999994</v>
      </c>
      <c r="G20" s="252">
        <f t="shared" si="17"/>
        <v>5.9849999999999994</v>
      </c>
      <c r="H20" s="252">
        <f t="shared" si="17"/>
        <v>5.9849999999999994</v>
      </c>
      <c r="I20" s="252">
        <f t="shared" si="17"/>
        <v>5.9849999999999994</v>
      </c>
      <c r="J20" s="252">
        <f t="shared" si="17"/>
        <v>5.9849999999999994</v>
      </c>
      <c r="K20" s="252">
        <f t="shared" si="17"/>
        <v>5.9849999999999994</v>
      </c>
      <c r="L20" s="252">
        <f t="shared" si="17"/>
        <v>5.9849999999999994</v>
      </c>
      <c r="M20" s="252">
        <f t="shared" si="17"/>
        <v>5.9849999999999994</v>
      </c>
      <c r="N20" s="252">
        <f t="shared" si="17"/>
        <v>5.9849999999999994</v>
      </c>
      <c r="O20" s="252">
        <f t="shared" si="17"/>
        <v>5.9849999999999994</v>
      </c>
      <c r="P20" s="250">
        <f t="shared" ref="P20:P25" si="18">SUM(D20:O20)</f>
        <v>71.819999999999993</v>
      </c>
      <c r="Q20" s="50" t="s">
        <v>885</v>
      </c>
      <c r="R20" s="50"/>
      <c r="T20" s="51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</row>
    <row r="21" spans="1:33" x14ac:dyDescent="0.2">
      <c r="A21" s="65"/>
      <c r="B21" s="599" t="s">
        <v>1153</v>
      </c>
      <c r="C21" s="165"/>
      <c r="D21" s="252">
        <f>113.49/1.1</f>
        <v>103.17272727272726</v>
      </c>
      <c r="E21" s="252">
        <f t="shared" ref="E21:E25" si="19">D21</f>
        <v>103.17272727272726</v>
      </c>
      <c r="F21" s="252">
        <f t="shared" ref="F21:O21" si="20">E21</f>
        <v>103.17272727272726</v>
      </c>
      <c r="G21" s="252">
        <f t="shared" si="20"/>
        <v>103.17272727272726</v>
      </c>
      <c r="H21" s="252">
        <f t="shared" si="20"/>
        <v>103.17272727272726</v>
      </c>
      <c r="I21" s="252">
        <f t="shared" si="20"/>
        <v>103.17272727272726</v>
      </c>
      <c r="J21" s="252">
        <f t="shared" si="20"/>
        <v>103.17272727272726</v>
      </c>
      <c r="K21" s="252">
        <f t="shared" si="20"/>
        <v>103.17272727272726</v>
      </c>
      <c r="L21" s="252">
        <f t="shared" si="20"/>
        <v>103.17272727272726</v>
      </c>
      <c r="M21" s="252">
        <f t="shared" si="20"/>
        <v>103.17272727272726</v>
      </c>
      <c r="N21" s="252">
        <f t="shared" si="20"/>
        <v>103.17272727272726</v>
      </c>
      <c r="O21" s="252">
        <f t="shared" si="20"/>
        <v>103.17272727272726</v>
      </c>
      <c r="P21" s="250">
        <f t="shared" si="18"/>
        <v>1238.0727272727272</v>
      </c>
      <c r="Q21" s="50"/>
      <c r="R21" s="50"/>
      <c r="T21" s="51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</row>
    <row r="22" spans="1:33" x14ac:dyDescent="0.2">
      <c r="A22" s="65"/>
      <c r="B22" s="599" t="s">
        <v>1161</v>
      </c>
      <c r="C22" s="165"/>
      <c r="D22" s="252">
        <v>16</v>
      </c>
      <c r="E22" s="252">
        <f t="shared" si="19"/>
        <v>16</v>
      </c>
      <c r="F22" s="252">
        <f t="shared" ref="F22:O23" si="21">E22</f>
        <v>16</v>
      </c>
      <c r="G22" s="252">
        <f t="shared" si="21"/>
        <v>16</v>
      </c>
      <c r="H22" s="252">
        <f t="shared" si="21"/>
        <v>16</v>
      </c>
      <c r="I22" s="252">
        <f t="shared" si="21"/>
        <v>16</v>
      </c>
      <c r="J22" s="252">
        <f t="shared" si="21"/>
        <v>16</v>
      </c>
      <c r="K22" s="252">
        <f t="shared" si="21"/>
        <v>16</v>
      </c>
      <c r="L22" s="252">
        <f t="shared" si="21"/>
        <v>16</v>
      </c>
      <c r="M22" s="252">
        <f t="shared" si="21"/>
        <v>16</v>
      </c>
      <c r="N22" s="252">
        <f t="shared" si="21"/>
        <v>16</v>
      </c>
      <c r="O22" s="252">
        <f t="shared" si="21"/>
        <v>16</v>
      </c>
      <c r="P22" s="250">
        <f t="shared" si="18"/>
        <v>192</v>
      </c>
      <c r="Q22" s="50"/>
      <c r="R22" s="50"/>
      <c r="T22" s="51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</row>
    <row r="23" spans="1:33" x14ac:dyDescent="0.2">
      <c r="A23" s="65"/>
      <c r="B23" s="599" t="s">
        <v>1162</v>
      </c>
      <c r="C23" s="165"/>
      <c r="D23" s="252">
        <f>140/12</f>
        <v>11.666666666666666</v>
      </c>
      <c r="E23" s="252">
        <f t="shared" si="19"/>
        <v>11.666666666666666</v>
      </c>
      <c r="F23" s="252">
        <f t="shared" si="21"/>
        <v>11.666666666666666</v>
      </c>
      <c r="G23" s="252">
        <f t="shared" si="21"/>
        <v>11.666666666666666</v>
      </c>
      <c r="H23" s="252">
        <f t="shared" si="21"/>
        <v>11.666666666666666</v>
      </c>
      <c r="I23" s="252">
        <f t="shared" si="21"/>
        <v>11.666666666666666</v>
      </c>
      <c r="J23" s="252">
        <f t="shared" si="21"/>
        <v>11.666666666666666</v>
      </c>
      <c r="K23" s="252">
        <f t="shared" si="21"/>
        <v>11.666666666666666</v>
      </c>
      <c r="L23" s="252">
        <f t="shared" si="21"/>
        <v>11.666666666666666</v>
      </c>
      <c r="M23" s="252">
        <f t="shared" si="21"/>
        <v>11.666666666666666</v>
      </c>
      <c r="N23" s="252">
        <f t="shared" si="21"/>
        <v>11.666666666666666</v>
      </c>
      <c r="O23" s="252">
        <f t="shared" si="21"/>
        <v>11.666666666666666</v>
      </c>
      <c r="P23" s="250">
        <f t="shared" si="18"/>
        <v>140</v>
      </c>
      <c r="Q23" s="50"/>
      <c r="R23" s="50"/>
      <c r="T23" s="51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</row>
    <row r="24" spans="1:33" x14ac:dyDescent="0.2">
      <c r="A24" s="65"/>
      <c r="B24" s="599" t="s">
        <v>1191</v>
      </c>
      <c r="C24" s="165"/>
      <c r="D24" s="252">
        <f>383.33</f>
        <v>383.33</v>
      </c>
      <c r="E24" s="252">
        <f t="shared" si="19"/>
        <v>383.33</v>
      </c>
      <c r="F24" s="252">
        <f t="shared" ref="F24" si="22">E24</f>
        <v>383.33</v>
      </c>
      <c r="G24" s="252">
        <f t="shared" ref="G24" si="23">F24</f>
        <v>383.33</v>
      </c>
      <c r="H24" s="252">
        <f t="shared" ref="H24" si="24">G24</f>
        <v>383.33</v>
      </c>
      <c r="I24" s="252">
        <f t="shared" ref="I24" si="25">H24</f>
        <v>383.33</v>
      </c>
      <c r="J24" s="252">
        <f t="shared" ref="J24" si="26">I24</f>
        <v>383.33</v>
      </c>
      <c r="K24" s="252">
        <f t="shared" ref="K24" si="27">J24</f>
        <v>383.33</v>
      </c>
      <c r="L24" s="252">
        <f t="shared" ref="L24" si="28">K24</f>
        <v>383.33</v>
      </c>
      <c r="M24" s="252">
        <f t="shared" ref="M24" si="29">L24</f>
        <v>383.33</v>
      </c>
      <c r="N24" s="252">
        <f t="shared" ref="N24" si="30">M24</f>
        <v>383.33</v>
      </c>
      <c r="O24" s="252">
        <f t="shared" ref="O24" si="31">N24</f>
        <v>383.33</v>
      </c>
      <c r="P24" s="250">
        <f t="shared" si="18"/>
        <v>4599.96</v>
      </c>
      <c r="Q24" s="50"/>
      <c r="R24" s="50"/>
      <c r="T24" s="51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</row>
    <row r="25" spans="1:33" x14ac:dyDescent="0.2">
      <c r="A25" s="256">
        <f>SUM(D8:D25)</f>
        <v>6686.9877272727272</v>
      </c>
      <c r="B25" s="601" t="s">
        <v>100</v>
      </c>
      <c r="C25" s="257"/>
      <c r="D25" s="267">
        <v>500</v>
      </c>
      <c r="E25" s="267">
        <f t="shared" si="19"/>
        <v>500</v>
      </c>
      <c r="F25" s="267">
        <f t="shared" ref="F25:O25" si="32">E25</f>
        <v>500</v>
      </c>
      <c r="G25" s="267">
        <f t="shared" si="32"/>
        <v>500</v>
      </c>
      <c r="H25" s="267">
        <f t="shared" si="32"/>
        <v>500</v>
      </c>
      <c r="I25" s="267">
        <f t="shared" si="32"/>
        <v>500</v>
      </c>
      <c r="J25" s="267">
        <f t="shared" si="32"/>
        <v>500</v>
      </c>
      <c r="K25" s="267">
        <f t="shared" si="32"/>
        <v>500</v>
      </c>
      <c r="L25" s="267">
        <f t="shared" si="32"/>
        <v>500</v>
      </c>
      <c r="M25" s="267">
        <f t="shared" si="32"/>
        <v>500</v>
      </c>
      <c r="N25" s="267">
        <f t="shared" si="32"/>
        <v>500</v>
      </c>
      <c r="O25" s="267">
        <f t="shared" si="32"/>
        <v>500</v>
      </c>
      <c r="P25" s="268">
        <f t="shared" si="18"/>
        <v>6000</v>
      </c>
      <c r="Q25" s="50"/>
      <c r="R25" s="50"/>
      <c r="T25" s="51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</row>
    <row r="26" spans="1:33" x14ac:dyDescent="0.2">
      <c r="A26" s="65" t="s">
        <v>101</v>
      </c>
      <c r="B26" s="599" t="s">
        <v>102</v>
      </c>
      <c r="C26" s="165"/>
      <c r="D26" s="249">
        <v>0</v>
      </c>
      <c r="E26" s="249">
        <v>0</v>
      </c>
      <c r="F26" s="249">
        <v>0</v>
      </c>
      <c r="G26" s="249">
        <v>0</v>
      </c>
      <c r="H26" s="249">
        <v>0</v>
      </c>
      <c r="I26" s="249">
        <v>0</v>
      </c>
      <c r="J26" s="249">
        <v>0</v>
      </c>
      <c r="K26" s="249">
        <v>200</v>
      </c>
      <c r="L26" s="249">
        <v>0</v>
      </c>
      <c r="M26" s="249">
        <v>0</v>
      </c>
      <c r="N26" s="249">
        <v>0</v>
      </c>
      <c r="O26" s="249">
        <v>5000</v>
      </c>
      <c r="P26" s="250">
        <f t="shared" si="1"/>
        <v>5200</v>
      </c>
      <c r="Q26" s="50"/>
      <c r="R26" s="50"/>
      <c r="T26" s="51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</row>
    <row r="27" spans="1:33" x14ac:dyDescent="0.2">
      <c r="A27" s="66" t="s">
        <v>51</v>
      </c>
      <c r="B27" s="600" t="s">
        <v>103</v>
      </c>
      <c r="C27" s="164"/>
      <c r="D27" s="249">
        <v>30</v>
      </c>
      <c r="E27" s="249">
        <v>30</v>
      </c>
      <c r="F27" s="249">
        <v>30</v>
      </c>
      <c r="G27" s="249">
        <v>30</v>
      </c>
      <c r="H27" s="249">
        <v>30</v>
      </c>
      <c r="I27" s="249">
        <v>150</v>
      </c>
      <c r="J27" s="249">
        <v>30</v>
      </c>
      <c r="K27" s="249">
        <v>30</v>
      </c>
      <c r="L27" s="249">
        <v>30</v>
      </c>
      <c r="M27" s="249">
        <v>30</v>
      </c>
      <c r="N27" s="249">
        <v>30</v>
      </c>
      <c r="O27" s="249">
        <v>30</v>
      </c>
      <c r="P27" s="250">
        <f t="shared" si="1"/>
        <v>480</v>
      </c>
      <c r="Q27" s="50"/>
      <c r="R27" s="50"/>
      <c r="T27" s="51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</row>
    <row r="28" spans="1:33" x14ac:dyDescent="0.2">
      <c r="A28" s="65" t="s">
        <v>52</v>
      </c>
      <c r="B28" s="599" t="s">
        <v>1101</v>
      </c>
      <c r="C28" s="165"/>
      <c r="D28" s="249"/>
      <c r="E28" s="249"/>
      <c r="F28" s="249">
        <v>825</v>
      </c>
      <c r="G28" s="249"/>
      <c r="H28" s="249"/>
      <c r="I28" s="249"/>
      <c r="J28" s="249"/>
      <c r="K28" s="249"/>
      <c r="L28" s="249"/>
      <c r="M28" s="249"/>
      <c r="N28" s="249"/>
      <c r="O28" s="249"/>
      <c r="P28" s="250">
        <f t="shared" si="1"/>
        <v>825</v>
      </c>
      <c r="Q28" s="50" t="s">
        <v>104</v>
      </c>
      <c r="R28" s="50"/>
      <c r="T28" s="51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</row>
    <row r="29" spans="1:33" x14ac:dyDescent="0.2">
      <c r="A29" s="66" t="s">
        <v>53</v>
      </c>
      <c r="B29" s="599" t="s">
        <v>1193</v>
      </c>
      <c r="C29" s="164"/>
      <c r="D29" s="249">
        <v>5000</v>
      </c>
      <c r="E29" s="249">
        <f>D29</f>
        <v>5000</v>
      </c>
      <c r="F29" s="249">
        <f>E29</f>
        <v>5000</v>
      </c>
      <c r="G29" s="249">
        <f t="shared" ref="G29:O32" si="33">F29</f>
        <v>5000</v>
      </c>
      <c r="H29" s="249">
        <f t="shared" si="33"/>
        <v>5000</v>
      </c>
      <c r="I29" s="249">
        <f t="shared" si="33"/>
        <v>5000</v>
      </c>
      <c r="J29" s="249">
        <f t="shared" si="33"/>
        <v>5000</v>
      </c>
      <c r="K29" s="249">
        <f t="shared" si="33"/>
        <v>5000</v>
      </c>
      <c r="L29" s="249">
        <f t="shared" si="33"/>
        <v>5000</v>
      </c>
      <c r="M29" s="249">
        <f t="shared" si="33"/>
        <v>5000</v>
      </c>
      <c r="N29" s="249">
        <f t="shared" si="33"/>
        <v>5000</v>
      </c>
      <c r="O29" s="249">
        <f t="shared" si="33"/>
        <v>5000</v>
      </c>
      <c r="P29" s="250">
        <f t="shared" si="1"/>
        <v>60000</v>
      </c>
      <c r="Q29" s="50" t="s">
        <v>1100</v>
      </c>
      <c r="R29" s="50"/>
      <c r="T29" s="51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</row>
    <row r="30" spans="1:33" x14ac:dyDescent="0.2">
      <c r="A30" s="66" t="s">
        <v>54</v>
      </c>
      <c r="B30" s="600" t="s">
        <v>105</v>
      </c>
      <c r="C30" s="164"/>
      <c r="D30" s="249">
        <v>20</v>
      </c>
      <c r="E30" s="249">
        <f>D30</f>
        <v>20</v>
      </c>
      <c r="F30" s="249">
        <f t="shared" ref="F30" si="34">E30</f>
        <v>20</v>
      </c>
      <c r="G30" s="249">
        <f t="shared" si="33"/>
        <v>20</v>
      </c>
      <c r="H30" s="249">
        <f t="shared" si="33"/>
        <v>20</v>
      </c>
      <c r="I30" s="249">
        <f t="shared" si="33"/>
        <v>20</v>
      </c>
      <c r="J30" s="249">
        <f t="shared" si="33"/>
        <v>20</v>
      </c>
      <c r="K30" s="249">
        <f t="shared" si="33"/>
        <v>20</v>
      </c>
      <c r="L30" s="249">
        <f t="shared" si="33"/>
        <v>20</v>
      </c>
      <c r="M30" s="249">
        <f t="shared" si="33"/>
        <v>20</v>
      </c>
      <c r="N30" s="249">
        <f t="shared" si="33"/>
        <v>20</v>
      </c>
      <c r="O30" s="249">
        <f t="shared" si="33"/>
        <v>20</v>
      </c>
      <c r="P30" s="250">
        <f t="shared" si="1"/>
        <v>240</v>
      </c>
      <c r="Q30" s="50"/>
      <c r="R30" s="50"/>
      <c r="T30" s="51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</row>
    <row r="31" spans="1:33" x14ac:dyDescent="0.2">
      <c r="A31" s="66" t="s">
        <v>55</v>
      </c>
      <c r="B31" s="600" t="s">
        <v>106</v>
      </c>
      <c r="C31" s="164"/>
      <c r="D31" s="249">
        <v>1200</v>
      </c>
      <c r="E31" s="249">
        <f>D31</f>
        <v>1200</v>
      </c>
      <c r="F31" s="249">
        <f t="shared" ref="F31" si="35">E31</f>
        <v>1200</v>
      </c>
      <c r="G31" s="249">
        <f t="shared" si="33"/>
        <v>1200</v>
      </c>
      <c r="H31" s="249">
        <f t="shared" si="33"/>
        <v>1200</v>
      </c>
      <c r="I31" s="249">
        <f t="shared" si="33"/>
        <v>1200</v>
      </c>
      <c r="J31" s="249">
        <f t="shared" si="33"/>
        <v>1200</v>
      </c>
      <c r="K31" s="249">
        <f t="shared" si="33"/>
        <v>1200</v>
      </c>
      <c r="L31" s="249">
        <f t="shared" si="33"/>
        <v>1200</v>
      </c>
      <c r="M31" s="249">
        <f t="shared" si="33"/>
        <v>1200</v>
      </c>
      <c r="N31" s="249">
        <f t="shared" si="33"/>
        <v>1200</v>
      </c>
      <c r="O31" s="249">
        <f t="shared" si="33"/>
        <v>1200</v>
      </c>
      <c r="P31" s="250">
        <f t="shared" si="1"/>
        <v>14400</v>
      </c>
      <c r="Q31" s="50"/>
      <c r="R31" s="50"/>
      <c r="T31" s="51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</row>
    <row r="32" spans="1:33" x14ac:dyDescent="0.2">
      <c r="A32" s="66" t="s">
        <v>56</v>
      </c>
      <c r="B32" s="600" t="s">
        <v>56</v>
      </c>
      <c r="C32" s="164"/>
      <c r="D32" s="249">
        <f>2699.09/12</f>
        <v>224.92416666666668</v>
      </c>
      <c r="E32" s="249">
        <f>D32</f>
        <v>224.92416666666668</v>
      </c>
      <c r="F32" s="249">
        <f t="shared" ref="F32" si="36">E32</f>
        <v>224.92416666666668</v>
      </c>
      <c r="G32" s="249">
        <f t="shared" si="33"/>
        <v>224.92416666666668</v>
      </c>
      <c r="H32" s="249">
        <f t="shared" si="33"/>
        <v>224.92416666666668</v>
      </c>
      <c r="I32" s="249">
        <f t="shared" si="33"/>
        <v>224.92416666666668</v>
      </c>
      <c r="J32" s="249">
        <f t="shared" si="33"/>
        <v>224.92416666666668</v>
      </c>
      <c r="K32" s="249">
        <f t="shared" si="33"/>
        <v>224.92416666666668</v>
      </c>
      <c r="L32" s="249">
        <f t="shared" si="33"/>
        <v>224.92416666666668</v>
      </c>
      <c r="M32" s="249">
        <f t="shared" si="33"/>
        <v>224.92416666666668</v>
      </c>
      <c r="N32" s="249">
        <f t="shared" si="33"/>
        <v>224.92416666666668</v>
      </c>
      <c r="O32" s="249">
        <f t="shared" si="33"/>
        <v>224.92416666666668</v>
      </c>
      <c r="P32" s="250">
        <f t="shared" si="1"/>
        <v>2699.09</v>
      </c>
      <c r="Q32" s="50">
        <f>2897-263.36</f>
        <v>2633.64</v>
      </c>
      <c r="R32" s="50"/>
      <c r="T32" s="51"/>
      <c r="U32" s="80"/>
      <c r="V32" s="80"/>
      <c r="W32" s="4"/>
      <c r="X32" s="533"/>
      <c r="Y32" s="4"/>
      <c r="Z32" s="4"/>
      <c r="AA32" s="4"/>
      <c r="AB32" s="4"/>
      <c r="AC32" s="4"/>
      <c r="AD32" s="4"/>
      <c r="AE32" s="4"/>
      <c r="AF32" s="4"/>
      <c r="AG32" s="4"/>
    </row>
    <row r="33" spans="1:33" x14ac:dyDescent="0.2">
      <c r="A33" s="66" t="s">
        <v>57</v>
      </c>
      <c r="B33" s="600" t="s">
        <v>57</v>
      </c>
      <c r="C33" s="164"/>
      <c r="D33" s="249">
        <v>300</v>
      </c>
      <c r="E33" s="249">
        <v>550</v>
      </c>
      <c r="F33" s="249">
        <v>300</v>
      </c>
      <c r="G33" s="249">
        <v>150</v>
      </c>
      <c r="H33" s="249">
        <v>150</v>
      </c>
      <c r="I33" s="249">
        <v>100</v>
      </c>
      <c r="J33" s="249">
        <v>50</v>
      </c>
      <c r="K33" s="249">
        <v>150</v>
      </c>
      <c r="L33" s="249">
        <v>150</v>
      </c>
      <c r="M33" s="249">
        <v>100</v>
      </c>
      <c r="N33" s="249">
        <v>150</v>
      </c>
      <c r="O33" s="249">
        <v>100</v>
      </c>
      <c r="P33" s="250">
        <f t="shared" si="1"/>
        <v>2250</v>
      </c>
      <c r="Q33" s="50"/>
      <c r="R33" s="50"/>
      <c r="T33" s="51"/>
      <c r="U33" s="4"/>
      <c r="V33" s="4"/>
      <c r="W33" s="4"/>
      <c r="X33" s="533"/>
      <c r="Y33" s="4"/>
      <c r="Z33" s="4"/>
      <c r="AA33" s="4"/>
      <c r="AB33" s="4"/>
      <c r="AC33" s="4"/>
      <c r="AD33" s="4"/>
      <c r="AE33" s="4"/>
      <c r="AF33" s="4"/>
      <c r="AG33" s="4"/>
    </row>
    <row r="34" spans="1:33" x14ac:dyDescent="0.2">
      <c r="A34" s="66" t="s">
        <v>58</v>
      </c>
      <c r="B34" s="600" t="s">
        <v>107</v>
      </c>
      <c r="C34" s="164"/>
      <c r="D34" s="249">
        <v>0</v>
      </c>
      <c r="E34" s="249">
        <v>0</v>
      </c>
      <c r="F34" s="249">
        <f>SUM(V37:V44)</f>
        <v>2741.81</v>
      </c>
      <c r="G34" s="249">
        <v>0</v>
      </c>
      <c r="H34" s="249">
        <v>0</v>
      </c>
      <c r="I34" s="249">
        <v>0</v>
      </c>
      <c r="J34" s="249">
        <v>0</v>
      </c>
      <c r="K34" s="249">
        <v>0</v>
      </c>
      <c r="L34" s="249">
        <v>0</v>
      </c>
      <c r="M34" s="249">
        <v>0</v>
      </c>
      <c r="N34" s="249">
        <v>0</v>
      </c>
      <c r="O34" s="249">
        <v>0</v>
      </c>
      <c r="P34" s="250">
        <f t="shared" si="1"/>
        <v>2741.81</v>
      </c>
      <c r="Q34" s="50"/>
      <c r="R34" s="50"/>
      <c r="T34" s="51"/>
      <c r="U34" s="4"/>
      <c r="V34" s="4"/>
      <c r="AE34" s="4"/>
      <c r="AF34" s="4"/>
      <c r="AG34" s="4"/>
    </row>
    <row r="35" spans="1:33" x14ac:dyDescent="0.2">
      <c r="A35" s="259" t="s">
        <v>60</v>
      </c>
      <c r="B35" s="260"/>
      <c r="C35" s="260"/>
      <c r="D35" s="261"/>
      <c r="E35" s="262"/>
      <c r="F35" s="262"/>
      <c r="G35" s="262"/>
      <c r="H35" s="262"/>
      <c r="I35" s="262"/>
      <c r="J35" s="262"/>
      <c r="K35" s="262"/>
      <c r="L35" s="262"/>
      <c r="M35" s="262"/>
      <c r="N35" s="262"/>
      <c r="O35" s="262"/>
      <c r="P35" s="263">
        <f t="shared" si="1"/>
        <v>0</v>
      </c>
      <c r="Q35" s="50"/>
      <c r="R35" s="50"/>
      <c r="T35" s="51"/>
      <c r="U35" s="4"/>
      <c r="V35" s="4"/>
      <c r="AE35" s="4"/>
      <c r="AF35" s="4"/>
      <c r="AG35" s="4"/>
    </row>
    <row r="36" spans="1:33" x14ac:dyDescent="0.2">
      <c r="A36" s="66"/>
      <c r="B36" s="600" t="s">
        <v>108</v>
      </c>
      <c r="C36" s="164"/>
      <c r="D36" s="252">
        <f>9000/12</f>
        <v>750</v>
      </c>
      <c r="E36" s="252">
        <f>D36</f>
        <v>750</v>
      </c>
      <c r="F36" s="252">
        <f>E36</f>
        <v>750</v>
      </c>
      <c r="G36" s="252">
        <f t="shared" ref="G36:O36" si="37">F36</f>
        <v>750</v>
      </c>
      <c r="H36" s="252">
        <f t="shared" si="37"/>
        <v>750</v>
      </c>
      <c r="I36" s="252">
        <f t="shared" si="37"/>
        <v>750</v>
      </c>
      <c r="J36" s="252">
        <f t="shared" si="37"/>
        <v>750</v>
      </c>
      <c r="K36" s="252">
        <f t="shared" si="37"/>
        <v>750</v>
      </c>
      <c r="L36" s="252">
        <f t="shared" si="37"/>
        <v>750</v>
      </c>
      <c r="M36" s="252">
        <f t="shared" si="37"/>
        <v>750</v>
      </c>
      <c r="N36" s="252">
        <f t="shared" si="37"/>
        <v>750</v>
      </c>
      <c r="O36" s="252">
        <f t="shared" si="37"/>
        <v>750</v>
      </c>
      <c r="P36" s="250">
        <f t="shared" si="1"/>
        <v>9000</v>
      </c>
      <c r="Q36" s="50"/>
      <c r="R36" s="535" t="s">
        <v>1364</v>
      </c>
      <c r="S36" s="535" t="s">
        <v>1067</v>
      </c>
      <c r="T36" s="536" t="s">
        <v>1058</v>
      </c>
      <c r="U36" s="535" t="s">
        <v>1059</v>
      </c>
      <c r="V36" s="535" t="s">
        <v>1095</v>
      </c>
      <c r="W36" s="535" t="s">
        <v>1060</v>
      </c>
      <c r="X36" s="707" t="s">
        <v>1073</v>
      </c>
      <c r="Y36" s="708"/>
      <c r="Z36" s="535" t="s">
        <v>1076</v>
      </c>
      <c r="AE36" s="4"/>
      <c r="AF36" s="4"/>
      <c r="AG36" s="4"/>
    </row>
    <row r="37" spans="1:33" x14ac:dyDescent="0.2">
      <c r="A37" s="264"/>
      <c r="B37" s="600" t="s">
        <v>1154</v>
      </c>
      <c r="C37" s="164"/>
      <c r="D37" s="252">
        <f>U37/12</f>
        <v>232.51166666666666</v>
      </c>
      <c r="E37" s="252">
        <f>D37</f>
        <v>232.51166666666666</v>
      </c>
      <c r="F37" s="252">
        <f t="shared" ref="F37:O37" si="38">E37</f>
        <v>232.51166666666666</v>
      </c>
      <c r="G37" s="252">
        <f t="shared" si="38"/>
        <v>232.51166666666666</v>
      </c>
      <c r="H37" s="252">
        <f t="shared" si="38"/>
        <v>232.51166666666666</v>
      </c>
      <c r="I37" s="252">
        <f t="shared" si="38"/>
        <v>232.51166666666666</v>
      </c>
      <c r="J37" s="252">
        <f t="shared" si="38"/>
        <v>232.51166666666666</v>
      </c>
      <c r="K37" s="252">
        <f t="shared" si="38"/>
        <v>232.51166666666666</v>
      </c>
      <c r="L37" s="252">
        <f t="shared" si="38"/>
        <v>232.51166666666666</v>
      </c>
      <c r="M37" s="252">
        <f t="shared" si="38"/>
        <v>232.51166666666666</v>
      </c>
      <c r="N37" s="252">
        <f t="shared" si="38"/>
        <v>232.51166666666666</v>
      </c>
      <c r="O37" s="252">
        <f t="shared" si="38"/>
        <v>232.51166666666666</v>
      </c>
      <c r="P37" s="250">
        <f>SUM(D37:O37)</f>
        <v>2790.1400000000008</v>
      </c>
      <c r="Q37" s="50"/>
      <c r="R37" s="537" t="s">
        <v>1056</v>
      </c>
      <c r="S37" s="537" t="s">
        <v>1068</v>
      </c>
      <c r="T37" s="538" t="s">
        <v>1368</v>
      </c>
      <c r="U37" s="539">
        <f>1771.34+328.8+690</f>
        <v>2790.14</v>
      </c>
      <c r="V37" s="539">
        <v>207.9</v>
      </c>
      <c r="W37" s="537" t="s">
        <v>1371</v>
      </c>
      <c r="X37" s="540" t="s">
        <v>1074</v>
      </c>
      <c r="Y37" s="537"/>
      <c r="Z37" s="541">
        <v>9000</v>
      </c>
      <c r="AE37" s="4"/>
      <c r="AF37" s="4"/>
      <c r="AG37" s="4"/>
    </row>
    <row r="38" spans="1:33" x14ac:dyDescent="0.2">
      <c r="A38" s="264"/>
      <c r="B38" s="600" t="s">
        <v>1155</v>
      </c>
      <c r="C38" s="164"/>
      <c r="D38" s="252">
        <f>U38/12</f>
        <v>0</v>
      </c>
      <c r="E38" s="252">
        <f>D38</f>
        <v>0</v>
      </c>
      <c r="F38" s="252">
        <f t="shared" ref="F38:O38" si="39">E38</f>
        <v>0</v>
      </c>
      <c r="G38" s="252">
        <f t="shared" si="39"/>
        <v>0</v>
      </c>
      <c r="H38" s="252">
        <f t="shared" si="39"/>
        <v>0</v>
      </c>
      <c r="I38" s="252">
        <f t="shared" si="39"/>
        <v>0</v>
      </c>
      <c r="J38" s="252">
        <f t="shared" si="39"/>
        <v>0</v>
      </c>
      <c r="K38" s="252">
        <f t="shared" si="39"/>
        <v>0</v>
      </c>
      <c r="L38" s="252">
        <f t="shared" si="39"/>
        <v>0</v>
      </c>
      <c r="M38" s="252">
        <f t="shared" si="39"/>
        <v>0</v>
      </c>
      <c r="N38" s="252">
        <f t="shared" si="39"/>
        <v>0</v>
      </c>
      <c r="O38" s="252">
        <f t="shared" si="39"/>
        <v>0</v>
      </c>
      <c r="P38" s="250">
        <f t="shared" si="1"/>
        <v>0</v>
      </c>
      <c r="Q38" s="50"/>
      <c r="R38" s="537" t="s">
        <v>1057</v>
      </c>
      <c r="S38" s="537" t="s">
        <v>1069</v>
      </c>
      <c r="T38" s="538"/>
      <c r="U38" s="539">
        <v>0</v>
      </c>
      <c r="V38" s="539">
        <v>0</v>
      </c>
      <c r="W38" s="537"/>
      <c r="X38" s="540" t="s">
        <v>1074</v>
      </c>
      <c r="Y38" s="537"/>
      <c r="Z38" s="541">
        <v>9000</v>
      </c>
      <c r="AE38" s="4"/>
      <c r="AF38" s="4"/>
      <c r="AG38" s="4"/>
    </row>
    <row r="39" spans="1:33" x14ac:dyDescent="0.2">
      <c r="A39" s="66"/>
      <c r="B39" s="600" t="s">
        <v>1156</v>
      </c>
      <c r="C39" s="164"/>
      <c r="D39" s="252">
        <f>U43/12</f>
        <v>1946.6766666666665</v>
      </c>
      <c r="E39" s="252">
        <f>D39</f>
        <v>1946.6766666666665</v>
      </c>
      <c r="F39" s="252">
        <f t="shared" ref="F39:O39" si="40">E39</f>
        <v>1946.6766666666665</v>
      </c>
      <c r="G39" s="252">
        <f t="shared" si="40"/>
        <v>1946.6766666666665</v>
      </c>
      <c r="H39" s="252">
        <f t="shared" si="40"/>
        <v>1946.6766666666665</v>
      </c>
      <c r="I39" s="252">
        <f t="shared" si="40"/>
        <v>1946.6766666666665</v>
      </c>
      <c r="J39" s="252">
        <f t="shared" si="40"/>
        <v>1946.6766666666665</v>
      </c>
      <c r="K39" s="252">
        <f t="shared" si="40"/>
        <v>1946.6766666666665</v>
      </c>
      <c r="L39" s="252">
        <f t="shared" si="40"/>
        <v>1946.6766666666665</v>
      </c>
      <c r="M39" s="252">
        <f t="shared" si="40"/>
        <v>1946.6766666666665</v>
      </c>
      <c r="N39" s="252">
        <f t="shared" si="40"/>
        <v>1946.6766666666665</v>
      </c>
      <c r="O39" s="252">
        <f t="shared" si="40"/>
        <v>1946.6766666666665</v>
      </c>
      <c r="P39" s="250">
        <f t="shared" si="1"/>
        <v>23360.12</v>
      </c>
      <c r="Q39" s="50"/>
      <c r="R39" s="542" t="s">
        <v>1061</v>
      </c>
      <c r="S39" s="537" t="s">
        <v>1070</v>
      </c>
      <c r="T39" s="538" t="s">
        <v>1367</v>
      </c>
      <c r="U39" s="539">
        <f>5621.05+716.67+1200</f>
        <v>7537.72</v>
      </c>
      <c r="V39" s="539">
        <v>349.19</v>
      </c>
      <c r="W39" s="537" t="s">
        <v>1372</v>
      </c>
      <c r="X39" s="540" t="s">
        <v>1074</v>
      </c>
      <c r="Y39" s="537"/>
      <c r="Z39" s="541">
        <v>9100</v>
      </c>
      <c r="AE39" s="4"/>
      <c r="AF39" s="4"/>
      <c r="AG39" s="4"/>
    </row>
    <row r="40" spans="1:33" x14ac:dyDescent="0.2">
      <c r="A40" s="270">
        <f>SUM(D36:D40)</f>
        <v>3414.6608333333329</v>
      </c>
      <c r="B40" s="600" t="s">
        <v>1157</v>
      </c>
      <c r="C40" s="266"/>
      <c r="D40" s="267">
        <f>U44/12</f>
        <v>485.47250000000003</v>
      </c>
      <c r="E40" s="267">
        <f>D40</f>
        <v>485.47250000000003</v>
      </c>
      <c r="F40" s="267">
        <f t="shared" ref="F40:O40" si="41">E40</f>
        <v>485.47250000000003</v>
      </c>
      <c r="G40" s="267">
        <f t="shared" si="41"/>
        <v>485.47250000000003</v>
      </c>
      <c r="H40" s="267">
        <f t="shared" si="41"/>
        <v>485.47250000000003</v>
      </c>
      <c r="I40" s="267">
        <f t="shared" si="41"/>
        <v>485.47250000000003</v>
      </c>
      <c r="J40" s="267">
        <f t="shared" si="41"/>
        <v>485.47250000000003</v>
      </c>
      <c r="K40" s="267">
        <f t="shared" si="41"/>
        <v>485.47250000000003</v>
      </c>
      <c r="L40" s="267">
        <f t="shared" si="41"/>
        <v>485.47250000000003</v>
      </c>
      <c r="M40" s="267">
        <f t="shared" si="41"/>
        <v>485.47250000000003</v>
      </c>
      <c r="N40" s="267">
        <f t="shared" si="41"/>
        <v>485.47250000000003</v>
      </c>
      <c r="O40" s="267">
        <f t="shared" si="41"/>
        <v>485.47250000000003</v>
      </c>
      <c r="P40" s="268">
        <f>SUM(D40:O40)</f>
        <v>5825.6699999999992</v>
      </c>
      <c r="Q40" s="50"/>
      <c r="R40" s="542" t="s">
        <v>1062</v>
      </c>
      <c r="S40" s="537" t="s">
        <v>1071</v>
      </c>
      <c r="T40" s="538" t="s">
        <v>1366</v>
      </c>
      <c r="U40" s="537">
        <f>3593+306.46+220+770</f>
        <v>4889.46</v>
      </c>
      <c r="V40" s="539">
        <v>378.89</v>
      </c>
      <c r="W40" s="537" t="s">
        <v>1372</v>
      </c>
      <c r="X40" s="540" t="s">
        <v>1074</v>
      </c>
      <c r="Y40" s="537"/>
      <c r="Z40" s="541">
        <v>9200</v>
      </c>
      <c r="AE40" s="4"/>
      <c r="AF40" s="4"/>
      <c r="AG40" s="4"/>
    </row>
    <row r="41" spans="1:33" x14ac:dyDescent="0.2">
      <c r="A41" s="66" t="s">
        <v>61</v>
      </c>
      <c r="B41" s="600" t="s">
        <v>1158</v>
      </c>
      <c r="C41" s="164"/>
      <c r="D41" s="249">
        <f>SUM(U41+U42)/12</f>
        <v>105.25</v>
      </c>
      <c r="E41" s="249">
        <f>D41</f>
        <v>105.25</v>
      </c>
      <c r="F41" s="249">
        <f t="shared" ref="F41:O41" si="42">E41</f>
        <v>105.25</v>
      </c>
      <c r="G41" s="249">
        <f t="shared" si="42"/>
        <v>105.25</v>
      </c>
      <c r="H41" s="249">
        <f t="shared" si="42"/>
        <v>105.25</v>
      </c>
      <c r="I41" s="249">
        <f t="shared" si="42"/>
        <v>105.25</v>
      </c>
      <c r="J41" s="249">
        <f t="shared" si="42"/>
        <v>105.25</v>
      </c>
      <c r="K41" s="249">
        <f t="shared" si="42"/>
        <v>105.25</v>
      </c>
      <c r="L41" s="249">
        <f t="shared" si="42"/>
        <v>105.25</v>
      </c>
      <c r="M41" s="249">
        <f t="shared" si="42"/>
        <v>105.25</v>
      </c>
      <c r="N41" s="249">
        <f t="shared" si="42"/>
        <v>105.25</v>
      </c>
      <c r="O41" s="249">
        <f t="shared" si="42"/>
        <v>105.25</v>
      </c>
      <c r="P41" s="250">
        <f t="shared" si="1"/>
        <v>1263</v>
      </c>
      <c r="Q41" s="50"/>
      <c r="R41" s="537" t="s">
        <v>1063</v>
      </c>
      <c r="S41" s="537" t="s">
        <v>1072</v>
      </c>
      <c r="T41" s="538" t="s">
        <v>1365</v>
      </c>
      <c r="U41" s="537">
        <f>300+663+300</f>
        <v>1263</v>
      </c>
      <c r="V41" s="539">
        <v>35.369999999999997</v>
      </c>
      <c r="W41" s="537" t="s">
        <v>1372</v>
      </c>
      <c r="X41" s="540" t="s">
        <v>1075</v>
      </c>
      <c r="Y41" s="537"/>
      <c r="Z41" s="541">
        <v>9000</v>
      </c>
      <c r="AE41" s="4"/>
      <c r="AF41" s="4"/>
      <c r="AG41" s="4"/>
    </row>
    <row r="42" spans="1:33" x14ac:dyDescent="0.2">
      <c r="A42" s="259" t="s">
        <v>62</v>
      </c>
      <c r="B42" s="260"/>
      <c r="C42" s="260"/>
      <c r="D42" s="254"/>
      <c r="E42" s="254"/>
      <c r="F42" s="254"/>
      <c r="G42" s="254"/>
      <c r="H42" s="254"/>
      <c r="I42" s="254"/>
      <c r="J42" s="254"/>
      <c r="K42" s="254"/>
      <c r="L42" s="254"/>
      <c r="M42" s="254"/>
      <c r="N42" s="254"/>
      <c r="O42" s="254"/>
      <c r="P42" s="255"/>
      <c r="Q42" s="50"/>
      <c r="R42" s="537" t="s">
        <v>1064</v>
      </c>
      <c r="S42" s="537" t="s">
        <v>1072</v>
      </c>
      <c r="T42" s="538"/>
      <c r="U42" s="537">
        <v>0</v>
      </c>
      <c r="V42" s="539">
        <v>0</v>
      </c>
      <c r="W42" s="537"/>
      <c r="X42" s="540" t="s">
        <v>1074</v>
      </c>
      <c r="Y42" s="537"/>
      <c r="Z42" s="541">
        <v>9000</v>
      </c>
      <c r="AE42" s="4"/>
      <c r="AF42" s="4"/>
      <c r="AG42" s="4"/>
    </row>
    <row r="43" spans="1:33" x14ac:dyDescent="0.2">
      <c r="A43" s="66"/>
      <c r="B43" s="164"/>
      <c r="C43" s="164"/>
      <c r="D43" s="252"/>
      <c r="E43" s="252"/>
      <c r="F43" s="252"/>
      <c r="G43" s="252"/>
      <c r="H43" s="252"/>
      <c r="I43" s="252"/>
      <c r="J43" s="252"/>
      <c r="K43" s="252"/>
      <c r="L43" s="252"/>
      <c r="M43" s="252"/>
      <c r="N43" s="252"/>
      <c r="O43" s="252"/>
      <c r="P43" s="250"/>
      <c r="Q43" s="50"/>
      <c r="R43" s="537" t="s">
        <v>1065</v>
      </c>
      <c r="S43" s="537" t="s">
        <v>1072</v>
      </c>
      <c r="T43" s="538" t="s">
        <v>1369</v>
      </c>
      <c r="U43" s="537">
        <f>20000+3360.12</f>
        <v>23360.12</v>
      </c>
      <c r="V43" s="539">
        <v>1384</v>
      </c>
      <c r="W43" s="537" t="s">
        <v>1372</v>
      </c>
      <c r="X43" s="540" t="s">
        <v>1074</v>
      </c>
      <c r="Y43" s="537"/>
      <c r="Z43" s="541">
        <v>9000</v>
      </c>
      <c r="AA43" s="4"/>
      <c r="AB43" s="534"/>
      <c r="AC43" s="4"/>
      <c r="AD43" s="533"/>
      <c r="AE43" s="4"/>
      <c r="AF43" s="4"/>
      <c r="AG43" s="4"/>
    </row>
    <row r="44" spans="1:33" x14ac:dyDescent="0.2">
      <c r="A44" s="66"/>
      <c r="B44" s="602" t="s">
        <v>109</v>
      </c>
      <c r="C44" s="164"/>
      <c r="D44" s="252">
        <v>0</v>
      </c>
      <c r="E44" s="252">
        <f>D44</f>
        <v>0</v>
      </c>
      <c r="F44" s="252">
        <f t="shared" ref="F44:O44" si="43">E44</f>
        <v>0</v>
      </c>
      <c r="G44" s="252">
        <f t="shared" si="43"/>
        <v>0</v>
      </c>
      <c r="H44" s="252">
        <f t="shared" si="43"/>
        <v>0</v>
      </c>
      <c r="I44" s="252">
        <f t="shared" si="43"/>
        <v>0</v>
      </c>
      <c r="J44" s="252">
        <f t="shared" si="43"/>
        <v>0</v>
      </c>
      <c r="K44" s="252">
        <f t="shared" si="43"/>
        <v>0</v>
      </c>
      <c r="L44" s="252">
        <f t="shared" si="43"/>
        <v>0</v>
      </c>
      <c r="M44" s="252">
        <f t="shared" si="43"/>
        <v>0</v>
      </c>
      <c r="N44" s="252">
        <f t="shared" si="43"/>
        <v>0</v>
      </c>
      <c r="O44" s="252">
        <f t="shared" si="43"/>
        <v>0</v>
      </c>
      <c r="P44" s="250">
        <f t="shared" si="1"/>
        <v>0</v>
      </c>
      <c r="Q44" s="50"/>
      <c r="R44" s="537" t="s">
        <v>1066</v>
      </c>
      <c r="S44" s="537" t="s">
        <v>1072</v>
      </c>
      <c r="T44" s="538" t="s">
        <v>1370</v>
      </c>
      <c r="U44" s="537">
        <f>4500.67+1325</f>
        <v>5825.67</v>
      </c>
      <c r="V44" s="539">
        <v>386.46</v>
      </c>
      <c r="W44" s="537" t="s">
        <v>1372</v>
      </c>
      <c r="X44" s="540" t="s">
        <v>1074</v>
      </c>
      <c r="Y44" s="537"/>
      <c r="Z44" s="541">
        <v>9000</v>
      </c>
      <c r="AA44" s="4"/>
      <c r="AB44" s="4"/>
      <c r="AC44" s="4"/>
      <c r="AD44" s="4"/>
      <c r="AE44" s="4"/>
      <c r="AF44" s="4"/>
      <c r="AG44" s="4"/>
    </row>
    <row r="45" spans="1:33" x14ac:dyDescent="0.2">
      <c r="A45" s="264"/>
      <c r="B45" s="600" t="s">
        <v>1159</v>
      </c>
      <c r="C45" s="164"/>
      <c r="D45" s="252">
        <f>(714)/12</f>
        <v>59.5</v>
      </c>
      <c r="E45" s="252">
        <f>D45</f>
        <v>59.5</v>
      </c>
      <c r="F45" s="252">
        <f t="shared" ref="F45:O46" si="44">E45</f>
        <v>59.5</v>
      </c>
      <c r="G45" s="252">
        <f t="shared" si="44"/>
        <v>59.5</v>
      </c>
      <c r="H45" s="252">
        <f t="shared" si="44"/>
        <v>59.5</v>
      </c>
      <c r="I45" s="252">
        <f t="shared" si="44"/>
        <v>59.5</v>
      </c>
      <c r="J45" s="252">
        <f t="shared" si="44"/>
        <v>59.5</v>
      </c>
      <c r="K45" s="252">
        <f t="shared" si="44"/>
        <v>59.5</v>
      </c>
      <c r="L45" s="252">
        <f t="shared" si="44"/>
        <v>59.5</v>
      </c>
      <c r="M45" s="252">
        <f t="shared" si="44"/>
        <v>59.5</v>
      </c>
      <c r="N45" s="252">
        <f t="shared" si="44"/>
        <v>59.5</v>
      </c>
      <c r="O45" s="252">
        <f t="shared" si="44"/>
        <v>59.5</v>
      </c>
      <c r="P45" s="250">
        <f t="shared" si="1"/>
        <v>714</v>
      </c>
      <c r="Q45" s="50"/>
      <c r="R45" s="50"/>
      <c r="T45" s="51"/>
      <c r="U45" s="4"/>
      <c r="V45" s="4"/>
      <c r="W45" s="4"/>
      <c r="X45" s="533"/>
      <c r="Y45" s="4"/>
      <c r="Z45" s="4"/>
      <c r="AA45" s="4"/>
      <c r="AB45" s="4"/>
      <c r="AC45" s="4"/>
      <c r="AD45" s="4"/>
      <c r="AE45" s="4"/>
      <c r="AF45" s="4"/>
      <c r="AG45" s="4"/>
    </row>
    <row r="46" spans="1:33" x14ac:dyDescent="0.2">
      <c r="A46" s="66"/>
      <c r="B46" s="600" t="s">
        <v>1178</v>
      </c>
      <c r="C46" s="164"/>
      <c r="D46" s="252">
        <v>34.35</v>
      </c>
      <c r="E46" s="252">
        <f>D46</f>
        <v>34.35</v>
      </c>
      <c r="F46" s="252">
        <f t="shared" si="44"/>
        <v>34.35</v>
      </c>
      <c r="G46" s="252">
        <f t="shared" si="44"/>
        <v>34.35</v>
      </c>
      <c r="H46" s="252">
        <f t="shared" si="44"/>
        <v>34.35</v>
      </c>
      <c r="I46" s="252">
        <f t="shared" si="44"/>
        <v>34.35</v>
      </c>
      <c r="J46" s="252">
        <f t="shared" si="44"/>
        <v>34.35</v>
      </c>
      <c r="K46" s="252">
        <f t="shared" si="44"/>
        <v>34.35</v>
      </c>
      <c r="L46" s="252">
        <f t="shared" si="44"/>
        <v>34.35</v>
      </c>
      <c r="M46" s="252">
        <f t="shared" si="44"/>
        <v>34.35</v>
      </c>
      <c r="N46" s="252">
        <f t="shared" si="44"/>
        <v>34.35</v>
      </c>
      <c r="O46" s="252">
        <f t="shared" si="44"/>
        <v>34.35</v>
      </c>
      <c r="P46" s="250">
        <f t="shared" si="1"/>
        <v>412.2000000000001</v>
      </c>
      <c r="Q46" s="50"/>
      <c r="R46" s="50"/>
      <c r="T46" s="51"/>
      <c r="U46" s="4"/>
      <c r="V46" s="4"/>
      <c r="W46" s="4"/>
      <c r="X46" s="533"/>
      <c r="Y46" s="4"/>
      <c r="Z46" s="4"/>
      <c r="AA46" s="4"/>
      <c r="AB46" s="4"/>
      <c r="AC46" s="4"/>
      <c r="AD46" s="4"/>
      <c r="AE46" s="4"/>
      <c r="AF46" s="4"/>
      <c r="AG46" s="4"/>
    </row>
    <row r="47" spans="1:33" x14ac:dyDescent="0.2">
      <c r="A47" s="66"/>
      <c r="B47" s="600" t="s">
        <v>110</v>
      </c>
      <c r="C47" s="164"/>
      <c r="D47" s="252">
        <v>4250</v>
      </c>
      <c r="E47" s="252">
        <f>4250+12000</f>
        <v>16250</v>
      </c>
      <c r="F47" s="252">
        <v>4250</v>
      </c>
      <c r="G47" s="252">
        <v>4250</v>
      </c>
      <c r="H47" s="252">
        <v>4250</v>
      </c>
      <c r="I47" s="252">
        <v>4250</v>
      </c>
      <c r="J47" s="252">
        <v>4250</v>
      </c>
      <c r="K47" s="252">
        <v>4250</v>
      </c>
      <c r="L47" s="252">
        <v>4250</v>
      </c>
      <c r="M47" s="252">
        <v>4250</v>
      </c>
      <c r="N47" s="252">
        <v>4250</v>
      </c>
      <c r="O47" s="252">
        <v>4250</v>
      </c>
      <c r="P47" s="250">
        <f t="shared" si="1"/>
        <v>63000</v>
      </c>
      <c r="Q47" s="50"/>
      <c r="R47" s="50"/>
      <c r="T47" s="51"/>
      <c r="U47" s="4"/>
      <c r="V47" s="4"/>
      <c r="W47" s="4"/>
      <c r="X47" s="533"/>
      <c r="Y47" s="4"/>
      <c r="Z47" s="4"/>
      <c r="AA47" s="4"/>
      <c r="AB47" s="4"/>
      <c r="AC47" s="4"/>
      <c r="AD47" s="4"/>
      <c r="AE47" s="4"/>
      <c r="AF47" s="4"/>
      <c r="AG47" s="4"/>
    </row>
    <row r="48" spans="1:33" x14ac:dyDescent="0.2">
      <c r="A48" s="66"/>
      <c r="B48" s="599" t="s">
        <v>111</v>
      </c>
      <c r="C48" s="165"/>
      <c r="D48" s="252">
        <v>300</v>
      </c>
      <c r="E48" s="252">
        <v>9300</v>
      </c>
      <c r="F48" s="252">
        <v>300</v>
      </c>
      <c r="G48" s="252">
        <v>300</v>
      </c>
      <c r="H48" s="252">
        <v>300</v>
      </c>
      <c r="I48" s="252">
        <v>300</v>
      </c>
      <c r="J48" s="252">
        <v>300</v>
      </c>
      <c r="K48" s="252">
        <v>300</v>
      </c>
      <c r="L48" s="252">
        <v>300</v>
      </c>
      <c r="M48" s="252">
        <v>300</v>
      </c>
      <c r="N48" s="252">
        <v>300</v>
      </c>
      <c r="O48" s="252">
        <v>300</v>
      </c>
      <c r="P48" s="250">
        <f t="shared" si="1"/>
        <v>12600</v>
      </c>
      <c r="Q48" s="50"/>
      <c r="R48" s="50"/>
      <c r="T48" s="51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</row>
    <row r="49" spans="1:33" x14ac:dyDescent="0.2">
      <c r="A49" s="265">
        <f>SUM(D42:D48)</f>
        <v>4643.8500000000004</v>
      </c>
      <c r="B49" s="257" t="s">
        <v>27</v>
      </c>
      <c r="C49" s="257"/>
      <c r="D49" s="217"/>
      <c r="E49" s="265"/>
      <c r="F49" s="265"/>
      <c r="G49" s="265"/>
      <c r="H49" s="265"/>
      <c r="I49" s="265"/>
      <c r="J49" s="265"/>
      <c r="K49" s="265"/>
      <c r="L49" s="265"/>
      <c r="M49" s="265"/>
      <c r="N49" s="265"/>
      <c r="O49" s="265"/>
      <c r="P49" s="258">
        <f t="shared" si="1"/>
        <v>0</v>
      </c>
      <c r="Q49" s="50"/>
      <c r="R49" s="50"/>
      <c r="T49" s="51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</row>
    <row r="50" spans="1:33" x14ac:dyDescent="0.2">
      <c r="A50" s="66" t="s">
        <v>64</v>
      </c>
      <c r="B50" s="166"/>
      <c r="C50" s="166"/>
      <c r="D50" s="249">
        <v>200</v>
      </c>
      <c r="E50" s="249">
        <v>200</v>
      </c>
      <c r="F50" s="249">
        <v>200</v>
      </c>
      <c r="G50" s="249">
        <v>200</v>
      </c>
      <c r="H50" s="249">
        <v>200</v>
      </c>
      <c r="I50" s="249">
        <v>200</v>
      </c>
      <c r="J50" s="249">
        <v>200</v>
      </c>
      <c r="K50" s="249">
        <v>200</v>
      </c>
      <c r="L50" s="249">
        <v>200</v>
      </c>
      <c r="M50" s="249">
        <v>200</v>
      </c>
      <c r="N50" s="249">
        <v>200</v>
      </c>
      <c r="O50" s="249">
        <v>200</v>
      </c>
      <c r="P50" s="250">
        <f t="shared" si="1"/>
        <v>2400</v>
      </c>
      <c r="Q50" s="50"/>
      <c r="R50" s="50"/>
      <c r="T50" s="51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</row>
    <row r="51" spans="1:33" x14ac:dyDescent="0.2">
      <c r="A51" s="259" t="s">
        <v>65</v>
      </c>
      <c r="B51" s="598" t="s">
        <v>65</v>
      </c>
      <c r="C51" s="253"/>
      <c r="D51" s="269">
        <v>0</v>
      </c>
      <c r="E51" s="269">
        <v>0</v>
      </c>
      <c r="F51" s="269">
        <v>0</v>
      </c>
      <c r="G51" s="269">
        <v>0</v>
      </c>
      <c r="H51" s="269">
        <v>0</v>
      </c>
      <c r="I51" s="269">
        <v>250</v>
      </c>
      <c r="J51" s="269">
        <v>100</v>
      </c>
      <c r="K51" s="269">
        <v>0</v>
      </c>
      <c r="L51" s="269">
        <v>0</v>
      </c>
      <c r="M51" s="269">
        <v>0</v>
      </c>
      <c r="N51" s="269">
        <v>0</v>
      </c>
      <c r="O51" s="269">
        <v>0</v>
      </c>
      <c r="P51" s="263">
        <f t="shared" si="1"/>
        <v>350</v>
      </c>
      <c r="Q51" s="50"/>
      <c r="R51" s="50"/>
      <c r="T51" s="51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</row>
    <row r="52" spans="1:33" x14ac:dyDescent="0.2">
      <c r="A52" s="265">
        <f>D51+D52</f>
        <v>47</v>
      </c>
      <c r="B52" s="603" t="s">
        <v>112</v>
      </c>
      <c r="C52" s="266"/>
      <c r="D52" s="267">
        <v>47</v>
      </c>
      <c r="E52" s="267">
        <v>47</v>
      </c>
      <c r="F52" s="267">
        <v>47</v>
      </c>
      <c r="G52" s="267">
        <v>47</v>
      </c>
      <c r="H52" s="267">
        <v>47</v>
      </c>
      <c r="I52" s="267">
        <v>47</v>
      </c>
      <c r="J52" s="267">
        <v>47</v>
      </c>
      <c r="K52" s="267">
        <v>47</v>
      </c>
      <c r="L52" s="267">
        <v>47</v>
      </c>
      <c r="M52" s="267">
        <v>47</v>
      </c>
      <c r="N52" s="267">
        <v>47</v>
      </c>
      <c r="O52" s="267">
        <v>47</v>
      </c>
      <c r="P52" s="268">
        <f t="shared" si="1"/>
        <v>564</v>
      </c>
      <c r="Q52" s="90"/>
      <c r="R52" s="90"/>
      <c r="T52" s="51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</row>
    <row r="53" spans="1:33" x14ac:dyDescent="0.2">
      <c r="A53" s="66" t="s">
        <v>66</v>
      </c>
      <c r="B53" s="600" t="s">
        <v>113</v>
      </c>
      <c r="C53" s="164"/>
      <c r="D53" s="249">
        <v>200</v>
      </c>
      <c r="E53" s="249">
        <f>D53</f>
        <v>200</v>
      </c>
      <c r="F53" s="249">
        <f t="shared" ref="F53:O53" si="45">E53</f>
        <v>200</v>
      </c>
      <c r="G53" s="249">
        <f t="shared" si="45"/>
        <v>200</v>
      </c>
      <c r="H53" s="249">
        <f t="shared" si="45"/>
        <v>200</v>
      </c>
      <c r="I53" s="249">
        <f t="shared" si="45"/>
        <v>200</v>
      </c>
      <c r="J53" s="249">
        <f t="shared" si="45"/>
        <v>200</v>
      </c>
      <c r="K53" s="249">
        <f t="shared" si="45"/>
        <v>200</v>
      </c>
      <c r="L53" s="249">
        <f t="shared" si="45"/>
        <v>200</v>
      </c>
      <c r="M53" s="249">
        <f t="shared" si="45"/>
        <v>200</v>
      </c>
      <c r="N53" s="249">
        <f t="shared" si="45"/>
        <v>200</v>
      </c>
      <c r="O53" s="249">
        <f t="shared" si="45"/>
        <v>200</v>
      </c>
      <c r="P53" s="250">
        <f t="shared" si="1"/>
        <v>2400</v>
      </c>
      <c r="Q53" s="90"/>
      <c r="R53" s="90"/>
      <c r="T53" s="51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</row>
    <row r="54" spans="1:33" x14ac:dyDescent="0.2">
      <c r="A54" s="66" t="s">
        <v>67</v>
      </c>
      <c r="B54" s="600" t="s">
        <v>114</v>
      </c>
      <c r="C54" s="164"/>
      <c r="D54" s="249">
        <v>300</v>
      </c>
      <c r="E54" s="249">
        <f>D54</f>
        <v>300</v>
      </c>
      <c r="F54" s="249">
        <f t="shared" ref="F54:O54" si="46">E54</f>
        <v>300</v>
      </c>
      <c r="G54" s="249">
        <f t="shared" si="46"/>
        <v>300</v>
      </c>
      <c r="H54" s="249">
        <f t="shared" si="46"/>
        <v>300</v>
      </c>
      <c r="I54" s="249">
        <f t="shared" si="46"/>
        <v>300</v>
      </c>
      <c r="J54" s="249">
        <f t="shared" si="46"/>
        <v>300</v>
      </c>
      <c r="K54" s="249">
        <f t="shared" si="46"/>
        <v>300</v>
      </c>
      <c r="L54" s="249">
        <f t="shared" si="46"/>
        <v>300</v>
      </c>
      <c r="M54" s="249">
        <f t="shared" si="46"/>
        <v>300</v>
      </c>
      <c r="N54" s="249">
        <f t="shared" si="46"/>
        <v>300</v>
      </c>
      <c r="O54" s="249">
        <f t="shared" si="46"/>
        <v>300</v>
      </c>
      <c r="P54" s="250">
        <f t="shared" si="1"/>
        <v>3600</v>
      </c>
      <c r="Q54" s="50"/>
      <c r="R54" s="50"/>
      <c r="T54" s="51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</row>
    <row r="55" spans="1:33" x14ac:dyDescent="0.2">
      <c r="A55" s="66" t="s">
        <v>68</v>
      </c>
      <c r="B55" s="600" t="s">
        <v>130</v>
      </c>
      <c r="C55" s="164"/>
      <c r="D55" s="249">
        <v>200</v>
      </c>
      <c r="E55" s="249">
        <v>200</v>
      </c>
      <c r="F55" s="249">
        <v>200</v>
      </c>
      <c r="G55" s="249">
        <v>200</v>
      </c>
      <c r="H55" s="249">
        <v>200</v>
      </c>
      <c r="I55" s="249">
        <v>200</v>
      </c>
      <c r="J55" s="249">
        <v>200</v>
      </c>
      <c r="K55" s="249">
        <v>200</v>
      </c>
      <c r="L55" s="249">
        <v>200</v>
      </c>
      <c r="M55" s="249">
        <v>200</v>
      </c>
      <c r="N55" s="249">
        <v>200</v>
      </c>
      <c r="O55" s="249">
        <v>200</v>
      </c>
      <c r="P55" s="250">
        <f>SUM(D55:O55)</f>
        <v>2400</v>
      </c>
      <c r="Q55" s="50" t="s">
        <v>888</v>
      </c>
      <c r="R55" s="50"/>
      <c r="T55" s="4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</row>
    <row r="56" spans="1:33" x14ac:dyDescent="0.2">
      <c r="A56" s="66" t="s">
        <v>115</v>
      </c>
      <c r="B56" s="600" t="s">
        <v>116</v>
      </c>
      <c r="C56" s="164"/>
      <c r="D56" s="249">
        <v>65</v>
      </c>
      <c r="E56" s="249">
        <f t="shared" ref="E56:E61" si="47">D56</f>
        <v>65</v>
      </c>
      <c r="F56" s="249">
        <f t="shared" ref="F56:O56" si="48">E56</f>
        <v>65</v>
      </c>
      <c r="G56" s="249">
        <f t="shared" si="48"/>
        <v>65</v>
      </c>
      <c r="H56" s="249">
        <f t="shared" si="48"/>
        <v>65</v>
      </c>
      <c r="I56" s="249">
        <f t="shared" si="48"/>
        <v>65</v>
      </c>
      <c r="J56" s="249">
        <f t="shared" si="48"/>
        <v>65</v>
      </c>
      <c r="K56" s="249">
        <f t="shared" si="48"/>
        <v>65</v>
      </c>
      <c r="L56" s="249">
        <f t="shared" si="48"/>
        <v>65</v>
      </c>
      <c r="M56" s="249">
        <f t="shared" si="48"/>
        <v>65</v>
      </c>
      <c r="N56" s="249">
        <f t="shared" si="48"/>
        <v>65</v>
      </c>
      <c r="O56" s="249">
        <f t="shared" si="48"/>
        <v>65</v>
      </c>
      <c r="P56" s="250">
        <f t="shared" si="1"/>
        <v>780</v>
      </c>
      <c r="Q56" s="50"/>
      <c r="R56" s="50"/>
      <c r="T56" s="4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</row>
    <row r="57" spans="1:33" x14ac:dyDescent="0.2">
      <c r="A57" s="66" t="s">
        <v>70</v>
      </c>
      <c r="B57" s="600" t="s">
        <v>1082</v>
      </c>
      <c r="C57" s="164"/>
      <c r="D57" s="249">
        <v>200</v>
      </c>
      <c r="E57" s="249">
        <f t="shared" si="47"/>
        <v>200</v>
      </c>
      <c r="F57" s="249">
        <f t="shared" ref="F57:O57" si="49">E57</f>
        <v>200</v>
      </c>
      <c r="G57" s="249">
        <f t="shared" si="49"/>
        <v>200</v>
      </c>
      <c r="H57" s="249">
        <f t="shared" si="49"/>
        <v>200</v>
      </c>
      <c r="I57" s="249">
        <f t="shared" si="49"/>
        <v>200</v>
      </c>
      <c r="J57" s="249">
        <f t="shared" si="49"/>
        <v>200</v>
      </c>
      <c r="K57" s="249">
        <f t="shared" si="49"/>
        <v>200</v>
      </c>
      <c r="L57" s="249">
        <f t="shared" si="49"/>
        <v>200</v>
      </c>
      <c r="M57" s="249">
        <f t="shared" si="49"/>
        <v>200</v>
      </c>
      <c r="N57" s="249">
        <f t="shared" si="49"/>
        <v>200</v>
      </c>
      <c r="O57" s="249">
        <f t="shared" si="49"/>
        <v>200</v>
      </c>
      <c r="P57" s="250">
        <f t="shared" si="1"/>
        <v>2400</v>
      </c>
      <c r="Q57" s="50"/>
      <c r="R57" s="50"/>
      <c r="T57" s="4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</row>
    <row r="58" spans="1:33" x14ac:dyDescent="0.2">
      <c r="A58" s="66" t="s">
        <v>71</v>
      </c>
      <c r="B58" s="600" t="s">
        <v>1083</v>
      </c>
      <c r="C58" s="164"/>
      <c r="D58" s="249">
        <f>275</f>
        <v>275</v>
      </c>
      <c r="E58" s="249">
        <f t="shared" si="47"/>
        <v>275</v>
      </c>
      <c r="F58" s="249">
        <f t="shared" ref="F58:O58" si="50">E58</f>
        <v>275</v>
      </c>
      <c r="G58" s="249">
        <f t="shared" si="50"/>
        <v>275</v>
      </c>
      <c r="H58" s="249">
        <f t="shared" si="50"/>
        <v>275</v>
      </c>
      <c r="I58" s="249">
        <f t="shared" si="50"/>
        <v>275</v>
      </c>
      <c r="J58" s="249">
        <f t="shared" si="50"/>
        <v>275</v>
      </c>
      <c r="K58" s="249">
        <f t="shared" si="50"/>
        <v>275</v>
      </c>
      <c r="L58" s="249">
        <f t="shared" si="50"/>
        <v>275</v>
      </c>
      <c r="M58" s="249">
        <f t="shared" si="50"/>
        <v>275</v>
      </c>
      <c r="N58" s="249">
        <f t="shared" si="50"/>
        <v>275</v>
      </c>
      <c r="O58" s="249">
        <f t="shared" si="50"/>
        <v>275</v>
      </c>
      <c r="P58" s="250">
        <f t="shared" si="1"/>
        <v>3300</v>
      </c>
      <c r="Q58" s="50"/>
      <c r="R58" s="50"/>
      <c r="T58" s="4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</row>
    <row r="59" spans="1:33" x14ac:dyDescent="0.2">
      <c r="A59" s="66" t="s">
        <v>72</v>
      </c>
      <c r="B59" s="600" t="s">
        <v>1160</v>
      </c>
      <c r="C59" s="164"/>
      <c r="D59" s="249">
        <f>300+101.2</f>
        <v>401.2</v>
      </c>
      <c r="E59" s="249">
        <f t="shared" si="47"/>
        <v>401.2</v>
      </c>
      <c r="F59" s="249">
        <f t="shared" ref="F59:O59" si="51">E59</f>
        <v>401.2</v>
      </c>
      <c r="G59" s="249">
        <f t="shared" si="51"/>
        <v>401.2</v>
      </c>
      <c r="H59" s="249">
        <f t="shared" si="51"/>
        <v>401.2</v>
      </c>
      <c r="I59" s="249">
        <f t="shared" si="51"/>
        <v>401.2</v>
      </c>
      <c r="J59" s="249">
        <f t="shared" si="51"/>
        <v>401.2</v>
      </c>
      <c r="K59" s="249">
        <f t="shared" si="51"/>
        <v>401.2</v>
      </c>
      <c r="L59" s="249">
        <f t="shared" si="51"/>
        <v>401.2</v>
      </c>
      <c r="M59" s="249">
        <f t="shared" si="51"/>
        <v>401.2</v>
      </c>
      <c r="N59" s="249">
        <f t="shared" si="51"/>
        <v>401.2</v>
      </c>
      <c r="O59" s="249">
        <f t="shared" si="51"/>
        <v>401.2</v>
      </c>
      <c r="P59" s="250">
        <f t="shared" si="1"/>
        <v>4814.3999999999987</v>
      </c>
      <c r="T59" s="4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</row>
    <row r="60" spans="1:33" x14ac:dyDescent="0.2">
      <c r="A60" s="66" t="s">
        <v>73</v>
      </c>
      <c r="B60" s="600" t="s">
        <v>889</v>
      </c>
      <c r="C60" s="164"/>
      <c r="D60" s="249">
        <f>124.85+215</f>
        <v>339.85</v>
      </c>
      <c r="E60" s="249">
        <f t="shared" si="47"/>
        <v>339.85</v>
      </c>
      <c r="F60" s="249">
        <f t="shared" ref="F60:O61" si="52">E60</f>
        <v>339.85</v>
      </c>
      <c r="G60" s="249">
        <f t="shared" si="52"/>
        <v>339.85</v>
      </c>
      <c r="H60" s="249">
        <f t="shared" si="52"/>
        <v>339.85</v>
      </c>
      <c r="I60" s="249">
        <f t="shared" si="52"/>
        <v>339.85</v>
      </c>
      <c r="J60" s="249">
        <f t="shared" si="52"/>
        <v>339.85</v>
      </c>
      <c r="K60" s="249">
        <f t="shared" si="52"/>
        <v>339.85</v>
      </c>
      <c r="L60" s="249">
        <f t="shared" si="52"/>
        <v>339.85</v>
      </c>
      <c r="M60" s="249">
        <f t="shared" si="52"/>
        <v>339.85</v>
      </c>
      <c r="N60" s="249">
        <f t="shared" si="52"/>
        <v>339.85</v>
      </c>
      <c r="O60" s="249">
        <f t="shared" si="52"/>
        <v>339.85</v>
      </c>
      <c r="P60" s="250">
        <f t="shared" si="1"/>
        <v>4078.1999999999994</v>
      </c>
      <c r="Q60" s="50">
        <v>625.75</v>
      </c>
      <c r="R60" s="50"/>
      <c r="AB60" s="4"/>
      <c r="AC60" s="4"/>
      <c r="AD60" s="4"/>
      <c r="AE60" s="4"/>
      <c r="AF60" s="4"/>
      <c r="AG60" s="4"/>
    </row>
    <row r="61" spans="1:33" x14ac:dyDescent="0.2">
      <c r="A61" s="66" t="s">
        <v>74</v>
      </c>
      <c r="B61" s="600" t="s">
        <v>1357</v>
      </c>
      <c r="C61" s="164"/>
      <c r="D61" s="249">
        <f>8530+3750+150</f>
        <v>12430</v>
      </c>
      <c r="E61" s="249">
        <f t="shared" si="47"/>
        <v>12430</v>
      </c>
      <c r="F61" s="249">
        <f t="shared" si="52"/>
        <v>12430</v>
      </c>
      <c r="G61" s="249">
        <f t="shared" si="52"/>
        <v>12430</v>
      </c>
      <c r="H61" s="249">
        <f t="shared" si="52"/>
        <v>12430</v>
      </c>
      <c r="I61" s="249">
        <f t="shared" si="52"/>
        <v>12430</v>
      </c>
      <c r="J61" s="249">
        <f t="shared" si="52"/>
        <v>12430</v>
      </c>
      <c r="K61" s="249">
        <f t="shared" si="52"/>
        <v>12430</v>
      </c>
      <c r="L61" s="249">
        <f t="shared" si="52"/>
        <v>12430</v>
      </c>
      <c r="M61" s="249">
        <f t="shared" si="52"/>
        <v>12430</v>
      </c>
      <c r="N61" s="249">
        <f t="shared" si="52"/>
        <v>12430</v>
      </c>
      <c r="O61" s="249">
        <f t="shared" si="52"/>
        <v>12430</v>
      </c>
      <c r="P61" s="250">
        <f t="shared" si="1"/>
        <v>149160</v>
      </c>
      <c r="Q61" s="50" t="s">
        <v>117</v>
      </c>
      <c r="R61" s="50"/>
      <c r="AB61" s="4"/>
      <c r="AC61" s="4"/>
      <c r="AD61" s="4"/>
      <c r="AE61" s="4"/>
      <c r="AF61" s="4"/>
      <c r="AG61" s="4"/>
    </row>
    <row r="62" spans="1:33" x14ac:dyDescent="0.2">
      <c r="A62" s="66" t="s">
        <v>75</v>
      </c>
      <c r="B62" s="600" t="s">
        <v>118</v>
      </c>
      <c r="C62" s="164"/>
      <c r="D62" s="249">
        <v>200</v>
      </c>
      <c r="E62" s="249">
        <v>9200</v>
      </c>
      <c r="F62" s="249">
        <v>200</v>
      </c>
      <c r="G62" s="249">
        <v>200</v>
      </c>
      <c r="H62" s="249">
        <v>200</v>
      </c>
      <c r="I62" s="249">
        <v>3000</v>
      </c>
      <c r="J62" s="249">
        <v>200</v>
      </c>
      <c r="K62" s="249">
        <v>200</v>
      </c>
      <c r="L62" s="249">
        <v>200</v>
      </c>
      <c r="M62" s="249">
        <v>200</v>
      </c>
      <c r="N62" s="249">
        <v>200</v>
      </c>
      <c r="O62" s="249">
        <v>200</v>
      </c>
      <c r="P62" s="250">
        <f t="shared" si="1"/>
        <v>14200</v>
      </c>
      <c r="Q62" s="50" t="s">
        <v>119</v>
      </c>
      <c r="R62" s="50"/>
      <c r="AB62" s="4"/>
      <c r="AC62" s="4"/>
      <c r="AD62" s="4"/>
      <c r="AE62" s="4"/>
      <c r="AF62" s="4"/>
      <c r="AG62" s="4"/>
    </row>
    <row r="63" spans="1:33" x14ac:dyDescent="0.2">
      <c r="A63" s="66" t="s">
        <v>76</v>
      </c>
      <c r="B63" s="600" t="s">
        <v>76</v>
      </c>
      <c r="C63" s="164"/>
      <c r="D63" s="249">
        <v>500</v>
      </c>
      <c r="E63" s="249">
        <v>500</v>
      </c>
      <c r="F63" s="249">
        <f>500+8000</f>
        <v>8500</v>
      </c>
      <c r="G63" s="249">
        <v>500</v>
      </c>
      <c r="H63" s="249">
        <v>500</v>
      </c>
      <c r="I63" s="249">
        <v>5000</v>
      </c>
      <c r="J63" s="249">
        <v>500</v>
      </c>
      <c r="K63" s="249">
        <v>500</v>
      </c>
      <c r="L63" s="249">
        <v>500</v>
      </c>
      <c r="M63" s="249">
        <v>500</v>
      </c>
      <c r="N63" s="249">
        <v>500</v>
      </c>
      <c r="O63" s="249">
        <v>500</v>
      </c>
      <c r="P63" s="250">
        <f t="shared" si="1"/>
        <v>18500</v>
      </c>
      <c r="Q63" s="50"/>
      <c r="R63" s="50"/>
      <c r="AB63" s="4"/>
      <c r="AC63" s="4"/>
      <c r="AD63" s="4"/>
      <c r="AE63" s="4"/>
      <c r="AF63" s="4"/>
      <c r="AG63" s="4"/>
    </row>
    <row r="64" spans="1:33" x14ac:dyDescent="0.2">
      <c r="A64" s="200" t="s">
        <v>120</v>
      </c>
      <c r="B64" s="600" t="s">
        <v>121</v>
      </c>
      <c r="C64" s="164"/>
      <c r="D64" s="249">
        <f>J117</f>
        <v>188.64999999999964</v>
      </c>
      <c r="E64" s="249">
        <v>528.34</v>
      </c>
      <c r="F64" s="249">
        <v>528.34</v>
      </c>
      <c r="G64" s="249">
        <v>528.34</v>
      </c>
      <c r="H64" s="249">
        <v>528.34</v>
      </c>
      <c r="I64" s="249">
        <v>528.34</v>
      </c>
      <c r="J64" s="249">
        <v>528.34</v>
      </c>
      <c r="K64" s="249">
        <v>528.34</v>
      </c>
      <c r="L64" s="249">
        <v>528.34</v>
      </c>
      <c r="M64" s="249">
        <v>528.34</v>
      </c>
      <c r="N64" s="249">
        <v>528.34</v>
      </c>
      <c r="O64" s="249">
        <v>528.34</v>
      </c>
      <c r="P64" s="250">
        <f t="shared" si="1"/>
        <v>6000.39</v>
      </c>
      <c r="Q64" s="50"/>
      <c r="R64" s="50"/>
      <c r="AB64" s="4"/>
      <c r="AC64" s="4"/>
      <c r="AD64" s="4"/>
      <c r="AE64" s="4"/>
      <c r="AF64" s="4"/>
      <c r="AG64" s="4"/>
    </row>
    <row r="65" spans="1:33" x14ac:dyDescent="0.2">
      <c r="A65" s="200" t="s">
        <v>122</v>
      </c>
      <c r="B65" s="600" t="s">
        <v>123</v>
      </c>
      <c r="C65" s="164"/>
      <c r="D65" s="249">
        <f>$I$117</f>
        <v>947.96153333333336</v>
      </c>
      <c r="E65" s="249">
        <f t="shared" ref="E65:O65" si="53">$I$117</f>
        <v>947.96153333333336</v>
      </c>
      <c r="F65" s="249">
        <f t="shared" si="53"/>
        <v>947.96153333333336</v>
      </c>
      <c r="G65" s="249">
        <f t="shared" si="53"/>
        <v>947.96153333333336</v>
      </c>
      <c r="H65" s="249">
        <f t="shared" si="53"/>
        <v>947.96153333333336</v>
      </c>
      <c r="I65" s="249">
        <f t="shared" si="53"/>
        <v>947.96153333333336</v>
      </c>
      <c r="J65" s="249">
        <f t="shared" si="53"/>
        <v>947.96153333333336</v>
      </c>
      <c r="K65" s="249">
        <f t="shared" si="53"/>
        <v>947.96153333333336</v>
      </c>
      <c r="L65" s="249">
        <f t="shared" si="53"/>
        <v>947.96153333333336</v>
      </c>
      <c r="M65" s="249">
        <f t="shared" si="53"/>
        <v>947.96153333333336</v>
      </c>
      <c r="N65" s="249">
        <f t="shared" si="53"/>
        <v>947.96153333333336</v>
      </c>
      <c r="O65" s="249">
        <f t="shared" si="53"/>
        <v>947.96153333333336</v>
      </c>
      <c r="P65" s="250">
        <f>SUM(D65:O65)</f>
        <v>11375.538399999999</v>
      </c>
      <c r="Q65" s="50"/>
      <c r="R65" s="50"/>
      <c r="AB65" s="4"/>
      <c r="AC65" s="4"/>
      <c r="AD65" s="4"/>
      <c r="AE65" s="4"/>
      <c r="AF65" s="4"/>
      <c r="AG65" s="4"/>
    </row>
    <row r="66" spans="1:33" x14ac:dyDescent="0.2">
      <c r="A66" s="200" t="s">
        <v>124</v>
      </c>
      <c r="B66" s="600"/>
      <c r="C66" s="164"/>
      <c r="D66" s="249">
        <f>'CONS Fixed Costs'!C35+'ONS Fixed Costs'!C52+'PRD Fixed Costs'!B75</f>
        <v>4862.8512000000028</v>
      </c>
      <c r="E66" s="249">
        <f>'CONS Fixed Costs'!D35+'ONS Fixed Costs'!D52+'PRD Fixed Costs'!C75</f>
        <v>4862.8512000000028</v>
      </c>
      <c r="F66" s="249">
        <f>'CONS Fixed Costs'!E35+'ONS Fixed Costs'!E52+'PRD Fixed Costs'!D75</f>
        <v>4862.8512000000028</v>
      </c>
      <c r="G66" s="249">
        <f>'CONS Fixed Costs'!F35+'ONS Fixed Costs'!F52+'PRD Fixed Costs'!E75</f>
        <v>4862.8512000000028</v>
      </c>
      <c r="H66" s="249">
        <f>'CONS Fixed Costs'!G35+'ONS Fixed Costs'!G52+'PRD Fixed Costs'!F75</f>
        <v>4862.8512000000028</v>
      </c>
      <c r="I66" s="249">
        <f>'CONS Fixed Costs'!H35+'ONS Fixed Costs'!H52+'PRD Fixed Costs'!G75</f>
        <v>4862.8512000000028</v>
      </c>
      <c r="J66" s="249">
        <f>'CONS Fixed Costs'!I35+'ONS Fixed Costs'!I52+'PRD Fixed Costs'!H75</f>
        <v>4862.8512000000028</v>
      </c>
      <c r="K66" s="249">
        <f>'CONS Fixed Costs'!J35+'ONS Fixed Costs'!J52+'PRD Fixed Costs'!I75</f>
        <v>4862.8512000000028</v>
      </c>
      <c r="L66" s="249">
        <f>'CONS Fixed Costs'!K35+'ONS Fixed Costs'!K52+'PRD Fixed Costs'!J75</f>
        <v>4862.8512000000028</v>
      </c>
      <c r="M66" s="249">
        <f>'CONS Fixed Costs'!L35+'ONS Fixed Costs'!L52+'PRD Fixed Costs'!K75</f>
        <v>4862.8512000000028</v>
      </c>
      <c r="N66" s="249">
        <f>'CONS Fixed Costs'!M35+'ONS Fixed Costs'!M52+'PRD Fixed Costs'!L75</f>
        <v>4862.8512000000028</v>
      </c>
      <c r="O66" s="249">
        <f>'CONS Fixed Costs'!N35+'ONS Fixed Costs'!N52+'PRD Fixed Costs'!M75</f>
        <v>4862.8512000000028</v>
      </c>
      <c r="P66" s="250">
        <f>SUM(D66:O66)</f>
        <v>58354.214400000048</v>
      </c>
      <c r="Q66" s="50"/>
      <c r="R66" s="50"/>
      <c r="AB66" s="4"/>
      <c r="AC66" s="4"/>
      <c r="AD66" s="4"/>
      <c r="AE66" s="4"/>
      <c r="AF66" s="4"/>
      <c r="AG66" s="4"/>
    </row>
    <row r="67" spans="1:33" x14ac:dyDescent="0.2">
      <c r="A67" s="200" t="s">
        <v>125</v>
      </c>
      <c r="B67" s="600"/>
      <c r="C67" s="164"/>
      <c r="D67" s="249">
        <f>'CONS Fixed Costs'!C36+'ONS Fixed Costs'!C53+'PRD Fixed Costs'!B76</f>
        <v>608.83984000000157</v>
      </c>
      <c r="E67" s="249">
        <f>'CONS Fixed Costs'!D36+'ONS Fixed Costs'!D53+'PRD Fixed Costs'!C76</f>
        <v>608.83984000000157</v>
      </c>
      <c r="F67" s="249">
        <f>'CONS Fixed Costs'!E36+'ONS Fixed Costs'!E53+'PRD Fixed Costs'!D76</f>
        <v>608.83984000000157</v>
      </c>
      <c r="G67" s="249">
        <f>'CONS Fixed Costs'!F36+'ONS Fixed Costs'!F53+'PRD Fixed Costs'!E76</f>
        <v>608.83984000000157</v>
      </c>
      <c r="H67" s="249">
        <f>'CONS Fixed Costs'!G36+'ONS Fixed Costs'!G53+'PRD Fixed Costs'!F76</f>
        <v>608.83984000000157</v>
      </c>
      <c r="I67" s="249">
        <f>'CONS Fixed Costs'!H36+'ONS Fixed Costs'!H53+'PRD Fixed Costs'!G76</f>
        <v>608.83984000000157</v>
      </c>
      <c r="J67" s="249">
        <f>'CONS Fixed Costs'!I36+'ONS Fixed Costs'!I53+'PRD Fixed Costs'!H76</f>
        <v>608.83984000000157</v>
      </c>
      <c r="K67" s="249">
        <f>'CONS Fixed Costs'!J36+'ONS Fixed Costs'!J53+'PRD Fixed Costs'!I76</f>
        <v>608.83984000000157</v>
      </c>
      <c r="L67" s="249">
        <f>'CONS Fixed Costs'!K36+'ONS Fixed Costs'!K53+'PRD Fixed Costs'!J76</f>
        <v>608.83984000000157</v>
      </c>
      <c r="M67" s="249">
        <f>'CONS Fixed Costs'!L36+'ONS Fixed Costs'!L53+'PRD Fixed Costs'!K76</f>
        <v>608.83984000000157</v>
      </c>
      <c r="N67" s="249">
        <f>'CONS Fixed Costs'!M36+'ONS Fixed Costs'!M53+'PRD Fixed Costs'!L76</f>
        <v>608.83984000000157</v>
      </c>
      <c r="O67" s="249">
        <f>'CONS Fixed Costs'!N36+'ONS Fixed Costs'!N53+'PRD Fixed Costs'!M76</f>
        <v>608.83984000000157</v>
      </c>
      <c r="P67" s="250">
        <f t="shared" si="1"/>
        <v>7306.0780800000184</v>
      </c>
      <c r="Q67" s="50"/>
      <c r="R67" s="50"/>
      <c r="AB67" s="4"/>
      <c r="AC67" s="4"/>
      <c r="AD67" s="4"/>
      <c r="AE67" s="4"/>
      <c r="AF67" s="4"/>
      <c r="AG67" s="4"/>
    </row>
    <row r="68" spans="1:33" x14ac:dyDescent="0.2">
      <c r="A68" s="66" t="s">
        <v>126</v>
      </c>
      <c r="B68" s="600" t="s">
        <v>127</v>
      </c>
      <c r="C68" s="164"/>
      <c r="D68" s="249">
        <f>B103</f>
        <v>1664.6385528000001</v>
      </c>
      <c r="E68" s="249">
        <f t="shared" ref="E68:O68" si="54">C103</f>
        <v>1469.6717255999999</v>
      </c>
      <c r="F68" s="249">
        <f t="shared" si="54"/>
        <v>1614.7788981599999</v>
      </c>
      <c r="G68" s="249">
        <f t="shared" si="54"/>
        <v>1329.9725549760001</v>
      </c>
      <c r="H68" s="249">
        <f t="shared" si="54"/>
        <v>1210.7568681600001</v>
      </c>
      <c r="I68" s="249">
        <f t="shared" si="54"/>
        <v>853.10980771200002</v>
      </c>
      <c r="J68" s="249">
        <f t="shared" si="54"/>
        <v>1329.9725549760001</v>
      </c>
      <c r="K68" s="249">
        <f t="shared" si="54"/>
        <v>1210.7568681600001</v>
      </c>
      <c r="L68" s="249">
        <f t="shared" si="54"/>
        <v>1329.9725549760001</v>
      </c>
      <c r="M68" s="249">
        <f t="shared" si="54"/>
        <v>1210.7568681600001</v>
      </c>
      <c r="N68" s="249">
        <f t="shared" si="54"/>
        <v>1329.9725549760001</v>
      </c>
      <c r="O68" s="249">
        <f t="shared" si="54"/>
        <v>1270.3647115679998</v>
      </c>
      <c r="P68" s="250">
        <f t="shared" si="1"/>
        <v>15824.724520224003</v>
      </c>
      <c r="Q68" s="50" t="s">
        <v>128</v>
      </c>
      <c r="R68" s="50"/>
    </row>
    <row r="69" spans="1:33" x14ac:dyDescent="0.2">
      <c r="A69" s="66" t="s">
        <v>129</v>
      </c>
      <c r="B69" s="600"/>
      <c r="C69" s="164"/>
      <c r="D69" s="45">
        <f>'CONS Fixed Costs'!C33+'ONS Fixed Costs'!C50+'PRD Fixed Costs'!B74</f>
        <v>6210.6198494538457</v>
      </c>
      <c r="E69" s="45">
        <f>'CONS Fixed Costs'!D33+'ONS Fixed Costs'!D50+'PRD Fixed Costs'!C74</f>
        <v>5776.014179766923</v>
      </c>
      <c r="F69" s="45">
        <f>'CONS Fixed Costs'!E33+'ONS Fixed Costs'!E50+'PRD Fixed Costs'!D74</f>
        <v>6144.0715669301544</v>
      </c>
      <c r="G69" s="45">
        <f>'CONS Fixed Costs'!F33+'ONS Fixed Costs'!F50+'PRD Fixed Costs'!E74</f>
        <v>6101.0626834301547</v>
      </c>
      <c r="H69" s="45">
        <f>'CONS Fixed Costs'!G33+'ONS Fixed Costs'!G50+'PRD Fixed Costs'!F74</f>
        <v>5819.2292697092307</v>
      </c>
      <c r="I69" s="45">
        <f>'CONS Fixed Costs'!H33+'ONS Fixed Costs'!H50+'PRD Fixed Costs'!G74</f>
        <v>6780.808594569693</v>
      </c>
      <c r="J69" s="45">
        <f>'CONS Fixed Costs'!I33+'ONS Fixed Costs'!I50+'PRD Fixed Costs'!H74</f>
        <v>5235.8741104592309</v>
      </c>
      <c r="K69" s="45">
        <f>'CONS Fixed Costs'!J33+'ONS Fixed Costs'!J50+'PRD Fixed Costs'!I74</f>
        <v>5824.9404492092308</v>
      </c>
      <c r="L69" s="45">
        <f>'CONS Fixed Costs'!K33+'ONS Fixed Costs'!K50+'PRD Fixed Costs'!J74</f>
        <v>6519.8155781801543</v>
      </c>
      <c r="M69" s="45">
        <f>'CONS Fixed Costs'!L33+'ONS Fixed Costs'!L50+'PRD Fixed Costs'!K74</f>
        <v>5950.2982309592298</v>
      </c>
      <c r="N69" s="45">
        <f>'CONS Fixed Costs'!M33+'ONS Fixed Costs'!M50+'PRD Fixed Costs'!L74</f>
        <v>6474.8409675696921</v>
      </c>
      <c r="O69" s="45">
        <f>'CONS Fixed Costs'!N33+'ONS Fixed Costs'!N50+'PRD Fixed Costs'!M74</f>
        <v>5496.1705725696929</v>
      </c>
      <c r="P69" s="50">
        <f>SUM(D69:O69)</f>
        <v>72333.746052807226</v>
      </c>
      <c r="Q69" s="50"/>
      <c r="R69" s="50"/>
    </row>
    <row r="70" spans="1:33" x14ac:dyDescent="0.2">
      <c r="A70" s="66" t="s">
        <v>81</v>
      </c>
      <c r="B70" s="165" t="s">
        <v>130</v>
      </c>
      <c r="C70" s="165"/>
      <c r="D70" s="249">
        <v>100</v>
      </c>
      <c r="E70" s="249">
        <v>100</v>
      </c>
      <c r="F70" s="249">
        <v>100</v>
      </c>
      <c r="G70" s="249">
        <f>100+100</f>
        <v>200</v>
      </c>
      <c r="H70" s="249">
        <v>100</v>
      </c>
      <c r="I70" s="249">
        <v>100</v>
      </c>
      <c r="J70" s="249">
        <v>100</v>
      </c>
      <c r="K70" s="249">
        <v>100</v>
      </c>
      <c r="L70" s="249">
        <v>100</v>
      </c>
      <c r="M70" s="249">
        <v>100</v>
      </c>
      <c r="N70" s="249">
        <v>100</v>
      </c>
      <c r="O70" s="249">
        <v>100</v>
      </c>
      <c r="P70" s="250">
        <f t="shared" ref="P70:P85" si="55">SUM(D70:O70)</f>
        <v>1300</v>
      </c>
    </row>
    <row r="71" spans="1:33" x14ac:dyDescent="0.2">
      <c r="A71" s="66"/>
      <c r="B71" s="600" t="s">
        <v>131</v>
      </c>
      <c r="C71" s="164"/>
      <c r="D71" s="249"/>
      <c r="E71" s="249">
        <v>0</v>
      </c>
      <c r="F71" s="249">
        <v>565</v>
      </c>
      <c r="G71" s="249">
        <v>0</v>
      </c>
      <c r="H71" s="249">
        <v>0</v>
      </c>
      <c r="I71" s="249">
        <v>565</v>
      </c>
      <c r="J71" s="249">
        <v>0</v>
      </c>
      <c r="K71" s="249">
        <v>0</v>
      </c>
      <c r="L71" s="249">
        <v>565</v>
      </c>
      <c r="M71" s="249">
        <v>0</v>
      </c>
      <c r="N71" s="249">
        <v>0</v>
      </c>
      <c r="O71" s="249">
        <v>0</v>
      </c>
      <c r="P71" s="250">
        <f t="shared" si="55"/>
        <v>1695</v>
      </c>
      <c r="Q71" s="44" t="s">
        <v>132</v>
      </c>
    </row>
    <row r="72" spans="1:33" x14ac:dyDescent="0.2">
      <c r="A72" s="66" t="s">
        <v>82</v>
      </c>
      <c r="B72" s="600" t="s">
        <v>133</v>
      </c>
      <c r="C72" s="164"/>
      <c r="D72" s="249">
        <v>500</v>
      </c>
      <c r="E72" s="249">
        <v>5000</v>
      </c>
      <c r="F72" s="249">
        <v>500</v>
      </c>
      <c r="G72" s="249">
        <v>500</v>
      </c>
      <c r="H72" s="249">
        <v>500</v>
      </c>
      <c r="I72" s="249">
        <f>2500+1500+2500</f>
        <v>6500</v>
      </c>
      <c r="J72" s="249">
        <v>500</v>
      </c>
      <c r="K72" s="249">
        <v>500</v>
      </c>
      <c r="L72" s="249">
        <v>500</v>
      </c>
      <c r="M72" s="249">
        <v>500</v>
      </c>
      <c r="N72" s="249">
        <v>500</v>
      </c>
      <c r="O72" s="249">
        <v>500</v>
      </c>
      <c r="P72" s="250">
        <f t="shared" si="55"/>
        <v>16500</v>
      </c>
      <c r="Q72" s="50" t="s">
        <v>134</v>
      </c>
      <c r="R72" s="50"/>
    </row>
    <row r="73" spans="1:33" x14ac:dyDescent="0.2">
      <c r="A73" s="66" t="s">
        <v>135</v>
      </c>
      <c r="B73" s="600" t="s">
        <v>136</v>
      </c>
      <c r="C73" s="164"/>
      <c r="D73" s="249">
        <f>B102+B104</f>
        <v>8826.3442112000012</v>
      </c>
      <c r="E73" s="249">
        <f t="shared" ref="E73:N73" si="56">C102+C104</f>
        <v>8046.4769023999997</v>
      </c>
      <c r="F73" s="249">
        <f t="shared" si="56"/>
        <v>8626.9055926399997</v>
      </c>
      <c r="G73" s="249">
        <f t="shared" si="56"/>
        <v>7487.6802199040003</v>
      </c>
      <c r="H73" s="249">
        <f t="shared" si="56"/>
        <v>7010.8174726400002</v>
      </c>
      <c r="I73" s="249">
        <f t="shared" si="56"/>
        <v>5580.229230848</v>
      </c>
      <c r="J73" s="249">
        <f t="shared" si="56"/>
        <v>7487.6802199040003</v>
      </c>
      <c r="K73" s="249">
        <f t="shared" si="56"/>
        <v>7010.8174726400002</v>
      </c>
      <c r="L73" s="249">
        <f t="shared" si="56"/>
        <v>7487.6802199040003</v>
      </c>
      <c r="M73" s="249">
        <f t="shared" si="56"/>
        <v>7010.8174726400002</v>
      </c>
      <c r="N73" s="249">
        <f t="shared" si="56"/>
        <v>7487.6802199040003</v>
      </c>
      <c r="O73" s="249">
        <f>M102+M104</f>
        <v>7249.2488462719994</v>
      </c>
      <c r="P73" s="250">
        <f t="shared" si="55"/>
        <v>89312.378080896015</v>
      </c>
      <c r="Q73" s="50" t="s">
        <v>137</v>
      </c>
      <c r="R73" s="50"/>
    </row>
    <row r="74" spans="1:33" x14ac:dyDescent="0.2">
      <c r="A74" s="66" t="s">
        <v>138</v>
      </c>
      <c r="B74" s="600" t="s">
        <v>136</v>
      </c>
      <c r="C74" s="164"/>
      <c r="D74" s="252">
        <f>+B$101</f>
        <v>55487.951760000004</v>
      </c>
      <c r="E74" s="252">
        <f t="shared" ref="E74" si="57">+C$101</f>
        <v>48989.057520000002</v>
      </c>
      <c r="F74" s="252">
        <f t="shared" ref="F74:O74" si="58">+D$101</f>
        <v>53825.963272000001</v>
      </c>
      <c r="G74" s="252">
        <f t="shared" si="58"/>
        <v>44332.418499200001</v>
      </c>
      <c r="H74" s="252">
        <f t="shared" si="58"/>
        <v>40358.562272000003</v>
      </c>
      <c r="I74" s="252">
        <f t="shared" si="58"/>
        <v>28436.993590400001</v>
      </c>
      <c r="J74" s="252">
        <f t="shared" si="58"/>
        <v>44332.418499200001</v>
      </c>
      <c r="K74" s="252">
        <f t="shared" si="58"/>
        <v>40358.562272000003</v>
      </c>
      <c r="L74" s="252">
        <f t="shared" si="58"/>
        <v>44332.418499200001</v>
      </c>
      <c r="M74" s="252">
        <f t="shared" si="58"/>
        <v>40358.562272000003</v>
      </c>
      <c r="N74" s="252">
        <f t="shared" si="58"/>
        <v>44332.418499200001</v>
      </c>
      <c r="O74" s="252">
        <f t="shared" si="58"/>
        <v>42345.490385599995</v>
      </c>
      <c r="P74" s="250">
        <f t="shared" si="55"/>
        <v>527490.81734080007</v>
      </c>
      <c r="Q74" s="50"/>
      <c r="R74" s="50"/>
    </row>
    <row r="75" spans="1:33" x14ac:dyDescent="0.2">
      <c r="A75" s="66" t="s">
        <v>85</v>
      </c>
      <c r="B75" s="600" t="s">
        <v>1379</v>
      </c>
      <c r="C75" s="164"/>
      <c r="D75" s="252">
        <f>((5054.65/65)*5)/12</f>
        <v>32.401602564102561</v>
      </c>
      <c r="E75" s="252">
        <f>D75</f>
        <v>32.401602564102561</v>
      </c>
      <c r="F75" s="252">
        <f t="shared" ref="F75:O75" si="59">E75</f>
        <v>32.401602564102561</v>
      </c>
      <c r="G75" s="252">
        <f t="shared" si="59"/>
        <v>32.401602564102561</v>
      </c>
      <c r="H75" s="252">
        <f t="shared" si="59"/>
        <v>32.401602564102561</v>
      </c>
      <c r="I75" s="252">
        <f t="shared" si="59"/>
        <v>32.401602564102561</v>
      </c>
      <c r="J75" s="252">
        <f t="shared" si="59"/>
        <v>32.401602564102561</v>
      </c>
      <c r="K75" s="252">
        <f t="shared" si="59"/>
        <v>32.401602564102561</v>
      </c>
      <c r="L75" s="252">
        <f t="shared" si="59"/>
        <v>32.401602564102561</v>
      </c>
      <c r="M75" s="252">
        <f t="shared" si="59"/>
        <v>32.401602564102561</v>
      </c>
      <c r="N75" s="252">
        <f t="shared" si="59"/>
        <v>32.401602564102561</v>
      </c>
      <c r="O75" s="252">
        <f t="shared" si="59"/>
        <v>32.401602564102561</v>
      </c>
      <c r="P75" s="250">
        <f t="shared" si="55"/>
        <v>388.81923076923084</v>
      </c>
      <c r="Q75" s="50" t="s">
        <v>886</v>
      </c>
      <c r="R75" s="50"/>
      <c r="U75" s="46">
        <f>412/77</f>
        <v>5.3506493506493502</v>
      </c>
      <c r="X75" s="46">
        <v>7960</v>
      </c>
      <c r="Y75" s="46" t="s">
        <v>887</v>
      </c>
    </row>
    <row r="76" spans="1:33" x14ac:dyDescent="0.2">
      <c r="A76" s="65" t="s">
        <v>86</v>
      </c>
      <c r="B76" s="599" t="s">
        <v>1081</v>
      </c>
      <c r="C76" s="165"/>
      <c r="D76" s="252">
        <f>2591.91/12</f>
        <v>215.99249999999998</v>
      </c>
      <c r="E76" s="252">
        <f>D76</f>
        <v>215.99249999999998</v>
      </c>
      <c r="F76" s="252">
        <f t="shared" ref="F76:O76" si="60">E76</f>
        <v>215.99249999999998</v>
      </c>
      <c r="G76" s="252">
        <f t="shared" si="60"/>
        <v>215.99249999999998</v>
      </c>
      <c r="H76" s="252">
        <f t="shared" si="60"/>
        <v>215.99249999999998</v>
      </c>
      <c r="I76" s="252">
        <f t="shared" si="60"/>
        <v>215.99249999999998</v>
      </c>
      <c r="J76" s="252">
        <f t="shared" si="60"/>
        <v>215.99249999999998</v>
      </c>
      <c r="K76" s="252">
        <f t="shared" si="60"/>
        <v>215.99249999999998</v>
      </c>
      <c r="L76" s="252">
        <f t="shared" si="60"/>
        <v>215.99249999999998</v>
      </c>
      <c r="M76" s="252">
        <f t="shared" si="60"/>
        <v>215.99249999999998</v>
      </c>
      <c r="N76" s="252">
        <f t="shared" si="60"/>
        <v>215.99249999999998</v>
      </c>
      <c r="O76" s="252">
        <f t="shared" si="60"/>
        <v>215.99249999999998</v>
      </c>
      <c r="P76" s="250">
        <f t="shared" si="55"/>
        <v>2591.91</v>
      </c>
      <c r="R76" s="204"/>
      <c r="X76" s="46">
        <v>1231.74</v>
      </c>
      <c r="Y76" s="46" t="s">
        <v>938</v>
      </c>
    </row>
    <row r="77" spans="1:33" x14ac:dyDescent="0.2">
      <c r="A77" s="65"/>
      <c r="B77" s="599" t="s">
        <v>1107</v>
      </c>
      <c r="C77" s="165"/>
      <c r="D77" s="252">
        <v>0</v>
      </c>
      <c r="E77" s="252">
        <f>D77</f>
        <v>0</v>
      </c>
      <c r="F77" s="252">
        <f t="shared" ref="F77:O77" si="61">E77</f>
        <v>0</v>
      </c>
      <c r="G77" s="252">
        <f t="shared" si="61"/>
        <v>0</v>
      </c>
      <c r="H77" s="252">
        <f t="shared" si="61"/>
        <v>0</v>
      </c>
      <c r="I77" s="252">
        <f t="shared" si="61"/>
        <v>0</v>
      </c>
      <c r="J77" s="252">
        <f t="shared" si="61"/>
        <v>0</v>
      </c>
      <c r="K77" s="252">
        <f t="shared" si="61"/>
        <v>0</v>
      </c>
      <c r="L77" s="252">
        <f t="shared" si="61"/>
        <v>0</v>
      </c>
      <c r="M77" s="252">
        <f t="shared" si="61"/>
        <v>0</v>
      </c>
      <c r="N77" s="252">
        <f t="shared" si="61"/>
        <v>0</v>
      </c>
      <c r="O77" s="252">
        <f t="shared" si="61"/>
        <v>0</v>
      </c>
      <c r="P77" s="250">
        <f t="shared" si="55"/>
        <v>0</v>
      </c>
      <c r="R77" s="204"/>
    </row>
    <row r="78" spans="1:33" x14ac:dyDescent="0.2">
      <c r="A78" s="65"/>
      <c r="B78" s="599" t="s">
        <v>100</v>
      </c>
      <c r="C78" s="165"/>
      <c r="D78" s="252">
        <v>350</v>
      </c>
      <c r="E78" s="252">
        <v>350</v>
      </c>
      <c r="F78" s="252">
        <v>350</v>
      </c>
      <c r="G78" s="252">
        <v>350</v>
      </c>
      <c r="H78" s="252">
        <v>350</v>
      </c>
      <c r="I78" s="252">
        <v>350</v>
      </c>
      <c r="J78" s="252">
        <v>350</v>
      </c>
      <c r="K78" s="252">
        <v>350</v>
      </c>
      <c r="L78" s="252">
        <v>350</v>
      </c>
      <c r="M78" s="252">
        <v>350</v>
      </c>
      <c r="N78" s="252">
        <v>350</v>
      </c>
      <c r="O78" s="252">
        <v>350</v>
      </c>
      <c r="P78" s="250">
        <f t="shared" si="55"/>
        <v>4200</v>
      </c>
      <c r="X78" s="46">
        <v>600</v>
      </c>
      <c r="Y78" s="46" t="s">
        <v>939</v>
      </c>
    </row>
    <row r="79" spans="1:33" x14ac:dyDescent="0.2">
      <c r="A79" s="65"/>
      <c r="B79" s="599" t="s">
        <v>1361</v>
      </c>
      <c r="C79" s="165"/>
      <c r="D79" s="252">
        <v>500</v>
      </c>
      <c r="E79" s="252">
        <f>D79</f>
        <v>500</v>
      </c>
      <c r="F79" s="252">
        <f t="shared" ref="F79:O79" si="62">E79</f>
        <v>500</v>
      </c>
      <c r="G79" s="252">
        <f t="shared" si="62"/>
        <v>500</v>
      </c>
      <c r="H79" s="252">
        <f t="shared" si="62"/>
        <v>500</v>
      </c>
      <c r="I79" s="252">
        <f t="shared" si="62"/>
        <v>500</v>
      </c>
      <c r="J79" s="252">
        <f t="shared" si="62"/>
        <v>500</v>
      </c>
      <c r="K79" s="252">
        <f t="shared" si="62"/>
        <v>500</v>
      </c>
      <c r="L79" s="252">
        <f t="shared" si="62"/>
        <v>500</v>
      </c>
      <c r="M79" s="252">
        <f t="shared" si="62"/>
        <v>500</v>
      </c>
      <c r="N79" s="252">
        <f t="shared" si="62"/>
        <v>500</v>
      </c>
      <c r="O79" s="252">
        <f t="shared" si="62"/>
        <v>500</v>
      </c>
      <c r="P79" s="250">
        <f t="shared" si="55"/>
        <v>6000</v>
      </c>
      <c r="X79" s="46">
        <v>300</v>
      </c>
      <c r="Y79" s="46" t="s">
        <v>940</v>
      </c>
    </row>
    <row r="80" spans="1:33" x14ac:dyDescent="0.2">
      <c r="A80" s="105">
        <f>SUM(D76:D80)</f>
        <v>1065.9924999999998</v>
      </c>
      <c r="B80" s="165"/>
      <c r="C80" s="165"/>
      <c r="D80" s="252"/>
      <c r="E80" s="252"/>
      <c r="F80" s="252"/>
      <c r="G80" s="252"/>
      <c r="H80" s="252"/>
      <c r="I80" s="252"/>
      <c r="J80" s="252"/>
      <c r="K80" s="252"/>
      <c r="L80" s="252"/>
      <c r="M80" s="252"/>
      <c r="N80" s="252"/>
      <c r="O80" s="252"/>
      <c r="P80" s="250">
        <f t="shared" si="55"/>
        <v>0</v>
      </c>
    </row>
    <row r="81" spans="1:33" x14ac:dyDescent="0.2">
      <c r="A81" s="65" t="s">
        <v>87</v>
      </c>
      <c r="B81" s="599" t="s">
        <v>1174</v>
      </c>
      <c r="C81" s="165"/>
      <c r="D81" s="252">
        <f>76</f>
        <v>76</v>
      </c>
      <c r="E81" s="252">
        <f>D81</f>
        <v>76</v>
      </c>
      <c r="F81" s="252">
        <f t="shared" ref="F81:O81" si="63">E81</f>
        <v>76</v>
      </c>
      <c r="G81" s="252">
        <f t="shared" si="63"/>
        <v>76</v>
      </c>
      <c r="H81" s="252">
        <f t="shared" si="63"/>
        <v>76</v>
      </c>
      <c r="I81" s="252">
        <f t="shared" si="63"/>
        <v>76</v>
      </c>
      <c r="J81" s="252">
        <f t="shared" si="63"/>
        <v>76</v>
      </c>
      <c r="K81" s="252">
        <f t="shared" si="63"/>
        <v>76</v>
      </c>
      <c r="L81" s="252">
        <f t="shared" si="63"/>
        <v>76</v>
      </c>
      <c r="M81" s="252">
        <f t="shared" si="63"/>
        <v>76</v>
      </c>
      <c r="N81" s="252">
        <f t="shared" si="63"/>
        <v>76</v>
      </c>
      <c r="O81" s="252">
        <f t="shared" si="63"/>
        <v>76</v>
      </c>
      <c r="P81" s="250">
        <f t="shared" si="55"/>
        <v>912</v>
      </c>
      <c r="Q81" s="50"/>
      <c r="R81" s="50"/>
    </row>
    <row r="82" spans="1:33" x14ac:dyDescent="0.2">
      <c r="A82" s="65"/>
      <c r="B82" s="599" t="s">
        <v>139</v>
      </c>
      <c r="C82" s="165"/>
      <c r="D82" s="249">
        <f>6360/12</f>
        <v>530</v>
      </c>
      <c r="E82" s="249">
        <v>530</v>
      </c>
      <c r="F82" s="249">
        <v>530</v>
      </c>
      <c r="G82" s="249">
        <v>530</v>
      </c>
      <c r="H82" s="249">
        <v>530</v>
      </c>
      <c r="I82" s="249">
        <v>530</v>
      </c>
      <c r="J82" s="249">
        <v>530</v>
      </c>
      <c r="K82" s="249">
        <v>530</v>
      </c>
      <c r="L82" s="249">
        <v>530</v>
      </c>
      <c r="M82" s="249">
        <v>530</v>
      </c>
      <c r="N82" s="249">
        <v>530</v>
      </c>
      <c r="O82" s="249">
        <v>530</v>
      </c>
      <c r="P82" s="250">
        <f t="shared" si="55"/>
        <v>6360</v>
      </c>
      <c r="Q82" s="105"/>
      <c r="R82" s="105"/>
    </row>
    <row r="83" spans="1:33" x14ac:dyDescent="0.2">
      <c r="A83" s="65"/>
      <c r="B83" s="165"/>
      <c r="C83" s="165"/>
      <c r="D83" s="249"/>
      <c r="E83" s="249">
        <f>D83</f>
        <v>0</v>
      </c>
      <c r="F83" s="249">
        <f t="shared" ref="F83:O83" si="64">E83</f>
        <v>0</v>
      </c>
      <c r="G83" s="249">
        <f t="shared" si="64"/>
        <v>0</v>
      </c>
      <c r="H83" s="249">
        <f t="shared" si="64"/>
        <v>0</v>
      </c>
      <c r="I83" s="249">
        <f t="shared" si="64"/>
        <v>0</v>
      </c>
      <c r="J83" s="249">
        <f t="shared" si="64"/>
        <v>0</v>
      </c>
      <c r="K83" s="249">
        <f t="shared" si="64"/>
        <v>0</v>
      </c>
      <c r="L83" s="249">
        <f t="shared" si="64"/>
        <v>0</v>
      </c>
      <c r="M83" s="249">
        <f t="shared" si="64"/>
        <v>0</v>
      </c>
      <c r="N83" s="249">
        <f t="shared" si="64"/>
        <v>0</v>
      </c>
      <c r="O83" s="249">
        <f t="shared" si="64"/>
        <v>0</v>
      </c>
      <c r="P83" s="250">
        <f t="shared" si="55"/>
        <v>0</v>
      </c>
      <c r="Q83" s="105"/>
      <c r="R83" s="105"/>
    </row>
    <row r="84" spans="1:33" x14ac:dyDescent="0.2">
      <c r="A84" s="105">
        <f>SUM(D81:D84)</f>
        <v>750</v>
      </c>
      <c r="B84" s="599" t="s">
        <v>883</v>
      </c>
      <c r="C84" s="165"/>
      <c r="D84" s="252">
        <f>72*2</f>
        <v>144</v>
      </c>
      <c r="E84" s="252">
        <v>144</v>
      </c>
      <c r="F84" s="252">
        <v>144</v>
      </c>
      <c r="G84" s="252">
        <v>144</v>
      </c>
      <c r="H84" s="252">
        <v>144</v>
      </c>
      <c r="I84" s="252">
        <v>144</v>
      </c>
      <c r="J84" s="252">
        <v>144</v>
      </c>
      <c r="K84" s="252">
        <v>144</v>
      </c>
      <c r="L84" s="252">
        <v>144</v>
      </c>
      <c r="M84" s="252">
        <v>144</v>
      </c>
      <c r="N84" s="252">
        <v>144</v>
      </c>
      <c r="O84" s="252">
        <v>144</v>
      </c>
      <c r="P84" s="250">
        <f t="shared" si="55"/>
        <v>1728</v>
      </c>
    </row>
    <row r="85" spans="1:33" x14ac:dyDescent="0.2">
      <c r="A85" s="66" t="s">
        <v>88</v>
      </c>
      <c r="B85" s="599" t="s">
        <v>140</v>
      </c>
      <c r="C85" s="164"/>
      <c r="D85" s="252">
        <v>400</v>
      </c>
      <c r="E85" s="252">
        <v>400</v>
      </c>
      <c r="F85" s="252">
        <v>400</v>
      </c>
      <c r="G85" s="252">
        <v>400</v>
      </c>
      <c r="H85" s="252">
        <v>400</v>
      </c>
      <c r="I85" s="252">
        <v>400</v>
      </c>
      <c r="J85" s="252">
        <v>400</v>
      </c>
      <c r="K85" s="252">
        <v>400</v>
      </c>
      <c r="L85" s="252">
        <v>400</v>
      </c>
      <c r="M85" s="252">
        <v>400</v>
      </c>
      <c r="N85" s="252">
        <v>400</v>
      </c>
      <c r="O85" s="252">
        <v>400</v>
      </c>
      <c r="P85" s="250">
        <f t="shared" si="55"/>
        <v>4800</v>
      </c>
    </row>
    <row r="86" spans="1:33" x14ac:dyDescent="0.2">
      <c r="A86" s="60" t="s">
        <v>16</v>
      </c>
      <c r="B86" s="60"/>
      <c r="C86" s="60"/>
      <c r="D86" s="663">
        <f>ROUND(SUM(D3:D85),2)</f>
        <v>126496.64</v>
      </c>
      <c r="E86" s="663">
        <f>ROUND(SUM(E3:E85),2)</f>
        <v>153678</v>
      </c>
      <c r="F86" s="663">
        <f t="shared" ref="F86:P86" si="65">ROUND(SUM(F3:F85),2)</f>
        <v>137740.31</v>
      </c>
      <c r="G86" s="663">
        <f t="shared" si="65"/>
        <v>115297.91</v>
      </c>
      <c r="H86" s="663">
        <f t="shared" si="65"/>
        <v>110346.14</v>
      </c>
      <c r="I86" s="663">
        <f t="shared" si="65"/>
        <v>111782.92</v>
      </c>
      <c r="J86" s="663">
        <f t="shared" si="65"/>
        <v>114332.72</v>
      </c>
      <c r="K86" s="663">
        <f t="shared" si="65"/>
        <v>110551.85</v>
      </c>
      <c r="L86" s="663">
        <f t="shared" si="65"/>
        <v>119989.66</v>
      </c>
      <c r="M86" s="663">
        <f t="shared" si="65"/>
        <v>111977.21</v>
      </c>
      <c r="N86" s="663">
        <f t="shared" si="65"/>
        <v>119379.69</v>
      </c>
      <c r="O86" s="663">
        <f t="shared" si="65"/>
        <v>118808.05</v>
      </c>
      <c r="P86" s="663">
        <f t="shared" si="65"/>
        <v>1450381.1</v>
      </c>
    </row>
    <row r="87" spans="1:33" x14ac:dyDescent="0.2">
      <c r="F87" s="204"/>
      <c r="G87" s="204"/>
      <c r="H87" s="204"/>
      <c r="I87" s="204"/>
      <c r="J87" s="204"/>
      <c r="K87" s="204"/>
      <c r="L87" s="204"/>
      <c r="M87" s="204"/>
      <c r="N87" s="204"/>
      <c r="O87" s="204"/>
    </row>
    <row r="88" spans="1:33" s="61" customFormat="1" x14ac:dyDescent="0.2">
      <c r="A88" s="44"/>
      <c r="B88" s="44"/>
      <c r="C88" s="44"/>
      <c r="D88" s="560"/>
      <c r="E88" s="560"/>
      <c r="F88" s="560"/>
      <c r="G88" s="560"/>
      <c r="H88" s="560"/>
      <c r="I88" s="560"/>
      <c r="J88" s="560"/>
      <c r="K88" s="560"/>
      <c r="L88" s="560"/>
      <c r="M88" s="560"/>
      <c r="N88" s="560"/>
      <c r="O88" s="560"/>
      <c r="P88" s="50"/>
      <c r="Q88" s="44"/>
      <c r="R88" s="44"/>
      <c r="T88" s="46"/>
      <c r="U88" s="46"/>
      <c r="V88" s="46"/>
      <c r="W88" s="46"/>
      <c r="X88" s="46"/>
      <c r="Y88" s="46"/>
      <c r="Z88" s="46"/>
      <c r="AA88" s="46"/>
      <c r="AB88" s="1"/>
      <c r="AC88" s="1"/>
      <c r="AD88" s="1"/>
      <c r="AE88" s="1"/>
      <c r="AF88" s="1"/>
      <c r="AG88" s="1"/>
    </row>
    <row r="89" spans="1:33" s="62" customFormat="1" x14ac:dyDescent="0.2">
      <c r="A89" s="44" t="s">
        <v>935</v>
      </c>
      <c r="B89" s="44">
        <v>0</v>
      </c>
      <c r="C89" s="44">
        <v>1</v>
      </c>
      <c r="D89" s="44">
        <v>0</v>
      </c>
      <c r="E89" s="44">
        <v>0</v>
      </c>
      <c r="F89" s="44">
        <v>0</v>
      </c>
      <c r="G89" s="44">
        <v>2</v>
      </c>
      <c r="H89" s="44">
        <v>2</v>
      </c>
      <c r="I89" s="44">
        <v>0</v>
      </c>
      <c r="J89" s="44">
        <v>0</v>
      </c>
      <c r="K89" s="44">
        <v>5</v>
      </c>
      <c r="L89" s="44">
        <v>0</v>
      </c>
      <c r="M89" s="44">
        <v>1</v>
      </c>
      <c r="N89" s="44"/>
      <c r="O89" s="44"/>
      <c r="P89" s="44"/>
      <c r="Q89" s="44"/>
      <c r="R89" s="44"/>
      <c r="T89" s="46"/>
      <c r="U89" s="46"/>
      <c r="V89" s="46"/>
      <c r="W89" s="46"/>
      <c r="X89" s="46"/>
      <c r="Y89" s="46"/>
      <c r="Z89" s="46"/>
      <c r="AA89" s="46"/>
      <c r="AB89" s="1"/>
      <c r="AC89" s="1"/>
      <c r="AD89" s="1"/>
      <c r="AE89" s="1"/>
      <c r="AF89" s="1"/>
      <c r="AG89" s="1"/>
    </row>
    <row r="90" spans="1:33" s="62" customFormat="1" ht="15" x14ac:dyDescent="0.25">
      <c r="A90" s="1" t="s">
        <v>141</v>
      </c>
      <c r="B90" s="194">
        <v>23</v>
      </c>
      <c r="C90" s="194">
        <v>20</v>
      </c>
      <c r="D90" s="194">
        <v>22</v>
      </c>
      <c r="E90" s="194">
        <v>22</v>
      </c>
      <c r="F90" s="194">
        <v>20</v>
      </c>
      <c r="G90" s="194">
        <v>14</v>
      </c>
      <c r="H90" s="194">
        <v>20</v>
      </c>
      <c r="I90" s="194">
        <v>20</v>
      </c>
      <c r="J90" s="194">
        <v>22</v>
      </c>
      <c r="K90" s="194">
        <v>20</v>
      </c>
      <c r="L90" s="194">
        <v>21</v>
      </c>
      <c r="M90" s="194">
        <v>21</v>
      </c>
      <c r="N90" s="44"/>
      <c r="O90" s="44"/>
      <c r="P90" s="96" t="e">
        <f>(P86-P88)/P88</f>
        <v>#DIV/0!</v>
      </c>
      <c r="Q90" s="44"/>
      <c r="R90" s="44"/>
      <c r="T90" s="46"/>
      <c r="U90" s="46"/>
      <c r="V90" s="46"/>
      <c r="W90" s="46"/>
      <c r="X90" s="46"/>
      <c r="Y90" s="46"/>
      <c r="Z90" s="46"/>
      <c r="AA90" s="46"/>
      <c r="AB90" s="1"/>
      <c r="AC90" s="1"/>
      <c r="AD90" s="1"/>
      <c r="AE90" s="1"/>
      <c r="AF90" s="1"/>
      <c r="AG90" s="1"/>
    </row>
    <row r="91" spans="1:33" s="62" customFormat="1" x14ac:dyDescent="0.2">
      <c r="A91"/>
      <c r="B91" s="605" t="s">
        <v>142</v>
      </c>
      <c r="C91" s="95" t="s">
        <v>143</v>
      </c>
      <c r="D91" s="95" t="s">
        <v>144</v>
      </c>
      <c r="E91" s="95" t="s">
        <v>145</v>
      </c>
      <c r="F91" s="95" t="s">
        <v>146</v>
      </c>
      <c r="G91" s="95" t="s">
        <v>147</v>
      </c>
      <c r="H91" s="95" t="s">
        <v>148</v>
      </c>
      <c r="I91" s="95" t="s">
        <v>149</v>
      </c>
      <c r="J91" s="95" t="s">
        <v>150</v>
      </c>
      <c r="K91" s="95" t="s">
        <v>151</v>
      </c>
      <c r="L91" s="95" t="s">
        <v>152</v>
      </c>
      <c r="M91" s="95" t="s">
        <v>874</v>
      </c>
      <c r="N91" s="44"/>
      <c r="O91" s="50"/>
      <c r="P91" s="44"/>
      <c r="Q91" s="61"/>
      <c r="R91" s="61"/>
      <c r="T91" s="46"/>
      <c r="U91" s="46"/>
      <c r="V91" s="46"/>
      <c r="W91" s="46"/>
      <c r="X91" s="46"/>
      <c r="Y91" s="46"/>
      <c r="Z91" s="46"/>
      <c r="AA91" s="46"/>
      <c r="AB91" s="1"/>
      <c r="AC91" s="1"/>
      <c r="AD91" s="1"/>
      <c r="AE91" s="1"/>
      <c r="AF91" s="1"/>
      <c r="AG91" s="1"/>
    </row>
    <row r="92" spans="1:33" s="62" customFormat="1" x14ac:dyDescent="0.2">
      <c r="A92" t="s">
        <v>154</v>
      </c>
      <c r="B92" s="239">
        <f>B107*$B$90*8</f>
        <v>4781.7625600000001</v>
      </c>
      <c r="C92" s="239">
        <f>D107*$C$90*8</f>
        <v>4158.0544</v>
      </c>
      <c r="D92" s="239">
        <f>D107*$D$90*8</f>
        <v>4573.8598400000001</v>
      </c>
      <c r="E92" s="239">
        <f>D107*$E$90*8</f>
        <v>4573.8598400000001</v>
      </c>
      <c r="F92" s="239">
        <f>D107*$F$90*8</f>
        <v>4158.0544</v>
      </c>
      <c r="G92" s="239">
        <f>D107*$G$90*8</f>
        <v>2910.6380799999997</v>
      </c>
      <c r="H92" s="239">
        <f>D107*$D$90*8</f>
        <v>4573.8598400000001</v>
      </c>
      <c r="I92" s="239">
        <f>D107*$I$90*8</f>
        <v>4158.0544</v>
      </c>
      <c r="J92" s="239">
        <f>D107*$D$90*8</f>
        <v>4573.8598400000001</v>
      </c>
      <c r="K92" s="239">
        <f>D107*$K$90*8</f>
        <v>4158.0544</v>
      </c>
      <c r="L92" s="239">
        <f>D107*$D$90*8</f>
        <v>4573.8598400000001</v>
      </c>
      <c r="M92" s="239">
        <f>D107*$M$90*8</f>
        <v>4365.95712</v>
      </c>
      <c r="N92" s="44"/>
      <c r="O92" s="50"/>
      <c r="P92" s="44"/>
      <c r="Q92" s="61"/>
      <c r="R92" s="61"/>
      <c r="T92" s="46"/>
      <c r="U92" s="46"/>
      <c r="V92" s="46"/>
      <c r="W92" s="46"/>
      <c r="X92" s="46"/>
      <c r="Y92" s="46"/>
      <c r="Z92" s="46"/>
      <c r="AA92" s="46"/>
      <c r="AB92" s="1"/>
      <c r="AC92" s="1"/>
      <c r="AD92" s="1"/>
      <c r="AE92" s="1"/>
      <c r="AF92" s="1"/>
      <c r="AG92" s="1"/>
    </row>
    <row r="93" spans="1:33" s="62" customFormat="1" x14ac:dyDescent="0.2">
      <c r="A93" t="s">
        <v>155</v>
      </c>
      <c r="B93" s="239">
        <f>B108*$B$90*8</f>
        <v>5801.8144000000002</v>
      </c>
      <c r="C93" s="239">
        <f>D108*$C$90*8</f>
        <v>5045.0560000000005</v>
      </c>
      <c r="D93" s="239">
        <f>D108*$D$90*8</f>
        <v>5549.5616000000009</v>
      </c>
      <c r="E93" s="239">
        <f>D108*$E$90*8</f>
        <v>5549.5616000000009</v>
      </c>
      <c r="F93" s="239">
        <f>D108*$F$90*8</f>
        <v>5045.0560000000005</v>
      </c>
      <c r="G93" s="239">
        <f>D108*$G$90*8</f>
        <v>3531.5392000000006</v>
      </c>
      <c r="H93" s="239">
        <f>D108*$D$90*8</f>
        <v>5549.5616000000009</v>
      </c>
      <c r="I93" s="239">
        <f>D108*$I$90*8</f>
        <v>5045.0560000000005</v>
      </c>
      <c r="J93" s="239">
        <f>D108*$D$90*8</f>
        <v>5549.5616000000009</v>
      </c>
      <c r="K93" s="239">
        <f>D108*$K$90*8</f>
        <v>5045.0560000000005</v>
      </c>
      <c r="L93" s="239">
        <f>D108*$D$90*8</f>
        <v>5549.5616000000009</v>
      </c>
      <c r="M93" s="239">
        <f>D108*$M$90*8</f>
        <v>5297.3088000000007</v>
      </c>
      <c r="N93" s="239"/>
      <c r="O93" s="50"/>
      <c r="P93" s="44"/>
      <c r="Q93" s="61"/>
      <c r="R93" s="61"/>
      <c r="T93" s="46"/>
      <c r="U93" s="46"/>
      <c r="V93" s="46"/>
      <c r="W93" s="46"/>
      <c r="X93" s="46"/>
      <c r="Y93" s="46"/>
      <c r="Z93" s="46"/>
      <c r="AA93" s="46"/>
      <c r="AB93" s="1"/>
      <c r="AC93" s="1"/>
      <c r="AD93" s="1"/>
      <c r="AE93" s="1"/>
      <c r="AF93" s="1"/>
      <c r="AG93" s="1"/>
    </row>
    <row r="94" spans="1:33" s="62" customFormat="1" x14ac:dyDescent="0.2">
      <c r="A94" t="s">
        <v>1143</v>
      </c>
      <c r="B94" s="239">
        <f>B109*$B$90*8</f>
        <v>19068.895199999999</v>
      </c>
      <c r="C94" s="239">
        <f>D109*$C$90*8</f>
        <v>16581.648000000001</v>
      </c>
      <c r="D94" s="239">
        <f>D109*$D$90*8</f>
        <v>18239.8128</v>
      </c>
      <c r="E94" s="239">
        <f>D109*$E$90*8</f>
        <v>18239.8128</v>
      </c>
      <c r="F94" s="239">
        <f>D109*$F$90*8</f>
        <v>16581.648000000001</v>
      </c>
      <c r="G94" s="239">
        <f>D109*$G$90*8</f>
        <v>11607.1536</v>
      </c>
      <c r="H94" s="239">
        <f>D109*$D$90*8</f>
        <v>18239.8128</v>
      </c>
      <c r="I94" s="239">
        <f>D109*$I$90*8</f>
        <v>16581.648000000001</v>
      </c>
      <c r="J94" s="239">
        <f>D109*$D$90*8</f>
        <v>18239.8128</v>
      </c>
      <c r="K94" s="239">
        <f>D109*$K$90*8</f>
        <v>16581.648000000001</v>
      </c>
      <c r="L94" s="239">
        <f>D109*$D$90*8</f>
        <v>18239.8128</v>
      </c>
      <c r="M94" s="239">
        <f>D109*$M$90*8</f>
        <v>17410.7304</v>
      </c>
      <c r="N94" s="239"/>
      <c r="O94" s="50"/>
      <c r="P94" s="44"/>
      <c r="Q94" s="61"/>
      <c r="R94" s="61"/>
      <c r="T94" s="46"/>
      <c r="U94" s="46"/>
      <c r="V94" s="46"/>
      <c r="W94" s="46"/>
      <c r="X94" s="46"/>
      <c r="Y94" s="46"/>
      <c r="Z94" s="46"/>
      <c r="AA94" s="46"/>
      <c r="AB94" s="1"/>
      <c r="AC94" s="1"/>
      <c r="AD94" s="1"/>
      <c r="AE94" s="1"/>
      <c r="AF94" s="1"/>
      <c r="AG94" s="1"/>
    </row>
    <row r="95" spans="1:33" s="62" customFormat="1" x14ac:dyDescent="0.2">
      <c r="A95" t="s">
        <v>156</v>
      </c>
      <c r="B95" s="239">
        <f>B110*$B$90*8</f>
        <v>11847.52816</v>
      </c>
      <c r="C95" s="239">
        <f>D110*$C$90*8</f>
        <v>10611.264351999998</v>
      </c>
      <c r="D95" s="239">
        <f>D110*$D$90*8</f>
        <v>11672.390787199998</v>
      </c>
      <c r="E95" s="239">
        <f>D110*$E$90*8</f>
        <v>11672.390787199998</v>
      </c>
      <c r="F95" s="239">
        <f>D110*$F$90*8</f>
        <v>10611.264351999998</v>
      </c>
      <c r="G95" s="239">
        <f>D110*$G$90*8</f>
        <v>7427.8850463999988</v>
      </c>
      <c r="H95" s="239">
        <f>D110*$D$90*8</f>
        <v>11672.390787199998</v>
      </c>
      <c r="I95" s="239">
        <f>D110*$I$90*8</f>
        <v>10611.264351999998</v>
      </c>
      <c r="J95" s="239">
        <f>D110*$D$90*8</f>
        <v>11672.390787199998</v>
      </c>
      <c r="K95" s="239">
        <f>D110*$K$90*8</f>
        <v>10611.264351999998</v>
      </c>
      <c r="L95" s="239">
        <f>D110*$D$90*8</f>
        <v>11672.390787199998</v>
      </c>
      <c r="M95" s="239">
        <f>D110*$M$90*8</f>
        <v>11141.827569599998</v>
      </c>
      <c r="N95" s="239"/>
      <c r="O95" s="50"/>
      <c r="P95" s="44"/>
      <c r="Q95" s="61"/>
      <c r="R95" s="61"/>
      <c r="T95" s="46"/>
      <c r="U95" s="46"/>
      <c r="V95" s="46"/>
      <c r="W95" s="46"/>
      <c r="X95" s="46"/>
      <c r="Y95" s="46"/>
      <c r="Z95" s="46"/>
      <c r="AA95" s="46"/>
      <c r="AB95" s="1"/>
      <c r="AC95" s="1"/>
      <c r="AD95" s="1"/>
      <c r="AE95" s="1"/>
      <c r="AF95" s="1"/>
      <c r="AG95" s="1"/>
    </row>
    <row r="96" spans="1:33" s="62" customFormat="1" x14ac:dyDescent="0.2">
      <c r="A96" t="s">
        <v>157</v>
      </c>
      <c r="B96" s="239">
        <f>B111*$B$90*8</f>
        <v>9635.9898400000002</v>
      </c>
      <c r="C96" s="239">
        <f>D111*$C$90*8</f>
        <v>8630.4952480000011</v>
      </c>
      <c r="D96" s="239">
        <f>D111*$D$90*8</f>
        <v>9493.5447728000017</v>
      </c>
      <c r="E96" s="239">
        <v>0</v>
      </c>
      <c r="F96" s="239">
        <v>0</v>
      </c>
      <c r="G96" s="239">
        <v>0</v>
      </c>
      <c r="H96" s="239">
        <v>0</v>
      </c>
      <c r="I96" s="239">
        <v>0</v>
      </c>
      <c r="J96" s="239">
        <v>0</v>
      </c>
      <c r="K96" s="239">
        <v>0</v>
      </c>
      <c r="L96" s="239">
        <v>0</v>
      </c>
      <c r="M96" s="239">
        <v>0</v>
      </c>
      <c r="N96" s="239" t="s">
        <v>1194</v>
      </c>
      <c r="O96" s="50"/>
      <c r="P96" s="44"/>
      <c r="Q96" s="61"/>
      <c r="R96" s="61"/>
      <c r="T96" s="46"/>
      <c r="U96" s="46"/>
      <c r="V96" s="46"/>
      <c r="W96" s="46"/>
      <c r="X96" s="46"/>
      <c r="Y96" s="46"/>
      <c r="Z96" s="46"/>
      <c r="AA96" s="46"/>
      <c r="AB96" s="1"/>
      <c r="AC96" s="1"/>
      <c r="AD96" s="1"/>
      <c r="AE96" s="1"/>
      <c r="AF96" s="1"/>
      <c r="AG96" s="1"/>
    </row>
    <row r="97" spans="1:33" s="62" customFormat="1" x14ac:dyDescent="0.2">
      <c r="A97" t="s">
        <v>873</v>
      </c>
      <c r="B97" s="239">
        <f>B112*$B$90*4.8</f>
        <v>3731.9616000000001</v>
      </c>
      <c r="C97" s="239">
        <f>D112*$C$90*4.8</f>
        <v>3342.5395199999998</v>
      </c>
      <c r="D97" s="239">
        <f>D112*$D$90*4.8</f>
        <v>3676.7934719999998</v>
      </c>
      <c r="E97" s="239">
        <f>D112*$E$90*4.8</f>
        <v>3676.7934719999998</v>
      </c>
      <c r="F97" s="239">
        <f>D112*$F$90*4.8</f>
        <v>3342.5395199999998</v>
      </c>
      <c r="G97" s="239">
        <f>D112*$G$90*4.8</f>
        <v>2339.7776640000002</v>
      </c>
      <c r="H97" s="239">
        <f>D112*$D$90*4.8</f>
        <v>3676.7934719999998</v>
      </c>
      <c r="I97" s="239">
        <f>D112*$I$90*4.8</f>
        <v>3342.5395199999998</v>
      </c>
      <c r="J97" s="239">
        <f>D112*$D$90*4.8</f>
        <v>3676.7934719999998</v>
      </c>
      <c r="K97" s="239">
        <f>D112*$K$90*4.8</f>
        <v>3342.5395199999998</v>
      </c>
      <c r="L97" s="239">
        <f>D112*$D$90*4.8</f>
        <v>3676.7934719999998</v>
      </c>
      <c r="M97" s="239">
        <f>D112*$M$90*4.8</f>
        <v>3509.6664959999998</v>
      </c>
      <c r="N97" s="239"/>
      <c r="O97" s="50"/>
      <c r="P97" s="44"/>
      <c r="Q97" s="61"/>
      <c r="R97" s="61"/>
      <c r="T97" s="46"/>
      <c r="U97" s="46"/>
      <c r="V97" s="46"/>
      <c r="W97" s="46"/>
      <c r="X97" s="46"/>
      <c r="Y97" s="46"/>
      <c r="Z97" s="46"/>
      <c r="AA97" s="46"/>
      <c r="AB97" s="1"/>
      <c r="AC97" s="1"/>
      <c r="AD97" s="1"/>
      <c r="AE97" s="1"/>
      <c r="AF97" s="1"/>
      <c r="AG97" s="1"/>
    </row>
    <row r="98" spans="1:33" s="609" customFormat="1" x14ac:dyDescent="0.2">
      <c r="A98" s="545" t="s">
        <v>1165</v>
      </c>
      <c r="B98" s="606">
        <f>B113*$B$90*6</f>
        <v>0</v>
      </c>
      <c r="C98" s="606">
        <f>D113*$C$90*6</f>
        <v>0</v>
      </c>
      <c r="D98" s="606">
        <f>D113*$D$90*6</f>
        <v>0</v>
      </c>
      <c r="E98" s="606">
        <f>D113*$E$90*6</f>
        <v>0</v>
      </c>
      <c r="F98" s="606">
        <f>D113*$F$90*6</f>
        <v>0</v>
      </c>
      <c r="G98" s="606">
        <f>D113*$G$90*6</f>
        <v>0</v>
      </c>
      <c r="H98" s="606">
        <f>D113*$D$90*6</f>
        <v>0</v>
      </c>
      <c r="I98" s="606">
        <f>D113*$I$90*6</f>
        <v>0</v>
      </c>
      <c r="J98" s="606">
        <f>D113*$D$90*6</f>
        <v>0</v>
      </c>
      <c r="K98" s="606">
        <f>D113*$K$90*6</f>
        <v>0</v>
      </c>
      <c r="L98" s="606">
        <f>D113*$D$90*6</f>
        <v>0</v>
      </c>
      <c r="M98" s="606">
        <f>D113*$M$90*6</f>
        <v>0</v>
      </c>
      <c r="N98" s="606"/>
      <c r="O98" s="90"/>
      <c r="P98" s="607"/>
      <c r="Q98" s="608"/>
      <c r="R98" s="608"/>
      <c r="T98" s="610"/>
      <c r="U98" s="610"/>
      <c r="V98" s="610"/>
      <c r="W98" s="610"/>
      <c r="X98" s="610"/>
      <c r="Y98" s="610"/>
      <c r="Z98" s="610"/>
      <c r="AA98" s="610"/>
      <c r="AB98" s="545"/>
      <c r="AC98" s="545"/>
      <c r="AD98" s="545"/>
      <c r="AE98" s="545"/>
      <c r="AF98" s="545"/>
      <c r="AG98" s="545"/>
    </row>
    <row r="99" spans="1:33" s="609" customFormat="1" x14ac:dyDescent="0.2">
      <c r="A99" s="545" t="s">
        <v>1164</v>
      </c>
      <c r="B99" s="606">
        <f>B114*$B$90*8</f>
        <v>0</v>
      </c>
      <c r="C99" s="606">
        <f>D114*$C$90*8</f>
        <v>0</v>
      </c>
      <c r="D99" s="606">
        <f>D114*$D$90*8</f>
        <v>0</v>
      </c>
      <c r="E99" s="606">
        <f>D114*$E$90*8</f>
        <v>0</v>
      </c>
      <c r="F99" s="606">
        <f>D114*$F$90*8</f>
        <v>0</v>
      </c>
      <c r="G99" s="606">
        <f>D114*$G$90*8</f>
        <v>0</v>
      </c>
      <c r="H99" s="606">
        <f>D114*$D$90*8</f>
        <v>0</v>
      </c>
      <c r="I99" s="606">
        <f>D114*$I$90*8</f>
        <v>0</v>
      </c>
      <c r="J99" s="606">
        <f>D114*$D$90*8</f>
        <v>0</v>
      </c>
      <c r="K99" s="606">
        <f>D114*$K$90*8</f>
        <v>0</v>
      </c>
      <c r="L99" s="606">
        <f>D114*$D$90*8</f>
        <v>0</v>
      </c>
      <c r="M99" s="606">
        <f>D114*$M$90*8</f>
        <v>0</v>
      </c>
      <c r="N99" s="606"/>
      <c r="O99" s="90"/>
      <c r="P99" s="607"/>
      <c r="Q99" s="608"/>
      <c r="R99" s="608"/>
      <c r="T99" s="610"/>
      <c r="U99" s="610"/>
      <c r="V99" s="610"/>
      <c r="W99" s="610"/>
      <c r="X99" s="610"/>
      <c r="Y99" s="610"/>
      <c r="Z99" s="610"/>
      <c r="AA99" s="610"/>
      <c r="AB99" s="545"/>
      <c r="AC99" s="545"/>
      <c r="AD99" s="545"/>
      <c r="AE99" s="545"/>
      <c r="AF99" s="545"/>
      <c r="AG99" s="545"/>
    </row>
    <row r="100" spans="1:33" s="62" customFormat="1" x14ac:dyDescent="0.2">
      <c r="A100" t="s">
        <v>158</v>
      </c>
      <c r="B100" s="239">
        <f>($B$115*4)*4</f>
        <v>620</v>
      </c>
      <c r="C100" s="239">
        <f t="shared" ref="C100:M100" si="66">($D$115*4)*4</f>
        <v>620</v>
      </c>
      <c r="D100" s="239">
        <f t="shared" si="66"/>
        <v>620</v>
      </c>
      <c r="E100" s="239">
        <f t="shared" si="66"/>
        <v>620</v>
      </c>
      <c r="F100" s="239">
        <f t="shared" si="66"/>
        <v>620</v>
      </c>
      <c r="G100" s="239">
        <f t="shared" si="66"/>
        <v>620</v>
      </c>
      <c r="H100" s="239">
        <f t="shared" si="66"/>
        <v>620</v>
      </c>
      <c r="I100" s="239">
        <f t="shared" si="66"/>
        <v>620</v>
      </c>
      <c r="J100" s="239">
        <f t="shared" si="66"/>
        <v>620</v>
      </c>
      <c r="K100" s="239">
        <f t="shared" si="66"/>
        <v>620</v>
      </c>
      <c r="L100" s="239">
        <f t="shared" si="66"/>
        <v>620</v>
      </c>
      <c r="M100" s="239">
        <f t="shared" si="66"/>
        <v>620</v>
      </c>
      <c r="N100" s="239"/>
      <c r="O100" s="50"/>
      <c r="P100" s="44"/>
      <c r="Q100" s="61"/>
      <c r="R100" s="61"/>
      <c r="T100" s="46"/>
      <c r="U100" s="46"/>
      <c r="V100" s="46"/>
      <c r="W100" s="46"/>
      <c r="X100" s="46"/>
      <c r="Y100" s="46"/>
      <c r="Z100" s="46"/>
      <c r="AA100" s="46"/>
      <c r="AB100" s="1"/>
      <c r="AC100" s="1"/>
      <c r="AD100" s="1"/>
      <c r="AE100" s="1"/>
      <c r="AF100" s="1"/>
      <c r="AG100" s="1"/>
    </row>
    <row r="101" spans="1:33" s="62" customFormat="1" x14ac:dyDescent="0.2">
      <c r="A101" s="44"/>
      <c r="B101" s="240">
        <f>SUM(B92:B100)</f>
        <v>55487.951760000004</v>
      </c>
      <c r="C101" s="240">
        <f>SUM(C92:C100)</f>
        <v>48989.057520000002</v>
      </c>
      <c r="D101" s="240">
        <f t="shared" ref="D101:M101" si="67">SUM(D92:D100)</f>
        <v>53825.963272000001</v>
      </c>
      <c r="E101" s="240">
        <f t="shared" si="67"/>
        <v>44332.418499200001</v>
      </c>
      <c r="F101" s="240">
        <f t="shared" si="67"/>
        <v>40358.562272000003</v>
      </c>
      <c r="G101" s="240">
        <f t="shared" si="67"/>
        <v>28436.993590400001</v>
      </c>
      <c r="H101" s="240">
        <f t="shared" si="67"/>
        <v>44332.418499200001</v>
      </c>
      <c r="I101" s="240">
        <f t="shared" si="67"/>
        <v>40358.562272000003</v>
      </c>
      <c r="J101" s="240">
        <f t="shared" si="67"/>
        <v>44332.418499200001</v>
      </c>
      <c r="K101" s="240">
        <f t="shared" si="67"/>
        <v>40358.562272000003</v>
      </c>
      <c r="L101" s="240">
        <f t="shared" si="67"/>
        <v>44332.418499200001</v>
      </c>
      <c r="M101" s="240">
        <f t="shared" si="67"/>
        <v>42345.490385599995</v>
      </c>
      <c r="N101" s="239"/>
      <c r="O101" s="50"/>
      <c r="P101" s="44"/>
      <c r="Q101" s="61"/>
      <c r="R101" s="61"/>
      <c r="T101" s="46"/>
      <c r="U101" s="46"/>
      <c r="V101" s="46"/>
      <c r="W101" s="46"/>
      <c r="X101" s="46"/>
      <c r="Y101" s="46"/>
      <c r="Z101" s="46"/>
      <c r="AA101" s="46"/>
      <c r="AB101" s="1"/>
      <c r="AC101" s="1"/>
      <c r="AD101" s="1"/>
      <c r="AE101" s="1"/>
      <c r="AF101" s="1"/>
      <c r="AG101" s="1"/>
    </row>
    <row r="102" spans="1:33" s="62" customFormat="1" x14ac:dyDescent="0.2">
      <c r="A102" s="44" t="s">
        <v>159</v>
      </c>
      <c r="B102" s="242">
        <f>B101*0.12</f>
        <v>6658.5542112000003</v>
      </c>
      <c r="C102" s="242">
        <f>C101*0.12</f>
        <v>5878.6869023999998</v>
      </c>
      <c r="D102" s="242">
        <f t="shared" ref="D102:M102" si="68">D101*0.12</f>
        <v>6459.1155926399997</v>
      </c>
      <c r="E102" s="242">
        <f t="shared" si="68"/>
        <v>5319.8902199040003</v>
      </c>
      <c r="F102" s="242">
        <f t="shared" si="68"/>
        <v>4843.0274726400003</v>
      </c>
      <c r="G102" s="242">
        <f t="shared" si="68"/>
        <v>3412.4392308480001</v>
      </c>
      <c r="H102" s="242">
        <f t="shared" si="68"/>
        <v>5319.8902199040003</v>
      </c>
      <c r="I102" s="242">
        <f t="shared" si="68"/>
        <v>4843.0274726400003</v>
      </c>
      <c r="J102" s="242">
        <f t="shared" si="68"/>
        <v>5319.8902199040003</v>
      </c>
      <c r="K102" s="242">
        <f t="shared" si="68"/>
        <v>4843.0274726400003</v>
      </c>
      <c r="L102" s="242">
        <f t="shared" si="68"/>
        <v>5319.8902199040003</v>
      </c>
      <c r="M102" s="242">
        <f t="shared" si="68"/>
        <v>5081.4588462719994</v>
      </c>
      <c r="N102" s="241"/>
      <c r="O102" s="44"/>
      <c r="P102" s="44"/>
      <c r="T102" s="46"/>
      <c r="U102" s="46"/>
      <c r="V102" s="46"/>
      <c r="W102" s="46"/>
      <c r="X102" s="46"/>
      <c r="Y102" s="46"/>
      <c r="Z102" s="46"/>
      <c r="AA102" s="46"/>
      <c r="AB102" s="1"/>
      <c r="AC102" s="1"/>
      <c r="AD102" s="1"/>
      <c r="AE102" s="1"/>
      <c r="AF102" s="1"/>
      <c r="AG102" s="1"/>
    </row>
    <row r="103" spans="1:33" s="62" customFormat="1" x14ac:dyDescent="0.2">
      <c r="A103" s="44" t="s">
        <v>127</v>
      </c>
      <c r="B103" s="242">
        <f>B101*0.03</f>
        <v>1664.6385528000001</v>
      </c>
      <c r="C103" s="242">
        <f t="shared" ref="C103:M103" si="69">C101*0.03</f>
        <v>1469.6717255999999</v>
      </c>
      <c r="D103" s="242">
        <f t="shared" si="69"/>
        <v>1614.7788981599999</v>
      </c>
      <c r="E103" s="242">
        <f t="shared" si="69"/>
        <v>1329.9725549760001</v>
      </c>
      <c r="F103" s="242">
        <f t="shared" si="69"/>
        <v>1210.7568681600001</v>
      </c>
      <c r="G103" s="242">
        <f t="shared" si="69"/>
        <v>853.10980771200002</v>
      </c>
      <c r="H103" s="242">
        <f t="shared" si="69"/>
        <v>1329.9725549760001</v>
      </c>
      <c r="I103" s="242">
        <f t="shared" si="69"/>
        <v>1210.7568681600001</v>
      </c>
      <c r="J103" s="242">
        <f t="shared" si="69"/>
        <v>1329.9725549760001</v>
      </c>
      <c r="K103" s="242">
        <f t="shared" si="69"/>
        <v>1210.7568681600001</v>
      </c>
      <c r="L103" s="242">
        <f t="shared" si="69"/>
        <v>1329.9725549760001</v>
      </c>
      <c r="M103" s="242">
        <f t="shared" si="69"/>
        <v>1270.3647115679998</v>
      </c>
      <c r="N103" s="241"/>
      <c r="O103" s="44"/>
      <c r="P103" s="44"/>
      <c r="T103" s="46"/>
      <c r="U103" s="46"/>
      <c r="V103" s="46"/>
      <c r="W103" s="46"/>
      <c r="X103" s="46"/>
      <c r="Y103" s="46"/>
      <c r="Z103" s="46"/>
      <c r="AA103" s="46"/>
      <c r="AB103" s="1"/>
      <c r="AC103" s="1"/>
      <c r="AD103" s="1"/>
      <c r="AE103" s="1"/>
      <c r="AF103" s="1"/>
      <c r="AG103" s="1"/>
    </row>
    <row r="104" spans="1:33" s="62" customFormat="1" x14ac:dyDescent="0.2">
      <c r="A104" s="44" t="s">
        <v>1395</v>
      </c>
      <c r="B104" s="44">
        <v>2167.79</v>
      </c>
      <c r="C104" s="44">
        <v>2167.79</v>
      </c>
      <c r="D104" s="44">
        <v>2167.79</v>
      </c>
      <c r="E104" s="44">
        <v>2167.79</v>
      </c>
      <c r="F104" s="44">
        <v>2167.79</v>
      </c>
      <c r="G104" s="44">
        <v>2167.79</v>
      </c>
      <c r="H104" s="44">
        <v>2167.79</v>
      </c>
      <c r="I104" s="44">
        <v>2167.79</v>
      </c>
      <c r="J104" s="44">
        <v>2167.79</v>
      </c>
      <c r="K104" s="44">
        <v>2167.79</v>
      </c>
      <c r="L104" s="44">
        <v>2167.79</v>
      </c>
      <c r="M104" s="44">
        <v>2167.79</v>
      </c>
      <c r="N104" s="242"/>
      <c r="O104" s="44"/>
      <c r="P104" s="44"/>
      <c r="AB104" s="1"/>
      <c r="AC104" s="1"/>
      <c r="AD104" s="1"/>
      <c r="AE104" s="1"/>
      <c r="AF104" s="1"/>
      <c r="AG104" s="1"/>
    </row>
    <row r="105" spans="1:33" s="62" customFormat="1" ht="13.5" thickBot="1" x14ac:dyDescent="0.25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242"/>
      <c r="O105" s="44"/>
      <c r="P105" s="44"/>
      <c r="AB105" s="1"/>
      <c r="AC105" s="1"/>
      <c r="AD105" s="1"/>
      <c r="AE105" s="1"/>
      <c r="AF105" s="1"/>
      <c r="AG105" s="1"/>
    </row>
    <row r="106" spans="1:33" s="62" customFormat="1" ht="35.450000000000003" customHeight="1" x14ac:dyDescent="0.2">
      <c r="A106" s="222" t="s">
        <v>160</v>
      </c>
      <c r="B106" s="223" t="s">
        <v>161</v>
      </c>
      <c r="C106" s="224" t="s">
        <v>871</v>
      </c>
      <c r="D106" s="225" t="s">
        <v>1352</v>
      </c>
      <c r="E106" s="224" t="s">
        <v>872</v>
      </c>
      <c r="F106" s="224" t="s">
        <v>162</v>
      </c>
      <c r="G106" s="223" t="s">
        <v>163</v>
      </c>
      <c r="H106" s="226" t="s">
        <v>164</v>
      </c>
      <c r="I106" s="226" t="s">
        <v>165</v>
      </c>
      <c r="J106" s="226" t="s">
        <v>166</v>
      </c>
      <c r="K106" s="227" t="s">
        <v>167</v>
      </c>
      <c r="N106" s="44"/>
      <c r="O106" s="44"/>
      <c r="P106" s="44"/>
      <c r="AB106" s="1"/>
      <c r="AC106" s="1"/>
      <c r="AD106" s="1"/>
      <c r="AE106" s="1"/>
      <c r="AF106" s="1"/>
      <c r="AG106" s="1"/>
    </row>
    <row r="107" spans="1:33" s="62" customFormat="1" x14ac:dyDescent="0.2">
      <c r="A107" s="228" t="s">
        <v>154</v>
      </c>
      <c r="B107" s="211">
        <v>25.987839999999998</v>
      </c>
      <c r="C107" s="212">
        <f>B107*8*5*52</f>
        <v>54054.707199999997</v>
      </c>
      <c r="D107" s="211">
        <f>(C107/52/40)</f>
        <v>25.987839999999998</v>
      </c>
      <c r="E107" s="212">
        <f>D107*8*5*52</f>
        <v>54054.707199999997</v>
      </c>
      <c r="F107" s="213">
        <f>(E107*0.12)+32500</f>
        <v>38986.564864</v>
      </c>
      <c r="G107" s="214">
        <f>E107+F107</f>
        <v>93041.27206399999</v>
      </c>
      <c r="H107" s="214">
        <f>+G107*0.03</f>
        <v>2791.2381619199996</v>
      </c>
      <c r="I107" s="214"/>
      <c r="J107" s="214">
        <v>69.319999999999709</v>
      </c>
      <c r="K107" s="229">
        <v>35</v>
      </c>
      <c r="N107" s="61"/>
      <c r="O107" s="61" t="s">
        <v>168</v>
      </c>
      <c r="P107" s="61" t="s">
        <v>169</v>
      </c>
      <c r="Q107" s="61" t="s">
        <v>170</v>
      </c>
      <c r="R107" s="61" t="s">
        <v>171</v>
      </c>
      <c r="AB107" s="1"/>
      <c r="AC107" s="1"/>
      <c r="AD107" s="1"/>
      <c r="AE107" s="1"/>
      <c r="AF107" s="1"/>
      <c r="AG107" s="1"/>
    </row>
    <row r="108" spans="1:33" s="62" customFormat="1" x14ac:dyDescent="0.2">
      <c r="A108" s="100" t="s">
        <v>155</v>
      </c>
      <c r="B108" s="215">
        <v>31.531600000000001</v>
      </c>
      <c r="C108" s="72">
        <f>B108*4*5*52</f>
        <v>32792.864000000001</v>
      </c>
      <c r="D108" s="215">
        <f>(C108/52/20)</f>
        <v>31.531600000000005</v>
      </c>
      <c r="E108" s="72">
        <f>D108*4*5*52</f>
        <v>32792.864000000001</v>
      </c>
      <c r="F108" s="72">
        <f>E108*0.12</f>
        <v>3935.1436800000001</v>
      </c>
      <c r="G108" s="216">
        <f>E108+F108</f>
        <v>36728.007680000002</v>
      </c>
      <c r="H108" s="216">
        <f>+G108*0.03</f>
        <v>1101.8402304000001</v>
      </c>
      <c r="I108" s="216"/>
      <c r="J108" s="216">
        <v>42.050000000001091</v>
      </c>
      <c r="K108" s="230">
        <v>35</v>
      </c>
      <c r="L108" s="44"/>
      <c r="M108" s="44"/>
      <c r="N108" s="61" t="s">
        <v>42</v>
      </c>
      <c r="O108" s="167">
        <v>0.26</v>
      </c>
      <c r="P108" s="167">
        <v>0.08</v>
      </c>
      <c r="Q108" s="167">
        <v>0.05</v>
      </c>
      <c r="R108" s="167">
        <v>0.28000000000000003</v>
      </c>
      <c r="AB108" s="1"/>
      <c r="AC108" s="1"/>
      <c r="AD108" s="1"/>
      <c r="AE108" s="1"/>
      <c r="AF108" s="1"/>
      <c r="AG108" s="1"/>
    </row>
    <row r="109" spans="1:33" s="62" customFormat="1" x14ac:dyDescent="0.2">
      <c r="A109" s="100" t="s">
        <v>1143</v>
      </c>
      <c r="B109" s="215">
        <v>103.6353</v>
      </c>
      <c r="C109" s="72">
        <f>B109*4*5*52</f>
        <v>107780.712</v>
      </c>
      <c r="D109" s="215">
        <f>B109</f>
        <v>103.6353</v>
      </c>
      <c r="E109" s="72">
        <f>D109*4*5*52</f>
        <v>107780.712</v>
      </c>
      <c r="F109" s="72">
        <f t="shared" ref="F109" si="70">E109*0.12</f>
        <v>12933.685439999999</v>
      </c>
      <c r="G109" s="216">
        <f>E109+F109</f>
        <v>120714.39744</v>
      </c>
      <c r="H109" s="216">
        <f>+G109*0.03</f>
        <v>3621.4319231999998</v>
      </c>
      <c r="I109" s="216"/>
      <c r="J109" s="216"/>
      <c r="K109" s="230">
        <v>35</v>
      </c>
      <c r="L109" s="44"/>
      <c r="M109" s="44"/>
      <c r="N109" s="61"/>
      <c r="O109" s="167"/>
      <c r="P109" s="167"/>
      <c r="Q109" s="167"/>
      <c r="R109" s="167"/>
      <c r="AB109" s="1"/>
      <c r="AC109" s="1"/>
      <c r="AD109" s="1"/>
      <c r="AE109" s="1"/>
      <c r="AF109" s="1"/>
      <c r="AG109" s="1"/>
    </row>
    <row r="110" spans="1:33" x14ac:dyDescent="0.2">
      <c r="A110" s="100" t="s">
        <v>156</v>
      </c>
      <c r="B110" s="215">
        <v>64.388739999999999</v>
      </c>
      <c r="C110" s="72">
        <f>B110*8*5*52</f>
        <v>133928.57919999998</v>
      </c>
      <c r="D110" s="215">
        <f>(C110/52/40)*1.03</f>
        <v>66.32040219999999</v>
      </c>
      <c r="E110" s="72">
        <f>D110*8*5*52</f>
        <v>137946.43657599998</v>
      </c>
      <c r="F110" s="72">
        <f t="shared" ref="F110:F114" si="71">E110*0.12</f>
        <v>16553.572389119996</v>
      </c>
      <c r="G110" s="216">
        <f t="shared" ref="G110:G114" si="72">E110+F110</f>
        <v>154500.00896511998</v>
      </c>
      <c r="H110" s="216">
        <f t="shared" ref="H110:H115" si="73">+G110*0.03</f>
        <v>4635.0002689535995</v>
      </c>
      <c r="I110" s="216"/>
      <c r="J110" s="216">
        <v>77.279999999998836</v>
      </c>
      <c r="K110" s="230">
        <v>35</v>
      </c>
      <c r="N110" s="61" t="s">
        <v>36</v>
      </c>
      <c r="O110" s="167">
        <v>0.42</v>
      </c>
      <c r="P110" s="167">
        <v>0.03</v>
      </c>
      <c r="Q110" s="167">
        <v>0.02</v>
      </c>
      <c r="R110" s="167">
        <v>0.03</v>
      </c>
      <c r="S110" s="62"/>
      <c r="T110" s="62"/>
      <c r="U110" s="62"/>
      <c r="V110" s="62"/>
      <c r="W110" s="62"/>
      <c r="X110" s="62"/>
      <c r="Y110" s="62"/>
      <c r="Z110" s="62"/>
      <c r="AA110" s="62"/>
    </row>
    <row r="111" spans="1:33" ht="13.15" customHeight="1" x14ac:dyDescent="0.2">
      <c r="A111" s="100" t="s">
        <v>157</v>
      </c>
      <c r="B111" s="215">
        <v>52.369509999999998</v>
      </c>
      <c r="C111" s="72">
        <f>B111*8*5*52</f>
        <v>108928.58080000001</v>
      </c>
      <c r="D111" s="215">
        <f>(C111/52/40)*1.03</f>
        <v>53.940595300000005</v>
      </c>
      <c r="E111" s="72">
        <f>D111*8*5*52</f>
        <v>112196.43822400001</v>
      </c>
      <c r="F111" s="72">
        <f t="shared" si="71"/>
        <v>13463.572586880002</v>
      </c>
      <c r="G111" s="216">
        <f t="shared" si="72"/>
        <v>125660.01081088002</v>
      </c>
      <c r="H111" s="216">
        <f t="shared" si="73"/>
        <v>3769.8003243264006</v>
      </c>
      <c r="I111" s="216"/>
      <c r="J111" s="216"/>
      <c r="K111" s="231"/>
      <c r="L111" s="62"/>
      <c r="M111" s="62"/>
      <c r="N111" s="61" t="s">
        <v>37</v>
      </c>
      <c r="O111" s="167">
        <v>0.36</v>
      </c>
      <c r="P111" s="167">
        <v>0.11</v>
      </c>
      <c r="Q111" s="167">
        <v>0.05</v>
      </c>
      <c r="R111" s="167">
        <v>0.22</v>
      </c>
      <c r="S111" s="62"/>
      <c r="T111" s="62"/>
      <c r="U111" s="62"/>
      <c r="V111" s="62"/>
      <c r="W111" s="62"/>
      <c r="X111" s="62"/>
      <c r="Y111" s="62"/>
      <c r="Z111" s="62"/>
      <c r="AA111" s="62"/>
    </row>
    <row r="112" spans="1:33" x14ac:dyDescent="0.2">
      <c r="A112" s="100" t="s">
        <v>1163</v>
      </c>
      <c r="B112" s="215">
        <v>33.804000000000002</v>
      </c>
      <c r="C112" s="72">
        <f>B112*8*3*52</f>
        <v>42187.392</v>
      </c>
      <c r="D112" s="215">
        <f>(C112/52/24)*1.03</f>
        <v>34.81812</v>
      </c>
      <c r="E112" s="72">
        <f>D112*8*3*52</f>
        <v>43453.013760000002</v>
      </c>
      <c r="F112" s="72">
        <f t="shared" si="71"/>
        <v>5214.3616511999999</v>
      </c>
      <c r="G112" s="216">
        <f t="shared" si="72"/>
        <v>48667.375411200002</v>
      </c>
      <c r="H112" s="216">
        <f t="shared" si="73"/>
        <v>1460.0212623360001</v>
      </c>
      <c r="I112" s="216"/>
      <c r="J112" s="216"/>
      <c r="K112" s="231"/>
      <c r="L112" s="62"/>
      <c r="M112" s="62"/>
      <c r="N112" s="62"/>
      <c r="O112" s="62"/>
      <c r="P112" s="62"/>
      <c r="S112" s="62"/>
      <c r="T112" s="62"/>
      <c r="U112" s="62"/>
      <c r="V112" s="62"/>
      <c r="W112" s="62"/>
      <c r="X112" s="62"/>
      <c r="Y112" s="62"/>
      <c r="Z112" s="62"/>
      <c r="AA112" s="62"/>
    </row>
    <row r="113" spans="1:27" x14ac:dyDescent="0.2">
      <c r="A113" s="604" t="s">
        <v>1165</v>
      </c>
      <c r="B113" s="215">
        <v>0</v>
      </c>
      <c r="C113" s="72">
        <f>B113*6*5*52</f>
        <v>0</v>
      </c>
      <c r="D113" s="215">
        <f>(C113/52/30)*1.04</f>
        <v>0</v>
      </c>
      <c r="E113" s="72">
        <f>D113*6*5*52</f>
        <v>0</v>
      </c>
      <c r="F113" s="72">
        <f t="shared" si="71"/>
        <v>0</v>
      </c>
      <c r="G113" s="216">
        <f t="shared" si="72"/>
        <v>0</v>
      </c>
      <c r="H113" s="216">
        <f t="shared" si="73"/>
        <v>0</v>
      </c>
      <c r="I113" s="216"/>
      <c r="J113" s="216"/>
      <c r="K113" s="231"/>
      <c r="L113" s="62"/>
      <c r="M113" s="1"/>
      <c r="N113" s="62"/>
      <c r="O113" s="62"/>
      <c r="P113" s="62"/>
      <c r="S113" s="62"/>
      <c r="T113" s="62"/>
      <c r="U113" s="62"/>
      <c r="V113" s="62"/>
      <c r="W113" s="62"/>
      <c r="X113" s="62"/>
      <c r="Y113" s="62"/>
      <c r="Z113" s="62"/>
      <c r="AA113" s="62"/>
    </row>
    <row r="114" spans="1:27" x14ac:dyDescent="0.2">
      <c r="A114" s="604" t="s">
        <v>1164</v>
      </c>
      <c r="B114" s="215">
        <v>0</v>
      </c>
      <c r="C114" s="72">
        <f>B114*8*5*52</f>
        <v>0</v>
      </c>
      <c r="D114" s="215">
        <f>(C114/52/40)*1.04</f>
        <v>0</v>
      </c>
      <c r="E114" s="72">
        <f>D114*8*5*52</f>
        <v>0</v>
      </c>
      <c r="F114" s="72">
        <f t="shared" si="71"/>
        <v>0</v>
      </c>
      <c r="G114" s="216">
        <f t="shared" si="72"/>
        <v>0</v>
      </c>
      <c r="H114" s="216">
        <f t="shared" si="73"/>
        <v>0</v>
      </c>
      <c r="I114" s="216"/>
      <c r="J114" s="216"/>
      <c r="K114" s="231">
        <v>35</v>
      </c>
      <c r="L114" s="62"/>
      <c r="M114" s="1"/>
      <c r="N114" s="62"/>
      <c r="O114" s="62"/>
      <c r="P114" s="62"/>
      <c r="S114" s="62"/>
      <c r="T114" s="62"/>
      <c r="U114" s="62"/>
      <c r="V114" s="62"/>
      <c r="W114" s="62"/>
      <c r="X114" s="62"/>
      <c r="Y114" s="62"/>
      <c r="Z114" s="62"/>
      <c r="AA114" s="62"/>
    </row>
    <row r="115" spans="1:27" x14ac:dyDescent="0.2">
      <c r="A115" s="232" t="s">
        <v>1166</v>
      </c>
      <c r="B115" s="218">
        <v>38.75</v>
      </c>
      <c r="C115" s="219">
        <f>B115*4*1*52</f>
        <v>8060</v>
      </c>
      <c r="D115" s="218">
        <f>B115</f>
        <v>38.75</v>
      </c>
      <c r="E115" s="219">
        <f>D115*4*1*52</f>
        <v>8060</v>
      </c>
      <c r="F115" s="219">
        <f>E115*0.12</f>
        <v>967.19999999999993</v>
      </c>
      <c r="G115" s="220">
        <f>E115+F115</f>
        <v>9027.2000000000007</v>
      </c>
      <c r="H115" s="220">
        <f t="shared" si="73"/>
        <v>270.81600000000003</v>
      </c>
      <c r="I115" s="220"/>
      <c r="J115" s="220">
        <v>6.1899999999999977</v>
      </c>
      <c r="K115" s="233"/>
      <c r="L115" s="62"/>
      <c r="M115"/>
      <c r="N115" s="62"/>
      <c r="O115" s="62"/>
      <c r="P115" s="62"/>
    </row>
    <row r="116" spans="1:27" x14ac:dyDescent="0.2">
      <c r="A116" s="234" t="s">
        <v>163</v>
      </c>
      <c r="C116" s="46">
        <f>SUM(C107:C115)</f>
        <v>487732.83519999997</v>
      </c>
      <c r="D116" s="46"/>
      <c r="E116" s="46">
        <f>SUM(E107:E115)</f>
        <v>496284.17176000006</v>
      </c>
      <c r="F116" s="46">
        <f>SUM(F107:F115)</f>
        <v>92054.100611200003</v>
      </c>
      <c r="G116" s="46">
        <f>SUM(G107:G115)</f>
        <v>588338.27237119991</v>
      </c>
      <c r="H116" s="46">
        <f>SUM(H107:H115)</f>
        <v>17650.148171135999</v>
      </c>
      <c r="I116" s="46">
        <f>SUM(I107:I115)</f>
        <v>0</v>
      </c>
      <c r="J116" s="46"/>
      <c r="K116" s="235">
        <f>SUM(K107:K115)*12</f>
        <v>2100</v>
      </c>
      <c r="N116" s="62"/>
      <c r="O116" s="62"/>
      <c r="P116" s="62"/>
    </row>
    <row r="117" spans="1:27" ht="13.5" thickBot="1" x14ac:dyDescent="0.25">
      <c r="A117" s="101" t="s">
        <v>173</v>
      </c>
      <c r="B117" s="236"/>
      <c r="C117" s="237">
        <f>+C116/12</f>
        <v>40644.402933333331</v>
      </c>
      <c r="D117" s="237"/>
      <c r="E117" s="237">
        <f>+E116/12</f>
        <v>41357.01431333334</v>
      </c>
      <c r="F117" s="237">
        <f>+F116/12</f>
        <v>7671.1750509333333</v>
      </c>
      <c r="G117" s="237">
        <f>+G116/12</f>
        <v>49028.189364266662</v>
      </c>
      <c r="H117" s="237">
        <f>+H116/12</f>
        <v>1470.8456809279999</v>
      </c>
      <c r="I117" s="237">
        <v>947.96153333333336</v>
      </c>
      <c r="J117" s="237">
        <f>SUM(J107:J110)</f>
        <v>188.64999999999964</v>
      </c>
      <c r="K117" s="238">
        <f>+K116/12</f>
        <v>175</v>
      </c>
    </row>
    <row r="118" spans="1:27" ht="13.5" thickBot="1" x14ac:dyDescent="0.25"/>
    <row r="119" spans="1:27" x14ac:dyDescent="0.2">
      <c r="A119" s="244" t="s">
        <v>875</v>
      </c>
      <c r="B119" s="245"/>
      <c r="D119" s="46"/>
      <c r="E119" s="204"/>
    </row>
    <row r="120" spans="1:27" x14ac:dyDescent="0.2">
      <c r="A120" s="616" t="s">
        <v>1332</v>
      </c>
      <c r="B120" s="246">
        <v>2500000</v>
      </c>
      <c r="C120" s="242"/>
    </row>
    <row r="121" spans="1:27" ht="13.5" thickBot="1" x14ac:dyDescent="0.25">
      <c r="A121" s="234" t="s">
        <v>1331</v>
      </c>
      <c r="B121" s="248">
        <v>-1200000</v>
      </c>
      <c r="I121" s="204"/>
    </row>
    <row r="122" spans="1:27" ht="13.5" thickTop="1" x14ac:dyDescent="0.2">
      <c r="A122" s="234" t="s">
        <v>879</v>
      </c>
      <c r="B122" s="246">
        <f>B120+B121</f>
        <v>1300000</v>
      </c>
      <c r="I122" s="204"/>
    </row>
    <row r="123" spans="1:27" x14ac:dyDescent="0.2">
      <c r="A123" s="616" t="s">
        <v>876</v>
      </c>
      <c r="B123" s="246">
        <f>B122*5.45%</f>
        <v>70850</v>
      </c>
      <c r="I123" s="204"/>
    </row>
    <row r="124" spans="1:27" ht="13.5" thickBot="1" x14ac:dyDescent="0.25">
      <c r="A124" s="101" t="s">
        <v>878</v>
      </c>
      <c r="B124" s="247">
        <f>B123/B120</f>
        <v>2.8340000000000001E-2</v>
      </c>
      <c r="I124" s="204"/>
      <c r="J124" s="47"/>
    </row>
    <row r="125" spans="1:27" x14ac:dyDescent="0.2">
      <c r="A125" s="65"/>
      <c r="E125" s="221"/>
      <c r="I125" s="204"/>
      <c r="J125" s="47"/>
    </row>
    <row r="126" spans="1:27" x14ac:dyDescent="0.2">
      <c r="I126" s="204"/>
      <c r="J126" s="47"/>
    </row>
    <row r="127" spans="1:27" ht="15" x14ac:dyDescent="0.25">
      <c r="A127" s="243" t="s">
        <v>877</v>
      </c>
      <c r="B127" s="92"/>
      <c r="C127" s="92"/>
      <c r="D127" s="92"/>
      <c r="F127" s="65"/>
      <c r="I127" s="204"/>
    </row>
    <row r="128" spans="1:27" x14ac:dyDescent="0.2">
      <c r="A128" s="91"/>
      <c r="B128" s="91"/>
      <c r="C128" s="91"/>
      <c r="D128" s="93"/>
      <c r="F128" s="94"/>
      <c r="I128" s="204"/>
    </row>
    <row r="129" spans="1:9" x14ac:dyDescent="0.2">
      <c r="A129" s="91"/>
      <c r="B129" s="170"/>
      <c r="C129" s="170"/>
      <c r="D129" s="93"/>
      <c r="E129" s="149"/>
      <c r="F129" s="171"/>
      <c r="G129" s="149"/>
      <c r="I129" s="204"/>
    </row>
    <row r="130" spans="1:9" x14ac:dyDescent="0.2">
      <c r="A130" s="91"/>
      <c r="B130" s="170"/>
      <c r="C130" s="170"/>
      <c r="D130" s="93"/>
      <c r="E130" s="149"/>
      <c r="F130" s="171"/>
      <c r="G130" s="149"/>
      <c r="I130" s="204"/>
    </row>
    <row r="131" spans="1:9" x14ac:dyDescent="0.2">
      <c r="A131" s="91"/>
      <c r="B131" s="91"/>
      <c r="C131" s="91"/>
      <c r="D131" s="93"/>
      <c r="F131" s="94"/>
      <c r="I131" s="204"/>
    </row>
    <row r="132" spans="1:9" x14ac:dyDescent="0.2">
      <c r="A132" s="91"/>
      <c r="B132" s="91"/>
      <c r="C132" s="91"/>
      <c r="D132" s="93"/>
      <c r="F132" s="94"/>
    </row>
    <row r="133" spans="1:9" x14ac:dyDescent="0.2">
      <c r="A133" s="91"/>
      <c r="B133" s="91"/>
      <c r="C133" s="91"/>
      <c r="D133" s="93"/>
      <c r="F133" s="94"/>
    </row>
    <row r="134" spans="1:9" x14ac:dyDescent="0.2">
      <c r="A134" s="91"/>
      <c r="B134" s="91"/>
      <c r="C134" s="91"/>
      <c r="D134" s="93"/>
      <c r="F134" s="94"/>
    </row>
    <row r="135" spans="1:9" x14ac:dyDescent="0.2">
      <c r="A135" s="91"/>
      <c r="B135" s="91"/>
      <c r="C135" s="91"/>
      <c r="D135" s="93"/>
    </row>
    <row r="136" spans="1:9" x14ac:dyDescent="0.2">
      <c r="A136" s="91"/>
      <c r="B136" s="91"/>
      <c r="C136" s="91"/>
      <c r="D136" s="93"/>
    </row>
    <row r="137" spans="1:9" x14ac:dyDescent="0.2">
      <c r="B137" s="96"/>
      <c r="C137" s="96"/>
    </row>
    <row r="138" spans="1:9" x14ac:dyDescent="0.2">
      <c r="B138" s="96"/>
      <c r="C138" s="96"/>
    </row>
    <row r="139" spans="1:9" x14ac:dyDescent="0.2">
      <c r="B139" s="96"/>
      <c r="C139" s="96"/>
    </row>
    <row r="140" spans="1:9" x14ac:dyDescent="0.2">
      <c r="B140" s="96"/>
      <c r="C140" s="96"/>
    </row>
  </sheetData>
  <mergeCells count="1">
    <mergeCell ref="X36:Y36"/>
  </mergeCells>
  <phoneticPr fontId="19" type="noConversion"/>
  <hyperlinks>
    <hyperlink ref="A127" r:id="rId1" display="https://www.revenue.nsw.gov.au/taxes-duties-levies-royalties/payroll-tax/lodge-and-pay-returns/thresholds-and-rates" xr:uid="{D5CB7CC9-EF1C-459A-A768-B4C57A604316}"/>
  </hyperlinks>
  <pageMargins left="0.25" right="0.25" top="0.75" bottom="0.75" header="0.3" footer="0.3"/>
  <pageSetup paperSize="9" orientation="landscape" cellComments="atEnd" horizontalDpi="300" verticalDpi="300" r:id="rId2"/>
  <headerFooter alignWithMargins="0">
    <oddHeader>&amp;L&amp;8&amp;C&amp;8MYOB / Excel&amp;R&amp;8</oddHeader>
    <oddFooter>&amp;CPage &amp;</oddFooter>
  </headerFooter>
  <ignoredErrors>
    <ignoredError sqref="C93 C99 C97:C98 C95:C96 D113" formula="1"/>
  </ignoredErrors>
  <drawing r:id="rId3"/>
  <legacy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AFA13-D129-4433-85F2-3FEF0F947994}">
  <sheetPr codeName="Sheet7"/>
  <dimension ref="A1:F5"/>
  <sheetViews>
    <sheetView workbookViewId="0">
      <selection activeCell="F25" sqref="F25"/>
    </sheetView>
  </sheetViews>
  <sheetFormatPr defaultColWidth="8.85546875" defaultRowHeight="12.75" x14ac:dyDescent="0.2"/>
  <cols>
    <col min="1" max="1" width="14.140625" style="461" bestFit="1" customWidth="1"/>
    <col min="2" max="16384" width="8.85546875" style="461"/>
  </cols>
  <sheetData>
    <row r="1" spans="1:6" x14ac:dyDescent="0.2">
      <c r="A1" s="465">
        <v>45839</v>
      </c>
      <c r="B1" s="464" t="s">
        <v>172</v>
      </c>
      <c r="C1" s="464" t="s">
        <v>6</v>
      </c>
      <c r="D1" s="464" t="s">
        <v>528</v>
      </c>
      <c r="E1" s="464" t="s">
        <v>187</v>
      </c>
      <c r="F1" s="464" t="s">
        <v>5</v>
      </c>
    </row>
    <row r="2" spans="1:6" x14ac:dyDescent="0.2">
      <c r="A2" s="466" t="s">
        <v>932</v>
      </c>
      <c r="B2" s="466" t="s">
        <v>264</v>
      </c>
      <c r="C2" s="466"/>
      <c r="D2" s="466"/>
      <c r="E2" s="466"/>
      <c r="F2" s="466"/>
    </row>
    <row r="3" spans="1:6" x14ac:dyDescent="0.2">
      <c r="A3" s="461" t="s">
        <v>188</v>
      </c>
      <c r="B3" s="461" cm="1">
        <f t="array" ref="B3">SUM(IF('ONS Sales Forecast'!BS3:BS60="Actual", VLOOKUP(B2,'ONS Sales Forecast'!BS3:BS60,1,FALSE),'ONS Sales Forecast'!BS3:BS60))</f>
        <v>250364.46</v>
      </c>
    </row>
    <row r="4" spans="1:6" x14ac:dyDescent="0.2">
      <c r="A4" s="461" t="s">
        <v>933</v>
      </c>
      <c r="B4" s="461" cm="1">
        <f t="array" ref="B4">SUM(IF('ONS Sales Forecast'!BS62:BS68="Actual", VLOOKUP(B2,'ONS Sales Forecast'!BS62:BS68,1,FALSE),'ONS Sales Forecast'!BS62:BS68))</f>
        <v>-129391.67512851999</v>
      </c>
    </row>
    <row r="5" spans="1:6" x14ac:dyDescent="0.2">
      <c r="A5" s="461" t="s">
        <v>13</v>
      </c>
      <c r="B5" s="461">
        <f>B3-B4</f>
        <v>379756.13512851996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31EE77A-4CA8-4337-BBD1-C97728B2E2B5}">
          <x14:formula1>
            <xm:f>'Data Validation'!$C$2:$C$3</xm:f>
          </x14:formula1>
          <xm:sqref>B2:F2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8">
    <tabColor theme="5" tint="0.39997558519241921"/>
  </sheetPr>
  <dimension ref="A1:V65"/>
  <sheetViews>
    <sheetView topLeftCell="E1" zoomScaleNormal="100" workbookViewId="0">
      <selection activeCell="H4" sqref="H4"/>
    </sheetView>
  </sheetViews>
  <sheetFormatPr defaultColWidth="9.140625" defaultRowHeight="12.75" x14ac:dyDescent="0.2"/>
  <cols>
    <col min="1" max="1" width="32.42578125" style="1" hidden="1" customWidth="1"/>
    <col min="2" max="3" width="10.85546875" style="3" hidden="1" customWidth="1"/>
    <col min="4" max="4" width="10.7109375" style="3" hidden="1" customWidth="1"/>
    <col min="5" max="5" width="11.42578125" style="1" bestFit="1" customWidth="1"/>
    <col min="6" max="6" width="48.28515625" style="1" customWidth="1"/>
    <col min="7" max="18" width="12.28515625" style="1" bestFit="1" customWidth="1"/>
    <col min="19" max="19" width="11.42578125" style="1" bestFit="1" customWidth="1"/>
    <col min="20" max="16384" width="9.140625" style="1"/>
  </cols>
  <sheetData>
    <row r="1" spans="1:22" x14ac:dyDescent="0.2">
      <c r="A1" s="709" t="s">
        <v>176</v>
      </c>
      <c r="B1" s="709"/>
      <c r="C1" s="709"/>
      <c r="D1" s="709"/>
      <c r="F1" s="2" t="s">
        <v>930</v>
      </c>
      <c r="G1" s="2" t="s">
        <v>177</v>
      </c>
      <c r="H1" s="2" t="s">
        <v>178</v>
      </c>
      <c r="I1" s="2" t="s">
        <v>179</v>
      </c>
      <c r="J1" s="2" t="s">
        <v>180</v>
      </c>
      <c r="K1" s="2" t="s">
        <v>181</v>
      </c>
      <c r="L1" s="2" t="s">
        <v>182</v>
      </c>
      <c r="M1" s="2" t="s">
        <v>183</v>
      </c>
      <c r="N1" s="2" t="s">
        <v>184</v>
      </c>
      <c r="O1" s="2" t="s">
        <v>185</v>
      </c>
      <c r="P1" s="2" t="s">
        <v>186</v>
      </c>
      <c r="Q1" s="2" t="s">
        <v>152</v>
      </c>
      <c r="R1" s="2" t="s">
        <v>153</v>
      </c>
      <c r="S1" s="2" t="s">
        <v>27</v>
      </c>
    </row>
    <row r="2" spans="1:22" x14ac:dyDescent="0.2">
      <c r="B2" s="2" t="s">
        <v>187</v>
      </c>
      <c r="C2" s="2" t="s">
        <v>5</v>
      </c>
      <c r="D2" s="2" t="s">
        <v>27</v>
      </c>
      <c r="E2" s="1" t="s">
        <v>188</v>
      </c>
      <c r="F2" s="1" t="s">
        <v>189</v>
      </c>
      <c r="G2" s="4">
        <f>'CONS Sales Forecast'!DR67</f>
        <v>297416.4916666667</v>
      </c>
      <c r="H2" s="4">
        <f>'CONS Sales Forecast'!DS67</f>
        <v>465645.39166666666</v>
      </c>
      <c r="I2" s="4">
        <f>'CONS Sales Forecast'!DT67</f>
        <v>82321.891666666663</v>
      </c>
      <c r="J2" s="4">
        <f>'CONS Sales Forecast'!DU67</f>
        <v>100061.89166666668</v>
      </c>
      <c r="K2" s="4">
        <f>'CONS Sales Forecast'!DV67</f>
        <v>36337.39166666667</v>
      </c>
      <c r="L2" s="4">
        <f>'CONS Sales Forecast'!DW67</f>
        <v>31337.39166666667</v>
      </c>
      <c r="M2" s="4">
        <f>'CONS Sales Forecast'!DX67</f>
        <v>27340.651666666668</v>
      </c>
      <c r="N2" s="4">
        <f>'CONS Sales Forecast'!DY67</f>
        <v>32340.651666666668</v>
      </c>
      <c r="O2" s="4">
        <f>'CONS Sales Forecast'!DZ67</f>
        <v>32340.651666666668</v>
      </c>
      <c r="P2" s="4">
        <f>'CONS Sales Forecast'!EA67</f>
        <v>32340.651666666668</v>
      </c>
      <c r="Q2" s="4">
        <f>'CONS Sales Forecast'!EB67</f>
        <v>8035.0716666666667</v>
      </c>
      <c r="R2" s="4">
        <f>'CONS Sales Forecast'!EC67</f>
        <v>8035.0716666666667</v>
      </c>
      <c r="S2" s="4">
        <f>SUM(G2:R2)</f>
        <v>1153553.2000000002</v>
      </c>
      <c r="T2" s="1" t="b">
        <f>S2='CONS Sales Forecast'!EE67</f>
        <v>1</v>
      </c>
    </row>
    <row r="3" spans="1:22" x14ac:dyDescent="0.2">
      <c r="A3" s="28" t="s">
        <v>190</v>
      </c>
      <c r="B3" s="4">
        <v>0</v>
      </c>
      <c r="C3" s="4">
        <v>2699</v>
      </c>
      <c r="D3" s="4">
        <f t="shared" ref="D3:D32" si="0">B3+C3</f>
        <v>2699</v>
      </c>
      <c r="F3" s="1" t="s">
        <v>191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>
        <f>SUM(G3:R3)</f>
        <v>0</v>
      </c>
    </row>
    <row r="4" spans="1:22" x14ac:dyDescent="0.2">
      <c r="A4" s="28" t="s">
        <v>192</v>
      </c>
      <c r="B4" s="4">
        <v>106533.74</v>
      </c>
      <c r="C4" s="4">
        <v>3500</v>
      </c>
      <c r="D4" s="4">
        <f t="shared" si="0"/>
        <v>110033.74</v>
      </c>
      <c r="E4" s="16"/>
      <c r="F4" s="23" t="s">
        <v>193</v>
      </c>
      <c r="G4" s="17">
        <f>SUM(G2:G3)</f>
        <v>297416.4916666667</v>
      </c>
      <c r="H4" s="700">
        <f>SUM(H2:H3)</f>
        <v>465645.39166666666</v>
      </c>
      <c r="I4" s="17">
        <f t="shared" ref="I4:S4" si="1">SUM(I2:I3)</f>
        <v>82321.891666666663</v>
      </c>
      <c r="J4" s="17">
        <f t="shared" si="1"/>
        <v>100061.89166666668</v>
      </c>
      <c r="K4" s="17">
        <f t="shared" si="1"/>
        <v>36337.39166666667</v>
      </c>
      <c r="L4" s="17">
        <f t="shared" si="1"/>
        <v>31337.39166666667</v>
      </c>
      <c r="M4" s="17">
        <f t="shared" si="1"/>
        <v>27340.651666666668</v>
      </c>
      <c r="N4" s="17">
        <f t="shared" si="1"/>
        <v>32340.651666666668</v>
      </c>
      <c r="O4" s="17">
        <f t="shared" si="1"/>
        <v>32340.651666666668</v>
      </c>
      <c r="P4" s="17">
        <f t="shared" si="1"/>
        <v>32340.651666666668</v>
      </c>
      <c r="Q4" s="17">
        <f t="shared" si="1"/>
        <v>8035.0716666666667</v>
      </c>
      <c r="R4" s="17">
        <f t="shared" si="1"/>
        <v>8035.0716666666667</v>
      </c>
      <c r="S4" s="17">
        <f t="shared" si="1"/>
        <v>1153553.2000000002</v>
      </c>
    </row>
    <row r="5" spans="1:22" x14ac:dyDescent="0.2">
      <c r="A5" s="28" t="s">
        <v>194</v>
      </c>
      <c r="B5" s="4">
        <v>710.53</v>
      </c>
      <c r="C5" s="4">
        <v>0</v>
      </c>
      <c r="D5" s="4">
        <f>B5+C5</f>
        <v>710.53</v>
      </c>
      <c r="E5" s="5"/>
      <c r="F5" s="1" t="s">
        <v>195</v>
      </c>
      <c r="G5" s="3">
        <f>-'CONS Fixed Costs'!C29</f>
        <v>-6437.1562092307695</v>
      </c>
      <c r="H5" s="704">
        <f>-'CONS Fixed Costs'!D29</f>
        <v>-5765.4529526153847</v>
      </c>
      <c r="I5" s="3">
        <f>-'CONS Fixed Costs'!E29</f>
        <v>-7159.0655555692319</v>
      </c>
      <c r="J5" s="3">
        <f>-'CONS Fixed Costs'!F29</f>
        <v>-7159.0655555692319</v>
      </c>
      <c r="K5" s="3">
        <f>-'CONS Fixed Costs'!G29</f>
        <v>-6508.2414141538466</v>
      </c>
      <c r="L5" s="3">
        <f>-'CONS Fixed Costs'!H29</f>
        <v>-6833.6534848615393</v>
      </c>
      <c r="M5" s="3">
        <f>-'CONS Fixed Costs'!I29</f>
        <v>-6508.2414141538466</v>
      </c>
      <c r="N5" s="3">
        <f>-'CONS Fixed Costs'!J29</f>
        <v>-6508.2414141538466</v>
      </c>
      <c r="O5" s="3">
        <f>-'CONS Fixed Costs'!K29</f>
        <v>-7159.0655555692319</v>
      </c>
      <c r="P5" s="3">
        <f>-'CONS Fixed Costs'!L29</f>
        <v>-6508.2414141538466</v>
      </c>
      <c r="Q5" s="3">
        <f>-'CONS Fixed Costs'!M29</f>
        <v>-6833.6534848615393</v>
      </c>
      <c r="R5" s="3">
        <f>-'CONS Fixed Costs'!N29</f>
        <v>-6833.6534848615393</v>
      </c>
      <c r="S5" s="5">
        <f t="shared" ref="S5:S11" si="2">SUM(G5:R5)</f>
        <v>-80213.731939753867</v>
      </c>
    </row>
    <row r="6" spans="1:22" x14ac:dyDescent="0.2">
      <c r="A6" s="28"/>
      <c r="B6" s="4"/>
      <c r="C6" s="4"/>
      <c r="D6" s="4"/>
      <c r="F6" s="1" t="s">
        <v>196</v>
      </c>
      <c r="G6" s="3">
        <f>-'CONS Fixed Costs'!C30</f>
        <v>-772.45874510769227</v>
      </c>
      <c r="H6" s="704">
        <f>-'CONS Fixed Costs'!D30</f>
        <v>-691.8543543138461</v>
      </c>
      <c r="I6" s="3">
        <f>-'CONS Fixed Costs'!E30</f>
        <v>-859.08786666830781</v>
      </c>
      <c r="J6" s="3">
        <f>-'CONS Fixed Costs'!F30</f>
        <v>-859.08786666830781</v>
      </c>
      <c r="K6" s="3">
        <f>-'CONS Fixed Costs'!G30</f>
        <v>-780.98896969846157</v>
      </c>
      <c r="L6" s="3">
        <f>-'CONS Fixed Costs'!H30</f>
        <v>-820.03841818338469</v>
      </c>
      <c r="M6" s="3">
        <f>-'CONS Fixed Costs'!I30</f>
        <v>-780.98896969846157</v>
      </c>
      <c r="N6" s="3">
        <f>-'CONS Fixed Costs'!J30</f>
        <v>-780.98896969846157</v>
      </c>
      <c r="O6" s="3">
        <f>-'CONS Fixed Costs'!K30</f>
        <v>-859.08786666830781</v>
      </c>
      <c r="P6" s="3">
        <f>-'CONS Fixed Costs'!L30</f>
        <v>-780.98896969846157</v>
      </c>
      <c r="Q6" s="3">
        <f>-'CONS Fixed Costs'!M30</f>
        <v>-820.03841818338469</v>
      </c>
      <c r="R6" s="3">
        <f>-'CONS Fixed Costs'!N30</f>
        <v>-820.03841818338469</v>
      </c>
      <c r="S6" s="5">
        <f t="shared" si="2"/>
        <v>-9625.6478327704626</v>
      </c>
    </row>
    <row r="7" spans="1:22" x14ac:dyDescent="0.2">
      <c r="A7" s="28" t="s">
        <v>197</v>
      </c>
      <c r="B7" s="4">
        <v>375</v>
      </c>
      <c r="C7" s="4">
        <v>0</v>
      </c>
      <c r="D7" s="4">
        <f t="shared" si="0"/>
        <v>375</v>
      </c>
      <c r="E7" s="1" t="s">
        <v>198</v>
      </c>
      <c r="F7" s="169" t="s">
        <v>1402</v>
      </c>
      <c r="G7" s="4">
        <f>-G2*0.5</f>
        <v>-148708.24583333335</v>
      </c>
      <c r="H7" s="702">
        <f t="shared" ref="H7:R7" si="3">-H2*0.5</f>
        <v>-232822.69583333333</v>
      </c>
      <c r="I7" s="4">
        <f t="shared" si="3"/>
        <v>-41160.945833333331</v>
      </c>
      <c r="J7" s="4">
        <f t="shared" si="3"/>
        <v>-50030.945833333339</v>
      </c>
      <c r="K7" s="4">
        <f t="shared" si="3"/>
        <v>-18168.695833333335</v>
      </c>
      <c r="L7" s="4">
        <f t="shared" si="3"/>
        <v>-15668.695833333335</v>
      </c>
      <c r="M7" s="4">
        <f t="shared" si="3"/>
        <v>-13670.325833333334</v>
      </c>
      <c r="N7" s="4">
        <f t="shared" si="3"/>
        <v>-16170.325833333334</v>
      </c>
      <c r="O7" s="4">
        <f t="shared" si="3"/>
        <v>-16170.325833333334</v>
      </c>
      <c r="P7" s="4">
        <f t="shared" si="3"/>
        <v>-16170.325833333334</v>
      </c>
      <c r="Q7" s="4">
        <f t="shared" si="3"/>
        <v>-4017.5358333333334</v>
      </c>
      <c r="R7" s="4">
        <f t="shared" si="3"/>
        <v>-4017.5358333333334</v>
      </c>
      <c r="S7" s="4">
        <f t="shared" si="2"/>
        <v>-576776.60000000009</v>
      </c>
    </row>
    <row r="8" spans="1:22" x14ac:dyDescent="0.2">
      <c r="A8" s="28"/>
      <c r="B8" s="4"/>
      <c r="C8" s="4"/>
      <c r="D8" s="4"/>
      <c r="F8" s="169" t="s">
        <v>1404</v>
      </c>
      <c r="G8" s="4">
        <v>-287.5</v>
      </c>
      <c r="H8" s="702">
        <f>-287.5</f>
        <v>-287.5</v>
      </c>
      <c r="I8" s="4">
        <f t="shared" ref="I8:R8" si="4">-287.5</f>
        <v>-287.5</v>
      </c>
      <c r="J8" s="4">
        <f t="shared" si="4"/>
        <v>-287.5</v>
      </c>
      <c r="K8" s="4">
        <f t="shared" si="4"/>
        <v>-287.5</v>
      </c>
      <c r="L8" s="4">
        <f t="shared" si="4"/>
        <v>-287.5</v>
      </c>
      <c r="M8" s="4">
        <f t="shared" si="4"/>
        <v>-287.5</v>
      </c>
      <c r="N8" s="4">
        <f t="shared" si="4"/>
        <v>-287.5</v>
      </c>
      <c r="O8" s="4">
        <f t="shared" si="4"/>
        <v>-287.5</v>
      </c>
      <c r="P8" s="4">
        <f t="shared" si="4"/>
        <v>-287.5</v>
      </c>
      <c r="Q8" s="4">
        <f t="shared" si="4"/>
        <v>-287.5</v>
      </c>
      <c r="R8" s="4">
        <f t="shared" si="4"/>
        <v>-287.5</v>
      </c>
      <c r="S8" s="4">
        <f>SUM(G8:R8)</f>
        <v>-3450</v>
      </c>
    </row>
    <row r="9" spans="1:22" x14ac:dyDescent="0.2">
      <c r="A9" s="28"/>
      <c r="B9" s="4"/>
      <c r="C9" s="4"/>
      <c r="D9" s="4"/>
      <c r="F9" s="169" t="s">
        <v>1008</v>
      </c>
      <c r="G9" s="4">
        <v>-689.55155999999999</v>
      </c>
      <c r="H9" s="703">
        <v>-39.670520000000003</v>
      </c>
      <c r="I9" s="4">
        <v>-663.5122598477227</v>
      </c>
      <c r="J9" s="4">
        <v>0</v>
      </c>
      <c r="K9" s="4">
        <v>-1648.9256163083166</v>
      </c>
      <c r="L9" s="4">
        <v>-353.99180000000001</v>
      </c>
      <c r="M9" s="4">
        <v>-16.448</v>
      </c>
      <c r="N9" s="4">
        <v>-333.75047999999998</v>
      </c>
      <c r="O9" s="4">
        <v>-586.92951968660975</v>
      </c>
      <c r="P9" s="4">
        <v>-576.26147135227086</v>
      </c>
      <c r="Q9" s="4">
        <v>-558.41988000000003</v>
      </c>
      <c r="R9" s="4">
        <v>-5960.5701599999993</v>
      </c>
      <c r="S9" s="4">
        <f t="shared" si="2"/>
        <v>-11428.03126719492</v>
      </c>
    </row>
    <row r="10" spans="1:22" x14ac:dyDescent="0.2">
      <c r="A10" s="28" t="s">
        <v>199</v>
      </c>
      <c r="B10" s="4">
        <v>11089.8</v>
      </c>
      <c r="C10" s="4">
        <v>998</v>
      </c>
      <c r="D10" s="4">
        <f t="shared" si="0"/>
        <v>12087.8</v>
      </c>
      <c r="E10" s="16"/>
      <c r="F10" s="23" t="s">
        <v>200</v>
      </c>
      <c r="G10" s="173">
        <f>+SUM(G5:G9)</f>
        <v>-156894.91234767181</v>
      </c>
      <c r="H10" s="173">
        <f>+SUM(H5:H9)</f>
        <v>-239607.17366026258</v>
      </c>
      <c r="I10" s="173">
        <f t="shared" ref="I10:Q10" si="5">+SUM(I5:I9)</f>
        <v>-50130.111515418597</v>
      </c>
      <c r="J10" s="173">
        <f t="shared" si="5"/>
        <v>-58336.59925557088</v>
      </c>
      <c r="K10" s="173">
        <f t="shared" si="5"/>
        <v>-27394.351833493958</v>
      </c>
      <c r="L10" s="173">
        <f t="shared" si="5"/>
        <v>-23963.879536378259</v>
      </c>
      <c r="M10" s="173">
        <f t="shared" si="5"/>
        <v>-21263.504217185644</v>
      </c>
      <c r="N10" s="173">
        <f t="shared" si="5"/>
        <v>-24080.806697185642</v>
      </c>
      <c r="O10" s="173">
        <f t="shared" si="5"/>
        <v>-25062.908775257485</v>
      </c>
      <c r="P10" s="173">
        <f t="shared" si="5"/>
        <v>-24323.317688537914</v>
      </c>
      <c r="Q10" s="173">
        <f t="shared" si="5"/>
        <v>-12517.147616378257</v>
      </c>
      <c r="R10" s="173">
        <f>+SUM(R5:R9)</f>
        <v>-17919.297896378259</v>
      </c>
      <c r="S10" s="173">
        <f>SUM(G10:R10)</f>
        <v>-681494.01103971933</v>
      </c>
      <c r="T10" s="1" t="b">
        <f>S10='CONS Sales Forecast'!CY75</f>
        <v>0</v>
      </c>
    </row>
    <row r="11" spans="1:22" x14ac:dyDescent="0.2">
      <c r="A11" s="28" t="s">
        <v>201</v>
      </c>
      <c r="B11" s="4">
        <v>22594</v>
      </c>
      <c r="C11" s="4">
        <v>400</v>
      </c>
      <c r="D11" s="4">
        <f t="shared" si="0"/>
        <v>22994</v>
      </c>
      <c r="E11" s="1" t="s">
        <v>202</v>
      </c>
      <c r="F11" s="1" t="s">
        <v>49</v>
      </c>
      <c r="G11" s="3">
        <f>-SUM('CONS Fixed Costs'!D14:D19)</f>
        <v>-339.38833333333332</v>
      </c>
      <c r="H11" s="3">
        <f>G11</f>
        <v>-339.38833333333332</v>
      </c>
      <c r="I11" s="3">
        <f>H11</f>
        <v>-339.38833333333332</v>
      </c>
      <c r="J11" s="3">
        <f t="shared" ref="J11:R12" si="6">I11</f>
        <v>-339.38833333333332</v>
      </c>
      <c r="K11" s="3">
        <f t="shared" si="6"/>
        <v>-339.38833333333332</v>
      </c>
      <c r="L11" s="3">
        <f t="shared" si="6"/>
        <v>-339.38833333333332</v>
      </c>
      <c r="M11" s="3">
        <f t="shared" si="6"/>
        <v>-339.38833333333332</v>
      </c>
      <c r="N11" s="3">
        <f t="shared" si="6"/>
        <v>-339.38833333333332</v>
      </c>
      <c r="O11" s="3">
        <f t="shared" si="6"/>
        <v>-339.38833333333332</v>
      </c>
      <c r="P11" s="3">
        <f t="shared" si="6"/>
        <v>-339.38833333333332</v>
      </c>
      <c r="Q11" s="3">
        <f t="shared" si="6"/>
        <v>-339.38833333333332</v>
      </c>
      <c r="R11" s="3">
        <f t="shared" si="6"/>
        <v>-339.38833333333332</v>
      </c>
      <c r="S11" s="5">
        <f t="shared" si="2"/>
        <v>-4072.66</v>
      </c>
      <c r="V11" s="5"/>
    </row>
    <row r="12" spans="1:22" x14ac:dyDescent="0.2">
      <c r="A12" s="28" t="s">
        <v>203</v>
      </c>
      <c r="B12" s="4">
        <v>86019.07</v>
      </c>
      <c r="C12" s="4">
        <v>0</v>
      </c>
      <c r="D12" s="4">
        <f t="shared" si="0"/>
        <v>86019.07</v>
      </c>
      <c r="E12" s="1" t="s">
        <v>204</v>
      </c>
      <c r="F12" s="1" t="s">
        <v>910</v>
      </c>
      <c r="G12" s="3">
        <f>-'CONS Fixed Costs'!D13</f>
        <v>-407.45499999999998</v>
      </c>
      <c r="H12" s="3">
        <f>G12</f>
        <v>-407.45499999999998</v>
      </c>
      <c r="I12" s="3">
        <f t="shared" ref="I12" si="7">H12</f>
        <v>-407.45499999999998</v>
      </c>
      <c r="J12" s="3">
        <f t="shared" si="6"/>
        <v>-407.45499999999998</v>
      </c>
      <c r="K12" s="3">
        <f t="shared" si="6"/>
        <v>-407.45499999999998</v>
      </c>
      <c r="L12" s="3">
        <f t="shared" si="6"/>
        <v>-407.45499999999998</v>
      </c>
      <c r="M12" s="3">
        <f t="shared" si="6"/>
        <v>-407.45499999999998</v>
      </c>
      <c r="N12" s="3">
        <f t="shared" si="6"/>
        <v>-407.45499999999998</v>
      </c>
      <c r="O12" s="3">
        <f t="shared" si="6"/>
        <v>-407.45499999999998</v>
      </c>
      <c r="P12" s="3">
        <f t="shared" si="6"/>
        <v>-407.45499999999998</v>
      </c>
      <c r="Q12" s="3">
        <f t="shared" si="6"/>
        <v>-407.45499999999998</v>
      </c>
      <c r="R12" s="3">
        <f t="shared" si="6"/>
        <v>-407.45499999999998</v>
      </c>
      <c r="S12" s="5">
        <f t="shared" ref="S12:S18" si="8">SUM(G12:R12)</f>
        <v>-4889.46</v>
      </c>
    </row>
    <row r="13" spans="1:22" x14ac:dyDescent="0.2">
      <c r="A13" s="28" t="s">
        <v>205</v>
      </c>
      <c r="B13" s="4">
        <v>32579.72</v>
      </c>
      <c r="C13" s="4">
        <v>89929</v>
      </c>
      <c r="D13" s="4">
        <f t="shared" si="0"/>
        <v>122508.72</v>
      </c>
      <c r="E13" s="1" t="s">
        <v>206</v>
      </c>
      <c r="F13" s="1" t="s">
        <v>1093</v>
      </c>
      <c r="G13" s="3">
        <f>-'CONS Fixed Costs'!$F$9</f>
        <v>-913.73986352500003</v>
      </c>
      <c r="H13" s="3">
        <f>-'CONS Fixed Costs'!$F$9</f>
        <v>-913.73986352500003</v>
      </c>
      <c r="I13" s="3">
        <f>-'CONS Fixed Costs'!$F$9</f>
        <v>-913.73986352500003</v>
      </c>
      <c r="J13" s="3">
        <f>-'CONS Fixed Costs'!$F$9</f>
        <v>-913.73986352500003</v>
      </c>
      <c r="K13" s="3">
        <f>-'CONS Fixed Costs'!$F$9</f>
        <v>-913.73986352500003</v>
      </c>
      <c r="L13" s="3">
        <f>-'CONS Fixed Costs'!$F$9</f>
        <v>-913.73986352500003</v>
      </c>
      <c r="M13" s="3">
        <f>-'CONS Fixed Costs'!$F$9</f>
        <v>-913.73986352500003</v>
      </c>
      <c r="N13" s="3">
        <f>-'CONS Fixed Costs'!$F$9</f>
        <v>-913.73986352500003</v>
      </c>
      <c r="O13" s="3">
        <f>-'CONS Fixed Costs'!$F$9</f>
        <v>-913.73986352500003</v>
      </c>
      <c r="P13" s="3">
        <f>-'CONS Fixed Costs'!$F$9</f>
        <v>-913.73986352500003</v>
      </c>
      <c r="Q13" s="3">
        <f>-'CONS Fixed Costs'!$F$9</f>
        <v>-913.73986352500003</v>
      </c>
      <c r="R13" s="3">
        <f>-'CONS Fixed Costs'!$F$9</f>
        <v>-913.73986352500003</v>
      </c>
      <c r="S13" s="5">
        <f t="shared" si="8"/>
        <v>-10964.878362299998</v>
      </c>
    </row>
    <row r="14" spans="1:22" x14ac:dyDescent="0.2">
      <c r="A14" s="28" t="s">
        <v>207</v>
      </c>
      <c r="B14" s="4">
        <v>0</v>
      </c>
      <c r="C14" s="4">
        <v>2702.32</v>
      </c>
      <c r="D14" s="4">
        <f t="shared" si="0"/>
        <v>2702.32</v>
      </c>
      <c r="E14" s="1" t="s">
        <v>206</v>
      </c>
      <c r="F14" s="1" t="s">
        <v>71</v>
      </c>
      <c r="G14" s="3">
        <f>-'CONS Fixed Costs'!C34</f>
        <v>-70</v>
      </c>
      <c r="H14" s="3">
        <f>-'CONS Fixed Costs'!D34</f>
        <v>-70</v>
      </c>
      <c r="I14" s="3">
        <f>-'CONS Fixed Costs'!E34</f>
        <v>-70</v>
      </c>
      <c r="J14" s="3">
        <f>-'CONS Fixed Costs'!F34</f>
        <v>-70</v>
      </c>
      <c r="K14" s="3">
        <f>-'CONS Fixed Costs'!G34</f>
        <v>-70</v>
      </c>
      <c r="L14" s="3">
        <f>-'CONS Fixed Costs'!H34</f>
        <v>-70</v>
      </c>
      <c r="M14" s="3">
        <f>-'CONS Fixed Costs'!I34</f>
        <v>-70</v>
      </c>
      <c r="N14" s="3">
        <f>-'CONS Fixed Costs'!J34</f>
        <v>-70</v>
      </c>
      <c r="O14" s="3">
        <f>-'CONS Fixed Costs'!K34</f>
        <v>-70</v>
      </c>
      <c r="P14" s="3">
        <f>-'CONS Fixed Costs'!L34</f>
        <v>-70</v>
      </c>
      <c r="Q14" s="3">
        <f>-'CONS Fixed Costs'!M34</f>
        <v>-70</v>
      </c>
      <c r="R14" s="3">
        <f>-'CONS Fixed Costs'!N34</f>
        <v>-70</v>
      </c>
      <c r="S14" s="5">
        <f t="shared" si="8"/>
        <v>-840</v>
      </c>
    </row>
    <row r="15" spans="1:22" x14ac:dyDescent="0.2">
      <c r="A15" s="28"/>
      <c r="B15" s="4"/>
      <c r="C15" s="4"/>
      <c r="D15" s="4">
        <f t="shared" si="0"/>
        <v>0</v>
      </c>
      <c r="E15" s="1" t="s">
        <v>211</v>
      </c>
      <c r="F15" s="169" t="s">
        <v>212</v>
      </c>
      <c r="G15" s="3">
        <v>-200</v>
      </c>
      <c r="H15" s="3">
        <v>-200</v>
      </c>
      <c r="I15" s="3">
        <v>-200</v>
      </c>
      <c r="J15" s="3">
        <v>-200</v>
      </c>
      <c r="K15" s="3">
        <v>-200</v>
      </c>
      <c r="L15" s="3">
        <v>-200</v>
      </c>
      <c r="M15" s="3">
        <v>-200</v>
      </c>
      <c r="N15" s="3">
        <v>-200</v>
      </c>
      <c r="O15" s="3">
        <v>-200</v>
      </c>
      <c r="P15" s="3">
        <v>-200</v>
      </c>
      <c r="Q15" s="3">
        <v>-200</v>
      </c>
      <c r="R15" s="3">
        <v>-200</v>
      </c>
      <c r="S15" s="5">
        <f t="shared" si="8"/>
        <v>-2400</v>
      </c>
    </row>
    <row r="16" spans="1:22" x14ac:dyDescent="0.2">
      <c r="A16" s="73"/>
      <c r="B16" s="74"/>
      <c r="C16" s="74"/>
      <c r="D16" s="74"/>
      <c r="E16" s="1" t="s">
        <v>211</v>
      </c>
      <c r="F16" s="1" t="s">
        <v>213</v>
      </c>
      <c r="G16" s="3">
        <f>-'CONS Fixed Costs'!C31</f>
        <v>-6437.1562092307695</v>
      </c>
      <c r="H16" s="3">
        <f>-'CONS Fixed Costs'!D31</f>
        <v>-5765.4529526153847</v>
      </c>
      <c r="I16" s="3">
        <f>-'CONS Fixed Costs'!E31</f>
        <v>-7159.0655555692319</v>
      </c>
      <c r="J16" s="3">
        <f>-'CONS Fixed Costs'!F31</f>
        <v>-7159.0655555692319</v>
      </c>
      <c r="K16" s="3">
        <f>-'CONS Fixed Costs'!G31</f>
        <v>-6508.2414141538466</v>
      </c>
      <c r="L16" s="3">
        <f>-'CONS Fixed Costs'!H31</f>
        <v>-6833.6534848615393</v>
      </c>
      <c r="M16" s="3">
        <f>-'CONS Fixed Costs'!I31</f>
        <v>-6508.2414141538466</v>
      </c>
      <c r="N16" s="3">
        <f>-'CONS Fixed Costs'!J31</f>
        <v>-6508.2414141538466</v>
      </c>
      <c r="O16" s="3">
        <f>-'CONS Fixed Costs'!K31</f>
        <v>-7159.0655555692319</v>
      </c>
      <c r="P16" s="3">
        <f>-'CONS Fixed Costs'!L31</f>
        <v>-6508.2414141538466</v>
      </c>
      <c r="Q16" s="3">
        <f>-'CONS Fixed Costs'!M31</f>
        <v>-6833.6534848615393</v>
      </c>
      <c r="R16" s="3">
        <f>-'CONS Fixed Costs'!N31</f>
        <v>-6833.6534848615393</v>
      </c>
      <c r="S16" s="5">
        <f t="shared" si="8"/>
        <v>-80213.731939753867</v>
      </c>
    </row>
    <row r="17" spans="1:19" x14ac:dyDescent="0.2">
      <c r="A17" s="73"/>
      <c r="B17" s="74"/>
      <c r="C17" s="74"/>
      <c r="D17" s="74"/>
      <c r="E17" s="1" t="s">
        <v>211</v>
      </c>
      <c r="F17" s="1" t="s">
        <v>214</v>
      </c>
      <c r="G17" s="3">
        <f>-'CONS Fixed Costs'!C32</f>
        <v>-772.45874510769227</v>
      </c>
      <c r="H17" s="3">
        <f>-'CONS Fixed Costs'!D32</f>
        <v>-691.8543543138461</v>
      </c>
      <c r="I17" s="3">
        <f>-'CONS Fixed Costs'!E32</f>
        <v>-859.08786666830781</v>
      </c>
      <c r="J17" s="3">
        <f>-'CONS Fixed Costs'!F32</f>
        <v>-859.08786666830781</v>
      </c>
      <c r="K17" s="3">
        <f>-'CONS Fixed Costs'!G32</f>
        <v>-780.98896969846157</v>
      </c>
      <c r="L17" s="3">
        <f>-'CONS Fixed Costs'!H32</f>
        <v>-820.03841818338469</v>
      </c>
      <c r="M17" s="3">
        <f>-'CONS Fixed Costs'!I32</f>
        <v>-780.98896969846157</v>
      </c>
      <c r="N17" s="3">
        <f>-'CONS Fixed Costs'!J32</f>
        <v>-780.98896969846157</v>
      </c>
      <c r="O17" s="3">
        <f>-'CONS Fixed Costs'!K32</f>
        <v>-859.08786666830781</v>
      </c>
      <c r="P17" s="3">
        <f>-'CONS Fixed Costs'!L32</f>
        <v>-780.98896969846157</v>
      </c>
      <c r="Q17" s="3">
        <f>-'CONS Fixed Costs'!M32</f>
        <v>-820.03841818338469</v>
      </c>
      <c r="R17" s="3">
        <f>-'CONS Fixed Costs'!N32</f>
        <v>-820.03841818338469</v>
      </c>
      <c r="S17" s="5">
        <f t="shared" si="8"/>
        <v>-9625.6478327704626</v>
      </c>
    </row>
    <row r="18" spans="1:19" x14ac:dyDescent="0.2">
      <c r="A18" s="73"/>
      <c r="B18" s="74"/>
      <c r="C18" s="74"/>
      <c r="D18" s="74"/>
      <c r="E18" s="1" t="s">
        <v>206</v>
      </c>
      <c r="F18" s="1" t="s">
        <v>911</v>
      </c>
      <c r="G18" s="3">
        <f>-((5054.65/65)*1)/12</f>
        <v>-6.4803205128205121</v>
      </c>
      <c r="H18" s="3">
        <f>G18</f>
        <v>-6.4803205128205121</v>
      </c>
      <c r="I18" s="3">
        <f t="shared" ref="I18:R18" si="9">H18</f>
        <v>-6.4803205128205121</v>
      </c>
      <c r="J18" s="3">
        <f t="shared" si="9"/>
        <v>-6.4803205128205121</v>
      </c>
      <c r="K18" s="3">
        <f t="shared" si="9"/>
        <v>-6.4803205128205121</v>
      </c>
      <c r="L18" s="3">
        <f t="shared" si="9"/>
        <v>-6.4803205128205121</v>
      </c>
      <c r="M18" s="3">
        <f t="shared" si="9"/>
        <v>-6.4803205128205121</v>
      </c>
      <c r="N18" s="3">
        <f t="shared" si="9"/>
        <v>-6.4803205128205121</v>
      </c>
      <c r="O18" s="3">
        <f t="shared" si="9"/>
        <v>-6.4803205128205121</v>
      </c>
      <c r="P18" s="3">
        <f t="shared" si="9"/>
        <v>-6.4803205128205121</v>
      </c>
      <c r="Q18" s="3">
        <f t="shared" si="9"/>
        <v>-6.4803205128205121</v>
      </c>
      <c r="R18" s="3">
        <f t="shared" si="9"/>
        <v>-6.4803205128205121</v>
      </c>
      <c r="S18" s="5">
        <f t="shared" si="8"/>
        <v>-77.763846153846146</v>
      </c>
    </row>
    <row r="19" spans="1:19" x14ac:dyDescent="0.2">
      <c r="A19" s="73" t="s">
        <v>215</v>
      </c>
      <c r="B19" s="74">
        <v>-81167.060000000012</v>
      </c>
      <c r="C19" s="74">
        <v>0</v>
      </c>
      <c r="D19" s="74">
        <f t="shared" si="0"/>
        <v>-81167.060000000012</v>
      </c>
      <c r="E19" s="1" t="s">
        <v>206</v>
      </c>
      <c r="F19" s="1" t="s">
        <v>216</v>
      </c>
      <c r="G19" s="3">
        <v>-250</v>
      </c>
      <c r="H19" s="3">
        <v>-250</v>
      </c>
      <c r="I19" s="3">
        <v>-250</v>
      </c>
      <c r="J19" s="3">
        <v>-250</v>
      </c>
      <c r="K19" s="3">
        <v>-250</v>
      </c>
      <c r="L19" s="3">
        <v>-250</v>
      </c>
      <c r="M19" s="3">
        <v>-250</v>
      </c>
      <c r="N19" s="3">
        <v>-250</v>
      </c>
      <c r="O19" s="3">
        <v>-250</v>
      </c>
      <c r="P19" s="3">
        <v>-250</v>
      </c>
      <c r="Q19" s="3">
        <v>-250</v>
      </c>
      <c r="R19" s="3">
        <v>-250</v>
      </c>
      <c r="S19" s="5">
        <f>SUM(G19:R19)</f>
        <v>-3000</v>
      </c>
    </row>
    <row r="20" spans="1:19" x14ac:dyDescent="0.2">
      <c r="A20" s="28" t="s">
        <v>217</v>
      </c>
      <c r="B20" s="4">
        <v>-25305.040000000001</v>
      </c>
      <c r="C20" s="4">
        <v>-17540</v>
      </c>
      <c r="D20" s="4">
        <f t="shared" si="0"/>
        <v>-42845.04</v>
      </c>
      <c r="E20" s="15"/>
      <c r="F20" s="23" t="s">
        <v>218</v>
      </c>
      <c r="G20" s="17">
        <f>SUM(G11:G19)</f>
        <v>-9396.6784717096143</v>
      </c>
      <c r="H20" s="17">
        <f>SUM(H11:H19)</f>
        <v>-8644.3708243003857</v>
      </c>
      <c r="I20" s="17">
        <f t="shared" ref="I20:R20" si="10">SUM(I11:I19)</f>
        <v>-10205.216939608694</v>
      </c>
      <c r="J20" s="17">
        <f t="shared" si="10"/>
        <v>-10205.216939608694</v>
      </c>
      <c r="K20" s="17">
        <f t="shared" si="10"/>
        <v>-9476.2939012234619</v>
      </c>
      <c r="L20" s="17">
        <f t="shared" si="10"/>
        <v>-9840.7554204160788</v>
      </c>
      <c r="M20" s="17">
        <f t="shared" si="10"/>
        <v>-9476.2939012234619</v>
      </c>
      <c r="N20" s="17">
        <f t="shared" si="10"/>
        <v>-9476.2939012234619</v>
      </c>
      <c r="O20" s="17">
        <f t="shared" si="10"/>
        <v>-10205.216939608694</v>
      </c>
      <c r="P20" s="17">
        <f t="shared" si="10"/>
        <v>-9476.2939012234619</v>
      </c>
      <c r="Q20" s="17">
        <f t="shared" si="10"/>
        <v>-9840.7554204160788</v>
      </c>
      <c r="R20" s="17">
        <f t="shared" si="10"/>
        <v>-9840.7554204160788</v>
      </c>
      <c r="S20" s="17">
        <f>SUM(G20:R20)</f>
        <v>-116084.14198097817</v>
      </c>
    </row>
    <row r="21" spans="1:19" x14ac:dyDescent="0.2">
      <c r="A21" s="28" t="s">
        <v>219</v>
      </c>
      <c r="B21" s="4">
        <v>-4495</v>
      </c>
      <c r="C21" s="4">
        <v>0</v>
      </c>
      <c r="D21" s="4">
        <f t="shared" si="0"/>
        <v>-4495</v>
      </c>
      <c r="F21" s="23" t="s">
        <v>13</v>
      </c>
      <c r="G21" s="17">
        <f>+G4+G10</f>
        <v>140521.57931899489</v>
      </c>
      <c r="H21" s="17">
        <f t="shared" ref="H21:R21" si="11">+H4+H10</f>
        <v>226038.21800640409</v>
      </c>
      <c r="I21" s="17">
        <f t="shared" si="11"/>
        <v>32191.780151248066</v>
      </c>
      <c r="J21" s="17">
        <f t="shared" si="11"/>
        <v>41725.292411095797</v>
      </c>
      <c r="K21" s="17">
        <f t="shared" si="11"/>
        <v>8943.039833172712</v>
      </c>
      <c r="L21" s="17">
        <f t="shared" si="11"/>
        <v>7373.5121302884108</v>
      </c>
      <c r="M21" s="17">
        <f t="shared" si="11"/>
        <v>6077.1474494810245</v>
      </c>
      <c r="N21" s="17">
        <f t="shared" si="11"/>
        <v>8259.8449694810261</v>
      </c>
      <c r="O21" s="17">
        <f t="shared" si="11"/>
        <v>7277.7428914091834</v>
      </c>
      <c r="P21" s="17">
        <f t="shared" si="11"/>
        <v>8017.3339781287541</v>
      </c>
      <c r="Q21" s="17">
        <f t="shared" si="11"/>
        <v>-4482.0759497115905</v>
      </c>
      <c r="R21" s="17">
        <f t="shared" si="11"/>
        <v>-9884.2262297115922</v>
      </c>
      <c r="S21" s="17">
        <f>SUM(G21:R21)</f>
        <v>472059.18896028079</v>
      </c>
    </row>
    <row r="22" spans="1:19" x14ac:dyDescent="0.2">
      <c r="A22" s="28" t="s">
        <v>220</v>
      </c>
      <c r="B22" s="4">
        <v>-150</v>
      </c>
      <c r="C22" s="4">
        <v>0</v>
      </c>
      <c r="D22" s="4">
        <f t="shared" si="0"/>
        <v>-150</v>
      </c>
      <c r="E22" s="75"/>
      <c r="F22" s="24" t="s">
        <v>14</v>
      </c>
      <c r="G22" s="21">
        <f>+G21/G4</f>
        <v>0.47247406669192449</v>
      </c>
      <c r="H22" s="21">
        <f t="shared" ref="H22:S22" si="12">+H21/H4</f>
        <v>0.4854299474485384</v>
      </c>
      <c r="I22" s="21">
        <f t="shared" si="12"/>
        <v>0.39104762414349364</v>
      </c>
      <c r="J22" s="21">
        <f t="shared" si="12"/>
        <v>0.41699483905515272</v>
      </c>
      <c r="K22" s="21">
        <f t="shared" si="12"/>
        <v>0.24611122105873159</v>
      </c>
      <c r="L22" s="21">
        <f t="shared" si="12"/>
        <v>0.23529437959354976</v>
      </c>
      <c r="M22" s="21">
        <f t="shared" si="12"/>
        <v>0.22227514996982298</v>
      </c>
      <c r="N22" s="21">
        <f t="shared" si="12"/>
        <v>0.25540131518111625</v>
      </c>
      <c r="O22" s="21">
        <f t="shared" si="12"/>
        <v>0.22503389747431443</v>
      </c>
      <c r="P22" s="21">
        <f t="shared" si="12"/>
        <v>0.24790267248671974</v>
      </c>
      <c r="Q22" s="21">
        <f t="shared" si="12"/>
        <v>-0.55781406011664991</v>
      </c>
      <c r="R22" s="21">
        <f t="shared" si="12"/>
        <v>-1.2301354163045124</v>
      </c>
      <c r="S22" s="21">
        <f t="shared" si="12"/>
        <v>0.4092218624683116</v>
      </c>
    </row>
    <row r="23" spans="1:19" x14ac:dyDescent="0.2">
      <c r="A23" s="28" t="s">
        <v>222</v>
      </c>
      <c r="B23" s="4">
        <v>-43.410000000000004</v>
      </c>
      <c r="C23" s="4">
        <v>0</v>
      </c>
      <c r="D23" s="4">
        <f t="shared" si="0"/>
        <v>-43.410000000000004</v>
      </c>
      <c r="F23" s="24" t="s">
        <v>223</v>
      </c>
      <c r="G23" s="3">
        <f>G21-G33</f>
        <v>122017.20685356361</v>
      </c>
      <c r="H23" s="3">
        <f t="shared" ref="H23:R23" si="13">H21-H33</f>
        <v>201185.12548757141</v>
      </c>
      <c r="I23" s="3">
        <f t="shared" si="13"/>
        <v>5777.8415171070665</v>
      </c>
      <c r="J23" s="3">
        <f t="shared" si="13"/>
        <v>15311.353776954798</v>
      </c>
      <c r="K23" s="3">
        <f t="shared" si="13"/>
        <v>-16741.975762583053</v>
      </c>
      <c r="L23" s="3">
        <f t="shared" si="13"/>
        <v>-18675.964984659971</v>
      </c>
      <c r="M23" s="3">
        <f t="shared" si="13"/>
        <v>-19607.868146274741</v>
      </c>
      <c r="N23" s="3">
        <f t="shared" si="13"/>
        <v>-17425.170626274739</v>
      </c>
      <c r="O23" s="3">
        <f t="shared" si="13"/>
        <v>-19136.195742731816</v>
      </c>
      <c r="P23" s="3">
        <f t="shared" si="13"/>
        <v>-17667.681617627011</v>
      </c>
      <c r="Q23" s="3">
        <f t="shared" si="13"/>
        <v>-30531.553064659973</v>
      </c>
      <c r="R23" s="3">
        <f t="shared" si="13"/>
        <v>-35933.703344659974</v>
      </c>
      <c r="S23" s="172">
        <f>SUM(G23:R23)</f>
        <v>168571.41434572561</v>
      </c>
    </row>
    <row r="24" spans="1:19" x14ac:dyDescent="0.2">
      <c r="A24" s="28" t="s">
        <v>224</v>
      </c>
      <c r="B24" s="4">
        <v>-5451.8</v>
      </c>
      <c r="C24" s="4">
        <v>-2974.51</v>
      </c>
      <c r="D24" s="4">
        <f t="shared" si="0"/>
        <v>-8426.3100000000013</v>
      </c>
      <c r="F24" s="24" t="s">
        <v>225</v>
      </c>
      <c r="G24" s="21">
        <f>+G23/G4</f>
        <v>0.41025703104021527</v>
      </c>
      <c r="H24" s="21">
        <f>+H23/H4</f>
        <v>0.43205651572643555</v>
      </c>
      <c r="I24" s="21">
        <f>+I23/I4</f>
        <v>7.0185966334476241E-2</v>
      </c>
      <c r="J24" s="21">
        <f>+J23/J4</f>
        <v>0.15301883186419335</v>
      </c>
      <c r="K24" s="21">
        <f>K23/K2</f>
        <v>-0.46073686070156067</v>
      </c>
      <c r="L24" s="21">
        <f t="shared" ref="L24:S24" si="14">+L23/L4</f>
        <v>-0.5959642456307378</v>
      </c>
      <c r="M24" s="21">
        <f t="shared" si="14"/>
        <v>-0.71716901211174766</v>
      </c>
      <c r="N24" s="21">
        <f t="shared" si="14"/>
        <v>-0.53880085057886351</v>
      </c>
      <c r="O24" s="21">
        <f t="shared" si="14"/>
        <v>-0.59170717832057129</v>
      </c>
      <c r="P24" s="21">
        <f t="shared" si="14"/>
        <v>-0.54629949327326</v>
      </c>
      <c r="Q24" s="21">
        <f t="shared" si="14"/>
        <v>-3.7997860294537888</v>
      </c>
      <c r="R24" s="21">
        <f t="shared" si="14"/>
        <v>-4.4721073856416513</v>
      </c>
      <c r="S24" s="21">
        <f t="shared" si="14"/>
        <v>0.1461323277901059</v>
      </c>
    </row>
    <row r="25" spans="1:19" x14ac:dyDescent="0.2">
      <c r="A25" s="28" t="s">
        <v>226</v>
      </c>
      <c r="B25" s="4">
        <v>-728.11</v>
      </c>
      <c r="C25" s="4">
        <v>-31205.259999999995</v>
      </c>
      <c r="D25" s="4">
        <f t="shared" si="0"/>
        <v>-31933.369999999995</v>
      </c>
    </row>
    <row r="26" spans="1:19" x14ac:dyDescent="0.2">
      <c r="A26" s="28" t="s">
        <v>227</v>
      </c>
      <c r="B26" s="4">
        <v>0</v>
      </c>
      <c r="C26" s="4">
        <v>-115.83999999999999</v>
      </c>
      <c r="D26" s="4">
        <f t="shared" si="0"/>
        <v>-115.83999999999999</v>
      </c>
      <c r="F26" s="24" t="s">
        <v>228</v>
      </c>
      <c r="G26" s="5">
        <f t="shared" ref="G26:S26" si="15">+G7+G20</f>
        <v>-158104.92430504295</v>
      </c>
      <c r="H26" s="5">
        <f t="shared" si="15"/>
        <v>-241467.06665763372</v>
      </c>
      <c r="I26" s="5">
        <f t="shared" si="15"/>
        <v>-51366.162772942029</v>
      </c>
      <c r="J26" s="5">
        <f t="shared" si="15"/>
        <v>-60236.162772942029</v>
      </c>
      <c r="K26" s="5">
        <f t="shared" si="15"/>
        <v>-27644.989734556795</v>
      </c>
      <c r="L26" s="5">
        <f t="shared" si="15"/>
        <v>-25509.451253749416</v>
      </c>
      <c r="M26" s="5">
        <f t="shared" si="15"/>
        <v>-23146.619734556796</v>
      </c>
      <c r="N26" s="5">
        <f t="shared" si="15"/>
        <v>-25646.619734556796</v>
      </c>
      <c r="O26" s="5">
        <f t="shared" si="15"/>
        <v>-26375.542772942026</v>
      </c>
      <c r="P26" s="5">
        <f t="shared" si="15"/>
        <v>-25646.619734556796</v>
      </c>
      <c r="Q26" s="5">
        <f t="shared" si="15"/>
        <v>-13858.291253749412</v>
      </c>
      <c r="R26" s="5">
        <f t="shared" si="15"/>
        <v>-13858.291253749412</v>
      </c>
      <c r="S26" s="5">
        <f t="shared" si="15"/>
        <v>-692860.74198097829</v>
      </c>
    </row>
    <row r="27" spans="1:19" x14ac:dyDescent="0.2">
      <c r="A27" s="28" t="s">
        <v>229</v>
      </c>
      <c r="B27" s="4">
        <v>-572.45999999999981</v>
      </c>
      <c r="C27" s="4">
        <v>-312.33999999999997</v>
      </c>
      <c r="D27" s="4">
        <f t="shared" si="0"/>
        <v>-884.79999999999973</v>
      </c>
    </row>
    <row r="28" spans="1:19" x14ac:dyDescent="0.2">
      <c r="A28" s="28" t="s">
        <v>230</v>
      </c>
      <c r="B28" s="4">
        <v>-76.460000000000008</v>
      </c>
      <c r="C28" s="4">
        <v>-3244.7000000000003</v>
      </c>
      <c r="D28" s="4">
        <f t="shared" si="0"/>
        <v>-3321.1600000000003</v>
      </c>
      <c r="F28" t="s">
        <v>59</v>
      </c>
      <c r="G28" s="41">
        <v>1569.0255749999999</v>
      </c>
      <c r="H28" s="41">
        <f>'FY27 Budget - detailed'!$C$40-H12</f>
        <v>1569.0255749999999</v>
      </c>
      <c r="I28" s="41">
        <f>'FY27 Budget - detailed'!$C$40-I12</f>
        <v>1569.0255749999999</v>
      </c>
      <c r="J28" s="41">
        <f>'FY27 Budget - detailed'!$C$40-J12</f>
        <v>1569.0255749999999</v>
      </c>
      <c r="K28" s="41">
        <f>'FY27 Budget - detailed'!$C$40-K12</f>
        <v>1569.0255749999999</v>
      </c>
      <c r="L28" s="41">
        <f>'FY27 Budget - detailed'!$C$40-L12</f>
        <v>1569.0255749999999</v>
      </c>
      <c r="M28" s="41">
        <f>'FY27 Budget - detailed'!$C$40-M12</f>
        <v>1569.0255749999999</v>
      </c>
      <c r="N28" s="41">
        <f>'FY27 Budget - detailed'!$C$40-N12</f>
        <v>1569.0255749999999</v>
      </c>
      <c r="O28" s="41">
        <f>'FY27 Budget - detailed'!$C$40-O12</f>
        <v>1569.0255749999999</v>
      </c>
      <c r="P28" s="41">
        <f>'FY27 Budget - detailed'!$C$40-P12</f>
        <v>1569.0255749999999</v>
      </c>
      <c r="Q28" s="41">
        <f>'FY27 Budget - detailed'!$C$40-Q12</f>
        <v>1569.0255749999999</v>
      </c>
      <c r="R28" s="41">
        <f>'FY27 Budget - detailed'!$C$40-R12</f>
        <v>1569.0255749999999</v>
      </c>
      <c r="S28" s="41"/>
    </row>
    <row r="29" spans="1:19" x14ac:dyDescent="0.2">
      <c r="A29" s="28" t="s">
        <v>231</v>
      </c>
      <c r="B29" s="4">
        <v>-51.27</v>
      </c>
      <c r="C29" s="4">
        <v>0</v>
      </c>
      <c r="D29" s="4">
        <f t="shared" si="0"/>
        <v>-51.27</v>
      </c>
      <c r="F29" t="s">
        <v>232</v>
      </c>
      <c r="G29" s="41">
        <v>8636.7834994684654</v>
      </c>
      <c r="H29" s="41">
        <f>'FY27 Budget - detailed'!$C$68-SUM(H15:H18)</f>
        <v>7838.675194660922</v>
      </c>
      <c r="I29" s="41">
        <f>'FY27 Budget - detailed'!$C$68-SUM(I15:I18)</f>
        <v>9399.5213099692319</v>
      </c>
      <c r="J29" s="41">
        <f>'FY27 Budget - detailed'!$C$68-SUM(J15:J18)</f>
        <v>9399.5213099692319</v>
      </c>
      <c r="K29" s="41">
        <f>'FY27 Budget - detailed'!$C$68-SUM(K15:K18)</f>
        <v>8670.598271584</v>
      </c>
      <c r="L29" s="41">
        <f>'FY27 Budget - detailed'!$C$68-SUM(L15:L18)</f>
        <v>9035.059790776615</v>
      </c>
      <c r="M29" s="41">
        <f>'FY27 Budget - detailed'!$C$68-SUM(M15:M18)</f>
        <v>8670.598271584</v>
      </c>
      <c r="N29" s="41">
        <f>'FY27 Budget - detailed'!$C$68-SUM(N15:N18)</f>
        <v>8670.598271584</v>
      </c>
      <c r="O29" s="41">
        <f>'FY27 Budget - detailed'!$C$68-SUM(O15:O18)</f>
        <v>9399.5213099692319</v>
      </c>
      <c r="P29" s="41">
        <f>'FY27 Budget - detailed'!$C$68-SUM(P15:P18)</f>
        <v>8670.598271584</v>
      </c>
      <c r="Q29" s="41">
        <f>'FY27 Budget - detailed'!$C$68-SUM(Q15:Q18)</f>
        <v>9035.059790776615</v>
      </c>
      <c r="R29" s="41">
        <f>'FY27 Budget - detailed'!$C$68-SUM(R15:R18)</f>
        <v>9035.059790776615</v>
      </c>
      <c r="S29" s="41"/>
    </row>
    <row r="30" spans="1:19" x14ac:dyDescent="0.2">
      <c r="A30" s="1" t="s">
        <v>233</v>
      </c>
      <c r="B30" s="4">
        <v>0</v>
      </c>
      <c r="C30" s="4">
        <v>-26.83</v>
      </c>
      <c r="D30" s="4">
        <f t="shared" si="0"/>
        <v>-26.83</v>
      </c>
      <c r="F30" t="s">
        <v>234</v>
      </c>
      <c r="G30" s="41">
        <v>5071.8714971393038</v>
      </c>
      <c r="H30" s="41">
        <f>'FY27 Budget - detailed'!$C$37-SUM(H11)</f>
        <v>5154.3714971393038</v>
      </c>
      <c r="I30" s="41">
        <f>'FY27 Budget - detailed'!$C$37-SUM(I11)</f>
        <v>5154.3714971393038</v>
      </c>
      <c r="J30" s="41">
        <f>'FY27 Budget - detailed'!$C$37-SUM(J11)</f>
        <v>5154.3714971393038</v>
      </c>
      <c r="K30" s="41">
        <f>'FY27 Budget - detailed'!$C$37-SUM(K11)</f>
        <v>5154.3714971393038</v>
      </c>
      <c r="L30" s="41">
        <f>'FY27 Budget - detailed'!$C$37-SUM(L11)</f>
        <v>5154.3714971393038</v>
      </c>
      <c r="M30" s="41">
        <f>'FY27 Budget - detailed'!$C$37-SUM(M11)</f>
        <v>5154.3714971393038</v>
      </c>
      <c r="N30" s="41">
        <f>'FY27 Budget - detailed'!$C$37-SUM(N11)</f>
        <v>5154.3714971393038</v>
      </c>
      <c r="O30" s="41">
        <f>'FY27 Budget - detailed'!$C$37-SUM(O11)</f>
        <v>5154.3714971393038</v>
      </c>
      <c r="P30" s="41">
        <f>'FY27 Budget - detailed'!$C$37-SUM(P11)</f>
        <v>5154.3714971393038</v>
      </c>
      <c r="Q30" s="41">
        <f>'FY27 Budget - detailed'!$C$37-SUM(Q11)</f>
        <v>5154.3714971393038</v>
      </c>
      <c r="R30" s="41">
        <f>'FY27 Budget - detailed'!$C$37-SUM(R11)</f>
        <v>5154.3714971393038</v>
      </c>
      <c r="S30" s="41"/>
    </row>
    <row r="31" spans="1:19" x14ac:dyDescent="0.2">
      <c r="A31" s="1" t="s">
        <v>235</v>
      </c>
      <c r="B31" s="4">
        <v>-144</v>
      </c>
      <c r="C31" s="4">
        <v>0</v>
      </c>
      <c r="D31" s="4">
        <f t="shared" si="0"/>
        <v>-144</v>
      </c>
      <c r="F31" t="s">
        <v>236</v>
      </c>
      <c r="G31" s="75">
        <v>3226.6918938235076</v>
      </c>
      <c r="H31" s="75">
        <f>('FY27 Budget - detailed'!$C$42+'FY27 Budget - detailed'!$C$56)-SUM(H13:H14,H19)</f>
        <v>10291.020252032464</v>
      </c>
      <c r="I31" s="75">
        <f>('FY27 Budget - detailed'!$C$42+'FY27 Budget - detailed'!$C$56)-SUM(I13:I14,I19)</f>
        <v>10291.020252032464</v>
      </c>
      <c r="J31" s="75">
        <f>('FY27 Budget - detailed'!$C$42+'FY27 Budget - detailed'!$C$56)-SUM(J13:J14,J19)</f>
        <v>10291.020252032464</v>
      </c>
      <c r="K31" s="75">
        <f>('FY27 Budget - detailed'!$C$42+'FY27 Budget - detailed'!$C$56)-SUM(K13:K14,K19)</f>
        <v>10291.020252032464</v>
      </c>
      <c r="L31" s="75">
        <f>('FY27 Budget - detailed'!$C$42+'FY27 Budget - detailed'!$C$56)-SUM(L13:L14,L19)</f>
        <v>10291.020252032464</v>
      </c>
      <c r="M31" s="75">
        <f>('FY27 Budget - detailed'!$C$42+'FY27 Budget - detailed'!$C$56)-SUM(M13:M14,M19)</f>
        <v>10291.020252032464</v>
      </c>
      <c r="N31" s="75">
        <f>('FY27 Budget - detailed'!$C$42+'FY27 Budget - detailed'!$C$56)-SUM(N13:N14,N19)</f>
        <v>10291.020252032464</v>
      </c>
      <c r="O31" s="75">
        <f>('FY27 Budget - detailed'!$C$42+'FY27 Budget - detailed'!$C$56)-SUM(O13:O14,O19)</f>
        <v>10291.020252032464</v>
      </c>
      <c r="P31" s="75">
        <f>('FY27 Budget - detailed'!$C$42+'FY27 Budget - detailed'!$C$56)-SUM(P13:P14,P19)</f>
        <v>10291.020252032464</v>
      </c>
      <c r="Q31" s="75">
        <f>('FY27 Budget - detailed'!$C$42+'FY27 Budget - detailed'!$C$56)-SUM(Q13:Q14,Q19)</f>
        <v>10291.020252032464</v>
      </c>
      <c r="R31" s="75">
        <f>('FY27 Budget - detailed'!$C$42+'FY27 Budget - detailed'!$C$56)-SUM(R13:R14,R19)</f>
        <v>10291.020252032464</v>
      </c>
      <c r="S31" s="75"/>
    </row>
    <row r="32" spans="1:19" x14ac:dyDescent="0.2">
      <c r="A32" s="1" t="s">
        <v>237</v>
      </c>
      <c r="B32" s="4">
        <v>-2203.1400000000008</v>
      </c>
      <c r="C32" s="4">
        <v>0</v>
      </c>
      <c r="D32" s="4">
        <f t="shared" si="0"/>
        <v>-2203.1400000000008</v>
      </c>
    </row>
    <row r="33" spans="1:19" x14ac:dyDescent="0.2">
      <c r="A33" s="73" t="s">
        <v>238</v>
      </c>
      <c r="B33" s="74">
        <f>SUM(B19:B32)</f>
        <v>-120387.75000000003</v>
      </c>
      <c r="C33" s="74">
        <f>SUM(C19:C32)</f>
        <v>-55419.479999999989</v>
      </c>
      <c r="D33" s="74">
        <f>SUM(D19:D32)</f>
        <v>-175807.22999999998</v>
      </c>
      <c r="G33" s="75">
        <v>18504.372465431275</v>
      </c>
      <c r="H33" s="705">
        <f>SUM(H28:H32)</f>
        <v>24853.092518832687</v>
      </c>
      <c r="I33" s="75">
        <f t="shared" ref="I33:J33" si="16">SUM(I28:I32)</f>
        <v>26413.938634140999</v>
      </c>
      <c r="J33" s="75">
        <f t="shared" si="16"/>
        <v>26413.938634140999</v>
      </c>
      <c r="K33" s="75">
        <f t="shared" ref="K33:R33" si="17">SUM(K28:K32)</f>
        <v>25685.015595755765</v>
      </c>
      <c r="L33" s="75">
        <f t="shared" si="17"/>
        <v>26049.477114948382</v>
      </c>
      <c r="M33" s="75">
        <f t="shared" si="17"/>
        <v>25685.015595755765</v>
      </c>
      <c r="N33" s="75">
        <f t="shared" si="17"/>
        <v>25685.015595755765</v>
      </c>
      <c r="O33" s="75">
        <f t="shared" si="17"/>
        <v>26413.938634140999</v>
      </c>
      <c r="P33" s="75">
        <f t="shared" si="17"/>
        <v>25685.015595755765</v>
      </c>
      <c r="Q33" s="75">
        <f t="shared" si="17"/>
        <v>26049.477114948382</v>
      </c>
      <c r="R33" s="75">
        <f t="shared" si="17"/>
        <v>26049.477114948382</v>
      </c>
      <c r="S33" s="75"/>
    </row>
    <row r="34" spans="1:19" x14ac:dyDescent="0.2">
      <c r="A34" s="1" t="s">
        <v>47</v>
      </c>
      <c r="B34" s="4">
        <v>-2.61</v>
      </c>
      <c r="C34" s="4">
        <v>0</v>
      </c>
      <c r="D34" s="4">
        <f t="shared" ref="D34:D63" si="18">B34+C34</f>
        <v>-2.61</v>
      </c>
    </row>
    <row r="35" spans="1:19" x14ac:dyDescent="0.2">
      <c r="A35" s="1" t="s">
        <v>49</v>
      </c>
      <c r="B35" s="4">
        <v>-6468.8600000000006</v>
      </c>
      <c r="C35" s="4">
        <v>-89.69</v>
      </c>
      <c r="D35" s="4">
        <f t="shared" si="18"/>
        <v>-6558.55</v>
      </c>
      <c r="G35" s="75"/>
      <c r="K35" s="75"/>
    </row>
    <row r="36" spans="1:19" x14ac:dyDescent="0.2">
      <c r="A36" s="1" t="s">
        <v>51</v>
      </c>
      <c r="B36" s="4">
        <v>-9.1</v>
      </c>
      <c r="C36" s="4">
        <v>-13.57</v>
      </c>
      <c r="D36" s="4">
        <f t="shared" si="18"/>
        <v>-22.67</v>
      </c>
      <c r="G36" s="75"/>
      <c r="H36" s="75"/>
      <c r="K36" s="208"/>
      <c r="L36" s="209"/>
      <c r="M36" s="75"/>
    </row>
    <row r="37" spans="1:19" x14ac:dyDescent="0.2">
      <c r="A37" s="1" t="s">
        <v>54</v>
      </c>
      <c r="B37" s="4">
        <v>-2.48</v>
      </c>
      <c r="C37" s="4">
        <v>-11.84</v>
      </c>
      <c r="D37" s="4">
        <f t="shared" si="18"/>
        <v>-14.32</v>
      </c>
      <c r="F37" s="1" t="s">
        <v>239</v>
      </c>
      <c r="L37" s="75"/>
    </row>
    <row r="38" spans="1:19" x14ac:dyDescent="0.2">
      <c r="A38" s="1" t="s">
        <v>57</v>
      </c>
      <c r="B38" s="4">
        <v>-20.91</v>
      </c>
      <c r="C38" s="4">
        <v>-287.23</v>
      </c>
      <c r="D38" s="4">
        <f t="shared" si="18"/>
        <v>-308.14000000000004</v>
      </c>
      <c r="F38" s="1" t="s">
        <v>240</v>
      </c>
    </row>
    <row r="39" spans="1:19" x14ac:dyDescent="0.2">
      <c r="A39" s="1" t="s">
        <v>60</v>
      </c>
      <c r="B39" s="4">
        <v>-4324.2699999999986</v>
      </c>
      <c r="C39" s="4">
        <v>0</v>
      </c>
      <c r="D39" s="4">
        <f t="shared" si="18"/>
        <v>-4324.2699999999986</v>
      </c>
      <c r="F39" s="1" t="s">
        <v>241</v>
      </c>
    </row>
    <row r="40" spans="1:19" x14ac:dyDescent="0.2">
      <c r="A40" s="1" t="s">
        <v>65</v>
      </c>
      <c r="B40" s="4">
        <v>0</v>
      </c>
      <c r="C40" s="4">
        <v>-14.079999999999998</v>
      </c>
      <c r="D40" s="4">
        <f t="shared" si="18"/>
        <v>-14.079999999999998</v>
      </c>
      <c r="G40" s="5"/>
      <c r="H40" s="5"/>
    </row>
    <row r="41" spans="1:19" x14ac:dyDescent="0.2">
      <c r="A41" s="1" t="s">
        <v>174</v>
      </c>
      <c r="B41" s="4">
        <v>-18258.700000000004</v>
      </c>
      <c r="C41" s="4">
        <v>-44442.409999999996</v>
      </c>
      <c r="D41" s="4">
        <f t="shared" si="18"/>
        <v>-62701.11</v>
      </c>
      <c r="G41" s="5"/>
      <c r="H41" s="5"/>
    </row>
    <row r="42" spans="1:19" x14ac:dyDescent="0.2">
      <c r="A42" s="1" t="s">
        <v>175</v>
      </c>
      <c r="B42" s="4">
        <v>-3221.8700000000013</v>
      </c>
      <c r="C42" s="4">
        <v>-7280.5099999999975</v>
      </c>
      <c r="D42" s="4">
        <f t="shared" si="18"/>
        <v>-10502.38</v>
      </c>
      <c r="G42" s="5">
        <f t="shared" ref="G42:S42" si="19">G33-G20</f>
        <v>27901.050937140892</v>
      </c>
      <c r="H42" s="5">
        <f t="shared" si="19"/>
        <v>33497.463343133073</v>
      </c>
      <c r="I42" s="5">
        <f t="shared" si="19"/>
        <v>36619.155573749696</v>
      </c>
      <c r="J42" s="5">
        <f t="shared" si="19"/>
        <v>36619.155573749696</v>
      </c>
      <c r="K42" s="5">
        <f t="shared" si="19"/>
        <v>35161.309496979229</v>
      </c>
      <c r="L42" s="5">
        <f t="shared" si="19"/>
        <v>35890.232535364463</v>
      </c>
      <c r="M42" s="5">
        <f t="shared" si="19"/>
        <v>35161.309496979229</v>
      </c>
      <c r="N42" s="5">
        <f t="shared" si="19"/>
        <v>35161.309496979229</v>
      </c>
      <c r="O42" s="5">
        <f t="shared" si="19"/>
        <v>36619.155573749696</v>
      </c>
      <c r="P42" s="5">
        <f t="shared" si="19"/>
        <v>35161.309496979229</v>
      </c>
      <c r="Q42" s="5">
        <f t="shared" si="19"/>
        <v>35890.232535364463</v>
      </c>
      <c r="R42" s="5">
        <f t="shared" si="19"/>
        <v>35890.232535364463</v>
      </c>
      <c r="S42" s="5">
        <f t="shared" si="19"/>
        <v>116084.14198097817</v>
      </c>
    </row>
    <row r="43" spans="1:19" x14ac:dyDescent="0.2">
      <c r="A43" s="1" t="s">
        <v>71</v>
      </c>
      <c r="B43" s="4">
        <v>-631.68999999999994</v>
      </c>
      <c r="C43" s="4">
        <v>-631.67999999999995</v>
      </c>
      <c r="D43" s="4">
        <f t="shared" si="18"/>
        <v>-1263.3699999999999</v>
      </c>
      <c r="G43" s="5">
        <f t="shared" ref="G43:S43" si="20">G21-G42</f>
        <v>112620.528381854</v>
      </c>
      <c r="H43" s="5">
        <f t="shared" si="20"/>
        <v>192540.75466327101</v>
      </c>
      <c r="I43" s="5">
        <f t="shared" si="20"/>
        <v>-4427.375422501631</v>
      </c>
      <c r="J43" s="5">
        <f t="shared" si="20"/>
        <v>5106.1368373461009</v>
      </c>
      <c r="K43" s="5">
        <f t="shared" si="20"/>
        <v>-26218.269663806517</v>
      </c>
      <c r="L43" s="5">
        <f t="shared" si="20"/>
        <v>-28516.720405076052</v>
      </c>
      <c r="M43" s="5">
        <f t="shared" si="20"/>
        <v>-29084.162047498205</v>
      </c>
      <c r="N43" s="5">
        <f t="shared" si="20"/>
        <v>-26901.464527498203</v>
      </c>
      <c r="O43" s="5">
        <f t="shared" si="20"/>
        <v>-29341.412682340513</v>
      </c>
      <c r="P43" s="5">
        <f t="shared" si="20"/>
        <v>-27143.975518850475</v>
      </c>
      <c r="Q43" s="5">
        <f t="shared" si="20"/>
        <v>-40372.30848507605</v>
      </c>
      <c r="R43" s="5">
        <f t="shared" si="20"/>
        <v>-45774.458765076051</v>
      </c>
      <c r="S43" s="5">
        <f t="shared" si="20"/>
        <v>355975.04697930266</v>
      </c>
    </row>
    <row r="44" spans="1:19" x14ac:dyDescent="0.2">
      <c r="A44" s="1" t="s">
        <v>75</v>
      </c>
      <c r="B44" s="4">
        <v>-73.37</v>
      </c>
      <c r="C44" s="4">
        <v>-39.72</v>
      </c>
      <c r="D44" s="4">
        <f t="shared" si="18"/>
        <v>-113.09</v>
      </c>
    </row>
    <row r="45" spans="1:19" x14ac:dyDescent="0.2">
      <c r="A45" s="1" t="s">
        <v>76</v>
      </c>
      <c r="B45" s="4">
        <v>-47.620000000000005</v>
      </c>
      <c r="C45" s="4">
        <v>-2340.6000000000004</v>
      </c>
      <c r="D45" s="4">
        <f t="shared" si="18"/>
        <v>-2388.2200000000003</v>
      </c>
    </row>
    <row r="46" spans="1:19" x14ac:dyDescent="0.2">
      <c r="A46" s="1" t="s">
        <v>80</v>
      </c>
      <c r="B46" s="4">
        <v>-1724.3699999999997</v>
      </c>
      <c r="C46" s="4">
        <v>-7997.88</v>
      </c>
      <c r="D46" s="4">
        <f t="shared" si="18"/>
        <v>-9722.25</v>
      </c>
      <c r="G46" s="5"/>
    </row>
    <row r="47" spans="1:19" x14ac:dyDescent="0.2">
      <c r="A47" s="1" t="s">
        <v>81</v>
      </c>
      <c r="B47" s="4">
        <v>0</v>
      </c>
      <c r="C47" s="4">
        <v>-27.97</v>
      </c>
      <c r="D47" s="4">
        <f t="shared" si="18"/>
        <v>-27.97</v>
      </c>
      <c r="G47" s="5"/>
    </row>
    <row r="48" spans="1:19" x14ac:dyDescent="0.2">
      <c r="A48" s="1" t="s">
        <v>82</v>
      </c>
      <c r="B48" s="4">
        <v>0</v>
      </c>
      <c r="C48" s="4">
        <v>-376.07</v>
      </c>
      <c r="D48" s="4">
        <f t="shared" si="18"/>
        <v>-376.07</v>
      </c>
      <c r="G48" s="5"/>
    </row>
    <row r="49" spans="1:4" x14ac:dyDescent="0.2">
      <c r="A49" s="1" t="s">
        <v>159</v>
      </c>
      <c r="B49" s="4">
        <v>-5726.58</v>
      </c>
      <c r="C49" s="4">
        <v>-22921.38</v>
      </c>
      <c r="D49" s="4">
        <f t="shared" si="18"/>
        <v>-28647.96</v>
      </c>
    </row>
    <row r="50" spans="1:4" x14ac:dyDescent="0.2">
      <c r="A50" s="1" t="s">
        <v>242</v>
      </c>
      <c r="B50" s="4">
        <v>-24830.239999999998</v>
      </c>
      <c r="C50" s="4">
        <v>0</v>
      </c>
      <c r="D50" s="4">
        <f t="shared" si="18"/>
        <v>-24830.239999999998</v>
      </c>
    </row>
    <row r="51" spans="1:4" x14ac:dyDescent="0.2">
      <c r="A51" s="1" t="s">
        <v>243</v>
      </c>
      <c r="B51" s="4">
        <v>0</v>
      </c>
      <c r="C51" s="4">
        <v>-207234.94000000006</v>
      </c>
      <c r="D51" s="4">
        <f t="shared" si="18"/>
        <v>-207234.94000000006</v>
      </c>
    </row>
    <row r="52" spans="1:4" x14ac:dyDescent="0.2">
      <c r="A52" s="1" t="s">
        <v>85</v>
      </c>
      <c r="B52" s="4">
        <v>-42.84</v>
      </c>
      <c r="C52" s="4">
        <v>-42.84</v>
      </c>
      <c r="D52" s="4">
        <f t="shared" si="18"/>
        <v>-85.68</v>
      </c>
    </row>
    <row r="53" spans="1:4" x14ac:dyDescent="0.2">
      <c r="A53" s="1" t="s">
        <v>86</v>
      </c>
      <c r="B53" s="4">
        <v>-95</v>
      </c>
      <c r="C53" s="4">
        <v>-1955.6599999999999</v>
      </c>
      <c r="D53" s="4">
        <f t="shared" si="18"/>
        <v>-2050.66</v>
      </c>
    </row>
    <row r="54" spans="1:4" x14ac:dyDescent="0.2">
      <c r="A54" s="1" t="s">
        <v>87</v>
      </c>
      <c r="B54" s="4">
        <v>0</v>
      </c>
      <c r="C54" s="4">
        <v>-365</v>
      </c>
      <c r="D54" s="4">
        <f t="shared" si="18"/>
        <v>-365</v>
      </c>
    </row>
    <row r="55" spans="1:4" x14ac:dyDescent="0.2">
      <c r="A55" s="1" t="s">
        <v>244</v>
      </c>
      <c r="B55" s="4">
        <v>0</v>
      </c>
      <c r="C55" s="4">
        <v>-570.13</v>
      </c>
      <c r="D55" s="4">
        <f t="shared" si="18"/>
        <v>-570.13</v>
      </c>
    </row>
    <row r="56" spans="1:4" x14ac:dyDescent="0.2">
      <c r="A56" s="1" t="s">
        <v>79</v>
      </c>
      <c r="B56" s="4">
        <v>1968.7099999999996</v>
      </c>
      <c r="C56" s="4">
        <v>1650.1400000000008</v>
      </c>
      <c r="D56" s="4">
        <f t="shared" si="18"/>
        <v>3618.8500000000004</v>
      </c>
    </row>
    <row r="57" spans="1:4" x14ac:dyDescent="0.2">
      <c r="A57" s="1" t="s">
        <v>78</v>
      </c>
      <c r="B57" s="4">
        <v>-1120.3100000000002</v>
      </c>
      <c r="C57" s="4">
        <v>0</v>
      </c>
      <c r="D57" s="4">
        <f t="shared" si="18"/>
        <v>-1120.3100000000002</v>
      </c>
    </row>
    <row r="58" spans="1:4" x14ac:dyDescent="0.2">
      <c r="B58" s="4"/>
      <c r="C58" s="4"/>
      <c r="D58" s="4">
        <f>B58+C58</f>
        <v>0</v>
      </c>
    </row>
    <row r="59" spans="1:4" x14ac:dyDescent="0.2">
      <c r="B59" s="4"/>
      <c r="C59" s="4"/>
      <c r="D59" s="4">
        <f t="shared" si="18"/>
        <v>0</v>
      </c>
    </row>
    <row r="60" spans="1:4" x14ac:dyDescent="0.2">
      <c r="B60" s="4"/>
      <c r="C60" s="4"/>
      <c r="D60" s="4">
        <f t="shared" si="18"/>
        <v>0</v>
      </c>
    </row>
    <row r="61" spans="1:4" x14ac:dyDescent="0.2">
      <c r="B61" s="4"/>
      <c r="C61" s="4"/>
      <c r="D61" s="4">
        <f t="shared" si="18"/>
        <v>0</v>
      </c>
    </row>
    <row r="62" spans="1:4" x14ac:dyDescent="0.2">
      <c r="B62" s="4"/>
      <c r="C62" s="4"/>
      <c r="D62" s="4">
        <f t="shared" si="18"/>
        <v>0</v>
      </c>
    </row>
    <row r="63" spans="1:4" x14ac:dyDescent="0.2">
      <c r="B63" s="4"/>
      <c r="C63" s="4"/>
      <c r="D63" s="4">
        <f t="shared" si="18"/>
        <v>0</v>
      </c>
    </row>
    <row r="64" spans="1:4" x14ac:dyDescent="0.2">
      <c r="A64" s="73" t="s">
        <v>218</v>
      </c>
      <c r="B64" s="74">
        <f>SUM(B34:B63)</f>
        <v>-64632.110000000008</v>
      </c>
      <c r="C64" s="74">
        <f>SUM(C34:C63)</f>
        <v>-294993.06000000006</v>
      </c>
      <c r="D64" s="74">
        <f>SUM(D34:D63)</f>
        <v>-359625.17000000004</v>
      </c>
    </row>
    <row r="65" spans="1:4" x14ac:dyDescent="0.2">
      <c r="A65" s="1" t="s">
        <v>245</v>
      </c>
      <c r="B65" s="4" t="e">
        <f>+#REF!+B33+B64</f>
        <v>#REF!</v>
      </c>
      <c r="C65" s="4" t="e">
        <f>+#REF!+C33+C64</f>
        <v>#REF!</v>
      </c>
      <c r="D65" s="4" t="e">
        <f>+#REF!+D33+D64</f>
        <v>#REF!</v>
      </c>
    </row>
  </sheetData>
  <mergeCells count="1">
    <mergeCell ref="A1:D1"/>
  </mergeCells>
  <phoneticPr fontId="19" type="noConversion"/>
  <conditionalFormatting sqref="F22:S22">
    <cfRule type="cellIs" dxfId="110" priority="3" operator="lessThan">
      <formula>0</formula>
    </cfRule>
    <cfRule type="cellIs" dxfId="109" priority="4" operator="greaterThan">
      <formula>0</formula>
    </cfRule>
  </conditionalFormatting>
  <conditionalFormatting sqref="F24:S24">
    <cfRule type="cellIs" dxfId="108" priority="1" operator="lessThan">
      <formula>0</formula>
    </cfRule>
    <cfRule type="cellIs" dxfId="107" priority="2" operator="greaterThan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tabColor rgb="FF92D050"/>
  </sheetPr>
  <dimension ref="A1:Q49"/>
  <sheetViews>
    <sheetView topLeftCell="A27" zoomScale="110" zoomScaleNormal="110" workbookViewId="0">
      <selection activeCell="G20" sqref="G20"/>
    </sheetView>
  </sheetViews>
  <sheetFormatPr defaultRowHeight="12.75" x14ac:dyDescent="0.2"/>
  <cols>
    <col min="2" max="2" width="29" bestFit="1" customWidth="1"/>
    <col min="3" max="3" width="19.28515625" customWidth="1"/>
    <col min="4" max="4" width="12.5703125" bestFit="1" customWidth="1"/>
    <col min="5" max="5" width="19.7109375" bestFit="1" customWidth="1"/>
    <col min="6" max="6" width="17.7109375" bestFit="1" customWidth="1"/>
    <col min="7" max="7" width="27.5703125" bestFit="1" customWidth="1"/>
    <col min="8" max="8" width="14" bestFit="1" customWidth="1"/>
    <col min="9" max="9" width="12.42578125" bestFit="1" customWidth="1"/>
    <col min="10" max="10" width="11.42578125" bestFit="1" customWidth="1"/>
    <col min="11" max="11" width="13.7109375" bestFit="1" customWidth="1"/>
    <col min="12" max="15" width="11.42578125" bestFit="1" customWidth="1"/>
    <col min="16" max="16" width="10.42578125" bestFit="1" customWidth="1"/>
    <col min="17" max="17" width="11.42578125" bestFit="1" customWidth="1"/>
  </cols>
  <sheetData>
    <row r="1" spans="1:14" x14ac:dyDescent="0.2">
      <c r="G1" s="12" t="s">
        <v>246</v>
      </c>
      <c r="H1" s="6"/>
      <c r="I1" s="7"/>
    </row>
    <row r="2" spans="1:14" x14ac:dyDescent="0.2">
      <c r="A2" s="1" t="s">
        <v>247</v>
      </c>
      <c r="B2" s="2" t="s">
        <v>248</v>
      </c>
      <c r="C2" s="2"/>
      <c r="D2" s="2" t="s">
        <v>1167</v>
      </c>
      <c r="E2" s="2" t="s">
        <v>249</v>
      </c>
      <c r="F2" s="2" t="s">
        <v>1006</v>
      </c>
      <c r="G2" s="2" t="s">
        <v>1007</v>
      </c>
      <c r="H2" s="2" t="s">
        <v>166</v>
      </c>
      <c r="I2" s="7"/>
    </row>
    <row r="3" spans="1:14" x14ac:dyDescent="0.2">
      <c r="A3">
        <v>48.07692307692308</v>
      </c>
      <c r="B3" s="1" t="s">
        <v>1362</v>
      </c>
      <c r="C3" s="195">
        <v>0.5</v>
      </c>
      <c r="D3" s="196">
        <f>A3*1.03</f>
        <v>49.519230769230774</v>
      </c>
      <c r="E3" s="188">
        <f>D3*8*5*52</f>
        <v>103000.00000000001</v>
      </c>
      <c r="F3" s="8">
        <f>+E3*0.12</f>
        <v>12360.000000000002</v>
      </c>
      <c r="G3" s="8">
        <f>+E3+F3</f>
        <v>115360.00000000001</v>
      </c>
      <c r="H3" s="6"/>
      <c r="I3" s="7"/>
      <c r="M3" s="1"/>
    </row>
    <row r="4" spans="1:14" x14ac:dyDescent="0.2">
      <c r="A4">
        <v>42.925820000000002</v>
      </c>
      <c r="B4" s="1" t="s">
        <v>401</v>
      </c>
      <c r="C4" s="195">
        <v>0.5</v>
      </c>
      <c r="D4" s="196">
        <f>A4*1.03</f>
        <v>44.2135946</v>
      </c>
      <c r="E4" s="7">
        <f>D4*8*5*52</f>
        <v>91964.276767999996</v>
      </c>
      <c r="F4" s="8">
        <f>+E4*0.12</f>
        <v>11035.713212159999</v>
      </c>
      <c r="G4" s="8">
        <f>+E4+F4</f>
        <v>102999.98998016</v>
      </c>
      <c r="H4" s="6">
        <v>114.4900000000016</v>
      </c>
      <c r="I4" s="7"/>
    </row>
    <row r="5" spans="1:14" x14ac:dyDescent="0.2">
      <c r="A5" s="196"/>
      <c r="B5" s="545"/>
      <c r="C5" s="195"/>
      <c r="D5" s="196"/>
      <c r="E5" s="7"/>
      <c r="F5" s="8"/>
      <c r="G5" s="8"/>
      <c r="H5" s="6"/>
      <c r="I5" s="7"/>
    </row>
    <row r="6" spans="1:14" x14ac:dyDescent="0.2">
      <c r="A6" s="41"/>
      <c r="B6" s="25"/>
      <c r="C6" s="25"/>
      <c r="D6" s="25"/>
      <c r="E6" s="26">
        <f>SUM(E3:E4)</f>
        <v>194964.27676800001</v>
      </c>
      <c r="F6" s="26">
        <f>SUM(F3:F4)</f>
        <v>23395.713212160001</v>
      </c>
      <c r="G6" s="667">
        <f>SUM(G3:G4)</f>
        <v>218359.98998016003</v>
      </c>
      <c r="H6" s="6"/>
      <c r="I6" s="7"/>
      <c r="M6" s="7"/>
      <c r="N6" s="7"/>
    </row>
    <row r="7" spans="1:14" x14ac:dyDescent="0.2">
      <c r="A7" s="41"/>
      <c r="E7" s="1"/>
      <c r="F7" s="6"/>
      <c r="G7" s="6"/>
      <c r="H7" s="6"/>
      <c r="I7" s="7"/>
    </row>
    <row r="8" spans="1:14" x14ac:dyDescent="0.2">
      <c r="B8" s="2" t="s">
        <v>250</v>
      </c>
      <c r="C8" s="2"/>
      <c r="D8" s="2" t="s">
        <v>170</v>
      </c>
      <c r="E8" s="2" t="s">
        <v>171</v>
      </c>
      <c r="F8" s="6"/>
      <c r="G8" s="6"/>
      <c r="H8" s="6"/>
      <c r="I8" s="7"/>
    </row>
    <row r="9" spans="1:14" x14ac:dyDescent="0.2">
      <c r="B9" s="1" t="s">
        <v>892</v>
      </c>
      <c r="C9" s="1"/>
      <c r="D9" s="83">
        <f>'Rental Breakdown'!U22</f>
        <v>444.46684276249999</v>
      </c>
      <c r="E9" s="83">
        <f>'Rental Breakdown'!U23</f>
        <v>444.46684276249999</v>
      </c>
      <c r="F9" s="36">
        <f>+D9+E9+D10+E10</f>
        <v>913.73986352500003</v>
      </c>
      <c r="G9" s="36"/>
      <c r="I9" s="41"/>
      <c r="J9" s="1"/>
    </row>
    <row r="10" spans="1:14" x14ac:dyDescent="0.2">
      <c r="B10" s="1" t="s">
        <v>1089</v>
      </c>
      <c r="C10" s="1"/>
      <c r="D10" s="83">
        <f>'Rental Breakdown'!S22</f>
        <v>12.403089</v>
      </c>
      <c r="E10" s="83">
        <f>'Rental Breakdown'!S23</f>
        <v>12.403089</v>
      </c>
      <c r="F10" s="36"/>
      <c r="G10" s="36"/>
      <c r="H10" s="41"/>
      <c r="J10" s="1"/>
    </row>
    <row r="11" spans="1:14" x14ac:dyDescent="0.2">
      <c r="B11" s="1"/>
      <c r="C11" s="1"/>
      <c r="G11" s="36"/>
      <c r="H11" s="36"/>
    </row>
    <row r="12" spans="1:14" x14ac:dyDescent="0.2">
      <c r="B12" s="2" t="s">
        <v>251</v>
      </c>
      <c r="C12" s="2"/>
      <c r="D12" s="2" t="s">
        <v>252</v>
      </c>
      <c r="E12" s="2" t="s">
        <v>253</v>
      </c>
    </row>
    <row r="13" spans="1:14" x14ac:dyDescent="0.2">
      <c r="B13" s="272" t="s">
        <v>254</v>
      </c>
      <c r="C13" s="272"/>
      <c r="D13" s="611">
        <f>'CTS Overheads'!U40/12</f>
        <v>407.45499999999998</v>
      </c>
      <c r="E13" s="273" t="s">
        <v>170</v>
      </c>
      <c r="F13" s="1" t="s">
        <v>255</v>
      </c>
      <c r="G13">
        <v>5035.0200000000004</v>
      </c>
      <c r="J13" s="11"/>
      <c r="L13" s="11"/>
    </row>
    <row r="14" spans="1:14" x14ac:dyDescent="0.2">
      <c r="B14" s="1" t="s">
        <v>256</v>
      </c>
      <c r="C14" s="1"/>
      <c r="D14" s="14">
        <v>0</v>
      </c>
      <c r="E14" s="13" t="s">
        <v>170</v>
      </c>
      <c r="J14" s="11"/>
      <c r="L14" s="11"/>
    </row>
    <row r="15" spans="1:14" x14ac:dyDescent="0.2">
      <c r="B15" s="272" t="s">
        <v>97</v>
      </c>
      <c r="C15" s="272"/>
      <c r="D15" s="611">
        <f>1452/12</f>
        <v>121</v>
      </c>
      <c r="E15" s="273" t="s">
        <v>171</v>
      </c>
      <c r="J15" s="11"/>
      <c r="L15" s="11"/>
    </row>
    <row r="16" spans="1:14" x14ac:dyDescent="0.2">
      <c r="B16" s="272" t="s">
        <v>257</v>
      </c>
      <c r="C16" s="272"/>
      <c r="D16" s="611">
        <f>478.51/12</f>
        <v>39.875833333333333</v>
      </c>
      <c r="E16" s="273" t="s">
        <v>170</v>
      </c>
    </row>
    <row r="17" spans="2:17" x14ac:dyDescent="0.2">
      <c r="B17" s="272" t="s">
        <v>257</v>
      </c>
      <c r="C17" s="272"/>
      <c r="D17" s="611">
        <f>478.51/12</f>
        <v>39.875833333333333</v>
      </c>
      <c r="E17" s="273" t="s">
        <v>171</v>
      </c>
      <c r="I17" s="7"/>
    </row>
    <row r="18" spans="2:17" x14ac:dyDescent="0.2">
      <c r="B18" s="272" t="s">
        <v>1190</v>
      </c>
      <c r="C18" s="272"/>
      <c r="D18" s="611">
        <f>283.64/12</f>
        <v>23.636666666666667</v>
      </c>
      <c r="E18" s="273" t="s">
        <v>171</v>
      </c>
      <c r="I18" s="7"/>
    </row>
    <row r="19" spans="2:17" x14ac:dyDescent="0.2">
      <c r="B19" s="272" t="s">
        <v>258</v>
      </c>
      <c r="C19" s="272"/>
      <c r="D19" s="611">
        <f>1380/12</f>
        <v>115</v>
      </c>
      <c r="E19" s="273" t="s">
        <v>170</v>
      </c>
    </row>
    <row r="20" spans="2:17" x14ac:dyDescent="0.2">
      <c r="B20" s="19" t="s">
        <v>27</v>
      </c>
      <c r="C20" s="19"/>
      <c r="D20" s="20">
        <f>SUM(D13:D19)</f>
        <v>746.84333333333313</v>
      </c>
      <c r="E20" s="20"/>
    </row>
    <row r="21" spans="2:17" x14ac:dyDescent="0.2">
      <c r="B21" s="10"/>
      <c r="C21" s="10"/>
      <c r="E21" s="11"/>
    </row>
    <row r="22" spans="2:17" x14ac:dyDescent="0.2">
      <c r="B22" s="10"/>
      <c r="C22" s="10"/>
      <c r="E22" s="11"/>
    </row>
    <row r="23" spans="2:17" ht="15" x14ac:dyDescent="0.25">
      <c r="B23" s="1" t="s">
        <v>141</v>
      </c>
      <c r="C23" s="194">
        <f>'CTS Overheads'!B90</f>
        <v>23</v>
      </c>
      <c r="D23" s="194">
        <f>'CTS Overheads'!C90</f>
        <v>20</v>
      </c>
      <c r="E23" s="194">
        <f>'CTS Overheads'!D90</f>
        <v>22</v>
      </c>
      <c r="F23" s="194">
        <f>'CTS Overheads'!E90</f>
        <v>22</v>
      </c>
      <c r="G23" s="194">
        <f>'CTS Overheads'!F90</f>
        <v>20</v>
      </c>
      <c r="H23" s="194">
        <v>21</v>
      </c>
      <c r="I23" s="194">
        <f>'CTS Overheads'!H90</f>
        <v>20</v>
      </c>
      <c r="J23" s="194">
        <f>'CTS Overheads'!I90</f>
        <v>20</v>
      </c>
      <c r="K23" s="194">
        <f>'CTS Overheads'!J90</f>
        <v>22</v>
      </c>
      <c r="L23" s="194">
        <f>'CTS Overheads'!K90</f>
        <v>20</v>
      </c>
      <c r="M23" s="194">
        <f>'CTS Overheads'!L90</f>
        <v>21</v>
      </c>
      <c r="N23" s="194">
        <f>'CTS Overheads'!M90</f>
        <v>21</v>
      </c>
    </row>
    <row r="24" spans="2:17" x14ac:dyDescent="0.2">
      <c r="C24" s="95" t="s">
        <v>142</v>
      </c>
      <c r="D24" s="95" t="s">
        <v>143</v>
      </c>
      <c r="E24" s="95" t="s">
        <v>144</v>
      </c>
      <c r="F24" s="95" t="s">
        <v>145</v>
      </c>
      <c r="G24" s="95" t="s">
        <v>146</v>
      </c>
      <c r="H24" s="95" t="s">
        <v>147</v>
      </c>
      <c r="I24" s="95" t="s">
        <v>148</v>
      </c>
      <c r="J24" s="95" t="s">
        <v>149</v>
      </c>
      <c r="K24" s="95" t="s">
        <v>150</v>
      </c>
      <c r="L24" s="95" t="s">
        <v>151</v>
      </c>
      <c r="M24" s="95" t="s">
        <v>152</v>
      </c>
      <c r="N24" s="95" t="s">
        <v>874</v>
      </c>
    </row>
    <row r="25" spans="2:17" x14ac:dyDescent="0.2">
      <c r="B25" s="1" t="str">
        <f>B3</f>
        <v>Sub-contracted lead consultants</v>
      </c>
      <c r="C25" s="41">
        <f>C23*$A$3*4.5</f>
        <v>4975.961538461539</v>
      </c>
      <c r="D25" s="41">
        <f>D23*$D$3*4.5</f>
        <v>4456.7307692307695</v>
      </c>
      <c r="E25" s="41">
        <f>E23*$D$3*6</f>
        <v>6536.5384615384628</v>
      </c>
      <c r="F25" s="41">
        <f t="shared" ref="F25:N25" si="0">F23*$D$3*6</f>
        <v>6536.5384615384628</v>
      </c>
      <c r="G25" s="41">
        <f t="shared" si="0"/>
        <v>5942.3076923076933</v>
      </c>
      <c r="H25" s="41">
        <f t="shared" si="0"/>
        <v>6239.4230769230771</v>
      </c>
      <c r="I25" s="41">
        <f t="shared" si="0"/>
        <v>5942.3076923076933</v>
      </c>
      <c r="J25" s="41">
        <f t="shared" si="0"/>
        <v>5942.3076923076933</v>
      </c>
      <c r="K25" s="41">
        <f t="shared" si="0"/>
        <v>6536.5384615384628</v>
      </c>
      <c r="L25" s="41">
        <f t="shared" si="0"/>
        <v>5942.3076923076933</v>
      </c>
      <c r="M25" s="41">
        <f t="shared" si="0"/>
        <v>6239.4230769230771</v>
      </c>
      <c r="N25" s="41">
        <f t="shared" si="0"/>
        <v>6239.4230769230771</v>
      </c>
      <c r="O25" s="41"/>
      <c r="P25" s="41"/>
      <c r="Q25" s="41"/>
    </row>
    <row r="26" spans="2:17" x14ac:dyDescent="0.2">
      <c r="B26" s="1" t="str">
        <f>B4</f>
        <v>Daniel SOBKOWSKI</v>
      </c>
      <c r="C26" s="41">
        <f>C23*$A$4*8</f>
        <v>7898.35088</v>
      </c>
      <c r="D26" s="41">
        <f>D23*$D$4*8</f>
        <v>7074.1751359999998</v>
      </c>
      <c r="E26" s="41">
        <f>E23*$D$4*8</f>
        <v>7781.5926496000002</v>
      </c>
      <c r="F26" s="41">
        <f t="shared" ref="F26:N26" si="1">F23*$D$4*8</f>
        <v>7781.5926496000002</v>
      </c>
      <c r="G26" s="41">
        <f>G23*$D$4*8</f>
        <v>7074.1751359999998</v>
      </c>
      <c r="H26" s="41">
        <f t="shared" si="1"/>
        <v>7427.8838928000005</v>
      </c>
      <c r="I26" s="41">
        <f t="shared" si="1"/>
        <v>7074.1751359999998</v>
      </c>
      <c r="J26" s="41">
        <f t="shared" si="1"/>
        <v>7074.1751359999998</v>
      </c>
      <c r="K26" s="41">
        <f t="shared" si="1"/>
        <v>7781.5926496000002</v>
      </c>
      <c r="L26" s="41">
        <f t="shared" si="1"/>
        <v>7074.1751359999998</v>
      </c>
      <c r="M26" s="41">
        <f t="shared" si="1"/>
        <v>7427.8838928000005</v>
      </c>
      <c r="N26" s="41">
        <f t="shared" si="1"/>
        <v>7427.8838928000005</v>
      </c>
      <c r="O26" s="41"/>
      <c r="P26" s="41"/>
      <c r="Q26" s="41"/>
    </row>
    <row r="27" spans="2:17" x14ac:dyDescent="0.2">
      <c r="B27" s="1">
        <f>B5</f>
        <v>0</v>
      </c>
      <c r="C27" s="41"/>
      <c r="D27" s="41"/>
      <c r="E27" s="41"/>
      <c r="F27" s="41"/>
      <c r="G27" s="41"/>
      <c r="H27" s="41">
        <f t="shared" ref="H27:N27" si="2">4*$A$5*8</f>
        <v>0</v>
      </c>
      <c r="I27" s="41">
        <f t="shared" si="2"/>
        <v>0</v>
      </c>
      <c r="J27" s="41">
        <f t="shared" si="2"/>
        <v>0</v>
      </c>
      <c r="K27" s="41">
        <f t="shared" si="2"/>
        <v>0</v>
      </c>
      <c r="L27" s="41">
        <f t="shared" si="2"/>
        <v>0</v>
      </c>
      <c r="M27" s="41">
        <f t="shared" si="2"/>
        <v>0</v>
      </c>
      <c r="N27" s="41">
        <f t="shared" si="2"/>
        <v>0</v>
      </c>
      <c r="Q27" s="41"/>
    </row>
    <row r="28" spans="2:17" x14ac:dyDescent="0.2">
      <c r="C28" s="41">
        <f>SUM(C25:C27)</f>
        <v>12874.312418461539</v>
      </c>
      <c r="D28" s="41">
        <f t="shared" ref="D28:N28" si="3">SUM(D25:D27)</f>
        <v>11530.905905230769</v>
      </c>
      <c r="E28" s="41">
        <f t="shared" si="3"/>
        <v>14318.131111138464</v>
      </c>
      <c r="F28" s="41">
        <f t="shared" si="3"/>
        <v>14318.131111138464</v>
      </c>
      <c r="G28" s="41">
        <f t="shared" si="3"/>
        <v>13016.482828307693</v>
      </c>
      <c r="H28" s="41">
        <f t="shared" si="3"/>
        <v>13667.306969723079</v>
      </c>
      <c r="I28" s="41">
        <f t="shared" si="3"/>
        <v>13016.482828307693</v>
      </c>
      <c r="J28" s="41">
        <f t="shared" si="3"/>
        <v>13016.482828307693</v>
      </c>
      <c r="K28" s="41">
        <f t="shared" si="3"/>
        <v>14318.131111138464</v>
      </c>
      <c r="L28" s="41">
        <f t="shared" si="3"/>
        <v>13016.482828307693</v>
      </c>
      <c r="M28" s="41">
        <f t="shared" si="3"/>
        <v>13667.306969723079</v>
      </c>
      <c r="N28" s="41">
        <f t="shared" si="3"/>
        <v>13667.306969723079</v>
      </c>
      <c r="P28" s="41"/>
      <c r="Q28" s="41"/>
    </row>
    <row r="29" spans="2:17" x14ac:dyDescent="0.2">
      <c r="B29" s="1" t="s">
        <v>259</v>
      </c>
      <c r="C29" s="41">
        <f>C28*0.5</f>
        <v>6437.1562092307695</v>
      </c>
      <c r="D29" s="41">
        <f t="shared" ref="D29:N29" si="4">D28*0.5</f>
        <v>5765.4529526153847</v>
      </c>
      <c r="E29" s="41">
        <f t="shared" si="4"/>
        <v>7159.0655555692319</v>
      </c>
      <c r="F29" s="41">
        <f t="shared" si="4"/>
        <v>7159.0655555692319</v>
      </c>
      <c r="G29" s="41">
        <f t="shared" si="4"/>
        <v>6508.2414141538466</v>
      </c>
      <c r="H29" s="41">
        <f t="shared" si="4"/>
        <v>6833.6534848615393</v>
      </c>
      <c r="I29" s="41">
        <f t="shared" si="4"/>
        <v>6508.2414141538466</v>
      </c>
      <c r="J29" s="41">
        <f t="shared" si="4"/>
        <v>6508.2414141538466</v>
      </c>
      <c r="K29" s="41">
        <f t="shared" si="4"/>
        <v>7159.0655555692319</v>
      </c>
      <c r="L29" s="41">
        <f t="shared" si="4"/>
        <v>6508.2414141538466</v>
      </c>
      <c r="M29" s="41">
        <f t="shared" si="4"/>
        <v>6833.6534848615393</v>
      </c>
      <c r="N29" s="41">
        <f t="shared" si="4"/>
        <v>6833.6534848615393</v>
      </c>
      <c r="P29" s="41"/>
    </row>
    <row r="30" spans="2:17" x14ac:dyDescent="0.2">
      <c r="B30" s="1" t="s">
        <v>196</v>
      </c>
      <c r="C30" s="41">
        <f>C29*0.12</f>
        <v>772.45874510769227</v>
      </c>
      <c r="D30" s="41">
        <f t="shared" ref="D30:N30" si="5">D29*0.12</f>
        <v>691.8543543138461</v>
      </c>
      <c r="E30" s="41">
        <f t="shared" si="5"/>
        <v>859.08786666830781</v>
      </c>
      <c r="F30" s="41">
        <f t="shared" si="5"/>
        <v>859.08786666830781</v>
      </c>
      <c r="G30" s="41">
        <f t="shared" si="5"/>
        <v>780.98896969846157</v>
      </c>
      <c r="H30" s="41">
        <f t="shared" si="5"/>
        <v>820.03841818338469</v>
      </c>
      <c r="I30" s="41">
        <f t="shared" si="5"/>
        <v>780.98896969846157</v>
      </c>
      <c r="J30" s="41">
        <f t="shared" si="5"/>
        <v>780.98896969846157</v>
      </c>
      <c r="K30" s="41">
        <f t="shared" si="5"/>
        <v>859.08786666830781</v>
      </c>
      <c r="L30" s="41">
        <f t="shared" si="5"/>
        <v>780.98896969846157</v>
      </c>
      <c r="M30" s="41">
        <f t="shared" si="5"/>
        <v>820.03841818338469</v>
      </c>
      <c r="N30" s="41">
        <f t="shared" si="5"/>
        <v>820.03841818338469</v>
      </c>
    </row>
    <row r="31" spans="2:17" x14ac:dyDescent="0.2">
      <c r="B31" s="1" t="s">
        <v>213</v>
      </c>
      <c r="C31" s="41">
        <f>C28*0.5</f>
        <v>6437.1562092307695</v>
      </c>
      <c r="D31" s="41">
        <f t="shared" ref="D31:N31" si="6">D28*0.5</f>
        <v>5765.4529526153847</v>
      </c>
      <c r="E31" s="41">
        <f t="shared" si="6"/>
        <v>7159.0655555692319</v>
      </c>
      <c r="F31" s="41">
        <f t="shared" si="6"/>
        <v>7159.0655555692319</v>
      </c>
      <c r="G31" s="41">
        <f t="shared" si="6"/>
        <v>6508.2414141538466</v>
      </c>
      <c r="H31" s="41">
        <f t="shared" si="6"/>
        <v>6833.6534848615393</v>
      </c>
      <c r="I31" s="41">
        <f t="shared" si="6"/>
        <v>6508.2414141538466</v>
      </c>
      <c r="J31" s="41">
        <f t="shared" si="6"/>
        <v>6508.2414141538466</v>
      </c>
      <c r="K31" s="41">
        <f t="shared" si="6"/>
        <v>7159.0655555692319</v>
      </c>
      <c r="L31" s="41">
        <f t="shared" si="6"/>
        <v>6508.2414141538466</v>
      </c>
      <c r="M31" s="41">
        <f t="shared" si="6"/>
        <v>6833.6534848615393</v>
      </c>
      <c r="N31" s="41">
        <f t="shared" si="6"/>
        <v>6833.6534848615393</v>
      </c>
    </row>
    <row r="32" spans="2:17" x14ac:dyDescent="0.2">
      <c r="B32" s="1" t="s">
        <v>214</v>
      </c>
      <c r="C32" s="41">
        <f>C31*0.12</f>
        <v>772.45874510769227</v>
      </c>
      <c r="D32" s="41">
        <f t="shared" ref="D32:N32" si="7">D31*0.12</f>
        <v>691.8543543138461</v>
      </c>
      <c r="E32" s="41">
        <f t="shared" si="7"/>
        <v>859.08786666830781</v>
      </c>
      <c r="F32" s="41">
        <f t="shared" si="7"/>
        <v>859.08786666830781</v>
      </c>
      <c r="G32" s="41">
        <f t="shared" si="7"/>
        <v>780.98896969846157</v>
      </c>
      <c r="H32" s="41">
        <f t="shared" si="7"/>
        <v>820.03841818338469</v>
      </c>
      <c r="I32" s="41">
        <f t="shared" si="7"/>
        <v>780.98896969846157</v>
      </c>
      <c r="J32" s="41">
        <f t="shared" si="7"/>
        <v>780.98896969846157</v>
      </c>
      <c r="K32" s="41">
        <f t="shared" si="7"/>
        <v>859.08786666830781</v>
      </c>
      <c r="L32" s="41">
        <f t="shared" si="7"/>
        <v>780.98896969846157</v>
      </c>
      <c r="M32" s="41">
        <f t="shared" si="7"/>
        <v>820.03841818338469</v>
      </c>
      <c r="N32" s="41">
        <f t="shared" si="7"/>
        <v>820.03841818338469</v>
      </c>
    </row>
    <row r="33" spans="2:14" x14ac:dyDescent="0.2">
      <c r="B33" s="198" t="s">
        <v>127</v>
      </c>
      <c r="C33" s="41">
        <f>C28*0.03</f>
        <v>386.22937255384613</v>
      </c>
      <c r="D33" s="41">
        <f t="shared" ref="D33:N33" si="8">D28*0.03</f>
        <v>345.92717715692305</v>
      </c>
      <c r="E33" s="41">
        <f t="shared" si="8"/>
        <v>429.54393333415391</v>
      </c>
      <c r="F33" s="41">
        <f t="shared" si="8"/>
        <v>429.54393333415391</v>
      </c>
      <c r="G33" s="41">
        <f>G28*0.03</f>
        <v>390.49448484923079</v>
      </c>
      <c r="H33" s="41">
        <f t="shared" si="8"/>
        <v>410.01920909169235</v>
      </c>
      <c r="I33" s="41">
        <f t="shared" si="8"/>
        <v>390.49448484923079</v>
      </c>
      <c r="J33" s="41">
        <f t="shared" si="8"/>
        <v>390.49448484923079</v>
      </c>
      <c r="K33" s="41">
        <f t="shared" si="8"/>
        <v>429.54393333415391</v>
      </c>
      <c r="L33" s="41">
        <f t="shared" si="8"/>
        <v>390.49448484923079</v>
      </c>
      <c r="M33" s="41">
        <f t="shared" si="8"/>
        <v>410.01920909169235</v>
      </c>
      <c r="N33" s="41">
        <f t="shared" si="8"/>
        <v>410.01920909169235</v>
      </c>
    </row>
    <row r="34" spans="2:14" x14ac:dyDescent="0.2">
      <c r="B34" s="1" t="s">
        <v>71</v>
      </c>
      <c r="C34">
        <f>35*2</f>
        <v>70</v>
      </c>
      <c r="D34">
        <f t="shared" ref="D34:N34" si="9">35*2</f>
        <v>70</v>
      </c>
      <c r="E34">
        <f t="shared" si="9"/>
        <v>70</v>
      </c>
      <c r="F34">
        <f t="shared" si="9"/>
        <v>70</v>
      </c>
      <c r="G34">
        <f t="shared" si="9"/>
        <v>70</v>
      </c>
      <c r="H34">
        <f t="shared" si="9"/>
        <v>70</v>
      </c>
      <c r="I34">
        <f t="shared" si="9"/>
        <v>70</v>
      </c>
      <c r="J34">
        <f t="shared" si="9"/>
        <v>70</v>
      </c>
      <c r="K34">
        <f t="shared" si="9"/>
        <v>70</v>
      </c>
      <c r="L34">
        <f t="shared" si="9"/>
        <v>70</v>
      </c>
      <c r="M34">
        <f t="shared" si="9"/>
        <v>70</v>
      </c>
      <c r="N34">
        <f t="shared" si="9"/>
        <v>70</v>
      </c>
    </row>
    <row r="35" spans="2:14" x14ac:dyDescent="0.2">
      <c r="B35" s="198" t="s">
        <v>165</v>
      </c>
      <c r="C35" s="41">
        <v>286.17213333333302</v>
      </c>
      <c r="D35" s="41">
        <f>C35</f>
        <v>286.17213333333302</v>
      </c>
      <c r="E35" s="41">
        <f t="shared" ref="E35:N35" si="10">D35</f>
        <v>286.17213333333302</v>
      </c>
      <c r="F35" s="41">
        <f t="shared" si="10"/>
        <v>286.17213333333302</v>
      </c>
      <c r="G35" s="41">
        <f t="shared" si="10"/>
        <v>286.17213333333302</v>
      </c>
      <c r="H35" s="41">
        <f t="shared" si="10"/>
        <v>286.17213333333302</v>
      </c>
      <c r="I35" s="41">
        <f t="shared" si="10"/>
        <v>286.17213333333302</v>
      </c>
      <c r="J35" s="41">
        <f t="shared" si="10"/>
        <v>286.17213333333302</v>
      </c>
      <c r="K35" s="41">
        <f t="shared" si="10"/>
        <v>286.17213333333302</v>
      </c>
      <c r="L35" s="41">
        <f t="shared" si="10"/>
        <v>286.17213333333302</v>
      </c>
      <c r="M35" s="41">
        <f t="shared" si="10"/>
        <v>286.17213333333302</v>
      </c>
      <c r="N35" s="41">
        <f t="shared" si="10"/>
        <v>286.17213333333302</v>
      </c>
    </row>
    <row r="36" spans="2:14" x14ac:dyDescent="0.2">
      <c r="B36" s="198" t="s">
        <v>166</v>
      </c>
      <c r="C36" s="41">
        <f>$H$4</f>
        <v>114.4900000000016</v>
      </c>
      <c r="D36" s="41">
        <f t="shared" ref="D36:N36" si="11">$H$4</f>
        <v>114.4900000000016</v>
      </c>
      <c r="E36" s="41">
        <f t="shared" si="11"/>
        <v>114.4900000000016</v>
      </c>
      <c r="F36" s="41">
        <f t="shared" si="11"/>
        <v>114.4900000000016</v>
      </c>
      <c r="G36" s="41">
        <f t="shared" si="11"/>
        <v>114.4900000000016</v>
      </c>
      <c r="H36" s="41">
        <f t="shared" si="11"/>
        <v>114.4900000000016</v>
      </c>
      <c r="I36" s="41">
        <f t="shared" si="11"/>
        <v>114.4900000000016</v>
      </c>
      <c r="J36" s="41">
        <f t="shared" si="11"/>
        <v>114.4900000000016</v>
      </c>
      <c r="K36" s="41">
        <f t="shared" si="11"/>
        <v>114.4900000000016</v>
      </c>
      <c r="L36" s="41">
        <f t="shared" si="11"/>
        <v>114.4900000000016</v>
      </c>
      <c r="M36" s="41">
        <f t="shared" si="11"/>
        <v>114.4900000000016</v>
      </c>
      <c r="N36" s="41">
        <f t="shared" si="11"/>
        <v>114.4900000000016</v>
      </c>
    </row>
    <row r="37" spans="2:14" x14ac:dyDescent="0.2">
      <c r="B37" s="27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</row>
    <row r="38" spans="2:14" x14ac:dyDescent="0.2"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</row>
    <row r="39" spans="2:14" x14ac:dyDescent="0.2"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</row>
    <row r="40" spans="2:14" x14ac:dyDescent="0.2">
      <c r="B40" s="199" t="s">
        <v>260</v>
      </c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</row>
    <row r="42" spans="2:14" x14ac:dyDescent="0.2">
      <c r="C42" s="1" t="s">
        <v>1048</v>
      </c>
    </row>
    <row r="43" spans="2:14" x14ac:dyDescent="0.2">
      <c r="C43" s="1" t="s">
        <v>1106</v>
      </c>
    </row>
    <row r="44" spans="2:14" x14ac:dyDescent="0.2">
      <c r="C44">
        <f>20/250</f>
        <v>0.08</v>
      </c>
    </row>
    <row r="47" spans="2:14" x14ac:dyDescent="0.2">
      <c r="B47" t="s">
        <v>141</v>
      </c>
      <c r="C47">
        <v>23</v>
      </c>
      <c r="D47">
        <v>20</v>
      </c>
      <c r="E47">
        <v>22</v>
      </c>
      <c r="F47">
        <v>22</v>
      </c>
      <c r="G47">
        <v>20</v>
      </c>
      <c r="H47">
        <v>11</v>
      </c>
      <c r="I47">
        <v>20</v>
      </c>
      <c r="J47">
        <v>20</v>
      </c>
      <c r="K47">
        <v>22</v>
      </c>
      <c r="L47">
        <v>20</v>
      </c>
      <c r="M47">
        <v>21</v>
      </c>
      <c r="N47">
        <v>21</v>
      </c>
    </row>
    <row r="48" spans="2:14" x14ac:dyDescent="0.2">
      <c r="B48" t="s">
        <v>1114</v>
      </c>
      <c r="C48">
        <v>7969.6306399999994</v>
      </c>
      <c r="D48">
        <v>7276.6192799999999</v>
      </c>
      <c r="E48">
        <v>8004.2812080000003</v>
      </c>
      <c r="F48">
        <v>8004.2812080000003</v>
      </c>
      <c r="G48">
        <v>7276.6192799999999</v>
      </c>
      <c r="H48">
        <v>4002.1406040000002</v>
      </c>
      <c r="I48">
        <v>7276.6192799999999</v>
      </c>
      <c r="J48">
        <v>7276.6192799999999</v>
      </c>
      <c r="K48">
        <v>8004.2812080000003</v>
      </c>
      <c r="L48">
        <v>7276.6192799999999</v>
      </c>
      <c r="M48">
        <v>7640.4502439999997</v>
      </c>
      <c r="N48">
        <v>7640.4502439999997</v>
      </c>
    </row>
    <row r="49" spans="2:14" x14ac:dyDescent="0.2">
      <c r="B49" t="s">
        <v>165</v>
      </c>
      <c r="C49">
        <f>(C48*0.08)</f>
        <v>637.57045119999998</v>
      </c>
      <c r="D49">
        <f t="shared" ref="D49:N49" si="12">(D48*0.08)</f>
        <v>582.12954239999999</v>
      </c>
      <c r="E49">
        <f t="shared" si="12"/>
        <v>640.34249664000004</v>
      </c>
      <c r="F49">
        <f t="shared" si="12"/>
        <v>640.34249664000004</v>
      </c>
      <c r="G49">
        <f t="shared" si="12"/>
        <v>582.12954239999999</v>
      </c>
      <c r="H49">
        <f t="shared" si="12"/>
        <v>320.17124832000002</v>
      </c>
      <c r="I49">
        <f t="shared" si="12"/>
        <v>582.12954239999999</v>
      </c>
      <c r="J49">
        <f t="shared" si="12"/>
        <v>582.12954239999999</v>
      </c>
      <c r="K49">
        <f t="shared" si="12"/>
        <v>640.34249664000004</v>
      </c>
      <c r="L49">
        <f t="shared" si="12"/>
        <v>582.12954239999999</v>
      </c>
      <c r="M49">
        <f t="shared" si="12"/>
        <v>611.23601952000001</v>
      </c>
      <c r="N49">
        <f t="shared" si="12"/>
        <v>611.23601952000001</v>
      </c>
    </row>
  </sheetData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DC580-30E9-48BC-B662-88279E170528}">
  <sheetPr codeName="Sheet10">
    <tabColor rgb="FF92D050"/>
  </sheetPr>
  <dimension ref="A1:ES96"/>
  <sheetViews>
    <sheetView topLeftCell="DO1" zoomScale="90" zoomScaleNormal="90" zoomScaleSheetLayoutView="100" workbookViewId="0">
      <pane ySplit="3" topLeftCell="A7" activePane="bottomLeft" state="frozen"/>
      <selection activeCell="G19" sqref="G19"/>
      <selection pane="bottomLeft" activeCell="DV83" sqref="DV83"/>
    </sheetView>
  </sheetViews>
  <sheetFormatPr defaultColWidth="8.85546875" defaultRowHeight="12.75" customHeight="1" outlineLevelCol="1" x14ac:dyDescent="0.2"/>
  <cols>
    <col min="1" max="1" width="12.140625" style="375" hidden="1" customWidth="1" outlineLevel="1"/>
    <col min="2" max="2" width="20.28515625" style="375" hidden="1" customWidth="1" outlineLevel="1"/>
    <col min="3" max="3" width="23.85546875" style="375" hidden="1" customWidth="1" outlineLevel="1"/>
    <col min="4" max="5" width="10.140625" style="375" hidden="1" customWidth="1" outlineLevel="1"/>
    <col min="6" max="6" width="10.7109375" style="375" hidden="1" customWidth="1" outlineLevel="1"/>
    <col min="7" max="8" width="10.140625" style="375" hidden="1" customWidth="1" outlineLevel="1"/>
    <col min="9" max="9" width="10.7109375" style="375" hidden="1" customWidth="1" outlineLevel="1"/>
    <col min="10" max="11" width="10.140625" style="375" hidden="1" customWidth="1" outlineLevel="1"/>
    <col min="12" max="12" width="10.7109375" style="375" hidden="1" customWidth="1" outlineLevel="1"/>
    <col min="13" max="14" width="10.140625" style="375" hidden="1" customWidth="1" outlineLevel="1"/>
    <col min="15" max="15" width="10.7109375" style="375" hidden="1" customWidth="1" outlineLevel="1"/>
    <col min="16" max="17" width="10.140625" style="375" hidden="1" customWidth="1" outlineLevel="1"/>
    <col min="18" max="18" width="10.7109375" style="375" hidden="1" customWidth="1" outlineLevel="1"/>
    <col min="19" max="20" width="10.140625" style="375" hidden="1" customWidth="1" outlineLevel="1"/>
    <col min="21" max="21" width="10.7109375" style="375" hidden="1" customWidth="1" outlineLevel="1" collapsed="1"/>
    <col min="22" max="33" width="10.140625" style="375" hidden="1" customWidth="1" outlineLevel="1"/>
    <col min="34" max="36" width="11.85546875" style="375" hidden="1" customWidth="1" outlineLevel="1"/>
    <col min="37" max="38" width="10.140625" style="375" hidden="1" customWidth="1" outlineLevel="1"/>
    <col min="39" max="39" width="11.28515625" style="375" hidden="1" customWidth="1" outlineLevel="1"/>
    <col min="40" max="40" width="11" style="375" hidden="1" customWidth="1" outlineLevel="1"/>
    <col min="41" max="41" width="11.28515625" style="375" hidden="1" customWidth="1" outlineLevel="1"/>
    <col min="42" max="42" width="11.5703125" style="375" hidden="1" customWidth="1" outlineLevel="1"/>
    <col min="43" max="43" width="10.28515625" style="375" hidden="1" customWidth="1" outlineLevel="1"/>
    <col min="44" max="44" width="10.42578125" style="375" hidden="1" customWidth="1" outlineLevel="1"/>
    <col min="45" max="45" width="11.5703125" style="375" hidden="1" customWidth="1" outlineLevel="1"/>
    <col min="46" max="46" width="10.140625" style="375" hidden="1" customWidth="1" outlineLevel="1"/>
    <col min="47" max="47" width="18.5703125" style="375" hidden="1" customWidth="1" outlineLevel="1"/>
    <col min="48" max="48" width="16.85546875" style="375" hidden="1" customWidth="1" outlineLevel="1"/>
    <col min="49" max="49" width="21.140625" style="375" hidden="1" customWidth="1" outlineLevel="1"/>
    <col min="50" max="86" width="11.5703125" style="375" hidden="1" customWidth="1" outlineLevel="1"/>
    <col min="87" max="87" width="32.7109375" style="375" hidden="1" customWidth="1" outlineLevel="1"/>
    <col min="88" max="88" width="8.85546875" style="375" hidden="1" customWidth="1" outlineLevel="1" collapsed="1"/>
    <col min="89" max="89" width="12.140625" style="375" hidden="1" customWidth="1" outlineLevel="1"/>
    <col min="90" max="90" width="38.42578125" style="375" hidden="1" customWidth="1" outlineLevel="1"/>
    <col min="91" max="91" width="12" style="375" hidden="1" customWidth="1" outlineLevel="1"/>
    <col min="92" max="95" width="11.5703125" style="375" hidden="1" customWidth="1" outlineLevel="1"/>
    <col min="96" max="96" width="13.5703125" style="375" hidden="1" customWidth="1" outlineLevel="1"/>
    <col min="97" max="97" width="11.5703125" style="375" hidden="1" customWidth="1" outlineLevel="1"/>
    <col min="98" max="98" width="12.28515625" style="375" hidden="1" customWidth="1" outlineLevel="1"/>
    <col min="99" max="102" width="11.5703125" style="375" hidden="1" customWidth="1" outlineLevel="1"/>
    <col min="103" max="103" width="13.5703125" style="375" hidden="1" customWidth="1" outlineLevel="1"/>
    <col min="104" max="104" width="8.85546875" style="375" hidden="1" customWidth="1" outlineLevel="1"/>
    <col min="105" max="106" width="12" style="375" hidden="1" customWidth="1" outlineLevel="1"/>
    <col min="107" max="109" width="11.7109375" style="375" hidden="1" customWidth="1" outlineLevel="1"/>
    <col min="110" max="110" width="12" style="375" hidden="1" customWidth="1" outlineLevel="1"/>
    <col min="111" max="111" width="11.7109375" style="375" hidden="1" customWidth="1" outlineLevel="1"/>
    <col min="112" max="112" width="12.140625" style="375" hidden="1" customWidth="1" outlineLevel="1"/>
    <col min="113" max="115" width="11.7109375" style="375" hidden="1" customWidth="1" outlineLevel="1"/>
    <col min="116" max="117" width="13.7109375" style="375" hidden="1" customWidth="1" outlineLevel="1"/>
    <col min="118" max="118" width="11" style="375" hidden="1" customWidth="1" outlineLevel="1"/>
    <col min="119" max="119" width="31.28515625" style="375" bestFit="1" customWidth="1" collapsed="1"/>
    <col min="120" max="120" width="12.140625" style="375" customWidth="1"/>
    <col min="121" max="121" width="38.42578125" style="375" bestFit="1" customWidth="1"/>
    <col min="122" max="122" width="12.7109375" style="375" bestFit="1" customWidth="1"/>
    <col min="123" max="123" width="12.7109375" style="375" customWidth="1"/>
    <col min="124" max="133" width="11.7109375" style="375" customWidth="1"/>
    <col min="134" max="134" width="6.28515625" style="375" customWidth="1"/>
    <col min="135" max="135" width="13.5703125" style="375" customWidth="1"/>
    <col min="136" max="136" width="8.85546875" style="375"/>
    <col min="137" max="138" width="12.5703125" style="375" bestFit="1" customWidth="1"/>
    <col min="139" max="140" width="11.7109375" style="375" customWidth="1"/>
    <col min="141" max="141" width="11.7109375" style="375" bestFit="1" customWidth="1"/>
    <col min="142" max="142" width="12" style="375" bestFit="1" customWidth="1"/>
    <col min="143" max="143" width="11.7109375" style="375" bestFit="1" customWidth="1"/>
    <col min="144" max="144" width="12.140625" style="375" bestFit="1" customWidth="1"/>
    <col min="145" max="147" width="11.7109375" style="375" bestFit="1" customWidth="1"/>
    <col min="148" max="149" width="13.7109375" style="375" bestFit="1" customWidth="1"/>
    <col min="150" max="16384" width="8.85546875" style="375"/>
  </cols>
  <sheetData>
    <row r="1" spans="1:149" ht="12.75" customHeight="1" thickBot="1" x14ac:dyDescent="0.25">
      <c r="CJ1" s="389">
        <v>46054</v>
      </c>
      <c r="CK1" s="389"/>
      <c r="CL1" s="359" t="s">
        <v>925</v>
      </c>
      <c r="DO1" s="389">
        <v>46235</v>
      </c>
      <c r="DP1" s="389"/>
      <c r="DQ1" s="359" t="s">
        <v>925</v>
      </c>
    </row>
    <row r="2" spans="1:149" ht="13.5" thickBot="1" x14ac:dyDescent="0.25">
      <c r="D2" s="716">
        <v>45108</v>
      </c>
      <c r="E2" s="710"/>
      <c r="F2" s="710"/>
      <c r="G2" s="710">
        <v>45139</v>
      </c>
      <c r="H2" s="710"/>
      <c r="I2" s="710"/>
      <c r="J2" s="710">
        <v>45170</v>
      </c>
      <c r="K2" s="710"/>
      <c r="L2" s="710"/>
      <c r="M2" s="710">
        <v>45200</v>
      </c>
      <c r="N2" s="710"/>
      <c r="O2" s="710"/>
      <c r="P2" s="710">
        <v>45231</v>
      </c>
      <c r="Q2" s="710"/>
      <c r="R2" s="710"/>
      <c r="S2" s="710">
        <v>45261</v>
      </c>
      <c r="T2" s="710"/>
      <c r="U2" s="710"/>
      <c r="V2" s="710">
        <v>45292</v>
      </c>
      <c r="W2" s="710"/>
      <c r="X2" s="710"/>
      <c r="Y2" s="710">
        <v>45323</v>
      </c>
      <c r="Z2" s="710"/>
      <c r="AA2" s="710"/>
      <c r="AB2" s="710">
        <v>45352</v>
      </c>
      <c r="AC2" s="710"/>
      <c r="AD2" s="710"/>
      <c r="AE2" s="710">
        <v>45383</v>
      </c>
      <c r="AF2" s="710"/>
      <c r="AG2" s="710"/>
      <c r="AH2" s="710">
        <v>45413</v>
      </c>
      <c r="AI2" s="710"/>
      <c r="AJ2" s="710"/>
      <c r="AK2" s="710">
        <v>45444</v>
      </c>
      <c r="AL2" s="710"/>
      <c r="AM2" s="711"/>
      <c r="AS2" s="376"/>
      <c r="AT2" s="712" t="s">
        <v>3</v>
      </c>
      <c r="AU2" s="713"/>
      <c r="AV2" s="377"/>
      <c r="AW2" s="377"/>
      <c r="AX2" s="714">
        <v>45474</v>
      </c>
      <c r="AY2" s="715"/>
      <c r="AZ2" s="713"/>
      <c r="BA2" s="714">
        <v>45505</v>
      </c>
      <c r="BB2" s="715"/>
      <c r="BC2" s="713"/>
      <c r="BD2" s="714">
        <v>45536</v>
      </c>
      <c r="BE2" s="715"/>
      <c r="BF2" s="713"/>
      <c r="BG2" s="714">
        <v>45566</v>
      </c>
      <c r="BH2" s="715"/>
      <c r="BI2" s="713"/>
      <c r="BJ2" s="714">
        <v>45597</v>
      </c>
      <c r="BK2" s="715"/>
      <c r="BL2" s="713"/>
      <c r="BM2" s="714">
        <v>45627</v>
      </c>
      <c r="BN2" s="715"/>
      <c r="BO2" s="715"/>
      <c r="BP2" s="714">
        <v>45658</v>
      </c>
      <c r="BQ2" s="715"/>
      <c r="BR2" s="713"/>
      <c r="BS2" s="714">
        <v>45689</v>
      </c>
      <c r="BT2" s="715"/>
      <c r="BU2" s="715"/>
      <c r="BV2" s="714">
        <v>45717</v>
      </c>
      <c r="BW2" s="715"/>
      <c r="BX2" s="713"/>
      <c r="BY2" s="720">
        <v>45748</v>
      </c>
      <c r="BZ2" s="715"/>
      <c r="CA2" s="715"/>
      <c r="CB2" s="714">
        <v>45778</v>
      </c>
      <c r="CC2" s="715"/>
      <c r="CD2" s="713"/>
      <c r="CE2" s="714">
        <v>45809</v>
      </c>
      <c r="CF2" s="715"/>
      <c r="CG2" s="713"/>
      <c r="CH2" s="378"/>
      <c r="CJ2" s="717" t="s">
        <v>188</v>
      </c>
      <c r="CK2" s="718"/>
      <c r="CL2" s="719"/>
      <c r="CM2" s="392">
        <v>45839</v>
      </c>
      <c r="CN2" s="392">
        <v>45870</v>
      </c>
      <c r="CO2" s="392">
        <v>45901</v>
      </c>
      <c r="CP2" s="392">
        <v>45931</v>
      </c>
      <c r="CQ2" s="392">
        <v>45962</v>
      </c>
      <c r="CR2" s="392">
        <v>45992</v>
      </c>
      <c r="CS2" s="392">
        <v>46023</v>
      </c>
      <c r="CT2" s="392">
        <v>46054</v>
      </c>
      <c r="CU2" s="392">
        <v>46082</v>
      </c>
      <c r="CV2" s="392">
        <v>46113</v>
      </c>
      <c r="CW2" s="392">
        <v>46143</v>
      </c>
      <c r="CX2" s="392">
        <v>46174</v>
      </c>
      <c r="CY2" s="393" t="s">
        <v>929</v>
      </c>
      <c r="CZ2" s="388"/>
      <c r="DA2" s="392">
        <v>45839</v>
      </c>
      <c r="DB2" s="392">
        <v>45870</v>
      </c>
      <c r="DC2" s="392">
        <v>45901</v>
      </c>
      <c r="DD2" s="392">
        <v>45931</v>
      </c>
      <c r="DE2" s="392">
        <v>45962</v>
      </c>
      <c r="DF2" s="392">
        <v>45992</v>
      </c>
      <c r="DG2" s="392">
        <v>46023</v>
      </c>
      <c r="DH2" s="392">
        <v>46054</v>
      </c>
      <c r="DI2" s="392">
        <v>46082</v>
      </c>
      <c r="DJ2" s="392">
        <v>46113</v>
      </c>
      <c r="DK2" s="392">
        <v>46143</v>
      </c>
      <c r="DL2" s="392">
        <v>46174</v>
      </c>
      <c r="DM2" s="393" t="s">
        <v>929</v>
      </c>
      <c r="DO2" s="717" t="s">
        <v>188</v>
      </c>
      <c r="DP2" s="718"/>
      <c r="DQ2" s="719"/>
      <c r="DR2" s="392">
        <v>46204</v>
      </c>
      <c r="DS2" s="392">
        <v>46235</v>
      </c>
      <c r="DT2" s="392">
        <v>46266</v>
      </c>
      <c r="DU2" s="392">
        <v>46296</v>
      </c>
      <c r="DV2" s="392">
        <v>46327</v>
      </c>
      <c r="DW2" s="392">
        <v>46357</v>
      </c>
      <c r="DX2" s="392">
        <v>46388</v>
      </c>
      <c r="DY2" s="392">
        <v>46419</v>
      </c>
      <c r="DZ2" s="392">
        <v>46447</v>
      </c>
      <c r="EA2" s="392">
        <v>46478</v>
      </c>
      <c r="EB2" s="392">
        <v>46508</v>
      </c>
      <c r="EC2" s="392">
        <v>46539</v>
      </c>
      <c r="ED2" s="392" t="s">
        <v>1336</v>
      </c>
      <c r="EE2" s="393" t="s">
        <v>1200</v>
      </c>
      <c r="EF2" s="388"/>
      <c r="EG2" s="392">
        <f t="shared" ref="EG2:ER2" si="0">DR2</f>
        <v>46204</v>
      </c>
      <c r="EH2" s="392">
        <f t="shared" si="0"/>
        <v>46235</v>
      </c>
      <c r="EI2" s="392">
        <f t="shared" si="0"/>
        <v>46266</v>
      </c>
      <c r="EJ2" s="392">
        <f t="shared" si="0"/>
        <v>46296</v>
      </c>
      <c r="EK2" s="392">
        <f t="shared" si="0"/>
        <v>46327</v>
      </c>
      <c r="EL2" s="392">
        <f t="shared" si="0"/>
        <v>46357</v>
      </c>
      <c r="EM2" s="392">
        <f t="shared" si="0"/>
        <v>46388</v>
      </c>
      <c r="EN2" s="392">
        <f t="shared" si="0"/>
        <v>46419</v>
      </c>
      <c r="EO2" s="392">
        <f t="shared" si="0"/>
        <v>46447</v>
      </c>
      <c r="EP2" s="392">
        <f t="shared" si="0"/>
        <v>46478</v>
      </c>
      <c r="EQ2" s="392">
        <f t="shared" si="0"/>
        <v>46508</v>
      </c>
      <c r="ER2" s="392">
        <f t="shared" si="0"/>
        <v>46539</v>
      </c>
      <c r="ES2" s="393" t="s">
        <v>1200</v>
      </c>
    </row>
    <row r="3" spans="1:149" s="379" customFormat="1" ht="14.45" customHeight="1" x14ac:dyDescent="0.2">
      <c r="A3" s="390" t="s">
        <v>253</v>
      </c>
      <c r="B3" s="390" t="s">
        <v>261</v>
      </c>
      <c r="C3" s="390" t="s">
        <v>262</v>
      </c>
      <c r="D3" s="402" t="s">
        <v>263</v>
      </c>
      <c r="E3" s="402" t="s">
        <v>264</v>
      </c>
      <c r="F3" s="402" t="s">
        <v>28</v>
      </c>
      <c r="G3" s="402" t="s">
        <v>263</v>
      </c>
      <c r="H3" s="402" t="s">
        <v>264</v>
      </c>
      <c r="I3" s="402" t="s">
        <v>28</v>
      </c>
      <c r="J3" s="402" t="s">
        <v>263</v>
      </c>
      <c r="K3" s="402" t="s">
        <v>264</v>
      </c>
      <c r="L3" s="402" t="s">
        <v>28</v>
      </c>
      <c r="M3" s="402" t="s">
        <v>263</v>
      </c>
      <c r="N3" s="402" t="s">
        <v>264</v>
      </c>
      <c r="O3" s="402" t="s">
        <v>28</v>
      </c>
      <c r="P3" s="402" t="s">
        <v>263</v>
      </c>
      <c r="Q3" s="402" t="s">
        <v>264</v>
      </c>
      <c r="R3" s="402" t="s">
        <v>28</v>
      </c>
      <c r="S3" s="402" t="s">
        <v>263</v>
      </c>
      <c r="T3" s="402" t="s">
        <v>264</v>
      </c>
      <c r="U3" s="402" t="s">
        <v>28</v>
      </c>
      <c r="V3" s="402" t="s">
        <v>263</v>
      </c>
      <c r="W3" s="402" t="s">
        <v>264</v>
      </c>
      <c r="X3" s="402" t="s">
        <v>28</v>
      </c>
      <c r="Y3" s="402" t="s">
        <v>263</v>
      </c>
      <c r="Z3" s="402" t="s">
        <v>264</v>
      </c>
      <c r="AA3" s="402" t="s">
        <v>28</v>
      </c>
      <c r="AB3" s="402" t="s">
        <v>263</v>
      </c>
      <c r="AC3" s="402" t="s">
        <v>264</v>
      </c>
      <c r="AD3" s="402" t="s">
        <v>28</v>
      </c>
      <c r="AE3" s="402" t="s">
        <v>263</v>
      </c>
      <c r="AF3" s="402" t="s">
        <v>264</v>
      </c>
      <c r="AG3" s="402" t="s">
        <v>28</v>
      </c>
      <c r="AH3" s="402" t="s">
        <v>263</v>
      </c>
      <c r="AI3" s="402" t="s">
        <v>264</v>
      </c>
      <c r="AJ3" s="402" t="s">
        <v>28</v>
      </c>
      <c r="AK3" s="402" t="s">
        <v>263</v>
      </c>
      <c r="AL3" s="402" t="s">
        <v>264</v>
      </c>
      <c r="AM3" s="402" t="s">
        <v>28</v>
      </c>
      <c r="AN3" s="390" t="s">
        <v>265</v>
      </c>
      <c r="AO3" s="390" t="s">
        <v>266</v>
      </c>
      <c r="AP3" s="390" t="s">
        <v>267</v>
      </c>
      <c r="AQ3" s="390" t="s">
        <v>268</v>
      </c>
      <c r="AR3" s="391" t="s">
        <v>28</v>
      </c>
      <c r="AS3" s="403"/>
      <c r="AT3" s="390" t="s">
        <v>253</v>
      </c>
      <c r="AU3" s="390" t="s">
        <v>261</v>
      </c>
      <c r="AV3" s="402" t="s">
        <v>261</v>
      </c>
      <c r="AW3" s="402" t="s">
        <v>269</v>
      </c>
      <c r="AX3" s="402" t="s">
        <v>263</v>
      </c>
      <c r="AY3" s="402" t="s">
        <v>264</v>
      </c>
      <c r="AZ3" s="402" t="s">
        <v>28</v>
      </c>
      <c r="BA3" s="402" t="s">
        <v>263</v>
      </c>
      <c r="BB3" s="402" t="s">
        <v>264</v>
      </c>
      <c r="BC3" s="402" t="s">
        <v>28</v>
      </c>
      <c r="BD3" s="402" t="s">
        <v>263</v>
      </c>
      <c r="BE3" s="402" t="s">
        <v>264</v>
      </c>
      <c r="BF3" s="402" t="s">
        <v>28</v>
      </c>
      <c r="BG3" s="402" t="s">
        <v>263</v>
      </c>
      <c r="BH3" s="402" t="s">
        <v>264</v>
      </c>
      <c r="BI3" s="404" t="s">
        <v>28</v>
      </c>
      <c r="BJ3" s="402" t="s">
        <v>263</v>
      </c>
      <c r="BK3" s="402" t="s">
        <v>264</v>
      </c>
      <c r="BL3" s="402" t="s">
        <v>28</v>
      </c>
      <c r="BM3" s="405" t="s">
        <v>263</v>
      </c>
      <c r="BN3" s="402" t="s">
        <v>264</v>
      </c>
      <c r="BO3" s="402" t="s">
        <v>28</v>
      </c>
      <c r="BP3" s="402" t="s">
        <v>263</v>
      </c>
      <c r="BQ3" s="402" t="s">
        <v>264</v>
      </c>
      <c r="BR3" s="402" t="s">
        <v>28</v>
      </c>
      <c r="BS3" s="402" t="s">
        <v>263</v>
      </c>
      <c r="BT3" s="402" t="s">
        <v>264</v>
      </c>
      <c r="BU3" s="404" t="s">
        <v>28</v>
      </c>
      <c r="BV3" s="402" t="s">
        <v>263</v>
      </c>
      <c r="BW3" s="402" t="s">
        <v>264</v>
      </c>
      <c r="BX3" s="402" t="s">
        <v>28</v>
      </c>
      <c r="BY3" s="405" t="s">
        <v>263</v>
      </c>
      <c r="BZ3" s="402" t="s">
        <v>264</v>
      </c>
      <c r="CA3" s="404" t="s">
        <v>28</v>
      </c>
      <c r="CB3" s="402" t="s">
        <v>263</v>
      </c>
      <c r="CC3" s="402" t="s">
        <v>264</v>
      </c>
      <c r="CD3" s="402" t="s">
        <v>28</v>
      </c>
      <c r="CE3" s="402" t="s">
        <v>263</v>
      </c>
      <c r="CF3" s="402" t="s">
        <v>264</v>
      </c>
      <c r="CG3" s="402" t="s">
        <v>28</v>
      </c>
      <c r="CH3" s="406" t="s">
        <v>270</v>
      </c>
      <c r="CJ3" s="390" t="s">
        <v>915</v>
      </c>
      <c r="CK3" s="390" t="s">
        <v>253</v>
      </c>
      <c r="CL3" s="390" t="s">
        <v>928</v>
      </c>
      <c r="CM3" s="394" t="s">
        <v>931</v>
      </c>
      <c r="CN3" s="394" t="s">
        <v>931</v>
      </c>
      <c r="CO3" s="394" t="s">
        <v>931</v>
      </c>
      <c r="CP3" s="394" t="s">
        <v>931</v>
      </c>
      <c r="CQ3" s="394" t="s">
        <v>931</v>
      </c>
      <c r="CR3" s="394" t="s">
        <v>931</v>
      </c>
      <c r="CS3" s="394" t="s">
        <v>931</v>
      </c>
      <c r="CT3" s="394" t="s">
        <v>931</v>
      </c>
      <c r="CU3" s="394" t="s">
        <v>931</v>
      </c>
      <c r="CV3" s="394" t="s">
        <v>931</v>
      </c>
      <c r="CW3" s="394" t="s">
        <v>931</v>
      </c>
      <c r="CX3" s="394" t="s">
        <v>931</v>
      </c>
      <c r="CY3" s="394" t="s">
        <v>931</v>
      </c>
      <c r="DA3" s="575" t="s">
        <v>264</v>
      </c>
      <c r="DB3" s="575" t="s">
        <v>264</v>
      </c>
      <c r="DC3" s="575" t="s">
        <v>264</v>
      </c>
      <c r="DD3" s="575" t="s">
        <v>264</v>
      </c>
      <c r="DE3" s="575" t="s">
        <v>264</v>
      </c>
      <c r="DF3" s="575" t="s">
        <v>264</v>
      </c>
      <c r="DG3" s="575" t="s">
        <v>264</v>
      </c>
      <c r="DH3" s="575" t="s">
        <v>264</v>
      </c>
      <c r="DI3" s="575" t="s">
        <v>264</v>
      </c>
      <c r="DJ3" s="575" t="s">
        <v>264</v>
      </c>
      <c r="DK3" s="394" t="s">
        <v>263</v>
      </c>
      <c r="DL3" s="394" t="s">
        <v>263</v>
      </c>
      <c r="DM3" s="394" t="s">
        <v>263</v>
      </c>
      <c r="DN3" s="359" t="s">
        <v>924</v>
      </c>
      <c r="DO3" s="390" t="s">
        <v>915</v>
      </c>
      <c r="DP3" s="390" t="s">
        <v>253</v>
      </c>
      <c r="DQ3" s="390" t="s">
        <v>928</v>
      </c>
      <c r="DR3" s="394" t="s">
        <v>931</v>
      </c>
      <c r="DS3" s="394" t="s">
        <v>931</v>
      </c>
      <c r="DT3" s="394" t="s">
        <v>931</v>
      </c>
      <c r="DU3" s="394" t="s">
        <v>931</v>
      </c>
      <c r="DV3" s="394" t="s">
        <v>931</v>
      </c>
      <c r="DW3" s="394" t="s">
        <v>931</v>
      </c>
      <c r="DX3" s="394" t="s">
        <v>931</v>
      </c>
      <c r="DY3" s="394" t="s">
        <v>931</v>
      </c>
      <c r="DZ3" s="394" t="s">
        <v>931</v>
      </c>
      <c r="EA3" s="394" t="s">
        <v>931</v>
      </c>
      <c r="EB3" s="394" t="s">
        <v>931</v>
      </c>
      <c r="EC3" s="394" t="s">
        <v>931</v>
      </c>
      <c r="ED3" s="394" t="s">
        <v>931</v>
      </c>
      <c r="EE3" s="394" t="s">
        <v>931</v>
      </c>
      <c r="EG3" s="394" t="s">
        <v>264</v>
      </c>
      <c r="EH3" s="394" t="s">
        <v>263</v>
      </c>
      <c r="EI3" s="394" t="s">
        <v>263</v>
      </c>
      <c r="EJ3" s="394" t="s">
        <v>263</v>
      </c>
      <c r="EK3" s="394" t="s">
        <v>263</v>
      </c>
      <c r="EL3" s="394" t="s">
        <v>263</v>
      </c>
      <c r="EM3" s="394" t="s">
        <v>263</v>
      </c>
      <c r="EN3" s="394" t="s">
        <v>263</v>
      </c>
      <c r="EO3" s="394" t="s">
        <v>263</v>
      </c>
      <c r="EP3" s="394" t="s">
        <v>263</v>
      </c>
      <c r="EQ3" s="394" t="s">
        <v>263</v>
      </c>
      <c r="ER3" s="394" t="s">
        <v>263</v>
      </c>
      <c r="ES3" s="394" t="s">
        <v>263</v>
      </c>
    </row>
    <row r="4" spans="1:149" x14ac:dyDescent="0.2">
      <c r="A4" s="407" t="s">
        <v>171</v>
      </c>
      <c r="B4" s="395" t="s">
        <v>271</v>
      </c>
      <c r="C4" s="408" t="s">
        <v>272</v>
      </c>
      <c r="D4" s="409">
        <v>4000</v>
      </c>
      <c r="E4" s="410"/>
      <c r="F4" s="411"/>
      <c r="G4" s="409"/>
      <c r="H4" s="410"/>
      <c r="I4" s="411"/>
      <c r="J4" s="409"/>
      <c r="K4" s="410"/>
      <c r="L4" s="411"/>
      <c r="M4" s="409"/>
      <c r="N4" s="410"/>
      <c r="O4" s="411"/>
      <c r="P4" s="409"/>
      <c r="Q4" s="410"/>
      <c r="R4" s="411"/>
      <c r="S4" s="409"/>
      <c r="T4" s="410"/>
      <c r="U4" s="411"/>
      <c r="V4" s="409"/>
      <c r="W4" s="410"/>
      <c r="X4" s="411">
        <f t="shared" ref="X4:X38" si="1">+W4-V4</f>
        <v>0</v>
      </c>
      <c r="Y4" s="409"/>
      <c r="Z4" s="410"/>
      <c r="AA4" s="411">
        <f t="shared" ref="AA4:AA38" si="2">+Z4-Y4</f>
        <v>0</v>
      </c>
      <c r="AB4" s="409"/>
      <c r="AC4" s="410"/>
      <c r="AD4" s="411">
        <f t="shared" ref="AD4:AD38" si="3">+AC4-AB4</f>
        <v>0</v>
      </c>
      <c r="AE4" s="409">
        <v>3000</v>
      </c>
      <c r="AF4" s="410"/>
      <c r="AG4" s="411">
        <f t="shared" ref="AG4:AG38" si="4">+AF4-AE4</f>
        <v>-3000</v>
      </c>
      <c r="AH4" s="409"/>
      <c r="AI4" s="410"/>
      <c r="AJ4" s="411">
        <f t="shared" ref="AJ4:AJ38" si="5">+AI4-AH4</f>
        <v>0</v>
      </c>
      <c r="AK4" s="409"/>
      <c r="AL4" s="410"/>
      <c r="AM4" s="411">
        <f t="shared" ref="AM4:AM38" si="6">+AL4-AK4</f>
        <v>0</v>
      </c>
      <c r="AN4" s="412">
        <f t="shared" ref="AN4:AN10" si="7">SUMIF($D$3:$U$3,"Actual",$D4:$U4)</f>
        <v>0</v>
      </c>
      <c r="AO4" s="412">
        <f t="shared" ref="AO4:AO39" si="8">SUMIF($V$3:$AM$3,"Actual",$V4:$AM4)</f>
        <v>0</v>
      </c>
      <c r="AP4" s="413">
        <f t="shared" ref="AP4:AP10" si="9">SUMIF($D$3:$AM$3,"Actual",$D4:$AM4)</f>
        <v>0</v>
      </c>
      <c r="AQ4" s="414">
        <f t="shared" ref="AQ4:AQ10" si="10">SUMIF($D$3:$AM$3,"Forecast",$D4:$AM4)</f>
        <v>7000</v>
      </c>
      <c r="AR4" s="414">
        <f t="shared" ref="AR4:AR39" si="11">AP4-AQ4</f>
        <v>-7000</v>
      </c>
      <c r="AS4" s="415"/>
      <c r="AT4" s="413"/>
      <c r="AU4" s="416"/>
      <c r="AV4" s="417"/>
      <c r="AW4" s="417"/>
      <c r="AX4" s="418"/>
      <c r="AY4" s="419"/>
      <c r="AZ4" s="420"/>
      <c r="BA4" s="417"/>
      <c r="BB4" s="417"/>
      <c r="BC4" s="417"/>
      <c r="BD4" s="418"/>
      <c r="BE4" s="419"/>
      <c r="BF4" s="420"/>
      <c r="BG4" s="417"/>
      <c r="BH4" s="417"/>
      <c r="BI4" s="417"/>
      <c r="BJ4" s="414"/>
      <c r="BK4" s="417"/>
      <c r="BL4" s="416"/>
      <c r="BM4" s="417"/>
      <c r="BN4" s="417"/>
      <c r="BO4" s="417"/>
      <c r="BP4" s="418"/>
      <c r="BQ4" s="419"/>
      <c r="BR4" s="420"/>
      <c r="BS4" s="417"/>
      <c r="BT4" s="417"/>
      <c r="BU4" s="417"/>
      <c r="BV4" s="414"/>
      <c r="BW4" s="417"/>
      <c r="BX4" s="416"/>
      <c r="BY4" s="417"/>
      <c r="BZ4" s="417"/>
      <c r="CA4" s="417"/>
      <c r="CB4" s="414"/>
      <c r="CC4" s="417"/>
      <c r="CD4" s="416"/>
      <c r="CE4" s="414"/>
      <c r="CF4" s="417"/>
      <c r="CG4" s="416"/>
      <c r="CH4" s="417"/>
      <c r="CI4" s="421" t="s">
        <v>273</v>
      </c>
      <c r="CJ4" s="422"/>
      <c r="CK4" s="422"/>
      <c r="CL4" s="422"/>
      <c r="CM4" s="503"/>
      <c r="CN4" s="504"/>
      <c r="CO4" s="504"/>
      <c r="CP4" s="504"/>
      <c r="CQ4" s="504"/>
      <c r="CR4" s="504"/>
      <c r="CS4" s="504"/>
      <c r="CT4" s="504"/>
      <c r="CU4" s="504"/>
      <c r="CV4" s="504"/>
      <c r="CW4" s="504"/>
      <c r="CX4" s="504"/>
      <c r="CY4" s="398">
        <f>SUM(CM4:CX4)</f>
        <v>0</v>
      </c>
      <c r="DA4" s="506">
        <f>CM4</f>
        <v>0</v>
      </c>
      <c r="DB4" s="506">
        <f t="shared" ref="DB4:DF19" si="12">CN4</f>
        <v>0</v>
      </c>
      <c r="DC4" s="586">
        <f t="shared" si="12"/>
        <v>0</v>
      </c>
      <c r="DD4" s="506">
        <f t="shared" si="12"/>
        <v>0</v>
      </c>
      <c r="DE4" s="506">
        <f t="shared" si="12"/>
        <v>0</v>
      </c>
      <c r="DF4" s="506">
        <f t="shared" si="12"/>
        <v>0</v>
      </c>
      <c r="DG4" s="506">
        <v>0</v>
      </c>
      <c r="DH4" s="506">
        <v>0</v>
      </c>
      <c r="DI4" s="506">
        <v>0</v>
      </c>
      <c r="DJ4" s="506">
        <v>0</v>
      </c>
      <c r="DK4" s="506">
        <v>0</v>
      </c>
      <c r="DL4" s="506">
        <v>0</v>
      </c>
      <c r="DM4" s="398">
        <f>SUM(DA4:DL4)</f>
        <v>0</v>
      </c>
      <c r="DO4" s="396" t="s">
        <v>919</v>
      </c>
      <c r="DP4" s="396" t="s">
        <v>170</v>
      </c>
      <c r="DQ4" s="396" t="s">
        <v>1381</v>
      </c>
      <c r="DR4" s="504">
        <f>(16288+16288+7417+996.74)/12</f>
        <v>3415.8116666666665</v>
      </c>
      <c r="DS4" s="504">
        <f>DR4</f>
        <v>3415.8116666666665</v>
      </c>
      <c r="DT4" s="504">
        <f t="shared" ref="DT4:EC4" si="13">DS4</f>
        <v>3415.8116666666665</v>
      </c>
      <c r="DU4" s="504">
        <f t="shared" si="13"/>
        <v>3415.8116666666665</v>
      </c>
      <c r="DV4" s="504">
        <f t="shared" si="13"/>
        <v>3415.8116666666665</v>
      </c>
      <c r="DW4" s="504">
        <f t="shared" si="13"/>
        <v>3415.8116666666665</v>
      </c>
      <c r="DX4" s="504">
        <f>DW4-996.74</f>
        <v>2419.0716666666667</v>
      </c>
      <c r="DY4" s="504">
        <f t="shared" si="13"/>
        <v>2419.0716666666667</v>
      </c>
      <c r="DZ4" s="504">
        <f t="shared" si="13"/>
        <v>2419.0716666666667</v>
      </c>
      <c r="EA4" s="504">
        <f t="shared" si="13"/>
        <v>2419.0716666666667</v>
      </c>
      <c r="EB4" s="504">
        <f t="shared" si="13"/>
        <v>2419.0716666666667</v>
      </c>
      <c r="EC4" s="504">
        <f t="shared" si="13"/>
        <v>2419.0716666666667</v>
      </c>
      <c r="ED4" s="561">
        <v>1</v>
      </c>
      <c r="EE4" s="398">
        <f>SUM(DR4:EC4)</f>
        <v>35009.300000000003</v>
      </c>
      <c r="EG4" s="506">
        <v>5983.63</v>
      </c>
      <c r="EH4" s="506">
        <f t="shared" ref="EH4:EH66" si="14">DS4</f>
        <v>3415.8116666666665</v>
      </c>
      <c r="EI4" s="586">
        <f t="shared" ref="EI4:EI66" si="15">DT4</f>
        <v>3415.8116666666665</v>
      </c>
      <c r="EJ4" s="506">
        <f t="shared" ref="EJ4:EJ66" si="16">DU4</f>
        <v>3415.8116666666665</v>
      </c>
      <c r="EK4" s="506">
        <f t="shared" ref="EK4:EK66" si="17">DV4</f>
        <v>3415.8116666666665</v>
      </c>
      <c r="EL4" s="506">
        <f t="shared" ref="EL4:EL66" si="18">DW4</f>
        <v>3415.8116666666665</v>
      </c>
      <c r="EM4" s="506">
        <v>0</v>
      </c>
      <c r="EN4" s="506">
        <v>0</v>
      </c>
      <c r="EO4" s="506">
        <v>0</v>
      </c>
      <c r="EP4" s="506">
        <v>0</v>
      </c>
      <c r="EQ4" s="506">
        <v>0</v>
      </c>
      <c r="ER4" s="506">
        <v>0</v>
      </c>
      <c r="ES4" s="398">
        <f>SUM(EG4:ER4)</f>
        <v>23062.688333333332</v>
      </c>
    </row>
    <row r="5" spans="1:149" x14ac:dyDescent="0.2">
      <c r="A5" s="407" t="s">
        <v>171</v>
      </c>
      <c r="B5" s="395" t="s">
        <v>274</v>
      </c>
      <c r="C5" s="408" t="s">
        <v>275</v>
      </c>
      <c r="D5" s="414"/>
      <c r="E5" s="417"/>
      <c r="F5" s="416">
        <f t="shared" ref="F5:F10" si="19">+E5-D5</f>
        <v>0</v>
      </c>
      <c r="G5" s="414">
        <v>2000</v>
      </c>
      <c r="H5" s="417"/>
      <c r="I5" s="416">
        <f t="shared" ref="I5:I10" si="20">+H5-G5</f>
        <v>-2000</v>
      </c>
      <c r="J5" s="414">
        <v>2000</v>
      </c>
      <c r="K5" s="417"/>
      <c r="L5" s="416">
        <f>+K5-J5</f>
        <v>-2000</v>
      </c>
      <c r="M5" s="414"/>
      <c r="N5" s="417"/>
      <c r="O5" s="416">
        <f>+N5-M5</f>
        <v>0</v>
      </c>
      <c r="P5" s="414"/>
      <c r="Q5" s="417"/>
      <c r="R5" s="416">
        <f>+Q5-P5</f>
        <v>0</v>
      </c>
      <c r="S5" s="414"/>
      <c r="T5" s="417"/>
      <c r="U5" s="416">
        <f>+T5-S5</f>
        <v>0</v>
      </c>
      <c r="V5" s="414"/>
      <c r="W5" s="417"/>
      <c r="X5" s="416">
        <f t="shared" si="1"/>
        <v>0</v>
      </c>
      <c r="Y5" s="414"/>
      <c r="Z5" s="417"/>
      <c r="AA5" s="416">
        <f t="shared" si="2"/>
        <v>0</v>
      </c>
      <c r="AB5" s="414"/>
      <c r="AC5" s="417"/>
      <c r="AD5" s="416">
        <f t="shared" si="3"/>
        <v>0</v>
      </c>
      <c r="AE5" s="414"/>
      <c r="AF5" s="417"/>
      <c r="AG5" s="416">
        <f t="shared" si="4"/>
        <v>0</v>
      </c>
      <c r="AH5" s="414">
        <v>4000</v>
      </c>
      <c r="AI5" s="417"/>
      <c r="AJ5" s="416">
        <f t="shared" si="5"/>
        <v>-4000</v>
      </c>
      <c r="AK5" s="414"/>
      <c r="AL5" s="417"/>
      <c r="AM5" s="416">
        <f t="shared" si="6"/>
        <v>0</v>
      </c>
      <c r="AN5" s="412">
        <f t="shared" si="7"/>
        <v>0</v>
      </c>
      <c r="AO5" s="412">
        <f t="shared" si="8"/>
        <v>0</v>
      </c>
      <c r="AP5" s="413">
        <f t="shared" si="9"/>
        <v>0</v>
      </c>
      <c r="AQ5" s="414">
        <f t="shared" si="10"/>
        <v>8000</v>
      </c>
      <c r="AR5" s="414">
        <f t="shared" si="11"/>
        <v>-8000</v>
      </c>
      <c r="AS5" s="415"/>
      <c r="AT5" s="413"/>
      <c r="AU5" s="416"/>
      <c r="AV5" s="395" t="s">
        <v>274</v>
      </c>
      <c r="AW5" s="395"/>
      <c r="AX5" s="414">
        <v>0</v>
      </c>
      <c r="AY5" s="417"/>
      <c r="AZ5" s="416"/>
      <c r="BA5" s="417">
        <v>0</v>
      </c>
      <c r="BB5" s="417"/>
      <c r="BC5" s="417"/>
      <c r="BD5" s="414">
        <v>0</v>
      </c>
      <c r="BE5" s="417"/>
      <c r="BF5" s="416"/>
      <c r="BG5" s="417">
        <v>0</v>
      </c>
      <c r="BH5" s="417"/>
      <c r="BI5" s="417"/>
      <c r="BJ5" s="414">
        <v>0</v>
      </c>
      <c r="BK5" s="417"/>
      <c r="BL5" s="416"/>
      <c r="BM5" s="417">
        <v>0</v>
      </c>
      <c r="BN5" s="417"/>
      <c r="BO5" s="417"/>
      <c r="BP5" s="414">
        <v>0</v>
      </c>
      <c r="BQ5" s="417"/>
      <c r="BR5" s="416"/>
      <c r="BS5" s="417">
        <v>0</v>
      </c>
      <c r="BT5" s="417"/>
      <c r="BU5" s="417"/>
      <c r="BV5" s="414">
        <v>0</v>
      </c>
      <c r="BW5" s="417"/>
      <c r="BX5" s="416"/>
      <c r="BY5" s="417">
        <v>0</v>
      </c>
      <c r="BZ5" s="417"/>
      <c r="CA5" s="417"/>
      <c r="CB5" s="414">
        <v>0</v>
      </c>
      <c r="CC5" s="417"/>
      <c r="CD5" s="416"/>
      <c r="CE5" s="414">
        <v>0</v>
      </c>
      <c r="CF5" s="417"/>
      <c r="CG5" s="416"/>
      <c r="CH5" s="417">
        <f>SUM(AX5:CE5)</f>
        <v>0</v>
      </c>
      <c r="CI5" s="380" t="s">
        <v>276</v>
      </c>
      <c r="CJ5" s="423" t="s">
        <v>921</v>
      </c>
      <c r="CK5" s="423" t="s">
        <v>170</v>
      </c>
      <c r="CL5" s="423" t="s">
        <v>355</v>
      </c>
      <c r="CM5" s="504"/>
      <c r="CN5" s="504">
        <v>20000</v>
      </c>
      <c r="CO5" s="504"/>
      <c r="CP5" s="504"/>
      <c r="CQ5" s="504"/>
      <c r="CR5" s="504"/>
      <c r="CS5" s="504"/>
      <c r="CT5" s="566">
        <v>10000</v>
      </c>
      <c r="CU5" s="504"/>
      <c r="CV5" s="504"/>
      <c r="CW5" s="504"/>
      <c r="CX5" s="504">
        <v>10000</v>
      </c>
      <c r="CY5" s="399">
        <f t="shared" ref="CY5:CY57" si="21">SUM(CM5:CX5)</f>
        <v>40000</v>
      </c>
      <c r="DA5" s="505">
        <f>939.14+276+276+919.15+483.88+1035.15+1035.15</f>
        <v>4964.47</v>
      </c>
      <c r="DB5" s="505">
        <f>939.14+276+276+919.15+483.88+1035.15+1035.15+824.26</f>
        <v>5788.7300000000005</v>
      </c>
      <c r="DC5" s="587">
        <f>939.14+276+919.15+483.88+1035.15+1035.15+308.16</f>
        <v>4996.63</v>
      </c>
      <c r="DD5" s="505">
        <v>4996.63</v>
      </c>
      <c r="DE5" s="505">
        <v>4996.63</v>
      </c>
      <c r="DF5" s="593">
        <f>937.5+4996.63</f>
        <v>5934.13</v>
      </c>
      <c r="DG5" s="505">
        <f>3718.86+5090.55</f>
        <v>8809.41</v>
      </c>
      <c r="DH5" s="505">
        <v>5090.55</v>
      </c>
      <c r="DI5" s="505">
        <v>0</v>
      </c>
      <c r="DJ5" s="505">
        <v>0</v>
      </c>
      <c r="DK5" s="505">
        <v>0</v>
      </c>
      <c r="DL5" s="505">
        <v>2000</v>
      </c>
      <c r="DM5" s="399">
        <f t="shared" ref="DM5:DM66" si="22">SUM(DA5:DL5)</f>
        <v>47577.180000000008</v>
      </c>
      <c r="DO5" s="396" t="s">
        <v>916</v>
      </c>
      <c r="DP5" s="396" t="s">
        <v>171</v>
      </c>
      <c r="DQ5" s="396" t="s">
        <v>990</v>
      </c>
      <c r="DR5" s="503">
        <v>0</v>
      </c>
      <c r="DS5" s="503">
        <v>0</v>
      </c>
      <c r="DT5" s="503">
        <v>0</v>
      </c>
      <c r="DU5" s="503">
        <v>0</v>
      </c>
      <c r="DV5" s="503">
        <v>0</v>
      </c>
      <c r="DW5" s="503">
        <v>0</v>
      </c>
      <c r="DX5" s="503">
        <v>0</v>
      </c>
      <c r="DY5" s="503">
        <v>0</v>
      </c>
      <c r="DZ5" s="503">
        <v>0</v>
      </c>
      <c r="EA5" s="503">
        <v>0</v>
      </c>
      <c r="EB5" s="503">
        <v>0</v>
      </c>
      <c r="EC5" s="503">
        <v>0</v>
      </c>
      <c r="ED5" s="561">
        <v>0.1</v>
      </c>
      <c r="EE5" s="399">
        <f>SUM(DR5:EC5)</f>
        <v>0</v>
      </c>
      <c r="EG5" s="505">
        <f>DR5</f>
        <v>0</v>
      </c>
      <c r="EH5" s="505">
        <f t="shared" si="14"/>
        <v>0</v>
      </c>
      <c r="EI5" s="505">
        <f t="shared" si="15"/>
        <v>0</v>
      </c>
      <c r="EJ5" s="505">
        <f t="shared" si="16"/>
        <v>0</v>
      </c>
      <c r="EK5" s="505">
        <f t="shared" si="17"/>
        <v>0</v>
      </c>
      <c r="EL5" s="505">
        <f t="shared" si="18"/>
        <v>0</v>
      </c>
      <c r="EM5" s="505">
        <f t="shared" ref="EM5:ER20" si="23">DX5</f>
        <v>0</v>
      </c>
      <c r="EN5" s="505">
        <f t="shared" si="23"/>
        <v>0</v>
      </c>
      <c r="EO5" s="505">
        <f t="shared" si="23"/>
        <v>0</v>
      </c>
      <c r="EP5" s="505">
        <f t="shared" si="23"/>
        <v>0</v>
      </c>
      <c r="EQ5" s="505">
        <f t="shared" si="23"/>
        <v>0</v>
      </c>
      <c r="ER5" s="505">
        <f t="shared" si="23"/>
        <v>0</v>
      </c>
      <c r="ES5" s="399">
        <f t="shared" ref="ES5:ES55" si="24">SUM(EG5:ER5)</f>
        <v>0</v>
      </c>
    </row>
    <row r="6" spans="1:149" x14ac:dyDescent="0.2">
      <c r="A6" s="407" t="s">
        <v>171</v>
      </c>
      <c r="B6" s="395" t="s">
        <v>277</v>
      </c>
      <c r="C6" s="424" t="s">
        <v>278</v>
      </c>
      <c r="D6" s="414"/>
      <c r="E6" s="417"/>
      <c r="F6" s="416">
        <f t="shared" si="19"/>
        <v>0</v>
      </c>
      <c r="G6" s="414">
        <v>3000</v>
      </c>
      <c r="H6" s="417"/>
      <c r="I6" s="416">
        <f t="shared" si="20"/>
        <v>-3000</v>
      </c>
      <c r="J6" s="414"/>
      <c r="K6" s="417"/>
      <c r="L6" s="416">
        <f>+K6-J6</f>
        <v>0</v>
      </c>
      <c r="M6" s="414"/>
      <c r="N6" s="417"/>
      <c r="O6" s="416">
        <f>+N6-M6</f>
        <v>0</v>
      </c>
      <c r="P6" s="414"/>
      <c r="Q6" s="417"/>
      <c r="R6" s="416">
        <f>+Q6-P6</f>
        <v>0</v>
      </c>
      <c r="S6" s="414">
        <v>5000</v>
      </c>
      <c r="T6" s="417"/>
      <c r="U6" s="416">
        <f>+T6-S6</f>
        <v>-5000</v>
      </c>
      <c r="V6" s="414"/>
      <c r="W6" s="417"/>
      <c r="X6" s="416">
        <f t="shared" si="1"/>
        <v>0</v>
      </c>
      <c r="Y6" s="414"/>
      <c r="Z6" s="417"/>
      <c r="AA6" s="416">
        <f t="shared" si="2"/>
        <v>0</v>
      </c>
      <c r="AB6" s="414"/>
      <c r="AC6" s="417"/>
      <c r="AD6" s="416">
        <f t="shared" si="3"/>
        <v>0</v>
      </c>
      <c r="AE6" s="414"/>
      <c r="AF6" s="417"/>
      <c r="AG6" s="416">
        <f t="shared" si="4"/>
        <v>0</v>
      </c>
      <c r="AH6" s="414"/>
      <c r="AI6" s="417"/>
      <c r="AJ6" s="416">
        <f t="shared" si="5"/>
        <v>0</v>
      </c>
      <c r="AK6" s="414">
        <v>5000</v>
      </c>
      <c r="AL6" s="417"/>
      <c r="AM6" s="416">
        <f t="shared" si="6"/>
        <v>-5000</v>
      </c>
      <c r="AN6" s="412">
        <f t="shared" si="7"/>
        <v>0</v>
      </c>
      <c r="AO6" s="412">
        <f t="shared" si="8"/>
        <v>0</v>
      </c>
      <c r="AP6" s="413">
        <f t="shared" si="9"/>
        <v>0</v>
      </c>
      <c r="AQ6" s="414">
        <f t="shared" si="10"/>
        <v>13000</v>
      </c>
      <c r="AR6" s="414">
        <f t="shared" si="11"/>
        <v>-13000</v>
      </c>
      <c r="AS6" s="415"/>
      <c r="AT6" s="413"/>
      <c r="AU6" s="416"/>
      <c r="AV6" s="395" t="s">
        <v>277</v>
      </c>
      <c r="AW6" s="395"/>
      <c r="AX6" s="414"/>
      <c r="AY6" s="417"/>
      <c r="AZ6" s="416" t="s">
        <v>279</v>
      </c>
      <c r="BA6" s="417"/>
      <c r="BB6" s="417"/>
      <c r="BC6" s="417"/>
      <c r="BD6" s="414"/>
      <c r="BE6" s="417"/>
      <c r="BF6" s="416"/>
      <c r="BG6" s="417"/>
      <c r="BH6" s="417"/>
      <c r="BI6" s="417"/>
      <c r="BJ6" s="414"/>
      <c r="BK6" s="417"/>
      <c r="BL6" s="416"/>
      <c r="BM6" s="417"/>
      <c r="BN6" s="417"/>
      <c r="BO6" s="417"/>
      <c r="BP6" s="414"/>
      <c r="BQ6" s="417"/>
      <c r="BR6" s="416"/>
      <c r="BS6" s="417"/>
      <c r="BT6" s="417"/>
      <c r="BU6" s="417"/>
      <c r="BV6" s="414"/>
      <c r="BW6" s="417"/>
      <c r="BX6" s="416"/>
      <c r="BY6" s="417"/>
      <c r="BZ6" s="417"/>
      <c r="CA6" s="417"/>
      <c r="CB6" s="414"/>
      <c r="CC6" s="417"/>
      <c r="CD6" s="416"/>
      <c r="CE6" s="414"/>
      <c r="CF6" s="417"/>
      <c r="CG6" s="416"/>
      <c r="CH6" s="417">
        <f t="shared" ref="CH6:CH58" si="25">SUM(AX6:CE6)</f>
        <v>0</v>
      </c>
      <c r="CI6" s="381" t="s">
        <v>280</v>
      </c>
      <c r="CJ6" s="423"/>
      <c r="CK6" s="423" t="s">
        <v>171</v>
      </c>
      <c r="CL6" s="423" t="s">
        <v>988</v>
      </c>
      <c r="CM6" s="566">
        <v>500</v>
      </c>
      <c r="CN6" s="504"/>
      <c r="CO6" s="504"/>
      <c r="CP6" s="504"/>
      <c r="CQ6" s="504"/>
      <c r="CR6" s="504"/>
      <c r="CS6" s="504"/>
      <c r="CT6" s="504"/>
      <c r="CU6" s="504"/>
      <c r="CV6" s="504"/>
      <c r="CW6" s="504"/>
      <c r="CX6" s="504"/>
      <c r="CY6" s="399">
        <f t="shared" si="21"/>
        <v>500</v>
      </c>
      <c r="DA6" s="505">
        <v>0</v>
      </c>
      <c r="DB6" s="505">
        <f t="shared" si="12"/>
        <v>0</v>
      </c>
      <c r="DC6" s="587">
        <f t="shared" si="12"/>
        <v>0</v>
      </c>
      <c r="DD6" s="505">
        <f t="shared" si="12"/>
        <v>0</v>
      </c>
      <c r="DE6" s="505">
        <v>0</v>
      </c>
      <c r="DF6" s="505">
        <f t="shared" si="12"/>
        <v>0</v>
      </c>
      <c r="DG6" s="505">
        <v>0</v>
      </c>
      <c r="DH6" s="505">
        <v>0</v>
      </c>
      <c r="DI6" s="505">
        <v>0</v>
      </c>
      <c r="DJ6" s="505">
        <v>0</v>
      </c>
      <c r="DK6" s="505">
        <v>0</v>
      </c>
      <c r="DL6" s="505">
        <v>0</v>
      </c>
      <c r="DM6" s="399">
        <f t="shared" si="22"/>
        <v>0</v>
      </c>
      <c r="DO6" s="396" t="s">
        <v>920</v>
      </c>
      <c r="DP6" s="396" t="s">
        <v>171</v>
      </c>
      <c r="DQ6" s="396" t="s">
        <v>991</v>
      </c>
      <c r="DR6" s="504">
        <v>0</v>
      </c>
      <c r="DS6" s="504">
        <v>0</v>
      </c>
      <c r="DT6" s="504">
        <v>0</v>
      </c>
      <c r="DU6" s="504">
        <v>0</v>
      </c>
      <c r="DV6" s="504">
        <v>0</v>
      </c>
      <c r="DW6" s="504">
        <v>0</v>
      </c>
      <c r="DX6" s="504">
        <v>0</v>
      </c>
      <c r="DY6" s="504">
        <v>0</v>
      </c>
      <c r="DZ6" s="504">
        <v>0</v>
      </c>
      <c r="EA6" s="504">
        <v>0</v>
      </c>
      <c r="EB6" s="504">
        <v>0</v>
      </c>
      <c r="EC6" s="504">
        <v>0</v>
      </c>
      <c r="ED6" s="561">
        <v>0.1</v>
      </c>
      <c r="EE6" s="399">
        <f t="shared" ref="EE6:EE66" si="26">SUM(DR6:EC6)</f>
        <v>0</v>
      </c>
      <c r="EG6" s="505">
        <f t="shared" ref="EG6:EG66" si="27">DR6</f>
        <v>0</v>
      </c>
      <c r="EH6" s="505">
        <f t="shared" si="14"/>
        <v>0</v>
      </c>
      <c r="EI6" s="505">
        <f t="shared" si="15"/>
        <v>0</v>
      </c>
      <c r="EJ6" s="505">
        <f t="shared" si="16"/>
        <v>0</v>
      </c>
      <c r="EK6" s="505">
        <f t="shared" si="17"/>
        <v>0</v>
      </c>
      <c r="EL6" s="505">
        <f t="shared" si="18"/>
        <v>0</v>
      </c>
      <c r="EM6" s="505">
        <f t="shared" si="23"/>
        <v>0</v>
      </c>
      <c r="EN6" s="505">
        <f t="shared" si="23"/>
        <v>0</v>
      </c>
      <c r="EO6" s="505">
        <f t="shared" si="23"/>
        <v>0</v>
      </c>
      <c r="EP6" s="505">
        <f t="shared" si="23"/>
        <v>0</v>
      </c>
      <c r="EQ6" s="505">
        <f t="shared" si="23"/>
        <v>0</v>
      </c>
      <c r="ER6" s="505">
        <f t="shared" si="23"/>
        <v>0</v>
      </c>
      <c r="ES6" s="399">
        <f t="shared" si="24"/>
        <v>0</v>
      </c>
    </row>
    <row r="7" spans="1:149" x14ac:dyDescent="0.2">
      <c r="A7" s="407" t="s">
        <v>171</v>
      </c>
      <c r="B7" s="395" t="s">
        <v>277</v>
      </c>
      <c r="C7" s="424" t="s">
        <v>281</v>
      </c>
      <c r="D7" s="414"/>
      <c r="E7" s="417"/>
      <c r="F7" s="416">
        <f t="shared" si="19"/>
        <v>0</v>
      </c>
      <c r="G7" s="414"/>
      <c r="H7" s="417"/>
      <c r="I7" s="416">
        <f t="shared" si="20"/>
        <v>0</v>
      </c>
      <c r="J7" s="414"/>
      <c r="K7" s="417"/>
      <c r="L7" s="416">
        <f>+K7-J7</f>
        <v>0</v>
      </c>
      <c r="M7" s="414"/>
      <c r="N7" s="417"/>
      <c r="O7" s="416">
        <f>+N7-M7</f>
        <v>0</v>
      </c>
      <c r="P7" s="414"/>
      <c r="Q7" s="417"/>
      <c r="R7" s="416">
        <f>+Q7-P7</f>
        <v>0</v>
      </c>
      <c r="S7" s="414"/>
      <c r="T7" s="417"/>
      <c r="U7" s="416">
        <f>+T7-S7</f>
        <v>0</v>
      </c>
      <c r="V7" s="414"/>
      <c r="W7" s="417"/>
      <c r="X7" s="416">
        <f t="shared" si="1"/>
        <v>0</v>
      </c>
      <c r="Y7" s="414">
        <v>2000</v>
      </c>
      <c r="Z7" s="417"/>
      <c r="AA7" s="416">
        <f t="shared" si="2"/>
        <v>-2000</v>
      </c>
      <c r="AB7" s="414"/>
      <c r="AC7" s="417"/>
      <c r="AD7" s="416">
        <f t="shared" si="3"/>
        <v>0</v>
      </c>
      <c r="AE7" s="414">
        <v>2000</v>
      </c>
      <c r="AF7" s="417"/>
      <c r="AG7" s="416">
        <f t="shared" si="4"/>
        <v>-2000</v>
      </c>
      <c r="AH7" s="414"/>
      <c r="AI7" s="417"/>
      <c r="AJ7" s="416">
        <f t="shared" si="5"/>
        <v>0</v>
      </c>
      <c r="AK7" s="414">
        <v>2000</v>
      </c>
      <c r="AL7" s="417"/>
      <c r="AM7" s="416">
        <f t="shared" si="6"/>
        <v>-2000</v>
      </c>
      <c r="AN7" s="412">
        <f t="shared" si="7"/>
        <v>0</v>
      </c>
      <c r="AO7" s="412">
        <f t="shared" si="8"/>
        <v>0</v>
      </c>
      <c r="AP7" s="413">
        <f t="shared" si="9"/>
        <v>0</v>
      </c>
      <c r="AQ7" s="414">
        <f t="shared" si="10"/>
        <v>6000</v>
      </c>
      <c r="AR7" s="414">
        <f t="shared" si="11"/>
        <v>-6000</v>
      </c>
      <c r="AS7" s="415"/>
      <c r="AT7" s="413"/>
      <c r="AU7" s="416"/>
      <c r="AV7" s="395" t="s">
        <v>277</v>
      </c>
      <c r="AW7" s="395"/>
      <c r="AX7" s="414"/>
      <c r="AY7" s="417"/>
      <c r="AZ7" s="416"/>
      <c r="BA7" s="417"/>
      <c r="BB7" s="417"/>
      <c r="BC7" s="417"/>
      <c r="BD7" s="414"/>
      <c r="BE7" s="417"/>
      <c r="BF7" s="416"/>
      <c r="BG7" s="417"/>
      <c r="BH7" s="417"/>
      <c r="BI7" s="417"/>
      <c r="BJ7" s="414"/>
      <c r="BK7" s="417"/>
      <c r="BL7" s="416"/>
      <c r="BM7" s="417"/>
      <c r="BN7" s="417"/>
      <c r="BO7" s="417"/>
      <c r="BP7" s="414"/>
      <c r="BQ7" s="417"/>
      <c r="BR7" s="416"/>
      <c r="BS7" s="417"/>
      <c r="BT7" s="417"/>
      <c r="BU7" s="417"/>
      <c r="BV7" s="414"/>
      <c r="BW7" s="417"/>
      <c r="BX7" s="416"/>
      <c r="BY7" s="417"/>
      <c r="BZ7" s="417"/>
      <c r="CA7" s="417"/>
      <c r="CB7" s="414"/>
      <c r="CC7" s="417"/>
      <c r="CD7" s="416"/>
      <c r="CE7" s="414"/>
      <c r="CF7" s="417"/>
      <c r="CG7" s="416"/>
      <c r="CH7" s="417">
        <f t="shared" si="25"/>
        <v>0</v>
      </c>
      <c r="CI7" s="382" t="s">
        <v>282</v>
      </c>
      <c r="CJ7" s="423"/>
      <c r="CK7" s="423" t="s">
        <v>170</v>
      </c>
      <c r="CL7" s="423" t="s">
        <v>989</v>
      </c>
      <c r="CM7" s="504"/>
      <c r="CN7" s="504"/>
      <c r="CO7" s="566">
        <v>500</v>
      </c>
      <c r="CP7" s="504"/>
      <c r="CQ7" s="504"/>
      <c r="CR7" s="566">
        <v>500</v>
      </c>
      <c r="CS7" s="504"/>
      <c r="CT7" s="504"/>
      <c r="CU7" s="504">
        <v>500</v>
      </c>
      <c r="CV7" s="504"/>
      <c r="CW7" s="504"/>
      <c r="CX7" s="504">
        <v>500</v>
      </c>
      <c r="CY7" s="399">
        <f t="shared" si="21"/>
        <v>2000</v>
      </c>
      <c r="DA7" s="505">
        <f t="shared" ref="DA7:DA55" si="28">CM7</f>
        <v>0</v>
      </c>
      <c r="DB7" s="505">
        <f t="shared" si="12"/>
        <v>0</v>
      </c>
      <c r="DC7" s="587">
        <v>0</v>
      </c>
      <c r="DD7" s="587">
        <f t="shared" si="12"/>
        <v>0</v>
      </c>
      <c r="DE7" s="587">
        <f t="shared" si="12"/>
        <v>0</v>
      </c>
      <c r="DF7" s="505">
        <v>0</v>
      </c>
      <c r="DG7" s="505">
        <v>0</v>
      </c>
      <c r="DH7" s="505">
        <v>0</v>
      </c>
      <c r="DI7" s="505">
        <v>0</v>
      </c>
      <c r="DJ7" s="505">
        <v>0</v>
      </c>
      <c r="DK7" s="505">
        <v>0</v>
      </c>
      <c r="DL7" s="505">
        <v>0</v>
      </c>
      <c r="DM7" s="399">
        <f t="shared" si="22"/>
        <v>0</v>
      </c>
      <c r="DO7" s="396" t="s">
        <v>916</v>
      </c>
      <c r="DP7" s="396" t="s">
        <v>171</v>
      </c>
      <c r="DQ7" s="396" t="s">
        <v>1137</v>
      </c>
      <c r="DR7" s="504" t="s">
        <v>993</v>
      </c>
      <c r="DS7" s="504"/>
      <c r="DT7" s="504" t="s">
        <v>1005</v>
      </c>
      <c r="DU7" s="504" t="s">
        <v>1005</v>
      </c>
      <c r="DV7" s="504" t="s">
        <v>1005</v>
      </c>
      <c r="DW7" s="504" t="s">
        <v>1005</v>
      </c>
      <c r="DX7" s="504" t="s">
        <v>1005</v>
      </c>
      <c r="DY7" s="504" t="s">
        <v>1005</v>
      </c>
      <c r="DZ7" s="504" t="s">
        <v>1005</v>
      </c>
      <c r="EA7" s="504" t="s">
        <v>1005</v>
      </c>
      <c r="EB7" s="504" t="s">
        <v>1005</v>
      </c>
      <c r="EC7" s="504" t="s">
        <v>1005</v>
      </c>
      <c r="ED7" s="561">
        <v>0.3</v>
      </c>
      <c r="EE7" s="399">
        <f t="shared" si="26"/>
        <v>0</v>
      </c>
      <c r="EG7" s="505" t="str">
        <f t="shared" si="27"/>
        <v xml:space="preserve">$-   </v>
      </c>
      <c r="EH7" s="505">
        <f t="shared" si="14"/>
        <v>0</v>
      </c>
      <c r="EI7" s="505" t="str">
        <f t="shared" si="15"/>
        <v xml:space="preserve"> $-   </v>
      </c>
      <c r="EJ7" s="505" t="str">
        <f t="shared" si="16"/>
        <v xml:space="preserve"> $-   </v>
      </c>
      <c r="EK7" s="505" t="str">
        <f t="shared" si="17"/>
        <v xml:space="preserve"> $-   </v>
      </c>
      <c r="EL7" s="505" t="str">
        <f t="shared" si="18"/>
        <v xml:space="preserve"> $-   </v>
      </c>
      <c r="EM7" s="505" t="str">
        <f t="shared" si="23"/>
        <v xml:space="preserve"> $-   </v>
      </c>
      <c r="EN7" s="505" t="str">
        <f t="shared" si="23"/>
        <v xml:space="preserve"> $-   </v>
      </c>
      <c r="EO7" s="505" t="str">
        <f t="shared" si="23"/>
        <v xml:space="preserve"> $-   </v>
      </c>
      <c r="EP7" s="505" t="str">
        <f t="shared" si="23"/>
        <v xml:space="preserve"> $-   </v>
      </c>
      <c r="EQ7" s="505" t="str">
        <f t="shared" si="23"/>
        <v xml:space="preserve"> $-   </v>
      </c>
      <c r="ER7" s="505" t="str">
        <f t="shared" si="23"/>
        <v xml:space="preserve"> $-   </v>
      </c>
      <c r="ES7" s="399">
        <f t="shared" si="24"/>
        <v>0</v>
      </c>
    </row>
    <row r="8" spans="1:149" x14ac:dyDescent="0.2">
      <c r="A8" s="407" t="s">
        <v>171</v>
      </c>
      <c r="B8" s="395" t="s">
        <v>277</v>
      </c>
      <c r="C8" s="424" t="s">
        <v>283</v>
      </c>
      <c r="D8" s="414"/>
      <c r="E8" s="417"/>
      <c r="F8" s="416">
        <f t="shared" si="19"/>
        <v>0</v>
      </c>
      <c r="G8" s="414"/>
      <c r="H8" s="417"/>
      <c r="I8" s="416">
        <f t="shared" si="20"/>
        <v>0</v>
      </c>
      <c r="J8" s="414">
        <v>2500</v>
      </c>
      <c r="K8" s="417"/>
      <c r="L8" s="416">
        <f>+K8-J8</f>
        <v>-2500</v>
      </c>
      <c r="M8" s="414">
        <v>2500</v>
      </c>
      <c r="N8" s="417"/>
      <c r="O8" s="416">
        <f>+N8-M8</f>
        <v>-2500</v>
      </c>
      <c r="P8" s="414"/>
      <c r="Q8" s="417"/>
      <c r="R8" s="416">
        <f>+Q8-P8</f>
        <v>0</v>
      </c>
      <c r="S8" s="414"/>
      <c r="T8" s="417"/>
      <c r="U8" s="416">
        <f>+T8-S8</f>
        <v>0</v>
      </c>
      <c r="V8" s="414"/>
      <c r="W8" s="417"/>
      <c r="X8" s="416">
        <f t="shared" si="1"/>
        <v>0</v>
      </c>
      <c r="Y8" s="414"/>
      <c r="Z8" s="417"/>
      <c r="AA8" s="416">
        <f t="shared" si="2"/>
        <v>0</v>
      </c>
      <c r="AB8" s="414"/>
      <c r="AC8" s="417"/>
      <c r="AD8" s="416">
        <f t="shared" si="3"/>
        <v>0</v>
      </c>
      <c r="AE8" s="414"/>
      <c r="AF8" s="417"/>
      <c r="AG8" s="416">
        <f t="shared" si="4"/>
        <v>0</v>
      </c>
      <c r="AH8" s="414">
        <v>2000</v>
      </c>
      <c r="AI8" s="417"/>
      <c r="AJ8" s="416">
        <f t="shared" si="5"/>
        <v>-2000</v>
      </c>
      <c r="AK8" s="414"/>
      <c r="AL8" s="417"/>
      <c r="AM8" s="416">
        <f t="shared" si="6"/>
        <v>0</v>
      </c>
      <c r="AN8" s="412">
        <f t="shared" si="7"/>
        <v>0</v>
      </c>
      <c r="AO8" s="412">
        <f t="shared" si="8"/>
        <v>0</v>
      </c>
      <c r="AP8" s="413">
        <f t="shared" si="9"/>
        <v>0</v>
      </c>
      <c r="AQ8" s="414">
        <f t="shared" si="10"/>
        <v>7000</v>
      </c>
      <c r="AR8" s="414">
        <f t="shared" si="11"/>
        <v>-7000</v>
      </c>
      <c r="AS8" s="415"/>
      <c r="AT8" s="413"/>
      <c r="AU8" s="417"/>
      <c r="AV8" s="425" t="s">
        <v>284</v>
      </c>
      <c r="AW8" s="425" t="s">
        <v>5</v>
      </c>
      <c r="AX8" s="426">
        <v>1000</v>
      </c>
      <c r="AY8" s="427"/>
      <c r="AZ8" s="427"/>
      <c r="BA8" s="427">
        <v>1000</v>
      </c>
      <c r="BB8" s="427"/>
      <c r="BC8" s="427"/>
      <c r="BD8" s="427">
        <v>1000</v>
      </c>
      <c r="BE8" s="427"/>
      <c r="BF8" s="427"/>
      <c r="BG8" s="427">
        <v>1000</v>
      </c>
      <c r="BH8" s="427"/>
      <c r="BI8" s="427"/>
      <c r="BJ8" s="427">
        <v>1000</v>
      </c>
      <c r="BK8" s="427"/>
      <c r="BL8" s="427"/>
      <c r="BM8" s="426">
        <v>0</v>
      </c>
      <c r="BN8" s="426">
        <v>0</v>
      </c>
      <c r="BO8" s="426">
        <v>0</v>
      </c>
      <c r="BP8" s="426">
        <v>0</v>
      </c>
      <c r="BQ8" s="427"/>
      <c r="BR8" s="427"/>
      <c r="BS8" s="427">
        <v>1000</v>
      </c>
      <c r="BT8" s="427"/>
      <c r="BU8" s="427"/>
      <c r="BV8" s="427">
        <v>1000</v>
      </c>
      <c r="BW8" s="427"/>
      <c r="BX8" s="427"/>
      <c r="BY8" s="427">
        <v>1000</v>
      </c>
      <c r="BZ8" s="427"/>
      <c r="CA8" s="427"/>
      <c r="CB8" s="427">
        <v>1000</v>
      </c>
      <c r="CC8" s="427"/>
      <c r="CD8" s="427"/>
      <c r="CE8" s="427">
        <v>1000</v>
      </c>
      <c r="CF8" s="427"/>
      <c r="CG8" s="427"/>
      <c r="CH8" s="427">
        <f t="shared" si="25"/>
        <v>10000</v>
      </c>
      <c r="CJ8" s="423"/>
      <c r="CK8" s="423" t="s">
        <v>171</v>
      </c>
      <c r="CL8" s="423" t="s">
        <v>990</v>
      </c>
      <c r="CM8" s="504"/>
      <c r="CN8" s="504"/>
      <c r="CO8" s="504"/>
      <c r="CP8" s="504"/>
      <c r="CQ8" s="566">
        <v>1000</v>
      </c>
      <c r="CR8" s="566">
        <v>1000</v>
      </c>
      <c r="CS8" s="504"/>
      <c r="CT8" s="504"/>
      <c r="CU8" s="504"/>
      <c r="CV8" s="504"/>
      <c r="CW8" s="504"/>
      <c r="CX8" s="504"/>
      <c r="CY8" s="399">
        <f t="shared" si="21"/>
        <v>2000</v>
      </c>
      <c r="DA8" s="505">
        <f t="shared" si="28"/>
        <v>0</v>
      </c>
      <c r="DB8" s="505">
        <f t="shared" si="12"/>
        <v>0</v>
      </c>
      <c r="DC8" s="587">
        <f t="shared" si="12"/>
        <v>0</v>
      </c>
      <c r="DD8" s="587">
        <f t="shared" si="12"/>
        <v>0</v>
      </c>
      <c r="DE8" s="587">
        <v>0</v>
      </c>
      <c r="DF8" s="505">
        <v>0</v>
      </c>
      <c r="DG8" s="505">
        <v>0</v>
      </c>
      <c r="DH8" s="505"/>
      <c r="DI8" s="505">
        <v>5090.55</v>
      </c>
      <c r="DJ8" s="505">
        <v>5090.55</v>
      </c>
      <c r="DK8" s="505">
        <v>0</v>
      </c>
      <c r="DL8" s="505">
        <v>1000</v>
      </c>
      <c r="DM8" s="399">
        <f t="shared" si="22"/>
        <v>11181.1</v>
      </c>
      <c r="DO8" s="396" t="s">
        <v>916</v>
      </c>
      <c r="DP8" s="396" t="s">
        <v>171</v>
      </c>
      <c r="DQ8" s="396" t="s">
        <v>1334</v>
      </c>
      <c r="DR8" s="504">
        <f>202647/2</f>
        <v>101323.5</v>
      </c>
      <c r="DS8" s="504">
        <v>101323.5</v>
      </c>
      <c r="DT8" s="504">
        <v>5000</v>
      </c>
      <c r="DU8" s="504">
        <v>5000</v>
      </c>
      <c r="DV8" s="504">
        <v>5000</v>
      </c>
      <c r="DW8" s="504" t="s">
        <v>1005</v>
      </c>
      <c r="DX8" s="504" t="s">
        <v>1005</v>
      </c>
      <c r="DY8" s="504">
        <v>5000</v>
      </c>
      <c r="DZ8" s="504">
        <v>5000</v>
      </c>
      <c r="EA8" s="504">
        <v>5000</v>
      </c>
      <c r="EB8" s="504" t="s">
        <v>1005</v>
      </c>
      <c r="EC8" s="504" t="s">
        <v>1005</v>
      </c>
      <c r="ED8" s="561">
        <v>1</v>
      </c>
      <c r="EE8" s="399">
        <f t="shared" si="26"/>
        <v>232647</v>
      </c>
      <c r="EG8" s="593">
        <f>6137+1821.25</f>
        <v>7958.25</v>
      </c>
      <c r="EH8" s="505">
        <f t="shared" si="14"/>
        <v>101323.5</v>
      </c>
      <c r="EI8" s="505">
        <f t="shared" si="15"/>
        <v>5000</v>
      </c>
      <c r="EJ8" s="505">
        <f t="shared" si="16"/>
        <v>5000</v>
      </c>
      <c r="EK8" s="505">
        <f t="shared" si="17"/>
        <v>5000</v>
      </c>
      <c r="EL8" s="505" t="str">
        <f t="shared" si="18"/>
        <v xml:space="preserve"> $-   </v>
      </c>
      <c r="EM8" s="505" t="str">
        <f t="shared" si="23"/>
        <v xml:space="preserve"> $-   </v>
      </c>
      <c r="EN8" s="505">
        <f t="shared" si="23"/>
        <v>5000</v>
      </c>
      <c r="EO8" s="505">
        <f t="shared" si="23"/>
        <v>5000</v>
      </c>
      <c r="EP8" s="505">
        <f t="shared" si="23"/>
        <v>5000</v>
      </c>
      <c r="EQ8" s="505" t="str">
        <f t="shared" si="23"/>
        <v xml:space="preserve"> $-   </v>
      </c>
      <c r="ER8" s="505" t="str">
        <f t="shared" si="23"/>
        <v xml:space="preserve"> $-   </v>
      </c>
      <c r="ES8" s="399">
        <f t="shared" si="24"/>
        <v>139281.75</v>
      </c>
    </row>
    <row r="9" spans="1:149" x14ac:dyDescent="0.2">
      <c r="A9" s="407" t="s">
        <v>170</v>
      </c>
      <c r="B9" s="395" t="s">
        <v>285</v>
      </c>
      <c r="C9" s="408" t="s">
        <v>286</v>
      </c>
      <c r="D9" s="414">
        <f>41980/4</f>
        <v>10495</v>
      </c>
      <c r="E9" s="417"/>
      <c r="F9" s="416">
        <f t="shared" si="19"/>
        <v>-10495</v>
      </c>
      <c r="G9" s="414"/>
      <c r="H9" s="417"/>
      <c r="I9" s="416">
        <f t="shared" si="20"/>
        <v>0</v>
      </c>
      <c r="J9" s="414"/>
      <c r="K9" s="417"/>
      <c r="L9" s="416">
        <f>+K9-J9</f>
        <v>0</v>
      </c>
      <c r="M9" s="414">
        <f>41980/4</f>
        <v>10495</v>
      </c>
      <c r="N9" s="417"/>
      <c r="O9" s="416">
        <f>+N9-M9</f>
        <v>-10495</v>
      </c>
      <c r="P9" s="414"/>
      <c r="Q9" s="417"/>
      <c r="R9" s="416">
        <f>+Q9-P9</f>
        <v>0</v>
      </c>
      <c r="S9" s="414">
        <v>2500</v>
      </c>
      <c r="T9" s="417"/>
      <c r="U9" s="416">
        <f>+T9-S9</f>
        <v>-2500</v>
      </c>
      <c r="V9" s="414">
        <f>41980/4</f>
        <v>10495</v>
      </c>
      <c r="W9" s="417"/>
      <c r="X9" s="416">
        <f t="shared" si="1"/>
        <v>-10495</v>
      </c>
      <c r="Y9" s="414"/>
      <c r="Z9" s="417"/>
      <c r="AA9" s="416">
        <f t="shared" si="2"/>
        <v>0</v>
      </c>
      <c r="AB9" s="414"/>
      <c r="AC9" s="417"/>
      <c r="AD9" s="416">
        <f t="shared" si="3"/>
        <v>0</v>
      </c>
      <c r="AE9" s="414">
        <f>41980/4</f>
        <v>10495</v>
      </c>
      <c r="AF9" s="417"/>
      <c r="AG9" s="416">
        <f t="shared" si="4"/>
        <v>-10495</v>
      </c>
      <c r="AH9" s="414"/>
      <c r="AI9" s="417"/>
      <c r="AJ9" s="416">
        <f t="shared" si="5"/>
        <v>0</v>
      </c>
      <c r="AK9" s="414"/>
      <c r="AL9" s="417"/>
      <c r="AM9" s="416">
        <f t="shared" si="6"/>
        <v>0</v>
      </c>
      <c r="AN9" s="412">
        <f t="shared" si="7"/>
        <v>0</v>
      </c>
      <c r="AO9" s="412">
        <f t="shared" si="8"/>
        <v>0</v>
      </c>
      <c r="AP9" s="413">
        <f t="shared" si="9"/>
        <v>0</v>
      </c>
      <c r="AQ9" s="414">
        <f t="shared" si="10"/>
        <v>44480</v>
      </c>
      <c r="AR9" s="414">
        <f t="shared" si="11"/>
        <v>-44480</v>
      </c>
      <c r="AS9" s="415"/>
      <c r="AT9" s="413"/>
      <c r="AU9" s="417"/>
      <c r="AV9" s="425" t="s">
        <v>285</v>
      </c>
      <c r="AW9" s="425" t="s">
        <v>287</v>
      </c>
      <c r="AX9" s="426">
        <v>0</v>
      </c>
      <c r="AY9" s="426">
        <v>0</v>
      </c>
      <c r="AZ9" s="426">
        <v>0</v>
      </c>
      <c r="BA9" s="426">
        <v>0</v>
      </c>
      <c r="BB9" s="426">
        <v>0</v>
      </c>
      <c r="BC9" s="426">
        <v>0</v>
      </c>
      <c r="BD9" s="426">
        <v>0</v>
      </c>
      <c r="BE9" s="426">
        <v>0</v>
      </c>
      <c r="BF9" s="426">
        <v>0</v>
      </c>
      <c r="BG9" s="426">
        <v>0</v>
      </c>
      <c r="BH9" s="426">
        <v>0</v>
      </c>
      <c r="BI9" s="426">
        <v>0</v>
      </c>
      <c r="BJ9" s="426">
        <v>0</v>
      </c>
      <c r="BK9" s="426">
        <v>0</v>
      </c>
      <c r="BL9" s="426">
        <v>0</v>
      </c>
      <c r="BM9" s="426">
        <v>0</v>
      </c>
      <c r="BN9" s="426">
        <v>0</v>
      </c>
      <c r="BO9" s="426">
        <v>0</v>
      </c>
      <c r="BP9" s="426">
        <v>0</v>
      </c>
      <c r="BQ9" s="426">
        <v>0</v>
      </c>
      <c r="BR9" s="426">
        <v>0</v>
      </c>
      <c r="BS9" s="426">
        <v>0</v>
      </c>
      <c r="BT9" s="426">
        <v>0</v>
      </c>
      <c r="BU9" s="426">
        <v>0</v>
      </c>
      <c r="BV9" s="426">
        <v>0</v>
      </c>
      <c r="BW9" s="426">
        <v>0</v>
      </c>
      <c r="BX9" s="426">
        <v>0</v>
      </c>
      <c r="BY9" s="426">
        <v>0</v>
      </c>
      <c r="BZ9" s="426">
        <v>0</v>
      </c>
      <c r="CA9" s="426">
        <v>0</v>
      </c>
      <c r="CB9" s="426">
        <v>0</v>
      </c>
      <c r="CC9" s="426">
        <v>0</v>
      </c>
      <c r="CD9" s="426">
        <v>0</v>
      </c>
      <c r="CE9" s="426">
        <v>0</v>
      </c>
      <c r="CF9" s="427"/>
      <c r="CG9" s="427"/>
      <c r="CH9" s="427">
        <f t="shared" si="25"/>
        <v>0</v>
      </c>
      <c r="CJ9" s="423"/>
      <c r="CK9" s="423" t="s">
        <v>171</v>
      </c>
      <c r="CL9" s="569" t="s">
        <v>991</v>
      </c>
      <c r="CM9" s="566">
        <v>10000</v>
      </c>
      <c r="CN9" s="504"/>
      <c r="CO9" s="504"/>
      <c r="CP9" s="566">
        <v>10000</v>
      </c>
      <c r="CQ9" s="504"/>
      <c r="CR9" s="504"/>
      <c r="CS9" s="504">
        <v>10000</v>
      </c>
      <c r="CT9" s="504"/>
      <c r="CU9" s="504"/>
      <c r="CV9" s="504">
        <v>10000</v>
      </c>
      <c r="CW9" s="504"/>
      <c r="CX9" s="504"/>
      <c r="CY9" s="399">
        <f t="shared" si="21"/>
        <v>40000</v>
      </c>
      <c r="DA9" s="505">
        <v>0</v>
      </c>
      <c r="DB9" s="505">
        <f t="shared" si="12"/>
        <v>0</v>
      </c>
      <c r="DC9" s="587">
        <f t="shared" si="12"/>
        <v>0</v>
      </c>
      <c r="DD9" s="587">
        <v>0</v>
      </c>
      <c r="DE9" s="587">
        <f t="shared" si="12"/>
        <v>0</v>
      </c>
      <c r="DF9" s="505">
        <f t="shared" si="12"/>
        <v>0</v>
      </c>
      <c r="DG9" s="505">
        <v>0</v>
      </c>
      <c r="DH9" s="505">
        <v>0</v>
      </c>
      <c r="DI9" s="505">
        <v>0</v>
      </c>
      <c r="DJ9" s="505">
        <v>0</v>
      </c>
      <c r="DK9" s="505">
        <v>5000</v>
      </c>
      <c r="DL9" s="505">
        <v>10000</v>
      </c>
      <c r="DM9" s="399">
        <f t="shared" si="22"/>
        <v>15000</v>
      </c>
      <c r="DO9" s="396" t="s">
        <v>916</v>
      </c>
      <c r="DP9" s="396" t="s">
        <v>171</v>
      </c>
      <c r="DQ9" s="396" t="s">
        <v>994</v>
      </c>
      <c r="DR9" s="504" t="s">
        <v>993</v>
      </c>
      <c r="DS9" s="504" t="s">
        <v>1005</v>
      </c>
      <c r="DT9" s="504">
        <f>DU9</f>
        <v>48984.5</v>
      </c>
      <c r="DU9" s="504">
        <f>(195938*ED9)/2</f>
        <v>48984.5</v>
      </c>
      <c r="DV9" s="504" t="s">
        <v>1005</v>
      </c>
      <c r="DW9" s="504" t="s">
        <v>1005</v>
      </c>
      <c r="DX9" s="504" t="s">
        <v>1005</v>
      </c>
      <c r="DY9" s="504" t="s">
        <v>1005</v>
      </c>
      <c r="DZ9" s="504" t="s">
        <v>1005</v>
      </c>
      <c r="EA9" s="504" t="s">
        <v>1005</v>
      </c>
      <c r="EB9" s="504" t="s">
        <v>1005</v>
      </c>
      <c r="EC9" s="504" t="s">
        <v>1005</v>
      </c>
      <c r="ED9" s="561">
        <v>0.5</v>
      </c>
      <c r="EE9" s="399">
        <f t="shared" si="26"/>
        <v>97969</v>
      </c>
      <c r="EG9" s="505" t="str">
        <f t="shared" si="27"/>
        <v xml:space="preserve">$-   </v>
      </c>
      <c r="EH9" s="505" t="str">
        <f t="shared" si="14"/>
        <v xml:space="preserve"> $-   </v>
      </c>
      <c r="EI9" s="505">
        <f t="shared" si="15"/>
        <v>48984.5</v>
      </c>
      <c r="EJ9" s="505">
        <f t="shared" si="16"/>
        <v>48984.5</v>
      </c>
      <c r="EK9" s="505" t="str">
        <f t="shared" si="17"/>
        <v xml:space="preserve"> $-   </v>
      </c>
      <c r="EL9" s="505" t="str">
        <f t="shared" si="18"/>
        <v xml:space="preserve"> $-   </v>
      </c>
      <c r="EM9" s="505" t="str">
        <f t="shared" si="23"/>
        <v xml:space="preserve"> $-   </v>
      </c>
      <c r="EN9" s="505" t="str">
        <f t="shared" si="23"/>
        <v xml:space="preserve"> $-   </v>
      </c>
      <c r="EO9" s="505" t="str">
        <f t="shared" si="23"/>
        <v xml:space="preserve"> $-   </v>
      </c>
      <c r="EP9" s="505" t="str">
        <f t="shared" si="23"/>
        <v xml:space="preserve"> $-   </v>
      </c>
      <c r="EQ9" s="505" t="str">
        <f t="shared" si="23"/>
        <v xml:space="preserve"> $-   </v>
      </c>
      <c r="ER9" s="505" t="str">
        <f t="shared" si="23"/>
        <v xml:space="preserve"> $-   </v>
      </c>
      <c r="ES9" s="399">
        <f t="shared" si="24"/>
        <v>97969</v>
      </c>
    </row>
    <row r="10" spans="1:149" x14ac:dyDescent="0.2">
      <c r="A10" s="407" t="s">
        <v>171</v>
      </c>
      <c r="B10" s="395" t="s">
        <v>288</v>
      </c>
      <c r="C10" s="408" t="s">
        <v>289</v>
      </c>
      <c r="D10" s="414"/>
      <c r="E10" s="417"/>
      <c r="F10" s="416">
        <f t="shared" si="19"/>
        <v>0</v>
      </c>
      <c r="G10" s="414">
        <v>5000</v>
      </c>
      <c r="H10" s="417"/>
      <c r="I10" s="416">
        <f t="shared" si="20"/>
        <v>-5000</v>
      </c>
      <c r="J10" s="414">
        <v>10000</v>
      </c>
      <c r="K10" s="417"/>
      <c r="L10" s="416">
        <f t="shared" ref="L10:L29" si="29">+K10-J10</f>
        <v>-10000</v>
      </c>
      <c r="M10" s="414">
        <v>10000</v>
      </c>
      <c r="N10" s="417"/>
      <c r="O10" s="416">
        <f t="shared" ref="O10:O29" si="30">+N10-M10</f>
        <v>-10000</v>
      </c>
      <c r="P10" s="414">
        <v>8000</v>
      </c>
      <c r="Q10" s="417"/>
      <c r="R10" s="416">
        <f t="shared" ref="R10:R29" si="31">+Q10-P10</f>
        <v>-8000</v>
      </c>
      <c r="S10" s="414"/>
      <c r="T10" s="417"/>
      <c r="U10" s="416">
        <f t="shared" ref="U10:U29" si="32">+T10-S10</f>
        <v>0</v>
      </c>
      <c r="V10" s="414"/>
      <c r="W10" s="417"/>
      <c r="X10" s="416">
        <f t="shared" si="1"/>
        <v>0</v>
      </c>
      <c r="Y10" s="414"/>
      <c r="Z10" s="417"/>
      <c r="AA10" s="416">
        <f t="shared" si="2"/>
        <v>0</v>
      </c>
      <c r="AB10" s="414"/>
      <c r="AC10" s="417"/>
      <c r="AD10" s="416">
        <f t="shared" si="3"/>
        <v>0</v>
      </c>
      <c r="AE10" s="414"/>
      <c r="AF10" s="417"/>
      <c r="AG10" s="416">
        <f t="shared" si="4"/>
        <v>0</v>
      </c>
      <c r="AH10" s="414"/>
      <c r="AI10" s="417"/>
      <c r="AJ10" s="416">
        <f t="shared" si="5"/>
        <v>0</v>
      </c>
      <c r="AK10" s="414">
        <v>2000</v>
      </c>
      <c r="AL10" s="417"/>
      <c r="AM10" s="416">
        <f t="shared" si="6"/>
        <v>-2000</v>
      </c>
      <c r="AN10" s="412">
        <f t="shared" si="7"/>
        <v>0</v>
      </c>
      <c r="AO10" s="412">
        <f t="shared" si="8"/>
        <v>0</v>
      </c>
      <c r="AP10" s="413">
        <f t="shared" si="9"/>
        <v>0</v>
      </c>
      <c r="AQ10" s="414">
        <f t="shared" si="10"/>
        <v>35000</v>
      </c>
      <c r="AR10" s="414">
        <f t="shared" si="11"/>
        <v>-35000</v>
      </c>
      <c r="AS10" s="415"/>
      <c r="AT10" s="413"/>
      <c r="AU10" s="417"/>
      <c r="AV10" s="425" t="s">
        <v>288</v>
      </c>
      <c r="AW10" s="425"/>
      <c r="AX10" s="426">
        <v>0</v>
      </c>
      <c r="AY10" s="426">
        <v>0</v>
      </c>
      <c r="AZ10" s="426">
        <v>0</v>
      </c>
      <c r="BA10" s="426">
        <v>0</v>
      </c>
      <c r="BB10" s="426">
        <v>0</v>
      </c>
      <c r="BC10" s="426">
        <v>0</v>
      </c>
      <c r="BD10" s="426">
        <v>0</v>
      </c>
      <c r="BE10" s="426">
        <v>0</v>
      </c>
      <c r="BF10" s="426">
        <v>0</v>
      </c>
      <c r="BG10" s="426">
        <v>0</v>
      </c>
      <c r="BH10" s="426">
        <v>0</v>
      </c>
      <c r="BI10" s="426">
        <v>0</v>
      </c>
      <c r="BJ10" s="426">
        <v>0</v>
      </c>
      <c r="BK10" s="426">
        <v>0</v>
      </c>
      <c r="BL10" s="426">
        <v>0</v>
      </c>
      <c r="BM10" s="426">
        <v>0</v>
      </c>
      <c r="BN10" s="426">
        <v>0</v>
      </c>
      <c r="BO10" s="426">
        <v>0</v>
      </c>
      <c r="BP10" s="426">
        <v>0</v>
      </c>
      <c r="BQ10" s="426">
        <v>0</v>
      </c>
      <c r="BR10" s="426">
        <v>0</v>
      </c>
      <c r="BS10" s="426">
        <v>0</v>
      </c>
      <c r="BT10" s="426">
        <v>0</v>
      </c>
      <c r="BU10" s="426">
        <v>0</v>
      </c>
      <c r="BV10" s="426">
        <v>0</v>
      </c>
      <c r="BW10" s="426">
        <v>0</v>
      </c>
      <c r="BX10" s="426">
        <v>0</v>
      </c>
      <c r="BY10" s="426">
        <v>0</v>
      </c>
      <c r="BZ10" s="426">
        <v>0</v>
      </c>
      <c r="CA10" s="426">
        <v>0</v>
      </c>
      <c r="CB10" s="426">
        <v>0</v>
      </c>
      <c r="CC10" s="426">
        <v>0</v>
      </c>
      <c r="CD10" s="426">
        <v>0</v>
      </c>
      <c r="CE10" s="426">
        <v>0</v>
      </c>
      <c r="CF10" s="427"/>
      <c r="CG10" s="427"/>
      <c r="CH10" s="427">
        <f t="shared" si="25"/>
        <v>0</v>
      </c>
      <c r="CJ10" s="423"/>
      <c r="CK10" s="423" t="s">
        <v>170</v>
      </c>
      <c r="CL10" s="423" t="s">
        <v>992</v>
      </c>
      <c r="CM10" s="504"/>
      <c r="CN10" s="504"/>
      <c r="CO10" s="504"/>
      <c r="CP10" s="504"/>
      <c r="CQ10" s="504"/>
      <c r="CR10" s="504"/>
      <c r="CS10" s="504"/>
      <c r="CT10" s="504"/>
      <c r="CU10" s="504"/>
      <c r="CV10" s="504"/>
      <c r="CW10" s="504"/>
      <c r="CX10" s="504"/>
      <c r="CY10" s="399">
        <f t="shared" si="21"/>
        <v>0</v>
      </c>
      <c r="DA10" s="505">
        <f t="shared" si="28"/>
        <v>0</v>
      </c>
      <c r="DB10" s="505">
        <f t="shared" si="12"/>
        <v>0</v>
      </c>
      <c r="DC10" s="587">
        <f t="shared" si="12"/>
        <v>0</v>
      </c>
      <c r="DD10" s="587">
        <f t="shared" si="12"/>
        <v>0</v>
      </c>
      <c r="DE10" s="587">
        <f t="shared" si="12"/>
        <v>0</v>
      </c>
      <c r="DF10" s="505">
        <f t="shared" si="12"/>
        <v>0</v>
      </c>
      <c r="DG10" s="505">
        <v>0</v>
      </c>
      <c r="DH10" s="505">
        <v>0</v>
      </c>
      <c r="DI10" s="505">
        <v>0</v>
      </c>
      <c r="DJ10" s="505">
        <v>0</v>
      </c>
      <c r="DK10" s="505">
        <v>0</v>
      </c>
      <c r="DL10" s="505">
        <v>0</v>
      </c>
      <c r="DM10" s="399">
        <f t="shared" si="22"/>
        <v>0</v>
      </c>
      <c r="DO10" s="396" t="s">
        <v>916</v>
      </c>
      <c r="DP10" s="396" t="s">
        <v>171</v>
      </c>
      <c r="DQ10" s="396" t="s">
        <v>1338</v>
      </c>
      <c r="DR10" s="504">
        <f>74335*ED10</f>
        <v>22300.5</v>
      </c>
      <c r="DS10" s="504" t="s">
        <v>1005</v>
      </c>
      <c r="DT10" s="504" t="s">
        <v>1005</v>
      </c>
      <c r="DU10" s="504" t="s">
        <v>1005</v>
      </c>
      <c r="DV10" s="504" t="s">
        <v>1005</v>
      </c>
      <c r="DW10" s="504" t="s">
        <v>1005</v>
      </c>
      <c r="DX10" s="504" t="s">
        <v>1005</v>
      </c>
      <c r="DY10" s="504" t="s">
        <v>1005</v>
      </c>
      <c r="DZ10" s="504" t="s">
        <v>1005</v>
      </c>
      <c r="EA10" s="504" t="s">
        <v>1005</v>
      </c>
      <c r="EB10" s="504" t="s">
        <v>1005</v>
      </c>
      <c r="EC10" s="504" t="s">
        <v>1005</v>
      </c>
      <c r="ED10" s="561">
        <v>0.3</v>
      </c>
      <c r="EE10" s="399">
        <f t="shared" si="26"/>
        <v>22300.5</v>
      </c>
      <c r="EG10" s="505">
        <v>0</v>
      </c>
      <c r="EH10" s="505" t="str">
        <f t="shared" si="14"/>
        <v xml:space="preserve"> $-   </v>
      </c>
      <c r="EI10" s="505" t="str">
        <f t="shared" si="15"/>
        <v xml:space="preserve"> $-   </v>
      </c>
      <c r="EJ10" s="505" t="str">
        <f t="shared" si="16"/>
        <v xml:space="preserve"> $-   </v>
      </c>
      <c r="EK10" s="505" t="str">
        <f t="shared" si="17"/>
        <v xml:space="preserve"> $-   </v>
      </c>
      <c r="EL10" s="505" t="str">
        <f t="shared" si="18"/>
        <v xml:space="preserve"> $-   </v>
      </c>
      <c r="EM10" s="505" t="str">
        <f t="shared" si="23"/>
        <v xml:space="preserve"> $-   </v>
      </c>
      <c r="EN10" s="505" t="str">
        <f t="shared" si="23"/>
        <v xml:space="preserve"> $-   </v>
      </c>
      <c r="EO10" s="505" t="str">
        <f t="shared" si="23"/>
        <v xml:space="preserve"> $-   </v>
      </c>
      <c r="EP10" s="505" t="str">
        <f t="shared" si="23"/>
        <v xml:space="preserve"> $-   </v>
      </c>
      <c r="EQ10" s="505" t="str">
        <f t="shared" si="23"/>
        <v xml:space="preserve"> $-   </v>
      </c>
      <c r="ER10" s="505" t="str">
        <f t="shared" si="23"/>
        <v xml:space="preserve"> $-   </v>
      </c>
      <c r="ES10" s="399">
        <f t="shared" si="24"/>
        <v>0</v>
      </c>
    </row>
    <row r="11" spans="1:149" x14ac:dyDescent="0.2">
      <c r="A11" s="407" t="s">
        <v>171</v>
      </c>
      <c r="B11" s="395" t="s">
        <v>288</v>
      </c>
      <c r="C11" s="408" t="s">
        <v>290</v>
      </c>
      <c r="D11" s="414"/>
      <c r="E11" s="417"/>
      <c r="F11" s="416"/>
      <c r="G11" s="414"/>
      <c r="H11" s="417"/>
      <c r="I11" s="416"/>
      <c r="J11" s="414">
        <v>5000</v>
      </c>
      <c r="K11" s="417"/>
      <c r="L11" s="416">
        <f t="shared" si="29"/>
        <v>-5000</v>
      </c>
      <c r="M11" s="414"/>
      <c r="N11" s="417"/>
      <c r="O11" s="416"/>
      <c r="P11" s="414"/>
      <c r="Q11" s="417"/>
      <c r="R11" s="416"/>
      <c r="S11" s="414"/>
      <c r="T11" s="417"/>
      <c r="U11" s="416"/>
      <c r="V11" s="414"/>
      <c r="W11" s="417"/>
      <c r="X11" s="416"/>
      <c r="Y11" s="414"/>
      <c r="Z11" s="417"/>
      <c r="AA11" s="416"/>
      <c r="AB11" s="414"/>
      <c r="AC11" s="417"/>
      <c r="AD11" s="416"/>
      <c r="AE11" s="414"/>
      <c r="AF11" s="417"/>
      <c r="AG11" s="416"/>
      <c r="AH11" s="414"/>
      <c r="AI11" s="417"/>
      <c r="AJ11" s="416"/>
      <c r="AK11" s="414"/>
      <c r="AL11" s="417"/>
      <c r="AM11" s="416"/>
      <c r="AN11" s="412"/>
      <c r="AO11" s="412"/>
      <c r="AP11" s="413"/>
      <c r="AQ11" s="414"/>
      <c r="AR11" s="414"/>
      <c r="AS11" s="415"/>
      <c r="AT11" s="413"/>
      <c r="AU11" s="417"/>
      <c r="AV11" s="425" t="s">
        <v>288</v>
      </c>
      <c r="AW11" s="425"/>
      <c r="AX11" s="426">
        <v>2125</v>
      </c>
      <c r="AY11" s="427"/>
      <c r="AZ11" s="427"/>
      <c r="BA11" s="427">
        <v>2125</v>
      </c>
      <c r="BB11" s="427"/>
      <c r="BC11" s="427"/>
      <c r="BD11" s="426">
        <v>0</v>
      </c>
      <c r="BE11" s="426">
        <v>0</v>
      </c>
      <c r="BF11" s="426">
        <v>0</v>
      </c>
      <c r="BG11" s="426">
        <v>0</v>
      </c>
      <c r="BH11" s="426">
        <v>0</v>
      </c>
      <c r="BI11" s="426">
        <v>0</v>
      </c>
      <c r="BJ11" s="426">
        <v>0</v>
      </c>
      <c r="BK11" s="426">
        <v>0</v>
      </c>
      <c r="BL11" s="426">
        <v>0</v>
      </c>
      <c r="BM11" s="426">
        <v>0</v>
      </c>
      <c r="BN11" s="426">
        <v>0</v>
      </c>
      <c r="BO11" s="426">
        <v>0</v>
      </c>
      <c r="BP11" s="426">
        <v>0</v>
      </c>
      <c r="BQ11" s="426">
        <v>0</v>
      </c>
      <c r="BR11" s="426">
        <v>0</v>
      </c>
      <c r="BS11" s="426">
        <v>0</v>
      </c>
      <c r="BT11" s="426">
        <v>0</v>
      </c>
      <c r="BU11" s="426">
        <v>0</v>
      </c>
      <c r="BV11" s="426">
        <v>0</v>
      </c>
      <c r="BW11" s="426">
        <v>0</v>
      </c>
      <c r="BX11" s="426">
        <v>0</v>
      </c>
      <c r="BY11" s="426">
        <v>0</v>
      </c>
      <c r="BZ11" s="426">
        <v>0</v>
      </c>
      <c r="CA11" s="426">
        <v>0</v>
      </c>
      <c r="CB11" s="426">
        <v>0</v>
      </c>
      <c r="CC11" s="426">
        <v>0</v>
      </c>
      <c r="CD11" s="426">
        <v>0</v>
      </c>
      <c r="CE11" s="426">
        <v>0</v>
      </c>
      <c r="CF11" s="427"/>
      <c r="CG11" s="427"/>
      <c r="CH11" s="427">
        <f t="shared" si="25"/>
        <v>4250</v>
      </c>
      <c r="CJ11" s="423"/>
      <c r="CK11" s="423" t="s">
        <v>171</v>
      </c>
      <c r="CL11" s="569" t="s">
        <v>994</v>
      </c>
      <c r="CM11" s="504"/>
      <c r="CN11" s="504"/>
      <c r="CO11" s="504"/>
      <c r="CP11" s="504"/>
      <c r="CQ11" s="504"/>
      <c r="CR11" s="504"/>
      <c r="CS11" s="504"/>
      <c r="CT11" s="504"/>
      <c r="CU11" s="504"/>
      <c r="CV11" s="504"/>
      <c r="CW11" s="504"/>
      <c r="CX11" s="504">
        <v>5000</v>
      </c>
      <c r="CY11" s="399">
        <f t="shared" si="21"/>
        <v>5000</v>
      </c>
      <c r="DA11" s="505">
        <f t="shared" si="28"/>
        <v>0</v>
      </c>
      <c r="DB11" s="505">
        <f t="shared" si="12"/>
        <v>0</v>
      </c>
      <c r="DC11" s="587">
        <f t="shared" si="12"/>
        <v>0</v>
      </c>
      <c r="DD11" s="587">
        <f t="shared" si="12"/>
        <v>0</v>
      </c>
      <c r="DE11" s="587">
        <f t="shared" si="12"/>
        <v>0</v>
      </c>
      <c r="DF11" s="505">
        <v>0</v>
      </c>
      <c r="DG11" s="505">
        <v>0</v>
      </c>
      <c r="DH11" s="505">
        <v>0</v>
      </c>
      <c r="DI11" s="505">
        <v>0</v>
      </c>
      <c r="DJ11" s="505">
        <v>0</v>
      </c>
      <c r="DK11" s="505">
        <v>0</v>
      </c>
      <c r="DL11" s="505">
        <v>5000</v>
      </c>
      <c r="DM11" s="399">
        <f t="shared" si="22"/>
        <v>5000</v>
      </c>
      <c r="DO11" s="396" t="s">
        <v>920</v>
      </c>
      <c r="DP11" s="396" t="s">
        <v>170</v>
      </c>
      <c r="DQ11" s="396" t="s">
        <v>1133</v>
      </c>
      <c r="DR11" s="504">
        <v>0</v>
      </c>
      <c r="DS11" s="504"/>
      <c r="DT11" s="504"/>
      <c r="DU11" s="504"/>
      <c r="DV11" s="504"/>
      <c r="DW11" s="504"/>
      <c r="DX11" s="504"/>
      <c r="DY11" s="504"/>
      <c r="DZ11" s="504"/>
      <c r="EA11" s="504"/>
      <c r="EB11" s="504"/>
      <c r="EC11" s="504"/>
      <c r="ED11" s="561">
        <v>0.3</v>
      </c>
      <c r="EE11" s="399">
        <f t="shared" si="26"/>
        <v>0</v>
      </c>
      <c r="EG11" s="505">
        <f t="shared" si="27"/>
        <v>0</v>
      </c>
      <c r="EH11" s="505">
        <f t="shared" si="14"/>
        <v>0</v>
      </c>
      <c r="EI11" s="505">
        <f t="shared" si="15"/>
        <v>0</v>
      </c>
      <c r="EJ11" s="505">
        <f t="shared" si="16"/>
        <v>0</v>
      </c>
      <c r="EK11" s="505">
        <f t="shared" si="17"/>
        <v>0</v>
      </c>
      <c r="EL11" s="505">
        <f t="shared" si="18"/>
        <v>0</v>
      </c>
      <c r="EM11" s="505">
        <f t="shared" si="23"/>
        <v>0</v>
      </c>
      <c r="EN11" s="505">
        <f t="shared" si="23"/>
        <v>0</v>
      </c>
      <c r="EO11" s="505">
        <f t="shared" si="23"/>
        <v>0</v>
      </c>
      <c r="EP11" s="505">
        <f t="shared" si="23"/>
        <v>0</v>
      </c>
      <c r="EQ11" s="505">
        <f t="shared" si="23"/>
        <v>0</v>
      </c>
      <c r="ER11" s="505">
        <f t="shared" si="23"/>
        <v>0</v>
      </c>
      <c r="ES11" s="399">
        <f t="shared" si="24"/>
        <v>0</v>
      </c>
    </row>
    <row r="12" spans="1:149" x14ac:dyDescent="0.2">
      <c r="A12" s="407" t="s">
        <v>171</v>
      </c>
      <c r="B12" s="395" t="s">
        <v>291</v>
      </c>
      <c r="C12" s="408" t="s">
        <v>292</v>
      </c>
      <c r="D12" s="414">
        <v>2000</v>
      </c>
      <c r="E12" s="417"/>
      <c r="F12" s="416">
        <f>+E12-D12</f>
        <v>-2000</v>
      </c>
      <c r="G12" s="414">
        <v>2000</v>
      </c>
      <c r="H12" s="417"/>
      <c r="I12" s="416">
        <f>+H12-G12</f>
        <v>-2000</v>
      </c>
      <c r="J12" s="414">
        <v>2000</v>
      </c>
      <c r="K12" s="417"/>
      <c r="L12" s="416">
        <f t="shared" si="29"/>
        <v>-2000</v>
      </c>
      <c r="M12" s="414">
        <v>2000</v>
      </c>
      <c r="N12" s="417"/>
      <c r="O12" s="416">
        <f t="shared" si="30"/>
        <v>-2000</v>
      </c>
      <c r="P12" s="414">
        <v>2000</v>
      </c>
      <c r="Q12" s="417"/>
      <c r="R12" s="416">
        <f t="shared" si="31"/>
        <v>-2000</v>
      </c>
      <c r="S12" s="414">
        <v>2000</v>
      </c>
      <c r="T12" s="417"/>
      <c r="U12" s="416">
        <f t="shared" si="32"/>
        <v>-2000</v>
      </c>
      <c r="V12" s="414">
        <v>2000</v>
      </c>
      <c r="W12" s="417"/>
      <c r="X12" s="416">
        <f t="shared" si="1"/>
        <v>-2000</v>
      </c>
      <c r="Y12" s="414">
        <v>2000</v>
      </c>
      <c r="Z12" s="417"/>
      <c r="AA12" s="416">
        <f t="shared" si="2"/>
        <v>-2000</v>
      </c>
      <c r="AB12" s="414">
        <v>2000</v>
      </c>
      <c r="AC12" s="417"/>
      <c r="AD12" s="416">
        <f t="shared" si="3"/>
        <v>-2000</v>
      </c>
      <c r="AE12" s="414">
        <v>2000</v>
      </c>
      <c r="AF12" s="417"/>
      <c r="AG12" s="416">
        <f t="shared" si="4"/>
        <v>-2000</v>
      </c>
      <c r="AH12" s="414">
        <v>2000</v>
      </c>
      <c r="AI12" s="417"/>
      <c r="AJ12" s="416">
        <f t="shared" si="5"/>
        <v>-2000</v>
      </c>
      <c r="AK12" s="414">
        <v>2000</v>
      </c>
      <c r="AL12" s="417"/>
      <c r="AM12" s="416">
        <f t="shared" si="6"/>
        <v>-2000</v>
      </c>
      <c r="AN12" s="412">
        <f>SUMIF($D$3:$U$3,"Actual",$D12:$U12)</f>
        <v>0</v>
      </c>
      <c r="AO12" s="412">
        <f t="shared" si="8"/>
        <v>0</v>
      </c>
      <c r="AP12" s="413">
        <f>SUMIF($D$3:$AM$3,"Actual",$D12:$AM12)</f>
        <v>0</v>
      </c>
      <c r="AQ12" s="414">
        <f>SUMIF($D$3:$AM$3,"Forecast",$D12:$AM12)</f>
        <v>24000</v>
      </c>
      <c r="AR12" s="414">
        <f t="shared" si="11"/>
        <v>-24000</v>
      </c>
      <c r="AS12" s="415"/>
      <c r="AT12" s="413"/>
      <c r="AU12" s="417"/>
      <c r="AV12" s="425" t="s">
        <v>291</v>
      </c>
      <c r="AW12" s="425"/>
      <c r="AX12" s="426">
        <v>0</v>
      </c>
      <c r="AY12" s="427"/>
      <c r="AZ12" s="427"/>
      <c r="BA12" s="427">
        <v>0</v>
      </c>
      <c r="BB12" s="427"/>
      <c r="BC12" s="427"/>
      <c r="BD12" s="427">
        <v>0</v>
      </c>
      <c r="BE12" s="427"/>
      <c r="BF12" s="427"/>
      <c r="BG12" s="427">
        <v>0</v>
      </c>
      <c r="BH12" s="427"/>
      <c r="BI12" s="427"/>
      <c r="BJ12" s="427">
        <v>0</v>
      </c>
      <c r="BK12" s="427"/>
      <c r="BL12" s="427"/>
      <c r="BM12" s="427"/>
      <c r="BN12" s="427"/>
      <c r="BO12" s="427"/>
      <c r="BP12" s="427"/>
      <c r="BQ12" s="427"/>
      <c r="BR12" s="427"/>
      <c r="BS12" s="427">
        <v>2000</v>
      </c>
      <c r="BT12" s="427"/>
      <c r="BU12" s="427"/>
      <c r="BV12" s="427">
        <v>2000</v>
      </c>
      <c r="BW12" s="427"/>
      <c r="BX12" s="427"/>
      <c r="BY12" s="427">
        <v>2000</v>
      </c>
      <c r="BZ12" s="427"/>
      <c r="CA12" s="427"/>
      <c r="CB12" s="427">
        <v>2000</v>
      </c>
      <c r="CC12" s="427"/>
      <c r="CD12" s="427"/>
      <c r="CE12" s="427">
        <v>2000</v>
      </c>
      <c r="CF12" s="427"/>
      <c r="CG12" s="427"/>
      <c r="CH12" s="427">
        <f t="shared" si="25"/>
        <v>10000</v>
      </c>
      <c r="CJ12" s="423"/>
      <c r="CK12" s="423" t="s">
        <v>171</v>
      </c>
      <c r="CL12" s="423" t="s">
        <v>995</v>
      </c>
      <c r="CM12" s="504"/>
      <c r="CN12" s="504"/>
      <c r="CO12" s="504"/>
      <c r="CP12" s="504">
        <v>5000</v>
      </c>
      <c r="CQ12" s="566">
        <v>5000</v>
      </c>
      <c r="CR12" s="566">
        <v>5000</v>
      </c>
      <c r="CS12" s="504"/>
      <c r="CT12" s="504"/>
      <c r="CU12" s="504">
        <v>10000</v>
      </c>
      <c r="CV12" s="504"/>
      <c r="CW12" s="504">
        <v>10000</v>
      </c>
      <c r="CX12" s="504"/>
      <c r="CY12" s="399">
        <f t="shared" si="21"/>
        <v>35000</v>
      </c>
      <c r="DA12" s="505">
        <v>0</v>
      </c>
      <c r="DB12" s="505">
        <f t="shared" si="12"/>
        <v>0</v>
      </c>
      <c r="DC12" s="587">
        <v>0</v>
      </c>
      <c r="DD12" s="587">
        <v>5801.5</v>
      </c>
      <c r="DE12" s="587">
        <v>0</v>
      </c>
      <c r="DF12" s="505">
        <v>0</v>
      </c>
      <c r="DG12" s="505">
        <v>0</v>
      </c>
      <c r="DH12" s="505">
        <v>0</v>
      </c>
      <c r="DI12" s="505">
        <v>0</v>
      </c>
      <c r="DJ12" s="505">
        <v>0</v>
      </c>
      <c r="DK12" s="505">
        <v>10000</v>
      </c>
      <c r="DL12" s="505">
        <v>10000</v>
      </c>
      <c r="DM12" s="399">
        <f t="shared" si="22"/>
        <v>25801.5</v>
      </c>
      <c r="DO12" s="396" t="s">
        <v>1337</v>
      </c>
      <c r="DP12" s="396" t="s">
        <v>171</v>
      </c>
      <c r="DQ12" s="396" t="s">
        <v>995</v>
      </c>
      <c r="DR12" s="504" t="s">
        <v>993</v>
      </c>
      <c r="DS12" s="504" t="s">
        <v>1005</v>
      </c>
      <c r="DT12" s="504" t="s">
        <v>1005</v>
      </c>
      <c r="DU12" s="504">
        <f>10000*$ED$12</f>
        <v>3000</v>
      </c>
      <c r="DV12" s="504">
        <f t="shared" ref="DV12:DW12" si="33">10000*$ED$12</f>
        <v>3000</v>
      </c>
      <c r="DW12" s="504">
        <f t="shared" si="33"/>
        <v>3000</v>
      </c>
      <c r="DX12" s="504" t="s">
        <v>1005</v>
      </c>
      <c r="DY12" s="504" t="s">
        <v>1005</v>
      </c>
      <c r="DZ12" s="504" t="s">
        <v>1005</v>
      </c>
      <c r="EA12" s="504" t="s">
        <v>1005</v>
      </c>
      <c r="EB12" s="504" t="s">
        <v>1005</v>
      </c>
      <c r="EC12" s="504" t="s">
        <v>1005</v>
      </c>
      <c r="ED12" s="561">
        <v>0.3</v>
      </c>
      <c r="EE12" s="399">
        <f t="shared" si="26"/>
        <v>9000</v>
      </c>
      <c r="EG12" s="505" t="str">
        <f t="shared" si="27"/>
        <v xml:space="preserve">$-   </v>
      </c>
      <c r="EH12" s="505" t="str">
        <f t="shared" si="14"/>
        <v xml:space="preserve"> $-   </v>
      </c>
      <c r="EI12" s="505" t="str">
        <f t="shared" si="15"/>
        <v xml:space="preserve"> $-   </v>
      </c>
      <c r="EJ12" s="505">
        <f t="shared" si="16"/>
        <v>3000</v>
      </c>
      <c r="EK12" s="505">
        <f t="shared" si="17"/>
        <v>3000</v>
      </c>
      <c r="EL12" s="505">
        <f t="shared" si="18"/>
        <v>3000</v>
      </c>
      <c r="EM12" s="505" t="str">
        <f t="shared" si="23"/>
        <v xml:space="preserve"> $-   </v>
      </c>
      <c r="EN12" s="505" t="str">
        <f t="shared" si="23"/>
        <v xml:space="preserve"> $-   </v>
      </c>
      <c r="EO12" s="505" t="str">
        <f t="shared" si="23"/>
        <v xml:space="preserve"> $-   </v>
      </c>
      <c r="EP12" s="505" t="str">
        <f t="shared" si="23"/>
        <v xml:space="preserve"> $-   </v>
      </c>
      <c r="EQ12" s="505" t="str">
        <f t="shared" si="23"/>
        <v xml:space="preserve"> $-   </v>
      </c>
      <c r="ER12" s="505" t="str">
        <f t="shared" si="23"/>
        <v xml:space="preserve"> $-   </v>
      </c>
      <c r="ES12" s="399">
        <f t="shared" si="24"/>
        <v>9000</v>
      </c>
    </row>
    <row r="13" spans="1:149" x14ac:dyDescent="0.2">
      <c r="A13" s="407" t="s">
        <v>170</v>
      </c>
      <c r="B13" s="395" t="s">
        <v>291</v>
      </c>
      <c r="C13" s="408" t="s">
        <v>293</v>
      </c>
      <c r="D13" s="414">
        <f>91749/12</f>
        <v>7645.75</v>
      </c>
      <c r="E13" s="417"/>
      <c r="F13" s="416">
        <f>+E13-D13</f>
        <v>-7645.75</v>
      </c>
      <c r="G13" s="414">
        <f>91749/12</f>
        <v>7645.75</v>
      </c>
      <c r="H13" s="417"/>
      <c r="I13" s="416">
        <f>+H13-G13</f>
        <v>-7645.75</v>
      </c>
      <c r="J13" s="414">
        <f>91749/12</f>
        <v>7645.75</v>
      </c>
      <c r="K13" s="417"/>
      <c r="L13" s="416">
        <f t="shared" si="29"/>
        <v>-7645.75</v>
      </c>
      <c r="M13" s="414">
        <f>91749/12</f>
        <v>7645.75</v>
      </c>
      <c r="N13" s="417"/>
      <c r="O13" s="416">
        <f t="shared" si="30"/>
        <v>-7645.75</v>
      </c>
      <c r="P13" s="414">
        <f>91749/12</f>
        <v>7645.75</v>
      </c>
      <c r="Q13" s="417"/>
      <c r="R13" s="416">
        <f t="shared" si="31"/>
        <v>-7645.75</v>
      </c>
      <c r="S13" s="414">
        <f>91749/12</f>
        <v>7645.75</v>
      </c>
      <c r="T13" s="417"/>
      <c r="U13" s="416">
        <f t="shared" si="32"/>
        <v>-7645.75</v>
      </c>
      <c r="V13" s="414">
        <f>91749/12</f>
        <v>7645.75</v>
      </c>
      <c r="W13" s="417"/>
      <c r="X13" s="416">
        <f t="shared" si="1"/>
        <v>-7645.75</v>
      </c>
      <c r="Y13" s="414">
        <f>91749/12</f>
        <v>7645.75</v>
      </c>
      <c r="Z13" s="417"/>
      <c r="AA13" s="416">
        <f t="shared" si="2"/>
        <v>-7645.75</v>
      </c>
      <c r="AB13" s="414">
        <f>91749/12</f>
        <v>7645.75</v>
      </c>
      <c r="AC13" s="417"/>
      <c r="AD13" s="416">
        <f t="shared" si="3"/>
        <v>-7645.75</v>
      </c>
      <c r="AE13" s="414">
        <f>91749/12</f>
        <v>7645.75</v>
      </c>
      <c r="AF13" s="417"/>
      <c r="AG13" s="416">
        <f t="shared" si="4"/>
        <v>-7645.75</v>
      </c>
      <c r="AH13" s="414">
        <f>91749/12</f>
        <v>7645.75</v>
      </c>
      <c r="AI13" s="417"/>
      <c r="AJ13" s="416">
        <f t="shared" si="5"/>
        <v>-7645.75</v>
      </c>
      <c r="AK13" s="414">
        <f>91749/12</f>
        <v>7645.75</v>
      </c>
      <c r="AL13" s="417"/>
      <c r="AM13" s="416">
        <f t="shared" si="6"/>
        <v>-7645.75</v>
      </c>
      <c r="AN13" s="412">
        <f>SUMIF($D$3:$U$3,"Actual",$D13:$U13)</f>
        <v>0</v>
      </c>
      <c r="AO13" s="412">
        <f t="shared" si="8"/>
        <v>0</v>
      </c>
      <c r="AP13" s="413">
        <f>SUMIF($D$3:$AM$3,"Actual",$D13:$AM13)</f>
        <v>0</v>
      </c>
      <c r="AQ13" s="414">
        <f>SUMIF($D$3:$AM$3,"Forecast",$D13:$AM13)</f>
        <v>91749</v>
      </c>
      <c r="AR13" s="414">
        <f t="shared" si="11"/>
        <v>-91749</v>
      </c>
      <c r="AS13" s="415"/>
      <c r="AT13" s="413"/>
      <c r="AU13" s="417"/>
      <c r="AV13" s="425" t="s">
        <v>291</v>
      </c>
      <c r="AW13" s="425" t="s">
        <v>294</v>
      </c>
      <c r="AX13" s="426">
        <f>102000/12</f>
        <v>8500</v>
      </c>
      <c r="AY13" s="427"/>
      <c r="AZ13" s="427"/>
      <c r="BA13" s="427">
        <f>102000/12</f>
        <v>8500</v>
      </c>
      <c r="BB13" s="427"/>
      <c r="BC13" s="427"/>
      <c r="BD13" s="427">
        <f>102000/12</f>
        <v>8500</v>
      </c>
      <c r="BE13" s="427"/>
      <c r="BF13" s="427"/>
      <c r="BG13" s="427">
        <f>102000/12</f>
        <v>8500</v>
      </c>
      <c r="BH13" s="427"/>
      <c r="BI13" s="427"/>
      <c r="BJ13" s="427">
        <f>102000/12</f>
        <v>8500</v>
      </c>
      <c r="BK13" s="427"/>
      <c r="BL13" s="427"/>
      <c r="BM13" s="427">
        <f>102000/12</f>
        <v>8500</v>
      </c>
      <c r="BN13" s="427"/>
      <c r="BO13" s="427"/>
      <c r="BP13" s="427">
        <f>102000/12</f>
        <v>8500</v>
      </c>
      <c r="BQ13" s="427"/>
      <c r="BR13" s="427"/>
      <c r="BS13" s="427">
        <f>102000/12</f>
        <v>8500</v>
      </c>
      <c r="BT13" s="427"/>
      <c r="BU13" s="427"/>
      <c r="BV13" s="427">
        <f>102000/12</f>
        <v>8500</v>
      </c>
      <c r="BW13" s="427"/>
      <c r="BX13" s="427"/>
      <c r="BY13" s="427">
        <f>102000/12</f>
        <v>8500</v>
      </c>
      <c r="BZ13" s="427"/>
      <c r="CA13" s="427"/>
      <c r="CB13" s="427">
        <f>102000/12</f>
        <v>8500</v>
      </c>
      <c r="CC13" s="427"/>
      <c r="CD13" s="427"/>
      <c r="CE13" s="427">
        <f>102000/12</f>
        <v>8500</v>
      </c>
      <c r="CF13" s="427"/>
      <c r="CG13" s="427"/>
      <c r="CH13" s="427">
        <f t="shared" si="25"/>
        <v>102000</v>
      </c>
      <c r="CJ13" s="423"/>
      <c r="CK13" s="423" t="s">
        <v>171</v>
      </c>
      <c r="CL13" s="569" t="s">
        <v>284</v>
      </c>
      <c r="CM13" s="504"/>
      <c r="CN13" s="504">
        <v>5000</v>
      </c>
      <c r="CO13" s="504"/>
      <c r="CP13" s="504"/>
      <c r="CQ13" s="566">
        <v>5000</v>
      </c>
      <c r="CR13" s="504"/>
      <c r="CS13" s="504"/>
      <c r="CT13" s="566">
        <v>5000</v>
      </c>
      <c r="CU13" s="504"/>
      <c r="CV13" s="504"/>
      <c r="CW13" s="504">
        <v>5000</v>
      </c>
      <c r="CX13" s="504"/>
      <c r="CY13" s="399">
        <f t="shared" si="21"/>
        <v>20000</v>
      </c>
      <c r="DA13" s="505">
        <f t="shared" si="28"/>
        <v>0</v>
      </c>
      <c r="DB13" s="505">
        <v>0</v>
      </c>
      <c r="DC13" s="587">
        <f t="shared" si="12"/>
        <v>0</v>
      </c>
      <c r="DD13" s="587">
        <f t="shared" si="12"/>
        <v>0</v>
      </c>
      <c r="DE13" s="587">
        <v>0</v>
      </c>
      <c r="DF13" s="505">
        <f t="shared" si="12"/>
        <v>0</v>
      </c>
      <c r="DG13" s="505">
        <v>0</v>
      </c>
      <c r="DH13" s="505">
        <v>0</v>
      </c>
      <c r="DI13" s="505">
        <v>0</v>
      </c>
      <c r="DJ13" s="505">
        <v>0</v>
      </c>
      <c r="DK13" s="505">
        <v>5000</v>
      </c>
      <c r="DL13" s="505">
        <v>0</v>
      </c>
      <c r="DM13" s="399">
        <f t="shared" si="22"/>
        <v>5000</v>
      </c>
      <c r="DO13" s="396" t="s">
        <v>916</v>
      </c>
      <c r="DP13" s="396" t="s">
        <v>170</v>
      </c>
      <c r="DQ13" s="396" t="s">
        <v>996</v>
      </c>
      <c r="DR13" s="504">
        <f>6000*$ED$13</f>
        <v>3000</v>
      </c>
      <c r="DS13" s="504">
        <f t="shared" ref="DS13:EC13" si="34">6000*$ED$13</f>
        <v>3000</v>
      </c>
      <c r="DT13" s="504">
        <f t="shared" si="34"/>
        <v>3000</v>
      </c>
      <c r="DU13" s="504">
        <f t="shared" si="34"/>
        <v>3000</v>
      </c>
      <c r="DV13" s="504">
        <f t="shared" si="34"/>
        <v>3000</v>
      </c>
      <c r="DW13" s="504">
        <f t="shared" si="34"/>
        <v>3000</v>
      </c>
      <c r="DX13" s="504">
        <f t="shared" si="34"/>
        <v>3000</v>
      </c>
      <c r="DY13" s="504">
        <f t="shared" si="34"/>
        <v>3000</v>
      </c>
      <c r="DZ13" s="504">
        <f t="shared" si="34"/>
        <v>3000</v>
      </c>
      <c r="EA13" s="504">
        <f t="shared" si="34"/>
        <v>3000</v>
      </c>
      <c r="EB13" s="504">
        <f t="shared" si="34"/>
        <v>3000</v>
      </c>
      <c r="EC13" s="504">
        <f t="shared" si="34"/>
        <v>3000</v>
      </c>
      <c r="ED13" s="561">
        <v>0.5</v>
      </c>
      <c r="EE13" s="399">
        <f t="shared" si="26"/>
        <v>36000</v>
      </c>
      <c r="EG13" s="505">
        <v>71943</v>
      </c>
      <c r="EH13" s="505">
        <f t="shared" si="14"/>
        <v>3000</v>
      </c>
      <c r="EI13" s="505">
        <f t="shared" si="15"/>
        <v>3000</v>
      </c>
      <c r="EJ13" s="505">
        <f t="shared" si="16"/>
        <v>3000</v>
      </c>
      <c r="EK13" s="505">
        <f t="shared" si="17"/>
        <v>3000</v>
      </c>
      <c r="EL13" s="505">
        <f t="shared" si="18"/>
        <v>3000</v>
      </c>
      <c r="EM13" s="505">
        <f t="shared" si="23"/>
        <v>3000</v>
      </c>
      <c r="EN13" s="505">
        <f t="shared" si="23"/>
        <v>3000</v>
      </c>
      <c r="EO13" s="505">
        <f t="shared" si="23"/>
        <v>3000</v>
      </c>
      <c r="EP13" s="505">
        <f t="shared" si="23"/>
        <v>3000</v>
      </c>
      <c r="EQ13" s="505">
        <f t="shared" si="23"/>
        <v>3000</v>
      </c>
      <c r="ER13" s="505">
        <f t="shared" si="23"/>
        <v>3000</v>
      </c>
      <c r="ES13" s="399">
        <f t="shared" si="24"/>
        <v>104943</v>
      </c>
    </row>
    <row r="14" spans="1:149" x14ac:dyDescent="0.2">
      <c r="A14" s="407" t="s">
        <v>171</v>
      </c>
      <c r="B14" s="395" t="s">
        <v>291</v>
      </c>
      <c r="C14" s="408" t="s">
        <v>295</v>
      </c>
      <c r="D14" s="414"/>
      <c r="E14" s="417"/>
      <c r="F14" s="416"/>
      <c r="G14" s="414">
        <v>5655</v>
      </c>
      <c r="H14" s="417"/>
      <c r="I14" s="416"/>
      <c r="J14" s="414"/>
      <c r="K14" s="417"/>
      <c r="L14" s="416"/>
      <c r="M14" s="414"/>
      <c r="N14" s="417"/>
      <c r="O14" s="416"/>
      <c r="P14" s="414"/>
      <c r="Q14" s="417"/>
      <c r="R14" s="416"/>
      <c r="S14" s="414"/>
      <c r="T14" s="417"/>
      <c r="U14" s="416"/>
      <c r="V14" s="414"/>
      <c r="W14" s="417"/>
      <c r="X14" s="416"/>
      <c r="Y14" s="414"/>
      <c r="Z14" s="417"/>
      <c r="AA14" s="416"/>
      <c r="AB14" s="414"/>
      <c r="AC14" s="417"/>
      <c r="AD14" s="416"/>
      <c r="AE14" s="414"/>
      <c r="AF14" s="417"/>
      <c r="AG14" s="416"/>
      <c r="AH14" s="414"/>
      <c r="AI14" s="417"/>
      <c r="AJ14" s="416"/>
      <c r="AK14" s="414"/>
      <c r="AL14" s="417"/>
      <c r="AM14" s="416"/>
      <c r="AN14" s="412"/>
      <c r="AO14" s="412"/>
      <c r="AP14" s="413"/>
      <c r="AQ14" s="414"/>
      <c r="AR14" s="414"/>
      <c r="AS14" s="415"/>
      <c r="AT14" s="413"/>
      <c r="AU14" s="417"/>
      <c r="AV14" s="425" t="s">
        <v>291</v>
      </c>
      <c r="AW14" s="425" t="s">
        <v>294</v>
      </c>
      <c r="AX14" s="426">
        <v>0</v>
      </c>
      <c r="AY14" s="426">
        <v>0</v>
      </c>
      <c r="AZ14" s="426">
        <v>0</v>
      </c>
      <c r="BA14" s="426">
        <v>0</v>
      </c>
      <c r="BB14" s="426">
        <v>0</v>
      </c>
      <c r="BC14" s="426">
        <v>0</v>
      </c>
      <c r="BD14" s="426">
        <v>0</v>
      </c>
      <c r="BE14" s="426">
        <v>0</v>
      </c>
      <c r="BF14" s="426">
        <v>0</v>
      </c>
      <c r="BG14" s="426">
        <v>0</v>
      </c>
      <c r="BH14" s="426">
        <v>0</v>
      </c>
      <c r="BI14" s="426">
        <v>0</v>
      </c>
      <c r="BJ14" s="426">
        <v>0</v>
      </c>
      <c r="BK14" s="426">
        <v>0</v>
      </c>
      <c r="BL14" s="426">
        <v>0</v>
      </c>
      <c r="BM14" s="426">
        <v>0</v>
      </c>
      <c r="BN14" s="426">
        <v>0</v>
      </c>
      <c r="BO14" s="426">
        <v>0</v>
      </c>
      <c r="BP14" s="426">
        <v>0</v>
      </c>
      <c r="BQ14" s="426">
        <v>0</v>
      </c>
      <c r="BR14" s="426">
        <v>0</v>
      </c>
      <c r="BS14" s="426">
        <v>0</v>
      </c>
      <c r="BT14" s="426">
        <v>0</v>
      </c>
      <c r="BU14" s="426">
        <v>0</v>
      </c>
      <c r="BV14" s="426">
        <v>0</v>
      </c>
      <c r="BW14" s="426">
        <v>0</v>
      </c>
      <c r="BX14" s="426">
        <v>0</v>
      </c>
      <c r="BY14" s="426">
        <v>0</v>
      </c>
      <c r="BZ14" s="426">
        <v>0</v>
      </c>
      <c r="CA14" s="426">
        <v>0</v>
      </c>
      <c r="CB14" s="426">
        <v>0</v>
      </c>
      <c r="CC14" s="426">
        <v>0</v>
      </c>
      <c r="CD14" s="426">
        <v>0</v>
      </c>
      <c r="CE14" s="426">
        <v>0</v>
      </c>
      <c r="CF14" s="427"/>
      <c r="CG14" s="427"/>
      <c r="CH14" s="427">
        <f t="shared" si="25"/>
        <v>0</v>
      </c>
      <c r="CJ14" s="423"/>
      <c r="CK14" s="423" t="s">
        <v>170</v>
      </c>
      <c r="CL14" s="569" t="s">
        <v>996</v>
      </c>
      <c r="CM14" s="566">
        <v>15000</v>
      </c>
      <c r="CN14" s="566">
        <v>15000</v>
      </c>
      <c r="CO14" s="566">
        <v>15000</v>
      </c>
      <c r="CP14" s="566">
        <v>15000</v>
      </c>
      <c r="CQ14" s="566">
        <v>15000</v>
      </c>
      <c r="CR14" s="504"/>
      <c r="CS14" s="504"/>
      <c r="CT14" s="566">
        <v>30000</v>
      </c>
      <c r="CU14" s="504">
        <v>15000</v>
      </c>
      <c r="CV14" s="504">
        <v>15000</v>
      </c>
      <c r="CW14" s="504">
        <v>15000</v>
      </c>
      <c r="CX14" s="504">
        <v>15000</v>
      </c>
      <c r="CY14" s="399">
        <f t="shared" si="21"/>
        <v>165000</v>
      </c>
      <c r="DA14" s="505">
        <v>0</v>
      </c>
      <c r="DB14" s="505">
        <v>0</v>
      </c>
      <c r="DC14" s="587">
        <v>0</v>
      </c>
      <c r="DD14" s="587">
        <v>0</v>
      </c>
      <c r="DE14" s="587">
        <v>0</v>
      </c>
      <c r="DF14" s="505">
        <f t="shared" si="12"/>
        <v>0</v>
      </c>
      <c r="DG14" s="505">
        <v>16313.7</v>
      </c>
      <c r="DH14" s="505">
        <v>0</v>
      </c>
      <c r="DI14" s="505">
        <v>0</v>
      </c>
      <c r="DJ14" s="505">
        <v>0</v>
      </c>
      <c r="DK14" s="505">
        <v>15000</v>
      </c>
      <c r="DL14" s="505">
        <v>15000</v>
      </c>
      <c r="DM14" s="399">
        <f t="shared" si="22"/>
        <v>46313.7</v>
      </c>
      <c r="DO14" s="396" t="s">
        <v>920</v>
      </c>
      <c r="DP14" s="396" t="s">
        <v>170</v>
      </c>
      <c r="DQ14" s="396" t="s">
        <v>997</v>
      </c>
      <c r="DR14" s="504"/>
      <c r="DS14" s="504" t="s">
        <v>1005</v>
      </c>
      <c r="DT14" s="504" t="s">
        <v>1005</v>
      </c>
      <c r="DU14" s="504">
        <v>14740</v>
      </c>
      <c r="DV14" s="504" t="s">
        <v>1005</v>
      </c>
      <c r="DW14" s="504" t="s">
        <v>1005</v>
      </c>
      <c r="DX14" s="504" t="s">
        <v>1005</v>
      </c>
      <c r="DY14" s="504" t="s">
        <v>1005</v>
      </c>
      <c r="DZ14" s="504" t="s">
        <v>1005</v>
      </c>
      <c r="EA14" s="504" t="s">
        <v>1005</v>
      </c>
      <c r="EB14" s="504" t="s">
        <v>1005</v>
      </c>
      <c r="EC14" s="504" t="s">
        <v>1005</v>
      </c>
      <c r="ED14" s="561">
        <v>1</v>
      </c>
      <c r="EE14" s="399">
        <f t="shared" si="26"/>
        <v>14740</v>
      </c>
      <c r="EG14" s="505">
        <f t="shared" si="27"/>
        <v>0</v>
      </c>
      <c r="EH14" s="505" t="str">
        <f t="shared" si="14"/>
        <v xml:space="preserve"> $-   </v>
      </c>
      <c r="EI14" s="505" t="str">
        <f t="shared" si="15"/>
        <v xml:space="preserve"> $-   </v>
      </c>
      <c r="EJ14" s="505">
        <f t="shared" si="16"/>
        <v>14740</v>
      </c>
      <c r="EK14" s="505" t="str">
        <f t="shared" si="17"/>
        <v xml:space="preserve"> $-   </v>
      </c>
      <c r="EL14" s="505" t="str">
        <f t="shared" si="18"/>
        <v xml:space="preserve"> $-   </v>
      </c>
      <c r="EM14" s="505" t="str">
        <f t="shared" si="23"/>
        <v xml:space="preserve"> $-   </v>
      </c>
      <c r="EN14" s="505" t="str">
        <f t="shared" si="23"/>
        <v xml:space="preserve"> $-   </v>
      </c>
      <c r="EO14" s="505" t="str">
        <f t="shared" si="23"/>
        <v xml:space="preserve"> $-   </v>
      </c>
      <c r="EP14" s="505" t="str">
        <f t="shared" si="23"/>
        <v xml:space="preserve"> $-   </v>
      </c>
      <c r="EQ14" s="505" t="str">
        <f t="shared" si="23"/>
        <v xml:space="preserve"> $-   </v>
      </c>
      <c r="ER14" s="505" t="str">
        <f t="shared" si="23"/>
        <v xml:space="preserve"> $-   </v>
      </c>
      <c r="ES14" s="399">
        <f t="shared" si="24"/>
        <v>14740</v>
      </c>
    </row>
    <row r="15" spans="1:149" x14ac:dyDescent="0.2">
      <c r="A15" s="407" t="s">
        <v>170</v>
      </c>
      <c r="B15" s="395" t="s">
        <v>291</v>
      </c>
      <c r="C15" s="408" t="s">
        <v>296</v>
      </c>
      <c r="D15" s="414">
        <v>1500</v>
      </c>
      <c r="E15" s="417"/>
      <c r="F15" s="416">
        <f t="shared" ref="F15:F21" si="35">+E15-D15</f>
        <v>-1500</v>
      </c>
      <c r="G15" s="414">
        <v>1500</v>
      </c>
      <c r="H15" s="417"/>
      <c r="I15" s="416">
        <f t="shared" ref="I15:I21" si="36">+H15-G15</f>
        <v>-1500</v>
      </c>
      <c r="J15" s="414">
        <v>1500</v>
      </c>
      <c r="K15" s="417"/>
      <c r="L15" s="416">
        <f t="shared" si="29"/>
        <v>-1500</v>
      </c>
      <c r="M15" s="414">
        <v>1500</v>
      </c>
      <c r="N15" s="417"/>
      <c r="O15" s="416">
        <f t="shared" si="30"/>
        <v>-1500</v>
      </c>
      <c r="P15" s="414">
        <v>1500</v>
      </c>
      <c r="Q15" s="417"/>
      <c r="R15" s="416">
        <f t="shared" si="31"/>
        <v>-1500</v>
      </c>
      <c r="S15" s="414">
        <v>1500</v>
      </c>
      <c r="T15" s="417"/>
      <c r="U15" s="416">
        <f t="shared" si="32"/>
        <v>-1500</v>
      </c>
      <c r="V15" s="414">
        <v>1500</v>
      </c>
      <c r="W15" s="417"/>
      <c r="X15" s="416">
        <f t="shared" si="1"/>
        <v>-1500</v>
      </c>
      <c r="Y15" s="414">
        <v>1500</v>
      </c>
      <c r="Z15" s="417"/>
      <c r="AA15" s="416">
        <f t="shared" si="2"/>
        <v>-1500</v>
      </c>
      <c r="AB15" s="414"/>
      <c r="AC15" s="417"/>
      <c r="AD15" s="416">
        <f t="shared" si="3"/>
        <v>0</v>
      </c>
      <c r="AE15" s="414">
        <v>1500</v>
      </c>
      <c r="AF15" s="417"/>
      <c r="AG15" s="416">
        <f t="shared" si="4"/>
        <v>-1500</v>
      </c>
      <c r="AH15" s="414">
        <v>1500</v>
      </c>
      <c r="AI15" s="417"/>
      <c r="AJ15" s="416">
        <f t="shared" si="5"/>
        <v>-1500</v>
      </c>
      <c r="AK15" s="414">
        <v>1500</v>
      </c>
      <c r="AL15" s="417"/>
      <c r="AM15" s="416">
        <f t="shared" si="6"/>
        <v>-1500</v>
      </c>
      <c r="AN15" s="412">
        <f t="shared" ref="AN15:AN39" si="37">SUMIF($D$3:$U$3,"Actual",$D15:$U15)</f>
        <v>0</v>
      </c>
      <c r="AO15" s="412">
        <f t="shared" si="8"/>
        <v>0</v>
      </c>
      <c r="AP15" s="413">
        <f t="shared" ref="AP15:AP39" si="38">SUMIF($D$3:$AM$3,"Actual",$D15:$AM15)</f>
        <v>0</v>
      </c>
      <c r="AQ15" s="414">
        <f t="shared" ref="AQ15:AQ39" si="39">SUMIF($D$3:$AM$3,"Forecast",$D15:$AM15)</f>
        <v>16500</v>
      </c>
      <c r="AR15" s="414">
        <f t="shared" si="11"/>
        <v>-16500</v>
      </c>
      <c r="AS15" s="415"/>
      <c r="AT15" s="413"/>
      <c r="AU15" s="417"/>
      <c r="AV15" s="425" t="s">
        <v>291</v>
      </c>
      <c r="AW15" s="425"/>
      <c r="AX15" s="426">
        <v>0</v>
      </c>
      <c r="AY15" s="426">
        <v>0</v>
      </c>
      <c r="AZ15" s="426">
        <v>0</v>
      </c>
      <c r="BA15" s="426">
        <v>0</v>
      </c>
      <c r="BB15" s="426">
        <v>0</v>
      </c>
      <c r="BC15" s="426">
        <v>0</v>
      </c>
      <c r="BD15" s="426">
        <v>0</v>
      </c>
      <c r="BE15" s="426">
        <v>0</v>
      </c>
      <c r="BF15" s="426">
        <v>0</v>
      </c>
      <c r="BG15" s="426">
        <v>0</v>
      </c>
      <c r="BH15" s="426">
        <v>0</v>
      </c>
      <c r="BI15" s="426">
        <v>0</v>
      </c>
      <c r="BJ15" s="426">
        <v>0</v>
      </c>
      <c r="BK15" s="426">
        <v>0</v>
      </c>
      <c r="BL15" s="426">
        <v>0</v>
      </c>
      <c r="BM15" s="426">
        <v>0</v>
      </c>
      <c r="BN15" s="426">
        <v>0</v>
      </c>
      <c r="BO15" s="426">
        <v>0</v>
      </c>
      <c r="BP15" s="426">
        <v>0</v>
      </c>
      <c r="BQ15" s="426">
        <v>0</v>
      </c>
      <c r="BR15" s="426">
        <v>0</v>
      </c>
      <c r="BS15" s="426">
        <v>0</v>
      </c>
      <c r="BT15" s="426">
        <v>0</v>
      </c>
      <c r="BU15" s="426">
        <v>0</v>
      </c>
      <c r="BV15" s="426">
        <v>0</v>
      </c>
      <c r="BW15" s="426">
        <v>0</v>
      </c>
      <c r="BX15" s="426">
        <v>0</v>
      </c>
      <c r="BY15" s="426">
        <v>0</v>
      </c>
      <c r="BZ15" s="426">
        <v>0</v>
      </c>
      <c r="CA15" s="426">
        <v>0</v>
      </c>
      <c r="CB15" s="426">
        <v>0</v>
      </c>
      <c r="CC15" s="426">
        <v>0</v>
      </c>
      <c r="CD15" s="426">
        <v>0</v>
      </c>
      <c r="CE15" s="426">
        <v>0</v>
      </c>
      <c r="CF15" s="427"/>
      <c r="CG15" s="427"/>
      <c r="CH15" s="427">
        <f t="shared" si="25"/>
        <v>0</v>
      </c>
      <c r="CJ15" s="423"/>
      <c r="CK15" s="423" t="s">
        <v>170</v>
      </c>
      <c r="CL15" s="569" t="s">
        <v>997</v>
      </c>
      <c r="CM15" s="566">
        <v>8000</v>
      </c>
      <c r="CN15" s="566">
        <v>8000</v>
      </c>
      <c r="CO15" s="566">
        <v>8000</v>
      </c>
      <c r="CP15" s="566">
        <v>8000</v>
      </c>
      <c r="CQ15" s="566">
        <v>8000</v>
      </c>
      <c r="CR15" s="566">
        <v>8000</v>
      </c>
      <c r="CS15" s="504">
        <v>8000</v>
      </c>
      <c r="CT15" s="504">
        <v>8000</v>
      </c>
      <c r="CU15" s="504">
        <v>8000</v>
      </c>
      <c r="CV15" s="504">
        <v>8000</v>
      </c>
      <c r="CW15" s="504">
        <v>8000</v>
      </c>
      <c r="CX15" s="504">
        <v>8000</v>
      </c>
      <c r="CY15" s="399">
        <f t="shared" si="21"/>
        <v>96000</v>
      </c>
      <c r="DA15" s="505">
        <v>10495</v>
      </c>
      <c r="DB15" s="505">
        <v>0</v>
      </c>
      <c r="DC15" s="587">
        <v>0</v>
      </c>
      <c r="DD15" s="587">
        <v>0</v>
      </c>
      <c r="DE15" s="587">
        <v>0</v>
      </c>
      <c r="DF15" s="505">
        <v>0</v>
      </c>
      <c r="DG15" s="505">
        <v>5105</v>
      </c>
      <c r="DH15" s="505">
        <v>14270</v>
      </c>
      <c r="DI15" s="505">
        <v>0</v>
      </c>
      <c r="DJ15" s="505">
        <v>0</v>
      </c>
      <c r="DK15" s="505">
        <v>18000</v>
      </c>
      <c r="DL15" s="505">
        <v>0</v>
      </c>
      <c r="DM15" s="399">
        <f t="shared" si="22"/>
        <v>47870</v>
      </c>
      <c r="DO15" s="396" t="s">
        <v>918</v>
      </c>
      <c r="DP15" s="396" t="s">
        <v>170</v>
      </c>
      <c r="DQ15" s="396" t="s">
        <v>999</v>
      </c>
      <c r="DR15" s="504">
        <f>160250*ED15</f>
        <v>48075</v>
      </c>
      <c r="DS15" s="504"/>
      <c r="DT15" s="504"/>
      <c r="DU15" s="504"/>
      <c r="DV15" s="504"/>
      <c r="DW15" s="504"/>
      <c r="DX15" s="504"/>
      <c r="DY15" s="504"/>
      <c r="DZ15" s="504"/>
      <c r="EA15" s="504"/>
      <c r="EB15" s="504"/>
      <c r="EC15" s="504"/>
      <c r="ED15" s="561">
        <v>0.3</v>
      </c>
      <c r="EE15" s="399">
        <f t="shared" si="26"/>
        <v>48075</v>
      </c>
      <c r="EG15" s="593">
        <v>1161</v>
      </c>
      <c r="EH15" s="505">
        <f t="shared" si="14"/>
        <v>0</v>
      </c>
      <c r="EI15" s="505">
        <f t="shared" si="15"/>
        <v>0</v>
      </c>
      <c r="EJ15" s="505">
        <f t="shared" si="16"/>
        <v>0</v>
      </c>
      <c r="EK15" s="505">
        <f t="shared" si="17"/>
        <v>0</v>
      </c>
      <c r="EL15" s="505">
        <f t="shared" si="18"/>
        <v>0</v>
      </c>
      <c r="EM15" s="505">
        <f t="shared" si="23"/>
        <v>0</v>
      </c>
      <c r="EN15" s="505">
        <f t="shared" si="23"/>
        <v>0</v>
      </c>
      <c r="EO15" s="505">
        <f t="shared" si="23"/>
        <v>0</v>
      </c>
      <c r="EP15" s="505">
        <f t="shared" si="23"/>
        <v>0</v>
      </c>
      <c r="EQ15" s="505">
        <f t="shared" si="23"/>
        <v>0</v>
      </c>
      <c r="ER15" s="505">
        <f t="shared" si="23"/>
        <v>0</v>
      </c>
      <c r="ES15" s="399">
        <f t="shared" si="24"/>
        <v>1161</v>
      </c>
    </row>
    <row r="16" spans="1:149" x14ac:dyDescent="0.2">
      <c r="A16" s="407" t="s">
        <v>170</v>
      </c>
      <c r="B16" s="395" t="s">
        <v>291</v>
      </c>
      <c r="C16" s="408" t="s">
        <v>297</v>
      </c>
      <c r="D16" s="414"/>
      <c r="E16" s="417"/>
      <c r="F16" s="416">
        <f t="shared" si="35"/>
        <v>0</v>
      </c>
      <c r="G16" s="414">
        <v>2000</v>
      </c>
      <c r="H16" s="417"/>
      <c r="I16" s="416">
        <f t="shared" si="36"/>
        <v>-2000</v>
      </c>
      <c r="J16" s="414">
        <v>600</v>
      </c>
      <c r="K16" s="417"/>
      <c r="L16" s="416">
        <f t="shared" si="29"/>
        <v>-600</v>
      </c>
      <c r="M16" s="414">
        <v>2000</v>
      </c>
      <c r="N16" s="417"/>
      <c r="O16" s="416">
        <f t="shared" si="30"/>
        <v>-2000</v>
      </c>
      <c r="P16" s="414"/>
      <c r="Q16" s="417"/>
      <c r="R16" s="416">
        <f t="shared" si="31"/>
        <v>0</v>
      </c>
      <c r="S16" s="414">
        <v>2000</v>
      </c>
      <c r="T16" s="417"/>
      <c r="U16" s="416">
        <f t="shared" si="32"/>
        <v>-2000</v>
      </c>
      <c r="V16" s="414"/>
      <c r="W16" s="417"/>
      <c r="X16" s="416">
        <f t="shared" si="1"/>
        <v>0</v>
      </c>
      <c r="Y16" s="414">
        <v>2000</v>
      </c>
      <c r="Z16" s="417"/>
      <c r="AA16" s="416">
        <f t="shared" si="2"/>
        <v>-2000</v>
      </c>
      <c r="AB16" s="414"/>
      <c r="AC16" s="417"/>
      <c r="AD16" s="416">
        <f t="shared" si="3"/>
        <v>0</v>
      </c>
      <c r="AE16" s="414">
        <v>4000</v>
      </c>
      <c r="AF16" s="417"/>
      <c r="AG16" s="416">
        <f t="shared" si="4"/>
        <v>-4000</v>
      </c>
      <c r="AH16" s="414">
        <v>8000</v>
      </c>
      <c r="AI16" s="417"/>
      <c r="AJ16" s="416">
        <f t="shared" si="5"/>
        <v>-8000</v>
      </c>
      <c r="AK16" s="414"/>
      <c r="AL16" s="417"/>
      <c r="AM16" s="416">
        <f t="shared" si="6"/>
        <v>0</v>
      </c>
      <c r="AN16" s="412">
        <f t="shared" si="37"/>
        <v>0</v>
      </c>
      <c r="AO16" s="412">
        <f t="shared" si="8"/>
        <v>0</v>
      </c>
      <c r="AP16" s="413">
        <f t="shared" si="38"/>
        <v>0</v>
      </c>
      <c r="AQ16" s="414">
        <f t="shared" si="39"/>
        <v>20600</v>
      </c>
      <c r="AR16" s="414">
        <f t="shared" si="11"/>
        <v>-20600</v>
      </c>
      <c r="AS16" s="415"/>
      <c r="AT16" s="413"/>
      <c r="AU16" s="417"/>
      <c r="AV16" s="425" t="s">
        <v>291</v>
      </c>
      <c r="AW16" s="425"/>
      <c r="AX16" s="426">
        <v>2000</v>
      </c>
      <c r="AY16" s="427"/>
      <c r="AZ16" s="427"/>
      <c r="BA16" s="427">
        <v>2000</v>
      </c>
      <c r="BB16" s="427"/>
      <c r="BC16" s="427"/>
      <c r="BD16" s="427">
        <v>2000</v>
      </c>
      <c r="BE16" s="427"/>
      <c r="BF16" s="427"/>
      <c r="BG16" s="427">
        <v>2000</v>
      </c>
      <c r="BH16" s="427"/>
      <c r="BI16" s="427"/>
      <c r="BJ16" s="427">
        <v>2000</v>
      </c>
      <c r="BK16" s="427"/>
      <c r="BL16" s="427"/>
      <c r="BM16" s="426">
        <v>0</v>
      </c>
      <c r="BN16" s="426">
        <v>0</v>
      </c>
      <c r="BO16" s="426">
        <v>0</v>
      </c>
      <c r="BP16" s="426">
        <v>0</v>
      </c>
      <c r="BQ16" s="427"/>
      <c r="BR16" s="427"/>
      <c r="BS16" s="427">
        <v>2000</v>
      </c>
      <c r="BT16" s="427"/>
      <c r="BU16" s="427"/>
      <c r="BV16" s="427">
        <v>2000</v>
      </c>
      <c r="BW16" s="427"/>
      <c r="BX16" s="427"/>
      <c r="BY16" s="427">
        <v>10000</v>
      </c>
      <c r="BZ16" s="427"/>
      <c r="CA16" s="427"/>
      <c r="CB16" s="427">
        <v>10000</v>
      </c>
      <c r="CC16" s="427"/>
      <c r="CD16" s="427"/>
      <c r="CE16" s="427">
        <v>2000</v>
      </c>
      <c r="CF16" s="427"/>
      <c r="CG16" s="427"/>
      <c r="CH16" s="427">
        <f t="shared" si="25"/>
        <v>36000</v>
      </c>
      <c r="CJ16" s="423"/>
      <c r="CK16" s="423" t="s">
        <v>171</v>
      </c>
      <c r="CL16" s="569" t="s">
        <v>288</v>
      </c>
      <c r="CM16" s="504"/>
      <c r="CN16" s="504"/>
      <c r="CO16" s="504"/>
      <c r="CP16" s="504">
        <v>2500</v>
      </c>
      <c r="CQ16" s="504"/>
      <c r="CR16" s="504"/>
      <c r="CS16" s="504"/>
      <c r="CT16" s="504"/>
      <c r="CU16" s="504"/>
      <c r="CV16" s="504"/>
      <c r="CW16" s="504"/>
      <c r="CX16" s="504"/>
      <c r="CY16" s="399">
        <f t="shared" si="21"/>
        <v>2500</v>
      </c>
      <c r="DA16" s="505">
        <f>1000-298.75</f>
        <v>701.25</v>
      </c>
      <c r="DB16" s="505">
        <f t="shared" si="12"/>
        <v>0</v>
      </c>
      <c r="DC16" s="587">
        <f t="shared" si="12"/>
        <v>0</v>
      </c>
      <c r="DD16" s="587">
        <v>41.25</v>
      </c>
      <c r="DE16" s="587">
        <f>-938.75+1000</f>
        <v>61.25</v>
      </c>
      <c r="DF16" s="505">
        <f t="shared" si="12"/>
        <v>0</v>
      </c>
      <c r="DG16" s="505">
        <v>0</v>
      </c>
      <c r="DH16" s="505">
        <v>0</v>
      </c>
      <c r="DI16" s="505">
        <v>0</v>
      </c>
      <c r="DJ16" s="505">
        <v>0</v>
      </c>
      <c r="DK16" s="505">
        <v>0</v>
      </c>
      <c r="DL16" s="505">
        <v>0</v>
      </c>
      <c r="DM16" s="399">
        <f t="shared" si="22"/>
        <v>803.75</v>
      </c>
      <c r="DO16" s="396" t="s">
        <v>921</v>
      </c>
      <c r="DP16" s="396" t="s">
        <v>171</v>
      </c>
      <c r="DQ16" s="396" t="s">
        <v>1113</v>
      </c>
      <c r="DR16" s="504">
        <f>2000*$ED$16+(833)</f>
        <v>1033</v>
      </c>
      <c r="DS16" s="504">
        <f t="shared" ref="DS16:EC16" si="40">2000*$ED$16+(833)</f>
        <v>1033</v>
      </c>
      <c r="DT16" s="504">
        <f t="shared" si="40"/>
        <v>1033</v>
      </c>
      <c r="DU16" s="504">
        <f t="shared" si="40"/>
        <v>1033</v>
      </c>
      <c r="DV16" s="504">
        <f t="shared" si="40"/>
        <v>1033</v>
      </c>
      <c r="DW16" s="504">
        <f t="shared" si="40"/>
        <v>1033</v>
      </c>
      <c r="DX16" s="504">
        <f t="shared" si="40"/>
        <v>1033</v>
      </c>
      <c r="DY16" s="504">
        <f t="shared" si="40"/>
        <v>1033</v>
      </c>
      <c r="DZ16" s="504">
        <f t="shared" si="40"/>
        <v>1033</v>
      </c>
      <c r="EA16" s="504">
        <f t="shared" si="40"/>
        <v>1033</v>
      </c>
      <c r="EB16" s="504">
        <f t="shared" si="40"/>
        <v>1033</v>
      </c>
      <c r="EC16" s="504">
        <f t="shared" si="40"/>
        <v>1033</v>
      </c>
      <c r="ED16" s="561">
        <v>0.1</v>
      </c>
      <c r="EE16" s="399">
        <f t="shared" si="26"/>
        <v>12396</v>
      </c>
      <c r="EG16" s="505">
        <v>0</v>
      </c>
      <c r="EH16" s="505">
        <f t="shared" si="14"/>
        <v>1033</v>
      </c>
      <c r="EI16" s="505">
        <f t="shared" si="15"/>
        <v>1033</v>
      </c>
      <c r="EJ16" s="505">
        <f t="shared" si="16"/>
        <v>1033</v>
      </c>
      <c r="EK16" s="505">
        <f t="shared" si="17"/>
        <v>1033</v>
      </c>
      <c r="EL16" s="505">
        <f t="shared" si="18"/>
        <v>1033</v>
      </c>
      <c r="EM16" s="505">
        <f t="shared" si="23"/>
        <v>1033</v>
      </c>
      <c r="EN16" s="505">
        <f t="shared" si="23"/>
        <v>1033</v>
      </c>
      <c r="EO16" s="505">
        <f t="shared" si="23"/>
        <v>1033</v>
      </c>
      <c r="EP16" s="505">
        <f t="shared" si="23"/>
        <v>1033</v>
      </c>
      <c r="EQ16" s="505">
        <f t="shared" si="23"/>
        <v>1033</v>
      </c>
      <c r="ER16" s="505">
        <f t="shared" si="23"/>
        <v>1033</v>
      </c>
      <c r="ES16" s="399">
        <f t="shared" si="24"/>
        <v>11363</v>
      </c>
    </row>
    <row r="17" spans="1:149" x14ac:dyDescent="0.2">
      <c r="A17" s="428" t="s">
        <v>298</v>
      </c>
      <c r="B17" s="429" t="s">
        <v>291</v>
      </c>
      <c r="C17" s="430" t="s">
        <v>299</v>
      </c>
      <c r="D17" s="431"/>
      <c r="E17" s="432"/>
      <c r="F17" s="433">
        <f t="shared" si="35"/>
        <v>0</v>
      </c>
      <c r="G17" s="431"/>
      <c r="H17" s="432"/>
      <c r="I17" s="433">
        <f t="shared" si="36"/>
        <v>0</v>
      </c>
      <c r="J17" s="431"/>
      <c r="K17" s="432"/>
      <c r="L17" s="433">
        <f t="shared" si="29"/>
        <v>0</v>
      </c>
      <c r="M17" s="431"/>
      <c r="N17" s="432"/>
      <c r="O17" s="433">
        <f t="shared" si="30"/>
        <v>0</v>
      </c>
      <c r="P17" s="431"/>
      <c r="Q17" s="432"/>
      <c r="R17" s="433">
        <f t="shared" si="31"/>
        <v>0</v>
      </c>
      <c r="S17" s="431"/>
      <c r="T17" s="432"/>
      <c r="U17" s="433">
        <f t="shared" si="32"/>
        <v>0</v>
      </c>
      <c r="V17" s="431"/>
      <c r="W17" s="432"/>
      <c r="X17" s="433">
        <f t="shared" si="1"/>
        <v>0</v>
      </c>
      <c r="Y17" s="431"/>
      <c r="Z17" s="432"/>
      <c r="AA17" s="433">
        <f t="shared" si="2"/>
        <v>0</v>
      </c>
      <c r="AB17" s="431"/>
      <c r="AC17" s="432"/>
      <c r="AD17" s="433">
        <f t="shared" si="3"/>
        <v>0</v>
      </c>
      <c r="AE17" s="431">
        <v>5000</v>
      </c>
      <c r="AF17" s="432"/>
      <c r="AG17" s="433">
        <f t="shared" si="4"/>
        <v>-5000</v>
      </c>
      <c r="AH17" s="431"/>
      <c r="AI17" s="432"/>
      <c r="AJ17" s="433">
        <f t="shared" si="5"/>
        <v>0</v>
      </c>
      <c r="AK17" s="431">
        <v>5000</v>
      </c>
      <c r="AL17" s="432"/>
      <c r="AM17" s="433">
        <f t="shared" si="6"/>
        <v>-5000</v>
      </c>
      <c r="AN17" s="412">
        <f t="shared" si="37"/>
        <v>0</v>
      </c>
      <c r="AO17" s="412">
        <f t="shared" si="8"/>
        <v>0</v>
      </c>
      <c r="AP17" s="413">
        <f t="shared" si="38"/>
        <v>0</v>
      </c>
      <c r="AQ17" s="414">
        <f t="shared" si="39"/>
        <v>10000</v>
      </c>
      <c r="AR17" s="414">
        <f t="shared" si="11"/>
        <v>-10000</v>
      </c>
      <c r="AS17" s="415"/>
      <c r="AT17" s="413"/>
      <c r="AU17" s="417"/>
      <c r="AV17" s="434" t="s">
        <v>291</v>
      </c>
      <c r="AW17" s="434"/>
      <c r="AX17" s="426">
        <v>0</v>
      </c>
      <c r="AY17" s="426">
        <v>0</v>
      </c>
      <c r="AZ17" s="426">
        <v>0</v>
      </c>
      <c r="BA17" s="426">
        <v>0</v>
      </c>
      <c r="BB17" s="426">
        <v>0</v>
      </c>
      <c r="BC17" s="426">
        <v>0</v>
      </c>
      <c r="BD17" s="426">
        <v>0</v>
      </c>
      <c r="BE17" s="426">
        <v>0</v>
      </c>
      <c r="BF17" s="426">
        <v>0</v>
      </c>
      <c r="BG17" s="426">
        <v>0</v>
      </c>
      <c r="BH17" s="426">
        <v>0</v>
      </c>
      <c r="BI17" s="426">
        <v>0</v>
      </c>
      <c r="BJ17" s="426">
        <v>0</v>
      </c>
      <c r="BK17" s="426">
        <v>0</v>
      </c>
      <c r="BL17" s="426">
        <v>0</v>
      </c>
      <c r="BM17" s="426">
        <v>0</v>
      </c>
      <c r="BN17" s="426">
        <v>0</v>
      </c>
      <c r="BO17" s="426">
        <v>0</v>
      </c>
      <c r="BP17" s="426">
        <v>0</v>
      </c>
      <c r="BQ17" s="426">
        <v>0</v>
      </c>
      <c r="BR17" s="426">
        <v>0</v>
      </c>
      <c r="BS17" s="426">
        <v>0</v>
      </c>
      <c r="BT17" s="426">
        <v>0</v>
      </c>
      <c r="BU17" s="426">
        <v>0</v>
      </c>
      <c r="BV17" s="426">
        <v>0</v>
      </c>
      <c r="BW17" s="426">
        <v>0</v>
      </c>
      <c r="BX17" s="426">
        <v>0</v>
      </c>
      <c r="BY17" s="426">
        <v>0</v>
      </c>
      <c r="BZ17" s="426">
        <v>0</v>
      </c>
      <c r="CA17" s="426">
        <v>0</v>
      </c>
      <c r="CB17" s="426">
        <v>0</v>
      </c>
      <c r="CC17" s="426">
        <v>0</v>
      </c>
      <c r="CD17" s="426">
        <v>0</v>
      </c>
      <c r="CE17" s="426">
        <v>0</v>
      </c>
      <c r="CF17" s="427"/>
      <c r="CG17" s="427"/>
      <c r="CH17" s="427">
        <f t="shared" si="25"/>
        <v>0</v>
      </c>
      <c r="CI17" s="435"/>
      <c r="CJ17" s="423"/>
      <c r="CK17" s="423" t="s">
        <v>171</v>
      </c>
      <c r="CL17" s="569" t="s">
        <v>998</v>
      </c>
      <c r="CM17" s="566">
        <v>2500</v>
      </c>
      <c r="CN17" s="504"/>
      <c r="CO17" s="504"/>
      <c r="CP17" s="504"/>
      <c r="CQ17" s="504">
        <v>2500</v>
      </c>
      <c r="CR17" s="504"/>
      <c r="CS17" s="504"/>
      <c r="CT17" s="504"/>
      <c r="CU17" s="504">
        <v>2500</v>
      </c>
      <c r="CV17" s="504"/>
      <c r="CW17" s="504"/>
      <c r="CX17" s="504"/>
      <c r="CY17" s="399">
        <f t="shared" si="21"/>
        <v>7500</v>
      </c>
      <c r="DA17" s="505">
        <v>0</v>
      </c>
      <c r="DB17" s="505">
        <v>5131.47</v>
      </c>
      <c r="DC17" s="587">
        <f t="shared" si="12"/>
        <v>0</v>
      </c>
      <c r="DD17" s="587">
        <f t="shared" si="12"/>
        <v>0</v>
      </c>
      <c r="DE17" s="587">
        <v>2982.53</v>
      </c>
      <c r="DF17" s="505">
        <f t="shared" si="12"/>
        <v>0</v>
      </c>
      <c r="DG17" s="505">
        <v>0</v>
      </c>
      <c r="DH17" s="505">
        <v>0</v>
      </c>
      <c r="DI17" s="505">
        <v>0</v>
      </c>
      <c r="DJ17" s="505">
        <v>63705</v>
      </c>
      <c r="DK17" s="505">
        <v>0</v>
      </c>
      <c r="DL17" s="505">
        <v>0</v>
      </c>
      <c r="DM17" s="399">
        <f t="shared" si="22"/>
        <v>71819</v>
      </c>
      <c r="DO17" s="396" t="s">
        <v>921</v>
      </c>
      <c r="DP17" s="396" t="s">
        <v>170</v>
      </c>
      <c r="DQ17" s="396" t="s">
        <v>1113</v>
      </c>
      <c r="DR17" s="504">
        <f>7500*$ED$17+(833)</f>
        <v>1583</v>
      </c>
      <c r="DS17" s="504">
        <f t="shared" ref="DS17:EC17" si="41">7500*$ED$17+(833)</f>
        <v>1583</v>
      </c>
      <c r="DT17" s="504">
        <f t="shared" si="41"/>
        <v>1583</v>
      </c>
      <c r="DU17" s="504">
        <f t="shared" si="41"/>
        <v>1583</v>
      </c>
      <c r="DV17" s="504">
        <f t="shared" si="41"/>
        <v>1583</v>
      </c>
      <c r="DW17" s="504">
        <f t="shared" si="41"/>
        <v>1583</v>
      </c>
      <c r="DX17" s="504">
        <f t="shared" si="41"/>
        <v>1583</v>
      </c>
      <c r="DY17" s="504">
        <f t="shared" si="41"/>
        <v>1583</v>
      </c>
      <c r="DZ17" s="504">
        <f t="shared" si="41"/>
        <v>1583</v>
      </c>
      <c r="EA17" s="504">
        <f t="shared" si="41"/>
        <v>1583</v>
      </c>
      <c r="EB17" s="504">
        <f t="shared" si="41"/>
        <v>1583</v>
      </c>
      <c r="EC17" s="504">
        <f t="shared" si="41"/>
        <v>1583</v>
      </c>
      <c r="ED17" s="561">
        <v>0.1</v>
      </c>
      <c r="EE17" s="399">
        <f t="shared" si="26"/>
        <v>18996</v>
      </c>
      <c r="EG17" s="505">
        <v>4702</v>
      </c>
      <c r="EH17" s="505">
        <f t="shared" si="14"/>
        <v>1583</v>
      </c>
      <c r="EI17" s="505">
        <f t="shared" si="15"/>
        <v>1583</v>
      </c>
      <c r="EJ17" s="505">
        <f t="shared" si="16"/>
        <v>1583</v>
      </c>
      <c r="EK17" s="505">
        <f t="shared" si="17"/>
        <v>1583</v>
      </c>
      <c r="EL17" s="505">
        <f t="shared" si="18"/>
        <v>1583</v>
      </c>
      <c r="EM17" s="505">
        <f t="shared" si="23"/>
        <v>1583</v>
      </c>
      <c r="EN17" s="505">
        <f t="shared" si="23"/>
        <v>1583</v>
      </c>
      <c r="EO17" s="505">
        <f t="shared" si="23"/>
        <v>1583</v>
      </c>
      <c r="EP17" s="505">
        <f t="shared" si="23"/>
        <v>1583</v>
      </c>
      <c r="EQ17" s="505">
        <f t="shared" si="23"/>
        <v>1583</v>
      </c>
      <c r="ER17" s="505">
        <f t="shared" si="23"/>
        <v>1583</v>
      </c>
      <c r="ES17" s="399">
        <f t="shared" si="24"/>
        <v>22115</v>
      </c>
    </row>
    <row r="18" spans="1:149" x14ac:dyDescent="0.2">
      <c r="A18" s="407" t="s">
        <v>170</v>
      </c>
      <c r="B18" s="395" t="s">
        <v>300</v>
      </c>
      <c r="C18" s="424" t="s">
        <v>296</v>
      </c>
      <c r="D18" s="414">
        <v>3000</v>
      </c>
      <c r="E18" s="417"/>
      <c r="F18" s="416">
        <f t="shared" si="35"/>
        <v>-3000</v>
      </c>
      <c r="G18" s="414"/>
      <c r="H18" s="417"/>
      <c r="I18" s="416">
        <f t="shared" si="36"/>
        <v>0</v>
      </c>
      <c r="J18" s="414">
        <v>1000</v>
      </c>
      <c r="K18" s="417"/>
      <c r="L18" s="416">
        <f t="shared" si="29"/>
        <v>-1000</v>
      </c>
      <c r="M18" s="414"/>
      <c r="N18" s="417"/>
      <c r="O18" s="416">
        <f t="shared" si="30"/>
        <v>0</v>
      </c>
      <c r="P18" s="414">
        <v>1000</v>
      </c>
      <c r="Q18" s="417"/>
      <c r="R18" s="416">
        <f t="shared" si="31"/>
        <v>-1000</v>
      </c>
      <c r="S18" s="414"/>
      <c r="T18" s="417"/>
      <c r="U18" s="416">
        <f t="shared" si="32"/>
        <v>0</v>
      </c>
      <c r="V18" s="414">
        <v>1000</v>
      </c>
      <c r="W18" s="417"/>
      <c r="X18" s="416">
        <f t="shared" si="1"/>
        <v>-1000</v>
      </c>
      <c r="Y18" s="414"/>
      <c r="Z18" s="417"/>
      <c r="AA18" s="416">
        <f t="shared" si="2"/>
        <v>0</v>
      </c>
      <c r="AB18" s="414">
        <v>1000</v>
      </c>
      <c r="AC18" s="417"/>
      <c r="AD18" s="416">
        <f t="shared" si="3"/>
        <v>-1000</v>
      </c>
      <c r="AE18" s="414"/>
      <c r="AF18" s="417"/>
      <c r="AG18" s="416">
        <f t="shared" si="4"/>
        <v>0</v>
      </c>
      <c r="AH18" s="414">
        <v>1000</v>
      </c>
      <c r="AI18" s="417"/>
      <c r="AJ18" s="416">
        <f t="shared" si="5"/>
        <v>-1000</v>
      </c>
      <c r="AK18" s="414"/>
      <c r="AL18" s="417"/>
      <c r="AM18" s="416">
        <f t="shared" si="6"/>
        <v>0</v>
      </c>
      <c r="AN18" s="412">
        <f t="shared" si="37"/>
        <v>0</v>
      </c>
      <c r="AO18" s="412">
        <f t="shared" si="8"/>
        <v>0</v>
      </c>
      <c r="AP18" s="413">
        <f t="shared" si="38"/>
        <v>0</v>
      </c>
      <c r="AQ18" s="414">
        <f t="shared" si="39"/>
        <v>8000</v>
      </c>
      <c r="AR18" s="414">
        <f t="shared" si="11"/>
        <v>-8000</v>
      </c>
      <c r="AS18" s="415"/>
      <c r="AT18" s="413"/>
      <c r="AU18" s="417"/>
      <c r="AV18" s="425" t="s">
        <v>301</v>
      </c>
      <c r="AW18" s="425"/>
      <c r="AX18" s="426">
        <v>500</v>
      </c>
      <c r="AY18" s="427"/>
      <c r="AZ18" s="427"/>
      <c r="BA18" s="427">
        <v>500</v>
      </c>
      <c r="BB18" s="427"/>
      <c r="BC18" s="427"/>
      <c r="BD18" s="427">
        <v>500</v>
      </c>
      <c r="BE18" s="427"/>
      <c r="BF18" s="427"/>
      <c r="BG18" s="427">
        <v>500</v>
      </c>
      <c r="BH18" s="427"/>
      <c r="BI18" s="427"/>
      <c r="BJ18" s="427">
        <v>500</v>
      </c>
      <c r="BK18" s="427"/>
      <c r="BL18" s="427"/>
      <c r="BM18" s="427">
        <v>500</v>
      </c>
      <c r="BN18" s="427"/>
      <c r="BO18" s="427"/>
      <c r="BP18" s="427">
        <v>500</v>
      </c>
      <c r="BQ18" s="427"/>
      <c r="BR18" s="427"/>
      <c r="BS18" s="427">
        <v>500</v>
      </c>
      <c r="BT18" s="427"/>
      <c r="BU18" s="427"/>
      <c r="BV18" s="427">
        <v>500</v>
      </c>
      <c r="BW18" s="427"/>
      <c r="BX18" s="427"/>
      <c r="BY18" s="427">
        <v>500</v>
      </c>
      <c r="BZ18" s="427"/>
      <c r="CA18" s="427"/>
      <c r="CB18" s="427">
        <v>500</v>
      </c>
      <c r="CC18" s="427"/>
      <c r="CD18" s="427"/>
      <c r="CE18" s="427">
        <v>500</v>
      </c>
      <c r="CF18" s="427"/>
      <c r="CG18" s="427"/>
      <c r="CH18" s="427">
        <f t="shared" si="25"/>
        <v>6000</v>
      </c>
      <c r="CJ18" s="423"/>
      <c r="CK18" s="423" t="s">
        <v>170</v>
      </c>
      <c r="CL18" s="423" t="s">
        <v>999</v>
      </c>
      <c r="CM18" s="566">
        <v>2000</v>
      </c>
      <c r="CN18" s="566">
        <v>2000</v>
      </c>
      <c r="CO18" s="566">
        <v>2000</v>
      </c>
      <c r="CP18" s="504">
        <v>2000</v>
      </c>
      <c r="CQ18" s="566">
        <v>2000</v>
      </c>
      <c r="CR18" s="504"/>
      <c r="CS18" s="504"/>
      <c r="CT18" s="504">
        <v>2000</v>
      </c>
      <c r="CU18" s="504">
        <v>2000</v>
      </c>
      <c r="CV18" s="504">
        <v>2000</v>
      </c>
      <c r="CW18" s="504">
        <v>2000</v>
      </c>
      <c r="CX18" s="504">
        <v>2000</v>
      </c>
      <c r="CY18" s="399">
        <f t="shared" si="21"/>
        <v>20000</v>
      </c>
      <c r="DA18" s="505">
        <v>0</v>
      </c>
      <c r="DB18" s="505">
        <v>0</v>
      </c>
      <c r="DC18" s="587">
        <v>0</v>
      </c>
      <c r="DD18" s="587">
        <v>680</v>
      </c>
      <c r="DE18" s="587">
        <v>0</v>
      </c>
      <c r="DF18" s="505">
        <f t="shared" si="12"/>
        <v>0</v>
      </c>
      <c r="DG18" s="505">
        <v>2342.39</v>
      </c>
      <c r="DH18" s="505">
        <v>3117.5</v>
      </c>
      <c r="DI18" s="505">
        <v>16925</v>
      </c>
      <c r="DJ18" s="505">
        <v>24410</v>
      </c>
      <c r="DK18" s="505">
        <v>2000</v>
      </c>
      <c r="DL18" s="593">
        <v>200000</v>
      </c>
      <c r="DM18" s="399">
        <f t="shared" si="22"/>
        <v>249474.89</v>
      </c>
      <c r="DO18" s="396" t="s">
        <v>920</v>
      </c>
      <c r="DP18" s="396" t="s">
        <v>170</v>
      </c>
      <c r="DQ18" s="396" t="s">
        <v>1001</v>
      </c>
      <c r="DR18" s="504">
        <v>19305.580000000002</v>
      </c>
      <c r="DS18" s="504">
        <v>19305.580000000002</v>
      </c>
      <c r="DT18" s="504">
        <v>19305.580000000002</v>
      </c>
      <c r="DU18" s="504">
        <v>19305.580000000002</v>
      </c>
      <c r="DV18" s="504">
        <v>19305.580000000002</v>
      </c>
      <c r="DW18" s="504">
        <v>19305.580000000002</v>
      </c>
      <c r="DX18" s="504">
        <v>19305.580000000002</v>
      </c>
      <c r="DY18" s="504">
        <v>19305.580000000002</v>
      </c>
      <c r="DZ18" s="504">
        <v>19305.580000000002</v>
      </c>
      <c r="EA18" s="504">
        <v>19305.580000000002</v>
      </c>
      <c r="EB18" s="504"/>
      <c r="EC18" s="504"/>
      <c r="ED18" s="561">
        <v>1</v>
      </c>
      <c r="EE18" s="399">
        <f t="shared" si="26"/>
        <v>193055.80000000005</v>
      </c>
      <c r="EG18" s="505">
        <v>21055.39</v>
      </c>
      <c r="EH18" s="505">
        <f t="shared" si="14"/>
        <v>19305.580000000002</v>
      </c>
      <c r="EI18" s="505">
        <f t="shared" si="15"/>
        <v>19305.580000000002</v>
      </c>
      <c r="EJ18" s="505">
        <f t="shared" si="16"/>
        <v>19305.580000000002</v>
      </c>
      <c r="EK18" s="505">
        <f t="shared" si="17"/>
        <v>19305.580000000002</v>
      </c>
      <c r="EL18" s="505">
        <f t="shared" si="18"/>
        <v>19305.580000000002</v>
      </c>
      <c r="EM18" s="505">
        <f t="shared" si="23"/>
        <v>19305.580000000002</v>
      </c>
      <c r="EN18" s="505">
        <f t="shared" si="23"/>
        <v>19305.580000000002</v>
      </c>
      <c r="EO18" s="505">
        <f t="shared" si="23"/>
        <v>19305.580000000002</v>
      </c>
      <c r="EP18" s="505">
        <f t="shared" si="23"/>
        <v>19305.580000000002</v>
      </c>
      <c r="EQ18" s="505">
        <f t="shared" si="23"/>
        <v>0</v>
      </c>
      <c r="ER18" s="505">
        <f t="shared" si="23"/>
        <v>0</v>
      </c>
      <c r="ES18" s="399">
        <f t="shared" si="24"/>
        <v>194805.61000000004</v>
      </c>
    </row>
    <row r="19" spans="1:149" x14ac:dyDescent="0.2">
      <c r="A19" s="407" t="s">
        <v>170</v>
      </c>
      <c r="B19" s="395" t="s">
        <v>300</v>
      </c>
      <c r="C19" s="424" t="s">
        <v>297</v>
      </c>
      <c r="D19" s="414"/>
      <c r="E19" s="417"/>
      <c r="F19" s="416">
        <f t="shared" si="35"/>
        <v>0</v>
      </c>
      <c r="G19" s="414">
        <v>2000</v>
      </c>
      <c r="H19" s="417"/>
      <c r="I19" s="416">
        <f t="shared" si="36"/>
        <v>-2000</v>
      </c>
      <c r="J19" s="414"/>
      <c r="K19" s="417"/>
      <c r="L19" s="416">
        <f t="shared" si="29"/>
        <v>0</v>
      </c>
      <c r="M19" s="414">
        <v>2000</v>
      </c>
      <c r="N19" s="417"/>
      <c r="O19" s="416">
        <f t="shared" si="30"/>
        <v>-2000</v>
      </c>
      <c r="P19" s="414"/>
      <c r="Q19" s="417"/>
      <c r="R19" s="416">
        <f t="shared" si="31"/>
        <v>0</v>
      </c>
      <c r="S19" s="414">
        <v>2000</v>
      </c>
      <c r="T19" s="417"/>
      <c r="U19" s="416">
        <f t="shared" si="32"/>
        <v>-2000</v>
      </c>
      <c r="V19" s="414"/>
      <c r="W19" s="417"/>
      <c r="X19" s="416">
        <f t="shared" si="1"/>
        <v>0</v>
      </c>
      <c r="Y19" s="414">
        <v>2000</v>
      </c>
      <c r="Z19" s="417"/>
      <c r="AA19" s="416">
        <f t="shared" si="2"/>
        <v>-2000</v>
      </c>
      <c r="AB19" s="414"/>
      <c r="AC19" s="417"/>
      <c r="AD19" s="416">
        <f t="shared" si="3"/>
        <v>0</v>
      </c>
      <c r="AE19" s="414">
        <v>2000</v>
      </c>
      <c r="AF19" s="417"/>
      <c r="AG19" s="416">
        <f t="shared" si="4"/>
        <v>-2000</v>
      </c>
      <c r="AH19" s="414">
        <v>5000</v>
      </c>
      <c r="AI19" s="417"/>
      <c r="AJ19" s="416">
        <f t="shared" si="5"/>
        <v>-5000</v>
      </c>
      <c r="AK19" s="414">
        <v>5000</v>
      </c>
      <c r="AL19" s="417"/>
      <c r="AM19" s="416">
        <f t="shared" si="6"/>
        <v>-5000</v>
      </c>
      <c r="AN19" s="412">
        <f t="shared" si="37"/>
        <v>0</v>
      </c>
      <c r="AO19" s="412">
        <f t="shared" si="8"/>
        <v>0</v>
      </c>
      <c r="AP19" s="413">
        <f t="shared" si="38"/>
        <v>0</v>
      </c>
      <c r="AQ19" s="414">
        <f t="shared" si="39"/>
        <v>20000</v>
      </c>
      <c r="AR19" s="414">
        <f t="shared" si="11"/>
        <v>-20000</v>
      </c>
      <c r="AS19" s="415"/>
      <c r="AT19" s="413"/>
      <c r="AU19" s="417"/>
      <c r="AV19" s="425" t="s">
        <v>301</v>
      </c>
      <c r="AW19" s="425"/>
      <c r="AX19" s="426">
        <v>2000</v>
      </c>
      <c r="AY19" s="427"/>
      <c r="AZ19" s="427"/>
      <c r="BA19" s="427">
        <v>2000</v>
      </c>
      <c r="BB19" s="427"/>
      <c r="BC19" s="427"/>
      <c r="BD19" s="427">
        <v>2000</v>
      </c>
      <c r="BE19" s="427"/>
      <c r="BF19" s="427"/>
      <c r="BG19" s="427">
        <v>2000</v>
      </c>
      <c r="BH19" s="427"/>
      <c r="BI19" s="427"/>
      <c r="BJ19" s="427">
        <v>2000</v>
      </c>
      <c r="BK19" s="427"/>
      <c r="BL19" s="427"/>
      <c r="BM19" s="427">
        <v>2000</v>
      </c>
      <c r="BN19" s="427"/>
      <c r="BO19" s="427"/>
      <c r="BP19" s="427">
        <v>2000</v>
      </c>
      <c r="BQ19" s="427"/>
      <c r="BR19" s="427"/>
      <c r="BS19" s="427">
        <v>2000</v>
      </c>
      <c r="BT19" s="427"/>
      <c r="BU19" s="427"/>
      <c r="BV19" s="427">
        <v>2000</v>
      </c>
      <c r="BW19" s="427"/>
      <c r="BX19" s="427"/>
      <c r="BY19" s="427">
        <v>2000</v>
      </c>
      <c r="BZ19" s="427"/>
      <c r="CA19" s="427"/>
      <c r="CB19" s="427">
        <v>2000</v>
      </c>
      <c r="CC19" s="427"/>
      <c r="CD19" s="427"/>
      <c r="CE19" s="427">
        <v>2000</v>
      </c>
      <c r="CF19" s="427"/>
      <c r="CG19" s="427"/>
      <c r="CH19" s="427">
        <f t="shared" si="25"/>
        <v>24000</v>
      </c>
      <c r="CJ19" s="423"/>
      <c r="CK19" s="423" t="s">
        <v>171</v>
      </c>
      <c r="CL19" s="569" t="s">
        <v>1000</v>
      </c>
      <c r="CM19" s="504"/>
      <c r="CN19" s="566">
        <v>10000</v>
      </c>
      <c r="CO19" s="504"/>
      <c r="CP19" s="504"/>
      <c r="CQ19" s="566">
        <v>10000</v>
      </c>
      <c r="CR19" s="504"/>
      <c r="CS19" s="504"/>
      <c r="CT19" s="504"/>
      <c r="CU19" s="504">
        <v>10000</v>
      </c>
      <c r="CV19" s="504"/>
      <c r="CW19" s="504"/>
      <c r="CX19" s="504">
        <v>10000</v>
      </c>
      <c r="CY19" s="399">
        <f t="shared" si="21"/>
        <v>40000</v>
      </c>
      <c r="DA19" s="505">
        <f t="shared" si="28"/>
        <v>0</v>
      </c>
      <c r="DB19" s="505">
        <v>0</v>
      </c>
      <c r="DC19" s="587">
        <f t="shared" si="12"/>
        <v>0</v>
      </c>
      <c r="DD19" s="587">
        <f t="shared" si="12"/>
        <v>0</v>
      </c>
      <c r="DE19" s="587">
        <v>0</v>
      </c>
      <c r="DF19" s="505">
        <f t="shared" si="12"/>
        <v>0</v>
      </c>
      <c r="DG19" s="505">
        <v>0</v>
      </c>
      <c r="DH19" s="505">
        <v>0</v>
      </c>
      <c r="DI19" s="505">
        <v>0</v>
      </c>
      <c r="DJ19" s="505">
        <v>0</v>
      </c>
      <c r="DK19" s="505">
        <v>0</v>
      </c>
      <c r="DL19" s="505">
        <v>2000</v>
      </c>
      <c r="DM19" s="399">
        <f t="shared" si="22"/>
        <v>2000</v>
      </c>
      <c r="DO19" s="396" t="s">
        <v>917</v>
      </c>
      <c r="DP19" s="396" t="s">
        <v>171</v>
      </c>
      <c r="DQ19" s="396" t="s">
        <v>1340</v>
      </c>
      <c r="DR19" s="504" t="s">
        <v>993</v>
      </c>
      <c r="DS19" s="504" t="s">
        <v>1005</v>
      </c>
      <c r="DT19" s="504" t="s">
        <v>1005</v>
      </c>
      <c r="DU19" s="504" t="s">
        <v>1005</v>
      </c>
      <c r="DV19" s="504" t="s">
        <v>1005</v>
      </c>
      <c r="DW19" s="504" t="s">
        <v>1005</v>
      </c>
      <c r="DX19" s="504" t="s">
        <v>1005</v>
      </c>
      <c r="DY19" s="504" t="s">
        <v>1005</v>
      </c>
      <c r="DZ19" s="504" t="s">
        <v>1005</v>
      </c>
      <c r="EA19" s="504" t="s">
        <v>1005</v>
      </c>
      <c r="EB19" s="504" t="s">
        <v>1005</v>
      </c>
      <c r="EC19" s="504">
        <v>0</v>
      </c>
      <c r="ED19" s="561">
        <v>0.5</v>
      </c>
      <c r="EE19" s="399">
        <f t="shared" si="26"/>
        <v>0</v>
      </c>
      <c r="EG19" s="505" t="str">
        <f t="shared" si="27"/>
        <v xml:space="preserve">$-   </v>
      </c>
      <c r="EH19" s="505" t="str">
        <f t="shared" si="14"/>
        <v xml:space="preserve"> $-   </v>
      </c>
      <c r="EI19" s="505" t="str">
        <f t="shared" si="15"/>
        <v xml:space="preserve"> $-   </v>
      </c>
      <c r="EJ19" s="505" t="str">
        <f t="shared" si="16"/>
        <v xml:space="preserve"> $-   </v>
      </c>
      <c r="EK19" s="505" t="str">
        <f t="shared" si="17"/>
        <v xml:space="preserve"> $-   </v>
      </c>
      <c r="EL19" s="505" t="str">
        <f t="shared" si="18"/>
        <v xml:space="preserve"> $-   </v>
      </c>
      <c r="EM19" s="505" t="str">
        <f t="shared" si="23"/>
        <v xml:space="preserve"> $-   </v>
      </c>
      <c r="EN19" s="505" t="str">
        <f t="shared" si="23"/>
        <v xml:space="preserve"> $-   </v>
      </c>
      <c r="EO19" s="505" t="str">
        <f t="shared" si="23"/>
        <v xml:space="preserve"> $-   </v>
      </c>
      <c r="EP19" s="505" t="str">
        <f t="shared" si="23"/>
        <v xml:space="preserve"> $-   </v>
      </c>
      <c r="EQ19" s="505" t="str">
        <f t="shared" si="23"/>
        <v xml:space="preserve"> $-   </v>
      </c>
      <c r="ER19" s="505">
        <f t="shared" si="23"/>
        <v>0</v>
      </c>
      <c r="ES19" s="399">
        <f t="shared" si="24"/>
        <v>0</v>
      </c>
    </row>
    <row r="20" spans="1:149" x14ac:dyDescent="0.2">
      <c r="A20" s="407" t="s">
        <v>170</v>
      </c>
      <c r="B20" s="395" t="s">
        <v>91</v>
      </c>
      <c r="C20" s="408" t="s">
        <v>297</v>
      </c>
      <c r="D20" s="414">
        <v>2000</v>
      </c>
      <c r="E20" s="417"/>
      <c r="F20" s="416">
        <f t="shared" si="35"/>
        <v>-2000</v>
      </c>
      <c r="G20" s="414"/>
      <c r="H20" s="417"/>
      <c r="I20" s="416">
        <f t="shared" si="36"/>
        <v>0</v>
      </c>
      <c r="J20" s="414">
        <v>2000</v>
      </c>
      <c r="K20" s="417"/>
      <c r="L20" s="416">
        <f t="shared" si="29"/>
        <v>-2000</v>
      </c>
      <c r="M20" s="414"/>
      <c r="N20" s="417"/>
      <c r="O20" s="416">
        <f t="shared" si="30"/>
        <v>0</v>
      </c>
      <c r="P20" s="414">
        <v>1000</v>
      </c>
      <c r="Q20" s="417"/>
      <c r="R20" s="416">
        <f t="shared" si="31"/>
        <v>-1000</v>
      </c>
      <c r="S20" s="414"/>
      <c r="T20" s="417"/>
      <c r="U20" s="416">
        <f t="shared" si="32"/>
        <v>0</v>
      </c>
      <c r="V20" s="414">
        <v>1000</v>
      </c>
      <c r="W20" s="417"/>
      <c r="X20" s="416">
        <f t="shared" si="1"/>
        <v>-1000</v>
      </c>
      <c r="Y20" s="414"/>
      <c r="Z20" s="417"/>
      <c r="AA20" s="416">
        <f t="shared" si="2"/>
        <v>0</v>
      </c>
      <c r="AB20" s="414">
        <v>1000</v>
      </c>
      <c r="AC20" s="417"/>
      <c r="AD20" s="416">
        <f t="shared" si="3"/>
        <v>-1000</v>
      </c>
      <c r="AE20" s="414"/>
      <c r="AF20" s="417"/>
      <c r="AG20" s="416">
        <f t="shared" si="4"/>
        <v>0</v>
      </c>
      <c r="AH20" s="414">
        <v>2000</v>
      </c>
      <c r="AI20" s="417"/>
      <c r="AJ20" s="416">
        <f t="shared" si="5"/>
        <v>-2000</v>
      </c>
      <c r="AK20" s="414">
        <v>2000</v>
      </c>
      <c r="AL20" s="417"/>
      <c r="AM20" s="416">
        <f t="shared" si="6"/>
        <v>-2000</v>
      </c>
      <c r="AN20" s="412">
        <f t="shared" si="37"/>
        <v>0</v>
      </c>
      <c r="AO20" s="412">
        <f t="shared" si="8"/>
        <v>0</v>
      </c>
      <c r="AP20" s="413">
        <f t="shared" si="38"/>
        <v>0</v>
      </c>
      <c r="AQ20" s="414">
        <f t="shared" si="39"/>
        <v>11000</v>
      </c>
      <c r="AR20" s="414">
        <f t="shared" si="11"/>
        <v>-11000</v>
      </c>
      <c r="AS20" s="415"/>
      <c r="AT20" s="413"/>
      <c r="AU20" s="417"/>
      <c r="AV20" s="425" t="s">
        <v>91</v>
      </c>
      <c r="AW20" s="425"/>
      <c r="AX20" s="426">
        <v>0</v>
      </c>
      <c r="AY20" s="427"/>
      <c r="AZ20" s="427"/>
      <c r="BA20" s="427">
        <v>0</v>
      </c>
      <c r="BB20" s="427"/>
      <c r="BC20" s="427"/>
      <c r="BD20" s="427">
        <v>0</v>
      </c>
      <c r="BE20" s="427"/>
      <c r="BF20" s="427"/>
      <c r="BG20" s="427">
        <v>0</v>
      </c>
      <c r="BH20" s="427"/>
      <c r="BI20" s="427"/>
      <c r="BJ20" s="427">
        <v>0</v>
      </c>
      <c r="BK20" s="427"/>
      <c r="BL20" s="427"/>
      <c r="BM20" s="427">
        <v>0</v>
      </c>
      <c r="BN20" s="427"/>
      <c r="BO20" s="427"/>
      <c r="BP20" s="427">
        <v>0</v>
      </c>
      <c r="BQ20" s="427"/>
      <c r="BR20" s="427"/>
      <c r="BS20" s="427">
        <v>1000</v>
      </c>
      <c r="BT20" s="427"/>
      <c r="BU20" s="427"/>
      <c r="BV20" s="427">
        <v>1000</v>
      </c>
      <c r="BW20" s="427"/>
      <c r="BX20" s="427"/>
      <c r="BY20" s="427">
        <v>1000</v>
      </c>
      <c r="BZ20" s="427"/>
      <c r="CA20" s="427"/>
      <c r="CB20" s="427">
        <v>1000</v>
      </c>
      <c r="CC20" s="427"/>
      <c r="CD20" s="427"/>
      <c r="CE20" s="427">
        <v>1000</v>
      </c>
      <c r="CF20" s="427"/>
      <c r="CG20" s="427"/>
      <c r="CH20" s="427">
        <f t="shared" si="25"/>
        <v>5000</v>
      </c>
      <c r="CJ20" s="423"/>
      <c r="CK20" s="423" t="s">
        <v>170</v>
      </c>
      <c r="CL20" s="423" t="s">
        <v>1001</v>
      </c>
      <c r="CM20" s="504">
        <v>9027</v>
      </c>
      <c r="CN20" s="504">
        <v>9027</v>
      </c>
      <c r="CO20" s="504">
        <v>9027</v>
      </c>
      <c r="CP20" s="504">
        <v>9027</v>
      </c>
      <c r="CQ20" s="504">
        <v>9027</v>
      </c>
      <c r="CR20" s="504">
        <v>9027</v>
      </c>
      <c r="CS20" s="504">
        <v>9027</v>
      </c>
      <c r="CT20" s="504">
        <v>9027</v>
      </c>
      <c r="CU20" s="504">
        <v>9027</v>
      </c>
      <c r="CV20" s="504">
        <v>9027</v>
      </c>
      <c r="CW20" s="504">
        <v>0</v>
      </c>
      <c r="CX20" s="504">
        <v>0</v>
      </c>
      <c r="CY20" s="399">
        <f t="shared" si="21"/>
        <v>90270</v>
      </c>
      <c r="DA20" s="505">
        <v>10133.959999999999</v>
      </c>
      <c r="DB20" s="505">
        <v>10133.959999999999</v>
      </c>
      <c r="DC20" s="587">
        <f>10133.96+1415.89+6704.24</f>
        <v>18254.089999999997</v>
      </c>
      <c r="DD20" s="587">
        <f>20705.01+1870.73</f>
        <v>22575.739999999998</v>
      </c>
      <c r="DE20" s="587">
        <f>13699.58-929.33+2873.66</f>
        <v>15643.91</v>
      </c>
      <c r="DF20" s="593">
        <f>9027+519.56+1887.85+439.33+245.13+1726.34+929.33+381.15</f>
        <v>15155.689999999999</v>
      </c>
      <c r="DG20" s="505">
        <v>15155.69</v>
      </c>
      <c r="DH20" s="505">
        <v>15155.69</v>
      </c>
      <c r="DI20" s="505">
        <v>0</v>
      </c>
      <c r="DJ20" s="505">
        <v>0</v>
      </c>
      <c r="DK20" s="505">
        <v>1353</v>
      </c>
      <c r="DL20" s="505">
        <v>1353</v>
      </c>
      <c r="DM20" s="399">
        <f t="shared" si="22"/>
        <v>124914.73</v>
      </c>
      <c r="DO20" s="396" t="s">
        <v>916</v>
      </c>
      <c r="DP20" s="396" t="s">
        <v>170</v>
      </c>
      <c r="DQ20" s="396" t="s">
        <v>314</v>
      </c>
      <c r="DR20" s="504">
        <f>116355*$ED$20</f>
        <v>58177.5</v>
      </c>
      <c r="DS20" s="504">
        <f>671969*$ED$20</f>
        <v>335984.5</v>
      </c>
      <c r="DT20" s="504"/>
      <c r="DU20" s="504"/>
      <c r="DV20" s="504"/>
      <c r="DW20" s="504"/>
      <c r="DX20" s="504"/>
      <c r="DY20" s="504"/>
      <c r="DZ20" s="504"/>
      <c r="EA20" s="504"/>
      <c r="EB20" s="504"/>
      <c r="EC20" s="504"/>
      <c r="ED20" s="561">
        <v>0.5</v>
      </c>
      <c r="EE20" s="399">
        <f>SUM(DR20:EC20)</f>
        <v>394162</v>
      </c>
      <c r="EG20" s="505">
        <v>0</v>
      </c>
      <c r="EH20" s="505">
        <f t="shared" si="14"/>
        <v>335984.5</v>
      </c>
      <c r="EI20" s="505">
        <f t="shared" si="15"/>
        <v>0</v>
      </c>
      <c r="EJ20" s="505">
        <f t="shared" si="16"/>
        <v>0</v>
      </c>
      <c r="EK20" s="505">
        <f t="shared" si="17"/>
        <v>0</v>
      </c>
      <c r="EL20" s="505">
        <f t="shared" si="18"/>
        <v>0</v>
      </c>
      <c r="EM20" s="505">
        <f t="shared" si="23"/>
        <v>0</v>
      </c>
      <c r="EN20" s="505">
        <f t="shared" si="23"/>
        <v>0</v>
      </c>
      <c r="EO20" s="505">
        <f t="shared" si="23"/>
        <v>0</v>
      </c>
      <c r="EP20" s="505">
        <f t="shared" si="23"/>
        <v>0</v>
      </c>
      <c r="EQ20" s="505">
        <f t="shared" si="23"/>
        <v>0</v>
      </c>
      <c r="ER20" s="505">
        <f t="shared" si="23"/>
        <v>0</v>
      </c>
      <c r="ES20" s="399">
        <f t="shared" si="24"/>
        <v>335984.5</v>
      </c>
    </row>
    <row r="21" spans="1:149" ht="13.9" customHeight="1" x14ac:dyDescent="0.2">
      <c r="A21" s="407" t="s">
        <v>171</v>
      </c>
      <c r="B21" s="395" t="s">
        <v>302</v>
      </c>
      <c r="C21" s="436" t="s">
        <v>303</v>
      </c>
      <c r="D21" s="414"/>
      <c r="E21" s="417"/>
      <c r="F21" s="416">
        <f t="shared" si="35"/>
        <v>0</v>
      </c>
      <c r="G21" s="414">
        <v>4000</v>
      </c>
      <c r="H21" s="417"/>
      <c r="I21" s="416">
        <f t="shared" si="36"/>
        <v>-4000</v>
      </c>
      <c r="J21" s="414">
        <v>4000</v>
      </c>
      <c r="K21" s="417"/>
      <c r="L21" s="416">
        <f t="shared" si="29"/>
        <v>-4000</v>
      </c>
      <c r="M21" s="414">
        <v>4000</v>
      </c>
      <c r="N21" s="417"/>
      <c r="O21" s="416">
        <f t="shared" si="30"/>
        <v>-4000</v>
      </c>
      <c r="P21" s="414">
        <v>4000</v>
      </c>
      <c r="Q21" s="417"/>
      <c r="R21" s="416">
        <f t="shared" si="31"/>
        <v>-4000</v>
      </c>
      <c r="S21" s="414"/>
      <c r="T21" s="417"/>
      <c r="U21" s="416">
        <f t="shared" si="32"/>
        <v>0</v>
      </c>
      <c r="V21" s="414"/>
      <c r="W21" s="417"/>
      <c r="X21" s="416">
        <f t="shared" si="1"/>
        <v>0</v>
      </c>
      <c r="Y21" s="414"/>
      <c r="Z21" s="417"/>
      <c r="AA21" s="416">
        <f t="shared" si="2"/>
        <v>0</v>
      </c>
      <c r="AB21" s="414"/>
      <c r="AC21" s="417"/>
      <c r="AD21" s="416">
        <f t="shared" si="3"/>
        <v>0</v>
      </c>
      <c r="AE21" s="409"/>
      <c r="AF21" s="410"/>
      <c r="AG21" s="411">
        <f t="shared" si="4"/>
        <v>0</v>
      </c>
      <c r="AH21" s="409"/>
      <c r="AI21" s="410"/>
      <c r="AJ21" s="411">
        <f t="shared" si="5"/>
        <v>0</v>
      </c>
      <c r="AK21" s="409"/>
      <c r="AL21" s="410"/>
      <c r="AM21" s="411">
        <f t="shared" si="6"/>
        <v>0</v>
      </c>
      <c r="AN21" s="412">
        <f t="shared" si="37"/>
        <v>0</v>
      </c>
      <c r="AO21" s="412">
        <f t="shared" si="8"/>
        <v>0</v>
      </c>
      <c r="AP21" s="413">
        <f t="shared" si="38"/>
        <v>0</v>
      </c>
      <c r="AQ21" s="414">
        <f t="shared" si="39"/>
        <v>16000</v>
      </c>
      <c r="AR21" s="414">
        <f t="shared" si="11"/>
        <v>-16000</v>
      </c>
      <c r="AS21" s="415"/>
      <c r="AT21" s="413"/>
      <c r="AU21" s="417"/>
      <c r="AV21" s="425" t="s">
        <v>302</v>
      </c>
      <c r="AW21" s="425"/>
      <c r="AX21" s="426"/>
      <c r="AY21" s="427"/>
      <c r="AZ21" s="427"/>
      <c r="BA21" s="427"/>
      <c r="BB21" s="427"/>
      <c r="BC21" s="427"/>
      <c r="BD21" s="427"/>
      <c r="BE21" s="427"/>
      <c r="BF21" s="427"/>
      <c r="BG21" s="427"/>
      <c r="BH21" s="427"/>
      <c r="BI21" s="427"/>
      <c r="BJ21" s="427"/>
      <c r="BK21" s="427"/>
      <c r="BL21" s="427"/>
      <c r="BM21" s="427"/>
      <c r="BN21" s="427"/>
      <c r="BO21" s="427"/>
      <c r="BP21" s="427"/>
      <c r="BQ21" s="427"/>
      <c r="BR21" s="427"/>
      <c r="BS21" s="427"/>
      <c r="BT21" s="427"/>
      <c r="BU21" s="427"/>
      <c r="BV21" s="427"/>
      <c r="BW21" s="427"/>
      <c r="BX21" s="427"/>
      <c r="BY21" s="427"/>
      <c r="BZ21" s="427"/>
      <c r="CA21" s="427"/>
      <c r="CB21" s="427"/>
      <c r="CC21" s="427"/>
      <c r="CD21" s="427"/>
      <c r="CE21" s="427"/>
      <c r="CF21" s="427"/>
      <c r="CG21" s="427"/>
      <c r="CH21" s="427">
        <f t="shared" si="25"/>
        <v>0</v>
      </c>
      <c r="CJ21" s="423"/>
      <c r="CK21" s="423"/>
      <c r="CL21" s="423" t="s">
        <v>314</v>
      </c>
      <c r="CM21" s="504">
        <v>5000</v>
      </c>
      <c r="CN21" s="504">
        <v>5000</v>
      </c>
      <c r="CO21" s="504">
        <v>5000</v>
      </c>
      <c r="CP21" s="504">
        <v>5000</v>
      </c>
      <c r="CQ21" s="566">
        <v>5000</v>
      </c>
      <c r="CR21" s="566">
        <v>5000</v>
      </c>
      <c r="CS21" s="504">
        <v>5000</v>
      </c>
      <c r="CT21" s="566">
        <v>5000</v>
      </c>
      <c r="CU21" s="504">
        <v>5000</v>
      </c>
      <c r="CV21" s="504">
        <v>5000</v>
      </c>
      <c r="CW21" s="504">
        <v>5000</v>
      </c>
      <c r="CX21" s="504">
        <v>5000</v>
      </c>
      <c r="CY21" s="399">
        <f t="shared" si="21"/>
        <v>60000</v>
      </c>
      <c r="DA21" s="505">
        <v>0</v>
      </c>
      <c r="DB21" s="505">
        <v>0</v>
      </c>
      <c r="DC21" s="587">
        <v>0</v>
      </c>
      <c r="DD21" s="505">
        <v>0</v>
      </c>
      <c r="DE21" s="587">
        <v>0</v>
      </c>
      <c r="DF21" s="505">
        <v>0</v>
      </c>
      <c r="DG21" s="505">
        <v>0</v>
      </c>
      <c r="DH21" s="505">
        <v>0</v>
      </c>
      <c r="DI21" s="505">
        <v>14055</v>
      </c>
      <c r="DJ21" s="505">
        <v>0</v>
      </c>
      <c r="DK21" s="505">
        <v>5000</v>
      </c>
      <c r="DL21" s="505">
        <v>5000</v>
      </c>
      <c r="DM21" s="399">
        <f t="shared" si="22"/>
        <v>24055</v>
      </c>
      <c r="DO21" s="396" t="s">
        <v>919</v>
      </c>
      <c r="DP21" s="396" t="s">
        <v>170</v>
      </c>
      <c r="DQ21" s="396" t="s">
        <v>618</v>
      </c>
      <c r="DR21" s="504">
        <f>7977*ED21</f>
        <v>2393.1</v>
      </c>
      <c r="DS21" s="504" t="s">
        <v>1005</v>
      </c>
      <c r="DT21" s="504" t="s">
        <v>1005</v>
      </c>
      <c r="DU21" s="504" t="s">
        <v>1005</v>
      </c>
      <c r="DV21" s="504" t="s">
        <v>1005</v>
      </c>
      <c r="DW21" s="504" t="s">
        <v>1005</v>
      </c>
      <c r="DX21" s="504" t="s">
        <v>1005</v>
      </c>
      <c r="DY21" s="504" t="s">
        <v>1005</v>
      </c>
      <c r="DZ21" s="504" t="s">
        <v>1005</v>
      </c>
      <c r="EA21" s="504" t="s">
        <v>1005</v>
      </c>
      <c r="EB21" s="504" t="s">
        <v>1005</v>
      </c>
      <c r="EC21" s="504" t="s">
        <v>1005</v>
      </c>
      <c r="ED21" s="561">
        <v>0.3</v>
      </c>
      <c r="EE21" s="399">
        <f t="shared" si="26"/>
        <v>2393.1</v>
      </c>
      <c r="EG21" s="505">
        <v>0</v>
      </c>
      <c r="EH21" s="505" t="str">
        <f t="shared" si="14"/>
        <v xml:space="preserve"> $-   </v>
      </c>
      <c r="EI21" s="505" t="str">
        <f t="shared" si="15"/>
        <v xml:space="preserve"> $-   </v>
      </c>
      <c r="EJ21" s="505" t="str">
        <f t="shared" si="16"/>
        <v xml:space="preserve"> $-   </v>
      </c>
      <c r="EK21" s="505" t="str">
        <f t="shared" si="17"/>
        <v xml:space="preserve"> $-   </v>
      </c>
      <c r="EL21" s="505" t="str">
        <f t="shared" si="18"/>
        <v xml:space="preserve"> $-   </v>
      </c>
      <c r="EM21" s="505" t="str">
        <f t="shared" ref="EM21:EM66" si="42">DX21</f>
        <v xml:space="preserve"> $-   </v>
      </c>
      <c r="EN21" s="505" t="str">
        <f t="shared" ref="EN21:EN66" si="43">DY21</f>
        <v xml:space="preserve"> $-   </v>
      </c>
      <c r="EO21" s="505" t="str">
        <f t="shared" ref="EO21:EO66" si="44">DZ21</f>
        <v xml:space="preserve"> $-   </v>
      </c>
      <c r="EP21" s="505" t="str">
        <f t="shared" ref="EP21:EP66" si="45">EA21</f>
        <v xml:space="preserve"> $-   </v>
      </c>
      <c r="EQ21" s="505" t="str">
        <f t="shared" ref="EQ21:EQ66" si="46">EB21</f>
        <v xml:space="preserve"> $-   </v>
      </c>
      <c r="ER21" s="505" t="str">
        <f t="shared" ref="ER21:ER66" si="47">EC21</f>
        <v xml:space="preserve"> $-   </v>
      </c>
      <c r="ES21" s="399">
        <f t="shared" si="24"/>
        <v>0</v>
      </c>
    </row>
    <row r="22" spans="1:149" x14ac:dyDescent="0.2">
      <c r="A22" s="428" t="s">
        <v>170</v>
      </c>
      <c r="B22" s="428" t="s">
        <v>304</v>
      </c>
      <c r="C22" s="428" t="s">
        <v>305</v>
      </c>
      <c r="D22" s="428"/>
      <c r="E22" s="428"/>
      <c r="F22" s="428"/>
      <c r="G22" s="428"/>
      <c r="H22" s="428"/>
      <c r="I22" s="428"/>
      <c r="J22" s="428"/>
      <c r="K22" s="428"/>
      <c r="L22" s="428"/>
      <c r="M22" s="428"/>
      <c r="N22" s="428"/>
      <c r="O22" s="428"/>
      <c r="P22" s="428"/>
      <c r="Q22" s="428"/>
      <c r="R22" s="428"/>
      <c r="S22" s="428"/>
      <c r="T22" s="428"/>
      <c r="U22" s="428"/>
      <c r="V22" s="428"/>
      <c r="W22" s="428"/>
      <c r="X22" s="428"/>
      <c r="Y22" s="428"/>
      <c r="Z22" s="428"/>
      <c r="AA22" s="428"/>
      <c r="AB22" s="428"/>
      <c r="AC22" s="428"/>
      <c r="AD22" s="428"/>
      <c r="AE22" s="428"/>
      <c r="AF22" s="428"/>
      <c r="AG22" s="428"/>
      <c r="AH22" s="428"/>
      <c r="AI22" s="428"/>
      <c r="AJ22" s="428"/>
      <c r="AK22" s="428"/>
      <c r="AL22" s="428"/>
      <c r="AM22" s="428"/>
      <c r="AN22" s="412">
        <f t="shared" si="37"/>
        <v>0</v>
      </c>
      <c r="AO22" s="412">
        <f t="shared" si="8"/>
        <v>0</v>
      </c>
      <c r="AP22" s="413">
        <f t="shared" si="38"/>
        <v>0</v>
      </c>
      <c r="AQ22" s="414">
        <f t="shared" si="39"/>
        <v>0</v>
      </c>
      <c r="AR22" s="414">
        <f t="shared" si="11"/>
        <v>0</v>
      </c>
      <c r="AS22" s="415"/>
      <c r="AT22" s="413"/>
      <c r="AU22" s="417"/>
      <c r="AV22" s="434" t="s">
        <v>304</v>
      </c>
      <c r="AW22" s="434"/>
      <c r="AX22" s="426">
        <v>0</v>
      </c>
      <c r="AY22" s="426">
        <v>0</v>
      </c>
      <c r="AZ22" s="426">
        <v>0</v>
      </c>
      <c r="BA22" s="426">
        <v>0</v>
      </c>
      <c r="BB22" s="426">
        <v>0</v>
      </c>
      <c r="BC22" s="426">
        <v>0</v>
      </c>
      <c r="BD22" s="426">
        <v>0</v>
      </c>
      <c r="BE22" s="426">
        <v>0</v>
      </c>
      <c r="BF22" s="426">
        <v>0</v>
      </c>
      <c r="BG22" s="426">
        <v>0</v>
      </c>
      <c r="BH22" s="426">
        <v>0</v>
      </c>
      <c r="BI22" s="426">
        <v>0</v>
      </c>
      <c r="BJ22" s="426">
        <v>0</v>
      </c>
      <c r="BK22" s="426">
        <v>0</v>
      </c>
      <c r="BL22" s="426">
        <v>0</v>
      </c>
      <c r="BM22" s="426">
        <v>0</v>
      </c>
      <c r="BN22" s="426">
        <v>0</v>
      </c>
      <c r="BO22" s="426">
        <v>0</v>
      </c>
      <c r="BP22" s="426">
        <v>0</v>
      </c>
      <c r="BQ22" s="426">
        <v>0</v>
      </c>
      <c r="BR22" s="426">
        <v>0</v>
      </c>
      <c r="BS22" s="426">
        <v>0</v>
      </c>
      <c r="BT22" s="426">
        <v>0</v>
      </c>
      <c r="BU22" s="426">
        <v>0</v>
      </c>
      <c r="BV22" s="426">
        <v>0</v>
      </c>
      <c r="BW22" s="426">
        <v>0</v>
      </c>
      <c r="BX22" s="426">
        <v>0</v>
      </c>
      <c r="BY22" s="426">
        <v>0</v>
      </c>
      <c r="BZ22" s="426">
        <v>0</v>
      </c>
      <c r="CA22" s="426">
        <v>0</v>
      </c>
      <c r="CB22" s="426">
        <v>0</v>
      </c>
      <c r="CC22" s="426">
        <v>0</v>
      </c>
      <c r="CD22" s="426">
        <v>0</v>
      </c>
      <c r="CE22" s="426">
        <v>0</v>
      </c>
      <c r="CF22" s="427"/>
      <c r="CG22" s="427"/>
      <c r="CH22" s="427">
        <f t="shared" si="25"/>
        <v>0</v>
      </c>
      <c r="CJ22" s="423"/>
      <c r="CK22" s="423" t="s">
        <v>171</v>
      </c>
      <c r="CL22" s="569" t="s">
        <v>1002</v>
      </c>
      <c r="CM22" s="504">
        <v>0</v>
      </c>
      <c r="CN22" s="504">
        <v>0</v>
      </c>
      <c r="CO22" s="566">
        <v>5000</v>
      </c>
      <c r="CP22" s="504">
        <v>0</v>
      </c>
      <c r="CQ22" s="504">
        <v>0</v>
      </c>
      <c r="CR22" s="566">
        <v>5000</v>
      </c>
      <c r="CS22" s="504">
        <v>0</v>
      </c>
      <c r="CT22" s="504">
        <v>0</v>
      </c>
      <c r="CU22" s="504">
        <v>5000</v>
      </c>
      <c r="CV22" s="504">
        <v>0</v>
      </c>
      <c r="CW22" s="504">
        <v>0</v>
      </c>
      <c r="CX22" s="504">
        <v>5000</v>
      </c>
      <c r="CY22" s="399">
        <f t="shared" si="21"/>
        <v>20000</v>
      </c>
      <c r="DA22" s="505">
        <f t="shared" si="28"/>
        <v>0</v>
      </c>
      <c r="DB22" s="505">
        <f t="shared" ref="DB22:DB25" si="48">CN22</f>
        <v>0</v>
      </c>
      <c r="DC22" s="587">
        <v>0</v>
      </c>
      <c r="DD22" s="505">
        <f t="shared" ref="DD22:DD24" si="49">CP22</f>
        <v>0</v>
      </c>
      <c r="DE22" s="587">
        <f t="shared" ref="DE22:DE26" si="50">CQ22</f>
        <v>0</v>
      </c>
      <c r="DF22" s="505">
        <v>0</v>
      </c>
      <c r="DG22" s="505">
        <v>0</v>
      </c>
      <c r="DH22" s="505">
        <v>0</v>
      </c>
      <c r="DI22" s="505">
        <v>0</v>
      </c>
      <c r="DJ22" s="505">
        <v>0</v>
      </c>
      <c r="DK22" s="505">
        <v>0</v>
      </c>
      <c r="DL22" s="505">
        <v>5000</v>
      </c>
      <c r="DM22" s="399">
        <f t="shared" si="22"/>
        <v>5000</v>
      </c>
      <c r="DO22" s="396" t="s">
        <v>918</v>
      </c>
      <c r="DP22" s="396" t="s">
        <v>171</v>
      </c>
      <c r="DQ22" s="396" t="s">
        <v>1341</v>
      </c>
      <c r="DR22" s="504">
        <f>35000*ED22</f>
        <v>17500</v>
      </c>
      <c r="DS22" s="504" t="s">
        <v>1005</v>
      </c>
      <c r="DT22" s="504" t="s">
        <v>1005</v>
      </c>
      <c r="DU22" s="504" t="s">
        <v>1005</v>
      </c>
      <c r="DV22" s="504" t="s">
        <v>1005</v>
      </c>
      <c r="DW22" s="504" t="s">
        <v>1005</v>
      </c>
      <c r="DX22" s="504" t="s">
        <v>1005</v>
      </c>
      <c r="DY22" s="504" t="s">
        <v>1005</v>
      </c>
      <c r="DZ22" s="504" t="s">
        <v>1005</v>
      </c>
      <c r="EA22" s="504" t="s">
        <v>1005</v>
      </c>
      <c r="EB22" s="504" t="s">
        <v>1005</v>
      </c>
      <c r="EC22" s="504" t="s">
        <v>1005</v>
      </c>
      <c r="ED22" s="561">
        <v>0.5</v>
      </c>
      <c r="EE22" s="399">
        <f t="shared" si="26"/>
        <v>17500</v>
      </c>
      <c r="EG22" s="505">
        <v>0</v>
      </c>
      <c r="EH22" s="505" t="str">
        <f t="shared" si="14"/>
        <v xml:space="preserve"> $-   </v>
      </c>
      <c r="EI22" s="505" t="str">
        <f t="shared" si="15"/>
        <v xml:space="preserve"> $-   </v>
      </c>
      <c r="EJ22" s="505" t="str">
        <f t="shared" si="16"/>
        <v xml:space="preserve"> $-   </v>
      </c>
      <c r="EK22" s="505" t="str">
        <f t="shared" si="17"/>
        <v xml:space="preserve"> $-   </v>
      </c>
      <c r="EL22" s="505" t="str">
        <f t="shared" si="18"/>
        <v xml:space="preserve"> $-   </v>
      </c>
      <c r="EM22" s="505" t="str">
        <f t="shared" si="42"/>
        <v xml:space="preserve"> $-   </v>
      </c>
      <c r="EN22" s="505" t="str">
        <f t="shared" si="43"/>
        <v xml:space="preserve"> $-   </v>
      </c>
      <c r="EO22" s="505" t="str">
        <f t="shared" si="44"/>
        <v xml:space="preserve"> $-   </v>
      </c>
      <c r="EP22" s="505" t="str">
        <f t="shared" si="45"/>
        <v xml:space="preserve"> $-   </v>
      </c>
      <c r="EQ22" s="505" t="str">
        <f t="shared" si="46"/>
        <v xml:space="preserve"> $-   </v>
      </c>
      <c r="ER22" s="505" t="str">
        <f t="shared" si="47"/>
        <v xml:space="preserve"> $-   </v>
      </c>
      <c r="ES22" s="399">
        <f t="shared" si="24"/>
        <v>0</v>
      </c>
    </row>
    <row r="23" spans="1:149" x14ac:dyDescent="0.2">
      <c r="A23" s="407" t="s">
        <v>170</v>
      </c>
      <c r="B23" s="395" t="s">
        <v>304</v>
      </c>
      <c r="C23" s="408" t="s">
        <v>306</v>
      </c>
      <c r="D23" s="409"/>
      <c r="E23" s="410"/>
      <c r="F23" s="411">
        <f>+E23-D23</f>
        <v>0</v>
      </c>
      <c r="G23" s="409"/>
      <c r="H23" s="410"/>
      <c r="I23" s="411">
        <f>+H23-G23</f>
        <v>0</v>
      </c>
      <c r="J23" s="409"/>
      <c r="K23" s="410"/>
      <c r="L23" s="411">
        <f t="shared" si="29"/>
        <v>0</v>
      </c>
      <c r="M23" s="414">
        <v>25000</v>
      </c>
      <c r="N23" s="410"/>
      <c r="O23" s="411">
        <f t="shared" si="30"/>
        <v>-25000</v>
      </c>
      <c r="P23" s="414">
        <v>25000</v>
      </c>
      <c r="Q23" s="410"/>
      <c r="R23" s="411">
        <f t="shared" si="31"/>
        <v>-25000</v>
      </c>
      <c r="S23" s="414"/>
      <c r="T23" s="410"/>
      <c r="U23" s="411">
        <f t="shared" si="32"/>
        <v>0</v>
      </c>
      <c r="V23" s="414"/>
      <c r="W23" s="417"/>
      <c r="X23" s="416">
        <f t="shared" si="1"/>
        <v>0</v>
      </c>
      <c r="Y23" s="414"/>
      <c r="Z23" s="417"/>
      <c r="AA23" s="416">
        <f t="shared" si="2"/>
        <v>0</v>
      </c>
      <c r="AB23" s="414"/>
      <c r="AC23" s="417"/>
      <c r="AD23" s="416">
        <f t="shared" si="3"/>
        <v>0</v>
      </c>
      <c r="AE23" s="414"/>
      <c r="AF23" s="417"/>
      <c r="AG23" s="416">
        <f t="shared" si="4"/>
        <v>0</v>
      </c>
      <c r="AH23" s="414"/>
      <c r="AI23" s="417"/>
      <c r="AJ23" s="416">
        <f t="shared" si="5"/>
        <v>0</v>
      </c>
      <c r="AK23" s="414"/>
      <c r="AL23" s="417"/>
      <c r="AM23" s="416">
        <f t="shared" si="6"/>
        <v>0</v>
      </c>
      <c r="AN23" s="412">
        <f t="shared" si="37"/>
        <v>0</v>
      </c>
      <c r="AO23" s="412">
        <f t="shared" si="8"/>
        <v>0</v>
      </c>
      <c r="AP23" s="413">
        <f t="shared" si="38"/>
        <v>0</v>
      </c>
      <c r="AQ23" s="414">
        <f t="shared" si="39"/>
        <v>50000</v>
      </c>
      <c r="AR23" s="414">
        <f t="shared" si="11"/>
        <v>-50000</v>
      </c>
      <c r="AS23" s="415"/>
      <c r="AT23" s="413"/>
      <c r="AU23" s="417"/>
      <c r="AV23" s="425" t="s">
        <v>304</v>
      </c>
      <c r="AW23" s="425"/>
      <c r="AX23" s="426">
        <v>0</v>
      </c>
      <c r="AY23" s="427"/>
      <c r="AZ23" s="427"/>
      <c r="BA23" s="427">
        <v>30000</v>
      </c>
      <c r="BB23" s="427"/>
      <c r="BC23" s="427"/>
      <c r="BD23" s="426">
        <v>0</v>
      </c>
      <c r="BE23" s="426">
        <v>0</v>
      </c>
      <c r="BF23" s="426">
        <v>0</v>
      </c>
      <c r="BG23" s="426">
        <v>0</v>
      </c>
      <c r="BH23" s="426">
        <v>0</v>
      </c>
      <c r="BI23" s="426">
        <v>0</v>
      </c>
      <c r="BJ23" s="426">
        <v>0</v>
      </c>
      <c r="BK23" s="426">
        <v>0</v>
      </c>
      <c r="BL23" s="426">
        <v>0</v>
      </c>
      <c r="BM23" s="426">
        <v>0</v>
      </c>
      <c r="BN23" s="426">
        <v>0</v>
      </c>
      <c r="BO23" s="426">
        <v>0</v>
      </c>
      <c r="BP23" s="426">
        <v>0</v>
      </c>
      <c r="BQ23" s="426">
        <v>0</v>
      </c>
      <c r="BR23" s="426">
        <v>0</v>
      </c>
      <c r="BS23" s="426">
        <v>0</v>
      </c>
      <c r="BT23" s="426">
        <v>0</v>
      </c>
      <c r="BU23" s="426">
        <v>0</v>
      </c>
      <c r="BV23" s="426">
        <v>0</v>
      </c>
      <c r="BW23" s="426">
        <v>0</v>
      </c>
      <c r="BX23" s="426">
        <v>0</v>
      </c>
      <c r="BY23" s="426">
        <v>0</v>
      </c>
      <c r="BZ23" s="426">
        <v>0</v>
      </c>
      <c r="CA23" s="426">
        <v>0</v>
      </c>
      <c r="CB23" s="426">
        <v>0</v>
      </c>
      <c r="CC23" s="426">
        <v>0</v>
      </c>
      <c r="CD23" s="426">
        <v>0</v>
      </c>
      <c r="CE23" s="426">
        <v>0</v>
      </c>
      <c r="CF23" s="427"/>
      <c r="CG23" s="427"/>
      <c r="CH23" s="427">
        <f t="shared" si="25"/>
        <v>30000</v>
      </c>
      <c r="CJ23" s="423"/>
      <c r="CK23" s="423" t="s">
        <v>171</v>
      </c>
      <c r="CL23" s="569" t="s">
        <v>368</v>
      </c>
      <c r="CM23" s="504"/>
      <c r="CN23" s="504"/>
      <c r="CO23" s="504"/>
      <c r="CP23" s="566">
        <v>5000</v>
      </c>
      <c r="CQ23" s="504"/>
      <c r="CR23" s="504"/>
      <c r="CS23" s="504"/>
      <c r="CT23" s="504"/>
      <c r="CU23" s="504"/>
      <c r="CV23" s="504">
        <v>5000</v>
      </c>
      <c r="CW23" s="504"/>
      <c r="CX23" s="504"/>
      <c r="CY23" s="399">
        <f t="shared" si="21"/>
        <v>10000</v>
      </c>
      <c r="DA23" s="505">
        <f t="shared" si="28"/>
        <v>0</v>
      </c>
      <c r="DB23" s="505">
        <f t="shared" si="48"/>
        <v>0</v>
      </c>
      <c r="DC23" s="587">
        <f t="shared" ref="DC23:DC25" si="51">CO23</f>
        <v>0</v>
      </c>
      <c r="DD23" s="505">
        <v>0</v>
      </c>
      <c r="DE23" s="587">
        <f t="shared" si="50"/>
        <v>0</v>
      </c>
      <c r="DF23" s="505">
        <f t="shared" ref="DF23:DF25" si="52">CR23</f>
        <v>0</v>
      </c>
      <c r="DG23" s="505">
        <v>0</v>
      </c>
      <c r="DH23" s="505">
        <v>0</v>
      </c>
      <c r="DI23" s="505">
        <v>15155.69</v>
      </c>
      <c r="DJ23" s="505">
        <v>15155.69</v>
      </c>
      <c r="DK23" s="505">
        <v>0</v>
      </c>
      <c r="DL23" s="505">
        <v>0</v>
      </c>
      <c r="DM23" s="399">
        <f t="shared" si="22"/>
        <v>30311.38</v>
      </c>
      <c r="DO23" s="396" t="s">
        <v>916</v>
      </c>
      <c r="DP23" s="396" t="s">
        <v>171</v>
      </c>
      <c r="DQ23" s="396" t="s">
        <v>1339</v>
      </c>
      <c r="DR23" s="504">
        <f>64365*ED23</f>
        <v>19309.5</v>
      </c>
      <c r="DS23" s="504" t="s">
        <v>1005</v>
      </c>
      <c r="DT23" s="504" t="s">
        <v>1005</v>
      </c>
      <c r="DU23" s="504" t="s">
        <v>1005</v>
      </c>
      <c r="DV23" s="504" t="s">
        <v>1005</v>
      </c>
      <c r="DW23" s="504" t="s">
        <v>1005</v>
      </c>
      <c r="DX23" s="504" t="s">
        <v>1005</v>
      </c>
      <c r="DY23" s="504" t="s">
        <v>1005</v>
      </c>
      <c r="DZ23" s="504" t="s">
        <v>1005</v>
      </c>
      <c r="EA23" s="504" t="s">
        <v>1005</v>
      </c>
      <c r="EB23" s="504" t="s">
        <v>1005</v>
      </c>
      <c r="EC23" s="504" t="s">
        <v>1005</v>
      </c>
      <c r="ED23" s="561">
        <v>0.3</v>
      </c>
      <c r="EE23" s="399">
        <f t="shared" si="26"/>
        <v>19309.5</v>
      </c>
      <c r="EG23" s="505">
        <v>0</v>
      </c>
      <c r="EH23" s="505" t="str">
        <f t="shared" si="14"/>
        <v xml:space="preserve"> $-   </v>
      </c>
      <c r="EI23" s="505" t="str">
        <f t="shared" si="15"/>
        <v xml:space="preserve"> $-   </v>
      </c>
      <c r="EJ23" s="505" t="str">
        <f t="shared" si="16"/>
        <v xml:space="preserve"> $-   </v>
      </c>
      <c r="EK23" s="505" t="str">
        <f t="shared" si="17"/>
        <v xml:space="preserve"> $-   </v>
      </c>
      <c r="EL23" s="505" t="str">
        <f t="shared" si="18"/>
        <v xml:space="preserve"> $-   </v>
      </c>
      <c r="EM23" s="505" t="str">
        <f t="shared" si="42"/>
        <v xml:space="preserve"> $-   </v>
      </c>
      <c r="EN23" s="505" t="str">
        <f t="shared" si="43"/>
        <v xml:space="preserve"> $-   </v>
      </c>
      <c r="EO23" s="505" t="str">
        <f t="shared" si="44"/>
        <v xml:space="preserve"> $-   </v>
      </c>
      <c r="EP23" s="505" t="str">
        <f t="shared" si="45"/>
        <v xml:space="preserve"> $-   </v>
      </c>
      <c r="EQ23" s="505" t="str">
        <f t="shared" si="46"/>
        <v xml:space="preserve"> $-   </v>
      </c>
      <c r="ER23" s="505" t="str">
        <f t="shared" si="47"/>
        <v xml:space="preserve"> $-   </v>
      </c>
      <c r="ES23" s="399">
        <f t="shared" si="24"/>
        <v>0</v>
      </c>
    </row>
    <row r="24" spans="1:149" hidden="1" x14ac:dyDescent="0.2">
      <c r="A24" s="428" t="s">
        <v>307</v>
      </c>
      <c r="B24" s="428" t="s">
        <v>308</v>
      </c>
      <c r="C24" s="428" t="s">
        <v>309</v>
      </c>
      <c r="D24" s="428"/>
      <c r="E24" s="428"/>
      <c r="F24" s="428"/>
      <c r="G24" s="428"/>
      <c r="H24" s="428"/>
      <c r="I24" s="428"/>
      <c r="J24" s="428"/>
      <c r="K24" s="428"/>
      <c r="L24" s="428"/>
      <c r="M24" s="428"/>
      <c r="N24" s="428"/>
      <c r="O24" s="428">
        <f t="shared" si="30"/>
        <v>0</v>
      </c>
      <c r="P24" s="428"/>
      <c r="Q24" s="428"/>
      <c r="R24" s="428"/>
      <c r="S24" s="428"/>
      <c r="T24" s="428"/>
      <c r="U24" s="428"/>
      <c r="V24" s="428"/>
      <c r="W24" s="428"/>
      <c r="X24" s="428"/>
      <c r="Y24" s="428"/>
      <c r="Z24" s="428"/>
      <c r="AA24" s="428"/>
      <c r="AB24" s="428"/>
      <c r="AC24" s="428"/>
      <c r="AD24" s="428"/>
      <c r="AE24" s="428"/>
      <c r="AF24" s="428"/>
      <c r="AG24" s="428"/>
      <c r="AH24" s="428"/>
      <c r="AI24" s="428"/>
      <c r="AJ24" s="428"/>
      <c r="AK24" s="428"/>
      <c r="AL24" s="428"/>
      <c r="AM24" s="428"/>
      <c r="AN24" s="412">
        <f t="shared" si="37"/>
        <v>0</v>
      </c>
      <c r="AO24" s="412">
        <f t="shared" si="8"/>
        <v>0</v>
      </c>
      <c r="AP24" s="413">
        <f t="shared" si="38"/>
        <v>0</v>
      </c>
      <c r="AQ24" s="414">
        <f t="shared" si="39"/>
        <v>0</v>
      </c>
      <c r="AR24" s="414">
        <f t="shared" si="11"/>
        <v>0</v>
      </c>
      <c r="AS24" s="415"/>
      <c r="AT24" s="413"/>
      <c r="AU24" s="417"/>
      <c r="AV24" s="434" t="s">
        <v>308</v>
      </c>
      <c r="AW24" s="434"/>
      <c r="AX24" s="426">
        <v>0</v>
      </c>
      <c r="AY24" s="427"/>
      <c r="AZ24" s="427"/>
      <c r="BA24" s="427">
        <v>0</v>
      </c>
      <c r="BB24" s="427"/>
      <c r="BC24" s="427"/>
      <c r="BD24" s="427">
        <v>0</v>
      </c>
      <c r="BE24" s="427"/>
      <c r="BF24" s="427"/>
      <c r="BG24" s="427">
        <v>0</v>
      </c>
      <c r="BH24" s="427"/>
      <c r="BI24" s="427"/>
      <c r="BJ24" s="427">
        <v>0</v>
      </c>
      <c r="BK24" s="427"/>
      <c r="BL24" s="427"/>
      <c r="BM24" s="427">
        <v>0</v>
      </c>
      <c r="BN24" s="427"/>
      <c r="BO24" s="427"/>
      <c r="BP24" s="427">
        <v>0</v>
      </c>
      <c r="BQ24" s="427"/>
      <c r="BR24" s="427"/>
      <c r="BS24" s="427">
        <v>0</v>
      </c>
      <c r="BT24" s="427"/>
      <c r="BU24" s="427"/>
      <c r="BV24" s="427">
        <v>0</v>
      </c>
      <c r="BW24" s="427"/>
      <c r="BX24" s="427"/>
      <c r="BY24" s="427">
        <v>0</v>
      </c>
      <c r="BZ24" s="427"/>
      <c r="CA24" s="427"/>
      <c r="CB24" s="427">
        <v>0</v>
      </c>
      <c r="CC24" s="427"/>
      <c r="CD24" s="427"/>
      <c r="CE24" s="427">
        <v>0</v>
      </c>
      <c r="CF24" s="427"/>
      <c r="CG24" s="427"/>
      <c r="CH24" s="427">
        <f t="shared" si="25"/>
        <v>0</v>
      </c>
      <c r="CJ24" s="423"/>
      <c r="CK24" s="423" t="s">
        <v>171</v>
      </c>
      <c r="CL24" s="569" t="s">
        <v>358</v>
      </c>
      <c r="CM24" s="504"/>
      <c r="CN24" s="566">
        <v>1500</v>
      </c>
      <c r="CO24" s="504"/>
      <c r="CP24" s="504"/>
      <c r="CQ24" s="566">
        <v>1500</v>
      </c>
      <c r="CR24" s="504"/>
      <c r="CS24" s="504"/>
      <c r="CT24" s="566">
        <v>1500</v>
      </c>
      <c r="CU24" s="504"/>
      <c r="CV24" s="504"/>
      <c r="CW24" s="504">
        <v>1500</v>
      </c>
      <c r="CX24" s="504"/>
      <c r="CY24" s="399">
        <f t="shared" si="21"/>
        <v>6000</v>
      </c>
      <c r="DA24" s="505">
        <f t="shared" si="28"/>
        <v>0</v>
      </c>
      <c r="DB24" s="505">
        <v>0</v>
      </c>
      <c r="DC24" s="587">
        <f t="shared" si="51"/>
        <v>0</v>
      </c>
      <c r="DD24" s="505">
        <f t="shared" si="49"/>
        <v>0</v>
      </c>
      <c r="DE24" s="587">
        <v>0</v>
      </c>
      <c r="DF24" s="505">
        <f t="shared" si="52"/>
        <v>0</v>
      </c>
      <c r="DG24" s="505">
        <v>0</v>
      </c>
      <c r="DH24" s="505">
        <v>0</v>
      </c>
      <c r="DI24" s="505">
        <v>0</v>
      </c>
      <c r="DJ24" s="505">
        <v>0</v>
      </c>
      <c r="DK24" s="505">
        <v>500</v>
      </c>
      <c r="DL24" s="505">
        <v>0</v>
      </c>
      <c r="DM24" s="399">
        <f t="shared" si="22"/>
        <v>500</v>
      </c>
      <c r="DO24" s="396"/>
      <c r="DP24" s="396"/>
      <c r="DQ24" s="396"/>
      <c r="DR24" s="504"/>
      <c r="DS24" s="504"/>
      <c r="DT24" s="504"/>
      <c r="DU24" s="504"/>
      <c r="DV24" s="504"/>
      <c r="DW24" s="504"/>
      <c r="DX24" s="504"/>
      <c r="DY24" s="504"/>
      <c r="DZ24" s="504"/>
      <c r="EA24" s="504"/>
      <c r="EB24" s="504"/>
      <c r="EC24" s="504"/>
      <c r="ED24" s="504"/>
      <c r="EE24" s="399">
        <f t="shared" si="26"/>
        <v>0</v>
      </c>
      <c r="EG24" s="505">
        <f t="shared" si="27"/>
        <v>0</v>
      </c>
      <c r="EH24" s="505">
        <f t="shared" si="14"/>
        <v>0</v>
      </c>
      <c r="EI24" s="505">
        <f t="shared" si="15"/>
        <v>0</v>
      </c>
      <c r="EJ24" s="505">
        <f t="shared" si="16"/>
        <v>0</v>
      </c>
      <c r="EK24" s="505">
        <f t="shared" si="17"/>
        <v>0</v>
      </c>
      <c r="EL24" s="505">
        <f t="shared" si="18"/>
        <v>0</v>
      </c>
      <c r="EM24" s="505">
        <f t="shared" si="42"/>
        <v>0</v>
      </c>
      <c r="EN24" s="505">
        <f t="shared" si="43"/>
        <v>0</v>
      </c>
      <c r="EO24" s="505">
        <f t="shared" si="44"/>
        <v>0</v>
      </c>
      <c r="EP24" s="505">
        <f t="shared" si="45"/>
        <v>0</v>
      </c>
      <c r="EQ24" s="505">
        <f t="shared" si="46"/>
        <v>0</v>
      </c>
      <c r="ER24" s="505">
        <f t="shared" si="47"/>
        <v>0</v>
      </c>
      <c r="ES24" s="399">
        <f t="shared" si="24"/>
        <v>0</v>
      </c>
    </row>
    <row r="25" spans="1:149" hidden="1" x14ac:dyDescent="0.2">
      <c r="A25" s="407" t="s">
        <v>310</v>
      </c>
      <c r="B25" s="395" t="s">
        <v>304</v>
      </c>
      <c r="C25" s="408" t="s">
        <v>311</v>
      </c>
      <c r="D25" s="414">
        <f>30000/12</f>
        <v>2500</v>
      </c>
      <c r="E25" s="417"/>
      <c r="F25" s="416">
        <f>+E25-D25</f>
        <v>-2500</v>
      </c>
      <c r="G25" s="414">
        <f>30000/12</f>
        <v>2500</v>
      </c>
      <c r="H25" s="417"/>
      <c r="I25" s="416">
        <f>+H25-G25</f>
        <v>-2500</v>
      </c>
      <c r="J25" s="414">
        <f>30000/12</f>
        <v>2500</v>
      </c>
      <c r="K25" s="417"/>
      <c r="L25" s="416">
        <f t="shared" si="29"/>
        <v>-2500</v>
      </c>
      <c r="M25" s="414">
        <f>30000/12</f>
        <v>2500</v>
      </c>
      <c r="O25" s="411">
        <f t="shared" si="30"/>
        <v>-2500</v>
      </c>
      <c r="P25" s="414">
        <f>30000/12</f>
        <v>2500</v>
      </c>
      <c r="Q25" s="417"/>
      <c r="R25" s="416">
        <f t="shared" si="31"/>
        <v>-2500</v>
      </c>
      <c r="S25" s="414">
        <f>30000/12</f>
        <v>2500</v>
      </c>
      <c r="T25" s="417"/>
      <c r="U25" s="416">
        <f t="shared" si="32"/>
        <v>-2500</v>
      </c>
      <c r="V25" s="414">
        <f>30000/12</f>
        <v>2500</v>
      </c>
      <c r="W25" s="417"/>
      <c r="X25" s="416">
        <f t="shared" si="1"/>
        <v>-2500</v>
      </c>
      <c r="Y25" s="414">
        <f>30000/12</f>
        <v>2500</v>
      </c>
      <c r="Z25" s="417"/>
      <c r="AA25" s="416">
        <f t="shared" si="2"/>
        <v>-2500</v>
      </c>
      <c r="AB25" s="414">
        <f>30000/12</f>
        <v>2500</v>
      </c>
      <c r="AC25" s="417"/>
      <c r="AD25" s="416">
        <f t="shared" si="3"/>
        <v>-2500</v>
      </c>
      <c r="AE25" s="414">
        <f>30000/12</f>
        <v>2500</v>
      </c>
      <c r="AF25" s="417"/>
      <c r="AG25" s="416">
        <f t="shared" si="4"/>
        <v>-2500</v>
      </c>
      <c r="AH25" s="414">
        <f>30000/12</f>
        <v>2500</v>
      </c>
      <c r="AI25" s="417"/>
      <c r="AJ25" s="416">
        <f t="shared" si="5"/>
        <v>-2500</v>
      </c>
      <c r="AK25" s="414">
        <f>30000/12</f>
        <v>2500</v>
      </c>
      <c r="AL25" s="417"/>
      <c r="AM25" s="416">
        <f t="shared" si="6"/>
        <v>-2500</v>
      </c>
      <c r="AN25" s="412">
        <f t="shared" si="37"/>
        <v>0</v>
      </c>
      <c r="AO25" s="412">
        <f t="shared" si="8"/>
        <v>0</v>
      </c>
      <c r="AP25" s="413">
        <f t="shared" si="38"/>
        <v>0</v>
      </c>
      <c r="AQ25" s="414">
        <f t="shared" si="39"/>
        <v>30000</v>
      </c>
      <c r="AR25" s="414">
        <f t="shared" si="11"/>
        <v>-30000</v>
      </c>
      <c r="AS25" s="415"/>
      <c r="AT25" s="413"/>
      <c r="AU25" s="417"/>
      <c r="AV25" s="425" t="s">
        <v>304</v>
      </c>
      <c r="AW25" s="425"/>
      <c r="AX25" s="426">
        <v>5000</v>
      </c>
      <c r="AY25" s="427"/>
      <c r="AZ25" s="427"/>
      <c r="BA25" s="427">
        <v>5000</v>
      </c>
      <c r="BB25" s="427"/>
      <c r="BC25" s="427"/>
      <c r="BD25" s="437">
        <v>5000</v>
      </c>
      <c r="BE25" s="427"/>
      <c r="BF25" s="427"/>
      <c r="BG25" s="427">
        <v>5000</v>
      </c>
      <c r="BH25" s="427"/>
      <c r="BI25" s="427"/>
      <c r="BJ25" s="427">
        <v>5000</v>
      </c>
      <c r="BK25" s="427"/>
      <c r="BL25" s="427"/>
      <c r="BM25" s="427">
        <v>5000</v>
      </c>
      <c r="BN25" s="427"/>
      <c r="BO25" s="427"/>
      <c r="BP25" s="427">
        <v>5000</v>
      </c>
      <c r="BQ25" s="427"/>
      <c r="BR25" s="427"/>
      <c r="BS25" s="427">
        <v>5000</v>
      </c>
      <c r="BT25" s="427"/>
      <c r="BU25" s="427"/>
      <c r="BV25" s="427">
        <v>5000</v>
      </c>
      <c r="BW25" s="427"/>
      <c r="BX25" s="427"/>
      <c r="BY25" s="427">
        <v>5000</v>
      </c>
      <c r="BZ25" s="427"/>
      <c r="CA25" s="427"/>
      <c r="CB25" s="427">
        <v>5000</v>
      </c>
      <c r="CC25" s="427"/>
      <c r="CD25" s="427"/>
      <c r="CE25" s="427">
        <v>5000</v>
      </c>
      <c r="CF25" s="427"/>
      <c r="CG25" s="427"/>
      <c r="CH25" s="427">
        <f t="shared" si="25"/>
        <v>60000</v>
      </c>
      <c r="CJ25" s="423"/>
      <c r="CK25" s="423" t="s">
        <v>171</v>
      </c>
      <c r="CL25" s="423" t="s">
        <v>1003</v>
      </c>
      <c r="CM25" s="566">
        <v>10000</v>
      </c>
      <c r="CN25" s="504"/>
      <c r="CO25" s="504"/>
      <c r="CP25" s="566">
        <v>10000</v>
      </c>
      <c r="CQ25" s="504"/>
      <c r="CR25" s="504"/>
      <c r="CS25" s="504"/>
      <c r="CT25" s="504"/>
      <c r="CU25" s="504"/>
      <c r="CV25" s="504"/>
      <c r="CW25" s="504"/>
      <c r="CX25" s="504"/>
      <c r="CY25" s="399">
        <f t="shared" si="21"/>
        <v>20000</v>
      </c>
      <c r="DA25" s="505">
        <v>0</v>
      </c>
      <c r="DB25" s="505">
        <f t="shared" si="48"/>
        <v>0</v>
      </c>
      <c r="DC25" s="587">
        <f t="shared" si="51"/>
        <v>0</v>
      </c>
      <c r="DD25" s="505">
        <v>0</v>
      </c>
      <c r="DE25" s="587">
        <f t="shared" si="50"/>
        <v>0</v>
      </c>
      <c r="DF25" s="505">
        <f t="shared" si="52"/>
        <v>0</v>
      </c>
      <c r="DG25" s="505">
        <v>0</v>
      </c>
      <c r="DH25" s="505">
        <v>0</v>
      </c>
      <c r="DI25" s="505">
        <v>0</v>
      </c>
      <c r="DJ25" s="505">
        <v>0</v>
      </c>
      <c r="DK25" s="505">
        <v>0</v>
      </c>
      <c r="DL25" s="505">
        <v>0</v>
      </c>
      <c r="DM25" s="399">
        <f t="shared" si="22"/>
        <v>0</v>
      </c>
      <c r="DO25" s="396"/>
      <c r="DP25" s="396"/>
      <c r="DQ25" s="396"/>
      <c r="DR25" s="504"/>
      <c r="DS25" s="504"/>
      <c r="DT25" s="504"/>
      <c r="DU25" s="504"/>
      <c r="DV25" s="504"/>
      <c r="DW25" s="504"/>
      <c r="DX25" s="504"/>
      <c r="DY25" s="504"/>
      <c r="DZ25" s="504"/>
      <c r="EA25" s="504"/>
      <c r="EB25" s="504"/>
      <c r="EC25" s="504"/>
      <c r="ED25" s="504"/>
      <c r="EE25" s="399">
        <f t="shared" si="26"/>
        <v>0</v>
      </c>
      <c r="EG25" s="505">
        <f t="shared" si="27"/>
        <v>0</v>
      </c>
      <c r="EH25" s="505">
        <f t="shared" si="14"/>
        <v>0</v>
      </c>
      <c r="EI25" s="505">
        <f t="shared" si="15"/>
        <v>0</v>
      </c>
      <c r="EJ25" s="505">
        <f t="shared" si="16"/>
        <v>0</v>
      </c>
      <c r="EK25" s="505">
        <f t="shared" si="17"/>
        <v>0</v>
      </c>
      <c r="EL25" s="505">
        <f t="shared" si="18"/>
        <v>0</v>
      </c>
      <c r="EM25" s="505">
        <f t="shared" si="42"/>
        <v>0</v>
      </c>
      <c r="EN25" s="505">
        <f t="shared" si="43"/>
        <v>0</v>
      </c>
      <c r="EO25" s="505">
        <f t="shared" si="44"/>
        <v>0</v>
      </c>
      <c r="EP25" s="505">
        <f t="shared" si="45"/>
        <v>0</v>
      </c>
      <c r="EQ25" s="505">
        <f t="shared" si="46"/>
        <v>0</v>
      </c>
      <c r="ER25" s="505">
        <f t="shared" si="47"/>
        <v>0</v>
      </c>
      <c r="ES25" s="399">
        <f t="shared" si="24"/>
        <v>0</v>
      </c>
    </row>
    <row r="26" spans="1:149" hidden="1" x14ac:dyDescent="0.2">
      <c r="A26" s="428" t="s">
        <v>171</v>
      </c>
      <c r="B26" s="429" t="s">
        <v>312</v>
      </c>
      <c r="C26" s="430" t="s">
        <v>313</v>
      </c>
      <c r="D26" s="431"/>
      <c r="E26" s="432"/>
      <c r="F26" s="433">
        <f>+E26-D26</f>
        <v>0</v>
      </c>
      <c r="G26" s="431">
        <v>5000</v>
      </c>
      <c r="H26" s="432"/>
      <c r="I26" s="433">
        <f>+H26-G26</f>
        <v>-5000</v>
      </c>
      <c r="J26" s="431">
        <v>5000</v>
      </c>
      <c r="K26" s="432"/>
      <c r="L26" s="433">
        <f t="shared" si="29"/>
        <v>-5000</v>
      </c>
      <c r="M26" s="431"/>
      <c r="N26" s="432"/>
      <c r="O26" s="433">
        <f t="shared" si="30"/>
        <v>0</v>
      </c>
      <c r="P26" s="431"/>
      <c r="Q26" s="432"/>
      <c r="R26" s="433">
        <f t="shared" si="31"/>
        <v>0</v>
      </c>
      <c r="S26" s="431"/>
      <c r="T26" s="432"/>
      <c r="U26" s="433">
        <f t="shared" si="32"/>
        <v>0</v>
      </c>
      <c r="V26" s="431"/>
      <c r="W26" s="432"/>
      <c r="X26" s="433">
        <f t="shared" si="1"/>
        <v>0</v>
      </c>
      <c r="Y26" s="431"/>
      <c r="Z26" s="432"/>
      <c r="AA26" s="433">
        <f t="shared" si="2"/>
        <v>0</v>
      </c>
      <c r="AB26" s="431"/>
      <c r="AC26" s="432"/>
      <c r="AD26" s="433">
        <f t="shared" si="3"/>
        <v>0</v>
      </c>
      <c r="AE26" s="431"/>
      <c r="AF26" s="432"/>
      <c r="AG26" s="433">
        <f t="shared" si="4"/>
        <v>0</v>
      </c>
      <c r="AH26" s="431"/>
      <c r="AI26" s="432"/>
      <c r="AJ26" s="433">
        <f t="shared" si="5"/>
        <v>0</v>
      </c>
      <c r="AK26" s="431"/>
      <c r="AL26" s="432"/>
      <c r="AM26" s="433">
        <f t="shared" si="6"/>
        <v>0</v>
      </c>
      <c r="AN26" s="412">
        <f t="shared" si="37"/>
        <v>0</v>
      </c>
      <c r="AO26" s="412">
        <f t="shared" si="8"/>
        <v>0</v>
      </c>
      <c r="AP26" s="413">
        <f t="shared" si="38"/>
        <v>0</v>
      </c>
      <c r="AQ26" s="414">
        <f t="shared" si="39"/>
        <v>10000</v>
      </c>
      <c r="AR26" s="414">
        <f t="shared" si="11"/>
        <v>-10000</v>
      </c>
      <c r="AS26" s="415"/>
      <c r="AT26" s="413"/>
      <c r="AU26" s="417"/>
      <c r="AV26" s="434" t="s">
        <v>312</v>
      </c>
      <c r="AW26" s="434"/>
      <c r="AX26" s="426">
        <v>0</v>
      </c>
      <c r="AY26" s="427"/>
      <c r="AZ26" s="427"/>
      <c r="BA26" s="427">
        <v>0</v>
      </c>
      <c r="BB26" s="427"/>
      <c r="BC26" s="427"/>
      <c r="BD26" s="427">
        <v>0</v>
      </c>
      <c r="BE26" s="427"/>
      <c r="BF26" s="427"/>
      <c r="BG26" s="427">
        <v>0</v>
      </c>
      <c r="BH26" s="427"/>
      <c r="BI26" s="427"/>
      <c r="BJ26" s="427">
        <v>0</v>
      </c>
      <c r="BK26" s="427"/>
      <c r="BL26" s="427"/>
      <c r="BM26" s="427">
        <v>0</v>
      </c>
      <c r="BN26" s="427"/>
      <c r="BO26" s="427"/>
      <c r="BP26" s="427">
        <v>0</v>
      </c>
      <c r="BQ26" s="427"/>
      <c r="BR26" s="427"/>
      <c r="BS26" s="427"/>
      <c r="BT26" s="427"/>
      <c r="BU26" s="427"/>
      <c r="BV26" s="427">
        <v>1000</v>
      </c>
      <c r="BW26" s="427"/>
      <c r="BX26" s="427"/>
      <c r="BY26" s="427">
        <v>1000</v>
      </c>
      <c r="BZ26" s="427"/>
      <c r="CA26" s="427"/>
      <c r="CB26" s="427">
        <v>1000</v>
      </c>
      <c r="CC26" s="427"/>
      <c r="CD26" s="427"/>
      <c r="CE26" s="427">
        <v>1000</v>
      </c>
      <c r="CF26" s="427"/>
      <c r="CG26" s="427"/>
      <c r="CH26" s="427">
        <f>SUM(AX26:CE26)</f>
        <v>4000</v>
      </c>
      <c r="CI26" s="435"/>
      <c r="CJ26" s="423"/>
      <c r="CK26" s="423" t="s">
        <v>171</v>
      </c>
      <c r="CL26" s="423" t="s">
        <v>621</v>
      </c>
      <c r="CM26" s="504">
        <v>2500</v>
      </c>
      <c r="CN26" s="504"/>
      <c r="CO26" s="566">
        <v>2500</v>
      </c>
      <c r="CP26" s="504">
        <v>2500</v>
      </c>
      <c r="CQ26" s="504"/>
      <c r="CR26" s="504"/>
      <c r="CS26" s="504"/>
      <c r="CT26" s="566">
        <v>2500</v>
      </c>
      <c r="CU26" s="504"/>
      <c r="CV26" s="504">
        <v>2500</v>
      </c>
      <c r="CW26" s="504"/>
      <c r="CX26" s="504"/>
      <c r="CY26" s="399">
        <f t="shared" si="21"/>
        <v>12500</v>
      </c>
      <c r="DA26" s="505">
        <v>8233.75</v>
      </c>
      <c r="DB26" s="505">
        <v>4811</v>
      </c>
      <c r="DC26" s="587">
        <v>0</v>
      </c>
      <c r="DD26" s="505">
        <v>577.5</v>
      </c>
      <c r="DE26" s="587">
        <f t="shared" si="50"/>
        <v>0</v>
      </c>
      <c r="DF26" s="593">
        <v>0</v>
      </c>
      <c r="DG26" s="505">
        <v>0</v>
      </c>
      <c r="DH26" s="505"/>
      <c r="DI26" s="505">
        <v>0</v>
      </c>
      <c r="DJ26" s="505">
        <v>0</v>
      </c>
      <c r="DK26" s="505">
        <v>0</v>
      </c>
      <c r="DL26" s="505">
        <v>0</v>
      </c>
      <c r="DM26" s="399">
        <f t="shared" si="22"/>
        <v>13622.25</v>
      </c>
      <c r="DO26" s="396"/>
      <c r="DP26" s="396"/>
      <c r="DQ26" s="396"/>
      <c r="DR26" s="504"/>
      <c r="DS26" s="504"/>
      <c r="DT26" s="504"/>
      <c r="DU26" s="504"/>
      <c r="DV26" s="504"/>
      <c r="DW26" s="504"/>
      <c r="DX26" s="504"/>
      <c r="DY26" s="504"/>
      <c r="DZ26" s="504"/>
      <c r="EA26" s="504"/>
      <c r="EB26" s="504"/>
      <c r="EC26" s="504"/>
      <c r="ED26" s="504"/>
      <c r="EE26" s="399">
        <f t="shared" si="26"/>
        <v>0</v>
      </c>
      <c r="EG26" s="505">
        <f t="shared" si="27"/>
        <v>0</v>
      </c>
      <c r="EH26" s="505">
        <f t="shared" si="14"/>
        <v>0</v>
      </c>
      <c r="EI26" s="505">
        <f t="shared" si="15"/>
        <v>0</v>
      </c>
      <c r="EJ26" s="505">
        <f t="shared" si="16"/>
        <v>0</v>
      </c>
      <c r="EK26" s="505">
        <f t="shared" si="17"/>
        <v>0</v>
      </c>
      <c r="EL26" s="505">
        <f t="shared" si="18"/>
        <v>0</v>
      </c>
      <c r="EM26" s="505">
        <f t="shared" si="42"/>
        <v>0</v>
      </c>
      <c r="EN26" s="505">
        <f t="shared" si="43"/>
        <v>0</v>
      </c>
      <c r="EO26" s="505">
        <f t="shared" si="44"/>
        <v>0</v>
      </c>
      <c r="EP26" s="505">
        <f t="shared" si="45"/>
        <v>0</v>
      </c>
      <c r="EQ26" s="505">
        <f t="shared" si="46"/>
        <v>0</v>
      </c>
      <c r="ER26" s="505">
        <f t="shared" si="47"/>
        <v>0</v>
      </c>
      <c r="ES26" s="399">
        <f t="shared" si="24"/>
        <v>0</v>
      </c>
    </row>
    <row r="27" spans="1:149" ht="13.9" hidden="1" customHeight="1" x14ac:dyDescent="0.2">
      <c r="A27" s="407" t="s">
        <v>171</v>
      </c>
      <c r="B27" s="395" t="s">
        <v>314</v>
      </c>
      <c r="C27" s="424" t="s">
        <v>315</v>
      </c>
      <c r="D27" s="414"/>
      <c r="E27" s="417"/>
      <c r="F27" s="416">
        <f>+E27-D27</f>
        <v>0</v>
      </c>
      <c r="G27" s="414"/>
      <c r="H27" s="417"/>
      <c r="I27" s="416">
        <f>+H27-G27</f>
        <v>0</v>
      </c>
      <c r="J27" s="414">
        <v>5000</v>
      </c>
      <c r="K27" s="417"/>
      <c r="L27" s="416">
        <f t="shared" si="29"/>
        <v>-5000</v>
      </c>
      <c r="M27" s="414">
        <v>5000</v>
      </c>
      <c r="N27" s="417"/>
      <c r="O27" s="416">
        <f t="shared" si="30"/>
        <v>-5000</v>
      </c>
      <c r="P27" s="414">
        <v>5000</v>
      </c>
      <c r="Q27" s="417"/>
      <c r="R27" s="416">
        <f t="shared" si="31"/>
        <v>-5000</v>
      </c>
      <c r="S27" s="414">
        <v>7000</v>
      </c>
      <c r="T27" s="417"/>
      <c r="U27" s="416">
        <f t="shared" si="32"/>
        <v>-7000</v>
      </c>
      <c r="V27" s="414"/>
      <c r="W27" s="417"/>
      <c r="X27" s="416">
        <f t="shared" si="1"/>
        <v>0</v>
      </c>
      <c r="Y27" s="414"/>
      <c r="Z27" s="417"/>
      <c r="AA27" s="416">
        <f t="shared" si="2"/>
        <v>0</v>
      </c>
      <c r="AB27" s="414"/>
      <c r="AC27" s="417"/>
      <c r="AD27" s="416">
        <f t="shared" si="3"/>
        <v>0</v>
      </c>
      <c r="AE27" s="414">
        <v>5000</v>
      </c>
      <c r="AF27" s="417"/>
      <c r="AG27" s="416">
        <f t="shared" si="4"/>
        <v>-5000</v>
      </c>
      <c r="AH27" s="414">
        <v>3000</v>
      </c>
      <c r="AI27" s="417"/>
      <c r="AJ27" s="416">
        <f t="shared" si="5"/>
        <v>-3000</v>
      </c>
      <c r="AK27" s="414"/>
      <c r="AL27" s="417"/>
      <c r="AM27" s="416">
        <f t="shared" si="6"/>
        <v>0</v>
      </c>
      <c r="AN27" s="412">
        <f t="shared" si="37"/>
        <v>0</v>
      </c>
      <c r="AO27" s="412">
        <f t="shared" si="8"/>
        <v>0</v>
      </c>
      <c r="AP27" s="413">
        <f t="shared" si="38"/>
        <v>0</v>
      </c>
      <c r="AQ27" s="414">
        <f t="shared" si="39"/>
        <v>30000</v>
      </c>
      <c r="AR27" s="414">
        <f t="shared" si="11"/>
        <v>-30000</v>
      </c>
      <c r="AS27" s="415"/>
      <c r="AT27" s="413"/>
      <c r="AU27" s="417"/>
      <c r="AV27" s="425" t="s">
        <v>314</v>
      </c>
      <c r="AW27" s="425"/>
      <c r="AX27" s="426"/>
      <c r="AY27" s="427"/>
      <c r="AZ27" s="427"/>
      <c r="BA27" s="427"/>
      <c r="BB27" s="427"/>
      <c r="BC27" s="427"/>
      <c r="BD27" s="427"/>
      <c r="BE27" s="427"/>
      <c r="BF27" s="427"/>
      <c r="BG27" s="427"/>
      <c r="BH27" s="427"/>
      <c r="BI27" s="427"/>
      <c r="BJ27" s="427"/>
      <c r="BK27" s="427"/>
      <c r="BL27" s="427"/>
      <c r="BM27" s="427"/>
      <c r="BN27" s="427"/>
      <c r="BO27" s="427"/>
      <c r="BP27" s="427"/>
      <c r="BQ27" s="427"/>
      <c r="BR27" s="427"/>
      <c r="BS27" s="427"/>
      <c r="BT27" s="427"/>
      <c r="BU27" s="427"/>
      <c r="BV27" s="427"/>
      <c r="BW27" s="427"/>
      <c r="BX27" s="427"/>
      <c r="BY27" s="427"/>
      <c r="BZ27" s="427"/>
      <c r="CA27" s="427"/>
      <c r="CB27" s="427"/>
      <c r="CC27" s="427"/>
      <c r="CD27" s="427"/>
      <c r="CE27" s="427"/>
      <c r="CF27" s="427"/>
      <c r="CG27" s="427"/>
      <c r="CH27" s="427">
        <f t="shared" si="25"/>
        <v>0</v>
      </c>
      <c r="CJ27" s="423"/>
      <c r="CK27" s="423"/>
      <c r="CL27" s="423" t="s">
        <v>1004</v>
      </c>
      <c r="CM27" s="505"/>
      <c r="CT27" s="595">
        <v>2000</v>
      </c>
      <c r="CY27" s="399">
        <f t="shared" si="21"/>
        <v>2000</v>
      </c>
      <c r="DA27" s="505">
        <f t="shared" si="28"/>
        <v>0</v>
      </c>
      <c r="DB27" s="505">
        <f t="shared" ref="DB27:DB55" si="53">CN27</f>
        <v>0</v>
      </c>
      <c r="DC27" s="587">
        <f t="shared" ref="DC27:DC55" si="54">CO27</f>
        <v>0</v>
      </c>
      <c r="DD27" s="505">
        <f t="shared" ref="DD27:DD55" si="55">CP27</f>
        <v>0</v>
      </c>
      <c r="DE27" s="587">
        <f t="shared" ref="DE27:DE55" si="56">CQ27</f>
        <v>0</v>
      </c>
      <c r="DF27" s="505">
        <f t="shared" ref="DF27:DF55" si="57">CR27</f>
        <v>0</v>
      </c>
      <c r="DG27" s="505">
        <v>0</v>
      </c>
      <c r="DH27" s="505">
        <v>0</v>
      </c>
      <c r="DI27" s="505">
        <v>0</v>
      </c>
      <c r="DJ27" s="505">
        <v>0</v>
      </c>
      <c r="DK27" s="505">
        <v>0</v>
      </c>
      <c r="DL27" s="505">
        <v>0</v>
      </c>
      <c r="DM27" s="399">
        <f t="shared" si="22"/>
        <v>0</v>
      </c>
      <c r="DO27" s="396"/>
      <c r="DP27" s="396"/>
      <c r="DQ27" s="396"/>
      <c r="DR27" s="619"/>
      <c r="DY27" s="387"/>
      <c r="EE27" s="399">
        <f t="shared" si="26"/>
        <v>0</v>
      </c>
      <c r="EG27" s="505">
        <f t="shared" si="27"/>
        <v>0</v>
      </c>
      <c r="EH27" s="505">
        <f t="shared" si="14"/>
        <v>0</v>
      </c>
      <c r="EI27" s="505">
        <f t="shared" si="15"/>
        <v>0</v>
      </c>
      <c r="EJ27" s="505">
        <f t="shared" si="16"/>
        <v>0</v>
      </c>
      <c r="EK27" s="505">
        <f t="shared" si="17"/>
        <v>0</v>
      </c>
      <c r="EL27" s="505">
        <f t="shared" si="18"/>
        <v>0</v>
      </c>
      <c r="EM27" s="505">
        <f t="shared" si="42"/>
        <v>0</v>
      </c>
      <c r="EN27" s="505">
        <f t="shared" si="43"/>
        <v>0</v>
      </c>
      <c r="EO27" s="505">
        <f t="shared" si="44"/>
        <v>0</v>
      </c>
      <c r="EP27" s="505">
        <f t="shared" si="45"/>
        <v>0</v>
      </c>
      <c r="EQ27" s="505">
        <f t="shared" si="46"/>
        <v>0</v>
      </c>
      <c r="ER27" s="505">
        <f t="shared" si="47"/>
        <v>0</v>
      </c>
      <c r="ES27" s="399">
        <f t="shared" si="24"/>
        <v>0</v>
      </c>
    </row>
    <row r="28" spans="1:149" ht="13.9" hidden="1" customHeight="1" x14ac:dyDescent="0.2">
      <c r="A28" s="428" t="s">
        <v>170</v>
      </c>
      <c r="B28" s="428" t="s">
        <v>314</v>
      </c>
      <c r="C28" s="428" t="s">
        <v>316</v>
      </c>
      <c r="D28" s="428"/>
      <c r="E28" s="428"/>
      <c r="F28" s="428"/>
      <c r="G28" s="428"/>
      <c r="H28" s="428"/>
      <c r="I28" s="428"/>
      <c r="J28" s="428"/>
      <c r="K28" s="428"/>
      <c r="L28" s="428"/>
      <c r="M28" s="428"/>
      <c r="N28" s="428"/>
      <c r="O28" s="428"/>
      <c r="P28" s="428"/>
      <c r="Q28" s="428"/>
      <c r="R28" s="428">
        <f t="shared" si="31"/>
        <v>0</v>
      </c>
      <c r="S28" s="428"/>
      <c r="T28" s="428"/>
      <c r="U28" s="428">
        <f t="shared" si="32"/>
        <v>0</v>
      </c>
      <c r="V28" s="428"/>
      <c r="W28" s="428"/>
      <c r="X28" s="428">
        <f t="shared" si="1"/>
        <v>0</v>
      </c>
      <c r="Y28" s="428"/>
      <c r="Z28" s="428"/>
      <c r="AA28" s="428">
        <f t="shared" si="2"/>
        <v>0</v>
      </c>
      <c r="AB28" s="428"/>
      <c r="AC28" s="428"/>
      <c r="AD28" s="428">
        <f t="shared" si="3"/>
        <v>0</v>
      </c>
      <c r="AE28" s="428"/>
      <c r="AF28" s="428"/>
      <c r="AG28" s="428">
        <f t="shared" si="4"/>
        <v>0</v>
      </c>
      <c r="AH28" s="428"/>
      <c r="AI28" s="428"/>
      <c r="AJ28" s="428">
        <f t="shared" si="5"/>
        <v>0</v>
      </c>
      <c r="AK28" s="428"/>
      <c r="AL28" s="428"/>
      <c r="AM28" s="428">
        <f t="shared" si="6"/>
        <v>0</v>
      </c>
      <c r="AN28" s="412">
        <f t="shared" si="37"/>
        <v>0</v>
      </c>
      <c r="AO28" s="412">
        <f t="shared" si="8"/>
        <v>0</v>
      </c>
      <c r="AP28" s="413">
        <f t="shared" si="38"/>
        <v>0</v>
      </c>
      <c r="AQ28" s="414">
        <f t="shared" si="39"/>
        <v>0</v>
      </c>
      <c r="AR28" s="414">
        <f t="shared" si="11"/>
        <v>0</v>
      </c>
      <c r="AS28" s="415"/>
      <c r="AT28" s="413"/>
      <c r="AU28" s="417"/>
      <c r="AV28" s="434" t="s">
        <v>314</v>
      </c>
      <c r="AW28" s="434" t="s">
        <v>317</v>
      </c>
      <c r="AX28" s="426">
        <v>1000</v>
      </c>
      <c r="AY28" s="427"/>
      <c r="AZ28" s="427"/>
      <c r="BA28" s="427">
        <v>1000</v>
      </c>
      <c r="BB28" s="427"/>
      <c r="BC28" s="427"/>
      <c r="BD28" s="427">
        <v>1000</v>
      </c>
      <c r="BE28" s="427"/>
      <c r="BF28" s="427"/>
      <c r="BG28" s="427">
        <v>1000</v>
      </c>
      <c r="BH28" s="427"/>
      <c r="BI28" s="427"/>
      <c r="BJ28" s="427">
        <v>1000</v>
      </c>
      <c r="BK28" s="427"/>
      <c r="BL28" s="427"/>
      <c r="BM28" s="427">
        <v>1000</v>
      </c>
      <c r="BN28" s="427"/>
      <c r="BO28" s="427"/>
      <c r="BP28" s="427">
        <v>1000</v>
      </c>
      <c r="BQ28" s="427"/>
      <c r="BR28" s="427"/>
      <c r="BS28" s="427">
        <v>1000</v>
      </c>
      <c r="BT28" s="427"/>
      <c r="BU28" s="427"/>
      <c r="BV28" s="427">
        <v>1000</v>
      </c>
      <c r="BW28" s="427"/>
      <c r="BX28" s="427"/>
      <c r="BY28" s="427">
        <v>1000</v>
      </c>
      <c r="BZ28" s="427"/>
      <c r="CA28" s="427"/>
      <c r="CB28" s="427">
        <v>1000</v>
      </c>
      <c r="CC28" s="427"/>
      <c r="CD28" s="427"/>
      <c r="CE28" s="427">
        <v>1000</v>
      </c>
      <c r="CF28" s="427"/>
      <c r="CG28" s="427"/>
      <c r="CH28" s="427">
        <f t="shared" si="25"/>
        <v>12000</v>
      </c>
      <c r="CJ28" s="423"/>
      <c r="CK28" s="423"/>
      <c r="CL28" s="423"/>
      <c r="CM28" s="505"/>
      <c r="CY28" s="399">
        <f t="shared" si="21"/>
        <v>0</v>
      </c>
      <c r="DA28" s="505">
        <f t="shared" si="28"/>
        <v>0</v>
      </c>
      <c r="DB28" s="505">
        <f t="shared" si="53"/>
        <v>0</v>
      </c>
      <c r="DC28" s="587">
        <f t="shared" si="54"/>
        <v>0</v>
      </c>
      <c r="DD28" s="505">
        <f t="shared" si="55"/>
        <v>0</v>
      </c>
      <c r="DE28" s="505">
        <f t="shared" si="56"/>
        <v>0</v>
      </c>
      <c r="DF28" s="505">
        <f t="shared" si="57"/>
        <v>0</v>
      </c>
      <c r="DG28" s="505">
        <v>0</v>
      </c>
      <c r="DH28" s="505">
        <v>0</v>
      </c>
      <c r="DI28" s="505">
        <v>0</v>
      </c>
      <c r="DJ28" s="505">
        <v>0</v>
      </c>
      <c r="DK28" s="505">
        <v>0</v>
      </c>
      <c r="DL28" s="505">
        <v>0</v>
      </c>
      <c r="DM28" s="399">
        <f t="shared" si="22"/>
        <v>0</v>
      </c>
      <c r="DO28" s="396"/>
      <c r="DP28" s="396"/>
      <c r="DQ28" s="396"/>
      <c r="DR28" s="619"/>
      <c r="EE28" s="399">
        <f t="shared" si="26"/>
        <v>0</v>
      </c>
      <c r="EG28" s="505">
        <f t="shared" si="27"/>
        <v>0</v>
      </c>
      <c r="EH28" s="505">
        <f t="shared" si="14"/>
        <v>0</v>
      </c>
      <c r="EI28" s="505">
        <f t="shared" si="15"/>
        <v>0</v>
      </c>
      <c r="EJ28" s="505">
        <f t="shared" si="16"/>
        <v>0</v>
      </c>
      <c r="EK28" s="505">
        <f t="shared" si="17"/>
        <v>0</v>
      </c>
      <c r="EL28" s="505">
        <f t="shared" si="18"/>
        <v>0</v>
      </c>
      <c r="EM28" s="505">
        <f t="shared" si="42"/>
        <v>0</v>
      </c>
      <c r="EN28" s="505">
        <f t="shared" si="43"/>
        <v>0</v>
      </c>
      <c r="EO28" s="505">
        <f t="shared" si="44"/>
        <v>0</v>
      </c>
      <c r="EP28" s="505">
        <f t="shared" si="45"/>
        <v>0</v>
      </c>
      <c r="EQ28" s="505">
        <f t="shared" si="46"/>
        <v>0</v>
      </c>
      <c r="ER28" s="505">
        <f t="shared" si="47"/>
        <v>0</v>
      </c>
      <c r="ES28" s="399">
        <f t="shared" si="24"/>
        <v>0</v>
      </c>
    </row>
    <row r="29" spans="1:149" ht="13.9" hidden="1" customHeight="1" x14ac:dyDescent="0.2">
      <c r="A29" s="407" t="s">
        <v>171</v>
      </c>
      <c r="B29" s="395" t="s">
        <v>318</v>
      </c>
      <c r="C29" s="436" t="s">
        <v>319</v>
      </c>
      <c r="D29" s="414"/>
      <c r="E29" s="417"/>
      <c r="F29" s="416">
        <f>+E29-D29</f>
        <v>0</v>
      </c>
      <c r="G29" s="414"/>
      <c r="H29" s="417"/>
      <c r="I29" s="416">
        <f>+H29-G29</f>
        <v>0</v>
      </c>
      <c r="J29" s="414"/>
      <c r="K29" s="417"/>
      <c r="L29" s="416">
        <f t="shared" si="29"/>
        <v>0</v>
      </c>
      <c r="M29" s="414">
        <v>15000</v>
      </c>
      <c r="N29" s="417"/>
      <c r="O29" s="416">
        <f t="shared" si="30"/>
        <v>-15000</v>
      </c>
      <c r="P29" s="414">
        <v>10000</v>
      </c>
      <c r="Q29" s="417"/>
      <c r="R29" s="416">
        <f t="shared" si="31"/>
        <v>-10000</v>
      </c>
      <c r="S29" s="414"/>
      <c r="T29" s="417"/>
      <c r="U29" s="416">
        <f t="shared" si="32"/>
        <v>0</v>
      </c>
      <c r="V29" s="414"/>
      <c r="W29" s="417"/>
      <c r="X29" s="416">
        <f t="shared" si="1"/>
        <v>0</v>
      </c>
      <c r="Y29" s="414"/>
      <c r="Z29" s="417"/>
      <c r="AA29" s="416">
        <f t="shared" si="2"/>
        <v>0</v>
      </c>
      <c r="AB29" s="414"/>
      <c r="AC29" s="417"/>
      <c r="AD29" s="416">
        <f t="shared" si="3"/>
        <v>0</v>
      </c>
      <c r="AE29" s="414"/>
      <c r="AF29" s="417"/>
      <c r="AG29" s="416">
        <f t="shared" si="4"/>
        <v>0</v>
      </c>
      <c r="AH29" s="414"/>
      <c r="AI29" s="417"/>
      <c r="AJ29" s="416">
        <f t="shared" si="5"/>
        <v>0</v>
      </c>
      <c r="AK29" s="414">
        <v>10000</v>
      </c>
      <c r="AL29" s="417"/>
      <c r="AM29" s="416">
        <f t="shared" si="6"/>
        <v>-10000</v>
      </c>
      <c r="AN29" s="412">
        <f t="shared" si="37"/>
        <v>0</v>
      </c>
      <c r="AO29" s="412">
        <f t="shared" si="8"/>
        <v>0</v>
      </c>
      <c r="AP29" s="413">
        <f t="shared" si="38"/>
        <v>0</v>
      </c>
      <c r="AQ29" s="414">
        <f t="shared" si="39"/>
        <v>35000</v>
      </c>
      <c r="AR29" s="414">
        <f t="shared" si="11"/>
        <v>-35000</v>
      </c>
      <c r="AS29" s="415"/>
      <c r="AT29" s="413"/>
      <c r="AU29" s="417"/>
      <c r="AV29" s="425" t="s">
        <v>318</v>
      </c>
      <c r="AW29" s="425"/>
      <c r="AX29" s="426"/>
      <c r="AY29" s="427"/>
      <c r="AZ29" s="427"/>
      <c r="BA29" s="427"/>
      <c r="BB29" s="427"/>
      <c r="BC29" s="427"/>
      <c r="BD29" s="427"/>
      <c r="BE29" s="427"/>
      <c r="BF29" s="427"/>
      <c r="BG29" s="427"/>
      <c r="BH29" s="427"/>
      <c r="BI29" s="427"/>
      <c r="BJ29" s="427"/>
      <c r="BK29" s="427"/>
      <c r="BL29" s="427"/>
      <c r="BM29" s="427"/>
      <c r="BN29" s="427"/>
      <c r="BO29" s="427"/>
      <c r="BP29" s="427"/>
      <c r="BQ29" s="427"/>
      <c r="BR29" s="427"/>
      <c r="BS29" s="427"/>
      <c r="BT29" s="427"/>
      <c r="BU29" s="427"/>
      <c r="BV29" s="427"/>
      <c r="BW29" s="427"/>
      <c r="BX29" s="427"/>
      <c r="BY29" s="427"/>
      <c r="BZ29" s="427"/>
      <c r="CA29" s="427"/>
      <c r="CB29" s="427"/>
      <c r="CC29" s="427"/>
      <c r="CD29" s="427"/>
      <c r="CE29" s="427"/>
      <c r="CF29" s="427"/>
      <c r="CG29" s="427"/>
      <c r="CH29" s="427">
        <f t="shared" si="25"/>
        <v>0</v>
      </c>
      <c r="CJ29" s="423"/>
      <c r="CK29" s="423"/>
      <c r="CL29" s="423"/>
      <c r="CM29" s="505"/>
      <c r="CN29" s="387"/>
      <c r="CO29" s="387"/>
      <c r="CP29" s="387"/>
      <c r="CQ29" s="387"/>
      <c r="CR29" s="387"/>
      <c r="CS29" s="387"/>
      <c r="CT29" s="387"/>
      <c r="CU29" s="387"/>
      <c r="CV29" s="387"/>
      <c r="CW29" s="387"/>
      <c r="CX29" s="387"/>
      <c r="CY29" s="399"/>
      <c r="DA29" s="505">
        <f t="shared" si="28"/>
        <v>0</v>
      </c>
      <c r="DB29" s="505">
        <f t="shared" si="53"/>
        <v>0</v>
      </c>
      <c r="DC29" s="587">
        <f t="shared" si="54"/>
        <v>0</v>
      </c>
      <c r="DD29" s="505">
        <f t="shared" si="55"/>
        <v>0</v>
      </c>
      <c r="DE29" s="505">
        <f t="shared" si="56"/>
        <v>0</v>
      </c>
      <c r="DF29" s="505">
        <f t="shared" si="57"/>
        <v>0</v>
      </c>
      <c r="DG29" s="505">
        <v>0</v>
      </c>
      <c r="DH29" s="505">
        <v>0</v>
      </c>
      <c r="DI29" s="505">
        <v>2342.39</v>
      </c>
      <c r="DJ29" s="505">
        <v>0</v>
      </c>
      <c r="DK29" s="505">
        <v>0</v>
      </c>
      <c r="DL29" s="505">
        <v>0</v>
      </c>
      <c r="DM29" s="399">
        <f t="shared" si="22"/>
        <v>2342.39</v>
      </c>
      <c r="DO29" s="396"/>
      <c r="DP29" s="396"/>
      <c r="DQ29" s="396"/>
      <c r="DR29" s="619"/>
      <c r="DS29" s="387"/>
      <c r="DT29" s="387"/>
      <c r="DU29" s="387"/>
      <c r="DV29" s="387"/>
      <c r="DW29" s="387"/>
      <c r="DX29" s="387"/>
      <c r="DY29" s="387"/>
      <c r="DZ29" s="387"/>
      <c r="EA29" s="387"/>
      <c r="EB29" s="387"/>
      <c r="EC29" s="387"/>
      <c r="ED29" s="387"/>
      <c r="EE29" s="399">
        <f t="shared" si="26"/>
        <v>0</v>
      </c>
      <c r="EG29" s="505">
        <f t="shared" si="27"/>
        <v>0</v>
      </c>
      <c r="EH29" s="505">
        <f t="shared" si="14"/>
        <v>0</v>
      </c>
      <c r="EI29" s="505">
        <f t="shared" si="15"/>
        <v>0</v>
      </c>
      <c r="EJ29" s="505">
        <f t="shared" si="16"/>
        <v>0</v>
      </c>
      <c r="EK29" s="505">
        <f t="shared" si="17"/>
        <v>0</v>
      </c>
      <c r="EL29" s="505">
        <f t="shared" si="18"/>
        <v>0</v>
      </c>
      <c r="EM29" s="505">
        <f t="shared" si="42"/>
        <v>0</v>
      </c>
      <c r="EN29" s="505">
        <f t="shared" si="43"/>
        <v>0</v>
      </c>
      <c r="EO29" s="505">
        <f t="shared" si="44"/>
        <v>0</v>
      </c>
      <c r="EP29" s="505">
        <f t="shared" si="45"/>
        <v>0</v>
      </c>
      <c r="EQ29" s="505">
        <f t="shared" si="46"/>
        <v>0</v>
      </c>
      <c r="ER29" s="505">
        <f t="shared" si="47"/>
        <v>0</v>
      </c>
      <c r="ES29" s="399">
        <f t="shared" si="24"/>
        <v>0</v>
      </c>
    </row>
    <row r="30" spans="1:149" ht="13.9" hidden="1" customHeight="1" x14ac:dyDescent="0.2">
      <c r="A30" s="428" t="s">
        <v>171</v>
      </c>
      <c r="B30" s="429" t="s">
        <v>320</v>
      </c>
      <c r="C30" s="430" t="s">
        <v>321</v>
      </c>
      <c r="D30" s="431"/>
      <c r="E30" s="432"/>
      <c r="F30" s="433"/>
      <c r="G30" s="431"/>
      <c r="H30" s="432"/>
      <c r="I30" s="433"/>
      <c r="J30" s="431"/>
      <c r="K30" s="432"/>
      <c r="L30" s="433"/>
      <c r="M30" s="431"/>
      <c r="N30" s="432"/>
      <c r="O30" s="433"/>
      <c r="P30" s="431"/>
      <c r="Q30" s="432"/>
      <c r="R30" s="433"/>
      <c r="S30" s="431"/>
      <c r="T30" s="432"/>
      <c r="U30" s="433"/>
      <c r="V30" s="431"/>
      <c r="W30" s="432"/>
      <c r="X30" s="433">
        <f t="shared" si="1"/>
        <v>0</v>
      </c>
      <c r="Y30" s="431"/>
      <c r="Z30" s="432"/>
      <c r="AA30" s="433"/>
      <c r="AB30" s="431"/>
      <c r="AC30" s="432"/>
      <c r="AD30" s="433"/>
      <c r="AE30" s="431"/>
      <c r="AF30" s="432"/>
      <c r="AG30" s="433"/>
      <c r="AH30" s="431"/>
      <c r="AI30" s="432"/>
      <c r="AJ30" s="433"/>
      <c r="AK30" s="431"/>
      <c r="AL30" s="432"/>
      <c r="AM30" s="433"/>
      <c r="AN30" s="412">
        <f t="shared" si="37"/>
        <v>0</v>
      </c>
      <c r="AO30" s="412">
        <f t="shared" si="8"/>
        <v>0</v>
      </c>
      <c r="AP30" s="413">
        <f t="shared" si="38"/>
        <v>0</v>
      </c>
      <c r="AQ30" s="414">
        <f t="shared" si="39"/>
        <v>0</v>
      </c>
      <c r="AR30" s="414">
        <f t="shared" si="11"/>
        <v>0</v>
      </c>
      <c r="AS30" s="415"/>
      <c r="AT30" s="413"/>
      <c r="AU30" s="417"/>
      <c r="AV30" s="434" t="s">
        <v>320</v>
      </c>
      <c r="AW30" s="434"/>
      <c r="AX30" s="426"/>
      <c r="AY30" s="427"/>
      <c r="AZ30" s="427"/>
      <c r="BA30" s="427"/>
      <c r="BB30" s="427"/>
      <c r="BC30" s="427"/>
      <c r="BD30" s="427"/>
      <c r="BE30" s="427"/>
      <c r="BF30" s="427"/>
      <c r="BG30" s="427"/>
      <c r="BH30" s="427"/>
      <c r="BI30" s="427"/>
      <c r="BJ30" s="427"/>
      <c r="BK30" s="427"/>
      <c r="BL30" s="427"/>
      <c r="BM30" s="427"/>
      <c r="BN30" s="427"/>
      <c r="BO30" s="427"/>
      <c r="BP30" s="427"/>
      <c r="BQ30" s="427"/>
      <c r="BR30" s="427"/>
      <c r="BS30" s="427"/>
      <c r="BT30" s="427"/>
      <c r="BU30" s="427"/>
      <c r="BV30" s="427"/>
      <c r="BW30" s="427"/>
      <c r="BX30" s="427"/>
      <c r="BY30" s="427"/>
      <c r="BZ30" s="427"/>
      <c r="CA30" s="427"/>
      <c r="CB30" s="427"/>
      <c r="CC30" s="427"/>
      <c r="CD30" s="427"/>
      <c r="CE30" s="427"/>
      <c r="CF30" s="427"/>
      <c r="CG30" s="427"/>
      <c r="CH30" s="427">
        <f t="shared" si="25"/>
        <v>0</v>
      </c>
      <c r="CI30" s="435"/>
      <c r="CJ30" s="423"/>
      <c r="CK30" s="423"/>
      <c r="CL30" s="423"/>
      <c r="CM30" s="505"/>
      <c r="CN30" s="387"/>
      <c r="CO30" s="387"/>
      <c r="CP30" s="387"/>
      <c r="CQ30" s="387"/>
      <c r="CR30" s="387"/>
      <c r="CS30" s="387"/>
      <c r="CT30" s="387"/>
      <c r="CU30" s="387"/>
      <c r="CV30" s="387"/>
      <c r="CW30" s="387"/>
      <c r="CX30" s="387"/>
      <c r="CY30" s="399"/>
      <c r="DA30" s="505">
        <f t="shared" si="28"/>
        <v>0</v>
      </c>
      <c r="DB30" s="505">
        <f t="shared" si="53"/>
        <v>0</v>
      </c>
      <c r="DC30" s="587">
        <f t="shared" si="54"/>
        <v>0</v>
      </c>
      <c r="DD30" s="505">
        <f t="shared" si="55"/>
        <v>0</v>
      </c>
      <c r="DE30" s="505">
        <f t="shared" si="56"/>
        <v>0</v>
      </c>
      <c r="DF30" s="505">
        <f t="shared" si="57"/>
        <v>0</v>
      </c>
      <c r="DG30" s="505">
        <v>0</v>
      </c>
      <c r="DH30" s="505">
        <v>0</v>
      </c>
      <c r="DI30" s="505">
        <v>0</v>
      </c>
      <c r="DJ30" s="505">
        <v>0</v>
      </c>
      <c r="DK30" s="505">
        <v>0</v>
      </c>
      <c r="DL30" s="505">
        <v>0</v>
      </c>
      <c r="DM30" s="399">
        <f t="shared" si="22"/>
        <v>0</v>
      </c>
      <c r="DO30" s="396"/>
      <c r="DP30" s="396"/>
      <c r="DQ30" s="396"/>
      <c r="DR30" s="619"/>
      <c r="DS30" s="387"/>
      <c r="DT30" s="387"/>
      <c r="DU30" s="387"/>
      <c r="DV30" s="387"/>
      <c r="DW30" s="387"/>
      <c r="DX30" s="387"/>
      <c r="DY30" s="387"/>
      <c r="DZ30" s="387"/>
      <c r="EA30" s="387"/>
      <c r="EB30" s="387"/>
      <c r="EC30" s="387"/>
      <c r="ED30" s="387"/>
      <c r="EE30" s="399">
        <f t="shared" si="26"/>
        <v>0</v>
      </c>
      <c r="EG30" s="505">
        <f t="shared" si="27"/>
        <v>0</v>
      </c>
      <c r="EH30" s="505">
        <f t="shared" si="14"/>
        <v>0</v>
      </c>
      <c r="EI30" s="505">
        <f t="shared" si="15"/>
        <v>0</v>
      </c>
      <c r="EJ30" s="505">
        <f t="shared" si="16"/>
        <v>0</v>
      </c>
      <c r="EK30" s="505">
        <f t="shared" si="17"/>
        <v>0</v>
      </c>
      <c r="EL30" s="505">
        <f t="shared" si="18"/>
        <v>0</v>
      </c>
      <c r="EM30" s="505">
        <f t="shared" si="42"/>
        <v>0</v>
      </c>
      <c r="EN30" s="505">
        <f t="shared" si="43"/>
        <v>0</v>
      </c>
      <c r="EO30" s="505">
        <f t="shared" si="44"/>
        <v>0</v>
      </c>
      <c r="EP30" s="505">
        <f t="shared" si="45"/>
        <v>0</v>
      </c>
      <c r="EQ30" s="505">
        <f t="shared" si="46"/>
        <v>0</v>
      </c>
      <c r="ER30" s="505">
        <f t="shared" si="47"/>
        <v>0</v>
      </c>
      <c r="ES30" s="399">
        <f t="shared" si="24"/>
        <v>0</v>
      </c>
    </row>
    <row r="31" spans="1:149" ht="13.9" hidden="1" customHeight="1" x14ac:dyDescent="0.2">
      <c r="A31" s="428" t="s">
        <v>170</v>
      </c>
      <c r="B31" s="429" t="s">
        <v>322</v>
      </c>
      <c r="C31" s="430" t="s">
        <v>323</v>
      </c>
      <c r="D31" s="431"/>
      <c r="E31" s="432"/>
      <c r="F31" s="433">
        <f>+E31-D31</f>
        <v>0</v>
      </c>
      <c r="G31" s="431"/>
      <c r="H31" s="432"/>
      <c r="I31" s="433">
        <f>+H31-G31</f>
        <v>0</v>
      </c>
      <c r="J31" s="431"/>
      <c r="K31" s="432"/>
      <c r="L31" s="433">
        <f>+K31-J31</f>
        <v>0</v>
      </c>
      <c r="M31" s="431"/>
      <c r="N31" s="432"/>
      <c r="O31" s="433"/>
      <c r="P31" s="431"/>
      <c r="Q31" s="432"/>
      <c r="R31" s="433"/>
      <c r="S31" s="431"/>
      <c r="T31" s="432"/>
      <c r="U31" s="433"/>
      <c r="V31" s="431"/>
      <c r="W31" s="432"/>
      <c r="X31" s="433">
        <f t="shared" si="1"/>
        <v>0</v>
      </c>
      <c r="Y31" s="431"/>
      <c r="Z31" s="432"/>
      <c r="AA31" s="433">
        <f t="shared" si="2"/>
        <v>0</v>
      </c>
      <c r="AB31" s="431"/>
      <c r="AC31" s="432"/>
      <c r="AD31" s="433">
        <f t="shared" si="3"/>
        <v>0</v>
      </c>
      <c r="AE31" s="431"/>
      <c r="AF31" s="432"/>
      <c r="AG31" s="433">
        <f t="shared" si="4"/>
        <v>0</v>
      </c>
      <c r="AH31" s="431"/>
      <c r="AI31" s="432"/>
      <c r="AJ31" s="433">
        <f t="shared" si="5"/>
        <v>0</v>
      </c>
      <c r="AK31" s="431"/>
      <c r="AL31" s="432"/>
      <c r="AM31" s="433">
        <f t="shared" si="6"/>
        <v>0</v>
      </c>
      <c r="AN31" s="412">
        <f t="shared" si="37"/>
        <v>0</v>
      </c>
      <c r="AO31" s="412">
        <f t="shared" si="8"/>
        <v>0</v>
      </c>
      <c r="AP31" s="413">
        <f t="shared" si="38"/>
        <v>0</v>
      </c>
      <c r="AQ31" s="414">
        <f t="shared" si="39"/>
        <v>0</v>
      </c>
      <c r="AR31" s="414">
        <f t="shared" si="11"/>
        <v>0</v>
      </c>
      <c r="AS31" s="415"/>
      <c r="AT31" s="413"/>
      <c r="AU31" s="417"/>
      <c r="AV31" s="434" t="s">
        <v>322</v>
      </c>
      <c r="AW31" s="434" t="s">
        <v>324</v>
      </c>
      <c r="AX31" s="426">
        <v>0</v>
      </c>
      <c r="AY31" s="426">
        <v>0</v>
      </c>
      <c r="AZ31" s="426">
        <v>0</v>
      </c>
      <c r="BA31" s="426">
        <v>0</v>
      </c>
      <c r="BB31" s="426">
        <v>0</v>
      </c>
      <c r="BC31" s="426">
        <v>0</v>
      </c>
      <c r="BD31" s="426">
        <v>0</v>
      </c>
      <c r="BE31" s="426">
        <v>0</v>
      </c>
      <c r="BF31" s="426">
        <v>0</v>
      </c>
      <c r="BG31" s="426">
        <v>0</v>
      </c>
      <c r="BH31" s="426">
        <v>0</v>
      </c>
      <c r="BI31" s="426">
        <v>0</v>
      </c>
      <c r="BJ31" s="426">
        <v>0</v>
      </c>
      <c r="BK31" s="426">
        <v>0</v>
      </c>
      <c r="BL31" s="426">
        <v>0</v>
      </c>
      <c r="BM31" s="426">
        <v>0</v>
      </c>
      <c r="BN31" s="426">
        <v>0</v>
      </c>
      <c r="BO31" s="426">
        <v>0</v>
      </c>
      <c r="BP31" s="426">
        <v>0</v>
      </c>
      <c r="BQ31" s="426">
        <v>0</v>
      </c>
      <c r="BR31" s="426">
        <v>0</v>
      </c>
      <c r="BS31" s="426">
        <v>0</v>
      </c>
      <c r="BT31" s="426">
        <v>0</v>
      </c>
      <c r="BU31" s="426">
        <v>0</v>
      </c>
      <c r="BV31" s="426">
        <v>0</v>
      </c>
      <c r="BW31" s="426">
        <v>0</v>
      </c>
      <c r="BX31" s="426">
        <v>0</v>
      </c>
      <c r="BY31" s="426">
        <v>0</v>
      </c>
      <c r="BZ31" s="426">
        <v>0</v>
      </c>
      <c r="CA31" s="426">
        <v>0</v>
      </c>
      <c r="CB31" s="426">
        <v>0</v>
      </c>
      <c r="CC31" s="426">
        <v>0</v>
      </c>
      <c r="CD31" s="426">
        <v>0</v>
      </c>
      <c r="CE31" s="426">
        <v>0</v>
      </c>
      <c r="CF31" s="427"/>
      <c r="CG31" s="427"/>
      <c r="CH31" s="427">
        <f t="shared" si="25"/>
        <v>0</v>
      </c>
      <c r="CI31" s="435"/>
      <c r="CJ31" s="423"/>
      <c r="CK31" s="423"/>
      <c r="CL31" s="423"/>
      <c r="CM31" s="505"/>
      <c r="CY31" s="399">
        <f t="shared" si="21"/>
        <v>0</v>
      </c>
      <c r="DA31" s="505">
        <f t="shared" si="28"/>
        <v>0</v>
      </c>
      <c r="DB31" s="505">
        <f t="shared" si="53"/>
        <v>0</v>
      </c>
      <c r="DC31" s="587">
        <f t="shared" si="54"/>
        <v>0</v>
      </c>
      <c r="DD31" s="505">
        <f t="shared" si="55"/>
        <v>0</v>
      </c>
      <c r="DE31" s="505">
        <f t="shared" si="56"/>
        <v>0</v>
      </c>
      <c r="DF31" s="505">
        <f t="shared" si="57"/>
        <v>0</v>
      </c>
      <c r="DG31" s="505">
        <v>0</v>
      </c>
      <c r="DH31" s="505">
        <v>0</v>
      </c>
      <c r="DI31" s="505">
        <v>0</v>
      </c>
      <c r="DJ31" s="505">
        <v>0</v>
      </c>
      <c r="DK31" s="505">
        <v>0</v>
      </c>
      <c r="DL31" s="505">
        <v>0</v>
      </c>
      <c r="DM31" s="399">
        <f t="shared" si="22"/>
        <v>0</v>
      </c>
      <c r="DO31" s="396"/>
      <c r="DP31" s="396"/>
      <c r="DQ31" s="396"/>
      <c r="DR31" s="619"/>
      <c r="EE31" s="399">
        <f t="shared" si="26"/>
        <v>0</v>
      </c>
      <c r="EG31" s="505">
        <f t="shared" si="27"/>
        <v>0</v>
      </c>
      <c r="EH31" s="505">
        <f t="shared" si="14"/>
        <v>0</v>
      </c>
      <c r="EI31" s="505">
        <f t="shared" si="15"/>
        <v>0</v>
      </c>
      <c r="EJ31" s="505">
        <f t="shared" si="16"/>
        <v>0</v>
      </c>
      <c r="EK31" s="505">
        <f t="shared" si="17"/>
        <v>0</v>
      </c>
      <c r="EL31" s="505">
        <f t="shared" si="18"/>
        <v>0</v>
      </c>
      <c r="EM31" s="505">
        <f t="shared" si="42"/>
        <v>0</v>
      </c>
      <c r="EN31" s="505">
        <f t="shared" si="43"/>
        <v>0</v>
      </c>
      <c r="EO31" s="505">
        <f t="shared" si="44"/>
        <v>0</v>
      </c>
      <c r="EP31" s="505">
        <f t="shared" si="45"/>
        <v>0</v>
      </c>
      <c r="EQ31" s="505">
        <f t="shared" si="46"/>
        <v>0</v>
      </c>
      <c r="ER31" s="505">
        <f t="shared" si="47"/>
        <v>0</v>
      </c>
      <c r="ES31" s="399">
        <f t="shared" si="24"/>
        <v>0</v>
      </c>
    </row>
    <row r="32" spans="1:149" ht="13.9" hidden="1" customHeight="1" x14ac:dyDescent="0.2">
      <c r="A32" s="428" t="s">
        <v>171</v>
      </c>
      <c r="B32" s="429" t="s">
        <v>325</v>
      </c>
      <c r="C32" s="430" t="s">
        <v>326</v>
      </c>
      <c r="D32" s="431"/>
      <c r="E32" s="432"/>
      <c r="F32" s="433"/>
      <c r="G32" s="431"/>
      <c r="H32" s="432"/>
      <c r="I32" s="433"/>
      <c r="J32" s="431"/>
      <c r="K32" s="432"/>
      <c r="L32" s="433"/>
      <c r="M32" s="431"/>
      <c r="N32" s="432"/>
      <c r="O32" s="433">
        <f>+N32-M32</f>
        <v>0</v>
      </c>
      <c r="P32" s="431"/>
      <c r="Q32" s="432"/>
      <c r="R32" s="433">
        <f>+Q32-P32</f>
        <v>0</v>
      </c>
      <c r="S32" s="431"/>
      <c r="T32" s="432"/>
      <c r="U32" s="433">
        <f>+T32-S32</f>
        <v>0</v>
      </c>
      <c r="V32" s="431"/>
      <c r="W32" s="432"/>
      <c r="X32" s="433">
        <f t="shared" si="1"/>
        <v>0</v>
      </c>
      <c r="Y32" s="431"/>
      <c r="Z32" s="432"/>
      <c r="AA32" s="433">
        <f t="shared" si="2"/>
        <v>0</v>
      </c>
      <c r="AB32" s="431"/>
      <c r="AC32" s="432"/>
      <c r="AD32" s="433">
        <f t="shared" si="3"/>
        <v>0</v>
      </c>
      <c r="AE32" s="431"/>
      <c r="AF32" s="432"/>
      <c r="AG32" s="433">
        <f t="shared" si="4"/>
        <v>0</v>
      </c>
      <c r="AH32" s="431"/>
      <c r="AI32" s="432"/>
      <c r="AJ32" s="433">
        <f t="shared" si="5"/>
        <v>0</v>
      </c>
      <c r="AK32" s="431"/>
      <c r="AL32" s="432"/>
      <c r="AM32" s="433">
        <f t="shared" si="6"/>
        <v>0</v>
      </c>
      <c r="AN32" s="412">
        <f t="shared" si="37"/>
        <v>0</v>
      </c>
      <c r="AO32" s="412">
        <f t="shared" si="8"/>
        <v>0</v>
      </c>
      <c r="AP32" s="413">
        <f t="shared" si="38"/>
        <v>0</v>
      </c>
      <c r="AQ32" s="414">
        <f t="shared" si="39"/>
        <v>0</v>
      </c>
      <c r="AR32" s="414">
        <f t="shared" si="11"/>
        <v>0</v>
      </c>
      <c r="AS32" s="415"/>
      <c r="AT32" s="413"/>
      <c r="AU32" s="417"/>
      <c r="AV32" s="434" t="s">
        <v>325</v>
      </c>
      <c r="AW32" s="434" t="s">
        <v>324</v>
      </c>
      <c r="AX32" s="426">
        <v>0</v>
      </c>
      <c r="AY32" s="426">
        <v>0</v>
      </c>
      <c r="AZ32" s="426">
        <v>0</v>
      </c>
      <c r="BA32" s="426">
        <v>0</v>
      </c>
      <c r="BB32" s="426">
        <v>0</v>
      </c>
      <c r="BC32" s="426">
        <v>0</v>
      </c>
      <c r="BD32" s="426">
        <v>0</v>
      </c>
      <c r="BE32" s="426">
        <v>0</v>
      </c>
      <c r="BF32" s="426">
        <v>0</v>
      </c>
      <c r="BG32" s="426">
        <v>0</v>
      </c>
      <c r="BH32" s="426">
        <v>0</v>
      </c>
      <c r="BI32" s="426">
        <v>0</v>
      </c>
      <c r="BJ32" s="426">
        <v>0</v>
      </c>
      <c r="BK32" s="426">
        <v>0</v>
      </c>
      <c r="BL32" s="426">
        <v>0</v>
      </c>
      <c r="BM32" s="426">
        <v>0</v>
      </c>
      <c r="BN32" s="426">
        <v>0</v>
      </c>
      <c r="BO32" s="426">
        <v>0</v>
      </c>
      <c r="BP32" s="426">
        <v>0</v>
      </c>
      <c r="BQ32" s="426">
        <v>0</v>
      </c>
      <c r="BR32" s="426">
        <v>0</v>
      </c>
      <c r="BS32" s="426">
        <v>0</v>
      </c>
      <c r="BT32" s="426">
        <v>0</v>
      </c>
      <c r="BU32" s="426">
        <v>0</v>
      </c>
      <c r="BV32" s="426">
        <v>0</v>
      </c>
      <c r="BW32" s="426">
        <v>0</v>
      </c>
      <c r="BX32" s="426">
        <v>0</v>
      </c>
      <c r="BY32" s="426">
        <v>0</v>
      </c>
      <c r="BZ32" s="426">
        <v>0</v>
      </c>
      <c r="CA32" s="426">
        <v>0</v>
      </c>
      <c r="CB32" s="426">
        <v>0</v>
      </c>
      <c r="CC32" s="426">
        <v>0</v>
      </c>
      <c r="CD32" s="426">
        <v>0</v>
      </c>
      <c r="CE32" s="426">
        <v>0</v>
      </c>
      <c r="CF32" s="427"/>
      <c r="CG32" s="427"/>
      <c r="CH32" s="427">
        <f t="shared" si="25"/>
        <v>0</v>
      </c>
      <c r="CI32" s="435"/>
      <c r="CJ32" s="423"/>
      <c r="CK32" s="423"/>
      <c r="CL32" s="423"/>
      <c r="CM32" s="505"/>
      <c r="CY32" s="399">
        <f t="shared" si="21"/>
        <v>0</v>
      </c>
      <c r="DA32" s="505">
        <f t="shared" si="28"/>
        <v>0</v>
      </c>
      <c r="DB32" s="505">
        <f t="shared" si="53"/>
        <v>0</v>
      </c>
      <c r="DC32" s="587">
        <f t="shared" si="54"/>
        <v>0</v>
      </c>
      <c r="DD32" s="505">
        <f t="shared" si="55"/>
        <v>0</v>
      </c>
      <c r="DE32" s="505">
        <f t="shared" si="56"/>
        <v>0</v>
      </c>
      <c r="DF32" s="505">
        <f t="shared" si="57"/>
        <v>0</v>
      </c>
      <c r="DG32" s="505">
        <v>0</v>
      </c>
      <c r="DH32" s="505">
        <v>0</v>
      </c>
      <c r="DI32" s="505">
        <v>0</v>
      </c>
      <c r="DJ32" s="505">
        <v>0</v>
      </c>
      <c r="DK32" s="505">
        <v>0</v>
      </c>
      <c r="DL32" s="505">
        <v>0</v>
      </c>
      <c r="DM32" s="399">
        <f t="shared" si="22"/>
        <v>0</v>
      </c>
      <c r="DO32" s="396"/>
      <c r="DP32" s="396"/>
      <c r="DQ32" s="396"/>
      <c r="DR32" s="619"/>
      <c r="EE32" s="399">
        <f t="shared" si="26"/>
        <v>0</v>
      </c>
      <c r="EG32" s="505">
        <f t="shared" si="27"/>
        <v>0</v>
      </c>
      <c r="EH32" s="505">
        <f t="shared" si="14"/>
        <v>0</v>
      </c>
      <c r="EI32" s="505">
        <f t="shared" si="15"/>
        <v>0</v>
      </c>
      <c r="EJ32" s="505">
        <f t="shared" si="16"/>
        <v>0</v>
      </c>
      <c r="EK32" s="505">
        <f t="shared" si="17"/>
        <v>0</v>
      </c>
      <c r="EL32" s="505">
        <f t="shared" si="18"/>
        <v>0</v>
      </c>
      <c r="EM32" s="505">
        <f t="shared" si="42"/>
        <v>0</v>
      </c>
      <c r="EN32" s="505">
        <f t="shared" si="43"/>
        <v>0</v>
      </c>
      <c r="EO32" s="505">
        <f t="shared" si="44"/>
        <v>0</v>
      </c>
      <c r="EP32" s="505">
        <f t="shared" si="45"/>
        <v>0</v>
      </c>
      <c r="EQ32" s="505">
        <f t="shared" si="46"/>
        <v>0</v>
      </c>
      <c r="ER32" s="505">
        <f t="shared" si="47"/>
        <v>0</v>
      </c>
      <c r="ES32" s="399">
        <f t="shared" si="24"/>
        <v>0</v>
      </c>
    </row>
    <row r="33" spans="1:149" ht="13.9" hidden="1" customHeight="1" x14ac:dyDescent="0.2">
      <c r="A33" s="407" t="s">
        <v>171</v>
      </c>
      <c r="B33" s="395" t="s">
        <v>327</v>
      </c>
      <c r="C33" s="424" t="s">
        <v>328</v>
      </c>
      <c r="D33" s="409"/>
      <c r="E33" s="410"/>
      <c r="F33" s="411"/>
      <c r="G33" s="409"/>
      <c r="H33" s="410"/>
      <c r="I33" s="411"/>
      <c r="J33" s="409"/>
      <c r="K33" s="410"/>
      <c r="L33" s="411"/>
      <c r="M33" s="409"/>
      <c r="N33" s="410"/>
      <c r="O33" s="411"/>
      <c r="P33" s="409"/>
      <c r="Q33" s="410"/>
      <c r="R33" s="411"/>
      <c r="S33" s="409"/>
      <c r="T33" s="410"/>
      <c r="U33" s="411"/>
      <c r="V33" s="409"/>
      <c r="W33" s="410"/>
      <c r="X33" s="411">
        <f t="shared" si="1"/>
        <v>0</v>
      </c>
      <c r="Y33" s="409"/>
      <c r="Z33" s="410"/>
      <c r="AA33" s="411">
        <f t="shared" si="2"/>
        <v>0</v>
      </c>
      <c r="AB33" s="409">
        <v>2000</v>
      </c>
      <c r="AC33" s="410"/>
      <c r="AD33" s="411">
        <f t="shared" si="3"/>
        <v>-2000</v>
      </c>
      <c r="AE33" s="409">
        <v>2000</v>
      </c>
      <c r="AF33" s="410"/>
      <c r="AG33" s="411">
        <f t="shared" si="4"/>
        <v>-2000</v>
      </c>
      <c r="AH33" s="409">
        <v>2000</v>
      </c>
      <c r="AI33" s="410"/>
      <c r="AJ33" s="411">
        <f t="shared" si="5"/>
        <v>-2000</v>
      </c>
      <c r="AK33" s="409"/>
      <c r="AL33" s="410"/>
      <c r="AM33" s="411">
        <f t="shared" si="6"/>
        <v>0</v>
      </c>
      <c r="AN33" s="412">
        <f t="shared" si="37"/>
        <v>0</v>
      </c>
      <c r="AO33" s="412">
        <f t="shared" si="8"/>
        <v>0</v>
      </c>
      <c r="AP33" s="413">
        <f t="shared" si="38"/>
        <v>0</v>
      </c>
      <c r="AQ33" s="414">
        <f t="shared" si="39"/>
        <v>6000</v>
      </c>
      <c r="AR33" s="414">
        <f t="shared" si="11"/>
        <v>-6000</v>
      </c>
      <c r="AS33" s="415"/>
      <c r="AT33" s="413"/>
      <c r="AU33" s="417"/>
      <c r="AV33" s="425" t="s">
        <v>327</v>
      </c>
      <c r="AW33" s="425"/>
      <c r="AX33" s="426"/>
      <c r="AY33" s="427"/>
      <c r="AZ33" s="427"/>
      <c r="BA33" s="427"/>
      <c r="BB33" s="427"/>
      <c r="BC33" s="427"/>
      <c r="BD33" s="427"/>
      <c r="BE33" s="427"/>
      <c r="BF33" s="427"/>
      <c r="BG33" s="427"/>
      <c r="BH33" s="427"/>
      <c r="BI33" s="427"/>
      <c r="BJ33" s="427"/>
      <c r="BK33" s="427"/>
      <c r="BL33" s="427"/>
      <c r="BM33" s="427"/>
      <c r="BN33" s="427"/>
      <c r="BO33" s="427"/>
      <c r="BP33" s="427"/>
      <c r="BQ33" s="427"/>
      <c r="BR33" s="427"/>
      <c r="BS33" s="427"/>
      <c r="BT33" s="427"/>
      <c r="BU33" s="427"/>
      <c r="BV33" s="427"/>
      <c r="BW33" s="427"/>
      <c r="BX33" s="427"/>
      <c r="BY33" s="427"/>
      <c r="BZ33" s="427"/>
      <c r="CA33" s="427"/>
      <c r="CB33" s="427"/>
      <c r="CC33" s="427"/>
      <c r="CD33" s="427"/>
      <c r="CE33" s="427"/>
      <c r="CF33" s="427"/>
      <c r="CG33" s="427"/>
      <c r="CH33" s="427">
        <f t="shared" si="25"/>
        <v>0</v>
      </c>
      <c r="CI33" s="435"/>
      <c r="CJ33" s="423"/>
      <c r="CK33" s="423"/>
      <c r="CL33" s="423"/>
      <c r="CM33" s="505"/>
      <c r="CY33" s="399">
        <f t="shared" si="21"/>
        <v>0</v>
      </c>
      <c r="DA33" s="505">
        <f t="shared" si="28"/>
        <v>0</v>
      </c>
      <c r="DB33" s="505">
        <f t="shared" si="53"/>
        <v>0</v>
      </c>
      <c r="DC33" s="587">
        <f t="shared" si="54"/>
        <v>0</v>
      </c>
      <c r="DD33" s="505">
        <f t="shared" si="55"/>
        <v>0</v>
      </c>
      <c r="DE33" s="505">
        <f t="shared" si="56"/>
        <v>0</v>
      </c>
      <c r="DF33" s="505">
        <f t="shared" si="57"/>
        <v>0</v>
      </c>
      <c r="DG33" s="505">
        <v>0</v>
      </c>
      <c r="DH33" s="505">
        <v>0</v>
      </c>
      <c r="DI33" s="505">
        <v>0</v>
      </c>
      <c r="DJ33" s="505">
        <v>0</v>
      </c>
      <c r="DK33" s="505">
        <v>0</v>
      </c>
      <c r="DL33" s="505">
        <v>0</v>
      </c>
      <c r="DM33" s="399">
        <f t="shared" si="22"/>
        <v>0</v>
      </c>
      <c r="DO33" s="396"/>
      <c r="DP33" s="396"/>
      <c r="DQ33" s="396"/>
      <c r="DR33" s="619"/>
      <c r="EE33" s="399">
        <f t="shared" si="26"/>
        <v>0</v>
      </c>
      <c r="EG33" s="505">
        <f t="shared" si="27"/>
        <v>0</v>
      </c>
      <c r="EH33" s="505">
        <f t="shared" si="14"/>
        <v>0</v>
      </c>
      <c r="EI33" s="505">
        <f t="shared" si="15"/>
        <v>0</v>
      </c>
      <c r="EJ33" s="505">
        <f t="shared" si="16"/>
        <v>0</v>
      </c>
      <c r="EK33" s="505">
        <f t="shared" si="17"/>
        <v>0</v>
      </c>
      <c r="EL33" s="505">
        <f t="shared" si="18"/>
        <v>0</v>
      </c>
      <c r="EM33" s="505">
        <f t="shared" si="42"/>
        <v>0</v>
      </c>
      <c r="EN33" s="505">
        <f t="shared" si="43"/>
        <v>0</v>
      </c>
      <c r="EO33" s="505">
        <f t="shared" si="44"/>
        <v>0</v>
      </c>
      <c r="EP33" s="505">
        <f t="shared" si="45"/>
        <v>0</v>
      </c>
      <c r="EQ33" s="505">
        <f t="shared" si="46"/>
        <v>0</v>
      </c>
      <c r="ER33" s="505">
        <f t="shared" si="47"/>
        <v>0</v>
      </c>
      <c r="ES33" s="399">
        <f t="shared" si="24"/>
        <v>0</v>
      </c>
    </row>
    <row r="34" spans="1:149" ht="13.9" hidden="1" customHeight="1" x14ac:dyDescent="0.2">
      <c r="A34" s="407" t="s">
        <v>171</v>
      </c>
      <c r="B34" s="395" t="s">
        <v>329</v>
      </c>
      <c r="C34" s="436" t="s">
        <v>330</v>
      </c>
      <c r="D34" s="414"/>
      <c r="E34" s="417"/>
      <c r="F34" s="416">
        <f>+E34-D34</f>
        <v>0</v>
      </c>
      <c r="G34" s="414">
        <v>1500</v>
      </c>
      <c r="H34" s="417"/>
      <c r="I34" s="416">
        <f t="shared" ref="I34:I38" si="58">+H34-G34</f>
        <v>-1500</v>
      </c>
      <c r="J34" s="414">
        <v>1500</v>
      </c>
      <c r="K34" s="417"/>
      <c r="L34" s="416">
        <f>+K34-J34</f>
        <v>-1500</v>
      </c>
      <c r="M34" s="414"/>
      <c r="N34" s="417"/>
      <c r="O34" s="416">
        <f>+N34-M34</f>
        <v>0</v>
      </c>
      <c r="P34" s="414"/>
      <c r="Q34" s="417"/>
      <c r="R34" s="416">
        <f>+Q34-P34</f>
        <v>0</v>
      </c>
      <c r="S34" s="414"/>
      <c r="T34" s="417"/>
      <c r="U34" s="416">
        <f>+T34-S34</f>
        <v>0</v>
      </c>
      <c r="V34" s="414"/>
      <c r="W34" s="417"/>
      <c r="X34" s="416">
        <f t="shared" si="1"/>
        <v>0</v>
      </c>
      <c r="Y34" s="414"/>
      <c r="Z34" s="417"/>
      <c r="AA34" s="416">
        <f t="shared" si="2"/>
        <v>0</v>
      </c>
      <c r="AB34" s="414"/>
      <c r="AC34" s="417"/>
      <c r="AD34" s="416">
        <f t="shared" si="3"/>
        <v>0</v>
      </c>
      <c r="AE34" s="414">
        <v>2000</v>
      </c>
      <c r="AF34" s="417"/>
      <c r="AG34" s="416">
        <f t="shared" si="4"/>
        <v>-2000</v>
      </c>
      <c r="AH34" s="414"/>
      <c r="AI34" s="417"/>
      <c r="AJ34" s="416">
        <f t="shared" si="5"/>
        <v>0</v>
      </c>
      <c r="AK34" s="414"/>
      <c r="AL34" s="417"/>
      <c r="AM34" s="416">
        <f t="shared" si="6"/>
        <v>0</v>
      </c>
      <c r="AN34" s="412">
        <f t="shared" si="37"/>
        <v>0</v>
      </c>
      <c r="AO34" s="412">
        <f t="shared" si="8"/>
        <v>0</v>
      </c>
      <c r="AP34" s="413">
        <f t="shared" si="38"/>
        <v>0</v>
      </c>
      <c r="AQ34" s="414">
        <f t="shared" si="39"/>
        <v>5000</v>
      </c>
      <c r="AR34" s="414">
        <f t="shared" si="11"/>
        <v>-5000</v>
      </c>
      <c r="AS34" s="415"/>
      <c r="AT34" s="413"/>
      <c r="AU34" s="417"/>
      <c r="AV34" s="425" t="s">
        <v>329</v>
      </c>
      <c r="AW34" s="425"/>
      <c r="AX34" s="426"/>
      <c r="AY34" s="427"/>
      <c r="AZ34" s="427"/>
      <c r="BA34" s="427"/>
      <c r="BB34" s="427"/>
      <c r="BC34" s="427"/>
      <c r="BD34" s="427"/>
      <c r="BE34" s="427"/>
      <c r="BF34" s="427"/>
      <c r="BG34" s="427"/>
      <c r="BH34" s="427"/>
      <c r="BI34" s="427"/>
      <c r="BJ34" s="427"/>
      <c r="BK34" s="427"/>
      <c r="BL34" s="427"/>
      <c r="BM34" s="427"/>
      <c r="BN34" s="427"/>
      <c r="BO34" s="427"/>
      <c r="BP34" s="427"/>
      <c r="BQ34" s="427"/>
      <c r="BR34" s="427"/>
      <c r="BS34" s="427"/>
      <c r="BT34" s="427"/>
      <c r="BU34" s="427"/>
      <c r="BV34" s="427"/>
      <c r="BW34" s="427"/>
      <c r="BX34" s="427"/>
      <c r="BY34" s="427"/>
      <c r="BZ34" s="427"/>
      <c r="CA34" s="427"/>
      <c r="CB34" s="427"/>
      <c r="CC34" s="427"/>
      <c r="CD34" s="427"/>
      <c r="CE34" s="427"/>
      <c r="CF34" s="427"/>
      <c r="CG34" s="427"/>
      <c r="CH34" s="427">
        <f t="shared" si="25"/>
        <v>0</v>
      </c>
      <c r="CJ34" s="423"/>
      <c r="CK34" s="423"/>
      <c r="CL34" s="423"/>
      <c r="CM34" s="505"/>
      <c r="CY34" s="399">
        <f t="shared" si="21"/>
        <v>0</v>
      </c>
      <c r="DA34" s="505">
        <f t="shared" si="28"/>
        <v>0</v>
      </c>
      <c r="DB34" s="505">
        <f t="shared" si="53"/>
        <v>0</v>
      </c>
      <c r="DC34" s="587">
        <f t="shared" si="54"/>
        <v>0</v>
      </c>
      <c r="DD34" s="505">
        <f t="shared" si="55"/>
        <v>0</v>
      </c>
      <c r="DE34" s="505">
        <f t="shared" si="56"/>
        <v>0</v>
      </c>
      <c r="DF34" s="505">
        <f t="shared" si="57"/>
        <v>0</v>
      </c>
      <c r="DG34" s="505">
        <v>0</v>
      </c>
      <c r="DH34" s="505">
        <v>0</v>
      </c>
      <c r="DI34" s="505">
        <v>0</v>
      </c>
      <c r="DJ34" s="505">
        <v>0</v>
      </c>
      <c r="DK34" s="505">
        <v>0</v>
      </c>
      <c r="DL34" s="505">
        <v>0</v>
      </c>
      <c r="DM34" s="399">
        <f t="shared" si="22"/>
        <v>0</v>
      </c>
      <c r="DO34" s="396"/>
      <c r="DP34" s="396"/>
      <c r="DQ34" s="396"/>
      <c r="DR34" s="619"/>
      <c r="EE34" s="399">
        <f t="shared" si="26"/>
        <v>0</v>
      </c>
      <c r="EG34" s="505">
        <f t="shared" si="27"/>
        <v>0</v>
      </c>
      <c r="EH34" s="505">
        <f t="shared" si="14"/>
        <v>0</v>
      </c>
      <c r="EI34" s="505">
        <f t="shared" si="15"/>
        <v>0</v>
      </c>
      <c r="EJ34" s="505">
        <f t="shared" si="16"/>
        <v>0</v>
      </c>
      <c r="EK34" s="505">
        <f t="shared" si="17"/>
        <v>0</v>
      </c>
      <c r="EL34" s="505">
        <f t="shared" si="18"/>
        <v>0</v>
      </c>
      <c r="EM34" s="505">
        <f t="shared" si="42"/>
        <v>0</v>
      </c>
      <c r="EN34" s="505">
        <f t="shared" si="43"/>
        <v>0</v>
      </c>
      <c r="EO34" s="505">
        <f t="shared" si="44"/>
        <v>0</v>
      </c>
      <c r="EP34" s="505">
        <f t="shared" si="45"/>
        <v>0</v>
      </c>
      <c r="EQ34" s="505">
        <f t="shared" si="46"/>
        <v>0</v>
      </c>
      <c r="ER34" s="505">
        <f t="shared" si="47"/>
        <v>0</v>
      </c>
      <c r="ES34" s="399">
        <f t="shared" si="24"/>
        <v>0</v>
      </c>
    </row>
    <row r="35" spans="1:149" ht="13.9" hidden="1" customHeight="1" x14ac:dyDescent="0.2">
      <c r="A35" s="407" t="s">
        <v>171</v>
      </c>
      <c r="B35" s="395" t="s">
        <v>329</v>
      </c>
      <c r="C35" s="424" t="s">
        <v>331</v>
      </c>
      <c r="D35" s="414">
        <f>20000/12</f>
        <v>1666.6666666666667</v>
      </c>
      <c r="E35" s="417"/>
      <c r="F35" s="416">
        <f>+E35-D35</f>
        <v>-1666.6666666666667</v>
      </c>
      <c r="G35" s="414">
        <f>20000/12</f>
        <v>1666.6666666666667</v>
      </c>
      <c r="H35" s="417"/>
      <c r="I35" s="416"/>
      <c r="J35" s="414">
        <f>20000/12</f>
        <v>1666.6666666666667</v>
      </c>
      <c r="K35" s="417"/>
      <c r="L35" s="416">
        <f>+K35-J35</f>
        <v>-1666.6666666666667</v>
      </c>
      <c r="M35" s="414">
        <f>20000/12</f>
        <v>1666.6666666666667</v>
      </c>
      <c r="N35" s="417"/>
      <c r="O35" s="416">
        <f>+N35-M35</f>
        <v>-1666.6666666666667</v>
      </c>
      <c r="P35" s="414">
        <f>20000/12</f>
        <v>1666.6666666666667</v>
      </c>
      <c r="Q35" s="417"/>
      <c r="R35" s="416">
        <f>+Q35-P35</f>
        <v>-1666.6666666666667</v>
      </c>
      <c r="S35" s="414">
        <f>20000/12</f>
        <v>1666.6666666666667</v>
      </c>
      <c r="T35" s="417"/>
      <c r="U35" s="416">
        <f>+T35-S35</f>
        <v>-1666.6666666666667</v>
      </c>
      <c r="V35" s="414">
        <f>20000/12</f>
        <v>1666.6666666666667</v>
      </c>
      <c r="W35" s="417"/>
      <c r="X35" s="416">
        <f t="shared" si="1"/>
        <v>-1666.6666666666667</v>
      </c>
      <c r="Y35" s="414">
        <f>20000/12</f>
        <v>1666.6666666666667</v>
      </c>
      <c r="Z35" s="417"/>
      <c r="AA35" s="416">
        <f t="shared" si="2"/>
        <v>-1666.6666666666667</v>
      </c>
      <c r="AB35" s="414">
        <f>20000/12</f>
        <v>1666.6666666666667</v>
      </c>
      <c r="AC35" s="417"/>
      <c r="AD35" s="416">
        <f t="shared" si="3"/>
        <v>-1666.6666666666667</v>
      </c>
      <c r="AE35" s="414">
        <f>20000/12</f>
        <v>1666.6666666666667</v>
      </c>
      <c r="AF35" s="417"/>
      <c r="AG35" s="416">
        <f t="shared" si="4"/>
        <v>-1666.6666666666667</v>
      </c>
      <c r="AH35" s="414">
        <f>20000/12</f>
        <v>1666.6666666666667</v>
      </c>
      <c r="AI35" s="417"/>
      <c r="AJ35" s="416">
        <f t="shared" si="5"/>
        <v>-1666.6666666666667</v>
      </c>
      <c r="AK35" s="414">
        <f>20000/12</f>
        <v>1666.6666666666667</v>
      </c>
      <c r="AL35" s="417"/>
      <c r="AM35" s="416">
        <f t="shared" si="6"/>
        <v>-1666.6666666666667</v>
      </c>
      <c r="AN35" s="412">
        <f t="shared" si="37"/>
        <v>0</v>
      </c>
      <c r="AO35" s="412">
        <f t="shared" si="8"/>
        <v>0</v>
      </c>
      <c r="AP35" s="413">
        <f t="shared" si="38"/>
        <v>0</v>
      </c>
      <c r="AQ35" s="414">
        <f t="shared" si="39"/>
        <v>20000</v>
      </c>
      <c r="AR35" s="414">
        <f t="shared" si="11"/>
        <v>-20000</v>
      </c>
      <c r="AS35" s="415"/>
      <c r="AT35" s="413"/>
      <c r="AU35" s="417"/>
      <c r="AV35" s="425" t="s">
        <v>329</v>
      </c>
      <c r="AW35" s="425"/>
      <c r="AX35" s="426">
        <v>0</v>
      </c>
      <c r="AY35" s="427"/>
      <c r="AZ35" s="427"/>
      <c r="BA35" s="427">
        <v>0</v>
      </c>
      <c r="BB35" s="427"/>
      <c r="BC35" s="427"/>
      <c r="BD35" s="427">
        <v>0</v>
      </c>
      <c r="BE35" s="427"/>
      <c r="BF35" s="427"/>
      <c r="BG35" s="427">
        <v>0</v>
      </c>
      <c r="BH35" s="427"/>
      <c r="BI35" s="427"/>
      <c r="BJ35" s="427">
        <v>0</v>
      </c>
      <c r="BK35" s="427"/>
      <c r="BL35" s="427"/>
      <c r="BM35" s="427">
        <v>0</v>
      </c>
      <c r="BN35" s="427"/>
      <c r="BO35" s="427"/>
      <c r="BP35" s="427">
        <v>0</v>
      </c>
      <c r="BQ35" s="427"/>
      <c r="BR35" s="427"/>
      <c r="BS35" s="427">
        <v>0</v>
      </c>
      <c r="BT35" s="427"/>
      <c r="BU35" s="427"/>
      <c r="BV35" s="427">
        <v>1000</v>
      </c>
      <c r="BW35" s="427"/>
      <c r="BX35" s="427"/>
      <c r="BY35" s="427">
        <v>1000</v>
      </c>
      <c r="BZ35" s="427"/>
      <c r="CA35" s="427"/>
      <c r="CB35" s="427">
        <v>1000</v>
      </c>
      <c r="CC35" s="427"/>
      <c r="CD35" s="427"/>
      <c r="CE35" s="427">
        <v>1000</v>
      </c>
      <c r="CF35" s="427"/>
      <c r="CG35" s="427"/>
      <c r="CH35" s="427">
        <f t="shared" si="25"/>
        <v>4000</v>
      </c>
      <c r="CJ35" s="423"/>
      <c r="CK35" s="423"/>
      <c r="CL35" s="423"/>
      <c r="CM35" s="505"/>
      <c r="CY35" s="399">
        <f t="shared" si="21"/>
        <v>0</v>
      </c>
      <c r="DA35" s="505">
        <f t="shared" si="28"/>
        <v>0</v>
      </c>
      <c r="DB35" s="505">
        <f t="shared" si="53"/>
        <v>0</v>
      </c>
      <c r="DC35" s="587">
        <f t="shared" si="54"/>
        <v>0</v>
      </c>
      <c r="DD35" s="505">
        <f t="shared" si="55"/>
        <v>0</v>
      </c>
      <c r="DE35" s="505">
        <f t="shared" si="56"/>
        <v>0</v>
      </c>
      <c r="DF35" s="505">
        <f t="shared" si="57"/>
        <v>0</v>
      </c>
      <c r="DG35" s="505">
        <v>0</v>
      </c>
      <c r="DH35" s="505">
        <v>0</v>
      </c>
      <c r="DI35" s="505">
        <v>0</v>
      </c>
      <c r="DJ35" s="505">
        <v>0</v>
      </c>
      <c r="DK35" s="505">
        <v>0</v>
      </c>
      <c r="DL35" s="505">
        <v>0</v>
      </c>
      <c r="DM35" s="399">
        <f t="shared" si="22"/>
        <v>0</v>
      </c>
      <c r="DO35" s="396"/>
      <c r="DP35" s="396"/>
      <c r="DQ35" s="396"/>
      <c r="DR35" s="619"/>
      <c r="EE35" s="399">
        <f t="shared" si="26"/>
        <v>0</v>
      </c>
      <c r="EG35" s="505">
        <f t="shared" si="27"/>
        <v>0</v>
      </c>
      <c r="EH35" s="505">
        <f t="shared" si="14"/>
        <v>0</v>
      </c>
      <c r="EI35" s="505">
        <f t="shared" si="15"/>
        <v>0</v>
      </c>
      <c r="EJ35" s="505">
        <f t="shared" si="16"/>
        <v>0</v>
      </c>
      <c r="EK35" s="505">
        <f t="shared" si="17"/>
        <v>0</v>
      </c>
      <c r="EL35" s="505">
        <f t="shared" si="18"/>
        <v>0</v>
      </c>
      <c r="EM35" s="505">
        <f t="shared" si="42"/>
        <v>0</v>
      </c>
      <c r="EN35" s="505">
        <f t="shared" si="43"/>
        <v>0</v>
      </c>
      <c r="EO35" s="505">
        <f t="shared" si="44"/>
        <v>0</v>
      </c>
      <c r="EP35" s="505">
        <f t="shared" si="45"/>
        <v>0</v>
      </c>
      <c r="EQ35" s="505">
        <f t="shared" si="46"/>
        <v>0</v>
      </c>
      <c r="ER35" s="505">
        <f t="shared" si="47"/>
        <v>0</v>
      </c>
      <c r="ES35" s="399">
        <f t="shared" si="24"/>
        <v>0</v>
      </c>
    </row>
    <row r="36" spans="1:149" ht="13.9" hidden="1" customHeight="1" x14ac:dyDescent="0.2">
      <c r="A36" s="428" t="s">
        <v>170</v>
      </c>
      <c r="B36" s="429" t="s">
        <v>332</v>
      </c>
      <c r="C36" s="430" t="s">
        <v>297</v>
      </c>
      <c r="D36" s="431"/>
      <c r="E36" s="432"/>
      <c r="F36" s="433">
        <f>+E36-D36</f>
        <v>0</v>
      </c>
      <c r="G36" s="431"/>
      <c r="H36" s="432"/>
      <c r="I36" s="433">
        <f t="shared" si="58"/>
        <v>0</v>
      </c>
      <c r="J36" s="431"/>
      <c r="K36" s="432"/>
      <c r="L36" s="433">
        <f>+K36-J36</f>
        <v>0</v>
      </c>
      <c r="M36" s="431"/>
      <c r="N36" s="432"/>
      <c r="O36" s="433">
        <f>+N36-M36</f>
        <v>0</v>
      </c>
      <c r="P36" s="431"/>
      <c r="Q36" s="432"/>
      <c r="R36" s="433">
        <f>+Q36-P36</f>
        <v>0</v>
      </c>
      <c r="S36" s="431"/>
      <c r="T36" s="432"/>
      <c r="U36" s="433">
        <f>+T36-S36</f>
        <v>0</v>
      </c>
      <c r="V36" s="431"/>
      <c r="W36" s="432"/>
      <c r="X36" s="433">
        <f t="shared" si="1"/>
        <v>0</v>
      </c>
      <c r="Y36" s="431"/>
      <c r="Z36" s="432"/>
      <c r="AA36" s="433">
        <f t="shared" si="2"/>
        <v>0</v>
      </c>
      <c r="AB36" s="431"/>
      <c r="AC36" s="432"/>
      <c r="AD36" s="433">
        <f t="shared" si="3"/>
        <v>0</v>
      </c>
      <c r="AE36" s="431"/>
      <c r="AF36" s="432"/>
      <c r="AG36" s="433">
        <f t="shared" si="4"/>
        <v>0</v>
      </c>
      <c r="AH36" s="431"/>
      <c r="AI36" s="432"/>
      <c r="AJ36" s="433">
        <f t="shared" si="5"/>
        <v>0</v>
      </c>
      <c r="AK36" s="431"/>
      <c r="AL36" s="432"/>
      <c r="AM36" s="433">
        <f t="shared" si="6"/>
        <v>0</v>
      </c>
      <c r="AN36" s="412">
        <f t="shared" si="37"/>
        <v>0</v>
      </c>
      <c r="AO36" s="412">
        <f t="shared" si="8"/>
        <v>0</v>
      </c>
      <c r="AP36" s="413">
        <f t="shared" si="38"/>
        <v>0</v>
      </c>
      <c r="AQ36" s="414">
        <f t="shared" si="39"/>
        <v>0</v>
      </c>
      <c r="AR36" s="414">
        <f t="shared" si="11"/>
        <v>0</v>
      </c>
      <c r="AS36" s="415"/>
      <c r="AT36" s="413"/>
      <c r="AU36" s="417"/>
      <c r="AV36" s="434" t="s">
        <v>332</v>
      </c>
      <c r="AW36" s="434"/>
      <c r="AX36" s="426"/>
      <c r="AY36" s="427"/>
      <c r="AZ36" s="427"/>
      <c r="BA36" s="427"/>
      <c r="BB36" s="427"/>
      <c r="BC36" s="427"/>
      <c r="BD36" s="427"/>
      <c r="BE36" s="427"/>
      <c r="BF36" s="427"/>
      <c r="BG36" s="427"/>
      <c r="BH36" s="427"/>
      <c r="BI36" s="427"/>
      <c r="BJ36" s="427"/>
      <c r="BK36" s="427"/>
      <c r="BL36" s="427"/>
      <c r="BM36" s="427"/>
      <c r="BN36" s="427"/>
      <c r="BO36" s="427"/>
      <c r="BP36" s="427"/>
      <c r="BQ36" s="427"/>
      <c r="BR36" s="427"/>
      <c r="BS36" s="427"/>
      <c r="BT36" s="427"/>
      <c r="BU36" s="427"/>
      <c r="BV36" s="427"/>
      <c r="BW36" s="427"/>
      <c r="BX36" s="427"/>
      <c r="BY36" s="427"/>
      <c r="BZ36" s="427"/>
      <c r="CA36" s="427"/>
      <c r="CB36" s="427"/>
      <c r="CC36" s="427"/>
      <c r="CD36" s="427"/>
      <c r="CE36" s="427"/>
      <c r="CF36" s="427"/>
      <c r="CG36" s="427"/>
      <c r="CH36" s="427">
        <f t="shared" si="25"/>
        <v>0</v>
      </c>
      <c r="CI36" s="435"/>
      <c r="CJ36" s="423"/>
      <c r="CK36" s="423"/>
      <c r="CL36" s="423"/>
      <c r="CM36" s="505"/>
      <c r="CY36" s="399">
        <f t="shared" si="21"/>
        <v>0</v>
      </c>
      <c r="DA36" s="505">
        <f t="shared" si="28"/>
        <v>0</v>
      </c>
      <c r="DB36" s="505">
        <f t="shared" si="53"/>
        <v>0</v>
      </c>
      <c r="DC36" s="587">
        <f t="shared" si="54"/>
        <v>0</v>
      </c>
      <c r="DD36" s="505">
        <f t="shared" si="55"/>
        <v>0</v>
      </c>
      <c r="DE36" s="505">
        <f t="shared" si="56"/>
        <v>0</v>
      </c>
      <c r="DF36" s="505">
        <f t="shared" si="57"/>
        <v>0</v>
      </c>
      <c r="DG36" s="505">
        <v>0</v>
      </c>
      <c r="DH36" s="505">
        <v>0</v>
      </c>
      <c r="DI36" s="505">
        <v>0</v>
      </c>
      <c r="DJ36" s="505">
        <v>0</v>
      </c>
      <c r="DK36" s="505">
        <v>0</v>
      </c>
      <c r="DL36" s="505">
        <v>0</v>
      </c>
      <c r="DM36" s="399">
        <f t="shared" si="22"/>
        <v>0</v>
      </c>
      <c r="DO36" s="396"/>
      <c r="DP36" s="396"/>
      <c r="DQ36" s="396"/>
      <c r="DR36" s="619"/>
      <c r="EE36" s="399">
        <f t="shared" si="26"/>
        <v>0</v>
      </c>
      <c r="EG36" s="505">
        <f t="shared" si="27"/>
        <v>0</v>
      </c>
      <c r="EH36" s="505">
        <f t="shared" si="14"/>
        <v>0</v>
      </c>
      <c r="EI36" s="505">
        <f t="shared" si="15"/>
        <v>0</v>
      </c>
      <c r="EJ36" s="505">
        <f t="shared" si="16"/>
        <v>0</v>
      </c>
      <c r="EK36" s="505">
        <f t="shared" si="17"/>
        <v>0</v>
      </c>
      <c r="EL36" s="505">
        <f t="shared" si="18"/>
        <v>0</v>
      </c>
      <c r="EM36" s="505">
        <f t="shared" si="42"/>
        <v>0</v>
      </c>
      <c r="EN36" s="505">
        <f t="shared" si="43"/>
        <v>0</v>
      </c>
      <c r="EO36" s="505">
        <f t="shared" si="44"/>
        <v>0</v>
      </c>
      <c r="EP36" s="505">
        <f t="shared" si="45"/>
        <v>0</v>
      </c>
      <c r="EQ36" s="505">
        <f t="shared" si="46"/>
        <v>0</v>
      </c>
      <c r="ER36" s="505">
        <f t="shared" si="47"/>
        <v>0</v>
      </c>
      <c r="ES36" s="399">
        <f t="shared" si="24"/>
        <v>0</v>
      </c>
    </row>
    <row r="37" spans="1:149" ht="13.9" hidden="1" customHeight="1" x14ac:dyDescent="0.2">
      <c r="A37" s="428" t="s">
        <v>171</v>
      </c>
      <c r="B37" s="429" t="s">
        <v>332</v>
      </c>
      <c r="C37" s="430" t="s">
        <v>333</v>
      </c>
      <c r="D37" s="431"/>
      <c r="E37" s="432"/>
      <c r="F37" s="433">
        <f>+E37-D37</f>
        <v>0</v>
      </c>
      <c r="G37" s="431"/>
      <c r="H37" s="432"/>
      <c r="I37" s="433">
        <f t="shared" si="58"/>
        <v>0</v>
      </c>
      <c r="J37" s="431"/>
      <c r="K37" s="432"/>
      <c r="L37" s="433"/>
      <c r="M37" s="431"/>
      <c r="N37" s="432"/>
      <c r="O37" s="433"/>
      <c r="P37" s="431"/>
      <c r="Q37" s="432"/>
      <c r="R37" s="433">
        <f>+Q37-P37</f>
        <v>0</v>
      </c>
      <c r="S37" s="431"/>
      <c r="T37" s="432"/>
      <c r="U37" s="433">
        <f>+T37-S37</f>
        <v>0</v>
      </c>
      <c r="V37" s="431"/>
      <c r="W37" s="432"/>
      <c r="X37" s="433">
        <f t="shared" si="1"/>
        <v>0</v>
      </c>
      <c r="Y37" s="431"/>
      <c r="Z37" s="432"/>
      <c r="AA37" s="433">
        <f t="shared" si="2"/>
        <v>0</v>
      </c>
      <c r="AB37" s="431"/>
      <c r="AC37" s="432"/>
      <c r="AD37" s="433">
        <f t="shared" si="3"/>
        <v>0</v>
      </c>
      <c r="AE37" s="431"/>
      <c r="AF37" s="432"/>
      <c r="AG37" s="433">
        <f t="shared" si="4"/>
        <v>0</v>
      </c>
      <c r="AH37" s="431"/>
      <c r="AI37" s="432"/>
      <c r="AJ37" s="433">
        <f t="shared" si="5"/>
        <v>0</v>
      </c>
      <c r="AK37" s="431"/>
      <c r="AL37" s="432"/>
      <c r="AM37" s="433">
        <f t="shared" si="6"/>
        <v>0</v>
      </c>
      <c r="AN37" s="412">
        <f t="shared" si="37"/>
        <v>0</v>
      </c>
      <c r="AO37" s="412">
        <f t="shared" si="8"/>
        <v>0</v>
      </c>
      <c r="AP37" s="413">
        <f t="shared" si="38"/>
        <v>0</v>
      </c>
      <c r="AQ37" s="414">
        <f t="shared" si="39"/>
        <v>0</v>
      </c>
      <c r="AR37" s="414">
        <f t="shared" si="11"/>
        <v>0</v>
      </c>
      <c r="AS37" s="415"/>
      <c r="AT37" s="413"/>
      <c r="AU37" s="417"/>
      <c r="AV37" s="434" t="s">
        <v>332</v>
      </c>
      <c r="AW37" s="434" t="s">
        <v>5</v>
      </c>
      <c r="AX37" s="426">
        <v>500</v>
      </c>
      <c r="AY37" s="427"/>
      <c r="AZ37" s="427"/>
      <c r="BA37" s="427">
        <v>500</v>
      </c>
      <c r="BB37" s="427"/>
      <c r="BC37" s="427"/>
      <c r="BD37" s="427">
        <v>500</v>
      </c>
      <c r="BE37" s="427"/>
      <c r="BF37" s="427"/>
      <c r="BG37" s="427">
        <v>500</v>
      </c>
      <c r="BH37" s="427"/>
      <c r="BI37" s="427"/>
      <c r="BJ37" s="427">
        <v>500</v>
      </c>
      <c r="BK37" s="427"/>
      <c r="BL37" s="427"/>
      <c r="BM37" s="427">
        <v>500</v>
      </c>
      <c r="BN37" s="427"/>
      <c r="BO37" s="427"/>
      <c r="BP37" s="427">
        <v>500</v>
      </c>
      <c r="BQ37" s="427"/>
      <c r="BR37" s="427"/>
      <c r="BS37" s="427">
        <v>500</v>
      </c>
      <c r="BT37" s="427"/>
      <c r="BU37" s="427"/>
      <c r="BV37" s="427">
        <v>500</v>
      </c>
      <c r="BW37" s="427"/>
      <c r="BX37" s="427"/>
      <c r="BY37" s="427">
        <v>500</v>
      </c>
      <c r="BZ37" s="427"/>
      <c r="CA37" s="427"/>
      <c r="CB37" s="427">
        <v>500</v>
      </c>
      <c r="CC37" s="427"/>
      <c r="CD37" s="427"/>
      <c r="CE37" s="427">
        <v>500</v>
      </c>
      <c r="CF37" s="427"/>
      <c r="CG37" s="427"/>
      <c r="CH37" s="427">
        <f t="shared" si="25"/>
        <v>6000</v>
      </c>
      <c r="CI37" s="435"/>
      <c r="CJ37" s="423"/>
      <c r="CK37" s="423"/>
      <c r="CL37" s="423"/>
      <c r="CM37" s="505"/>
      <c r="CY37" s="399">
        <f t="shared" si="21"/>
        <v>0</v>
      </c>
      <c r="DA37" s="505">
        <f t="shared" si="28"/>
        <v>0</v>
      </c>
      <c r="DB37" s="505">
        <f t="shared" si="53"/>
        <v>0</v>
      </c>
      <c r="DC37" s="587">
        <f t="shared" si="54"/>
        <v>0</v>
      </c>
      <c r="DD37" s="505">
        <f t="shared" si="55"/>
        <v>0</v>
      </c>
      <c r="DE37" s="505">
        <f t="shared" si="56"/>
        <v>0</v>
      </c>
      <c r="DF37" s="505">
        <f t="shared" si="57"/>
        <v>0</v>
      </c>
      <c r="DG37" s="505">
        <v>0</v>
      </c>
      <c r="DH37" s="505">
        <v>0</v>
      </c>
      <c r="DI37" s="505">
        <v>0</v>
      </c>
      <c r="DJ37" s="505">
        <v>0</v>
      </c>
      <c r="DK37" s="505">
        <v>0</v>
      </c>
      <c r="DL37" s="505">
        <v>0</v>
      </c>
      <c r="DM37" s="399">
        <f t="shared" si="22"/>
        <v>0</v>
      </c>
      <c r="DO37" s="396"/>
      <c r="DP37" s="396"/>
      <c r="DQ37" s="396"/>
      <c r="DR37" s="619"/>
      <c r="EE37" s="399">
        <f t="shared" si="26"/>
        <v>0</v>
      </c>
      <c r="EG37" s="505">
        <f t="shared" si="27"/>
        <v>0</v>
      </c>
      <c r="EH37" s="505">
        <f t="shared" si="14"/>
        <v>0</v>
      </c>
      <c r="EI37" s="505">
        <f t="shared" si="15"/>
        <v>0</v>
      </c>
      <c r="EJ37" s="505">
        <f t="shared" si="16"/>
        <v>0</v>
      </c>
      <c r="EK37" s="505">
        <f t="shared" si="17"/>
        <v>0</v>
      </c>
      <c r="EL37" s="505">
        <f t="shared" si="18"/>
        <v>0</v>
      </c>
      <c r="EM37" s="505">
        <f t="shared" si="42"/>
        <v>0</v>
      </c>
      <c r="EN37" s="505">
        <f t="shared" si="43"/>
        <v>0</v>
      </c>
      <c r="EO37" s="505">
        <f t="shared" si="44"/>
        <v>0</v>
      </c>
      <c r="EP37" s="505">
        <f t="shared" si="45"/>
        <v>0</v>
      </c>
      <c r="EQ37" s="505">
        <f t="shared" si="46"/>
        <v>0</v>
      </c>
      <c r="ER37" s="505">
        <f t="shared" si="47"/>
        <v>0</v>
      </c>
      <c r="ES37" s="399">
        <f t="shared" si="24"/>
        <v>0</v>
      </c>
    </row>
    <row r="38" spans="1:149" ht="13.9" hidden="1" customHeight="1" x14ac:dyDescent="0.2">
      <c r="A38" s="407"/>
      <c r="B38" s="395"/>
      <c r="C38" s="438" t="s">
        <v>334</v>
      </c>
      <c r="D38" s="409">
        <v>12000</v>
      </c>
      <c r="E38" s="410"/>
      <c r="F38" s="411">
        <f>+E38-D38</f>
        <v>-12000</v>
      </c>
      <c r="G38" s="409">
        <v>12000</v>
      </c>
      <c r="H38" s="410"/>
      <c r="I38" s="411">
        <f t="shared" si="58"/>
        <v>-12000</v>
      </c>
      <c r="J38" s="409">
        <v>12000</v>
      </c>
      <c r="K38" s="410"/>
      <c r="L38" s="411">
        <f>+K38-J38</f>
        <v>-12000</v>
      </c>
      <c r="M38" s="409">
        <v>12000</v>
      </c>
      <c r="N38" s="410"/>
      <c r="O38" s="411">
        <f>+N38-M38</f>
        <v>-12000</v>
      </c>
      <c r="P38" s="409">
        <v>12000</v>
      </c>
      <c r="Q38" s="410"/>
      <c r="R38" s="411">
        <f>+Q38-P38</f>
        <v>-12000</v>
      </c>
      <c r="S38" s="409">
        <v>12000</v>
      </c>
      <c r="T38" s="410"/>
      <c r="U38" s="411">
        <f>+T38-S38</f>
        <v>-12000</v>
      </c>
      <c r="V38" s="409"/>
      <c r="W38" s="410"/>
      <c r="X38" s="411">
        <f t="shared" si="1"/>
        <v>0</v>
      </c>
      <c r="Y38" s="409">
        <v>10000</v>
      </c>
      <c r="Z38" s="410"/>
      <c r="AA38" s="411">
        <f t="shared" si="2"/>
        <v>-10000</v>
      </c>
      <c r="AB38" s="409">
        <v>10000</v>
      </c>
      <c r="AC38" s="410"/>
      <c r="AD38" s="411">
        <f t="shared" si="3"/>
        <v>-10000</v>
      </c>
      <c r="AE38" s="409">
        <v>10000</v>
      </c>
      <c r="AF38" s="410"/>
      <c r="AG38" s="411">
        <f t="shared" si="4"/>
        <v>-10000</v>
      </c>
      <c r="AH38" s="409">
        <v>10000</v>
      </c>
      <c r="AI38" s="410"/>
      <c r="AJ38" s="411">
        <f t="shared" si="5"/>
        <v>-10000</v>
      </c>
      <c r="AK38" s="409">
        <v>10000</v>
      </c>
      <c r="AL38" s="410"/>
      <c r="AM38" s="411">
        <f t="shared" si="6"/>
        <v>-10000</v>
      </c>
      <c r="AN38" s="439">
        <f t="shared" si="37"/>
        <v>0</v>
      </c>
      <c r="AO38" s="439">
        <f t="shared" si="8"/>
        <v>0</v>
      </c>
      <c r="AP38" s="440">
        <f t="shared" si="38"/>
        <v>0</v>
      </c>
      <c r="AQ38" s="409">
        <f t="shared" si="39"/>
        <v>122000</v>
      </c>
      <c r="AR38" s="409">
        <f t="shared" si="11"/>
        <v>-122000</v>
      </c>
      <c r="AS38" s="415"/>
      <c r="AT38" s="440"/>
      <c r="AU38" s="410"/>
      <c r="AV38" s="441"/>
      <c r="AW38" s="441"/>
      <c r="AX38" s="442"/>
      <c r="AY38" s="443"/>
      <c r="AZ38" s="443"/>
      <c r="BA38" s="443"/>
      <c r="BB38" s="443"/>
      <c r="BC38" s="443"/>
      <c r="BD38" s="443"/>
      <c r="BE38" s="443"/>
      <c r="BF38" s="443"/>
      <c r="BG38" s="443"/>
      <c r="BH38" s="443"/>
      <c r="BI38" s="443"/>
      <c r="BJ38" s="443"/>
      <c r="BK38" s="443"/>
      <c r="BL38" s="443"/>
      <c r="BM38" s="443"/>
      <c r="BN38" s="443"/>
      <c r="BO38" s="443"/>
      <c r="BP38" s="443"/>
      <c r="BQ38" s="443"/>
      <c r="BR38" s="443"/>
      <c r="BS38" s="443"/>
      <c r="BT38" s="443"/>
      <c r="BU38" s="443"/>
      <c r="BV38" s="443"/>
      <c r="BW38" s="443"/>
      <c r="BX38" s="443"/>
      <c r="BY38" s="443"/>
      <c r="BZ38" s="443"/>
      <c r="CA38" s="443"/>
      <c r="CB38" s="443"/>
      <c r="CC38" s="443"/>
      <c r="CD38" s="443"/>
      <c r="CE38" s="443"/>
      <c r="CF38" s="443"/>
      <c r="CG38" s="443"/>
      <c r="CH38" s="443">
        <f t="shared" si="25"/>
        <v>0</v>
      </c>
      <c r="CI38" s="435"/>
      <c r="CJ38" s="423"/>
      <c r="CK38" s="423"/>
      <c r="CL38" s="423"/>
      <c r="CM38" s="505"/>
      <c r="CY38" s="399">
        <f t="shared" si="21"/>
        <v>0</v>
      </c>
      <c r="DA38" s="505">
        <f t="shared" si="28"/>
        <v>0</v>
      </c>
      <c r="DB38" s="505">
        <f t="shared" si="53"/>
        <v>0</v>
      </c>
      <c r="DC38" s="587">
        <f t="shared" si="54"/>
        <v>0</v>
      </c>
      <c r="DD38" s="505">
        <f t="shared" si="55"/>
        <v>0</v>
      </c>
      <c r="DE38" s="505">
        <f t="shared" si="56"/>
        <v>0</v>
      </c>
      <c r="DF38" s="505">
        <f t="shared" si="57"/>
        <v>0</v>
      </c>
      <c r="DG38" s="505">
        <v>0</v>
      </c>
      <c r="DH38" s="505">
        <v>0</v>
      </c>
      <c r="DI38" s="505">
        <v>0</v>
      </c>
      <c r="DJ38" s="505">
        <v>0</v>
      </c>
      <c r="DK38" s="505">
        <v>0</v>
      </c>
      <c r="DL38" s="505">
        <v>0</v>
      </c>
      <c r="DM38" s="399">
        <f t="shared" si="22"/>
        <v>0</v>
      </c>
      <c r="DO38" s="396"/>
      <c r="DP38" s="396"/>
      <c r="DQ38" s="396"/>
      <c r="DR38" s="619"/>
      <c r="EE38" s="399">
        <f t="shared" si="26"/>
        <v>0</v>
      </c>
      <c r="EG38" s="505">
        <f t="shared" si="27"/>
        <v>0</v>
      </c>
      <c r="EH38" s="505">
        <f t="shared" si="14"/>
        <v>0</v>
      </c>
      <c r="EI38" s="505">
        <f t="shared" si="15"/>
        <v>0</v>
      </c>
      <c r="EJ38" s="505">
        <f t="shared" si="16"/>
        <v>0</v>
      </c>
      <c r="EK38" s="505">
        <f t="shared" si="17"/>
        <v>0</v>
      </c>
      <c r="EL38" s="505">
        <f t="shared" si="18"/>
        <v>0</v>
      </c>
      <c r="EM38" s="505">
        <f t="shared" si="42"/>
        <v>0</v>
      </c>
      <c r="EN38" s="505">
        <f t="shared" si="43"/>
        <v>0</v>
      </c>
      <c r="EO38" s="505">
        <f t="shared" si="44"/>
        <v>0</v>
      </c>
      <c r="EP38" s="505">
        <f t="shared" si="45"/>
        <v>0</v>
      </c>
      <c r="EQ38" s="505">
        <f t="shared" si="46"/>
        <v>0</v>
      </c>
      <c r="ER38" s="505">
        <f t="shared" si="47"/>
        <v>0</v>
      </c>
      <c r="ES38" s="399">
        <f t="shared" si="24"/>
        <v>0</v>
      </c>
    </row>
    <row r="39" spans="1:149" ht="13.9" hidden="1" customHeight="1" x14ac:dyDescent="0.2">
      <c r="A39" s="395"/>
      <c r="B39" s="395" t="s">
        <v>335</v>
      </c>
      <c r="C39" s="424" t="s">
        <v>336</v>
      </c>
      <c r="D39" s="409"/>
      <c r="E39" s="410"/>
      <c r="F39" s="411"/>
      <c r="G39" s="409"/>
      <c r="H39" s="410"/>
      <c r="I39" s="411"/>
      <c r="J39" s="409"/>
      <c r="K39" s="410"/>
      <c r="L39" s="411"/>
      <c r="M39" s="409"/>
      <c r="N39" s="410"/>
      <c r="O39" s="411"/>
      <c r="P39" s="409"/>
      <c r="Q39" s="410"/>
      <c r="R39" s="411"/>
      <c r="S39" s="409"/>
      <c r="T39" s="410"/>
      <c r="U39" s="411"/>
      <c r="V39" s="409"/>
      <c r="W39" s="410"/>
      <c r="X39" s="411"/>
      <c r="Y39" s="409"/>
      <c r="Z39" s="410"/>
      <c r="AA39" s="411"/>
      <c r="AB39" s="409"/>
      <c r="AC39" s="410"/>
      <c r="AD39" s="411"/>
      <c r="AE39" s="409"/>
      <c r="AF39" s="410"/>
      <c r="AG39" s="411"/>
      <c r="AH39" s="409">
        <v>5000</v>
      </c>
      <c r="AI39" s="410"/>
      <c r="AJ39" s="411"/>
      <c r="AK39" s="409">
        <v>5000</v>
      </c>
      <c r="AL39" s="410"/>
      <c r="AM39" s="411"/>
      <c r="AN39" s="439">
        <f t="shared" si="37"/>
        <v>0</v>
      </c>
      <c r="AO39" s="439">
        <f t="shared" si="8"/>
        <v>0</v>
      </c>
      <c r="AP39" s="440">
        <f t="shared" si="38"/>
        <v>0</v>
      </c>
      <c r="AQ39" s="409">
        <f t="shared" si="39"/>
        <v>10000</v>
      </c>
      <c r="AR39" s="409">
        <f t="shared" si="11"/>
        <v>-10000</v>
      </c>
      <c r="AS39" s="415"/>
      <c r="AT39" s="440"/>
      <c r="AU39" s="410"/>
      <c r="AV39" s="425" t="s">
        <v>335</v>
      </c>
      <c r="AW39" s="425"/>
      <c r="AX39" s="444"/>
      <c r="AY39" s="445"/>
      <c r="AZ39" s="445"/>
      <c r="BA39" s="445"/>
      <c r="BB39" s="445"/>
      <c r="BC39" s="445"/>
      <c r="BD39" s="445"/>
      <c r="BE39" s="445"/>
      <c r="BF39" s="445"/>
      <c r="BG39" s="445"/>
      <c r="BH39" s="445"/>
      <c r="BI39" s="445"/>
      <c r="BJ39" s="445"/>
      <c r="BK39" s="445"/>
      <c r="BL39" s="445"/>
      <c r="BM39" s="445"/>
      <c r="BN39" s="445"/>
      <c r="BO39" s="445"/>
      <c r="BP39" s="445"/>
      <c r="BQ39" s="445"/>
      <c r="BR39" s="445"/>
      <c r="BS39" s="445"/>
      <c r="BT39" s="445"/>
      <c r="BU39" s="445"/>
      <c r="BV39" s="445"/>
      <c r="BW39" s="445"/>
      <c r="BX39" s="445"/>
      <c r="BY39" s="445"/>
      <c r="BZ39" s="445"/>
      <c r="CA39" s="445"/>
      <c r="CB39" s="445"/>
      <c r="CC39" s="445"/>
      <c r="CD39" s="445"/>
      <c r="CE39" s="445"/>
      <c r="CF39" s="445"/>
      <c r="CG39" s="445"/>
      <c r="CH39" s="427">
        <f t="shared" si="25"/>
        <v>0</v>
      </c>
      <c r="CI39" s="435"/>
      <c r="CJ39" s="423"/>
      <c r="CK39" s="423"/>
      <c r="CL39" s="423"/>
      <c r="CM39" s="397"/>
      <c r="CY39" s="399">
        <f t="shared" si="21"/>
        <v>0</v>
      </c>
      <c r="DA39" s="505">
        <f t="shared" si="28"/>
        <v>0</v>
      </c>
      <c r="DB39" s="505">
        <f t="shared" si="53"/>
        <v>0</v>
      </c>
      <c r="DC39" s="587">
        <f t="shared" si="54"/>
        <v>0</v>
      </c>
      <c r="DD39" s="505">
        <f t="shared" si="55"/>
        <v>0</v>
      </c>
      <c r="DE39" s="505">
        <f t="shared" si="56"/>
        <v>0</v>
      </c>
      <c r="DF39" s="505">
        <f t="shared" si="57"/>
        <v>0</v>
      </c>
      <c r="DG39" s="505">
        <v>0</v>
      </c>
      <c r="DH39" s="505">
        <v>0</v>
      </c>
      <c r="DI39" s="505">
        <v>0</v>
      </c>
      <c r="DJ39" s="505">
        <v>0</v>
      </c>
      <c r="DK39" s="505">
        <v>0</v>
      </c>
      <c r="DL39" s="505">
        <v>0</v>
      </c>
      <c r="DM39" s="399">
        <f t="shared" si="22"/>
        <v>0</v>
      </c>
      <c r="DO39" s="396"/>
      <c r="DP39" s="396"/>
      <c r="DQ39" s="396"/>
      <c r="EE39" s="399">
        <f t="shared" si="26"/>
        <v>0</v>
      </c>
      <c r="EG39" s="505">
        <f t="shared" si="27"/>
        <v>0</v>
      </c>
      <c r="EH39" s="505">
        <f t="shared" si="14"/>
        <v>0</v>
      </c>
      <c r="EI39" s="505">
        <f t="shared" si="15"/>
        <v>0</v>
      </c>
      <c r="EJ39" s="505">
        <f t="shared" si="16"/>
        <v>0</v>
      </c>
      <c r="EK39" s="505">
        <f t="shared" si="17"/>
        <v>0</v>
      </c>
      <c r="EL39" s="505">
        <f t="shared" si="18"/>
        <v>0</v>
      </c>
      <c r="EM39" s="505">
        <f t="shared" si="42"/>
        <v>0</v>
      </c>
      <c r="EN39" s="505">
        <f t="shared" si="43"/>
        <v>0</v>
      </c>
      <c r="EO39" s="505">
        <f t="shared" si="44"/>
        <v>0</v>
      </c>
      <c r="EP39" s="505">
        <f t="shared" si="45"/>
        <v>0</v>
      </c>
      <c r="EQ39" s="505">
        <f t="shared" si="46"/>
        <v>0</v>
      </c>
      <c r="ER39" s="505">
        <f t="shared" si="47"/>
        <v>0</v>
      </c>
      <c r="ES39" s="399">
        <f t="shared" si="24"/>
        <v>0</v>
      </c>
    </row>
    <row r="40" spans="1:149" ht="13.9" hidden="1" customHeight="1" x14ac:dyDescent="0.2">
      <c r="A40" s="395"/>
      <c r="B40" s="395" t="s">
        <v>337</v>
      </c>
      <c r="C40" s="424" t="s">
        <v>336</v>
      </c>
      <c r="D40" s="409"/>
      <c r="E40" s="410"/>
      <c r="F40" s="411"/>
      <c r="G40" s="409"/>
      <c r="H40" s="410"/>
      <c r="I40" s="411"/>
      <c r="J40" s="409"/>
      <c r="K40" s="410"/>
      <c r="L40" s="411"/>
      <c r="M40" s="409"/>
      <c r="N40" s="410"/>
      <c r="O40" s="411"/>
      <c r="P40" s="409"/>
      <c r="Q40" s="410"/>
      <c r="R40" s="411"/>
      <c r="S40" s="409"/>
      <c r="T40" s="410"/>
      <c r="U40" s="411"/>
      <c r="V40" s="409"/>
      <c r="W40" s="410"/>
      <c r="X40" s="411"/>
      <c r="Y40" s="409"/>
      <c r="Z40" s="410"/>
      <c r="AA40" s="411"/>
      <c r="AB40" s="409"/>
      <c r="AC40" s="410"/>
      <c r="AD40" s="411"/>
      <c r="AE40" s="409"/>
      <c r="AF40" s="410"/>
      <c r="AG40" s="411"/>
      <c r="AH40" s="409"/>
      <c r="AI40" s="410"/>
      <c r="AJ40" s="411"/>
      <c r="AK40" s="409"/>
      <c r="AL40" s="410"/>
      <c r="AM40" s="411"/>
      <c r="AN40" s="439"/>
      <c r="AO40" s="439"/>
      <c r="AP40" s="409"/>
      <c r="AQ40" s="409"/>
      <c r="AR40" s="410"/>
      <c r="AS40" s="415"/>
      <c r="AT40" s="440"/>
      <c r="AU40" s="410"/>
      <c r="AV40" s="425" t="s">
        <v>337</v>
      </c>
      <c r="AW40" s="425" t="s">
        <v>324</v>
      </c>
      <c r="AX40" s="426">
        <v>0</v>
      </c>
      <c r="AY40" s="426">
        <v>0</v>
      </c>
      <c r="AZ40" s="426">
        <v>0</v>
      </c>
      <c r="BA40" s="426">
        <v>0</v>
      </c>
      <c r="BB40" s="426">
        <v>0</v>
      </c>
      <c r="BC40" s="426">
        <v>0</v>
      </c>
      <c r="BD40" s="426">
        <v>0</v>
      </c>
      <c r="BE40" s="426">
        <v>0</v>
      </c>
      <c r="BF40" s="426">
        <v>0</v>
      </c>
      <c r="BG40" s="426">
        <v>0</v>
      </c>
      <c r="BH40" s="426">
        <v>0</v>
      </c>
      <c r="BI40" s="426">
        <v>0</v>
      </c>
      <c r="BJ40" s="426">
        <v>0</v>
      </c>
      <c r="BK40" s="426">
        <v>0</v>
      </c>
      <c r="BL40" s="426">
        <v>0</v>
      </c>
      <c r="BM40" s="426">
        <v>0</v>
      </c>
      <c r="BN40" s="426">
        <v>0</v>
      </c>
      <c r="BO40" s="426">
        <v>0</v>
      </c>
      <c r="BP40" s="426">
        <v>0</v>
      </c>
      <c r="BQ40" s="426">
        <v>0</v>
      </c>
      <c r="BR40" s="426">
        <v>0</v>
      </c>
      <c r="BS40" s="426">
        <v>0</v>
      </c>
      <c r="BT40" s="426">
        <v>0</v>
      </c>
      <c r="BU40" s="426">
        <v>0</v>
      </c>
      <c r="BV40" s="426">
        <v>0</v>
      </c>
      <c r="BW40" s="426">
        <v>0</v>
      </c>
      <c r="BX40" s="426">
        <v>0</v>
      </c>
      <c r="BY40" s="426">
        <v>0</v>
      </c>
      <c r="BZ40" s="426">
        <v>0</v>
      </c>
      <c r="CA40" s="426">
        <v>0</v>
      </c>
      <c r="CB40" s="426">
        <v>0</v>
      </c>
      <c r="CC40" s="426">
        <v>0</v>
      </c>
      <c r="CD40" s="426">
        <v>0</v>
      </c>
      <c r="CE40" s="426">
        <v>0</v>
      </c>
      <c r="CF40" s="445"/>
      <c r="CG40" s="445"/>
      <c r="CH40" s="427">
        <f t="shared" si="25"/>
        <v>0</v>
      </c>
      <c r="CI40" s="435"/>
      <c r="CJ40" s="423"/>
      <c r="CK40" s="423"/>
      <c r="CL40" s="423"/>
      <c r="CM40" s="397"/>
      <c r="CY40" s="399">
        <f t="shared" si="21"/>
        <v>0</v>
      </c>
      <c r="DA40" s="505">
        <f t="shared" si="28"/>
        <v>0</v>
      </c>
      <c r="DB40" s="505">
        <f t="shared" si="53"/>
        <v>0</v>
      </c>
      <c r="DC40" s="587">
        <f t="shared" si="54"/>
        <v>0</v>
      </c>
      <c r="DD40" s="505">
        <f t="shared" si="55"/>
        <v>0</v>
      </c>
      <c r="DE40" s="505">
        <f t="shared" si="56"/>
        <v>0</v>
      </c>
      <c r="DF40" s="505">
        <f t="shared" si="57"/>
        <v>0</v>
      </c>
      <c r="DG40" s="505">
        <v>0</v>
      </c>
      <c r="DH40" s="505">
        <v>0</v>
      </c>
      <c r="DI40" s="505">
        <v>0</v>
      </c>
      <c r="DJ40" s="505">
        <v>0</v>
      </c>
      <c r="DK40" s="505">
        <v>0</v>
      </c>
      <c r="DL40" s="505">
        <v>0</v>
      </c>
      <c r="DM40" s="399">
        <f t="shared" si="22"/>
        <v>0</v>
      </c>
      <c r="DO40" s="396"/>
      <c r="DP40" s="396"/>
      <c r="DQ40" s="396"/>
      <c r="EE40" s="399">
        <f t="shared" si="26"/>
        <v>0</v>
      </c>
      <c r="EG40" s="505">
        <f t="shared" si="27"/>
        <v>0</v>
      </c>
      <c r="EH40" s="505">
        <f t="shared" si="14"/>
        <v>0</v>
      </c>
      <c r="EI40" s="505">
        <f t="shared" si="15"/>
        <v>0</v>
      </c>
      <c r="EJ40" s="505">
        <f t="shared" si="16"/>
        <v>0</v>
      </c>
      <c r="EK40" s="505">
        <f t="shared" si="17"/>
        <v>0</v>
      </c>
      <c r="EL40" s="505">
        <f t="shared" si="18"/>
        <v>0</v>
      </c>
      <c r="EM40" s="505">
        <f t="shared" si="42"/>
        <v>0</v>
      </c>
      <c r="EN40" s="505">
        <f t="shared" si="43"/>
        <v>0</v>
      </c>
      <c r="EO40" s="505">
        <f t="shared" si="44"/>
        <v>0</v>
      </c>
      <c r="EP40" s="505">
        <f t="shared" si="45"/>
        <v>0</v>
      </c>
      <c r="EQ40" s="505">
        <f t="shared" si="46"/>
        <v>0</v>
      </c>
      <c r="ER40" s="505">
        <f t="shared" si="47"/>
        <v>0</v>
      </c>
      <c r="ES40" s="399">
        <f t="shared" si="24"/>
        <v>0</v>
      </c>
    </row>
    <row r="41" spans="1:149" ht="13.9" hidden="1" customHeight="1" x14ac:dyDescent="0.2">
      <c r="A41" s="395"/>
      <c r="B41" s="395" t="s">
        <v>338</v>
      </c>
      <c r="C41" s="424" t="s">
        <v>336</v>
      </c>
      <c r="D41" s="409"/>
      <c r="E41" s="410"/>
      <c r="F41" s="411"/>
      <c r="G41" s="409"/>
      <c r="H41" s="410"/>
      <c r="I41" s="411"/>
      <c r="J41" s="409"/>
      <c r="K41" s="410"/>
      <c r="L41" s="411"/>
      <c r="M41" s="409"/>
      <c r="N41" s="410"/>
      <c r="O41" s="411"/>
      <c r="P41" s="409"/>
      <c r="Q41" s="410"/>
      <c r="R41" s="411"/>
      <c r="S41" s="409"/>
      <c r="T41" s="410"/>
      <c r="U41" s="411"/>
      <c r="V41" s="409"/>
      <c r="W41" s="410"/>
      <c r="X41" s="411"/>
      <c r="Y41" s="409"/>
      <c r="Z41" s="410"/>
      <c r="AA41" s="411"/>
      <c r="AB41" s="409"/>
      <c r="AC41" s="410"/>
      <c r="AD41" s="411"/>
      <c r="AE41" s="409"/>
      <c r="AF41" s="410"/>
      <c r="AG41" s="411"/>
      <c r="AH41" s="409"/>
      <c r="AI41" s="410"/>
      <c r="AJ41" s="411"/>
      <c r="AK41" s="409"/>
      <c r="AL41" s="410"/>
      <c r="AM41" s="411"/>
      <c r="AN41" s="439"/>
      <c r="AO41" s="439"/>
      <c r="AP41" s="409"/>
      <c r="AQ41" s="409"/>
      <c r="AR41" s="410"/>
      <c r="AS41" s="415"/>
      <c r="AT41" s="440"/>
      <c r="AU41" s="410"/>
      <c r="AV41" s="425" t="s">
        <v>338</v>
      </c>
      <c r="AW41" s="425" t="s">
        <v>324</v>
      </c>
      <c r="AX41" s="426">
        <v>0</v>
      </c>
      <c r="AY41" s="426">
        <v>0</v>
      </c>
      <c r="AZ41" s="426">
        <v>0</v>
      </c>
      <c r="BA41" s="426">
        <v>0</v>
      </c>
      <c r="BB41" s="426">
        <v>0</v>
      </c>
      <c r="BC41" s="426">
        <v>0</v>
      </c>
      <c r="BD41" s="426">
        <v>0</v>
      </c>
      <c r="BE41" s="426">
        <v>0</v>
      </c>
      <c r="BF41" s="426">
        <v>0</v>
      </c>
      <c r="BG41" s="426">
        <v>0</v>
      </c>
      <c r="BH41" s="426">
        <v>0</v>
      </c>
      <c r="BI41" s="426">
        <v>0</v>
      </c>
      <c r="BJ41" s="426">
        <v>0</v>
      </c>
      <c r="BK41" s="426">
        <v>0</v>
      </c>
      <c r="BL41" s="426">
        <v>0</v>
      </c>
      <c r="BM41" s="426">
        <v>0</v>
      </c>
      <c r="BN41" s="426">
        <v>0</v>
      </c>
      <c r="BO41" s="426">
        <v>0</v>
      </c>
      <c r="BP41" s="426">
        <v>0</v>
      </c>
      <c r="BQ41" s="426">
        <v>0</v>
      </c>
      <c r="BR41" s="426">
        <v>0</v>
      </c>
      <c r="BS41" s="426">
        <v>0</v>
      </c>
      <c r="BT41" s="426">
        <v>0</v>
      </c>
      <c r="BU41" s="426">
        <v>0</v>
      </c>
      <c r="BV41" s="426">
        <v>0</v>
      </c>
      <c r="BW41" s="426">
        <v>0</v>
      </c>
      <c r="BX41" s="426">
        <v>0</v>
      </c>
      <c r="BY41" s="426">
        <v>0</v>
      </c>
      <c r="BZ41" s="426">
        <v>0</v>
      </c>
      <c r="CA41" s="426">
        <v>0</v>
      </c>
      <c r="CB41" s="426">
        <v>0</v>
      </c>
      <c r="CC41" s="426">
        <v>0</v>
      </c>
      <c r="CD41" s="426">
        <v>0</v>
      </c>
      <c r="CE41" s="426">
        <v>0</v>
      </c>
      <c r="CF41" s="445"/>
      <c r="CG41" s="445"/>
      <c r="CH41" s="427">
        <f t="shared" si="25"/>
        <v>0</v>
      </c>
      <c r="CI41" s="435"/>
      <c r="CJ41" s="423"/>
      <c r="CK41" s="423"/>
      <c r="CL41" s="423"/>
      <c r="CM41" s="397"/>
      <c r="CY41" s="399">
        <f t="shared" si="21"/>
        <v>0</v>
      </c>
      <c r="DA41" s="505">
        <f t="shared" si="28"/>
        <v>0</v>
      </c>
      <c r="DB41" s="505">
        <f t="shared" si="53"/>
        <v>0</v>
      </c>
      <c r="DC41" s="587">
        <f t="shared" si="54"/>
        <v>0</v>
      </c>
      <c r="DD41" s="505">
        <f t="shared" si="55"/>
        <v>0</v>
      </c>
      <c r="DE41" s="505">
        <f t="shared" si="56"/>
        <v>0</v>
      </c>
      <c r="DF41" s="505">
        <f t="shared" si="57"/>
        <v>0</v>
      </c>
      <c r="DG41" s="505">
        <v>0</v>
      </c>
      <c r="DH41" s="505">
        <v>0</v>
      </c>
      <c r="DI41" s="505">
        <v>0</v>
      </c>
      <c r="DJ41" s="505">
        <v>0</v>
      </c>
      <c r="DK41" s="505">
        <v>0</v>
      </c>
      <c r="DL41" s="505">
        <v>0</v>
      </c>
      <c r="DM41" s="399">
        <f t="shared" si="22"/>
        <v>0</v>
      </c>
      <c r="DO41" s="396"/>
      <c r="DP41" s="396"/>
      <c r="DQ41" s="396"/>
      <c r="EE41" s="399">
        <f t="shared" si="26"/>
        <v>0</v>
      </c>
      <c r="EG41" s="505">
        <f t="shared" si="27"/>
        <v>0</v>
      </c>
      <c r="EH41" s="505">
        <f t="shared" si="14"/>
        <v>0</v>
      </c>
      <c r="EI41" s="505">
        <f t="shared" si="15"/>
        <v>0</v>
      </c>
      <c r="EJ41" s="505">
        <f t="shared" si="16"/>
        <v>0</v>
      </c>
      <c r="EK41" s="505">
        <f t="shared" si="17"/>
        <v>0</v>
      </c>
      <c r="EL41" s="505">
        <f t="shared" si="18"/>
        <v>0</v>
      </c>
      <c r="EM41" s="505">
        <f t="shared" si="42"/>
        <v>0</v>
      </c>
      <c r="EN41" s="505">
        <f t="shared" si="43"/>
        <v>0</v>
      </c>
      <c r="EO41" s="505">
        <f t="shared" si="44"/>
        <v>0</v>
      </c>
      <c r="EP41" s="505">
        <f t="shared" si="45"/>
        <v>0</v>
      </c>
      <c r="EQ41" s="505">
        <f t="shared" si="46"/>
        <v>0</v>
      </c>
      <c r="ER41" s="505">
        <f t="shared" si="47"/>
        <v>0</v>
      </c>
      <c r="ES41" s="399">
        <f t="shared" si="24"/>
        <v>0</v>
      </c>
    </row>
    <row r="42" spans="1:149" ht="13.9" hidden="1" customHeight="1" x14ac:dyDescent="0.2">
      <c r="A42" s="395" t="s">
        <v>170</v>
      </c>
      <c r="B42" s="395" t="s">
        <v>304</v>
      </c>
      <c r="C42" s="424" t="s">
        <v>339</v>
      </c>
      <c r="D42" s="409"/>
      <c r="E42" s="410"/>
      <c r="F42" s="411"/>
      <c r="H42" s="410"/>
      <c r="I42" s="411"/>
      <c r="J42" s="409"/>
      <c r="K42" s="410"/>
      <c r="L42" s="411"/>
      <c r="M42" s="409">
        <v>34585.14</v>
      </c>
      <c r="N42" s="410"/>
      <c r="O42" s="411"/>
      <c r="P42" s="409"/>
      <c r="Q42" s="410"/>
      <c r="R42" s="411"/>
      <c r="S42" s="409"/>
      <c r="T42" s="410"/>
      <c r="U42" s="411"/>
      <c r="V42" s="409"/>
      <c r="W42" s="410"/>
      <c r="X42" s="411"/>
      <c r="Y42" s="409"/>
      <c r="Z42" s="410"/>
      <c r="AA42" s="411"/>
      <c r="AB42" s="409"/>
      <c r="AC42" s="410"/>
      <c r="AD42" s="411"/>
      <c r="AE42" s="409"/>
      <c r="AF42" s="410"/>
      <c r="AG42" s="411"/>
      <c r="AH42" s="409"/>
      <c r="AI42" s="410"/>
      <c r="AJ42" s="411"/>
      <c r="AK42" s="409"/>
      <c r="AL42" s="410"/>
      <c r="AM42" s="411"/>
      <c r="AN42" s="412"/>
      <c r="AO42" s="412"/>
      <c r="AP42" s="414"/>
      <c r="AQ42" s="414"/>
      <c r="AR42" s="417"/>
      <c r="AS42" s="415"/>
      <c r="AT42" s="413"/>
      <c r="AU42" s="417"/>
      <c r="AV42" s="425" t="s">
        <v>304</v>
      </c>
      <c r="AW42" s="425"/>
      <c r="AX42" s="426"/>
      <c r="AY42" s="427"/>
      <c r="AZ42" s="427"/>
      <c r="BA42" s="427"/>
      <c r="BB42" s="427"/>
      <c r="BC42" s="427"/>
      <c r="BD42" s="427"/>
      <c r="BE42" s="427"/>
      <c r="BF42" s="427"/>
      <c r="BG42" s="427"/>
      <c r="BH42" s="427"/>
      <c r="BI42" s="427"/>
      <c r="BJ42" s="427"/>
      <c r="BK42" s="427"/>
      <c r="BL42" s="427"/>
      <c r="BM42" s="427"/>
      <c r="BN42" s="427"/>
      <c r="BO42" s="427"/>
      <c r="BP42" s="427"/>
      <c r="BQ42" s="427"/>
      <c r="BR42" s="427"/>
      <c r="BS42" s="427"/>
      <c r="BT42" s="427"/>
      <c r="BU42" s="427"/>
      <c r="BV42" s="427"/>
      <c r="BW42" s="427"/>
      <c r="BX42" s="427"/>
      <c r="BY42" s="427"/>
      <c r="BZ42" s="427"/>
      <c r="CA42" s="427"/>
      <c r="CB42" s="427"/>
      <c r="CC42" s="427"/>
      <c r="CD42" s="427"/>
      <c r="CE42" s="427"/>
      <c r="CF42" s="427"/>
      <c r="CG42" s="427"/>
      <c r="CH42" s="427">
        <f t="shared" si="25"/>
        <v>0</v>
      </c>
      <c r="CI42" s="435"/>
      <c r="CJ42" s="423"/>
      <c r="CK42" s="423"/>
      <c r="CL42" s="423"/>
      <c r="CM42" s="397"/>
      <c r="CY42" s="399">
        <f t="shared" si="21"/>
        <v>0</v>
      </c>
      <c r="DA42" s="505">
        <f t="shared" si="28"/>
        <v>0</v>
      </c>
      <c r="DB42" s="505">
        <f t="shared" si="53"/>
        <v>0</v>
      </c>
      <c r="DC42" s="587">
        <f t="shared" si="54"/>
        <v>0</v>
      </c>
      <c r="DD42" s="505">
        <f t="shared" si="55"/>
        <v>0</v>
      </c>
      <c r="DE42" s="505">
        <f t="shared" si="56"/>
        <v>0</v>
      </c>
      <c r="DF42" s="505">
        <f t="shared" si="57"/>
        <v>0</v>
      </c>
      <c r="DG42" s="505">
        <v>0</v>
      </c>
      <c r="DH42" s="505">
        <v>0</v>
      </c>
      <c r="DI42" s="505">
        <v>0</v>
      </c>
      <c r="DJ42" s="505">
        <v>0</v>
      </c>
      <c r="DK42" s="505">
        <v>0</v>
      </c>
      <c r="DL42" s="505">
        <v>0</v>
      </c>
      <c r="DM42" s="399">
        <f t="shared" si="22"/>
        <v>0</v>
      </c>
      <c r="DO42" s="396"/>
      <c r="DP42" s="396"/>
      <c r="DQ42" s="396"/>
      <c r="EE42" s="399">
        <f t="shared" si="26"/>
        <v>0</v>
      </c>
      <c r="EG42" s="505">
        <f t="shared" si="27"/>
        <v>0</v>
      </c>
      <c r="EH42" s="505">
        <f t="shared" si="14"/>
        <v>0</v>
      </c>
      <c r="EI42" s="505">
        <f t="shared" si="15"/>
        <v>0</v>
      </c>
      <c r="EJ42" s="505">
        <f t="shared" si="16"/>
        <v>0</v>
      </c>
      <c r="EK42" s="505">
        <f t="shared" si="17"/>
        <v>0</v>
      </c>
      <c r="EL42" s="505">
        <f t="shared" si="18"/>
        <v>0</v>
      </c>
      <c r="EM42" s="505">
        <f t="shared" si="42"/>
        <v>0</v>
      </c>
      <c r="EN42" s="505">
        <f t="shared" si="43"/>
        <v>0</v>
      </c>
      <c r="EO42" s="505">
        <f t="shared" si="44"/>
        <v>0</v>
      </c>
      <c r="EP42" s="505">
        <f t="shared" si="45"/>
        <v>0</v>
      </c>
      <c r="EQ42" s="505">
        <f t="shared" si="46"/>
        <v>0</v>
      </c>
      <c r="ER42" s="505">
        <f t="shared" si="47"/>
        <v>0</v>
      </c>
      <c r="ES42" s="399">
        <f t="shared" si="24"/>
        <v>0</v>
      </c>
    </row>
    <row r="43" spans="1:149" ht="13.9" hidden="1" customHeight="1" x14ac:dyDescent="0.2">
      <c r="A43" s="395" t="s">
        <v>340</v>
      </c>
      <c r="B43" s="395" t="s">
        <v>341</v>
      </c>
      <c r="C43" s="424" t="s">
        <v>342</v>
      </c>
      <c r="D43" s="409"/>
      <c r="E43" s="410"/>
      <c r="F43" s="411"/>
      <c r="G43" s="409"/>
      <c r="H43" s="410"/>
      <c r="I43" s="411"/>
      <c r="J43" s="409"/>
      <c r="K43" s="410"/>
      <c r="L43" s="411"/>
      <c r="M43" s="409">
        <v>42324.2</v>
      </c>
      <c r="N43" s="410"/>
      <c r="O43" s="411"/>
      <c r="P43" s="409"/>
      <c r="Q43" s="410"/>
      <c r="R43" s="411"/>
      <c r="S43" s="409"/>
      <c r="T43" s="410"/>
      <c r="U43" s="411"/>
      <c r="V43" s="409"/>
      <c r="W43" s="410"/>
      <c r="X43" s="411"/>
      <c r="Y43" s="409"/>
      <c r="Z43" s="410"/>
      <c r="AA43" s="411"/>
      <c r="AB43" s="409"/>
      <c r="AC43" s="410"/>
      <c r="AD43" s="411"/>
      <c r="AE43" s="409"/>
      <c r="AF43" s="410"/>
      <c r="AG43" s="411"/>
      <c r="AH43" s="409"/>
      <c r="AI43" s="410"/>
      <c r="AJ43" s="411"/>
      <c r="AK43" s="409"/>
      <c r="AL43" s="410"/>
      <c r="AM43" s="411"/>
      <c r="AN43" s="412"/>
      <c r="AO43" s="412"/>
      <c r="AP43" s="414"/>
      <c r="AQ43" s="414"/>
      <c r="AR43" s="417"/>
      <c r="AS43" s="415"/>
      <c r="AT43" s="413"/>
      <c r="AU43" s="417"/>
      <c r="AV43" s="425" t="s">
        <v>341</v>
      </c>
      <c r="AW43" s="425"/>
      <c r="AX43" s="426"/>
      <c r="AY43" s="427"/>
      <c r="AZ43" s="427"/>
      <c r="BA43" s="427"/>
      <c r="BB43" s="427"/>
      <c r="BC43" s="427"/>
      <c r="BD43" s="427"/>
      <c r="BE43" s="427"/>
      <c r="BF43" s="427"/>
      <c r="BG43" s="427"/>
      <c r="BH43" s="427"/>
      <c r="BI43" s="427"/>
      <c r="BJ43" s="427"/>
      <c r="BK43" s="427"/>
      <c r="BL43" s="427"/>
      <c r="BM43" s="427"/>
      <c r="BN43" s="427"/>
      <c r="BO43" s="427"/>
      <c r="BP43" s="427"/>
      <c r="BQ43" s="427"/>
      <c r="BR43" s="427"/>
      <c r="BS43" s="427"/>
      <c r="BT43" s="427"/>
      <c r="BU43" s="427"/>
      <c r="BV43" s="427"/>
      <c r="BW43" s="427"/>
      <c r="BX43" s="427"/>
      <c r="BY43" s="427"/>
      <c r="BZ43" s="427"/>
      <c r="CA43" s="427"/>
      <c r="CB43" s="427"/>
      <c r="CC43" s="427"/>
      <c r="CD43" s="427"/>
      <c r="CE43" s="427"/>
      <c r="CF43" s="427"/>
      <c r="CG43" s="427"/>
      <c r="CH43" s="427">
        <f t="shared" si="25"/>
        <v>0</v>
      </c>
      <c r="CI43" s="435"/>
      <c r="CJ43" s="423"/>
      <c r="CK43" s="423"/>
      <c r="CL43" s="423"/>
      <c r="CM43" s="397"/>
      <c r="CY43" s="399">
        <f t="shared" si="21"/>
        <v>0</v>
      </c>
      <c r="DA43" s="505">
        <f t="shared" si="28"/>
        <v>0</v>
      </c>
      <c r="DB43" s="505">
        <f t="shared" si="53"/>
        <v>0</v>
      </c>
      <c r="DC43" s="587">
        <f t="shared" si="54"/>
        <v>0</v>
      </c>
      <c r="DD43" s="505">
        <f t="shared" si="55"/>
        <v>0</v>
      </c>
      <c r="DE43" s="505">
        <f t="shared" si="56"/>
        <v>0</v>
      </c>
      <c r="DF43" s="505">
        <f t="shared" si="57"/>
        <v>0</v>
      </c>
      <c r="DG43" s="505">
        <v>0</v>
      </c>
      <c r="DH43" s="505">
        <v>0</v>
      </c>
      <c r="DI43" s="505">
        <v>0</v>
      </c>
      <c r="DJ43" s="505">
        <v>0</v>
      </c>
      <c r="DK43" s="505">
        <v>0</v>
      </c>
      <c r="DL43" s="505">
        <v>0</v>
      </c>
      <c r="DM43" s="399">
        <f t="shared" si="22"/>
        <v>0</v>
      </c>
      <c r="DO43" s="396"/>
      <c r="DP43" s="396"/>
      <c r="DQ43" s="396"/>
      <c r="EE43" s="399">
        <f t="shared" si="26"/>
        <v>0</v>
      </c>
      <c r="EG43" s="505">
        <f t="shared" si="27"/>
        <v>0</v>
      </c>
      <c r="EH43" s="505">
        <f t="shared" si="14"/>
        <v>0</v>
      </c>
      <c r="EI43" s="505">
        <f t="shared" si="15"/>
        <v>0</v>
      </c>
      <c r="EJ43" s="505">
        <f t="shared" si="16"/>
        <v>0</v>
      </c>
      <c r="EK43" s="505">
        <f t="shared" si="17"/>
        <v>0</v>
      </c>
      <c r="EL43" s="505">
        <f t="shared" si="18"/>
        <v>0</v>
      </c>
      <c r="EM43" s="505">
        <f t="shared" si="42"/>
        <v>0</v>
      </c>
      <c r="EN43" s="505">
        <f t="shared" si="43"/>
        <v>0</v>
      </c>
      <c r="EO43" s="505">
        <f t="shared" si="44"/>
        <v>0</v>
      </c>
      <c r="EP43" s="505">
        <f t="shared" si="45"/>
        <v>0</v>
      </c>
      <c r="EQ43" s="505">
        <f t="shared" si="46"/>
        <v>0</v>
      </c>
      <c r="ER43" s="505">
        <f t="shared" si="47"/>
        <v>0</v>
      </c>
      <c r="ES43" s="399">
        <f t="shared" si="24"/>
        <v>0</v>
      </c>
    </row>
    <row r="44" spans="1:149" ht="13.9" hidden="1" customHeight="1" x14ac:dyDescent="0.2">
      <c r="A44" s="395" t="s">
        <v>170</v>
      </c>
      <c r="B44" s="395" t="s">
        <v>343</v>
      </c>
      <c r="C44" s="424" t="s">
        <v>344</v>
      </c>
      <c r="D44" s="409">
        <v>28795.33</v>
      </c>
      <c r="E44" s="410"/>
      <c r="F44" s="411"/>
      <c r="G44" s="409"/>
      <c r="H44" s="410"/>
      <c r="I44" s="411"/>
      <c r="J44" s="409"/>
      <c r="K44" s="410"/>
      <c r="L44" s="411"/>
      <c r="M44" s="409"/>
      <c r="N44" s="410"/>
      <c r="O44" s="411"/>
      <c r="P44" s="409"/>
      <c r="Q44" s="410"/>
      <c r="R44" s="411"/>
      <c r="S44" s="409"/>
      <c r="T44" s="410"/>
      <c r="U44" s="411"/>
      <c r="V44" s="409"/>
      <c r="W44" s="410"/>
      <c r="X44" s="411"/>
      <c r="Y44" s="409"/>
      <c r="Z44" s="410"/>
      <c r="AA44" s="411"/>
      <c r="AB44" s="409"/>
      <c r="AC44" s="410"/>
      <c r="AD44" s="411"/>
      <c r="AE44" s="409"/>
      <c r="AF44" s="410"/>
      <c r="AG44" s="411"/>
      <c r="AH44" s="409"/>
      <c r="AI44" s="410"/>
      <c r="AJ44" s="411"/>
      <c r="AK44" s="409"/>
      <c r="AL44" s="410"/>
      <c r="AM44" s="411"/>
      <c r="AN44" s="412"/>
      <c r="AO44" s="412"/>
      <c r="AP44" s="414"/>
      <c r="AQ44" s="414"/>
      <c r="AR44" s="417"/>
      <c r="AS44" s="415"/>
      <c r="AT44" s="413"/>
      <c r="AU44" s="417"/>
      <c r="AV44" s="425" t="s">
        <v>343</v>
      </c>
      <c r="AW44" s="425"/>
      <c r="AX44" s="426"/>
      <c r="AY44" s="427"/>
      <c r="AZ44" s="427"/>
      <c r="BA44" s="427"/>
      <c r="BB44" s="427"/>
      <c r="BC44" s="427"/>
      <c r="BD44" s="427"/>
      <c r="BE44" s="427"/>
      <c r="BF44" s="427"/>
      <c r="BG44" s="427"/>
      <c r="BH44" s="427"/>
      <c r="BI44" s="427"/>
      <c r="BJ44" s="427"/>
      <c r="BK44" s="427"/>
      <c r="BL44" s="427"/>
      <c r="BM44" s="427"/>
      <c r="BN44" s="427"/>
      <c r="BO44" s="427"/>
      <c r="BP44" s="427"/>
      <c r="BQ44" s="427"/>
      <c r="BR44" s="427"/>
      <c r="BS44" s="427"/>
      <c r="BT44" s="427"/>
      <c r="BU44" s="427"/>
      <c r="BV44" s="427"/>
      <c r="BW44" s="427"/>
      <c r="BX44" s="427"/>
      <c r="BY44" s="427"/>
      <c r="BZ44" s="427"/>
      <c r="CA44" s="427"/>
      <c r="CB44" s="427"/>
      <c r="CC44" s="427"/>
      <c r="CD44" s="427"/>
      <c r="CE44" s="427"/>
      <c r="CF44" s="427"/>
      <c r="CG44" s="427"/>
      <c r="CH44" s="427">
        <f t="shared" si="25"/>
        <v>0</v>
      </c>
      <c r="CI44" s="435"/>
      <c r="CJ44" s="423"/>
      <c r="CK44" s="423"/>
      <c r="CL44" s="423"/>
      <c r="CM44" s="397"/>
      <c r="CY44" s="399">
        <f t="shared" si="21"/>
        <v>0</v>
      </c>
      <c r="DA44" s="505">
        <f t="shared" si="28"/>
        <v>0</v>
      </c>
      <c r="DB44" s="505">
        <f t="shared" si="53"/>
        <v>0</v>
      </c>
      <c r="DC44" s="587">
        <f t="shared" si="54"/>
        <v>0</v>
      </c>
      <c r="DD44" s="505">
        <f t="shared" si="55"/>
        <v>0</v>
      </c>
      <c r="DE44" s="505">
        <f t="shared" si="56"/>
        <v>0</v>
      </c>
      <c r="DF44" s="505">
        <f t="shared" si="57"/>
        <v>0</v>
      </c>
      <c r="DG44" s="505">
        <v>0</v>
      </c>
      <c r="DH44" s="505">
        <v>0</v>
      </c>
      <c r="DI44" s="505">
        <v>0</v>
      </c>
      <c r="DJ44" s="505">
        <v>0</v>
      </c>
      <c r="DK44" s="505">
        <v>0</v>
      </c>
      <c r="DL44" s="505">
        <v>0</v>
      </c>
      <c r="DM44" s="399">
        <f t="shared" si="22"/>
        <v>0</v>
      </c>
      <c r="DO44" s="396"/>
      <c r="DP44" s="396"/>
      <c r="DQ44" s="396"/>
      <c r="EE44" s="399">
        <f t="shared" si="26"/>
        <v>0</v>
      </c>
      <c r="EG44" s="505">
        <f t="shared" si="27"/>
        <v>0</v>
      </c>
      <c r="EH44" s="505">
        <f t="shared" si="14"/>
        <v>0</v>
      </c>
      <c r="EI44" s="505">
        <f t="shared" si="15"/>
        <v>0</v>
      </c>
      <c r="EJ44" s="505">
        <f t="shared" si="16"/>
        <v>0</v>
      </c>
      <c r="EK44" s="505">
        <f t="shared" si="17"/>
        <v>0</v>
      </c>
      <c r="EL44" s="505">
        <f t="shared" si="18"/>
        <v>0</v>
      </c>
      <c r="EM44" s="505">
        <f t="shared" si="42"/>
        <v>0</v>
      </c>
      <c r="EN44" s="505">
        <f t="shared" si="43"/>
        <v>0</v>
      </c>
      <c r="EO44" s="505">
        <f t="shared" si="44"/>
        <v>0</v>
      </c>
      <c r="EP44" s="505">
        <f t="shared" si="45"/>
        <v>0</v>
      </c>
      <c r="EQ44" s="505">
        <f t="shared" si="46"/>
        <v>0</v>
      </c>
      <c r="ER44" s="505">
        <f t="shared" si="47"/>
        <v>0</v>
      </c>
      <c r="ES44" s="399">
        <f t="shared" si="24"/>
        <v>0</v>
      </c>
    </row>
    <row r="45" spans="1:149" hidden="1" x14ac:dyDescent="0.2">
      <c r="A45" s="395" t="s">
        <v>345</v>
      </c>
      <c r="B45" s="395" t="s">
        <v>346</v>
      </c>
      <c r="C45" s="436" t="s">
        <v>347</v>
      </c>
      <c r="D45" s="409"/>
      <c r="E45" s="410"/>
      <c r="F45" s="411"/>
      <c r="G45" s="409"/>
      <c r="H45" s="410"/>
      <c r="I45" s="411"/>
      <c r="J45" s="409">
        <v>33750</v>
      </c>
      <c r="K45" s="410"/>
      <c r="L45" s="411"/>
      <c r="M45" s="409"/>
      <c r="N45" s="410"/>
      <c r="O45" s="411"/>
      <c r="P45" s="409"/>
      <c r="Q45" s="410"/>
      <c r="R45" s="411"/>
      <c r="S45" s="409"/>
      <c r="T45" s="410"/>
      <c r="U45" s="411"/>
      <c r="V45" s="409"/>
      <c r="W45" s="410"/>
      <c r="X45" s="411"/>
      <c r="Y45" s="409"/>
      <c r="Z45" s="410"/>
      <c r="AA45" s="411"/>
      <c r="AB45" s="409"/>
      <c r="AC45" s="410"/>
      <c r="AD45" s="411"/>
      <c r="AE45" s="409"/>
      <c r="AF45" s="410"/>
      <c r="AG45" s="411"/>
      <c r="AH45" s="409"/>
      <c r="AI45" s="410"/>
      <c r="AJ45" s="411"/>
      <c r="AK45" s="409"/>
      <c r="AL45" s="410"/>
      <c r="AM45" s="411"/>
      <c r="AN45" s="412"/>
      <c r="AO45" s="412"/>
      <c r="AP45" s="414"/>
      <c r="AQ45" s="414"/>
      <c r="AR45" s="417"/>
      <c r="AS45" s="415"/>
      <c r="AT45" s="413"/>
      <c r="AU45" s="417"/>
      <c r="AV45" s="425" t="s">
        <v>346</v>
      </c>
      <c r="AW45" s="425"/>
      <c r="AX45" s="426"/>
      <c r="AY45" s="427"/>
      <c r="AZ45" s="427"/>
      <c r="BA45" s="427"/>
      <c r="BB45" s="427"/>
      <c r="BC45" s="427"/>
      <c r="BD45" s="427"/>
      <c r="BE45" s="427"/>
      <c r="BF45" s="427"/>
      <c r="BG45" s="427"/>
      <c r="BH45" s="427"/>
      <c r="BI45" s="427"/>
      <c r="BJ45" s="427"/>
      <c r="BK45" s="427"/>
      <c r="BL45" s="427"/>
      <c r="BM45" s="427"/>
      <c r="BN45" s="427"/>
      <c r="BO45" s="427"/>
      <c r="BP45" s="427"/>
      <c r="BQ45" s="427"/>
      <c r="BR45" s="427"/>
      <c r="BS45" s="427"/>
      <c r="BT45" s="427"/>
      <c r="BU45" s="427"/>
      <c r="BV45" s="427"/>
      <c r="BW45" s="427"/>
      <c r="BX45" s="427"/>
      <c r="BY45" s="427"/>
      <c r="BZ45" s="427"/>
      <c r="CA45" s="427"/>
      <c r="CB45" s="427"/>
      <c r="CC45" s="427"/>
      <c r="CD45" s="427"/>
      <c r="CE45" s="427"/>
      <c r="CF45" s="427"/>
      <c r="CG45" s="427"/>
      <c r="CH45" s="427">
        <f t="shared" si="25"/>
        <v>0</v>
      </c>
      <c r="CI45" s="435"/>
      <c r="CJ45" s="423"/>
      <c r="CK45" s="423"/>
      <c r="CL45" s="423"/>
      <c r="CM45" s="397"/>
      <c r="CY45" s="399">
        <f t="shared" si="21"/>
        <v>0</v>
      </c>
      <c r="DA45" s="505">
        <f t="shared" si="28"/>
        <v>0</v>
      </c>
      <c r="DB45" s="505">
        <f t="shared" si="53"/>
        <v>0</v>
      </c>
      <c r="DC45" s="587">
        <f t="shared" si="54"/>
        <v>0</v>
      </c>
      <c r="DD45" s="505">
        <f t="shared" si="55"/>
        <v>0</v>
      </c>
      <c r="DE45" s="505">
        <f t="shared" si="56"/>
        <v>0</v>
      </c>
      <c r="DF45" s="505">
        <f t="shared" si="57"/>
        <v>0</v>
      </c>
      <c r="DG45" s="505">
        <v>0</v>
      </c>
      <c r="DH45" s="505">
        <v>0</v>
      </c>
      <c r="DI45" s="505">
        <v>0</v>
      </c>
      <c r="DJ45" s="505">
        <v>0</v>
      </c>
      <c r="DK45" s="505">
        <v>0</v>
      </c>
      <c r="DL45" s="505">
        <v>0</v>
      </c>
      <c r="DM45" s="399">
        <f t="shared" si="22"/>
        <v>0</v>
      </c>
      <c r="DO45" s="396"/>
      <c r="DP45" s="396"/>
      <c r="DQ45" s="396"/>
      <c r="EE45" s="399">
        <f t="shared" si="26"/>
        <v>0</v>
      </c>
      <c r="EG45" s="505">
        <f t="shared" si="27"/>
        <v>0</v>
      </c>
      <c r="EH45" s="505">
        <f t="shared" si="14"/>
        <v>0</v>
      </c>
      <c r="EI45" s="505">
        <f t="shared" si="15"/>
        <v>0</v>
      </c>
      <c r="EJ45" s="505">
        <f t="shared" si="16"/>
        <v>0</v>
      </c>
      <c r="EK45" s="505">
        <f t="shared" si="17"/>
        <v>0</v>
      </c>
      <c r="EL45" s="505">
        <f t="shared" si="18"/>
        <v>0</v>
      </c>
      <c r="EM45" s="505">
        <f t="shared" si="42"/>
        <v>0</v>
      </c>
      <c r="EN45" s="505">
        <f t="shared" si="43"/>
        <v>0</v>
      </c>
      <c r="EO45" s="505">
        <f t="shared" si="44"/>
        <v>0</v>
      </c>
      <c r="EP45" s="505">
        <f t="shared" si="45"/>
        <v>0</v>
      </c>
      <c r="EQ45" s="505">
        <f t="shared" si="46"/>
        <v>0</v>
      </c>
      <c r="ER45" s="505">
        <f t="shared" si="47"/>
        <v>0</v>
      </c>
      <c r="ES45" s="399">
        <f t="shared" si="24"/>
        <v>0</v>
      </c>
    </row>
    <row r="46" spans="1:149" hidden="1" x14ac:dyDescent="0.2">
      <c r="A46" s="395" t="s">
        <v>345</v>
      </c>
      <c r="B46" s="395" t="s">
        <v>346</v>
      </c>
      <c r="C46" s="436" t="s">
        <v>348</v>
      </c>
      <c r="D46" s="409"/>
      <c r="E46" s="410"/>
      <c r="F46" s="411"/>
      <c r="G46" s="409"/>
      <c r="H46" s="410"/>
      <c r="I46" s="411"/>
      <c r="J46" s="409"/>
      <c r="K46" s="410"/>
      <c r="L46" s="411"/>
      <c r="M46" s="409">
        <v>11250</v>
      </c>
      <c r="N46" s="410"/>
      <c r="O46" s="411"/>
      <c r="P46" s="409"/>
      <c r="Q46" s="410"/>
      <c r="R46" s="411"/>
      <c r="S46" s="409"/>
      <c r="T46" s="410"/>
      <c r="U46" s="411"/>
      <c r="V46" s="409"/>
      <c r="W46" s="410"/>
      <c r="X46" s="411"/>
      <c r="Y46" s="409"/>
      <c r="Z46" s="410"/>
      <c r="AA46" s="411"/>
      <c r="AB46" s="409"/>
      <c r="AC46" s="410"/>
      <c r="AD46" s="411"/>
      <c r="AE46" s="409"/>
      <c r="AF46" s="410"/>
      <c r="AG46" s="411"/>
      <c r="AH46" s="409"/>
      <c r="AI46" s="410"/>
      <c r="AJ46" s="411"/>
      <c r="AK46" s="409"/>
      <c r="AL46" s="410"/>
      <c r="AM46" s="411"/>
      <c r="AN46" s="412"/>
      <c r="AO46" s="412"/>
      <c r="AP46" s="414"/>
      <c r="AQ46" s="414"/>
      <c r="AR46" s="417"/>
      <c r="AS46" s="415"/>
      <c r="AT46" s="413"/>
      <c r="AU46" s="417"/>
      <c r="AV46" s="425" t="s">
        <v>346</v>
      </c>
      <c r="AW46" s="425"/>
      <c r="AX46" s="426"/>
      <c r="AY46" s="427"/>
      <c r="AZ46" s="427"/>
      <c r="BA46" s="427"/>
      <c r="BB46" s="427"/>
      <c r="BC46" s="427"/>
      <c r="BD46" s="427"/>
      <c r="BE46" s="427"/>
      <c r="BF46" s="427"/>
      <c r="BG46" s="427"/>
      <c r="BH46" s="427"/>
      <c r="BI46" s="427"/>
      <c r="BJ46" s="427"/>
      <c r="BK46" s="427"/>
      <c r="BL46" s="427"/>
      <c r="BM46" s="427"/>
      <c r="BN46" s="427"/>
      <c r="BO46" s="427"/>
      <c r="BP46" s="427"/>
      <c r="BQ46" s="427"/>
      <c r="BR46" s="427"/>
      <c r="BS46" s="427"/>
      <c r="BT46" s="427"/>
      <c r="BU46" s="427"/>
      <c r="BV46" s="427"/>
      <c r="BW46" s="427"/>
      <c r="BX46" s="427"/>
      <c r="BY46" s="427"/>
      <c r="BZ46" s="427"/>
      <c r="CA46" s="427"/>
      <c r="CB46" s="427"/>
      <c r="CC46" s="427"/>
      <c r="CD46" s="427"/>
      <c r="CE46" s="427"/>
      <c r="CF46" s="427"/>
      <c r="CG46" s="427"/>
      <c r="CH46" s="427">
        <f t="shared" si="25"/>
        <v>0</v>
      </c>
      <c r="CI46" s="435"/>
      <c r="CJ46" s="423"/>
      <c r="CK46" s="423"/>
      <c r="CL46" s="423"/>
      <c r="CM46" s="397"/>
      <c r="CY46" s="399">
        <f t="shared" si="21"/>
        <v>0</v>
      </c>
      <c r="DA46" s="505">
        <f t="shared" si="28"/>
        <v>0</v>
      </c>
      <c r="DB46" s="505">
        <f t="shared" si="53"/>
        <v>0</v>
      </c>
      <c r="DC46" s="587">
        <f t="shared" si="54"/>
        <v>0</v>
      </c>
      <c r="DD46" s="505">
        <f t="shared" si="55"/>
        <v>0</v>
      </c>
      <c r="DE46" s="505">
        <f t="shared" si="56"/>
        <v>0</v>
      </c>
      <c r="DF46" s="505">
        <f t="shared" si="57"/>
        <v>0</v>
      </c>
      <c r="DG46" s="505">
        <v>0</v>
      </c>
      <c r="DH46" s="505">
        <v>0</v>
      </c>
      <c r="DI46" s="505">
        <v>0</v>
      </c>
      <c r="DJ46" s="505">
        <v>0</v>
      </c>
      <c r="DK46" s="505">
        <v>0</v>
      </c>
      <c r="DL46" s="505">
        <v>0</v>
      </c>
      <c r="DM46" s="399">
        <f t="shared" si="22"/>
        <v>0</v>
      </c>
      <c r="DO46" s="396"/>
      <c r="DP46" s="396"/>
      <c r="DQ46" s="396"/>
      <c r="EE46" s="399">
        <f t="shared" si="26"/>
        <v>0</v>
      </c>
      <c r="EG46" s="505">
        <f t="shared" si="27"/>
        <v>0</v>
      </c>
      <c r="EH46" s="505">
        <f t="shared" si="14"/>
        <v>0</v>
      </c>
      <c r="EI46" s="505">
        <f t="shared" si="15"/>
        <v>0</v>
      </c>
      <c r="EJ46" s="505">
        <f t="shared" si="16"/>
        <v>0</v>
      </c>
      <c r="EK46" s="505">
        <f t="shared" si="17"/>
        <v>0</v>
      </c>
      <c r="EL46" s="505">
        <f t="shared" si="18"/>
        <v>0</v>
      </c>
      <c r="EM46" s="505">
        <f t="shared" si="42"/>
        <v>0</v>
      </c>
      <c r="EN46" s="505">
        <f t="shared" si="43"/>
        <v>0</v>
      </c>
      <c r="EO46" s="505">
        <f t="shared" si="44"/>
        <v>0</v>
      </c>
      <c r="EP46" s="505">
        <f t="shared" si="45"/>
        <v>0</v>
      </c>
      <c r="EQ46" s="505">
        <f t="shared" si="46"/>
        <v>0</v>
      </c>
      <c r="ER46" s="505">
        <f t="shared" si="47"/>
        <v>0</v>
      </c>
      <c r="ES46" s="399">
        <f t="shared" si="24"/>
        <v>0</v>
      </c>
    </row>
    <row r="47" spans="1:149" hidden="1" x14ac:dyDescent="0.2">
      <c r="A47" s="395" t="s">
        <v>170</v>
      </c>
      <c r="B47" s="395" t="s">
        <v>349</v>
      </c>
      <c r="C47" s="424" t="s">
        <v>350</v>
      </c>
      <c r="D47" s="410">
        <v>38125</v>
      </c>
      <c r="E47" s="410"/>
      <c r="F47" s="411"/>
      <c r="G47" s="409">
        <v>38125</v>
      </c>
      <c r="H47" s="410"/>
      <c r="I47" s="411"/>
      <c r="J47" s="409">
        <v>38125</v>
      </c>
      <c r="K47" s="410"/>
      <c r="L47" s="411"/>
      <c r="M47" s="409"/>
      <c r="N47" s="410"/>
      <c r="O47" s="411"/>
      <c r="P47" s="409"/>
      <c r="Q47" s="410"/>
      <c r="R47" s="411"/>
      <c r="S47" s="409"/>
      <c r="T47" s="410"/>
      <c r="U47" s="411"/>
      <c r="V47" s="409"/>
      <c r="W47" s="410"/>
      <c r="X47" s="411"/>
      <c r="Y47" s="409"/>
      <c r="Z47" s="410"/>
      <c r="AA47" s="411"/>
      <c r="AB47" s="409"/>
      <c r="AC47" s="410"/>
      <c r="AD47" s="411"/>
      <c r="AE47" s="409"/>
      <c r="AF47" s="410"/>
      <c r="AG47" s="411"/>
      <c r="AH47" s="409"/>
      <c r="AI47" s="410"/>
      <c r="AJ47" s="411"/>
      <c r="AK47" s="409"/>
      <c r="AL47" s="410"/>
      <c r="AM47" s="411"/>
      <c r="AN47" s="412"/>
      <c r="AO47" s="412"/>
      <c r="AP47" s="414"/>
      <c r="AQ47" s="414"/>
      <c r="AR47" s="417"/>
      <c r="AS47" s="415"/>
      <c r="AT47" s="413"/>
      <c r="AU47" s="417"/>
      <c r="AV47" s="446" t="s">
        <v>349</v>
      </c>
      <c r="AW47" s="425" t="s">
        <v>351</v>
      </c>
      <c r="AX47" s="426">
        <v>3000</v>
      </c>
      <c r="AY47" s="427"/>
      <c r="AZ47" s="427"/>
      <c r="BA47" s="427">
        <v>3000</v>
      </c>
      <c r="BB47" s="427"/>
      <c r="BC47" s="427"/>
      <c r="BD47" s="427">
        <v>3000</v>
      </c>
      <c r="BE47" s="427"/>
      <c r="BF47" s="427"/>
      <c r="BG47" s="427">
        <v>3000</v>
      </c>
      <c r="BH47" s="427"/>
      <c r="BI47" s="427"/>
      <c r="BJ47" s="427">
        <v>3000</v>
      </c>
      <c r="BK47" s="427"/>
      <c r="BL47" s="427"/>
      <c r="BM47" s="427">
        <v>3000</v>
      </c>
      <c r="BN47" s="427"/>
      <c r="BO47" s="427"/>
      <c r="BP47" s="427">
        <v>3000</v>
      </c>
      <c r="BQ47" s="427"/>
      <c r="BR47" s="427"/>
      <c r="BS47" s="427">
        <v>3000</v>
      </c>
      <c r="BT47" s="427"/>
      <c r="BU47" s="427"/>
      <c r="BV47" s="427">
        <v>3000</v>
      </c>
      <c r="BW47" s="427"/>
      <c r="BX47" s="427"/>
      <c r="BY47" s="427">
        <v>3000</v>
      </c>
      <c r="BZ47" s="427"/>
      <c r="CA47" s="427"/>
      <c r="CB47" s="427">
        <v>3000</v>
      </c>
      <c r="CC47" s="427"/>
      <c r="CD47" s="427"/>
      <c r="CE47" s="427">
        <v>3000</v>
      </c>
      <c r="CF47" s="427"/>
      <c r="CG47" s="427"/>
      <c r="CH47" s="427">
        <f t="shared" si="25"/>
        <v>36000</v>
      </c>
      <c r="CI47" s="435"/>
      <c r="CJ47" s="423"/>
      <c r="CK47" s="423"/>
      <c r="CL47" s="423"/>
      <c r="CM47" s="397"/>
      <c r="CY47" s="399">
        <f t="shared" si="21"/>
        <v>0</v>
      </c>
      <c r="DA47" s="505">
        <f t="shared" si="28"/>
        <v>0</v>
      </c>
      <c r="DB47" s="505">
        <f t="shared" si="53"/>
        <v>0</v>
      </c>
      <c r="DC47" s="587">
        <f t="shared" si="54"/>
        <v>0</v>
      </c>
      <c r="DD47" s="505">
        <f t="shared" si="55"/>
        <v>0</v>
      </c>
      <c r="DE47" s="505">
        <f t="shared" si="56"/>
        <v>0</v>
      </c>
      <c r="DF47" s="505">
        <f t="shared" si="57"/>
        <v>0</v>
      </c>
      <c r="DG47" s="505">
        <v>0</v>
      </c>
      <c r="DH47" s="505">
        <v>0</v>
      </c>
      <c r="DI47" s="505">
        <v>0</v>
      </c>
      <c r="DJ47" s="505">
        <v>0</v>
      </c>
      <c r="DK47" s="505">
        <v>0</v>
      </c>
      <c r="DL47" s="505">
        <v>0</v>
      </c>
      <c r="DM47" s="399">
        <f t="shared" si="22"/>
        <v>0</v>
      </c>
      <c r="DO47" s="396"/>
      <c r="DP47" s="396"/>
      <c r="DQ47" s="396"/>
      <c r="EE47" s="399">
        <f t="shared" si="26"/>
        <v>0</v>
      </c>
      <c r="EG47" s="505">
        <f t="shared" si="27"/>
        <v>0</v>
      </c>
      <c r="EH47" s="505">
        <f t="shared" si="14"/>
        <v>0</v>
      </c>
      <c r="EI47" s="505">
        <f t="shared" si="15"/>
        <v>0</v>
      </c>
      <c r="EJ47" s="505">
        <f t="shared" si="16"/>
        <v>0</v>
      </c>
      <c r="EK47" s="505">
        <f t="shared" si="17"/>
        <v>0</v>
      </c>
      <c r="EL47" s="505">
        <f t="shared" si="18"/>
        <v>0</v>
      </c>
      <c r="EM47" s="505">
        <f t="shared" si="42"/>
        <v>0</v>
      </c>
      <c r="EN47" s="505">
        <f t="shared" si="43"/>
        <v>0</v>
      </c>
      <c r="EO47" s="505">
        <f t="shared" si="44"/>
        <v>0</v>
      </c>
      <c r="EP47" s="505">
        <f t="shared" si="45"/>
        <v>0</v>
      </c>
      <c r="EQ47" s="505">
        <f t="shared" si="46"/>
        <v>0</v>
      </c>
      <c r="ER47" s="505">
        <f t="shared" si="47"/>
        <v>0</v>
      </c>
      <c r="ES47" s="399">
        <f t="shared" si="24"/>
        <v>0</v>
      </c>
    </row>
    <row r="48" spans="1:149" hidden="1" x14ac:dyDescent="0.2">
      <c r="A48" s="395" t="s">
        <v>170</v>
      </c>
      <c r="B48" s="395" t="s">
        <v>349</v>
      </c>
      <c r="C48" s="424" t="s">
        <v>352</v>
      </c>
      <c r="D48" s="410">
        <v>15000</v>
      </c>
      <c r="E48" s="410"/>
      <c r="F48" s="411"/>
      <c r="G48" s="409"/>
      <c r="H48" s="410"/>
      <c r="I48" s="411"/>
      <c r="J48" s="409"/>
      <c r="K48" s="410"/>
      <c r="L48" s="411"/>
      <c r="M48" s="409"/>
      <c r="N48" s="410"/>
      <c r="O48" s="411"/>
      <c r="P48" s="409"/>
      <c r="Q48" s="410"/>
      <c r="R48" s="411"/>
      <c r="S48" s="409"/>
      <c r="T48" s="410"/>
      <c r="U48" s="411"/>
      <c r="V48" s="409"/>
      <c r="W48" s="410"/>
      <c r="X48" s="411"/>
      <c r="Y48" s="409"/>
      <c r="Z48" s="410"/>
      <c r="AA48" s="411"/>
      <c r="AB48" s="409"/>
      <c r="AC48" s="410"/>
      <c r="AD48" s="411"/>
      <c r="AE48" s="409"/>
      <c r="AF48" s="410"/>
      <c r="AG48" s="411"/>
      <c r="AH48" s="409"/>
      <c r="AI48" s="410"/>
      <c r="AJ48" s="411"/>
      <c r="AK48" s="409"/>
      <c r="AL48" s="410"/>
      <c r="AM48" s="411"/>
      <c r="AN48" s="412"/>
      <c r="AO48" s="412"/>
      <c r="AP48" s="414"/>
      <c r="AQ48" s="414"/>
      <c r="AR48" s="417"/>
      <c r="AS48" s="415"/>
      <c r="AT48" s="413"/>
      <c r="AU48" s="417"/>
      <c r="AV48" s="446" t="s">
        <v>349</v>
      </c>
      <c r="AW48" s="425" t="s">
        <v>353</v>
      </c>
      <c r="AX48" s="426">
        <v>5000</v>
      </c>
      <c r="AY48" s="427"/>
      <c r="AZ48" s="427"/>
      <c r="BA48" s="427">
        <v>5000</v>
      </c>
      <c r="BB48" s="427"/>
      <c r="BC48" s="427"/>
      <c r="BD48" s="427">
        <v>5000</v>
      </c>
      <c r="BE48" s="427"/>
      <c r="BF48" s="427"/>
      <c r="BG48" s="427">
        <v>5000</v>
      </c>
      <c r="BH48" s="427"/>
      <c r="BI48" s="427"/>
      <c r="BJ48" s="427">
        <v>5000</v>
      </c>
      <c r="BK48" s="427"/>
      <c r="BL48" s="427"/>
      <c r="BM48" s="427">
        <v>5000</v>
      </c>
      <c r="BN48" s="427"/>
      <c r="BO48" s="427"/>
      <c r="BP48" s="427">
        <v>5000</v>
      </c>
      <c r="BQ48" s="427"/>
      <c r="BR48" s="427"/>
      <c r="BS48" s="427">
        <v>5000</v>
      </c>
      <c r="BT48" s="427"/>
      <c r="BU48" s="427"/>
      <c r="BV48" s="427">
        <v>5000</v>
      </c>
      <c r="BW48" s="427"/>
      <c r="BX48" s="427"/>
      <c r="BY48" s="427">
        <v>5000</v>
      </c>
      <c r="BZ48" s="427"/>
      <c r="CA48" s="427"/>
      <c r="CB48" s="427">
        <v>5000</v>
      </c>
      <c r="CC48" s="427"/>
      <c r="CD48" s="427"/>
      <c r="CE48" s="427">
        <v>5000</v>
      </c>
      <c r="CF48" s="427"/>
      <c r="CG48" s="427"/>
      <c r="CH48" s="427">
        <f t="shared" si="25"/>
        <v>60000</v>
      </c>
      <c r="CI48" s="435"/>
      <c r="CJ48" s="423"/>
      <c r="CK48" s="423"/>
      <c r="CL48" s="423"/>
      <c r="CM48" s="397"/>
      <c r="CY48" s="399">
        <f t="shared" si="21"/>
        <v>0</v>
      </c>
      <c r="DA48" s="505">
        <f t="shared" si="28"/>
        <v>0</v>
      </c>
      <c r="DB48" s="505">
        <f t="shared" si="53"/>
        <v>0</v>
      </c>
      <c r="DC48" s="587">
        <f t="shared" si="54"/>
        <v>0</v>
      </c>
      <c r="DD48" s="505">
        <f t="shared" si="55"/>
        <v>0</v>
      </c>
      <c r="DE48" s="505">
        <f t="shared" si="56"/>
        <v>0</v>
      </c>
      <c r="DF48" s="505">
        <f t="shared" si="57"/>
        <v>0</v>
      </c>
      <c r="DG48" s="505">
        <v>0</v>
      </c>
      <c r="DH48" s="505">
        <v>0</v>
      </c>
      <c r="DI48" s="505">
        <v>0</v>
      </c>
      <c r="DJ48" s="505">
        <v>0</v>
      </c>
      <c r="DK48" s="505">
        <v>0</v>
      </c>
      <c r="DL48" s="505">
        <v>0</v>
      </c>
      <c r="DM48" s="399">
        <f t="shared" si="22"/>
        <v>0</v>
      </c>
      <c r="DO48" s="396"/>
      <c r="DP48" s="396"/>
      <c r="DQ48" s="396"/>
      <c r="EE48" s="399">
        <f t="shared" si="26"/>
        <v>0</v>
      </c>
      <c r="EG48" s="505">
        <f t="shared" si="27"/>
        <v>0</v>
      </c>
      <c r="EH48" s="505">
        <f t="shared" si="14"/>
        <v>0</v>
      </c>
      <c r="EI48" s="505">
        <f t="shared" si="15"/>
        <v>0</v>
      </c>
      <c r="EJ48" s="505">
        <f t="shared" si="16"/>
        <v>0</v>
      </c>
      <c r="EK48" s="505">
        <f t="shared" si="17"/>
        <v>0</v>
      </c>
      <c r="EL48" s="505">
        <f t="shared" si="18"/>
        <v>0</v>
      </c>
      <c r="EM48" s="505">
        <f t="shared" si="42"/>
        <v>0</v>
      </c>
      <c r="EN48" s="505">
        <f t="shared" si="43"/>
        <v>0</v>
      </c>
      <c r="EO48" s="505">
        <f t="shared" si="44"/>
        <v>0</v>
      </c>
      <c r="EP48" s="505">
        <f t="shared" si="45"/>
        <v>0</v>
      </c>
      <c r="EQ48" s="505">
        <f t="shared" si="46"/>
        <v>0</v>
      </c>
      <c r="ER48" s="505">
        <f t="shared" si="47"/>
        <v>0</v>
      </c>
      <c r="ES48" s="399">
        <f t="shared" si="24"/>
        <v>0</v>
      </c>
    </row>
    <row r="49" spans="1:149" hidden="1" x14ac:dyDescent="0.2">
      <c r="A49" s="395" t="s">
        <v>170</v>
      </c>
      <c r="B49" s="395" t="s">
        <v>349</v>
      </c>
      <c r="C49" s="424" t="s">
        <v>354</v>
      </c>
      <c r="D49" s="410">
        <v>15000</v>
      </c>
      <c r="E49" s="410"/>
      <c r="F49" s="411"/>
      <c r="G49" s="409"/>
      <c r="H49" s="410"/>
      <c r="I49" s="411"/>
      <c r="J49" s="409"/>
      <c r="K49" s="410"/>
      <c r="L49" s="411"/>
      <c r="M49" s="409"/>
      <c r="N49" s="410"/>
      <c r="O49" s="411"/>
      <c r="P49" s="409"/>
      <c r="Q49" s="410"/>
      <c r="R49" s="411"/>
      <c r="S49" s="409"/>
      <c r="T49" s="410"/>
      <c r="U49" s="411"/>
      <c r="V49" s="409"/>
      <c r="W49" s="410"/>
      <c r="X49" s="411"/>
      <c r="Y49" s="409"/>
      <c r="Z49" s="410"/>
      <c r="AA49" s="411"/>
      <c r="AB49" s="409"/>
      <c r="AC49" s="410"/>
      <c r="AD49" s="411"/>
      <c r="AE49" s="409"/>
      <c r="AF49" s="410"/>
      <c r="AG49" s="411"/>
      <c r="AH49" s="409"/>
      <c r="AI49" s="410"/>
      <c r="AJ49" s="411"/>
      <c r="AK49" s="409"/>
      <c r="AL49" s="410"/>
      <c r="AM49" s="411"/>
      <c r="AN49" s="412"/>
      <c r="AO49" s="412"/>
      <c r="AP49" s="414"/>
      <c r="AQ49" s="414"/>
      <c r="AR49" s="417"/>
      <c r="AS49" s="415"/>
      <c r="AT49" s="413"/>
      <c r="AU49" s="417"/>
      <c r="AV49" s="446" t="s">
        <v>349</v>
      </c>
      <c r="AW49" s="425"/>
      <c r="AX49" s="426"/>
      <c r="AY49" s="427"/>
      <c r="AZ49" s="427"/>
      <c r="BA49" s="427"/>
      <c r="BB49" s="427"/>
      <c r="BC49" s="427"/>
      <c r="BD49" s="427"/>
      <c r="BE49" s="427"/>
      <c r="BF49" s="427"/>
      <c r="BG49" s="427"/>
      <c r="BH49" s="427"/>
      <c r="BI49" s="427"/>
      <c r="BJ49" s="427"/>
      <c r="BK49" s="427"/>
      <c r="BL49" s="427"/>
      <c r="BM49" s="427"/>
      <c r="BN49" s="427"/>
      <c r="BO49" s="427"/>
      <c r="BP49" s="427"/>
      <c r="BQ49" s="427"/>
      <c r="BR49" s="427"/>
      <c r="BS49" s="427"/>
      <c r="BT49" s="427"/>
      <c r="BU49" s="427"/>
      <c r="BV49" s="427"/>
      <c r="BW49" s="427"/>
      <c r="BX49" s="427"/>
      <c r="BY49" s="427"/>
      <c r="BZ49" s="427"/>
      <c r="CA49" s="427"/>
      <c r="CB49" s="427"/>
      <c r="CC49" s="427"/>
      <c r="CD49" s="427"/>
      <c r="CE49" s="427"/>
      <c r="CF49" s="427"/>
      <c r="CG49" s="427"/>
      <c r="CH49" s="427">
        <f t="shared" si="25"/>
        <v>0</v>
      </c>
      <c r="CI49" s="435"/>
      <c r="CJ49" s="423"/>
      <c r="CK49" s="423"/>
      <c r="CL49" s="423"/>
      <c r="CM49" s="397"/>
      <c r="CY49" s="399">
        <f t="shared" si="21"/>
        <v>0</v>
      </c>
      <c r="DA49" s="505">
        <f t="shared" si="28"/>
        <v>0</v>
      </c>
      <c r="DB49" s="505">
        <f t="shared" si="53"/>
        <v>0</v>
      </c>
      <c r="DC49" s="587">
        <f t="shared" si="54"/>
        <v>0</v>
      </c>
      <c r="DD49" s="505">
        <f t="shared" si="55"/>
        <v>0</v>
      </c>
      <c r="DE49" s="505">
        <f t="shared" si="56"/>
        <v>0</v>
      </c>
      <c r="DF49" s="505">
        <f t="shared" si="57"/>
        <v>0</v>
      </c>
      <c r="DG49" s="505">
        <v>0</v>
      </c>
      <c r="DH49" s="505">
        <v>0</v>
      </c>
      <c r="DI49" s="505">
        <v>0</v>
      </c>
      <c r="DJ49" s="505">
        <v>0</v>
      </c>
      <c r="DK49" s="505">
        <v>0</v>
      </c>
      <c r="DL49" s="505">
        <v>0</v>
      </c>
      <c r="DM49" s="399">
        <f t="shared" si="22"/>
        <v>0</v>
      </c>
      <c r="DO49" s="396"/>
      <c r="DP49" s="396"/>
      <c r="DQ49" s="396"/>
      <c r="EE49" s="399">
        <f t="shared" si="26"/>
        <v>0</v>
      </c>
      <c r="EG49" s="505">
        <f t="shared" si="27"/>
        <v>0</v>
      </c>
      <c r="EH49" s="505">
        <f t="shared" si="14"/>
        <v>0</v>
      </c>
      <c r="EI49" s="505">
        <f t="shared" si="15"/>
        <v>0</v>
      </c>
      <c r="EJ49" s="505">
        <f t="shared" si="16"/>
        <v>0</v>
      </c>
      <c r="EK49" s="505">
        <f t="shared" si="17"/>
        <v>0</v>
      </c>
      <c r="EL49" s="505">
        <f t="shared" si="18"/>
        <v>0</v>
      </c>
      <c r="EM49" s="505">
        <f t="shared" si="42"/>
        <v>0</v>
      </c>
      <c r="EN49" s="505">
        <f t="shared" si="43"/>
        <v>0</v>
      </c>
      <c r="EO49" s="505">
        <f t="shared" si="44"/>
        <v>0</v>
      </c>
      <c r="EP49" s="505">
        <f t="shared" si="45"/>
        <v>0</v>
      </c>
      <c r="EQ49" s="505">
        <f t="shared" si="46"/>
        <v>0</v>
      </c>
      <c r="ER49" s="505">
        <f t="shared" si="47"/>
        <v>0</v>
      </c>
      <c r="ES49" s="399">
        <f t="shared" si="24"/>
        <v>0</v>
      </c>
    </row>
    <row r="50" spans="1:149" hidden="1" x14ac:dyDescent="0.2">
      <c r="A50" s="395"/>
      <c r="B50" s="395" t="s">
        <v>355</v>
      </c>
      <c r="C50" s="424" t="s">
        <v>356</v>
      </c>
      <c r="D50" s="410"/>
      <c r="E50" s="410"/>
      <c r="F50" s="411"/>
      <c r="G50" s="409"/>
      <c r="H50" s="410"/>
      <c r="I50" s="411"/>
      <c r="J50" s="409"/>
      <c r="K50" s="410"/>
      <c r="L50" s="411"/>
      <c r="M50" s="409">
        <v>20000</v>
      </c>
      <c r="N50" s="410"/>
      <c r="O50" s="411"/>
      <c r="P50" s="409">
        <v>20000</v>
      </c>
      <c r="Q50" s="410"/>
      <c r="R50" s="411"/>
      <c r="S50" s="409">
        <v>20000</v>
      </c>
      <c r="T50" s="410"/>
      <c r="U50" s="411"/>
      <c r="V50" s="409">
        <v>20000</v>
      </c>
      <c r="W50" s="410"/>
      <c r="X50" s="411"/>
      <c r="Y50" s="409"/>
      <c r="Z50" s="410"/>
      <c r="AA50" s="411"/>
      <c r="AB50" s="409"/>
      <c r="AC50" s="410"/>
      <c r="AD50" s="411"/>
      <c r="AE50" s="409"/>
      <c r="AF50" s="410"/>
      <c r="AG50" s="411"/>
      <c r="AH50" s="409"/>
      <c r="AI50" s="410"/>
      <c r="AJ50" s="411"/>
      <c r="AK50" s="409"/>
      <c r="AL50" s="410"/>
      <c r="AM50" s="411"/>
      <c r="AN50" s="412"/>
      <c r="AO50" s="412"/>
      <c r="AP50" s="414"/>
      <c r="AQ50" s="414"/>
      <c r="AR50" s="417"/>
      <c r="AS50" s="415"/>
      <c r="AT50" s="413"/>
      <c r="AU50" s="417"/>
      <c r="AV50" s="446" t="s">
        <v>355</v>
      </c>
      <c r="AW50" s="425" t="s">
        <v>357</v>
      </c>
      <c r="AX50" s="426">
        <v>5000</v>
      </c>
      <c r="AY50" s="427"/>
      <c r="AZ50" s="427"/>
      <c r="BA50" s="427">
        <v>5000</v>
      </c>
      <c r="BB50" s="427"/>
      <c r="BC50" s="427"/>
      <c r="BD50" s="427">
        <v>5000</v>
      </c>
      <c r="BE50" s="427"/>
      <c r="BF50" s="427"/>
      <c r="BG50" s="427">
        <v>5000</v>
      </c>
      <c r="BH50" s="427"/>
      <c r="BI50" s="427"/>
      <c r="BJ50" s="427">
        <v>5000</v>
      </c>
      <c r="BK50" s="427"/>
      <c r="BL50" s="427"/>
      <c r="BM50" s="427">
        <v>5000</v>
      </c>
      <c r="BN50" s="427"/>
      <c r="BO50" s="427"/>
      <c r="BP50" s="427">
        <v>5000</v>
      </c>
      <c r="BQ50" s="427"/>
      <c r="BR50" s="427"/>
      <c r="BS50" s="427">
        <v>5000</v>
      </c>
      <c r="BT50" s="427"/>
      <c r="BU50" s="427"/>
      <c r="BV50" s="427">
        <v>5000</v>
      </c>
      <c r="BW50" s="427"/>
      <c r="BX50" s="427"/>
      <c r="BY50" s="427">
        <v>5000</v>
      </c>
      <c r="BZ50" s="427"/>
      <c r="CA50" s="427"/>
      <c r="CB50" s="427">
        <v>5000</v>
      </c>
      <c r="CC50" s="427"/>
      <c r="CD50" s="427"/>
      <c r="CE50" s="427">
        <v>5000</v>
      </c>
      <c r="CF50" s="427"/>
      <c r="CG50" s="427"/>
      <c r="CH50" s="427">
        <f t="shared" si="25"/>
        <v>60000</v>
      </c>
      <c r="CI50" s="435"/>
      <c r="CJ50" s="423"/>
      <c r="CK50" s="423"/>
      <c r="CL50" s="423"/>
      <c r="CM50" s="397"/>
      <c r="CY50" s="399">
        <f t="shared" si="21"/>
        <v>0</v>
      </c>
      <c r="DA50" s="505">
        <f t="shared" si="28"/>
        <v>0</v>
      </c>
      <c r="DB50" s="505">
        <f t="shared" si="53"/>
        <v>0</v>
      </c>
      <c r="DC50" s="587">
        <f t="shared" si="54"/>
        <v>0</v>
      </c>
      <c r="DD50" s="505">
        <f t="shared" si="55"/>
        <v>0</v>
      </c>
      <c r="DE50" s="505">
        <f t="shared" si="56"/>
        <v>0</v>
      </c>
      <c r="DF50" s="505">
        <f t="shared" si="57"/>
        <v>0</v>
      </c>
      <c r="DG50" s="505">
        <v>0</v>
      </c>
      <c r="DH50" s="505">
        <v>0</v>
      </c>
      <c r="DI50" s="505">
        <v>0</v>
      </c>
      <c r="DJ50" s="505">
        <v>0</v>
      </c>
      <c r="DK50" s="505">
        <v>0</v>
      </c>
      <c r="DL50" s="505">
        <v>0</v>
      </c>
      <c r="DM50" s="399">
        <f t="shared" si="22"/>
        <v>0</v>
      </c>
      <c r="DO50" s="396"/>
      <c r="DP50" s="396"/>
      <c r="DQ50" s="396"/>
      <c r="EE50" s="399">
        <f t="shared" si="26"/>
        <v>0</v>
      </c>
      <c r="EG50" s="505">
        <f t="shared" si="27"/>
        <v>0</v>
      </c>
      <c r="EH50" s="505">
        <f t="shared" si="14"/>
        <v>0</v>
      </c>
      <c r="EI50" s="505">
        <f t="shared" si="15"/>
        <v>0</v>
      </c>
      <c r="EJ50" s="505">
        <f t="shared" si="16"/>
        <v>0</v>
      </c>
      <c r="EK50" s="505">
        <f t="shared" si="17"/>
        <v>0</v>
      </c>
      <c r="EL50" s="505">
        <f t="shared" si="18"/>
        <v>0</v>
      </c>
      <c r="EM50" s="505">
        <f t="shared" si="42"/>
        <v>0</v>
      </c>
      <c r="EN50" s="505">
        <f t="shared" si="43"/>
        <v>0</v>
      </c>
      <c r="EO50" s="505">
        <f t="shared" si="44"/>
        <v>0</v>
      </c>
      <c r="EP50" s="505">
        <f t="shared" si="45"/>
        <v>0</v>
      </c>
      <c r="EQ50" s="505">
        <f t="shared" si="46"/>
        <v>0</v>
      </c>
      <c r="ER50" s="505">
        <f t="shared" si="47"/>
        <v>0</v>
      </c>
      <c r="ES50" s="399">
        <f t="shared" si="24"/>
        <v>0</v>
      </c>
    </row>
    <row r="51" spans="1:149" hidden="1" x14ac:dyDescent="0.2">
      <c r="A51" s="395"/>
      <c r="B51" s="395"/>
      <c r="C51" s="424"/>
      <c r="D51" s="410"/>
      <c r="E51" s="410"/>
      <c r="F51" s="410"/>
      <c r="G51" s="409"/>
      <c r="H51" s="410"/>
      <c r="I51" s="410"/>
      <c r="J51" s="409"/>
      <c r="K51" s="410"/>
      <c r="L51" s="410"/>
      <c r="M51" s="409"/>
      <c r="N51" s="410"/>
      <c r="O51" s="410"/>
      <c r="P51" s="409"/>
      <c r="Q51" s="410"/>
      <c r="R51" s="410"/>
      <c r="S51" s="409"/>
      <c r="T51" s="410"/>
      <c r="U51" s="410"/>
      <c r="V51" s="409"/>
      <c r="W51" s="410"/>
      <c r="X51" s="410"/>
      <c r="Y51" s="409"/>
      <c r="Z51" s="410"/>
      <c r="AA51" s="410"/>
      <c r="AB51" s="409"/>
      <c r="AC51" s="410"/>
      <c r="AD51" s="410"/>
      <c r="AE51" s="409"/>
      <c r="AF51" s="410"/>
      <c r="AG51" s="410"/>
      <c r="AH51" s="409"/>
      <c r="AI51" s="410"/>
      <c r="AJ51" s="410"/>
      <c r="AK51" s="409"/>
      <c r="AL51" s="410"/>
      <c r="AM51" s="410"/>
      <c r="AN51" s="412"/>
      <c r="AO51" s="412"/>
      <c r="AP51" s="414"/>
      <c r="AQ51" s="414"/>
      <c r="AR51" s="417"/>
      <c r="AS51" s="415"/>
      <c r="AT51" s="413"/>
      <c r="AU51" s="417"/>
      <c r="AV51" s="446" t="s">
        <v>358</v>
      </c>
      <c r="AW51" s="425" t="s">
        <v>5</v>
      </c>
      <c r="AX51" s="426">
        <v>2600</v>
      </c>
      <c r="AY51" s="427"/>
      <c r="AZ51" s="427"/>
      <c r="BA51" s="427">
        <v>5000</v>
      </c>
      <c r="BB51" s="427"/>
      <c r="BC51" s="427"/>
      <c r="BD51" s="426">
        <v>0</v>
      </c>
      <c r="BE51" s="427"/>
      <c r="BF51" s="427"/>
      <c r="BG51" s="427">
        <v>1000</v>
      </c>
      <c r="BH51" s="427"/>
      <c r="BI51" s="427"/>
      <c r="BJ51" s="427">
        <v>1000</v>
      </c>
      <c r="BK51" s="427"/>
      <c r="BL51" s="427"/>
      <c r="BM51" s="426">
        <v>0</v>
      </c>
      <c r="BN51" s="426">
        <v>0</v>
      </c>
      <c r="BO51" s="426">
        <v>0</v>
      </c>
      <c r="BP51" s="426">
        <v>0</v>
      </c>
      <c r="BQ51" s="427"/>
      <c r="BR51" s="427"/>
      <c r="BS51" s="427">
        <v>1000</v>
      </c>
      <c r="BT51" s="427"/>
      <c r="BU51" s="427"/>
      <c r="BV51" s="427">
        <v>1000</v>
      </c>
      <c r="BW51" s="427"/>
      <c r="BX51" s="427"/>
      <c r="BY51" s="427">
        <v>1000</v>
      </c>
      <c r="BZ51" s="427"/>
      <c r="CA51" s="427"/>
      <c r="CB51" s="427">
        <v>1000</v>
      </c>
      <c r="CC51" s="427"/>
      <c r="CD51" s="427"/>
      <c r="CE51" s="427">
        <v>1000</v>
      </c>
      <c r="CF51" s="427"/>
      <c r="CG51" s="427"/>
      <c r="CH51" s="427">
        <f t="shared" si="25"/>
        <v>14600</v>
      </c>
      <c r="CI51" s="435"/>
      <c r="CJ51" s="423"/>
      <c r="CK51" s="423"/>
      <c r="CL51" s="423"/>
      <c r="CM51" s="397"/>
      <c r="CY51" s="399">
        <f t="shared" si="21"/>
        <v>0</v>
      </c>
      <c r="DA51" s="505">
        <f t="shared" si="28"/>
        <v>0</v>
      </c>
      <c r="DB51" s="505">
        <f t="shared" si="53"/>
        <v>0</v>
      </c>
      <c r="DC51" s="587">
        <f t="shared" si="54"/>
        <v>0</v>
      </c>
      <c r="DD51" s="505">
        <f t="shared" si="55"/>
        <v>0</v>
      </c>
      <c r="DE51" s="505">
        <f t="shared" si="56"/>
        <v>0</v>
      </c>
      <c r="DF51" s="505">
        <f t="shared" si="57"/>
        <v>0</v>
      </c>
      <c r="DG51" s="505">
        <v>0</v>
      </c>
      <c r="DH51" s="505">
        <v>0</v>
      </c>
      <c r="DI51" s="505">
        <v>0</v>
      </c>
      <c r="DJ51" s="505">
        <v>0</v>
      </c>
      <c r="DK51" s="505">
        <v>0</v>
      </c>
      <c r="DL51" s="505">
        <v>0</v>
      </c>
      <c r="DM51" s="399">
        <f t="shared" si="22"/>
        <v>0</v>
      </c>
      <c r="DO51" s="396"/>
      <c r="DP51" s="396"/>
      <c r="DQ51" s="396"/>
      <c r="EE51" s="399">
        <f t="shared" si="26"/>
        <v>0</v>
      </c>
      <c r="EG51" s="505">
        <f t="shared" si="27"/>
        <v>0</v>
      </c>
      <c r="EH51" s="505">
        <f t="shared" si="14"/>
        <v>0</v>
      </c>
      <c r="EI51" s="505">
        <f t="shared" si="15"/>
        <v>0</v>
      </c>
      <c r="EJ51" s="505">
        <f t="shared" si="16"/>
        <v>0</v>
      </c>
      <c r="EK51" s="505">
        <f t="shared" si="17"/>
        <v>0</v>
      </c>
      <c r="EL51" s="505">
        <f t="shared" si="18"/>
        <v>0</v>
      </c>
      <c r="EM51" s="505">
        <f t="shared" si="42"/>
        <v>0</v>
      </c>
      <c r="EN51" s="505">
        <f t="shared" si="43"/>
        <v>0</v>
      </c>
      <c r="EO51" s="505">
        <f t="shared" si="44"/>
        <v>0</v>
      </c>
      <c r="EP51" s="505">
        <f t="shared" si="45"/>
        <v>0</v>
      </c>
      <c r="EQ51" s="505">
        <f t="shared" si="46"/>
        <v>0</v>
      </c>
      <c r="ER51" s="505">
        <f t="shared" si="47"/>
        <v>0</v>
      </c>
      <c r="ES51" s="399">
        <f t="shared" si="24"/>
        <v>0</v>
      </c>
    </row>
    <row r="52" spans="1:149" hidden="1" x14ac:dyDescent="0.2">
      <c r="A52" s="395"/>
      <c r="B52" s="395"/>
      <c r="C52" s="424"/>
      <c r="D52" s="410"/>
      <c r="E52" s="410"/>
      <c r="F52" s="410"/>
      <c r="G52" s="409"/>
      <c r="H52" s="410"/>
      <c r="I52" s="410"/>
      <c r="J52" s="409"/>
      <c r="K52" s="410"/>
      <c r="L52" s="410"/>
      <c r="M52" s="409"/>
      <c r="N52" s="410"/>
      <c r="O52" s="410"/>
      <c r="P52" s="409"/>
      <c r="Q52" s="410"/>
      <c r="R52" s="410"/>
      <c r="S52" s="409"/>
      <c r="T52" s="410"/>
      <c r="U52" s="410"/>
      <c r="V52" s="409"/>
      <c r="W52" s="410"/>
      <c r="X52" s="410"/>
      <c r="Y52" s="409"/>
      <c r="Z52" s="410"/>
      <c r="AA52" s="410"/>
      <c r="AB52" s="409"/>
      <c r="AC52" s="410"/>
      <c r="AD52" s="410"/>
      <c r="AE52" s="409"/>
      <c r="AF52" s="410"/>
      <c r="AG52" s="410"/>
      <c r="AH52" s="409"/>
      <c r="AI52" s="410"/>
      <c r="AJ52" s="410"/>
      <c r="AK52" s="409"/>
      <c r="AL52" s="410"/>
      <c r="AM52" s="410"/>
      <c r="AN52" s="412"/>
      <c r="AO52" s="412"/>
      <c r="AP52" s="414"/>
      <c r="AQ52" s="414"/>
      <c r="AR52" s="417"/>
      <c r="AS52" s="415"/>
      <c r="AT52" s="413"/>
      <c r="AU52" s="417"/>
      <c r="AV52" s="425" t="s">
        <v>359</v>
      </c>
      <c r="AW52" s="425" t="s">
        <v>5</v>
      </c>
      <c r="AX52" s="426">
        <v>0</v>
      </c>
      <c r="AY52" s="427"/>
      <c r="AZ52" s="427"/>
      <c r="BA52" s="427">
        <v>18000</v>
      </c>
      <c r="BB52" s="427"/>
      <c r="BC52" s="427"/>
      <c r="BD52" s="426">
        <v>0</v>
      </c>
      <c r="BE52" s="426">
        <v>0</v>
      </c>
      <c r="BF52" s="426">
        <v>0</v>
      </c>
      <c r="BG52" s="426">
        <v>0</v>
      </c>
      <c r="BH52" s="426">
        <v>0</v>
      </c>
      <c r="BI52" s="426">
        <v>0</v>
      </c>
      <c r="BJ52" s="426">
        <v>0</v>
      </c>
      <c r="BK52" s="426">
        <v>0</v>
      </c>
      <c r="BL52" s="426">
        <v>0</v>
      </c>
      <c r="BM52" s="426">
        <v>0</v>
      </c>
      <c r="BN52" s="426">
        <v>0</v>
      </c>
      <c r="BO52" s="426">
        <v>0</v>
      </c>
      <c r="BP52" s="426">
        <v>0</v>
      </c>
      <c r="BQ52" s="426">
        <v>0</v>
      </c>
      <c r="BR52" s="426">
        <v>0</v>
      </c>
      <c r="BS52" s="426">
        <v>0</v>
      </c>
      <c r="BT52" s="426">
        <v>0</v>
      </c>
      <c r="BU52" s="426">
        <v>0</v>
      </c>
      <c r="BV52" s="426">
        <v>0</v>
      </c>
      <c r="BW52" s="426">
        <v>0</v>
      </c>
      <c r="BX52" s="426">
        <v>0</v>
      </c>
      <c r="BY52" s="426">
        <v>0</v>
      </c>
      <c r="BZ52" s="426">
        <v>0</v>
      </c>
      <c r="CA52" s="426">
        <v>0</v>
      </c>
      <c r="CB52" s="426">
        <v>0</v>
      </c>
      <c r="CC52" s="426">
        <v>0</v>
      </c>
      <c r="CD52" s="426">
        <v>0</v>
      </c>
      <c r="CE52" s="426">
        <v>0</v>
      </c>
      <c r="CF52" s="427"/>
      <c r="CG52" s="427"/>
      <c r="CH52" s="427">
        <f t="shared" si="25"/>
        <v>18000</v>
      </c>
      <c r="CI52" s="435"/>
      <c r="CJ52" s="423"/>
      <c r="CK52" s="423"/>
      <c r="CL52" s="423"/>
      <c r="CM52" s="397"/>
      <c r="CY52" s="399">
        <f t="shared" si="21"/>
        <v>0</v>
      </c>
      <c r="DA52" s="505">
        <f t="shared" si="28"/>
        <v>0</v>
      </c>
      <c r="DB52" s="505">
        <f t="shared" si="53"/>
        <v>0</v>
      </c>
      <c r="DC52" s="587">
        <f t="shared" si="54"/>
        <v>0</v>
      </c>
      <c r="DD52" s="505">
        <f t="shared" si="55"/>
        <v>0</v>
      </c>
      <c r="DE52" s="505">
        <f t="shared" si="56"/>
        <v>0</v>
      </c>
      <c r="DF52" s="505">
        <f t="shared" si="57"/>
        <v>0</v>
      </c>
      <c r="DG52" s="505">
        <v>0</v>
      </c>
      <c r="DH52" s="505">
        <v>0</v>
      </c>
      <c r="DI52" s="505">
        <v>0</v>
      </c>
      <c r="DJ52" s="505">
        <v>0</v>
      </c>
      <c r="DK52" s="505">
        <v>0</v>
      </c>
      <c r="DL52" s="505">
        <v>0</v>
      </c>
      <c r="DM52" s="399">
        <f t="shared" si="22"/>
        <v>0</v>
      </c>
      <c r="DO52" s="396"/>
      <c r="DP52" s="396"/>
      <c r="DQ52" s="396"/>
      <c r="EE52" s="399">
        <f t="shared" si="26"/>
        <v>0</v>
      </c>
      <c r="EG52" s="505">
        <f t="shared" si="27"/>
        <v>0</v>
      </c>
      <c r="EH52" s="505">
        <f t="shared" si="14"/>
        <v>0</v>
      </c>
      <c r="EI52" s="505">
        <f t="shared" si="15"/>
        <v>0</v>
      </c>
      <c r="EJ52" s="505">
        <f t="shared" si="16"/>
        <v>0</v>
      </c>
      <c r="EK52" s="505">
        <f t="shared" si="17"/>
        <v>0</v>
      </c>
      <c r="EL52" s="505">
        <f t="shared" si="18"/>
        <v>0</v>
      </c>
      <c r="EM52" s="505">
        <f t="shared" si="42"/>
        <v>0</v>
      </c>
      <c r="EN52" s="505">
        <f t="shared" si="43"/>
        <v>0</v>
      </c>
      <c r="EO52" s="505">
        <f t="shared" si="44"/>
        <v>0</v>
      </c>
      <c r="EP52" s="505">
        <f t="shared" si="45"/>
        <v>0</v>
      </c>
      <c r="EQ52" s="505">
        <f t="shared" si="46"/>
        <v>0</v>
      </c>
      <c r="ER52" s="505">
        <f t="shared" si="47"/>
        <v>0</v>
      </c>
      <c r="ES52" s="399">
        <f t="shared" si="24"/>
        <v>0</v>
      </c>
    </row>
    <row r="53" spans="1:149" hidden="1" x14ac:dyDescent="0.2">
      <c r="A53" s="395"/>
      <c r="B53" s="395"/>
      <c r="C53" s="424"/>
      <c r="D53" s="410"/>
      <c r="E53" s="410"/>
      <c r="F53" s="410"/>
      <c r="G53" s="409"/>
      <c r="H53" s="410"/>
      <c r="I53" s="410"/>
      <c r="J53" s="409"/>
      <c r="K53" s="410"/>
      <c r="L53" s="410"/>
      <c r="M53" s="409"/>
      <c r="N53" s="410"/>
      <c r="O53" s="410"/>
      <c r="P53" s="409"/>
      <c r="Q53" s="410"/>
      <c r="R53" s="410"/>
      <c r="S53" s="409"/>
      <c r="T53" s="410"/>
      <c r="U53" s="410"/>
      <c r="V53" s="409"/>
      <c r="W53" s="410"/>
      <c r="X53" s="410"/>
      <c r="Y53" s="409"/>
      <c r="Z53" s="410"/>
      <c r="AA53" s="410"/>
      <c r="AB53" s="409"/>
      <c r="AC53" s="410"/>
      <c r="AD53" s="410"/>
      <c r="AE53" s="409"/>
      <c r="AF53" s="410"/>
      <c r="AG53" s="410"/>
      <c r="AH53" s="409"/>
      <c r="AI53" s="410"/>
      <c r="AJ53" s="410"/>
      <c r="AK53" s="409"/>
      <c r="AL53" s="410"/>
      <c r="AM53" s="410"/>
      <c r="AN53" s="412"/>
      <c r="AO53" s="412"/>
      <c r="AP53" s="414"/>
      <c r="AQ53" s="414"/>
      <c r="AR53" s="417"/>
      <c r="AS53" s="415"/>
      <c r="AT53" s="413"/>
      <c r="AU53" s="417"/>
      <c r="AV53" s="425" t="s">
        <v>360</v>
      </c>
      <c r="AW53" s="425" t="s">
        <v>361</v>
      </c>
      <c r="AX53" s="426">
        <v>3000</v>
      </c>
      <c r="AY53" s="427"/>
      <c r="AZ53" s="427"/>
      <c r="BA53" s="426">
        <v>3000</v>
      </c>
      <c r="BB53" s="427"/>
      <c r="BC53" s="427"/>
      <c r="BD53" s="426">
        <v>3000</v>
      </c>
      <c r="BE53" s="427"/>
      <c r="BF53" s="427"/>
      <c r="BG53" s="426">
        <v>3000</v>
      </c>
      <c r="BH53" s="427"/>
      <c r="BI53" s="427"/>
      <c r="BJ53" s="426">
        <v>3000</v>
      </c>
      <c r="BK53" s="427"/>
      <c r="BL53" s="427"/>
      <c r="BM53" s="426">
        <v>3000</v>
      </c>
      <c r="BN53" s="427"/>
      <c r="BO53" s="427"/>
      <c r="BP53" s="426">
        <v>3000</v>
      </c>
      <c r="BQ53" s="427"/>
      <c r="BR53" s="427"/>
      <c r="BS53" s="426">
        <v>3000</v>
      </c>
      <c r="BT53" s="427"/>
      <c r="BU53" s="427"/>
      <c r="BV53" s="426">
        <v>3000</v>
      </c>
      <c r="BW53" s="427"/>
      <c r="BX53" s="427"/>
      <c r="BY53" s="426">
        <v>3000</v>
      </c>
      <c r="BZ53" s="427"/>
      <c r="CA53" s="427"/>
      <c r="CB53" s="426">
        <v>3000</v>
      </c>
      <c r="CC53" s="427"/>
      <c r="CD53" s="427"/>
      <c r="CE53" s="426">
        <v>3000</v>
      </c>
      <c r="CF53" s="427"/>
      <c r="CG53" s="427"/>
      <c r="CH53" s="427">
        <f t="shared" si="25"/>
        <v>36000</v>
      </c>
      <c r="CI53" s="435"/>
      <c r="CJ53" s="423"/>
      <c r="CK53" s="423"/>
      <c r="CL53" s="423"/>
      <c r="CM53" s="397"/>
      <c r="CY53" s="399">
        <f t="shared" si="21"/>
        <v>0</v>
      </c>
      <c r="DA53" s="505">
        <f t="shared" si="28"/>
        <v>0</v>
      </c>
      <c r="DB53" s="505">
        <f t="shared" si="53"/>
        <v>0</v>
      </c>
      <c r="DC53" s="587">
        <f t="shared" si="54"/>
        <v>0</v>
      </c>
      <c r="DD53" s="505">
        <f t="shared" si="55"/>
        <v>0</v>
      </c>
      <c r="DE53" s="505">
        <f t="shared" si="56"/>
        <v>0</v>
      </c>
      <c r="DF53" s="505">
        <f t="shared" si="57"/>
        <v>0</v>
      </c>
      <c r="DG53" s="505">
        <v>0</v>
      </c>
      <c r="DH53" s="505">
        <v>0</v>
      </c>
      <c r="DI53" s="505">
        <v>0</v>
      </c>
      <c r="DJ53" s="505">
        <v>0</v>
      </c>
      <c r="DK53" s="505">
        <v>0</v>
      </c>
      <c r="DL53" s="505">
        <v>0</v>
      </c>
      <c r="DM53" s="399">
        <f t="shared" si="22"/>
        <v>0</v>
      </c>
      <c r="DO53" s="396"/>
      <c r="DP53" s="396"/>
      <c r="DQ53" s="396"/>
      <c r="EE53" s="399">
        <f t="shared" si="26"/>
        <v>0</v>
      </c>
      <c r="EG53" s="505">
        <f t="shared" si="27"/>
        <v>0</v>
      </c>
      <c r="EH53" s="505">
        <f t="shared" si="14"/>
        <v>0</v>
      </c>
      <c r="EI53" s="505">
        <f t="shared" si="15"/>
        <v>0</v>
      </c>
      <c r="EJ53" s="505">
        <f t="shared" si="16"/>
        <v>0</v>
      </c>
      <c r="EK53" s="505">
        <f t="shared" si="17"/>
        <v>0</v>
      </c>
      <c r="EL53" s="505">
        <f t="shared" si="18"/>
        <v>0</v>
      </c>
      <c r="EM53" s="505">
        <f t="shared" si="42"/>
        <v>0</v>
      </c>
      <c r="EN53" s="505">
        <f t="shared" si="43"/>
        <v>0</v>
      </c>
      <c r="EO53" s="505">
        <f t="shared" si="44"/>
        <v>0</v>
      </c>
      <c r="EP53" s="505">
        <f t="shared" si="45"/>
        <v>0</v>
      </c>
      <c r="EQ53" s="505">
        <f t="shared" si="46"/>
        <v>0</v>
      </c>
      <c r="ER53" s="505">
        <f t="shared" si="47"/>
        <v>0</v>
      </c>
      <c r="ES53" s="399">
        <f t="shared" si="24"/>
        <v>0</v>
      </c>
    </row>
    <row r="54" spans="1:149" hidden="1" x14ac:dyDescent="0.2">
      <c r="A54" s="395"/>
      <c r="B54" s="395"/>
      <c r="C54" s="424"/>
      <c r="D54" s="410"/>
      <c r="E54" s="410"/>
      <c r="F54" s="410"/>
      <c r="G54" s="409"/>
      <c r="H54" s="410"/>
      <c r="I54" s="410"/>
      <c r="J54" s="409"/>
      <c r="K54" s="410"/>
      <c r="L54" s="410"/>
      <c r="M54" s="409"/>
      <c r="N54" s="410"/>
      <c r="O54" s="410"/>
      <c r="P54" s="409"/>
      <c r="Q54" s="410"/>
      <c r="R54" s="410"/>
      <c r="S54" s="409"/>
      <c r="T54" s="410"/>
      <c r="U54" s="410"/>
      <c r="V54" s="409"/>
      <c r="W54" s="410"/>
      <c r="X54" s="410"/>
      <c r="Y54" s="409"/>
      <c r="Z54" s="410"/>
      <c r="AA54" s="410"/>
      <c r="AB54" s="409"/>
      <c r="AC54" s="410"/>
      <c r="AD54" s="410"/>
      <c r="AE54" s="409"/>
      <c r="AF54" s="410"/>
      <c r="AG54" s="410"/>
      <c r="AH54" s="409"/>
      <c r="AI54" s="410"/>
      <c r="AJ54" s="410"/>
      <c r="AK54" s="409"/>
      <c r="AL54" s="410"/>
      <c r="AM54" s="410"/>
      <c r="AN54" s="412"/>
      <c r="AO54" s="412"/>
      <c r="AP54" s="414"/>
      <c r="AQ54" s="414"/>
      <c r="AR54" s="417"/>
      <c r="AS54" s="415"/>
      <c r="AT54" s="413"/>
      <c r="AU54" s="417"/>
      <c r="AV54" s="447" t="s">
        <v>360</v>
      </c>
      <c r="AW54" s="447" t="s">
        <v>362</v>
      </c>
      <c r="AX54" s="448">
        <v>1000</v>
      </c>
      <c r="AY54" s="449"/>
      <c r="AZ54" s="449"/>
      <c r="BA54" s="448">
        <v>1000</v>
      </c>
      <c r="BB54" s="449"/>
      <c r="BC54" s="449"/>
      <c r="BD54" s="448">
        <v>1000</v>
      </c>
      <c r="BE54" s="449"/>
      <c r="BF54" s="449"/>
      <c r="BG54" s="448">
        <v>1000</v>
      </c>
      <c r="BH54" s="449"/>
      <c r="BI54" s="449"/>
      <c r="BJ54" s="448">
        <v>1000</v>
      </c>
      <c r="BK54" s="449"/>
      <c r="BL54" s="449"/>
      <c r="BM54" s="448">
        <v>1000</v>
      </c>
      <c r="BN54" s="449"/>
      <c r="BO54" s="449"/>
      <c r="BP54" s="448">
        <v>1000</v>
      </c>
      <c r="BQ54" s="449"/>
      <c r="BR54" s="449"/>
      <c r="BS54" s="448">
        <v>1000</v>
      </c>
      <c r="BT54" s="449"/>
      <c r="BU54" s="449"/>
      <c r="BV54" s="448">
        <v>1000</v>
      </c>
      <c r="BW54" s="449"/>
      <c r="BX54" s="449"/>
      <c r="BY54" s="448">
        <v>1000</v>
      </c>
      <c r="BZ54" s="449"/>
      <c r="CA54" s="449"/>
      <c r="CB54" s="448">
        <v>1000</v>
      </c>
      <c r="CC54" s="449"/>
      <c r="CD54" s="449"/>
      <c r="CE54" s="448">
        <v>1000</v>
      </c>
      <c r="CF54" s="449"/>
      <c r="CG54" s="449"/>
      <c r="CH54" s="449">
        <f t="shared" si="25"/>
        <v>12000</v>
      </c>
      <c r="CI54" s="435"/>
      <c r="CJ54" s="423"/>
      <c r="CK54" s="423"/>
      <c r="CL54" s="423"/>
      <c r="CM54" s="397"/>
      <c r="CY54" s="399">
        <f t="shared" si="21"/>
        <v>0</v>
      </c>
      <c r="DA54" s="505">
        <f t="shared" si="28"/>
        <v>0</v>
      </c>
      <c r="DB54" s="505">
        <f t="shared" si="53"/>
        <v>0</v>
      </c>
      <c r="DC54" s="587">
        <f t="shared" si="54"/>
        <v>0</v>
      </c>
      <c r="DD54" s="505">
        <f t="shared" si="55"/>
        <v>0</v>
      </c>
      <c r="DE54" s="505">
        <f t="shared" si="56"/>
        <v>0</v>
      </c>
      <c r="DF54" s="505">
        <f t="shared" si="57"/>
        <v>0</v>
      </c>
      <c r="DG54" s="505">
        <v>0</v>
      </c>
      <c r="DH54" s="505">
        <v>0</v>
      </c>
      <c r="DI54" s="505">
        <v>0</v>
      </c>
      <c r="DJ54" s="505">
        <v>0</v>
      </c>
      <c r="DK54" s="505">
        <v>0</v>
      </c>
      <c r="DL54" s="505">
        <v>0</v>
      </c>
      <c r="DM54" s="399">
        <f t="shared" si="22"/>
        <v>0</v>
      </c>
      <c r="DO54" s="396"/>
      <c r="DP54" s="396"/>
      <c r="DQ54" s="396"/>
      <c r="EE54" s="399">
        <f t="shared" si="26"/>
        <v>0</v>
      </c>
      <c r="EG54" s="505">
        <f t="shared" si="27"/>
        <v>0</v>
      </c>
      <c r="EH54" s="505">
        <f t="shared" si="14"/>
        <v>0</v>
      </c>
      <c r="EI54" s="505">
        <f t="shared" si="15"/>
        <v>0</v>
      </c>
      <c r="EJ54" s="505">
        <f t="shared" si="16"/>
        <v>0</v>
      </c>
      <c r="EK54" s="505">
        <f t="shared" si="17"/>
        <v>0</v>
      </c>
      <c r="EL54" s="505">
        <f t="shared" si="18"/>
        <v>0</v>
      </c>
      <c r="EM54" s="505">
        <f t="shared" si="42"/>
        <v>0</v>
      </c>
      <c r="EN54" s="505">
        <f t="shared" si="43"/>
        <v>0</v>
      </c>
      <c r="EO54" s="505">
        <f t="shared" si="44"/>
        <v>0</v>
      </c>
      <c r="EP54" s="505">
        <f t="shared" si="45"/>
        <v>0</v>
      </c>
      <c r="EQ54" s="505">
        <f t="shared" si="46"/>
        <v>0</v>
      </c>
      <c r="ER54" s="505">
        <f t="shared" si="47"/>
        <v>0</v>
      </c>
      <c r="ES54" s="399">
        <f t="shared" si="24"/>
        <v>0</v>
      </c>
    </row>
    <row r="55" spans="1:149" hidden="1" x14ac:dyDescent="0.2">
      <c r="A55" s="395"/>
      <c r="B55" s="395"/>
      <c r="C55" s="424"/>
      <c r="D55" s="410"/>
      <c r="E55" s="410"/>
      <c r="F55" s="410"/>
      <c r="G55" s="409"/>
      <c r="H55" s="410"/>
      <c r="I55" s="410"/>
      <c r="J55" s="409"/>
      <c r="K55" s="410"/>
      <c r="L55" s="410"/>
      <c r="M55" s="409"/>
      <c r="N55" s="410"/>
      <c r="O55" s="410"/>
      <c r="P55" s="409"/>
      <c r="Q55" s="410"/>
      <c r="R55" s="410"/>
      <c r="S55" s="409"/>
      <c r="T55" s="410"/>
      <c r="U55" s="410"/>
      <c r="V55" s="409"/>
      <c r="W55" s="410"/>
      <c r="X55" s="410"/>
      <c r="Y55" s="409"/>
      <c r="Z55" s="410"/>
      <c r="AA55" s="410"/>
      <c r="AB55" s="409"/>
      <c r="AC55" s="410"/>
      <c r="AD55" s="410"/>
      <c r="AE55" s="409"/>
      <c r="AF55" s="410"/>
      <c r="AG55" s="410"/>
      <c r="AH55" s="409"/>
      <c r="AI55" s="410"/>
      <c r="AJ55" s="410"/>
      <c r="AK55" s="409"/>
      <c r="AL55" s="410"/>
      <c r="AM55" s="410"/>
      <c r="AN55" s="412"/>
      <c r="AO55" s="412"/>
      <c r="AP55" s="414"/>
      <c r="AQ55" s="414"/>
      <c r="AR55" s="417"/>
      <c r="AS55" s="415"/>
      <c r="AT55" s="413"/>
      <c r="AU55" s="417"/>
      <c r="AV55" s="425" t="s">
        <v>363</v>
      </c>
      <c r="AW55" s="425" t="s">
        <v>364</v>
      </c>
      <c r="AX55" s="427">
        <v>0</v>
      </c>
      <c r="AY55" s="427"/>
      <c r="AZ55" s="427"/>
      <c r="BA55" s="427">
        <v>0</v>
      </c>
      <c r="BB55" s="427"/>
      <c r="BC55" s="427"/>
      <c r="BD55" s="427">
        <v>0</v>
      </c>
      <c r="BE55" s="427"/>
      <c r="BF55" s="427"/>
      <c r="BG55" s="427">
        <v>7000</v>
      </c>
      <c r="BH55" s="427"/>
      <c r="BI55" s="427"/>
      <c r="BJ55" s="427">
        <v>0</v>
      </c>
      <c r="BK55" s="427"/>
      <c r="BL55" s="427"/>
      <c r="BM55" s="427">
        <v>0</v>
      </c>
      <c r="BN55" s="427"/>
      <c r="BO55" s="427"/>
      <c r="BP55" s="427">
        <v>0</v>
      </c>
      <c r="BQ55" s="427"/>
      <c r="BR55" s="427"/>
      <c r="BS55" s="427">
        <v>0</v>
      </c>
      <c r="BT55" s="427"/>
      <c r="BU55" s="427"/>
      <c r="BV55" s="427">
        <v>0</v>
      </c>
      <c r="BW55" s="427"/>
      <c r="BX55" s="427"/>
      <c r="BY55" s="427">
        <v>0</v>
      </c>
      <c r="BZ55" s="427"/>
      <c r="CA55" s="427"/>
      <c r="CB55" s="427">
        <v>0</v>
      </c>
      <c r="CC55" s="427"/>
      <c r="CD55" s="427"/>
      <c r="CE55" s="427">
        <v>0</v>
      </c>
      <c r="CF55" s="427"/>
      <c r="CG55" s="427"/>
      <c r="CH55" s="427">
        <f t="shared" si="25"/>
        <v>7000</v>
      </c>
      <c r="CI55" s="435"/>
      <c r="CJ55" s="423"/>
      <c r="CK55" s="423"/>
      <c r="CL55" s="423"/>
      <c r="CM55" s="397"/>
      <c r="CY55" s="399">
        <f t="shared" si="21"/>
        <v>0</v>
      </c>
      <c r="DA55" s="505">
        <f t="shared" si="28"/>
        <v>0</v>
      </c>
      <c r="DB55" s="505">
        <f t="shared" si="53"/>
        <v>0</v>
      </c>
      <c r="DC55" s="587">
        <f t="shared" si="54"/>
        <v>0</v>
      </c>
      <c r="DD55" s="505">
        <f t="shared" si="55"/>
        <v>0</v>
      </c>
      <c r="DE55" s="505">
        <f t="shared" si="56"/>
        <v>0</v>
      </c>
      <c r="DF55" s="505">
        <f t="shared" si="57"/>
        <v>0</v>
      </c>
      <c r="DG55" s="505">
        <v>0</v>
      </c>
      <c r="DH55" s="505">
        <v>0</v>
      </c>
      <c r="DI55" s="505">
        <v>0</v>
      </c>
      <c r="DJ55" s="505">
        <v>0</v>
      </c>
      <c r="DK55" s="505">
        <v>0</v>
      </c>
      <c r="DL55" s="505">
        <v>0</v>
      </c>
      <c r="DM55" s="399">
        <f t="shared" si="22"/>
        <v>0</v>
      </c>
      <c r="DO55" s="396"/>
      <c r="DP55" s="396"/>
      <c r="DQ55" s="396"/>
      <c r="EE55" s="399">
        <f t="shared" si="26"/>
        <v>0</v>
      </c>
      <c r="EG55" s="505">
        <f t="shared" si="27"/>
        <v>0</v>
      </c>
      <c r="EH55" s="505">
        <f t="shared" si="14"/>
        <v>0</v>
      </c>
      <c r="EI55" s="505">
        <f t="shared" si="15"/>
        <v>0</v>
      </c>
      <c r="EJ55" s="505">
        <f t="shared" si="16"/>
        <v>0</v>
      </c>
      <c r="EK55" s="505">
        <f t="shared" si="17"/>
        <v>0</v>
      </c>
      <c r="EL55" s="505">
        <f t="shared" si="18"/>
        <v>0</v>
      </c>
      <c r="EM55" s="505">
        <f t="shared" si="42"/>
        <v>0</v>
      </c>
      <c r="EN55" s="505">
        <f t="shared" si="43"/>
        <v>0</v>
      </c>
      <c r="EO55" s="505">
        <f t="shared" si="44"/>
        <v>0</v>
      </c>
      <c r="EP55" s="505">
        <f t="shared" si="45"/>
        <v>0</v>
      </c>
      <c r="EQ55" s="505">
        <f t="shared" si="46"/>
        <v>0</v>
      </c>
      <c r="ER55" s="505">
        <f t="shared" si="47"/>
        <v>0</v>
      </c>
      <c r="ES55" s="399">
        <f t="shared" si="24"/>
        <v>0</v>
      </c>
    </row>
    <row r="56" spans="1:149" hidden="1" x14ac:dyDescent="0.2">
      <c r="A56" s="395"/>
      <c r="B56" s="395"/>
      <c r="C56" s="424"/>
      <c r="D56" s="410"/>
      <c r="E56" s="410"/>
      <c r="F56" s="410"/>
      <c r="G56" s="409"/>
      <c r="H56" s="410"/>
      <c r="I56" s="410"/>
      <c r="J56" s="409"/>
      <c r="K56" s="410"/>
      <c r="L56" s="410"/>
      <c r="M56" s="409"/>
      <c r="N56" s="410"/>
      <c r="O56" s="410"/>
      <c r="P56" s="409"/>
      <c r="Q56" s="410"/>
      <c r="R56" s="410"/>
      <c r="S56" s="409"/>
      <c r="T56" s="410"/>
      <c r="U56" s="410"/>
      <c r="V56" s="409"/>
      <c r="W56" s="410"/>
      <c r="X56" s="410"/>
      <c r="Y56" s="409"/>
      <c r="Z56" s="410"/>
      <c r="AA56" s="410"/>
      <c r="AB56" s="409"/>
      <c r="AC56" s="410"/>
      <c r="AD56" s="410"/>
      <c r="AE56" s="409"/>
      <c r="AF56" s="410"/>
      <c r="AG56" s="410"/>
      <c r="AH56" s="409"/>
      <c r="AI56" s="410"/>
      <c r="AJ56" s="410"/>
      <c r="AK56" s="409"/>
      <c r="AL56" s="410"/>
      <c r="AM56" s="410"/>
      <c r="AN56" s="412"/>
      <c r="AO56" s="412"/>
      <c r="AP56" s="414"/>
      <c r="AQ56" s="414"/>
      <c r="AR56" s="417"/>
      <c r="AS56" s="415"/>
      <c r="AT56" s="413"/>
      <c r="AU56" s="417"/>
      <c r="AV56" s="425"/>
      <c r="AW56" s="425"/>
      <c r="AX56" s="427"/>
      <c r="AY56" s="427"/>
      <c r="AZ56" s="427"/>
      <c r="BA56" s="427"/>
      <c r="BB56" s="427"/>
      <c r="BC56" s="427"/>
      <c r="BD56" s="427"/>
      <c r="BE56" s="427"/>
      <c r="BF56" s="427"/>
      <c r="BG56" s="427"/>
      <c r="BH56" s="427"/>
      <c r="BI56" s="427"/>
      <c r="BJ56" s="427"/>
      <c r="BK56" s="427"/>
      <c r="BL56" s="427"/>
      <c r="BM56" s="427"/>
      <c r="BN56" s="427"/>
      <c r="BO56" s="427"/>
      <c r="BP56" s="427"/>
      <c r="BQ56" s="427"/>
      <c r="BR56" s="427"/>
      <c r="BS56" s="427"/>
      <c r="BT56" s="427"/>
      <c r="BU56" s="427"/>
      <c r="BV56" s="427"/>
      <c r="BW56" s="427"/>
      <c r="BX56" s="427"/>
      <c r="BY56" s="427"/>
      <c r="BZ56" s="427"/>
      <c r="CA56" s="427"/>
      <c r="CB56" s="427"/>
      <c r="CC56" s="427"/>
      <c r="CD56" s="427"/>
      <c r="CE56" s="427"/>
      <c r="CF56" s="427"/>
      <c r="CG56" s="427"/>
      <c r="CH56" s="427"/>
      <c r="CI56" s="435"/>
      <c r="CJ56" s="423"/>
      <c r="CK56" s="423"/>
      <c r="CL56" s="423" t="s">
        <v>1119</v>
      </c>
      <c r="CY56" s="399"/>
      <c r="DA56" s="505"/>
      <c r="DB56" s="505"/>
      <c r="DC56" s="587">
        <v>6500</v>
      </c>
      <c r="DD56" s="505"/>
      <c r="DE56" s="505"/>
      <c r="DF56" s="505"/>
      <c r="DG56" s="505">
        <v>8700</v>
      </c>
      <c r="DH56" s="505">
        <v>0</v>
      </c>
      <c r="DI56" s="505">
        <v>0</v>
      </c>
      <c r="DJ56" s="505">
        <v>0</v>
      </c>
      <c r="DK56" s="505">
        <v>0</v>
      </c>
      <c r="DL56" s="505">
        <v>0</v>
      </c>
      <c r="DM56" s="399"/>
      <c r="DO56" s="396"/>
      <c r="DP56" s="396"/>
      <c r="DQ56" s="396"/>
      <c r="EE56" s="399">
        <f t="shared" si="26"/>
        <v>0</v>
      </c>
      <c r="EG56" s="505">
        <f t="shared" si="27"/>
        <v>0</v>
      </c>
      <c r="EH56" s="505">
        <f t="shared" si="14"/>
        <v>0</v>
      </c>
      <c r="EI56" s="505">
        <f t="shared" si="15"/>
        <v>0</v>
      </c>
      <c r="EJ56" s="505">
        <f t="shared" si="16"/>
        <v>0</v>
      </c>
      <c r="EK56" s="505">
        <f t="shared" si="17"/>
        <v>0</v>
      </c>
      <c r="EL56" s="505">
        <f t="shared" si="18"/>
        <v>0</v>
      </c>
      <c r="EM56" s="505">
        <f t="shared" si="42"/>
        <v>0</v>
      </c>
      <c r="EN56" s="505">
        <f t="shared" si="43"/>
        <v>0</v>
      </c>
      <c r="EO56" s="505">
        <f t="shared" si="44"/>
        <v>0</v>
      </c>
      <c r="EP56" s="505">
        <f t="shared" si="45"/>
        <v>0</v>
      </c>
      <c r="EQ56" s="505">
        <f t="shared" si="46"/>
        <v>0</v>
      </c>
      <c r="ER56" s="505">
        <f t="shared" si="47"/>
        <v>0</v>
      </c>
      <c r="ES56" s="399"/>
    </row>
    <row r="57" spans="1:149" hidden="1" x14ac:dyDescent="0.2">
      <c r="A57" s="395"/>
      <c r="B57" s="395"/>
      <c r="C57" s="424"/>
      <c r="D57" s="410"/>
      <c r="E57" s="410"/>
      <c r="F57" s="410"/>
      <c r="G57" s="409"/>
      <c r="H57" s="410"/>
      <c r="I57" s="410"/>
      <c r="J57" s="409"/>
      <c r="K57" s="410"/>
      <c r="L57" s="410"/>
      <c r="M57" s="409"/>
      <c r="N57" s="410"/>
      <c r="O57" s="410"/>
      <c r="P57" s="409"/>
      <c r="Q57" s="410"/>
      <c r="R57" s="410"/>
      <c r="S57" s="409"/>
      <c r="T57" s="410"/>
      <c r="U57" s="410"/>
      <c r="V57" s="409"/>
      <c r="W57" s="410"/>
      <c r="X57" s="410"/>
      <c r="Y57" s="409"/>
      <c r="Z57" s="410"/>
      <c r="AA57" s="410"/>
      <c r="AB57" s="409"/>
      <c r="AC57" s="410"/>
      <c r="AD57" s="410"/>
      <c r="AE57" s="409"/>
      <c r="AF57" s="410"/>
      <c r="AG57" s="410"/>
      <c r="AH57" s="409"/>
      <c r="AI57" s="410"/>
      <c r="AJ57" s="410"/>
      <c r="AK57" s="409"/>
      <c r="AL57" s="410"/>
      <c r="AM57" s="410"/>
      <c r="AN57" s="412"/>
      <c r="AO57" s="412"/>
      <c r="AP57" s="414"/>
      <c r="AQ57" s="414"/>
      <c r="AR57" s="417"/>
      <c r="AS57" s="415"/>
      <c r="AT57" s="413"/>
      <c r="AU57" s="417"/>
      <c r="AV57" s="425"/>
      <c r="AW57" s="425"/>
      <c r="AX57" s="427"/>
      <c r="AY57" s="427"/>
      <c r="AZ57" s="427"/>
      <c r="BA57" s="427"/>
      <c r="BB57" s="427"/>
      <c r="BC57" s="427"/>
      <c r="BD57" s="427"/>
      <c r="BE57" s="427"/>
      <c r="BF57" s="427"/>
      <c r="BG57" s="427"/>
      <c r="BH57" s="427"/>
      <c r="BI57" s="427"/>
      <c r="BJ57" s="427"/>
      <c r="BK57" s="427"/>
      <c r="BL57" s="427"/>
      <c r="BM57" s="427"/>
      <c r="BN57" s="427"/>
      <c r="BO57" s="427"/>
      <c r="BP57" s="427"/>
      <c r="BQ57" s="427"/>
      <c r="BR57" s="427"/>
      <c r="BS57" s="427"/>
      <c r="BT57" s="427"/>
      <c r="BU57" s="427"/>
      <c r="BV57" s="427"/>
      <c r="BW57" s="427"/>
      <c r="BX57" s="427"/>
      <c r="BY57" s="427"/>
      <c r="BZ57" s="427"/>
      <c r="CA57" s="427"/>
      <c r="CB57" s="427"/>
      <c r="CC57" s="427"/>
      <c r="CD57" s="427"/>
      <c r="CE57" s="427"/>
      <c r="CF57" s="427"/>
      <c r="CG57" s="427"/>
      <c r="CH57" s="427"/>
      <c r="CI57" s="435"/>
      <c r="CJ57" s="423"/>
      <c r="CK57" s="423" t="s">
        <v>171</v>
      </c>
      <c r="CL57" s="557" t="s">
        <v>1113</v>
      </c>
      <c r="CM57" s="567">
        <v>2500</v>
      </c>
      <c r="CN57" s="567">
        <v>2500</v>
      </c>
      <c r="CO57" s="567">
        <v>2500</v>
      </c>
      <c r="CP57" s="375">
        <v>2500</v>
      </c>
      <c r="CQ57" s="375">
        <v>2500</v>
      </c>
      <c r="CR57" s="567">
        <v>2500</v>
      </c>
      <c r="CS57" s="375">
        <v>2500</v>
      </c>
      <c r="CT57" s="567">
        <v>2500</v>
      </c>
      <c r="CU57" s="375">
        <v>2500</v>
      </c>
      <c r="CV57" s="375">
        <v>2500</v>
      </c>
      <c r="CW57" s="375">
        <v>2500</v>
      </c>
      <c r="CX57" s="375">
        <v>2500</v>
      </c>
      <c r="CY57" s="399">
        <f t="shared" si="21"/>
        <v>30000</v>
      </c>
      <c r="DA57" s="505">
        <v>6358.7</v>
      </c>
      <c r="DB57" s="505">
        <v>0</v>
      </c>
      <c r="DC57" s="587">
        <v>0</v>
      </c>
      <c r="DD57" s="505">
        <v>2030</v>
      </c>
      <c r="DE57" s="505"/>
      <c r="DF57" s="593">
        <v>568.79</v>
      </c>
      <c r="DG57" s="505">
        <v>0</v>
      </c>
      <c r="DH57" s="505">
        <v>0</v>
      </c>
      <c r="DI57" s="505">
        <v>0</v>
      </c>
      <c r="DJ57" s="505">
        <v>0</v>
      </c>
      <c r="DK57" s="505">
        <v>2500</v>
      </c>
      <c r="DL57" s="505">
        <v>2500</v>
      </c>
      <c r="DM57" s="399">
        <f t="shared" si="22"/>
        <v>13957.490000000002</v>
      </c>
      <c r="DO57" s="396"/>
      <c r="DP57" s="396"/>
      <c r="DQ57" s="396"/>
      <c r="EE57" s="399">
        <f t="shared" si="26"/>
        <v>0</v>
      </c>
      <c r="EG57" s="505">
        <f t="shared" si="27"/>
        <v>0</v>
      </c>
      <c r="EH57" s="505">
        <f t="shared" si="14"/>
        <v>0</v>
      </c>
      <c r="EI57" s="505">
        <f t="shared" si="15"/>
        <v>0</v>
      </c>
      <c r="EJ57" s="505">
        <f t="shared" si="16"/>
        <v>0</v>
      </c>
      <c r="EK57" s="505">
        <f t="shared" si="17"/>
        <v>0</v>
      </c>
      <c r="EL57" s="505">
        <f t="shared" si="18"/>
        <v>0</v>
      </c>
      <c r="EM57" s="505">
        <f t="shared" si="42"/>
        <v>0</v>
      </c>
      <c r="EN57" s="505">
        <f t="shared" si="43"/>
        <v>0</v>
      </c>
      <c r="EO57" s="505">
        <f t="shared" si="44"/>
        <v>0</v>
      </c>
      <c r="EP57" s="505">
        <f t="shared" si="45"/>
        <v>0</v>
      </c>
      <c r="EQ57" s="505">
        <f t="shared" si="46"/>
        <v>0</v>
      </c>
      <c r="ER57" s="505">
        <f t="shared" si="47"/>
        <v>0</v>
      </c>
      <c r="ES57" s="399">
        <f t="shared" ref="ES57:ES66" si="59">SUM(EG57:ER57)</f>
        <v>0</v>
      </c>
    </row>
    <row r="58" spans="1:149" hidden="1" x14ac:dyDescent="0.2">
      <c r="A58" s="395"/>
      <c r="B58" s="395"/>
      <c r="C58" s="424"/>
      <c r="D58" s="410"/>
      <c r="E58" s="410"/>
      <c r="F58" s="410"/>
      <c r="G58" s="409"/>
      <c r="H58" s="410"/>
      <c r="I58" s="410"/>
      <c r="J58" s="409"/>
      <c r="K58" s="410"/>
      <c r="L58" s="410"/>
      <c r="M58" s="409"/>
      <c r="N58" s="410"/>
      <c r="O58" s="410"/>
      <c r="P58" s="409"/>
      <c r="Q58" s="410"/>
      <c r="R58" s="410"/>
      <c r="S58" s="409"/>
      <c r="T58" s="410"/>
      <c r="U58" s="410"/>
      <c r="V58" s="409"/>
      <c r="W58" s="410"/>
      <c r="X58" s="410"/>
      <c r="Y58" s="409"/>
      <c r="Z58" s="410"/>
      <c r="AA58" s="410"/>
      <c r="AB58" s="409"/>
      <c r="AC58" s="410"/>
      <c r="AD58" s="410"/>
      <c r="AE58" s="409"/>
      <c r="AF58" s="410"/>
      <c r="AG58" s="410"/>
      <c r="AH58" s="409"/>
      <c r="AI58" s="410"/>
      <c r="AJ58" s="410"/>
      <c r="AK58" s="409"/>
      <c r="AL58" s="410"/>
      <c r="AM58" s="410"/>
      <c r="AN58" s="412"/>
      <c r="AO58" s="412"/>
      <c r="AP58" s="414"/>
      <c r="AQ58" s="414"/>
      <c r="AR58" s="417"/>
      <c r="AS58" s="415"/>
      <c r="AT58" s="413"/>
      <c r="AU58" s="417"/>
      <c r="AV58" s="425" t="s">
        <v>365</v>
      </c>
      <c r="AW58" s="425" t="s">
        <v>365</v>
      </c>
      <c r="AX58" s="427">
        <v>0</v>
      </c>
      <c r="AY58" s="427"/>
      <c r="AZ58" s="427"/>
      <c r="BA58" s="427">
        <v>0</v>
      </c>
      <c r="BB58" s="427"/>
      <c r="BC58" s="427"/>
      <c r="BD58" s="427">
        <v>5000</v>
      </c>
      <c r="BE58" s="427"/>
      <c r="BF58" s="427"/>
      <c r="BG58" s="427">
        <v>5000</v>
      </c>
      <c r="BH58" s="427"/>
      <c r="BI58" s="427"/>
      <c r="BJ58" s="427">
        <v>0</v>
      </c>
      <c r="BK58" s="427"/>
      <c r="BL58" s="427"/>
      <c r="BM58" s="427">
        <v>0</v>
      </c>
      <c r="BN58" s="427"/>
      <c r="BO58" s="427"/>
      <c r="BP58" s="427">
        <v>0</v>
      </c>
      <c r="BQ58" s="427"/>
      <c r="BR58" s="427"/>
      <c r="BS58" s="427">
        <v>0</v>
      </c>
      <c r="BT58" s="427"/>
      <c r="BU58" s="427"/>
      <c r="BV58" s="427">
        <v>5000</v>
      </c>
      <c r="BW58" s="427"/>
      <c r="BX58" s="427"/>
      <c r="BY58" s="427">
        <v>5000</v>
      </c>
      <c r="BZ58" s="427"/>
      <c r="CA58" s="427"/>
      <c r="CB58" s="427">
        <v>0</v>
      </c>
      <c r="CC58" s="427"/>
      <c r="CD58" s="427"/>
      <c r="CE58" s="427">
        <v>0</v>
      </c>
      <c r="CF58" s="427"/>
      <c r="CG58" s="427"/>
      <c r="CH58" s="427">
        <f t="shared" si="25"/>
        <v>20000</v>
      </c>
      <c r="CI58" s="435"/>
      <c r="CJ58" s="450"/>
      <c r="CK58" s="423" t="s">
        <v>170</v>
      </c>
      <c r="CL58" s="557" t="s">
        <v>1113</v>
      </c>
      <c r="CM58" s="568">
        <v>2500</v>
      </c>
      <c r="CN58" s="567">
        <v>2500</v>
      </c>
      <c r="CO58" s="567">
        <v>2500</v>
      </c>
      <c r="CP58" s="375">
        <v>2500</v>
      </c>
      <c r="CQ58" s="375">
        <v>2500</v>
      </c>
      <c r="CR58" s="567">
        <v>2500</v>
      </c>
      <c r="CS58" s="375">
        <v>2500</v>
      </c>
      <c r="CT58" s="567">
        <v>2500</v>
      </c>
      <c r="CU58" s="375">
        <v>2500</v>
      </c>
      <c r="CV58" s="375">
        <v>2500</v>
      </c>
      <c r="CW58" s="375">
        <v>2500</v>
      </c>
      <c r="CX58" s="375">
        <v>2500</v>
      </c>
      <c r="CY58" s="399">
        <f>SUM(CM58:CX58)</f>
        <v>30000</v>
      </c>
      <c r="DA58" s="505">
        <v>0</v>
      </c>
      <c r="DB58" s="505">
        <v>0</v>
      </c>
      <c r="DC58" s="505">
        <v>0</v>
      </c>
      <c r="DD58" s="505">
        <v>0</v>
      </c>
      <c r="DE58" s="505">
        <v>439.33</v>
      </c>
      <c r="DF58" s="505"/>
      <c r="DG58" s="505">
        <v>0</v>
      </c>
      <c r="DH58" s="505">
        <v>0</v>
      </c>
      <c r="DI58" s="505">
        <v>0</v>
      </c>
      <c r="DJ58" s="505">
        <v>0</v>
      </c>
      <c r="DK58" s="505">
        <v>2500</v>
      </c>
      <c r="DL58" s="505">
        <v>2500</v>
      </c>
      <c r="DM58" s="399">
        <f t="shared" si="22"/>
        <v>5439.33</v>
      </c>
      <c r="DO58" s="396"/>
      <c r="DP58" s="396"/>
      <c r="DQ58" s="396"/>
      <c r="EE58" s="399">
        <f>SUM(DR58:EC58)</f>
        <v>0</v>
      </c>
      <c r="EG58" s="505">
        <f t="shared" si="27"/>
        <v>0</v>
      </c>
      <c r="EH58" s="505">
        <f t="shared" si="14"/>
        <v>0</v>
      </c>
      <c r="EI58" s="505">
        <f t="shared" si="15"/>
        <v>0</v>
      </c>
      <c r="EJ58" s="505">
        <f t="shared" si="16"/>
        <v>0</v>
      </c>
      <c r="EK58" s="505">
        <f t="shared" si="17"/>
        <v>0</v>
      </c>
      <c r="EL58" s="505">
        <f t="shared" si="18"/>
        <v>0</v>
      </c>
      <c r="EM58" s="505">
        <f t="shared" si="42"/>
        <v>0</v>
      </c>
      <c r="EN58" s="505">
        <f t="shared" si="43"/>
        <v>0</v>
      </c>
      <c r="EO58" s="505">
        <f t="shared" si="44"/>
        <v>0</v>
      </c>
      <c r="EP58" s="505">
        <f t="shared" si="45"/>
        <v>0</v>
      </c>
      <c r="EQ58" s="505">
        <f t="shared" si="46"/>
        <v>0</v>
      </c>
      <c r="ER58" s="505">
        <f t="shared" si="47"/>
        <v>0</v>
      </c>
      <c r="ES58" s="399">
        <f t="shared" si="59"/>
        <v>0</v>
      </c>
    </row>
    <row r="59" spans="1:149" hidden="1" x14ac:dyDescent="0.2">
      <c r="A59" s="395"/>
      <c r="B59" s="395"/>
      <c r="C59" s="424"/>
      <c r="D59" s="410"/>
      <c r="E59" s="410"/>
      <c r="F59" s="410"/>
      <c r="G59" s="409"/>
      <c r="H59" s="410"/>
      <c r="I59" s="410"/>
      <c r="J59" s="409"/>
      <c r="K59" s="410"/>
      <c r="L59" s="410"/>
      <c r="M59" s="409"/>
      <c r="N59" s="410"/>
      <c r="O59" s="410"/>
      <c r="P59" s="409"/>
      <c r="Q59" s="410"/>
      <c r="R59" s="410"/>
      <c r="S59" s="409"/>
      <c r="T59" s="410"/>
      <c r="U59" s="410"/>
      <c r="V59" s="409"/>
      <c r="W59" s="410"/>
      <c r="X59" s="410"/>
      <c r="Y59" s="409"/>
      <c r="Z59" s="410"/>
      <c r="AA59" s="410"/>
      <c r="AB59" s="409"/>
      <c r="AC59" s="410"/>
      <c r="AD59" s="410"/>
      <c r="AE59" s="409"/>
      <c r="AF59" s="410"/>
      <c r="AG59" s="410"/>
      <c r="AH59" s="409"/>
      <c r="AI59" s="410"/>
      <c r="AJ59" s="410"/>
      <c r="AK59" s="409"/>
      <c r="AL59" s="410"/>
      <c r="AM59" s="410"/>
      <c r="AN59" s="412"/>
      <c r="AO59" s="412"/>
      <c r="AP59" s="414"/>
      <c r="AQ59" s="414"/>
      <c r="AR59" s="417"/>
      <c r="AS59" s="415"/>
      <c r="AT59" s="413"/>
      <c r="AU59" s="417"/>
      <c r="AV59" s="447"/>
      <c r="AW59" s="447"/>
      <c r="AX59" s="449"/>
      <c r="AY59" s="449"/>
      <c r="AZ59" s="449"/>
      <c r="BA59" s="449"/>
      <c r="BB59" s="449"/>
      <c r="BC59" s="449"/>
      <c r="BD59" s="449"/>
      <c r="BE59" s="449"/>
      <c r="BF59" s="449"/>
      <c r="BG59" s="449"/>
      <c r="BH59" s="449"/>
      <c r="BI59" s="449"/>
      <c r="BJ59" s="449"/>
      <c r="BK59" s="449"/>
      <c r="BL59" s="449"/>
      <c r="BM59" s="449"/>
      <c r="BN59" s="449"/>
      <c r="BO59" s="449"/>
      <c r="BP59" s="449"/>
      <c r="BQ59" s="449"/>
      <c r="BR59" s="449"/>
      <c r="BS59" s="449"/>
      <c r="BT59" s="449"/>
      <c r="BU59" s="449"/>
      <c r="BV59" s="449"/>
      <c r="BW59" s="449"/>
      <c r="BX59" s="449"/>
      <c r="BY59" s="449"/>
      <c r="BZ59" s="449"/>
      <c r="CA59" s="449"/>
      <c r="CB59" s="449"/>
      <c r="CC59" s="449"/>
      <c r="CD59" s="449"/>
      <c r="CE59" s="449"/>
      <c r="CF59" s="449"/>
      <c r="CG59" s="449"/>
      <c r="CH59" s="449"/>
      <c r="CI59" s="435"/>
      <c r="CJ59" s="450"/>
      <c r="CK59" s="423"/>
      <c r="CL59" s="557" t="s">
        <v>1131</v>
      </c>
      <c r="CM59" s="568"/>
      <c r="CN59" s="567"/>
      <c r="CO59" s="567"/>
      <c r="CY59" s="399"/>
      <c r="DA59" s="505"/>
      <c r="DB59" s="505"/>
      <c r="DC59" s="505"/>
      <c r="DD59" s="505"/>
      <c r="DE59" s="505">
        <v>652.5</v>
      </c>
      <c r="DF59" s="593">
        <f>1810-652.5</f>
        <v>1157.5</v>
      </c>
      <c r="DG59" s="505">
        <v>761.25</v>
      </c>
      <c r="DH59" s="505">
        <v>0</v>
      </c>
      <c r="DI59" s="505">
        <v>0</v>
      </c>
      <c r="DJ59" s="505">
        <v>0</v>
      </c>
      <c r="DK59" s="505">
        <v>0</v>
      </c>
      <c r="DL59" s="505">
        <v>0</v>
      </c>
      <c r="DM59" s="399">
        <f t="shared" si="22"/>
        <v>2571.25</v>
      </c>
      <c r="DO59" s="396"/>
      <c r="DP59" s="396"/>
      <c r="DQ59" s="396"/>
      <c r="EE59" s="399">
        <f t="shared" si="26"/>
        <v>0</v>
      </c>
      <c r="EG59" s="505">
        <f t="shared" si="27"/>
        <v>0</v>
      </c>
      <c r="EH59" s="505">
        <f t="shared" si="14"/>
        <v>0</v>
      </c>
      <c r="EI59" s="505">
        <f t="shared" si="15"/>
        <v>0</v>
      </c>
      <c r="EJ59" s="505">
        <f t="shared" si="16"/>
        <v>0</v>
      </c>
      <c r="EK59" s="505">
        <f t="shared" si="17"/>
        <v>0</v>
      </c>
      <c r="EL59" s="505">
        <f t="shared" si="18"/>
        <v>0</v>
      </c>
      <c r="EM59" s="505">
        <f t="shared" si="42"/>
        <v>0</v>
      </c>
      <c r="EN59" s="505">
        <f t="shared" si="43"/>
        <v>0</v>
      </c>
      <c r="EO59" s="505">
        <f t="shared" si="44"/>
        <v>0</v>
      </c>
      <c r="EP59" s="505">
        <f t="shared" si="45"/>
        <v>0</v>
      </c>
      <c r="EQ59" s="505">
        <f t="shared" si="46"/>
        <v>0</v>
      </c>
      <c r="ER59" s="505">
        <f t="shared" si="47"/>
        <v>0</v>
      </c>
      <c r="ES59" s="399">
        <f t="shared" si="59"/>
        <v>0</v>
      </c>
    </row>
    <row r="60" spans="1:149" hidden="1" x14ac:dyDescent="0.2">
      <c r="A60" s="395"/>
      <c r="B60" s="395"/>
      <c r="C60" s="424"/>
      <c r="D60" s="410"/>
      <c r="E60" s="410"/>
      <c r="F60" s="410"/>
      <c r="G60" s="409"/>
      <c r="H60" s="410"/>
      <c r="I60" s="410"/>
      <c r="J60" s="409"/>
      <c r="K60" s="410"/>
      <c r="L60" s="410"/>
      <c r="M60" s="409"/>
      <c r="N60" s="410"/>
      <c r="O60" s="410"/>
      <c r="P60" s="409"/>
      <c r="Q60" s="410"/>
      <c r="R60" s="410"/>
      <c r="S60" s="409"/>
      <c r="T60" s="410"/>
      <c r="U60" s="410"/>
      <c r="V60" s="409"/>
      <c r="W60" s="410"/>
      <c r="X60" s="410"/>
      <c r="Y60" s="409"/>
      <c r="Z60" s="410"/>
      <c r="AA60" s="410"/>
      <c r="AB60" s="409"/>
      <c r="AC60" s="410"/>
      <c r="AD60" s="410"/>
      <c r="AE60" s="409"/>
      <c r="AF60" s="410"/>
      <c r="AG60" s="410"/>
      <c r="AH60" s="409"/>
      <c r="AI60" s="410"/>
      <c r="AJ60" s="410"/>
      <c r="AK60" s="409"/>
      <c r="AL60" s="410"/>
      <c r="AM60" s="410"/>
      <c r="AN60" s="412"/>
      <c r="AO60" s="412"/>
      <c r="AP60" s="414"/>
      <c r="AQ60" s="414"/>
      <c r="AR60" s="417"/>
      <c r="AS60" s="415"/>
      <c r="AT60" s="413"/>
      <c r="AU60" s="417"/>
      <c r="AV60" s="447"/>
      <c r="AW60" s="447"/>
      <c r="AX60" s="449"/>
      <c r="AY60" s="449"/>
      <c r="AZ60" s="449"/>
      <c r="BA60" s="449"/>
      <c r="BB60" s="449"/>
      <c r="BC60" s="449"/>
      <c r="BD60" s="449"/>
      <c r="BE60" s="449"/>
      <c r="BF60" s="449"/>
      <c r="BG60" s="449"/>
      <c r="BH60" s="449"/>
      <c r="BI60" s="449"/>
      <c r="BJ60" s="449"/>
      <c r="BK60" s="449"/>
      <c r="BL60" s="449"/>
      <c r="BM60" s="449"/>
      <c r="BN60" s="449"/>
      <c r="BO60" s="449"/>
      <c r="BP60" s="449"/>
      <c r="BQ60" s="449"/>
      <c r="BR60" s="449"/>
      <c r="BS60" s="449"/>
      <c r="BT60" s="449"/>
      <c r="BU60" s="449"/>
      <c r="BV60" s="449"/>
      <c r="BW60" s="449"/>
      <c r="BX60" s="449"/>
      <c r="BY60" s="449"/>
      <c r="BZ60" s="449"/>
      <c r="CA60" s="449"/>
      <c r="CB60" s="449"/>
      <c r="CC60" s="449"/>
      <c r="CD60" s="449"/>
      <c r="CE60" s="449"/>
      <c r="CF60" s="449"/>
      <c r="CG60" s="449"/>
      <c r="CH60" s="449"/>
      <c r="CI60" s="435"/>
      <c r="CJ60" s="450"/>
      <c r="CK60" s="423"/>
      <c r="CL60" s="557" t="s">
        <v>1132</v>
      </c>
      <c r="CM60" s="568"/>
      <c r="CN60" s="567"/>
      <c r="CO60" s="567"/>
      <c r="CY60" s="399"/>
      <c r="DA60" s="505"/>
      <c r="DB60" s="505"/>
      <c r="DC60" s="505"/>
      <c r="DD60" s="505"/>
      <c r="DE60" s="505"/>
      <c r="DF60" s="505"/>
      <c r="DG60" s="505">
        <v>0</v>
      </c>
      <c r="DH60" s="505">
        <v>42348.57</v>
      </c>
      <c r="DI60" s="505">
        <v>0</v>
      </c>
      <c r="DJ60" s="505">
        <v>0</v>
      </c>
      <c r="DK60" s="505">
        <v>0</v>
      </c>
      <c r="DL60" s="505">
        <v>0</v>
      </c>
      <c r="DM60" s="399">
        <f t="shared" si="22"/>
        <v>42348.57</v>
      </c>
      <c r="DO60" s="396"/>
      <c r="DP60" s="396"/>
      <c r="DQ60" s="396"/>
      <c r="EE60" s="399">
        <f t="shared" si="26"/>
        <v>0</v>
      </c>
      <c r="EG60" s="505">
        <f t="shared" si="27"/>
        <v>0</v>
      </c>
      <c r="EH60" s="505">
        <f t="shared" si="14"/>
        <v>0</v>
      </c>
      <c r="EI60" s="505">
        <f t="shared" si="15"/>
        <v>0</v>
      </c>
      <c r="EJ60" s="505">
        <f t="shared" si="16"/>
        <v>0</v>
      </c>
      <c r="EK60" s="505">
        <f t="shared" si="17"/>
        <v>0</v>
      </c>
      <c r="EL60" s="505">
        <f t="shared" si="18"/>
        <v>0</v>
      </c>
      <c r="EM60" s="505">
        <f t="shared" si="42"/>
        <v>0</v>
      </c>
      <c r="EN60" s="505">
        <f t="shared" si="43"/>
        <v>0</v>
      </c>
      <c r="EO60" s="505">
        <f t="shared" si="44"/>
        <v>0</v>
      </c>
      <c r="EP60" s="505">
        <f t="shared" si="45"/>
        <v>0</v>
      </c>
      <c r="EQ60" s="505">
        <f t="shared" si="46"/>
        <v>0</v>
      </c>
      <c r="ER60" s="505">
        <f t="shared" si="47"/>
        <v>0</v>
      </c>
      <c r="ES60" s="399">
        <f t="shared" si="59"/>
        <v>0</v>
      </c>
    </row>
    <row r="61" spans="1:149" hidden="1" x14ac:dyDescent="0.2">
      <c r="A61" s="395"/>
      <c r="B61" s="395"/>
      <c r="C61" s="424"/>
      <c r="D61" s="410"/>
      <c r="E61" s="410"/>
      <c r="F61" s="410"/>
      <c r="G61" s="409"/>
      <c r="H61" s="410"/>
      <c r="I61" s="410"/>
      <c r="J61" s="409"/>
      <c r="K61" s="410"/>
      <c r="L61" s="410"/>
      <c r="M61" s="409"/>
      <c r="N61" s="410"/>
      <c r="O61" s="410"/>
      <c r="P61" s="409"/>
      <c r="Q61" s="410"/>
      <c r="R61" s="410"/>
      <c r="S61" s="409"/>
      <c r="T61" s="410"/>
      <c r="U61" s="410"/>
      <c r="V61" s="409"/>
      <c r="W61" s="410"/>
      <c r="X61" s="410"/>
      <c r="Y61" s="409"/>
      <c r="Z61" s="410"/>
      <c r="AA61" s="410"/>
      <c r="AB61" s="409"/>
      <c r="AC61" s="410"/>
      <c r="AD61" s="410"/>
      <c r="AE61" s="409"/>
      <c r="AF61" s="410"/>
      <c r="AG61" s="410"/>
      <c r="AH61" s="409"/>
      <c r="AI61" s="410"/>
      <c r="AJ61" s="410"/>
      <c r="AK61" s="409"/>
      <c r="AL61" s="410"/>
      <c r="AM61" s="410"/>
      <c r="AN61" s="412"/>
      <c r="AO61" s="412"/>
      <c r="AP61" s="414"/>
      <c r="AQ61" s="414"/>
      <c r="AR61" s="417"/>
      <c r="AS61" s="415"/>
      <c r="AT61" s="413"/>
      <c r="AU61" s="417"/>
      <c r="AV61" s="447"/>
      <c r="AW61" s="447"/>
      <c r="AX61" s="449"/>
      <c r="AY61" s="449"/>
      <c r="AZ61" s="449"/>
      <c r="BA61" s="449"/>
      <c r="BB61" s="449"/>
      <c r="BC61" s="449"/>
      <c r="BD61" s="449"/>
      <c r="BE61" s="449"/>
      <c r="BF61" s="449"/>
      <c r="BG61" s="449"/>
      <c r="BH61" s="449"/>
      <c r="BI61" s="449"/>
      <c r="BJ61" s="449"/>
      <c r="BK61" s="449"/>
      <c r="BL61" s="449"/>
      <c r="BM61" s="449"/>
      <c r="BN61" s="449"/>
      <c r="BO61" s="449"/>
      <c r="BP61" s="449"/>
      <c r="BQ61" s="449"/>
      <c r="BR61" s="449"/>
      <c r="BS61" s="449"/>
      <c r="BT61" s="449"/>
      <c r="BU61" s="449"/>
      <c r="BV61" s="449"/>
      <c r="BW61" s="449"/>
      <c r="BX61" s="449"/>
      <c r="BY61" s="449"/>
      <c r="BZ61" s="449"/>
      <c r="CA61" s="449"/>
      <c r="CB61" s="449"/>
      <c r="CC61" s="449"/>
      <c r="CD61" s="449"/>
      <c r="CE61" s="449"/>
      <c r="CF61" s="449"/>
      <c r="CG61" s="449"/>
      <c r="CH61" s="449"/>
      <c r="CI61" s="435"/>
      <c r="CJ61" s="450"/>
      <c r="CK61" s="423"/>
      <c r="CL61" s="557" t="s">
        <v>1133</v>
      </c>
      <c r="CM61" s="568"/>
      <c r="CN61" s="567"/>
      <c r="CO61" s="567"/>
      <c r="CY61" s="399"/>
      <c r="DA61" s="505"/>
      <c r="DB61" s="505"/>
      <c r="DC61" s="505"/>
      <c r="DD61" s="505"/>
      <c r="DE61" s="505"/>
      <c r="DF61" s="505"/>
      <c r="DG61" s="505">
        <v>0</v>
      </c>
      <c r="DH61" s="505">
        <v>0</v>
      </c>
      <c r="DI61" s="505">
        <v>0</v>
      </c>
      <c r="DJ61" s="505">
        <v>0</v>
      </c>
      <c r="DK61" s="505">
        <v>0</v>
      </c>
      <c r="DL61" s="593">
        <v>125000</v>
      </c>
      <c r="DM61" s="399">
        <f t="shared" si="22"/>
        <v>125000</v>
      </c>
      <c r="DO61" s="396"/>
      <c r="DP61" s="396"/>
      <c r="DQ61" s="396"/>
      <c r="EE61" s="399">
        <f t="shared" si="26"/>
        <v>0</v>
      </c>
      <c r="EG61" s="505">
        <f t="shared" si="27"/>
        <v>0</v>
      </c>
      <c r="EH61" s="505">
        <f t="shared" si="14"/>
        <v>0</v>
      </c>
      <c r="EI61" s="505">
        <f t="shared" si="15"/>
        <v>0</v>
      </c>
      <c r="EJ61" s="505">
        <f t="shared" si="16"/>
        <v>0</v>
      </c>
      <c r="EK61" s="505">
        <f t="shared" si="17"/>
        <v>0</v>
      </c>
      <c r="EL61" s="505">
        <f t="shared" si="18"/>
        <v>0</v>
      </c>
      <c r="EM61" s="505">
        <f t="shared" si="42"/>
        <v>0</v>
      </c>
      <c r="EN61" s="505">
        <f t="shared" si="43"/>
        <v>0</v>
      </c>
      <c r="EO61" s="505">
        <f t="shared" si="44"/>
        <v>0</v>
      </c>
      <c r="EP61" s="505">
        <f t="shared" si="45"/>
        <v>0</v>
      </c>
      <c r="EQ61" s="505">
        <f t="shared" si="46"/>
        <v>0</v>
      </c>
      <c r="ER61" s="505">
        <f t="shared" si="47"/>
        <v>0</v>
      </c>
      <c r="ES61" s="399">
        <f t="shared" si="59"/>
        <v>0</v>
      </c>
    </row>
    <row r="62" spans="1:149" hidden="1" x14ac:dyDescent="0.2">
      <c r="A62" s="395"/>
      <c r="B62" s="395"/>
      <c r="C62" s="424"/>
      <c r="D62" s="410"/>
      <c r="E62" s="410"/>
      <c r="F62" s="410"/>
      <c r="G62" s="409"/>
      <c r="H62" s="410"/>
      <c r="I62" s="410"/>
      <c r="J62" s="409"/>
      <c r="K62" s="410"/>
      <c r="L62" s="410"/>
      <c r="M62" s="409"/>
      <c r="N62" s="410"/>
      <c r="O62" s="410"/>
      <c r="P62" s="409"/>
      <c r="Q62" s="410"/>
      <c r="R62" s="410"/>
      <c r="S62" s="409"/>
      <c r="T62" s="410"/>
      <c r="U62" s="410"/>
      <c r="V62" s="409"/>
      <c r="W62" s="410"/>
      <c r="X62" s="410"/>
      <c r="Y62" s="409"/>
      <c r="Z62" s="410"/>
      <c r="AA62" s="410"/>
      <c r="AB62" s="409"/>
      <c r="AC62" s="410"/>
      <c r="AD62" s="410"/>
      <c r="AE62" s="409"/>
      <c r="AF62" s="410"/>
      <c r="AG62" s="410"/>
      <c r="AH62" s="409"/>
      <c r="AI62" s="410"/>
      <c r="AJ62" s="410"/>
      <c r="AK62" s="409"/>
      <c r="AL62" s="410"/>
      <c r="AM62" s="410"/>
      <c r="AN62" s="412"/>
      <c r="AO62" s="412"/>
      <c r="AP62" s="414"/>
      <c r="AQ62" s="414"/>
      <c r="AR62" s="417"/>
      <c r="AS62" s="415"/>
      <c r="AT62" s="413"/>
      <c r="AU62" s="417"/>
      <c r="AV62" s="447"/>
      <c r="AW62" s="447"/>
      <c r="AX62" s="449"/>
      <c r="AY62" s="449"/>
      <c r="AZ62" s="449"/>
      <c r="BA62" s="449"/>
      <c r="BB62" s="449"/>
      <c r="BC62" s="449"/>
      <c r="BD62" s="449"/>
      <c r="BE62" s="449"/>
      <c r="BF62" s="449"/>
      <c r="BG62" s="449"/>
      <c r="BH62" s="449"/>
      <c r="BI62" s="449"/>
      <c r="BJ62" s="449"/>
      <c r="BK62" s="449"/>
      <c r="BL62" s="449"/>
      <c r="BM62" s="449"/>
      <c r="BN62" s="449"/>
      <c r="BO62" s="449"/>
      <c r="BP62" s="449"/>
      <c r="BQ62" s="449"/>
      <c r="BR62" s="449"/>
      <c r="BS62" s="449"/>
      <c r="BT62" s="449"/>
      <c r="BU62" s="449"/>
      <c r="BV62" s="449"/>
      <c r="BW62" s="449"/>
      <c r="BX62" s="449"/>
      <c r="BY62" s="449"/>
      <c r="BZ62" s="449"/>
      <c r="CA62" s="449"/>
      <c r="CB62" s="449"/>
      <c r="CC62" s="449"/>
      <c r="CD62" s="449"/>
      <c r="CE62" s="449"/>
      <c r="CF62" s="449"/>
      <c r="CG62" s="449"/>
      <c r="CH62" s="449"/>
      <c r="CI62" s="435"/>
      <c r="CJ62" s="450"/>
      <c r="CK62" s="423"/>
      <c r="CL62" s="557" t="s">
        <v>1134</v>
      </c>
      <c r="CM62" s="568"/>
      <c r="CN62" s="567"/>
      <c r="CO62" s="567"/>
      <c r="CY62" s="399"/>
      <c r="DA62" s="505"/>
      <c r="DB62" s="505"/>
      <c r="DC62" s="505"/>
      <c r="DD62" s="505"/>
      <c r="DE62" s="505"/>
      <c r="DF62" s="505"/>
      <c r="DG62" s="505">
        <v>0</v>
      </c>
      <c r="DH62" s="505">
        <v>0</v>
      </c>
      <c r="DI62" s="505">
        <v>0</v>
      </c>
      <c r="DJ62" s="505">
        <v>227.5</v>
      </c>
      <c r="DK62" s="505">
        <v>0</v>
      </c>
      <c r="DL62" s="593">
        <v>500000</v>
      </c>
      <c r="DM62" s="399">
        <f t="shared" si="22"/>
        <v>500227.5</v>
      </c>
      <c r="DO62" s="396"/>
      <c r="DP62" s="396"/>
      <c r="DQ62" s="396"/>
      <c r="DR62" s="567"/>
      <c r="DS62" s="567"/>
      <c r="DT62" s="567"/>
      <c r="EE62" s="399">
        <f t="shared" si="26"/>
        <v>0</v>
      </c>
      <c r="EG62" s="505">
        <f t="shared" si="27"/>
        <v>0</v>
      </c>
      <c r="EH62" s="505">
        <f t="shared" si="14"/>
        <v>0</v>
      </c>
      <c r="EI62" s="505">
        <f t="shared" si="15"/>
        <v>0</v>
      </c>
      <c r="EJ62" s="505">
        <f t="shared" si="16"/>
        <v>0</v>
      </c>
      <c r="EK62" s="505">
        <f t="shared" si="17"/>
        <v>0</v>
      </c>
      <c r="EL62" s="505">
        <f t="shared" si="18"/>
        <v>0</v>
      </c>
      <c r="EM62" s="505">
        <f t="shared" si="42"/>
        <v>0</v>
      </c>
      <c r="EN62" s="505">
        <f t="shared" si="43"/>
        <v>0</v>
      </c>
      <c r="EO62" s="505">
        <f t="shared" si="44"/>
        <v>0</v>
      </c>
      <c r="EP62" s="505">
        <f t="shared" si="45"/>
        <v>0</v>
      </c>
      <c r="EQ62" s="505">
        <f t="shared" si="46"/>
        <v>0</v>
      </c>
      <c r="ER62" s="505">
        <f t="shared" si="47"/>
        <v>0</v>
      </c>
      <c r="ES62" s="399">
        <f t="shared" si="59"/>
        <v>0</v>
      </c>
    </row>
    <row r="63" spans="1:149" hidden="1" x14ac:dyDescent="0.2">
      <c r="A63" s="395"/>
      <c r="B63" s="395"/>
      <c r="C63" s="424"/>
      <c r="D63" s="410"/>
      <c r="E63" s="410"/>
      <c r="F63" s="410"/>
      <c r="G63" s="409"/>
      <c r="H63" s="410"/>
      <c r="I63" s="410"/>
      <c r="J63" s="409"/>
      <c r="K63" s="410"/>
      <c r="L63" s="410"/>
      <c r="M63" s="409"/>
      <c r="N63" s="410"/>
      <c r="O63" s="410"/>
      <c r="P63" s="409"/>
      <c r="Q63" s="410"/>
      <c r="R63" s="410"/>
      <c r="S63" s="409"/>
      <c r="T63" s="410"/>
      <c r="U63" s="410"/>
      <c r="V63" s="409"/>
      <c r="W63" s="410"/>
      <c r="X63" s="410"/>
      <c r="Y63" s="409"/>
      <c r="Z63" s="410"/>
      <c r="AA63" s="410"/>
      <c r="AB63" s="409"/>
      <c r="AC63" s="410"/>
      <c r="AD63" s="410"/>
      <c r="AE63" s="409"/>
      <c r="AF63" s="410"/>
      <c r="AG63" s="410"/>
      <c r="AH63" s="409"/>
      <c r="AI63" s="410"/>
      <c r="AJ63" s="410"/>
      <c r="AK63" s="409"/>
      <c r="AL63" s="410"/>
      <c r="AM63" s="410"/>
      <c r="AN63" s="412"/>
      <c r="AO63" s="412"/>
      <c r="AP63" s="414"/>
      <c r="AQ63" s="414"/>
      <c r="AR63" s="417"/>
      <c r="AS63" s="415"/>
      <c r="AT63" s="413"/>
      <c r="AU63" s="417"/>
      <c r="AV63" s="447"/>
      <c r="AW63" s="447"/>
      <c r="AX63" s="449"/>
      <c r="AY63" s="449"/>
      <c r="AZ63" s="449"/>
      <c r="BA63" s="449"/>
      <c r="BB63" s="449"/>
      <c r="BC63" s="449"/>
      <c r="BD63" s="449"/>
      <c r="BE63" s="449"/>
      <c r="BF63" s="449"/>
      <c r="BG63" s="449"/>
      <c r="BH63" s="449"/>
      <c r="BI63" s="449"/>
      <c r="BJ63" s="449"/>
      <c r="BK63" s="449"/>
      <c r="BL63" s="449"/>
      <c r="BM63" s="449"/>
      <c r="BN63" s="449"/>
      <c r="BO63" s="449"/>
      <c r="BP63" s="449"/>
      <c r="BQ63" s="449"/>
      <c r="BR63" s="449"/>
      <c r="BS63" s="449"/>
      <c r="BT63" s="449"/>
      <c r="BU63" s="449"/>
      <c r="BV63" s="449"/>
      <c r="BW63" s="449"/>
      <c r="BX63" s="449"/>
      <c r="BY63" s="449"/>
      <c r="BZ63" s="449"/>
      <c r="CA63" s="449"/>
      <c r="CB63" s="449"/>
      <c r="CC63" s="449"/>
      <c r="CD63" s="449"/>
      <c r="CE63" s="449"/>
      <c r="CF63" s="449"/>
      <c r="CG63" s="449"/>
      <c r="CH63" s="449"/>
      <c r="CI63" s="435"/>
      <c r="CJ63" s="450"/>
      <c r="CK63" s="423"/>
      <c r="CL63" s="557" t="s">
        <v>1135</v>
      </c>
      <c r="CM63" s="568"/>
      <c r="CN63" s="567"/>
      <c r="CO63" s="567"/>
      <c r="CY63" s="399"/>
      <c r="DA63" s="505"/>
      <c r="DB63" s="505"/>
      <c r="DC63" s="505"/>
      <c r="DD63" s="505"/>
      <c r="DE63" s="505"/>
      <c r="DF63" s="505"/>
      <c r="DG63" s="505">
        <v>0</v>
      </c>
      <c r="DH63" s="505">
        <v>0</v>
      </c>
      <c r="DI63" s="505">
        <v>0</v>
      </c>
      <c r="DJ63" s="505">
        <v>0</v>
      </c>
      <c r="DK63" s="505">
        <v>1500</v>
      </c>
      <c r="DL63" s="505">
        <v>1500</v>
      </c>
      <c r="DM63" s="399">
        <f t="shared" si="22"/>
        <v>3000</v>
      </c>
      <c r="DO63" s="396"/>
      <c r="DP63" s="396"/>
      <c r="DQ63" s="396"/>
      <c r="DR63" s="567"/>
      <c r="DS63" s="567"/>
      <c r="DT63" s="567"/>
      <c r="EE63" s="399">
        <f t="shared" si="26"/>
        <v>0</v>
      </c>
      <c r="EG63" s="505">
        <f t="shared" si="27"/>
        <v>0</v>
      </c>
      <c r="EH63" s="505">
        <f t="shared" si="14"/>
        <v>0</v>
      </c>
      <c r="EI63" s="505">
        <f t="shared" si="15"/>
        <v>0</v>
      </c>
      <c r="EJ63" s="505">
        <f t="shared" si="16"/>
        <v>0</v>
      </c>
      <c r="EK63" s="505">
        <f t="shared" si="17"/>
        <v>0</v>
      </c>
      <c r="EL63" s="505">
        <f t="shared" si="18"/>
        <v>0</v>
      </c>
      <c r="EM63" s="505">
        <f t="shared" si="42"/>
        <v>0</v>
      </c>
      <c r="EN63" s="505">
        <f t="shared" si="43"/>
        <v>0</v>
      </c>
      <c r="EO63" s="505">
        <f t="shared" si="44"/>
        <v>0</v>
      </c>
      <c r="EP63" s="505">
        <f t="shared" si="45"/>
        <v>0</v>
      </c>
      <c r="EQ63" s="505">
        <f t="shared" si="46"/>
        <v>0</v>
      </c>
      <c r="ER63" s="505">
        <f t="shared" si="47"/>
        <v>0</v>
      </c>
      <c r="ES63" s="399">
        <f t="shared" si="59"/>
        <v>0</v>
      </c>
    </row>
    <row r="64" spans="1:149" hidden="1" x14ac:dyDescent="0.2">
      <c r="A64" s="395"/>
      <c r="B64" s="395"/>
      <c r="C64" s="424"/>
      <c r="D64" s="410"/>
      <c r="E64" s="410"/>
      <c r="F64" s="410"/>
      <c r="G64" s="409"/>
      <c r="H64" s="410"/>
      <c r="I64" s="410"/>
      <c r="J64" s="409"/>
      <c r="K64" s="410"/>
      <c r="L64" s="410"/>
      <c r="M64" s="409"/>
      <c r="N64" s="410"/>
      <c r="O64" s="410"/>
      <c r="P64" s="409"/>
      <c r="Q64" s="410"/>
      <c r="R64" s="410"/>
      <c r="S64" s="409"/>
      <c r="T64" s="410"/>
      <c r="U64" s="410"/>
      <c r="V64" s="409"/>
      <c r="W64" s="410"/>
      <c r="X64" s="410"/>
      <c r="Y64" s="409"/>
      <c r="Z64" s="410"/>
      <c r="AA64" s="410"/>
      <c r="AB64" s="409"/>
      <c r="AC64" s="410"/>
      <c r="AD64" s="410"/>
      <c r="AE64" s="409"/>
      <c r="AF64" s="410"/>
      <c r="AG64" s="410"/>
      <c r="AH64" s="409"/>
      <c r="AI64" s="410"/>
      <c r="AJ64" s="410"/>
      <c r="AK64" s="409"/>
      <c r="AL64" s="410"/>
      <c r="AM64" s="410"/>
      <c r="AN64" s="412"/>
      <c r="AO64" s="412"/>
      <c r="AP64" s="414"/>
      <c r="AQ64" s="414"/>
      <c r="AR64" s="417"/>
      <c r="AS64" s="415"/>
      <c r="AT64" s="413"/>
      <c r="AU64" s="417"/>
      <c r="AV64" s="447"/>
      <c r="AW64" s="447"/>
      <c r="AX64" s="449"/>
      <c r="AY64" s="449"/>
      <c r="AZ64" s="449"/>
      <c r="BA64" s="449"/>
      <c r="BB64" s="449"/>
      <c r="BC64" s="449"/>
      <c r="BD64" s="449"/>
      <c r="BE64" s="449"/>
      <c r="BF64" s="449"/>
      <c r="BG64" s="449"/>
      <c r="BH64" s="449"/>
      <c r="BI64" s="449"/>
      <c r="BJ64" s="449"/>
      <c r="BK64" s="449"/>
      <c r="BL64" s="449"/>
      <c r="BM64" s="449"/>
      <c r="BN64" s="449"/>
      <c r="BO64" s="449"/>
      <c r="BP64" s="449"/>
      <c r="BQ64" s="449"/>
      <c r="BR64" s="449"/>
      <c r="BS64" s="449"/>
      <c r="BT64" s="449"/>
      <c r="BU64" s="449"/>
      <c r="BV64" s="449"/>
      <c r="BW64" s="449"/>
      <c r="BX64" s="449"/>
      <c r="BY64" s="449"/>
      <c r="BZ64" s="449"/>
      <c r="CA64" s="449"/>
      <c r="CB64" s="449"/>
      <c r="CC64" s="449"/>
      <c r="CD64" s="449"/>
      <c r="CE64" s="449"/>
      <c r="CF64" s="449"/>
      <c r="CG64" s="449"/>
      <c r="CH64" s="449"/>
      <c r="CI64" s="435"/>
      <c r="CJ64" s="450"/>
      <c r="CK64" s="423"/>
      <c r="CL64" s="557" t="s">
        <v>1136</v>
      </c>
      <c r="CM64" s="568"/>
      <c r="CN64" s="567"/>
      <c r="CO64" s="567"/>
      <c r="CY64" s="399"/>
      <c r="DA64" s="505"/>
      <c r="DB64" s="505"/>
      <c r="DC64" s="505"/>
      <c r="DD64" s="505"/>
      <c r="DE64" s="505"/>
      <c r="DF64" s="505"/>
      <c r="DG64" s="505">
        <v>0</v>
      </c>
      <c r="DH64" s="505">
        <v>0</v>
      </c>
      <c r="DI64" s="505">
        <v>0</v>
      </c>
      <c r="DJ64" s="505">
        <v>0</v>
      </c>
      <c r="DK64" s="505">
        <v>0</v>
      </c>
      <c r="DL64" s="505">
        <v>5000</v>
      </c>
      <c r="DM64" s="399">
        <f t="shared" si="22"/>
        <v>5000</v>
      </c>
      <c r="DO64" s="396"/>
      <c r="DP64" s="396"/>
      <c r="DQ64" s="396"/>
      <c r="DR64" s="567"/>
      <c r="DS64" s="567"/>
      <c r="DT64" s="567"/>
      <c r="EE64" s="399">
        <f t="shared" si="26"/>
        <v>0</v>
      </c>
      <c r="EG64" s="505">
        <f t="shared" si="27"/>
        <v>0</v>
      </c>
      <c r="EH64" s="505">
        <f t="shared" si="14"/>
        <v>0</v>
      </c>
      <c r="EI64" s="505">
        <f t="shared" si="15"/>
        <v>0</v>
      </c>
      <c r="EJ64" s="505">
        <f t="shared" si="16"/>
        <v>0</v>
      </c>
      <c r="EK64" s="505">
        <f t="shared" si="17"/>
        <v>0</v>
      </c>
      <c r="EL64" s="505">
        <f t="shared" si="18"/>
        <v>0</v>
      </c>
      <c r="EM64" s="505">
        <f t="shared" si="42"/>
        <v>0</v>
      </c>
      <c r="EN64" s="505">
        <f t="shared" si="43"/>
        <v>0</v>
      </c>
      <c r="EO64" s="505">
        <f t="shared" si="44"/>
        <v>0</v>
      </c>
      <c r="EP64" s="505">
        <f t="shared" si="45"/>
        <v>0</v>
      </c>
      <c r="EQ64" s="505">
        <f t="shared" si="46"/>
        <v>0</v>
      </c>
      <c r="ER64" s="505">
        <f t="shared" si="47"/>
        <v>0</v>
      </c>
      <c r="ES64" s="399">
        <f t="shared" si="59"/>
        <v>0</v>
      </c>
    </row>
    <row r="65" spans="1:149" hidden="1" x14ac:dyDescent="0.2">
      <c r="A65" s="395"/>
      <c r="B65" s="395"/>
      <c r="C65" s="424"/>
      <c r="D65" s="410"/>
      <c r="E65" s="410"/>
      <c r="F65" s="410"/>
      <c r="G65" s="409"/>
      <c r="H65" s="410"/>
      <c r="I65" s="410"/>
      <c r="J65" s="409"/>
      <c r="K65" s="410"/>
      <c r="L65" s="410"/>
      <c r="M65" s="409"/>
      <c r="N65" s="410"/>
      <c r="O65" s="410"/>
      <c r="P65" s="409"/>
      <c r="Q65" s="410"/>
      <c r="R65" s="410"/>
      <c r="S65" s="409"/>
      <c r="T65" s="410"/>
      <c r="U65" s="410"/>
      <c r="V65" s="409"/>
      <c r="W65" s="410"/>
      <c r="X65" s="410"/>
      <c r="Y65" s="409"/>
      <c r="Z65" s="410"/>
      <c r="AA65" s="410"/>
      <c r="AB65" s="409"/>
      <c r="AC65" s="410"/>
      <c r="AD65" s="410"/>
      <c r="AE65" s="409"/>
      <c r="AF65" s="410"/>
      <c r="AG65" s="410"/>
      <c r="AH65" s="409"/>
      <c r="AI65" s="410"/>
      <c r="AJ65" s="410"/>
      <c r="AK65" s="409"/>
      <c r="AL65" s="410"/>
      <c r="AM65" s="410"/>
      <c r="AN65" s="412"/>
      <c r="AO65" s="412"/>
      <c r="AP65" s="414"/>
      <c r="AQ65" s="414"/>
      <c r="AR65" s="417"/>
      <c r="AS65" s="415"/>
      <c r="AT65" s="413"/>
      <c r="AU65" s="417"/>
      <c r="AV65" s="447"/>
      <c r="AW65" s="447"/>
      <c r="AX65" s="449"/>
      <c r="AY65" s="449"/>
      <c r="AZ65" s="449"/>
      <c r="BA65" s="449"/>
      <c r="BB65" s="449"/>
      <c r="BC65" s="449"/>
      <c r="BD65" s="449"/>
      <c r="BE65" s="449"/>
      <c r="BF65" s="449"/>
      <c r="BG65" s="449"/>
      <c r="BH65" s="449"/>
      <c r="BI65" s="449"/>
      <c r="BJ65" s="449"/>
      <c r="BK65" s="449"/>
      <c r="BL65" s="449"/>
      <c r="BM65" s="449"/>
      <c r="BN65" s="449"/>
      <c r="BO65" s="449"/>
      <c r="BP65" s="449"/>
      <c r="BQ65" s="449"/>
      <c r="BR65" s="449"/>
      <c r="BS65" s="449"/>
      <c r="BT65" s="449"/>
      <c r="BU65" s="449"/>
      <c r="BV65" s="449"/>
      <c r="BW65" s="449"/>
      <c r="BX65" s="449"/>
      <c r="BY65" s="449"/>
      <c r="BZ65" s="449"/>
      <c r="CA65" s="449"/>
      <c r="CB65" s="449"/>
      <c r="CC65" s="449"/>
      <c r="CD65" s="449"/>
      <c r="CE65" s="449"/>
      <c r="CF65" s="449"/>
      <c r="CG65" s="449"/>
      <c r="CH65" s="449"/>
      <c r="CI65" s="435"/>
      <c r="CJ65" s="450"/>
      <c r="CK65" s="423"/>
      <c r="CL65" s="557" t="s">
        <v>1122</v>
      </c>
      <c r="CM65" s="568"/>
      <c r="CN65" s="567"/>
      <c r="CO65" s="567"/>
      <c r="CY65" s="399"/>
      <c r="DA65" s="505"/>
      <c r="DB65" s="505"/>
      <c r="DC65" s="505"/>
      <c r="DD65" s="505"/>
      <c r="DE65" s="505"/>
      <c r="DF65" s="505"/>
      <c r="DG65" s="505">
        <v>0</v>
      </c>
      <c r="DH65" s="505">
        <v>0</v>
      </c>
      <c r="DI65" s="505">
        <v>0</v>
      </c>
      <c r="DJ65" s="505">
        <v>0</v>
      </c>
      <c r="DK65" s="505">
        <v>0</v>
      </c>
      <c r="DL65" s="593">
        <v>200000</v>
      </c>
      <c r="DM65" s="399">
        <f t="shared" si="22"/>
        <v>200000</v>
      </c>
      <c r="DO65" s="396"/>
      <c r="DP65" s="396"/>
      <c r="DQ65" s="396"/>
      <c r="DR65" s="567"/>
      <c r="DS65" s="567"/>
      <c r="DT65" s="567"/>
      <c r="EE65" s="399">
        <f t="shared" si="26"/>
        <v>0</v>
      </c>
      <c r="EG65" s="505">
        <f t="shared" si="27"/>
        <v>0</v>
      </c>
      <c r="EH65" s="505">
        <f t="shared" si="14"/>
        <v>0</v>
      </c>
      <c r="EI65" s="505">
        <f t="shared" si="15"/>
        <v>0</v>
      </c>
      <c r="EJ65" s="505">
        <f t="shared" si="16"/>
        <v>0</v>
      </c>
      <c r="EK65" s="505">
        <f t="shared" si="17"/>
        <v>0</v>
      </c>
      <c r="EL65" s="505">
        <f t="shared" si="18"/>
        <v>0</v>
      </c>
      <c r="EM65" s="505">
        <f t="shared" si="42"/>
        <v>0</v>
      </c>
      <c r="EN65" s="505">
        <f t="shared" si="43"/>
        <v>0</v>
      </c>
      <c r="EO65" s="505">
        <f t="shared" si="44"/>
        <v>0</v>
      </c>
      <c r="EP65" s="505">
        <f t="shared" si="45"/>
        <v>0</v>
      </c>
      <c r="EQ65" s="505">
        <f t="shared" si="46"/>
        <v>0</v>
      </c>
      <c r="ER65" s="505">
        <f t="shared" si="47"/>
        <v>0</v>
      </c>
      <c r="ES65" s="399">
        <f t="shared" si="59"/>
        <v>0</v>
      </c>
    </row>
    <row r="66" spans="1:149" hidden="1" x14ac:dyDescent="0.2">
      <c r="A66" s="395"/>
      <c r="B66" s="395"/>
      <c r="C66" s="424"/>
      <c r="D66" s="410"/>
      <c r="E66" s="410"/>
      <c r="F66" s="410"/>
      <c r="G66" s="409"/>
      <c r="H66" s="410"/>
      <c r="I66" s="410"/>
      <c r="J66" s="409"/>
      <c r="K66" s="410"/>
      <c r="L66" s="410"/>
      <c r="M66" s="409"/>
      <c r="N66" s="410"/>
      <c r="O66" s="410"/>
      <c r="P66" s="409"/>
      <c r="Q66" s="410"/>
      <c r="R66" s="410"/>
      <c r="S66" s="409"/>
      <c r="T66" s="410"/>
      <c r="U66" s="410"/>
      <c r="V66" s="409"/>
      <c r="W66" s="410"/>
      <c r="X66" s="410"/>
      <c r="Y66" s="409"/>
      <c r="Z66" s="410"/>
      <c r="AA66" s="410"/>
      <c r="AB66" s="409"/>
      <c r="AC66" s="410"/>
      <c r="AD66" s="410"/>
      <c r="AE66" s="409"/>
      <c r="AF66" s="410"/>
      <c r="AG66" s="410"/>
      <c r="AH66" s="409"/>
      <c r="AI66" s="410"/>
      <c r="AJ66" s="410"/>
      <c r="AK66" s="409"/>
      <c r="AL66" s="410"/>
      <c r="AM66" s="410"/>
      <c r="AN66" s="412"/>
      <c r="AO66" s="412"/>
      <c r="AP66" s="414"/>
      <c r="AQ66" s="414"/>
      <c r="AR66" s="417"/>
      <c r="AS66" s="415"/>
      <c r="AT66" s="413"/>
      <c r="AU66" s="417"/>
      <c r="AV66" s="447"/>
      <c r="AW66" s="447"/>
      <c r="AX66" s="449"/>
      <c r="AY66" s="449"/>
      <c r="AZ66" s="449"/>
      <c r="BA66" s="449"/>
      <c r="BB66" s="449"/>
      <c r="BC66" s="449"/>
      <c r="BD66" s="449"/>
      <c r="BE66" s="449"/>
      <c r="BF66" s="449"/>
      <c r="BG66" s="449"/>
      <c r="BH66" s="449"/>
      <c r="BI66" s="449"/>
      <c r="BJ66" s="449"/>
      <c r="BK66" s="449"/>
      <c r="BL66" s="449"/>
      <c r="BM66" s="449"/>
      <c r="BN66" s="449"/>
      <c r="BO66" s="449"/>
      <c r="BP66" s="449"/>
      <c r="BQ66" s="449"/>
      <c r="BR66" s="449"/>
      <c r="BS66" s="449"/>
      <c r="BT66" s="449"/>
      <c r="BU66" s="449"/>
      <c r="BV66" s="449"/>
      <c r="BW66" s="449"/>
      <c r="BX66" s="449"/>
      <c r="BY66" s="449"/>
      <c r="BZ66" s="449"/>
      <c r="CA66" s="449"/>
      <c r="CB66" s="449"/>
      <c r="CC66" s="449"/>
      <c r="CD66" s="449"/>
      <c r="CE66" s="449"/>
      <c r="CF66" s="449"/>
      <c r="CG66" s="449"/>
      <c r="CH66" s="449"/>
      <c r="CI66" s="435"/>
      <c r="CJ66" s="450"/>
      <c r="CK66" s="423"/>
      <c r="CL66" s="557" t="s">
        <v>1137</v>
      </c>
      <c r="CM66" s="568"/>
      <c r="CN66" s="567"/>
      <c r="CO66" s="567"/>
      <c r="CY66" s="399"/>
      <c r="DA66" s="505"/>
      <c r="DB66" s="505"/>
      <c r="DC66" s="505"/>
      <c r="DD66" s="505"/>
      <c r="DE66" s="505"/>
      <c r="DF66" s="505"/>
      <c r="DG66" s="505">
        <v>0</v>
      </c>
      <c r="DH66" s="505">
        <v>0</v>
      </c>
      <c r="DI66" s="505">
        <v>0</v>
      </c>
      <c r="DJ66" s="505">
        <v>0</v>
      </c>
      <c r="DK66" s="505">
        <v>0</v>
      </c>
      <c r="DL66" s="593">
        <v>30000</v>
      </c>
      <c r="DM66" s="399">
        <f t="shared" si="22"/>
        <v>30000</v>
      </c>
      <c r="DO66" s="396"/>
      <c r="DP66" s="396"/>
      <c r="DQ66" s="396"/>
      <c r="DR66" s="567"/>
      <c r="DS66" s="567"/>
      <c r="DT66" s="567"/>
      <c r="EE66" s="399">
        <f t="shared" si="26"/>
        <v>0</v>
      </c>
      <c r="EG66" s="505">
        <f t="shared" si="27"/>
        <v>0</v>
      </c>
      <c r="EH66" s="505">
        <f t="shared" si="14"/>
        <v>0</v>
      </c>
      <c r="EI66" s="505">
        <f t="shared" si="15"/>
        <v>0</v>
      </c>
      <c r="EJ66" s="505">
        <f t="shared" si="16"/>
        <v>0</v>
      </c>
      <c r="EK66" s="505">
        <f t="shared" si="17"/>
        <v>0</v>
      </c>
      <c r="EL66" s="505">
        <f t="shared" si="18"/>
        <v>0</v>
      </c>
      <c r="EM66" s="505">
        <f t="shared" si="42"/>
        <v>0</v>
      </c>
      <c r="EN66" s="505">
        <f t="shared" si="43"/>
        <v>0</v>
      </c>
      <c r="EO66" s="505">
        <f t="shared" si="44"/>
        <v>0</v>
      </c>
      <c r="EP66" s="505">
        <f t="shared" si="45"/>
        <v>0</v>
      </c>
      <c r="EQ66" s="505">
        <f t="shared" si="46"/>
        <v>0</v>
      </c>
      <c r="ER66" s="505">
        <f t="shared" si="47"/>
        <v>0</v>
      </c>
      <c r="ES66" s="399">
        <f t="shared" si="59"/>
        <v>0</v>
      </c>
    </row>
    <row r="67" spans="1:149" x14ac:dyDescent="0.2">
      <c r="A67" s="395"/>
      <c r="B67" s="395"/>
      <c r="C67" s="424"/>
      <c r="D67" s="410"/>
      <c r="E67" s="410"/>
      <c r="F67" s="410"/>
      <c r="G67" s="409"/>
      <c r="H67" s="410"/>
      <c r="I67" s="410"/>
      <c r="J67" s="409"/>
      <c r="K67" s="410"/>
      <c r="L67" s="410"/>
      <c r="M67" s="409"/>
      <c r="N67" s="410"/>
      <c r="O67" s="410"/>
      <c r="P67" s="409"/>
      <c r="Q67" s="410"/>
      <c r="R67" s="410"/>
      <c r="S67" s="409"/>
      <c r="T67" s="410"/>
      <c r="U67" s="410"/>
      <c r="V67" s="409"/>
      <c r="W67" s="410"/>
      <c r="X67" s="410"/>
      <c r="Y67" s="409"/>
      <c r="Z67" s="410"/>
      <c r="AA67" s="410"/>
      <c r="AB67" s="409"/>
      <c r="AC67" s="410"/>
      <c r="AD67" s="410"/>
      <c r="AE67" s="409"/>
      <c r="AF67" s="410"/>
      <c r="AG67" s="410"/>
      <c r="AH67" s="409"/>
      <c r="AI67" s="410"/>
      <c r="AJ67" s="410"/>
      <c r="AK67" s="409"/>
      <c r="AL67" s="410"/>
      <c r="AM67" s="410"/>
      <c r="AN67" s="412"/>
      <c r="AO67" s="412"/>
      <c r="AP67" s="414"/>
      <c r="AQ67" s="414"/>
      <c r="AR67" s="417"/>
      <c r="AS67" s="415"/>
      <c r="AT67" s="413"/>
      <c r="AU67" s="417"/>
      <c r="AV67" s="447" t="s">
        <v>366</v>
      </c>
      <c r="AW67" s="447" t="s">
        <v>367</v>
      </c>
      <c r="AX67" s="449">
        <v>0</v>
      </c>
      <c r="AY67" s="449"/>
      <c r="AZ67" s="449"/>
      <c r="BA67" s="449">
        <v>5000</v>
      </c>
      <c r="BB67" s="449"/>
      <c r="BC67" s="449"/>
      <c r="BD67" s="449">
        <v>0</v>
      </c>
      <c r="BE67" s="449"/>
      <c r="BF67" s="449"/>
      <c r="BG67" s="449">
        <v>0</v>
      </c>
      <c r="BH67" s="449"/>
      <c r="BI67" s="449"/>
      <c r="BJ67" s="449">
        <v>0</v>
      </c>
      <c r="BK67" s="449"/>
      <c r="BL67" s="449"/>
      <c r="BM67" s="449">
        <v>0</v>
      </c>
      <c r="BN67" s="449"/>
      <c r="BO67" s="449"/>
      <c r="BP67" s="449">
        <v>0</v>
      </c>
      <c r="BQ67" s="449"/>
      <c r="BR67" s="449"/>
      <c r="BS67" s="449">
        <v>0</v>
      </c>
      <c r="BT67" s="449"/>
      <c r="BU67" s="449"/>
      <c r="BV67" s="449">
        <v>0</v>
      </c>
      <c r="BW67" s="449"/>
      <c r="BX67" s="449"/>
      <c r="BY67" s="449">
        <v>0</v>
      </c>
      <c r="BZ67" s="449"/>
      <c r="CA67" s="449"/>
      <c r="CB67" s="449">
        <v>0</v>
      </c>
      <c r="CC67" s="449"/>
      <c r="CD67" s="449"/>
      <c r="CE67" s="449">
        <v>0</v>
      </c>
      <c r="CF67" s="449"/>
      <c r="CG67" s="449"/>
      <c r="CH67" s="449">
        <f>SUM(AX67:CE67)</f>
        <v>5000</v>
      </c>
      <c r="CI67" s="435"/>
      <c r="CJ67" s="396"/>
      <c r="CK67" s="396"/>
      <c r="CL67" s="400" t="s">
        <v>891</v>
      </c>
      <c r="CM67" s="401">
        <f t="shared" ref="CM67:CY67" si="60">SUM(CM4:CM58)</f>
        <v>69527</v>
      </c>
      <c r="CN67" s="401">
        <f t="shared" si="60"/>
        <v>80527</v>
      </c>
      <c r="CO67" s="401">
        <f t="shared" si="60"/>
        <v>52027</v>
      </c>
      <c r="CP67" s="401">
        <f t="shared" si="60"/>
        <v>79027</v>
      </c>
      <c r="CQ67" s="401">
        <f t="shared" si="60"/>
        <v>69027</v>
      </c>
      <c r="CR67" s="401">
        <f t="shared" si="60"/>
        <v>38527</v>
      </c>
      <c r="CS67" s="401">
        <f t="shared" si="60"/>
        <v>37027</v>
      </c>
      <c r="CT67" s="401">
        <f t="shared" si="60"/>
        <v>80027</v>
      </c>
      <c r="CU67" s="401">
        <f t="shared" si="60"/>
        <v>72027</v>
      </c>
      <c r="CV67" s="401">
        <f t="shared" si="60"/>
        <v>61527</v>
      </c>
      <c r="CW67" s="401">
        <f t="shared" si="60"/>
        <v>51500</v>
      </c>
      <c r="CX67" s="401">
        <f t="shared" si="60"/>
        <v>65500</v>
      </c>
      <c r="CY67" s="401">
        <f t="shared" si="60"/>
        <v>756270</v>
      </c>
      <c r="DA67" s="401">
        <f>SUM(DA4:DA58)</f>
        <v>40887.129999999997</v>
      </c>
      <c r="DB67" s="401">
        <f>SUM(DB4:DB58)</f>
        <v>25865.16</v>
      </c>
      <c r="DC67" s="401">
        <f>SUM(DC4:DC58)</f>
        <v>29750.719999999998</v>
      </c>
      <c r="DD67" s="401">
        <f>SUM(DD4:DD58)</f>
        <v>36702.619999999995</v>
      </c>
      <c r="DE67" s="401">
        <f>SUM(DE4:DE58)</f>
        <v>24123.65</v>
      </c>
      <c r="DF67" s="401">
        <f>SUM(DF4:DF65)</f>
        <v>22816.11</v>
      </c>
      <c r="DG67" s="401">
        <f t="shared" ref="DG67:DM67" si="61">SUM(DG4:DG66)</f>
        <v>57187.44</v>
      </c>
      <c r="DH67" s="401">
        <f t="shared" si="61"/>
        <v>79982.31</v>
      </c>
      <c r="DI67" s="401">
        <f t="shared" si="61"/>
        <v>53568.630000000005</v>
      </c>
      <c r="DJ67" s="401">
        <f t="shared" si="61"/>
        <v>108588.74</v>
      </c>
      <c r="DK67" s="401">
        <f t="shared" si="61"/>
        <v>68353</v>
      </c>
      <c r="DL67" s="401">
        <f t="shared" si="61"/>
        <v>1122853</v>
      </c>
      <c r="DM67" s="401">
        <f t="shared" si="61"/>
        <v>1656131.0099999998</v>
      </c>
      <c r="DO67" s="396"/>
      <c r="DP67" s="396"/>
      <c r="DQ67" s="400"/>
      <c r="DR67" s="620">
        <f t="shared" ref="DR67:EC67" si="62">SUM(DR4:DR58)</f>
        <v>297416.4916666667</v>
      </c>
      <c r="DS67" s="401">
        <f>SUM(DS4:DS58)</f>
        <v>465645.39166666666</v>
      </c>
      <c r="DT67" s="401">
        <f t="shared" si="62"/>
        <v>82321.891666666663</v>
      </c>
      <c r="DU67" s="401">
        <f t="shared" si="62"/>
        <v>100061.89166666668</v>
      </c>
      <c r="DV67" s="401">
        <f t="shared" si="62"/>
        <v>36337.39166666667</v>
      </c>
      <c r="DW67" s="401">
        <f t="shared" si="62"/>
        <v>31337.39166666667</v>
      </c>
      <c r="DX67" s="401">
        <f t="shared" si="62"/>
        <v>27340.651666666668</v>
      </c>
      <c r="DY67" s="401">
        <f t="shared" si="62"/>
        <v>32340.651666666668</v>
      </c>
      <c r="DZ67" s="401">
        <f t="shared" si="62"/>
        <v>32340.651666666668</v>
      </c>
      <c r="EA67" s="401">
        <f t="shared" si="62"/>
        <v>32340.651666666668</v>
      </c>
      <c r="EB67" s="401">
        <f t="shared" si="62"/>
        <v>8035.0716666666667</v>
      </c>
      <c r="EC67" s="401">
        <f t="shared" si="62"/>
        <v>8035.0716666666667</v>
      </c>
      <c r="ED67" s="401"/>
      <c r="EE67" s="401">
        <f>SUM(EE4:EE58)</f>
        <v>1153553.2000000002</v>
      </c>
      <c r="EG67" s="401">
        <f>SUM(EG4:EG58)</f>
        <v>112803.27</v>
      </c>
      <c r="EH67" s="401">
        <f>SUM(EH4:EH58)</f>
        <v>465645.39166666666</v>
      </c>
      <c r="EI67" s="401">
        <f>SUM(EI4:EI58)</f>
        <v>82321.891666666663</v>
      </c>
      <c r="EJ67" s="401">
        <f>SUM(EJ4:EJ58)</f>
        <v>100061.89166666668</v>
      </c>
      <c r="EK67" s="401">
        <f>SUM(EK4:EK58)</f>
        <v>36337.39166666667</v>
      </c>
      <c r="EL67" s="401">
        <f>SUM(EL4:EL65)</f>
        <v>31337.39166666667</v>
      </c>
      <c r="EM67" s="401">
        <f t="shared" ref="EM67:ES67" si="63">SUM(EM4:EM66)</f>
        <v>24921.58</v>
      </c>
      <c r="EN67" s="401">
        <f t="shared" si="63"/>
        <v>29921.58</v>
      </c>
      <c r="EO67" s="401">
        <f t="shared" si="63"/>
        <v>29921.58</v>
      </c>
      <c r="EP67" s="401">
        <f t="shared" si="63"/>
        <v>29921.58</v>
      </c>
      <c r="EQ67" s="401">
        <f t="shared" si="63"/>
        <v>5616</v>
      </c>
      <c r="ER67" s="401">
        <f t="shared" si="63"/>
        <v>5616</v>
      </c>
      <c r="ES67" s="401">
        <f t="shared" si="63"/>
        <v>954425.54833333334</v>
      </c>
    </row>
    <row r="68" spans="1:149" x14ac:dyDescent="0.2">
      <c r="A68" s="395"/>
      <c r="B68" s="395"/>
      <c r="C68" s="424"/>
      <c r="D68" s="410"/>
      <c r="E68" s="410"/>
      <c r="F68" s="410"/>
      <c r="G68" s="409"/>
      <c r="H68" s="410"/>
      <c r="I68" s="410"/>
      <c r="J68" s="409"/>
      <c r="K68" s="410"/>
      <c r="L68" s="410"/>
      <c r="M68" s="409"/>
      <c r="N68" s="410"/>
      <c r="O68" s="410"/>
      <c r="P68" s="409"/>
      <c r="Q68" s="410"/>
      <c r="R68" s="410"/>
      <c r="S68" s="409"/>
      <c r="T68" s="410"/>
      <c r="U68" s="410"/>
      <c r="V68" s="409"/>
      <c r="W68" s="410"/>
      <c r="X68" s="410"/>
      <c r="Y68" s="409"/>
      <c r="Z68" s="410"/>
      <c r="AA68" s="410"/>
      <c r="AB68" s="409"/>
      <c r="AC68" s="410"/>
      <c r="AD68" s="410"/>
      <c r="AE68" s="409"/>
      <c r="AF68" s="410"/>
      <c r="AG68" s="410"/>
      <c r="AH68" s="409"/>
      <c r="AI68" s="410"/>
      <c r="AJ68" s="410"/>
      <c r="AK68" s="409"/>
      <c r="AL68" s="410"/>
      <c r="AM68" s="410"/>
      <c r="AN68" s="412"/>
      <c r="AO68" s="412"/>
      <c r="AP68" s="414"/>
      <c r="AQ68" s="414"/>
      <c r="AR68" s="417"/>
      <c r="AS68" s="415"/>
      <c r="AT68" s="413"/>
      <c r="AU68" s="417"/>
      <c r="AV68" s="446" t="s">
        <v>368</v>
      </c>
      <c r="AW68" s="425" t="s">
        <v>369</v>
      </c>
      <c r="AX68" s="427">
        <v>3550</v>
      </c>
      <c r="AY68" s="427"/>
      <c r="AZ68" s="427"/>
      <c r="BA68" s="427">
        <v>0</v>
      </c>
      <c r="BB68" s="427"/>
      <c r="BC68" s="427"/>
      <c r="BD68" s="427">
        <v>0</v>
      </c>
      <c r="BE68" s="427"/>
      <c r="BF68" s="427"/>
      <c r="BG68" s="427">
        <v>0</v>
      </c>
      <c r="BH68" s="427"/>
      <c r="BI68" s="427"/>
      <c r="BJ68" s="427">
        <v>0</v>
      </c>
      <c r="BK68" s="427"/>
      <c r="BL68" s="427"/>
      <c r="BM68" s="427">
        <v>1240</v>
      </c>
      <c r="BN68" s="427"/>
      <c r="BO68" s="427"/>
      <c r="BP68" s="427">
        <v>0</v>
      </c>
      <c r="BQ68" s="427"/>
      <c r="BR68" s="427"/>
      <c r="BS68" s="427">
        <v>0</v>
      </c>
      <c r="BT68" s="427"/>
      <c r="BU68" s="427"/>
      <c r="BV68" s="427">
        <v>0</v>
      </c>
      <c r="BW68" s="427"/>
      <c r="BX68" s="427"/>
      <c r="BY68" s="427">
        <v>0</v>
      </c>
      <c r="BZ68" s="427"/>
      <c r="CA68" s="427"/>
      <c r="CB68" s="427">
        <v>0</v>
      </c>
      <c r="CC68" s="427"/>
      <c r="CD68" s="427"/>
      <c r="CE68" s="427">
        <v>0</v>
      </c>
      <c r="CF68" s="427"/>
      <c r="CG68" s="427"/>
      <c r="CH68" s="427">
        <f t="shared" ref="CH68:CH69" si="64">SUM(AX68:CE68)</f>
        <v>4790</v>
      </c>
      <c r="CI68" s="435"/>
      <c r="CJ68" s="395"/>
      <c r="CK68" s="395"/>
      <c r="CL68" s="395"/>
      <c r="DO68" s="395"/>
      <c r="DP68" s="395"/>
      <c r="DQ68" s="395"/>
    </row>
    <row r="69" spans="1:149" ht="15" x14ac:dyDescent="0.25">
      <c r="A69" s="395"/>
      <c r="B69" s="395"/>
      <c r="C69" s="424"/>
      <c r="D69" s="410"/>
      <c r="E69" s="410"/>
      <c r="F69" s="410"/>
      <c r="G69" s="409"/>
      <c r="H69" s="410"/>
      <c r="I69" s="410"/>
      <c r="J69" s="409"/>
      <c r="K69" s="410"/>
      <c r="L69" s="410"/>
      <c r="M69" s="409"/>
      <c r="N69" s="410"/>
      <c r="O69" s="410"/>
      <c r="P69" s="409"/>
      <c r="Q69" s="410"/>
      <c r="R69" s="410"/>
      <c r="S69" s="409"/>
      <c r="T69" s="410"/>
      <c r="U69" s="410"/>
      <c r="V69" s="409"/>
      <c r="W69" s="410"/>
      <c r="X69" s="410"/>
      <c r="Y69" s="409"/>
      <c r="Z69" s="410"/>
      <c r="AA69" s="410"/>
      <c r="AB69" s="409"/>
      <c r="AC69" s="410"/>
      <c r="AD69" s="410"/>
      <c r="AE69" s="409"/>
      <c r="AF69" s="410"/>
      <c r="AG69" s="410"/>
      <c r="AH69" s="409"/>
      <c r="AI69" s="410"/>
      <c r="AJ69" s="410"/>
      <c r="AK69" s="409"/>
      <c r="AL69" s="410"/>
      <c r="AM69" s="410"/>
      <c r="AN69" s="412"/>
      <c r="AO69" s="412"/>
      <c r="AP69" s="414"/>
      <c r="AQ69" s="414"/>
      <c r="AR69" s="417"/>
      <c r="AS69" s="415"/>
      <c r="AT69" s="413"/>
      <c r="AU69" s="417"/>
      <c r="AV69" s="446" t="s">
        <v>368</v>
      </c>
      <c r="AW69" s="425" t="s">
        <v>5</v>
      </c>
      <c r="AX69" s="427">
        <v>0</v>
      </c>
      <c r="AY69" s="427"/>
      <c r="AZ69" s="427"/>
      <c r="BA69" s="427">
        <v>0</v>
      </c>
      <c r="BB69" s="427"/>
      <c r="BC69" s="427"/>
      <c r="BD69" s="427">
        <v>0</v>
      </c>
      <c r="BE69" s="427"/>
      <c r="BF69" s="427"/>
      <c r="BG69" s="427">
        <v>500</v>
      </c>
      <c r="BH69" s="427"/>
      <c r="BI69" s="427"/>
      <c r="BJ69" s="427">
        <v>500</v>
      </c>
      <c r="BK69" s="427"/>
      <c r="BL69" s="427"/>
      <c r="BM69" s="427">
        <v>500</v>
      </c>
      <c r="BN69" s="427"/>
      <c r="BO69" s="427"/>
      <c r="BP69" s="427">
        <v>500</v>
      </c>
      <c r="BQ69" s="427"/>
      <c r="BR69" s="427"/>
      <c r="BS69" s="427">
        <v>500</v>
      </c>
      <c r="BT69" s="427"/>
      <c r="BU69" s="427"/>
      <c r="BV69" s="427">
        <v>500</v>
      </c>
      <c r="BW69" s="427"/>
      <c r="BX69" s="427"/>
      <c r="BY69" s="427">
        <v>500</v>
      </c>
      <c r="BZ69" s="427"/>
      <c r="CA69" s="427"/>
      <c r="CB69" s="427">
        <v>500</v>
      </c>
      <c r="CC69" s="427"/>
      <c r="CD69" s="427"/>
      <c r="CE69" s="427">
        <v>500</v>
      </c>
      <c r="CF69" s="427"/>
      <c r="CG69" s="427"/>
      <c r="CH69" s="427">
        <f t="shared" si="64"/>
        <v>4500</v>
      </c>
      <c r="CI69" s="435"/>
      <c r="CJ69" s="289" t="s">
        <v>88</v>
      </c>
      <c r="CK69" s="289"/>
      <c r="CL69" s="287"/>
      <c r="CM69" s="287"/>
      <c r="CN69" s="287"/>
      <c r="CO69" s="287"/>
      <c r="CP69" s="287"/>
      <c r="CQ69" s="287"/>
      <c r="CR69" s="287"/>
      <c r="CS69" s="287"/>
      <c r="CT69" s="287"/>
      <c r="CU69" s="287"/>
      <c r="CV69" s="287"/>
      <c r="CW69" s="287"/>
      <c r="CX69" s="287"/>
      <c r="CY69" s="372"/>
      <c r="DA69" s="484"/>
      <c r="DB69" s="287"/>
      <c r="DC69" s="287"/>
      <c r="DD69" s="287"/>
      <c r="DE69" s="287"/>
      <c r="DF69" s="287"/>
      <c r="DG69" s="287"/>
      <c r="DH69" s="287"/>
      <c r="DI69" s="287"/>
      <c r="DJ69" s="287"/>
      <c r="DK69" s="287"/>
      <c r="DL69" s="287"/>
      <c r="DM69" s="372"/>
      <c r="DO69" s="289" t="s">
        <v>88</v>
      </c>
      <c r="DP69" s="289"/>
      <c r="DQ69" s="287"/>
      <c r="DR69" s="287"/>
      <c r="DS69" s="287"/>
      <c r="DT69" s="287"/>
      <c r="DU69" s="287"/>
      <c r="DV69" s="287"/>
      <c r="DW69" s="287"/>
      <c r="DX69" s="287"/>
      <c r="DY69" s="287"/>
      <c r="DZ69" s="287"/>
      <c r="EA69" s="287"/>
      <c r="EB69" s="287"/>
      <c r="EC69" s="287"/>
      <c r="ED69" s="287"/>
      <c r="EE69" s="372"/>
      <c r="EG69" s="484"/>
      <c r="EH69" s="287"/>
      <c r="EI69" s="287"/>
      <c r="EJ69" s="287"/>
      <c r="EK69" s="287"/>
      <c r="EL69" s="287"/>
      <c r="EM69" s="287"/>
      <c r="EN69" s="287"/>
      <c r="EO69" s="287"/>
      <c r="EP69" s="287"/>
      <c r="EQ69" s="287"/>
      <c r="ER69" s="287"/>
      <c r="ES69" s="372"/>
    </row>
    <row r="70" spans="1:149" ht="15.75" thickBot="1" x14ac:dyDescent="0.3">
      <c r="A70" s="395"/>
      <c r="B70" s="395"/>
      <c r="C70" s="424"/>
      <c r="D70" s="410"/>
      <c r="E70" s="410"/>
      <c r="F70" s="410"/>
      <c r="G70" s="409"/>
      <c r="H70" s="410"/>
      <c r="I70" s="410"/>
      <c r="J70" s="409"/>
      <c r="K70" s="410"/>
      <c r="L70" s="410"/>
      <c r="M70" s="409"/>
      <c r="N70" s="410"/>
      <c r="O70" s="410"/>
      <c r="P70" s="409"/>
      <c r="Q70" s="410"/>
      <c r="R70" s="410"/>
      <c r="S70" s="409"/>
      <c r="T70" s="410"/>
      <c r="U70" s="410"/>
      <c r="V70" s="409"/>
      <c r="W70" s="410"/>
      <c r="X70" s="410"/>
      <c r="Y70" s="409"/>
      <c r="Z70" s="410"/>
      <c r="AA70" s="410"/>
      <c r="AB70" s="409"/>
      <c r="AC70" s="410"/>
      <c r="AD70" s="410"/>
      <c r="AE70" s="409"/>
      <c r="AF70" s="410"/>
      <c r="AG70" s="410"/>
      <c r="AH70" s="409"/>
      <c r="AI70" s="410"/>
      <c r="AJ70" s="410"/>
      <c r="AK70" s="409"/>
      <c r="AL70" s="410"/>
      <c r="AM70" s="410"/>
      <c r="AN70" s="412"/>
      <c r="AO70" s="412"/>
      <c r="AP70" s="414"/>
      <c r="AQ70" s="414"/>
      <c r="AR70" s="417"/>
      <c r="AS70" s="415"/>
      <c r="AT70" s="413"/>
      <c r="AU70" s="417"/>
      <c r="AV70" s="425" t="s">
        <v>370</v>
      </c>
      <c r="AW70" s="425" t="s">
        <v>371</v>
      </c>
      <c r="AX70" s="427">
        <v>5000</v>
      </c>
      <c r="AY70" s="427"/>
      <c r="AZ70" s="427"/>
      <c r="BA70" s="427">
        <v>10000</v>
      </c>
      <c r="BB70" s="427"/>
      <c r="BC70" s="427"/>
      <c r="BD70" s="427">
        <v>10000</v>
      </c>
      <c r="BE70" s="427"/>
      <c r="BF70" s="427"/>
      <c r="BG70" s="427">
        <v>10000</v>
      </c>
      <c r="BH70" s="427"/>
      <c r="BI70" s="427"/>
      <c r="BJ70" s="427">
        <v>10000</v>
      </c>
      <c r="BK70" s="427"/>
      <c r="BL70" s="427"/>
      <c r="BM70" s="427">
        <v>2500</v>
      </c>
      <c r="BN70" s="427"/>
      <c r="BO70" s="427"/>
      <c r="BP70" s="427">
        <v>2500</v>
      </c>
      <c r="BQ70" s="427"/>
      <c r="BR70" s="427"/>
      <c r="BS70" s="427">
        <v>10000</v>
      </c>
      <c r="BT70" s="427"/>
      <c r="BU70" s="427"/>
      <c r="BV70" s="427">
        <v>10000</v>
      </c>
      <c r="BW70" s="427"/>
      <c r="BX70" s="427"/>
      <c r="BY70" s="427">
        <v>10000</v>
      </c>
      <c r="BZ70" s="427"/>
      <c r="CA70" s="427"/>
      <c r="CB70" s="427">
        <v>10000</v>
      </c>
      <c r="CC70" s="427"/>
      <c r="CD70" s="427"/>
      <c r="CE70" s="427">
        <v>10000</v>
      </c>
      <c r="CF70" s="427"/>
      <c r="CG70" s="427"/>
      <c r="CH70" s="427">
        <f>SUM(AX70:CE70)</f>
        <v>100000</v>
      </c>
      <c r="CI70" s="451" t="e">
        <f>CH70+'ONS Sales Forecast'!BO60+#REF!</f>
        <v>#REF!</v>
      </c>
      <c r="CJ70" s="290" t="s">
        <v>922</v>
      </c>
      <c r="CK70" s="290"/>
      <c r="CL70" s="49"/>
      <c r="CM70" s="49"/>
      <c r="CN70" s="49"/>
      <c r="CO70" s="49"/>
      <c r="CP70" s="49"/>
      <c r="CQ70" s="49"/>
      <c r="CR70" s="49"/>
      <c r="CS70" s="49"/>
      <c r="CT70" s="49"/>
      <c r="CU70" s="49"/>
      <c r="CV70" s="49"/>
      <c r="CW70" s="49"/>
      <c r="CX70" s="49"/>
      <c r="CY70" s="373"/>
      <c r="DA70" s="485"/>
      <c r="DB70" s="49"/>
      <c r="DC70" s="49"/>
      <c r="DD70" s="49"/>
      <c r="DE70" s="49"/>
      <c r="DF70" s="49"/>
      <c r="DG70" s="49"/>
      <c r="DH70" s="49"/>
      <c r="DI70" s="49"/>
      <c r="DJ70" s="49"/>
      <c r="DK70" s="49"/>
      <c r="DL70" s="49"/>
      <c r="DM70" s="373"/>
      <c r="DN70" s="375" t="s">
        <v>1120</v>
      </c>
      <c r="DO70" s="290" t="s">
        <v>922</v>
      </c>
      <c r="DP70" s="290"/>
      <c r="DQ70" s="49"/>
      <c r="DR70" s="49"/>
      <c r="DS70" s="49"/>
      <c r="DT70" s="49"/>
      <c r="DU70" s="49"/>
      <c r="DV70" s="49"/>
      <c r="DW70" s="49"/>
      <c r="DX70" s="49"/>
      <c r="DY70" s="49"/>
      <c r="DZ70" s="49"/>
      <c r="EA70" s="49"/>
      <c r="EB70" s="49"/>
      <c r="EC70" s="49"/>
      <c r="ED70" s="49"/>
      <c r="EE70" s="373"/>
      <c r="EG70" s="485"/>
      <c r="EH70" s="49"/>
      <c r="EI70" s="49"/>
      <c r="EJ70" s="49"/>
      <c r="EK70" s="49"/>
      <c r="EL70" s="49"/>
      <c r="EM70" s="49"/>
      <c r="EN70" s="49"/>
      <c r="EO70" s="49"/>
      <c r="EP70" s="49"/>
      <c r="EQ70" s="49"/>
      <c r="ER70" s="49"/>
      <c r="ES70" s="373"/>
    </row>
    <row r="71" spans="1:149" ht="15.75" thickBot="1" x14ac:dyDescent="0.3">
      <c r="A71" s="452"/>
      <c r="B71" s="453"/>
      <c r="C71" s="454" t="s">
        <v>372</v>
      </c>
      <c r="D71" s="455">
        <f t="shared" ref="D71:AR71" si="65">SUM(D4:D50)</f>
        <v>143727.74666666667</v>
      </c>
      <c r="E71" s="455">
        <f t="shared" si="65"/>
        <v>0</v>
      </c>
      <c r="F71" s="455">
        <f t="shared" si="65"/>
        <v>-42807.416666666672</v>
      </c>
      <c r="G71" s="455">
        <f t="shared" si="65"/>
        <v>95592.416666666657</v>
      </c>
      <c r="H71" s="455">
        <f t="shared" si="65"/>
        <v>0</v>
      </c>
      <c r="I71" s="455">
        <f t="shared" si="65"/>
        <v>-50145.75</v>
      </c>
      <c r="J71" s="455">
        <f t="shared" si="65"/>
        <v>137787.41666666666</v>
      </c>
      <c r="K71" s="455">
        <f t="shared" si="65"/>
        <v>0</v>
      </c>
      <c r="L71" s="455">
        <f t="shared" si="65"/>
        <v>-65912.416666666657</v>
      </c>
      <c r="M71" s="455">
        <f t="shared" si="65"/>
        <v>211466.75666666665</v>
      </c>
      <c r="N71" s="455">
        <f t="shared" si="65"/>
        <v>0</v>
      </c>
      <c r="O71" s="455">
        <f t="shared" si="65"/>
        <v>-103307.41666666667</v>
      </c>
      <c r="P71" s="455">
        <f t="shared" si="65"/>
        <v>101312.41666666667</v>
      </c>
      <c r="Q71" s="455">
        <f t="shared" si="65"/>
        <v>0</v>
      </c>
      <c r="R71" s="455">
        <f t="shared" si="65"/>
        <v>-81312.416666666672</v>
      </c>
      <c r="S71" s="455">
        <f t="shared" si="65"/>
        <v>65812.416666666657</v>
      </c>
      <c r="T71" s="455">
        <f t="shared" si="65"/>
        <v>0</v>
      </c>
      <c r="U71" s="455">
        <f t="shared" si="65"/>
        <v>-45812.416666666664</v>
      </c>
      <c r="V71" s="455">
        <f t="shared" si="65"/>
        <v>47807.416666666672</v>
      </c>
      <c r="W71" s="455">
        <f t="shared" si="65"/>
        <v>0</v>
      </c>
      <c r="X71" s="455">
        <f t="shared" si="65"/>
        <v>-27807.416666666668</v>
      </c>
      <c r="Y71" s="455">
        <f t="shared" si="65"/>
        <v>31312.416666666668</v>
      </c>
      <c r="Z71" s="455">
        <f t="shared" si="65"/>
        <v>0</v>
      </c>
      <c r="AA71" s="455">
        <f t="shared" si="65"/>
        <v>-31312.416666666668</v>
      </c>
      <c r="AB71" s="455">
        <f t="shared" si="65"/>
        <v>27812.416666666668</v>
      </c>
      <c r="AC71" s="455">
        <f t="shared" si="65"/>
        <v>0</v>
      </c>
      <c r="AD71" s="455">
        <f t="shared" si="65"/>
        <v>-27812.416666666668</v>
      </c>
      <c r="AE71" s="455">
        <f t="shared" si="65"/>
        <v>60807.416666666664</v>
      </c>
      <c r="AF71" s="455">
        <f t="shared" si="65"/>
        <v>0</v>
      </c>
      <c r="AG71" s="455">
        <f t="shared" si="65"/>
        <v>-60807.416666666664</v>
      </c>
      <c r="AH71" s="455">
        <f t="shared" si="65"/>
        <v>57312.416666666664</v>
      </c>
      <c r="AI71" s="455">
        <f t="shared" si="65"/>
        <v>0</v>
      </c>
      <c r="AJ71" s="455">
        <f t="shared" si="65"/>
        <v>-52312.416666666664</v>
      </c>
      <c r="AK71" s="455">
        <f t="shared" si="65"/>
        <v>61312.416666666664</v>
      </c>
      <c r="AL71" s="455">
        <f t="shared" si="65"/>
        <v>0</v>
      </c>
      <c r="AM71" s="455">
        <f t="shared" si="65"/>
        <v>-56312.416666666664</v>
      </c>
      <c r="AN71" s="455">
        <f t="shared" si="65"/>
        <v>0</v>
      </c>
      <c r="AO71" s="455">
        <f t="shared" si="65"/>
        <v>0</v>
      </c>
      <c r="AP71" s="455">
        <f t="shared" si="65"/>
        <v>0</v>
      </c>
      <c r="AQ71" s="455">
        <f t="shared" si="65"/>
        <v>656329</v>
      </c>
      <c r="AR71" s="455">
        <f t="shared" si="65"/>
        <v>-656329</v>
      </c>
      <c r="AS71" s="456"/>
      <c r="AT71" s="457"/>
      <c r="AU71" s="458"/>
      <c r="AV71" s="459"/>
      <c r="AW71" s="459"/>
      <c r="AX71" s="460">
        <f t="shared" ref="AX71:CH71" si="66">SUM(AX5:AX70)</f>
        <v>50775</v>
      </c>
      <c r="AY71" s="460">
        <f t="shared" si="66"/>
        <v>0</v>
      </c>
      <c r="AZ71" s="460">
        <f t="shared" si="66"/>
        <v>0</v>
      </c>
      <c r="BA71" s="460">
        <f t="shared" si="66"/>
        <v>107625</v>
      </c>
      <c r="BB71" s="460">
        <f t="shared" si="66"/>
        <v>0</v>
      </c>
      <c r="BC71" s="460">
        <f t="shared" si="66"/>
        <v>0</v>
      </c>
      <c r="BD71" s="460">
        <f t="shared" si="66"/>
        <v>52500</v>
      </c>
      <c r="BE71" s="460">
        <f t="shared" si="66"/>
        <v>0</v>
      </c>
      <c r="BF71" s="460">
        <f t="shared" si="66"/>
        <v>0</v>
      </c>
      <c r="BG71" s="460">
        <f t="shared" si="66"/>
        <v>61000</v>
      </c>
      <c r="BH71" s="460">
        <f t="shared" si="66"/>
        <v>0</v>
      </c>
      <c r="BI71" s="460">
        <f t="shared" si="66"/>
        <v>0</v>
      </c>
      <c r="BJ71" s="460">
        <f t="shared" si="66"/>
        <v>49000</v>
      </c>
      <c r="BK71" s="460">
        <f t="shared" si="66"/>
        <v>0</v>
      </c>
      <c r="BL71" s="460">
        <f t="shared" si="66"/>
        <v>0</v>
      </c>
      <c r="BM71" s="460">
        <f t="shared" si="66"/>
        <v>38740</v>
      </c>
      <c r="BN71" s="460">
        <f t="shared" si="66"/>
        <v>0</v>
      </c>
      <c r="BO71" s="460">
        <f t="shared" si="66"/>
        <v>0</v>
      </c>
      <c r="BP71" s="460">
        <f t="shared" si="66"/>
        <v>37500</v>
      </c>
      <c r="BQ71" s="460">
        <f t="shared" si="66"/>
        <v>0</v>
      </c>
      <c r="BR71" s="460">
        <f t="shared" si="66"/>
        <v>0</v>
      </c>
      <c r="BS71" s="460">
        <f t="shared" si="66"/>
        <v>52000</v>
      </c>
      <c r="BT71" s="460">
        <f t="shared" si="66"/>
        <v>0</v>
      </c>
      <c r="BU71" s="460">
        <f t="shared" si="66"/>
        <v>0</v>
      </c>
      <c r="BV71" s="460">
        <f t="shared" si="66"/>
        <v>59000</v>
      </c>
      <c r="BW71" s="460">
        <f t="shared" si="66"/>
        <v>0</v>
      </c>
      <c r="BX71" s="460">
        <f t="shared" si="66"/>
        <v>0</v>
      </c>
      <c r="BY71" s="460">
        <f t="shared" si="66"/>
        <v>67000</v>
      </c>
      <c r="BZ71" s="460">
        <f t="shared" si="66"/>
        <v>0</v>
      </c>
      <c r="CA71" s="460">
        <f t="shared" si="66"/>
        <v>0</v>
      </c>
      <c r="CB71" s="460">
        <f t="shared" si="66"/>
        <v>62000</v>
      </c>
      <c r="CC71" s="460">
        <f t="shared" si="66"/>
        <v>0</v>
      </c>
      <c r="CD71" s="460">
        <f t="shared" si="66"/>
        <v>0</v>
      </c>
      <c r="CE71" s="460">
        <f t="shared" si="66"/>
        <v>54000</v>
      </c>
      <c r="CF71" s="460">
        <f t="shared" si="66"/>
        <v>0</v>
      </c>
      <c r="CG71" s="460">
        <f t="shared" si="66"/>
        <v>0</v>
      </c>
      <c r="CH71" s="460">
        <f t="shared" si="66"/>
        <v>691140</v>
      </c>
      <c r="CJ71" s="291" t="s">
        <v>30</v>
      </c>
      <c r="CK71" s="291"/>
      <c r="CL71" s="49"/>
      <c r="CM71" s="494">
        <f>SUM(CONS!G5:G6)</f>
        <v>-7209.6149543384618</v>
      </c>
      <c r="CN71" s="494">
        <f>SUM(CONS!H5:H6)</f>
        <v>-6457.3073069292304</v>
      </c>
      <c r="CO71" s="494">
        <f>SUM(CONS!I5:I6)</f>
        <v>-8018.1534222375394</v>
      </c>
      <c r="CP71" s="494">
        <f>SUM(CONS!J5:J6)</f>
        <v>-8018.1534222375394</v>
      </c>
      <c r="CQ71" s="494">
        <f>SUM(CONS!K5:K6)</f>
        <v>-7289.2303838523085</v>
      </c>
      <c r="CR71" s="494">
        <f>SUM(CONS!L5:L6)</f>
        <v>-7653.6919030449244</v>
      </c>
      <c r="CS71" s="494">
        <f>SUM(CONS!M5:M6)</f>
        <v>-7289.2303838523085</v>
      </c>
      <c r="CT71" s="494">
        <f>SUM(CONS!N5:N6)</f>
        <v>-7289.2303838523085</v>
      </c>
      <c r="CU71" s="494">
        <f>SUM(CONS!O5:O6)</f>
        <v>-8018.1534222375394</v>
      </c>
      <c r="CV71" s="494">
        <f>SUM(CONS!P5:P6)</f>
        <v>-7289.2303838523085</v>
      </c>
      <c r="CW71" s="494">
        <f>SUM(CONS!Q5:Q6)</f>
        <v>-7653.6919030449244</v>
      </c>
      <c r="CX71" s="494">
        <f>SUM(CONS!R5:R6)</f>
        <v>-7653.6919030449244</v>
      </c>
      <c r="CY71" s="374">
        <f>SUM(CM71:CX71)</f>
        <v>-89839.379772524306</v>
      </c>
      <c r="DA71" s="507">
        <v>-5930.0300000000007</v>
      </c>
      <c r="DB71" s="507">
        <v>-2977.1899999999996</v>
      </c>
      <c r="DC71" s="507">
        <v>-1893.23</v>
      </c>
      <c r="DD71" s="507">
        <v>-3555.5800000000004</v>
      </c>
      <c r="DE71" s="507">
        <v>-1209.8</v>
      </c>
      <c r="DF71" s="507">
        <v>-300.42000000000053</v>
      </c>
      <c r="DG71" s="507" t="e">
        <f>-SUM(#REF!)</f>
        <v>#REF!</v>
      </c>
      <c r="DH71" s="507">
        <v>-16328.140000000001</v>
      </c>
      <c r="DI71" s="507">
        <v>-18474.89</v>
      </c>
      <c r="DJ71" s="507">
        <v>-20203.77</v>
      </c>
      <c r="DK71" s="507" t="e">
        <f>-SUM(#REF!)</f>
        <v>#REF!</v>
      </c>
      <c r="DL71" s="507" t="e">
        <f>-SUM(#REF!)</f>
        <v>#REF!</v>
      </c>
      <c r="DM71" s="374" t="e">
        <f>SUM(DA71:DL71)</f>
        <v>#REF!</v>
      </c>
      <c r="DO71" s="291" t="s">
        <v>30</v>
      </c>
      <c r="DP71" s="291"/>
      <c r="DQ71" s="49"/>
      <c r="DR71" s="494">
        <f>SUM(CONS!G5:G6)</f>
        <v>-7209.6149543384618</v>
      </c>
      <c r="DS71" s="494">
        <f>SUM(CONS!H5:H6)</f>
        <v>-6457.3073069292304</v>
      </c>
      <c r="DT71" s="494">
        <f>SUM(CONS!I5:I6)</f>
        <v>-8018.1534222375394</v>
      </c>
      <c r="DU71" s="494">
        <f>SUM(CONS!J5:J6)</f>
        <v>-8018.1534222375394</v>
      </c>
      <c r="DV71" s="494">
        <f>SUM(CONS!K5:K6)</f>
        <v>-7289.2303838523085</v>
      </c>
      <c r="DW71" s="494">
        <f>SUM(CONS!L5:L6)</f>
        <v>-7653.6919030449244</v>
      </c>
      <c r="DX71" s="494">
        <f>SUM(CONS!M5:M6)</f>
        <v>-7289.2303838523085</v>
      </c>
      <c r="DY71" s="494">
        <f>SUM(CONS!N5:N6)</f>
        <v>-7289.2303838523085</v>
      </c>
      <c r="DZ71" s="494">
        <f>SUM(CONS!O5:O6)</f>
        <v>-8018.1534222375394</v>
      </c>
      <c r="EA71" s="494">
        <f>SUM(CONS!P5:P6)</f>
        <v>-7289.2303838523085</v>
      </c>
      <c r="EB71" s="494">
        <f>SUM(CONS!Q5:Q6)</f>
        <v>-7653.6919030449244</v>
      </c>
      <c r="EC71" s="494">
        <f>SUM(CONS!R5:R6)</f>
        <v>-7653.6919030449244</v>
      </c>
      <c r="ED71" s="494"/>
      <c r="EE71" s="374">
        <f>SUM(DR71:EC71)</f>
        <v>-89839.379772524306</v>
      </c>
      <c r="EG71" s="507">
        <f>-49821.79-3620</f>
        <v>-53441.79</v>
      </c>
      <c r="EH71" s="507">
        <f t="shared" ref="EH71:ER72" si="67">DS71</f>
        <v>-6457.3073069292304</v>
      </c>
      <c r="EI71" s="507">
        <f t="shared" si="67"/>
        <v>-8018.1534222375394</v>
      </c>
      <c r="EJ71" s="507">
        <f t="shared" si="67"/>
        <v>-8018.1534222375394</v>
      </c>
      <c r="EK71" s="507">
        <f t="shared" si="67"/>
        <v>-7289.2303838523085</v>
      </c>
      <c r="EL71" s="507">
        <f t="shared" si="67"/>
        <v>-7653.6919030449244</v>
      </c>
      <c r="EM71" s="507">
        <f t="shared" si="67"/>
        <v>-7289.2303838523085</v>
      </c>
      <c r="EN71" s="507">
        <f t="shared" si="67"/>
        <v>-7289.2303838523085</v>
      </c>
      <c r="EO71" s="507">
        <f t="shared" si="67"/>
        <v>-8018.1534222375394</v>
      </c>
      <c r="EP71" s="507">
        <f t="shared" si="67"/>
        <v>-7289.2303838523085</v>
      </c>
      <c r="EQ71" s="507">
        <f t="shared" si="67"/>
        <v>-7653.6919030449244</v>
      </c>
      <c r="ER71" s="507">
        <f t="shared" si="67"/>
        <v>-7653.6919030449244</v>
      </c>
      <c r="ES71" s="374">
        <f>SUM(EG71:ER71)</f>
        <v>-136071.55481818583</v>
      </c>
    </row>
    <row r="72" spans="1:149" ht="12.75" customHeight="1" x14ac:dyDescent="0.25">
      <c r="CH72" s="383">
        <f>CH71-SUM(CH51:CH70)</f>
        <v>469250</v>
      </c>
      <c r="CJ72" s="291" t="s">
        <v>949</v>
      </c>
      <c r="CK72" s="291"/>
      <c r="CL72" s="49"/>
      <c r="CM72" s="494">
        <f>CONS!G7</f>
        <v>-148708.24583333335</v>
      </c>
      <c r="CN72" s="494">
        <f>CONS!H7</f>
        <v>-232822.69583333333</v>
      </c>
      <c r="CO72" s="494">
        <f>CONS!I7</f>
        <v>-41160.945833333331</v>
      </c>
      <c r="CP72" s="494">
        <f>CONS!J7</f>
        <v>-50030.945833333339</v>
      </c>
      <c r="CQ72" s="494">
        <f>CONS!K7</f>
        <v>-18168.695833333335</v>
      </c>
      <c r="CR72" s="494">
        <f>CONS!L7</f>
        <v>-15668.695833333335</v>
      </c>
      <c r="CS72" s="494">
        <f>CONS!M7</f>
        <v>-13670.325833333334</v>
      </c>
      <c r="CT72" s="494">
        <f>CONS!N7</f>
        <v>-16170.325833333334</v>
      </c>
      <c r="CU72" s="494">
        <f>CONS!O7</f>
        <v>-16170.325833333334</v>
      </c>
      <c r="CV72" s="494">
        <f>CONS!P7</f>
        <v>-16170.325833333334</v>
      </c>
      <c r="CW72" s="494">
        <f>CONS!Q7</f>
        <v>-4017.5358333333334</v>
      </c>
      <c r="CX72" s="494">
        <f>CONS!R7</f>
        <v>-4017.5358333333334</v>
      </c>
      <c r="CY72" s="374">
        <f>SUM(CM72:CX72)</f>
        <v>-576776.60000000009</v>
      </c>
      <c r="DA72" s="507">
        <v>-19941.720000000023</v>
      </c>
      <c r="DB72" s="507">
        <v>-18095.04</v>
      </c>
      <c r="DC72" s="507">
        <v>-19339.18</v>
      </c>
      <c r="DD72" s="507">
        <v>-28748.74</v>
      </c>
      <c r="DE72" s="507">
        <v>-19260.560000000009</v>
      </c>
      <c r="DF72" s="507">
        <v>-17489.379999999997</v>
      </c>
      <c r="DG72" s="507">
        <f>-DG67*0.3</f>
        <v>-17156.232</v>
      </c>
      <c r="DH72" s="507">
        <v>-42925.58</v>
      </c>
      <c r="DI72" s="507">
        <v>-33239.049999999996</v>
      </c>
      <c r="DJ72" s="507">
        <v>-53513.240000000005</v>
      </c>
      <c r="DK72" s="507">
        <f t="shared" ref="DK72" si="68">-DK67*0.3</f>
        <v>-20505.899999999998</v>
      </c>
      <c r="DL72" s="507">
        <f>-DL67*0.3</f>
        <v>-336855.89999999997</v>
      </c>
      <c r="DM72" s="374">
        <f t="shared" ref="DM72:DM73" si="69">SUM(DA72:DL72)</f>
        <v>-627070.522</v>
      </c>
      <c r="DO72" s="291" t="s">
        <v>949</v>
      </c>
      <c r="DP72" s="291"/>
      <c r="DQ72" s="49"/>
      <c r="DR72" s="494">
        <f>CONS!G7</f>
        <v>-148708.24583333335</v>
      </c>
      <c r="DS72" s="494">
        <f>CONS!H7</f>
        <v>-232822.69583333333</v>
      </c>
      <c r="DT72" s="494">
        <f>CONS!I7</f>
        <v>-41160.945833333331</v>
      </c>
      <c r="DU72" s="494">
        <f>CONS!J7</f>
        <v>-50030.945833333339</v>
      </c>
      <c r="DV72" s="494">
        <f>CONS!K7</f>
        <v>-18168.695833333335</v>
      </c>
      <c r="DW72" s="494">
        <f>CONS!L7</f>
        <v>-15668.695833333335</v>
      </c>
      <c r="DX72" s="494">
        <f>CONS!M7</f>
        <v>-13670.325833333334</v>
      </c>
      <c r="DY72" s="494">
        <f>CONS!N7</f>
        <v>-16170.325833333334</v>
      </c>
      <c r="DZ72" s="494">
        <f>CONS!O7</f>
        <v>-16170.325833333334</v>
      </c>
      <c r="EA72" s="494">
        <f>CONS!P7</f>
        <v>-16170.325833333334</v>
      </c>
      <c r="EB72" s="494">
        <f>CONS!Q7</f>
        <v>-4017.5358333333334</v>
      </c>
      <c r="EC72" s="494">
        <f>CONS!R7</f>
        <v>-4017.5358333333334</v>
      </c>
      <c r="ED72" s="494"/>
      <c r="EE72" s="374">
        <f>SUM(DR72:EC72)</f>
        <v>-576776.60000000009</v>
      </c>
      <c r="EG72" s="507">
        <v>-52641.209999999992</v>
      </c>
      <c r="EH72" s="507">
        <f t="shared" si="67"/>
        <v>-232822.69583333333</v>
      </c>
      <c r="EI72" s="507">
        <f t="shared" si="67"/>
        <v>-41160.945833333331</v>
      </c>
      <c r="EJ72" s="507">
        <f t="shared" si="67"/>
        <v>-50030.945833333339</v>
      </c>
      <c r="EK72" s="507">
        <f t="shared" si="67"/>
        <v>-18168.695833333335</v>
      </c>
      <c r="EL72" s="507">
        <f t="shared" si="67"/>
        <v>-15668.695833333335</v>
      </c>
      <c r="EM72" s="507">
        <f t="shared" si="67"/>
        <v>-13670.325833333334</v>
      </c>
      <c r="EN72" s="507">
        <f t="shared" si="67"/>
        <v>-16170.325833333334</v>
      </c>
      <c r="EO72" s="507">
        <f t="shared" si="67"/>
        <v>-16170.325833333334</v>
      </c>
      <c r="EP72" s="507">
        <f t="shared" si="67"/>
        <v>-16170.325833333334</v>
      </c>
      <c r="EQ72" s="507">
        <f t="shared" si="67"/>
        <v>-4017.5358333333334</v>
      </c>
      <c r="ER72" s="507">
        <f t="shared" si="67"/>
        <v>-4017.5358333333334</v>
      </c>
      <c r="ES72" s="374">
        <f t="shared" ref="ES72:ES73" si="70">SUM(EG72:ER72)</f>
        <v>-480709.56416666665</v>
      </c>
    </row>
    <row r="73" spans="1:149" ht="15" x14ac:dyDescent="0.25">
      <c r="H73" s="383"/>
      <c r="K73" s="383"/>
      <c r="N73" s="383"/>
      <c r="Q73" s="383"/>
      <c r="T73" s="383"/>
      <c r="CJ73" s="291" t="s">
        <v>950</v>
      </c>
      <c r="CK73" s="291"/>
      <c r="CL73" s="49"/>
      <c r="CM73" s="494">
        <f>CONS!G9</f>
        <v>-689.55155999999999</v>
      </c>
      <c r="CN73" s="494">
        <f>CONS!H9</f>
        <v>-39.670520000000003</v>
      </c>
      <c r="CO73" s="494">
        <f>CONS!I9</f>
        <v>-663.5122598477227</v>
      </c>
      <c r="CP73" s="494">
        <f>CONS!J9</f>
        <v>0</v>
      </c>
      <c r="CQ73" s="494">
        <f>CONS!K9</f>
        <v>-1648.9256163083166</v>
      </c>
      <c r="CR73" s="494">
        <f>CONS!L9</f>
        <v>-353.99180000000001</v>
      </c>
      <c r="CS73" s="494">
        <f>CONS!M9</f>
        <v>-16.448</v>
      </c>
      <c r="CT73" s="494">
        <f>CONS!N9</f>
        <v>-333.75047999999998</v>
      </c>
      <c r="CU73" s="494">
        <f>CONS!O9</f>
        <v>-586.92951968660975</v>
      </c>
      <c r="CV73" s="494">
        <f>CONS!P9</f>
        <v>-576.26147135227086</v>
      </c>
      <c r="CW73" s="494">
        <f>CONS!Q9</f>
        <v>-558.41988000000003</v>
      </c>
      <c r="CX73" s="494">
        <f>CONS!R9</f>
        <v>-5960.5701599999993</v>
      </c>
      <c r="CY73" s="374">
        <f>SUM(CM73:CX73)</f>
        <v>-11428.03126719492</v>
      </c>
      <c r="DA73" s="507">
        <v>-40</v>
      </c>
      <c r="DB73" s="507">
        <v>-65.5</v>
      </c>
      <c r="DC73" s="507">
        <v>-1070.3899999999999</v>
      </c>
      <c r="DD73" s="507">
        <v>-557.48</v>
      </c>
      <c r="DE73" s="507">
        <v>-689.39</v>
      </c>
      <c r="DF73" s="507">
        <v>-29.21</v>
      </c>
      <c r="DG73" s="507">
        <f>CS73</f>
        <v>-16.448</v>
      </c>
      <c r="DH73" s="507">
        <v>-27.02</v>
      </c>
      <c r="DI73" s="507">
        <v>0</v>
      </c>
      <c r="DJ73" s="507">
        <v>0</v>
      </c>
      <c r="DK73" s="507">
        <f t="shared" ref="DK73:DL73" si="71">CW73</f>
        <v>-558.41988000000003</v>
      </c>
      <c r="DL73" s="507">
        <f t="shared" si="71"/>
        <v>-5960.5701599999993</v>
      </c>
      <c r="DM73" s="374">
        <f t="shared" si="69"/>
        <v>-9014.4280399999989</v>
      </c>
      <c r="DO73" s="291" t="s">
        <v>950</v>
      </c>
      <c r="DP73" s="291"/>
      <c r="DQ73" s="49"/>
      <c r="DR73" s="494">
        <f>'[2]Average of FYs'!R$24+'[2]Average of FYs'!R$30</f>
        <v>-645.20744999999999</v>
      </c>
      <c r="DS73" s="494">
        <f>'[2]Average of FYs'!S$24+'[2]Average of FYs'!S$30</f>
        <v>-58.030200000000008</v>
      </c>
      <c r="DT73" s="494">
        <f>'[2]Average of FYs'!T$24+'[2]Average of FYs'!T$30</f>
        <v>-595.86529999999993</v>
      </c>
      <c r="DU73" s="494">
        <f>'[2]Average of FYs'!U$24+'[2]Average of FYs'!U$30</f>
        <v>-287.10220000000004</v>
      </c>
      <c r="DV73" s="494">
        <f>'[2]Average of FYs'!V$24+'[2]Average of FYs'!V$30</f>
        <v>-1745.5616</v>
      </c>
      <c r="DW73" s="494">
        <f>'[2]Average of FYs'!W$24+'[2]Average of FYs'!W$30</f>
        <v>-87.210099999999997</v>
      </c>
      <c r="DX73" s="494">
        <f>'[2]Average of FYs'!X$24+'[2]Average of FYs'!X$30</f>
        <v>-429.57695000000001</v>
      </c>
      <c r="DY73" s="494">
        <f>'[2]Average of FYs'!Y$24+'[2]Average of FYs'!Y$30</f>
        <v>-70.318100000000001</v>
      </c>
      <c r="DZ73" s="494">
        <f>'[2]Average of FYs'!Z$24+'[2]Average of FYs'!Z$30</f>
        <v>-1100.7609999999997</v>
      </c>
      <c r="EA73" s="494">
        <f>'[2]Average of FYs'!AA$24+'[2]Average of FYs'!AA$30</f>
        <v>-128.26075</v>
      </c>
      <c r="EB73" s="494">
        <f>'[2]Average of FYs'!AB$24+'[2]Average of FYs'!AB$30</f>
        <v>-1101.17815</v>
      </c>
      <c r="EC73" s="494">
        <f>'[2]Average of FYs'!AC$24+'[2]Average of FYs'!AC$30</f>
        <v>-3019.4964999999997</v>
      </c>
      <c r="ED73" s="494"/>
      <c r="EE73" s="374">
        <f>SUM(DR73:EC73)</f>
        <v>-9268.568299999999</v>
      </c>
      <c r="EG73" s="507">
        <v>-280.93</v>
      </c>
      <c r="EH73" s="507">
        <f t="shared" ref="EH73:ER73" si="72">DS73</f>
        <v>-58.030200000000008</v>
      </c>
      <c r="EI73" s="507">
        <f t="shared" si="72"/>
        <v>-595.86529999999993</v>
      </c>
      <c r="EJ73" s="507">
        <f t="shared" si="72"/>
        <v>-287.10220000000004</v>
      </c>
      <c r="EK73" s="507">
        <f t="shared" si="72"/>
        <v>-1745.5616</v>
      </c>
      <c r="EL73" s="507">
        <f t="shared" si="72"/>
        <v>-87.210099999999997</v>
      </c>
      <c r="EM73" s="507">
        <f t="shared" si="72"/>
        <v>-429.57695000000001</v>
      </c>
      <c r="EN73" s="507">
        <f t="shared" si="72"/>
        <v>-70.318100000000001</v>
      </c>
      <c r="EO73" s="507">
        <f t="shared" si="72"/>
        <v>-1100.7609999999997</v>
      </c>
      <c r="EP73" s="507">
        <f t="shared" si="72"/>
        <v>-128.26075</v>
      </c>
      <c r="EQ73" s="507">
        <f t="shared" si="72"/>
        <v>-1101.17815</v>
      </c>
      <c r="ER73" s="507">
        <f t="shared" si="72"/>
        <v>-3019.4964999999997</v>
      </c>
      <c r="ES73" s="374">
        <f t="shared" si="70"/>
        <v>-8904.2908499999994</v>
      </c>
    </row>
    <row r="74" spans="1:149" ht="15" x14ac:dyDescent="0.25">
      <c r="K74" s="383"/>
      <c r="N74" s="383"/>
      <c r="Q74" s="383"/>
      <c r="T74" s="383"/>
      <c r="AH74" s="375" t="s">
        <v>373</v>
      </c>
      <c r="AK74" s="383">
        <f>AO71</f>
        <v>0</v>
      </c>
      <c r="AL74" s="383"/>
      <c r="AM74" s="383"/>
      <c r="CJ74" s="292"/>
      <c r="CK74" s="292"/>
      <c r="CL74" s="288"/>
      <c r="CM74" s="288"/>
      <c r="CN74" s="288"/>
      <c r="CO74" s="288"/>
      <c r="CP74" s="288"/>
      <c r="CQ74" s="288"/>
      <c r="CR74" s="288"/>
      <c r="CS74" s="288"/>
      <c r="CT74" s="288"/>
      <c r="CU74" s="288"/>
      <c r="CV74" s="288"/>
      <c r="CW74" s="288"/>
      <c r="CX74" s="288"/>
      <c r="CY74" s="374">
        <f t="shared" ref="CY74" si="73">SUM(CM74:CX74)</f>
        <v>0</v>
      </c>
      <c r="DA74" s="486"/>
      <c r="DB74" s="288"/>
      <c r="DC74" s="288"/>
      <c r="DD74" s="288"/>
      <c r="DE74" s="288"/>
      <c r="DF74" s="288"/>
      <c r="DG74" s="288"/>
      <c r="DH74" s="288"/>
      <c r="DI74" s="288"/>
      <c r="DJ74" s="288"/>
      <c r="DK74" s="288"/>
      <c r="DL74" s="288"/>
      <c r="DM74" s="374"/>
      <c r="DO74" s="292"/>
      <c r="DP74" s="292"/>
      <c r="DQ74" s="288"/>
      <c r="DR74" s="288"/>
      <c r="DS74" s="288"/>
      <c r="DT74" s="288"/>
      <c r="DU74" s="288"/>
      <c r="DV74" s="288"/>
      <c r="DW74" s="288"/>
      <c r="DX74" s="288"/>
      <c r="DY74" s="288"/>
      <c r="DZ74" s="288"/>
      <c r="EA74" s="288"/>
      <c r="EB74" s="288"/>
      <c r="EC74" s="288"/>
      <c r="ED74" s="49"/>
      <c r="EE74" s="374">
        <f t="shared" ref="EE74" si="74">SUM(DR74:EC74)</f>
        <v>0</v>
      </c>
      <c r="EG74" s="486"/>
      <c r="EH74" s="288"/>
      <c r="EI74" s="288"/>
      <c r="EJ74" s="288"/>
      <c r="EK74" s="288"/>
      <c r="EL74" s="288"/>
      <c r="EM74" s="288"/>
      <c r="EN74" s="288"/>
      <c r="EO74" s="288"/>
      <c r="EP74" s="288"/>
      <c r="EQ74" s="288"/>
      <c r="ER74" s="288"/>
      <c r="ES74" s="374"/>
    </row>
    <row r="75" spans="1:149" x14ac:dyDescent="0.2">
      <c r="L75" s="383"/>
      <c r="O75" s="383"/>
      <c r="R75" s="383"/>
      <c r="U75" s="383"/>
      <c r="AK75" s="384">
        <f>+AK74/AQ71</f>
        <v>0</v>
      </c>
      <c r="AL75" s="384"/>
      <c r="AM75" s="384"/>
      <c r="CJ75" s="286"/>
      <c r="CK75" s="286"/>
      <c r="CL75" s="286" t="s">
        <v>891</v>
      </c>
      <c r="CM75" s="157">
        <f>SUM(CM70:CM74)</f>
        <v>-156607.41234767181</v>
      </c>
      <c r="CN75" s="157">
        <f t="shared" ref="CN75:CX75" si="75">SUM(CN70:CN74)</f>
        <v>-239319.67366026258</v>
      </c>
      <c r="CO75" s="157">
        <f t="shared" si="75"/>
        <v>-49842.611515418597</v>
      </c>
      <c r="CP75" s="157">
        <f t="shared" si="75"/>
        <v>-58049.09925557088</v>
      </c>
      <c r="CQ75" s="157">
        <f t="shared" si="75"/>
        <v>-27106.851833493958</v>
      </c>
      <c r="CR75" s="157">
        <f t="shared" si="75"/>
        <v>-23676.379536378259</v>
      </c>
      <c r="CS75" s="157">
        <f t="shared" si="75"/>
        <v>-20976.004217185644</v>
      </c>
      <c r="CT75" s="157">
        <f t="shared" si="75"/>
        <v>-23793.306697185642</v>
      </c>
      <c r="CU75" s="157">
        <f t="shared" si="75"/>
        <v>-24775.408775257485</v>
      </c>
      <c r="CV75" s="157">
        <f t="shared" si="75"/>
        <v>-24035.817688537914</v>
      </c>
      <c r="CW75" s="157">
        <f t="shared" si="75"/>
        <v>-12229.647616378257</v>
      </c>
      <c r="CX75" s="157">
        <f t="shared" si="75"/>
        <v>-17631.797896378259</v>
      </c>
      <c r="CY75" s="351">
        <f>SUM(CY70:CY74)</f>
        <v>-678044.01103971933</v>
      </c>
      <c r="DA75" s="157">
        <f>SUM(DA70:DA74)</f>
        <v>-25911.750000000022</v>
      </c>
      <c r="DB75" s="157">
        <f t="shared" ref="DB75:DM75" si="76">SUM(DB70:DB74)</f>
        <v>-21137.73</v>
      </c>
      <c r="DC75" s="157">
        <f t="shared" si="76"/>
        <v>-22302.799999999999</v>
      </c>
      <c r="DD75" s="157">
        <f t="shared" si="76"/>
        <v>-32861.800000000003</v>
      </c>
      <c r="DE75" s="157">
        <f t="shared" si="76"/>
        <v>-21159.750000000007</v>
      </c>
      <c r="DF75" s="157">
        <f t="shared" si="76"/>
        <v>-17819.009999999998</v>
      </c>
      <c r="DG75" s="157" t="e">
        <f t="shared" si="76"/>
        <v>#REF!</v>
      </c>
      <c r="DH75" s="157">
        <f t="shared" si="76"/>
        <v>-59280.74</v>
      </c>
      <c r="DI75" s="157">
        <f t="shared" si="76"/>
        <v>-51713.939999999995</v>
      </c>
      <c r="DJ75" s="157">
        <f t="shared" si="76"/>
        <v>-73717.010000000009</v>
      </c>
      <c r="DK75" s="157" t="e">
        <f t="shared" si="76"/>
        <v>#REF!</v>
      </c>
      <c r="DL75" s="157" t="e">
        <f t="shared" si="76"/>
        <v>#REF!</v>
      </c>
      <c r="DM75" s="351" t="e">
        <f t="shared" si="76"/>
        <v>#REF!</v>
      </c>
      <c r="DO75" s="286"/>
      <c r="DP75" s="286"/>
      <c r="DQ75" s="286" t="s">
        <v>891</v>
      </c>
      <c r="DR75" s="157">
        <f>SUM(DR70:DR74)</f>
        <v>-156563.0682376718</v>
      </c>
      <c r="DS75" s="157">
        <f t="shared" ref="DS75:EC75" si="77">SUM(DS70:DS74)</f>
        <v>-239338.03334026257</v>
      </c>
      <c r="DT75" s="157">
        <f t="shared" si="77"/>
        <v>-49774.96455557087</v>
      </c>
      <c r="DU75" s="157">
        <f t="shared" si="77"/>
        <v>-58336.201455570881</v>
      </c>
      <c r="DV75" s="157">
        <f t="shared" si="77"/>
        <v>-27203.487817185644</v>
      </c>
      <c r="DW75" s="157">
        <f t="shared" si="77"/>
        <v>-23409.59783637826</v>
      </c>
      <c r="DX75" s="157">
        <f t="shared" si="77"/>
        <v>-21389.133167185642</v>
      </c>
      <c r="DY75" s="157">
        <f t="shared" si="77"/>
        <v>-23529.874317185644</v>
      </c>
      <c r="DZ75" s="157">
        <f t="shared" si="77"/>
        <v>-25289.240255570872</v>
      </c>
      <c r="EA75" s="157">
        <f t="shared" si="77"/>
        <v>-23587.816967185645</v>
      </c>
      <c r="EB75" s="157">
        <f t="shared" si="77"/>
        <v>-12772.405886378257</v>
      </c>
      <c r="EC75" s="157">
        <f t="shared" si="77"/>
        <v>-14690.724236378257</v>
      </c>
      <c r="ED75" s="157"/>
      <c r="EE75" s="351">
        <f>SUM(EE70:EE74)</f>
        <v>-675884.54807252449</v>
      </c>
      <c r="EG75" s="157">
        <f>SUM(EG70:EG74)</f>
        <v>-106363.93</v>
      </c>
      <c r="EH75" s="157">
        <f t="shared" ref="EH75:ES75" si="78">SUM(EH70:EH74)</f>
        <v>-239338.03334026257</v>
      </c>
      <c r="EI75" s="157">
        <f t="shared" si="78"/>
        <v>-49774.96455557087</v>
      </c>
      <c r="EJ75" s="157">
        <f t="shared" si="78"/>
        <v>-58336.201455570881</v>
      </c>
      <c r="EK75" s="157">
        <f t="shared" si="78"/>
        <v>-27203.487817185644</v>
      </c>
      <c r="EL75" s="157">
        <f t="shared" si="78"/>
        <v>-23409.59783637826</v>
      </c>
      <c r="EM75" s="157">
        <f t="shared" si="78"/>
        <v>-21389.133167185642</v>
      </c>
      <c r="EN75" s="157">
        <f t="shared" si="78"/>
        <v>-23529.874317185644</v>
      </c>
      <c r="EO75" s="157">
        <f t="shared" si="78"/>
        <v>-25289.240255570872</v>
      </c>
      <c r="EP75" s="157">
        <f t="shared" si="78"/>
        <v>-23587.816967185645</v>
      </c>
      <c r="EQ75" s="157">
        <f t="shared" si="78"/>
        <v>-12772.405886378257</v>
      </c>
      <c r="ER75" s="157">
        <f t="shared" si="78"/>
        <v>-14690.724236378257</v>
      </c>
      <c r="ES75" s="351">
        <f t="shared" si="78"/>
        <v>-625685.40983485244</v>
      </c>
    </row>
    <row r="76" spans="1:149" ht="12.75" customHeight="1" x14ac:dyDescent="0.2">
      <c r="CJ76" s="44"/>
      <c r="CL76" s="44"/>
      <c r="CM76" s="44"/>
      <c r="CN76" s="44"/>
      <c r="CO76" s="44"/>
      <c r="CP76" s="44"/>
      <c r="CQ76" s="44"/>
      <c r="CR76" s="44"/>
      <c r="CS76" s="44"/>
      <c r="CT76" s="44"/>
      <c r="CU76" s="44"/>
      <c r="CV76" s="44"/>
      <c r="CW76" s="44"/>
      <c r="CX76" s="44"/>
      <c r="CY76" s="44"/>
      <c r="DO76" s="44"/>
      <c r="DQ76" s="44"/>
      <c r="DR76" s="44"/>
      <c r="DS76" s="44"/>
      <c r="DT76" s="44"/>
      <c r="DU76" s="44"/>
      <c r="DV76" s="44"/>
      <c r="DW76" s="44"/>
      <c r="DX76" s="44"/>
      <c r="DY76" s="44"/>
      <c r="DZ76" s="44"/>
      <c r="EA76" s="44"/>
      <c r="EB76" s="44"/>
      <c r="EC76" s="44"/>
      <c r="ED76" s="44"/>
      <c r="EE76" s="44"/>
    </row>
    <row r="77" spans="1:149" x14ac:dyDescent="0.2">
      <c r="AC77" s="385"/>
      <c r="AF77" s="385"/>
      <c r="AI77" s="385"/>
      <c r="AN77" s="383"/>
      <c r="AO77" s="383"/>
      <c r="AV77" s="386" t="s">
        <v>374</v>
      </c>
      <c r="CJ77" s="44"/>
      <c r="CL77" s="286" t="s">
        <v>524</v>
      </c>
      <c r="CM77" s="463">
        <f>CM67+CM75</f>
        <v>-87080.412347671809</v>
      </c>
      <c r="CN77" s="157">
        <f t="shared" ref="CN77:CX77" si="79">CN67+CN75</f>
        <v>-158792.67366026258</v>
      </c>
      <c r="CO77" s="157">
        <f t="shared" si="79"/>
        <v>2184.3884845814027</v>
      </c>
      <c r="CP77" s="157">
        <f t="shared" si="79"/>
        <v>20977.90074442912</v>
      </c>
      <c r="CQ77" s="157">
        <f t="shared" si="79"/>
        <v>41920.148166506042</v>
      </c>
      <c r="CR77" s="157">
        <f t="shared" si="79"/>
        <v>14850.620463621741</v>
      </c>
      <c r="CS77" s="157">
        <f t="shared" si="79"/>
        <v>16050.995782814356</v>
      </c>
      <c r="CT77" s="157">
        <f t="shared" si="79"/>
        <v>56233.693302814354</v>
      </c>
      <c r="CU77" s="157">
        <f t="shared" si="79"/>
        <v>47251.591224742515</v>
      </c>
      <c r="CV77" s="157">
        <f t="shared" si="79"/>
        <v>37491.182311462086</v>
      </c>
      <c r="CW77" s="157">
        <f t="shared" si="79"/>
        <v>39270.352383621743</v>
      </c>
      <c r="CX77" s="157">
        <f t="shared" si="79"/>
        <v>47868.202103621741</v>
      </c>
      <c r="CY77" s="351">
        <f>CY67+CY75</f>
        <v>78225.988960280665</v>
      </c>
      <c r="DA77" s="495">
        <f>DA67+DA75</f>
        <v>14975.379999999976</v>
      </c>
      <c r="DB77" s="495">
        <f t="shared" ref="DB77:DM77" si="80">DB67+DB75</f>
        <v>4727.43</v>
      </c>
      <c r="DC77" s="495">
        <f t="shared" si="80"/>
        <v>7447.9199999999983</v>
      </c>
      <c r="DD77" s="495">
        <f t="shared" si="80"/>
        <v>3840.8199999999924</v>
      </c>
      <c r="DE77" s="495">
        <f t="shared" si="80"/>
        <v>2963.8999999999942</v>
      </c>
      <c r="DF77" s="495">
        <f>DF67+DF75</f>
        <v>4997.1000000000022</v>
      </c>
      <c r="DG77" s="495" t="e">
        <f t="shared" si="80"/>
        <v>#REF!</v>
      </c>
      <c r="DH77" s="495">
        <f t="shared" si="80"/>
        <v>20701.57</v>
      </c>
      <c r="DI77" s="495">
        <f t="shared" si="80"/>
        <v>1854.6900000000096</v>
      </c>
      <c r="DJ77" s="495">
        <f t="shared" si="80"/>
        <v>34871.729999999996</v>
      </c>
      <c r="DK77" s="495" t="e">
        <f t="shared" si="80"/>
        <v>#REF!</v>
      </c>
      <c r="DL77" s="495" t="e">
        <f>DL67+DL75</f>
        <v>#REF!</v>
      </c>
      <c r="DM77" s="497" t="e">
        <f t="shared" si="80"/>
        <v>#REF!</v>
      </c>
      <c r="DO77" s="44"/>
      <c r="DQ77" s="286" t="s">
        <v>524</v>
      </c>
      <c r="DR77" s="463">
        <f>DR67+DR75</f>
        <v>140853.42342899489</v>
      </c>
      <c r="DS77" s="157">
        <f t="shared" ref="DS77:EC77" si="81">DS67+DS75</f>
        <v>226307.35832640409</v>
      </c>
      <c r="DT77" s="157">
        <f t="shared" si="81"/>
        <v>32546.927111095792</v>
      </c>
      <c r="DU77" s="157">
        <f t="shared" si="81"/>
        <v>41725.690211095796</v>
      </c>
      <c r="DV77" s="157">
        <f t="shared" si="81"/>
        <v>9133.9038494810266</v>
      </c>
      <c r="DW77" s="157">
        <f t="shared" si="81"/>
        <v>7927.7938302884104</v>
      </c>
      <c r="DX77" s="157">
        <f t="shared" si="81"/>
        <v>5951.5184994810261</v>
      </c>
      <c r="DY77" s="157">
        <f t="shared" si="81"/>
        <v>8810.7773494810244</v>
      </c>
      <c r="DZ77" s="157">
        <f t="shared" si="81"/>
        <v>7051.4114110957962</v>
      </c>
      <c r="EA77" s="157">
        <f t="shared" si="81"/>
        <v>8752.8346994810236</v>
      </c>
      <c r="EB77" s="157">
        <f t="shared" si="81"/>
        <v>-4737.3342197115908</v>
      </c>
      <c r="EC77" s="157">
        <f t="shared" si="81"/>
        <v>-6655.6525697115903</v>
      </c>
      <c r="ED77" s="157"/>
      <c r="EE77" s="351">
        <f>EE67+EE75</f>
        <v>477668.6519274757</v>
      </c>
      <c r="EG77" s="495">
        <f>EG67+EG75</f>
        <v>6439.3400000000111</v>
      </c>
      <c r="EH77" s="495">
        <f t="shared" ref="EH77:EK77" si="82">EH67+EH75</f>
        <v>226307.35832640409</v>
      </c>
      <c r="EI77" s="495">
        <f t="shared" si="82"/>
        <v>32546.927111095792</v>
      </c>
      <c r="EJ77" s="495">
        <f t="shared" si="82"/>
        <v>41725.690211095796</v>
      </c>
      <c r="EK77" s="495">
        <f t="shared" si="82"/>
        <v>9133.9038494810266</v>
      </c>
      <c r="EL77" s="495">
        <f>EL67+EL75</f>
        <v>7927.7938302884104</v>
      </c>
      <c r="EM77" s="495">
        <f t="shared" ref="EM77:EQ77" si="83">EM67+EM75</f>
        <v>3532.4468328143594</v>
      </c>
      <c r="EN77" s="495">
        <f t="shared" si="83"/>
        <v>6391.7056828143577</v>
      </c>
      <c r="EO77" s="495">
        <f t="shared" si="83"/>
        <v>4632.3397444291295</v>
      </c>
      <c r="EP77" s="495">
        <f t="shared" si="83"/>
        <v>6333.7630328143568</v>
      </c>
      <c r="EQ77" s="495">
        <f t="shared" si="83"/>
        <v>-7156.4058863782575</v>
      </c>
      <c r="ER77" s="495">
        <f>ER67+ER75</f>
        <v>-9074.724236378257</v>
      </c>
      <c r="ES77" s="497">
        <f t="shared" ref="ES77" si="84">ES67+ES75</f>
        <v>328740.1384984809</v>
      </c>
    </row>
    <row r="78" spans="1:149" x14ac:dyDescent="0.2">
      <c r="AC78" s="383"/>
      <c r="AF78" s="383"/>
      <c r="AI78" s="383"/>
      <c r="AV78" s="386" t="s">
        <v>375</v>
      </c>
      <c r="CL78" s="286" t="s">
        <v>984</v>
      </c>
      <c r="CM78" s="583">
        <f>CM77/CM67</f>
        <v>-1.2524690026561165</v>
      </c>
      <c r="CN78" s="583">
        <f t="shared" ref="CN78:CX78" si="85">CN77/CN67</f>
        <v>-1.9719184082390078</v>
      </c>
      <c r="CO78" s="583">
        <f t="shared" si="85"/>
        <v>4.1985670605289613E-2</v>
      </c>
      <c r="CP78" s="583">
        <f t="shared" si="85"/>
        <v>0.26545232318611511</v>
      </c>
      <c r="CQ78" s="583">
        <f t="shared" si="85"/>
        <v>0.60730073980480159</v>
      </c>
      <c r="CR78" s="583">
        <f t="shared" si="85"/>
        <v>0.38546007899970774</v>
      </c>
      <c r="CS78" s="583">
        <f t="shared" si="85"/>
        <v>0.43349436310839001</v>
      </c>
      <c r="CT78" s="583">
        <f t="shared" si="85"/>
        <v>0.70268401043165873</v>
      </c>
      <c r="CU78" s="583">
        <f t="shared" si="85"/>
        <v>0.65602609055968619</v>
      </c>
      <c r="CV78" s="583">
        <f t="shared" si="85"/>
        <v>0.60934520310533724</v>
      </c>
      <c r="CW78" s="583">
        <f t="shared" si="85"/>
        <v>0.76253111424508235</v>
      </c>
      <c r="CX78" s="583">
        <f t="shared" si="85"/>
        <v>0.73081224585682047</v>
      </c>
      <c r="CY78" s="584">
        <f>CY77/CY67</f>
        <v>0.10343658873190879</v>
      </c>
      <c r="DA78" s="583">
        <f>DA77/DA67</f>
        <v>0.36626146173624746</v>
      </c>
      <c r="DB78" s="583">
        <f t="shared" ref="DB78:DM78" si="86">DB77/DB67</f>
        <v>0.18277211507680602</v>
      </c>
      <c r="DC78" s="583">
        <f t="shared" si="86"/>
        <v>0.2503441933506147</v>
      </c>
      <c r="DD78" s="583">
        <f t="shared" si="86"/>
        <v>0.10464702519874583</v>
      </c>
      <c r="DE78" s="583">
        <f t="shared" si="86"/>
        <v>0.12286283377515402</v>
      </c>
      <c r="DF78" s="583">
        <f t="shared" si="86"/>
        <v>0.21901630032463912</v>
      </c>
      <c r="DG78" s="583" t="e">
        <f t="shared" si="86"/>
        <v>#REF!</v>
      </c>
      <c r="DH78" s="583">
        <f t="shared" si="86"/>
        <v>0.25882685808899492</v>
      </c>
      <c r="DI78" s="583">
        <f t="shared" si="86"/>
        <v>3.4622688689257303E-2</v>
      </c>
      <c r="DJ78" s="583">
        <f t="shared" si="86"/>
        <v>0.32113578258666592</v>
      </c>
      <c r="DK78" s="583" t="e">
        <f t="shared" si="86"/>
        <v>#REF!</v>
      </c>
      <c r="DL78" s="583" t="e">
        <f>DL77/DL67</f>
        <v>#REF!</v>
      </c>
      <c r="DM78" s="584" t="e">
        <f t="shared" si="86"/>
        <v>#REF!</v>
      </c>
      <c r="DQ78" s="286" t="s">
        <v>984</v>
      </c>
      <c r="DR78" s="583">
        <f>DR77/DR67</f>
        <v>0.47358982227138285</v>
      </c>
      <c r="DS78" s="583">
        <f t="shared" ref="DS78:EC78" si="87">DS77/DS67</f>
        <v>0.48600794161495053</v>
      </c>
      <c r="DT78" s="583">
        <f t="shared" si="87"/>
        <v>0.39536174949529884</v>
      </c>
      <c r="DU78" s="583">
        <f t="shared" si="87"/>
        <v>0.41699881459462507</v>
      </c>
      <c r="DV78" s="583">
        <f t="shared" si="87"/>
        <v>0.25136377242673197</v>
      </c>
      <c r="DW78" s="583">
        <f t="shared" si="87"/>
        <v>0.25298193016878112</v>
      </c>
      <c r="DX78" s="583">
        <f t="shared" si="87"/>
        <v>0.21768019914232814</v>
      </c>
      <c r="DY78" s="583">
        <f t="shared" si="87"/>
        <v>0.27243660518326057</v>
      </c>
      <c r="DZ78" s="583">
        <f t="shared" si="87"/>
        <v>0.2180355387941563</v>
      </c>
      <c r="EA78" s="583">
        <f t="shared" si="87"/>
        <v>0.27064496998069221</v>
      </c>
      <c r="EB78" s="583">
        <f t="shared" si="87"/>
        <v>-0.58958207421650344</v>
      </c>
      <c r="EC78" s="583">
        <f t="shared" si="87"/>
        <v>-0.82832522792826246</v>
      </c>
      <c r="ED78" s="583"/>
      <c r="EE78" s="584">
        <f>EE77/EE67</f>
        <v>0.41408463166456094</v>
      </c>
      <c r="EG78" s="583">
        <f>EG77/EG67</f>
        <v>5.7084692668927156E-2</v>
      </c>
      <c r="EH78" s="583">
        <f t="shared" ref="EH78:EQ78" si="88">EH77/EH67</f>
        <v>0.48600794161495053</v>
      </c>
      <c r="EI78" s="583">
        <f t="shared" si="88"/>
        <v>0.39536174949529884</v>
      </c>
      <c r="EJ78" s="583">
        <f t="shared" si="88"/>
        <v>0.41699881459462507</v>
      </c>
      <c r="EK78" s="583">
        <f t="shared" si="88"/>
        <v>0.25136377242673197</v>
      </c>
      <c r="EL78" s="583">
        <f t="shared" si="88"/>
        <v>0.25298193016878112</v>
      </c>
      <c r="EM78" s="583">
        <f t="shared" si="88"/>
        <v>0.14174249115884141</v>
      </c>
      <c r="EN78" s="583">
        <f t="shared" si="88"/>
        <v>0.21361524634776496</v>
      </c>
      <c r="EO78" s="583">
        <f t="shared" si="88"/>
        <v>0.15481601387457244</v>
      </c>
      <c r="EP78" s="583">
        <f t="shared" si="88"/>
        <v>0.21167876271287667</v>
      </c>
      <c r="EQ78" s="583">
        <f t="shared" si="88"/>
        <v>-1.2742887974320258</v>
      </c>
      <c r="ER78" s="583">
        <f>ER77/ER67</f>
        <v>-1.6158697002098037</v>
      </c>
      <c r="ES78" s="584">
        <f t="shared" ref="ES78" si="89">ES77/ES67</f>
        <v>0.34443769770470178</v>
      </c>
    </row>
    <row r="80" spans="1:149" x14ac:dyDescent="0.2">
      <c r="AF80" s="387"/>
      <c r="CY80" s="532"/>
      <c r="EE80" s="532"/>
    </row>
    <row r="82" spans="91:128" ht="12.75" customHeight="1" x14ac:dyDescent="0.2">
      <c r="CR82" s="504"/>
      <c r="DW82" s="504"/>
    </row>
    <row r="83" spans="91:128" ht="12.75" customHeight="1" x14ac:dyDescent="0.2">
      <c r="CR83" s="504"/>
      <c r="CS83" s="561"/>
      <c r="DW83" s="504"/>
      <c r="DX83" s="561"/>
    </row>
    <row r="84" spans="91:128" ht="12.75" customHeight="1" x14ac:dyDescent="0.2">
      <c r="CN84" s="561"/>
      <c r="CR84" s="504"/>
      <c r="CS84" s="561"/>
      <c r="DS84" s="561"/>
      <c r="DW84" s="504"/>
      <c r="DX84" s="561"/>
    </row>
    <row r="85" spans="91:128" ht="12.75" customHeight="1" x14ac:dyDescent="0.2">
      <c r="CN85" s="561"/>
      <c r="CR85" s="504"/>
      <c r="CS85" s="561"/>
      <c r="DS85" s="561"/>
      <c r="DW85" s="504"/>
      <c r="DX85" s="561"/>
    </row>
    <row r="86" spans="91:128" ht="12.75" customHeight="1" x14ac:dyDescent="0.2">
      <c r="CN86" s="561"/>
      <c r="CR86" s="504"/>
      <c r="DS86" s="561"/>
      <c r="DW86" s="504"/>
    </row>
    <row r="87" spans="91:128" ht="12.75" customHeight="1" x14ac:dyDescent="0.2">
      <c r="CM87" s="532"/>
      <c r="CN87" s="561"/>
      <c r="CR87" s="504"/>
      <c r="DR87" s="532"/>
      <c r="DS87" s="561"/>
      <c r="DW87" s="504"/>
    </row>
    <row r="88" spans="91:128" ht="12.75" customHeight="1" x14ac:dyDescent="0.2">
      <c r="CR88" s="504"/>
      <c r="DW88" s="504"/>
    </row>
    <row r="90" spans="91:128" ht="12.75" customHeight="1" x14ac:dyDescent="0.2">
      <c r="CN90" s="561"/>
      <c r="DS90" s="561"/>
    </row>
    <row r="91" spans="91:128" ht="12.75" customHeight="1" x14ac:dyDescent="0.2">
      <c r="CN91" s="561"/>
      <c r="DS91" s="561"/>
    </row>
    <row r="94" spans="91:128" ht="12.75" customHeight="1" x14ac:dyDescent="0.2">
      <c r="CN94" s="561"/>
      <c r="DS94" s="561"/>
    </row>
    <row r="95" spans="91:128" ht="12.75" customHeight="1" x14ac:dyDescent="0.2">
      <c r="CN95" s="561"/>
      <c r="DS95" s="561"/>
    </row>
    <row r="96" spans="91:128" ht="12.75" customHeight="1" x14ac:dyDescent="0.2">
      <c r="CN96" s="561"/>
      <c r="DS96" s="561"/>
    </row>
  </sheetData>
  <autoFilter ref="DO3:EE3" xr:uid="{8BDDC580-30E9-48BC-B662-88279E170528}">
    <sortState xmlns:xlrd2="http://schemas.microsoft.com/office/spreadsheetml/2017/richdata2" ref="DO4:EE67">
      <sortCondition ref="DQ3"/>
    </sortState>
  </autoFilter>
  <mergeCells count="27">
    <mergeCell ref="DO2:DQ2"/>
    <mergeCell ref="BA2:BC2"/>
    <mergeCell ref="BD2:BF2"/>
    <mergeCell ref="BG2:BI2"/>
    <mergeCell ref="CE2:CG2"/>
    <mergeCell ref="BM2:BO2"/>
    <mergeCell ref="BP2:BR2"/>
    <mergeCell ref="BS2:BU2"/>
    <mergeCell ref="BV2:BX2"/>
    <mergeCell ref="BY2:CA2"/>
    <mergeCell ref="CB2:CD2"/>
    <mergeCell ref="CJ2:CL2"/>
    <mergeCell ref="BJ2:BL2"/>
    <mergeCell ref="S2:U2"/>
    <mergeCell ref="D2:F2"/>
    <mergeCell ref="G2:I2"/>
    <mergeCell ref="J2:L2"/>
    <mergeCell ref="M2:O2"/>
    <mergeCell ref="P2:R2"/>
    <mergeCell ref="AK2:AM2"/>
    <mergeCell ref="AT2:AU2"/>
    <mergeCell ref="AX2:AZ2"/>
    <mergeCell ref="V2:X2"/>
    <mergeCell ref="Y2:AA2"/>
    <mergeCell ref="AB2:AD2"/>
    <mergeCell ref="AE2:AG2"/>
    <mergeCell ref="AH2:AJ2"/>
  </mergeCells>
  <conditionalFormatting sqref="AR4:CH4 F4:F21 I4:I21 L4:L21 O4:O21 R4:R21 U4:U21 X4:X21 AA4:AA21 AD4:AD21 AG4:AG21 AJ4:AJ21 AM4:AM21 AR5:AU70 AX5:CH70 F23 I23 L23 O23 R23 U23 X23 AA23 AD23 AG23 AJ23 AM23 F25:F27 I25:I27 L25:L27 O25:O27 R25:R27 U25:U27 X25:X27 AA25:AA27 AD25:AD27 AG25:AG27 AJ25:AJ27 AM25:AM27 F29:F70 I29:I70 L29:L70 O29:O70 R29:R70 U29:U70 X29:X70 AA29:AA70 AD29:AD70 AG29:AG70 AJ29:AJ70 AM29:AM70">
    <cfRule type="cellIs" dxfId="106" priority="18" operator="lessThan">
      <formula>0</formula>
    </cfRule>
    <cfRule type="cellIs" dxfId="105" priority="19" operator="greaterThan">
      <formula>0</formula>
    </cfRule>
  </conditionalFormatting>
  <conditionalFormatting sqref="CM58:CX78 DA2:DL78 CM2:CX56 CN57:CX57 CM79:CN80 CP79:CX80 DA79:DB80 DD79:DL80">
    <cfRule type="expression" dxfId="104" priority="16">
      <formula>$CJ$1=CM$2</formula>
    </cfRule>
  </conditionalFormatting>
  <conditionalFormatting sqref="DA78:DM78">
    <cfRule type="expression" dxfId="103" priority="7">
      <formula>$BQ$1=CZ$2</formula>
    </cfRule>
  </conditionalFormatting>
  <conditionalFormatting sqref="DB69:DL75 CN69:CX77 DA77:DM77">
    <cfRule type="expression" dxfId="102" priority="17">
      <formula>$BQ$1=CM$2</formula>
    </cfRule>
  </conditionalFormatting>
  <conditionalFormatting sqref="DO1:ES78">
    <cfRule type="expression" dxfId="101" priority="1">
      <formula>$DO$1=DO$2</formula>
    </cfRule>
  </conditionalFormatting>
  <conditionalFormatting sqref="DS69:ED78">
    <cfRule type="expression" dxfId="100" priority="4">
      <formula>$BQ$1=DR$2</formula>
    </cfRule>
  </conditionalFormatting>
  <conditionalFormatting sqref="EH69:ER75 EG71:EL73 EG77:ES78 CN78:CX78">
    <cfRule type="expression" dxfId="99" priority="8">
      <formula>$BQ$1=CM$2</formula>
    </cfRule>
  </conditionalFormatting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errorStyle="warning" allowBlank="1" showInputMessage="1" showErrorMessage="1" errorTitle="Mandatory" error="Please select from the drop down list" xr:uid="{E0B98405-18DB-416C-964A-31ABD748137E}">
          <x14:formula1>
            <xm:f>'Data Validation'!$A$2:$A$7</xm:f>
          </x14:formula1>
          <xm:sqref>DO75 CJ75 DO4:DO66 CJ4 CJ61:CJ66</xm:sqref>
        </x14:dataValidation>
        <x14:dataValidation type="list" allowBlank="1" showInputMessage="1" showErrorMessage="1" errorTitle="Mandatory" error="Please select the relevant department" xr:uid="{22916D01-5BEE-4CFE-A1BD-5C5260C70EFC}">
          <x14:formula1>
            <xm:f>'Data Validation'!$E$2:$E$3</xm:f>
          </x14:formula1>
          <xm:sqref>CK78:CK82 CK4:CK68 DP78:DP82 DP4:DP68</xm:sqref>
        </x14:dataValidation>
        <x14:dataValidation type="list" errorStyle="warning" allowBlank="1" showInputMessage="1" showErrorMessage="1" errorTitle="Mandatory" error="Please select the relevant department" xr:uid="{FF680795-AE64-4B99-A09E-18C6EB58E84D}">
          <x14:formula1>
            <xm:f>'Data Validation'!$E$2:$E$3</xm:f>
          </x14:formula1>
          <xm:sqref>CK69:CK74 DP69:DP74</xm:sqref>
        </x14:dataValidation>
        <x14:dataValidation type="list" allowBlank="1" showInputMessage="1" showErrorMessage="1" xr:uid="{6212E60E-50D9-4117-8BD1-A032BC480F45}">
          <x14:formula1>
            <xm:f>'Data Validation'!$C$2:$C$4</xm:f>
          </x14:formula1>
          <xm:sqref>CM3:DM3 DR3:ES3</xm:sqref>
        </x14:dataValidation>
        <x14:dataValidation type="list" errorStyle="warning" allowBlank="1" showInputMessage="1" showErrorMessage="1" errorTitle="Mandatory" error="Please select from the drop down list" xr:uid="{D0CE45BE-5924-41F8-BC55-E83D8D06D929}">
          <x14:formula1>
            <xm:f>'Data Validation'!$A$2:$A$9</xm:f>
          </x14:formula1>
          <xm:sqref>CJ5:CJ60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1">
    <tabColor theme="5" tint="0.39997558519241921"/>
  </sheetPr>
  <dimension ref="A1:U61"/>
  <sheetViews>
    <sheetView topLeftCell="C1" zoomScale="90" zoomScaleNormal="90" workbookViewId="0">
      <selection activeCell="G40" sqref="G40"/>
    </sheetView>
  </sheetViews>
  <sheetFormatPr defaultColWidth="9.140625" defaultRowHeight="12.75" x14ac:dyDescent="0.2"/>
  <cols>
    <col min="1" max="1" width="31.28515625" style="1" hidden="1" customWidth="1"/>
    <col min="2" max="2" width="15.140625" style="3" hidden="1" customWidth="1"/>
    <col min="3" max="3" width="19.42578125" style="88" bestFit="1" customWidth="1"/>
    <col min="4" max="4" width="14.140625" bestFit="1" customWidth="1"/>
    <col min="5" max="5" width="47.140625" bestFit="1" customWidth="1"/>
    <col min="6" max="6" width="11.85546875" bestFit="1" customWidth="1"/>
    <col min="7" max="11" width="11.85546875" customWidth="1"/>
    <col min="12" max="15" width="11.5703125" bestFit="1" customWidth="1"/>
    <col min="16" max="16" width="12.28515625" bestFit="1" customWidth="1"/>
    <col min="17" max="17" width="11.28515625" bestFit="1" customWidth="1"/>
    <col min="18" max="18" width="14.5703125" bestFit="1" customWidth="1"/>
    <col min="19" max="19" width="12.42578125" bestFit="1" customWidth="1"/>
  </cols>
  <sheetData>
    <row r="1" spans="1:20" x14ac:dyDescent="0.2">
      <c r="A1" s="27" t="s">
        <v>176</v>
      </c>
      <c r="B1" s="29" t="s">
        <v>376</v>
      </c>
      <c r="D1" s="1"/>
      <c r="E1" s="2" t="s">
        <v>1</v>
      </c>
      <c r="F1" s="2" t="s">
        <v>177</v>
      </c>
      <c r="G1" s="2" t="s">
        <v>178</v>
      </c>
      <c r="H1" s="2" t="s">
        <v>179</v>
      </c>
      <c r="I1" s="2" t="s">
        <v>180</v>
      </c>
      <c r="J1" s="2" t="s">
        <v>181</v>
      </c>
      <c r="K1" s="2" t="s">
        <v>182</v>
      </c>
      <c r="L1" s="2" t="s">
        <v>183</v>
      </c>
      <c r="M1" s="2" t="s">
        <v>184</v>
      </c>
      <c r="N1" s="2" t="s">
        <v>185</v>
      </c>
      <c r="O1" s="2" t="s">
        <v>186</v>
      </c>
      <c r="P1" s="2" t="s">
        <v>152</v>
      </c>
      <c r="Q1" s="2" t="s">
        <v>153</v>
      </c>
      <c r="R1" s="2" t="s">
        <v>27</v>
      </c>
    </row>
    <row r="2" spans="1:20" x14ac:dyDescent="0.2">
      <c r="A2" s="279"/>
      <c r="B2" s="279"/>
      <c r="D2" s="1" t="s">
        <v>896</v>
      </c>
      <c r="E2" s="2"/>
      <c r="F2" s="1">
        <f>(60*4)+(60*8)+60</f>
        <v>780</v>
      </c>
      <c r="G2" s="1">
        <f t="shared" ref="G2:Q2" si="0">(60*4)+(60*8)+60</f>
        <v>780</v>
      </c>
      <c r="H2" s="1">
        <f t="shared" si="0"/>
        <v>780</v>
      </c>
      <c r="I2" s="1">
        <f t="shared" si="0"/>
        <v>780</v>
      </c>
      <c r="J2" s="1">
        <f t="shared" si="0"/>
        <v>780</v>
      </c>
      <c r="K2" s="1">
        <f t="shared" si="0"/>
        <v>780</v>
      </c>
      <c r="L2" s="1">
        <f t="shared" si="0"/>
        <v>780</v>
      </c>
      <c r="M2" s="1">
        <f t="shared" si="0"/>
        <v>780</v>
      </c>
      <c r="N2" s="1">
        <f t="shared" si="0"/>
        <v>780</v>
      </c>
      <c r="O2" s="1">
        <f t="shared" si="0"/>
        <v>780</v>
      </c>
      <c r="P2" s="1">
        <f t="shared" si="0"/>
        <v>780</v>
      </c>
      <c r="Q2" s="1">
        <f t="shared" si="0"/>
        <v>780</v>
      </c>
      <c r="R2" s="4">
        <f t="shared" ref="R2:R4" si="1">SUM(F2:Q2)</f>
        <v>9360</v>
      </c>
    </row>
    <row r="3" spans="1:20" x14ac:dyDescent="0.2">
      <c r="A3" s="279"/>
      <c r="B3" s="279"/>
      <c r="D3" s="1" t="s">
        <v>897</v>
      </c>
      <c r="E3" s="2"/>
      <c r="F3" s="1">
        <v>100</v>
      </c>
      <c r="G3" s="1">
        <v>100</v>
      </c>
      <c r="H3" s="1">
        <v>100</v>
      </c>
      <c r="I3" s="1">
        <v>100</v>
      </c>
      <c r="J3" s="1">
        <v>100</v>
      </c>
      <c r="K3" s="1">
        <v>100</v>
      </c>
      <c r="L3" s="1">
        <v>100</v>
      </c>
      <c r="M3" s="1">
        <v>100</v>
      </c>
      <c r="N3" s="1">
        <v>100</v>
      </c>
      <c r="O3" s="1">
        <v>100</v>
      </c>
      <c r="P3" s="1">
        <v>100</v>
      </c>
      <c r="Q3" s="1">
        <v>100</v>
      </c>
      <c r="R3" s="4">
        <f t="shared" si="1"/>
        <v>1200</v>
      </c>
    </row>
    <row r="4" spans="1:20" x14ac:dyDescent="0.2">
      <c r="A4" s="279"/>
      <c r="B4" s="279"/>
      <c r="D4" s="1" t="s">
        <v>555</v>
      </c>
      <c r="E4" s="2"/>
      <c r="F4" s="1">
        <v>28</v>
      </c>
      <c r="G4" s="1">
        <v>28</v>
      </c>
      <c r="H4" s="1">
        <v>28</v>
      </c>
      <c r="I4" s="1">
        <v>28</v>
      </c>
      <c r="J4" s="1">
        <v>28</v>
      </c>
      <c r="K4" s="1">
        <v>28</v>
      </c>
      <c r="L4" s="1">
        <v>28</v>
      </c>
      <c r="M4" s="1">
        <v>28</v>
      </c>
      <c r="N4" s="1">
        <v>28</v>
      </c>
      <c r="O4" s="1">
        <v>28</v>
      </c>
      <c r="P4" s="1">
        <v>28</v>
      </c>
      <c r="Q4" s="1">
        <v>28</v>
      </c>
      <c r="R4" s="4">
        <f t="shared" si="1"/>
        <v>336</v>
      </c>
    </row>
    <row r="5" spans="1:20" x14ac:dyDescent="0.2">
      <c r="A5" s="28" t="s">
        <v>190</v>
      </c>
      <c r="B5" s="4">
        <v>2430539.4000000008</v>
      </c>
      <c r="D5" s="1" t="s">
        <v>188</v>
      </c>
      <c r="E5" s="1"/>
      <c r="F5" s="5">
        <f>'ONS Sales Forecast'!CW61-SUM(F2:F4)</f>
        <v>237952.66999999998</v>
      </c>
      <c r="G5" s="5">
        <f>'ONS Sales Forecast'!CX61-SUM(G2:G4)</f>
        <v>255399.33</v>
      </c>
      <c r="H5" s="5">
        <f>'ONS Sales Forecast'!CY61-SUM(H2:H4)</f>
        <v>247108.77</v>
      </c>
      <c r="I5" s="5">
        <f>'ONS Sales Forecast'!CZ61-SUM(I2:I4)</f>
        <v>262138.77000000002</v>
      </c>
      <c r="J5" s="5">
        <f>'ONS Sales Forecast'!DA61-SUM(J2:J4)</f>
        <v>261458.77000000002</v>
      </c>
      <c r="K5" s="5">
        <f>'ONS Sales Forecast'!DB61-SUM(K2:K4)</f>
        <v>250408.77</v>
      </c>
      <c r="L5" s="5">
        <f>'ONS Sales Forecast'!DC61-SUM(L2:L4)</f>
        <v>261458.77000000002</v>
      </c>
      <c r="M5" s="5">
        <f>'ONS Sales Forecast'!DD61-SUM(M2:M4)</f>
        <v>261458.77000000002</v>
      </c>
      <c r="N5" s="5">
        <f>'ONS Sales Forecast'!DE61-SUM(N2:N4)</f>
        <v>252108.77</v>
      </c>
      <c r="O5" s="5">
        <f>'ONS Sales Forecast'!DF61-SUM(O2:O4)</f>
        <v>260358.77</v>
      </c>
      <c r="P5" s="5">
        <f>'ONS Sales Forecast'!DG61-SUM(P2:P4)</f>
        <v>258042.11000000002</v>
      </c>
      <c r="Q5" s="5">
        <f>'ONS Sales Forecast'!DH61-SUM(Q2:Q4)</f>
        <v>241535.11000000002</v>
      </c>
      <c r="R5" s="4">
        <f>SUM(F5:Q5)</f>
        <v>3049429.38</v>
      </c>
    </row>
    <row r="6" spans="1:20" x14ac:dyDescent="0.2">
      <c r="A6" s="28" t="s">
        <v>377</v>
      </c>
      <c r="B6" s="4">
        <v>10680</v>
      </c>
      <c r="D6" s="16"/>
      <c r="E6" s="23" t="s">
        <v>193</v>
      </c>
      <c r="F6" s="17">
        <f>SUM(F2:F5)</f>
        <v>238860.66999999998</v>
      </c>
      <c r="G6" s="700">
        <f t="shared" ref="G6:R6" si="2">SUM(G2:G5)</f>
        <v>256307.33</v>
      </c>
      <c r="H6" s="17">
        <f t="shared" si="2"/>
        <v>248016.77</v>
      </c>
      <c r="I6" s="17">
        <f t="shared" si="2"/>
        <v>263046.77</v>
      </c>
      <c r="J6" s="17">
        <f t="shared" si="2"/>
        <v>262366.77</v>
      </c>
      <c r="K6" s="17">
        <f t="shared" si="2"/>
        <v>251316.77</v>
      </c>
      <c r="L6" s="17">
        <f t="shared" si="2"/>
        <v>262366.77</v>
      </c>
      <c r="M6" s="17">
        <f t="shared" si="2"/>
        <v>262366.77</v>
      </c>
      <c r="N6" s="17">
        <f t="shared" si="2"/>
        <v>253016.77</v>
      </c>
      <c r="O6" s="17">
        <f t="shared" si="2"/>
        <v>261266.77</v>
      </c>
      <c r="P6" s="17">
        <f t="shared" si="2"/>
        <v>258950.11000000002</v>
      </c>
      <c r="Q6" s="17">
        <f t="shared" si="2"/>
        <v>242443.11000000002</v>
      </c>
      <c r="R6" s="17">
        <f t="shared" si="2"/>
        <v>3060325.38</v>
      </c>
      <c r="S6" s="2" t="b">
        <f>R6='ONS Sales Forecast'!DI61</f>
        <v>1</v>
      </c>
    </row>
    <row r="7" spans="1:20" x14ac:dyDescent="0.2">
      <c r="A7" s="28" t="s">
        <v>192</v>
      </c>
      <c r="B7" s="4">
        <v>917.2399999999999</v>
      </c>
      <c r="D7" s="1" t="s">
        <v>198</v>
      </c>
      <c r="E7" s="1" t="s">
        <v>195</v>
      </c>
      <c r="F7" s="4">
        <f>-'ONS Fixed Costs'!C44-'ONS Fixed Costs'!C45</f>
        <v>-87174.575895999995</v>
      </c>
      <c r="G7" s="702">
        <f>-'ONS Fixed Costs'!D44-'ONS Fixed Costs'!D45</f>
        <v>-77966.155386879997</v>
      </c>
      <c r="H7" s="4">
        <f>-'ONS Fixed Costs'!E44-'ONS Fixed Costs'!E45</f>
        <v>-85762.770925568009</v>
      </c>
      <c r="I7" s="4">
        <f>-'ONS Fixed Costs'!F44-'ONS Fixed Costs'!F45</f>
        <v>-85762.770925568009</v>
      </c>
      <c r="J7" s="4">
        <f>-'ONS Fixed Costs'!G44-'ONS Fixed Costs'!G45</f>
        <v>-77966.155386879997</v>
      </c>
      <c r="K7" s="4">
        <f>-'ONS Fixed Costs'!H44-'ONS Fixed Costs'!H45</f>
        <v>-81864.46315622401</v>
      </c>
      <c r="L7" s="4">
        <f>-'ONS Fixed Costs'!I44-'ONS Fixed Costs'!I45</f>
        <v>-77966.155386879997</v>
      </c>
      <c r="M7" s="4">
        <f>-'ONS Fixed Costs'!J44-'ONS Fixed Costs'!J45</f>
        <v>-77966.155386879997</v>
      </c>
      <c r="N7" s="4">
        <f>-'ONS Fixed Costs'!K44-'ONS Fixed Costs'!K45</f>
        <v>-85762.770925568009</v>
      </c>
      <c r="O7" s="4">
        <f>-'ONS Fixed Costs'!L44-'ONS Fixed Costs'!L45</f>
        <v>-77966.155386879997</v>
      </c>
      <c r="P7" s="4">
        <f>-'ONS Fixed Costs'!M44-'ONS Fixed Costs'!M45</f>
        <v>-81864.46315622401</v>
      </c>
      <c r="Q7" s="4">
        <f>-'ONS Fixed Costs'!N44-'ONS Fixed Costs'!N45</f>
        <v>-81864.46315622401</v>
      </c>
      <c r="R7" s="4">
        <f t="shared" ref="R7:R26" si="3">SUM(F7:Q7)</f>
        <v>-979887.05507577606</v>
      </c>
      <c r="S7" s="2"/>
    </row>
    <row r="8" spans="1:20" x14ac:dyDescent="0.2">
      <c r="A8" s="28" t="s">
        <v>197</v>
      </c>
      <c r="B8" s="4">
        <v>39040</v>
      </c>
      <c r="D8" s="1"/>
      <c r="E8" s="1" t="s">
        <v>196</v>
      </c>
      <c r="F8" s="4">
        <f>-'ONS Fixed Costs'!C46</f>
        <v>-10460.949107519999</v>
      </c>
      <c r="G8" s="702">
        <f>-'ONS Fixed Costs'!D46</f>
        <v>-9355.9386464255986</v>
      </c>
      <c r="H8" s="4">
        <f>-'ONS Fixed Costs'!E46</f>
        <v>-10291.532511068161</v>
      </c>
      <c r="I8" s="4">
        <f>-'ONS Fixed Costs'!F46</f>
        <v>-10291.532511068161</v>
      </c>
      <c r="J8" s="4">
        <f>-'ONS Fixed Costs'!G46</f>
        <v>-9355.9386464255986</v>
      </c>
      <c r="K8" s="4">
        <f>-'ONS Fixed Costs'!H46</f>
        <v>-9823.7355787468805</v>
      </c>
      <c r="L8" s="4">
        <f>-'ONS Fixed Costs'!I46</f>
        <v>-9355.9386464255986</v>
      </c>
      <c r="M8" s="4">
        <f>-'ONS Fixed Costs'!J46</f>
        <v>-9355.9386464255986</v>
      </c>
      <c r="N8" s="4">
        <f>-'ONS Fixed Costs'!K46</f>
        <v>-10291.532511068161</v>
      </c>
      <c r="O8" s="4">
        <f>-'ONS Fixed Costs'!L46</f>
        <v>-9355.9386464255986</v>
      </c>
      <c r="P8" s="4">
        <f>-'ONS Fixed Costs'!M46</f>
        <v>-9823.7355787468805</v>
      </c>
      <c r="Q8" s="4">
        <f>-'ONS Fixed Costs'!N46</f>
        <v>-9823.7355787468805</v>
      </c>
      <c r="R8" s="4">
        <f t="shared" si="3"/>
        <v>-117586.44660909311</v>
      </c>
      <c r="S8" s="2"/>
    </row>
    <row r="9" spans="1:20" x14ac:dyDescent="0.2">
      <c r="A9" s="28"/>
      <c r="B9" s="4"/>
      <c r="D9" s="1"/>
      <c r="E9" s="1" t="s">
        <v>1401</v>
      </c>
      <c r="F9" s="664"/>
      <c r="G9" s="702">
        <f>-'ONS Sales Forecast'!CX34*0.5</f>
        <v>-4250</v>
      </c>
      <c r="H9" s="664">
        <f>-'ONS Sales Forecast'!CY34*0.5</f>
        <v>-4250</v>
      </c>
      <c r="I9" s="664">
        <f>-'ONS Sales Forecast'!CZ34*0.5</f>
        <v>-4250</v>
      </c>
      <c r="J9" s="664">
        <f>-'ONS Sales Forecast'!DA34*0.5</f>
        <v>-4250</v>
      </c>
      <c r="K9" s="664">
        <f>-'ONS Sales Forecast'!DB34*0.5</f>
        <v>0</v>
      </c>
      <c r="L9" s="664">
        <f>-'ONS Sales Forecast'!DC34*0.5</f>
        <v>-4250</v>
      </c>
      <c r="M9" s="664">
        <f>-'ONS Sales Forecast'!DD34*0.5</f>
        <v>-4250</v>
      </c>
      <c r="N9" s="664">
        <f>-'ONS Sales Forecast'!DE34*0.5</f>
        <v>-4250</v>
      </c>
      <c r="O9" s="664">
        <f>-'ONS Sales Forecast'!DF34*0.5</f>
        <v>-4250</v>
      </c>
      <c r="P9" s="664">
        <f>-'ONS Sales Forecast'!DG34*0.5</f>
        <v>-4250</v>
      </c>
      <c r="Q9" s="664">
        <f>-'ONS Sales Forecast'!DH34*0.5</f>
        <v>-4250</v>
      </c>
      <c r="R9" s="4">
        <f t="shared" si="3"/>
        <v>-42500</v>
      </c>
      <c r="S9" s="2"/>
    </row>
    <row r="10" spans="1:20" x14ac:dyDescent="0.2">
      <c r="A10" s="28"/>
      <c r="B10" s="4"/>
      <c r="D10" s="2" t="s">
        <v>987</v>
      </c>
      <c r="E10" s="1" t="s">
        <v>1373</v>
      </c>
      <c r="F10" s="4">
        <f>(-GETPIVOTDATA("Total gross plus super",'Casual Pays FY26'!$BC$3,"Paid month","July 2025"))*1.0475-(5208)-1217</f>
        <v>-30341.677124999998</v>
      </c>
      <c r="G10" s="702">
        <f>(-GETPIVOTDATA("Total gross plus super",'Casual Pays FY26'!$BC$3,"Paid month","August 2025"))*1.0475-(5208)-1217</f>
        <v>-22662.192750000002</v>
      </c>
      <c r="H10" s="4">
        <f>(-GETPIVOTDATA("Total gross plus super",'Casual Pays FY26'!$BC$3,"Paid month","September 2025"))*1.0475-(5208)-1217</f>
        <v>-32758.385324999999</v>
      </c>
      <c r="I10" s="4">
        <f>(-GETPIVOTDATA("Total gross plus super",'Casual Pays FY26'!$BC$3,"Paid month","October 2025"))*1.0475-(5208)-1217</f>
        <v>-26997.240075000005</v>
      </c>
      <c r="J10" s="4">
        <f>(-GETPIVOTDATA("Total gross plus super",'Casual Pays FY26'!$BC$3,"Paid month","November 2025"))*1.0475-(5208)-1217</f>
        <v>-34656.329625000006</v>
      </c>
      <c r="K10" s="4">
        <f>(-GETPIVOTDATA("Total gross plus super",'Casual Pays FY26'!$BC$3,"Paid month","December 2025"))*1.0475-(5208)-1217</f>
        <v>-41853.482149999996</v>
      </c>
      <c r="L10" s="4">
        <f>(-GETPIVOTDATA("Total gross plus super",'Casual Pays FY26'!$BC$3,"Paid month","January 2026"))*1.0475-(5208)-1217</f>
        <v>-19439.653275000004</v>
      </c>
      <c r="M10" s="4">
        <f>(-GETPIVOTDATA("Total gross plus super",'Casual Pays FY26'!$BC$3,"Paid month","February 2026"))*1.0475-(5208)-1217</f>
        <v>-23070.015925000003</v>
      </c>
      <c r="N10" s="4">
        <f>(-GETPIVOTDATA("Total gross plus super",'Casual Pays FY26'!$BC$3,"Paid month","March 2026"))*1.0475-(5208)-1217</f>
        <v>-40473.3171</v>
      </c>
      <c r="O10" s="4">
        <f>(-GETPIVOTDATA("Total gross plus super",'Casual Pays FY26'!$BC$3,"Paid month","April 2026"))*1.0475-(5208)-1217</f>
        <v>-41813.687624999999</v>
      </c>
      <c r="P10" s="4">
        <f>(-GETPIVOTDATA("Total gross plus super",'Casual Pays FY26'!$BC$3,"Paid month","May 2026"))*1.0475-(5208)-1217</f>
        <v>-44203.244625000007</v>
      </c>
      <c r="Q10" s="4">
        <f>-GETPIVOTDATA("Total gross plus super",'Casual Pays FY26'!$BC$3,"Paid month","June 2026")*1.0475-(5208)-1217</f>
        <v>-42143.712974999995</v>
      </c>
      <c r="R10" s="4">
        <f>SUM(F10:Q10)</f>
        <v>-400412.93857499998</v>
      </c>
      <c r="S10" s="2"/>
      <c r="T10" s="280">
        <v>1.0475000000000001</v>
      </c>
    </row>
    <row r="11" spans="1:20" x14ac:dyDescent="0.2">
      <c r="A11" s="28" t="s">
        <v>199</v>
      </c>
      <c r="B11" s="4">
        <v>307644.5</v>
      </c>
      <c r="D11" s="1"/>
      <c r="E11" s="1" t="s">
        <v>212</v>
      </c>
      <c r="F11" s="4">
        <v>-200</v>
      </c>
      <c r="G11" s="4">
        <v>-200</v>
      </c>
      <c r="H11" s="4">
        <v>-200</v>
      </c>
      <c r="I11" s="4">
        <v>-200</v>
      </c>
      <c r="J11" s="4">
        <v>-200</v>
      </c>
      <c r="K11" s="4">
        <v>-200</v>
      </c>
      <c r="L11" s="4">
        <v>-200</v>
      </c>
      <c r="M11" s="4">
        <v>-200</v>
      </c>
      <c r="N11" s="4">
        <v>-200</v>
      </c>
      <c r="O11" s="597">
        <v>-200</v>
      </c>
      <c r="P11" s="4">
        <v>-200</v>
      </c>
      <c r="Q11" s="4">
        <v>-200</v>
      </c>
      <c r="R11" s="4">
        <f>SUM(F11:Q11)</f>
        <v>-2400</v>
      </c>
      <c r="S11" s="2"/>
    </row>
    <row r="12" spans="1:20" x14ac:dyDescent="0.2">
      <c r="A12" s="28"/>
      <c r="B12" s="4"/>
      <c r="D12" s="1"/>
      <c r="E12" s="1" t="s">
        <v>986</v>
      </c>
      <c r="F12" s="4">
        <f>'ONS Sales Forecast'!BS66</f>
        <v>-1188.7230000000002</v>
      </c>
      <c r="G12" s="4">
        <f>'ONS Sales Forecast'!BT66</f>
        <v>-991.06600000000014</v>
      </c>
      <c r="H12" s="4">
        <f>'ONS Sales Forecast'!BU66</f>
        <v>-2214.4794000000006</v>
      </c>
      <c r="I12" s="4">
        <f>'ONS Sales Forecast'!BV66</f>
        <v>-1026.6731000000002</v>
      </c>
      <c r="J12" s="4">
        <f>'ONS Sales Forecast'!BW66</f>
        <v>-1170.5177500000002</v>
      </c>
      <c r="K12" s="4">
        <f>'ONS Sales Forecast'!BX66</f>
        <v>-1170.4971500000001</v>
      </c>
      <c r="L12" s="4">
        <f>'ONS Sales Forecast'!BY66</f>
        <v>-1254.81295</v>
      </c>
      <c r="M12" s="4">
        <f>'ONS Sales Forecast'!BZ66</f>
        <v>-1170.5126</v>
      </c>
      <c r="N12" s="4">
        <f>'ONS Sales Forecast'!CA66</f>
        <v>-1104.3402500000002</v>
      </c>
      <c r="O12" s="597">
        <f>'ONS Sales Forecast'!CB66</f>
        <v>-1104.44325</v>
      </c>
      <c r="P12" s="4">
        <f>'ONS Sales Forecast'!CC66</f>
        <v>-1070.7725500000001</v>
      </c>
      <c r="Q12" s="4">
        <f>'ONS Sales Forecast'!CD66</f>
        <v>-988.08930000000009</v>
      </c>
      <c r="R12" s="4">
        <f t="shared" si="3"/>
        <v>-14454.927300000001</v>
      </c>
      <c r="S12" s="2"/>
    </row>
    <row r="13" spans="1:20" x14ac:dyDescent="0.2">
      <c r="A13" s="28"/>
      <c r="B13" s="4"/>
      <c r="D13" s="1"/>
      <c r="E13" s="1" t="s">
        <v>950</v>
      </c>
      <c r="F13" s="4">
        <f>'ONS Sales Forecast'!BS67</f>
        <v>-25.75</v>
      </c>
      <c r="G13" s="4">
        <f>'ONS Sales Forecast'!BT67</f>
        <v>-253.21520000000001</v>
      </c>
      <c r="H13" s="4">
        <f>'ONS Sales Forecast'!BU67</f>
        <v>-64.683999999999997</v>
      </c>
      <c r="I13" s="4">
        <f>'ONS Sales Forecast'!BV67</f>
        <v>-1630.46425</v>
      </c>
      <c r="J13" s="4">
        <f>'ONS Sales Forecast'!BW67</f>
        <v>0</v>
      </c>
      <c r="K13" s="4">
        <f>'ONS Sales Forecast'!BX67</f>
        <v>0</v>
      </c>
      <c r="L13" s="4">
        <f>'ONS Sales Forecast'!BY67</f>
        <v>0</v>
      </c>
      <c r="M13" s="4">
        <f>'ONS Sales Forecast'!BZ67</f>
        <v>0</v>
      </c>
      <c r="N13" s="4">
        <f>'ONS Sales Forecast'!CA67</f>
        <v>-124.81025</v>
      </c>
      <c r="O13" s="597">
        <f>'ONS Sales Forecast'!CB67</f>
        <v>-113.88195</v>
      </c>
      <c r="P13" s="4">
        <f>'ONS Sales Forecast'!CC67</f>
        <v>-67.887299999999996</v>
      </c>
      <c r="Q13" s="4">
        <f>'ONS Sales Forecast'!CD67</f>
        <v>0</v>
      </c>
      <c r="R13" s="4">
        <f t="shared" si="3"/>
        <v>-2280.6929499999997</v>
      </c>
      <c r="S13" s="2"/>
    </row>
    <row r="14" spans="1:20" x14ac:dyDescent="0.2">
      <c r="A14" s="28" t="s">
        <v>205</v>
      </c>
      <c r="B14" s="4">
        <v>2416.83</v>
      </c>
      <c r="D14" s="16"/>
      <c r="E14" s="23" t="s">
        <v>200</v>
      </c>
      <c r="F14" s="17">
        <f>SUM(F7:F13)</f>
        <v>-129391.67512851999</v>
      </c>
      <c r="G14" s="700">
        <f t="shared" ref="G14:Q14" si="4">SUM(G7:G13)</f>
        <v>-115678.56798330561</v>
      </c>
      <c r="H14" s="17">
        <f t="shared" si="4"/>
        <v>-135541.8521616362</v>
      </c>
      <c r="I14" s="17">
        <f t="shared" si="4"/>
        <v>-130158.68086163618</v>
      </c>
      <c r="J14" s="17">
        <f t="shared" si="4"/>
        <v>-127598.9414083056</v>
      </c>
      <c r="K14" s="17">
        <f t="shared" si="4"/>
        <v>-134912.17803497089</v>
      </c>
      <c r="L14" s="17">
        <f t="shared" si="4"/>
        <v>-112466.5602583056</v>
      </c>
      <c r="M14" s="17">
        <f t="shared" si="4"/>
        <v>-116012.62255830559</v>
      </c>
      <c r="N14" s="17">
        <f t="shared" si="4"/>
        <v>-142206.77103663617</v>
      </c>
      <c r="O14" s="17">
        <f t="shared" si="4"/>
        <v>-134804.1068583056</v>
      </c>
      <c r="P14" s="17">
        <f t="shared" si="4"/>
        <v>-141480.1032099709</v>
      </c>
      <c r="Q14" s="17">
        <f t="shared" si="4"/>
        <v>-139270.00100997087</v>
      </c>
      <c r="R14" s="17">
        <f>SUM(F14:Q14)</f>
        <v>-1559522.0605098694</v>
      </c>
      <c r="S14" s="543" t="b">
        <f>R14='ONS Sales Forecast'!CE69</f>
        <v>1</v>
      </c>
    </row>
    <row r="15" spans="1:20" x14ac:dyDescent="0.2">
      <c r="A15" s="28" t="s">
        <v>209</v>
      </c>
      <c r="B15" s="4">
        <v>2000</v>
      </c>
      <c r="C15" t="s">
        <v>379</v>
      </c>
      <c r="D15" s="1" t="s">
        <v>202</v>
      </c>
      <c r="E15" s="1" t="s">
        <v>909</v>
      </c>
      <c r="F15" s="5">
        <f>-SUM('ONS Fixed Costs'!O9,'ONS Fixed Costs'!O10,'ONS Fixed Costs'!O13,'ONS Fixed Costs'!O11,'ONS Fixed Costs'!O12,'ONS Fixed Costs'!O14)</f>
        <v>-3624.8066666666668</v>
      </c>
      <c r="G15" s="697">
        <f>F15</f>
        <v>-3624.8066666666668</v>
      </c>
      <c r="H15" s="5">
        <f>G15</f>
        <v>-3624.8066666666668</v>
      </c>
      <c r="I15" s="5">
        <f t="shared" ref="I15:Q16" si="5">H15</f>
        <v>-3624.8066666666668</v>
      </c>
      <c r="J15" s="5">
        <f t="shared" si="5"/>
        <v>-3624.8066666666668</v>
      </c>
      <c r="K15" s="5">
        <f t="shared" si="5"/>
        <v>-3624.8066666666668</v>
      </c>
      <c r="L15" s="5">
        <f t="shared" si="5"/>
        <v>-3624.8066666666668</v>
      </c>
      <c r="M15" s="5">
        <f t="shared" si="5"/>
        <v>-3624.8066666666668</v>
      </c>
      <c r="N15" s="5">
        <f t="shared" si="5"/>
        <v>-3624.8066666666668</v>
      </c>
      <c r="O15" s="5">
        <f t="shared" si="5"/>
        <v>-3624.8066666666668</v>
      </c>
      <c r="P15" s="5">
        <f t="shared" si="5"/>
        <v>-3624.8066666666668</v>
      </c>
      <c r="Q15" s="5">
        <f t="shared" si="5"/>
        <v>-3624.8066666666668</v>
      </c>
      <c r="R15" s="5">
        <f>SUM(F15:Q15)</f>
        <v>-43497.679999999993</v>
      </c>
      <c r="S15" s="2"/>
    </row>
    <row r="16" spans="1:20" x14ac:dyDescent="0.2">
      <c r="A16" s="28" t="s">
        <v>210</v>
      </c>
      <c r="B16" s="4">
        <v>1775.5</v>
      </c>
      <c r="D16" t="s">
        <v>380</v>
      </c>
      <c r="E16" s="1" t="s">
        <v>913</v>
      </c>
      <c r="F16" s="5">
        <f>-'ONS Fixed Costs'!O2</f>
        <v>-67.575833333333335</v>
      </c>
      <c r="G16" s="697">
        <f>F16</f>
        <v>-67.575833333333335</v>
      </c>
      <c r="H16" s="5">
        <f>G16</f>
        <v>-67.575833333333335</v>
      </c>
      <c r="I16" s="5">
        <f t="shared" si="5"/>
        <v>-67.575833333333335</v>
      </c>
      <c r="J16" s="5">
        <f t="shared" si="5"/>
        <v>-67.575833333333335</v>
      </c>
      <c r="K16" s="5">
        <f t="shared" si="5"/>
        <v>-67.575833333333335</v>
      </c>
      <c r="L16" s="5">
        <f t="shared" si="5"/>
        <v>-67.575833333333335</v>
      </c>
      <c r="M16" s="5">
        <f t="shared" si="5"/>
        <v>-67.575833333333335</v>
      </c>
      <c r="N16" s="5">
        <f t="shared" si="5"/>
        <v>-67.575833333333335</v>
      </c>
      <c r="O16" s="5">
        <f t="shared" si="5"/>
        <v>-67.575833333333335</v>
      </c>
      <c r="P16" s="5">
        <f t="shared" si="5"/>
        <v>-67.575833333333335</v>
      </c>
      <c r="Q16" s="5">
        <f t="shared" si="5"/>
        <v>-67.575833333333335</v>
      </c>
      <c r="R16" s="5">
        <f t="shared" si="3"/>
        <v>-810.91</v>
      </c>
    </row>
    <row r="17" spans="1:21" x14ac:dyDescent="0.2">
      <c r="A17" s="28" t="s">
        <v>381</v>
      </c>
      <c r="B17" s="4">
        <v>1000</v>
      </c>
      <c r="D17" s="1" t="s">
        <v>206</v>
      </c>
      <c r="E17" s="1" t="s">
        <v>89</v>
      </c>
      <c r="F17" s="5">
        <f>-'ONS Fixed Costs'!$Q$28</f>
        <v>-456.86993176250002</v>
      </c>
      <c r="G17" s="697">
        <f>-'ONS Fixed Costs'!$Q$28</f>
        <v>-456.86993176250002</v>
      </c>
      <c r="H17" s="5">
        <f>-'ONS Fixed Costs'!$Q$28</f>
        <v>-456.86993176250002</v>
      </c>
      <c r="I17" s="5">
        <f>-'ONS Fixed Costs'!$Q$28</f>
        <v>-456.86993176250002</v>
      </c>
      <c r="J17" s="5">
        <f>-'ONS Fixed Costs'!$Q$28</f>
        <v>-456.86993176250002</v>
      </c>
      <c r="K17" s="5">
        <f>-'ONS Fixed Costs'!$Q$28</f>
        <v>-456.86993176250002</v>
      </c>
      <c r="L17" s="5">
        <f>-'ONS Fixed Costs'!$Q$28</f>
        <v>-456.86993176250002</v>
      </c>
      <c r="M17" s="5">
        <f>-'ONS Fixed Costs'!$Q$28</f>
        <v>-456.86993176250002</v>
      </c>
      <c r="N17" s="5">
        <f>-'ONS Fixed Costs'!$Q$28</f>
        <v>-456.86993176250002</v>
      </c>
      <c r="O17" s="5">
        <f>-'ONS Fixed Costs'!$Q$28</f>
        <v>-456.86993176250002</v>
      </c>
      <c r="P17" s="5">
        <f>-'ONS Fixed Costs'!$Q$28</f>
        <v>-456.86993176250002</v>
      </c>
      <c r="Q17" s="5">
        <f>-'ONS Fixed Costs'!$Q$28</f>
        <v>-456.86993176250002</v>
      </c>
      <c r="R17" s="5">
        <f t="shared" si="3"/>
        <v>-5482.4391811499991</v>
      </c>
    </row>
    <row r="18" spans="1:21" x14ac:dyDescent="0.2">
      <c r="A18" s="28" t="s">
        <v>382</v>
      </c>
      <c r="B18" s="4">
        <v>9629.25</v>
      </c>
      <c r="D18" s="1" t="s">
        <v>206</v>
      </c>
      <c r="E18" s="169" t="s">
        <v>383</v>
      </c>
      <c r="F18" s="5">
        <f>-'ONS Fixed Costs'!H21</f>
        <v>-490</v>
      </c>
      <c r="G18" s="697">
        <f>F18</f>
        <v>-490</v>
      </c>
      <c r="H18" s="5">
        <f>G18</f>
        <v>-490</v>
      </c>
      <c r="I18" s="5">
        <f t="shared" ref="I18:Q18" si="6">H18</f>
        <v>-490</v>
      </c>
      <c r="J18" s="5">
        <f t="shared" si="6"/>
        <v>-490</v>
      </c>
      <c r="K18" s="5">
        <f t="shared" si="6"/>
        <v>-490</v>
      </c>
      <c r="L18" s="5">
        <f t="shared" si="6"/>
        <v>-490</v>
      </c>
      <c r="M18" s="5">
        <f t="shared" si="6"/>
        <v>-490</v>
      </c>
      <c r="N18" s="5">
        <f t="shared" si="6"/>
        <v>-490</v>
      </c>
      <c r="O18" s="5">
        <f t="shared" si="6"/>
        <v>-490</v>
      </c>
      <c r="P18" s="5">
        <f t="shared" si="6"/>
        <v>-490</v>
      </c>
      <c r="Q18" s="5">
        <f t="shared" si="6"/>
        <v>-490</v>
      </c>
      <c r="R18" s="5">
        <f t="shared" si="3"/>
        <v>-5880</v>
      </c>
    </row>
    <row r="19" spans="1:21" x14ac:dyDescent="0.2">
      <c r="A19" s="28"/>
      <c r="B19" s="4"/>
      <c r="D19" s="1" t="s">
        <v>211</v>
      </c>
      <c r="E19" s="1" t="s">
        <v>213</v>
      </c>
      <c r="F19" s="5">
        <f>-'ONS Fixed Costs'!C47-'ONS Fixed Costs'!C48</f>
        <v>-21013.173704000001</v>
      </c>
      <c r="G19" s="697">
        <f>-'ONS Fixed Costs'!D47-'ONS Fixed Costs'!D48</f>
        <v>-18567.167189120002</v>
      </c>
      <c r="H19" s="5">
        <f>-'ONS Fixed Costs'!E47-'ONS Fixed Costs'!E48</f>
        <v>-20423.883908032003</v>
      </c>
      <c r="I19" s="5">
        <f>-'ONS Fixed Costs'!F47-'ONS Fixed Costs'!F48</f>
        <v>-20423.883908032003</v>
      </c>
      <c r="J19" s="5">
        <f>-'ONS Fixed Costs'!G47-'ONS Fixed Costs'!G48</f>
        <v>-18567.167189120002</v>
      </c>
      <c r="K19" s="5">
        <f>-'ONS Fixed Costs'!H47-'ONS Fixed Costs'!H48</f>
        <v>-19495.525548576003</v>
      </c>
      <c r="L19" s="5">
        <f>-'ONS Fixed Costs'!I47-'ONS Fixed Costs'!I48</f>
        <v>-18567.167189120002</v>
      </c>
      <c r="M19" s="5">
        <f>-'ONS Fixed Costs'!J47-'ONS Fixed Costs'!J48</f>
        <v>-18567.167189120002</v>
      </c>
      <c r="N19" s="5">
        <f>-'ONS Fixed Costs'!K47-'ONS Fixed Costs'!K48</f>
        <v>-20423.883908032003</v>
      </c>
      <c r="O19" s="5">
        <f>-'ONS Fixed Costs'!L47-'ONS Fixed Costs'!L48</f>
        <v>-18567.167189120002</v>
      </c>
      <c r="P19" s="5">
        <f>-'ONS Fixed Costs'!M47-'ONS Fixed Costs'!M48</f>
        <v>-19495.525548576003</v>
      </c>
      <c r="Q19" s="5">
        <f>-'ONS Fixed Costs'!N47-'ONS Fixed Costs'!N48</f>
        <v>-19495.525548576003</v>
      </c>
      <c r="R19" s="5">
        <f t="shared" si="3"/>
        <v>-233607.238019424</v>
      </c>
    </row>
    <row r="20" spans="1:21" x14ac:dyDescent="0.2">
      <c r="A20" s="28"/>
      <c r="B20" s="4"/>
      <c r="D20" s="1" t="s">
        <v>211</v>
      </c>
      <c r="E20" s="1" t="s">
        <v>214</v>
      </c>
      <c r="F20" s="5">
        <f>-'ONS Fixed Costs'!C49</f>
        <v>-2521.58084448</v>
      </c>
      <c r="G20" s="697">
        <f>-'ONS Fixed Costs'!D49</f>
        <v>-2228.0600626944001</v>
      </c>
      <c r="H20" s="5">
        <f>-'ONS Fixed Costs'!E49</f>
        <v>-2450.8660689638405</v>
      </c>
      <c r="I20" s="5">
        <f>-'ONS Fixed Costs'!F49</f>
        <v>-2450.8660689638405</v>
      </c>
      <c r="J20" s="5">
        <f>-'ONS Fixed Costs'!G49</f>
        <v>-2228.0600626944001</v>
      </c>
      <c r="K20" s="5">
        <f>-'ONS Fixed Costs'!H49</f>
        <v>-2339.4630658291203</v>
      </c>
      <c r="L20" s="5">
        <f>-'ONS Fixed Costs'!I49</f>
        <v>-2228.0600626944001</v>
      </c>
      <c r="M20" s="5">
        <f>-'ONS Fixed Costs'!J49</f>
        <v>-2228.0600626944001</v>
      </c>
      <c r="N20" s="5">
        <f>-'ONS Fixed Costs'!K49</f>
        <v>-2450.8660689638405</v>
      </c>
      <c r="O20" s="5">
        <f>-'ONS Fixed Costs'!L49</f>
        <v>-2228.0600626944001</v>
      </c>
      <c r="P20" s="5">
        <f>-'ONS Fixed Costs'!M49</f>
        <v>-2339.4630658291203</v>
      </c>
      <c r="Q20" s="5">
        <f>-'ONS Fixed Costs'!N49</f>
        <v>-2339.4630658291203</v>
      </c>
      <c r="R20" s="5">
        <f t="shared" si="3"/>
        <v>-28032.868562330885</v>
      </c>
    </row>
    <row r="21" spans="1:21" x14ac:dyDescent="0.2">
      <c r="A21" s="28"/>
      <c r="B21" s="4"/>
      <c r="D21" s="1" t="s">
        <v>211</v>
      </c>
      <c r="E21" s="1" t="s">
        <v>912</v>
      </c>
      <c r="F21" s="5">
        <f>-SUM('ONS Fixed Costs'!$O$3:$O$8)</f>
        <v>-945.95846153846151</v>
      </c>
      <c r="G21" s="697">
        <f>-SUM('ONS Fixed Costs'!$O$3:$O$8)</f>
        <v>-945.95846153846151</v>
      </c>
      <c r="H21" s="5">
        <f>-SUM('ONS Fixed Costs'!$O$3:$O$8)</f>
        <v>-945.95846153846151</v>
      </c>
      <c r="I21" s="5">
        <f>-SUM('ONS Fixed Costs'!$O$3:$O$8)</f>
        <v>-945.95846153846151</v>
      </c>
      <c r="J21" s="5">
        <f>-SUM('ONS Fixed Costs'!$O$3:$O$8)</f>
        <v>-945.95846153846151</v>
      </c>
      <c r="K21" s="5">
        <f>-SUM('ONS Fixed Costs'!$O$3:$O$8)</f>
        <v>-945.95846153846151</v>
      </c>
      <c r="L21" s="5">
        <f>-SUM('ONS Fixed Costs'!$O$3:$O$8)</f>
        <v>-945.95846153846151</v>
      </c>
      <c r="M21" s="5">
        <f>-SUM('ONS Fixed Costs'!$O$3:$O$8)</f>
        <v>-945.95846153846151</v>
      </c>
      <c r="N21" s="5">
        <f>-SUM('ONS Fixed Costs'!$O$3:$O$8)</f>
        <v>-945.95846153846151</v>
      </c>
      <c r="O21" s="5">
        <f>-SUM('ONS Fixed Costs'!$O$3:$O$8)</f>
        <v>-945.95846153846151</v>
      </c>
      <c r="P21" s="5">
        <f>-SUM('ONS Fixed Costs'!$O$3:$O$8)</f>
        <v>-945.95846153846151</v>
      </c>
      <c r="Q21" s="5">
        <f>-SUM('ONS Fixed Costs'!$O$3:$O$8)</f>
        <v>-945.95846153846151</v>
      </c>
      <c r="R21" s="5">
        <f t="shared" si="3"/>
        <v>-11351.501538461534</v>
      </c>
    </row>
    <row r="22" spans="1:21" x14ac:dyDescent="0.2">
      <c r="A22" s="28" t="s">
        <v>221</v>
      </c>
      <c r="B22" s="4">
        <v>-6684.5299999999988</v>
      </c>
      <c r="D22" s="1" t="s">
        <v>206</v>
      </c>
      <c r="E22" s="1" t="s">
        <v>216</v>
      </c>
      <c r="F22" s="5">
        <v>-200</v>
      </c>
      <c r="G22" s="697">
        <v>-200</v>
      </c>
      <c r="H22" s="5">
        <v>-200</v>
      </c>
      <c r="I22" s="5">
        <v>-200</v>
      </c>
      <c r="J22" s="5">
        <v>-200</v>
      </c>
      <c r="K22" s="5">
        <v>-200</v>
      </c>
      <c r="L22" s="5">
        <v>-200</v>
      </c>
      <c r="M22" s="5">
        <v>-200</v>
      </c>
      <c r="N22" s="5">
        <v>-200</v>
      </c>
      <c r="O22" s="5">
        <v>-200</v>
      </c>
      <c r="P22" s="5">
        <v>-200</v>
      </c>
      <c r="Q22" s="5">
        <v>-200</v>
      </c>
      <c r="R22" s="5">
        <f t="shared" si="3"/>
        <v>-2400</v>
      </c>
    </row>
    <row r="23" spans="1:21" x14ac:dyDescent="0.2">
      <c r="A23" s="28" t="s">
        <v>384</v>
      </c>
      <c r="B23" s="4">
        <v>-1243504.1399999994</v>
      </c>
      <c r="D23" s="15"/>
      <c r="E23" s="23" t="s">
        <v>218</v>
      </c>
      <c r="F23" s="17">
        <f>SUM(F15:F22)</f>
        <v>-29319.965441780962</v>
      </c>
      <c r="G23" s="17">
        <f>SUM(G15:G22)</f>
        <v>-26580.438145115364</v>
      </c>
      <c r="H23" s="17">
        <f t="shared" ref="H23:Q23" si="7">SUM(H15:H22)</f>
        <v>-28659.960870296807</v>
      </c>
      <c r="I23" s="17">
        <f t="shared" si="7"/>
        <v>-28659.960870296807</v>
      </c>
      <c r="J23" s="17">
        <f t="shared" si="7"/>
        <v>-26580.438145115364</v>
      </c>
      <c r="K23" s="17">
        <f t="shared" si="7"/>
        <v>-27620.199507706086</v>
      </c>
      <c r="L23" s="17">
        <f t="shared" si="7"/>
        <v>-26580.438145115364</v>
      </c>
      <c r="M23" s="17">
        <f t="shared" si="7"/>
        <v>-26580.438145115364</v>
      </c>
      <c r="N23" s="17">
        <f t="shared" si="7"/>
        <v>-28659.960870296807</v>
      </c>
      <c r="O23" s="17">
        <f t="shared" si="7"/>
        <v>-26580.438145115364</v>
      </c>
      <c r="P23" s="17">
        <f t="shared" si="7"/>
        <v>-27620.199507706086</v>
      </c>
      <c r="Q23" s="17">
        <f t="shared" si="7"/>
        <v>-27620.199507706086</v>
      </c>
      <c r="R23" s="17">
        <f t="shared" si="3"/>
        <v>-331062.63730136654</v>
      </c>
    </row>
    <row r="24" spans="1:21" x14ac:dyDescent="0.2">
      <c r="A24" s="28" t="s">
        <v>385</v>
      </c>
      <c r="B24" s="4">
        <v>-142399.10999999996</v>
      </c>
      <c r="D24" s="1"/>
      <c r="E24" s="23" t="s">
        <v>13</v>
      </c>
      <c r="F24" s="17">
        <f>+F6+F14</f>
        <v>109468.99487148</v>
      </c>
      <c r="G24" s="17">
        <f t="shared" ref="G24:P24" si="8">+G6+G14</f>
        <v>140628.76201669438</v>
      </c>
      <c r="H24" s="17">
        <f t="shared" si="8"/>
        <v>112474.91783836379</v>
      </c>
      <c r="I24" s="17">
        <f t="shared" si="8"/>
        <v>132888.08913836384</v>
      </c>
      <c r="J24" s="17">
        <f t="shared" si="8"/>
        <v>134767.82859169442</v>
      </c>
      <c r="K24" s="17">
        <f t="shared" si="8"/>
        <v>116404.5919650291</v>
      </c>
      <c r="L24" s="17">
        <f t="shared" si="8"/>
        <v>149900.20974169442</v>
      </c>
      <c r="M24" s="17">
        <f t="shared" si="8"/>
        <v>146354.14744169443</v>
      </c>
      <c r="N24" s="17">
        <f t="shared" si="8"/>
        <v>110809.99896336382</v>
      </c>
      <c r="O24" s="17">
        <f t="shared" si="8"/>
        <v>126462.66314169439</v>
      </c>
      <c r="P24" s="17">
        <f t="shared" si="8"/>
        <v>117470.00679002912</v>
      </c>
      <c r="Q24" s="17">
        <f>+Q6+Q14</f>
        <v>103173.10899002914</v>
      </c>
      <c r="R24" s="119">
        <f>ROUND(+R6+R14,2)</f>
        <v>1500803.32</v>
      </c>
      <c r="S24" s="543" t="b">
        <f>R24='ONS Sales Forecast'!CE71</f>
        <v>0</v>
      </c>
      <c r="U24" s="9"/>
    </row>
    <row r="25" spans="1:21" x14ac:dyDescent="0.2">
      <c r="A25" s="28" t="s">
        <v>386</v>
      </c>
      <c r="B25" s="4">
        <v>-470.59</v>
      </c>
      <c r="D25" s="22"/>
      <c r="E25" s="24" t="s">
        <v>14</v>
      </c>
      <c r="F25" s="21">
        <f>+F24/F6</f>
        <v>0.45829644064667491</v>
      </c>
      <c r="G25" s="21">
        <f t="shared" ref="G25:R25" si="9">+G24/G6</f>
        <v>0.5486724161056743</v>
      </c>
      <c r="H25" s="21">
        <f t="shared" si="9"/>
        <v>0.45349722858806601</v>
      </c>
      <c r="I25" s="21">
        <f t="shared" si="9"/>
        <v>0.5051880665113806</v>
      </c>
      <c r="J25" s="21">
        <f t="shared" si="9"/>
        <v>0.5136619572352642</v>
      </c>
      <c r="K25" s="21">
        <f t="shared" si="9"/>
        <v>0.46317876823352899</v>
      </c>
      <c r="L25" s="21">
        <f t="shared" si="9"/>
        <v>0.57133839678589782</v>
      </c>
      <c r="M25" s="21">
        <f t="shared" si="9"/>
        <v>0.55782272824296464</v>
      </c>
      <c r="N25" s="21">
        <f t="shared" si="9"/>
        <v>0.43795515595019185</v>
      </c>
      <c r="O25" s="21">
        <f t="shared" si="9"/>
        <v>0.48403653913467215</v>
      </c>
      <c r="P25" s="21">
        <f t="shared" si="9"/>
        <v>0.45363953230229992</v>
      </c>
      <c r="Q25" s="21">
        <f t="shared" si="9"/>
        <v>0.42555595409590785</v>
      </c>
      <c r="R25" s="21">
        <f t="shared" si="9"/>
        <v>0.49040645475416739</v>
      </c>
    </row>
    <row r="26" spans="1:21" x14ac:dyDescent="0.2">
      <c r="A26" s="28" t="s">
        <v>388</v>
      </c>
      <c r="B26" s="4">
        <v>-149126.32999999993</v>
      </c>
      <c r="D26" s="1"/>
      <c r="E26" s="23" t="s">
        <v>223</v>
      </c>
      <c r="F26" s="17">
        <f>F24-F40</f>
        <v>16093.228889554259</v>
      </c>
      <c r="G26" s="17">
        <f>G24-G40</f>
        <v>39527.442999819148</v>
      </c>
      <c r="H26" s="17">
        <f t="shared" ref="H26:Q26" si="10">H24-H40</f>
        <v>9294.076096307137</v>
      </c>
      <c r="I26" s="17">
        <f>I24-I40</f>
        <v>29707.247396307182</v>
      </c>
      <c r="J26" s="17">
        <f t="shared" si="10"/>
        <v>33666.509574819182</v>
      </c>
      <c r="K26" s="17">
        <f t="shared" si="10"/>
        <v>14263.511585563159</v>
      </c>
      <c r="L26" s="17">
        <f>L24-L40</f>
        <v>48798.890724819183</v>
      </c>
      <c r="M26" s="17">
        <f t="shared" si="10"/>
        <v>45252.828424819192</v>
      </c>
      <c r="N26" s="17">
        <f t="shared" si="10"/>
        <v>7629.1572213071631</v>
      </c>
      <c r="O26" s="17">
        <f t="shared" si="10"/>
        <v>25361.344124819152</v>
      </c>
      <c r="P26" s="17">
        <f t="shared" si="10"/>
        <v>15328.926410563174</v>
      </c>
      <c r="Q26" s="17">
        <f t="shared" si="10"/>
        <v>1032.0286105631967</v>
      </c>
      <c r="R26" s="17">
        <f t="shared" si="3"/>
        <v>285955.19205926114</v>
      </c>
    </row>
    <row r="27" spans="1:21" x14ac:dyDescent="0.2">
      <c r="A27" s="28" t="s">
        <v>389</v>
      </c>
      <c r="B27" s="4">
        <v>-13288.520000000002</v>
      </c>
      <c r="E27" s="24" t="s">
        <v>390</v>
      </c>
      <c r="F27" s="585">
        <f>+F26/F6</f>
        <v>6.7374963360666534E-2</v>
      </c>
      <c r="G27" s="585">
        <f>+G26/G6</f>
        <v>0.15421893318392085</v>
      </c>
      <c r="H27" s="585">
        <f>+H26/H6</f>
        <v>3.7473579291864567E-2</v>
      </c>
      <c r="I27" s="585">
        <f>+I26/I6</f>
        <v>0.11293522971716087</v>
      </c>
      <c r="J27" s="585">
        <f t="shared" ref="J27:R27" si="11">+J26/J6</f>
        <v>0.1283184969453989</v>
      </c>
      <c r="K27" s="585">
        <f t="shared" si="11"/>
        <v>5.6755112623654839E-2</v>
      </c>
      <c r="L27" s="585">
        <f t="shared" si="11"/>
        <v>0.18599493649603255</v>
      </c>
      <c r="M27" s="585">
        <f t="shared" si="11"/>
        <v>0.17247926795309934</v>
      </c>
      <c r="N27" s="585">
        <f t="shared" si="11"/>
        <v>3.0152772961678245E-2</v>
      </c>
      <c r="O27" s="585">
        <f t="shared" si="11"/>
        <v>9.7070684208401828E-2</v>
      </c>
      <c r="P27" s="585">
        <f t="shared" si="11"/>
        <v>5.9196446800363102E-2</v>
      </c>
      <c r="Q27" s="585">
        <f t="shared" si="11"/>
        <v>4.2567867181838937E-3</v>
      </c>
      <c r="R27" s="585">
        <f t="shared" si="11"/>
        <v>9.3439473439017512E-2</v>
      </c>
    </row>
    <row r="28" spans="1:21" x14ac:dyDescent="0.2">
      <c r="A28" s="28" t="s">
        <v>231</v>
      </c>
      <c r="B28" s="4">
        <v>-566.67999999999995</v>
      </c>
    </row>
    <row r="29" spans="1:21" x14ac:dyDescent="0.2">
      <c r="A29" s="1" t="s">
        <v>391</v>
      </c>
      <c r="B29" s="4">
        <v>-150</v>
      </c>
    </row>
    <row r="30" spans="1:21" x14ac:dyDescent="0.2">
      <c r="A30" s="1" t="s">
        <v>392</v>
      </c>
      <c r="B30" s="4">
        <v>-5366.6900000000014</v>
      </c>
      <c r="E30" s="9"/>
      <c r="F30" s="9">
        <f>+F23+F14</f>
        <v>-158711.64057030095</v>
      </c>
      <c r="G30" s="9">
        <f t="shared" ref="G30:Q30" si="12">+G23+G14</f>
        <v>-142259.00612842097</v>
      </c>
      <c r="H30" s="9">
        <f t="shared" si="12"/>
        <v>-164201.81303193301</v>
      </c>
      <c r="I30" s="9">
        <f t="shared" si="12"/>
        <v>-158818.64173193299</v>
      </c>
      <c r="J30" s="9">
        <f t="shared" si="12"/>
        <v>-154179.37955342096</v>
      </c>
      <c r="K30" s="9">
        <f t="shared" si="12"/>
        <v>-162532.37754267699</v>
      </c>
      <c r="L30" s="9">
        <f t="shared" si="12"/>
        <v>-139046.99840342096</v>
      </c>
      <c r="M30" s="9">
        <f t="shared" si="12"/>
        <v>-142593.06070342095</v>
      </c>
      <c r="N30" s="9">
        <f t="shared" si="12"/>
        <v>-170866.73190693298</v>
      </c>
      <c r="O30" s="9">
        <f t="shared" si="12"/>
        <v>-161384.54500342096</v>
      </c>
      <c r="P30" s="9">
        <f t="shared" si="12"/>
        <v>-169100.30271767697</v>
      </c>
      <c r="Q30" s="9">
        <f t="shared" si="12"/>
        <v>-166890.20051767695</v>
      </c>
      <c r="R30" s="9">
        <f>SUM(F30:Q30)</f>
        <v>-1890584.6978112359</v>
      </c>
      <c r="S30" s="1"/>
    </row>
    <row r="31" spans="1:21" x14ac:dyDescent="0.2">
      <c r="B31" s="4"/>
    </row>
    <row r="32" spans="1:21" x14ac:dyDescent="0.2">
      <c r="A32" s="73" t="s">
        <v>238</v>
      </c>
      <c r="B32" s="74">
        <f>SUM(B19:B31)</f>
        <v>-1561556.5899999992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7" x14ac:dyDescent="0.2">
      <c r="A33" s="1" t="s">
        <v>44</v>
      </c>
      <c r="B33" s="4">
        <v>-7700</v>
      </c>
      <c r="D33" s="37"/>
      <c r="E33" s="185" t="s">
        <v>393</v>
      </c>
      <c r="F33" s="76"/>
      <c r="G33" s="76"/>
      <c r="H33" s="76"/>
      <c r="I33" s="76"/>
      <c r="J33" s="76"/>
      <c r="K33" s="76"/>
      <c r="L33" s="38"/>
      <c r="M33" s="38"/>
      <c r="N33" s="38"/>
      <c r="O33" s="38"/>
      <c r="P33" s="9"/>
    </row>
    <row r="34" spans="1:17" x14ac:dyDescent="0.2">
      <c r="A34" s="1" t="s">
        <v>49</v>
      </c>
      <c r="B34" s="4">
        <v>-2136.5100000000002</v>
      </c>
      <c r="E34" s="1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9"/>
    </row>
    <row r="35" spans="1:17" x14ac:dyDescent="0.2">
      <c r="A35" s="1" t="s">
        <v>51</v>
      </c>
      <c r="B35" s="4">
        <v>-76.14</v>
      </c>
      <c r="D35" s="9"/>
      <c r="E35" t="s">
        <v>59</v>
      </c>
      <c r="F35" s="76">
        <v>1229.1464083333333</v>
      </c>
      <c r="G35" s="76">
        <f>'FY27 Budget - detailed'!$B$40-G16</f>
        <v>1229.1464083333333</v>
      </c>
      <c r="H35" s="76">
        <f>'FY27 Budget - detailed'!$B$40-H16</f>
        <v>1229.1464083333333</v>
      </c>
      <c r="I35" s="76">
        <f>'FY27 Budget - detailed'!$B$40-I16</f>
        <v>1229.1464083333333</v>
      </c>
      <c r="J35" s="76">
        <f>'FY27 Budget - detailed'!$B$40-J16</f>
        <v>1229.1464083333333</v>
      </c>
      <c r="K35" s="76">
        <f>'FY27 Budget - detailed'!$B$40-K16</f>
        <v>1229.1464083333333</v>
      </c>
      <c r="L35" s="76">
        <f>'FY27 Budget - detailed'!$B$40-L16</f>
        <v>1229.1464083333333</v>
      </c>
      <c r="M35" s="76">
        <f>'FY27 Budget - detailed'!$B$40-M16</f>
        <v>1229.1464083333333</v>
      </c>
      <c r="N35" s="76">
        <f>'FY27 Budget - detailed'!$B$40-N16</f>
        <v>1229.1464083333333</v>
      </c>
      <c r="O35" s="76">
        <f>'FY27 Budget - detailed'!$B$40-O16</f>
        <v>1229.1464083333333</v>
      </c>
      <c r="P35" s="76">
        <f>'FY27 Budget - detailed'!$B$40-P16</f>
        <v>1229.1464083333333</v>
      </c>
      <c r="Q35" s="76">
        <f>'FY27 Budget - detailed'!$B$40-Q16</f>
        <v>1229.1464083333333</v>
      </c>
    </row>
    <row r="36" spans="1:17" x14ac:dyDescent="0.2">
      <c r="A36" s="1" t="s">
        <v>57</v>
      </c>
      <c r="B36" s="4">
        <v>-183.28</v>
      </c>
      <c r="E36" t="s">
        <v>232</v>
      </c>
      <c r="F36" s="76">
        <v>71949.723770088618</v>
      </c>
      <c r="G36" s="76">
        <f>'FY27 Budget - detailed'!$B$68-SUM(G19:G21)</f>
        <v>67423.970834888853</v>
      </c>
      <c r="H36" s="76">
        <f>'FY27 Budget - detailed'!$B$68-SUM(H19:H21)</f>
        <v>69503.493560070288</v>
      </c>
      <c r="I36" s="76">
        <f>'FY27 Budget - detailed'!$B$68-SUM(I19:I21)</f>
        <v>69503.493560070288</v>
      </c>
      <c r="J36" s="76">
        <f>'FY27 Budget - detailed'!$B$68-SUM(J19:J21)</f>
        <v>67423.970834888853</v>
      </c>
      <c r="K36" s="76">
        <f>'FY27 Budget - detailed'!$B$68-SUM(K19:K21)</f>
        <v>68463.732197479578</v>
      </c>
      <c r="L36" s="76">
        <f>'FY27 Budget - detailed'!$B$68-SUM(L19:L21)</f>
        <v>67423.970834888853</v>
      </c>
      <c r="M36" s="76">
        <f>'FY27 Budget - detailed'!$B$68-SUM(M19:M21)</f>
        <v>67423.970834888853</v>
      </c>
      <c r="N36" s="76">
        <f>'FY27 Budget - detailed'!$B$68-SUM(N19:N21)</f>
        <v>69503.493560070288</v>
      </c>
      <c r="O36" s="76">
        <f>'FY27 Budget - detailed'!$B$68-SUM(O19:O21)</f>
        <v>67423.970834888853</v>
      </c>
      <c r="P36" s="76">
        <f>'FY27 Budget - detailed'!$B$68-SUM(P19:P21)</f>
        <v>68463.732197479578</v>
      </c>
      <c r="Q36" s="76">
        <f>'FY27 Budget - detailed'!$B$68-SUM(Q19:Q21)</f>
        <v>68463.732197479578</v>
      </c>
    </row>
    <row r="37" spans="1:17" x14ac:dyDescent="0.2">
      <c r="A37" s="1" t="s">
        <v>60</v>
      </c>
      <c r="B37" s="4">
        <v>-726.96</v>
      </c>
      <c r="E37" t="s">
        <v>234</v>
      </c>
      <c r="F37" s="76">
        <v>9770.7749050995026</v>
      </c>
      <c r="G37" s="76">
        <f>'FY27 Budget - detailed'!$B$37-G15</f>
        <v>9853.2749050995026</v>
      </c>
      <c r="H37" s="76">
        <f>'FY27 Budget - detailed'!$B$37-H15</f>
        <v>9853.2749050995026</v>
      </c>
      <c r="I37" s="76">
        <f>'FY27 Budget - detailed'!$B$37-I15</f>
        <v>9853.2749050995026</v>
      </c>
      <c r="J37" s="76">
        <f>'FY27 Budget - detailed'!$B$37-J15</f>
        <v>9853.2749050995026</v>
      </c>
      <c r="K37" s="76">
        <f>'FY27 Budget - detailed'!$B$37-K15</f>
        <v>9853.2749050995026</v>
      </c>
      <c r="L37" s="76">
        <f>'FY27 Budget - detailed'!$B$37-L15</f>
        <v>9853.2749050995026</v>
      </c>
      <c r="M37" s="76">
        <f>'FY27 Budget - detailed'!$B$37-M15</f>
        <v>9853.2749050995026</v>
      </c>
      <c r="N37" s="76">
        <f>'FY27 Budget - detailed'!$B$37-N15</f>
        <v>9853.2749050995026</v>
      </c>
      <c r="O37" s="76">
        <f>'FY27 Budget - detailed'!$B$37-O15</f>
        <v>9853.2749050995026</v>
      </c>
      <c r="P37" s="76">
        <f>'FY27 Budget - detailed'!$B$37-P15</f>
        <v>9853.2749050995026</v>
      </c>
      <c r="Q37" s="76">
        <f>'FY27 Budget - detailed'!$B$37-Q15</f>
        <v>9853.2749050995026</v>
      </c>
    </row>
    <row r="38" spans="1:17" x14ac:dyDescent="0.2">
      <c r="A38" s="1" t="s">
        <v>62</v>
      </c>
      <c r="B38" s="4">
        <v>-19.079999999999998</v>
      </c>
      <c r="E38" t="s">
        <v>236</v>
      </c>
      <c r="F38" s="76">
        <v>10426.120898404291</v>
      </c>
      <c r="G38" s="76">
        <f>'FY27 Budget - detailed'!$B$42+'FY27 Budget - detailed'!$B$56-SUM(G17:G18,G22)</f>
        <v>22594.926868553543</v>
      </c>
      <c r="H38" s="76">
        <f>'FY27 Budget - detailed'!$B$42+'FY27 Budget - detailed'!$B$56-SUM(H17:H18,H22)</f>
        <v>22594.926868553543</v>
      </c>
      <c r="I38" s="76">
        <f>'FY27 Budget - detailed'!$B$42+'FY27 Budget - detailed'!$B$56-SUM(I17:I18,I22)</f>
        <v>22594.926868553543</v>
      </c>
      <c r="J38" s="76">
        <f>'FY27 Budget - detailed'!$B$42+'FY27 Budget - detailed'!$B$56-SUM(J17:J18,J22)</f>
        <v>22594.926868553543</v>
      </c>
      <c r="K38" s="76">
        <f>'FY27 Budget - detailed'!$B$42+'FY27 Budget - detailed'!$B$56-SUM(K17:K18,K22)</f>
        <v>22594.926868553543</v>
      </c>
      <c r="L38" s="76">
        <f>'FY27 Budget - detailed'!$B$42+'FY27 Budget - detailed'!$B$56-SUM(L17:L18,L22)</f>
        <v>22594.926868553543</v>
      </c>
      <c r="M38" s="76">
        <f>'FY27 Budget - detailed'!$B$42+'FY27 Budget - detailed'!$B$56-SUM(M17:M18,M22)</f>
        <v>22594.926868553543</v>
      </c>
      <c r="N38" s="76">
        <f>'FY27 Budget - detailed'!$B$42+'FY27 Budget - detailed'!$B$56-SUM(N17:N18,N22)</f>
        <v>22594.926868553543</v>
      </c>
      <c r="O38" s="76">
        <f>'FY27 Budget - detailed'!$B$42+'FY27 Budget - detailed'!$B$56-SUM(O17:O18,O22)</f>
        <v>22594.926868553543</v>
      </c>
      <c r="P38" s="76">
        <f>'FY27 Budget - detailed'!$B$42+'FY27 Budget - detailed'!$B$56-SUM(P17:P18,P22)</f>
        <v>22594.926868553543</v>
      </c>
      <c r="Q38" s="76">
        <f>'FY27 Budget - detailed'!$B$42+'FY27 Budget - detailed'!$B$56-SUM(Q17:Q18,Q22)</f>
        <v>22594.926868553543</v>
      </c>
    </row>
    <row r="39" spans="1:17" x14ac:dyDescent="0.2">
      <c r="A39" s="1" t="s">
        <v>64</v>
      </c>
      <c r="B39" s="4">
        <v>-17.399999999999999</v>
      </c>
      <c r="E39" s="1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6"/>
    </row>
    <row r="40" spans="1:17" x14ac:dyDescent="0.2">
      <c r="A40" s="1" t="s">
        <v>65</v>
      </c>
      <c r="B40" s="4">
        <v>-23.6</v>
      </c>
      <c r="E40" s="1"/>
      <c r="F40" s="76">
        <v>93375.765981925739</v>
      </c>
      <c r="G40" s="701">
        <f t="shared" ref="G40:I40" si="13">SUM(G35:G39)</f>
        <v>101101.31901687523</v>
      </c>
      <c r="H40" s="76">
        <f t="shared" si="13"/>
        <v>103180.84174205665</v>
      </c>
      <c r="I40" s="76">
        <f t="shared" si="13"/>
        <v>103180.84174205665</v>
      </c>
      <c r="J40" s="76">
        <f t="shared" ref="J40" si="14">SUM(J35:J39)</f>
        <v>101101.31901687523</v>
      </c>
      <c r="K40" s="76">
        <f t="shared" ref="K40:L40" si="15">SUM(K35:K39)</f>
        <v>102141.08037946594</v>
      </c>
      <c r="L40" s="76">
        <f t="shared" si="15"/>
        <v>101101.31901687523</v>
      </c>
      <c r="M40" s="76">
        <f t="shared" ref="M40" si="16">SUM(M35:M39)</f>
        <v>101101.31901687523</v>
      </c>
      <c r="N40" s="76">
        <f t="shared" ref="N40:O40" si="17">SUM(N35:N39)</f>
        <v>103180.84174205665</v>
      </c>
      <c r="O40" s="76">
        <f t="shared" si="17"/>
        <v>101101.31901687523</v>
      </c>
      <c r="P40" s="76">
        <f t="shared" ref="P40" si="18">SUM(P35:P39)</f>
        <v>102141.08037946594</v>
      </c>
      <c r="Q40" s="76">
        <f t="shared" ref="Q40" si="19">SUM(Q35:Q39)</f>
        <v>102141.08037946594</v>
      </c>
    </row>
    <row r="41" spans="1:17" x14ac:dyDescent="0.2">
      <c r="A41" s="1" t="s">
        <v>174</v>
      </c>
      <c r="B41" s="4">
        <v>-47440.69999999999</v>
      </c>
      <c r="E41" s="2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</row>
    <row r="42" spans="1:17" x14ac:dyDescent="0.2">
      <c r="A42" s="1" t="s">
        <v>175</v>
      </c>
      <c r="B42" s="4">
        <v>-7582.7500000000018</v>
      </c>
      <c r="E42" s="1"/>
      <c r="F42" s="78"/>
      <c r="G42" s="78"/>
      <c r="H42" s="78"/>
      <c r="I42" s="78"/>
      <c r="J42" s="78"/>
      <c r="K42" s="78"/>
      <c r="L42" s="39"/>
      <c r="M42" s="39"/>
      <c r="N42" s="39"/>
      <c r="O42" s="39"/>
    </row>
    <row r="43" spans="1:17" x14ac:dyDescent="0.2">
      <c r="A43" s="1" t="s">
        <v>69</v>
      </c>
      <c r="B43" s="4">
        <v>-321.67000000000007</v>
      </c>
      <c r="E43" s="1"/>
      <c r="F43" s="76"/>
      <c r="G43" s="76"/>
      <c r="H43" s="76"/>
      <c r="I43" s="76"/>
      <c r="J43" s="76"/>
      <c r="K43" s="76"/>
      <c r="L43" s="76"/>
      <c r="M43" s="76"/>
      <c r="N43" s="76"/>
      <c r="O43" s="76"/>
    </row>
    <row r="44" spans="1:17" x14ac:dyDescent="0.2">
      <c r="A44" s="1" t="s">
        <v>71</v>
      </c>
      <c r="B44" s="4">
        <v>-981.9899999999999</v>
      </c>
      <c r="P44" s="9"/>
    </row>
    <row r="45" spans="1:17" x14ac:dyDescent="0.2">
      <c r="A45" s="1" t="s">
        <v>75</v>
      </c>
      <c r="B45" s="4">
        <v>3051.93</v>
      </c>
      <c r="E45" s="5"/>
      <c r="F45" s="32"/>
      <c r="G45" s="32"/>
      <c r="H45" s="32"/>
      <c r="I45" s="32"/>
      <c r="J45" s="32"/>
      <c r="K45" s="32"/>
      <c r="L45" s="32"/>
      <c r="M45" s="32"/>
      <c r="N45" s="32"/>
      <c r="O45" s="32"/>
    </row>
    <row r="46" spans="1:17" x14ac:dyDescent="0.2">
      <c r="A46" s="1" t="s">
        <v>76</v>
      </c>
      <c r="B46" s="4">
        <v>-1014.78</v>
      </c>
      <c r="E46" s="1"/>
      <c r="F46" s="34"/>
      <c r="G46" s="34"/>
      <c r="H46" s="34"/>
      <c r="I46" s="34"/>
      <c r="J46" s="34"/>
      <c r="K46" s="34"/>
      <c r="L46" s="34"/>
      <c r="M46" s="34"/>
      <c r="N46" s="34"/>
      <c r="O46" s="34"/>
    </row>
    <row r="47" spans="1:17" x14ac:dyDescent="0.2">
      <c r="A47" s="1" t="s">
        <v>80</v>
      </c>
      <c r="B47" s="4">
        <v>-69445.939999999973</v>
      </c>
    </row>
    <row r="48" spans="1:17" x14ac:dyDescent="0.2">
      <c r="A48" s="1" t="s">
        <v>81</v>
      </c>
      <c r="B48" s="4">
        <v>-382.42999999999995</v>
      </c>
    </row>
    <row r="49" spans="1:16" x14ac:dyDescent="0.2">
      <c r="A49" s="1" t="s">
        <v>82</v>
      </c>
      <c r="B49" s="4">
        <v>-975.04000000000008</v>
      </c>
      <c r="E49" s="1"/>
      <c r="F49" s="79"/>
      <c r="G49" s="79"/>
      <c r="H49" s="79"/>
      <c r="I49" s="79"/>
      <c r="J49" s="79"/>
      <c r="K49" s="79"/>
      <c r="L49" s="4"/>
      <c r="M49" s="4"/>
      <c r="N49" s="4"/>
      <c r="O49" s="4"/>
      <c r="P49" s="4"/>
    </row>
    <row r="50" spans="1:16" x14ac:dyDescent="0.2">
      <c r="A50" s="1" t="s">
        <v>159</v>
      </c>
      <c r="B50" s="4">
        <v>-16021.62</v>
      </c>
      <c r="E50" s="1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</row>
    <row r="51" spans="1:16" x14ac:dyDescent="0.2">
      <c r="A51" s="1" t="s">
        <v>394</v>
      </c>
      <c r="B51" s="4">
        <v>-123072.04000000001</v>
      </c>
      <c r="E51" s="1"/>
      <c r="F51" s="78"/>
      <c r="G51" s="78"/>
      <c r="H51" s="78"/>
      <c r="I51" s="78"/>
      <c r="J51" s="78"/>
      <c r="K51" s="78"/>
      <c r="L51" s="39"/>
      <c r="M51" s="39"/>
      <c r="N51" s="39"/>
      <c r="O51" s="39"/>
      <c r="P51" s="38"/>
    </row>
    <row r="52" spans="1:16" x14ac:dyDescent="0.2">
      <c r="A52" s="1" t="s">
        <v>85</v>
      </c>
      <c r="B52" s="4">
        <v>-2036.5199999999986</v>
      </c>
      <c r="E52" s="1"/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76"/>
    </row>
    <row r="53" spans="1:16" x14ac:dyDescent="0.2">
      <c r="A53" s="1" t="s">
        <v>86</v>
      </c>
      <c r="B53" s="4">
        <v>-390</v>
      </c>
      <c r="E53" s="1"/>
      <c r="F53" s="32"/>
      <c r="G53" s="32"/>
      <c r="H53" s="32"/>
      <c r="I53" s="32"/>
      <c r="J53" s="32"/>
      <c r="K53" s="32"/>
      <c r="L53" s="32"/>
      <c r="M53" s="32"/>
      <c r="N53" s="32"/>
      <c r="O53" s="32"/>
    </row>
    <row r="54" spans="1:16" x14ac:dyDescent="0.2">
      <c r="A54" s="1" t="s">
        <v>87</v>
      </c>
      <c r="B54" s="4">
        <v>-770</v>
      </c>
      <c r="E54" s="2"/>
      <c r="F54" s="80"/>
      <c r="G54" s="80"/>
      <c r="H54" s="80"/>
      <c r="I54" s="80"/>
      <c r="J54" s="80"/>
      <c r="K54" s="80"/>
      <c r="L54" s="80"/>
      <c r="M54" s="80"/>
      <c r="N54" s="80"/>
      <c r="O54" s="80"/>
    </row>
    <row r="55" spans="1:16" x14ac:dyDescent="0.2">
      <c r="A55" s="1" t="s">
        <v>395</v>
      </c>
      <c r="B55" s="4">
        <v>-9808.2100000000028</v>
      </c>
    </row>
    <row r="56" spans="1:16" x14ac:dyDescent="0.2">
      <c r="A56" s="1" t="s">
        <v>88</v>
      </c>
      <c r="B56" s="4">
        <v>-80</v>
      </c>
    </row>
    <row r="57" spans="1:16" x14ac:dyDescent="0.2">
      <c r="A57" s="1" t="s">
        <v>79</v>
      </c>
      <c r="B57" s="4">
        <v>-17285.599999999999</v>
      </c>
    </row>
    <row r="58" spans="1:16" x14ac:dyDescent="0.2">
      <c r="A58" s="1" t="s">
        <v>78</v>
      </c>
      <c r="B58" s="4">
        <v>-4273.880000000001</v>
      </c>
    </row>
    <row r="59" spans="1:16" x14ac:dyDescent="0.2">
      <c r="B59" s="4"/>
    </row>
    <row r="60" spans="1:16" x14ac:dyDescent="0.2">
      <c r="A60" s="73" t="s">
        <v>218</v>
      </c>
      <c r="B60" s="74">
        <f>SUM(B33:B59)</f>
        <v>-309714.21000000002</v>
      </c>
    </row>
    <row r="61" spans="1:16" x14ac:dyDescent="0.2">
      <c r="A61" s="1" t="s">
        <v>245</v>
      </c>
      <c r="B61" s="4" t="e">
        <f>+#REF!+B32+B60</f>
        <v>#REF!</v>
      </c>
    </row>
  </sheetData>
  <phoneticPr fontId="19" type="noConversion"/>
  <conditionalFormatting sqref="E25:R25">
    <cfRule type="cellIs" dxfId="98" priority="1" operator="lessThan">
      <formula>0</formula>
    </cfRule>
    <cfRule type="cellIs" dxfId="97" priority="2" operator="greaterThan">
      <formula>0</formula>
    </cfRule>
  </conditionalFormatting>
  <conditionalFormatting sqref="E27:R27">
    <cfRule type="cellIs" dxfId="96" priority="3" operator="lessThan">
      <formula>0</formula>
    </cfRule>
    <cfRule type="cellIs" dxfId="95" priority="4" operator="greaterThan">
      <formula>0</formula>
    </cfRule>
  </conditionalFormatting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2">
    <tabColor rgb="FF92D050"/>
  </sheetPr>
  <dimension ref="A1:T64"/>
  <sheetViews>
    <sheetView topLeftCell="H1" zoomScale="90" zoomScaleNormal="90" workbookViewId="0">
      <selection activeCell="P35" sqref="P35"/>
    </sheetView>
  </sheetViews>
  <sheetFormatPr defaultColWidth="9.140625" defaultRowHeight="12.75" x14ac:dyDescent="0.2"/>
  <cols>
    <col min="2" max="2" width="31.28515625" style="1" bestFit="1" customWidth="1"/>
    <col min="3" max="3" width="23.7109375" bestFit="1" customWidth="1"/>
    <col min="4" max="4" width="19.7109375" customWidth="1"/>
    <col min="5" max="5" width="31.85546875" bestFit="1" customWidth="1"/>
    <col min="6" max="6" width="26.28515625" bestFit="1" customWidth="1"/>
    <col min="7" max="8" width="13.28515625" bestFit="1" customWidth="1"/>
    <col min="9" max="9" width="11.28515625" bestFit="1" customWidth="1"/>
    <col min="10" max="10" width="11.7109375" bestFit="1" customWidth="1"/>
    <col min="11" max="11" width="12.85546875" bestFit="1" customWidth="1"/>
    <col min="12" max="12" width="14.5703125" bestFit="1" customWidth="1"/>
    <col min="13" max="13" width="12.7109375" customWidth="1"/>
    <col min="14" max="14" width="38.5703125" customWidth="1"/>
    <col min="15" max="15" width="47" bestFit="1" customWidth="1"/>
    <col min="16" max="16" width="47.42578125" bestFit="1" customWidth="1"/>
    <col min="17" max="17" width="13.140625" bestFit="1" customWidth="1"/>
    <col min="18" max="18" width="10.28515625" bestFit="1" customWidth="1"/>
    <col min="19" max="19" width="8.7109375" bestFit="1" customWidth="1"/>
    <col min="20" max="21" width="10.28515625" bestFit="1" customWidth="1"/>
    <col min="22" max="22" width="7.7109375" bestFit="1" customWidth="1"/>
    <col min="23" max="23" width="10.28515625" bestFit="1" customWidth="1"/>
  </cols>
  <sheetData>
    <row r="1" spans="1:20" x14ac:dyDescent="0.2">
      <c r="B1" s="2" t="s">
        <v>396</v>
      </c>
      <c r="C1" s="2" t="s">
        <v>397</v>
      </c>
      <c r="D1" s="2" t="s">
        <v>1350</v>
      </c>
      <c r="E1" s="2" t="s">
        <v>398</v>
      </c>
      <c r="F1" s="2" t="s">
        <v>162</v>
      </c>
      <c r="G1" s="2" t="s">
        <v>163</v>
      </c>
      <c r="H1" s="2" t="s">
        <v>71</v>
      </c>
      <c r="I1" s="2" t="s">
        <v>166</v>
      </c>
      <c r="N1" s="2" t="s">
        <v>251</v>
      </c>
      <c r="O1" s="2" t="s">
        <v>252</v>
      </c>
      <c r="P1" s="2"/>
    </row>
    <row r="2" spans="1:20" x14ac:dyDescent="0.2">
      <c r="A2" s="197">
        <v>0.88</v>
      </c>
      <c r="B2" s="274">
        <v>37.345500000000001</v>
      </c>
      <c r="C2" s="1" t="s">
        <v>399</v>
      </c>
      <c r="D2" s="274">
        <f>B2*1.03</f>
        <v>38.465865000000001</v>
      </c>
      <c r="E2" s="11">
        <f>D2*8*5*52</f>
        <v>80008.999200000006</v>
      </c>
      <c r="F2" s="31">
        <f>+E2*0.12</f>
        <v>9601.0799040000002</v>
      </c>
      <c r="G2" s="31">
        <f>E2+F2</f>
        <v>89610.079104000004</v>
      </c>
      <c r="H2" s="31">
        <v>35</v>
      </c>
      <c r="M2" s="1" t="s">
        <v>910</v>
      </c>
      <c r="N2" s="1" t="s">
        <v>400</v>
      </c>
      <c r="O2" s="613">
        <f>810.91/12</f>
        <v>67.575833333333335</v>
      </c>
      <c r="P2" s="13"/>
    </row>
    <row r="3" spans="1:20" x14ac:dyDescent="0.2">
      <c r="A3" s="197">
        <v>0.88</v>
      </c>
      <c r="B3" s="274">
        <v>31.7651</v>
      </c>
      <c r="C3" s="28" t="s">
        <v>1195</v>
      </c>
      <c r="D3" s="274">
        <f>B3</f>
        <v>31.7651</v>
      </c>
      <c r="E3" s="11">
        <f>D3*8*5*52</f>
        <v>66071.407999999996</v>
      </c>
      <c r="F3" s="31">
        <f>+E3*0.12</f>
        <v>7928.5689599999996</v>
      </c>
      <c r="G3" s="31">
        <f t="shared" ref="G3:G17" si="0">E3+F3</f>
        <v>73999.97696</v>
      </c>
      <c r="H3" s="31">
        <v>35</v>
      </c>
      <c r="J3" s="11"/>
      <c r="M3" s="1" t="s">
        <v>911</v>
      </c>
      <c r="N3" s="1" t="s">
        <v>1209</v>
      </c>
      <c r="O3" s="613">
        <f>382.02/12</f>
        <v>31.834999999999997</v>
      </c>
      <c r="P3" s="13"/>
    </row>
    <row r="4" spans="1:20" x14ac:dyDescent="0.2">
      <c r="A4" s="197">
        <v>0.88</v>
      </c>
      <c r="B4" s="274">
        <v>30.048079999999999</v>
      </c>
      <c r="C4" s="1" t="s">
        <v>1102</v>
      </c>
      <c r="D4" s="274">
        <f t="shared" ref="D4:D17" si="1">B4*1.03</f>
        <v>30.949522399999999</v>
      </c>
      <c r="E4" s="11">
        <f>D4*8*5*52</f>
        <v>64375.006592000005</v>
      </c>
      <c r="F4" s="31">
        <f t="shared" ref="F4:F17" si="2">+E4*0.12</f>
        <v>7725.00079104</v>
      </c>
      <c r="G4" s="31">
        <f t="shared" si="0"/>
        <v>72100.007383040007</v>
      </c>
      <c r="H4" s="31">
        <v>35</v>
      </c>
      <c r="M4" s="1" t="s">
        <v>911</v>
      </c>
      <c r="N4" s="1" t="s">
        <v>1213</v>
      </c>
      <c r="O4" s="669">
        <v>22</v>
      </c>
      <c r="P4" s="280">
        <f>260/12</f>
        <v>21.666666666666668</v>
      </c>
    </row>
    <row r="5" spans="1:20" x14ac:dyDescent="0.2">
      <c r="A5" s="197">
        <v>0.88</v>
      </c>
      <c r="B5" s="274">
        <v>43.26923</v>
      </c>
      <c r="C5" s="1" t="s">
        <v>1168</v>
      </c>
      <c r="D5" s="668">
        <f>B5</f>
        <v>43.26923</v>
      </c>
      <c r="E5" s="11">
        <f>D5*8*5*52</f>
        <v>89999.998399999997</v>
      </c>
      <c r="F5" s="31">
        <f t="shared" ref="F5" si="3">+E5*0.12</f>
        <v>10799.999807999999</v>
      </c>
      <c r="G5" s="31">
        <f t="shared" ref="G5" si="4">E5+F5</f>
        <v>100799.99820799999</v>
      </c>
      <c r="H5" s="31">
        <v>35</v>
      </c>
      <c r="M5" s="1" t="s">
        <v>911</v>
      </c>
      <c r="N5" s="1" t="s">
        <v>1211</v>
      </c>
      <c r="O5" s="669">
        <v>275</v>
      </c>
      <c r="P5" s="13"/>
      <c r="R5" s="34"/>
      <c r="S5" s="34"/>
      <c r="T5" s="34"/>
    </row>
    <row r="6" spans="1:20" x14ac:dyDescent="0.2">
      <c r="A6" s="197">
        <v>0.88</v>
      </c>
      <c r="B6" s="274">
        <v>44.385300000000001</v>
      </c>
      <c r="C6" t="s">
        <v>402</v>
      </c>
      <c r="D6" s="274">
        <f t="shared" si="1"/>
        <v>45.716858999999999</v>
      </c>
      <c r="E6" s="11">
        <f>D6*8*5*52</f>
        <v>95091.066720000003</v>
      </c>
      <c r="F6" s="31">
        <f t="shared" si="2"/>
        <v>11410.9280064</v>
      </c>
      <c r="G6" s="31">
        <f t="shared" si="0"/>
        <v>106501.99472640001</v>
      </c>
      <c r="H6" s="31">
        <v>35</v>
      </c>
      <c r="I6">
        <v>132.55984000000001</v>
      </c>
      <c r="M6" s="1" t="s">
        <v>911</v>
      </c>
      <c r="N6" s="1" t="s">
        <v>1210</v>
      </c>
      <c r="O6" s="669">
        <v>65</v>
      </c>
      <c r="P6" s="13"/>
      <c r="Q6" s="2"/>
      <c r="R6" s="35"/>
      <c r="S6" s="35"/>
      <c r="T6" s="35"/>
    </row>
    <row r="7" spans="1:20" x14ac:dyDescent="0.2">
      <c r="A7" s="197">
        <v>0.88</v>
      </c>
      <c r="B7" s="274">
        <v>30.906600000000001</v>
      </c>
      <c r="C7" s="1" t="s">
        <v>403</v>
      </c>
      <c r="D7" s="274">
        <f t="shared" si="1"/>
        <v>31.833798000000002</v>
      </c>
      <c r="E7" s="11">
        <f t="shared" ref="E7:E17" si="5">D7*8*5*52</f>
        <v>66214.299840000007</v>
      </c>
      <c r="F7" s="31">
        <f t="shared" si="2"/>
        <v>7945.7159808000006</v>
      </c>
      <c r="G7" s="31">
        <f t="shared" si="0"/>
        <v>74160.015820800007</v>
      </c>
      <c r="H7" s="31">
        <v>35</v>
      </c>
      <c r="M7" s="1" t="s">
        <v>911</v>
      </c>
      <c r="N7" s="1" t="s">
        <v>1170</v>
      </c>
      <c r="O7" s="613">
        <f>3359.4/12</f>
        <v>279.95</v>
      </c>
      <c r="P7" s="13"/>
    </row>
    <row r="8" spans="1:20" x14ac:dyDescent="0.2">
      <c r="A8" s="197">
        <v>0.88</v>
      </c>
      <c r="B8" s="274">
        <v>33.9114</v>
      </c>
      <c r="C8" s="1" t="s">
        <v>404</v>
      </c>
      <c r="D8" s="274">
        <f t="shared" si="1"/>
        <v>34.928742</v>
      </c>
      <c r="E8" s="11">
        <f>D8*8*5*52</f>
        <v>72651.783360000001</v>
      </c>
      <c r="F8" s="31">
        <f>+E8*0.12</f>
        <v>8718.2140032000007</v>
      </c>
      <c r="G8" s="31">
        <f>E8+F8</f>
        <v>81369.997363200004</v>
      </c>
      <c r="H8" s="31">
        <v>35</v>
      </c>
      <c r="M8" s="1" t="s">
        <v>911</v>
      </c>
      <c r="N8" s="1" t="s">
        <v>1212</v>
      </c>
      <c r="O8" s="613">
        <f>((5054.65/65)*42)/12</f>
        <v>272.17346153846148</v>
      </c>
      <c r="P8" s="208"/>
      <c r="Q8" s="95"/>
    </row>
    <row r="9" spans="1:20" x14ac:dyDescent="0.2">
      <c r="A9" s="197">
        <v>0.88</v>
      </c>
      <c r="B9" s="274">
        <v>28.12</v>
      </c>
      <c r="C9" s="275" t="s">
        <v>405</v>
      </c>
      <c r="D9" s="668">
        <v>30</v>
      </c>
      <c r="E9" s="11">
        <f>D9*8*3*52</f>
        <v>37440</v>
      </c>
      <c r="F9" s="31">
        <f t="shared" si="2"/>
        <v>4492.8</v>
      </c>
      <c r="G9" s="31">
        <f>E9+F9</f>
        <v>41932.800000000003</v>
      </c>
      <c r="H9" s="31"/>
      <c r="J9" s="11"/>
      <c r="M9" s="1" t="s">
        <v>1049</v>
      </c>
      <c r="N9" s="528" t="s">
        <v>1383</v>
      </c>
      <c r="O9" s="613">
        <f>(957.01/12)+(726/12)</f>
        <v>140.25083333333333</v>
      </c>
      <c r="P9" s="280"/>
      <c r="Q9" s="95"/>
    </row>
    <row r="10" spans="1:20" x14ac:dyDescent="0.2">
      <c r="A10" s="197">
        <v>0.88</v>
      </c>
      <c r="B10" s="274">
        <v>29.189599999999999</v>
      </c>
      <c r="C10" s="1" t="s">
        <v>1105</v>
      </c>
      <c r="D10" s="668">
        <v>30</v>
      </c>
      <c r="E10" s="11">
        <f>D10*8*5*52</f>
        <v>62400</v>
      </c>
      <c r="F10" s="31">
        <f t="shared" si="2"/>
        <v>7488</v>
      </c>
      <c r="G10" s="31">
        <f>E10+F10</f>
        <v>69888</v>
      </c>
      <c r="H10" s="31">
        <v>35</v>
      </c>
      <c r="M10" s="1" t="s">
        <v>1049</v>
      </c>
      <c r="N10" s="528" t="s">
        <v>555</v>
      </c>
      <c r="O10" s="613">
        <v>25.45</v>
      </c>
      <c r="P10" s="280"/>
      <c r="Q10" s="32"/>
    </row>
    <row r="11" spans="1:20" x14ac:dyDescent="0.2">
      <c r="A11" s="197">
        <v>0.88</v>
      </c>
      <c r="B11" s="274">
        <v>31.76511</v>
      </c>
      <c r="C11" s="1" t="s">
        <v>406</v>
      </c>
      <c r="D11" s="274">
        <f t="shared" si="1"/>
        <v>32.718063300000004</v>
      </c>
      <c r="E11" s="11">
        <f t="shared" si="5"/>
        <v>68053.571664000017</v>
      </c>
      <c r="F11" s="31">
        <f t="shared" si="2"/>
        <v>8166.4285996800018</v>
      </c>
      <c r="G11" s="31">
        <f t="shared" si="0"/>
        <v>76220.00026368002</v>
      </c>
      <c r="H11" s="31">
        <v>35</v>
      </c>
      <c r="M11" s="1" t="s">
        <v>1013</v>
      </c>
      <c r="N11" s="169" t="s">
        <v>407</v>
      </c>
      <c r="O11" s="613">
        <v>116</v>
      </c>
      <c r="P11" s="1"/>
      <c r="Q11" s="6"/>
    </row>
    <row r="12" spans="1:20" ht="15" customHeight="1" x14ac:dyDescent="0.2">
      <c r="A12" s="197">
        <v>0.88</v>
      </c>
      <c r="B12" s="274">
        <v>35.413800000000002</v>
      </c>
      <c r="C12" t="s">
        <v>408</v>
      </c>
      <c r="D12" s="274">
        <f t="shared" si="1"/>
        <v>36.476214000000006</v>
      </c>
      <c r="E12" s="11">
        <f t="shared" si="5"/>
        <v>75870.525120000006</v>
      </c>
      <c r="F12" s="31">
        <f t="shared" si="2"/>
        <v>9104.4630144000002</v>
      </c>
      <c r="G12" s="31">
        <f t="shared" si="0"/>
        <v>84974.988134400002</v>
      </c>
      <c r="H12" s="31">
        <v>35</v>
      </c>
      <c r="M12" s="1" t="s">
        <v>1013</v>
      </c>
      <c r="N12" s="169" t="s">
        <v>1171</v>
      </c>
      <c r="O12" s="613">
        <f>3037.27/12</f>
        <v>253.10583333333332</v>
      </c>
      <c r="P12" s="13"/>
    </row>
    <row r="13" spans="1:20" x14ac:dyDescent="0.2">
      <c r="A13" s="197">
        <v>0.88</v>
      </c>
      <c r="B13" s="274">
        <v>28.12</v>
      </c>
      <c r="C13" s="275" t="s">
        <v>894</v>
      </c>
      <c r="D13" s="668">
        <v>30</v>
      </c>
      <c r="E13" s="11">
        <f>D13*5*5*52</f>
        <v>39000</v>
      </c>
      <c r="F13" s="31">
        <f t="shared" si="2"/>
        <v>4680</v>
      </c>
      <c r="G13" s="31">
        <f>E13+F13</f>
        <v>43680</v>
      </c>
      <c r="H13" s="31"/>
      <c r="M13" s="1" t="s">
        <v>1049</v>
      </c>
      <c r="N13" s="529" t="s">
        <v>898</v>
      </c>
      <c r="O13" s="168">
        <v>3000</v>
      </c>
    </row>
    <row r="14" spans="1:20" x14ac:dyDescent="0.2">
      <c r="A14" s="197">
        <v>0.88</v>
      </c>
      <c r="B14" s="274">
        <v>33</v>
      </c>
      <c r="C14" s="1" t="s">
        <v>1169</v>
      </c>
      <c r="D14" s="274">
        <f t="shared" si="1"/>
        <v>33.99</v>
      </c>
      <c r="E14" s="11">
        <f t="shared" si="5"/>
        <v>70699.200000000012</v>
      </c>
      <c r="F14" s="31">
        <f t="shared" si="2"/>
        <v>8483.9040000000005</v>
      </c>
      <c r="G14" s="31">
        <f t="shared" si="0"/>
        <v>79183.104000000007</v>
      </c>
      <c r="H14" s="31"/>
      <c r="M14" s="1" t="s">
        <v>1049</v>
      </c>
      <c r="N14" s="1" t="s">
        <v>1173</v>
      </c>
      <c r="O14" s="613">
        <v>90</v>
      </c>
    </row>
    <row r="15" spans="1:20" x14ac:dyDescent="0.2">
      <c r="A15" s="197">
        <v>0.88</v>
      </c>
      <c r="B15" s="274">
        <v>29.833400000000001</v>
      </c>
      <c r="C15" t="s">
        <v>409</v>
      </c>
      <c r="D15" s="274">
        <f t="shared" si="1"/>
        <v>30.728402000000003</v>
      </c>
      <c r="E15" s="11">
        <f t="shared" si="5"/>
        <v>63915.076160000011</v>
      </c>
      <c r="F15" s="31">
        <f t="shared" si="2"/>
        <v>7669.8091392000015</v>
      </c>
      <c r="G15" s="31">
        <f t="shared" si="0"/>
        <v>71584.885299200017</v>
      </c>
      <c r="H15" s="31">
        <v>35</v>
      </c>
      <c r="N15" s="1" t="s">
        <v>985</v>
      </c>
      <c r="O15" s="11">
        <v>500</v>
      </c>
    </row>
    <row r="16" spans="1:20" x14ac:dyDescent="0.2">
      <c r="A16" s="197">
        <v>0.88</v>
      </c>
      <c r="B16" s="274">
        <v>29.8476</v>
      </c>
      <c r="C16" s="276" t="s">
        <v>410</v>
      </c>
      <c r="D16" s="274">
        <f t="shared" si="1"/>
        <v>30.743028000000002</v>
      </c>
      <c r="E16" s="11">
        <f>D16*7*5*52</f>
        <v>55952.31096000001</v>
      </c>
      <c r="F16" s="31">
        <f t="shared" si="2"/>
        <v>6714.2773152000009</v>
      </c>
      <c r="G16" s="31">
        <f t="shared" si="0"/>
        <v>62666.588275200011</v>
      </c>
      <c r="H16" s="31">
        <v>35</v>
      </c>
    </row>
    <row r="17" spans="1:19" x14ac:dyDescent="0.2">
      <c r="A17" s="197">
        <v>0.88</v>
      </c>
      <c r="B17" s="274">
        <v>38.203980000000001</v>
      </c>
      <c r="C17" t="s">
        <v>411</v>
      </c>
      <c r="D17" s="274">
        <f t="shared" si="1"/>
        <v>39.350099400000005</v>
      </c>
      <c r="E17" s="11">
        <f t="shared" si="5"/>
        <v>81848.206752000013</v>
      </c>
      <c r="F17" s="31">
        <f t="shared" si="2"/>
        <v>9821.7848102400003</v>
      </c>
      <c r="G17" s="31">
        <f t="shared" si="0"/>
        <v>91669.991562240015</v>
      </c>
      <c r="H17" s="31">
        <v>35</v>
      </c>
      <c r="I17">
        <v>101.89999999999964</v>
      </c>
    </row>
    <row r="18" spans="1:19" x14ac:dyDescent="0.2">
      <c r="A18" s="197">
        <v>0.88</v>
      </c>
      <c r="B18" s="274">
        <v>52.584099999999999</v>
      </c>
      <c r="C18" s="545" t="s">
        <v>1196</v>
      </c>
      <c r="D18" s="668">
        <f>B18</f>
        <v>52.584099999999999</v>
      </c>
      <c r="E18" s="11">
        <f>B18*8*5*52</f>
        <v>109374.928</v>
      </c>
      <c r="F18" s="31">
        <f t="shared" ref="F18" si="6">+E18*0.12</f>
        <v>13124.99136</v>
      </c>
      <c r="G18" s="31">
        <f>E18+F18</f>
        <v>122499.91936</v>
      </c>
      <c r="H18" s="31">
        <v>35</v>
      </c>
    </row>
    <row r="19" spans="1:19" x14ac:dyDescent="0.2">
      <c r="A19" s="197">
        <v>0.88</v>
      </c>
      <c r="B19" s="274">
        <v>28.82</v>
      </c>
      <c r="C19" s="545" t="s">
        <v>1380</v>
      </c>
      <c r="D19" s="668">
        <v>30</v>
      </c>
      <c r="E19" s="11">
        <f>D19*8*5*52</f>
        <v>62400</v>
      </c>
      <c r="F19" s="31">
        <f>+E19*0.12</f>
        <v>7488</v>
      </c>
      <c r="G19" s="31">
        <f>E19+F19</f>
        <v>69888</v>
      </c>
      <c r="H19" s="31"/>
      <c r="I19" s="31"/>
    </row>
    <row r="20" spans="1:19" x14ac:dyDescent="0.2">
      <c r="B20" s="16"/>
      <c r="C20" s="16" t="s">
        <v>163</v>
      </c>
      <c r="D20" s="18">
        <f>SUM(D2:D19)</f>
        <v>633.51902310000003</v>
      </c>
      <c r="E20" s="18">
        <f>SUM(E2:E19)</f>
        <v>1261366.3807680001</v>
      </c>
      <c r="F20" s="18">
        <f>SUM(F2:F19)</f>
        <v>151363.96569216001</v>
      </c>
      <c r="G20" s="666">
        <f>SUM(G2:G19)</f>
        <v>1412730.3464601601</v>
      </c>
      <c r="H20" s="18"/>
      <c r="I20" s="18"/>
    </row>
    <row r="21" spans="1:19" x14ac:dyDescent="0.2">
      <c r="B21" s="14"/>
      <c r="C21" s="2" t="s">
        <v>173</v>
      </c>
      <c r="D21" s="31">
        <f>+D20/12</f>
        <v>52.793251925</v>
      </c>
      <c r="E21" s="31">
        <f>+E20/12</f>
        <v>105113.86506400001</v>
      </c>
      <c r="F21" s="31">
        <f>+F20/12</f>
        <v>12613.663807680001</v>
      </c>
      <c r="G21" s="31">
        <f t="shared" ref="G21" si="7">+G20/12</f>
        <v>117727.52887168001</v>
      </c>
      <c r="H21" s="31">
        <f>SUM(H1:H18)</f>
        <v>490</v>
      </c>
      <c r="I21" s="31">
        <f>SUM(I2:I19)</f>
        <v>234.45983999999964</v>
      </c>
    </row>
    <row r="22" spans="1:19" x14ac:dyDescent="0.2">
      <c r="B22" s="14"/>
    </row>
    <row r="23" spans="1:19" ht="15" x14ac:dyDescent="0.25">
      <c r="B23" s="1" t="s">
        <v>141</v>
      </c>
      <c r="C23" s="194">
        <f>'CTS Overheads'!B90</f>
        <v>23</v>
      </c>
      <c r="D23" s="194">
        <f>'CTS Overheads'!C90</f>
        <v>20</v>
      </c>
      <c r="E23" s="194">
        <f>'CTS Overheads'!D90</f>
        <v>22</v>
      </c>
      <c r="F23" s="194">
        <f>'CTS Overheads'!E90</f>
        <v>22</v>
      </c>
      <c r="G23" s="194">
        <f>'CTS Overheads'!F90</f>
        <v>20</v>
      </c>
      <c r="H23" s="194">
        <v>21</v>
      </c>
      <c r="I23" s="194">
        <f>'CTS Overheads'!H90</f>
        <v>20</v>
      </c>
      <c r="J23" s="194">
        <f>'CTS Overheads'!I90</f>
        <v>20</v>
      </c>
      <c r="K23" s="194">
        <f>'CTS Overheads'!J90</f>
        <v>22</v>
      </c>
      <c r="L23" s="194">
        <f>'CTS Overheads'!K90</f>
        <v>20</v>
      </c>
      <c r="M23" s="194">
        <f>'CTS Overheads'!L90</f>
        <v>21</v>
      </c>
      <c r="N23" s="194">
        <f>'CTS Overheads'!M90</f>
        <v>21</v>
      </c>
      <c r="O23" s="1"/>
      <c r="P23" s="2" t="s">
        <v>893</v>
      </c>
      <c r="Q23" s="2" t="s">
        <v>252</v>
      </c>
    </row>
    <row r="24" spans="1:19" x14ac:dyDescent="0.2">
      <c r="C24" s="95" t="s">
        <v>142</v>
      </c>
      <c r="D24" s="95" t="s">
        <v>143</v>
      </c>
      <c r="E24" s="95" t="s">
        <v>144</v>
      </c>
      <c r="F24" s="95" t="s">
        <v>145</v>
      </c>
      <c r="G24" s="95" t="s">
        <v>146</v>
      </c>
      <c r="H24" s="95" t="s">
        <v>147</v>
      </c>
      <c r="I24" s="95" t="s">
        <v>148</v>
      </c>
      <c r="J24" s="95" t="s">
        <v>149</v>
      </c>
      <c r="K24" s="95" t="s">
        <v>150</v>
      </c>
      <c r="L24" s="95" t="s">
        <v>151</v>
      </c>
      <c r="M24" s="95" t="s">
        <v>152</v>
      </c>
      <c r="N24" s="95" t="s">
        <v>874</v>
      </c>
      <c r="P24" s="1" t="s">
        <v>412</v>
      </c>
      <c r="Q24" s="24"/>
      <c r="R24" s="24"/>
      <c r="S24" s="24"/>
    </row>
    <row r="25" spans="1:19" x14ac:dyDescent="0.2">
      <c r="B25" s="28" t="str">
        <f>C2</f>
        <v>Carlo Daru</v>
      </c>
      <c r="C25" s="14">
        <f>$C$23*B2*8</f>
        <v>6871.5720000000001</v>
      </c>
      <c r="D25" s="14">
        <f>$D$23*D2*8</f>
        <v>6154.5384000000004</v>
      </c>
      <c r="E25" s="14">
        <f>$E$23*D2*8</f>
        <v>6769.9922400000005</v>
      </c>
      <c r="F25" s="14">
        <f>$F$23*D2*8</f>
        <v>6769.9922400000005</v>
      </c>
      <c r="G25" s="14">
        <f>$G$23*D2*8</f>
        <v>6154.5384000000004</v>
      </c>
      <c r="H25" s="14">
        <f>$H$23*D2*8</f>
        <v>6462.2653200000004</v>
      </c>
      <c r="I25" s="14">
        <f>$I$23*D2*8</f>
        <v>6154.5384000000004</v>
      </c>
      <c r="J25" s="14">
        <f>$J$23*D2*8</f>
        <v>6154.5384000000004</v>
      </c>
      <c r="K25" s="14">
        <f>$K$23*D2*8</f>
        <v>6769.9922400000005</v>
      </c>
      <c r="L25" s="14">
        <f>$L$23*D2*8</f>
        <v>6154.5384000000004</v>
      </c>
      <c r="M25" s="14">
        <f>$M$23*D2*8</f>
        <v>6462.2653200000004</v>
      </c>
      <c r="N25" s="14">
        <f>$N$23*D2*8</f>
        <v>6462.2653200000004</v>
      </c>
      <c r="P25" t="s">
        <v>413</v>
      </c>
      <c r="Q25" s="1" t="s">
        <v>27</v>
      </c>
      <c r="R25" s="33"/>
      <c r="S25" s="33"/>
    </row>
    <row r="26" spans="1:19" x14ac:dyDescent="0.2">
      <c r="B26" s="28" t="str">
        <f t="shared" ref="B26:B42" si="8">C3</f>
        <v>Sangeeta Lachimaya</v>
      </c>
      <c r="C26" s="14">
        <f>$C$23*B3*8</f>
        <v>5844.7784000000001</v>
      </c>
      <c r="D26" s="14">
        <f>$D$23*D3*8</f>
        <v>5082.4160000000002</v>
      </c>
      <c r="E26" s="14">
        <f t="shared" ref="E26:E40" si="9">$E$23*D3*8</f>
        <v>5590.6576000000005</v>
      </c>
      <c r="F26" s="14">
        <f t="shared" ref="F26:F40" si="10">$F$23*D3*8</f>
        <v>5590.6576000000005</v>
      </c>
      <c r="G26" s="14">
        <f t="shared" ref="G26:G40" si="11">$G$23*D3*8</f>
        <v>5082.4160000000002</v>
      </c>
      <c r="H26" s="14">
        <f t="shared" ref="H26:H40" si="12">$H$23*D3*8</f>
        <v>5336.5367999999999</v>
      </c>
      <c r="I26" s="14">
        <f t="shared" ref="I26:I40" si="13">$I$23*D3*8</f>
        <v>5082.4160000000002</v>
      </c>
      <c r="J26" s="14">
        <f t="shared" ref="J26:J40" si="14">$J$23*D3*8</f>
        <v>5082.4160000000002</v>
      </c>
      <c r="K26" s="14">
        <f t="shared" ref="K26:K40" si="15">$K$23*D3*8</f>
        <v>5590.6576000000005</v>
      </c>
      <c r="L26" s="14">
        <f t="shared" ref="L26:L40" si="16">$L$23*D3*8</f>
        <v>5082.4160000000002</v>
      </c>
      <c r="M26" s="14">
        <f t="shared" ref="M26:M40" si="17">$M$23*D3*8</f>
        <v>5336.5367999999999</v>
      </c>
      <c r="N26" s="14">
        <f t="shared" ref="N26:N40" si="18">$N$23*D3*8</f>
        <v>5336.5367999999999</v>
      </c>
      <c r="P26" s="1" t="s">
        <v>89</v>
      </c>
      <c r="Q26" s="163">
        <v>444.46684276249999</v>
      </c>
      <c r="R26" s="30"/>
      <c r="S26" s="30"/>
    </row>
    <row r="27" spans="1:19" x14ac:dyDescent="0.2">
      <c r="B27" s="28" t="str">
        <f t="shared" si="8"/>
        <v>Jason Ng</v>
      </c>
      <c r="C27" s="14">
        <f t="shared" ref="C27:C31" si="19">$C$23*B4*8</f>
        <v>5528.8467199999996</v>
      </c>
      <c r="D27" s="14">
        <f>$D$23*D4*8</f>
        <v>4951.9235840000001</v>
      </c>
      <c r="E27" s="14">
        <f t="shared" si="9"/>
        <v>5447.1159423999998</v>
      </c>
      <c r="F27" s="14">
        <f t="shared" si="10"/>
        <v>5447.1159423999998</v>
      </c>
      <c r="G27" s="14">
        <f t="shared" si="11"/>
        <v>4951.9235840000001</v>
      </c>
      <c r="H27" s="14">
        <f t="shared" si="12"/>
        <v>5199.5197631999999</v>
      </c>
      <c r="I27" s="14">
        <f t="shared" si="13"/>
        <v>4951.9235840000001</v>
      </c>
      <c r="J27" s="14">
        <f t="shared" si="14"/>
        <v>4951.9235840000001</v>
      </c>
      <c r="K27" s="14">
        <f t="shared" si="15"/>
        <v>5447.1159423999998</v>
      </c>
      <c r="L27" s="14">
        <f t="shared" si="16"/>
        <v>4951.9235840000001</v>
      </c>
      <c r="M27" s="14">
        <f t="shared" si="17"/>
        <v>5199.5197631999999</v>
      </c>
      <c r="N27" s="14">
        <f t="shared" si="18"/>
        <v>5199.5197631999999</v>
      </c>
      <c r="P27" s="1" t="s">
        <v>1089</v>
      </c>
      <c r="Q27" s="163">
        <f>'Rental Breakdown'!S19</f>
        <v>12.403089</v>
      </c>
    </row>
    <row r="28" spans="1:19" x14ac:dyDescent="0.2">
      <c r="B28" s="28" t="str">
        <f t="shared" si="8"/>
        <v>Robert Mahood</v>
      </c>
      <c r="C28" s="14">
        <f t="shared" si="19"/>
        <v>7961.5383199999997</v>
      </c>
      <c r="D28" s="14">
        <f t="shared" ref="D28:D40" si="20">$D$23*D5*8</f>
        <v>6923.0767999999998</v>
      </c>
      <c r="E28" s="14">
        <f t="shared" si="9"/>
        <v>7615.3844799999997</v>
      </c>
      <c r="F28" s="14">
        <f t="shared" si="10"/>
        <v>7615.3844799999997</v>
      </c>
      <c r="G28" s="14">
        <f t="shared" si="11"/>
        <v>6923.0767999999998</v>
      </c>
      <c r="H28" s="14">
        <f t="shared" si="12"/>
        <v>7269.2306399999998</v>
      </c>
      <c r="I28" s="14">
        <f t="shared" si="13"/>
        <v>6923.0767999999998</v>
      </c>
      <c r="J28" s="14">
        <f t="shared" si="14"/>
        <v>6923.0767999999998</v>
      </c>
      <c r="K28" s="14">
        <f t="shared" si="15"/>
        <v>7615.3844799999997</v>
      </c>
      <c r="L28" s="14">
        <f t="shared" si="16"/>
        <v>6923.0767999999998</v>
      </c>
      <c r="M28" s="14">
        <f t="shared" si="17"/>
        <v>7269.2306399999998</v>
      </c>
      <c r="N28" s="14">
        <f t="shared" si="18"/>
        <v>7269.2306399999998</v>
      </c>
      <c r="O28" s="11"/>
      <c r="Q28" s="36">
        <f>SUM(Q26:Q27)</f>
        <v>456.86993176250002</v>
      </c>
    </row>
    <row r="29" spans="1:19" x14ac:dyDescent="0.2">
      <c r="B29" s="28" t="str">
        <f t="shared" si="8"/>
        <v>Danielle HURLEY</v>
      </c>
      <c r="C29" s="14">
        <f t="shared" si="19"/>
        <v>8166.8951999999999</v>
      </c>
      <c r="D29" s="14">
        <f>$D$23*D6*8</f>
        <v>7314.6974399999999</v>
      </c>
      <c r="E29" s="14">
        <f t="shared" si="9"/>
        <v>8046.1671839999999</v>
      </c>
      <c r="F29" s="14">
        <f t="shared" si="10"/>
        <v>8046.1671839999999</v>
      </c>
      <c r="G29" s="14">
        <f t="shared" si="11"/>
        <v>7314.6974399999999</v>
      </c>
      <c r="H29" s="14">
        <f t="shared" si="12"/>
        <v>7680.4323119999999</v>
      </c>
      <c r="I29" s="14">
        <f t="shared" si="13"/>
        <v>7314.6974399999999</v>
      </c>
      <c r="J29" s="14">
        <f t="shared" si="14"/>
        <v>7314.6974399999999</v>
      </c>
      <c r="K29" s="14">
        <f t="shared" si="15"/>
        <v>8046.1671839999999</v>
      </c>
      <c r="L29" s="14">
        <f t="shared" si="16"/>
        <v>7314.6974399999999</v>
      </c>
      <c r="M29" s="14">
        <f t="shared" si="17"/>
        <v>7680.4323119999999</v>
      </c>
      <c r="N29" s="14">
        <f t="shared" si="18"/>
        <v>7680.4323119999999</v>
      </c>
    </row>
    <row r="30" spans="1:19" x14ac:dyDescent="0.2">
      <c r="B30" s="28" t="str">
        <f t="shared" si="8"/>
        <v>Dylan Satherley</v>
      </c>
      <c r="C30" s="14">
        <f t="shared" si="19"/>
        <v>5686.8144000000002</v>
      </c>
      <c r="D30" s="14">
        <f>$D$23*D7*8</f>
        <v>5093.4076800000003</v>
      </c>
      <c r="E30" s="14">
        <f t="shared" si="9"/>
        <v>5602.7484480000003</v>
      </c>
      <c r="F30" s="14">
        <f t="shared" si="10"/>
        <v>5602.7484480000003</v>
      </c>
      <c r="G30" s="14">
        <f t="shared" si="11"/>
        <v>5093.4076800000003</v>
      </c>
      <c r="H30" s="14">
        <f t="shared" si="12"/>
        <v>5348.0780640000003</v>
      </c>
      <c r="I30" s="14">
        <f t="shared" si="13"/>
        <v>5093.4076800000003</v>
      </c>
      <c r="J30" s="14">
        <f t="shared" si="14"/>
        <v>5093.4076800000003</v>
      </c>
      <c r="K30" s="14">
        <f t="shared" si="15"/>
        <v>5602.7484480000003</v>
      </c>
      <c r="L30" s="14">
        <f t="shared" si="16"/>
        <v>5093.4076800000003</v>
      </c>
      <c r="M30" s="14">
        <f t="shared" si="17"/>
        <v>5348.0780640000003</v>
      </c>
      <c r="N30" s="14">
        <f t="shared" si="18"/>
        <v>5348.0780640000003</v>
      </c>
    </row>
    <row r="31" spans="1:19" x14ac:dyDescent="0.2">
      <c r="B31" s="28" t="str">
        <f t="shared" si="8"/>
        <v>Isaac BUTTERWORTH</v>
      </c>
      <c r="C31" s="14">
        <f t="shared" si="19"/>
        <v>6239.6976000000004</v>
      </c>
      <c r="D31" s="14">
        <f>$D$23*D8*8</f>
        <v>5588.59872</v>
      </c>
      <c r="E31" s="14">
        <f t="shared" si="9"/>
        <v>6147.458592</v>
      </c>
      <c r="F31" s="14">
        <f t="shared" si="10"/>
        <v>6147.458592</v>
      </c>
      <c r="G31" s="14">
        <f t="shared" si="11"/>
        <v>5588.59872</v>
      </c>
      <c r="H31" s="14">
        <f t="shared" si="12"/>
        <v>5868.0286560000004</v>
      </c>
      <c r="I31" s="14">
        <f t="shared" si="13"/>
        <v>5588.59872</v>
      </c>
      <c r="J31" s="14">
        <f t="shared" si="14"/>
        <v>5588.59872</v>
      </c>
      <c r="K31" s="14">
        <f t="shared" si="15"/>
        <v>6147.458592</v>
      </c>
      <c r="L31" s="14">
        <f t="shared" si="16"/>
        <v>5588.59872</v>
      </c>
      <c r="M31" s="14">
        <f t="shared" si="17"/>
        <v>5868.0286560000004</v>
      </c>
      <c r="N31" s="14">
        <f t="shared" si="18"/>
        <v>5868.0286560000004</v>
      </c>
    </row>
    <row r="32" spans="1:19" x14ac:dyDescent="0.2">
      <c r="A32" s="1"/>
      <c r="B32" s="277" t="str">
        <f t="shared" si="8"/>
        <v>Kent Vincent DEJOS</v>
      </c>
      <c r="C32" s="14">
        <f>$C$23*B9*5</f>
        <v>3233.8</v>
      </c>
      <c r="D32" s="14">
        <f>$D$23*D9*5</f>
        <v>3000</v>
      </c>
      <c r="E32" s="14">
        <f>$E$23*D9*5</f>
        <v>3300</v>
      </c>
      <c r="F32" s="14">
        <f>$F$23*D9*5</f>
        <v>3300</v>
      </c>
      <c r="G32" s="14">
        <f>$G$23*D9*5</f>
        <v>3000</v>
      </c>
      <c r="H32" s="14">
        <f>$H$23*D9*5</f>
        <v>3150</v>
      </c>
      <c r="I32" s="14">
        <f>$I$23*D9*5</f>
        <v>3000</v>
      </c>
      <c r="J32" s="14">
        <f>$J$23*D9*5</f>
        <v>3000</v>
      </c>
      <c r="K32" s="14">
        <f>$K$23*D9*5</f>
        <v>3300</v>
      </c>
      <c r="L32" s="14">
        <f>$L$23*D9*5</f>
        <v>3000</v>
      </c>
      <c r="M32" s="14">
        <f>$M$23*D9*5</f>
        <v>3150</v>
      </c>
      <c r="N32" s="14">
        <f>$N$23*D9*5</f>
        <v>3150</v>
      </c>
    </row>
    <row r="33" spans="1:14" x14ac:dyDescent="0.2">
      <c r="A33" s="1"/>
      <c r="B33" s="28" t="str">
        <f t="shared" si="8"/>
        <v>Chloe LANDAYAN</v>
      </c>
      <c r="C33" s="14">
        <f>$C$23*B10*8</f>
        <v>5370.8863999999994</v>
      </c>
      <c r="D33" s="14">
        <f>$D$23*D10*8</f>
        <v>4800</v>
      </c>
      <c r="E33" s="14">
        <f t="shared" si="9"/>
        <v>5280</v>
      </c>
      <c r="F33" s="14">
        <f t="shared" si="10"/>
        <v>5280</v>
      </c>
      <c r="G33" s="14">
        <f t="shared" si="11"/>
        <v>4800</v>
      </c>
      <c r="H33" s="14">
        <f t="shared" si="12"/>
        <v>5040</v>
      </c>
      <c r="I33" s="14">
        <f t="shared" si="13"/>
        <v>4800</v>
      </c>
      <c r="J33" s="14">
        <f t="shared" si="14"/>
        <v>4800</v>
      </c>
      <c r="K33" s="14">
        <f t="shared" si="15"/>
        <v>5280</v>
      </c>
      <c r="L33" s="14">
        <f t="shared" si="16"/>
        <v>4800</v>
      </c>
      <c r="M33" s="14">
        <f t="shared" si="17"/>
        <v>5040</v>
      </c>
      <c r="N33" s="14">
        <f t="shared" si="18"/>
        <v>5040</v>
      </c>
    </row>
    <row r="34" spans="1:14" x14ac:dyDescent="0.2">
      <c r="A34" s="1"/>
      <c r="B34" s="28" t="str">
        <f t="shared" si="8"/>
        <v>Kyle Krishnappa</v>
      </c>
      <c r="C34" s="14">
        <f t="shared" ref="C34:C40" si="21">$C$23*B11*8</f>
        <v>5844.78024</v>
      </c>
      <c r="D34" s="14">
        <f t="shared" si="20"/>
        <v>5234.8901280000009</v>
      </c>
      <c r="E34" s="14">
        <f t="shared" si="9"/>
        <v>5758.3791408000006</v>
      </c>
      <c r="F34" s="14">
        <f t="shared" si="10"/>
        <v>5758.3791408000006</v>
      </c>
      <c r="G34" s="14">
        <f t="shared" si="11"/>
        <v>5234.8901280000009</v>
      </c>
      <c r="H34" s="14">
        <f t="shared" si="12"/>
        <v>5496.6346344000003</v>
      </c>
      <c r="I34" s="14">
        <f t="shared" si="13"/>
        <v>5234.8901280000009</v>
      </c>
      <c r="J34" s="14">
        <f t="shared" si="14"/>
        <v>5234.8901280000009</v>
      </c>
      <c r="K34" s="14">
        <f t="shared" si="15"/>
        <v>5758.3791408000006</v>
      </c>
      <c r="L34" s="14">
        <f t="shared" si="16"/>
        <v>5234.8901280000009</v>
      </c>
      <c r="M34" s="14">
        <f t="shared" si="17"/>
        <v>5496.6346344000003</v>
      </c>
      <c r="N34" s="14">
        <f t="shared" si="18"/>
        <v>5496.6346344000003</v>
      </c>
    </row>
    <row r="35" spans="1:14" x14ac:dyDescent="0.2">
      <c r="A35" s="1"/>
      <c r="B35" s="28" t="str">
        <f t="shared" si="8"/>
        <v>Nicholas Pinnington</v>
      </c>
      <c r="C35" s="14">
        <f>$C$23*B12*8</f>
        <v>6516.1392000000005</v>
      </c>
      <c r="D35" s="14">
        <f t="shared" si="20"/>
        <v>5836.1942400000007</v>
      </c>
      <c r="E35" s="14">
        <f t="shared" si="9"/>
        <v>6419.8136640000012</v>
      </c>
      <c r="F35" s="14">
        <f t="shared" si="10"/>
        <v>6419.8136640000012</v>
      </c>
      <c r="G35" s="14">
        <f t="shared" si="11"/>
        <v>5836.1942400000007</v>
      </c>
      <c r="H35" s="14">
        <f t="shared" si="12"/>
        <v>6128.0039520000009</v>
      </c>
      <c r="I35" s="14">
        <f t="shared" si="13"/>
        <v>5836.1942400000007</v>
      </c>
      <c r="J35" s="14">
        <f t="shared" si="14"/>
        <v>5836.1942400000007</v>
      </c>
      <c r="K35" s="14">
        <f t="shared" si="15"/>
        <v>6419.8136640000012</v>
      </c>
      <c r="L35" s="14">
        <f t="shared" si="16"/>
        <v>5836.1942400000007</v>
      </c>
      <c r="M35" s="14">
        <f t="shared" si="17"/>
        <v>6128.0039520000009</v>
      </c>
      <c r="N35" s="14">
        <f t="shared" si="18"/>
        <v>6128.0039520000009</v>
      </c>
    </row>
    <row r="36" spans="1:14" x14ac:dyDescent="0.2">
      <c r="A36" s="1"/>
      <c r="B36" s="277" t="str">
        <f t="shared" si="8"/>
        <v>Tawonashe MADANGURE</v>
      </c>
      <c r="C36" s="14">
        <f>$C$23*B13*5</f>
        <v>3233.8</v>
      </c>
      <c r="D36" s="14">
        <f>$D$23*D13*5</f>
        <v>3000</v>
      </c>
      <c r="E36" s="14">
        <f>$E$23*D13*5</f>
        <v>3300</v>
      </c>
      <c r="F36" s="14">
        <f>$F$23*D13*5</f>
        <v>3300</v>
      </c>
      <c r="G36" s="14">
        <f>$G$23*D13*5</f>
        <v>3000</v>
      </c>
      <c r="H36" s="14">
        <f>$H$23*D13*5</f>
        <v>3150</v>
      </c>
      <c r="I36" s="14">
        <f>$I$23*D13*5</f>
        <v>3000</v>
      </c>
      <c r="J36" s="14">
        <f>$J$23*D13*5</f>
        <v>3000</v>
      </c>
      <c r="K36" s="14">
        <f>$K$23*D13*5</f>
        <v>3300</v>
      </c>
      <c r="L36" s="14">
        <f>$L$23*D13*5</f>
        <v>3000</v>
      </c>
      <c r="M36" s="14">
        <f>$M$23*D13*5</f>
        <v>3150</v>
      </c>
      <c r="N36" s="14">
        <f>$N$23*D13*5</f>
        <v>3150</v>
      </c>
    </row>
    <row r="37" spans="1:14" x14ac:dyDescent="0.2">
      <c r="A37" s="1"/>
      <c r="B37" s="28" t="str">
        <f t="shared" si="8"/>
        <v>John Rizvi</v>
      </c>
      <c r="C37" s="14">
        <f t="shared" si="21"/>
        <v>6072</v>
      </c>
      <c r="D37" s="14">
        <f t="shared" si="20"/>
        <v>5438.4000000000005</v>
      </c>
      <c r="E37" s="14">
        <f t="shared" si="9"/>
        <v>5982.2400000000007</v>
      </c>
      <c r="F37" s="14">
        <f t="shared" si="10"/>
        <v>5982.2400000000007</v>
      </c>
      <c r="G37" s="14">
        <f t="shared" si="11"/>
        <v>5438.4000000000005</v>
      </c>
      <c r="H37" s="14">
        <f t="shared" si="12"/>
        <v>5710.3200000000006</v>
      </c>
      <c r="I37" s="14">
        <f t="shared" si="13"/>
        <v>5438.4000000000005</v>
      </c>
      <c r="J37" s="14">
        <f t="shared" si="14"/>
        <v>5438.4000000000005</v>
      </c>
      <c r="K37" s="14">
        <f t="shared" si="15"/>
        <v>5982.2400000000007</v>
      </c>
      <c r="L37" s="14">
        <f t="shared" si="16"/>
        <v>5438.4000000000005</v>
      </c>
      <c r="M37" s="14">
        <f t="shared" si="17"/>
        <v>5710.3200000000006</v>
      </c>
      <c r="N37" s="14">
        <f t="shared" si="18"/>
        <v>5710.3200000000006</v>
      </c>
    </row>
    <row r="38" spans="1:14" x14ac:dyDescent="0.2">
      <c r="A38" s="1"/>
      <c r="B38" s="28" t="str">
        <f t="shared" si="8"/>
        <v>Tina Nguyen</v>
      </c>
      <c r="C38" s="14">
        <f t="shared" si="21"/>
        <v>5489.3456000000006</v>
      </c>
      <c r="D38" s="14">
        <f t="shared" si="20"/>
        <v>4916.5443200000009</v>
      </c>
      <c r="E38" s="14">
        <f>$E$23*D15*8</f>
        <v>5408.1987520000002</v>
      </c>
      <c r="F38" s="14">
        <f t="shared" si="10"/>
        <v>5408.1987520000002</v>
      </c>
      <c r="G38" s="14">
        <f t="shared" si="11"/>
        <v>4916.5443200000009</v>
      </c>
      <c r="H38" s="14">
        <f t="shared" si="12"/>
        <v>5162.3715360000006</v>
      </c>
      <c r="I38" s="14">
        <f t="shared" si="13"/>
        <v>4916.5443200000009</v>
      </c>
      <c r="J38" s="14">
        <f t="shared" si="14"/>
        <v>4916.5443200000009</v>
      </c>
      <c r="K38" s="14">
        <f t="shared" si="15"/>
        <v>5408.1987520000002</v>
      </c>
      <c r="L38" s="14">
        <f t="shared" si="16"/>
        <v>4916.5443200000009</v>
      </c>
      <c r="M38" s="14">
        <f>$M$23*D15*8</f>
        <v>5162.3715360000006</v>
      </c>
      <c r="N38" s="14">
        <f t="shared" si="18"/>
        <v>5162.3715360000006</v>
      </c>
    </row>
    <row r="39" spans="1:14" x14ac:dyDescent="0.2">
      <c r="A39" s="1"/>
      <c r="B39" s="277" t="str">
        <f t="shared" si="8"/>
        <v>Tyrell SHORTT</v>
      </c>
      <c r="C39" s="14">
        <f>$C$23*B16*6</f>
        <v>4118.9687999999996</v>
      </c>
      <c r="D39" s="14">
        <f>$D$23*D16*6</f>
        <v>3689.1633600000005</v>
      </c>
      <c r="E39" s="14">
        <f>$E$23*D16*6</f>
        <v>4058.0796960000002</v>
      </c>
      <c r="F39" s="14">
        <f>$F$23*D16*6</f>
        <v>4058.0796960000002</v>
      </c>
      <c r="G39" s="14">
        <f>$G$23*D16*6</f>
        <v>3689.1633600000005</v>
      </c>
      <c r="H39" s="14">
        <f>$H$23*D16*6</f>
        <v>3873.6215280000006</v>
      </c>
      <c r="I39" s="14">
        <f>$I$23*D16*6</f>
        <v>3689.1633600000005</v>
      </c>
      <c r="J39" s="14">
        <f>$J$23*D16*6</f>
        <v>3689.1633600000005</v>
      </c>
      <c r="K39" s="14">
        <f>$K$23*D16*6</f>
        <v>4058.0796960000002</v>
      </c>
      <c r="L39" s="14">
        <f>$L$23*D16*6</f>
        <v>3689.1633600000005</v>
      </c>
      <c r="M39" s="14">
        <f>$M$23*D16*6</f>
        <v>3873.6215280000006</v>
      </c>
      <c r="N39" s="14">
        <f>$N$23*D16*6</f>
        <v>3873.6215280000006</v>
      </c>
    </row>
    <row r="40" spans="1:14" x14ac:dyDescent="0.2">
      <c r="B40" s="28" t="str">
        <f t="shared" si="8"/>
        <v>Wade TONNA</v>
      </c>
      <c r="C40" s="14">
        <f t="shared" si="21"/>
        <v>7029.5323200000003</v>
      </c>
      <c r="D40" s="14">
        <f t="shared" si="20"/>
        <v>6296.0159040000008</v>
      </c>
      <c r="E40" s="14">
        <f t="shared" si="9"/>
        <v>6925.6174944000013</v>
      </c>
      <c r="F40" s="14">
        <f t="shared" si="10"/>
        <v>6925.6174944000013</v>
      </c>
      <c r="G40" s="14">
        <f t="shared" si="11"/>
        <v>6296.0159040000008</v>
      </c>
      <c r="H40" s="14">
        <f t="shared" si="12"/>
        <v>6610.8166992000006</v>
      </c>
      <c r="I40" s="14">
        <f t="shared" si="13"/>
        <v>6296.0159040000008</v>
      </c>
      <c r="J40" s="14">
        <f t="shared" si="14"/>
        <v>6296.0159040000008</v>
      </c>
      <c r="K40" s="14">
        <f t="shared" si="15"/>
        <v>6925.6174944000013</v>
      </c>
      <c r="L40" s="14">
        <f t="shared" si="16"/>
        <v>6296.0159040000008</v>
      </c>
      <c r="M40" s="14">
        <f t="shared" si="17"/>
        <v>6610.8166992000006</v>
      </c>
      <c r="N40" s="14">
        <f t="shared" si="18"/>
        <v>6610.8166992000006</v>
      </c>
    </row>
    <row r="41" spans="1:14" x14ac:dyDescent="0.2">
      <c r="B41" s="28" t="str">
        <f t="shared" si="8"/>
        <v>Support Manager</v>
      </c>
      <c r="C41" s="14">
        <f>B18*C23*8</f>
        <v>9675.4743999999992</v>
      </c>
      <c r="D41" s="14">
        <f t="shared" ref="D41:N41" si="22">$D$18*D23*8</f>
        <v>8413.4560000000001</v>
      </c>
      <c r="E41" s="14">
        <f t="shared" si="22"/>
        <v>9254.8016000000007</v>
      </c>
      <c r="F41" s="14">
        <f t="shared" si="22"/>
        <v>9254.8016000000007</v>
      </c>
      <c r="G41" s="14">
        <f t="shared" si="22"/>
        <v>8413.4560000000001</v>
      </c>
      <c r="H41" s="14">
        <f t="shared" si="22"/>
        <v>8834.1288000000004</v>
      </c>
      <c r="I41" s="14">
        <f t="shared" si="22"/>
        <v>8413.4560000000001</v>
      </c>
      <c r="J41" s="14">
        <f t="shared" si="22"/>
        <v>8413.4560000000001</v>
      </c>
      <c r="K41" s="14">
        <f t="shared" si="22"/>
        <v>9254.8016000000007</v>
      </c>
      <c r="L41" s="14">
        <f t="shared" si="22"/>
        <v>8413.4560000000001</v>
      </c>
      <c r="M41" s="14">
        <f t="shared" si="22"/>
        <v>8834.1288000000004</v>
      </c>
      <c r="N41" s="14">
        <f t="shared" si="22"/>
        <v>8834.1288000000004</v>
      </c>
    </row>
    <row r="42" spans="1:14" x14ac:dyDescent="0.2">
      <c r="B42" s="28" t="str">
        <f t="shared" si="8"/>
        <v>Layla Philipps</v>
      </c>
      <c r="C42" s="11">
        <f>B19*C23*8</f>
        <v>5302.88</v>
      </c>
      <c r="D42" s="11">
        <f t="shared" ref="D42:N42" si="23">$D$19*D23*8</f>
        <v>4800</v>
      </c>
      <c r="E42" s="11">
        <f t="shared" si="23"/>
        <v>5280</v>
      </c>
      <c r="F42" s="11">
        <f t="shared" si="23"/>
        <v>5280</v>
      </c>
      <c r="G42" s="11">
        <f t="shared" si="23"/>
        <v>4800</v>
      </c>
      <c r="H42" s="11">
        <f t="shared" si="23"/>
        <v>5040</v>
      </c>
      <c r="I42" s="11">
        <f t="shared" si="23"/>
        <v>4800</v>
      </c>
      <c r="J42" s="11">
        <f t="shared" si="23"/>
        <v>4800</v>
      </c>
      <c r="K42" s="11">
        <f t="shared" si="23"/>
        <v>5280</v>
      </c>
      <c r="L42" s="11">
        <f t="shared" si="23"/>
        <v>4800</v>
      </c>
      <c r="M42" s="11">
        <f t="shared" si="23"/>
        <v>5040</v>
      </c>
      <c r="N42" s="11">
        <f t="shared" si="23"/>
        <v>5040</v>
      </c>
    </row>
    <row r="43" spans="1:14" x14ac:dyDescent="0.2">
      <c r="B43" s="2" t="s">
        <v>908</v>
      </c>
      <c r="C43" s="11">
        <f>SUM(C25:C42)-C41</f>
        <v>98512.275200000004</v>
      </c>
      <c r="D43" s="11">
        <f t="shared" ref="D43:N43" si="24">SUM(D25:D42)-D41</f>
        <v>88119.866576</v>
      </c>
      <c r="E43" s="11">
        <f t="shared" si="24"/>
        <v>96931.853233600006</v>
      </c>
      <c r="F43" s="11">
        <f t="shared" si="24"/>
        <v>96931.853233600006</v>
      </c>
      <c r="G43" s="11">
        <f t="shared" si="24"/>
        <v>88119.866576</v>
      </c>
      <c r="H43" s="11">
        <f t="shared" si="24"/>
        <v>92525.859904800018</v>
      </c>
      <c r="I43" s="11">
        <f t="shared" si="24"/>
        <v>88119.866576</v>
      </c>
      <c r="J43" s="11">
        <f t="shared" si="24"/>
        <v>88119.866576</v>
      </c>
      <c r="K43" s="11">
        <f t="shared" si="24"/>
        <v>96931.853233600006</v>
      </c>
      <c r="L43" s="11">
        <f t="shared" si="24"/>
        <v>88119.866576</v>
      </c>
      <c r="M43" s="11">
        <f t="shared" si="24"/>
        <v>92525.859904800018</v>
      </c>
      <c r="N43" s="11">
        <f t="shared" si="24"/>
        <v>92525.859904800018</v>
      </c>
    </row>
    <row r="44" spans="1:14" x14ac:dyDescent="0.2">
      <c r="A44" s="11"/>
      <c r="B44" s="2" t="s">
        <v>195</v>
      </c>
      <c r="C44" s="11">
        <f>C43*0.88</f>
        <v>86690.802175999997</v>
      </c>
      <c r="D44" s="11">
        <f>D43*0.88</f>
        <v>77545.482586879996</v>
      </c>
      <c r="E44" s="11">
        <f>E43*0.88</f>
        <v>85300.030845568006</v>
      </c>
      <c r="F44" s="11">
        <f t="shared" ref="F44:I44" si="25">F43*0.88</f>
        <v>85300.030845568006</v>
      </c>
      <c r="G44" s="11">
        <f t="shared" si="25"/>
        <v>77545.482586879996</v>
      </c>
      <c r="H44" s="11">
        <f t="shared" si="25"/>
        <v>81422.756716224016</v>
      </c>
      <c r="I44" s="11">
        <f t="shared" si="25"/>
        <v>77545.482586879996</v>
      </c>
      <c r="J44" s="11">
        <f>J43*0.88</f>
        <v>77545.482586879996</v>
      </c>
      <c r="K44" s="11">
        <f>K43*0.88</f>
        <v>85300.030845568006</v>
      </c>
      <c r="L44" s="11">
        <f>L43*0.88</f>
        <v>77545.482586879996</v>
      </c>
      <c r="M44" s="11">
        <f>M43*0.88</f>
        <v>81422.756716224016</v>
      </c>
      <c r="N44" s="11">
        <f>N43*0.88</f>
        <v>81422.756716224016</v>
      </c>
    </row>
    <row r="45" spans="1:14" x14ac:dyDescent="0.2">
      <c r="B45" s="2" t="s">
        <v>414</v>
      </c>
      <c r="C45" s="11">
        <f>C41*0.05</f>
        <v>483.77371999999997</v>
      </c>
      <c r="D45" s="11">
        <f t="shared" ref="D45:N45" si="26">D41*0.05</f>
        <v>420.67280000000005</v>
      </c>
      <c r="E45" s="11">
        <f t="shared" si="26"/>
        <v>462.74008000000003</v>
      </c>
      <c r="F45" s="11">
        <f t="shared" si="26"/>
        <v>462.74008000000003</v>
      </c>
      <c r="G45" s="11">
        <f t="shared" si="26"/>
        <v>420.67280000000005</v>
      </c>
      <c r="H45" s="11">
        <f t="shared" si="26"/>
        <v>441.70644000000004</v>
      </c>
      <c r="I45" s="11">
        <f t="shared" si="26"/>
        <v>420.67280000000005</v>
      </c>
      <c r="J45" s="11">
        <f t="shared" si="26"/>
        <v>420.67280000000005</v>
      </c>
      <c r="K45" s="11">
        <f t="shared" si="26"/>
        <v>462.74008000000003</v>
      </c>
      <c r="L45" s="11">
        <f t="shared" si="26"/>
        <v>420.67280000000005</v>
      </c>
      <c r="M45" s="11">
        <f t="shared" si="26"/>
        <v>441.70644000000004</v>
      </c>
      <c r="N45" s="11">
        <f t="shared" si="26"/>
        <v>441.70644000000004</v>
      </c>
    </row>
    <row r="46" spans="1:14" x14ac:dyDescent="0.2">
      <c r="B46" s="2" t="s">
        <v>415</v>
      </c>
      <c r="C46" s="11">
        <f>SUM(C44:C45)*0.12</f>
        <v>10460.949107519999</v>
      </c>
      <c r="D46" s="11">
        <f>SUM(D44:D45)*0.12</f>
        <v>9355.9386464255986</v>
      </c>
      <c r="E46" s="11">
        <f t="shared" ref="E46:N46" si="27">SUM(E44:E45)*0.12</f>
        <v>10291.532511068161</v>
      </c>
      <c r="F46" s="11">
        <f t="shared" si="27"/>
        <v>10291.532511068161</v>
      </c>
      <c r="G46" s="11">
        <f t="shared" si="27"/>
        <v>9355.9386464255986</v>
      </c>
      <c r="H46" s="11">
        <f t="shared" si="27"/>
        <v>9823.7355787468805</v>
      </c>
      <c r="I46" s="11">
        <f t="shared" si="27"/>
        <v>9355.9386464255986</v>
      </c>
      <c r="J46" s="11">
        <f t="shared" si="27"/>
        <v>9355.9386464255986</v>
      </c>
      <c r="K46" s="11">
        <f t="shared" si="27"/>
        <v>10291.532511068161</v>
      </c>
      <c r="L46" s="11">
        <f t="shared" si="27"/>
        <v>9355.9386464255986</v>
      </c>
      <c r="M46" s="11">
        <f t="shared" si="27"/>
        <v>9823.7355787468805</v>
      </c>
      <c r="N46" s="11">
        <f t="shared" si="27"/>
        <v>9823.7355787468805</v>
      </c>
    </row>
    <row r="47" spans="1:14" x14ac:dyDescent="0.2">
      <c r="B47" s="2" t="s">
        <v>213</v>
      </c>
      <c r="C47" s="11">
        <f>C43*0.12</f>
        <v>11821.473024000001</v>
      </c>
      <c r="D47" s="11">
        <f>D43*0.12</f>
        <v>10574.38398912</v>
      </c>
      <c r="E47" s="11">
        <f>E43*0.12</f>
        <v>11631.822388032</v>
      </c>
      <c r="F47" s="11">
        <f t="shared" ref="F47:I47" si="28">F43*0.12</f>
        <v>11631.822388032</v>
      </c>
      <c r="G47" s="11">
        <f t="shared" si="28"/>
        <v>10574.38398912</v>
      </c>
      <c r="H47" s="11">
        <f t="shared" si="28"/>
        <v>11103.103188576002</v>
      </c>
      <c r="I47" s="11">
        <f t="shared" si="28"/>
        <v>10574.38398912</v>
      </c>
      <c r="J47" s="11">
        <f>J43*0.12</f>
        <v>10574.38398912</v>
      </c>
      <c r="K47" s="11">
        <f>K43*0.12</f>
        <v>11631.822388032</v>
      </c>
      <c r="L47" s="11">
        <f>L43*0.12</f>
        <v>10574.38398912</v>
      </c>
      <c r="M47" s="11">
        <f>M43*0.12</f>
        <v>11103.103188576002</v>
      </c>
      <c r="N47" s="11">
        <f>N43*0.12</f>
        <v>11103.103188576002</v>
      </c>
    </row>
    <row r="48" spans="1:14" x14ac:dyDescent="0.2">
      <c r="B48" s="2" t="s">
        <v>416</v>
      </c>
      <c r="C48" s="11">
        <f>C41*0.95</f>
        <v>9191.7006799999981</v>
      </c>
      <c r="D48" s="11">
        <f t="shared" ref="D48:N48" si="29">D41*0.95</f>
        <v>7992.7831999999999</v>
      </c>
      <c r="E48" s="11">
        <f t="shared" si="29"/>
        <v>8792.0615200000011</v>
      </c>
      <c r="F48" s="11">
        <f t="shared" si="29"/>
        <v>8792.0615200000011</v>
      </c>
      <c r="G48" s="11">
        <f t="shared" si="29"/>
        <v>7992.7831999999999</v>
      </c>
      <c r="H48" s="11">
        <f t="shared" si="29"/>
        <v>8392.4223600000005</v>
      </c>
      <c r="I48" s="11">
        <f t="shared" si="29"/>
        <v>7992.7831999999999</v>
      </c>
      <c r="J48" s="11">
        <f t="shared" si="29"/>
        <v>7992.7831999999999</v>
      </c>
      <c r="K48" s="11">
        <f t="shared" si="29"/>
        <v>8792.0615200000011</v>
      </c>
      <c r="L48" s="11">
        <f t="shared" si="29"/>
        <v>7992.7831999999999</v>
      </c>
      <c r="M48" s="11">
        <f t="shared" si="29"/>
        <v>8392.4223600000005</v>
      </c>
      <c r="N48" s="11">
        <f t="shared" si="29"/>
        <v>8392.4223600000005</v>
      </c>
    </row>
    <row r="49" spans="2:15" x14ac:dyDescent="0.2">
      <c r="B49" s="2" t="s">
        <v>417</v>
      </c>
      <c r="C49" s="11">
        <f>SUM(C47:C48)*0.12</f>
        <v>2521.58084448</v>
      </c>
      <c r="D49" s="11">
        <f t="shared" ref="D49:N49" si="30">SUM(D47:D48)*0.12</f>
        <v>2228.0600626944001</v>
      </c>
      <c r="E49" s="11">
        <f t="shared" si="30"/>
        <v>2450.8660689638405</v>
      </c>
      <c r="F49" s="11">
        <f t="shared" si="30"/>
        <v>2450.8660689638405</v>
      </c>
      <c r="G49" s="11">
        <f t="shared" si="30"/>
        <v>2228.0600626944001</v>
      </c>
      <c r="H49" s="11">
        <f t="shared" si="30"/>
        <v>2339.4630658291203</v>
      </c>
      <c r="I49" s="11">
        <f t="shared" si="30"/>
        <v>2228.0600626944001</v>
      </c>
      <c r="J49" s="11">
        <f t="shared" si="30"/>
        <v>2228.0600626944001</v>
      </c>
      <c r="K49" s="11">
        <f t="shared" si="30"/>
        <v>2450.8660689638405</v>
      </c>
      <c r="L49" s="11">
        <f t="shared" si="30"/>
        <v>2228.0600626944001</v>
      </c>
      <c r="M49" s="11">
        <f t="shared" si="30"/>
        <v>2339.4630658291203</v>
      </c>
      <c r="N49" s="11">
        <f t="shared" si="30"/>
        <v>2339.4630658291203</v>
      </c>
    </row>
    <row r="50" spans="2:15" x14ac:dyDescent="0.2">
      <c r="B50" s="199" t="s">
        <v>127</v>
      </c>
      <c r="C50" s="11">
        <f>(SUM(C25:C42)+SUM(-ONS!F10))*0.03</f>
        <v>4155.88280175</v>
      </c>
      <c r="D50" s="11">
        <f>(SUM(D25:D42)+SUM(-ONS!G10))*0.03</f>
        <v>3575.86545978</v>
      </c>
      <c r="E50" s="11">
        <f>(SUM(E25:E42)+SUM(-ONS!H10))*0.03</f>
        <v>4168.3512047580007</v>
      </c>
      <c r="F50" s="11">
        <f>(SUM(F25:F42)+SUM(-ONS!I10))*0.03</f>
        <v>3995.5168472580003</v>
      </c>
      <c r="G50" s="11">
        <f>(SUM(G25:G42)+SUM(-ONS!J10))*0.03</f>
        <v>3935.6895660300006</v>
      </c>
      <c r="H50" s="11">
        <f>(SUM(H25:H42)+SUM(-ONS!K10))*0.03</f>
        <v>4296.4041256440005</v>
      </c>
      <c r="I50" s="11">
        <f>(SUM(I25:I42)+SUM(-ONS!L10))*0.03</f>
        <v>3479.18927553</v>
      </c>
      <c r="J50" s="11">
        <f>(SUM(J25:J42)+SUM(-ONS!M10))*0.03</f>
        <v>3588.1001550300002</v>
      </c>
      <c r="K50" s="11">
        <f>(SUM(K25:K42)+SUM(-ONS!N10))*0.03</f>
        <v>4399.7991580080006</v>
      </c>
      <c r="L50" s="11">
        <f>(SUM(L25:L42)+SUM(-ONS!O10))*0.03</f>
        <v>4150.4103060299994</v>
      </c>
      <c r="M50" s="11">
        <f>(SUM(M25:M42)+SUM(-ONS!P10))*0.03</f>
        <v>4366.8969998940001</v>
      </c>
      <c r="N50" s="11">
        <f t="shared" ref="N50" si="31">SUM(N25:N42)*0.03</f>
        <v>3040.7996611440008</v>
      </c>
    </row>
    <row r="51" spans="2:15" x14ac:dyDescent="0.2">
      <c r="B51" s="2" t="s">
        <v>895</v>
      </c>
      <c r="C51" s="9">
        <f t="shared" ref="C51:N51" si="32">$H$21</f>
        <v>490</v>
      </c>
      <c r="D51" s="9">
        <f t="shared" si="32"/>
        <v>490</v>
      </c>
      <c r="E51" s="9">
        <f t="shared" si="32"/>
        <v>490</v>
      </c>
      <c r="F51" s="9">
        <f t="shared" si="32"/>
        <v>490</v>
      </c>
      <c r="G51" s="9">
        <f t="shared" si="32"/>
        <v>490</v>
      </c>
      <c r="H51" s="9">
        <f t="shared" si="32"/>
        <v>490</v>
      </c>
      <c r="I51" s="9">
        <f t="shared" si="32"/>
        <v>490</v>
      </c>
      <c r="J51" s="9">
        <f t="shared" si="32"/>
        <v>490</v>
      </c>
      <c r="K51" s="9">
        <f t="shared" si="32"/>
        <v>490</v>
      </c>
      <c r="L51" s="9">
        <f t="shared" si="32"/>
        <v>490</v>
      </c>
      <c r="M51" s="9">
        <f t="shared" si="32"/>
        <v>490</v>
      </c>
      <c r="N51" s="9">
        <f t="shared" si="32"/>
        <v>490</v>
      </c>
    </row>
    <row r="52" spans="2:15" x14ac:dyDescent="0.2">
      <c r="B52" s="199" t="s">
        <v>165</v>
      </c>
      <c r="C52" s="11">
        <v>2980.797</v>
      </c>
      <c r="D52" s="11">
        <f>C52</f>
        <v>2980.797</v>
      </c>
      <c r="E52" s="11">
        <f t="shared" ref="E52:N52" si="33">D52</f>
        <v>2980.797</v>
      </c>
      <c r="F52" s="11">
        <f t="shared" si="33"/>
        <v>2980.797</v>
      </c>
      <c r="G52" s="11">
        <f t="shared" si="33"/>
        <v>2980.797</v>
      </c>
      <c r="H52" s="11">
        <f t="shared" si="33"/>
        <v>2980.797</v>
      </c>
      <c r="I52" s="11">
        <f t="shared" si="33"/>
        <v>2980.797</v>
      </c>
      <c r="J52" s="11">
        <f t="shared" si="33"/>
        <v>2980.797</v>
      </c>
      <c r="K52" s="11">
        <f t="shared" si="33"/>
        <v>2980.797</v>
      </c>
      <c r="L52" s="11">
        <f t="shared" si="33"/>
        <v>2980.797</v>
      </c>
      <c r="M52" s="11">
        <f t="shared" si="33"/>
        <v>2980.797</v>
      </c>
      <c r="N52" s="11">
        <f t="shared" si="33"/>
        <v>2980.797</v>
      </c>
      <c r="O52" s="11"/>
    </row>
    <row r="53" spans="2:15" x14ac:dyDescent="0.2">
      <c r="B53" s="199" t="s">
        <v>166</v>
      </c>
      <c r="C53" s="9">
        <f>$I$21</f>
        <v>234.45983999999964</v>
      </c>
      <c r="D53" s="9">
        <f t="shared" ref="D53:N53" si="34">$I$21</f>
        <v>234.45983999999964</v>
      </c>
      <c r="E53" s="9">
        <f t="shared" si="34"/>
        <v>234.45983999999964</v>
      </c>
      <c r="F53" s="9">
        <f t="shared" si="34"/>
        <v>234.45983999999964</v>
      </c>
      <c r="G53" s="9">
        <f t="shared" si="34"/>
        <v>234.45983999999964</v>
      </c>
      <c r="H53" s="9">
        <f t="shared" si="34"/>
        <v>234.45983999999964</v>
      </c>
      <c r="I53" s="9">
        <f t="shared" si="34"/>
        <v>234.45983999999964</v>
      </c>
      <c r="J53" s="9">
        <f t="shared" si="34"/>
        <v>234.45983999999964</v>
      </c>
      <c r="K53" s="9">
        <f t="shared" si="34"/>
        <v>234.45983999999964</v>
      </c>
      <c r="L53" s="9">
        <f t="shared" si="34"/>
        <v>234.45983999999964</v>
      </c>
      <c r="M53" s="9">
        <f t="shared" si="34"/>
        <v>234.45983999999964</v>
      </c>
      <c r="N53" s="9">
        <f t="shared" si="34"/>
        <v>234.45983999999964</v>
      </c>
    </row>
    <row r="54" spans="2:15" x14ac:dyDescent="0.2">
      <c r="C54" s="11"/>
    </row>
    <row r="55" spans="2:15" x14ac:dyDescent="0.2"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</row>
    <row r="56" spans="2:15" x14ac:dyDescent="0.2">
      <c r="B56" s="199" t="s">
        <v>260</v>
      </c>
      <c r="C56" s="11"/>
      <c r="K56" s="11"/>
    </row>
    <row r="57" spans="2:15" x14ac:dyDescent="0.2">
      <c r="C57" s="11"/>
      <c r="K57" s="11"/>
    </row>
    <row r="58" spans="2:15" x14ac:dyDescent="0.2">
      <c r="C58" s="11"/>
      <c r="K58" s="11"/>
    </row>
    <row r="59" spans="2:15" x14ac:dyDescent="0.2">
      <c r="C59" s="11"/>
      <c r="K59" s="11"/>
    </row>
    <row r="60" spans="2:15" x14ac:dyDescent="0.2">
      <c r="C60" s="11"/>
      <c r="K60" s="11"/>
    </row>
    <row r="61" spans="2:15" x14ac:dyDescent="0.2">
      <c r="C61" s="11"/>
    </row>
    <row r="62" spans="2:15" x14ac:dyDescent="0.2">
      <c r="C62" s="11"/>
    </row>
    <row r="63" spans="2:15" x14ac:dyDescent="0.2">
      <c r="C63" s="11"/>
    </row>
    <row r="64" spans="2:15" x14ac:dyDescent="0.2">
      <c r="C64" s="11"/>
    </row>
  </sheetData>
  <phoneticPr fontId="19" type="noConversion"/>
  <pageMargins left="0.7" right="0.7" top="0.75" bottom="0.75" header="0.3" footer="0.3"/>
  <pageSetup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B83B3-3EA9-48D7-BD45-E8BB508CF85C}">
  <sheetPr codeName="Sheet13">
    <tabColor rgb="FF92D050"/>
  </sheetPr>
  <dimension ref="A1:DW84"/>
  <sheetViews>
    <sheetView topLeftCell="CU1" zoomScaleNormal="100" workbookViewId="0">
      <selection activeCell="DM17" sqref="DM17"/>
    </sheetView>
  </sheetViews>
  <sheetFormatPr defaultColWidth="8.85546875" defaultRowHeight="12.75" outlineLevelCol="1" x14ac:dyDescent="0.2"/>
  <cols>
    <col min="1" max="1" width="29.5703125" style="44" hidden="1" customWidth="1"/>
    <col min="2" max="19" width="13.140625" style="44" hidden="1" customWidth="1" outlineLevel="1"/>
    <col min="20" max="20" width="13.140625" style="44" hidden="1" customWidth="1" collapsed="1"/>
    <col min="21" max="22" width="13.140625" style="44" hidden="1" customWidth="1"/>
    <col min="23" max="37" width="12.5703125" style="44" hidden="1" customWidth="1"/>
    <col min="38" max="38" width="14.5703125" style="44" hidden="1" customWidth="1"/>
    <col min="39" max="39" width="29.5703125" style="44" hidden="1" customWidth="1"/>
    <col min="40" max="51" width="10.7109375" style="44" hidden="1" customWidth="1"/>
    <col min="52" max="52" width="14.5703125" style="44" hidden="1" customWidth="1"/>
    <col min="53" max="53" width="18.85546875" style="44" hidden="1" customWidth="1"/>
    <col min="54" max="54" width="32.5703125" style="44" hidden="1" customWidth="1"/>
    <col min="55" max="56" width="12.140625" style="44" hidden="1" customWidth="1"/>
    <col min="57" max="58" width="13.5703125" style="44" hidden="1" customWidth="1"/>
    <col min="59" max="66" width="12.140625" style="44" hidden="1" customWidth="1"/>
    <col min="67" max="67" width="14.7109375" style="44" hidden="1" customWidth="1"/>
    <col min="68" max="68" width="8.85546875" style="44" hidden="1" customWidth="1"/>
    <col min="69" max="69" width="30.85546875" style="44" hidden="1" customWidth="1" outlineLevel="1" collapsed="1"/>
    <col min="70" max="70" width="38.42578125" style="44" hidden="1" customWidth="1" outlineLevel="1"/>
    <col min="71" max="71" width="12.5703125" style="468" hidden="1" customWidth="1" outlineLevel="1"/>
    <col min="72" max="73" width="13.7109375" style="44" hidden="1" customWidth="1" outlineLevel="1"/>
    <col min="74" max="74" width="14.28515625" style="44" hidden="1" customWidth="1" outlineLevel="1"/>
    <col min="75" max="79" width="12.5703125" style="44" hidden="1" customWidth="1" outlineLevel="1"/>
    <col min="80" max="80" width="12.7109375" style="44" hidden="1" customWidth="1" outlineLevel="1"/>
    <col min="81" max="81" width="15.28515625" style="44" hidden="1" customWidth="1" outlineLevel="1"/>
    <col min="82" max="82" width="12.7109375" style="44" hidden="1" customWidth="1" outlineLevel="1"/>
    <col min="83" max="83" width="14.28515625" style="44" hidden="1" customWidth="1" outlineLevel="1"/>
    <col min="84" max="84" width="8.85546875" style="44" hidden="1" customWidth="1" outlineLevel="1"/>
    <col min="85" max="86" width="12.7109375" style="44" hidden="1" customWidth="1" outlineLevel="1"/>
    <col min="87" max="87" width="14.5703125" style="44" hidden="1" customWidth="1" outlineLevel="1"/>
    <col min="88" max="88" width="12.7109375" style="44" hidden="1" customWidth="1" outlineLevel="1"/>
    <col min="89" max="89" width="14.5703125" style="44" hidden="1" customWidth="1" outlineLevel="1"/>
    <col min="90" max="90" width="12.7109375" style="44" hidden="1" customWidth="1" outlineLevel="1"/>
    <col min="91" max="91" width="14.5703125" style="44" hidden="1" customWidth="1" outlineLevel="1"/>
    <col min="92" max="92" width="12.7109375" style="44" hidden="1" customWidth="1" outlineLevel="1"/>
    <col min="93" max="93" width="14.5703125" style="44" hidden="1" customWidth="1" outlineLevel="1"/>
    <col min="94" max="94" width="12.7109375" style="44" hidden="1" customWidth="1" outlineLevel="1"/>
    <col min="95" max="95" width="14.5703125" style="44" hidden="1" customWidth="1" outlineLevel="1"/>
    <col min="96" max="96" width="12.5703125" style="44" hidden="1" customWidth="1" outlineLevel="1"/>
    <col min="97" max="97" width="14.28515625" style="44" hidden="1" customWidth="1" outlineLevel="1"/>
    <col min="98" max="98" width="8.85546875" style="44" hidden="1" customWidth="1" outlineLevel="1"/>
    <col min="99" max="99" width="30.85546875" style="44" bestFit="1" customWidth="1" collapsed="1"/>
    <col min="100" max="100" width="38.42578125" style="44" bestFit="1" customWidth="1"/>
    <col min="101" max="101" width="12.5703125" style="468" customWidth="1"/>
    <col min="102" max="102" width="13.7109375" style="44" customWidth="1"/>
    <col min="103" max="103" width="13.7109375" style="44" hidden="1" customWidth="1"/>
    <col min="104" max="104" width="14.28515625" style="44" hidden="1" customWidth="1"/>
    <col min="105" max="109" width="12.5703125" style="44" hidden="1" customWidth="1"/>
    <col min="110" max="110" width="12.7109375" style="44" hidden="1" customWidth="1"/>
    <col min="111" max="111" width="15.28515625" style="44" hidden="1" customWidth="1"/>
    <col min="112" max="112" width="12.7109375" style="44" hidden="1" customWidth="1"/>
    <col min="113" max="113" width="14.28515625" style="44" hidden="1" customWidth="1"/>
    <col min="114" max="114" width="8.85546875" style="44"/>
    <col min="115" max="116" width="12.7109375" style="44" customWidth="1"/>
    <col min="117" max="117" width="14.5703125" style="44" customWidth="1"/>
    <col min="118" max="118" width="12.7109375" style="44" bestFit="1" customWidth="1"/>
    <col min="119" max="119" width="14.5703125" style="44" bestFit="1" customWidth="1"/>
    <col min="120" max="120" width="12.7109375" style="44" bestFit="1" customWidth="1"/>
    <col min="121" max="121" width="14.5703125" style="44" bestFit="1" customWidth="1"/>
    <col min="122" max="122" width="12.7109375" style="44" bestFit="1" customWidth="1"/>
    <col min="123" max="123" width="14.5703125" style="44" bestFit="1" customWidth="1"/>
    <col min="124" max="124" width="12.7109375" style="44" bestFit="1" customWidth="1"/>
    <col min="125" max="125" width="14.5703125" style="44" bestFit="1" customWidth="1"/>
    <col min="126" max="126" width="12.5703125" style="44" bestFit="1" customWidth="1"/>
    <col min="127" max="127" width="14.28515625" style="44" bestFit="1" customWidth="1"/>
    <col min="128" max="16384" width="8.85546875" style="44"/>
  </cols>
  <sheetData>
    <row r="1" spans="1:127" ht="16.149999999999999" customHeight="1" x14ac:dyDescent="0.2">
      <c r="BQ1" s="368">
        <v>46054</v>
      </c>
      <c r="BR1" s="359" t="s">
        <v>925</v>
      </c>
      <c r="CU1" s="368">
        <v>46235</v>
      </c>
      <c r="CV1" s="359" t="s">
        <v>925</v>
      </c>
    </row>
    <row r="2" spans="1:127" x14ac:dyDescent="0.2">
      <c r="B2" s="723" t="s">
        <v>418</v>
      </c>
      <c r="C2" s="723"/>
      <c r="D2" s="723"/>
      <c r="E2" s="723" t="s">
        <v>419</v>
      </c>
      <c r="F2" s="723"/>
      <c r="G2" s="723"/>
      <c r="H2" s="723" t="s">
        <v>420</v>
      </c>
      <c r="I2" s="723"/>
      <c r="J2" s="723"/>
      <c r="K2" s="723" t="s">
        <v>421</v>
      </c>
      <c r="L2" s="723"/>
      <c r="M2" s="723"/>
      <c r="N2" s="723" t="s">
        <v>422</v>
      </c>
      <c r="O2" s="723"/>
      <c r="P2" s="723"/>
      <c r="Q2" s="723" t="s">
        <v>423</v>
      </c>
      <c r="R2" s="723"/>
      <c r="S2" s="723"/>
      <c r="T2" s="723" t="s">
        <v>424</v>
      </c>
      <c r="U2" s="723"/>
      <c r="V2" s="723"/>
      <c r="W2" s="723" t="s">
        <v>425</v>
      </c>
      <c r="X2" s="723"/>
      <c r="Y2" s="723"/>
      <c r="Z2" s="723" t="s">
        <v>426</v>
      </c>
      <c r="AA2" s="723"/>
      <c r="AB2" s="723"/>
      <c r="AC2" s="723" t="s">
        <v>427</v>
      </c>
      <c r="AD2" s="723"/>
      <c r="AE2" s="723"/>
      <c r="AF2" s="723" t="s">
        <v>428</v>
      </c>
      <c r="AG2" s="723"/>
      <c r="AH2" s="723"/>
      <c r="AI2" s="723" t="s">
        <v>429</v>
      </c>
      <c r="AJ2" s="723"/>
      <c r="AK2" s="723"/>
      <c r="AN2" s="121" t="s">
        <v>430</v>
      </c>
      <c r="AO2" s="122" t="s">
        <v>431</v>
      </c>
      <c r="AP2" s="122" t="s">
        <v>432</v>
      </c>
      <c r="AQ2" s="122" t="s">
        <v>433</v>
      </c>
      <c r="AR2" s="122" t="s">
        <v>434</v>
      </c>
      <c r="AS2" s="122" t="s">
        <v>435</v>
      </c>
      <c r="AT2" s="122" t="s">
        <v>436</v>
      </c>
      <c r="AU2" s="122" t="s">
        <v>437</v>
      </c>
      <c r="AV2" s="122" t="s">
        <v>438</v>
      </c>
      <c r="AW2" s="122" t="s">
        <v>439</v>
      </c>
      <c r="AX2" s="122" t="s">
        <v>440</v>
      </c>
      <c r="AY2" s="122" t="s">
        <v>441</v>
      </c>
      <c r="AZ2" s="123" t="s">
        <v>442</v>
      </c>
      <c r="BA2" s="124" t="s">
        <v>443</v>
      </c>
      <c r="BC2" s="125" t="s">
        <v>444</v>
      </c>
      <c r="BD2" s="126" t="s">
        <v>445</v>
      </c>
      <c r="BE2" s="126" t="s">
        <v>446</v>
      </c>
      <c r="BF2" s="126" t="s">
        <v>447</v>
      </c>
      <c r="BG2" s="126" t="s">
        <v>448</v>
      </c>
      <c r="BH2" s="126" t="s">
        <v>449</v>
      </c>
      <c r="BI2" s="126" t="s">
        <v>450</v>
      </c>
      <c r="BJ2" s="126" t="s">
        <v>451</v>
      </c>
      <c r="BK2" s="126" t="s">
        <v>452</v>
      </c>
      <c r="BL2" s="126" t="s">
        <v>453</v>
      </c>
      <c r="BM2" s="126" t="s">
        <v>454</v>
      </c>
      <c r="BN2" s="126" t="s">
        <v>455</v>
      </c>
      <c r="BO2" s="123" t="s">
        <v>456</v>
      </c>
      <c r="BQ2" s="721" t="s">
        <v>188</v>
      </c>
      <c r="BR2" s="722"/>
      <c r="BS2" s="369">
        <v>45839</v>
      </c>
      <c r="BT2" s="369">
        <v>45870</v>
      </c>
      <c r="BU2" s="369">
        <v>45901</v>
      </c>
      <c r="BV2" s="369">
        <v>45931</v>
      </c>
      <c r="BW2" s="369">
        <v>45962</v>
      </c>
      <c r="BX2" s="369">
        <v>45992</v>
      </c>
      <c r="BY2" s="369">
        <v>46023</v>
      </c>
      <c r="BZ2" s="369">
        <v>46054</v>
      </c>
      <c r="CA2" s="369">
        <v>46082</v>
      </c>
      <c r="CB2" s="369">
        <v>46113</v>
      </c>
      <c r="CC2" s="369">
        <v>46143</v>
      </c>
      <c r="CD2" s="369">
        <v>46174</v>
      </c>
      <c r="CE2" s="130" t="s">
        <v>927</v>
      </c>
      <c r="CG2" s="369">
        <v>45839</v>
      </c>
      <c r="CH2" s="369">
        <v>45870</v>
      </c>
      <c r="CI2" s="369">
        <v>45901</v>
      </c>
      <c r="CJ2" s="369">
        <v>45931</v>
      </c>
      <c r="CK2" s="369">
        <v>45962</v>
      </c>
      <c r="CL2" s="369">
        <v>45992</v>
      </c>
      <c r="CM2" s="369">
        <v>46023</v>
      </c>
      <c r="CN2" s="369">
        <v>46054</v>
      </c>
      <c r="CO2" s="369">
        <v>46082</v>
      </c>
      <c r="CP2" s="369">
        <v>46113</v>
      </c>
      <c r="CQ2" s="369">
        <v>46143</v>
      </c>
      <c r="CR2" s="369">
        <v>46174</v>
      </c>
      <c r="CS2" s="130" t="s">
        <v>927</v>
      </c>
      <c r="CU2" s="721" t="s">
        <v>188</v>
      </c>
      <c r="CV2" s="722"/>
      <c r="CW2" s="369">
        <v>46204</v>
      </c>
      <c r="CX2" s="369">
        <v>46235</v>
      </c>
      <c r="CY2" s="369">
        <v>46266</v>
      </c>
      <c r="CZ2" s="369">
        <v>46296</v>
      </c>
      <c r="DA2" s="369">
        <v>46327</v>
      </c>
      <c r="DB2" s="369">
        <v>46357</v>
      </c>
      <c r="DC2" s="369">
        <v>46388</v>
      </c>
      <c r="DD2" s="369">
        <v>46419</v>
      </c>
      <c r="DE2" s="369">
        <v>46447</v>
      </c>
      <c r="DF2" s="369">
        <v>46478</v>
      </c>
      <c r="DG2" s="369">
        <v>46508</v>
      </c>
      <c r="DH2" s="369">
        <v>46539</v>
      </c>
      <c r="DI2" s="130" t="s">
        <v>1205</v>
      </c>
      <c r="DK2" s="369">
        <v>46204</v>
      </c>
      <c r="DL2" s="369">
        <v>46235</v>
      </c>
      <c r="DM2" s="369">
        <v>46266</v>
      </c>
      <c r="DN2" s="369">
        <v>46296</v>
      </c>
      <c r="DO2" s="369">
        <v>46327</v>
      </c>
      <c r="DP2" s="369">
        <v>46357</v>
      </c>
      <c r="DQ2" s="369">
        <v>46388</v>
      </c>
      <c r="DR2" s="369">
        <v>46419</v>
      </c>
      <c r="DS2" s="369">
        <v>46447</v>
      </c>
      <c r="DT2" s="369">
        <v>46478</v>
      </c>
      <c r="DU2" s="369">
        <v>46508</v>
      </c>
      <c r="DV2" s="369">
        <v>46539</v>
      </c>
      <c r="DW2" s="130" t="s">
        <v>1205</v>
      </c>
    </row>
    <row r="3" spans="1:127" x14ac:dyDescent="0.2">
      <c r="A3" s="127" t="s">
        <v>457</v>
      </c>
      <c r="B3" s="128" t="s">
        <v>263</v>
      </c>
      <c r="C3" s="129" t="s">
        <v>264</v>
      </c>
      <c r="D3" s="130" t="s">
        <v>28</v>
      </c>
      <c r="E3" s="128" t="s">
        <v>263</v>
      </c>
      <c r="F3" s="129" t="s">
        <v>264</v>
      </c>
      <c r="G3" s="130" t="s">
        <v>28</v>
      </c>
      <c r="H3" s="128" t="s">
        <v>263</v>
      </c>
      <c r="I3" s="129" t="s">
        <v>264</v>
      </c>
      <c r="J3" s="130" t="s">
        <v>28</v>
      </c>
      <c r="K3" s="128" t="s">
        <v>263</v>
      </c>
      <c r="L3" s="129" t="s">
        <v>264</v>
      </c>
      <c r="M3" s="130" t="s">
        <v>28</v>
      </c>
      <c r="N3" s="128" t="s">
        <v>263</v>
      </c>
      <c r="O3" s="129" t="s">
        <v>264</v>
      </c>
      <c r="P3" s="130" t="s">
        <v>28</v>
      </c>
      <c r="Q3" s="128" t="s">
        <v>263</v>
      </c>
      <c r="R3" s="129" t="s">
        <v>264</v>
      </c>
      <c r="S3" s="130" t="s">
        <v>28</v>
      </c>
      <c r="T3" s="128" t="s">
        <v>263</v>
      </c>
      <c r="U3" s="129" t="s">
        <v>264</v>
      </c>
      <c r="V3" s="130" t="s">
        <v>28</v>
      </c>
      <c r="W3" s="128" t="s">
        <v>263</v>
      </c>
      <c r="X3" s="129" t="s">
        <v>264</v>
      </c>
      <c r="Y3" s="130" t="s">
        <v>28</v>
      </c>
      <c r="Z3" s="128" t="s">
        <v>263</v>
      </c>
      <c r="AA3" s="129" t="s">
        <v>264</v>
      </c>
      <c r="AB3" s="130" t="s">
        <v>28</v>
      </c>
      <c r="AC3" s="128" t="s">
        <v>263</v>
      </c>
      <c r="AD3" s="129" t="s">
        <v>264</v>
      </c>
      <c r="AE3" s="130" t="s">
        <v>28</v>
      </c>
      <c r="AF3" s="128" t="s">
        <v>263</v>
      </c>
      <c r="AG3" s="129" t="s">
        <v>264</v>
      </c>
      <c r="AH3" s="130" t="s">
        <v>28</v>
      </c>
      <c r="AI3" s="128" t="s">
        <v>263</v>
      </c>
      <c r="AJ3" s="129" t="s">
        <v>264</v>
      </c>
      <c r="AK3" s="130" t="s">
        <v>28</v>
      </c>
      <c r="AL3" s="123" t="s">
        <v>458</v>
      </c>
      <c r="AM3" s="127" t="s">
        <v>457</v>
      </c>
      <c r="AN3" s="131" t="s">
        <v>263</v>
      </c>
      <c r="AO3" s="131" t="s">
        <v>263</v>
      </c>
      <c r="AP3" s="131" t="s">
        <v>263</v>
      </c>
      <c r="AQ3" s="131" t="s">
        <v>263</v>
      </c>
      <c r="AR3" s="131" t="s">
        <v>263</v>
      </c>
      <c r="AS3" s="131" t="s">
        <v>263</v>
      </c>
      <c r="AT3" s="131" t="s">
        <v>263</v>
      </c>
      <c r="AU3" s="131" t="s">
        <v>263</v>
      </c>
      <c r="AV3" s="131" t="s">
        <v>263</v>
      </c>
      <c r="AW3" s="131" t="s">
        <v>263</v>
      </c>
      <c r="AX3" s="131" t="s">
        <v>263</v>
      </c>
      <c r="AY3" s="132" t="s">
        <v>263</v>
      </c>
      <c r="AZ3" s="127" t="s">
        <v>263</v>
      </c>
      <c r="BA3" s="133"/>
      <c r="BB3" s="134" t="s">
        <v>457</v>
      </c>
      <c r="BC3" s="135" t="s">
        <v>263</v>
      </c>
      <c r="BD3" s="136" t="s">
        <v>263</v>
      </c>
      <c r="BE3" s="136" t="s">
        <v>263</v>
      </c>
      <c r="BF3" s="136" t="s">
        <v>263</v>
      </c>
      <c r="BG3" s="136" t="s">
        <v>263</v>
      </c>
      <c r="BH3" s="136" t="s">
        <v>263</v>
      </c>
      <c r="BI3" s="136" t="s">
        <v>263</v>
      </c>
      <c r="BJ3" s="136" t="s">
        <v>263</v>
      </c>
      <c r="BK3" s="136" t="s">
        <v>263</v>
      </c>
      <c r="BL3" s="136" t="s">
        <v>263</v>
      </c>
      <c r="BM3" s="136" t="s">
        <v>263</v>
      </c>
      <c r="BN3" s="136" t="s">
        <v>263</v>
      </c>
      <c r="BO3" s="127" t="s">
        <v>263</v>
      </c>
      <c r="BQ3" s="134" t="s">
        <v>915</v>
      </c>
      <c r="BR3" s="134" t="s">
        <v>457</v>
      </c>
      <c r="BS3" s="469" t="s">
        <v>931</v>
      </c>
      <c r="BT3" s="370" t="s">
        <v>931</v>
      </c>
      <c r="BU3" s="370" t="s">
        <v>931</v>
      </c>
      <c r="BV3" s="370" t="s">
        <v>931</v>
      </c>
      <c r="BW3" s="370" t="s">
        <v>931</v>
      </c>
      <c r="BX3" s="370" t="s">
        <v>931</v>
      </c>
      <c r="BY3" s="370" t="s">
        <v>931</v>
      </c>
      <c r="BZ3" s="370" t="s">
        <v>931</v>
      </c>
      <c r="CA3" s="370" t="s">
        <v>931</v>
      </c>
      <c r="CB3" s="370" t="s">
        <v>931</v>
      </c>
      <c r="CC3" s="370" t="s">
        <v>931</v>
      </c>
      <c r="CD3" s="370" t="s">
        <v>931</v>
      </c>
      <c r="CE3" s="370" t="s">
        <v>931</v>
      </c>
      <c r="CF3" s="142"/>
      <c r="CG3" s="573" t="s">
        <v>264</v>
      </c>
      <c r="CH3" s="574" t="s">
        <v>264</v>
      </c>
      <c r="CI3" s="574" t="s">
        <v>264</v>
      </c>
      <c r="CJ3" s="574" t="s">
        <v>264</v>
      </c>
      <c r="CK3" s="574" t="s">
        <v>264</v>
      </c>
      <c r="CL3" s="574" t="s">
        <v>264</v>
      </c>
      <c r="CM3" s="574" t="s">
        <v>264</v>
      </c>
      <c r="CN3" s="574" t="s">
        <v>264</v>
      </c>
      <c r="CO3" s="574" t="s">
        <v>264</v>
      </c>
      <c r="CP3" s="574" t="s">
        <v>264</v>
      </c>
      <c r="CQ3" s="370" t="s">
        <v>263</v>
      </c>
      <c r="CR3" s="370" t="s">
        <v>263</v>
      </c>
      <c r="CS3" s="370" t="s">
        <v>263</v>
      </c>
      <c r="CT3" s="359" t="s">
        <v>934</v>
      </c>
      <c r="CU3" s="134" t="s">
        <v>915</v>
      </c>
      <c r="CV3" s="134" t="s">
        <v>457</v>
      </c>
      <c r="CW3" s="370" t="s">
        <v>931</v>
      </c>
      <c r="CX3" s="370" t="s">
        <v>931</v>
      </c>
      <c r="CY3" s="370" t="s">
        <v>931</v>
      </c>
      <c r="CZ3" s="370" t="s">
        <v>931</v>
      </c>
      <c r="DA3" s="370" t="s">
        <v>931</v>
      </c>
      <c r="DB3" s="370" t="s">
        <v>931</v>
      </c>
      <c r="DC3" s="370" t="s">
        <v>931</v>
      </c>
      <c r="DD3" s="370" t="s">
        <v>931</v>
      </c>
      <c r="DE3" s="370" t="s">
        <v>931</v>
      </c>
      <c r="DF3" s="370" t="s">
        <v>931</v>
      </c>
      <c r="DG3" s="370" t="s">
        <v>931</v>
      </c>
      <c r="DH3" s="370" t="s">
        <v>931</v>
      </c>
      <c r="DI3" s="370" t="s">
        <v>931</v>
      </c>
      <c r="DJ3" s="142"/>
      <c r="DK3" s="370" t="s">
        <v>264</v>
      </c>
      <c r="DL3" s="370" t="s">
        <v>264</v>
      </c>
      <c r="DM3" s="370" t="s">
        <v>263</v>
      </c>
      <c r="DN3" s="370" t="s">
        <v>263</v>
      </c>
      <c r="DO3" s="370" t="s">
        <v>263</v>
      </c>
      <c r="DP3" s="370" t="s">
        <v>263</v>
      </c>
      <c r="DQ3" s="370" t="s">
        <v>263</v>
      </c>
      <c r="DR3" s="370" t="s">
        <v>263</v>
      </c>
      <c r="DS3" s="370" t="s">
        <v>263</v>
      </c>
      <c r="DT3" s="370" t="s">
        <v>263</v>
      </c>
      <c r="DU3" s="370" t="s">
        <v>263</v>
      </c>
      <c r="DV3" s="370" t="s">
        <v>263</v>
      </c>
      <c r="DW3" s="370" t="s">
        <v>263</v>
      </c>
    </row>
    <row r="4" spans="1:127" x14ac:dyDescent="0.2">
      <c r="A4" s="137"/>
      <c r="B4" s="109"/>
      <c r="C4" s="110"/>
      <c r="D4" s="111"/>
      <c r="E4" s="109"/>
      <c r="F4" s="110"/>
      <c r="G4" s="111"/>
      <c r="H4" s="109"/>
      <c r="I4" s="110"/>
      <c r="J4" s="111"/>
      <c r="K4" s="109"/>
      <c r="L4" s="110"/>
      <c r="M4" s="111"/>
      <c r="N4" s="109"/>
      <c r="O4" s="110"/>
      <c r="P4" s="111"/>
      <c r="Q4" s="109"/>
      <c r="R4" s="52"/>
      <c r="S4" s="111"/>
      <c r="T4" s="109"/>
      <c r="U4" s="52"/>
      <c r="V4" s="111"/>
      <c r="W4" s="109"/>
      <c r="X4" s="52"/>
      <c r="Y4" s="111"/>
      <c r="Z4" s="109"/>
      <c r="AA4" s="110"/>
      <c r="AB4" s="111"/>
      <c r="AC4" s="109"/>
      <c r="AD4" s="110"/>
      <c r="AE4" s="111"/>
      <c r="AF4" s="109"/>
      <c r="AG4" s="110"/>
      <c r="AH4" s="111"/>
      <c r="AI4" s="109"/>
      <c r="AJ4" s="110"/>
      <c r="AK4" s="111"/>
      <c r="AL4" s="138"/>
      <c r="AM4" s="137"/>
      <c r="AN4" s="84"/>
      <c r="AO4" s="84"/>
      <c r="AP4" s="84"/>
      <c r="AQ4" s="84"/>
      <c r="AR4" s="84"/>
      <c r="AS4" s="84"/>
      <c r="AT4" s="84"/>
      <c r="AU4" s="84"/>
      <c r="AV4" s="84"/>
      <c r="AW4" s="84"/>
      <c r="AX4" s="84"/>
      <c r="AY4" s="84"/>
      <c r="AZ4" s="138"/>
      <c r="BA4" s="142"/>
      <c r="BB4" s="137" t="s">
        <v>519</v>
      </c>
      <c r="BC4" s="84">
        <v>0</v>
      </c>
      <c r="BD4" s="84">
        <v>13273.33</v>
      </c>
      <c r="BE4" s="84">
        <v>13273.33</v>
      </c>
      <c r="BF4" s="84">
        <v>13273.33</v>
      </c>
      <c r="BG4" s="84">
        <v>13273.33</v>
      </c>
      <c r="BH4" s="84">
        <v>13273.33</v>
      </c>
      <c r="BI4" s="84">
        <v>13273.33</v>
      </c>
      <c r="BJ4" s="84">
        <v>13273.33</v>
      </c>
      <c r="BK4" s="84">
        <v>13273.33</v>
      </c>
      <c r="BL4" s="84">
        <v>13273.33</v>
      </c>
      <c r="BM4" s="84">
        <v>13273.33</v>
      </c>
      <c r="BN4" s="84">
        <v>13273.33</v>
      </c>
      <c r="BO4" s="139">
        <f t="shared" ref="BO4:BO52" si="0">SUM(BC4:BN4)</f>
        <v>146006.62999999998</v>
      </c>
      <c r="BQ4" s="500" t="s">
        <v>919</v>
      </c>
      <c r="BR4" s="283" t="s">
        <v>947</v>
      </c>
      <c r="BS4" s="467">
        <v>340</v>
      </c>
      <c r="BT4" s="84">
        <v>340</v>
      </c>
      <c r="BU4" s="84">
        <v>340</v>
      </c>
      <c r="BV4" s="84">
        <v>340</v>
      </c>
      <c r="BW4" s="84">
        <v>340</v>
      </c>
      <c r="BX4" s="84">
        <v>340</v>
      </c>
      <c r="BY4" s="84">
        <v>340</v>
      </c>
      <c r="BZ4" s="84">
        <v>340</v>
      </c>
      <c r="CA4" s="84">
        <v>340</v>
      </c>
      <c r="CB4" s="84">
        <v>340</v>
      </c>
      <c r="CC4" s="84">
        <v>340</v>
      </c>
      <c r="CD4" s="84">
        <v>340</v>
      </c>
      <c r="CE4" s="139">
        <f t="shared" ref="CE4:CE52" si="1">SUM(BS4:CD4)</f>
        <v>4080</v>
      </c>
      <c r="CF4" s="142"/>
      <c r="CG4" s="572">
        <v>0</v>
      </c>
      <c r="CH4" s="572">
        <v>0</v>
      </c>
      <c r="CI4" s="84">
        <v>0</v>
      </c>
      <c r="CJ4" s="84"/>
      <c r="CK4" s="84"/>
      <c r="CL4" s="572"/>
      <c r="CM4" s="84"/>
      <c r="CN4" s="84"/>
      <c r="CO4" s="84"/>
      <c r="CP4" s="84">
        <v>0</v>
      </c>
      <c r="CQ4" s="84">
        <v>1425</v>
      </c>
      <c r="CR4" s="84">
        <v>0</v>
      </c>
      <c r="CS4" s="139">
        <f t="shared" ref="CS4:CS52" si="2">SUM(CG4:CR4)</f>
        <v>1425</v>
      </c>
      <c r="CU4" s="500" t="s">
        <v>916</v>
      </c>
      <c r="CV4" s="283" t="s">
        <v>1334</v>
      </c>
      <c r="CW4" s="84">
        <v>11000</v>
      </c>
      <c r="CX4" s="84">
        <v>11000</v>
      </c>
      <c r="CY4" s="84">
        <v>11000</v>
      </c>
      <c r="CZ4" s="84">
        <v>11000</v>
      </c>
      <c r="DA4" s="84">
        <v>11000</v>
      </c>
      <c r="DB4" s="84">
        <v>11000</v>
      </c>
      <c r="DC4" s="84">
        <v>11000</v>
      </c>
      <c r="DD4" s="84">
        <v>11000</v>
      </c>
      <c r="DE4" s="84">
        <v>11000</v>
      </c>
      <c r="DF4" s="84">
        <v>11000</v>
      </c>
      <c r="DG4" s="84">
        <v>11000</v>
      </c>
      <c r="DH4" s="84">
        <v>11000</v>
      </c>
      <c r="DI4" s="139">
        <f>SUM(CW4:DH4)</f>
        <v>132000</v>
      </c>
      <c r="DJ4" s="142"/>
      <c r="DK4" s="675">
        <f>CW4</f>
        <v>11000</v>
      </c>
      <c r="DL4" s="572">
        <f t="shared" ref="DL4:DV4" si="3">CX4</f>
        <v>11000</v>
      </c>
      <c r="DM4" s="572">
        <f t="shared" si="3"/>
        <v>11000</v>
      </c>
      <c r="DN4" s="572">
        <f t="shared" si="3"/>
        <v>11000</v>
      </c>
      <c r="DO4" s="572">
        <f t="shared" si="3"/>
        <v>11000</v>
      </c>
      <c r="DP4" s="572">
        <f t="shared" si="3"/>
        <v>11000</v>
      </c>
      <c r="DQ4" s="572">
        <f t="shared" si="3"/>
        <v>11000</v>
      </c>
      <c r="DR4" s="572">
        <f t="shared" si="3"/>
        <v>11000</v>
      </c>
      <c r="DS4" s="572">
        <f t="shared" si="3"/>
        <v>11000</v>
      </c>
      <c r="DT4" s="572">
        <f t="shared" si="3"/>
        <v>11000</v>
      </c>
      <c r="DU4" s="572">
        <f t="shared" si="3"/>
        <v>11000</v>
      </c>
      <c r="DV4" s="572">
        <f t="shared" si="3"/>
        <v>11000</v>
      </c>
      <c r="DW4" s="139">
        <f>SUM(DK4:DV4)</f>
        <v>132000</v>
      </c>
    </row>
    <row r="5" spans="1:127" x14ac:dyDescent="0.2">
      <c r="A5" s="137" t="s">
        <v>459</v>
      </c>
      <c r="B5" s="109">
        <v>11400</v>
      </c>
      <c r="C5" s="110">
        <v>11420</v>
      </c>
      <c r="D5" s="111">
        <f t="shared" ref="D5:D14" si="4">+C5-B5</f>
        <v>20</v>
      </c>
      <c r="E5" s="109">
        <v>11400</v>
      </c>
      <c r="F5" s="110">
        <v>11420</v>
      </c>
      <c r="G5" s="111">
        <f t="shared" ref="G5:G14" si="5">+F5-E5</f>
        <v>20</v>
      </c>
      <c r="H5" s="109">
        <v>11400</v>
      </c>
      <c r="I5" s="110">
        <v>11420</v>
      </c>
      <c r="J5" s="111">
        <f t="shared" ref="J5:J14" si="6">+I5-H5</f>
        <v>20</v>
      </c>
      <c r="K5" s="109">
        <v>11400</v>
      </c>
      <c r="L5" s="110">
        <v>11286</v>
      </c>
      <c r="M5" s="111">
        <f t="shared" ref="M5:M14" si="7">+L5-K5</f>
        <v>-114</v>
      </c>
      <c r="N5" s="109">
        <v>11400</v>
      </c>
      <c r="O5" s="110">
        <v>11285</v>
      </c>
      <c r="P5" s="111">
        <f t="shared" ref="P5:P14" si="8">+O5-N5</f>
        <v>-115</v>
      </c>
      <c r="Q5" s="109">
        <v>11400</v>
      </c>
      <c r="R5" s="52">
        <v>11460</v>
      </c>
      <c r="S5" s="111">
        <f t="shared" ref="S5:S14" si="9">+R5-Q5</f>
        <v>60</v>
      </c>
      <c r="T5" s="109">
        <v>11400</v>
      </c>
      <c r="U5" s="52">
        <v>8657</v>
      </c>
      <c r="V5" s="111">
        <f t="shared" ref="V5:V14" si="10">+U5-T5</f>
        <v>-2743</v>
      </c>
      <c r="W5" s="109">
        <v>11400</v>
      </c>
      <c r="X5" s="52">
        <v>11460</v>
      </c>
      <c r="Y5" s="111">
        <f t="shared" ref="Y5:Y14" si="11">+X5-W5</f>
        <v>60</v>
      </c>
      <c r="Z5" s="109">
        <v>11400</v>
      </c>
      <c r="AA5" s="110">
        <v>10899.34</v>
      </c>
      <c r="AB5" s="111">
        <f t="shared" ref="AB5:AB25" si="12">+AA5-Z5</f>
        <v>-500.65999999999985</v>
      </c>
      <c r="AC5" s="109">
        <v>11400</v>
      </c>
      <c r="AD5" s="110">
        <v>11460</v>
      </c>
      <c r="AE5" s="111">
        <f t="shared" ref="AE5:AE25" si="13">+AD5-AC5</f>
        <v>60</v>
      </c>
      <c r="AF5" s="109">
        <v>11400</v>
      </c>
      <c r="AG5" s="110">
        <v>11460</v>
      </c>
      <c r="AH5" s="111">
        <f t="shared" ref="AH5:AH25" si="14">+AG5-AF5</f>
        <v>60</v>
      </c>
      <c r="AI5" s="109">
        <v>11400</v>
      </c>
      <c r="AJ5" s="110"/>
      <c r="AK5" s="111">
        <f t="shared" ref="AK5:AK25" si="15">+AJ5-AI5</f>
        <v>-11400</v>
      </c>
      <c r="AL5" s="138">
        <f t="shared" ref="AL5:AL25" si="16">SUMIFS($B5:$AK5,$B$3:$AK$3,"Actual")</f>
        <v>122227.34</v>
      </c>
      <c r="AM5" s="137" t="s">
        <v>459</v>
      </c>
      <c r="AN5" s="84">
        <v>11900</v>
      </c>
      <c r="AO5" s="84">
        <v>11900</v>
      </c>
      <c r="AP5" s="84">
        <v>11900</v>
      </c>
      <c r="AQ5" s="84">
        <v>11900</v>
      </c>
      <c r="AR5" s="84">
        <v>11900</v>
      </c>
      <c r="AS5" s="84">
        <v>11900</v>
      </c>
      <c r="AT5" s="84">
        <v>11900</v>
      </c>
      <c r="AU5" s="84">
        <v>11900</v>
      </c>
      <c r="AV5" s="84">
        <v>11900</v>
      </c>
      <c r="AW5" s="84">
        <v>11900</v>
      </c>
      <c r="AX5" s="84">
        <v>11900</v>
      </c>
      <c r="AY5" s="84">
        <v>11900</v>
      </c>
      <c r="AZ5" s="138">
        <f t="shared" ref="AZ5:AZ25" si="17">SUM(AN5:AY5)</f>
        <v>142800</v>
      </c>
      <c r="BA5" s="142"/>
      <c r="BB5" s="137" t="s">
        <v>459</v>
      </c>
      <c r="BC5" s="84">
        <v>11900</v>
      </c>
      <c r="BD5" s="84">
        <v>11900</v>
      </c>
      <c r="BE5" s="84">
        <v>11900</v>
      </c>
      <c r="BF5" s="84">
        <v>11900</v>
      </c>
      <c r="BG5" s="84">
        <v>11900</v>
      </c>
      <c r="BH5" s="84">
        <v>11900</v>
      </c>
      <c r="BI5" s="84">
        <v>11900</v>
      </c>
      <c r="BJ5" s="84">
        <v>11900</v>
      </c>
      <c r="BK5" s="84">
        <v>11900</v>
      </c>
      <c r="BL5" s="84">
        <v>11900</v>
      </c>
      <c r="BM5" s="84">
        <v>11900</v>
      </c>
      <c r="BN5" s="84">
        <v>11900</v>
      </c>
      <c r="BO5" s="139">
        <f t="shared" si="0"/>
        <v>142800</v>
      </c>
      <c r="BQ5" s="500" t="s">
        <v>916</v>
      </c>
      <c r="BR5" s="283" t="s">
        <v>459</v>
      </c>
      <c r="BS5" s="467">
        <v>11900</v>
      </c>
      <c r="BT5" s="84">
        <v>11900</v>
      </c>
      <c r="BU5" s="84">
        <v>11900</v>
      </c>
      <c r="BV5" s="84">
        <v>11900</v>
      </c>
      <c r="BW5" s="84">
        <v>11900</v>
      </c>
      <c r="BX5" s="84">
        <v>11900</v>
      </c>
      <c r="BY5" s="84">
        <v>11900</v>
      </c>
      <c r="BZ5" s="84">
        <v>11900</v>
      </c>
      <c r="CA5" s="84">
        <v>11900</v>
      </c>
      <c r="CB5" s="84">
        <v>11900</v>
      </c>
      <c r="CC5" s="84">
        <v>11900</v>
      </c>
      <c r="CD5" s="84">
        <v>11900</v>
      </c>
      <c r="CE5" s="139">
        <f t="shared" si="1"/>
        <v>142800</v>
      </c>
      <c r="CF5" s="142"/>
      <c r="CG5" s="572">
        <f t="shared" ref="CG5:CL5" si="18">BS5</f>
        <v>11900</v>
      </c>
      <c r="CH5" s="572">
        <f t="shared" si="18"/>
        <v>11900</v>
      </c>
      <c r="CI5" s="84">
        <f t="shared" si="18"/>
        <v>11900</v>
      </c>
      <c r="CJ5" s="84">
        <f t="shared" si="18"/>
        <v>11900</v>
      </c>
      <c r="CK5" s="84">
        <f t="shared" si="18"/>
        <v>11900</v>
      </c>
      <c r="CL5" s="572">
        <f t="shared" si="18"/>
        <v>11900</v>
      </c>
      <c r="CM5" s="84">
        <v>11900</v>
      </c>
      <c r="CN5" s="84">
        <v>11900</v>
      </c>
      <c r="CO5" s="84">
        <v>11900</v>
      </c>
      <c r="CP5" s="84">
        <v>11900</v>
      </c>
      <c r="CQ5" s="84">
        <v>11900</v>
      </c>
      <c r="CR5" s="84">
        <v>11900</v>
      </c>
      <c r="CS5" s="139">
        <f t="shared" si="2"/>
        <v>142800</v>
      </c>
      <c r="CU5" s="500" t="s">
        <v>916</v>
      </c>
      <c r="CV5" s="283" t="s">
        <v>459</v>
      </c>
      <c r="CW5" s="84">
        <v>11900</v>
      </c>
      <c r="CX5" s="84">
        <v>11900</v>
      </c>
      <c r="CY5" s="84">
        <v>11900</v>
      </c>
      <c r="CZ5" s="84">
        <v>11900</v>
      </c>
      <c r="DA5" s="84">
        <v>11900</v>
      </c>
      <c r="DB5" s="84">
        <v>11900</v>
      </c>
      <c r="DC5" s="84">
        <v>11900</v>
      </c>
      <c r="DD5" s="84">
        <v>11900</v>
      </c>
      <c r="DE5" s="84">
        <v>11900</v>
      </c>
      <c r="DF5" s="84">
        <v>11900</v>
      </c>
      <c r="DG5" s="84">
        <v>11900</v>
      </c>
      <c r="DH5" s="84">
        <v>11900</v>
      </c>
      <c r="DI5" s="139">
        <f t="shared" ref="DI5:DI60" si="19">SUM(CW5:DH5)</f>
        <v>142800</v>
      </c>
      <c r="DJ5" s="142"/>
      <c r="DK5" s="675">
        <f t="shared" ref="DK5:DK60" si="20">CW5</f>
        <v>11900</v>
      </c>
      <c r="DL5" s="572">
        <f t="shared" ref="DL5:DL60" si="21">CX5</f>
        <v>11900</v>
      </c>
      <c r="DM5" s="572">
        <f t="shared" ref="DM5:DM60" si="22">CY5</f>
        <v>11900</v>
      </c>
      <c r="DN5" s="572">
        <f t="shared" ref="DN5:DN60" si="23">CZ5</f>
        <v>11900</v>
      </c>
      <c r="DO5" s="572">
        <f t="shared" ref="DO5:DO60" si="24">DA5</f>
        <v>11900</v>
      </c>
      <c r="DP5" s="572">
        <f t="shared" ref="DP5:DP60" si="25">DB5</f>
        <v>11900</v>
      </c>
      <c r="DQ5" s="572">
        <f t="shared" ref="DQ5:DQ60" si="26">DC5</f>
        <v>11900</v>
      </c>
      <c r="DR5" s="572">
        <f t="shared" ref="DR5:DR60" si="27">DD5</f>
        <v>11900</v>
      </c>
      <c r="DS5" s="572">
        <f t="shared" ref="DS5:DS60" si="28">DE5</f>
        <v>11900</v>
      </c>
      <c r="DT5" s="572">
        <f t="shared" ref="DT5:DT60" si="29">DF5</f>
        <v>11900</v>
      </c>
      <c r="DU5" s="572">
        <f t="shared" ref="DU5:DU60" si="30">DG5</f>
        <v>11900</v>
      </c>
      <c r="DV5" s="572">
        <f t="shared" ref="DV5:DV60" si="31">DH5</f>
        <v>11900</v>
      </c>
      <c r="DW5" s="139">
        <f t="shared" ref="DW5:DW60" si="32">SUM(DK5:DV5)</f>
        <v>142800</v>
      </c>
    </row>
    <row r="6" spans="1:127" x14ac:dyDescent="0.2">
      <c r="A6" s="137" t="s">
        <v>460</v>
      </c>
      <c r="B6" s="140">
        <v>2000</v>
      </c>
      <c r="C6" s="141">
        <v>960</v>
      </c>
      <c r="D6" s="111">
        <f t="shared" si="4"/>
        <v>-1040</v>
      </c>
      <c r="E6" s="140">
        <v>2000</v>
      </c>
      <c r="F6" s="141">
        <v>1280</v>
      </c>
      <c r="G6" s="111">
        <f t="shared" si="5"/>
        <v>-720</v>
      </c>
      <c r="H6" s="140">
        <v>1200</v>
      </c>
      <c r="I6" s="141">
        <v>480</v>
      </c>
      <c r="J6" s="111">
        <f t="shared" si="6"/>
        <v>-720</v>
      </c>
      <c r="K6" s="140">
        <v>1600</v>
      </c>
      <c r="L6" s="141">
        <v>560</v>
      </c>
      <c r="M6" s="111">
        <f t="shared" si="7"/>
        <v>-1040</v>
      </c>
      <c r="N6" s="140">
        <v>1200</v>
      </c>
      <c r="O6" s="141">
        <v>1040</v>
      </c>
      <c r="P6" s="111">
        <f t="shared" si="8"/>
        <v>-160</v>
      </c>
      <c r="Q6" s="140">
        <v>1200</v>
      </c>
      <c r="R6" s="141">
        <v>800</v>
      </c>
      <c r="S6" s="111">
        <f t="shared" si="9"/>
        <v>-400</v>
      </c>
      <c r="T6" s="140">
        <v>800</v>
      </c>
      <c r="U6" s="141"/>
      <c r="V6" s="111">
        <f t="shared" si="10"/>
        <v>-800</v>
      </c>
      <c r="W6" s="140">
        <v>1600</v>
      </c>
      <c r="X6" s="141">
        <v>1280</v>
      </c>
      <c r="Y6" s="111">
        <f t="shared" si="11"/>
        <v>-320</v>
      </c>
      <c r="Z6" s="140">
        <v>2000</v>
      </c>
      <c r="AA6" s="110">
        <v>1040</v>
      </c>
      <c r="AB6" s="111">
        <f t="shared" si="12"/>
        <v>-960</v>
      </c>
      <c r="AC6" s="140">
        <v>1600</v>
      </c>
      <c r="AD6" s="141">
        <v>240</v>
      </c>
      <c r="AE6" s="111">
        <f t="shared" si="13"/>
        <v>-1360</v>
      </c>
      <c r="AF6" s="140">
        <v>2000</v>
      </c>
      <c r="AG6" s="141">
        <v>3696.83</v>
      </c>
      <c r="AH6" s="111">
        <f t="shared" si="14"/>
        <v>1696.83</v>
      </c>
      <c r="AI6" s="140">
        <v>2000</v>
      </c>
      <c r="AJ6" s="141"/>
      <c r="AK6" s="111">
        <f t="shared" si="15"/>
        <v>-2000</v>
      </c>
      <c r="AL6" s="138">
        <f t="shared" si="16"/>
        <v>11376.83</v>
      </c>
      <c r="AM6" s="137" t="s">
        <v>460</v>
      </c>
      <c r="AO6" s="84">
        <v>0</v>
      </c>
      <c r="AP6" s="84">
        <v>0</v>
      </c>
      <c r="AQ6" s="84">
        <v>0</v>
      </c>
      <c r="AR6" s="84">
        <v>0</v>
      </c>
      <c r="AS6" s="84">
        <v>0</v>
      </c>
      <c r="AT6" s="84">
        <v>0</v>
      </c>
      <c r="AU6" s="84">
        <v>0</v>
      </c>
      <c r="AV6" s="84">
        <v>0</v>
      </c>
      <c r="AW6" s="84">
        <v>0</v>
      </c>
      <c r="AX6" s="84">
        <v>0</v>
      </c>
      <c r="AY6" s="84">
        <v>0</v>
      </c>
      <c r="AZ6" s="138">
        <f t="shared" si="17"/>
        <v>0</v>
      </c>
      <c r="BA6" s="142"/>
      <c r="BB6" s="137" t="s">
        <v>460</v>
      </c>
      <c r="BC6" s="84">
        <v>960</v>
      </c>
      <c r="BD6" s="84">
        <v>960</v>
      </c>
      <c r="BE6" s="84">
        <v>960</v>
      </c>
      <c r="BF6" s="84">
        <v>960</v>
      </c>
      <c r="BG6" s="84">
        <v>960</v>
      </c>
      <c r="BH6" s="84">
        <v>960</v>
      </c>
      <c r="BI6" s="84">
        <v>960</v>
      </c>
      <c r="BJ6" s="84">
        <v>960</v>
      </c>
      <c r="BK6" s="84">
        <v>960</v>
      </c>
      <c r="BL6" s="84">
        <v>960</v>
      </c>
      <c r="BM6" s="84">
        <v>960</v>
      </c>
      <c r="BN6" s="84">
        <v>960</v>
      </c>
      <c r="BO6" s="139">
        <f t="shared" si="0"/>
        <v>11520</v>
      </c>
      <c r="BQ6" s="500" t="s">
        <v>916</v>
      </c>
      <c r="BR6" s="283" t="s">
        <v>460</v>
      </c>
      <c r="BS6" s="467">
        <v>680</v>
      </c>
      <c r="BT6" s="84">
        <v>680</v>
      </c>
      <c r="BU6" s="84">
        <v>680</v>
      </c>
      <c r="BV6" s="84">
        <v>680</v>
      </c>
      <c r="BW6" s="84">
        <v>680</v>
      </c>
      <c r="BX6" s="84">
        <v>680</v>
      </c>
      <c r="BY6" s="84">
        <v>680</v>
      </c>
      <c r="BZ6" s="84">
        <v>680</v>
      </c>
      <c r="CA6" s="84">
        <v>680</v>
      </c>
      <c r="CB6" s="84">
        <v>680</v>
      </c>
      <c r="CC6" s="84">
        <v>680</v>
      </c>
      <c r="CD6" s="84">
        <v>680</v>
      </c>
      <c r="CE6" s="139">
        <f t="shared" si="1"/>
        <v>8160</v>
      </c>
      <c r="CF6" s="142"/>
      <c r="CG6" s="572">
        <v>1355</v>
      </c>
      <c r="CH6" s="572">
        <v>320</v>
      </c>
      <c r="CI6" s="84">
        <f>1600+2450</f>
        <v>4050</v>
      </c>
      <c r="CJ6" s="84">
        <f>BV6</f>
        <v>680</v>
      </c>
      <c r="CK6" s="84">
        <v>800</v>
      </c>
      <c r="CL6" s="572">
        <v>1760</v>
      </c>
      <c r="CM6" s="84">
        <v>0</v>
      </c>
      <c r="CN6" s="84">
        <v>1800</v>
      </c>
      <c r="CO6" s="84">
        <v>1160</v>
      </c>
      <c r="CP6" s="84">
        <v>320</v>
      </c>
      <c r="CQ6" s="84">
        <v>680</v>
      </c>
      <c r="CR6" s="84">
        <v>680</v>
      </c>
      <c r="CS6" s="139">
        <f t="shared" si="2"/>
        <v>13605</v>
      </c>
      <c r="CU6" s="500" t="s">
        <v>916</v>
      </c>
      <c r="CV6" s="283" t="s">
        <v>460</v>
      </c>
      <c r="CW6" s="84">
        <v>1133</v>
      </c>
      <c r="CX6" s="84">
        <v>1133</v>
      </c>
      <c r="CY6" s="84">
        <v>1133</v>
      </c>
      <c r="CZ6" s="84">
        <v>1133</v>
      </c>
      <c r="DA6" s="84">
        <v>1133</v>
      </c>
      <c r="DB6" s="84">
        <v>1133</v>
      </c>
      <c r="DC6" s="84">
        <v>1133</v>
      </c>
      <c r="DD6" s="84">
        <v>1133</v>
      </c>
      <c r="DE6" s="84">
        <v>1133</v>
      </c>
      <c r="DF6" s="84">
        <v>1133</v>
      </c>
      <c r="DG6" s="84">
        <v>1133</v>
      </c>
      <c r="DH6" s="84">
        <v>1133</v>
      </c>
      <c r="DI6" s="139">
        <f t="shared" si="19"/>
        <v>13596</v>
      </c>
      <c r="DJ6" s="142"/>
      <c r="DK6" s="675">
        <v>1120</v>
      </c>
      <c r="DL6" s="572">
        <f t="shared" si="21"/>
        <v>1133</v>
      </c>
      <c r="DM6" s="572">
        <f t="shared" si="22"/>
        <v>1133</v>
      </c>
      <c r="DN6" s="572">
        <f t="shared" si="23"/>
        <v>1133</v>
      </c>
      <c r="DO6" s="572">
        <f t="shared" si="24"/>
        <v>1133</v>
      </c>
      <c r="DP6" s="572">
        <f t="shared" si="25"/>
        <v>1133</v>
      </c>
      <c r="DQ6" s="572">
        <f t="shared" si="26"/>
        <v>1133</v>
      </c>
      <c r="DR6" s="572">
        <f t="shared" si="27"/>
        <v>1133</v>
      </c>
      <c r="DS6" s="572">
        <f t="shared" si="28"/>
        <v>1133</v>
      </c>
      <c r="DT6" s="572">
        <f t="shared" si="29"/>
        <v>1133</v>
      </c>
      <c r="DU6" s="572">
        <f t="shared" si="30"/>
        <v>1133</v>
      </c>
      <c r="DV6" s="572">
        <f t="shared" si="31"/>
        <v>1133</v>
      </c>
      <c r="DW6" s="139">
        <f t="shared" si="32"/>
        <v>13583</v>
      </c>
    </row>
    <row r="7" spans="1:127" x14ac:dyDescent="0.2">
      <c r="A7" s="137" t="s">
        <v>461</v>
      </c>
      <c r="B7" s="109">
        <v>7000</v>
      </c>
      <c r="C7" s="110">
        <v>7000</v>
      </c>
      <c r="D7" s="111">
        <f t="shared" si="4"/>
        <v>0</v>
      </c>
      <c r="E7" s="109">
        <v>7000</v>
      </c>
      <c r="F7" s="110">
        <v>7770</v>
      </c>
      <c r="G7" s="111">
        <f t="shared" si="5"/>
        <v>770</v>
      </c>
      <c r="H7" s="109">
        <v>7000</v>
      </c>
      <c r="I7" s="110">
        <v>6650</v>
      </c>
      <c r="J7" s="111">
        <f t="shared" si="6"/>
        <v>-350</v>
      </c>
      <c r="K7" s="109">
        <v>7000</v>
      </c>
      <c r="L7" s="110">
        <v>6370</v>
      </c>
      <c r="M7" s="111">
        <f t="shared" si="7"/>
        <v>-630</v>
      </c>
      <c r="N7" s="109">
        <v>7000</v>
      </c>
      <c r="O7" s="110">
        <v>7035</v>
      </c>
      <c r="P7" s="111">
        <f t="shared" si="8"/>
        <v>35</v>
      </c>
      <c r="Q7" s="109">
        <v>7000</v>
      </c>
      <c r="R7" s="52">
        <v>4515</v>
      </c>
      <c r="S7" s="111">
        <f t="shared" si="9"/>
        <v>-2485</v>
      </c>
      <c r="T7" s="109">
        <v>3500</v>
      </c>
      <c r="U7" s="52">
        <v>5040</v>
      </c>
      <c r="V7" s="111">
        <f t="shared" si="10"/>
        <v>1540</v>
      </c>
      <c r="W7" s="109">
        <v>0</v>
      </c>
      <c r="X7" s="52">
        <v>6720</v>
      </c>
      <c r="Y7" s="111">
        <f t="shared" si="11"/>
        <v>6720</v>
      </c>
      <c r="Z7" s="109">
        <v>0</v>
      </c>
      <c r="AA7" s="110">
        <v>7420</v>
      </c>
      <c r="AB7" s="111">
        <f t="shared" si="12"/>
        <v>7420</v>
      </c>
      <c r="AC7" s="109">
        <v>0</v>
      </c>
      <c r="AD7" s="110">
        <v>4130</v>
      </c>
      <c r="AE7" s="111">
        <f t="shared" si="13"/>
        <v>4130</v>
      </c>
      <c r="AF7" s="109">
        <v>0</v>
      </c>
      <c r="AG7" s="110">
        <v>6615</v>
      </c>
      <c r="AH7" s="111">
        <f t="shared" si="14"/>
        <v>6615</v>
      </c>
      <c r="AI7" s="109">
        <v>0</v>
      </c>
      <c r="AJ7" s="110"/>
      <c r="AK7" s="111">
        <f t="shared" si="15"/>
        <v>0</v>
      </c>
      <c r="AL7" s="138">
        <f t="shared" si="16"/>
        <v>69265</v>
      </c>
      <c r="AM7" s="137" t="s">
        <v>461</v>
      </c>
      <c r="AN7" s="84">
        <f t="shared" ref="AN7:AY7" si="33">72.5*24*4</f>
        <v>6960</v>
      </c>
      <c r="AO7" s="84">
        <f t="shared" si="33"/>
        <v>6960</v>
      </c>
      <c r="AP7" s="84">
        <f t="shared" si="33"/>
        <v>6960</v>
      </c>
      <c r="AQ7" s="84">
        <f t="shared" si="33"/>
        <v>6960</v>
      </c>
      <c r="AR7" s="84">
        <f t="shared" si="33"/>
        <v>6960</v>
      </c>
      <c r="AS7" s="84">
        <f t="shared" si="33"/>
        <v>6960</v>
      </c>
      <c r="AT7" s="84">
        <f t="shared" si="33"/>
        <v>6960</v>
      </c>
      <c r="AU7" s="84">
        <f t="shared" si="33"/>
        <v>6960</v>
      </c>
      <c r="AV7" s="84">
        <f t="shared" si="33"/>
        <v>6960</v>
      </c>
      <c r="AW7" s="84">
        <f t="shared" si="33"/>
        <v>6960</v>
      </c>
      <c r="AX7" s="84">
        <f t="shared" si="33"/>
        <v>6960</v>
      </c>
      <c r="AY7" s="84">
        <f t="shared" si="33"/>
        <v>6960</v>
      </c>
      <c r="AZ7" s="138">
        <f t="shared" si="17"/>
        <v>83520</v>
      </c>
      <c r="BA7" s="142"/>
      <c r="BB7" s="137" t="s">
        <v>461</v>
      </c>
      <c r="BC7" s="84">
        <v>0</v>
      </c>
      <c r="BD7" s="84">
        <f>BE7/2</f>
        <v>3480</v>
      </c>
      <c r="BE7" s="84">
        <f t="shared" ref="BE7:BN7" si="34">72.5*24*4</f>
        <v>6960</v>
      </c>
      <c r="BF7" s="84">
        <f t="shared" si="34"/>
        <v>6960</v>
      </c>
      <c r="BG7" s="84">
        <f t="shared" si="34"/>
        <v>6960</v>
      </c>
      <c r="BH7" s="84">
        <f t="shared" si="34"/>
        <v>6960</v>
      </c>
      <c r="BI7" s="84">
        <f t="shared" si="34"/>
        <v>6960</v>
      </c>
      <c r="BJ7" s="84">
        <f t="shared" si="34"/>
        <v>6960</v>
      </c>
      <c r="BK7" s="84">
        <f t="shared" si="34"/>
        <v>6960</v>
      </c>
      <c r="BL7" s="84">
        <f t="shared" si="34"/>
        <v>6960</v>
      </c>
      <c r="BM7" s="84">
        <f t="shared" si="34"/>
        <v>6960</v>
      </c>
      <c r="BN7" s="84">
        <f t="shared" si="34"/>
        <v>6960</v>
      </c>
      <c r="BO7" s="139">
        <f t="shared" si="0"/>
        <v>73080</v>
      </c>
      <c r="BQ7" s="500" t="s">
        <v>916</v>
      </c>
      <c r="BR7" s="283" t="s">
        <v>461</v>
      </c>
      <c r="BS7" s="467">
        <v>7540</v>
      </c>
      <c r="BT7" s="84">
        <v>7540</v>
      </c>
      <c r="BU7" s="84">
        <v>7540</v>
      </c>
      <c r="BV7" s="84">
        <v>7540</v>
      </c>
      <c r="BW7" s="84">
        <v>7540</v>
      </c>
      <c r="BX7" s="84">
        <v>7540</v>
      </c>
      <c r="BY7" s="84">
        <v>7540</v>
      </c>
      <c r="BZ7" s="84">
        <v>7540</v>
      </c>
      <c r="CA7" s="84">
        <v>7540</v>
      </c>
      <c r="CB7" s="84">
        <v>7540</v>
      </c>
      <c r="CC7" s="84">
        <v>7540</v>
      </c>
      <c r="CD7" s="84">
        <v>7540</v>
      </c>
      <c r="CE7" s="139">
        <f t="shared" si="1"/>
        <v>90480</v>
      </c>
      <c r="CF7" s="142"/>
      <c r="CG7" s="572">
        <f>7708.75-60</f>
        <v>7648.75</v>
      </c>
      <c r="CH7" s="572">
        <v>5618.75</v>
      </c>
      <c r="CI7" s="84">
        <v>5981.25</v>
      </c>
      <c r="CJ7" s="84">
        <v>7105</v>
      </c>
      <c r="CK7" s="84">
        <f>7540-447.5-495</f>
        <v>6597.5</v>
      </c>
      <c r="CL7" s="572">
        <v>2863.75</v>
      </c>
      <c r="CM7" s="84">
        <v>4495</v>
      </c>
      <c r="CN7" s="84">
        <v>6394.25</v>
      </c>
      <c r="CO7" s="84">
        <v>6815</v>
      </c>
      <c r="CP7" s="84">
        <v>6706.25</v>
      </c>
      <c r="CQ7" s="84">
        <v>7540</v>
      </c>
      <c r="CR7" s="84">
        <v>7540</v>
      </c>
      <c r="CS7" s="139">
        <f t="shared" si="2"/>
        <v>75305.5</v>
      </c>
      <c r="CU7" s="500" t="s">
        <v>916</v>
      </c>
      <c r="CV7" s="283" t="s">
        <v>461</v>
      </c>
      <c r="CW7" s="84">
        <v>7540</v>
      </c>
      <c r="CX7" s="84">
        <v>7540</v>
      </c>
      <c r="CY7" s="84">
        <v>7540</v>
      </c>
      <c r="CZ7" s="84">
        <v>7540</v>
      </c>
      <c r="DA7" s="84">
        <v>7540</v>
      </c>
      <c r="DB7" s="84">
        <v>7540</v>
      </c>
      <c r="DC7" s="84">
        <v>7540</v>
      </c>
      <c r="DD7" s="84">
        <v>7540</v>
      </c>
      <c r="DE7" s="84">
        <v>7540</v>
      </c>
      <c r="DF7" s="84">
        <v>7540</v>
      </c>
      <c r="DG7" s="84">
        <v>7540</v>
      </c>
      <c r="DH7" s="84">
        <v>7540</v>
      </c>
      <c r="DI7" s="139">
        <f t="shared" si="19"/>
        <v>90480</v>
      </c>
      <c r="DJ7" s="142"/>
      <c r="DK7" s="675">
        <v>7467.5</v>
      </c>
      <c r="DL7" s="572">
        <f t="shared" si="21"/>
        <v>7540</v>
      </c>
      <c r="DM7" s="572">
        <f t="shared" si="22"/>
        <v>7540</v>
      </c>
      <c r="DN7" s="572">
        <f t="shared" si="23"/>
        <v>7540</v>
      </c>
      <c r="DO7" s="572">
        <f t="shared" si="24"/>
        <v>7540</v>
      </c>
      <c r="DP7" s="572">
        <f t="shared" si="25"/>
        <v>7540</v>
      </c>
      <c r="DQ7" s="572">
        <f t="shared" si="26"/>
        <v>7540</v>
      </c>
      <c r="DR7" s="572">
        <f t="shared" si="27"/>
        <v>7540</v>
      </c>
      <c r="DS7" s="572">
        <f t="shared" si="28"/>
        <v>7540</v>
      </c>
      <c r="DT7" s="572">
        <f t="shared" si="29"/>
        <v>7540</v>
      </c>
      <c r="DU7" s="572">
        <f t="shared" si="30"/>
        <v>7540</v>
      </c>
      <c r="DV7" s="572">
        <f t="shared" si="31"/>
        <v>7540</v>
      </c>
      <c r="DW7" s="139">
        <f t="shared" si="32"/>
        <v>90407.5</v>
      </c>
    </row>
    <row r="8" spans="1:127" x14ac:dyDescent="0.2">
      <c r="A8" s="137" t="s">
        <v>462</v>
      </c>
      <c r="B8" s="109">
        <v>27</v>
      </c>
      <c r="C8" s="110">
        <v>27.27</v>
      </c>
      <c r="D8" s="111">
        <f t="shared" si="4"/>
        <v>0.26999999999999957</v>
      </c>
      <c r="E8" s="109">
        <v>27</v>
      </c>
      <c r="F8" s="110">
        <v>27.27</v>
      </c>
      <c r="G8" s="111">
        <f t="shared" si="5"/>
        <v>0.26999999999999957</v>
      </c>
      <c r="H8" s="109">
        <v>27</v>
      </c>
      <c r="I8" s="110">
        <f>30/1.1</f>
        <v>27.27272727272727</v>
      </c>
      <c r="J8" s="111">
        <f t="shared" si="6"/>
        <v>0.27272727272726982</v>
      </c>
      <c r="K8" s="109">
        <v>27</v>
      </c>
      <c r="L8" s="110">
        <v>27.27</v>
      </c>
      <c r="M8" s="111">
        <f t="shared" si="7"/>
        <v>0.26999999999999957</v>
      </c>
      <c r="N8" s="109">
        <v>27</v>
      </c>
      <c r="O8" s="110">
        <v>27.27</v>
      </c>
      <c r="P8" s="111">
        <f t="shared" si="8"/>
        <v>0.26999999999999957</v>
      </c>
      <c r="Q8" s="109">
        <v>27</v>
      </c>
      <c r="R8" s="52">
        <v>27.27</v>
      </c>
      <c r="S8" s="111">
        <f t="shared" si="9"/>
        <v>0.26999999999999957</v>
      </c>
      <c r="T8" s="109">
        <v>27</v>
      </c>
      <c r="U8" s="52">
        <f>30/1.1</f>
        <v>27.27272727272727</v>
      </c>
      <c r="V8" s="111">
        <f t="shared" si="10"/>
        <v>0.27272727272726982</v>
      </c>
      <c r="W8" s="109">
        <v>27</v>
      </c>
      <c r="X8" s="52">
        <f>30/1.1</f>
        <v>27.27272727272727</v>
      </c>
      <c r="Y8" s="111">
        <f t="shared" si="11"/>
        <v>0.27272727272726982</v>
      </c>
      <c r="Z8" s="109">
        <v>27</v>
      </c>
      <c r="AA8" s="110">
        <v>27.27</v>
      </c>
      <c r="AB8" s="111">
        <f t="shared" si="12"/>
        <v>0.26999999999999957</v>
      </c>
      <c r="AC8" s="109">
        <v>27</v>
      </c>
      <c r="AD8" s="110">
        <v>27.27</v>
      </c>
      <c r="AE8" s="111">
        <f t="shared" si="13"/>
        <v>0.26999999999999957</v>
      </c>
      <c r="AF8" s="109">
        <v>27</v>
      </c>
      <c r="AG8" s="110">
        <v>27.27</v>
      </c>
      <c r="AH8" s="111">
        <f t="shared" si="14"/>
        <v>0.26999999999999957</v>
      </c>
      <c r="AI8" s="109">
        <v>27</v>
      </c>
      <c r="AJ8" s="110"/>
      <c r="AK8" s="111">
        <f t="shared" si="15"/>
        <v>-27</v>
      </c>
      <c r="AL8" s="138">
        <f t="shared" si="16"/>
        <v>299.97818181818184</v>
      </c>
      <c r="AM8" s="137" t="s">
        <v>462</v>
      </c>
      <c r="AN8" s="84">
        <v>27</v>
      </c>
      <c r="AO8" s="84">
        <v>27</v>
      </c>
      <c r="AP8" s="84">
        <v>27</v>
      </c>
      <c r="AQ8" s="84">
        <v>27</v>
      </c>
      <c r="AR8" s="84">
        <v>27</v>
      </c>
      <c r="AS8" s="84">
        <v>27</v>
      </c>
      <c r="AT8" s="84">
        <v>27</v>
      </c>
      <c r="AU8" s="84">
        <v>27</v>
      </c>
      <c r="AV8" s="84">
        <v>27</v>
      </c>
      <c r="AW8" s="84">
        <v>27</v>
      </c>
      <c r="AX8" s="84">
        <v>27</v>
      </c>
      <c r="AY8" s="84">
        <v>27</v>
      </c>
      <c r="AZ8" s="138">
        <f t="shared" si="17"/>
        <v>324</v>
      </c>
      <c r="BA8" s="142"/>
      <c r="BB8" s="137" t="s">
        <v>462</v>
      </c>
      <c r="BC8" s="84">
        <v>0</v>
      </c>
      <c r="BD8" s="84">
        <v>0</v>
      </c>
      <c r="BE8" s="84">
        <v>0</v>
      </c>
      <c r="BF8" s="84">
        <v>0</v>
      </c>
      <c r="BG8" s="84">
        <v>0</v>
      </c>
      <c r="BH8" s="84">
        <v>0</v>
      </c>
      <c r="BI8" s="84">
        <v>0</v>
      </c>
      <c r="BJ8" s="84">
        <v>0</v>
      </c>
      <c r="BK8" s="84">
        <v>0</v>
      </c>
      <c r="BL8" s="84">
        <v>0</v>
      </c>
      <c r="BM8" s="84">
        <v>0</v>
      </c>
      <c r="BN8" s="84">
        <v>0</v>
      </c>
      <c r="BO8" s="139">
        <f t="shared" si="0"/>
        <v>0</v>
      </c>
      <c r="BQ8" s="500" t="s">
        <v>916</v>
      </c>
      <c r="BR8" s="283" t="s">
        <v>941</v>
      </c>
      <c r="BS8" s="467">
        <v>60</v>
      </c>
      <c r="BT8" s="84">
        <v>60</v>
      </c>
      <c r="BU8" s="84">
        <v>60</v>
      </c>
      <c r="BV8" s="84">
        <v>60</v>
      </c>
      <c r="BW8" s="84">
        <v>60</v>
      </c>
      <c r="BX8" s="84">
        <v>60</v>
      </c>
      <c r="BY8" s="84">
        <v>60</v>
      </c>
      <c r="BZ8" s="84">
        <v>60</v>
      </c>
      <c r="CA8" s="84">
        <v>60</v>
      </c>
      <c r="CB8" s="84">
        <v>60</v>
      </c>
      <c r="CC8" s="84">
        <v>60</v>
      </c>
      <c r="CD8" s="84">
        <v>60</v>
      </c>
      <c r="CE8" s="139">
        <f t="shared" si="1"/>
        <v>720</v>
      </c>
      <c r="CF8" s="142"/>
      <c r="CG8" s="572">
        <f t="shared" ref="CG8:CL8" si="35">BS8</f>
        <v>60</v>
      </c>
      <c r="CH8" s="572">
        <f t="shared" si="35"/>
        <v>60</v>
      </c>
      <c r="CI8" s="84">
        <f t="shared" si="35"/>
        <v>60</v>
      </c>
      <c r="CJ8" s="84">
        <f t="shared" si="35"/>
        <v>60</v>
      </c>
      <c r="CK8" s="84">
        <f t="shared" si="35"/>
        <v>60</v>
      </c>
      <c r="CL8" s="572">
        <f t="shared" si="35"/>
        <v>60</v>
      </c>
      <c r="CM8" s="84">
        <v>60</v>
      </c>
      <c r="CN8" s="84">
        <v>60</v>
      </c>
      <c r="CO8" s="84">
        <v>60</v>
      </c>
      <c r="CP8" s="84">
        <v>60</v>
      </c>
      <c r="CQ8" s="84">
        <v>60</v>
      </c>
      <c r="CR8" s="84">
        <v>60</v>
      </c>
      <c r="CS8" s="139">
        <f t="shared" si="2"/>
        <v>720</v>
      </c>
      <c r="CU8" s="500" t="s">
        <v>916</v>
      </c>
      <c r="CV8" s="283" t="s">
        <v>1335</v>
      </c>
      <c r="CW8" s="84">
        <v>5716.67</v>
      </c>
      <c r="CX8" s="84">
        <v>11433.33</v>
      </c>
      <c r="CY8" s="84">
        <v>11433.33</v>
      </c>
      <c r="CZ8" s="84">
        <v>11433.33</v>
      </c>
      <c r="DA8" s="84">
        <v>11433.33</v>
      </c>
      <c r="DB8" s="84">
        <v>11433.33</v>
      </c>
      <c r="DC8" s="84">
        <v>11433.33</v>
      </c>
      <c r="DD8" s="84">
        <v>11433.33</v>
      </c>
      <c r="DE8" s="84">
        <v>11433.33</v>
      </c>
      <c r="DF8" s="84">
        <v>11433.33</v>
      </c>
      <c r="DG8" s="84">
        <v>11433.33</v>
      </c>
      <c r="DH8" s="84">
        <v>11433.33</v>
      </c>
      <c r="DI8" s="139">
        <f t="shared" si="19"/>
        <v>131483.30000000002</v>
      </c>
      <c r="DJ8" s="142"/>
      <c r="DK8" s="572">
        <v>0</v>
      </c>
      <c r="DL8" s="572">
        <f t="shared" si="21"/>
        <v>11433.33</v>
      </c>
      <c r="DM8" s="572">
        <f t="shared" si="22"/>
        <v>11433.33</v>
      </c>
      <c r="DN8" s="572">
        <f t="shared" si="23"/>
        <v>11433.33</v>
      </c>
      <c r="DO8" s="572">
        <f t="shared" si="24"/>
        <v>11433.33</v>
      </c>
      <c r="DP8" s="572">
        <f t="shared" si="25"/>
        <v>11433.33</v>
      </c>
      <c r="DQ8" s="572">
        <f t="shared" si="26"/>
        <v>11433.33</v>
      </c>
      <c r="DR8" s="572">
        <f t="shared" si="27"/>
        <v>11433.33</v>
      </c>
      <c r="DS8" s="572">
        <f t="shared" si="28"/>
        <v>11433.33</v>
      </c>
      <c r="DT8" s="572">
        <f t="shared" si="29"/>
        <v>11433.33</v>
      </c>
      <c r="DU8" s="572">
        <f t="shared" si="30"/>
        <v>11433.33</v>
      </c>
      <c r="DV8" s="572">
        <f t="shared" si="31"/>
        <v>11433.33</v>
      </c>
      <c r="DW8" s="139">
        <f t="shared" si="32"/>
        <v>125766.63</v>
      </c>
    </row>
    <row r="9" spans="1:127" x14ac:dyDescent="0.2">
      <c r="A9" s="137" t="s">
        <v>463</v>
      </c>
      <c r="B9" s="109">
        <v>75</v>
      </c>
      <c r="C9" s="110">
        <v>0</v>
      </c>
      <c r="D9" s="111">
        <f t="shared" si="4"/>
        <v>-75</v>
      </c>
      <c r="E9" s="109">
        <v>300</v>
      </c>
      <c r="F9" s="110"/>
      <c r="G9" s="111">
        <f t="shared" si="5"/>
        <v>-300</v>
      </c>
      <c r="H9" s="109">
        <v>150</v>
      </c>
      <c r="I9" s="110"/>
      <c r="J9" s="111">
        <f t="shared" si="6"/>
        <v>-150</v>
      </c>
      <c r="K9" s="109">
        <v>150</v>
      </c>
      <c r="L9" s="110"/>
      <c r="M9" s="111">
        <f t="shared" si="7"/>
        <v>-150</v>
      </c>
      <c r="N9" s="109">
        <v>0</v>
      </c>
      <c r="O9" s="110">
        <f>680+85</f>
        <v>765</v>
      </c>
      <c r="P9" s="111">
        <f t="shared" si="8"/>
        <v>765</v>
      </c>
      <c r="Q9" s="109">
        <v>150</v>
      </c>
      <c r="R9" s="52">
        <f>170+360</f>
        <v>530</v>
      </c>
      <c r="S9" s="111">
        <f t="shared" si="9"/>
        <v>380</v>
      </c>
      <c r="T9" s="109">
        <v>0</v>
      </c>
      <c r="U9" s="52"/>
      <c r="V9" s="111">
        <f t="shared" si="10"/>
        <v>0</v>
      </c>
      <c r="W9" s="109">
        <v>75</v>
      </c>
      <c r="X9" s="52">
        <v>85</v>
      </c>
      <c r="Y9" s="111">
        <f t="shared" si="11"/>
        <v>10</v>
      </c>
      <c r="Z9" s="109">
        <v>0</v>
      </c>
      <c r="AA9" s="110"/>
      <c r="AB9" s="111">
        <f t="shared" si="12"/>
        <v>0</v>
      </c>
      <c r="AC9" s="109">
        <v>75</v>
      </c>
      <c r="AD9" s="110"/>
      <c r="AE9" s="111">
        <f t="shared" si="13"/>
        <v>-75</v>
      </c>
      <c r="AF9" s="109">
        <v>300</v>
      </c>
      <c r="AG9" s="110"/>
      <c r="AH9" s="111">
        <f t="shared" si="14"/>
        <v>-300</v>
      </c>
      <c r="AI9" s="109">
        <v>75</v>
      </c>
      <c r="AJ9" s="110"/>
      <c r="AK9" s="111">
        <f t="shared" si="15"/>
        <v>-75</v>
      </c>
      <c r="AL9" s="138">
        <f t="shared" si="16"/>
        <v>1380</v>
      </c>
      <c r="AM9" s="137" t="s">
        <v>463</v>
      </c>
      <c r="AN9" s="84">
        <v>0</v>
      </c>
      <c r="AO9" s="84">
        <v>75</v>
      </c>
      <c r="AP9" s="84">
        <v>0</v>
      </c>
      <c r="AQ9" s="84">
        <v>75</v>
      </c>
      <c r="AR9" s="84">
        <v>0</v>
      </c>
      <c r="AS9" s="84">
        <v>0</v>
      </c>
      <c r="AT9" s="84">
        <v>0</v>
      </c>
      <c r="AU9" s="84">
        <v>75</v>
      </c>
      <c r="AV9" s="84">
        <v>0</v>
      </c>
      <c r="AW9" s="84">
        <v>0</v>
      </c>
      <c r="AX9" s="84">
        <v>0</v>
      </c>
      <c r="AY9" s="84">
        <v>0</v>
      </c>
      <c r="AZ9" s="138">
        <f t="shared" si="17"/>
        <v>225</v>
      </c>
      <c r="BA9" s="142"/>
      <c r="BB9" s="137" t="s">
        <v>464</v>
      </c>
      <c r="BC9" s="84">
        <v>100</v>
      </c>
      <c r="BD9" s="84">
        <v>100</v>
      </c>
      <c r="BE9" s="84">
        <v>100</v>
      </c>
      <c r="BF9" s="84">
        <v>100</v>
      </c>
      <c r="BG9" s="84">
        <v>100</v>
      </c>
      <c r="BH9" s="84">
        <v>0</v>
      </c>
      <c r="BI9" s="84">
        <v>0</v>
      </c>
      <c r="BJ9" s="84">
        <v>100</v>
      </c>
      <c r="BK9" s="84">
        <v>100</v>
      </c>
      <c r="BL9" s="84">
        <v>100</v>
      </c>
      <c r="BM9" s="84">
        <v>100</v>
      </c>
      <c r="BN9" s="84">
        <v>100</v>
      </c>
      <c r="BO9" s="139">
        <f t="shared" si="0"/>
        <v>1000</v>
      </c>
      <c r="BQ9" s="500" t="s">
        <v>916</v>
      </c>
      <c r="BR9" s="283" t="s">
        <v>464</v>
      </c>
      <c r="BS9" s="467">
        <v>680</v>
      </c>
      <c r="BT9" s="84">
        <v>680</v>
      </c>
      <c r="BU9" s="84">
        <v>680</v>
      </c>
      <c r="BV9" s="84">
        <v>680</v>
      </c>
      <c r="BW9" s="84">
        <v>680</v>
      </c>
      <c r="BX9" s="84">
        <v>680</v>
      </c>
      <c r="BY9" s="84">
        <v>680</v>
      </c>
      <c r="BZ9" s="84">
        <v>680</v>
      </c>
      <c r="CA9" s="84">
        <v>680</v>
      </c>
      <c r="CB9" s="84">
        <v>680</v>
      </c>
      <c r="CC9" s="84">
        <v>680</v>
      </c>
      <c r="CD9" s="84">
        <v>680</v>
      </c>
      <c r="CE9" s="139">
        <f t="shared" si="1"/>
        <v>8160</v>
      </c>
      <c r="CF9" s="142"/>
      <c r="CG9" s="572">
        <v>3185</v>
      </c>
      <c r="CH9" s="572">
        <v>3245</v>
      </c>
      <c r="CI9" s="84">
        <v>3705</v>
      </c>
      <c r="CJ9" s="84">
        <v>2165</v>
      </c>
      <c r="CK9" s="84">
        <v>1955</v>
      </c>
      <c r="CL9" s="572">
        <v>2890</v>
      </c>
      <c r="CM9" s="84">
        <v>340</v>
      </c>
      <c r="CN9" s="84">
        <v>1020</v>
      </c>
      <c r="CO9" s="84">
        <v>2380</v>
      </c>
      <c r="CP9" s="84">
        <v>2805</v>
      </c>
      <c r="CQ9" s="84">
        <v>680</v>
      </c>
      <c r="CR9" s="84">
        <v>680</v>
      </c>
      <c r="CS9" s="139">
        <f t="shared" si="2"/>
        <v>25050</v>
      </c>
      <c r="CU9" s="500" t="s">
        <v>916</v>
      </c>
      <c r="CV9" s="283" t="s">
        <v>464</v>
      </c>
      <c r="CW9" s="84">
        <v>2083.33</v>
      </c>
      <c r="CX9" s="84">
        <v>2083.33</v>
      </c>
      <c r="CY9" s="84">
        <v>2083.33</v>
      </c>
      <c r="CZ9" s="84">
        <v>2083.33</v>
      </c>
      <c r="DA9" s="84">
        <v>2083.33</v>
      </c>
      <c r="DB9" s="84">
        <v>2083.33</v>
      </c>
      <c r="DC9" s="84">
        <v>2083.33</v>
      </c>
      <c r="DD9" s="84">
        <v>2083.33</v>
      </c>
      <c r="DE9" s="84">
        <v>2083.33</v>
      </c>
      <c r="DF9" s="84">
        <v>2083.33</v>
      </c>
      <c r="DG9" s="84">
        <v>2083.33</v>
      </c>
      <c r="DH9" s="84">
        <v>2083.33</v>
      </c>
      <c r="DI9" s="139">
        <f t="shared" si="19"/>
        <v>24999.960000000006</v>
      </c>
      <c r="DJ9" s="142"/>
      <c r="DK9" s="675">
        <v>1115</v>
      </c>
      <c r="DL9" s="572">
        <f t="shared" si="21"/>
        <v>2083.33</v>
      </c>
      <c r="DM9" s="572">
        <f t="shared" si="22"/>
        <v>2083.33</v>
      </c>
      <c r="DN9" s="572">
        <f t="shared" si="23"/>
        <v>2083.33</v>
      </c>
      <c r="DO9" s="572">
        <f t="shared" si="24"/>
        <v>2083.33</v>
      </c>
      <c r="DP9" s="572">
        <f t="shared" si="25"/>
        <v>2083.33</v>
      </c>
      <c r="DQ9" s="572">
        <f t="shared" si="26"/>
        <v>2083.33</v>
      </c>
      <c r="DR9" s="572">
        <f t="shared" si="27"/>
        <v>2083.33</v>
      </c>
      <c r="DS9" s="572">
        <f t="shared" si="28"/>
        <v>2083.33</v>
      </c>
      <c r="DT9" s="572">
        <f t="shared" si="29"/>
        <v>2083.33</v>
      </c>
      <c r="DU9" s="572">
        <f t="shared" si="30"/>
        <v>2083.33</v>
      </c>
      <c r="DV9" s="572">
        <f t="shared" si="31"/>
        <v>2083.33</v>
      </c>
      <c r="DW9" s="139">
        <f t="shared" si="32"/>
        <v>24031.630000000005</v>
      </c>
    </row>
    <row r="10" spans="1:127" x14ac:dyDescent="0.2">
      <c r="A10" s="137" t="s">
        <v>465</v>
      </c>
      <c r="B10" s="109">
        <f>69000/12</f>
        <v>5750</v>
      </c>
      <c r="C10" s="110">
        <v>6385</v>
      </c>
      <c r="D10" s="111">
        <f t="shared" si="4"/>
        <v>635</v>
      </c>
      <c r="E10" s="109">
        <f>69000/12</f>
        <v>5750</v>
      </c>
      <c r="F10" s="110">
        <v>7006</v>
      </c>
      <c r="G10" s="111">
        <f t="shared" si="5"/>
        <v>1256</v>
      </c>
      <c r="H10" s="109">
        <f>69000/12</f>
        <v>5750</v>
      </c>
      <c r="I10" s="110">
        <v>7316.5</v>
      </c>
      <c r="J10" s="111">
        <f t="shared" si="6"/>
        <v>1566.5</v>
      </c>
      <c r="K10" s="109">
        <f>69000/12</f>
        <v>5750</v>
      </c>
      <c r="L10" s="110">
        <v>6638</v>
      </c>
      <c r="M10" s="111">
        <f t="shared" si="7"/>
        <v>888</v>
      </c>
      <c r="N10" s="109">
        <v>5750</v>
      </c>
      <c r="O10" s="110">
        <v>7857</v>
      </c>
      <c r="P10" s="111">
        <f t="shared" si="8"/>
        <v>2107</v>
      </c>
      <c r="Q10" s="109">
        <v>5750</v>
      </c>
      <c r="R10" s="52">
        <v>7259</v>
      </c>
      <c r="S10" s="111">
        <f t="shared" si="9"/>
        <v>1509</v>
      </c>
      <c r="T10" s="109">
        <v>5750</v>
      </c>
      <c r="U10" s="52">
        <v>5833</v>
      </c>
      <c r="V10" s="111">
        <f t="shared" si="10"/>
        <v>83</v>
      </c>
      <c r="W10" s="109">
        <v>5750</v>
      </c>
      <c r="X10" s="52">
        <v>7765</v>
      </c>
      <c r="Y10" s="111">
        <f t="shared" si="11"/>
        <v>2015</v>
      </c>
      <c r="Z10" s="109">
        <v>5750</v>
      </c>
      <c r="AA10" s="110">
        <v>7880</v>
      </c>
      <c r="AB10" s="111">
        <f t="shared" si="12"/>
        <v>2130</v>
      </c>
      <c r="AC10" s="109">
        <v>5750</v>
      </c>
      <c r="AD10" s="110">
        <v>5833</v>
      </c>
      <c r="AE10" s="111">
        <f t="shared" si="13"/>
        <v>83</v>
      </c>
      <c r="AF10" s="109">
        <v>5750</v>
      </c>
      <c r="AG10" s="110">
        <v>6822</v>
      </c>
      <c r="AH10" s="111">
        <f t="shared" si="14"/>
        <v>1072</v>
      </c>
      <c r="AI10" s="109">
        <v>5750</v>
      </c>
      <c r="AJ10" s="110"/>
      <c r="AK10" s="111">
        <f t="shared" si="15"/>
        <v>-5750</v>
      </c>
      <c r="AL10" s="138">
        <f t="shared" si="16"/>
        <v>76594.5</v>
      </c>
      <c r="AM10" s="143" t="s">
        <v>465</v>
      </c>
      <c r="AN10" s="84">
        <f t="shared" ref="AN10:AY10" si="36">49*30*4</f>
        <v>5880</v>
      </c>
      <c r="AO10" s="84">
        <f t="shared" si="36"/>
        <v>5880</v>
      </c>
      <c r="AP10" s="84">
        <f t="shared" si="36"/>
        <v>5880</v>
      </c>
      <c r="AQ10" s="84">
        <f t="shared" si="36"/>
        <v>5880</v>
      </c>
      <c r="AR10" s="84">
        <f t="shared" si="36"/>
        <v>5880</v>
      </c>
      <c r="AS10" s="84">
        <f t="shared" si="36"/>
        <v>5880</v>
      </c>
      <c r="AT10" s="84">
        <f t="shared" si="36"/>
        <v>5880</v>
      </c>
      <c r="AU10" s="84">
        <f t="shared" si="36"/>
        <v>5880</v>
      </c>
      <c r="AV10" s="84">
        <f t="shared" si="36"/>
        <v>5880</v>
      </c>
      <c r="AW10" s="84">
        <f t="shared" si="36"/>
        <v>5880</v>
      </c>
      <c r="AX10" s="84">
        <f t="shared" si="36"/>
        <v>5880</v>
      </c>
      <c r="AY10" s="84">
        <f t="shared" si="36"/>
        <v>5880</v>
      </c>
      <c r="AZ10" s="138">
        <f t="shared" si="17"/>
        <v>70560</v>
      </c>
      <c r="BA10" s="142"/>
      <c r="BB10" s="143" t="s">
        <v>465</v>
      </c>
      <c r="BC10" s="84">
        <f t="shared" ref="BC10:BN10" si="37">49*30*4</f>
        <v>5880</v>
      </c>
      <c r="BD10" s="84">
        <f t="shared" si="37"/>
        <v>5880</v>
      </c>
      <c r="BE10" s="84">
        <f t="shared" si="37"/>
        <v>5880</v>
      </c>
      <c r="BF10" s="84">
        <f t="shared" si="37"/>
        <v>5880</v>
      </c>
      <c r="BG10" s="84">
        <f t="shared" si="37"/>
        <v>5880</v>
      </c>
      <c r="BH10" s="84">
        <f t="shared" si="37"/>
        <v>5880</v>
      </c>
      <c r="BI10" s="84">
        <f t="shared" si="37"/>
        <v>5880</v>
      </c>
      <c r="BJ10" s="84">
        <f t="shared" si="37"/>
        <v>5880</v>
      </c>
      <c r="BK10" s="84">
        <f t="shared" si="37"/>
        <v>5880</v>
      </c>
      <c r="BL10" s="84">
        <f t="shared" si="37"/>
        <v>5880</v>
      </c>
      <c r="BM10" s="84">
        <f t="shared" si="37"/>
        <v>5880</v>
      </c>
      <c r="BN10" s="84">
        <f t="shared" si="37"/>
        <v>5880</v>
      </c>
      <c r="BO10" s="139">
        <f t="shared" si="0"/>
        <v>70560</v>
      </c>
      <c r="BQ10" s="500" t="s">
        <v>916</v>
      </c>
      <c r="BR10" s="283" t="s">
        <v>465</v>
      </c>
      <c r="BS10" s="467">
        <v>5880</v>
      </c>
      <c r="BT10" s="84">
        <v>5880</v>
      </c>
      <c r="BU10" s="84">
        <v>5880</v>
      </c>
      <c r="BV10" s="84">
        <v>5880</v>
      </c>
      <c r="BW10" s="84">
        <v>5880</v>
      </c>
      <c r="BX10" s="84">
        <v>5880</v>
      </c>
      <c r="BY10" s="84">
        <v>5880</v>
      </c>
      <c r="BZ10" s="84">
        <v>5880</v>
      </c>
      <c r="CA10" s="84">
        <v>5880</v>
      </c>
      <c r="CB10" s="84">
        <v>5880</v>
      </c>
      <c r="CC10" s="84">
        <v>5880</v>
      </c>
      <c r="CD10" s="84">
        <v>5880</v>
      </c>
      <c r="CE10" s="139">
        <f t="shared" si="1"/>
        <v>70560</v>
      </c>
      <c r="CF10" s="142"/>
      <c r="CG10" s="572">
        <v>6895.5</v>
      </c>
      <c r="CH10" s="572">
        <v>7668.5</v>
      </c>
      <c r="CI10" s="84">
        <v>7913.5</v>
      </c>
      <c r="CJ10" s="84">
        <v>8669.5</v>
      </c>
      <c r="CK10" s="84">
        <v>7777.5</v>
      </c>
      <c r="CL10" s="572">
        <v>7007</v>
      </c>
      <c r="CM10" s="84">
        <v>6993.5</v>
      </c>
      <c r="CN10" s="84">
        <v>7042.5</v>
      </c>
      <c r="CO10" s="84">
        <v>8330</v>
      </c>
      <c r="CP10" s="84">
        <v>8207.5</v>
      </c>
      <c r="CQ10" s="84">
        <v>5880</v>
      </c>
      <c r="CR10" s="84">
        <v>5880</v>
      </c>
      <c r="CS10" s="139">
        <f t="shared" si="2"/>
        <v>88265</v>
      </c>
      <c r="CU10" s="500" t="s">
        <v>916</v>
      </c>
      <c r="CV10" s="283" t="s">
        <v>465</v>
      </c>
      <c r="CW10" s="84">
        <v>5880</v>
      </c>
      <c r="CX10" s="84">
        <v>5880</v>
      </c>
      <c r="CY10" s="84">
        <v>5880</v>
      </c>
      <c r="CZ10" s="84">
        <v>5880</v>
      </c>
      <c r="DA10" s="84">
        <v>5880</v>
      </c>
      <c r="DB10" s="84">
        <v>5880</v>
      </c>
      <c r="DC10" s="84">
        <v>5880</v>
      </c>
      <c r="DD10" s="84">
        <v>5880</v>
      </c>
      <c r="DE10" s="84">
        <v>5880</v>
      </c>
      <c r="DF10" s="84">
        <v>5880</v>
      </c>
      <c r="DG10" s="84">
        <v>5880</v>
      </c>
      <c r="DH10" s="84">
        <v>5880</v>
      </c>
      <c r="DI10" s="139">
        <f t="shared" si="19"/>
        <v>70560</v>
      </c>
      <c r="DJ10" s="142"/>
      <c r="DK10" s="675">
        <v>8588.4500000000007</v>
      </c>
      <c r="DL10" s="572">
        <f t="shared" si="21"/>
        <v>5880</v>
      </c>
      <c r="DM10" s="572">
        <f t="shared" si="22"/>
        <v>5880</v>
      </c>
      <c r="DN10" s="572">
        <f t="shared" si="23"/>
        <v>5880</v>
      </c>
      <c r="DO10" s="572">
        <f t="shared" si="24"/>
        <v>5880</v>
      </c>
      <c r="DP10" s="572">
        <f t="shared" si="25"/>
        <v>5880</v>
      </c>
      <c r="DQ10" s="572">
        <f t="shared" si="26"/>
        <v>5880</v>
      </c>
      <c r="DR10" s="572">
        <f t="shared" si="27"/>
        <v>5880</v>
      </c>
      <c r="DS10" s="572">
        <f t="shared" si="28"/>
        <v>5880</v>
      </c>
      <c r="DT10" s="572">
        <f t="shared" si="29"/>
        <v>5880</v>
      </c>
      <c r="DU10" s="572">
        <f t="shared" si="30"/>
        <v>5880</v>
      </c>
      <c r="DV10" s="572">
        <f t="shared" si="31"/>
        <v>5880</v>
      </c>
      <c r="DW10" s="139">
        <f t="shared" si="32"/>
        <v>73268.45</v>
      </c>
    </row>
    <row r="11" spans="1:127" x14ac:dyDescent="0.2">
      <c r="A11" s="137" t="s">
        <v>466</v>
      </c>
      <c r="B11" s="109">
        <v>20</v>
      </c>
      <c r="C11" s="110"/>
      <c r="D11" s="111">
        <f t="shared" si="4"/>
        <v>-20</v>
      </c>
      <c r="E11" s="109">
        <v>20</v>
      </c>
      <c r="F11" s="110">
        <v>20</v>
      </c>
      <c r="G11" s="111">
        <f t="shared" si="5"/>
        <v>0</v>
      </c>
      <c r="H11" s="109">
        <v>20</v>
      </c>
      <c r="I11" s="110"/>
      <c r="J11" s="111">
        <f t="shared" si="6"/>
        <v>-20</v>
      </c>
      <c r="K11" s="109">
        <v>20</v>
      </c>
      <c r="L11" s="110">
        <v>20</v>
      </c>
      <c r="M11" s="111">
        <f t="shared" si="7"/>
        <v>0</v>
      </c>
      <c r="N11" s="109">
        <v>20</v>
      </c>
      <c r="O11" s="110">
        <v>20</v>
      </c>
      <c r="P11" s="111">
        <f t="shared" si="8"/>
        <v>0</v>
      </c>
      <c r="Q11" s="109">
        <v>20</v>
      </c>
      <c r="R11" s="52">
        <v>20</v>
      </c>
      <c r="S11" s="111">
        <f t="shared" si="9"/>
        <v>0</v>
      </c>
      <c r="T11" s="109">
        <v>20</v>
      </c>
      <c r="U11" s="52">
        <v>20</v>
      </c>
      <c r="V11" s="111">
        <f t="shared" si="10"/>
        <v>0</v>
      </c>
      <c r="W11" s="109">
        <v>20</v>
      </c>
      <c r="X11" s="52">
        <v>20</v>
      </c>
      <c r="Y11" s="111">
        <f t="shared" si="11"/>
        <v>0</v>
      </c>
      <c r="Z11" s="109">
        <v>20</v>
      </c>
      <c r="AA11" s="110">
        <v>20</v>
      </c>
      <c r="AB11" s="111">
        <f t="shared" si="12"/>
        <v>0</v>
      </c>
      <c r="AC11" s="109">
        <v>20</v>
      </c>
      <c r="AD11" s="110">
        <v>20</v>
      </c>
      <c r="AE11" s="111">
        <f t="shared" si="13"/>
        <v>0</v>
      </c>
      <c r="AF11" s="109">
        <v>20</v>
      </c>
      <c r="AG11" s="110">
        <v>20</v>
      </c>
      <c r="AH11" s="111">
        <f t="shared" si="14"/>
        <v>0</v>
      </c>
      <c r="AI11" s="109">
        <v>20</v>
      </c>
      <c r="AJ11" s="110"/>
      <c r="AK11" s="111">
        <f t="shared" si="15"/>
        <v>-20</v>
      </c>
      <c r="AL11" s="138">
        <f t="shared" si="16"/>
        <v>180</v>
      </c>
      <c r="AM11" s="143" t="s">
        <v>466</v>
      </c>
      <c r="AN11" s="84">
        <v>20</v>
      </c>
      <c r="AO11" s="84">
        <v>20</v>
      </c>
      <c r="AP11" s="84">
        <v>20</v>
      </c>
      <c r="AQ11" s="84">
        <v>20</v>
      </c>
      <c r="AR11" s="84">
        <v>20</v>
      </c>
      <c r="AS11" s="84">
        <v>20</v>
      </c>
      <c r="AT11" s="84">
        <v>20</v>
      </c>
      <c r="AU11" s="84">
        <v>20</v>
      </c>
      <c r="AV11" s="84">
        <v>20</v>
      </c>
      <c r="AW11" s="84">
        <v>20</v>
      </c>
      <c r="AX11" s="84">
        <v>20</v>
      </c>
      <c r="AY11" s="84">
        <v>20</v>
      </c>
      <c r="AZ11" s="138">
        <f t="shared" si="17"/>
        <v>240</v>
      </c>
      <c r="BA11" s="142"/>
      <c r="BB11" s="143" t="s">
        <v>466</v>
      </c>
      <c r="BC11" s="84">
        <v>25</v>
      </c>
      <c r="BD11" s="84">
        <v>25</v>
      </c>
      <c r="BE11" s="84">
        <v>25</v>
      </c>
      <c r="BF11" s="84">
        <v>25</v>
      </c>
      <c r="BG11" s="84">
        <v>25</v>
      </c>
      <c r="BH11" s="84">
        <v>25</v>
      </c>
      <c r="BI11" s="84">
        <v>25</v>
      </c>
      <c r="BJ11" s="84">
        <v>25</v>
      </c>
      <c r="BK11" s="84">
        <v>25</v>
      </c>
      <c r="BL11" s="84">
        <v>25</v>
      </c>
      <c r="BM11" s="84">
        <v>25</v>
      </c>
      <c r="BN11" s="84">
        <v>25</v>
      </c>
      <c r="BO11" s="139">
        <f t="shared" si="0"/>
        <v>300</v>
      </c>
      <c r="BQ11" s="500" t="s">
        <v>916</v>
      </c>
      <c r="BR11" s="283" t="s">
        <v>466</v>
      </c>
      <c r="BS11" s="467">
        <v>24</v>
      </c>
      <c r="BT11" s="84">
        <v>24</v>
      </c>
      <c r="BU11" s="84">
        <v>24</v>
      </c>
      <c r="BV11" s="84">
        <v>24</v>
      </c>
      <c r="BW11" s="84">
        <v>24</v>
      </c>
      <c r="BX11" s="84">
        <v>24</v>
      </c>
      <c r="BY11" s="84">
        <v>24</v>
      </c>
      <c r="BZ11" s="84">
        <v>24</v>
      </c>
      <c r="CA11" s="84">
        <v>24</v>
      </c>
      <c r="CB11" s="84">
        <v>24</v>
      </c>
      <c r="CC11" s="84">
        <v>24</v>
      </c>
      <c r="CD11" s="84">
        <v>24</v>
      </c>
      <c r="CE11" s="139">
        <f t="shared" si="1"/>
        <v>288</v>
      </c>
      <c r="CF11" s="142"/>
      <c r="CG11" s="572">
        <f t="shared" ref="CG11:CH19" si="38">BS11</f>
        <v>24</v>
      </c>
      <c r="CH11" s="572">
        <f t="shared" si="38"/>
        <v>24</v>
      </c>
      <c r="CI11" s="84">
        <v>28</v>
      </c>
      <c r="CJ11" s="84">
        <v>28</v>
      </c>
      <c r="CK11" s="84">
        <v>28</v>
      </c>
      <c r="CL11" s="572">
        <v>28</v>
      </c>
      <c r="CM11" s="84">
        <v>28</v>
      </c>
      <c r="CN11" s="84">
        <v>28</v>
      </c>
      <c r="CO11" s="84">
        <v>28</v>
      </c>
      <c r="CP11" s="84">
        <v>28</v>
      </c>
      <c r="CQ11" s="84">
        <v>28</v>
      </c>
      <c r="CR11" s="84">
        <v>28</v>
      </c>
      <c r="CS11" s="139">
        <f t="shared" si="2"/>
        <v>328</v>
      </c>
      <c r="CU11" s="500" t="s">
        <v>916</v>
      </c>
      <c r="CV11" s="283" t="s">
        <v>466</v>
      </c>
      <c r="CW11" s="84">
        <v>28</v>
      </c>
      <c r="CX11" s="84">
        <v>28</v>
      </c>
      <c r="CY11" s="84">
        <v>28</v>
      </c>
      <c r="CZ11" s="84">
        <v>28</v>
      </c>
      <c r="DA11" s="84">
        <v>28</v>
      </c>
      <c r="DB11" s="84">
        <v>28</v>
      </c>
      <c r="DC11" s="84">
        <v>28</v>
      </c>
      <c r="DD11" s="84">
        <v>28</v>
      </c>
      <c r="DE11" s="84">
        <v>28</v>
      </c>
      <c r="DF11" s="84">
        <v>28</v>
      </c>
      <c r="DG11" s="84">
        <v>28</v>
      </c>
      <c r="DH11" s="84">
        <v>28</v>
      </c>
      <c r="DI11" s="139">
        <f t="shared" si="19"/>
        <v>336</v>
      </c>
      <c r="DJ11" s="142"/>
      <c r="DK11" s="675">
        <f t="shared" si="20"/>
        <v>28</v>
      </c>
      <c r="DL11" s="572">
        <f t="shared" si="21"/>
        <v>28</v>
      </c>
      <c r="DM11" s="572">
        <f t="shared" si="22"/>
        <v>28</v>
      </c>
      <c r="DN11" s="572">
        <f t="shared" si="23"/>
        <v>28</v>
      </c>
      <c r="DO11" s="572">
        <f t="shared" si="24"/>
        <v>28</v>
      </c>
      <c r="DP11" s="572">
        <f t="shared" si="25"/>
        <v>28</v>
      </c>
      <c r="DQ11" s="572">
        <f t="shared" si="26"/>
        <v>28</v>
      </c>
      <c r="DR11" s="572">
        <f t="shared" si="27"/>
        <v>28</v>
      </c>
      <c r="DS11" s="572">
        <f t="shared" si="28"/>
        <v>28</v>
      </c>
      <c r="DT11" s="572">
        <f t="shared" si="29"/>
        <v>28</v>
      </c>
      <c r="DU11" s="572">
        <f t="shared" si="30"/>
        <v>28</v>
      </c>
      <c r="DV11" s="572">
        <f t="shared" si="31"/>
        <v>28</v>
      </c>
      <c r="DW11" s="139">
        <f t="shared" si="32"/>
        <v>336</v>
      </c>
    </row>
    <row r="12" spans="1:127" x14ac:dyDescent="0.2">
      <c r="A12" s="137" t="s">
        <v>469</v>
      </c>
      <c r="B12" s="109">
        <v>10160</v>
      </c>
      <c r="C12" s="110">
        <v>10220</v>
      </c>
      <c r="D12" s="111">
        <f t="shared" si="4"/>
        <v>60</v>
      </c>
      <c r="E12" s="109">
        <v>10160</v>
      </c>
      <c r="F12" s="110">
        <v>10220</v>
      </c>
      <c r="G12" s="111">
        <f t="shared" si="5"/>
        <v>60</v>
      </c>
      <c r="H12" s="109">
        <v>10160</v>
      </c>
      <c r="I12" s="110">
        <v>10220</v>
      </c>
      <c r="J12" s="111">
        <f t="shared" si="6"/>
        <v>60</v>
      </c>
      <c r="K12" s="109">
        <v>10160</v>
      </c>
      <c r="L12" s="110">
        <f>9786.78+60</f>
        <v>9846.7800000000007</v>
      </c>
      <c r="M12" s="111">
        <f t="shared" si="7"/>
        <v>-313.21999999999935</v>
      </c>
      <c r="N12" s="109">
        <v>10160</v>
      </c>
      <c r="O12" s="110">
        <v>9752</v>
      </c>
      <c r="P12" s="111">
        <f t="shared" si="8"/>
        <v>-408</v>
      </c>
      <c r="Q12" s="109">
        <v>10160</v>
      </c>
      <c r="R12" s="52">
        <v>7732</v>
      </c>
      <c r="S12" s="111">
        <f t="shared" si="9"/>
        <v>-2428</v>
      </c>
      <c r="T12" s="109">
        <v>10160</v>
      </c>
      <c r="U12" s="52">
        <v>10220</v>
      </c>
      <c r="V12" s="111">
        <f t="shared" si="10"/>
        <v>60</v>
      </c>
      <c r="W12" s="109">
        <v>10160</v>
      </c>
      <c r="X12" s="52">
        <v>10220</v>
      </c>
      <c r="Y12" s="111">
        <f t="shared" si="11"/>
        <v>60</v>
      </c>
      <c r="Z12" s="109">
        <v>10160</v>
      </c>
      <c r="AA12" s="110">
        <v>10220</v>
      </c>
      <c r="AB12" s="111">
        <f t="shared" si="12"/>
        <v>60</v>
      </c>
      <c r="AC12" s="109">
        <v>10160</v>
      </c>
      <c r="AD12" s="110">
        <v>17456</v>
      </c>
      <c r="AE12" s="111">
        <f t="shared" si="13"/>
        <v>7296</v>
      </c>
      <c r="AF12" s="109">
        <v>10160</v>
      </c>
      <c r="AG12" s="110">
        <v>19480</v>
      </c>
      <c r="AH12" s="111">
        <f t="shared" si="14"/>
        <v>9320</v>
      </c>
      <c r="AI12" s="109">
        <v>10160</v>
      </c>
      <c r="AJ12" s="110"/>
      <c r="AK12" s="111">
        <f t="shared" si="15"/>
        <v>-10160</v>
      </c>
      <c r="AL12" s="138">
        <f t="shared" si="16"/>
        <v>125586.78</v>
      </c>
      <c r="AM12" s="143" t="s">
        <v>469</v>
      </c>
      <c r="AN12" s="84">
        <v>10660</v>
      </c>
      <c r="AO12" s="84">
        <v>10660</v>
      </c>
      <c r="AP12" s="84">
        <v>10660</v>
      </c>
      <c r="AQ12" s="84">
        <v>10660</v>
      </c>
      <c r="AR12" s="84">
        <v>10660</v>
      </c>
      <c r="AS12" s="84">
        <v>10660</v>
      </c>
      <c r="AT12" s="84">
        <v>10660</v>
      </c>
      <c r="AU12" s="84">
        <v>10660</v>
      </c>
      <c r="AV12" s="84">
        <v>10660</v>
      </c>
      <c r="AW12" s="84">
        <v>10660</v>
      </c>
      <c r="AX12" s="84">
        <v>10660</v>
      </c>
      <c r="AY12" s="84">
        <v>10660</v>
      </c>
      <c r="AZ12" s="138">
        <f t="shared" si="17"/>
        <v>127920</v>
      </c>
      <c r="BA12" s="142"/>
      <c r="BB12" s="143" t="s">
        <v>469</v>
      </c>
      <c r="BC12" s="84">
        <v>10660</v>
      </c>
      <c r="BD12" s="84">
        <v>10660</v>
      </c>
      <c r="BE12" s="84">
        <v>10660</v>
      </c>
      <c r="BF12" s="84">
        <v>10660</v>
      </c>
      <c r="BG12" s="84">
        <v>10660</v>
      </c>
      <c r="BH12" s="84">
        <v>10660</v>
      </c>
      <c r="BI12" s="84">
        <v>10660</v>
      </c>
      <c r="BJ12" s="84">
        <v>10660</v>
      </c>
      <c r="BK12" s="84">
        <v>10660</v>
      </c>
      <c r="BL12" s="84">
        <v>10660</v>
      </c>
      <c r="BM12" s="84">
        <v>10660</v>
      </c>
      <c r="BN12" s="84">
        <v>10660</v>
      </c>
      <c r="BO12" s="139">
        <f t="shared" si="0"/>
        <v>127920</v>
      </c>
      <c r="BQ12" s="500" t="s">
        <v>916</v>
      </c>
      <c r="BR12" s="283" t="s">
        <v>469</v>
      </c>
      <c r="BS12" s="467">
        <v>10660</v>
      </c>
      <c r="BT12" s="84">
        <v>10660</v>
      </c>
      <c r="BU12" s="84">
        <v>10660</v>
      </c>
      <c r="BV12" s="84">
        <v>10660</v>
      </c>
      <c r="BW12" s="84">
        <v>10660</v>
      </c>
      <c r="BX12" s="84">
        <v>10660</v>
      </c>
      <c r="BY12" s="84">
        <v>10660</v>
      </c>
      <c r="BZ12" s="84">
        <v>10660</v>
      </c>
      <c r="CA12" s="84">
        <v>10660</v>
      </c>
      <c r="CB12" s="84">
        <v>10660</v>
      </c>
      <c r="CC12" s="84">
        <v>10660</v>
      </c>
      <c r="CD12" s="84">
        <v>10660</v>
      </c>
      <c r="CE12" s="139">
        <f t="shared" si="1"/>
        <v>127920</v>
      </c>
      <c r="CF12" s="142"/>
      <c r="CG12" s="572">
        <f t="shared" si="38"/>
        <v>10660</v>
      </c>
      <c r="CH12" s="572">
        <f t="shared" si="38"/>
        <v>10660</v>
      </c>
      <c r="CI12" s="84">
        <v>10137.879999999999</v>
      </c>
      <c r="CJ12" s="84">
        <f>10458.92-2.79</f>
        <v>10456.129999999999</v>
      </c>
      <c r="CK12" s="84">
        <v>10720</v>
      </c>
      <c r="CL12" s="572">
        <f t="shared" ref="CL12:CL19" si="39">BX12</f>
        <v>10660</v>
      </c>
      <c r="CM12" s="84">
        <v>10660</v>
      </c>
      <c r="CN12" s="84">
        <v>10411.42</v>
      </c>
      <c r="CO12" s="84">
        <v>10072.61</v>
      </c>
      <c r="CP12" s="84">
        <v>10268.41</v>
      </c>
      <c r="CQ12" s="84">
        <v>10660</v>
      </c>
      <c r="CR12" s="84">
        <v>10660</v>
      </c>
      <c r="CS12" s="139">
        <f t="shared" si="2"/>
        <v>126026.45</v>
      </c>
      <c r="CU12" s="500" t="s">
        <v>916</v>
      </c>
      <c r="CV12" s="283" t="s">
        <v>469</v>
      </c>
      <c r="CW12" s="84">
        <v>10660</v>
      </c>
      <c r="CX12" s="84">
        <v>10660</v>
      </c>
      <c r="CY12" s="84">
        <v>10660</v>
      </c>
      <c r="CZ12" s="84">
        <v>10660</v>
      </c>
      <c r="DA12" s="84">
        <v>10660</v>
      </c>
      <c r="DB12" s="84">
        <v>10660</v>
      </c>
      <c r="DC12" s="84">
        <v>10660</v>
      </c>
      <c r="DD12" s="84">
        <v>10660</v>
      </c>
      <c r="DE12" s="84">
        <v>10660</v>
      </c>
      <c r="DF12" s="84">
        <v>10660</v>
      </c>
      <c r="DG12" s="84">
        <v>10660</v>
      </c>
      <c r="DH12" s="84">
        <v>10660</v>
      </c>
      <c r="DI12" s="139">
        <f t="shared" si="19"/>
        <v>127920</v>
      </c>
      <c r="DJ12" s="142"/>
      <c r="DK12" s="675">
        <v>10072.57</v>
      </c>
      <c r="DL12" s="572">
        <f t="shared" si="21"/>
        <v>10660</v>
      </c>
      <c r="DM12" s="572">
        <f t="shared" si="22"/>
        <v>10660</v>
      </c>
      <c r="DN12" s="572">
        <f t="shared" si="23"/>
        <v>10660</v>
      </c>
      <c r="DO12" s="572">
        <f t="shared" si="24"/>
        <v>10660</v>
      </c>
      <c r="DP12" s="572">
        <f t="shared" si="25"/>
        <v>10660</v>
      </c>
      <c r="DQ12" s="572">
        <f t="shared" si="26"/>
        <v>10660</v>
      </c>
      <c r="DR12" s="572">
        <f t="shared" si="27"/>
        <v>10660</v>
      </c>
      <c r="DS12" s="572">
        <f t="shared" si="28"/>
        <v>10660</v>
      </c>
      <c r="DT12" s="572">
        <f t="shared" si="29"/>
        <v>10660</v>
      </c>
      <c r="DU12" s="572">
        <f t="shared" si="30"/>
        <v>10660</v>
      </c>
      <c r="DV12" s="572">
        <f t="shared" si="31"/>
        <v>10660</v>
      </c>
      <c r="DW12" s="139">
        <f t="shared" si="32"/>
        <v>127332.57</v>
      </c>
    </row>
    <row r="13" spans="1:127" x14ac:dyDescent="0.2">
      <c r="A13" s="137" t="s">
        <v>470</v>
      </c>
      <c r="B13" s="109">
        <v>11400</v>
      </c>
      <c r="C13" s="110">
        <v>11460</v>
      </c>
      <c r="D13" s="111">
        <f t="shared" si="4"/>
        <v>60</v>
      </c>
      <c r="E13" s="109">
        <v>11400</v>
      </c>
      <c r="F13" s="110">
        <v>11460</v>
      </c>
      <c r="G13" s="111">
        <f t="shared" si="5"/>
        <v>60</v>
      </c>
      <c r="H13" s="109">
        <v>11400</v>
      </c>
      <c r="I13" s="110">
        <v>11460</v>
      </c>
      <c r="J13" s="111">
        <f t="shared" si="6"/>
        <v>60</v>
      </c>
      <c r="K13" s="109">
        <v>11400</v>
      </c>
      <c r="L13" s="110">
        <v>11460</v>
      </c>
      <c r="M13" s="111">
        <f t="shared" si="7"/>
        <v>60</v>
      </c>
      <c r="N13" s="109">
        <v>11400</v>
      </c>
      <c r="O13" s="110">
        <f>10842+60</f>
        <v>10902</v>
      </c>
      <c r="P13" s="111">
        <f t="shared" si="8"/>
        <v>-498</v>
      </c>
      <c r="Q13" s="109">
        <v>11400</v>
      </c>
      <c r="R13" s="52">
        <f>8608+60</f>
        <v>8668</v>
      </c>
      <c r="S13" s="111">
        <f t="shared" si="9"/>
        <v>-2732</v>
      </c>
      <c r="T13" s="109">
        <v>11400</v>
      </c>
      <c r="U13" s="52">
        <v>11460</v>
      </c>
      <c r="V13" s="111">
        <f t="shared" si="10"/>
        <v>60</v>
      </c>
      <c r="W13" s="109">
        <v>11400</v>
      </c>
      <c r="X13" s="52">
        <v>11460</v>
      </c>
      <c r="Y13" s="111">
        <f t="shared" si="11"/>
        <v>60</v>
      </c>
      <c r="Z13" s="109">
        <v>11400</v>
      </c>
      <c r="AA13" s="110">
        <v>21680</v>
      </c>
      <c r="AB13" s="111">
        <f t="shared" si="12"/>
        <v>10280</v>
      </c>
      <c r="AC13" s="109">
        <v>11400</v>
      </c>
      <c r="AD13" s="110">
        <v>9785</v>
      </c>
      <c r="AE13" s="111">
        <f t="shared" si="13"/>
        <v>-1615</v>
      </c>
      <c r="AF13" s="109">
        <v>11400</v>
      </c>
      <c r="AG13" s="110">
        <v>43380</v>
      </c>
      <c r="AH13" s="111">
        <f t="shared" si="14"/>
        <v>31980</v>
      </c>
      <c r="AI13" s="109">
        <v>11400</v>
      </c>
      <c r="AJ13" s="110"/>
      <c r="AK13" s="111">
        <f t="shared" si="15"/>
        <v>-11400</v>
      </c>
      <c r="AL13" s="138">
        <f t="shared" si="16"/>
        <v>163175</v>
      </c>
      <c r="AM13" s="143" t="s">
        <v>470</v>
      </c>
      <c r="AN13" s="84">
        <v>11900</v>
      </c>
      <c r="AO13" s="84">
        <v>11900</v>
      </c>
      <c r="AP13" s="84">
        <v>11900</v>
      </c>
      <c r="AQ13" s="84">
        <v>11900</v>
      </c>
      <c r="AR13" s="84">
        <v>11900</v>
      </c>
      <c r="AS13" s="84">
        <v>11900</v>
      </c>
      <c r="AT13" s="84">
        <v>11900</v>
      </c>
      <c r="AU13" s="84">
        <v>11900</v>
      </c>
      <c r="AV13" s="84">
        <v>11900</v>
      </c>
      <c r="AW13" s="84">
        <v>11900</v>
      </c>
      <c r="AX13" s="84">
        <v>11900</v>
      </c>
      <c r="AY13" s="84">
        <v>11900</v>
      </c>
      <c r="AZ13" s="138">
        <f t="shared" si="17"/>
        <v>142800</v>
      </c>
      <c r="BA13" s="142"/>
      <c r="BB13" s="143" t="s">
        <v>470</v>
      </c>
      <c r="BC13" s="84">
        <v>11900</v>
      </c>
      <c r="BD13" s="84">
        <v>11900</v>
      </c>
      <c r="BE13" s="84">
        <v>11900</v>
      </c>
      <c r="BF13" s="84">
        <v>11900</v>
      </c>
      <c r="BG13" s="84">
        <v>11900</v>
      </c>
      <c r="BH13" s="84">
        <v>11900</v>
      </c>
      <c r="BI13" s="84">
        <v>11900</v>
      </c>
      <c r="BJ13" s="84">
        <v>11900</v>
      </c>
      <c r="BK13" s="84">
        <v>11900</v>
      </c>
      <c r="BL13" s="84">
        <v>11900</v>
      </c>
      <c r="BM13" s="84">
        <v>11900</v>
      </c>
      <c r="BN13" s="84">
        <v>11900</v>
      </c>
      <c r="BO13" s="139">
        <f t="shared" si="0"/>
        <v>142800</v>
      </c>
      <c r="BQ13" s="500" t="s">
        <v>916</v>
      </c>
      <c r="BR13" s="283" t="s">
        <v>470</v>
      </c>
      <c r="BS13" s="467">
        <v>11900</v>
      </c>
      <c r="BT13" s="84">
        <v>11900</v>
      </c>
      <c r="BU13" s="84">
        <v>11900</v>
      </c>
      <c r="BV13" s="84">
        <v>11900</v>
      </c>
      <c r="BW13" s="84">
        <v>11900</v>
      </c>
      <c r="BX13" s="84">
        <v>11900</v>
      </c>
      <c r="BY13" s="84">
        <v>11900</v>
      </c>
      <c r="BZ13" s="84">
        <v>11900</v>
      </c>
      <c r="CA13" s="84">
        <v>11900</v>
      </c>
      <c r="CB13" s="84">
        <v>11900</v>
      </c>
      <c r="CC13" s="84">
        <v>11900</v>
      </c>
      <c r="CD13" s="84">
        <v>11900</v>
      </c>
      <c r="CE13" s="139">
        <f t="shared" si="1"/>
        <v>142800</v>
      </c>
      <c r="CF13" s="142"/>
      <c r="CG13" s="572">
        <f t="shared" si="38"/>
        <v>11900</v>
      </c>
      <c r="CH13" s="572">
        <f t="shared" si="38"/>
        <v>11900</v>
      </c>
      <c r="CI13" s="84">
        <f t="shared" ref="CI13:CI28" si="40">BU13</f>
        <v>11900</v>
      </c>
      <c r="CJ13" s="84">
        <f>BV13-148-240</f>
        <v>11512</v>
      </c>
      <c r="CK13" s="84">
        <f>BW13-92-28</f>
        <v>11780</v>
      </c>
      <c r="CL13" s="572">
        <f t="shared" si="39"/>
        <v>11900</v>
      </c>
      <c r="CM13" s="84">
        <v>11900</v>
      </c>
      <c r="CN13" s="84">
        <v>11900</v>
      </c>
      <c r="CO13" s="84">
        <v>11900</v>
      </c>
      <c r="CP13" s="84">
        <v>11900</v>
      </c>
      <c r="CQ13" s="84">
        <v>11900</v>
      </c>
      <c r="CR13" s="84">
        <v>11900</v>
      </c>
      <c r="CS13" s="139">
        <f t="shared" si="2"/>
        <v>142292</v>
      </c>
      <c r="CU13" s="500" t="s">
        <v>916</v>
      </c>
      <c r="CV13" s="283" t="s">
        <v>470</v>
      </c>
      <c r="CW13" s="84">
        <v>11900</v>
      </c>
      <c r="CX13" s="84">
        <v>11900</v>
      </c>
      <c r="CY13" s="84">
        <v>11900</v>
      </c>
      <c r="CZ13" s="84">
        <v>11900</v>
      </c>
      <c r="DA13" s="84">
        <v>11900</v>
      </c>
      <c r="DB13" s="84">
        <v>11900</v>
      </c>
      <c r="DC13" s="84">
        <v>11900</v>
      </c>
      <c r="DD13" s="84">
        <v>11900</v>
      </c>
      <c r="DE13" s="84">
        <v>11900</v>
      </c>
      <c r="DF13" s="84">
        <v>11900</v>
      </c>
      <c r="DG13" s="84">
        <v>11900</v>
      </c>
      <c r="DH13" s="84">
        <v>11900</v>
      </c>
      <c r="DI13" s="139">
        <f t="shared" si="19"/>
        <v>142800</v>
      </c>
      <c r="DJ13" s="142"/>
      <c r="DK13" s="675">
        <f t="shared" si="20"/>
        <v>11900</v>
      </c>
      <c r="DL13" s="572">
        <f t="shared" si="21"/>
        <v>11900</v>
      </c>
      <c r="DM13" s="572">
        <f t="shared" si="22"/>
        <v>11900</v>
      </c>
      <c r="DN13" s="572">
        <f t="shared" si="23"/>
        <v>11900</v>
      </c>
      <c r="DO13" s="572">
        <f t="shared" si="24"/>
        <v>11900</v>
      </c>
      <c r="DP13" s="572">
        <f t="shared" si="25"/>
        <v>11900</v>
      </c>
      <c r="DQ13" s="572">
        <f t="shared" si="26"/>
        <v>11900</v>
      </c>
      <c r="DR13" s="572">
        <f t="shared" si="27"/>
        <v>11900</v>
      </c>
      <c r="DS13" s="572">
        <f t="shared" si="28"/>
        <v>11900</v>
      </c>
      <c r="DT13" s="572">
        <f t="shared" si="29"/>
        <v>11900</v>
      </c>
      <c r="DU13" s="572">
        <f t="shared" si="30"/>
        <v>11900</v>
      </c>
      <c r="DV13" s="572">
        <f t="shared" si="31"/>
        <v>11900</v>
      </c>
      <c r="DW13" s="139">
        <f t="shared" si="32"/>
        <v>142800</v>
      </c>
    </row>
    <row r="14" spans="1:127" x14ac:dyDescent="0.2">
      <c r="A14" s="137" t="s">
        <v>467</v>
      </c>
      <c r="B14" s="109">
        <v>10160</v>
      </c>
      <c r="C14" s="110">
        <v>10240</v>
      </c>
      <c r="D14" s="111">
        <f t="shared" si="4"/>
        <v>80</v>
      </c>
      <c r="E14" s="109">
        <v>10160</v>
      </c>
      <c r="F14" s="110">
        <v>10220</v>
      </c>
      <c r="G14" s="111">
        <f t="shared" si="5"/>
        <v>60</v>
      </c>
      <c r="H14" s="109">
        <v>10160</v>
      </c>
      <c r="I14" s="110">
        <v>10240</v>
      </c>
      <c r="J14" s="111">
        <f t="shared" si="6"/>
        <v>80</v>
      </c>
      <c r="K14" s="109">
        <v>10160</v>
      </c>
      <c r="L14" s="110">
        <v>10033.39</v>
      </c>
      <c r="M14" s="111">
        <f t="shared" si="7"/>
        <v>-126.61000000000058</v>
      </c>
      <c r="N14" s="109">
        <v>10160</v>
      </c>
      <c r="O14" s="110">
        <f>10160+60</f>
        <v>10220</v>
      </c>
      <c r="P14" s="111">
        <f t="shared" si="8"/>
        <v>60</v>
      </c>
      <c r="Q14" s="109">
        <v>10160</v>
      </c>
      <c r="R14" s="52">
        <f>7672+60</f>
        <v>7732</v>
      </c>
      <c r="S14" s="111">
        <f t="shared" si="9"/>
        <v>-2428</v>
      </c>
      <c r="T14" s="109">
        <v>10160</v>
      </c>
      <c r="U14" s="52">
        <v>9740</v>
      </c>
      <c r="V14" s="111">
        <f t="shared" si="10"/>
        <v>-420</v>
      </c>
      <c r="W14" s="109">
        <v>10160</v>
      </c>
      <c r="X14" s="52">
        <v>10220</v>
      </c>
      <c r="Y14" s="111">
        <f t="shared" si="11"/>
        <v>60</v>
      </c>
      <c r="Z14" s="109">
        <v>10160</v>
      </c>
      <c r="AA14" s="110"/>
      <c r="AB14" s="111">
        <f t="shared" si="12"/>
        <v>-10160</v>
      </c>
      <c r="AC14" s="109">
        <v>10160</v>
      </c>
      <c r="AD14" s="110"/>
      <c r="AE14" s="111">
        <f t="shared" si="13"/>
        <v>-10160</v>
      </c>
      <c r="AF14" s="109">
        <v>10160</v>
      </c>
      <c r="AG14" s="110"/>
      <c r="AH14" s="111">
        <f t="shared" si="14"/>
        <v>-10160</v>
      </c>
      <c r="AI14" s="109">
        <v>10160</v>
      </c>
      <c r="AJ14" s="110"/>
      <c r="AK14" s="111">
        <f t="shared" si="15"/>
        <v>-10160</v>
      </c>
      <c r="AL14" s="138">
        <f t="shared" si="16"/>
        <v>78645.39</v>
      </c>
      <c r="AM14" s="143" t="s">
        <v>468</v>
      </c>
      <c r="AN14" s="84">
        <v>10660</v>
      </c>
      <c r="AO14" s="84">
        <v>10660</v>
      </c>
      <c r="AP14" s="84">
        <v>10660</v>
      </c>
      <c r="AQ14" s="84">
        <v>10660</v>
      </c>
      <c r="AR14" s="84">
        <v>10660</v>
      </c>
      <c r="AS14" s="84">
        <v>10660</v>
      </c>
      <c r="AT14" s="84">
        <v>10660</v>
      </c>
      <c r="AU14" s="84">
        <v>10660</v>
      </c>
      <c r="AV14" s="84">
        <v>10660</v>
      </c>
      <c r="AW14" s="84">
        <v>10660</v>
      </c>
      <c r="AX14" s="84">
        <v>10660</v>
      </c>
      <c r="AY14" s="84">
        <v>10660</v>
      </c>
      <c r="AZ14" s="138">
        <f t="shared" si="17"/>
        <v>127920</v>
      </c>
      <c r="BA14" s="142"/>
      <c r="BB14" s="143" t="s">
        <v>468</v>
      </c>
      <c r="BC14" s="84">
        <v>10660</v>
      </c>
      <c r="BD14" s="84">
        <v>10660</v>
      </c>
      <c r="BE14" s="84">
        <v>10660</v>
      </c>
      <c r="BF14" s="84">
        <v>10660</v>
      </c>
      <c r="BG14" s="84">
        <v>10660</v>
      </c>
      <c r="BH14" s="84">
        <v>10660</v>
      </c>
      <c r="BI14" s="84">
        <v>10660</v>
      </c>
      <c r="BJ14" s="84">
        <v>10660</v>
      </c>
      <c r="BK14" s="84">
        <v>10660</v>
      </c>
      <c r="BL14" s="84">
        <v>10660</v>
      </c>
      <c r="BM14" s="84">
        <v>10660</v>
      </c>
      <c r="BN14" s="84">
        <v>10660</v>
      </c>
      <c r="BO14" s="139">
        <f t="shared" si="0"/>
        <v>127920</v>
      </c>
      <c r="BQ14" s="500" t="s">
        <v>916</v>
      </c>
      <c r="BR14" s="283" t="s">
        <v>468</v>
      </c>
      <c r="BS14" s="467">
        <v>10660</v>
      </c>
      <c r="BT14" s="84">
        <v>10660</v>
      </c>
      <c r="BU14" s="84">
        <v>10660</v>
      </c>
      <c r="BV14" s="84">
        <v>10660</v>
      </c>
      <c r="BW14" s="84">
        <v>10660</v>
      </c>
      <c r="BX14" s="84">
        <v>10660</v>
      </c>
      <c r="BY14" s="84">
        <v>10660</v>
      </c>
      <c r="BZ14" s="84">
        <v>10660</v>
      </c>
      <c r="CA14" s="84">
        <v>10660</v>
      </c>
      <c r="CB14" s="84">
        <v>10660</v>
      </c>
      <c r="CC14" s="84">
        <v>10660</v>
      </c>
      <c r="CD14" s="84">
        <v>10660</v>
      </c>
      <c r="CE14" s="139">
        <f t="shared" si="1"/>
        <v>127920</v>
      </c>
      <c r="CF14" s="142"/>
      <c r="CG14" s="572">
        <f t="shared" si="38"/>
        <v>10660</v>
      </c>
      <c r="CH14" s="572">
        <f t="shared" si="38"/>
        <v>10660</v>
      </c>
      <c r="CI14" s="84">
        <f t="shared" si="40"/>
        <v>10660</v>
      </c>
      <c r="CJ14" s="84">
        <f t="shared" ref="CJ14:CK19" si="41">BV14</f>
        <v>10660</v>
      </c>
      <c r="CK14" s="84">
        <f t="shared" si="41"/>
        <v>10660</v>
      </c>
      <c r="CL14" s="572">
        <f t="shared" si="39"/>
        <v>10660</v>
      </c>
      <c r="CM14" s="84">
        <v>10464.200000000001</v>
      </c>
      <c r="CN14" s="84">
        <v>10660</v>
      </c>
      <c r="CO14" s="84">
        <v>10529.47</v>
      </c>
      <c r="CP14" s="84">
        <v>10660</v>
      </c>
      <c r="CQ14" s="84">
        <v>10660</v>
      </c>
      <c r="CR14" s="84">
        <v>10660</v>
      </c>
      <c r="CS14" s="139">
        <f t="shared" si="2"/>
        <v>127593.67</v>
      </c>
      <c r="CU14" s="500" t="s">
        <v>916</v>
      </c>
      <c r="CV14" s="285" t="s">
        <v>468</v>
      </c>
      <c r="CW14" s="84">
        <v>10660</v>
      </c>
      <c r="CX14" s="84">
        <v>10660</v>
      </c>
      <c r="CY14" s="84">
        <v>10660</v>
      </c>
      <c r="CZ14" s="84">
        <v>10660</v>
      </c>
      <c r="DA14" s="84">
        <v>10660</v>
      </c>
      <c r="DB14" s="84">
        <v>10660</v>
      </c>
      <c r="DC14" s="84">
        <v>10660</v>
      </c>
      <c r="DD14" s="84">
        <v>10660</v>
      </c>
      <c r="DE14" s="84">
        <v>10660</v>
      </c>
      <c r="DF14" s="84">
        <v>10660</v>
      </c>
      <c r="DG14" s="84">
        <v>10660</v>
      </c>
      <c r="DH14" s="84">
        <v>10660</v>
      </c>
      <c r="DI14" s="139">
        <f t="shared" si="19"/>
        <v>127920</v>
      </c>
      <c r="DJ14" s="142"/>
      <c r="DK14" s="675">
        <f t="shared" si="20"/>
        <v>10660</v>
      </c>
      <c r="DL14" s="572">
        <f t="shared" si="21"/>
        <v>10660</v>
      </c>
      <c r="DM14" s="572">
        <f t="shared" si="22"/>
        <v>10660</v>
      </c>
      <c r="DN14" s="572">
        <f t="shared" si="23"/>
        <v>10660</v>
      </c>
      <c r="DO14" s="572">
        <f t="shared" si="24"/>
        <v>10660</v>
      </c>
      <c r="DP14" s="572">
        <f t="shared" si="25"/>
        <v>10660</v>
      </c>
      <c r="DQ14" s="572">
        <f t="shared" si="26"/>
        <v>10660</v>
      </c>
      <c r="DR14" s="572">
        <f t="shared" si="27"/>
        <v>10660</v>
      </c>
      <c r="DS14" s="572">
        <f t="shared" si="28"/>
        <v>10660</v>
      </c>
      <c r="DT14" s="572">
        <f t="shared" si="29"/>
        <v>10660</v>
      </c>
      <c r="DU14" s="572">
        <f t="shared" si="30"/>
        <v>10660</v>
      </c>
      <c r="DV14" s="572">
        <f t="shared" si="31"/>
        <v>10660</v>
      </c>
      <c r="DW14" s="139">
        <f t="shared" si="32"/>
        <v>127920</v>
      </c>
    </row>
    <row r="15" spans="1:127" x14ac:dyDescent="0.2">
      <c r="A15" s="137"/>
      <c r="B15" s="109"/>
      <c r="C15" s="110"/>
      <c r="D15" s="111"/>
      <c r="E15" s="109"/>
      <c r="F15" s="110"/>
      <c r="G15" s="111"/>
      <c r="H15" s="109"/>
      <c r="I15" s="110"/>
      <c r="J15" s="111"/>
      <c r="K15" s="109"/>
      <c r="L15" s="110"/>
      <c r="M15" s="111"/>
      <c r="N15" s="109"/>
      <c r="O15" s="110"/>
      <c r="P15" s="111"/>
      <c r="Q15" s="109"/>
      <c r="R15" s="52"/>
      <c r="S15" s="111"/>
      <c r="T15" s="109"/>
      <c r="U15" s="52"/>
      <c r="V15" s="111"/>
      <c r="W15" s="109"/>
      <c r="X15" s="52"/>
      <c r="Y15" s="111"/>
      <c r="Z15" s="109"/>
      <c r="AA15" s="110"/>
      <c r="AB15" s="111"/>
      <c r="AC15" s="109"/>
      <c r="AD15" s="110"/>
      <c r="AE15" s="111"/>
      <c r="AF15" s="109"/>
      <c r="AG15" s="110"/>
      <c r="AH15" s="111"/>
      <c r="AI15" s="109"/>
      <c r="AJ15" s="110"/>
      <c r="AK15" s="111"/>
      <c r="AL15" s="138"/>
      <c r="AM15" s="143"/>
      <c r="AN15" s="84"/>
      <c r="AO15" s="84"/>
      <c r="AP15" s="84"/>
      <c r="AQ15" s="84"/>
      <c r="AR15" s="84"/>
      <c r="AS15" s="84"/>
      <c r="AT15" s="84"/>
      <c r="AU15" s="84"/>
      <c r="AV15" s="84"/>
      <c r="AW15" s="84"/>
      <c r="AX15" s="84"/>
      <c r="AY15" s="84"/>
      <c r="AZ15" s="138"/>
      <c r="BA15" s="142"/>
      <c r="BB15" s="143"/>
      <c r="BC15" s="84"/>
      <c r="BD15" s="84"/>
      <c r="BE15" s="84"/>
      <c r="BF15" s="84"/>
      <c r="BG15" s="84"/>
      <c r="BH15" s="84"/>
      <c r="BI15" s="84"/>
      <c r="BJ15" s="84"/>
      <c r="BK15" s="84"/>
      <c r="BL15" s="84"/>
      <c r="BM15" s="84"/>
      <c r="BN15" s="84"/>
      <c r="BO15" s="139"/>
      <c r="BQ15" s="500"/>
      <c r="BR15" s="283"/>
      <c r="BS15" s="467"/>
      <c r="BT15" s="84"/>
      <c r="BU15" s="84"/>
      <c r="BV15" s="84"/>
      <c r="BW15" s="84"/>
      <c r="BX15" s="84"/>
      <c r="BY15" s="84"/>
      <c r="BZ15" s="84"/>
      <c r="CA15" s="84"/>
      <c r="CB15" s="84"/>
      <c r="CC15" s="84"/>
      <c r="CD15" s="84"/>
      <c r="CE15" s="139"/>
      <c r="CF15" s="142"/>
      <c r="CG15" s="572"/>
      <c r="CH15" s="572"/>
      <c r="CI15" s="84"/>
      <c r="CJ15" s="84"/>
      <c r="CK15" s="84"/>
      <c r="CL15" s="572"/>
      <c r="CM15" s="84"/>
      <c r="CN15" s="84"/>
      <c r="CO15" s="84"/>
      <c r="CP15" s="84"/>
      <c r="CQ15" s="84"/>
      <c r="CR15" s="84"/>
      <c r="CS15" s="139"/>
      <c r="CU15" s="500" t="s">
        <v>916</v>
      </c>
      <c r="CV15" s="285" t="s">
        <v>1406</v>
      </c>
      <c r="CW15" s="84">
        <v>11900</v>
      </c>
      <c r="CX15" s="84">
        <v>11900</v>
      </c>
      <c r="CY15" s="84">
        <v>11900</v>
      </c>
      <c r="CZ15" s="84">
        <v>11900</v>
      </c>
      <c r="DA15" s="84">
        <v>11900</v>
      </c>
      <c r="DB15" s="84">
        <v>11900</v>
      </c>
      <c r="DC15" s="84">
        <v>11900</v>
      </c>
      <c r="DD15" s="84">
        <v>11900</v>
      </c>
      <c r="DE15" s="84">
        <v>11900</v>
      </c>
      <c r="DF15" s="84">
        <v>11900</v>
      </c>
      <c r="DG15" s="84">
        <v>11900</v>
      </c>
      <c r="DH15" s="84">
        <v>11900</v>
      </c>
      <c r="DI15" s="139">
        <f t="shared" si="19"/>
        <v>142800</v>
      </c>
      <c r="DJ15" s="142"/>
      <c r="DK15" s="675">
        <f>-5950+11377.12</f>
        <v>5427.1200000000008</v>
      </c>
      <c r="DL15" s="572">
        <v>11900</v>
      </c>
      <c r="DM15" s="572">
        <v>11900</v>
      </c>
      <c r="DN15" s="572">
        <v>11900</v>
      </c>
      <c r="DO15" s="572">
        <v>11900</v>
      </c>
      <c r="DP15" s="572">
        <v>11900</v>
      </c>
      <c r="DQ15" s="572">
        <v>11900</v>
      </c>
      <c r="DR15" s="572">
        <v>11900</v>
      </c>
      <c r="DS15" s="572">
        <v>11900</v>
      </c>
      <c r="DT15" s="572">
        <v>11900</v>
      </c>
      <c r="DU15" s="572">
        <v>11900</v>
      </c>
      <c r="DV15" s="572">
        <v>11900</v>
      </c>
      <c r="DW15" s="139">
        <f t="shared" si="32"/>
        <v>136327.12</v>
      </c>
    </row>
    <row r="16" spans="1:127" x14ac:dyDescent="0.2">
      <c r="A16" s="137" t="s">
        <v>471</v>
      </c>
      <c r="B16" s="109"/>
      <c r="C16" s="110"/>
      <c r="D16" s="111"/>
      <c r="E16" s="109"/>
      <c r="F16" s="110"/>
      <c r="G16" s="111"/>
      <c r="H16" s="109"/>
      <c r="I16" s="110"/>
      <c r="J16" s="111"/>
      <c r="K16" s="109"/>
      <c r="L16" s="110"/>
      <c r="M16" s="111"/>
      <c r="N16" s="109"/>
      <c r="O16" s="110"/>
      <c r="P16" s="111"/>
      <c r="Q16" s="109"/>
      <c r="R16" s="52"/>
      <c r="S16" s="111"/>
      <c r="T16" s="109"/>
      <c r="U16" s="52"/>
      <c r="V16" s="111"/>
      <c r="W16" s="109"/>
      <c r="X16" s="52"/>
      <c r="Y16" s="111"/>
      <c r="Z16" s="109"/>
      <c r="AA16" s="110">
        <v>13900</v>
      </c>
      <c r="AB16" s="111">
        <f t="shared" si="12"/>
        <v>13900</v>
      </c>
      <c r="AC16" s="109"/>
      <c r="AD16" s="110">
        <v>2400</v>
      </c>
      <c r="AE16" s="111">
        <f t="shared" si="13"/>
        <v>2400</v>
      </c>
      <c r="AF16" s="109"/>
      <c r="AG16" s="110"/>
      <c r="AH16" s="111">
        <f t="shared" si="14"/>
        <v>0</v>
      </c>
      <c r="AI16" s="109"/>
      <c r="AJ16" s="110"/>
      <c r="AK16" s="111">
        <f t="shared" si="15"/>
        <v>0</v>
      </c>
      <c r="AL16" s="138">
        <f t="shared" si="16"/>
        <v>16300</v>
      </c>
      <c r="AM16" s="143" t="s">
        <v>471</v>
      </c>
      <c r="AN16" s="85">
        <v>0</v>
      </c>
      <c r="AO16" s="85">
        <v>0</v>
      </c>
      <c r="AP16" s="85">
        <v>0</v>
      </c>
      <c r="AQ16" s="85">
        <v>0</v>
      </c>
      <c r="AR16" s="85">
        <v>0</v>
      </c>
      <c r="AS16" s="85">
        <v>0</v>
      </c>
      <c r="AT16" s="85">
        <v>0</v>
      </c>
      <c r="AU16" s="85">
        <v>0</v>
      </c>
      <c r="AV16" s="85">
        <v>0</v>
      </c>
      <c r="AW16" s="85">
        <v>0</v>
      </c>
      <c r="AX16" s="85">
        <v>0</v>
      </c>
      <c r="AY16" s="85">
        <v>0</v>
      </c>
      <c r="AZ16" s="138">
        <f t="shared" si="17"/>
        <v>0</v>
      </c>
      <c r="BA16" s="142"/>
      <c r="BB16" s="144" t="s">
        <v>471</v>
      </c>
      <c r="BC16" s="112">
        <v>0</v>
      </c>
      <c r="BD16" s="145"/>
      <c r="BE16" s="145"/>
      <c r="BF16" s="145"/>
      <c r="BG16" s="145"/>
      <c r="BH16" s="145"/>
      <c r="BI16" s="145"/>
      <c r="BJ16" s="145"/>
      <c r="BK16" s="145"/>
      <c r="BL16" s="145"/>
      <c r="BM16" s="145"/>
      <c r="BN16" s="145"/>
      <c r="BO16" s="139">
        <f t="shared" si="0"/>
        <v>0</v>
      </c>
      <c r="BQ16" s="500" t="s">
        <v>917</v>
      </c>
      <c r="BR16" s="283" t="s">
        <v>473</v>
      </c>
      <c r="BS16" s="467">
        <v>100</v>
      </c>
      <c r="BT16" s="84">
        <v>100</v>
      </c>
      <c r="BU16" s="84">
        <v>100</v>
      </c>
      <c r="BV16" s="84">
        <v>100</v>
      </c>
      <c r="BW16" s="84">
        <v>100</v>
      </c>
      <c r="BX16" s="84">
        <v>100</v>
      </c>
      <c r="BY16" s="84">
        <v>100</v>
      </c>
      <c r="BZ16" s="84">
        <v>100</v>
      </c>
      <c r="CA16" s="84">
        <v>100</v>
      </c>
      <c r="CB16" s="84">
        <v>100</v>
      </c>
      <c r="CC16" s="84">
        <v>100</v>
      </c>
      <c r="CD16" s="84">
        <v>100</v>
      </c>
      <c r="CE16" s="139">
        <f t="shared" si="1"/>
        <v>1200</v>
      </c>
      <c r="CF16" s="142"/>
      <c r="CG16" s="572">
        <f t="shared" si="38"/>
        <v>100</v>
      </c>
      <c r="CH16" s="572">
        <f t="shared" si="38"/>
        <v>100</v>
      </c>
      <c r="CI16" s="84">
        <f t="shared" si="40"/>
        <v>100</v>
      </c>
      <c r="CJ16" s="84">
        <f t="shared" si="41"/>
        <v>100</v>
      </c>
      <c r="CK16" s="84">
        <f t="shared" si="41"/>
        <v>100</v>
      </c>
      <c r="CL16" s="572">
        <f t="shared" si="39"/>
        <v>100</v>
      </c>
      <c r="CM16" s="84">
        <v>100</v>
      </c>
      <c r="CN16" s="84">
        <v>100</v>
      </c>
      <c r="CO16" s="84">
        <v>100</v>
      </c>
      <c r="CP16" s="84">
        <v>100</v>
      </c>
      <c r="CQ16" s="84">
        <v>100</v>
      </c>
      <c r="CR16" s="84">
        <v>100</v>
      </c>
      <c r="CS16" s="139">
        <f t="shared" si="2"/>
        <v>1200</v>
      </c>
      <c r="CU16" s="500" t="s">
        <v>917</v>
      </c>
      <c r="CV16" s="285" t="s">
        <v>1116</v>
      </c>
      <c r="CW16" s="84">
        <v>500</v>
      </c>
      <c r="CX16" s="84">
        <v>500</v>
      </c>
      <c r="CY16" s="84">
        <v>500</v>
      </c>
      <c r="CZ16" s="84">
        <v>500</v>
      </c>
      <c r="DA16" s="84">
        <v>500</v>
      </c>
      <c r="DB16" s="84">
        <v>500</v>
      </c>
      <c r="DC16" s="84">
        <v>500</v>
      </c>
      <c r="DD16" s="84">
        <v>500</v>
      </c>
      <c r="DE16" s="84">
        <v>500</v>
      </c>
      <c r="DF16" s="84">
        <v>500</v>
      </c>
      <c r="DG16" s="84">
        <v>500</v>
      </c>
      <c r="DH16" s="84">
        <v>500</v>
      </c>
      <c r="DI16" s="139">
        <f t="shared" si="19"/>
        <v>6000</v>
      </c>
      <c r="DJ16" s="142"/>
      <c r="DK16" s="675">
        <v>1672.5</v>
      </c>
      <c r="DL16" s="572">
        <f t="shared" si="21"/>
        <v>500</v>
      </c>
      <c r="DM16" s="572">
        <f t="shared" si="22"/>
        <v>500</v>
      </c>
      <c r="DN16" s="572">
        <f t="shared" si="23"/>
        <v>500</v>
      </c>
      <c r="DO16" s="572">
        <f t="shared" si="24"/>
        <v>500</v>
      </c>
      <c r="DP16" s="572">
        <f t="shared" si="25"/>
        <v>500</v>
      </c>
      <c r="DQ16" s="572">
        <f t="shared" si="26"/>
        <v>500</v>
      </c>
      <c r="DR16" s="572">
        <f t="shared" si="27"/>
        <v>500</v>
      </c>
      <c r="DS16" s="572">
        <f t="shared" si="28"/>
        <v>500</v>
      </c>
      <c r="DT16" s="572">
        <f t="shared" si="29"/>
        <v>500</v>
      </c>
      <c r="DU16" s="572">
        <f t="shared" si="30"/>
        <v>500</v>
      </c>
      <c r="DV16" s="572">
        <f t="shared" si="31"/>
        <v>500</v>
      </c>
      <c r="DW16" s="139">
        <f t="shared" si="32"/>
        <v>7172.5</v>
      </c>
    </row>
    <row r="17" spans="1:127" x14ac:dyDescent="0.2">
      <c r="A17" s="137" t="s">
        <v>472</v>
      </c>
      <c r="B17" s="109"/>
      <c r="C17" s="110"/>
      <c r="D17" s="111"/>
      <c r="E17" s="109"/>
      <c r="F17" s="110"/>
      <c r="G17" s="111"/>
      <c r="H17" s="109"/>
      <c r="I17" s="110"/>
      <c r="J17" s="111"/>
      <c r="K17" s="109"/>
      <c r="L17" s="110"/>
      <c r="M17" s="111"/>
      <c r="N17" s="109"/>
      <c r="O17" s="110"/>
      <c r="P17" s="111"/>
      <c r="Q17" s="109"/>
      <c r="R17" s="52"/>
      <c r="S17" s="111"/>
      <c r="T17" s="109"/>
      <c r="U17" s="52"/>
      <c r="V17" s="111"/>
      <c r="W17" s="109"/>
      <c r="X17" s="52"/>
      <c r="Y17" s="111"/>
      <c r="Z17" s="109"/>
      <c r="AA17" s="110"/>
      <c r="AB17" s="111">
        <f t="shared" si="12"/>
        <v>0</v>
      </c>
      <c r="AC17" s="109"/>
      <c r="AD17" s="110"/>
      <c r="AE17" s="111">
        <f t="shared" si="13"/>
        <v>0</v>
      </c>
      <c r="AF17" s="109"/>
      <c r="AG17" s="110">
        <v>1050</v>
      </c>
      <c r="AH17" s="111">
        <f t="shared" si="14"/>
        <v>1050</v>
      </c>
      <c r="AI17" s="109"/>
      <c r="AJ17" s="110"/>
      <c r="AK17" s="111">
        <f t="shared" si="15"/>
        <v>0</v>
      </c>
      <c r="AL17" s="138">
        <f t="shared" si="16"/>
        <v>1050</v>
      </c>
      <c r="AM17" s="143" t="s">
        <v>472</v>
      </c>
      <c r="AN17" s="85">
        <v>100</v>
      </c>
      <c r="AO17" s="85">
        <v>100</v>
      </c>
      <c r="AP17" s="85">
        <v>100</v>
      </c>
      <c r="AQ17" s="85">
        <v>100</v>
      </c>
      <c r="AR17" s="85">
        <v>100</v>
      </c>
      <c r="AS17" s="85">
        <v>100</v>
      </c>
      <c r="AT17" s="85">
        <v>100</v>
      </c>
      <c r="AU17" s="85">
        <v>100</v>
      </c>
      <c r="AV17" s="85">
        <v>100</v>
      </c>
      <c r="AW17" s="85">
        <v>100</v>
      </c>
      <c r="AX17" s="85">
        <v>100</v>
      </c>
      <c r="AY17" s="85">
        <v>100</v>
      </c>
      <c r="AZ17" s="138">
        <f t="shared" si="17"/>
        <v>1200</v>
      </c>
      <c r="BA17" s="142"/>
      <c r="BB17" s="144" t="s">
        <v>472</v>
      </c>
      <c r="BC17" s="112">
        <v>0</v>
      </c>
      <c r="BD17" s="145"/>
      <c r="BE17" s="145"/>
      <c r="BF17" s="145"/>
      <c r="BG17" s="145"/>
      <c r="BH17" s="145"/>
      <c r="BI17" s="145"/>
      <c r="BJ17" s="145"/>
      <c r="BK17" s="145"/>
      <c r="BL17" s="145"/>
      <c r="BM17" s="145"/>
      <c r="BN17" s="145"/>
      <c r="BO17" s="139">
        <f t="shared" si="0"/>
        <v>0</v>
      </c>
      <c r="BQ17" s="500" t="s">
        <v>917</v>
      </c>
      <c r="BR17" s="283" t="s">
        <v>474</v>
      </c>
      <c r="BS17" s="467">
        <v>12814.92</v>
      </c>
      <c r="BT17" s="84">
        <v>12814.92</v>
      </c>
      <c r="BU17" s="84">
        <v>12814.92</v>
      </c>
      <c r="BV17" s="84">
        <v>12814.92</v>
      </c>
      <c r="BW17" s="84">
        <v>12814.92</v>
      </c>
      <c r="BX17" s="84">
        <v>12814.92</v>
      </c>
      <c r="BY17" s="84">
        <v>12814.92</v>
      </c>
      <c r="BZ17" s="84">
        <v>12814.92</v>
      </c>
      <c r="CA17" s="84">
        <v>12814.92</v>
      </c>
      <c r="CB17" s="84">
        <v>12814.92</v>
      </c>
      <c r="CC17" s="84">
        <v>12814.92</v>
      </c>
      <c r="CD17" s="84">
        <v>12814.92</v>
      </c>
      <c r="CE17" s="139">
        <f t="shared" si="1"/>
        <v>153779.04</v>
      </c>
      <c r="CF17" s="142"/>
      <c r="CG17" s="572">
        <f t="shared" si="38"/>
        <v>12814.92</v>
      </c>
      <c r="CH17" s="572">
        <f t="shared" si="38"/>
        <v>12814.92</v>
      </c>
      <c r="CI17" s="84">
        <f t="shared" si="40"/>
        <v>12814.92</v>
      </c>
      <c r="CJ17" s="84">
        <f t="shared" si="41"/>
        <v>12814.92</v>
      </c>
      <c r="CK17" s="84">
        <f t="shared" si="41"/>
        <v>12814.92</v>
      </c>
      <c r="CL17" s="572">
        <f t="shared" si="39"/>
        <v>12814.92</v>
      </c>
      <c r="CM17" s="84">
        <v>12814.92</v>
      </c>
      <c r="CN17" s="84">
        <v>12814.92</v>
      </c>
      <c r="CO17" s="84">
        <v>12814.92</v>
      </c>
      <c r="CP17" s="84">
        <v>11005.73</v>
      </c>
      <c r="CQ17" s="84">
        <v>12814.92</v>
      </c>
      <c r="CR17" s="84">
        <v>12814.92</v>
      </c>
      <c r="CS17" s="139">
        <f t="shared" si="2"/>
        <v>151969.85</v>
      </c>
      <c r="CU17" s="500" t="s">
        <v>917</v>
      </c>
      <c r="CV17" s="285" t="s">
        <v>473</v>
      </c>
      <c r="CW17" s="84">
        <v>100</v>
      </c>
      <c r="CX17" s="84">
        <v>100</v>
      </c>
      <c r="CY17" s="84">
        <v>100</v>
      </c>
      <c r="CZ17" s="84">
        <v>100</v>
      </c>
      <c r="DA17" s="84">
        <v>100</v>
      </c>
      <c r="DB17" s="84">
        <v>100</v>
      </c>
      <c r="DC17" s="84">
        <v>100</v>
      </c>
      <c r="DD17" s="84">
        <v>100</v>
      </c>
      <c r="DE17" s="84">
        <v>100</v>
      </c>
      <c r="DF17" s="84">
        <v>100</v>
      </c>
      <c r="DG17" s="84">
        <v>100</v>
      </c>
      <c r="DH17" s="84">
        <v>100</v>
      </c>
      <c r="DI17" s="139">
        <f t="shared" si="19"/>
        <v>1200</v>
      </c>
      <c r="DJ17" s="142"/>
      <c r="DK17" s="675">
        <f t="shared" si="20"/>
        <v>100</v>
      </c>
      <c r="DL17" s="572">
        <f t="shared" si="21"/>
        <v>100</v>
      </c>
      <c r="DM17" s="572">
        <f t="shared" si="22"/>
        <v>100</v>
      </c>
      <c r="DN17" s="572">
        <f t="shared" si="23"/>
        <v>100</v>
      </c>
      <c r="DO17" s="572">
        <f t="shared" si="24"/>
        <v>100</v>
      </c>
      <c r="DP17" s="572">
        <f t="shared" si="25"/>
        <v>100</v>
      </c>
      <c r="DQ17" s="572">
        <f t="shared" si="26"/>
        <v>100</v>
      </c>
      <c r="DR17" s="572">
        <f t="shared" si="27"/>
        <v>100</v>
      </c>
      <c r="DS17" s="572">
        <f t="shared" si="28"/>
        <v>100</v>
      </c>
      <c r="DT17" s="572">
        <f t="shared" si="29"/>
        <v>100</v>
      </c>
      <c r="DU17" s="572">
        <f t="shared" si="30"/>
        <v>100</v>
      </c>
      <c r="DV17" s="572">
        <f t="shared" si="31"/>
        <v>100</v>
      </c>
      <c r="DW17" s="139">
        <f t="shared" si="32"/>
        <v>1200</v>
      </c>
    </row>
    <row r="18" spans="1:127" x14ac:dyDescent="0.2">
      <c r="A18" s="137" t="s">
        <v>473</v>
      </c>
      <c r="B18" s="109">
        <v>100</v>
      </c>
      <c r="C18" s="110">
        <v>100</v>
      </c>
      <c r="D18" s="111">
        <f>+C18-B18</f>
        <v>0</v>
      </c>
      <c r="E18" s="109">
        <v>100</v>
      </c>
      <c r="F18" s="110">
        <v>100</v>
      </c>
      <c r="G18" s="111">
        <f>+F18-E18</f>
        <v>0</v>
      </c>
      <c r="H18" s="109">
        <v>100</v>
      </c>
      <c r="I18" s="110">
        <v>100</v>
      </c>
      <c r="J18" s="111">
        <f>+I18-H18</f>
        <v>0</v>
      </c>
      <c r="K18" s="109">
        <v>100</v>
      </c>
      <c r="L18" s="110">
        <v>100</v>
      </c>
      <c r="M18" s="111">
        <f>+L18-K18</f>
        <v>0</v>
      </c>
      <c r="N18" s="109">
        <v>100</v>
      </c>
      <c r="O18" s="110">
        <v>100</v>
      </c>
      <c r="P18" s="111">
        <f>+O18-N18</f>
        <v>0</v>
      </c>
      <c r="Q18" s="109">
        <v>100</v>
      </c>
      <c r="R18" s="110">
        <v>100</v>
      </c>
      <c r="S18" s="111">
        <f>+R18-Q18</f>
        <v>0</v>
      </c>
      <c r="T18" s="109">
        <v>100</v>
      </c>
      <c r="U18" s="110">
        <v>100</v>
      </c>
      <c r="V18" s="111">
        <f>+U18-T18</f>
        <v>0</v>
      </c>
      <c r="W18" s="109">
        <v>100</v>
      </c>
      <c r="X18" s="110">
        <v>100</v>
      </c>
      <c r="Y18" s="111">
        <f>+X18-W18</f>
        <v>0</v>
      </c>
      <c r="Z18" s="109">
        <v>100</v>
      </c>
      <c r="AA18" s="110">
        <v>100</v>
      </c>
      <c r="AB18" s="111">
        <f t="shared" si="12"/>
        <v>0</v>
      </c>
      <c r="AC18" s="109">
        <v>100</v>
      </c>
      <c r="AD18" s="110">
        <v>100</v>
      </c>
      <c r="AE18" s="111">
        <f t="shared" si="13"/>
        <v>0</v>
      </c>
      <c r="AF18" s="109">
        <v>100</v>
      </c>
      <c r="AG18" s="110">
        <v>100</v>
      </c>
      <c r="AH18" s="111">
        <f t="shared" si="14"/>
        <v>0</v>
      </c>
      <c r="AI18" s="109">
        <v>100</v>
      </c>
      <c r="AJ18" s="110"/>
      <c r="AK18" s="111">
        <f t="shared" si="15"/>
        <v>-100</v>
      </c>
      <c r="AL18" s="138">
        <f t="shared" si="16"/>
        <v>1100</v>
      </c>
      <c r="AM18" s="143" t="s">
        <v>473</v>
      </c>
      <c r="AN18" s="84">
        <v>100</v>
      </c>
      <c r="AO18" s="84">
        <v>100</v>
      </c>
      <c r="AP18" s="84">
        <v>100</v>
      </c>
      <c r="AQ18" s="84">
        <v>100</v>
      </c>
      <c r="AR18" s="84">
        <v>100</v>
      </c>
      <c r="AS18" s="84">
        <v>100</v>
      </c>
      <c r="AT18" s="84">
        <v>100</v>
      </c>
      <c r="AU18" s="84">
        <v>100</v>
      </c>
      <c r="AV18" s="84">
        <v>100</v>
      </c>
      <c r="AW18" s="84">
        <v>100</v>
      </c>
      <c r="AX18" s="84">
        <v>100</v>
      </c>
      <c r="AY18" s="84">
        <v>100</v>
      </c>
      <c r="AZ18" s="138">
        <f t="shared" si="17"/>
        <v>1200</v>
      </c>
      <c r="BA18" s="142"/>
      <c r="BB18" s="143" t="s">
        <v>473</v>
      </c>
      <c r="BC18" s="147">
        <v>100</v>
      </c>
      <c r="BD18" s="147">
        <v>100</v>
      </c>
      <c r="BE18" s="147">
        <v>100</v>
      </c>
      <c r="BF18" s="147">
        <v>100</v>
      </c>
      <c r="BG18" s="147">
        <v>100</v>
      </c>
      <c r="BH18" s="147">
        <v>100</v>
      </c>
      <c r="BI18" s="147">
        <v>100</v>
      </c>
      <c r="BJ18" s="147">
        <v>100</v>
      </c>
      <c r="BK18" s="147">
        <v>100</v>
      </c>
      <c r="BL18" s="147">
        <v>100</v>
      </c>
      <c r="BM18" s="147">
        <v>100</v>
      </c>
      <c r="BN18" s="147">
        <v>100</v>
      </c>
      <c r="BO18" s="139">
        <f t="shared" si="0"/>
        <v>1200</v>
      </c>
      <c r="BQ18" s="500" t="s">
        <v>917</v>
      </c>
      <c r="BR18" s="283" t="s">
        <v>942</v>
      </c>
      <c r="BS18" s="467">
        <v>12840.1</v>
      </c>
      <c r="BT18" s="84">
        <v>12840.1</v>
      </c>
      <c r="BU18" s="84">
        <v>12840.1</v>
      </c>
      <c r="BV18" s="84">
        <v>12840.1</v>
      </c>
      <c r="BW18" s="84">
        <v>12840.1</v>
      </c>
      <c r="BX18" s="84">
        <v>12840.1</v>
      </c>
      <c r="BY18" s="84">
        <v>12840.1</v>
      </c>
      <c r="BZ18" s="84">
        <v>12840.1</v>
      </c>
      <c r="CA18" s="84">
        <v>12840.1</v>
      </c>
      <c r="CB18" s="84">
        <v>12840.1</v>
      </c>
      <c r="CC18" s="84">
        <v>12840.1</v>
      </c>
      <c r="CD18" s="84">
        <v>12840.1</v>
      </c>
      <c r="CE18" s="139">
        <f t="shared" si="1"/>
        <v>154081.20000000004</v>
      </c>
      <c r="CF18" s="142"/>
      <c r="CG18" s="572">
        <f t="shared" si="38"/>
        <v>12840.1</v>
      </c>
      <c r="CH18" s="572">
        <f t="shared" si="38"/>
        <v>12840.1</v>
      </c>
      <c r="CI18" s="84">
        <f t="shared" si="40"/>
        <v>12840.1</v>
      </c>
      <c r="CJ18" s="84">
        <f t="shared" si="41"/>
        <v>12840.1</v>
      </c>
      <c r="CK18" s="84">
        <f t="shared" si="41"/>
        <v>12840.1</v>
      </c>
      <c r="CL18" s="572">
        <f t="shared" si="39"/>
        <v>12840.1</v>
      </c>
      <c r="CM18" s="84">
        <v>12840.1</v>
      </c>
      <c r="CN18" s="84">
        <v>12840.1</v>
      </c>
      <c r="CO18" s="84">
        <v>12840.1</v>
      </c>
      <c r="CP18" s="84">
        <v>12840.1</v>
      </c>
      <c r="CQ18" s="84">
        <v>12840.1</v>
      </c>
      <c r="CR18" s="84">
        <v>12840.1</v>
      </c>
      <c r="CS18" s="139">
        <f t="shared" si="2"/>
        <v>154081.20000000004</v>
      </c>
      <c r="CU18" s="500" t="s">
        <v>917</v>
      </c>
      <c r="CV18" s="285" t="s">
        <v>474</v>
      </c>
      <c r="CW18" s="84">
        <v>13295.48</v>
      </c>
      <c r="CX18" s="84">
        <f>CW18</f>
        <v>13295.48</v>
      </c>
      <c r="CY18" s="84">
        <f t="shared" ref="CY18:DH18" si="42">CX18</f>
        <v>13295.48</v>
      </c>
      <c r="CZ18" s="84">
        <f t="shared" si="42"/>
        <v>13295.48</v>
      </c>
      <c r="DA18" s="84">
        <f t="shared" si="42"/>
        <v>13295.48</v>
      </c>
      <c r="DB18" s="84">
        <f t="shared" si="42"/>
        <v>13295.48</v>
      </c>
      <c r="DC18" s="84">
        <f t="shared" si="42"/>
        <v>13295.48</v>
      </c>
      <c r="DD18" s="84">
        <f t="shared" si="42"/>
        <v>13295.48</v>
      </c>
      <c r="DE18" s="84">
        <f t="shared" si="42"/>
        <v>13295.48</v>
      </c>
      <c r="DF18" s="84">
        <f t="shared" si="42"/>
        <v>13295.48</v>
      </c>
      <c r="DG18" s="84">
        <f t="shared" si="42"/>
        <v>13295.48</v>
      </c>
      <c r="DH18" s="84">
        <f t="shared" si="42"/>
        <v>13295.48</v>
      </c>
      <c r="DI18" s="139">
        <f t="shared" si="19"/>
        <v>159545.76</v>
      </c>
      <c r="DJ18" s="142"/>
      <c r="DK18" s="675">
        <f t="shared" si="20"/>
        <v>13295.48</v>
      </c>
      <c r="DL18" s="572">
        <f t="shared" si="21"/>
        <v>13295.48</v>
      </c>
      <c r="DM18" s="572">
        <f t="shared" si="22"/>
        <v>13295.48</v>
      </c>
      <c r="DN18" s="572">
        <f t="shared" si="23"/>
        <v>13295.48</v>
      </c>
      <c r="DO18" s="572">
        <f t="shared" si="24"/>
        <v>13295.48</v>
      </c>
      <c r="DP18" s="572">
        <f t="shared" si="25"/>
        <v>13295.48</v>
      </c>
      <c r="DQ18" s="572">
        <f t="shared" si="26"/>
        <v>13295.48</v>
      </c>
      <c r="DR18" s="572">
        <f t="shared" si="27"/>
        <v>13295.48</v>
      </c>
      <c r="DS18" s="572">
        <f t="shared" si="28"/>
        <v>13295.48</v>
      </c>
      <c r="DT18" s="572">
        <f t="shared" si="29"/>
        <v>13295.48</v>
      </c>
      <c r="DU18" s="572">
        <f t="shared" si="30"/>
        <v>13295.48</v>
      </c>
      <c r="DV18" s="572">
        <f t="shared" si="31"/>
        <v>13295.48</v>
      </c>
      <c r="DW18" s="139">
        <f t="shared" si="32"/>
        <v>159545.76</v>
      </c>
    </row>
    <row r="19" spans="1:127" x14ac:dyDescent="0.2">
      <c r="A19" s="137" t="s">
        <v>491</v>
      </c>
      <c r="B19" s="109"/>
      <c r="C19" s="110"/>
      <c r="D19" s="111"/>
      <c r="E19" s="109"/>
      <c r="F19" s="110"/>
      <c r="G19" s="111"/>
      <c r="H19" s="109"/>
      <c r="I19" s="110"/>
      <c r="J19" s="111"/>
      <c r="K19" s="109"/>
      <c r="L19" s="110"/>
      <c r="M19" s="111"/>
      <c r="N19" s="109"/>
      <c r="O19" s="110"/>
      <c r="P19" s="111"/>
      <c r="Q19" s="109"/>
      <c r="R19" s="110"/>
      <c r="S19" s="111"/>
      <c r="T19" s="109"/>
      <c r="U19" s="110"/>
      <c r="V19" s="111"/>
      <c r="W19" s="109"/>
      <c r="X19" s="110"/>
      <c r="Y19" s="111"/>
      <c r="Z19" s="109"/>
      <c r="AA19" s="110">
        <v>11937</v>
      </c>
      <c r="AB19" s="111">
        <f t="shared" si="12"/>
        <v>11937</v>
      </c>
      <c r="AC19" s="109"/>
      <c r="AD19" s="52">
        <v>11937</v>
      </c>
      <c r="AE19" s="111">
        <f t="shared" si="13"/>
        <v>11937</v>
      </c>
      <c r="AF19" s="109"/>
      <c r="AG19" s="52">
        <v>11937</v>
      </c>
      <c r="AH19" s="111">
        <f t="shared" si="14"/>
        <v>11937</v>
      </c>
      <c r="AI19" s="113"/>
      <c r="AJ19" s="52"/>
      <c r="AK19" s="111">
        <f t="shared" si="15"/>
        <v>0</v>
      </c>
      <c r="AL19" s="138">
        <f t="shared" si="16"/>
        <v>35811</v>
      </c>
      <c r="AM19" s="143" t="s">
        <v>491</v>
      </c>
      <c r="AN19" s="84">
        <v>11876.67</v>
      </c>
      <c r="AO19" s="84">
        <v>11876.67</v>
      </c>
      <c r="AP19" s="84">
        <v>11876.67</v>
      </c>
      <c r="AQ19" s="84">
        <v>11876.67</v>
      </c>
      <c r="AR19" s="84">
        <v>11876.67</v>
      </c>
      <c r="AS19" s="84">
        <v>11876.67</v>
      </c>
      <c r="AT19" s="84">
        <v>11876.67</v>
      </c>
      <c r="AU19" s="84">
        <v>11876.67</v>
      </c>
      <c r="AV19" s="84">
        <v>11876.67</v>
      </c>
      <c r="AW19" s="84">
        <v>11876.67</v>
      </c>
      <c r="AX19" s="84">
        <v>11876.67</v>
      </c>
      <c r="AY19" s="84">
        <v>11876.67</v>
      </c>
      <c r="AZ19" s="138">
        <f t="shared" si="17"/>
        <v>142520.04</v>
      </c>
      <c r="BA19" s="142"/>
      <c r="BB19" s="644" t="s">
        <v>491</v>
      </c>
      <c r="BC19" s="645"/>
      <c r="BD19" s="145"/>
      <c r="BE19" s="145"/>
      <c r="BF19" s="145"/>
      <c r="BG19" s="152"/>
      <c r="BH19" s="145"/>
      <c r="BI19" s="145"/>
      <c r="BJ19" s="145"/>
      <c r="BK19" s="145"/>
      <c r="BL19" s="145"/>
      <c r="BM19" s="145"/>
      <c r="BN19" s="145"/>
      <c r="BO19" s="139">
        <f t="shared" si="0"/>
        <v>0</v>
      </c>
      <c r="BQ19" s="501" t="s">
        <v>917</v>
      </c>
      <c r="BR19" s="284" t="s">
        <v>495</v>
      </c>
      <c r="BS19" s="467">
        <v>0</v>
      </c>
      <c r="BT19" s="84">
        <v>0</v>
      </c>
      <c r="BU19" s="84">
        <v>0</v>
      </c>
      <c r="BV19" s="84"/>
      <c r="BW19" s="84">
        <v>0</v>
      </c>
      <c r="BX19" s="84">
        <v>0</v>
      </c>
      <c r="BY19" s="84">
        <v>0</v>
      </c>
      <c r="BZ19" s="84">
        <v>0</v>
      </c>
      <c r="CA19" s="84">
        <v>0</v>
      </c>
      <c r="CB19" s="84">
        <v>0</v>
      </c>
      <c r="CC19" s="84">
        <v>0</v>
      </c>
      <c r="CD19" s="84">
        <v>0</v>
      </c>
      <c r="CE19" s="139">
        <f t="shared" si="1"/>
        <v>0</v>
      </c>
      <c r="CF19" s="142"/>
      <c r="CG19" s="572">
        <f t="shared" si="38"/>
        <v>0</v>
      </c>
      <c r="CH19" s="572">
        <f t="shared" si="38"/>
        <v>0</v>
      </c>
      <c r="CI19" s="84">
        <f t="shared" si="40"/>
        <v>0</v>
      </c>
      <c r="CJ19" s="84">
        <f t="shared" si="41"/>
        <v>0</v>
      </c>
      <c r="CK19" s="84">
        <f t="shared" si="41"/>
        <v>0</v>
      </c>
      <c r="CL19" s="572">
        <f t="shared" si="39"/>
        <v>0</v>
      </c>
      <c r="CM19" s="84">
        <v>0</v>
      </c>
      <c r="CN19" s="84">
        <v>0</v>
      </c>
      <c r="CO19" s="84">
        <v>0</v>
      </c>
      <c r="CP19" s="84">
        <v>0</v>
      </c>
      <c r="CQ19" s="84">
        <v>0</v>
      </c>
      <c r="CR19" s="84">
        <v>0</v>
      </c>
      <c r="CS19" s="139">
        <f t="shared" si="2"/>
        <v>0</v>
      </c>
      <c r="CU19" s="501" t="s">
        <v>917</v>
      </c>
      <c r="CV19" s="283" t="s">
        <v>942</v>
      </c>
      <c r="CW19" s="84">
        <v>13321.6</v>
      </c>
      <c r="CX19" s="84">
        <f>CW19</f>
        <v>13321.6</v>
      </c>
      <c r="CY19" s="84">
        <f t="shared" ref="CY19:DH19" si="43">CX19</f>
        <v>13321.6</v>
      </c>
      <c r="CZ19" s="84">
        <f t="shared" si="43"/>
        <v>13321.6</v>
      </c>
      <c r="DA19" s="84">
        <f t="shared" si="43"/>
        <v>13321.6</v>
      </c>
      <c r="DB19" s="84">
        <f t="shared" si="43"/>
        <v>13321.6</v>
      </c>
      <c r="DC19" s="84">
        <f t="shared" si="43"/>
        <v>13321.6</v>
      </c>
      <c r="DD19" s="84">
        <f t="shared" si="43"/>
        <v>13321.6</v>
      </c>
      <c r="DE19" s="84">
        <f t="shared" si="43"/>
        <v>13321.6</v>
      </c>
      <c r="DF19" s="84">
        <f t="shared" si="43"/>
        <v>13321.6</v>
      </c>
      <c r="DG19" s="84">
        <f t="shared" si="43"/>
        <v>13321.6</v>
      </c>
      <c r="DH19" s="84">
        <f t="shared" si="43"/>
        <v>13321.6</v>
      </c>
      <c r="DI19" s="139">
        <f t="shared" si="19"/>
        <v>159859.20000000004</v>
      </c>
      <c r="DJ19" s="142"/>
      <c r="DK19" s="675">
        <f t="shared" si="20"/>
        <v>13321.6</v>
      </c>
      <c r="DL19" s="572">
        <f t="shared" si="21"/>
        <v>13321.6</v>
      </c>
      <c r="DM19" s="572">
        <f t="shared" si="22"/>
        <v>13321.6</v>
      </c>
      <c r="DN19" s="572">
        <f t="shared" si="23"/>
        <v>13321.6</v>
      </c>
      <c r="DO19" s="572">
        <f t="shared" si="24"/>
        <v>13321.6</v>
      </c>
      <c r="DP19" s="572">
        <f t="shared" si="25"/>
        <v>13321.6</v>
      </c>
      <c r="DQ19" s="572">
        <f t="shared" si="26"/>
        <v>13321.6</v>
      </c>
      <c r="DR19" s="572">
        <f t="shared" si="27"/>
        <v>13321.6</v>
      </c>
      <c r="DS19" s="572">
        <f t="shared" si="28"/>
        <v>13321.6</v>
      </c>
      <c r="DT19" s="572">
        <f t="shared" si="29"/>
        <v>13321.6</v>
      </c>
      <c r="DU19" s="572">
        <f t="shared" si="30"/>
        <v>13321.6</v>
      </c>
      <c r="DV19" s="572">
        <f t="shared" si="31"/>
        <v>13321.6</v>
      </c>
      <c r="DW19" s="139">
        <f t="shared" si="32"/>
        <v>159859.20000000004</v>
      </c>
    </row>
    <row r="20" spans="1:127" x14ac:dyDescent="0.2">
      <c r="A20" s="137" t="s">
        <v>474</v>
      </c>
      <c r="B20" s="109">
        <v>5938.33</v>
      </c>
      <c r="C20" s="110">
        <f>600+8810.38</f>
        <v>9410.3799999999992</v>
      </c>
      <c r="D20" s="111">
        <f>+C20-B20</f>
        <v>3472.0499999999993</v>
      </c>
      <c r="E20" s="109">
        <v>5938.33</v>
      </c>
      <c r="F20" s="110">
        <v>8441.4699999999993</v>
      </c>
      <c r="G20" s="111">
        <f>+F20-E20</f>
        <v>2503.1399999999994</v>
      </c>
      <c r="H20" s="109">
        <v>5938.33</v>
      </c>
      <c r="I20" s="110">
        <v>11936.67</v>
      </c>
      <c r="J20" s="111">
        <f>+I20-H20</f>
        <v>5998.34</v>
      </c>
      <c r="K20" s="109">
        <v>5938.33</v>
      </c>
      <c r="L20" s="110">
        <v>11936.67</v>
      </c>
      <c r="M20" s="111">
        <f>+L20-K20</f>
        <v>5998.34</v>
      </c>
      <c r="N20" s="109">
        <v>11876.666666666666</v>
      </c>
      <c r="O20" s="110">
        <v>11937</v>
      </c>
      <c r="P20" s="111">
        <f>+O20-N20</f>
        <v>60.33333333333394</v>
      </c>
      <c r="Q20" s="109">
        <v>11876.666666666666</v>
      </c>
      <c r="R20" s="110">
        <v>11937</v>
      </c>
      <c r="S20" s="111">
        <f>+R20-Q20</f>
        <v>60.33333333333394</v>
      </c>
      <c r="T20" s="109">
        <v>11876.666666666666</v>
      </c>
      <c r="U20" s="110">
        <v>11937</v>
      </c>
      <c r="V20" s="111">
        <f>+U20-T20</f>
        <v>60.33333333333394</v>
      </c>
      <c r="W20" s="109">
        <v>11876.666666666666</v>
      </c>
      <c r="X20" s="110">
        <v>11937</v>
      </c>
      <c r="Y20" s="111">
        <f>+X20-W20</f>
        <v>60.33333333333394</v>
      </c>
      <c r="Z20" s="109">
        <v>11876.666666666666</v>
      </c>
      <c r="AA20" s="110">
        <v>12037</v>
      </c>
      <c r="AB20" s="111">
        <f t="shared" si="12"/>
        <v>160.33333333333394</v>
      </c>
      <c r="AC20" s="109">
        <v>11876.666666666666</v>
      </c>
      <c r="AD20" s="110">
        <v>11937</v>
      </c>
      <c r="AE20" s="111">
        <f t="shared" si="13"/>
        <v>60.33333333333394</v>
      </c>
      <c r="AF20" s="109">
        <v>11876.666666666666</v>
      </c>
      <c r="AG20" s="110">
        <v>11937</v>
      </c>
      <c r="AH20" s="111">
        <f t="shared" si="14"/>
        <v>60.33333333333394</v>
      </c>
      <c r="AI20" s="109">
        <v>11876.666666666666</v>
      </c>
      <c r="AJ20" s="110"/>
      <c r="AK20" s="111">
        <f t="shared" si="15"/>
        <v>-11876.666666666666</v>
      </c>
      <c r="AL20" s="138">
        <f t="shared" si="16"/>
        <v>125384.19</v>
      </c>
      <c r="AM20" s="143" t="s">
        <v>474</v>
      </c>
      <c r="AN20" s="84">
        <v>11876.67</v>
      </c>
      <c r="AO20" s="84">
        <v>11876.67</v>
      </c>
      <c r="AP20" s="84">
        <v>11876.67</v>
      </c>
      <c r="AQ20" s="84">
        <v>11876.67</v>
      </c>
      <c r="AR20" s="84">
        <v>11876.67</v>
      </c>
      <c r="AS20" s="84">
        <v>11876.67</v>
      </c>
      <c r="AT20" s="84">
        <v>11876.67</v>
      </c>
      <c r="AU20" s="84">
        <v>11876.67</v>
      </c>
      <c r="AV20" s="84">
        <v>11876.67</v>
      </c>
      <c r="AW20" s="84">
        <v>11876.67</v>
      </c>
      <c r="AX20" s="84">
        <v>11876.67</v>
      </c>
      <c r="AY20" s="84">
        <v>11876.67</v>
      </c>
      <c r="AZ20" s="138">
        <f t="shared" si="17"/>
        <v>142520.04</v>
      </c>
      <c r="BA20" s="142"/>
      <c r="BB20" s="143" t="s">
        <v>474</v>
      </c>
      <c r="BC20" s="84">
        <v>11876.67</v>
      </c>
      <c r="BD20" s="84">
        <v>11876.67</v>
      </c>
      <c r="BE20" s="147">
        <v>12351.74</v>
      </c>
      <c r="BF20" s="147">
        <v>12351.74</v>
      </c>
      <c r="BG20" s="147">
        <v>12351.74</v>
      </c>
      <c r="BH20" s="147">
        <v>12351.74</v>
      </c>
      <c r="BI20" s="147">
        <v>12351.74</v>
      </c>
      <c r="BJ20" s="147">
        <v>12351.74</v>
      </c>
      <c r="BK20" s="147">
        <v>12351.74</v>
      </c>
      <c r="BL20" s="147">
        <v>12351.74</v>
      </c>
      <c r="BM20" s="147">
        <v>12351.74</v>
      </c>
      <c r="BN20" s="154">
        <v>12351.74</v>
      </c>
      <c r="BO20" s="139">
        <f t="shared" si="0"/>
        <v>147270.74000000002</v>
      </c>
      <c r="BQ20" s="500" t="s">
        <v>917</v>
      </c>
      <c r="BR20" s="283" t="s">
        <v>476</v>
      </c>
      <c r="BS20" s="467">
        <v>0</v>
      </c>
      <c r="BT20" s="84">
        <v>340</v>
      </c>
      <c r="BU20" s="84">
        <v>0</v>
      </c>
      <c r="BV20" s="84">
        <v>340</v>
      </c>
      <c r="BW20" s="84">
        <v>0</v>
      </c>
      <c r="BX20" s="84">
        <v>340</v>
      </c>
      <c r="BY20" s="84">
        <v>0</v>
      </c>
      <c r="BZ20" s="84">
        <v>340</v>
      </c>
      <c r="CA20" s="84">
        <v>0</v>
      </c>
      <c r="CB20" s="84">
        <v>340</v>
      </c>
      <c r="CC20" s="84">
        <v>0</v>
      </c>
      <c r="CD20" s="84">
        <v>340</v>
      </c>
      <c r="CE20" s="139">
        <f t="shared" si="1"/>
        <v>2040</v>
      </c>
      <c r="CF20" s="142"/>
      <c r="CG20" s="572"/>
      <c r="CH20" s="572">
        <v>1225</v>
      </c>
      <c r="CI20" s="84">
        <f t="shared" si="40"/>
        <v>0</v>
      </c>
      <c r="CJ20" s="84">
        <v>340</v>
      </c>
      <c r="CK20" s="84">
        <v>2562.5</v>
      </c>
      <c r="CL20" s="572">
        <v>0</v>
      </c>
      <c r="CM20" s="84">
        <v>0</v>
      </c>
      <c r="CN20" s="84">
        <v>0</v>
      </c>
      <c r="CO20" s="84">
        <v>680</v>
      </c>
      <c r="CP20" s="84">
        <v>0</v>
      </c>
      <c r="CQ20" s="84">
        <v>0</v>
      </c>
      <c r="CR20" s="84">
        <v>340</v>
      </c>
      <c r="CS20" s="139">
        <f t="shared" si="2"/>
        <v>5147.5</v>
      </c>
      <c r="CU20" s="500" t="s">
        <v>917</v>
      </c>
      <c r="CV20" s="285" t="s">
        <v>495</v>
      </c>
      <c r="CW20" s="84" t="s">
        <v>993</v>
      </c>
      <c r="CX20" s="84" t="s">
        <v>1005</v>
      </c>
      <c r="CY20" s="84" t="s">
        <v>1005</v>
      </c>
      <c r="CZ20" s="84" t="s">
        <v>1005</v>
      </c>
      <c r="DA20" s="84" t="s">
        <v>1005</v>
      </c>
      <c r="DB20" s="84" t="s">
        <v>1005</v>
      </c>
      <c r="DC20" s="84" t="s">
        <v>1005</v>
      </c>
      <c r="DD20" s="84" t="s">
        <v>1005</v>
      </c>
      <c r="DE20" s="84" t="s">
        <v>1005</v>
      </c>
      <c r="DF20" s="84" t="s">
        <v>1005</v>
      </c>
      <c r="DG20" s="84" t="s">
        <v>1005</v>
      </c>
      <c r="DH20" s="84" t="s">
        <v>1005</v>
      </c>
      <c r="DI20" s="139">
        <f t="shared" si="19"/>
        <v>0</v>
      </c>
      <c r="DJ20" s="142"/>
      <c r="DK20" s="572" t="str">
        <f t="shared" si="20"/>
        <v xml:space="preserve">$-   </v>
      </c>
      <c r="DL20" s="572" t="str">
        <f t="shared" si="21"/>
        <v xml:space="preserve"> $-   </v>
      </c>
      <c r="DM20" s="572" t="str">
        <f t="shared" si="22"/>
        <v xml:space="preserve"> $-   </v>
      </c>
      <c r="DN20" s="572" t="str">
        <f t="shared" si="23"/>
        <v xml:space="preserve"> $-   </v>
      </c>
      <c r="DO20" s="572" t="str">
        <f t="shared" si="24"/>
        <v xml:space="preserve"> $-   </v>
      </c>
      <c r="DP20" s="572" t="str">
        <f t="shared" si="25"/>
        <v xml:space="preserve"> $-   </v>
      </c>
      <c r="DQ20" s="572" t="str">
        <f t="shared" si="26"/>
        <v xml:space="preserve"> $-   </v>
      </c>
      <c r="DR20" s="572" t="str">
        <f t="shared" si="27"/>
        <v xml:space="preserve"> $-   </v>
      </c>
      <c r="DS20" s="572" t="str">
        <f t="shared" si="28"/>
        <v xml:space="preserve"> $-   </v>
      </c>
      <c r="DT20" s="572" t="str">
        <f t="shared" si="29"/>
        <v xml:space="preserve"> $-   </v>
      </c>
      <c r="DU20" s="572" t="str">
        <f t="shared" si="30"/>
        <v xml:space="preserve"> $-   </v>
      </c>
      <c r="DV20" s="572" t="str">
        <f t="shared" si="31"/>
        <v xml:space="preserve"> $-   </v>
      </c>
      <c r="DW20" s="139">
        <f t="shared" si="32"/>
        <v>0</v>
      </c>
    </row>
    <row r="21" spans="1:127" x14ac:dyDescent="0.2">
      <c r="A21" s="137" t="s">
        <v>475</v>
      </c>
      <c r="B21" s="109">
        <v>11900</v>
      </c>
      <c r="C21" s="110">
        <v>11960</v>
      </c>
      <c r="D21" s="111">
        <f>+C21-B21</f>
        <v>60</v>
      </c>
      <c r="E21" s="109">
        <v>11900</v>
      </c>
      <c r="F21" s="110">
        <v>11960</v>
      </c>
      <c r="G21" s="111">
        <f>+F21-E21</f>
        <v>60</v>
      </c>
      <c r="H21" s="109">
        <v>11900</v>
      </c>
      <c r="I21" s="110">
        <v>11960</v>
      </c>
      <c r="J21" s="111">
        <f>+I21-H21</f>
        <v>60</v>
      </c>
      <c r="K21" s="109">
        <v>11900</v>
      </c>
      <c r="L21" s="110">
        <v>11960</v>
      </c>
      <c r="M21" s="111">
        <f>+L21-K21</f>
        <v>60</v>
      </c>
      <c r="N21" s="109">
        <v>11900</v>
      </c>
      <c r="O21" s="110">
        <v>12010</v>
      </c>
      <c r="P21" s="111">
        <f>+O21-N21</f>
        <v>110</v>
      </c>
      <c r="Q21" s="109">
        <v>11900</v>
      </c>
      <c r="R21" s="110">
        <v>11960</v>
      </c>
      <c r="S21" s="111">
        <f>+R21-Q21</f>
        <v>60</v>
      </c>
      <c r="T21" s="109">
        <v>11900</v>
      </c>
      <c r="U21" s="110">
        <v>11960</v>
      </c>
      <c r="V21" s="111">
        <f>+U21-T21</f>
        <v>60</v>
      </c>
      <c r="W21" s="109">
        <v>11900</v>
      </c>
      <c r="X21" s="110">
        <v>11960</v>
      </c>
      <c r="Y21" s="111">
        <f>+X21-W21</f>
        <v>60</v>
      </c>
      <c r="Z21" s="109">
        <v>11900</v>
      </c>
      <c r="AA21" s="110">
        <v>11960</v>
      </c>
      <c r="AB21" s="111">
        <f t="shared" si="12"/>
        <v>60</v>
      </c>
      <c r="AC21" s="109">
        <v>11900</v>
      </c>
      <c r="AD21" s="110">
        <v>11960</v>
      </c>
      <c r="AE21" s="111">
        <f t="shared" si="13"/>
        <v>60</v>
      </c>
      <c r="AF21" s="109">
        <v>11900</v>
      </c>
      <c r="AG21" s="110">
        <v>11960</v>
      </c>
      <c r="AH21" s="111">
        <f t="shared" si="14"/>
        <v>60</v>
      </c>
      <c r="AI21" s="109">
        <v>11900</v>
      </c>
      <c r="AJ21" s="110"/>
      <c r="AK21" s="111">
        <f t="shared" si="15"/>
        <v>-11900</v>
      </c>
      <c r="AL21" s="138">
        <f t="shared" si="16"/>
        <v>131610</v>
      </c>
      <c r="AM21" s="143" t="s">
        <v>475</v>
      </c>
      <c r="AN21" s="84">
        <v>11900</v>
      </c>
      <c r="AO21" s="84">
        <v>11900</v>
      </c>
      <c r="AP21" s="84">
        <v>11900</v>
      </c>
      <c r="AQ21" s="84">
        <v>11900</v>
      </c>
      <c r="AR21" s="84">
        <v>11900</v>
      </c>
      <c r="AS21" s="84">
        <v>11900</v>
      </c>
      <c r="AT21" s="84">
        <v>11900</v>
      </c>
      <c r="AU21" s="84">
        <v>11900</v>
      </c>
      <c r="AV21" s="84">
        <v>11900</v>
      </c>
      <c r="AW21" s="84">
        <v>11900</v>
      </c>
      <c r="AX21" s="84">
        <v>11900</v>
      </c>
      <c r="AY21" s="84">
        <v>11900</v>
      </c>
      <c r="AZ21" s="138">
        <f t="shared" si="17"/>
        <v>142800</v>
      </c>
      <c r="BA21" s="142"/>
      <c r="BB21" s="146" t="s">
        <v>475</v>
      </c>
      <c r="BC21" s="114">
        <v>11900</v>
      </c>
      <c r="BD21" s="84">
        <v>11900</v>
      </c>
      <c r="BE21" s="147">
        <v>12376</v>
      </c>
      <c r="BF21" s="147">
        <v>12376</v>
      </c>
      <c r="BG21" s="147">
        <v>12376</v>
      </c>
      <c r="BH21" s="147">
        <v>12376</v>
      </c>
      <c r="BI21" s="147">
        <v>12376</v>
      </c>
      <c r="BJ21" s="147">
        <v>12376</v>
      </c>
      <c r="BK21" s="147">
        <v>12376</v>
      </c>
      <c r="BL21" s="147">
        <v>12376</v>
      </c>
      <c r="BM21" s="147">
        <v>12376</v>
      </c>
      <c r="BN21" s="148">
        <v>12376</v>
      </c>
      <c r="BO21" s="139">
        <f t="shared" si="0"/>
        <v>147560</v>
      </c>
      <c r="BQ21" s="501" t="s">
        <v>917</v>
      </c>
      <c r="BR21" s="283" t="s">
        <v>477</v>
      </c>
      <c r="BS21" s="467">
        <v>0</v>
      </c>
      <c r="BT21" s="84">
        <v>0</v>
      </c>
      <c r="BU21" s="84">
        <v>0</v>
      </c>
      <c r="BV21" s="84">
        <v>0</v>
      </c>
      <c r="BW21" s="84">
        <v>0</v>
      </c>
      <c r="BX21" s="84">
        <v>0</v>
      </c>
      <c r="BY21" s="84">
        <v>0</v>
      </c>
      <c r="BZ21" s="84">
        <v>0</v>
      </c>
      <c r="CA21" s="84">
        <v>0</v>
      </c>
      <c r="CB21" s="84">
        <v>0</v>
      </c>
      <c r="CC21" s="84">
        <v>0</v>
      </c>
      <c r="CD21" s="84">
        <v>0</v>
      </c>
      <c r="CE21" s="139">
        <f t="shared" si="1"/>
        <v>0</v>
      </c>
      <c r="CF21" s="142"/>
      <c r="CG21" s="572">
        <f t="shared" ref="CG21:CH28" si="44">BS21</f>
        <v>0</v>
      </c>
      <c r="CH21" s="572">
        <f t="shared" si="44"/>
        <v>0</v>
      </c>
      <c r="CI21" s="84">
        <f t="shared" si="40"/>
        <v>0</v>
      </c>
      <c r="CJ21" s="84">
        <f t="shared" ref="CJ21:CL22" si="45">BV21</f>
        <v>0</v>
      </c>
      <c r="CK21" s="84">
        <f t="shared" si="45"/>
        <v>0</v>
      </c>
      <c r="CL21" s="572">
        <f t="shared" si="45"/>
        <v>0</v>
      </c>
      <c r="CM21" s="84">
        <v>0</v>
      </c>
      <c r="CN21" s="84">
        <v>0</v>
      </c>
      <c r="CO21" s="84">
        <v>0</v>
      </c>
      <c r="CP21" s="84">
        <v>0</v>
      </c>
      <c r="CQ21" s="84">
        <v>0</v>
      </c>
      <c r="CR21" s="84">
        <v>0</v>
      </c>
      <c r="CS21" s="139">
        <f t="shared" si="2"/>
        <v>0</v>
      </c>
      <c r="CU21" s="501" t="s">
        <v>917</v>
      </c>
      <c r="CV21" s="283" t="s">
        <v>476</v>
      </c>
      <c r="CW21" s="84">
        <v>416.67</v>
      </c>
      <c r="CX21" s="84">
        <v>416.67</v>
      </c>
      <c r="CY21" s="84">
        <v>416.67</v>
      </c>
      <c r="CZ21" s="84">
        <v>416.67</v>
      </c>
      <c r="DA21" s="84">
        <v>416.67</v>
      </c>
      <c r="DB21" s="84">
        <v>416.67</v>
      </c>
      <c r="DC21" s="84">
        <v>416.67</v>
      </c>
      <c r="DD21" s="84">
        <v>416.67</v>
      </c>
      <c r="DE21" s="84">
        <v>416.67</v>
      </c>
      <c r="DF21" s="84">
        <v>416.67</v>
      </c>
      <c r="DG21" s="84">
        <v>416.67</v>
      </c>
      <c r="DH21" s="84">
        <v>416.67</v>
      </c>
      <c r="DI21" s="139">
        <f t="shared" si="19"/>
        <v>5000.04</v>
      </c>
      <c r="DJ21" s="142"/>
      <c r="DK21" s="572">
        <v>0</v>
      </c>
      <c r="DL21" s="572">
        <f t="shared" si="21"/>
        <v>416.67</v>
      </c>
      <c r="DM21" s="572">
        <f t="shared" si="22"/>
        <v>416.67</v>
      </c>
      <c r="DN21" s="572">
        <f t="shared" si="23"/>
        <v>416.67</v>
      </c>
      <c r="DO21" s="572">
        <f t="shared" si="24"/>
        <v>416.67</v>
      </c>
      <c r="DP21" s="572">
        <f t="shared" si="25"/>
        <v>416.67</v>
      </c>
      <c r="DQ21" s="572">
        <f t="shared" si="26"/>
        <v>416.67</v>
      </c>
      <c r="DR21" s="572">
        <f t="shared" si="27"/>
        <v>416.67</v>
      </c>
      <c r="DS21" s="572">
        <f t="shared" si="28"/>
        <v>416.67</v>
      </c>
      <c r="DT21" s="572">
        <f t="shared" si="29"/>
        <v>416.67</v>
      </c>
      <c r="DU21" s="572">
        <f t="shared" si="30"/>
        <v>416.67</v>
      </c>
      <c r="DV21" s="572">
        <f t="shared" si="31"/>
        <v>416.67</v>
      </c>
      <c r="DW21" s="139">
        <f t="shared" si="32"/>
        <v>4583.37</v>
      </c>
    </row>
    <row r="22" spans="1:127" x14ac:dyDescent="0.2">
      <c r="A22" s="137" t="s">
        <v>476</v>
      </c>
      <c r="B22" s="109"/>
      <c r="C22" s="110"/>
      <c r="D22" s="111"/>
      <c r="E22" s="109"/>
      <c r="F22" s="110"/>
      <c r="G22" s="111"/>
      <c r="H22" s="109"/>
      <c r="I22" s="110"/>
      <c r="J22" s="111"/>
      <c r="K22" s="109"/>
      <c r="L22" s="110"/>
      <c r="M22" s="111"/>
      <c r="N22" s="109"/>
      <c r="O22" s="110"/>
      <c r="P22" s="111"/>
      <c r="Q22" s="109"/>
      <c r="R22" s="110"/>
      <c r="S22" s="111"/>
      <c r="T22" s="109"/>
      <c r="U22" s="110"/>
      <c r="V22" s="111"/>
      <c r="W22" s="109"/>
      <c r="X22" s="110"/>
      <c r="Y22" s="111"/>
      <c r="Z22" s="109"/>
      <c r="AA22" s="110">
        <v>1340</v>
      </c>
      <c r="AB22" s="111">
        <f t="shared" si="12"/>
        <v>1340</v>
      </c>
      <c r="AC22" s="109"/>
      <c r="AD22" s="110">
        <v>17150</v>
      </c>
      <c r="AE22" s="111">
        <f t="shared" si="13"/>
        <v>17150</v>
      </c>
      <c r="AF22" s="109"/>
      <c r="AG22" s="110"/>
      <c r="AH22" s="111">
        <f t="shared" si="14"/>
        <v>0</v>
      </c>
      <c r="AI22" s="109"/>
      <c r="AJ22" s="110"/>
      <c r="AK22" s="111">
        <f t="shared" si="15"/>
        <v>0</v>
      </c>
      <c r="AL22" s="138">
        <f t="shared" si="16"/>
        <v>18490</v>
      </c>
      <c r="AM22" s="143" t="s">
        <v>476</v>
      </c>
      <c r="AN22" s="84">
        <v>300</v>
      </c>
      <c r="AO22" s="84">
        <v>300</v>
      </c>
      <c r="AP22" s="84">
        <v>300</v>
      </c>
      <c r="AQ22" s="84">
        <v>300</v>
      </c>
      <c r="AR22" s="84">
        <v>300</v>
      </c>
      <c r="AS22" s="84">
        <v>300</v>
      </c>
      <c r="AT22" s="84">
        <v>300</v>
      </c>
      <c r="AU22" s="84">
        <v>300</v>
      </c>
      <c r="AV22" s="84">
        <v>300</v>
      </c>
      <c r="AW22" s="84">
        <v>300</v>
      </c>
      <c r="AX22" s="84">
        <v>300</v>
      </c>
      <c r="AY22" s="84">
        <v>300</v>
      </c>
      <c r="AZ22" s="138">
        <f t="shared" si="17"/>
        <v>3600</v>
      </c>
      <c r="BA22" s="142"/>
      <c r="BB22" s="143" t="s">
        <v>476</v>
      </c>
      <c r="BC22" s="84">
        <v>0</v>
      </c>
      <c r="BD22" s="84">
        <v>0</v>
      </c>
      <c r="BE22" s="147">
        <v>680</v>
      </c>
      <c r="BF22" s="84">
        <v>0</v>
      </c>
      <c r="BG22" s="84">
        <v>0</v>
      </c>
      <c r="BH22" s="147">
        <v>680</v>
      </c>
      <c r="BI22" s="84">
        <v>0</v>
      </c>
      <c r="BJ22" s="84">
        <v>0</v>
      </c>
      <c r="BK22" s="147">
        <v>680</v>
      </c>
      <c r="BL22" s="84">
        <v>0</v>
      </c>
      <c r="BM22" s="84">
        <v>0</v>
      </c>
      <c r="BN22" s="147">
        <v>680</v>
      </c>
      <c r="BO22" s="139">
        <f t="shared" si="0"/>
        <v>2720</v>
      </c>
      <c r="BQ22" s="500" t="s">
        <v>917</v>
      </c>
      <c r="BR22" s="283" t="s">
        <v>478</v>
      </c>
      <c r="BS22" s="467">
        <v>13220.45</v>
      </c>
      <c r="BT22" s="84">
        <v>13220.45</v>
      </c>
      <c r="BU22" s="84">
        <v>13220.45</v>
      </c>
      <c r="BV22" s="84">
        <v>13220.45</v>
      </c>
      <c r="BW22" s="84">
        <v>13220.45</v>
      </c>
      <c r="BX22" s="84">
        <v>13220.45</v>
      </c>
      <c r="BY22" s="84">
        <v>13220.45</v>
      </c>
      <c r="BZ22" s="84">
        <v>13220.45</v>
      </c>
      <c r="CA22" s="84">
        <v>13220.45</v>
      </c>
      <c r="CB22" s="84">
        <v>13220.45</v>
      </c>
      <c r="CC22" s="84">
        <v>13220.45</v>
      </c>
      <c r="CD22" s="84">
        <v>13220.45</v>
      </c>
      <c r="CE22" s="139">
        <f t="shared" si="1"/>
        <v>158645.40000000002</v>
      </c>
      <c r="CF22" s="142"/>
      <c r="CG22" s="572">
        <f t="shared" si="44"/>
        <v>13220.45</v>
      </c>
      <c r="CH22" s="572">
        <f t="shared" si="44"/>
        <v>13220.45</v>
      </c>
      <c r="CI22" s="84">
        <f t="shared" si="40"/>
        <v>13220.45</v>
      </c>
      <c r="CJ22" s="84">
        <f t="shared" si="45"/>
        <v>13220.45</v>
      </c>
      <c r="CK22" s="84">
        <f t="shared" si="45"/>
        <v>13220.45</v>
      </c>
      <c r="CL22" s="572">
        <f t="shared" si="45"/>
        <v>13220.45</v>
      </c>
      <c r="CM22" s="84">
        <f>13220.45-622.14</f>
        <v>12598.310000000001</v>
      </c>
      <c r="CN22" s="84">
        <v>13220.45</v>
      </c>
      <c r="CO22" s="84">
        <v>13220.45</v>
      </c>
      <c r="CP22" s="84">
        <v>13220.45</v>
      </c>
      <c r="CQ22" s="84">
        <v>13220.45</v>
      </c>
      <c r="CR22" s="84">
        <v>13220.45</v>
      </c>
      <c r="CS22" s="139">
        <f t="shared" si="2"/>
        <v>158023.26</v>
      </c>
      <c r="CU22" s="500" t="s">
        <v>917</v>
      </c>
      <c r="CV22" s="283" t="s">
        <v>477</v>
      </c>
      <c r="CW22" s="84" t="s">
        <v>1005</v>
      </c>
      <c r="CX22" s="84" t="s">
        <v>1005</v>
      </c>
      <c r="CY22" s="84" t="s">
        <v>1005</v>
      </c>
      <c r="CZ22" s="84" t="s">
        <v>1005</v>
      </c>
      <c r="DA22" s="84" t="s">
        <v>1005</v>
      </c>
      <c r="DB22" s="84" t="s">
        <v>1005</v>
      </c>
      <c r="DC22" s="84" t="s">
        <v>1005</v>
      </c>
      <c r="DD22" s="84" t="s">
        <v>1005</v>
      </c>
      <c r="DE22" s="84" t="s">
        <v>1005</v>
      </c>
      <c r="DF22" s="84" t="s">
        <v>1005</v>
      </c>
      <c r="DG22" s="84" t="s">
        <v>1005</v>
      </c>
      <c r="DH22" s="84" t="s">
        <v>1005</v>
      </c>
      <c r="DI22" s="139">
        <f t="shared" si="19"/>
        <v>0</v>
      </c>
      <c r="DJ22" s="142"/>
      <c r="DK22" s="572" t="str">
        <f t="shared" si="20"/>
        <v xml:space="preserve"> $-   </v>
      </c>
      <c r="DL22" s="572" t="str">
        <f t="shared" si="21"/>
        <v xml:space="preserve"> $-   </v>
      </c>
      <c r="DM22" s="572" t="str">
        <f t="shared" si="22"/>
        <v xml:space="preserve"> $-   </v>
      </c>
      <c r="DN22" s="572" t="str">
        <f t="shared" si="23"/>
        <v xml:space="preserve"> $-   </v>
      </c>
      <c r="DO22" s="572" t="str">
        <f t="shared" si="24"/>
        <v xml:space="preserve"> $-   </v>
      </c>
      <c r="DP22" s="572" t="str">
        <f t="shared" si="25"/>
        <v xml:space="preserve"> $-   </v>
      </c>
      <c r="DQ22" s="572" t="str">
        <f t="shared" si="26"/>
        <v xml:space="preserve"> $-   </v>
      </c>
      <c r="DR22" s="572" t="str">
        <f t="shared" si="27"/>
        <v xml:space="preserve"> $-   </v>
      </c>
      <c r="DS22" s="572" t="str">
        <f t="shared" si="28"/>
        <v xml:space="preserve"> $-   </v>
      </c>
      <c r="DT22" s="572" t="str">
        <f t="shared" si="29"/>
        <v xml:space="preserve"> $-   </v>
      </c>
      <c r="DU22" s="572" t="str">
        <f t="shared" si="30"/>
        <v xml:space="preserve"> $-   </v>
      </c>
      <c r="DV22" s="572" t="str">
        <f t="shared" si="31"/>
        <v xml:space="preserve"> $-   </v>
      </c>
      <c r="DW22" s="139">
        <f t="shared" si="32"/>
        <v>0</v>
      </c>
    </row>
    <row r="23" spans="1:127" x14ac:dyDescent="0.2">
      <c r="A23" s="137" t="s">
        <v>480</v>
      </c>
      <c r="B23" s="109">
        <v>12325</v>
      </c>
      <c r="C23" s="110">
        <v>12385</v>
      </c>
      <c r="D23" s="111">
        <f>+C23-B23</f>
        <v>60</v>
      </c>
      <c r="E23" s="109">
        <v>12325</v>
      </c>
      <c r="F23" s="110">
        <v>12385</v>
      </c>
      <c r="G23" s="111">
        <f>+F23-E23</f>
        <v>60</v>
      </c>
      <c r="H23" s="109">
        <v>12325</v>
      </c>
      <c r="I23" s="110">
        <v>12385</v>
      </c>
      <c r="J23" s="111">
        <f>+I23-H23</f>
        <v>60</v>
      </c>
      <c r="K23" s="109">
        <v>12325</v>
      </c>
      <c r="L23" s="110">
        <v>11805</v>
      </c>
      <c r="M23" s="111">
        <f>+L23-K23</f>
        <v>-520</v>
      </c>
      <c r="N23" s="109">
        <v>12325</v>
      </c>
      <c r="O23" s="110">
        <f>11805+616+616+308</f>
        <v>13345</v>
      </c>
      <c r="P23" s="111">
        <f>+O23-N23</f>
        <v>1020</v>
      </c>
      <c r="Q23" s="109">
        <v>12325</v>
      </c>
      <c r="R23" s="110">
        <f>12385+580+580</f>
        <v>13545</v>
      </c>
      <c r="S23" s="111">
        <f>+R23-Q23</f>
        <v>1220</v>
      </c>
      <c r="T23" s="109">
        <v>12325</v>
      </c>
      <c r="U23" s="110">
        <v>12385</v>
      </c>
      <c r="V23" s="111">
        <f>+U23-T23</f>
        <v>60</v>
      </c>
      <c r="W23" s="109">
        <v>12325</v>
      </c>
      <c r="X23" s="110">
        <v>12385</v>
      </c>
      <c r="Y23" s="111">
        <f>+X23-W23</f>
        <v>60</v>
      </c>
      <c r="Z23" s="109">
        <v>12325</v>
      </c>
      <c r="AA23" s="110">
        <v>15885</v>
      </c>
      <c r="AB23" s="111">
        <f t="shared" si="12"/>
        <v>3560</v>
      </c>
      <c r="AC23" s="109">
        <v>12325</v>
      </c>
      <c r="AD23" s="52">
        <v>12385</v>
      </c>
      <c r="AE23" s="111">
        <f t="shared" si="13"/>
        <v>60</v>
      </c>
      <c r="AF23" s="109">
        <v>12325</v>
      </c>
      <c r="AG23" s="52">
        <v>12095</v>
      </c>
      <c r="AH23" s="111">
        <f t="shared" si="14"/>
        <v>-230</v>
      </c>
      <c r="AI23" s="113">
        <v>12750</v>
      </c>
      <c r="AJ23" s="52"/>
      <c r="AK23" s="111">
        <f t="shared" si="15"/>
        <v>-12750</v>
      </c>
      <c r="AL23" s="138">
        <f t="shared" si="16"/>
        <v>140985</v>
      </c>
      <c r="AM23" s="143" t="s">
        <v>481</v>
      </c>
      <c r="AN23" s="84">
        <v>12750</v>
      </c>
      <c r="AO23" s="84">
        <v>12750</v>
      </c>
      <c r="AP23" s="84">
        <v>12750</v>
      </c>
      <c r="AQ23" s="84">
        <v>12750</v>
      </c>
      <c r="AR23" s="84">
        <v>12750</v>
      </c>
      <c r="AS23" s="84">
        <v>12750</v>
      </c>
      <c r="AT23" s="84">
        <v>12750</v>
      </c>
      <c r="AU23" s="84">
        <v>12750</v>
      </c>
      <c r="AV23" s="84">
        <v>12750</v>
      </c>
      <c r="AW23" s="84">
        <v>12750</v>
      </c>
      <c r="AX23" s="84">
        <v>12750</v>
      </c>
      <c r="AY23" s="84">
        <v>12750</v>
      </c>
      <c r="AZ23" s="138">
        <f t="shared" si="17"/>
        <v>153000</v>
      </c>
      <c r="BA23" s="142"/>
      <c r="BB23" s="143" t="s">
        <v>482</v>
      </c>
      <c r="BC23" s="84">
        <v>12750</v>
      </c>
      <c r="BD23" s="84">
        <v>12750</v>
      </c>
      <c r="BE23" s="147">
        <v>13260</v>
      </c>
      <c r="BF23" s="147">
        <v>13260</v>
      </c>
      <c r="BG23" s="147">
        <v>13260</v>
      </c>
      <c r="BH23" s="147">
        <v>13260</v>
      </c>
      <c r="BI23" s="147">
        <v>13260</v>
      </c>
      <c r="BJ23" s="147">
        <v>13260</v>
      </c>
      <c r="BK23" s="147">
        <v>13260</v>
      </c>
      <c r="BL23" s="147">
        <v>13260</v>
      </c>
      <c r="BM23" s="147">
        <v>13260</v>
      </c>
      <c r="BN23" s="154">
        <v>13260</v>
      </c>
      <c r="BO23" s="139">
        <f t="shared" si="0"/>
        <v>158100</v>
      </c>
      <c r="BQ23" s="500" t="s">
        <v>917</v>
      </c>
      <c r="BR23" s="283" t="s">
        <v>487</v>
      </c>
      <c r="BS23" s="467">
        <v>14268.12</v>
      </c>
      <c r="BT23" s="84">
        <v>14268.12</v>
      </c>
      <c r="BU23" s="84">
        <v>14268.12</v>
      </c>
      <c r="BV23" s="84">
        <v>14268.12</v>
      </c>
      <c r="BW23" s="84">
        <v>14268.12</v>
      </c>
      <c r="BX23" s="84">
        <v>14268.12</v>
      </c>
      <c r="BY23" s="84">
        <v>14268.12</v>
      </c>
      <c r="BZ23" s="84">
        <v>14268.12</v>
      </c>
      <c r="CA23" s="84">
        <v>14268.12</v>
      </c>
      <c r="CB23" s="84">
        <v>14268.12</v>
      </c>
      <c r="CC23" s="84">
        <v>14268.12</v>
      </c>
      <c r="CD23" s="84">
        <v>14268.12</v>
      </c>
      <c r="CE23" s="139">
        <f t="shared" si="1"/>
        <v>171217.43999999997</v>
      </c>
      <c r="CF23" s="142"/>
      <c r="CG23" s="572">
        <f t="shared" si="44"/>
        <v>14268.12</v>
      </c>
      <c r="CH23" s="572">
        <f t="shared" si="44"/>
        <v>14268.12</v>
      </c>
      <c r="CI23" s="84">
        <f t="shared" si="40"/>
        <v>14268.12</v>
      </c>
      <c r="CJ23" s="84">
        <f>BV23-640</f>
        <v>13628.12</v>
      </c>
      <c r="CK23" s="84">
        <f t="shared" ref="CK23:CL30" si="46">BW23</f>
        <v>14268.12</v>
      </c>
      <c r="CL23" s="572">
        <f t="shared" si="46"/>
        <v>14268.12</v>
      </c>
      <c r="CM23" s="84">
        <v>14268.12</v>
      </c>
      <c r="CN23" s="84">
        <v>14268.12</v>
      </c>
      <c r="CO23" s="84">
        <v>14268.12</v>
      </c>
      <c r="CP23" s="84">
        <v>0</v>
      </c>
      <c r="CQ23" s="84">
        <v>0</v>
      </c>
      <c r="CR23" s="84">
        <v>0</v>
      </c>
      <c r="CS23" s="139">
        <f t="shared" si="2"/>
        <v>127773.07999999999</v>
      </c>
      <c r="CU23" s="500" t="s">
        <v>917</v>
      </c>
      <c r="CV23" s="285" t="s">
        <v>478</v>
      </c>
      <c r="CW23" s="84">
        <v>13716.21</v>
      </c>
      <c r="CX23" s="84">
        <f t="shared" ref="CX23:CX28" si="47">CW23</f>
        <v>13716.21</v>
      </c>
      <c r="CY23" s="84">
        <f t="shared" ref="CY23:DH23" si="48">CX23</f>
        <v>13716.21</v>
      </c>
      <c r="CZ23" s="84">
        <f t="shared" si="48"/>
        <v>13716.21</v>
      </c>
      <c r="DA23" s="84">
        <f t="shared" si="48"/>
        <v>13716.21</v>
      </c>
      <c r="DB23" s="84">
        <f t="shared" si="48"/>
        <v>13716.21</v>
      </c>
      <c r="DC23" s="84">
        <f t="shared" si="48"/>
        <v>13716.21</v>
      </c>
      <c r="DD23" s="84">
        <f t="shared" si="48"/>
        <v>13716.21</v>
      </c>
      <c r="DE23" s="84">
        <f t="shared" si="48"/>
        <v>13716.21</v>
      </c>
      <c r="DF23" s="84">
        <f t="shared" si="48"/>
        <v>13716.21</v>
      </c>
      <c r="DG23" s="84">
        <f t="shared" si="48"/>
        <v>13716.21</v>
      </c>
      <c r="DH23" s="84">
        <f t="shared" si="48"/>
        <v>13716.21</v>
      </c>
      <c r="DI23" s="139">
        <f t="shared" si="19"/>
        <v>164594.51999999993</v>
      </c>
      <c r="DJ23" s="142"/>
      <c r="DK23" s="675">
        <f t="shared" si="20"/>
        <v>13716.21</v>
      </c>
      <c r="DL23" s="572">
        <f t="shared" si="21"/>
        <v>13716.21</v>
      </c>
      <c r="DM23" s="572">
        <f t="shared" si="22"/>
        <v>13716.21</v>
      </c>
      <c r="DN23" s="572">
        <f t="shared" si="23"/>
        <v>13716.21</v>
      </c>
      <c r="DO23" s="572">
        <f t="shared" si="24"/>
        <v>13716.21</v>
      </c>
      <c r="DP23" s="572">
        <f t="shared" si="25"/>
        <v>13716.21</v>
      </c>
      <c r="DQ23" s="572">
        <f t="shared" si="26"/>
        <v>13716.21</v>
      </c>
      <c r="DR23" s="572">
        <f t="shared" si="27"/>
        <v>13716.21</v>
      </c>
      <c r="DS23" s="572">
        <f t="shared" si="28"/>
        <v>13716.21</v>
      </c>
      <c r="DT23" s="572">
        <f t="shared" si="29"/>
        <v>13716.21</v>
      </c>
      <c r="DU23" s="572">
        <f t="shared" si="30"/>
        <v>13716.21</v>
      </c>
      <c r="DV23" s="572">
        <f t="shared" si="31"/>
        <v>13716.21</v>
      </c>
      <c r="DW23" s="139">
        <f t="shared" si="32"/>
        <v>164594.51999999993</v>
      </c>
    </row>
    <row r="24" spans="1:127" x14ac:dyDescent="0.2">
      <c r="A24" s="137" t="s">
        <v>477</v>
      </c>
      <c r="B24" s="109">
        <v>5915</v>
      </c>
      <c r="C24" s="110">
        <v>5975</v>
      </c>
      <c r="D24" s="111">
        <f>+C24-B24</f>
        <v>60</v>
      </c>
      <c r="E24" s="109">
        <v>5915</v>
      </c>
      <c r="F24" s="110">
        <v>7013.83</v>
      </c>
      <c r="G24" s="111">
        <f>+F24-E24</f>
        <v>1098.83</v>
      </c>
      <c r="H24" s="109">
        <v>5915</v>
      </c>
      <c r="I24" s="110">
        <v>5915</v>
      </c>
      <c r="J24" s="111">
        <f>+I24-H24</f>
        <v>0</v>
      </c>
      <c r="K24" s="109">
        <v>5915</v>
      </c>
      <c r="L24" s="110">
        <v>6540.55</v>
      </c>
      <c r="M24" s="111">
        <f>+L24-K24</f>
        <v>625.55000000000018</v>
      </c>
      <c r="N24" s="109">
        <v>5915</v>
      </c>
      <c r="O24" s="110">
        <v>5915</v>
      </c>
      <c r="P24" s="111">
        <f>+O24-N24</f>
        <v>0</v>
      </c>
      <c r="Q24" s="109">
        <v>5915</v>
      </c>
      <c r="R24" s="110">
        <v>5915</v>
      </c>
      <c r="S24" s="111">
        <f>+R24-Q24</f>
        <v>0</v>
      </c>
      <c r="T24" s="109">
        <v>5915</v>
      </c>
      <c r="U24" s="110">
        <v>5915</v>
      </c>
      <c r="V24" s="111">
        <f>+U24-T24</f>
        <v>0</v>
      </c>
      <c r="W24" s="109">
        <v>5915</v>
      </c>
      <c r="X24" s="110">
        <v>5915</v>
      </c>
      <c r="Y24" s="111">
        <f>+X24-W24</f>
        <v>0</v>
      </c>
      <c r="Z24" s="109">
        <v>5915</v>
      </c>
      <c r="AA24" s="110">
        <v>5915</v>
      </c>
      <c r="AB24" s="111">
        <f t="shared" si="12"/>
        <v>0</v>
      </c>
      <c r="AC24" s="109">
        <v>5915</v>
      </c>
      <c r="AD24" s="110">
        <v>5915</v>
      </c>
      <c r="AE24" s="111">
        <f t="shared" si="13"/>
        <v>0</v>
      </c>
      <c r="AF24" s="109">
        <v>5915</v>
      </c>
      <c r="AG24" s="110">
        <v>5915</v>
      </c>
      <c r="AH24" s="111">
        <f t="shared" si="14"/>
        <v>0</v>
      </c>
      <c r="AI24" s="109">
        <v>5915</v>
      </c>
      <c r="AJ24" s="110"/>
      <c r="AK24" s="111">
        <f t="shared" si="15"/>
        <v>-5915</v>
      </c>
      <c r="AL24" s="138">
        <f t="shared" si="16"/>
        <v>66849.38</v>
      </c>
      <c r="AM24" s="143" t="s">
        <v>477</v>
      </c>
      <c r="AN24" s="84">
        <v>5915</v>
      </c>
      <c r="AO24" s="84">
        <v>5915</v>
      </c>
      <c r="AP24" s="84">
        <v>5915</v>
      </c>
      <c r="AQ24" s="84">
        <v>5915</v>
      </c>
      <c r="AR24" s="84">
        <v>5915</v>
      </c>
      <c r="AS24" s="84">
        <v>5915</v>
      </c>
      <c r="AT24" s="84">
        <v>5915</v>
      </c>
      <c r="AU24" s="84">
        <v>5915</v>
      </c>
      <c r="AV24" s="84">
        <v>5915</v>
      </c>
      <c r="AW24" s="84">
        <v>5915</v>
      </c>
      <c r="AX24" s="84">
        <v>5915</v>
      </c>
      <c r="AY24" s="84">
        <v>5915</v>
      </c>
      <c r="AZ24" s="138">
        <f t="shared" si="17"/>
        <v>70980</v>
      </c>
      <c r="BA24" s="142"/>
      <c r="BB24" s="143" t="s">
        <v>477</v>
      </c>
      <c r="BC24" s="84">
        <v>5915</v>
      </c>
      <c r="BD24" s="84">
        <v>5915</v>
      </c>
      <c r="BE24" s="147">
        <v>6151.6</v>
      </c>
      <c r="BF24" s="147">
        <v>6151.6</v>
      </c>
      <c r="BG24" s="147">
        <v>6151.6</v>
      </c>
      <c r="BH24" s="147">
        <v>6151.6</v>
      </c>
      <c r="BI24" s="147">
        <v>6151.6</v>
      </c>
      <c r="BJ24" s="147">
        <v>6151.6</v>
      </c>
      <c r="BK24" s="147">
        <v>6151.6</v>
      </c>
      <c r="BL24" s="147">
        <v>6151.6</v>
      </c>
      <c r="BM24" s="147">
        <v>6151.6</v>
      </c>
      <c r="BN24" s="147">
        <v>6151.6</v>
      </c>
      <c r="BO24" s="139">
        <f t="shared" si="0"/>
        <v>73346</v>
      </c>
      <c r="BP24" s="149"/>
      <c r="BQ24" s="500" t="s">
        <v>917</v>
      </c>
      <c r="BR24" s="283" t="s">
        <v>479</v>
      </c>
      <c r="BS24" s="467">
        <v>13676.33</v>
      </c>
      <c r="BT24" s="84">
        <v>13676.33</v>
      </c>
      <c r="BU24" s="84">
        <v>13676.33</v>
      </c>
      <c r="BV24" s="84">
        <v>13676.33</v>
      </c>
      <c r="BW24" s="84">
        <v>13676.33</v>
      </c>
      <c r="BX24" s="84">
        <v>13676.33</v>
      </c>
      <c r="BY24" s="84">
        <v>13676.33</v>
      </c>
      <c r="BZ24" s="84">
        <v>13676.33</v>
      </c>
      <c r="CA24" s="84">
        <v>13676.33</v>
      </c>
      <c r="CB24" s="84">
        <v>13676.33</v>
      </c>
      <c r="CC24" s="84">
        <v>13676.33</v>
      </c>
      <c r="CD24" s="84">
        <v>13676.33</v>
      </c>
      <c r="CE24" s="139">
        <f t="shared" si="1"/>
        <v>164115.95999999996</v>
      </c>
      <c r="CF24" s="142"/>
      <c r="CG24" s="572">
        <f t="shared" si="44"/>
        <v>13676.33</v>
      </c>
      <c r="CH24" s="572">
        <f t="shared" si="44"/>
        <v>13676.33</v>
      </c>
      <c r="CI24" s="84">
        <f t="shared" si="40"/>
        <v>13676.33</v>
      </c>
      <c r="CJ24" s="84">
        <f t="shared" ref="CJ24:CJ30" si="49">BV24</f>
        <v>13676.33</v>
      </c>
      <c r="CK24" s="84">
        <f t="shared" si="46"/>
        <v>13676.33</v>
      </c>
      <c r="CL24" s="572">
        <f t="shared" si="46"/>
        <v>13676.33</v>
      </c>
      <c r="CM24" s="84">
        <v>13676.33</v>
      </c>
      <c r="CN24" s="84">
        <v>13274.09</v>
      </c>
      <c r="CO24" s="84">
        <v>13032.74</v>
      </c>
      <c r="CP24" s="84">
        <v>13676.33</v>
      </c>
      <c r="CQ24" s="84">
        <v>13676.33</v>
      </c>
      <c r="CR24" s="84">
        <v>13676.33</v>
      </c>
      <c r="CS24" s="139">
        <f t="shared" si="2"/>
        <v>163070.12999999998</v>
      </c>
      <c r="CU24" s="500" t="s">
        <v>917</v>
      </c>
      <c r="CV24" s="283" t="s">
        <v>479</v>
      </c>
      <c r="CW24" s="84">
        <v>14189.19</v>
      </c>
      <c r="CX24" s="84">
        <f t="shared" si="47"/>
        <v>14189.19</v>
      </c>
      <c r="CY24" s="84">
        <f t="shared" ref="CY24:DH24" si="50">CX24</f>
        <v>14189.19</v>
      </c>
      <c r="CZ24" s="84">
        <f t="shared" si="50"/>
        <v>14189.19</v>
      </c>
      <c r="DA24" s="84">
        <f t="shared" si="50"/>
        <v>14189.19</v>
      </c>
      <c r="DB24" s="84">
        <f t="shared" si="50"/>
        <v>14189.19</v>
      </c>
      <c r="DC24" s="84">
        <f t="shared" si="50"/>
        <v>14189.19</v>
      </c>
      <c r="DD24" s="84">
        <f t="shared" si="50"/>
        <v>14189.19</v>
      </c>
      <c r="DE24" s="84">
        <f t="shared" si="50"/>
        <v>14189.19</v>
      </c>
      <c r="DF24" s="84">
        <f t="shared" si="50"/>
        <v>14189.19</v>
      </c>
      <c r="DG24" s="84">
        <f t="shared" si="50"/>
        <v>14189.19</v>
      </c>
      <c r="DH24" s="84">
        <f t="shared" si="50"/>
        <v>14189.19</v>
      </c>
      <c r="DI24" s="139">
        <f t="shared" si="19"/>
        <v>170270.28</v>
      </c>
      <c r="DJ24" s="142"/>
      <c r="DK24" s="675">
        <f t="shared" si="20"/>
        <v>14189.19</v>
      </c>
      <c r="DL24" s="572">
        <f t="shared" si="21"/>
        <v>14189.19</v>
      </c>
      <c r="DM24" s="572">
        <f t="shared" si="22"/>
        <v>14189.19</v>
      </c>
      <c r="DN24" s="572">
        <f t="shared" si="23"/>
        <v>14189.19</v>
      </c>
      <c r="DO24" s="572">
        <f t="shared" si="24"/>
        <v>14189.19</v>
      </c>
      <c r="DP24" s="572">
        <f t="shared" si="25"/>
        <v>14189.19</v>
      </c>
      <c r="DQ24" s="572">
        <f t="shared" si="26"/>
        <v>14189.19</v>
      </c>
      <c r="DR24" s="572">
        <f t="shared" si="27"/>
        <v>14189.19</v>
      </c>
      <c r="DS24" s="572">
        <f t="shared" si="28"/>
        <v>14189.19</v>
      </c>
      <c r="DT24" s="572">
        <f t="shared" si="29"/>
        <v>14189.19</v>
      </c>
      <c r="DU24" s="572">
        <f t="shared" si="30"/>
        <v>14189.19</v>
      </c>
      <c r="DV24" s="572">
        <f t="shared" si="31"/>
        <v>14189.19</v>
      </c>
      <c r="DW24" s="139">
        <f t="shared" si="32"/>
        <v>170270.28</v>
      </c>
    </row>
    <row r="25" spans="1:127" x14ac:dyDescent="0.2">
      <c r="A25" s="137" t="s">
        <v>479</v>
      </c>
      <c r="B25" s="109">
        <v>12675</v>
      </c>
      <c r="C25" s="110">
        <v>12735</v>
      </c>
      <c r="D25" s="111">
        <f>+C25-B25</f>
        <v>60</v>
      </c>
      <c r="E25" s="109">
        <v>12675</v>
      </c>
      <c r="F25" s="110">
        <v>12735</v>
      </c>
      <c r="G25" s="111">
        <f>+F25-E25</f>
        <v>60</v>
      </c>
      <c r="H25" s="109">
        <v>12675</v>
      </c>
      <c r="I25" s="110">
        <v>12735</v>
      </c>
      <c r="J25" s="111">
        <f>+I25-H25</f>
        <v>60</v>
      </c>
      <c r="K25" s="109">
        <v>12675</v>
      </c>
      <c r="L25" s="110">
        <v>12312.5</v>
      </c>
      <c r="M25" s="111">
        <f>+L25-K25</f>
        <v>-362.5</v>
      </c>
      <c r="N25" s="109">
        <v>12675</v>
      </c>
      <c r="O25" s="110">
        <v>10931.4</v>
      </c>
      <c r="P25" s="111">
        <f>+O25-N25</f>
        <v>-1743.6000000000004</v>
      </c>
      <c r="Q25" s="109">
        <v>12675</v>
      </c>
      <c r="R25" s="110">
        <v>12735</v>
      </c>
      <c r="S25" s="111">
        <f>+R25-Q25</f>
        <v>60</v>
      </c>
      <c r="T25" s="109">
        <v>12675</v>
      </c>
      <c r="U25" s="110">
        <v>12133.8</v>
      </c>
      <c r="V25" s="111">
        <f>+U25-T25</f>
        <v>-541.20000000000073</v>
      </c>
      <c r="W25" s="109">
        <v>12675</v>
      </c>
      <c r="X25" s="110">
        <v>12735</v>
      </c>
      <c r="Y25" s="111">
        <f>+X25-W25</f>
        <v>60</v>
      </c>
      <c r="Z25" s="109">
        <v>12675</v>
      </c>
      <c r="AA25" s="110">
        <v>12312.5</v>
      </c>
      <c r="AB25" s="111">
        <f t="shared" si="12"/>
        <v>-362.5</v>
      </c>
      <c r="AC25" s="109">
        <v>12675</v>
      </c>
      <c r="AD25" s="110">
        <v>12312.5</v>
      </c>
      <c r="AE25" s="111">
        <f t="shared" si="13"/>
        <v>-362.5</v>
      </c>
      <c r="AF25" s="109">
        <v>12675</v>
      </c>
      <c r="AG25" s="110">
        <v>12312.5</v>
      </c>
      <c r="AH25" s="111">
        <f t="shared" si="14"/>
        <v>-362.5</v>
      </c>
      <c r="AI25" s="109">
        <v>12675</v>
      </c>
      <c r="AJ25" s="110"/>
      <c r="AK25" s="111">
        <f t="shared" si="15"/>
        <v>-12675</v>
      </c>
      <c r="AL25" s="138">
        <f t="shared" si="16"/>
        <v>135990.20000000001</v>
      </c>
      <c r="AM25" s="143" t="s">
        <v>479</v>
      </c>
      <c r="AN25" s="84">
        <v>12675</v>
      </c>
      <c r="AO25" s="84">
        <v>12675</v>
      </c>
      <c r="AP25" s="84">
        <v>12675</v>
      </c>
      <c r="AQ25" s="84">
        <v>12675</v>
      </c>
      <c r="AR25" s="84">
        <v>12675</v>
      </c>
      <c r="AS25" s="84">
        <v>12675</v>
      </c>
      <c r="AT25" s="84">
        <v>12675</v>
      </c>
      <c r="AU25" s="84">
        <v>12675</v>
      </c>
      <c r="AV25" s="84">
        <v>12675</v>
      </c>
      <c r="AW25" s="84">
        <v>12675</v>
      </c>
      <c r="AX25" s="84">
        <v>12675</v>
      </c>
      <c r="AY25" s="84">
        <v>12675</v>
      </c>
      <c r="AZ25" s="138">
        <f t="shared" si="17"/>
        <v>152100</v>
      </c>
      <c r="BA25" s="142"/>
      <c r="BB25" s="143" t="s">
        <v>479</v>
      </c>
      <c r="BC25" s="84">
        <v>12675</v>
      </c>
      <c r="BD25" s="84">
        <v>12675</v>
      </c>
      <c r="BE25" s="150">
        <f>BD25*$BP$17+BD25</f>
        <v>12675</v>
      </c>
      <c r="BF25" s="150">
        <f>BE25*$BP$17+BE25</f>
        <v>12675</v>
      </c>
      <c r="BG25" s="150">
        <f>BF25*$BP$17+BF25</f>
        <v>12675</v>
      </c>
      <c r="BH25" s="150">
        <v>13709.28</v>
      </c>
      <c r="BI25" s="150">
        <v>13709.28</v>
      </c>
      <c r="BJ25" s="150">
        <v>13709.28</v>
      </c>
      <c r="BK25" s="150">
        <v>13709.28</v>
      </c>
      <c r="BL25" s="150">
        <v>13709.28</v>
      </c>
      <c r="BM25" s="150">
        <v>13709.28</v>
      </c>
      <c r="BN25" s="150">
        <v>13709.28</v>
      </c>
      <c r="BO25" s="139">
        <f t="shared" si="0"/>
        <v>159339.96</v>
      </c>
      <c r="BQ25" s="500" t="s">
        <v>917</v>
      </c>
      <c r="BR25" s="283" t="s">
        <v>485</v>
      </c>
      <c r="BS25" s="467">
        <v>6420.05</v>
      </c>
      <c r="BT25" s="84">
        <v>6420.05</v>
      </c>
      <c r="BU25" s="84">
        <v>6420.05</v>
      </c>
      <c r="BV25" s="84">
        <v>6420.05</v>
      </c>
      <c r="BW25" s="84">
        <v>6420.05</v>
      </c>
      <c r="BX25" s="84">
        <v>6420.05</v>
      </c>
      <c r="BY25" s="84">
        <v>6420.05</v>
      </c>
      <c r="BZ25" s="84">
        <v>6420.05</v>
      </c>
      <c r="CA25" s="84">
        <v>6420.05</v>
      </c>
      <c r="CB25" s="84">
        <v>6420.05</v>
      </c>
      <c r="CC25" s="84">
        <v>6420.05</v>
      </c>
      <c r="CD25" s="84">
        <v>6420.05</v>
      </c>
      <c r="CE25" s="139">
        <f t="shared" si="1"/>
        <v>77040.60000000002</v>
      </c>
      <c r="CF25" s="142"/>
      <c r="CG25" s="572">
        <f t="shared" si="44"/>
        <v>6420.05</v>
      </c>
      <c r="CH25" s="572">
        <f t="shared" si="44"/>
        <v>6420.05</v>
      </c>
      <c r="CI25" s="84">
        <f t="shared" si="40"/>
        <v>6420.05</v>
      </c>
      <c r="CJ25" s="84">
        <f t="shared" si="49"/>
        <v>6420.05</v>
      </c>
      <c r="CK25" s="84">
        <f t="shared" si="46"/>
        <v>6420.05</v>
      </c>
      <c r="CL25" s="572">
        <f t="shared" si="46"/>
        <v>6420.05</v>
      </c>
      <c r="CM25" s="84">
        <v>6420.05</v>
      </c>
      <c r="CN25" s="84">
        <v>6420.05</v>
      </c>
      <c r="CO25" s="84">
        <v>6420.05</v>
      </c>
      <c r="CP25" s="84">
        <v>6420.05</v>
      </c>
      <c r="CQ25" s="84">
        <v>6420.05</v>
      </c>
      <c r="CR25" s="84">
        <v>6420.05</v>
      </c>
      <c r="CS25" s="139">
        <f t="shared" si="2"/>
        <v>77040.60000000002</v>
      </c>
      <c r="CU25" s="500" t="s">
        <v>917</v>
      </c>
      <c r="CV25" s="283" t="s">
        <v>1377</v>
      </c>
      <c r="CW25" s="84">
        <v>6660.8</v>
      </c>
      <c r="CX25" s="84">
        <f t="shared" si="47"/>
        <v>6660.8</v>
      </c>
      <c r="CY25" s="84">
        <f t="shared" ref="CY25:DH25" si="51">CX25</f>
        <v>6660.8</v>
      </c>
      <c r="CZ25" s="84">
        <f t="shared" si="51"/>
        <v>6660.8</v>
      </c>
      <c r="DA25" s="84">
        <f t="shared" si="51"/>
        <v>6660.8</v>
      </c>
      <c r="DB25" s="84">
        <f t="shared" si="51"/>
        <v>6660.8</v>
      </c>
      <c r="DC25" s="84">
        <f t="shared" si="51"/>
        <v>6660.8</v>
      </c>
      <c r="DD25" s="84">
        <f t="shared" si="51"/>
        <v>6660.8</v>
      </c>
      <c r="DE25" s="84">
        <f t="shared" si="51"/>
        <v>6660.8</v>
      </c>
      <c r="DF25" s="84">
        <f t="shared" si="51"/>
        <v>6660.8</v>
      </c>
      <c r="DG25" s="84">
        <f t="shared" si="51"/>
        <v>6660.8</v>
      </c>
      <c r="DH25" s="84">
        <f t="shared" si="51"/>
        <v>6660.8</v>
      </c>
      <c r="DI25" s="139">
        <f t="shared" si="19"/>
        <v>79929.60000000002</v>
      </c>
      <c r="DJ25" s="142"/>
      <c r="DK25" s="675">
        <f t="shared" si="20"/>
        <v>6660.8</v>
      </c>
      <c r="DL25" s="572">
        <f t="shared" si="21"/>
        <v>6660.8</v>
      </c>
      <c r="DM25" s="572">
        <f t="shared" si="22"/>
        <v>6660.8</v>
      </c>
      <c r="DN25" s="572">
        <f t="shared" si="23"/>
        <v>6660.8</v>
      </c>
      <c r="DO25" s="572">
        <f t="shared" si="24"/>
        <v>6660.8</v>
      </c>
      <c r="DP25" s="572">
        <f t="shared" si="25"/>
        <v>6660.8</v>
      </c>
      <c r="DQ25" s="572">
        <f t="shared" si="26"/>
        <v>6660.8</v>
      </c>
      <c r="DR25" s="572">
        <f t="shared" si="27"/>
        <v>6660.8</v>
      </c>
      <c r="DS25" s="572">
        <f t="shared" si="28"/>
        <v>6660.8</v>
      </c>
      <c r="DT25" s="572">
        <f t="shared" si="29"/>
        <v>6660.8</v>
      </c>
      <c r="DU25" s="572">
        <f t="shared" si="30"/>
        <v>6660.8</v>
      </c>
      <c r="DV25" s="572">
        <f t="shared" si="31"/>
        <v>6660.8</v>
      </c>
      <c r="DW25" s="139">
        <f t="shared" si="32"/>
        <v>79929.60000000002</v>
      </c>
    </row>
    <row r="26" spans="1:127" x14ac:dyDescent="0.2">
      <c r="A26" s="137"/>
      <c r="B26" s="109"/>
      <c r="C26" s="110"/>
      <c r="D26" s="111"/>
      <c r="E26" s="109"/>
      <c r="F26" s="110"/>
      <c r="G26" s="111"/>
      <c r="H26" s="109"/>
      <c r="I26" s="110"/>
      <c r="J26" s="111"/>
      <c r="K26" s="109"/>
      <c r="L26" s="110"/>
      <c r="M26" s="111"/>
      <c r="N26" s="109"/>
      <c r="O26" s="110"/>
      <c r="P26" s="111"/>
      <c r="Q26" s="109"/>
      <c r="R26" s="110"/>
      <c r="S26" s="111"/>
      <c r="T26" s="109"/>
      <c r="U26" s="110"/>
      <c r="V26" s="111"/>
      <c r="W26" s="109"/>
      <c r="X26" s="110"/>
      <c r="Y26" s="111"/>
      <c r="Z26" s="109"/>
      <c r="AA26" s="110"/>
      <c r="AB26" s="111"/>
      <c r="AC26" s="109"/>
      <c r="AD26" s="52"/>
      <c r="AE26" s="111"/>
      <c r="AF26" s="109"/>
      <c r="AG26" s="52"/>
      <c r="AH26" s="111"/>
      <c r="AI26" s="109"/>
      <c r="AJ26" s="52"/>
      <c r="AK26" s="111"/>
      <c r="AL26" s="138"/>
      <c r="AM26" s="143"/>
      <c r="AN26" s="84"/>
      <c r="AO26" s="84"/>
      <c r="AP26" s="84"/>
      <c r="AQ26" s="84"/>
      <c r="AR26" s="84"/>
      <c r="AS26" s="84"/>
      <c r="AT26" s="84"/>
      <c r="AU26" s="84"/>
      <c r="AV26" s="84"/>
      <c r="AW26" s="84"/>
      <c r="AX26" s="84"/>
      <c r="AY26" s="84"/>
      <c r="AZ26" s="138"/>
      <c r="BA26" s="142"/>
      <c r="BB26" s="143" t="s">
        <v>492</v>
      </c>
      <c r="BC26" s="147">
        <v>9501.3333333333339</v>
      </c>
      <c r="BD26" s="147">
        <v>9501.3333333333339</v>
      </c>
      <c r="BE26" s="147">
        <v>9501.3333333333339</v>
      </c>
      <c r="BF26" s="147">
        <v>9881.3866666666672</v>
      </c>
      <c r="BG26" s="147">
        <v>9881.3866666666672</v>
      </c>
      <c r="BH26" s="147">
        <v>9881.3866666666672</v>
      </c>
      <c r="BI26" s="147">
        <v>9881.3866666666672</v>
      </c>
      <c r="BJ26" s="147">
        <v>9881.3866666666672</v>
      </c>
      <c r="BK26" s="147">
        <v>9881.3866666666672</v>
      </c>
      <c r="BL26" s="147">
        <v>9881.3866666666672</v>
      </c>
      <c r="BM26" s="147">
        <v>9881.3866666666672</v>
      </c>
      <c r="BN26" s="147">
        <v>9881.3866666666672</v>
      </c>
      <c r="BO26" s="139">
        <f t="shared" si="0"/>
        <v>117436.48000000003</v>
      </c>
      <c r="BQ26" s="500" t="s">
        <v>917</v>
      </c>
      <c r="BR26" s="283" t="s">
        <v>498</v>
      </c>
      <c r="BS26" s="467">
        <v>13298.68</v>
      </c>
      <c r="BT26" s="84">
        <v>13298.68</v>
      </c>
      <c r="BU26" s="84">
        <v>13298.68</v>
      </c>
      <c r="BV26" s="84">
        <v>13298.68</v>
      </c>
      <c r="BW26" s="84">
        <v>13298.68</v>
      </c>
      <c r="BX26" s="84">
        <v>13298.68</v>
      </c>
      <c r="BY26" s="84">
        <v>13298.68</v>
      </c>
      <c r="BZ26" s="84">
        <v>13298.68</v>
      </c>
      <c r="CA26" s="84">
        <v>13298.68</v>
      </c>
      <c r="CB26" s="84">
        <v>13298.68</v>
      </c>
      <c r="CC26" s="84">
        <v>13298.68</v>
      </c>
      <c r="CD26" s="84">
        <v>13298.68</v>
      </c>
      <c r="CE26" s="139">
        <f t="shared" si="1"/>
        <v>159584.15999999995</v>
      </c>
      <c r="CF26" s="142"/>
      <c r="CG26" s="572">
        <f t="shared" si="44"/>
        <v>13298.68</v>
      </c>
      <c r="CH26" s="572">
        <f t="shared" si="44"/>
        <v>13298.68</v>
      </c>
      <c r="CI26" s="84">
        <f t="shared" si="40"/>
        <v>13298.68</v>
      </c>
      <c r="CJ26" s="84">
        <f t="shared" si="49"/>
        <v>13298.68</v>
      </c>
      <c r="CK26" s="84">
        <f t="shared" si="46"/>
        <v>13298.68</v>
      </c>
      <c r="CL26" s="572">
        <f t="shared" si="46"/>
        <v>13298.68</v>
      </c>
      <c r="CM26" s="84">
        <v>13298.68</v>
      </c>
      <c r="CN26" s="84">
        <v>13298.68</v>
      </c>
      <c r="CO26" s="84">
        <v>13298.68</v>
      </c>
      <c r="CP26" s="84">
        <v>13298.68</v>
      </c>
      <c r="CQ26" s="84">
        <v>13298.68</v>
      </c>
      <c r="CR26" s="84">
        <v>13298.68</v>
      </c>
      <c r="CS26" s="139">
        <f t="shared" si="2"/>
        <v>159584.15999999995</v>
      </c>
      <c r="CU26" s="500" t="s">
        <v>917</v>
      </c>
      <c r="CV26" s="285" t="s">
        <v>1376</v>
      </c>
      <c r="CW26" s="84">
        <v>13321.6</v>
      </c>
      <c r="CX26" s="84">
        <f t="shared" si="47"/>
        <v>13321.6</v>
      </c>
      <c r="CY26" s="84">
        <f t="shared" ref="CY26:DH26" si="52">CX26</f>
        <v>13321.6</v>
      </c>
      <c r="CZ26" s="84">
        <f t="shared" si="52"/>
        <v>13321.6</v>
      </c>
      <c r="DA26" s="84">
        <f t="shared" si="52"/>
        <v>13321.6</v>
      </c>
      <c r="DB26" s="84">
        <f t="shared" si="52"/>
        <v>13321.6</v>
      </c>
      <c r="DC26" s="84">
        <f t="shared" si="52"/>
        <v>13321.6</v>
      </c>
      <c r="DD26" s="84">
        <f t="shared" si="52"/>
        <v>13321.6</v>
      </c>
      <c r="DE26" s="84">
        <f t="shared" si="52"/>
        <v>13321.6</v>
      </c>
      <c r="DF26" s="84">
        <f t="shared" si="52"/>
        <v>13321.6</v>
      </c>
      <c r="DG26" s="84">
        <f t="shared" si="52"/>
        <v>13321.6</v>
      </c>
      <c r="DH26" s="84">
        <f t="shared" si="52"/>
        <v>13321.6</v>
      </c>
      <c r="DI26" s="139">
        <f t="shared" si="19"/>
        <v>159859.20000000004</v>
      </c>
      <c r="DJ26" s="142"/>
      <c r="DK26" s="675">
        <f t="shared" si="20"/>
        <v>13321.6</v>
      </c>
      <c r="DL26" s="572">
        <f t="shared" si="21"/>
        <v>13321.6</v>
      </c>
      <c r="DM26" s="572">
        <f t="shared" si="22"/>
        <v>13321.6</v>
      </c>
      <c r="DN26" s="572">
        <f t="shared" si="23"/>
        <v>13321.6</v>
      </c>
      <c r="DO26" s="572">
        <f t="shared" si="24"/>
        <v>13321.6</v>
      </c>
      <c r="DP26" s="572">
        <f t="shared" si="25"/>
        <v>13321.6</v>
      </c>
      <c r="DQ26" s="572">
        <f t="shared" si="26"/>
        <v>13321.6</v>
      </c>
      <c r="DR26" s="572">
        <f t="shared" si="27"/>
        <v>13321.6</v>
      </c>
      <c r="DS26" s="572">
        <f t="shared" si="28"/>
        <v>13321.6</v>
      </c>
      <c r="DT26" s="572">
        <f t="shared" si="29"/>
        <v>13321.6</v>
      </c>
      <c r="DU26" s="572">
        <f t="shared" si="30"/>
        <v>13321.6</v>
      </c>
      <c r="DV26" s="572">
        <f t="shared" si="31"/>
        <v>13321.6</v>
      </c>
      <c r="DW26" s="139">
        <f t="shared" si="32"/>
        <v>159859.20000000004</v>
      </c>
    </row>
    <row r="27" spans="1:127" x14ac:dyDescent="0.2">
      <c r="A27" s="137" t="s">
        <v>478</v>
      </c>
      <c r="B27" s="109">
        <v>12252.5</v>
      </c>
      <c r="C27" s="110">
        <v>12312.5</v>
      </c>
      <c r="D27" s="111">
        <f>+C27-B27</f>
        <v>60</v>
      </c>
      <c r="E27" s="109">
        <v>12252.5</v>
      </c>
      <c r="F27" s="110">
        <v>12312.5</v>
      </c>
      <c r="G27" s="111">
        <f>+F27-E27</f>
        <v>60</v>
      </c>
      <c r="H27" s="109">
        <v>12252.5</v>
      </c>
      <c r="I27" s="110">
        <v>12312.5</v>
      </c>
      <c r="J27" s="111">
        <f>+I27-H27</f>
        <v>60</v>
      </c>
      <c r="K27" s="109">
        <v>12252.5</v>
      </c>
      <c r="L27" s="110">
        <v>12735</v>
      </c>
      <c r="M27" s="111">
        <f>+L27-K27</f>
        <v>482.5</v>
      </c>
      <c r="N27" s="109">
        <v>12252.5</v>
      </c>
      <c r="O27" s="110">
        <v>11731.38</v>
      </c>
      <c r="P27" s="111">
        <f>+O27-N27</f>
        <v>-521.1200000000008</v>
      </c>
      <c r="Q27" s="109">
        <v>12252.5</v>
      </c>
      <c r="R27" s="110">
        <v>12312.5</v>
      </c>
      <c r="S27" s="111">
        <f>+R27-Q27</f>
        <v>60</v>
      </c>
      <c r="T27" s="109">
        <v>12252.5</v>
      </c>
      <c r="U27" s="110">
        <v>12312.5</v>
      </c>
      <c r="V27" s="111">
        <f>+U27-T27</f>
        <v>60</v>
      </c>
      <c r="W27" s="109">
        <v>12252.5</v>
      </c>
      <c r="X27" s="110">
        <v>12312.5</v>
      </c>
      <c r="Y27" s="111">
        <f>+X27-W27</f>
        <v>60</v>
      </c>
      <c r="Z27" s="109">
        <v>12252.5</v>
      </c>
      <c r="AA27" s="110">
        <v>12434.4</v>
      </c>
      <c r="AB27" s="111">
        <f t="shared" ref="AB27:AB52" si="53">+AA27-Z27</f>
        <v>181.89999999999964</v>
      </c>
      <c r="AC27" s="109">
        <v>12252.5</v>
      </c>
      <c r="AD27" s="110">
        <v>12735</v>
      </c>
      <c r="AE27" s="111">
        <f t="shared" ref="AE27:AE52" si="54">+AD27-AC27</f>
        <v>482.5</v>
      </c>
      <c r="AF27" s="109">
        <v>12252.5</v>
      </c>
      <c r="AG27" s="110"/>
      <c r="AH27" s="111">
        <f t="shared" ref="AH27:AH52" si="55">+AG27-AF27</f>
        <v>-12252.5</v>
      </c>
      <c r="AI27" s="109">
        <v>12252.5</v>
      </c>
      <c r="AJ27" s="110"/>
      <c r="AK27" s="111">
        <f t="shared" ref="AK27:AK52" si="56">+AJ27-AI27</f>
        <v>-12252.5</v>
      </c>
      <c r="AL27" s="138">
        <f t="shared" ref="AL27:AL52" si="57">SUMIFS($B27:$AK27,$B$3:$AK$3,"Actual")</f>
        <v>123510.78</v>
      </c>
      <c r="AM27" s="143" t="s">
        <v>478</v>
      </c>
      <c r="AN27" s="84">
        <v>12252.5</v>
      </c>
      <c r="AO27" s="84">
        <v>12252.5</v>
      </c>
      <c r="AP27" s="84">
        <v>12252.5</v>
      </c>
      <c r="AQ27" s="84">
        <v>12252.5</v>
      </c>
      <c r="AR27" s="84">
        <v>12252.5</v>
      </c>
      <c r="AS27" s="84">
        <v>12252.5</v>
      </c>
      <c r="AT27" s="84">
        <v>12252.5</v>
      </c>
      <c r="AU27" s="84">
        <v>12252.5</v>
      </c>
      <c r="AV27" s="84">
        <v>12252.5</v>
      </c>
      <c r="AW27" s="84">
        <v>12252.5</v>
      </c>
      <c r="AX27" s="84">
        <v>12252.5</v>
      </c>
      <c r="AY27" s="84">
        <v>12252.5</v>
      </c>
      <c r="AZ27" s="138">
        <f t="shared" ref="AZ27:AZ46" si="58">SUM(AN27:AY27)</f>
        <v>147030</v>
      </c>
      <c r="BA27" s="142"/>
      <c r="BB27" s="146" t="s">
        <v>478</v>
      </c>
      <c r="BC27" s="114">
        <v>12252.5</v>
      </c>
      <c r="BD27" s="84">
        <v>12252.5</v>
      </c>
      <c r="BE27" s="147">
        <v>12742.7</v>
      </c>
      <c r="BF27" s="147">
        <v>12742.7</v>
      </c>
      <c r="BG27" s="147">
        <v>12742.7</v>
      </c>
      <c r="BH27" s="147">
        <v>12742.7</v>
      </c>
      <c r="BI27" s="147">
        <v>12742.7</v>
      </c>
      <c r="BJ27" s="147">
        <v>12742.7</v>
      </c>
      <c r="BK27" s="147">
        <v>12742.7</v>
      </c>
      <c r="BL27" s="147">
        <v>12742.7</v>
      </c>
      <c r="BM27" s="147">
        <v>12742.7</v>
      </c>
      <c r="BN27" s="147">
        <v>12742.7</v>
      </c>
      <c r="BO27" s="139">
        <f t="shared" si="0"/>
        <v>151932</v>
      </c>
      <c r="BQ27" s="501" t="s">
        <v>917</v>
      </c>
      <c r="BR27" s="283" t="s">
        <v>482</v>
      </c>
      <c r="BS27" s="467">
        <v>13757.25</v>
      </c>
      <c r="BT27" s="84">
        <v>13757.25</v>
      </c>
      <c r="BU27" s="84">
        <v>13757.25</v>
      </c>
      <c r="BV27" s="84">
        <v>13757.25</v>
      </c>
      <c r="BW27" s="84">
        <v>13757.25</v>
      </c>
      <c r="BX27" s="84">
        <v>13757.25</v>
      </c>
      <c r="BY27" s="84">
        <v>13757.25</v>
      </c>
      <c r="BZ27" s="84">
        <v>13757.25</v>
      </c>
      <c r="CA27" s="84">
        <v>13757.25</v>
      </c>
      <c r="CB27" s="84">
        <v>13757.25</v>
      </c>
      <c r="CC27" s="84">
        <v>13757.25</v>
      </c>
      <c r="CD27" s="84">
        <v>13757.25</v>
      </c>
      <c r="CE27" s="139">
        <f t="shared" si="1"/>
        <v>165087</v>
      </c>
      <c r="CF27" s="142"/>
      <c r="CG27" s="572">
        <f t="shared" si="44"/>
        <v>13757.25</v>
      </c>
      <c r="CH27" s="572">
        <f t="shared" si="44"/>
        <v>13757.25</v>
      </c>
      <c r="CI27" s="84">
        <f t="shared" si="40"/>
        <v>13757.25</v>
      </c>
      <c r="CJ27" s="84">
        <f t="shared" si="49"/>
        <v>13757.25</v>
      </c>
      <c r="CK27" s="84">
        <f t="shared" si="46"/>
        <v>13757.25</v>
      </c>
      <c r="CL27" s="572">
        <f t="shared" si="46"/>
        <v>13757.25</v>
      </c>
      <c r="CM27" s="84">
        <v>13757.25</v>
      </c>
      <c r="CN27" s="84">
        <v>13757.25</v>
      </c>
      <c r="CO27" s="84">
        <v>13757.25</v>
      </c>
      <c r="CP27" s="84">
        <v>14268.12</v>
      </c>
      <c r="CQ27" s="84">
        <v>14450</v>
      </c>
      <c r="CR27" s="84">
        <v>14450</v>
      </c>
      <c r="CS27" s="139">
        <f t="shared" si="2"/>
        <v>166983.37</v>
      </c>
      <c r="CU27" s="501" t="s">
        <v>917</v>
      </c>
      <c r="CV27" s="285" t="s">
        <v>482</v>
      </c>
      <c r="CW27" s="84">
        <v>14803.18</v>
      </c>
      <c r="CX27" s="84">
        <f t="shared" si="47"/>
        <v>14803.18</v>
      </c>
      <c r="CY27" s="84">
        <f t="shared" ref="CY27:DH27" si="59">CX27</f>
        <v>14803.18</v>
      </c>
      <c r="CZ27" s="84">
        <f t="shared" si="59"/>
        <v>14803.18</v>
      </c>
      <c r="DA27" s="84">
        <f t="shared" si="59"/>
        <v>14803.18</v>
      </c>
      <c r="DB27" s="84">
        <f t="shared" si="59"/>
        <v>14803.18</v>
      </c>
      <c r="DC27" s="84">
        <f t="shared" si="59"/>
        <v>14803.18</v>
      </c>
      <c r="DD27" s="84">
        <f t="shared" si="59"/>
        <v>14803.18</v>
      </c>
      <c r="DE27" s="84">
        <f t="shared" si="59"/>
        <v>14803.18</v>
      </c>
      <c r="DF27" s="84">
        <f t="shared" si="59"/>
        <v>14803.18</v>
      </c>
      <c r="DG27" s="84">
        <f t="shared" si="59"/>
        <v>14803.18</v>
      </c>
      <c r="DH27" s="84">
        <f t="shared" si="59"/>
        <v>14803.18</v>
      </c>
      <c r="DI27" s="139">
        <f t="shared" si="19"/>
        <v>177638.15999999995</v>
      </c>
      <c r="DJ27" s="142"/>
      <c r="DK27" s="675">
        <f t="shared" si="20"/>
        <v>14803.18</v>
      </c>
      <c r="DL27" s="572">
        <f t="shared" si="21"/>
        <v>14803.18</v>
      </c>
      <c r="DM27" s="572">
        <f t="shared" si="22"/>
        <v>14803.18</v>
      </c>
      <c r="DN27" s="572">
        <f t="shared" si="23"/>
        <v>14803.18</v>
      </c>
      <c r="DO27" s="572">
        <f t="shared" si="24"/>
        <v>14803.18</v>
      </c>
      <c r="DP27" s="572">
        <f t="shared" si="25"/>
        <v>14803.18</v>
      </c>
      <c r="DQ27" s="572">
        <f t="shared" si="26"/>
        <v>14803.18</v>
      </c>
      <c r="DR27" s="572">
        <f t="shared" si="27"/>
        <v>14803.18</v>
      </c>
      <c r="DS27" s="572">
        <f t="shared" si="28"/>
        <v>14803.18</v>
      </c>
      <c r="DT27" s="572">
        <f t="shared" si="29"/>
        <v>14803.18</v>
      </c>
      <c r="DU27" s="572">
        <f t="shared" si="30"/>
        <v>14803.18</v>
      </c>
      <c r="DV27" s="572">
        <f t="shared" si="31"/>
        <v>14803.18</v>
      </c>
      <c r="DW27" s="139">
        <f t="shared" si="32"/>
        <v>177638.15999999995</v>
      </c>
    </row>
    <row r="28" spans="1:127" x14ac:dyDescent="0.2">
      <c r="A28" s="137" t="s">
        <v>483</v>
      </c>
      <c r="B28" s="109"/>
      <c r="C28" s="110"/>
      <c r="D28" s="111"/>
      <c r="E28" s="109"/>
      <c r="F28" s="110"/>
      <c r="G28" s="111"/>
      <c r="H28" s="109"/>
      <c r="I28" s="110"/>
      <c r="J28" s="111"/>
      <c r="K28" s="109"/>
      <c r="L28" s="110"/>
      <c r="M28" s="111"/>
      <c r="N28" s="109"/>
      <c r="O28" s="110"/>
      <c r="P28" s="111"/>
      <c r="Q28" s="109"/>
      <c r="R28" s="110"/>
      <c r="S28" s="111"/>
      <c r="T28" s="109"/>
      <c r="U28" s="110"/>
      <c r="V28" s="111"/>
      <c r="W28" s="109"/>
      <c r="X28" s="110"/>
      <c r="Y28" s="111"/>
      <c r="Z28" s="109"/>
      <c r="AA28" s="110"/>
      <c r="AB28" s="111">
        <f t="shared" si="53"/>
        <v>0</v>
      </c>
      <c r="AC28" s="109"/>
      <c r="AD28" s="52"/>
      <c r="AE28" s="111">
        <f t="shared" si="54"/>
        <v>0</v>
      </c>
      <c r="AF28" s="109"/>
      <c r="AG28" s="52">
        <v>11900</v>
      </c>
      <c r="AH28" s="111">
        <f t="shared" si="55"/>
        <v>11900</v>
      </c>
      <c r="AI28" s="113"/>
      <c r="AJ28" s="52"/>
      <c r="AK28" s="111">
        <f t="shared" si="56"/>
        <v>0</v>
      </c>
      <c r="AL28" s="138">
        <f t="shared" si="57"/>
        <v>11900</v>
      </c>
      <c r="AM28" s="143" t="s">
        <v>484</v>
      </c>
      <c r="AN28" s="84">
        <v>11900</v>
      </c>
      <c r="AO28" s="84">
        <v>11900</v>
      </c>
      <c r="AP28" s="84">
        <v>11900</v>
      </c>
      <c r="AQ28" s="84">
        <v>11900</v>
      </c>
      <c r="AR28" s="84">
        <v>11900</v>
      </c>
      <c r="AS28" s="85">
        <f>AR28/2</f>
        <v>5950</v>
      </c>
      <c r="AT28" s="85">
        <v>5950</v>
      </c>
      <c r="AU28" s="85">
        <v>5950</v>
      </c>
      <c r="AV28" s="85">
        <v>5950</v>
      </c>
      <c r="AW28" s="85">
        <v>5950</v>
      </c>
      <c r="AX28" s="85">
        <v>5950</v>
      </c>
      <c r="AY28" s="85">
        <v>5950</v>
      </c>
      <c r="AZ28" s="138">
        <f t="shared" si="58"/>
        <v>101150</v>
      </c>
      <c r="BA28" s="142"/>
      <c r="BB28" s="151" t="s">
        <v>485</v>
      </c>
      <c r="BC28" s="147">
        <v>5950</v>
      </c>
      <c r="BD28" s="147">
        <v>5950</v>
      </c>
      <c r="BE28" s="147">
        <v>6188</v>
      </c>
      <c r="BF28" s="147">
        <v>6188</v>
      </c>
      <c r="BG28" s="147">
        <v>6188</v>
      </c>
      <c r="BH28" s="147">
        <v>6188</v>
      </c>
      <c r="BI28" s="147">
        <v>6188</v>
      </c>
      <c r="BJ28" s="147">
        <v>6188</v>
      </c>
      <c r="BK28" s="147">
        <v>6188</v>
      </c>
      <c r="BL28" s="147">
        <v>6188</v>
      </c>
      <c r="BM28" s="147">
        <v>6188</v>
      </c>
      <c r="BN28" s="148">
        <v>6188</v>
      </c>
      <c r="BO28" s="139">
        <f t="shared" si="0"/>
        <v>73780</v>
      </c>
      <c r="BQ28" s="502" t="s">
        <v>917</v>
      </c>
      <c r="BR28" s="283" t="s">
        <v>943</v>
      </c>
      <c r="BS28" s="467">
        <v>7704.06</v>
      </c>
      <c r="BT28" s="84">
        <v>7704.06</v>
      </c>
      <c r="BU28" s="84">
        <v>7704.06</v>
      </c>
      <c r="BV28" s="84">
        <v>7704.06</v>
      </c>
      <c r="BW28" s="84">
        <v>7704.06</v>
      </c>
      <c r="BX28" s="84">
        <v>7704.06</v>
      </c>
      <c r="BY28" s="84">
        <v>7704.06</v>
      </c>
      <c r="BZ28" s="84">
        <v>7704.06</v>
      </c>
      <c r="CA28" s="84">
        <v>7704.06</v>
      </c>
      <c r="CB28" s="84">
        <v>7704.06</v>
      </c>
      <c r="CC28" s="84">
        <v>7704.06</v>
      </c>
      <c r="CD28" s="84">
        <v>7704.06</v>
      </c>
      <c r="CE28" s="139">
        <f t="shared" si="1"/>
        <v>92448.719999999987</v>
      </c>
      <c r="CF28" s="142"/>
      <c r="CG28" s="572">
        <f t="shared" si="44"/>
        <v>7704.06</v>
      </c>
      <c r="CH28" s="572">
        <f t="shared" si="44"/>
        <v>7704.06</v>
      </c>
      <c r="CI28" s="84">
        <f t="shared" si="40"/>
        <v>7704.06</v>
      </c>
      <c r="CJ28" s="84">
        <f t="shared" si="49"/>
        <v>7704.06</v>
      </c>
      <c r="CK28" s="84">
        <f t="shared" si="46"/>
        <v>7704.06</v>
      </c>
      <c r="CL28" s="572">
        <f t="shared" si="46"/>
        <v>7704.06</v>
      </c>
      <c r="CM28" s="84">
        <v>7704.06</v>
      </c>
      <c r="CN28" s="84">
        <v>7704.06</v>
      </c>
      <c r="CO28" s="84">
        <v>7704.06</v>
      </c>
      <c r="CP28" s="84">
        <v>12840.1</v>
      </c>
      <c r="CQ28" s="84">
        <v>12840.1</v>
      </c>
      <c r="CR28" s="84">
        <v>12840.1</v>
      </c>
      <c r="CS28" s="139">
        <f t="shared" si="2"/>
        <v>107856.84000000001</v>
      </c>
      <c r="CU28" s="502" t="s">
        <v>917</v>
      </c>
      <c r="CV28" s="285" t="s">
        <v>1378</v>
      </c>
      <c r="CW28" s="84">
        <v>13797.38</v>
      </c>
      <c r="CX28" s="84">
        <f t="shared" si="47"/>
        <v>13797.38</v>
      </c>
      <c r="CY28" s="84">
        <f t="shared" ref="CY28:DH29" si="60">CX28</f>
        <v>13797.38</v>
      </c>
      <c r="CZ28" s="84">
        <f t="shared" si="60"/>
        <v>13797.38</v>
      </c>
      <c r="DA28" s="84">
        <f t="shared" si="60"/>
        <v>13797.38</v>
      </c>
      <c r="DB28" s="84">
        <f t="shared" si="60"/>
        <v>13797.38</v>
      </c>
      <c r="DC28" s="84">
        <f t="shared" si="60"/>
        <v>13797.38</v>
      </c>
      <c r="DD28" s="84">
        <f t="shared" si="60"/>
        <v>13797.38</v>
      </c>
      <c r="DE28" s="84">
        <f t="shared" si="60"/>
        <v>13797.38</v>
      </c>
      <c r="DF28" s="84">
        <f t="shared" si="60"/>
        <v>13797.38</v>
      </c>
      <c r="DG28" s="84">
        <f t="shared" si="60"/>
        <v>13797.38</v>
      </c>
      <c r="DH28" s="84">
        <f t="shared" si="60"/>
        <v>13797.38</v>
      </c>
      <c r="DI28" s="139">
        <f t="shared" si="19"/>
        <v>165568.56000000003</v>
      </c>
      <c r="DJ28" s="142"/>
      <c r="DK28" s="675">
        <f t="shared" si="20"/>
        <v>13797.38</v>
      </c>
      <c r="DL28" s="572">
        <f t="shared" si="21"/>
        <v>13797.38</v>
      </c>
      <c r="DM28" s="572">
        <f t="shared" si="22"/>
        <v>13797.38</v>
      </c>
      <c r="DN28" s="572">
        <f t="shared" si="23"/>
        <v>13797.38</v>
      </c>
      <c r="DO28" s="572">
        <f t="shared" si="24"/>
        <v>13797.38</v>
      </c>
      <c r="DP28" s="572">
        <f t="shared" si="25"/>
        <v>13797.38</v>
      </c>
      <c r="DQ28" s="572">
        <f t="shared" si="26"/>
        <v>13797.38</v>
      </c>
      <c r="DR28" s="572">
        <f t="shared" si="27"/>
        <v>13797.38</v>
      </c>
      <c r="DS28" s="572">
        <f t="shared" si="28"/>
        <v>13797.38</v>
      </c>
      <c r="DT28" s="572">
        <f t="shared" si="29"/>
        <v>13797.38</v>
      </c>
      <c r="DU28" s="572">
        <f t="shared" si="30"/>
        <v>13797.38</v>
      </c>
      <c r="DV28" s="572">
        <f t="shared" si="31"/>
        <v>13797.38</v>
      </c>
      <c r="DW28" s="139">
        <f t="shared" si="32"/>
        <v>165568.56000000003</v>
      </c>
    </row>
    <row r="29" spans="1:127" x14ac:dyDescent="0.2">
      <c r="A29" s="137" t="s">
        <v>488</v>
      </c>
      <c r="B29" s="109">
        <v>11900</v>
      </c>
      <c r="C29" s="110">
        <v>11960</v>
      </c>
      <c r="D29" s="111">
        <f>+C29-B29</f>
        <v>60</v>
      </c>
      <c r="E29" s="109">
        <v>11900</v>
      </c>
      <c r="F29" s="110">
        <v>11960</v>
      </c>
      <c r="G29" s="111">
        <f>+F29-E29</f>
        <v>60</v>
      </c>
      <c r="H29" s="109">
        <v>11900</v>
      </c>
      <c r="I29" s="110">
        <v>13150</v>
      </c>
      <c r="J29" s="111">
        <f>+I29-H29</f>
        <v>1250</v>
      </c>
      <c r="K29" s="109">
        <v>11900</v>
      </c>
      <c r="L29" s="110">
        <v>11400</v>
      </c>
      <c r="M29" s="111">
        <f>+L29-K29</f>
        <v>-500</v>
      </c>
      <c r="N29" s="109">
        <v>11900</v>
      </c>
      <c r="O29" s="110">
        <v>11960</v>
      </c>
      <c r="P29" s="111">
        <f>+O29-N29</f>
        <v>60</v>
      </c>
      <c r="Q29" s="109">
        <v>11900</v>
      </c>
      <c r="R29" s="110">
        <f>11960+560+560+560</f>
        <v>13640</v>
      </c>
      <c r="S29" s="111">
        <f>+R29-Q29</f>
        <v>1740</v>
      </c>
      <c r="T29" s="109">
        <v>11900</v>
      </c>
      <c r="U29" s="110">
        <v>11960</v>
      </c>
      <c r="V29" s="111">
        <f t="shared" ref="V29:V41" si="61">+U29-T29</f>
        <v>60</v>
      </c>
      <c r="W29" s="109">
        <v>11900</v>
      </c>
      <c r="X29" s="110">
        <v>11960</v>
      </c>
      <c r="Y29" s="111">
        <f t="shared" ref="Y29:Y41" si="62">+X29-W29</f>
        <v>60</v>
      </c>
      <c r="Z29" s="109">
        <v>11900</v>
      </c>
      <c r="AA29" s="110">
        <v>11960</v>
      </c>
      <c r="AB29" s="111">
        <f t="shared" si="53"/>
        <v>60</v>
      </c>
      <c r="AC29" s="109">
        <v>11900</v>
      </c>
      <c r="AD29" s="52">
        <v>11960</v>
      </c>
      <c r="AE29" s="111">
        <f t="shared" si="54"/>
        <v>60</v>
      </c>
      <c r="AF29" s="109">
        <v>11900</v>
      </c>
      <c r="AG29" s="52">
        <v>11960</v>
      </c>
      <c r="AH29" s="111">
        <f t="shared" si="55"/>
        <v>60</v>
      </c>
      <c r="AI29" s="113">
        <v>12325</v>
      </c>
      <c r="AJ29" s="52"/>
      <c r="AK29" s="111">
        <f t="shared" si="56"/>
        <v>-12325</v>
      </c>
      <c r="AL29" s="138">
        <f t="shared" si="57"/>
        <v>133870</v>
      </c>
      <c r="AM29" s="143" t="s">
        <v>489</v>
      </c>
      <c r="AN29" s="84">
        <v>11900</v>
      </c>
      <c r="AO29" s="84">
        <v>11900</v>
      </c>
      <c r="AP29" s="84">
        <v>11900</v>
      </c>
      <c r="AQ29" s="84">
        <v>11900</v>
      </c>
      <c r="AR29" s="84">
        <v>11900</v>
      </c>
      <c r="AS29" s="85">
        <v>11900</v>
      </c>
      <c r="AT29" s="85">
        <v>11900</v>
      </c>
      <c r="AU29" s="85">
        <v>11900</v>
      </c>
      <c r="AV29" s="85">
        <v>11900</v>
      </c>
      <c r="AW29" s="85">
        <v>11900</v>
      </c>
      <c r="AX29" s="85">
        <v>11900</v>
      </c>
      <c r="AY29" s="85">
        <v>11900</v>
      </c>
      <c r="AZ29" s="138">
        <f t="shared" si="58"/>
        <v>142800</v>
      </c>
      <c r="BA29" s="142"/>
      <c r="BB29" s="151" t="s">
        <v>490</v>
      </c>
      <c r="BC29" s="147">
        <v>7140</v>
      </c>
      <c r="BD29" s="147">
        <v>7140</v>
      </c>
      <c r="BE29" s="147">
        <v>7425.6</v>
      </c>
      <c r="BF29" s="147">
        <v>7425.6</v>
      </c>
      <c r="BG29" s="147">
        <v>7425.6</v>
      </c>
      <c r="BH29" s="147">
        <v>7425.6</v>
      </c>
      <c r="BI29" s="147">
        <v>7425.6</v>
      </c>
      <c r="BJ29" s="147">
        <v>7425.6</v>
      </c>
      <c r="BK29" s="147">
        <v>7425.6</v>
      </c>
      <c r="BL29" s="147">
        <v>7425.6</v>
      </c>
      <c r="BM29" s="147">
        <v>7425.6</v>
      </c>
      <c r="BN29" s="148">
        <v>7425.6</v>
      </c>
      <c r="BO29" s="139">
        <f t="shared" si="0"/>
        <v>88536.000000000015</v>
      </c>
      <c r="BQ29" s="502" t="s">
        <v>917</v>
      </c>
      <c r="BR29" s="283" t="s">
        <v>493</v>
      </c>
      <c r="BS29" s="467">
        <v>10251.94</v>
      </c>
      <c r="BT29" s="84">
        <v>10251.94</v>
      </c>
      <c r="BU29" s="84">
        <v>10251.94</v>
      </c>
      <c r="BV29" s="84">
        <v>10251.94</v>
      </c>
      <c r="BW29" s="84">
        <v>10251.94</v>
      </c>
      <c r="BX29" s="84">
        <v>10251.94</v>
      </c>
      <c r="BY29" s="84">
        <v>10251.94</v>
      </c>
      <c r="BZ29" s="84">
        <v>10251.94</v>
      </c>
      <c r="CA29" s="84">
        <v>10251.94</v>
      </c>
      <c r="CB29" s="84">
        <v>10251.94</v>
      </c>
      <c r="CC29" s="84">
        <v>10251.94</v>
      </c>
      <c r="CD29" s="84">
        <v>10251.94</v>
      </c>
      <c r="CE29" s="139">
        <f t="shared" si="1"/>
        <v>123023.28000000001</v>
      </c>
      <c r="CF29" s="142"/>
      <c r="CG29" s="572">
        <f>BS29</f>
        <v>10251.94</v>
      </c>
      <c r="CH29" s="572">
        <f>BT29-482.48</f>
        <v>9769.4600000000009</v>
      </c>
      <c r="CI29" s="84">
        <v>9769.4599999999991</v>
      </c>
      <c r="CJ29" s="84">
        <f t="shared" si="49"/>
        <v>10251.94</v>
      </c>
      <c r="CK29" s="84">
        <f t="shared" si="46"/>
        <v>10251.94</v>
      </c>
      <c r="CL29" s="572">
        <f t="shared" si="46"/>
        <v>10251.94</v>
      </c>
      <c r="CM29" s="84">
        <v>10251.94</v>
      </c>
      <c r="CN29" s="84">
        <v>10251.94</v>
      </c>
      <c r="CO29" s="84">
        <v>10251.94</v>
      </c>
      <c r="CP29" s="84"/>
      <c r="CQ29" s="84"/>
      <c r="CR29" s="84"/>
      <c r="CS29" s="139">
        <f t="shared" si="2"/>
        <v>91302.500000000015</v>
      </c>
      <c r="CU29" s="502" t="s">
        <v>917</v>
      </c>
      <c r="CV29" s="285" t="s">
        <v>493</v>
      </c>
      <c r="CW29" s="84">
        <v>0</v>
      </c>
      <c r="CX29" s="84"/>
      <c r="CY29" s="84">
        <f>CZ29/2</f>
        <v>6800</v>
      </c>
      <c r="CZ29" s="84">
        <f>81600/6</f>
        <v>13600</v>
      </c>
      <c r="DA29" s="84">
        <f>CZ29</f>
        <v>13600</v>
      </c>
      <c r="DB29" s="84">
        <f t="shared" si="60"/>
        <v>13600</v>
      </c>
      <c r="DC29" s="84">
        <f t="shared" si="60"/>
        <v>13600</v>
      </c>
      <c r="DD29" s="84">
        <f>DC29</f>
        <v>13600</v>
      </c>
      <c r="DE29" s="84">
        <f>DD29/2</f>
        <v>6800</v>
      </c>
      <c r="DF29" s="673">
        <f>75000/6</f>
        <v>12500</v>
      </c>
      <c r="DG29" s="673">
        <f>DF29</f>
        <v>12500</v>
      </c>
      <c r="DH29" s="673">
        <f>DG29</f>
        <v>12500</v>
      </c>
      <c r="DI29" s="139">
        <f t="shared" si="19"/>
        <v>119100</v>
      </c>
      <c r="DJ29" s="142"/>
      <c r="DK29" s="572">
        <f t="shared" si="20"/>
        <v>0</v>
      </c>
      <c r="DL29" s="572">
        <f t="shared" si="21"/>
        <v>0</v>
      </c>
      <c r="DM29" s="572">
        <f t="shared" si="22"/>
        <v>6800</v>
      </c>
      <c r="DN29" s="572">
        <f t="shared" si="23"/>
        <v>13600</v>
      </c>
      <c r="DO29" s="572">
        <f t="shared" si="24"/>
        <v>13600</v>
      </c>
      <c r="DP29" s="572">
        <f t="shared" si="25"/>
        <v>13600</v>
      </c>
      <c r="DQ29" s="572">
        <f t="shared" si="26"/>
        <v>13600</v>
      </c>
      <c r="DR29" s="572">
        <f t="shared" si="27"/>
        <v>13600</v>
      </c>
      <c r="DS29" s="572">
        <f t="shared" si="28"/>
        <v>6800</v>
      </c>
      <c r="DT29" s="572">
        <f t="shared" si="29"/>
        <v>12500</v>
      </c>
      <c r="DU29" s="572">
        <f t="shared" si="30"/>
        <v>12500</v>
      </c>
      <c r="DV29" s="572">
        <f t="shared" si="31"/>
        <v>12500</v>
      </c>
      <c r="DW29" s="139">
        <f t="shared" si="32"/>
        <v>119100</v>
      </c>
    </row>
    <row r="30" spans="1:127" x14ac:dyDescent="0.2">
      <c r="A30" s="137" t="s">
        <v>486</v>
      </c>
      <c r="B30" s="109">
        <v>13090</v>
      </c>
      <c r="C30" s="110">
        <v>13150</v>
      </c>
      <c r="D30" s="111">
        <f>+C30-B30</f>
        <v>60</v>
      </c>
      <c r="E30" s="109">
        <v>13090</v>
      </c>
      <c r="F30" s="110">
        <v>13150</v>
      </c>
      <c r="G30" s="111">
        <f>+F30-E30</f>
        <v>60</v>
      </c>
      <c r="H30" s="109">
        <v>13090</v>
      </c>
      <c r="I30" s="110">
        <v>11960</v>
      </c>
      <c r="J30" s="111">
        <f>+I30-H30</f>
        <v>-1130</v>
      </c>
      <c r="K30" s="109">
        <v>13090</v>
      </c>
      <c r="L30" s="110">
        <v>13150</v>
      </c>
      <c r="M30" s="111">
        <f>+L30-K30</f>
        <v>60</v>
      </c>
      <c r="N30" s="109">
        <v>13090</v>
      </c>
      <c r="O30" s="110">
        <f>13150+280+3204.75</f>
        <v>16634.75</v>
      </c>
      <c r="P30" s="111">
        <f>+O30-N30</f>
        <v>3544.75</v>
      </c>
      <c r="Q30" s="109">
        <v>13090</v>
      </c>
      <c r="R30" s="110">
        <f>250+11918</f>
        <v>12168</v>
      </c>
      <c r="S30" s="111">
        <f>+R30-Q30</f>
        <v>-922</v>
      </c>
      <c r="T30" s="109">
        <v>13090</v>
      </c>
      <c r="U30" s="110">
        <v>13150</v>
      </c>
      <c r="V30" s="111">
        <f t="shared" si="61"/>
        <v>60</v>
      </c>
      <c r="W30" s="109">
        <v>13090</v>
      </c>
      <c r="X30" s="110">
        <v>13150</v>
      </c>
      <c r="Y30" s="111">
        <f t="shared" si="62"/>
        <v>60</v>
      </c>
      <c r="Z30" s="109">
        <v>13090</v>
      </c>
      <c r="AA30" s="110">
        <v>13150</v>
      </c>
      <c r="AB30" s="111">
        <f t="shared" si="53"/>
        <v>60</v>
      </c>
      <c r="AC30" s="109">
        <v>13090</v>
      </c>
      <c r="AD30" s="52">
        <v>20650</v>
      </c>
      <c r="AE30" s="111">
        <f t="shared" si="54"/>
        <v>7560</v>
      </c>
      <c r="AF30" s="109">
        <v>13090</v>
      </c>
      <c r="AG30" s="52">
        <v>42295</v>
      </c>
      <c r="AH30" s="111">
        <f t="shared" si="55"/>
        <v>29205</v>
      </c>
      <c r="AI30" s="113">
        <v>13223</v>
      </c>
      <c r="AJ30" s="52"/>
      <c r="AK30" s="111">
        <f t="shared" si="56"/>
        <v>-13223</v>
      </c>
      <c r="AL30" s="138">
        <f t="shared" si="57"/>
        <v>182607.75</v>
      </c>
      <c r="AM30" s="143" t="s">
        <v>487</v>
      </c>
      <c r="AN30" s="84">
        <v>13223.47</v>
      </c>
      <c r="AO30" s="84">
        <v>13223.47</v>
      </c>
      <c r="AP30" s="84">
        <v>13223.47</v>
      </c>
      <c r="AQ30" s="84">
        <v>13223.47</v>
      </c>
      <c r="AR30" s="84">
        <v>13223.47</v>
      </c>
      <c r="AS30" s="85">
        <v>13223.47</v>
      </c>
      <c r="AT30" s="85">
        <v>13223.47</v>
      </c>
      <c r="AU30" s="85">
        <v>13223.47</v>
      </c>
      <c r="AV30" s="85">
        <v>13223.47</v>
      </c>
      <c r="AW30" s="85">
        <v>13223.47</v>
      </c>
      <c r="AX30" s="85">
        <v>13223.47</v>
      </c>
      <c r="AY30" s="85">
        <v>13223.47</v>
      </c>
      <c r="AZ30" s="138">
        <f t="shared" si="58"/>
        <v>158681.63999999998</v>
      </c>
      <c r="BA30" s="142"/>
      <c r="BB30" s="151" t="s">
        <v>487</v>
      </c>
      <c r="BC30" s="147">
        <v>13223.47</v>
      </c>
      <c r="BD30" s="147">
        <v>13223.47</v>
      </c>
      <c r="BE30" s="147">
        <v>13752.41</v>
      </c>
      <c r="BF30" s="147">
        <v>13752.41</v>
      </c>
      <c r="BG30" s="147">
        <v>13752.41</v>
      </c>
      <c r="BH30" s="147">
        <v>13752.41</v>
      </c>
      <c r="BI30" s="147">
        <v>13752.41</v>
      </c>
      <c r="BJ30" s="147">
        <v>13752.41</v>
      </c>
      <c r="BK30" s="147">
        <v>13752.41</v>
      </c>
      <c r="BL30" s="147">
        <v>13752.41</v>
      </c>
      <c r="BM30" s="147">
        <v>13752.41</v>
      </c>
      <c r="BN30" s="148">
        <v>13752.41</v>
      </c>
      <c r="BO30" s="139">
        <f t="shared" si="0"/>
        <v>163971.04</v>
      </c>
      <c r="BQ30" s="502" t="s">
        <v>917</v>
      </c>
      <c r="BR30" s="283" t="s">
        <v>491</v>
      </c>
      <c r="BS30" s="467">
        <v>0</v>
      </c>
      <c r="BT30" s="84">
        <v>0</v>
      </c>
      <c r="BU30" s="84">
        <v>0</v>
      </c>
      <c r="BV30" s="84">
        <v>0</v>
      </c>
      <c r="BW30" s="84">
        <v>0</v>
      </c>
      <c r="BX30" s="84">
        <v>0</v>
      </c>
      <c r="BY30" s="84">
        <v>0</v>
      </c>
      <c r="BZ30" s="84">
        <v>0</v>
      </c>
      <c r="CA30" s="84">
        <v>0</v>
      </c>
      <c r="CB30" s="84">
        <v>0</v>
      </c>
      <c r="CC30" s="84">
        <v>0</v>
      </c>
      <c r="CD30" s="84">
        <v>0</v>
      </c>
      <c r="CE30" s="139">
        <f t="shared" si="1"/>
        <v>0</v>
      </c>
      <c r="CF30" s="142"/>
      <c r="CG30" s="572">
        <f>BS30</f>
        <v>0</v>
      </c>
      <c r="CH30" s="572">
        <f>BT30</f>
        <v>0</v>
      </c>
      <c r="CI30" s="84">
        <f>BU30</f>
        <v>0</v>
      </c>
      <c r="CJ30" s="84">
        <f t="shared" si="49"/>
        <v>0</v>
      </c>
      <c r="CK30" s="84">
        <f t="shared" si="46"/>
        <v>0</v>
      </c>
      <c r="CL30" s="572">
        <f t="shared" si="46"/>
        <v>0</v>
      </c>
      <c r="CM30" s="84">
        <v>0</v>
      </c>
      <c r="CN30" s="84">
        <v>0</v>
      </c>
      <c r="CO30" s="84">
        <v>0</v>
      </c>
      <c r="CP30" s="84">
        <v>0</v>
      </c>
      <c r="CQ30" s="84">
        <v>0</v>
      </c>
      <c r="CR30" s="84">
        <v>0</v>
      </c>
      <c r="CS30" s="139">
        <f t="shared" si="2"/>
        <v>0</v>
      </c>
      <c r="CU30" s="502" t="s">
        <v>917</v>
      </c>
      <c r="CV30" s="285" t="s">
        <v>500</v>
      </c>
      <c r="CW30" s="84" t="s">
        <v>993</v>
      </c>
      <c r="CX30" s="84">
        <v>680</v>
      </c>
      <c r="CY30" s="84" t="s">
        <v>1005</v>
      </c>
      <c r="CZ30" s="84">
        <v>680</v>
      </c>
      <c r="DA30" s="84" t="s">
        <v>1005</v>
      </c>
      <c r="DB30" s="84" t="s">
        <v>1005</v>
      </c>
      <c r="DC30" s="84" t="s">
        <v>1005</v>
      </c>
      <c r="DD30" s="84" t="s">
        <v>1005</v>
      </c>
      <c r="DE30" s="84" t="s">
        <v>1005</v>
      </c>
      <c r="DF30" s="84" t="s">
        <v>1005</v>
      </c>
      <c r="DG30" s="84" t="s">
        <v>1005</v>
      </c>
      <c r="DH30" s="84" t="s">
        <v>1005</v>
      </c>
      <c r="DI30" s="139">
        <f t="shared" si="19"/>
        <v>1360</v>
      </c>
      <c r="DJ30" s="142"/>
      <c r="DK30" s="572" t="str">
        <f t="shared" si="20"/>
        <v xml:space="preserve">$-   </v>
      </c>
      <c r="DL30" s="572">
        <f t="shared" si="21"/>
        <v>680</v>
      </c>
      <c r="DM30" s="572" t="str">
        <f t="shared" si="22"/>
        <v xml:space="preserve"> $-   </v>
      </c>
      <c r="DN30" s="572">
        <f t="shared" si="23"/>
        <v>680</v>
      </c>
      <c r="DO30" s="572" t="str">
        <f t="shared" si="24"/>
        <v xml:space="preserve"> $-   </v>
      </c>
      <c r="DP30" s="572" t="str">
        <f t="shared" si="25"/>
        <v xml:space="preserve"> $-   </v>
      </c>
      <c r="DQ30" s="572" t="str">
        <f t="shared" si="26"/>
        <v xml:space="preserve"> $-   </v>
      </c>
      <c r="DR30" s="572" t="str">
        <f t="shared" si="27"/>
        <v xml:space="preserve"> $-   </v>
      </c>
      <c r="DS30" s="572" t="str">
        <f t="shared" si="28"/>
        <v xml:space="preserve"> $-   </v>
      </c>
      <c r="DT30" s="572" t="str">
        <f t="shared" si="29"/>
        <v xml:space="preserve"> $-   </v>
      </c>
      <c r="DU30" s="572" t="str">
        <f t="shared" si="30"/>
        <v xml:space="preserve"> $-   </v>
      </c>
      <c r="DV30" s="572" t="str">
        <f t="shared" si="31"/>
        <v xml:space="preserve"> $-   </v>
      </c>
      <c r="DW30" s="139">
        <f t="shared" si="32"/>
        <v>1360</v>
      </c>
    </row>
    <row r="31" spans="1:127" x14ac:dyDescent="0.2">
      <c r="A31" s="137" t="s">
        <v>493</v>
      </c>
      <c r="B31" s="109">
        <v>5938.33</v>
      </c>
      <c r="C31" s="110">
        <v>5717.78</v>
      </c>
      <c r="D31" s="111">
        <f>+C31-B31</f>
        <v>-220.55000000000018</v>
      </c>
      <c r="E31" s="109">
        <v>11514.67</v>
      </c>
      <c r="F31" s="110">
        <v>11936.67</v>
      </c>
      <c r="G31" s="111">
        <f>+F31-E31</f>
        <v>422</v>
      </c>
      <c r="H31" s="109">
        <v>11514.67</v>
      </c>
      <c r="I31" s="110">
        <v>11936.67</v>
      </c>
      <c r="J31" s="111">
        <f>+I31-H31</f>
        <v>422</v>
      </c>
      <c r="K31" s="109">
        <v>11514.67</v>
      </c>
      <c r="L31" s="110">
        <v>11375.56</v>
      </c>
      <c r="M31" s="111">
        <f>+L31-K31</f>
        <v>-139.11000000000058</v>
      </c>
      <c r="N31" s="109">
        <v>11876.666666666666</v>
      </c>
      <c r="O31" s="110">
        <v>11375.88</v>
      </c>
      <c r="P31" s="111">
        <f>+O31-N31</f>
        <v>-500.78666666666686</v>
      </c>
      <c r="Q31" s="109">
        <v>11876.666666666666</v>
      </c>
      <c r="R31" s="110">
        <v>11375.88</v>
      </c>
      <c r="S31" s="111">
        <f>+R31-Q31</f>
        <v>-500.78666666666686</v>
      </c>
      <c r="T31" s="109">
        <v>11876.666666666666</v>
      </c>
      <c r="U31" s="110">
        <v>11937</v>
      </c>
      <c r="V31" s="111">
        <f t="shared" si="61"/>
        <v>60.33333333333394</v>
      </c>
      <c r="W31" s="109">
        <v>11876.666666666666</v>
      </c>
      <c r="X31" s="110">
        <v>11937</v>
      </c>
      <c r="Y31" s="111">
        <f t="shared" si="62"/>
        <v>60.33333333333394</v>
      </c>
      <c r="Z31" s="109">
        <v>11876.666666666666</v>
      </c>
      <c r="AA31" s="110"/>
      <c r="AB31" s="111">
        <f t="shared" si="53"/>
        <v>-11876.666666666666</v>
      </c>
      <c r="AC31" s="109">
        <v>11876.666666666666</v>
      </c>
      <c r="AD31" s="52"/>
      <c r="AE31" s="111">
        <f t="shared" si="54"/>
        <v>-11876.666666666666</v>
      </c>
      <c r="AF31" s="109">
        <v>11876.666666666666</v>
      </c>
      <c r="AG31" s="52"/>
      <c r="AH31" s="111">
        <f t="shared" si="55"/>
        <v>-11876.666666666666</v>
      </c>
      <c r="AI31" s="113">
        <v>11876.666666666666</v>
      </c>
      <c r="AJ31" s="52"/>
      <c r="AK31" s="111">
        <f t="shared" si="56"/>
        <v>-11876.666666666666</v>
      </c>
      <c r="AL31" s="138">
        <f t="shared" si="57"/>
        <v>87592.44</v>
      </c>
      <c r="AM31" s="143" t="s">
        <v>493</v>
      </c>
      <c r="AN31" s="84">
        <v>0</v>
      </c>
      <c r="AO31" s="84">
        <v>0</v>
      </c>
      <c r="AP31" s="84">
        <v>0</v>
      </c>
      <c r="AQ31" s="84">
        <v>0</v>
      </c>
      <c r="AR31" s="84">
        <v>0</v>
      </c>
      <c r="AS31" s="85">
        <v>0</v>
      </c>
      <c r="AT31" s="85">
        <v>0</v>
      </c>
      <c r="AU31" s="85">
        <v>0</v>
      </c>
      <c r="AV31" s="85">
        <v>0</v>
      </c>
      <c r="AW31" s="85">
        <v>0</v>
      </c>
      <c r="AX31" s="85">
        <v>0</v>
      </c>
      <c r="AY31" s="85">
        <v>0</v>
      </c>
      <c r="AZ31" s="138">
        <f t="shared" si="58"/>
        <v>0</v>
      </c>
      <c r="BA31" s="142"/>
      <c r="BB31" s="151" t="s">
        <v>493</v>
      </c>
      <c r="BC31" s="147">
        <v>5938.33</v>
      </c>
      <c r="BD31" s="147">
        <v>5938.33</v>
      </c>
      <c r="BE31" s="147">
        <v>6175.86</v>
      </c>
      <c r="BF31" s="147">
        <v>6175.86</v>
      </c>
      <c r="BG31" s="147">
        <v>6175.86</v>
      </c>
      <c r="BH31" s="147">
        <v>6175.86</v>
      </c>
      <c r="BI31" s="147">
        <v>6175.86</v>
      </c>
      <c r="BJ31" s="147">
        <v>6175.86</v>
      </c>
      <c r="BK31" s="147">
        <v>6175.86</v>
      </c>
      <c r="BL31" s="147">
        <v>6175.86</v>
      </c>
      <c r="BM31" s="147">
        <v>6175.86</v>
      </c>
      <c r="BN31" s="148">
        <v>6175.86</v>
      </c>
      <c r="BO31" s="139">
        <f t="shared" si="0"/>
        <v>73635.259999999995</v>
      </c>
      <c r="BQ31" s="502" t="s">
        <v>917</v>
      </c>
      <c r="BR31" s="283" t="s">
        <v>500</v>
      </c>
      <c r="BS31" s="467">
        <v>680</v>
      </c>
      <c r="BT31" s="84" t="s">
        <v>944</v>
      </c>
      <c r="BU31" s="84">
        <v>680</v>
      </c>
      <c r="BV31" s="84" t="s">
        <v>944</v>
      </c>
      <c r="BW31" s="84">
        <v>680</v>
      </c>
      <c r="BX31" s="84" t="s">
        <v>944</v>
      </c>
      <c r="BY31" s="84">
        <v>680</v>
      </c>
      <c r="BZ31" s="84" t="s">
        <v>944</v>
      </c>
      <c r="CA31" s="84">
        <v>680</v>
      </c>
      <c r="CB31" s="84" t="s">
        <v>944</v>
      </c>
      <c r="CC31" s="84">
        <v>680</v>
      </c>
      <c r="CD31" s="84">
        <v>0</v>
      </c>
      <c r="CE31" s="139">
        <f t="shared" si="1"/>
        <v>4080</v>
      </c>
      <c r="CF31" s="142"/>
      <c r="CG31" s="572">
        <v>0</v>
      </c>
      <c r="CH31" s="572" t="str">
        <f>BT31</f>
        <v>-</v>
      </c>
      <c r="CI31" s="84">
        <v>0</v>
      </c>
      <c r="CJ31" s="84"/>
      <c r="CK31" s="84"/>
      <c r="CL31" s="572"/>
      <c r="CM31" s="84"/>
      <c r="CN31" s="84"/>
      <c r="CO31" s="84"/>
      <c r="CP31" s="84"/>
      <c r="CQ31" s="84">
        <v>680</v>
      </c>
      <c r="CR31" s="84">
        <v>0</v>
      </c>
      <c r="CS31" s="139">
        <f t="shared" si="2"/>
        <v>680</v>
      </c>
      <c r="CU31" s="502" t="s">
        <v>917</v>
      </c>
      <c r="CV31" s="285" t="s">
        <v>503</v>
      </c>
      <c r="CW31" s="84">
        <v>416.67</v>
      </c>
      <c r="CX31" s="84">
        <v>416.67</v>
      </c>
      <c r="CY31" s="84">
        <v>416.67</v>
      </c>
      <c r="CZ31" s="84">
        <v>416.67</v>
      </c>
      <c r="DA31" s="84">
        <v>416.67</v>
      </c>
      <c r="DB31" s="84">
        <v>416.67</v>
      </c>
      <c r="DC31" s="84">
        <v>416.67</v>
      </c>
      <c r="DD31" s="84">
        <v>416.67</v>
      </c>
      <c r="DE31" s="84">
        <v>416.67</v>
      </c>
      <c r="DF31" s="84">
        <v>416.67</v>
      </c>
      <c r="DG31" s="84">
        <v>416.67</v>
      </c>
      <c r="DH31" s="84">
        <v>416.67</v>
      </c>
      <c r="DI31" s="139">
        <f t="shared" si="19"/>
        <v>5000.04</v>
      </c>
      <c r="DJ31" s="142"/>
      <c r="DK31" s="572">
        <v>0</v>
      </c>
      <c r="DL31" s="572">
        <f t="shared" si="21"/>
        <v>416.67</v>
      </c>
      <c r="DM31" s="572">
        <f t="shared" si="22"/>
        <v>416.67</v>
      </c>
      <c r="DN31" s="572">
        <f t="shared" si="23"/>
        <v>416.67</v>
      </c>
      <c r="DO31" s="572">
        <f t="shared" si="24"/>
        <v>416.67</v>
      </c>
      <c r="DP31" s="572">
        <f t="shared" si="25"/>
        <v>416.67</v>
      </c>
      <c r="DQ31" s="572">
        <f t="shared" si="26"/>
        <v>416.67</v>
      </c>
      <c r="DR31" s="572">
        <f t="shared" si="27"/>
        <v>416.67</v>
      </c>
      <c r="DS31" s="572">
        <f t="shared" si="28"/>
        <v>416.67</v>
      </c>
      <c r="DT31" s="572">
        <f t="shared" si="29"/>
        <v>416.67</v>
      </c>
      <c r="DU31" s="572">
        <f t="shared" si="30"/>
        <v>416.67</v>
      </c>
      <c r="DV31" s="572">
        <f t="shared" si="31"/>
        <v>416.67</v>
      </c>
      <c r="DW31" s="139">
        <f t="shared" si="32"/>
        <v>4583.37</v>
      </c>
    </row>
    <row r="32" spans="1:127" x14ac:dyDescent="0.2">
      <c r="A32" s="137" t="s">
        <v>494</v>
      </c>
      <c r="B32" s="109"/>
      <c r="C32" s="110"/>
      <c r="D32" s="111"/>
      <c r="E32" s="109"/>
      <c r="F32" s="110"/>
      <c r="G32" s="111"/>
      <c r="H32" s="109"/>
      <c r="I32" s="110"/>
      <c r="J32" s="111"/>
      <c r="K32" s="109"/>
      <c r="L32" s="110"/>
      <c r="M32" s="111"/>
      <c r="N32" s="109"/>
      <c r="O32" s="110"/>
      <c r="P32" s="111"/>
      <c r="Q32" s="109"/>
      <c r="R32" s="110"/>
      <c r="S32" s="111"/>
      <c r="T32" s="109"/>
      <c r="U32" s="110"/>
      <c r="V32" s="111">
        <f t="shared" si="61"/>
        <v>0</v>
      </c>
      <c r="W32" s="109"/>
      <c r="X32" s="110"/>
      <c r="Y32" s="111">
        <f t="shared" si="62"/>
        <v>0</v>
      </c>
      <c r="Z32" s="109"/>
      <c r="AA32" s="110"/>
      <c r="AB32" s="111">
        <f t="shared" si="53"/>
        <v>0</v>
      </c>
      <c r="AC32" s="109"/>
      <c r="AD32" s="52"/>
      <c r="AE32" s="111">
        <f t="shared" si="54"/>
        <v>0</v>
      </c>
      <c r="AF32" s="109"/>
      <c r="AG32" s="52"/>
      <c r="AH32" s="111">
        <f t="shared" si="55"/>
        <v>0</v>
      </c>
      <c r="AI32" s="113">
        <v>11807</v>
      </c>
      <c r="AJ32" s="52"/>
      <c r="AK32" s="111">
        <f t="shared" si="56"/>
        <v>-11807</v>
      </c>
      <c r="AL32" s="138">
        <f t="shared" si="57"/>
        <v>0</v>
      </c>
      <c r="AM32" s="143" t="s">
        <v>495</v>
      </c>
      <c r="AN32" s="84">
        <v>11806.67</v>
      </c>
      <c r="AO32" s="84">
        <v>11806.67</v>
      </c>
      <c r="AP32" s="84">
        <v>11806.67</v>
      </c>
      <c r="AQ32" s="84">
        <v>11806.67</v>
      </c>
      <c r="AR32" s="84">
        <v>11806.67</v>
      </c>
      <c r="AS32" s="85">
        <v>0</v>
      </c>
      <c r="AT32" s="85">
        <v>0</v>
      </c>
      <c r="AU32" s="85">
        <v>0</v>
      </c>
      <c r="AV32" s="85">
        <v>0</v>
      </c>
      <c r="AW32" s="85">
        <v>0</v>
      </c>
      <c r="AX32" s="85">
        <v>0</v>
      </c>
      <c r="AY32" s="85">
        <v>0</v>
      </c>
      <c r="AZ32" s="138">
        <f t="shared" si="58"/>
        <v>59033.35</v>
      </c>
      <c r="BA32" s="142"/>
      <c r="BB32" s="151" t="s">
        <v>495</v>
      </c>
      <c r="BC32" s="147">
        <v>0</v>
      </c>
      <c r="BD32" s="147"/>
      <c r="BE32" s="147"/>
      <c r="BF32" s="147"/>
      <c r="BG32" s="147"/>
      <c r="BH32" s="147"/>
      <c r="BI32" s="147"/>
      <c r="BJ32" s="147"/>
      <c r="BK32" s="147"/>
      <c r="BL32" s="147"/>
      <c r="BM32" s="147"/>
      <c r="BN32" s="148"/>
      <c r="BO32" s="139">
        <f t="shared" si="0"/>
        <v>0</v>
      </c>
      <c r="BQ32" s="502" t="s">
        <v>917</v>
      </c>
      <c r="BR32" s="283" t="s">
        <v>501</v>
      </c>
      <c r="BS32" s="467">
        <v>9000</v>
      </c>
      <c r="BT32" s="84">
        <v>9000</v>
      </c>
      <c r="BU32" s="84">
        <v>0</v>
      </c>
      <c r="BV32" s="84">
        <v>0</v>
      </c>
      <c r="BW32" s="84" t="s">
        <v>944</v>
      </c>
      <c r="BX32" s="84">
        <v>680</v>
      </c>
      <c r="BY32" s="84">
        <v>0</v>
      </c>
      <c r="BZ32" s="84">
        <v>0</v>
      </c>
      <c r="CA32" s="84">
        <v>0</v>
      </c>
      <c r="CB32" s="84">
        <v>680</v>
      </c>
      <c r="CC32" s="84">
        <v>0</v>
      </c>
      <c r="CD32" s="84">
        <v>0</v>
      </c>
      <c r="CE32" s="139">
        <f t="shared" si="1"/>
        <v>19360</v>
      </c>
      <c r="CF32" s="142"/>
      <c r="CG32" s="572">
        <v>0</v>
      </c>
      <c r="CH32" s="572">
        <v>0</v>
      </c>
      <c r="CI32" s="84">
        <f>BU32</f>
        <v>0</v>
      </c>
      <c r="CJ32" s="84">
        <f>BV32</f>
        <v>0</v>
      </c>
      <c r="CK32" s="84" t="str">
        <f>BW32</f>
        <v>-</v>
      </c>
      <c r="CL32" s="572">
        <v>0</v>
      </c>
      <c r="CM32" s="84">
        <v>0</v>
      </c>
      <c r="CN32" s="84">
        <v>0</v>
      </c>
      <c r="CO32" s="84">
        <v>0</v>
      </c>
      <c r="CP32" s="84">
        <v>0</v>
      </c>
      <c r="CQ32" s="84">
        <v>0</v>
      </c>
      <c r="CR32" s="84">
        <v>0</v>
      </c>
      <c r="CS32" s="139">
        <f t="shared" si="2"/>
        <v>0</v>
      </c>
      <c r="CU32" s="502" t="s">
        <v>917</v>
      </c>
      <c r="CV32" s="285" t="s">
        <v>507</v>
      </c>
      <c r="CW32" s="84">
        <v>11907</v>
      </c>
      <c r="CX32" s="84">
        <v>11907</v>
      </c>
      <c r="CY32" s="84">
        <v>11907</v>
      </c>
      <c r="CZ32" s="84">
        <v>11907</v>
      </c>
      <c r="DA32" s="84">
        <v>11907</v>
      </c>
      <c r="DB32" s="84">
        <v>11907</v>
      </c>
      <c r="DC32" s="84">
        <v>11907</v>
      </c>
      <c r="DD32" s="84">
        <v>11907</v>
      </c>
      <c r="DE32" s="84">
        <v>11907</v>
      </c>
      <c r="DF32" s="84">
        <v>11907</v>
      </c>
      <c r="DG32" s="84">
        <v>11907</v>
      </c>
      <c r="DH32" s="84">
        <v>0</v>
      </c>
      <c r="DI32" s="139">
        <f t="shared" si="19"/>
        <v>130977</v>
      </c>
      <c r="DJ32" s="142"/>
      <c r="DK32" s="675">
        <f>CW32+680</f>
        <v>12587</v>
      </c>
      <c r="DL32" s="572">
        <f>CX32</f>
        <v>11907</v>
      </c>
      <c r="DM32" s="572">
        <f t="shared" si="22"/>
        <v>11907</v>
      </c>
      <c r="DN32" s="572">
        <f t="shared" si="23"/>
        <v>11907</v>
      </c>
      <c r="DO32" s="572">
        <f t="shared" si="24"/>
        <v>11907</v>
      </c>
      <c r="DP32" s="572">
        <f t="shared" si="25"/>
        <v>11907</v>
      </c>
      <c r="DQ32" s="572">
        <f t="shared" si="26"/>
        <v>11907</v>
      </c>
      <c r="DR32" s="572">
        <f t="shared" si="27"/>
        <v>11907</v>
      </c>
      <c r="DS32" s="572">
        <f t="shared" si="28"/>
        <v>11907</v>
      </c>
      <c r="DT32" s="572">
        <f t="shared" si="29"/>
        <v>11907</v>
      </c>
      <c r="DU32" s="572">
        <f t="shared" si="30"/>
        <v>11907</v>
      </c>
      <c r="DV32" s="572">
        <f t="shared" si="31"/>
        <v>0</v>
      </c>
      <c r="DW32" s="139">
        <f t="shared" si="32"/>
        <v>131657</v>
      </c>
    </row>
    <row r="33" spans="1:127" x14ac:dyDescent="0.2">
      <c r="A33" s="137" t="s">
        <v>496</v>
      </c>
      <c r="B33" s="109"/>
      <c r="C33" s="110"/>
      <c r="D33" s="111"/>
      <c r="E33" s="109"/>
      <c r="F33" s="110"/>
      <c r="G33" s="111"/>
      <c r="H33" s="109"/>
      <c r="I33" s="110"/>
      <c r="J33" s="111"/>
      <c r="K33" s="109"/>
      <c r="L33" s="110"/>
      <c r="M33" s="111"/>
      <c r="N33" s="109"/>
      <c r="O33" s="110"/>
      <c r="P33" s="111"/>
      <c r="Q33" s="109"/>
      <c r="R33" s="110"/>
      <c r="S33" s="111"/>
      <c r="T33" s="109"/>
      <c r="U33" s="110"/>
      <c r="V33" s="111">
        <f t="shared" si="61"/>
        <v>0</v>
      </c>
      <c r="W33" s="109"/>
      <c r="X33" s="110"/>
      <c r="Y33" s="111">
        <f t="shared" si="62"/>
        <v>0</v>
      </c>
      <c r="Z33" s="109"/>
      <c r="AA33" s="110"/>
      <c r="AB33" s="111">
        <f t="shared" si="53"/>
        <v>0</v>
      </c>
      <c r="AC33" s="109">
        <v>11200</v>
      </c>
      <c r="AD33" s="52"/>
      <c r="AE33" s="111">
        <f t="shared" si="54"/>
        <v>-11200</v>
      </c>
      <c r="AF33" s="109">
        <v>5600</v>
      </c>
      <c r="AG33" s="52"/>
      <c r="AH33" s="111">
        <f t="shared" si="55"/>
        <v>-5600</v>
      </c>
      <c r="AI33" s="113"/>
      <c r="AJ33" s="52"/>
      <c r="AK33" s="111">
        <f t="shared" si="56"/>
        <v>0</v>
      </c>
      <c r="AL33" s="138">
        <f t="shared" si="57"/>
        <v>0</v>
      </c>
      <c r="AM33" s="143" t="s">
        <v>497</v>
      </c>
      <c r="AN33" s="84">
        <v>12325</v>
      </c>
      <c r="AO33" s="84">
        <v>12325</v>
      </c>
      <c r="AP33" s="84">
        <v>12325</v>
      </c>
      <c r="AQ33" s="84">
        <v>12325</v>
      </c>
      <c r="AR33" s="84">
        <v>12325</v>
      </c>
      <c r="AS33" s="85">
        <v>12325</v>
      </c>
      <c r="AT33" s="85">
        <v>12325</v>
      </c>
      <c r="AU33" s="85">
        <v>12325</v>
      </c>
      <c r="AV33" s="85">
        <v>12325</v>
      </c>
      <c r="AW33" s="85">
        <v>12325</v>
      </c>
      <c r="AX33" s="85">
        <v>12325</v>
      </c>
      <c r="AY33" s="85">
        <v>12325</v>
      </c>
      <c r="AZ33" s="138">
        <f t="shared" si="58"/>
        <v>147900</v>
      </c>
      <c r="BA33" s="142"/>
      <c r="BB33" s="151" t="s">
        <v>498</v>
      </c>
      <c r="BC33" s="147">
        <v>12325</v>
      </c>
      <c r="BD33" s="147">
        <v>12325</v>
      </c>
      <c r="BE33" s="147">
        <v>12818</v>
      </c>
      <c r="BF33" s="147">
        <v>12818</v>
      </c>
      <c r="BG33" s="147">
        <v>12818</v>
      </c>
      <c r="BH33" s="147">
        <v>12818</v>
      </c>
      <c r="BI33" s="147">
        <v>12818</v>
      </c>
      <c r="BJ33" s="147">
        <v>12818</v>
      </c>
      <c r="BK33" s="147">
        <v>12818</v>
      </c>
      <c r="BL33" s="147">
        <v>12818</v>
      </c>
      <c r="BM33" s="147">
        <v>12818</v>
      </c>
      <c r="BN33" s="148">
        <v>12818</v>
      </c>
      <c r="BO33" s="139">
        <f t="shared" si="0"/>
        <v>152830</v>
      </c>
      <c r="BQ33" s="502" t="s">
        <v>917</v>
      </c>
      <c r="BR33" s="283" t="s">
        <v>503</v>
      </c>
      <c r="BS33" s="467">
        <v>680</v>
      </c>
      <c r="BT33" s="84">
        <v>680</v>
      </c>
      <c r="BU33" s="84">
        <v>680</v>
      </c>
      <c r="BV33" s="84">
        <v>680</v>
      </c>
      <c r="BW33" s="84">
        <v>680</v>
      </c>
      <c r="BX33" s="84">
        <v>680</v>
      </c>
      <c r="BY33" s="84">
        <v>680</v>
      </c>
      <c r="BZ33" s="84">
        <v>680</v>
      </c>
      <c r="CA33" s="84">
        <v>680</v>
      </c>
      <c r="CB33" s="84">
        <v>680</v>
      </c>
      <c r="CC33" s="84">
        <v>680</v>
      </c>
      <c r="CD33" s="84">
        <v>680</v>
      </c>
      <c r="CE33" s="139">
        <f t="shared" si="1"/>
        <v>8160</v>
      </c>
      <c r="CF33" s="142"/>
      <c r="CG33" s="572">
        <v>0</v>
      </c>
      <c r="CH33" s="572">
        <v>637.5</v>
      </c>
      <c r="CI33" s="84">
        <f>1275-990</f>
        <v>285</v>
      </c>
      <c r="CJ33" s="84">
        <v>0</v>
      </c>
      <c r="CK33" s="84">
        <f>3825-362.5</f>
        <v>3462.5</v>
      </c>
      <c r="CL33" s="572">
        <v>0</v>
      </c>
      <c r="CM33" s="84">
        <v>0</v>
      </c>
      <c r="CN33" s="84">
        <v>0</v>
      </c>
      <c r="CO33" s="84">
        <v>0</v>
      </c>
      <c r="CP33" s="84"/>
      <c r="CQ33" s="84">
        <v>680</v>
      </c>
      <c r="CR33" s="84">
        <v>0</v>
      </c>
      <c r="CS33" s="139">
        <f t="shared" si="2"/>
        <v>5065</v>
      </c>
      <c r="CU33" s="502" t="s">
        <v>917</v>
      </c>
      <c r="CV33" s="285" t="s">
        <v>508</v>
      </c>
      <c r="CW33" s="84">
        <v>7150</v>
      </c>
      <c r="CX33" s="84">
        <v>7150</v>
      </c>
      <c r="CY33" s="84">
        <v>7150</v>
      </c>
      <c r="CZ33" s="84">
        <v>7150</v>
      </c>
      <c r="DA33" s="84">
        <v>7150</v>
      </c>
      <c r="DB33" s="84">
        <v>7150</v>
      </c>
      <c r="DC33" s="84">
        <v>7150</v>
      </c>
      <c r="DD33" s="84">
        <v>7150</v>
      </c>
      <c r="DE33" s="84">
        <v>7150</v>
      </c>
      <c r="DF33" s="84">
        <v>7150</v>
      </c>
      <c r="DG33" s="84">
        <v>7150</v>
      </c>
      <c r="DH33" s="84">
        <v>0</v>
      </c>
      <c r="DI33" s="139">
        <f t="shared" si="19"/>
        <v>78650</v>
      </c>
      <c r="DJ33" s="142"/>
      <c r="DK33" s="675">
        <f t="shared" si="20"/>
        <v>7150</v>
      </c>
      <c r="DL33" s="572">
        <f t="shared" si="21"/>
        <v>7150</v>
      </c>
      <c r="DM33" s="572">
        <f t="shared" si="22"/>
        <v>7150</v>
      </c>
      <c r="DN33" s="572">
        <f t="shared" si="23"/>
        <v>7150</v>
      </c>
      <c r="DO33" s="572">
        <f t="shared" si="24"/>
        <v>7150</v>
      </c>
      <c r="DP33" s="572">
        <f t="shared" si="25"/>
        <v>7150</v>
      </c>
      <c r="DQ33" s="572">
        <f t="shared" si="26"/>
        <v>7150</v>
      </c>
      <c r="DR33" s="572">
        <f t="shared" si="27"/>
        <v>7150</v>
      </c>
      <c r="DS33" s="572">
        <f t="shared" si="28"/>
        <v>7150</v>
      </c>
      <c r="DT33" s="572">
        <f t="shared" si="29"/>
        <v>7150</v>
      </c>
      <c r="DU33" s="572">
        <f t="shared" si="30"/>
        <v>7150</v>
      </c>
      <c r="DV33" s="572">
        <f t="shared" si="31"/>
        <v>0</v>
      </c>
      <c r="DW33" s="139">
        <f t="shared" si="32"/>
        <v>78650</v>
      </c>
    </row>
    <row r="34" spans="1:127" x14ac:dyDescent="0.2">
      <c r="A34" s="137"/>
      <c r="B34" s="109"/>
      <c r="C34" s="110"/>
      <c r="D34" s="111"/>
      <c r="E34" s="109"/>
      <c r="F34" s="110"/>
      <c r="G34" s="111"/>
      <c r="H34" s="109"/>
      <c r="I34" s="110"/>
      <c r="J34" s="111"/>
      <c r="K34" s="109"/>
      <c r="L34" s="110"/>
      <c r="M34" s="111"/>
      <c r="N34" s="109"/>
      <c r="O34" s="110"/>
      <c r="P34" s="111"/>
      <c r="Q34" s="109"/>
      <c r="R34" s="110"/>
      <c r="S34" s="111"/>
      <c r="T34" s="109"/>
      <c r="U34" s="110"/>
      <c r="V34" s="111"/>
      <c r="W34" s="109"/>
      <c r="X34" s="110"/>
      <c r="Y34" s="111"/>
      <c r="Z34" s="109"/>
      <c r="AA34" s="110"/>
      <c r="AB34" s="111"/>
      <c r="AC34" s="109"/>
      <c r="AD34" s="52"/>
      <c r="AE34" s="111"/>
      <c r="AF34" s="109"/>
      <c r="AG34" s="52"/>
      <c r="AH34" s="111"/>
      <c r="AI34" s="113"/>
      <c r="AJ34" s="52"/>
      <c r="AK34" s="111"/>
      <c r="AL34" s="138"/>
      <c r="AM34" s="143"/>
      <c r="AN34" s="84"/>
      <c r="AO34" s="84"/>
      <c r="AP34" s="84"/>
      <c r="AQ34" s="84"/>
      <c r="AR34" s="84"/>
      <c r="AS34" s="85"/>
      <c r="AT34" s="85"/>
      <c r="AU34" s="85"/>
      <c r="AV34" s="85"/>
      <c r="AW34" s="85"/>
      <c r="AX34" s="85"/>
      <c r="AY34" s="85"/>
      <c r="AZ34" s="138"/>
      <c r="BA34" s="142"/>
      <c r="BB34" s="151"/>
      <c r="BC34" s="147"/>
      <c r="BD34" s="147"/>
      <c r="BE34" s="147"/>
      <c r="BF34" s="147"/>
      <c r="BG34" s="147"/>
      <c r="BH34" s="147"/>
      <c r="BI34" s="147"/>
      <c r="BJ34" s="147"/>
      <c r="BK34" s="147"/>
      <c r="BL34" s="147"/>
      <c r="BM34" s="147"/>
      <c r="BN34" s="148"/>
      <c r="BO34" s="139"/>
      <c r="BQ34" s="502"/>
      <c r="BR34" s="283"/>
      <c r="BS34" s="467"/>
      <c r="BT34" s="84"/>
      <c r="BU34" s="84"/>
      <c r="BV34" s="84"/>
      <c r="BW34" s="84"/>
      <c r="BX34" s="84"/>
      <c r="BY34" s="84"/>
      <c r="BZ34" s="84"/>
      <c r="CA34" s="84"/>
      <c r="CB34" s="84"/>
      <c r="CC34" s="84"/>
      <c r="CD34" s="84"/>
      <c r="CE34" s="139"/>
      <c r="CF34" s="142"/>
      <c r="CG34" s="572"/>
      <c r="CH34" s="572"/>
      <c r="CI34" s="84"/>
      <c r="CJ34" s="84"/>
      <c r="CK34" s="84"/>
      <c r="CL34" s="572"/>
      <c r="CM34" s="84"/>
      <c r="CN34" s="84"/>
      <c r="CO34" s="84"/>
      <c r="CP34" s="84"/>
      <c r="CQ34" s="84"/>
      <c r="CR34" s="84"/>
      <c r="CS34" s="139"/>
      <c r="CU34" s="502" t="s">
        <v>917</v>
      </c>
      <c r="CV34" s="285" t="s">
        <v>1400</v>
      </c>
      <c r="CW34" s="84"/>
      <c r="CX34" s="84">
        <v>8500</v>
      </c>
      <c r="CY34" s="84">
        <v>8500</v>
      </c>
      <c r="CZ34" s="84">
        <v>8500</v>
      </c>
      <c r="DA34" s="84">
        <v>8500</v>
      </c>
      <c r="DB34" s="84"/>
      <c r="DC34" s="84">
        <v>8500</v>
      </c>
      <c r="DD34" s="84">
        <v>8500</v>
      </c>
      <c r="DE34" s="84">
        <v>8500</v>
      </c>
      <c r="DF34" s="84">
        <v>8500</v>
      </c>
      <c r="DG34" s="84">
        <v>8500</v>
      </c>
      <c r="DH34" s="84">
        <v>8500</v>
      </c>
      <c r="DI34" s="139">
        <f t="shared" si="19"/>
        <v>85000</v>
      </c>
      <c r="DJ34" s="142"/>
      <c r="DK34" s="675">
        <v>0</v>
      </c>
      <c r="DL34" s="572"/>
      <c r="DM34" s="572"/>
      <c r="DN34" s="572"/>
      <c r="DO34" s="572"/>
      <c r="DP34" s="572"/>
      <c r="DQ34" s="572"/>
      <c r="DR34" s="572"/>
      <c r="DS34" s="572"/>
      <c r="DT34" s="572"/>
      <c r="DU34" s="572"/>
      <c r="DV34" s="572"/>
      <c r="DW34" s="139"/>
    </row>
    <row r="35" spans="1:127" x14ac:dyDescent="0.2">
      <c r="A35" s="137" t="s">
        <v>509</v>
      </c>
      <c r="B35" s="109">
        <v>12600</v>
      </c>
      <c r="C35" s="110">
        <v>12000</v>
      </c>
      <c r="D35" s="111">
        <f>+C35-B35</f>
        <v>-600</v>
      </c>
      <c r="E35" s="109">
        <v>11147.5</v>
      </c>
      <c r="F35" s="110">
        <v>12000</v>
      </c>
      <c r="G35" s="111">
        <f>+F35-E35</f>
        <v>852.5</v>
      </c>
      <c r="H35" s="109">
        <v>11147.5</v>
      </c>
      <c r="I35" s="110">
        <f>68600/3-12000</f>
        <v>10866.666666666668</v>
      </c>
      <c r="J35" s="111">
        <f>+I35-H35</f>
        <v>-280.83333333333212</v>
      </c>
      <c r="K35" s="109">
        <v>11147.5</v>
      </c>
      <c r="L35" s="110">
        <f>33801/3</f>
        <v>11267</v>
      </c>
      <c r="M35" s="111">
        <f>+L35-K35</f>
        <v>119.5</v>
      </c>
      <c r="N35" s="109">
        <v>0</v>
      </c>
      <c r="O35" s="110">
        <v>11267</v>
      </c>
      <c r="P35" s="111">
        <f>+O35-N35</f>
        <v>11267</v>
      </c>
      <c r="Q35" s="109">
        <v>0</v>
      </c>
      <c r="R35" s="110">
        <v>11267</v>
      </c>
      <c r="S35" s="111">
        <f>+R35-Q35</f>
        <v>11267</v>
      </c>
      <c r="T35" s="109">
        <v>11433.333333333334</v>
      </c>
      <c r="U35" s="110">
        <v>11267</v>
      </c>
      <c r="V35" s="111">
        <f t="shared" si="61"/>
        <v>-166.33333333333394</v>
      </c>
      <c r="W35" s="109">
        <v>11433.333333333334</v>
      </c>
      <c r="X35" s="110">
        <v>11267</v>
      </c>
      <c r="Y35" s="111">
        <f t="shared" si="62"/>
        <v>-166.33333333333394</v>
      </c>
      <c r="Z35" s="109">
        <v>11433.333333333334</v>
      </c>
      <c r="AA35" s="110">
        <v>11267</v>
      </c>
      <c r="AB35" s="111">
        <f t="shared" si="53"/>
        <v>-166.33333333333394</v>
      </c>
      <c r="AC35" s="109">
        <v>11433.333333333334</v>
      </c>
      <c r="AD35" s="52">
        <v>11267</v>
      </c>
      <c r="AE35" s="111">
        <f t="shared" si="54"/>
        <v>-166.33333333333394</v>
      </c>
      <c r="AF35" s="109">
        <v>11433.333333333334</v>
      </c>
      <c r="AG35" s="52">
        <v>11267</v>
      </c>
      <c r="AH35" s="111">
        <f t="shared" si="55"/>
        <v>-166.33333333333394</v>
      </c>
      <c r="AI35" s="113">
        <v>11433.333333333334</v>
      </c>
      <c r="AJ35" s="52"/>
      <c r="AK35" s="111">
        <f t="shared" si="56"/>
        <v>-11433.333333333334</v>
      </c>
      <c r="AL35" s="138">
        <f t="shared" si="57"/>
        <v>125002.66666666667</v>
      </c>
      <c r="AM35" s="143" t="s">
        <v>511</v>
      </c>
      <c r="AN35" s="84">
        <v>0</v>
      </c>
      <c r="AO35" s="84">
        <v>0</v>
      </c>
      <c r="AP35" s="84">
        <v>0</v>
      </c>
      <c r="AQ35" s="84">
        <v>500</v>
      </c>
      <c r="AR35" s="84">
        <v>1000</v>
      </c>
      <c r="AS35" s="85">
        <v>0</v>
      </c>
      <c r="AT35" s="85">
        <v>0</v>
      </c>
      <c r="AU35" s="85">
        <v>1000</v>
      </c>
      <c r="AV35" s="85">
        <v>1000</v>
      </c>
      <c r="AW35" s="85">
        <v>1000</v>
      </c>
      <c r="AX35" s="85">
        <v>1000</v>
      </c>
      <c r="AY35" s="85">
        <v>1000</v>
      </c>
      <c r="AZ35" s="138">
        <f t="shared" si="58"/>
        <v>6500</v>
      </c>
      <c r="BA35" s="142" t="s">
        <v>512</v>
      </c>
      <c r="BB35" s="151" t="s">
        <v>511</v>
      </c>
      <c r="BC35" s="147"/>
      <c r="BD35" s="147"/>
      <c r="BE35" s="147"/>
      <c r="BF35" s="147"/>
      <c r="BG35" s="147"/>
      <c r="BH35" s="147"/>
      <c r="BI35" s="147"/>
      <c r="BJ35" s="147"/>
      <c r="BK35" s="147"/>
      <c r="BL35" s="147"/>
      <c r="BM35" s="147"/>
      <c r="BN35" s="148"/>
      <c r="BO35" s="139">
        <f t="shared" si="0"/>
        <v>0</v>
      </c>
      <c r="BQ35" s="502" t="s">
        <v>917</v>
      </c>
      <c r="BR35" s="283" t="s">
        <v>517</v>
      </c>
      <c r="BS35" s="467">
        <v>680</v>
      </c>
      <c r="BT35" s="84" t="s">
        <v>944</v>
      </c>
      <c r="BU35" s="84">
        <v>680</v>
      </c>
      <c r="BV35" s="84" t="s">
        <v>944</v>
      </c>
      <c r="BW35" s="84">
        <v>680</v>
      </c>
      <c r="BX35" s="84" t="s">
        <v>944</v>
      </c>
      <c r="BY35" s="84">
        <v>680</v>
      </c>
      <c r="BZ35" s="84" t="s">
        <v>944</v>
      </c>
      <c r="CA35" s="84">
        <v>680</v>
      </c>
      <c r="CB35" s="84" t="s">
        <v>944</v>
      </c>
      <c r="CC35" s="84">
        <v>680</v>
      </c>
      <c r="CD35" s="84" t="s">
        <v>944</v>
      </c>
      <c r="CE35" s="139">
        <f t="shared" si="1"/>
        <v>4080</v>
      </c>
      <c r="CF35" s="142"/>
      <c r="CG35" s="572">
        <v>0</v>
      </c>
      <c r="CH35" s="572" t="str">
        <f>BT35</f>
        <v>-</v>
      </c>
      <c r="CI35" s="84">
        <v>0</v>
      </c>
      <c r="CJ35" s="84"/>
      <c r="CK35" s="84"/>
      <c r="CL35" s="572"/>
      <c r="CM35" s="84"/>
      <c r="CN35" s="84"/>
      <c r="CO35" s="84"/>
      <c r="CP35" s="84"/>
      <c r="CQ35" s="84">
        <v>680</v>
      </c>
      <c r="CR35" s="84"/>
      <c r="CS35" s="139">
        <f t="shared" si="2"/>
        <v>680</v>
      </c>
      <c r="CU35" s="502" t="s">
        <v>917</v>
      </c>
      <c r="CV35" s="285" t="s">
        <v>1201</v>
      </c>
      <c r="CW35" s="84" t="s">
        <v>1005</v>
      </c>
      <c r="CX35" s="84">
        <v>2550</v>
      </c>
      <c r="CY35" s="84" t="s">
        <v>1005</v>
      </c>
      <c r="CZ35" s="84">
        <v>2550</v>
      </c>
      <c r="DA35" s="84">
        <v>2550</v>
      </c>
      <c r="DB35" s="84"/>
      <c r="DC35" s="84">
        <v>2550</v>
      </c>
      <c r="DD35" s="84">
        <v>2550</v>
      </c>
      <c r="DE35" s="84" t="s">
        <v>1005</v>
      </c>
      <c r="DF35" s="84">
        <v>2550</v>
      </c>
      <c r="DG35" s="84" t="s">
        <v>1005</v>
      </c>
      <c r="DH35" s="84">
        <v>2550</v>
      </c>
      <c r="DI35" s="139">
        <f t="shared" si="19"/>
        <v>17850</v>
      </c>
      <c r="DJ35" s="142"/>
      <c r="DK35" s="675">
        <v>4250</v>
      </c>
      <c r="DL35" s="572">
        <f t="shared" si="21"/>
        <v>2550</v>
      </c>
      <c r="DM35" s="572" t="str">
        <f t="shared" si="22"/>
        <v xml:space="preserve"> $-   </v>
      </c>
      <c r="DN35" s="572">
        <f t="shared" si="23"/>
        <v>2550</v>
      </c>
      <c r="DO35" s="572">
        <f t="shared" si="24"/>
        <v>2550</v>
      </c>
      <c r="DP35" s="572">
        <f t="shared" si="25"/>
        <v>0</v>
      </c>
      <c r="DQ35" s="572">
        <f t="shared" si="26"/>
        <v>2550</v>
      </c>
      <c r="DR35" s="572">
        <f t="shared" si="27"/>
        <v>2550</v>
      </c>
      <c r="DS35" s="572" t="str">
        <f t="shared" si="28"/>
        <v xml:space="preserve"> $-   </v>
      </c>
      <c r="DT35" s="572">
        <f t="shared" si="29"/>
        <v>2550</v>
      </c>
      <c r="DU35" s="572" t="str">
        <f t="shared" si="30"/>
        <v xml:space="preserve"> $-   </v>
      </c>
      <c r="DV35" s="572">
        <f t="shared" si="31"/>
        <v>2550</v>
      </c>
      <c r="DW35" s="139">
        <f t="shared" si="32"/>
        <v>22100</v>
      </c>
    </row>
    <row r="36" spans="1:127" x14ac:dyDescent="0.2">
      <c r="A36" s="137" t="s">
        <v>499</v>
      </c>
      <c r="B36" s="109"/>
      <c r="C36" s="110"/>
      <c r="D36" s="111"/>
      <c r="E36" s="109"/>
      <c r="F36" s="110"/>
      <c r="G36" s="111"/>
      <c r="H36" s="109"/>
      <c r="I36" s="110"/>
      <c r="J36" s="111"/>
      <c r="K36" s="109"/>
      <c r="L36" s="110"/>
      <c r="M36" s="111"/>
      <c r="N36" s="109"/>
      <c r="O36" s="110"/>
      <c r="P36" s="111"/>
      <c r="Q36" s="109"/>
      <c r="R36" s="110"/>
      <c r="S36" s="111"/>
      <c r="T36" s="109"/>
      <c r="U36" s="110"/>
      <c r="V36" s="111">
        <f t="shared" si="61"/>
        <v>0</v>
      </c>
      <c r="W36" s="109"/>
      <c r="X36" s="110">
        <v>600</v>
      </c>
      <c r="Y36" s="111">
        <f t="shared" si="62"/>
        <v>600</v>
      </c>
      <c r="Z36" s="109"/>
      <c r="AA36" s="110"/>
      <c r="AB36" s="111">
        <f t="shared" si="53"/>
        <v>0</v>
      </c>
      <c r="AC36" s="109">
        <v>11900</v>
      </c>
      <c r="AD36" s="52"/>
      <c r="AE36" s="111">
        <f t="shared" si="54"/>
        <v>-11900</v>
      </c>
      <c r="AF36" s="109">
        <v>11900</v>
      </c>
      <c r="AG36" s="52"/>
      <c r="AH36" s="111">
        <f t="shared" si="55"/>
        <v>-11900</v>
      </c>
      <c r="AI36" s="113">
        <v>11900</v>
      </c>
      <c r="AJ36" s="52"/>
      <c r="AK36" s="111">
        <f t="shared" si="56"/>
        <v>-11900</v>
      </c>
      <c r="AL36" s="138">
        <f t="shared" si="57"/>
        <v>600</v>
      </c>
      <c r="AM36" s="143" t="s">
        <v>500</v>
      </c>
      <c r="AN36" s="84">
        <v>600</v>
      </c>
      <c r="AO36" s="84">
        <v>600</v>
      </c>
      <c r="AP36" s="84">
        <v>600</v>
      </c>
      <c r="AQ36" s="84">
        <v>600</v>
      </c>
      <c r="AR36" s="84">
        <v>600</v>
      </c>
      <c r="AS36" s="85">
        <v>600</v>
      </c>
      <c r="AT36" s="85">
        <v>600</v>
      </c>
      <c r="AU36" s="85">
        <v>600</v>
      </c>
      <c r="AV36" s="85">
        <v>600</v>
      </c>
      <c r="AW36" s="85">
        <v>600</v>
      </c>
      <c r="AX36" s="85">
        <v>600</v>
      </c>
      <c r="AY36" s="85">
        <v>600</v>
      </c>
      <c r="AZ36" s="138">
        <f t="shared" si="58"/>
        <v>7200</v>
      </c>
      <c r="BA36" s="142"/>
      <c r="BB36" s="151" t="s">
        <v>500</v>
      </c>
      <c r="BC36" s="147">
        <v>340</v>
      </c>
      <c r="BD36" s="147">
        <v>0</v>
      </c>
      <c r="BE36" s="147">
        <v>340</v>
      </c>
      <c r="BF36" s="147">
        <v>0</v>
      </c>
      <c r="BG36" s="147">
        <v>340</v>
      </c>
      <c r="BH36" s="147">
        <v>0</v>
      </c>
      <c r="BI36" s="147">
        <v>340</v>
      </c>
      <c r="BJ36" s="147">
        <v>0</v>
      </c>
      <c r="BK36" s="147">
        <v>340</v>
      </c>
      <c r="BL36" s="147">
        <v>0</v>
      </c>
      <c r="BM36" s="147">
        <v>340</v>
      </c>
      <c r="BN36" s="148">
        <v>0</v>
      </c>
      <c r="BO36" s="139">
        <f t="shared" si="0"/>
        <v>2040</v>
      </c>
      <c r="BQ36" s="502" t="s">
        <v>917</v>
      </c>
      <c r="BR36" s="283" t="s">
        <v>504</v>
      </c>
      <c r="BS36" s="467">
        <v>0</v>
      </c>
      <c r="BT36" s="84">
        <v>0</v>
      </c>
      <c r="BU36" s="84">
        <v>0</v>
      </c>
      <c r="BV36" s="84">
        <v>0</v>
      </c>
      <c r="BW36" s="84">
        <v>0</v>
      </c>
      <c r="BX36" s="84">
        <v>0</v>
      </c>
      <c r="BY36" s="84">
        <v>0</v>
      </c>
      <c r="BZ36" s="84">
        <v>0</v>
      </c>
      <c r="CA36" s="84">
        <v>0</v>
      </c>
      <c r="CB36" s="84">
        <v>0</v>
      </c>
      <c r="CC36" s="84">
        <v>0</v>
      </c>
      <c r="CD36" s="84">
        <v>0</v>
      </c>
      <c r="CE36" s="139">
        <f t="shared" si="1"/>
        <v>0</v>
      </c>
      <c r="CF36" s="142"/>
      <c r="CG36" s="572">
        <f>BS36</f>
        <v>0</v>
      </c>
      <c r="CH36" s="572">
        <f>BT36</f>
        <v>0</v>
      </c>
      <c r="CI36" s="84">
        <f>BU36</f>
        <v>0</v>
      </c>
      <c r="CJ36" s="84">
        <f>BV36</f>
        <v>0</v>
      </c>
      <c r="CK36" s="84">
        <f>BW36</f>
        <v>0</v>
      </c>
      <c r="CL36" s="572">
        <f>BX36</f>
        <v>0</v>
      </c>
      <c r="CM36" s="84">
        <v>0</v>
      </c>
      <c r="CN36" s="84">
        <v>0</v>
      </c>
      <c r="CO36" s="84">
        <v>0</v>
      </c>
      <c r="CP36" s="84">
        <v>0</v>
      </c>
      <c r="CQ36" s="84">
        <v>0</v>
      </c>
      <c r="CR36" s="84">
        <v>0</v>
      </c>
      <c r="CS36" s="139">
        <f t="shared" si="2"/>
        <v>0</v>
      </c>
      <c r="CU36" s="502" t="s">
        <v>918</v>
      </c>
      <c r="CV36" s="646" t="s">
        <v>518</v>
      </c>
      <c r="CW36" s="84">
        <v>11860.56</v>
      </c>
      <c r="CX36" s="467">
        <v>11860.56</v>
      </c>
      <c r="CY36" s="84">
        <v>0</v>
      </c>
      <c r="CZ36" s="84">
        <v>0</v>
      </c>
      <c r="DA36" s="84">
        <v>0</v>
      </c>
      <c r="DB36" s="84">
        <v>0</v>
      </c>
      <c r="DC36" s="84">
        <v>0</v>
      </c>
      <c r="DD36" s="84">
        <v>0</v>
      </c>
      <c r="DE36" s="84">
        <v>0</v>
      </c>
      <c r="DF36" s="84">
        <v>0</v>
      </c>
      <c r="DG36" s="84">
        <v>0</v>
      </c>
      <c r="DH36" s="84">
        <v>0</v>
      </c>
      <c r="DI36" s="139">
        <f t="shared" si="19"/>
        <v>23721.119999999999</v>
      </c>
      <c r="DJ36" s="142"/>
      <c r="DK36" s="675">
        <f t="shared" si="20"/>
        <v>11860.56</v>
      </c>
      <c r="DL36" s="572">
        <f t="shared" si="21"/>
        <v>11860.56</v>
      </c>
      <c r="DM36" s="572">
        <f t="shared" si="22"/>
        <v>0</v>
      </c>
      <c r="DN36" s="572">
        <f t="shared" si="23"/>
        <v>0</v>
      </c>
      <c r="DO36" s="572">
        <f t="shared" si="24"/>
        <v>0</v>
      </c>
      <c r="DP36" s="572">
        <f t="shared" si="25"/>
        <v>0</v>
      </c>
      <c r="DQ36" s="572">
        <f t="shared" si="26"/>
        <v>0</v>
      </c>
      <c r="DR36" s="572">
        <f t="shared" si="27"/>
        <v>0</v>
      </c>
      <c r="DS36" s="572">
        <f t="shared" si="28"/>
        <v>0</v>
      </c>
      <c r="DT36" s="572">
        <f t="shared" si="29"/>
        <v>0</v>
      </c>
      <c r="DU36" s="572">
        <f t="shared" si="30"/>
        <v>0</v>
      </c>
      <c r="DV36" s="572">
        <f t="shared" si="31"/>
        <v>0</v>
      </c>
      <c r="DW36" s="139">
        <f t="shared" si="32"/>
        <v>23721.119999999999</v>
      </c>
    </row>
    <row r="37" spans="1:127" x14ac:dyDescent="0.2">
      <c r="A37" s="137" t="s">
        <v>499</v>
      </c>
      <c r="B37" s="109"/>
      <c r="C37" s="110"/>
      <c r="D37" s="111"/>
      <c r="E37" s="109"/>
      <c r="F37" s="110"/>
      <c r="G37" s="111"/>
      <c r="H37" s="109"/>
      <c r="I37" s="110"/>
      <c r="J37" s="111"/>
      <c r="K37" s="109"/>
      <c r="L37" s="110"/>
      <c r="M37" s="111"/>
      <c r="N37" s="109"/>
      <c r="O37" s="110"/>
      <c r="P37" s="111"/>
      <c r="Q37" s="109"/>
      <c r="R37" s="110"/>
      <c r="S37" s="111"/>
      <c r="T37" s="109"/>
      <c r="U37" s="110"/>
      <c r="V37" s="111">
        <f t="shared" si="61"/>
        <v>0</v>
      </c>
      <c r="W37" s="109"/>
      <c r="X37" s="110"/>
      <c r="Y37" s="111">
        <f t="shared" si="62"/>
        <v>0</v>
      </c>
      <c r="Z37" s="109"/>
      <c r="AA37" s="110"/>
      <c r="AB37" s="111">
        <f t="shared" si="53"/>
        <v>0</v>
      </c>
      <c r="AC37" s="109">
        <v>11900</v>
      </c>
      <c r="AD37" s="52"/>
      <c r="AE37" s="111">
        <f t="shared" si="54"/>
        <v>-11900</v>
      </c>
      <c r="AF37" s="109">
        <v>11900</v>
      </c>
      <c r="AG37" s="52"/>
      <c r="AH37" s="111">
        <f t="shared" si="55"/>
        <v>-11900</v>
      </c>
      <c r="AI37" s="113">
        <v>11900</v>
      </c>
      <c r="AJ37" s="52"/>
      <c r="AK37" s="111">
        <f t="shared" si="56"/>
        <v>-11900</v>
      </c>
      <c r="AL37" s="138">
        <f t="shared" si="57"/>
        <v>0</v>
      </c>
      <c r="AM37" s="143" t="s">
        <v>501</v>
      </c>
      <c r="AN37" s="84">
        <v>100</v>
      </c>
      <c r="AO37" s="84">
        <v>100</v>
      </c>
      <c r="AP37" s="84">
        <v>100</v>
      </c>
      <c r="AQ37" s="84">
        <v>100</v>
      </c>
      <c r="AR37" s="84">
        <v>100</v>
      </c>
      <c r="AS37" s="85">
        <v>100</v>
      </c>
      <c r="AT37" s="85">
        <v>100</v>
      </c>
      <c r="AU37" s="85">
        <v>100</v>
      </c>
      <c r="AV37" s="85">
        <v>100</v>
      </c>
      <c r="AW37" s="85">
        <v>100</v>
      </c>
      <c r="AX37" s="85">
        <v>100</v>
      </c>
      <c r="AY37" s="85">
        <v>100</v>
      </c>
      <c r="AZ37" s="138">
        <f t="shared" si="58"/>
        <v>1200</v>
      </c>
      <c r="BA37" s="142"/>
      <c r="BB37" s="151" t="s">
        <v>501</v>
      </c>
      <c r="BC37" s="147">
        <v>7425</v>
      </c>
      <c r="BD37" s="147">
        <v>7425</v>
      </c>
      <c r="BE37" s="147">
        <v>0</v>
      </c>
      <c r="BF37" s="147">
        <v>340</v>
      </c>
      <c r="BG37" s="147">
        <v>0</v>
      </c>
      <c r="BH37" s="147">
        <v>340</v>
      </c>
      <c r="BI37" s="147">
        <v>0</v>
      </c>
      <c r="BJ37" s="147">
        <v>340</v>
      </c>
      <c r="BK37" s="147">
        <v>0</v>
      </c>
      <c r="BL37" s="147">
        <v>340</v>
      </c>
      <c r="BM37" s="147">
        <v>0</v>
      </c>
      <c r="BN37" s="148">
        <v>340</v>
      </c>
      <c r="BO37" s="139">
        <f t="shared" si="0"/>
        <v>16550</v>
      </c>
      <c r="BQ37" s="502" t="s">
        <v>917</v>
      </c>
      <c r="BR37" s="283" t="s">
        <v>505</v>
      </c>
      <c r="BS37" s="467">
        <v>12000</v>
      </c>
      <c r="BT37" s="84">
        <v>12000</v>
      </c>
      <c r="BU37" s="84">
        <v>12000</v>
      </c>
      <c r="BV37" s="84">
        <v>12000</v>
      </c>
      <c r="BW37" s="84">
        <v>12000</v>
      </c>
      <c r="BX37" s="84">
        <v>12000</v>
      </c>
      <c r="BY37" s="84">
        <v>12000</v>
      </c>
      <c r="BZ37" s="84">
        <v>12000</v>
      </c>
      <c r="CA37" s="84">
        <v>12000</v>
      </c>
      <c r="CB37" s="84">
        <v>12000</v>
      </c>
      <c r="CC37" s="84">
        <v>12000</v>
      </c>
      <c r="CD37" s="84">
        <v>1200</v>
      </c>
      <c r="CE37" s="139">
        <f t="shared" si="1"/>
        <v>133200</v>
      </c>
      <c r="CF37" s="142"/>
      <c r="CG37" s="572">
        <f>2400+11400</f>
        <v>13800</v>
      </c>
      <c r="CH37" s="572">
        <f>2250+10800</f>
        <v>13050</v>
      </c>
      <c r="CI37" s="84">
        <f>BU37+600</f>
        <v>12600</v>
      </c>
      <c r="CJ37" s="84">
        <v>12000</v>
      </c>
      <c r="CK37" s="84">
        <f>10800+4500</f>
        <v>15300</v>
      </c>
      <c r="CL37" s="572">
        <f>4500+18020+4500</f>
        <v>27020</v>
      </c>
      <c r="CM37" s="84">
        <v>0</v>
      </c>
      <c r="CN37" s="84">
        <v>9000</v>
      </c>
      <c r="CO37" s="84">
        <v>13200</v>
      </c>
      <c r="CP37" s="84">
        <v>27760</v>
      </c>
      <c r="CQ37" s="84">
        <v>4000</v>
      </c>
      <c r="CR37" s="84">
        <v>0</v>
      </c>
      <c r="CS37" s="139">
        <f t="shared" si="2"/>
        <v>147730</v>
      </c>
      <c r="CU37" s="502" t="s">
        <v>918</v>
      </c>
      <c r="CV37" s="285" t="s">
        <v>1140</v>
      </c>
      <c r="CW37" s="84">
        <v>12083.33</v>
      </c>
      <c r="CX37" s="84">
        <v>12083.33</v>
      </c>
      <c r="CY37" s="84">
        <v>12083.33</v>
      </c>
      <c r="CZ37" s="84">
        <v>12083.33</v>
      </c>
      <c r="DA37" s="84">
        <v>12083.33</v>
      </c>
      <c r="DB37" s="84">
        <v>12083.33</v>
      </c>
      <c r="DC37" s="84">
        <v>12083.33</v>
      </c>
      <c r="DD37" s="84">
        <v>12083.33</v>
      </c>
      <c r="DE37" s="84">
        <v>12083.33</v>
      </c>
      <c r="DF37" s="84">
        <v>12083.33</v>
      </c>
      <c r="DG37" s="84">
        <v>12316.67</v>
      </c>
      <c r="DH37" s="84">
        <v>12316.67</v>
      </c>
      <c r="DI37" s="139">
        <f t="shared" si="19"/>
        <v>145466.64000000001</v>
      </c>
      <c r="DJ37" s="142"/>
      <c r="DK37" s="675">
        <v>12388.8</v>
      </c>
      <c r="DL37" s="572">
        <f t="shared" si="21"/>
        <v>12083.33</v>
      </c>
      <c r="DM37" s="572">
        <f t="shared" si="22"/>
        <v>12083.33</v>
      </c>
      <c r="DN37" s="572">
        <f t="shared" si="23"/>
        <v>12083.33</v>
      </c>
      <c r="DO37" s="572">
        <f t="shared" si="24"/>
        <v>12083.33</v>
      </c>
      <c r="DP37" s="572">
        <f t="shared" si="25"/>
        <v>12083.33</v>
      </c>
      <c r="DQ37" s="572">
        <f t="shared" si="26"/>
        <v>12083.33</v>
      </c>
      <c r="DR37" s="572">
        <f t="shared" si="27"/>
        <v>12083.33</v>
      </c>
      <c r="DS37" s="572">
        <f t="shared" si="28"/>
        <v>12083.33</v>
      </c>
      <c r="DT37" s="572">
        <f t="shared" si="29"/>
        <v>12083.33</v>
      </c>
      <c r="DU37" s="572">
        <f t="shared" si="30"/>
        <v>12316.67</v>
      </c>
      <c r="DV37" s="572">
        <f t="shared" si="31"/>
        <v>12316.67</v>
      </c>
      <c r="DW37" s="139">
        <f t="shared" si="32"/>
        <v>145772.11000000002</v>
      </c>
    </row>
    <row r="38" spans="1:127" x14ac:dyDescent="0.2">
      <c r="A38" s="137" t="s">
        <v>500</v>
      </c>
      <c r="B38" s="109"/>
      <c r="C38" s="110"/>
      <c r="D38" s="111"/>
      <c r="E38" s="109"/>
      <c r="F38" s="110"/>
      <c r="G38" s="111"/>
      <c r="H38" s="109"/>
      <c r="I38" s="110"/>
      <c r="J38" s="111"/>
      <c r="K38" s="109"/>
      <c r="L38" s="110"/>
      <c r="M38" s="111"/>
      <c r="N38" s="109">
        <v>9000</v>
      </c>
      <c r="O38" s="110"/>
      <c r="P38" s="111"/>
      <c r="Q38" s="109">
        <v>4500</v>
      </c>
      <c r="R38" s="110"/>
      <c r="S38" s="111"/>
      <c r="T38" s="109">
        <v>1200</v>
      </c>
      <c r="U38" s="110"/>
      <c r="V38" s="111">
        <f t="shared" si="61"/>
        <v>-1200</v>
      </c>
      <c r="W38" s="109">
        <v>3000</v>
      </c>
      <c r="X38" s="110">
        <v>6412.5</v>
      </c>
      <c r="Y38" s="111">
        <f t="shared" si="62"/>
        <v>3412.5</v>
      </c>
      <c r="Z38" s="109">
        <v>2000</v>
      </c>
      <c r="AA38" s="110"/>
      <c r="AB38" s="111">
        <f t="shared" si="53"/>
        <v>-2000</v>
      </c>
      <c r="AC38" s="109">
        <v>2000</v>
      </c>
      <c r="AD38" s="52"/>
      <c r="AE38" s="111">
        <f t="shared" si="54"/>
        <v>-2000</v>
      </c>
      <c r="AF38" s="109">
        <v>2000</v>
      </c>
      <c r="AG38" s="52"/>
      <c r="AH38" s="111">
        <f t="shared" si="55"/>
        <v>-2000</v>
      </c>
      <c r="AI38" s="113">
        <v>2000</v>
      </c>
      <c r="AJ38" s="52"/>
      <c r="AK38" s="111">
        <f t="shared" si="56"/>
        <v>-2000</v>
      </c>
      <c r="AL38" s="138">
        <f t="shared" si="57"/>
        <v>6412.5</v>
      </c>
      <c r="AM38" s="143" t="s">
        <v>502</v>
      </c>
      <c r="AN38" s="84">
        <v>0</v>
      </c>
      <c r="AO38" s="84">
        <v>0</v>
      </c>
      <c r="AP38" s="84">
        <v>0</v>
      </c>
      <c r="AQ38" s="84">
        <v>0</v>
      </c>
      <c r="AR38" s="84">
        <v>0</v>
      </c>
      <c r="AS38" s="85">
        <v>0</v>
      </c>
      <c r="AT38" s="85">
        <v>0</v>
      </c>
      <c r="AU38" s="85">
        <v>0</v>
      </c>
      <c r="AV38" s="85">
        <v>0</v>
      </c>
      <c r="AW38" s="85">
        <v>0</v>
      </c>
      <c r="AX38" s="85">
        <v>0</v>
      </c>
      <c r="AY38" s="85">
        <v>0</v>
      </c>
      <c r="AZ38" s="138">
        <f t="shared" si="58"/>
        <v>0</v>
      </c>
      <c r="BA38" s="142"/>
      <c r="BB38" s="151" t="s">
        <v>502</v>
      </c>
      <c r="BC38" s="147">
        <v>0</v>
      </c>
      <c r="BD38" s="147"/>
      <c r="BE38" s="147"/>
      <c r="BF38" s="147"/>
      <c r="BG38" s="147"/>
      <c r="BH38" s="147"/>
      <c r="BI38" s="147"/>
      <c r="BJ38" s="147"/>
      <c r="BK38" s="147"/>
      <c r="BL38" s="147"/>
      <c r="BM38" s="147"/>
      <c r="BN38" s="148"/>
      <c r="BO38" s="139">
        <f t="shared" si="0"/>
        <v>0</v>
      </c>
      <c r="BQ38" s="502" t="s">
        <v>917</v>
      </c>
      <c r="BR38" s="283" t="s">
        <v>506</v>
      </c>
      <c r="BS38" s="467">
        <v>680</v>
      </c>
      <c r="BT38" s="84">
        <v>0</v>
      </c>
      <c r="BU38" s="84">
        <v>680</v>
      </c>
      <c r="BV38" s="84">
        <v>0</v>
      </c>
      <c r="BW38" s="84">
        <v>680</v>
      </c>
      <c r="BX38" s="84">
        <v>0</v>
      </c>
      <c r="BY38" s="84">
        <v>680</v>
      </c>
      <c r="BZ38" s="84">
        <v>0</v>
      </c>
      <c r="CA38" s="84">
        <v>680</v>
      </c>
      <c r="CB38" s="84">
        <v>0</v>
      </c>
      <c r="CC38" s="84">
        <v>680</v>
      </c>
      <c r="CD38" s="84">
        <v>0</v>
      </c>
      <c r="CE38" s="139">
        <f t="shared" si="1"/>
        <v>4080</v>
      </c>
      <c r="CF38" s="142"/>
      <c r="CG38" s="572">
        <f>BS38</f>
        <v>680</v>
      </c>
      <c r="CH38" s="572">
        <f>BT38</f>
        <v>0</v>
      </c>
      <c r="CI38" s="84">
        <v>0</v>
      </c>
      <c r="CJ38" s="84">
        <f>BV38</f>
        <v>0</v>
      </c>
      <c r="CK38" s="84">
        <v>0</v>
      </c>
      <c r="CL38" s="572">
        <f>BX38</f>
        <v>0</v>
      </c>
      <c r="CM38" s="84">
        <v>0</v>
      </c>
      <c r="CN38" s="84">
        <v>0</v>
      </c>
      <c r="CO38" s="84">
        <v>980</v>
      </c>
      <c r="CP38" s="84">
        <v>6120</v>
      </c>
      <c r="CQ38" s="84">
        <v>4000</v>
      </c>
      <c r="CR38" s="84">
        <v>0</v>
      </c>
      <c r="CS38" s="139">
        <f t="shared" si="2"/>
        <v>11780</v>
      </c>
      <c r="CU38" s="502" t="s">
        <v>917</v>
      </c>
      <c r="CV38" s="285" t="s">
        <v>1112</v>
      </c>
      <c r="CW38" s="84" t="s">
        <v>1005</v>
      </c>
      <c r="CX38" s="84">
        <v>0</v>
      </c>
      <c r="CY38" s="84" t="s">
        <v>1005</v>
      </c>
      <c r="CZ38" s="84">
        <v>5000</v>
      </c>
      <c r="DA38" s="84">
        <v>5000</v>
      </c>
      <c r="DB38" s="84">
        <v>5000</v>
      </c>
      <c r="DC38" s="84">
        <v>5000</v>
      </c>
      <c r="DD38" s="84">
        <v>5000</v>
      </c>
      <c r="DE38" s="84">
        <v>5000</v>
      </c>
      <c r="DF38" s="84">
        <v>5000</v>
      </c>
      <c r="DG38" s="84">
        <v>5000</v>
      </c>
      <c r="DH38" s="84">
        <v>5000</v>
      </c>
      <c r="DI38" s="139">
        <f t="shared" si="19"/>
        <v>45000</v>
      </c>
      <c r="DJ38" s="142"/>
      <c r="DK38" s="675">
        <f>1670+680</f>
        <v>2350</v>
      </c>
      <c r="DL38" s="572">
        <v>0</v>
      </c>
      <c r="DM38" s="572" t="str">
        <f t="shared" si="22"/>
        <v xml:space="preserve"> $-   </v>
      </c>
      <c r="DN38" s="572">
        <f t="shared" si="23"/>
        <v>5000</v>
      </c>
      <c r="DO38" s="572">
        <f t="shared" si="24"/>
        <v>5000</v>
      </c>
      <c r="DP38" s="572">
        <f t="shared" si="25"/>
        <v>5000</v>
      </c>
      <c r="DQ38" s="572">
        <f t="shared" si="26"/>
        <v>5000</v>
      </c>
      <c r="DR38" s="572">
        <f t="shared" si="27"/>
        <v>5000</v>
      </c>
      <c r="DS38" s="572">
        <f t="shared" si="28"/>
        <v>5000</v>
      </c>
      <c r="DT38" s="572">
        <f t="shared" si="29"/>
        <v>5000</v>
      </c>
      <c r="DU38" s="572">
        <f t="shared" si="30"/>
        <v>5000</v>
      </c>
      <c r="DV38" s="572">
        <f t="shared" si="31"/>
        <v>5000</v>
      </c>
      <c r="DW38" s="139">
        <f t="shared" si="32"/>
        <v>47350</v>
      </c>
    </row>
    <row r="39" spans="1:127" x14ac:dyDescent="0.2">
      <c r="A39" s="137" t="s">
        <v>501</v>
      </c>
      <c r="B39" s="109">
        <v>3200</v>
      </c>
      <c r="C39" s="110">
        <v>1200</v>
      </c>
      <c r="D39" s="111">
        <f>+C39-B39</f>
        <v>-2000</v>
      </c>
      <c r="E39" s="109">
        <v>3200</v>
      </c>
      <c r="F39" s="110">
        <v>1800</v>
      </c>
      <c r="G39" s="111">
        <f>+F39-E39</f>
        <v>-1400</v>
      </c>
      <c r="H39" s="109">
        <v>3200</v>
      </c>
      <c r="I39" s="110"/>
      <c r="J39" s="111">
        <f>+I39-H39</f>
        <v>-3200</v>
      </c>
      <c r="K39" s="109">
        <v>4800</v>
      </c>
      <c r="L39" s="110"/>
      <c r="M39" s="111">
        <f>+L39-K39</f>
        <v>-4800</v>
      </c>
      <c r="N39" s="109">
        <v>3200</v>
      </c>
      <c r="O39" s="110"/>
      <c r="P39" s="111">
        <f>+O39-N39</f>
        <v>-3200</v>
      </c>
      <c r="Q39" s="109">
        <v>600</v>
      </c>
      <c r="R39" s="110"/>
      <c r="S39" s="111">
        <f>+R39-Q39</f>
        <v>-600</v>
      </c>
      <c r="T39" s="109">
        <v>0</v>
      </c>
      <c r="U39" s="110"/>
      <c r="V39" s="111">
        <f t="shared" si="61"/>
        <v>0</v>
      </c>
      <c r="W39" s="109">
        <v>12000</v>
      </c>
      <c r="X39" s="110">
        <f>8560+1200</f>
        <v>9760</v>
      </c>
      <c r="Y39" s="111">
        <f t="shared" si="62"/>
        <v>-2240</v>
      </c>
      <c r="Z39" s="109">
        <v>2000</v>
      </c>
      <c r="AA39" s="110">
        <v>9000</v>
      </c>
      <c r="AB39" s="111">
        <f t="shared" si="53"/>
        <v>7000</v>
      </c>
      <c r="AC39" s="109">
        <v>2000</v>
      </c>
      <c r="AD39" s="52">
        <v>7200</v>
      </c>
      <c r="AE39" s="111">
        <f t="shared" si="54"/>
        <v>5200</v>
      </c>
      <c r="AF39" s="109">
        <v>2000</v>
      </c>
      <c r="AG39" s="52">
        <v>8250</v>
      </c>
      <c r="AH39" s="111">
        <f t="shared" si="55"/>
        <v>6250</v>
      </c>
      <c r="AI39" s="113">
        <v>2000</v>
      </c>
      <c r="AJ39" s="52"/>
      <c r="AK39" s="111">
        <f t="shared" si="56"/>
        <v>-2000</v>
      </c>
      <c r="AL39" s="138">
        <f t="shared" si="57"/>
        <v>37210</v>
      </c>
      <c r="AM39" s="143" t="s">
        <v>503</v>
      </c>
      <c r="AN39" s="84">
        <v>800</v>
      </c>
      <c r="AO39" s="84">
        <v>800</v>
      </c>
      <c r="AP39" s="84">
        <v>800</v>
      </c>
      <c r="AQ39" s="84">
        <v>800</v>
      </c>
      <c r="AR39" s="84">
        <v>800</v>
      </c>
      <c r="AS39" s="85">
        <v>800</v>
      </c>
      <c r="AT39" s="85">
        <v>800</v>
      </c>
      <c r="AU39" s="85">
        <v>800</v>
      </c>
      <c r="AV39" s="85">
        <v>800</v>
      </c>
      <c r="AW39" s="85">
        <v>800</v>
      </c>
      <c r="AX39" s="85">
        <v>800</v>
      </c>
      <c r="AY39" s="85">
        <v>800</v>
      </c>
      <c r="AZ39" s="138">
        <f t="shared" si="58"/>
        <v>9600</v>
      </c>
      <c r="BA39" s="142"/>
      <c r="BB39" s="151" t="s">
        <v>503</v>
      </c>
      <c r="BC39" s="147">
        <v>680</v>
      </c>
      <c r="BD39" s="147">
        <v>0</v>
      </c>
      <c r="BE39" s="147">
        <v>680</v>
      </c>
      <c r="BF39" s="147">
        <v>0</v>
      </c>
      <c r="BG39" s="147">
        <v>680</v>
      </c>
      <c r="BH39" s="147">
        <v>0</v>
      </c>
      <c r="BI39" s="147">
        <v>680</v>
      </c>
      <c r="BJ39" s="147">
        <v>0</v>
      </c>
      <c r="BK39" s="147">
        <v>680</v>
      </c>
      <c r="BL39" s="147">
        <v>0</v>
      </c>
      <c r="BM39" s="147">
        <v>680</v>
      </c>
      <c r="BN39" s="148">
        <v>0</v>
      </c>
      <c r="BO39" s="139">
        <f t="shared" si="0"/>
        <v>4080</v>
      </c>
      <c r="BQ39" s="502" t="s">
        <v>917</v>
      </c>
      <c r="BR39" s="283" t="s">
        <v>507</v>
      </c>
      <c r="BS39" s="467">
        <v>680</v>
      </c>
      <c r="BT39" s="84">
        <v>680</v>
      </c>
      <c r="BU39" s="84">
        <v>680</v>
      </c>
      <c r="BV39" s="84">
        <v>680</v>
      </c>
      <c r="BW39" s="84">
        <v>680</v>
      </c>
      <c r="BX39" s="84">
        <v>680</v>
      </c>
      <c r="BY39" s="84">
        <v>680</v>
      </c>
      <c r="BZ39" s="84">
        <v>680</v>
      </c>
      <c r="CA39" s="84">
        <v>680</v>
      </c>
      <c r="CB39" s="84">
        <v>680</v>
      </c>
      <c r="CC39" s="84">
        <v>680</v>
      </c>
      <c r="CD39" s="84">
        <v>680</v>
      </c>
      <c r="CE39" s="139">
        <f t="shared" si="1"/>
        <v>8160</v>
      </c>
      <c r="CF39" s="142"/>
      <c r="CG39" s="572">
        <v>2250</v>
      </c>
      <c r="CH39" s="572">
        <v>1200</v>
      </c>
      <c r="CI39" s="84">
        <v>0</v>
      </c>
      <c r="CJ39" s="84">
        <f>680+9000</f>
        <v>9680</v>
      </c>
      <c r="CK39" s="84">
        <v>9000</v>
      </c>
      <c r="CL39" s="572">
        <v>4050</v>
      </c>
      <c r="CM39" s="84">
        <v>2250</v>
      </c>
      <c r="CN39" s="84">
        <v>9000</v>
      </c>
      <c r="CO39" s="84">
        <v>15750</v>
      </c>
      <c r="CP39" s="84">
        <v>11400</v>
      </c>
      <c r="CQ39" s="84">
        <v>680</v>
      </c>
      <c r="CR39" s="84">
        <v>680</v>
      </c>
      <c r="CS39" s="139">
        <f t="shared" si="2"/>
        <v>65940</v>
      </c>
      <c r="CU39" s="502" t="s">
        <v>917</v>
      </c>
      <c r="CV39" s="285" t="s">
        <v>71</v>
      </c>
      <c r="CW39" s="84">
        <f>520+240+60</f>
        <v>820</v>
      </c>
      <c r="CX39" s="84">
        <f>CW39</f>
        <v>820</v>
      </c>
      <c r="CY39" s="84">
        <f t="shared" ref="CY39:DH39" si="63">CX39</f>
        <v>820</v>
      </c>
      <c r="CZ39" s="84">
        <f t="shared" si="63"/>
        <v>820</v>
      </c>
      <c r="DA39" s="84">
        <f t="shared" si="63"/>
        <v>820</v>
      </c>
      <c r="DB39" s="84">
        <f t="shared" si="63"/>
        <v>820</v>
      </c>
      <c r="DC39" s="84">
        <f t="shared" si="63"/>
        <v>820</v>
      </c>
      <c r="DD39" s="84">
        <f t="shared" si="63"/>
        <v>820</v>
      </c>
      <c r="DE39" s="84">
        <f t="shared" si="63"/>
        <v>820</v>
      </c>
      <c r="DF39" s="84">
        <f t="shared" si="63"/>
        <v>820</v>
      </c>
      <c r="DG39" s="84">
        <f t="shared" si="63"/>
        <v>820</v>
      </c>
      <c r="DH39" s="84">
        <f t="shared" si="63"/>
        <v>820</v>
      </c>
      <c r="DI39" s="139">
        <f t="shared" si="19"/>
        <v>9840</v>
      </c>
      <c r="DJ39" s="142"/>
      <c r="DK39" s="675">
        <f t="shared" si="20"/>
        <v>820</v>
      </c>
      <c r="DL39" s="572">
        <f t="shared" si="21"/>
        <v>820</v>
      </c>
      <c r="DM39" s="572">
        <f t="shared" si="22"/>
        <v>820</v>
      </c>
      <c r="DN39" s="572">
        <f t="shared" si="23"/>
        <v>820</v>
      </c>
      <c r="DO39" s="572">
        <f t="shared" si="24"/>
        <v>820</v>
      </c>
      <c r="DP39" s="572">
        <f t="shared" si="25"/>
        <v>820</v>
      </c>
      <c r="DQ39" s="572">
        <f t="shared" si="26"/>
        <v>820</v>
      </c>
      <c r="DR39" s="572">
        <f t="shared" si="27"/>
        <v>820</v>
      </c>
      <c r="DS39" s="572">
        <f t="shared" si="28"/>
        <v>820</v>
      </c>
      <c r="DT39" s="572">
        <f t="shared" si="29"/>
        <v>820</v>
      </c>
      <c r="DU39" s="572">
        <f t="shared" si="30"/>
        <v>820</v>
      </c>
      <c r="DV39" s="572">
        <f t="shared" si="31"/>
        <v>820</v>
      </c>
      <c r="DW39" s="139">
        <f t="shared" si="32"/>
        <v>9840</v>
      </c>
    </row>
    <row r="40" spans="1:127" x14ac:dyDescent="0.2">
      <c r="A40" s="137" t="s">
        <v>505</v>
      </c>
      <c r="B40" s="109">
        <v>12600</v>
      </c>
      <c r="C40" s="110">
        <f>4500+12600</f>
        <v>17100</v>
      </c>
      <c r="D40" s="111">
        <f>+C40-B40</f>
        <v>4500</v>
      </c>
      <c r="E40" s="109">
        <v>11147.5</v>
      </c>
      <c r="F40" s="110">
        <v>15000</v>
      </c>
      <c r="G40" s="111">
        <f>+F40-E40</f>
        <v>3852.5</v>
      </c>
      <c r="H40" s="109">
        <v>11147.5</v>
      </c>
      <c r="I40" s="110">
        <f>(68600/3)-15000</f>
        <v>7866.6666666666679</v>
      </c>
      <c r="J40" s="111">
        <f>+I40-H40</f>
        <v>-3280.8333333333321</v>
      </c>
      <c r="K40" s="109">
        <v>11147.5</v>
      </c>
      <c r="L40" s="110">
        <f>+(33801/3)+3000</f>
        <v>14267</v>
      </c>
      <c r="M40" s="111">
        <f>+L40-K40</f>
        <v>3119.5</v>
      </c>
      <c r="N40" s="109">
        <v>1200</v>
      </c>
      <c r="O40" s="110">
        <v>11267</v>
      </c>
      <c r="P40" s="111">
        <f>+O40-N40</f>
        <v>10067</v>
      </c>
      <c r="Q40" s="109">
        <v>0</v>
      </c>
      <c r="R40" s="110">
        <v>11267</v>
      </c>
      <c r="S40" s="111">
        <f>+R40-Q40</f>
        <v>11267</v>
      </c>
      <c r="T40" s="109">
        <v>1200</v>
      </c>
      <c r="U40" s="110"/>
      <c r="V40" s="111">
        <f t="shared" si="61"/>
        <v>-1200</v>
      </c>
      <c r="W40" s="109">
        <v>1200</v>
      </c>
      <c r="X40" s="110"/>
      <c r="Y40" s="111">
        <f t="shared" si="62"/>
        <v>-1200</v>
      </c>
      <c r="Z40" s="109">
        <v>1200</v>
      </c>
      <c r="AA40" s="110">
        <v>14267</v>
      </c>
      <c r="AB40" s="111">
        <f t="shared" si="53"/>
        <v>13067</v>
      </c>
      <c r="AC40" s="109">
        <v>1200</v>
      </c>
      <c r="AD40" s="52">
        <v>11267</v>
      </c>
      <c r="AE40" s="111">
        <f t="shared" si="54"/>
        <v>10067</v>
      </c>
      <c r="AF40" s="109">
        <v>1200</v>
      </c>
      <c r="AG40" s="52">
        <v>11867</v>
      </c>
      <c r="AH40" s="111">
        <f t="shared" si="55"/>
        <v>10667</v>
      </c>
      <c r="AI40" s="113">
        <v>1200</v>
      </c>
      <c r="AJ40" s="52"/>
      <c r="AK40" s="111">
        <f t="shared" si="56"/>
        <v>-1200</v>
      </c>
      <c r="AL40" s="138">
        <f t="shared" si="57"/>
        <v>114168.66666666667</v>
      </c>
      <c r="AM40" s="143" t="s">
        <v>507</v>
      </c>
      <c r="AN40" s="84">
        <v>11433</v>
      </c>
      <c r="AO40" s="84">
        <v>11433</v>
      </c>
      <c r="AP40" s="84">
        <v>11433</v>
      </c>
      <c r="AQ40" s="84">
        <v>11433</v>
      </c>
      <c r="AR40" s="84">
        <v>11433</v>
      </c>
      <c r="AS40" s="85">
        <v>11433</v>
      </c>
      <c r="AT40" s="85">
        <v>11433</v>
      </c>
      <c r="AU40" s="85">
        <v>11433</v>
      </c>
      <c r="AV40" s="85">
        <v>11433</v>
      </c>
      <c r="AW40" s="85">
        <v>11433</v>
      </c>
      <c r="AX40" s="85">
        <v>11433</v>
      </c>
      <c r="AY40" s="85">
        <v>11433</v>
      </c>
      <c r="AZ40" s="138">
        <f t="shared" si="58"/>
        <v>137196</v>
      </c>
      <c r="BA40" s="142"/>
      <c r="BB40" s="151" t="s">
        <v>507</v>
      </c>
      <c r="BC40" s="147">
        <v>0</v>
      </c>
      <c r="BD40" s="147">
        <v>0</v>
      </c>
      <c r="BE40" s="147">
        <v>0</v>
      </c>
      <c r="BF40" s="147">
        <v>0</v>
      </c>
      <c r="BG40" s="147">
        <v>0</v>
      </c>
      <c r="BH40" s="147">
        <v>0</v>
      </c>
      <c r="BI40" s="147">
        <v>0</v>
      </c>
      <c r="BJ40" s="147">
        <v>0</v>
      </c>
      <c r="BK40" s="147">
        <v>0</v>
      </c>
      <c r="BL40" s="147">
        <v>0</v>
      </c>
      <c r="BM40" s="147">
        <v>0</v>
      </c>
      <c r="BN40" s="148">
        <v>0</v>
      </c>
      <c r="BO40" s="139">
        <f t="shared" si="0"/>
        <v>0</v>
      </c>
      <c r="BQ40" s="502" t="s">
        <v>917</v>
      </c>
      <c r="BR40" s="283" t="s">
        <v>511</v>
      </c>
      <c r="BS40" s="467">
        <v>0</v>
      </c>
      <c r="BT40" s="84">
        <v>0</v>
      </c>
      <c r="BU40" s="84">
        <v>0</v>
      </c>
      <c r="BV40" s="84">
        <v>0</v>
      </c>
      <c r="BW40" s="84">
        <v>0</v>
      </c>
      <c r="BX40" s="84">
        <v>0</v>
      </c>
      <c r="BY40" s="84">
        <v>0</v>
      </c>
      <c r="BZ40" s="84">
        <v>0</v>
      </c>
      <c r="CA40" s="84">
        <v>0</v>
      </c>
      <c r="CB40" s="84">
        <v>0</v>
      </c>
      <c r="CC40" s="84">
        <v>0</v>
      </c>
      <c r="CD40" s="84">
        <v>0</v>
      </c>
      <c r="CE40" s="139">
        <f t="shared" si="1"/>
        <v>0</v>
      </c>
      <c r="CF40" s="142"/>
      <c r="CG40" s="572">
        <f t="shared" ref="CG40:CL40" si="64">BS40</f>
        <v>0</v>
      </c>
      <c r="CH40" s="572">
        <f t="shared" si="64"/>
        <v>0</v>
      </c>
      <c r="CI40" s="84">
        <f t="shared" si="64"/>
        <v>0</v>
      </c>
      <c r="CJ40" s="84">
        <f t="shared" si="64"/>
        <v>0</v>
      </c>
      <c r="CK40" s="84">
        <f t="shared" si="64"/>
        <v>0</v>
      </c>
      <c r="CL40" s="572">
        <f t="shared" si="64"/>
        <v>0</v>
      </c>
      <c r="CM40" s="84">
        <v>0</v>
      </c>
      <c r="CN40" s="84">
        <v>0</v>
      </c>
      <c r="CO40" s="84">
        <v>0</v>
      </c>
      <c r="CP40" s="84">
        <v>0</v>
      </c>
      <c r="CQ40" s="84">
        <v>0</v>
      </c>
      <c r="CR40" s="84">
        <v>0</v>
      </c>
      <c r="CS40" s="139">
        <f t="shared" si="2"/>
        <v>0</v>
      </c>
      <c r="CU40" s="502" t="s">
        <v>917</v>
      </c>
      <c r="CV40" s="285" t="s">
        <v>69</v>
      </c>
      <c r="CW40" s="84">
        <v>100</v>
      </c>
      <c r="CX40" s="84">
        <v>100</v>
      </c>
      <c r="CY40" s="84">
        <v>100</v>
      </c>
      <c r="CZ40" s="84">
        <v>100</v>
      </c>
      <c r="DA40" s="84">
        <v>100</v>
      </c>
      <c r="DB40" s="84">
        <v>100</v>
      </c>
      <c r="DC40" s="84">
        <v>100</v>
      </c>
      <c r="DD40" s="84">
        <v>100</v>
      </c>
      <c r="DE40" s="84">
        <v>100</v>
      </c>
      <c r="DF40" s="84">
        <v>100</v>
      </c>
      <c r="DG40" s="84">
        <v>100</v>
      </c>
      <c r="DH40" s="84">
        <v>100</v>
      </c>
      <c r="DI40" s="139">
        <f t="shared" si="19"/>
        <v>1200</v>
      </c>
      <c r="DJ40" s="142"/>
      <c r="DK40" s="675">
        <f t="shared" si="20"/>
        <v>100</v>
      </c>
      <c r="DL40" s="572">
        <f t="shared" si="21"/>
        <v>100</v>
      </c>
      <c r="DM40" s="572">
        <f t="shared" si="22"/>
        <v>100</v>
      </c>
      <c r="DN40" s="572">
        <f t="shared" si="23"/>
        <v>100</v>
      </c>
      <c r="DO40" s="572">
        <f t="shared" si="24"/>
        <v>100</v>
      </c>
      <c r="DP40" s="572">
        <f t="shared" si="25"/>
        <v>100</v>
      </c>
      <c r="DQ40" s="572">
        <f t="shared" si="26"/>
        <v>100</v>
      </c>
      <c r="DR40" s="572">
        <f t="shared" si="27"/>
        <v>100</v>
      </c>
      <c r="DS40" s="572">
        <f t="shared" si="28"/>
        <v>100</v>
      </c>
      <c r="DT40" s="572">
        <f t="shared" si="29"/>
        <v>100</v>
      </c>
      <c r="DU40" s="572">
        <f t="shared" si="30"/>
        <v>100</v>
      </c>
      <c r="DV40" s="572">
        <f t="shared" si="31"/>
        <v>100</v>
      </c>
      <c r="DW40" s="139">
        <f t="shared" si="32"/>
        <v>1200</v>
      </c>
    </row>
    <row r="41" spans="1:127" x14ac:dyDescent="0.2">
      <c r="A41" s="137" t="s">
        <v>502</v>
      </c>
      <c r="B41" s="109"/>
      <c r="C41" s="110"/>
      <c r="D41" s="111"/>
      <c r="E41" s="109"/>
      <c r="F41" s="110"/>
      <c r="G41" s="111"/>
      <c r="H41" s="109"/>
      <c r="I41" s="110"/>
      <c r="J41" s="111"/>
      <c r="K41" s="109"/>
      <c r="L41" s="110">
        <v>7350</v>
      </c>
      <c r="M41" s="111">
        <f>+L41-K41</f>
        <v>7350</v>
      </c>
      <c r="N41" s="109">
        <v>6600</v>
      </c>
      <c r="O41" s="110">
        <v>8025</v>
      </c>
      <c r="P41" s="111">
        <f>+O41-N41</f>
        <v>1425</v>
      </c>
      <c r="Q41" s="109">
        <v>600</v>
      </c>
      <c r="R41" s="110">
        <v>3900</v>
      </c>
      <c r="S41" s="111">
        <f>+R41-Q41</f>
        <v>3300</v>
      </c>
      <c r="T41" s="109"/>
      <c r="U41" s="110"/>
      <c r="V41" s="111">
        <f t="shared" si="61"/>
        <v>0</v>
      </c>
      <c r="W41" s="109"/>
      <c r="X41" s="110"/>
      <c r="Y41" s="111">
        <f t="shared" si="62"/>
        <v>0</v>
      </c>
      <c r="Z41" s="109"/>
      <c r="AA41" s="110"/>
      <c r="AB41" s="111">
        <f t="shared" si="53"/>
        <v>0</v>
      </c>
      <c r="AC41" s="109"/>
      <c r="AD41" s="52"/>
      <c r="AE41" s="111">
        <f t="shared" si="54"/>
        <v>0</v>
      </c>
      <c r="AF41" s="109"/>
      <c r="AG41" s="52"/>
      <c r="AH41" s="111">
        <f t="shared" si="55"/>
        <v>0</v>
      </c>
      <c r="AI41" s="113"/>
      <c r="AJ41" s="52"/>
      <c r="AK41" s="111">
        <f t="shared" si="56"/>
        <v>0</v>
      </c>
      <c r="AL41" s="138">
        <f t="shared" si="57"/>
        <v>19275</v>
      </c>
      <c r="AM41" s="143" t="s">
        <v>504</v>
      </c>
      <c r="AN41" s="84">
        <v>100</v>
      </c>
      <c r="AO41" s="84">
        <v>100</v>
      </c>
      <c r="AP41" s="84">
        <v>100</v>
      </c>
      <c r="AQ41" s="84">
        <v>100</v>
      </c>
      <c r="AR41" s="84">
        <v>100</v>
      </c>
      <c r="AS41" s="85">
        <v>100</v>
      </c>
      <c r="AT41" s="85">
        <v>100</v>
      </c>
      <c r="AU41" s="85">
        <v>100</v>
      </c>
      <c r="AV41" s="85">
        <v>100</v>
      </c>
      <c r="AW41" s="85">
        <v>100</v>
      </c>
      <c r="AX41" s="85">
        <v>100</v>
      </c>
      <c r="AY41" s="85">
        <v>100</v>
      </c>
      <c r="AZ41" s="138">
        <f t="shared" si="58"/>
        <v>1200</v>
      </c>
      <c r="BA41" s="142"/>
      <c r="BB41" s="151" t="s">
        <v>504</v>
      </c>
      <c r="BC41" s="147">
        <v>340</v>
      </c>
      <c r="BD41" s="147">
        <v>340</v>
      </c>
      <c r="BE41" s="147">
        <v>340</v>
      </c>
      <c r="BF41" s="147">
        <v>340</v>
      </c>
      <c r="BG41" s="147">
        <v>340</v>
      </c>
      <c r="BH41" s="147">
        <v>340</v>
      </c>
      <c r="BI41" s="147">
        <v>340</v>
      </c>
      <c r="BJ41" s="147">
        <v>340</v>
      </c>
      <c r="BK41" s="147">
        <v>340</v>
      </c>
      <c r="BL41" s="147">
        <v>340</v>
      </c>
      <c r="BM41" s="147">
        <v>340</v>
      </c>
      <c r="BN41" s="148">
        <v>340</v>
      </c>
      <c r="BO41" s="139">
        <f t="shared" si="0"/>
        <v>4080</v>
      </c>
      <c r="BQ41" s="502" t="s">
        <v>917</v>
      </c>
      <c r="BR41" s="283" t="s">
        <v>508</v>
      </c>
      <c r="BS41" s="467">
        <v>340</v>
      </c>
      <c r="BT41" s="84">
        <v>680</v>
      </c>
      <c r="BU41" s="84">
        <v>340</v>
      </c>
      <c r="BV41" s="84">
        <v>680</v>
      </c>
      <c r="BW41" s="84">
        <v>340</v>
      </c>
      <c r="BX41" s="84">
        <v>680</v>
      </c>
      <c r="BY41" s="84">
        <v>340</v>
      </c>
      <c r="BZ41" s="84">
        <v>680</v>
      </c>
      <c r="CA41" s="84">
        <v>340</v>
      </c>
      <c r="CB41" s="84">
        <v>680</v>
      </c>
      <c r="CC41" s="84">
        <v>340</v>
      </c>
      <c r="CD41" s="84">
        <v>680</v>
      </c>
      <c r="CE41" s="139">
        <f t="shared" si="1"/>
        <v>6120</v>
      </c>
      <c r="CF41" s="142"/>
      <c r="CG41" s="572">
        <v>0</v>
      </c>
      <c r="CH41" s="572">
        <v>1800</v>
      </c>
      <c r="CI41" s="84">
        <f>9600-1800</f>
        <v>7800</v>
      </c>
      <c r="CJ41" s="84">
        <v>6000</v>
      </c>
      <c r="CK41" s="84">
        <v>6000</v>
      </c>
      <c r="CL41" s="572">
        <v>6000</v>
      </c>
      <c r="CM41" s="84">
        <v>6000</v>
      </c>
      <c r="CN41" s="84">
        <v>6000</v>
      </c>
      <c r="CO41" s="84">
        <v>19200</v>
      </c>
      <c r="CP41" s="84">
        <v>12000</v>
      </c>
      <c r="CQ41" s="84">
        <v>0</v>
      </c>
      <c r="CR41" s="84">
        <v>0</v>
      </c>
      <c r="CS41" s="139">
        <f t="shared" si="2"/>
        <v>70800</v>
      </c>
      <c r="CU41" s="502"/>
      <c r="CV41" s="285"/>
      <c r="CW41" s="84"/>
      <c r="CX41" s="84"/>
      <c r="CY41" s="84"/>
      <c r="CZ41" s="84"/>
      <c r="DA41" s="84"/>
      <c r="DB41" s="84"/>
      <c r="DC41" s="84"/>
      <c r="DD41" s="84"/>
      <c r="DE41" s="84"/>
      <c r="DF41" s="84"/>
      <c r="DG41" s="84"/>
      <c r="DH41" s="84"/>
      <c r="DI41" s="139">
        <f t="shared" si="19"/>
        <v>0</v>
      </c>
      <c r="DJ41" s="142"/>
      <c r="DK41" s="572">
        <f t="shared" si="20"/>
        <v>0</v>
      </c>
      <c r="DL41" s="572">
        <f t="shared" si="21"/>
        <v>0</v>
      </c>
      <c r="DM41" s="572">
        <f t="shared" si="22"/>
        <v>0</v>
      </c>
      <c r="DN41" s="572">
        <f t="shared" si="23"/>
        <v>0</v>
      </c>
      <c r="DO41" s="572">
        <f t="shared" si="24"/>
        <v>0</v>
      </c>
      <c r="DP41" s="572">
        <f t="shared" si="25"/>
        <v>0</v>
      </c>
      <c r="DQ41" s="572">
        <f t="shared" si="26"/>
        <v>0</v>
      </c>
      <c r="DR41" s="572">
        <f t="shared" si="27"/>
        <v>0</v>
      </c>
      <c r="DS41" s="572">
        <f t="shared" si="28"/>
        <v>0</v>
      </c>
      <c r="DT41" s="572">
        <f t="shared" si="29"/>
        <v>0</v>
      </c>
      <c r="DU41" s="572">
        <f t="shared" si="30"/>
        <v>0</v>
      </c>
      <c r="DV41" s="572">
        <f t="shared" si="31"/>
        <v>0</v>
      </c>
      <c r="DW41" s="139">
        <f t="shared" si="32"/>
        <v>0</v>
      </c>
    </row>
    <row r="42" spans="1:127" x14ac:dyDescent="0.2">
      <c r="A42" s="137" t="s">
        <v>504</v>
      </c>
      <c r="B42" s="109"/>
      <c r="C42" s="110"/>
      <c r="D42" s="111"/>
      <c r="E42" s="109"/>
      <c r="F42" s="110"/>
      <c r="G42" s="111"/>
      <c r="H42" s="109"/>
      <c r="I42" s="110"/>
      <c r="J42" s="111"/>
      <c r="K42" s="109"/>
      <c r="L42" s="110"/>
      <c r="M42" s="111"/>
      <c r="N42" s="109"/>
      <c r="O42" s="110"/>
      <c r="P42" s="111"/>
      <c r="Q42" s="109"/>
      <c r="R42" s="110"/>
      <c r="S42" s="111"/>
      <c r="T42" s="109"/>
      <c r="U42" s="110"/>
      <c r="V42" s="111"/>
      <c r="W42" s="109"/>
      <c r="X42" s="110"/>
      <c r="Y42" s="111"/>
      <c r="Z42" s="109"/>
      <c r="AA42" s="110">
        <v>1800</v>
      </c>
      <c r="AB42" s="111">
        <f t="shared" si="53"/>
        <v>1800</v>
      </c>
      <c r="AC42" s="109"/>
      <c r="AD42" s="52">
        <v>600</v>
      </c>
      <c r="AE42" s="111">
        <f t="shared" si="54"/>
        <v>600</v>
      </c>
      <c r="AF42" s="109"/>
      <c r="AG42" s="52">
        <v>-600</v>
      </c>
      <c r="AH42" s="111">
        <f t="shared" si="55"/>
        <v>-600</v>
      </c>
      <c r="AI42" s="113"/>
      <c r="AJ42" s="52"/>
      <c r="AK42" s="111">
        <f t="shared" si="56"/>
        <v>0</v>
      </c>
      <c r="AL42" s="138">
        <f t="shared" si="57"/>
        <v>1800</v>
      </c>
      <c r="AM42" s="143" t="s">
        <v>506</v>
      </c>
      <c r="AN42" s="84">
        <v>300</v>
      </c>
      <c r="AO42" s="84">
        <v>300</v>
      </c>
      <c r="AP42" s="84">
        <v>300</v>
      </c>
      <c r="AQ42" s="84">
        <v>300</v>
      </c>
      <c r="AR42" s="84">
        <v>300</v>
      </c>
      <c r="AS42" s="85">
        <v>300</v>
      </c>
      <c r="AT42" s="85">
        <v>300</v>
      </c>
      <c r="AU42" s="85">
        <v>300</v>
      </c>
      <c r="AV42" s="85">
        <v>300</v>
      </c>
      <c r="AW42" s="85">
        <v>300</v>
      </c>
      <c r="AX42" s="85">
        <v>300</v>
      </c>
      <c r="AY42" s="85">
        <v>300</v>
      </c>
      <c r="AZ42" s="138">
        <f t="shared" si="58"/>
        <v>3600</v>
      </c>
      <c r="BA42" s="142"/>
      <c r="BB42" s="151" t="s">
        <v>506</v>
      </c>
      <c r="BC42" s="147">
        <v>7975</v>
      </c>
      <c r="BD42" s="147">
        <v>7975</v>
      </c>
      <c r="BE42" s="147">
        <v>0</v>
      </c>
      <c r="BF42" s="147">
        <v>0</v>
      </c>
      <c r="BG42" s="147">
        <v>0</v>
      </c>
      <c r="BH42" s="147">
        <v>600</v>
      </c>
      <c r="BI42" s="147">
        <v>600</v>
      </c>
      <c r="BJ42" s="147">
        <v>600</v>
      </c>
      <c r="BK42" s="147">
        <v>0</v>
      </c>
      <c r="BL42" s="147">
        <v>0</v>
      </c>
      <c r="BM42" s="147">
        <v>0</v>
      </c>
      <c r="BN42" s="148">
        <v>0</v>
      </c>
      <c r="BO42" s="139">
        <f t="shared" si="0"/>
        <v>17750</v>
      </c>
      <c r="BQ42" s="502" t="s">
        <v>917</v>
      </c>
      <c r="BR42" s="283" t="s">
        <v>1201</v>
      </c>
      <c r="BS42" s="467">
        <v>0</v>
      </c>
      <c r="BT42" s="84">
        <v>0</v>
      </c>
      <c r="BU42" s="84">
        <v>0</v>
      </c>
      <c r="BV42" s="84">
        <v>0</v>
      </c>
      <c r="BW42" s="84">
        <v>0</v>
      </c>
      <c r="BX42" s="84">
        <v>0</v>
      </c>
      <c r="BY42" s="84">
        <v>0</v>
      </c>
      <c r="BZ42" s="84">
        <v>0</v>
      </c>
      <c r="CA42" s="84">
        <v>0</v>
      </c>
      <c r="CB42" s="84">
        <v>0</v>
      </c>
      <c r="CC42" s="84">
        <v>0</v>
      </c>
      <c r="CD42" s="84">
        <v>0</v>
      </c>
      <c r="CE42" s="139">
        <f t="shared" si="1"/>
        <v>0</v>
      </c>
      <c r="CF42" s="142"/>
      <c r="CG42" s="572">
        <f t="shared" ref="CG42:CL42" si="65">BS42</f>
        <v>0</v>
      </c>
      <c r="CH42" s="572">
        <f t="shared" si="65"/>
        <v>0</v>
      </c>
      <c r="CI42" s="84">
        <f t="shared" si="65"/>
        <v>0</v>
      </c>
      <c r="CJ42" s="84">
        <f t="shared" si="65"/>
        <v>0</v>
      </c>
      <c r="CK42" s="84">
        <f t="shared" si="65"/>
        <v>0</v>
      </c>
      <c r="CL42" s="572">
        <f t="shared" si="65"/>
        <v>0</v>
      </c>
      <c r="CM42" s="84">
        <v>0</v>
      </c>
      <c r="CN42" s="84">
        <v>0</v>
      </c>
      <c r="CO42" s="84">
        <v>0</v>
      </c>
      <c r="CP42" s="84">
        <v>0</v>
      </c>
      <c r="CQ42" s="84">
        <v>0</v>
      </c>
      <c r="CR42" s="84">
        <v>2550</v>
      </c>
      <c r="CS42" s="139">
        <f t="shared" si="2"/>
        <v>2550</v>
      </c>
      <c r="CU42" s="502"/>
      <c r="CV42" s="285"/>
      <c r="CW42" s="467"/>
      <c r="CX42" s="84"/>
      <c r="CY42" s="84"/>
      <c r="CZ42" s="84"/>
      <c r="DA42" s="84"/>
      <c r="DB42" s="84"/>
      <c r="DC42" s="84"/>
      <c r="DD42" s="84"/>
      <c r="DE42" s="84"/>
      <c r="DF42" s="84"/>
      <c r="DG42" s="84"/>
      <c r="DH42" s="84"/>
      <c r="DI42" s="139">
        <f t="shared" si="19"/>
        <v>0</v>
      </c>
      <c r="DJ42" s="142"/>
      <c r="DK42" s="572">
        <f t="shared" si="20"/>
        <v>0</v>
      </c>
      <c r="DL42" s="572">
        <f t="shared" si="21"/>
        <v>0</v>
      </c>
      <c r="DM42" s="572">
        <f t="shared" si="22"/>
        <v>0</v>
      </c>
      <c r="DN42" s="572">
        <f t="shared" si="23"/>
        <v>0</v>
      </c>
      <c r="DO42" s="572">
        <f t="shared" si="24"/>
        <v>0</v>
      </c>
      <c r="DP42" s="572">
        <f t="shared" si="25"/>
        <v>0</v>
      </c>
      <c r="DQ42" s="572">
        <f t="shared" si="26"/>
        <v>0</v>
      </c>
      <c r="DR42" s="572">
        <f t="shared" si="27"/>
        <v>0</v>
      </c>
      <c r="DS42" s="572">
        <f t="shared" si="28"/>
        <v>0</v>
      </c>
      <c r="DT42" s="572">
        <f t="shared" si="29"/>
        <v>0</v>
      </c>
      <c r="DU42" s="572">
        <f t="shared" si="30"/>
        <v>0</v>
      </c>
      <c r="DV42" s="572">
        <f t="shared" si="31"/>
        <v>0</v>
      </c>
      <c r="DW42" s="139">
        <f t="shared" si="32"/>
        <v>0</v>
      </c>
    </row>
    <row r="43" spans="1:127" x14ac:dyDescent="0.2">
      <c r="A43" s="137" t="s">
        <v>503</v>
      </c>
      <c r="B43" s="109">
        <v>6600</v>
      </c>
      <c r="C43" s="110">
        <v>8400</v>
      </c>
      <c r="D43" s="111">
        <f t="shared" ref="D43:D51" si="66">+C43-B43</f>
        <v>1800</v>
      </c>
      <c r="E43" s="109">
        <v>6600</v>
      </c>
      <c r="F43" s="110">
        <v>1800</v>
      </c>
      <c r="G43" s="111">
        <f t="shared" ref="G43:G51" si="67">+F43-E43</f>
        <v>-4800</v>
      </c>
      <c r="H43" s="109">
        <v>6600</v>
      </c>
      <c r="I43" s="110">
        <v>2400</v>
      </c>
      <c r="J43" s="111">
        <f t="shared" ref="J43:J51" si="68">+I43-H43</f>
        <v>-4200</v>
      </c>
      <c r="K43" s="109">
        <v>6600</v>
      </c>
      <c r="L43" s="110">
        <v>1200</v>
      </c>
      <c r="M43" s="111">
        <f t="shared" ref="M43:M51" si="69">+L43-K43</f>
        <v>-5400</v>
      </c>
      <c r="N43" s="109">
        <v>11433.333333333334</v>
      </c>
      <c r="O43" s="110">
        <v>3000</v>
      </c>
      <c r="P43" s="111">
        <f t="shared" ref="P43:P51" si="70">+O43-N43</f>
        <v>-8433.3333333333339</v>
      </c>
      <c r="Q43" s="109">
        <v>11433.333333333334</v>
      </c>
      <c r="R43" s="110">
        <v>3000</v>
      </c>
      <c r="S43" s="111">
        <f t="shared" ref="S43:S51" si="71">+R43-Q43</f>
        <v>-8433.3333333333339</v>
      </c>
      <c r="T43" s="109">
        <v>1200</v>
      </c>
      <c r="U43" s="110"/>
      <c r="V43" s="111">
        <f t="shared" ref="V43:V51" si="72">+U43-T43</f>
        <v>-1200</v>
      </c>
      <c r="W43" s="109">
        <v>1200</v>
      </c>
      <c r="X43" s="110">
        <v>600</v>
      </c>
      <c r="Y43" s="111">
        <f t="shared" ref="Y43:Y51" si="73">+X43-W43</f>
        <v>-600</v>
      </c>
      <c r="Z43" s="109">
        <v>1200</v>
      </c>
      <c r="AA43" s="110"/>
      <c r="AB43" s="111">
        <f t="shared" si="53"/>
        <v>-1200</v>
      </c>
      <c r="AC43" s="109">
        <v>1200</v>
      </c>
      <c r="AD43" s="52"/>
      <c r="AE43" s="111">
        <f t="shared" si="54"/>
        <v>-1200</v>
      </c>
      <c r="AF43" s="109">
        <v>1200</v>
      </c>
      <c r="AG43" s="52"/>
      <c r="AH43" s="111">
        <f t="shared" si="55"/>
        <v>-1200</v>
      </c>
      <c r="AI43" s="113">
        <v>1200</v>
      </c>
      <c r="AJ43" s="52"/>
      <c r="AK43" s="111">
        <f t="shared" si="56"/>
        <v>-1200</v>
      </c>
      <c r="AL43" s="138">
        <f t="shared" si="57"/>
        <v>20400</v>
      </c>
      <c r="AM43" s="143" t="s">
        <v>505</v>
      </c>
      <c r="AN43" s="84">
        <v>11433</v>
      </c>
      <c r="AO43" s="84">
        <v>11433</v>
      </c>
      <c r="AP43" s="84">
        <v>11433</v>
      </c>
      <c r="AQ43" s="84">
        <v>11433</v>
      </c>
      <c r="AR43" s="84">
        <v>11433</v>
      </c>
      <c r="AS43" s="85">
        <v>11433</v>
      </c>
      <c r="AT43" s="85">
        <v>11433</v>
      </c>
      <c r="AU43" s="85">
        <v>11433</v>
      </c>
      <c r="AV43" s="85">
        <v>11433</v>
      </c>
      <c r="AW43" s="85">
        <v>11433</v>
      </c>
      <c r="AX43" s="85">
        <v>11433</v>
      </c>
      <c r="AY43" s="85">
        <v>11433</v>
      </c>
      <c r="AZ43" s="138">
        <f t="shared" si="58"/>
        <v>137196</v>
      </c>
      <c r="BA43" s="142"/>
      <c r="BB43" s="151" t="s">
        <v>505</v>
      </c>
      <c r="BC43" s="147">
        <v>0</v>
      </c>
      <c r="BD43" s="147">
        <v>0</v>
      </c>
      <c r="BE43" s="147">
        <v>1200</v>
      </c>
      <c r="BF43" s="147">
        <v>0</v>
      </c>
      <c r="BG43" s="147">
        <v>0</v>
      </c>
      <c r="BH43" s="147">
        <v>1200</v>
      </c>
      <c r="BI43" s="147">
        <v>0</v>
      </c>
      <c r="BJ43" s="147">
        <v>0</v>
      </c>
      <c r="BK43" s="147">
        <v>1200</v>
      </c>
      <c r="BL43" s="147">
        <v>0</v>
      </c>
      <c r="BM43" s="147">
        <v>0</v>
      </c>
      <c r="BN43" s="148">
        <v>1200</v>
      </c>
      <c r="BO43" s="139">
        <f t="shared" si="0"/>
        <v>4800</v>
      </c>
      <c r="BQ43" s="502" t="s">
        <v>917</v>
      </c>
      <c r="BR43" s="283" t="s">
        <v>1130</v>
      </c>
      <c r="BS43" s="467">
        <v>0</v>
      </c>
      <c r="BT43" s="84">
        <v>0</v>
      </c>
      <c r="BU43" s="84">
        <v>0</v>
      </c>
      <c r="BV43" s="84">
        <v>0</v>
      </c>
      <c r="BW43" s="84">
        <v>0</v>
      </c>
      <c r="BX43" s="84">
        <v>0</v>
      </c>
      <c r="BY43" s="84">
        <v>0</v>
      </c>
      <c r="BZ43" s="84">
        <v>0</v>
      </c>
      <c r="CA43" s="84">
        <v>0</v>
      </c>
      <c r="CB43" s="84">
        <v>0</v>
      </c>
      <c r="CC43" s="84">
        <v>0</v>
      </c>
      <c r="CD43" s="84">
        <v>0</v>
      </c>
      <c r="CE43" s="139">
        <f t="shared" si="1"/>
        <v>0</v>
      </c>
      <c r="CF43" s="142"/>
      <c r="CG43" s="572">
        <f t="shared" ref="CG43:CK44" si="74">BS43</f>
        <v>0</v>
      </c>
      <c r="CH43" s="572">
        <f t="shared" si="74"/>
        <v>0</v>
      </c>
      <c r="CI43" s="84">
        <f t="shared" si="74"/>
        <v>0</v>
      </c>
      <c r="CJ43" s="84">
        <f t="shared" si="74"/>
        <v>0</v>
      </c>
      <c r="CK43" s="84">
        <f t="shared" si="74"/>
        <v>0</v>
      </c>
      <c r="CL43" s="572">
        <v>2662.5</v>
      </c>
      <c r="CM43" s="84">
        <v>0</v>
      </c>
      <c r="CN43" s="84">
        <v>0</v>
      </c>
      <c r="CO43" s="84">
        <v>0</v>
      </c>
      <c r="CP43" s="84">
        <v>6970</v>
      </c>
      <c r="CQ43" s="84">
        <v>0</v>
      </c>
      <c r="CR43" s="84">
        <v>0</v>
      </c>
      <c r="CS43" s="139">
        <f t="shared" si="2"/>
        <v>9632.5</v>
      </c>
      <c r="CU43" s="502"/>
      <c r="CV43" s="285"/>
      <c r="CW43" s="467"/>
      <c r="CX43" s="84"/>
      <c r="CY43" s="84"/>
      <c r="CZ43" s="84"/>
      <c r="DA43" s="84"/>
      <c r="DB43" s="84"/>
      <c r="DC43" s="84"/>
      <c r="DD43" s="84"/>
      <c r="DE43" s="84"/>
      <c r="DF43" s="84"/>
      <c r="DG43" s="84"/>
      <c r="DH43" s="84"/>
      <c r="DI43" s="139">
        <f t="shared" si="19"/>
        <v>0</v>
      </c>
      <c r="DJ43" s="142"/>
      <c r="DK43" s="572">
        <f t="shared" si="20"/>
        <v>0</v>
      </c>
      <c r="DL43" s="572">
        <f t="shared" si="21"/>
        <v>0</v>
      </c>
      <c r="DM43" s="572">
        <f t="shared" si="22"/>
        <v>0</v>
      </c>
      <c r="DN43" s="572">
        <f t="shared" si="23"/>
        <v>0</v>
      </c>
      <c r="DO43" s="572">
        <f t="shared" si="24"/>
        <v>0</v>
      </c>
      <c r="DP43" s="572">
        <f t="shared" si="25"/>
        <v>0</v>
      </c>
      <c r="DQ43" s="572">
        <f t="shared" si="26"/>
        <v>0</v>
      </c>
      <c r="DR43" s="572">
        <f t="shared" si="27"/>
        <v>0</v>
      </c>
      <c r="DS43" s="572">
        <f t="shared" si="28"/>
        <v>0</v>
      </c>
      <c r="DT43" s="572">
        <f t="shared" si="29"/>
        <v>0</v>
      </c>
      <c r="DU43" s="572">
        <f t="shared" si="30"/>
        <v>0</v>
      </c>
      <c r="DV43" s="572">
        <f t="shared" si="31"/>
        <v>0</v>
      </c>
      <c r="DW43" s="139">
        <f t="shared" si="32"/>
        <v>0</v>
      </c>
    </row>
    <row r="44" spans="1:127" x14ac:dyDescent="0.2">
      <c r="A44" s="137" t="s">
        <v>506</v>
      </c>
      <c r="B44" s="109">
        <v>1200</v>
      </c>
      <c r="C44" s="110">
        <v>600</v>
      </c>
      <c r="D44" s="111">
        <f t="shared" si="66"/>
        <v>-600</v>
      </c>
      <c r="E44" s="109">
        <v>1200</v>
      </c>
      <c r="F44" s="110">
        <v>2100</v>
      </c>
      <c r="G44" s="111">
        <f t="shared" si="67"/>
        <v>900</v>
      </c>
      <c r="H44" s="109">
        <v>1200</v>
      </c>
      <c r="I44" s="110">
        <v>300</v>
      </c>
      <c r="J44" s="111">
        <f t="shared" si="68"/>
        <v>-900</v>
      </c>
      <c r="K44" s="109">
        <v>1200</v>
      </c>
      <c r="L44" s="110"/>
      <c r="M44" s="111">
        <f t="shared" si="69"/>
        <v>-1200</v>
      </c>
      <c r="N44" s="109">
        <v>11433.333333333334</v>
      </c>
      <c r="O44" s="110">
        <v>300</v>
      </c>
      <c r="P44" s="111">
        <f t="shared" si="70"/>
        <v>-11133.333333333334</v>
      </c>
      <c r="Q44" s="109">
        <v>11433.333333333334</v>
      </c>
      <c r="R44" s="110">
        <v>2400</v>
      </c>
      <c r="S44" s="111">
        <f t="shared" si="71"/>
        <v>-9033.3333333333339</v>
      </c>
      <c r="T44" s="109">
        <v>1200</v>
      </c>
      <c r="U44" s="110">
        <v>600</v>
      </c>
      <c r="V44" s="111">
        <f t="shared" si="72"/>
        <v>-600</v>
      </c>
      <c r="W44" s="109">
        <v>1200</v>
      </c>
      <c r="X44" s="110">
        <v>600</v>
      </c>
      <c r="Y44" s="111">
        <f t="shared" si="73"/>
        <v>-600</v>
      </c>
      <c r="Z44" s="109">
        <v>1200</v>
      </c>
      <c r="AA44" s="110">
        <v>300</v>
      </c>
      <c r="AB44" s="111">
        <f t="shared" si="53"/>
        <v>-900</v>
      </c>
      <c r="AC44" s="109">
        <v>1200</v>
      </c>
      <c r="AD44" s="52"/>
      <c r="AE44" s="111">
        <f t="shared" si="54"/>
        <v>-1200</v>
      </c>
      <c r="AF44" s="109">
        <v>1200</v>
      </c>
      <c r="AG44" s="52">
        <v>2580</v>
      </c>
      <c r="AH44" s="111">
        <f t="shared" si="55"/>
        <v>1380</v>
      </c>
      <c r="AI44" s="113">
        <v>1200</v>
      </c>
      <c r="AJ44" s="52"/>
      <c r="AK44" s="111">
        <f t="shared" si="56"/>
        <v>-1200</v>
      </c>
      <c r="AL44" s="138">
        <f t="shared" si="57"/>
        <v>9780</v>
      </c>
      <c r="AM44" s="143" t="s">
        <v>508</v>
      </c>
      <c r="AN44" s="84">
        <v>1000</v>
      </c>
      <c r="AO44" s="84">
        <v>1000</v>
      </c>
      <c r="AP44" s="84">
        <v>1000</v>
      </c>
      <c r="AQ44" s="84">
        <v>1000</v>
      </c>
      <c r="AR44" s="84">
        <v>1000</v>
      </c>
      <c r="AS44" s="85">
        <v>1000</v>
      </c>
      <c r="AT44" s="85">
        <v>1000</v>
      </c>
      <c r="AU44" s="85">
        <v>1000</v>
      </c>
      <c r="AV44" s="85">
        <v>1000</v>
      </c>
      <c r="AW44" s="85">
        <v>1000</v>
      </c>
      <c r="AX44" s="85">
        <v>1000</v>
      </c>
      <c r="AY44" s="85">
        <v>1000</v>
      </c>
      <c r="AZ44" s="138">
        <f t="shared" si="58"/>
        <v>12000</v>
      </c>
      <c r="BA44" s="142"/>
      <c r="BB44" s="151" t="s">
        <v>508</v>
      </c>
      <c r="BC44" s="147">
        <v>0</v>
      </c>
      <c r="BD44" s="147">
        <v>0</v>
      </c>
      <c r="BE44" s="147">
        <v>600</v>
      </c>
      <c r="BF44" s="147">
        <v>0</v>
      </c>
      <c r="BG44" s="147">
        <v>600</v>
      </c>
      <c r="BH44" s="147">
        <v>0</v>
      </c>
      <c r="BI44" s="147">
        <v>600</v>
      </c>
      <c r="BJ44" s="147">
        <v>0</v>
      </c>
      <c r="BK44" s="147">
        <v>600</v>
      </c>
      <c r="BL44" s="147">
        <v>0</v>
      </c>
      <c r="BM44" s="147">
        <v>600</v>
      </c>
      <c r="BN44" s="148">
        <v>0</v>
      </c>
      <c r="BO44" s="139">
        <f t="shared" si="0"/>
        <v>3000</v>
      </c>
      <c r="BQ44" s="502" t="s">
        <v>917</v>
      </c>
      <c r="BR44" s="283" t="s">
        <v>513</v>
      </c>
      <c r="BS44" s="467">
        <v>0</v>
      </c>
      <c r="BT44" s="84">
        <v>0</v>
      </c>
      <c r="BU44" s="84">
        <v>0</v>
      </c>
      <c r="BV44" s="84">
        <v>0</v>
      </c>
      <c r="BW44" s="84">
        <v>0</v>
      </c>
      <c r="BX44" s="84">
        <v>0</v>
      </c>
      <c r="BY44" s="84">
        <v>0</v>
      </c>
      <c r="BZ44" s="84">
        <v>0</v>
      </c>
      <c r="CA44" s="84">
        <v>0</v>
      </c>
      <c r="CB44" s="84">
        <v>0</v>
      </c>
      <c r="CC44" s="84">
        <v>0</v>
      </c>
      <c r="CD44" s="84">
        <v>0</v>
      </c>
      <c r="CE44" s="139">
        <f t="shared" si="1"/>
        <v>0</v>
      </c>
      <c r="CF44" s="142"/>
      <c r="CG44" s="572">
        <f t="shared" si="74"/>
        <v>0</v>
      </c>
      <c r="CH44" s="572">
        <f t="shared" si="74"/>
        <v>0</v>
      </c>
      <c r="CI44" s="84">
        <f t="shared" si="74"/>
        <v>0</v>
      </c>
      <c r="CJ44" s="84">
        <f t="shared" si="74"/>
        <v>0</v>
      </c>
      <c r="CK44" s="84">
        <f t="shared" si="74"/>
        <v>0</v>
      </c>
      <c r="CL44" s="572">
        <f>BX44</f>
        <v>0</v>
      </c>
      <c r="CM44" s="84">
        <v>0</v>
      </c>
      <c r="CN44" s="84">
        <v>0</v>
      </c>
      <c r="CO44" s="84">
        <v>0</v>
      </c>
      <c r="CP44" s="84">
        <v>0</v>
      </c>
      <c r="CQ44" s="84">
        <v>0</v>
      </c>
      <c r="CR44" s="84">
        <v>0</v>
      </c>
      <c r="CS44" s="139">
        <f t="shared" si="2"/>
        <v>0</v>
      </c>
      <c r="CU44" s="502"/>
      <c r="CV44" s="285"/>
      <c r="CW44" s="467"/>
      <c r="CX44" s="84"/>
      <c r="CY44" s="84"/>
      <c r="CZ44" s="84"/>
      <c r="DA44" s="84"/>
      <c r="DB44" s="84"/>
      <c r="DC44" s="84"/>
      <c r="DD44" s="84"/>
      <c r="DE44" s="84"/>
      <c r="DF44" s="84"/>
      <c r="DG44" s="84"/>
      <c r="DH44" s="84"/>
      <c r="DI44" s="139">
        <f t="shared" si="19"/>
        <v>0</v>
      </c>
      <c r="DJ44" s="142"/>
      <c r="DK44" s="572">
        <f t="shared" si="20"/>
        <v>0</v>
      </c>
      <c r="DL44" s="572">
        <f t="shared" si="21"/>
        <v>0</v>
      </c>
      <c r="DM44" s="572">
        <f t="shared" si="22"/>
        <v>0</v>
      </c>
      <c r="DN44" s="572">
        <f t="shared" si="23"/>
        <v>0</v>
      </c>
      <c r="DO44" s="572">
        <f t="shared" si="24"/>
        <v>0</v>
      </c>
      <c r="DP44" s="572">
        <f t="shared" si="25"/>
        <v>0</v>
      </c>
      <c r="DQ44" s="572">
        <f t="shared" si="26"/>
        <v>0</v>
      </c>
      <c r="DR44" s="572">
        <f t="shared" si="27"/>
        <v>0</v>
      </c>
      <c r="DS44" s="572">
        <f t="shared" si="28"/>
        <v>0</v>
      </c>
      <c r="DT44" s="572">
        <f t="shared" si="29"/>
        <v>0</v>
      </c>
      <c r="DU44" s="572">
        <f t="shared" si="30"/>
        <v>0</v>
      </c>
      <c r="DV44" s="572">
        <f t="shared" si="31"/>
        <v>0</v>
      </c>
      <c r="DW44" s="139">
        <f t="shared" si="32"/>
        <v>0</v>
      </c>
    </row>
    <row r="45" spans="1:127" x14ac:dyDescent="0.2">
      <c r="A45" s="137" t="s">
        <v>514</v>
      </c>
      <c r="B45" s="109"/>
      <c r="C45" s="110"/>
      <c r="D45" s="111">
        <f t="shared" si="66"/>
        <v>0</v>
      </c>
      <c r="E45" s="109"/>
      <c r="F45" s="110"/>
      <c r="G45" s="111">
        <f t="shared" si="67"/>
        <v>0</v>
      </c>
      <c r="H45" s="109"/>
      <c r="I45" s="110"/>
      <c r="J45" s="111">
        <f t="shared" si="68"/>
        <v>0</v>
      </c>
      <c r="K45" s="109"/>
      <c r="L45" s="110"/>
      <c r="M45" s="111">
        <f t="shared" si="69"/>
        <v>0</v>
      </c>
      <c r="N45" s="109">
        <v>11433.333333333334</v>
      </c>
      <c r="O45" s="110"/>
      <c r="P45" s="111">
        <f t="shared" si="70"/>
        <v>-11433.333333333334</v>
      </c>
      <c r="Q45" s="109">
        <v>7840</v>
      </c>
      <c r="R45" s="110"/>
      <c r="S45" s="111">
        <f t="shared" si="71"/>
        <v>-7840</v>
      </c>
      <c r="T45" s="109">
        <v>0</v>
      </c>
      <c r="U45" s="110"/>
      <c r="V45" s="111">
        <f t="shared" si="72"/>
        <v>0</v>
      </c>
      <c r="W45" s="109">
        <v>0</v>
      </c>
      <c r="X45" s="110"/>
      <c r="Y45" s="111">
        <f t="shared" si="73"/>
        <v>0</v>
      </c>
      <c r="Z45" s="109">
        <v>0</v>
      </c>
      <c r="AA45" s="110"/>
      <c r="AB45" s="111">
        <f t="shared" si="53"/>
        <v>0</v>
      </c>
      <c r="AC45" s="109">
        <v>0</v>
      </c>
      <c r="AD45" s="52"/>
      <c r="AE45" s="111">
        <f t="shared" si="54"/>
        <v>0</v>
      </c>
      <c r="AF45" s="109">
        <v>0</v>
      </c>
      <c r="AG45" s="52"/>
      <c r="AH45" s="111">
        <f t="shared" si="55"/>
        <v>0</v>
      </c>
      <c r="AI45" s="113">
        <v>0</v>
      </c>
      <c r="AJ45" s="52"/>
      <c r="AK45" s="111">
        <f t="shared" si="56"/>
        <v>0</v>
      </c>
      <c r="AL45" s="138">
        <f t="shared" si="57"/>
        <v>0</v>
      </c>
      <c r="AM45" s="143" t="s">
        <v>515</v>
      </c>
      <c r="AN45" s="84">
        <v>0</v>
      </c>
      <c r="AO45" s="84">
        <v>0</v>
      </c>
      <c r="AP45" s="84">
        <v>0</v>
      </c>
      <c r="AQ45" s="84">
        <v>0</v>
      </c>
      <c r="AR45" s="84">
        <v>0</v>
      </c>
      <c r="AS45" s="85">
        <v>0</v>
      </c>
      <c r="AT45" s="85">
        <v>0</v>
      </c>
      <c r="AU45" s="85">
        <v>0</v>
      </c>
      <c r="AV45" s="85">
        <v>0</v>
      </c>
      <c r="AW45" s="85">
        <v>0</v>
      </c>
      <c r="AX45" s="85">
        <v>0</v>
      </c>
      <c r="AY45" s="85">
        <v>0</v>
      </c>
      <c r="AZ45" s="138">
        <f t="shared" si="58"/>
        <v>0</v>
      </c>
      <c r="BA45" s="142"/>
      <c r="BB45" s="151" t="s">
        <v>515</v>
      </c>
      <c r="BC45" s="147"/>
      <c r="BD45" s="147"/>
      <c r="BE45" s="147"/>
      <c r="BF45" s="147"/>
      <c r="BG45" s="147"/>
      <c r="BH45" s="147"/>
      <c r="BI45" s="147"/>
      <c r="BJ45" s="147"/>
      <c r="BK45" s="147"/>
      <c r="BL45" s="147"/>
      <c r="BM45" s="147"/>
      <c r="BN45" s="148"/>
      <c r="BO45" s="139">
        <f t="shared" si="0"/>
        <v>0</v>
      </c>
      <c r="BQ45" s="502" t="s">
        <v>918</v>
      </c>
      <c r="BR45" s="283" t="s">
        <v>945</v>
      </c>
      <c r="BS45" s="467">
        <v>0</v>
      </c>
      <c r="BT45" s="84">
        <v>340</v>
      </c>
      <c r="BU45" s="84" t="s">
        <v>946</v>
      </c>
      <c r="BV45" s="84">
        <v>340</v>
      </c>
      <c r="BW45" s="84" t="s">
        <v>946</v>
      </c>
      <c r="BX45" s="84">
        <v>340</v>
      </c>
      <c r="BY45" s="84" t="s">
        <v>946</v>
      </c>
      <c r="BZ45" s="84">
        <v>340</v>
      </c>
      <c r="CA45" s="84" t="s">
        <v>946</v>
      </c>
      <c r="CB45" s="84">
        <v>340</v>
      </c>
      <c r="CC45" s="84" t="s">
        <v>946</v>
      </c>
      <c r="CD45" s="84">
        <v>340</v>
      </c>
      <c r="CE45" s="139">
        <f t="shared" si="1"/>
        <v>2040</v>
      </c>
      <c r="CF45" s="142"/>
      <c r="CG45" s="572">
        <f>BS45</f>
        <v>0</v>
      </c>
      <c r="CH45" s="572">
        <v>0</v>
      </c>
      <c r="CI45" s="84" t="str">
        <f>BU45</f>
        <v xml:space="preserve"> $                      -   </v>
      </c>
      <c r="CJ45" s="84">
        <v>0</v>
      </c>
      <c r="CK45" s="84" t="s">
        <v>946</v>
      </c>
      <c r="CL45" s="572">
        <v>0</v>
      </c>
      <c r="CM45" s="84" t="s">
        <v>946</v>
      </c>
      <c r="CN45" s="84">
        <v>0</v>
      </c>
      <c r="CO45" s="84" t="s">
        <v>946</v>
      </c>
      <c r="CP45" s="84">
        <v>0</v>
      </c>
      <c r="CQ45" s="84" t="s">
        <v>946</v>
      </c>
      <c r="CR45" s="84">
        <v>0</v>
      </c>
      <c r="CS45" s="139">
        <f t="shared" si="2"/>
        <v>0</v>
      </c>
      <c r="CU45" s="502"/>
      <c r="CV45" s="285"/>
      <c r="CW45" s="467"/>
      <c r="CX45" s="84"/>
      <c r="CY45" s="84"/>
      <c r="CZ45" s="84"/>
      <c r="DA45" s="84"/>
      <c r="DB45" s="84"/>
      <c r="DC45" s="84"/>
      <c r="DD45" s="84"/>
      <c r="DE45" s="84"/>
      <c r="DF45" s="84"/>
      <c r="DG45" s="84"/>
      <c r="DH45" s="84"/>
      <c r="DI45" s="139">
        <f t="shared" si="19"/>
        <v>0</v>
      </c>
      <c r="DJ45" s="142"/>
      <c r="DK45" s="572">
        <f t="shared" si="20"/>
        <v>0</v>
      </c>
      <c r="DL45" s="572">
        <f t="shared" si="21"/>
        <v>0</v>
      </c>
      <c r="DM45" s="572">
        <f t="shared" si="22"/>
        <v>0</v>
      </c>
      <c r="DN45" s="572">
        <f t="shared" si="23"/>
        <v>0</v>
      </c>
      <c r="DO45" s="572">
        <f t="shared" si="24"/>
        <v>0</v>
      </c>
      <c r="DP45" s="572">
        <f t="shared" si="25"/>
        <v>0</v>
      </c>
      <c r="DQ45" s="572">
        <f t="shared" si="26"/>
        <v>0</v>
      </c>
      <c r="DR45" s="572">
        <f t="shared" si="27"/>
        <v>0</v>
      </c>
      <c r="DS45" s="572">
        <f t="shared" si="28"/>
        <v>0</v>
      </c>
      <c r="DT45" s="572">
        <f t="shared" si="29"/>
        <v>0</v>
      </c>
      <c r="DU45" s="572">
        <f t="shared" si="30"/>
        <v>0</v>
      </c>
      <c r="DV45" s="572">
        <f t="shared" si="31"/>
        <v>0</v>
      </c>
      <c r="DW45" s="139">
        <f t="shared" si="32"/>
        <v>0</v>
      </c>
    </row>
    <row r="46" spans="1:127" x14ac:dyDescent="0.2">
      <c r="A46" s="137" t="s">
        <v>510</v>
      </c>
      <c r="B46" s="109">
        <v>300</v>
      </c>
      <c r="C46" s="110"/>
      <c r="D46" s="111">
        <f t="shared" si="66"/>
        <v>-300</v>
      </c>
      <c r="E46" s="109">
        <v>300</v>
      </c>
      <c r="F46" s="110">
        <v>375</v>
      </c>
      <c r="G46" s="111">
        <f t="shared" si="67"/>
        <v>75</v>
      </c>
      <c r="H46" s="109">
        <v>300</v>
      </c>
      <c r="I46" s="110"/>
      <c r="J46" s="111">
        <f t="shared" si="68"/>
        <v>-300</v>
      </c>
      <c r="K46" s="109">
        <v>300</v>
      </c>
      <c r="L46" s="110"/>
      <c r="M46" s="111">
        <f t="shared" si="69"/>
        <v>-300</v>
      </c>
      <c r="N46" s="109"/>
      <c r="O46" s="110"/>
      <c r="P46" s="111">
        <f t="shared" si="70"/>
        <v>0</v>
      </c>
      <c r="Q46" s="109"/>
      <c r="R46" s="110"/>
      <c r="S46" s="111">
        <f t="shared" si="71"/>
        <v>0</v>
      </c>
      <c r="T46" s="109">
        <v>11433.333333333334</v>
      </c>
      <c r="U46" s="110">
        <v>11267</v>
      </c>
      <c r="V46" s="111">
        <f t="shared" si="72"/>
        <v>-166.33333333333394</v>
      </c>
      <c r="W46" s="109">
        <v>11433.333333333334</v>
      </c>
      <c r="X46" s="110">
        <f>11267-560</f>
        <v>10707</v>
      </c>
      <c r="Y46" s="111">
        <f t="shared" si="73"/>
        <v>-726.33333333333394</v>
      </c>
      <c r="Z46" s="109">
        <v>11433.333333333334</v>
      </c>
      <c r="AA46" s="110"/>
      <c r="AB46" s="111">
        <f t="shared" si="53"/>
        <v>-11433.333333333334</v>
      </c>
      <c r="AC46" s="109">
        <v>11433.333333333334</v>
      </c>
      <c r="AD46" s="52"/>
      <c r="AE46" s="111">
        <f t="shared" si="54"/>
        <v>-11433.333333333334</v>
      </c>
      <c r="AF46" s="109">
        <v>11433.333333333334</v>
      </c>
      <c r="AG46" s="52"/>
      <c r="AH46" s="111">
        <f t="shared" si="55"/>
        <v>-11433.333333333334</v>
      </c>
      <c r="AI46" s="113">
        <v>11433.333333333334</v>
      </c>
      <c r="AJ46" s="52"/>
      <c r="AK46" s="111">
        <f t="shared" si="56"/>
        <v>-11433.333333333334</v>
      </c>
      <c r="AL46" s="138">
        <f t="shared" si="57"/>
        <v>22349</v>
      </c>
      <c r="AM46" s="143" t="s">
        <v>513</v>
      </c>
      <c r="AN46" s="84">
        <v>0</v>
      </c>
      <c r="AO46" s="84">
        <v>0</v>
      </c>
      <c r="AP46" s="84">
        <v>0</v>
      </c>
      <c r="AQ46" s="84">
        <v>0</v>
      </c>
      <c r="AR46" s="84">
        <v>0</v>
      </c>
      <c r="AS46" s="85">
        <v>0</v>
      </c>
      <c r="AT46" s="85">
        <v>0</v>
      </c>
      <c r="AU46" s="85">
        <v>0</v>
      </c>
      <c r="AV46" s="85">
        <v>0</v>
      </c>
      <c r="AW46" s="85">
        <v>0</v>
      </c>
      <c r="AX46" s="85">
        <v>0</v>
      </c>
      <c r="AY46" s="85">
        <v>0</v>
      </c>
      <c r="AZ46" s="138">
        <f t="shared" si="58"/>
        <v>0</v>
      </c>
      <c r="BA46" s="142"/>
      <c r="BB46" s="151" t="s">
        <v>513</v>
      </c>
      <c r="BC46" s="147"/>
      <c r="BD46" s="147"/>
      <c r="BE46" s="147"/>
      <c r="BF46" s="147"/>
      <c r="BG46" s="147"/>
      <c r="BH46" s="147"/>
      <c r="BI46" s="147"/>
      <c r="BJ46" s="147"/>
      <c r="BK46" s="147"/>
      <c r="BL46" s="147"/>
      <c r="BM46" s="147"/>
      <c r="BN46" s="148"/>
      <c r="BO46" s="139">
        <f t="shared" si="0"/>
        <v>0</v>
      </c>
      <c r="BQ46" s="502" t="s">
        <v>918</v>
      </c>
      <c r="BR46" s="283" t="s">
        <v>518</v>
      </c>
      <c r="BS46" s="467">
        <v>11860.56</v>
      </c>
      <c r="BT46" s="84">
        <v>11860.56</v>
      </c>
      <c r="BU46" s="84">
        <v>11860.56</v>
      </c>
      <c r="BV46" s="84">
        <v>11860.56</v>
      </c>
      <c r="BW46" s="84">
        <v>11860.56</v>
      </c>
      <c r="BX46" s="84">
        <v>11860.56</v>
      </c>
      <c r="BY46" s="84">
        <v>11860.56</v>
      </c>
      <c r="BZ46" s="84">
        <v>11860.56</v>
      </c>
      <c r="CA46" s="84">
        <v>11860.56</v>
      </c>
      <c r="CB46" s="84">
        <v>11860.56</v>
      </c>
      <c r="CC46" s="84">
        <v>11860.56</v>
      </c>
      <c r="CD46" s="84">
        <v>11860.56</v>
      </c>
      <c r="CE46" s="139">
        <f t="shared" si="1"/>
        <v>142326.72</v>
      </c>
      <c r="CF46" s="142"/>
      <c r="CG46" s="572">
        <v>12040.56</v>
      </c>
      <c r="CH46" s="572">
        <f>BT46</f>
        <v>11860.56</v>
      </c>
      <c r="CI46" s="84">
        <f>BU46</f>
        <v>11860.56</v>
      </c>
      <c r="CJ46" s="84">
        <f>BV46</f>
        <v>11860.56</v>
      </c>
      <c r="CK46" s="84">
        <v>11300.243</v>
      </c>
      <c r="CL46" s="572">
        <f>BX46</f>
        <v>11860.56</v>
      </c>
      <c r="CM46" s="84">
        <v>11860.56</v>
      </c>
      <c r="CN46" s="84">
        <v>11860.56</v>
      </c>
      <c r="CO46" s="84">
        <v>11860.56</v>
      </c>
      <c r="CP46" s="84">
        <v>11860.56</v>
      </c>
      <c r="CQ46" s="84">
        <v>11860.56</v>
      </c>
      <c r="CR46" s="84">
        <v>11860.56</v>
      </c>
      <c r="CS46" s="139">
        <f t="shared" si="2"/>
        <v>141946.40299999999</v>
      </c>
      <c r="CU46" s="502"/>
      <c r="CV46" s="285"/>
      <c r="CW46" s="467"/>
      <c r="CX46" s="84"/>
      <c r="CY46" s="84"/>
      <c r="CZ46" s="84"/>
      <c r="DA46" s="84"/>
      <c r="DB46" s="84"/>
      <c r="DC46" s="84"/>
      <c r="DD46" s="84"/>
      <c r="DE46" s="84"/>
      <c r="DF46" s="84"/>
      <c r="DG46" s="84"/>
      <c r="DH46" s="84"/>
      <c r="DI46" s="139">
        <f t="shared" si="19"/>
        <v>0</v>
      </c>
      <c r="DJ46" s="142"/>
      <c r="DK46" s="572">
        <f t="shared" si="20"/>
        <v>0</v>
      </c>
      <c r="DL46" s="572">
        <f t="shared" si="21"/>
        <v>0</v>
      </c>
      <c r="DM46" s="572">
        <f t="shared" si="22"/>
        <v>0</v>
      </c>
      <c r="DN46" s="572">
        <f t="shared" si="23"/>
        <v>0</v>
      </c>
      <c r="DO46" s="572">
        <f t="shared" si="24"/>
        <v>0</v>
      </c>
      <c r="DP46" s="572">
        <f t="shared" si="25"/>
        <v>0</v>
      </c>
      <c r="DQ46" s="572">
        <f t="shared" si="26"/>
        <v>0</v>
      </c>
      <c r="DR46" s="572">
        <f t="shared" si="27"/>
        <v>0</v>
      </c>
      <c r="DS46" s="572">
        <f t="shared" si="28"/>
        <v>0</v>
      </c>
      <c r="DT46" s="572">
        <f t="shared" si="29"/>
        <v>0</v>
      </c>
      <c r="DU46" s="572">
        <f t="shared" si="30"/>
        <v>0</v>
      </c>
      <c r="DV46" s="572">
        <f t="shared" si="31"/>
        <v>0</v>
      </c>
      <c r="DW46" s="139">
        <f t="shared" si="32"/>
        <v>0</v>
      </c>
    </row>
    <row r="47" spans="1:127" x14ac:dyDescent="0.2">
      <c r="A47" s="137" t="s">
        <v>517</v>
      </c>
      <c r="B47" s="109">
        <f>8*10*80</f>
        <v>6400</v>
      </c>
      <c r="C47" s="110"/>
      <c r="D47" s="111">
        <f t="shared" si="66"/>
        <v>-6400</v>
      </c>
      <c r="E47" s="109">
        <v>0</v>
      </c>
      <c r="F47" s="110"/>
      <c r="G47" s="111">
        <f t="shared" si="67"/>
        <v>0</v>
      </c>
      <c r="H47" s="109">
        <v>0</v>
      </c>
      <c r="I47" s="110"/>
      <c r="J47" s="111">
        <f t="shared" si="68"/>
        <v>0</v>
      </c>
      <c r="K47" s="109">
        <f>8*80*2</f>
        <v>1280</v>
      </c>
      <c r="L47" s="110"/>
      <c r="M47" s="111">
        <f t="shared" si="69"/>
        <v>-1280</v>
      </c>
      <c r="N47" s="109">
        <v>600</v>
      </c>
      <c r="O47" s="110"/>
      <c r="P47" s="111">
        <f t="shared" si="70"/>
        <v>-600</v>
      </c>
      <c r="Q47" s="109">
        <v>300</v>
      </c>
      <c r="R47" s="110"/>
      <c r="S47" s="111">
        <f t="shared" si="71"/>
        <v>-300</v>
      </c>
      <c r="T47" s="109"/>
      <c r="U47" s="110"/>
      <c r="V47" s="111">
        <f t="shared" si="72"/>
        <v>0</v>
      </c>
      <c r="W47" s="109"/>
      <c r="X47" s="110"/>
      <c r="Y47" s="111">
        <f t="shared" si="73"/>
        <v>0</v>
      </c>
      <c r="Z47" s="109"/>
      <c r="AA47" s="110"/>
      <c r="AB47" s="111">
        <f t="shared" si="53"/>
        <v>0</v>
      </c>
      <c r="AC47" s="109"/>
      <c r="AD47" s="52"/>
      <c r="AE47" s="111">
        <f t="shared" si="54"/>
        <v>0</v>
      </c>
      <c r="AF47" s="109"/>
      <c r="AG47" s="52"/>
      <c r="AH47" s="111">
        <f t="shared" si="55"/>
        <v>0</v>
      </c>
      <c r="AI47" s="113"/>
      <c r="AJ47" s="52"/>
      <c r="AK47" s="111">
        <f t="shared" si="56"/>
        <v>0</v>
      </c>
      <c r="AL47" s="138">
        <f t="shared" si="57"/>
        <v>0</v>
      </c>
      <c r="AM47" s="143"/>
      <c r="AN47" s="84"/>
      <c r="AO47" s="84"/>
      <c r="AP47" s="84"/>
      <c r="AQ47" s="84"/>
      <c r="AR47" s="84"/>
      <c r="AS47" s="85"/>
      <c r="AT47" s="85"/>
      <c r="AU47" s="85"/>
      <c r="AV47" s="85"/>
      <c r="AW47" s="85"/>
      <c r="AX47" s="85"/>
      <c r="AY47" s="85"/>
      <c r="AZ47" s="138"/>
      <c r="BA47" s="142"/>
      <c r="BB47" s="151" t="s">
        <v>520</v>
      </c>
      <c r="BC47" s="147">
        <v>16000</v>
      </c>
      <c r="BD47" s="147">
        <v>16000</v>
      </c>
      <c r="BE47" s="147">
        <v>16000</v>
      </c>
      <c r="BF47" s="147">
        <v>0</v>
      </c>
      <c r="BG47" s="147">
        <v>0</v>
      </c>
      <c r="BH47" s="147">
        <v>0</v>
      </c>
      <c r="BI47" s="147">
        <v>0</v>
      </c>
      <c r="BJ47" s="147">
        <v>0</v>
      </c>
      <c r="BK47" s="147">
        <v>0</v>
      </c>
      <c r="BL47" s="147">
        <v>0</v>
      </c>
      <c r="BM47" s="147">
        <v>0</v>
      </c>
      <c r="BN47" s="148">
        <v>0</v>
      </c>
      <c r="BO47" s="139">
        <f t="shared" si="0"/>
        <v>48000</v>
      </c>
      <c r="BQ47" s="502" t="s">
        <v>919</v>
      </c>
      <c r="BR47" s="283" t="s">
        <v>948</v>
      </c>
      <c r="BS47" s="467">
        <v>2500</v>
      </c>
      <c r="BT47" s="84">
        <v>2500</v>
      </c>
      <c r="BU47" s="84">
        <v>2500</v>
      </c>
      <c r="BV47" s="84">
        <v>5000</v>
      </c>
      <c r="BW47" s="84">
        <v>5000</v>
      </c>
      <c r="BX47" s="84">
        <v>5000</v>
      </c>
      <c r="BY47" s="84">
        <v>10000</v>
      </c>
      <c r="BZ47" s="84">
        <v>10000</v>
      </c>
      <c r="CA47" s="84">
        <v>10000</v>
      </c>
      <c r="CB47" s="84">
        <v>10000</v>
      </c>
      <c r="CC47" s="84">
        <v>10000</v>
      </c>
      <c r="CD47" s="84">
        <v>10000</v>
      </c>
      <c r="CE47" s="139">
        <f t="shared" si="1"/>
        <v>82500</v>
      </c>
      <c r="CF47" s="142"/>
      <c r="CG47" s="572">
        <v>0</v>
      </c>
      <c r="CH47" s="572">
        <v>0</v>
      </c>
      <c r="CI47" s="84">
        <v>0</v>
      </c>
      <c r="CJ47" s="84">
        <v>0</v>
      </c>
      <c r="CK47" s="84">
        <v>0</v>
      </c>
      <c r="CL47" s="572">
        <v>0</v>
      </c>
      <c r="CM47" s="84">
        <v>0</v>
      </c>
      <c r="CN47" s="84">
        <v>0</v>
      </c>
      <c r="CO47" s="84">
        <v>0</v>
      </c>
      <c r="CP47" s="84">
        <v>0</v>
      </c>
      <c r="CQ47" s="84">
        <v>5000</v>
      </c>
      <c r="CR47" s="84">
        <v>5000</v>
      </c>
      <c r="CS47" s="139">
        <f t="shared" si="2"/>
        <v>10000</v>
      </c>
      <c r="CU47" s="502"/>
      <c r="CV47" s="285"/>
      <c r="CW47" s="467"/>
      <c r="CX47" s="84"/>
      <c r="CY47" s="84"/>
      <c r="CZ47" s="84"/>
      <c r="DA47" s="84"/>
      <c r="DB47" s="84"/>
      <c r="DC47" s="84"/>
      <c r="DD47" s="84"/>
      <c r="DE47" s="84"/>
      <c r="DF47" s="84"/>
      <c r="DG47" s="84"/>
      <c r="DH47" s="84"/>
      <c r="DI47" s="139">
        <f t="shared" si="19"/>
        <v>0</v>
      </c>
      <c r="DJ47" s="142"/>
      <c r="DK47" s="572">
        <f t="shared" si="20"/>
        <v>0</v>
      </c>
      <c r="DL47" s="572">
        <f t="shared" si="21"/>
        <v>0</v>
      </c>
      <c r="DM47" s="572">
        <f t="shared" si="22"/>
        <v>0</v>
      </c>
      <c r="DN47" s="572">
        <f t="shared" si="23"/>
        <v>0</v>
      </c>
      <c r="DO47" s="572">
        <f t="shared" si="24"/>
        <v>0</v>
      </c>
      <c r="DP47" s="572">
        <f t="shared" si="25"/>
        <v>0</v>
      </c>
      <c r="DQ47" s="572">
        <f t="shared" si="26"/>
        <v>0</v>
      </c>
      <c r="DR47" s="572">
        <f t="shared" si="27"/>
        <v>0</v>
      </c>
      <c r="DS47" s="572">
        <f t="shared" si="28"/>
        <v>0</v>
      </c>
      <c r="DT47" s="572">
        <f t="shared" si="29"/>
        <v>0</v>
      </c>
      <c r="DU47" s="572">
        <f t="shared" si="30"/>
        <v>0</v>
      </c>
      <c r="DV47" s="572">
        <f t="shared" si="31"/>
        <v>0</v>
      </c>
      <c r="DW47" s="139">
        <f t="shared" si="32"/>
        <v>0</v>
      </c>
    </row>
    <row r="48" spans="1:127" x14ac:dyDescent="0.2">
      <c r="A48" s="137" t="s">
        <v>516</v>
      </c>
      <c r="B48" s="109">
        <v>11433.333333333334</v>
      </c>
      <c r="C48" s="110">
        <v>11433.33</v>
      </c>
      <c r="D48" s="111">
        <f t="shared" si="66"/>
        <v>-3.3333333340124227E-3</v>
      </c>
      <c r="E48" s="109">
        <v>11433.333333333334</v>
      </c>
      <c r="F48" s="110">
        <v>11433</v>
      </c>
      <c r="G48" s="111">
        <f t="shared" si="67"/>
        <v>-0.33333333333393966</v>
      </c>
      <c r="H48" s="109">
        <v>11433.333333333334</v>
      </c>
      <c r="I48" s="110">
        <v>11433</v>
      </c>
      <c r="J48" s="111">
        <f t="shared" si="68"/>
        <v>-0.33333333333393966</v>
      </c>
      <c r="K48" s="109">
        <v>11433.333333333334</v>
      </c>
      <c r="L48" s="110">
        <v>11433.33</v>
      </c>
      <c r="M48" s="111">
        <f t="shared" si="69"/>
        <v>-3.3333333340124227E-3</v>
      </c>
      <c r="N48" s="109">
        <v>0</v>
      </c>
      <c r="O48" s="110">
        <v>11433.33</v>
      </c>
      <c r="P48" s="111">
        <f t="shared" si="70"/>
        <v>11433.33</v>
      </c>
      <c r="Q48" s="109">
        <v>0</v>
      </c>
      <c r="R48" s="110">
        <v>8633.33</v>
      </c>
      <c r="S48" s="111">
        <f t="shared" si="71"/>
        <v>8633.33</v>
      </c>
      <c r="T48" s="109">
        <v>0</v>
      </c>
      <c r="U48" s="110">
        <v>1726.65</v>
      </c>
      <c r="V48" s="111">
        <f t="shared" si="72"/>
        <v>1726.65</v>
      </c>
      <c r="W48" s="109">
        <v>0</v>
      </c>
      <c r="X48" s="110"/>
      <c r="Y48" s="111">
        <f t="shared" si="73"/>
        <v>0</v>
      </c>
      <c r="Z48" s="109">
        <v>0</v>
      </c>
      <c r="AA48" s="110"/>
      <c r="AB48" s="111">
        <f t="shared" si="53"/>
        <v>0</v>
      </c>
      <c r="AC48" s="109">
        <v>0</v>
      </c>
      <c r="AD48" s="52"/>
      <c r="AE48" s="111">
        <f t="shared" si="54"/>
        <v>0</v>
      </c>
      <c r="AF48" s="109">
        <v>0</v>
      </c>
      <c r="AG48" s="52"/>
      <c r="AH48" s="111">
        <f t="shared" si="55"/>
        <v>0</v>
      </c>
      <c r="AI48" s="113">
        <v>0</v>
      </c>
      <c r="AJ48" s="52"/>
      <c r="AK48" s="111">
        <f t="shared" si="56"/>
        <v>0</v>
      </c>
      <c r="AL48" s="138">
        <f t="shared" si="57"/>
        <v>67525.97</v>
      </c>
      <c r="AM48" s="143" t="s">
        <v>518</v>
      </c>
      <c r="AN48" s="84">
        <v>11855</v>
      </c>
      <c r="AO48" s="84">
        <v>11855</v>
      </c>
      <c r="AP48" s="84">
        <v>11855</v>
      </c>
      <c r="AQ48" s="84">
        <v>11855</v>
      </c>
      <c r="AR48" s="84">
        <v>11855</v>
      </c>
      <c r="AS48" s="85">
        <v>11855</v>
      </c>
      <c r="AT48" s="85">
        <v>11855</v>
      </c>
      <c r="AU48" s="85">
        <v>11855</v>
      </c>
      <c r="AV48" s="85">
        <v>11855</v>
      </c>
      <c r="AW48" s="85">
        <v>11855</v>
      </c>
      <c r="AX48" s="85">
        <v>11855</v>
      </c>
      <c r="AY48" s="85">
        <v>11855</v>
      </c>
      <c r="AZ48" s="138">
        <f>SUM(AN48:AY48)</f>
        <v>142260</v>
      </c>
      <c r="BA48" s="142"/>
      <c r="BB48" s="151" t="s">
        <v>518</v>
      </c>
      <c r="BC48" s="147">
        <v>11628</v>
      </c>
      <c r="BD48" s="147">
        <v>11628</v>
      </c>
      <c r="BE48" s="147">
        <v>11628</v>
      </c>
      <c r="BF48" s="147">
        <v>11628</v>
      </c>
      <c r="BG48" s="147">
        <v>11628</v>
      </c>
      <c r="BH48" s="147">
        <v>11628</v>
      </c>
      <c r="BI48" s="147">
        <v>11628</v>
      </c>
      <c r="BJ48" s="147">
        <v>11628</v>
      </c>
      <c r="BK48" s="147">
        <v>11628</v>
      </c>
      <c r="BL48" s="147">
        <v>11628</v>
      </c>
      <c r="BM48" s="147">
        <v>11628</v>
      </c>
      <c r="BN48" s="148">
        <v>11628</v>
      </c>
      <c r="BO48" s="139">
        <f t="shared" si="0"/>
        <v>139536</v>
      </c>
      <c r="BQ48" s="502" t="s">
        <v>921</v>
      </c>
      <c r="BR48" s="283" t="s">
        <v>521</v>
      </c>
      <c r="BS48" s="467">
        <v>680</v>
      </c>
      <c r="BT48" s="84">
        <v>680</v>
      </c>
      <c r="BU48" s="84">
        <v>680</v>
      </c>
      <c r="BV48" s="84">
        <v>680</v>
      </c>
      <c r="BW48" s="84">
        <v>680</v>
      </c>
      <c r="BX48" s="84">
        <v>680</v>
      </c>
      <c r="BY48" s="84">
        <v>680</v>
      </c>
      <c r="BZ48" s="84">
        <v>1360</v>
      </c>
      <c r="CA48" s="84">
        <v>1360</v>
      </c>
      <c r="CB48" s="84">
        <v>1360</v>
      </c>
      <c r="CC48" s="84">
        <v>1360</v>
      </c>
      <c r="CD48" s="84">
        <v>1360</v>
      </c>
      <c r="CE48" s="139">
        <f t="shared" si="1"/>
        <v>11560</v>
      </c>
      <c r="CF48" s="142"/>
      <c r="CG48" s="572">
        <v>0</v>
      </c>
      <c r="CH48" s="572">
        <v>0</v>
      </c>
      <c r="CI48" s="84">
        <v>0</v>
      </c>
      <c r="CJ48" s="84">
        <v>340</v>
      </c>
      <c r="CK48" s="84">
        <v>0</v>
      </c>
      <c r="CL48" s="572">
        <v>3400</v>
      </c>
      <c r="CM48" s="84">
        <v>0</v>
      </c>
      <c r="CN48" s="84">
        <v>0</v>
      </c>
      <c r="CO48" s="84">
        <v>0</v>
      </c>
      <c r="CP48" s="84">
        <v>0</v>
      </c>
      <c r="CQ48" s="84"/>
      <c r="CR48" s="84"/>
      <c r="CS48" s="139">
        <f t="shared" si="2"/>
        <v>3740</v>
      </c>
      <c r="CU48" s="502"/>
      <c r="CV48" s="285"/>
      <c r="CW48" s="467"/>
      <c r="CX48" s="84"/>
      <c r="CY48" s="84"/>
      <c r="CZ48" s="84"/>
      <c r="DA48" s="84"/>
      <c r="DB48" s="84"/>
      <c r="DC48" s="84"/>
      <c r="DD48" s="84"/>
      <c r="DE48" s="84"/>
      <c r="DF48" s="84"/>
      <c r="DG48" s="84"/>
      <c r="DH48" s="84"/>
      <c r="DI48" s="139">
        <f t="shared" si="19"/>
        <v>0</v>
      </c>
      <c r="DJ48" s="142"/>
      <c r="DK48" s="572">
        <f t="shared" si="20"/>
        <v>0</v>
      </c>
      <c r="DL48" s="572">
        <f t="shared" si="21"/>
        <v>0</v>
      </c>
      <c r="DM48" s="572">
        <f t="shared" si="22"/>
        <v>0</v>
      </c>
      <c r="DN48" s="572">
        <f t="shared" si="23"/>
        <v>0</v>
      </c>
      <c r="DO48" s="572">
        <f t="shared" si="24"/>
        <v>0</v>
      </c>
      <c r="DP48" s="572">
        <f t="shared" si="25"/>
        <v>0</v>
      </c>
      <c r="DQ48" s="572">
        <f t="shared" si="26"/>
        <v>0</v>
      </c>
      <c r="DR48" s="572">
        <f t="shared" si="27"/>
        <v>0</v>
      </c>
      <c r="DS48" s="572">
        <f t="shared" si="28"/>
        <v>0</v>
      </c>
      <c r="DT48" s="572">
        <f t="shared" si="29"/>
        <v>0</v>
      </c>
      <c r="DU48" s="572">
        <f t="shared" si="30"/>
        <v>0</v>
      </c>
      <c r="DV48" s="572">
        <f t="shared" si="31"/>
        <v>0</v>
      </c>
      <c r="DW48" s="139">
        <f t="shared" si="32"/>
        <v>0</v>
      </c>
    </row>
    <row r="49" spans="1:127" x14ac:dyDescent="0.2">
      <c r="A49" s="137" t="s">
        <v>507</v>
      </c>
      <c r="B49" s="109">
        <v>12600</v>
      </c>
      <c r="C49" s="110">
        <v>17700</v>
      </c>
      <c r="D49" s="111">
        <f t="shared" si="66"/>
        <v>5100</v>
      </c>
      <c r="E49" s="109">
        <v>11147.5</v>
      </c>
      <c r="F49" s="110">
        <v>16200</v>
      </c>
      <c r="G49" s="111">
        <f t="shared" si="67"/>
        <v>5052.5</v>
      </c>
      <c r="H49" s="109">
        <v>11147.5</v>
      </c>
      <c r="I49" s="110">
        <f>1725+7867</f>
        <v>9592</v>
      </c>
      <c r="J49" s="111">
        <f t="shared" si="68"/>
        <v>-1555.5</v>
      </c>
      <c r="K49" s="109">
        <v>11147.5</v>
      </c>
      <c r="L49" s="110">
        <f>+(33801/3)-300</f>
        <v>10967</v>
      </c>
      <c r="M49" s="111">
        <f t="shared" si="69"/>
        <v>-180.5</v>
      </c>
      <c r="N49" s="109">
        <v>1200</v>
      </c>
      <c r="O49" s="110">
        <v>11267</v>
      </c>
      <c r="P49" s="111">
        <f t="shared" si="70"/>
        <v>10067</v>
      </c>
      <c r="Q49" s="109">
        <v>0</v>
      </c>
      <c r="R49" s="110">
        <f>11267+600</f>
        <v>11867</v>
      </c>
      <c r="S49" s="111">
        <f t="shared" si="71"/>
        <v>11867</v>
      </c>
      <c r="T49" s="109">
        <v>11433.333333333334</v>
      </c>
      <c r="U49" s="110">
        <f>11267+1200</f>
        <v>12467</v>
      </c>
      <c r="V49" s="111">
        <f t="shared" si="72"/>
        <v>1033.6666666666661</v>
      </c>
      <c r="W49" s="109">
        <v>11433.333333333334</v>
      </c>
      <c r="X49" s="110">
        <f>10707+600</f>
        <v>11307</v>
      </c>
      <c r="Y49" s="111">
        <f t="shared" si="73"/>
        <v>-126.33333333333394</v>
      </c>
      <c r="Z49" s="109">
        <v>11433.333333333334</v>
      </c>
      <c r="AA49" s="110">
        <v>11962</v>
      </c>
      <c r="AB49" s="111">
        <f t="shared" si="53"/>
        <v>528.66666666666606</v>
      </c>
      <c r="AC49" s="109">
        <v>11433.333333333334</v>
      </c>
      <c r="AD49" s="52">
        <v>23867</v>
      </c>
      <c r="AE49" s="111">
        <f t="shared" si="54"/>
        <v>12433.666666666666</v>
      </c>
      <c r="AF49" s="109">
        <v>11433.333333333334</v>
      </c>
      <c r="AG49" s="52">
        <v>24767</v>
      </c>
      <c r="AH49" s="111">
        <f t="shared" si="55"/>
        <v>13333.666666666666</v>
      </c>
      <c r="AI49" s="113">
        <v>11433.333333333334</v>
      </c>
      <c r="AJ49" s="52"/>
      <c r="AK49" s="111">
        <f t="shared" si="56"/>
        <v>-11433.333333333334</v>
      </c>
      <c r="AL49" s="138">
        <f t="shared" si="57"/>
        <v>161963</v>
      </c>
      <c r="AM49" s="143" t="s">
        <v>509</v>
      </c>
      <c r="AN49" s="84">
        <v>11433</v>
      </c>
      <c r="AO49" s="84">
        <v>11433</v>
      </c>
      <c r="AP49" s="84">
        <v>11433</v>
      </c>
      <c r="AQ49" s="84">
        <v>11433</v>
      </c>
      <c r="AR49" s="84">
        <v>11433</v>
      </c>
      <c r="AS49" s="85">
        <v>11433</v>
      </c>
      <c r="AT49" s="85">
        <v>11433</v>
      </c>
      <c r="AU49" s="85">
        <v>11433</v>
      </c>
      <c r="AV49" s="85">
        <v>11433</v>
      </c>
      <c r="AW49" s="85">
        <v>11433</v>
      </c>
      <c r="AX49" s="85">
        <v>11433</v>
      </c>
      <c r="AY49" s="85">
        <v>11433</v>
      </c>
      <c r="AZ49" s="138">
        <f>SUM(AN49:AY49)</f>
        <v>137196</v>
      </c>
      <c r="BA49" s="142"/>
      <c r="BB49" s="151" t="s">
        <v>509</v>
      </c>
      <c r="BC49" s="147">
        <v>11433</v>
      </c>
      <c r="BD49" s="147">
        <v>11433</v>
      </c>
      <c r="BE49" s="147">
        <v>11433</v>
      </c>
      <c r="BF49" s="147">
        <v>11433</v>
      </c>
      <c r="BG49" s="147">
        <v>11433</v>
      </c>
      <c r="BH49" s="147">
        <f>BI49/2</f>
        <v>2858.25</v>
      </c>
      <c r="BI49" s="147">
        <v>5716.5</v>
      </c>
      <c r="BJ49" s="147">
        <v>5716.5</v>
      </c>
      <c r="BK49" s="147">
        <v>5716.5</v>
      </c>
      <c r="BL49" s="147">
        <v>5716.5</v>
      </c>
      <c r="BM49" s="147">
        <v>5716.5</v>
      </c>
      <c r="BN49" s="148">
        <v>5716.5</v>
      </c>
      <c r="BO49" s="139">
        <f t="shared" si="0"/>
        <v>94322.25</v>
      </c>
      <c r="BQ49" s="502" t="s">
        <v>916</v>
      </c>
      <c r="BR49" s="283" t="s">
        <v>515</v>
      </c>
      <c r="BS49" s="467">
        <v>0</v>
      </c>
      <c r="BT49" s="84">
        <v>0</v>
      </c>
      <c r="BU49" s="84">
        <v>0</v>
      </c>
      <c r="BV49" s="84">
        <v>0</v>
      </c>
      <c r="BW49" s="84">
        <v>0</v>
      </c>
      <c r="BX49" s="84">
        <v>0</v>
      </c>
      <c r="BY49" s="84">
        <v>0</v>
      </c>
      <c r="BZ49" s="84">
        <v>0</v>
      </c>
      <c r="CA49" s="84">
        <v>0</v>
      </c>
      <c r="CB49" s="84">
        <v>0</v>
      </c>
      <c r="CC49" s="84">
        <v>0</v>
      </c>
      <c r="CD49" s="84">
        <v>0</v>
      </c>
      <c r="CE49" s="139">
        <f t="shared" si="1"/>
        <v>0</v>
      </c>
      <c r="CF49" s="142"/>
      <c r="CG49" s="572">
        <f t="shared" ref="CG49:CL50" si="75">BS49</f>
        <v>0</v>
      </c>
      <c r="CH49" s="572">
        <f t="shared" si="75"/>
        <v>0</v>
      </c>
      <c r="CI49" s="84">
        <f t="shared" si="75"/>
        <v>0</v>
      </c>
      <c r="CJ49" s="84">
        <f t="shared" si="75"/>
        <v>0</v>
      </c>
      <c r="CK49" s="84">
        <f t="shared" si="75"/>
        <v>0</v>
      </c>
      <c r="CL49" s="572">
        <f t="shared" si="75"/>
        <v>0</v>
      </c>
      <c r="CM49" s="84">
        <v>0</v>
      </c>
      <c r="CN49" s="84">
        <v>0</v>
      </c>
      <c r="CO49" s="84">
        <v>0</v>
      </c>
      <c r="CP49" s="84">
        <v>0</v>
      </c>
      <c r="CQ49" s="84">
        <v>0</v>
      </c>
      <c r="CR49" s="84">
        <v>0</v>
      </c>
      <c r="CS49" s="139">
        <f t="shared" si="2"/>
        <v>0</v>
      </c>
      <c r="CU49" s="502"/>
      <c r="CV49" s="285"/>
      <c r="CW49" s="467"/>
      <c r="CX49" s="84"/>
      <c r="CY49" s="84"/>
      <c r="CZ49" s="84"/>
      <c r="DA49" s="84"/>
      <c r="DB49" s="84"/>
      <c r="DC49" s="84"/>
      <c r="DD49" s="84"/>
      <c r="DE49" s="84"/>
      <c r="DF49" s="84"/>
      <c r="DG49" s="84"/>
      <c r="DH49" s="84"/>
      <c r="DI49" s="139">
        <f t="shared" si="19"/>
        <v>0</v>
      </c>
      <c r="DJ49" s="142"/>
      <c r="DK49" s="572">
        <f t="shared" si="20"/>
        <v>0</v>
      </c>
      <c r="DL49" s="572">
        <f t="shared" si="21"/>
        <v>0</v>
      </c>
      <c r="DM49" s="572">
        <f t="shared" si="22"/>
        <v>0</v>
      </c>
      <c r="DN49" s="572">
        <f t="shared" si="23"/>
        <v>0</v>
      </c>
      <c r="DO49" s="572">
        <f t="shared" si="24"/>
        <v>0</v>
      </c>
      <c r="DP49" s="572">
        <f t="shared" si="25"/>
        <v>0</v>
      </c>
      <c r="DQ49" s="572">
        <f t="shared" si="26"/>
        <v>0</v>
      </c>
      <c r="DR49" s="572">
        <f t="shared" si="27"/>
        <v>0</v>
      </c>
      <c r="DS49" s="572">
        <f t="shared" si="28"/>
        <v>0</v>
      </c>
      <c r="DT49" s="572">
        <f t="shared" si="29"/>
        <v>0</v>
      </c>
      <c r="DU49" s="572">
        <f t="shared" si="30"/>
        <v>0</v>
      </c>
      <c r="DV49" s="572">
        <f t="shared" si="31"/>
        <v>0</v>
      </c>
      <c r="DW49" s="139">
        <f t="shared" si="32"/>
        <v>0</v>
      </c>
    </row>
    <row r="50" spans="1:127" x14ac:dyDescent="0.2">
      <c r="A50" s="137" t="s">
        <v>508</v>
      </c>
      <c r="B50" s="109">
        <v>3600</v>
      </c>
      <c r="C50" s="110">
        <v>7200</v>
      </c>
      <c r="D50" s="111">
        <f t="shared" si="66"/>
        <v>3600</v>
      </c>
      <c r="E50" s="109">
        <v>3600</v>
      </c>
      <c r="F50" s="110">
        <v>1500</v>
      </c>
      <c r="G50" s="111">
        <f t="shared" si="67"/>
        <v>-2100</v>
      </c>
      <c r="H50" s="109">
        <v>600</v>
      </c>
      <c r="I50" s="110">
        <f>600+300</f>
        <v>900</v>
      </c>
      <c r="J50" s="111">
        <f t="shared" si="68"/>
        <v>300</v>
      </c>
      <c r="K50" s="109">
        <v>1200</v>
      </c>
      <c r="L50" s="110"/>
      <c r="M50" s="111">
        <f t="shared" si="69"/>
        <v>-1200</v>
      </c>
      <c r="N50" s="109">
        <v>11433.333333333334</v>
      </c>
      <c r="O50" s="110">
        <v>600</v>
      </c>
      <c r="P50" s="111">
        <f t="shared" si="70"/>
        <v>-10833.333333333334</v>
      </c>
      <c r="Q50" s="109">
        <v>11433.333333333334</v>
      </c>
      <c r="R50" s="110">
        <v>1800</v>
      </c>
      <c r="S50" s="111">
        <f t="shared" si="71"/>
        <v>-9633.3333333333339</v>
      </c>
      <c r="T50" s="109">
        <v>1200</v>
      </c>
      <c r="U50" s="110"/>
      <c r="V50" s="111">
        <f t="shared" si="72"/>
        <v>-1200</v>
      </c>
      <c r="W50" s="109">
        <v>1200</v>
      </c>
      <c r="X50" s="110">
        <v>2400</v>
      </c>
      <c r="Y50" s="111">
        <f t="shared" si="73"/>
        <v>1200</v>
      </c>
      <c r="Z50" s="109">
        <v>1200</v>
      </c>
      <c r="AA50" s="110">
        <v>2700</v>
      </c>
      <c r="AB50" s="111">
        <f t="shared" si="53"/>
        <v>1500</v>
      </c>
      <c r="AC50" s="109">
        <v>1200</v>
      </c>
      <c r="AD50" s="52">
        <v>900</v>
      </c>
      <c r="AE50" s="111">
        <f t="shared" si="54"/>
        <v>-300</v>
      </c>
      <c r="AF50" s="109">
        <v>1200</v>
      </c>
      <c r="AG50" s="52">
        <v>3300</v>
      </c>
      <c r="AH50" s="111">
        <f t="shared" si="55"/>
        <v>2100</v>
      </c>
      <c r="AI50" s="113">
        <v>1200</v>
      </c>
      <c r="AJ50" s="52"/>
      <c r="AK50" s="111">
        <f t="shared" si="56"/>
        <v>-1200</v>
      </c>
      <c r="AL50" s="138">
        <f t="shared" si="57"/>
        <v>21300</v>
      </c>
      <c r="AM50" s="143" t="s">
        <v>510</v>
      </c>
      <c r="AN50" s="84">
        <v>300</v>
      </c>
      <c r="AO50" s="84">
        <v>300</v>
      </c>
      <c r="AP50" s="84">
        <v>300</v>
      </c>
      <c r="AQ50" s="84">
        <v>300</v>
      </c>
      <c r="AR50" s="84">
        <v>300</v>
      </c>
      <c r="AS50" s="85">
        <v>300</v>
      </c>
      <c r="AT50" s="85">
        <v>300</v>
      </c>
      <c r="AU50" s="85">
        <v>300</v>
      </c>
      <c r="AV50" s="85">
        <v>300</v>
      </c>
      <c r="AW50" s="85">
        <v>300</v>
      </c>
      <c r="AX50" s="85">
        <v>300</v>
      </c>
      <c r="AY50" s="85">
        <v>300</v>
      </c>
      <c r="AZ50" s="138">
        <f>SUM(AN50:AY50)</f>
        <v>3600</v>
      </c>
      <c r="BA50" s="142"/>
      <c r="BB50" s="151" t="s">
        <v>510</v>
      </c>
      <c r="BC50" s="147"/>
      <c r="BD50" s="147"/>
      <c r="BE50" s="147"/>
      <c r="BF50" s="147"/>
      <c r="BG50" s="147"/>
      <c r="BH50" s="147"/>
      <c r="BI50" s="147"/>
      <c r="BJ50" s="147"/>
      <c r="BK50" s="147"/>
      <c r="BL50" s="147"/>
      <c r="BM50" s="147"/>
      <c r="BN50" s="148"/>
      <c r="BO50" s="139">
        <f t="shared" si="0"/>
        <v>0</v>
      </c>
      <c r="BQ50" s="502" t="s">
        <v>916</v>
      </c>
      <c r="BR50" s="283" t="s">
        <v>516</v>
      </c>
      <c r="BS50" s="467">
        <v>0</v>
      </c>
      <c r="BT50" s="84">
        <v>0</v>
      </c>
      <c r="BU50" s="84">
        <v>0</v>
      </c>
      <c r="BV50" s="84">
        <v>0</v>
      </c>
      <c r="BW50" s="84">
        <v>0</v>
      </c>
      <c r="BX50" s="84">
        <v>0</v>
      </c>
      <c r="BY50" s="84">
        <v>0</v>
      </c>
      <c r="BZ50" s="84">
        <v>0</v>
      </c>
      <c r="CA50" s="84">
        <v>0</v>
      </c>
      <c r="CB50" s="84">
        <v>0</v>
      </c>
      <c r="CC50" s="84">
        <v>0</v>
      </c>
      <c r="CD50" s="84">
        <v>0</v>
      </c>
      <c r="CE50" s="139">
        <f t="shared" si="1"/>
        <v>0</v>
      </c>
      <c r="CF50" s="142"/>
      <c r="CG50" s="572">
        <f t="shared" si="75"/>
        <v>0</v>
      </c>
      <c r="CH50" s="572">
        <f t="shared" si="75"/>
        <v>0</v>
      </c>
      <c r="CI50" s="84">
        <f t="shared" si="75"/>
        <v>0</v>
      </c>
      <c r="CJ50" s="84">
        <f t="shared" si="75"/>
        <v>0</v>
      </c>
      <c r="CK50" s="84">
        <f t="shared" si="75"/>
        <v>0</v>
      </c>
      <c r="CL50" s="572">
        <f t="shared" si="75"/>
        <v>0</v>
      </c>
      <c r="CM50" s="84">
        <v>0</v>
      </c>
      <c r="CN50" s="84">
        <v>0</v>
      </c>
      <c r="CO50" s="84">
        <v>0</v>
      </c>
      <c r="CP50" s="84">
        <v>0</v>
      </c>
      <c r="CQ50" s="84">
        <v>0</v>
      </c>
      <c r="CR50" s="84">
        <v>0</v>
      </c>
      <c r="CS50" s="139">
        <f t="shared" si="2"/>
        <v>0</v>
      </c>
      <c r="CU50" s="502"/>
      <c r="CV50" s="285"/>
      <c r="CW50" s="467"/>
      <c r="CX50" s="84"/>
      <c r="CY50" s="84"/>
      <c r="CZ50" s="84"/>
      <c r="DA50" s="84"/>
      <c r="DB50" s="84"/>
      <c r="DC50" s="84"/>
      <c r="DD50" s="84"/>
      <c r="DE50" s="84"/>
      <c r="DF50" s="84"/>
      <c r="DG50" s="84"/>
      <c r="DH50" s="84"/>
      <c r="DI50" s="139">
        <f t="shared" si="19"/>
        <v>0</v>
      </c>
      <c r="DJ50" s="142"/>
      <c r="DK50" s="572">
        <f t="shared" si="20"/>
        <v>0</v>
      </c>
      <c r="DL50" s="572">
        <f t="shared" si="21"/>
        <v>0</v>
      </c>
      <c r="DM50" s="572">
        <f t="shared" si="22"/>
        <v>0</v>
      </c>
      <c r="DN50" s="572">
        <f t="shared" si="23"/>
        <v>0</v>
      </c>
      <c r="DO50" s="572">
        <f t="shared" si="24"/>
        <v>0</v>
      </c>
      <c r="DP50" s="572">
        <f t="shared" si="25"/>
        <v>0</v>
      </c>
      <c r="DQ50" s="572">
        <f t="shared" si="26"/>
        <v>0</v>
      </c>
      <c r="DR50" s="572">
        <f t="shared" si="27"/>
        <v>0</v>
      </c>
      <c r="DS50" s="572">
        <f t="shared" si="28"/>
        <v>0</v>
      </c>
      <c r="DT50" s="572">
        <f t="shared" si="29"/>
        <v>0</v>
      </c>
      <c r="DU50" s="572">
        <f t="shared" si="30"/>
        <v>0</v>
      </c>
      <c r="DV50" s="572">
        <f t="shared" si="31"/>
        <v>0</v>
      </c>
      <c r="DW50" s="139">
        <f t="shared" si="32"/>
        <v>0</v>
      </c>
    </row>
    <row r="51" spans="1:127" x14ac:dyDescent="0.2">
      <c r="A51" s="137" t="s">
        <v>515</v>
      </c>
      <c r="B51" s="109">
        <v>11433.333333333334</v>
      </c>
      <c r="C51" s="110">
        <v>11433.33</v>
      </c>
      <c r="D51" s="111">
        <f t="shared" si="66"/>
        <v>-3.3333333340124227E-3</v>
      </c>
      <c r="E51" s="109">
        <v>11433.333333333334</v>
      </c>
      <c r="F51" s="110">
        <v>11433</v>
      </c>
      <c r="G51" s="111">
        <f t="shared" si="67"/>
        <v>-0.33333333333393966</v>
      </c>
      <c r="H51" s="109">
        <v>11433.333333333334</v>
      </c>
      <c r="I51" s="110">
        <v>11433</v>
      </c>
      <c r="J51" s="111">
        <f t="shared" si="68"/>
        <v>-0.33333333333393966</v>
      </c>
      <c r="K51" s="109">
        <v>11433.333333333334</v>
      </c>
      <c r="L51" s="110">
        <v>11433.33</v>
      </c>
      <c r="M51" s="111">
        <f t="shared" si="69"/>
        <v>-3.3333333340124227E-3</v>
      </c>
      <c r="N51" s="109">
        <v>11433.333333333334</v>
      </c>
      <c r="O51" s="110">
        <v>11433.33</v>
      </c>
      <c r="P51" s="111">
        <f t="shared" si="70"/>
        <v>-3.3333333340124227E-3</v>
      </c>
      <c r="Q51" s="109">
        <v>11433.333333333334</v>
      </c>
      <c r="R51" s="110">
        <v>11433.33</v>
      </c>
      <c r="S51" s="111">
        <f t="shared" si="71"/>
        <v>-3.3333333340124227E-3</v>
      </c>
      <c r="T51" s="109">
        <v>11433.333333333334</v>
      </c>
      <c r="U51" s="110">
        <v>11433.33</v>
      </c>
      <c r="V51" s="111">
        <f t="shared" si="72"/>
        <v>-3.3333333340124227E-3</v>
      </c>
      <c r="W51" s="109">
        <v>11433.333333333334</v>
      </c>
      <c r="X51" s="110">
        <v>11433.33</v>
      </c>
      <c r="Y51" s="111">
        <f t="shared" si="73"/>
        <v>-3.3333333340124227E-3</v>
      </c>
      <c r="Z51" s="109">
        <v>11433.333333333334</v>
      </c>
      <c r="AA51" s="110">
        <v>11433.33</v>
      </c>
      <c r="AB51" s="111">
        <f t="shared" si="53"/>
        <v>-3.3333333340124227E-3</v>
      </c>
      <c r="AC51" s="109">
        <v>11433.333333333334</v>
      </c>
      <c r="AD51" s="52">
        <v>11433.33</v>
      </c>
      <c r="AE51" s="111">
        <f t="shared" si="54"/>
        <v>-3.3333333340124227E-3</v>
      </c>
      <c r="AF51" s="109">
        <v>11433.333333333334</v>
      </c>
      <c r="AG51" s="52">
        <v>11433.33</v>
      </c>
      <c r="AH51" s="111">
        <f t="shared" si="55"/>
        <v>-3.3333333340124227E-3</v>
      </c>
      <c r="AI51" s="113">
        <v>11433.333333333334</v>
      </c>
      <c r="AJ51" s="52"/>
      <c r="AK51" s="111">
        <f t="shared" si="56"/>
        <v>-11433.333333333334</v>
      </c>
      <c r="AL51" s="138">
        <f t="shared" si="57"/>
        <v>125765.97000000002</v>
      </c>
      <c r="AM51" s="143" t="s">
        <v>517</v>
      </c>
      <c r="AN51" s="84">
        <v>0</v>
      </c>
      <c r="AO51" s="84">
        <v>0</v>
      </c>
      <c r="AP51" s="84">
        <v>0</v>
      </c>
      <c r="AQ51" s="84">
        <v>0</v>
      </c>
      <c r="AR51" s="84">
        <v>0</v>
      </c>
      <c r="AS51" s="85">
        <v>300</v>
      </c>
      <c r="AT51" s="85">
        <v>300</v>
      </c>
      <c r="AU51" s="85">
        <v>0</v>
      </c>
      <c r="AV51" s="85">
        <v>0</v>
      </c>
      <c r="AW51" s="85">
        <v>300</v>
      </c>
      <c r="AX51" s="85">
        <v>0</v>
      </c>
      <c r="AY51" s="85">
        <v>0</v>
      </c>
      <c r="AZ51" s="138">
        <f>SUM(AN51:AY51)</f>
        <v>900</v>
      </c>
      <c r="BA51" s="142"/>
      <c r="BB51" s="151" t="s">
        <v>517</v>
      </c>
      <c r="BC51" s="147">
        <v>0</v>
      </c>
      <c r="BD51" s="147"/>
      <c r="BE51" s="147"/>
      <c r="BF51" s="147"/>
      <c r="BG51" s="147"/>
      <c r="BH51" s="147"/>
      <c r="BI51" s="147"/>
      <c r="BJ51" s="147"/>
      <c r="BK51" s="147"/>
      <c r="BL51" s="147"/>
      <c r="BM51" s="147"/>
      <c r="BN51" s="148"/>
      <c r="BO51" s="139">
        <f t="shared" si="0"/>
        <v>0</v>
      </c>
      <c r="BQ51" s="502" t="s">
        <v>918</v>
      </c>
      <c r="BR51" s="283" t="s">
        <v>520</v>
      </c>
      <c r="BS51" s="467">
        <v>16000</v>
      </c>
      <c r="BT51" s="84">
        <v>16000</v>
      </c>
      <c r="BU51" s="84">
        <v>16000</v>
      </c>
      <c r="BV51" s="84">
        <v>16000</v>
      </c>
      <c r="BW51" s="84">
        <v>16000</v>
      </c>
      <c r="BX51" s="84">
        <v>16000</v>
      </c>
      <c r="BY51" s="84">
        <v>16000</v>
      </c>
      <c r="BZ51" s="84">
        <v>16000</v>
      </c>
      <c r="CA51" s="84">
        <v>16000</v>
      </c>
      <c r="CB51" s="84">
        <v>16000</v>
      </c>
      <c r="CC51" s="84">
        <v>16000</v>
      </c>
      <c r="CD51" s="84">
        <v>16000</v>
      </c>
      <c r="CE51" s="139">
        <f t="shared" si="1"/>
        <v>192000</v>
      </c>
      <c r="CF51" s="142"/>
      <c r="CG51" s="572">
        <v>15243.28</v>
      </c>
      <c r="CH51" s="572">
        <v>12216.22</v>
      </c>
      <c r="CI51" s="84">
        <v>5405.92</v>
      </c>
      <c r="CJ51" s="84">
        <v>0</v>
      </c>
      <c r="CK51" s="84">
        <v>0</v>
      </c>
      <c r="CL51" s="572">
        <v>0</v>
      </c>
      <c r="CM51" s="84">
        <v>0</v>
      </c>
      <c r="CN51" s="84">
        <v>0</v>
      </c>
      <c r="CO51" s="84">
        <v>0</v>
      </c>
      <c r="CP51" s="84">
        <v>0</v>
      </c>
      <c r="CQ51" s="84">
        <v>0</v>
      </c>
      <c r="CR51" s="84">
        <v>0</v>
      </c>
      <c r="CS51" s="139">
        <f t="shared" si="2"/>
        <v>32865.42</v>
      </c>
      <c r="CU51" s="502"/>
      <c r="CV51" s="285"/>
      <c r="CW51" s="467"/>
      <c r="CX51" s="84"/>
      <c r="CY51" s="84"/>
      <c r="CZ51" s="84"/>
      <c r="DA51" s="84"/>
      <c r="DB51" s="84"/>
      <c r="DC51" s="84"/>
      <c r="DD51" s="84"/>
      <c r="DE51" s="84"/>
      <c r="DF51" s="84"/>
      <c r="DG51" s="84"/>
      <c r="DH51" s="84"/>
      <c r="DI51" s="139">
        <f t="shared" si="19"/>
        <v>0</v>
      </c>
      <c r="DJ51" s="142"/>
      <c r="DK51" s="572">
        <f t="shared" si="20"/>
        <v>0</v>
      </c>
      <c r="DL51" s="572">
        <f t="shared" si="21"/>
        <v>0</v>
      </c>
      <c r="DM51" s="572">
        <f t="shared" si="22"/>
        <v>0</v>
      </c>
      <c r="DN51" s="572">
        <f t="shared" si="23"/>
        <v>0</v>
      </c>
      <c r="DO51" s="572">
        <f t="shared" si="24"/>
        <v>0</v>
      </c>
      <c r="DP51" s="572">
        <f t="shared" si="25"/>
        <v>0</v>
      </c>
      <c r="DQ51" s="572">
        <f t="shared" si="26"/>
        <v>0</v>
      </c>
      <c r="DR51" s="572">
        <f t="shared" si="27"/>
        <v>0</v>
      </c>
      <c r="DS51" s="572">
        <f t="shared" si="28"/>
        <v>0</v>
      </c>
      <c r="DT51" s="572">
        <f t="shared" si="29"/>
        <v>0</v>
      </c>
      <c r="DU51" s="572">
        <f t="shared" si="30"/>
        <v>0</v>
      </c>
      <c r="DV51" s="572">
        <f t="shared" si="31"/>
        <v>0</v>
      </c>
      <c r="DW51" s="139">
        <f t="shared" si="32"/>
        <v>0</v>
      </c>
    </row>
    <row r="52" spans="1:127" x14ac:dyDescent="0.2">
      <c r="A52" s="137" t="s">
        <v>513</v>
      </c>
      <c r="B52" s="109"/>
      <c r="C52" s="110"/>
      <c r="D52" s="111"/>
      <c r="E52" s="109"/>
      <c r="F52" s="110"/>
      <c r="G52" s="111"/>
      <c r="H52" s="109"/>
      <c r="I52" s="110"/>
      <c r="J52" s="111"/>
      <c r="K52" s="109"/>
      <c r="L52" s="110"/>
      <c r="M52" s="111"/>
      <c r="N52" s="109"/>
      <c r="O52" s="110"/>
      <c r="P52" s="111"/>
      <c r="Q52" s="109"/>
      <c r="R52" s="110"/>
      <c r="S52" s="111"/>
      <c r="T52" s="109"/>
      <c r="U52" s="110"/>
      <c r="V52" s="111"/>
      <c r="W52" s="109"/>
      <c r="X52" s="110"/>
      <c r="Y52" s="111"/>
      <c r="Z52" s="109"/>
      <c r="AA52" s="110"/>
      <c r="AB52" s="111">
        <f t="shared" si="53"/>
        <v>0</v>
      </c>
      <c r="AC52" s="109"/>
      <c r="AD52" s="52"/>
      <c r="AE52" s="111">
        <f t="shared" si="54"/>
        <v>0</v>
      </c>
      <c r="AF52" s="109"/>
      <c r="AG52" s="52">
        <v>2200</v>
      </c>
      <c r="AH52" s="111">
        <f t="shared" si="55"/>
        <v>2200</v>
      </c>
      <c r="AI52" s="113"/>
      <c r="AJ52" s="52"/>
      <c r="AK52" s="111">
        <f t="shared" si="56"/>
        <v>0</v>
      </c>
      <c r="AL52" s="138">
        <f t="shared" si="57"/>
        <v>2200</v>
      </c>
      <c r="AM52" s="143" t="s">
        <v>516</v>
      </c>
      <c r="AN52" s="84">
        <v>0</v>
      </c>
      <c r="AO52" s="84">
        <v>0</v>
      </c>
      <c r="AP52" s="84">
        <v>0</v>
      </c>
      <c r="AQ52" s="84">
        <v>0</v>
      </c>
      <c r="AR52" s="84">
        <v>0</v>
      </c>
      <c r="AS52" s="85">
        <v>0</v>
      </c>
      <c r="AT52" s="85">
        <v>0</v>
      </c>
      <c r="AU52" s="85">
        <v>0</v>
      </c>
      <c r="AV52" s="85">
        <v>0</v>
      </c>
      <c r="AW52" s="85">
        <v>0</v>
      </c>
      <c r="AX52" s="85">
        <v>0</v>
      </c>
      <c r="AY52" s="85">
        <v>0</v>
      </c>
      <c r="AZ52" s="138">
        <f>SUM(AN52:AY52)</f>
        <v>0</v>
      </c>
      <c r="BA52" s="142"/>
      <c r="BB52" s="151" t="s">
        <v>516</v>
      </c>
      <c r="BC52" s="147"/>
      <c r="BD52" s="147"/>
      <c r="BE52" s="147"/>
      <c r="BF52" s="147"/>
      <c r="BG52" s="147"/>
      <c r="BH52" s="147"/>
      <c r="BI52" s="147"/>
      <c r="BJ52" s="147"/>
      <c r="BK52" s="147"/>
      <c r="BL52" s="147"/>
      <c r="BM52" s="147"/>
      <c r="BN52" s="148"/>
      <c r="BO52" s="139">
        <f t="shared" si="0"/>
        <v>0</v>
      </c>
      <c r="BQ52" s="502" t="s">
        <v>918</v>
      </c>
      <c r="BR52" s="283" t="s">
        <v>519</v>
      </c>
      <c r="BS52" s="467">
        <v>0</v>
      </c>
      <c r="BT52" s="84">
        <v>0</v>
      </c>
      <c r="BU52" s="84">
        <v>0</v>
      </c>
      <c r="BV52" s="84">
        <v>0</v>
      </c>
      <c r="BW52" s="84">
        <v>0</v>
      </c>
      <c r="BX52" s="84">
        <v>0</v>
      </c>
      <c r="BY52" s="84">
        <v>0</v>
      </c>
      <c r="BZ52" s="84">
        <v>0</v>
      </c>
      <c r="CA52" s="84">
        <v>0</v>
      </c>
      <c r="CB52" s="84">
        <v>0</v>
      </c>
      <c r="CC52" s="84">
        <v>0</v>
      </c>
      <c r="CD52" s="84">
        <v>0</v>
      </c>
      <c r="CE52" s="139">
        <f t="shared" si="1"/>
        <v>0</v>
      </c>
      <c r="CF52" s="142"/>
      <c r="CG52" s="572">
        <f t="shared" ref="CG52:CL52" si="76">BS52</f>
        <v>0</v>
      </c>
      <c r="CH52" s="572">
        <f t="shared" si="76"/>
        <v>0</v>
      </c>
      <c r="CI52" s="84">
        <f t="shared" si="76"/>
        <v>0</v>
      </c>
      <c r="CJ52" s="84">
        <f t="shared" si="76"/>
        <v>0</v>
      </c>
      <c r="CK52" s="84">
        <f t="shared" si="76"/>
        <v>0</v>
      </c>
      <c r="CL52" s="572">
        <f t="shared" si="76"/>
        <v>0</v>
      </c>
      <c r="CM52" s="84">
        <v>0</v>
      </c>
      <c r="CN52" s="84">
        <v>0</v>
      </c>
      <c r="CO52" s="84">
        <v>0</v>
      </c>
      <c r="CP52" s="84">
        <v>0</v>
      </c>
      <c r="CQ52" s="84">
        <v>0</v>
      </c>
      <c r="CR52" s="84">
        <v>0</v>
      </c>
      <c r="CS52" s="139">
        <f t="shared" si="2"/>
        <v>0</v>
      </c>
      <c r="CU52" s="502"/>
      <c r="CV52" s="285"/>
      <c r="CW52" s="467"/>
      <c r="CX52" s="84"/>
      <c r="CY52" s="84"/>
      <c r="CZ52" s="84"/>
      <c r="DA52" s="84"/>
      <c r="DB52" s="84"/>
      <c r="DC52" s="84"/>
      <c r="DD52" s="84"/>
      <c r="DE52" s="84"/>
      <c r="DF52" s="84"/>
      <c r="DG52" s="84"/>
      <c r="DH52" s="84"/>
      <c r="DI52" s="139">
        <f t="shared" si="19"/>
        <v>0</v>
      </c>
      <c r="DJ52" s="142"/>
      <c r="DK52" s="572">
        <f t="shared" si="20"/>
        <v>0</v>
      </c>
      <c r="DL52" s="572">
        <f t="shared" si="21"/>
        <v>0</v>
      </c>
      <c r="DM52" s="572">
        <f t="shared" si="22"/>
        <v>0</v>
      </c>
      <c r="DN52" s="572">
        <f t="shared" si="23"/>
        <v>0</v>
      </c>
      <c r="DO52" s="572">
        <f t="shared" si="24"/>
        <v>0</v>
      </c>
      <c r="DP52" s="572">
        <f t="shared" si="25"/>
        <v>0</v>
      </c>
      <c r="DQ52" s="572">
        <f t="shared" si="26"/>
        <v>0</v>
      </c>
      <c r="DR52" s="572">
        <f t="shared" si="27"/>
        <v>0</v>
      </c>
      <c r="DS52" s="572">
        <f t="shared" si="28"/>
        <v>0</v>
      </c>
      <c r="DT52" s="572">
        <f t="shared" si="29"/>
        <v>0</v>
      </c>
      <c r="DU52" s="572">
        <f t="shared" si="30"/>
        <v>0</v>
      </c>
      <c r="DV52" s="572">
        <f t="shared" si="31"/>
        <v>0</v>
      </c>
      <c r="DW52" s="139">
        <f t="shared" si="32"/>
        <v>0</v>
      </c>
    </row>
    <row r="53" spans="1:127" x14ac:dyDescent="0.2">
      <c r="A53" s="137"/>
      <c r="B53" s="109"/>
      <c r="C53" s="110"/>
      <c r="D53" s="111"/>
      <c r="E53" s="109"/>
      <c r="F53" s="110"/>
      <c r="G53" s="111"/>
      <c r="H53" s="109"/>
      <c r="I53" s="110"/>
      <c r="J53" s="111"/>
      <c r="K53" s="109"/>
      <c r="L53" s="110"/>
      <c r="M53" s="111"/>
      <c r="N53" s="109"/>
      <c r="O53" s="110"/>
      <c r="P53" s="111"/>
      <c r="Q53" s="109"/>
      <c r="R53" s="110"/>
      <c r="S53" s="111"/>
      <c r="T53" s="109"/>
      <c r="U53" s="110"/>
      <c r="V53" s="111"/>
      <c r="W53" s="109"/>
      <c r="X53" s="110"/>
      <c r="Y53" s="111"/>
      <c r="Z53" s="109"/>
      <c r="AA53" s="110"/>
      <c r="AB53" s="111"/>
      <c r="AC53" s="109"/>
      <c r="AD53" s="52"/>
      <c r="AE53" s="111"/>
      <c r="AF53" s="109"/>
      <c r="AG53" s="52"/>
      <c r="AH53" s="111"/>
      <c r="AI53" s="113"/>
      <c r="AJ53" s="52"/>
      <c r="AK53" s="111"/>
      <c r="AL53" s="138"/>
      <c r="AM53" s="143"/>
      <c r="AN53" s="84"/>
      <c r="AO53" s="84"/>
      <c r="AP53" s="84"/>
      <c r="AQ53" s="84"/>
      <c r="AR53" s="84"/>
      <c r="AS53" s="85"/>
      <c r="AT53" s="85"/>
      <c r="AU53" s="85"/>
      <c r="AV53" s="85"/>
      <c r="AW53" s="85"/>
      <c r="AX53" s="85"/>
      <c r="AY53" s="85"/>
      <c r="AZ53" s="138"/>
      <c r="BA53" s="142"/>
      <c r="BB53" s="151"/>
      <c r="BC53" s="147"/>
      <c r="BD53" s="147"/>
      <c r="BE53" s="147"/>
      <c r="BF53" s="147"/>
      <c r="BG53" s="147"/>
      <c r="BH53" s="147"/>
      <c r="BI53" s="147"/>
      <c r="BJ53" s="147"/>
      <c r="BK53" s="147"/>
      <c r="BL53" s="147"/>
      <c r="BM53" s="147"/>
      <c r="BN53" s="148"/>
      <c r="BO53" s="139"/>
      <c r="BQ53" s="502"/>
      <c r="BR53" s="283" t="s">
        <v>1138</v>
      </c>
      <c r="BS53" s="467"/>
      <c r="BT53" s="84"/>
      <c r="BU53" s="84"/>
      <c r="BV53" s="84"/>
      <c r="BW53" s="84"/>
      <c r="BX53" s="84"/>
      <c r="BY53" s="84"/>
      <c r="BZ53" s="84"/>
      <c r="CA53" s="84"/>
      <c r="CB53" s="84"/>
      <c r="CC53" s="84"/>
      <c r="CD53" s="84"/>
      <c r="CE53" s="139"/>
      <c r="CF53" s="142"/>
      <c r="CG53" s="572"/>
      <c r="CH53" s="572"/>
      <c r="CI53" s="84"/>
      <c r="CJ53" s="84"/>
      <c r="CK53" s="84"/>
      <c r="CL53" s="572"/>
      <c r="CM53" s="84">
        <v>0</v>
      </c>
      <c r="CN53" s="84">
        <v>0</v>
      </c>
      <c r="CO53" s="84">
        <v>0</v>
      </c>
      <c r="CP53" s="84">
        <v>0</v>
      </c>
      <c r="CQ53" s="84"/>
      <c r="CR53" s="84"/>
      <c r="CS53" s="139">
        <f t="shared" ref="CS53:CS57" si="77">SUM(CG53:CR53)</f>
        <v>0</v>
      </c>
      <c r="CU53" s="502"/>
      <c r="CV53" s="285"/>
      <c r="CW53" s="467"/>
      <c r="CX53" s="84"/>
      <c r="CY53" s="84"/>
      <c r="CZ53" s="84"/>
      <c r="DA53" s="84"/>
      <c r="DB53" s="84"/>
      <c r="DC53" s="84"/>
      <c r="DD53" s="84"/>
      <c r="DE53" s="84"/>
      <c r="DF53" s="84"/>
      <c r="DG53" s="84"/>
      <c r="DH53" s="84"/>
      <c r="DI53" s="139">
        <f t="shared" si="19"/>
        <v>0</v>
      </c>
      <c r="DJ53" s="142"/>
      <c r="DK53" s="572">
        <f t="shared" si="20"/>
        <v>0</v>
      </c>
      <c r="DL53" s="572">
        <f t="shared" si="21"/>
        <v>0</v>
      </c>
      <c r="DM53" s="572">
        <f t="shared" si="22"/>
        <v>0</v>
      </c>
      <c r="DN53" s="572">
        <f t="shared" si="23"/>
        <v>0</v>
      </c>
      <c r="DO53" s="572">
        <f t="shared" si="24"/>
        <v>0</v>
      </c>
      <c r="DP53" s="572">
        <f t="shared" si="25"/>
        <v>0</v>
      </c>
      <c r="DQ53" s="572">
        <f t="shared" si="26"/>
        <v>0</v>
      </c>
      <c r="DR53" s="572">
        <f t="shared" si="27"/>
        <v>0</v>
      </c>
      <c r="DS53" s="572">
        <f t="shared" si="28"/>
        <v>0</v>
      </c>
      <c r="DT53" s="572">
        <f t="shared" si="29"/>
        <v>0</v>
      </c>
      <c r="DU53" s="572">
        <f t="shared" si="30"/>
        <v>0</v>
      </c>
      <c r="DV53" s="572">
        <f t="shared" si="31"/>
        <v>0</v>
      </c>
      <c r="DW53" s="139">
        <f t="shared" si="32"/>
        <v>0</v>
      </c>
    </row>
    <row r="54" spans="1:127" x14ac:dyDescent="0.2">
      <c r="A54" s="137"/>
      <c r="B54" s="109"/>
      <c r="C54" s="110"/>
      <c r="D54" s="111"/>
      <c r="E54" s="109"/>
      <c r="F54" s="110"/>
      <c r="G54" s="111"/>
      <c r="H54" s="109"/>
      <c r="I54" s="110"/>
      <c r="J54" s="111"/>
      <c r="K54" s="109"/>
      <c r="L54" s="110"/>
      <c r="M54" s="111"/>
      <c r="N54" s="109"/>
      <c r="O54" s="110"/>
      <c r="P54" s="111"/>
      <c r="Q54" s="109"/>
      <c r="R54" s="110"/>
      <c r="S54" s="111"/>
      <c r="T54" s="109"/>
      <c r="U54" s="110"/>
      <c r="V54" s="111"/>
      <c r="W54" s="109"/>
      <c r="X54" s="110"/>
      <c r="Y54" s="111"/>
      <c r="Z54" s="109"/>
      <c r="AA54" s="110"/>
      <c r="AB54" s="111"/>
      <c r="AC54" s="109"/>
      <c r="AD54" s="52"/>
      <c r="AE54" s="111"/>
      <c r="AF54" s="109"/>
      <c r="AG54" s="52"/>
      <c r="AH54" s="111"/>
      <c r="AI54" s="113"/>
      <c r="AJ54" s="52"/>
      <c r="AK54" s="111"/>
      <c r="AL54" s="138"/>
      <c r="AM54" s="143"/>
      <c r="AN54" s="84"/>
      <c r="AO54" s="84"/>
      <c r="AP54" s="84"/>
      <c r="AQ54" s="84"/>
      <c r="AR54" s="84"/>
      <c r="AS54" s="85"/>
      <c r="AT54" s="85"/>
      <c r="AU54" s="85"/>
      <c r="AV54" s="85"/>
      <c r="AW54" s="85"/>
      <c r="AX54" s="85"/>
      <c r="AY54" s="85"/>
      <c r="AZ54" s="138"/>
      <c r="BA54" s="142"/>
      <c r="BB54" s="151"/>
      <c r="BC54" s="147"/>
      <c r="BD54" s="147"/>
      <c r="BE54" s="147"/>
      <c r="BF54" s="147"/>
      <c r="BG54" s="147"/>
      <c r="BH54" s="147"/>
      <c r="BI54" s="147"/>
      <c r="BJ54" s="147"/>
      <c r="BK54" s="147"/>
      <c r="BL54" s="147"/>
      <c r="BM54" s="147"/>
      <c r="BN54" s="148"/>
      <c r="BO54" s="139"/>
      <c r="BQ54" s="502"/>
      <c r="BR54" s="283" t="s">
        <v>1139</v>
      </c>
      <c r="BS54" s="467"/>
      <c r="BT54" s="84"/>
      <c r="BU54" s="84"/>
      <c r="BV54" s="84"/>
      <c r="BW54" s="84"/>
      <c r="BX54" s="84"/>
      <c r="BY54" s="84"/>
      <c r="BZ54" s="84"/>
      <c r="CA54" s="84"/>
      <c r="CB54" s="84"/>
      <c r="CC54" s="84"/>
      <c r="CD54" s="84"/>
      <c r="CE54" s="139"/>
      <c r="CF54" s="142"/>
      <c r="CG54" s="572"/>
      <c r="CH54" s="572"/>
      <c r="CI54" s="84"/>
      <c r="CJ54" s="84"/>
      <c r="CK54" s="84"/>
      <c r="CL54" s="572"/>
      <c r="CM54" s="84">
        <v>0</v>
      </c>
      <c r="CN54" s="84"/>
      <c r="CO54" s="84"/>
      <c r="CP54" s="84"/>
      <c r="CQ54" s="84"/>
      <c r="CR54" s="84"/>
      <c r="CS54" s="139">
        <f t="shared" si="77"/>
        <v>0</v>
      </c>
      <c r="CU54" s="502"/>
      <c r="CV54" s="285"/>
      <c r="CW54" s="467"/>
      <c r="CX54" s="84"/>
      <c r="CY54" s="84"/>
      <c r="CZ54" s="84"/>
      <c r="DA54" s="84"/>
      <c r="DB54" s="84"/>
      <c r="DC54" s="84"/>
      <c r="DD54" s="84"/>
      <c r="DE54" s="84"/>
      <c r="DF54" s="84"/>
      <c r="DG54" s="84"/>
      <c r="DH54" s="84"/>
      <c r="DI54" s="139">
        <f t="shared" si="19"/>
        <v>0</v>
      </c>
      <c r="DJ54" s="142"/>
      <c r="DK54" s="572">
        <f t="shared" si="20"/>
        <v>0</v>
      </c>
      <c r="DL54" s="572">
        <f t="shared" si="21"/>
        <v>0</v>
      </c>
      <c r="DM54" s="572">
        <f t="shared" si="22"/>
        <v>0</v>
      </c>
      <c r="DN54" s="572">
        <f t="shared" si="23"/>
        <v>0</v>
      </c>
      <c r="DO54" s="572">
        <f t="shared" si="24"/>
        <v>0</v>
      </c>
      <c r="DP54" s="572">
        <f t="shared" si="25"/>
        <v>0</v>
      </c>
      <c r="DQ54" s="572">
        <f t="shared" si="26"/>
        <v>0</v>
      </c>
      <c r="DR54" s="572">
        <f t="shared" si="27"/>
        <v>0</v>
      </c>
      <c r="DS54" s="572">
        <f t="shared" si="28"/>
        <v>0</v>
      </c>
      <c r="DT54" s="572">
        <f t="shared" si="29"/>
        <v>0</v>
      </c>
      <c r="DU54" s="572">
        <f t="shared" si="30"/>
        <v>0</v>
      </c>
      <c r="DV54" s="572">
        <f t="shared" si="31"/>
        <v>0</v>
      </c>
      <c r="DW54" s="139">
        <f t="shared" si="32"/>
        <v>0</v>
      </c>
    </row>
    <row r="55" spans="1:127" x14ac:dyDescent="0.2">
      <c r="A55" s="137"/>
      <c r="B55" s="109"/>
      <c r="C55" s="110"/>
      <c r="D55" s="111"/>
      <c r="E55" s="109"/>
      <c r="F55" s="110"/>
      <c r="G55" s="111"/>
      <c r="H55" s="109"/>
      <c r="I55" s="110"/>
      <c r="J55" s="111"/>
      <c r="K55" s="109"/>
      <c r="L55" s="110"/>
      <c r="M55" s="111"/>
      <c r="N55" s="109"/>
      <c r="O55" s="110"/>
      <c r="P55" s="111"/>
      <c r="Q55" s="109"/>
      <c r="R55" s="110"/>
      <c r="S55" s="111"/>
      <c r="T55" s="109"/>
      <c r="U55" s="110"/>
      <c r="V55" s="111"/>
      <c r="W55" s="109"/>
      <c r="X55" s="110"/>
      <c r="Y55" s="111"/>
      <c r="Z55" s="109"/>
      <c r="AA55" s="110"/>
      <c r="AB55" s="111"/>
      <c r="AC55" s="109"/>
      <c r="AD55" s="52"/>
      <c r="AE55" s="111"/>
      <c r="AF55" s="109"/>
      <c r="AG55" s="52"/>
      <c r="AH55" s="111"/>
      <c r="AI55" s="113"/>
      <c r="AJ55" s="52"/>
      <c r="AK55" s="111"/>
      <c r="AL55" s="138"/>
      <c r="AM55" s="143"/>
      <c r="AN55" s="84"/>
      <c r="AO55" s="84"/>
      <c r="AP55" s="84"/>
      <c r="AQ55" s="84"/>
      <c r="AR55" s="84"/>
      <c r="AS55" s="85"/>
      <c r="AT55" s="85"/>
      <c r="AU55" s="85"/>
      <c r="AV55" s="85"/>
      <c r="AW55" s="85"/>
      <c r="AX55" s="85"/>
      <c r="AY55" s="85"/>
      <c r="AZ55" s="138"/>
      <c r="BA55" s="142"/>
      <c r="BB55" s="151"/>
      <c r="BC55" s="147"/>
      <c r="BD55" s="147"/>
      <c r="BE55" s="147"/>
      <c r="BF55" s="147"/>
      <c r="BG55" s="147"/>
      <c r="BH55" s="147"/>
      <c r="BI55" s="147"/>
      <c r="BJ55" s="147"/>
      <c r="BK55" s="147"/>
      <c r="BL55" s="147"/>
      <c r="BM55" s="147"/>
      <c r="BN55" s="148"/>
      <c r="BO55" s="139"/>
      <c r="BQ55" s="502"/>
      <c r="BR55" s="283" t="s">
        <v>1140</v>
      </c>
      <c r="BS55" s="467"/>
      <c r="BT55" s="84"/>
      <c r="BU55" s="84"/>
      <c r="BV55" s="84"/>
      <c r="BW55" s="84"/>
      <c r="BX55" s="84"/>
      <c r="BY55" s="84"/>
      <c r="BZ55" s="84"/>
      <c r="CA55" s="84"/>
      <c r="CB55" s="84"/>
      <c r="CC55" s="84"/>
      <c r="CD55" s="84"/>
      <c r="CE55" s="139"/>
      <c r="CF55" s="142"/>
      <c r="CG55" s="572"/>
      <c r="CH55" s="572"/>
      <c r="CI55" s="84"/>
      <c r="CJ55" s="84"/>
      <c r="CK55" s="84"/>
      <c r="CL55" s="572"/>
      <c r="CM55" s="84">
        <v>0</v>
      </c>
      <c r="CN55" s="84">
        <v>0</v>
      </c>
      <c r="CO55" s="84">
        <v>0</v>
      </c>
      <c r="CP55" s="84">
        <v>13904.51</v>
      </c>
      <c r="CQ55" s="84">
        <v>12083.33</v>
      </c>
      <c r="CR55" s="84">
        <v>12083.33</v>
      </c>
      <c r="CS55" s="139">
        <f t="shared" si="77"/>
        <v>38071.17</v>
      </c>
      <c r="CU55" s="502"/>
      <c r="CV55" s="285"/>
      <c r="CW55" s="467"/>
      <c r="CX55" s="84"/>
      <c r="CY55" s="84"/>
      <c r="CZ55" s="84"/>
      <c r="DA55" s="84"/>
      <c r="DB55" s="84"/>
      <c r="DC55" s="84"/>
      <c r="DD55" s="84"/>
      <c r="DE55" s="84"/>
      <c r="DF55" s="84"/>
      <c r="DG55" s="84"/>
      <c r="DH55" s="84"/>
      <c r="DI55" s="139">
        <f t="shared" si="19"/>
        <v>0</v>
      </c>
      <c r="DJ55" s="142"/>
      <c r="DK55" s="572">
        <f t="shared" si="20"/>
        <v>0</v>
      </c>
      <c r="DL55" s="572">
        <f t="shared" si="21"/>
        <v>0</v>
      </c>
      <c r="DM55" s="572">
        <f t="shared" si="22"/>
        <v>0</v>
      </c>
      <c r="DN55" s="572">
        <f t="shared" si="23"/>
        <v>0</v>
      </c>
      <c r="DO55" s="572">
        <f t="shared" si="24"/>
        <v>0</v>
      </c>
      <c r="DP55" s="572">
        <f t="shared" si="25"/>
        <v>0</v>
      </c>
      <c r="DQ55" s="572">
        <f t="shared" si="26"/>
        <v>0</v>
      </c>
      <c r="DR55" s="572">
        <f t="shared" si="27"/>
        <v>0</v>
      </c>
      <c r="DS55" s="572">
        <f t="shared" si="28"/>
        <v>0</v>
      </c>
      <c r="DT55" s="572">
        <f t="shared" si="29"/>
        <v>0</v>
      </c>
      <c r="DU55" s="572">
        <f t="shared" si="30"/>
        <v>0</v>
      </c>
      <c r="DV55" s="572">
        <f t="shared" si="31"/>
        <v>0</v>
      </c>
      <c r="DW55" s="139">
        <f t="shared" si="32"/>
        <v>0</v>
      </c>
    </row>
    <row r="56" spans="1:127" x14ac:dyDescent="0.2">
      <c r="A56" s="137"/>
      <c r="B56" s="109"/>
      <c r="C56" s="110"/>
      <c r="D56" s="111"/>
      <c r="E56" s="109"/>
      <c r="F56" s="110"/>
      <c r="G56" s="111"/>
      <c r="H56" s="109"/>
      <c r="I56" s="110"/>
      <c r="J56" s="111"/>
      <c r="K56" s="109"/>
      <c r="L56" s="110"/>
      <c r="M56" s="111"/>
      <c r="N56" s="109"/>
      <c r="O56" s="110"/>
      <c r="P56" s="111"/>
      <c r="Q56" s="109"/>
      <c r="R56" s="110"/>
      <c r="S56" s="111"/>
      <c r="T56" s="109"/>
      <c r="U56" s="110"/>
      <c r="V56" s="111"/>
      <c r="W56" s="109"/>
      <c r="X56" s="110"/>
      <c r="Y56" s="111"/>
      <c r="Z56" s="109"/>
      <c r="AA56" s="110"/>
      <c r="AB56" s="111"/>
      <c r="AC56" s="109"/>
      <c r="AD56" s="52"/>
      <c r="AE56" s="111"/>
      <c r="AF56" s="109"/>
      <c r="AG56" s="52"/>
      <c r="AH56" s="111"/>
      <c r="AI56" s="113"/>
      <c r="AJ56" s="52"/>
      <c r="AK56" s="111"/>
      <c r="AL56" s="138"/>
      <c r="AM56" s="143"/>
      <c r="AN56" s="84"/>
      <c r="AO56" s="84"/>
      <c r="AP56" s="84"/>
      <c r="AQ56" s="84"/>
      <c r="AR56" s="84"/>
      <c r="AS56" s="85"/>
      <c r="AT56" s="85"/>
      <c r="AU56" s="85"/>
      <c r="AV56" s="85"/>
      <c r="AW56" s="85"/>
      <c r="AX56" s="85"/>
      <c r="AY56" s="85"/>
      <c r="AZ56" s="138"/>
      <c r="BA56" s="142"/>
      <c r="BB56" s="151" t="s">
        <v>521</v>
      </c>
      <c r="BC56" s="147">
        <v>340</v>
      </c>
      <c r="BD56" s="147">
        <v>340</v>
      </c>
      <c r="BE56" s="147">
        <v>340</v>
      </c>
      <c r="BF56" s="147">
        <v>340</v>
      </c>
      <c r="BG56" s="147">
        <v>340</v>
      </c>
      <c r="BH56" s="147">
        <v>0</v>
      </c>
      <c r="BI56" s="147">
        <v>0</v>
      </c>
      <c r="BJ56" s="147">
        <v>340</v>
      </c>
      <c r="BK56" s="147">
        <v>340</v>
      </c>
      <c r="BL56" s="147">
        <v>340</v>
      </c>
      <c r="BM56" s="147">
        <v>340</v>
      </c>
      <c r="BN56" s="148">
        <v>340</v>
      </c>
      <c r="BO56" s="139">
        <f t="shared" ref="BO56" si="78">SUM(BC56:BN56)</f>
        <v>3400</v>
      </c>
      <c r="BQ56" s="502"/>
      <c r="BR56" s="283" t="s">
        <v>1112</v>
      </c>
      <c r="BS56" s="467">
        <v>15000</v>
      </c>
      <c r="BT56" s="84">
        <v>15000</v>
      </c>
      <c r="BU56" s="84">
        <v>15000</v>
      </c>
      <c r="BV56" s="84">
        <v>15000</v>
      </c>
      <c r="BW56" s="84">
        <v>15000</v>
      </c>
      <c r="BX56" s="84">
        <v>15000</v>
      </c>
      <c r="BY56" s="84">
        <v>15000</v>
      </c>
      <c r="BZ56" s="84">
        <v>15000</v>
      </c>
      <c r="CA56" s="84">
        <v>15000</v>
      </c>
      <c r="CB56" s="84">
        <v>15000</v>
      </c>
      <c r="CC56" s="84">
        <v>15000</v>
      </c>
      <c r="CD56" s="84">
        <v>15000</v>
      </c>
      <c r="CE56" s="139">
        <f>SUM(BS56:CD56)</f>
        <v>180000</v>
      </c>
      <c r="CF56" s="142"/>
      <c r="CG56" s="572">
        <v>0</v>
      </c>
      <c r="CH56" s="572">
        <v>0</v>
      </c>
      <c r="CI56" s="84">
        <v>4660</v>
      </c>
      <c r="CJ56" s="84">
        <v>0</v>
      </c>
      <c r="CK56" s="84">
        <v>0</v>
      </c>
      <c r="CL56" s="572">
        <v>0</v>
      </c>
      <c r="CM56" s="84">
        <v>0</v>
      </c>
      <c r="CN56" s="84">
        <v>0</v>
      </c>
      <c r="CO56" s="84">
        <v>0</v>
      </c>
      <c r="CP56" s="84">
        <v>0</v>
      </c>
      <c r="CQ56" s="84">
        <v>6000</v>
      </c>
      <c r="CR56" s="84">
        <f>11000+6000</f>
        <v>17000</v>
      </c>
      <c r="CS56" s="139">
        <f t="shared" si="77"/>
        <v>27660</v>
      </c>
      <c r="CU56" s="502"/>
      <c r="CV56" s="285"/>
      <c r="CW56" s="467"/>
      <c r="CX56" s="84"/>
      <c r="CY56" s="84"/>
      <c r="CZ56" s="84"/>
      <c r="DA56" s="84"/>
      <c r="DB56" s="84"/>
      <c r="DC56" s="84"/>
      <c r="DD56" s="84"/>
      <c r="DE56" s="84"/>
      <c r="DF56" s="84"/>
      <c r="DG56" s="84"/>
      <c r="DH56" s="84"/>
      <c r="DI56" s="139">
        <f t="shared" si="19"/>
        <v>0</v>
      </c>
      <c r="DJ56" s="142"/>
      <c r="DK56" s="572">
        <f t="shared" si="20"/>
        <v>0</v>
      </c>
      <c r="DL56" s="572">
        <f t="shared" si="21"/>
        <v>0</v>
      </c>
      <c r="DM56" s="572">
        <f t="shared" si="22"/>
        <v>0</v>
      </c>
      <c r="DN56" s="572">
        <f t="shared" si="23"/>
        <v>0</v>
      </c>
      <c r="DO56" s="572">
        <f t="shared" si="24"/>
        <v>0</v>
      </c>
      <c r="DP56" s="572">
        <f t="shared" si="25"/>
        <v>0</v>
      </c>
      <c r="DQ56" s="572">
        <f t="shared" si="26"/>
        <v>0</v>
      </c>
      <c r="DR56" s="572">
        <f t="shared" si="27"/>
        <v>0</v>
      </c>
      <c r="DS56" s="572">
        <f t="shared" si="28"/>
        <v>0</v>
      </c>
      <c r="DT56" s="572">
        <f t="shared" si="29"/>
        <v>0</v>
      </c>
      <c r="DU56" s="572">
        <f t="shared" si="30"/>
        <v>0</v>
      </c>
      <c r="DV56" s="572">
        <f t="shared" si="31"/>
        <v>0</v>
      </c>
      <c r="DW56" s="139">
        <f t="shared" si="32"/>
        <v>0</v>
      </c>
    </row>
    <row r="57" spans="1:127" x14ac:dyDescent="0.2">
      <c r="A57" s="137"/>
      <c r="B57" s="109"/>
      <c r="C57" s="110"/>
      <c r="D57" s="111"/>
      <c r="E57" s="109"/>
      <c r="F57" s="110"/>
      <c r="G57" s="111"/>
      <c r="H57" s="109"/>
      <c r="I57" s="110"/>
      <c r="J57" s="111"/>
      <c r="K57" s="109"/>
      <c r="L57" s="110"/>
      <c r="M57" s="111"/>
      <c r="N57" s="109"/>
      <c r="O57" s="110"/>
      <c r="P57" s="111"/>
      <c r="Q57" s="109"/>
      <c r="R57" s="110"/>
      <c r="S57" s="111"/>
      <c r="T57" s="109"/>
      <c r="U57" s="110"/>
      <c r="V57" s="111"/>
      <c r="W57" s="109"/>
      <c r="X57" s="110"/>
      <c r="Y57" s="111"/>
      <c r="Z57" s="109"/>
      <c r="AA57" s="110"/>
      <c r="AB57" s="111"/>
      <c r="AC57" s="109"/>
      <c r="AD57" s="52"/>
      <c r="AE57" s="111"/>
      <c r="AF57" s="109"/>
      <c r="AG57" s="52"/>
      <c r="AH57" s="111"/>
      <c r="AI57" s="113"/>
      <c r="AJ57" s="52"/>
      <c r="AK57" s="111"/>
      <c r="AL57" s="138"/>
      <c r="AM57" s="143"/>
      <c r="AN57" s="84"/>
      <c r="AO57" s="84"/>
      <c r="AP57" s="84"/>
      <c r="AQ57" s="84"/>
      <c r="AR57" s="84"/>
      <c r="AS57" s="85"/>
      <c r="AT57" s="85"/>
      <c r="AU57" s="85"/>
      <c r="AV57" s="85"/>
      <c r="AW57" s="85"/>
      <c r="AX57" s="85"/>
      <c r="AY57" s="85"/>
      <c r="AZ57" s="138"/>
      <c r="BA57" s="142"/>
      <c r="BB57" s="151"/>
      <c r="BC57" s="147"/>
      <c r="BD57" s="147"/>
      <c r="BE57" s="147"/>
      <c r="BF57" s="147"/>
      <c r="BG57" s="147"/>
      <c r="BH57" s="147"/>
      <c r="BI57" s="147"/>
      <c r="BJ57" s="147"/>
      <c r="BK57" s="147"/>
      <c r="BL57" s="147"/>
      <c r="BM57" s="147"/>
      <c r="BN57" s="148"/>
      <c r="BO57" s="139"/>
      <c r="BQ57" s="502"/>
      <c r="BR57" s="283" t="s">
        <v>71</v>
      </c>
      <c r="BS57" s="467">
        <f>ONS!F2</f>
        <v>780</v>
      </c>
      <c r="BT57" s="84">
        <f>ONS!G2</f>
        <v>780</v>
      </c>
      <c r="BU57" s="84">
        <f>ONS!H2</f>
        <v>780</v>
      </c>
      <c r="BV57" s="84">
        <f>ONS!I2</f>
        <v>780</v>
      </c>
      <c r="BW57" s="84">
        <f>ONS!J2</f>
        <v>780</v>
      </c>
      <c r="BX57" s="84">
        <f>ONS!K2</f>
        <v>780</v>
      </c>
      <c r="BY57" s="84">
        <f>ONS!L2</f>
        <v>780</v>
      </c>
      <c r="BZ57" s="84">
        <f>ONS!M2</f>
        <v>780</v>
      </c>
      <c r="CA57" s="84">
        <f>ONS!N2</f>
        <v>780</v>
      </c>
      <c r="CB57" s="84">
        <f>ONS!O2</f>
        <v>780</v>
      </c>
      <c r="CC57" s="84">
        <f>ONS!P2</f>
        <v>780</v>
      </c>
      <c r="CD57" s="84">
        <f>ONS!Q2</f>
        <v>780</v>
      </c>
      <c r="CE57" s="139">
        <f t="shared" ref="CE57:CE58" si="79">SUM(BS57:CD57)</f>
        <v>9360</v>
      </c>
      <c r="CF57" s="142"/>
      <c r="CG57" s="572">
        <f>13*60</f>
        <v>780</v>
      </c>
      <c r="CH57" s="572">
        <f>13*60</f>
        <v>780</v>
      </c>
      <c r="CI57" s="84">
        <f>13*60</f>
        <v>780</v>
      </c>
      <c r="CJ57" s="84">
        <v>780</v>
      </c>
      <c r="CK57" s="84">
        <v>780</v>
      </c>
      <c r="CL57" s="572">
        <v>780</v>
      </c>
      <c r="CM57" s="84">
        <v>780</v>
      </c>
      <c r="CN57" s="84">
        <v>780</v>
      </c>
      <c r="CO57" s="84">
        <v>780</v>
      </c>
      <c r="CP57" s="84">
        <v>780</v>
      </c>
      <c r="CQ57" s="84">
        <v>780</v>
      </c>
      <c r="CR57" s="84">
        <v>780</v>
      </c>
      <c r="CS57" s="139">
        <f t="shared" si="77"/>
        <v>9360</v>
      </c>
      <c r="CU57" s="502"/>
      <c r="CV57" s="285"/>
      <c r="CW57" s="467"/>
      <c r="CX57" s="84"/>
      <c r="CY57" s="84"/>
      <c r="CZ57" s="84"/>
      <c r="DA57" s="84"/>
      <c r="DB57" s="84"/>
      <c r="DC57" s="84"/>
      <c r="DD57" s="84"/>
      <c r="DE57" s="84"/>
      <c r="DF57" s="84"/>
      <c r="DG57" s="84"/>
      <c r="DH57" s="84"/>
      <c r="DI57" s="139">
        <f t="shared" si="19"/>
        <v>0</v>
      </c>
      <c r="DJ57" s="142"/>
      <c r="DK57" s="572">
        <f t="shared" si="20"/>
        <v>0</v>
      </c>
      <c r="DL57" s="572">
        <f t="shared" si="21"/>
        <v>0</v>
      </c>
      <c r="DM57" s="572">
        <f t="shared" si="22"/>
        <v>0</v>
      </c>
      <c r="DN57" s="572">
        <f t="shared" si="23"/>
        <v>0</v>
      </c>
      <c r="DO57" s="572">
        <f t="shared" si="24"/>
        <v>0</v>
      </c>
      <c r="DP57" s="572">
        <f t="shared" si="25"/>
        <v>0</v>
      </c>
      <c r="DQ57" s="572">
        <f t="shared" si="26"/>
        <v>0</v>
      </c>
      <c r="DR57" s="572">
        <f t="shared" si="27"/>
        <v>0</v>
      </c>
      <c r="DS57" s="572">
        <f t="shared" si="28"/>
        <v>0</v>
      </c>
      <c r="DT57" s="572">
        <f t="shared" si="29"/>
        <v>0</v>
      </c>
      <c r="DU57" s="572">
        <f t="shared" si="30"/>
        <v>0</v>
      </c>
      <c r="DV57" s="572">
        <f t="shared" si="31"/>
        <v>0</v>
      </c>
      <c r="DW57" s="139">
        <f t="shared" si="32"/>
        <v>0</v>
      </c>
    </row>
    <row r="58" spans="1:127" x14ac:dyDescent="0.2">
      <c r="A58" s="137"/>
      <c r="B58" s="109"/>
      <c r="C58" s="110"/>
      <c r="D58" s="111"/>
      <c r="E58" s="109"/>
      <c r="F58" s="110"/>
      <c r="G58" s="111"/>
      <c r="H58" s="109"/>
      <c r="I58" s="110"/>
      <c r="J58" s="111"/>
      <c r="K58" s="109"/>
      <c r="L58" s="110"/>
      <c r="M58" s="111"/>
      <c r="N58" s="109"/>
      <c r="O58" s="110"/>
      <c r="P58" s="111"/>
      <c r="Q58" s="109"/>
      <c r="R58" s="110"/>
      <c r="S58" s="111"/>
      <c r="T58" s="109"/>
      <c r="U58" s="110"/>
      <c r="V58" s="111"/>
      <c r="W58" s="109"/>
      <c r="X58" s="110"/>
      <c r="Y58" s="111"/>
      <c r="Z58" s="109"/>
      <c r="AA58" s="110"/>
      <c r="AB58" s="111"/>
      <c r="AC58" s="109"/>
      <c r="AD58" s="52"/>
      <c r="AE58" s="111"/>
      <c r="AF58" s="109"/>
      <c r="AG58" s="52"/>
      <c r="AH58" s="111"/>
      <c r="AI58" s="113"/>
      <c r="AJ58" s="52"/>
      <c r="AK58" s="111"/>
      <c r="AL58" s="138"/>
      <c r="AM58" s="143"/>
      <c r="AN58" s="84"/>
      <c r="AO58" s="84"/>
      <c r="AP58" s="84"/>
      <c r="AQ58" s="84"/>
      <c r="AR58" s="84"/>
      <c r="AS58" s="85"/>
      <c r="AT58" s="85"/>
      <c r="AU58" s="85"/>
      <c r="AV58" s="85"/>
      <c r="AW58" s="85"/>
      <c r="AX58" s="85"/>
      <c r="AY58" s="85"/>
      <c r="AZ58" s="138"/>
      <c r="BA58" s="142"/>
      <c r="BB58" s="151"/>
      <c r="BC58" s="147"/>
      <c r="BD58" s="147"/>
      <c r="BE58" s="147"/>
      <c r="BF58" s="147"/>
      <c r="BG58" s="147"/>
      <c r="BH58" s="147"/>
      <c r="BI58" s="147"/>
      <c r="BJ58" s="147"/>
      <c r="BK58" s="147"/>
      <c r="BL58" s="147"/>
      <c r="BM58" s="147"/>
      <c r="BN58" s="148"/>
      <c r="BO58" s="139"/>
      <c r="BQ58" s="502"/>
      <c r="BR58" s="283" t="s">
        <v>69</v>
      </c>
      <c r="BS58" s="467">
        <f>ONS!F3</f>
        <v>100</v>
      </c>
      <c r="BT58" s="84">
        <f>ONS!G3</f>
        <v>100</v>
      </c>
      <c r="BU58" s="84">
        <f>ONS!H3</f>
        <v>100</v>
      </c>
      <c r="BV58" s="84">
        <f>ONS!I3</f>
        <v>100</v>
      </c>
      <c r="BW58" s="84">
        <f>ONS!J3</f>
        <v>100</v>
      </c>
      <c r="BX58" s="84">
        <f>ONS!K3</f>
        <v>100</v>
      </c>
      <c r="BY58" s="84">
        <f>ONS!L3</f>
        <v>100</v>
      </c>
      <c r="BZ58" s="84">
        <f>ONS!M3</f>
        <v>100</v>
      </c>
      <c r="CA58" s="84">
        <f>ONS!N3</f>
        <v>100</v>
      </c>
      <c r="CB58" s="84">
        <f>ONS!O3</f>
        <v>100</v>
      </c>
      <c r="CC58" s="84">
        <f>ONS!P3</f>
        <v>100</v>
      </c>
      <c r="CD58" s="84">
        <f>ONS!Q3</f>
        <v>100</v>
      </c>
      <c r="CE58" s="139">
        <f t="shared" si="79"/>
        <v>1200</v>
      </c>
      <c r="CF58" s="142"/>
      <c r="CG58" s="572"/>
      <c r="CH58" s="572"/>
      <c r="CI58" s="84"/>
      <c r="CJ58" s="84"/>
      <c r="CK58" s="84"/>
      <c r="CL58" s="572"/>
      <c r="CM58" s="84"/>
      <c r="CN58" s="84"/>
      <c r="CO58" s="84"/>
      <c r="CP58" s="84"/>
      <c r="CQ58" s="84"/>
      <c r="CR58" s="84"/>
      <c r="CS58" s="139"/>
      <c r="CU58" s="502"/>
      <c r="CV58" s="285"/>
      <c r="CW58" s="467"/>
      <c r="CX58" s="84"/>
      <c r="CY58" s="84"/>
      <c r="CZ58" s="84"/>
      <c r="DA58" s="84"/>
      <c r="DB58" s="84"/>
      <c r="DC58" s="84"/>
      <c r="DD58" s="84"/>
      <c r="DE58" s="84"/>
      <c r="DF58" s="84"/>
      <c r="DG58" s="84"/>
      <c r="DH58" s="84"/>
      <c r="DI58" s="139">
        <f t="shared" si="19"/>
        <v>0</v>
      </c>
      <c r="DJ58" s="142"/>
      <c r="DK58" s="572">
        <f t="shared" si="20"/>
        <v>0</v>
      </c>
      <c r="DL58" s="572">
        <f t="shared" si="21"/>
        <v>0</v>
      </c>
      <c r="DM58" s="572">
        <f t="shared" si="22"/>
        <v>0</v>
      </c>
      <c r="DN58" s="572">
        <f t="shared" si="23"/>
        <v>0</v>
      </c>
      <c r="DO58" s="572">
        <f t="shared" si="24"/>
        <v>0</v>
      </c>
      <c r="DP58" s="572">
        <f t="shared" si="25"/>
        <v>0</v>
      </c>
      <c r="DQ58" s="572">
        <f t="shared" si="26"/>
        <v>0</v>
      </c>
      <c r="DR58" s="572">
        <f t="shared" si="27"/>
        <v>0</v>
      </c>
      <c r="DS58" s="572">
        <f t="shared" si="28"/>
        <v>0</v>
      </c>
      <c r="DT58" s="572">
        <f t="shared" si="29"/>
        <v>0</v>
      </c>
      <c r="DU58" s="572">
        <f t="shared" si="30"/>
        <v>0</v>
      </c>
      <c r="DV58" s="572">
        <f t="shared" si="31"/>
        <v>0</v>
      </c>
      <c r="DW58" s="139">
        <f t="shared" si="32"/>
        <v>0</v>
      </c>
    </row>
    <row r="59" spans="1:127" x14ac:dyDescent="0.2">
      <c r="A59" s="137"/>
      <c r="B59" s="109"/>
      <c r="C59" s="110"/>
      <c r="D59" s="111"/>
      <c r="E59" s="109"/>
      <c r="F59" s="110"/>
      <c r="G59" s="111"/>
      <c r="H59" s="109"/>
      <c r="I59" s="110"/>
      <c r="J59" s="111"/>
      <c r="K59" s="109"/>
      <c r="L59" s="110"/>
      <c r="M59" s="111"/>
      <c r="N59" s="109"/>
      <c r="O59" s="110"/>
      <c r="P59" s="111"/>
      <c r="Q59" s="109"/>
      <c r="R59" s="110"/>
      <c r="S59" s="111"/>
      <c r="T59" s="109"/>
      <c r="U59" s="110"/>
      <c r="V59" s="111"/>
      <c r="W59" s="109"/>
      <c r="X59" s="110"/>
      <c r="Y59" s="111"/>
      <c r="Z59" s="109"/>
      <c r="AA59" s="110"/>
      <c r="AB59" s="111"/>
      <c r="AC59" s="109"/>
      <c r="AD59" s="52"/>
      <c r="AE59" s="111"/>
      <c r="AF59" s="109"/>
      <c r="AG59" s="52"/>
      <c r="AH59" s="111"/>
      <c r="AI59" s="113"/>
      <c r="AJ59" s="52"/>
      <c r="AK59" s="111"/>
      <c r="AL59" s="138"/>
      <c r="AM59" s="143"/>
      <c r="AN59" s="84"/>
      <c r="AO59" s="84"/>
      <c r="AP59" s="84"/>
      <c r="AQ59" s="84"/>
      <c r="AR59" s="84"/>
      <c r="AS59" s="85"/>
      <c r="AT59" s="85"/>
      <c r="AU59" s="85"/>
      <c r="AV59" s="85"/>
      <c r="AW59" s="85"/>
      <c r="AX59" s="85"/>
      <c r="AY59" s="85"/>
      <c r="AZ59" s="138"/>
      <c r="BA59" s="142"/>
      <c r="BB59" s="151"/>
      <c r="BC59" s="147"/>
      <c r="BD59" s="147"/>
      <c r="BE59" s="147"/>
      <c r="BF59" s="147"/>
      <c r="BG59" s="147"/>
      <c r="BH59" s="147"/>
      <c r="BI59" s="147"/>
      <c r="BJ59" s="147"/>
      <c r="BK59" s="147"/>
      <c r="BL59" s="147"/>
      <c r="BM59" s="147"/>
      <c r="BN59" s="148"/>
      <c r="BO59" s="139"/>
      <c r="BQ59" s="502"/>
      <c r="BR59" s="283" t="s">
        <v>555</v>
      </c>
      <c r="BS59" s="467">
        <f>ONS!F4</f>
        <v>28</v>
      </c>
      <c r="BT59" s="84">
        <f>ONS!G4</f>
        <v>28</v>
      </c>
      <c r="BU59" s="84">
        <f>ONS!H4</f>
        <v>28</v>
      </c>
      <c r="BV59" s="84">
        <f>ONS!I4</f>
        <v>28</v>
      </c>
      <c r="BW59" s="84">
        <f>ONS!J4</f>
        <v>28</v>
      </c>
      <c r="BX59" s="84">
        <f>ONS!K4</f>
        <v>28</v>
      </c>
      <c r="BY59" s="84">
        <f>ONS!L4</f>
        <v>28</v>
      </c>
      <c r="BZ59" s="84">
        <f>ONS!M4</f>
        <v>28</v>
      </c>
      <c r="CA59" s="84">
        <f>ONS!N4</f>
        <v>28</v>
      </c>
      <c r="CB59" s="84">
        <f>ONS!O4</f>
        <v>28</v>
      </c>
      <c r="CC59" s="84">
        <f>ONS!P4</f>
        <v>28</v>
      </c>
      <c r="CD59" s="84">
        <f>ONS!Q4</f>
        <v>28</v>
      </c>
      <c r="CE59" s="139">
        <f>SUM(BS59:CD59)</f>
        <v>336</v>
      </c>
      <c r="CF59" s="142"/>
      <c r="CG59" s="572"/>
      <c r="CH59" s="572"/>
      <c r="CI59" s="84"/>
      <c r="CJ59" s="84"/>
      <c r="CK59" s="84"/>
      <c r="CL59" s="572"/>
      <c r="CM59" s="84"/>
      <c r="CN59" s="84"/>
      <c r="CO59" s="84"/>
      <c r="CP59" s="84"/>
      <c r="CQ59" s="84"/>
      <c r="CR59" s="84"/>
      <c r="CS59" s="139"/>
      <c r="CU59" s="502"/>
      <c r="CV59" s="285"/>
      <c r="CW59" s="467"/>
      <c r="CX59" s="84"/>
      <c r="CY59" s="84"/>
      <c r="CZ59" s="84"/>
      <c r="DA59" s="84"/>
      <c r="DB59" s="84"/>
      <c r="DC59" s="84"/>
      <c r="DD59" s="84"/>
      <c r="DE59" s="84"/>
      <c r="DF59" s="84"/>
      <c r="DG59" s="84"/>
      <c r="DH59" s="84"/>
      <c r="DI59" s="139">
        <f t="shared" si="19"/>
        <v>0</v>
      </c>
      <c r="DJ59" s="142"/>
      <c r="DK59" s="572">
        <f t="shared" si="20"/>
        <v>0</v>
      </c>
      <c r="DL59" s="572">
        <f t="shared" si="21"/>
        <v>0</v>
      </c>
      <c r="DM59" s="572">
        <f t="shared" si="22"/>
        <v>0</v>
      </c>
      <c r="DN59" s="572">
        <f t="shared" si="23"/>
        <v>0</v>
      </c>
      <c r="DO59" s="572">
        <f t="shared" si="24"/>
        <v>0</v>
      </c>
      <c r="DP59" s="572">
        <f t="shared" si="25"/>
        <v>0</v>
      </c>
      <c r="DQ59" s="572">
        <f t="shared" si="26"/>
        <v>0</v>
      </c>
      <c r="DR59" s="572">
        <f t="shared" si="27"/>
        <v>0</v>
      </c>
      <c r="DS59" s="572">
        <f t="shared" si="28"/>
        <v>0</v>
      </c>
      <c r="DT59" s="572">
        <f t="shared" si="29"/>
        <v>0</v>
      </c>
      <c r="DU59" s="572">
        <f t="shared" si="30"/>
        <v>0</v>
      </c>
      <c r="DV59" s="572">
        <f t="shared" si="31"/>
        <v>0</v>
      </c>
      <c r="DW59" s="139">
        <f t="shared" si="32"/>
        <v>0</v>
      </c>
    </row>
    <row r="60" spans="1:127" x14ac:dyDescent="0.2">
      <c r="A60" s="137" t="s">
        <v>522</v>
      </c>
      <c r="B60" s="109"/>
      <c r="C60" s="110"/>
      <c r="D60" s="111">
        <f t="shared" ref="D60" si="80">+C60-B60</f>
        <v>0</v>
      </c>
      <c r="E60" s="109">
        <v>10000</v>
      </c>
      <c r="F60" s="110"/>
      <c r="G60" s="111">
        <f t="shared" ref="G60" si="81">+F60-E60</f>
        <v>-10000</v>
      </c>
      <c r="H60" s="109">
        <v>10000</v>
      </c>
      <c r="I60" s="110"/>
      <c r="J60" s="111">
        <f t="shared" ref="J60" si="82">+I60-H60</f>
        <v>-10000</v>
      </c>
      <c r="K60" s="109">
        <v>15000</v>
      </c>
      <c r="L60" s="110"/>
      <c r="M60" s="111">
        <f t="shared" ref="M60" si="83">+L60-K60</f>
        <v>-15000</v>
      </c>
      <c r="N60" s="109">
        <v>15000</v>
      </c>
      <c r="O60" s="110"/>
      <c r="P60" s="111">
        <f t="shared" ref="P60" si="84">+O60-N60</f>
        <v>-15000</v>
      </c>
      <c r="Q60" s="109">
        <v>0</v>
      </c>
      <c r="R60" s="110"/>
      <c r="S60" s="111">
        <f t="shared" ref="S60" si="85">+R60-Q60</f>
        <v>0</v>
      </c>
      <c r="T60" s="109">
        <v>0</v>
      </c>
      <c r="U60" s="110"/>
      <c r="V60" s="111">
        <f t="shared" ref="V60" si="86">+U60-T60</f>
        <v>0</v>
      </c>
      <c r="W60" s="109"/>
      <c r="X60" s="110"/>
      <c r="Y60" s="111">
        <f t="shared" ref="Y60" si="87">+X60-W60</f>
        <v>0</v>
      </c>
      <c r="Z60" s="109"/>
      <c r="AA60" s="110"/>
      <c r="AB60" s="111">
        <f t="shared" ref="AB60" si="88">+AA60-Z60</f>
        <v>0</v>
      </c>
      <c r="AC60" s="109">
        <v>5000</v>
      </c>
      <c r="AD60" s="52"/>
      <c r="AE60" s="111">
        <f t="shared" ref="AE60" si="89">+AD60-AC60</f>
        <v>-5000</v>
      </c>
      <c r="AF60" s="109">
        <v>5000</v>
      </c>
      <c r="AG60" s="52"/>
      <c r="AH60" s="111">
        <f t="shared" ref="AH60:AH61" si="90">+AG60-AF60</f>
        <v>-5000</v>
      </c>
      <c r="AI60" s="113">
        <v>5000</v>
      </c>
      <c r="AJ60" s="52"/>
      <c r="AK60" s="111">
        <f t="shared" ref="AK60:AK61" si="91">+AJ60-AI60</f>
        <v>-5000</v>
      </c>
      <c r="AL60" s="138">
        <f t="shared" ref="AL60" si="92">SUMIFS($B60:$AK60,$B$3:$AK$3,"Actual")</f>
        <v>0</v>
      </c>
      <c r="AM60" s="143" t="s">
        <v>522</v>
      </c>
      <c r="AN60" s="84">
        <v>0</v>
      </c>
      <c r="AO60" s="84">
        <v>0</v>
      </c>
      <c r="AP60" s="84">
        <v>0</v>
      </c>
      <c r="AQ60" s="84">
        <v>0</v>
      </c>
      <c r="AR60" s="84">
        <v>0</v>
      </c>
      <c r="AS60" s="85">
        <v>0</v>
      </c>
      <c r="AT60" s="85">
        <v>0</v>
      </c>
      <c r="AU60" s="85">
        <v>12000</v>
      </c>
      <c r="AV60" s="85">
        <v>12000</v>
      </c>
      <c r="AW60" s="85">
        <v>12000</v>
      </c>
      <c r="AX60" s="85">
        <v>12000</v>
      </c>
      <c r="AY60" s="85">
        <v>12000</v>
      </c>
      <c r="AZ60" s="138"/>
      <c r="BA60" s="142" t="s">
        <v>523</v>
      </c>
      <c r="BB60" s="151" t="s">
        <v>522</v>
      </c>
      <c r="BC60" s="147">
        <v>0</v>
      </c>
      <c r="BD60" s="147">
        <v>0</v>
      </c>
      <c r="BE60" s="147">
        <v>0</v>
      </c>
      <c r="BF60" s="147">
        <v>6000</v>
      </c>
      <c r="BG60" s="147">
        <v>6000</v>
      </c>
      <c r="BH60" s="147">
        <v>6000</v>
      </c>
      <c r="BI60" s="147">
        <v>6000</v>
      </c>
      <c r="BJ60" s="147">
        <v>6000</v>
      </c>
      <c r="BK60" s="147">
        <v>18000</v>
      </c>
      <c r="BL60" s="147">
        <v>18000</v>
      </c>
      <c r="BM60" s="147">
        <v>18000</v>
      </c>
      <c r="BN60" s="148">
        <v>18000</v>
      </c>
      <c r="BO60" s="139">
        <f>SUM(BC60:BN60)</f>
        <v>102000</v>
      </c>
      <c r="BQ60" s="502"/>
      <c r="BR60" s="283" t="s">
        <v>1116</v>
      </c>
      <c r="BS60" s="467"/>
      <c r="BT60" s="84"/>
      <c r="BU60" s="84"/>
      <c r="BV60" s="84"/>
      <c r="BW60" s="84"/>
      <c r="BX60" s="84"/>
      <c r="BY60" s="84"/>
      <c r="BZ60" s="84"/>
      <c r="CA60" s="84"/>
      <c r="CB60" s="84"/>
      <c r="CC60" s="84"/>
      <c r="CD60" s="84"/>
      <c r="CE60" s="139">
        <f>SUM(BS60:CD60)</f>
        <v>0</v>
      </c>
      <c r="CF60" s="142"/>
      <c r="CG60" s="572">
        <f>680+680+680+680</f>
        <v>2720</v>
      </c>
      <c r="CH60" s="572"/>
      <c r="CI60" s="84">
        <v>3618.2</v>
      </c>
      <c r="CJ60" s="84"/>
      <c r="CK60" s="84"/>
      <c r="CL60" s="572"/>
      <c r="CM60" s="84"/>
      <c r="CN60" s="84"/>
      <c r="CO60" s="84"/>
      <c r="CP60" s="84"/>
      <c r="CQ60" s="84"/>
      <c r="CR60" s="84"/>
      <c r="CS60" s="139">
        <f>SUM(CG60:CR60)</f>
        <v>6338.2</v>
      </c>
      <c r="CU60" s="502"/>
      <c r="CV60" s="285"/>
      <c r="CW60" s="467"/>
      <c r="CX60" s="84"/>
      <c r="CY60" s="84"/>
      <c r="CZ60" s="84"/>
      <c r="DA60" s="84"/>
      <c r="DB60" s="84"/>
      <c r="DC60" s="84"/>
      <c r="DD60" s="84"/>
      <c r="DE60" s="84"/>
      <c r="DF60" s="84"/>
      <c r="DG60" s="84"/>
      <c r="DH60" s="84"/>
      <c r="DI60" s="139">
        <f t="shared" si="19"/>
        <v>0</v>
      </c>
      <c r="DJ60" s="142"/>
      <c r="DK60" s="572">
        <f t="shared" si="20"/>
        <v>0</v>
      </c>
      <c r="DL60" s="572">
        <f t="shared" si="21"/>
        <v>0</v>
      </c>
      <c r="DM60" s="572">
        <f t="shared" si="22"/>
        <v>0</v>
      </c>
      <c r="DN60" s="572">
        <f t="shared" si="23"/>
        <v>0</v>
      </c>
      <c r="DO60" s="572">
        <f t="shared" si="24"/>
        <v>0</v>
      </c>
      <c r="DP60" s="572">
        <f t="shared" si="25"/>
        <v>0</v>
      </c>
      <c r="DQ60" s="572">
        <f t="shared" si="26"/>
        <v>0</v>
      </c>
      <c r="DR60" s="572">
        <f t="shared" si="27"/>
        <v>0</v>
      </c>
      <c r="DS60" s="572">
        <f t="shared" si="28"/>
        <v>0</v>
      </c>
      <c r="DT60" s="572">
        <f t="shared" si="29"/>
        <v>0</v>
      </c>
      <c r="DU60" s="572">
        <f t="shared" si="30"/>
        <v>0</v>
      </c>
      <c r="DV60" s="572">
        <f t="shared" si="31"/>
        <v>0</v>
      </c>
      <c r="DW60" s="139">
        <f t="shared" si="32"/>
        <v>0</v>
      </c>
    </row>
    <row r="61" spans="1:127" x14ac:dyDescent="0.2">
      <c r="A61" s="155" t="s">
        <v>524</v>
      </c>
      <c r="B61" s="115">
        <f t="shared" ref="B61:AD61" si="93">SUM(B4:B60)</f>
        <v>231992.82666666669</v>
      </c>
      <c r="C61" s="116">
        <f t="shared" si="93"/>
        <v>240484.59</v>
      </c>
      <c r="D61" s="117">
        <f t="shared" si="93"/>
        <v>8491.7633333333306</v>
      </c>
      <c r="E61" s="115">
        <f t="shared" si="93"/>
        <v>237036.66666666672</v>
      </c>
      <c r="F61" s="116">
        <f t="shared" si="93"/>
        <v>235058.74000000002</v>
      </c>
      <c r="G61" s="117">
        <f t="shared" si="93"/>
        <v>-1977.9266666666681</v>
      </c>
      <c r="H61" s="115">
        <f t="shared" si="93"/>
        <v>233086.66666666672</v>
      </c>
      <c r="I61" s="116">
        <f t="shared" si="93"/>
        <v>216995.94606060607</v>
      </c>
      <c r="J61" s="117">
        <f t="shared" si="93"/>
        <v>-16090.720606060604</v>
      </c>
      <c r="K61" s="115">
        <f t="shared" si="93"/>
        <v>241966.66666666672</v>
      </c>
      <c r="L61" s="116">
        <f t="shared" si="93"/>
        <v>227474.37999999998</v>
      </c>
      <c r="M61" s="117">
        <f t="shared" si="93"/>
        <v>-14492.286666666667</v>
      </c>
      <c r="N61" s="115">
        <f t="shared" si="93"/>
        <v>254994.50000000006</v>
      </c>
      <c r="O61" s="116">
        <f t="shared" si="93"/>
        <v>233436.33999999997</v>
      </c>
      <c r="P61" s="117">
        <f t="shared" si="93"/>
        <v>-12558.160000000005</v>
      </c>
      <c r="Q61" s="115">
        <f t="shared" si="93"/>
        <v>220751.16666666672</v>
      </c>
      <c r="R61" s="116">
        <f t="shared" si="93"/>
        <v>219999.31</v>
      </c>
      <c r="S61" s="117">
        <f t="shared" si="93"/>
        <v>3748.1433333333298</v>
      </c>
      <c r="T61" s="115">
        <f t="shared" si="93"/>
        <v>208861.16666666669</v>
      </c>
      <c r="U61" s="116">
        <f t="shared" si="93"/>
        <v>203548.55272727273</v>
      </c>
      <c r="V61" s="117">
        <f t="shared" si="93"/>
        <v>-5312.6139393939411</v>
      </c>
      <c r="W61" s="115">
        <f t="shared" si="93"/>
        <v>220036.16666666669</v>
      </c>
      <c r="X61" s="116">
        <f t="shared" si="93"/>
        <v>228735.60272727272</v>
      </c>
      <c r="Y61" s="117">
        <f t="shared" si="93"/>
        <v>8699.43606060606</v>
      </c>
      <c r="Z61" s="115">
        <f t="shared" si="93"/>
        <v>209361.16666666669</v>
      </c>
      <c r="AA61" s="116">
        <f t="shared" si="93"/>
        <v>244846.83999999997</v>
      </c>
      <c r="AB61" s="117">
        <f t="shared" si="93"/>
        <v>35485.673333333332</v>
      </c>
      <c r="AC61" s="115">
        <f t="shared" si="93"/>
        <v>249036.16666666669</v>
      </c>
      <c r="AD61" s="116">
        <f t="shared" si="93"/>
        <v>246927.1</v>
      </c>
      <c r="AE61" s="117">
        <f>+AD61-AC61</f>
        <v>-2109.0666666666802</v>
      </c>
      <c r="AF61" s="115">
        <f>SUM(AF4:AF60)</f>
        <v>244061.16666666669</v>
      </c>
      <c r="AG61" s="116">
        <f>SUM(AG4:AG60)</f>
        <v>300026.93</v>
      </c>
      <c r="AH61" s="117">
        <f t="shared" si="90"/>
        <v>55965.763333333307</v>
      </c>
      <c r="AI61" s="115">
        <f>SUM(AI4:AI60)</f>
        <v>251026.16666666669</v>
      </c>
      <c r="AJ61" s="116">
        <f>SUM(AJ4:AJ60)</f>
        <v>0</v>
      </c>
      <c r="AK61" s="117">
        <f t="shared" si="91"/>
        <v>-251026.16666666669</v>
      </c>
      <c r="AL61" s="118">
        <f>SUM(AL4:AL60)</f>
        <v>2597534.331515152</v>
      </c>
      <c r="AM61" s="155" t="s">
        <v>524</v>
      </c>
      <c r="AN61" s="86">
        <f t="shared" ref="AN61:AY61" si="94">SUM(AN7:AN60)</f>
        <v>236361.98</v>
      </c>
      <c r="AO61" s="86">
        <f t="shared" si="94"/>
        <v>236436.98</v>
      </c>
      <c r="AP61" s="86">
        <f t="shared" si="94"/>
        <v>236361.98</v>
      </c>
      <c r="AQ61" s="86">
        <f t="shared" si="94"/>
        <v>236936.98</v>
      </c>
      <c r="AR61" s="86">
        <f t="shared" si="94"/>
        <v>237361.98</v>
      </c>
      <c r="AS61" s="86">
        <f t="shared" si="94"/>
        <v>218905.31</v>
      </c>
      <c r="AT61" s="86">
        <f t="shared" si="94"/>
        <v>218905.31</v>
      </c>
      <c r="AU61" s="86">
        <f t="shared" si="94"/>
        <v>231680.31</v>
      </c>
      <c r="AV61" s="86">
        <f t="shared" si="94"/>
        <v>231605.31</v>
      </c>
      <c r="AW61" s="86">
        <f t="shared" si="94"/>
        <v>231905.31</v>
      </c>
      <c r="AX61" s="86">
        <f t="shared" si="94"/>
        <v>231605.31</v>
      </c>
      <c r="AY61" s="86">
        <f t="shared" si="94"/>
        <v>231605.31</v>
      </c>
      <c r="AZ61" s="86">
        <f>SUM(AN61:AY61)</f>
        <v>2779672.0700000003</v>
      </c>
      <c r="BA61" s="133"/>
      <c r="BB61" s="156" t="s">
        <v>524</v>
      </c>
      <c r="BC61" s="157">
        <f t="shared" ref="BC61:BO61" si="95">SUM(BC4:BC60)</f>
        <v>229793.30333333332</v>
      </c>
      <c r="BD61" s="157">
        <f t="shared" si="95"/>
        <v>245526.63333333333</v>
      </c>
      <c r="BE61" s="157">
        <f t="shared" si="95"/>
        <v>241077.57333333336</v>
      </c>
      <c r="BF61" s="157">
        <f t="shared" si="95"/>
        <v>228297.62666666668</v>
      </c>
      <c r="BG61" s="157">
        <f t="shared" si="95"/>
        <v>229577.62666666668</v>
      </c>
      <c r="BH61" s="157">
        <f t="shared" si="95"/>
        <v>222797.15666666668</v>
      </c>
      <c r="BI61" s="157">
        <f t="shared" si="95"/>
        <v>225055.40666666668</v>
      </c>
      <c r="BJ61" s="157">
        <f t="shared" si="95"/>
        <v>224215.40666666668</v>
      </c>
      <c r="BK61" s="157">
        <f t="shared" si="95"/>
        <v>238775.40666666668</v>
      </c>
      <c r="BL61" s="157">
        <f t="shared" si="95"/>
        <v>235615.40666666668</v>
      </c>
      <c r="BM61" s="157">
        <f t="shared" si="95"/>
        <v>236895.40666666668</v>
      </c>
      <c r="BN61" s="157">
        <f t="shared" si="95"/>
        <v>237495.40666666668</v>
      </c>
      <c r="BO61" s="158">
        <f t="shared" si="95"/>
        <v>2795122.36</v>
      </c>
      <c r="BQ61" s="286"/>
      <c r="BR61" s="286" t="s">
        <v>891</v>
      </c>
      <c r="BS61" s="157">
        <f t="shared" ref="BS61:CE61" si="96">SUM(BS4:BS60)</f>
        <v>250364.46</v>
      </c>
      <c r="BT61" s="157">
        <f t="shared" si="96"/>
        <v>249344.46</v>
      </c>
      <c r="BU61" s="157">
        <f t="shared" si="96"/>
        <v>241364.46</v>
      </c>
      <c r="BV61" s="157">
        <f t="shared" si="96"/>
        <v>242844.46</v>
      </c>
      <c r="BW61" s="157">
        <f t="shared" si="96"/>
        <v>243864.46</v>
      </c>
      <c r="BX61" s="157">
        <f t="shared" si="96"/>
        <v>243524.46</v>
      </c>
      <c r="BY61" s="157">
        <f t="shared" si="96"/>
        <v>248864.46</v>
      </c>
      <c r="BZ61" s="157">
        <f t="shared" si="96"/>
        <v>248524.46</v>
      </c>
      <c r="CA61" s="157">
        <f t="shared" si="96"/>
        <v>249544.46</v>
      </c>
      <c r="CB61" s="157">
        <f t="shared" si="96"/>
        <v>249204.46</v>
      </c>
      <c r="CC61" s="157">
        <f t="shared" si="96"/>
        <v>249544.46</v>
      </c>
      <c r="CD61" s="157">
        <f t="shared" si="96"/>
        <v>237724.46</v>
      </c>
      <c r="CE61" s="158">
        <f t="shared" si="96"/>
        <v>2954713.52</v>
      </c>
      <c r="CF61" s="153"/>
      <c r="CG61" s="571">
        <f t="shared" ref="CG61:CS61" si="97">SUM(CG4:CG60)</f>
        <v>230153.98999999996</v>
      </c>
      <c r="CH61" s="157">
        <f t="shared" si="97"/>
        <v>222694.94999999998</v>
      </c>
      <c r="CI61" s="157">
        <f t="shared" si="97"/>
        <v>231214.72999999998</v>
      </c>
      <c r="CJ61" s="157">
        <f t="shared" si="97"/>
        <v>221948.09</v>
      </c>
      <c r="CK61" s="157">
        <f t="shared" si="97"/>
        <v>229035.14299999995</v>
      </c>
      <c r="CL61" s="157">
        <f t="shared" si="97"/>
        <v>233853.71</v>
      </c>
      <c r="CM61" s="157">
        <f t="shared" si="97"/>
        <v>195461.02</v>
      </c>
      <c r="CN61" s="157">
        <f t="shared" si="97"/>
        <v>215806.38999999998</v>
      </c>
      <c r="CO61" s="157">
        <f t="shared" si="97"/>
        <v>243333.94999999998</v>
      </c>
      <c r="CP61" s="157">
        <f t="shared" si="97"/>
        <v>251319.79</v>
      </c>
      <c r="CQ61" s="157">
        <f t="shared" si="97"/>
        <v>207517.52</v>
      </c>
      <c r="CR61" s="157">
        <f t="shared" si="97"/>
        <v>209942.52</v>
      </c>
      <c r="CS61" s="158">
        <f t="shared" si="97"/>
        <v>2692281.8030000003</v>
      </c>
      <c r="CU61" s="286"/>
      <c r="CV61" s="286" t="s">
        <v>891</v>
      </c>
      <c r="CW61" s="157">
        <f>SUM(CW4:CW60)</f>
        <v>238860.66999999998</v>
      </c>
      <c r="CX61" s="157">
        <f>SUM(CX4:CX60)</f>
        <v>256307.33</v>
      </c>
      <c r="CY61" s="157">
        <f t="shared" ref="CY61:DH61" si="98">SUM(CY4:CY60)</f>
        <v>248016.77</v>
      </c>
      <c r="CZ61" s="157">
        <f t="shared" si="98"/>
        <v>263046.77</v>
      </c>
      <c r="DA61" s="157">
        <f t="shared" si="98"/>
        <v>262366.77</v>
      </c>
      <c r="DB61" s="157">
        <f t="shared" si="98"/>
        <v>251316.77</v>
      </c>
      <c r="DC61" s="157">
        <f t="shared" si="98"/>
        <v>262366.77</v>
      </c>
      <c r="DD61" s="157">
        <f t="shared" si="98"/>
        <v>262366.77</v>
      </c>
      <c r="DE61" s="157">
        <f t="shared" si="98"/>
        <v>253016.77</v>
      </c>
      <c r="DF61" s="157">
        <f t="shared" si="98"/>
        <v>261266.77</v>
      </c>
      <c r="DG61" s="157">
        <f t="shared" si="98"/>
        <v>258950.11000000002</v>
      </c>
      <c r="DH61" s="157">
        <f t="shared" si="98"/>
        <v>242443.11000000002</v>
      </c>
      <c r="DI61" s="158">
        <f t="shared" ref="DI61" si="99">SUM(DI4:DI60)</f>
        <v>3060325.3800000004</v>
      </c>
      <c r="DJ61" s="153"/>
      <c r="DK61" s="571">
        <f>SUM(DK4:DK60)</f>
        <v>235662.93999999997</v>
      </c>
      <c r="DL61" s="157">
        <f t="shared" ref="DL61:DW61" si="100">SUM(DL4:DL60)</f>
        <v>247807.33</v>
      </c>
      <c r="DM61" s="157">
        <f t="shared" si="100"/>
        <v>239516.77</v>
      </c>
      <c r="DN61" s="157">
        <f t="shared" si="100"/>
        <v>254546.77</v>
      </c>
      <c r="DO61" s="157">
        <f t="shared" si="100"/>
        <v>253866.77</v>
      </c>
      <c r="DP61" s="157">
        <f t="shared" si="100"/>
        <v>251316.77</v>
      </c>
      <c r="DQ61" s="157">
        <f t="shared" si="100"/>
        <v>253866.77</v>
      </c>
      <c r="DR61" s="157">
        <f t="shared" si="100"/>
        <v>253866.77</v>
      </c>
      <c r="DS61" s="157">
        <f t="shared" si="100"/>
        <v>244516.77</v>
      </c>
      <c r="DT61" s="157">
        <f t="shared" si="100"/>
        <v>252766.77</v>
      </c>
      <c r="DU61" s="157">
        <f t="shared" si="100"/>
        <v>250450.11000000002</v>
      </c>
      <c r="DV61" s="157">
        <f t="shared" si="100"/>
        <v>233943.11000000002</v>
      </c>
      <c r="DW61" s="158">
        <f t="shared" si="100"/>
        <v>2972127.6500000004</v>
      </c>
    </row>
    <row r="62" spans="1:127" x14ac:dyDescent="0.2">
      <c r="AL62" s="159"/>
      <c r="BS62" s="469" t="s">
        <v>264</v>
      </c>
      <c r="CG62" s="469"/>
      <c r="CW62" s="469" t="s">
        <v>264</v>
      </c>
      <c r="DK62" s="469"/>
    </row>
    <row r="63" spans="1:127" ht="15" x14ac:dyDescent="0.25">
      <c r="BQ63" s="289" t="s">
        <v>88</v>
      </c>
      <c r="BR63" s="372"/>
      <c r="BS63" s="471"/>
      <c r="BT63" s="287"/>
      <c r="BU63" s="287"/>
      <c r="BV63" s="287"/>
      <c r="BW63" s="287"/>
      <c r="BX63" s="287"/>
      <c r="BY63" s="287"/>
      <c r="BZ63" s="287"/>
      <c r="CA63" s="287"/>
      <c r="CB63" s="287"/>
      <c r="CC63" s="287"/>
      <c r="CD63" s="287"/>
      <c r="CE63" s="372"/>
      <c r="CG63" s="471"/>
      <c r="CH63" s="287"/>
      <c r="CI63" s="287"/>
      <c r="CJ63" s="287"/>
      <c r="CK63" s="287"/>
      <c r="CL63" s="287"/>
      <c r="CM63" s="287"/>
      <c r="CN63" s="287"/>
      <c r="CO63" s="287"/>
      <c r="CP63" s="287"/>
      <c r="CQ63" s="287"/>
      <c r="CR63" s="287"/>
      <c r="CS63" s="372"/>
      <c r="CU63" s="289" t="s">
        <v>88</v>
      </c>
      <c r="CV63" s="372"/>
      <c r="CW63" s="471"/>
      <c r="CX63" s="287"/>
      <c r="CY63" s="287"/>
      <c r="CZ63" s="287"/>
      <c r="DA63" s="287"/>
      <c r="DB63" s="287"/>
      <c r="DC63" s="287"/>
      <c r="DD63" s="287"/>
      <c r="DE63" s="287"/>
      <c r="DF63" s="287"/>
      <c r="DG63" s="287"/>
      <c r="DH63" s="287"/>
      <c r="DI63" s="372"/>
      <c r="DK63" s="471"/>
      <c r="DL63" s="287"/>
      <c r="DM63" s="287"/>
      <c r="DN63" s="287"/>
      <c r="DO63" s="287"/>
      <c r="DP63" s="287"/>
      <c r="DQ63" s="287"/>
      <c r="DR63" s="287"/>
      <c r="DS63" s="287"/>
      <c r="DT63" s="287"/>
      <c r="DU63" s="287"/>
      <c r="DV63" s="287"/>
      <c r="DW63" s="372"/>
    </row>
    <row r="64" spans="1:127" ht="15" x14ac:dyDescent="0.25">
      <c r="BQ64" s="290" t="s">
        <v>922</v>
      </c>
      <c r="BR64" s="373"/>
      <c r="BS64" s="472"/>
      <c r="BT64" s="49"/>
      <c r="BU64" s="49"/>
      <c r="BV64" s="49"/>
      <c r="BW64" s="49"/>
      <c r="BX64" s="49"/>
      <c r="BY64" s="49"/>
      <c r="BZ64" s="49"/>
      <c r="CA64" s="49"/>
      <c r="CB64" s="49"/>
      <c r="CC64" s="49"/>
      <c r="CD64" s="49"/>
      <c r="CE64" s="373"/>
      <c r="CG64" s="494"/>
      <c r="CH64" s="494"/>
      <c r="CI64" s="494"/>
      <c r="CJ64" s="494"/>
      <c r="CK64" s="494"/>
      <c r="CL64" s="494"/>
      <c r="CM64" s="494"/>
      <c r="CN64" s="494"/>
      <c r="CO64" s="494"/>
      <c r="CP64" s="494"/>
      <c r="CQ64" s="494"/>
      <c r="CR64" s="494"/>
      <c r="CS64" s="496"/>
      <c r="CU64" s="290" t="s">
        <v>922</v>
      </c>
      <c r="CV64" s="373"/>
      <c r="CW64" s="472"/>
      <c r="CX64" s="49"/>
      <c r="CY64" s="49"/>
      <c r="CZ64" s="49"/>
      <c r="DA64" s="49"/>
      <c r="DB64" s="49"/>
      <c r="DC64" s="49"/>
      <c r="DD64" s="49"/>
      <c r="DE64" s="49"/>
      <c r="DF64" s="49"/>
      <c r="DG64" s="49"/>
      <c r="DH64" s="49"/>
      <c r="DI64" s="373"/>
      <c r="DK64" s="494"/>
      <c r="DL64" s="494"/>
      <c r="DM64" s="494"/>
      <c r="DN64" s="494"/>
      <c r="DO64" s="494"/>
      <c r="DP64" s="494"/>
      <c r="DQ64" s="494"/>
      <c r="DR64" s="494"/>
      <c r="DS64" s="494"/>
      <c r="DT64" s="494"/>
      <c r="DU64" s="494"/>
      <c r="DV64" s="494"/>
      <c r="DW64" s="496"/>
    </row>
    <row r="65" spans="1:127" ht="15" x14ac:dyDescent="0.25">
      <c r="BQ65" s="291"/>
      <c r="BR65" s="499" t="s">
        <v>30</v>
      </c>
      <c r="BS65" s="494">
        <f>SUM(ONS!F7:F11)</f>
        <v>-128177.20212851999</v>
      </c>
      <c r="BT65" s="494">
        <f>SUM(ONS!G7:G11)</f>
        <v>-114434.28678330559</v>
      </c>
      <c r="BU65" s="494">
        <f>SUM(ONS!H7:H11)</f>
        <v>-133262.68876163618</v>
      </c>
      <c r="BV65" s="494">
        <f>SUM(ONS!I7:I11)</f>
        <v>-127501.54351163618</v>
      </c>
      <c r="BW65" s="494">
        <f>SUM(ONS!J7:J11)</f>
        <v>-126428.4236583056</v>
      </c>
      <c r="BX65" s="494">
        <f>SUM(ONS!K7:K11)</f>
        <v>-133741.68088497088</v>
      </c>
      <c r="BY65" s="494">
        <f>SUM(ONS!L7:L11)</f>
        <v>-111211.7473083056</v>
      </c>
      <c r="BZ65" s="494">
        <f>SUM(ONS!M7:M11)</f>
        <v>-114842.10995830559</v>
      </c>
      <c r="CA65" s="494">
        <f>SUM(ONS!N7:N11)</f>
        <v>-140977.62053663615</v>
      </c>
      <c r="CB65" s="494">
        <f>SUM(ONS!O7:O11)</f>
        <v>-133585.78165830558</v>
      </c>
      <c r="CC65" s="494">
        <f>SUM(ONS!P7:P11)</f>
        <v>-140341.4433599709</v>
      </c>
      <c r="CD65" s="494">
        <f>SUM(ONS!Q7:Q11)</f>
        <v>-138281.91170997088</v>
      </c>
      <c r="CE65" s="374">
        <f>SUM(BS65:CD65)</f>
        <v>-1542786.4402598687</v>
      </c>
      <c r="CG65" s="494">
        <v>-126372.49000000003</v>
      </c>
      <c r="CH65" s="494">
        <v>-128715.26</v>
      </c>
      <c r="CI65" s="494">
        <v>-135647.29999999999</v>
      </c>
      <c r="CJ65" s="494">
        <v>-153591.10000000003</v>
      </c>
      <c r="CK65" s="494">
        <v>-125290.79000000002</v>
      </c>
      <c r="CL65" s="494">
        <v>-142879.55000000002</v>
      </c>
      <c r="CM65" s="494">
        <v>-118915.49319748158</v>
      </c>
      <c r="CN65" s="494">
        <v>-116041.60000000001</v>
      </c>
      <c r="CO65" s="494">
        <v>-132411.15</v>
      </c>
      <c r="CP65" s="494">
        <v>-138055.91</v>
      </c>
      <c r="CQ65" s="494" t="e">
        <f>SUM(ONS!P10:P13)-SUM(#REF!)</f>
        <v>#REF!</v>
      </c>
      <c r="CR65" s="494" t="e">
        <f>SUM(ONS!Q10:Q13)-SUM(#REF!)</f>
        <v>#REF!</v>
      </c>
      <c r="CS65" s="496" t="e">
        <f>SUM(CG65:CR65)</f>
        <v>#REF!</v>
      </c>
      <c r="CU65" s="291"/>
      <c r="CV65" s="499" t="s">
        <v>30</v>
      </c>
      <c r="CW65" s="494">
        <f>SUM(ONS!F7:F11)</f>
        <v>-128177.20212851999</v>
      </c>
      <c r="CX65" s="494">
        <f>SUM(ONS!G7:G11)</f>
        <v>-114434.28678330559</v>
      </c>
      <c r="CY65" s="494">
        <f>SUM(ONS!H7:H11)</f>
        <v>-133262.68876163618</v>
      </c>
      <c r="CZ65" s="494">
        <f>SUM(ONS!I7:I11)</f>
        <v>-127501.54351163618</v>
      </c>
      <c r="DA65" s="494">
        <f>SUM(ONS!J7:J11)</f>
        <v>-126428.4236583056</v>
      </c>
      <c r="DB65" s="494">
        <f>SUM(ONS!K7:K11)</f>
        <v>-133741.68088497088</v>
      </c>
      <c r="DC65" s="494">
        <f>SUM(ONS!L7:L11)</f>
        <v>-111211.7473083056</v>
      </c>
      <c r="DD65" s="494">
        <f>SUM(ONS!M7:M11)</f>
        <v>-114842.10995830559</v>
      </c>
      <c r="DE65" s="494">
        <f>SUM(ONS!N7:N11)</f>
        <v>-140977.62053663615</v>
      </c>
      <c r="DF65" s="494">
        <f>SUM(ONS!O7:O11)</f>
        <v>-133585.78165830558</v>
      </c>
      <c r="DG65" s="494">
        <f>SUM(ONS!P7:P11)</f>
        <v>-140341.4433599709</v>
      </c>
      <c r="DH65" s="494">
        <f>SUM(ONS!Q7:Q11)</f>
        <v>-138281.91170997088</v>
      </c>
      <c r="DI65" s="374">
        <f>SUM(CW65:DH65)</f>
        <v>-1542786.4402598687</v>
      </c>
      <c r="DK65" s="494">
        <v>-129632.44999999997</v>
      </c>
      <c r="DL65" s="494">
        <f>CX65</f>
        <v>-114434.28678330559</v>
      </c>
      <c r="DM65" s="494">
        <f t="shared" ref="DL65:DV67" si="101">CY65</f>
        <v>-133262.68876163618</v>
      </c>
      <c r="DN65" s="494">
        <f t="shared" si="101"/>
        <v>-127501.54351163618</v>
      </c>
      <c r="DO65" s="494">
        <f t="shared" si="101"/>
        <v>-126428.4236583056</v>
      </c>
      <c r="DP65" s="494">
        <f t="shared" si="101"/>
        <v>-133741.68088497088</v>
      </c>
      <c r="DQ65" s="494">
        <f t="shared" si="101"/>
        <v>-111211.7473083056</v>
      </c>
      <c r="DR65" s="494">
        <f t="shared" si="101"/>
        <v>-114842.10995830559</v>
      </c>
      <c r="DS65" s="494">
        <f t="shared" si="101"/>
        <v>-140977.62053663615</v>
      </c>
      <c r="DT65" s="494">
        <f t="shared" si="101"/>
        <v>-133585.78165830558</v>
      </c>
      <c r="DU65" s="494">
        <f t="shared" si="101"/>
        <v>-140341.4433599709</v>
      </c>
      <c r="DV65" s="494">
        <f t="shared" si="101"/>
        <v>-138281.91170997088</v>
      </c>
      <c r="DW65" s="496">
        <f>SUM(DK65:DV65)</f>
        <v>-1544241.6881313487</v>
      </c>
    </row>
    <row r="66" spans="1:127" ht="15" x14ac:dyDescent="0.25">
      <c r="BQ66" s="291"/>
      <c r="BR66" s="499" t="s">
        <v>949</v>
      </c>
      <c r="BS66" s="494">
        <f>'[3]Average of FYs'!R$5</f>
        <v>-1188.7230000000002</v>
      </c>
      <c r="BT66" s="494">
        <f>'[3]Average of FYs'!S$5</f>
        <v>-991.06600000000014</v>
      </c>
      <c r="BU66" s="494">
        <f>'[3]Average of FYs'!T$5</f>
        <v>-2214.4794000000006</v>
      </c>
      <c r="BV66" s="494">
        <f>'[3]Average of FYs'!U$5</f>
        <v>-1026.6731000000002</v>
      </c>
      <c r="BW66" s="494">
        <f>'[3]Average of FYs'!V$5</f>
        <v>-1170.5177500000002</v>
      </c>
      <c r="BX66" s="494">
        <f>'[3]Average of FYs'!W$5</f>
        <v>-1170.4971500000001</v>
      </c>
      <c r="BY66" s="494">
        <f>'[3]Average of FYs'!X$5</f>
        <v>-1254.81295</v>
      </c>
      <c r="BZ66" s="494">
        <f>'[3]Average of FYs'!Y$5</f>
        <v>-1170.5126</v>
      </c>
      <c r="CA66" s="494">
        <f>'[3]Average of FYs'!Z$5</f>
        <v>-1104.3402500000002</v>
      </c>
      <c r="CB66" s="494">
        <f>'[3]Average of FYs'!AA$5</f>
        <v>-1104.44325</v>
      </c>
      <c r="CC66" s="494">
        <f>'[3]Average of FYs'!AB$5</f>
        <v>-1070.7725500000001</v>
      </c>
      <c r="CD66" s="494">
        <f>'[3]Average of FYs'!AC$5</f>
        <v>-988.08930000000009</v>
      </c>
      <c r="CE66" s="374">
        <f t="shared" ref="CE66:CE67" si="102">SUM(BS66:CD66)</f>
        <v>-14454.927300000001</v>
      </c>
      <c r="CG66" s="494">
        <v>-1025.7600000000002</v>
      </c>
      <c r="CH66" s="494">
        <v>-830.7800000000002</v>
      </c>
      <c r="CI66" s="494">
        <v>-865.77000000000021</v>
      </c>
      <c r="CJ66" s="494">
        <v>-865.77000000000021</v>
      </c>
      <c r="CK66" s="494">
        <v>-1145.9000000000001</v>
      </c>
      <c r="CL66" s="494">
        <v>-873.77000000000021</v>
      </c>
      <c r="CM66" s="494">
        <f t="shared" ref="CL66:CR67" si="103">BY66</f>
        <v>-1254.81295</v>
      </c>
      <c r="CN66" s="494">
        <v>-873.77000000000021</v>
      </c>
      <c r="CO66" s="494">
        <v>-1126.8800000000001</v>
      </c>
      <c r="CP66" s="494">
        <v>-1126.8800000000001</v>
      </c>
      <c r="CQ66" s="494">
        <f t="shared" si="103"/>
        <v>-1070.7725500000001</v>
      </c>
      <c r="CR66" s="494">
        <f t="shared" si="103"/>
        <v>-988.08930000000009</v>
      </c>
      <c r="CS66" s="496">
        <f t="shared" ref="CS66:CS67" si="104">SUM(CG66:CR66)</f>
        <v>-12048.954800000001</v>
      </c>
      <c r="CU66" s="291"/>
      <c r="CV66" s="499" t="s">
        <v>949</v>
      </c>
      <c r="CW66" s="494">
        <f>'[2]Average of FYs'!R$5</f>
        <v>-1188.7230000000002</v>
      </c>
      <c r="CX66" s="494">
        <f>'[2]Average of FYs'!S$5</f>
        <v>-991.06600000000014</v>
      </c>
      <c r="CY66" s="494">
        <f>'[2]Average of FYs'!T$5</f>
        <v>-2214.4794000000006</v>
      </c>
      <c r="CZ66" s="494">
        <f>'[2]Average of FYs'!U$5</f>
        <v>-1026.6731000000002</v>
      </c>
      <c r="DA66" s="494">
        <f>'[2]Average of FYs'!V$5</f>
        <v>-1170.5177500000002</v>
      </c>
      <c r="DB66" s="494">
        <f>'[2]Average of FYs'!W$5</f>
        <v>-1170.4971500000001</v>
      </c>
      <c r="DC66" s="494">
        <f>'[2]Average of FYs'!X$5</f>
        <v>-1254.81295</v>
      </c>
      <c r="DD66" s="494">
        <f>'[2]Average of FYs'!Y$5</f>
        <v>-1170.5126</v>
      </c>
      <c r="DE66" s="494">
        <f>'[2]Average of FYs'!Z$5</f>
        <v>-1104.3402500000002</v>
      </c>
      <c r="DF66" s="494">
        <f>'[2]Average of FYs'!AA$5</f>
        <v>-1104.44325</v>
      </c>
      <c r="DG66" s="494">
        <f>'[2]Average of FYs'!AB$5</f>
        <v>-1070.7725500000001</v>
      </c>
      <c r="DH66" s="494">
        <f>'[2]Average of FYs'!AC$5</f>
        <v>-988.08930000000009</v>
      </c>
      <c r="DI66" s="374">
        <f t="shared" ref="DI66:DI67" si="105">SUM(CW66:DH66)</f>
        <v>-14454.927300000001</v>
      </c>
      <c r="DK66" s="494">
        <v>-658.01</v>
      </c>
      <c r="DL66" s="494">
        <f t="shared" si="101"/>
        <v>-991.06600000000014</v>
      </c>
      <c r="DM66" s="494">
        <f t="shared" si="101"/>
        <v>-2214.4794000000006</v>
      </c>
      <c r="DN66" s="494">
        <f t="shared" si="101"/>
        <v>-1026.6731000000002</v>
      </c>
      <c r="DO66" s="494">
        <f t="shared" si="101"/>
        <v>-1170.5177500000002</v>
      </c>
      <c r="DP66" s="494">
        <f t="shared" si="101"/>
        <v>-1170.4971500000001</v>
      </c>
      <c r="DQ66" s="494">
        <f t="shared" si="101"/>
        <v>-1254.81295</v>
      </c>
      <c r="DR66" s="494">
        <f t="shared" si="101"/>
        <v>-1170.5126</v>
      </c>
      <c r="DS66" s="494">
        <f t="shared" si="101"/>
        <v>-1104.3402500000002</v>
      </c>
      <c r="DT66" s="494">
        <f t="shared" si="101"/>
        <v>-1104.44325</v>
      </c>
      <c r="DU66" s="494">
        <f t="shared" si="101"/>
        <v>-1070.7725500000001</v>
      </c>
      <c r="DV66" s="494">
        <f t="shared" si="101"/>
        <v>-988.08930000000009</v>
      </c>
      <c r="DW66" s="496">
        <f t="shared" ref="DW66:DW67" si="106">SUM(DK66:DV66)</f>
        <v>-13924.214300000001</v>
      </c>
    </row>
    <row r="67" spans="1:127" ht="15" x14ac:dyDescent="0.25">
      <c r="BQ67" s="291"/>
      <c r="BR67" s="499" t="s">
        <v>950</v>
      </c>
      <c r="BS67" s="494">
        <f>'[3]Average of FYs'!R$6</f>
        <v>-25.75</v>
      </c>
      <c r="BT67" s="494">
        <f>'[3]Average of FYs'!S$6</f>
        <v>-253.21520000000001</v>
      </c>
      <c r="BU67" s="494">
        <f>'[3]Average of FYs'!T$6</f>
        <v>-64.683999999999997</v>
      </c>
      <c r="BV67" s="494">
        <f>'[3]Average of FYs'!U$6</f>
        <v>-1630.46425</v>
      </c>
      <c r="BW67" s="494">
        <f>'[3]Average of FYs'!V$6</f>
        <v>0</v>
      </c>
      <c r="BX67" s="494">
        <f>'[3]Average of FYs'!W$6</f>
        <v>0</v>
      </c>
      <c r="BY67" s="494">
        <f>'[3]Average of FYs'!X$6</f>
        <v>0</v>
      </c>
      <c r="BZ67" s="494">
        <f>'[3]Average of FYs'!Y$6</f>
        <v>0</v>
      </c>
      <c r="CA67" s="494">
        <f>'[3]Average of FYs'!Z$6</f>
        <v>-124.81025</v>
      </c>
      <c r="CB67" s="494">
        <f>'[3]Average of FYs'!AA$6</f>
        <v>-113.88195</v>
      </c>
      <c r="CC67" s="494">
        <f>'[3]Average of FYs'!AB$6</f>
        <v>-67.887299999999996</v>
      </c>
      <c r="CD67" s="494">
        <f>'[3]Average of FYs'!AC$6</f>
        <v>0</v>
      </c>
      <c r="CE67" s="374">
        <f t="shared" si="102"/>
        <v>-2280.6929499999997</v>
      </c>
      <c r="CG67" s="494">
        <v>0</v>
      </c>
      <c r="CH67" s="494">
        <v>0</v>
      </c>
      <c r="CI67" s="494">
        <v>0</v>
      </c>
      <c r="CJ67" s="494">
        <v>0</v>
      </c>
      <c r="CK67" s="494">
        <v>0</v>
      </c>
      <c r="CL67" s="494">
        <f t="shared" si="103"/>
        <v>0</v>
      </c>
      <c r="CM67" s="494">
        <f t="shared" si="103"/>
        <v>0</v>
      </c>
      <c r="CN67" s="494">
        <v>0</v>
      </c>
      <c r="CO67" s="494">
        <v>0</v>
      </c>
      <c r="CP67" s="494">
        <v>-94.99</v>
      </c>
      <c r="CQ67" s="494">
        <f t="shared" si="103"/>
        <v>-67.887299999999996</v>
      </c>
      <c r="CR67" s="494">
        <f t="shared" si="103"/>
        <v>0</v>
      </c>
      <c r="CS67" s="496">
        <f t="shared" si="104"/>
        <v>-162.87729999999999</v>
      </c>
      <c r="CU67" s="291"/>
      <c r="CV67" s="499" t="s">
        <v>950</v>
      </c>
      <c r="CW67" s="494">
        <f>'[2]Average of FYs'!R$6</f>
        <v>-25.75</v>
      </c>
      <c r="CX67" s="494">
        <f>'[2]Average of FYs'!S$6</f>
        <v>-253.21520000000001</v>
      </c>
      <c r="CY67" s="494">
        <f>'[2]Average of FYs'!T$6</f>
        <v>-64.683999999999997</v>
      </c>
      <c r="CZ67" s="494">
        <f>'[2]Average of FYs'!U$6</f>
        <v>-1630.46425</v>
      </c>
      <c r="DA67" s="494">
        <f>'[2]Average of FYs'!V$6</f>
        <v>0</v>
      </c>
      <c r="DB67" s="494">
        <f>'[2]Average of FYs'!W$6</f>
        <v>0</v>
      </c>
      <c r="DC67" s="494">
        <f>'[2]Average of FYs'!X$6</f>
        <v>0</v>
      </c>
      <c r="DD67" s="494">
        <f>'[2]Average of FYs'!Y$6</f>
        <v>0</v>
      </c>
      <c r="DE67" s="494">
        <f>'[2]Average of FYs'!Z$6</f>
        <v>-124.81025</v>
      </c>
      <c r="DF67" s="494">
        <f>'[2]Average of FYs'!AA$6</f>
        <v>-113.88195</v>
      </c>
      <c r="DG67" s="494">
        <f>'[2]Average of FYs'!AB$6</f>
        <v>-67.887299999999996</v>
      </c>
      <c r="DH67" s="494">
        <f>'[2]Average of FYs'!AC$6</f>
        <v>0</v>
      </c>
      <c r="DI67" s="374">
        <f t="shared" si="105"/>
        <v>-2280.6929499999997</v>
      </c>
      <c r="DK67" s="494">
        <v>-1121.2300000000002</v>
      </c>
      <c r="DL67" s="494">
        <f t="shared" si="101"/>
        <v>-253.21520000000001</v>
      </c>
      <c r="DM67" s="494">
        <f t="shared" si="101"/>
        <v>-64.683999999999997</v>
      </c>
      <c r="DN67" s="494">
        <f t="shared" si="101"/>
        <v>-1630.46425</v>
      </c>
      <c r="DO67" s="494">
        <f t="shared" si="101"/>
        <v>0</v>
      </c>
      <c r="DP67" s="494">
        <f t="shared" si="101"/>
        <v>0</v>
      </c>
      <c r="DQ67" s="494">
        <f t="shared" si="101"/>
        <v>0</v>
      </c>
      <c r="DR67" s="494">
        <f t="shared" si="101"/>
        <v>0</v>
      </c>
      <c r="DS67" s="494">
        <f t="shared" si="101"/>
        <v>-124.81025</v>
      </c>
      <c r="DT67" s="494">
        <f t="shared" si="101"/>
        <v>-113.88195</v>
      </c>
      <c r="DU67" s="494">
        <f t="shared" si="101"/>
        <v>-67.887299999999996</v>
      </c>
      <c r="DV67" s="494">
        <f t="shared" si="101"/>
        <v>0</v>
      </c>
      <c r="DW67" s="496">
        <f t="shared" si="106"/>
        <v>-3376.1729500000001</v>
      </c>
    </row>
    <row r="68" spans="1:127" ht="15" x14ac:dyDescent="0.25">
      <c r="BQ68" s="292"/>
      <c r="BR68" s="498"/>
      <c r="BS68" s="473"/>
      <c r="BT68" s="288"/>
      <c r="BU68" s="288"/>
      <c r="BV68" s="288"/>
      <c r="BW68" s="288"/>
      <c r="BX68" s="288"/>
      <c r="BY68" s="288"/>
      <c r="BZ68" s="288"/>
      <c r="CA68" s="288"/>
      <c r="CB68" s="288"/>
      <c r="CC68" s="288"/>
      <c r="CD68" s="288"/>
      <c r="CE68" s="374"/>
      <c r="CG68" s="494"/>
      <c r="CH68" s="494"/>
      <c r="CI68" s="494"/>
      <c r="CJ68" s="494"/>
      <c r="CK68" s="494"/>
      <c r="CL68" s="494"/>
      <c r="CM68" s="494"/>
      <c r="CN68" s="494"/>
      <c r="CO68" s="494"/>
      <c r="CP68" s="494"/>
      <c r="CQ68" s="494"/>
      <c r="CR68" s="494"/>
      <c r="CS68" s="496"/>
      <c r="CU68" s="292"/>
      <c r="CV68" s="498"/>
      <c r="CW68" s="473"/>
      <c r="CX68" s="288"/>
      <c r="CY68" s="288"/>
      <c r="CZ68" s="288"/>
      <c r="DA68" s="288"/>
      <c r="DB68" s="288"/>
      <c r="DC68" s="288"/>
      <c r="DD68" s="288"/>
      <c r="DE68" s="288"/>
      <c r="DF68" s="288"/>
      <c r="DG68" s="288"/>
      <c r="DH68" s="288"/>
      <c r="DI68" s="374"/>
      <c r="DK68" s="494"/>
      <c r="DL68" s="494"/>
      <c r="DM68" s="494"/>
      <c r="DN68" s="494"/>
      <c r="DO68" s="494"/>
      <c r="DP68" s="494"/>
      <c r="DQ68" s="494"/>
      <c r="DR68" s="494"/>
      <c r="DS68" s="494"/>
      <c r="DT68" s="494"/>
      <c r="DU68" s="494"/>
      <c r="DV68" s="494"/>
      <c r="DW68" s="496"/>
    </row>
    <row r="69" spans="1:127" x14ac:dyDescent="0.2">
      <c r="A69" s="155" t="s">
        <v>524</v>
      </c>
      <c r="B69" s="115">
        <f t="shared" ref="B69:AD69" si="107">SUM(B12:B68)</f>
        <v>437713.65333333338</v>
      </c>
      <c r="C69" s="116">
        <f t="shared" si="107"/>
        <v>455176.91</v>
      </c>
      <c r="D69" s="117">
        <f t="shared" si="107"/>
        <v>17463.256666666661</v>
      </c>
      <c r="E69" s="115">
        <f t="shared" si="107"/>
        <v>447576.33333333337</v>
      </c>
      <c r="F69" s="116">
        <f t="shared" si="107"/>
        <v>442594.21</v>
      </c>
      <c r="G69" s="117">
        <f t="shared" si="107"/>
        <v>-4982.1233333333366</v>
      </c>
      <c r="H69" s="115">
        <f t="shared" si="107"/>
        <v>440626.33333333337</v>
      </c>
      <c r="I69" s="116">
        <f t="shared" si="107"/>
        <v>408098.11939393939</v>
      </c>
      <c r="J69" s="117">
        <f t="shared" si="107"/>
        <v>-32528.213939393936</v>
      </c>
      <c r="K69" s="115">
        <f t="shared" si="107"/>
        <v>457986.33333333337</v>
      </c>
      <c r="L69" s="116">
        <f t="shared" si="107"/>
        <v>430047.49</v>
      </c>
      <c r="M69" s="117">
        <f t="shared" si="107"/>
        <v>-27938.843333333334</v>
      </c>
      <c r="N69" s="115">
        <f t="shared" si="107"/>
        <v>484592.00000000012</v>
      </c>
      <c r="O69" s="116">
        <f t="shared" si="107"/>
        <v>438843.40999999992</v>
      </c>
      <c r="P69" s="117">
        <f t="shared" si="107"/>
        <v>-27748.590000000007</v>
      </c>
      <c r="Q69" s="115">
        <f t="shared" si="107"/>
        <v>415955.33333333337</v>
      </c>
      <c r="R69" s="116">
        <f t="shared" si="107"/>
        <v>415387.35</v>
      </c>
      <c r="S69" s="117">
        <f t="shared" si="107"/>
        <v>8432.0166666666628</v>
      </c>
      <c r="T69" s="115">
        <f t="shared" si="107"/>
        <v>396225.33333333337</v>
      </c>
      <c r="U69" s="116">
        <f t="shared" si="107"/>
        <v>387519.8327272727</v>
      </c>
      <c r="V69" s="117">
        <f t="shared" si="107"/>
        <v>-8705.5006060606102</v>
      </c>
      <c r="W69" s="115">
        <f t="shared" si="107"/>
        <v>421200.33333333337</v>
      </c>
      <c r="X69" s="116">
        <f t="shared" si="107"/>
        <v>430113.93272727274</v>
      </c>
      <c r="Y69" s="117">
        <f t="shared" si="107"/>
        <v>8913.599393939392</v>
      </c>
      <c r="Z69" s="115">
        <f t="shared" si="107"/>
        <v>399525.33333333337</v>
      </c>
      <c r="AA69" s="116">
        <f t="shared" si="107"/>
        <v>462407.06999999995</v>
      </c>
      <c r="AB69" s="117">
        <f t="shared" si="107"/>
        <v>62881.736666666664</v>
      </c>
      <c r="AC69" s="115">
        <f t="shared" si="107"/>
        <v>479200.33333333337</v>
      </c>
      <c r="AD69" s="116">
        <f t="shared" si="107"/>
        <v>472143.93</v>
      </c>
      <c r="AE69" s="117">
        <f>+AD69-AC69</f>
        <v>-7056.4033333333791</v>
      </c>
      <c r="AF69" s="115">
        <f>SUM(AF12:AF68)</f>
        <v>468625.33333333337</v>
      </c>
      <c r="AG69" s="116">
        <f>SUM(AG12:AG68)</f>
        <v>571412.76</v>
      </c>
      <c r="AH69" s="117">
        <f t="shared" ref="AH69" si="108">+AG69-AF69</f>
        <v>102787.42666666664</v>
      </c>
      <c r="AI69" s="115">
        <f>SUM(AI12:AI68)</f>
        <v>482780.33333333337</v>
      </c>
      <c r="AJ69" s="116">
        <f>SUM(AJ12:AJ68)</f>
        <v>0</v>
      </c>
      <c r="AK69" s="117">
        <f t="shared" ref="AK69" si="109">+AJ69-AI69</f>
        <v>-482780.33333333337</v>
      </c>
      <c r="AL69" s="118">
        <f>SUM(AL12:AL68)</f>
        <v>4913745.0148484856</v>
      </c>
      <c r="AM69" s="155" t="s">
        <v>524</v>
      </c>
      <c r="AN69" s="86">
        <f t="shared" ref="AN69:AY69" si="110">SUM(AN20:AN68)</f>
        <v>414540.29000000004</v>
      </c>
      <c r="AO69" s="86">
        <f t="shared" si="110"/>
        <v>414615.29000000004</v>
      </c>
      <c r="AP69" s="86">
        <f t="shared" si="110"/>
        <v>414540.29000000004</v>
      </c>
      <c r="AQ69" s="86">
        <f t="shared" si="110"/>
        <v>415615.29000000004</v>
      </c>
      <c r="AR69" s="86">
        <f t="shared" si="110"/>
        <v>416540.29000000004</v>
      </c>
      <c r="AS69" s="86">
        <f t="shared" si="110"/>
        <v>379626.95</v>
      </c>
      <c r="AT69" s="86">
        <f t="shared" si="110"/>
        <v>379626.95</v>
      </c>
      <c r="AU69" s="86">
        <f t="shared" si="110"/>
        <v>405101.95</v>
      </c>
      <c r="AV69" s="86">
        <f t="shared" si="110"/>
        <v>405026.95</v>
      </c>
      <c r="AW69" s="86">
        <f t="shared" si="110"/>
        <v>405626.95</v>
      </c>
      <c r="AX69" s="86">
        <f t="shared" si="110"/>
        <v>405026.95</v>
      </c>
      <c r="AY69" s="86">
        <f t="shared" si="110"/>
        <v>405026.95</v>
      </c>
      <c r="AZ69" s="86">
        <f>SUM(AN69:AY69)</f>
        <v>4860915.1000000015</v>
      </c>
      <c r="BA69" s="133"/>
      <c r="BB69" s="156" t="s">
        <v>524</v>
      </c>
      <c r="BC69" s="157">
        <f t="shared" ref="BC69:BO69" si="111">SUM(BC12:BC68)</f>
        <v>440721.60666666663</v>
      </c>
      <c r="BD69" s="157">
        <f t="shared" si="111"/>
        <v>455434.93666666665</v>
      </c>
      <c r="BE69" s="157">
        <f t="shared" si="111"/>
        <v>443056.81666666665</v>
      </c>
      <c r="BF69" s="157">
        <f t="shared" si="111"/>
        <v>417496.92333333334</v>
      </c>
      <c r="BG69" s="157">
        <f t="shared" si="111"/>
        <v>420056.92333333334</v>
      </c>
      <c r="BH69" s="157">
        <f t="shared" si="111"/>
        <v>406595.98333333334</v>
      </c>
      <c r="BI69" s="157">
        <f t="shared" si="111"/>
        <v>411112.48333333334</v>
      </c>
      <c r="BJ69" s="157">
        <f t="shared" si="111"/>
        <v>409332.48333333334</v>
      </c>
      <c r="BK69" s="157">
        <f t="shared" si="111"/>
        <v>438452.48333333334</v>
      </c>
      <c r="BL69" s="157">
        <f t="shared" si="111"/>
        <v>432132.48333333334</v>
      </c>
      <c r="BM69" s="157">
        <f t="shared" si="111"/>
        <v>434692.48333333334</v>
      </c>
      <c r="BN69" s="157">
        <f t="shared" si="111"/>
        <v>435892.48333333334</v>
      </c>
      <c r="BO69" s="158">
        <f t="shared" si="111"/>
        <v>5144978.09</v>
      </c>
      <c r="BQ69" s="286"/>
      <c r="BR69" s="286" t="s">
        <v>891</v>
      </c>
      <c r="BS69" s="495">
        <f>SUM(BS64:BS68)</f>
        <v>-129391.67512851999</v>
      </c>
      <c r="BT69" s="157">
        <f t="shared" ref="BT69:CD69" si="112">SUM(BT64:BT68)</f>
        <v>-115678.56798330561</v>
      </c>
      <c r="BU69" s="157">
        <f t="shared" si="112"/>
        <v>-135541.8521616362</v>
      </c>
      <c r="BV69" s="157">
        <f t="shared" si="112"/>
        <v>-130158.68086163618</v>
      </c>
      <c r="BW69" s="157">
        <f t="shared" si="112"/>
        <v>-127598.9414083056</v>
      </c>
      <c r="BX69" s="157">
        <f t="shared" si="112"/>
        <v>-134912.17803497089</v>
      </c>
      <c r="BY69" s="157">
        <f t="shared" si="112"/>
        <v>-112466.5602583056</v>
      </c>
      <c r="BZ69" s="157">
        <f t="shared" si="112"/>
        <v>-116012.62255830559</v>
      </c>
      <c r="CA69" s="157">
        <f t="shared" si="112"/>
        <v>-142206.77103663617</v>
      </c>
      <c r="CB69" s="157">
        <f t="shared" si="112"/>
        <v>-134804.1068583056</v>
      </c>
      <c r="CC69" s="157">
        <f t="shared" si="112"/>
        <v>-141480.1032099709</v>
      </c>
      <c r="CD69" s="157">
        <f t="shared" si="112"/>
        <v>-139270.00100997087</v>
      </c>
      <c r="CE69" s="351">
        <f>SUM(CE64:CE68)</f>
        <v>-1559522.0605098689</v>
      </c>
      <c r="CG69" s="495">
        <f>SUM(CG64:CG68)</f>
        <v>-127398.25000000003</v>
      </c>
      <c r="CH69" s="495">
        <f t="shared" ref="CH69:CR69" si="113">SUM(CH64:CH68)</f>
        <v>-129546.04</v>
      </c>
      <c r="CI69" s="495">
        <f>SUM(CI64:CI68)</f>
        <v>-136513.06999999998</v>
      </c>
      <c r="CJ69" s="495">
        <f t="shared" si="113"/>
        <v>-154456.87000000002</v>
      </c>
      <c r="CK69" s="495">
        <f t="shared" si="113"/>
        <v>-126436.69000000002</v>
      </c>
      <c r="CL69" s="495">
        <f t="shared" si="113"/>
        <v>-143753.32</v>
      </c>
      <c r="CM69" s="495">
        <f t="shared" si="113"/>
        <v>-120170.30614748159</v>
      </c>
      <c r="CN69" s="495">
        <f>SUM(CN64:CN68)</f>
        <v>-116915.37000000001</v>
      </c>
      <c r="CO69" s="495">
        <f t="shared" si="113"/>
        <v>-133538.03</v>
      </c>
      <c r="CP69" s="495">
        <f t="shared" si="113"/>
        <v>-139277.78</v>
      </c>
      <c r="CQ69" s="495" t="e">
        <f t="shared" si="113"/>
        <v>#REF!</v>
      </c>
      <c r="CR69" s="495" t="e">
        <f t="shared" si="113"/>
        <v>#REF!</v>
      </c>
      <c r="CS69" s="497" t="e">
        <f>SUM(CS64:CS68)</f>
        <v>#REF!</v>
      </c>
      <c r="CU69" s="286"/>
      <c r="CV69" s="286" t="s">
        <v>891</v>
      </c>
      <c r="CW69" s="495">
        <f>SUM(CW64:CW68)</f>
        <v>-129391.67512851999</v>
      </c>
      <c r="CX69" s="157">
        <f>SUM(CX64:CX68)</f>
        <v>-115678.56798330561</v>
      </c>
      <c r="CY69" s="157">
        <f t="shared" ref="CY69:DH69" si="114">SUM(CY64:CY68)</f>
        <v>-135541.8521616362</v>
      </c>
      <c r="CZ69" s="157">
        <f t="shared" si="114"/>
        <v>-130158.68086163618</v>
      </c>
      <c r="DA69" s="157">
        <f t="shared" si="114"/>
        <v>-127598.9414083056</v>
      </c>
      <c r="DB69" s="157">
        <f t="shared" si="114"/>
        <v>-134912.17803497089</v>
      </c>
      <c r="DC69" s="157">
        <f t="shared" si="114"/>
        <v>-112466.5602583056</v>
      </c>
      <c r="DD69" s="157">
        <f t="shared" si="114"/>
        <v>-116012.62255830559</v>
      </c>
      <c r="DE69" s="157">
        <f t="shared" si="114"/>
        <v>-142206.77103663617</v>
      </c>
      <c r="DF69" s="157">
        <f t="shared" si="114"/>
        <v>-134804.1068583056</v>
      </c>
      <c r="DG69" s="157">
        <f t="shared" si="114"/>
        <v>-141480.1032099709</v>
      </c>
      <c r="DH69" s="157">
        <f t="shared" si="114"/>
        <v>-139270.00100997087</v>
      </c>
      <c r="DI69" s="351">
        <f>SUM(DI64:DI68)</f>
        <v>-1559522.0605098689</v>
      </c>
      <c r="DK69" s="495">
        <f>SUM(DK64:DK68)</f>
        <v>-131411.68999999997</v>
      </c>
      <c r="DL69" s="495">
        <f t="shared" ref="DL69" si="115">SUM(DL64:DL68)</f>
        <v>-115678.56798330561</v>
      </c>
      <c r="DM69" s="495">
        <f>SUM(DM64:DM68)</f>
        <v>-135541.8521616362</v>
      </c>
      <c r="DN69" s="495">
        <f t="shared" ref="DN69:DQ69" si="116">SUM(DN64:DN68)</f>
        <v>-130158.68086163618</v>
      </c>
      <c r="DO69" s="495">
        <f t="shared" si="116"/>
        <v>-127598.9414083056</v>
      </c>
      <c r="DP69" s="495">
        <f t="shared" si="116"/>
        <v>-134912.17803497089</v>
      </c>
      <c r="DQ69" s="495">
        <f t="shared" si="116"/>
        <v>-112466.5602583056</v>
      </c>
      <c r="DR69" s="495">
        <f>SUM(DR64:DR68)</f>
        <v>-116012.62255830559</v>
      </c>
      <c r="DS69" s="495">
        <f t="shared" ref="DS69:DV69" si="117">SUM(DS64:DS68)</f>
        <v>-142206.77103663617</v>
      </c>
      <c r="DT69" s="495">
        <f t="shared" si="117"/>
        <v>-134804.1068583056</v>
      </c>
      <c r="DU69" s="495">
        <f t="shared" si="117"/>
        <v>-141480.1032099709</v>
      </c>
      <c r="DV69" s="495">
        <f t="shared" si="117"/>
        <v>-139270.00100997087</v>
      </c>
      <c r="DW69" s="497">
        <f>SUM(DW64:DW68)</f>
        <v>-1561542.0753813488</v>
      </c>
    </row>
    <row r="70" spans="1:127" x14ac:dyDescent="0.2">
      <c r="CG70" s="84"/>
      <c r="CH70" s="84"/>
      <c r="CI70" s="84"/>
      <c r="CJ70" s="84"/>
      <c r="CK70" s="84"/>
      <c r="CL70" s="84"/>
      <c r="CM70" s="84"/>
      <c r="CN70" s="84"/>
      <c r="CO70" s="84"/>
      <c r="CP70" s="84"/>
      <c r="CQ70" s="84"/>
      <c r="CR70" s="84"/>
      <c r="CS70" s="84"/>
      <c r="DK70" s="84"/>
      <c r="DL70" s="84"/>
      <c r="DM70" s="84"/>
      <c r="DN70" s="84"/>
      <c r="DO70" s="84"/>
      <c r="DP70" s="84"/>
      <c r="DQ70" s="84"/>
      <c r="DR70" s="84"/>
      <c r="DS70" s="84"/>
      <c r="DT70" s="84"/>
      <c r="DU70" s="84"/>
      <c r="DV70" s="84"/>
      <c r="DW70" s="84"/>
    </row>
    <row r="71" spans="1:127" x14ac:dyDescent="0.2">
      <c r="BR71" s="286" t="s">
        <v>524</v>
      </c>
      <c r="BS71" s="470">
        <f>BS61+BS69</f>
        <v>120972.78487148001</v>
      </c>
      <c r="BT71" s="157">
        <f t="shared" ref="BT71:CD71" si="118">BT61+BT69</f>
        <v>133665.89201669439</v>
      </c>
      <c r="BU71" s="157">
        <f t="shared" si="118"/>
        <v>105822.60783836379</v>
      </c>
      <c r="BV71" s="157">
        <f t="shared" si="118"/>
        <v>112685.77913836381</v>
      </c>
      <c r="BW71" s="157">
        <f t="shared" si="118"/>
        <v>116265.51859169439</v>
      </c>
      <c r="BX71" s="157">
        <f t="shared" si="118"/>
        <v>108612.28196502911</v>
      </c>
      <c r="BY71" s="157">
        <f t="shared" si="118"/>
        <v>136397.89974169439</v>
      </c>
      <c r="BZ71" s="157">
        <f t="shared" si="118"/>
        <v>132511.8374416944</v>
      </c>
      <c r="CA71" s="157">
        <f t="shared" si="118"/>
        <v>107337.68896336382</v>
      </c>
      <c r="CB71" s="157">
        <f t="shared" si="118"/>
        <v>114400.35314169439</v>
      </c>
      <c r="CC71" s="157">
        <f t="shared" si="118"/>
        <v>108064.35679002909</v>
      </c>
      <c r="CD71" s="157">
        <f t="shared" si="118"/>
        <v>98454.458990029118</v>
      </c>
      <c r="CE71" s="351">
        <f>ROUND(CE61+CE69,2)</f>
        <v>1395191.46</v>
      </c>
      <c r="CG71" s="495">
        <f>CG61+CG69</f>
        <v>102755.73999999993</v>
      </c>
      <c r="CH71" s="495">
        <f t="shared" ref="CH71:CR71" si="119">CH61+CH69</f>
        <v>93148.909999999989</v>
      </c>
      <c r="CI71" s="495">
        <f t="shared" si="119"/>
        <v>94701.66</v>
      </c>
      <c r="CJ71" s="495">
        <f t="shared" si="119"/>
        <v>67491.219999999972</v>
      </c>
      <c r="CK71" s="495">
        <f t="shared" si="119"/>
        <v>102598.45299999994</v>
      </c>
      <c r="CL71" s="495">
        <f t="shared" si="119"/>
        <v>90100.389999999985</v>
      </c>
      <c r="CM71" s="495">
        <f t="shared" si="119"/>
        <v>75290.713852518398</v>
      </c>
      <c r="CN71" s="495">
        <f t="shared" si="119"/>
        <v>98891.019999999975</v>
      </c>
      <c r="CO71" s="495">
        <f t="shared" si="119"/>
        <v>109795.91999999998</v>
      </c>
      <c r="CP71" s="495">
        <f t="shared" si="119"/>
        <v>112042.01000000001</v>
      </c>
      <c r="CQ71" s="495" t="e">
        <f t="shared" si="119"/>
        <v>#REF!</v>
      </c>
      <c r="CR71" s="495" t="e">
        <f t="shared" si="119"/>
        <v>#REF!</v>
      </c>
      <c r="CS71" s="497" t="e">
        <f>CS61+CS69</f>
        <v>#REF!</v>
      </c>
      <c r="CV71" s="286" t="s">
        <v>524</v>
      </c>
      <c r="CW71" s="470">
        <f>CW61+CW69</f>
        <v>109468.99487148</v>
      </c>
      <c r="CX71" s="157">
        <f t="shared" ref="CX71:DH71" si="120">CX61+CX69</f>
        <v>140628.76201669438</v>
      </c>
      <c r="CY71" s="157">
        <f t="shared" si="120"/>
        <v>112474.91783836379</v>
      </c>
      <c r="CZ71" s="157">
        <f t="shared" si="120"/>
        <v>132888.08913836384</v>
      </c>
      <c r="DA71" s="157">
        <f t="shared" si="120"/>
        <v>134767.82859169442</v>
      </c>
      <c r="DB71" s="157">
        <f t="shared" si="120"/>
        <v>116404.5919650291</v>
      </c>
      <c r="DC71" s="157">
        <f t="shared" si="120"/>
        <v>149900.20974169442</v>
      </c>
      <c r="DD71" s="157">
        <f t="shared" si="120"/>
        <v>146354.14744169443</v>
      </c>
      <c r="DE71" s="157">
        <f t="shared" si="120"/>
        <v>110809.99896336382</v>
      </c>
      <c r="DF71" s="157">
        <f t="shared" si="120"/>
        <v>126462.66314169439</v>
      </c>
      <c r="DG71" s="157">
        <f t="shared" si="120"/>
        <v>117470.00679002912</v>
      </c>
      <c r="DH71" s="157">
        <f t="shared" si="120"/>
        <v>103173.10899002914</v>
      </c>
      <c r="DI71" s="351">
        <f>ROUND(DI61+DI69,2)</f>
        <v>1500803.32</v>
      </c>
      <c r="DK71" s="495">
        <f>DK61+DK69</f>
        <v>104251.25</v>
      </c>
      <c r="DL71" s="495">
        <f t="shared" ref="DL71:DV71" si="121">DL61+DL69</f>
        <v>132128.76201669438</v>
      </c>
      <c r="DM71" s="495">
        <f t="shared" si="121"/>
        <v>103974.91783836379</v>
      </c>
      <c r="DN71" s="495">
        <f t="shared" si="121"/>
        <v>124388.08913836381</v>
      </c>
      <c r="DO71" s="495">
        <f t="shared" si="121"/>
        <v>126267.82859169439</v>
      </c>
      <c r="DP71" s="495">
        <f t="shared" si="121"/>
        <v>116404.5919650291</v>
      </c>
      <c r="DQ71" s="495">
        <f t="shared" si="121"/>
        <v>141400.20974169439</v>
      </c>
      <c r="DR71" s="495">
        <f t="shared" si="121"/>
        <v>137854.1474416944</v>
      </c>
      <c r="DS71" s="495">
        <f t="shared" si="121"/>
        <v>102309.99896336382</v>
      </c>
      <c r="DT71" s="495">
        <f t="shared" si="121"/>
        <v>117962.66314169439</v>
      </c>
      <c r="DU71" s="495">
        <f t="shared" si="121"/>
        <v>108970.00679002912</v>
      </c>
      <c r="DV71" s="495">
        <f t="shared" si="121"/>
        <v>94673.108990029141</v>
      </c>
      <c r="DW71" s="497">
        <f>DW61+DW69</f>
        <v>1410585.5746186515</v>
      </c>
    </row>
    <row r="72" spans="1:127" x14ac:dyDescent="0.2">
      <c r="BR72" s="286" t="s">
        <v>984</v>
      </c>
      <c r="BS72" s="492">
        <f>BS71/BS61</f>
        <v>0.4831867305426657</v>
      </c>
      <c r="BT72" s="492">
        <f t="shared" ref="BT72:CD72" si="122">BT71/BT61</f>
        <v>0.53606922735197082</v>
      </c>
      <c r="BU72" s="492">
        <f t="shared" si="122"/>
        <v>0.43843492052791783</v>
      </c>
      <c r="BV72" s="492">
        <f t="shared" si="122"/>
        <v>0.46402450003744705</v>
      </c>
      <c r="BW72" s="492">
        <f t="shared" si="122"/>
        <v>0.47676286487868874</v>
      </c>
      <c r="BX72" s="492">
        <f t="shared" si="122"/>
        <v>0.44600153087303473</v>
      </c>
      <c r="BY72" s="492">
        <f t="shared" si="122"/>
        <v>0.54808107088370273</v>
      </c>
      <c r="BZ72" s="492">
        <f t="shared" si="122"/>
        <v>0.53319434812048039</v>
      </c>
      <c r="CA72" s="492">
        <f t="shared" si="122"/>
        <v>0.43013452978825428</v>
      </c>
      <c r="CB72" s="492">
        <f t="shared" si="122"/>
        <v>0.45906222200715985</v>
      </c>
      <c r="CC72" s="492">
        <f t="shared" si="122"/>
        <v>0.43304650718364612</v>
      </c>
      <c r="CD72" s="492">
        <f t="shared" si="122"/>
        <v>0.41415367602487824</v>
      </c>
      <c r="CE72" s="493">
        <f>CE71/CE61</f>
        <v>0.4721917879876219</v>
      </c>
      <c r="CG72" s="583">
        <f>CG71/CG61</f>
        <v>0.44646516882023185</v>
      </c>
      <c r="CH72" s="583">
        <f t="shared" ref="CH72:CQ72" si="123">CH71/CH61</f>
        <v>0.41828029777954101</v>
      </c>
      <c r="CI72" s="583">
        <f t="shared" si="123"/>
        <v>0.40958316107282616</v>
      </c>
      <c r="CJ72" s="583">
        <f t="shared" si="123"/>
        <v>0.30408560848620042</v>
      </c>
      <c r="CK72" s="583">
        <f t="shared" si="123"/>
        <v>0.44795943389351373</v>
      </c>
      <c r="CL72" s="583">
        <f t="shared" si="123"/>
        <v>0.38528527086442199</v>
      </c>
      <c r="CM72" s="583">
        <f t="shared" si="123"/>
        <v>0.38519554360515668</v>
      </c>
      <c r="CN72" s="583">
        <f t="shared" si="123"/>
        <v>0.45823953590994215</v>
      </c>
      <c r="CO72" s="583">
        <f t="shared" si="123"/>
        <v>0.45121496609905848</v>
      </c>
      <c r="CP72" s="583">
        <f t="shared" si="123"/>
        <v>0.44581451385105808</v>
      </c>
      <c r="CQ72" s="583" t="e">
        <f t="shared" si="123"/>
        <v>#REF!</v>
      </c>
      <c r="CR72" s="583" t="e">
        <f t="shared" ref="CR72" si="124">CR71/CR61</f>
        <v>#REF!</v>
      </c>
      <c r="CS72" s="583" t="e">
        <f t="shared" ref="CS72" si="125">CS71/CS61</f>
        <v>#REF!</v>
      </c>
      <c r="CV72" s="286" t="s">
        <v>984</v>
      </c>
      <c r="CW72" s="492">
        <f>CW71/CW61</f>
        <v>0.45829644064667491</v>
      </c>
      <c r="CX72" s="492">
        <f t="shared" ref="CX72:DH72" si="126">CX71/CX61</f>
        <v>0.5486724161056743</v>
      </c>
      <c r="CY72" s="492">
        <f t="shared" si="126"/>
        <v>0.45349722858806601</v>
      </c>
      <c r="CZ72" s="492">
        <f t="shared" si="126"/>
        <v>0.5051880665113806</v>
      </c>
      <c r="DA72" s="492">
        <f t="shared" si="126"/>
        <v>0.5136619572352642</v>
      </c>
      <c r="DB72" s="492">
        <f t="shared" si="126"/>
        <v>0.46317876823352899</v>
      </c>
      <c r="DC72" s="492">
        <f t="shared" si="126"/>
        <v>0.57133839678589782</v>
      </c>
      <c r="DD72" s="492">
        <f t="shared" si="126"/>
        <v>0.55782272824296464</v>
      </c>
      <c r="DE72" s="492">
        <f t="shared" si="126"/>
        <v>0.43795515595019185</v>
      </c>
      <c r="DF72" s="492">
        <f t="shared" si="126"/>
        <v>0.48403653913467215</v>
      </c>
      <c r="DG72" s="492">
        <f t="shared" si="126"/>
        <v>0.45363953230229992</v>
      </c>
      <c r="DH72" s="492">
        <f t="shared" si="126"/>
        <v>0.42555595409590785</v>
      </c>
      <c r="DI72" s="493">
        <f>DI71/DI61</f>
        <v>0.49040645475416733</v>
      </c>
      <c r="DK72" s="583">
        <f>DK71/DK61</f>
        <v>0.44237439285107794</v>
      </c>
      <c r="DL72" s="583">
        <f t="shared" ref="DL72:DW72" si="127">DL71/DL61</f>
        <v>0.53319150009281158</v>
      </c>
      <c r="DM72" s="583">
        <f t="shared" si="127"/>
        <v>0.43410287237241801</v>
      </c>
      <c r="DN72" s="583">
        <f t="shared" si="127"/>
        <v>0.48866496769282836</v>
      </c>
      <c r="DO72" s="583">
        <f t="shared" si="127"/>
        <v>0.49737832403860649</v>
      </c>
      <c r="DP72" s="583">
        <f t="shared" si="127"/>
        <v>0.46317876823352899</v>
      </c>
      <c r="DQ72" s="583">
        <f t="shared" si="127"/>
        <v>0.5569858935917229</v>
      </c>
      <c r="DR72" s="583">
        <f t="shared" si="127"/>
        <v>0.54301769168802361</v>
      </c>
      <c r="DS72" s="583">
        <f t="shared" si="127"/>
        <v>0.41841710473831234</v>
      </c>
      <c r="DT72" s="583">
        <f t="shared" si="127"/>
        <v>0.4666858034451854</v>
      </c>
      <c r="DU72" s="583">
        <f t="shared" si="127"/>
        <v>0.43509666172647765</v>
      </c>
      <c r="DV72" s="583">
        <f t="shared" si="127"/>
        <v>0.40468432256897474</v>
      </c>
      <c r="DW72" s="583">
        <f t="shared" si="127"/>
        <v>0.47460464042271244</v>
      </c>
    </row>
    <row r="73" spans="1:127" x14ac:dyDescent="0.2">
      <c r="A73" s="160" t="s">
        <v>28</v>
      </c>
      <c r="D73" s="46">
        <f>+D61</f>
        <v>8491.7633333333306</v>
      </c>
      <c r="F73" s="46"/>
      <c r="G73" s="46">
        <f>+D61+G61</f>
        <v>6513.8366666666625</v>
      </c>
      <c r="I73" s="46"/>
      <c r="J73" s="46">
        <f>+G73+J61</f>
        <v>-9576.8839393939415</v>
      </c>
      <c r="L73" s="46"/>
      <c r="M73" s="46">
        <f>+J73+M61</f>
        <v>-24069.170606060608</v>
      </c>
      <c r="O73" s="46"/>
      <c r="P73" s="46">
        <f>+P61+M73</f>
        <v>-36627.330606060612</v>
      </c>
      <c r="R73" s="46"/>
      <c r="S73" s="46">
        <f>+P73+S61</f>
        <v>-32879.187272727286</v>
      </c>
      <c r="U73" s="46"/>
      <c r="V73" s="46">
        <f>+S73+V61</f>
        <v>-38191.801212121223</v>
      </c>
      <c r="X73" s="46">
        <f>228736-X61</f>
        <v>0.39727272727759555</v>
      </c>
      <c r="Y73" s="46">
        <f>+V73+Y61</f>
        <v>-29492.365151515165</v>
      </c>
      <c r="AB73" s="46">
        <f>+Y73+AB61</f>
        <v>5993.3081818181672</v>
      </c>
      <c r="AE73" s="46">
        <f>+AB73+AE61</f>
        <v>3884.241515151487</v>
      </c>
      <c r="AH73" s="46">
        <f>+AE73+AH61</f>
        <v>59850.004848484794</v>
      </c>
      <c r="AK73" s="46">
        <f>+AH73+AK61</f>
        <v>-191176.16181818189</v>
      </c>
      <c r="AL73" s="84">
        <f>SUMIFS($B73:$AK73,$B$3:$AK$3,"Variance")</f>
        <v>-277279.74606060633</v>
      </c>
      <c r="BC73" s="161" t="s">
        <v>525</v>
      </c>
      <c r="BD73" s="65" t="s">
        <v>526</v>
      </c>
      <c r="BE73" s="65" t="s">
        <v>2</v>
      </c>
      <c r="BF73" s="65" t="s">
        <v>3</v>
      </c>
      <c r="BG73" s="150"/>
      <c r="BO73" s="150">
        <f>BO61-BO60</f>
        <v>2693122.36</v>
      </c>
      <c r="BR73" s="349"/>
      <c r="BS73" s="474"/>
      <c r="BT73" s="474"/>
      <c r="BU73" s="474"/>
      <c r="BV73" s="474"/>
      <c r="BW73" s="474"/>
      <c r="BX73" s="474"/>
      <c r="BY73" s="474"/>
      <c r="BZ73" s="474"/>
      <c r="CA73" s="474"/>
      <c r="CB73" s="474"/>
      <c r="CC73" s="474"/>
      <c r="CD73" s="474"/>
      <c r="CE73" s="350"/>
      <c r="CV73" s="349"/>
      <c r="CW73" s="474"/>
      <c r="CX73" s="474"/>
      <c r="CY73" s="474"/>
      <c r="CZ73" s="474"/>
      <c r="DA73" s="474"/>
      <c r="DB73" s="474"/>
      <c r="DC73" s="474"/>
      <c r="DD73" s="474"/>
      <c r="DE73" s="474"/>
      <c r="DF73" s="474"/>
      <c r="DG73" s="474"/>
      <c r="DH73" s="474"/>
      <c r="DI73" s="350"/>
    </row>
    <row r="74" spans="1:127" ht="11.45" customHeight="1" thickBot="1" x14ac:dyDescent="0.25">
      <c r="O74" s="46"/>
      <c r="R74" s="46"/>
      <c r="U74" s="46"/>
      <c r="X74" s="46"/>
      <c r="BC74" s="161" t="s">
        <v>527</v>
      </c>
      <c r="BD74" s="46">
        <f>AL61</f>
        <v>2597534.331515152</v>
      </c>
      <c r="BE74" s="150">
        <f>AZ61</f>
        <v>2779672.0700000003</v>
      </c>
      <c r="BF74" s="150">
        <f>BO61</f>
        <v>2795122.36</v>
      </c>
      <c r="BR74" s="349"/>
      <c r="BS74" s="474"/>
      <c r="BT74" s="474"/>
      <c r="BU74" s="474"/>
      <c r="BV74" s="474"/>
      <c r="BW74" s="474"/>
      <c r="BX74" s="474"/>
      <c r="BY74" s="474"/>
      <c r="BZ74" s="474"/>
      <c r="CA74" s="474"/>
      <c r="CB74" s="474"/>
      <c r="CC74" s="474"/>
      <c r="CD74" s="474"/>
      <c r="CE74" s="531">
        <f>CE61/2795000</f>
        <v>1.0571425831842576</v>
      </c>
      <c r="CV74" s="349"/>
      <c r="CW74" s="474"/>
      <c r="CX74" s="474"/>
      <c r="CY74" s="474"/>
      <c r="CZ74" s="474"/>
      <c r="DA74" s="474"/>
      <c r="DB74" s="474"/>
      <c r="DC74" s="474"/>
      <c r="DD74" s="474"/>
      <c r="DE74" s="474"/>
      <c r="DF74" s="474"/>
      <c r="DG74" s="474"/>
      <c r="DH74" s="474"/>
      <c r="DI74" s="531">
        <f>DI61/2795000</f>
        <v>1.0949285796064403</v>
      </c>
    </row>
    <row r="75" spans="1:127" x14ac:dyDescent="0.2">
      <c r="L75" s="46"/>
      <c r="O75" s="46"/>
      <c r="R75" s="46"/>
      <c r="U75" s="46"/>
      <c r="X75" s="46"/>
      <c r="BF75" s="162">
        <f>BF74-BE74</f>
        <v>15450.289999999572</v>
      </c>
      <c r="BR75" s="349"/>
      <c r="BS75" s="474" t="s">
        <v>1110</v>
      </c>
      <c r="BT75" s="474">
        <v>180000</v>
      </c>
      <c r="BU75" s="562">
        <f>BT75/$CE$61</f>
        <v>6.0919611590635699E-2</v>
      </c>
      <c r="BV75" s="474"/>
      <c r="BW75" s="474"/>
      <c r="BX75" s="474"/>
      <c r="BY75" s="474"/>
      <c r="BZ75" s="474"/>
      <c r="CA75" s="474"/>
      <c r="CB75" s="474"/>
      <c r="CC75" s="474"/>
      <c r="CD75" s="474"/>
      <c r="CE75" s="350"/>
      <c r="CV75" s="349"/>
      <c r="CW75" s="647" t="s">
        <v>1110</v>
      </c>
      <c r="CX75" s="648">
        <f>SUM(CW38:DH38)</f>
        <v>45000</v>
      </c>
      <c r="CY75" s="649">
        <f>CX75/$DI$61</f>
        <v>1.4704318793709443E-2</v>
      </c>
      <c r="CZ75" s="474"/>
      <c r="DA75" s="474"/>
      <c r="DB75" s="474"/>
      <c r="DC75" s="474"/>
      <c r="DD75" s="474"/>
      <c r="DE75" s="474"/>
      <c r="DF75" s="474"/>
      <c r="DG75" s="474"/>
      <c r="DH75" s="474"/>
      <c r="DI75" s="350"/>
    </row>
    <row r="76" spans="1:127" x14ac:dyDescent="0.2">
      <c r="C76" s="46"/>
      <c r="D76" s="46"/>
      <c r="F76" s="46"/>
      <c r="G76" s="46"/>
      <c r="I76" s="46"/>
      <c r="J76" s="46"/>
      <c r="L76" s="46"/>
      <c r="M76" s="46"/>
      <c r="O76" s="46"/>
      <c r="P76" s="46"/>
      <c r="R76" s="46"/>
      <c r="S76" s="46"/>
      <c r="U76" s="46"/>
      <c r="V76" s="46"/>
      <c r="X76" s="46"/>
      <c r="Y76" s="46"/>
      <c r="AB76" s="46"/>
      <c r="AE76" s="46"/>
      <c r="AH76" s="46"/>
      <c r="AK76" s="46"/>
      <c r="BR76" s="349"/>
      <c r="BS76" s="474" t="s">
        <v>1111</v>
      </c>
      <c r="BT76" s="350">
        <f>CE61-BT75</f>
        <v>2774713.52</v>
      </c>
      <c r="BU76" s="562">
        <f>BT76/$CE$61</f>
        <v>0.93908038840936425</v>
      </c>
      <c r="BV76" s="350"/>
      <c r="BW76" s="350"/>
      <c r="BX76" s="350"/>
      <c r="BY76" s="350"/>
      <c r="BZ76" s="350"/>
      <c r="CA76" s="350"/>
      <c r="CB76" s="350"/>
      <c r="CC76" s="350"/>
      <c r="CD76" s="350"/>
      <c r="CE76" s="350"/>
      <c r="CV76" s="349"/>
      <c r="CW76" s="650" t="s">
        <v>1111</v>
      </c>
      <c r="CX76" s="350">
        <f>DI61-CX75-CX77</f>
        <v>2606375.4400000004</v>
      </c>
      <c r="CY76" s="651">
        <f t="shared" ref="CY76:CY77" si="128">CX76/$DI$61</f>
        <v>0.85166611924121616</v>
      </c>
      <c r="CZ76" s="350"/>
      <c r="DA76" s="350"/>
      <c r="DB76" s="350"/>
      <c r="DC76" s="350"/>
      <c r="DD76" s="350"/>
      <c r="DE76" s="350"/>
      <c r="DF76" s="350"/>
      <c r="DG76" s="350"/>
      <c r="DH76" s="350"/>
      <c r="DI76" s="350"/>
    </row>
    <row r="77" spans="1:127" x14ac:dyDescent="0.2">
      <c r="CS77" s="204"/>
      <c r="CW77" s="650" t="s">
        <v>1109</v>
      </c>
      <c r="CX77" s="350">
        <f>SUM(CW4:DH4,CW8:DH8,CW37:DH37)</f>
        <v>408949.94</v>
      </c>
      <c r="CY77" s="651">
        <f t="shared" si="128"/>
        <v>0.13362956196507444</v>
      </c>
      <c r="DW77" s="204"/>
    </row>
    <row r="78" spans="1:127" x14ac:dyDescent="0.2"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CW78" s="652"/>
      <c r="CX78" s="150">
        <f>SUM(CX75:CX77)</f>
        <v>3060325.3800000004</v>
      </c>
      <c r="CY78" s="653"/>
    </row>
    <row r="79" spans="1:127" x14ac:dyDescent="0.2">
      <c r="CW79" s="650" t="s">
        <v>916</v>
      </c>
      <c r="CX79" s="350">
        <f>SUMIF(CU4:CU40,"Finance",DI4:DI40)</f>
        <v>1147695.26</v>
      </c>
      <c r="CY79" s="651">
        <f>CX79/$CX$82</f>
        <v>0.37502393291264996</v>
      </c>
    </row>
    <row r="80" spans="1:127" x14ac:dyDescent="0.2">
      <c r="CW80" s="650" t="s">
        <v>917</v>
      </c>
      <c r="CX80" s="350">
        <f>SUMIF(CU5:CU41,"Business Services",DI5:DI41)</f>
        <v>1743442.36</v>
      </c>
      <c r="CY80" s="651">
        <f t="shared" ref="CY80:CY81" si="129">CX80/$CX$82</f>
        <v>0.56969182799771445</v>
      </c>
    </row>
    <row r="81" spans="101:103" x14ac:dyDescent="0.2">
      <c r="CW81" s="650" t="s">
        <v>918</v>
      </c>
      <c r="CX81" s="350">
        <f>SUMIF(CU6:CU42,"IT &amp; Media",DI6:DI42)</f>
        <v>169187.76</v>
      </c>
      <c r="CY81" s="651">
        <f t="shared" si="129"/>
        <v>5.5284239089635631E-2</v>
      </c>
    </row>
    <row r="82" spans="101:103" ht="13.5" thickBot="1" x14ac:dyDescent="0.25">
      <c r="CW82" s="654"/>
      <c r="CX82" s="655">
        <f>SUM(CX79:CX81)</f>
        <v>3060325.38</v>
      </c>
      <c r="CY82" s="656"/>
    </row>
    <row r="84" spans="101:103" x14ac:dyDescent="0.2">
      <c r="CX84" s="204"/>
    </row>
  </sheetData>
  <autoFilter ref="A3:DW3" xr:uid="{848B83B3-3EA9-48D7-BD45-E8BB508CF85C}">
    <sortState xmlns:xlrd2="http://schemas.microsoft.com/office/spreadsheetml/2017/richdata2" ref="A4:DW50">
      <sortCondition ref="CV3"/>
    </sortState>
  </autoFilter>
  <mergeCells count="14">
    <mergeCell ref="CU2:CV2"/>
    <mergeCell ref="BQ2:BR2"/>
    <mergeCell ref="AI2:AK2"/>
    <mergeCell ref="B2:D2"/>
    <mergeCell ref="E2:G2"/>
    <mergeCell ref="H2:J2"/>
    <mergeCell ref="K2:M2"/>
    <mergeCell ref="N2:P2"/>
    <mergeCell ref="Q2:S2"/>
    <mergeCell ref="T2:V2"/>
    <mergeCell ref="W2:Y2"/>
    <mergeCell ref="Z2:AB2"/>
    <mergeCell ref="AC2:AE2"/>
    <mergeCell ref="AF2:AH2"/>
  </mergeCells>
  <phoneticPr fontId="19" type="noConversion"/>
  <conditionalFormatting sqref="A4:A60">
    <cfRule type="duplicateValues" dxfId="94" priority="49"/>
  </conditionalFormatting>
  <conditionalFormatting sqref="D4:D61 G4:G61 J4:J61 M4:M61 P4:P61 S4:S61 V4:V61 Y4:Y61 AB4:AB61 AE4:AE61 AH4:AH61 AK4:AK61">
    <cfRule type="cellIs" dxfId="93" priority="64" operator="lessThan">
      <formula>0</formula>
    </cfRule>
    <cfRule type="cellIs" dxfId="92" priority="65" operator="greaterThan">
      <formula>0</formula>
    </cfRule>
  </conditionalFormatting>
  <conditionalFormatting sqref="D69">
    <cfRule type="cellIs" dxfId="91" priority="37" operator="lessThan">
      <formula>0</formula>
    </cfRule>
    <cfRule type="cellIs" dxfId="90" priority="38" operator="greaterThan">
      <formula>0</formula>
    </cfRule>
  </conditionalFormatting>
  <conditionalFormatting sqref="G69">
    <cfRule type="cellIs" dxfId="89" priority="35" operator="lessThan">
      <formula>0</formula>
    </cfRule>
    <cfRule type="cellIs" dxfId="88" priority="36" operator="greaterThan">
      <formula>0</formula>
    </cfRule>
  </conditionalFormatting>
  <conditionalFormatting sqref="J69">
    <cfRule type="cellIs" dxfId="87" priority="33" operator="lessThan">
      <formula>0</formula>
    </cfRule>
    <cfRule type="cellIs" dxfId="86" priority="34" operator="greaterThan">
      <formula>0</formula>
    </cfRule>
  </conditionalFormatting>
  <conditionalFormatting sqref="M69">
    <cfRule type="cellIs" dxfId="85" priority="32" operator="greaterThan">
      <formula>0</formula>
    </cfRule>
    <cfRule type="cellIs" dxfId="84" priority="31" operator="lessThan">
      <formula>0</formula>
    </cfRule>
  </conditionalFormatting>
  <conditionalFormatting sqref="P69">
    <cfRule type="cellIs" dxfId="83" priority="30" operator="greaterThan">
      <formula>0</formula>
    </cfRule>
    <cfRule type="cellIs" dxfId="82" priority="29" operator="lessThan">
      <formula>0</formula>
    </cfRule>
  </conditionalFormatting>
  <conditionalFormatting sqref="S69">
    <cfRule type="cellIs" dxfId="81" priority="27" operator="lessThan">
      <formula>0</formula>
    </cfRule>
    <cfRule type="cellIs" dxfId="80" priority="28" operator="greaterThan">
      <formula>0</formula>
    </cfRule>
  </conditionalFormatting>
  <conditionalFormatting sqref="V69">
    <cfRule type="cellIs" dxfId="79" priority="25" operator="lessThan">
      <formula>0</formula>
    </cfRule>
    <cfRule type="cellIs" dxfId="78" priority="26" operator="greaterThan">
      <formula>0</formula>
    </cfRule>
  </conditionalFormatting>
  <conditionalFormatting sqref="Y69">
    <cfRule type="cellIs" dxfId="77" priority="23" operator="lessThan">
      <formula>0</formula>
    </cfRule>
    <cfRule type="cellIs" dxfId="76" priority="24" operator="greaterThan">
      <formula>0</formula>
    </cfRule>
  </conditionalFormatting>
  <conditionalFormatting sqref="AB69">
    <cfRule type="cellIs" dxfId="75" priority="21" operator="lessThan">
      <formula>0</formula>
    </cfRule>
    <cfRule type="cellIs" dxfId="74" priority="22" operator="greaterThan">
      <formula>0</formula>
    </cfRule>
  </conditionalFormatting>
  <conditionalFormatting sqref="AE69">
    <cfRule type="cellIs" dxfId="73" priority="19" operator="lessThan">
      <formula>0</formula>
    </cfRule>
    <cfRule type="cellIs" dxfId="72" priority="20" operator="greaterThan">
      <formula>0</formula>
    </cfRule>
  </conditionalFormatting>
  <conditionalFormatting sqref="AH69">
    <cfRule type="cellIs" dxfId="71" priority="17" operator="lessThan">
      <formula>0</formula>
    </cfRule>
    <cfRule type="cellIs" dxfId="70" priority="18" operator="greaterThan">
      <formula>0</formula>
    </cfRule>
  </conditionalFormatting>
  <conditionalFormatting sqref="AK69">
    <cfRule type="cellIs" dxfId="69" priority="15" operator="lessThan">
      <formula>0</formula>
    </cfRule>
    <cfRule type="cellIs" dxfId="68" priority="16" operator="greaterThan">
      <formula>0</formula>
    </cfRule>
  </conditionalFormatting>
  <conditionalFormatting sqref="AM4:AM60">
    <cfRule type="duplicateValues" dxfId="67" priority="66"/>
  </conditionalFormatting>
  <conditionalFormatting sqref="BB4:BB60">
    <cfRule type="duplicateValues" dxfId="66" priority="40"/>
  </conditionalFormatting>
  <conditionalFormatting sqref="BR4:BR60">
    <cfRule type="duplicateValues" dxfId="65" priority="39"/>
  </conditionalFormatting>
  <conditionalFormatting sqref="CG2:CR71 CG72:CS72">
    <cfRule type="expression" dxfId="64" priority="12">
      <formula>$BQ$1=CG$2</formula>
    </cfRule>
  </conditionalFormatting>
  <conditionalFormatting sqref="CV37:CV60 CV4:CV35">
    <cfRule type="duplicateValues" dxfId="63" priority="170"/>
  </conditionalFormatting>
  <conditionalFormatting sqref="CW76:CX77">
    <cfRule type="expression" dxfId="62" priority="3">
      <formula>$CU$1=CW$2</formula>
    </cfRule>
  </conditionalFormatting>
  <conditionalFormatting sqref="CW79:CX81">
    <cfRule type="expression" dxfId="61" priority="1">
      <formula>$CU$1=CW$2</formula>
    </cfRule>
  </conditionalFormatting>
  <conditionalFormatting sqref="CW2:DW75 CZ76:DW76 CY76:CY81">
    <cfRule type="expression" dxfId="60" priority="4">
      <formula>$CU$1=CW$2</formula>
    </cfRule>
  </conditionalFormatting>
  <conditionalFormatting sqref="DI3 DW3">
    <cfRule type="expression" dxfId="59" priority="7">
      <formula>$BQ$1=DI$2</formula>
    </cfRule>
  </conditionalFormatting>
  <conditionalFormatting sqref="DK2:DV71 BS2:CD72 CW2:DH72 CE3 CS3">
    <cfRule type="expression" dxfId="58" priority="14">
      <formula>$BQ$1=BS$2</formula>
    </cfRule>
  </conditionalFormatting>
  <conditionalFormatting sqref="DK72:DW72">
    <cfRule type="expression" dxfId="57" priority="6">
      <formula>$BQ$1=DK$2</formula>
    </cfRule>
  </conditionalFormatting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errorStyle="warning" allowBlank="1" showInputMessage="1" showErrorMessage="1" errorTitle="Mandatory" error="Please select from the drop down list" xr:uid="{68751ED7-2C01-4A5D-8C82-8D78C1AD8886}">
          <x14:formula1>
            <xm:f>'Data Validation'!$A$2:$A$7</xm:f>
          </x14:formula1>
          <xm:sqref>BQ69 CU69 CU56:CU61 BQ4:BQ61</xm:sqref>
        </x14:dataValidation>
        <x14:dataValidation type="list" errorStyle="warning" allowBlank="1" showInputMessage="1" showErrorMessage="1" errorTitle="Mandatory" error="Please select from the drop down list" xr:uid="{4614E48F-5A4C-45C2-9FE1-C0930613DE73}">
          <x14:formula1>
            <xm:f>'Data Validation'!$C$2:$C$3</xm:f>
          </x14:formula1>
          <xm:sqref>CG62 BS62 DK62 CW62</xm:sqref>
        </x14:dataValidation>
        <x14:dataValidation type="list" errorStyle="warning" allowBlank="1" showInputMessage="1" showErrorMessage="1" errorTitle="Mandatory" error="Please select from the drop down list" xr:uid="{76C3881B-3E00-48B3-AAE1-49F47212713B}">
          <x14:formula1>
            <xm:f>'Data Validation'!$C$2:$C$4</xm:f>
          </x14:formula1>
          <xm:sqref>BS3:CS3 CW3:DW3</xm:sqref>
        </x14:dataValidation>
        <x14:dataValidation type="list" errorStyle="warning" allowBlank="1" showInputMessage="1" showErrorMessage="1" errorTitle="Mandatory" error="Please select from the drop down list" xr:uid="{CF7391CA-9925-4362-A17B-E7F8CBC81079}">
          <x14:formula1>
            <xm:f>'Data Validation'!$A$2:$A$9</xm:f>
          </x14:formula1>
          <xm:sqref>CU4:CU55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5BA3A-BE2F-41D5-9EE8-E7E3C07AFB66}">
  <sheetPr codeName="Sheet14">
    <tabColor theme="5" tint="0.39997558519241921"/>
  </sheetPr>
  <dimension ref="A1:V82"/>
  <sheetViews>
    <sheetView topLeftCell="E1" zoomScaleNormal="100" workbookViewId="0">
      <selection activeCell="I28" sqref="I28"/>
    </sheetView>
  </sheetViews>
  <sheetFormatPr defaultRowHeight="12.75" x14ac:dyDescent="0.2"/>
  <cols>
    <col min="1" max="1" width="31.28515625" style="1" hidden="1" customWidth="1"/>
    <col min="2" max="3" width="15.140625" style="3" hidden="1" customWidth="1"/>
    <col min="4" max="4" width="13.140625" style="3" hidden="1" customWidth="1"/>
    <col min="5" max="5" width="2.7109375" customWidth="1"/>
    <col min="6" max="6" width="8" bestFit="1" customWidth="1"/>
    <col min="7" max="7" width="36.5703125" bestFit="1" customWidth="1"/>
    <col min="8" max="8" width="11.7109375" bestFit="1" customWidth="1"/>
    <col min="9" max="9" width="12.42578125" bestFit="1" customWidth="1"/>
    <col min="10" max="12" width="11.7109375" customWidth="1"/>
    <col min="13" max="13" width="12.42578125" bestFit="1" customWidth="1"/>
    <col min="14" max="14" width="11.5703125" bestFit="1" customWidth="1"/>
    <col min="15" max="15" width="11.85546875" bestFit="1" customWidth="1"/>
    <col min="16" max="16" width="11.5703125" bestFit="1" customWidth="1"/>
    <col min="17" max="17" width="13.28515625" customWidth="1"/>
    <col min="18" max="18" width="11.5703125" bestFit="1" customWidth="1"/>
    <col min="19" max="19" width="11.5703125" customWidth="1"/>
    <col min="20" max="20" width="14.5703125" bestFit="1" customWidth="1"/>
    <col min="22" max="22" width="9.85546875" bestFit="1" customWidth="1"/>
  </cols>
  <sheetData>
    <row r="1" spans="1:22" x14ac:dyDescent="0.2">
      <c r="A1" s="709" t="s">
        <v>176</v>
      </c>
      <c r="B1" s="709"/>
      <c r="C1" s="709"/>
      <c r="D1" s="709"/>
      <c r="F1" s="1"/>
      <c r="G1" s="2" t="s">
        <v>1</v>
      </c>
      <c r="H1" s="2" t="s">
        <v>177</v>
      </c>
      <c r="I1" s="2" t="s">
        <v>178</v>
      </c>
      <c r="J1" s="2" t="s">
        <v>179</v>
      </c>
      <c r="K1" s="2" t="s">
        <v>180</v>
      </c>
      <c r="L1" s="2" t="s">
        <v>181</v>
      </c>
      <c r="M1" s="2" t="s">
        <v>182</v>
      </c>
      <c r="N1" s="2" t="s">
        <v>183</v>
      </c>
      <c r="O1" s="2" t="s">
        <v>184</v>
      </c>
      <c r="P1" s="2" t="s">
        <v>185</v>
      </c>
      <c r="Q1" s="2" t="s">
        <v>186</v>
      </c>
      <c r="R1" s="2" t="s">
        <v>152</v>
      </c>
      <c r="S1" s="2" t="s">
        <v>153</v>
      </c>
      <c r="T1" s="2" t="s">
        <v>27</v>
      </c>
    </row>
    <row r="2" spans="1:22" x14ac:dyDescent="0.2">
      <c r="B2" s="2" t="s">
        <v>6</v>
      </c>
      <c r="C2" s="2" t="s">
        <v>528</v>
      </c>
      <c r="D2" s="2" t="s">
        <v>27</v>
      </c>
      <c r="F2" s="1" t="s">
        <v>188</v>
      </c>
      <c r="G2" s="1"/>
      <c r="H2" s="5">
        <f>'PRD Sales Forecast'!CN64</f>
        <v>73000.02</v>
      </c>
      <c r="I2" s="5">
        <f>'PRD Sales Forecast'!CO64</f>
        <v>251215.02</v>
      </c>
      <c r="J2" s="5">
        <f>'PRD Sales Forecast'!CP64</f>
        <v>83326.02</v>
      </c>
      <c r="K2" s="5">
        <f>'PRD Sales Forecast'!CQ64</f>
        <v>587307.02</v>
      </c>
      <c r="L2" s="5">
        <f>'PRD Sales Forecast'!CR64</f>
        <v>241601.02</v>
      </c>
      <c r="M2" s="5">
        <f>'PRD Sales Forecast'!CS64</f>
        <v>62316.020000000004</v>
      </c>
      <c r="N2" s="5">
        <f>'PRD Sales Forecast'!CT64</f>
        <v>64261.936667000002</v>
      </c>
      <c r="O2" s="5">
        <f>'PRD Sales Forecast'!CU64</f>
        <v>281912.02</v>
      </c>
      <c r="P2" s="5">
        <f>'PRD Sales Forecast'!CV64</f>
        <v>128882.02</v>
      </c>
      <c r="Q2" s="5">
        <f>'PRD Sales Forecast'!CW64</f>
        <v>98752.02</v>
      </c>
      <c r="R2" s="5">
        <f>'PRD Sales Forecast'!CX64</f>
        <v>135511.936667</v>
      </c>
      <c r="S2" s="5">
        <f>'PRD Sales Forecast'!CY64</f>
        <v>82637.02</v>
      </c>
      <c r="T2" s="4">
        <f>SUM(H2:S2)</f>
        <v>2090722.0733340001</v>
      </c>
      <c r="U2" s="543" t="b">
        <f>T2='PRD Sales Forecast'!CZ64</f>
        <v>1</v>
      </c>
    </row>
    <row r="3" spans="1:22" x14ac:dyDescent="0.2">
      <c r="A3" s="28" t="s">
        <v>190</v>
      </c>
      <c r="B3" s="4">
        <v>19800</v>
      </c>
      <c r="C3" s="4">
        <v>0</v>
      </c>
      <c r="D3" s="4">
        <f>B3+C3</f>
        <v>19800</v>
      </c>
      <c r="F3" s="15" t="s">
        <v>1013</v>
      </c>
      <c r="G3" s="23" t="s">
        <v>193</v>
      </c>
      <c r="H3" s="18">
        <f t="shared" ref="H3:M3" si="0">SUM(H2:H2)</f>
        <v>73000.02</v>
      </c>
      <c r="I3" s="18">
        <f t="shared" si="0"/>
        <v>251215.02</v>
      </c>
      <c r="J3" s="18">
        <f t="shared" si="0"/>
        <v>83326.02</v>
      </c>
      <c r="K3" s="18">
        <f t="shared" si="0"/>
        <v>587307.02</v>
      </c>
      <c r="L3" s="18">
        <f t="shared" si="0"/>
        <v>241601.02</v>
      </c>
      <c r="M3" s="18">
        <f t="shared" si="0"/>
        <v>62316.020000000004</v>
      </c>
      <c r="N3" s="18">
        <f t="shared" ref="N3:S3" si="1">SUM(N2:N2)</f>
        <v>64261.936667000002</v>
      </c>
      <c r="O3" s="18">
        <f t="shared" si="1"/>
        <v>281912.02</v>
      </c>
      <c r="P3" s="18">
        <f t="shared" si="1"/>
        <v>128882.02</v>
      </c>
      <c r="Q3" s="18">
        <f t="shared" si="1"/>
        <v>98752.02</v>
      </c>
      <c r="R3" s="18">
        <f t="shared" si="1"/>
        <v>135511.936667</v>
      </c>
      <c r="S3" s="18">
        <f t="shared" si="1"/>
        <v>82637.02</v>
      </c>
      <c r="T3" s="18">
        <f t="shared" ref="T3:T23" si="2">SUM(H3:S3)</f>
        <v>2090722.0733340001</v>
      </c>
    </row>
    <row r="4" spans="1:22" x14ac:dyDescent="0.2">
      <c r="A4" s="28" t="s">
        <v>192</v>
      </c>
      <c r="B4" s="4">
        <v>702</v>
      </c>
      <c r="C4" s="4">
        <v>17400</v>
      </c>
      <c r="D4" s="4">
        <f t="shared" ref="D4:D41" si="3">B4+C4</f>
        <v>18102</v>
      </c>
      <c r="F4" s="1" t="s">
        <v>211</v>
      </c>
      <c r="G4" s="1" t="s">
        <v>1039</v>
      </c>
      <c r="H4" s="4">
        <f>-SUM('PRD Fixed Costs'!B63,'PRD Fixed Costs'!B65,'PRD Fixed Costs'!B66)</f>
        <v>-21183.385847999998</v>
      </c>
      <c r="I4" s="4">
        <f>-SUM('PRD Fixed Costs'!C63,'PRD Fixed Costs'!C65,'PRD Fixed Costs'!C66)</f>
        <v>-18972.945585599999</v>
      </c>
      <c r="J4" s="4">
        <f>-SUM('PRD Fixed Costs'!D63,'PRD Fixed Costs'!D65,'PRD Fixed Costs'!D66)</f>
        <v>-20870.240144159998</v>
      </c>
      <c r="K4" s="4">
        <f>-SUM('PRD Fixed Costs'!E63,'PRD Fixed Costs'!E65,'PRD Fixed Costs'!E66)</f>
        <v>-20870.240144159998</v>
      </c>
      <c r="L4" s="4">
        <f>-SUM('PRD Fixed Costs'!F63,'PRD Fixed Costs'!F65,'PRD Fixed Costs'!F66)</f>
        <v>-18972.945585599999</v>
      </c>
      <c r="M4" s="4">
        <f>-SUM('PRD Fixed Costs'!G63,'PRD Fixed Costs'!G65,'PRD Fixed Costs'!G66)</f>
        <v>-19921.592864879996</v>
      </c>
      <c r="N4" s="4">
        <f>-SUM('PRD Fixed Costs'!H63,'PRD Fixed Costs'!H65,'PRD Fixed Costs'!H66)</f>
        <v>-18972.945585599999</v>
      </c>
      <c r="O4" s="4">
        <f>-SUM('PRD Fixed Costs'!I63,'PRD Fixed Costs'!I65,'PRD Fixed Costs'!I66)</f>
        <v>-18972.945585599999</v>
      </c>
      <c r="P4" s="4">
        <f>-SUM('PRD Fixed Costs'!J63,'PRD Fixed Costs'!J65,'PRD Fixed Costs'!J66)</f>
        <v>-20870.240144159998</v>
      </c>
      <c r="Q4" s="4">
        <f>-SUM('PRD Fixed Costs'!K63,'PRD Fixed Costs'!K65,'PRD Fixed Costs'!K66)</f>
        <v>-18972.945585599999</v>
      </c>
      <c r="R4" s="4">
        <f>-SUM('PRD Fixed Costs'!L63,'PRD Fixed Costs'!L65,'PRD Fixed Costs'!L66)</f>
        <v>-19921.592864879996</v>
      </c>
      <c r="S4" s="4">
        <f>-SUM('PRD Fixed Costs'!M63,'PRD Fixed Costs'!M65,'PRD Fixed Costs'!M66)</f>
        <v>-19921.592864879996</v>
      </c>
      <c r="T4" s="4">
        <f>SUM(H4:S4)</f>
        <v>-238423.61280311993</v>
      </c>
    </row>
    <row r="5" spans="1:22" x14ac:dyDescent="0.2">
      <c r="A5" s="28"/>
      <c r="B5" s="4"/>
      <c r="C5" s="4"/>
      <c r="D5" s="4"/>
      <c r="F5" s="1"/>
      <c r="G5" s="1" t="s">
        <v>1040</v>
      </c>
      <c r="H5" s="4">
        <f>-'PRD Fixed Costs'!B64</f>
        <v>-5086.5438399999994</v>
      </c>
      <c r="I5" s="4">
        <f>-'PRD Fixed Costs'!C64</f>
        <v>-4555.7740479999993</v>
      </c>
      <c r="J5" s="4">
        <f>-'PRD Fixed Costs'!D64</f>
        <v>-9418.8314527999992</v>
      </c>
      <c r="K5" s="4">
        <f>-'PRD Fixed Costs'!E64</f>
        <v>-9418.8314527999992</v>
      </c>
      <c r="L5" s="4">
        <f>-'PRD Fixed Costs'!F64</f>
        <v>-15240.574048</v>
      </c>
      <c r="M5" s="4">
        <f>-'PRD Fixed Costs'!G64</f>
        <v>-4783.5627503999985</v>
      </c>
      <c r="N5" s="4">
        <f>-'PRD Fixed Costs'!H64</f>
        <v>-4555.7740479999993</v>
      </c>
      <c r="O5" s="4">
        <f>-'PRD Fixed Costs'!I64</f>
        <v>-4555.7740479999993</v>
      </c>
      <c r="P5" s="4">
        <f>-'PRD Fixed Costs'!J64</f>
        <v>-5011.3514527999987</v>
      </c>
      <c r="Q5" s="4">
        <f>-'PRD Fixed Costs'!K64</f>
        <v>-4555.7740479999993</v>
      </c>
      <c r="R5" s="4">
        <f>-'PRD Fixed Costs'!L64</f>
        <v>-4783.5627503999985</v>
      </c>
      <c r="S5" s="4">
        <f>-'PRD Fixed Costs'!M64</f>
        <v>-4783.5627503999985</v>
      </c>
      <c r="T5" s="4">
        <f>SUM(H5:S5)</f>
        <v>-76749.916689599995</v>
      </c>
    </row>
    <row r="6" spans="1:22" x14ac:dyDescent="0.2">
      <c r="A6" s="28" t="s">
        <v>197</v>
      </c>
      <c r="B6" s="4">
        <v>765832.92999999993</v>
      </c>
      <c r="C6" s="4">
        <v>10020</v>
      </c>
      <c r="D6" s="4">
        <f t="shared" si="3"/>
        <v>775852.92999999993</v>
      </c>
      <c r="F6" s="1" t="s">
        <v>211</v>
      </c>
      <c r="G6" s="1" t="s">
        <v>1041</v>
      </c>
      <c r="H6" s="4">
        <f>-'PRD Fixed Costs'!B67</f>
        <v>-2542.0063017599996</v>
      </c>
      <c r="I6" s="4">
        <f>-'PRD Fixed Costs'!C67</f>
        <v>-2276.753470272</v>
      </c>
      <c r="J6" s="4">
        <f>-'PRD Fixed Costs'!D67</f>
        <v>-2504.4288172991996</v>
      </c>
      <c r="K6" s="4">
        <f>-'PRD Fixed Costs'!E67</f>
        <v>-2504.4288172991996</v>
      </c>
      <c r="L6" s="4">
        <f>-'PRD Fixed Costs'!F67</f>
        <v>-2276.753470272</v>
      </c>
      <c r="M6" s="4">
        <f>-'PRD Fixed Costs'!G67</f>
        <v>-2390.5911437855993</v>
      </c>
      <c r="N6" s="4">
        <f>-'PRD Fixed Costs'!H67</f>
        <v>-2276.753470272</v>
      </c>
      <c r="O6" s="4">
        <f>-'PRD Fixed Costs'!I67</f>
        <v>-2276.753470272</v>
      </c>
      <c r="P6" s="4">
        <f>-'PRD Fixed Costs'!J67</f>
        <v>-2504.4288172991996</v>
      </c>
      <c r="Q6" s="4">
        <f>-'PRD Fixed Costs'!K67</f>
        <v>-2276.753470272</v>
      </c>
      <c r="R6" s="4">
        <f>-'PRD Fixed Costs'!L67</f>
        <v>-2390.5911437855993</v>
      </c>
      <c r="S6" s="4">
        <f>-'PRD Fixed Costs'!M67</f>
        <v>-2390.5911437855993</v>
      </c>
      <c r="T6" s="4">
        <f t="shared" si="2"/>
        <v>-28610.833536374397</v>
      </c>
    </row>
    <row r="7" spans="1:22" x14ac:dyDescent="0.2">
      <c r="A7" s="28"/>
      <c r="B7" s="4"/>
      <c r="C7" s="4"/>
      <c r="D7" s="4"/>
      <c r="F7" s="1"/>
      <c r="G7" s="1" t="s">
        <v>1042</v>
      </c>
      <c r="H7" s="4">
        <f>-'PRD Fixed Costs'!B68</f>
        <v>-610.38526079999986</v>
      </c>
      <c r="I7" s="4">
        <f>-'PRD Fixed Costs'!C68</f>
        <v>-546.69288575999985</v>
      </c>
      <c r="J7" s="4">
        <f>-'PRD Fixed Costs'!D68</f>
        <v>-1130.259774336</v>
      </c>
      <c r="K7" s="4">
        <f>-'PRD Fixed Costs'!E68</f>
        <v>-1130.259774336</v>
      </c>
      <c r="L7" s="4">
        <f>-'PRD Fixed Costs'!F68</f>
        <v>-1828.86888576</v>
      </c>
      <c r="M7" s="4">
        <f>-'PRD Fixed Costs'!G68</f>
        <v>-574.02753004799979</v>
      </c>
      <c r="N7" s="4">
        <f>-'PRD Fixed Costs'!H68</f>
        <v>-546.69288575999985</v>
      </c>
      <c r="O7" s="4">
        <f>-'PRD Fixed Costs'!I68</f>
        <v>-546.69288575999985</v>
      </c>
      <c r="P7" s="4">
        <f>-'PRD Fixed Costs'!J68</f>
        <v>-601.36217433599984</v>
      </c>
      <c r="Q7" s="4">
        <f>-'PRD Fixed Costs'!K68</f>
        <v>-546.69288575999985</v>
      </c>
      <c r="R7" s="4">
        <f>-'PRD Fixed Costs'!L68</f>
        <v>-574.02753004799979</v>
      </c>
      <c r="S7" s="4">
        <f>-'PRD Fixed Costs'!M68</f>
        <v>-574.02753004799979</v>
      </c>
      <c r="T7" s="4">
        <f t="shared" si="2"/>
        <v>-9209.990002751998</v>
      </c>
    </row>
    <row r="8" spans="1:22" x14ac:dyDescent="0.2">
      <c r="A8" s="28"/>
      <c r="B8" s="4"/>
      <c r="C8" s="4"/>
      <c r="D8" s="4"/>
      <c r="F8" s="1"/>
      <c r="G8" s="1" t="s">
        <v>1104</v>
      </c>
      <c r="H8" s="4"/>
      <c r="I8" s="4">
        <f>-'PRD Fixed Costs'!C61</f>
        <v>0</v>
      </c>
      <c r="J8" s="4">
        <f>-'PRD Fixed Costs'!D61</f>
        <v>-3326.4</v>
      </c>
      <c r="K8" s="4">
        <f>-'PRD Fixed Costs'!E61</f>
        <v>-3326.4</v>
      </c>
      <c r="L8" s="4">
        <f>-'PRD Fixed Costs'!F61</f>
        <v>-8064.0000000000009</v>
      </c>
      <c r="M8" s="4"/>
      <c r="N8" s="4"/>
      <c r="O8" s="4"/>
      <c r="P8" s="4"/>
      <c r="Q8" s="4"/>
      <c r="R8" s="4"/>
      <c r="S8" s="4"/>
      <c r="T8" s="4">
        <f t="shared" si="2"/>
        <v>-14716.800000000001</v>
      </c>
    </row>
    <row r="9" spans="1:22" x14ac:dyDescent="0.2">
      <c r="A9" s="28" t="s">
        <v>530</v>
      </c>
      <c r="B9" s="4">
        <v>0</v>
      </c>
      <c r="C9" s="4">
        <v>1500</v>
      </c>
      <c r="D9" s="4">
        <f>B9+C9</f>
        <v>1500</v>
      </c>
      <c r="F9" s="1" t="s">
        <v>211</v>
      </c>
      <c r="G9" s="1" t="s">
        <v>1405</v>
      </c>
      <c r="H9" s="4">
        <f>(-GETPIVOTDATA("Total gross plus super",'Casual Pays FY26'!$BC$38,"Paid month","July 2025"))*1.0475-(500)</f>
        <v>-4500.9995749999998</v>
      </c>
      <c r="I9" s="4">
        <f>(-GETPIVOTDATA("Total gross plus super",'Casual Pays FY26'!$BC$38,"Paid month","August 2025"))*1.0475-(500)</f>
        <v>-13680.263025000002</v>
      </c>
      <c r="J9" s="4">
        <f>(-GETPIVOTDATA("Total gross plus super",'Casual Pays FY26'!$BC$38,"Paid month","September 2025"))*1.0475-(500)</f>
        <v>-978.74940000000015</v>
      </c>
      <c r="K9" s="4">
        <f>(-GETPIVOTDATA("Total gross plus super",'Casual Pays FY26'!$BC$38,"Paid month","October 2025"))*1.0475-(500)</f>
        <v>-6531.4107250000006</v>
      </c>
      <c r="L9" s="4">
        <f>(-GETPIVOTDATA("Total gross plus super",'Casual Pays FY26'!$BC$38,"Paid month","November 2025"))*1.0475-(500)</f>
        <v>-4420.7296500000002</v>
      </c>
      <c r="M9" s="4">
        <f>(-GETPIVOTDATA("Total gross plus super",'Casual Pays FY26'!$BC$38,"Paid month","December 2025"))*1.0475-(500)</f>
        <v>-21556.216500000002</v>
      </c>
      <c r="N9" s="4">
        <f>-(500)</f>
        <v>-500</v>
      </c>
      <c r="O9" s="4">
        <f>(-GETPIVOTDATA("Total gross plus super",'Casual Pays FY26'!$BC$38,"Paid month","February 2026"))*1.0475-(500)</f>
        <v>-12506.424050000003</v>
      </c>
      <c r="P9" s="4">
        <f>(-GETPIVOTDATA("Total gross plus super",'Casual Pays FY26'!$BC$38,"Paid month","March 2026"))*1.0475-(500)</f>
        <v>-4362.7295750000012</v>
      </c>
      <c r="Q9" s="4">
        <f>(-GETPIVOTDATA("Total gross plus super",'Casual Pays FY26'!$BC$38,"Paid month","April 2026"))*1.0475-(500)</f>
        <v>-2129.491</v>
      </c>
      <c r="R9" s="4">
        <f>(-GETPIVOTDATA("Total gross plus super",'Casual Pays FY26'!$BC$38,"Paid month","May 2026"))*1.0475-(500)</f>
        <v>-8377.2104749999999</v>
      </c>
      <c r="S9" s="4">
        <f>-GETPIVOTDATA("Total gross plus super",'Casual Pays FY26'!$BC$38,"Paid month","June 2026")*1.0475-(500)</f>
        <v>-19210.916375000001</v>
      </c>
      <c r="T9" s="5">
        <f>SUM(H9:S9)</f>
        <v>-98755.140350000001</v>
      </c>
      <c r="V9" s="1" t="s">
        <v>1032</v>
      </c>
    </row>
    <row r="10" spans="1:22" x14ac:dyDescent="0.2">
      <c r="A10" s="28"/>
      <c r="B10" s="4"/>
      <c r="C10" s="4"/>
      <c r="D10" s="4"/>
      <c r="F10" s="1"/>
      <c r="G10" s="1" t="s">
        <v>1033</v>
      </c>
      <c r="H10" s="4">
        <f>(-GETPIVOTDATA("Total gross plus super",'Casual Pays FY26'!$BC$60,"Paid month","July 2025"))*1.0475</f>
        <v>-1040.3560500000001</v>
      </c>
      <c r="I10" s="4">
        <f>(-GETPIVOTDATA("Total gross plus super",'Casual Pays FY26'!$BC$60,"Paid month","August 2025"))*1.0475</f>
        <v>-3276.8314</v>
      </c>
      <c r="J10" s="4">
        <f>(-GETPIVOTDATA("Total gross plus super",'Casual Pays FY26'!$BC$60,"Paid month","September 2025"))*1.0475</f>
        <v>-1225.1455250000001</v>
      </c>
      <c r="K10" s="4">
        <v>0</v>
      </c>
      <c r="L10" s="4">
        <f>(-GETPIVOTDATA("Total gross plus super",'Casual Pays FY26'!$BC$60,"Paid month","November 2025"))*1.0475</f>
        <v>-497.15397500000006</v>
      </c>
      <c r="M10" s="4">
        <f>(-GETPIVOTDATA("Total gross plus super",'Casual Pays FY26'!$BC$60,"Paid month","November 2025"))*1.0475</f>
        <v>-497.15397500000006</v>
      </c>
      <c r="N10" s="4">
        <f>(-GETPIVOTDATA("Total gross plus super",'Casual Pays FY26'!$BC$60,"Paid month","January 2026"))*1.0475</f>
        <v>-189.38800000000003</v>
      </c>
      <c r="O10" s="4">
        <f>(-GETPIVOTDATA("Total gross plus super",'Casual Pays FY26'!$BC$60,"Paid month","February 2026"))*1.0475</f>
        <v>-4188.1459250000007</v>
      </c>
      <c r="P10" s="4">
        <f>(-GETPIVOTDATA("Total gross plus super",'Casual Pays FY26'!$BC$60,"Paid month","March 2026"))*1.0475</f>
        <v>-2651.0339500000005</v>
      </c>
      <c r="Q10" s="4">
        <v>0</v>
      </c>
      <c r="R10" s="4">
        <f>(-GETPIVOTDATA("Total gross plus super",'Casual Pays FY26'!$BC$60,"Paid month","May 2026"))*1.0475</f>
        <v>-1127.476625</v>
      </c>
      <c r="S10" s="4">
        <f>-GETPIVOTDATA("Total gross plus super",'Casual Pays FY26'!$BC$60,"Paid month","June 2026")*1.0475</f>
        <v>-1874.6688500000002</v>
      </c>
      <c r="T10" s="5">
        <f>SUM(H10:S10)</f>
        <v>-16567.354275000002</v>
      </c>
      <c r="V10" s="1">
        <v>1.0475000000000001</v>
      </c>
    </row>
    <row r="11" spans="1:22" x14ac:dyDescent="0.2">
      <c r="A11" s="28" t="s">
        <v>529</v>
      </c>
      <c r="B11" s="4">
        <v>31846</v>
      </c>
      <c r="C11" s="4">
        <v>375041.86</v>
      </c>
      <c r="D11" s="4">
        <f t="shared" si="3"/>
        <v>406887.86</v>
      </c>
      <c r="F11" s="1"/>
      <c r="G11" s="1" t="s">
        <v>1034</v>
      </c>
      <c r="H11" s="4">
        <f>-9406.35934-1400--1800-'PRD Fixed Costs'!C45</f>
        <v>-15859.632370303032</v>
      </c>
      <c r="I11" s="207">
        <f>-42258.40206-1400-1800-'PRD Fixed Costs'!C45</f>
        <v>-52311.675090303033</v>
      </c>
      <c r="J11" s="4">
        <f>-45171.31716-1400-1800-'PRD Fixed Costs'!C45</f>
        <v>-55224.590190303032</v>
      </c>
      <c r="K11" s="4">
        <f>-212206.35976-1400-1800-'PRD Fixed Costs'!C45</f>
        <v>-222259.63279030303</v>
      </c>
      <c r="L11" s="4">
        <f>-37434.1042666836-1400-1800-'PRD Fixed Costs'!C45</f>
        <v>-47487.377296986633</v>
      </c>
      <c r="M11" s="4">
        <f>-19433.4148-1400-1800-'PRD Fixed Costs'!C45</f>
        <v>-29486.687830303032</v>
      </c>
      <c r="N11" s="4">
        <f>-7260.85138-1400-1800-'PRD Fixed Costs'!C45</f>
        <v>-17314.124410303033</v>
      </c>
      <c r="O11" s="4">
        <f>-48864.45856-1400-1800-'PRD Fixed Costs'!C45</f>
        <v>-58917.731590303032</v>
      </c>
      <c r="P11" s="4">
        <f>-9285.88505461539-1400-1800-'PRD Fixed Costs'!C45</f>
        <v>-19339.158084918421</v>
      </c>
      <c r="Q11" s="4">
        <f>-8312.23324-1400-1800-'PRD Fixed Costs'!C45</f>
        <v>-18365.506270303031</v>
      </c>
      <c r="R11" s="4">
        <f>-11314.8362-1400-1800-'PRD Fixed Costs'!C45</f>
        <v>-21368.109230303031</v>
      </c>
      <c r="S11" s="4">
        <f>-22562.4412-1400-1800-'PRD Fixed Costs'!C45</f>
        <v>-32615.714230303034</v>
      </c>
      <c r="T11" s="4">
        <f>SUM(H11:S11)</f>
        <v>-590549.93938493531</v>
      </c>
    </row>
    <row r="12" spans="1:22" x14ac:dyDescent="0.2">
      <c r="A12" s="28"/>
      <c r="B12" s="4"/>
      <c r="C12" s="4"/>
      <c r="D12" s="4"/>
      <c r="F12" s="1"/>
      <c r="G12" s="1" t="s">
        <v>1035</v>
      </c>
      <c r="H12" s="4">
        <f>-251.603-250-'PRD Fixed Costs'!C46</f>
        <v>-596.60300000000007</v>
      </c>
      <c r="I12" s="207">
        <f>-368.538-250-'PRD Fixed Costs'!C46</f>
        <v>-713.53800000000001</v>
      </c>
      <c r="J12" s="4">
        <f>-331.53-250-'PRD Fixed Costs'!C46</f>
        <v>-676.53</v>
      </c>
      <c r="K12" s="4">
        <f>-913.66584-250-'PRD Fixed Costs'!C46</f>
        <v>-1258.6658400000001</v>
      </c>
      <c r="L12" s="4">
        <f>-1.41004379310345-250-'PRD Fixed Costs'!C46</f>
        <v>-346.41004379310345</v>
      </c>
      <c r="M12" s="4">
        <f>-548.952-250-'PRD Fixed Costs'!C46</f>
        <v>-893.952</v>
      </c>
      <c r="N12" s="4">
        <f>-115.65-250-'PRD Fixed Costs'!C46</f>
        <v>-460.65</v>
      </c>
      <c r="O12" s="4">
        <f>-788.99-250-'PRD Fixed Costs'!C46</f>
        <v>-1133.99</v>
      </c>
      <c r="P12" s="4">
        <f>-101.836645384615-250-'PRD Fixed Costs'!C46</f>
        <v>-446.836645384615</v>
      </c>
      <c r="Q12" s="4">
        <f>-250-'PRD Fixed Costs'!C46</f>
        <v>-345</v>
      </c>
      <c r="R12" s="4">
        <f>-250-'PRD Fixed Costs'!C46</f>
        <v>-345</v>
      </c>
      <c r="S12" s="4">
        <f>-250-'PRD Fixed Costs'!C46</f>
        <v>-345</v>
      </c>
      <c r="T12" s="4">
        <f>SUM(H12:S12)</f>
        <v>-7562.1755291777172</v>
      </c>
    </row>
    <row r="13" spans="1:22" x14ac:dyDescent="0.2">
      <c r="A13" s="28"/>
      <c r="B13" s="4"/>
      <c r="C13" s="4"/>
      <c r="D13" s="4"/>
      <c r="F13" s="1"/>
      <c r="G13" s="1" t="s">
        <v>1036</v>
      </c>
      <c r="H13" s="4">
        <v>-1170.6092999999998</v>
      </c>
      <c r="I13" s="4">
        <v>-3935.3381999999997</v>
      </c>
      <c r="J13" s="4">
        <v>-8019.8524148996576</v>
      </c>
      <c r="K13" s="4">
        <v>-18324.80932</v>
      </c>
      <c r="L13" s="4">
        <v>-4971.2374455730223</v>
      </c>
      <c r="M13" s="4">
        <v>-2944.6751599999998</v>
      </c>
      <c r="N13" s="4">
        <v>-526.84486000000004</v>
      </c>
      <c r="O13" s="4">
        <v>-6582.9624800000001</v>
      </c>
      <c r="P13" s="4">
        <v>-3452.4359248717951</v>
      </c>
      <c r="Q13" s="4">
        <v>-782.63285254635139</v>
      </c>
      <c r="R13" s="4">
        <v>-1663.818</v>
      </c>
      <c r="S13" s="4">
        <v>-3866.4622000000004</v>
      </c>
      <c r="T13" s="4">
        <f>SUM(H13:S13)</f>
        <v>-56241.678157890827</v>
      </c>
    </row>
    <row r="14" spans="1:22" x14ac:dyDescent="0.2">
      <c r="A14" s="28"/>
      <c r="B14" s="4"/>
      <c r="C14" s="4"/>
      <c r="D14" s="4"/>
      <c r="F14" s="1"/>
      <c r="G14" s="1" t="s">
        <v>1037</v>
      </c>
      <c r="H14" s="4">
        <v>-93.141940000000005</v>
      </c>
      <c r="I14" s="4">
        <v>0</v>
      </c>
      <c r="J14" s="4">
        <v>-144.66694198806223</v>
      </c>
      <c r="K14" s="4">
        <v>-59.264200000000002</v>
      </c>
      <c r="L14" s="4">
        <v>-117.80060258620689</v>
      </c>
      <c r="M14" s="4">
        <v>0</v>
      </c>
      <c r="N14" s="4">
        <v>0</v>
      </c>
      <c r="O14" s="4">
        <v>-63.129480000000001</v>
      </c>
      <c r="P14" s="4">
        <v>-73.797681794871806</v>
      </c>
      <c r="Q14" s="4">
        <v>-143.71628498724272</v>
      </c>
      <c r="R14" s="4">
        <v>0</v>
      </c>
      <c r="S14" s="4">
        <v>-47.699199999999998</v>
      </c>
      <c r="T14" s="4">
        <f t="shared" si="2"/>
        <v>-743.21633135638365</v>
      </c>
    </row>
    <row r="15" spans="1:22" x14ac:dyDescent="0.2">
      <c r="A15" s="28" t="s">
        <v>378</v>
      </c>
      <c r="B15" s="4">
        <v>917976.30999999994</v>
      </c>
      <c r="C15" s="4">
        <v>147196.10999999999</v>
      </c>
      <c r="D15" s="4">
        <f t="shared" si="3"/>
        <v>1065172.42</v>
      </c>
      <c r="F15" s="16"/>
      <c r="G15" s="23" t="s">
        <v>200</v>
      </c>
      <c r="H15" s="18">
        <f>SUM(H4:H14)</f>
        <v>-52683.663485863028</v>
      </c>
      <c r="I15" s="18">
        <f t="shared" ref="I15:R15" si="4">SUM(I4:I14)</f>
        <v>-100269.81170493504</v>
      </c>
      <c r="J15" s="18">
        <f t="shared" si="4"/>
        <v>-103519.69466078594</v>
      </c>
      <c r="K15" s="18">
        <f t="shared" si="4"/>
        <v>-285683.94306389819</v>
      </c>
      <c r="L15" s="18">
        <f t="shared" si="4"/>
        <v>-104223.85100357098</v>
      </c>
      <c r="M15" s="18">
        <f t="shared" si="4"/>
        <v>-83048.459754416632</v>
      </c>
      <c r="N15" s="18">
        <f t="shared" si="4"/>
        <v>-45343.173259935029</v>
      </c>
      <c r="O15" s="18">
        <f t="shared" si="4"/>
        <v>-109744.54951493503</v>
      </c>
      <c r="P15" s="18">
        <f t="shared" si="4"/>
        <v>-59313.374450564894</v>
      </c>
      <c r="Q15" s="18">
        <f t="shared" si="4"/>
        <v>-48118.512397468621</v>
      </c>
      <c r="R15" s="18">
        <f t="shared" si="4"/>
        <v>-60551.388619416626</v>
      </c>
      <c r="S15" s="18">
        <f>SUM(S4:S14)</f>
        <v>-85630.235144416627</v>
      </c>
      <c r="T15" s="17">
        <f>SUM(H15:S15)</f>
        <v>-1138130.6570602064</v>
      </c>
      <c r="U15" s="543" t="b">
        <f>T15='PRD Sales Forecast'!AR65</f>
        <v>1</v>
      </c>
      <c r="V15" s="9"/>
    </row>
    <row r="16" spans="1:22" x14ac:dyDescent="0.2">
      <c r="A16" s="28" t="s">
        <v>203</v>
      </c>
      <c r="B16" s="4">
        <v>25540.899999999998</v>
      </c>
      <c r="C16" s="4">
        <v>100</v>
      </c>
      <c r="D16" s="4">
        <f t="shared" si="3"/>
        <v>25640.899999999998</v>
      </c>
      <c r="F16" s="1" t="s">
        <v>206</v>
      </c>
      <c r="G16" s="1" t="s">
        <v>71</v>
      </c>
      <c r="H16" s="4">
        <f>-'PRD Fixed Costs'!B77</f>
        <v>-530</v>
      </c>
      <c r="I16" s="4">
        <f>-'PRD Fixed Costs'!C77</f>
        <v>-530</v>
      </c>
      <c r="J16" s="4">
        <f>-'PRD Fixed Costs'!D77</f>
        <v>-530</v>
      </c>
      <c r="K16" s="4">
        <f>-'PRD Fixed Costs'!E77</f>
        <v>-530</v>
      </c>
      <c r="L16" s="4">
        <f>-'PRD Fixed Costs'!F77</f>
        <v>-530</v>
      </c>
      <c r="M16" s="4">
        <f>-'PRD Fixed Costs'!G77</f>
        <v>-530</v>
      </c>
      <c r="N16" s="4">
        <f>-'PRD Fixed Costs'!H77</f>
        <v>-530</v>
      </c>
      <c r="O16" s="4">
        <f>-'PRD Fixed Costs'!I77</f>
        <v>-530</v>
      </c>
      <c r="P16" s="4">
        <f>-'PRD Fixed Costs'!J77</f>
        <v>-530</v>
      </c>
      <c r="Q16" s="4">
        <f>-'PRD Fixed Costs'!K77</f>
        <v>-530</v>
      </c>
      <c r="R16" s="4">
        <f>-'PRD Fixed Costs'!L77</f>
        <v>-530</v>
      </c>
      <c r="S16" s="4">
        <f>-'PRD Fixed Costs'!M77</f>
        <v>-530</v>
      </c>
      <c r="T16" s="5">
        <f t="shared" si="2"/>
        <v>-6360</v>
      </c>
    </row>
    <row r="17" spans="1:20" x14ac:dyDescent="0.2">
      <c r="A17" s="28" t="s">
        <v>531</v>
      </c>
      <c r="B17" s="4">
        <v>295595.8</v>
      </c>
      <c r="C17" s="4">
        <v>0</v>
      </c>
      <c r="D17" s="4">
        <f t="shared" si="3"/>
        <v>295595.8</v>
      </c>
      <c r="F17" t="s">
        <v>202</v>
      </c>
      <c r="G17" s="1" t="s">
        <v>532</v>
      </c>
      <c r="H17" s="4">
        <f>-'PRD Fixed Costs'!C43-'PRD Fixed Costs'!$C$44</f>
        <v>-3197.6720454545448</v>
      </c>
      <c r="I17" s="698">
        <f>H17</f>
        <v>-3197.6720454545448</v>
      </c>
      <c r="J17" s="4">
        <f t="shared" ref="J17:S17" si="5">I17</f>
        <v>-3197.6720454545448</v>
      </c>
      <c r="K17" s="4">
        <f t="shared" si="5"/>
        <v>-3197.6720454545448</v>
      </c>
      <c r="L17" s="4">
        <f t="shared" si="5"/>
        <v>-3197.6720454545448</v>
      </c>
      <c r="M17" s="4">
        <f t="shared" si="5"/>
        <v>-3197.6720454545448</v>
      </c>
      <c r="N17" s="4">
        <f t="shared" si="5"/>
        <v>-3197.6720454545448</v>
      </c>
      <c r="O17" s="4">
        <f t="shared" si="5"/>
        <v>-3197.6720454545448</v>
      </c>
      <c r="P17" s="4">
        <f t="shared" si="5"/>
        <v>-3197.6720454545448</v>
      </c>
      <c r="Q17" s="4">
        <f t="shared" si="5"/>
        <v>-3197.6720454545448</v>
      </c>
      <c r="R17" s="4">
        <f t="shared" si="5"/>
        <v>-3197.6720454545448</v>
      </c>
      <c r="S17" s="4">
        <f t="shared" si="5"/>
        <v>-3197.6720454545448</v>
      </c>
      <c r="T17" s="5">
        <f t="shared" si="2"/>
        <v>-38372.06454545453</v>
      </c>
    </row>
    <row r="18" spans="1:20" x14ac:dyDescent="0.2">
      <c r="A18" s="28" t="s">
        <v>208</v>
      </c>
      <c r="B18" s="4">
        <v>22.73</v>
      </c>
      <c r="C18" s="4">
        <v>0</v>
      </c>
      <c r="D18" s="4">
        <f t="shared" si="3"/>
        <v>22.73</v>
      </c>
      <c r="F18" s="1" t="s">
        <v>206</v>
      </c>
      <c r="G18" s="1" t="s">
        <v>1094</v>
      </c>
      <c r="H18" s="4">
        <f>-'PRD Fixed Costs'!E16</f>
        <v>-24898.262704712499</v>
      </c>
      <c r="I18" s="4">
        <f>H18</f>
        <v>-24898.262704712499</v>
      </c>
      <c r="J18" s="4">
        <f t="shared" ref="J18:S18" si="6">I18</f>
        <v>-24898.262704712499</v>
      </c>
      <c r="K18" s="4">
        <f t="shared" si="6"/>
        <v>-24898.262704712499</v>
      </c>
      <c r="L18" s="4">
        <f t="shared" si="6"/>
        <v>-24898.262704712499</v>
      </c>
      <c r="M18" s="4">
        <f t="shared" si="6"/>
        <v>-24898.262704712499</v>
      </c>
      <c r="N18" s="4">
        <f t="shared" si="6"/>
        <v>-24898.262704712499</v>
      </c>
      <c r="O18" s="4">
        <f t="shared" si="6"/>
        <v>-24898.262704712499</v>
      </c>
      <c r="P18" s="4">
        <f t="shared" si="6"/>
        <v>-24898.262704712499</v>
      </c>
      <c r="Q18" s="4">
        <f t="shared" si="6"/>
        <v>-24898.262704712499</v>
      </c>
      <c r="R18" s="4">
        <f t="shared" si="6"/>
        <v>-24898.262704712499</v>
      </c>
      <c r="S18" s="4">
        <f t="shared" si="6"/>
        <v>-24898.262704712499</v>
      </c>
      <c r="T18" s="5">
        <f t="shared" si="2"/>
        <v>-298779.15245655004</v>
      </c>
    </row>
    <row r="19" spans="1:20" x14ac:dyDescent="0.2">
      <c r="A19" s="28" t="s">
        <v>210</v>
      </c>
      <c r="B19" s="4">
        <v>77985</v>
      </c>
      <c r="C19" s="4">
        <v>3450</v>
      </c>
      <c r="D19" s="4">
        <f t="shared" si="3"/>
        <v>81435</v>
      </c>
      <c r="F19" s="1" t="s">
        <v>211</v>
      </c>
      <c r="G19" s="1" t="s">
        <v>212</v>
      </c>
      <c r="H19" s="4">
        <v>-200</v>
      </c>
      <c r="I19" s="698">
        <v>-200</v>
      </c>
      <c r="J19" s="4">
        <v>-200</v>
      </c>
      <c r="K19" s="4">
        <v>-200</v>
      </c>
      <c r="L19" s="4">
        <v>-200</v>
      </c>
      <c r="M19" s="4">
        <v>-200</v>
      </c>
      <c r="N19" s="4">
        <v>-200</v>
      </c>
      <c r="O19" s="4">
        <v>-200</v>
      </c>
      <c r="P19" s="4">
        <v>-200</v>
      </c>
      <c r="Q19" s="4">
        <v>-200</v>
      </c>
      <c r="R19" s="4">
        <v>-200</v>
      </c>
      <c r="S19" s="4">
        <v>-200</v>
      </c>
      <c r="T19" s="5">
        <f t="shared" si="2"/>
        <v>-2400</v>
      </c>
    </row>
    <row r="20" spans="1:20" x14ac:dyDescent="0.2">
      <c r="A20" s="28"/>
      <c r="B20" s="4"/>
      <c r="C20" s="4"/>
      <c r="D20" s="4"/>
      <c r="F20" s="1" t="s">
        <v>211</v>
      </c>
      <c r="G20" s="1" t="s">
        <v>213</v>
      </c>
      <c r="H20" s="4">
        <f>-SUM('PRD Fixed Costs'!B69:B71)</f>
        <v>-20314.563331999998</v>
      </c>
      <c r="I20" s="698">
        <f>-SUM('PRD Fixed Costs'!C69:C71)</f>
        <v>-18194.7828104</v>
      </c>
      <c r="J20" s="4">
        <f>-SUM('PRD Fixed Costs'!D69:D71)</f>
        <v>-21903.181091439998</v>
      </c>
      <c r="K20" s="4">
        <f>-SUM('PRD Fixed Costs'!E69:E71)</f>
        <v>-21903.181091439998</v>
      </c>
      <c r="L20" s="4">
        <f>-SUM('PRD Fixed Costs'!F69:F71)</f>
        <v>-22773.982810400001</v>
      </c>
      <c r="M20" s="4">
        <f>-SUM('PRD Fixed Costs'!G69:G71)</f>
        <v>-19104.521950920003</v>
      </c>
      <c r="N20" s="4">
        <f>-SUM('PRD Fixed Costs'!H69:H71)</f>
        <v>-18194.7828104</v>
      </c>
      <c r="O20" s="4">
        <f>-SUM('PRD Fixed Costs'!I69:I71)</f>
        <v>-18194.7828104</v>
      </c>
      <c r="P20" s="4">
        <f>-SUM('PRD Fixed Costs'!J69:J71)</f>
        <v>-20014.261091439999</v>
      </c>
      <c r="Q20" s="4">
        <f>-SUM('PRD Fixed Costs'!K69:K71)</f>
        <v>-18194.7828104</v>
      </c>
      <c r="R20" s="4">
        <f>-SUM('PRD Fixed Costs'!L69:L71)</f>
        <v>-19104.521950920003</v>
      </c>
      <c r="S20" s="4">
        <f>-SUM('PRD Fixed Costs'!M69:M71)</f>
        <v>-19104.521950920003</v>
      </c>
      <c r="T20" s="5">
        <f t="shared" si="2"/>
        <v>-237001.86651108001</v>
      </c>
    </row>
    <row r="21" spans="1:20" x14ac:dyDescent="0.2">
      <c r="A21" s="28"/>
      <c r="B21" s="4"/>
      <c r="C21" s="4"/>
      <c r="D21" s="4"/>
      <c r="F21" s="1" t="s">
        <v>211</v>
      </c>
      <c r="G21" s="1" t="s">
        <v>214</v>
      </c>
      <c r="H21" s="4">
        <f>-'PRD Fixed Costs'!B72</f>
        <v>-2437.7475998399996</v>
      </c>
      <c r="I21" s="698">
        <f>-'PRD Fixed Costs'!C72</f>
        <v>-2183.3739372479999</v>
      </c>
      <c r="J21" s="4">
        <f>-'PRD Fixed Costs'!D72</f>
        <v>-2628.3817309727997</v>
      </c>
      <c r="K21" s="4">
        <f>-'PRD Fixed Costs'!E72</f>
        <v>-2628.3817309727997</v>
      </c>
      <c r="L21" s="4">
        <f>-'PRD Fixed Costs'!F72</f>
        <v>-2732.8779372479999</v>
      </c>
      <c r="M21" s="4">
        <f>-'PRD Fixed Costs'!G72</f>
        <v>-2292.5426341104003</v>
      </c>
      <c r="N21" s="4">
        <f>-'PRD Fixed Costs'!H72</f>
        <v>-2183.3739372479999</v>
      </c>
      <c r="O21" s="4">
        <f>-'PRD Fixed Costs'!I72</f>
        <v>-2183.3739372479999</v>
      </c>
      <c r="P21" s="4">
        <f>-'PRD Fixed Costs'!J72</f>
        <v>-2401.7113309727997</v>
      </c>
      <c r="Q21" s="4">
        <f>-'PRD Fixed Costs'!K72</f>
        <v>-2183.3739372479999</v>
      </c>
      <c r="R21" s="4">
        <f>-'PRD Fixed Costs'!L72</f>
        <v>-2292.5426341104003</v>
      </c>
      <c r="S21" s="4">
        <f>-'PRD Fixed Costs'!M72</f>
        <v>-2292.5426341104003</v>
      </c>
      <c r="T21" s="5">
        <f t="shared" si="2"/>
        <v>-28440.223981329604</v>
      </c>
    </row>
    <row r="22" spans="1:20" x14ac:dyDescent="0.2">
      <c r="A22" s="28"/>
      <c r="B22" s="4"/>
      <c r="C22" s="4"/>
      <c r="D22" s="4"/>
      <c r="F22" s="1" t="s">
        <v>211</v>
      </c>
      <c r="G22" s="1" t="s">
        <v>911</v>
      </c>
      <c r="H22" s="4">
        <f>-((5054.65/65)*17)/12</f>
        <v>-110.16544871794871</v>
      </c>
      <c r="I22" s="698">
        <f>H22</f>
        <v>-110.16544871794871</v>
      </c>
      <c r="J22" s="4">
        <f t="shared" ref="J22:S22" si="7">I22</f>
        <v>-110.16544871794871</v>
      </c>
      <c r="K22" s="4">
        <f t="shared" si="7"/>
        <v>-110.16544871794871</v>
      </c>
      <c r="L22" s="4">
        <f t="shared" si="7"/>
        <v>-110.16544871794871</v>
      </c>
      <c r="M22" s="4">
        <f t="shared" si="7"/>
        <v>-110.16544871794871</v>
      </c>
      <c r="N22" s="4">
        <f t="shared" si="7"/>
        <v>-110.16544871794871</v>
      </c>
      <c r="O22" s="4">
        <f t="shared" si="7"/>
        <v>-110.16544871794871</v>
      </c>
      <c r="P22" s="4">
        <f t="shared" si="7"/>
        <v>-110.16544871794871</v>
      </c>
      <c r="Q22" s="4">
        <f t="shared" si="7"/>
        <v>-110.16544871794871</v>
      </c>
      <c r="R22" s="4">
        <f t="shared" si="7"/>
        <v>-110.16544871794871</v>
      </c>
      <c r="S22" s="4">
        <f t="shared" si="7"/>
        <v>-110.16544871794871</v>
      </c>
      <c r="T22" s="5">
        <f t="shared" si="2"/>
        <v>-1321.9853846153844</v>
      </c>
    </row>
    <row r="23" spans="1:20" x14ac:dyDescent="0.2">
      <c r="A23" s="28" t="s">
        <v>533</v>
      </c>
      <c r="B23" s="4">
        <v>-242930.55</v>
      </c>
      <c r="C23" s="4">
        <v>-5545</v>
      </c>
      <c r="D23" s="4">
        <f t="shared" si="3"/>
        <v>-248475.55</v>
      </c>
      <c r="F23" s="1" t="s">
        <v>206</v>
      </c>
      <c r="G23" s="1" t="s">
        <v>216</v>
      </c>
      <c r="H23" s="4">
        <v>-1500</v>
      </c>
      <c r="I23" s="4">
        <v>-1500</v>
      </c>
      <c r="J23" s="4">
        <v>-1500</v>
      </c>
      <c r="K23" s="4">
        <v>-1500</v>
      </c>
      <c r="L23" s="4">
        <v>-1500</v>
      </c>
      <c r="M23" s="4">
        <v>-1500</v>
      </c>
      <c r="N23" s="4">
        <v>-1500</v>
      </c>
      <c r="O23" s="4">
        <v>-1500</v>
      </c>
      <c r="P23" s="4">
        <v>-1500</v>
      </c>
      <c r="Q23" s="4">
        <v>-1500</v>
      </c>
      <c r="R23" s="4">
        <v>-1500</v>
      </c>
      <c r="S23" s="4">
        <v>-1500</v>
      </c>
      <c r="T23" s="5">
        <f t="shared" si="2"/>
        <v>-18000</v>
      </c>
    </row>
    <row r="24" spans="1:20" x14ac:dyDescent="0.2">
      <c r="A24" s="28" t="s">
        <v>534</v>
      </c>
      <c r="B24" s="4">
        <v>-48739.19</v>
      </c>
      <c r="C24" s="4">
        <v>0</v>
      </c>
      <c r="D24" s="4">
        <f t="shared" si="3"/>
        <v>-48739.19</v>
      </c>
      <c r="F24" s="16"/>
      <c r="G24" s="23" t="s">
        <v>1046</v>
      </c>
      <c r="H24" s="18">
        <f>SUM(H16:H23)</f>
        <v>-53188.411130724984</v>
      </c>
      <c r="I24" s="18">
        <f>SUM(I16:I23)</f>
        <v>-50814.256946532987</v>
      </c>
      <c r="J24" s="18">
        <f t="shared" ref="J24:S24" si="8">SUM(J16:J23)</f>
        <v>-54967.663021297783</v>
      </c>
      <c r="K24" s="18">
        <f t="shared" si="8"/>
        <v>-54967.663021297783</v>
      </c>
      <c r="L24" s="18">
        <f t="shared" si="8"/>
        <v>-55942.960946532992</v>
      </c>
      <c r="M24" s="18">
        <f t="shared" si="8"/>
        <v>-51833.164783915396</v>
      </c>
      <c r="N24" s="18">
        <f t="shared" si="8"/>
        <v>-50814.256946532987</v>
      </c>
      <c r="O24" s="18">
        <f t="shared" si="8"/>
        <v>-50814.256946532987</v>
      </c>
      <c r="P24" s="18">
        <f t="shared" si="8"/>
        <v>-52852.07262129779</v>
      </c>
      <c r="Q24" s="18">
        <f t="shared" si="8"/>
        <v>-50814.256946532987</v>
      </c>
      <c r="R24" s="18">
        <f t="shared" si="8"/>
        <v>-51833.164783915396</v>
      </c>
      <c r="S24" s="18">
        <f t="shared" si="8"/>
        <v>-51833.164783915396</v>
      </c>
      <c r="T24" s="17">
        <f>SUM(H24:S24)</f>
        <v>-630675.29287902941</v>
      </c>
    </row>
    <row r="25" spans="1:20" x14ac:dyDescent="0.2">
      <c r="A25" s="28" t="s">
        <v>535</v>
      </c>
      <c r="B25" s="4">
        <v>-2700</v>
      </c>
      <c r="C25" s="4">
        <v>-20317.89</v>
      </c>
      <c r="D25" s="4">
        <f t="shared" si="3"/>
        <v>-23017.89</v>
      </c>
      <c r="F25" s="1"/>
      <c r="G25" s="23" t="s">
        <v>13</v>
      </c>
      <c r="H25" s="18">
        <f>+H3+H15</f>
        <v>20316.356514136976</v>
      </c>
      <c r="I25" s="18">
        <f>+I3+I15</f>
        <v>150945.20829506495</v>
      </c>
      <c r="J25" s="18">
        <f t="shared" ref="J25:S25" si="9">+J3+J15</f>
        <v>-20193.674660785939</v>
      </c>
      <c r="K25" s="18">
        <f t="shared" si="9"/>
        <v>301623.07693610183</v>
      </c>
      <c r="L25" s="18">
        <f t="shared" si="9"/>
        <v>137377.16899642901</v>
      </c>
      <c r="M25" s="18">
        <f t="shared" si="9"/>
        <v>-20732.439754416628</v>
      </c>
      <c r="N25" s="18">
        <f t="shared" si="9"/>
        <v>18918.763407064973</v>
      </c>
      <c r="O25" s="18">
        <f t="shared" si="9"/>
        <v>172167.47048506499</v>
      </c>
      <c r="P25" s="18">
        <f t="shared" si="9"/>
        <v>69568.64554943511</v>
      </c>
      <c r="Q25" s="18">
        <f t="shared" si="9"/>
        <v>50633.507602531383</v>
      </c>
      <c r="R25" s="18">
        <f t="shared" si="9"/>
        <v>74960.548047583376</v>
      </c>
      <c r="S25" s="18">
        <f t="shared" si="9"/>
        <v>-2993.2151444166229</v>
      </c>
      <c r="T25" s="17">
        <f>SUM(H25:S25)</f>
        <v>952591.41627379332</v>
      </c>
    </row>
    <row r="26" spans="1:20" x14ac:dyDescent="0.2">
      <c r="A26" s="28" t="s">
        <v>220</v>
      </c>
      <c r="B26" s="4">
        <v>-211290.7300000001</v>
      </c>
      <c r="C26" s="4">
        <v>-2026.31</v>
      </c>
      <c r="D26" s="4">
        <f t="shared" si="3"/>
        <v>-213317.0400000001</v>
      </c>
      <c r="G26" s="24" t="s">
        <v>14</v>
      </c>
      <c r="H26" s="21">
        <f>+H25/H3</f>
        <v>0.27830617737004698</v>
      </c>
      <c r="I26" s="21">
        <f t="shared" ref="I26:T26" si="10">+I25/I3</f>
        <v>0.60086060258285889</v>
      </c>
      <c r="J26" s="21">
        <f t="shared" si="10"/>
        <v>-0.24234536415858982</v>
      </c>
      <c r="K26" s="21">
        <f t="shared" si="10"/>
        <v>0.51356967763828498</v>
      </c>
      <c r="L26" s="21">
        <f t="shared" si="10"/>
        <v>0.56861170948876383</v>
      </c>
      <c r="M26" s="21">
        <f t="shared" si="10"/>
        <v>-0.33269839367816856</v>
      </c>
      <c r="N26" s="21">
        <f t="shared" si="10"/>
        <v>0.29440076643037427</v>
      </c>
      <c r="O26" s="21">
        <f t="shared" si="10"/>
        <v>0.61071347892532213</v>
      </c>
      <c r="P26" s="21">
        <f t="shared" si="10"/>
        <v>0.53978549955560218</v>
      </c>
      <c r="Q26" s="21">
        <f t="shared" si="10"/>
        <v>0.51273389245639112</v>
      </c>
      <c r="R26" s="21">
        <f t="shared" si="10"/>
        <v>0.55316564644624289</v>
      </c>
      <c r="S26" s="21">
        <f t="shared" si="10"/>
        <v>-3.6221237702141522E-2</v>
      </c>
      <c r="T26" s="21">
        <f t="shared" si="10"/>
        <v>0.45562795190406619</v>
      </c>
    </row>
    <row r="27" spans="1:20" x14ac:dyDescent="0.2">
      <c r="A27" s="28" t="s">
        <v>222</v>
      </c>
      <c r="B27" s="4">
        <v>-1009.0600000000001</v>
      </c>
      <c r="C27" s="4">
        <v>0</v>
      </c>
      <c r="D27" s="4">
        <f t="shared" si="3"/>
        <v>-1009.0600000000001</v>
      </c>
      <c r="F27" s="1"/>
      <c r="G27" s="23" t="s">
        <v>223</v>
      </c>
      <c r="H27" s="18">
        <f>+H25-H38</f>
        <v>-86205.200526012268</v>
      </c>
      <c r="I27" s="18">
        <f>+I25-I38</f>
        <v>37182.557517220353</v>
      </c>
      <c r="J27" s="18">
        <f t="shared" ref="J27:R27" si="11">+J25-J38</f>
        <v>-138109.73151339532</v>
      </c>
      <c r="K27" s="18">
        <f t="shared" si="11"/>
        <v>183707.02008349245</v>
      </c>
      <c r="L27" s="18">
        <f>+L25-L38</f>
        <v>18485.814218584419</v>
      </c>
      <c r="M27" s="18">
        <f>+M25-M38</f>
        <v>-135513.99836964364</v>
      </c>
      <c r="N27" s="18">
        <f t="shared" si="11"/>
        <v>-94843.887370779616</v>
      </c>
      <c r="O27" s="18">
        <f t="shared" si="11"/>
        <v>58404.819707220391</v>
      </c>
      <c r="P27" s="18">
        <f t="shared" si="11"/>
        <v>-46231.820903174288</v>
      </c>
      <c r="Q27" s="18">
        <f t="shared" si="11"/>
        <v>-63129.143175313213</v>
      </c>
      <c r="R27" s="18">
        <f t="shared" si="11"/>
        <v>-39821.010567643621</v>
      </c>
      <c r="S27" s="18">
        <f>+S25-S38</f>
        <v>-117774.77375964362</v>
      </c>
      <c r="T27" s="18">
        <f>SUM(H27:S27)</f>
        <v>-423849.35465908796</v>
      </c>
    </row>
    <row r="28" spans="1:20" x14ac:dyDescent="0.2">
      <c r="A28" s="28" t="s">
        <v>384</v>
      </c>
      <c r="B28" s="4">
        <v>-211.25</v>
      </c>
      <c r="C28" s="4">
        <v>0</v>
      </c>
      <c r="D28" s="4">
        <f t="shared" si="3"/>
        <v>-211.25</v>
      </c>
      <c r="G28" s="24" t="s">
        <v>390</v>
      </c>
      <c r="H28" s="21">
        <f t="shared" ref="H28:T28" si="12">+H27/H2</f>
        <v>-1.1808928343582956</v>
      </c>
      <c r="I28" s="21">
        <f t="shared" si="12"/>
        <v>0.14801088532532949</v>
      </c>
      <c r="J28" s="21">
        <f t="shared" si="12"/>
        <v>-1.657462237046667</v>
      </c>
      <c r="K28" s="21">
        <f t="shared" si="12"/>
        <v>0.31279554615828098</v>
      </c>
      <c r="L28" s="21">
        <f t="shared" si="12"/>
        <v>7.6513808669286323E-2</v>
      </c>
      <c r="M28" s="21">
        <f t="shared" si="12"/>
        <v>-2.1746253751385862</v>
      </c>
      <c r="N28" s="21">
        <f t="shared" si="12"/>
        <v>-1.475895254484046</v>
      </c>
      <c r="O28" s="21">
        <f t="shared" si="12"/>
        <v>0.20717392506790022</v>
      </c>
      <c r="P28" s="21">
        <f t="shared" si="12"/>
        <v>-0.35871427917698906</v>
      </c>
      <c r="Q28" s="21">
        <f t="shared" si="12"/>
        <v>-0.63926938583446913</v>
      </c>
      <c r="R28" s="21">
        <f t="shared" si="12"/>
        <v>-0.29385611000083117</v>
      </c>
      <c r="S28" s="21">
        <f t="shared" si="12"/>
        <v>-1.4252059641023311</v>
      </c>
      <c r="T28" s="21">
        <f t="shared" si="12"/>
        <v>-0.20272869362458612</v>
      </c>
    </row>
    <row r="29" spans="1:20" x14ac:dyDescent="0.2">
      <c r="A29" s="28"/>
      <c r="B29" s="4"/>
      <c r="C29" s="4"/>
      <c r="D29" s="4"/>
      <c r="G29" s="24" t="s">
        <v>1047</v>
      </c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</row>
    <row r="30" spans="1:20" x14ac:dyDescent="0.2">
      <c r="A30" s="28" t="s">
        <v>536</v>
      </c>
      <c r="B30" s="4">
        <v>-277279.98999999993</v>
      </c>
      <c r="C30" s="4">
        <v>-846.71</v>
      </c>
      <c r="D30" s="4">
        <f t="shared" si="3"/>
        <v>-278126.69999999995</v>
      </c>
      <c r="G30" t="s">
        <v>59</v>
      </c>
      <c r="H30" s="41">
        <v>1824.9130166666669</v>
      </c>
      <c r="I30" s="41">
        <f>'FY27 Budget - detailed'!$A$40+'PRD Fixed Costs'!C44</f>
        <v>1824.9130166666669</v>
      </c>
      <c r="J30" s="41">
        <f>'FY27 Budget - detailed'!$A$40+'PRD Fixed Costs'!$C$44</f>
        <v>1824.9130166666669</v>
      </c>
      <c r="K30" s="41">
        <f>'FY27 Budget - detailed'!$A$40+'PRD Fixed Costs'!$C$44</f>
        <v>1824.9130166666669</v>
      </c>
      <c r="L30" s="41">
        <f>'FY27 Budget - detailed'!$A$40+'PRD Fixed Costs'!$C$44</f>
        <v>1824.9130166666669</v>
      </c>
      <c r="M30" s="41">
        <f>'FY27 Budget - detailed'!$A$40+'PRD Fixed Costs'!$C$44</f>
        <v>1824.9130166666669</v>
      </c>
      <c r="N30" s="41">
        <f>'FY27 Budget - detailed'!$A$40+'PRD Fixed Costs'!$C$44</f>
        <v>1824.9130166666669</v>
      </c>
      <c r="O30" s="41">
        <f>'FY27 Budget - detailed'!$A$40+'PRD Fixed Costs'!$C$44</f>
        <v>1824.9130166666669</v>
      </c>
      <c r="P30" s="41">
        <f>'FY27 Budget - detailed'!$A$40+'PRD Fixed Costs'!$C$44</f>
        <v>1824.9130166666669</v>
      </c>
      <c r="Q30" s="41">
        <f>'FY27 Budget - detailed'!$A$40+'PRD Fixed Costs'!$C$44</f>
        <v>1824.9130166666669</v>
      </c>
      <c r="R30" s="41">
        <f>'FY27 Budget - detailed'!$A$40+'PRD Fixed Costs'!$C$44</f>
        <v>1824.9130166666669</v>
      </c>
      <c r="S30" s="41">
        <f>'FY27 Budget - detailed'!$A$40+'PRD Fixed Costs'!$C$44</f>
        <v>1824.9130166666669</v>
      </c>
    </row>
    <row r="31" spans="1:20" x14ac:dyDescent="0.2">
      <c r="A31" s="28" t="s">
        <v>537</v>
      </c>
      <c r="B31" s="4">
        <v>0</v>
      </c>
      <c r="C31" s="4">
        <v>-64034.729999999989</v>
      </c>
      <c r="D31" s="4">
        <f t="shared" si="3"/>
        <v>-64034.729999999989</v>
      </c>
      <c r="G31" t="s">
        <v>232</v>
      </c>
      <c r="H31" s="41">
        <v>56019.028445221906</v>
      </c>
      <c r="I31" s="41">
        <f>'FY27 Budget - detailed'!$A$68-SUM(I19:I22)</f>
        <v>52408.256511275467</v>
      </c>
      <c r="J31" s="41">
        <f>'FY27 Budget - detailed'!$A$68-SUM(J19:J22)</f>
        <v>56561.662586040271</v>
      </c>
      <c r="K31" s="41">
        <f>'FY27 Budget - detailed'!$A$68-SUM(K19:K22)</f>
        <v>56561.662586040271</v>
      </c>
      <c r="L31" s="41">
        <f>'FY27 Budget - detailed'!$A$68-SUM(L19:L22)</f>
        <v>57536.960511275465</v>
      </c>
      <c r="M31" s="41">
        <f>'FY27 Budget - detailed'!$A$68-SUM(M19:M22)</f>
        <v>53427.164348657869</v>
      </c>
      <c r="N31" s="41">
        <f>'FY27 Budget - detailed'!$A$68-SUM(N19:N22)</f>
        <v>52408.256511275467</v>
      </c>
      <c r="O31" s="41">
        <f>'FY27 Budget - detailed'!$A$68-SUM(O19:O22)</f>
        <v>52408.256511275467</v>
      </c>
      <c r="P31" s="41">
        <f>'FY27 Budget - detailed'!$A$68-SUM(P19:P22)</f>
        <v>54446.07218604027</v>
      </c>
      <c r="Q31" s="41">
        <f>'FY27 Budget - detailed'!$A$68-SUM(Q19:Q22)</f>
        <v>52408.256511275467</v>
      </c>
      <c r="R31" s="41">
        <f>'FY27 Budget - detailed'!$A$68-SUM(R19:R22)</f>
        <v>53427.164348657869</v>
      </c>
      <c r="S31" s="41">
        <f>'FY27 Budget - detailed'!$A$68-SUM(S19:S22)</f>
        <v>53427.164348657869</v>
      </c>
    </row>
    <row r="32" spans="1:20" x14ac:dyDescent="0.2">
      <c r="A32" s="28" t="s">
        <v>226</v>
      </c>
      <c r="B32" s="4">
        <v>-1447.3799999999999</v>
      </c>
      <c r="C32" s="4">
        <v>0</v>
      </c>
      <c r="D32" s="4">
        <f t="shared" si="3"/>
        <v>-1447.3799999999999</v>
      </c>
      <c r="G32" t="s">
        <v>234</v>
      </c>
      <c r="H32" s="9">
        <v>13019.655870488466</v>
      </c>
      <c r="I32" s="9">
        <f>'FY27 Budget - detailed'!$A$37+'PRD Fixed Costs'!$C$43</f>
        <v>13104.655870488466</v>
      </c>
      <c r="J32" s="9">
        <f>'FY27 Budget - detailed'!$A$37+'PRD Fixed Costs'!$C$43</f>
        <v>13104.655870488466</v>
      </c>
      <c r="K32" s="9">
        <f>'FY27 Budget - detailed'!$A$37+'PRD Fixed Costs'!$C$43</f>
        <v>13104.655870488466</v>
      </c>
      <c r="L32" s="9">
        <f>'FY27 Budget - detailed'!$A$37+'PRD Fixed Costs'!$C$43</f>
        <v>13104.655870488466</v>
      </c>
      <c r="M32" s="9">
        <f>'FY27 Budget - detailed'!$A$37+'PRD Fixed Costs'!$C$43</f>
        <v>13104.655870488466</v>
      </c>
      <c r="N32" s="9">
        <f>'FY27 Budget - detailed'!$A$37+'PRD Fixed Costs'!$C$43</f>
        <v>13104.655870488466</v>
      </c>
      <c r="O32" s="9">
        <f>'FY27 Budget - detailed'!$A$37+'PRD Fixed Costs'!$C$43</f>
        <v>13104.655870488466</v>
      </c>
      <c r="P32" s="9">
        <f>'FY27 Budget - detailed'!$A$37+'PRD Fixed Costs'!$C$43</f>
        <v>13104.655870488466</v>
      </c>
      <c r="Q32" s="9">
        <f>'FY27 Budget - detailed'!$A$37+'PRD Fixed Costs'!$C$43</f>
        <v>13104.655870488466</v>
      </c>
      <c r="R32" s="9">
        <f>'FY27 Budget - detailed'!$A$37+'PRD Fixed Costs'!$C$43</f>
        <v>13104.655870488466</v>
      </c>
      <c r="S32" s="9">
        <f>'FY27 Budget - detailed'!$A$37+'PRD Fixed Costs'!$C$43</f>
        <v>13104.655870488466</v>
      </c>
    </row>
    <row r="33" spans="1:21" x14ac:dyDescent="0.2">
      <c r="A33" s="28" t="s">
        <v>385</v>
      </c>
      <c r="B33" s="4">
        <v>0</v>
      </c>
      <c r="C33" s="4">
        <v>-1766.52</v>
      </c>
      <c r="D33" s="4">
        <f t="shared" si="3"/>
        <v>-1766.52</v>
      </c>
      <c r="G33" t="s">
        <v>236</v>
      </c>
      <c r="H33" s="41">
        <v>35657.959707772199</v>
      </c>
      <c r="I33" s="41">
        <f>'FY27 Budget - detailed'!$A$42+'FY27 Budget - detailed'!$A$56-SUM(I23,I18:I18,I16)</f>
        <v>46424.825379413989</v>
      </c>
      <c r="J33" s="41">
        <f>'FY27 Budget - detailed'!$A$42+'FY27 Budget - detailed'!$A$56-SUM(J23,J18:J18,J16)</f>
        <v>46424.825379413989</v>
      </c>
      <c r="K33" s="41">
        <f>'FY27 Budget - detailed'!$A$42+'FY27 Budget - detailed'!$A$56-SUM(K23,K18:K18,K16)</f>
        <v>46424.825379413989</v>
      </c>
      <c r="L33" s="41">
        <f>'FY27 Budget - detailed'!$A$42+'FY27 Budget - detailed'!$A$56-SUM(L23,L18:L18,L16)</f>
        <v>46424.825379413989</v>
      </c>
      <c r="M33" s="41">
        <f>'FY27 Budget - detailed'!$A$42+'FY27 Budget - detailed'!$A$56-SUM(M23,M18:M18,M16)</f>
        <v>46424.825379413989</v>
      </c>
      <c r="N33" s="41">
        <f>'FY27 Budget - detailed'!$A$42+'FY27 Budget - detailed'!$A$56-SUM(N23,N18:N18,N16)</f>
        <v>46424.825379413989</v>
      </c>
      <c r="O33" s="41">
        <f>'FY27 Budget - detailed'!$A$42+'FY27 Budget - detailed'!$A$56-SUM(O23,O18:O18,O16)</f>
        <v>46424.825379413989</v>
      </c>
      <c r="P33" s="41">
        <f>'FY27 Budget - detailed'!$A$42+'FY27 Budget - detailed'!$A$56-SUM(P23,P18:P18,P16)</f>
        <v>46424.825379413989</v>
      </c>
      <c r="Q33" s="41">
        <f>'FY27 Budget - detailed'!$A$42+'FY27 Budget - detailed'!$A$56-SUM(Q23,Q18:Q18,Q16)</f>
        <v>46424.825379413989</v>
      </c>
      <c r="R33" s="41">
        <f>'FY27 Budget - detailed'!$A$42+'FY27 Budget - detailed'!$A$56-SUM(R23,R18:R18,R16)</f>
        <v>46424.825379413989</v>
      </c>
      <c r="S33" s="41">
        <f>'FY27 Budget - detailed'!$A$42+'FY27 Budget - detailed'!$A$56-SUM(S23,S18:S18,S16)</f>
        <v>46424.825379413989</v>
      </c>
    </row>
    <row r="34" spans="1:21" x14ac:dyDescent="0.2">
      <c r="A34" s="28" t="s">
        <v>386</v>
      </c>
      <c r="B34" s="4">
        <v>-62569.81</v>
      </c>
      <c r="C34" s="4">
        <v>-398.19</v>
      </c>
      <c r="D34" s="4">
        <f t="shared" si="3"/>
        <v>-62968</v>
      </c>
      <c r="G34" s="97"/>
    </row>
    <row r="35" spans="1:21" hidden="1" x14ac:dyDescent="0.2">
      <c r="A35" s="28" t="s">
        <v>387</v>
      </c>
      <c r="B35" s="4">
        <v>0</v>
      </c>
      <c r="C35" s="4">
        <v>-47026.12000000001</v>
      </c>
      <c r="D35" s="4">
        <f t="shared" si="3"/>
        <v>-47026.12000000001</v>
      </c>
      <c r="G35" s="1"/>
      <c r="H35" s="9">
        <v>-101429.80159121669</v>
      </c>
      <c r="I35" s="9">
        <v>-133327.94273201667</v>
      </c>
      <c r="J35" s="9">
        <v>-146241.38506506439</v>
      </c>
      <c r="K35" s="9">
        <v>-325348.29166817665</v>
      </c>
      <c r="L35" s="9">
        <f t="shared" ref="L35:S35" si="13">+L15+L24</f>
        <v>-160166.81195010396</v>
      </c>
      <c r="M35" s="9">
        <f t="shared" si="13"/>
        <v>-134881.62453833202</v>
      </c>
      <c r="N35" s="9">
        <f t="shared" si="13"/>
        <v>-96157.430206468009</v>
      </c>
      <c r="O35" s="9">
        <f t="shared" si="13"/>
        <v>-160558.80646146802</v>
      </c>
      <c r="P35" s="9">
        <f t="shared" si="13"/>
        <v>-112165.44707186268</v>
      </c>
      <c r="Q35" s="9">
        <f t="shared" si="13"/>
        <v>-98932.769344001601</v>
      </c>
      <c r="R35" s="9">
        <f t="shared" si="13"/>
        <v>-112384.55340333201</v>
      </c>
      <c r="S35" s="9">
        <f t="shared" si="13"/>
        <v>-137463.39992833202</v>
      </c>
      <c r="T35" s="9">
        <f t="shared" ref="T35" si="14">+T15+T24</f>
        <v>-1768805.9499392358</v>
      </c>
    </row>
    <row r="36" spans="1:21" hidden="1" x14ac:dyDescent="0.2">
      <c r="A36" s="1" t="s">
        <v>388</v>
      </c>
      <c r="B36" s="4">
        <v>-22.18</v>
      </c>
      <c r="C36" s="4">
        <v>0</v>
      </c>
      <c r="D36" s="4">
        <f t="shared" si="3"/>
        <v>-22.18</v>
      </c>
      <c r="G36" s="1"/>
      <c r="H36" s="9">
        <v>-62766.743942896675</v>
      </c>
      <c r="I36" s="9">
        <v>-58723.076331376673</v>
      </c>
      <c r="J36" s="9">
        <v>-62359.927323472679</v>
      </c>
      <c r="K36" s="9">
        <v>-62359.927323472679</v>
      </c>
      <c r="L36" s="9">
        <f t="shared" ref="L36:S36" si="15">L24+(L4*0.4)</f>
        <v>-63532.139180772996</v>
      </c>
      <c r="M36" s="9">
        <f t="shared" si="15"/>
        <v>-59801.801929867397</v>
      </c>
      <c r="N36" s="9">
        <f t="shared" si="15"/>
        <v>-58403.435180772984</v>
      </c>
      <c r="O36" s="9">
        <f t="shared" si="15"/>
        <v>-58403.435180772984</v>
      </c>
      <c r="P36" s="9">
        <f t="shared" si="15"/>
        <v>-61200.168678961789</v>
      </c>
      <c r="Q36" s="9">
        <f t="shared" si="15"/>
        <v>-58403.435180772984</v>
      </c>
      <c r="R36" s="9">
        <f t="shared" si="15"/>
        <v>-59801.801929867397</v>
      </c>
      <c r="S36" s="9">
        <f t="shared" si="15"/>
        <v>-59801.801929867397</v>
      </c>
    </row>
    <row r="37" spans="1:21" hidden="1" x14ac:dyDescent="0.2">
      <c r="A37" s="1" t="s">
        <v>538</v>
      </c>
      <c r="B37" s="4">
        <v>-36453.840000000018</v>
      </c>
      <c r="C37" s="4">
        <v>-60.410000000000004</v>
      </c>
      <c r="D37" s="4">
        <f t="shared" si="3"/>
        <v>-36514.250000000022</v>
      </c>
      <c r="G37" s="1"/>
      <c r="H37" s="9">
        <v>12126.847556799999</v>
      </c>
      <c r="I37" s="9">
        <v>11072.3390736</v>
      </c>
      <c r="J37" s="9">
        <v>12179.572980960002</v>
      </c>
      <c r="K37" s="9">
        <v>12179.572980960002</v>
      </c>
      <c r="L37" s="9">
        <f t="shared" ref="L37:S37" si="16">L24-L36</f>
        <v>7589.1782342400038</v>
      </c>
      <c r="M37" s="9">
        <f t="shared" si="16"/>
        <v>7968.6371459520014</v>
      </c>
      <c r="N37" s="9">
        <f t="shared" si="16"/>
        <v>7589.1782342399965</v>
      </c>
      <c r="O37" s="9">
        <f t="shared" si="16"/>
        <v>7589.1782342399965</v>
      </c>
      <c r="P37" s="9">
        <f t="shared" si="16"/>
        <v>8348.0960576639991</v>
      </c>
      <c r="Q37" s="9">
        <f t="shared" si="16"/>
        <v>7589.1782342399965</v>
      </c>
      <c r="R37" s="9">
        <f t="shared" si="16"/>
        <v>7968.6371459520014</v>
      </c>
      <c r="S37" s="9">
        <f t="shared" si="16"/>
        <v>7968.6371459520014</v>
      </c>
    </row>
    <row r="38" spans="1:21" x14ac:dyDescent="0.2">
      <c r="A38" s="1" t="s">
        <v>539</v>
      </c>
      <c r="B38" s="4">
        <v>-13.94</v>
      </c>
      <c r="C38" s="4">
        <v>-11551.819999999998</v>
      </c>
      <c r="D38" s="4">
        <f t="shared" si="3"/>
        <v>-11565.759999999998</v>
      </c>
      <c r="G38" s="1" t="s">
        <v>1407</v>
      </c>
      <c r="H38" s="9">
        <v>106521.55704014924</v>
      </c>
      <c r="I38" s="9">
        <f>SUM(I30:I33)</f>
        <v>113762.6507778446</v>
      </c>
      <c r="J38" s="9">
        <f t="shared" ref="J38:L38" si="17">SUM(J30:J33)</f>
        <v>117916.05685260938</v>
      </c>
      <c r="K38" s="9">
        <f t="shared" si="17"/>
        <v>117916.05685260938</v>
      </c>
      <c r="L38" s="9">
        <f t="shared" si="17"/>
        <v>118891.35477784459</v>
      </c>
      <c r="M38" s="9">
        <f t="shared" ref="M38:S38" si="18">SUM(M30:M33)</f>
        <v>114781.558615227</v>
      </c>
      <c r="N38" s="9">
        <f t="shared" si="18"/>
        <v>113762.6507778446</v>
      </c>
      <c r="O38" s="9">
        <f t="shared" si="18"/>
        <v>113762.6507778446</v>
      </c>
      <c r="P38" s="9">
        <f t="shared" si="18"/>
        <v>115800.4664526094</v>
      </c>
      <c r="Q38" s="9">
        <f t="shared" si="18"/>
        <v>113762.6507778446</v>
      </c>
      <c r="R38" s="9">
        <f t="shared" si="18"/>
        <v>114781.558615227</v>
      </c>
      <c r="S38" s="9">
        <f t="shared" si="18"/>
        <v>114781.558615227</v>
      </c>
      <c r="T38" s="9">
        <f>SUM(H38:S38)</f>
        <v>1376440.7709328814</v>
      </c>
    </row>
    <row r="39" spans="1:21" x14ac:dyDescent="0.2">
      <c r="A39" s="1" t="s">
        <v>230</v>
      </c>
      <c r="B39" s="4">
        <v>-151.97999999999999</v>
      </c>
      <c r="C39" s="4">
        <v>0</v>
      </c>
      <c r="D39" s="4">
        <f t="shared" si="3"/>
        <v>-151.97999999999999</v>
      </c>
      <c r="H39" s="9"/>
      <c r="S39" s="605" t="s">
        <v>1408</v>
      </c>
      <c r="T39" s="551">
        <f>T38/U39</f>
        <v>2992262.5455062636</v>
      </c>
      <c r="U39" s="684">
        <v>0.46</v>
      </c>
    </row>
    <row r="40" spans="1:21" x14ac:dyDescent="0.2">
      <c r="A40" s="1" t="s">
        <v>389</v>
      </c>
      <c r="B40" s="4">
        <v>-2028.82</v>
      </c>
      <c r="C40" s="4">
        <v>0</v>
      </c>
      <c r="D40" s="4">
        <f t="shared" si="3"/>
        <v>-2028.82</v>
      </c>
      <c r="H40" s="6"/>
      <c r="I40" s="6"/>
      <c r="J40" s="6"/>
      <c r="K40" s="6"/>
      <c r="L40" s="6"/>
      <c r="N40" s="9"/>
    </row>
    <row r="41" spans="1:21" x14ac:dyDescent="0.2">
      <c r="A41" s="1" t="s">
        <v>231</v>
      </c>
      <c r="B41" s="4">
        <v>-33529.480000000003</v>
      </c>
      <c r="C41" s="4">
        <v>-148.82</v>
      </c>
      <c r="D41" s="4">
        <f t="shared" si="3"/>
        <v>-33678.300000000003</v>
      </c>
      <c r="H41" s="9"/>
      <c r="I41" s="41"/>
      <c r="M41" s="6"/>
      <c r="N41" s="9"/>
    </row>
    <row r="42" spans="1:21" x14ac:dyDescent="0.2">
      <c r="A42" s="1" t="s">
        <v>540</v>
      </c>
      <c r="B42" s="4">
        <v>0</v>
      </c>
      <c r="C42" s="4">
        <v>-132.5</v>
      </c>
      <c r="D42" s="4">
        <f t="shared" ref="D42:D76" si="19">B42+C42</f>
        <v>-132.5</v>
      </c>
      <c r="H42" s="9"/>
      <c r="M42" s="41"/>
      <c r="N42" s="9"/>
    </row>
    <row r="43" spans="1:21" x14ac:dyDescent="0.2">
      <c r="A43" s="1" t="s">
        <v>233</v>
      </c>
      <c r="B43" s="4">
        <v>-35.99</v>
      </c>
      <c r="C43" s="4">
        <v>0</v>
      </c>
      <c r="D43" s="4">
        <f t="shared" si="19"/>
        <v>-35.99</v>
      </c>
      <c r="H43" s="40"/>
      <c r="I43" s="40"/>
      <c r="J43" s="40"/>
      <c r="K43" s="40"/>
      <c r="L43" s="40"/>
      <c r="M43" s="40"/>
    </row>
    <row r="44" spans="1:21" x14ac:dyDescent="0.2">
      <c r="A44" s="1" t="s">
        <v>391</v>
      </c>
      <c r="B44" s="4">
        <v>-26920.94</v>
      </c>
      <c r="C44" s="4">
        <v>0</v>
      </c>
      <c r="D44" s="4">
        <f t="shared" si="19"/>
        <v>-26920.94</v>
      </c>
      <c r="G44" s="9"/>
      <c r="H44" s="40"/>
    </row>
    <row r="45" spans="1:21" x14ac:dyDescent="0.2">
      <c r="A45" s="1" t="s">
        <v>541</v>
      </c>
      <c r="B45" s="4">
        <v>-319.86</v>
      </c>
      <c r="C45" s="4">
        <v>-36.58</v>
      </c>
      <c r="D45" s="4">
        <f t="shared" si="19"/>
        <v>-356.44</v>
      </c>
      <c r="G45" s="9"/>
    </row>
    <row r="46" spans="1:21" x14ac:dyDescent="0.2">
      <c r="A46" s="1" t="s">
        <v>542</v>
      </c>
      <c r="B46" s="4">
        <v>-2932.3799999999997</v>
      </c>
      <c r="C46" s="4">
        <v>0</v>
      </c>
      <c r="D46" s="4">
        <f t="shared" si="19"/>
        <v>-2932.3799999999997</v>
      </c>
    </row>
    <row r="47" spans="1:21" x14ac:dyDescent="0.2">
      <c r="A47" s="1" t="s">
        <v>543</v>
      </c>
      <c r="B47" s="4">
        <v>-271.99</v>
      </c>
      <c r="C47" s="4">
        <v>0</v>
      </c>
      <c r="D47" s="4"/>
    </row>
    <row r="48" spans="1:21" x14ac:dyDescent="0.2">
      <c r="A48" s="1" t="s">
        <v>544</v>
      </c>
      <c r="B48" s="4">
        <v>-133.97</v>
      </c>
      <c r="C48" s="4">
        <v>0</v>
      </c>
      <c r="D48" s="4">
        <f t="shared" si="19"/>
        <v>-133.97</v>
      </c>
      <c r="E48" s="40"/>
    </row>
    <row r="49" spans="1:9" x14ac:dyDescent="0.2">
      <c r="A49" s="73" t="s">
        <v>238</v>
      </c>
      <c r="B49" s="74">
        <f>SUM(B23:B48)</f>
        <v>-950993.32999999973</v>
      </c>
      <c r="C49" s="74">
        <f>SUM(C23:C48)</f>
        <v>-153891.6</v>
      </c>
      <c r="D49" s="74">
        <f>SUM(D23:D48)</f>
        <v>-1104612.94</v>
      </c>
      <c r="E49" s="40"/>
    </row>
    <row r="50" spans="1:9" x14ac:dyDescent="0.2">
      <c r="A50" s="1" t="s">
        <v>44</v>
      </c>
      <c r="B50" s="4">
        <v>-5320</v>
      </c>
      <c r="C50" s="4">
        <v>0</v>
      </c>
      <c r="D50" s="4">
        <f t="shared" si="19"/>
        <v>-5320</v>
      </c>
      <c r="E50" s="40"/>
    </row>
    <row r="51" spans="1:9" x14ac:dyDescent="0.2">
      <c r="A51" s="1" t="s">
        <v>47</v>
      </c>
      <c r="B51" s="4">
        <v>-85.49</v>
      </c>
      <c r="C51" s="4">
        <v>-8.64</v>
      </c>
      <c r="D51" s="4">
        <f t="shared" si="19"/>
        <v>-94.13</v>
      </c>
      <c r="E51" s="40"/>
    </row>
    <row r="52" spans="1:9" x14ac:dyDescent="0.2">
      <c r="A52" s="1" t="s">
        <v>49</v>
      </c>
      <c r="B52" s="4">
        <v>-23064.32</v>
      </c>
      <c r="C52" s="4">
        <v>-8085.0400000000009</v>
      </c>
      <c r="D52" s="4">
        <f t="shared" si="19"/>
        <v>-31149.360000000001</v>
      </c>
      <c r="E52" s="40"/>
      <c r="G52" s="1"/>
      <c r="H52" s="9"/>
    </row>
    <row r="53" spans="1:9" x14ac:dyDescent="0.2">
      <c r="A53" s="1" t="s">
        <v>51</v>
      </c>
      <c r="B53" s="4">
        <v>-559.9</v>
      </c>
      <c r="C53" s="4">
        <v>-14.54</v>
      </c>
      <c r="D53" s="4">
        <f t="shared" si="19"/>
        <v>-574.43999999999994</v>
      </c>
      <c r="E53" s="40"/>
      <c r="G53" s="1"/>
      <c r="H53" s="9"/>
      <c r="I53" s="9"/>
    </row>
    <row r="54" spans="1:9" x14ac:dyDescent="0.2">
      <c r="A54" s="1" t="s">
        <v>53</v>
      </c>
      <c r="B54" s="4">
        <v>-25501.49</v>
      </c>
      <c r="C54" s="4">
        <v>-3417.7200000000003</v>
      </c>
      <c r="D54" s="4">
        <f t="shared" si="19"/>
        <v>-28919.210000000003</v>
      </c>
      <c r="E54" s="40"/>
      <c r="G54" s="1"/>
      <c r="H54" s="9"/>
      <c r="I54" s="9"/>
    </row>
    <row r="55" spans="1:9" x14ac:dyDescent="0.2">
      <c r="A55" s="1" t="s">
        <v>54</v>
      </c>
      <c r="B55" s="4">
        <v>-170.39999999999998</v>
      </c>
      <c r="C55" s="4">
        <v>-27.92</v>
      </c>
      <c r="D55" s="4">
        <f t="shared" si="19"/>
        <v>-198.32</v>
      </c>
      <c r="E55" s="40"/>
      <c r="G55" s="1"/>
      <c r="H55" s="9"/>
      <c r="I55" s="9"/>
    </row>
    <row r="56" spans="1:9" x14ac:dyDescent="0.2">
      <c r="A56" s="1" t="s">
        <v>57</v>
      </c>
      <c r="B56" s="4">
        <v>-2995.65</v>
      </c>
      <c r="C56" s="4">
        <v>-368.02</v>
      </c>
      <c r="D56" s="4">
        <f t="shared" si="19"/>
        <v>-3363.67</v>
      </c>
      <c r="E56" s="40"/>
      <c r="H56" s="9"/>
    </row>
    <row r="57" spans="1:9" x14ac:dyDescent="0.2">
      <c r="A57" s="1" t="s">
        <v>58</v>
      </c>
      <c r="B57" s="4">
        <v>-2284.9700000000003</v>
      </c>
      <c r="C57" s="4">
        <v>0</v>
      </c>
      <c r="D57" s="4">
        <f t="shared" si="19"/>
        <v>-2284.9700000000003</v>
      </c>
      <c r="E57" s="40"/>
      <c r="H57" s="9"/>
    </row>
    <row r="58" spans="1:9" x14ac:dyDescent="0.2">
      <c r="A58" s="1" t="s">
        <v>60</v>
      </c>
      <c r="B58" s="4">
        <v>-15669.780000000002</v>
      </c>
      <c r="C58" s="4">
        <v>-336.88</v>
      </c>
      <c r="D58" s="4">
        <f t="shared" si="19"/>
        <v>-16006.660000000002</v>
      </c>
      <c r="E58" s="40"/>
    </row>
    <row r="59" spans="1:9" x14ac:dyDescent="0.2">
      <c r="A59" s="1" t="s">
        <v>62</v>
      </c>
      <c r="B59" s="4">
        <v>-136.36000000000001</v>
      </c>
      <c r="C59" s="4">
        <v>0</v>
      </c>
      <c r="D59" s="4">
        <f t="shared" si="19"/>
        <v>-136.36000000000001</v>
      </c>
    </row>
    <row r="60" spans="1:9" x14ac:dyDescent="0.2">
      <c r="A60" s="1" t="s">
        <v>64</v>
      </c>
      <c r="B60" s="4">
        <v>-763.33999999999992</v>
      </c>
      <c r="C60" s="4">
        <v>-146.15</v>
      </c>
      <c r="D60" s="4">
        <f t="shared" si="19"/>
        <v>-909.4899999999999</v>
      </c>
    </row>
    <row r="61" spans="1:9" x14ac:dyDescent="0.2">
      <c r="A61" s="1" t="s">
        <v>65</v>
      </c>
      <c r="B61" s="4">
        <v>-92.64</v>
      </c>
      <c r="C61" s="4">
        <v>-22.41</v>
      </c>
      <c r="D61" s="4">
        <f t="shared" si="19"/>
        <v>-115.05</v>
      </c>
    </row>
    <row r="62" spans="1:9" x14ac:dyDescent="0.2">
      <c r="A62" s="1" t="s">
        <v>174</v>
      </c>
      <c r="B62" s="4">
        <v>-61472.009999999987</v>
      </c>
      <c r="C62" s="4">
        <v>-21661.430000000004</v>
      </c>
      <c r="D62" s="4">
        <f t="shared" si="19"/>
        <v>-83133.439999999988</v>
      </c>
    </row>
    <row r="63" spans="1:9" x14ac:dyDescent="0.2">
      <c r="A63" s="1" t="s">
        <v>175</v>
      </c>
      <c r="B63" s="4">
        <v>-9244.2700000000023</v>
      </c>
      <c r="C63" s="4">
        <v>-3476.5099999999993</v>
      </c>
      <c r="D63" s="4">
        <f t="shared" si="19"/>
        <v>-12720.780000000002</v>
      </c>
    </row>
    <row r="64" spans="1:9" x14ac:dyDescent="0.2">
      <c r="A64" s="1" t="s">
        <v>71</v>
      </c>
      <c r="B64" s="4">
        <v>-2522.2399999999993</v>
      </c>
      <c r="C64" s="4">
        <v>-163.62</v>
      </c>
      <c r="D64" s="4">
        <f t="shared" si="19"/>
        <v>-2685.8599999999992</v>
      </c>
    </row>
    <row r="65" spans="1:7" x14ac:dyDescent="0.2">
      <c r="A65" s="1" t="s">
        <v>75</v>
      </c>
      <c r="B65" s="4">
        <v>-5841.4599999999991</v>
      </c>
      <c r="C65" s="4">
        <v>0</v>
      </c>
      <c r="D65" s="4">
        <f t="shared" si="19"/>
        <v>-5841.4599999999991</v>
      </c>
    </row>
    <row r="66" spans="1:7" x14ac:dyDescent="0.2">
      <c r="A66" s="1" t="s">
        <v>76</v>
      </c>
      <c r="B66" s="4">
        <v>-1526.2999999999997</v>
      </c>
      <c r="C66" s="4">
        <v>-302.22000000000003</v>
      </c>
      <c r="D66" s="4">
        <f t="shared" si="19"/>
        <v>-1828.5199999999998</v>
      </c>
    </row>
    <row r="67" spans="1:7" x14ac:dyDescent="0.2">
      <c r="A67" s="1" t="s">
        <v>80</v>
      </c>
      <c r="B67" s="4">
        <v>-25563.169999999991</v>
      </c>
      <c r="C67" s="4">
        <v>-5415.47</v>
      </c>
      <c r="D67" s="4">
        <f t="shared" si="19"/>
        <v>-30978.639999999992</v>
      </c>
    </row>
    <row r="68" spans="1:7" x14ac:dyDescent="0.2">
      <c r="A68" s="1" t="s">
        <v>81</v>
      </c>
      <c r="B68" s="4">
        <v>-751.30000000000007</v>
      </c>
      <c r="C68" s="4">
        <v>-90.99</v>
      </c>
      <c r="D68" s="4">
        <f t="shared" si="19"/>
        <v>-842.29000000000008</v>
      </c>
    </row>
    <row r="69" spans="1:7" x14ac:dyDescent="0.2">
      <c r="A69" s="1" t="s">
        <v>82</v>
      </c>
      <c r="B69" s="4">
        <v>-910.74</v>
      </c>
      <c r="C69" s="4">
        <v>-143</v>
      </c>
      <c r="D69" s="4">
        <f t="shared" si="19"/>
        <v>-1053.74</v>
      </c>
    </row>
    <row r="70" spans="1:7" x14ac:dyDescent="0.2">
      <c r="A70" s="1" t="s">
        <v>159</v>
      </c>
      <c r="B70" s="4">
        <v>-37771.889999999992</v>
      </c>
      <c r="C70" s="4">
        <v>-7312.7200000000012</v>
      </c>
      <c r="D70" s="4">
        <f t="shared" si="19"/>
        <v>-45084.609999999993</v>
      </c>
    </row>
    <row r="71" spans="1:7" x14ac:dyDescent="0.2">
      <c r="A71" s="1" t="s">
        <v>545</v>
      </c>
      <c r="B71" s="4">
        <v>-350858.27</v>
      </c>
      <c r="C71" s="4">
        <v>0</v>
      </c>
      <c r="D71" s="4">
        <f t="shared" si="19"/>
        <v>-350858.27</v>
      </c>
    </row>
    <row r="72" spans="1:7" x14ac:dyDescent="0.2">
      <c r="A72" s="1" t="s">
        <v>546</v>
      </c>
      <c r="B72" s="4">
        <v>0</v>
      </c>
      <c r="C72" s="4">
        <v>-78501.999999999985</v>
      </c>
      <c r="D72" s="4">
        <f t="shared" si="19"/>
        <v>-78501.999999999985</v>
      </c>
    </row>
    <row r="73" spans="1:7" x14ac:dyDescent="0.2">
      <c r="A73" s="1" t="s">
        <v>86</v>
      </c>
      <c r="B73" s="4">
        <v>-202.71999999999997</v>
      </c>
      <c r="C73" s="4">
        <v>0</v>
      </c>
      <c r="D73" s="4">
        <f t="shared" si="19"/>
        <v>-202.71999999999997</v>
      </c>
    </row>
    <row r="74" spans="1:7" x14ac:dyDescent="0.2">
      <c r="A74" s="1" t="s">
        <v>87</v>
      </c>
      <c r="B74" s="4">
        <v>-3008.05</v>
      </c>
      <c r="C74" s="4">
        <v>-740</v>
      </c>
      <c r="D74" s="4">
        <f t="shared" si="19"/>
        <v>-3748.05</v>
      </c>
    </row>
    <row r="75" spans="1:7" x14ac:dyDescent="0.2">
      <c r="A75" s="1" t="s">
        <v>547</v>
      </c>
      <c r="B75" s="4">
        <v>-2939.3799999999997</v>
      </c>
      <c r="C75" s="4">
        <v>0</v>
      </c>
      <c r="D75" s="4">
        <f t="shared" si="19"/>
        <v>-2939.3799999999997</v>
      </c>
    </row>
    <row r="76" spans="1:7" x14ac:dyDescent="0.2">
      <c r="A76" s="1" t="s">
        <v>548</v>
      </c>
      <c r="B76" s="4">
        <v>0</v>
      </c>
      <c r="C76" s="4">
        <v>-1096.76</v>
      </c>
      <c r="D76" s="4">
        <f t="shared" si="19"/>
        <v>-1096.76</v>
      </c>
    </row>
    <row r="77" spans="1:7" x14ac:dyDescent="0.2">
      <c r="A77" s="1" t="s">
        <v>79</v>
      </c>
      <c r="B77" s="4">
        <v>-12940.4</v>
      </c>
      <c r="C77" s="4">
        <v>5238.2999999999993</v>
      </c>
      <c r="D77" s="4">
        <f>B77+C77</f>
        <v>-7702.1</v>
      </c>
      <c r="G77" s="9">
        <f>+D81-D80-D79-D78-D77-D74-D73-D72-D69-D62-D63</f>
        <v>-531227.45000000007</v>
      </c>
    </row>
    <row r="78" spans="1:7" x14ac:dyDescent="0.2">
      <c r="A78" s="1" t="s">
        <v>78</v>
      </c>
      <c r="B78" s="4">
        <v>-5661.7699999999986</v>
      </c>
      <c r="C78" s="4">
        <v>0</v>
      </c>
      <c r="D78" s="4">
        <f>B78+C78</f>
        <v>-5661.7699999999986</v>
      </c>
    </row>
    <row r="79" spans="1:7" x14ac:dyDescent="0.2">
      <c r="A79" s="1" t="s">
        <v>79</v>
      </c>
      <c r="B79" s="4"/>
      <c r="C79" s="4"/>
      <c r="D79" s="4">
        <f>B79+C79</f>
        <v>0</v>
      </c>
    </row>
    <row r="80" spans="1:7" x14ac:dyDescent="0.2">
      <c r="A80" s="1" t="s">
        <v>78</v>
      </c>
      <c r="B80" s="4"/>
      <c r="C80" s="4"/>
      <c r="D80" s="4">
        <f>B80+C80</f>
        <v>0</v>
      </c>
    </row>
    <row r="81" spans="1:4" x14ac:dyDescent="0.2">
      <c r="A81" s="73" t="s">
        <v>218</v>
      </c>
      <c r="B81" s="74">
        <f>SUM(B50:B80)</f>
        <v>-597858.30999999994</v>
      </c>
      <c r="C81" s="74">
        <f>SUM(C50:C80)</f>
        <v>-126093.74</v>
      </c>
      <c r="D81" s="74">
        <f>SUM(D50:D80)</f>
        <v>-723952.05</v>
      </c>
    </row>
    <row r="82" spans="1:4" x14ac:dyDescent="0.2">
      <c r="A82" s="1" t="s">
        <v>245</v>
      </c>
      <c r="B82" s="4" t="e">
        <f>+#REF!+B49+B81</f>
        <v>#REF!</v>
      </c>
      <c r="C82" s="4" t="e">
        <f>+#REF!+C49+C81</f>
        <v>#REF!</v>
      </c>
      <c r="D82" s="4" t="e">
        <f>+#REF!+D49+D81</f>
        <v>#REF!</v>
      </c>
    </row>
  </sheetData>
  <mergeCells count="1">
    <mergeCell ref="A1:D1"/>
  </mergeCells>
  <phoneticPr fontId="19" type="noConversion"/>
  <conditionalFormatting sqref="H26:T26 H28:T29">
    <cfRule type="cellIs" dxfId="56" priority="1" operator="lessThan">
      <formula>0</formula>
    </cfRule>
    <cfRule type="cellIs" dxfId="55" priority="2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33CD8-12AB-4589-A97D-F905E2483220}">
  <sheetPr codeName="Sheet15">
    <tabColor rgb="FF92D050"/>
  </sheetPr>
  <dimension ref="A1:Q79"/>
  <sheetViews>
    <sheetView topLeftCell="A19" zoomScale="70" zoomScaleNormal="70" workbookViewId="0">
      <selection activeCell="O65" sqref="O65"/>
    </sheetView>
  </sheetViews>
  <sheetFormatPr defaultColWidth="18.5703125" defaultRowHeight="12.75" x14ac:dyDescent="0.2"/>
  <cols>
    <col min="1" max="1" width="31.28515625" bestFit="1" customWidth="1"/>
    <col min="2" max="2" width="43.85546875" bestFit="1" customWidth="1"/>
    <col min="3" max="3" width="18.5703125" bestFit="1" customWidth="1"/>
    <col min="4" max="4" width="19.7109375" bestFit="1" customWidth="1"/>
    <col min="5" max="5" width="23.42578125" customWidth="1"/>
    <col min="6" max="6" width="12.140625" bestFit="1" customWidth="1"/>
    <col min="7" max="7" width="13.28515625" bestFit="1" customWidth="1"/>
    <col min="8" max="8" width="12.85546875" bestFit="1" customWidth="1"/>
    <col min="9" max="9" width="14.5703125" bestFit="1" customWidth="1"/>
  </cols>
  <sheetData>
    <row r="1" spans="1:17" x14ac:dyDescent="0.2">
      <c r="B1" s="2" t="s">
        <v>549</v>
      </c>
      <c r="C1" s="2" t="s">
        <v>397</v>
      </c>
      <c r="D1" s="2" t="s">
        <v>1351</v>
      </c>
      <c r="E1" s="2" t="s">
        <v>1409</v>
      </c>
      <c r="F1" s="2" t="s">
        <v>162</v>
      </c>
      <c r="G1" s="2" t="s">
        <v>163</v>
      </c>
      <c r="H1" s="2" t="s">
        <v>166</v>
      </c>
      <c r="I1" s="2" t="s">
        <v>71</v>
      </c>
    </row>
    <row r="2" spans="1:17" x14ac:dyDescent="0.2">
      <c r="A2" s="197">
        <v>0.7</v>
      </c>
      <c r="B2" s="278">
        <v>34.340699999999998</v>
      </c>
      <c r="C2" s="1" t="s">
        <v>899</v>
      </c>
      <c r="D2" s="281">
        <f t="shared" ref="D2:D8" si="0">B2*1.03</f>
        <v>35.370920999999996</v>
      </c>
      <c r="E2" s="31">
        <f>D2*8*5*52</f>
        <v>73571.515679999997</v>
      </c>
      <c r="F2" s="31">
        <f>+E2*0.12</f>
        <v>8828.5818815999992</v>
      </c>
      <c r="G2" s="31">
        <f>E2+F2</f>
        <v>82400.097561599992</v>
      </c>
      <c r="H2" s="31"/>
      <c r="I2" s="31">
        <v>40</v>
      </c>
      <c r="J2" s="1" t="s">
        <v>1353</v>
      </c>
    </row>
    <row r="3" spans="1:17" x14ac:dyDescent="0.2">
      <c r="A3" s="197">
        <v>0.7</v>
      </c>
      <c r="B3" s="278">
        <v>39.491799999999998</v>
      </c>
      <c r="C3" s="201" t="s">
        <v>900</v>
      </c>
      <c r="D3" s="282">
        <f t="shared" si="0"/>
        <v>40.676553999999996</v>
      </c>
      <c r="E3" s="31">
        <f t="shared" ref="E3:E9" si="1">D3*8*5*52</f>
        <v>84607.232319999996</v>
      </c>
      <c r="F3" s="31">
        <f t="shared" ref="F3:F9" si="2">+E3*0.12</f>
        <v>10152.867878399999</v>
      </c>
      <c r="G3" s="31">
        <f t="shared" ref="G3:G9" si="3">E3+F3</f>
        <v>94760.100198399989</v>
      </c>
      <c r="H3" s="31"/>
      <c r="I3" s="31">
        <v>40</v>
      </c>
      <c r="J3" s="1" t="s">
        <v>1353</v>
      </c>
      <c r="K3" s="1" t="s">
        <v>1084</v>
      </c>
      <c r="Q3" s="87"/>
    </row>
    <row r="4" spans="1:17" x14ac:dyDescent="0.2">
      <c r="A4" s="197">
        <v>0.1</v>
      </c>
      <c r="B4" s="278">
        <v>55.803570000000001</v>
      </c>
      <c r="C4" s="1" t="s">
        <v>1142</v>
      </c>
      <c r="D4" s="281">
        <f t="shared" si="0"/>
        <v>57.477677100000001</v>
      </c>
      <c r="E4" s="31">
        <f t="shared" si="1"/>
        <v>119553.56836800001</v>
      </c>
      <c r="F4" s="31">
        <f t="shared" si="2"/>
        <v>14346.42820416</v>
      </c>
      <c r="G4" s="31">
        <f t="shared" si="3"/>
        <v>133899.99657216002</v>
      </c>
      <c r="H4" s="31"/>
      <c r="I4" s="31">
        <v>35</v>
      </c>
      <c r="J4" s="1" t="s">
        <v>116</v>
      </c>
      <c r="K4" s="1" t="s">
        <v>1179</v>
      </c>
      <c r="Q4" s="87"/>
    </row>
    <row r="5" spans="1:17" x14ac:dyDescent="0.2">
      <c r="A5" s="197">
        <v>0.65</v>
      </c>
      <c r="B5" s="278">
        <v>45.072119999999998</v>
      </c>
      <c r="C5" s="1" t="s">
        <v>1172</v>
      </c>
      <c r="D5" s="281">
        <f t="shared" si="0"/>
        <v>46.424283600000003</v>
      </c>
      <c r="E5" s="31">
        <f t="shared" si="1"/>
        <v>96562.509888000001</v>
      </c>
      <c r="F5" s="31">
        <f t="shared" si="2"/>
        <v>11587.501186559999</v>
      </c>
      <c r="G5" s="31">
        <f t="shared" si="3"/>
        <v>108150.01107456</v>
      </c>
      <c r="H5" s="31"/>
      <c r="I5" s="31">
        <v>40</v>
      </c>
      <c r="J5" s="1" t="s">
        <v>1353</v>
      </c>
      <c r="Q5" s="87"/>
    </row>
    <row r="6" spans="1:17" x14ac:dyDescent="0.2">
      <c r="A6" s="197">
        <v>0.65</v>
      </c>
      <c r="B6" s="278">
        <v>45.072119999999998</v>
      </c>
      <c r="C6" s="1" t="s">
        <v>550</v>
      </c>
      <c r="D6" s="281">
        <f t="shared" si="0"/>
        <v>46.424283600000003</v>
      </c>
      <c r="E6" s="31">
        <f t="shared" si="1"/>
        <v>96562.509888000001</v>
      </c>
      <c r="F6" s="31">
        <f t="shared" si="2"/>
        <v>11587.501186559999</v>
      </c>
      <c r="G6" s="31">
        <f t="shared" si="3"/>
        <v>108150.01107456</v>
      </c>
      <c r="H6" s="31">
        <v>120.21000000000004</v>
      </c>
      <c r="I6" s="31">
        <v>40</v>
      </c>
      <c r="J6" s="1" t="s">
        <v>1353</v>
      </c>
      <c r="Q6" s="87"/>
    </row>
    <row r="7" spans="1:17" x14ac:dyDescent="0.2">
      <c r="A7" s="197">
        <v>0.65</v>
      </c>
      <c r="B7" s="278">
        <v>52.369509999999998</v>
      </c>
      <c r="C7" s="1" t="s">
        <v>551</v>
      </c>
      <c r="D7" s="281">
        <f t="shared" si="0"/>
        <v>53.940595299999998</v>
      </c>
      <c r="E7" s="31">
        <f>D7*8*5*52</f>
        <v>112196.43822399998</v>
      </c>
      <c r="F7" s="31">
        <f>+E7*0.12</f>
        <v>13463.572586879998</v>
      </c>
      <c r="G7" s="31">
        <f>E7+F7</f>
        <v>125660.01081087998</v>
      </c>
      <c r="H7" s="31">
        <v>139.68000000000029</v>
      </c>
      <c r="I7" s="31">
        <v>35</v>
      </c>
      <c r="J7" s="1" t="s">
        <v>116</v>
      </c>
      <c r="Q7" s="87"/>
    </row>
    <row r="8" spans="1:17" x14ac:dyDescent="0.2">
      <c r="A8" s="197">
        <v>0.7</v>
      </c>
      <c r="B8" s="278">
        <v>0</v>
      </c>
      <c r="C8" s="545" t="s">
        <v>327</v>
      </c>
      <c r="D8" s="281">
        <f t="shared" si="0"/>
        <v>0</v>
      </c>
      <c r="E8" s="31">
        <f>D8*8*5*52</f>
        <v>0</v>
      </c>
      <c r="F8" s="31">
        <f>+E8*0.12</f>
        <v>0</v>
      </c>
      <c r="G8" s="31">
        <f>E8+F8</f>
        <v>0</v>
      </c>
      <c r="H8" s="31"/>
      <c r="I8" s="31">
        <v>35</v>
      </c>
      <c r="J8" s="1" t="s">
        <v>116</v>
      </c>
      <c r="Q8" s="87"/>
    </row>
    <row r="9" spans="1:17" x14ac:dyDescent="0.2">
      <c r="A9" s="197">
        <v>0.7</v>
      </c>
      <c r="B9" s="278">
        <v>0</v>
      </c>
      <c r="C9" s="545" t="s">
        <v>327</v>
      </c>
      <c r="D9" s="281">
        <f>B9*1.03</f>
        <v>0</v>
      </c>
      <c r="E9" s="31">
        <f t="shared" si="1"/>
        <v>0</v>
      </c>
      <c r="F9" s="31">
        <f t="shared" si="2"/>
        <v>0</v>
      </c>
      <c r="G9" s="31">
        <f t="shared" si="3"/>
        <v>0</v>
      </c>
      <c r="H9" s="31"/>
      <c r="I9" s="31">
        <v>35</v>
      </c>
      <c r="J9" s="1" t="s">
        <v>116</v>
      </c>
      <c r="Q9" s="87"/>
    </row>
    <row r="10" spans="1:17" x14ac:dyDescent="0.2">
      <c r="B10" s="16" t="s">
        <v>163</v>
      </c>
      <c r="C10" s="18">
        <f>SUM(C2:C9)</f>
        <v>0</v>
      </c>
      <c r="D10" s="18">
        <f>SUM(D2:D9)</f>
        <v>280.31431459999999</v>
      </c>
      <c r="E10" s="18">
        <f>SUM(E2:E9)</f>
        <v>583053.77436799998</v>
      </c>
      <c r="F10" s="18">
        <f>SUM(F2:F9)</f>
        <v>69966.452924159981</v>
      </c>
      <c r="G10" s="666">
        <f>SUM(G2:G9)</f>
        <v>653020.22729216004</v>
      </c>
      <c r="H10" s="18"/>
      <c r="I10" s="18">
        <v>35</v>
      </c>
      <c r="K10" s="1"/>
    </row>
    <row r="11" spans="1:17" x14ac:dyDescent="0.2">
      <c r="B11" s="2" t="s">
        <v>173</v>
      </c>
      <c r="C11" s="31">
        <f>+C10/12</f>
        <v>0</v>
      </c>
      <c r="D11" s="31">
        <f t="shared" ref="D11:G11" si="4">+D10/12</f>
        <v>23.359526216666666</v>
      </c>
      <c r="E11" s="31">
        <f t="shared" si="4"/>
        <v>48587.814530666663</v>
      </c>
      <c r="F11" s="31">
        <f t="shared" si="4"/>
        <v>5830.5377436799981</v>
      </c>
      <c r="G11" s="31">
        <f t="shared" si="4"/>
        <v>54418.352274346667</v>
      </c>
      <c r="H11" s="41">
        <f>SUM(H2:H10)</f>
        <v>259.89000000000033</v>
      </c>
      <c r="I11" s="9">
        <f>SUM(I2:I10)+(39*5)</f>
        <v>530</v>
      </c>
    </row>
    <row r="13" spans="1:17" x14ac:dyDescent="0.2">
      <c r="B13" s="2" t="s">
        <v>250</v>
      </c>
      <c r="C13" s="2" t="s">
        <v>168</v>
      </c>
      <c r="D13" s="2" t="s">
        <v>169</v>
      </c>
    </row>
    <row r="14" spans="1:17" x14ac:dyDescent="0.2">
      <c r="B14" s="1" t="s">
        <v>892</v>
      </c>
      <c r="C14" s="550">
        <v>21726.731140625001</v>
      </c>
      <c r="D14" s="120">
        <v>1770.4182060875</v>
      </c>
      <c r="E14" s="41"/>
      <c r="G14" s="9"/>
    </row>
    <row r="15" spans="1:17" x14ac:dyDescent="0.2">
      <c r="B15" s="1" t="s">
        <v>1090</v>
      </c>
      <c r="C15" s="550">
        <f>'Rental Breakdown'!T20</f>
        <v>745.41262500000005</v>
      </c>
      <c r="D15" s="120"/>
      <c r="E15" s="41"/>
    </row>
    <row r="16" spans="1:17" x14ac:dyDescent="0.2">
      <c r="B16" s="1" t="s">
        <v>1089</v>
      </c>
      <c r="C16" s="550">
        <v>606.29624999999999</v>
      </c>
      <c r="D16" s="120">
        <v>49.404482999999999</v>
      </c>
      <c r="E16" s="551">
        <f>SUM(C14:D16)</f>
        <v>24898.262704712499</v>
      </c>
    </row>
    <row r="18" spans="1:7" x14ac:dyDescent="0.2">
      <c r="B18" s="2" t="s">
        <v>251</v>
      </c>
      <c r="C18" s="2" t="s">
        <v>252</v>
      </c>
      <c r="D18" s="2" t="s">
        <v>253</v>
      </c>
    </row>
    <row r="19" spans="1:7" x14ac:dyDescent="0.2">
      <c r="C19" s="11"/>
      <c r="D19" s="13"/>
    </row>
    <row r="20" spans="1:7" x14ac:dyDescent="0.2">
      <c r="A20" s="169" t="s">
        <v>1013</v>
      </c>
      <c r="B20" s="169" t="s">
        <v>552</v>
      </c>
      <c r="C20" s="611">
        <f>54440/12</f>
        <v>4536.666666666667</v>
      </c>
      <c r="D20" s="13" t="s">
        <v>168</v>
      </c>
    </row>
    <row r="21" spans="1:7" x14ac:dyDescent="0.2">
      <c r="A21" s="169" t="s">
        <v>1013</v>
      </c>
      <c r="B21" s="169" t="s">
        <v>553</v>
      </c>
      <c r="C21" s="611">
        <f>1140/12</f>
        <v>95</v>
      </c>
      <c r="D21" s="13" t="s">
        <v>169</v>
      </c>
    </row>
    <row r="22" spans="1:7" x14ac:dyDescent="0.2">
      <c r="A22" s="1" t="s">
        <v>1176</v>
      </c>
      <c r="B22" s="1" t="s">
        <v>1384</v>
      </c>
      <c r="C22" s="611">
        <f>4356/12</f>
        <v>363</v>
      </c>
      <c r="D22" s="13"/>
    </row>
    <row r="23" spans="1:7" x14ac:dyDescent="0.2">
      <c r="A23" s="1" t="s">
        <v>1176</v>
      </c>
      <c r="B23" s="1" t="s">
        <v>1385</v>
      </c>
      <c r="C23" s="611">
        <f>726/12</f>
        <v>60.5</v>
      </c>
      <c r="D23" s="13"/>
    </row>
    <row r="24" spans="1:7" x14ac:dyDescent="0.2">
      <c r="A24" s="1" t="s">
        <v>1176</v>
      </c>
      <c r="B24" s="1" t="s">
        <v>556</v>
      </c>
      <c r="C24" s="611">
        <f>750/12</f>
        <v>62.5</v>
      </c>
      <c r="D24" s="13" t="s">
        <v>169</v>
      </c>
      <c r="E24" s="1" t="s">
        <v>1096</v>
      </c>
    </row>
    <row r="25" spans="1:7" x14ac:dyDescent="0.2">
      <c r="A25" s="1" t="s">
        <v>1176</v>
      </c>
      <c r="B25" s="1" t="s">
        <v>558</v>
      </c>
      <c r="C25" s="611">
        <f>435/12</f>
        <v>36.25</v>
      </c>
      <c r="D25" s="13" t="s">
        <v>168</v>
      </c>
    </row>
    <row r="26" spans="1:7" x14ac:dyDescent="0.2">
      <c r="A26" s="1" t="s">
        <v>1176</v>
      </c>
      <c r="B26" s="1" t="s">
        <v>901</v>
      </c>
      <c r="C26" s="611">
        <f>3900/12</f>
        <v>325</v>
      </c>
      <c r="D26" s="13" t="s">
        <v>168</v>
      </c>
      <c r="F26" s="2"/>
    </row>
    <row r="27" spans="1:7" x14ac:dyDescent="0.2">
      <c r="A27" s="1" t="s">
        <v>1176</v>
      </c>
      <c r="B27" s="1" t="s">
        <v>557</v>
      </c>
      <c r="C27" s="611">
        <f>116.44/12</f>
        <v>9.7033333333333331</v>
      </c>
      <c r="D27" s="13" t="s">
        <v>168</v>
      </c>
      <c r="E27" s="1"/>
    </row>
    <row r="28" spans="1:7" x14ac:dyDescent="0.2">
      <c r="A28" s="1" t="s">
        <v>1176</v>
      </c>
      <c r="B28" s="1" t="s">
        <v>1045</v>
      </c>
      <c r="C28" s="611">
        <f>535/12</f>
        <v>44.583333333333336</v>
      </c>
      <c r="D28" s="13" t="s">
        <v>168</v>
      </c>
      <c r="G28" s="1"/>
    </row>
    <row r="29" spans="1:7" x14ac:dyDescent="0.2">
      <c r="A29" s="169" t="s">
        <v>1013</v>
      </c>
      <c r="B29" s="665" t="s">
        <v>1044</v>
      </c>
      <c r="C29" s="276">
        <f>60*5</f>
        <v>300</v>
      </c>
      <c r="D29" s="14" t="s">
        <v>168</v>
      </c>
      <c r="E29" s="1" t="s">
        <v>937</v>
      </c>
      <c r="F29" s="2"/>
    </row>
    <row r="30" spans="1:7" ht="13.9" customHeight="1" x14ac:dyDescent="0.2">
      <c r="A30" s="169" t="s">
        <v>1013</v>
      </c>
      <c r="B30" s="665" t="s">
        <v>904</v>
      </c>
      <c r="C30" s="611">
        <v>1350</v>
      </c>
      <c r="D30" s="14" t="s">
        <v>168</v>
      </c>
      <c r="E30" s="1" t="s">
        <v>937</v>
      </c>
    </row>
    <row r="31" spans="1:7" x14ac:dyDescent="0.2">
      <c r="A31" s="1" t="s">
        <v>1176</v>
      </c>
      <c r="B31" s="13" t="s">
        <v>903</v>
      </c>
      <c r="C31" s="611">
        <f>(620*3)/12</f>
        <v>155</v>
      </c>
      <c r="D31" s="14" t="s">
        <v>168</v>
      </c>
      <c r="E31" s="1" t="s">
        <v>1189</v>
      </c>
      <c r="F31" s="1" t="s">
        <v>1333</v>
      </c>
    </row>
    <row r="32" spans="1:7" x14ac:dyDescent="0.2">
      <c r="A32" s="169" t="s">
        <v>1013</v>
      </c>
      <c r="B32" s="169" t="s">
        <v>906</v>
      </c>
      <c r="C32" s="611">
        <f>73*3</f>
        <v>219</v>
      </c>
      <c r="D32" s="13" t="s">
        <v>168</v>
      </c>
    </row>
    <row r="33" spans="1:13" x14ac:dyDescent="0.2">
      <c r="A33" s="1" t="s">
        <v>1176</v>
      </c>
      <c r="B33" s="1" t="s">
        <v>1215</v>
      </c>
      <c r="C33" s="612">
        <f>9403.82/12</f>
        <v>783.65166666666664</v>
      </c>
      <c r="D33" s="13" t="s">
        <v>168</v>
      </c>
    </row>
    <row r="34" spans="1:13" x14ac:dyDescent="0.2">
      <c r="A34" s="169" t="s">
        <v>1013</v>
      </c>
      <c r="B34" s="665" t="s">
        <v>905</v>
      </c>
      <c r="C34" s="612">
        <v>323.97000000000003</v>
      </c>
      <c r="D34" s="13" t="s">
        <v>168</v>
      </c>
      <c r="E34" s="1" t="s">
        <v>1175</v>
      </c>
    </row>
    <row r="35" spans="1:13" x14ac:dyDescent="0.2">
      <c r="A35" s="1" t="s">
        <v>1176</v>
      </c>
      <c r="B35" s="1" t="s">
        <v>907</v>
      </c>
      <c r="C35" s="611">
        <f>431</f>
        <v>431</v>
      </c>
      <c r="D35" s="13" t="s">
        <v>168</v>
      </c>
      <c r="E35" s="1"/>
      <c r="F35" s="1"/>
    </row>
    <row r="36" spans="1:13" x14ac:dyDescent="0.2">
      <c r="A36" s="1" t="s">
        <v>1176</v>
      </c>
      <c r="B36" s="1" t="s">
        <v>554</v>
      </c>
      <c r="C36" s="611">
        <v>47.254545454545458</v>
      </c>
      <c r="D36" s="13" t="s">
        <v>169</v>
      </c>
    </row>
    <row r="37" spans="1:13" x14ac:dyDescent="0.2">
      <c r="A37" s="1" t="s">
        <v>1176</v>
      </c>
      <c r="B37" s="1" t="s">
        <v>555</v>
      </c>
      <c r="C37" s="611">
        <v>25.45</v>
      </c>
      <c r="D37" s="13" t="s">
        <v>168</v>
      </c>
    </row>
    <row r="38" spans="1:13" x14ac:dyDescent="0.2">
      <c r="A38" s="1" t="s">
        <v>1176</v>
      </c>
      <c r="B38" s="1" t="s">
        <v>1188</v>
      </c>
      <c r="C38" s="611">
        <v>100</v>
      </c>
      <c r="D38" s="13" t="s">
        <v>168</v>
      </c>
      <c r="E38" s="1" t="s">
        <v>937</v>
      </c>
    </row>
    <row r="39" spans="1:13" x14ac:dyDescent="0.2">
      <c r="A39" s="1" t="s">
        <v>1176</v>
      </c>
      <c r="B39" s="1" t="s">
        <v>936</v>
      </c>
      <c r="C39" s="611">
        <f>776.27/12</f>
        <v>64.689166666666665</v>
      </c>
      <c r="D39" s="13" t="s">
        <v>168</v>
      </c>
      <c r="E39" s="1" t="s">
        <v>937</v>
      </c>
      <c r="F39" s="2"/>
    </row>
    <row r="40" spans="1:13" x14ac:dyDescent="0.2">
      <c r="A40" s="1" t="s">
        <v>1176</v>
      </c>
      <c r="B40" s="1" t="s">
        <v>1043</v>
      </c>
      <c r="C40" s="611">
        <f>200/12</f>
        <v>16.666666666666668</v>
      </c>
      <c r="D40" s="13" t="s">
        <v>168</v>
      </c>
      <c r="E40" s="1" t="s">
        <v>937</v>
      </c>
      <c r="F40" s="2"/>
    </row>
    <row r="41" spans="1:13" x14ac:dyDescent="0.2">
      <c r="A41" s="169" t="s">
        <v>1013</v>
      </c>
      <c r="B41" s="169" t="s">
        <v>1180</v>
      </c>
      <c r="C41" s="611">
        <f>136/1.1</f>
        <v>123.63636363636363</v>
      </c>
      <c r="D41" s="13" t="s">
        <v>168</v>
      </c>
      <c r="E41" s="1" t="s">
        <v>937</v>
      </c>
      <c r="F41" s="2"/>
    </row>
    <row r="42" spans="1:13" x14ac:dyDescent="0.2">
      <c r="A42" s="1" t="s">
        <v>1176</v>
      </c>
      <c r="B42" s="1" t="s">
        <v>559</v>
      </c>
      <c r="C42" s="611">
        <f>531.36/12</f>
        <v>44.28</v>
      </c>
      <c r="D42" s="13" t="s">
        <v>168</v>
      </c>
      <c r="E42" s="1" t="s">
        <v>1177</v>
      </c>
      <c r="F42" s="2"/>
    </row>
    <row r="43" spans="1:13" x14ac:dyDescent="0.2">
      <c r="B43" s="19" t="s">
        <v>1354</v>
      </c>
      <c r="C43" s="20">
        <f>SUM(C19:C42)-C45-C46</f>
        <v>2569.5287121212114</v>
      </c>
      <c r="D43" s="20"/>
      <c r="E43" s="1"/>
    </row>
    <row r="44" spans="1:13" x14ac:dyDescent="0.2">
      <c r="B44" s="169" t="s">
        <v>902</v>
      </c>
      <c r="C44" s="611">
        <f>'CTS Overheads'!U39/12</f>
        <v>628.14333333333332</v>
      </c>
      <c r="D44" s="13" t="s">
        <v>168</v>
      </c>
    </row>
    <row r="45" spans="1:13" x14ac:dyDescent="0.2">
      <c r="B45" s="169" t="s">
        <v>1355</v>
      </c>
      <c r="C45" s="611">
        <f>SUM(C20,C29:C30,C32,C34,C41)</f>
        <v>6853.2730303030312</v>
      </c>
      <c r="D45" s="13"/>
    </row>
    <row r="46" spans="1:13" x14ac:dyDescent="0.2">
      <c r="B46" s="169" t="s">
        <v>1356</v>
      </c>
      <c r="C46" s="611">
        <f>C21</f>
        <v>95</v>
      </c>
      <c r="F46" s="2"/>
    </row>
    <row r="47" spans="1:13" x14ac:dyDescent="0.2">
      <c r="B47" s="1"/>
      <c r="C47" s="14"/>
      <c r="F47" s="2"/>
    </row>
    <row r="48" spans="1:13" ht="15" x14ac:dyDescent="0.25">
      <c r="B48" s="194">
        <f>'CTS Overheads'!B90</f>
        <v>23</v>
      </c>
      <c r="C48" s="194">
        <f>'CTS Overheads'!C90</f>
        <v>20</v>
      </c>
      <c r="D48" s="194">
        <f>'CTS Overheads'!D90</f>
        <v>22</v>
      </c>
      <c r="E48" s="194">
        <f>'CTS Overheads'!E90</f>
        <v>22</v>
      </c>
      <c r="F48" s="194">
        <f>'CTS Overheads'!F90</f>
        <v>20</v>
      </c>
      <c r="G48" s="194">
        <v>21</v>
      </c>
      <c r="H48" s="194">
        <f>'CTS Overheads'!H90</f>
        <v>20</v>
      </c>
      <c r="I48" s="194">
        <f>'CTS Overheads'!I90</f>
        <v>20</v>
      </c>
      <c r="J48" s="194">
        <f>'CTS Overheads'!J90</f>
        <v>22</v>
      </c>
      <c r="K48" s="194">
        <f>'CTS Overheads'!K90</f>
        <v>20</v>
      </c>
      <c r="L48" s="194">
        <f>'CTS Overheads'!L90</f>
        <v>21</v>
      </c>
      <c r="M48" s="194">
        <f>'CTS Overheads'!M90</f>
        <v>21</v>
      </c>
    </row>
    <row r="49" spans="1:13" x14ac:dyDescent="0.2">
      <c r="A49" s="1" t="s">
        <v>141</v>
      </c>
      <c r="B49" s="95" t="s">
        <v>142</v>
      </c>
      <c r="C49" s="95" t="s">
        <v>143</v>
      </c>
      <c r="D49" s="95" t="s">
        <v>144</v>
      </c>
      <c r="E49" s="95" t="s">
        <v>145</v>
      </c>
      <c r="F49" s="95" t="s">
        <v>146</v>
      </c>
      <c r="G49" s="95" t="s">
        <v>147</v>
      </c>
      <c r="H49" s="95" t="s">
        <v>148</v>
      </c>
      <c r="I49" s="95" t="s">
        <v>149</v>
      </c>
      <c r="J49" s="95" t="s">
        <v>150</v>
      </c>
      <c r="K49" s="95" t="s">
        <v>151</v>
      </c>
      <c r="L49" s="95" t="s">
        <v>152</v>
      </c>
      <c r="M49" s="95" t="s">
        <v>874</v>
      </c>
    </row>
    <row r="50" spans="1:13" x14ac:dyDescent="0.2">
      <c r="A50" s="1" t="str">
        <f t="shared" ref="A50:A57" si="5">C2</f>
        <v>Blake CRISFORD</v>
      </c>
      <c r="B50" s="11">
        <f t="shared" ref="B50:B57" si="6">$B$48*B2*8</f>
        <v>6318.6887999999999</v>
      </c>
      <c r="C50" s="11">
        <f t="shared" ref="C50:C57" si="7">$C$48*D2*8</f>
        <v>5659.3473599999998</v>
      </c>
      <c r="D50" s="11">
        <f t="shared" ref="D50:D57" si="8">$D$48*D2*8</f>
        <v>6225.282095999999</v>
      </c>
      <c r="E50" s="11">
        <f t="shared" ref="E50:E57" si="9">$E$48*D2*8</f>
        <v>6225.282095999999</v>
      </c>
      <c r="F50" s="11">
        <f t="shared" ref="F50:F57" si="10">$F$48*D2*8</f>
        <v>5659.3473599999998</v>
      </c>
      <c r="G50" s="11">
        <f t="shared" ref="G50:G57" si="11">$G$48*D2*8</f>
        <v>5942.3147279999994</v>
      </c>
      <c r="H50" s="11">
        <f t="shared" ref="H50:H57" si="12">$H$48*D2*8</f>
        <v>5659.3473599999998</v>
      </c>
      <c r="I50" s="11">
        <f t="shared" ref="I50:I57" si="13">$I$48*D2*8</f>
        <v>5659.3473599999998</v>
      </c>
      <c r="J50" s="11">
        <f t="shared" ref="J50:J57" si="14">$J$48*D2*8</f>
        <v>6225.282095999999</v>
      </c>
      <c r="K50" s="11">
        <f t="shared" ref="K50:K57" si="15">$K$48*D2*8</f>
        <v>5659.3473599999998</v>
      </c>
      <c r="L50" s="11">
        <f t="shared" ref="L50:L57" si="16">$L$48*D2*8</f>
        <v>5942.3147279999994</v>
      </c>
      <c r="M50" s="11">
        <f t="shared" ref="M50:M57" si="17">$M$48*D2*8</f>
        <v>5942.3147279999994</v>
      </c>
    </row>
    <row r="51" spans="1:13" x14ac:dyDescent="0.2">
      <c r="A51" s="1" t="str">
        <f t="shared" si="5"/>
        <v>Sebastien Hathaway</v>
      </c>
      <c r="B51" s="11">
        <f t="shared" si="6"/>
        <v>7266.4911999999995</v>
      </c>
      <c r="C51" s="11">
        <f t="shared" si="7"/>
        <v>6508.2486399999998</v>
      </c>
      <c r="D51" s="11">
        <f t="shared" si="8"/>
        <v>7159.073503999999</v>
      </c>
      <c r="E51" s="11">
        <f t="shared" si="9"/>
        <v>7159.073503999999</v>
      </c>
      <c r="F51" s="11">
        <f t="shared" si="10"/>
        <v>6508.2486399999998</v>
      </c>
      <c r="G51" s="11">
        <f t="shared" si="11"/>
        <v>6833.661071999999</v>
      </c>
      <c r="H51" s="11">
        <f t="shared" si="12"/>
        <v>6508.2486399999998</v>
      </c>
      <c r="I51" s="11">
        <f t="shared" si="13"/>
        <v>6508.2486399999998</v>
      </c>
      <c r="J51" s="11">
        <f t="shared" si="14"/>
        <v>7159.073503999999</v>
      </c>
      <c r="K51" s="11">
        <f t="shared" si="15"/>
        <v>6508.2486399999998</v>
      </c>
      <c r="L51" s="11">
        <f t="shared" si="16"/>
        <v>6833.661071999999</v>
      </c>
      <c r="M51" s="11">
        <f t="shared" si="17"/>
        <v>6833.661071999999</v>
      </c>
    </row>
    <row r="52" spans="1:13" x14ac:dyDescent="0.2">
      <c r="A52" s="1" t="str">
        <f t="shared" si="5"/>
        <v>Mitchell Healey</v>
      </c>
      <c r="B52" s="11">
        <f t="shared" si="6"/>
        <v>10267.856879999999</v>
      </c>
      <c r="C52" s="11">
        <f t="shared" si="7"/>
        <v>9196.4283360000009</v>
      </c>
      <c r="D52" s="11">
        <f t="shared" si="8"/>
        <v>10116.0711696</v>
      </c>
      <c r="E52" s="11">
        <f t="shared" si="9"/>
        <v>10116.0711696</v>
      </c>
      <c r="F52" s="11">
        <f t="shared" si="10"/>
        <v>9196.4283360000009</v>
      </c>
      <c r="G52" s="11">
        <f t="shared" si="11"/>
        <v>9656.2497528000004</v>
      </c>
      <c r="H52" s="11">
        <f t="shared" si="12"/>
        <v>9196.4283360000009</v>
      </c>
      <c r="I52" s="11">
        <f t="shared" si="13"/>
        <v>9196.4283360000009</v>
      </c>
      <c r="J52" s="11">
        <f t="shared" si="14"/>
        <v>10116.0711696</v>
      </c>
      <c r="K52" s="11">
        <f t="shared" si="15"/>
        <v>9196.4283360000009</v>
      </c>
      <c r="L52" s="11">
        <f t="shared" si="16"/>
        <v>9656.2497528000004</v>
      </c>
      <c r="M52" s="11">
        <f t="shared" si="17"/>
        <v>9656.2497528000004</v>
      </c>
    </row>
    <row r="53" spans="1:13" x14ac:dyDescent="0.2">
      <c r="A53" s="1" t="str">
        <f t="shared" si="5"/>
        <v>Jaazaniah Salanoa</v>
      </c>
      <c r="B53" s="11">
        <f t="shared" si="6"/>
        <v>8293.2700800000002</v>
      </c>
      <c r="C53" s="11">
        <f t="shared" si="7"/>
        <v>7427.8853760000002</v>
      </c>
      <c r="D53" s="11">
        <f t="shared" si="8"/>
        <v>8170.6739136000006</v>
      </c>
      <c r="E53" s="11">
        <f t="shared" si="9"/>
        <v>8170.6739136000006</v>
      </c>
      <c r="F53" s="11">
        <f t="shared" si="10"/>
        <v>7427.8853760000002</v>
      </c>
      <c r="G53" s="11">
        <f t="shared" si="11"/>
        <v>7799.2796448000008</v>
      </c>
      <c r="H53" s="11">
        <f t="shared" si="12"/>
        <v>7427.8853760000002</v>
      </c>
      <c r="I53" s="11">
        <f t="shared" si="13"/>
        <v>7427.8853760000002</v>
      </c>
      <c r="J53" s="11">
        <f t="shared" si="14"/>
        <v>8170.6739136000006</v>
      </c>
      <c r="K53" s="11">
        <f t="shared" si="15"/>
        <v>7427.8853760000002</v>
      </c>
      <c r="L53" s="11">
        <f t="shared" si="16"/>
        <v>7799.2796448000008</v>
      </c>
      <c r="M53" s="11">
        <f t="shared" si="17"/>
        <v>7799.2796448000008</v>
      </c>
    </row>
    <row r="54" spans="1:13" x14ac:dyDescent="0.2">
      <c r="A54" s="1" t="str">
        <f t="shared" si="5"/>
        <v>Milo RANKIN</v>
      </c>
      <c r="B54" s="11">
        <f t="shared" si="6"/>
        <v>8293.2700800000002</v>
      </c>
      <c r="C54" s="11">
        <f t="shared" si="7"/>
        <v>7427.8853760000002</v>
      </c>
      <c r="D54" s="11">
        <f t="shared" si="8"/>
        <v>8170.6739136000006</v>
      </c>
      <c r="E54" s="11">
        <f t="shared" si="9"/>
        <v>8170.6739136000006</v>
      </c>
      <c r="F54" s="11">
        <f t="shared" si="10"/>
        <v>7427.8853760000002</v>
      </c>
      <c r="G54" s="11">
        <f t="shared" si="11"/>
        <v>7799.2796448000008</v>
      </c>
      <c r="H54" s="11">
        <f t="shared" si="12"/>
        <v>7427.8853760000002</v>
      </c>
      <c r="I54" s="11">
        <f t="shared" si="13"/>
        <v>7427.8853760000002</v>
      </c>
      <c r="J54" s="11">
        <f t="shared" si="14"/>
        <v>8170.6739136000006</v>
      </c>
      <c r="K54" s="11">
        <f t="shared" si="15"/>
        <v>7427.8853760000002</v>
      </c>
      <c r="L54" s="11">
        <f t="shared" si="16"/>
        <v>7799.2796448000008</v>
      </c>
      <c r="M54" s="11">
        <f t="shared" si="17"/>
        <v>7799.2796448000008</v>
      </c>
    </row>
    <row r="55" spans="1:13" x14ac:dyDescent="0.2">
      <c r="A55" s="1" t="str">
        <f t="shared" si="5"/>
        <v>Tyler WOOD</v>
      </c>
      <c r="B55" s="11">
        <f t="shared" si="6"/>
        <v>9635.9898400000002</v>
      </c>
      <c r="C55" s="11">
        <f t="shared" si="7"/>
        <v>8630.4952479999993</v>
      </c>
      <c r="D55" s="11">
        <f t="shared" si="8"/>
        <v>9493.5447727999999</v>
      </c>
      <c r="E55" s="11">
        <f t="shared" si="9"/>
        <v>9493.5447727999999</v>
      </c>
      <c r="F55" s="11">
        <f t="shared" si="10"/>
        <v>8630.4952479999993</v>
      </c>
      <c r="G55" s="11">
        <f t="shared" si="11"/>
        <v>9062.0200103999996</v>
      </c>
      <c r="H55" s="11">
        <f t="shared" si="12"/>
        <v>8630.4952479999993</v>
      </c>
      <c r="I55" s="11">
        <f t="shared" si="13"/>
        <v>8630.4952479999993</v>
      </c>
      <c r="J55" s="11">
        <f t="shared" si="14"/>
        <v>9493.5447727999999</v>
      </c>
      <c r="K55" s="11">
        <f t="shared" si="15"/>
        <v>8630.4952479999993</v>
      </c>
      <c r="L55" s="11">
        <f t="shared" si="16"/>
        <v>9062.0200103999996</v>
      </c>
      <c r="M55" s="11">
        <f t="shared" si="17"/>
        <v>9062.0200103999996</v>
      </c>
    </row>
    <row r="56" spans="1:13" x14ac:dyDescent="0.2">
      <c r="A56" s="1" t="str">
        <f t="shared" si="5"/>
        <v>TBC</v>
      </c>
      <c r="B56" s="11">
        <f t="shared" si="6"/>
        <v>0</v>
      </c>
      <c r="C56" s="11">
        <f t="shared" si="7"/>
        <v>0</v>
      </c>
      <c r="D56" s="11">
        <f t="shared" si="8"/>
        <v>0</v>
      </c>
      <c r="E56" s="11">
        <f t="shared" si="9"/>
        <v>0</v>
      </c>
      <c r="F56" s="11">
        <f t="shared" si="10"/>
        <v>0</v>
      </c>
      <c r="G56" s="11">
        <f t="shared" si="11"/>
        <v>0</v>
      </c>
      <c r="H56" s="11">
        <f t="shared" si="12"/>
        <v>0</v>
      </c>
      <c r="I56" s="11">
        <f t="shared" si="13"/>
        <v>0</v>
      </c>
      <c r="J56" s="11">
        <f t="shared" si="14"/>
        <v>0</v>
      </c>
      <c r="K56" s="11">
        <f t="shared" si="15"/>
        <v>0</v>
      </c>
      <c r="L56" s="11">
        <f t="shared" si="16"/>
        <v>0</v>
      </c>
      <c r="M56" s="11">
        <f t="shared" si="17"/>
        <v>0</v>
      </c>
    </row>
    <row r="57" spans="1:13" x14ac:dyDescent="0.2">
      <c r="A57" s="1" t="str">
        <f t="shared" si="5"/>
        <v>TBC</v>
      </c>
      <c r="B57" s="11">
        <f t="shared" si="6"/>
        <v>0</v>
      </c>
      <c r="C57" s="11">
        <f t="shared" si="7"/>
        <v>0</v>
      </c>
      <c r="D57" s="11">
        <f t="shared" si="8"/>
        <v>0</v>
      </c>
      <c r="E57" s="11">
        <f t="shared" si="9"/>
        <v>0</v>
      </c>
      <c r="F57" s="11">
        <f t="shared" si="10"/>
        <v>0</v>
      </c>
      <c r="G57" s="11">
        <f t="shared" si="11"/>
        <v>0</v>
      </c>
      <c r="H57" s="11">
        <f t="shared" si="12"/>
        <v>0</v>
      </c>
      <c r="I57" s="11">
        <f t="shared" si="13"/>
        <v>0</v>
      </c>
      <c r="J57" s="11">
        <f t="shared" si="14"/>
        <v>0</v>
      </c>
      <c r="K57" s="11">
        <f t="shared" si="15"/>
        <v>0</v>
      </c>
      <c r="L57" s="11">
        <f t="shared" si="16"/>
        <v>0</v>
      </c>
      <c r="M57" s="11">
        <f t="shared" si="17"/>
        <v>0</v>
      </c>
    </row>
    <row r="58" spans="1:13" x14ac:dyDescent="0.2">
      <c r="A58" s="552" t="s">
        <v>1197</v>
      </c>
      <c r="B58" s="11"/>
      <c r="C58" s="617"/>
      <c r="D58" s="554">
        <f>45*$D$48</f>
        <v>990</v>
      </c>
      <c r="E58" s="554">
        <f>45*$E$48</f>
        <v>990</v>
      </c>
      <c r="F58" s="554">
        <f>45*$F$48+1500</f>
        <v>2400</v>
      </c>
      <c r="G58" s="11"/>
      <c r="H58" s="11"/>
      <c r="I58" s="11"/>
      <c r="J58" s="11"/>
      <c r="K58" s="11"/>
      <c r="L58" s="11"/>
      <c r="M58" s="11"/>
    </row>
    <row r="59" spans="1:13" x14ac:dyDescent="0.2">
      <c r="A59" s="552" t="s">
        <v>1198</v>
      </c>
      <c r="B59" s="11"/>
      <c r="C59" s="618"/>
      <c r="D59" s="554">
        <f t="shared" ref="D59:D60" si="18">45*$D$48</f>
        <v>990</v>
      </c>
      <c r="E59" s="554">
        <f t="shared" ref="E59:E60" si="19">45*$E$48</f>
        <v>990</v>
      </c>
      <c r="F59" s="554">
        <f t="shared" ref="F59:F60" si="20">45*$F$48+1500</f>
        <v>2400</v>
      </c>
      <c r="G59" s="11"/>
      <c r="H59" s="11"/>
      <c r="I59" s="11"/>
      <c r="J59" s="11"/>
      <c r="K59" s="11"/>
      <c r="L59" s="11"/>
      <c r="M59" s="11"/>
    </row>
    <row r="60" spans="1:13" x14ac:dyDescent="0.2">
      <c r="A60" s="552" t="s">
        <v>1199</v>
      </c>
      <c r="B60" s="11"/>
      <c r="C60" s="617"/>
      <c r="D60" s="554">
        <f t="shared" si="18"/>
        <v>990</v>
      </c>
      <c r="E60" s="554">
        <f t="shared" si="19"/>
        <v>990</v>
      </c>
      <c r="F60" s="554">
        <f t="shared" si="20"/>
        <v>2400</v>
      </c>
      <c r="G60" s="11"/>
      <c r="H60" s="11"/>
      <c r="I60" s="11"/>
      <c r="J60" s="11"/>
      <c r="K60" s="11"/>
      <c r="L60" s="11"/>
      <c r="M60" s="11"/>
    </row>
    <row r="61" spans="1:13" x14ac:dyDescent="0.2">
      <c r="A61" s="553" t="s">
        <v>1103</v>
      </c>
      <c r="B61" s="11"/>
      <c r="C61" s="617"/>
      <c r="D61" s="554">
        <f>SUM(D58:D60)*1.12</f>
        <v>3326.4</v>
      </c>
      <c r="E61" s="554">
        <f>SUM(E58:E60)*1.12</f>
        <v>3326.4</v>
      </c>
      <c r="F61" s="554">
        <f>SUM(F58:F60)*1.12</f>
        <v>8064.0000000000009</v>
      </c>
      <c r="G61" s="11"/>
      <c r="H61" s="11"/>
      <c r="I61" s="11"/>
      <c r="J61" s="11"/>
      <c r="K61" s="11"/>
      <c r="L61" s="11"/>
      <c r="M61" s="11"/>
    </row>
    <row r="62" spans="1:13" x14ac:dyDescent="0.2">
      <c r="A62" s="1" t="s">
        <v>1208</v>
      </c>
      <c r="B62" s="11">
        <f>SUM(B50:B57)</f>
        <v>50075.566880000006</v>
      </c>
      <c r="C62" s="11">
        <f t="shared" ref="C62:M62" si="21">SUM(C50:C57)</f>
        <v>44850.290335999998</v>
      </c>
      <c r="D62" s="11">
        <f>SUM(D50:D61)</f>
        <v>55631.719369600003</v>
      </c>
      <c r="E62" s="11">
        <f>SUM(E50:E61)</f>
        <v>55631.719369600003</v>
      </c>
      <c r="F62" s="11">
        <f>SUM(F50:F61)</f>
        <v>60114.290335999998</v>
      </c>
      <c r="G62" s="11">
        <f t="shared" si="21"/>
        <v>47092.804852799993</v>
      </c>
      <c r="H62" s="11">
        <f t="shared" si="21"/>
        <v>44850.290335999998</v>
      </c>
      <c r="I62" s="11">
        <f t="shared" si="21"/>
        <v>44850.290335999998</v>
      </c>
      <c r="J62" s="11">
        <f t="shared" si="21"/>
        <v>49335.319369600002</v>
      </c>
      <c r="K62" s="11">
        <f t="shared" si="21"/>
        <v>44850.290335999998</v>
      </c>
      <c r="L62" s="11">
        <f t="shared" si="21"/>
        <v>47092.804852799993</v>
      </c>
      <c r="M62" s="11">
        <f t="shared" si="21"/>
        <v>47092.804852799993</v>
      </c>
    </row>
    <row r="63" spans="1:13" x14ac:dyDescent="0.2">
      <c r="A63" s="1" t="s">
        <v>560</v>
      </c>
      <c r="B63" s="11">
        <f>SUM(B50,)*0.7</f>
        <v>4423.0821599999999</v>
      </c>
      <c r="C63" s="11">
        <f t="shared" ref="C63:M63" si="22">SUM(C50,)*0.7</f>
        <v>3961.5431519999997</v>
      </c>
      <c r="D63" s="11">
        <f t="shared" si="22"/>
        <v>4357.6974671999988</v>
      </c>
      <c r="E63" s="11">
        <f t="shared" si="22"/>
        <v>4357.6974671999988</v>
      </c>
      <c r="F63" s="11">
        <f t="shared" si="22"/>
        <v>3961.5431519999997</v>
      </c>
      <c r="G63" s="11">
        <f t="shared" si="22"/>
        <v>4159.620309599999</v>
      </c>
      <c r="H63" s="11">
        <f t="shared" si="22"/>
        <v>3961.5431519999997</v>
      </c>
      <c r="I63" s="11">
        <f t="shared" si="22"/>
        <v>3961.5431519999997</v>
      </c>
      <c r="J63" s="11">
        <f t="shared" si="22"/>
        <v>4357.6974671999988</v>
      </c>
      <c r="K63" s="11">
        <f t="shared" si="22"/>
        <v>3961.5431519999997</v>
      </c>
      <c r="L63" s="11">
        <f t="shared" si="22"/>
        <v>4159.620309599999</v>
      </c>
      <c r="M63" s="11">
        <f t="shared" si="22"/>
        <v>4159.620309599999</v>
      </c>
    </row>
    <row r="64" spans="1:13" x14ac:dyDescent="0.2">
      <c r="A64" s="272" t="s">
        <v>1038</v>
      </c>
      <c r="B64" s="11">
        <f>SUM(B51)*0.7</f>
        <v>5086.5438399999994</v>
      </c>
      <c r="C64" s="11">
        <f t="shared" ref="C64:M64" si="23">SUM(C51)*0.7</f>
        <v>4555.7740479999993</v>
      </c>
      <c r="D64" s="11">
        <f>SUM(D51,D58:D61)*0.7</f>
        <v>9418.8314527999992</v>
      </c>
      <c r="E64" s="11">
        <f t="shared" ref="E64:F64" si="24">SUM(E51,E58:E61)*0.7</f>
        <v>9418.8314527999992</v>
      </c>
      <c r="F64" s="11">
        <f t="shared" si="24"/>
        <v>15240.574048</v>
      </c>
      <c r="G64" s="11">
        <f t="shared" si="23"/>
        <v>4783.5627503999985</v>
      </c>
      <c r="H64" s="11">
        <f t="shared" si="23"/>
        <v>4555.7740479999993</v>
      </c>
      <c r="I64" s="11">
        <f t="shared" si="23"/>
        <v>4555.7740479999993</v>
      </c>
      <c r="J64" s="11">
        <f t="shared" si="23"/>
        <v>5011.3514527999987</v>
      </c>
      <c r="K64" s="11">
        <f t="shared" si="23"/>
        <v>4555.7740479999993</v>
      </c>
      <c r="L64" s="11">
        <f t="shared" si="23"/>
        <v>4783.5627503999985</v>
      </c>
      <c r="M64" s="11">
        <f t="shared" si="23"/>
        <v>4783.5627503999985</v>
      </c>
    </row>
    <row r="65" spans="1:13" x14ac:dyDescent="0.2">
      <c r="A65" s="1" t="s">
        <v>561</v>
      </c>
      <c r="B65" s="11">
        <f>SUM(B53:B55)*0.6</f>
        <v>15733.517999999998</v>
      </c>
      <c r="C65" s="11">
        <f t="shared" ref="C65:M65" si="25">SUM(C53:C55)*0.6</f>
        <v>14091.759599999999</v>
      </c>
      <c r="D65" s="11">
        <f t="shared" si="25"/>
        <v>15500.935559999998</v>
      </c>
      <c r="E65" s="11">
        <f t="shared" si="25"/>
        <v>15500.935559999998</v>
      </c>
      <c r="F65" s="11">
        <f t="shared" si="25"/>
        <v>14091.759599999999</v>
      </c>
      <c r="G65" s="11">
        <f t="shared" si="25"/>
        <v>14796.34758</v>
      </c>
      <c r="H65" s="11">
        <f t="shared" si="25"/>
        <v>14091.759599999999</v>
      </c>
      <c r="I65" s="11">
        <f t="shared" si="25"/>
        <v>14091.759599999999</v>
      </c>
      <c r="J65" s="11">
        <f t="shared" si="25"/>
        <v>15500.935559999998</v>
      </c>
      <c r="K65" s="11">
        <f t="shared" si="25"/>
        <v>14091.759599999999</v>
      </c>
      <c r="L65" s="11">
        <f t="shared" si="25"/>
        <v>14796.34758</v>
      </c>
      <c r="M65" s="11">
        <f t="shared" si="25"/>
        <v>14796.34758</v>
      </c>
    </row>
    <row r="66" spans="1:13" x14ac:dyDescent="0.2">
      <c r="A66" s="1" t="s">
        <v>1054</v>
      </c>
      <c r="B66" s="11">
        <f>B52*0.1</f>
        <v>1026.7856879999999</v>
      </c>
      <c r="C66" s="11">
        <f t="shared" ref="C66:M66" si="26">C52*0.1</f>
        <v>919.64283360000013</v>
      </c>
      <c r="D66" s="11">
        <f t="shared" si="26"/>
        <v>1011.60711696</v>
      </c>
      <c r="E66" s="11">
        <f t="shared" si="26"/>
        <v>1011.60711696</v>
      </c>
      <c r="F66" s="11">
        <f t="shared" si="26"/>
        <v>919.64283360000013</v>
      </c>
      <c r="G66" s="11">
        <f t="shared" si="26"/>
        <v>965.62497528000006</v>
      </c>
      <c r="H66" s="11">
        <f t="shared" si="26"/>
        <v>919.64283360000013</v>
      </c>
      <c r="I66" s="11">
        <f t="shared" si="26"/>
        <v>919.64283360000013</v>
      </c>
      <c r="J66" s="11">
        <f t="shared" si="26"/>
        <v>1011.60711696</v>
      </c>
      <c r="K66" s="11">
        <f t="shared" si="26"/>
        <v>919.64283360000013</v>
      </c>
      <c r="L66" s="11">
        <f t="shared" si="26"/>
        <v>965.62497528000006</v>
      </c>
      <c r="M66" s="11">
        <f t="shared" si="26"/>
        <v>965.62497528000006</v>
      </c>
    </row>
    <row r="67" spans="1:13" x14ac:dyDescent="0.2">
      <c r="A67" s="1" t="s">
        <v>1041</v>
      </c>
      <c r="B67" s="11">
        <f>SUM(B63,B65:B66)*0.12</f>
        <v>2542.0063017599996</v>
      </c>
      <c r="C67" s="11">
        <f t="shared" ref="C67:M67" si="27">SUM(C63,C65:C66)*0.12</f>
        <v>2276.753470272</v>
      </c>
      <c r="D67" s="11">
        <f t="shared" si="27"/>
        <v>2504.4288172991996</v>
      </c>
      <c r="E67" s="11">
        <f t="shared" si="27"/>
        <v>2504.4288172991996</v>
      </c>
      <c r="F67" s="11">
        <f t="shared" si="27"/>
        <v>2276.753470272</v>
      </c>
      <c r="G67" s="11">
        <f t="shared" si="27"/>
        <v>2390.5911437855993</v>
      </c>
      <c r="H67" s="11">
        <f t="shared" si="27"/>
        <v>2276.753470272</v>
      </c>
      <c r="I67" s="11">
        <f t="shared" si="27"/>
        <v>2276.753470272</v>
      </c>
      <c r="J67" s="11">
        <f t="shared" si="27"/>
        <v>2504.4288172991996</v>
      </c>
      <c r="K67" s="11">
        <f t="shared" si="27"/>
        <v>2276.753470272</v>
      </c>
      <c r="L67" s="11">
        <f t="shared" si="27"/>
        <v>2390.5911437855993</v>
      </c>
      <c r="M67" s="11">
        <f t="shared" si="27"/>
        <v>2390.5911437855993</v>
      </c>
    </row>
    <row r="68" spans="1:13" x14ac:dyDescent="0.2">
      <c r="A68" s="1" t="s">
        <v>1042</v>
      </c>
      <c r="B68" s="11">
        <f>B64*0.12</f>
        <v>610.38526079999986</v>
      </c>
      <c r="C68" s="11">
        <f t="shared" ref="C68:M68" si="28">C64*0.12</f>
        <v>546.69288575999985</v>
      </c>
      <c r="D68" s="11">
        <f t="shared" si="28"/>
        <v>1130.259774336</v>
      </c>
      <c r="E68" s="11">
        <f t="shared" si="28"/>
        <v>1130.259774336</v>
      </c>
      <c r="F68" s="11">
        <f t="shared" si="28"/>
        <v>1828.86888576</v>
      </c>
      <c r="G68" s="11">
        <f t="shared" si="28"/>
        <v>574.02753004799979</v>
      </c>
      <c r="H68" s="11">
        <f t="shared" si="28"/>
        <v>546.69288575999985</v>
      </c>
      <c r="I68" s="11">
        <f t="shared" si="28"/>
        <v>546.69288575999985</v>
      </c>
      <c r="J68" s="11">
        <f t="shared" si="28"/>
        <v>601.36217433599984</v>
      </c>
      <c r="K68" s="11">
        <f t="shared" si="28"/>
        <v>546.69288575999985</v>
      </c>
      <c r="L68" s="11">
        <f t="shared" si="28"/>
        <v>574.02753004799979</v>
      </c>
      <c r="M68" s="11">
        <f t="shared" si="28"/>
        <v>574.02753004799979</v>
      </c>
    </row>
    <row r="69" spans="1:13" x14ac:dyDescent="0.2">
      <c r="A69" s="1" t="s">
        <v>562</v>
      </c>
      <c r="B69" s="11">
        <f>SUM(B50)*0.3</f>
        <v>1895.60664</v>
      </c>
      <c r="C69" s="11">
        <f t="shared" ref="C69:M69" si="29">SUM(C50)*0.3</f>
        <v>1697.8042079999998</v>
      </c>
      <c r="D69" s="11">
        <f>SUM(D50,D58:D61)*0.3</f>
        <v>3756.5046287999994</v>
      </c>
      <c r="E69" s="11">
        <f t="shared" ref="E69:F69" si="30">SUM(E50,E58:E61)*0.3</f>
        <v>3756.5046287999994</v>
      </c>
      <c r="F69" s="11">
        <f t="shared" si="30"/>
        <v>6277.0042079999994</v>
      </c>
      <c r="G69" s="11">
        <f t="shared" si="29"/>
        <v>1782.6944183999997</v>
      </c>
      <c r="H69" s="11">
        <f t="shared" si="29"/>
        <v>1697.8042079999998</v>
      </c>
      <c r="I69" s="11">
        <f t="shared" si="29"/>
        <v>1697.8042079999998</v>
      </c>
      <c r="J69" s="11">
        <f t="shared" si="29"/>
        <v>1867.5846287999996</v>
      </c>
      <c r="K69" s="11">
        <f t="shared" si="29"/>
        <v>1697.8042079999998</v>
      </c>
      <c r="L69" s="11">
        <f t="shared" si="29"/>
        <v>1782.6944183999997</v>
      </c>
      <c r="M69" s="11">
        <f t="shared" si="29"/>
        <v>1782.6944183999997</v>
      </c>
    </row>
    <row r="70" spans="1:13" x14ac:dyDescent="0.2">
      <c r="A70" s="1" t="s">
        <v>563</v>
      </c>
      <c r="B70" s="11">
        <f>SUM(B53:B55)*0.35</f>
        <v>9177.8854999999985</v>
      </c>
      <c r="C70" s="11">
        <f t="shared" ref="C70:M70" si="31">SUM(C53:C55)*0.35</f>
        <v>8220.1930999999986</v>
      </c>
      <c r="D70" s="11">
        <f t="shared" si="31"/>
        <v>9042.2124099999983</v>
      </c>
      <c r="E70" s="11">
        <f t="shared" si="31"/>
        <v>9042.2124099999983</v>
      </c>
      <c r="F70" s="11">
        <f t="shared" si="31"/>
        <v>8220.1930999999986</v>
      </c>
      <c r="G70" s="11">
        <f t="shared" si="31"/>
        <v>8631.2027550000003</v>
      </c>
      <c r="H70" s="11">
        <f t="shared" si="31"/>
        <v>8220.1930999999986</v>
      </c>
      <c r="I70" s="11">
        <f t="shared" si="31"/>
        <v>8220.1930999999986</v>
      </c>
      <c r="J70" s="11">
        <f t="shared" si="31"/>
        <v>9042.2124099999983</v>
      </c>
      <c r="K70" s="11">
        <f t="shared" si="31"/>
        <v>8220.1930999999986</v>
      </c>
      <c r="L70" s="11">
        <f t="shared" si="31"/>
        <v>8631.2027550000003</v>
      </c>
      <c r="M70" s="11">
        <f t="shared" si="31"/>
        <v>8631.2027550000003</v>
      </c>
    </row>
    <row r="71" spans="1:13" x14ac:dyDescent="0.2">
      <c r="A71" s="1" t="s">
        <v>1055</v>
      </c>
      <c r="B71" s="11">
        <f>B52*0.9</f>
        <v>9241.0711919999994</v>
      </c>
      <c r="C71" s="11">
        <f t="shared" ref="C71:M71" si="32">C52*0.9</f>
        <v>8276.7855024000019</v>
      </c>
      <c r="D71" s="11">
        <f t="shared" si="32"/>
        <v>9104.4640526399999</v>
      </c>
      <c r="E71" s="11">
        <f t="shared" si="32"/>
        <v>9104.4640526399999</v>
      </c>
      <c r="F71" s="11">
        <f t="shared" si="32"/>
        <v>8276.7855024000019</v>
      </c>
      <c r="G71" s="11">
        <f t="shared" si="32"/>
        <v>8690.6247775200009</v>
      </c>
      <c r="H71" s="11">
        <f t="shared" si="32"/>
        <v>8276.7855024000019</v>
      </c>
      <c r="I71" s="11">
        <f t="shared" si="32"/>
        <v>8276.7855024000019</v>
      </c>
      <c r="J71" s="11">
        <f t="shared" si="32"/>
        <v>9104.4640526399999</v>
      </c>
      <c r="K71" s="11">
        <f t="shared" si="32"/>
        <v>8276.7855024000019</v>
      </c>
      <c r="L71" s="11">
        <f t="shared" si="32"/>
        <v>8690.6247775200009</v>
      </c>
      <c r="M71" s="11">
        <f t="shared" si="32"/>
        <v>8690.6247775200009</v>
      </c>
    </row>
    <row r="72" spans="1:13" x14ac:dyDescent="0.2">
      <c r="A72" s="1" t="s">
        <v>214</v>
      </c>
      <c r="B72" s="11">
        <f>SUM(B69:B71)*0.12</f>
        <v>2437.7475998399996</v>
      </c>
      <c r="C72" s="11">
        <f t="shared" ref="C72:M72" si="33">SUM(C69:C71)*0.12</f>
        <v>2183.3739372479999</v>
      </c>
      <c r="D72" s="11">
        <f t="shared" si="33"/>
        <v>2628.3817309727997</v>
      </c>
      <c r="E72" s="11">
        <f t="shared" si="33"/>
        <v>2628.3817309727997</v>
      </c>
      <c r="F72" s="11">
        <f t="shared" si="33"/>
        <v>2732.8779372479999</v>
      </c>
      <c r="G72" s="11">
        <f t="shared" si="33"/>
        <v>2292.5426341104003</v>
      </c>
      <c r="H72" s="11">
        <f t="shared" si="33"/>
        <v>2183.3739372479999</v>
      </c>
      <c r="I72" s="11">
        <f t="shared" si="33"/>
        <v>2183.3739372479999</v>
      </c>
      <c r="J72" s="11">
        <f t="shared" si="33"/>
        <v>2401.7113309727997</v>
      </c>
      <c r="K72" s="11">
        <f t="shared" si="33"/>
        <v>2183.3739372479999</v>
      </c>
      <c r="L72" s="11">
        <f t="shared" si="33"/>
        <v>2292.5426341104003</v>
      </c>
      <c r="M72" s="11">
        <f t="shared" si="33"/>
        <v>2292.5426341104003</v>
      </c>
    </row>
    <row r="73" spans="1:13" x14ac:dyDescent="0.2"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</row>
    <row r="74" spans="1:13" x14ac:dyDescent="0.2">
      <c r="A74" s="199" t="s">
        <v>127</v>
      </c>
      <c r="B74" s="11" cm="1">
        <f t="array" ref="B74">(SUM(B50:B57)+SUM(-PRD!H9:H10))*0.03</f>
        <v>1668.5076751500003</v>
      </c>
      <c r="C74" s="11" cm="1">
        <f t="array" ref="C74">(SUM(C50:C57)+SUM(-PRD!I9:I10))*0.03</f>
        <v>1854.2215428299999</v>
      </c>
      <c r="D74" s="11" cm="1">
        <f t="array" ref="D74">(SUM(D50:D57)+SUM(-PRD!J9:J10))*0.03</f>
        <v>1546.176428838</v>
      </c>
      <c r="E74" s="11" cm="1">
        <f t="array" ref="E74">(SUM(E50:E57)+SUM(-PRD!K9:K10))*0.03</f>
        <v>1676.001902838</v>
      </c>
      <c r="F74" s="11" cm="1">
        <f t="array" ref="F74">(SUM(F50:F57)+SUM(-PRD!L9:L10))*0.03</f>
        <v>1493.0452188300001</v>
      </c>
      <c r="G74" s="11" cm="1">
        <f t="array" ref="G74">(SUM(G50:G57)+SUM(-PRD!M9:M10))*0.03</f>
        <v>2074.385259834</v>
      </c>
      <c r="H74" s="11" cm="1">
        <f t="array" ref="H74">(SUM(H50:H57)+SUM(-PRD!N9:N10))*0.03</f>
        <v>1366.1903500799999</v>
      </c>
      <c r="I74" s="11" cm="1">
        <f t="array" ref="I74">(SUM(I50:I57)+SUM(-PRD!O9:O10))*0.03</f>
        <v>1846.3458093300001</v>
      </c>
      <c r="J74" s="11" cm="1">
        <f t="array" ref="J74">(SUM(J50:J57)+SUM(-PRD!P9:P10))*0.03</f>
        <v>1690.4724868380001</v>
      </c>
      <c r="K74" s="11" cm="1">
        <f t="array" ref="K74">(SUM(K50:K57)+SUM(-PRD!Q9:Q10))*0.03</f>
        <v>1409.3934400799999</v>
      </c>
      <c r="L74" s="11" cm="1">
        <f t="array" ref="L74">(SUM(L50:L57)+SUM(-PRD!R9:R10))*0.03</f>
        <v>1697.9247585839996</v>
      </c>
      <c r="M74" s="11" cm="1">
        <f t="array" ref="M74">(SUM(M50:M57)+SUM(-PRD!S9:S10))*0.03</f>
        <v>2045.3517023339998</v>
      </c>
    </row>
    <row r="75" spans="1:13" x14ac:dyDescent="0.2">
      <c r="A75" s="199" t="s">
        <v>1214</v>
      </c>
      <c r="B75" s="41">
        <v>1595.88206666667</v>
      </c>
      <c r="C75" s="41">
        <f>B75</f>
        <v>1595.88206666667</v>
      </c>
      <c r="D75" s="41">
        <f t="shared" ref="D75:M75" si="34">C75</f>
        <v>1595.88206666667</v>
      </c>
      <c r="E75" s="41">
        <f t="shared" si="34"/>
        <v>1595.88206666667</v>
      </c>
      <c r="F75" s="41">
        <f t="shared" si="34"/>
        <v>1595.88206666667</v>
      </c>
      <c r="G75" s="41">
        <f t="shared" si="34"/>
        <v>1595.88206666667</v>
      </c>
      <c r="H75" s="41">
        <f t="shared" si="34"/>
        <v>1595.88206666667</v>
      </c>
      <c r="I75" s="41">
        <f t="shared" si="34"/>
        <v>1595.88206666667</v>
      </c>
      <c r="J75" s="41">
        <f t="shared" si="34"/>
        <v>1595.88206666667</v>
      </c>
      <c r="K75" s="41">
        <f t="shared" si="34"/>
        <v>1595.88206666667</v>
      </c>
      <c r="L75" s="41">
        <f t="shared" si="34"/>
        <v>1595.88206666667</v>
      </c>
      <c r="M75" s="41">
        <f t="shared" si="34"/>
        <v>1595.88206666667</v>
      </c>
    </row>
    <row r="76" spans="1:13" x14ac:dyDescent="0.2">
      <c r="A76" s="199" t="s">
        <v>166</v>
      </c>
      <c r="B76" s="9">
        <f>$H$11</f>
        <v>259.89000000000033</v>
      </c>
      <c r="C76" s="9">
        <f t="shared" ref="C76:M76" si="35">$H$11</f>
        <v>259.89000000000033</v>
      </c>
      <c r="D76" s="9">
        <f t="shared" si="35"/>
        <v>259.89000000000033</v>
      </c>
      <c r="E76" s="9">
        <f t="shared" si="35"/>
        <v>259.89000000000033</v>
      </c>
      <c r="F76" s="9">
        <f t="shared" si="35"/>
        <v>259.89000000000033</v>
      </c>
      <c r="G76" s="9">
        <f t="shared" si="35"/>
        <v>259.89000000000033</v>
      </c>
      <c r="H76" s="9">
        <f t="shared" si="35"/>
        <v>259.89000000000033</v>
      </c>
      <c r="I76" s="9">
        <f t="shared" si="35"/>
        <v>259.89000000000033</v>
      </c>
      <c r="J76" s="9">
        <f t="shared" si="35"/>
        <v>259.89000000000033</v>
      </c>
      <c r="K76" s="9">
        <f t="shared" si="35"/>
        <v>259.89000000000033</v>
      </c>
      <c r="L76" s="9">
        <f t="shared" si="35"/>
        <v>259.89000000000033</v>
      </c>
      <c r="M76" s="9">
        <f t="shared" si="35"/>
        <v>259.89000000000033</v>
      </c>
    </row>
    <row r="77" spans="1:13" x14ac:dyDescent="0.2">
      <c r="A77" s="1" t="s">
        <v>71</v>
      </c>
      <c r="B77" s="9">
        <f>$I$11</f>
        <v>530</v>
      </c>
      <c r="C77" s="9">
        <f t="shared" ref="C77:M77" si="36">$I$11</f>
        <v>530</v>
      </c>
      <c r="D77" s="9">
        <f t="shared" si="36"/>
        <v>530</v>
      </c>
      <c r="E77" s="9">
        <f t="shared" si="36"/>
        <v>530</v>
      </c>
      <c r="F77" s="9">
        <f t="shared" si="36"/>
        <v>530</v>
      </c>
      <c r="G77" s="9">
        <f t="shared" si="36"/>
        <v>530</v>
      </c>
      <c r="H77" s="9">
        <f t="shared" si="36"/>
        <v>530</v>
      </c>
      <c r="I77" s="9">
        <f t="shared" si="36"/>
        <v>530</v>
      </c>
      <c r="J77" s="9">
        <f t="shared" si="36"/>
        <v>530</v>
      </c>
      <c r="K77" s="9">
        <f t="shared" si="36"/>
        <v>530</v>
      </c>
      <c r="L77" s="9">
        <f t="shared" si="36"/>
        <v>530</v>
      </c>
      <c r="M77" s="9">
        <f t="shared" si="36"/>
        <v>530</v>
      </c>
    </row>
    <row r="78" spans="1:13" x14ac:dyDescent="0.2">
      <c r="B78" s="11"/>
      <c r="C78" s="11"/>
      <c r="D78" s="11"/>
    </row>
    <row r="79" spans="1:13" x14ac:dyDescent="0.2">
      <c r="E79" s="11"/>
      <c r="F79" s="11"/>
      <c r="G79" s="11"/>
      <c r="H79" s="11"/>
      <c r="I79" s="11"/>
      <c r="J79" s="11"/>
      <c r="K79" s="11"/>
      <c r="L79" s="11"/>
      <c r="M79" s="11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86785-88A6-4239-8EB1-1E8034816C96}">
  <sheetPr codeName="Sheet16">
    <tabColor rgb="FF92D050"/>
  </sheetPr>
  <dimension ref="A1:ET77"/>
  <sheetViews>
    <sheetView topLeftCell="CL37" zoomScaleNormal="100" workbookViewId="0">
      <selection activeCell="EG2" sqref="EG1:EG1048576"/>
    </sheetView>
  </sheetViews>
  <sheetFormatPr defaultColWidth="9.140625" defaultRowHeight="12.75" outlineLevelCol="2" x14ac:dyDescent="0.2"/>
  <cols>
    <col min="1" max="1" width="23.7109375" style="293" hidden="1" customWidth="1" outlineLevel="2"/>
    <col min="2" max="2" width="14.7109375" style="293" hidden="1" customWidth="1" outlineLevel="2"/>
    <col min="3" max="7" width="13.5703125" style="293" hidden="1" customWidth="1" outlineLevel="2"/>
    <col min="8" max="8" width="12.85546875" style="293" hidden="1" customWidth="1" outlineLevel="2"/>
    <col min="9" max="11" width="13.5703125" style="293" hidden="1" customWidth="1" outlineLevel="2"/>
    <col min="12" max="12" width="11.85546875" style="293" hidden="1" customWidth="1" outlineLevel="2"/>
    <col min="13" max="13" width="13" style="293" hidden="1" customWidth="1" outlineLevel="2"/>
    <col min="14" max="14" width="7" style="293" hidden="1" customWidth="1" outlineLevel="2"/>
    <col min="15" max="15" width="10.85546875" style="293" hidden="1" customWidth="1" outlineLevel="2"/>
    <col min="16" max="27" width="14.140625" style="293" hidden="1" customWidth="1" outlineLevel="2"/>
    <col min="28" max="28" width="16.5703125" style="293" hidden="1" customWidth="1" outlineLevel="2"/>
    <col min="29" max="29" width="12.42578125" style="293" hidden="1" customWidth="1" outlineLevel="2"/>
    <col min="30" max="30" width="16.28515625" style="293" hidden="1" customWidth="1" outlineLevel="1" collapsed="1"/>
    <col min="31" max="31" width="22.7109375" style="293" hidden="1" customWidth="1" outlineLevel="1"/>
    <col min="32" max="32" width="11.5703125" style="293" hidden="1" customWidth="1" outlineLevel="1"/>
    <col min="33" max="33" width="12.140625" style="293" hidden="1" customWidth="1" outlineLevel="1"/>
    <col min="34" max="34" width="13.5703125" style="293" hidden="1" customWidth="1" outlineLevel="1"/>
    <col min="35" max="35" width="12.7109375" style="293" hidden="1" customWidth="1" outlineLevel="1"/>
    <col min="36" max="37" width="12.140625" style="293" hidden="1" customWidth="1" outlineLevel="1"/>
    <col min="38" max="38" width="11.7109375" style="293" hidden="1" customWidth="1" outlineLevel="1"/>
    <col min="39" max="40" width="12.140625" style="293" hidden="1" customWidth="1" outlineLevel="1"/>
    <col min="41" max="41" width="11.7109375" style="293" hidden="1" customWidth="1" outlineLevel="1"/>
    <col min="42" max="43" width="12.140625" style="293" hidden="1" customWidth="1" outlineLevel="1"/>
    <col min="44" max="44" width="18.28515625" style="293" hidden="1" customWidth="1" outlineLevel="1"/>
    <col min="45" max="45" width="9.140625" style="293" hidden="1" customWidth="1" outlineLevel="1"/>
    <col min="46" max="46" width="16.28515625" style="293" hidden="1" customWidth="1" outlineLevel="1" collapsed="1"/>
    <col min="47" max="47" width="19.7109375" style="293" hidden="1" customWidth="1" outlineLevel="1"/>
    <col min="48" max="48" width="10.7109375" style="293" hidden="1" customWidth="1" outlineLevel="1"/>
    <col min="49" max="53" width="11.140625" style="293" hidden="1" customWidth="1" outlineLevel="1"/>
    <col min="54" max="54" width="10.7109375" style="293" hidden="1" customWidth="1" outlineLevel="1"/>
    <col min="55" max="56" width="11.140625" style="293" hidden="1" customWidth="1" outlineLevel="1"/>
    <col min="57" max="57" width="10.7109375" style="293" hidden="1" customWidth="1" outlineLevel="1"/>
    <col min="58" max="59" width="11.140625" style="293" hidden="1" customWidth="1" outlineLevel="1"/>
    <col min="60" max="60" width="18.28515625" style="293" hidden="1" customWidth="1" outlineLevel="1"/>
    <col min="61" max="61" width="27.28515625" style="293" hidden="1" customWidth="1" outlineLevel="1"/>
    <col min="62" max="62" width="11.7109375" style="293" hidden="1" customWidth="1" outlineLevel="1"/>
    <col min="63" max="63" width="12.7109375" style="293" hidden="1" customWidth="1" outlineLevel="1"/>
    <col min="64" max="64" width="12.140625" style="293" hidden="1" customWidth="1" outlineLevel="1"/>
    <col min="65" max="65" width="12.7109375" style="293" hidden="1" customWidth="1" outlineLevel="1"/>
    <col min="66" max="67" width="12.140625" style="293" hidden="1" customWidth="1" outlineLevel="1"/>
    <col min="68" max="68" width="11.7109375" style="293" hidden="1" customWidth="1" outlineLevel="1"/>
    <col min="69" max="69" width="12.7109375" style="293" hidden="1" customWidth="1" outlineLevel="1"/>
    <col min="70" max="70" width="12.140625" style="293" hidden="1" customWidth="1" outlineLevel="1"/>
    <col min="71" max="71" width="11.7109375" style="293" hidden="1" customWidth="1" outlineLevel="1"/>
    <col min="72" max="73" width="12.140625" style="293" hidden="1" customWidth="1" outlineLevel="1"/>
    <col min="74" max="74" width="14.28515625" style="293" hidden="1" customWidth="1" outlineLevel="1"/>
    <col min="75" max="75" width="9.140625" style="293" hidden="1" customWidth="1" outlineLevel="1"/>
    <col min="76" max="76" width="12" style="293" hidden="1" customWidth="1" outlineLevel="1"/>
    <col min="77" max="77" width="11.140625" style="293" hidden="1" customWidth="1" outlineLevel="1"/>
    <col min="78" max="79" width="9.7109375" style="293" hidden="1" customWidth="1" outlineLevel="1"/>
    <col min="80" max="80" width="12" style="293" hidden="1" customWidth="1" outlineLevel="1"/>
    <col min="81" max="81" width="10" style="293" hidden="1" customWidth="1" outlineLevel="1"/>
    <col min="82" max="87" width="9.7109375" style="293" hidden="1" customWidth="1" outlineLevel="1"/>
    <col min="88" max="88" width="11.140625" style="293" hidden="1" customWidth="1" outlineLevel="1"/>
    <col min="89" max="89" width="9.140625" style="293" hidden="1" customWidth="1" outlineLevel="1"/>
    <col min="90" max="90" width="16.28515625" style="293" bestFit="1" customWidth="1" collapsed="1"/>
    <col min="91" max="91" width="22.7109375" style="293" customWidth="1"/>
    <col min="92" max="92" width="11.7109375" style="293" bestFit="1" customWidth="1"/>
    <col min="93" max="93" width="12.7109375" style="293" customWidth="1"/>
    <col min="94" max="94" width="11.7109375" style="293" customWidth="1"/>
    <col min="95" max="95" width="12.7109375" style="293" customWidth="1"/>
    <col min="96" max="96" width="12.140625" style="293" customWidth="1"/>
    <col min="97" max="98" width="11.7109375" style="293" customWidth="1"/>
    <col min="99" max="99" width="12.7109375" style="293" customWidth="1"/>
    <col min="100" max="100" width="12.140625" style="293" customWidth="1"/>
    <col min="101" max="101" width="11.7109375" style="293" customWidth="1"/>
    <col min="102" max="102" width="12.140625" style="293" customWidth="1"/>
    <col min="103" max="103" width="12" style="293" customWidth="1"/>
    <col min="104" max="104" width="18.28515625" style="293" customWidth="1"/>
    <col min="105" max="105" width="9.140625" style="293"/>
    <col min="106" max="106" width="16.28515625" style="293" customWidth="1" collapsed="1"/>
    <col min="107" max="107" width="19.7109375" style="293" customWidth="1"/>
    <col min="108" max="108" width="10.7109375" style="293" customWidth="1"/>
    <col min="109" max="109" width="11.140625" style="293" customWidth="1"/>
    <col min="110" max="112" width="11.5703125" style="293" bestFit="1" customWidth="1"/>
    <col min="113" max="113" width="11.140625" style="293" customWidth="1"/>
    <col min="114" max="114" width="10.7109375" style="293" customWidth="1"/>
    <col min="115" max="116" width="11.140625" style="293" customWidth="1"/>
    <col min="117" max="117" width="10.7109375" style="293" customWidth="1"/>
    <col min="118" max="119" width="11.140625" style="293" customWidth="1"/>
    <col min="120" max="120" width="18.28515625" style="293" customWidth="1"/>
    <col min="121" max="121" width="27.28515625" style="293" customWidth="1"/>
    <col min="122" max="122" width="12.140625" style="293" bestFit="1" customWidth="1"/>
    <col min="123" max="123" width="12.7109375" style="293" customWidth="1"/>
    <col min="124" max="124" width="12.140625" style="293" customWidth="1"/>
    <col min="125" max="125" width="12.7109375" style="293" customWidth="1"/>
    <col min="126" max="127" width="12.140625" style="293" customWidth="1"/>
    <col min="128" max="128" width="11.7109375" style="293" customWidth="1"/>
    <col min="129" max="129" width="12.7109375" style="293" customWidth="1"/>
    <col min="130" max="130" width="12.140625" style="293" customWidth="1"/>
    <col min="131" max="131" width="11.7109375" style="293" customWidth="1"/>
    <col min="132" max="133" width="12.140625" style="293" customWidth="1"/>
    <col min="134" max="134" width="14.28515625" style="293" customWidth="1"/>
    <col min="135" max="135" width="9.140625" style="293"/>
    <col min="136" max="136" width="12" style="293" bestFit="1" customWidth="1"/>
    <col min="137" max="137" width="11.140625" style="293" bestFit="1" customWidth="1"/>
    <col min="138" max="139" width="9.7109375" style="293" bestFit="1" customWidth="1"/>
    <col min="140" max="140" width="12" style="293" bestFit="1" customWidth="1"/>
    <col min="141" max="141" width="10" style="293" bestFit="1" customWidth="1"/>
    <col min="142" max="147" width="9.7109375" style="293" bestFit="1" customWidth="1"/>
    <col min="148" max="148" width="11.140625" style="293" bestFit="1" customWidth="1"/>
    <col min="149" max="16384" width="9.140625" style="293"/>
  </cols>
  <sheetData>
    <row r="1" spans="1:148" ht="13.5" thickBot="1" x14ac:dyDescent="0.25">
      <c r="AD1" s="356">
        <v>46054</v>
      </c>
      <c r="AE1" s="359" t="s">
        <v>925</v>
      </c>
      <c r="AT1" s="356">
        <v>45839</v>
      </c>
      <c r="AU1" s="359" t="s">
        <v>925</v>
      </c>
      <c r="BJ1" s="724" t="s">
        <v>712</v>
      </c>
      <c r="BK1" s="725"/>
      <c r="BX1" s="724" t="s">
        <v>695</v>
      </c>
      <c r="BY1" s="725"/>
      <c r="CL1" s="621">
        <v>46235</v>
      </c>
      <c r="CM1" s="359" t="s">
        <v>925</v>
      </c>
      <c r="DB1" s="621">
        <v>46204</v>
      </c>
      <c r="DC1" s="359" t="s">
        <v>925</v>
      </c>
      <c r="DR1" s="724" t="s">
        <v>712</v>
      </c>
      <c r="DS1" s="725"/>
      <c r="EF1" s="724" t="s">
        <v>695</v>
      </c>
      <c r="EG1" s="725"/>
    </row>
    <row r="2" spans="1:148" x14ac:dyDescent="0.2">
      <c r="A2" s="293" t="s">
        <v>564</v>
      </c>
      <c r="B2" s="294" t="s">
        <v>565</v>
      </c>
      <c r="C2" s="295" t="s">
        <v>566</v>
      </c>
      <c r="D2" s="295" t="s">
        <v>567</v>
      </c>
      <c r="E2" s="295" t="s">
        <v>568</v>
      </c>
      <c r="F2" s="295" t="s">
        <v>569</v>
      </c>
      <c r="G2" s="296" t="s">
        <v>570</v>
      </c>
      <c r="H2" s="297" t="s">
        <v>270</v>
      </c>
      <c r="I2" s="294" t="s">
        <v>571</v>
      </c>
      <c r="J2" s="295" t="s">
        <v>572</v>
      </c>
      <c r="K2" s="295" t="s">
        <v>573</v>
      </c>
      <c r="L2" s="295" t="s">
        <v>574</v>
      </c>
      <c r="M2" s="295" t="s">
        <v>575</v>
      </c>
      <c r="N2" s="296" t="s">
        <v>576</v>
      </c>
      <c r="O2" s="297" t="s">
        <v>577</v>
      </c>
      <c r="P2" s="336" t="s">
        <v>578</v>
      </c>
      <c r="Q2" s="336" t="s">
        <v>579</v>
      </c>
      <c r="R2" s="336" t="s">
        <v>580</v>
      </c>
      <c r="S2" s="336" t="s">
        <v>581</v>
      </c>
      <c r="T2" s="336" t="s">
        <v>582</v>
      </c>
      <c r="U2" s="336" t="s">
        <v>583</v>
      </c>
      <c r="V2" s="336" t="s">
        <v>584</v>
      </c>
      <c r="W2" s="336" t="s">
        <v>585</v>
      </c>
      <c r="X2" s="336" t="s">
        <v>586</v>
      </c>
      <c r="Y2" s="336" t="s">
        <v>587</v>
      </c>
      <c r="Z2" s="336" t="s">
        <v>588</v>
      </c>
      <c r="AA2" s="336" t="s">
        <v>589</v>
      </c>
      <c r="AB2" s="337" t="s">
        <v>590</v>
      </c>
      <c r="AC2" s="337" t="s">
        <v>591</v>
      </c>
      <c r="AD2" s="724" t="s">
        <v>712</v>
      </c>
      <c r="AE2" s="725"/>
      <c r="AF2" s="364">
        <v>45839</v>
      </c>
      <c r="AG2" s="364">
        <v>45870</v>
      </c>
      <c r="AH2" s="364">
        <v>45901</v>
      </c>
      <c r="AI2" s="364">
        <v>45931</v>
      </c>
      <c r="AJ2" s="364">
        <v>45962</v>
      </c>
      <c r="AK2" s="364">
        <v>45992</v>
      </c>
      <c r="AL2" s="364">
        <v>46023</v>
      </c>
      <c r="AM2" s="364">
        <v>46054</v>
      </c>
      <c r="AN2" s="364">
        <v>46082</v>
      </c>
      <c r="AO2" s="364">
        <v>46113</v>
      </c>
      <c r="AP2" s="364">
        <v>46143</v>
      </c>
      <c r="AQ2" s="364">
        <v>46174</v>
      </c>
      <c r="AR2" s="371" t="s">
        <v>926</v>
      </c>
      <c r="AT2" s="724" t="s">
        <v>695</v>
      </c>
      <c r="AU2" s="725"/>
      <c r="AV2" s="364">
        <v>45839</v>
      </c>
      <c r="AW2" s="364">
        <v>45870</v>
      </c>
      <c r="AX2" s="364">
        <v>45901</v>
      </c>
      <c r="AY2" s="364">
        <v>45931</v>
      </c>
      <c r="AZ2" s="364">
        <v>45962</v>
      </c>
      <c r="BA2" s="364">
        <v>45992</v>
      </c>
      <c r="BB2" s="364">
        <v>46023</v>
      </c>
      <c r="BC2" s="364">
        <v>46054</v>
      </c>
      <c r="BD2" s="364">
        <v>46082</v>
      </c>
      <c r="BE2" s="364">
        <v>46113</v>
      </c>
      <c r="BF2" s="364">
        <v>46143</v>
      </c>
      <c r="BG2" s="364">
        <v>46174</v>
      </c>
      <c r="BH2" s="371" t="s">
        <v>926</v>
      </c>
      <c r="BJ2" s="364">
        <v>45839</v>
      </c>
      <c r="BK2" s="364">
        <v>45870</v>
      </c>
      <c r="BL2" s="364">
        <v>45901</v>
      </c>
      <c r="BM2" s="364">
        <v>45931</v>
      </c>
      <c r="BN2" s="364">
        <v>45962</v>
      </c>
      <c r="BO2" s="364">
        <v>45992</v>
      </c>
      <c r="BP2" s="364">
        <v>46023</v>
      </c>
      <c r="BQ2" s="364">
        <v>46054</v>
      </c>
      <c r="BR2" s="364">
        <v>46082</v>
      </c>
      <c r="BS2" s="364">
        <v>46113</v>
      </c>
      <c r="BT2" s="364">
        <v>46143</v>
      </c>
      <c r="BU2" s="364">
        <v>46174</v>
      </c>
      <c r="BV2" s="371" t="s">
        <v>926</v>
      </c>
      <c r="BX2" s="364">
        <v>45839</v>
      </c>
      <c r="BY2" s="364">
        <v>45870</v>
      </c>
      <c r="BZ2" s="364">
        <v>45901</v>
      </c>
      <c r="CA2" s="364">
        <v>45931</v>
      </c>
      <c r="CB2" s="364">
        <v>45962</v>
      </c>
      <c r="CC2" s="364">
        <v>45992</v>
      </c>
      <c r="CD2" s="364">
        <v>46023</v>
      </c>
      <c r="CE2" s="364">
        <v>46054</v>
      </c>
      <c r="CF2" s="364">
        <v>46082</v>
      </c>
      <c r="CG2" s="364">
        <v>46113</v>
      </c>
      <c r="CH2" s="364">
        <v>46143</v>
      </c>
      <c r="CI2" s="364">
        <v>46174</v>
      </c>
      <c r="CJ2" s="371" t="s">
        <v>926</v>
      </c>
      <c r="CL2" s="724" t="s">
        <v>712</v>
      </c>
      <c r="CM2" s="725"/>
      <c r="CN2" s="364">
        <v>46204</v>
      </c>
      <c r="CO2" s="364">
        <v>46235</v>
      </c>
      <c r="CP2" s="364">
        <v>46266</v>
      </c>
      <c r="CQ2" s="364">
        <v>46296</v>
      </c>
      <c r="CR2" s="364">
        <v>46327</v>
      </c>
      <c r="CS2" s="364">
        <v>46357</v>
      </c>
      <c r="CT2" s="364">
        <v>46388</v>
      </c>
      <c r="CU2" s="364">
        <v>46419</v>
      </c>
      <c r="CV2" s="364">
        <v>46447</v>
      </c>
      <c r="CW2" s="364">
        <v>46478</v>
      </c>
      <c r="CX2" s="364">
        <v>46508</v>
      </c>
      <c r="CY2" s="364">
        <v>46539</v>
      </c>
      <c r="CZ2" s="371" t="s">
        <v>1204</v>
      </c>
      <c r="DB2" s="724" t="s">
        <v>695</v>
      </c>
      <c r="DC2" s="725"/>
      <c r="DD2" s="364">
        <f>CN2</f>
        <v>46204</v>
      </c>
      <c r="DE2" s="364">
        <f t="shared" ref="DE2:DP2" si="0">CO2</f>
        <v>46235</v>
      </c>
      <c r="DF2" s="364">
        <f t="shared" si="0"/>
        <v>46266</v>
      </c>
      <c r="DG2" s="364">
        <f t="shared" si="0"/>
        <v>46296</v>
      </c>
      <c r="DH2" s="364">
        <f t="shared" si="0"/>
        <v>46327</v>
      </c>
      <c r="DI2" s="364">
        <f t="shared" si="0"/>
        <v>46357</v>
      </c>
      <c r="DJ2" s="364">
        <f t="shared" si="0"/>
        <v>46388</v>
      </c>
      <c r="DK2" s="364">
        <f t="shared" si="0"/>
        <v>46419</v>
      </c>
      <c r="DL2" s="364">
        <f t="shared" si="0"/>
        <v>46447</v>
      </c>
      <c r="DM2" s="364">
        <f t="shared" si="0"/>
        <v>46478</v>
      </c>
      <c r="DN2" s="364">
        <f t="shared" si="0"/>
        <v>46508</v>
      </c>
      <c r="DO2" s="364">
        <f t="shared" si="0"/>
        <v>46539</v>
      </c>
      <c r="DP2" s="622" t="str">
        <f t="shared" si="0"/>
        <v>PRD FY27</v>
      </c>
      <c r="DR2" s="364">
        <f>CN2</f>
        <v>46204</v>
      </c>
      <c r="DS2" s="364">
        <f t="shared" ref="DS2:ED2" si="1">CO2</f>
        <v>46235</v>
      </c>
      <c r="DT2" s="364">
        <f t="shared" si="1"/>
        <v>46266</v>
      </c>
      <c r="DU2" s="364">
        <f t="shared" si="1"/>
        <v>46296</v>
      </c>
      <c r="DV2" s="364">
        <f t="shared" si="1"/>
        <v>46327</v>
      </c>
      <c r="DW2" s="364">
        <f t="shared" si="1"/>
        <v>46357</v>
      </c>
      <c r="DX2" s="364">
        <f t="shared" si="1"/>
        <v>46388</v>
      </c>
      <c r="DY2" s="364">
        <f t="shared" si="1"/>
        <v>46419</v>
      </c>
      <c r="DZ2" s="364">
        <f t="shared" si="1"/>
        <v>46447</v>
      </c>
      <c r="EA2" s="364">
        <f t="shared" si="1"/>
        <v>46478</v>
      </c>
      <c r="EB2" s="364">
        <f t="shared" si="1"/>
        <v>46508</v>
      </c>
      <c r="EC2" s="364">
        <f t="shared" si="1"/>
        <v>46539</v>
      </c>
      <c r="ED2" s="622" t="str">
        <f t="shared" si="1"/>
        <v>PRD FY27</v>
      </c>
      <c r="EF2" s="364">
        <f>CN2</f>
        <v>46204</v>
      </c>
      <c r="EG2" s="364">
        <f t="shared" ref="EG2:ER2" si="2">CO2</f>
        <v>46235</v>
      </c>
      <c r="EH2" s="364">
        <f t="shared" si="2"/>
        <v>46266</v>
      </c>
      <c r="EI2" s="364">
        <f t="shared" si="2"/>
        <v>46296</v>
      </c>
      <c r="EJ2" s="364">
        <f t="shared" si="2"/>
        <v>46327</v>
      </c>
      <c r="EK2" s="364">
        <f t="shared" si="2"/>
        <v>46357</v>
      </c>
      <c r="EL2" s="364">
        <f t="shared" si="2"/>
        <v>46388</v>
      </c>
      <c r="EM2" s="364">
        <f t="shared" si="2"/>
        <v>46419</v>
      </c>
      <c r="EN2" s="364">
        <f t="shared" si="2"/>
        <v>46447</v>
      </c>
      <c r="EO2" s="364">
        <f t="shared" si="2"/>
        <v>46478</v>
      </c>
      <c r="EP2" s="364">
        <f t="shared" si="2"/>
        <v>46508</v>
      </c>
      <c r="EQ2" s="364">
        <f t="shared" si="2"/>
        <v>46539</v>
      </c>
      <c r="ER2" s="622" t="str">
        <f t="shared" si="2"/>
        <v>PRD FY27</v>
      </c>
    </row>
    <row r="3" spans="1:148" x14ac:dyDescent="0.2">
      <c r="A3" s="234"/>
      <c r="B3" s="306"/>
      <c r="G3" s="307"/>
      <c r="H3" s="308">
        <f>SUM('PRD Sales Forecast'!$B3:$G3)</f>
        <v>0</v>
      </c>
      <c r="I3" s="306"/>
      <c r="N3" s="307"/>
      <c r="O3" s="308">
        <f>SUM('PRD Sales Forecast'!$I3:$N3)</f>
        <v>0</v>
      </c>
      <c r="P3" s="352"/>
      <c r="Q3" s="352"/>
      <c r="R3" s="352"/>
      <c r="S3" s="352"/>
      <c r="T3" s="352"/>
      <c r="U3" s="352"/>
      <c r="V3" s="352"/>
      <c r="W3" s="353"/>
      <c r="X3" s="353"/>
      <c r="Y3" s="353"/>
      <c r="Z3" s="354"/>
      <c r="AA3" s="354"/>
      <c r="AB3" s="355">
        <f>SUM('PRD Sales Forecast'!$P3:$AA3)</f>
        <v>0</v>
      </c>
      <c r="AC3" s="44"/>
      <c r="AD3" s="357" t="s">
        <v>915</v>
      </c>
      <c r="AE3" s="358" t="s">
        <v>923</v>
      </c>
      <c r="AF3" s="371" t="s">
        <v>931</v>
      </c>
      <c r="AG3" s="371" t="s">
        <v>931</v>
      </c>
      <c r="AH3" s="371" t="s">
        <v>931</v>
      </c>
      <c r="AI3" s="371" t="s">
        <v>931</v>
      </c>
      <c r="AJ3" s="371" t="s">
        <v>931</v>
      </c>
      <c r="AK3" s="371" t="s">
        <v>931</v>
      </c>
      <c r="AL3" s="371" t="s">
        <v>931</v>
      </c>
      <c r="AM3" s="371" t="s">
        <v>931</v>
      </c>
      <c r="AN3" s="371" t="s">
        <v>931</v>
      </c>
      <c r="AO3" s="371" t="s">
        <v>931</v>
      </c>
      <c r="AP3" s="371" t="s">
        <v>931</v>
      </c>
      <c r="AQ3" s="371" t="s">
        <v>931</v>
      </c>
      <c r="AR3" s="371" t="s">
        <v>263</v>
      </c>
      <c r="AT3" s="357" t="s">
        <v>915</v>
      </c>
      <c r="AU3" s="358" t="s">
        <v>923</v>
      </c>
      <c r="AV3" s="371" t="s">
        <v>931</v>
      </c>
      <c r="AW3" s="371" t="s">
        <v>931</v>
      </c>
      <c r="AX3" s="371" t="s">
        <v>931</v>
      </c>
      <c r="AY3" s="371" t="s">
        <v>931</v>
      </c>
      <c r="AZ3" s="371" t="s">
        <v>931</v>
      </c>
      <c r="BA3" s="371" t="s">
        <v>931</v>
      </c>
      <c r="BB3" s="371" t="s">
        <v>931</v>
      </c>
      <c r="BC3" s="371" t="s">
        <v>931</v>
      </c>
      <c r="BD3" s="371" t="s">
        <v>931</v>
      </c>
      <c r="BE3" s="371" t="s">
        <v>931</v>
      </c>
      <c r="BF3" s="371" t="s">
        <v>931</v>
      </c>
      <c r="BG3" s="371" t="s">
        <v>931</v>
      </c>
      <c r="BH3" s="371" t="s">
        <v>263</v>
      </c>
      <c r="BJ3" s="579" t="s">
        <v>264</v>
      </c>
      <c r="BK3" s="580" t="s">
        <v>264</v>
      </c>
      <c r="BL3" s="580" t="s">
        <v>264</v>
      </c>
      <c r="BM3" s="580" t="s">
        <v>264</v>
      </c>
      <c r="BN3" s="580" t="s">
        <v>264</v>
      </c>
      <c r="BO3" s="580" t="s">
        <v>264</v>
      </c>
      <c r="BP3" s="580" t="s">
        <v>264</v>
      </c>
      <c r="BQ3" s="580" t="s">
        <v>264</v>
      </c>
      <c r="BR3" s="580" t="s">
        <v>264</v>
      </c>
      <c r="BS3" s="580" t="s">
        <v>264</v>
      </c>
      <c r="BT3" s="371" t="s">
        <v>263</v>
      </c>
      <c r="BU3" s="371" t="s">
        <v>263</v>
      </c>
      <c r="BV3" s="371" t="s">
        <v>263</v>
      </c>
      <c r="BW3" s="359"/>
      <c r="BX3" s="581" t="s">
        <v>264</v>
      </c>
      <c r="BY3" s="582" t="s">
        <v>264</v>
      </c>
      <c r="BZ3" s="582" t="s">
        <v>264</v>
      </c>
      <c r="CA3" s="582" t="s">
        <v>264</v>
      </c>
      <c r="CB3" s="582" t="s">
        <v>264</v>
      </c>
      <c r="CC3" s="582" t="s">
        <v>264</v>
      </c>
      <c r="CD3" s="582" t="s">
        <v>264</v>
      </c>
      <c r="CE3" s="582" t="s">
        <v>264</v>
      </c>
      <c r="CF3" s="582" t="s">
        <v>264</v>
      </c>
      <c r="CG3" s="582" t="s">
        <v>264</v>
      </c>
      <c r="CH3" s="371" t="s">
        <v>263</v>
      </c>
      <c r="CI3" s="371" t="s">
        <v>263</v>
      </c>
      <c r="CJ3" s="476" t="s">
        <v>263</v>
      </c>
      <c r="CL3" s="626" t="s">
        <v>915</v>
      </c>
      <c r="CM3" s="358" t="s">
        <v>923</v>
      </c>
      <c r="CN3" s="371" t="s">
        <v>931</v>
      </c>
      <c r="CO3" s="371" t="s">
        <v>931</v>
      </c>
      <c r="CP3" s="371" t="s">
        <v>931</v>
      </c>
      <c r="CQ3" s="371" t="s">
        <v>931</v>
      </c>
      <c r="CR3" s="371" t="s">
        <v>931</v>
      </c>
      <c r="CS3" s="371" t="s">
        <v>931</v>
      </c>
      <c r="CT3" s="371" t="s">
        <v>931</v>
      </c>
      <c r="CU3" s="371" t="s">
        <v>931</v>
      </c>
      <c r="CV3" s="371" t="s">
        <v>931</v>
      </c>
      <c r="CW3" s="371" t="s">
        <v>931</v>
      </c>
      <c r="CX3" s="371" t="s">
        <v>931</v>
      </c>
      <c r="CY3" s="371" t="s">
        <v>931</v>
      </c>
      <c r="CZ3" s="371" t="s">
        <v>931</v>
      </c>
      <c r="DB3" s="357" t="s">
        <v>915</v>
      </c>
      <c r="DC3" s="358" t="s">
        <v>923</v>
      </c>
      <c r="DD3" s="371" t="s">
        <v>931</v>
      </c>
      <c r="DE3" s="371" t="s">
        <v>931</v>
      </c>
      <c r="DF3" s="371" t="s">
        <v>931</v>
      </c>
      <c r="DG3" s="371" t="s">
        <v>931</v>
      </c>
      <c r="DH3" s="371" t="s">
        <v>931</v>
      </c>
      <c r="DI3" s="371" t="s">
        <v>931</v>
      </c>
      <c r="DJ3" s="371" t="s">
        <v>931</v>
      </c>
      <c r="DK3" s="371" t="s">
        <v>931</v>
      </c>
      <c r="DL3" s="371" t="s">
        <v>931</v>
      </c>
      <c r="DM3" s="371" t="s">
        <v>931</v>
      </c>
      <c r="DN3" s="371" t="s">
        <v>931</v>
      </c>
      <c r="DO3" s="371" t="s">
        <v>931</v>
      </c>
      <c r="DP3" s="371" t="s">
        <v>931</v>
      </c>
      <c r="DR3" s="371" t="s">
        <v>264</v>
      </c>
      <c r="DS3" s="371" t="s">
        <v>263</v>
      </c>
      <c r="DT3" s="371" t="s">
        <v>263</v>
      </c>
      <c r="DU3" s="371" t="s">
        <v>263</v>
      </c>
      <c r="DV3" s="371" t="s">
        <v>263</v>
      </c>
      <c r="DW3" s="371" t="s">
        <v>263</v>
      </c>
      <c r="DX3" s="371" t="s">
        <v>263</v>
      </c>
      <c r="DY3" s="371" t="s">
        <v>263</v>
      </c>
      <c r="DZ3" s="371" t="s">
        <v>263</v>
      </c>
      <c r="EA3" s="371" t="s">
        <v>263</v>
      </c>
      <c r="EB3" s="371" t="s">
        <v>263</v>
      </c>
      <c r="EC3" s="371" t="s">
        <v>263</v>
      </c>
      <c r="ED3" s="371" t="s">
        <v>263</v>
      </c>
      <c r="EE3" s="359"/>
      <c r="EF3" s="371" t="s">
        <v>264</v>
      </c>
      <c r="EG3" s="371" t="s">
        <v>263</v>
      </c>
      <c r="EH3" s="371" t="s">
        <v>263</v>
      </c>
      <c r="EI3" s="371" t="s">
        <v>263</v>
      </c>
      <c r="EJ3" s="371" t="s">
        <v>263</v>
      </c>
      <c r="EK3" s="371" t="s">
        <v>263</v>
      </c>
      <c r="EL3" s="371" t="s">
        <v>263</v>
      </c>
      <c r="EM3" s="371" t="s">
        <v>263</v>
      </c>
      <c r="EN3" s="371" t="s">
        <v>263</v>
      </c>
      <c r="EO3" s="371" t="s">
        <v>263</v>
      </c>
      <c r="EP3" s="371" t="s">
        <v>263</v>
      </c>
      <c r="EQ3" s="371" t="s">
        <v>263</v>
      </c>
      <c r="ER3" s="476" t="s">
        <v>263</v>
      </c>
    </row>
    <row r="4" spans="1:148" x14ac:dyDescent="0.2">
      <c r="A4" s="338" t="s">
        <v>592</v>
      </c>
      <c r="B4" s="298"/>
      <c r="C4" s="299"/>
      <c r="D4" s="299"/>
      <c r="E4" s="299"/>
      <c r="F4" s="299"/>
      <c r="G4" s="300"/>
      <c r="H4" s="301">
        <f>SUM('PRD Sales Forecast'!$B4:$G4)</f>
        <v>0</v>
      </c>
      <c r="I4" s="298"/>
      <c r="J4" s="299"/>
      <c r="K4" s="299"/>
      <c r="L4" s="299"/>
      <c r="M4" s="299"/>
      <c r="N4" s="300"/>
      <c r="O4" s="301">
        <f>SUM('PRD Sales Forecast'!$I4:$N4)</f>
        <v>0</v>
      </c>
      <c r="P4" s="302">
        <v>8000</v>
      </c>
      <c r="Q4" s="302">
        <v>20000</v>
      </c>
      <c r="R4" s="302">
        <v>22500</v>
      </c>
      <c r="S4" s="302">
        <v>20000</v>
      </c>
      <c r="T4" s="302">
        <v>20000</v>
      </c>
      <c r="U4" s="302">
        <v>8000</v>
      </c>
      <c r="V4" s="302"/>
      <c r="W4" s="303">
        <v>10000</v>
      </c>
      <c r="X4" s="303">
        <v>10000</v>
      </c>
      <c r="Y4" s="303">
        <v>15000</v>
      </c>
      <c r="Z4" s="339">
        <v>30000</v>
      </c>
      <c r="AA4" s="339">
        <v>25000</v>
      </c>
      <c r="AB4" s="304">
        <f>SUM('PRD Sales Forecast'!$P4:$AA4)</f>
        <v>188500</v>
      </c>
      <c r="AC4" s="338"/>
      <c r="AD4" s="305"/>
      <c r="AE4" s="558" t="s">
        <v>592</v>
      </c>
      <c r="AF4" s="564">
        <f>2000+1000</f>
        <v>3000</v>
      </c>
      <c r="AG4" s="564">
        <f>2000+15000</f>
        <v>17000</v>
      </c>
      <c r="AH4" s="514">
        <f>2000+3000</f>
        <v>5000</v>
      </c>
      <c r="AI4" s="564">
        <f>2000+5000</f>
        <v>7000</v>
      </c>
      <c r="AJ4" s="514">
        <f>2000+3000</f>
        <v>5000</v>
      </c>
      <c r="AK4" s="514">
        <f>2000+15000</f>
        <v>17000</v>
      </c>
      <c r="AL4" s="514">
        <f>2000+1000</f>
        <v>3000</v>
      </c>
      <c r="AM4" s="514">
        <f>2000+1000</f>
        <v>3000</v>
      </c>
      <c r="AN4" s="514">
        <f>2000+15000</f>
        <v>17000</v>
      </c>
      <c r="AO4" s="514">
        <v>2000</v>
      </c>
      <c r="AP4" s="514">
        <f>2000+10000</f>
        <v>12000</v>
      </c>
      <c r="AQ4" s="514">
        <f>2000+18000</f>
        <v>20000</v>
      </c>
      <c r="AR4" s="515">
        <f>SUM(AF4:AQ4)</f>
        <v>111000</v>
      </c>
      <c r="AT4" s="305"/>
      <c r="AU4" s="305" t="s">
        <v>592</v>
      </c>
      <c r="AV4" s="299"/>
      <c r="AW4" s="509">
        <v>1500</v>
      </c>
      <c r="AX4" s="299"/>
      <c r="AY4" s="509">
        <v>3000</v>
      </c>
      <c r="AZ4" s="509">
        <v>3000</v>
      </c>
      <c r="BA4" s="509">
        <v>3000</v>
      </c>
      <c r="BB4" s="299"/>
      <c r="BC4" s="299"/>
      <c r="BD4" s="509">
        <v>1000</v>
      </c>
      <c r="BE4" s="299"/>
      <c r="BF4" s="299"/>
      <c r="BG4" s="509">
        <v>3000</v>
      </c>
      <c r="BH4" s="360">
        <f>SUM(AV4:BG4)</f>
        <v>14500</v>
      </c>
      <c r="BJ4" s="577">
        <f>1167.5+1045</f>
        <v>2212.5</v>
      </c>
      <c r="BK4" s="578">
        <f>380+760+725+810</f>
        <v>2675</v>
      </c>
      <c r="BL4" s="480">
        <f>2185+1785+1453.5</f>
        <v>5423.5</v>
      </c>
      <c r="BM4" s="480">
        <f>380+555+913</f>
        <v>1848</v>
      </c>
      <c r="BN4" s="480">
        <f>1140+1015+380+6694.5+190+770.5</f>
        <v>10190</v>
      </c>
      <c r="BO4" s="480">
        <f>707.5+380</f>
        <v>1087.5</v>
      </c>
      <c r="BP4" s="480">
        <v>0</v>
      </c>
      <c r="BQ4" s="596">
        <v>0</v>
      </c>
      <c r="BR4" s="480">
        <v>5082.5</v>
      </c>
      <c r="BS4" s="480">
        <v>1090</v>
      </c>
      <c r="BT4" s="480">
        <v>12000</v>
      </c>
      <c r="BU4" s="480">
        <v>20000</v>
      </c>
      <c r="BV4" s="477">
        <f>SUM(BJ4:BU4)</f>
        <v>61609</v>
      </c>
      <c r="BX4" s="480">
        <f>AV4</f>
        <v>0</v>
      </c>
      <c r="BY4" s="578">
        <v>85</v>
      </c>
      <c r="BZ4" s="480">
        <f>AX4</f>
        <v>0</v>
      </c>
      <c r="CA4" s="480">
        <v>0</v>
      </c>
      <c r="CB4" s="480"/>
      <c r="CC4" s="480">
        <v>0</v>
      </c>
      <c r="CD4" s="480">
        <v>0</v>
      </c>
      <c r="CE4" s="596">
        <v>0</v>
      </c>
      <c r="CF4" s="480">
        <v>113</v>
      </c>
      <c r="CG4" s="480">
        <v>0</v>
      </c>
      <c r="CH4" s="480">
        <v>0</v>
      </c>
      <c r="CI4" s="480">
        <v>3000</v>
      </c>
      <c r="CJ4" s="477">
        <f>SUM(BX4:CI4)</f>
        <v>3198</v>
      </c>
      <c r="CL4" s="627"/>
      <c r="CM4" s="657" t="s">
        <v>592</v>
      </c>
      <c r="CN4" s="658">
        <v>8000</v>
      </c>
      <c r="CO4" s="658">
        <f>CN4</f>
        <v>8000</v>
      </c>
      <c r="CP4" s="658">
        <f t="shared" ref="CP4:CY4" si="3">CO4</f>
        <v>8000</v>
      </c>
      <c r="CQ4" s="658">
        <f t="shared" si="3"/>
        <v>8000</v>
      </c>
      <c r="CR4" s="658">
        <f t="shared" si="3"/>
        <v>8000</v>
      </c>
      <c r="CS4" s="658">
        <f t="shared" si="3"/>
        <v>8000</v>
      </c>
      <c r="CT4" s="658">
        <f t="shared" si="3"/>
        <v>8000</v>
      </c>
      <c r="CU4" s="658">
        <f t="shared" si="3"/>
        <v>8000</v>
      </c>
      <c r="CV4" s="658">
        <f t="shared" si="3"/>
        <v>8000</v>
      </c>
      <c r="CW4" s="658">
        <f t="shared" si="3"/>
        <v>8000</v>
      </c>
      <c r="CX4" s="658">
        <f t="shared" si="3"/>
        <v>8000</v>
      </c>
      <c r="CY4" s="658">
        <f t="shared" si="3"/>
        <v>8000</v>
      </c>
      <c r="CZ4" s="515">
        <f>SUM(CN4:CY4)</f>
        <v>96000</v>
      </c>
      <c r="DB4" s="305"/>
      <c r="DC4" s="305" t="s">
        <v>592</v>
      </c>
      <c r="DD4" s="509">
        <v>2000</v>
      </c>
      <c r="DE4" s="509">
        <v>2000</v>
      </c>
      <c r="DF4" s="509">
        <v>2000</v>
      </c>
      <c r="DG4" s="509">
        <v>2000</v>
      </c>
      <c r="DH4" s="509">
        <v>2000</v>
      </c>
      <c r="DI4" s="509">
        <v>2000</v>
      </c>
      <c r="DJ4" s="509">
        <v>2000</v>
      </c>
      <c r="DK4" s="509">
        <v>2000</v>
      </c>
      <c r="DL4" s="509">
        <v>2000</v>
      </c>
      <c r="DM4" s="509">
        <v>2000</v>
      </c>
      <c r="DN4" s="509">
        <v>2000</v>
      </c>
      <c r="DO4" s="509">
        <v>2000</v>
      </c>
      <c r="DP4" s="477">
        <f>SUM(DD4:DO4)</f>
        <v>24000</v>
      </c>
      <c r="DR4" s="577">
        <v>0</v>
      </c>
      <c r="DS4" s="577">
        <f t="shared" ref="DS4:EC4" si="4">CO4</f>
        <v>8000</v>
      </c>
      <c r="DT4" s="577">
        <f t="shared" si="4"/>
        <v>8000</v>
      </c>
      <c r="DU4" s="577">
        <f t="shared" si="4"/>
        <v>8000</v>
      </c>
      <c r="DV4" s="577">
        <f t="shared" si="4"/>
        <v>8000</v>
      </c>
      <c r="DW4" s="577">
        <f t="shared" si="4"/>
        <v>8000</v>
      </c>
      <c r="DX4" s="577">
        <f t="shared" si="4"/>
        <v>8000</v>
      </c>
      <c r="DY4" s="577">
        <f t="shared" si="4"/>
        <v>8000</v>
      </c>
      <c r="DZ4" s="577">
        <f t="shared" si="4"/>
        <v>8000</v>
      </c>
      <c r="EA4" s="577">
        <f t="shared" si="4"/>
        <v>8000</v>
      </c>
      <c r="EB4" s="577">
        <f t="shared" si="4"/>
        <v>8000</v>
      </c>
      <c r="EC4" s="577">
        <f t="shared" si="4"/>
        <v>8000</v>
      </c>
      <c r="ED4" s="477">
        <f>SUM(DR4:EC4)</f>
        <v>88000</v>
      </c>
      <c r="EF4" s="628">
        <v>0</v>
      </c>
      <c r="EG4" s="628">
        <f t="shared" ref="EG4:EQ5" si="5">DE4</f>
        <v>2000</v>
      </c>
      <c r="EH4" s="628">
        <f t="shared" si="5"/>
        <v>2000</v>
      </c>
      <c r="EI4" s="628">
        <f t="shared" si="5"/>
        <v>2000</v>
      </c>
      <c r="EJ4" s="631">
        <f t="shared" si="5"/>
        <v>2000</v>
      </c>
      <c r="EK4" s="628">
        <f t="shared" si="5"/>
        <v>2000</v>
      </c>
      <c r="EL4" s="631">
        <f t="shared" si="5"/>
        <v>2000</v>
      </c>
      <c r="EM4" s="628">
        <f t="shared" si="5"/>
        <v>2000</v>
      </c>
      <c r="EN4" s="631">
        <f t="shared" si="5"/>
        <v>2000</v>
      </c>
      <c r="EO4" s="628">
        <f t="shared" si="5"/>
        <v>2000</v>
      </c>
      <c r="EP4" s="631">
        <f t="shared" si="5"/>
        <v>2000</v>
      </c>
      <c r="EQ4" s="628">
        <f t="shared" si="5"/>
        <v>2000</v>
      </c>
      <c r="ER4" s="477">
        <f>SUM(EF4:EQ4)</f>
        <v>22000</v>
      </c>
    </row>
    <row r="5" spans="1:148" x14ac:dyDescent="0.2">
      <c r="A5" s="337" t="s">
        <v>593</v>
      </c>
      <c r="B5" s="306"/>
      <c r="G5" s="307"/>
      <c r="H5" s="308">
        <f>SUM('PRD Sales Forecast'!$B5:$G5)</f>
        <v>0</v>
      </c>
      <c r="I5" s="306"/>
      <c r="N5" s="307"/>
      <c r="O5" s="308">
        <f>SUM('PRD Sales Forecast'!$I5:$N5)</f>
        <v>0</v>
      </c>
      <c r="P5" s="309">
        <v>0</v>
      </c>
      <c r="Q5" s="309">
        <v>10000</v>
      </c>
      <c r="R5" s="309">
        <v>10000</v>
      </c>
      <c r="S5" s="309">
        <v>10000</v>
      </c>
      <c r="T5" s="309">
        <v>10000</v>
      </c>
      <c r="U5" s="309"/>
      <c r="V5" s="309"/>
      <c r="W5" s="309">
        <v>10000</v>
      </c>
      <c r="X5" s="309">
        <v>10000</v>
      </c>
      <c r="Y5" s="309">
        <v>10000</v>
      </c>
      <c r="Z5" s="309">
        <v>10000</v>
      </c>
      <c r="AA5" s="309">
        <v>10000</v>
      </c>
      <c r="AB5" s="310">
        <f>SUM('PRD Sales Forecast'!$P5:$AA5)</f>
        <v>90000</v>
      </c>
      <c r="AC5" s="337"/>
      <c r="AD5" s="311"/>
      <c r="AE5" s="559" t="s">
        <v>593</v>
      </c>
      <c r="AF5" s="565">
        <f>1500+6000</f>
        <v>7500</v>
      </c>
      <c r="AG5" s="565">
        <f>1500+8000</f>
        <v>9500</v>
      </c>
      <c r="AH5" s="512">
        <f>1500+8000</f>
        <v>9500</v>
      </c>
      <c r="AI5" s="512">
        <f>1500+1000</f>
        <v>2500</v>
      </c>
      <c r="AJ5" s="512">
        <f>1500+16000</f>
        <v>17500</v>
      </c>
      <c r="AK5" s="512">
        <f>1500+760</f>
        <v>2260</v>
      </c>
      <c r="AL5" s="512">
        <f>1500+760</f>
        <v>2260</v>
      </c>
      <c r="AM5" s="512">
        <f>1500+6000</f>
        <v>7500</v>
      </c>
      <c r="AN5" s="512">
        <f>1500+8000</f>
        <v>9500</v>
      </c>
      <c r="AO5" s="512">
        <f>1500+8000</f>
        <v>9500</v>
      </c>
      <c r="AP5" s="512">
        <f>1500+6000</f>
        <v>7500</v>
      </c>
      <c r="AQ5" s="512">
        <f>1500+6000</f>
        <v>7500</v>
      </c>
      <c r="AR5" s="516">
        <f>SUM(AF5:AQ5)</f>
        <v>92520</v>
      </c>
      <c r="AT5" s="311"/>
      <c r="AU5" s="311" t="s">
        <v>593</v>
      </c>
      <c r="AV5" s="510">
        <v>1000</v>
      </c>
      <c r="AW5" s="510">
        <v>1000</v>
      </c>
      <c r="AX5" s="510">
        <v>2000</v>
      </c>
      <c r="AY5" s="510">
        <v>2000</v>
      </c>
      <c r="AZ5" s="510">
        <v>4000</v>
      </c>
      <c r="BC5" s="510">
        <v>1000</v>
      </c>
      <c r="BD5" s="510">
        <v>2000</v>
      </c>
      <c r="BE5" s="510">
        <v>1000</v>
      </c>
      <c r="BF5" s="510">
        <v>1000</v>
      </c>
      <c r="BG5" s="510">
        <v>2000</v>
      </c>
      <c r="BH5" s="361">
        <f>SUM(AV5:BG5)</f>
        <v>17000</v>
      </c>
      <c r="BJ5" s="577">
        <v>0</v>
      </c>
      <c r="BK5" s="577">
        <f>13539.5+1900+11884.5</f>
        <v>27324</v>
      </c>
      <c r="BL5" s="481">
        <f>1900+1300+156+11884.5</f>
        <v>15240.5</v>
      </c>
      <c r="BM5" s="481">
        <v>488.75</v>
      </c>
      <c r="BN5" s="481">
        <f>17500-360+7956.25</f>
        <v>25096.25</v>
      </c>
      <c r="BO5" s="481">
        <v>0</v>
      </c>
      <c r="BP5" s="481">
        <v>0</v>
      </c>
      <c r="BQ5" s="109">
        <f>460+4707-118.75</f>
        <v>5048.25</v>
      </c>
      <c r="BR5" s="481">
        <v>0</v>
      </c>
      <c r="BS5" s="481">
        <v>0</v>
      </c>
      <c r="BT5" s="481">
        <v>7500</v>
      </c>
      <c r="BU5" s="481">
        <v>7500</v>
      </c>
      <c r="BV5" s="478">
        <f>SUM(BJ5:BU5)</f>
        <v>88197.75</v>
      </c>
      <c r="BX5" s="481">
        <v>0</v>
      </c>
      <c r="BY5" s="577">
        <v>76.5</v>
      </c>
      <c r="BZ5" s="481">
        <v>6846.5</v>
      </c>
      <c r="CA5" s="481">
        <v>10720</v>
      </c>
      <c r="CB5" s="481">
        <f>1000</f>
        <v>1000</v>
      </c>
      <c r="CC5" s="481" t="s">
        <v>1005</v>
      </c>
      <c r="CD5" s="481">
        <v>0</v>
      </c>
      <c r="CE5" s="109">
        <v>517.5</v>
      </c>
      <c r="CF5" s="481">
        <v>0</v>
      </c>
      <c r="CG5" s="481">
        <v>0</v>
      </c>
      <c r="CH5" s="481">
        <v>1000</v>
      </c>
      <c r="CI5" s="481">
        <v>2000</v>
      </c>
      <c r="CJ5" s="478">
        <f t="shared" ref="CJ5:CJ50" si="6">SUM(BX5:CI5)</f>
        <v>22160.5</v>
      </c>
      <c r="CL5" s="627"/>
      <c r="CM5" s="657" t="s">
        <v>593</v>
      </c>
      <c r="CN5" s="84">
        <v>7000</v>
      </c>
      <c r="CO5" s="84">
        <f>CN5</f>
        <v>7000</v>
      </c>
      <c r="CP5" s="84">
        <f t="shared" ref="CP5:CY5" si="7">CO5</f>
        <v>7000</v>
      </c>
      <c r="CQ5" s="84">
        <f t="shared" si="7"/>
        <v>7000</v>
      </c>
      <c r="CR5" s="84">
        <f t="shared" si="7"/>
        <v>7000</v>
      </c>
      <c r="CS5" s="84">
        <f t="shared" si="7"/>
        <v>7000</v>
      </c>
      <c r="CT5" s="84">
        <f t="shared" si="7"/>
        <v>7000</v>
      </c>
      <c r="CU5" s="84">
        <f t="shared" si="7"/>
        <v>7000</v>
      </c>
      <c r="CV5" s="84">
        <f t="shared" si="7"/>
        <v>7000</v>
      </c>
      <c r="CW5" s="84">
        <f t="shared" si="7"/>
        <v>7000</v>
      </c>
      <c r="CX5" s="84">
        <f t="shared" si="7"/>
        <v>7000</v>
      </c>
      <c r="CY5" s="84">
        <f t="shared" si="7"/>
        <v>7000</v>
      </c>
      <c r="CZ5" s="516">
        <f>SUM(CN5:CY5)</f>
        <v>84000</v>
      </c>
      <c r="DB5" s="311"/>
      <c r="DC5" s="311" t="s">
        <v>593</v>
      </c>
      <c r="DD5" s="510">
        <v>500</v>
      </c>
      <c r="DE5" s="510">
        <v>500</v>
      </c>
      <c r="DF5" s="510">
        <v>500</v>
      </c>
      <c r="DG5" s="510">
        <v>500</v>
      </c>
      <c r="DH5" s="510">
        <v>500</v>
      </c>
      <c r="DI5" s="510">
        <v>500</v>
      </c>
      <c r="DJ5" s="510">
        <v>500</v>
      </c>
      <c r="DK5" s="510">
        <v>500</v>
      </c>
      <c r="DL5" s="510">
        <v>500</v>
      </c>
      <c r="DM5" s="510">
        <v>500</v>
      </c>
      <c r="DN5" s="510">
        <v>500</v>
      </c>
      <c r="DO5" s="510">
        <v>500</v>
      </c>
      <c r="DP5" s="478">
        <f>SUM(DD5:DO5)</f>
        <v>6000</v>
      </c>
      <c r="DR5" s="676">
        <f>500+12587+975-1702</f>
        <v>12360</v>
      </c>
      <c r="DS5" s="577">
        <f t="shared" ref="DS5:EC5" si="8">CO5</f>
        <v>7000</v>
      </c>
      <c r="DT5" s="577">
        <f t="shared" si="8"/>
        <v>7000</v>
      </c>
      <c r="DU5" s="577">
        <f t="shared" si="8"/>
        <v>7000</v>
      </c>
      <c r="DV5" s="577">
        <f t="shared" si="8"/>
        <v>7000</v>
      </c>
      <c r="DW5" s="577">
        <f t="shared" si="8"/>
        <v>7000</v>
      </c>
      <c r="DX5" s="577">
        <f t="shared" si="8"/>
        <v>7000</v>
      </c>
      <c r="DY5" s="577">
        <f t="shared" si="8"/>
        <v>7000</v>
      </c>
      <c r="DZ5" s="577">
        <f t="shared" si="8"/>
        <v>7000</v>
      </c>
      <c r="EA5" s="577">
        <f t="shared" si="8"/>
        <v>7000</v>
      </c>
      <c r="EB5" s="577">
        <f t="shared" si="8"/>
        <v>7000</v>
      </c>
      <c r="EC5" s="634">
        <f t="shared" si="8"/>
        <v>7000</v>
      </c>
      <c r="ED5" s="478">
        <f>SUM(DR5:EC5)</f>
        <v>89360</v>
      </c>
      <c r="EE5" s="630"/>
      <c r="EF5" s="677">
        <f>1702+550</f>
        <v>2252</v>
      </c>
      <c r="EG5" s="632">
        <f t="shared" si="5"/>
        <v>500</v>
      </c>
      <c r="EH5" s="632">
        <f t="shared" si="5"/>
        <v>500</v>
      </c>
      <c r="EI5" s="632">
        <f t="shared" si="5"/>
        <v>500</v>
      </c>
      <c r="EJ5" s="632">
        <f t="shared" si="5"/>
        <v>500</v>
      </c>
      <c r="EK5" s="632">
        <f t="shared" si="5"/>
        <v>500</v>
      </c>
      <c r="EL5" s="632">
        <f t="shared" si="5"/>
        <v>500</v>
      </c>
      <c r="EM5" s="632">
        <f t="shared" si="5"/>
        <v>500</v>
      </c>
      <c r="EN5" s="632">
        <f t="shared" si="5"/>
        <v>500</v>
      </c>
      <c r="EO5" s="632">
        <f t="shared" si="5"/>
        <v>500</v>
      </c>
      <c r="EP5" s="629">
        <f t="shared" si="5"/>
        <v>500</v>
      </c>
      <c r="EQ5" s="632">
        <f t="shared" si="5"/>
        <v>500</v>
      </c>
      <c r="ER5" s="478">
        <f t="shared" ref="ER5:ER50" si="9">SUM(EF5:EQ5)</f>
        <v>7752</v>
      </c>
    </row>
    <row r="6" spans="1:148" x14ac:dyDescent="0.2">
      <c r="A6" s="337" t="s">
        <v>594</v>
      </c>
      <c r="B6" s="340">
        <v>0</v>
      </c>
      <c r="C6" s="341">
        <v>0</v>
      </c>
      <c r="D6" s="341">
        <v>0</v>
      </c>
      <c r="E6" s="341">
        <v>0</v>
      </c>
      <c r="F6" s="341">
        <v>0</v>
      </c>
      <c r="G6" s="342">
        <v>0</v>
      </c>
      <c r="H6" s="312">
        <f>SUM('PRD Sales Forecast'!$B6:$G6)</f>
        <v>0</v>
      </c>
      <c r="I6" s="340">
        <v>1145</v>
      </c>
      <c r="J6" s="341">
        <v>21004.75</v>
      </c>
      <c r="K6" s="341">
        <v>0</v>
      </c>
      <c r="L6" s="341">
        <v>0</v>
      </c>
      <c r="M6" s="341">
        <v>0</v>
      </c>
      <c r="N6" s="342">
        <v>12526.95</v>
      </c>
      <c r="O6" s="312">
        <f>SUM('PRD Sales Forecast'!$I6:$N6)</f>
        <v>34676.699999999997</v>
      </c>
      <c r="P6" s="343"/>
      <c r="Q6" s="343">
        <v>25000</v>
      </c>
      <c r="R6" s="343"/>
      <c r="S6" s="343"/>
      <c r="T6" s="343">
        <v>20000</v>
      </c>
      <c r="U6" s="343"/>
      <c r="V6" s="343"/>
      <c r="W6" s="313">
        <v>25000</v>
      </c>
      <c r="X6" s="313">
        <v>0</v>
      </c>
      <c r="Y6" s="313"/>
      <c r="Z6" s="344"/>
      <c r="AA6" s="344"/>
      <c r="AB6" s="314">
        <f>SUM('PRD Sales Forecast'!$P6:$AA6)</f>
        <v>70000</v>
      </c>
      <c r="AC6" s="337"/>
      <c r="AD6" s="311"/>
      <c r="AE6" s="311" t="s">
        <v>594</v>
      </c>
      <c r="AF6" s="512"/>
      <c r="AG6" s="512">
        <v>26000</v>
      </c>
      <c r="AH6" s="512"/>
      <c r="AI6" s="512"/>
      <c r="AJ6" s="512"/>
      <c r="AK6" s="512"/>
      <c r="AL6" s="512"/>
      <c r="AM6" s="512">
        <v>25000</v>
      </c>
      <c r="AN6" s="512"/>
      <c r="AO6" s="512"/>
      <c r="AP6" s="512"/>
      <c r="AQ6" s="512"/>
      <c r="AR6" s="516">
        <f t="shared" ref="AR6:AR48" si="10">SUM(AF6:AQ6)</f>
        <v>51000</v>
      </c>
      <c r="AT6" s="311"/>
      <c r="AU6" s="311" t="s">
        <v>594</v>
      </c>
      <c r="BH6" s="361">
        <f t="shared" ref="BH6:BH48" si="11">SUM(AV6:BG6)</f>
        <v>0</v>
      </c>
      <c r="BJ6" s="577">
        <f t="shared" ref="BJ6:BJ48" si="12">AF6</f>
        <v>0</v>
      </c>
      <c r="BK6" s="577">
        <v>34740.5</v>
      </c>
      <c r="BL6" s="481">
        <f t="shared" ref="BK6:BO23" si="13">AH6</f>
        <v>0</v>
      </c>
      <c r="BM6" s="481">
        <f t="shared" si="13"/>
        <v>0</v>
      </c>
      <c r="BN6" s="481">
        <f t="shared" si="13"/>
        <v>0</v>
      </c>
      <c r="BO6" s="481">
        <f t="shared" si="13"/>
        <v>0</v>
      </c>
      <c r="BP6" s="481">
        <v>0</v>
      </c>
      <c r="BQ6" s="109">
        <f>19651.5-95</f>
        <v>19556.5</v>
      </c>
      <c r="BR6" s="481">
        <v>0</v>
      </c>
      <c r="BS6" s="481">
        <v>0</v>
      </c>
      <c r="BT6" s="481">
        <v>0</v>
      </c>
      <c r="BU6" s="481">
        <v>0</v>
      </c>
      <c r="BV6" s="478">
        <f t="shared" ref="BV6:BV50" si="14">SUM(BJ6:BU6)</f>
        <v>54297</v>
      </c>
      <c r="BX6" s="481">
        <f t="shared" ref="BX6:BX48" si="15">AV6</f>
        <v>0</v>
      </c>
      <c r="BY6" s="577">
        <v>1836.75</v>
      </c>
      <c r="BZ6" s="481">
        <f t="shared" ref="BY6:CC23" si="16">AX6</f>
        <v>0</v>
      </c>
      <c r="CA6" s="481">
        <f t="shared" si="16"/>
        <v>0</v>
      </c>
      <c r="CB6" s="481">
        <f t="shared" si="16"/>
        <v>0</v>
      </c>
      <c r="CC6" s="481">
        <f t="shared" si="16"/>
        <v>0</v>
      </c>
      <c r="CD6" s="481">
        <v>0</v>
      </c>
      <c r="CE6" s="109">
        <v>1768.75</v>
      </c>
      <c r="CF6" s="481">
        <v>0</v>
      </c>
      <c r="CG6" s="481">
        <v>0</v>
      </c>
      <c r="CH6" s="481">
        <v>0</v>
      </c>
      <c r="CI6" s="481">
        <v>0</v>
      </c>
      <c r="CJ6" s="478">
        <f t="shared" si="6"/>
        <v>3605.5</v>
      </c>
      <c r="CL6" s="627" t="s">
        <v>919</v>
      </c>
      <c r="CM6" s="623" t="s">
        <v>594</v>
      </c>
      <c r="CN6" s="512"/>
      <c r="CO6" s="512">
        <v>21421</v>
      </c>
      <c r="CP6" s="512"/>
      <c r="CQ6" s="512"/>
      <c r="CR6" s="512"/>
      <c r="CS6" s="512"/>
      <c r="CT6" s="512"/>
      <c r="CU6" s="512">
        <v>21000</v>
      </c>
      <c r="CV6" s="512"/>
      <c r="CW6" s="512"/>
      <c r="CX6" s="512"/>
      <c r="CY6" s="512"/>
      <c r="CZ6" s="516">
        <f t="shared" ref="CZ6:CZ50" si="17">SUM(CN6:CY6)</f>
        <v>42421</v>
      </c>
      <c r="DB6" s="311" t="str">
        <f t="shared" ref="DB6:DC50" si="18">CL6</f>
        <v>Energy, Utilities, Infrastructure</v>
      </c>
      <c r="DC6" s="311" t="str">
        <f t="shared" si="18"/>
        <v>AGL Energy Limited</v>
      </c>
      <c r="DP6" s="478">
        <f t="shared" ref="DP6:DP50" si="19">SUM(DD6:DO6)</f>
        <v>0</v>
      </c>
      <c r="DR6" s="577">
        <v>1322.5</v>
      </c>
      <c r="DS6" s="577">
        <f t="shared" ref="DS6:DS50" si="20">CO6</f>
        <v>21421</v>
      </c>
      <c r="DT6" s="577">
        <f t="shared" ref="DT6:DT50" si="21">CP6</f>
        <v>0</v>
      </c>
      <c r="DU6" s="577">
        <f t="shared" ref="DU6:DU50" si="22">CQ6</f>
        <v>0</v>
      </c>
      <c r="DV6" s="577">
        <f t="shared" ref="DV6:DV50" si="23">CR6</f>
        <v>0</v>
      </c>
      <c r="DW6" s="577">
        <f t="shared" ref="DW6:DW50" si="24">CS6</f>
        <v>0</v>
      </c>
      <c r="DX6" s="577">
        <f t="shared" ref="DX6:DY50" si="25">CT6</f>
        <v>0</v>
      </c>
      <c r="DY6" s="577">
        <f t="shared" ref="DY6:DY50" si="26">CU6</f>
        <v>21000</v>
      </c>
      <c r="DZ6" s="577">
        <f t="shared" ref="DZ6:DZ50" si="27">CV6</f>
        <v>0</v>
      </c>
      <c r="EA6" s="577">
        <f t="shared" ref="EA6:EA50" si="28">CW6</f>
        <v>0</v>
      </c>
      <c r="EB6" s="577">
        <f t="shared" ref="EB6:EB50" si="29">CX6</f>
        <v>0</v>
      </c>
      <c r="EC6" s="634">
        <f t="shared" ref="EC6:EC50" si="30">CY6</f>
        <v>0</v>
      </c>
      <c r="ED6" s="478">
        <f t="shared" ref="ED6:ED50" si="31">SUM(DR6:EC6)</f>
        <v>43743.5</v>
      </c>
      <c r="EE6" s="630"/>
      <c r="EF6" s="632">
        <f t="shared" ref="EF6:EF50" si="32">DD6</f>
        <v>0</v>
      </c>
      <c r="EG6" s="632">
        <f t="shared" ref="EG6:EG50" si="33">DE6</f>
        <v>0</v>
      </c>
      <c r="EH6" s="632">
        <f t="shared" ref="EH6:EH50" si="34">DF6</f>
        <v>0</v>
      </c>
      <c r="EI6" s="632">
        <f t="shared" ref="EI6:EI50" si="35">DG6</f>
        <v>0</v>
      </c>
      <c r="EJ6" s="632">
        <f t="shared" ref="EJ6:EJ50" si="36">DH6</f>
        <v>0</v>
      </c>
      <c r="EK6" s="632">
        <f t="shared" ref="EK6:EK50" si="37">DI6</f>
        <v>0</v>
      </c>
      <c r="EL6" s="632">
        <f t="shared" ref="EL6:EL50" si="38">DJ6</f>
        <v>0</v>
      </c>
      <c r="EM6" s="632">
        <f t="shared" ref="EM6:EM50" si="39">DK6</f>
        <v>0</v>
      </c>
      <c r="EN6" s="632">
        <f t="shared" ref="EN6:EN50" si="40">DL6</f>
        <v>0</v>
      </c>
      <c r="EO6" s="632">
        <f t="shared" ref="EO6:EO50" si="41">DM6</f>
        <v>0</v>
      </c>
      <c r="EP6" s="629">
        <f t="shared" ref="EP6:EP50" si="42">DN6</f>
        <v>0</v>
      </c>
      <c r="EQ6" s="632">
        <f t="shared" ref="EQ6:EQ50" si="43">DO6</f>
        <v>0</v>
      </c>
      <c r="ER6" s="478">
        <f t="shared" si="9"/>
        <v>0</v>
      </c>
    </row>
    <row r="7" spans="1:148" x14ac:dyDescent="0.2">
      <c r="A7" s="337" t="s">
        <v>595</v>
      </c>
      <c r="B7" s="306"/>
      <c r="G7" s="307"/>
      <c r="H7" s="308">
        <f>SUM('PRD Sales Forecast'!$B7:$G7)</f>
        <v>0</v>
      </c>
      <c r="I7" s="306"/>
      <c r="N7" s="307"/>
      <c r="O7" s="308">
        <f>SUM('PRD Sales Forecast'!$I7:$N7)</f>
        <v>0</v>
      </c>
      <c r="P7" s="309"/>
      <c r="Q7" s="309"/>
      <c r="R7" s="309"/>
      <c r="S7" s="309"/>
      <c r="T7" s="309"/>
      <c r="U7" s="309">
        <v>26000</v>
      </c>
      <c r="V7" s="313"/>
      <c r="W7" s="313">
        <v>27000</v>
      </c>
      <c r="X7" s="313"/>
      <c r="Y7" s="313"/>
      <c r="Z7" s="344"/>
      <c r="AA7" s="344">
        <v>30000</v>
      </c>
      <c r="AB7" s="314">
        <f>SUM('PRD Sales Forecast'!$P7:$AA7)</f>
        <v>83000</v>
      </c>
      <c r="AC7" s="337"/>
      <c r="AD7" s="311"/>
      <c r="AE7" s="311" t="s">
        <v>1009</v>
      </c>
      <c r="AF7" s="512"/>
      <c r="AG7" s="512"/>
      <c r="AH7" s="512"/>
      <c r="AI7" s="512"/>
      <c r="AJ7" s="512"/>
      <c r="AK7" s="512"/>
      <c r="AL7" s="512"/>
      <c r="AM7" s="512">
        <v>33000</v>
      </c>
      <c r="AN7" s="512"/>
      <c r="AO7" s="512"/>
      <c r="AP7" s="512"/>
      <c r="AQ7" s="512">
        <v>28000</v>
      </c>
      <c r="AR7" s="516">
        <f t="shared" si="10"/>
        <v>61000</v>
      </c>
      <c r="AT7" s="311"/>
      <c r="AU7" s="311" t="s">
        <v>595</v>
      </c>
      <c r="BH7" s="361">
        <f t="shared" si="11"/>
        <v>0</v>
      </c>
      <c r="BJ7" s="577">
        <f t="shared" si="12"/>
        <v>0</v>
      </c>
      <c r="BK7" s="577">
        <f t="shared" si="13"/>
        <v>0</v>
      </c>
      <c r="BL7" s="481">
        <f t="shared" si="13"/>
        <v>0</v>
      </c>
      <c r="BM7" s="481">
        <f t="shared" si="13"/>
        <v>0</v>
      </c>
      <c r="BN7" s="577">
        <f t="shared" si="13"/>
        <v>0</v>
      </c>
      <c r="BO7" s="481">
        <f t="shared" si="13"/>
        <v>0</v>
      </c>
      <c r="BP7" s="481">
        <v>0</v>
      </c>
      <c r="BQ7" s="109">
        <v>30862</v>
      </c>
      <c r="BR7" s="481">
        <v>0</v>
      </c>
      <c r="BS7" s="481">
        <v>0</v>
      </c>
      <c r="BT7" s="481">
        <v>0</v>
      </c>
      <c r="BU7" s="481">
        <v>0</v>
      </c>
      <c r="BV7" s="478">
        <f t="shared" si="14"/>
        <v>30862</v>
      </c>
      <c r="BX7" s="577">
        <f t="shared" si="15"/>
        <v>0</v>
      </c>
      <c r="BY7" s="577">
        <f t="shared" si="16"/>
        <v>0</v>
      </c>
      <c r="BZ7" s="481">
        <f t="shared" si="16"/>
        <v>0</v>
      </c>
      <c r="CA7" s="481">
        <f t="shared" si="16"/>
        <v>0</v>
      </c>
      <c r="CB7" s="481">
        <f t="shared" si="16"/>
        <v>0</v>
      </c>
      <c r="CC7" s="481">
        <f t="shared" si="16"/>
        <v>0</v>
      </c>
      <c r="CD7" s="481">
        <v>0</v>
      </c>
      <c r="CE7" s="109">
        <v>3200.4</v>
      </c>
      <c r="CF7" s="481">
        <v>0</v>
      </c>
      <c r="CG7" s="481">
        <v>0</v>
      </c>
      <c r="CH7" s="481">
        <v>0</v>
      </c>
      <c r="CI7" s="481">
        <v>0</v>
      </c>
      <c r="CJ7" s="478">
        <f t="shared" si="6"/>
        <v>3200.4</v>
      </c>
      <c r="CL7" s="627" t="s">
        <v>919</v>
      </c>
      <c r="CM7" s="670" t="s">
        <v>355</v>
      </c>
      <c r="CN7" s="512"/>
      <c r="CO7" s="512">
        <v>22000</v>
      </c>
      <c r="CP7" s="512"/>
      <c r="CQ7" s="512"/>
      <c r="CR7" s="512">
        <v>14000</v>
      </c>
      <c r="CS7" s="512"/>
      <c r="CT7" s="512"/>
      <c r="CU7" s="512">
        <v>22000</v>
      </c>
      <c r="CV7" s="512"/>
      <c r="CW7" s="512"/>
      <c r="CX7" s="512">
        <v>16000</v>
      </c>
      <c r="CY7" s="512"/>
      <c r="CZ7" s="516">
        <f t="shared" si="17"/>
        <v>74000</v>
      </c>
      <c r="DB7" s="311" t="str">
        <f t="shared" si="18"/>
        <v>Energy, Utilities, Infrastructure</v>
      </c>
      <c r="DC7" s="311" t="str">
        <f t="shared" si="18"/>
        <v>APA</v>
      </c>
      <c r="DP7" s="478">
        <f t="shared" si="19"/>
        <v>0</v>
      </c>
      <c r="DR7" s="577">
        <f>-237.5+172.5</f>
        <v>-65</v>
      </c>
      <c r="DS7" s="577">
        <f t="shared" si="20"/>
        <v>22000</v>
      </c>
      <c r="DT7" s="577">
        <f t="shared" si="21"/>
        <v>0</v>
      </c>
      <c r="DU7" s="577">
        <f t="shared" si="22"/>
        <v>0</v>
      </c>
      <c r="DV7" s="577">
        <f t="shared" si="23"/>
        <v>14000</v>
      </c>
      <c r="DW7" s="577">
        <f t="shared" si="24"/>
        <v>0</v>
      </c>
      <c r="DX7" s="577">
        <f t="shared" si="25"/>
        <v>0</v>
      </c>
      <c r="DY7" s="577">
        <f t="shared" si="26"/>
        <v>22000</v>
      </c>
      <c r="DZ7" s="577">
        <f t="shared" si="27"/>
        <v>0</v>
      </c>
      <c r="EA7" s="577">
        <f t="shared" si="28"/>
        <v>0</v>
      </c>
      <c r="EB7" s="577">
        <f t="shared" si="29"/>
        <v>16000</v>
      </c>
      <c r="EC7" s="634">
        <f t="shared" si="30"/>
        <v>0</v>
      </c>
      <c r="ED7" s="478">
        <f t="shared" si="31"/>
        <v>73935</v>
      </c>
      <c r="EE7" s="630"/>
      <c r="EF7" s="632">
        <f t="shared" si="32"/>
        <v>0</v>
      </c>
      <c r="EG7" s="632">
        <f t="shared" si="33"/>
        <v>0</v>
      </c>
      <c r="EH7" s="632">
        <f t="shared" si="34"/>
        <v>0</v>
      </c>
      <c r="EI7" s="632">
        <f t="shared" si="35"/>
        <v>0</v>
      </c>
      <c r="EJ7" s="632">
        <f t="shared" si="36"/>
        <v>0</v>
      </c>
      <c r="EK7" s="632">
        <f t="shared" si="37"/>
        <v>0</v>
      </c>
      <c r="EL7" s="632">
        <f t="shared" si="38"/>
        <v>0</v>
      </c>
      <c r="EM7" s="632">
        <f t="shared" si="39"/>
        <v>0</v>
      </c>
      <c r="EN7" s="632">
        <f t="shared" si="40"/>
        <v>0</v>
      </c>
      <c r="EO7" s="632">
        <f t="shared" si="41"/>
        <v>0</v>
      </c>
      <c r="EP7" s="629">
        <f t="shared" si="42"/>
        <v>0</v>
      </c>
      <c r="EQ7" s="632">
        <f t="shared" si="43"/>
        <v>0</v>
      </c>
      <c r="ER7" s="478">
        <f t="shared" si="9"/>
        <v>0</v>
      </c>
    </row>
    <row r="8" spans="1:148" x14ac:dyDescent="0.2">
      <c r="A8" s="345" t="s">
        <v>596</v>
      </c>
      <c r="B8" s="306"/>
      <c r="G8" s="307"/>
      <c r="H8" s="308">
        <f>SUM('PRD Sales Forecast'!$B8:$G8)</f>
        <v>0</v>
      </c>
      <c r="I8" s="306"/>
      <c r="N8" s="307"/>
      <c r="O8" s="308">
        <f>SUM('PRD Sales Forecast'!$I8:$N8)</f>
        <v>0</v>
      </c>
      <c r="P8" s="346">
        <v>2700</v>
      </c>
      <c r="Q8" s="346">
        <v>0</v>
      </c>
      <c r="R8" s="346">
        <v>0</v>
      </c>
      <c r="S8" s="346">
        <v>2500</v>
      </c>
      <c r="T8" s="346">
        <v>0</v>
      </c>
      <c r="U8" s="346">
        <v>0</v>
      </c>
      <c r="V8" s="347">
        <v>0</v>
      </c>
      <c r="W8" s="315">
        <v>2500</v>
      </c>
      <c r="X8" s="315">
        <v>0</v>
      </c>
      <c r="Y8" s="315">
        <v>0</v>
      </c>
      <c r="Z8" s="316">
        <v>2500</v>
      </c>
      <c r="AA8" s="316">
        <v>0</v>
      </c>
      <c r="AB8" s="314">
        <f>SUM('PRD Sales Forecast'!$P8:$AA8)</f>
        <v>10200</v>
      </c>
      <c r="AC8" s="337"/>
      <c r="AD8" s="311"/>
      <c r="AE8" s="311" t="s">
        <v>596</v>
      </c>
      <c r="AF8" s="512"/>
      <c r="AG8" s="512"/>
      <c r="AH8" s="512"/>
      <c r="AI8" s="512"/>
      <c r="AJ8" s="512"/>
      <c r="AK8" s="512"/>
      <c r="AL8" s="512"/>
      <c r="AM8" s="512"/>
      <c r="AN8" s="512"/>
      <c r="AO8" s="512"/>
      <c r="AP8" s="512"/>
      <c r="AQ8" s="512"/>
      <c r="AR8" s="516">
        <f t="shared" si="10"/>
        <v>0</v>
      </c>
      <c r="AT8" s="311"/>
      <c r="AU8" s="311" t="s">
        <v>596</v>
      </c>
      <c r="BH8" s="361">
        <f t="shared" si="11"/>
        <v>0</v>
      </c>
      <c r="BJ8" s="577">
        <v>5206</v>
      </c>
      <c r="BK8" s="577">
        <f t="shared" si="13"/>
        <v>0</v>
      </c>
      <c r="BL8" s="481">
        <f t="shared" si="13"/>
        <v>0</v>
      </c>
      <c r="BM8" s="481">
        <f t="shared" si="13"/>
        <v>0</v>
      </c>
      <c r="BN8" s="577">
        <f t="shared" si="13"/>
        <v>0</v>
      </c>
      <c r="BO8" s="481">
        <f t="shared" si="13"/>
        <v>0</v>
      </c>
      <c r="BP8" s="481">
        <v>0</v>
      </c>
      <c r="BQ8" s="109">
        <v>0</v>
      </c>
      <c r="BR8" s="481">
        <v>0</v>
      </c>
      <c r="BS8" s="481">
        <v>0</v>
      </c>
      <c r="BT8" s="481">
        <v>0</v>
      </c>
      <c r="BU8" s="481">
        <v>800</v>
      </c>
      <c r="BV8" s="478">
        <f t="shared" si="14"/>
        <v>6006</v>
      </c>
      <c r="BX8" s="577">
        <f t="shared" si="15"/>
        <v>0</v>
      </c>
      <c r="BY8" s="577">
        <f t="shared" si="16"/>
        <v>0</v>
      </c>
      <c r="BZ8" s="481">
        <f t="shared" si="16"/>
        <v>0</v>
      </c>
      <c r="CA8" s="481">
        <f t="shared" si="16"/>
        <v>0</v>
      </c>
      <c r="CB8" s="481">
        <f t="shared" si="16"/>
        <v>0</v>
      </c>
      <c r="CC8" s="481">
        <f t="shared" si="16"/>
        <v>0</v>
      </c>
      <c r="CD8" s="481">
        <v>0</v>
      </c>
      <c r="CE8" s="109">
        <v>0</v>
      </c>
      <c r="CF8" s="481">
        <v>0</v>
      </c>
      <c r="CG8" s="481">
        <v>0</v>
      </c>
      <c r="CH8" s="481">
        <v>0</v>
      </c>
      <c r="CI8" s="481">
        <v>0</v>
      </c>
      <c r="CJ8" s="478">
        <f t="shared" si="6"/>
        <v>0</v>
      </c>
      <c r="CL8" s="627" t="s">
        <v>918</v>
      </c>
      <c r="CM8" s="623" t="s">
        <v>1009</v>
      </c>
      <c r="CN8" s="512"/>
      <c r="CO8" s="512"/>
      <c r="CP8" s="512"/>
      <c r="CQ8" s="512"/>
      <c r="CR8" s="512"/>
      <c r="CS8" s="512"/>
      <c r="CT8" s="512"/>
      <c r="CU8" s="512">
        <v>30000</v>
      </c>
      <c r="CV8" s="512"/>
      <c r="CW8" s="512"/>
      <c r="CX8" s="512"/>
      <c r="CY8" s="512"/>
      <c r="CZ8" s="516">
        <f t="shared" si="17"/>
        <v>30000</v>
      </c>
      <c r="DB8" s="311" t="str">
        <f t="shared" si="18"/>
        <v>IT &amp; Media</v>
      </c>
      <c r="DC8" s="311" t="str">
        <f t="shared" si="18"/>
        <v>Aristocrat (ALL)</v>
      </c>
      <c r="DP8" s="478">
        <f t="shared" si="19"/>
        <v>0</v>
      </c>
      <c r="DR8" s="577">
        <f t="shared" ref="DR8:DR50" si="44">CN8</f>
        <v>0</v>
      </c>
      <c r="DS8" s="577">
        <f t="shared" si="20"/>
        <v>0</v>
      </c>
      <c r="DT8" s="577">
        <f t="shared" si="21"/>
        <v>0</v>
      </c>
      <c r="DU8" s="577">
        <f t="shared" si="22"/>
        <v>0</v>
      </c>
      <c r="DV8" s="577">
        <f t="shared" si="23"/>
        <v>0</v>
      </c>
      <c r="DW8" s="577">
        <f t="shared" si="24"/>
        <v>0</v>
      </c>
      <c r="DX8" s="577">
        <f t="shared" si="25"/>
        <v>0</v>
      </c>
      <c r="DY8" s="577">
        <f t="shared" si="26"/>
        <v>30000</v>
      </c>
      <c r="DZ8" s="577">
        <f t="shared" si="27"/>
        <v>0</v>
      </c>
      <c r="EA8" s="577">
        <f t="shared" si="28"/>
        <v>0</v>
      </c>
      <c r="EB8" s="577">
        <f t="shared" si="29"/>
        <v>0</v>
      </c>
      <c r="EC8" s="634">
        <f t="shared" si="30"/>
        <v>0</v>
      </c>
      <c r="ED8" s="478">
        <f t="shared" si="31"/>
        <v>30000</v>
      </c>
      <c r="EE8" s="630"/>
      <c r="EF8" s="632">
        <f t="shared" si="32"/>
        <v>0</v>
      </c>
      <c r="EG8" s="632">
        <f t="shared" si="33"/>
        <v>0</v>
      </c>
      <c r="EH8" s="632">
        <f t="shared" si="34"/>
        <v>0</v>
      </c>
      <c r="EI8" s="632">
        <f t="shared" si="35"/>
        <v>0</v>
      </c>
      <c r="EJ8" s="632">
        <f t="shared" si="36"/>
        <v>0</v>
      </c>
      <c r="EK8" s="632">
        <f t="shared" si="37"/>
        <v>0</v>
      </c>
      <c r="EL8" s="632">
        <f t="shared" si="38"/>
        <v>0</v>
      </c>
      <c r="EM8" s="632">
        <f t="shared" si="39"/>
        <v>0</v>
      </c>
      <c r="EN8" s="632">
        <f t="shared" si="40"/>
        <v>0</v>
      </c>
      <c r="EO8" s="632">
        <f t="shared" si="41"/>
        <v>0</v>
      </c>
      <c r="EP8" s="629">
        <f t="shared" si="42"/>
        <v>0</v>
      </c>
      <c r="EQ8" s="632">
        <f t="shared" si="43"/>
        <v>0</v>
      </c>
      <c r="ER8" s="478">
        <f t="shared" si="9"/>
        <v>0</v>
      </c>
    </row>
    <row r="9" spans="1:148" x14ac:dyDescent="0.2">
      <c r="A9" s="345"/>
      <c r="B9" s="306"/>
      <c r="G9" s="307"/>
      <c r="H9" s="308"/>
      <c r="I9" s="306"/>
      <c r="N9" s="307"/>
      <c r="O9" s="308"/>
      <c r="P9" s="346"/>
      <c r="Q9" s="346"/>
      <c r="R9" s="346"/>
      <c r="S9" s="346"/>
      <c r="T9" s="346"/>
      <c r="U9" s="346"/>
      <c r="V9" s="347"/>
      <c r="W9" s="315"/>
      <c r="X9" s="315"/>
      <c r="Y9" s="315"/>
      <c r="Z9" s="316"/>
      <c r="AA9" s="316"/>
      <c r="AB9" s="314"/>
      <c r="AC9" s="337"/>
      <c r="AD9" s="311"/>
      <c r="AE9" s="311" t="s">
        <v>1121</v>
      </c>
      <c r="AF9" s="512"/>
      <c r="AG9" s="512"/>
      <c r="AH9" s="512"/>
      <c r="AI9" s="512"/>
      <c r="AJ9" s="512"/>
      <c r="AK9" s="512"/>
      <c r="AL9" s="512"/>
      <c r="AM9" s="512"/>
      <c r="AN9" s="512"/>
      <c r="AO9" s="512"/>
      <c r="AP9" s="512"/>
      <c r="AQ9" s="512"/>
      <c r="AR9" s="516"/>
      <c r="AT9" s="311"/>
      <c r="AU9" s="311" t="s">
        <v>1121</v>
      </c>
      <c r="BH9" s="361">
        <f t="shared" si="11"/>
        <v>0</v>
      </c>
      <c r="BJ9" s="577"/>
      <c r="BK9" s="577"/>
      <c r="BL9" s="481"/>
      <c r="BM9" s="481"/>
      <c r="BN9" s="577">
        <v>0</v>
      </c>
      <c r="BO9" s="481">
        <f t="shared" ref="BO9:BO10" si="45">AK9</f>
        <v>0</v>
      </c>
      <c r="BP9" s="481">
        <v>0</v>
      </c>
      <c r="BQ9" s="109">
        <v>0</v>
      </c>
      <c r="BR9" s="481">
        <v>0</v>
      </c>
      <c r="BS9" s="481">
        <v>0</v>
      </c>
      <c r="BT9" s="481">
        <v>0</v>
      </c>
      <c r="BU9" s="481">
        <v>0</v>
      </c>
      <c r="BV9" s="478">
        <f t="shared" si="14"/>
        <v>0</v>
      </c>
      <c r="BX9" s="577"/>
      <c r="BY9" s="577"/>
      <c r="BZ9" s="481"/>
      <c r="CA9" s="481"/>
      <c r="CB9" s="481"/>
      <c r="CC9" s="481"/>
      <c r="CD9" s="481"/>
      <c r="CE9" s="109"/>
      <c r="CF9" s="481">
        <v>0</v>
      </c>
      <c r="CG9" s="481">
        <v>0</v>
      </c>
      <c r="CH9" s="481"/>
      <c r="CI9" s="481"/>
      <c r="CJ9" s="478"/>
      <c r="CL9" s="627" t="s">
        <v>919</v>
      </c>
      <c r="CM9" s="623" t="s">
        <v>596</v>
      </c>
      <c r="CN9" s="512">
        <f>5636-800</f>
        <v>4836</v>
      </c>
      <c r="CO9" s="512"/>
      <c r="CP9" s="512"/>
      <c r="CQ9" s="512"/>
      <c r="CR9" s="512"/>
      <c r="CS9" s="512"/>
      <c r="CT9" s="512"/>
      <c r="CU9" s="512"/>
      <c r="CV9" s="512"/>
      <c r="CW9" s="512"/>
      <c r="CX9" s="512"/>
      <c r="CY9" s="512"/>
      <c r="CZ9" s="516">
        <f t="shared" si="17"/>
        <v>4836</v>
      </c>
      <c r="DB9" s="311" t="str">
        <f t="shared" si="18"/>
        <v>Energy, Utilities, Infrastructure</v>
      </c>
      <c r="DC9" s="311" t="str">
        <f t="shared" si="18"/>
        <v>Arup</v>
      </c>
      <c r="DP9" s="478">
        <f t="shared" si="19"/>
        <v>0</v>
      </c>
      <c r="DR9" s="678">
        <v>5460</v>
      </c>
      <c r="DS9" s="577">
        <f t="shared" si="20"/>
        <v>0</v>
      </c>
      <c r="DT9" s="577">
        <f t="shared" si="21"/>
        <v>0</v>
      </c>
      <c r="DU9" s="577">
        <f t="shared" si="22"/>
        <v>0</v>
      </c>
      <c r="DV9" s="577">
        <f t="shared" si="23"/>
        <v>0</v>
      </c>
      <c r="DW9" s="577">
        <f t="shared" si="24"/>
        <v>0</v>
      </c>
      <c r="DX9" s="577">
        <f t="shared" si="25"/>
        <v>0</v>
      </c>
      <c r="DY9" s="577">
        <f t="shared" si="26"/>
        <v>0</v>
      </c>
      <c r="DZ9" s="577">
        <f t="shared" si="27"/>
        <v>0</v>
      </c>
      <c r="EA9" s="577">
        <f t="shared" si="28"/>
        <v>0</v>
      </c>
      <c r="EB9" s="577">
        <f t="shared" si="29"/>
        <v>0</v>
      </c>
      <c r="EC9" s="634">
        <f t="shared" si="30"/>
        <v>0</v>
      </c>
      <c r="ED9" s="478">
        <f t="shared" si="31"/>
        <v>5460</v>
      </c>
      <c r="EE9" s="630"/>
      <c r="EF9" s="677">
        <v>176</v>
      </c>
      <c r="EG9" s="632">
        <f t="shared" si="33"/>
        <v>0</v>
      </c>
      <c r="EH9" s="632">
        <f t="shared" si="34"/>
        <v>0</v>
      </c>
      <c r="EI9" s="632">
        <f t="shared" si="35"/>
        <v>0</v>
      </c>
      <c r="EJ9" s="632">
        <f t="shared" si="36"/>
        <v>0</v>
      </c>
      <c r="EK9" s="632">
        <f t="shared" si="37"/>
        <v>0</v>
      </c>
      <c r="EL9" s="632">
        <f t="shared" si="38"/>
        <v>0</v>
      </c>
      <c r="EM9" s="632">
        <f t="shared" si="39"/>
        <v>0</v>
      </c>
      <c r="EN9" s="632">
        <f t="shared" si="40"/>
        <v>0</v>
      </c>
      <c r="EO9" s="632">
        <f t="shared" si="41"/>
        <v>0</v>
      </c>
      <c r="EP9" s="629">
        <f t="shared" si="42"/>
        <v>0</v>
      </c>
      <c r="EQ9" s="632">
        <f t="shared" si="43"/>
        <v>0</v>
      </c>
      <c r="ER9" s="478">
        <f t="shared" si="9"/>
        <v>176</v>
      </c>
    </row>
    <row r="10" spans="1:148" x14ac:dyDescent="0.2">
      <c r="A10" s="345"/>
      <c r="B10" s="306"/>
      <c r="G10" s="307"/>
      <c r="H10" s="308"/>
      <c r="I10" s="306"/>
      <c r="N10" s="307"/>
      <c r="O10" s="308"/>
      <c r="P10" s="346"/>
      <c r="Q10" s="346"/>
      <c r="R10" s="346"/>
      <c r="S10" s="346"/>
      <c r="T10" s="346"/>
      <c r="U10" s="346"/>
      <c r="V10" s="347"/>
      <c r="W10" s="315"/>
      <c r="X10" s="315"/>
      <c r="Y10" s="315"/>
      <c r="Z10" s="316"/>
      <c r="AA10" s="316"/>
      <c r="AB10" s="314"/>
      <c r="AC10" s="337"/>
      <c r="AD10" s="311"/>
      <c r="AE10" s="311" t="s">
        <v>1122</v>
      </c>
      <c r="AF10" s="512"/>
      <c r="AG10" s="512"/>
      <c r="AH10" s="512"/>
      <c r="AI10" s="512"/>
      <c r="AJ10" s="512"/>
      <c r="AK10" s="512"/>
      <c r="AL10" s="512"/>
      <c r="AM10" s="512"/>
      <c r="AN10" s="512"/>
      <c r="AO10" s="512"/>
      <c r="AP10" s="512"/>
      <c r="AQ10" s="512"/>
      <c r="AR10" s="516"/>
      <c r="AT10" s="311"/>
      <c r="AU10" s="311" t="s">
        <v>1122</v>
      </c>
      <c r="BH10" s="361">
        <f t="shared" si="11"/>
        <v>0</v>
      </c>
      <c r="BJ10" s="577"/>
      <c r="BK10" s="577"/>
      <c r="BL10" s="481"/>
      <c r="BM10" s="481"/>
      <c r="BN10" s="577">
        <f>8065+20730</f>
        <v>28795</v>
      </c>
      <c r="BO10" s="481">
        <f t="shared" si="45"/>
        <v>0</v>
      </c>
      <c r="BP10" s="481">
        <v>0</v>
      </c>
      <c r="BQ10" s="109">
        <v>0</v>
      </c>
      <c r="BR10" s="481">
        <v>0</v>
      </c>
      <c r="BS10" s="481">
        <v>115</v>
      </c>
      <c r="BT10" s="481">
        <v>10000</v>
      </c>
      <c r="BU10" s="481">
        <v>0</v>
      </c>
      <c r="BV10" s="478">
        <f t="shared" si="14"/>
        <v>38910</v>
      </c>
      <c r="BX10" s="577"/>
      <c r="BY10" s="577"/>
      <c r="BZ10" s="481"/>
      <c r="CA10" s="481"/>
      <c r="CB10" s="481">
        <f>1320+1200</f>
        <v>2520</v>
      </c>
      <c r="CC10" s="481"/>
      <c r="CD10" s="481"/>
      <c r="CE10" s="109"/>
      <c r="CF10" s="481">
        <v>0</v>
      </c>
      <c r="CG10" s="481">
        <v>0</v>
      </c>
      <c r="CH10" s="481"/>
      <c r="CI10" s="481"/>
      <c r="CJ10" s="478"/>
      <c r="CL10" s="627" t="s">
        <v>916</v>
      </c>
      <c r="CM10" s="623" t="s">
        <v>1121</v>
      </c>
      <c r="CN10" s="512"/>
      <c r="CO10" s="84"/>
      <c r="CP10" s="84"/>
      <c r="CQ10" s="84"/>
      <c r="CR10" s="512">
        <v>18000</v>
      </c>
      <c r="CS10" s="512"/>
      <c r="CT10" s="512"/>
      <c r="CU10" s="512"/>
      <c r="CV10" s="512"/>
      <c r="CW10" s="512"/>
      <c r="CX10" s="512"/>
      <c r="CY10" s="512"/>
      <c r="CZ10" s="516">
        <f t="shared" si="17"/>
        <v>18000</v>
      </c>
      <c r="DB10" s="311" t="str">
        <f t="shared" si="18"/>
        <v>Finance</v>
      </c>
      <c r="DC10" s="311" t="str">
        <f t="shared" si="18"/>
        <v>Aust Retirement Trust</v>
      </c>
      <c r="DP10" s="478">
        <f t="shared" si="19"/>
        <v>0</v>
      </c>
      <c r="DR10" s="577">
        <f t="shared" si="44"/>
        <v>0</v>
      </c>
      <c r="DS10" s="577">
        <f t="shared" si="20"/>
        <v>0</v>
      </c>
      <c r="DT10" s="577">
        <f t="shared" si="21"/>
        <v>0</v>
      </c>
      <c r="DU10" s="577">
        <f t="shared" si="22"/>
        <v>0</v>
      </c>
      <c r="DV10" s="577">
        <f t="shared" si="23"/>
        <v>18000</v>
      </c>
      <c r="DW10" s="577">
        <f t="shared" si="24"/>
        <v>0</v>
      </c>
      <c r="DX10" s="577">
        <f t="shared" si="25"/>
        <v>0</v>
      </c>
      <c r="DY10" s="577">
        <f t="shared" si="26"/>
        <v>0</v>
      </c>
      <c r="DZ10" s="577">
        <f t="shared" si="27"/>
        <v>0</v>
      </c>
      <c r="EA10" s="577">
        <f t="shared" si="28"/>
        <v>0</v>
      </c>
      <c r="EB10" s="577">
        <f t="shared" si="29"/>
        <v>0</v>
      </c>
      <c r="EC10" s="634">
        <f t="shared" si="30"/>
        <v>0</v>
      </c>
      <c r="ED10" s="478">
        <f t="shared" si="31"/>
        <v>18000</v>
      </c>
      <c r="EE10" s="630"/>
      <c r="EF10" s="632">
        <f t="shared" si="32"/>
        <v>0</v>
      </c>
      <c r="EG10" s="632">
        <f t="shared" si="33"/>
        <v>0</v>
      </c>
      <c r="EH10" s="632">
        <f t="shared" si="34"/>
        <v>0</v>
      </c>
      <c r="EI10" s="632">
        <f t="shared" si="35"/>
        <v>0</v>
      </c>
      <c r="EJ10" s="632">
        <f t="shared" si="36"/>
        <v>0</v>
      </c>
      <c r="EK10" s="632">
        <f t="shared" si="37"/>
        <v>0</v>
      </c>
      <c r="EL10" s="632">
        <f t="shared" si="38"/>
        <v>0</v>
      </c>
      <c r="EM10" s="632">
        <f t="shared" si="39"/>
        <v>0</v>
      </c>
      <c r="EN10" s="632">
        <f t="shared" si="40"/>
        <v>0</v>
      </c>
      <c r="EO10" s="632">
        <f t="shared" si="41"/>
        <v>0</v>
      </c>
      <c r="EP10" s="629">
        <f t="shared" si="42"/>
        <v>0</v>
      </c>
      <c r="EQ10" s="632">
        <f t="shared" si="43"/>
        <v>0</v>
      </c>
      <c r="ER10" s="478">
        <f t="shared" si="9"/>
        <v>0</v>
      </c>
    </row>
    <row r="11" spans="1:148" x14ac:dyDescent="0.2">
      <c r="A11" s="345" t="s">
        <v>597</v>
      </c>
      <c r="B11" s="306"/>
      <c r="G11" s="307"/>
      <c r="H11" s="308">
        <f>SUM('PRD Sales Forecast'!$B11:$G11)</f>
        <v>0</v>
      </c>
      <c r="I11" s="306"/>
      <c r="N11" s="307"/>
      <c r="O11" s="308">
        <f>SUM('PRD Sales Forecast'!$I11:$N11)</f>
        <v>0</v>
      </c>
      <c r="P11" s="346"/>
      <c r="Q11" s="346">
        <v>3000</v>
      </c>
      <c r="R11" s="346"/>
      <c r="S11" s="346"/>
      <c r="T11" s="346">
        <v>3000</v>
      </c>
      <c r="U11" s="346"/>
      <c r="V11" s="347"/>
      <c r="W11" s="315">
        <v>3000</v>
      </c>
      <c r="X11" s="315"/>
      <c r="Y11" s="315"/>
      <c r="Z11" s="316">
        <v>3000</v>
      </c>
      <c r="AA11" s="316"/>
      <c r="AB11" s="314">
        <f>SUM('PRD Sales Forecast'!$P11:$AA11)</f>
        <v>12000</v>
      </c>
      <c r="AC11" s="337"/>
      <c r="AD11" s="311"/>
      <c r="AE11" s="311" t="s">
        <v>597</v>
      </c>
      <c r="AF11" s="512"/>
      <c r="AG11" s="565">
        <v>3500</v>
      </c>
      <c r="AH11" s="512"/>
      <c r="AI11" s="512"/>
      <c r="AJ11" s="512"/>
      <c r="AK11" s="512"/>
      <c r="AL11" s="512"/>
      <c r="AM11" s="512"/>
      <c r="AN11" s="512"/>
      <c r="AO11" s="512"/>
      <c r="AP11" s="512"/>
      <c r="AQ11" s="512"/>
      <c r="AR11" s="516">
        <f t="shared" si="10"/>
        <v>3500</v>
      </c>
      <c r="AT11" s="311"/>
      <c r="AU11" s="311" t="s">
        <v>597</v>
      </c>
      <c r="BH11" s="361">
        <f t="shared" si="11"/>
        <v>0</v>
      </c>
      <c r="BJ11" s="577">
        <f t="shared" si="12"/>
        <v>0</v>
      </c>
      <c r="BK11" s="577">
        <v>0</v>
      </c>
      <c r="BL11" s="481">
        <f t="shared" si="13"/>
        <v>0</v>
      </c>
      <c r="BM11" s="481">
        <f t="shared" si="13"/>
        <v>0</v>
      </c>
      <c r="BN11" s="577">
        <f t="shared" si="13"/>
        <v>0</v>
      </c>
      <c r="BO11" s="481">
        <f t="shared" si="13"/>
        <v>0</v>
      </c>
      <c r="BP11" s="481">
        <v>0</v>
      </c>
      <c r="BQ11" s="109">
        <v>0</v>
      </c>
      <c r="BR11" s="481">
        <v>0</v>
      </c>
      <c r="BS11" s="481">
        <v>0</v>
      </c>
      <c r="BT11" s="481">
        <v>0</v>
      </c>
      <c r="BU11" s="481">
        <v>0</v>
      </c>
      <c r="BV11" s="478">
        <f t="shared" si="14"/>
        <v>0</v>
      </c>
      <c r="BX11" s="577">
        <f t="shared" si="15"/>
        <v>0</v>
      </c>
      <c r="BY11" s="577">
        <f t="shared" si="16"/>
        <v>0</v>
      </c>
      <c r="BZ11" s="481">
        <f t="shared" si="16"/>
        <v>0</v>
      </c>
      <c r="CA11" s="481">
        <f t="shared" si="16"/>
        <v>0</v>
      </c>
      <c r="CB11" s="481">
        <f t="shared" si="16"/>
        <v>0</v>
      </c>
      <c r="CC11" s="481">
        <f t="shared" si="16"/>
        <v>0</v>
      </c>
      <c r="CD11" s="481">
        <v>0</v>
      </c>
      <c r="CE11" s="109">
        <v>0</v>
      </c>
      <c r="CF11" s="481">
        <v>0</v>
      </c>
      <c r="CG11" s="481">
        <v>0</v>
      </c>
      <c r="CH11" s="481">
        <v>0</v>
      </c>
      <c r="CI11" s="481">
        <v>0</v>
      </c>
      <c r="CJ11" s="478">
        <f t="shared" si="6"/>
        <v>0</v>
      </c>
      <c r="CL11" s="627" t="s">
        <v>916</v>
      </c>
      <c r="CM11" s="623" t="s">
        <v>598</v>
      </c>
      <c r="CN11" s="512">
        <v>10000</v>
      </c>
      <c r="CO11" s="84">
        <v>35000</v>
      </c>
      <c r="CP11" s="84">
        <v>10000</v>
      </c>
      <c r="CQ11" s="84">
        <v>65000</v>
      </c>
      <c r="CR11" s="512">
        <v>20000</v>
      </c>
      <c r="CS11" s="512">
        <v>3674</v>
      </c>
      <c r="CT11" s="512"/>
      <c r="CU11" s="512">
        <v>10000</v>
      </c>
      <c r="CV11" s="512">
        <v>10000</v>
      </c>
      <c r="CW11" s="512">
        <v>10000</v>
      </c>
      <c r="CX11" s="512">
        <v>20000</v>
      </c>
      <c r="CY11" s="512">
        <v>10000</v>
      </c>
      <c r="CZ11" s="516">
        <f t="shared" si="17"/>
        <v>203674</v>
      </c>
      <c r="DB11" s="311" t="str">
        <f t="shared" si="18"/>
        <v>Finance</v>
      </c>
      <c r="DC11" s="311" t="str">
        <f t="shared" si="18"/>
        <v>Australian Securities Exchange</v>
      </c>
      <c r="DH11" s="510">
        <v>8831</v>
      </c>
      <c r="DP11" s="478">
        <f t="shared" si="19"/>
        <v>8831</v>
      </c>
      <c r="DR11" s="577">
        <v>0</v>
      </c>
      <c r="DS11" s="577">
        <f t="shared" si="20"/>
        <v>35000</v>
      </c>
      <c r="DT11" s="577">
        <f t="shared" si="21"/>
        <v>10000</v>
      </c>
      <c r="DU11" s="577">
        <f t="shared" si="22"/>
        <v>65000</v>
      </c>
      <c r="DV11" s="577">
        <f t="shared" si="23"/>
        <v>20000</v>
      </c>
      <c r="DW11" s="577">
        <f t="shared" si="24"/>
        <v>3674</v>
      </c>
      <c r="DX11" s="577">
        <f t="shared" si="25"/>
        <v>0</v>
      </c>
      <c r="DY11" s="577">
        <f t="shared" si="26"/>
        <v>10000</v>
      </c>
      <c r="DZ11" s="577">
        <f t="shared" si="27"/>
        <v>10000</v>
      </c>
      <c r="EA11" s="577">
        <f t="shared" si="28"/>
        <v>10000</v>
      </c>
      <c r="EB11" s="577">
        <f t="shared" si="29"/>
        <v>20000</v>
      </c>
      <c r="EC11" s="634">
        <f t="shared" si="30"/>
        <v>10000</v>
      </c>
      <c r="ED11" s="478">
        <f t="shared" si="31"/>
        <v>193674</v>
      </c>
      <c r="EE11" s="630"/>
      <c r="EF11" s="632">
        <f t="shared" si="32"/>
        <v>0</v>
      </c>
      <c r="EG11" s="632">
        <f t="shared" si="33"/>
        <v>0</v>
      </c>
      <c r="EH11" s="632">
        <f t="shared" si="34"/>
        <v>0</v>
      </c>
      <c r="EI11" s="632">
        <f t="shared" si="35"/>
        <v>0</v>
      </c>
      <c r="EJ11" s="632">
        <f t="shared" si="36"/>
        <v>8831</v>
      </c>
      <c r="EK11" s="632">
        <f t="shared" si="37"/>
        <v>0</v>
      </c>
      <c r="EL11" s="632">
        <f t="shared" si="38"/>
        <v>0</v>
      </c>
      <c r="EM11" s="632">
        <f t="shared" si="39"/>
        <v>0</v>
      </c>
      <c r="EN11" s="632">
        <f t="shared" si="40"/>
        <v>0</v>
      </c>
      <c r="EO11" s="632">
        <f t="shared" si="41"/>
        <v>0</v>
      </c>
      <c r="EP11" s="629">
        <f t="shared" si="42"/>
        <v>0</v>
      </c>
      <c r="EQ11" s="632">
        <f t="shared" si="43"/>
        <v>0</v>
      </c>
      <c r="ER11" s="478">
        <f t="shared" si="9"/>
        <v>8831</v>
      </c>
    </row>
    <row r="12" spans="1:148" x14ac:dyDescent="0.2">
      <c r="A12" s="337" t="s">
        <v>355</v>
      </c>
      <c r="B12" s="306"/>
      <c r="G12" s="307"/>
      <c r="H12" s="308">
        <f>SUM('PRD Sales Forecast'!$B12:$G12)</f>
        <v>0</v>
      </c>
      <c r="I12" s="306"/>
      <c r="N12" s="307"/>
      <c r="O12" s="308">
        <f>SUM('PRD Sales Forecast'!$I12:$N12)</f>
        <v>0</v>
      </c>
      <c r="P12" s="309"/>
      <c r="Q12" s="309">
        <v>18000</v>
      </c>
      <c r="R12" s="309"/>
      <c r="S12" s="309"/>
      <c r="T12" s="309">
        <v>5000</v>
      </c>
      <c r="U12" s="309"/>
      <c r="V12" s="313"/>
      <c r="W12" s="309">
        <v>18000</v>
      </c>
      <c r="X12" s="313">
        <v>5000</v>
      </c>
      <c r="Y12" s="313"/>
      <c r="Z12" s="344">
        <v>8000</v>
      </c>
      <c r="AA12" s="344"/>
      <c r="AB12" s="314">
        <f>SUM('PRD Sales Forecast'!$P12:$AA12)</f>
        <v>54000</v>
      </c>
      <c r="AC12" s="337"/>
      <c r="AD12" s="311"/>
      <c r="AE12" s="311" t="s">
        <v>355</v>
      </c>
      <c r="AF12" s="512"/>
      <c r="AG12" s="512">
        <v>43000</v>
      </c>
      <c r="AH12" s="512"/>
      <c r="AI12" s="512"/>
      <c r="AJ12" s="512"/>
      <c r="AK12" s="512"/>
      <c r="AL12" s="512"/>
      <c r="AM12" s="512">
        <v>19000</v>
      </c>
      <c r="AN12" s="512"/>
      <c r="AO12" s="512"/>
      <c r="AP12" s="512"/>
      <c r="AQ12" s="512"/>
      <c r="AR12" s="516">
        <f t="shared" si="10"/>
        <v>62000</v>
      </c>
      <c r="AT12" s="311"/>
      <c r="AU12" s="311" t="s">
        <v>355</v>
      </c>
      <c r="BH12" s="361">
        <f t="shared" si="11"/>
        <v>0</v>
      </c>
      <c r="BJ12" s="577">
        <v>766.73</v>
      </c>
      <c r="BK12" s="577">
        <f>8742.5+3095.5</f>
        <v>11838</v>
      </c>
      <c r="BL12" s="481">
        <v>380</v>
      </c>
      <c r="BM12" s="481">
        <f t="shared" si="13"/>
        <v>0</v>
      </c>
      <c r="BN12" s="577">
        <v>7674.5</v>
      </c>
      <c r="BO12" s="481">
        <f t="shared" si="13"/>
        <v>0</v>
      </c>
      <c r="BP12" s="481">
        <v>0</v>
      </c>
      <c r="BQ12" s="109">
        <f>19279-8742.5+6970.5-926.25</f>
        <v>16580.75</v>
      </c>
      <c r="BR12" s="481">
        <v>-897</v>
      </c>
      <c r="BS12" s="481">
        <v>0</v>
      </c>
      <c r="BT12" s="481">
        <v>11000</v>
      </c>
      <c r="BU12" s="481">
        <v>0</v>
      </c>
      <c r="BV12" s="478">
        <f t="shared" si="14"/>
        <v>47342.979999999996</v>
      </c>
      <c r="BX12" s="577">
        <f t="shared" si="15"/>
        <v>0</v>
      </c>
      <c r="BY12" s="577">
        <v>798</v>
      </c>
      <c r="BZ12" s="481">
        <f t="shared" si="16"/>
        <v>0</v>
      </c>
      <c r="CA12" s="481">
        <f t="shared" si="16"/>
        <v>0</v>
      </c>
      <c r="CB12" s="481">
        <v>500</v>
      </c>
      <c r="CC12" s="481">
        <f t="shared" si="16"/>
        <v>0</v>
      </c>
      <c r="CD12" s="481">
        <v>0</v>
      </c>
      <c r="CE12" s="109">
        <v>798</v>
      </c>
      <c r="CF12" s="481">
        <v>0</v>
      </c>
      <c r="CG12" s="481">
        <v>0</v>
      </c>
      <c r="CH12" s="481">
        <v>0</v>
      </c>
      <c r="CI12" s="481">
        <v>0</v>
      </c>
      <c r="CJ12" s="478">
        <f t="shared" si="6"/>
        <v>2096</v>
      </c>
      <c r="CL12" s="627" t="s">
        <v>916</v>
      </c>
      <c r="CM12" s="670" t="s">
        <v>1122</v>
      </c>
      <c r="CN12" s="512"/>
      <c r="CO12" s="84"/>
      <c r="CP12" s="84">
        <v>4000</v>
      </c>
      <c r="CQ12" s="84"/>
      <c r="CR12" s="512">
        <v>38507</v>
      </c>
      <c r="CS12" s="512"/>
      <c r="CT12" s="512"/>
      <c r="CU12" s="512"/>
      <c r="CV12" s="512"/>
      <c r="CW12" s="512"/>
      <c r="CX12" s="512">
        <v>15000</v>
      </c>
      <c r="CY12" s="512"/>
      <c r="CZ12" s="516">
        <f t="shared" si="17"/>
        <v>57507</v>
      </c>
      <c r="DB12" s="311" t="str">
        <f t="shared" si="18"/>
        <v>Finance</v>
      </c>
      <c r="DC12" s="311" t="str">
        <f t="shared" si="18"/>
        <v>Automic</v>
      </c>
      <c r="DP12" s="478">
        <f t="shared" si="19"/>
        <v>0</v>
      </c>
      <c r="DR12" s="577">
        <f t="shared" si="44"/>
        <v>0</v>
      </c>
      <c r="DS12" s="577">
        <f t="shared" si="20"/>
        <v>0</v>
      </c>
      <c r="DT12" s="577">
        <f t="shared" si="21"/>
        <v>4000</v>
      </c>
      <c r="DU12" s="577">
        <f t="shared" si="22"/>
        <v>0</v>
      </c>
      <c r="DV12" s="577">
        <f t="shared" si="23"/>
        <v>38507</v>
      </c>
      <c r="DW12" s="577">
        <f t="shared" si="24"/>
        <v>0</v>
      </c>
      <c r="DX12" s="577">
        <f t="shared" si="25"/>
        <v>0</v>
      </c>
      <c r="DY12" s="577">
        <f t="shared" si="26"/>
        <v>0</v>
      </c>
      <c r="DZ12" s="577">
        <f t="shared" si="27"/>
        <v>0</v>
      </c>
      <c r="EA12" s="577">
        <f t="shared" si="28"/>
        <v>0</v>
      </c>
      <c r="EB12" s="577">
        <f t="shared" si="29"/>
        <v>15000</v>
      </c>
      <c r="EC12" s="634">
        <f t="shared" si="30"/>
        <v>0</v>
      </c>
      <c r="ED12" s="478">
        <f t="shared" si="31"/>
        <v>57507</v>
      </c>
      <c r="EE12" s="630"/>
      <c r="EF12" s="632">
        <f t="shared" si="32"/>
        <v>0</v>
      </c>
      <c r="EG12" s="632">
        <f t="shared" si="33"/>
        <v>0</v>
      </c>
      <c r="EH12" s="632">
        <f t="shared" si="34"/>
        <v>0</v>
      </c>
      <c r="EI12" s="632">
        <f t="shared" si="35"/>
        <v>0</v>
      </c>
      <c r="EJ12" s="632">
        <f t="shared" si="36"/>
        <v>0</v>
      </c>
      <c r="EK12" s="632">
        <f t="shared" si="37"/>
        <v>0</v>
      </c>
      <c r="EL12" s="632">
        <f t="shared" si="38"/>
        <v>0</v>
      </c>
      <c r="EM12" s="632">
        <f t="shared" si="39"/>
        <v>0</v>
      </c>
      <c r="EN12" s="632">
        <f t="shared" si="40"/>
        <v>0</v>
      </c>
      <c r="EO12" s="632">
        <f t="shared" si="41"/>
        <v>0</v>
      </c>
      <c r="EP12" s="629">
        <f t="shared" si="42"/>
        <v>0</v>
      </c>
      <c r="EQ12" s="632">
        <f t="shared" si="43"/>
        <v>0</v>
      </c>
      <c r="ER12" s="478">
        <f t="shared" si="9"/>
        <v>0</v>
      </c>
    </row>
    <row r="13" spans="1:148" x14ac:dyDescent="0.2">
      <c r="A13" s="337" t="s">
        <v>598</v>
      </c>
      <c r="B13" s="340">
        <v>0</v>
      </c>
      <c r="C13" s="341">
        <v>0</v>
      </c>
      <c r="D13" s="341">
        <v>0</v>
      </c>
      <c r="E13" s="341">
        <v>0</v>
      </c>
      <c r="F13" s="341">
        <v>0</v>
      </c>
      <c r="G13" s="342">
        <v>0</v>
      </c>
      <c r="H13" s="312">
        <f>SUM('PRD Sales Forecast'!$B13:$G13)</f>
        <v>0</v>
      </c>
      <c r="I13" s="340">
        <v>0</v>
      </c>
      <c r="J13" s="341">
        <v>0</v>
      </c>
      <c r="K13" s="341">
        <v>0</v>
      </c>
      <c r="L13" s="341">
        <v>0</v>
      </c>
      <c r="M13" s="341">
        <v>0</v>
      </c>
      <c r="N13" s="342">
        <v>0</v>
      </c>
      <c r="O13" s="312">
        <f>SUM('PRD Sales Forecast'!$I13:$N13)</f>
        <v>0</v>
      </c>
      <c r="P13" s="343">
        <v>2000</v>
      </c>
      <c r="Q13" s="343">
        <v>60000</v>
      </c>
      <c r="R13" s="343">
        <v>75000</v>
      </c>
      <c r="S13" s="343"/>
      <c r="T13" s="343">
        <v>15000</v>
      </c>
      <c r="U13" s="343"/>
      <c r="V13" s="343"/>
      <c r="W13" s="313">
        <v>50000</v>
      </c>
      <c r="X13" s="313">
        <v>3500</v>
      </c>
      <c r="Y13" s="313">
        <v>3500</v>
      </c>
      <c r="Z13" s="344">
        <v>5400</v>
      </c>
      <c r="AA13" s="344">
        <v>50000</v>
      </c>
      <c r="AB13" s="314">
        <f>SUM('PRD Sales Forecast'!$P13:$AA13)</f>
        <v>264400</v>
      </c>
      <c r="AC13" s="337"/>
      <c r="AD13" s="311"/>
      <c r="AE13" s="311" t="s">
        <v>598</v>
      </c>
      <c r="AF13" s="512">
        <v>1275</v>
      </c>
      <c r="AG13" s="512">
        <v>32300</v>
      </c>
      <c r="AH13" s="565">
        <v>35700</v>
      </c>
      <c r="AI13" s="512">
        <v>66300</v>
      </c>
      <c r="AJ13" s="512">
        <v>7650</v>
      </c>
      <c r="AK13" s="512">
        <v>9350</v>
      </c>
      <c r="AL13" s="512">
        <v>0</v>
      </c>
      <c r="AM13" s="512">
        <v>32300</v>
      </c>
      <c r="AN13" s="512">
        <v>25500</v>
      </c>
      <c r="AO13" s="512">
        <v>3400</v>
      </c>
      <c r="AP13" s="512">
        <v>4675</v>
      </c>
      <c r="AQ13" s="512">
        <v>46750</v>
      </c>
      <c r="AR13" s="516">
        <f t="shared" si="10"/>
        <v>265200</v>
      </c>
      <c r="AS13" s="530"/>
      <c r="AT13" s="311"/>
      <c r="AU13" s="311" t="s">
        <v>598</v>
      </c>
      <c r="AV13" s="293" t="s">
        <v>993</v>
      </c>
      <c r="AW13" s="510">
        <v>5000</v>
      </c>
      <c r="AX13" s="510">
        <v>5000</v>
      </c>
      <c r="AY13" s="510">
        <v>6000</v>
      </c>
      <c r="AZ13" s="510">
        <v>3700</v>
      </c>
      <c r="BA13" s="510">
        <v>2500</v>
      </c>
      <c r="BB13" s="510">
        <v>3000</v>
      </c>
      <c r="BC13" s="510">
        <v>4500</v>
      </c>
      <c r="BD13" s="510">
        <v>11500</v>
      </c>
      <c r="BE13" s="510">
        <v>1000</v>
      </c>
      <c r="BG13" s="510">
        <v>12000</v>
      </c>
      <c r="BH13" s="361">
        <f t="shared" si="11"/>
        <v>54200</v>
      </c>
      <c r="BJ13" s="577">
        <v>1278.5</v>
      </c>
      <c r="BK13" s="577">
        <v>38816.5</v>
      </c>
      <c r="BL13" s="481">
        <v>24714</v>
      </c>
      <c r="BM13" s="588">
        <v>64176.63</v>
      </c>
      <c r="BN13" s="577">
        <v>6408.5</v>
      </c>
      <c r="BO13" s="481">
        <v>10754</v>
      </c>
      <c r="BP13" s="481">
        <v>0</v>
      </c>
      <c r="BQ13" s="109">
        <v>38811</v>
      </c>
      <c r="BR13" s="481">
        <v>2674</v>
      </c>
      <c r="BS13" s="481">
        <v>2964</v>
      </c>
      <c r="BT13" s="481">
        <v>8000</v>
      </c>
      <c r="BU13" s="481">
        <v>46750</v>
      </c>
      <c r="BV13" s="478">
        <f t="shared" si="14"/>
        <v>245347.13</v>
      </c>
      <c r="BX13" s="577">
        <f>3781.25+3726-3000</f>
        <v>4507.25</v>
      </c>
      <c r="BY13" s="577">
        <f>4847-718.75+750</f>
        <v>4878.25</v>
      </c>
      <c r="BZ13" s="481">
        <f>13091-3812.5+76.5+9388-12634.5</f>
        <v>6108.5</v>
      </c>
      <c r="CA13" s="481">
        <f>4627.13+3357.75</f>
        <v>7984.88</v>
      </c>
      <c r="CB13" s="481">
        <f>24292.9-3357.75-530.5</f>
        <v>20404.650000000001</v>
      </c>
      <c r="CC13" s="481">
        <v>1229.5</v>
      </c>
      <c r="CD13" s="481">
        <v>0</v>
      </c>
      <c r="CE13" s="109">
        <v>8261.2000000000007</v>
      </c>
      <c r="CF13" s="481">
        <v>18916.25</v>
      </c>
      <c r="CG13" s="481">
        <v>2700</v>
      </c>
      <c r="CH13" s="481">
        <v>0</v>
      </c>
      <c r="CI13" s="481">
        <v>12000</v>
      </c>
      <c r="CJ13" s="478">
        <f t="shared" si="6"/>
        <v>86990.48</v>
      </c>
      <c r="CL13" s="627" t="s">
        <v>917</v>
      </c>
      <c r="CM13" s="623" t="s">
        <v>599</v>
      </c>
      <c r="CN13" s="512"/>
      <c r="CO13" s="84">
        <v>2500</v>
      </c>
      <c r="CP13" s="84"/>
      <c r="CQ13" s="84"/>
      <c r="CR13" s="512"/>
      <c r="CS13" s="512"/>
      <c r="CT13" s="512">
        <v>10000</v>
      </c>
      <c r="CU13" s="512"/>
      <c r="CV13" s="512"/>
      <c r="CW13" s="512"/>
      <c r="CX13" s="512"/>
      <c r="CY13" s="512"/>
      <c r="CZ13" s="516">
        <f t="shared" si="17"/>
        <v>12500</v>
      </c>
      <c r="DA13" s="530"/>
      <c r="DB13" s="311" t="str">
        <f t="shared" si="18"/>
        <v>Business Services</v>
      </c>
      <c r="DC13" s="311" t="str">
        <f t="shared" si="18"/>
        <v>CEO Institute</v>
      </c>
      <c r="DE13" s="510"/>
      <c r="DF13" s="510"/>
      <c r="DG13" s="510"/>
      <c r="DI13" s="510"/>
      <c r="DJ13" s="510"/>
      <c r="DK13" s="510"/>
      <c r="DL13" s="510"/>
      <c r="DM13" s="510"/>
      <c r="DO13" s="510"/>
      <c r="DP13" s="478">
        <f t="shared" si="19"/>
        <v>0</v>
      </c>
      <c r="DR13" s="577">
        <f t="shared" si="44"/>
        <v>0</v>
      </c>
      <c r="DS13" s="577">
        <f t="shared" si="20"/>
        <v>2500</v>
      </c>
      <c r="DT13" s="577">
        <f t="shared" si="21"/>
        <v>0</v>
      </c>
      <c r="DU13" s="577">
        <f t="shared" si="22"/>
        <v>0</v>
      </c>
      <c r="DV13" s="577">
        <f t="shared" si="23"/>
        <v>0</v>
      </c>
      <c r="DW13" s="577">
        <f t="shared" si="24"/>
        <v>0</v>
      </c>
      <c r="DX13" s="577">
        <f t="shared" si="25"/>
        <v>10000</v>
      </c>
      <c r="DY13" s="577">
        <f t="shared" si="26"/>
        <v>0</v>
      </c>
      <c r="DZ13" s="577">
        <f t="shared" si="27"/>
        <v>0</v>
      </c>
      <c r="EA13" s="577">
        <f t="shared" si="28"/>
        <v>0</v>
      </c>
      <c r="EB13" s="577">
        <f t="shared" si="29"/>
        <v>0</v>
      </c>
      <c r="EC13" s="634">
        <f t="shared" si="30"/>
        <v>0</v>
      </c>
      <c r="ED13" s="478">
        <f t="shared" si="31"/>
        <v>12500</v>
      </c>
      <c r="EE13" s="630"/>
      <c r="EF13" s="632">
        <f t="shared" si="32"/>
        <v>0</v>
      </c>
      <c r="EG13" s="632">
        <f t="shared" si="33"/>
        <v>0</v>
      </c>
      <c r="EH13" s="632">
        <f t="shared" si="34"/>
        <v>0</v>
      </c>
      <c r="EI13" s="632">
        <f t="shared" si="35"/>
        <v>0</v>
      </c>
      <c r="EJ13" s="632">
        <f t="shared" si="36"/>
        <v>0</v>
      </c>
      <c r="EK13" s="632">
        <f t="shared" si="37"/>
        <v>0</v>
      </c>
      <c r="EL13" s="632">
        <f t="shared" si="38"/>
        <v>0</v>
      </c>
      <c r="EM13" s="632">
        <f t="shared" si="39"/>
        <v>0</v>
      </c>
      <c r="EN13" s="632">
        <f t="shared" si="40"/>
        <v>0</v>
      </c>
      <c r="EO13" s="632">
        <f t="shared" si="41"/>
        <v>0</v>
      </c>
      <c r="EP13" s="629">
        <f t="shared" si="42"/>
        <v>0</v>
      </c>
      <c r="EQ13" s="632">
        <f t="shared" si="43"/>
        <v>0</v>
      </c>
      <c r="ER13" s="478">
        <f t="shared" si="9"/>
        <v>0</v>
      </c>
    </row>
    <row r="14" spans="1:148" x14ac:dyDescent="0.2">
      <c r="A14" s="337" t="s">
        <v>599</v>
      </c>
      <c r="B14" s="306"/>
      <c r="G14" s="307"/>
      <c r="H14" s="308">
        <f>SUM('PRD Sales Forecast'!$B14:$G14)</f>
        <v>0</v>
      </c>
      <c r="I14" s="306"/>
      <c r="N14" s="307"/>
      <c r="O14" s="308">
        <f>SUM('PRD Sales Forecast'!$I14:$N14)</f>
        <v>0</v>
      </c>
      <c r="P14" s="309"/>
      <c r="Q14" s="309"/>
      <c r="R14" s="309"/>
      <c r="S14" s="309"/>
      <c r="T14" s="309"/>
      <c r="U14" s="309"/>
      <c r="V14" s="313"/>
      <c r="W14" s="313">
        <v>10000</v>
      </c>
      <c r="X14" s="313"/>
      <c r="Y14" s="313"/>
      <c r="Z14" s="344"/>
      <c r="AA14" s="344"/>
      <c r="AB14" s="314">
        <f>SUM('PRD Sales Forecast'!$P14:$AA14)</f>
        <v>10000</v>
      </c>
      <c r="AC14" s="337"/>
      <c r="AD14" s="311"/>
      <c r="AE14" s="311" t="s">
        <v>599</v>
      </c>
      <c r="AF14" s="512">
        <v>4300</v>
      </c>
      <c r="AG14" s="512"/>
      <c r="AH14" s="512"/>
      <c r="AI14" s="512"/>
      <c r="AJ14" s="512"/>
      <c r="AK14" s="512"/>
      <c r="AL14" s="512">
        <v>6700</v>
      </c>
      <c r="AM14" s="512"/>
      <c r="AN14" s="512"/>
      <c r="AO14" s="512"/>
      <c r="AP14" s="512"/>
      <c r="AQ14" s="512"/>
      <c r="AR14" s="516">
        <f t="shared" si="10"/>
        <v>11000</v>
      </c>
      <c r="AT14" s="311"/>
      <c r="AU14" s="311" t="s">
        <v>599</v>
      </c>
      <c r="AV14" s="570">
        <v>2900</v>
      </c>
      <c r="AW14" s="510">
        <v>550</v>
      </c>
      <c r="BB14" s="510">
        <v>1600</v>
      </c>
      <c r="BH14" s="361">
        <f t="shared" si="11"/>
        <v>5050</v>
      </c>
      <c r="BJ14" s="577">
        <v>0</v>
      </c>
      <c r="BK14" s="577">
        <v>2527.27</v>
      </c>
      <c r="BL14" s="481">
        <f t="shared" si="13"/>
        <v>0</v>
      </c>
      <c r="BM14" s="481">
        <f t="shared" si="13"/>
        <v>0</v>
      </c>
      <c r="BN14" s="577">
        <f t="shared" si="13"/>
        <v>0</v>
      </c>
      <c r="BO14" s="481">
        <f t="shared" si="13"/>
        <v>0</v>
      </c>
      <c r="BP14" s="481">
        <v>7167.5</v>
      </c>
      <c r="BQ14" s="109">
        <v>0</v>
      </c>
      <c r="BR14" s="481">
        <v>0</v>
      </c>
      <c r="BS14" s="481">
        <v>0</v>
      </c>
      <c r="BT14" s="481">
        <v>0</v>
      </c>
      <c r="BU14" s="481">
        <v>0</v>
      </c>
      <c r="BV14" s="478">
        <f t="shared" si="14"/>
        <v>9694.77</v>
      </c>
      <c r="BX14" s="577">
        <v>0</v>
      </c>
      <c r="BY14" s="577">
        <v>0</v>
      </c>
      <c r="BZ14" s="481">
        <f t="shared" si="16"/>
        <v>0</v>
      </c>
      <c r="CA14" s="481">
        <f t="shared" si="16"/>
        <v>0</v>
      </c>
      <c r="CB14" s="481">
        <f t="shared" si="16"/>
        <v>0</v>
      </c>
      <c r="CC14" s="481">
        <f t="shared" si="16"/>
        <v>0</v>
      </c>
      <c r="CD14" s="481">
        <f>2832.5+2800</f>
        <v>5632.5</v>
      </c>
      <c r="CE14" s="109">
        <v>0</v>
      </c>
      <c r="CF14" s="481">
        <v>0</v>
      </c>
      <c r="CG14" s="481">
        <v>0</v>
      </c>
      <c r="CH14" s="481">
        <v>0</v>
      </c>
      <c r="CI14" s="481"/>
      <c r="CJ14" s="478">
        <f t="shared" si="6"/>
        <v>5632.5</v>
      </c>
      <c r="CL14" s="627" t="s">
        <v>917</v>
      </c>
      <c r="CM14" s="623" t="s">
        <v>600</v>
      </c>
      <c r="CN14" s="512"/>
      <c r="CO14" s="84"/>
      <c r="CP14" s="84"/>
      <c r="CQ14" s="84">
        <v>4000</v>
      </c>
      <c r="CR14" s="512">
        <v>32000</v>
      </c>
      <c r="CS14" s="512"/>
      <c r="CT14" s="512"/>
      <c r="CU14" s="512"/>
      <c r="CV14" s="512"/>
      <c r="CW14" s="512"/>
      <c r="CX14" s="512">
        <v>5000</v>
      </c>
      <c r="CY14" s="512"/>
      <c r="CZ14" s="516">
        <f t="shared" si="17"/>
        <v>41000</v>
      </c>
      <c r="DB14" s="311" t="str">
        <f t="shared" si="18"/>
        <v>Business Services</v>
      </c>
      <c r="DC14" s="311" t="str">
        <f t="shared" si="18"/>
        <v>Chorus Call</v>
      </c>
      <c r="DD14" s="570"/>
      <c r="DE14" s="510"/>
      <c r="DJ14" s="510"/>
      <c r="DP14" s="478">
        <f t="shared" si="19"/>
        <v>0</v>
      </c>
      <c r="DR14" s="577">
        <f t="shared" si="44"/>
        <v>0</v>
      </c>
      <c r="DS14" s="577">
        <f t="shared" si="20"/>
        <v>0</v>
      </c>
      <c r="DT14" s="577">
        <f t="shared" si="21"/>
        <v>0</v>
      </c>
      <c r="DU14" s="577">
        <f t="shared" si="22"/>
        <v>4000</v>
      </c>
      <c r="DV14" s="577">
        <f t="shared" si="23"/>
        <v>32000</v>
      </c>
      <c r="DW14" s="577">
        <f t="shared" si="24"/>
        <v>0</v>
      </c>
      <c r="DX14" s="577">
        <f t="shared" si="25"/>
        <v>0</v>
      </c>
      <c r="DY14" s="577">
        <f t="shared" si="26"/>
        <v>0</v>
      </c>
      <c r="DZ14" s="577">
        <f t="shared" si="27"/>
        <v>0</v>
      </c>
      <c r="EA14" s="577">
        <f t="shared" si="28"/>
        <v>0</v>
      </c>
      <c r="EB14" s="577">
        <f t="shared" si="29"/>
        <v>5000</v>
      </c>
      <c r="EC14" s="634">
        <f t="shared" si="30"/>
        <v>0</v>
      </c>
      <c r="ED14" s="478">
        <f t="shared" si="31"/>
        <v>41000</v>
      </c>
      <c r="EE14" s="630"/>
      <c r="EF14" s="632">
        <f t="shared" si="32"/>
        <v>0</v>
      </c>
      <c r="EG14" s="632">
        <f t="shared" si="33"/>
        <v>0</v>
      </c>
      <c r="EH14" s="632">
        <f t="shared" si="34"/>
        <v>0</v>
      </c>
      <c r="EI14" s="632">
        <f t="shared" si="35"/>
        <v>0</v>
      </c>
      <c r="EJ14" s="632">
        <f t="shared" si="36"/>
        <v>0</v>
      </c>
      <c r="EK14" s="632">
        <f t="shared" si="37"/>
        <v>0</v>
      </c>
      <c r="EL14" s="632">
        <f t="shared" si="38"/>
        <v>0</v>
      </c>
      <c r="EM14" s="632">
        <f t="shared" si="39"/>
        <v>0</v>
      </c>
      <c r="EN14" s="632">
        <f t="shared" si="40"/>
        <v>0</v>
      </c>
      <c r="EO14" s="632">
        <f t="shared" si="41"/>
        <v>0</v>
      </c>
      <c r="EP14" s="629">
        <f t="shared" si="42"/>
        <v>0</v>
      </c>
      <c r="EQ14" s="632">
        <f t="shared" si="43"/>
        <v>0</v>
      </c>
      <c r="ER14" s="478">
        <f t="shared" si="9"/>
        <v>0</v>
      </c>
    </row>
    <row r="15" spans="1:148" x14ac:dyDescent="0.2">
      <c r="A15" s="337" t="s">
        <v>600</v>
      </c>
      <c r="B15" s="340">
        <v>0</v>
      </c>
      <c r="C15" s="341">
        <v>1275</v>
      </c>
      <c r="D15" s="341">
        <v>2125</v>
      </c>
      <c r="E15" s="341">
        <v>850</v>
      </c>
      <c r="F15" s="341">
        <v>425</v>
      </c>
      <c r="G15" s="342">
        <v>4845</v>
      </c>
      <c r="H15" s="312">
        <f>SUM('PRD Sales Forecast'!$B15:$G15)</f>
        <v>9520</v>
      </c>
      <c r="I15" s="340">
        <v>0</v>
      </c>
      <c r="J15" s="341">
        <v>1275</v>
      </c>
      <c r="K15" s="341">
        <v>1700</v>
      </c>
      <c r="L15" s="341">
        <v>0</v>
      </c>
      <c r="M15" s="341">
        <v>1088</v>
      </c>
      <c r="N15" s="342">
        <v>2125</v>
      </c>
      <c r="O15" s="312">
        <f>SUM('PRD Sales Forecast'!$I15:$N15)</f>
        <v>6188</v>
      </c>
      <c r="P15" s="343">
        <v>7500</v>
      </c>
      <c r="Q15" s="343">
        <v>5000</v>
      </c>
      <c r="R15" s="343"/>
      <c r="S15" s="343">
        <v>5000</v>
      </c>
      <c r="T15" s="343">
        <v>20000</v>
      </c>
      <c r="U15" s="343"/>
      <c r="V15" s="343"/>
      <c r="W15" s="313">
        <v>0</v>
      </c>
      <c r="X15" s="313"/>
      <c r="Y15" s="313">
        <v>2500</v>
      </c>
      <c r="Z15" s="344">
        <v>3000</v>
      </c>
      <c r="AA15" s="344"/>
      <c r="AB15" s="314">
        <f>SUM('PRD Sales Forecast'!$P15:$AA15)</f>
        <v>43000</v>
      </c>
      <c r="AC15" s="337"/>
      <c r="AD15" s="311"/>
      <c r="AE15" s="311" t="s">
        <v>600</v>
      </c>
      <c r="AF15" s="512">
        <v>7500</v>
      </c>
      <c r="AG15" s="512"/>
      <c r="AH15" s="512"/>
      <c r="AI15" s="512">
        <v>12500</v>
      </c>
      <c r="AJ15" s="84">
        <v>32500</v>
      </c>
      <c r="AK15" s="512"/>
      <c r="AL15" s="512"/>
      <c r="AM15" s="512"/>
      <c r="AN15" s="512"/>
      <c r="AO15" s="512"/>
      <c r="AP15" s="512">
        <v>5500</v>
      </c>
      <c r="AQ15" s="512"/>
      <c r="AR15" s="516">
        <f t="shared" si="10"/>
        <v>58000</v>
      </c>
      <c r="AT15" s="311"/>
      <c r="AU15" s="311" t="s">
        <v>600</v>
      </c>
      <c r="AY15" s="510">
        <v>2400</v>
      </c>
      <c r="AZ15" s="511">
        <v>7700</v>
      </c>
      <c r="BH15" s="361">
        <f t="shared" si="11"/>
        <v>10100</v>
      </c>
      <c r="BJ15" s="577">
        <v>0</v>
      </c>
      <c r="BK15" s="577">
        <f t="shared" si="13"/>
        <v>0</v>
      </c>
      <c r="BL15" s="481">
        <f t="shared" si="13"/>
        <v>0</v>
      </c>
      <c r="BM15" s="588">
        <v>4052</v>
      </c>
      <c r="BN15" s="481">
        <v>32105.5</v>
      </c>
      <c r="BO15" s="481" t="s">
        <v>1005</v>
      </c>
      <c r="BP15" s="481" t="s">
        <v>1005</v>
      </c>
      <c r="BQ15" s="109" t="s">
        <v>1005</v>
      </c>
      <c r="BR15" s="481" t="s">
        <v>1005</v>
      </c>
      <c r="BS15" s="481" t="s">
        <v>1005</v>
      </c>
      <c r="BT15" s="481">
        <v>5500</v>
      </c>
      <c r="BU15" s="481">
        <v>0</v>
      </c>
      <c r="BV15" s="478">
        <f t="shared" si="14"/>
        <v>41657.5</v>
      </c>
      <c r="BX15" s="577">
        <f t="shared" si="15"/>
        <v>0</v>
      </c>
      <c r="BY15" s="577">
        <f t="shared" si="16"/>
        <v>0</v>
      </c>
      <c r="BZ15" s="481">
        <f t="shared" si="16"/>
        <v>0</v>
      </c>
      <c r="CA15" s="481">
        <v>0</v>
      </c>
      <c r="CB15" s="481">
        <v>485</v>
      </c>
      <c r="CC15" s="481">
        <f t="shared" si="16"/>
        <v>0</v>
      </c>
      <c r="CD15" s="481">
        <v>0</v>
      </c>
      <c r="CE15" s="109">
        <v>0</v>
      </c>
      <c r="CF15" s="481">
        <v>0</v>
      </c>
      <c r="CG15" s="481">
        <v>0</v>
      </c>
      <c r="CH15" s="481">
        <v>0</v>
      </c>
      <c r="CI15" s="481">
        <v>0</v>
      </c>
      <c r="CJ15" s="478">
        <f t="shared" si="6"/>
        <v>485</v>
      </c>
      <c r="CL15" s="627" t="s">
        <v>1206</v>
      </c>
      <c r="CM15" s="623" t="s">
        <v>601</v>
      </c>
      <c r="CN15" s="512"/>
      <c r="CO15" s="84">
        <v>10000</v>
      </c>
      <c r="CP15" s="84"/>
      <c r="CQ15" s="84">
        <v>60000</v>
      </c>
      <c r="CR15" s="84">
        <v>24000</v>
      </c>
      <c r="CS15" s="512"/>
      <c r="CT15" s="512"/>
      <c r="CU15" s="512"/>
      <c r="CV15" s="512"/>
      <c r="CW15" s="512"/>
      <c r="CX15" s="512"/>
      <c r="CY15" s="512"/>
      <c r="CZ15" s="516">
        <f t="shared" si="17"/>
        <v>94000</v>
      </c>
      <c r="DB15" s="311" t="str">
        <f t="shared" si="18"/>
        <v>Health</v>
      </c>
      <c r="DC15" s="311" t="str">
        <f t="shared" si="18"/>
        <v xml:space="preserve">Cochlear </v>
      </c>
      <c r="DG15" s="510"/>
      <c r="DH15" s="511"/>
      <c r="DP15" s="478">
        <f t="shared" si="19"/>
        <v>0</v>
      </c>
      <c r="DR15" s="577">
        <v>172.5</v>
      </c>
      <c r="DS15" s="577">
        <f t="shared" si="20"/>
        <v>10000</v>
      </c>
      <c r="DT15" s="577">
        <f t="shared" si="21"/>
        <v>0</v>
      </c>
      <c r="DU15" s="577">
        <f t="shared" si="22"/>
        <v>60000</v>
      </c>
      <c r="DV15" s="577">
        <f t="shared" si="23"/>
        <v>24000</v>
      </c>
      <c r="DW15" s="577">
        <f t="shared" si="24"/>
        <v>0</v>
      </c>
      <c r="DX15" s="577">
        <f t="shared" si="25"/>
        <v>0</v>
      </c>
      <c r="DY15" s="577">
        <f t="shared" si="26"/>
        <v>0</v>
      </c>
      <c r="DZ15" s="577">
        <f t="shared" si="27"/>
        <v>0</v>
      </c>
      <c r="EA15" s="577">
        <f t="shared" si="28"/>
        <v>0</v>
      </c>
      <c r="EB15" s="577">
        <f t="shared" si="29"/>
        <v>0</v>
      </c>
      <c r="EC15" s="634">
        <f t="shared" si="30"/>
        <v>0</v>
      </c>
      <c r="ED15" s="478">
        <f t="shared" si="31"/>
        <v>94172.5</v>
      </c>
      <c r="EE15" s="630"/>
      <c r="EF15" s="632">
        <f t="shared" si="32"/>
        <v>0</v>
      </c>
      <c r="EG15" s="632">
        <f t="shared" si="33"/>
        <v>0</v>
      </c>
      <c r="EH15" s="632">
        <f t="shared" si="34"/>
        <v>0</v>
      </c>
      <c r="EI15" s="632">
        <f t="shared" si="35"/>
        <v>0</v>
      </c>
      <c r="EJ15" s="632">
        <f t="shared" si="36"/>
        <v>0</v>
      </c>
      <c r="EK15" s="632">
        <f t="shared" si="37"/>
        <v>0</v>
      </c>
      <c r="EL15" s="632">
        <f t="shared" si="38"/>
        <v>0</v>
      </c>
      <c r="EM15" s="632">
        <f t="shared" si="39"/>
        <v>0</v>
      </c>
      <c r="EN15" s="632">
        <f t="shared" si="40"/>
        <v>0</v>
      </c>
      <c r="EO15" s="632">
        <f t="shared" si="41"/>
        <v>0</v>
      </c>
      <c r="EP15" s="629">
        <f t="shared" si="42"/>
        <v>0</v>
      </c>
      <c r="EQ15" s="632">
        <f t="shared" si="43"/>
        <v>0</v>
      </c>
      <c r="ER15" s="478">
        <f t="shared" si="9"/>
        <v>0</v>
      </c>
    </row>
    <row r="16" spans="1:148" x14ac:dyDescent="0.2">
      <c r="A16" s="337" t="s">
        <v>601</v>
      </c>
      <c r="B16" s="306"/>
      <c r="G16" s="307"/>
      <c r="H16" s="308">
        <f>SUM('PRD Sales Forecast'!$B16:$G16)</f>
        <v>0</v>
      </c>
      <c r="I16" s="306"/>
      <c r="N16" s="307"/>
      <c r="O16" s="308">
        <f>SUM('PRD Sales Forecast'!$I16:$N16)</f>
        <v>0</v>
      </c>
      <c r="P16" s="309"/>
      <c r="Q16" s="309">
        <v>6500</v>
      </c>
      <c r="R16" s="309"/>
      <c r="S16" s="309">
        <v>65000</v>
      </c>
      <c r="T16" s="309"/>
      <c r="U16" s="309"/>
      <c r="V16" s="309"/>
      <c r="W16" s="309">
        <v>6500</v>
      </c>
      <c r="X16" s="313"/>
      <c r="Y16" s="313"/>
      <c r="Z16" s="344"/>
      <c r="AA16" s="344"/>
      <c r="AB16" s="314">
        <f>SUM('PRD Sales Forecast'!$P16:$AA16)</f>
        <v>78000</v>
      </c>
      <c r="AC16" s="337"/>
      <c r="AD16" s="311"/>
      <c r="AE16" s="311" t="s">
        <v>601</v>
      </c>
      <c r="AF16" s="512"/>
      <c r="AG16" s="512">
        <v>6000</v>
      </c>
      <c r="AH16" s="512"/>
      <c r="AI16" s="512">
        <v>63000</v>
      </c>
      <c r="AJ16" s="512"/>
      <c r="AK16" s="512"/>
      <c r="AL16" s="512"/>
      <c r="AM16" s="512">
        <v>5000</v>
      </c>
      <c r="AN16" s="512"/>
      <c r="AO16" s="512"/>
      <c r="AP16" s="512"/>
      <c r="AQ16" s="512"/>
      <c r="AR16" s="516">
        <f t="shared" si="10"/>
        <v>74000</v>
      </c>
      <c r="AT16" s="311"/>
      <c r="AU16" s="311" t="s">
        <v>601</v>
      </c>
      <c r="AY16" s="510">
        <v>4600</v>
      </c>
      <c r="AZ16" s="293" t="s">
        <v>1005</v>
      </c>
      <c r="BH16" s="361">
        <f t="shared" si="11"/>
        <v>4600</v>
      </c>
      <c r="BI16" s="508"/>
      <c r="BJ16" s="577">
        <f t="shared" si="12"/>
        <v>0</v>
      </c>
      <c r="BK16" s="577">
        <v>9994.5</v>
      </c>
      <c r="BL16" s="481">
        <f t="shared" si="13"/>
        <v>0</v>
      </c>
      <c r="BM16" s="481">
        <v>56406.5</v>
      </c>
      <c r="BN16" s="481">
        <f t="shared" si="13"/>
        <v>0</v>
      </c>
      <c r="BO16" s="481">
        <f t="shared" si="13"/>
        <v>0</v>
      </c>
      <c r="BP16" s="481">
        <v>0</v>
      </c>
      <c r="BQ16" s="109">
        <v>9994.5</v>
      </c>
      <c r="BR16" s="481">
        <v>0</v>
      </c>
      <c r="BS16" s="481">
        <v>5595</v>
      </c>
      <c r="BT16" s="481">
        <v>0</v>
      </c>
      <c r="BU16" s="481">
        <v>0</v>
      </c>
      <c r="BV16" s="478">
        <f t="shared" si="14"/>
        <v>81990.5</v>
      </c>
      <c r="BX16" s="577">
        <f t="shared" si="15"/>
        <v>0</v>
      </c>
      <c r="BY16" s="577">
        <f t="shared" si="16"/>
        <v>0</v>
      </c>
      <c r="BZ16" s="481">
        <f t="shared" si="16"/>
        <v>0</v>
      </c>
      <c r="CA16" s="481">
        <v>4630</v>
      </c>
      <c r="CB16" s="481" t="str">
        <f t="shared" si="16"/>
        <v xml:space="preserve"> $-   </v>
      </c>
      <c r="CC16" s="481">
        <f t="shared" si="16"/>
        <v>0</v>
      </c>
      <c r="CD16" s="481">
        <v>0</v>
      </c>
      <c r="CE16" s="109">
        <v>0</v>
      </c>
      <c r="CF16" s="481">
        <v>0</v>
      </c>
      <c r="CG16" s="481">
        <v>0</v>
      </c>
      <c r="CH16" s="481">
        <v>0</v>
      </c>
      <c r="CI16" s="481">
        <v>0</v>
      </c>
      <c r="CJ16" s="478">
        <f t="shared" si="6"/>
        <v>4630</v>
      </c>
      <c r="CL16" s="627" t="s">
        <v>916</v>
      </c>
      <c r="CM16" s="670" t="s">
        <v>602</v>
      </c>
      <c r="CN16" s="512">
        <v>4000</v>
      </c>
      <c r="CO16" s="84">
        <v>15000</v>
      </c>
      <c r="CP16" s="84">
        <v>5000</v>
      </c>
      <c r="CQ16" s="84">
        <v>370000</v>
      </c>
      <c r="CR16" s="512">
        <v>5000</v>
      </c>
      <c r="CS16" s="512">
        <v>5000</v>
      </c>
      <c r="CT16" s="512">
        <v>5000</v>
      </c>
      <c r="CU16" s="512">
        <v>20000</v>
      </c>
      <c r="CV16" s="512">
        <v>5000</v>
      </c>
      <c r="CW16" s="512">
        <v>5000</v>
      </c>
      <c r="CX16" s="512">
        <v>10000</v>
      </c>
      <c r="CY16" s="512">
        <v>5000</v>
      </c>
      <c r="CZ16" s="516">
        <f t="shared" si="17"/>
        <v>454000</v>
      </c>
      <c r="DB16" s="311" t="str">
        <f t="shared" si="18"/>
        <v>Finance</v>
      </c>
      <c r="DC16" s="311" t="str">
        <f t="shared" si="18"/>
        <v>Commonwealth Bank of Australia</v>
      </c>
      <c r="DD16" s="659">
        <v>3074.9</v>
      </c>
      <c r="DE16" s="659">
        <v>3074.9</v>
      </c>
      <c r="DF16" s="659">
        <v>3074.9</v>
      </c>
      <c r="DG16" s="510">
        <v>3074.9</v>
      </c>
      <c r="DH16" s="659">
        <v>3074.9</v>
      </c>
      <c r="DI16" s="659">
        <v>3074.9</v>
      </c>
      <c r="DJ16" s="659">
        <v>3074.9</v>
      </c>
      <c r="DK16" s="659">
        <v>3074.9</v>
      </c>
      <c r="DL16" s="659">
        <v>3074.9</v>
      </c>
      <c r="DM16" s="659">
        <v>3074.9</v>
      </c>
      <c r="DN16" s="659">
        <v>3074.9</v>
      </c>
      <c r="DO16" s="659">
        <v>3074.9</v>
      </c>
      <c r="DP16" s="478">
        <f t="shared" si="19"/>
        <v>36898.80000000001</v>
      </c>
      <c r="DQ16" s="508"/>
      <c r="DR16" s="676">
        <f>417.5+8882.5+2535</f>
        <v>11835</v>
      </c>
      <c r="DS16" s="577">
        <f t="shared" si="20"/>
        <v>15000</v>
      </c>
      <c r="DT16" s="577">
        <f t="shared" si="21"/>
        <v>5000</v>
      </c>
      <c r="DU16" s="577">
        <f t="shared" si="22"/>
        <v>370000</v>
      </c>
      <c r="DV16" s="577">
        <f t="shared" si="23"/>
        <v>5000</v>
      </c>
      <c r="DW16" s="577">
        <f t="shared" si="24"/>
        <v>5000</v>
      </c>
      <c r="DX16" s="577">
        <f t="shared" si="25"/>
        <v>5000</v>
      </c>
      <c r="DY16" s="577">
        <f t="shared" si="26"/>
        <v>20000</v>
      </c>
      <c r="DZ16" s="577">
        <f t="shared" si="27"/>
        <v>5000</v>
      </c>
      <c r="EA16" s="577">
        <f t="shared" si="28"/>
        <v>5000</v>
      </c>
      <c r="EB16" s="577">
        <f t="shared" si="29"/>
        <v>10000</v>
      </c>
      <c r="EC16" s="634">
        <f t="shared" si="30"/>
        <v>5000</v>
      </c>
      <c r="ED16" s="478">
        <f t="shared" si="31"/>
        <v>461835</v>
      </c>
      <c r="EE16" s="630"/>
      <c r="EF16" s="632">
        <v>0</v>
      </c>
      <c r="EG16" s="632">
        <f t="shared" si="33"/>
        <v>3074.9</v>
      </c>
      <c r="EH16" s="632">
        <f t="shared" si="34"/>
        <v>3074.9</v>
      </c>
      <c r="EI16" s="632">
        <f t="shared" si="35"/>
        <v>3074.9</v>
      </c>
      <c r="EJ16" s="632">
        <f t="shared" si="36"/>
        <v>3074.9</v>
      </c>
      <c r="EK16" s="632">
        <f t="shared" si="37"/>
        <v>3074.9</v>
      </c>
      <c r="EL16" s="632">
        <f t="shared" si="38"/>
        <v>3074.9</v>
      </c>
      <c r="EM16" s="632">
        <f t="shared" si="39"/>
        <v>3074.9</v>
      </c>
      <c r="EN16" s="632">
        <f t="shared" si="40"/>
        <v>3074.9</v>
      </c>
      <c r="EO16" s="632">
        <f t="shared" si="41"/>
        <v>3074.9</v>
      </c>
      <c r="EP16" s="629">
        <f t="shared" si="42"/>
        <v>3074.9</v>
      </c>
      <c r="EQ16" s="632">
        <f t="shared" si="43"/>
        <v>3074.9</v>
      </c>
      <c r="ER16" s="478">
        <f t="shared" si="9"/>
        <v>33823.900000000009</v>
      </c>
    </row>
    <row r="17" spans="1:148" x14ac:dyDescent="0.2">
      <c r="A17" s="337" t="s">
        <v>602</v>
      </c>
      <c r="B17" s="340">
        <v>0</v>
      </c>
      <c r="C17" s="341">
        <v>0</v>
      </c>
      <c r="D17" s="341">
        <v>0</v>
      </c>
      <c r="E17" s="341">
        <v>0</v>
      </c>
      <c r="F17" s="341">
        <v>0</v>
      </c>
      <c r="G17" s="342">
        <v>0</v>
      </c>
      <c r="H17" s="312">
        <f>SUM('PRD Sales Forecast'!$B17:$G17)</f>
        <v>0</v>
      </c>
      <c r="I17" s="340">
        <v>0</v>
      </c>
      <c r="J17" s="341">
        <v>0</v>
      </c>
      <c r="K17" s="341">
        <v>0</v>
      </c>
      <c r="L17" s="341">
        <v>0</v>
      </c>
      <c r="M17" s="341">
        <v>0</v>
      </c>
      <c r="N17" s="342">
        <v>0</v>
      </c>
      <c r="O17" s="312">
        <f>SUM('PRD Sales Forecast'!$I17:$N17)</f>
        <v>0</v>
      </c>
      <c r="P17" s="343">
        <v>7500</v>
      </c>
      <c r="Q17" s="343">
        <v>15000</v>
      </c>
      <c r="R17" s="343">
        <v>25000</v>
      </c>
      <c r="S17" s="343">
        <v>370000</v>
      </c>
      <c r="T17" s="343">
        <v>12000</v>
      </c>
      <c r="U17" s="343">
        <v>8000</v>
      </c>
      <c r="V17" s="343"/>
      <c r="W17" s="313">
        <v>32000</v>
      </c>
      <c r="X17" s="313">
        <v>7000</v>
      </c>
      <c r="Y17" s="313">
        <v>9500</v>
      </c>
      <c r="Z17" s="344">
        <v>12000</v>
      </c>
      <c r="AA17" s="344">
        <v>12000</v>
      </c>
      <c r="AB17" s="314">
        <f>SUM('PRD Sales Forecast'!$P17:$AA17)</f>
        <v>510000</v>
      </c>
      <c r="AC17" s="337"/>
      <c r="AD17" s="311"/>
      <c r="AE17" s="311" t="s">
        <v>602</v>
      </c>
      <c r="AF17" s="512">
        <v>7500</v>
      </c>
      <c r="AG17" s="512">
        <v>25000</v>
      </c>
      <c r="AH17" s="512">
        <v>17000</v>
      </c>
      <c r="AI17" s="512">
        <v>433000</v>
      </c>
      <c r="AJ17" s="512">
        <v>34000</v>
      </c>
      <c r="AK17" s="512">
        <v>11000</v>
      </c>
      <c r="AL17" s="512">
        <v>4000</v>
      </c>
      <c r="AM17" s="512">
        <v>19000</v>
      </c>
      <c r="AN17" s="512">
        <v>36500</v>
      </c>
      <c r="AO17" s="512">
        <v>8000</v>
      </c>
      <c r="AP17" s="512">
        <v>12000</v>
      </c>
      <c r="AQ17" s="512">
        <v>13000</v>
      </c>
      <c r="AR17" s="516">
        <f t="shared" si="10"/>
        <v>620000</v>
      </c>
      <c r="AT17" s="311"/>
      <c r="AU17" s="311" t="s">
        <v>602</v>
      </c>
      <c r="AV17" s="293">
        <v>1900</v>
      </c>
      <c r="AW17" s="293">
        <v>1900</v>
      </c>
      <c r="AX17" s="293">
        <v>1900</v>
      </c>
      <c r="AY17" s="510">
        <v>34000</v>
      </c>
      <c r="AZ17" s="510">
        <v>1000</v>
      </c>
      <c r="BA17" s="293">
        <v>1900</v>
      </c>
      <c r="BC17" s="293">
        <v>1900</v>
      </c>
      <c r="BD17" s="510">
        <v>3000</v>
      </c>
      <c r="BE17" s="293">
        <v>1900</v>
      </c>
      <c r="BF17" s="510">
        <v>4000</v>
      </c>
      <c r="BG17" s="510">
        <v>2000</v>
      </c>
      <c r="BH17" s="361">
        <f>SUM(AV17:BG17)</f>
        <v>55400</v>
      </c>
      <c r="BI17" s="508"/>
      <c r="BJ17" s="577">
        <f>10212.5+682.5+316.25+650</f>
        <v>11861.25</v>
      </c>
      <c r="BK17" s="577">
        <f>5167.54+24874-316.25</f>
        <v>29725.29</v>
      </c>
      <c r="BL17" s="481">
        <v>7125</v>
      </c>
      <c r="BM17" s="588">
        <f>8027.5+513687.5-23618.98-23519.98</f>
        <v>474576.04000000004</v>
      </c>
      <c r="BN17" s="481">
        <f>-45600.46+6792.5</f>
        <v>-38807.96</v>
      </c>
      <c r="BO17" s="481">
        <f>195+33022.5-3490.01</f>
        <v>29727.489999999998</v>
      </c>
      <c r="BP17" s="481">
        <v>0</v>
      </c>
      <c r="BQ17" s="109">
        <f>1970+21390.19-292.5</f>
        <v>23067.69</v>
      </c>
      <c r="BR17" s="481">
        <v>22133</v>
      </c>
      <c r="BS17" s="481">
        <v>4387.5</v>
      </c>
      <c r="BT17" s="481">
        <v>12000</v>
      </c>
      <c r="BU17" s="481">
        <v>15000</v>
      </c>
      <c r="BV17" s="478">
        <f t="shared" si="14"/>
        <v>590795.29999999993</v>
      </c>
      <c r="BX17" s="577">
        <v>0</v>
      </c>
      <c r="BY17" s="577">
        <v>0</v>
      </c>
      <c r="BZ17" s="481">
        <v>0</v>
      </c>
      <c r="CA17" s="481">
        <v>23520</v>
      </c>
      <c r="CB17" s="481">
        <v>0</v>
      </c>
      <c r="CC17" s="481">
        <f>3175+1743.75</f>
        <v>4918.75</v>
      </c>
      <c r="CD17" s="481" t="s">
        <v>1005</v>
      </c>
      <c r="CE17" s="109">
        <v>850</v>
      </c>
      <c r="CF17" s="481">
        <v>1610</v>
      </c>
      <c r="CG17" s="481">
        <v>0</v>
      </c>
      <c r="CH17" s="481">
        <v>4000</v>
      </c>
      <c r="CI17" s="481">
        <v>2000</v>
      </c>
      <c r="CJ17" s="478">
        <f t="shared" si="6"/>
        <v>36898.75</v>
      </c>
      <c r="CL17" s="627" t="s">
        <v>917</v>
      </c>
      <c r="CM17" s="623" t="s">
        <v>603</v>
      </c>
      <c r="CN17" s="512"/>
      <c r="CO17" s="84"/>
      <c r="CP17" s="84"/>
      <c r="CQ17" s="84"/>
      <c r="CR17" s="512">
        <v>10000</v>
      </c>
      <c r="CS17" s="512">
        <v>1200</v>
      </c>
      <c r="CT17" s="512"/>
      <c r="CU17" s="512"/>
      <c r="CV17" s="512">
        <v>5000</v>
      </c>
      <c r="CW17" s="512"/>
      <c r="CX17" s="512"/>
      <c r="CY17" s="512">
        <v>10000</v>
      </c>
      <c r="CZ17" s="516">
        <f t="shared" si="17"/>
        <v>26200</v>
      </c>
      <c r="DB17" s="311" t="str">
        <f t="shared" si="18"/>
        <v>Business Services</v>
      </c>
      <c r="DC17" s="311" t="str">
        <f t="shared" si="18"/>
        <v>Deloitte Services P/L for Deloitte Services Trust</v>
      </c>
      <c r="DG17" s="510"/>
      <c r="DH17" s="510"/>
      <c r="DL17" s="510"/>
      <c r="DN17" s="510"/>
      <c r="DO17" s="510"/>
      <c r="DP17" s="478">
        <f t="shared" si="19"/>
        <v>0</v>
      </c>
      <c r="DQ17" s="508"/>
      <c r="DR17" s="577">
        <f t="shared" si="44"/>
        <v>0</v>
      </c>
      <c r="DS17" s="577">
        <f t="shared" si="20"/>
        <v>0</v>
      </c>
      <c r="DT17" s="577">
        <f t="shared" si="21"/>
        <v>0</v>
      </c>
      <c r="DU17" s="577">
        <f t="shared" si="22"/>
        <v>0</v>
      </c>
      <c r="DV17" s="577">
        <f t="shared" si="23"/>
        <v>10000</v>
      </c>
      <c r="DW17" s="577">
        <f t="shared" si="24"/>
        <v>1200</v>
      </c>
      <c r="DX17" s="577">
        <f t="shared" si="25"/>
        <v>0</v>
      </c>
      <c r="DY17" s="577">
        <f t="shared" si="26"/>
        <v>0</v>
      </c>
      <c r="DZ17" s="577">
        <f t="shared" si="27"/>
        <v>5000</v>
      </c>
      <c r="EA17" s="577">
        <f t="shared" si="28"/>
        <v>0</v>
      </c>
      <c r="EB17" s="577">
        <f t="shared" si="29"/>
        <v>0</v>
      </c>
      <c r="EC17" s="634">
        <f t="shared" si="30"/>
        <v>10000</v>
      </c>
      <c r="ED17" s="478">
        <f t="shared" si="31"/>
        <v>26200</v>
      </c>
      <c r="EE17" s="630"/>
      <c r="EF17" s="632">
        <f t="shared" si="32"/>
        <v>0</v>
      </c>
      <c r="EG17" s="632">
        <f t="shared" si="33"/>
        <v>0</v>
      </c>
      <c r="EH17" s="632">
        <f t="shared" si="34"/>
        <v>0</v>
      </c>
      <c r="EI17" s="632">
        <f t="shared" si="35"/>
        <v>0</v>
      </c>
      <c r="EJ17" s="632">
        <f t="shared" si="36"/>
        <v>0</v>
      </c>
      <c r="EK17" s="632">
        <f t="shared" si="37"/>
        <v>0</v>
      </c>
      <c r="EL17" s="632">
        <f t="shared" si="38"/>
        <v>0</v>
      </c>
      <c r="EM17" s="632">
        <f t="shared" si="39"/>
        <v>0</v>
      </c>
      <c r="EN17" s="632">
        <f t="shared" si="40"/>
        <v>0</v>
      </c>
      <c r="EO17" s="632">
        <f t="shared" si="41"/>
        <v>0</v>
      </c>
      <c r="EP17" s="629">
        <f t="shared" si="42"/>
        <v>0</v>
      </c>
      <c r="EQ17" s="632">
        <f t="shared" si="43"/>
        <v>0</v>
      </c>
      <c r="ER17" s="478">
        <f t="shared" si="9"/>
        <v>0</v>
      </c>
    </row>
    <row r="18" spans="1:148" x14ac:dyDescent="0.2">
      <c r="A18" s="337" t="s">
        <v>603</v>
      </c>
      <c r="B18" s="340">
        <v>0</v>
      </c>
      <c r="C18" s="341">
        <v>0</v>
      </c>
      <c r="D18" s="341">
        <v>0</v>
      </c>
      <c r="E18" s="341">
        <v>0</v>
      </c>
      <c r="F18" s="341">
        <v>0</v>
      </c>
      <c r="G18" s="342">
        <v>0</v>
      </c>
      <c r="H18" s="312">
        <f>SUM('PRD Sales Forecast'!$B18:$G18)</f>
        <v>0</v>
      </c>
      <c r="I18" s="340">
        <v>0</v>
      </c>
      <c r="J18" s="341">
        <v>0</v>
      </c>
      <c r="K18" s="341">
        <v>0</v>
      </c>
      <c r="L18" s="341">
        <v>0</v>
      </c>
      <c r="M18" s="341">
        <v>0</v>
      </c>
      <c r="N18" s="342">
        <v>0</v>
      </c>
      <c r="O18" s="312">
        <f>SUM('PRD Sales Forecast'!$I18:$N18)</f>
        <v>0</v>
      </c>
      <c r="P18" s="343">
        <v>0</v>
      </c>
      <c r="Q18" s="343"/>
      <c r="R18" s="343">
        <v>1500</v>
      </c>
      <c r="S18" s="343"/>
      <c r="T18" s="343">
        <v>5000</v>
      </c>
      <c r="U18" s="343"/>
      <c r="V18" s="343"/>
      <c r="W18" s="313"/>
      <c r="X18" s="313"/>
      <c r="Y18" s="313">
        <v>1000</v>
      </c>
      <c r="Z18" s="344">
        <v>7500</v>
      </c>
      <c r="AA18" s="344"/>
      <c r="AB18" s="314">
        <f>SUM('PRD Sales Forecast'!$P18:$AA18)</f>
        <v>15000</v>
      </c>
      <c r="AC18" s="337"/>
      <c r="AD18" s="311"/>
      <c r="AE18" s="311" t="s">
        <v>603</v>
      </c>
      <c r="AF18" s="512"/>
      <c r="AG18" s="512"/>
      <c r="AH18" s="512"/>
      <c r="AI18" s="512"/>
      <c r="AJ18" s="512"/>
      <c r="AK18" s="512"/>
      <c r="AL18" s="512"/>
      <c r="AM18" s="512"/>
      <c r="AN18" s="512"/>
      <c r="AO18" s="512"/>
      <c r="AP18" s="512"/>
      <c r="AQ18" s="512"/>
      <c r="AR18" s="516">
        <f t="shared" si="10"/>
        <v>0</v>
      </c>
      <c r="AT18" s="311"/>
      <c r="AU18" s="311" t="s">
        <v>603</v>
      </c>
      <c r="BH18" s="361">
        <f t="shared" si="11"/>
        <v>0</v>
      </c>
      <c r="BI18" s="508"/>
      <c r="BJ18" s="577">
        <f t="shared" si="12"/>
        <v>0</v>
      </c>
      <c r="BK18" s="577">
        <f t="shared" si="13"/>
        <v>0</v>
      </c>
      <c r="BL18" s="481">
        <f t="shared" si="13"/>
        <v>0</v>
      </c>
      <c r="BM18" s="588">
        <v>4977</v>
      </c>
      <c r="BN18" s="481">
        <v>379.5</v>
      </c>
      <c r="BO18" s="481">
        <v>2862</v>
      </c>
      <c r="BP18" s="481">
        <v>0</v>
      </c>
      <c r="BQ18" s="109">
        <v>0</v>
      </c>
      <c r="BR18" s="481">
        <v>0</v>
      </c>
      <c r="BS18" s="481">
        <v>0</v>
      </c>
      <c r="BT18" s="481">
        <v>0</v>
      </c>
      <c r="BU18" s="481">
        <v>1200</v>
      </c>
      <c r="BV18" s="478">
        <f t="shared" si="14"/>
        <v>9418.5</v>
      </c>
      <c r="BX18" s="577">
        <f t="shared" si="15"/>
        <v>0</v>
      </c>
      <c r="BY18" s="577">
        <f t="shared" si="16"/>
        <v>0</v>
      </c>
      <c r="BZ18" s="481">
        <f t="shared" si="16"/>
        <v>0</v>
      </c>
      <c r="CA18" s="481">
        <f t="shared" si="16"/>
        <v>0</v>
      </c>
      <c r="CB18" s="481">
        <f t="shared" si="16"/>
        <v>0</v>
      </c>
      <c r="CC18" s="481">
        <f t="shared" si="16"/>
        <v>0</v>
      </c>
      <c r="CD18" s="481">
        <v>0</v>
      </c>
      <c r="CE18" s="109">
        <v>0</v>
      </c>
      <c r="CF18" s="481">
        <v>0</v>
      </c>
      <c r="CG18" s="481">
        <v>0</v>
      </c>
      <c r="CH18" s="481">
        <v>0</v>
      </c>
      <c r="CI18" s="481">
        <v>0</v>
      </c>
      <c r="CJ18" s="478">
        <f t="shared" si="6"/>
        <v>0</v>
      </c>
      <c r="CL18" s="627" t="s">
        <v>919</v>
      </c>
      <c r="CM18" s="623" t="s">
        <v>605</v>
      </c>
      <c r="CN18" s="512"/>
      <c r="CO18" s="84">
        <v>10000</v>
      </c>
      <c r="CP18" s="84"/>
      <c r="CQ18" s="84"/>
      <c r="CR18" s="512"/>
      <c r="CS18" s="512"/>
      <c r="CT18" s="512"/>
      <c r="CU18" s="512">
        <v>30000</v>
      </c>
      <c r="CV18" s="512"/>
      <c r="CW18" s="512"/>
      <c r="CX18" s="512"/>
      <c r="CY18" s="512"/>
      <c r="CZ18" s="516">
        <f t="shared" si="17"/>
        <v>40000</v>
      </c>
      <c r="DB18" s="311" t="str">
        <f t="shared" si="18"/>
        <v>Energy, Utilities, Infrastructure</v>
      </c>
      <c r="DC18" s="311" t="str">
        <f t="shared" si="18"/>
        <v>Downer</v>
      </c>
      <c r="DP18" s="478">
        <f t="shared" si="19"/>
        <v>0</v>
      </c>
      <c r="DQ18" s="508"/>
      <c r="DR18" s="577">
        <v>115</v>
      </c>
      <c r="DS18" s="577">
        <f t="shared" si="20"/>
        <v>10000</v>
      </c>
      <c r="DT18" s="577">
        <f t="shared" si="21"/>
        <v>0</v>
      </c>
      <c r="DU18" s="577">
        <f t="shared" si="22"/>
        <v>0</v>
      </c>
      <c r="DV18" s="577">
        <f t="shared" si="23"/>
        <v>0</v>
      </c>
      <c r="DW18" s="577">
        <f t="shared" si="24"/>
        <v>0</v>
      </c>
      <c r="DX18" s="577">
        <f t="shared" si="25"/>
        <v>0</v>
      </c>
      <c r="DY18" s="577">
        <f t="shared" si="26"/>
        <v>30000</v>
      </c>
      <c r="DZ18" s="577">
        <f t="shared" si="27"/>
        <v>0</v>
      </c>
      <c r="EA18" s="577">
        <f t="shared" si="28"/>
        <v>0</v>
      </c>
      <c r="EB18" s="577">
        <f t="shared" si="29"/>
        <v>0</v>
      </c>
      <c r="EC18" s="634">
        <f t="shared" si="30"/>
        <v>0</v>
      </c>
      <c r="ED18" s="478">
        <f t="shared" si="31"/>
        <v>40115</v>
      </c>
      <c r="EE18" s="630"/>
      <c r="EF18" s="632">
        <f t="shared" si="32"/>
        <v>0</v>
      </c>
      <c r="EG18" s="632">
        <f t="shared" si="33"/>
        <v>0</v>
      </c>
      <c r="EH18" s="632">
        <f t="shared" si="34"/>
        <v>0</v>
      </c>
      <c r="EI18" s="632">
        <f t="shared" si="35"/>
        <v>0</v>
      </c>
      <c r="EJ18" s="632">
        <f t="shared" si="36"/>
        <v>0</v>
      </c>
      <c r="EK18" s="632">
        <f t="shared" si="37"/>
        <v>0</v>
      </c>
      <c r="EL18" s="632">
        <f t="shared" si="38"/>
        <v>0</v>
      </c>
      <c r="EM18" s="632">
        <f t="shared" si="39"/>
        <v>0</v>
      </c>
      <c r="EN18" s="632">
        <f t="shared" si="40"/>
        <v>0</v>
      </c>
      <c r="EO18" s="632">
        <f t="shared" si="41"/>
        <v>0</v>
      </c>
      <c r="EP18" s="629">
        <f t="shared" si="42"/>
        <v>0</v>
      </c>
      <c r="EQ18" s="632">
        <f t="shared" si="43"/>
        <v>0</v>
      </c>
      <c r="ER18" s="478">
        <f t="shared" si="9"/>
        <v>0</v>
      </c>
    </row>
    <row r="19" spans="1:148" x14ac:dyDescent="0.2">
      <c r="A19" s="345" t="s">
        <v>604</v>
      </c>
      <c r="B19" s="340"/>
      <c r="C19" s="317"/>
      <c r="D19" s="317"/>
      <c r="E19" s="317"/>
      <c r="F19" s="317"/>
      <c r="G19" s="318"/>
      <c r="H19" s="312">
        <f>SUM('PRD Sales Forecast'!$B19:$G19)</f>
        <v>0</v>
      </c>
      <c r="I19" s="319"/>
      <c r="J19" s="317"/>
      <c r="K19" s="317"/>
      <c r="L19" s="317"/>
      <c r="M19" s="317"/>
      <c r="N19" s="318"/>
      <c r="O19" s="312">
        <f>SUM('PRD Sales Forecast'!$I19:$N19)</f>
        <v>0</v>
      </c>
      <c r="P19" s="346">
        <v>800</v>
      </c>
      <c r="Q19" s="346">
        <v>800</v>
      </c>
      <c r="R19" s="346">
        <v>800</v>
      </c>
      <c r="S19" s="346">
        <v>800</v>
      </c>
      <c r="T19" s="346">
        <v>800</v>
      </c>
      <c r="U19" s="346">
        <v>800</v>
      </c>
      <c r="V19" s="346">
        <v>800</v>
      </c>
      <c r="W19" s="346">
        <v>800</v>
      </c>
      <c r="X19" s="346">
        <v>800</v>
      </c>
      <c r="Y19" s="346">
        <v>800</v>
      </c>
      <c r="Z19" s="346">
        <v>800</v>
      </c>
      <c r="AA19" s="346">
        <v>800</v>
      </c>
      <c r="AB19" s="314">
        <f>SUM('PRD Sales Forecast'!$P19:$AA19)</f>
        <v>9600</v>
      </c>
      <c r="AC19" s="337"/>
      <c r="AD19" s="311"/>
      <c r="AE19" s="311" t="s">
        <v>604</v>
      </c>
      <c r="AF19" s="512"/>
      <c r="AG19" s="512"/>
      <c r="AH19" s="512"/>
      <c r="AI19" s="512"/>
      <c r="AJ19" s="512"/>
      <c r="AK19" s="512"/>
      <c r="AL19" s="512"/>
      <c r="AM19" s="512"/>
      <c r="AN19" s="512"/>
      <c r="AO19" s="512"/>
      <c r="AP19" s="512"/>
      <c r="AQ19" s="512"/>
      <c r="AR19" s="516">
        <f t="shared" si="10"/>
        <v>0</v>
      </c>
      <c r="AT19" s="311"/>
      <c r="AU19" s="311" t="s">
        <v>604</v>
      </c>
      <c r="BH19" s="361">
        <f t="shared" si="11"/>
        <v>0</v>
      </c>
      <c r="BI19" s="508"/>
      <c r="BJ19" s="577">
        <f t="shared" si="12"/>
        <v>0</v>
      </c>
      <c r="BK19" s="577">
        <f t="shared" si="13"/>
        <v>0</v>
      </c>
      <c r="BL19" s="481">
        <f t="shared" si="13"/>
        <v>0</v>
      </c>
      <c r="BM19" s="481">
        <f t="shared" si="13"/>
        <v>0</v>
      </c>
      <c r="BN19" s="481">
        <f t="shared" si="13"/>
        <v>0</v>
      </c>
      <c r="BO19" s="481">
        <f t="shared" si="13"/>
        <v>0</v>
      </c>
      <c r="BP19" s="481">
        <v>0</v>
      </c>
      <c r="BQ19" s="109">
        <v>0</v>
      </c>
      <c r="BR19" s="481">
        <v>0</v>
      </c>
      <c r="BS19" s="481">
        <v>0</v>
      </c>
      <c r="BT19" s="481">
        <v>0</v>
      </c>
      <c r="BU19" s="481">
        <v>0</v>
      </c>
      <c r="BV19" s="478">
        <f t="shared" si="14"/>
        <v>0</v>
      </c>
      <c r="BX19" s="577">
        <f t="shared" si="15"/>
        <v>0</v>
      </c>
      <c r="BY19" s="577">
        <f t="shared" si="16"/>
        <v>0</v>
      </c>
      <c r="BZ19" s="481">
        <f t="shared" si="16"/>
        <v>0</v>
      </c>
      <c r="CA19" s="481">
        <f t="shared" si="16"/>
        <v>0</v>
      </c>
      <c r="CB19" s="481">
        <f t="shared" si="16"/>
        <v>0</v>
      </c>
      <c r="CC19" s="481">
        <f t="shared" si="16"/>
        <v>0</v>
      </c>
      <c r="CD19" s="481">
        <v>0</v>
      </c>
      <c r="CE19" s="109">
        <v>0</v>
      </c>
      <c r="CF19" s="481">
        <v>0</v>
      </c>
      <c r="CG19" s="481">
        <v>0</v>
      </c>
      <c r="CH19" s="481">
        <v>0</v>
      </c>
      <c r="CI19" s="481">
        <v>0</v>
      </c>
      <c r="CJ19" s="478">
        <f t="shared" si="6"/>
        <v>0</v>
      </c>
      <c r="CL19" s="627" t="s">
        <v>917</v>
      </c>
      <c r="CM19" s="623" t="s">
        <v>1123</v>
      </c>
      <c r="CN19" s="512">
        <v>902</v>
      </c>
      <c r="CO19" s="84"/>
      <c r="CP19" s="84">
        <v>750</v>
      </c>
      <c r="CQ19" s="84">
        <v>750</v>
      </c>
      <c r="CR19" s="512"/>
      <c r="CS19" s="512"/>
      <c r="CT19" s="512"/>
      <c r="CU19" s="512">
        <v>750</v>
      </c>
      <c r="CV19" s="512">
        <v>750</v>
      </c>
      <c r="CW19" s="512"/>
      <c r="CX19" s="512">
        <v>750</v>
      </c>
      <c r="CY19" s="512"/>
      <c r="CZ19" s="516">
        <f t="shared" si="17"/>
        <v>4652</v>
      </c>
      <c r="DB19" s="311" t="str">
        <f t="shared" si="18"/>
        <v>Business Services</v>
      </c>
      <c r="DC19" s="311" t="str">
        <f t="shared" si="18"/>
        <v>Elkiem</v>
      </c>
      <c r="DP19" s="478">
        <f t="shared" si="19"/>
        <v>0</v>
      </c>
      <c r="DQ19" s="508"/>
      <c r="DR19" s="676">
        <v>641.25</v>
      </c>
      <c r="DS19" s="577">
        <f t="shared" si="20"/>
        <v>0</v>
      </c>
      <c r="DT19" s="577">
        <f t="shared" si="21"/>
        <v>750</v>
      </c>
      <c r="DU19" s="577">
        <f t="shared" si="22"/>
        <v>750</v>
      </c>
      <c r="DV19" s="577">
        <f t="shared" si="23"/>
        <v>0</v>
      </c>
      <c r="DW19" s="577">
        <f t="shared" si="24"/>
        <v>0</v>
      </c>
      <c r="DX19" s="577">
        <f t="shared" si="25"/>
        <v>0</v>
      </c>
      <c r="DY19" s="577">
        <f t="shared" si="26"/>
        <v>750</v>
      </c>
      <c r="DZ19" s="577">
        <f t="shared" si="27"/>
        <v>750</v>
      </c>
      <c r="EA19" s="577">
        <f t="shared" si="28"/>
        <v>0</v>
      </c>
      <c r="EB19" s="577">
        <f t="shared" si="29"/>
        <v>750</v>
      </c>
      <c r="EC19" s="634">
        <f t="shared" si="30"/>
        <v>0</v>
      </c>
      <c r="ED19" s="478">
        <f t="shared" si="31"/>
        <v>4391.25</v>
      </c>
      <c r="EE19" s="630"/>
      <c r="EF19" s="632">
        <f t="shared" si="32"/>
        <v>0</v>
      </c>
      <c r="EG19" s="632">
        <f t="shared" si="33"/>
        <v>0</v>
      </c>
      <c r="EH19" s="632">
        <f t="shared" si="34"/>
        <v>0</v>
      </c>
      <c r="EI19" s="632">
        <f t="shared" si="35"/>
        <v>0</v>
      </c>
      <c r="EJ19" s="632">
        <f t="shared" si="36"/>
        <v>0</v>
      </c>
      <c r="EK19" s="632">
        <f t="shared" si="37"/>
        <v>0</v>
      </c>
      <c r="EL19" s="632">
        <f t="shared" si="38"/>
        <v>0</v>
      </c>
      <c r="EM19" s="632">
        <f t="shared" si="39"/>
        <v>0</v>
      </c>
      <c r="EN19" s="632">
        <f t="shared" si="40"/>
        <v>0</v>
      </c>
      <c r="EO19" s="632">
        <f t="shared" si="41"/>
        <v>0</v>
      </c>
      <c r="EP19" s="629">
        <f t="shared" si="42"/>
        <v>0</v>
      </c>
      <c r="EQ19" s="632">
        <f t="shared" si="43"/>
        <v>0</v>
      </c>
      <c r="ER19" s="478">
        <f t="shared" si="9"/>
        <v>0</v>
      </c>
    </row>
    <row r="20" spans="1:148" x14ac:dyDescent="0.2">
      <c r="A20" s="337" t="s">
        <v>605</v>
      </c>
      <c r="B20" s="340">
        <v>0</v>
      </c>
      <c r="C20" s="341">
        <v>300</v>
      </c>
      <c r="D20" s="341">
        <v>6895</v>
      </c>
      <c r="E20" s="341">
        <v>620</v>
      </c>
      <c r="F20" s="341">
        <v>1540</v>
      </c>
      <c r="G20" s="342">
        <v>680</v>
      </c>
      <c r="H20" s="312">
        <f>SUM('PRD Sales Forecast'!$B20:$G20)</f>
        <v>10035</v>
      </c>
      <c r="I20" s="340">
        <v>0</v>
      </c>
      <c r="J20" s="341">
        <v>340</v>
      </c>
      <c r="K20" s="341">
        <v>4605</v>
      </c>
      <c r="L20" s="341">
        <v>0</v>
      </c>
      <c r="M20" s="341">
        <v>0</v>
      </c>
      <c r="N20" s="342">
        <v>0</v>
      </c>
      <c r="O20" s="312">
        <f>SUM('PRD Sales Forecast'!$I20:$N20)</f>
        <v>4945</v>
      </c>
      <c r="P20" s="343"/>
      <c r="Q20" s="343">
        <v>30000</v>
      </c>
      <c r="R20" s="343"/>
      <c r="S20" s="343"/>
      <c r="T20" s="343"/>
      <c r="U20" s="343"/>
      <c r="V20" s="343"/>
      <c r="W20" s="313">
        <v>12000</v>
      </c>
      <c r="X20" s="313"/>
      <c r="Y20" s="313">
        <v>25000</v>
      </c>
      <c r="Z20" s="344"/>
      <c r="AA20" s="344"/>
      <c r="AB20" s="314">
        <f>SUM('PRD Sales Forecast'!$P20:$AA20)</f>
        <v>67000</v>
      </c>
      <c r="AC20" s="337"/>
      <c r="AD20" s="311"/>
      <c r="AE20" s="311" t="s">
        <v>605</v>
      </c>
      <c r="AF20" s="512"/>
      <c r="AG20" s="512">
        <v>12000</v>
      </c>
      <c r="AH20" s="565">
        <v>22000</v>
      </c>
      <c r="AI20" s="512"/>
      <c r="AJ20" s="512">
        <v>17000</v>
      </c>
      <c r="AK20" s="512"/>
      <c r="AL20" s="512"/>
      <c r="AM20" s="512">
        <v>30000</v>
      </c>
      <c r="AN20" s="512"/>
      <c r="AO20" s="512"/>
      <c r="AP20" s="512"/>
      <c r="AQ20" s="512"/>
      <c r="AR20" s="516">
        <f t="shared" si="10"/>
        <v>81000</v>
      </c>
      <c r="AT20" s="311"/>
      <c r="AU20" s="311" t="s">
        <v>605</v>
      </c>
      <c r="AW20" s="510">
        <v>300</v>
      </c>
      <c r="AX20" s="510">
        <v>2000</v>
      </c>
      <c r="AZ20" s="510">
        <v>2000</v>
      </c>
      <c r="BC20" s="510">
        <v>6000</v>
      </c>
      <c r="BH20" s="361">
        <f t="shared" si="11"/>
        <v>10300</v>
      </c>
      <c r="BI20" s="508"/>
      <c r="BJ20" s="577">
        <f t="shared" si="12"/>
        <v>0</v>
      </c>
      <c r="BK20" s="577">
        <v>33486.5</v>
      </c>
      <c r="BL20" s="481">
        <v>0</v>
      </c>
      <c r="BM20" s="481">
        <f t="shared" si="13"/>
        <v>0</v>
      </c>
      <c r="BN20" s="481">
        <v>15491.75</v>
      </c>
      <c r="BO20" s="481">
        <f t="shared" si="13"/>
        <v>0</v>
      </c>
      <c r="BP20" s="481">
        <v>0</v>
      </c>
      <c r="BQ20" s="109">
        <v>31921.75</v>
      </c>
      <c r="BR20" s="481">
        <v>0</v>
      </c>
      <c r="BS20" s="481">
        <v>0</v>
      </c>
      <c r="BT20" s="481">
        <v>0</v>
      </c>
      <c r="BU20" s="481">
        <v>0</v>
      </c>
      <c r="BV20" s="478">
        <f t="shared" si="14"/>
        <v>80900</v>
      </c>
      <c r="BX20" s="577">
        <f t="shared" si="15"/>
        <v>0</v>
      </c>
      <c r="BY20" s="577">
        <v>1807.25</v>
      </c>
      <c r="BZ20" s="481">
        <v>0</v>
      </c>
      <c r="CA20" s="481">
        <f t="shared" si="16"/>
        <v>0</v>
      </c>
      <c r="CB20" s="481">
        <v>2350.75</v>
      </c>
      <c r="CC20" s="481">
        <f t="shared" si="16"/>
        <v>0</v>
      </c>
      <c r="CD20" s="481">
        <v>0</v>
      </c>
      <c r="CE20" s="109">
        <v>1636.75</v>
      </c>
      <c r="CF20" s="481">
        <v>0</v>
      </c>
      <c r="CG20" s="481">
        <v>0</v>
      </c>
      <c r="CH20" s="481">
        <v>0</v>
      </c>
      <c r="CI20" s="481">
        <v>0</v>
      </c>
      <c r="CJ20" s="478">
        <f t="shared" si="6"/>
        <v>5794.75</v>
      </c>
      <c r="CL20" s="627" t="s">
        <v>1206</v>
      </c>
      <c r="CM20" s="623" t="s">
        <v>1011</v>
      </c>
      <c r="CN20" s="512"/>
      <c r="CO20" s="84">
        <v>495</v>
      </c>
      <c r="CP20" s="84">
        <v>1485</v>
      </c>
      <c r="CQ20" s="84">
        <v>1485</v>
      </c>
      <c r="CR20" s="512">
        <v>990</v>
      </c>
      <c r="CS20" s="512">
        <v>990</v>
      </c>
      <c r="CT20" s="512"/>
      <c r="CU20" s="512"/>
      <c r="CV20" s="512">
        <v>990</v>
      </c>
      <c r="CW20" s="512">
        <v>990</v>
      </c>
      <c r="CX20" s="512">
        <v>3500</v>
      </c>
      <c r="CY20" s="512">
        <v>495</v>
      </c>
      <c r="CZ20" s="516">
        <f t="shared" si="17"/>
        <v>11420</v>
      </c>
      <c r="DB20" s="311" t="str">
        <f t="shared" si="18"/>
        <v>Health</v>
      </c>
      <c r="DC20" s="311" t="str">
        <f t="shared" si="18"/>
        <v>Garvan Institute</v>
      </c>
      <c r="DE20" s="510"/>
      <c r="DF20" s="510"/>
      <c r="DH20" s="510"/>
      <c r="DK20" s="510"/>
      <c r="DP20" s="478">
        <f t="shared" si="19"/>
        <v>0</v>
      </c>
      <c r="DQ20" s="508"/>
      <c r="DR20" s="676">
        <v>1120</v>
      </c>
      <c r="DS20" s="577">
        <f t="shared" si="20"/>
        <v>495</v>
      </c>
      <c r="DT20" s="577">
        <f t="shared" si="21"/>
        <v>1485</v>
      </c>
      <c r="DU20" s="577">
        <f t="shared" si="22"/>
        <v>1485</v>
      </c>
      <c r="DV20" s="577">
        <f t="shared" si="23"/>
        <v>990</v>
      </c>
      <c r="DW20" s="577">
        <f t="shared" si="24"/>
        <v>990</v>
      </c>
      <c r="DX20" s="577">
        <f t="shared" si="25"/>
        <v>0</v>
      </c>
      <c r="DY20" s="577">
        <f t="shared" si="26"/>
        <v>0</v>
      </c>
      <c r="DZ20" s="577">
        <f t="shared" si="27"/>
        <v>990</v>
      </c>
      <c r="EA20" s="577">
        <f t="shared" si="28"/>
        <v>990</v>
      </c>
      <c r="EB20" s="577">
        <f t="shared" si="29"/>
        <v>3500</v>
      </c>
      <c r="EC20" s="634">
        <f t="shared" si="30"/>
        <v>495</v>
      </c>
      <c r="ED20" s="478">
        <f t="shared" si="31"/>
        <v>12540</v>
      </c>
      <c r="EE20" s="630"/>
      <c r="EF20" s="632">
        <f t="shared" si="32"/>
        <v>0</v>
      </c>
      <c r="EG20" s="632">
        <f t="shared" si="33"/>
        <v>0</v>
      </c>
      <c r="EH20" s="632">
        <f t="shared" si="34"/>
        <v>0</v>
      </c>
      <c r="EI20" s="632">
        <f t="shared" si="35"/>
        <v>0</v>
      </c>
      <c r="EJ20" s="632">
        <f t="shared" si="36"/>
        <v>0</v>
      </c>
      <c r="EK20" s="632">
        <f t="shared" si="37"/>
        <v>0</v>
      </c>
      <c r="EL20" s="632">
        <f t="shared" si="38"/>
        <v>0</v>
      </c>
      <c r="EM20" s="632">
        <f t="shared" si="39"/>
        <v>0</v>
      </c>
      <c r="EN20" s="632">
        <f t="shared" si="40"/>
        <v>0</v>
      </c>
      <c r="EO20" s="632">
        <f t="shared" si="41"/>
        <v>0</v>
      </c>
      <c r="EP20" s="629">
        <f t="shared" si="42"/>
        <v>0</v>
      </c>
      <c r="EQ20" s="632">
        <f t="shared" si="43"/>
        <v>0</v>
      </c>
      <c r="ER20" s="478">
        <f t="shared" si="9"/>
        <v>0</v>
      </c>
    </row>
    <row r="21" spans="1:148" x14ac:dyDescent="0.2">
      <c r="A21" s="337"/>
      <c r="B21" s="340"/>
      <c r="C21" s="341"/>
      <c r="D21" s="341"/>
      <c r="E21" s="341"/>
      <c r="F21" s="341"/>
      <c r="G21" s="342"/>
      <c r="H21" s="312"/>
      <c r="I21" s="340"/>
      <c r="J21" s="341"/>
      <c r="K21" s="341"/>
      <c r="L21" s="341"/>
      <c r="M21" s="341"/>
      <c r="N21" s="342"/>
      <c r="O21" s="312"/>
      <c r="P21" s="343"/>
      <c r="Q21" s="343"/>
      <c r="R21" s="343"/>
      <c r="S21" s="343"/>
      <c r="T21" s="343"/>
      <c r="U21" s="343"/>
      <c r="V21" s="343"/>
      <c r="W21" s="313"/>
      <c r="X21" s="313"/>
      <c r="Y21" s="313"/>
      <c r="Z21" s="344"/>
      <c r="AA21" s="344"/>
      <c r="AB21" s="314"/>
      <c r="AC21" s="337"/>
      <c r="AD21" s="311"/>
      <c r="AE21" s="311" t="s">
        <v>1123</v>
      </c>
      <c r="AF21" s="512"/>
      <c r="AG21" s="512"/>
      <c r="AH21" s="565"/>
      <c r="AI21" s="512"/>
      <c r="AJ21" s="512"/>
      <c r="AK21" s="512"/>
      <c r="AL21" s="512"/>
      <c r="AM21" s="512"/>
      <c r="AN21" s="512"/>
      <c r="AO21" s="512"/>
      <c r="AP21" s="512"/>
      <c r="AQ21" s="512"/>
      <c r="AR21" s="516"/>
      <c r="AT21" s="311"/>
      <c r="AU21" s="311" t="s">
        <v>1123</v>
      </c>
      <c r="AW21" s="510"/>
      <c r="AX21" s="510"/>
      <c r="AZ21" s="510"/>
      <c r="BC21" s="510"/>
      <c r="BH21" s="361"/>
      <c r="BI21" s="508"/>
      <c r="BJ21" s="577"/>
      <c r="BK21" s="577"/>
      <c r="BL21" s="481"/>
      <c r="BM21" s="481"/>
      <c r="BN21" s="481">
        <v>0</v>
      </c>
      <c r="BO21" s="481">
        <f t="shared" ref="BO21" si="46">AK21</f>
        <v>0</v>
      </c>
      <c r="BP21" s="481">
        <v>0</v>
      </c>
      <c r="BQ21" s="109">
        <v>380</v>
      </c>
      <c r="BR21" s="481">
        <v>380</v>
      </c>
      <c r="BS21" s="481">
        <v>760</v>
      </c>
      <c r="BT21" s="481">
        <v>0</v>
      </c>
      <c r="BU21" s="481">
        <v>0</v>
      </c>
      <c r="BV21" s="478">
        <f t="shared" si="14"/>
        <v>1520</v>
      </c>
      <c r="BX21" s="577"/>
      <c r="BY21" s="577"/>
      <c r="BZ21" s="481"/>
      <c r="CA21" s="481"/>
      <c r="CB21" s="481"/>
      <c r="CC21" s="481"/>
      <c r="CD21" s="481"/>
      <c r="CE21" s="109"/>
      <c r="CF21" s="481"/>
      <c r="CG21" s="481"/>
      <c r="CH21" s="481"/>
      <c r="CI21" s="481"/>
      <c r="CJ21" s="478"/>
      <c r="CL21" s="627" t="s">
        <v>921</v>
      </c>
      <c r="CM21" s="623" t="s">
        <v>1343</v>
      </c>
      <c r="CN21" s="512"/>
      <c r="CO21" s="84"/>
      <c r="CP21" s="84">
        <v>3949</v>
      </c>
      <c r="CQ21" s="84"/>
      <c r="CR21" s="512"/>
      <c r="CS21" s="512"/>
      <c r="CT21" s="512"/>
      <c r="CU21" s="512"/>
      <c r="CV21" s="512"/>
      <c r="CW21" s="512"/>
      <c r="CX21" s="512"/>
      <c r="CY21" s="512"/>
      <c r="CZ21" s="516">
        <f t="shared" si="17"/>
        <v>3949</v>
      </c>
      <c r="DB21" s="311" t="str">
        <f t="shared" si="18"/>
        <v>Other Sectors (Schools, Hospitals, etc)</v>
      </c>
      <c r="DC21" s="311" t="str">
        <f t="shared" si="18"/>
        <v>Global Philanthropic</v>
      </c>
      <c r="DE21" s="510"/>
      <c r="DF21" s="510"/>
      <c r="DH21" s="510"/>
      <c r="DK21" s="510"/>
      <c r="DP21" s="478">
        <f t="shared" si="19"/>
        <v>0</v>
      </c>
      <c r="DQ21" s="508"/>
      <c r="DR21" s="577">
        <f t="shared" si="44"/>
        <v>0</v>
      </c>
      <c r="DS21" s="577">
        <f t="shared" si="20"/>
        <v>0</v>
      </c>
      <c r="DT21" s="577">
        <f t="shared" si="21"/>
        <v>3949</v>
      </c>
      <c r="DU21" s="577">
        <f t="shared" si="22"/>
        <v>0</v>
      </c>
      <c r="DV21" s="577">
        <f t="shared" si="23"/>
        <v>0</v>
      </c>
      <c r="DW21" s="577">
        <f t="shared" si="24"/>
        <v>0</v>
      </c>
      <c r="DX21" s="577">
        <f t="shared" si="25"/>
        <v>0</v>
      </c>
      <c r="DY21" s="577">
        <f t="shared" si="26"/>
        <v>0</v>
      </c>
      <c r="DZ21" s="577">
        <f t="shared" si="27"/>
        <v>0</v>
      </c>
      <c r="EA21" s="577">
        <f t="shared" si="28"/>
        <v>0</v>
      </c>
      <c r="EB21" s="577">
        <f t="shared" si="29"/>
        <v>0</v>
      </c>
      <c r="EC21" s="634">
        <f t="shared" si="30"/>
        <v>0</v>
      </c>
      <c r="ED21" s="478">
        <f t="shared" si="31"/>
        <v>3949</v>
      </c>
      <c r="EE21" s="630"/>
      <c r="EF21" s="632">
        <f t="shared" si="32"/>
        <v>0</v>
      </c>
      <c r="EG21" s="632">
        <f t="shared" si="33"/>
        <v>0</v>
      </c>
      <c r="EH21" s="632">
        <f t="shared" si="34"/>
        <v>0</v>
      </c>
      <c r="EI21" s="632">
        <f t="shared" si="35"/>
        <v>0</v>
      </c>
      <c r="EJ21" s="632">
        <f t="shared" si="36"/>
        <v>0</v>
      </c>
      <c r="EK21" s="632">
        <f t="shared" si="37"/>
        <v>0</v>
      </c>
      <c r="EL21" s="632">
        <f t="shared" si="38"/>
        <v>0</v>
      </c>
      <c r="EM21" s="632">
        <f t="shared" si="39"/>
        <v>0</v>
      </c>
      <c r="EN21" s="632">
        <f t="shared" si="40"/>
        <v>0</v>
      </c>
      <c r="EO21" s="632">
        <f t="shared" si="41"/>
        <v>0</v>
      </c>
      <c r="EP21" s="629">
        <f t="shared" si="42"/>
        <v>0</v>
      </c>
      <c r="EQ21" s="632">
        <f t="shared" si="43"/>
        <v>0</v>
      </c>
      <c r="ER21" s="478">
        <f t="shared" si="9"/>
        <v>0</v>
      </c>
    </row>
    <row r="22" spans="1:148" x14ac:dyDescent="0.2">
      <c r="A22" s="337" t="s">
        <v>606</v>
      </c>
      <c r="B22" s="340">
        <v>0</v>
      </c>
      <c r="C22" s="341">
        <v>0</v>
      </c>
      <c r="D22" s="341">
        <v>0</v>
      </c>
      <c r="E22" s="341">
        <v>0</v>
      </c>
      <c r="F22" s="341">
        <v>0</v>
      </c>
      <c r="G22" s="342">
        <v>0</v>
      </c>
      <c r="H22" s="312">
        <f>SUM('PRD Sales Forecast'!$B22:$G22)</f>
        <v>0</v>
      </c>
      <c r="I22" s="340">
        <v>0</v>
      </c>
      <c r="J22" s="341">
        <v>0</v>
      </c>
      <c r="K22" s="341">
        <v>0</v>
      </c>
      <c r="L22" s="341">
        <v>0</v>
      </c>
      <c r="M22" s="341">
        <v>0</v>
      </c>
      <c r="N22" s="342">
        <v>0</v>
      </c>
      <c r="O22" s="312">
        <f>SUM('PRD Sales Forecast'!$I22:$N22)</f>
        <v>0</v>
      </c>
      <c r="P22" s="343"/>
      <c r="Q22" s="343">
        <v>22500</v>
      </c>
      <c r="R22" s="343"/>
      <c r="S22" s="343"/>
      <c r="T22" s="343"/>
      <c r="U22" s="343"/>
      <c r="V22" s="343"/>
      <c r="W22" s="313">
        <v>22500</v>
      </c>
      <c r="X22" s="313"/>
      <c r="Y22" s="313"/>
      <c r="Z22" s="344"/>
      <c r="AA22" s="344"/>
      <c r="AB22" s="314">
        <f>SUM('PRD Sales Forecast'!$P22:$AA22)</f>
        <v>45000</v>
      </c>
      <c r="AC22" s="337"/>
      <c r="AD22" s="311"/>
      <c r="AE22" s="311" t="s">
        <v>606</v>
      </c>
      <c r="AF22" s="512"/>
      <c r="AG22" s="512">
        <v>19000</v>
      </c>
      <c r="AH22" s="565"/>
      <c r="AI22" s="512"/>
      <c r="AJ22" s="512"/>
      <c r="AK22" s="512"/>
      <c r="AL22" s="512"/>
      <c r="AM22" s="512">
        <v>19000</v>
      </c>
      <c r="AN22" s="512"/>
      <c r="AO22" s="512"/>
      <c r="AP22" s="512">
        <v>4000</v>
      </c>
      <c r="AQ22" s="512"/>
      <c r="AR22" s="516">
        <f t="shared" si="10"/>
        <v>42000</v>
      </c>
      <c r="AT22" s="311"/>
      <c r="AU22" s="311" t="s">
        <v>606</v>
      </c>
      <c r="AW22" s="510">
        <v>2500</v>
      </c>
      <c r="AX22" s="510"/>
      <c r="AZ22" s="510"/>
      <c r="BC22" s="510">
        <v>2500</v>
      </c>
      <c r="BF22" s="293">
        <v>1100</v>
      </c>
      <c r="BH22" s="361">
        <f t="shared" si="11"/>
        <v>6100</v>
      </c>
      <c r="BI22" s="508"/>
      <c r="BJ22" s="577">
        <f t="shared" si="12"/>
        <v>0</v>
      </c>
      <c r="BK22" s="577"/>
      <c r="BL22" s="481">
        <f t="shared" si="13"/>
        <v>0</v>
      </c>
      <c r="BM22" s="481">
        <f t="shared" si="13"/>
        <v>0</v>
      </c>
      <c r="BN22" s="481">
        <f t="shared" si="13"/>
        <v>0</v>
      </c>
      <c r="BO22" s="481">
        <f t="shared" si="13"/>
        <v>0</v>
      </c>
      <c r="BP22" s="481">
        <v>0</v>
      </c>
      <c r="BQ22" s="109">
        <v>0</v>
      </c>
      <c r="BR22" s="481">
        <v>0</v>
      </c>
      <c r="BS22" s="481">
        <v>0</v>
      </c>
      <c r="BT22" s="481">
        <v>0</v>
      </c>
      <c r="BU22" s="481">
        <v>0</v>
      </c>
      <c r="BV22" s="478">
        <f t="shared" si="14"/>
        <v>0</v>
      </c>
      <c r="BX22" s="577">
        <f t="shared" si="15"/>
        <v>0</v>
      </c>
      <c r="BY22" s="577">
        <v>0</v>
      </c>
      <c r="BZ22" s="481">
        <f t="shared" si="16"/>
        <v>0</v>
      </c>
      <c r="CA22" s="481">
        <f t="shared" si="16"/>
        <v>0</v>
      </c>
      <c r="CB22" s="481">
        <f t="shared" si="16"/>
        <v>0</v>
      </c>
      <c r="CC22" s="481">
        <f t="shared" si="16"/>
        <v>0</v>
      </c>
      <c r="CD22" s="481">
        <v>0</v>
      </c>
      <c r="CE22" s="109">
        <v>0</v>
      </c>
      <c r="CF22" s="481">
        <v>0</v>
      </c>
      <c r="CG22" s="481">
        <v>0</v>
      </c>
      <c r="CH22" s="481">
        <v>1100</v>
      </c>
      <c r="CI22" s="481">
        <v>0</v>
      </c>
      <c r="CJ22" s="478">
        <f t="shared" si="6"/>
        <v>1100</v>
      </c>
      <c r="CL22" s="627" t="s">
        <v>921</v>
      </c>
      <c r="CM22" s="623" t="s">
        <v>1344</v>
      </c>
      <c r="CN22" s="512"/>
      <c r="CO22" s="84"/>
      <c r="CP22" s="84"/>
      <c r="CQ22" s="84"/>
      <c r="CR22" s="512"/>
      <c r="CS22" s="512"/>
      <c r="CT22" s="512"/>
      <c r="CU22" s="512"/>
      <c r="CV22" s="512"/>
      <c r="CW22" s="512"/>
      <c r="CX22" s="512"/>
      <c r="CY22" s="512"/>
      <c r="CZ22" s="516">
        <f t="shared" si="17"/>
        <v>0</v>
      </c>
      <c r="DB22" s="311" t="str">
        <f t="shared" si="18"/>
        <v>Other Sectors (Schools, Hospitals, etc)</v>
      </c>
      <c r="DC22" s="311" t="str">
        <f t="shared" si="18"/>
        <v>Ingenia Communities Group</v>
      </c>
      <c r="DE22" s="510">
        <v>10500</v>
      </c>
      <c r="DF22" s="510"/>
      <c r="DH22" s="510"/>
      <c r="DK22" s="510"/>
      <c r="DP22" s="478">
        <f t="shared" si="19"/>
        <v>10500</v>
      </c>
      <c r="DQ22" s="508"/>
      <c r="DR22" s="577">
        <f t="shared" si="44"/>
        <v>0</v>
      </c>
      <c r="DS22" s="577">
        <f t="shared" si="20"/>
        <v>0</v>
      </c>
      <c r="DT22" s="577">
        <f t="shared" si="21"/>
        <v>0</v>
      </c>
      <c r="DU22" s="577">
        <f t="shared" si="22"/>
        <v>0</v>
      </c>
      <c r="DV22" s="577">
        <f t="shared" si="23"/>
        <v>0</v>
      </c>
      <c r="DW22" s="577">
        <f t="shared" si="24"/>
        <v>0</v>
      </c>
      <c r="DX22" s="577">
        <f t="shared" si="25"/>
        <v>0</v>
      </c>
      <c r="DY22" s="577">
        <f t="shared" si="26"/>
        <v>0</v>
      </c>
      <c r="DZ22" s="577">
        <f t="shared" si="27"/>
        <v>0</v>
      </c>
      <c r="EA22" s="577">
        <f t="shared" si="28"/>
        <v>0</v>
      </c>
      <c r="EB22" s="577">
        <f t="shared" si="29"/>
        <v>0</v>
      </c>
      <c r="EC22" s="634">
        <f t="shared" si="30"/>
        <v>0</v>
      </c>
      <c r="ED22" s="478">
        <f t="shared" si="31"/>
        <v>0</v>
      </c>
      <c r="EE22" s="630"/>
      <c r="EF22" s="632">
        <f t="shared" si="32"/>
        <v>0</v>
      </c>
      <c r="EG22" s="632">
        <f t="shared" si="33"/>
        <v>10500</v>
      </c>
      <c r="EH22" s="632">
        <f t="shared" si="34"/>
        <v>0</v>
      </c>
      <c r="EI22" s="632">
        <f t="shared" si="35"/>
        <v>0</v>
      </c>
      <c r="EJ22" s="632">
        <f t="shared" si="36"/>
        <v>0</v>
      </c>
      <c r="EK22" s="632">
        <f t="shared" si="37"/>
        <v>0</v>
      </c>
      <c r="EL22" s="632">
        <f t="shared" si="38"/>
        <v>0</v>
      </c>
      <c r="EM22" s="632">
        <f t="shared" si="39"/>
        <v>0</v>
      </c>
      <c r="EN22" s="632">
        <f t="shared" si="40"/>
        <v>0</v>
      </c>
      <c r="EO22" s="632">
        <f t="shared" si="41"/>
        <v>0</v>
      </c>
      <c r="EP22" s="629">
        <f t="shared" si="42"/>
        <v>0</v>
      </c>
      <c r="EQ22" s="632">
        <f t="shared" si="43"/>
        <v>0</v>
      </c>
      <c r="ER22" s="478">
        <f t="shared" si="9"/>
        <v>10500</v>
      </c>
    </row>
    <row r="23" spans="1:148" x14ac:dyDescent="0.2">
      <c r="A23" s="337" t="s">
        <v>607</v>
      </c>
      <c r="B23" s="340">
        <v>1020</v>
      </c>
      <c r="C23" s="341">
        <v>10436.5</v>
      </c>
      <c r="D23" s="341">
        <v>16815</v>
      </c>
      <c r="E23" s="341">
        <v>4371.25</v>
      </c>
      <c r="F23" s="341">
        <v>0</v>
      </c>
      <c r="G23" s="342">
        <v>0</v>
      </c>
      <c r="H23" s="312">
        <f>SUM('PRD Sales Forecast'!$B23:$G23)</f>
        <v>32642.75</v>
      </c>
      <c r="I23" s="340">
        <v>1020</v>
      </c>
      <c r="J23" s="341">
        <v>8307.5</v>
      </c>
      <c r="K23" s="341">
        <v>2812.5</v>
      </c>
      <c r="L23" s="341">
        <v>0</v>
      </c>
      <c r="M23" s="341">
        <v>7296.5</v>
      </c>
      <c r="N23" s="342">
        <v>0</v>
      </c>
      <c r="O23" s="312">
        <f>SUM('PRD Sales Forecast'!$I23:$N23)</f>
        <v>19436.5</v>
      </c>
      <c r="P23" s="343"/>
      <c r="Q23" s="343">
        <v>0</v>
      </c>
      <c r="R23" s="343"/>
      <c r="S23" s="343">
        <v>0</v>
      </c>
      <c r="T23" s="343">
        <v>0</v>
      </c>
      <c r="U23" s="343"/>
      <c r="V23" s="343"/>
      <c r="W23" s="343">
        <v>0</v>
      </c>
      <c r="X23" s="313"/>
      <c r="Y23" s="313"/>
      <c r="Z23" s="343">
        <v>0</v>
      </c>
      <c r="AA23" s="344"/>
      <c r="AB23" s="314">
        <f>SUM('PRD Sales Forecast'!$P23:$AA23)</f>
        <v>0</v>
      </c>
      <c r="AC23" s="337"/>
      <c r="AD23" s="311"/>
      <c r="AE23" s="311" t="s">
        <v>607</v>
      </c>
      <c r="AF23" s="512"/>
      <c r="AG23" s="512"/>
      <c r="AH23" s="512"/>
      <c r="AI23" s="512"/>
      <c r="AJ23" s="512"/>
      <c r="AK23" s="512"/>
      <c r="AL23" s="512"/>
      <c r="AM23" s="512"/>
      <c r="AN23" s="512">
        <v>4000</v>
      </c>
      <c r="AO23" s="512">
        <v>5000</v>
      </c>
      <c r="AP23" s="512"/>
      <c r="AQ23" s="512"/>
      <c r="AR23" s="516">
        <f t="shared" si="10"/>
        <v>9000</v>
      </c>
      <c r="AT23" s="311"/>
      <c r="AU23" s="311" t="s">
        <v>607</v>
      </c>
      <c r="BH23" s="361">
        <f t="shared" si="11"/>
        <v>0</v>
      </c>
      <c r="BI23" s="508"/>
      <c r="BJ23" s="577">
        <f t="shared" si="12"/>
        <v>0</v>
      </c>
      <c r="BK23" s="577">
        <f t="shared" si="13"/>
        <v>0</v>
      </c>
      <c r="BL23" s="481">
        <f t="shared" si="13"/>
        <v>0</v>
      </c>
      <c r="BM23" s="481">
        <f>4462.5-1785</f>
        <v>2677.5</v>
      </c>
      <c r="BN23" s="481">
        <f t="shared" si="13"/>
        <v>0</v>
      </c>
      <c r="BO23" s="481">
        <f t="shared" si="13"/>
        <v>0</v>
      </c>
      <c r="BP23" s="481">
        <v>0</v>
      </c>
      <c r="BQ23" s="109">
        <v>0</v>
      </c>
      <c r="BR23" s="481">
        <v>0</v>
      </c>
      <c r="BS23" s="481">
        <v>0</v>
      </c>
      <c r="BT23" s="481">
        <v>0</v>
      </c>
      <c r="BU23" s="481">
        <v>0</v>
      </c>
      <c r="BV23" s="478">
        <f t="shared" si="14"/>
        <v>2677.5</v>
      </c>
      <c r="BX23" s="577">
        <f t="shared" si="15"/>
        <v>0</v>
      </c>
      <c r="BY23" s="577">
        <f t="shared" si="16"/>
        <v>0</v>
      </c>
      <c r="BZ23" s="481">
        <f t="shared" si="16"/>
        <v>0</v>
      </c>
      <c r="CA23" s="481">
        <f t="shared" si="16"/>
        <v>0</v>
      </c>
      <c r="CB23" s="481">
        <f t="shared" si="16"/>
        <v>0</v>
      </c>
      <c r="CC23" s="481">
        <f t="shared" si="16"/>
        <v>0</v>
      </c>
      <c r="CD23" s="481">
        <v>0</v>
      </c>
      <c r="CE23" s="109">
        <v>0</v>
      </c>
      <c r="CF23" s="481">
        <v>0</v>
      </c>
      <c r="CG23" s="481">
        <v>0</v>
      </c>
      <c r="CH23" s="481">
        <v>0</v>
      </c>
      <c r="CI23" s="481">
        <v>0</v>
      </c>
      <c r="CJ23" s="478">
        <f t="shared" si="6"/>
        <v>0</v>
      </c>
      <c r="CL23" s="627" t="s">
        <v>919</v>
      </c>
      <c r="CM23" s="623" t="s">
        <v>1141</v>
      </c>
      <c r="CN23" s="512"/>
      <c r="CO23" s="84"/>
      <c r="CP23" s="84"/>
      <c r="CQ23" s="84"/>
      <c r="CR23" s="512"/>
      <c r="CS23" s="512"/>
      <c r="CT23" s="512"/>
      <c r="CU23" s="512">
        <v>2400</v>
      </c>
      <c r="CV23" s="512"/>
      <c r="CW23" s="512"/>
      <c r="CX23" s="512"/>
      <c r="CY23" s="512"/>
      <c r="CZ23" s="516">
        <f t="shared" si="17"/>
        <v>2400</v>
      </c>
      <c r="DB23" s="311" t="str">
        <f t="shared" si="18"/>
        <v>Energy, Utilities, Infrastructure</v>
      </c>
      <c r="DC23" s="311" t="str">
        <f t="shared" si="18"/>
        <v>Investa</v>
      </c>
      <c r="DP23" s="478">
        <f t="shared" si="19"/>
        <v>0</v>
      </c>
      <c r="DQ23" s="508"/>
      <c r="DR23" s="577">
        <f t="shared" si="44"/>
        <v>0</v>
      </c>
      <c r="DS23" s="577">
        <f t="shared" si="20"/>
        <v>0</v>
      </c>
      <c r="DT23" s="577">
        <f t="shared" si="21"/>
        <v>0</v>
      </c>
      <c r="DU23" s="577">
        <f t="shared" si="22"/>
        <v>0</v>
      </c>
      <c r="DV23" s="577">
        <f t="shared" si="23"/>
        <v>0</v>
      </c>
      <c r="DW23" s="577">
        <f t="shared" si="24"/>
        <v>0</v>
      </c>
      <c r="DX23" s="577">
        <f t="shared" si="25"/>
        <v>0</v>
      </c>
      <c r="DY23" s="577">
        <f t="shared" si="26"/>
        <v>2400</v>
      </c>
      <c r="DZ23" s="577">
        <f t="shared" si="27"/>
        <v>0</v>
      </c>
      <c r="EA23" s="577">
        <f t="shared" si="28"/>
        <v>0</v>
      </c>
      <c r="EB23" s="577">
        <f t="shared" si="29"/>
        <v>0</v>
      </c>
      <c r="EC23" s="634">
        <f t="shared" si="30"/>
        <v>0</v>
      </c>
      <c r="ED23" s="478">
        <f t="shared" si="31"/>
        <v>2400</v>
      </c>
      <c r="EE23" s="630"/>
      <c r="EF23" s="632">
        <f t="shared" si="32"/>
        <v>0</v>
      </c>
      <c r="EG23" s="632">
        <f t="shared" si="33"/>
        <v>0</v>
      </c>
      <c r="EH23" s="632">
        <f t="shared" si="34"/>
        <v>0</v>
      </c>
      <c r="EI23" s="632">
        <f t="shared" si="35"/>
        <v>0</v>
      </c>
      <c r="EJ23" s="632">
        <f t="shared" si="36"/>
        <v>0</v>
      </c>
      <c r="EK23" s="632">
        <f t="shared" si="37"/>
        <v>0</v>
      </c>
      <c r="EL23" s="632">
        <f t="shared" si="38"/>
        <v>0</v>
      </c>
      <c r="EM23" s="632">
        <f t="shared" si="39"/>
        <v>0</v>
      </c>
      <c r="EN23" s="632">
        <f t="shared" si="40"/>
        <v>0</v>
      </c>
      <c r="EO23" s="632">
        <f t="shared" si="41"/>
        <v>0</v>
      </c>
      <c r="EP23" s="629">
        <f t="shared" si="42"/>
        <v>0</v>
      </c>
      <c r="EQ23" s="632">
        <f t="shared" si="43"/>
        <v>0</v>
      </c>
      <c r="ER23" s="478">
        <f t="shared" si="9"/>
        <v>0</v>
      </c>
    </row>
    <row r="24" spans="1:148" x14ac:dyDescent="0.2">
      <c r="A24" s="337" t="s">
        <v>608</v>
      </c>
      <c r="B24" s="340">
        <v>0</v>
      </c>
      <c r="C24" s="341">
        <v>0</v>
      </c>
      <c r="D24" s="341">
        <v>0</v>
      </c>
      <c r="E24" s="341">
        <v>0</v>
      </c>
      <c r="F24" s="341">
        <v>0</v>
      </c>
      <c r="G24" s="342">
        <v>0</v>
      </c>
      <c r="H24" s="312">
        <f>SUM('PRD Sales Forecast'!$B24:$G24)</f>
        <v>0</v>
      </c>
      <c r="I24" s="340">
        <v>0</v>
      </c>
      <c r="J24" s="341">
        <v>0</v>
      </c>
      <c r="K24" s="341">
        <v>0</v>
      </c>
      <c r="L24" s="341">
        <v>0</v>
      </c>
      <c r="M24" s="341">
        <v>0</v>
      </c>
      <c r="N24" s="342">
        <v>0</v>
      </c>
      <c r="O24" s="312">
        <f>SUM('PRD Sales Forecast'!$I24:$N24)</f>
        <v>0</v>
      </c>
      <c r="P24" s="343">
        <v>2000</v>
      </c>
      <c r="Q24" s="343"/>
      <c r="R24" s="343">
        <v>5000</v>
      </c>
      <c r="S24" s="343">
        <v>50000</v>
      </c>
      <c r="T24" s="343">
        <v>70000</v>
      </c>
      <c r="U24" s="343">
        <v>2500</v>
      </c>
      <c r="V24" s="343">
        <v>0</v>
      </c>
      <c r="W24" s="313">
        <v>6500</v>
      </c>
      <c r="X24" s="313">
        <v>2000</v>
      </c>
      <c r="Y24" s="313">
        <v>4500</v>
      </c>
      <c r="Z24" s="344">
        <v>12500</v>
      </c>
      <c r="AA24" s="344">
        <v>3000</v>
      </c>
      <c r="AB24" s="314">
        <f>SUM('PRD Sales Forecast'!$P24:$AA24)</f>
        <v>158000</v>
      </c>
      <c r="AC24" s="337"/>
      <c r="AD24" s="311"/>
      <c r="AE24" s="311" t="s">
        <v>1050</v>
      </c>
      <c r="AF24" s="512"/>
      <c r="AG24" s="512"/>
      <c r="AH24" s="565">
        <v>380</v>
      </c>
      <c r="AI24" s="512">
        <v>15000</v>
      </c>
      <c r="AJ24" s="512">
        <v>15000</v>
      </c>
      <c r="AK24" s="512">
        <v>380</v>
      </c>
      <c r="AL24" s="512"/>
      <c r="AM24" s="512"/>
      <c r="AN24" s="512"/>
      <c r="AO24" s="512">
        <v>2000</v>
      </c>
      <c r="AP24" s="512">
        <v>10000</v>
      </c>
      <c r="AQ24" s="512">
        <v>1600</v>
      </c>
      <c r="AR24" s="516">
        <f t="shared" si="10"/>
        <v>44360</v>
      </c>
      <c r="AT24" s="311"/>
      <c r="AU24" s="311" t="s">
        <v>608</v>
      </c>
      <c r="BH24" s="361">
        <f t="shared" si="11"/>
        <v>0</v>
      </c>
      <c r="BI24" s="508"/>
      <c r="BJ24" s="577">
        <f t="shared" si="12"/>
        <v>0</v>
      </c>
      <c r="BK24" s="577">
        <f t="shared" ref="BK24:BK48" si="47">AG24</f>
        <v>0</v>
      </c>
      <c r="BL24" s="481">
        <v>0</v>
      </c>
      <c r="BM24" s="481"/>
      <c r="BN24" s="481">
        <v>0</v>
      </c>
      <c r="BO24" s="481">
        <v>0</v>
      </c>
      <c r="BP24" s="481">
        <v>0</v>
      </c>
      <c r="BQ24" s="109">
        <v>0</v>
      </c>
      <c r="BR24" s="481">
        <v>0</v>
      </c>
      <c r="BS24" s="481">
        <v>0</v>
      </c>
      <c r="BT24" s="481">
        <v>0</v>
      </c>
      <c r="BU24" s="481">
        <v>0</v>
      </c>
      <c r="BV24" s="478">
        <f t="shared" si="14"/>
        <v>0</v>
      </c>
      <c r="BX24" s="577">
        <f t="shared" si="15"/>
        <v>0</v>
      </c>
      <c r="BY24" s="577">
        <f t="shared" ref="BY24:BY48" si="48">AW24</f>
        <v>0</v>
      </c>
      <c r="BZ24" s="481">
        <f t="shared" ref="BZ24:BZ48" si="49">AX24</f>
        <v>0</v>
      </c>
      <c r="CA24" s="481">
        <f t="shared" ref="CA24:CA48" si="50">AY24</f>
        <v>0</v>
      </c>
      <c r="CB24" s="481">
        <f t="shared" ref="CB24:CB48" si="51">AZ24</f>
        <v>0</v>
      </c>
      <c r="CC24" s="481">
        <f t="shared" ref="CC24:CC48" si="52">BA24</f>
        <v>0</v>
      </c>
      <c r="CD24" s="481">
        <v>0</v>
      </c>
      <c r="CE24" s="109">
        <v>0</v>
      </c>
      <c r="CF24" s="481">
        <v>0</v>
      </c>
      <c r="CG24" s="481">
        <v>0</v>
      </c>
      <c r="CH24" s="481">
        <v>0</v>
      </c>
      <c r="CI24" s="481">
        <v>0</v>
      </c>
      <c r="CJ24" s="478">
        <f t="shared" si="6"/>
        <v>0</v>
      </c>
      <c r="CL24" s="627" t="s">
        <v>916</v>
      </c>
      <c r="CM24" s="623" t="s">
        <v>1382</v>
      </c>
      <c r="CN24" s="512"/>
      <c r="CO24" s="84"/>
      <c r="CP24" s="84">
        <v>380</v>
      </c>
      <c r="CQ24" s="84"/>
      <c r="CR24" s="512"/>
      <c r="CS24" s="512">
        <v>380</v>
      </c>
      <c r="CT24" s="512"/>
      <c r="CV24" s="512">
        <v>380</v>
      </c>
      <c r="CW24" s="512"/>
      <c r="CX24" s="512"/>
      <c r="CY24" s="512">
        <v>380</v>
      </c>
      <c r="CZ24" s="516">
        <f t="shared" si="17"/>
        <v>1520</v>
      </c>
      <c r="DB24" s="311" t="str">
        <f t="shared" si="18"/>
        <v>Finance</v>
      </c>
      <c r="DC24" s="311" t="str">
        <f t="shared" si="18"/>
        <v>Dimensional</v>
      </c>
      <c r="DP24" s="478">
        <f t="shared" si="19"/>
        <v>0</v>
      </c>
      <c r="DQ24" s="508"/>
      <c r="DR24" s="577">
        <f t="shared" si="44"/>
        <v>0</v>
      </c>
      <c r="DS24" s="577">
        <f t="shared" si="20"/>
        <v>0</v>
      </c>
      <c r="DT24" s="577">
        <f t="shared" si="21"/>
        <v>380</v>
      </c>
      <c r="DU24" s="577">
        <f t="shared" si="22"/>
        <v>0</v>
      </c>
      <c r="DV24" s="577">
        <f t="shared" si="23"/>
        <v>0</v>
      </c>
      <c r="DW24" s="577">
        <f t="shared" si="24"/>
        <v>380</v>
      </c>
      <c r="DX24" s="577">
        <f t="shared" si="25"/>
        <v>0</v>
      </c>
      <c r="DY24" s="577">
        <f>CU28</f>
        <v>35000</v>
      </c>
      <c r="DZ24" s="577">
        <f t="shared" si="27"/>
        <v>380</v>
      </c>
      <c r="EA24" s="577">
        <f t="shared" si="28"/>
        <v>0</v>
      </c>
      <c r="EB24" s="577">
        <f t="shared" si="29"/>
        <v>0</v>
      </c>
      <c r="EC24" s="634">
        <f t="shared" si="30"/>
        <v>380</v>
      </c>
      <c r="ED24" s="478">
        <f t="shared" si="31"/>
        <v>36520</v>
      </c>
      <c r="EE24" s="630"/>
      <c r="EF24" s="632">
        <f t="shared" si="32"/>
        <v>0</v>
      </c>
      <c r="EG24" s="632">
        <f t="shared" si="33"/>
        <v>0</v>
      </c>
      <c r="EH24" s="632">
        <f t="shared" si="34"/>
        <v>0</v>
      </c>
      <c r="EI24" s="632">
        <f t="shared" si="35"/>
        <v>0</v>
      </c>
      <c r="EJ24" s="632">
        <f t="shared" si="36"/>
        <v>0</v>
      </c>
      <c r="EK24" s="632">
        <f t="shared" si="37"/>
        <v>0</v>
      </c>
      <c r="EL24" s="632">
        <f t="shared" si="38"/>
        <v>0</v>
      </c>
      <c r="EM24" s="632">
        <f t="shared" si="39"/>
        <v>0</v>
      </c>
      <c r="EN24" s="632">
        <f t="shared" si="40"/>
        <v>0</v>
      </c>
      <c r="EO24" s="632">
        <f t="shared" si="41"/>
        <v>0</v>
      </c>
      <c r="EP24" s="629">
        <f t="shared" si="42"/>
        <v>0</v>
      </c>
      <c r="EQ24" s="632">
        <f t="shared" si="43"/>
        <v>0</v>
      </c>
      <c r="ER24" s="478">
        <f t="shared" si="9"/>
        <v>0</v>
      </c>
    </row>
    <row r="25" spans="1:148" x14ac:dyDescent="0.2">
      <c r="A25" s="337" t="s">
        <v>609</v>
      </c>
      <c r="B25" s="340">
        <v>0</v>
      </c>
      <c r="C25" s="341">
        <v>25643.599999999999</v>
      </c>
      <c r="D25" s="341">
        <v>6939</v>
      </c>
      <c r="E25" s="341">
        <v>0</v>
      </c>
      <c r="F25" s="341">
        <v>12805</v>
      </c>
      <c r="G25" s="342">
        <v>3344</v>
      </c>
      <c r="H25" s="312">
        <f>SUM('PRD Sales Forecast'!$B25:$G25)</f>
        <v>48731.6</v>
      </c>
      <c r="I25" s="340">
        <v>0</v>
      </c>
      <c r="J25" s="341">
        <v>28528.799999999999</v>
      </c>
      <c r="K25" s="341">
        <v>7039</v>
      </c>
      <c r="L25" s="341">
        <v>0</v>
      </c>
      <c r="M25" s="341">
        <v>3037</v>
      </c>
      <c r="N25" s="342">
        <v>0</v>
      </c>
      <c r="O25" s="312">
        <f>SUM('PRD Sales Forecast'!$I25:$N25)</f>
        <v>38604.800000000003</v>
      </c>
      <c r="P25" s="343"/>
      <c r="Q25" s="343">
        <v>5000</v>
      </c>
      <c r="R25" s="343"/>
      <c r="S25" s="343">
        <v>5000</v>
      </c>
      <c r="T25" s="343">
        <v>12500</v>
      </c>
      <c r="U25" s="343"/>
      <c r="V25" s="343"/>
      <c r="W25" s="313">
        <v>3500</v>
      </c>
      <c r="X25" s="313"/>
      <c r="Y25" s="313">
        <v>0</v>
      </c>
      <c r="Z25" s="344">
        <v>15000</v>
      </c>
      <c r="AA25" s="344"/>
      <c r="AB25" s="314">
        <f>SUM('PRD Sales Forecast'!$P25:$AA25)</f>
        <v>41000</v>
      </c>
      <c r="AC25" s="337"/>
      <c r="AD25" s="311"/>
      <c r="AE25" s="311" t="s">
        <v>609</v>
      </c>
      <c r="AF25" s="512"/>
      <c r="AG25" s="512">
        <v>4000</v>
      </c>
      <c r="AH25" s="565"/>
      <c r="AI25" s="512"/>
      <c r="AJ25" s="512">
        <v>4000</v>
      </c>
      <c r="AK25" s="512">
        <v>5000</v>
      </c>
      <c r="AL25" s="512"/>
      <c r="AM25" s="512"/>
      <c r="AN25" s="512">
        <v>5000</v>
      </c>
      <c r="AO25" s="512"/>
      <c r="AP25" s="512"/>
      <c r="AQ25" s="512"/>
      <c r="AR25" s="516">
        <f t="shared" si="10"/>
        <v>18000</v>
      </c>
      <c r="AT25" s="311"/>
      <c r="AU25" s="311" t="s">
        <v>609</v>
      </c>
      <c r="BH25" s="361">
        <f t="shared" si="11"/>
        <v>0</v>
      </c>
      <c r="BI25" s="508"/>
      <c r="BJ25" s="577">
        <f t="shared" si="12"/>
        <v>0</v>
      </c>
      <c r="BK25" s="577"/>
      <c r="BL25" s="481">
        <f t="shared" ref="BL25:BL48" si="53">AH25</f>
        <v>0</v>
      </c>
      <c r="BM25" s="481">
        <f t="shared" ref="BM25:BM48" si="54">AI25</f>
        <v>0</v>
      </c>
      <c r="BN25" s="481">
        <v>0</v>
      </c>
      <c r="BO25" s="481">
        <v>0</v>
      </c>
      <c r="BP25" s="481">
        <v>0</v>
      </c>
      <c r="BQ25" s="109">
        <v>0</v>
      </c>
      <c r="BR25" s="481">
        <v>0</v>
      </c>
      <c r="BS25" s="481">
        <v>0</v>
      </c>
      <c r="BT25" s="481">
        <v>0</v>
      </c>
      <c r="BU25" s="481">
        <v>0</v>
      </c>
      <c r="BV25" s="478">
        <f t="shared" si="14"/>
        <v>0</v>
      </c>
      <c r="BX25" s="577">
        <f t="shared" si="15"/>
        <v>0</v>
      </c>
      <c r="BY25" s="577">
        <f t="shared" si="48"/>
        <v>0</v>
      </c>
      <c r="BZ25" s="481">
        <f t="shared" si="49"/>
        <v>0</v>
      </c>
      <c r="CA25" s="481">
        <f t="shared" si="50"/>
        <v>0</v>
      </c>
      <c r="CB25" s="481">
        <f t="shared" si="51"/>
        <v>0</v>
      </c>
      <c r="CC25" s="481">
        <f t="shared" si="52"/>
        <v>0</v>
      </c>
      <c r="CD25" s="481">
        <v>0</v>
      </c>
      <c r="CE25" s="109">
        <v>0</v>
      </c>
      <c r="CF25" s="481">
        <v>0</v>
      </c>
      <c r="CG25" s="481">
        <v>0</v>
      </c>
      <c r="CH25" s="481">
        <v>0</v>
      </c>
      <c r="CI25" s="481">
        <v>0</v>
      </c>
      <c r="CJ25" s="478">
        <f t="shared" si="6"/>
        <v>0</v>
      </c>
      <c r="CL25" s="627" t="s">
        <v>921</v>
      </c>
      <c r="CM25" s="623" t="s">
        <v>1345</v>
      </c>
      <c r="CN25" s="512"/>
      <c r="CO25" s="84"/>
      <c r="CP25" s="84"/>
      <c r="CQ25" s="84"/>
      <c r="CR25" s="671"/>
      <c r="CS25" s="512"/>
      <c r="CT25" s="512"/>
      <c r="CU25" s="512"/>
      <c r="CV25" s="512"/>
      <c r="CW25" s="512"/>
      <c r="CX25" s="512"/>
      <c r="CY25" s="512"/>
      <c r="CZ25" s="516">
        <f t="shared" si="17"/>
        <v>0</v>
      </c>
      <c r="DB25" s="311" t="str">
        <f t="shared" si="18"/>
        <v>Other Sectors (Schools, Hospitals, etc)</v>
      </c>
      <c r="DC25" s="311" t="str">
        <f t="shared" si="18"/>
        <v>N2 Dance Productions</v>
      </c>
      <c r="DH25" s="659">
        <v>2511</v>
      </c>
      <c r="DP25" s="478">
        <f t="shared" si="19"/>
        <v>2511</v>
      </c>
      <c r="DQ25" s="508"/>
      <c r="DR25" s="577">
        <f t="shared" si="44"/>
        <v>0</v>
      </c>
      <c r="DS25" s="577">
        <f t="shared" si="20"/>
        <v>0</v>
      </c>
      <c r="DT25" s="577">
        <f t="shared" si="21"/>
        <v>0</v>
      </c>
      <c r="DU25" s="577">
        <f t="shared" si="22"/>
        <v>0</v>
      </c>
      <c r="DV25" s="577">
        <f t="shared" si="23"/>
        <v>0</v>
      </c>
      <c r="DW25" s="577">
        <f t="shared" si="24"/>
        <v>0</v>
      </c>
      <c r="DX25" s="577">
        <f t="shared" si="25"/>
        <v>0</v>
      </c>
      <c r="DY25" s="577">
        <f t="shared" si="26"/>
        <v>0</v>
      </c>
      <c r="DZ25" s="577">
        <f t="shared" si="27"/>
        <v>0</v>
      </c>
      <c r="EA25" s="577">
        <f t="shared" si="28"/>
        <v>0</v>
      </c>
      <c r="EB25" s="577">
        <f t="shared" si="29"/>
        <v>0</v>
      </c>
      <c r="EC25" s="634">
        <f t="shared" si="30"/>
        <v>0</v>
      </c>
      <c r="ED25" s="478">
        <f t="shared" si="31"/>
        <v>0</v>
      </c>
      <c r="EE25" s="630"/>
      <c r="EF25" s="632">
        <f t="shared" si="32"/>
        <v>0</v>
      </c>
      <c r="EG25" s="632">
        <f t="shared" si="33"/>
        <v>0</v>
      </c>
      <c r="EH25" s="632">
        <f t="shared" si="34"/>
        <v>0</v>
      </c>
      <c r="EI25" s="632">
        <f t="shared" si="35"/>
        <v>0</v>
      </c>
      <c r="EJ25" s="632">
        <f t="shared" si="36"/>
        <v>2511</v>
      </c>
      <c r="EK25" s="632">
        <f t="shared" si="37"/>
        <v>0</v>
      </c>
      <c r="EL25" s="632">
        <f t="shared" si="38"/>
        <v>0</v>
      </c>
      <c r="EM25" s="632">
        <f t="shared" si="39"/>
        <v>0</v>
      </c>
      <c r="EN25" s="632">
        <f t="shared" si="40"/>
        <v>0</v>
      </c>
      <c r="EO25" s="632">
        <f t="shared" si="41"/>
        <v>0</v>
      </c>
      <c r="EP25" s="629">
        <f t="shared" si="42"/>
        <v>0</v>
      </c>
      <c r="EQ25" s="632">
        <f t="shared" si="43"/>
        <v>0</v>
      </c>
      <c r="ER25" s="478">
        <f t="shared" si="9"/>
        <v>2511</v>
      </c>
    </row>
    <row r="26" spans="1:148" x14ac:dyDescent="0.2">
      <c r="A26" s="337" t="s">
        <v>610</v>
      </c>
      <c r="B26" s="320">
        <v>19756</v>
      </c>
      <c r="C26" s="321">
        <v>13732.25</v>
      </c>
      <c r="D26" s="321">
        <v>11651.25</v>
      </c>
      <c r="E26" s="321">
        <v>17368.13</v>
      </c>
      <c r="F26" s="321">
        <v>6705.75</v>
      </c>
      <c r="G26" s="322">
        <v>3869.95</v>
      </c>
      <c r="H26" s="312">
        <f>SUM('PRD Sales Forecast'!$B26:$G26)</f>
        <v>73083.33</v>
      </c>
      <c r="I26" s="320">
        <v>14218</v>
      </c>
      <c r="J26" s="321">
        <v>19685.45</v>
      </c>
      <c r="K26" s="321">
        <v>3526.25</v>
      </c>
      <c r="L26" s="321">
        <v>6526.25</v>
      </c>
      <c r="M26" s="321">
        <v>0</v>
      </c>
      <c r="N26" s="322">
        <v>2740</v>
      </c>
      <c r="O26" s="312">
        <f>SUM('PRD Sales Forecast'!$I26:$N26)</f>
        <v>46695.95</v>
      </c>
      <c r="P26" s="323"/>
      <c r="Q26" s="323">
        <v>1000</v>
      </c>
      <c r="R26" s="323"/>
      <c r="S26" s="323"/>
      <c r="T26" s="323">
        <v>1000</v>
      </c>
      <c r="U26" s="323"/>
      <c r="V26" s="323"/>
      <c r="W26" s="313"/>
      <c r="X26" s="313">
        <v>1000</v>
      </c>
      <c r="Y26" s="313"/>
      <c r="Z26" s="344"/>
      <c r="AA26" s="344">
        <v>1000</v>
      </c>
      <c r="AB26" s="314">
        <f>SUM('PRD Sales Forecast'!$P26:$AA26)</f>
        <v>4000</v>
      </c>
      <c r="AC26" s="337"/>
      <c r="AD26" s="311"/>
      <c r="AE26" s="311" t="s">
        <v>610</v>
      </c>
      <c r="AF26" s="512"/>
      <c r="AG26" s="512"/>
      <c r="AH26" s="512"/>
      <c r="AI26" s="512"/>
      <c r="AJ26" s="512"/>
      <c r="AK26" s="512"/>
      <c r="AL26" s="512"/>
      <c r="AM26" s="512"/>
      <c r="AN26" s="512"/>
      <c r="AO26" s="512"/>
      <c r="AP26" s="512"/>
      <c r="AQ26" s="512"/>
      <c r="AR26" s="516">
        <f t="shared" si="10"/>
        <v>0</v>
      </c>
      <c r="AT26" s="311"/>
      <c r="AU26" s="311" t="s">
        <v>610</v>
      </c>
      <c r="BH26" s="361">
        <f t="shared" si="11"/>
        <v>0</v>
      </c>
      <c r="BI26" s="508"/>
      <c r="BJ26" s="577">
        <f t="shared" si="12"/>
        <v>0</v>
      </c>
      <c r="BK26" s="577">
        <f t="shared" si="47"/>
        <v>0</v>
      </c>
      <c r="BL26" s="481">
        <f t="shared" si="53"/>
        <v>0</v>
      </c>
      <c r="BM26" s="481">
        <f t="shared" si="54"/>
        <v>0</v>
      </c>
      <c r="BN26" s="481">
        <f t="shared" ref="BN26:BN48" si="55">AJ26</f>
        <v>0</v>
      </c>
      <c r="BO26" s="481">
        <f t="shared" ref="BO26:BO48" si="56">AK26</f>
        <v>0</v>
      </c>
      <c r="BP26" s="481">
        <v>0</v>
      </c>
      <c r="BQ26" s="109">
        <v>0</v>
      </c>
      <c r="BR26" s="481">
        <v>0</v>
      </c>
      <c r="BS26" s="481">
        <v>0</v>
      </c>
      <c r="BT26" s="481">
        <v>0</v>
      </c>
      <c r="BU26" s="481">
        <v>0</v>
      </c>
      <c r="BV26" s="478">
        <f t="shared" si="14"/>
        <v>0</v>
      </c>
      <c r="BX26" s="577">
        <f t="shared" si="15"/>
        <v>0</v>
      </c>
      <c r="BY26" s="577">
        <f t="shared" si="48"/>
        <v>0</v>
      </c>
      <c r="BZ26" s="481">
        <f t="shared" si="49"/>
        <v>0</v>
      </c>
      <c r="CA26" s="481">
        <f t="shared" si="50"/>
        <v>0</v>
      </c>
      <c r="CB26" s="481">
        <f t="shared" si="51"/>
        <v>0</v>
      </c>
      <c r="CC26" s="481">
        <f t="shared" si="52"/>
        <v>0</v>
      </c>
      <c r="CD26" s="481">
        <v>0</v>
      </c>
      <c r="CE26" s="109">
        <v>0</v>
      </c>
      <c r="CF26" s="481">
        <v>0</v>
      </c>
      <c r="CG26" s="481">
        <v>0</v>
      </c>
      <c r="CH26" s="481">
        <v>0</v>
      </c>
      <c r="CI26" s="481">
        <v>0</v>
      </c>
      <c r="CJ26" s="478">
        <f t="shared" si="6"/>
        <v>0</v>
      </c>
      <c r="CL26" s="627" t="s">
        <v>918</v>
      </c>
      <c r="CM26" s="623" t="s">
        <v>611</v>
      </c>
      <c r="CN26" s="512"/>
      <c r="CO26" s="84"/>
      <c r="CP26" s="84"/>
      <c r="CQ26" s="84"/>
      <c r="CR26" s="512"/>
      <c r="CS26" s="512"/>
      <c r="CT26" s="512"/>
      <c r="CU26" s="512"/>
      <c r="CV26" s="512">
        <v>40000</v>
      </c>
      <c r="CW26" s="512"/>
      <c r="CX26" s="512">
        <v>15000</v>
      </c>
      <c r="CY26" s="512"/>
      <c r="CZ26" s="516">
        <f t="shared" si="17"/>
        <v>55000</v>
      </c>
      <c r="DB26" s="311" t="str">
        <f t="shared" si="18"/>
        <v>IT &amp; Media</v>
      </c>
      <c r="DC26" s="311" t="str">
        <f t="shared" si="18"/>
        <v>ON24</v>
      </c>
      <c r="DP26" s="478">
        <f t="shared" si="19"/>
        <v>0</v>
      </c>
      <c r="DQ26" s="508"/>
      <c r="DR26" s="676">
        <v>2575</v>
      </c>
      <c r="DS26" s="577">
        <f t="shared" si="20"/>
        <v>0</v>
      </c>
      <c r="DT26" s="577">
        <f t="shared" si="21"/>
        <v>0</v>
      </c>
      <c r="DU26" s="577">
        <f t="shared" si="22"/>
        <v>0</v>
      </c>
      <c r="DV26" s="577">
        <f t="shared" si="23"/>
        <v>0</v>
      </c>
      <c r="DW26" s="577">
        <f t="shared" si="24"/>
        <v>0</v>
      </c>
      <c r="DX26" s="577">
        <f t="shared" si="25"/>
        <v>0</v>
      </c>
      <c r="DY26" s="577">
        <f t="shared" si="26"/>
        <v>0</v>
      </c>
      <c r="DZ26" s="577">
        <f t="shared" si="27"/>
        <v>40000</v>
      </c>
      <c r="EA26" s="577">
        <f t="shared" si="28"/>
        <v>0</v>
      </c>
      <c r="EB26" s="577">
        <f t="shared" si="29"/>
        <v>15000</v>
      </c>
      <c r="EC26" s="634">
        <f t="shared" si="30"/>
        <v>0</v>
      </c>
      <c r="ED26" s="478">
        <f t="shared" si="31"/>
        <v>57575</v>
      </c>
      <c r="EE26" s="630"/>
      <c r="EF26" s="632">
        <f t="shared" si="32"/>
        <v>0</v>
      </c>
      <c r="EG26" s="632">
        <f t="shared" si="33"/>
        <v>0</v>
      </c>
      <c r="EH26" s="632">
        <f t="shared" si="34"/>
        <v>0</v>
      </c>
      <c r="EI26" s="632">
        <f t="shared" si="35"/>
        <v>0</v>
      </c>
      <c r="EJ26" s="632">
        <f t="shared" si="36"/>
        <v>0</v>
      </c>
      <c r="EK26" s="632">
        <f t="shared" si="37"/>
        <v>0</v>
      </c>
      <c r="EL26" s="632">
        <f t="shared" si="38"/>
        <v>0</v>
      </c>
      <c r="EM26" s="632">
        <f t="shared" si="39"/>
        <v>0</v>
      </c>
      <c r="EN26" s="632">
        <f t="shared" si="40"/>
        <v>0</v>
      </c>
      <c r="EO26" s="632">
        <f t="shared" si="41"/>
        <v>0</v>
      </c>
      <c r="EP26" s="629">
        <f t="shared" si="42"/>
        <v>0</v>
      </c>
      <c r="EQ26" s="632">
        <f t="shared" si="43"/>
        <v>0</v>
      </c>
      <c r="ER26" s="478">
        <f t="shared" si="9"/>
        <v>0</v>
      </c>
    </row>
    <row r="27" spans="1:148" x14ac:dyDescent="0.2">
      <c r="A27" s="337" t="s">
        <v>611</v>
      </c>
      <c r="B27" s="306"/>
      <c r="H27" s="308">
        <f>SUM('PRD Sales Forecast'!$B27:$G27)</f>
        <v>0</v>
      </c>
      <c r="I27" s="306"/>
      <c r="N27" s="307"/>
      <c r="O27" s="308">
        <f>SUM('PRD Sales Forecast'!$I27:$N27)</f>
        <v>0</v>
      </c>
      <c r="P27" s="309"/>
      <c r="Q27" s="309">
        <v>2000</v>
      </c>
      <c r="R27" s="309"/>
      <c r="S27" s="309">
        <v>15000</v>
      </c>
      <c r="T27" s="309"/>
      <c r="U27" s="309"/>
      <c r="V27" s="309"/>
      <c r="W27" s="309">
        <v>7500</v>
      </c>
      <c r="X27" s="313"/>
      <c r="Y27" s="313"/>
      <c r="Z27" s="309">
        <v>0</v>
      </c>
      <c r="AA27" s="344"/>
      <c r="AB27" s="314">
        <f>SUM('PRD Sales Forecast'!$P27:$AA27)</f>
        <v>24500</v>
      </c>
      <c r="AC27" s="337"/>
      <c r="AD27" s="311"/>
      <c r="AE27" s="311" t="s">
        <v>611</v>
      </c>
      <c r="AF27" s="512"/>
      <c r="AG27" s="565">
        <v>3000</v>
      </c>
      <c r="AH27" s="565">
        <v>19000</v>
      </c>
      <c r="AI27" s="512"/>
      <c r="AJ27" s="512"/>
      <c r="AK27" s="512"/>
      <c r="AL27" s="512"/>
      <c r="AM27" s="512">
        <v>2000</v>
      </c>
      <c r="AN27" s="512">
        <v>9000</v>
      </c>
      <c r="AO27" s="512"/>
      <c r="AP27" s="512">
        <v>15000</v>
      </c>
      <c r="AQ27" s="512"/>
      <c r="AR27" s="516">
        <f t="shared" si="10"/>
        <v>48000</v>
      </c>
      <c r="AT27" s="311"/>
      <c r="AU27" s="311" t="s">
        <v>611</v>
      </c>
      <c r="AX27" s="510">
        <v>2000</v>
      </c>
      <c r="BD27" s="510">
        <v>4000</v>
      </c>
      <c r="BF27" s="510">
        <v>4000</v>
      </c>
      <c r="BH27" s="361">
        <f t="shared" si="11"/>
        <v>10000</v>
      </c>
      <c r="BI27" s="508"/>
      <c r="BJ27" s="577">
        <f t="shared" si="12"/>
        <v>0</v>
      </c>
      <c r="BK27" s="577"/>
      <c r="BL27" s="481">
        <v>3555</v>
      </c>
      <c r="BM27" s="481">
        <f t="shared" si="54"/>
        <v>0</v>
      </c>
      <c r="BN27" s="481">
        <f t="shared" si="55"/>
        <v>0</v>
      </c>
      <c r="BO27" s="481">
        <f t="shared" si="56"/>
        <v>0</v>
      </c>
      <c r="BP27" s="481">
        <v>0</v>
      </c>
      <c r="BQ27" s="109">
        <v>0</v>
      </c>
      <c r="BR27" s="481">
        <v>24868.6</v>
      </c>
      <c r="BS27" s="481">
        <v>0</v>
      </c>
      <c r="BT27" s="481">
        <v>15000</v>
      </c>
      <c r="BU27" s="481">
        <v>0</v>
      </c>
      <c r="BV27" s="478">
        <f t="shared" si="14"/>
        <v>43423.6</v>
      </c>
      <c r="BX27" s="577">
        <f t="shared" si="15"/>
        <v>0</v>
      </c>
      <c r="BY27" s="577">
        <f t="shared" si="48"/>
        <v>0</v>
      </c>
      <c r="BZ27" s="481">
        <v>0</v>
      </c>
      <c r="CA27" s="481">
        <f t="shared" si="50"/>
        <v>0</v>
      </c>
      <c r="CB27" s="481">
        <f t="shared" si="51"/>
        <v>0</v>
      </c>
      <c r="CC27" s="481">
        <f t="shared" si="52"/>
        <v>0</v>
      </c>
      <c r="CD27" s="481">
        <v>0</v>
      </c>
      <c r="CE27" s="109">
        <v>0</v>
      </c>
      <c r="CF27" s="481">
        <v>3553</v>
      </c>
      <c r="CG27" s="481">
        <v>0</v>
      </c>
      <c r="CH27" s="481">
        <v>4000</v>
      </c>
      <c r="CI27" s="481">
        <v>0</v>
      </c>
      <c r="CJ27" s="478">
        <f t="shared" si="6"/>
        <v>7553</v>
      </c>
      <c r="CL27" s="627" t="s">
        <v>916</v>
      </c>
      <c r="CM27" s="623" t="s">
        <v>1202</v>
      </c>
      <c r="CN27" s="512">
        <v>10000</v>
      </c>
      <c r="CO27" s="84"/>
      <c r="CP27" s="84"/>
      <c r="CQ27" s="84">
        <v>1000</v>
      </c>
      <c r="CR27" s="512">
        <v>1000</v>
      </c>
      <c r="CS27" s="512">
        <v>10000</v>
      </c>
      <c r="CT27" s="512"/>
      <c r="CU27" s="512"/>
      <c r="CV27" s="512">
        <v>1000</v>
      </c>
      <c r="CW27" s="512">
        <v>1000</v>
      </c>
      <c r="CX27" s="512"/>
      <c r="CY27" s="512"/>
      <c r="CZ27" s="516">
        <f t="shared" si="17"/>
        <v>24000</v>
      </c>
      <c r="DB27" s="311" t="str">
        <f t="shared" si="18"/>
        <v>Finance</v>
      </c>
      <c r="DC27" s="311" t="str">
        <f t="shared" si="18"/>
        <v>Optiver</v>
      </c>
      <c r="DF27" s="510"/>
      <c r="DL27" s="510"/>
      <c r="DN27" s="510"/>
      <c r="DP27" s="478">
        <f t="shared" si="19"/>
        <v>0</v>
      </c>
      <c r="DQ27" s="508"/>
      <c r="DR27" s="676">
        <v>745</v>
      </c>
      <c r="DS27" s="577">
        <f t="shared" si="20"/>
        <v>0</v>
      </c>
      <c r="DT27" s="577">
        <f t="shared" si="21"/>
        <v>0</v>
      </c>
      <c r="DU27" s="577">
        <f t="shared" si="22"/>
        <v>1000</v>
      </c>
      <c r="DV27" s="577">
        <f t="shared" si="23"/>
        <v>1000</v>
      </c>
      <c r="DW27" s="577">
        <f t="shared" si="24"/>
        <v>10000</v>
      </c>
      <c r="DX27" s="577">
        <f t="shared" si="25"/>
        <v>0</v>
      </c>
      <c r="DY27" s="577">
        <f t="shared" si="26"/>
        <v>0</v>
      </c>
      <c r="DZ27" s="577">
        <f t="shared" si="27"/>
        <v>1000</v>
      </c>
      <c r="EA27" s="577">
        <f t="shared" si="28"/>
        <v>1000</v>
      </c>
      <c r="EB27" s="577">
        <f t="shared" si="29"/>
        <v>0</v>
      </c>
      <c r="EC27" s="634">
        <f t="shared" si="30"/>
        <v>0</v>
      </c>
      <c r="ED27" s="478">
        <f t="shared" si="31"/>
        <v>14745</v>
      </c>
      <c r="EE27" s="630"/>
      <c r="EF27" s="632">
        <f t="shared" si="32"/>
        <v>0</v>
      </c>
      <c r="EG27" s="632">
        <f t="shared" si="33"/>
        <v>0</v>
      </c>
      <c r="EH27" s="632">
        <f t="shared" si="34"/>
        <v>0</v>
      </c>
      <c r="EI27" s="632">
        <f t="shared" si="35"/>
        <v>0</v>
      </c>
      <c r="EJ27" s="632">
        <f t="shared" si="36"/>
        <v>0</v>
      </c>
      <c r="EK27" s="632">
        <f t="shared" si="37"/>
        <v>0</v>
      </c>
      <c r="EL27" s="632">
        <f t="shared" si="38"/>
        <v>0</v>
      </c>
      <c r="EM27" s="632">
        <f t="shared" si="39"/>
        <v>0</v>
      </c>
      <c r="EN27" s="632">
        <f t="shared" si="40"/>
        <v>0</v>
      </c>
      <c r="EO27" s="632">
        <f t="shared" si="41"/>
        <v>0</v>
      </c>
      <c r="EP27" s="629">
        <f t="shared" si="42"/>
        <v>0</v>
      </c>
      <c r="EQ27" s="632">
        <f t="shared" si="43"/>
        <v>0</v>
      </c>
      <c r="ER27" s="478">
        <f t="shared" si="9"/>
        <v>0</v>
      </c>
    </row>
    <row r="28" spans="1:148" x14ac:dyDescent="0.2">
      <c r="A28" s="337" t="s">
        <v>612</v>
      </c>
      <c r="B28" s="340">
        <v>0</v>
      </c>
      <c r="C28" s="341">
        <v>28324.55</v>
      </c>
      <c r="D28" s="341">
        <v>2901</v>
      </c>
      <c r="E28" s="341">
        <v>11032</v>
      </c>
      <c r="F28" s="341">
        <v>8826.5</v>
      </c>
      <c r="G28" s="341">
        <v>14018</v>
      </c>
      <c r="H28" s="312">
        <f>SUM('PRD Sales Forecast'!$B28:$G28)</f>
        <v>65102.05</v>
      </c>
      <c r="I28" s="340">
        <v>0</v>
      </c>
      <c r="J28" s="341">
        <v>35058</v>
      </c>
      <c r="K28" s="341">
        <v>462</v>
      </c>
      <c r="L28" s="341">
        <v>1806</v>
      </c>
      <c r="M28" s="341">
        <v>13656.25</v>
      </c>
      <c r="N28" s="342">
        <v>7174</v>
      </c>
      <c r="O28" s="312">
        <f>SUM('PRD Sales Forecast'!$I28:$N28)</f>
        <v>58156.25</v>
      </c>
      <c r="P28" s="343">
        <v>5000</v>
      </c>
      <c r="Q28" s="343">
        <v>50000</v>
      </c>
      <c r="R28" s="309">
        <v>5000</v>
      </c>
      <c r="S28" s="343">
        <v>35000</v>
      </c>
      <c r="T28" s="343">
        <v>100000</v>
      </c>
      <c r="U28" s="343"/>
      <c r="V28" s="343">
        <v>5000</v>
      </c>
      <c r="W28" s="313">
        <v>40000</v>
      </c>
      <c r="X28" s="313">
        <v>25000</v>
      </c>
      <c r="Y28" s="313">
        <v>0</v>
      </c>
      <c r="Z28" s="344">
        <v>40000</v>
      </c>
      <c r="AA28" s="344">
        <v>5000</v>
      </c>
      <c r="AB28" s="314">
        <f>SUM('PRD Sales Forecast'!$P28:$AA28)</f>
        <v>310000</v>
      </c>
      <c r="AC28" s="337"/>
      <c r="AD28" s="311"/>
      <c r="AE28" s="311" t="s">
        <v>612</v>
      </c>
      <c r="AF28" s="512"/>
      <c r="AG28" s="512">
        <v>36000</v>
      </c>
      <c r="AH28" s="565">
        <v>5000</v>
      </c>
      <c r="AI28" s="512">
        <v>26000</v>
      </c>
      <c r="AJ28" s="512">
        <v>115000</v>
      </c>
      <c r="AK28" s="512">
        <v>22000</v>
      </c>
      <c r="AL28" s="512"/>
      <c r="AM28" s="512">
        <v>50000</v>
      </c>
      <c r="AN28" s="512"/>
      <c r="AO28" s="512">
        <v>2000</v>
      </c>
      <c r="AP28" s="512">
        <v>27000</v>
      </c>
      <c r="AQ28" s="512"/>
      <c r="AR28" s="516">
        <f t="shared" si="10"/>
        <v>283000</v>
      </c>
      <c r="AT28" s="311"/>
      <c r="AU28" s="311" t="s">
        <v>612</v>
      </c>
      <c r="AW28" s="510">
        <v>5000</v>
      </c>
      <c r="AX28" s="510">
        <v>2000</v>
      </c>
      <c r="AY28" s="510">
        <v>7000</v>
      </c>
      <c r="AZ28" s="510">
        <v>11000</v>
      </c>
      <c r="BA28" s="510">
        <v>4000</v>
      </c>
      <c r="BC28" s="510">
        <v>3500</v>
      </c>
      <c r="BF28" s="510">
        <v>3000</v>
      </c>
      <c r="BH28" s="361">
        <f t="shared" si="11"/>
        <v>35500</v>
      </c>
      <c r="BI28" s="508"/>
      <c r="BJ28" s="577">
        <f t="shared" si="12"/>
        <v>0</v>
      </c>
      <c r="BK28" s="577">
        <v>46625</v>
      </c>
      <c r="BL28" s="481">
        <v>0</v>
      </c>
      <c r="BM28" s="588">
        <v>41691</v>
      </c>
      <c r="BN28" s="481">
        <f>2673.25+66521.2+10702.5</f>
        <v>79896.95</v>
      </c>
      <c r="BO28" s="481">
        <v>21648.5</v>
      </c>
      <c r="BP28" s="481" t="s">
        <v>1005</v>
      </c>
      <c r="BQ28" s="109">
        <v>32084.5</v>
      </c>
      <c r="BR28" s="481" t="s">
        <v>1005</v>
      </c>
      <c r="BS28" s="481">
        <v>0</v>
      </c>
      <c r="BT28" s="481">
        <v>27000</v>
      </c>
      <c r="BU28" s="481" t="s">
        <v>1005</v>
      </c>
      <c r="BV28" s="478">
        <f t="shared" si="14"/>
        <v>248945.95</v>
      </c>
      <c r="BX28" s="577">
        <f t="shared" si="15"/>
        <v>0</v>
      </c>
      <c r="BY28" s="577">
        <f>4274+5708.75</f>
        <v>9982.75</v>
      </c>
      <c r="BZ28" s="481">
        <v>0</v>
      </c>
      <c r="CA28" s="481">
        <v>3362</v>
      </c>
      <c r="CB28" s="481">
        <f>1153+8003.5</f>
        <v>9156.5</v>
      </c>
      <c r="CC28" s="481">
        <v>3860</v>
      </c>
      <c r="CD28" s="481">
        <v>0</v>
      </c>
      <c r="CE28" s="109">
        <v>2854</v>
      </c>
      <c r="CF28" s="481">
        <v>0</v>
      </c>
      <c r="CG28" s="481">
        <v>0</v>
      </c>
      <c r="CH28" s="481">
        <v>3000</v>
      </c>
      <c r="CI28" s="481">
        <v>0</v>
      </c>
      <c r="CJ28" s="478">
        <f t="shared" si="6"/>
        <v>32215.25</v>
      </c>
      <c r="CL28" s="627" t="s">
        <v>918</v>
      </c>
      <c r="CM28" s="623" t="s">
        <v>612</v>
      </c>
      <c r="CN28" s="512"/>
      <c r="CO28" s="512">
        <v>35500</v>
      </c>
      <c r="CP28" s="84"/>
      <c r="CQ28" s="512">
        <v>35000</v>
      </c>
      <c r="CR28" s="512"/>
      <c r="CS28" s="512"/>
      <c r="CT28" s="512"/>
      <c r="CU28" s="512">
        <v>35000</v>
      </c>
      <c r="CV28" s="512"/>
      <c r="CW28" s="512"/>
      <c r="CX28" s="512"/>
      <c r="CY28" s="512"/>
      <c r="CZ28" s="516">
        <f t="shared" si="17"/>
        <v>105500</v>
      </c>
      <c r="DB28" s="311" t="str">
        <f t="shared" si="18"/>
        <v>IT &amp; Media</v>
      </c>
      <c r="DC28" s="311" t="str">
        <f t="shared" si="18"/>
        <v>Orient Capital Pty Ltd</v>
      </c>
      <c r="DD28" s="659">
        <v>2684.6</v>
      </c>
      <c r="DE28" s="510">
        <v>2684.6</v>
      </c>
      <c r="DF28" s="510">
        <v>2684.6</v>
      </c>
      <c r="DG28" s="510">
        <v>2684.6</v>
      </c>
      <c r="DH28" s="510">
        <v>2684.6</v>
      </c>
      <c r="DI28" s="510">
        <v>2684.6</v>
      </c>
      <c r="DJ28" s="659">
        <v>2684.6</v>
      </c>
      <c r="DK28" s="510">
        <v>2684.6</v>
      </c>
      <c r="DL28" s="659">
        <v>2684.6</v>
      </c>
      <c r="DM28" s="659">
        <v>2684.6</v>
      </c>
      <c r="DN28" s="510">
        <v>2684.6</v>
      </c>
      <c r="DO28" s="659">
        <v>2684.6</v>
      </c>
      <c r="DP28" s="478">
        <f t="shared" si="19"/>
        <v>32215.199999999993</v>
      </c>
      <c r="DQ28" s="508"/>
      <c r="DR28" s="577">
        <f t="shared" si="44"/>
        <v>0</v>
      </c>
      <c r="DS28" s="577">
        <f t="shared" si="20"/>
        <v>35500</v>
      </c>
      <c r="DT28" s="577">
        <f t="shared" si="21"/>
        <v>0</v>
      </c>
      <c r="DU28" s="577">
        <f t="shared" si="22"/>
        <v>35000</v>
      </c>
      <c r="DV28" s="577">
        <f t="shared" si="23"/>
        <v>0</v>
      </c>
      <c r="DW28" s="577">
        <f t="shared" si="24"/>
        <v>0</v>
      </c>
      <c r="DX28" s="577">
        <f t="shared" si="25"/>
        <v>0</v>
      </c>
      <c r="DY28" s="577">
        <f t="shared" si="25"/>
        <v>35000</v>
      </c>
      <c r="DZ28" s="577">
        <f t="shared" si="27"/>
        <v>0</v>
      </c>
      <c r="EA28" s="577">
        <f t="shared" si="28"/>
        <v>0</v>
      </c>
      <c r="EB28" s="577">
        <f t="shared" si="29"/>
        <v>0</v>
      </c>
      <c r="EC28" s="634">
        <f t="shared" si="30"/>
        <v>0</v>
      </c>
      <c r="ED28" s="478">
        <f>SUM(DR28:EC28)</f>
        <v>105500</v>
      </c>
      <c r="EE28" s="630"/>
      <c r="EF28" s="632">
        <v>0</v>
      </c>
      <c r="EG28" s="632">
        <f t="shared" si="33"/>
        <v>2684.6</v>
      </c>
      <c r="EH28" s="632">
        <f t="shared" si="34"/>
        <v>2684.6</v>
      </c>
      <c r="EI28" s="632">
        <f t="shared" si="35"/>
        <v>2684.6</v>
      </c>
      <c r="EJ28" s="632">
        <f t="shared" si="36"/>
        <v>2684.6</v>
      </c>
      <c r="EK28" s="632">
        <f t="shared" si="37"/>
        <v>2684.6</v>
      </c>
      <c r="EL28" s="632">
        <f t="shared" si="38"/>
        <v>2684.6</v>
      </c>
      <c r="EM28" s="632">
        <f t="shared" si="39"/>
        <v>2684.6</v>
      </c>
      <c r="EN28" s="632">
        <f t="shared" si="40"/>
        <v>2684.6</v>
      </c>
      <c r="EO28" s="632">
        <f t="shared" si="41"/>
        <v>2684.6</v>
      </c>
      <c r="EP28" s="629">
        <f t="shared" si="42"/>
        <v>2684.6</v>
      </c>
      <c r="EQ28" s="632">
        <f t="shared" si="43"/>
        <v>2684.6</v>
      </c>
      <c r="ER28" s="478">
        <f t="shared" si="9"/>
        <v>29530.599999999995</v>
      </c>
    </row>
    <row r="29" spans="1:148" x14ac:dyDescent="0.2">
      <c r="A29" s="337"/>
      <c r="B29" s="340"/>
      <c r="C29" s="341"/>
      <c r="D29" s="341"/>
      <c r="E29" s="341"/>
      <c r="F29" s="341"/>
      <c r="G29" s="341"/>
      <c r="H29" s="312"/>
      <c r="I29" s="340"/>
      <c r="J29" s="341"/>
      <c r="K29" s="341"/>
      <c r="L29" s="341"/>
      <c r="M29" s="341"/>
      <c r="N29" s="342"/>
      <c r="O29" s="312"/>
      <c r="P29" s="343"/>
      <c r="Q29" s="343"/>
      <c r="R29" s="309"/>
      <c r="S29" s="343"/>
      <c r="T29" s="343"/>
      <c r="U29" s="343"/>
      <c r="V29" s="343"/>
      <c r="W29" s="313"/>
      <c r="X29" s="313"/>
      <c r="Y29" s="313"/>
      <c r="Z29" s="344"/>
      <c r="AA29" s="344"/>
      <c r="AB29" s="314"/>
      <c r="AC29" s="337"/>
      <c r="AD29" s="311"/>
      <c r="AE29" s="311" t="s">
        <v>1202</v>
      </c>
      <c r="AF29" s="512"/>
      <c r="AG29" s="512"/>
      <c r="AH29" s="565"/>
      <c r="AI29" s="512"/>
      <c r="AJ29" s="512"/>
      <c r="AK29" s="512"/>
      <c r="AL29" s="512"/>
      <c r="AM29" s="512"/>
      <c r="AN29" s="512"/>
      <c r="AO29" s="512"/>
      <c r="AP29" s="512"/>
      <c r="AQ29" s="512"/>
      <c r="AR29" s="516"/>
      <c r="AT29" s="311"/>
      <c r="AU29" s="311"/>
      <c r="AW29" s="510"/>
      <c r="AX29" s="510"/>
      <c r="AY29" s="510"/>
      <c r="AZ29" s="510"/>
      <c r="BA29" s="510"/>
      <c r="BC29" s="510"/>
      <c r="BF29" s="510"/>
      <c r="BH29" s="361"/>
      <c r="BI29" s="508"/>
      <c r="BJ29" s="577"/>
      <c r="BK29" s="577"/>
      <c r="BL29" s="481"/>
      <c r="BM29" s="588"/>
      <c r="BN29" s="481"/>
      <c r="BO29" s="481"/>
      <c r="BP29" s="481"/>
      <c r="BQ29" s="109"/>
      <c r="BR29" s="481"/>
      <c r="BS29" s="481">
        <v>850</v>
      </c>
      <c r="BT29" s="481"/>
      <c r="BU29" s="481"/>
      <c r="BV29" s="478"/>
      <c r="BX29" s="577"/>
      <c r="BY29" s="577"/>
      <c r="BZ29" s="481"/>
      <c r="CA29" s="481"/>
      <c r="CB29" s="481"/>
      <c r="CC29" s="481"/>
      <c r="CD29" s="481"/>
      <c r="CE29" s="109"/>
      <c r="CF29" s="481"/>
      <c r="CG29" s="481"/>
      <c r="CH29" s="481"/>
      <c r="CI29" s="481"/>
      <c r="CJ29" s="478"/>
      <c r="CL29" s="627" t="s">
        <v>916</v>
      </c>
      <c r="CM29" s="623" t="s">
        <v>614</v>
      </c>
      <c r="CN29" s="512">
        <v>4000</v>
      </c>
      <c r="CO29" s="512">
        <v>4000</v>
      </c>
      <c r="CP29" s="84">
        <v>5000</v>
      </c>
      <c r="CQ29" s="512">
        <v>5000</v>
      </c>
      <c r="CR29" s="512">
        <v>4000</v>
      </c>
      <c r="CS29" s="512">
        <v>2000</v>
      </c>
      <c r="CT29" s="512">
        <v>15000</v>
      </c>
      <c r="CU29" s="512">
        <v>1500</v>
      </c>
      <c r="CV29" s="512">
        <v>3000</v>
      </c>
      <c r="CW29" s="512">
        <v>4000</v>
      </c>
      <c r="CX29" s="512">
        <v>5000</v>
      </c>
      <c r="CY29" s="512">
        <v>4000</v>
      </c>
      <c r="CZ29" s="516">
        <f t="shared" si="17"/>
        <v>56500</v>
      </c>
      <c r="DB29" s="311" t="str">
        <f t="shared" si="18"/>
        <v>Finance</v>
      </c>
      <c r="DC29" s="311" t="str">
        <f t="shared" si="18"/>
        <v>PricewaterhouseCoopers</v>
      </c>
      <c r="DD29" s="510">
        <v>1402</v>
      </c>
      <c r="DE29" s="510">
        <v>1402</v>
      </c>
      <c r="DF29" s="510">
        <v>1402</v>
      </c>
      <c r="DG29" s="510">
        <v>1402</v>
      </c>
      <c r="DH29" s="510">
        <v>1402</v>
      </c>
      <c r="DI29" s="510">
        <v>1402</v>
      </c>
      <c r="DJ29" s="293">
        <v>1401.916667</v>
      </c>
      <c r="DK29" s="510">
        <v>1402</v>
      </c>
      <c r="DL29" s="510">
        <v>1402</v>
      </c>
      <c r="DM29" s="510">
        <v>1402</v>
      </c>
      <c r="DN29" s="510">
        <v>1401.916667</v>
      </c>
      <c r="DO29" s="510">
        <v>1402</v>
      </c>
      <c r="DP29" s="478">
        <f t="shared" si="19"/>
        <v>16823.833333999999</v>
      </c>
      <c r="DQ29" s="508"/>
      <c r="DR29" s="676">
        <f>3850-970-970</f>
        <v>1910</v>
      </c>
      <c r="DS29" s="577">
        <f t="shared" si="20"/>
        <v>4000</v>
      </c>
      <c r="DT29" s="577">
        <f t="shared" si="21"/>
        <v>5000</v>
      </c>
      <c r="DU29" s="577">
        <f t="shared" si="22"/>
        <v>5000</v>
      </c>
      <c r="DV29" s="577">
        <f t="shared" si="23"/>
        <v>4000</v>
      </c>
      <c r="DW29" s="577">
        <f t="shared" si="24"/>
        <v>2000</v>
      </c>
      <c r="DX29" s="577">
        <f t="shared" si="25"/>
        <v>15000</v>
      </c>
      <c r="DY29" s="577">
        <f t="shared" si="26"/>
        <v>1500</v>
      </c>
      <c r="DZ29" s="577">
        <f t="shared" si="27"/>
        <v>3000</v>
      </c>
      <c r="EA29" s="577">
        <f t="shared" si="28"/>
        <v>4000</v>
      </c>
      <c r="EB29" s="577">
        <f t="shared" si="29"/>
        <v>5000</v>
      </c>
      <c r="EC29" s="634">
        <f t="shared" si="30"/>
        <v>4000</v>
      </c>
      <c r="ED29" s="478">
        <f t="shared" si="31"/>
        <v>54410</v>
      </c>
      <c r="EE29" s="630"/>
      <c r="EF29" s="677">
        <f>970+970</f>
        <v>1940</v>
      </c>
      <c r="EG29" s="632">
        <f t="shared" si="33"/>
        <v>1402</v>
      </c>
      <c r="EH29" s="632">
        <f t="shared" si="34"/>
        <v>1402</v>
      </c>
      <c r="EI29" s="632">
        <f t="shared" si="35"/>
        <v>1402</v>
      </c>
      <c r="EJ29" s="632">
        <f t="shared" si="36"/>
        <v>1402</v>
      </c>
      <c r="EK29" s="632">
        <f t="shared" si="37"/>
        <v>1402</v>
      </c>
      <c r="EL29" s="632">
        <f t="shared" si="38"/>
        <v>1401.916667</v>
      </c>
      <c r="EM29" s="632">
        <f t="shared" si="39"/>
        <v>1402</v>
      </c>
      <c r="EN29" s="632">
        <f t="shared" si="40"/>
        <v>1402</v>
      </c>
      <c r="EO29" s="632">
        <f t="shared" si="41"/>
        <v>1402</v>
      </c>
      <c r="EP29" s="629">
        <f t="shared" si="42"/>
        <v>1401.916667</v>
      </c>
      <c r="EQ29" s="632">
        <f t="shared" si="43"/>
        <v>1402</v>
      </c>
      <c r="ER29" s="478">
        <f t="shared" si="9"/>
        <v>17361.833333999999</v>
      </c>
    </row>
    <row r="30" spans="1:148" x14ac:dyDescent="0.2">
      <c r="A30" s="337" t="s">
        <v>613</v>
      </c>
      <c r="B30" s="340">
        <v>0</v>
      </c>
      <c r="C30" s="341">
        <v>0</v>
      </c>
      <c r="D30" s="341">
        <v>0</v>
      </c>
      <c r="E30" s="341">
        <v>0</v>
      </c>
      <c r="F30" s="341">
        <v>0</v>
      </c>
      <c r="G30" s="341">
        <v>0</v>
      </c>
      <c r="H30" s="312">
        <f>SUM('PRD Sales Forecast'!$B30:$G30)</f>
        <v>0</v>
      </c>
      <c r="I30" s="340">
        <v>0</v>
      </c>
      <c r="J30" s="341">
        <v>0</v>
      </c>
      <c r="K30" s="341">
        <v>0</v>
      </c>
      <c r="L30" s="341">
        <v>0</v>
      </c>
      <c r="M30" s="341">
        <v>0</v>
      </c>
      <c r="N30" s="342">
        <v>0</v>
      </c>
      <c r="O30" s="312">
        <f>SUM('PRD Sales Forecast'!$I30:$N30)</f>
        <v>0</v>
      </c>
      <c r="P30" s="343">
        <v>3000</v>
      </c>
      <c r="Q30" s="343">
        <v>3000</v>
      </c>
      <c r="R30" s="343">
        <v>3000</v>
      </c>
      <c r="S30" s="343">
        <v>15000</v>
      </c>
      <c r="T30" s="343">
        <v>0</v>
      </c>
      <c r="U30" s="343"/>
      <c r="V30" s="343"/>
      <c r="W30" s="313">
        <v>0</v>
      </c>
      <c r="X30" s="313">
        <v>0</v>
      </c>
      <c r="Y30" s="313">
        <v>0</v>
      </c>
      <c r="Z30" s="344">
        <v>0</v>
      </c>
      <c r="AA30" s="344">
        <v>0</v>
      </c>
      <c r="AB30" s="314">
        <f>SUM('PRD Sales Forecast'!$P30:$AA30)</f>
        <v>24000</v>
      </c>
      <c r="AC30" s="337"/>
      <c r="AD30" s="311"/>
      <c r="AE30" s="311" t="s">
        <v>613</v>
      </c>
      <c r="AF30" s="512"/>
      <c r="AG30" s="512"/>
      <c r="AH30" s="512"/>
      <c r="AI30" s="512"/>
      <c r="AJ30" s="512"/>
      <c r="AK30" s="512"/>
      <c r="AL30" s="512"/>
      <c r="AM30" s="512"/>
      <c r="AN30" s="512"/>
      <c r="AO30" s="512"/>
      <c r="AP30" s="512"/>
      <c r="AQ30" s="512"/>
      <c r="AR30" s="516">
        <f t="shared" si="10"/>
        <v>0</v>
      </c>
      <c r="AT30" s="311"/>
      <c r="AU30" s="311" t="s">
        <v>613</v>
      </c>
      <c r="AX30" s="510">
        <v>500</v>
      </c>
      <c r="BA30" s="510">
        <v>7000</v>
      </c>
      <c r="BB30" s="510">
        <v>500</v>
      </c>
      <c r="BE30" s="510">
        <v>1000</v>
      </c>
      <c r="BH30" s="361">
        <f t="shared" si="11"/>
        <v>9000</v>
      </c>
      <c r="BI30" s="508"/>
      <c r="BJ30" s="577">
        <f t="shared" si="12"/>
        <v>0</v>
      </c>
      <c r="BK30" s="577">
        <f t="shared" si="47"/>
        <v>0</v>
      </c>
      <c r="BL30" s="481">
        <f t="shared" si="53"/>
        <v>0</v>
      </c>
      <c r="BM30" s="481">
        <f t="shared" si="54"/>
        <v>0</v>
      </c>
      <c r="BN30" s="481">
        <f t="shared" si="55"/>
        <v>0</v>
      </c>
      <c r="BO30" s="481">
        <f t="shared" si="56"/>
        <v>0</v>
      </c>
      <c r="BP30" s="481">
        <v>0</v>
      </c>
      <c r="BQ30" s="109">
        <v>0</v>
      </c>
      <c r="BR30" s="481">
        <v>0</v>
      </c>
      <c r="BS30" s="481">
        <v>0</v>
      </c>
      <c r="BT30" s="481">
        <v>0</v>
      </c>
      <c r="BU30" s="481">
        <v>0</v>
      </c>
      <c r="BV30" s="478">
        <f t="shared" si="14"/>
        <v>0</v>
      </c>
      <c r="BX30" s="577">
        <f t="shared" si="15"/>
        <v>0</v>
      </c>
      <c r="BY30" s="577">
        <f t="shared" si="48"/>
        <v>0</v>
      </c>
      <c r="BZ30" s="481">
        <v>0</v>
      </c>
      <c r="CA30" s="481">
        <f t="shared" si="50"/>
        <v>0</v>
      </c>
      <c r="CB30" s="481">
        <f t="shared" si="51"/>
        <v>0</v>
      </c>
      <c r="CC30" s="481">
        <v>0</v>
      </c>
      <c r="CD30" s="481">
        <v>0</v>
      </c>
      <c r="CE30" s="109">
        <v>0</v>
      </c>
      <c r="CF30" s="481">
        <v>0</v>
      </c>
      <c r="CG30" s="481">
        <v>0</v>
      </c>
      <c r="CH30" s="481">
        <v>0</v>
      </c>
      <c r="CI30" s="481">
        <v>0</v>
      </c>
      <c r="CJ30" s="478">
        <f t="shared" si="6"/>
        <v>0</v>
      </c>
      <c r="CL30" s="627" t="s">
        <v>921</v>
      </c>
      <c r="CM30" s="623" t="s">
        <v>615</v>
      </c>
      <c r="CN30" s="512">
        <v>3071</v>
      </c>
      <c r="CO30" s="512">
        <v>2881</v>
      </c>
      <c r="CP30" s="84">
        <v>3071</v>
      </c>
      <c r="CQ30" s="512">
        <v>2881</v>
      </c>
      <c r="CR30" s="512">
        <v>3071</v>
      </c>
      <c r="CS30" s="512">
        <v>2881</v>
      </c>
      <c r="CT30" s="512">
        <v>3071</v>
      </c>
      <c r="CU30" s="512">
        <v>3071</v>
      </c>
      <c r="CV30" s="512">
        <v>3071</v>
      </c>
      <c r="CW30" s="512">
        <v>3071</v>
      </c>
      <c r="CX30" s="512">
        <v>3071</v>
      </c>
      <c r="CY30" s="512">
        <v>3071</v>
      </c>
      <c r="CZ30" s="516">
        <f t="shared" si="17"/>
        <v>36282</v>
      </c>
      <c r="DB30" s="311" t="str">
        <f t="shared" si="18"/>
        <v>Other Sectors (Schools, Hospitals, etc)</v>
      </c>
      <c r="DC30" s="311" t="str">
        <f t="shared" si="18"/>
        <v>Royal Society of New South Wales</v>
      </c>
      <c r="DF30" s="510"/>
      <c r="DI30" s="510"/>
      <c r="DJ30" s="510"/>
      <c r="DM30" s="510"/>
      <c r="DP30" s="478">
        <f t="shared" si="19"/>
        <v>0</v>
      </c>
      <c r="DQ30" s="508"/>
      <c r="DR30" s="676">
        <f>CN30-1029+115</f>
        <v>2157</v>
      </c>
      <c r="DS30" s="577">
        <f t="shared" si="20"/>
        <v>2881</v>
      </c>
      <c r="DT30" s="577">
        <f t="shared" si="21"/>
        <v>3071</v>
      </c>
      <c r="DU30" s="577">
        <f t="shared" si="22"/>
        <v>2881</v>
      </c>
      <c r="DV30" s="577">
        <f t="shared" si="23"/>
        <v>3071</v>
      </c>
      <c r="DW30" s="577">
        <f t="shared" si="24"/>
        <v>2881</v>
      </c>
      <c r="DX30" s="577">
        <f t="shared" si="25"/>
        <v>3071</v>
      </c>
      <c r="DY30" s="577">
        <f t="shared" si="26"/>
        <v>3071</v>
      </c>
      <c r="DZ30" s="577">
        <f t="shared" si="27"/>
        <v>3071</v>
      </c>
      <c r="EA30" s="577">
        <f t="shared" si="28"/>
        <v>3071</v>
      </c>
      <c r="EB30" s="577">
        <f t="shared" si="29"/>
        <v>3071</v>
      </c>
      <c r="EC30" s="634">
        <f t="shared" si="30"/>
        <v>3071</v>
      </c>
      <c r="ED30" s="478">
        <f t="shared" si="31"/>
        <v>35368</v>
      </c>
      <c r="EE30" s="630"/>
      <c r="EF30" s="677">
        <v>1029</v>
      </c>
      <c r="EG30" s="632">
        <f t="shared" si="33"/>
        <v>0</v>
      </c>
      <c r="EH30" s="632">
        <f t="shared" si="34"/>
        <v>0</v>
      </c>
      <c r="EI30" s="632">
        <f t="shared" si="35"/>
        <v>0</v>
      </c>
      <c r="EJ30" s="632">
        <f t="shared" si="36"/>
        <v>0</v>
      </c>
      <c r="EK30" s="632">
        <f t="shared" si="37"/>
        <v>0</v>
      </c>
      <c r="EL30" s="632">
        <f t="shared" si="38"/>
        <v>0</v>
      </c>
      <c r="EM30" s="632">
        <f t="shared" si="39"/>
        <v>0</v>
      </c>
      <c r="EN30" s="632">
        <f t="shared" si="40"/>
        <v>0</v>
      </c>
      <c r="EO30" s="632">
        <f t="shared" si="41"/>
        <v>0</v>
      </c>
      <c r="EP30" s="629">
        <f t="shared" si="42"/>
        <v>0</v>
      </c>
      <c r="EQ30" s="632">
        <f t="shared" si="43"/>
        <v>0</v>
      </c>
      <c r="ER30" s="478">
        <f t="shared" si="9"/>
        <v>1029</v>
      </c>
    </row>
    <row r="31" spans="1:148" x14ac:dyDescent="0.2">
      <c r="A31" s="337" t="s">
        <v>614</v>
      </c>
      <c r="B31" s="340">
        <v>1815</v>
      </c>
      <c r="C31" s="341">
        <v>995</v>
      </c>
      <c r="D31" s="341">
        <v>4907.25</v>
      </c>
      <c r="E31" s="341">
        <v>4881.75</v>
      </c>
      <c r="F31" s="341">
        <v>4527.25</v>
      </c>
      <c r="G31" s="341">
        <v>0</v>
      </c>
      <c r="H31" s="312">
        <f>SUM('PRD Sales Forecast'!$B31:$G31)</f>
        <v>17126.25</v>
      </c>
      <c r="I31" s="340">
        <v>0</v>
      </c>
      <c r="J31" s="341">
        <v>2465</v>
      </c>
      <c r="K31" s="341">
        <v>1133.25</v>
      </c>
      <c r="L31" s="341">
        <v>250</v>
      </c>
      <c r="M31" s="341">
        <v>0</v>
      </c>
      <c r="N31" s="342">
        <v>0</v>
      </c>
      <c r="O31" s="312">
        <f>SUM('PRD Sales Forecast'!$I31:$N31)</f>
        <v>3848.25</v>
      </c>
      <c r="P31" s="343">
        <v>3500</v>
      </c>
      <c r="Q31" s="343">
        <v>3500</v>
      </c>
      <c r="R31" s="343">
        <v>3500</v>
      </c>
      <c r="S31" s="343">
        <v>3500</v>
      </c>
      <c r="T31" s="343">
        <v>3500</v>
      </c>
      <c r="U31" s="343"/>
      <c r="V31" s="343"/>
      <c r="W31" s="343">
        <v>3500</v>
      </c>
      <c r="X31" s="343">
        <v>3500</v>
      </c>
      <c r="Y31" s="343">
        <v>3500</v>
      </c>
      <c r="Z31" s="343">
        <v>3500</v>
      </c>
      <c r="AA31" s="343">
        <v>3500</v>
      </c>
      <c r="AB31" s="314">
        <f>SUM('PRD Sales Forecast'!$P31:$AA31)</f>
        <v>35000</v>
      </c>
      <c r="AC31" s="337"/>
      <c r="AD31" s="311"/>
      <c r="AE31" s="311" t="s">
        <v>614</v>
      </c>
      <c r="AF31" s="512">
        <v>3000</v>
      </c>
      <c r="AG31" s="565">
        <v>3000</v>
      </c>
      <c r="AH31" s="565">
        <v>4500</v>
      </c>
      <c r="AI31" s="512">
        <v>10000</v>
      </c>
      <c r="AJ31" s="512">
        <v>9000</v>
      </c>
      <c r="AK31" s="512">
        <v>3000</v>
      </c>
      <c r="AL31" s="512"/>
      <c r="AM31" s="512"/>
      <c r="AN31" s="512">
        <v>4000</v>
      </c>
      <c r="AO31" s="512">
        <v>2000</v>
      </c>
      <c r="AP31" s="512">
        <v>5000</v>
      </c>
      <c r="AQ31" s="512">
        <v>1500</v>
      </c>
      <c r="AR31" s="516">
        <f t="shared" si="10"/>
        <v>45000</v>
      </c>
      <c r="AT31" s="311"/>
      <c r="AU31" s="311" t="s">
        <v>614</v>
      </c>
      <c r="AV31" s="510">
        <v>2000</v>
      </c>
      <c r="AW31" s="510">
        <v>4000</v>
      </c>
      <c r="AX31" s="510">
        <v>2500</v>
      </c>
      <c r="AY31" s="510">
        <v>4500</v>
      </c>
      <c r="AZ31" s="510">
        <v>3000</v>
      </c>
      <c r="BA31" s="510">
        <v>2000</v>
      </c>
      <c r="BC31" s="510">
        <v>1000</v>
      </c>
      <c r="BD31" s="510">
        <v>3000</v>
      </c>
      <c r="BE31" s="510">
        <v>1000</v>
      </c>
      <c r="BG31" s="510">
        <v>1000</v>
      </c>
      <c r="BH31" s="361">
        <f t="shared" si="11"/>
        <v>24000</v>
      </c>
      <c r="BI31" s="508"/>
      <c r="BJ31" s="577">
        <v>2915</v>
      </c>
      <c r="BK31" s="577">
        <v>0</v>
      </c>
      <c r="BL31" s="481">
        <v>0</v>
      </c>
      <c r="BM31" s="481">
        <v>1428.6</v>
      </c>
      <c r="BN31" s="481">
        <v>8260</v>
      </c>
      <c r="BO31" s="481">
        <v>4815</v>
      </c>
      <c r="BP31" s="481">
        <v>840</v>
      </c>
      <c r="BQ31" s="109">
        <v>8601.75</v>
      </c>
      <c r="BR31" s="481">
        <v>1680</v>
      </c>
      <c r="BS31" s="481">
        <v>2180</v>
      </c>
      <c r="BT31" s="481">
        <v>5000</v>
      </c>
      <c r="BU31" s="481">
        <v>10000</v>
      </c>
      <c r="BV31" s="478">
        <f t="shared" si="14"/>
        <v>45720.35</v>
      </c>
      <c r="BX31" s="577">
        <v>2910</v>
      </c>
      <c r="BY31" s="577">
        <v>0</v>
      </c>
      <c r="BZ31" s="481">
        <v>0</v>
      </c>
      <c r="CA31" s="481">
        <v>970</v>
      </c>
      <c r="CB31" s="481">
        <v>5140</v>
      </c>
      <c r="CC31" s="481">
        <v>0</v>
      </c>
      <c r="CD31" s="481">
        <v>970</v>
      </c>
      <c r="CE31" s="109">
        <v>3893</v>
      </c>
      <c r="CF31" s="481">
        <v>1940</v>
      </c>
      <c r="CG31" s="481">
        <v>0</v>
      </c>
      <c r="CH31" s="481">
        <v>0</v>
      </c>
      <c r="CI31" s="481">
        <v>1000</v>
      </c>
      <c r="CJ31" s="478">
        <f t="shared" si="6"/>
        <v>16823</v>
      </c>
      <c r="CL31" s="627" t="s">
        <v>1207</v>
      </c>
      <c r="CM31" s="623" t="s">
        <v>1052</v>
      </c>
      <c r="CN31" s="512"/>
      <c r="CO31" s="565"/>
      <c r="CP31" s="84"/>
      <c r="CQ31" s="512"/>
      <c r="CR31" s="512"/>
      <c r="CS31" s="512">
        <v>5000</v>
      </c>
      <c r="CT31" s="512"/>
      <c r="CU31" s="512"/>
      <c r="CV31" s="512"/>
      <c r="CW31" s="512"/>
      <c r="CX31" s="512"/>
      <c r="CY31" s="512"/>
      <c r="CZ31" s="516">
        <f t="shared" si="17"/>
        <v>5000</v>
      </c>
      <c r="DB31" s="311" t="str">
        <f t="shared" si="18"/>
        <v>Education</v>
      </c>
      <c r="DC31" s="311" t="str">
        <f t="shared" si="18"/>
        <v>St Catherines</v>
      </c>
      <c r="DD31" s="510"/>
      <c r="DE31" s="510"/>
      <c r="DF31" s="510"/>
      <c r="DG31" s="510"/>
      <c r="DH31" s="510"/>
      <c r="DI31" s="510"/>
      <c r="DK31" s="510"/>
      <c r="DL31" s="510"/>
      <c r="DM31" s="510"/>
      <c r="DO31" s="510"/>
      <c r="DP31" s="478">
        <f t="shared" si="19"/>
        <v>0</v>
      </c>
      <c r="DQ31" s="508"/>
      <c r="DR31" s="577">
        <f t="shared" si="44"/>
        <v>0</v>
      </c>
      <c r="DS31" s="577">
        <f t="shared" si="20"/>
        <v>0</v>
      </c>
      <c r="DT31" s="577">
        <f t="shared" si="21"/>
        <v>0</v>
      </c>
      <c r="DU31" s="577">
        <f t="shared" si="22"/>
        <v>0</v>
      </c>
      <c r="DV31" s="577">
        <f t="shared" si="23"/>
        <v>0</v>
      </c>
      <c r="DW31" s="577">
        <f t="shared" si="24"/>
        <v>5000</v>
      </c>
      <c r="DX31" s="577">
        <f t="shared" si="25"/>
        <v>0</v>
      </c>
      <c r="DY31" s="577">
        <f t="shared" si="26"/>
        <v>0</v>
      </c>
      <c r="DZ31" s="577">
        <f t="shared" si="27"/>
        <v>0</v>
      </c>
      <c r="EA31" s="577">
        <f t="shared" si="28"/>
        <v>0</v>
      </c>
      <c r="EB31" s="577">
        <f t="shared" si="29"/>
        <v>0</v>
      </c>
      <c r="EC31" s="634">
        <f t="shared" si="30"/>
        <v>0</v>
      </c>
      <c r="ED31" s="478">
        <f t="shared" si="31"/>
        <v>5000</v>
      </c>
      <c r="EE31" s="630"/>
      <c r="EF31" s="632">
        <f t="shared" si="32"/>
        <v>0</v>
      </c>
      <c r="EG31" s="632">
        <f t="shared" si="33"/>
        <v>0</v>
      </c>
      <c r="EH31" s="632">
        <f t="shared" si="34"/>
        <v>0</v>
      </c>
      <c r="EI31" s="632">
        <f t="shared" si="35"/>
        <v>0</v>
      </c>
      <c r="EJ31" s="632">
        <f t="shared" si="36"/>
        <v>0</v>
      </c>
      <c r="EK31" s="632">
        <f t="shared" si="37"/>
        <v>0</v>
      </c>
      <c r="EL31" s="632">
        <f t="shared" si="38"/>
        <v>0</v>
      </c>
      <c r="EM31" s="632">
        <f t="shared" si="39"/>
        <v>0</v>
      </c>
      <c r="EN31" s="632">
        <f t="shared" si="40"/>
        <v>0</v>
      </c>
      <c r="EO31" s="632">
        <f t="shared" si="41"/>
        <v>0</v>
      </c>
      <c r="EP31" s="629">
        <f t="shared" si="42"/>
        <v>0</v>
      </c>
      <c r="EQ31" s="632">
        <f t="shared" si="43"/>
        <v>0</v>
      </c>
      <c r="ER31" s="478">
        <f t="shared" si="9"/>
        <v>0</v>
      </c>
    </row>
    <row r="32" spans="1:148" x14ac:dyDescent="0.2">
      <c r="A32" s="337" t="s">
        <v>615</v>
      </c>
      <c r="B32" s="340">
        <v>0</v>
      </c>
      <c r="C32" s="341">
        <v>17921.8</v>
      </c>
      <c r="D32" s="341">
        <v>500</v>
      </c>
      <c r="E32" s="341">
        <v>0</v>
      </c>
      <c r="F32" s="341">
        <v>0</v>
      </c>
      <c r="G32" s="341">
        <v>0</v>
      </c>
      <c r="H32" s="312">
        <f>SUM('PRD Sales Forecast'!$B32:$G32)</f>
        <v>18421.8</v>
      </c>
      <c r="I32" s="340">
        <v>0</v>
      </c>
      <c r="J32" s="341">
        <v>18351.2</v>
      </c>
      <c r="K32" s="341">
        <v>0</v>
      </c>
      <c r="L32" s="341">
        <v>0</v>
      </c>
      <c r="M32" s="341">
        <v>0</v>
      </c>
      <c r="N32" s="342">
        <v>0</v>
      </c>
      <c r="O32" s="312">
        <f>SUM('PRD Sales Forecast'!$I32:$N32)</f>
        <v>18351.2</v>
      </c>
      <c r="P32" s="343"/>
      <c r="Q32" s="343">
        <v>2700</v>
      </c>
      <c r="R32" s="343"/>
      <c r="S32" s="343">
        <v>2700</v>
      </c>
      <c r="T32" s="343">
        <v>15000</v>
      </c>
      <c r="U32" s="343">
        <v>2700</v>
      </c>
      <c r="V32" s="343"/>
      <c r="W32" s="343">
        <v>2700</v>
      </c>
      <c r="X32" s="343"/>
      <c r="Y32" s="343">
        <v>2700</v>
      </c>
      <c r="Z32" s="344"/>
      <c r="AA32" s="343">
        <v>2700</v>
      </c>
      <c r="AB32" s="314">
        <f>SUM('PRD Sales Forecast'!$P32:$AA32)</f>
        <v>31200</v>
      </c>
      <c r="AC32" s="337"/>
      <c r="AD32" s="311"/>
      <c r="AE32" s="311" t="s">
        <v>615</v>
      </c>
      <c r="AF32" s="512"/>
      <c r="AG32" s="512">
        <v>2000</v>
      </c>
      <c r="AH32" s="512"/>
      <c r="AI32" s="512">
        <v>2000</v>
      </c>
      <c r="AJ32" s="512"/>
      <c r="AK32" s="512">
        <v>2000</v>
      </c>
      <c r="AL32" s="512"/>
      <c r="AM32" s="512">
        <v>2000</v>
      </c>
      <c r="AN32" s="512"/>
      <c r="AO32" s="512">
        <v>2000</v>
      </c>
      <c r="AP32" s="512"/>
      <c r="AQ32" s="512">
        <v>2000</v>
      </c>
      <c r="AR32" s="516">
        <f t="shared" si="10"/>
        <v>12000</v>
      </c>
      <c r="AT32" s="311"/>
      <c r="AU32" s="311" t="s">
        <v>615</v>
      </c>
      <c r="AW32" s="510">
        <v>1000</v>
      </c>
      <c r="AY32" s="510">
        <v>1000</v>
      </c>
      <c r="BA32" s="510">
        <v>1000</v>
      </c>
      <c r="BC32" s="510">
        <v>1000</v>
      </c>
      <c r="BE32" s="510">
        <v>1000</v>
      </c>
      <c r="BG32" s="510">
        <v>1000</v>
      </c>
      <c r="BH32" s="361">
        <f t="shared" si="11"/>
        <v>6000</v>
      </c>
      <c r="BI32" s="508"/>
      <c r="BJ32" s="577">
        <f t="shared" si="12"/>
        <v>0</v>
      </c>
      <c r="BK32" s="577">
        <v>2377.5</v>
      </c>
      <c r="BL32" s="481">
        <f t="shared" si="53"/>
        <v>0</v>
      </c>
      <c r="BM32" s="481">
        <v>2377.5</v>
      </c>
      <c r="BN32" s="481" t="s">
        <v>1005</v>
      </c>
      <c r="BO32" s="481">
        <v>2335</v>
      </c>
      <c r="BP32" s="481" t="s">
        <v>1005</v>
      </c>
      <c r="BQ32" s="109">
        <v>1852</v>
      </c>
      <c r="BR32" s="481" t="s">
        <v>1005</v>
      </c>
      <c r="BS32" s="481">
        <v>2052</v>
      </c>
      <c r="BT32" s="481" t="s">
        <v>1005</v>
      </c>
      <c r="BU32" s="481">
        <v>3400</v>
      </c>
      <c r="BV32" s="478">
        <f t="shared" si="14"/>
        <v>14394</v>
      </c>
      <c r="BX32" s="577">
        <f t="shared" si="15"/>
        <v>0</v>
      </c>
      <c r="BY32" s="577">
        <v>1029</v>
      </c>
      <c r="BZ32" s="481">
        <f t="shared" si="49"/>
        <v>0</v>
      </c>
      <c r="CA32" s="481">
        <v>1029</v>
      </c>
      <c r="CB32" s="481">
        <f t="shared" si="51"/>
        <v>0</v>
      </c>
      <c r="CC32" s="481">
        <v>1029</v>
      </c>
      <c r="CD32" s="481">
        <v>0</v>
      </c>
      <c r="CE32" s="109">
        <v>1029</v>
      </c>
      <c r="CF32" s="481">
        <v>0</v>
      </c>
      <c r="CG32" s="481">
        <v>1029</v>
      </c>
      <c r="CH32" s="481">
        <v>0</v>
      </c>
      <c r="CI32" s="481">
        <v>1000</v>
      </c>
      <c r="CJ32" s="478">
        <f t="shared" si="6"/>
        <v>6145</v>
      </c>
      <c r="CL32" s="627" t="s">
        <v>919</v>
      </c>
      <c r="CM32" s="623" t="s">
        <v>1145</v>
      </c>
      <c r="CN32" s="512"/>
      <c r="CO32" s="512">
        <v>13337</v>
      </c>
      <c r="CP32" s="512"/>
      <c r="CQ32" s="512"/>
      <c r="CR32" s="512"/>
      <c r="CS32" s="512"/>
      <c r="CT32" s="512"/>
      <c r="CU32" s="512">
        <v>13500</v>
      </c>
      <c r="CV32" s="512"/>
      <c r="CW32" s="512"/>
      <c r="CX32" s="512"/>
      <c r="CY32" s="512"/>
      <c r="CZ32" s="516">
        <f t="shared" si="17"/>
        <v>26837</v>
      </c>
      <c r="DB32" s="311" t="str">
        <f t="shared" si="18"/>
        <v>Energy, Utilities, Infrastructure</v>
      </c>
      <c r="DC32" s="311" t="str">
        <f t="shared" si="18"/>
        <v>Symal</v>
      </c>
      <c r="DE32" s="510"/>
      <c r="DG32" s="510"/>
      <c r="DI32" s="510"/>
      <c r="DK32" s="510"/>
      <c r="DM32" s="510"/>
      <c r="DO32" s="510"/>
      <c r="DP32" s="478">
        <f t="shared" si="19"/>
        <v>0</v>
      </c>
      <c r="DQ32" s="508"/>
      <c r="DR32" s="577">
        <f t="shared" si="44"/>
        <v>0</v>
      </c>
      <c r="DS32" s="577">
        <f t="shared" si="20"/>
        <v>13337</v>
      </c>
      <c r="DT32" s="577">
        <f t="shared" si="21"/>
        <v>0</v>
      </c>
      <c r="DU32" s="577">
        <f t="shared" si="22"/>
        <v>0</v>
      </c>
      <c r="DV32" s="577">
        <f t="shared" si="23"/>
        <v>0</v>
      </c>
      <c r="DW32" s="577">
        <f t="shared" si="24"/>
        <v>0</v>
      </c>
      <c r="DX32" s="577">
        <f t="shared" si="25"/>
        <v>0</v>
      </c>
      <c r="DY32" s="577">
        <f t="shared" si="26"/>
        <v>13500</v>
      </c>
      <c r="DZ32" s="577">
        <f t="shared" si="27"/>
        <v>0</v>
      </c>
      <c r="EA32" s="577">
        <f t="shared" si="28"/>
        <v>0</v>
      </c>
      <c r="EB32" s="577">
        <f t="shared" si="29"/>
        <v>0</v>
      </c>
      <c r="EC32" s="634">
        <f t="shared" si="30"/>
        <v>0</v>
      </c>
      <c r="ED32" s="478">
        <f t="shared" si="31"/>
        <v>26837</v>
      </c>
      <c r="EE32" s="630"/>
      <c r="EF32" s="632">
        <f t="shared" si="32"/>
        <v>0</v>
      </c>
      <c r="EG32" s="632">
        <f t="shared" si="33"/>
        <v>0</v>
      </c>
      <c r="EH32" s="632">
        <f t="shared" si="34"/>
        <v>0</v>
      </c>
      <c r="EI32" s="632">
        <f t="shared" si="35"/>
        <v>0</v>
      </c>
      <c r="EJ32" s="632">
        <f t="shared" si="36"/>
        <v>0</v>
      </c>
      <c r="EK32" s="632">
        <f t="shared" si="37"/>
        <v>0</v>
      </c>
      <c r="EL32" s="632">
        <f t="shared" si="38"/>
        <v>0</v>
      </c>
      <c r="EM32" s="632">
        <f t="shared" si="39"/>
        <v>0</v>
      </c>
      <c r="EN32" s="632">
        <f t="shared" si="40"/>
        <v>0</v>
      </c>
      <c r="EO32" s="632">
        <f t="shared" si="41"/>
        <v>0</v>
      </c>
      <c r="EP32" s="629">
        <f t="shared" si="42"/>
        <v>0</v>
      </c>
      <c r="EQ32" s="632">
        <f t="shared" si="43"/>
        <v>0</v>
      </c>
      <c r="ER32" s="478">
        <f t="shared" si="9"/>
        <v>0</v>
      </c>
    </row>
    <row r="33" spans="1:148" x14ac:dyDescent="0.2">
      <c r="A33" s="337" t="s">
        <v>616</v>
      </c>
      <c r="B33" s="306"/>
      <c r="H33" s="308">
        <f>SUM('PRD Sales Forecast'!$B33:$G33)</f>
        <v>0</v>
      </c>
      <c r="I33" s="306"/>
      <c r="N33" s="307"/>
      <c r="O33" s="308">
        <f>SUM('PRD Sales Forecast'!$I33:$N33)</f>
        <v>0</v>
      </c>
      <c r="P33" s="309"/>
      <c r="Q33" s="309">
        <v>12500</v>
      </c>
      <c r="R33" s="309"/>
      <c r="S33" s="309">
        <v>25000</v>
      </c>
      <c r="T33" s="309"/>
      <c r="U33" s="309"/>
      <c r="V33" s="313"/>
      <c r="W33" s="309">
        <v>12500</v>
      </c>
      <c r="X33" s="313"/>
      <c r="Y33" s="313"/>
      <c r="Z33" s="344"/>
      <c r="AA33" s="344"/>
      <c r="AB33" s="314">
        <f>SUM('PRD Sales Forecast'!$P33:$AA33)</f>
        <v>50000</v>
      </c>
      <c r="AC33" s="337"/>
      <c r="AD33" s="311"/>
      <c r="AE33" s="311" t="s">
        <v>616</v>
      </c>
      <c r="AF33" s="512"/>
      <c r="AG33" s="512">
        <v>12000</v>
      </c>
      <c r="AH33" s="512"/>
      <c r="AI33" s="512">
        <v>33000</v>
      </c>
      <c r="AJ33" s="512"/>
      <c r="AK33" s="512"/>
      <c r="AL33" s="512"/>
      <c r="AM33" s="512">
        <v>8000</v>
      </c>
      <c r="AN33" s="512"/>
      <c r="AO33" s="512"/>
      <c r="AP33" s="512"/>
      <c r="AQ33" s="512"/>
      <c r="AR33" s="516">
        <f t="shared" si="10"/>
        <v>53000</v>
      </c>
      <c r="AT33" s="311"/>
      <c r="AU33" s="311" t="s">
        <v>616</v>
      </c>
      <c r="AY33" s="510">
        <v>3000</v>
      </c>
      <c r="BH33" s="361">
        <f t="shared" si="11"/>
        <v>3000</v>
      </c>
      <c r="BI33" s="508"/>
      <c r="BJ33" s="577">
        <f t="shared" si="12"/>
        <v>0</v>
      </c>
      <c r="BK33" s="577">
        <v>11876</v>
      </c>
      <c r="BL33" s="481">
        <f t="shared" si="53"/>
        <v>0</v>
      </c>
      <c r="BM33" s="481">
        <v>31362</v>
      </c>
      <c r="BN33" s="481">
        <f t="shared" si="55"/>
        <v>0</v>
      </c>
      <c r="BO33" s="481">
        <f t="shared" si="56"/>
        <v>0</v>
      </c>
      <c r="BP33" s="481">
        <v>0</v>
      </c>
      <c r="BQ33" s="109">
        <v>7512.83</v>
      </c>
      <c r="BR33" s="481">
        <v>0</v>
      </c>
      <c r="BS33" s="481">
        <v>0</v>
      </c>
      <c r="BT33" s="481">
        <v>0</v>
      </c>
      <c r="BU33" s="481">
        <v>0</v>
      </c>
      <c r="BV33" s="478">
        <f t="shared" si="14"/>
        <v>50750.83</v>
      </c>
      <c r="BX33" s="577">
        <f t="shared" si="15"/>
        <v>0</v>
      </c>
      <c r="BY33" s="577">
        <v>68</v>
      </c>
      <c r="BZ33" s="481">
        <f t="shared" si="49"/>
        <v>0</v>
      </c>
      <c r="CA33" s="481">
        <v>2700</v>
      </c>
      <c r="CB33" s="481">
        <f t="shared" si="51"/>
        <v>0</v>
      </c>
      <c r="CC33" s="481">
        <f t="shared" si="52"/>
        <v>0</v>
      </c>
      <c r="CD33" s="481">
        <v>0</v>
      </c>
      <c r="CE33" s="109">
        <v>52</v>
      </c>
      <c r="CF33" s="481">
        <v>0</v>
      </c>
      <c r="CG33" s="481">
        <v>0</v>
      </c>
      <c r="CH33" s="481">
        <v>0</v>
      </c>
      <c r="CI33" s="481">
        <v>0</v>
      </c>
      <c r="CJ33" s="478">
        <f t="shared" si="6"/>
        <v>2820</v>
      </c>
      <c r="CL33" s="627" t="s">
        <v>921</v>
      </c>
      <c r="CM33" s="623" t="s">
        <v>616</v>
      </c>
      <c r="CN33" s="512"/>
      <c r="CO33" s="512">
        <v>10000</v>
      </c>
      <c r="CP33" s="512"/>
      <c r="CQ33" s="512"/>
      <c r="CR33" s="512"/>
      <c r="CS33" s="512"/>
      <c r="CT33" s="512"/>
      <c r="CU33" s="512">
        <v>10000</v>
      </c>
      <c r="CV33" s="512"/>
      <c r="CW33" s="512"/>
      <c r="CX33" s="512"/>
      <c r="CY33" s="512">
        <v>7500</v>
      </c>
      <c r="CZ33" s="516">
        <f t="shared" si="17"/>
        <v>27500</v>
      </c>
      <c r="DB33" s="311" t="str">
        <f t="shared" si="18"/>
        <v>Other Sectors (Schools, Hospitals, etc)</v>
      </c>
      <c r="DC33" s="311" t="str">
        <f t="shared" si="18"/>
        <v>TLC</v>
      </c>
      <c r="DG33" s="510"/>
      <c r="DP33" s="478">
        <f t="shared" si="19"/>
        <v>0</v>
      </c>
      <c r="DQ33" s="508"/>
      <c r="DR33" s="577">
        <f t="shared" si="44"/>
        <v>0</v>
      </c>
      <c r="DS33" s="577">
        <f t="shared" si="20"/>
        <v>10000</v>
      </c>
      <c r="DT33" s="577">
        <f t="shared" si="21"/>
        <v>0</v>
      </c>
      <c r="DU33" s="577">
        <f t="shared" si="22"/>
        <v>0</v>
      </c>
      <c r="DV33" s="577">
        <f t="shared" si="23"/>
        <v>0</v>
      </c>
      <c r="DW33" s="577">
        <f t="shared" si="24"/>
        <v>0</v>
      </c>
      <c r="DX33" s="577">
        <f t="shared" si="25"/>
        <v>0</v>
      </c>
      <c r="DY33" s="577">
        <f t="shared" si="26"/>
        <v>10000</v>
      </c>
      <c r="DZ33" s="577">
        <f t="shared" si="27"/>
        <v>0</v>
      </c>
      <c r="EA33" s="577">
        <f t="shared" si="28"/>
        <v>0</v>
      </c>
      <c r="EB33" s="577">
        <f t="shared" si="29"/>
        <v>0</v>
      </c>
      <c r="EC33" s="634">
        <f t="shared" si="30"/>
        <v>7500</v>
      </c>
      <c r="ED33" s="478">
        <f t="shared" si="31"/>
        <v>27500</v>
      </c>
      <c r="EE33" s="630"/>
      <c r="EF33" s="632">
        <f t="shared" si="32"/>
        <v>0</v>
      </c>
      <c r="EG33" s="632">
        <f t="shared" si="33"/>
        <v>0</v>
      </c>
      <c r="EH33" s="632">
        <f t="shared" si="34"/>
        <v>0</v>
      </c>
      <c r="EI33" s="632">
        <f t="shared" si="35"/>
        <v>0</v>
      </c>
      <c r="EJ33" s="632">
        <f t="shared" si="36"/>
        <v>0</v>
      </c>
      <c r="EK33" s="632">
        <f t="shared" si="37"/>
        <v>0</v>
      </c>
      <c r="EL33" s="632">
        <f t="shared" si="38"/>
        <v>0</v>
      </c>
      <c r="EM33" s="632">
        <f t="shared" si="39"/>
        <v>0</v>
      </c>
      <c r="EN33" s="632">
        <f t="shared" si="40"/>
        <v>0</v>
      </c>
      <c r="EO33" s="632">
        <f t="shared" si="41"/>
        <v>0</v>
      </c>
      <c r="EP33" s="629">
        <f t="shared" si="42"/>
        <v>0</v>
      </c>
      <c r="EQ33" s="632">
        <f t="shared" si="43"/>
        <v>0</v>
      </c>
      <c r="ER33" s="478">
        <f t="shared" si="9"/>
        <v>0</v>
      </c>
    </row>
    <row r="34" spans="1:148" ht="12.6" customHeight="1" x14ac:dyDescent="0.2">
      <c r="A34" s="337" t="s">
        <v>617</v>
      </c>
      <c r="B34" s="340">
        <v>0</v>
      </c>
      <c r="C34" s="341">
        <v>0</v>
      </c>
      <c r="D34" s="341">
        <v>4418.8999999999996</v>
      </c>
      <c r="E34" s="341">
        <v>0</v>
      </c>
      <c r="F34" s="341">
        <v>22774.7</v>
      </c>
      <c r="G34" s="341">
        <v>0</v>
      </c>
      <c r="H34" s="312">
        <f>SUM('PRD Sales Forecast'!$B34:$G34)</f>
        <v>27193.599999999999</v>
      </c>
      <c r="I34" s="340">
        <v>4585</v>
      </c>
      <c r="J34" s="341">
        <v>0</v>
      </c>
      <c r="K34" s="341">
        <v>24557.16</v>
      </c>
      <c r="L34" s="341">
        <v>16832</v>
      </c>
      <c r="M34" s="341">
        <v>8028</v>
      </c>
      <c r="N34" s="342">
        <v>8345</v>
      </c>
      <c r="O34" s="312">
        <f>SUM('PRD Sales Forecast'!$I34:$N34)</f>
        <v>62347.16</v>
      </c>
      <c r="P34" s="343">
        <v>0</v>
      </c>
      <c r="Q34" s="343">
        <v>0</v>
      </c>
      <c r="R34" s="343">
        <v>0</v>
      </c>
      <c r="S34" s="343">
        <v>2500</v>
      </c>
      <c r="T34" s="343">
        <v>1000</v>
      </c>
      <c r="U34" s="343">
        <v>0</v>
      </c>
      <c r="V34" s="343">
        <v>0</v>
      </c>
      <c r="W34" s="313">
        <v>0</v>
      </c>
      <c r="X34" s="313">
        <v>0</v>
      </c>
      <c r="Y34" s="313">
        <v>500</v>
      </c>
      <c r="Z34" s="313">
        <v>500</v>
      </c>
      <c r="AA34" s="344">
        <v>0</v>
      </c>
      <c r="AB34" s="314">
        <f>SUM('PRD Sales Forecast'!$P34:$AA34)</f>
        <v>4500</v>
      </c>
      <c r="AC34" s="337"/>
      <c r="AD34" s="311"/>
      <c r="AE34" s="311" t="s">
        <v>617</v>
      </c>
      <c r="AF34" s="512"/>
      <c r="AG34" s="512"/>
      <c r="AH34" s="512"/>
      <c r="AI34" s="512"/>
      <c r="AJ34" s="512"/>
      <c r="AK34" s="512"/>
      <c r="AL34" s="512"/>
      <c r="AM34" s="512"/>
      <c r="AN34" s="512"/>
      <c r="AO34" s="512"/>
      <c r="AP34" s="512"/>
      <c r="AQ34" s="512"/>
      <c r="AR34" s="516">
        <f t="shared" si="10"/>
        <v>0</v>
      </c>
      <c r="AT34" s="311"/>
      <c r="AU34" s="311" t="s">
        <v>617</v>
      </c>
      <c r="BH34" s="361">
        <f t="shared" si="11"/>
        <v>0</v>
      </c>
      <c r="BI34" s="508"/>
      <c r="BJ34" s="577">
        <f t="shared" si="12"/>
        <v>0</v>
      </c>
      <c r="BK34" s="577">
        <f t="shared" si="47"/>
        <v>0</v>
      </c>
      <c r="BL34" s="481">
        <f t="shared" si="53"/>
        <v>0</v>
      </c>
      <c r="BM34" s="481">
        <f t="shared" si="54"/>
        <v>0</v>
      </c>
      <c r="BN34" s="481">
        <f t="shared" si="55"/>
        <v>0</v>
      </c>
      <c r="BO34" s="481">
        <f t="shared" si="56"/>
        <v>0</v>
      </c>
      <c r="BP34" s="481">
        <v>0</v>
      </c>
      <c r="BQ34" s="109">
        <v>0</v>
      </c>
      <c r="BR34" s="481">
        <v>0</v>
      </c>
      <c r="BS34" s="481">
        <v>0</v>
      </c>
      <c r="BT34" s="481">
        <v>0</v>
      </c>
      <c r="BU34" s="481">
        <v>0</v>
      </c>
      <c r="BV34" s="478">
        <f t="shared" si="14"/>
        <v>0</v>
      </c>
      <c r="BX34" s="577">
        <f t="shared" si="15"/>
        <v>0</v>
      </c>
      <c r="BY34" s="577">
        <f t="shared" si="48"/>
        <v>0</v>
      </c>
      <c r="BZ34" s="481">
        <f t="shared" si="49"/>
        <v>0</v>
      </c>
      <c r="CA34" s="481">
        <f t="shared" si="50"/>
        <v>0</v>
      </c>
      <c r="CB34" s="481">
        <f t="shared" si="51"/>
        <v>0</v>
      </c>
      <c r="CC34" s="481">
        <f t="shared" si="52"/>
        <v>0</v>
      </c>
      <c r="CD34" s="481">
        <v>0</v>
      </c>
      <c r="CE34" s="109">
        <v>0</v>
      </c>
      <c r="CF34" s="481">
        <v>0</v>
      </c>
      <c r="CG34" s="481">
        <v>0</v>
      </c>
      <c r="CH34" s="481">
        <v>0</v>
      </c>
      <c r="CI34" s="481">
        <v>0</v>
      </c>
      <c r="CJ34" s="478">
        <f t="shared" si="6"/>
        <v>0</v>
      </c>
      <c r="CL34" s="627" t="s">
        <v>918</v>
      </c>
      <c r="CM34" s="623" t="s">
        <v>1203</v>
      </c>
      <c r="CN34" s="512"/>
      <c r="CO34" s="512"/>
      <c r="CP34" s="512">
        <v>2500</v>
      </c>
      <c r="CQ34" s="512"/>
      <c r="CR34" s="512">
        <v>2500</v>
      </c>
      <c r="CS34" s="512"/>
      <c r="CT34" s="512"/>
      <c r="CU34" s="512">
        <v>2500</v>
      </c>
      <c r="CV34" s="512">
        <v>2500</v>
      </c>
      <c r="CW34" s="512">
        <v>2500</v>
      </c>
      <c r="CX34" s="512"/>
      <c r="CY34" s="512"/>
      <c r="CZ34" s="516">
        <f t="shared" si="17"/>
        <v>12500</v>
      </c>
      <c r="DB34" s="311" t="str">
        <f t="shared" si="18"/>
        <v>IT &amp; Media</v>
      </c>
      <c r="DC34" s="311" t="str">
        <f t="shared" si="18"/>
        <v>Vega</v>
      </c>
      <c r="DP34" s="478">
        <f t="shared" si="19"/>
        <v>0</v>
      </c>
      <c r="DQ34" s="508"/>
      <c r="DR34" s="577">
        <f t="shared" si="44"/>
        <v>0</v>
      </c>
      <c r="DS34" s="577">
        <f t="shared" si="20"/>
        <v>0</v>
      </c>
      <c r="DT34" s="577">
        <f t="shared" si="21"/>
        <v>2500</v>
      </c>
      <c r="DU34" s="577">
        <f t="shared" si="22"/>
        <v>0</v>
      </c>
      <c r="DV34" s="577">
        <f t="shared" si="23"/>
        <v>2500</v>
      </c>
      <c r="DW34" s="577">
        <f t="shared" si="24"/>
        <v>0</v>
      </c>
      <c r="DX34" s="577">
        <f t="shared" si="25"/>
        <v>0</v>
      </c>
      <c r="DY34" s="577">
        <f t="shared" si="26"/>
        <v>2500</v>
      </c>
      <c r="DZ34" s="577">
        <f t="shared" si="27"/>
        <v>2500</v>
      </c>
      <c r="EA34" s="577">
        <f t="shared" si="28"/>
        <v>2500</v>
      </c>
      <c r="EB34" s="577">
        <f t="shared" si="29"/>
        <v>0</v>
      </c>
      <c r="EC34" s="634">
        <f t="shared" si="30"/>
        <v>0</v>
      </c>
      <c r="ED34" s="478">
        <f t="shared" si="31"/>
        <v>12500</v>
      </c>
      <c r="EE34" s="630"/>
      <c r="EF34" s="632">
        <f t="shared" si="32"/>
        <v>0</v>
      </c>
      <c r="EG34" s="632">
        <f t="shared" si="33"/>
        <v>0</v>
      </c>
      <c r="EH34" s="632">
        <f t="shared" si="34"/>
        <v>0</v>
      </c>
      <c r="EI34" s="632">
        <f t="shared" si="35"/>
        <v>0</v>
      </c>
      <c r="EJ34" s="632">
        <f t="shared" si="36"/>
        <v>0</v>
      </c>
      <c r="EK34" s="632">
        <f t="shared" si="37"/>
        <v>0</v>
      </c>
      <c r="EL34" s="632">
        <f t="shared" si="38"/>
        <v>0</v>
      </c>
      <c r="EM34" s="632">
        <f t="shared" si="39"/>
        <v>0</v>
      </c>
      <c r="EN34" s="632">
        <f t="shared" si="40"/>
        <v>0</v>
      </c>
      <c r="EO34" s="632">
        <f t="shared" si="41"/>
        <v>0</v>
      </c>
      <c r="EP34" s="629">
        <f t="shared" si="42"/>
        <v>0</v>
      </c>
      <c r="EQ34" s="632">
        <f t="shared" si="43"/>
        <v>0</v>
      </c>
      <c r="ER34" s="478">
        <f t="shared" si="9"/>
        <v>0</v>
      </c>
    </row>
    <row r="35" spans="1:148" x14ac:dyDescent="0.2">
      <c r="A35" s="337" t="s">
        <v>618</v>
      </c>
      <c r="B35" s="340">
        <v>0</v>
      </c>
      <c r="C35" s="341">
        <v>1087.5</v>
      </c>
      <c r="D35" s="341">
        <v>1125</v>
      </c>
      <c r="E35" s="341">
        <v>1139.5</v>
      </c>
      <c r="F35" s="341">
        <v>750</v>
      </c>
      <c r="G35" s="341">
        <v>1829.5</v>
      </c>
      <c r="H35" s="312">
        <f>SUM('PRD Sales Forecast'!$B35:$G35)</f>
        <v>5931.5</v>
      </c>
      <c r="I35" s="340">
        <v>0</v>
      </c>
      <c r="J35" s="341">
        <v>300</v>
      </c>
      <c r="K35" s="341">
        <v>2065</v>
      </c>
      <c r="L35" s="341">
        <v>0</v>
      </c>
      <c r="M35" s="341">
        <v>0</v>
      </c>
      <c r="N35" s="342">
        <v>453</v>
      </c>
      <c r="O35" s="312">
        <f>SUM('PRD Sales Forecast'!$I35:$N35)</f>
        <v>2818</v>
      </c>
      <c r="P35" s="343"/>
      <c r="Q35" s="343">
        <v>8000</v>
      </c>
      <c r="R35" s="343"/>
      <c r="S35" s="343"/>
      <c r="T35" s="343"/>
      <c r="U35" s="343"/>
      <c r="V35" s="343"/>
      <c r="W35" s="343">
        <v>8000</v>
      </c>
      <c r="X35" s="313"/>
      <c r="Y35" s="313"/>
      <c r="Z35" s="344">
        <v>20000</v>
      </c>
      <c r="AA35" s="344"/>
      <c r="AB35" s="314">
        <f>SUM('PRD Sales Forecast'!$P35:$AA35)</f>
        <v>36000</v>
      </c>
      <c r="AC35" s="337"/>
      <c r="AD35" s="311"/>
      <c r="AE35" s="311" t="s">
        <v>618</v>
      </c>
      <c r="AF35" s="512"/>
      <c r="AG35" s="512">
        <v>12000</v>
      </c>
      <c r="AH35" s="512">
        <v>20000</v>
      </c>
      <c r="AI35" s="512"/>
      <c r="AJ35" s="512"/>
      <c r="AK35" s="512">
        <v>9000</v>
      </c>
      <c r="AL35" s="512">
        <v>9000</v>
      </c>
      <c r="AM35" s="512">
        <v>19000</v>
      </c>
      <c r="AN35" s="512">
        <v>9000</v>
      </c>
      <c r="AO35" s="512">
        <v>14000</v>
      </c>
      <c r="AP35" s="512">
        <v>2000</v>
      </c>
      <c r="AQ35" s="512">
        <v>17000</v>
      </c>
      <c r="AR35" s="516">
        <f t="shared" si="10"/>
        <v>111000</v>
      </c>
      <c r="AT35" s="311"/>
      <c r="AU35" s="311" t="s">
        <v>618</v>
      </c>
      <c r="AX35" s="510">
        <v>2000</v>
      </c>
      <c r="BA35" s="510">
        <v>500</v>
      </c>
      <c r="BB35" s="510">
        <v>1000</v>
      </c>
      <c r="BC35" s="510">
        <v>1000</v>
      </c>
      <c r="BD35" s="510">
        <v>1000</v>
      </c>
      <c r="BE35" s="510">
        <v>2500</v>
      </c>
      <c r="BF35" s="510">
        <v>1000</v>
      </c>
      <c r="BG35" s="510">
        <v>1000</v>
      </c>
      <c r="BH35" s="361">
        <f t="shared" si="11"/>
        <v>10000</v>
      </c>
      <c r="BI35" s="508"/>
      <c r="BJ35" s="577">
        <v>15949.91</v>
      </c>
      <c r="BK35" s="577">
        <v>17812.25</v>
      </c>
      <c r="BL35" s="481">
        <v>19052</v>
      </c>
      <c r="BM35" s="481">
        <v>19652.75</v>
      </c>
      <c r="BN35" s="481">
        <f>15147+15826</f>
        <v>30973</v>
      </c>
      <c r="BO35" s="481">
        <v>9505.5</v>
      </c>
      <c r="BP35" s="481">
        <v>0</v>
      </c>
      <c r="BQ35" s="109">
        <v>25220.23</v>
      </c>
      <c r="BR35" s="481">
        <v>39777</v>
      </c>
      <c r="BS35" s="481">
        <v>61522.5</v>
      </c>
      <c r="BT35" s="481">
        <v>7000</v>
      </c>
      <c r="BU35" s="481">
        <v>12000</v>
      </c>
      <c r="BV35" s="478">
        <f t="shared" si="14"/>
        <v>258465.14</v>
      </c>
      <c r="BX35" s="577">
        <v>1085</v>
      </c>
      <c r="BY35" s="577">
        <v>1085</v>
      </c>
      <c r="BZ35" s="481">
        <v>4185</v>
      </c>
      <c r="CA35" s="481">
        <v>2205</v>
      </c>
      <c r="CB35" s="481">
        <f>1400+2875</f>
        <v>4275</v>
      </c>
      <c r="CC35" s="481">
        <v>1496.25</v>
      </c>
      <c r="CD35" s="481">
        <v>0</v>
      </c>
      <c r="CE35" s="109">
        <v>1085</v>
      </c>
      <c r="CF35" s="481">
        <v>3160</v>
      </c>
      <c r="CG35" s="481">
        <v>9778</v>
      </c>
      <c r="CH35" s="481">
        <v>1000</v>
      </c>
      <c r="CI35" s="481">
        <v>1000</v>
      </c>
      <c r="CJ35" s="478">
        <f t="shared" si="6"/>
        <v>30354.25</v>
      </c>
      <c r="CL35" s="627" t="s">
        <v>919</v>
      </c>
      <c r="CM35" s="670" t="s">
        <v>618</v>
      </c>
      <c r="CN35" s="512">
        <v>9000</v>
      </c>
      <c r="CO35" s="512">
        <v>18000</v>
      </c>
      <c r="CP35" s="512">
        <v>20000</v>
      </c>
      <c r="CQ35" s="512">
        <v>15000</v>
      </c>
      <c r="CR35" s="512">
        <v>30000</v>
      </c>
      <c r="CS35" s="512">
        <v>4000</v>
      </c>
      <c r="CT35" s="512">
        <v>4000</v>
      </c>
      <c r="CU35" s="512">
        <v>40000</v>
      </c>
      <c r="CV35" s="512">
        <v>30000</v>
      </c>
      <c r="CW35" s="512">
        <v>45000</v>
      </c>
      <c r="CX35" s="512">
        <v>15000</v>
      </c>
      <c r="CY35" s="512">
        <v>15000</v>
      </c>
      <c r="CZ35" s="516">
        <f t="shared" si="17"/>
        <v>245000</v>
      </c>
      <c r="DB35" s="311" t="str">
        <f t="shared" si="18"/>
        <v>Energy, Utilities, Infrastructure</v>
      </c>
      <c r="DC35" s="311" t="str">
        <f t="shared" si="18"/>
        <v>Ventia</v>
      </c>
      <c r="DD35" s="659">
        <v>2529.52</v>
      </c>
      <c r="DE35" s="659">
        <v>2529.52</v>
      </c>
      <c r="DF35" s="510">
        <v>2529.52</v>
      </c>
      <c r="DG35" s="659">
        <v>2529.52</v>
      </c>
      <c r="DH35" s="659">
        <v>2529.52</v>
      </c>
      <c r="DI35" s="510">
        <v>2529.52</v>
      </c>
      <c r="DJ35" s="510">
        <v>2529.52</v>
      </c>
      <c r="DK35" s="510">
        <v>2529.52</v>
      </c>
      <c r="DL35" s="510">
        <v>2529.52</v>
      </c>
      <c r="DM35" s="510">
        <v>2529.52</v>
      </c>
      <c r="DN35" s="510">
        <v>2529.52</v>
      </c>
      <c r="DO35" s="510">
        <v>2529.52</v>
      </c>
      <c r="DP35" s="478">
        <f t="shared" si="19"/>
        <v>30354.240000000002</v>
      </c>
      <c r="DQ35" s="508"/>
      <c r="DR35" s="676">
        <f>11570+52749.78-142.5+862.5</f>
        <v>65039.78</v>
      </c>
      <c r="DS35" s="577">
        <f t="shared" si="20"/>
        <v>18000</v>
      </c>
      <c r="DT35" s="577">
        <f t="shared" si="21"/>
        <v>20000</v>
      </c>
      <c r="DU35" s="577">
        <f t="shared" si="22"/>
        <v>15000</v>
      </c>
      <c r="DV35" s="577">
        <f t="shared" si="23"/>
        <v>30000</v>
      </c>
      <c r="DW35" s="577">
        <f t="shared" si="24"/>
        <v>4000</v>
      </c>
      <c r="DX35" s="577">
        <f t="shared" si="25"/>
        <v>4000</v>
      </c>
      <c r="DY35" s="577">
        <f t="shared" si="26"/>
        <v>40000</v>
      </c>
      <c r="DZ35" s="577">
        <f t="shared" si="27"/>
        <v>30000</v>
      </c>
      <c r="EA35" s="577">
        <f t="shared" si="28"/>
        <v>45000</v>
      </c>
      <c r="EB35" s="577">
        <f t="shared" si="29"/>
        <v>15000</v>
      </c>
      <c r="EC35" s="634">
        <f t="shared" si="30"/>
        <v>15000</v>
      </c>
      <c r="ED35" s="478">
        <f t="shared" si="31"/>
        <v>301039.78000000003</v>
      </c>
      <c r="EE35" s="630"/>
      <c r="EF35" s="632">
        <v>0</v>
      </c>
      <c r="EG35" s="632">
        <f t="shared" si="33"/>
        <v>2529.52</v>
      </c>
      <c r="EH35" s="632">
        <f t="shared" si="34"/>
        <v>2529.52</v>
      </c>
      <c r="EI35" s="632">
        <f t="shared" si="35"/>
        <v>2529.52</v>
      </c>
      <c r="EJ35" s="632">
        <f t="shared" si="36"/>
        <v>2529.52</v>
      </c>
      <c r="EK35" s="632">
        <f t="shared" si="37"/>
        <v>2529.52</v>
      </c>
      <c r="EL35" s="632">
        <f t="shared" si="38"/>
        <v>2529.52</v>
      </c>
      <c r="EM35" s="632">
        <f t="shared" si="39"/>
        <v>2529.52</v>
      </c>
      <c r="EN35" s="632">
        <f t="shared" si="40"/>
        <v>2529.52</v>
      </c>
      <c r="EO35" s="632">
        <f t="shared" si="41"/>
        <v>2529.52</v>
      </c>
      <c r="EP35" s="629">
        <f t="shared" si="42"/>
        <v>2529.52</v>
      </c>
      <c r="EQ35" s="632">
        <f t="shared" si="43"/>
        <v>2529.52</v>
      </c>
      <c r="ER35" s="478">
        <f t="shared" si="9"/>
        <v>27824.720000000001</v>
      </c>
    </row>
    <row r="36" spans="1:148" x14ac:dyDescent="0.2">
      <c r="A36" s="337"/>
      <c r="B36" s="340"/>
      <c r="C36" s="341"/>
      <c r="D36" s="341"/>
      <c r="E36" s="341"/>
      <c r="F36" s="341"/>
      <c r="G36" s="341"/>
      <c r="H36" s="312"/>
      <c r="I36" s="340"/>
      <c r="J36" s="341"/>
      <c r="K36" s="341"/>
      <c r="L36" s="341"/>
      <c r="M36" s="341"/>
      <c r="N36" s="342"/>
      <c r="O36" s="312"/>
      <c r="P36" s="343"/>
      <c r="Q36" s="343"/>
      <c r="R36" s="343"/>
      <c r="S36" s="343"/>
      <c r="T36" s="343"/>
      <c r="U36" s="343"/>
      <c r="V36" s="343"/>
      <c r="W36" s="343"/>
      <c r="X36" s="313"/>
      <c r="Y36" s="313"/>
      <c r="Z36" s="344"/>
      <c r="AA36" s="344"/>
      <c r="AB36" s="314"/>
      <c r="AC36" s="337"/>
      <c r="AD36" s="311"/>
      <c r="AE36" s="311" t="s">
        <v>1146</v>
      </c>
      <c r="AF36" s="512"/>
      <c r="AG36" s="512"/>
      <c r="AH36" s="512"/>
      <c r="AI36" s="512"/>
      <c r="AJ36" s="512"/>
      <c r="AK36" s="512"/>
      <c r="AL36" s="512"/>
      <c r="AM36" s="512"/>
      <c r="AN36" s="512"/>
      <c r="AO36" s="512"/>
      <c r="AP36" s="512"/>
      <c r="AQ36" s="512"/>
      <c r="AR36" s="516"/>
      <c r="AT36" s="311"/>
      <c r="AU36" s="311"/>
      <c r="AX36" s="510"/>
      <c r="BA36" s="510"/>
      <c r="BB36" s="510"/>
      <c r="BC36" s="510"/>
      <c r="BD36" s="510"/>
      <c r="BE36" s="510"/>
      <c r="BF36" s="510"/>
      <c r="BG36" s="510"/>
      <c r="BH36" s="361"/>
      <c r="BI36" s="508"/>
      <c r="BJ36" s="577"/>
      <c r="BK36" s="577"/>
      <c r="BL36" s="481"/>
      <c r="BM36" s="481"/>
      <c r="BN36" s="481"/>
      <c r="BO36" s="481"/>
      <c r="BP36" s="481"/>
      <c r="BQ36" s="109">
        <v>13199.5</v>
      </c>
      <c r="BR36" s="481"/>
      <c r="BS36" s="481"/>
      <c r="BT36" s="481"/>
      <c r="BU36" s="481"/>
      <c r="BV36" s="478"/>
      <c r="BX36" s="577"/>
      <c r="BY36" s="577"/>
      <c r="BZ36" s="481"/>
      <c r="CA36" s="481"/>
      <c r="CB36" s="481"/>
      <c r="CC36" s="481"/>
      <c r="CD36" s="481"/>
      <c r="CE36" s="109"/>
      <c r="CF36" s="481"/>
      <c r="CG36" s="481"/>
      <c r="CH36" s="481"/>
      <c r="CI36" s="481"/>
      <c r="CJ36" s="478"/>
      <c r="CL36" s="627" t="s">
        <v>921</v>
      </c>
      <c r="CM36" s="623" t="s">
        <v>1146</v>
      </c>
      <c r="CN36" s="512"/>
      <c r="CO36" s="512">
        <v>13390</v>
      </c>
      <c r="CP36" s="512"/>
      <c r="CQ36" s="512"/>
      <c r="CR36" s="512"/>
      <c r="CS36" s="512"/>
      <c r="CT36" s="512"/>
      <c r="CU36" s="512">
        <v>13000</v>
      </c>
      <c r="CV36" s="512"/>
      <c r="CW36" s="512"/>
      <c r="CX36" s="512"/>
      <c r="CY36" s="512"/>
      <c r="CZ36" s="516">
        <f t="shared" si="17"/>
        <v>26390</v>
      </c>
      <c r="DB36" s="311" t="str">
        <f t="shared" si="18"/>
        <v>Other Sectors (Schools, Hospitals, etc)</v>
      </c>
      <c r="DC36" s="311" t="str">
        <f t="shared" si="18"/>
        <v>Virgin</v>
      </c>
      <c r="DF36" s="510"/>
      <c r="DI36" s="510"/>
      <c r="DJ36" s="510"/>
      <c r="DK36" s="510"/>
      <c r="DL36" s="510"/>
      <c r="DM36" s="510"/>
      <c r="DN36" s="510"/>
      <c r="DO36" s="510"/>
      <c r="DP36" s="478">
        <f t="shared" si="19"/>
        <v>0</v>
      </c>
      <c r="DQ36" s="508"/>
      <c r="DR36" s="577">
        <f>57.5+57.5</f>
        <v>115</v>
      </c>
      <c r="DS36" s="577">
        <f t="shared" si="20"/>
        <v>13390</v>
      </c>
      <c r="DT36" s="577">
        <f t="shared" si="21"/>
        <v>0</v>
      </c>
      <c r="DU36" s="577">
        <f t="shared" si="22"/>
        <v>0</v>
      </c>
      <c r="DV36" s="577">
        <f t="shared" si="23"/>
        <v>0</v>
      </c>
      <c r="DW36" s="577">
        <f t="shared" si="24"/>
        <v>0</v>
      </c>
      <c r="DX36" s="577">
        <f t="shared" si="25"/>
        <v>0</v>
      </c>
      <c r="DY36" s="577">
        <f t="shared" si="26"/>
        <v>13000</v>
      </c>
      <c r="DZ36" s="577">
        <f t="shared" si="27"/>
        <v>0</v>
      </c>
      <c r="EA36" s="577">
        <f t="shared" si="28"/>
        <v>0</v>
      </c>
      <c r="EB36" s="577">
        <f t="shared" si="29"/>
        <v>0</v>
      </c>
      <c r="EC36" s="634">
        <f t="shared" si="30"/>
        <v>0</v>
      </c>
      <c r="ED36" s="478">
        <f t="shared" si="31"/>
        <v>26505</v>
      </c>
      <c r="EE36" s="630"/>
      <c r="EF36" s="632">
        <f t="shared" si="32"/>
        <v>0</v>
      </c>
      <c r="EG36" s="632">
        <f t="shared" si="33"/>
        <v>0</v>
      </c>
      <c r="EH36" s="632">
        <f t="shared" si="34"/>
        <v>0</v>
      </c>
      <c r="EI36" s="632">
        <f t="shared" si="35"/>
        <v>0</v>
      </c>
      <c r="EJ36" s="632">
        <f t="shared" si="36"/>
        <v>0</v>
      </c>
      <c r="EK36" s="632">
        <f t="shared" si="37"/>
        <v>0</v>
      </c>
      <c r="EL36" s="632">
        <f t="shared" si="38"/>
        <v>0</v>
      </c>
      <c r="EM36" s="632">
        <f t="shared" si="39"/>
        <v>0</v>
      </c>
      <c r="EN36" s="632">
        <f t="shared" si="40"/>
        <v>0</v>
      </c>
      <c r="EO36" s="632">
        <f t="shared" si="41"/>
        <v>0</v>
      </c>
      <c r="EP36" s="629">
        <f t="shared" si="42"/>
        <v>0</v>
      </c>
      <c r="EQ36" s="632">
        <f t="shared" si="43"/>
        <v>0</v>
      </c>
      <c r="ER36" s="478">
        <f t="shared" si="9"/>
        <v>0</v>
      </c>
    </row>
    <row r="37" spans="1:148" x14ac:dyDescent="0.2">
      <c r="A37" s="337" t="s">
        <v>619</v>
      </c>
      <c r="B37" s="340">
        <v>0</v>
      </c>
      <c r="C37" s="341">
        <v>0</v>
      </c>
      <c r="D37" s="341">
        <v>0</v>
      </c>
      <c r="E37" s="341">
        <v>0</v>
      </c>
      <c r="F37" s="341">
        <v>23662.5</v>
      </c>
      <c r="G37" s="341">
        <v>0</v>
      </c>
      <c r="H37" s="312">
        <f>SUM('PRD Sales Forecast'!$B37:$G37)</f>
        <v>23662.5</v>
      </c>
      <c r="I37" s="340">
        <v>0</v>
      </c>
      <c r="J37" s="341">
        <v>0</v>
      </c>
      <c r="K37" s="341">
        <v>0</v>
      </c>
      <c r="L37" s="341">
        <v>0</v>
      </c>
      <c r="M37" s="341">
        <v>0</v>
      </c>
      <c r="N37" s="342">
        <v>0</v>
      </c>
      <c r="O37" s="312">
        <f>SUM('PRD Sales Forecast'!$I37:$N37)</f>
        <v>0</v>
      </c>
      <c r="P37" s="343">
        <v>2500</v>
      </c>
      <c r="Q37" s="343">
        <v>7500</v>
      </c>
      <c r="R37" s="343">
        <v>5000</v>
      </c>
      <c r="S37" s="343">
        <v>7500</v>
      </c>
      <c r="T37" s="343">
        <v>10000</v>
      </c>
      <c r="U37" s="343">
        <v>5000</v>
      </c>
      <c r="V37" s="343">
        <v>2000</v>
      </c>
      <c r="W37" s="313">
        <v>5000</v>
      </c>
      <c r="X37" s="313">
        <v>5500</v>
      </c>
      <c r="Y37" s="313">
        <v>4500</v>
      </c>
      <c r="Z37" s="344">
        <v>7500</v>
      </c>
      <c r="AA37" s="344">
        <v>4500</v>
      </c>
      <c r="AB37" s="314">
        <f>SUM('PRD Sales Forecast'!$P37:$AA37)</f>
        <v>66500</v>
      </c>
      <c r="AC37" s="337"/>
      <c r="AD37" s="311"/>
      <c r="AE37" s="311" t="s">
        <v>619</v>
      </c>
      <c r="AF37" s="512"/>
      <c r="AG37" s="512"/>
      <c r="AH37" s="512"/>
      <c r="AI37" s="512"/>
      <c r="AJ37" s="512"/>
      <c r="AK37" s="512"/>
      <c r="AL37" s="512"/>
      <c r="AM37" s="512"/>
      <c r="AN37" s="512"/>
      <c r="AO37" s="512"/>
      <c r="AP37" s="512"/>
      <c r="AQ37" s="512"/>
      <c r="AR37" s="516">
        <f t="shared" si="10"/>
        <v>0</v>
      </c>
      <c r="AT37" s="311"/>
      <c r="AU37" s="311" t="s">
        <v>619</v>
      </c>
      <c r="AV37" s="570">
        <v>3000</v>
      </c>
      <c r="AW37" s="570">
        <v>5500</v>
      </c>
      <c r="AX37" s="510">
        <v>7000</v>
      </c>
      <c r="AY37" s="510">
        <v>1500</v>
      </c>
      <c r="BC37" s="510">
        <v>3000</v>
      </c>
      <c r="BD37" s="510">
        <v>2000</v>
      </c>
      <c r="BE37" s="510">
        <v>5000</v>
      </c>
      <c r="BF37" s="510">
        <v>11000</v>
      </c>
      <c r="BG37" s="510">
        <v>3000</v>
      </c>
      <c r="BH37" s="361">
        <f t="shared" si="11"/>
        <v>41000</v>
      </c>
      <c r="BI37" s="508"/>
      <c r="BJ37" s="577">
        <f t="shared" si="12"/>
        <v>0</v>
      </c>
      <c r="BK37" s="577">
        <f t="shared" si="47"/>
        <v>0</v>
      </c>
      <c r="BL37" s="481">
        <f t="shared" si="53"/>
        <v>0</v>
      </c>
      <c r="BM37" s="481">
        <f t="shared" si="54"/>
        <v>0</v>
      </c>
      <c r="BN37" s="481">
        <f t="shared" si="55"/>
        <v>0</v>
      </c>
      <c r="BO37" s="481">
        <f t="shared" si="56"/>
        <v>0</v>
      </c>
      <c r="BP37" s="481">
        <v>0</v>
      </c>
      <c r="BQ37" s="109">
        <v>0</v>
      </c>
      <c r="BR37" s="481">
        <v>0</v>
      </c>
      <c r="BS37" s="481">
        <v>0</v>
      </c>
      <c r="BT37" s="481">
        <v>0</v>
      </c>
      <c r="BU37" s="481">
        <v>0</v>
      </c>
      <c r="BV37" s="478">
        <f t="shared" si="14"/>
        <v>0</v>
      </c>
      <c r="BX37" s="577">
        <v>0</v>
      </c>
      <c r="BY37" s="577">
        <v>0</v>
      </c>
      <c r="BZ37" s="481">
        <v>0</v>
      </c>
      <c r="CA37" s="481">
        <v>0</v>
      </c>
      <c r="CB37" s="481">
        <f t="shared" si="51"/>
        <v>0</v>
      </c>
      <c r="CC37" s="481">
        <f t="shared" si="52"/>
        <v>0</v>
      </c>
      <c r="CD37" s="481">
        <v>0</v>
      </c>
      <c r="CE37" s="109">
        <v>0</v>
      </c>
      <c r="CF37" s="481">
        <v>0</v>
      </c>
      <c r="CG37" s="481">
        <v>0</v>
      </c>
      <c r="CH37" s="481">
        <v>11000</v>
      </c>
      <c r="CI37" s="481">
        <v>3000</v>
      </c>
      <c r="CJ37" s="478">
        <f t="shared" si="6"/>
        <v>14000</v>
      </c>
      <c r="CL37" s="627"/>
      <c r="CM37" s="623"/>
      <c r="CN37" s="512"/>
      <c r="CO37" s="512"/>
      <c r="CP37" s="512"/>
      <c r="CQ37" s="512"/>
      <c r="CR37" s="512"/>
      <c r="CS37" s="512"/>
      <c r="CT37" s="512"/>
      <c r="CU37" s="512"/>
      <c r="CV37" s="512"/>
      <c r="CW37" s="512"/>
      <c r="CX37" s="512"/>
      <c r="CY37" s="512"/>
      <c r="CZ37" s="516">
        <f t="shared" si="17"/>
        <v>0</v>
      </c>
      <c r="DB37" s="311">
        <f t="shared" si="18"/>
        <v>0</v>
      </c>
      <c r="DC37" s="311">
        <f t="shared" si="18"/>
        <v>0</v>
      </c>
      <c r="DD37" s="570"/>
      <c r="DE37" s="570"/>
      <c r="DF37" s="510"/>
      <c r="DG37" s="510"/>
      <c r="DK37" s="510"/>
      <c r="DL37" s="510"/>
      <c r="DM37" s="510"/>
      <c r="DN37" s="510"/>
      <c r="DO37" s="510"/>
      <c r="DP37" s="478">
        <f t="shared" si="19"/>
        <v>0</v>
      </c>
      <c r="DQ37" s="508"/>
      <c r="DR37" s="577">
        <f t="shared" si="44"/>
        <v>0</v>
      </c>
      <c r="DS37" s="577">
        <f t="shared" si="20"/>
        <v>0</v>
      </c>
      <c r="DT37" s="577">
        <f t="shared" si="21"/>
        <v>0</v>
      </c>
      <c r="DU37" s="577">
        <f t="shared" si="22"/>
        <v>0</v>
      </c>
      <c r="DV37" s="577">
        <f t="shared" si="23"/>
        <v>0</v>
      </c>
      <c r="DW37" s="577">
        <f t="shared" si="24"/>
        <v>0</v>
      </c>
      <c r="DX37" s="577">
        <f t="shared" si="25"/>
        <v>0</v>
      </c>
      <c r="DY37" s="577">
        <f t="shared" si="26"/>
        <v>0</v>
      </c>
      <c r="DZ37" s="577">
        <f t="shared" si="27"/>
        <v>0</v>
      </c>
      <c r="EA37" s="577">
        <f t="shared" si="28"/>
        <v>0</v>
      </c>
      <c r="EB37" s="577">
        <f t="shared" si="29"/>
        <v>0</v>
      </c>
      <c r="EC37" s="634">
        <f t="shared" si="30"/>
        <v>0</v>
      </c>
      <c r="ED37" s="478">
        <f t="shared" si="31"/>
        <v>0</v>
      </c>
      <c r="EE37" s="630"/>
      <c r="EF37" s="632">
        <f t="shared" si="32"/>
        <v>0</v>
      </c>
      <c r="EG37" s="632">
        <f t="shared" si="33"/>
        <v>0</v>
      </c>
      <c r="EH37" s="632">
        <f t="shared" si="34"/>
        <v>0</v>
      </c>
      <c r="EI37" s="632">
        <f t="shared" si="35"/>
        <v>0</v>
      </c>
      <c r="EJ37" s="632">
        <f t="shared" si="36"/>
        <v>0</v>
      </c>
      <c r="EK37" s="632">
        <f t="shared" si="37"/>
        <v>0</v>
      </c>
      <c r="EL37" s="632">
        <f t="shared" si="38"/>
        <v>0</v>
      </c>
      <c r="EM37" s="632">
        <f t="shared" si="39"/>
        <v>0</v>
      </c>
      <c r="EN37" s="632">
        <f t="shared" si="40"/>
        <v>0</v>
      </c>
      <c r="EO37" s="632">
        <f t="shared" si="41"/>
        <v>0</v>
      </c>
      <c r="EP37" s="629">
        <f t="shared" si="42"/>
        <v>0</v>
      </c>
      <c r="EQ37" s="632">
        <f t="shared" si="43"/>
        <v>0</v>
      </c>
      <c r="ER37" s="478">
        <f t="shared" si="9"/>
        <v>0</v>
      </c>
    </row>
    <row r="38" spans="1:148" x14ac:dyDescent="0.2">
      <c r="A38" s="345" t="s">
        <v>358</v>
      </c>
      <c r="B38" s="340"/>
      <c r="C38" s="317"/>
      <c r="D38" s="317"/>
      <c r="E38" s="317"/>
      <c r="F38" s="317"/>
      <c r="G38" s="317"/>
      <c r="H38" s="312">
        <f>SUM('PRD Sales Forecast'!$B38:$G38)</f>
        <v>0</v>
      </c>
      <c r="I38" s="319"/>
      <c r="J38" s="317"/>
      <c r="K38" s="317"/>
      <c r="L38" s="317"/>
      <c r="M38" s="317"/>
      <c r="N38" s="318"/>
      <c r="O38" s="312">
        <f>SUM('PRD Sales Forecast'!$I38:$N38)</f>
        <v>0</v>
      </c>
      <c r="P38" s="346">
        <v>760</v>
      </c>
      <c r="Q38" s="346">
        <v>760</v>
      </c>
      <c r="R38" s="346">
        <v>760</v>
      </c>
      <c r="S38" s="346">
        <v>760</v>
      </c>
      <c r="T38" s="346">
        <v>760</v>
      </c>
      <c r="U38" s="346">
        <v>0</v>
      </c>
      <c r="V38" s="346">
        <v>0</v>
      </c>
      <c r="W38" s="346">
        <v>760</v>
      </c>
      <c r="X38" s="346">
        <v>760</v>
      </c>
      <c r="Y38" s="346">
        <v>760</v>
      </c>
      <c r="Z38" s="346">
        <v>760</v>
      </c>
      <c r="AA38" s="346">
        <v>760</v>
      </c>
      <c r="AB38" s="314">
        <f>SUM('PRD Sales Forecast'!$P38:$AA38)</f>
        <v>7600</v>
      </c>
      <c r="AC38" s="337"/>
      <c r="AD38" s="311"/>
      <c r="AE38" s="311" t="s">
        <v>358</v>
      </c>
      <c r="AF38" s="512"/>
      <c r="AG38" s="512"/>
      <c r="AH38" s="512"/>
      <c r="AI38" s="512"/>
      <c r="AJ38" s="512"/>
      <c r="AK38" s="512"/>
      <c r="AL38" s="512"/>
      <c r="AM38" s="512"/>
      <c r="AN38" s="512"/>
      <c r="AO38" s="512"/>
      <c r="AP38" s="512"/>
      <c r="AQ38" s="512"/>
      <c r="AR38" s="516">
        <f t="shared" si="10"/>
        <v>0</v>
      </c>
      <c r="AT38" s="311"/>
      <c r="AU38" s="311" t="s">
        <v>358</v>
      </c>
      <c r="BH38" s="361">
        <f t="shared" si="11"/>
        <v>0</v>
      </c>
      <c r="BI38" s="508"/>
      <c r="BJ38" s="577">
        <f t="shared" si="12"/>
        <v>0</v>
      </c>
      <c r="BK38" s="577">
        <f t="shared" si="47"/>
        <v>0</v>
      </c>
      <c r="BL38" s="481">
        <f t="shared" si="53"/>
        <v>0</v>
      </c>
      <c r="BM38" s="481">
        <f t="shared" si="54"/>
        <v>0</v>
      </c>
      <c r="BN38" s="481">
        <f t="shared" si="55"/>
        <v>0</v>
      </c>
      <c r="BO38" s="481">
        <f t="shared" si="56"/>
        <v>0</v>
      </c>
      <c r="BP38" s="481">
        <v>0</v>
      </c>
      <c r="BQ38" s="109">
        <v>0</v>
      </c>
      <c r="BR38" s="481">
        <v>0</v>
      </c>
      <c r="BS38" s="481">
        <v>0</v>
      </c>
      <c r="BT38" s="481">
        <v>0</v>
      </c>
      <c r="BU38" s="481">
        <v>0</v>
      </c>
      <c r="BV38" s="478">
        <f t="shared" si="14"/>
        <v>0</v>
      </c>
      <c r="BX38" s="577">
        <f t="shared" si="15"/>
        <v>0</v>
      </c>
      <c r="BY38" s="481">
        <f t="shared" si="48"/>
        <v>0</v>
      </c>
      <c r="BZ38" s="481">
        <f t="shared" si="49"/>
        <v>0</v>
      </c>
      <c r="CA38" s="481">
        <f t="shared" si="50"/>
        <v>0</v>
      </c>
      <c r="CB38" s="481">
        <f t="shared" si="51"/>
        <v>0</v>
      </c>
      <c r="CC38" s="481">
        <f t="shared" si="52"/>
        <v>0</v>
      </c>
      <c r="CD38" s="481">
        <v>0</v>
      </c>
      <c r="CE38" s="109">
        <v>0</v>
      </c>
      <c r="CF38" s="481">
        <v>0</v>
      </c>
      <c r="CG38" s="481">
        <v>0</v>
      </c>
      <c r="CH38" s="481">
        <v>0</v>
      </c>
      <c r="CI38" s="481">
        <v>0</v>
      </c>
      <c r="CJ38" s="478">
        <f t="shared" si="6"/>
        <v>0</v>
      </c>
      <c r="CL38" s="627"/>
      <c r="CM38" s="623"/>
      <c r="CN38" s="512"/>
      <c r="CO38" s="512"/>
      <c r="CP38" s="512"/>
      <c r="CQ38" s="512"/>
      <c r="CR38" s="512"/>
      <c r="CS38" s="512"/>
      <c r="CT38" s="512"/>
      <c r="CU38" s="512"/>
      <c r="CV38" s="512"/>
      <c r="CW38" s="512"/>
      <c r="CX38" s="512"/>
      <c r="CY38" s="512"/>
      <c r="CZ38" s="516">
        <f t="shared" si="17"/>
        <v>0</v>
      </c>
      <c r="DB38" s="311">
        <f t="shared" si="18"/>
        <v>0</v>
      </c>
      <c r="DC38" s="311">
        <f t="shared" si="18"/>
        <v>0</v>
      </c>
      <c r="DP38" s="478">
        <f t="shared" si="19"/>
        <v>0</v>
      </c>
      <c r="DQ38" s="508"/>
      <c r="DR38" s="577">
        <f t="shared" si="44"/>
        <v>0</v>
      </c>
      <c r="DS38" s="577">
        <f t="shared" si="20"/>
        <v>0</v>
      </c>
      <c r="DT38" s="577">
        <f t="shared" si="21"/>
        <v>0</v>
      </c>
      <c r="DU38" s="577">
        <f t="shared" si="22"/>
        <v>0</v>
      </c>
      <c r="DV38" s="577">
        <f t="shared" si="23"/>
        <v>0</v>
      </c>
      <c r="DW38" s="577">
        <f t="shared" si="24"/>
        <v>0</v>
      </c>
      <c r="DX38" s="577">
        <f t="shared" si="25"/>
        <v>0</v>
      </c>
      <c r="DY38" s="577">
        <f t="shared" si="26"/>
        <v>0</v>
      </c>
      <c r="DZ38" s="577">
        <f t="shared" si="27"/>
        <v>0</v>
      </c>
      <c r="EA38" s="577">
        <f t="shared" si="28"/>
        <v>0</v>
      </c>
      <c r="EB38" s="577">
        <f t="shared" si="29"/>
        <v>0</v>
      </c>
      <c r="EC38" s="634">
        <f t="shared" si="30"/>
        <v>0</v>
      </c>
      <c r="ED38" s="478">
        <f t="shared" si="31"/>
        <v>0</v>
      </c>
      <c r="EE38" s="630"/>
      <c r="EF38" s="632">
        <f t="shared" si="32"/>
        <v>0</v>
      </c>
      <c r="EG38" s="632">
        <f t="shared" si="33"/>
        <v>0</v>
      </c>
      <c r="EH38" s="632">
        <f t="shared" si="34"/>
        <v>0</v>
      </c>
      <c r="EI38" s="632">
        <f t="shared" si="35"/>
        <v>0</v>
      </c>
      <c r="EJ38" s="632">
        <f t="shared" si="36"/>
        <v>0</v>
      </c>
      <c r="EK38" s="632">
        <f t="shared" si="37"/>
        <v>0</v>
      </c>
      <c r="EL38" s="632">
        <f t="shared" si="38"/>
        <v>0</v>
      </c>
      <c r="EM38" s="632">
        <f t="shared" si="39"/>
        <v>0</v>
      </c>
      <c r="EN38" s="632">
        <f t="shared" si="40"/>
        <v>0</v>
      </c>
      <c r="EO38" s="632">
        <f t="shared" si="41"/>
        <v>0</v>
      </c>
      <c r="EP38" s="629">
        <f t="shared" si="42"/>
        <v>0</v>
      </c>
      <c r="EQ38" s="632">
        <f t="shared" si="43"/>
        <v>0</v>
      </c>
      <c r="ER38" s="478">
        <f t="shared" si="9"/>
        <v>0</v>
      </c>
    </row>
    <row r="39" spans="1:148" x14ac:dyDescent="0.2">
      <c r="A39" s="345"/>
      <c r="B39" s="340"/>
      <c r="C39" s="317"/>
      <c r="D39" s="317"/>
      <c r="E39" s="317"/>
      <c r="F39" s="317"/>
      <c r="G39" s="317"/>
      <c r="H39" s="312"/>
      <c r="I39" s="319"/>
      <c r="J39" s="317"/>
      <c r="K39" s="317"/>
      <c r="L39" s="317"/>
      <c r="M39" s="317"/>
      <c r="N39" s="318"/>
      <c r="O39" s="312"/>
      <c r="P39" s="346"/>
      <c r="Q39" s="346"/>
      <c r="R39" s="346"/>
      <c r="S39" s="346"/>
      <c r="T39" s="346"/>
      <c r="U39" s="346"/>
      <c r="V39" s="346"/>
      <c r="W39" s="346"/>
      <c r="X39" s="346"/>
      <c r="Y39" s="346"/>
      <c r="Z39" s="346"/>
      <c r="AA39" s="346"/>
      <c r="AB39" s="314"/>
      <c r="AC39" s="337"/>
      <c r="AD39" s="311"/>
      <c r="AE39" s="311" t="s">
        <v>1145</v>
      </c>
      <c r="AF39" s="512"/>
      <c r="AG39" s="512"/>
      <c r="AH39" s="512"/>
      <c r="AI39" s="512"/>
      <c r="AJ39" s="512"/>
      <c r="AK39" s="512"/>
      <c r="AL39" s="512"/>
      <c r="AM39" s="512"/>
      <c r="AN39" s="512"/>
      <c r="AO39" s="512"/>
      <c r="AP39" s="512"/>
      <c r="AQ39" s="512"/>
      <c r="AR39" s="516"/>
      <c r="AT39" s="311"/>
      <c r="AU39" s="311"/>
      <c r="BH39" s="361"/>
      <c r="BI39" s="508"/>
      <c r="BJ39" s="577"/>
      <c r="BK39" s="577"/>
      <c r="BL39" s="481"/>
      <c r="BM39" s="481"/>
      <c r="BN39" s="481"/>
      <c r="BO39" s="481"/>
      <c r="BP39" s="481"/>
      <c r="BQ39" s="109">
        <v>13450.5</v>
      </c>
      <c r="BR39" s="481"/>
      <c r="BS39" s="481"/>
      <c r="BT39" s="481"/>
      <c r="BU39" s="481"/>
      <c r="BV39" s="478"/>
      <c r="BX39" s="577"/>
      <c r="BY39" s="481"/>
      <c r="BZ39" s="481"/>
      <c r="CA39" s="481"/>
      <c r="CB39" s="481"/>
      <c r="CC39" s="481"/>
      <c r="CD39" s="481"/>
      <c r="CE39" s="109">
        <v>76.5</v>
      </c>
      <c r="CF39" s="481"/>
      <c r="CG39" s="481"/>
      <c r="CH39" s="481"/>
      <c r="CI39" s="481"/>
      <c r="CJ39" s="478"/>
      <c r="CL39" s="627"/>
      <c r="CM39" s="623"/>
      <c r="CN39" s="512"/>
      <c r="CO39" s="512"/>
      <c r="CP39" s="512"/>
      <c r="CQ39" s="512"/>
      <c r="CR39" s="512"/>
      <c r="CS39" s="512"/>
      <c r="CT39" s="512"/>
      <c r="CU39" s="512"/>
      <c r="CV39" s="512"/>
      <c r="CW39" s="512"/>
      <c r="CX39" s="512"/>
      <c r="CY39" s="512"/>
      <c r="CZ39" s="516">
        <f t="shared" si="17"/>
        <v>0</v>
      </c>
      <c r="DB39" s="311">
        <f t="shared" si="18"/>
        <v>0</v>
      </c>
      <c r="DC39" s="311">
        <f t="shared" si="18"/>
        <v>0</v>
      </c>
      <c r="DP39" s="478">
        <f t="shared" si="19"/>
        <v>0</v>
      </c>
      <c r="DQ39" s="508"/>
      <c r="DR39" s="577">
        <f t="shared" si="44"/>
        <v>0</v>
      </c>
      <c r="DS39" s="577">
        <f t="shared" si="20"/>
        <v>0</v>
      </c>
      <c r="DT39" s="577">
        <f t="shared" si="21"/>
        <v>0</v>
      </c>
      <c r="DU39" s="577">
        <f t="shared" si="22"/>
        <v>0</v>
      </c>
      <c r="DV39" s="577">
        <f t="shared" si="23"/>
        <v>0</v>
      </c>
      <c r="DW39" s="577">
        <f t="shared" si="24"/>
        <v>0</v>
      </c>
      <c r="DX39" s="577">
        <f t="shared" si="25"/>
        <v>0</v>
      </c>
      <c r="DY39" s="577">
        <f t="shared" si="26"/>
        <v>0</v>
      </c>
      <c r="DZ39" s="577">
        <f t="shared" si="27"/>
        <v>0</v>
      </c>
      <c r="EA39" s="577">
        <f t="shared" si="28"/>
        <v>0</v>
      </c>
      <c r="EB39" s="577">
        <f t="shared" si="29"/>
        <v>0</v>
      </c>
      <c r="EC39" s="634">
        <f t="shared" si="30"/>
        <v>0</v>
      </c>
      <c r="ED39" s="478">
        <f t="shared" si="31"/>
        <v>0</v>
      </c>
      <c r="EE39" s="630"/>
      <c r="EF39" s="632">
        <f t="shared" si="32"/>
        <v>0</v>
      </c>
      <c r="EG39" s="632">
        <f t="shared" si="33"/>
        <v>0</v>
      </c>
      <c r="EH39" s="632">
        <f t="shared" si="34"/>
        <v>0</v>
      </c>
      <c r="EI39" s="632">
        <f t="shared" si="35"/>
        <v>0</v>
      </c>
      <c r="EJ39" s="632">
        <f t="shared" si="36"/>
        <v>0</v>
      </c>
      <c r="EK39" s="632">
        <f t="shared" si="37"/>
        <v>0</v>
      </c>
      <c r="EL39" s="632">
        <f t="shared" si="38"/>
        <v>0</v>
      </c>
      <c r="EM39" s="632">
        <f t="shared" si="39"/>
        <v>0</v>
      </c>
      <c r="EN39" s="632">
        <f t="shared" si="40"/>
        <v>0</v>
      </c>
      <c r="EO39" s="632">
        <f t="shared" si="41"/>
        <v>0</v>
      </c>
      <c r="EP39" s="629">
        <f t="shared" si="42"/>
        <v>0</v>
      </c>
      <c r="EQ39" s="632">
        <f t="shared" si="43"/>
        <v>0</v>
      </c>
      <c r="ER39" s="478">
        <f t="shared" si="9"/>
        <v>0</v>
      </c>
    </row>
    <row r="40" spans="1:148" x14ac:dyDescent="0.2">
      <c r="A40" s="345" t="s">
        <v>620</v>
      </c>
      <c r="B40" s="340"/>
      <c r="C40" s="317"/>
      <c r="D40" s="317"/>
      <c r="E40" s="317"/>
      <c r="F40" s="317"/>
      <c r="G40" s="317"/>
      <c r="H40" s="312">
        <f>SUM('PRD Sales Forecast'!$B40:$G40)</f>
        <v>0</v>
      </c>
      <c r="I40" s="319"/>
      <c r="J40" s="317"/>
      <c r="K40" s="317"/>
      <c r="L40" s="317"/>
      <c r="M40" s="317"/>
      <c r="N40" s="318"/>
      <c r="O40" s="312">
        <f>SUM('PRD Sales Forecast'!$I40:$N40)</f>
        <v>0</v>
      </c>
      <c r="P40" s="346">
        <v>0</v>
      </c>
      <c r="Q40" s="346"/>
      <c r="R40" s="346"/>
      <c r="S40" s="346"/>
      <c r="T40" s="346"/>
      <c r="U40" s="346"/>
      <c r="V40" s="346"/>
      <c r="W40" s="315"/>
      <c r="X40" s="315"/>
      <c r="Y40" s="315"/>
      <c r="Z40" s="316"/>
      <c r="AA40" s="316">
        <v>5000</v>
      </c>
      <c r="AB40" s="314">
        <f>SUM('PRD Sales Forecast'!$P40:$AA40)</f>
        <v>5000</v>
      </c>
      <c r="AC40" s="337"/>
      <c r="AD40" s="311"/>
      <c r="AE40" s="311" t="s">
        <v>620</v>
      </c>
      <c r="AF40" s="512"/>
      <c r="AG40" s="512"/>
      <c r="AH40" s="512"/>
      <c r="AI40" s="512"/>
      <c r="AJ40" s="512"/>
      <c r="AK40" s="512"/>
      <c r="AL40" s="512"/>
      <c r="AM40" s="512"/>
      <c r="AN40" s="512"/>
      <c r="AO40" s="512"/>
      <c r="AP40" s="512"/>
      <c r="AQ40" s="512"/>
      <c r="AR40" s="516">
        <f t="shared" si="10"/>
        <v>0</v>
      </c>
      <c r="AT40" s="311"/>
      <c r="AU40" s="311" t="s">
        <v>620</v>
      </c>
      <c r="BH40" s="361">
        <f t="shared" si="11"/>
        <v>0</v>
      </c>
      <c r="BI40" s="508"/>
      <c r="BJ40" s="577">
        <f t="shared" si="12"/>
        <v>0</v>
      </c>
      <c r="BK40" s="577">
        <f t="shared" si="47"/>
        <v>0</v>
      </c>
      <c r="BL40" s="481">
        <f t="shared" si="53"/>
        <v>0</v>
      </c>
      <c r="BM40" s="481">
        <f t="shared" si="54"/>
        <v>0</v>
      </c>
      <c r="BN40" s="481">
        <f t="shared" si="55"/>
        <v>0</v>
      </c>
      <c r="BO40" s="481">
        <f t="shared" si="56"/>
        <v>0</v>
      </c>
      <c r="BP40" s="481">
        <v>0</v>
      </c>
      <c r="BQ40" s="109">
        <v>0</v>
      </c>
      <c r="BR40" s="481">
        <v>0</v>
      </c>
      <c r="BS40" s="481">
        <v>0</v>
      </c>
      <c r="BT40" s="481">
        <v>0</v>
      </c>
      <c r="BU40" s="481">
        <v>0</v>
      </c>
      <c r="BV40" s="478">
        <f t="shared" si="14"/>
        <v>0</v>
      </c>
      <c r="BX40" s="577">
        <f t="shared" si="15"/>
        <v>0</v>
      </c>
      <c r="BY40" s="481">
        <f t="shared" si="48"/>
        <v>0</v>
      </c>
      <c r="BZ40" s="481">
        <f t="shared" si="49"/>
        <v>0</v>
      </c>
      <c r="CA40" s="481">
        <f t="shared" si="50"/>
        <v>0</v>
      </c>
      <c r="CB40" s="481">
        <f t="shared" si="51"/>
        <v>0</v>
      </c>
      <c r="CC40" s="481">
        <f t="shared" si="52"/>
        <v>0</v>
      </c>
      <c r="CD40" s="481">
        <v>0</v>
      </c>
      <c r="CE40" s="109">
        <v>0</v>
      </c>
      <c r="CF40" s="481">
        <v>0</v>
      </c>
      <c r="CG40" s="481">
        <v>0</v>
      </c>
      <c r="CH40" s="481">
        <v>0</v>
      </c>
      <c r="CI40" s="481">
        <v>0</v>
      </c>
      <c r="CJ40" s="478">
        <f t="shared" si="6"/>
        <v>0</v>
      </c>
      <c r="CL40" s="627"/>
      <c r="CM40" s="623"/>
      <c r="CN40" s="512"/>
      <c r="CO40" s="512"/>
      <c r="CP40" s="512"/>
      <c r="CQ40" s="512"/>
      <c r="CR40" s="512"/>
      <c r="CS40" s="512"/>
      <c r="CT40" s="512"/>
      <c r="CU40" s="512"/>
      <c r="CV40" s="512"/>
      <c r="CW40" s="512"/>
      <c r="CX40" s="512"/>
      <c r="CY40" s="512"/>
      <c r="CZ40" s="516">
        <f t="shared" si="17"/>
        <v>0</v>
      </c>
      <c r="DB40" s="311">
        <f t="shared" si="18"/>
        <v>0</v>
      </c>
      <c r="DC40" s="311">
        <f t="shared" si="18"/>
        <v>0</v>
      </c>
      <c r="DP40" s="478">
        <f t="shared" si="19"/>
        <v>0</v>
      </c>
      <c r="DQ40" s="508"/>
      <c r="DR40" s="577">
        <f t="shared" si="44"/>
        <v>0</v>
      </c>
      <c r="DS40" s="577">
        <f t="shared" si="20"/>
        <v>0</v>
      </c>
      <c r="DT40" s="577">
        <f t="shared" si="21"/>
        <v>0</v>
      </c>
      <c r="DU40" s="577">
        <f t="shared" si="22"/>
        <v>0</v>
      </c>
      <c r="DV40" s="577">
        <f t="shared" si="23"/>
        <v>0</v>
      </c>
      <c r="DW40" s="577">
        <f t="shared" si="24"/>
        <v>0</v>
      </c>
      <c r="DX40" s="577">
        <f t="shared" si="25"/>
        <v>0</v>
      </c>
      <c r="DY40" s="577">
        <f t="shared" si="26"/>
        <v>0</v>
      </c>
      <c r="DZ40" s="577">
        <f t="shared" si="27"/>
        <v>0</v>
      </c>
      <c r="EA40" s="577">
        <f t="shared" si="28"/>
        <v>0</v>
      </c>
      <c r="EB40" s="577">
        <f t="shared" si="29"/>
        <v>0</v>
      </c>
      <c r="EC40" s="634">
        <f t="shared" si="30"/>
        <v>0</v>
      </c>
      <c r="ED40" s="478">
        <f t="shared" si="31"/>
        <v>0</v>
      </c>
      <c r="EE40" s="630"/>
      <c r="EF40" s="632">
        <f t="shared" si="32"/>
        <v>0</v>
      </c>
      <c r="EG40" s="632">
        <f t="shared" si="33"/>
        <v>0</v>
      </c>
      <c r="EH40" s="632">
        <f t="shared" si="34"/>
        <v>0</v>
      </c>
      <c r="EI40" s="632">
        <f t="shared" si="35"/>
        <v>0</v>
      </c>
      <c r="EJ40" s="632">
        <f t="shared" si="36"/>
        <v>0</v>
      </c>
      <c r="EK40" s="632">
        <f t="shared" si="37"/>
        <v>0</v>
      </c>
      <c r="EL40" s="632">
        <f t="shared" si="38"/>
        <v>0</v>
      </c>
      <c r="EM40" s="632">
        <f t="shared" si="39"/>
        <v>0</v>
      </c>
      <c r="EN40" s="632">
        <f t="shared" si="40"/>
        <v>0</v>
      </c>
      <c r="EO40" s="632">
        <f t="shared" si="41"/>
        <v>0</v>
      </c>
      <c r="EP40" s="629">
        <f t="shared" si="42"/>
        <v>0</v>
      </c>
      <c r="EQ40" s="632">
        <f t="shared" si="43"/>
        <v>0</v>
      </c>
      <c r="ER40" s="478">
        <f t="shared" si="9"/>
        <v>0</v>
      </c>
    </row>
    <row r="41" spans="1:148" x14ac:dyDescent="0.2">
      <c r="A41" s="345" t="s">
        <v>621</v>
      </c>
      <c r="B41" s="340"/>
      <c r="C41" s="317"/>
      <c r="D41" s="317"/>
      <c r="E41" s="317"/>
      <c r="F41" s="317"/>
      <c r="G41" s="317"/>
      <c r="H41" s="312">
        <f>SUM('PRD Sales Forecast'!$B41:$G41)</f>
        <v>0</v>
      </c>
      <c r="I41" s="319"/>
      <c r="J41" s="317"/>
      <c r="K41" s="317"/>
      <c r="L41" s="317"/>
      <c r="M41" s="317"/>
      <c r="N41" s="318"/>
      <c r="O41" s="312">
        <f>SUM('PRD Sales Forecast'!$I41:$N41)</f>
        <v>0</v>
      </c>
      <c r="P41" s="346"/>
      <c r="Q41" s="346"/>
      <c r="R41" s="346"/>
      <c r="S41" s="346">
        <v>4770</v>
      </c>
      <c r="T41" s="346"/>
      <c r="U41" s="346"/>
      <c r="V41" s="346"/>
      <c r="W41" s="315"/>
      <c r="X41" s="315"/>
      <c r="Y41" s="315"/>
      <c r="Z41" s="316">
        <v>2500</v>
      </c>
      <c r="AA41" s="316">
        <v>2500</v>
      </c>
      <c r="AB41" s="314">
        <f>SUM('PRD Sales Forecast'!$P41:$AA41)</f>
        <v>9770</v>
      </c>
      <c r="AC41" s="337"/>
      <c r="AD41" s="311"/>
      <c r="AE41" s="311" t="s">
        <v>621</v>
      </c>
      <c r="AF41" s="512"/>
      <c r="AG41" s="512"/>
      <c r="AH41" s="512"/>
      <c r="AI41" s="512"/>
      <c r="AJ41" s="512"/>
      <c r="AK41" s="512"/>
      <c r="AL41" s="512"/>
      <c r="AM41" s="512"/>
      <c r="AN41" s="512"/>
      <c r="AO41" s="512"/>
      <c r="AP41" s="512"/>
      <c r="AQ41" s="512"/>
      <c r="AR41" s="516">
        <f t="shared" si="10"/>
        <v>0</v>
      </c>
      <c r="AT41" s="311"/>
      <c r="AU41" s="311" t="s">
        <v>621</v>
      </c>
      <c r="BH41" s="361">
        <f t="shared" si="11"/>
        <v>0</v>
      </c>
      <c r="BI41" s="508"/>
      <c r="BJ41" s="577">
        <f t="shared" si="12"/>
        <v>0</v>
      </c>
      <c r="BK41" s="577">
        <f t="shared" si="47"/>
        <v>0</v>
      </c>
      <c r="BL41" s="481">
        <f t="shared" si="53"/>
        <v>0</v>
      </c>
      <c r="BM41" s="481">
        <f t="shared" si="54"/>
        <v>0</v>
      </c>
      <c r="BN41" s="481">
        <f t="shared" si="55"/>
        <v>0</v>
      </c>
      <c r="BO41" s="481">
        <f t="shared" si="56"/>
        <v>0</v>
      </c>
      <c r="BP41" s="481">
        <v>0</v>
      </c>
      <c r="BQ41" s="109">
        <v>0</v>
      </c>
      <c r="BR41" s="481">
        <v>0</v>
      </c>
      <c r="BS41" s="481">
        <v>0</v>
      </c>
      <c r="BT41" s="481">
        <v>0</v>
      </c>
      <c r="BU41" s="481">
        <v>0</v>
      </c>
      <c r="BV41" s="478">
        <f t="shared" si="14"/>
        <v>0</v>
      </c>
      <c r="BX41" s="481">
        <f t="shared" si="15"/>
        <v>0</v>
      </c>
      <c r="BY41" s="481">
        <f t="shared" si="48"/>
        <v>0</v>
      </c>
      <c r="BZ41" s="481">
        <f t="shared" si="49"/>
        <v>0</v>
      </c>
      <c r="CA41" s="481">
        <f t="shared" si="50"/>
        <v>0</v>
      </c>
      <c r="CB41" s="481">
        <f t="shared" si="51"/>
        <v>0</v>
      </c>
      <c r="CC41" s="481">
        <f t="shared" si="52"/>
        <v>0</v>
      </c>
      <c r="CD41" s="481">
        <v>0</v>
      </c>
      <c r="CE41" s="109">
        <v>0</v>
      </c>
      <c r="CF41" s="481">
        <v>0</v>
      </c>
      <c r="CG41" s="481">
        <v>0</v>
      </c>
      <c r="CH41" s="481">
        <v>0</v>
      </c>
      <c r="CI41" s="481">
        <v>0</v>
      </c>
      <c r="CJ41" s="478">
        <f t="shared" si="6"/>
        <v>0</v>
      </c>
      <c r="CL41" s="627"/>
      <c r="CM41" s="623"/>
      <c r="CN41" s="512"/>
      <c r="CO41" s="512"/>
      <c r="CP41" s="512"/>
      <c r="CQ41" s="512"/>
      <c r="CR41" s="512"/>
      <c r="CS41" s="512"/>
      <c r="CT41" s="512"/>
      <c r="CU41" s="512"/>
      <c r="CV41" s="512"/>
      <c r="CW41" s="512"/>
      <c r="CX41" s="512"/>
      <c r="CY41" s="512"/>
      <c r="CZ41" s="516">
        <f t="shared" si="17"/>
        <v>0</v>
      </c>
      <c r="DB41" s="311">
        <f t="shared" si="18"/>
        <v>0</v>
      </c>
      <c r="DC41" s="311">
        <f t="shared" si="18"/>
        <v>0</v>
      </c>
      <c r="DP41" s="478">
        <f t="shared" si="19"/>
        <v>0</v>
      </c>
      <c r="DQ41" s="508"/>
      <c r="DR41" s="577">
        <f t="shared" si="44"/>
        <v>0</v>
      </c>
      <c r="DS41" s="577">
        <f t="shared" si="20"/>
        <v>0</v>
      </c>
      <c r="DT41" s="577">
        <f t="shared" si="21"/>
        <v>0</v>
      </c>
      <c r="DU41" s="577">
        <f t="shared" si="22"/>
        <v>0</v>
      </c>
      <c r="DV41" s="577">
        <f t="shared" si="23"/>
        <v>0</v>
      </c>
      <c r="DW41" s="577">
        <f t="shared" si="24"/>
        <v>0</v>
      </c>
      <c r="DX41" s="577">
        <f t="shared" si="25"/>
        <v>0</v>
      </c>
      <c r="DY41" s="577">
        <f t="shared" si="26"/>
        <v>0</v>
      </c>
      <c r="DZ41" s="577">
        <f t="shared" si="27"/>
        <v>0</v>
      </c>
      <c r="EA41" s="577">
        <f t="shared" si="28"/>
        <v>0</v>
      </c>
      <c r="EB41" s="577">
        <f t="shared" si="29"/>
        <v>0</v>
      </c>
      <c r="EC41" s="634">
        <f t="shared" si="30"/>
        <v>0</v>
      </c>
      <c r="ED41" s="478">
        <f t="shared" si="31"/>
        <v>0</v>
      </c>
      <c r="EE41" s="630"/>
      <c r="EF41" s="632">
        <f t="shared" si="32"/>
        <v>0</v>
      </c>
      <c r="EG41" s="632">
        <f t="shared" si="33"/>
        <v>0</v>
      </c>
      <c r="EH41" s="632">
        <f t="shared" si="34"/>
        <v>0</v>
      </c>
      <c r="EI41" s="632">
        <f t="shared" si="35"/>
        <v>0</v>
      </c>
      <c r="EJ41" s="632">
        <f t="shared" si="36"/>
        <v>0</v>
      </c>
      <c r="EK41" s="632">
        <f t="shared" si="37"/>
        <v>0</v>
      </c>
      <c r="EL41" s="632">
        <f t="shared" si="38"/>
        <v>0</v>
      </c>
      <c r="EM41" s="632">
        <f t="shared" si="39"/>
        <v>0</v>
      </c>
      <c r="EN41" s="632">
        <f t="shared" si="40"/>
        <v>0</v>
      </c>
      <c r="EO41" s="632">
        <f t="shared" si="41"/>
        <v>0</v>
      </c>
      <c r="EP41" s="629">
        <f t="shared" si="42"/>
        <v>0</v>
      </c>
      <c r="EQ41" s="632">
        <f t="shared" si="43"/>
        <v>0</v>
      </c>
      <c r="ER41" s="478">
        <f t="shared" si="9"/>
        <v>0</v>
      </c>
    </row>
    <row r="42" spans="1:148" x14ac:dyDescent="0.2">
      <c r="A42" s="345" t="s">
        <v>622</v>
      </c>
      <c r="B42" s="340"/>
      <c r="C42" s="317"/>
      <c r="D42" s="317"/>
      <c r="E42" s="317"/>
      <c r="F42" s="317"/>
      <c r="G42" s="317"/>
      <c r="H42" s="312">
        <f>SUM('PRD Sales Forecast'!$B42:$G42)</f>
        <v>0</v>
      </c>
      <c r="I42" s="319"/>
      <c r="J42" s="317"/>
      <c r="K42" s="317"/>
      <c r="L42" s="317"/>
      <c r="M42" s="317"/>
      <c r="N42" s="318"/>
      <c r="O42" s="312">
        <f>SUM('PRD Sales Forecast'!$I42:$N42)</f>
        <v>0</v>
      </c>
      <c r="P42" s="346">
        <v>0</v>
      </c>
      <c r="Q42" s="346">
        <f>95*4</f>
        <v>380</v>
      </c>
      <c r="R42" s="346">
        <v>760</v>
      </c>
      <c r="S42" s="346">
        <v>760</v>
      </c>
      <c r="T42" s="346">
        <v>760</v>
      </c>
      <c r="U42" s="346">
        <v>760</v>
      </c>
      <c r="V42" s="346">
        <v>760</v>
      </c>
      <c r="W42" s="346">
        <v>4000</v>
      </c>
      <c r="X42" s="346">
        <v>4000</v>
      </c>
      <c r="Y42" s="346">
        <v>4000</v>
      </c>
      <c r="Z42" s="346">
        <v>4000</v>
      </c>
      <c r="AA42" s="346">
        <v>4000</v>
      </c>
      <c r="AB42" s="314">
        <f>SUM('PRD Sales Forecast'!$P42:$AA42)</f>
        <v>24180</v>
      </c>
      <c r="AC42" s="337"/>
      <c r="AD42" s="311"/>
      <c r="AE42" s="311" t="s">
        <v>622</v>
      </c>
      <c r="AF42" s="512"/>
      <c r="AG42" s="512"/>
      <c r="AH42" s="512"/>
      <c r="AI42" s="512"/>
      <c r="AJ42" s="512"/>
      <c r="AK42" s="512"/>
      <c r="AL42" s="512"/>
      <c r="AM42" s="512"/>
      <c r="AN42" s="512"/>
      <c r="AO42" s="512"/>
      <c r="AP42" s="512"/>
      <c r="AQ42" s="512"/>
      <c r="AR42" s="516">
        <f t="shared" si="10"/>
        <v>0</v>
      </c>
      <c r="AT42" s="311"/>
      <c r="AU42" s="311" t="s">
        <v>622</v>
      </c>
      <c r="BH42" s="361">
        <f t="shared" si="11"/>
        <v>0</v>
      </c>
      <c r="BI42" s="508"/>
      <c r="BJ42" s="577">
        <f t="shared" si="12"/>
        <v>0</v>
      </c>
      <c r="BK42" s="577">
        <f t="shared" si="47"/>
        <v>0</v>
      </c>
      <c r="BL42" s="481">
        <f t="shared" si="53"/>
        <v>0</v>
      </c>
      <c r="BM42" s="481">
        <f t="shared" si="54"/>
        <v>0</v>
      </c>
      <c r="BN42" s="481">
        <f t="shared" si="55"/>
        <v>0</v>
      </c>
      <c r="BO42" s="481">
        <f t="shared" si="56"/>
        <v>0</v>
      </c>
      <c r="BP42" s="481">
        <v>0</v>
      </c>
      <c r="BQ42" s="109">
        <v>0</v>
      </c>
      <c r="BR42" s="481">
        <v>0</v>
      </c>
      <c r="BS42" s="481">
        <v>0</v>
      </c>
      <c r="BT42" s="481">
        <v>0</v>
      </c>
      <c r="BU42" s="481">
        <v>0</v>
      </c>
      <c r="BV42" s="478">
        <f t="shared" si="14"/>
        <v>0</v>
      </c>
      <c r="BX42" s="481">
        <f t="shared" si="15"/>
        <v>0</v>
      </c>
      <c r="BY42" s="481">
        <f t="shared" si="48"/>
        <v>0</v>
      </c>
      <c r="BZ42" s="481">
        <f t="shared" si="49"/>
        <v>0</v>
      </c>
      <c r="CA42" s="481">
        <f t="shared" si="50"/>
        <v>0</v>
      </c>
      <c r="CB42" s="481">
        <f t="shared" si="51"/>
        <v>0</v>
      </c>
      <c r="CC42" s="481">
        <f t="shared" si="52"/>
        <v>0</v>
      </c>
      <c r="CD42" s="481">
        <v>0</v>
      </c>
      <c r="CE42" s="109">
        <v>0</v>
      </c>
      <c r="CF42" s="481">
        <v>0</v>
      </c>
      <c r="CG42" s="481">
        <v>0</v>
      </c>
      <c r="CH42" s="481">
        <v>0</v>
      </c>
      <c r="CI42" s="481">
        <v>0</v>
      </c>
      <c r="CJ42" s="478">
        <f t="shared" si="6"/>
        <v>0</v>
      </c>
      <c r="CL42" s="627"/>
      <c r="CM42" s="623"/>
      <c r="CN42" s="512"/>
      <c r="CO42" s="512"/>
      <c r="CP42" s="512"/>
      <c r="CQ42" s="512"/>
      <c r="CR42" s="512"/>
      <c r="CS42" s="512"/>
      <c r="CT42" s="512"/>
      <c r="CU42" s="512"/>
      <c r="CV42" s="512"/>
      <c r="CW42" s="512"/>
      <c r="CX42" s="512"/>
      <c r="CY42" s="512"/>
      <c r="CZ42" s="516">
        <f t="shared" si="17"/>
        <v>0</v>
      </c>
      <c r="DB42" s="311">
        <f t="shared" si="18"/>
        <v>0</v>
      </c>
      <c r="DC42" s="311">
        <f t="shared" si="18"/>
        <v>0</v>
      </c>
      <c r="DP42" s="478">
        <f t="shared" si="19"/>
        <v>0</v>
      </c>
      <c r="DQ42" s="508"/>
      <c r="DR42" s="577">
        <f t="shared" si="44"/>
        <v>0</v>
      </c>
      <c r="DS42" s="577">
        <f t="shared" si="20"/>
        <v>0</v>
      </c>
      <c r="DT42" s="577">
        <f t="shared" si="21"/>
        <v>0</v>
      </c>
      <c r="DU42" s="577">
        <f t="shared" si="22"/>
        <v>0</v>
      </c>
      <c r="DV42" s="577">
        <f t="shared" si="23"/>
        <v>0</v>
      </c>
      <c r="DW42" s="577">
        <f t="shared" si="24"/>
        <v>0</v>
      </c>
      <c r="DX42" s="577">
        <f t="shared" si="25"/>
        <v>0</v>
      </c>
      <c r="DY42" s="577">
        <f t="shared" si="26"/>
        <v>0</v>
      </c>
      <c r="DZ42" s="577">
        <f t="shared" si="27"/>
        <v>0</v>
      </c>
      <c r="EA42" s="577">
        <f t="shared" si="28"/>
        <v>0</v>
      </c>
      <c r="EB42" s="577">
        <f t="shared" si="29"/>
        <v>0</v>
      </c>
      <c r="EC42" s="634">
        <f t="shared" si="30"/>
        <v>0</v>
      </c>
      <c r="ED42" s="478">
        <f t="shared" si="31"/>
        <v>0</v>
      </c>
      <c r="EE42" s="630"/>
      <c r="EF42" s="632">
        <f t="shared" si="32"/>
        <v>0</v>
      </c>
      <c r="EG42" s="632">
        <f t="shared" si="33"/>
        <v>0</v>
      </c>
      <c r="EH42" s="632">
        <f t="shared" si="34"/>
        <v>0</v>
      </c>
      <c r="EI42" s="632">
        <f t="shared" si="35"/>
        <v>0</v>
      </c>
      <c r="EJ42" s="632">
        <f t="shared" si="36"/>
        <v>0</v>
      </c>
      <c r="EK42" s="632">
        <f t="shared" si="37"/>
        <v>0</v>
      </c>
      <c r="EL42" s="632">
        <f t="shared" si="38"/>
        <v>0</v>
      </c>
      <c r="EM42" s="632">
        <f t="shared" si="39"/>
        <v>0</v>
      </c>
      <c r="EN42" s="632">
        <f t="shared" si="40"/>
        <v>0</v>
      </c>
      <c r="EO42" s="632">
        <f t="shared" si="41"/>
        <v>0</v>
      </c>
      <c r="EP42" s="629">
        <f t="shared" si="42"/>
        <v>0</v>
      </c>
      <c r="EQ42" s="632">
        <f t="shared" si="43"/>
        <v>0</v>
      </c>
      <c r="ER42" s="478">
        <f t="shared" si="9"/>
        <v>0</v>
      </c>
    </row>
    <row r="43" spans="1:148" x14ac:dyDescent="0.2">
      <c r="A43" s="337"/>
      <c r="B43" s="340"/>
      <c r="C43" s="317"/>
      <c r="D43" s="317"/>
      <c r="E43" s="317"/>
      <c r="F43" s="317"/>
      <c r="G43" s="317"/>
      <c r="H43" s="312">
        <f>SUM('PRD Sales Forecast'!$B43:$G43)</f>
        <v>0</v>
      </c>
      <c r="I43" s="319"/>
      <c r="J43" s="317"/>
      <c r="K43" s="317"/>
      <c r="L43" s="317"/>
      <c r="M43" s="317"/>
      <c r="N43" s="318"/>
      <c r="O43" s="312">
        <f>SUM('PRD Sales Forecast'!$I43:$N43)</f>
        <v>0</v>
      </c>
      <c r="P43" s="346"/>
      <c r="Q43" s="346"/>
      <c r="R43" s="346"/>
      <c r="S43" s="346"/>
      <c r="T43" s="346"/>
      <c r="U43" s="346"/>
      <c r="V43" s="346"/>
      <c r="W43" s="315"/>
      <c r="X43" s="315"/>
      <c r="Y43" s="315"/>
      <c r="Z43" s="316"/>
      <c r="AA43" s="316"/>
      <c r="AB43" s="314">
        <f>SUM('PRD Sales Forecast'!$P43:$AA43)</f>
        <v>0</v>
      </c>
      <c r="AC43" s="337"/>
      <c r="AD43" s="311"/>
      <c r="AE43" s="311" t="s">
        <v>1010</v>
      </c>
      <c r="AF43" s="512"/>
      <c r="AG43" s="565">
        <v>1200</v>
      </c>
      <c r="AH43" s="512">
        <v>1500</v>
      </c>
      <c r="AI43" s="512">
        <v>1600</v>
      </c>
      <c r="AJ43" s="512"/>
      <c r="AK43" s="512"/>
      <c r="AL43" s="512"/>
      <c r="AM43" s="512"/>
      <c r="AN43" s="512">
        <v>2000</v>
      </c>
      <c r="AO43" s="512"/>
      <c r="AP43" s="512"/>
      <c r="AQ43" s="512"/>
      <c r="AR43" s="516">
        <f t="shared" si="10"/>
        <v>6300</v>
      </c>
      <c r="AT43" s="311"/>
      <c r="AU43" s="311" t="s">
        <v>1010</v>
      </c>
      <c r="AV43" s="510">
        <v>350</v>
      </c>
      <c r="BH43" s="361">
        <f t="shared" si="11"/>
        <v>350</v>
      </c>
      <c r="BI43" s="508"/>
      <c r="BJ43" s="577">
        <f t="shared" si="12"/>
        <v>0</v>
      </c>
      <c r="BK43" s="577">
        <v>0</v>
      </c>
      <c r="BL43" s="481">
        <v>1150</v>
      </c>
      <c r="BM43" s="481">
        <v>0</v>
      </c>
      <c r="BN43" s="481">
        <f t="shared" si="55"/>
        <v>0</v>
      </c>
      <c r="BO43" s="481">
        <f t="shared" si="56"/>
        <v>0</v>
      </c>
      <c r="BP43" s="481">
        <v>0</v>
      </c>
      <c r="BQ43" s="109">
        <v>0</v>
      </c>
      <c r="BR43" s="481">
        <v>0</v>
      </c>
      <c r="BS43" s="481">
        <v>0</v>
      </c>
      <c r="BT43" s="481">
        <v>0</v>
      </c>
      <c r="BU43" s="481">
        <v>1200</v>
      </c>
      <c r="BV43" s="478">
        <f t="shared" si="14"/>
        <v>2350</v>
      </c>
      <c r="BX43" s="481">
        <v>0</v>
      </c>
      <c r="BY43" s="481">
        <f t="shared" si="48"/>
        <v>0</v>
      </c>
      <c r="BZ43" s="481">
        <v>485</v>
      </c>
      <c r="CA43" s="481">
        <f t="shared" si="50"/>
        <v>0</v>
      </c>
      <c r="CB43" s="481">
        <f t="shared" si="51"/>
        <v>0</v>
      </c>
      <c r="CC43" s="481">
        <f t="shared" si="52"/>
        <v>0</v>
      </c>
      <c r="CD43" s="481">
        <v>0</v>
      </c>
      <c r="CE43" s="109">
        <v>0</v>
      </c>
      <c r="CF43" s="481">
        <v>0</v>
      </c>
      <c r="CG43" s="481">
        <v>0</v>
      </c>
      <c r="CH43" s="481">
        <v>0</v>
      </c>
      <c r="CI43" s="481">
        <v>0</v>
      </c>
      <c r="CJ43" s="478">
        <f t="shared" si="6"/>
        <v>485</v>
      </c>
      <c r="CL43" s="627"/>
      <c r="CM43" s="623"/>
      <c r="CN43" s="512"/>
      <c r="CO43" s="565"/>
      <c r="CP43" s="512"/>
      <c r="CQ43" s="512"/>
      <c r="CR43" s="512"/>
      <c r="CS43" s="512"/>
      <c r="CT43" s="512"/>
      <c r="CU43" s="512"/>
      <c r="CV43" s="512"/>
      <c r="CW43" s="512"/>
      <c r="CX43" s="512"/>
      <c r="CY43" s="512"/>
      <c r="CZ43" s="516">
        <f t="shared" si="17"/>
        <v>0</v>
      </c>
      <c r="DB43" s="311">
        <f t="shared" si="18"/>
        <v>0</v>
      </c>
      <c r="DC43" s="311">
        <f t="shared" si="18"/>
        <v>0</v>
      </c>
      <c r="DD43" s="510"/>
      <c r="DP43" s="478">
        <f t="shared" si="19"/>
        <v>0</v>
      </c>
      <c r="DQ43" s="508"/>
      <c r="DR43" s="577">
        <f t="shared" si="44"/>
        <v>0</v>
      </c>
      <c r="DS43" s="577">
        <f t="shared" si="20"/>
        <v>0</v>
      </c>
      <c r="DT43" s="577">
        <f t="shared" si="21"/>
        <v>0</v>
      </c>
      <c r="DU43" s="577">
        <f t="shared" si="22"/>
        <v>0</v>
      </c>
      <c r="DV43" s="577">
        <f t="shared" si="23"/>
        <v>0</v>
      </c>
      <c r="DW43" s="577">
        <f t="shared" si="24"/>
        <v>0</v>
      </c>
      <c r="DX43" s="577">
        <f t="shared" si="25"/>
        <v>0</v>
      </c>
      <c r="DY43" s="577">
        <f t="shared" si="26"/>
        <v>0</v>
      </c>
      <c r="DZ43" s="577">
        <f t="shared" si="27"/>
        <v>0</v>
      </c>
      <c r="EA43" s="577">
        <f t="shared" si="28"/>
        <v>0</v>
      </c>
      <c r="EB43" s="577">
        <f t="shared" si="29"/>
        <v>0</v>
      </c>
      <c r="EC43" s="634">
        <f t="shared" si="30"/>
        <v>0</v>
      </c>
      <c r="ED43" s="478">
        <f t="shared" si="31"/>
        <v>0</v>
      </c>
      <c r="EE43" s="630"/>
      <c r="EF43" s="632">
        <f t="shared" si="32"/>
        <v>0</v>
      </c>
      <c r="EG43" s="632">
        <f t="shared" si="33"/>
        <v>0</v>
      </c>
      <c r="EH43" s="632">
        <f t="shared" si="34"/>
        <v>0</v>
      </c>
      <c r="EI43" s="632">
        <f t="shared" si="35"/>
        <v>0</v>
      </c>
      <c r="EJ43" s="632">
        <f t="shared" si="36"/>
        <v>0</v>
      </c>
      <c r="EK43" s="632">
        <f t="shared" si="37"/>
        <v>0</v>
      </c>
      <c r="EL43" s="632">
        <f t="shared" si="38"/>
        <v>0</v>
      </c>
      <c r="EM43" s="632">
        <f t="shared" si="39"/>
        <v>0</v>
      </c>
      <c r="EN43" s="632">
        <f t="shared" si="40"/>
        <v>0</v>
      </c>
      <c r="EO43" s="632">
        <f t="shared" si="41"/>
        <v>0</v>
      </c>
      <c r="EP43" s="629">
        <f t="shared" si="42"/>
        <v>0</v>
      </c>
      <c r="EQ43" s="632">
        <f t="shared" si="43"/>
        <v>0</v>
      </c>
      <c r="ER43" s="478">
        <f t="shared" si="9"/>
        <v>0</v>
      </c>
    </row>
    <row r="44" spans="1:148" x14ac:dyDescent="0.2">
      <c r="A44" s="337"/>
      <c r="B44" s="340"/>
      <c r="C44" s="317"/>
      <c r="D44" s="317"/>
      <c r="E44" s="317"/>
      <c r="F44" s="317"/>
      <c r="G44" s="317"/>
      <c r="H44" s="312">
        <f>SUM('PRD Sales Forecast'!$B44:$G44)</f>
        <v>0</v>
      </c>
      <c r="I44" s="319"/>
      <c r="J44" s="317"/>
      <c r="K44" s="317"/>
      <c r="L44" s="317"/>
      <c r="M44" s="317"/>
      <c r="N44" s="318"/>
      <c r="O44" s="312">
        <f>SUM('PRD Sales Forecast'!$I44:$N44)</f>
        <v>0</v>
      </c>
      <c r="P44" s="346"/>
      <c r="Q44" s="346"/>
      <c r="R44" s="346"/>
      <c r="S44" s="346"/>
      <c r="T44" s="346"/>
      <c r="U44" s="346"/>
      <c r="V44" s="346"/>
      <c r="W44" s="315"/>
      <c r="X44" s="315"/>
      <c r="Y44" s="315"/>
      <c r="Z44" s="316"/>
      <c r="AA44" s="316"/>
      <c r="AB44" s="314">
        <f>SUM('PRD Sales Forecast'!$P44:$AA44)</f>
        <v>0</v>
      </c>
      <c r="AC44" s="337"/>
      <c r="AD44" s="311"/>
      <c r="AE44" s="311" t="s">
        <v>1011</v>
      </c>
      <c r="AF44" s="512"/>
      <c r="AG44" s="512" t="s">
        <v>1005</v>
      </c>
      <c r="AH44" s="512">
        <v>1500</v>
      </c>
      <c r="AI44" s="512">
        <v>1000</v>
      </c>
      <c r="AJ44" s="512"/>
      <c r="AK44" s="512"/>
      <c r="AL44" s="512"/>
      <c r="AM44" s="512"/>
      <c r="AN44" s="512">
        <v>1500</v>
      </c>
      <c r="AO44" s="512">
        <v>1000</v>
      </c>
      <c r="AP44" s="512"/>
      <c r="AQ44" s="512"/>
      <c r="AR44" s="516">
        <f t="shared" si="10"/>
        <v>5000</v>
      </c>
      <c r="AT44" s="311"/>
      <c r="AU44" s="311" t="s">
        <v>1011</v>
      </c>
      <c r="AV44" s="293" t="s">
        <v>993</v>
      </c>
      <c r="BH44" s="361">
        <f t="shared" si="11"/>
        <v>0</v>
      </c>
      <c r="BI44" s="508"/>
      <c r="BJ44" s="577">
        <v>940</v>
      </c>
      <c r="BK44" s="577">
        <v>1426</v>
      </c>
      <c r="BL44" s="481">
        <v>1093.5</v>
      </c>
      <c r="BM44" s="481">
        <v>3265</v>
      </c>
      <c r="BN44" s="481">
        <v>1093.5</v>
      </c>
      <c r="BO44" s="481">
        <f t="shared" si="56"/>
        <v>0</v>
      </c>
      <c r="BP44" s="481">
        <v>0</v>
      </c>
      <c r="BQ44" s="109">
        <v>0</v>
      </c>
      <c r="BR44" s="481">
        <v>2080</v>
      </c>
      <c r="BS44" s="481">
        <v>940</v>
      </c>
      <c r="BT44" s="481">
        <v>0</v>
      </c>
      <c r="BU44" s="481">
        <v>0</v>
      </c>
      <c r="BV44" s="478">
        <f t="shared" si="14"/>
        <v>10838</v>
      </c>
      <c r="BX44" s="481" t="str">
        <f t="shared" si="15"/>
        <v xml:space="preserve">$-   </v>
      </c>
      <c r="BY44" s="481">
        <f t="shared" si="48"/>
        <v>0</v>
      </c>
      <c r="BZ44" s="481">
        <f t="shared" si="49"/>
        <v>0</v>
      </c>
      <c r="CA44" s="481">
        <f t="shared" si="50"/>
        <v>0</v>
      </c>
      <c r="CB44" s="481">
        <f t="shared" si="51"/>
        <v>0</v>
      </c>
      <c r="CC44" s="481">
        <f t="shared" si="52"/>
        <v>0</v>
      </c>
      <c r="CD44" s="481">
        <v>0</v>
      </c>
      <c r="CE44" s="109">
        <v>0</v>
      </c>
      <c r="CF44" s="481">
        <v>0</v>
      </c>
      <c r="CG44" s="481">
        <v>0</v>
      </c>
      <c r="CH44" s="481">
        <v>0</v>
      </c>
      <c r="CI44" s="481">
        <v>0</v>
      </c>
      <c r="CJ44" s="478">
        <f t="shared" si="6"/>
        <v>0</v>
      </c>
      <c r="CL44" s="627"/>
      <c r="CM44" s="623"/>
      <c r="CN44" s="512"/>
      <c r="CO44" s="512"/>
      <c r="CP44" s="512"/>
      <c r="CQ44" s="512"/>
      <c r="CR44" s="512"/>
      <c r="CS44" s="512"/>
      <c r="CT44" s="512"/>
      <c r="CU44" s="512"/>
      <c r="CV44" s="512"/>
      <c r="CW44" s="512"/>
      <c r="CX44" s="512"/>
      <c r="CY44" s="512"/>
      <c r="CZ44" s="516">
        <f t="shared" si="17"/>
        <v>0</v>
      </c>
      <c r="DB44" s="311">
        <f t="shared" si="18"/>
        <v>0</v>
      </c>
      <c r="DC44" s="311">
        <f t="shared" si="18"/>
        <v>0</v>
      </c>
      <c r="DP44" s="478">
        <f t="shared" si="19"/>
        <v>0</v>
      </c>
      <c r="DQ44" s="508"/>
      <c r="DR44" s="577">
        <f t="shared" si="44"/>
        <v>0</v>
      </c>
      <c r="DS44" s="577">
        <f t="shared" si="20"/>
        <v>0</v>
      </c>
      <c r="DT44" s="577">
        <f t="shared" si="21"/>
        <v>0</v>
      </c>
      <c r="DU44" s="577">
        <f t="shared" si="22"/>
        <v>0</v>
      </c>
      <c r="DV44" s="577">
        <f t="shared" si="23"/>
        <v>0</v>
      </c>
      <c r="DW44" s="577">
        <f t="shared" si="24"/>
        <v>0</v>
      </c>
      <c r="DX44" s="577">
        <f t="shared" si="25"/>
        <v>0</v>
      </c>
      <c r="DY44" s="577">
        <f t="shared" si="26"/>
        <v>0</v>
      </c>
      <c r="DZ44" s="577">
        <f t="shared" si="27"/>
        <v>0</v>
      </c>
      <c r="EA44" s="577">
        <f t="shared" si="28"/>
        <v>0</v>
      </c>
      <c r="EB44" s="577">
        <f t="shared" si="29"/>
        <v>0</v>
      </c>
      <c r="EC44" s="634">
        <f t="shared" si="30"/>
        <v>0</v>
      </c>
      <c r="ED44" s="478">
        <f t="shared" si="31"/>
        <v>0</v>
      </c>
      <c r="EE44" s="630"/>
      <c r="EF44" s="632">
        <f t="shared" si="32"/>
        <v>0</v>
      </c>
      <c r="EG44" s="632">
        <f t="shared" si="33"/>
        <v>0</v>
      </c>
      <c r="EH44" s="632">
        <f t="shared" si="34"/>
        <v>0</v>
      </c>
      <c r="EI44" s="632">
        <f t="shared" si="35"/>
        <v>0</v>
      </c>
      <c r="EJ44" s="632">
        <f t="shared" si="36"/>
        <v>0</v>
      </c>
      <c r="EK44" s="632">
        <f t="shared" si="37"/>
        <v>0</v>
      </c>
      <c r="EL44" s="632">
        <f t="shared" si="38"/>
        <v>0</v>
      </c>
      <c r="EM44" s="632">
        <f t="shared" si="39"/>
        <v>0</v>
      </c>
      <c r="EN44" s="632">
        <f t="shared" si="40"/>
        <v>0</v>
      </c>
      <c r="EO44" s="632">
        <f t="shared" si="41"/>
        <v>0</v>
      </c>
      <c r="EP44" s="629">
        <f t="shared" si="42"/>
        <v>0</v>
      </c>
      <c r="EQ44" s="632">
        <f t="shared" si="43"/>
        <v>0</v>
      </c>
      <c r="ER44" s="478">
        <f t="shared" si="9"/>
        <v>0</v>
      </c>
    </row>
    <row r="45" spans="1:148" x14ac:dyDescent="0.2">
      <c r="A45" s="337"/>
      <c r="B45" s="340"/>
      <c r="C45" s="317"/>
      <c r="D45" s="317"/>
      <c r="E45" s="317"/>
      <c r="F45" s="317"/>
      <c r="G45" s="317"/>
      <c r="H45" s="312">
        <f>SUM('PRD Sales Forecast'!$B45:$G45)</f>
        <v>0</v>
      </c>
      <c r="I45" s="319"/>
      <c r="J45" s="317"/>
      <c r="K45" s="317"/>
      <c r="L45" s="317"/>
      <c r="M45" s="317"/>
      <c r="N45" s="318"/>
      <c r="O45" s="312">
        <f>SUM('PRD Sales Forecast'!$I45:$N45)</f>
        <v>0</v>
      </c>
      <c r="P45" s="346"/>
      <c r="Q45" s="346"/>
      <c r="R45" s="346"/>
      <c r="S45" s="346"/>
      <c r="T45" s="346"/>
      <c r="U45" s="346"/>
      <c r="V45" s="346"/>
      <c r="W45" s="315"/>
      <c r="X45" s="315"/>
      <c r="Y45" s="315"/>
      <c r="Z45" s="316"/>
      <c r="AA45" s="316"/>
      <c r="AB45" s="314">
        <f>SUM('PRD Sales Forecast'!$P45:$AA45)</f>
        <v>0</v>
      </c>
      <c r="AC45" s="337"/>
      <c r="AD45" s="311"/>
      <c r="AE45" s="311" t="s">
        <v>1012</v>
      </c>
      <c r="AF45" s="512"/>
      <c r="AG45" s="565">
        <v>1000</v>
      </c>
      <c r="AH45" s="565">
        <v>1000</v>
      </c>
      <c r="AI45" s="512">
        <v>1000</v>
      </c>
      <c r="AJ45" s="512">
        <v>1000</v>
      </c>
      <c r="AK45" s="512">
        <v>2000</v>
      </c>
      <c r="AL45" s="512"/>
      <c r="AM45" s="512">
        <v>1500</v>
      </c>
      <c r="AN45" s="512">
        <v>4000</v>
      </c>
      <c r="AO45" s="512">
        <v>4000</v>
      </c>
      <c r="AP45" s="512">
        <v>3000</v>
      </c>
      <c r="AQ45" s="512">
        <v>1500</v>
      </c>
      <c r="AR45" s="516">
        <f t="shared" si="10"/>
        <v>20000</v>
      </c>
      <c r="AT45" s="311"/>
      <c r="AU45" s="311" t="s">
        <v>1012</v>
      </c>
      <c r="BH45" s="361">
        <f t="shared" si="11"/>
        <v>0</v>
      </c>
      <c r="BI45" s="508"/>
      <c r="BJ45" s="577">
        <f t="shared" si="12"/>
        <v>0</v>
      </c>
      <c r="BK45" s="577">
        <v>0</v>
      </c>
      <c r="BL45" s="481">
        <v>0</v>
      </c>
      <c r="BM45" s="481">
        <v>10811</v>
      </c>
      <c r="BN45" s="481">
        <v>0</v>
      </c>
      <c r="BO45" s="481">
        <v>0</v>
      </c>
      <c r="BP45" s="481">
        <v>0</v>
      </c>
      <c r="BQ45" s="109">
        <v>0</v>
      </c>
      <c r="BR45" s="481">
        <v>0</v>
      </c>
      <c r="BS45" s="481">
        <v>0</v>
      </c>
      <c r="BT45" s="481">
        <v>3000</v>
      </c>
      <c r="BU45" s="481">
        <v>1500</v>
      </c>
      <c r="BV45" s="478">
        <f t="shared" si="14"/>
        <v>15311</v>
      </c>
      <c r="BX45" s="481">
        <f t="shared" si="15"/>
        <v>0</v>
      </c>
      <c r="BY45" s="481">
        <f t="shared" si="48"/>
        <v>0</v>
      </c>
      <c r="BZ45" s="481">
        <f t="shared" si="49"/>
        <v>0</v>
      </c>
      <c r="CA45" s="481">
        <f t="shared" si="50"/>
        <v>0</v>
      </c>
      <c r="CB45" s="481">
        <f t="shared" si="51"/>
        <v>0</v>
      </c>
      <c r="CC45" s="481">
        <f t="shared" si="52"/>
        <v>0</v>
      </c>
      <c r="CD45" s="481">
        <v>0</v>
      </c>
      <c r="CE45" s="109">
        <v>0</v>
      </c>
      <c r="CF45" s="481">
        <v>0</v>
      </c>
      <c r="CG45" s="481">
        <v>0</v>
      </c>
      <c r="CH45" s="481">
        <v>0</v>
      </c>
      <c r="CI45" s="481">
        <v>0</v>
      </c>
      <c r="CJ45" s="478">
        <f t="shared" si="6"/>
        <v>0</v>
      </c>
      <c r="CL45" s="627"/>
      <c r="CM45" s="623"/>
      <c r="CN45" s="512"/>
      <c r="CO45" s="565"/>
      <c r="CP45" s="565"/>
      <c r="CQ45" s="512"/>
      <c r="CR45" s="512"/>
      <c r="CS45" s="512"/>
      <c r="CT45" s="512"/>
      <c r="CU45" s="512"/>
      <c r="CV45" s="512"/>
      <c r="CW45" s="512"/>
      <c r="CX45" s="512"/>
      <c r="CY45" s="512"/>
      <c r="CZ45" s="516">
        <f t="shared" si="17"/>
        <v>0</v>
      </c>
      <c r="DB45" s="311">
        <f t="shared" si="18"/>
        <v>0</v>
      </c>
      <c r="DC45" s="311">
        <f t="shared" si="18"/>
        <v>0</v>
      </c>
      <c r="DP45" s="478">
        <f t="shared" si="19"/>
        <v>0</v>
      </c>
      <c r="DQ45" s="508"/>
      <c r="DR45" s="577">
        <f t="shared" si="44"/>
        <v>0</v>
      </c>
      <c r="DS45" s="577">
        <f t="shared" si="20"/>
        <v>0</v>
      </c>
      <c r="DT45" s="577">
        <f t="shared" si="21"/>
        <v>0</v>
      </c>
      <c r="DU45" s="577">
        <f t="shared" si="22"/>
        <v>0</v>
      </c>
      <c r="DV45" s="577">
        <f t="shared" si="23"/>
        <v>0</v>
      </c>
      <c r="DW45" s="577">
        <f t="shared" si="24"/>
        <v>0</v>
      </c>
      <c r="DX45" s="577">
        <f t="shared" si="25"/>
        <v>0</v>
      </c>
      <c r="DY45" s="577">
        <f t="shared" si="26"/>
        <v>0</v>
      </c>
      <c r="DZ45" s="577">
        <f t="shared" si="27"/>
        <v>0</v>
      </c>
      <c r="EA45" s="577">
        <f t="shared" si="28"/>
        <v>0</v>
      </c>
      <c r="EB45" s="577">
        <f t="shared" si="29"/>
        <v>0</v>
      </c>
      <c r="EC45" s="634">
        <f t="shared" si="30"/>
        <v>0</v>
      </c>
      <c r="ED45" s="478">
        <f t="shared" si="31"/>
        <v>0</v>
      </c>
      <c r="EE45" s="630"/>
      <c r="EF45" s="632">
        <f t="shared" si="32"/>
        <v>0</v>
      </c>
      <c r="EG45" s="632">
        <f t="shared" si="33"/>
        <v>0</v>
      </c>
      <c r="EH45" s="632">
        <f t="shared" si="34"/>
        <v>0</v>
      </c>
      <c r="EI45" s="632">
        <f t="shared" si="35"/>
        <v>0</v>
      </c>
      <c r="EJ45" s="632">
        <f t="shared" si="36"/>
        <v>0</v>
      </c>
      <c r="EK45" s="632">
        <f t="shared" si="37"/>
        <v>0</v>
      </c>
      <c r="EL45" s="632">
        <f t="shared" si="38"/>
        <v>0</v>
      </c>
      <c r="EM45" s="632">
        <f t="shared" si="39"/>
        <v>0</v>
      </c>
      <c r="EN45" s="632">
        <f t="shared" si="40"/>
        <v>0</v>
      </c>
      <c r="EO45" s="632">
        <f t="shared" si="41"/>
        <v>0</v>
      </c>
      <c r="EP45" s="629">
        <f t="shared" si="42"/>
        <v>0</v>
      </c>
      <c r="EQ45" s="632">
        <f t="shared" si="43"/>
        <v>0</v>
      </c>
      <c r="ER45" s="478">
        <f t="shared" si="9"/>
        <v>0</v>
      </c>
    </row>
    <row r="46" spans="1:148" x14ac:dyDescent="0.2">
      <c r="A46" s="337"/>
      <c r="B46" s="340"/>
      <c r="C46" s="317"/>
      <c r="D46" s="317"/>
      <c r="E46" s="317"/>
      <c r="F46" s="317"/>
      <c r="G46" s="317"/>
      <c r="H46" s="312">
        <f>SUM('PRD Sales Forecast'!$B46:$G46)</f>
        <v>0</v>
      </c>
      <c r="I46" s="319"/>
      <c r="J46" s="317"/>
      <c r="K46" s="317"/>
      <c r="L46" s="317"/>
      <c r="M46" s="317"/>
      <c r="N46" s="318"/>
      <c r="O46" s="312">
        <f>SUM('PRD Sales Forecast'!$I46:$N46)</f>
        <v>0</v>
      </c>
      <c r="P46" s="346"/>
      <c r="Q46" s="346"/>
      <c r="R46" s="346"/>
      <c r="S46" s="346"/>
      <c r="T46" s="346"/>
      <c r="U46" s="346"/>
      <c r="V46" s="346"/>
      <c r="W46" s="315"/>
      <c r="X46" s="315"/>
      <c r="Y46" s="315"/>
      <c r="Z46" s="316"/>
      <c r="AA46" s="316"/>
      <c r="AB46" s="314">
        <f>SUM('PRD Sales Forecast'!$P46:$AA46)</f>
        <v>0</v>
      </c>
      <c r="AC46" s="337"/>
      <c r="AD46" s="311"/>
      <c r="AE46" s="311" t="s">
        <v>994</v>
      </c>
      <c r="AF46" s="512">
        <v>1600</v>
      </c>
      <c r="AG46" s="565">
        <v>3200</v>
      </c>
      <c r="AH46" s="565">
        <v>1600</v>
      </c>
      <c r="AI46" s="512">
        <v>6400</v>
      </c>
      <c r="AJ46" s="512">
        <v>3200</v>
      </c>
      <c r="AK46" s="512">
        <v>1600</v>
      </c>
      <c r="AL46" s="512">
        <v>800</v>
      </c>
      <c r="AM46" s="512">
        <v>3200</v>
      </c>
      <c r="AN46" s="512">
        <v>1600</v>
      </c>
      <c r="AO46" s="512">
        <v>1600</v>
      </c>
      <c r="AP46" s="512">
        <v>1600</v>
      </c>
      <c r="AQ46" s="512">
        <v>3200</v>
      </c>
      <c r="AR46" s="516">
        <f t="shared" si="10"/>
        <v>29600</v>
      </c>
      <c r="AT46" s="311"/>
      <c r="AU46" s="311" t="s">
        <v>994</v>
      </c>
      <c r="BH46" s="361">
        <f t="shared" si="11"/>
        <v>0</v>
      </c>
      <c r="BI46" s="508"/>
      <c r="BJ46" s="577">
        <v>0</v>
      </c>
      <c r="BK46" s="577">
        <v>0</v>
      </c>
      <c r="BL46" s="481">
        <v>0</v>
      </c>
      <c r="BM46" s="481">
        <v>0</v>
      </c>
      <c r="BN46" s="481">
        <v>0</v>
      </c>
      <c r="BO46" s="481">
        <v>0</v>
      </c>
      <c r="BP46" s="481">
        <v>0</v>
      </c>
      <c r="BQ46" s="109">
        <v>0</v>
      </c>
      <c r="BR46" s="481">
        <v>0</v>
      </c>
      <c r="BS46" s="481">
        <v>0</v>
      </c>
      <c r="BT46" s="481">
        <v>3200</v>
      </c>
      <c r="BU46" s="481">
        <v>3200</v>
      </c>
      <c r="BV46" s="478">
        <f t="shared" si="14"/>
        <v>6400</v>
      </c>
      <c r="BX46" s="481">
        <f t="shared" si="15"/>
        <v>0</v>
      </c>
      <c r="BY46" s="481">
        <f t="shared" si="48"/>
        <v>0</v>
      </c>
      <c r="BZ46" s="481">
        <f t="shared" si="49"/>
        <v>0</v>
      </c>
      <c r="CA46" s="481">
        <f t="shared" si="50"/>
        <v>0</v>
      </c>
      <c r="CB46" s="481">
        <f t="shared" si="51"/>
        <v>0</v>
      </c>
      <c r="CC46" s="481">
        <v>950</v>
      </c>
      <c r="CD46" s="481">
        <v>0</v>
      </c>
      <c r="CE46" s="109">
        <v>0</v>
      </c>
      <c r="CF46" s="481">
        <v>0</v>
      </c>
      <c r="CG46" s="481">
        <v>0</v>
      </c>
      <c r="CH46" s="481">
        <v>0</v>
      </c>
      <c r="CI46" s="481">
        <v>0</v>
      </c>
      <c r="CJ46" s="478">
        <f t="shared" si="6"/>
        <v>950</v>
      </c>
      <c r="CL46" s="627"/>
      <c r="CM46" s="623"/>
      <c r="CN46" s="512"/>
      <c r="CO46" s="565"/>
      <c r="CP46" s="565"/>
      <c r="CQ46" s="512"/>
      <c r="CR46" s="512"/>
      <c r="CS46" s="512"/>
      <c r="CT46" s="512"/>
      <c r="CU46" s="512"/>
      <c r="CV46" s="512"/>
      <c r="CW46" s="512"/>
      <c r="CX46" s="512"/>
      <c r="CY46" s="512"/>
      <c r="CZ46" s="516">
        <f t="shared" si="17"/>
        <v>0</v>
      </c>
      <c r="DB46" s="311">
        <f t="shared" si="18"/>
        <v>0</v>
      </c>
      <c r="DC46" s="311">
        <f t="shared" si="18"/>
        <v>0</v>
      </c>
      <c r="DP46" s="478">
        <f t="shared" si="19"/>
        <v>0</v>
      </c>
      <c r="DQ46" s="508"/>
      <c r="DR46" s="577">
        <f t="shared" si="44"/>
        <v>0</v>
      </c>
      <c r="DS46" s="577">
        <f t="shared" si="20"/>
        <v>0</v>
      </c>
      <c r="DT46" s="577">
        <f t="shared" si="21"/>
        <v>0</v>
      </c>
      <c r="DU46" s="577">
        <f t="shared" si="22"/>
        <v>0</v>
      </c>
      <c r="DV46" s="577">
        <f t="shared" si="23"/>
        <v>0</v>
      </c>
      <c r="DW46" s="577">
        <f t="shared" si="24"/>
        <v>0</v>
      </c>
      <c r="DX46" s="577">
        <f t="shared" si="25"/>
        <v>0</v>
      </c>
      <c r="DY46" s="577">
        <f t="shared" si="26"/>
        <v>0</v>
      </c>
      <c r="DZ46" s="577">
        <f t="shared" si="27"/>
        <v>0</v>
      </c>
      <c r="EA46" s="577">
        <f t="shared" si="28"/>
        <v>0</v>
      </c>
      <c r="EB46" s="577">
        <f t="shared" si="29"/>
        <v>0</v>
      </c>
      <c r="EC46" s="634">
        <f t="shared" si="30"/>
        <v>0</v>
      </c>
      <c r="ED46" s="478">
        <f t="shared" si="31"/>
        <v>0</v>
      </c>
      <c r="EE46" s="630"/>
      <c r="EF46" s="632">
        <f t="shared" si="32"/>
        <v>0</v>
      </c>
      <c r="EG46" s="632">
        <f t="shared" si="33"/>
        <v>0</v>
      </c>
      <c r="EH46" s="632">
        <f t="shared" si="34"/>
        <v>0</v>
      </c>
      <c r="EI46" s="632">
        <f t="shared" si="35"/>
        <v>0</v>
      </c>
      <c r="EJ46" s="632">
        <f t="shared" si="36"/>
        <v>0</v>
      </c>
      <c r="EK46" s="632">
        <f t="shared" si="37"/>
        <v>0</v>
      </c>
      <c r="EL46" s="632">
        <f t="shared" si="38"/>
        <v>0</v>
      </c>
      <c r="EM46" s="632">
        <f t="shared" si="39"/>
        <v>0</v>
      </c>
      <c r="EN46" s="632">
        <f t="shared" si="40"/>
        <v>0</v>
      </c>
      <c r="EO46" s="632">
        <f t="shared" si="41"/>
        <v>0</v>
      </c>
      <c r="EP46" s="629">
        <f t="shared" si="42"/>
        <v>0</v>
      </c>
      <c r="EQ46" s="632">
        <f t="shared" si="43"/>
        <v>0</v>
      </c>
      <c r="ER46" s="478">
        <f t="shared" si="9"/>
        <v>0</v>
      </c>
    </row>
    <row r="47" spans="1:148" x14ac:dyDescent="0.2">
      <c r="A47" s="337"/>
      <c r="B47" s="340"/>
      <c r="C47" s="317"/>
      <c r="D47" s="317"/>
      <c r="E47" s="317"/>
      <c r="F47" s="317"/>
      <c r="G47" s="317"/>
      <c r="H47" s="312">
        <f>SUM('PRD Sales Forecast'!$B47:$G47)</f>
        <v>0</v>
      </c>
      <c r="I47" s="319"/>
      <c r="J47" s="317"/>
      <c r="K47" s="317"/>
      <c r="L47" s="317"/>
      <c r="M47" s="317"/>
      <c r="N47" s="318"/>
      <c r="O47" s="312">
        <f>SUM('PRD Sales Forecast'!$I47:$N47)</f>
        <v>0</v>
      </c>
      <c r="P47" s="346"/>
      <c r="Q47" s="346"/>
      <c r="R47" s="346"/>
      <c r="S47" s="346"/>
      <c r="T47" s="346"/>
      <c r="U47" s="346"/>
      <c r="V47" s="346"/>
      <c r="W47" s="315"/>
      <c r="X47" s="315"/>
      <c r="Y47" s="315"/>
      <c r="Z47" s="316"/>
      <c r="AA47" s="316"/>
      <c r="AB47" s="314">
        <f>SUM('PRD Sales Forecast'!$P47:$AA47)</f>
        <v>0</v>
      </c>
      <c r="AC47" s="337"/>
      <c r="AD47" s="311"/>
      <c r="AE47" s="311" t="s">
        <v>1052</v>
      </c>
      <c r="AF47" s="512"/>
      <c r="AG47" s="512"/>
      <c r="AH47" s="512"/>
      <c r="AI47" s="512"/>
      <c r="AJ47" s="512">
        <v>20000</v>
      </c>
      <c r="AK47" s="512"/>
      <c r="AL47" s="512"/>
      <c r="AM47" s="512"/>
      <c r="AN47" s="512"/>
      <c r="AO47" s="512"/>
      <c r="AP47" s="512"/>
      <c r="AQ47" s="512"/>
      <c r="AR47" s="516">
        <f>SUM(AF47:AQ47)</f>
        <v>20000</v>
      </c>
      <c r="AT47" s="311"/>
      <c r="AU47" s="311" t="s">
        <v>1052</v>
      </c>
      <c r="BH47" s="361">
        <f t="shared" si="11"/>
        <v>0</v>
      </c>
      <c r="BI47" s="508"/>
      <c r="BJ47" s="577">
        <f t="shared" si="12"/>
        <v>0</v>
      </c>
      <c r="BK47" s="577">
        <v>10000</v>
      </c>
      <c r="BL47" s="481">
        <f t="shared" si="53"/>
        <v>0</v>
      </c>
      <c r="BM47" s="481">
        <f t="shared" si="54"/>
        <v>0</v>
      </c>
      <c r="BN47" s="481">
        <v>0</v>
      </c>
      <c r="BO47" s="481">
        <f t="shared" si="56"/>
        <v>0</v>
      </c>
      <c r="BP47" s="481">
        <v>0</v>
      </c>
      <c r="BQ47" s="109">
        <v>0</v>
      </c>
      <c r="BR47" s="481">
        <v>0</v>
      </c>
      <c r="BS47" s="481">
        <v>0</v>
      </c>
      <c r="BT47" s="481">
        <v>0</v>
      </c>
      <c r="BU47" s="481">
        <v>0</v>
      </c>
      <c r="BV47" s="478">
        <f t="shared" si="14"/>
        <v>10000</v>
      </c>
      <c r="BX47" s="481">
        <f t="shared" si="15"/>
        <v>0</v>
      </c>
      <c r="BY47" s="481">
        <f t="shared" si="48"/>
        <v>0</v>
      </c>
      <c r="BZ47" s="481">
        <f t="shared" si="49"/>
        <v>0</v>
      </c>
      <c r="CA47" s="481">
        <f t="shared" si="50"/>
        <v>0</v>
      </c>
      <c r="CB47" s="481">
        <f t="shared" si="51"/>
        <v>0</v>
      </c>
      <c r="CC47" s="481">
        <f t="shared" si="52"/>
        <v>0</v>
      </c>
      <c r="CD47" s="481">
        <v>0</v>
      </c>
      <c r="CE47" s="481">
        <v>0</v>
      </c>
      <c r="CF47" s="481">
        <v>0</v>
      </c>
      <c r="CG47" s="481">
        <v>0</v>
      </c>
      <c r="CH47" s="481">
        <v>0</v>
      </c>
      <c r="CI47" s="481">
        <v>0</v>
      </c>
      <c r="CJ47" s="478">
        <f t="shared" si="6"/>
        <v>0</v>
      </c>
      <c r="CL47" s="627"/>
      <c r="CM47" s="623"/>
      <c r="CN47" s="512"/>
      <c r="CO47" s="512"/>
      <c r="CP47" s="512"/>
      <c r="CQ47" s="512"/>
      <c r="CR47" s="512"/>
      <c r="CS47" s="512"/>
      <c r="CT47" s="512"/>
      <c r="CU47" s="512"/>
      <c r="CV47" s="512"/>
      <c r="CW47" s="512"/>
      <c r="CX47" s="512"/>
      <c r="CY47" s="512"/>
      <c r="CZ47" s="516">
        <f t="shared" si="17"/>
        <v>0</v>
      </c>
      <c r="DB47" s="311">
        <f t="shared" si="18"/>
        <v>0</v>
      </c>
      <c r="DC47" s="311">
        <f t="shared" si="18"/>
        <v>0</v>
      </c>
      <c r="DP47" s="478">
        <f t="shared" si="19"/>
        <v>0</v>
      </c>
      <c r="DQ47" s="508"/>
      <c r="DR47" s="577">
        <f t="shared" si="44"/>
        <v>0</v>
      </c>
      <c r="DS47" s="577">
        <f t="shared" si="20"/>
        <v>0</v>
      </c>
      <c r="DT47" s="577">
        <f t="shared" si="21"/>
        <v>0</v>
      </c>
      <c r="DU47" s="577">
        <f t="shared" si="22"/>
        <v>0</v>
      </c>
      <c r="DV47" s="577">
        <f t="shared" si="23"/>
        <v>0</v>
      </c>
      <c r="DW47" s="577">
        <f t="shared" si="24"/>
        <v>0</v>
      </c>
      <c r="DX47" s="577">
        <f t="shared" si="25"/>
        <v>0</v>
      </c>
      <c r="DY47" s="577">
        <f t="shared" si="26"/>
        <v>0</v>
      </c>
      <c r="DZ47" s="577">
        <f t="shared" si="27"/>
        <v>0</v>
      </c>
      <c r="EA47" s="577">
        <f t="shared" si="28"/>
        <v>0</v>
      </c>
      <c r="EB47" s="577">
        <f t="shared" si="29"/>
        <v>0</v>
      </c>
      <c r="EC47" s="634">
        <f t="shared" si="30"/>
        <v>0</v>
      </c>
      <c r="ED47" s="478">
        <f t="shared" si="31"/>
        <v>0</v>
      </c>
      <c r="EE47" s="630"/>
      <c r="EF47" s="632">
        <f t="shared" si="32"/>
        <v>0</v>
      </c>
      <c r="EG47" s="632">
        <f t="shared" si="33"/>
        <v>0</v>
      </c>
      <c r="EH47" s="632">
        <f t="shared" si="34"/>
        <v>0</v>
      </c>
      <c r="EI47" s="632">
        <f t="shared" si="35"/>
        <v>0</v>
      </c>
      <c r="EJ47" s="632">
        <f t="shared" si="36"/>
        <v>0</v>
      </c>
      <c r="EK47" s="632">
        <f t="shared" si="37"/>
        <v>0</v>
      </c>
      <c r="EL47" s="632">
        <f t="shared" si="38"/>
        <v>0</v>
      </c>
      <c r="EM47" s="632">
        <f t="shared" si="39"/>
        <v>0</v>
      </c>
      <c r="EN47" s="632">
        <f t="shared" si="40"/>
        <v>0</v>
      </c>
      <c r="EO47" s="632">
        <f t="shared" si="41"/>
        <v>0</v>
      </c>
      <c r="EP47" s="629">
        <f t="shared" si="42"/>
        <v>0</v>
      </c>
      <c r="EQ47" s="632">
        <f t="shared" si="43"/>
        <v>0</v>
      </c>
      <c r="ER47" s="478">
        <f t="shared" si="9"/>
        <v>0</v>
      </c>
    </row>
    <row r="48" spans="1:148" x14ac:dyDescent="0.2">
      <c r="A48" s="337" t="s">
        <v>27</v>
      </c>
      <c r="B48" s="340" t="s">
        <v>623</v>
      </c>
      <c r="C48" s="317" t="s">
        <v>624</v>
      </c>
      <c r="D48" s="317" t="s">
        <v>625</v>
      </c>
      <c r="E48" s="317" t="s">
        <v>626</v>
      </c>
      <c r="F48" s="317" t="s">
        <v>627</v>
      </c>
      <c r="G48" s="317" t="s">
        <v>628</v>
      </c>
      <c r="H48" s="312" t="e">
        <f>H4+H5+H6+H7+H12+H13+H14+H15+H16+H17+H18+#REF!+#REF!+#REF!+H20+H22+H24+H25+H26</f>
        <v>#REF!</v>
      </c>
      <c r="I48" s="319" t="s">
        <v>629</v>
      </c>
      <c r="J48" s="317" t="s">
        <v>630</v>
      </c>
      <c r="K48" s="317" t="s">
        <v>631</v>
      </c>
      <c r="L48" s="317" t="s">
        <v>632</v>
      </c>
      <c r="M48" s="317" t="s">
        <v>633</v>
      </c>
      <c r="N48" s="318" t="s">
        <v>634</v>
      </c>
      <c r="O48" s="312">
        <f>SUM('PRD Sales Forecast'!$O$3:$O$47)</f>
        <v>296067.81000000006</v>
      </c>
      <c r="P48" s="346">
        <f>SUBTOTAL(109,'PRD Sales Forecast'!$P$3:$P$47)</f>
        <v>45260</v>
      </c>
      <c r="Q48" s="346">
        <f>SUBTOTAL(109,'PRD Sales Forecast'!$Q$3:$Q$47)</f>
        <v>312140</v>
      </c>
      <c r="R48" s="346">
        <f>SUBTOTAL(109,'PRD Sales Forecast'!$R$3:$R$47)</f>
        <v>157820</v>
      </c>
      <c r="S48" s="346">
        <f>SUBTOTAL(109,'PRD Sales Forecast'!$S$3:$S$47)</f>
        <v>640790</v>
      </c>
      <c r="T48" s="346">
        <f>SUBTOTAL(109,'PRD Sales Forecast'!$T$3:$T$47)</f>
        <v>325320</v>
      </c>
      <c r="U48" s="346">
        <f>SUBTOTAL(109,'PRD Sales Forecast'!$U$3:$U$47)</f>
        <v>53760</v>
      </c>
      <c r="V48" s="346">
        <f>SUBTOTAL(109,'PRD Sales Forecast'!$V$3:$V$47)</f>
        <v>8560</v>
      </c>
      <c r="W48" s="315">
        <f>SUBTOTAL(109,'PRD Sales Forecast'!$W$3:$W$47)</f>
        <v>323260</v>
      </c>
      <c r="X48" s="315">
        <f>SUBTOTAL(109,'PRD Sales Forecast'!$X$3:$X$47)</f>
        <v>78060</v>
      </c>
      <c r="Y48" s="315">
        <f>SUBTOTAL(109,'PRD Sales Forecast'!$Y$3:$Y$47)</f>
        <v>87760</v>
      </c>
      <c r="Z48" s="316">
        <f>SUBTOTAL(109,'PRD Sales Forecast'!$Z$3:$Z$47)</f>
        <v>188460</v>
      </c>
      <c r="AA48" s="316">
        <f>SUBTOTAL(109,'PRD Sales Forecast'!$AA$3:$AA$47)</f>
        <v>159760</v>
      </c>
      <c r="AB48" s="314">
        <f>SUBTOTAL(109,'PRD Sales Forecast'!$AB$3:$AB$47)</f>
        <v>2380950</v>
      </c>
      <c r="AC48" s="337"/>
      <c r="AD48" s="311"/>
      <c r="AE48" s="311" t="s">
        <v>1053</v>
      </c>
      <c r="AF48" s="512"/>
      <c r="AG48" s="512"/>
      <c r="AH48" s="512"/>
      <c r="AI48" s="512"/>
      <c r="AJ48" s="512"/>
      <c r="AK48" s="512"/>
      <c r="AL48" s="512"/>
      <c r="AM48" s="512"/>
      <c r="AN48" s="512"/>
      <c r="AO48" s="512">
        <v>7500</v>
      </c>
      <c r="AP48" s="512"/>
      <c r="AQ48" s="512"/>
      <c r="AR48" s="516">
        <f t="shared" si="10"/>
        <v>7500</v>
      </c>
      <c r="AT48" s="311"/>
      <c r="AU48" s="311"/>
      <c r="BH48" s="361">
        <f t="shared" si="11"/>
        <v>0</v>
      </c>
      <c r="BI48" s="508"/>
      <c r="BJ48" s="577">
        <f t="shared" si="12"/>
        <v>0</v>
      </c>
      <c r="BK48" s="577">
        <f t="shared" si="47"/>
        <v>0</v>
      </c>
      <c r="BL48" s="481">
        <f t="shared" si="53"/>
        <v>0</v>
      </c>
      <c r="BM48" s="481">
        <f t="shared" si="54"/>
        <v>0</v>
      </c>
      <c r="BN48" s="481">
        <f t="shared" si="55"/>
        <v>0</v>
      </c>
      <c r="BO48" s="481">
        <f t="shared" si="56"/>
        <v>0</v>
      </c>
      <c r="BP48" s="481">
        <v>0</v>
      </c>
      <c r="BQ48" s="109">
        <v>0</v>
      </c>
      <c r="BR48" s="481">
        <v>0</v>
      </c>
      <c r="BS48" s="481">
        <v>0</v>
      </c>
      <c r="BT48" s="481">
        <v>0</v>
      </c>
      <c r="BU48" s="481">
        <v>0</v>
      </c>
      <c r="BV48" s="478">
        <f t="shared" si="14"/>
        <v>0</v>
      </c>
      <c r="BX48" s="481">
        <f t="shared" si="15"/>
        <v>0</v>
      </c>
      <c r="BY48" s="481">
        <f t="shared" si="48"/>
        <v>0</v>
      </c>
      <c r="BZ48" s="481">
        <f t="shared" si="49"/>
        <v>0</v>
      </c>
      <c r="CA48" s="481">
        <f t="shared" si="50"/>
        <v>0</v>
      </c>
      <c r="CB48" s="481">
        <f t="shared" si="51"/>
        <v>0</v>
      </c>
      <c r="CC48" s="481">
        <f t="shared" si="52"/>
        <v>0</v>
      </c>
      <c r="CD48" s="481">
        <v>0</v>
      </c>
      <c r="CE48" s="481">
        <v>0</v>
      </c>
      <c r="CF48" s="481">
        <v>0</v>
      </c>
      <c r="CG48" s="481">
        <v>0</v>
      </c>
      <c r="CH48" s="481">
        <v>0</v>
      </c>
      <c r="CI48" s="481">
        <v>0</v>
      </c>
      <c r="CJ48" s="478">
        <f t="shared" si="6"/>
        <v>0</v>
      </c>
      <c r="CL48" s="627"/>
      <c r="CM48" s="623"/>
      <c r="CN48" s="512"/>
      <c r="CO48" s="512"/>
      <c r="CP48" s="512"/>
      <c r="CQ48" s="512"/>
      <c r="CR48" s="512"/>
      <c r="CS48" s="512"/>
      <c r="CT48" s="512"/>
      <c r="CU48" s="512"/>
      <c r="CV48" s="512"/>
      <c r="CW48" s="512"/>
      <c r="CX48" s="512"/>
      <c r="CY48" s="512"/>
      <c r="CZ48" s="516">
        <f t="shared" si="17"/>
        <v>0</v>
      </c>
      <c r="DB48" s="311">
        <f t="shared" si="18"/>
        <v>0</v>
      </c>
      <c r="DC48" s="311">
        <f t="shared" si="18"/>
        <v>0</v>
      </c>
      <c r="DP48" s="478">
        <f t="shared" si="19"/>
        <v>0</v>
      </c>
      <c r="DQ48" s="508"/>
      <c r="DR48" s="577">
        <f t="shared" si="44"/>
        <v>0</v>
      </c>
      <c r="DS48" s="577">
        <f t="shared" si="20"/>
        <v>0</v>
      </c>
      <c r="DT48" s="577">
        <f t="shared" si="21"/>
        <v>0</v>
      </c>
      <c r="DU48" s="577">
        <f t="shared" si="22"/>
        <v>0</v>
      </c>
      <c r="DV48" s="577">
        <f t="shared" si="23"/>
        <v>0</v>
      </c>
      <c r="DW48" s="577">
        <f t="shared" si="24"/>
        <v>0</v>
      </c>
      <c r="DX48" s="577">
        <f t="shared" si="25"/>
        <v>0</v>
      </c>
      <c r="DY48" s="577">
        <f t="shared" si="26"/>
        <v>0</v>
      </c>
      <c r="DZ48" s="577">
        <f t="shared" si="27"/>
        <v>0</v>
      </c>
      <c r="EA48" s="577">
        <f t="shared" si="28"/>
        <v>0</v>
      </c>
      <c r="EB48" s="577">
        <f t="shared" si="29"/>
        <v>0</v>
      </c>
      <c r="EC48" s="634">
        <f t="shared" si="30"/>
        <v>0</v>
      </c>
      <c r="ED48" s="478">
        <f t="shared" si="31"/>
        <v>0</v>
      </c>
      <c r="EE48" s="630"/>
      <c r="EF48" s="632">
        <f t="shared" si="32"/>
        <v>0</v>
      </c>
      <c r="EG48" s="632">
        <f t="shared" si="33"/>
        <v>0</v>
      </c>
      <c r="EH48" s="632">
        <f t="shared" si="34"/>
        <v>0</v>
      </c>
      <c r="EI48" s="632">
        <f t="shared" si="35"/>
        <v>0</v>
      </c>
      <c r="EJ48" s="632">
        <f t="shared" si="36"/>
        <v>0</v>
      </c>
      <c r="EK48" s="632">
        <f t="shared" si="37"/>
        <v>0</v>
      </c>
      <c r="EL48" s="632">
        <f t="shared" si="38"/>
        <v>0</v>
      </c>
      <c r="EM48" s="632">
        <f t="shared" si="39"/>
        <v>0</v>
      </c>
      <c r="EN48" s="632">
        <f t="shared" si="40"/>
        <v>0</v>
      </c>
      <c r="EO48" s="632">
        <f t="shared" si="41"/>
        <v>0</v>
      </c>
      <c r="EP48" s="629">
        <f t="shared" si="42"/>
        <v>0</v>
      </c>
      <c r="EQ48" s="632">
        <f t="shared" si="43"/>
        <v>0</v>
      </c>
      <c r="ER48" s="478">
        <f t="shared" si="9"/>
        <v>0</v>
      </c>
    </row>
    <row r="49" spans="1:150" x14ac:dyDescent="0.2">
      <c r="A49" s="337"/>
      <c r="B49" s="340"/>
      <c r="C49" s="317"/>
      <c r="D49" s="317"/>
      <c r="E49" s="317"/>
      <c r="F49" s="317"/>
      <c r="G49" s="317"/>
      <c r="H49" s="312"/>
      <c r="I49" s="319"/>
      <c r="J49" s="317"/>
      <c r="K49" s="317"/>
      <c r="L49" s="317"/>
      <c r="M49" s="317"/>
      <c r="N49" s="318"/>
      <c r="O49" s="312"/>
      <c r="P49" s="346"/>
      <c r="Q49" s="346"/>
      <c r="R49" s="346"/>
      <c r="S49" s="346"/>
      <c r="T49" s="346"/>
      <c r="U49" s="346"/>
      <c r="V49" s="346"/>
      <c r="W49" s="315"/>
      <c r="X49" s="315"/>
      <c r="Y49" s="315"/>
      <c r="Z49" s="316"/>
      <c r="AA49" s="316"/>
      <c r="AB49" s="314"/>
      <c r="AC49" s="337"/>
      <c r="AD49" s="311"/>
      <c r="AE49" s="311" t="s">
        <v>1203</v>
      </c>
      <c r="AF49" s="512"/>
      <c r="AG49" s="512"/>
      <c r="AH49" s="512"/>
      <c r="AI49" s="512"/>
      <c r="AJ49" s="512"/>
      <c r="AK49" s="512"/>
      <c r="AL49" s="512"/>
      <c r="AM49" s="512"/>
      <c r="AN49" s="512"/>
      <c r="AO49" s="512"/>
      <c r="AP49" s="512"/>
      <c r="AQ49" s="512"/>
      <c r="AR49" s="516"/>
      <c r="AT49" s="311"/>
      <c r="AU49" s="311"/>
      <c r="BH49" s="361"/>
      <c r="BI49" s="508"/>
      <c r="BJ49" s="577"/>
      <c r="BK49" s="577"/>
      <c r="BL49" s="481"/>
      <c r="BM49" s="481"/>
      <c r="BN49" s="481"/>
      <c r="BO49" s="481"/>
      <c r="BP49" s="481"/>
      <c r="BQ49" s="109"/>
      <c r="BR49" s="481">
        <v>1900</v>
      </c>
      <c r="BS49" s="481">
        <v>2090</v>
      </c>
      <c r="BT49" s="481"/>
      <c r="BU49" s="481"/>
      <c r="BV49" s="478"/>
      <c r="BX49" s="481"/>
      <c r="BY49" s="481"/>
      <c r="BZ49" s="481"/>
      <c r="CA49" s="481"/>
      <c r="CB49" s="481"/>
      <c r="CC49" s="481"/>
      <c r="CD49" s="481"/>
      <c r="CE49" s="481"/>
      <c r="CF49" s="481"/>
      <c r="CG49" s="481"/>
      <c r="CH49" s="481"/>
      <c r="CI49" s="481"/>
      <c r="CJ49" s="478"/>
      <c r="CL49" s="627"/>
      <c r="CM49" s="623"/>
      <c r="CN49" s="512"/>
      <c r="CO49" s="512"/>
      <c r="CP49" s="512"/>
      <c r="CQ49" s="512"/>
      <c r="CR49" s="512"/>
      <c r="CS49" s="512"/>
      <c r="CT49" s="512"/>
      <c r="CU49" s="512"/>
      <c r="CV49" s="512"/>
      <c r="CW49" s="512"/>
      <c r="CX49" s="512"/>
      <c r="CY49" s="512"/>
      <c r="CZ49" s="516">
        <f t="shared" si="17"/>
        <v>0</v>
      </c>
      <c r="DB49" s="311">
        <f t="shared" si="18"/>
        <v>0</v>
      </c>
      <c r="DC49" s="311">
        <f t="shared" si="18"/>
        <v>0</v>
      </c>
      <c r="DP49" s="478">
        <f t="shared" si="19"/>
        <v>0</v>
      </c>
      <c r="DQ49" s="508"/>
      <c r="DR49" s="577">
        <f t="shared" si="44"/>
        <v>0</v>
      </c>
      <c r="DS49" s="577">
        <f t="shared" si="20"/>
        <v>0</v>
      </c>
      <c r="DT49" s="577">
        <f t="shared" si="21"/>
        <v>0</v>
      </c>
      <c r="DU49" s="577">
        <f t="shared" si="22"/>
        <v>0</v>
      </c>
      <c r="DV49" s="577">
        <f t="shared" si="23"/>
        <v>0</v>
      </c>
      <c r="DW49" s="577">
        <f t="shared" si="24"/>
        <v>0</v>
      </c>
      <c r="DX49" s="577">
        <f t="shared" si="25"/>
        <v>0</v>
      </c>
      <c r="DY49" s="577">
        <f t="shared" si="26"/>
        <v>0</v>
      </c>
      <c r="DZ49" s="577">
        <f t="shared" si="27"/>
        <v>0</v>
      </c>
      <c r="EA49" s="577">
        <f t="shared" si="28"/>
        <v>0</v>
      </c>
      <c r="EB49" s="577">
        <f t="shared" si="29"/>
        <v>0</v>
      </c>
      <c r="EC49" s="634">
        <f t="shared" si="30"/>
        <v>0</v>
      </c>
      <c r="ED49" s="478">
        <f t="shared" si="31"/>
        <v>0</v>
      </c>
      <c r="EE49" s="630"/>
      <c r="EF49" s="632">
        <f t="shared" si="32"/>
        <v>0</v>
      </c>
      <c r="EG49" s="632">
        <f t="shared" si="33"/>
        <v>0</v>
      </c>
      <c r="EH49" s="632">
        <f t="shared" si="34"/>
        <v>0</v>
      </c>
      <c r="EI49" s="632">
        <f t="shared" si="35"/>
        <v>0</v>
      </c>
      <c r="EJ49" s="632">
        <f t="shared" si="36"/>
        <v>0</v>
      </c>
      <c r="EK49" s="632">
        <f t="shared" si="37"/>
        <v>0</v>
      </c>
      <c r="EL49" s="632">
        <f t="shared" si="38"/>
        <v>0</v>
      </c>
      <c r="EM49" s="632">
        <f t="shared" si="39"/>
        <v>0</v>
      </c>
      <c r="EN49" s="632">
        <f t="shared" si="40"/>
        <v>0</v>
      </c>
      <c r="EO49" s="632">
        <f t="shared" si="41"/>
        <v>0</v>
      </c>
      <c r="EP49" s="629">
        <f t="shared" si="42"/>
        <v>0</v>
      </c>
      <c r="EQ49" s="632">
        <f t="shared" si="43"/>
        <v>0</v>
      </c>
      <c r="ER49" s="478">
        <f t="shared" si="9"/>
        <v>0</v>
      </c>
    </row>
    <row r="50" spans="1:150" x14ac:dyDescent="0.2">
      <c r="A50" s="337"/>
      <c r="B50" s="340"/>
      <c r="C50" s="317"/>
      <c r="D50" s="317"/>
      <c r="E50" s="317"/>
      <c r="F50" s="317"/>
      <c r="G50" s="317"/>
      <c r="H50" s="312"/>
      <c r="I50" s="319"/>
      <c r="J50" s="317"/>
      <c r="K50" s="317"/>
      <c r="L50" s="317"/>
      <c r="M50" s="317"/>
      <c r="N50" s="318"/>
      <c r="O50" s="312"/>
      <c r="P50" s="346"/>
      <c r="Q50" s="346"/>
      <c r="R50" s="346"/>
      <c r="S50" s="346"/>
      <c r="T50" s="346"/>
      <c r="U50" s="346"/>
      <c r="V50" s="346"/>
      <c r="W50" s="315"/>
      <c r="X50" s="315"/>
      <c r="Y50" s="315"/>
      <c r="Z50" s="316"/>
      <c r="AA50" s="316"/>
      <c r="AB50" s="314"/>
      <c r="AC50" s="337"/>
      <c r="AD50" s="311"/>
      <c r="AE50" s="311" t="s">
        <v>1141</v>
      </c>
      <c r="AF50" s="512"/>
      <c r="AG50" s="512"/>
      <c r="AH50" s="512"/>
      <c r="AI50" s="512"/>
      <c r="AJ50" s="512"/>
      <c r="AK50" s="512"/>
      <c r="AL50" s="512"/>
      <c r="AM50" s="512"/>
      <c r="AN50" s="512"/>
      <c r="AO50" s="512"/>
      <c r="AP50" s="512"/>
      <c r="AQ50" s="512"/>
      <c r="AR50" s="516"/>
      <c r="AT50" s="311"/>
      <c r="AU50" s="311"/>
      <c r="BH50" s="361"/>
      <c r="BI50" s="508"/>
      <c r="BJ50" s="577"/>
      <c r="BK50" s="577"/>
      <c r="BL50" s="481"/>
      <c r="BM50" s="481"/>
      <c r="BN50" s="481"/>
      <c r="BO50" s="481"/>
      <c r="BP50" s="481">
        <v>0</v>
      </c>
      <c r="BQ50" s="481">
        <v>0</v>
      </c>
      <c r="BR50" s="481">
        <v>0</v>
      </c>
      <c r="BS50" s="481">
        <v>0</v>
      </c>
      <c r="BT50" s="481">
        <v>0</v>
      </c>
      <c r="BU50" s="481">
        <v>0</v>
      </c>
      <c r="BV50" s="478">
        <f t="shared" si="14"/>
        <v>0</v>
      </c>
      <c r="BX50" s="481"/>
      <c r="BY50" s="481"/>
      <c r="BZ50" s="481"/>
      <c r="CA50" s="481"/>
      <c r="CB50" s="481"/>
      <c r="CC50" s="481"/>
      <c r="CD50" s="481">
        <v>0</v>
      </c>
      <c r="CE50" s="481">
        <v>0</v>
      </c>
      <c r="CF50" s="481">
        <v>0</v>
      </c>
      <c r="CG50" s="481">
        <v>0</v>
      </c>
      <c r="CH50" s="481">
        <v>0</v>
      </c>
      <c r="CI50" s="481">
        <v>0</v>
      </c>
      <c r="CJ50" s="478">
        <f t="shared" si="6"/>
        <v>0</v>
      </c>
      <c r="CL50" s="627"/>
      <c r="CM50" s="623"/>
      <c r="CN50" s="512"/>
      <c r="CO50" s="512"/>
      <c r="CP50" s="512"/>
      <c r="CQ50" s="512"/>
      <c r="CR50" s="512"/>
      <c r="CS50" s="512"/>
      <c r="CT50" s="512"/>
      <c r="CU50" s="512"/>
      <c r="CV50" s="512"/>
      <c r="CW50" s="512"/>
      <c r="CX50" s="512"/>
      <c r="CY50" s="512"/>
      <c r="CZ50" s="516">
        <f t="shared" si="17"/>
        <v>0</v>
      </c>
      <c r="DB50" s="311">
        <f t="shared" si="18"/>
        <v>0</v>
      </c>
      <c r="DC50" s="311">
        <f t="shared" si="18"/>
        <v>0</v>
      </c>
      <c r="DP50" s="478">
        <f t="shared" si="19"/>
        <v>0</v>
      </c>
      <c r="DQ50" s="508"/>
      <c r="DR50" s="577">
        <f t="shared" si="44"/>
        <v>0</v>
      </c>
      <c r="DS50" s="577">
        <f t="shared" si="20"/>
        <v>0</v>
      </c>
      <c r="DT50" s="577">
        <f t="shared" si="21"/>
        <v>0</v>
      </c>
      <c r="DU50" s="577">
        <f t="shared" si="22"/>
        <v>0</v>
      </c>
      <c r="DV50" s="577">
        <f t="shared" si="23"/>
        <v>0</v>
      </c>
      <c r="DW50" s="577">
        <f t="shared" si="24"/>
        <v>0</v>
      </c>
      <c r="DX50" s="577">
        <f t="shared" si="25"/>
        <v>0</v>
      </c>
      <c r="DY50" s="577">
        <f t="shared" si="26"/>
        <v>0</v>
      </c>
      <c r="DZ50" s="577">
        <f t="shared" si="27"/>
        <v>0</v>
      </c>
      <c r="EA50" s="577">
        <f t="shared" si="28"/>
        <v>0</v>
      </c>
      <c r="EB50" s="577">
        <f t="shared" si="29"/>
        <v>0</v>
      </c>
      <c r="EC50" s="634">
        <f t="shared" si="30"/>
        <v>0</v>
      </c>
      <c r="ED50" s="478">
        <f t="shared" si="31"/>
        <v>0</v>
      </c>
      <c r="EE50" s="630"/>
      <c r="EF50" s="632">
        <f t="shared" si="32"/>
        <v>0</v>
      </c>
      <c r="EG50" s="632">
        <f t="shared" si="33"/>
        <v>0</v>
      </c>
      <c r="EH50" s="632">
        <f t="shared" si="34"/>
        <v>0</v>
      </c>
      <c r="EI50" s="632">
        <f t="shared" si="35"/>
        <v>0</v>
      </c>
      <c r="EJ50" s="632">
        <f t="shared" si="36"/>
        <v>0</v>
      </c>
      <c r="EK50" s="632">
        <f t="shared" si="37"/>
        <v>0</v>
      </c>
      <c r="EL50" s="632">
        <f t="shared" si="38"/>
        <v>0</v>
      </c>
      <c r="EM50" s="632">
        <f t="shared" si="39"/>
        <v>0</v>
      </c>
      <c r="EN50" s="632">
        <f t="shared" si="40"/>
        <v>0</v>
      </c>
      <c r="EO50" s="632">
        <f t="shared" si="41"/>
        <v>0</v>
      </c>
      <c r="EP50" s="629">
        <f t="shared" si="42"/>
        <v>0</v>
      </c>
      <c r="EQ50" s="632">
        <f t="shared" si="43"/>
        <v>0</v>
      </c>
      <c r="ER50" s="478">
        <f t="shared" si="9"/>
        <v>0</v>
      </c>
    </row>
    <row r="51" spans="1:150" x14ac:dyDescent="0.2">
      <c r="A51" s="293" t="s">
        <v>635</v>
      </c>
      <c r="P51" s="293" t="s">
        <v>636</v>
      </c>
      <c r="Q51" s="324" t="s">
        <v>637</v>
      </c>
      <c r="R51" s="324"/>
      <c r="S51" s="324"/>
      <c r="T51" s="324"/>
      <c r="U51" s="324"/>
      <c r="V51" s="324"/>
      <c r="W51" s="324"/>
      <c r="X51" s="324"/>
      <c r="Y51" s="324"/>
      <c r="Z51" s="324"/>
      <c r="AA51" s="324"/>
      <c r="AB51" s="309"/>
      <c r="AD51" s="363"/>
      <c r="AE51" s="362" t="s">
        <v>891</v>
      </c>
      <c r="AF51" s="513">
        <f t="shared" ref="AF51:AR51" si="57">SUM(AF4:AF48)</f>
        <v>35675</v>
      </c>
      <c r="AG51" s="513">
        <f t="shared" si="57"/>
        <v>270700</v>
      </c>
      <c r="AH51" s="513">
        <f t="shared" si="57"/>
        <v>143680</v>
      </c>
      <c r="AI51" s="513">
        <f t="shared" si="57"/>
        <v>680300</v>
      </c>
      <c r="AJ51" s="513">
        <f t="shared" si="57"/>
        <v>280850</v>
      </c>
      <c r="AK51" s="513">
        <f t="shared" si="57"/>
        <v>84590</v>
      </c>
      <c r="AL51" s="513">
        <f t="shared" si="57"/>
        <v>25760</v>
      </c>
      <c r="AM51" s="513">
        <f t="shared" si="57"/>
        <v>278500</v>
      </c>
      <c r="AN51" s="513">
        <f t="shared" si="57"/>
        <v>128600</v>
      </c>
      <c r="AO51" s="513">
        <f t="shared" si="57"/>
        <v>64000</v>
      </c>
      <c r="AP51" s="513">
        <f t="shared" si="57"/>
        <v>109275</v>
      </c>
      <c r="AQ51" s="513">
        <f t="shared" si="57"/>
        <v>142050</v>
      </c>
      <c r="AR51" s="513">
        <f t="shared" si="57"/>
        <v>2243980</v>
      </c>
      <c r="AT51" s="363"/>
      <c r="AU51" s="362" t="s">
        <v>891</v>
      </c>
      <c r="AV51" s="365">
        <f t="shared" ref="AV51:BH51" si="58">SUM(AV4:AV48)</f>
        <v>11150</v>
      </c>
      <c r="AW51" s="365">
        <f t="shared" si="58"/>
        <v>28250</v>
      </c>
      <c r="AX51" s="365">
        <f t="shared" si="58"/>
        <v>26900</v>
      </c>
      <c r="AY51" s="365">
        <f t="shared" si="58"/>
        <v>69000</v>
      </c>
      <c r="AZ51" s="365">
        <f t="shared" si="58"/>
        <v>35400</v>
      </c>
      <c r="BA51" s="365">
        <f t="shared" si="58"/>
        <v>21900</v>
      </c>
      <c r="BB51" s="365">
        <f t="shared" si="58"/>
        <v>6100</v>
      </c>
      <c r="BC51" s="365">
        <f t="shared" si="58"/>
        <v>25400</v>
      </c>
      <c r="BD51" s="365">
        <f t="shared" si="58"/>
        <v>27500</v>
      </c>
      <c r="BE51" s="365">
        <f t="shared" si="58"/>
        <v>14400</v>
      </c>
      <c r="BF51" s="365">
        <f t="shared" si="58"/>
        <v>25100</v>
      </c>
      <c r="BG51" s="365">
        <f t="shared" si="58"/>
        <v>25000</v>
      </c>
      <c r="BH51" s="365">
        <f t="shared" si="58"/>
        <v>316100</v>
      </c>
      <c r="BI51" s="508"/>
      <c r="BJ51" s="479">
        <f>SUM(BJ4:BJ48)</f>
        <v>41129.89</v>
      </c>
      <c r="BK51" s="479">
        <f>SUM(BK4:BK48)</f>
        <v>281244.31</v>
      </c>
      <c r="BL51" s="479">
        <f>SUM(BL4:BL48)</f>
        <v>77733.5</v>
      </c>
      <c r="BM51" s="479">
        <f>SUM(BM4:BM48)</f>
        <v>719790.27</v>
      </c>
      <c r="BN51" s="479">
        <f t="shared" ref="BN51:BO51" si="59">SUM(BN4:BN48)</f>
        <v>207556.49</v>
      </c>
      <c r="BO51" s="479">
        <f t="shared" si="59"/>
        <v>82734.989999999991</v>
      </c>
      <c r="BP51" s="479">
        <f t="shared" ref="BP51:BU51" si="60">SUM(BP4:BP50)</f>
        <v>8007.5</v>
      </c>
      <c r="BQ51" s="479">
        <f>SUM(BQ4:BQ50)</f>
        <v>278143.75</v>
      </c>
      <c r="BR51" s="479">
        <f t="shared" si="60"/>
        <v>99678.1</v>
      </c>
      <c r="BS51" s="479">
        <f t="shared" si="60"/>
        <v>84546</v>
      </c>
      <c r="BT51" s="479">
        <f t="shared" si="60"/>
        <v>126200</v>
      </c>
      <c r="BU51" s="479">
        <f t="shared" si="60"/>
        <v>122550</v>
      </c>
      <c r="BV51" s="479">
        <f>SUM(BV4:BV50)</f>
        <v>2097824.8000000003</v>
      </c>
      <c r="BX51" s="479">
        <f>SUM(BX4:BX48)</f>
        <v>8502.25</v>
      </c>
      <c r="BY51" s="479">
        <f>SUM(BY4:BY48)</f>
        <v>21646.5</v>
      </c>
      <c r="BZ51" s="479">
        <f t="shared" ref="BZ51:CC51" si="61">SUM(BZ4:BZ48)</f>
        <v>17625</v>
      </c>
      <c r="CA51" s="479">
        <f t="shared" si="61"/>
        <v>57120.880000000005</v>
      </c>
      <c r="CB51" s="479">
        <f t="shared" si="61"/>
        <v>45831.9</v>
      </c>
      <c r="CC51" s="479">
        <f t="shared" si="61"/>
        <v>13483.5</v>
      </c>
      <c r="CD51" s="479">
        <f t="shared" ref="CD51:CI51" si="62">SUM(CD4:CD50)</f>
        <v>6602.5</v>
      </c>
      <c r="CE51" s="479">
        <f t="shared" si="62"/>
        <v>26022.1</v>
      </c>
      <c r="CF51" s="479">
        <f t="shared" si="62"/>
        <v>29292.25</v>
      </c>
      <c r="CG51" s="479">
        <f t="shared" si="62"/>
        <v>13507</v>
      </c>
      <c r="CH51" s="479">
        <f t="shared" si="62"/>
        <v>25100</v>
      </c>
      <c r="CI51" s="479">
        <f t="shared" si="62"/>
        <v>25000</v>
      </c>
      <c r="CJ51" s="479">
        <f>SUM(CJ4:CJ50)</f>
        <v>287137.38</v>
      </c>
      <c r="CL51" s="624"/>
      <c r="CM51" s="625" t="s">
        <v>891</v>
      </c>
      <c r="CN51" s="513">
        <f t="shared" ref="CN51:CZ51" si="63">SUM(CN4:CN48)</f>
        <v>60809</v>
      </c>
      <c r="CO51" s="513">
        <f t="shared" si="63"/>
        <v>228524</v>
      </c>
      <c r="CP51" s="513">
        <f t="shared" si="63"/>
        <v>71135</v>
      </c>
      <c r="CQ51" s="513">
        <f t="shared" si="63"/>
        <v>575116</v>
      </c>
      <c r="CR51" s="513">
        <f t="shared" si="63"/>
        <v>218068</v>
      </c>
      <c r="CS51" s="513">
        <f t="shared" si="63"/>
        <v>50125</v>
      </c>
      <c r="CT51" s="513">
        <f t="shared" si="63"/>
        <v>52071</v>
      </c>
      <c r="CU51" s="513">
        <f t="shared" si="63"/>
        <v>269721</v>
      </c>
      <c r="CV51" s="513">
        <f t="shared" si="63"/>
        <v>116691</v>
      </c>
      <c r="CW51" s="513">
        <f t="shared" si="63"/>
        <v>86561</v>
      </c>
      <c r="CX51" s="513">
        <f t="shared" si="63"/>
        <v>123321</v>
      </c>
      <c r="CY51" s="513">
        <f t="shared" si="63"/>
        <v>70446</v>
      </c>
      <c r="CZ51" s="513">
        <f t="shared" si="63"/>
        <v>1922588</v>
      </c>
      <c r="DB51" s="363"/>
      <c r="DC51" s="362" t="s">
        <v>891</v>
      </c>
      <c r="DD51" s="365">
        <f t="shared" ref="DD51:DP51" si="64">SUM(DD4:DD48)</f>
        <v>12191.02</v>
      </c>
      <c r="DE51" s="365">
        <f t="shared" si="64"/>
        <v>22691.02</v>
      </c>
      <c r="DF51" s="365">
        <f t="shared" si="64"/>
        <v>12191.02</v>
      </c>
      <c r="DG51" s="365">
        <f t="shared" si="64"/>
        <v>12191.02</v>
      </c>
      <c r="DH51" s="365">
        <f t="shared" si="64"/>
        <v>23533.02</v>
      </c>
      <c r="DI51" s="365">
        <f t="shared" si="64"/>
        <v>12191.02</v>
      </c>
      <c r="DJ51" s="365">
        <f t="shared" si="64"/>
        <v>12190.936667</v>
      </c>
      <c r="DK51" s="365">
        <f t="shared" si="64"/>
        <v>12191.02</v>
      </c>
      <c r="DL51" s="365">
        <f t="shared" si="64"/>
        <v>12191.02</v>
      </c>
      <c r="DM51" s="365">
        <f t="shared" si="64"/>
        <v>12191.02</v>
      </c>
      <c r="DN51" s="365">
        <f t="shared" si="64"/>
        <v>12190.936667</v>
      </c>
      <c r="DO51" s="365">
        <f t="shared" si="64"/>
        <v>12191.02</v>
      </c>
      <c r="DP51" s="365">
        <f t="shared" si="64"/>
        <v>168134.07333400002</v>
      </c>
      <c r="DQ51" s="508"/>
      <c r="DR51" s="479">
        <f>SUM(DR4:DR48)</f>
        <v>105503.03</v>
      </c>
      <c r="DS51" s="479">
        <f>SUM(DS4:DS48)</f>
        <v>228524</v>
      </c>
      <c r="DT51" s="479">
        <f>SUM(DT4:DT48)</f>
        <v>71135</v>
      </c>
      <c r="DU51" s="479">
        <f>SUM(DU4:DU48)</f>
        <v>575116</v>
      </c>
      <c r="DV51" s="479">
        <f t="shared" ref="DV51:DW51" si="65">SUM(DV4:DV48)</f>
        <v>218068</v>
      </c>
      <c r="DW51" s="479">
        <f t="shared" si="65"/>
        <v>50125</v>
      </c>
      <c r="DX51" s="479">
        <f t="shared" ref="DX51" si="66">SUM(DX4:DX50)</f>
        <v>52071</v>
      </c>
      <c r="DY51" s="479">
        <f>SUM(DY4:DY50)</f>
        <v>304721</v>
      </c>
      <c r="DZ51" s="479">
        <f t="shared" ref="DZ51:EC51" si="67">SUM(DZ4:DZ50)</f>
        <v>116691</v>
      </c>
      <c r="EA51" s="479">
        <f t="shared" si="67"/>
        <v>86561</v>
      </c>
      <c r="EB51" s="479">
        <f t="shared" si="67"/>
        <v>123321</v>
      </c>
      <c r="EC51" s="479">
        <f t="shared" si="67"/>
        <v>70446</v>
      </c>
      <c r="ED51" s="479">
        <f>SUM(ED4:ED50)</f>
        <v>2002282.03</v>
      </c>
      <c r="EF51" s="479">
        <f>SUM(EF4:EF48)</f>
        <v>5397</v>
      </c>
      <c r="EG51" s="479">
        <f>SUM(EG4:EG48)</f>
        <v>22691.02</v>
      </c>
      <c r="EH51" s="479">
        <f t="shared" ref="EH51:EK51" si="68">SUM(EH4:EH48)</f>
        <v>12191.02</v>
      </c>
      <c r="EI51" s="479">
        <f t="shared" si="68"/>
        <v>12191.02</v>
      </c>
      <c r="EJ51" s="479">
        <f t="shared" si="68"/>
        <v>23533.02</v>
      </c>
      <c r="EK51" s="479">
        <f t="shared" si="68"/>
        <v>12191.02</v>
      </c>
      <c r="EL51" s="479">
        <f t="shared" ref="EL51:EQ51" si="69">SUM(EL4:EL50)</f>
        <v>12190.936667</v>
      </c>
      <c r="EM51" s="479">
        <f t="shared" si="69"/>
        <v>12191.02</v>
      </c>
      <c r="EN51" s="479">
        <f t="shared" si="69"/>
        <v>12191.02</v>
      </c>
      <c r="EO51" s="479">
        <f t="shared" si="69"/>
        <v>12191.02</v>
      </c>
      <c r="EP51" s="479">
        <f t="shared" si="69"/>
        <v>12190.936667</v>
      </c>
      <c r="EQ51" s="479">
        <f t="shared" si="69"/>
        <v>12191.02</v>
      </c>
      <c r="ER51" s="633">
        <f>SUM(ER4:ER50)</f>
        <v>161340.053334</v>
      </c>
    </row>
    <row r="52" spans="1:150" x14ac:dyDescent="0.2">
      <c r="A52" s="326" t="s">
        <v>526</v>
      </c>
      <c r="B52" s="326"/>
      <c r="C52" s="326"/>
      <c r="D52" s="326"/>
      <c r="E52" s="326"/>
      <c r="F52" s="326"/>
      <c r="G52" s="326"/>
      <c r="H52" s="326"/>
      <c r="I52" s="326"/>
      <c r="J52" s="326"/>
      <c r="K52" s="326"/>
      <c r="L52" s="326"/>
      <c r="M52" s="326"/>
      <c r="N52" s="326"/>
      <c r="O52" s="326"/>
      <c r="P52" s="324">
        <v>2760042.5500000003</v>
      </c>
      <c r="Q52" s="327">
        <v>22</v>
      </c>
      <c r="R52" s="324"/>
      <c r="S52" s="324"/>
      <c r="T52" s="324"/>
      <c r="U52" s="324"/>
      <c r="V52" s="324"/>
      <c r="W52" s="324"/>
      <c r="X52" s="324"/>
      <c r="Y52" s="324"/>
      <c r="Z52" s="324"/>
      <c r="AA52" s="324"/>
      <c r="AB52" s="309"/>
      <c r="AD52" s="325" t="s">
        <v>88</v>
      </c>
      <c r="AE52" s="328"/>
      <c r="AF52" s="517"/>
      <c r="AG52" s="517"/>
      <c r="AH52" s="517"/>
      <c r="AI52" s="517"/>
      <c r="AJ52" s="517"/>
      <c r="AK52" s="517"/>
      <c r="AL52" s="517"/>
      <c r="AM52" s="517"/>
      <c r="AN52" s="517"/>
      <c r="AO52" s="517"/>
      <c r="AP52" s="517"/>
      <c r="AQ52" s="517"/>
      <c r="AR52" s="518"/>
      <c r="AT52" s="325" t="s">
        <v>88</v>
      </c>
      <c r="AU52" s="328"/>
      <c r="AV52" s="329"/>
      <c r="AW52" s="329"/>
      <c r="AX52" s="329"/>
      <c r="AY52" s="329"/>
      <c r="AZ52" s="329"/>
      <c r="BA52" s="329"/>
      <c r="BB52" s="329"/>
      <c r="BC52" s="329"/>
      <c r="BD52" s="329"/>
      <c r="BE52" s="329"/>
      <c r="BF52" s="329"/>
      <c r="BG52" s="329"/>
      <c r="BH52" s="366"/>
      <c r="BI52" s="508"/>
      <c r="BJ52" s="328"/>
      <c r="BK52" s="329"/>
      <c r="BL52" s="329"/>
      <c r="BM52" s="329"/>
      <c r="BN52" s="329"/>
      <c r="BO52" s="329"/>
      <c r="BP52" s="329"/>
      <c r="BQ52" s="329"/>
      <c r="BR52" s="329"/>
      <c r="BS52" s="329"/>
      <c r="BT52" s="329"/>
      <c r="BU52" s="329"/>
      <c r="BV52" s="366"/>
      <c r="BX52" s="328"/>
      <c r="BY52" s="329"/>
      <c r="BZ52" s="329"/>
      <c r="CA52" s="329"/>
      <c r="CB52" s="329"/>
      <c r="CC52" s="329"/>
      <c r="CD52" s="329"/>
      <c r="CE52" s="329"/>
      <c r="CF52" s="329"/>
      <c r="CG52" s="329"/>
      <c r="CH52" s="329"/>
      <c r="CI52" s="329"/>
      <c r="CJ52" s="366"/>
      <c r="CL52" s="325" t="s">
        <v>88</v>
      </c>
      <c r="CM52" s="329"/>
      <c r="CN52" s="517"/>
      <c r="CO52" s="517"/>
      <c r="CP52" s="517"/>
      <c r="CQ52" s="517"/>
      <c r="CR52" s="517"/>
      <c r="CS52" s="517"/>
      <c r="CT52" s="517"/>
      <c r="CU52" s="517"/>
      <c r="CV52" s="517"/>
      <c r="CW52" s="517"/>
      <c r="CX52" s="517"/>
      <c r="CY52" s="518"/>
      <c r="CZ52" s="518"/>
      <c r="DB52" s="325" t="s">
        <v>88</v>
      </c>
      <c r="DC52" s="328"/>
      <c r="DD52" s="329"/>
      <c r="DE52" s="329"/>
      <c r="DF52" s="329"/>
      <c r="DG52" s="329"/>
      <c r="DH52" s="329"/>
      <c r="DI52" s="329"/>
      <c r="DJ52" s="329"/>
      <c r="DK52" s="329"/>
      <c r="DL52" s="329"/>
      <c r="DM52" s="329"/>
      <c r="DN52" s="329"/>
      <c r="DO52" s="635"/>
      <c r="DP52" s="366"/>
      <c r="DQ52" s="508"/>
      <c r="DR52" s="638"/>
      <c r="DS52" s="635"/>
      <c r="DT52" s="635"/>
      <c r="DU52" s="635"/>
      <c r="DV52" s="635"/>
      <c r="DW52" s="635"/>
      <c r="DX52" s="635"/>
      <c r="DY52" s="635"/>
      <c r="DZ52" s="635"/>
      <c r="EA52" s="635"/>
      <c r="EB52" s="635"/>
      <c r="EC52" s="635"/>
      <c r="ED52" s="366"/>
      <c r="EF52" s="638"/>
      <c r="EG52" s="638"/>
      <c r="EH52" s="638"/>
      <c r="EI52" s="638"/>
      <c r="EJ52" s="638"/>
      <c r="EK52" s="638"/>
      <c r="EL52" s="638"/>
      <c r="EM52" s="638"/>
      <c r="EN52" s="638"/>
      <c r="EO52" s="638"/>
      <c r="EP52" s="638"/>
      <c r="EQ52" s="638"/>
      <c r="ER52" s="366"/>
    </row>
    <row r="53" spans="1:150" x14ac:dyDescent="0.2">
      <c r="A53" s="326" t="s">
        <v>2</v>
      </c>
      <c r="B53" s="326"/>
      <c r="C53" s="326"/>
      <c r="D53" s="326"/>
      <c r="E53" s="326"/>
      <c r="F53" s="326"/>
      <c r="G53" s="326"/>
      <c r="H53" s="326"/>
      <c r="I53" s="326"/>
      <c r="J53" s="326"/>
      <c r="K53" s="326"/>
      <c r="L53" s="326"/>
      <c r="M53" s="326"/>
      <c r="N53" s="326"/>
      <c r="O53" s="326"/>
      <c r="P53" s="324">
        <v>2596130</v>
      </c>
      <c r="Q53" s="293">
        <v>27</v>
      </c>
      <c r="AD53" s="330" t="s">
        <v>922</v>
      </c>
      <c r="AE53" s="331"/>
      <c r="AF53" s="519"/>
      <c r="AG53" s="519"/>
      <c r="AH53" s="519"/>
      <c r="AI53" s="519"/>
      <c r="AJ53" s="519"/>
      <c r="AK53" s="519"/>
      <c r="AL53" s="519"/>
      <c r="AM53" s="519"/>
      <c r="AN53" s="519"/>
      <c r="AO53" s="519"/>
      <c r="AP53" s="519"/>
      <c r="AQ53" s="519"/>
      <c r="AR53" s="520"/>
      <c r="AT53" s="330" t="s">
        <v>922</v>
      </c>
      <c r="AU53" s="331"/>
      <c r="AV53" s="332"/>
      <c r="AW53" s="332"/>
      <c r="AX53" s="332"/>
      <c r="AY53" s="332"/>
      <c r="AZ53" s="332"/>
      <c r="BA53" s="332"/>
      <c r="BB53" s="332"/>
      <c r="BC53" s="332"/>
      <c r="BD53" s="332"/>
      <c r="BE53" s="332"/>
      <c r="BF53" s="332"/>
      <c r="BG53" s="332"/>
      <c r="BH53" s="367"/>
      <c r="BI53" s="508"/>
      <c r="BJ53" s="331"/>
      <c r="BK53" s="332"/>
      <c r="BL53" s="332"/>
      <c r="BM53" s="332"/>
      <c r="BN53" s="332"/>
      <c r="BO53" s="332"/>
      <c r="BP53" s="332"/>
      <c r="BQ53" s="332"/>
      <c r="BR53" s="332"/>
      <c r="BS53" s="332"/>
      <c r="BT53" s="332"/>
      <c r="BU53" s="332"/>
      <c r="BV53" s="367"/>
      <c r="BX53" s="331"/>
      <c r="BY53" s="332"/>
      <c r="BZ53" s="332"/>
      <c r="CA53" s="332"/>
      <c r="CB53" s="332"/>
      <c r="CC53" s="332"/>
      <c r="CD53" s="332"/>
      <c r="CE53" s="332"/>
      <c r="CF53" s="332"/>
      <c r="CG53" s="332"/>
      <c r="CH53" s="332"/>
      <c r="CI53" s="332"/>
      <c r="CJ53" s="367"/>
      <c r="CL53" s="330" t="s">
        <v>922</v>
      </c>
      <c r="CM53" s="331"/>
      <c r="CN53" s="519"/>
      <c r="CO53" s="519"/>
      <c r="CP53" s="519"/>
      <c r="CQ53" s="519"/>
      <c r="CR53" s="519"/>
      <c r="CS53" s="519"/>
      <c r="CT53" s="519"/>
      <c r="CU53" s="519"/>
      <c r="CV53" s="519"/>
      <c r="CW53" s="519"/>
      <c r="CX53" s="519"/>
      <c r="CY53" s="520"/>
      <c r="CZ53" s="520"/>
      <c r="DB53" s="330" t="s">
        <v>922</v>
      </c>
      <c r="DC53" s="331"/>
      <c r="DD53" s="332"/>
      <c r="DE53" s="332"/>
      <c r="DF53" s="332"/>
      <c r="DG53" s="332"/>
      <c r="DH53" s="332"/>
      <c r="DI53" s="332"/>
      <c r="DJ53" s="332"/>
      <c r="DK53" s="332"/>
      <c r="DL53" s="332"/>
      <c r="DM53" s="332"/>
      <c r="DN53" s="332"/>
      <c r="DO53" s="636"/>
      <c r="DP53" s="367"/>
      <c r="DQ53" s="508"/>
      <c r="DR53" s="639"/>
      <c r="DS53" s="636"/>
      <c r="DT53" s="636"/>
      <c r="DU53" s="636"/>
      <c r="DV53" s="636"/>
      <c r="DW53" s="636"/>
      <c r="DX53" s="636"/>
      <c r="DY53" s="636"/>
      <c r="DZ53" s="636"/>
      <c r="EA53" s="636"/>
      <c r="EB53" s="636"/>
      <c r="EC53" s="636"/>
      <c r="ED53" s="367"/>
      <c r="EF53" s="639"/>
      <c r="EG53" s="639"/>
      <c r="EH53" s="639"/>
      <c r="EI53" s="639"/>
      <c r="EJ53" s="639"/>
      <c r="EK53" s="639"/>
      <c r="EL53" s="639"/>
      <c r="EM53" s="639"/>
      <c r="EN53" s="639"/>
      <c r="EO53" s="639"/>
      <c r="EP53" s="639"/>
      <c r="EQ53" s="639"/>
      <c r="ER53" s="367"/>
      <c r="ET53" s="299"/>
    </row>
    <row r="54" spans="1:150" x14ac:dyDescent="0.2">
      <c r="A54" s="326" t="s">
        <v>3</v>
      </c>
      <c r="P54" s="309">
        <f>'PRD Sales Forecast'!$AB$48</f>
        <v>2380950</v>
      </c>
      <c r="Q54" s="293">
        <f>COUNTA(A6:A41)</f>
        <v>30</v>
      </c>
      <c r="AB54" s="348"/>
      <c r="AD54" s="333" t="s">
        <v>30</v>
      </c>
      <c r="AE54" s="331"/>
      <c r="AF54" s="519">
        <f>SUM(PRD!H4,PRD!H6,PRD!H9,PRD!H8)</f>
        <v>-28226.391724759997</v>
      </c>
      <c r="AG54" s="519">
        <f>SUM(PRD!I4,PRD!I6,PRD!I9,PRD!I8)</f>
        <v>-34929.962080871999</v>
      </c>
      <c r="AH54" s="519">
        <f>SUM(PRD!J4,PRD!J6,PRD!J9,PRD!J8)</f>
        <v>-27679.818361459198</v>
      </c>
      <c r="AI54" s="519">
        <f>SUM(PRD!K4,PRD!K6,PRD!K9,PRD!K8)</f>
        <v>-33232.479686459199</v>
      </c>
      <c r="AJ54" s="519">
        <f>SUM(PRD!L4,PRD!L6,PRD!L9,PRD!L8)</f>
        <v>-33734.428705872</v>
      </c>
      <c r="AK54" s="519">
        <f>SUM(PRD!M4,PRD!M6,PRD!M9,PRD!M8)</f>
        <v>-43868.400508665596</v>
      </c>
      <c r="AL54" s="519">
        <f>SUM(PRD!N4,PRD!N6,PRD!N9,PRD!N8)</f>
        <v>-21749.699055871999</v>
      </c>
      <c r="AM54" s="519">
        <f>SUM(PRD!O4,PRD!O6,PRD!O9,PRD!O8)</f>
        <v>-33756.123105872</v>
      </c>
      <c r="AN54" s="519">
        <f>SUM(PRD!P4,PRD!P6,PRD!P9,PRD!P8)</f>
        <v>-27737.398536459197</v>
      </c>
      <c r="AO54" s="519">
        <f>SUM(PRD!Q4,PRD!Q6,PRD!Q9,PRD!Q8)</f>
        <v>-23379.190055872001</v>
      </c>
      <c r="AP54" s="519">
        <f>SUM(PRD!R4,PRD!R6,PRD!R9,PRD!R8)</f>
        <v>-30689.394483665594</v>
      </c>
      <c r="AQ54" s="519">
        <f>SUM(PRD!S4,PRD!S6,PRD!S9,PRD!S8)</f>
        <v>-41523.100383665595</v>
      </c>
      <c r="AR54" s="520">
        <f>SUM(AF54:AQ54)</f>
        <v>-380506.38668949442</v>
      </c>
      <c r="AT54" s="333" t="s">
        <v>30</v>
      </c>
      <c r="AU54" s="331"/>
      <c r="AV54" s="519">
        <f>SUM(PRD!H5,PRD!H7,PRD!H10)</f>
        <v>-6737.2851507999994</v>
      </c>
      <c r="AW54" s="519">
        <f>SUM(PRD!I5,PRD!I7,PRD!I10)</f>
        <v>-8379.2983337599981</v>
      </c>
      <c r="AX54" s="519">
        <f>SUM(PRD!J5,PRD!J7,PRD!J10)</f>
        <v>-11774.236752135999</v>
      </c>
      <c r="AY54" s="519">
        <f>SUM(PRD!K5,PRD!K7,PRD!K10)</f>
        <v>-10549.091227135999</v>
      </c>
      <c r="AZ54" s="519">
        <f>SUM(PRD!L5,PRD!L7,PRD!L10)</f>
        <v>-17566.596908760002</v>
      </c>
      <c r="BA54" s="519">
        <f>SUM(PRD!M5,PRD!M7,PRD!M10)</f>
        <v>-5854.7442554479985</v>
      </c>
      <c r="BB54" s="519">
        <f>SUM(PRD!N5,PRD!N7,PRD!N10)</f>
        <v>-5291.8549337599989</v>
      </c>
      <c r="BC54" s="519">
        <f>SUM(PRD!O5,PRD!O7,PRD!O10)</f>
        <v>-9290.6128587599997</v>
      </c>
      <c r="BD54" s="519">
        <f>SUM(PRD!P5,PRD!P7,PRD!P10)</f>
        <v>-8263.7475771359987</v>
      </c>
      <c r="BE54" s="519">
        <f>SUM(PRD!Q5,PRD!Q7,PRD!Q10)</f>
        <v>-5102.4669337599989</v>
      </c>
      <c r="BF54" s="519">
        <f>SUM(PRD!R5,PRD!R7,PRD!R10)</f>
        <v>-6485.0669054479986</v>
      </c>
      <c r="BG54" s="519">
        <f>SUM(PRD!S5,PRD!S7,PRD!S10)</f>
        <v>-7232.2591304479984</v>
      </c>
      <c r="BH54" s="520">
        <f>SUM(AV54:BG54)</f>
        <v>-102527.26096735199</v>
      </c>
      <c r="BI54" s="508"/>
      <c r="BJ54" s="482">
        <v>-12783.729999999998</v>
      </c>
      <c r="BK54" s="483">
        <v>-55684.720000000008</v>
      </c>
      <c r="BL54" s="483">
        <v>-20683.770000000004</v>
      </c>
      <c r="BM54" s="483">
        <v>-176047.43000000002</v>
      </c>
      <c r="BN54" s="483">
        <v>-56521.25</v>
      </c>
      <c r="BO54" s="483">
        <v>-18136.349999999999</v>
      </c>
      <c r="BP54" s="483" t="e">
        <f>-#REF!-#REF!-#REF!-#REF!-#REF!</f>
        <v>#REF!</v>
      </c>
      <c r="BQ54" s="483">
        <v>-47481.020000000004</v>
      </c>
      <c r="BR54" s="483">
        <v>-21384.170000000006</v>
      </c>
      <c r="BS54" s="483">
        <v>-17077.149999999998</v>
      </c>
      <c r="BT54" s="483" t="e">
        <f>-#REF!-#REF!-#REF!-#REF!-#REF!</f>
        <v>#REF!</v>
      </c>
      <c r="BU54" s="483" t="e">
        <f>-#REF!-#REF!-#REF!-#REF!-#REF!</f>
        <v>#REF!</v>
      </c>
      <c r="BV54" s="594">
        <f>AR54</f>
        <v>-380506.38668949442</v>
      </c>
      <c r="BX54" s="482">
        <v>-747.7</v>
      </c>
      <c r="BY54" s="483">
        <v>-9838.5299999999988</v>
      </c>
      <c r="BZ54" s="483">
        <v>972.13000000000011</v>
      </c>
      <c r="CA54" s="483">
        <v>-10669.109999999999</v>
      </c>
      <c r="CB54" s="483">
        <v>-11837.05</v>
      </c>
      <c r="CC54" s="483">
        <v>-626.91</v>
      </c>
      <c r="CD54" s="483" t="e">
        <f>-#REF!-#REF!</f>
        <v>#REF!</v>
      </c>
      <c r="CE54" s="483">
        <v>-8526.0499999999993</v>
      </c>
      <c r="CF54" s="483">
        <v>-5986.94</v>
      </c>
      <c r="CG54" s="483">
        <v>-3660.2000000000003</v>
      </c>
      <c r="CH54" s="483" t="e">
        <f>-#REF!-#REF!</f>
        <v>#REF!</v>
      </c>
      <c r="CI54" s="483" t="e">
        <f>-#REF!-#REF!</f>
        <v>#REF!</v>
      </c>
      <c r="CJ54" s="594">
        <f>BH54</f>
        <v>-102527.26096735199</v>
      </c>
      <c r="CL54" s="333" t="s">
        <v>30</v>
      </c>
      <c r="CM54" s="331"/>
      <c r="CN54" s="519">
        <f>SUM(PRD!H4,PRD!H6,PRD!H8,PRD!H9)</f>
        <v>-28226.391724759997</v>
      </c>
      <c r="CO54" s="519">
        <f>SUM(PRD!I4,PRD!I6,PRD!I8,PRD!I9)</f>
        <v>-34929.962080871999</v>
      </c>
      <c r="CP54" s="519">
        <f>SUM(PRD!J4,PRD!J6,PRD!J8,PRD!J9)</f>
        <v>-27679.818361459198</v>
      </c>
      <c r="CQ54" s="519">
        <f>SUM(PRD!K4,PRD!K6,PRD!K8,PRD!K9)</f>
        <v>-33232.479686459199</v>
      </c>
      <c r="CR54" s="519">
        <f>SUM(PRD!L4,PRD!L6,PRD!L8,PRD!L9)</f>
        <v>-33734.428705872</v>
      </c>
      <c r="CS54" s="519">
        <f>SUM(PRD!M4,PRD!M6,PRD!M8,PRD!M9)</f>
        <v>-43868.400508665596</v>
      </c>
      <c r="CT54" s="519">
        <f>SUM(PRD!N4,PRD!N6,PRD!N8,PRD!N9)</f>
        <v>-21749.699055871999</v>
      </c>
      <c r="CU54" s="519">
        <f>SUM(PRD!O4,PRD!O6,PRD!O8,PRD!O9)</f>
        <v>-33756.123105872</v>
      </c>
      <c r="CV54" s="519">
        <f>SUM(PRD!P4,PRD!P6,PRD!P8,PRD!P9)</f>
        <v>-27737.398536459197</v>
      </c>
      <c r="CW54" s="519">
        <f>SUM(PRD!Q4,PRD!Q6,PRD!Q8,PRD!Q9)</f>
        <v>-23379.190055872001</v>
      </c>
      <c r="CX54" s="519">
        <f>SUM(PRD!R4,PRD!R6,PRD!R8,PRD!R9)</f>
        <v>-30689.394483665594</v>
      </c>
      <c r="CY54" s="520">
        <f>SUM(PRD!S4,PRD!S6,PRD!S8,PRD!S9)</f>
        <v>-41523.100383665595</v>
      </c>
      <c r="CZ54" s="520">
        <f>SUM(CN54:CY54)</f>
        <v>-380506.38668949442</v>
      </c>
      <c r="DB54" s="333" t="s">
        <v>30</v>
      </c>
      <c r="DC54" s="331"/>
      <c r="DD54" s="519">
        <f>SUM(PRD!H5,PRD!H7,PRD!H10)</f>
        <v>-6737.2851507999994</v>
      </c>
      <c r="DE54" s="519">
        <f>SUM(PRD!I5,PRD!I7,PRD!I10)</f>
        <v>-8379.2983337599981</v>
      </c>
      <c r="DF54" s="519">
        <f>SUM(PRD!J5,PRD!J7,PRD!J10)</f>
        <v>-11774.236752135999</v>
      </c>
      <c r="DG54" s="519">
        <f>SUM(PRD!K5,PRD!K7,PRD!K10)</f>
        <v>-10549.091227135999</v>
      </c>
      <c r="DH54" s="519">
        <f>SUM(PRD!L5,PRD!L7,PRD!L10)</f>
        <v>-17566.596908760002</v>
      </c>
      <c r="DI54" s="519">
        <f>SUM(PRD!M5,PRD!M7,PRD!M10)</f>
        <v>-5854.7442554479985</v>
      </c>
      <c r="DJ54" s="519">
        <f>SUM(PRD!N5,PRD!N7,PRD!N10)</f>
        <v>-5291.8549337599989</v>
      </c>
      <c r="DK54" s="519">
        <f>SUM(PRD!O5,PRD!O7,PRD!O10)</f>
        <v>-9290.6128587599997</v>
      </c>
      <c r="DL54" s="519">
        <f>SUM(PRD!P5,PRD!P7,PRD!P10)</f>
        <v>-8263.7475771359987</v>
      </c>
      <c r="DM54" s="519">
        <f>SUM(PRD!Q5,PRD!Q7,PRD!Q10)</f>
        <v>-5102.4669337599989</v>
      </c>
      <c r="DN54" s="519">
        <f>SUM(PRD!R5,PRD!R7,PRD!R10)</f>
        <v>-6485.0669054479986</v>
      </c>
      <c r="DO54" s="520">
        <f>SUM(PRD!S5,PRD!S7,PRD!S10)</f>
        <v>-7232.2591304479984</v>
      </c>
      <c r="DP54" s="520">
        <f>SUM(DD54:DO54)</f>
        <v>-102527.26096735199</v>
      </c>
      <c r="DQ54" s="508"/>
      <c r="DR54" s="637">
        <v>-21346.519999999997</v>
      </c>
      <c r="DS54" s="594">
        <f t="shared" ref="DS54:EC56" si="70">CO54</f>
        <v>-34929.962080871999</v>
      </c>
      <c r="DT54" s="594">
        <f t="shared" si="70"/>
        <v>-27679.818361459198</v>
      </c>
      <c r="DU54" s="594">
        <f t="shared" si="70"/>
        <v>-33232.479686459199</v>
      </c>
      <c r="DV54" s="594">
        <f t="shared" si="70"/>
        <v>-33734.428705872</v>
      </c>
      <c r="DW54" s="594">
        <f t="shared" si="70"/>
        <v>-43868.400508665596</v>
      </c>
      <c r="DX54" s="594">
        <f t="shared" si="70"/>
        <v>-21749.699055871999</v>
      </c>
      <c r="DY54" s="594">
        <f t="shared" si="70"/>
        <v>-33756.123105872</v>
      </c>
      <c r="DZ54" s="594">
        <f t="shared" si="70"/>
        <v>-27737.398536459197</v>
      </c>
      <c r="EA54" s="594">
        <f t="shared" si="70"/>
        <v>-23379.190055872001</v>
      </c>
      <c r="EB54" s="594">
        <f t="shared" si="70"/>
        <v>-30689.394483665594</v>
      </c>
      <c r="EC54" s="594">
        <f t="shared" si="70"/>
        <v>-41523.100383665595</v>
      </c>
      <c r="ED54" s="594">
        <f>CZ54</f>
        <v>-380506.38668949442</v>
      </c>
      <c r="EF54" s="637">
        <v>-3095.17</v>
      </c>
      <c r="EG54" s="637">
        <f t="shared" ref="EG54:EQ57" si="71">DE54</f>
        <v>-8379.2983337599981</v>
      </c>
      <c r="EH54" s="637">
        <f t="shared" si="71"/>
        <v>-11774.236752135999</v>
      </c>
      <c r="EI54" s="637">
        <f t="shared" si="71"/>
        <v>-10549.091227135999</v>
      </c>
      <c r="EJ54" s="637">
        <f t="shared" si="71"/>
        <v>-17566.596908760002</v>
      </c>
      <c r="EK54" s="637">
        <f t="shared" si="71"/>
        <v>-5854.7442554479985</v>
      </c>
      <c r="EL54" s="637">
        <f t="shared" si="71"/>
        <v>-5291.8549337599989</v>
      </c>
      <c r="EM54" s="637">
        <f t="shared" si="71"/>
        <v>-9290.6128587599997</v>
      </c>
      <c r="EN54" s="637">
        <f t="shared" si="71"/>
        <v>-8263.7475771359987</v>
      </c>
      <c r="EO54" s="637">
        <f t="shared" si="71"/>
        <v>-5102.4669337599989</v>
      </c>
      <c r="EP54" s="637">
        <f t="shared" si="71"/>
        <v>-6485.0669054479986</v>
      </c>
      <c r="EQ54" s="637">
        <f t="shared" si="71"/>
        <v>-7232.2591304479984</v>
      </c>
      <c r="ER54" s="594">
        <f>DP54</f>
        <v>-102527.26096735199</v>
      </c>
    </row>
    <row r="55" spans="1:150" x14ac:dyDescent="0.2">
      <c r="A55" s="293" t="s">
        <v>638</v>
      </c>
      <c r="P55" s="309">
        <f>P54-P53</f>
        <v>-215180</v>
      </c>
      <c r="AD55" s="333" t="s">
        <v>949</v>
      </c>
      <c r="AE55" s="331"/>
      <c r="AF55" s="519">
        <f>PRD!H11</f>
        <v>-15859.632370303032</v>
      </c>
      <c r="AG55" s="519">
        <f>PRD!I11</f>
        <v>-52311.675090303033</v>
      </c>
      <c r="AH55" s="519">
        <f>PRD!J11</f>
        <v>-55224.590190303032</v>
      </c>
      <c r="AI55" s="519">
        <f>PRD!K11</f>
        <v>-222259.63279030303</v>
      </c>
      <c r="AJ55" s="519">
        <f>PRD!L11</f>
        <v>-47487.377296986633</v>
      </c>
      <c r="AK55" s="519">
        <f>PRD!M11</f>
        <v>-29486.687830303032</v>
      </c>
      <c r="AL55" s="519">
        <f>PRD!N11</f>
        <v>-17314.124410303033</v>
      </c>
      <c r="AM55" s="519">
        <f>PRD!O11</f>
        <v>-58917.731590303032</v>
      </c>
      <c r="AN55" s="519">
        <f>PRD!P11</f>
        <v>-19339.158084918421</v>
      </c>
      <c r="AO55" s="519">
        <f>PRD!Q11</f>
        <v>-18365.506270303031</v>
      </c>
      <c r="AP55" s="519">
        <f>PRD!R11</f>
        <v>-21368.109230303031</v>
      </c>
      <c r="AQ55" s="519">
        <f>PRD!S11</f>
        <v>-32615.714230303034</v>
      </c>
      <c r="AR55" s="520">
        <f t="shared" ref="AR55:AR56" si="72">SUM(AF55:AQ55)</f>
        <v>-590549.93938493531</v>
      </c>
      <c r="AT55" s="333" t="s">
        <v>949</v>
      </c>
      <c r="AU55" s="331"/>
      <c r="AV55" s="519">
        <f>PRD!H12</f>
        <v>-596.60300000000007</v>
      </c>
      <c r="AW55" s="519">
        <f>PRD!I12</f>
        <v>-713.53800000000001</v>
      </c>
      <c r="AX55" s="519">
        <f>PRD!J12</f>
        <v>-676.53</v>
      </c>
      <c r="AY55" s="519">
        <f>PRD!K12</f>
        <v>-1258.6658400000001</v>
      </c>
      <c r="AZ55" s="519">
        <f>PRD!L12</f>
        <v>-346.41004379310345</v>
      </c>
      <c r="BA55" s="519">
        <f>PRD!M12</f>
        <v>-893.952</v>
      </c>
      <c r="BB55" s="519">
        <f>PRD!N12</f>
        <v>-460.65</v>
      </c>
      <c r="BC55" s="519">
        <f>PRD!O12</f>
        <v>-1133.99</v>
      </c>
      <c r="BD55" s="519">
        <f>PRD!P12</f>
        <v>-446.836645384615</v>
      </c>
      <c r="BE55" s="519">
        <f>PRD!Q12</f>
        <v>-345</v>
      </c>
      <c r="BF55" s="519">
        <f>PRD!R12</f>
        <v>-345</v>
      </c>
      <c r="BG55" s="519">
        <f>PRD!S12</f>
        <v>-345</v>
      </c>
      <c r="BH55" s="520">
        <f t="shared" ref="BH55:BH56" si="73">SUM(AV55:BG55)</f>
        <v>-7562.1755291777172</v>
      </c>
      <c r="BI55" s="508"/>
      <c r="BJ55" s="482">
        <v>-10664.199999999999</v>
      </c>
      <c r="BK55" s="483">
        <v>-68529.51999999999</v>
      </c>
      <c r="BL55" s="483">
        <v>-11855.91</v>
      </c>
      <c r="BM55" s="483">
        <v>-233842.29999999996</v>
      </c>
      <c r="BN55" s="483">
        <v>-44413.71</v>
      </c>
      <c r="BO55" s="483">
        <v>-20921.920000000002</v>
      </c>
      <c r="BP55" s="483">
        <f>AL55</f>
        <v>-17314.124410303033</v>
      </c>
      <c r="BQ55" s="483">
        <v>-61812.21</v>
      </c>
      <c r="BR55" s="483">
        <v>-15544.949999999999</v>
      </c>
      <c r="BS55" s="483">
        <v>-19318.05</v>
      </c>
      <c r="BT55" s="483">
        <f t="shared" ref="BT55:BV56" si="74">AP55</f>
        <v>-21368.109230303031</v>
      </c>
      <c r="BU55" s="483">
        <f t="shared" si="74"/>
        <v>-32615.714230303034</v>
      </c>
      <c r="BV55" s="594">
        <f t="shared" si="74"/>
        <v>-590549.93938493531</v>
      </c>
      <c r="BX55" s="482">
        <v>0</v>
      </c>
      <c r="BY55" s="483"/>
      <c r="BZ55" s="483">
        <v>0</v>
      </c>
      <c r="CA55" s="483">
        <v>0</v>
      </c>
      <c r="CB55" s="483">
        <v>0</v>
      </c>
      <c r="CC55" s="483">
        <v>-600</v>
      </c>
      <c r="CD55" s="483">
        <f t="shared" ref="CD55:CI56" si="75">BB55</f>
        <v>-460.65</v>
      </c>
      <c r="CE55" s="483">
        <v>-780</v>
      </c>
      <c r="CF55" s="483">
        <v>0</v>
      </c>
      <c r="CG55" s="483">
        <v>0</v>
      </c>
      <c r="CH55" s="483">
        <f t="shared" si="75"/>
        <v>-345</v>
      </c>
      <c r="CI55" s="483">
        <f t="shared" si="75"/>
        <v>-345</v>
      </c>
      <c r="CJ55" s="594">
        <f>BH55</f>
        <v>-7562.1755291777172</v>
      </c>
      <c r="CL55" s="333" t="s">
        <v>949</v>
      </c>
      <c r="CM55" s="331"/>
      <c r="CN55" s="519">
        <f>'[2]Average of FYs'!R$11</f>
        <v>-10238.7871</v>
      </c>
      <c r="CO55" s="519">
        <f>'[2]Average of FYs'!S$11</f>
        <v>-55548.319827999992</v>
      </c>
      <c r="CP55" s="519">
        <f>'[2]Average of FYs'!T$11</f>
        <v>-16032.470149999999</v>
      </c>
      <c r="CQ55" s="519">
        <f>'[2]Average of FYs'!U$11</f>
        <v>-267058.70384999999</v>
      </c>
      <c r="CR55" s="519">
        <f>'[2]Average of FYs'!V$11</f>
        <v>-35037.5821</v>
      </c>
      <c r="CS55" s="519">
        <f>'[2]Average of FYs'!W$11</f>
        <v>-24005.34995</v>
      </c>
      <c r="CT55" s="519">
        <f>'[2]Average of FYs'!X$11</f>
        <v>-7406.4776499999998</v>
      </c>
      <c r="CU55" s="519">
        <f>'[2]Average of FYs'!Y$11</f>
        <v>-55206.171750000001</v>
      </c>
      <c r="CV55" s="519">
        <f>'[2]Average of FYs'!Z$11</f>
        <v>-13443.498199999998</v>
      </c>
      <c r="CW55" s="519">
        <f>'[2]Average of FYs'!AA$11</f>
        <v>-14367.403049999999</v>
      </c>
      <c r="CX55" s="519">
        <f>'[2]Average of FYs'!AB$11</f>
        <v>-17571.516749999999</v>
      </c>
      <c r="CY55" s="520">
        <f>'[2]Average of FYs'!AC$11</f>
        <v>-20102.061950000003</v>
      </c>
      <c r="CZ55" s="520">
        <f t="shared" ref="CZ55:CZ56" si="76">SUM(CN55:CY55)</f>
        <v>-536018.342328</v>
      </c>
      <c r="DB55" s="333" t="s">
        <v>949</v>
      </c>
      <c r="DC55" s="331"/>
      <c r="DD55" s="519">
        <f>'[2]Average of FYs'!R$17</f>
        <v>-167.11750000000001</v>
      </c>
      <c r="DE55" s="519">
        <f>'[2]Average of FYs'!S$17</f>
        <v>-369.255</v>
      </c>
      <c r="DF55" s="519">
        <f>'[2]Average of FYs'!T$17</f>
        <v>-247.20000000000002</v>
      </c>
      <c r="DG55" s="519">
        <f>'[2]Average of FYs'!U$17</f>
        <v>0</v>
      </c>
      <c r="DH55" s="519">
        <f>'[2]Average of FYs'!V$17</f>
        <v>0</v>
      </c>
      <c r="DI55" s="519">
        <f>'[2]Average of FYs'!W$17</f>
        <v>-669.5</v>
      </c>
      <c r="DJ55" s="519">
        <f>'[2]Average of FYs'!X$17</f>
        <v>0</v>
      </c>
      <c r="DK55" s="519">
        <f>'[2]Average of FYs'!Y$17</f>
        <v>-651.47500000000002</v>
      </c>
      <c r="DL55" s="519">
        <f>'[2]Average of FYs'!Z$17</f>
        <v>0</v>
      </c>
      <c r="DM55" s="519">
        <f>'[2]Average of FYs'!AA$17</f>
        <v>0</v>
      </c>
      <c r="DN55" s="519">
        <f>'[2]Average of FYs'!AB$17</f>
        <v>0</v>
      </c>
      <c r="DO55" s="520">
        <f>'[2]Average of FYs'!AC$17</f>
        <v>-672.71875</v>
      </c>
      <c r="DP55" s="520">
        <f t="shared" ref="DP55:DP56" si="77">SUM(DD55:DO55)</f>
        <v>-2777.2662500000001</v>
      </c>
      <c r="DQ55" s="508"/>
      <c r="DR55" s="637">
        <v>-16673.920000000002</v>
      </c>
      <c r="DS55" s="594">
        <f t="shared" si="70"/>
        <v>-55548.319827999992</v>
      </c>
      <c r="DT55" s="594">
        <f t="shared" si="70"/>
        <v>-16032.470149999999</v>
      </c>
      <c r="DU55" s="594">
        <f t="shared" si="70"/>
        <v>-267058.70384999999</v>
      </c>
      <c r="DV55" s="594">
        <f t="shared" si="70"/>
        <v>-35037.5821</v>
      </c>
      <c r="DW55" s="594">
        <f t="shared" si="70"/>
        <v>-24005.34995</v>
      </c>
      <c r="DX55" s="594">
        <f t="shared" si="70"/>
        <v>-7406.4776499999998</v>
      </c>
      <c r="DY55" s="594">
        <f t="shared" si="70"/>
        <v>-55206.171750000001</v>
      </c>
      <c r="DZ55" s="594">
        <f t="shared" si="70"/>
        <v>-13443.498199999998</v>
      </c>
      <c r="EA55" s="594">
        <f t="shared" si="70"/>
        <v>-14367.403049999999</v>
      </c>
      <c r="EB55" s="594">
        <f t="shared" si="70"/>
        <v>-17571.516749999999</v>
      </c>
      <c r="EC55" s="594">
        <f t="shared" si="70"/>
        <v>-20102.061950000003</v>
      </c>
      <c r="ED55" s="594">
        <f t="shared" ref="ED55:ED56" si="78">CZ55</f>
        <v>-536018.342328</v>
      </c>
      <c r="EF55" s="637">
        <v>0</v>
      </c>
      <c r="EG55" s="483">
        <f t="shared" si="71"/>
        <v>-369.255</v>
      </c>
      <c r="EH55" s="482">
        <f t="shared" si="71"/>
        <v>-247.20000000000002</v>
      </c>
      <c r="EI55" s="482">
        <f t="shared" si="71"/>
        <v>0</v>
      </c>
      <c r="EJ55" s="637">
        <f t="shared" si="71"/>
        <v>0</v>
      </c>
      <c r="EK55" s="483">
        <f t="shared" si="71"/>
        <v>-669.5</v>
      </c>
      <c r="EL55" s="482">
        <f t="shared" si="71"/>
        <v>0</v>
      </c>
      <c r="EM55" s="482">
        <f t="shared" si="71"/>
        <v>-651.47500000000002</v>
      </c>
      <c r="EN55" s="482">
        <f t="shared" si="71"/>
        <v>0</v>
      </c>
      <c r="EO55" s="482">
        <f t="shared" si="71"/>
        <v>0</v>
      </c>
      <c r="EP55" s="482">
        <f t="shared" si="71"/>
        <v>0</v>
      </c>
      <c r="EQ55" s="637">
        <f t="shared" si="71"/>
        <v>-672.71875</v>
      </c>
      <c r="ER55" s="594">
        <f>DP55</f>
        <v>-2777.2662500000001</v>
      </c>
    </row>
    <row r="56" spans="1:150" x14ac:dyDescent="0.2">
      <c r="AD56" s="333" t="s">
        <v>950</v>
      </c>
      <c r="AE56" s="331"/>
      <c r="AF56" s="519">
        <f>PRD!H13</f>
        <v>-1170.6092999999998</v>
      </c>
      <c r="AG56" s="519">
        <f>PRD!I13</f>
        <v>-3935.3381999999997</v>
      </c>
      <c r="AH56" s="519">
        <f>PRD!J13</f>
        <v>-8019.8524148996576</v>
      </c>
      <c r="AI56" s="519">
        <f>PRD!K13</f>
        <v>-18324.80932</v>
      </c>
      <c r="AJ56" s="519">
        <f>PRD!L13</f>
        <v>-4971.2374455730223</v>
      </c>
      <c r="AK56" s="519">
        <f>PRD!M13</f>
        <v>-2944.6751599999998</v>
      </c>
      <c r="AL56" s="519">
        <f>PRD!N13</f>
        <v>-526.84486000000004</v>
      </c>
      <c r="AM56" s="519">
        <f>PRD!O13</f>
        <v>-6582.9624800000001</v>
      </c>
      <c r="AN56" s="519">
        <f>PRD!P13</f>
        <v>-3452.4359248717951</v>
      </c>
      <c r="AO56" s="519">
        <f>PRD!Q13</f>
        <v>-782.63285254635139</v>
      </c>
      <c r="AP56" s="519">
        <f>PRD!R13</f>
        <v>-1663.818</v>
      </c>
      <c r="AQ56" s="519">
        <f>PRD!S13</f>
        <v>-3866.4622000000004</v>
      </c>
      <c r="AR56" s="520">
        <f t="shared" si="72"/>
        <v>-56241.678157890827</v>
      </c>
      <c r="AT56" s="333" t="s">
        <v>950</v>
      </c>
      <c r="AU56" s="331"/>
      <c r="AV56" s="519">
        <f>PRD!H14</f>
        <v>-93.141940000000005</v>
      </c>
      <c r="AW56" s="519">
        <f>PRD!I14</f>
        <v>0</v>
      </c>
      <c r="AX56" s="519">
        <f>PRD!J14</f>
        <v>-144.66694198806223</v>
      </c>
      <c r="AY56" s="519">
        <f>PRD!K14</f>
        <v>-59.264200000000002</v>
      </c>
      <c r="AZ56" s="519">
        <f>PRD!L14</f>
        <v>-117.80060258620689</v>
      </c>
      <c r="BA56" s="519">
        <f>PRD!M14</f>
        <v>0</v>
      </c>
      <c r="BB56" s="519">
        <f>PRD!N14</f>
        <v>0</v>
      </c>
      <c r="BC56" s="519">
        <f>PRD!O14</f>
        <v>-63.129480000000001</v>
      </c>
      <c r="BD56" s="519">
        <f>PRD!P14</f>
        <v>-73.797681794871806</v>
      </c>
      <c r="BE56" s="519">
        <f>PRD!Q14</f>
        <v>-143.71628498724272</v>
      </c>
      <c r="BF56" s="519">
        <f>PRD!R14</f>
        <v>0</v>
      </c>
      <c r="BG56" s="519">
        <f>PRD!S14</f>
        <v>-47.699199999999998</v>
      </c>
      <c r="BH56" s="520">
        <f t="shared" si="73"/>
        <v>-743.21633135638365</v>
      </c>
      <c r="BI56" s="508"/>
      <c r="BJ56" s="482">
        <v>-2362.7299999999996</v>
      </c>
      <c r="BK56" s="483">
        <v>-8971.2499999999982</v>
      </c>
      <c r="BL56" s="483">
        <v>-3643.7899999999991</v>
      </c>
      <c r="BM56" s="483">
        <v>-23454.710000000003</v>
      </c>
      <c r="BN56" s="483">
        <v>-14682.580000000009</v>
      </c>
      <c r="BO56" s="483">
        <v>-2205.9700000000003</v>
      </c>
      <c r="BP56" s="483">
        <f>AL56</f>
        <v>-526.84486000000004</v>
      </c>
      <c r="BQ56" s="483">
        <v>-7451.9499999999971</v>
      </c>
      <c r="BR56" s="483">
        <v>-3469.75</v>
      </c>
      <c r="BS56" s="483">
        <v>-1537.1200000000008</v>
      </c>
      <c r="BT56" s="483">
        <f t="shared" si="74"/>
        <v>-1663.818</v>
      </c>
      <c r="BU56" s="483">
        <f t="shared" si="74"/>
        <v>-3866.4622000000004</v>
      </c>
      <c r="BV56" s="594">
        <f t="shared" si="74"/>
        <v>-56241.678157890827</v>
      </c>
      <c r="BX56" s="482">
        <v>-133</v>
      </c>
      <c r="BY56" s="483"/>
      <c r="BZ56" s="483">
        <v>-29.15</v>
      </c>
      <c r="CA56" s="483">
        <v>-1218.7399999999998</v>
      </c>
      <c r="CB56" s="483">
        <v>-384.64000000000004</v>
      </c>
      <c r="CC56" s="483">
        <v>-18.18</v>
      </c>
      <c r="CD56" s="483">
        <f t="shared" si="75"/>
        <v>0</v>
      </c>
      <c r="CE56" s="483">
        <v>-50</v>
      </c>
      <c r="CF56" s="483">
        <v>0</v>
      </c>
      <c r="CG56" s="483">
        <v>0</v>
      </c>
      <c r="CH56" s="483">
        <f t="shared" si="75"/>
        <v>0</v>
      </c>
      <c r="CI56" s="483">
        <f t="shared" si="75"/>
        <v>-47.699199999999998</v>
      </c>
      <c r="CJ56" s="594">
        <f>BH56</f>
        <v>-743.21633135638365</v>
      </c>
      <c r="CL56" s="333" t="s">
        <v>950</v>
      </c>
      <c r="CM56" s="331"/>
      <c r="CN56" s="519">
        <f>'[2]Average of FYs'!R$12+'[2]Average of FYs'!R$18</f>
        <v>-2037.5202499999998</v>
      </c>
      <c r="CO56" s="519">
        <f>'[2]Average of FYs'!S$12+'[2]Average of FYs'!S$18</f>
        <v>-7892.2822999999989</v>
      </c>
      <c r="CP56" s="519">
        <f>'[2]Average of FYs'!T$12+'[2]Average of FYs'!T$18</f>
        <v>-4868.0632499999983</v>
      </c>
      <c r="CQ56" s="519">
        <f>'[2]Average of FYs'!U$12+'[2]Average of FYs'!U$18</f>
        <v>-27580.320299999999</v>
      </c>
      <c r="CR56" s="519">
        <f>'[2]Average of FYs'!V$12+'[2]Average of FYs'!V$18</f>
        <v>-10751.902200000006</v>
      </c>
      <c r="CS56" s="519">
        <f>'[2]Average of FYs'!W$12+'[2]Average of FYs'!W$18</f>
        <v>-3231.7228500000001</v>
      </c>
      <c r="CT56" s="519">
        <f>'[2]Average of FYs'!X$12+'[2]Average of FYs'!X$18</f>
        <v>-644.54309999999998</v>
      </c>
      <c r="CU56" s="519">
        <f>'[2]Average of FYs'!Y$12+'[2]Average of FYs'!Y$18</f>
        <v>-7631.887999999999</v>
      </c>
      <c r="CV56" s="519">
        <f>'[2]Average of FYs'!Z$12+'[2]Average of FYs'!Z$18</f>
        <v>-3383.6736000000001</v>
      </c>
      <c r="CW56" s="519">
        <f>'[2]Average of FYs'!AA$12+'[2]Average of FYs'!AA$18</f>
        <v>-2096.3899000000006</v>
      </c>
      <c r="CX56" s="519">
        <f>'[2]Average of FYs'!AB$12+'[2]Average of FYs'!AB$18</f>
        <v>-3786.19245</v>
      </c>
      <c r="CY56" s="520">
        <f>'[2]Average of FYs'!AC$12+'[2]Average of FYs'!AC$18</f>
        <v>-3283.01685</v>
      </c>
      <c r="CZ56" s="520">
        <f t="shared" si="76"/>
        <v>-77187.515049999987</v>
      </c>
      <c r="DB56" s="333" t="s">
        <v>950</v>
      </c>
      <c r="DC56" s="331"/>
      <c r="DD56" s="519">
        <f>'[2]Average of FYs'!R$17</f>
        <v>-167.11750000000001</v>
      </c>
      <c r="DE56" s="519">
        <f>'[2]Average of FYs'!S$17</f>
        <v>-369.255</v>
      </c>
      <c r="DF56" s="519">
        <f>'[2]Average of FYs'!T$17</f>
        <v>-247.20000000000002</v>
      </c>
      <c r="DG56" s="519">
        <f>'[2]Average of FYs'!U$17</f>
        <v>0</v>
      </c>
      <c r="DH56" s="519">
        <f>'[2]Average of FYs'!V$17</f>
        <v>0</v>
      </c>
      <c r="DI56" s="519">
        <f>'[2]Average of FYs'!W$17</f>
        <v>-669.5</v>
      </c>
      <c r="DJ56" s="519">
        <f>'[2]Average of FYs'!X$17</f>
        <v>0</v>
      </c>
      <c r="DK56" s="519">
        <f>'[2]Average of FYs'!Y$17</f>
        <v>-651.47500000000002</v>
      </c>
      <c r="DL56" s="519">
        <f>'[2]Average of FYs'!Z$17</f>
        <v>0</v>
      </c>
      <c r="DM56" s="519">
        <f>'[2]Average of FYs'!AA$17</f>
        <v>0</v>
      </c>
      <c r="DN56" s="519">
        <f>'[2]Average of FYs'!AB$17</f>
        <v>0</v>
      </c>
      <c r="DO56" s="520">
        <f>'[2]Average of FYs'!AC$17</f>
        <v>-672.71875</v>
      </c>
      <c r="DP56" s="520">
        <f t="shared" si="77"/>
        <v>-2777.2662500000001</v>
      </c>
      <c r="DQ56" s="508"/>
      <c r="DR56" s="637">
        <v>-3622.48</v>
      </c>
      <c r="DS56" s="594">
        <f t="shared" si="70"/>
        <v>-7892.2822999999989</v>
      </c>
      <c r="DT56" s="594">
        <f t="shared" si="70"/>
        <v>-4868.0632499999983</v>
      </c>
      <c r="DU56" s="594">
        <f t="shared" si="70"/>
        <v>-27580.320299999999</v>
      </c>
      <c r="DV56" s="594">
        <f t="shared" si="70"/>
        <v>-10751.902200000006</v>
      </c>
      <c r="DW56" s="594">
        <f t="shared" si="70"/>
        <v>-3231.7228500000001</v>
      </c>
      <c r="DX56" s="594">
        <f t="shared" si="70"/>
        <v>-644.54309999999998</v>
      </c>
      <c r="DY56" s="594">
        <f t="shared" si="70"/>
        <v>-7631.887999999999</v>
      </c>
      <c r="DZ56" s="594">
        <f t="shared" si="70"/>
        <v>-3383.6736000000001</v>
      </c>
      <c r="EA56" s="594">
        <f t="shared" si="70"/>
        <v>-2096.3899000000006</v>
      </c>
      <c r="EB56" s="594">
        <f t="shared" si="70"/>
        <v>-3786.19245</v>
      </c>
      <c r="EC56" s="594">
        <f t="shared" si="70"/>
        <v>-3283.01685</v>
      </c>
      <c r="ED56" s="594">
        <f t="shared" si="78"/>
        <v>-77187.515049999987</v>
      </c>
      <c r="EF56" s="482">
        <v>0</v>
      </c>
      <c r="EG56" s="482">
        <f t="shared" si="71"/>
        <v>-369.255</v>
      </c>
      <c r="EH56" s="482">
        <f t="shared" si="71"/>
        <v>-247.20000000000002</v>
      </c>
      <c r="EI56" s="482">
        <f t="shared" si="71"/>
        <v>0</v>
      </c>
      <c r="EJ56" s="482">
        <f t="shared" si="71"/>
        <v>0</v>
      </c>
      <c r="EK56" s="482">
        <f t="shared" si="71"/>
        <v>-669.5</v>
      </c>
      <c r="EL56" s="482">
        <f t="shared" si="71"/>
        <v>0</v>
      </c>
      <c r="EM56" s="482">
        <f t="shared" si="71"/>
        <v>-651.47500000000002</v>
      </c>
      <c r="EN56" s="482">
        <f t="shared" si="71"/>
        <v>0</v>
      </c>
      <c r="EO56" s="482">
        <f t="shared" si="71"/>
        <v>0</v>
      </c>
      <c r="EP56" s="482">
        <f t="shared" si="71"/>
        <v>0</v>
      </c>
      <c r="EQ56" s="637">
        <f t="shared" si="71"/>
        <v>-672.71875</v>
      </c>
      <c r="ER56" s="594">
        <f>DP56</f>
        <v>-2777.2662500000001</v>
      </c>
    </row>
    <row r="57" spans="1:150" x14ac:dyDescent="0.2">
      <c r="A57" s="327" t="s">
        <v>639</v>
      </c>
      <c r="AD57" s="334"/>
      <c r="AE57" s="335"/>
      <c r="AF57" s="521"/>
      <c r="AG57" s="521"/>
      <c r="AH57" s="521"/>
      <c r="AI57" s="521"/>
      <c r="AJ57" s="521"/>
      <c r="AK57" s="521"/>
      <c r="AL57" s="521"/>
      <c r="AM57" s="521"/>
      <c r="AN57" s="521"/>
      <c r="AO57" s="521"/>
      <c r="AP57" s="521"/>
      <c r="AQ57" s="521"/>
      <c r="AR57" s="522">
        <f t="shared" ref="AR57" si="79">SUM(AG57:AQ57)</f>
        <v>0</v>
      </c>
      <c r="AT57" s="334"/>
      <c r="AU57" s="335"/>
      <c r="AV57" s="521"/>
      <c r="AW57" s="521"/>
      <c r="AX57" s="521"/>
      <c r="AY57" s="521"/>
      <c r="AZ57" s="521"/>
      <c r="BA57" s="521"/>
      <c r="BB57" s="521"/>
      <c r="BC57" s="521"/>
      <c r="BD57" s="521"/>
      <c r="BE57" s="521"/>
      <c r="BF57" s="521"/>
      <c r="BG57" s="521"/>
      <c r="BH57" s="522">
        <f t="shared" ref="BH57" si="80">SUM(AW57:BG57)</f>
        <v>0</v>
      </c>
      <c r="BI57" s="508"/>
      <c r="BJ57" s="482"/>
      <c r="BK57" s="483"/>
      <c r="BL57" s="483"/>
      <c r="BM57" s="483"/>
      <c r="BN57" s="483"/>
      <c r="BO57" s="483"/>
      <c r="BP57" s="483"/>
      <c r="BQ57" s="483"/>
      <c r="BR57" s="483"/>
      <c r="BS57" s="483"/>
      <c r="BT57" s="483"/>
      <c r="BU57" s="483"/>
      <c r="BV57" s="475"/>
      <c r="BX57" s="482"/>
      <c r="BY57" s="483"/>
      <c r="BZ57" s="483"/>
      <c r="CA57" s="483"/>
      <c r="CB57" s="483"/>
      <c r="CC57" s="483"/>
      <c r="CD57" s="483"/>
      <c r="CE57" s="483"/>
      <c r="CF57" s="483"/>
      <c r="CG57" s="483"/>
      <c r="CH57" s="483"/>
      <c r="CI57" s="483"/>
      <c r="CJ57" s="475"/>
      <c r="CL57" s="334"/>
      <c r="CM57" s="335"/>
      <c r="CN57" s="521"/>
      <c r="CO57" s="521"/>
      <c r="CP57" s="521"/>
      <c r="CQ57" s="521"/>
      <c r="CR57" s="521"/>
      <c r="CS57" s="521"/>
      <c r="CT57" s="521"/>
      <c r="CU57" s="521"/>
      <c r="CV57" s="521"/>
      <c r="CW57" s="521"/>
      <c r="CX57" s="521"/>
      <c r="CY57" s="522"/>
      <c r="CZ57" s="522">
        <f t="shared" ref="CZ57" si="81">SUM(CO57:CY57)</f>
        <v>0</v>
      </c>
      <c r="DB57" s="334"/>
      <c r="DC57" s="335"/>
      <c r="DD57" s="521"/>
      <c r="DE57" s="521"/>
      <c r="DF57" s="521"/>
      <c r="DG57" s="521"/>
      <c r="DH57" s="521"/>
      <c r="DI57" s="521"/>
      <c r="DJ57" s="521"/>
      <c r="DK57" s="521"/>
      <c r="DL57" s="521"/>
      <c r="DM57" s="521"/>
      <c r="DN57" s="521"/>
      <c r="DO57" s="522"/>
      <c r="DP57" s="522">
        <f t="shared" ref="DP57" si="82">SUM(DE57:DO57)</f>
        <v>0</v>
      </c>
      <c r="DQ57" s="508"/>
      <c r="DR57" s="640"/>
      <c r="DS57" s="594"/>
      <c r="DT57" s="475"/>
      <c r="DU57" s="475"/>
      <c r="DV57" s="475"/>
      <c r="DW57" s="475"/>
      <c r="DX57" s="475"/>
      <c r="DY57" s="475"/>
      <c r="DZ57" s="475"/>
      <c r="EA57" s="475"/>
      <c r="EB57" s="475"/>
      <c r="EC57" s="475"/>
      <c r="ED57" s="475"/>
      <c r="EF57" s="482">
        <f t="shared" ref="EF57" si="83">DD57</f>
        <v>0</v>
      </c>
      <c r="EG57" s="482">
        <f t="shared" si="71"/>
        <v>0</v>
      </c>
      <c r="EH57" s="482">
        <f t="shared" si="71"/>
        <v>0</v>
      </c>
      <c r="EI57" s="482">
        <f t="shared" si="71"/>
        <v>0</v>
      </c>
      <c r="EJ57" s="482">
        <f t="shared" si="71"/>
        <v>0</v>
      </c>
      <c r="EK57" s="482">
        <f t="shared" si="71"/>
        <v>0</v>
      </c>
      <c r="EL57" s="482">
        <f t="shared" si="71"/>
        <v>0</v>
      </c>
      <c r="EM57" s="482">
        <f t="shared" si="71"/>
        <v>0</v>
      </c>
      <c r="EN57" s="482">
        <f t="shared" si="71"/>
        <v>0</v>
      </c>
      <c r="EO57" s="482">
        <f t="shared" si="71"/>
        <v>0</v>
      </c>
      <c r="EP57" s="482">
        <f t="shared" si="71"/>
        <v>0</v>
      </c>
      <c r="EQ57" s="640">
        <f t="shared" si="71"/>
        <v>0</v>
      </c>
      <c r="ER57" s="475"/>
    </row>
    <row r="58" spans="1:150" x14ac:dyDescent="0.2">
      <c r="A58" s="327" t="s">
        <v>640</v>
      </c>
      <c r="AD58" s="363"/>
      <c r="AE58" s="362" t="s">
        <v>891</v>
      </c>
      <c r="AF58" s="513">
        <f>SUM(AF52:AF57)</f>
        <v>-45256.633395063021</v>
      </c>
      <c r="AG58" s="513">
        <f t="shared" ref="AG58:AR58" si="84">SUM(AG52:AG57)</f>
        <v>-91176.975371175038</v>
      </c>
      <c r="AH58" s="513">
        <f t="shared" si="84"/>
        <v>-90924.260966661881</v>
      </c>
      <c r="AI58" s="513">
        <f t="shared" si="84"/>
        <v>-273816.92179676227</v>
      </c>
      <c r="AJ58" s="513">
        <f t="shared" si="84"/>
        <v>-86193.04344843165</v>
      </c>
      <c r="AK58" s="513">
        <f t="shared" si="84"/>
        <v>-76299.763498968634</v>
      </c>
      <c r="AL58" s="513">
        <f t="shared" si="84"/>
        <v>-39590.66832617503</v>
      </c>
      <c r="AM58" s="513">
        <f t="shared" si="84"/>
        <v>-99256.817176175027</v>
      </c>
      <c r="AN58" s="513">
        <f t="shared" si="84"/>
        <v>-50528.992546249414</v>
      </c>
      <c r="AO58" s="513">
        <f t="shared" si="84"/>
        <v>-42527.329178721389</v>
      </c>
      <c r="AP58" s="513">
        <f t="shared" si="84"/>
        <v>-53721.321713968624</v>
      </c>
      <c r="AQ58" s="513">
        <f t="shared" si="84"/>
        <v>-78005.276813968623</v>
      </c>
      <c r="AR58" s="513">
        <f t="shared" si="84"/>
        <v>-1027298.0042323206</v>
      </c>
      <c r="AT58" s="363"/>
      <c r="AU58" s="362" t="s">
        <v>891</v>
      </c>
      <c r="AV58" s="513">
        <f>SUM(AV52:AV57)</f>
        <v>-7427.0300907999999</v>
      </c>
      <c r="AW58" s="513">
        <f t="shared" ref="AW58:BH58" si="85">SUM(AW52:AW57)</f>
        <v>-9092.8363337599985</v>
      </c>
      <c r="AX58" s="513">
        <f t="shared" si="85"/>
        <v>-12595.433694124062</v>
      </c>
      <c r="AY58" s="513">
        <f t="shared" si="85"/>
        <v>-11867.021267135999</v>
      </c>
      <c r="AZ58" s="513">
        <f t="shared" si="85"/>
        <v>-18030.807555139316</v>
      </c>
      <c r="BA58" s="513">
        <f t="shared" si="85"/>
        <v>-6748.6962554479987</v>
      </c>
      <c r="BB58" s="513">
        <f t="shared" si="85"/>
        <v>-5752.5049337599985</v>
      </c>
      <c r="BC58" s="513">
        <f t="shared" si="85"/>
        <v>-10487.732338759999</v>
      </c>
      <c r="BD58" s="513">
        <f t="shared" si="85"/>
        <v>-8784.3819043154854</v>
      </c>
      <c r="BE58" s="513">
        <f t="shared" si="85"/>
        <v>-5591.1832187472419</v>
      </c>
      <c r="BF58" s="513">
        <f t="shared" si="85"/>
        <v>-6830.0669054479986</v>
      </c>
      <c r="BG58" s="513">
        <f t="shared" si="85"/>
        <v>-7624.9583304479984</v>
      </c>
      <c r="BH58" s="513">
        <f t="shared" si="85"/>
        <v>-110832.65282788609</v>
      </c>
      <c r="BI58" s="508"/>
      <c r="BJ58" s="479">
        <f>SUM(BJ54:BJ57)</f>
        <v>-25810.659999999996</v>
      </c>
      <c r="BK58" s="479">
        <f t="shared" ref="BK58:BV58" si="86">SUM(BK54:BK57)</f>
        <v>-133185.49</v>
      </c>
      <c r="BL58" s="479">
        <f t="shared" si="86"/>
        <v>-36183.47</v>
      </c>
      <c r="BM58" s="479">
        <f t="shared" si="86"/>
        <v>-433344.44</v>
      </c>
      <c r="BN58" s="479">
        <f t="shared" si="86"/>
        <v>-115617.54000000001</v>
      </c>
      <c r="BO58" s="479">
        <f>SUM(BO54:BO57)</f>
        <v>-41264.240000000005</v>
      </c>
      <c r="BP58" s="479" t="e">
        <f>SUM(BP54:BP57)</f>
        <v>#REF!</v>
      </c>
      <c r="BQ58" s="479">
        <f t="shared" si="86"/>
        <v>-116745.18000000001</v>
      </c>
      <c r="BR58" s="479">
        <f t="shared" si="86"/>
        <v>-40398.870000000003</v>
      </c>
      <c r="BS58" s="479">
        <f t="shared" si="86"/>
        <v>-37932.32</v>
      </c>
      <c r="BT58" s="479" t="e">
        <f t="shared" si="86"/>
        <v>#REF!</v>
      </c>
      <c r="BU58" s="479" t="e">
        <f t="shared" si="86"/>
        <v>#REF!</v>
      </c>
      <c r="BV58" s="479">
        <f t="shared" si="86"/>
        <v>-1027298.0042323206</v>
      </c>
      <c r="BX58" s="479">
        <f>SUM(BX54:BX57)</f>
        <v>-880.7</v>
      </c>
      <c r="BY58" s="479">
        <f t="shared" ref="BY58" si="87">SUM(BY54:BY57)</f>
        <v>-9838.5299999999988</v>
      </c>
      <c r="BZ58" s="479">
        <f t="shared" ref="BZ58" si="88">SUM(BZ54:BZ57)</f>
        <v>942.98000000000013</v>
      </c>
      <c r="CA58" s="479">
        <f t="shared" ref="CA58" si="89">SUM(CA54:CA57)</f>
        <v>-11887.849999999999</v>
      </c>
      <c r="CB58" s="479">
        <f t="shared" ref="CB58" si="90">SUM(CB54:CB57)</f>
        <v>-12221.689999999999</v>
      </c>
      <c r="CC58" s="479">
        <f t="shared" ref="CC58" si="91">SUM(CC54:CC57)</f>
        <v>-1245.0899999999999</v>
      </c>
      <c r="CD58" s="479" t="e">
        <f t="shared" ref="CD58" si="92">SUM(CD54:CD57)</f>
        <v>#REF!</v>
      </c>
      <c r="CE58" s="479">
        <f t="shared" ref="CE58" si="93">SUM(CE54:CE57)</f>
        <v>-9356.0499999999993</v>
      </c>
      <c r="CF58" s="479">
        <f t="shared" ref="CF58" si="94">SUM(CF54:CF57)</f>
        <v>-5986.94</v>
      </c>
      <c r="CG58" s="479">
        <f t="shared" ref="CG58" si="95">SUM(CG54:CG57)</f>
        <v>-3660.2000000000003</v>
      </c>
      <c r="CH58" s="479" t="e">
        <f t="shared" ref="CH58" si="96">SUM(CH54:CH57)</f>
        <v>#REF!</v>
      </c>
      <c r="CI58" s="479" t="e">
        <f t="shared" ref="CI58" si="97">SUM(CI54:CI57)</f>
        <v>#REF!</v>
      </c>
      <c r="CJ58" s="479">
        <f t="shared" ref="CJ58" si="98">SUM(CJ54:CJ57)</f>
        <v>-110832.65282788609</v>
      </c>
      <c r="CL58" s="363"/>
      <c r="CM58" s="362" t="s">
        <v>891</v>
      </c>
      <c r="CN58" s="513">
        <f>SUM(CN52:CN57)</f>
        <v>-40502.699074759999</v>
      </c>
      <c r="CO58" s="513">
        <f t="shared" ref="CO58:CZ58" si="99">SUM(CO52:CO57)</f>
        <v>-98370.564208871976</v>
      </c>
      <c r="CP58" s="513">
        <f t="shared" si="99"/>
        <v>-48580.351761459198</v>
      </c>
      <c r="CQ58" s="513">
        <f t="shared" si="99"/>
        <v>-327871.50383645919</v>
      </c>
      <c r="CR58" s="513">
        <f t="shared" si="99"/>
        <v>-79523.913005872018</v>
      </c>
      <c r="CS58" s="513">
        <f t="shared" si="99"/>
        <v>-71105.473308665605</v>
      </c>
      <c r="CT58" s="513">
        <f t="shared" si="99"/>
        <v>-29800.719805871999</v>
      </c>
      <c r="CU58" s="513">
        <f t="shared" si="99"/>
        <v>-96594.182855872001</v>
      </c>
      <c r="CV58" s="513">
        <f t="shared" si="99"/>
        <v>-44564.570336459197</v>
      </c>
      <c r="CW58" s="513">
        <f t="shared" si="99"/>
        <v>-39842.983005872004</v>
      </c>
      <c r="CX58" s="513">
        <f t="shared" si="99"/>
        <v>-52047.103683665599</v>
      </c>
      <c r="CY58" s="513">
        <f t="shared" si="99"/>
        <v>-64908.179183665598</v>
      </c>
      <c r="CZ58" s="513">
        <f t="shared" si="99"/>
        <v>-993712.24406749452</v>
      </c>
      <c r="DB58" s="363"/>
      <c r="DC58" s="362" t="s">
        <v>891</v>
      </c>
      <c r="DD58" s="513">
        <f>SUM(DD52:DD57)</f>
        <v>-7071.5201508</v>
      </c>
      <c r="DE58" s="513">
        <f t="shared" ref="DE58:DP58" si="100">SUM(DE52:DE57)</f>
        <v>-9117.8083337599965</v>
      </c>
      <c r="DF58" s="513">
        <f t="shared" si="100"/>
        <v>-12268.636752136001</v>
      </c>
      <c r="DG58" s="513">
        <f t="shared" si="100"/>
        <v>-10549.091227135999</v>
      </c>
      <c r="DH58" s="513">
        <f t="shared" si="100"/>
        <v>-17566.596908760002</v>
      </c>
      <c r="DI58" s="513">
        <f t="shared" si="100"/>
        <v>-7193.7442554479985</v>
      </c>
      <c r="DJ58" s="513">
        <f t="shared" si="100"/>
        <v>-5291.8549337599989</v>
      </c>
      <c r="DK58" s="513">
        <f t="shared" si="100"/>
        <v>-10593.56285876</v>
      </c>
      <c r="DL58" s="513">
        <f t="shared" si="100"/>
        <v>-8263.7475771359987</v>
      </c>
      <c r="DM58" s="513">
        <f t="shared" si="100"/>
        <v>-5102.4669337599989</v>
      </c>
      <c r="DN58" s="513">
        <f t="shared" si="100"/>
        <v>-6485.0669054479986</v>
      </c>
      <c r="DO58" s="513">
        <f t="shared" si="100"/>
        <v>-8577.6966304479974</v>
      </c>
      <c r="DP58" s="513">
        <f t="shared" si="100"/>
        <v>-108081.79346735199</v>
      </c>
      <c r="DQ58" s="508"/>
      <c r="DR58" s="479">
        <f>SUM(DR54:DR57)</f>
        <v>-41642.920000000006</v>
      </c>
      <c r="DS58" s="479">
        <f t="shared" ref="DS58:DV58" si="101">SUM(DS54:DS57)</f>
        <v>-98370.564208871976</v>
      </c>
      <c r="DT58" s="633">
        <f t="shared" si="101"/>
        <v>-48580.351761459198</v>
      </c>
      <c r="DU58" s="479">
        <f t="shared" si="101"/>
        <v>-327871.50383645919</v>
      </c>
      <c r="DV58" s="479">
        <f t="shared" si="101"/>
        <v>-79523.913005872018</v>
      </c>
      <c r="DW58" s="479">
        <f>SUM(DW54:DW57)</f>
        <v>-71105.473308665605</v>
      </c>
      <c r="DX58" s="479">
        <f>SUM(DX54:DX57)</f>
        <v>-29800.719805871999</v>
      </c>
      <c r="DY58" s="479">
        <f t="shared" ref="DY58:ED58" si="102">SUM(DY54:DY57)</f>
        <v>-96594.182855872001</v>
      </c>
      <c r="DZ58" s="479">
        <f t="shared" si="102"/>
        <v>-44564.570336459197</v>
      </c>
      <c r="EA58" s="479">
        <f t="shared" si="102"/>
        <v>-39842.983005872004</v>
      </c>
      <c r="EB58" s="479">
        <f t="shared" si="102"/>
        <v>-52047.103683665599</v>
      </c>
      <c r="EC58" s="479">
        <f t="shared" si="102"/>
        <v>-64908.179183665598</v>
      </c>
      <c r="ED58" s="479">
        <f t="shared" si="102"/>
        <v>-993712.24406749452</v>
      </c>
      <c r="EF58" s="479">
        <f>SUM(EF54:EF57)</f>
        <v>-3095.17</v>
      </c>
      <c r="EG58" s="479">
        <f t="shared" ref="EG58:ER58" si="103">SUM(EG54:EG57)</f>
        <v>-9117.8083337599965</v>
      </c>
      <c r="EH58" s="479">
        <f t="shared" si="103"/>
        <v>-12268.636752136001</v>
      </c>
      <c r="EI58" s="479">
        <f t="shared" si="103"/>
        <v>-10549.091227135999</v>
      </c>
      <c r="EJ58" s="479">
        <f t="shared" si="103"/>
        <v>-17566.596908760002</v>
      </c>
      <c r="EK58" s="479">
        <f t="shared" si="103"/>
        <v>-7193.7442554479985</v>
      </c>
      <c r="EL58" s="479">
        <f t="shared" si="103"/>
        <v>-5291.8549337599989</v>
      </c>
      <c r="EM58" s="479">
        <f t="shared" si="103"/>
        <v>-10593.56285876</v>
      </c>
      <c r="EN58" s="479">
        <f t="shared" si="103"/>
        <v>-8263.7475771359987</v>
      </c>
      <c r="EO58" s="479">
        <f t="shared" si="103"/>
        <v>-5102.4669337599989</v>
      </c>
      <c r="EP58" s="479">
        <f t="shared" si="103"/>
        <v>-6485.0669054479986</v>
      </c>
      <c r="EQ58" s="479">
        <f t="shared" si="103"/>
        <v>-8577.6966304479974</v>
      </c>
      <c r="ER58" s="479">
        <f t="shared" si="103"/>
        <v>-108081.79346735199</v>
      </c>
    </row>
    <row r="59" spans="1:150" x14ac:dyDescent="0.2">
      <c r="A59" s="327"/>
      <c r="AF59" s="512"/>
      <c r="AG59" s="512"/>
      <c r="AH59" s="512"/>
      <c r="AI59" s="512"/>
      <c r="AJ59" s="512"/>
      <c r="AK59" s="512"/>
      <c r="AL59" s="512"/>
      <c r="AM59" s="512"/>
      <c r="AN59" s="512"/>
      <c r="AO59" s="512"/>
      <c r="AP59" s="512"/>
      <c r="AQ59" s="512"/>
      <c r="AR59" s="512"/>
      <c r="AV59" s="512"/>
      <c r="AW59" s="512"/>
      <c r="AX59" s="512"/>
      <c r="AY59" s="512"/>
      <c r="AZ59" s="512"/>
      <c r="BA59" s="512"/>
      <c r="BB59" s="512"/>
      <c r="BC59" s="512"/>
      <c r="BD59" s="512"/>
      <c r="BE59" s="512"/>
      <c r="BF59" s="512"/>
      <c r="BG59" s="512"/>
      <c r="BH59" s="512"/>
      <c r="BI59" s="508"/>
      <c r="BV59" s="527"/>
      <c r="CN59" s="512"/>
      <c r="CO59" s="512"/>
      <c r="CP59" s="512"/>
      <c r="CQ59" s="512"/>
      <c r="CR59" s="512"/>
      <c r="CS59" s="512"/>
      <c r="CT59" s="512"/>
      <c r="CU59" s="512"/>
      <c r="CV59" s="512"/>
      <c r="CW59" s="512"/>
      <c r="CX59" s="512"/>
      <c r="CY59" s="512"/>
      <c r="CZ59" s="512"/>
      <c r="DD59" s="512"/>
      <c r="DE59" s="512"/>
      <c r="DF59" s="512"/>
      <c r="DG59" s="512"/>
      <c r="DH59" s="512"/>
      <c r="DI59" s="512"/>
      <c r="DJ59" s="512"/>
      <c r="DK59" s="512"/>
      <c r="DL59" s="512"/>
      <c r="DM59" s="512"/>
      <c r="DN59" s="512"/>
      <c r="DO59" s="512"/>
      <c r="DP59" s="512"/>
      <c r="DQ59" s="508"/>
      <c r="ED59" s="527"/>
    </row>
    <row r="60" spans="1:150" x14ac:dyDescent="0.2">
      <c r="A60" s="327"/>
      <c r="AE60" s="286" t="s">
        <v>524</v>
      </c>
      <c r="AF60" s="513">
        <f>AF51+AF58</f>
        <v>-9581.6333950630215</v>
      </c>
      <c r="AG60" s="513">
        <f t="shared" ref="AG60:AR60" si="104">AG51+AG58</f>
        <v>179523.02462882496</v>
      </c>
      <c r="AH60" s="513">
        <f t="shared" si="104"/>
        <v>52755.739033338119</v>
      </c>
      <c r="AI60" s="513">
        <f t="shared" si="104"/>
        <v>406483.07820323773</v>
      </c>
      <c r="AJ60" s="513">
        <f t="shared" si="104"/>
        <v>194656.95655156835</v>
      </c>
      <c r="AK60" s="513">
        <f t="shared" si="104"/>
        <v>8290.2365010313661</v>
      </c>
      <c r="AL60" s="513">
        <f t="shared" si="104"/>
        <v>-13830.66832617503</v>
      </c>
      <c r="AM60" s="513">
        <f t="shared" si="104"/>
        <v>179243.18282382499</v>
      </c>
      <c r="AN60" s="513">
        <f t="shared" si="104"/>
        <v>78071.007453750586</v>
      </c>
      <c r="AO60" s="513">
        <f t="shared" si="104"/>
        <v>21472.670821278611</v>
      </c>
      <c r="AP60" s="513">
        <f t="shared" si="104"/>
        <v>55553.678286031376</v>
      </c>
      <c r="AQ60" s="513">
        <f t="shared" si="104"/>
        <v>64044.723186031377</v>
      </c>
      <c r="AR60" s="513">
        <f t="shared" si="104"/>
        <v>1216681.9957676795</v>
      </c>
      <c r="AU60" s="286" t="s">
        <v>524</v>
      </c>
      <c r="AV60" s="513">
        <f>AV51+AV58</f>
        <v>3722.9699092000001</v>
      </c>
      <c r="AW60" s="513">
        <f t="shared" ref="AW60:BG60" si="105">AW51+AW58</f>
        <v>19157.163666240001</v>
      </c>
      <c r="AX60" s="513">
        <f t="shared" si="105"/>
        <v>14304.566305875938</v>
      </c>
      <c r="AY60" s="513">
        <f t="shared" si="105"/>
        <v>57132.978732864001</v>
      </c>
      <c r="AZ60" s="513">
        <f t="shared" si="105"/>
        <v>17369.192444860684</v>
      </c>
      <c r="BA60" s="513">
        <f t="shared" si="105"/>
        <v>15151.303744552002</v>
      </c>
      <c r="BB60" s="513">
        <f t="shared" si="105"/>
        <v>347.49506624000151</v>
      </c>
      <c r="BC60" s="513">
        <f t="shared" si="105"/>
        <v>14912.267661240001</v>
      </c>
      <c r="BD60" s="513">
        <f t="shared" si="105"/>
        <v>18715.618095684513</v>
      </c>
      <c r="BE60" s="513">
        <f t="shared" si="105"/>
        <v>8808.8167812527572</v>
      </c>
      <c r="BF60" s="513">
        <f t="shared" si="105"/>
        <v>18269.933094552001</v>
      </c>
      <c r="BG60" s="513">
        <f t="shared" si="105"/>
        <v>17375.041669552003</v>
      </c>
      <c r="BH60" s="513">
        <f>BH51+BH58</f>
        <v>205267.34717211389</v>
      </c>
      <c r="BI60" s="508"/>
      <c r="BJ60" s="365">
        <f>BJ51+BJ58</f>
        <v>15319.230000000003</v>
      </c>
      <c r="BK60" s="365">
        <f t="shared" ref="BK60:BV60" si="106">BK51+BK58</f>
        <v>148058.82</v>
      </c>
      <c r="BL60" s="365">
        <f t="shared" si="106"/>
        <v>41550.03</v>
      </c>
      <c r="BM60" s="365">
        <f t="shared" si="106"/>
        <v>286445.83</v>
      </c>
      <c r="BN60" s="365">
        <f t="shared" si="106"/>
        <v>91938.949999999983</v>
      </c>
      <c r="BO60" s="365">
        <f>BO51+BO58</f>
        <v>41470.749999999985</v>
      </c>
      <c r="BP60" s="365" t="e">
        <f t="shared" si="106"/>
        <v>#REF!</v>
      </c>
      <c r="BQ60" s="365">
        <f t="shared" si="106"/>
        <v>161398.57</v>
      </c>
      <c r="BR60" s="365">
        <f t="shared" si="106"/>
        <v>59279.23</v>
      </c>
      <c r="BS60" s="365">
        <f t="shared" si="106"/>
        <v>46613.68</v>
      </c>
      <c r="BT60" s="365" t="e">
        <f t="shared" si="106"/>
        <v>#REF!</v>
      </c>
      <c r="BU60" s="365" t="e">
        <f t="shared" si="106"/>
        <v>#REF!</v>
      </c>
      <c r="BV60" s="365">
        <f t="shared" si="106"/>
        <v>1070526.7957676798</v>
      </c>
      <c r="BX60" s="365">
        <f>BX51+BX58</f>
        <v>7621.55</v>
      </c>
      <c r="BY60" s="365">
        <f t="shared" ref="BY60:CI60" si="107">BY51+BY58</f>
        <v>11807.970000000001</v>
      </c>
      <c r="BZ60" s="365">
        <f t="shared" si="107"/>
        <v>18567.98</v>
      </c>
      <c r="CA60" s="365">
        <f t="shared" si="107"/>
        <v>45233.030000000006</v>
      </c>
      <c r="CB60" s="365">
        <f t="shared" si="107"/>
        <v>33610.210000000006</v>
      </c>
      <c r="CC60" s="365">
        <f>CC51+CC58</f>
        <v>12238.41</v>
      </c>
      <c r="CD60" s="365" t="e">
        <f t="shared" si="107"/>
        <v>#REF!</v>
      </c>
      <c r="CE60" s="365">
        <f t="shared" si="107"/>
        <v>16666.05</v>
      </c>
      <c r="CF60" s="365">
        <f t="shared" si="107"/>
        <v>23305.31</v>
      </c>
      <c r="CG60" s="365">
        <f t="shared" si="107"/>
        <v>9846.7999999999993</v>
      </c>
      <c r="CH60" s="365" t="e">
        <f t="shared" si="107"/>
        <v>#REF!</v>
      </c>
      <c r="CI60" s="365" t="e">
        <f t="shared" si="107"/>
        <v>#REF!</v>
      </c>
      <c r="CJ60" s="365">
        <f>CJ51+CJ58</f>
        <v>176304.7271721139</v>
      </c>
      <c r="CM60" s="286" t="s">
        <v>524</v>
      </c>
      <c r="CN60" s="513">
        <f>CN51+CN58</f>
        <v>20306.300925240001</v>
      </c>
      <c r="CO60" s="513">
        <f t="shared" ref="CO60:CZ60" si="108">CO51+CO58</f>
        <v>130153.43579112802</v>
      </c>
      <c r="CP60" s="513">
        <f t="shared" si="108"/>
        <v>22554.648238540802</v>
      </c>
      <c r="CQ60" s="513">
        <f t="shared" si="108"/>
        <v>247244.49616354081</v>
      </c>
      <c r="CR60" s="513">
        <f t="shared" si="108"/>
        <v>138544.08699412798</v>
      </c>
      <c r="CS60" s="513">
        <f t="shared" si="108"/>
        <v>-20980.473308665605</v>
      </c>
      <c r="CT60" s="513">
        <f t="shared" si="108"/>
        <v>22270.280194128001</v>
      </c>
      <c r="CU60" s="513">
        <f t="shared" si="108"/>
        <v>173126.817144128</v>
      </c>
      <c r="CV60" s="513">
        <f t="shared" si="108"/>
        <v>72126.429663540795</v>
      </c>
      <c r="CW60" s="513">
        <f t="shared" si="108"/>
        <v>46718.016994127996</v>
      </c>
      <c r="CX60" s="513">
        <f t="shared" si="108"/>
        <v>71273.896316334401</v>
      </c>
      <c r="CY60" s="513">
        <f t="shared" si="108"/>
        <v>5537.8208163344025</v>
      </c>
      <c r="CZ60" s="513">
        <f t="shared" si="108"/>
        <v>928875.75593250548</v>
      </c>
      <c r="DC60" s="286" t="s">
        <v>524</v>
      </c>
      <c r="DD60" s="513">
        <f>DD51+DD58</f>
        <v>5119.4998492000004</v>
      </c>
      <c r="DE60" s="513">
        <f t="shared" ref="DE60:DO60" si="109">DE51+DE58</f>
        <v>13573.211666240004</v>
      </c>
      <c r="DF60" s="513">
        <f t="shared" si="109"/>
        <v>-77.616752136000287</v>
      </c>
      <c r="DG60" s="513">
        <f t="shared" si="109"/>
        <v>1641.9287728640011</v>
      </c>
      <c r="DH60" s="513">
        <f t="shared" si="109"/>
        <v>5966.423091239998</v>
      </c>
      <c r="DI60" s="513">
        <f t="shared" si="109"/>
        <v>4997.2757445520019</v>
      </c>
      <c r="DJ60" s="513">
        <f t="shared" si="109"/>
        <v>6899.0817332400011</v>
      </c>
      <c r="DK60" s="513">
        <f t="shared" si="109"/>
        <v>1597.4571412400001</v>
      </c>
      <c r="DL60" s="513">
        <f t="shared" si="109"/>
        <v>3927.2724228640018</v>
      </c>
      <c r="DM60" s="513">
        <f t="shared" si="109"/>
        <v>7088.5530662400015</v>
      </c>
      <c r="DN60" s="513">
        <f t="shared" si="109"/>
        <v>5705.8697615520014</v>
      </c>
      <c r="DO60" s="513">
        <f t="shared" si="109"/>
        <v>3613.323369552003</v>
      </c>
      <c r="DP60" s="513">
        <f>DP51+DP58</f>
        <v>60052.279866648023</v>
      </c>
      <c r="DQ60" s="508"/>
      <c r="DR60" s="365">
        <f>DR51+DR58</f>
        <v>63860.109999999993</v>
      </c>
      <c r="DS60" s="365">
        <f t="shared" ref="DS60:DV60" si="110">DS51+DS58</f>
        <v>130153.43579112802</v>
      </c>
      <c r="DT60" s="365">
        <f t="shared" si="110"/>
        <v>22554.648238540802</v>
      </c>
      <c r="DU60" s="365">
        <f t="shared" si="110"/>
        <v>247244.49616354081</v>
      </c>
      <c r="DV60" s="365">
        <f t="shared" si="110"/>
        <v>138544.08699412798</v>
      </c>
      <c r="DW60" s="365">
        <f>DW51+DW58</f>
        <v>-20980.473308665605</v>
      </c>
      <c r="DX60" s="365">
        <f t="shared" ref="DX60:ED60" si="111">DX51+DX58</f>
        <v>22270.280194128001</v>
      </c>
      <c r="DY60" s="365">
        <f t="shared" si="111"/>
        <v>208126.817144128</v>
      </c>
      <c r="DZ60" s="365">
        <f t="shared" si="111"/>
        <v>72126.429663540795</v>
      </c>
      <c r="EA60" s="365">
        <f t="shared" si="111"/>
        <v>46718.016994127996</v>
      </c>
      <c r="EB60" s="365">
        <f t="shared" si="111"/>
        <v>71273.896316334401</v>
      </c>
      <c r="EC60" s="365">
        <f t="shared" si="111"/>
        <v>5537.8208163344025</v>
      </c>
      <c r="ED60" s="365">
        <f t="shared" si="111"/>
        <v>1008569.7859325055</v>
      </c>
      <c r="EF60" s="365">
        <f>EF51+EF58</f>
        <v>2301.83</v>
      </c>
      <c r="EG60" s="365">
        <f t="shared" ref="EG60:EJ60" si="112">EG51+EG58</f>
        <v>13573.211666240004</v>
      </c>
      <c r="EH60" s="365">
        <f t="shared" si="112"/>
        <v>-77.616752136000287</v>
      </c>
      <c r="EI60" s="365">
        <f t="shared" si="112"/>
        <v>1641.9287728640011</v>
      </c>
      <c r="EJ60" s="365">
        <f t="shared" si="112"/>
        <v>5966.423091239998</v>
      </c>
      <c r="EK60" s="365">
        <f>EK51+EK58</f>
        <v>4997.2757445520019</v>
      </c>
      <c r="EL60" s="365">
        <f t="shared" ref="EL60:EQ60" si="113">EL51+EL58</f>
        <v>6899.0817332400011</v>
      </c>
      <c r="EM60" s="365">
        <f t="shared" si="113"/>
        <v>1597.4571412400001</v>
      </c>
      <c r="EN60" s="365">
        <f t="shared" si="113"/>
        <v>3927.2724228640018</v>
      </c>
      <c r="EO60" s="365">
        <f t="shared" si="113"/>
        <v>7088.5530662400015</v>
      </c>
      <c r="EP60" s="365">
        <f t="shared" si="113"/>
        <v>5705.8697615520014</v>
      </c>
      <c r="EQ60" s="365">
        <f t="shared" si="113"/>
        <v>3613.323369552003</v>
      </c>
      <c r="ER60" s="365">
        <f>ER51+ER58</f>
        <v>53258.259866648004</v>
      </c>
    </row>
    <row r="61" spans="1:150" x14ac:dyDescent="0.2">
      <c r="A61" s="327"/>
      <c r="AE61" s="286" t="s">
        <v>984</v>
      </c>
      <c r="AF61" s="523">
        <f>AF60/AF51</f>
        <v>-0.2685811743535535</v>
      </c>
      <c r="AG61" s="523">
        <f t="shared" ref="AG61:AQ61" si="114">AG60/AG51</f>
        <v>0.66318073375997399</v>
      </c>
      <c r="AH61" s="523">
        <f t="shared" si="114"/>
        <v>0.36717524382891231</v>
      </c>
      <c r="AI61" s="523">
        <f t="shared" si="114"/>
        <v>0.59750562722804312</v>
      </c>
      <c r="AJ61" s="523">
        <f t="shared" si="114"/>
        <v>0.69309936461302601</v>
      </c>
      <c r="AK61" s="523">
        <f t="shared" si="114"/>
        <v>9.8004923762044754E-2</v>
      </c>
      <c r="AL61" s="523">
        <f t="shared" si="114"/>
        <v>-0.53690482632667036</v>
      </c>
      <c r="AM61" s="523">
        <f t="shared" si="114"/>
        <v>0.64360209272468583</v>
      </c>
      <c r="AN61" s="523">
        <f t="shared" si="114"/>
        <v>0.60708403929821608</v>
      </c>
      <c r="AO61" s="523">
        <f t="shared" si="114"/>
        <v>0.33551048158247831</v>
      </c>
      <c r="AP61" s="523">
        <f t="shared" si="114"/>
        <v>0.50838415269761039</v>
      </c>
      <c r="AQ61" s="523">
        <f t="shared" si="114"/>
        <v>0.45086042369610263</v>
      </c>
      <c r="AR61" s="523">
        <f>AR60/AR51</f>
        <v>0.54219823517485877</v>
      </c>
      <c r="AU61" s="286" t="s">
        <v>984</v>
      </c>
      <c r="AV61" s="523">
        <f>AV58/AV51</f>
        <v>-0.66610135343497756</v>
      </c>
      <c r="AW61" s="523">
        <f t="shared" ref="AW61:BH61" si="115">AW58/AW51</f>
        <v>-0.32187031269946897</v>
      </c>
      <c r="AX61" s="523">
        <f t="shared" si="115"/>
        <v>-0.46823173584104316</v>
      </c>
      <c r="AY61" s="523">
        <f t="shared" si="115"/>
        <v>-0.1719858154657391</v>
      </c>
      <c r="AZ61" s="523">
        <f t="shared" si="115"/>
        <v>-0.50934484619037612</v>
      </c>
      <c r="BA61" s="523">
        <f t="shared" si="115"/>
        <v>-0.30815964636748855</v>
      </c>
      <c r="BB61" s="523">
        <f t="shared" si="115"/>
        <v>-0.94303359569836043</v>
      </c>
      <c r="BC61" s="523">
        <f t="shared" si="115"/>
        <v>-0.41290284798267712</v>
      </c>
      <c r="BD61" s="523">
        <f t="shared" si="115"/>
        <v>-0.31943206924783585</v>
      </c>
      <c r="BE61" s="523">
        <f t="shared" si="115"/>
        <v>-0.38827661241300293</v>
      </c>
      <c r="BF61" s="523">
        <f t="shared" si="115"/>
        <v>-0.27211421934055774</v>
      </c>
      <c r="BG61" s="523">
        <f t="shared" si="115"/>
        <v>-0.30499833321791991</v>
      </c>
      <c r="BH61" s="523">
        <f t="shared" si="115"/>
        <v>-0.35062528575731128</v>
      </c>
      <c r="BI61" s="508"/>
      <c r="BJ61" s="576">
        <f>BJ60/BJ51</f>
        <v>0.3724597853288692</v>
      </c>
      <c r="BK61" s="576">
        <f t="shared" ref="BK61:BV61" si="116">BK60/BK51</f>
        <v>0.52644201050680817</v>
      </c>
      <c r="BL61" s="576">
        <f t="shared" si="116"/>
        <v>0.53451896543961097</v>
      </c>
      <c r="BM61" s="576">
        <f t="shared" si="116"/>
        <v>0.3979573522159448</v>
      </c>
      <c r="BN61" s="576">
        <f t="shared" si="116"/>
        <v>0.44295868560891538</v>
      </c>
      <c r="BO61" s="576">
        <f t="shared" si="116"/>
        <v>0.50124802094011245</v>
      </c>
      <c r="BP61" s="576" t="e">
        <f t="shared" si="116"/>
        <v>#REF!</v>
      </c>
      <c r="BQ61" s="576">
        <f t="shared" si="116"/>
        <v>0.58027034581938297</v>
      </c>
      <c r="BR61" s="576">
        <f t="shared" si="116"/>
        <v>0.59470666074092504</v>
      </c>
      <c r="BS61" s="576">
        <f t="shared" si="116"/>
        <v>0.55134104511153692</v>
      </c>
      <c r="BT61" s="576" t="e">
        <f t="shared" si="116"/>
        <v>#REF!</v>
      </c>
      <c r="BU61" s="576" t="e">
        <f t="shared" si="116"/>
        <v>#REF!</v>
      </c>
      <c r="BV61" s="576">
        <f t="shared" si="116"/>
        <v>0.51030324160896545</v>
      </c>
      <c r="BX61" s="576">
        <f>BX60/BX51</f>
        <v>0.89641565467964368</v>
      </c>
      <c r="BY61" s="576">
        <f t="shared" ref="BY61" si="117">BY60/BY51</f>
        <v>0.54549095696763916</v>
      </c>
      <c r="BZ61" s="576">
        <f t="shared" ref="BZ61" si="118">BZ60/BZ51</f>
        <v>1.0535024113475178</v>
      </c>
      <c r="CA61" s="576">
        <f t="shared" ref="CA61" si="119">CA60/CA51</f>
        <v>0.79188258304143777</v>
      </c>
      <c r="CB61" s="576">
        <f t="shared" ref="CB61" si="120">CB60/CB51</f>
        <v>0.73333660616295648</v>
      </c>
      <c r="CC61" s="576">
        <f>CC60/CC51</f>
        <v>0.90765824897096448</v>
      </c>
      <c r="CD61" s="576" t="e">
        <f t="shared" ref="CD61" si="121">CD60/CD51</f>
        <v>#REF!</v>
      </c>
      <c r="CE61" s="576">
        <f t="shared" ref="CE61" si="122">CE60/CE51</f>
        <v>0.6404575341728761</v>
      </c>
      <c r="CF61" s="576">
        <f t="shared" ref="CF61" si="123">CF60/CF51</f>
        <v>0.79561351552031689</v>
      </c>
      <c r="CG61" s="576">
        <f t="shared" ref="CG61" si="124">CG60/CG51</f>
        <v>0.7290145850299844</v>
      </c>
      <c r="CH61" s="576" t="e">
        <f t="shared" ref="CH61" si="125">CH60/CH51</f>
        <v>#REF!</v>
      </c>
      <c r="CI61" s="576" t="e">
        <f t="shared" ref="CI61" si="126">CI60/CI51</f>
        <v>#REF!</v>
      </c>
      <c r="CJ61" s="576">
        <f t="shared" ref="CJ61" si="127">CJ60/CJ51</f>
        <v>0.61400827426966809</v>
      </c>
      <c r="CM61" s="286" t="s">
        <v>984</v>
      </c>
      <c r="CN61" s="523">
        <f>CN60/CN51</f>
        <v>0.33393578130276769</v>
      </c>
      <c r="CO61" s="523">
        <f t="shared" ref="CO61:CZ61" si="128">CO60/CO51</f>
        <v>0.5695394610243476</v>
      </c>
      <c r="CP61" s="523">
        <f t="shared" si="128"/>
        <v>0.31706822574739302</v>
      </c>
      <c r="CQ61" s="523">
        <f t="shared" si="128"/>
        <v>0.42990369971195519</v>
      </c>
      <c r="CR61" s="523">
        <f t="shared" si="128"/>
        <v>0.63532516001489436</v>
      </c>
      <c r="CS61" s="523">
        <f t="shared" si="128"/>
        <v>-0.4185630585269946</v>
      </c>
      <c r="CT61" s="523">
        <f t="shared" si="128"/>
        <v>0.42769065687480556</v>
      </c>
      <c r="CU61" s="523">
        <f t="shared" si="128"/>
        <v>0.64187370336061333</v>
      </c>
      <c r="CV61" s="523">
        <f t="shared" si="128"/>
        <v>0.61809762246909183</v>
      </c>
      <c r="CW61" s="523">
        <f t="shared" si="128"/>
        <v>0.53971207580929048</v>
      </c>
      <c r="CX61" s="523">
        <f t="shared" si="128"/>
        <v>0.57795425204413198</v>
      </c>
      <c r="CY61" s="523">
        <f t="shared" si="128"/>
        <v>7.8610862452579311E-2</v>
      </c>
      <c r="CZ61" s="523">
        <f t="shared" si="128"/>
        <v>0.48313822614751861</v>
      </c>
      <c r="DC61" s="286" t="s">
        <v>984</v>
      </c>
      <c r="DD61" s="523">
        <f>DD60/DD51</f>
        <v>0.41994023873310027</v>
      </c>
      <c r="DE61" s="523">
        <f t="shared" ref="DE61:DP61" si="129">DE60/DE51</f>
        <v>0.59817547497820744</v>
      </c>
      <c r="DF61" s="523">
        <f t="shared" si="129"/>
        <v>-6.3667151834711352E-3</v>
      </c>
      <c r="DG61" s="523">
        <f t="shared" si="129"/>
        <v>0.13468346150395955</v>
      </c>
      <c r="DH61" s="523">
        <f t="shared" si="129"/>
        <v>0.25353410192317</v>
      </c>
      <c r="DI61" s="523">
        <f t="shared" si="129"/>
        <v>0.40991448989108392</v>
      </c>
      <c r="DJ61" s="523">
        <f t="shared" si="129"/>
        <v>0.56591892171135016</v>
      </c>
      <c r="DK61" s="523">
        <f t="shared" si="129"/>
        <v>0.13103556070287803</v>
      </c>
      <c r="DL61" s="523">
        <f t="shared" si="129"/>
        <v>0.32214469526454731</v>
      </c>
      <c r="DM61" s="523">
        <f t="shared" si="129"/>
        <v>0.58145693028475065</v>
      </c>
      <c r="DN61" s="523">
        <f t="shared" si="129"/>
        <v>0.46804194931119492</v>
      </c>
      <c r="DO61" s="523">
        <f t="shared" si="129"/>
        <v>0.29639221078728467</v>
      </c>
      <c r="DP61" s="523">
        <f t="shared" si="129"/>
        <v>0.35716900611426672</v>
      </c>
      <c r="DQ61" s="508"/>
      <c r="DR61" s="576">
        <f>DR60/DR51</f>
        <v>0.60529171531850789</v>
      </c>
      <c r="DS61" s="576">
        <f t="shared" ref="DS61:ED61" si="130">DS60/DS51</f>
        <v>0.5695394610243476</v>
      </c>
      <c r="DT61" s="576">
        <f t="shared" si="130"/>
        <v>0.31706822574739302</v>
      </c>
      <c r="DU61" s="576">
        <f t="shared" si="130"/>
        <v>0.42990369971195519</v>
      </c>
      <c r="DV61" s="576">
        <f t="shared" si="130"/>
        <v>0.63532516001489436</v>
      </c>
      <c r="DW61" s="576">
        <f t="shared" si="130"/>
        <v>-0.4185630585269946</v>
      </c>
      <c r="DX61" s="576">
        <f t="shared" si="130"/>
        <v>0.42769065687480556</v>
      </c>
      <c r="DY61" s="576">
        <f t="shared" si="130"/>
        <v>0.68300779120614596</v>
      </c>
      <c r="DZ61" s="576">
        <f t="shared" si="130"/>
        <v>0.61809762246909183</v>
      </c>
      <c r="EA61" s="576">
        <f t="shared" si="130"/>
        <v>0.53971207580929048</v>
      </c>
      <c r="EB61" s="576">
        <f t="shared" si="130"/>
        <v>0.57795425204413198</v>
      </c>
      <c r="EC61" s="576">
        <f t="shared" si="130"/>
        <v>7.8610862452579311E-2</v>
      </c>
      <c r="ED61" s="576">
        <f t="shared" si="130"/>
        <v>0.50371015212702352</v>
      </c>
      <c r="EF61" s="576">
        <f>EF60/EF51</f>
        <v>0.42650176023716879</v>
      </c>
      <c r="EG61" s="576">
        <f t="shared" ref="EG61:EJ61" si="131">EG60/EG51</f>
        <v>0.59817547497820744</v>
      </c>
      <c r="EH61" s="576">
        <f t="shared" si="131"/>
        <v>-6.3667151834711352E-3</v>
      </c>
      <c r="EI61" s="576">
        <f t="shared" si="131"/>
        <v>0.13468346150395955</v>
      </c>
      <c r="EJ61" s="576">
        <f t="shared" si="131"/>
        <v>0.25353410192317</v>
      </c>
      <c r="EK61" s="576">
        <f>EK60/EK51</f>
        <v>0.40991448989108392</v>
      </c>
      <c r="EL61" s="576">
        <f t="shared" ref="EL61:ER61" si="132">EL60/EL51</f>
        <v>0.56591892171135016</v>
      </c>
      <c r="EM61" s="576">
        <f t="shared" si="132"/>
        <v>0.13103556070287803</v>
      </c>
      <c r="EN61" s="576">
        <f t="shared" si="132"/>
        <v>0.32214469526454731</v>
      </c>
      <c r="EO61" s="576">
        <f t="shared" si="132"/>
        <v>0.58145693028475065</v>
      </c>
      <c r="EP61" s="576">
        <f t="shared" si="132"/>
        <v>0.46804194931119492</v>
      </c>
      <c r="EQ61" s="576">
        <f t="shared" si="132"/>
        <v>0.29639221078728467</v>
      </c>
      <c r="ER61" s="576">
        <f t="shared" si="132"/>
        <v>0.33009943139410519</v>
      </c>
    </row>
    <row r="62" spans="1:150" x14ac:dyDescent="0.2">
      <c r="A62" s="327"/>
      <c r="BI62" s="508"/>
      <c r="DQ62" s="508"/>
    </row>
    <row r="63" spans="1:150" x14ac:dyDescent="0.2">
      <c r="A63" s="327" t="s">
        <v>641</v>
      </c>
      <c r="AE63" s="524" t="s">
        <v>1117</v>
      </c>
      <c r="BI63" s="524" t="s">
        <v>1118</v>
      </c>
      <c r="CM63" s="524" t="s">
        <v>1117</v>
      </c>
      <c r="DQ63" s="524" t="s">
        <v>1118</v>
      </c>
    </row>
    <row r="64" spans="1:150" x14ac:dyDescent="0.2">
      <c r="A64" s="327" t="s">
        <v>640</v>
      </c>
      <c r="AE64" s="524" t="s">
        <v>188</v>
      </c>
      <c r="AF64" s="525">
        <f>AF51+AV51</f>
        <v>46825</v>
      </c>
      <c r="AG64" s="525">
        <f t="shared" ref="AG64:AR64" si="133">AG51+AW51</f>
        <v>298950</v>
      </c>
      <c r="AH64" s="525">
        <f t="shared" si="133"/>
        <v>170580</v>
      </c>
      <c r="AI64" s="525">
        <f t="shared" si="133"/>
        <v>749300</v>
      </c>
      <c r="AJ64" s="525">
        <f t="shared" si="133"/>
        <v>316250</v>
      </c>
      <c r="AK64" s="525">
        <f t="shared" si="133"/>
        <v>106490</v>
      </c>
      <c r="AL64" s="525">
        <f t="shared" si="133"/>
        <v>31860</v>
      </c>
      <c r="AM64" s="525">
        <f t="shared" si="133"/>
        <v>303900</v>
      </c>
      <c r="AN64" s="525">
        <f t="shared" si="133"/>
        <v>156100</v>
      </c>
      <c r="AO64" s="525">
        <f t="shared" si="133"/>
        <v>78400</v>
      </c>
      <c r="AP64" s="525">
        <f t="shared" si="133"/>
        <v>134375</v>
      </c>
      <c r="AQ64" s="525">
        <f t="shared" si="133"/>
        <v>167050</v>
      </c>
      <c r="AR64" s="525">
        <f t="shared" si="133"/>
        <v>2560080</v>
      </c>
      <c r="AS64" s="293" t="b">
        <f>SUM(AR51+BH51)=AR64</f>
        <v>1</v>
      </c>
      <c r="BI64" s="524" t="s">
        <v>188</v>
      </c>
      <c r="BJ64" s="525">
        <f>BJ51+BX51</f>
        <v>49632.14</v>
      </c>
      <c r="BK64" s="525">
        <f>BK51+BY51</f>
        <v>302890.81</v>
      </c>
      <c r="BL64" s="525">
        <f t="shared" ref="BL64:BU64" si="134">BL51+BZ51</f>
        <v>95358.5</v>
      </c>
      <c r="BM64" s="525">
        <f>BM51+CA51</f>
        <v>776911.15</v>
      </c>
      <c r="BN64" s="525">
        <f t="shared" si="134"/>
        <v>253388.38999999998</v>
      </c>
      <c r="BO64" s="525">
        <f t="shared" si="134"/>
        <v>96218.489999999991</v>
      </c>
      <c r="BP64" s="525">
        <f>BP51+CD51</f>
        <v>14610</v>
      </c>
      <c r="BQ64" s="525">
        <f t="shared" si="134"/>
        <v>304165.84999999998</v>
      </c>
      <c r="BR64" s="525">
        <f t="shared" si="134"/>
        <v>128970.35</v>
      </c>
      <c r="BS64" s="525">
        <f t="shared" si="134"/>
        <v>98053</v>
      </c>
      <c r="BT64" s="525">
        <f t="shared" si="134"/>
        <v>151300</v>
      </c>
      <c r="BU64" s="525">
        <f t="shared" si="134"/>
        <v>147550</v>
      </c>
      <c r="BV64" s="525">
        <f>BV51+CJ51</f>
        <v>2384962.1800000002</v>
      </c>
      <c r="BX64" s="555">
        <f>AR64-BV64</f>
        <v>175117.81999999983</v>
      </c>
      <c r="CM64" s="524" t="s">
        <v>188</v>
      </c>
      <c r="CN64" s="525">
        <f>CN51+DD51</f>
        <v>73000.02</v>
      </c>
      <c r="CO64" s="525">
        <f t="shared" ref="CO64:CZ64" si="135">CO51+DE51</f>
        <v>251215.02</v>
      </c>
      <c r="CP64" s="525">
        <f t="shared" si="135"/>
        <v>83326.02</v>
      </c>
      <c r="CQ64" s="525">
        <f t="shared" si="135"/>
        <v>587307.02</v>
      </c>
      <c r="CR64" s="525">
        <f t="shared" si="135"/>
        <v>241601.02</v>
      </c>
      <c r="CS64" s="525">
        <f t="shared" si="135"/>
        <v>62316.020000000004</v>
      </c>
      <c r="CT64" s="525">
        <f t="shared" si="135"/>
        <v>64261.936667000002</v>
      </c>
      <c r="CU64" s="525">
        <f t="shared" si="135"/>
        <v>281912.02</v>
      </c>
      <c r="CV64" s="525">
        <f t="shared" si="135"/>
        <v>128882.02</v>
      </c>
      <c r="CW64" s="525">
        <f t="shared" si="135"/>
        <v>98752.02</v>
      </c>
      <c r="CX64" s="525">
        <f t="shared" si="135"/>
        <v>135511.936667</v>
      </c>
      <c r="CY64" s="525">
        <f t="shared" si="135"/>
        <v>82637.02</v>
      </c>
      <c r="CZ64" s="525">
        <f t="shared" si="135"/>
        <v>2090722.0733340001</v>
      </c>
      <c r="DA64" s="293" t="b">
        <f>SUM(+CZ51+DP51)=CZ64</f>
        <v>1</v>
      </c>
      <c r="DQ64" s="524" t="s">
        <v>188</v>
      </c>
      <c r="DR64" s="525">
        <f>DR51+EF51</f>
        <v>110900.03</v>
      </c>
      <c r="DS64" s="525">
        <f>DS51+EG51</f>
        <v>251215.02</v>
      </c>
      <c r="DT64" s="525">
        <f t="shared" ref="DT64" si="136">DT51+EH51</f>
        <v>83326.02</v>
      </c>
      <c r="DU64" s="525">
        <f>DU51+EI51</f>
        <v>587307.02</v>
      </c>
      <c r="DV64" s="525">
        <f t="shared" ref="DV64" si="137">DV51+EJ51</f>
        <v>241601.02</v>
      </c>
      <c r="DW64" s="525">
        <f t="shared" ref="DW64" si="138">DW51+EK51</f>
        <v>62316.020000000004</v>
      </c>
      <c r="DX64" s="525">
        <f>DX51+EL51</f>
        <v>64261.936667000002</v>
      </c>
      <c r="DY64" s="525">
        <f t="shared" ref="DY64" si="139">DY51+EM51</f>
        <v>316912.02</v>
      </c>
      <c r="DZ64" s="525">
        <f t="shared" ref="DZ64" si="140">DZ51+EN51</f>
        <v>128882.02</v>
      </c>
      <c r="EA64" s="525">
        <f t="shared" ref="EA64" si="141">EA51+EO51</f>
        <v>98752.02</v>
      </c>
      <c r="EB64" s="525">
        <f t="shared" ref="EB64" si="142">EB51+EP51</f>
        <v>135511.936667</v>
      </c>
      <c r="EC64" s="525">
        <f t="shared" ref="EC64" si="143">EC51+EQ51</f>
        <v>82637.02</v>
      </c>
      <c r="ED64" s="525">
        <f>ED51+ER51</f>
        <v>2163622.0833339998</v>
      </c>
      <c r="EF64" s="555">
        <f>CZ64-ED64</f>
        <v>-72900.009999999776</v>
      </c>
    </row>
    <row r="65" spans="1:134" x14ac:dyDescent="0.2">
      <c r="A65" s="327"/>
      <c r="AE65" s="524" t="s">
        <v>933</v>
      </c>
      <c r="AF65" s="525">
        <f>AF58+AV58</f>
        <v>-52683.66348586302</v>
      </c>
      <c r="AG65" s="525">
        <f>AG58+AW58</f>
        <v>-100269.81170493504</v>
      </c>
      <c r="AH65" s="525">
        <f t="shared" ref="AH65:AP65" si="144">AH58+AX58</f>
        <v>-103519.69466078594</v>
      </c>
      <c r="AI65" s="525">
        <f t="shared" si="144"/>
        <v>-285683.94306389824</v>
      </c>
      <c r="AJ65" s="525">
        <f t="shared" si="144"/>
        <v>-104223.85100357096</v>
      </c>
      <c r="AK65" s="525">
        <f t="shared" si="144"/>
        <v>-83048.459754416632</v>
      </c>
      <c r="AL65" s="525">
        <f t="shared" si="144"/>
        <v>-45343.173259935029</v>
      </c>
      <c r="AM65" s="525">
        <f t="shared" si="144"/>
        <v>-109744.54951493503</v>
      </c>
      <c r="AN65" s="525">
        <f t="shared" si="144"/>
        <v>-59313.374450564901</v>
      </c>
      <c r="AO65" s="525">
        <f t="shared" si="144"/>
        <v>-48118.512397468628</v>
      </c>
      <c r="AP65" s="525">
        <f t="shared" si="144"/>
        <v>-60551.388619416626</v>
      </c>
      <c r="AQ65" s="525">
        <f t="shared" ref="AQ65" si="145">AQ58+BG58</f>
        <v>-85630.235144416627</v>
      </c>
      <c r="AR65" s="525">
        <f t="shared" ref="AR65" si="146">AR58+BH58</f>
        <v>-1138130.6570602066</v>
      </c>
      <c r="AS65" s="293" t="b">
        <f>SUM(AR58+BH58)=AR65</f>
        <v>1</v>
      </c>
      <c r="BI65" s="524" t="s">
        <v>933</v>
      </c>
      <c r="BJ65" s="525">
        <f>BJ58+BX58</f>
        <v>-26691.359999999997</v>
      </c>
      <c r="BK65" s="525">
        <f t="shared" ref="BK65:BV65" si="147">BK58+BY58</f>
        <v>-143024.01999999999</v>
      </c>
      <c r="BL65" s="525">
        <f t="shared" si="147"/>
        <v>-35240.49</v>
      </c>
      <c r="BM65" s="525">
        <f t="shared" si="147"/>
        <v>-445232.29</v>
      </c>
      <c r="BN65" s="525">
        <f t="shared" si="147"/>
        <v>-127839.23000000001</v>
      </c>
      <c r="BO65" s="525">
        <f>BO58+CC58</f>
        <v>-42509.33</v>
      </c>
      <c r="BP65" s="525" t="e">
        <f>BP58+CD58</f>
        <v>#REF!</v>
      </c>
      <c r="BQ65" s="525">
        <f t="shared" si="147"/>
        <v>-126101.23000000001</v>
      </c>
      <c r="BR65" s="525">
        <f t="shared" si="147"/>
        <v>-46385.810000000005</v>
      </c>
      <c r="BS65" s="525">
        <f t="shared" si="147"/>
        <v>-41592.519999999997</v>
      </c>
      <c r="BT65" s="525" t="e">
        <f t="shared" si="147"/>
        <v>#REF!</v>
      </c>
      <c r="BU65" s="525" t="e">
        <f t="shared" si="147"/>
        <v>#REF!</v>
      </c>
      <c r="BV65" s="525">
        <f t="shared" si="147"/>
        <v>-1138130.6570602066</v>
      </c>
      <c r="CM65" s="524" t="s">
        <v>933</v>
      </c>
      <c r="CN65" s="525">
        <f>CN58+DD58</f>
        <v>-47574.219225560002</v>
      </c>
      <c r="CO65" s="525">
        <f>CO58+DE58</f>
        <v>-107488.37254263197</v>
      </c>
      <c r="CP65" s="525">
        <f t="shared" ref="CP65" si="148">CP58+DF58</f>
        <v>-60848.988513595199</v>
      </c>
      <c r="CQ65" s="525">
        <f t="shared" ref="CQ65" si="149">CQ58+DG58</f>
        <v>-338420.59506359522</v>
      </c>
      <c r="CR65" s="525">
        <f t="shared" ref="CR65" si="150">CR58+DH58</f>
        <v>-97090.509914632014</v>
      </c>
      <c r="CS65" s="525">
        <f t="shared" ref="CS65" si="151">CS58+DI58</f>
        <v>-78299.217564113598</v>
      </c>
      <c r="CT65" s="525">
        <f t="shared" ref="CT65" si="152">CT58+DJ58</f>
        <v>-35092.574739632</v>
      </c>
      <c r="CU65" s="525">
        <f t="shared" ref="CU65" si="153">CU58+DK58</f>
        <v>-107187.74571463201</v>
      </c>
      <c r="CV65" s="525">
        <f t="shared" ref="CV65" si="154">CV58+DL58</f>
        <v>-52828.317913595194</v>
      </c>
      <c r="CW65" s="525">
        <f t="shared" ref="CW65" si="155">CW58+DM58</f>
        <v>-44945.449939632002</v>
      </c>
      <c r="CX65" s="525">
        <f t="shared" ref="CX65" si="156">CX58+DN58</f>
        <v>-58532.170589113593</v>
      </c>
      <c r="CY65" s="525">
        <f t="shared" ref="CY65" si="157">CY58+DO58</f>
        <v>-73485.875814113591</v>
      </c>
      <c r="CZ65" s="525">
        <f>CZ58+DP58</f>
        <v>-1101794.0375348465</v>
      </c>
      <c r="DA65" s="293" t="b">
        <f>SUM(CZ58+DP58)=CZ65</f>
        <v>1</v>
      </c>
      <c r="DQ65" s="524" t="s">
        <v>933</v>
      </c>
      <c r="DR65" s="525">
        <f>DR58+EF58</f>
        <v>-44738.090000000004</v>
      </c>
      <c r="DS65" s="525">
        <f t="shared" ref="DS65" si="158">DS58+EG58</f>
        <v>-107488.37254263197</v>
      </c>
      <c r="DT65" s="525">
        <f t="shared" ref="DT65" si="159">DT58+EH58</f>
        <v>-60848.988513595199</v>
      </c>
      <c r="DU65" s="525">
        <f t="shared" ref="DU65" si="160">DU58+EI58</f>
        <v>-338420.59506359522</v>
      </c>
      <c r="DV65" s="525">
        <f t="shared" ref="DV65" si="161">DV58+EJ58</f>
        <v>-97090.509914632014</v>
      </c>
      <c r="DW65" s="525">
        <f>DW58+EK58</f>
        <v>-78299.217564113598</v>
      </c>
      <c r="DX65" s="525">
        <f>DX58+EL58</f>
        <v>-35092.574739632</v>
      </c>
      <c r="DY65" s="525">
        <f t="shared" ref="DY65" si="162">DY58+EM58</f>
        <v>-107187.74571463201</v>
      </c>
      <c r="DZ65" s="525">
        <f t="shared" ref="DZ65" si="163">DZ58+EN58</f>
        <v>-52828.317913595194</v>
      </c>
      <c r="EA65" s="525">
        <f t="shared" ref="EA65" si="164">EA58+EO58</f>
        <v>-44945.449939632002</v>
      </c>
      <c r="EB65" s="525">
        <f t="shared" ref="EB65" si="165">EB58+EP58</f>
        <v>-58532.170589113593</v>
      </c>
      <c r="EC65" s="525">
        <f t="shared" ref="EC65" si="166">EC58+EQ58</f>
        <v>-73485.875814113591</v>
      </c>
      <c r="ED65" s="525">
        <f t="shared" ref="ED65" si="167">ED58+ER58</f>
        <v>-1101794.0375348465</v>
      </c>
    </row>
    <row r="66" spans="1:134" x14ac:dyDescent="0.2">
      <c r="A66" s="327"/>
      <c r="AE66" s="524" t="s">
        <v>1051</v>
      </c>
      <c r="AF66" s="525">
        <f t="shared" ref="AF66:AR66" si="168">AF60+AV60</f>
        <v>-5858.6634858630214</v>
      </c>
      <c r="AG66" s="525">
        <f t="shared" si="168"/>
        <v>198680.18829506496</v>
      </c>
      <c r="AH66" s="525">
        <f t="shared" si="168"/>
        <v>67060.305339214057</v>
      </c>
      <c r="AI66" s="525">
        <f t="shared" si="168"/>
        <v>463616.05693610176</v>
      </c>
      <c r="AJ66" s="525">
        <f t="shared" si="168"/>
        <v>212026.14899642902</v>
      </c>
      <c r="AK66" s="525">
        <f t="shared" si="168"/>
        <v>23441.540245583368</v>
      </c>
      <c r="AL66" s="525">
        <f t="shared" si="168"/>
        <v>-13483.173259935029</v>
      </c>
      <c r="AM66" s="525">
        <f t="shared" si="168"/>
        <v>194155.450485065</v>
      </c>
      <c r="AN66" s="525">
        <f t="shared" si="168"/>
        <v>96786.625549435092</v>
      </c>
      <c r="AO66" s="525">
        <f t="shared" si="168"/>
        <v>30281.487602531368</v>
      </c>
      <c r="AP66" s="525">
        <f t="shared" si="168"/>
        <v>73823.611380583374</v>
      </c>
      <c r="AQ66" s="525">
        <f t="shared" si="168"/>
        <v>81419.764855583373</v>
      </c>
      <c r="AR66" s="525">
        <f t="shared" si="168"/>
        <v>1421949.3429397934</v>
      </c>
      <c r="AS66" s="293" t="b">
        <f>SUM(AR60+BH60)=AR66</f>
        <v>1</v>
      </c>
      <c r="BI66" s="524" t="s">
        <v>1051</v>
      </c>
      <c r="BJ66" s="525">
        <f>BJ64+BJ65</f>
        <v>22940.780000000002</v>
      </c>
      <c r="BK66" s="525">
        <f t="shared" ref="BK66:BV66" si="169">BK64+BK65</f>
        <v>159866.79</v>
      </c>
      <c r="BL66" s="525">
        <f t="shared" si="169"/>
        <v>60118.01</v>
      </c>
      <c r="BM66" s="525">
        <f t="shared" si="169"/>
        <v>331678.86000000004</v>
      </c>
      <c r="BN66" s="525">
        <f t="shared" si="169"/>
        <v>125549.15999999997</v>
      </c>
      <c r="BO66" s="525">
        <f t="shared" si="169"/>
        <v>53709.159999999989</v>
      </c>
      <c r="BP66" s="525" t="e">
        <f t="shared" si="169"/>
        <v>#REF!</v>
      </c>
      <c r="BQ66" s="525">
        <f t="shared" si="169"/>
        <v>178064.61999999997</v>
      </c>
      <c r="BR66" s="525">
        <f t="shared" si="169"/>
        <v>82584.540000000008</v>
      </c>
      <c r="BS66" s="525">
        <f t="shared" si="169"/>
        <v>56460.480000000003</v>
      </c>
      <c r="BT66" s="525" t="e">
        <f t="shared" si="169"/>
        <v>#REF!</v>
      </c>
      <c r="BU66" s="525" t="e">
        <f t="shared" si="169"/>
        <v>#REF!</v>
      </c>
      <c r="BV66" s="525">
        <f t="shared" si="169"/>
        <v>1246831.5229397935</v>
      </c>
      <c r="CM66" s="524" t="s">
        <v>1051</v>
      </c>
      <c r="CN66" s="525">
        <f t="shared" ref="CN66" si="170">CN60+DD60</f>
        <v>25425.800774440002</v>
      </c>
      <c r="CO66" s="525">
        <f t="shared" ref="CO66" si="171">CO60+DE60</f>
        <v>143726.64745736803</v>
      </c>
      <c r="CP66" s="525">
        <f t="shared" ref="CP66" si="172">CP60+DF60</f>
        <v>22477.031486404801</v>
      </c>
      <c r="CQ66" s="525">
        <f t="shared" ref="CQ66" si="173">CQ60+DG60</f>
        <v>248886.4249364048</v>
      </c>
      <c r="CR66" s="525">
        <f t="shared" ref="CR66" si="174">CR60+DH60</f>
        <v>144510.51008536798</v>
      </c>
      <c r="CS66" s="525">
        <f t="shared" ref="CS66" si="175">CS60+DI60</f>
        <v>-15983.197564113603</v>
      </c>
      <c r="CT66" s="525">
        <f t="shared" ref="CT66" si="176">CT60+DJ60</f>
        <v>29169.361927368001</v>
      </c>
      <c r="CU66" s="525">
        <f t="shared" ref="CU66" si="177">CU60+DK60</f>
        <v>174724.27428536801</v>
      </c>
      <c r="CV66" s="525">
        <f t="shared" ref="CV66" si="178">CV60+DL60</f>
        <v>76053.702086404795</v>
      </c>
      <c r="CW66" s="525">
        <f t="shared" ref="CW66" si="179">CW60+DM60</f>
        <v>53806.570060368002</v>
      </c>
      <c r="CX66" s="525">
        <f t="shared" ref="CX66" si="180">CX60+DN60</f>
        <v>76979.766077886408</v>
      </c>
      <c r="CY66" s="525">
        <f t="shared" ref="CY66" si="181">CY60+DO60</f>
        <v>9151.1441858864055</v>
      </c>
      <c r="CZ66" s="525">
        <f>CZ60+DP60</f>
        <v>988928.0357991535</v>
      </c>
      <c r="DA66" s="293" t="b">
        <f>SUM(CZ60+DP60)=CZ66</f>
        <v>1</v>
      </c>
      <c r="DQ66" s="524" t="s">
        <v>1051</v>
      </c>
      <c r="DR66" s="525">
        <f>DR64+DR65</f>
        <v>66161.94</v>
      </c>
      <c r="DS66" s="525">
        <f t="shared" ref="DS66:ED66" si="182">DS64+DS65</f>
        <v>143726.64745736803</v>
      </c>
      <c r="DT66" s="525">
        <f t="shared" si="182"/>
        <v>22477.031486404805</v>
      </c>
      <c r="DU66" s="525">
        <f t="shared" si="182"/>
        <v>248886.4249364048</v>
      </c>
      <c r="DV66" s="525">
        <f t="shared" si="182"/>
        <v>144510.51008536798</v>
      </c>
      <c r="DW66" s="525">
        <f t="shared" si="182"/>
        <v>-15983.197564113594</v>
      </c>
      <c r="DX66" s="525">
        <f t="shared" si="182"/>
        <v>29169.361927368001</v>
      </c>
      <c r="DY66" s="525">
        <f t="shared" si="182"/>
        <v>209724.27428536801</v>
      </c>
      <c r="DZ66" s="525">
        <f t="shared" si="182"/>
        <v>76053.70208640481</v>
      </c>
      <c r="EA66" s="525">
        <f t="shared" si="182"/>
        <v>53806.570060368002</v>
      </c>
      <c r="EB66" s="525">
        <f t="shared" si="182"/>
        <v>76979.766077886408</v>
      </c>
      <c r="EC66" s="525">
        <f t="shared" si="182"/>
        <v>9151.1441858864127</v>
      </c>
      <c r="ED66" s="525">
        <f t="shared" si="182"/>
        <v>1061828.0457991534</v>
      </c>
    </row>
    <row r="67" spans="1:134" x14ac:dyDescent="0.2">
      <c r="A67" s="327"/>
      <c r="AE67" s="524" t="s">
        <v>984</v>
      </c>
      <c r="AF67" s="526">
        <f t="shared" ref="AF67:AR67" si="183">AF66/AF64</f>
        <v>-0.12511828053097751</v>
      </c>
      <c r="AG67" s="526">
        <f t="shared" si="183"/>
        <v>0.66459337111578842</v>
      </c>
      <c r="AH67" s="526">
        <f t="shared" si="183"/>
        <v>0.39313111349052676</v>
      </c>
      <c r="AI67" s="526">
        <f t="shared" si="183"/>
        <v>0.61873222599239519</v>
      </c>
      <c r="AJ67" s="526">
        <f t="shared" si="183"/>
        <v>0.670438415798985</v>
      </c>
      <c r="AK67" s="526">
        <f t="shared" si="183"/>
        <v>0.22012902850580682</v>
      </c>
      <c r="AL67" s="526">
        <f t="shared" si="183"/>
        <v>-0.42320066729237377</v>
      </c>
      <c r="AM67" s="526">
        <f t="shared" si="183"/>
        <v>0.63887940271492272</v>
      </c>
      <c r="AN67" s="526">
        <f t="shared" si="183"/>
        <v>0.62002963196306915</v>
      </c>
      <c r="AO67" s="526">
        <f t="shared" si="183"/>
        <v>0.38624346431800216</v>
      </c>
      <c r="AP67" s="526">
        <f t="shared" si="183"/>
        <v>0.54938501492527159</v>
      </c>
      <c r="AQ67" s="526">
        <f t="shared" si="183"/>
        <v>0.48739757471166339</v>
      </c>
      <c r="AR67" s="526">
        <f t="shared" si="183"/>
        <v>0.55543160484820531</v>
      </c>
      <c r="BI67" s="524" t="s">
        <v>984</v>
      </c>
      <c r="BJ67" s="526">
        <f>BJ66/BJ64</f>
        <v>0.46221621715283689</v>
      </c>
      <c r="BK67" s="526">
        <f t="shared" ref="BK67:BV67" si="184">BK66/BK64</f>
        <v>0.52780336914150683</v>
      </c>
      <c r="BL67" s="526">
        <f t="shared" si="184"/>
        <v>0.63044206861475383</v>
      </c>
      <c r="BM67" s="526">
        <f t="shared" si="184"/>
        <v>0.42691993801350392</v>
      </c>
      <c r="BN67" s="526">
        <f t="shared" si="184"/>
        <v>0.49548110708624016</v>
      </c>
      <c r="BO67" s="526">
        <f t="shared" si="184"/>
        <v>0.55819998838061158</v>
      </c>
      <c r="BP67" s="526" t="e">
        <f t="shared" si="184"/>
        <v>#REF!</v>
      </c>
      <c r="BQ67" s="526">
        <f t="shared" si="184"/>
        <v>0.5854195005783851</v>
      </c>
      <c r="BR67" s="526">
        <f t="shared" si="184"/>
        <v>0.64033741088552532</v>
      </c>
      <c r="BS67" s="526">
        <f t="shared" si="184"/>
        <v>0.57581593627935912</v>
      </c>
      <c r="BT67" s="526" t="e">
        <f t="shared" si="184"/>
        <v>#REF!</v>
      </c>
      <c r="BU67" s="526" t="e">
        <f t="shared" si="184"/>
        <v>#REF!</v>
      </c>
      <c r="BV67" s="526">
        <f t="shared" si="184"/>
        <v>0.52278880285631757</v>
      </c>
      <c r="CM67" s="524" t="s">
        <v>984</v>
      </c>
      <c r="CN67" s="526">
        <f t="shared" ref="CN67:CZ67" si="185">CN66/CN64</f>
        <v>0.34829854532149446</v>
      </c>
      <c r="CO67" s="526">
        <f t="shared" si="185"/>
        <v>0.57212601164280719</v>
      </c>
      <c r="CP67" s="526">
        <f t="shared" si="185"/>
        <v>0.26974805092580684</v>
      </c>
      <c r="CQ67" s="526">
        <f t="shared" si="185"/>
        <v>0.42377566836576341</v>
      </c>
      <c r="CR67" s="526">
        <f t="shared" si="185"/>
        <v>0.59813700325175767</v>
      </c>
      <c r="CS67" s="526">
        <f t="shared" si="185"/>
        <v>-0.2564861742472257</v>
      </c>
      <c r="CT67" s="526">
        <f t="shared" si="185"/>
        <v>0.4539135208221502</v>
      </c>
      <c r="CU67" s="526">
        <f t="shared" si="185"/>
        <v>0.61978298862662184</v>
      </c>
      <c r="CV67" s="526">
        <f t="shared" si="185"/>
        <v>0.59010327496732895</v>
      </c>
      <c r="CW67" s="526">
        <f t="shared" si="185"/>
        <v>0.5448655132357596</v>
      </c>
      <c r="CX67" s="526">
        <f t="shared" si="185"/>
        <v>0.56806631187813728</v>
      </c>
      <c r="CY67" s="526">
        <f t="shared" si="185"/>
        <v>0.11073903906368363</v>
      </c>
      <c r="CZ67" s="526">
        <f t="shared" si="185"/>
        <v>0.47300788967236818</v>
      </c>
      <c r="DQ67" s="524" t="s">
        <v>984</v>
      </c>
      <c r="DR67" s="526">
        <f>DR66/DR64</f>
        <v>0.59659082148129272</v>
      </c>
      <c r="DS67" s="526">
        <f t="shared" ref="DS67:ED67" si="186">DS66/DS64</f>
        <v>0.57212601164280719</v>
      </c>
      <c r="DT67" s="526">
        <f t="shared" si="186"/>
        <v>0.26974805092580689</v>
      </c>
      <c r="DU67" s="526">
        <f t="shared" si="186"/>
        <v>0.42377566836576341</v>
      </c>
      <c r="DV67" s="526">
        <f t="shared" si="186"/>
        <v>0.59813700325175767</v>
      </c>
      <c r="DW67" s="526">
        <f t="shared" si="186"/>
        <v>-0.25648617424722558</v>
      </c>
      <c r="DX67" s="526">
        <f t="shared" si="186"/>
        <v>0.4539135208221502</v>
      </c>
      <c r="DY67" s="526">
        <f t="shared" si="186"/>
        <v>0.66177443911836475</v>
      </c>
      <c r="DZ67" s="526">
        <f t="shared" si="186"/>
        <v>0.59010327496732906</v>
      </c>
      <c r="EA67" s="526">
        <f t="shared" si="186"/>
        <v>0.5448655132357596</v>
      </c>
      <c r="EB67" s="526">
        <f t="shared" si="186"/>
        <v>0.56806631187813728</v>
      </c>
      <c r="EC67" s="526">
        <f t="shared" si="186"/>
        <v>0.11073903906368371</v>
      </c>
      <c r="ED67" s="526">
        <f t="shared" si="186"/>
        <v>0.49076410061545772</v>
      </c>
    </row>
    <row r="68" spans="1:134" x14ac:dyDescent="0.2">
      <c r="A68" s="327"/>
    </row>
    <row r="69" spans="1:134" x14ac:dyDescent="0.2">
      <c r="A69" s="327" t="s">
        <v>642</v>
      </c>
    </row>
    <row r="70" spans="1:134" hidden="1" x14ac:dyDescent="0.2">
      <c r="A70" s="327" t="s">
        <v>640</v>
      </c>
      <c r="AG70" s="293" t="s">
        <v>1110</v>
      </c>
      <c r="AI70" s="563">
        <f>AH70/$AR$64</f>
        <v>0</v>
      </c>
      <c r="AR70" s="555"/>
      <c r="CO70" s="293" t="s">
        <v>1110</v>
      </c>
      <c r="CQ70" s="563">
        <f>CP70/$AR$64</f>
        <v>0</v>
      </c>
      <c r="CZ70" s="555"/>
    </row>
    <row r="71" spans="1:134" hidden="1" x14ac:dyDescent="0.2">
      <c r="A71" s="327"/>
      <c r="AG71" s="293" t="s">
        <v>1109</v>
      </c>
      <c r="AI71" s="563">
        <f t="shared" ref="AI71:AI72" si="187">AH71/$AR$64</f>
        <v>0</v>
      </c>
      <c r="CO71" s="293" t="s">
        <v>1109</v>
      </c>
      <c r="CQ71" s="563">
        <f t="shared" ref="CQ71:CQ72" si="188">CP71/$AR$64</f>
        <v>0</v>
      </c>
    </row>
    <row r="72" spans="1:134" hidden="1" x14ac:dyDescent="0.2">
      <c r="A72" s="327"/>
      <c r="AG72" s="293" t="s">
        <v>1111</v>
      </c>
      <c r="AI72" s="563">
        <f t="shared" si="187"/>
        <v>0</v>
      </c>
      <c r="CO72" s="293" t="s">
        <v>1111</v>
      </c>
      <c r="CQ72" s="563">
        <f t="shared" si="188"/>
        <v>0</v>
      </c>
    </row>
    <row r="73" spans="1:134" hidden="1" x14ac:dyDescent="0.2">
      <c r="A73" s="327"/>
    </row>
    <row r="74" spans="1:134" hidden="1" x14ac:dyDescent="0.2">
      <c r="A74" s="327"/>
    </row>
    <row r="75" spans="1:134" hidden="1" x14ac:dyDescent="0.2">
      <c r="A75" s="327" t="s">
        <v>643</v>
      </c>
    </row>
    <row r="76" spans="1:134" hidden="1" x14ac:dyDescent="0.2">
      <c r="A76" s="327" t="s">
        <v>640</v>
      </c>
    </row>
    <row r="77" spans="1:134" x14ac:dyDescent="0.2">
      <c r="A77" s="327"/>
    </row>
  </sheetData>
  <mergeCells count="8">
    <mergeCell ref="EF1:EG1"/>
    <mergeCell ref="CL2:CM2"/>
    <mergeCell ref="DB2:DC2"/>
    <mergeCell ref="AD2:AE2"/>
    <mergeCell ref="AT2:AU2"/>
    <mergeCell ref="BJ1:BK1"/>
    <mergeCell ref="BX1:BY1"/>
    <mergeCell ref="DR1:DS1"/>
  </mergeCells>
  <conditionalFormatting sqref="A50">
    <cfRule type="duplicateValues" dxfId="54" priority="27"/>
  </conditionalFormatting>
  <conditionalFormatting sqref="A78:A1048576 A2:A19 A65:A66">
    <cfRule type="duplicateValues" dxfId="53" priority="77"/>
  </conditionalFormatting>
  <conditionalFormatting sqref="A78:A1048576 A65:A66 A2:A22">
    <cfRule type="duplicateValues" dxfId="52" priority="79"/>
  </conditionalFormatting>
  <conditionalFormatting sqref="A78:A1048576 A65:A66 A2:A23">
    <cfRule type="duplicateValues" dxfId="51" priority="80"/>
  </conditionalFormatting>
  <conditionalFormatting sqref="A78:A1048576 A65:A66 A2:A49">
    <cfRule type="duplicateValues" dxfId="50" priority="76"/>
  </conditionalFormatting>
  <conditionalFormatting sqref="A78:A1048576 A65:A66">
    <cfRule type="duplicateValues" dxfId="49" priority="151"/>
  </conditionalFormatting>
  <conditionalFormatting sqref="AD3:AE3">
    <cfRule type="duplicateValues" dxfId="48" priority="138"/>
  </conditionalFormatting>
  <conditionalFormatting sqref="AE51">
    <cfRule type="duplicateValues" dxfId="47" priority="71"/>
    <cfRule type="duplicateValues" dxfId="46" priority="70"/>
    <cfRule type="duplicateValues" dxfId="45" priority="69"/>
    <cfRule type="duplicateValues" dxfId="44" priority="68"/>
  </conditionalFormatting>
  <conditionalFormatting sqref="AE58">
    <cfRule type="duplicateValues" dxfId="43" priority="64"/>
    <cfRule type="duplicateValues" dxfId="42" priority="66"/>
    <cfRule type="duplicateValues" dxfId="41" priority="65"/>
    <cfRule type="duplicateValues" dxfId="40" priority="63"/>
  </conditionalFormatting>
  <conditionalFormatting sqref="AT3:AU3">
    <cfRule type="duplicateValues" dxfId="39" priority="51"/>
  </conditionalFormatting>
  <conditionalFormatting sqref="AU51">
    <cfRule type="duplicateValues" dxfId="38" priority="50"/>
    <cfRule type="duplicateValues" dxfId="37" priority="49"/>
    <cfRule type="duplicateValues" dxfId="36" priority="48"/>
    <cfRule type="duplicateValues" dxfId="35" priority="47"/>
  </conditionalFormatting>
  <conditionalFormatting sqref="AU58">
    <cfRule type="duplicateValues" dxfId="34" priority="46"/>
    <cfRule type="duplicateValues" dxfId="33" priority="45"/>
    <cfRule type="duplicateValues" dxfId="32" priority="44"/>
    <cfRule type="duplicateValues" dxfId="31" priority="43"/>
  </conditionalFormatting>
  <conditionalFormatting sqref="BJ62:BK63 BM62:BV63 BJ64:BV67">
    <cfRule type="expression" dxfId="30" priority="28">
      <formula>$AD$1=BJ$2</formula>
    </cfRule>
  </conditionalFormatting>
  <conditionalFormatting sqref="BJ2:BV21 BI16:BI21 BI22:BV50 BJ51:BV61 BI51:BI62 BJ68:BK78 BM68:BV78">
    <cfRule type="expression" dxfId="29" priority="57">
      <formula>$AD$1=BI$2</formula>
    </cfRule>
  </conditionalFormatting>
  <conditionalFormatting sqref="BX62:BY78 CA62:CJ78">
    <cfRule type="expression" dxfId="28" priority="32">
      <formula>$AD$1=BX$2</formula>
    </cfRule>
  </conditionalFormatting>
  <conditionalFormatting sqref="BX2:CJ61">
    <cfRule type="expression" dxfId="27" priority="29">
      <formula>$AD$1=BX$2</formula>
    </cfRule>
  </conditionalFormatting>
  <conditionalFormatting sqref="CL3:CM3">
    <cfRule type="duplicateValues" dxfId="26" priority="26"/>
  </conditionalFormatting>
  <conditionalFormatting sqref="CM51">
    <cfRule type="duplicateValues" dxfId="25" priority="25"/>
    <cfRule type="duplicateValues" dxfId="24" priority="24"/>
    <cfRule type="duplicateValues" dxfId="23" priority="23"/>
    <cfRule type="duplicateValues" dxfId="22" priority="22"/>
  </conditionalFormatting>
  <conditionalFormatting sqref="CM58">
    <cfRule type="duplicateValues" dxfId="21" priority="21"/>
    <cfRule type="duplicateValues" dxfId="20" priority="20"/>
    <cfRule type="duplicateValues" dxfId="19" priority="19"/>
    <cfRule type="duplicateValues" dxfId="18" priority="18"/>
  </conditionalFormatting>
  <conditionalFormatting sqref="CN62:CO63 CQ62:CZ63 CN64:CZ68 CN69:CO78 CQ69:CZ78">
    <cfRule type="expression" dxfId="17" priority="5">
      <formula>$AD$1=CN$2</formula>
    </cfRule>
  </conditionalFormatting>
  <conditionalFormatting sqref="CN2:CZ23 CN24:CT24 CV24:CZ24 CN25:CZ61 AV2:BH61 AV62:AW78 AY62:BH78">
    <cfRule type="expression" dxfId="16" priority="36">
      <formula>$AD$1=AV$2</formula>
    </cfRule>
  </conditionalFormatting>
  <conditionalFormatting sqref="CN2:ER5 CN6:DO6 CZ6:CZ50 DP6:ER50 DC7:DO12 CN7:DA23 DB7:DB36 DC13:DG13 DI13:DO13 DC14:DO36 CN24:CT24 CV24:DA24 CN25:DA36 CN37:DO50 CN51:ER69">
    <cfRule type="expression" dxfId="15" priority="1">
      <formula>$CL$1=CN$2</formula>
    </cfRule>
  </conditionalFormatting>
  <conditionalFormatting sqref="DB3:DC3">
    <cfRule type="duplicateValues" dxfId="14" priority="16"/>
  </conditionalFormatting>
  <conditionalFormatting sqref="DC51">
    <cfRule type="duplicateValues" dxfId="13" priority="15"/>
    <cfRule type="duplicateValues" dxfId="12" priority="13"/>
    <cfRule type="duplicateValues" dxfId="11" priority="12"/>
    <cfRule type="duplicateValues" dxfId="10" priority="14"/>
  </conditionalFormatting>
  <conditionalFormatting sqref="DC58">
    <cfRule type="duplicateValues" dxfId="9" priority="8"/>
    <cfRule type="duplicateValues" dxfId="8" priority="11"/>
    <cfRule type="duplicateValues" dxfId="7" priority="10"/>
    <cfRule type="duplicateValues" dxfId="6" priority="9"/>
  </conditionalFormatting>
  <conditionalFormatting sqref="DD62:DE78 DG62:DP78">
    <cfRule type="expression" dxfId="5" priority="7">
      <formula>$AD$1=DD$2</formula>
    </cfRule>
  </conditionalFormatting>
  <conditionalFormatting sqref="DD2:DP5 DD6:DO12 DP6:DP50 DD13:DG13 DI13:DO13 DD14:DO50 DD51:DP61 AF2:AR61 AF62:AG63 AI62:AR63 AF64:AR68 AF69:AG78 AI69:AR78">
    <cfRule type="expression" dxfId="4" priority="31">
      <formula>$AD$1=AF$2</formula>
    </cfRule>
  </conditionalFormatting>
  <conditionalFormatting sqref="DR62:DS63 DU62:ED63 DR64:ED67">
    <cfRule type="expression" dxfId="3" priority="3">
      <formula>$AD$1=DR$2</formula>
    </cfRule>
  </conditionalFormatting>
  <conditionalFormatting sqref="DR2:ED61 DQ16:DQ21 DQ22:ED25 DQ26:DQ62 DR68:DS78 DU68:ED78">
    <cfRule type="expression" dxfId="2" priority="17">
      <formula>$AD$1=DQ$2</formula>
    </cfRule>
  </conditionalFormatting>
  <conditionalFormatting sqref="EF62:EG78 EI62:ER78">
    <cfRule type="expression" dxfId="1" priority="6">
      <formula>$AD$1=EF$2</formula>
    </cfRule>
  </conditionalFormatting>
  <conditionalFormatting sqref="EF2:ER61">
    <cfRule type="expression" dxfId="0" priority="4">
      <formula>$AD$1=EF$2</formula>
    </cfRule>
  </conditionalFormatting>
  <pageMargins left="0.7" right="0.7" top="0.75" bottom="0.75" header="0.3" footer="0.3"/>
  <pageSetup orientation="portrait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26C95BD-F2A4-481A-996B-17DA2BE8FF5B}">
          <x14:formula1>
            <xm:f>'Data Validation'!$C$2:$C$4</xm:f>
          </x14:formula1>
          <xm:sqref>AF3:AR3 AV3:BH3 BJ3:CJ3 CN3:CZ3 DD3:DP3 DR3:ER3</xm:sqref>
        </x14:dataValidation>
        <x14:dataValidation type="list" allowBlank="1" showInputMessage="1" showErrorMessage="1" xr:uid="{64CED888-ACA7-4F43-82D2-1D05B8E0ABF3}">
          <x14:formula1>
            <xm:f>'Data Validation'!$A$2:$A$7</xm:f>
          </x14:formula1>
          <xm:sqref>CL4:CL5</xm:sqref>
        </x14:dataValidation>
        <x14:dataValidation type="list" allowBlank="1" showInputMessage="1" showErrorMessage="1" xr:uid="{82123FD8-08AF-4A12-BC4F-EDD5EBDAEC4B}">
          <x14:formula1>
            <xm:f>'Data Validation'!$A$2:$A$9</xm:f>
          </x14:formula1>
          <xm:sqref>CL6:CL50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1318B-9003-4052-B4E5-6DF545E5895F}">
  <sheetPr codeName="Sheet17">
    <tabColor rgb="FFFF0000"/>
  </sheetPr>
  <dimension ref="A1:BP284"/>
  <sheetViews>
    <sheetView topLeftCell="E10" workbookViewId="0">
      <selection activeCell="BH49" sqref="BH49"/>
    </sheetView>
  </sheetViews>
  <sheetFormatPr defaultColWidth="8.85546875" defaultRowHeight="15" x14ac:dyDescent="0.25"/>
  <cols>
    <col min="1" max="1" width="22.140625" style="180" bestFit="1" customWidth="1"/>
    <col min="2" max="2" width="12" style="180" customWidth="1"/>
    <col min="3" max="3" width="19.42578125" style="180" customWidth="1"/>
    <col min="4" max="4" width="22.5703125" style="180" customWidth="1"/>
    <col min="5" max="7" width="59.85546875" style="180" customWidth="1"/>
    <col min="8" max="8" width="21" style="180" customWidth="1"/>
    <col min="9" max="9" width="20.42578125" style="180" customWidth="1"/>
    <col min="10" max="10" width="11" style="180" customWidth="1"/>
    <col min="11" max="11" width="18.7109375" style="180" hidden="1" customWidth="1"/>
    <col min="12" max="12" width="10.42578125" style="180" hidden="1" customWidth="1"/>
    <col min="13" max="13" width="18.140625" style="180" hidden="1" customWidth="1"/>
    <col min="14" max="14" width="22.42578125" style="180" hidden="1" customWidth="1"/>
    <col min="15" max="15" width="19.5703125" style="180" hidden="1" customWidth="1"/>
    <col min="16" max="16" width="15" style="180" hidden="1" customWidth="1"/>
    <col min="17" max="17" width="20.28515625" style="180" hidden="1" customWidth="1"/>
    <col min="18" max="18" width="32.85546875" style="180" hidden="1" customWidth="1"/>
    <col min="19" max="19" width="29.85546875" style="180" hidden="1" customWidth="1"/>
    <col min="20" max="20" width="26.28515625" style="180" hidden="1" customWidth="1"/>
    <col min="21" max="21" width="66.7109375" style="180" hidden="1" customWidth="1"/>
    <col min="22" max="22" width="67.42578125" style="180" hidden="1" customWidth="1"/>
    <col min="23" max="23" width="9.85546875" style="180" hidden="1" customWidth="1"/>
    <col min="24" max="24" width="32.5703125" style="180" hidden="1" customWidth="1"/>
    <col min="25" max="25" width="25.42578125" style="180" hidden="1" customWidth="1"/>
    <col min="26" max="26" width="23.85546875" style="180" hidden="1" customWidth="1"/>
    <col min="27" max="27" width="26" style="180" hidden="1" customWidth="1"/>
    <col min="28" max="28" width="25" style="180" hidden="1" customWidth="1"/>
    <col min="29" max="29" width="25.140625" style="180" hidden="1" customWidth="1"/>
    <col min="30" max="30" width="36" style="180" hidden="1" customWidth="1"/>
    <col min="31" max="31" width="25.28515625" style="180" hidden="1" customWidth="1"/>
    <col min="32" max="32" width="36.85546875" style="180" hidden="1" customWidth="1"/>
    <col min="33" max="33" width="27.140625" style="180" hidden="1" customWidth="1"/>
    <col min="34" max="34" width="20.140625" style="180" hidden="1" customWidth="1"/>
    <col min="35" max="35" width="16.42578125" style="180" hidden="1" customWidth="1"/>
    <col min="36" max="36" width="40.85546875" style="180" hidden="1" customWidth="1"/>
    <col min="37" max="37" width="30" style="180" hidden="1" customWidth="1"/>
    <col min="38" max="38" width="18.85546875" style="180" hidden="1" customWidth="1"/>
    <col min="39" max="39" width="24" style="180" hidden="1" customWidth="1"/>
    <col min="40" max="40" width="17.42578125" style="180" hidden="1" customWidth="1"/>
    <col min="41" max="41" width="19.7109375" style="180" hidden="1" customWidth="1"/>
    <col min="42" max="42" width="15.7109375" style="180" hidden="1" customWidth="1"/>
    <col min="43" max="43" width="11.42578125" style="180" hidden="1" customWidth="1"/>
    <col min="44" max="44" width="10.42578125" style="180" hidden="1" customWidth="1"/>
    <col min="45" max="45" width="22.85546875" style="180" hidden="1" customWidth="1"/>
    <col min="46" max="46" width="36.5703125" style="180" hidden="1" customWidth="1"/>
    <col min="47" max="47" width="18.42578125" style="180" hidden="1" customWidth="1"/>
    <col min="48" max="48" width="13.28515625" style="180" hidden="1" customWidth="1"/>
    <col min="49" max="49" width="11.42578125" style="180" hidden="1" customWidth="1"/>
    <col min="50" max="50" width="27.5703125" style="180" hidden="1" customWidth="1"/>
    <col min="51" max="51" width="31.7109375" style="180" hidden="1" customWidth="1"/>
    <col min="52" max="54" width="8.85546875" style="180"/>
    <col min="55" max="55" width="27.7109375" style="180" bestFit="1" customWidth="1"/>
    <col min="56" max="56" width="16.28515625" style="180" bestFit="1" customWidth="1"/>
    <col min="57" max="57" width="14.42578125" style="180" bestFit="1" customWidth="1"/>
    <col min="58" max="58" width="13.5703125" style="180" bestFit="1" customWidth="1"/>
    <col min="59" max="59" width="12.5703125" style="180" bestFit="1" customWidth="1"/>
    <col min="60" max="60" width="9.140625" style="180" bestFit="1" customWidth="1"/>
    <col min="61" max="61" width="10.140625" style="180" bestFit="1" customWidth="1"/>
    <col min="62" max="62" width="10.85546875" style="180" bestFit="1" customWidth="1"/>
    <col min="63" max="63" width="9.140625" style="180" bestFit="1" customWidth="1"/>
    <col min="64" max="64" width="14.5703125" style="180" bestFit="1" customWidth="1"/>
    <col min="65" max="65" width="15.140625" style="180" bestFit="1" customWidth="1"/>
    <col min="66" max="68" width="11.28515625" style="180" bestFit="1" customWidth="1"/>
    <col min="69" max="16384" width="8.85546875" style="180"/>
  </cols>
  <sheetData>
    <row r="1" spans="1:68" x14ac:dyDescent="0.25">
      <c r="A1" s="642" t="s">
        <v>1323</v>
      </c>
      <c r="H1" s="179"/>
      <c r="K1" s="179" t="s">
        <v>1217</v>
      </c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79"/>
      <c r="W1" s="179"/>
      <c r="X1" s="179"/>
      <c r="Y1" s="179"/>
      <c r="Z1" s="179"/>
      <c r="AA1" s="179"/>
      <c r="AB1" s="179"/>
      <c r="AC1" s="179"/>
      <c r="AD1" s="179"/>
      <c r="AE1" s="179"/>
      <c r="AF1" s="179"/>
      <c r="AG1" s="179"/>
      <c r="AH1" s="179"/>
      <c r="AI1" s="179"/>
      <c r="AJ1" s="179"/>
      <c r="AK1" s="179"/>
      <c r="AL1" s="489" t="s">
        <v>1218</v>
      </c>
      <c r="AM1" s="489" t="s">
        <v>1219</v>
      </c>
      <c r="AN1" s="726" t="s">
        <v>1220</v>
      </c>
      <c r="AO1" s="726"/>
      <c r="AP1" s="489" t="s">
        <v>1221</v>
      </c>
      <c r="AQ1" s="726" t="s">
        <v>1222</v>
      </c>
      <c r="AR1" s="726"/>
      <c r="AS1" s="726" t="s">
        <v>1223</v>
      </c>
      <c r="AT1" s="726"/>
      <c r="AU1" s="726"/>
      <c r="AV1" s="489" t="s">
        <v>1224</v>
      </c>
      <c r="AW1" s="726" t="s">
        <v>1225</v>
      </c>
      <c r="AX1" s="726"/>
      <c r="AY1" s="726"/>
      <c r="BC1" s="487" t="s">
        <v>253</v>
      </c>
      <c r="BD1" t="s">
        <v>376</v>
      </c>
    </row>
    <row r="2" spans="1:68" x14ac:dyDescent="0.25">
      <c r="A2" s="489" t="s">
        <v>974</v>
      </c>
      <c r="B2" s="489" t="s">
        <v>975</v>
      </c>
      <c r="C2" s="489" t="s">
        <v>976</v>
      </c>
      <c r="D2" s="489" t="s">
        <v>651</v>
      </c>
      <c r="E2" s="489" t="s">
        <v>982</v>
      </c>
      <c r="F2" s="489" t="s">
        <v>253</v>
      </c>
      <c r="G2" s="489" t="s">
        <v>977</v>
      </c>
      <c r="H2" s="489" t="s">
        <v>658</v>
      </c>
      <c r="I2" s="489" t="s">
        <v>978</v>
      </c>
      <c r="J2" s="489" t="s">
        <v>1216</v>
      </c>
      <c r="K2" s="489" t="s">
        <v>1226</v>
      </c>
      <c r="L2" s="489" t="s">
        <v>1227</v>
      </c>
      <c r="M2" s="489" t="s">
        <v>1228</v>
      </c>
      <c r="N2" s="489" t="s">
        <v>1229</v>
      </c>
      <c r="O2" s="489" t="s">
        <v>1230</v>
      </c>
      <c r="P2" s="489" t="s">
        <v>1231</v>
      </c>
      <c r="Q2" s="489" t="s">
        <v>1232</v>
      </c>
      <c r="R2" s="489" t="s">
        <v>1233</v>
      </c>
      <c r="S2" s="489" t="s">
        <v>1234</v>
      </c>
      <c r="T2" s="489" t="s">
        <v>1235</v>
      </c>
      <c r="U2" s="489" t="s">
        <v>1236</v>
      </c>
      <c r="V2" s="489" t="s">
        <v>1237</v>
      </c>
      <c r="W2" s="489" t="s">
        <v>1238</v>
      </c>
      <c r="X2" s="489" t="s">
        <v>1239</v>
      </c>
      <c r="Y2" s="489" t="s">
        <v>1240</v>
      </c>
      <c r="Z2" s="489" t="s">
        <v>1241</v>
      </c>
      <c r="AA2" s="489" t="s">
        <v>1242</v>
      </c>
      <c r="AB2" s="489" t="s">
        <v>1243</v>
      </c>
      <c r="AC2" s="489" t="s">
        <v>1244</v>
      </c>
      <c r="AD2" s="489" t="s">
        <v>1245</v>
      </c>
      <c r="AE2" s="489" t="s">
        <v>1246</v>
      </c>
      <c r="AF2" s="489" t="s">
        <v>1247</v>
      </c>
      <c r="AG2" s="489" t="s">
        <v>1248</v>
      </c>
      <c r="AH2" s="489" t="s">
        <v>1249</v>
      </c>
      <c r="AI2" s="489" t="s">
        <v>1250</v>
      </c>
      <c r="AJ2" s="489" t="s">
        <v>1251</v>
      </c>
      <c r="AK2" s="489" t="s">
        <v>1252</v>
      </c>
      <c r="AN2" s="489" t="s">
        <v>1253</v>
      </c>
      <c r="AO2" s="489" t="s">
        <v>1254</v>
      </c>
      <c r="AQ2" s="489" t="s">
        <v>1255</v>
      </c>
      <c r="AR2" s="489" t="s">
        <v>1256</v>
      </c>
      <c r="AS2" s="489" t="s">
        <v>1257</v>
      </c>
      <c r="AT2" s="489" t="s">
        <v>1258</v>
      </c>
      <c r="AU2" s="489" t="s">
        <v>1259</v>
      </c>
      <c r="AW2" s="489" t="s">
        <v>1260</v>
      </c>
      <c r="AX2" s="489" t="s">
        <v>1261</v>
      </c>
      <c r="AY2" s="489" t="s">
        <v>1262</v>
      </c>
      <c r="BC2"/>
      <c r="BD2"/>
      <c r="BE2"/>
      <c r="BF2"/>
      <c r="BG2"/>
      <c r="BH2"/>
      <c r="BI2"/>
      <c r="BJ2"/>
      <c r="BK2"/>
      <c r="BL2"/>
      <c r="BM2"/>
      <c r="BN2"/>
      <c r="BO2"/>
      <c r="BP2"/>
    </row>
    <row r="3" spans="1:68" x14ac:dyDescent="0.25">
      <c r="A3" s="490" t="s">
        <v>1263</v>
      </c>
      <c r="B3" s="180">
        <v>4745780</v>
      </c>
      <c r="C3" s="180" t="s">
        <v>733</v>
      </c>
      <c r="D3" s="180" t="s">
        <v>734</v>
      </c>
      <c r="E3" s="180" t="s">
        <v>983</v>
      </c>
      <c r="F3" s="180" t="s">
        <v>376</v>
      </c>
      <c r="G3" s="180" t="s">
        <v>1264</v>
      </c>
      <c r="H3" s="182">
        <v>2831.39</v>
      </c>
      <c r="I3" s="182">
        <v>3171.15</v>
      </c>
      <c r="J3" s="180">
        <v>71.75</v>
      </c>
      <c r="AL3" s="182">
        <v>2831.39</v>
      </c>
      <c r="AM3" s="182">
        <v>0</v>
      </c>
      <c r="AP3" s="182">
        <v>2831.39</v>
      </c>
      <c r="AQ3" s="182">
        <v>280</v>
      </c>
      <c r="AR3" s="182">
        <v>0</v>
      </c>
      <c r="AV3" s="182">
        <v>2551.39</v>
      </c>
      <c r="AW3" s="182">
        <v>339.76</v>
      </c>
      <c r="AX3" s="182">
        <v>0</v>
      </c>
      <c r="AY3" s="182">
        <v>0</v>
      </c>
      <c r="BC3" s="487" t="s">
        <v>979</v>
      </c>
      <c r="BD3" s="487" t="s">
        <v>973</v>
      </c>
      <c r="BE3"/>
      <c r="BF3"/>
      <c r="BG3"/>
      <c r="BH3"/>
      <c r="BI3"/>
      <c r="BJ3"/>
      <c r="BK3"/>
      <c r="BL3"/>
      <c r="BM3"/>
      <c r="BN3"/>
      <c r="BO3"/>
      <c r="BP3"/>
    </row>
    <row r="4" spans="1:68" x14ac:dyDescent="0.25">
      <c r="A4" s="490" t="s">
        <v>1265</v>
      </c>
      <c r="B4" s="180">
        <v>4745780</v>
      </c>
      <c r="C4" s="180" t="s">
        <v>733</v>
      </c>
      <c r="D4" s="180" t="s">
        <v>734</v>
      </c>
      <c r="E4" s="180" t="s">
        <v>983</v>
      </c>
      <c r="F4" s="180" t="s">
        <v>376</v>
      </c>
      <c r="G4" s="180" t="s">
        <v>1264</v>
      </c>
      <c r="H4" s="182">
        <v>1578.47</v>
      </c>
      <c r="I4" s="182">
        <v>1767.89</v>
      </c>
      <c r="J4" s="180">
        <v>40</v>
      </c>
      <c r="AL4" s="182">
        <v>1578.47</v>
      </c>
      <c r="AM4" s="182">
        <v>0</v>
      </c>
      <c r="AP4" s="182">
        <v>1578.47</v>
      </c>
      <c r="AQ4" s="182">
        <v>170</v>
      </c>
      <c r="AR4" s="182">
        <v>0</v>
      </c>
      <c r="AV4" s="182">
        <v>1408.47</v>
      </c>
      <c r="AW4" s="182">
        <v>189.42</v>
      </c>
      <c r="AX4" s="182">
        <v>0</v>
      </c>
      <c r="AY4" s="182">
        <v>0</v>
      </c>
      <c r="BC4" s="487" t="s">
        <v>972</v>
      </c>
      <c r="BD4" t="s">
        <v>1272</v>
      </c>
      <c r="BE4" t="s">
        <v>1277</v>
      </c>
      <c r="BF4" t="s">
        <v>1269</v>
      </c>
      <c r="BG4" t="s">
        <v>1265</v>
      </c>
      <c r="BH4" t="s">
        <v>1263</v>
      </c>
      <c r="BI4" t="s">
        <v>1275</v>
      </c>
      <c r="BJ4" t="s">
        <v>1274</v>
      </c>
      <c r="BK4" t="s">
        <v>1271</v>
      </c>
      <c r="BL4" t="s">
        <v>1273</v>
      </c>
      <c r="BM4" t="s">
        <v>1268</v>
      </c>
      <c r="BN4" t="s">
        <v>1267</v>
      </c>
      <c r="BO4" t="s">
        <v>1266</v>
      </c>
      <c r="BP4" t="s">
        <v>524</v>
      </c>
    </row>
    <row r="5" spans="1:68" x14ac:dyDescent="0.25">
      <c r="A5" s="490" t="s">
        <v>1266</v>
      </c>
      <c r="B5" s="180">
        <v>4745780</v>
      </c>
      <c r="C5" s="180" t="s">
        <v>733</v>
      </c>
      <c r="D5" s="180" t="s">
        <v>734</v>
      </c>
      <c r="E5" s="180" t="s">
        <v>983</v>
      </c>
      <c r="F5" s="180" t="s">
        <v>376</v>
      </c>
      <c r="G5" s="180" t="s">
        <v>1014</v>
      </c>
      <c r="H5" s="182">
        <v>4104.03</v>
      </c>
      <c r="I5" s="182">
        <v>4596.51</v>
      </c>
      <c r="J5" s="180">
        <v>104</v>
      </c>
      <c r="AL5" s="182">
        <v>4104.03</v>
      </c>
      <c r="AM5" s="182">
        <v>0</v>
      </c>
      <c r="AP5" s="182">
        <v>4104.03</v>
      </c>
      <c r="AQ5" s="182">
        <v>606</v>
      </c>
      <c r="AR5" s="182">
        <v>22</v>
      </c>
      <c r="AV5" s="182">
        <v>3476.03</v>
      </c>
      <c r="AW5" s="182">
        <v>492.48</v>
      </c>
      <c r="AX5" s="182">
        <v>0</v>
      </c>
      <c r="AY5" s="182">
        <v>0</v>
      </c>
      <c r="BC5" s="488" t="s">
        <v>733</v>
      </c>
      <c r="BD5" s="491">
        <v>6408.6</v>
      </c>
      <c r="BE5" s="491"/>
      <c r="BF5" s="491">
        <v>5088.21</v>
      </c>
      <c r="BG5" s="491">
        <v>4596.51</v>
      </c>
      <c r="BH5" s="491">
        <v>3171.15</v>
      </c>
      <c r="BI5" s="491"/>
      <c r="BJ5" s="491">
        <v>9546.59</v>
      </c>
      <c r="BK5" s="491">
        <v>7159.94</v>
      </c>
      <c r="BL5" s="491">
        <v>6430.69</v>
      </c>
      <c r="BM5" s="491">
        <v>4242.9399999999996</v>
      </c>
      <c r="BN5" s="491">
        <v>4760.67</v>
      </c>
      <c r="BO5" s="491">
        <v>4596.51</v>
      </c>
      <c r="BP5" s="491">
        <v>56001.810000000005</v>
      </c>
    </row>
    <row r="6" spans="1:68" x14ac:dyDescent="0.25">
      <c r="A6" s="490" t="s">
        <v>1267</v>
      </c>
      <c r="B6" s="180">
        <v>4745780</v>
      </c>
      <c r="C6" s="180" t="s">
        <v>733</v>
      </c>
      <c r="D6" s="180" t="s">
        <v>734</v>
      </c>
      <c r="E6" s="180" t="s">
        <v>983</v>
      </c>
      <c r="F6" s="180" t="s">
        <v>376</v>
      </c>
      <c r="G6" s="180" t="s">
        <v>1014</v>
      </c>
      <c r="H6" s="182">
        <v>3926.46</v>
      </c>
      <c r="I6" s="182">
        <v>4760.67</v>
      </c>
      <c r="J6" s="180">
        <v>106</v>
      </c>
      <c r="N6" s="182">
        <v>331.47</v>
      </c>
      <c r="O6" s="182">
        <v>31.57</v>
      </c>
      <c r="AL6" s="182">
        <v>4289.5</v>
      </c>
      <c r="AM6" s="182">
        <v>0</v>
      </c>
      <c r="AP6" s="182">
        <v>4289.5</v>
      </c>
      <c r="AQ6" s="182">
        <v>666</v>
      </c>
      <c r="AR6" s="182">
        <v>0</v>
      </c>
      <c r="AV6" s="182">
        <v>3623.5</v>
      </c>
      <c r="AW6" s="182">
        <v>471.17</v>
      </c>
      <c r="AX6" s="182">
        <v>0</v>
      </c>
      <c r="AY6" s="182">
        <v>0</v>
      </c>
      <c r="BC6" s="488" t="s">
        <v>1015</v>
      </c>
      <c r="BD6" s="491"/>
      <c r="BE6" s="491">
        <v>314.94</v>
      </c>
      <c r="BF6" s="491"/>
      <c r="BG6" s="491"/>
      <c r="BH6" s="491"/>
      <c r="BI6" s="491">
        <v>2771.79</v>
      </c>
      <c r="BJ6" s="491"/>
      <c r="BK6" s="491"/>
      <c r="BL6" s="491"/>
      <c r="BM6" s="491"/>
      <c r="BN6" s="491">
        <v>2007.77</v>
      </c>
      <c r="BO6" s="491">
        <v>1919.19</v>
      </c>
      <c r="BP6" s="491">
        <v>7013.6900000000005</v>
      </c>
    </row>
    <row r="7" spans="1:68" x14ac:dyDescent="0.25">
      <c r="A7" s="490" t="s">
        <v>1268</v>
      </c>
      <c r="B7" s="180">
        <v>4745780</v>
      </c>
      <c r="C7" s="180" t="s">
        <v>733</v>
      </c>
      <c r="D7" s="180" t="s">
        <v>734</v>
      </c>
      <c r="E7" s="180" t="s">
        <v>983</v>
      </c>
      <c r="F7" s="180" t="s">
        <v>376</v>
      </c>
      <c r="G7" s="180" t="s">
        <v>1014</v>
      </c>
      <c r="H7" s="182">
        <v>3788.34</v>
      </c>
      <c r="I7" s="182">
        <v>4242.9399999999996</v>
      </c>
      <c r="J7" s="180">
        <v>96</v>
      </c>
      <c r="AL7" s="182">
        <v>3788.34</v>
      </c>
      <c r="AM7" s="182">
        <v>0</v>
      </c>
      <c r="AP7" s="182">
        <v>3788.34</v>
      </c>
      <c r="AQ7" s="182">
        <v>504</v>
      </c>
      <c r="AR7" s="182">
        <v>0</v>
      </c>
      <c r="AV7" s="182">
        <v>3284.34</v>
      </c>
      <c r="AW7" s="182">
        <v>454.6</v>
      </c>
      <c r="AX7" s="182">
        <v>0</v>
      </c>
      <c r="AY7" s="182">
        <v>0</v>
      </c>
      <c r="BC7" s="488" t="s">
        <v>1284</v>
      </c>
      <c r="BD7" s="491">
        <v>5708.36</v>
      </c>
      <c r="BE7" s="491"/>
      <c r="BF7" s="491">
        <v>1043.25</v>
      </c>
      <c r="BG7" s="491">
        <v>1594.4</v>
      </c>
      <c r="BH7" s="491"/>
      <c r="BI7" s="491"/>
      <c r="BJ7" s="491">
        <v>8601.9</v>
      </c>
      <c r="BK7" s="491">
        <v>5708.36</v>
      </c>
      <c r="BL7" s="491">
        <v>6042.99</v>
      </c>
      <c r="BM7" s="491">
        <v>327.24</v>
      </c>
      <c r="BN7" s="491">
        <v>472.42</v>
      </c>
      <c r="BO7" s="491"/>
      <c r="BP7" s="491">
        <v>29498.920000000002</v>
      </c>
    </row>
    <row r="8" spans="1:68" x14ac:dyDescent="0.25">
      <c r="A8" s="490" t="s">
        <v>1269</v>
      </c>
      <c r="B8" s="180">
        <v>4745780</v>
      </c>
      <c r="C8" s="180" t="s">
        <v>733</v>
      </c>
      <c r="D8" s="180" t="s">
        <v>734</v>
      </c>
      <c r="E8" s="180" t="s">
        <v>983</v>
      </c>
      <c r="F8" s="180" t="s">
        <v>376</v>
      </c>
      <c r="G8" s="180" t="s">
        <v>1014</v>
      </c>
      <c r="H8" s="182">
        <v>4419.72</v>
      </c>
      <c r="I8" s="182">
        <v>5088.21</v>
      </c>
      <c r="J8" s="180">
        <v>114.5</v>
      </c>
      <c r="N8" s="182">
        <v>138.12</v>
      </c>
      <c r="AL8" s="182">
        <v>4557.84</v>
      </c>
      <c r="AM8" s="182">
        <v>0</v>
      </c>
      <c r="AP8" s="182">
        <v>4557.84</v>
      </c>
      <c r="AQ8" s="182">
        <v>548</v>
      </c>
      <c r="AR8" s="182">
        <v>0</v>
      </c>
      <c r="AV8" s="182">
        <v>4009.84</v>
      </c>
      <c r="AW8" s="182">
        <v>530.37</v>
      </c>
      <c r="AX8" s="182">
        <v>0</v>
      </c>
      <c r="AY8" s="182">
        <v>0</v>
      </c>
      <c r="BC8" s="488" t="s">
        <v>786</v>
      </c>
      <c r="BD8" s="491">
        <v>925.15</v>
      </c>
      <c r="BE8" s="491"/>
      <c r="BF8" s="491">
        <v>1397.57</v>
      </c>
      <c r="BG8" s="491">
        <v>334.63</v>
      </c>
      <c r="BH8" s="491">
        <v>157.47</v>
      </c>
      <c r="BI8" s="491"/>
      <c r="BJ8" s="491">
        <v>590.52</v>
      </c>
      <c r="BK8" s="491"/>
      <c r="BL8" s="491">
        <v>196.84</v>
      </c>
      <c r="BM8" s="491">
        <v>1338.52</v>
      </c>
      <c r="BN8" s="491"/>
      <c r="BO8" s="491"/>
      <c r="BP8" s="491">
        <v>4940.7</v>
      </c>
    </row>
    <row r="9" spans="1:68" x14ac:dyDescent="0.25">
      <c r="A9" s="490" t="s">
        <v>1265</v>
      </c>
      <c r="B9" s="180">
        <v>4745780</v>
      </c>
      <c r="C9" s="180" t="s">
        <v>733</v>
      </c>
      <c r="D9" s="180" t="s">
        <v>734</v>
      </c>
      <c r="E9" s="180" t="s">
        <v>983</v>
      </c>
      <c r="F9" s="180" t="s">
        <v>376</v>
      </c>
      <c r="G9" s="180" t="s">
        <v>1270</v>
      </c>
      <c r="H9" s="182">
        <v>2426.9</v>
      </c>
      <c r="I9" s="182">
        <v>2828.62</v>
      </c>
      <c r="J9" s="180">
        <v>63.5</v>
      </c>
      <c r="N9" s="182">
        <v>110.49</v>
      </c>
      <c r="AL9" s="182">
        <v>2537.39</v>
      </c>
      <c r="AM9" s="182">
        <v>0</v>
      </c>
      <c r="AP9" s="182">
        <v>2537.39</v>
      </c>
      <c r="AQ9" s="182">
        <v>458</v>
      </c>
      <c r="AR9" s="182">
        <v>0</v>
      </c>
      <c r="AV9" s="182">
        <v>2079.39</v>
      </c>
      <c r="AW9" s="182">
        <v>291.23</v>
      </c>
      <c r="AX9" s="182">
        <v>0</v>
      </c>
      <c r="AY9" s="182">
        <v>0</v>
      </c>
      <c r="BC9" s="488" t="s">
        <v>953</v>
      </c>
      <c r="BD9" s="491">
        <v>2440.81</v>
      </c>
      <c r="BE9" s="491"/>
      <c r="BF9" s="491"/>
      <c r="BG9" s="491">
        <v>2637.65</v>
      </c>
      <c r="BH9" s="491">
        <v>236.21</v>
      </c>
      <c r="BI9" s="491"/>
      <c r="BJ9" s="491">
        <v>590.52</v>
      </c>
      <c r="BK9" s="491">
        <v>1476.3</v>
      </c>
      <c r="BL9" s="491"/>
      <c r="BM9" s="491"/>
      <c r="BN9" s="491"/>
      <c r="BO9" s="491"/>
      <c r="BP9" s="491">
        <v>7381.4900000000007</v>
      </c>
    </row>
    <row r="10" spans="1:68" x14ac:dyDescent="0.25">
      <c r="A10" s="490" t="s">
        <v>1271</v>
      </c>
      <c r="B10" s="180">
        <v>4745780</v>
      </c>
      <c r="C10" s="180" t="s">
        <v>733</v>
      </c>
      <c r="D10" s="180" t="s">
        <v>734</v>
      </c>
      <c r="E10" s="180" t="s">
        <v>983</v>
      </c>
      <c r="F10" s="180" t="s">
        <v>376</v>
      </c>
      <c r="G10" s="180" t="s">
        <v>1270</v>
      </c>
      <c r="H10" s="182">
        <v>5998.2</v>
      </c>
      <c r="I10" s="182">
        <v>7159.94</v>
      </c>
      <c r="J10" s="180">
        <v>160</v>
      </c>
      <c r="N10" s="182">
        <v>441.96</v>
      </c>
      <c r="AL10" s="182">
        <v>6440.16</v>
      </c>
      <c r="AM10" s="182">
        <v>0</v>
      </c>
      <c r="AP10" s="182">
        <v>6440.16</v>
      </c>
      <c r="AQ10" s="182">
        <v>1356</v>
      </c>
      <c r="AR10" s="182">
        <v>192</v>
      </c>
      <c r="AV10" s="182">
        <v>4892.16</v>
      </c>
      <c r="AW10" s="182">
        <v>719.78</v>
      </c>
      <c r="AX10" s="182">
        <v>0</v>
      </c>
      <c r="AY10" s="182">
        <v>0</v>
      </c>
      <c r="BC10" s="488" t="s">
        <v>954</v>
      </c>
      <c r="BD10" s="491">
        <v>551.15</v>
      </c>
      <c r="BE10" s="491">
        <v>740.61</v>
      </c>
      <c r="BF10" s="491">
        <v>629.89</v>
      </c>
      <c r="BG10" s="491">
        <v>275.58</v>
      </c>
      <c r="BH10" s="491">
        <v>314.94</v>
      </c>
      <c r="BI10" s="491"/>
      <c r="BJ10" s="491">
        <v>472.40999999999997</v>
      </c>
      <c r="BK10" s="491">
        <v>157.47</v>
      </c>
      <c r="BL10" s="491"/>
      <c r="BM10" s="491">
        <v>492.1</v>
      </c>
      <c r="BN10" s="491">
        <v>629.88</v>
      </c>
      <c r="BO10" s="491">
        <v>433.05</v>
      </c>
      <c r="BP10" s="491">
        <v>4697.08</v>
      </c>
    </row>
    <row r="11" spans="1:68" x14ac:dyDescent="0.25">
      <c r="A11" s="490" t="s">
        <v>1272</v>
      </c>
      <c r="B11" s="180">
        <v>4745780</v>
      </c>
      <c r="C11" s="180" t="s">
        <v>733</v>
      </c>
      <c r="D11" s="180" t="s">
        <v>734</v>
      </c>
      <c r="E11" s="180" t="s">
        <v>983</v>
      </c>
      <c r="F11" s="180" t="s">
        <v>376</v>
      </c>
      <c r="G11" s="180" t="s">
        <v>1270</v>
      </c>
      <c r="H11" s="182">
        <v>5524.66</v>
      </c>
      <c r="I11" s="182">
        <v>6408.6</v>
      </c>
      <c r="J11" s="180">
        <v>144</v>
      </c>
      <c r="N11" s="182">
        <v>220.98</v>
      </c>
      <c r="AL11" s="182">
        <v>5745.64</v>
      </c>
      <c r="AM11" s="182">
        <v>0</v>
      </c>
      <c r="AP11" s="182">
        <v>5745.64</v>
      </c>
      <c r="AQ11" s="182">
        <v>1136</v>
      </c>
      <c r="AR11" s="182">
        <v>88</v>
      </c>
      <c r="AV11" s="182">
        <v>4521.6400000000003</v>
      </c>
      <c r="AW11" s="182">
        <v>662.96</v>
      </c>
      <c r="AX11" s="182">
        <v>0</v>
      </c>
      <c r="AY11" s="182">
        <v>0</v>
      </c>
      <c r="BC11" s="488" t="s">
        <v>956</v>
      </c>
      <c r="BD11" s="491"/>
      <c r="BE11" s="491"/>
      <c r="BF11" s="491"/>
      <c r="BG11" s="491"/>
      <c r="BH11" s="491"/>
      <c r="BI11" s="491"/>
      <c r="BJ11" s="491">
        <v>750.76</v>
      </c>
      <c r="BK11" s="491"/>
      <c r="BL11" s="491">
        <v>2977.98</v>
      </c>
      <c r="BM11" s="491"/>
      <c r="BN11" s="491"/>
      <c r="BO11" s="491"/>
      <c r="BP11" s="491">
        <v>3728.74</v>
      </c>
    </row>
    <row r="12" spans="1:68" x14ac:dyDescent="0.25">
      <c r="A12" s="490" t="s">
        <v>1273</v>
      </c>
      <c r="B12" s="180">
        <v>4745780</v>
      </c>
      <c r="C12" s="180" t="s">
        <v>733</v>
      </c>
      <c r="D12" s="180" t="s">
        <v>734</v>
      </c>
      <c r="E12" s="180" t="s">
        <v>983</v>
      </c>
      <c r="F12" s="180" t="s">
        <v>376</v>
      </c>
      <c r="G12" s="180" t="s">
        <v>1270</v>
      </c>
      <c r="H12" s="182">
        <v>5445.73</v>
      </c>
      <c r="I12" s="182">
        <v>6430.69</v>
      </c>
      <c r="J12" s="180">
        <v>144</v>
      </c>
      <c r="N12" s="182">
        <v>331.47</v>
      </c>
      <c r="AL12" s="182">
        <v>5777.2</v>
      </c>
      <c r="AM12" s="182">
        <v>0</v>
      </c>
      <c r="AP12" s="182">
        <v>5777.2</v>
      </c>
      <c r="AQ12" s="182">
        <v>1144</v>
      </c>
      <c r="AR12" s="182">
        <v>96</v>
      </c>
      <c r="AV12" s="182">
        <v>4537.2</v>
      </c>
      <c r="AW12" s="182">
        <v>653.49</v>
      </c>
      <c r="AX12" s="182">
        <v>0</v>
      </c>
      <c r="AY12" s="182">
        <v>0</v>
      </c>
      <c r="BC12" s="488" t="s">
        <v>1024</v>
      </c>
      <c r="BD12" s="491"/>
      <c r="BE12" s="491">
        <v>170.17</v>
      </c>
      <c r="BF12" s="491"/>
      <c r="BG12" s="491">
        <v>654.49</v>
      </c>
      <c r="BH12" s="491"/>
      <c r="BI12" s="491">
        <v>632.38</v>
      </c>
      <c r="BJ12" s="491"/>
      <c r="BK12" s="491"/>
      <c r="BL12" s="491"/>
      <c r="BM12" s="491">
        <v>314.94</v>
      </c>
      <c r="BN12" s="491"/>
      <c r="BO12" s="491"/>
      <c r="BP12" s="491">
        <v>1771.98</v>
      </c>
    </row>
    <row r="13" spans="1:68" x14ac:dyDescent="0.25">
      <c r="A13" s="490" t="s">
        <v>1274</v>
      </c>
      <c r="B13" s="180">
        <v>4745780</v>
      </c>
      <c r="C13" s="180" t="s">
        <v>733</v>
      </c>
      <c r="D13" s="180" t="s">
        <v>734</v>
      </c>
      <c r="E13" s="180" t="s">
        <v>983</v>
      </c>
      <c r="F13" s="180" t="s">
        <v>376</v>
      </c>
      <c r="G13" s="180" t="s">
        <v>1270</v>
      </c>
      <c r="H13" s="182">
        <v>2209.86</v>
      </c>
      <c r="I13" s="182">
        <v>2475.04</v>
      </c>
      <c r="J13" s="180">
        <v>56</v>
      </c>
      <c r="AL13" s="182">
        <v>2209.86</v>
      </c>
      <c r="AM13" s="182">
        <v>0</v>
      </c>
      <c r="AP13" s="182">
        <v>2209.86</v>
      </c>
      <c r="AQ13" s="182">
        <v>354</v>
      </c>
      <c r="AR13" s="182">
        <v>0</v>
      </c>
      <c r="AV13" s="182">
        <v>1855.86</v>
      </c>
      <c r="AW13" s="182">
        <v>265.18</v>
      </c>
      <c r="AX13" s="182">
        <v>0</v>
      </c>
      <c r="AY13" s="182">
        <v>0</v>
      </c>
      <c r="BC13" s="488" t="s">
        <v>958</v>
      </c>
      <c r="BD13" s="491">
        <v>1200.72</v>
      </c>
      <c r="BE13" s="491">
        <v>4094.27</v>
      </c>
      <c r="BF13" s="491">
        <v>6633.5</v>
      </c>
      <c r="BG13" s="491">
        <v>314.94</v>
      </c>
      <c r="BH13" s="491">
        <v>2362.08</v>
      </c>
      <c r="BI13" s="491">
        <v>6907.26</v>
      </c>
      <c r="BJ13" s="491"/>
      <c r="BK13" s="491">
        <v>944.83</v>
      </c>
      <c r="BL13" s="491"/>
      <c r="BM13" s="491">
        <v>4428.8999999999996</v>
      </c>
      <c r="BN13" s="491">
        <v>4409.22</v>
      </c>
      <c r="BO13" s="491">
        <v>5373.73</v>
      </c>
      <c r="BP13" s="491">
        <v>36669.449999999997</v>
      </c>
    </row>
    <row r="14" spans="1:68" x14ac:dyDescent="0.25">
      <c r="A14" s="490" t="s">
        <v>1275</v>
      </c>
      <c r="B14" s="180">
        <v>4745758</v>
      </c>
      <c r="C14" s="180" t="s">
        <v>662</v>
      </c>
      <c r="D14" s="180" t="s">
        <v>663</v>
      </c>
      <c r="E14" s="180" t="s">
        <v>983</v>
      </c>
      <c r="F14" s="180" t="s">
        <v>712</v>
      </c>
      <c r="G14" s="180" t="s">
        <v>1276</v>
      </c>
      <c r="H14" s="182">
        <v>466.37</v>
      </c>
      <c r="I14" s="182">
        <v>624.35</v>
      </c>
      <c r="J14" s="180">
        <v>9.25</v>
      </c>
      <c r="N14" s="182">
        <v>102.02</v>
      </c>
      <c r="AL14" s="182">
        <v>568.39</v>
      </c>
      <c r="AM14" s="182">
        <v>0</v>
      </c>
      <c r="AP14" s="182">
        <v>568.39</v>
      </c>
      <c r="AQ14" s="182">
        <v>106</v>
      </c>
      <c r="AR14" s="182">
        <v>0</v>
      </c>
      <c r="AV14" s="182">
        <v>462.39</v>
      </c>
      <c r="AW14" s="182">
        <v>55.96</v>
      </c>
      <c r="AX14" s="182">
        <v>0</v>
      </c>
      <c r="AY14" s="182">
        <v>0</v>
      </c>
      <c r="BC14" s="488" t="s">
        <v>753</v>
      </c>
      <c r="BD14" s="491"/>
      <c r="BE14" s="491">
        <v>2430.9699999999998</v>
      </c>
      <c r="BF14" s="491">
        <v>1732.19</v>
      </c>
      <c r="BG14" s="491"/>
      <c r="BH14" s="491">
        <v>3680.91</v>
      </c>
      <c r="BI14" s="491">
        <v>2051.4499999999998</v>
      </c>
      <c r="BJ14" s="491"/>
      <c r="BK14" s="491"/>
      <c r="BL14" s="491"/>
      <c r="BM14" s="491">
        <v>944.83</v>
      </c>
      <c r="BN14" s="491">
        <v>1114.5999999999999</v>
      </c>
      <c r="BO14" s="491">
        <v>1619.01</v>
      </c>
      <c r="BP14" s="491">
        <v>13573.960000000001</v>
      </c>
    </row>
    <row r="15" spans="1:68" x14ac:dyDescent="0.25">
      <c r="A15" s="490" t="s">
        <v>1277</v>
      </c>
      <c r="B15" s="180">
        <v>4745758</v>
      </c>
      <c r="C15" s="180" t="s">
        <v>662</v>
      </c>
      <c r="D15" s="180" t="s">
        <v>663</v>
      </c>
      <c r="E15" s="180" t="s">
        <v>983</v>
      </c>
      <c r="F15" s="180" t="s">
        <v>712</v>
      </c>
      <c r="G15" s="180" t="s">
        <v>1276</v>
      </c>
      <c r="H15" s="182">
        <v>2404.6999999999998</v>
      </c>
      <c r="I15" s="182">
        <v>2734.08</v>
      </c>
      <c r="J15" s="180">
        <v>41.75</v>
      </c>
      <c r="N15" s="182">
        <v>40.81</v>
      </c>
      <c r="AL15" s="182">
        <v>2445.5100000000002</v>
      </c>
      <c r="AM15" s="182">
        <v>0</v>
      </c>
      <c r="AP15" s="182">
        <v>2445.5100000000002</v>
      </c>
      <c r="AQ15" s="182">
        <v>586</v>
      </c>
      <c r="AR15" s="182">
        <v>0</v>
      </c>
      <c r="AV15" s="182">
        <v>1859.51</v>
      </c>
      <c r="AW15" s="182">
        <v>288.57</v>
      </c>
      <c r="AX15" s="182">
        <v>0</v>
      </c>
      <c r="AY15" s="182">
        <v>0</v>
      </c>
      <c r="BC15" s="488" t="s">
        <v>1295</v>
      </c>
      <c r="BD15" s="491">
        <v>629.88</v>
      </c>
      <c r="BE15" s="491"/>
      <c r="BF15" s="491">
        <v>629.89</v>
      </c>
      <c r="BG15" s="491">
        <v>314.94</v>
      </c>
      <c r="BH15" s="491"/>
      <c r="BI15" s="491"/>
      <c r="BJ15" s="491">
        <v>885.78</v>
      </c>
      <c r="BK15" s="491">
        <v>1663.29</v>
      </c>
      <c r="BL15" s="491">
        <v>497.02</v>
      </c>
      <c r="BM15" s="491"/>
      <c r="BN15" s="491"/>
      <c r="BO15" s="491"/>
      <c r="BP15" s="491">
        <v>4620.7999999999993</v>
      </c>
    </row>
    <row r="16" spans="1:68" x14ac:dyDescent="0.25">
      <c r="A16" s="490" t="s">
        <v>1266</v>
      </c>
      <c r="B16" s="180">
        <v>4745758</v>
      </c>
      <c r="C16" s="180" t="s">
        <v>662</v>
      </c>
      <c r="D16" s="180" t="s">
        <v>663</v>
      </c>
      <c r="E16" s="180" t="s">
        <v>983</v>
      </c>
      <c r="F16" s="180" t="s">
        <v>712</v>
      </c>
      <c r="G16" s="180" t="s">
        <v>1276</v>
      </c>
      <c r="H16" s="182">
        <v>408.07</v>
      </c>
      <c r="I16" s="182">
        <v>457.04</v>
      </c>
      <c r="J16" s="180">
        <v>7</v>
      </c>
      <c r="AL16" s="182">
        <v>408.07</v>
      </c>
      <c r="AM16" s="182">
        <v>0</v>
      </c>
      <c r="AP16" s="182">
        <v>408.07</v>
      </c>
      <c r="AQ16" s="182">
        <v>72</v>
      </c>
      <c r="AR16" s="182">
        <v>0</v>
      </c>
      <c r="AV16" s="182">
        <v>336.07</v>
      </c>
      <c r="AW16" s="182">
        <v>48.97</v>
      </c>
      <c r="AX16" s="182">
        <v>0</v>
      </c>
      <c r="AY16" s="182">
        <v>0</v>
      </c>
      <c r="BC16" s="488" t="s">
        <v>960</v>
      </c>
      <c r="BD16" s="491">
        <v>3178.73</v>
      </c>
      <c r="BE16" s="491">
        <v>2066.8200000000002</v>
      </c>
      <c r="BF16" s="491">
        <v>472.41</v>
      </c>
      <c r="BG16" s="491">
        <v>748</v>
      </c>
      <c r="BH16" s="491">
        <v>157.47</v>
      </c>
      <c r="BI16" s="491">
        <v>1152.05</v>
      </c>
      <c r="BJ16" s="491">
        <v>2204.77</v>
      </c>
      <c r="BK16" s="491">
        <v>2451.5700000000002</v>
      </c>
      <c r="BL16" s="491">
        <v>1259.77</v>
      </c>
      <c r="BM16" s="491">
        <v>1102.3</v>
      </c>
      <c r="BN16" s="491">
        <v>314.94</v>
      </c>
      <c r="BO16" s="491">
        <v>5922.44</v>
      </c>
      <c r="BP16" s="491">
        <v>21031.27</v>
      </c>
    </row>
    <row r="17" spans="1:68" x14ac:dyDescent="0.25">
      <c r="A17" s="490" t="s">
        <v>1267</v>
      </c>
      <c r="B17" s="180">
        <v>4745758</v>
      </c>
      <c r="C17" s="180" t="s">
        <v>662</v>
      </c>
      <c r="D17" s="180" t="s">
        <v>663</v>
      </c>
      <c r="E17" s="180" t="s">
        <v>983</v>
      </c>
      <c r="F17" s="180" t="s">
        <v>712</v>
      </c>
      <c r="G17" s="180" t="s">
        <v>1276</v>
      </c>
      <c r="H17" s="182">
        <v>233.18</v>
      </c>
      <c r="I17" s="182">
        <v>261.16000000000003</v>
      </c>
      <c r="J17" s="180">
        <v>4</v>
      </c>
      <c r="AL17" s="182">
        <v>233.18</v>
      </c>
      <c r="AM17" s="182">
        <v>0</v>
      </c>
      <c r="AP17" s="182">
        <v>233.18</v>
      </c>
      <c r="AQ17" s="182">
        <v>38</v>
      </c>
      <c r="AR17" s="182">
        <v>0</v>
      </c>
      <c r="AV17" s="182">
        <v>195.18</v>
      </c>
      <c r="AW17" s="182">
        <v>27.98</v>
      </c>
      <c r="AX17" s="182">
        <v>0</v>
      </c>
      <c r="AY17" s="182">
        <v>0</v>
      </c>
      <c r="BC17" s="488" t="s">
        <v>718</v>
      </c>
      <c r="BD17" s="491"/>
      <c r="BE17" s="491">
        <v>314.94</v>
      </c>
      <c r="BF17" s="491"/>
      <c r="BG17" s="491"/>
      <c r="BH17" s="491"/>
      <c r="BI17" s="491">
        <v>332.83</v>
      </c>
      <c r="BJ17" s="491"/>
      <c r="BK17" s="491"/>
      <c r="BL17" s="491"/>
      <c r="BM17" s="491"/>
      <c r="BN17" s="491"/>
      <c r="BO17" s="491"/>
      <c r="BP17" s="491">
        <v>647.77</v>
      </c>
    </row>
    <row r="18" spans="1:68" x14ac:dyDescent="0.25">
      <c r="A18" s="490" t="s">
        <v>1268</v>
      </c>
      <c r="B18" s="180">
        <v>4745758</v>
      </c>
      <c r="C18" s="180" t="s">
        <v>662</v>
      </c>
      <c r="D18" s="180" t="s">
        <v>663</v>
      </c>
      <c r="E18" s="180" t="s">
        <v>983</v>
      </c>
      <c r="F18" s="180" t="s">
        <v>712</v>
      </c>
      <c r="G18" s="180" t="s">
        <v>1276</v>
      </c>
      <c r="H18" s="182">
        <v>1807.18</v>
      </c>
      <c r="I18" s="182">
        <v>2146.46</v>
      </c>
      <c r="J18" s="180">
        <v>32.5</v>
      </c>
      <c r="N18" s="182">
        <v>122.42</v>
      </c>
      <c r="AL18" s="182">
        <v>1929.6</v>
      </c>
      <c r="AM18" s="182">
        <v>0</v>
      </c>
      <c r="AP18" s="182">
        <v>1929.6</v>
      </c>
      <c r="AQ18" s="182">
        <v>420</v>
      </c>
      <c r="AR18" s="182">
        <v>0</v>
      </c>
      <c r="AV18" s="182">
        <v>1509.6</v>
      </c>
      <c r="AW18" s="182">
        <v>216.86</v>
      </c>
      <c r="AX18" s="182">
        <v>0</v>
      </c>
      <c r="AY18" s="182">
        <v>0</v>
      </c>
      <c r="BC18" s="488" t="s">
        <v>1299</v>
      </c>
      <c r="BD18" s="491">
        <v>5295</v>
      </c>
      <c r="BE18" s="491"/>
      <c r="BF18" s="491">
        <v>3562.81</v>
      </c>
      <c r="BG18" s="491">
        <v>1555.03</v>
      </c>
      <c r="BH18" s="491">
        <v>285.42</v>
      </c>
      <c r="BI18" s="491"/>
      <c r="BJ18" s="491"/>
      <c r="BK18" s="491">
        <v>6303.81</v>
      </c>
      <c r="BL18" s="491">
        <v>6042.99</v>
      </c>
      <c r="BM18" s="491">
        <v>3976.17</v>
      </c>
      <c r="BN18" s="491"/>
      <c r="BO18" s="491"/>
      <c r="BP18" s="491">
        <v>27021.229999999996</v>
      </c>
    </row>
    <row r="19" spans="1:68" x14ac:dyDescent="0.25">
      <c r="A19" s="490" t="s">
        <v>1269</v>
      </c>
      <c r="B19" s="180">
        <v>4745758</v>
      </c>
      <c r="C19" s="180" t="s">
        <v>662</v>
      </c>
      <c r="D19" s="180" t="s">
        <v>663</v>
      </c>
      <c r="E19" s="180" t="s">
        <v>983</v>
      </c>
      <c r="F19" s="180" t="s">
        <v>712</v>
      </c>
      <c r="G19" s="180" t="s">
        <v>1276</v>
      </c>
      <c r="H19" s="182">
        <v>4547.07</v>
      </c>
      <c r="I19" s="182">
        <v>6137.39</v>
      </c>
      <c r="J19" s="180">
        <v>87.5</v>
      </c>
      <c r="N19" s="182">
        <v>163.22999999999999</v>
      </c>
      <c r="P19" s="182">
        <v>787</v>
      </c>
      <c r="AL19" s="182">
        <v>5497.3</v>
      </c>
      <c r="AM19" s="182">
        <v>0</v>
      </c>
      <c r="AP19" s="182">
        <v>5497.3</v>
      </c>
      <c r="AQ19" s="182">
        <v>1498</v>
      </c>
      <c r="AR19" s="182">
        <v>0</v>
      </c>
      <c r="AV19" s="182">
        <v>3999.3</v>
      </c>
      <c r="AW19" s="182">
        <v>640.09</v>
      </c>
      <c r="AX19" s="182">
        <v>0</v>
      </c>
      <c r="AY19" s="182">
        <v>0</v>
      </c>
      <c r="BC19" s="488" t="s">
        <v>851</v>
      </c>
      <c r="BD19" s="491"/>
      <c r="BE19" s="491"/>
      <c r="BF19" s="491"/>
      <c r="BG19" s="491"/>
      <c r="BH19" s="491"/>
      <c r="BI19" s="491">
        <v>642.87</v>
      </c>
      <c r="BJ19" s="491"/>
      <c r="BK19" s="491"/>
      <c r="BL19" s="491"/>
      <c r="BM19" s="491"/>
      <c r="BN19" s="491"/>
      <c r="BO19" s="491"/>
      <c r="BP19" s="491">
        <v>642.87</v>
      </c>
    </row>
    <row r="20" spans="1:68" x14ac:dyDescent="0.25">
      <c r="A20" s="490" t="s">
        <v>1273</v>
      </c>
      <c r="B20" s="180">
        <v>4745758</v>
      </c>
      <c r="C20" s="180" t="s">
        <v>662</v>
      </c>
      <c r="D20" s="180" t="s">
        <v>663</v>
      </c>
      <c r="E20" s="180" t="s">
        <v>983</v>
      </c>
      <c r="F20" s="180" t="s">
        <v>712</v>
      </c>
      <c r="G20" s="180" t="s">
        <v>1276</v>
      </c>
      <c r="H20" s="182">
        <v>466.37</v>
      </c>
      <c r="I20" s="182">
        <v>522.33000000000004</v>
      </c>
      <c r="J20" s="180">
        <v>8</v>
      </c>
      <c r="AL20" s="182">
        <v>466.37</v>
      </c>
      <c r="AM20" s="182">
        <v>0</v>
      </c>
      <c r="AP20" s="182">
        <v>466.37</v>
      </c>
      <c r="AQ20" s="182">
        <v>84</v>
      </c>
      <c r="AR20" s="182">
        <v>0</v>
      </c>
      <c r="AV20" s="182">
        <v>382.37</v>
      </c>
      <c r="AW20" s="182">
        <v>55.96</v>
      </c>
      <c r="AX20" s="182">
        <v>0</v>
      </c>
      <c r="AY20" s="182">
        <v>0</v>
      </c>
      <c r="BC20" s="488" t="s">
        <v>963</v>
      </c>
      <c r="BD20" s="491"/>
      <c r="BE20" s="491">
        <v>314.94</v>
      </c>
      <c r="BF20" s="491"/>
      <c r="BG20" s="491"/>
      <c r="BH20" s="491"/>
      <c r="BI20" s="491">
        <v>1532.15</v>
      </c>
      <c r="BJ20" s="491"/>
      <c r="BK20" s="491"/>
      <c r="BL20" s="491"/>
      <c r="BM20" s="491"/>
      <c r="BN20" s="491"/>
      <c r="BO20" s="491"/>
      <c r="BP20" s="491">
        <v>1847.0900000000001</v>
      </c>
    </row>
    <row r="21" spans="1:68" x14ac:dyDescent="0.25">
      <c r="A21" s="490" t="s">
        <v>1274</v>
      </c>
      <c r="B21" s="180">
        <v>4745758</v>
      </c>
      <c r="C21" s="180" t="s">
        <v>662</v>
      </c>
      <c r="D21" s="180" t="s">
        <v>663</v>
      </c>
      <c r="E21" s="180" t="s">
        <v>983</v>
      </c>
      <c r="F21" s="180" t="s">
        <v>712</v>
      </c>
      <c r="G21" s="180" t="s">
        <v>1276</v>
      </c>
      <c r="H21" s="182">
        <v>1384.53</v>
      </c>
      <c r="I21" s="182">
        <v>1550.67</v>
      </c>
      <c r="J21" s="180">
        <v>23.75</v>
      </c>
      <c r="AL21" s="182">
        <v>1384.53</v>
      </c>
      <c r="AM21" s="182">
        <v>0</v>
      </c>
      <c r="AP21" s="182">
        <v>1384.53</v>
      </c>
      <c r="AQ21" s="182">
        <v>310</v>
      </c>
      <c r="AR21" s="182">
        <v>0</v>
      </c>
      <c r="AV21" s="182">
        <v>1074.53</v>
      </c>
      <c r="AW21" s="182">
        <v>166.14</v>
      </c>
      <c r="AX21" s="182">
        <v>0</v>
      </c>
      <c r="AY21" s="182">
        <v>0</v>
      </c>
      <c r="BC21" s="488" t="s">
        <v>965</v>
      </c>
      <c r="BD21" s="491"/>
      <c r="BE21" s="491">
        <v>314.94</v>
      </c>
      <c r="BF21" s="491">
        <v>2017.6</v>
      </c>
      <c r="BG21" s="491"/>
      <c r="BH21" s="491"/>
      <c r="BI21" s="491">
        <v>1238.5</v>
      </c>
      <c r="BJ21" s="491"/>
      <c r="BK21" s="491"/>
      <c r="BL21" s="491"/>
      <c r="BM21" s="491">
        <v>610.20000000000005</v>
      </c>
      <c r="BN21" s="491">
        <v>570.84</v>
      </c>
      <c r="BO21" s="491">
        <v>1840.45</v>
      </c>
      <c r="BP21" s="491">
        <v>6592.53</v>
      </c>
    </row>
    <row r="22" spans="1:68" x14ac:dyDescent="0.25">
      <c r="A22" s="490" t="s">
        <v>1275</v>
      </c>
      <c r="B22" s="180">
        <v>11258447</v>
      </c>
      <c r="C22" s="180" t="s">
        <v>1278</v>
      </c>
      <c r="D22" s="180" t="s">
        <v>1279</v>
      </c>
      <c r="E22" s="180" t="s">
        <v>983</v>
      </c>
      <c r="F22" s="180" t="s">
        <v>695</v>
      </c>
      <c r="G22" s="180" t="s">
        <v>1276</v>
      </c>
      <c r="H22" s="182">
        <v>152.47</v>
      </c>
      <c r="I22" s="182">
        <v>170.77</v>
      </c>
      <c r="J22" s="180">
        <v>4.25</v>
      </c>
      <c r="AL22" s="182">
        <v>152.47</v>
      </c>
      <c r="AM22" s="182">
        <v>0</v>
      </c>
      <c r="AP22" s="182">
        <v>152.47</v>
      </c>
      <c r="AQ22" s="182">
        <v>0</v>
      </c>
      <c r="AR22" s="182">
        <v>0</v>
      </c>
      <c r="AV22" s="182">
        <v>152.47</v>
      </c>
      <c r="AW22" s="182">
        <v>18.3</v>
      </c>
      <c r="AX22" s="182">
        <v>0</v>
      </c>
      <c r="AY22" s="182">
        <v>0</v>
      </c>
      <c r="BC22" s="488" t="s">
        <v>1027</v>
      </c>
      <c r="BD22" s="491">
        <v>157.47</v>
      </c>
      <c r="BE22" s="491">
        <v>466.79</v>
      </c>
      <c r="BF22" s="491"/>
      <c r="BG22" s="491">
        <v>472.41</v>
      </c>
      <c r="BH22" s="491"/>
      <c r="BI22" s="491"/>
      <c r="BJ22" s="491">
        <v>551.15</v>
      </c>
      <c r="BK22" s="491"/>
      <c r="BL22" s="491">
        <v>1869.98</v>
      </c>
      <c r="BM22" s="491"/>
      <c r="BN22" s="491"/>
      <c r="BO22" s="491"/>
      <c r="BP22" s="491">
        <v>3517.8</v>
      </c>
    </row>
    <row r="23" spans="1:68" x14ac:dyDescent="0.25">
      <c r="A23" s="490" t="s">
        <v>1269</v>
      </c>
      <c r="B23" s="180">
        <v>11258447</v>
      </c>
      <c r="C23" s="180" t="s">
        <v>1278</v>
      </c>
      <c r="D23" s="180" t="s">
        <v>1279</v>
      </c>
      <c r="E23" s="180" t="s">
        <v>983</v>
      </c>
      <c r="F23" s="180" t="s">
        <v>695</v>
      </c>
      <c r="G23" s="180" t="s">
        <v>1276</v>
      </c>
      <c r="H23" s="182">
        <v>145</v>
      </c>
      <c r="I23" s="182">
        <v>162.4</v>
      </c>
      <c r="J23" s="180">
        <v>4</v>
      </c>
      <c r="AL23" s="182">
        <v>145</v>
      </c>
      <c r="AM23" s="182">
        <v>0</v>
      </c>
      <c r="AP23" s="182">
        <v>145</v>
      </c>
      <c r="AQ23" s="182">
        <v>0</v>
      </c>
      <c r="AR23" s="182">
        <v>0</v>
      </c>
      <c r="AV23" s="182">
        <v>145</v>
      </c>
      <c r="AW23" s="182">
        <v>17.399999999999999</v>
      </c>
      <c r="AX23" s="182">
        <v>0</v>
      </c>
      <c r="AY23" s="182">
        <v>0</v>
      </c>
      <c r="BC23" s="488" t="s">
        <v>967</v>
      </c>
      <c r="BD23" s="491"/>
      <c r="BE23" s="491">
        <v>787.36</v>
      </c>
      <c r="BF23" s="491"/>
      <c r="BG23" s="491"/>
      <c r="BH23" s="491"/>
      <c r="BI23" s="491">
        <v>1450.69</v>
      </c>
      <c r="BJ23" s="491"/>
      <c r="BK23" s="491"/>
      <c r="BL23" s="491"/>
      <c r="BM23" s="491"/>
      <c r="BN23" s="491"/>
      <c r="BO23" s="491">
        <v>314.94</v>
      </c>
      <c r="BP23" s="491">
        <v>2552.9900000000002</v>
      </c>
    </row>
    <row r="24" spans="1:68" x14ac:dyDescent="0.25">
      <c r="A24" s="490" t="s">
        <v>1265</v>
      </c>
      <c r="B24" s="180">
        <v>11258447</v>
      </c>
      <c r="C24" s="180" t="s">
        <v>1278</v>
      </c>
      <c r="D24" s="180" t="s">
        <v>1279</v>
      </c>
      <c r="E24" s="180" t="s">
        <v>983</v>
      </c>
      <c r="F24" s="180" t="s">
        <v>695</v>
      </c>
      <c r="G24" s="180" t="s">
        <v>1276</v>
      </c>
      <c r="H24" s="182">
        <v>652.5</v>
      </c>
      <c r="I24" s="182">
        <v>730.8</v>
      </c>
      <c r="J24" s="180">
        <v>18</v>
      </c>
      <c r="AL24" s="182">
        <v>652.5</v>
      </c>
      <c r="AM24" s="182">
        <v>0</v>
      </c>
      <c r="AP24" s="182">
        <v>652.5</v>
      </c>
      <c r="AQ24" s="182">
        <v>0</v>
      </c>
      <c r="AR24" s="182">
        <v>0</v>
      </c>
      <c r="AV24" s="182">
        <v>652.5</v>
      </c>
      <c r="AW24" s="182">
        <v>78.3</v>
      </c>
      <c r="AX24" s="182">
        <v>0</v>
      </c>
      <c r="AY24" s="182">
        <v>0</v>
      </c>
      <c r="BC24" s="488" t="s">
        <v>969</v>
      </c>
      <c r="BD24" s="491">
        <v>3273.38</v>
      </c>
      <c r="BE24" s="491">
        <v>324.8</v>
      </c>
      <c r="BF24" s="491"/>
      <c r="BG24" s="491">
        <v>974.4</v>
      </c>
      <c r="BH24" s="491"/>
      <c r="BI24" s="491">
        <v>346.55</v>
      </c>
      <c r="BJ24" s="491"/>
      <c r="BK24" s="491">
        <v>3572.8</v>
      </c>
      <c r="BL24" s="491">
        <v>3572.8</v>
      </c>
      <c r="BM24" s="491"/>
      <c r="BN24" s="491"/>
      <c r="BO24" s="491"/>
      <c r="BP24" s="491">
        <v>12064.73</v>
      </c>
    </row>
    <row r="25" spans="1:68" x14ac:dyDescent="0.25">
      <c r="A25" s="490" t="s">
        <v>1271</v>
      </c>
      <c r="B25" s="180">
        <v>11258447</v>
      </c>
      <c r="C25" s="180" t="s">
        <v>1278</v>
      </c>
      <c r="D25" s="180" t="s">
        <v>1279</v>
      </c>
      <c r="E25" s="180" t="s">
        <v>983</v>
      </c>
      <c r="F25" s="180" t="s">
        <v>695</v>
      </c>
      <c r="G25" s="180" t="s">
        <v>1276</v>
      </c>
      <c r="H25" s="182">
        <v>824.69</v>
      </c>
      <c r="I25" s="182">
        <v>923.65</v>
      </c>
      <c r="J25" s="180">
        <v>22.75</v>
      </c>
      <c r="AL25" s="182">
        <v>824.69</v>
      </c>
      <c r="AM25" s="182">
        <v>0</v>
      </c>
      <c r="AP25" s="182">
        <v>824.69</v>
      </c>
      <c r="AQ25" s="182">
        <v>0</v>
      </c>
      <c r="AR25" s="182">
        <v>0</v>
      </c>
      <c r="AV25" s="182">
        <v>824.69</v>
      </c>
      <c r="AW25" s="182">
        <v>98.96</v>
      </c>
      <c r="AX25" s="182">
        <v>0</v>
      </c>
      <c r="AY25" s="182">
        <v>0</v>
      </c>
      <c r="BC25" s="488" t="s">
        <v>724</v>
      </c>
      <c r="BD25" s="491"/>
      <c r="BE25" s="491"/>
      <c r="BF25" s="491"/>
      <c r="BG25" s="491"/>
      <c r="BH25" s="491"/>
      <c r="BI25" s="491"/>
      <c r="BJ25" s="491">
        <v>379.12</v>
      </c>
      <c r="BK25" s="491">
        <v>379.12</v>
      </c>
      <c r="BL25" s="491">
        <v>758.24</v>
      </c>
      <c r="BM25" s="491"/>
      <c r="BN25" s="491"/>
      <c r="BO25" s="491"/>
      <c r="BP25" s="491">
        <v>1516.48</v>
      </c>
    </row>
    <row r="26" spans="1:68" x14ac:dyDescent="0.25">
      <c r="A26" s="490" t="s">
        <v>1273</v>
      </c>
      <c r="B26" s="180">
        <v>11258447</v>
      </c>
      <c r="C26" s="180" t="s">
        <v>1278</v>
      </c>
      <c r="D26" s="180" t="s">
        <v>1279</v>
      </c>
      <c r="E26" s="180" t="s">
        <v>983</v>
      </c>
      <c r="F26" s="180" t="s">
        <v>695</v>
      </c>
      <c r="G26" s="180" t="s">
        <v>1276</v>
      </c>
      <c r="H26" s="182">
        <v>543.75</v>
      </c>
      <c r="I26" s="182">
        <v>634.38</v>
      </c>
      <c r="J26" s="180">
        <v>15.5</v>
      </c>
      <c r="N26" s="182">
        <v>25.38</v>
      </c>
      <c r="AL26" s="182">
        <v>569.13</v>
      </c>
      <c r="AM26" s="182">
        <v>0</v>
      </c>
      <c r="AP26" s="182">
        <v>569.13</v>
      </c>
      <c r="AQ26" s="182">
        <v>0</v>
      </c>
      <c r="AR26" s="182">
        <v>0</v>
      </c>
      <c r="AV26" s="182">
        <v>569.13</v>
      </c>
      <c r="AW26" s="182">
        <v>65.25</v>
      </c>
      <c r="AX26" s="182">
        <v>0</v>
      </c>
      <c r="AY26" s="182">
        <v>0</v>
      </c>
      <c r="BC26" s="488" t="s">
        <v>765</v>
      </c>
      <c r="BD26" s="491"/>
      <c r="BE26" s="491">
        <v>472.41</v>
      </c>
      <c r="BF26" s="491">
        <v>157.47</v>
      </c>
      <c r="BG26" s="491">
        <v>157.47</v>
      </c>
      <c r="BH26" s="491"/>
      <c r="BI26" s="491">
        <v>1207.7</v>
      </c>
      <c r="BJ26" s="491">
        <v>1555.04</v>
      </c>
      <c r="BK26" s="491">
        <v>157.47</v>
      </c>
      <c r="BL26" s="491">
        <v>157.47</v>
      </c>
      <c r="BM26" s="491">
        <v>620.04</v>
      </c>
      <c r="BN26" s="491">
        <v>157.47</v>
      </c>
      <c r="BO26" s="491">
        <v>472.42</v>
      </c>
      <c r="BP26" s="491">
        <v>5114.96</v>
      </c>
    </row>
    <row r="27" spans="1:68" x14ac:dyDescent="0.25">
      <c r="A27" s="490" t="s">
        <v>1274</v>
      </c>
      <c r="B27" s="180">
        <v>11258447</v>
      </c>
      <c r="C27" s="180" t="s">
        <v>1278</v>
      </c>
      <c r="D27" s="180" t="s">
        <v>1279</v>
      </c>
      <c r="E27" s="180" t="s">
        <v>983</v>
      </c>
      <c r="F27" s="180" t="s">
        <v>695</v>
      </c>
      <c r="G27" s="180" t="s">
        <v>1276</v>
      </c>
      <c r="H27" s="182">
        <v>253.75</v>
      </c>
      <c r="I27" s="182">
        <v>284.2</v>
      </c>
      <c r="J27" s="180">
        <v>7</v>
      </c>
      <c r="AL27" s="182">
        <v>253.75</v>
      </c>
      <c r="AM27" s="182">
        <v>0</v>
      </c>
      <c r="AP27" s="182">
        <v>253.75</v>
      </c>
      <c r="AQ27" s="182">
        <v>0</v>
      </c>
      <c r="AR27" s="182">
        <v>0</v>
      </c>
      <c r="AV27" s="182">
        <v>253.75</v>
      </c>
      <c r="AW27" s="182">
        <v>30.45</v>
      </c>
      <c r="AX27" s="182">
        <v>0</v>
      </c>
      <c r="AY27" s="182">
        <v>0</v>
      </c>
      <c r="BC27" s="488" t="s">
        <v>1309</v>
      </c>
      <c r="BD27" s="491"/>
      <c r="BE27" s="491"/>
      <c r="BF27" s="491"/>
      <c r="BG27" s="491"/>
      <c r="BH27" s="491"/>
      <c r="BI27" s="491">
        <v>1411.2</v>
      </c>
      <c r="BJ27" s="491"/>
      <c r="BK27" s="491"/>
      <c r="BL27" s="491"/>
      <c r="BM27" s="491"/>
      <c r="BN27" s="491"/>
      <c r="BO27" s="491"/>
      <c r="BP27" s="491">
        <v>1411.2</v>
      </c>
    </row>
    <row r="28" spans="1:68" x14ac:dyDescent="0.25">
      <c r="A28" s="490" t="s">
        <v>1275</v>
      </c>
      <c r="B28" s="180">
        <v>5557931</v>
      </c>
      <c r="C28" s="180" t="s">
        <v>782</v>
      </c>
      <c r="D28" s="180" t="s">
        <v>783</v>
      </c>
      <c r="E28" s="180" t="s">
        <v>983</v>
      </c>
      <c r="F28" s="180" t="s">
        <v>712</v>
      </c>
      <c r="G28" s="180" t="s">
        <v>1276</v>
      </c>
      <c r="H28" s="182">
        <v>65.02</v>
      </c>
      <c r="I28" s="182">
        <v>72.819999999999993</v>
      </c>
      <c r="J28" s="180">
        <v>0</v>
      </c>
      <c r="AL28" s="182">
        <v>65.02</v>
      </c>
      <c r="AM28" s="182">
        <v>0</v>
      </c>
      <c r="AP28" s="182">
        <v>65.02</v>
      </c>
      <c r="AQ28" s="182">
        <v>0</v>
      </c>
      <c r="AR28" s="182">
        <v>0</v>
      </c>
      <c r="AV28" s="182">
        <v>65.02</v>
      </c>
      <c r="AW28" s="182">
        <v>7.8</v>
      </c>
      <c r="AX28" s="182">
        <v>0</v>
      </c>
      <c r="AY28" s="182">
        <v>0</v>
      </c>
      <c r="BC28" s="488" t="s">
        <v>768</v>
      </c>
      <c r="BD28" s="491">
        <v>1318.82</v>
      </c>
      <c r="BE28" s="491">
        <v>433.05</v>
      </c>
      <c r="BF28" s="491">
        <v>1023.57</v>
      </c>
      <c r="BG28" s="491">
        <v>1259.78</v>
      </c>
      <c r="BH28" s="491">
        <v>688.94</v>
      </c>
      <c r="BI28" s="491">
        <v>505.13</v>
      </c>
      <c r="BJ28" s="491"/>
      <c r="BK28" s="491">
        <v>2047.13</v>
      </c>
      <c r="BL28" s="491">
        <v>1732.2</v>
      </c>
      <c r="BM28" s="491">
        <v>1869.98</v>
      </c>
      <c r="BN28" s="491">
        <v>3105.15</v>
      </c>
      <c r="BO28" s="491">
        <v>1358.19</v>
      </c>
      <c r="BP28" s="491">
        <v>15341.94</v>
      </c>
    </row>
    <row r="29" spans="1:68" x14ac:dyDescent="0.25">
      <c r="A29" s="490" t="s">
        <v>1277</v>
      </c>
      <c r="B29" s="180">
        <v>5557931</v>
      </c>
      <c r="C29" s="180" t="s">
        <v>782</v>
      </c>
      <c r="D29" s="180" t="s">
        <v>783</v>
      </c>
      <c r="E29" s="180" t="s">
        <v>983</v>
      </c>
      <c r="F29" s="180" t="s">
        <v>712</v>
      </c>
      <c r="G29" s="180" t="s">
        <v>1276</v>
      </c>
      <c r="H29" s="182">
        <v>1807.16</v>
      </c>
      <c r="I29" s="182">
        <v>2146.44</v>
      </c>
      <c r="J29" s="180">
        <v>32.5</v>
      </c>
      <c r="N29" s="182">
        <v>122.42</v>
      </c>
      <c r="AL29" s="182">
        <v>1929.58</v>
      </c>
      <c r="AM29" s="182">
        <v>0</v>
      </c>
      <c r="AP29" s="182">
        <v>1929.58</v>
      </c>
      <c r="AQ29" s="182">
        <v>148</v>
      </c>
      <c r="AR29" s="182">
        <v>0</v>
      </c>
      <c r="AV29" s="182">
        <v>1781.58</v>
      </c>
      <c r="AW29" s="182">
        <v>216.86</v>
      </c>
      <c r="AX29" s="182">
        <v>0</v>
      </c>
      <c r="AY29" s="182">
        <v>0</v>
      </c>
      <c r="BC29" s="488" t="s">
        <v>1311</v>
      </c>
      <c r="BD29" s="491">
        <v>157.47</v>
      </c>
      <c r="BE29" s="491"/>
      <c r="BF29" s="491">
        <v>1436.92</v>
      </c>
      <c r="BG29" s="491"/>
      <c r="BH29" s="491">
        <v>984.2</v>
      </c>
      <c r="BI29" s="491"/>
      <c r="BJ29" s="491">
        <v>1299.1399999999999</v>
      </c>
      <c r="BK29" s="491">
        <v>157.47</v>
      </c>
      <c r="BL29" s="491">
        <v>314.94</v>
      </c>
      <c r="BM29" s="491">
        <v>236.21</v>
      </c>
      <c r="BN29" s="491">
        <v>157.47</v>
      </c>
      <c r="BO29" s="491"/>
      <c r="BP29" s="491">
        <v>4743.82</v>
      </c>
    </row>
    <row r="30" spans="1:68" x14ac:dyDescent="0.25">
      <c r="A30" s="490" t="s">
        <v>1269</v>
      </c>
      <c r="B30" s="180">
        <v>5557931</v>
      </c>
      <c r="C30" s="180" t="s">
        <v>782</v>
      </c>
      <c r="D30" s="180" t="s">
        <v>783</v>
      </c>
      <c r="E30" s="180" t="s">
        <v>983</v>
      </c>
      <c r="F30" s="180" t="s">
        <v>712</v>
      </c>
      <c r="G30" s="180" t="s">
        <v>1276</v>
      </c>
      <c r="H30" s="182">
        <v>1821.73</v>
      </c>
      <c r="I30" s="182">
        <v>2121.96</v>
      </c>
      <c r="J30" s="180">
        <v>32.25</v>
      </c>
      <c r="N30" s="182">
        <v>81.62</v>
      </c>
      <c r="AL30" s="182">
        <v>1903.35</v>
      </c>
      <c r="AM30" s="182">
        <v>0</v>
      </c>
      <c r="AP30" s="182">
        <v>1903.35</v>
      </c>
      <c r="AQ30" s="182">
        <v>124</v>
      </c>
      <c r="AR30" s="182">
        <v>0</v>
      </c>
      <c r="AV30" s="182">
        <v>1779.35</v>
      </c>
      <c r="AW30" s="182">
        <v>218.61</v>
      </c>
      <c r="AX30" s="182">
        <v>0</v>
      </c>
      <c r="AY30" s="182">
        <v>0</v>
      </c>
      <c r="BC30" s="488" t="s">
        <v>818</v>
      </c>
      <c r="BD30" s="491"/>
      <c r="BE30" s="491"/>
      <c r="BF30" s="491">
        <v>201.6</v>
      </c>
      <c r="BG30" s="491"/>
      <c r="BH30" s="491"/>
      <c r="BI30" s="491"/>
      <c r="BJ30" s="491"/>
      <c r="BK30" s="491"/>
      <c r="BL30" s="491"/>
      <c r="BM30" s="491"/>
      <c r="BN30" s="491"/>
      <c r="BO30" s="491"/>
      <c r="BP30" s="491">
        <v>201.6</v>
      </c>
    </row>
    <row r="31" spans="1:68" x14ac:dyDescent="0.25">
      <c r="A31" s="490" t="s">
        <v>1265</v>
      </c>
      <c r="B31" s="180">
        <v>5557931</v>
      </c>
      <c r="C31" s="180" t="s">
        <v>782</v>
      </c>
      <c r="D31" s="180" t="s">
        <v>783</v>
      </c>
      <c r="E31" s="180" t="s">
        <v>983</v>
      </c>
      <c r="F31" s="180" t="s">
        <v>712</v>
      </c>
      <c r="G31" s="180" t="s">
        <v>1276</v>
      </c>
      <c r="H31" s="182">
        <v>408.07</v>
      </c>
      <c r="I31" s="182">
        <v>457.04</v>
      </c>
      <c r="J31" s="180">
        <v>7</v>
      </c>
      <c r="AL31" s="182">
        <v>408.07</v>
      </c>
      <c r="AM31" s="182">
        <v>0</v>
      </c>
      <c r="AP31" s="182">
        <v>408.07</v>
      </c>
      <c r="AQ31" s="182">
        <v>0</v>
      </c>
      <c r="AR31" s="182">
        <v>0</v>
      </c>
      <c r="AV31" s="182">
        <v>408.07</v>
      </c>
      <c r="AW31" s="182">
        <v>48.97</v>
      </c>
      <c r="AX31" s="182">
        <v>0</v>
      </c>
      <c r="AY31" s="182">
        <v>0</v>
      </c>
      <c r="BC31" s="488" t="s">
        <v>1316</v>
      </c>
      <c r="BD31" s="491"/>
      <c r="BE31" s="491"/>
      <c r="BF31" s="491">
        <v>3572.8</v>
      </c>
      <c r="BG31" s="491"/>
      <c r="BH31" s="491"/>
      <c r="BI31" s="491"/>
      <c r="BJ31" s="491"/>
      <c r="BK31" s="491"/>
      <c r="BL31" s="491"/>
      <c r="BM31" s="491">
        <v>3917.9</v>
      </c>
      <c r="BN31" s="491"/>
      <c r="BO31" s="491"/>
      <c r="BP31" s="491">
        <v>7490.7000000000007</v>
      </c>
    </row>
    <row r="32" spans="1:68" x14ac:dyDescent="0.25">
      <c r="A32" s="490" t="s">
        <v>1271</v>
      </c>
      <c r="B32" s="180">
        <v>5557931</v>
      </c>
      <c r="C32" s="180" t="s">
        <v>782</v>
      </c>
      <c r="D32" s="180" t="s">
        <v>783</v>
      </c>
      <c r="E32" s="180" t="s">
        <v>983</v>
      </c>
      <c r="F32" s="180" t="s">
        <v>712</v>
      </c>
      <c r="G32" s="180" t="s">
        <v>1276</v>
      </c>
      <c r="H32" s="182">
        <v>408.07</v>
      </c>
      <c r="I32" s="182">
        <v>457.04</v>
      </c>
      <c r="J32" s="180">
        <v>7</v>
      </c>
      <c r="AL32" s="182">
        <v>408.07</v>
      </c>
      <c r="AM32" s="182">
        <v>0</v>
      </c>
      <c r="AP32" s="182">
        <v>408.07</v>
      </c>
      <c r="AQ32" s="182">
        <v>0</v>
      </c>
      <c r="AR32" s="182">
        <v>0</v>
      </c>
      <c r="AV32" s="182">
        <v>408.07</v>
      </c>
      <c r="AW32" s="182">
        <v>48.97</v>
      </c>
      <c r="AX32" s="182">
        <v>0</v>
      </c>
      <c r="AY32" s="182">
        <v>0</v>
      </c>
      <c r="BC32" s="488" t="s">
        <v>1318</v>
      </c>
      <c r="BD32" s="491">
        <v>295.26</v>
      </c>
      <c r="BE32" s="491">
        <v>629.89</v>
      </c>
      <c r="BF32" s="491">
        <v>3247.86</v>
      </c>
      <c r="BG32" s="491"/>
      <c r="BH32" s="491"/>
      <c r="BI32" s="491"/>
      <c r="BJ32" s="491">
        <v>5413.1</v>
      </c>
      <c r="BK32" s="491"/>
      <c r="BL32" s="491">
        <v>2140.64</v>
      </c>
      <c r="BM32" s="491">
        <v>275.58</v>
      </c>
      <c r="BN32" s="491">
        <v>314.94</v>
      </c>
      <c r="BO32" s="491">
        <v>314.94</v>
      </c>
      <c r="BP32" s="491">
        <v>12632.210000000001</v>
      </c>
    </row>
    <row r="33" spans="1:68" x14ac:dyDescent="0.25">
      <c r="A33" s="490" t="s">
        <v>1271</v>
      </c>
      <c r="B33" s="180">
        <v>12726992</v>
      </c>
      <c r="C33" s="180" t="s">
        <v>1280</v>
      </c>
      <c r="D33" s="180" t="s">
        <v>1281</v>
      </c>
      <c r="E33" s="180" t="s">
        <v>983</v>
      </c>
      <c r="F33" s="180" t="s">
        <v>712</v>
      </c>
      <c r="G33" s="180" t="s">
        <v>1276</v>
      </c>
      <c r="H33" s="182">
        <v>725</v>
      </c>
      <c r="I33" s="182">
        <v>812</v>
      </c>
      <c r="J33" s="180">
        <v>14.5</v>
      </c>
      <c r="AL33" s="182">
        <v>725</v>
      </c>
      <c r="AM33" s="182">
        <v>0</v>
      </c>
      <c r="AP33" s="182">
        <v>725</v>
      </c>
      <c r="AQ33" s="182">
        <v>138</v>
      </c>
      <c r="AR33" s="182">
        <v>0</v>
      </c>
      <c r="AV33" s="182">
        <v>587</v>
      </c>
      <c r="AW33" s="182">
        <v>87</v>
      </c>
      <c r="AX33" s="182">
        <v>0</v>
      </c>
      <c r="AY33" s="182">
        <v>0</v>
      </c>
      <c r="BC33" s="488" t="s">
        <v>1321</v>
      </c>
      <c r="BD33" s="491">
        <v>2243.15</v>
      </c>
      <c r="BE33" s="491">
        <v>1624</v>
      </c>
      <c r="BF33" s="491">
        <v>974.4</v>
      </c>
      <c r="BG33" s="491"/>
      <c r="BH33" s="491">
        <v>385.7</v>
      </c>
      <c r="BI33" s="491">
        <v>649.6</v>
      </c>
      <c r="BJ33" s="491">
        <v>649.6</v>
      </c>
      <c r="BK33" s="491">
        <v>324.8</v>
      </c>
      <c r="BL33" s="491">
        <v>2070.6</v>
      </c>
      <c r="BM33" s="491">
        <v>2253.3000000000002</v>
      </c>
      <c r="BN33" s="491">
        <v>1624</v>
      </c>
      <c r="BO33" s="491">
        <v>974.4</v>
      </c>
      <c r="BP33" s="491">
        <v>13773.550000000001</v>
      </c>
    </row>
    <row r="34" spans="1:68" x14ac:dyDescent="0.25">
      <c r="A34" s="490" t="s">
        <v>1273</v>
      </c>
      <c r="B34" s="180">
        <v>12726992</v>
      </c>
      <c r="C34" s="180" t="s">
        <v>1280</v>
      </c>
      <c r="D34" s="180" t="s">
        <v>1281</v>
      </c>
      <c r="E34" s="180" t="s">
        <v>983</v>
      </c>
      <c r="F34" s="180" t="s">
        <v>712</v>
      </c>
      <c r="G34" s="180" t="s">
        <v>1276</v>
      </c>
      <c r="H34" s="182">
        <v>2687.5</v>
      </c>
      <c r="I34" s="182">
        <v>3115</v>
      </c>
      <c r="J34" s="180">
        <v>55.25</v>
      </c>
      <c r="N34" s="182">
        <v>105</v>
      </c>
      <c r="AL34" s="182">
        <v>2792.5</v>
      </c>
      <c r="AM34" s="182">
        <v>0</v>
      </c>
      <c r="AP34" s="182">
        <v>2792.5</v>
      </c>
      <c r="AQ34" s="182">
        <v>700</v>
      </c>
      <c r="AR34" s="182">
        <v>0</v>
      </c>
      <c r="AV34" s="182">
        <v>2092.5</v>
      </c>
      <c r="AW34" s="182">
        <v>322.5</v>
      </c>
      <c r="AX34" s="182">
        <v>0</v>
      </c>
      <c r="AY34" s="182">
        <v>0</v>
      </c>
      <c r="BC34" s="488" t="s">
        <v>1374</v>
      </c>
      <c r="BD34" s="491"/>
      <c r="BE34" s="491"/>
      <c r="BF34" s="491"/>
      <c r="BG34" s="491"/>
      <c r="BH34" s="491"/>
      <c r="BI34" s="491"/>
      <c r="BJ34" s="491">
        <v>608.61</v>
      </c>
      <c r="BK34" s="491"/>
      <c r="BL34" s="491"/>
      <c r="BM34" s="491"/>
      <c r="BN34" s="491"/>
      <c r="BO34" s="491"/>
      <c r="BP34" s="491">
        <v>608.61</v>
      </c>
    </row>
    <row r="35" spans="1:68" x14ac:dyDescent="0.25">
      <c r="A35" s="490" t="s">
        <v>1274</v>
      </c>
      <c r="B35" s="180">
        <v>12726992</v>
      </c>
      <c r="C35" s="180" t="s">
        <v>1280</v>
      </c>
      <c r="D35" s="180" t="s">
        <v>1281</v>
      </c>
      <c r="E35" s="180" t="s">
        <v>983</v>
      </c>
      <c r="F35" s="180" t="s">
        <v>712</v>
      </c>
      <c r="G35" s="180" t="s">
        <v>1276</v>
      </c>
      <c r="H35" s="182">
        <v>375</v>
      </c>
      <c r="I35" s="182">
        <v>420</v>
      </c>
      <c r="J35" s="180">
        <v>7.5</v>
      </c>
      <c r="AL35" s="182">
        <v>375</v>
      </c>
      <c r="AM35" s="182">
        <v>0</v>
      </c>
      <c r="AP35" s="182">
        <v>375</v>
      </c>
      <c r="AQ35" s="182">
        <v>64</v>
      </c>
      <c r="AR35" s="182">
        <v>0</v>
      </c>
      <c r="AV35" s="182">
        <v>311</v>
      </c>
      <c r="AW35" s="182">
        <v>45</v>
      </c>
      <c r="AX35" s="182">
        <v>0</v>
      </c>
      <c r="AY35" s="182">
        <v>0</v>
      </c>
      <c r="BC35" s="488" t="s">
        <v>524</v>
      </c>
      <c r="BD35" s="491">
        <v>33783.949999999997</v>
      </c>
      <c r="BE35" s="491">
        <v>15500.9</v>
      </c>
      <c r="BF35" s="491">
        <v>33821.939999999995</v>
      </c>
      <c r="BG35" s="491">
        <v>15890.230000000001</v>
      </c>
      <c r="BH35" s="491">
        <v>12424.490000000002</v>
      </c>
      <c r="BI35" s="491">
        <v>22832.149999999998</v>
      </c>
      <c r="BJ35" s="491">
        <v>34099.009999999995</v>
      </c>
      <c r="BK35" s="491">
        <v>32504.36</v>
      </c>
      <c r="BL35" s="491">
        <v>36065.15</v>
      </c>
      <c r="BM35" s="491">
        <v>26951.15</v>
      </c>
      <c r="BN35" s="491">
        <v>19639.370000000003</v>
      </c>
      <c r="BO35" s="491">
        <v>25139.269999999997</v>
      </c>
      <c r="BP35" s="491">
        <v>308651.96999999991</v>
      </c>
    </row>
    <row r="36" spans="1:68" x14ac:dyDescent="0.25">
      <c r="A36" s="490" t="s">
        <v>1275</v>
      </c>
      <c r="B36" s="180">
        <v>10720623</v>
      </c>
      <c r="C36" s="180" t="s">
        <v>1015</v>
      </c>
      <c r="D36" s="180" t="s">
        <v>1016</v>
      </c>
      <c r="E36" s="180" t="s">
        <v>983</v>
      </c>
      <c r="F36" s="180" t="s">
        <v>376</v>
      </c>
      <c r="G36" s="180" t="s">
        <v>1017</v>
      </c>
      <c r="H36" s="182">
        <v>2474.81</v>
      </c>
      <c r="I36" s="182">
        <v>2771.79</v>
      </c>
      <c r="J36" s="180">
        <v>71.75</v>
      </c>
      <c r="AL36" s="182">
        <v>2474.81</v>
      </c>
      <c r="AM36" s="182">
        <v>0</v>
      </c>
      <c r="AP36" s="182">
        <v>2474.81</v>
      </c>
      <c r="AQ36" s="182">
        <v>92</v>
      </c>
      <c r="AR36" s="182">
        <v>0</v>
      </c>
      <c r="AV36" s="182">
        <v>2382.81</v>
      </c>
      <c r="AW36" s="182">
        <v>296.98</v>
      </c>
      <c r="AX36" s="182">
        <v>0</v>
      </c>
      <c r="AY36" s="182">
        <v>0</v>
      </c>
      <c r="BC36" s="487" t="s">
        <v>253</v>
      </c>
      <c r="BD36" t="s">
        <v>712</v>
      </c>
      <c r="BE36"/>
      <c r="BF36"/>
      <c r="BG36"/>
      <c r="BH36"/>
      <c r="BI36"/>
      <c r="BJ36"/>
      <c r="BK36"/>
      <c r="BL36"/>
      <c r="BM36"/>
      <c r="BN36"/>
      <c r="BO36"/>
      <c r="BP36"/>
    </row>
    <row r="37" spans="1:68" x14ac:dyDescent="0.25">
      <c r="A37" s="490" t="s">
        <v>1277</v>
      </c>
      <c r="B37" s="180">
        <v>10720623</v>
      </c>
      <c r="C37" s="180" t="s">
        <v>1015</v>
      </c>
      <c r="D37" s="180" t="s">
        <v>1016</v>
      </c>
      <c r="E37" s="180" t="s">
        <v>983</v>
      </c>
      <c r="F37" s="180" t="s">
        <v>376</v>
      </c>
      <c r="G37" s="180" t="s">
        <v>1017</v>
      </c>
      <c r="H37" s="182">
        <v>281.2</v>
      </c>
      <c r="I37" s="182">
        <v>314.94</v>
      </c>
      <c r="J37" s="180">
        <v>8</v>
      </c>
      <c r="AL37" s="182">
        <v>281.2</v>
      </c>
      <c r="AM37" s="182">
        <v>0</v>
      </c>
      <c r="AP37" s="182">
        <v>281.2</v>
      </c>
      <c r="AQ37" s="182">
        <v>0</v>
      </c>
      <c r="AR37" s="182">
        <v>0</v>
      </c>
      <c r="AV37" s="182">
        <v>281.2</v>
      </c>
      <c r="AW37" s="182">
        <v>33.74</v>
      </c>
      <c r="AX37" s="182">
        <v>0</v>
      </c>
      <c r="AY37" s="182">
        <v>0</v>
      </c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</row>
    <row r="38" spans="1:68" x14ac:dyDescent="0.25">
      <c r="A38" s="490" t="s">
        <v>1266</v>
      </c>
      <c r="B38" s="180">
        <v>10720623</v>
      </c>
      <c r="C38" s="180" t="s">
        <v>1015</v>
      </c>
      <c r="D38" s="180" t="s">
        <v>1016</v>
      </c>
      <c r="E38" s="180" t="s">
        <v>983</v>
      </c>
      <c r="F38" s="180" t="s">
        <v>376</v>
      </c>
      <c r="G38" s="180" t="s">
        <v>1017</v>
      </c>
      <c r="H38" s="182">
        <v>1581.75</v>
      </c>
      <c r="I38" s="182">
        <v>1919.19</v>
      </c>
      <c r="J38" s="180">
        <v>48</v>
      </c>
      <c r="N38" s="182">
        <v>147.63</v>
      </c>
      <c r="AL38" s="182">
        <v>1729.38</v>
      </c>
      <c r="AM38" s="182">
        <v>0</v>
      </c>
      <c r="AP38" s="182">
        <v>1729.38</v>
      </c>
      <c r="AQ38" s="182">
        <v>422</v>
      </c>
      <c r="AR38" s="182">
        <v>0</v>
      </c>
      <c r="AV38" s="182">
        <v>1307.3800000000001</v>
      </c>
      <c r="AW38" s="182">
        <v>189.81</v>
      </c>
      <c r="AX38" s="182">
        <v>0</v>
      </c>
      <c r="AY38" s="182">
        <v>0</v>
      </c>
      <c r="BC38" s="487" t="s">
        <v>979</v>
      </c>
      <c r="BD38" s="487" t="s">
        <v>973</v>
      </c>
      <c r="BE38"/>
      <c r="BF38"/>
      <c r="BG38"/>
      <c r="BH38"/>
      <c r="BI38"/>
      <c r="BJ38"/>
      <c r="BK38"/>
      <c r="BL38"/>
      <c r="BM38"/>
      <c r="BN38"/>
      <c r="BO38"/>
      <c r="BP38"/>
    </row>
    <row r="39" spans="1:68" x14ac:dyDescent="0.25">
      <c r="A39" s="490" t="s">
        <v>1267</v>
      </c>
      <c r="B39" s="180">
        <v>10720623</v>
      </c>
      <c r="C39" s="180" t="s">
        <v>1015</v>
      </c>
      <c r="D39" s="180" t="s">
        <v>1016</v>
      </c>
      <c r="E39" s="180" t="s">
        <v>983</v>
      </c>
      <c r="F39" s="180" t="s">
        <v>376</v>
      </c>
      <c r="G39" s="180" t="s">
        <v>1017</v>
      </c>
      <c r="H39" s="182">
        <v>1792.65</v>
      </c>
      <c r="I39" s="182">
        <v>2007.77</v>
      </c>
      <c r="J39" s="180">
        <v>51</v>
      </c>
      <c r="AL39" s="182">
        <v>1792.65</v>
      </c>
      <c r="AM39" s="182">
        <v>0</v>
      </c>
      <c r="AP39" s="182">
        <v>1792.65</v>
      </c>
      <c r="AQ39" s="182">
        <v>420</v>
      </c>
      <c r="AR39" s="182">
        <v>0</v>
      </c>
      <c r="AV39" s="182">
        <v>1372.65</v>
      </c>
      <c r="AW39" s="182">
        <v>215.12</v>
      </c>
      <c r="AX39" s="182">
        <v>0</v>
      </c>
      <c r="AY39" s="182">
        <v>0</v>
      </c>
      <c r="BC39" s="487" t="s">
        <v>972</v>
      </c>
      <c r="BD39" t="s">
        <v>1272</v>
      </c>
      <c r="BE39" t="s">
        <v>1277</v>
      </c>
      <c r="BF39" t="s">
        <v>1269</v>
      </c>
      <c r="BG39" t="s">
        <v>1265</v>
      </c>
      <c r="BH39" t="s">
        <v>1275</v>
      </c>
      <c r="BI39" t="s">
        <v>1274</v>
      </c>
      <c r="BJ39" t="s">
        <v>1271</v>
      </c>
      <c r="BK39" t="s">
        <v>1273</v>
      </c>
      <c r="BL39" t="s">
        <v>1268</v>
      </c>
      <c r="BM39" t="s">
        <v>1267</v>
      </c>
      <c r="BN39" t="s">
        <v>1266</v>
      </c>
      <c r="BO39" t="s">
        <v>524</v>
      </c>
      <c r="BP39"/>
    </row>
    <row r="40" spans="1:68" x14ac:dyDescent="0.25">
      <c r="A40" s="490" t="s">
        <v>1265</v>
      </c>
      <c r="B40" s="180">
        <v>12754705</v>
      </c>
      <c r="C40" s="180" t="s">
        <v>1282</v>
      </c>
      <c r="D40" s="180" t="s">
        <v>1283</v>
      </c>
      <c r="E40" s="180" t="s">
        <v>983</v>
      </c>
      <c r="F40" s="180" t="s">
        <v>712</v>
      </c>
      <c r="G40" s="180" t="s">
        <v>1276</v>
      </c>
      <c r="H40" s="182">
        <v>780</v>
      </c>
      <c r="I40" s="182">
        <v>920.4</v>
      </c>
      <c r="J40" s="180">
        <v>15.5</v>
      </c>
      <c r="R40" s="182">
        <v>46.8</v>
      </c>
      <c r="AL40" s="182">
        <v>826.8</v>
      </c>
      <c r="AM40" s="182">
        <v>0</v>
      </c>
      <c r="AP40" s="182">
        <v>826.8</v>
      </c>
      <c r="AQ40" s="182">
        <v>158</v>
      </c>
      <c r="AR40" s="182">
        <v>0</v>
      </c>
      <c r="AV40" s="182">
        <v>668.8</v>
      </c>
      <c r="AW40" s="182">
        <v>93.6</v>
      </c>
      <c r="AX40" s="182">
        <v>0</v>
      </c>
      <c r="AY40" s="182">
        <v>0</v>
      </c>
      <c r="BC40" s="488" t="s">
        <v>662</v>
      </c>
      <c r="BD40" s="491"/>
      <c r="BE40" s="491">
        <v>2734.08</v>
      </c>
      <c r="BF40" s="491">
        <v>6137.39</v>
      </c>
      <c r="BG40" s="491"/>
      <c r="BH40" s="491">
        <v>624.35</v>
      </c>
      <c r="BI40" s="491">
        <v>4243.9400000000005</v>
      </c>
      <c r="BJ40" s="491"/>
      <c r="BK40" s="491">
        <v>522.33000000000004</v>
      </c>
      <c r="BL40" s="491">
        <v>2146.46</v>
      </c>
      <c r="BM40" s="491">
        <v>261.16000000000003</v>
      </c>
      <c r="BN40" s="491">
        <v>457.04</v>
      </c>
      <c r="BO40" s="491">
        <v>17126.750000000004</v>
      </c>
      <c r="BP40"/>
    </row>
    <row r="41" spans="1:68" x14ac:dyDescent="0.25">
      <c r="A41" s="490" t="s">
        <v>1271</v>
      </c>
      <c r="B41" s="180">
        <v>12754705</v>
      </c>
      <c r="C41" s="180" t="s">
        <v>1282</v>
      </c>
      <c r="D41" s="180" t="s">
        <v>1283</v>
      </c>
      <c r="E41" s="180" t="s">
        <v>983</v>
      </c>
      <c r="F41" s="180" t="s">
        <v>712</v>
      </c>
      <c r="G41" s="180" t="s">
        <v>1276</v>
      </c>
      <c r="H41" s="182">
        <v>416</v>
      </c>
      <c r="I41" s="182">
        <v>538.72</v>
      </c>
      <c r="J41" s="180">
        <v>9</v>
      </c>
      <c r="N41" s="182">
        <v>72.8</v>
      </c>
      <c r="AL41" s="182">
        <v>488.8</v>
      </c>
      <c r="AM41" s="182">
        <v>0</v>
      </c>
      <c r="AP41" s="182">
        <v>488.8</v>
      </c>
      <c r="AQ41" s="182">
        <v>88</v>
      </c>
      <c r="AR41" s="182">
        <v>0</v>
      </c>
      <c r="AV41" s="182">
        <v>400.8</v>
      </c>
      <c r="AW41" s="182">
        <v>49.92</v>
      </c>
      <c r="AX41" s="182">
        <v>0</v>
      </c>
      <c r="AY41" s="182">
        <v>0</v>
      </c>
      <c r="BC41" s="488" t="s">
        <v>1278</v>
      </c>
      <c r="BD41" s="491"/>
      <c r="BE41" s="491"/>
      <c r="BF41" s="491"/>
      <c r="BG41" s="491"/>
      <c r="BH41" s="491"/>
      <c r="BI41" s="491">
        <v>284.2</v>
      </c>
      <c r="BJ41" s="491"/>
      <c r="BK41" s="491"/>
      <c r="BL41" s="491"/>
      <c r="BM41" s="491"/>
      <c r="BN41" s="491"/>
      <c r="BO41" s="491">
        <v>284.2</v>
      </c>
      <c r="BP41"/>
    </row>
    <row r="42" spans="1:68" x14ac:dyDescent="0.25">
      <c r="A42" s="490" t="s">
        <v>1267</v>
      </c>
      <c r="B42" s="180">
        <v>11950796</v>
      </c>
      <c r="C42" s="180" t="s">
        <v>1284</v>
      </c>
      <c r="D42" s="180" t="s">
        <v>1285</v>
      </c>
      <c r="E42" s="180" t="s">
        <v>983</v>
      </c>
      <c r="F42" s="180" t="s">
        <v>376</v>
      </c>
      <c r="G42" s="180" t="s">
        <v>1029</v>
      </c>
      <c r="H42" s="182">
        <v>421.8</v>
      </c>
      <c r="I42" s="182">
        <v>472.42</v>
      </c>
      <c r="J42" s="180">
        <v>12</v>
      </c>
      <c r="AL42" s="182">
        <v>421.8</v>
      </c>
      <c r="AM42" s="182">
        <v>0</v>
      </c>
      <c r="AP42" s="182">
        <v>421.8</v>
      </c>
      <c r="AQ42" s="182">
        <v>74</v>
      </c>
      <c r="AR42" s="182">
        <v>0</v>
      </c>
      <c r="AV42" s="182">
        <v>347.8</v>
      </c>
      <c r="AW42" s="182">
        <v>50.62</v>
      </c>
      <c r="AX42" s="182">
        <v>0</v>
      </c>
      <c r="AY42" s="182">
        <v>0</v>
      </c>
      <c r="BC42" s="488" t="s">
        <v>782</v>
      </c>
      <c r="BD42" s="491"/>
      <c r="BE42" s="491">
        <v>2146.44</v>
      </c>
      <c r="BF42" s="491">
        <v>2121.96</v>
      </c>
      <c r="BG42" s="491">
        <v>457.04</v>
      </c>
      <c r="BH42" s="491">
        <v>72.819999999999993</v>
      </c>
      <c r="BI42" s="491"/>
      <c r="BJ42" s="491">
        <v>457.04</v>
      </c>
      <c r="BK42" s="491"/>
      <c r="BL42" s="491"/>
      <c r="BM42" s="491"/>
      <c r="BN42" s="491"/>
      <c r="BO42" s="491">
        <v>5255.2999999999993</v>
      </c>
      <c r="BP42"/>
    </row>
    <row r="43" spans="1:68" x14ac:dyDescent="0.25">
      <c r="A43" s="490" t="s">
        <v>1268</v>
      </c>
      <c r="B43" s="180">
        <v>11950796</v>
      </c>
      <c r="C43" s="180" t="s">
        <v>1284</v>
      </c>
      <c r="D43" s="180" t="s">
        <v>1285</v>
      </c>
      <c r="E43" s="180" t="s">
        <v>983</v>
      </c>
      <c r="F43" s="180" t="s">
        <v>376</v>
      </c>
      <c r="G43" s="180" t="s">
        <v>1029</v>
      </c>
      <c r="H43" s="182">
        <v>281.2</v>
      </c>
      <c r="I43" s="182">
        <v>327.24</v>
      </c>
      <c r="J43" s="180">
        <v>8.25</v>
      </c>
      <c r="N43" s="182">
        <v>12.3</v>
      </c>
      <c r="AL43" s="182">
        <v>293.5</v>
      </c>
      <c r="AM43" s="182">
        <v>0</v>
      </c>
      <c r="AP43" s="182">
        <v>293.5</v>
      </c>
      <c r="AQ43" s="182">
        <v>46</v>
      </c>
      <c r="AR43" s="182">
        <v>0</v>
      </c>
      <c r="AV43" s="182">
        <v>247.5</v>
      </c>
      <c r="AW43" s="182">
        <v>33.74</v>
      </c>
      <c r="AX43" s="182">
        <v>0</v>
      </c>
      <c r="AY43" s="182">
        <v>0</v>
      </c>
      <c r="BC43" s="488" t="s">
        <v>1280</v>
      </c>
      <c r="BD43" s="491"/>
      <c r="BE43" s="491"/>
      <c r="BF43" s="491"/>
      <c r="BG43" s="491"/>
      <c r="BH43" s="491"/>
      <c r="BI43" s="491">
        <v>1596</v>
      </c>
      <c r="BJ43" s="491">
        <v>812</v>
      </c>
      <c r="BK43" s="491">
        <v>3115</v>
      </c>
      <c r="BL43" s="491"/>
      <c r="BM43" s="491"/>
      <c r="BN43" s="491"/>
      <c r="BO43" s="491">
        <v>5523</v>
      </c>
      <c r="BP43"/>
    </row>
    <row r="44" spans="1:68" x14ac:dyDescent="0.25">
      <c r="A44" s="490" t="s">
        <v>1269</v>
      </c>
      <c r="B44" s="180">
        <v>11950796</v>
      </c>
      <c r="C44" s="180" t="s">
        <v>1284</v>
      </c>
      <c r="D44" s="180" t="s">
        <v>1285</v>
      </c>
      <c r="E44" s="180" t="s">
        <v>983</v>
      </c>
      <c r="F44" s="180" t="s">
        <v>376</v>
      </c>
      <c r="G44" s="180" t="s">
        <v>1029</v>
      </c>
      <c r="H44" s="182">
        <v>843.6</v>
      </c>
      <c r="I44" s="182">
        <v>1043.25</v>
      </c>
      <c r="J44" s="180">
        <v>26</v>
      </c>
      <c r="N44" s="182">
        <v>98.42</v>
      </c>
      <c r="AL44" s="182">
        <v>942.02</v>
      </c>
      <c r="AM44" s="182">
        <v>0</v>
      </c>
      <c r="AP44" s="182">
        <v>942.02</v>
      </c>
      <c r="AQ44" s="182">
        <v>162</v>
      </c>
      <c r="AR44" s="182">
        <v>0</v>
      </c>
      <c r="AT44" s="182">
        <v>39.590000000000003</v>
      </c>
      <c r="AV44" s="182">
        <v>740.43</v>
      </c>
      <c r="AW44" s="182">
        <v>101.23</v>
      </c>
      <c r="AX44" s="182">
        <v>0</v>
      </c>
      <c r="AY44" s="182">
        <v>0</v>
      </c>
      <c r="BC44" s="488" t="s">
        <v>1282</v>
      </c>
      <c r="BD44" s="491"/>
      <c r="BE44" s="491"/>
      <c r="BF44" s="491"/>
      <c r="BG44" s="491">
        <v>920.4</v>
      </c>
      <c r="BH44" s="491"/>
      <c r="BI44" s="491">
        <v>873.6</v>
      </c>
      <c r="BJ44" s="491">
        <v>538.72</v>
      </c>
      <c r="BK44" s="491"/>
      <c r="BL44" s="491"/>
      <c r="BM44" s="491"/>
      <c r="BN44" s="491"/>
      <c r="BO44" s="491">
        <v>2332.7200000000003</v>
      </c>
      <c r="BP44"/>
    </row>
    <row r="45" spans="1:68" x14ac:dyDescent="0.25">
      <c r="A45" s="490" t="s">
        <v>1271</v>
      </c>
      <c r="B45" s="180">
        <v>11950796</v>
      </c>
      <c r="C45" s="180" t="s">
        <v>1284</v>
      </c>
      <c r="D45" s="180" t="s">
        <v>1285</v>
      </c>
      <c r="E45" s="180" t="s">
        <v>983</v>
      </c>
      <c r="F45" s="180" t="s">
        <v>376</v>
      </c>
      <c r="G45" s="180" t="s">
        <v>1029</v>
      </c>
      <c r="H45" s="182">
        <v>4921</v>
      </c>
      <c r="I45" s="182">
        <v>5708.36</v>
      </c>
      <c r="J45" s="180">
        <v>144</v>
      </c>
      <c r="N45" s="182">
        <v>196.84</v>
      </c>
      <c r="AL45" s="182">
        <v>5117.84</v>
      </c>
      <c r="AM45" s="182">
        <v>0</v>
      </c>
      <c r="AP45" s="182">
        <v>5117.84</v>
      </c>
      <c r="AQ45" s="182">
        <v>1374</v>
      </c>
      <c r="AR45" s="182">
        <v>0</v>
      </c>
      <c r="AV45" s="182">
        <v>3743.84</v>
      </c>
      <c r="AW45" s="182">
        <v>590.52</v>
      </c>
      <c r="AX45" s="182">
        <v>0</v>
      </c>
      <c r="AY45" s="182">
        <v>0</v>
      </c>
      <c r="BC45" s="488" t="s">
        <v>951</v>
      </c>
      <c r="BD45" s="491"/>
      <c r="BE45" s="491">
        <v>1532.89</v>
      </c>
      <c r="BF45" s="491">
        <v>762.74</v>
      </c>
      <c r="BG45" s="491">
        <v>1313.91</v>
      </c>
      <c r="BH45" s="491">
        <v>161.66</v>
      </c>
      <c r="BI45" s="491">
        <v>1466.46</v>
      </c>
      <c r="BJ45" s="491">
        <v>856.25</v>
      </c>
      <c r="BK45" s="491">
        <v>629.89</v>
      </c>
      <c r="BL45" s="491">
        <v>781.59</v>
      </c>
      <c r="BM45" s="491"/>
      <c r="BN45" s="491"/>
      <c r="BO45" s="491">
        <v>7505.39</v>
      </c>
      <c r="BP45"/>
    </row>
    <row r="46" spans="1:68" x14ac:dyDescent="0.25">
      <c r="A46" s="490" t="s">
        <v>1272</v>
      </c>
      <c r="B46" s="180">
        <v>11950796</v>
      </c>
      <c r="C46" s="180" t="s">
        <v>1284</v>
      </c>
      <c r="D46" s="180" t="s">
        <v>1285</v>
      </c>
      <c r="E46" s="180" t="s">
        <v>983</v>
      </c>
      <c r="F46" s="180" t="s">
        <v>376</v>
      </c>
      <c r="G46" s="180" t="s">
        <v>1029</v>
      </c>
      <c r="H46" s="182">
        <v>4921</v>
      </c>
      <c r="I46" s="182">
        <v>5708.36</v>
      </c>
      <c r="J46" s="180">
        <v>144</v>
      </c>
      <c r="N46" s="182">
        <v>196.84</v>
      </c>
      <c r="AL46" s="182">
        <v>5117.84</v>
      </c>
      <c r="AM46" s="182">
        <v>0</v>
      </c>
      <c r="AP46" s="182">
        <v>5117.84</v>
      </c>
      <c r="AQ46" s="182">
        <v>1376</v>
      </c>
      <c r="AR46" s="182">
        <v>0</v>
      </c>
      <c r="AV46" s="182">
        <v>3741.84</v>
      </c>
      <c r="AW46" s="182">
        <v>590.52</v>
      </c>
      <c r="AX46" s="182">
        <v>0</v>
      </c>
      <c r="AY46" s="182">
        <v>0</v>
      </c>
      <c r="BC46" s="488" t="s">
        <v>1288</v>
      </c>
      <c r="BD46" s="491">
        <v>570.84</v>
      </c>
      <c r="BE46" s="491"/>
      <c r="BF46" s="491"/>
      <c r="BG46" s="491"/>
      <c r="BH46" s="491"/>
      <c r="BI46" s="491">
        <v>5865.83</v>
      </c>
      <c r="BJ46" s="491"/>
      <c r="BK46" s="491">
        <v>1417.25</v>
      </c>
      <c r="BL46" s="491"/>
      <c r="BM46" s="491"/>
      <c r="BN46" s="491"/>
      <c r="BO46" s="491">
        <v>7853.92</v>
      </c>
      <c r="BP46"/>
    </row>
    <row r="47" spans="1:68" x14ac:dyDescent="0.25">
      <c r="A47" s="490" t="s">
        <v>1273</v>
      </c>
      <c r="B47" s="180">
        <v>11950796</v>
      </c>
      <c r="C47" s="180" t="s">
        <v>1284</v>
      </c>
      <c r="D47" s="180" t="s">
        <v>1285</v>
      </c>
      <c r="E47" s="180" t="s">
        <v>983</v>
      </c>
      <c r="F47" s="180" t="s">
        <v>376</v>
      </c>
      <c r="G47" s="180" t="s">
        <v>1029</v>
      </c>
      <c r="H47" s="182">
        <v>5131.8999999999996</v>
      </c>
      <c r="I47" s="182">
        <v>6042.99</v>
      </c>
      <c r="J47" s="180">
        <v>152</v>
      </c>
      <c r="N47" s="182">
        <v>295.26</v>
      </c>
      <c r="AL47" s="182">
        <v>5427.16</v>
      </c>
      <c r="AM47" s="182">
        <v>0</v>
      </c>
      <c r="AP47" s="182">
        <v>5427.16</v>
      </c>
      <c r="AQ47" s="182">
        <v>1474</v>
      </c>
      <c r="AR47" s="182">
        <v>0</v>
      </c>
      <c r="AT47" s="182">
        <v>638.44000000000005</v>
      </c>
      <c r="AV47" s="182">
        <v>3314.72</v>
      </c>
      <c r="AW47" s="182">
        <v>615.83000000000004</v>
      </c>
      <c r="AX47" s="182">
        <v>0</v>
      </c>
      <c r="AY47" s="182">
        <v>0</v>
      </c>
      <c r="BC47" s="488" t="s">
        <v>1097</v>
      </c>
      <c r="BD47" s="491">
        <v>433.05</v>
      </c>
      <c r="BE47" s="491">
        <v>590.52</v>
      </c>
      <c r="BF47" s="491">
        <v>2853.28</v>
      </c>
      <c r="BG47" s="491">
        <v>917.41</v>
      </c>
      <c r="BH47" s="491"/>
      <c r="BI47" s="491">
        <v>334.64</v>
      </c>
      <c r="BJ47" s="491">
        <v>157.47</v>
      </c>
      <c r="BK47" s="491">
        <v>615.13</v>
      </c>
      <c r="BL47" s="491"/>
      <c r="BM47" s="491"/>
      <c r="BN47" s="491"/>
      <c r="BO47" s="491">
        <v>5901.5000000000009</v>
      </c>
      <c r="BP47"/>
    </row>
    <row r="48" spans="1:68" x14ac:dyDescent="0.25">
      <c r="A48" s="490" t="s">
        <v>1274</v>
      </c>
      <c r="B48" s="180">
        <v>11950796</v>
      </c>
      <c r="C48" s="180" t="s">
        <v>1284</v>
      </c>
      <c r="D48" s="180" t="s">
        <v>1285</v>
      </c>
      <c r="E48" s="180" t="s">
        <v>983</v>
      </c>
      <c r="F48" s="180" t="s">
        <v>376</v>
      </c>
      <c r="G48" s="180" t="s">
        <v>1029</v>
      </c>
      <c r="H48" s="182">
        <v>1687.2</v>
      </c>
      <c r="I48" s="182">
        <v>1889.66</v>
      </c>
      <c r="J48" s="180">
        <v>48</v>
      </c>
      <c r="AL48" s="182">
        <v>1687.2</v>
      </c>
      <c r="AM48" s="182">
        <v>0</v>
      </c>
      <c r="AP48" s="182">
        <v>1687.2</v>
      </c>
      <c r="AQ48" s="182">
        <v>408</v>
      </c>
      <c r="AR48" s="182">
        <v>0</v>
      </c>
      <c r="AV48" s="182">
        <v>1279.2</v>
      </c>
      <c r="AW48" s="182">
        <v>202.46</v>
      </c>
      <c r="AX48" s="182">
        <v>0</v>
      </c>
      <c r="AY48" s="182">
        <v>0</v>
      </c>
      <c r="BC48" s="488" t="s">
        <v>859</v>
      </c>
      <c r="BD48" s="491"/>
      <c r="BE48" s="491">
        <v>4437.66</v>
      </c>
      <c r="BF48" s="491">
        <v>4642.78</v>
      </c>
      <c r="BG48" s="491">
        <v>4452</v>
      </c>
      <c r="BH48" s="491">
        <v>2344.7399999999998</v>
      </c>
      <c r="BI48" s="491"/>
      <c r="BJ48" s="491"/>
      <c r="BK48" s="491"/>
      <c r="BL48" s="491"/>
      <c r="BM48" s="491"/>
      <c r="BN48" s="491"/>
      <c r="BO48" s="491">
        <v>15877.179999999998</v>
      </c>
      <c r="BP48"/>
    </row>
    <row r="49" spans="1:68" x14ac:dyDescent="0.25">
      <c r="A49" s="490" t="s">
        <v>1265</v>
      </c>
      <c r="B49" s="180">
        <v>11950796</v>
      </c>
      <c r="C49" s="180" t="s">
        <v>1284</v>
      </c>
      <c r="D49" s="180" t="s">
        <v>1285</v>
      </c>
      <c r="E49" s="180" t="s">
        <v>983</v>
      </c>
      <c r="F49" s="180" t="s">
        <v>376</v>
      </c>
      <c r="G49" s="180" t="s">
        <v>1286</v>
      </c>
      <c r="H49" s="182">
        <v>1335.7</v>
      </c>
      <c r="I49" s="182">
        <v>1594.4</v>
      </c>
      <c r="J49" s="180">
        <v>40</v>
      </c>
      <c r="N49" s="182">
        <v>98.42</v>
      </c>
      <c r="AL49" s="182">
        <v>1434.12</v>
      </c>
      <c r="AM49" s="182">
        <v>0</v>
      </c>
      <c r="AP49" s="182">
        <v>1434.12</v>
      </c>
      <c r="AQ49" s="182">
        <v>326</v>
      </c>
      <c r="AR49" s="182">
        <v>0</v>
      </c>
      <c r="AV49" s="182">
        <v>1108.1199999999999</v>
      </c>
      <c r="AW49" s="182">
        <v>160.28</v>
      </c>
      <c r="AX49" s="182">
        <v>0</v>
      </c>
      <c r="AY49" s="182">
        <v>0</v>
      </c>
      <c r="BC49" s="488" t="s">
        <v>804</v>
      </c>
      <c r="BD49" s="491"/>
      <c r="BE49" s="491"/>
      <c r="BF49" s="491"/>
      <c r="BG49" s="491"/>
      <c r="BH49" s="491"/>
      <c r="BI49" s="491">
        <v>2688</v>
      </c>
      <c r="BJ49" s="491"/>
      <c r="BK49" s="491"/>
      <c r="BL49" s="491"/>
      <c r="BM49" s="491"/>
      <c r="BN49" s="491"/>
      <c r="BO49" s="491">
        <v>2688</v>
      </c>
      <c r="BP49"/>
    </row>
    <row r="50" spans="1:68" x14ac:dyDescent="0.25">
      <c r="A50" s="490" t="s">
        <v>1275</v>
      </c>
      <c r="B50" s="180">
        <v>7198283</v>
      </c>
      <c r="C50" s="180" t="s">
        <v>951</v>
      </c>
      <c r="D50" s="180" t="s">
        <v>952</v>
      </c>
      <c r="E50" s="180" t="s">
        <v>983</v>
      </c>
      <c r="F50" s="180" t="s">
        <v>712</v>
      </c>
      <c r="G50" s="180" t="s">
        <v>1276</v>
      </c>
      <c r="H50" s="182">
        <v>144.34</v>
      </c>
      <c r="I50" s="182">
        <v>161.66</v>
      </c>
      <c r="J50" s="180">
        <v>4.25</v>
      </c>
      <c r="AL50" s="182">
        <v>144.34</v>
      </c>
      <c r="AM50" s="182">
        <v>0</v>
      </c>
      <c r="AP50" s="182">
        <v>144.34</v>
      </c>
      <c r="AQ50" s="182">
        <v>24</v>
      </c>
      <c r="AR50" s="182">
        <v>0</v>
      </c>
      <c r="AV50" s="182">
        <v>120.34</v>
      </c>
      <c r="AW50" s="182">
        <v>17.32</v>
      </c>
      <c r="AX50" s="182">
        <v>0</v>
      </c>
      <c r="AY50" s="182">
        <v>0</v>
      </c>
      <c r="BC50" s="488" t="s">
        <v>793</v>
      </c>
      <c r="BD50" s="491">
        <v>157.47</v>
      </c>
      <c r="BE50" s="491"/>
      <c r="BF50" s="491"/>
      <c r="BG50" s="491"/>
      <c r="BH50" s="491"/>
      <c r="BI50" s="491">
        <v>339.54</v>
      </c>
      <c r="BJ50" s="491">
        <v>866.09</v>
      </c>
      <c r="BK50" s="491">
        <v>1220.4100000000001</v>
      </c>
      <c r="BL50" s="491"/>
      <c r="BM50" s="491"/>
      <c r="BN50" s="491"/>
      <c r="BO50" s="491">
        <v>2583.5100000000002</v>
      </c>
      <c r="BP50"/>
    </row>
    <row r="51" spans="1:68" x14ac:dyDescent="0.25">
      <c r="A51" s="490" t="s">
        <v>1277</v>
      </c>
      <c r="B51" s="180">
        <v>7198283</v>
      </c>
      <c r="C51" s="180" t="s">
        <v>951</v>
      </c>
      <c r="D51" s="180" t="s">
        <v>952</v>
      </c>
      <c r="E51" s="180" t="s">
        <v>983</v>
      </c>
      <c r="F51" s="180" t="s">
        <v>712</v>
      </c>
      <c r="G51" s="180" t="s">
        <v>1276</v>
      </c>
      <c r="H51" s="182">
        <v>1335.7</v>
      </c>
      <c r="I51" s="182">
        <v>1532.89</v>
      </c>
      <c r="J51" s="180">
        <v>38.75</v>
      </c>
      <c r="N51" s="182">
        <v>36.9</v>
      </c>
      <c r="AL51" s="182">
        <v>1372.6</v>
      </c>
      <c r="AM51" s="182">
        <v>0</v>
      </c>
      <c r="AP51" s="182">
        <v>1372.6</v>
      </c>
      <c r="AQ51" s="182">
        <v>264</v>
      </c>
      <c r="AR51" s="182">
        <v>0</v>
      </c>
      <c r="AV51" s="182">
        <v>1108.5999999999999</v>
      </c>
      <c r="AW51" s="182">
        <v>160.29</v>
      </c>
      <c r="AX51" s="182">
        <v>0</v>
      </c>
      <c r="AY51" s="182">
        <v>0</v>
      </c>
      <c r="BC51" s="488" t="s">
        <v>753</v>
      </c>
      <c r="BD51" s="491"/>
      <c r="BE51" s="491"/>
      <c r="BF51" s="491"/>
      <c r="BG51" s="491"/>
      <c r="BH51" s="491"/>
      <c r="BI51" s="491"/>
      <c r="BJ51" s="491"/>
      <c r="BK51" s="491"/>
      <c r="BL51" s="491"/>
      <c r="BM51" s="491">
        <v>5496.75</v>
      </c>
      <c r="BN51" s="491"/>
      <c r="BO51" s="491">
        <v>5496.75</v>
      </c>
      <c r="BP51"/>
    </row>
    <row r="52" spans="1:68" x14ac:dyDescent="0.25">
      <c r="A52" s="490" t="s">
        <v>1268</v>
      </c>
      <c r="B52" s="180">
        <v>7198283</v>
      </c>
      <c r="C52" s="180" t="s">
        <v>951</v>
      </c>
      <c r="D52" s="180" t="s">
        <v>952</v>
      </c>
      <c r="E52" s="180" t="s">
        <v>983</v>
      </c>
      <c r="F52" s="180" t="s">
        <v>712</v>
      </c>
      <c r="G52" s="180" t="s">
        <v>1276</v>
      </c>
      <c r="H52" s="182">
        <v>606.33000000000004</v>
      </c>
      <c r="I52" s="182">
        <v>781.59</v>
      </c>
      <c r="J52" s="180">
        <v>18.75</v>
      </c>
      <c r="Q52" s="182">
        <v>63.27</v>
      </c>
      <c r="R52" s="182">
        <v>31.64</v>
      </c>
      <c r="AL52" s="182">
        <v>701.24</v>
      </c>
      <c r="AM52" s="182">
        <v>0</v>
      </c>
      <c r="AP52" s="182">
        <v>701.24</v>
      </c>
      <c r="AQ52" s="182">
        <v>134</v>
      </c>
      <c r="AR52" s="182">
        <v>0</v>
      </c>
      <c r="AV52" s="182">
        <v>567.24</v>
      </c>
      <c r="AW52" s="182">
        <v>80.349999999999994</v>
      </c>
      <c r="AX52" s="182">
        <v>0</v>
      </c>
      <c r="AY52" s="182">
        <v>0</v>
      </c>
      <c r="BC52" s="488" t="s">
        <v>1303</v>
      </c>
      <c r="BD52" s="491"/>
      <c r="BE52" s="491"/>
      <c r="BF52" s="491"/>
      <c r="BG52" s="491">
        <v>1141.3699999999999</v>
      </c>
      <c r="BH52" s="491"/>
      <c r="BI52" s="491"/>
      <c r="BJ52" s="491"/>
      <c r="BK52" s="491"/>
      <c r="BL52" s="491"/>
      <c r="BM52" s="491"/>
      <c r="BN52" s="491"/>
      <c r="BO52" s="491">
        <v>1141.3699999999999</v>
      </c>
      <c r="BP52"/>
    </row>
    <row r="53" spans="1:68" x14ac:dyDescent="0.25">
      <c r="A53" s="490" t="s">
        <v>1269</v>
      </c>
      <c r="B53" s="180">
        <v>7198283</v>
      </c>
      <c r="C53" s="180" t="s">
        <v>951</v>
      </c>
      <c r="D53" s="180" t="s">
        <v>952</v>
      </c>
      <c r="E53" s="180" t="s">
        <v>983</v>
      </c>
      <c r="F53" s="180" t="s">
        <v>712</v>
      </c>
      <c r="G53" s="180" t="s">
        <v>1276</v>
      </c>
      <c r="H53" s="182">
        <v>659.06</v>
      </c>
      <c r="I53" s="182">
        <v>762.74</v>
      </c>
      <c r="J53" s="180">
        <v>19.25</v>
      </c>
      <c r="N53" s="182">
        <v>24.6</v>
      </c>
      <c r="AL53" s="182">
        <v>683.66</v>
      </c>
      <c r="AM53" s="182">
        <v>0</v>
      </c>
      <c r="AP53" s="182">
        <v>683.66</v>
      </c>
      <c r="AQ53" s="182">
        <v>114</v>
      </c>
      <c r="AR53" s="182">
        <v>0</v>
      </c>
      <c r="AV53" s="182">
        <v>569.66</v>
      </c>
      <c r="AW53" s="182">
        <v>79.08</v>
      </c>
      <c r="AX53" s="182">
        <v>0</v>
      </c>
      <c r="AY53" s="182">
        <v>0</v>
      </c>
      <c r="BC53" s="488" t="s">
        <v>1305</v>
      </c>
      <c r="BD53" s="491">
        <v>224</v>
      </c>
      <c r="BE53" s="491">
        <v>1141</v>
      </c>
      <c r="BF53" s="491">
        <v>448</v>
      </c>
      <c r="BG53" s="491">
        <v>672</v>
      </c>
      <c r="BH53" s="491">
        <v>616</v>
      </c>
      <c r="BI53" s="491"/>
      <c r="BJ53" s="491"/>
      <c r="BK53" s="491"/>
      <c r="BL53" s="491"/>
      <c r="BM53" s="491"/>
      <c r="BN53" s="491"/>
      <c r="BO53" s="491">
        <v>3101</v>
      </c>
      <c r="BP53"/>
    </row>
    <row r="54" spans="1:68" x14ac:dyDescent="0.25">
      <c r="A54" s="490" t="s">
        <v>1265</v>
      </c>
      <c r="B54" s="180">
        <v>7198283</v>
      </c>
      <c r="C54" s="180" t="s">
        <v>951</v>
      </c>
      <c r="D54" s="180" t="s">
        <v>952</v>
      </c>
      <c r="E54" s="180" t="s">
        <v>983</v>
      </c>
      <c r="F54" s="180" t="s">
        <v>712</v>
      </c>
      <c r="G54" s="180" t="s">
        <v>1276</v>
      </c>
      <c r="H54" s="182">
        <v>1107.23</v>
      </c>
      <c r="I54" s="182">
        <v>1313.91</v>
      </c>
      <c r="J54" s="180">
        <v>33</v>
      </c>
      <c r="N54" s="182">
        <v>73.81</v>
      </c>
      <c r="AL54" s="182">
        <v>1181.04</v>
      </c>
      <c r="AM54" s="182">
        <v>0</v>
      </c>
      <c r="AP54" s="182">
        <v>1181.04</v>
      </c>
      <c r="AQ54" s="182">
        <v>244</v>
      </c>
      <c r="AR54" s="182">
        <v>0</v>
      </c>
      <c r="AV54" s="182">
        <v>937.04</v>
      </c>
      <c r="AW54" s="182">
        <v>132.87</v>
      </c>
      <c r="AX54" s="182">
        <v>0</v>
      </c>
      <c r="AY54" s="182">
        <v>0</v>
      </c>
      <c r="BC54" s="488" t="s">
        <v>728</v>
      </c>
      <c r="BD54" s="491"/>
      <c r="BE54" s="491"/>
      <c r="BF54" s="491">
        <v>3135.25</v>
      </c>
      <c r="BG54" s="491">
        <v>1587.85</v>
      </c>
      <c r="BH54" s="491"/>
      <c r="BI54" s="491"/>
      <c r="BJ54" s="491"/>
      <c r="BK54" s="491"/>
      <c r="BL54" s="491">
        <v>814.89</v>
      </c>
      <c r="BM54" s="491"/>
      <c r="BN54" s="491"/>
      <c r="BO54" s="491">
        <v>5537.9900000000007</v>
      </c>
      <c r="BP54"/>
    </row>
    <row r="55" spans="1:68" x14ac:dyDescent="0.25">
      <c r="A55" s="490" t="s">
        <v>1271</v>
      </c>
      <c r="B55" s="180">
        <v>7198283</v>
      </c>
      <c r="C55" s="180" t="s">
        <v>951</v>
      </c>
      <c r="D55" s="180" t="s">
        <v>952</v>
      </c>
      <c r="E55" s="180" t="s">
        <v>983</v>
      </c>
      <c r="F55" s="180" t="s">
        <v>712</v>
      </c>
      <c r="G55" s="180" t="s">
        <v>1276</v>
      </c>
      <c r="H55" s="182">
        <v>764.51</v>
      </c>
      <c r="I55" s="182">
        <v>856.25</v>
      </c>
      <c r="J55" s="180">
        <v>21.75</v>
      </c>
      <c r="AL55" s="182">
        <v>764.51</v>
      </c>
      <c r="AM55" s="182">
        <v>0</v>
      </c>
      <c r="AP55" s="182">
        <v>764.51</v>
      </c>
      <c r="AQ55" s="182">
        <v>134</v>
      </c>
      <c r="AR55" s="182">
        <v>0</v>
      </c>
      <c r="AV55" s="182">
        <v>630.51</v>
      </c>
      <c r="AW55" s="182">
        <v>91.74</v>
      </c>
      <c r="AX55" s="182">
        <v>0</v>
      </c>
      <c r="AY55" s="182">
        <v>0</v>
      </c>
      <c r="BC55" s="488" t="s">
        <v>1314</v>
      </c>
      <c r="BD55" s="491">
        <v>170.24</v>
      </c>
      <c r="BE55" s="491"/>
      <c r="BF55" s="491"/>
      <c r="BG55" s="491"/>
      <c r="BH55" s="491"/>
      <c r="BI55" s="491">
        <v>170.24</v>
      </c>
      <c r="BJ55" s="491"/>
      <c r="BK55" s="491"/>
      <c r="BL55" s="491"/>
      <c r="BM55" s="491"/>
      <c r="BN55" s="491"/>
      <c r="BO55" s="491">
        <v>340.48</v>
      </c>
      <c r="BP55"/>
    </row>
    <row r="56" spans="1:68" x14ac:dyDescent="0.25">
      <c r="A56" s="490" t="s">
        <v>1273</v>
      </c>
      <c r="B56" s="180">
        <v>7198283</v>
      </c>
      <c r="C56" s="180" t="s">
        <v>951</v>
      </c>
      <c r="D56" s="180" t="s">
        <v>952</v>
      </c>
      <c r="E56" s="180" t="s">
        <v>983</v>
      </c>
      <c r="F56" s="180" t="s">
        <v>712</v>
      </c>
      <c r="G56" s="180" t="s">
        <v>1276</v>
      </c>
      <c r="H56" s="182">
        <v>562.4</v>
      </c>
      <c r="I56" s="182">
        <v>629.89</v>
      </c>
      <c r="J56" s="180">
        <v>16</v>
      </c>
      <c r="AL56" s="182">
        <v>562.4</v>
      </c>
      <c r="AM56" s="182">
        <v>0</v>
      </c>
      <c r="AP56" s="182">
        <v>562.4</v>
      </c>
      <c r="AQ56" s="182">
        <v>104</v>
      </c>
      <c r="AR56" s="182">
        <v>0</v>
      </c>
      <c r="AV56" s="182">
        <v>458.4</v>
      </c>
      <c r="AW56" s="182">
        <v>67.489999999999995</v>
      </c>
      <c r="AX56" s="182">
        <v>0</v>
      </c>
      <c r="AY56" s="182">
        <v>0</v>
      </c>
      <c r="BC56" s="488" t="s">
        <v>524</v>
      </c>
      <c r="BD56" s="491">
        <v>1555.6000000000001</v>
      </c>
      <c r="BE56" s="491">
        <v>12582.59</v>
      </c>
      <c r="BF56" s="491">
        <v>20101.400000000001</v>
      </c>
      <c r="BG56" s="491">
        <v>11461.980000000001</v>
      </c>
      <c r="BH56" s="491">
        <v>3819.5699999999997</v>
      </c>
      <c r="BI56" s="491">
        <v>17862.45</v>
      </c>
      <c r="BJ56" s="491">
        <v>3687.57</v>
      </c>
      <c r="BK56" s="491">
        <v>7520.01</v>
      </c>
      <c r="BL56" s="491">
        <v>3742.94</v>
      </c>
      <c r="BM56" s="491">
        <v>5757.91</v>
      </c>
      <c r="BN56" s="491">
        <v>457.04</v>
      </c>
      <c r="BO56" s="491">
        <v>88549.06</v>
      </c>
    </row>
    <row r="57" spans="1:68" x14ac:dyDescent="0.25">
      <c r="A57" s="490" t="s">
        <v>1274</v>
      </c>
      <c r="B57" s="180">
        <v>7198283</v>
      </c>
      <c r="C57" s="180" t="s">
        <v>951</v>
      </c>
      <c r="D57" s="180" t="s">
        <v>952</v>
      </c>
      <c r="E57" s="180" t="s">
        <v>983</v>
      </c>
      <c r="F57" s="180" t="s">
        <v>712</v>
      </c>
      <c r="G57" s="180" t="s">
        <v>1276</v>
      </c>
      <c r="H57" s="182">
        <v>474.52</v>
      </c>
      <c r="I57" s="182">
        <v>605.28</v>
      </c>
      <c r="J57" s="180">
        <v>15</v>
      </c>
      <c r="N57" s="182">
        <v>73.819999999999993</v>
      </c>
      <c r="AL57" s="182">
        <v>548.34</v>
      </c>
      <c r="AM57" s="182">
        <v>0</v>
      </c>
      <c r="AP57" s="182">
        <v>548.34</v>
      </c>
      <c r="AQ57" s="182">
        <v>100</v>
      </c>
      <c r="AR57" s="182">
        <v>0</v>
      </c>
      <c r="AV57" s="182">
        <v>448.34</v>
      </c>
      <c r="AW57" s="182">
        <v>56.94</v>
      </c>
      <c r="AX57" s="182">
        <v>0</v>
      </c>
      <c r="AY57" s="182">
        <v>0</v>
      </c>
    </row>
    <row r="58" spans="1:68" x14ac:dyDescent="0.25">
      <c r="A58" s="490" t="s">
        <v>1268</v>
      </c>
      <c r="B58" s="180">
        <v>12097319</v>
      </c>
      <c r="C58" s="180" t="s">
        <v>786</v>
      </c>
      <c r="D58" s="180" t="s">
        <v>1287</v>
      </c>
      <c r="E58" s="180" t="s">
        <v>983</v>
      </c>
      <c r="F58" s="180" t="s">
        <v>376</v>
      </c>
      <c r="G58" s="180" t="s">
        <v>1020</v>
      </c>
      <c r="H58" s="182">
        <v>1195.0999999999999</v>
      </c>
      <c r="I58" s="182">
        <v>1338.52</v>
      </c>
      <c r="J58" s="180">
        <v>34</v>
      </c>
      <c r="AL58" s="182">
        <v>1195.0999999999999</v>
      </c>
      <c r="AM58" s="182">
        <v>0</v>
      </c>
      <c r="AP58" s="182">
        <v>1195.0999999999999</v>
      </c>
      <c r="AQ58" s="182">
        <v>0</v>
      </c>
      <c r="AR58" s="182">
        <v>0</v>
      </c>
      <c r="AV58" s="182">
        <v>1195.0999999999999</v>
      </c>
      <c r="AW58" s="182">
        <v>143.41999999999999</v>
      </c>
      <c r="AX58" s="182">
        <v>0</v>
      </c>
      <c r="AY58" s="182">
        <v>0</v>
      </c>
      <c r="BC58" s="487" t="s">
        <v>253</v>
      </c>
      <c r="BD58" t="s">
        <v>695</v>
      </c>
      <c r="BE58"/>
      <c r="BF58"/>
      <c r="BG58"/>
      <c r="BH58"/>
      <c r="BI58"/>
      <c r="BJ58"/>
      <c r="BK58"/>
      <c r="BL58"/>
      <c r="BM58"/>
      <c r="BN58"/>
      <c r="BO58"/>
      <c r="BP58"/>
    </row>
    <row r="59" spans="1:68" x14ac:dyDescent="0.25">
      <c r="A59" s="490" t="s">
        <v>1269</v>
      </c>
      <c r="B59" s="180">
        <v>12097319</v>
      </c>
      <c r="C59" s="180" t="s">
        <v>786</v>
      </c>
      <c r="D59" s="180" t="s">
        <v>1287</v>
      </c>
      <c r="E59" s="180" t="s">
        <v>983</v>
      </c>
      <c r="F59" s="180" t="s">
        <v>376</v>
      </c>
      <c r="G59" s="180" t="s">
        <v>1020</v>
      </c>
      <c r="H59" s="182">
        <v>1247.83</v>
      </c>
      <c r="I59" s="182">
        <v>1397.57</v>
      </c>
      <c r="J59" s="180">
        <v>35.5</v>
      </c>
      <c r="AL59" s="182">
        <v>1247.83</v>
      </c>
      <c r="AM59" s="182">
        <v>0</v>
      </c>
      <c r="AP59" s="182">
        <v>1247.83</v>
      </c>
      <c r="AQ59" s="182">
        <v>2</v>
      </c>
      <c r="AR59" s="182">
        <v>0</v>
      </c>
      <c r="AV59" s="182">
        <v>1245.83</v>
      </c>
      <c r="AW59" s="182">
        <v>149.74</v>
      </c>
      <c r="AX59" s="182">
        <v>0</v>
      </c>
      <c r="AY59" s="182">
        <v>0</v>
      </c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</row>
    <row r="60" spans="1:68" x14ac:dyDescent="0.25">
      <c r="A60" s="490" t="s">
        <v>1263</v>
      </c>
      <c r="B60" s="180">
        <v>12097319</v>
      </c>
      <c r="C60" s="180" t="s">
        <v>786</v>
      </c>
      <c r="D60" s="180" t="s">
        <v>1287</v>
      </c>
      <c r="E60" s="180" t="s">
        <v>983</v>
      </c>
      <c r="F60" s="180" t="s">
        <v>376</v>
      </c>
      <c r="G60" s="180" t="s">
        <v>1020</v>
      </c>
      <c r="H60" s="182">
        <v>140.6</v>
      </c>
      <c r="I60" s="182">
        <v>157.47</v>
      </c>
      <c r="J60" s="180">
        <v>4</v>
      </c>
      <c r="AL60" s="182">
        <v>140.6</v>
      </c>
      <c r="AM60" s="182">
        <v>0</v>
      </c>
      <c r="AP60" s="182">
        <v>140.6</v>
      </c>
      <c r="AQ60" s="182">
        <v>0</v>
      </c>
      <c r="AR60" s="182">
        <v>0</v>
      </c>
      <c r="AV60" s="182">
        <v>140.6</v>
      </c>
      <c r="AW60" s="182">
        <v>16.87</v>
      </c>
      <c r="AX60" s="182">
        <v>0</v>
      </c>
      <c r="AY60" s="182">
        <v>0</v>
      </c>
      <c r="BC60" s="487" t="s">
        <v>979</v>
      </c>
      <c r="BD60" s="487" t="s">
        <v>973</v>
      </c>
      <c r="BE60"/>
      <c r="BF60"/>
      <c r="BG60"/>
      <c r="BH60"/>
      <c r="BI60"/>
      <c r="BJ60"/>
      <c r="BK60"/>
      <c r="BL60"/>
      <c r="BM60"/>
      <c r="BN60"/>
      <c r="BO60"/>
      <c r="BP60"/>
    </row>
    <row r="61" spans="1:68" x14ac:dyDescent="0.25">
      <c r="A61" s="490" t="s">
        <v>1265</v>
      </c>
      <c r="B61" s="180">
        <v>12097319</v>
      </c>
      <c r="C61" s="180" t="s">
        <v>786</v>
      </c>
      <c r="D61" s="180" t="s">
        <v>1287</v>
      </c>
      <c r="E61" s="180" t="s">
        <v>983</v>
      </c>
      <c r="F61" s="180" t="s">
        <v>376</v>
      </c>
      <c r="G61" s="180" t="s">
        <v>1020</v>
      </c>
      <c r="H61" s="182">
        <v>298.77999999999997</v>
      </c>
      <c r="I61" s="182">
        <v>334.63</v>
      </c>
      <c r="J61" s="180">
        <v>8.5</v>
      </c>
      <c r="AL61" s="182">
        <v>298.77999999999997</v>
      </c>
      <c r="AM61" s="182">
        <v>0</v>
      </c>
      <c r="AP61" s="182">
        <v>298.77999999999997</v>
      </c>
      <c r="AQ61" s="182">
        <v>0</v>
      </c>
      <c r="AR61" s="182">
        <v>0</v>
      </c>
      <c r="AV61" s="182">
        <v>298.77999999999997</v>
      </c>
      <c r="AW61" s="182">
        <v>35.85</v>
      </c>
      <c r="AX61" s="182">
        <v>0</v>
      </c>
      <c r="AY61" s="182">
        <v>0</v>
      </c>
      <c r="BC61" s="487" t="s">
        <v>972</v>
      </c>
      <c r="BD61" t="s">
        <v>1277</v>
      </c>
      <c r="BE61" t="s">
        <v>1269</v>
      </c>
      <c r="BF61" t="s">
        <v>1265</v>
      </c>
      <c r="BG61" t="s">
        <v>1263</v>
      </c>
      <c r="BH61" t="s">
        <v>1275</v>
      </c>
      <c r="BI61" t="s">
        <v>1274</v>
      </c>
      <c r="BJ61" t="s">
        <v>1271</v>
      </c>
      <c r="BK61" t="s">
        <v>1273</v>
      </c>
      <c r="BL61" t="s">
        <v>1268</v>
      </c>
      <c r="BM61" t="s">
        <v>1266</v>
      </c>
      <c r="BN61" t="s">
        <v>524</v>
      </c>
      <c r="BO61"/>
      <c r="BP61"/>
    </row>
    <row r="62" spans="1:68" x14ac:dyDescent="0.25">
      <c r="A62" s="490" t="s">
        <v>1272</v>
      </c>
      <c r="B62" s="180">
        <v>12097319</v>
      </c>
      <c r="C62" s="180" t="s">
        <v>786</v>
      </c>
      <c r="D62" s="180" t="s">
        <v>1287</v>
      </c>
      <c r="E62" s="180" t="s">
        <v>983</v>
      </c>
      <c r="F62" s="180" t="s">
        <v>376</v>
      </c>
      <c r="G62" s="180" t="s">
        <v>1020</v>
      </c>
      <c r="H62" s="182">
        <v>826.03</v>
      </c>
      <c r="I62" s="182">
        <v>925.15</v>
      </c>
      <c r="J62" s="180">
        <v>23.5</v>
      </c>
      <c r="AL62" s="182">
        <v>826.03</v>
      </c>
      <c r="AM62" s="182">
        <v>0</v>
      </c>
      <c r="AP62" s="182">
        <v>826.03</v>
      </c>
      <c r="AQ62" s="182">
        <v>0</v>
      </c>
      <c r="AR62" s="182">
        <v>0</v>
      </c>
      <c r="AV62" s="182">
        <v>826.03</v>
      </c>
      <c r="AW62" s="182">
        <v>99.12</v>
      </c>
      <c r="AX62" s="182">
        <v>0</v>
      </c>
      <c r="AY62" s="182">
        <v>0</v>
      </c>
      <c r="BC62" s="488" t="s">
        <v>1278</v>
      </c>
      <c r="BD62" s="491"/>
      <c r="BE62" s="491">
        <v>162.4</v>
      </c>
      <c r="BF62" s="491">
        <v>730.8</v>
      </c>
      <c r="BG62" s="491"/>
      <c r="BH62" s="491">
        <v>170.77</v>
      </c>
      <c r="BI62" s="491">
        <v>284.2</v>
      </c>
      <c r="BJ62" s="491">
        <v>923.65</v>
      </c>
      <c r="BK62" s="491">
        <v>634.38</v>
      </c>
      <c r="BL62" s="491"/>
      <c r="BM62" s="491"/>
      <c r="BN62" s="491">
        <v>2906.2000000000003</v>
      </c>
      <c r="BO62"/>
      <c r="BP62"/>
    </row>
    <row r="63" spans="1:68" x14ac:dyDescent="0.25">
      <c r="A63" s="490" t="s">
        <v>1273</v>
      </c>
      <c r="B63" s="180">
        <v>12097319</v>
      </c>
      <c r="C63" s="180" t="s">
        <v>786</v>
      </c>
      <c r="D63" s="180" t="s">
        <v>1287</v>
      </c>
      <c r="E63" s="180" t="s">
        <v>983</v>
      </c>
      <c r="F63" s="180" t="s">
        <v>376</v>
      </c>
      <c r="G63" s="180" t="s">
        <v>1020</v>
      </c>
      <c r="H63" s="182">
        <v>175.75</v>
      </c>
      <c r="I63" s="182">
        <v>196.84</v>
      </c>
      <c r="J63" s="180">
        <v>5</v>
      </c>
      <c r="AL63" s="182">
        <v>175.75</v>
      </c>
      <c r="AM63" s="182">
        <v>0</v>
      </c>
      <c r="AP63" s="182">
        <v>175.75</v>
      </c>
      <c r="AQ63" s="182">
        <v>0</v>
      </c>
      <c r="AR63" s="182">
        <v>0</v>
      </c>
      <c r="AV63" s="182">
        <v>175.75</v>
      </c>
      <c r="AW63" s="182">
        <v>21.09</v>
      </c>
      <c r="AX63" s="182">
        <v>0</v>
      </c>
      <c r="AY63" s="182">
        <v>0</v>
      </c>
      <c r="BC63" s="488" t="s">
        <v>1021</v>
      </c>
      <c r="BD63" s="491">
        <v>2195.9499999999998</v>
      </c>
      <c r="BE63" s="491">
        <v>3711.34</v>
      </c>
      <c r="BF63" s="491">
        <v>1615.96</v>
      </c>
      <c r="BG63" s="491"/>
      <c r="BH63" s="491">
        <v>234.79</v>
      </c>
      <c r="BI63" s="491">
        <v>1505.46</v>
      </c>
      <c r="BJ63" s="491">
        <v>883.94</v>
      </c>
      <c r="BK63" s="491">
        <v>441.97</v>
      </c>
      <c r="BL63" s="491"/>
      <c r="BM63" s="491"/>
      <c r="BN63" s="491">
        <v>10589.41</v>
      </c>
      <c r="BO63"/>
      <c r="BP63"/>
    </row>
    <row r="64" spans="1:68" x14ac:dyDescent="0.25">
      <c r="A64" s="490" t="s">
        <v>1274</v>
      </c>
      <c r="B64" s="180">
        <v>12097319</v>
      </c>
      <c r="C64" s="180" t="s">
        <v>786</v>
      </c>
      <c r="D64" s="180" t="s">
        <v>1287</v>
      </c>
      <c r="E64" s="180" t="s">
        <v>983</v>
      </c>
      <c r="F64" s="180" t="s">
        <v>376</v>
      </c>
      <c r="G64" s="180" t="s">
        <v>1020</v>
      </c>
      <c r="H64" s="182">
        <v>175.75</v>
      </c>
      <c r="I64" s="182">
        <v>196.84</v>
      </c>
      <c r="J64" s="180">
        <v>5</v>
      </c>
      <c r="AL64" s="182">
        <v>175.75</v>
      </c>
      <c r="AM64" s="182">
        <v>0</v>
      </c>
      <c r="AP64" s="182">
        <v>175.75</v>
      </c>
      <c r="AQ64" s="182">
        <v>0</v>
      </c>
      <c r="AR64" s="182">
        <v>0</v>
      </c>
      <c r="AV64" s="182">
        <v>175.75</v>
      </c>
      <c r="AW64" s="182">
        <v>21.09</v>
      </c>
      <c r="AX64" s="182">
        <v>0</v>
      </c>
      <c r="AY64" s="182">
        <v>0</v>
      </c>
      <c r="BC64" s="488" t="s">
        <v>693</v>
      </c>
      <c r="BD64" s="491">
        <v>932.29</v>
      </c>
      <c r="BE64" s="491">
        <v>1841.97</v>
      </c>
      <c r="BF64" s="491">
        <v>1651.47</v>
      </c>
      <c r="BG64" s="491">
        <v>180.8</v>
      </c>
      <c r="BH64" s="491">
        <v>587.62</v>
      </c>
      <c r="BI64" s="491"/>
      <c r="BJ64" s="491">
        <v>723.23</v>
      </c>
      <c r="BK64" s="491"/>
      <c r="BL64" s="491">
        <v>474.61</v>
      </c>
      <c r="BM64" s="491">
        <v>1169.5899999999999</v>
      </c>
      <c r="BN64" s="491">
        <v>7561.5800000000008</v>
      </c>
      <c r="BO64"/>
      <c r="BP64"/>
    </row>
    <row r="65" spans="1:68" x14ac:dyDescent="0.25">
      <c r="A65" s="490" t="s">
        <v>1272</v>
      </c>
      <c r="B65" s="180">
        <v>13135316</v>
      </c>
      <c r="C65" s="180" t="s">
        <v>1288</v>
      </c>
      <c r="D65" s="180" t="s">
        <v>1289</v>
      </c>
      <c r="E65" s="180" t="s">
        <v>983</v>
      </c>
      <c r="F65" s="180" t="s">
        <v>712</v>
      </c>
      <c r="G65" s="180" t="s">
        <v>1276</v>
      </c>
      <c r="H65" s="182">
        <v>509.68</v>
      </c>
      <c r="I65" s="182">
        <v>570.84</v>
      </c>
      <c r="J65" s="180">
        <v>14.5</v>
      </c>
      <c r="AL65" s="182">
        <v>509.68</v>
      </c>
      <c r="AM65" s="182">
        <v>0</v>
      </c>
      <c r="AP65" s="182">
        <v>509.68</v>
      </c>
      <c r="AQ65" s="182">
        <v>0</v>
      </c>
      <c r="AR65" s="182">
        <v>0</v>
      </c>
      <c r="AV65" s="182">
        <v>509.68</v>
      </c>
      <c r="AW65" s="182">
        <v>61.16</v>
      </c>
      <c r="AX65" s="182">
        <v>0</v>
      </c>
      <c r="AY65" s="182">
        <v>0</v>
      </c>
      <c r="BC65" s="488" t="s">
        <v>524</v>
      </c>
      <c r="BD65" s="491">
        <v>3128.24</v>
      </c>
      <c r="BE65" s="491">
        <v>5715.71</v>
      </c>
      <c r="BF65" s="491">
        <v>3998.2300000000005</v>
      </c>
      <c r="BG65" s="491">
        <v>180.8</v>
      </c>
      <c r="BH65" s="491">
        <v>993.18000000000006</v>
      </c>
      <c r="BI65" s="491">
        <v>1789.66</v>
      </c>
      <c r="BJ65" s="491">
        <v>2530.8200000000002</v>
      </c>
      <c r="BK65" s="491">
        <v>1076.3499999999999</v>
      </c>
      <c r="BL65" s="491">
        <v>474.61</v>
      </c>
      <c r="BM65" s="491">
        <v>1169.5899999999999</v>
      </c>
      <c r="BN65" s="491">
        <v>21057.190000000002</v>
      </c>
      <c r="BO65"/>
      <c r="BP65"/>
    </row>
    <row r="66" spans="1:68" x14ac:dyDescent="0.25">
      <c r="A66" s="490" t="s">
        <v>1273</v>
      </c>
      <c r="B66" s="180">
        <v>13135316</v>
      </c>
      <c r="C66" s="180" t="s">
        <v>1288</v>
      </c>
      <c r="D66" s="180" t="s">
        <v>1289</v>
      </c>
      <c r="E66" s="180" t="s">
        <v>983</v>
      </c>
      <c r="F66" s="180" t="s">
        <v>712</v>
      </c>
      <c r="G66" s="180" t="s">
        <v>1276</v>
      </c>
      <c r="H66" s="182">
        <v>1265.4000000000001</v>
      </c>
      <c r="I66" s="182">
        <v>1417.25</v>
      </c>
      <c r="J66" s="180">
        <v>36</v>
      </c>
      <c r="AL66" s="182">
        <v>1265.4000000000001</v>
      </c>
      <c r="AM66" s="182">
        <v>0</v>
      </c>
      <c r="AP66" s="182">
        <v>1265.4000000000001</v>
      </c>
      <c r="AQ66" s="182">
        <v>20</v>
      </c>
      <c r="AR66" s="182">
        <v>0</v>
      </c>
      <c r="AV66" s="182">
        <v>1245.4000000000001</v>
      </c>
      <c r="AW66" s="182">
        <v>151.85</v>
      </c>
      <c r="AX66" s="182">
        <v>0</v>
      </c>
      <c r="AY66" s="182">
        <v>0</v>
      </c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</row>
    <row r="67" spans="1:68" x14ac:dyDescent="0.25">
      <c r="A67" s="490" t="s">
        <v>1274</v>
      </c>
      <c r="B67" s="180">
        <v>13135316</v>
      </c>
      <c r="C67" s="180" t="s">
        <v>1288</v>
      </c>
      <c r="D67" s="180" t="s">
        <v>1289</v>
      </c>
      <c r="E67" s="180" t="s">
        <v>983</v>
      </c>
      <c r="F67" s="180" t="s">
        <v>712</v>
      </c>
      <c r="G67" s="180" t="s">
        <v>1276</v>
      </c>
      <c r="H67" s="182">
        <v>1546.6</v>
      </c>
      <c r="I67" s="182">
        <v>1732.19</v>
      </c>
      <c r="J67" s="180">
        <v>44</v>
      </c>
      <c r="AL67" s="182">
        <v>1546.6</v>
      </c>
      <c r="AM67" s="182">
        <v>0</v>
      </c>
      <c r="AP67" s="182">
        <v>1546.6</v>
      </c>
      <c r="AQ67" s="182">
        <v>164</v>
      </c>
      <c r="AR67" s="182">
        <v>0</v>
      </c>
      <c r="AV67" s="182">
        <v>1382.6</v>
      </c>
      <c r="AW67" s="182">
        <v>185.59</v>
      </c>
      <c r="AX67" s="182">
        <v>0</v>
      </c>
      <c r="AY67" s="182">
        <v>0</v>
      </c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</row>
    <row r="68" spans="1:68" x14ac:dyDescent="0.25">
      <c r="A68" s="490" t="s">
        <v>1263</v>
      </c>
      <c r="B68" s="180">
        <v>12271906</v>
      </c>
      <c r="C68" s="180" t="s">
        <v>953</v>
      </c>
      <c r="D68" s="180" t="s">
        <v>1290</v>
      </c>
      <c r="E68" s="180" t="s">
        <v>983</v>
      </c>
      <c r="F68" s="180" t="s">
        <v>376</v>
      </c>
      <c r="G68" s="180" t="s">
        <v>1020</v>
      </c>
      <c r="H68" s="182">
        <v>210.9</v>
      </c>
      <c r="I68" s="182">
        <v>236.21</v>
      </c>
      <c r="J68" s="180">
        <v>6</v>
      </c>
      <c r="AL68" s="182">
        <v>210.9</v>
      </c>
      <c r="AM68" s="182">
        <v>0</v>
      </c>
      <c r="AP68" s="182">
        <v>210.9</v>
      </c>
      <c r="AQ68" s="182">
        <v>34</v>
      </c>
      <c r="AR68" s="182">
        <v>0</v>
      </c>
      <c r="AV68" s="182">
        <v>176.9</v>
      </c>
      <c r="AW68" s="182">
        <v>25.31</v>
      </c>
      <c r="AX68" s="182">
        <v>0</v>
      </c>
      <c r="AY68" s="182">
        <v>0</v>
      </c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</row>
    <row r="69" spans="1:68" x14ac:dyDescent="0.25">
      <c r="A69" s="490" t="s">
        <v>1265</v>
      </c>
      <c r="B69" s="180">
        <v>12271906</v>
      </c>
      <c r="C69" s="180" t="s">
        <v>953</v>
      </c>
      <c r="D69" s="180" t="s">
        <v>1290</v>
      </c>
      <c r="E69" s="180" t="s">
        <v>983</v>
      </c>
      <c r="F69" s="180" t="s">
        <v>376</v>
      </c>
      <c r="G69" s="180" t="s">
        <v>1020</v>
      </c>
      <c r="H69" s="182">
        <v>2355.0500000000002</v>
      </c>
      <c r="I69" s="182">
        <v>2637.65</v>
      </c>
      <c r="J69" s="180">
        <v>67</v>
      </c>
      <c r="AL69" s="182">
        <v>2355.0500000000002</v>
      </c>
      <c r="AM69" s="182">
        <v>0</v>
      </c>
      <c r="AP69" s="182">
        <v>2355.0500000000002</v>
      </c>
      <c r="AQ69" s="182">
        <v>576</v>
      </c>
      <c r="AR69" s="182">
        <v>30</v>
      </c>
      <c r="AV69" s="182">
        <v>1749.05</v>
      </c>
      <c r="AW69" s="182">
        <v>282.60000000000002</v>
      </c>
      <c r="AX69" s="182">
        <v>0</v>
      </c>
      <c r="AY69" s="182">
        <v>0</v>
      </c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</row>
    <row r="70" spans="1:68" x14ac:dyDescent="0.25">
      <c r="A70" s="490" t="s">
        <v>1271</v>
      </c>
      <c r="B70" s="180">
        <v>12271906</v>
      </c>
      <c r="C70" s="180" t="s">
        <v>953</v>
      </c>
      <c r="D70" s="180" t="s">
        <v>1290</v>
      </c>
      <c r="E70" s="180" t="s">
        <v>983</v>
      </c>
      <c r="F70" s="180" t="s">
        <v>376</v>
      </c>
      <c r="G70" s="180" t="s">
        <v>1020</v>
      </c>
      <c r="H70" s="182">
        <v>1318.12</v>
      </c>
      <c r="I70" s="182">
        <v>1476.3</v>
      </c>
      <c r="J70" s="180">
        <v>37.5</v>
      </c>
      <c r="AL70" s="182">
        <v>1318.12</v>
      </c>
      <c r="AM70" s="182">
        <v>0</v>
      </c>
      <c r="AP70" s="182">
        <v>1318.12</v>
      </c>
      <c r="AQ70" s="182">
        <v>290</v>
      </c>
      <c r="AR70" s="182">
        <v>0</v>
      </c>
      <c r="AV70" s="182">
        <v>1028.1199999999999</v>
      </c>
      <c r="AW70" s="182">
        <v>158.18</v>
      </c>
      <c r="AX70" s="182">
        <v>0</v>
      </c>
      <c r="AY70" s="182">
        <v>0</v>
      </c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</row>
    <row r="71" spans="1:68" x14ac:dyDescent="0.25">
      <c r="A71" s="490" t="s">
        <v>1272</v>
      </c>
      <c r="B71" s="180">
        <v>12271906</v>
      </c>
      <c r="C71" s="180" t="s">
        <v>953</v>
      </c>
      <c r="D71" s="180" t="s">
        <v>1290</v>
      </c>
      <c r="E71" s="180" t="s">
        <v>983</v>
      </c>
      <c r="F71" s="180" t="s">
        <v>376</v>
      </c>
      <c r="G71" s="180" t="s">
        <v>1020</v>
      </c>
      <c r="H71" s="182">
        <v>2179.3000000000002</v>
      </c>
      <c r="I71" s="182">
        <v>2440.81</v>
      </c>
      <c r="J71" s="180">
        <v>62</v>
      </c>
      <c r="AL71" s="182">
        <v>2179.3000000000002</v>
      </c>
      <c r="AM71" s="182">
        <v>0</v>
      </c>
      <c r="AP71" s="182">
        <v>2179.3000000000002</v>
      </c>
      <c r="AQ71" s="182">
        <v>454</v>
      </c>
      <c r="AR71" s="182">
        <v>0</v>
      </c>
      <c r="AV71" s="182">
        <v>1725.3</v>
      </c>
      <c r="AW71" s="182">
        <v>261.51</v>
      </c>
      <c r="AX71" s="182">
        <v>0</v>
      </c>
      <c r="AY71" s="182">
        <v>0</v>
      </c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</row>
    <row r="72" spans="1:68" x14ac:dyDescent="0.25">
      <c r="A72" s="490" t="s">
        <v>1274</v>
      </c>
      <c r="B72" s="180">
        <v>12271906</v>
      </c>
      <c r="C72" s="180" t="s">
        <v>953</v>
      </c>
      <c r="D72" s="180" t="s">
        <v>1290</v>
      </c>
      <c r="E72" s="180" t="s">
        <v>983</v>
      </c>
      <c r="F72" s="180" t="s">
        <v>376</v>
      </c>
      <c r="G72" s="180" t="s">
        <v>1020</v>
      </c>
      <c r="H72" s="182">
        <v>263.62</v>
      </c>
      <c r="I72" s="182">
        <v>295.26</v>
      </c>
      <c r="J72" s="180">
        <v>7.5</v>
      </c>
      <c r="AL72" s="182">
        <v>263.62</v>
      </c>
      <c r="AM72" s="182">
        <v>0</v>
      </c>
      <c r="AP72" s="182">
        <v>263.62</v>
      </c>
      <c r="AQ72" s="182">
        <v>42</v>
      </c>
      <c r="AR72" s="182">
        <v>0</v>
      </c>
      <c r="AV72" s="182">
        <v>221.62</v>
      </c>
      <c r="AW72" s="182">
        <v>31.64</v>
      </c>
      <c r="AX72" s="182">
        <v>0</v>
      </c>
      <c r="AY72" s="182">
        <v>0</v>
      </c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</row>
    <row r="73" spans="1:68" x14ac:dyDescent="0.25">
      <c r="A73" s="490" t="s">
        <v>1277</v>
      </c>
      <c r="B73" s="180">
        <v>9587203</v>
      </c>
      <c r="C73" s="180" t="s">
        <v>954</v>
      </c>
      <c r="D73" s="180" t="s">
        <v>955</v>
      </c>
      <c r="E73" s="180" t="s">
        <v>983</v>
      </c>
      <c r="F73" s="180" t="s">
        <v>376</v>
      </c>
      <c r="G73" s="180" t="s">
        <v>1020</v>
      </c>
      <c r="H73" s="182">
        <v>650.28</v>
      </c>
      <c r="I73" s="182">
        <v>740.61</v>
      </c>
      <c r="J73" s="180">
        <v>18.75</v>
      </c>
      <c r="N73" s="182">
        <v>12.3</v>
      </c>
      <c r="AL73" s="182">
        <v>662.58</v>
      </c>
      <c r="AM73" s="182">
        <v>0</v>
      </c>
      <c r="AP73" s="182">
        <v>662.58</v>
      </c>
      <c r="AQ73" s="182">
        <v>108</v>
      </c>
      <c r="AR73" s="182">
        <v>0</v>
      </c>
      <c r="AV73" s="182">
        <v>554.58000000000004</v>
      </c>
      <c r="AW73" s="182">
        <v>78.03</v>
      </c>
      <c r="AX73" s="182">
        <v>0</v>
      </c>
      <c r="AY73" s="182">
        <v>0</v>
      </c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</row>
    <row r="74" spans="1:68" x14ac:dyDescent="0.25">
      <c r="A74" s="490" t="s">
        <v>1266</v>
      </c>
      <c r="B74" s="180">
        <v>9587203</v>
      </c>
      <c r="C74" s="180" t="s">
        <v>954</v>
      </c>
      <c r="D74" s="180" t="s">
        <v>955</v>
      </c>
      <c r="E74" s="180" t="s">
        <v>983</v>
      </c>
      <c r="F74" s="180" t="s">
        <v>376</v>
      </c>
      <c r="G74" s="180" t="s">
        <v>1020</v>
      </c>
      <c r="H74" s="182">
        <v>386.65</v>
      </c>
      <c r="I74" s="182">
        <v>433.05</v>
      </c>
      <c r="J74" s="180">
        <v>11</v>
      </c>
      <c r="AL74" s="182">
        <v>386.65</v>
      </c>
      <c r="AM74" s="182">
        <v>0</v>
      </c>
      <c r="AP74" s="182">
        <v>386.65</v>
      </c>
      <c r="AQ74" s="182">
        <v>62</v>
      </c>
      <c r="AR74" s="182">
        <v>0</v>
      </c>
      <c r="AV74" s="182">
        <v>324.64999999999998</v>
      </c>
      <c r="AW74" s="182">
        <v>46.4</v>
      </c>
      <c r="AX74" s="182">
        <v>0</v>
      </c>
      <c r="AY74" s="182">
        <v>0</v>
      </c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</row>
    <row r="75" spans="1:68" x14ac:dyDescent="0.25">
      <c r="A75" s="490" t="s">
        <v>1267</v>
      </c>
      <c r="B75" s="180">
        <v>9587203</v>
      </c>
      <c r="C75" s="180" t="s">
        <v>954</v>
      </c>
      <c r="D75" s="180" t="s">
        <v>955</v>
      </c>
      <c r="E75" s="180" t="s">
        <v>983</v>
      </c>
      <c r="F75" s="180" t="s">
        <v>376</v>
      </c>
      <c r="G75" s="180" t="s">
        <v>1020</v>
      </c>
      <c r="H75" s="182">
        <v>562.4</v>
      </c>
      <c r="I75" s="182">
        <v>629.88</v>
      </c>
      <c r="J75" s="180">
        <v>16</v>
      </c>
      <c r="AL75" s="182">
        <v>562.4</v>
      </c>
      <c r="AM75" s="182">
        <v>0</v>
      </c>
      <c r="AP75" s="182">
        <v>562.4</v>
      </c>
      <c r="AQ75" s="182">
        <v>88</v>
      </c>
      <c r="AR75" s="182">
        <v>0</v>
      </c>
      <c r="AV75" s="182">
        <v>474.4</v>
      </c>
      <c r="AW75" s="182">
        <v>67.48</v>
      </c>
      <c r="AX75" s="182">
        <v>0</v>
      </c>
      <c r="AY75" s="182">
        <v>0</v>
      </c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</row>
    <row r="76" spans="1:68" x14ac:dyDescent="0.25">
      <c r="A76" s="490" t="s">
        <v>1268</v>
      </c>
      <c r="B76" s="180">
        <v>9587203</v>
      </c>
      <c r="C76" s="180" t="s">
        <v>954</v>
      </c>
      <c r="D76" s="180" t="s">
        <v>955</v>
      </c>
      <c r="E76" s="180" t="s">
        <v>983</v>
      </c>
      <c r="F76" s="180" t="s">
        <v>376</v>
      </c>
      <c r="G76" s="180" t="s">
        <v>1020</v>
      </c>
      <c r="H76" s="182">
        <v>439.38</v>
      </c>
      <c r="I76" s="182">
        <v>492.1</v>
      </c>
      <c r="J76" s="180">
        <v>12.5</v>
      </c>
      <c r="AL76" s="182">
        <v>439.38</v>
      </c>
      <c r="AM76" s="182">
        <v>0</v>
      </c>
      <c r="AP76" s="182">
        <v>439.38</v>
      </c>
      <c r="AQ76" s="182">
        <v>70</v>
      </c>
      <c r="AR76" s="182">
        <v>0</v>
      </c>
      <c r="AV76" s="182">
        <v>369.38</v>
      </c>
      <c r="AW76" s="182">
        <v>52.72</v>
      </c>
      <c r="AX76" s="182">
        <v>0</v>
      </c>
      <c r="AY76" s="182">
        <v>0</v>
      </c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</row>
    <row r="77" spans="1:68" x14ac:dyDescent="0.25">
      <c r="A77" s="490" t="s">
        <v>1269</v>
      </c>
      <c r="B77" s="180">
        <v>9587203</v>
      </c>
      <c r="C77" s="180" t="s">
        <v>954</v>
      </c>
      <c r="D77" s="180" t="s">
        <v>955</v>
      </c>
      <c r="E77" s="180" t="s">
        <v>983</v>
      </c>
      <c r="F77" s="180" t="s">
        <v>376</v>
      </c>
      <c r="G77" s="180" t="s">
        <v>1020</v>
      </c>
      <c r="H77" s="182">
        <v>562.4</v>
      </c>
      <c r="I77" s="182">
        <v>629.89</v>
      </c>
      <c r="J77" s="180">
        <v>16</v>
      </c>
      <c r="AL77" s="182">
        <v>562.4</v>
      </c>
      <c r="AM77" s="182">
        <v>0</v>
      </c>
      <c r="AP77" s="182">
        <v>562.4</v>
      </c>
      <c r="AQ77" s="182">
        <v>96</v>
      </c>
      <c r="AR77" s="182">
        <v>0</v>
      </c>
      <c r="AV77" s="182">
        <v>466.4</v>
      </c>
      <c r="AW77" s="182">
        <v>67.489999999999995</v>
      </c>
      <c r="AX77" s="182">
        <v>0</v>
      </c>
      <c r="AY77" s="182">
        <v>0</v>
      </c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</row>
    <row r="78" spans="1:68" x14ac:dyDescent="0.25">
      <c r="A78" s="490" t="s">
        <v>1263</v>
      </c>
      <c r="B78" s="180">
        <v>9587203</v>
      </c>
      <c r="C78" s="180" t="s">
        <v>954</v>
      </c>
      <c r="D78" s="180" t="s">
        <v>955</v>
      </c>
      <c r="E78" s="180" t="s">
        <v>983</v>
      </c>
      <c r="F78" s="180" t="s">
        <v>376</v>
      </c>
      <c r="G78" s="180" t="s">
        <v>1020</v>
      </c>
      <c r="H78" s="182">
        <v>281.2</v>
      </c>
      <c r="I78" s="182">
        <v>314.94</v>
      </c>
      <c r="J78" s="180">
        <v>8</v>
      </c>
      <c r="AL78" s="182">
        <v>281.2</v>
      </c>
      <c r="AM78" s="182">
        <v>0</v>
      </c>
      <c r="AP78" s="182">
        <v>281.2</v>
      </c>
      <c r="AQ78" s="182">
        <v>44</v>
      </c>
      <c r="AR78" s="182">
        <v>0</v>
      </c>
      <c r="AV78" s="182">
        <v>237.2</v>
      </c>
      <c r="AW78" s="182">
        <v>33.74</v>
      </c>
      <c r="AX78" s="182">
        <v>0</v>
      </c>
      <c r="AY78" s="182">
        <v>0</v>
      </c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</row>
    <row r="79" spans="1:68" x14ac:dyDescent="0.25">
      <c r="A79" s="490" t="s">
        <v>1265</v>
      </c>
      <c r="B79" s="180">
        <v>9587203</v>
      </c>
      <c r="C79" s="180" t="s">
        <v>954</v>
      </c>
      <c r="D79" s="180" t="s">
        <v>955</v>
      </c>
      <c r="E79" s="180" t="s">
        <v>983</v>
      </c>
      <c r="F79" s="180" t="s">
        <v>376</v>
      </c>
      <c r="G79" s="180" t="s">
        <v>1020</v>
      </c>
      <c r="H79" s="182">
        <v>246.05</v>
      </c>
      <c r="I79" s="182">
        <v>275.58</v>
      </c>
      <c r="J79" s="180">
        <v>7</v>
      </c>
      <c r="AL79" s="182">
        <v>246.05</v>
      </c>
      <c r="AM79" s="182">
        <v>0</v>
      </c>
      <c r="AP79" s="182">
        <v>246.05</v>
      </c>
      <c r="AQ79" s="182">
        <v>40</v>
      </c>
      <c r="AR79" s="182">
        <v>0</v>
      </c>
      <c r="AV79" s="182">
        <v>206.05</v>
      </c>
      <c r="AW79" s="182">
        <v>29.53</v>
      </c>
      <c r="AX79" s="182">
        <v>0</v>
      </c>
      <c r="AY79" s="182">
        <v>0</v>
      </c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</row>
    <row r="80" spans="1:68" x14ac:dyDescent="0.25">
      <c r="A80" s="490" t="s">
        <v>1271</v>
      </c>
      <c r="B80" s="180">
        <v>9587203</v>
      </c>
      <c r="C80" s="180" t="s">
        <v>954</v>
      </c>
      <c r="D80" s="180" t="s">
        <v>955</v>
      </c>
      <c r="E80" s="180" t="s">
        <v>983</v>
      </c>
      <c r="F80" s="180" t="s">
        <v>376</v>
      </c>
      <c r="G80" s="180" t="s">
        <v>1020</v>
      </c>
      <c r="H80" s="182">
        <v>140.6</v>
      </c>
      <c r="I80" s="182">
        <v>157.47</v>
      </c>
      <c r="J80" s="180">
        <v>4</v>
      </c>
      <c r="AL80" s="182">
        <v>140.6</v>
      </c>
      <c r="AM80" s="182">
        <v>0</v>
      </c>
      <c r="AP80" s="182">
        <v>140.6</v>
      </c>
      <c r="AQ80" s="182">
        <v>22</v>
      </c>
      <c r="AR80" s="182">
        <v>0</v>
      </c>
      <c r="AV80" s="182">
        <v>118.6</v>
      </c>
      <c r="AW80" s="182">
        <v>16.87</v>
      </c>
      <c r="AX80" s="182">
        <v>0</v>
      </c>
      <c r="AY80" s="182">
        <v>0</v>
      </c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</row>
    <row r="81" spans="1:68" x14ac:dyDescent="0.25">
      <c r="A81" s="490" t="s">
        <v>1272</v>
      </c>
      <c r="B81" s="180">
        <v>9587203</v>
      </c>
      <c r="C81" s="180" t="s">
        <v>954</v>
      </c>
      <c r="D81" s="180" t="s">
        <v>955</v>
      </c>
      <c r="E81" s="180" t="s">
        <v>983</v>
      </c>
      <c r="F81" s="180" t="s">
        <v>376</v>
      </c>
      <c r="G81" s="180" t="s">
        <v>1020</v>
      </c>
      <c r="H81" s="182">
        <v>492.1</v>
      </c>
      <c r="I81" s="182">
        <v>551.15</v>
      </c>
      <c r="J81" s="180">
        <v>14</v>
      </c>
      <c r="AL81" s="182">
        <v>492.1</v>
      </c>
      <c r="AM81" s="182">
        <v>0</v>
      </c>
      <c r="AP81" s="182">
        <v>492.1</v>
      </c>
      <c r="AQ81" s="182">
        <v>90</v>
      </c>
      <c r="AR81" s="182">
        <v>0</v>
      </c>
      <c r="AV81" s="182">
        <v>402.1</v>
      </c>
      <c r="AW81" s="182">
        <v>59.05</v>
      </c>
      <c r="AX81" s="182">
        <v>0</v>
      </c>
      <c r="AY81" s="182">
        <v>0</v>
      </c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</row>
    <row r="82" spans="1:68" x14ac:dyDescent="0.25">
      <c r="A82" s="490" t="s">
        <v>1274</v>
      </c>
      <c r="B82" s="180">
        <v>9587203</v>
      </c>
      <c r="C82" s="180" t="s">
        <v>954</v>
      </c>
      <c r="D82" s="180" t="s">
        <v>955</v>
      </c>
      <c r="E82" s="180" t="s">
        <v>983</v>
      </c>
      <c r="F82" s="180" t="s">
        <v>376</v>
      </c>
      <c r="G82" s="180" t="s">
        <v>1020</v>
      </c>
      <c r="H82" s="182">
        <v>140.6</v>
      </c>
      <c r="I82" s="182">
        <v>157.47</v>
      </c>
      <c r="J82" s="180">
        <v>4</v>
      </c>
      <c r="AL82" s="182">
        <v>140.6</v>
      </c>
      <c r="AM82" s="182">
        <v>0</v>
      </c>
      <c r="AP82" s="182">
        <v>140.6</v>
      </c>
      <c r="AQ82" s="182">
        <v>22</v>
      </c>
      <c r="AR82" s="182">
        <v>0</v>
      </c>
      <c r="AV82" s="182">
        <v>118.6</v>
      </c>
      <c r="AW82" s="182">
        <v>16.87</v>
      </c>
      <c r="AX82" s="182">
        <v>0</v>
      </c>
      <c r="AY82" s="182">
        <v>0</v>
      </c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</row>
    <row r="83" spans="1:68" x14ac:dyDescent="0.25">
      <c r="A83" s="490" t="s">
        <v>1275</v>
      </c>
      <c r="B83" s="180">
        <v>10749213</v>
      </c>
      <c r="C83" s="180" t="s">
        <v>1021</v>
      </c>
      <c r="D83" s="180" t="s">
        <v>1022</v>
      </c>
      <c r="E83" s="180" t="s">
        <v>983</v>
      </c>
      <c r="F83" s="180" t="s">
        <v>695</v>
      </c>
      <c r="G83" s="180" t="s">
        <v>1023</v>
      </c>
      <c r="H83" s="182">
        <v>209.63</v>
      </c>
      <c r="I83" s="182">
        <v>234.79</v>
      </c>
      <c r="J83" s="180">
        <v>4.25</v>
      </c>
      <c r="AL83" s="182">
        <v>209.63</v>
      </c>
      <c r="AM83" s="182">
        <v>0</v>
      </c>
      <c r="AP83" s="182">
        <v>209.63</v>
      </c>
      <c r="AQ83" s="182">
        <v>0</v>
      </c>
      <c r="AR83" s="182">
        <v>0</v>
      </c>
      <c r="AV83" s="182">
        <v>209.63</v>
      </c>
      <c r="AW83" s="182">
        <v>25.16</v>
      </c>
      <c r="AX83" s="182">
        <v>0</v>
      </c>
      <c r="AY83" s="182">
        <v>0</v>
      </c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</row>
    <row r="84" spans="1:68" x14ac:dyDescent="0.25">
      <c r="A84" s="490" t="s">
        <v>1277</v>
      </c>
      <c r="B84" s="180">
        <v>10749213</v>
      </c>
      <c r="C84" s="180" t="s">
        <v>1021</v>
      </c>
      <c r="D84" s="180" t="s">
        <v>1022</v>
      </c>
      <c r="E84" s="180" t="s">
        <v>983</v>
      </c>
      <c r="F84" s="180" t="s">
        <v>695</v>
      </c>
      <c r="G84" s="180" t="s">
        <v>1023</v>
      </c>
      <c r="H84" s="182">
        <v>1899.01</v>
      </c>
      <c r="I84" s="182">
        <v>2195.9499999999998</v>
      </c>
      <c r="J84" s="180">
        <v>39.5</v>
      </c>
      <c r="N84" s="182">
        <v>69.06</v>
      </c>
      <c r="AL84" s="182">
        <v>1968.07</v>
      </c>
      <c r="AM84" s="182">
        <v>0</v>
      </c>
      <c r="AP84" s="182">
        <v>1968.07</v>
      </c>
      <c r="AQ84" s="182">
        <v>120</v>
      </c>
      <c r="AR84" s="182">
        <v>0</v>
      </c>
      <c r="AV84" s="182">
        <v>1848.07</v>
      </c>
      <c r="AW84" s="182">
        <v>227.88</v>
      </c>
      <c r="AX84" s="182">
        <v>0</v>
      </c>
      <c r="AY84" s="182">
        <v>0</v>
      </c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</row>
    <row r="85" spans="1:68" x14ac:dyDescent="0.25">
      <c r="A85" s="490" t="s">
        <v>1269</v>
      </c>
      <c r="B85" s="180">
        <v>10749213</v>
      </c>
      <c r="C85" s="180" t="s">
        <v>1021</v>
      </c>
      <c r="D85" s="180" t="s">
        <v>1022</v>
      </c>
      <c r="E85" s="180" t="s">
        <v>983</v>
      </c>
      <c r="F85" s="180" t="s">
        <v>695</v>
      </c>
      <c r="G85" s="180" t="s">
        <v>1023</v>
      </c>
      <c r="H85" s="182">
        <v>1738.78</v>
      </c>
      <c r="I85" s="182">
        <v>3711.34</v>
      </c>
      <c r="J85" s="180">
        <v>39</v>
      </c>
      <c r="L85" s="182">
        <v>1339.29</v>
      </c>
      <c r="N85" s="182">
        <v>224.44</v>
      </c>
      <c r="O85" s="182">
        <v>39.46</v>
      </c>
      <c r="AL85" s="182">
        <v>3341.97</v>
      </c>
      <c r="AM85" s="182">
        <v>0</v>
      </c>
      <c r="AP85" s="182">
        <v>3341.97</v>
      </c>
      <c r="AQ85" s="182">
        <v>398</v>
      </c>
      <c r="AR85" s="182">
        <v>0</v>
      </c>
      <c r="AV85" s="182">
        <v>2943.97</v>
      </c>
      <c r="AW85" s="182">
        <v>369.37</v>
      </c>
      <c r="AX85" s="182">
        <v>0</v>
      </c>
      <c r="AY85" s="182">
        <v>0</v>
      </c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</row>
    <row r="86" spans="1:68" x14ac:dyDescent="0.25">
      <c r="A86" s="490" t="s">
        <v>1265</v>
      </c>
      <c r="B86" s="180">
        <v>10749213</v>
      </c>
      <c r="C86" s="180" t="s">
        <v>1021</v>
      </c>
      <c r="D86" s="180" t="s">
        <v>1022</v>
      </c>
      <c r="E86" s="180" t="s">
        <v>983</v>
      </c>
      <c r="F86" s="180" t="s">
        <v>695</v>
      </c>
      <c r="G86" s="180" t="s">
        <v>1023</v>
      </c>
      <c r="H86" s="182">
        <v>1442.82</v>
      </c>
      <c r="I86" s="182">
        <v>1615.96</v>
      </c>
      <c r="J86" s="180">
        <v>29.25</v>
      </c>
      <c r="AL86" s="182">
        <v>1442.82</v>
      </c>
      <c r="AM86" s="182">
        <v>0</v>
      </c>
      <c r="AP86" s="182">
        <v>1442.82</v>
      </c>
      <c r="AQ86" s="182">
        <v>144</v>
      </c>
      <c r="AR86" s="182">
        <v>0</v>
      </c>
      <c r="AV86" s="182">
        <v>1298.82</v>
      </c>
      <c r="AW86" s="182">
        <v>173.14</v>
      </c>
      <c r="AX86" s="182">
        <v>0</v>
      </c>
      <c r="AY86" s="182">
        <v>0</v>
      </c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</row>
    <row r="87" spans="1:68" x14ac:dyDescent="0.25">
      <c r="A87" s="490" t="s">
        <v>1271</v>
      </c>
      <c r="B87" s="180">
        <v>10749213</v>
      </c>
      <c r="C87" s="180" t="s">
        <v>1021</v>
      </c>
      <c r="D87" s="180" t="s">
        <v>1022</v>
      </c>
      <c r="E87" s="180" t="s">
        <v>983</v>
      </c>
      <c r="F87" s="180" t="s">
        <v>695</v>
      </c>
      <c r="G87" s="180" t="s">
        <v>1023</v>
      </c>
      <c r="H87" s="182">
        <v>789.24</v>
      </c>
      <c r="I87" s="182">
        <v>883.94</v>
      </c>
      <c r="J87" s="180">
        <v>16</v>
      </c>
      <c r="AL87" s="182">
        <v>789.24</v>
      </c>
      <c r="AM87" s="182">
        <v>0</v>
      </c>
      <c r="AP87" s="182">
        <v>789.24</v>
      </c>
      <c r="AQ87" s="182">
        <v>0</v>
      </c>
      <c r="AR87" s="182">
        <v>0</v>
      </c>
      <c r="AV87" s="182">
        <v>789.24</v>
      </c>
      <c r="AW87" s="182">
        <v>94.7</v>
      </c>
      <c r="AX87" s="182">
        <v>0</v>
      </c>
      <c r="AY87" s="182">
        <v>0</v>
      </c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</row>
    <row r="88" spans="1:68" x14ac:dyDescent="0.25">
      <c r="A88" s="490" t="s">
        <v>1273</v>
      </c>
      <c r="B88" s="180">
        <v>10749213</v>
      </c>
      <c r="C88" s="180" t="s">
        <v>1021</v>
      </c>
      <c r="D88" s="180" t="s">
        <v>1022</v>
      </c>
      <c r="E88" s="180" t="s">
        <v>983</v>
      </c>
      <c r="F88" s="180" t="s">
        <v>695</v>
      </c>
      <c r="G88" s="180" t="s">
        <v>1023</v>
      </c>
      <c r="H88" s="182">
        <v>394.62</v>
      </c>
      <c r="I88" s="182">
        <v>441.97</v>
      </c>
      <c r="J88" s="180">
        <v>8</v>
      </c>
      <c r="AL88" s="182">
        <v>394.62</v>
      </c>
      <c r="AM88" s="182">
        <v>0</v>
      </c>
      <c r="AP88" s="182">
        <v>394.62</v>
      </c>
      <c r="AQ88" s="182">
        <v>0</v>
      </c>
      <c r="AR88" s="182">
        <v>0</v>
      </c>
      <c r="AV88" s="182">
        <v>394.62</v>
      </c>
      <c r="AW88" s="182">
        <v>47.35</v>
      </c>
      <c r="AX88" s="182">
        <v>0</v>
      </c>
      <c r="AY88" s="182">
        <v>0</v>
      </c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</row>
    <row r="89" spans="1:68" x14ac:dyDescent="0.25">
      <c r="A89" s="490" t="s">
        <v>1274</v>
      </c>
      <c r="B89" s="180">
        <v>10749213</v>
      </c>
      <c r="C89" s="180" t="s">
        <v>1021</v>
      </c>
      <c r="D89" s="180" t="s">
        <v>1022</v>
      </c>
      <c r="E89" s="180" t="s">
        <v>983</v>
      </c>
      <c r="F89" s="180" t="s">
        <v>695</v>
      </c>
      <c r="G89" s="180" t="s">
        <v>1023</v>
      </c>
      <c r="H89" s="182">
        <v>505.6</v>
      </c>
      <c r="I89" s="182">
        <v>566.27</v>
      </c>
      <c r="J89" s="180">
        <v>10.25</v>
      </c>
      <c r="AL89" s="182">
        <v>505.6</v>
      </c>
      <c r="AM89" s="182">
        <v>0</v>
      </c>
      <c r="AP89" s="182">
        <v>505.6</v>
      </c>
      <c r="AQ89" s="182">
        <v>0</v>
      </c>
      <c r="AR89" s="182">
        <v>0</v>
      </c>
      <c r="AV89" s="182">
        <v>505.6</v>
      </c>
      <c r="AW89" s="182">
        <v>60.67</v>
      </c>
      <c r="AX89" s="182">
        <v>0</v>
      </c>
      <c r="AY89" s="182">
        <v>0</v>
      </c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</row>
    <row r="90" spans="1:68" x14ac:dyDescent="0.25">
      <c r="A90" s="490" t="s">
        <v>1277</v>
      </c>
      <c r="B90" s="180">
        <v>10563333</v>
      </c>
      <c r="C90" s="180" t="s">
        <v>1097</v>
      </c>
      <c r="D90" s="180" t="s">
        <v>1098</v>
      </c>
      <c r="E90" s="180" t="s">
        <v>983</v>
      </c>
      <c r="F90" s="180" t="s">
        <v>712</v>
      </c>
      <c r="G90" s="180" t="s">
        <v>1276</v>
      </c>
      <c r="H90" s="182">
        <v>527.25</v>
      </c>
      <c r="I90" s="182">
        <v>590.52</v>
      </c>
      <c r="J90" s="180">
        <v>15</v>
      </c>
      <c r="AL90" s="182">
        <v>527.25</v>
      </c>
      <c r="AM90" s="182">
        <v>0</v>
      </c>
      <c r="AP90" s="182">
        <v>527.25</v>
      </c>
      <c r="AQ90" s="182">
        <v>96</v>
      </c>
      <c r="AR90" s="182">
        <v>0</v>
      </c>
      <c r="AV90" s="182">
        <v>431.25</v>
      </c>
      <c r="AW90" s="182">
        <v>63.27</v>
      </c>
      <c r="AX90" s="182">
        <v>0</v>
      </c>
      <c r="AY90" s="182">
        <v>0</v>
      </c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</row>
    <row r="91" spans="1:68" x14ac:dyDescent="0.25">
      <c r="A91" s="490" t="s">
        <v>1269</v>
      </c>
      <c r="B91" s="180">
        <v>10563333</v>
      </c>
      <c r="C91" s="180" t="s">
        <v>1097</v>
      </c>
      <c r="D91" s="180" t="s">
        <v>1098</v>
      </c>
      <c r="E91" s="180" t="s">
        <v>983</v>
      </c>
      <c r="F91" s="180" t="s">
        <v>712</v>
      </c>
      <c r="G91" s="180" t="s">
        <v>1276</v>
      </c>
      <c r="H91" s="182">
        <v>1142.3699999999999</v>
      </c>
      <c r="I91" s="182">
        <v>2853.28</v>
      </c>
      <c r="J91" s="180">
        <v>34</v>
      </c>
      <c r="L91" s="182">
        <v>1339.29</v>
      </c>
      <c r="N91" s="182">
        <v>73.819999999999993</v>
      </c>
      <c r="AL91" s="182">
        <v>2555.48</v>
      </c>
      <c r="AM91" s="182">
        <v>0</v>
      </c>
      <c r="AP91" s="182">
        <v>2555.48</v>
      </c>
      <c r="AQ91" s="182">
        <v>564</v>
      </c>
      <c r="AR91" s="182">
        <v>0</v>
      </c>
      <c r="AV91" s="182">
        <v>1991.48</v>
      </c>
      <c r="AW91" s="182">
        <v>297.8</v>
      </c>
      <c r="AX91" s="182">
        <v>0</v>
      </c>
      <c r="AY91" s="182">
        <v>0</v>
      </c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</row>
    <row r="92" spans="1:68" x14ac:dyDescent="0.25">
      <c r="A92" s="490" t="s">
        <v>1265</v>
      </c>
      <c r="B92" s="180">
        <v>10563333</v>
      </c>
      <c r="C92" s="180" t="s">
        <v>1097</v>
      </c>
      <c r="D92" s="180" t="s">
        <v>1098</v>
      </c>
      <c r="E92" s="180" t="s">
        <v>983</v>
      </c>
      <c r="F92" s="180" t="s">
        <v>712</v>
      </c>
      <c r="G92" s="180" t="s">
        <v>1276</v>
      </c>
      <c r="H92" s="182">
        <v>790.87</v>
      </c>
      <c r="I92" s="182">
        <v>917.41</v>
      </c>
      <c r="J92" s="180">
        <v>23</v>
      </c>
      <c r="R92" s="182">
        <v>31.64</v>
      </c>
      <c r="AL92" s="182">
        <v>822.51</v>
      </c>
      <c r="AM92" s="182">
        <v>0</v>
      </c>
      <c r="AP92" s="182">
        <v>822.51</v>
      </c>
      <c r="AQ92" s="182">
        <v>150</v>
      </c>
      <c r="AR92" s="182">
        <v>0</v>
      </c>
      <c r="AV92" s="182">
        <v>672.51</v>
      </c>
      <c r="AW92" s="182">
        <v>94.9</v>
      </c>
      <c r="AX92" s="182">
        <v>0</v>
      </c>
      <c r="AY92" s="182">
        <v>0</v>
      </c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</row>
    <row r="93" spans="1:68" x14ac:dyDescent="0.25">
      <c r="A93" s="490" t="s">
        <v>1271</v>
      </c>
      <c r="B93" s="180">
        <v>10563333</v>
      </c>
      <c r="C93" s="180" t="s">
        <v>1097</v>
      </c>
      <c r="D93" s="180" t="s">
        <v>1098</v>
      </c>
      <c r="E93" s="180" t="s">
        <v>983</v>
      </c>
      <c r="F93" s="180" t="s">
        <v>712</v>
      </c>
      <c r="G93" s="180" t="s">
        <v>1276</v>
      </c>
      <c r="H93" s="182">
        <v>140.6</v>
      </c>
      <c r="I93" s="182">
        <v>157.47</v>
      </c>
      <c r="J93" s="180">
        <v>4</v>
      </c>
      <c r="AL93" s="182">
        <v>140.6</v>
      </c>
      <c r="AM93" s="182">
        <v>0</v>
      </c>
      <c r="AP93" s="182">
        <v>140.6</v>
      </c>
      <c r="AQ93" s="182">
        <v>22</v>
      </c>
      <c r="AR93" s="182">
        <v>0</v>
      </c>
      <c r="AV93" s="182">
        <v>118.6</v>
      </c>
      <c r="AW93" s="182">
        <v>16.87</v>
      </c>
      <c r="AX93" s="182">
        <v>0</v>
      </c>
      <c r="AY93" s="182">
        <v>0</v>
      </c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</row>
    <row r="94" spans="1:68" x14ac:dyDescent="0.25">
      <c r="A94" s="490" t="s">
        <v>1272</v>
      </c>
      <c r="B94" s="180">
        <v>10563333</v>
      </c>
      <c r="C94" s="180" t="s">
        <v>1097</v>
      </c>
      <c r="D94" s="180" t="s">
        <v>1098</v>
      </c>
      <c r="E94" s="180" t="s">
        <v>983</v>
      </c>
      <c r="F94" s="180" t="s">
        <v>712</v>
      </c>
      <c r="G94" s="180" t="s">
        <v>1276</v>
      </c>
      <c r="H94" s="182">
        <v>386.65</v>
      </c>
      <c r="I94" s="182">
        <v>433.05</v>
      </c>
      <c r="J94" s="180">
        <v>11</v>
      </c>
      <c r="AL94" s="182">
        <v>386.65</v>
      </c>
      <c r="AM94" s="182">
        <v>0</v>
      </c>
      <c r="AP94" s="182">
        <v>386.65</v>
      </c>
      <c r="AQ94" s="182">
        <v>66</v>
      </c>
      <c r="AR94" s="182">
        <v>0</v>
      </c>
      <c r="AV94" s="182">
        <v>320.64999999999998</v>
      </c>
      <c r="AW94" s="182">
        <v>46.4</v>
      </c>
      <c r="AX94" s="182">
        <v>0</v>
      </c>
      <c r="AY94" s="182">
        <v>0</v>
      </c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</row>
    <row r="95" spans="1:68" x14ac:dyDescent="0.25">
      <c r="A95" s="490" t="s">
        <v>1273</v>
      </c>
      <c r="B95" s="180">
        <v>10563333</v>
      </c>
      <c r="C95" s="180" t="s">
        <v>1097</v>
      </c>
      <c r="D95" s="180" t="s">
        <v>1098</v>
      </c>
      <c r="E95" s="180" t="s">
        <v>983</v>
      </c>
      <c r="F95" s="180" t="s">
        <v>712</v>
      </c>
      <c r="G95" s="180" t="s">
        <v>1276</v>
      </c>
      <c r="H95" s="182">
        <v>527.26</v>
      </c>
      <c r="I95" s="182">
        <v>615.13</v>
      </c>
      <c r="J95" s="180">
        <v>15.5</v>
      </c>
      <c r="N95" s="182">
        <v>24.6</v>
      </c>
      <c r="AL95" s="182">
        <v>551.86</v>
      </c>
      <c r="AM95" s="182">
        <v>0</v>
      </c>
      <c r="AP95" s="182">
        <v>551.86</v>
      </c>
      <c r="AQ95" s="182">
        <v>102</v>
      </c>
      <c r="AR95" s="182">
        <v>0</v>
      </c>
      <c r="AV95" s="182">
        <v>449.86</v>
      </c>
      <c r="AW95" s="182">
        <v>63.27</v>
      </c>
      <c r="AX95" s="182">
        <v>0</v>
      </c>
      <c r="AY95" s="182">
        <v>0</v>
      </c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</row>
    <row r="96" spans="1:68" x14ac:dyDescent="0.25">
      <c r="A96" s="490" t="s">
        <v>1274</v>
      </c>
      <c r="B96" s="180">
        <v>10563333</v>
      </c>
      <c r="C96" s="180" t="s">
        <v>1097</v>
      </c>
      <c r="D96" s="180" t="s">
        <v>1098</v>
      </c>
      <c r="E96" s="180" t="s">
        <v>983</v>
      </c>
      <c r="F96" s="180" t="s">
        <v>712</v>
      </c>
      <c r="G96" s="180" t="s">
        <v>1276</v>
      </c>
      <c r="H96" s="182">
        <v>149.38999999999999</v>
      </c>
      <c r="I96" s="182">
        <v>167.32</v>
      </c>
      <c r="J96" s="180">
        <v>4.25</v>
      </c>
      <c r="AL96" s="182">
        <v>149.38999999999999</v>
      </c>
      <c r="AM96" s="182">
        <v>0</v>
      </c>
      <c r="AP96" s="182">
        <v>149.38999999999999</v>
      </c>
      <c r="AQ96" s="182">
        <v>24</v>
      </c>
      <c r="AR96" s="182">
        <v>0</v>
      </c>
      <c r="AV96" s="182">
        <v>125.39</v>
      </c>
      <c r="AW96" s="182">
        <v>17.93</v>
      </c>
      <c r="AX96" s="182">
        <v>0</v>
      </c>
      <c r="AY96" s="182">
        <v>0</v>
      </c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</row>
    <row r="97" spans="1:68" x14ac:dyDescent="0.25">
      <c r="A97" s="490" t="s">
        <v>1273</v>
      </c>
      <c r="B97" s="180">
        <v>4745971</v>
      </c>
      <c r="C97" s="180" t="s">
        <v>956</v>
      </c>
      <c r="D97" s="180" t="s">
        <v>957</v>
      </c>
      <c r="E97" s="180" t="s">
        <v>983</v>
      </c>
      <c r="F97" s="180" t="s">
        <v>376</v>
      </c>
      <c r="G97" s="180" t="s">
        <v>1291</v>
      </c>
      <c r="H97" s="182">
        <v>2658.91</v>
      </c>
      <c r="I97" s="182">
        <v>2977.98</v>
      </c>
      <c r="J97" s="180">
        <v>59.5</v>
      </c>
      <c r="AL97" s="182">
        <v>2658.91</v>
      </c>
      <c r="AM97" s="182">
        <v>0</v>
      </c>
      <c r="AO97" s="182">
        <v>66.47</v>
      </c>
      <c r="AP97" s="182">
        <v>2592.44</v>
      </c>
      <c r="AQ97" s="182">
        <v>232</v>
      </c>
      <c r="AR97" s="182">
        <v>0</v>
      </c>
      <c r="AV97" s="182">
        <v>2360.44</v>
      </c>
      <c r="AW97" s="182">
        <v>319.07</v>
      </c>
      <c r="AX97" s="182">
        <v>0</v>
      </c>
      <c r="AY97" s="182">
        <v>0</v>
      </c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</row>
    <row r="98" spans="1:68" x14ac:dyDescent="0.25">
      <c r="A98" s="490" t="s">
        <v>1274</v>
      </c>
      <c r="B98" s="180">
        <v>4745971</v>
      </c>
      <c r="C98" s="180" t="s">
        <v>956</v>
      </c>
      <c r="D98" s="180" t="s">
        <v>957</v>
      </c>
      <c r="E98" s="180" t="s">
        <v>983</v>
      </c>
      <c r="F98" s="180" t="s">
        <v>376</v>
      </c>
      <c r="G98" s="180" t="s">
        <v>1291</v>
      </c>
      <c r="H98" s="182">
        <v>335.16</v>
      </c>
      <c r="I98" s="182">
        <v>375.38</v>
      </c>
      <c r="J98" s="180">
        <v>7.5</v>
      </c>
      <c r="AL98" s="182">
        <v>335.16</v>
      </c>
      <c r="AM98" s="182">
        <v>0</v>
      </c>
      <c r="AO98" s="182">
        <v>8.3800000000000008</v>
      </c>
      <c r="AP98" s="182">
        <v>326.77999999999997</v>
      </c>
      <c r="AQ98" s="182">
        <v>0</v>
      </c>
      <c r="AR98" s="182">
        <v>0</v>
      </c>
      <c r="AV98" s="182">
        <v>326.77999999999997</v>
      </c>
      <c r="AW98" s="182">
        <v>40.22</v>
      </c>
      <c r="AX98" s="182">
        <v>0</v>
      </c>
      <c r="AY98" s="182">
        <v>0</v>
      </c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</row>
    <row r="99" spans="1:68" x14ac:dyDescent="0.25">
      <c r="A99" s="490" t="s">
        <v>1275</v>
      </c>
      <c r="B99" s="180">
        <v>10869538</v>
      </c>
      <c r="C99" s="180" t="s">
        <v>1024</v>
      </c>
      <c r="D99" s="180" t="s">
        <v>1025</v>
      </c>
      <c r="E99" s="180" t="s">
        <v>983</v>
      </c>
      <c r="F99" s="180" t="s">
        <v>376</v>
      </c>
      <c r="G99" s="180" t="s">
        <v>1018</v>
      </c>
      <c r="H99" s="182">
        <v>543.39</v>
      </c>
      <c r="I99" s="182">
        <v>632.38</v>
      </c>
      <c r="J99" s="180">
        <v>16.5</v>
      </c>
      <c r="N99" s="182">
        <v>23.78</v>
      </c>
      <c r="AL99" s="182">
        <v>567.16999999999996</v>
      </c>
      <c r="AM99" s="182">
        <v>0</v>
      </c>
      <c r="AP99" s="182">
        <v>567.16999999999996</v>
      </c>
      <c r="AQ99" s="182">
        <v>104</v>
      </c>
      <c r="AR99" s="182">
        <v>0</v>
      </c>
      <c r="AV99" s="182">
        <v>463.17</v>
      </c>
      <c r="AW99" s="182">
        <v>65.209999999999994</v>
      </c>
      <c r="AX99" s="182">
        <v>0</v>
      </c>
      <c r="AY99" s="182">
        <v>0</v>
      </c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</row>
    <row r="100" spans="1:68" x14ac:dyDescent="0.25">
      <c r="A100" s="490" t="s">
        <v>1277</v>
      </c>
      <c r="B100" s="180">
        <v>10869538</v>
      </c>
      <c r="C100" s="180" t="s">
        <v>1024</v>
      </c>
      <c r="D100" s="180" t="s">
        <v>1025</v>
      </c>
      <c r="E100" s="180" t="s">
        <v>983</v>
      </c>
      <c r="F100" s="180" t="s">
        <v>376</v>
      </c>
      <c r="G100" s="180" t="s">
        <v>1018</v>
      </c>
      <c r="H100" s="182">
        <v>149.38999999999999</v>
      </c>
      <c r="I100" s="182">
        <v>170.17</v>
      </c>
      <c r="J100" s="180">
        <v>4.25</v>
      </c>
      <c r="AL100" s="182">
        <v>149.38999999999999</v>
      </c>
      <c r="AM100" s="182">
        <v>0</v>
      </c>
      <c r="AP100" s="182">
        <v>149.38999999999999</v>
      </c>
      <c r="AQ100" s="182">
        <v>24</v>
      </c>
      <c r="AR100" s="182">
        <v>0</v>
      </c>
      <c r="AV100" s="182">
        <v>125.39</v>
      </c>
      <c r="AW100" s="182">
        <v>20.78</v>
      </c>
      <c r="AX100" s="182">
        <v>0</v>
      </c>
      <c r="AY100" s="182">
        <v>0</v>
      </c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</row>
    <row r="101" spans="1:68" x14ac:dyDescent="0.25">
      <c r="A101" s="490" t="s">
        <v>1268</v>
      </c>
      <c r="B101" s="180">
        <v>10869538</v>
      </c>
      <c r="C101" s="180" t="s">
        <v>1024</v>
      </c>
      <c r="D101" s="180" t="s">
        <v>1025</v>
      </c>
      <c r="E101" s="180" t="s">
        <v>983</v>
      </c>
      <c r="F101" s="180" t="s">
        <v>376</v>
      </c>
      <c r="G101" s="180" t="s">
        <v>1018</v>
      </c>
      <c r="H101" s="182">
        <v>281.2</v>
      </c>
      <c r="I101" s="182">
        <v>314.94</v>
      </c>
      <c r="J101" s="180">
        <v>8</v>
      </c>
      <c r="AL101" s="182">
        <v>281.2</v>
      </c>
      <c r="AM101" s="182">
        <v>0</v>
      </c>
      <c r="AP101" s="182">
        <v>281.2</v>
      </c>
      <c r="AQ101" s="182">
        <v>44</v>
      </c>
      <c r="AR101" s="182">
        <v>0</v>
      </c>
      <c r="AV101" s="182">
        <v>237.2</v>
      </c>
      <c r="AW101" s="182">
        <v>33.74</v>
      </c>
      <c r="AX101" s="182">
        <v>0</v>
      </c>
      <c r="AY101" s="182">
        <v>0</v>
      </c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</row>
    <row r="102" spans="1:68" x14ac:dyDescent="0.25">
      <c r="A102" s="490" t="s">
        <v>1265</v>
      </c>
      <c r="B102" s="180">
        <v>10869538</v>
      </c>
      <c r="C102" s="180" t="s">
        <v>1024</v>
      </c>
      <c r="D102" s="180" t="s">
        <v>1025</v>
      </c>
      <c r="E102" s="180" t="s">
        <v>983</v>
      </c>
      <c r="F102" s="180" t="s">
        <v>376</v>
      </c>
      <c r="G102" s="180" t="s">
        <v>1018</v>
      </c>
      <c r="H102" s="182">
        <v>562.4</v>
      </c>
      <c r="I102" s="182">
        <v>654.49</v>
      </c>
      <c r="J102" s="180">
        <v>16.5</v>
      </c>
      <c r="N102" s="182">
        <v>24.6</v>
      </c>
      <c r="AL102" s="182">
        <v>587</v>
      </c>
      <c r="AM102" s="182">
        <v>0</v>
      </c>
      <c r="AP102" s="182">
        <v>587</v>
      </c>
      <c r="AQ102" s="182">
        <v>108</v>
      </c>
      <c r="AR102" s="182">
        <v>0</v>
      </c>
      <c r="AV102" s="182">
        <v>479</v>
      </c>
      <c r="AW102" s="182">
        <v>67.489999999999995</v>
      </c>
      <c r="AX102" s="182">
        <v>0</v>
      </c>
      <c r="AY102" s="182">
        <v>0</v>
      </c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</row>
    <row r="103" spans="1:68" x14ac:dyDescent="0.25">
      <c r="A103" s="490" t="s">
        <v>1275</v>
      </c>
      <c r="B103" s="180">
        <v>4745990</v>
      </c>
      <c r="C103" s="180" t="s">
        <v>859</v>
      </c>
      <c r="D103" s="180" t="s">
        <v>860</v>
      </c>
      <c r="E103" s="180" t="s">
        <v>983</v>
      </c>
      <c r="F103" s="180" t="s">
        <v>712</v>
      </c>
      <c r="G103" s="180" t="s">
        <v>1276</v>
      </c>
      <c r="H103" s="182">
        <v>1926.71</v>
      </c>
      <c r="I103" s="182">
        <v>2344.7399999999998</v>
      </c>
      <c r="J103" s="180">
        <v>35.25</v>
      </c>
      <c r="N103" s="182">
        <v>163.47999999999999</v>
      </c>
      <c r="O103" s="182">
        <v>23.35</v>
      </c>
      <c r="AL103" s="182">
        <v>2113.54</v>
      </c>
      <c r="AM103" s="182">
        <v>0</v>
      </c>
      <c r="AP103" s="182">
        <v>2113.54</v>
      </c>
      <c r="AQ103" s="182">
        <v>36</v>
      </c>
      <c r="AR103" s="182">
        <v>0</v>
      </c>
      <c r="AV103" s="182">
        <v>2077.54</v>
      </c>
      <c r="AW103" s="182">
        <v>231.2</v>
      </c>
      <c r="AX103" s="182">
        <v>0</v>
      </c>
      <c r="AY103" s="182">
        <v>0</v>
      </c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</row>
    <row r="104" spans="1:68" x14ac:dyDescent="0.25">
      <c r="A104" s="490" t="s">
        <v>1277</v>
      </c>
      <c r="B104" s="180">
        <v>4745990</v>
      </c>
      <c r="C104" s="180" t="s">
        <v>859</v>
      </c>
      <c r="D104" s="180" t="s">
        <v>860</v>
      </c>
      <c r="E104" s="180" t="s">
        <v>983</v>
      </c>
      <c r="F104" s="180" t="s">
        <v>712</v>
      </c>
      <c r="G104" s="180" t="s">
        <v>1276</v>
      </c>
      <c r="H104" s="182">
        <v>715.22</v>
      </c>
      <c r="I104" s="182">
        <v>4437.66</v>
      </c>
      <c r="J104" s="180">
        <v>76.5</v>
      </c>
      <c r="N104" s="182">
        <v>122.61</v>
      </c>
      <c r="AE104" s="182">
        <v>3137.5</v>
      </c>
      <c r="AL104" s="182">
        <v>3975.33</v>
      </c>
      <c r="AM104" s="182">
        <v>0</v>
      </c>
      <c r="AP104" s="182">
        <v>3975.33</v>
      </c>
      <c r="AQ104" s="182">
        <v>668</v>
      </c>
      <c r="AR104" s="182">
        <v>0</v>
      </c>
      <c r="AV104" s="182">
        <v>3307.33</v>
      </c>
      <c r="AW104" s="182">
        <v>462.33</v>
      </c>
      <c r="AX104" s="182">
        <v>0</v>
      </c>
      <c r="AY104" s="182">
        <v>0</v>
      </c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</row>
    <row r="105" spans="1:68" x14ac:dyDescent="0.25">
      <c r="A105" s="490" t="s">
        <v>1269</v>
      </c>
      <c r="B105" s="180">
        <v>4745990</v>
      </c>
      <c r="C105" s="180" t="s">
        <v>859</v>
      </c>
      <c r="D105" s="180" t="s">
        <v>860</v>
      </c>
      <c r="E105" s="180" t="s">
        <v>983</v>
      </c>
      <c r="F105" s="180" t="s">
        <v>712</v>
      </c>
      <c r="G105" s="180" t="s">
        <v>1276</v>
      </c>
      <c r="H105" s="182">
        <v>4145.34</v>
      </c>
      <c r="I105" s="182">
        <f>4145.34+497.44</f>
        <v>4642.78</v>
      </c>
      <c r="J105" s="180">
        <v>89.25</v>
      </c>
      <c r="L105" s="182">
        <v>1339.29</v>
      </c>
      <c r="N105" s="182">
        <v>510.87</v>
      </c>
      <c r="O105" s="182">
        <v>420.37</v>
      </c>
      <c r="P105" s="182">
        <v>788.2</v>
      </c>
      <c r="AL105" s="182">
        <v>7204.07</v>
      </c>
      <c r="AM105" s="182">
        <v>0</v>
      </c>
      <c r="AP105" s="182">
        <v>7204.07</v>
      </c>
      <c r="AQ105" s="182">
        <v>1458</v>
      </c>
      <c r="AR105" s="182">
        <v>0</v>
      </c>
      <c r="AV105" s="182">
        <v>5746.07</v>
      </c>
      <c r="AW105" s="182">
        <v>752.75</v>
      </c>
      <c r="AX105" s="182">
        <v>0</v>
      </c>
      <c r="AY105" s="182">
        <v>0</v>
      </c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</row>
    <row r="106" spans="1:68" x14ac:dyDescent="0.25">
      <c r="A106" s="490" t="s">
        <v>1265</v>
      </c>
      <c r="B106" s="180">
        <v>4745990</v>
      </c>
      <c r="C106" s="180" t="s">
        <v>859</v>
      </c>
      <c r="D106" s="180" t="s">
        <v>860</v>
      </c>
      <c r="E106" s="180" t="s">
        <v>983</v>
      </c>
      <c r="F106" s="180" t="s">
        <v>712</v>
      </c>
      <c r="G106" s="180" t="s">
        <v>1276</v>
      </c>
      <c r="H106" s="182">
        <v>729.81</v>
      </c>
      <c r="I106" s="182">
        <v>4452</v>
      </c>
      <c r="J106" s="180">
        <v>84.5</v>
      </c>
      <c r="AE106" s="182">
        <v>3109.98</v>
      </c>
      <c r="AI106" s="182">
        <v>135.21</v>
      </c>
      <c r="AL106" s="182">
        <v>3975</v>
      </c>
      <c r="AM106" s="182">
        <v>0</v>
      </c>
      <c r="AP106" s="182">
        <v>3975</v>
      </c>
      <c r="AQ106" s="182">
        <v>688</v>
      </c>
      <c r="AR106" s="182">
        <v>0</v>
      </c>
      <c r="AV106" s="182">
        <v>3287</v>
      </c>
      <c r="AW106" s="182">
        <v>477</v>
      </c>
      <c r="AX106" s="182">
        <v>0</v>
      </c>
      <c r="AY106" s="182">
        <v>0</v>
      </c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</row>
    <row r="107" spans="1:68" x14ac:dyDescent="0.25">
      <c r="A107" s="490" t="s">
        <v>1274</v>
      </c>
      <c r="B107" s="180">
        <v>4745979</v>
      </c>
      <c r="C107" s="180" t="s">
        <v>804</v>
      </c>
      <c r="D107" s="180" t="s">
        <v>863</v>
      </c>
      <c r="E107" s="180" t="s">
        <v>983</v>
      </c>
      <c r="F107" s="180" t="s">
        <v>712</v>
      </c>
      <c r="G107" s="180" t="s">
        <v>1276</v>
      </c>
      <c r="H107" s="182">
        <v>800</v>
      </c>
      <c r="I107" s="182">
        <v>896</v>
      </c>
      <c r="J107" s="180">
        <v>16</v>
      </c>
      <c r="AL107" s="182">
        <v>800</v>
      </c>
      <c r="AM107" s="182">
        <v>0</v>
      </c>
      <c r="AP107" s="182">
        <v>800</v>
      </c>
      <c r="AQ107" s="182">
        <v>12</v>
      </c>
      <c r="AR107" s="182">
        <v>0</v>
      </c>
      <c r="AV107" s="182">
        <v>788</v>
      </c>
      <c r="AW107" s="182">
        <v>96</v>
      </c>
      <c r="AX107" s="182">
        <v>0</v>
      </c>
      <c r="AY107" s="182">
        <v>0</v>
      </c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</row>
    <row r="108" spans="1:68" x14ac:dyDescent="0.25">
      <c r="A108" s="490" t="s">
        <v>1275</v>
      </c>
      <c r="B108" s="180">
        <v>9674440</v>
      </c>
      <c r="C108" s="180" t="s">
        <v>958</v>
      </c>
      <c r="D108" s="180" t="s">
        <v>959</v>
      </c>
      <c r="E108" s="180" t="s">
        <v>983</v>
      </c>
      <c r="F108" s="180" t="s">
        <v>376</v>
      </c>
      <c r="G108" s="180" t="s">
        <v>1099</v>
      </c>
      <c r="H108" s="182">
        <v>2240</v>
      </c>
      <c r="I108" s="182">
        <v>2508.8000000000002</v>
      </c>
      <c r="J108" s="180">
        <v>64</v>
      </c>
      <c r="AL108" s="182">
        <v>2240</v>
      </c>
      <c r="AM108" s="182">
        <v>0</v>
      </c>
      <c r="AP108" s="182">
        <v>2240</v>
      </c>
      <c r="AQ108" s="182">
        <v>364</v>
      </c>
      <c r="AR108" s="182">
        <v>22</v>
      </c>
      <c r="AV108" s="182">
        <v>1854</v>
      </c>
      <c r="AW108" s="182">
        <v>268.8</v>
      </c>
      <c r="AX108" s="182">
        <v>0</v>
      </c>
      <c r="AY108" s="182">
        <v>0</v>
      </c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</row>
    <row r="109" spans="1:68" x14ac:dyDescent="0.25">
      <c r="A109" s="490" t="s">
        <v>1275</v>
      </c>
      <c r="B109" s="180">
        <v>9674440</v>
      </c>
      <c r="C109" s="180" t="s">
        <v>958</v>
      </c>
      <c r="D109" s="180" t="s">
        <v>959</v>
      </c>
      <c r="E109" s="180" t="s">
        <v>983</v>
      </c>
      <c r="F109" s="180" t="s">
        <v>376</v>
      </c>
      <c r="G109" s="180" t="s">
        <v>1292</v>
      </c>
      <c r="H109" s="182">
        <v>3927.2</v>
      </c>
      <c r="I109" s="182">
        <v>4398.46</v>
      </c>
      <c r="J109" s="180">
        <v>112</v>
      </c>
      <c r="AL109" s="182">
        <v>3927.2</v>
      </c>
      <c r="AM109" s="182">
        <v>0</v>
      </c>
      <c r="AP109" s="182">
        <v>3927.2</v>
      </c>
      <c r="AQ109" s="182">
        <v>554</v>
      </c>
      <c r="AR109" s="182">
        <v>22</v>
      </c>
      <c r="AV109" s="182">
        <v>3351.2</v>
      </c>
      <c r="AW109" s="182">
        <v>471.26</v>
      </c>
      <c r="AX109" s="182">
        <v>0</v>
      </c>
      <c r="AY109" s="182">
        <v>0</v>
      </c>
    </row>
    <row r="110" spans="1:68" x14ac:dyDescent="0.25">
      <c r="A110" s="490" t="s">
        <v>1277</v>
      </c>
      <c r="B110" s="180">
        <v>9674440</v>
      </c>
      <c r="C110" s="180" t="s">
        <v>958</v>
      </c>
      <c r="D110" s="180" t="s">
        <v>959</v>
      </c>
      <c r="E110" s="180" t="s">
        <v>983</v>
      </c>
      <c r="F110" s="180" t="s">
        <v>376</v>
      </c>
      <c r="G110" s="180" t="s">
        <v>1292</v>
      </c>
      <c r="H110" s="182">
        <v>3655.6</v>
      </c>
      <c r="I110" s="182">
        <v>4094.27</v>
      </c>
      <c r="J110" s="180">
        <v>104</v>
      </c>
      <c r="AL110" s="182">
        <v>3655.6</v>
      </c>
      <c r="AM110" s="182">
        <v>0</v>
      </c>
      <c r="AP110" s="182">
        <v>3655.6</v>
      </c>
      <c r="AQ110" s="182">
        <v>504</v>
      </c>
      <c r="AR110" s="182">
        <v>22</v>
      </c>
      <c r="AV110" s="182">
        <v>3129.6</v>
      </c>
      <c r="AW110" s="182">
        <v>438.67</v>
      </c>
      <c r="AX110" s="182">
        <v>0</v>
      </c>
      <c r="AY110" s="182">
        <v>0</v>
      </c>
    </row>
    <row r="111" spans="1:68" x14ac:dyDescent="0.25">
      <c r="A111" s="490" t="s">
        <v>1266</v>
      </c>
      <c r="B111" s="180">
        <v>9674440</v>
      </c>
      <c r="C111" s="180" t="s">
        <v>958</v>
      </c>
      <c r="D111" s="180" t="s">
        <v>959</v>
      </c>
      <c r="E111" s="180" t="s">
        <v>983</v>
      </c>
      <c r="F111" s="180" t="s">
        <v>376</v>
      </c>
      <c r="G111" s="180" t="s">
        <v>1292</v>
      </c>
      <c r="H111" s="182">
        <v>4710.1000000000004</v>
      </c>
      <c r="I111" s="182">
        <v>5373.73</v>
      </c>
      <c r="J111" s="180">
        <v>136</v>
      </c>
      <c r="N111" s="182">
        <v>98.42</v>
      </c>
      <c r="AL111" s="182">
        <v>4808.5200000000004</v>
      </c>
      <c r="AM111" s="182">
        <v>0</v>
      </c>
      <c r="AP111" s="182">
        <v>4808.5200000000004</v>
      </c>
      <c r="AQ111" s="182">
        <v>832</v>
      </c>
      <c r="AR111" s="182">
        <v>74</v>
      </c>
      <c r="AV111" s="182">
        <v>3902.52</v>
      </c>
      <c r="AW111" s="182">
        <v>565.21</v>
      </c>
      <c r="AX111" s="182">
        <v>0</v>
      </c>
      <c r="AY111" s="182">
        <v>0</v>
      </c>
    </row>
    <row r="112" spans="1:68" x14ac:dyDescent="0.25">
      <c r="A112" s="490" t="s">
        <v>1267</v>
      </c>
      <c r="B112" s="180">
        <v>9674440</v>
      </c>
      <c r="C112" s="180" t="s">
        <v>958</v>
      </c>
      <c r="D112" s="180" t="s">
        <v>959</v>
      </c>
      <c r="E112" s="180" t="s">
        <v>983</v>
      </c>
      <c r="F112" s="180" t="s">
        <v>376</v>
      </c>
      <c r="G112" s="180" t="s">
        <v>1292</v>
      </c>
      <c r="H112" s="182">
        <v>3936.8</v>
      </c>
      <c r="I112" s="182">
        <v>4409.22</v>
      </c>
      <c r="J112" s="180">
        <v>112</v>
      </c>
      <c r="AL112" s="182">
        <v>3936.8</v>
      </c>
      <c r="AM112" s="182">
        <v>0</v>
      </c>
      <c r="AP112" s="182">
        <v>3936.8</v>
      </c>
      <c r="AQ112" s="182">
        <v>552</v>
      </c>
      <c r="AR112" s="182">
        <v>0</v>
      </c>
      <c r="AV112" s="182">
        <v>3384.8</v>
      </c>
      <c r="AW112" s="182">
        <v>472.42</v>
      </c>
      <c r="AX112" s="182">
        <v>0</v>
      </c>
      <c r="AY112" s="182">
        <v>0</v>
      </c>
    </row>
    <row r="113" spans="1:51" x14ac:dyDescent="0.25">
      <c r="A113" s="490" t="s">
        <v>1268</v>
      </c>
      <c r="B113" s="180">
        <v>9674440</v>
      </c>
      <c r="C113" s="180" t="s">
        <v>958</v>
      </c>
      <c r="D113" s="180" t="s">
        <v>959</v>
      </c>
      <c r="E113" s="180" t="s">
        <v>983</v>
      </c>
      <c r="F113" s="180" t="s">
        <v>376</v>
      </c>
      <c r="G113" s="180" t="s">
        <v>1292</v>
      </c>
      <c r="H113" s="182">
        <v>3866.5</v>
      </c>
      <c r="I113" s="182">
        <v>4428.8999999999996</v>
      </c>
      <c r="J113" s="180">
        <v>112</v>
      </c>
      <c r="N113" s="182">
        <v>98.42</v>
      </c>
      <c r="AL113" s="182">
        <v>3964.92</v>
      </c>
      <c r="AM113" s="182">
        <v>0</v>
      </c>
      <c r="AP113" s="182">
        <v>3964.92</v>
      </c>
      <c r="AQ113" s="182">
        <v>566</v>
      </c>
      <c r="AR113" s="182">
        <v>0</v>
      </c>
      <c r="AV113" s="182">
        <v>3398.92</v>
      </c>
      <c r="AW113" s="182">
        <v>463.98</v>
      </c>
      <c r="AX113" s="182">
        <v>0</v>
      </c>
      <c r="AY113" s="182">
        <v>0</v>
      </c>
    </row>
    <row r="114" spans="1:51" x14ac:dyDescent="0.25">
      <c r="A114" s="490" t="s">
        <v>1269</v>
      </c>
      <c r="B114" s="180">
        <v>9674440</v>
      </c>
      <c r="C114" s="180" t="s">
        <v>958</v>
      </c>
      <c r="D114" s="180" t="s">
        <v>959</v>
      </c>
      <c r="E114" s="180" t="s">
        <v>983</v>
      </c>
      <c r="F114" s="180" t="s">
        <v>376</v>
      </c>
      <c r="G114" s="180" t="s">
        <v>1292</v>
      </c>
      <c r="H114" s="182">
        <v>5834.9</v>
      </c>
      <c r="I114" s="182">
        <v>6633.5</v>
      </c>
      <c r="J114" s="180">
        <v>168</v>
      </c>
      <c r="N114" s="182">
        <v>98.42</v>
      </c>
      <c r="AL114" s="182">
        <v>5933.32</v>
      </c>
      <c r="AM114" s="182">
        <v>0</v>
      </c>
      <c r="AP114" s="182">
        <v>5933.32</v>
      </c>
      <c r="AQ114" s="182">
        <v>874</v>
      </c>
      <c r="AR114" s="182">
        <v>0</v>
      </c>
      <c r="AV114" s="182">
        <v>5059.32</v>
      </c>
      <c r="AW114" s="182">
        <v>700.18</v>
      </c>
      <c r="AX114" s="182">
        <v>0</v>
      </c>
      <c r="AY114" s="182">
        <v>0</v>
      </c>
    </row>
    <row r="115" spans="1:51" x14ac:dyDescent="0.25">
      <c r="A115" s="490" t="s">
        <v>1263</v>
      </c>
      <c r="B115" s="180">
        <v>9674440</v>
      </c>
      <c r="C115" s="180" t="s">
        <v>958</v>
      </c>
      <c r="D115" s="180" t="s">
        <v>959</v>
      </c>
      <c r="E115" s="180" t="s">
        <v>983</v>
      </c>
      <c r="F115" s="180" t="s">
        <v>376</v>
      </c>
      <c r="G115" s="180" t="s">
        <v>1292</v>
      </c>
      <c r="H115" s="182">
        <v>2109</v>
      </c>
      <c r="I115" s="182">
        <v>2362.08</v>
      </c>
      <c r="J115" s="180">
        <v>60</v>
      </c>
      <c r="AL115" s="182">
        <v>2109</v>
      </c>
      <c r="AM115" s="182">
        <v>0</v>
      </c>
      <c r="AP115" s="182">
        <v>2109</v>
      </c>
      <c r="AQ115" s="182">
        <v>132</v>
      </c>
      <c r="AR115" s="182">
        <v>0</v>
      </c>
      <c r="AV115" s="182">
        <v>1977</v>
      </c>
      <c r="AW115" s="182">
        <v>253.08</v>
      </c>
      <c r="AX115" s="182">
        <v>0</v>
      </c>
      <c r="AY115" s="182">
        <v>0</v>
      </c>
    </row>
    <row r="116" spans="1:51" x14ac:dyDescent="0.25">
      <c r="A116" s="490" t="s">
        <v>1265</v>
      </c>
      <c r="B116" s="180">
        <v>9674440</v>
      </c>
      <c r="C116" s="180" t="s">
        <v>958</v>
      </c>
      <c r="D116" s="180" t="s">
        <v>959</v>
      </c>
      <c r="E116" s="180" t="s">
        <v>983</v>
      </c>
      <c r="F116" s="180" t="s">
        <v>376</v>
      </c>
      <c r="G116" s="180" t="s">
        <v>1292</v>
      </c>
      <c r="H116" s="182">
        <v>281.2</v>
      </c>
      <c r="I116" s="182">
        <v>314.94</v>
      </c>
      <c r="J116" s="180">
        <v>8</v>
      </c>
      <c r="AL116" s="182">
        <v>281.2</v>
      </c>
      <c r="AM116" s="182">
        <v>0</v>
      </c>
      <c r="AP116" s="182">
        <v>281.2</v>
      </c>
      <c r="AQ116" s="182">
        <v>0</v>
      </c>
      <c r="AR116" s="182">
        <v>0</v>
      </c>
      <c r="AV116" s="182">
        <v>281.2</v>
      </c>
      <c r="AW116" s="182">
        <v>33.74</v>
      </c>
      <c r="AX116" s="182">
        <v>0</v>
      </c>
      <c r="AY116" s="182">
        <v>0</v>
      </c>
    </row>
    <row r="117" spans="1:51" x14ac:dyDescent="0.25">
      <c r="A117" s="490" t="s">
        <v>1271</v>
      </c>
      <c r="B117" s="180">
        <v>9674440</v>
      </c>
      <c r="C117" s="180" t="s">
        <v>958</v>
      </c>
      <c r="D117" s="180" t="s">
        <v>959</v>
      </c>
      <c r="E117" s="180" t="s">
        <v>983</v>
      </c>
      <c r="F117" s="180" t="s">
        <v>376</v>
      </c>
      <c r="G117" s="180" t="s">
        <v>1292</v>
      </c>
      <c r="H117" s="182">
        <v>843.6</v>
      </c>
      <c r="I117" s="182">
        <v>944.83</v>
      </c>
      <c r="J117" s="180">
        <v>24</v>
      </c>
      <c r="AL117" s="182">
        <v>843.6</v>
      </c>
      <c r="AM117" s="182">
        <v>0</v>
      </c>
      <c r="AP117" s="182">
        <v>843.6</v>
      </c>
      <c r="AQ117" s="182">
        <v>0</v>
      </c>
      <c r="AR117" s="182">
        <v>0</v>
      </c>
      <c r="AV117" s="182">
        <v>843.6</v>
      </c>
      <c r="AW117" s="182">
        <v>101.23</v>
      </c>
      <c r="AX117" s="182">
        <v>0</v>
      </c>
      <c r="AY117" s="182">
        <v>0</v>
      </c>
    </row>
    <row r="118" spans="1:51" x14ac:dyDescent="0.25">
      <c r="A118" s="490" t="s">
        <v>1272</v>
      </c>
      <c r="B118" s="180">
        <v>9674440</v>
      </c>
      <c r="C118" s="180" t="s">
        <v>958</v>
      </c>
      <c r="D118" s="180" t="s">
        <v>959</v>
      </c>
      <c r="E118" s="180" t="s">
        <v>983</v>
      </c>
      <c r="F118" s="180" t="s">
        <v>376</v>
      </c>
      <c r="G118" s="180" t="s">
        <v>1292</v>
      </c>
      <c r="H118" s="182">
        <v>1072.07</v>
      </c>
      <c r="I118" s="182">
        <v>1200.72</v>
      </c>
      <c r="J118" s="180">
        <v>30.5</v>
      </c>
      <c r="AL118" s="182">
        <v>1072.07</v>
      </c>
      <c r="AM118" s="182">
        <v>0</v>
      </c>
      <c r="AP118" s="182">
        <v>1072.07</v>
      </c>
      <c r="AQ118" s="182">
        <v>0</v>
      </c>
      <c r="AR118" s="182">
        <v>0</v>
      </c>
      <c r="AV118" s="182">
        <v>1072.07</v>
      </c>
      <c r="AW118" s="182">
        <v>128.65</v>
      </c>
      <c r="AX118" s="182">
        <v>0</v>
      </c>
      <c r="AY118" s="182">
        <v>0</v>
      </c>
    </row>
    <row r="119" spans="1:51" x14ac:dyDescent="0.25">
      <c r="A119" s="490" t="s">
        <v>1271</v>
      </c>
      <c r="B119" s="180">
        <v>12835159</v>
      </c>
      <c r="C119" s="180" t="s">
        <v>793</v>
      </c>
      <c r="D119" s="180" t="s">
        <v>1293</v>
      </c>
      <c r="E119" s="180" t="s">
        <v>983</v>
      </c>
      <c r="F119" s="180" t="s">
        <v>712</v>
      </c>
      <c r="G119" s="180" t="s">
        <v>1276</v>
      </c>
      <c r="H119" s="182">
        <v>773.3</v>
      </c>
      <c r="I119" s="182">
        <v>866.09</v>
      </c>
      <c r="J119" s="180">
        <v>22</v>
      </c>
      <c r="AL119" s="182">
        <v>773.3</v>
      </c>
      <c r="AM119" s="182">
        <v>0</v>
      </c>
      <c r="AP119" s="182">
        <v>773.3</v>
      </c>
      <c r="AQ119" s="182">
        <v>140</v>
      </c>
      <c r="AR119" s="182">
        <v>0</v>
      </c>
      <c r="AV119" s="182">
        <v>633.29999999999995</v>
      </c>
      <c r="AW119" s="182">
        <v>92.79</v>
      </c>
      <c r="AX119" s="182">
        <v>0</v>
      </c>
      <c r="AY119" s="182">
        <v>0</v>
      </c>
    </row>
    <row r="120" spans="1:51" x14ac:dyDescent="0.25">
      <c r="A120" s="490" t="s">
        <v>1272</v>
      </c>
      <c r="B120" s="180">
        <v>12835159</v>
      </c>
      <c r="C120" s="180" t="s">
        <v>793</v>
      </c>
      <c r="D120" s="180" t="s">
        <v>1293</v>
      </c>
      <c r="E120" s="180" t="s">
        <v>983</v>
      </c>
      <c r="F120" s="180" t="s">
        <v>712</v>
      </c>
      <c r="G120" s="180" t="s">
        <v>1276</v>
      </c>
      <c r="H120" s="182">
        <v>140.6</v>
      </c>
      <c r="I120" s="182">
        <v>157.47</v>
      </c>
      <c r="J120" s="180">
        <v>4</v>
      </c>
      <c r="AL120" s="182">
        <v>140.6</v>
      </c>
      <c r="AM120" s="182">
        <v>0</v>
      </c>
      <c r="AP120" s="182">
        <v>140.6</v>
      </c>
      <c r="AQ120" s="182">
        <v>22</v>
      </c>
      <c r="AR120" s="182">
        <v>0</v>
      </c>
      <c r="AV120" s="182">
        <v>118.6</v>
      </c>
      <c r="AW120" s="182">
        <v>16.87</v>
      </c>
      <c r="AX120" s="182">
        <v>0</v>
      </c>
      <c r="AY120" s="182">
        <v>0</v>
      </c>
    </row>
    <row r="121" spans="1:51" x14ac:dyDescent="0.25">
      <c r="A121" s="490" t="s">
        <v>1273</v>
      </c>
      <c r="B121" s="180">
        <v>12835159</v>
      </c>
      <c r="C121" s="180" t="s">
        <v>793</v>
      </c>
      <c r="D121" s="180" t="s">
        <v>1293</v>
      </c>
      <c r="E121" s="180" t="s">
        <v>983</v>
      </c>
      <c r="F121" s="180" t="s">
        <v>712</v>
      </c>
      <c r="G121" s="180" t="s">
        <v>1276</v>
      </c>
      <c r="H121" s="182">
        <v>1089.6500000000001</v>
      </c>
      <c r="I121" s="182">
        <v>1220.4100000000001</v>
      </c>
      <c r="J121" s="180">
        <v>31</v>
      </c>
      <c r="AL121" s="182">
        <v>1089.6500000000001</v>
      </c>
      <c r="AM121" s="182">
        <v>0</v>
      </c>
      <c r="AP121" s="182">
        <v>1089.6500000000001</v>
      </c>
      <c r="AQ121" s="182">
        <v>200</v>
      </c>
      <c r="AR121" s="182">
        <v>0</v>
      </c>
      <c r="AV121" s="182">
        <v>889.65</v>
      </c>
      <c r="AW121" s="182">
        <v>130.76</v>
      </c>
      <c r="AX121" s="182">
        <v>0</v>
      </c>
      <c r="AY121" s="182">
        <v>0</v>
      </c>
    </row>
    <row r="122" spans="1:51" x14ac:dyDescent="0.25">
      <c r="A122" s="490" t="s">
        <v>1267</v>
      </c>
      <c r="B122" s="180">
        <v>4745975</v>
      </c>
      <c r="C122" s="180" t="s">
        <v>753</v>
      </c>
      <c r="D122" s="180" t="s">
        <v>866</v>
      </c>
      <c r="E122" s="180" t="s">
        <v>983</v>
      </c>
      <c r="F122" s="180" t="s">
        <v>712</v>
      </c>
      <c r="G122" s="180" t="s">
        <v>1276</v>
      </c>
      <c r="H122" s="182">
        <v>1693.18</v>
      </c>
      <c r="I122" s="182">
        <v>5496.75</v>
      </c>
      <c r="J122" s="180">
        <v>63.25</v>
      </c>
      <c r="N122" s="182">
        <v>653.91</v>
      </c>
      <c r="O122" s="182">
        <v>1704.84</v>
      </c>
      <c r="P122" s="182">
        <v>840.75</v>
      </c>
      <c r="U122" s="182">
        <v>75</v>
      </c>
      <c r="V122" s="182">
        <v>150</v>
      </c>
      <c r="W122" s="182">
        <v>75</v>
      </c>
      <c r="AL122" s="182">
        <v>5192.68</v>
      </c>
      <c r="AM122" s="182">
        <v>300</v>
      </c>
      <c r="AP122" s="182">
        <v>4892.68</v>
      </c>
      <c r="AQ122" s="182">
        <v>1022</v>
      </c>
      <c r="AR122" s="182">
        <v>258</v>
      </c>
      <c r="AV122" s="182">
        <v>3912.68</v>
      </c>
      <c r="AW122" s="182">
        <v>304.07</v>
      </c>
      <c r="AX122" s="182">
        <v>0</v>
      </c>
      <c r="AY122" s="182">
        <v>0</v>
      </c>
    </row>
    <row r="123" spans="1:51" x14ac:dyDescent="0.25">
      <c r="A123" s="490" t="s">
        <v>1275</v>
      </c>
      <c r="B123" s="180">
        <v>7118495</v>
      </c>
      <c r="C123" s="180" t="s">
        <v>753</v>
      </c>
      <c r="D123" s="180" t="s">
        <v>754</v>
      </c>
      <c r="E123" s="180" t="s">
        <v>983</v>
      </c>
      <c r="F123" s="180" t="s">
        <v>376</v>
      </c>
      <c r="G123" s="180" t="s">
        <v>1294</v>
      </c>
      <c r="H123" s="182">
        <v>1803.4</v>
      </c>
      <c r="I123" s="182">
        <v>2051.4499999999998</v>
      </c>
      <c r="J123" s="180">
        <v>53.25</v>
      </c>
      <c r="R123" s="182">
        <v>31.64</v>
      </c>
      <c r="AL123" s="182">
        <v>1835.04</v>
      </c>
      <c r="AM123" s="182">
        <v>0</v>
      </c>
      <c r="AP123" s="182">
        <v>1835.04</v>
      </c>
      <c r="AQ123" s="182">
        <v>550</v>
      </c>
      <c r="AR123" s="182">
        <v>0</v>
      </c>
      <c r="AV123" s="182">
        <v>1285.04</v>
      </c>
      <c r="AW123" s="182">
        <v>216.41</v>
      </c>
      <c r="AX123" s="182">
        <v>0</v>
      </c>
      <c r="AY123" s="182">
        <v>0</v>
      </c>
    </row>
    <row r="124" spans="1:51" x14ac:dyDescent="0.25">
      <c r="A124" s="490" t="s">
        <v>1277</v>
      </c>
      <c r="B124" s="180">
        <v>7118495</v>
      </c>
      <c r="C124" s="180" t="s">
        <v>753</v>
      </c>
      <c r="D124" s="180" t="s">
        <v>754</v>
      </c>
      <c r="E124" s="180" t="s">
        <v>983</v>
      </c>
      <c r="F124" s="180" t="s">
        <v>376</v>
      </c>
      <c r="G124" s="180" t="s">
        <v>1294</v>
      </c>
      <c r="H124" s="182">
        <v>2170.5100000000002</v>
      </c>
      <c r="I124" s="182">
        <v>2430.9699999999998</v>
      </c>
      <c r="J124" s="180">
        <v>61.75</v>
      </c>
      <c r="AL124" s="182">
        <v>2170.5100000000002</v>
      </c>
      <c r="AM124" s="182">
        <v>0</v>
      </c>
      <c r="AP124" s="182">
        <v>2170.5100000000002</v>
      </c>
      <c r="AQ124" s="182">
        <v>650</v>
      </c>
      <c r="AR124" s="182">
        <v>0</v>
      </c>
      <c r="AV124" s="182">
        <v>1520.51</v>
      </c>
      <c r="AW124" s="182">
        <v>260.45999999999998</v>
      </c>
      <c r="AX124" s="182">
        <v>0</v>
      </c>
      <c r="AY124" s="182">
        <v>0</v>
      </c>
    </row>
    <row r="125" spans="1:51" x14ac:dyDescent="0.25">
      <c r="A125" s="490" t="s">
        <v>1266</v>
      </c>
      <c r="B125" s="180">
        <v>7118495</v>
      </c>
      <c r="C125" s="180" t="s">
        <v>753</v>
      </c>
      <c r="D125" s="180" t="s">
        <v>754</v>
      </c>
      <c r="E125" s="180" t="s">
        <v>983</v>
      </c>
      <c r="F125" s="180" t="s">
        <v>376</v>
      </c>
      <c r="G125" s="180" t="s">
        <v>1294</v>
      </c>
      <c r="H125" s="182">
        <v>1423.58</v>
      </c>
      <c r="I125" s="182">
        <v>1619.01</v>
      </c>
      <c r="J125" s="180">
        <v>41</v>
      </c>
      <c r="N125" s="182">
        <v>24.6</v>
      </c>
      <c r="AL125" s="182">
        <v>1448.18</v>
      </c>
      <c r="AM125" s="182">
        <v>0</v>
      </c>
      <c r="AP125" s="182">
        <v>1448.18</v>
      </c>
      <c r="AQ125" s="182">
        <v>434</v>
      </c>
      <c r="AR125" s="182">
        <v>0</v>
      </c>
      <c r="AV125" s="182">
        <v>1014.18</v>
      </c>
      <c r="AW125" s="182">
        <v>170.83</v>
      </c>
      <c r="AX125" s="182">
        <v>0</v>
      </c>
      <c r="AY125" s="182">
        <v>0</v>
      </c>
    </row>
    <row r="126" spans="1:51" x14ac:dyDescent="0.25">
      <c r="A126" s="490" t="s">
        <v>1267</v>
      </c>
      <c r="B126" s="180">
        <v>7118495</v>
      </c>
      <c r="C126" s="180" t="s">
        <v>753</v>
      </c>
      <c r="D126" s="180" t="s">
        <v>754</v>
      </c>
      <c r="E126" s="180" t="s">
        <v>983</v>
      </c>
      <c r="F126" s="180" t="s">
        <v>376</v>
      </c>
      <c r="G126" s="180" t="s">
        <v>1294</v>
      </c>
      <c r="H126" s="182">
        <v>984.2</v>
      </c>
      <c r="I126" s="182">
        <v>1114.5999999999999</v>
      </c>
      <c r="J126" s="180">
        <v>28.25</v>
      </c>
      <c r="N126" s="182">
        <v>12.3</v>
      </c>
      <c r="AL126" s="182">
        <v>996.5</v>
      </c>
      <c r="AM126" s="182">
        <v>0</v>
      </c>
      <c r="AP126" s="182">
        <v>996.5</v>
      </c>
      <c r="AQ126" s="182">
        <v>298</v>
      </c>
      <c r="AR126" s="182">
        <v>0</v>
      </c>
      <c r="AV126" s="182">
        <v>698.5</v>
      </c>
      <c r="AW126" s="182">
        <v>118.1</v>
      </c>
      <c r="AX126" s="182">
        <v>0</v>
      </c>
      <c r="AY126" s="182">
        <v>0</v>
      </c>
    </row>
    <row r="127" spans="1:51" x14ac:dyDescent="0.25">
      <c r="A127" s="490" t="s">
        <v>1268</v>
      </c>
      <c r="B127" s="180">
        <v>7118495</v>
      </c>
      <c r="C127" s="180" t="s">
        <v>753</v>
      </c>
      <c r="D127" s="180" t="s">
        <v>754</v>
      </c>
      <c r="E127" s="180" t="s">
        <v>983</v>
      </c>
      <c r="F127" s="180" t="s">
        <v>376</v>
      </c>
      <c r="G127" s="180" t="s">
        <v>1294</v>
      </c>
      <c r="H127" s="182">
        <v>843.6</v>
      </c>
      <c r="I127" s="182">
        <v>944.83</v>
      </c>
      <c r="J127" s="180">
        <v>24</v>
      </c>
      <c r="AL127" s="182">
        <v>843.6</v>
      </c>
      <c r="AM127" s="182">
        <v>0</v>
      </c>
      <c r="AP127" s="182">
        <v>843.6</v>
      </c>
      <c r="AQ127" s="182">
        <v>252</v>
      </c>
      <c r="AR127" s="182">
        <v>0</v>
      </c>
      <c r="AV127" s="182">
        <v>591.6</v>
      </c>
      <c r="AW127" s="182">
        <v>101.23</v>
      </c>
      <c r="AX127" s="182">
        <v>0</v>
      </c>
      <c r="AY127" s="182">
        <v>0</v>
      </c>
    </row>
    <row r="128" spans="1:51" x14ac:dyDescent="0.25">
      <c r="A128" s="490" t="s">
        <v>1269</v>
      </c>
      <c r="B128" s="180">
        <v>7118495</v>
      </c>
      <c r="C128" s="180" t="s">
        <v>753</v>
      </c>
      <c r="D128" s="180" t="s">
        <v>754</v>
      </c>
      <c r="E128" s="180" t="s">
        <v>983</v>
      </c>
      <c r="F128" s="180" t="s">
        <v>376</v>
      </c>
      <c r="G128" s="180" t="s">
        <v>1294</v>
      </c>
      <c r="H128" s="182">
        <v>1546.6</v>
      </c>
      <c r="I128" s="182">
        <v>1732.19</v>
      </c>
      <c r="J128" s="180">
        <v>44</v>
      </c>
      <c r="AL128" s="182">
        <v>1546.6</v>
      </c>
      <c r="AM128" s="182">
        <v>0</v>
      </c>
      <c r="AP128" s="182">
        <v>1546.6</v>
      </c>
      <c r="AQ128" s="182">
        <v>462</v>
      </c>
      <c r="AR128" s="182">
        <v>0</v>
      </c>
      <c r="AV128" s="182">
        <v>1084.5999999999999</v>
      </c>
      <c r="AW128" s="182">
        <v>185.59</v>
      </c>
      <c r="AX128" s="182">
        <v>0</v>
      </c>
      <c r="AY128" s="182">
        <v>0</v>
      </c>
    </row>
    <row r="129" spans="1:51" x14ac:dyDescent="0.25">
      <c r="A129" s="490" t="s">
        <v>1263</v>
      </c>
      <c r="B129" s="180">
        <v>7118495</v>
      </c>
      <c r="C129" s="180" t="s">
        <v>753</v>
      </c>
      <c r="D129" s="180" t="s">
        <v>754</v>
      </c>
      <c r="E129" s="180" t="s">
        <v>983</v>
      </c>
      <c r="F129" s="180" t="s">
        <v>376</v>
      </c>
      <c r="G129" s="180" t="s">
        <v>1294</v>
      </c>
      <c r="H129" s="182">
        <v>1019.35</v>
      </c>
      <c r="I129" s="182">
        <v>1141.67</v>
      </c>
      <c r="J129" s="180">
        <v>29</v>
      </c>
      <c r="AL129" s="182">
        <v>1019.35</v>
      </c>
      <c r="AM129" s="182">
        <v>0</v>
      </c>
      <c r="AP129" s="182">
        <v>1019.35</v>
      </c>
      <c r="AQ129" s="182">
        <v>306</v>
      </c>
      <c r="AR129" s="182">
        <v>0</v>
      </c>
      <c r="AV129" s="182">
        <v>713.35</v>
      </c>
      <c r="AW129" s="182">
        <v>122.32</v>
      </c>
      <c r="AX129" s="182">
        <v>0</v>
      </c>
      <c r="AY129" s="182">
        <v>0</v>
      </c>
    </row>
    <row r="130" spans="1:51" x14ac:dyDescent="0.25">
      <c r="A130" s="490" t="s">
        <v>1263</v>
      </c>
      <c r="B130" s="180">
        <v>7118495</v>
      </c>
      <c r="C130" s="180" t="s">
        <v>753</v>
      </c>
      <c r="D130" s="180" t="s">
        <v>754</v>
      </c>
      <c r="E130" s="180" t="s">
        <v>983</v>
      </c>
      <c r="F130" s="180" t="s">
        <v>376</v>
      </c>
      <c r="G130" s="180" t="s">
        <v>981</v>
      </c>
      <c r="H130" s="182">
        <v>2179.3000000000002</v>
      </c>
      <c r="I130" s="182">
        <v>2539.2399999999998</v>
      </c>
      <c r="J130" s="180">
        <v>64</v>
      </c>
      <c r="N130" s="182">
        <v>98.42</v>
      </c>
      <c r="AL130" s="182">
        <v>2277.7199999999998</v>
      </c>
      <c r="AM130" s="182">
        <v>0</v>
      </c>
      <c r="AP130" s="182">
        <v>2277.7199999999998</v>
      </c>
      <c r="AQ130" s="182">
        <v>682</v>
      </c>
      <c r="AR130" s="182">
        <v>0</v>
      </c>
      <c r="AV130" s="182">
        <v>1595.72</v>
      </c>
      <c r="AW130" s="182">
        <v>261.52</v>
      </c>
      <c r="AX130" s="182">
        <v>0</v>
      </c>
      <c r="AY130" s="182">
        <v>0</v>
      </c>
    </row>
    <row r="131" spans="1:51" x14ac:dyDescent="0.25">
      <c r="A131" s="490" t="s">
        <v>1269</v>
      </c>
      <c r="B131" s="180">
        <v>12414219</v>
      </c>
      <c r="C131" s="180" t="s">
        <v>1295</v>
      </c>
      <c r="D131" s="180" t="s">
        <v>1296</v>
      </c>
      <c r="E131" s="180" t="s">
        <v>983</v>
      </c>
      <c r="F131" s="180" t="s">
        <v>376</v>
      </c>
      <c r="G131" s="180" t="s">
        <v>1292</v>
      </c>
      <c r="H131" s="182">
        <v>562.4</v>
      </c>
      <c r="I131" s="182">
        <v>629.89</v>
      </c>
      <c r="J131" s="180">
        <v>16</v>
      </c>
      <c r="AL131" s="182">
        <v>562.4</v>
      </c>
      <c r="AM131" s="182">
        <v>0</v>
      </c>
      <c r="AP131" s="182">
        <v>562.4</v>
      </c>
      <c r="AQ131" s="182">
        <v>104</v>
      </c>
      <c r="AR131" s="182">
        <v>0</v>
      </c>
      <c r="AV131" s="182">
        <v>458.4</v>
      </c>
      <c r="AW131" s="182">
        <v>67.489999999999995</v>
      </c>
      <c r="AX131" s="182">
        <v>0</v>
      </c>
      <c r="AY131" s="182">
        <v>0</v>
      </c>
    </row>
    <row r="132" spans="1:51" x14ac:dyDescent="0.25">
      <c r="A132" s="490" t="s">
        <v>1265</v>
      </c>
      <c r="B132" s="180">
        <v>12414219</v>
      </c>
      <c r="C132" s="180" t="s">
        <v>1295</v>
      </c>
      <c r="D132" s="180" t="s">
        <v>1296</v>
      </c>
      <c r="E132" s="180" t="s">
        <v>983</v>
      </c>
      <c r="F132" s="180" t="s">
        <v>376</v>
      </c>
      <c r="G132" s="180" t="s">
        <v>1292</v>
      </c>
      <c r="H132" s="182">
        <v>281.2</v>
      </c>
      <c r="I132" s="182">
        <v>314.94</v>
      </c>
      <c r="J132" s="180">
        <v>8</v>
      </c>
      <c r="AL132" s="182">
        <v>281.2</v>
      </c>
      <c r="AM132" s="182">
        <v>0</v>
      </c>
      <c r="AP132" s="182">
        <v>281.2</v>
      </c>
      <c r="AQ132" s="182">
        <v>44</v>
      </c>
      <c r="AR132" s="182">
        <v>0</v>
      </c>
      <c r="AV132" s="182">
        <v>237.2</v>
      </c>
      <c r="AW132" s="182">
        <v>33.74</v>
      </c>
      <c r="AX132" s="182">
        <v>0</v>
      </c>
      <c r="AY132" s="182">
        <v>0</v>
      </c>
    </row>
    <row r="133" spans="1:51" x14ac:dyDescent="0.25">
      <c r="A133" s="490" t="s">
        <v>1271</v>
      </c>
      <c r="B133" s="180">
        <v>12414219</v>
      </c>
      <c r="C133" s="180" t="s">
        <v>1295</v>
      </c>
      <c r="D133" s="180" t="s">
        <v>1296</v>
      </c>
      <c r="E133" s="180" t="s">
        <v>983</v>
      </c>
      <c r="F133" s="180" t="s">
        <v>376</v>
      </c>
      <c r="G133" s="180" t="s">
        <v>1292</v>
      </c>
      <c r="H133" s="182">
        <v>1441.15</v>
      </c>
      <c r="I133" s="182">
        <v>1663.29</v>
      </c>
      <c r="J133" s="180">
        <v>42</v>
      </c>
      <c r="N133" s="182">
        <v>49.21</v>
      </c>
      <c r="AL133" s="182">
        <v>1490.36</v>
      </c>
      <c r="AM133" s="182">
        <v>0</v>
      </c>
      <c r="AP133" s="182">
        <v>1490.36</v>
      </c>
      <c r="AQ133" s="182">
        <v>298</v>
      </c>
      <c r="AR133" s="182">
        <v>0</v>
      </c>
      <c r="AV133" s="182">
        <v>1192.3599999999999</v>
      </c>
      <c r="AW133" s="182">
        <v>172.93</v>
      </c>
      <c r="AX133" s="182">
        <v>0</v>
      </c>
      <c r="AY133" s="182">
        <v>0</v>
      </c>
    </row>
    <row r="134" spans="1:51" x14ac:dyDescent="0.25">
      <c r="A134" s="490" t="s">
        <v>1272</v>
      </c>
      <c r="B134" s="180">
        <v>12414219</v>
      </c>
      <c r="C134" s="180" t="s">
        <v>1295</v>
      </c>
      <c r="D134" s="180" t="s">
        <v>1296</v>
      </c>
      <c r="E134" s="180" t="s">
        <v>983</v>
      </c>
      <c r="F134" s="180" t="s">
        <v>376</v>
      </c>
      <c r="G134" s="180" t="s">
        <v>1292</v>
      </c>
      <c r="H134" s="182">
        <v>562.4</v>
      </c>
      <c r="I134" s="182">
        <v>629.88</v>
      </c>
      <c r="J134" s="180">
        <v>16</v>
      </c>
      <c r="AL134" s="182">
        <v>562.4</v>
      </c>
      <c r="AM134" s="182">
        <v>0</v>
      </c>
      <c r="AP134" s="182">
        <v>562.4</v>
      </c>
      <c r="AQ134" s="182">
        <v>88</v>
      </c>
      <c r="AR134" s="182">
        <v>0</v>
      </c>
      <c r="AV134" s="182">
        <v>474.4</v>
      </c>
      <c r="AW134" s="182">
        <v>67.48</v>
      </c>
      <c r="AX134" s="182">
        <v>0</v>
      </c>
      <c r="AY134" s="182">
        <v>0</v>
      </c>
    </row>
    <row r="135" spans="1:51" x14ac:dyDescent="0.25">
      <c r="A135" s="490" t="s">
        <v>1273</v>
      </c>
      <c r="B135" s="180">
        <v>12414219</v>
      </c>
      <c r="C135" s="180" t="s">
        <v>1295</v>
      </c>
      <c r="D135" s="180" t="s">
        <v>1296</v>
      </c>
      <c r="E135" s="180" t="s">
        <v>983</v>
      </c>
      <c r="F135" s="180" t="s">
        <v>376</v>
      </c>
      <c r="G135" s="180" t="s">
        <v>1292</v>
      </c>
      <c r="H135" s="182">
        <v>421.8</v>
      </c>
      <c r="I135" s="182">
        <v>497.02</v>
      </c>
      <c r="J135" s="180">
        <v>12.5</v>
      </c>
      <c r="N135" s="182">
        <v>24.6</v>
      </c>
      <c r="AL135" s="182">
        <v>446.4</v>
      </c>
      <c r="AM135" s="182">
        <v>0</v>
      </c>
      <c r="AP135" s="182">
        <v>446.4</v>
      </c>
      <c r="AQ135" s="182">
        <v>80</v>
      </c>
      <c r="AR135" s="182">
        <v>0</v>
      </c>
      <c r="AV135" s="182">
        <v>366.4</v>
      </c>
      <c r="AW135" s="182">
        <v>50.62</v>
      </c>
      <c r="AX135" s="182">
        <v>0</v>
      </c>
      <c r="AY135" s="182">
        <v>0</v>
      </c>
    </row>
    <row r="136" spans="1:51" x14ac:dyDescent="0.25">
      <c r="A136" s="490" t="s">
        <v>1274</v>
      </c>
      <c r="B136" s="180">
        <v>12414219</v>
      </c>
      <c r="C136" s="180" t="s">
        <v>1295</v>
      </c>
      <c r="D136" s="180" t="s">
        <v>1296</v>
      </c>
      <c r="E136" s="180" t="s">
        <v>983</v>
      </c>
      <c r="F136" s="180" t="s">
        <v>376</v>
      </c>
      <c r="G136" s="180" t="s">
        <v>1292</v>
      </c>
      <c r="H136" s="182">
        <v>281.2</v>
      </c>
      <c r="I136" s="182">
        <v>314.94</v>
      </c>
      <c r="J136" s="180">
        <v>8</v>
      </c>
      <c r="AL136" s="182">
        <v>281.2</v>
      </c>
      <c r="AM136" s="182">
        <v>0</v>
      </c>
      <c r="AP136" s="182">
        <v>281.2</v>
      </c>
      <c r="AQ136" s="182">
        <v>44</v>
      </c>
      <c r="AR136" s="182">
        <v>0</v>
      </c>
      <c r="AV136" s="182">
        <v>237.2</v>
      </c>
      <c r="AW136" s="182">
        <v>33.74</v>
      </c>
      <c r="AX136" s="182">
        <v>0</v>
      </c>
      <c r="AY136" s="182">
        <v>0</v>
      </c>
    </row>
    <row r="137" spans="1:51" x14ac:dyDescent="0.25">
      <c r="A137" s="490" t="s">
        <v>1275</v>
      </c>
      <c r="B137" s="180">
        <v>9380772</v>
      </c>
      <c r="C137" s="180" t="s">
        <v>960</v>
      </c>
      <c r="D137" s="180" t="s">
        <v>961</v>
      </c>
      <c r="E137" s="180" t="s">
        <v>983</v>
      </c>
      <c r="F137" s="180" t="s">
        <v>376</v>
      </c>
      <c r="G137" s="180" t="s">
        <v>980</v>
      </c>
      <c r="H137" s="182">
        <v>237.74</v>
      </c>
      <c r="I137" s="182">
        <v>266.27</v>
      </c>
      <c r="J137" s="180">
        <v>7</v>
      </c>
      <c r="AL137" s="182">
        <v>237.74</v>
      </c>
      <c r="AM137" s="182">
        <v>0</v>
      </c>
      <c r="AP137" s="182">
        <v>237.74</v>
      </c>
      <c r="AQ137" s="182">
        <v>38</v>
      </c>
      <c r="AR137" s="182">
        <v>0</v>
      </c>
      <c r="AV137" s="182">
        <v>199.74</v>
      </c>
      <c r="AW137" s="182">
        <v>28.53</v>
      </c>
      <c r="AX137" s="182">
        <v>0</v>
      </c>
      <c r="AY137" s="182">
        <v>0</v>
      </c>
    </row>
    <row r="138" spans="1:51" x14ac:dyDescent="0.25">
      <c r="A138" s="490" t="s">
        <v>1271</v>
      </c>
      <c r="B138" s="180">
        <v>12951361</v>
      </c>
      <c r="C138" s="180" t="s">
        <v>960</v>
      </c>
      <c r="D138" s="180" t="s">
        <v>1297</v>
      </c>
      <c r="E138" s="180" t="s">
        <v>983</v>
      </c>
      <c r="F138" s="180" t="s">
        <v>376</v>
      </c>
      <c r="G138" s="180" t="s">
        <v>1030</v>
      </c>
      <c r="H138" s="182">
        <v>1275</v>
      </c>
      <c r="I138" s="182">
        <v>1428</v>
      </c>
      <c r="J138" s="180">
        <v>34</v>
      </c>
      <c r="AL138" s="182">
        <v>1275</v>
      </c>
      <c r="AM138" s="182">
        <v>0</v>
      </c>
      <c r="AP138" s="182">
        <v>1275</v>
      </c>
      <c r="AQ138" s="182">
        <v>22</v>
      </c>
      <c r="AR138" s="182">
        <v>0</v>
      </c>
      <c r="AV138" s="182">
        <v>1253</v>
      </c>
      <c r="AW138" s="182">
        <v>153</v>
      </c>
      <c r="AX138" s="182">
        <v>0</v>
      </c>
      <c r="AY138" s="182">
        <v>0</v>
      </c>
    </row>
    <row r="139" spans="1:51" x14ac:dyDescent="0.25">
      <c r="A139" s="490" t="s">
        <v>1272</v>
      </c>
      <c r="B139" s="180">
        <v>12951361</v>
      </c>
      <c r="C139" s="180" t="s">
        <v>960</v>
      </c>
      <c r="D139" s="180" t="s">
        <v>1297</v>
      </c>
      <c r="E139" s="180" t="s">
        <v>983</v>
      </c>
      <c r="F139" s="180" t="s">
        <v>376</v>
      </c>
      <c r="G139" s="180" t="s">
        <v>1030</v>
      </c>
      <c r="H139" s="182">
        <v>2100</v>
      </c>
      <c r="I139" s="182">
        <v>2352</v>
      </c>
      <c r="J139" s="180">
        <v>56</v>
      </c>
      <c r="AL139" s="182">
        <v>2100</v>
      </c>
      <c r="AM139" s="182">
        <v>0</v>
      </c>
      <c r="AP139" s="182">
        <v>2100</v>
      </c>
      <c r="AQ139" s="182">
        <v>318</v>
      </c>
      <c r="AR139" s="182">
        <v>0</v>
      </c>
      <c r="AV139" s="182">
        <v>1782</v>
      </c>
      <c r="AW139" s="182">
        <v>252</v>
      </c>
      <c r="AX139" s="182">
        <v>0</v>
      </c>
      <c r="AY139" s="182">
        <v>0</v>
      </c>
    </row>
    <row r="140" spans="1:51" x14ac:dyDescent="0.25">
      <c r="A140" s="490" t="s">
        <v>1275</v>
      </c>
      <c r="B140" s="180">
        <v>10429316</v>
      </c>
      <c r="C140" s="180" t="s">
        <v>960</v>
      </c>
      <c r="D140" s="180" t="s">
        <v>962</v>
      </c>
      <c r="E140" s="180" t="s">
        <v>983</v>
      </c>
      <c r="F140" s="180" t="s">
        <v>376</v>
      </c>
      <c r="G140" s="180" t="s">
        <v>1298</v>
      </c>
      <c r="H140" s="182">
        <v>790.88</v>
      </c>
      <c r="I140" s="182">
        <v>885.78</v>
      </c>
      <c r="J140" s="180">
        <v>22.5</v>
      </c>
      <c r="AL140" s="182">
        <v>790.88</v>
      </c>
      <c r="AM140" s="182">
        <v>0</v>
      </c>
      <c r="AP140" s="182">
        <v>790.88</v>
      </c>
      <c r="AQ140" s="182">
        <v>12</v>
      </c>
      <c r="AR140" s="182">
        <v>0</v>
      </c>
      <c r="AV140" s="182">
        <v>778.88</v>
      </c>
      <c r="AW140" s="182">
        <v>94.9</v>
      </c>
      <c r="AX140" s="182">
        <v>0</v>
      </c>
      <c r="AY140" s="182">
        <v>0</v>
      </c>
    </row>
    <row r="141" spans="1:51" x14ac:dyDescent="0.25">
      <c r="A141" s="490" t="s">
        <v>1277</v>
      </c>
      <c r="B141" s="180">
        <v>10429316</v>
      </c>
      <c r="C141" s="180" t="s">
        <v>960</v>
      </c>
      <c r="D141" s="180" t="s">
        <v>962</v>
      </c>
      <c r="E141" s="180" t="s">
        <v>983</v>
      </c>
      <c r="F141" s="180" t="s">
        <v>376</v>
      </c>
      <c r="G141" s="180" t="s">
        <v>1298</v>
      </c>
      <c r="H141" s="182">
        <v>1845.38</v>
      </c>
      <c r="I141" s="182">
        <v>2066.8200000000002</v>
      </c>
      <c r="J141" s="180">
        <v>52.5</v>
      </c>
      <c r="AL141" s="182">
        <v>1845.38</v>
      </c>
      <c r="AM141" s="182">
        <v>0</v>
      </c>
      <c r="AP141" s="182">
        <v>1845.38</v>
      </c>
      <c r="AQ141" s="182">
        <v>146</v>
      </c>
      <c r="AR141" s="182">
        <v>0</v>
      </c>
      <c r="AV141" s="182">
        <v>1699.38</v>
      </c>
      <c r="AW141" s="182">
        <v>221.44</v>
      </c>
      <c r="AX141" s="182">
        <v>0</v>
      </c>
      <c r="AY141" s="182">
        <v>0</v>
      </c>
    </row>
    <row r="142" spans="1:51" x14ac:dyDescent="0.25">
      <c r="A142" s="490" t="s">
        <v>1266</v>
      </c>
      <c r="B142" s="180">
        <v>10429316</v>
      </c>
      <c r="C142" s="180" t="s">
        <v>960</v>
      </c>
      <c r="D142" s="180" t="s">
        <v>962</v>
      </c>
      <c r="E142" s="180" t="s">
        <v>983</v>
      </c>
      <c r="F142" s="180" t="s">
        <v>376</v>
      </c>
      <c r="G142" s="180" t="s">
        <v>1298</v>
      </c>
      <c r="H142" s="182">
        <v>5123.12</v>
      </c>
      <c r="I142" s="182">
        <v>5922.44</v>
      </c>
      <c r="J142" s="180">
        <v>149.5</v>
      </c>
      <c r="N142" s="182">
        <v>184.54</v>
      </c>
      <c r="AL142" s="182">
        <v>5307.66</v>
      </c>
      <c r="AM142" s="182">
        <v>0</v>
      </c>
      <c r="AP142" s="182">
        <v>5307.66</v>
      </c>
      <c r="AQ142" s="182">
        <v>992</v>
      </c>
      <c r="AR142" s="182">
        <v>110</v>
      </c>
      <c r="AV142" s="182">
        <v>4205.66</v>
      </c>
      <c r="AW142" s="182">
        <v>614.78</v>
      </c>
      <c r="AX142" s="182">
        <v>0</v>
      </c>
      <c r="AY142" s="182">
        <v>0</v>
      </c>
    </row>
    <row r="143" spans="1:51" x14ac:dyDescent="0.25">
      <c r="A143" s="490" t="s">
        <v>1267</v>
      </c>
      <c r="B143" s="180">
        <v>10429316</v>
      </c>
      <c r="C143" s="180" t="s">
        <v>960</v>
      </c>
      <c r="D143" s="180" t="s">
        <v>962</v>
      </c>
      <c r="E143" s="180" t="s">
        <v>983</v>
      </c>
      <c r="F143" s="180" t="s">
        <v>376</v>
      </c>
      <c r="G143" s="180" t="s">
        <v>1298</v>
      </c>
      <c r="H143" s="182">
        <v>281.2</v>
      </c>
      <c r="I143" s="182">
        <v>314.94</v>
      </c>
      <c r="J143" s="180">
        <v>8</v>
      </c>
      <c r="AL143" s="182">
        <v>281.2</v>
      </c>
      <c r="AM143" s="182">
        <v>0</v>
      </c>
      <c r="AP143" s="182">
        <v>281.2</v>
      </c>
      <c r="AQ143" s="182">
        <v>0</v>
      </c>
      <c r="AR143" s="182">
        <v>0</v>
      </c>
      <c r="AV143" s="182">
        <v>281.2</v>
      </c>
      <c r="AW143" s="182">
        <v>33.74</v>
      </c>
      <c r="AX143" s="182">
        <v>0</v>
      </c>
      <c r="AY143" s="182">
        <v>0</v>
      </c>
    </row>
    <row r="144" spans="1:51" x14ac:dyDescent="0.25">
      <c r="A144" s="490" t="s">
        <v>1268</v>
      </c>
      <c r="B144" s="180">
        <v>10429316</v>
      </c>
      <c r="C144" s="180" t="s">
        <v>960</v>
      </c>
      <c r="D144" s="180" t="s">
        <v>962</v>
      </c>
      <c r="E144" s="180" t="s">
        <v>983</v>
      </c>
      <c r="F144" s="180" t="s">
        <v>376</v>
      </c>
      <c r="G144" s="180" t="s">
        <v>1298</v>
      </c>
      <c r="H144" s="182">
        <v>984.2</v>
      </c>
      <c r="I144" s="182">
        <v>1102.3</v>
      </c>
      <c r="J144" s="180">
        <v>28</v>
      </c>
      <c r="AL144" s="182">
        <v>984.2</v>
      </c>
      <c r="AM144" s="182">
        <v>0</v>
      </c>
      <c r="AP144" s="182">
        <v>984.2</v>
      </c>
      <c r="AQ144" s="182">
        <v>42</v>
      </c>
      <c r="AR144" s="182">
        <v>0</v>
      </c>
      <c r="AV144" s="182">
        <v>942.2</v>
      </c>
      <c r="AW144" s="182">
        <v>118.1</v>
      </c>
      <c r="AX144" s="182">
        <v>0</v>
      </c>
      <c r="AY144" s="182">
        <v>0</v>
      </c>
    </row>
    <row r="145" spans="1:51" x14ac:dyDescent="0.25">
      <c r="A145" s="490" t="s">
        <v>1269</v>
      </c>
      <c r="B145" s="180">
        <v>10429316</v>
      </c>
      <c r="C145" s="180" t="s">
        <v>960</v>
      </c>
      <c r="D145" s="180" t="s">
        <v>962</v>
      </c>
      <c r="E145" s="180" t="s">
        <v>983</v>
      </c>
      <c r="F145" s="180" t="s">
        <v>376</v>
      </c>
      <c r="G145" s="180" t="s">
        <v>1298</v>
      </c>
      <c r="H145" s="182">
        <v>421.8</v>
      </c>
      <c r="I145" s="182">
        <v>472.41</v>
      </c>
      <c r="J145" s="180">
        <v>12</v>
      </c>
      <c r="AL145" s="182">
        <v>421.8</v>
      </c>
      <c r="AM145" s="182">
        <v>0</v>
      </c>
      <c r="AP145" s="182">
        <v>421.8</v>
      </c>
      <c r="AQ145" s="182">
        <v>0</v>
      </c>
      <c r="AR145" s="182">
        <v>0</v>
      </c>
      <c r="AV145" s="182">
        <v>421.8</v>
      </c>
      <c r="AW145" s="182">
        <v>50.61</v>
      </c>
      <c r="AX145" s="182">
        <v>0</v>
      </c>
      <c r="AY145" s="182">
        <v>0</v>
      </c>
    </row>
    <row r="146" spans="1:51" x14ac:dyDescent="0.25">
      <c r="A146" s="490" t="s">
        <v>1263</v>
      </c>
      <c r="B146" s="180">
        <v>10429316</v>
      </c>
      <c r="C146" s="180" t="s">
        <v>960</v>
      </c>
      <c r="D146" s="180" t="s">
        <v>962</v>
      </c>
      <c r="E146" s="180" t="s">
        <v>983</v>
      </c>
      <c r="F146" s="180" t="s">
        <v>376</v>
      </c>
      <c r="G146" s="180" t="s">
        <v>1298</v>
      </c>
      <c r="H146" s="182">
        <v>140.6</v>
      </c>
      <c r="I146" s="182">
        <v>157.47</v>
      </c>
      <c r="J146" s="180">
        <v>4</v>
      </c>
      <c r="AL146" s="182">
        <v>140.6</v>
      </c>
      <c r="AM146" s="182">
        <v>0</v>
      </c>
      <c r="AP146" s="182">
        <v>140.6</v>
      </c>
      <c r="AQ146" s="182">
        <v>0</v>
      </c>
      <c r="AR146" s="182">
        <v>0</v>
      </c>
      <c r="AV146" s="182">
        <v>140.6</v>
      </c>
      <c r="AW146" s="182">
        <v>16.87</v>
      </c>
      <c r="AX146" s="182">
        <v>0</v>
      </c>
      <c r="AY146" s="182">
        <v>0</v>
      </c>
    </row>
    <row r="147" spans="1:51" x14ac:dyDescent="0.25">
      <c r="A147" s="490" t="s">
        <v>1265</v>
      </c>
      <c r="B147" s="180">
        <v>10429316</v>
      </c>
      <c r="C147" s="180" t="s">
        <v>960</v>
      </c>
      <c r="D147" s="180" t="s">
        <v>962</v>
      </c>
      <c r="E147" s="180" t="s">
        <v>983</v>
      </c>
      <c r="F147" s="180" t="s">
        <v>376</v>
      </c>
      <c r="G147" s="180" t="s">
        <v>1298</v>
      </c>
      <c r="H147" s="182">
        <v>667.85</v>
      </c>
      <c r="I147" s="182">
        <v>748</v>
      </c>
      <c r="J147" s="180">
        <v>19</v>
      </c>
      <c r="AL147" s="182">
        <v>667.85</v>
      </c>
      <c r="AM147" s="182">
        <v>0</v>
      </c>
      <c r="AP147" s="182">
        <v>667.85</v>
      </c>
      <c r="AQ147" s="182">
        <v>0</v>
      </c>
      <c r="AR147" s="182">
        <v>0</v>
      </c>
      <c r="AV147" s="182">
        <v>667.85</v>
      </c>
      <c r="AW147" s="182">
        <v>80.150000000000006</v>
      </c>
      <c r="AX147" s="182">
        <v>0</v>
      </c>
      <c r="AY147" s="182">
        <v>0</v>
      </c>
    </row>
    <row r="148" spans="1:51" x14ac:dyDescent="0.25">
      <c r="A148" s="490" t="s">
        <v>1271</v>
      </c>
      <c r="B148" s="180">
        <v>10429316</v>
      </c>
      <c r="C148" s="180" t="s">
        <v>960</v>
      </c>
      <c r="D148" s="180" t="s">
        <v>962</v>
      </c>
      <c r="E148" s="180" t="s">
        <v>983</v>
      </c>
      <c r="F148" s="180" t="s">
        <v>376</v>
      </c>
      <c r="G148" s="180" t="s">
        <v>1298</v>
      </c>
      <c r="H148" s="182">
        <v>913.9</v>
      </c>
      <c r="I148" s="182">
        <v>1023.57</v>
      </c>
      <c r="J148" s="180">
        <v>26</v>
      </c>
      <c r="AL148" s="182">
        <v>913.9</v>
      </c>
      <c r="AM148" s="182">
        <v>0</v>
      </c>
      <c r="AP148" s="182">
        <v>913.9</v>
      </c>
      <c r="AQ148" s="182">
        <v>0</v>
      </c>
      <c r="AR148" s="182">
        <v>0</v>
      </c>
      <c r="AV148" s="182">
        <v>913.9</v>
      </c>
      <c r="AW148" s="182">
        <v>109.67</v>
      </c>
      <c r="AX148" s="182">
        <v>0</v>
      </c>
      <c r="AY148" s="182">
        <v>0</v>
      </c>
    </row>
    <row r="149" spans="1:51" x14ac:dyDescent="0.25">
      <c r="A149" s="490" t="s">
        <v>1272</v>
      </c>
      <c r="B149" s="180">
        <v>10429316</v>
      </c>
      <c r="C149" s="180" t="s">
        <v>960</v>
      </c>
      <c r="D149" s="180" t="s">
        <v>962</v>
      </c>
      <c r="E149" s="180" t="s">
        <v>983</v>
      </c>
      <c r="F149" s="180" t="s">
        <v>376</v>
      </c>
      <c r="G149" s="180" t="s">
        <v>1298</v>
      </c>
      <c r="H149" s="182">
        <v>738.15</v>
      </c>
      <c r="I149" s="182">
        <v>826.73</v>
      </c>
      <c r="J149" s="180">
        <v>21</v>
      </c>
      <c r="AL149" s="182">
        <v>738.15</v>
      </c>
      <c r="AM149" s="182">
        <v>0</v>
      </c>
      <c r="AP149" s="182">
        <v>738.15</v>
      </c>
      <c r="AQ149" s="182">
        <v>0</v>
      </c>
      <c r="AR149" s="182">
        <v>0</v>
      </c>
      <c r="AV149" s="182">
        <v>738.15</v>
      </c>
      <c r="AW149" s="182">
        <v>88.58</v>
      </c>
      <c r="AX149" s="182">
        <v>0</v>
      </c>
      <c r="AY149" s="182">
        <v>0</v>
      </c>
    </row>
    <row r="150" spans="1:51" x14ac:dyDescent="0.25">
      <c r="A150" s="490" t="s">
        <v>1273</v>
      </c>
      <c r="B150" s="180">
        <v>10429316</v>
      </c>
      <c r="C150" s="180" t="s">
        <v>960</v>
      </c>
      <c r="D150" s="180" t="s">
        <v>962</v>
      </c>
      <c r="E150" s="180" t="s">
        <v>983</v>
      </c>
      <c r="F150" s="180" t="s">
        <v>376</v>
      </c>
      <c r="G150" s="180" t="s">
        <v>1298</v>
      </c>
      <c r="H150" s="182">
        <v>1124.8</v>
      </c>
      <c r="I150" s="182">
        <v>1259.77</v>
      </c>
      <c r="J150" s="180">
        <v>32</v>
      </c>
      <c r="AL150" s="182">
        <v>1124.8</v>
      </c>
      <c r="AM150" s="182">
        <v>0</v>
      </c>
      <c r="AP150" s="182">
        <v>1124.8</v>
      </c>
      <c r="AQ150" s="182">
        <v>20</v>
      </c>
      <c r="AR150" s="182">
        <v>0</v>
      </c>
      <c r="AV150" s="182">
        <v>1104.8</v>
      </c>
      <c r="AW150" s="182">
        <v>134.97</v>
      </c>
      <c r="AX150" s="182">
        <v>0</v>
      </c>
      <c r="AY150" s="182">
        <v>0</v>
      </c>
    </row>
    <row r="151" spans="1:51" x14ac:dyDescent="0.25">
      <c r="A151" s="490" t="s">
        <v>1274</v>
      </c>
      <c r="B151" s="180">
        <v>10429316</v>
      </c>
      <c r="C151" s="180" t="s">
        <v>960</v>
      </c>
      <c r="D151" s="180" t="s">
        <v>962</v>
      </c>
      <c r="E151" s="180" t="s">
        <v>983</v>
      </c>
      <c r="F151" s="180" t="s">
        <v>376</v>
      </c>
      <c r="G151" s="180" t="s">
        <v>1298</v>
      </c>
      <c r="H151" s="182">
        <v>492.1</v>
      </c>
      <c r="I151" s="182">
        <v>551.15</v>
      </c>
      <c r="J151" s="180">
        <v>14</v>
      </c>
      <c r="AL151" s="182">
        <v>492.1</v>
      </c>
      <c r="AM151" s="182">
        <v>0</v>
      </c>
      <c r="AP151" s="182">
        <v>492.1</v>
      </c>
      <c r="AQ151" s="182">
        <v>0</v>
      </c>
      <c r="AR151" s="182">
        <v>0</v>
      </c>
      <c r="AV151" s="182">
        <v>492.1</v>
      </c>
      <c r="AW151" s="182">
        <v>59.05</v>
      </c>
      <c r="AX151" s="182">
        <v>0</v>
      </c>
      <c r="AY151" s="182">
        <v>0</v>
      </c>
    </row>
    <row r="152" spans="1:51" x14ac:dyDescent="0.25">
      <c r="A152" s="490" t="s">
        <v>1275</v>
      </c>
      <c r="B152" s="180">
        <v>6207822</v>
      </c>
      <c r="C152" s="180" t="s">
        <v>718</v>
      </c>
      <c r="D152" s="180" t="s">
        <v>719</v>
      </c>
      <c r="E152" s="180" t="s">
        <v>983</v>
      </c>
      <c r="F152" s="180" t="s">
        <v>376</v>
      </c>
      <c r="G152" s="180" t="s">
        <v>1026</v>
      </c>
      <c r="H152" s="182">
        <v>297.17</v>
      </c>
      <c r="I152" s="182">
        <v>332.83</v>
      </c>
      <c r="J152" s="180">
        <v>8.75</v>
      </c>
      <c r="AL152" s="182">
        <v>297.17</v>
      </c>
      <c r="AM152" s="182">
        <v>0</v>
      </c>
      <c r="AP152" s="182">
        <v>297.17</v>
      </c>
      <c r="AQ152" s="182">
        <v>0</v>
      </c>
      <c r="AR152" s="182">
        <v>0</v>
      </c>
      <c r="AV152" s="182">
        <v>297.17</v>
      </c>
      <c r="AW152" s="182">
        <v>35.659999999999997</v>
      </c>
      <c r="AX152" s="182">
        <v>0</v>
      </c>
      <c r="AY152" s="182">
        <v>0</v>
      </c>
    </row>
    <row r="153" spans="1:51" x14ac:dyDescent="0.25">
      <c r="A153" s="490" t="s">
        <v>1277</v>
      </c>
      <c r="B153" s="180">
        <v>6207822</v>
      </c>
      <c r="C153" s="180" t="s">
        <v>718</v>
      </c>
      <c r="D153" s="180" t="s">
        <v>719</v>
      </c>
      <c r="E153" s="180" t="s">
        <v>983</v>
      </c>
      <c r="F153" s="180" t="s">
        <v>376</v>
      </c>
      <c r="G153" s="180" t="s">
        <v>1026</v>
      </c>
      <c r="H153" s="182">
        <v>281.2</v>
      </c>
      <c r="I153" s="182">
        <v>314.94</v>
      </c>
      <c r="J153" s="180">
        <v>8</v>
      </c>
      <c r="AL153" s="182">
        <v>281.2</v>
      </c>
      <c r="AM153" s="182">
        <v>0</v>
      </c>
      <c r="AP153" s="182">
        <v>281.2</v>
      </c>
      <c r="AQ153" s="182">
        <v>0</v>
      </c>
      <c r="AR153" s="182">
        <v>0</v>
      </c>
      <c r="AV153" s="182">
        <v>281.2</v>
      </c>
      <c r="AW153" s="182">
        <v>33.74</v>
      </c>
      <c r="AX153" s="182">
        <v>0</v>
      </c>
      <c r="AY153" s="182">
        <v>0</v>
      </c>
    </row>
    <row r="154" spans="1:51" x14ac:dyDescent="0.25">
      <c r="A154" s="490" t="s">
        <v>1275</v>
      </c>
      <c r="B154" s="180">
        <v>5371045</v>
      </c>
      <c r="C154" s="180" t="s">
        <v>693</v>
      </c>
      <c r="D154" s="180" t="s">
        <v>694</v>
      </c>
      <c r="E154" s="180" t="s">
        <v>983</v>
      </c>
      <c r="F154" s="180" t="s">
        <v>695</v>
      </c>
      <c r="G154" s="180" t="s">
        <v>1023</v>
      </c>
      <c r="H154" s="182">
        <v>524.66</v>
      </c>
      <c r="I154" s="182">
        <v>587.62</v>
      </c>
      <c r="J154" s="180">
        <v>13</v>
      </c>
      <c r="AL154" s="182">
        <v>524.66</v>
      </c>
      <c r="AM154" s="182">
        <v>0</v>
      </c>
      <c r="AP154" s="182">
        <v>524.66</v>
      </c>
      <c r="AQ154" s="182">
        <v>88</v>
      </c>
      <c r="AR154" s="182">
        <v>0</v>
      </c>
      <c r="AV154" s="182">
        <v>436.66</v>
      </c>
      <c r="AW154" s="182">
        <v>62.96</v>
      </c>
      <c r="AX154" s="182">
        <v>0</v>
      </c>
      <c r="AY154" s="182">
        <v>0</v>
      </c>
    </row>
    <row r="155" spans="1:51" x14ac:dyDescent="0.25">
      <c r="A155" s="490" t="s">
        <v>1277</v>
      </c>
      <c r="B155" s="180">
        <v>5371045</v>
      </c>
      <c r="C155" s="180" t="s">
        <v>693</v>
      </c>
      <c r="D155" s="180" t="s">
        <v>694</v>
      </c>
      <c r="E155" s="180" t="s">
        <v>983</v>
      </c>
      <c r="F155" s="180" t="s">
        <v>695</v>
      </c>
      <c r="G155" s="180" t="s">
        <v>1023</v>
      </c>
      <c r="H155" s="182">
        <v>807.18</v>
      </c>
      <c r="I155" s="182">
        <v>932.29</v>
      </c>
      <c r="J155" s="180">
        <v>20.5</v>
      </c>
      <c r="N155" s="182">
        <v>28.25</v>
      </c>
      <c r="AL155" s="182">
        <v>835.43</v>
      </c>
      <c r="AM155" s="182">
        <v>0</v>
      </c>
      <c r="AP155" s="182">
        <v>835.43</v>
      </c>
      <c r="AQ155" s="182">
        <v>160</v>
      </c>
      <c r="AR155" s="182">
        <v>0</v>
      </c>
      <c r="AV155" s="182">
        <v>675.43</v>
      </c>
      <c r="AW155" s="182">
        <v>96.86</v>
      </c>
      <c r="AX155" s="182">
        <v>0</v>
      </c>
      <c r="AY155" s="182">
        <v>0</v>
      </c>
    </row>
    <row r="156" spans="1:51" x14ac:dyDescent="0.25">
      <c r="A156" s="490" t="s">
        <v>1266</v>
      </c>
      <c r="B156" s="180">
        <v>5371045</v>
      </c>
      <c r="C156" s="180" t="s">
        <v>693</v>
      </c>
      <c r="D156" s="180" t="s">
        <v>694</v>
      </c>
      <c r="E156" s="180" t="s">
        <v>983</v>
      </c>
      <c r="F156" s="180" t="s">
        <v>695</v>
      </c>
      <c r="G156" s="180" t="s">
        <v>1023</v>
      </c>
      <c r="H156" s="182">
        <v>968.61</v>
      </c>
      <c r="I156" s="182">
        <v>1169.5899999999999</v>
      </c>
      <c r="J156" s="180">
        <v>25.5</v>
      </c>
      <c r="N156" s="182">
        <v>84.75</v>
      </c>
      <c r="AL156" s="182">
        <v>1053.3599999999999</v>
      </c>
      <c r="AM156" s="182">
        <v>0</v>
      </c>
      <c r="AP156" s="182">
        <v>1053.3599999999999</v>
      </c>
      <c r="AQ156" s="182">
        <v>194</v>
      </c>
      <c r="AR156" s="182">
        <v>0</v>
      </c>
      <c r="AV156" s="182">
        <v>859.36</v>
      </c>
      <c r="AW156" s="182">
        <v>116.23</v>
      </c>
      <c r="AX156" s="182">
        <v>0</v>
      </c>
      <c r="AY156" s="182">
        <v>0</v>
      </c>
    </row>
    <row r="157" spans="1:51" x14ac:dyDescent="0.25">
      <c r="A157" s="490" t="s">
        <v>1268</v>
      </c>
      <c r="B157" s="180">
        <v>5371045</v>
      </c>
      <c r="C157" s="180" t="s">
        <v>693</v>
      </c>
      <c r="D157" s="180" t="s">
        <v>694</v>
      </c>
      <c r="E157" s="180" t="s">
        <v>983</v>
      </c>
      <c r="F157" s="180" t="s">
        <v>695</v>
      </c>
      <c r="G157" s="180" t="s">
        <v>1023</v>
      </c>
      <c r="H157" s="182">
        <v>322.87</v>
      </c>
      <c r="I157" s="182">
        <v>474.61</v>
      </c>
      <c r="J157" s="180">
        <v>10</v>
      </c>
      <c r="N157" s="182">
        <v>113</v>
      </c>
      <c r="AL157" s="182">
        <v>435.87</v>
      </c>
      <c r="AM157" s="182">
        <v>0</v>
      </c>
      <c r="AP157" s="182">
        <v>435.87</v>
      </c>
      <c r="AQ157" s="182">
        <v>76</v>
      </c>
      <c r="AR157" s="182">
        <v>0</v>
      </c>
      <c r="AV157" s="182">
        <v>359.87</v>
      </c>
      <c r="AW157" s="182">
        <v>38.74</v>
      </c>
      <c r="AX157" s="182">
        <v>0</v>
      </c>
      <c r="AY157" s="182">
        <v>0</v>
      </c>
    </row>
    <row r="158" spans="1:51" x14ac:dyDescent="0.25">
      <c r="A158" s="490" t="s">
        <v>1269</v>
      </c>
      <c r="B158" s="180">
        <v>5371045</v>
      </c>
      <c r="C158" s="180" t="s">
        <v>693</v>
      </c>
      <c r="D158" s="180" t="s">
        <v>694</v>
      </c>
      <c r="E158" s="180" t="s">
        <v>983</v>
      </c>
      <c r="F158" s="180" t="s">
        <v>695</v>
      </c>
      <c r="G158" s="180" t="s">
        <v>1023</v>
      </c>
      <c r="H158" s="182">
        <v>1594.17</v>
      </c>
      <c r="I158" s="182">
        <v>1841.97</v>
      </c>
      <c r="J158" s="180">
        <v>40.5</v>
      </c>
      <c r="N158" s="182">
        <v>56.5</v>
      </c>
      <c r="AL158" s="182">
        <v>1650.67</v>
      </c>
      <c r="AM158" s="182">
        <v>0</v>
      </c>
      <c r="AP158" s="182">
        <v>1650.67</v>
      </c>
      <c r="AQ158" s="182">
        <v>314</v>
      </c>
      <c r="AR158" s="182">
        <v>0</v>
      </c>
      <c r="AV158" s="182">
        <v>1336.67</v>
      </c>
      <c r="AW158" s="182">
        <v>191.3</v>
      </c>
      <c r="AX158" s="182">
        <v>0</v>
      </c>
      <c r="AY158" s="182">
        <v>0</v>
      </c>
    </row>
    <row r="159" spans="1:51" x14ac:dyDescent="0.25">
      <c r="A159" s="490" t="s">
        <v>1263</v>
      </c>
      <c r="B159" s="180">
        <v>5371045</v>
      </c>
      <c r="C159" s="180" t="s">
        <v>693</v>
      </c>
      <c r="D159" s="180" t="s">
        <v>694</v>
      </c>
      <c r="E159" s="180" t="s">
        <v>983</v>
      </c>
      <c r="F159" s="180" t="s">
        <v>695</v>
      </c>
      <c r="G159" s="180" t="s">
        <v>1023</v>
      </c>
      <c r="H159" s="182">
        <v>161.43</v>
      </c>
      <c r="I159" s="182">
        <v>180.8</v>
      </c>
      <c r="J159" s="180">
        <v>4</v>
      </c>
      <c r="AL159" s="182">
        <v>161.43</v>
      </c>
      <c r="AM159" s="182">
        <v>0</v>
      </c>
      <c r="AP159" s="182">
        <v>161.43</v>
      </c>
      <c r="AQ159" s="182">
        <v>26</v>
      </c>
      <c r="AR159" s="182">
        <v>0</v>
      </c>
      <c r="AV159" s="182">
        <v>135.43</v>
      </c>
      <c r="AW159" s="182">
        <v>19.37</v>
      </c>
      <c r="AX159" s="182">
        <v>0</v>
      </c>
      <c r="AY159" s="182">
        <v>0</v>
      </c>
    </row>
    <row r="160" spans="1:51" x14ac:dyDescent="0.25">
      <c r="A160" s="490" t="s">
        <v>1265</v>
      </c>
      <c r="B160" s="180">
        <v>5371045</v>
      </c>
      <c r="C160" s="180" t="s">
        <v>693</v>
      </c>
      <c r="D160" s="180" t="s">
        <v>694</v>
      </c>
      <c r="E160" s="180" t="s">
        <v>983</v>
      </c>
      <c r="F160" s="180" t="s">
        <v>695</v>
      </c>
      <c r="G160" s="180" t="s">
        <v>1023</v>
      </c>
      <c r="H160" s="182">
        <v>1251.1300000000001</v>
      </c>
      <c r="I160" s="182">
        <v>1651.47</v>
      </c>
      <c r="J160" s="180">
        <v>35.25</v>
      </c>
      <c r="N160" s="182">
        <v>197.75</v>
      </c>
      <c r="O160" s="182">
        <v>16.14</v>
      </c>
      <c r="R160" s="182">
        <v>36.32</v>
      </c>
      <c r="AL160" s="182">
        <v>1501.34</v>
      </c>
      <c r="AM160" s="182">
        <v>0</v>
      </c>
      <c r="AP160" s="182">
        <v>1501.34</v>
      </c>
      <c r="AQ160" s="182">
        <v>322</v>
      </c>
      <c r="AR160" s="182">
        <v>0</v>
      </c>
      <c r="AV160" s="182">
        <v>1179.3399999999999</v>
      </c>
      <c r="AW160" s="182">
        <v>150.13</v>
      </c>
      <c r="AX160" s="182">
        <v>0</v>
      </c>
      <c r="AY160" s="182">
        <v>0</v>
      </c>
    </row>
    <row r="161" spans="1:51" x14ac:dyDescent="0.25">
      <c r="A161" s="490" t="s">
        <v>1271</v>
      </c>
      <c r="B161" s="180">
        <v>5371045</v>
      </c>
      <c r="C161" s="180" t="s">
        <v>693</v>
      </c>
      <c r="D161" s="180" t="s">
        <v>694</v>
      </c>
      <c r="E161" s="180" t="s">
        <v>983</v>
      </c>
      <c r="F161" s="180" t="s">
        <v>695</v>
      </c>
      <c r="G161" s="180" t="s">
        <v>1023</v>
      </c>
      <c r="H161" s="182">
        <v>645.74</v>
      </c>
      <c r="I161" s="182">
        <v>723.23</v>
      </c>
      <c r="J161" s="180">
        <v>16</v>
      </c>
      <c r="AL161" s="182">
        <v>645.74</v>
      </c>
      <c r="AM161" s="182">
        <v>0</v>
      </c>
      <c r="AP161" s="182">
        <v>645.74</v>
      </c>
      <c r="AQ161" s="182">
        <v>122</v>
      </c>
      <c r="AR161" s="182">
        <v>0</v>
      </c>
      <c r="AV161" s="182">
        <v>523.74</v>
      </c>
      <c r="AW161" s="182">
        <v>77.489999999999995</v>
      </c>
      <c r="AX161" s="182">
        <v>0</v>
      </c>
      <c r="AY161" s="182">
        <v>0</v>
      </c>
    </row>
    <row r="162" spans="1:51" x14ac:dyDescent="0.25">
      <c r="A162" s="490" t="s">
        <v>1268</v>
      </c>
      <c r="B162" s="180">
        <v>12116359</v>
      </c>
      <c r="C162" s="180" t="s">
        <v>1299</v>
      </c>
      <c r="D162" s="180" t="s">
        <v>1300</v>
      </c>
      <c r="E162" s="180" t="s">
        <v>983</v>
      </c>
      <c r="F162" s="180" t="s">
        <v>376</v>
      </c>
      <c r="G162" s="180" t="s">
        <v>1301</v>
      </c>
      <c r="H162" s="182">
        <v>3550.15</v>
      </c>
      <c r="I162" s="182">
        <v>3976.17</v>
      </c>
      <c r="J162" s="180">
        <v>101</v>
      </c>
      <c r="AL162" s="182">
        <v>3550.15</v>
      </c>
      <c r="AM162" s="182">
        <v>0</v>
      </c>
      <c r="AP162" s="182">
        <v>3550.15</v>
      </c>
      <c r="AQ162" s="182">
        <v>464</v>
      </c>
      <c r="AR162" s="182">
        <v>0</v>
      </c>
      <c r="AV162" s="182">
        <v>3086.15</v>
      </c>
      <c r="AW162" s="182">
        <v>426.02</v>
      </c>
      <c r="AX162" s="182">
        <v>0</v>
      </c>
      <c r="AY162" s="182">
        <v>0</v>
      </c>
    </row>
    <row r="163" spans="1:51" x14ac:dyDescent="0.25">
      <c r="A163" s="490" t="s">
        <v>1269</v>
      </c>
      <c r="B163" s="180">
        <v>12116359</v>
      </c>
      <c r="C163" s="180" t="s">
        <v>1299</v>
      </c>
      <c r="D163" s="180" t="s">
        <v>1300</v>
      </c>
      <c r="E163" s="180" t="s">
        <v>983</v>
      </c>
      <c r="F163" s="180" t="s">
        <v>376</v>
      </c>
      <c r="G163" s="180" t="s">
        <v>1301</v>
      </c>
      <c r="H163" s="182">
        <v>3181.08</v>
      </c>
      <c r="I163" s="182">
        <v>3562.81</v>
      </c>
      <c r="J163" s="180">
        <v>90.5</v>
      </c>
      <c r="AL163" s="182">
        <v>3181.08</v>
      </c>
      <c r="AM163" s="182">
        <v>0</v>
      </c>
      <c r="AP163" s="182">
        <v>3181.08</v>
      </c>
      <c r="AQ163" s="182">
        <v>316</v>
      </c>
      <c r="AR163" s="182">
        <v>0</v>
      </c>
      <c r="AV163" s="182">
        <v>2865.08</v>
      </c>
      <c r="AW163" s="182">
        <v>381.73</v>
      </c>
      <c r="AX163" s="182">
        <v>0</v>
      </c>
      <c r="AY163" s="182">
        <v>0</v>
      </c>
    </row>
    <row r="164" spans="1:51" x14ac:dyDescent="0.25">
      <c r="A164" s="490" t="s">
        <v>1263</v>
      </c>
      <c r="B164" s="180">
        <v>12116359</v>
      </c>
      <c r="C164" s="180" t="s">
        <v>1299</v>
      </c>
      <c r="D164" s="180" t="s">
        <v>1300</v>
      </c>
      <c r="E164" s="180" t="s">
        <v>983</v>
      </c>
      <c r="F164" s="180" t="s">
        <v>376</v>
      </c>
      <c r="G164" s="180" t="s">
        <v>1301</v>
      </c>
      <c r="H164" s="182">
        <v>254.84</v>
      </c>
      <c r="I164" s="182">
        <v>285.42</v>
      </c>
      <c r="J164" s="180">
        <v>7.25</v>
      </c>
      <c r="AL164" s="182">
        <v>254.84</v>
      </c>
      <c r="AM164" s="182">
        <v>0</v>
      </c>
      <c r="AP164" s="182">
        <v>254.84</v>
      </c>
      <c r="AQ164" s="182">
        <v>0</v>
      </c>
      <c r="AR164" s="182">
        <v>0</v>
      </c>
      <c r="AV164" s="182">
        <v>254.84</v>
      </c>
      <c r="AW164" s="182">
        <v>30.58</v>
      </c>
      <c r="AX164" s="182">
        <v>0</v>
      </c>
      <c r="AY164" s="182">
        <v>0</v>
      </c>
    </row>
    <row r="165" spans="1:51" x14ac:dyDescent="0.25">
      <c r="A165" s="490" t="s">
        <v>1265</v>
      </c>
      <c r="B165" s="180">
        <v>12116359</v>
      </c>
      <c r="C165" s="180" t="s">
        <v>1299</v>
      </c>
      <c r="D165" s="180" t="s">
        <v>1300</v>
      </c>
      <c r="E165" s="180" t="s">
        <v>983</v>
      </c>
      <c r="F165" s="180" t="s">
        <v>376</v>
      </c>
      <c r="G165" s="180" t="s">
        <v>1302</v>
      </c>
      <c r="H165" s="182">
        <v>1388.42</v>
      </c>
      <c r="I165" s="182">
        <v>1555.03</v>
      </c>
      <c r="J165" s="180">
        <v>39.5</v>
      </c>
      <c r="AL165" s="182">
        <v>1388.42</v>
      </c>
      <c r="AM165" s="182">
        <v>0</v>
      </c>
      <c r="AP165" s="182">
        <v>1388.42</v>
      </c>
      <c r="AQ165" s="182">
        <v>134</v>
      </c>
      <c r="AR165" s="182">
        <v>0</v>
      </c>
      <c r="AV165" s="182">
        <v>1254.42</v>
      </c>
      <c r="AW165" s="182">
        <v>166.61</v>
      </c>
      <c r="AX165" s="182">
        <v>0</v>
      </c>
      <c r="AY165" s="182">
        <v>0</v>
      </c>
    </row>
    <row r="166" spans="1:51" x14ac:dyDescent="0.25">
      <c r="A166" s="490" t="s">
        <v>1271</v>
      </c>
      <c r="B166" s="180">
        <v>12116359</v>
      </c>
      <c r="C166" s="180" t="s">
        <v>1299</v>
      </c>
      <c r="D166" s="180" t="s">
        <v>1300</v>
      </c>
      <c r="E166" s="180" t="s">
        <v>983</v>
      </c>
      <c r="F166" s="180" t="s">
        <v>376</v>
      </c>
      <c r="G166" s="180" t="s">
        <v>1302</v>
      </c>
      <c r="H166" s="182">
        <v>5342.8</v>
      </c>
      <c r="I166" s="182">
        <v>6303.81</v>
      </c>
      <c r="J166" s="180">
        <v>158.5</v>
      </c>
      <c r="N166" s="182">
        <v>319.87</v>
      </c>
      <c r="AL166" s="182">
        <v>5662.67</v>
      </c>
      <c r="AM166" s="182">
        <v>0</v>
      </c>
      <c r="AP166" s="182">
        <v>5662.67</v>
      </c>
      <c r="AQ166" s="182">
        <v>1106</v>
      </c>
      <c r="AR166" s="182">
        <v>76</v>
      </c>
      <c r="AV166" s="182">
        <v>4480.67</v>
      </c>
      <c r="AW166" s="182">
        <v>641.14</v>
      </c>
      <c r="AX166" s="182">
        <v>0</v>
      </c>
      <c r="AY166" s="182">
        <v>0</v>
      </c>
    </row>
    <row r="167" spans="1:51" x14ac:dyDescent="0.25">
      <c r="A167" s="490" t="s">
        <v>1272</v>
      </c>
      <c r="B167" s="180">
        <v>12116359</v>
      </c>
      <c r="C167" s="180" t="s">
        <v>1299</v>
      </c>
      <c r="D167" s="180" t="s">
        <v>1300</v>
      </c>
      <c r="E167" s="180" t="s">
        <v>983</v>
      </c>
      <c r="F167" s="180" t="s">
        <v>376</v>
      </c>
      <c r="G167" s="180" t="s">
        <v>1302</v>
      </c>
      <c r="H167" s="182">
        <v>4639.8</v>
      </c>
      <c r="I167" s="182">
        <v>5295</v>
      </c>
      <c r="J167" s="180">
        <v>134</v>
      </c>
      <c r="N167" s="182">
        <v>98.42</v>
      </c>
      <c r="AL167" s="182">
        <v>4738.22</v>
      </c>
      <c r="AM167" s="182">
        <v>0</v>
      </c>
      <c r="AP167" s="182">
        <v>4738.22</v>
      </c>
      <c r="AQ167" s="182">
        <v>810</v>
      </c>
      <c r="AR167" s="182">
        <v>0</v>
      </c>
      <c r="AV167" s="182">
        <v>3928.22</v>
      </c>
      <c r="AW167" s="182">
        <v>556.78</v>
      </c>
      <c r="AX167" s="182">
        <v>0</v>
      </c>
      <c r="AY167" s="182">
        <v>0</v>
      </c>
    </row>
    <row r="168" spans="1:51" x14ac:dyDescent="0.25">
      <c r="A168" s="490" t="s">
        <v>1273</v>
      </c>
      <c r="B168" s="180">
        <v>12116359</v>
      </c>
      <c r="C168" s="180" t="s">
        <v>1299</v>
      </c>
      <c r="D168" s="180" t="s">
        <v>1300</v>
      </c>
      <c r="E168" s="180" t="s">
        <v>983</v>
      </c>
      <c r="F168" s="180" t="s">
        <v>376</v>
      </c>
      <c r="G168" s="180" t="s">
        <v>1302</v>
      </c>
      <c r="H168" s="182">
        <v>5131.8999999999996</v>
      </c>
      <c r="I168" s="182">
        <v>6042.99</v>
      </c>
      <c r="J168" s="180">
        <v>152</v>
      </c>
      <c r="N168" s="182">
        <v>295.26</v>
      </c>
      <c r="AL168" s="182">
        <v>5427.16</v>
      </c>
      <c r="AM168" s="182">
        <v>0</v>
      </c>
      <c r="AP168" s="182">
        <v>5427.16</v>
      </c>
      <c r="AQ168" s="182">
        <v>1032</v>
      </c>
      <c r="AR168" s="182">
        <v>44</v>
      </c>
      <c r="AV168" s="182">
        <v>4351.16</v>
      </c>
      <c r="AW168" s="182">
        <v>615.83000000000004</v>
      </c>
      <c r="AX168" s="182">
        <v>0</v>
      </c>
      <c r="AY168" s="182">
        <v>0</v>
      </c>
    </row>
    <row r="169" spans="1:51" x14ac:dyDescent="0.25">
      <c r="A169" s="490" t="s">
        <v>1275</v>
      </c>
      <c r="B169" s="180">
        <v>8501100</v>
      </c>
      <c r="C169" s="180" t="s">
        <v>851</v>
      </c>
      <c r="D169" s="180" t="s">
        <v>852</v>
      </c>
      <c r="E169" s="180" t="s">
        <v>983</v>
      </c>
      <c r="F169" s="180" t="s">
        <v>376</v>
      </c>
      <c r="G169" s="180" t="s">
        <v>1017</v>
      </c>
      <c r="H169" s="182">
        <v>573.99</v>
      </c>
      <c r="I169" s="182">
        <v>642.87</v>
      </c>
      <c r="J169" s="180">
        <v>16</v>
      </c>
      <c r="AL169" s="182">
        <v>573.99</v>
      </c>
      <c r="AM169" s="182">
        <v>0</v>
      </c>
      <c r="AP169" s="182">
        <v>573.99</v>
      </c>
      <c r="AQ169" s="182">
        <v>0</v>
      </c>
      <c r="AR169" s="182">
        <v>0</v>
      </c>
      <c r="AV169" s="182">
        <v>573.99</v>
      </c>
      <c r="AW169" s="182">
        <v>68.88</v>
      </c>
      <c r="AX169" s="182">
        <v>0</v>
      </c>
      <c r="AY169" s="182">
        <v>0</v>
      </c>
    </row>
    <row r="170" spans="1:51" x14ac:dyDescent="0.25">
      <c r="A170" s="490" t="s">
        <v>1275</v>
      </c>
      <c r="B170" s="180">
        <v>9215694</v>
      </c>
      <c r="C170" s="180" t="s">
        <v>963</v>
      </c>
      <c r="D170" s="180" t="s">
        <v>964</v>
      </c>
      <c r="E170" s="180" t="s">
        <v>983</v>
      </c>
      <c r="F170" s="180" t="s">
        <v>376</v>
      </c>
      <c r="G170" s="180" t="s">
        <v>1017</v>
      </c>
      <c r="H170" s="182">
        <v>1368</v>
      </c>
      <c r="I170" s="182">
        <v>1532.15</v>
      </c>
      <c r="J170" s="180">
        <v>40</v>
      </c>
      <c r="AL170" s="182">
        <v>1368</v>
      </c>
      <c r="AM170" s="182">
        <v>0</v>
      </c>
      <c r="AP170" s="182">
        <v>1368</v>
      </c>
      <c r="AQ170" s="182">
        <v>14</v>
      </c>
      <c r="AR170" s="182">
        <v>0</v>
      </c>
      <c r="AV170" s="182">
        <v>1354</v>
      </c>
      <c r="AW170" s="182">
        <v>164.15</v>
      </c>
      <c r="AX170" s="182">
        <v>0</v>
      </c>
      <c r="AY170" s="182">
        <v>0</v>
      </c>
    </row>
    <row r="171" spans="1:51" x14ac:dyDescent="0.25">
      <c r="A171" s="490" t="s">
        <v>1277</v>
      </c>
      <c r="B171" s="180">
        <v>9215694</v>
      </c>
      <c r="C171" s="180" t="s">
        <v>963</v>
      </c>
      <c r="D171" s="180" t="s">
        <v>964</v>
      </c>
      <c r="E171" s="180" t="s">
        <v>983</v>
      </c>
      <c r="F171" s="180" t="s">
        <v>376</v>
      </c>
      <c r="G171" s="180" t="s">
        <v>1017</v>
      </c>
      <c r="H171" s="182">
        <v>281.2</v>
      </c>
      <c r="I171" s="182">
        <v>314.94</v>
      </c>
      <c r="J171" s="180">
        <v>8</v>
      </c>
      <c r="AL171" s="182">
        <v>281.2</v>
      </c>
      <c r="AM171" s="182">
        <v>0</v>
      </c>
      <c r="AP171" s="182">
        <v>281.2</v>
      </c>
      <c r="AQ171" s="182">
        <v>0</v>
      </c>
      <c r="AR171" s="182">
        <v>0</v>
      </c>
      <c r="AV171" s="182">
        <v>281.2</v>
      </c>
      <c r="AW171" s="182">
        <v>33.74</v>
      </c>
      <c r="AX171" s="182">
        <v>0</v>
      </c>
      <c r="AY171" s="182">
        <v>0</v>
      </c>
    </row>
    <row r="172" spans="1:51" x14ac:dyDescent="0.25">
      <c r="A172" s="490" t="s">
        <v>1275</v>
      </c>
      <c r="B172" s="180">
        <v>10498422</v>
      </c>
      <c r="C172" s="180" t="s">
        <v>965</v>
      </c>
      <c r="D172" s="180" t="s">
        <v>966</v>
      </c>
      <c r="E172" s="180" t="s">
        <v>983</v>
      </c>
      <c r="F172" s="180" t="s">
        <v>376</v>
      </c>
      <c r="G172" s="180" t="s">
        <v>1294</v>
      </c>
      <c r="H172" s="182">
        <v>1105.8</v>
      </c>
      <c r="I172" s="182">
        <v>1238.5</v>
      </c>
      <c r="J172" s="180">
        <v>32</v>
      </c>
      <c r="AL172" s="182">
        <v>1105.8</v>
      </c>
      <c r="AM172" s="182">
        <v>0</v>
      </c>
      <c r="AP172" s="182">
        <v>1105.8</v>
      </c>
      <c r="AQ172" s="182">
        <v>0</v>
      </c>
      <c r="AR172" s="182">
        <v>0</v>
      </c>
      <c r="AV172" s="182">
        <v>1105.8</v>
      </c>
      <c r="AW172" s="182">
        <v>132.69999999999999</v>
      </c>
      <c r="AX172" s="182">
        <v>0</v>
      </c>
      <c r="AY172" s="182">
        <v>0</v>
      </c>
    </row>
    <row r="173" spans="1:51" x14ac:dyDescent="0.25">
      <c r="A173" s="490" t="s">
        <v>1277</v>
      </c>
      <c r="B173" s="180">
        <v>10498422</v>
      </c>
      <c r="C173" s="180" t="s">
        <v>965</v>
      </c>
      <c r="D173" s="180" t="s">
        <v>966</v>
      </c>
      <c r="E173" s="180" t="s">
        <v>983</v>
      </c>
      <c r="F173" s="180" t="s">
        <v>376</v>
      </c>
      <c r="G173" s="180" t="s">
        <v>1294</v>
      </c>
      <c r="H173" s="182">
        <v>281.2</v>
      </c>
      <c r="I173" s="182">
        <v>314.94</v>
      </c>
      <c r="J173" s="180">
        <v>8</v>
      </c>
      <c r="AL173" s="182">
        <v>281.2</v>
      </c>
      <c r="AM173" s="182">
        <v>0</v>
      </c>
      <c r="AP173" s="182">
        <v>281.2</v>
      </c>
      <c r="AQ173" s="182">
        <v>0</v>
      </c>
      <c r="AR173" s="182">
        <v>0</v>
      </c>
      <c r="AV173" s="182">
        <v>281.2</v>
      </c>
      <c r="AW173" s="182">
        <v>33.74</v>
      </c>
      <c r="AX173" s="182">
        <v>0</v>
      </c>
      <c r="AY173" s="182">
        <v>0</v>
      </c>
    </row>
    <row r="174" spans="1:51" x14ac:dyDescent="0.25">
      <c r="A174" s="490" t="s">
        <v>1266</v>
      </c>
      <c r="B174" s="180">
        <v>10498422</v>
      </c>
      <c r="C174" s="180" t="s">
        <v>965</v>
      </c>
      <c r="D174" s="180" t="s">
        <v>966</v>
      </c>
      <c r="E174" s="180" t="s">
        <v>983</v>
      </c>
      <c r="F174" s="180" t="s">
        <v>376</v>
      </c>
      <c r="G174" s="180" t="s">
        <v>1294</v>
      </c>
      <c r="H174" s="182">
        <v>1643.26</v>
      </c>
      <c r="I174" s="182">
        <v>1840.45</v>
      </c>
      <c r="J174" s="180">
        <v>46.75</v>
      </c>
      <c r="AL174" s="182">
        <v>1643.26</v>
      </c>
      <c r="AM174" s="182">
        <v>0</v>
      </c>
      <c r="AP174" s="182">
        <v>1643.26</v>
      </c>
      <c r="AQ174" s="182">
        <v>40</v>
      </c>
      <c r="AR174" s="182">
        <v>0</v>
      </c>
      <c r="AV174" s="182">
        <v>1603.26</v>
      </c>
      <c r="AW174" s="182">
        <v>197.19</v>
      </c>
      <c r="AX174" s="182">
        <v>0</v>
      </c>
      <c r="AY174" s="182">
        <v>0</v>
      </c>
    </row>
    <row r="175" spans="1:51" x14ac:dyDescent="0.25">
      <c r="A175" s="490" t="s">
        <v>1267</v>
      </c>
      <c r="B175" s="180">
        <v>10498422</v>
      </c>
      <c r="C175" s="180" t="s">
        <v>965</v>
      </c>
      <c r="D175" s="180" t="s">
        <v>966</v>
      </c>
      <c r="E175" s="180" t="s">
        <v>983</v>
      </c>
      <c r="F175" s="180" t="s">
        <v>376</v>
      </c>
      <c r="G175" s="180" t="s">
        <v>1294</v>
      </c>
      <c r="H175" s="182">
        <v>509.68</v>
      </c>
      <c r="I175" s="182">
        <v>570.84</v>
      </c>
      <c r="J175" s="180">
        <v>14.5</v>
      </c>
      <c r="AL175" s="182">
        <v>509.68</v>
      </c>
      <c r="AM175" s="182">
        <v>0</v>
      </c>
      <c r="AP175" s="182">
        <v>509.68</v>
      </c>
      <c r="AQ175" s="182">
        <v>0</v>
      </c>
      <c r="AR175" s="182">
        <v>0</v>
      </c>
      <c r="AV175" s="182">
        <v>509.68</v>
      </c>
      <c r="AW175" s="182">
        <v>61.16</v>
      </c>
      <c r="AX175" s="182">
        <v>0</v>
      </c>
      <c r="AY175" s="182">
        <v>0</v>
      </c>
    </row>
    <row r="176" spans="1:51" x14ac:dyDescent="0.25">
      <c r="A176" s="490" t="s">
        <v>1268</v>
      </c>
      <c r="B176" s="180">
        <v>10498422</v>
      </c>
      <c r="C176" s="180" t="s">
        <v>965</v>
      </c>
      <c r="D176" s="180" t="s">
        <v>966</v>
      </c>
      <c r="E176" s="180" t="s">
        <v>983</v>
      </c>
      <c r="F176" s="180" t="s">
        <v>376</v>
      </c>
      <c r="G176" s="180" t="s">
        <v>1294</v>
      </c>
      <c r="H176" s="182">
        <v>544.82000000000005</v>
      </c>
      <c r="I176" s="182">
        <v>610.20000000000005</v>
      </c>
      <c r="J176" s="180">
        <v>15.5</v>
      </c>
      <c r="AL176" s="182">
        <v>544.82000000000005</v>
      </c>
      <c r="AM176" s="182">
        <v>0</v>
      </c>
      <c r="AP176" s="182">
        <v>544.82000000000005</v>
      </c>
      <c r="AQ176" s="182">
        <v>0</v>
      </c>
      <c r="AR176" s="182">
        <v>0</v>
      </c>
      <c r="AV176" s="182">
        <v>544.82000000000005</v>
      </c>
      <c r="AW176" s="182">
        <v>65.38</v>
      </c>
      <c r="AX176" s="182">
        <v>0</v>
      </c>
      <c r="AY176" s="182">
        <v>0</v>
      </c>
    </row>
    <row r="177" spans="1:51" x14ac:dyDescent="0.25">
      <c r="A177" s="490" t="s">
        <v>1269</v>
      </c>
      <c r="B177" s="180">
        <v>10498422</v>
      </c>
      <c r="C177" s="180" t="s">
        <v>965</v>
      </c>
      <c r="D177" s="180" t="s">
        <v>966</v>
      </c>
      <c r="E177" s="180" t="s">
        <v>983</v>
      </c>
      <c r="F177" s="180" t="s">
        <v>376</v>
      </c>
      <c r="G177" s="180" t="s">
        <v>1294</v>
      </c>
      <c r="H177" s="182">
        <v>1757.49</v>
      </c>
      <c r="I177" s="182">
        <v>2017.6</v>
      </c>
      <c r="J177" s="180">
        <v>51</v>
      </c>
      <c r="N177" s="182">
        <v>49.21</v>
      </c>
      <c r="AL177" s="182">
        <v>1806.7</v>
      </c>
      <c r="AM177" s="182">
        <v>0</v>
      </c>
      <c r="AP177" s="182">
        <v>1806.7</v>
      </c>
      <c r="AQ177" s="182">
        <v>164</v>
      </c>
      <c r="AR177" s="182">
        <v>0</v>
      </c>
      <c r="AV177" s="182">
        <v>1642.7</v>
      </c>
      <c r="AW177" s="182">
        <v>210.9</v>
      </c>
      <c r="AX177" s="182">
        <v>0</v>
      </c>
      <c r="AY177" s="182">
        <v>0</v>
      </c>
    </row>
    <row r="178" spans="1:51" x14ac:dyDescent="0.25">
      <c r="A178" s="490" t="s">
        <v>1277</v>
      </c>
      <c r="B178" s="180">
        <v>10875145</v>
      </c>
      <c r="C178" s="180" t="s">
        <v>1027</v>
      </c>
      <c r="D178" s="180" t="s">
        <v>1028</v>
      </c>
      <c r="E178" s="180" t="s">
        <v>983</v>
      </c>
      <c r="F178" s="180" t="s">
        <v>376</v>
      </c>
      <c r="G178" s="180" t="s">
        <v>1026</v>
      </c>
      <c r="H178" s="182">
        <v>360.28</v>
      </c>
      <c r="I178" s="182">
        <v>466.79</v>
      </c>
      <c r="J178" s="180">
        <v>11.25</v>
      </c>
      <c r="R178" s="182">
        <v>63.28</v>
      </c>
      <c r="AL178" s="182">
        <v>423.56</v>
      </c>
      <c r="AM178" s="182">
        <v>0</v>
      </c>
      <c r="AP178" s="182">
        <v>423.56</v>
      </c>
      <c r="AQ178" s="182">
        <v>74</v>
      </c>
      <c r="AR178" s="182">
        <v>0</v>
      </c>
      <c r="AV178" s="182">
        <v>349.56</v>
      </c>
      <c r="AW178" s="182">
        <v>43.23</v>
      </c>
      <c r="AX178" s="182">
        <v>0</v>
      </c>
      <c r="AY178" s="182">
        <v>0</v>
      </c>
    </row>
    <row r="179" spans="1:51" x14ac:dyDescent="0.25">
      <c r="A179" s="490" t="s">
        <v>1265</v>
      </c>
      <c r="B179" s="180">
        <v>10875145</v>
      </c>
      <c r="C179" s="180" t="s">
        <v>1027</v>
      </c>
      <c r="D179" s="180" t="s">
        <v>1028</v>
      </c>
      <c r="E179" s="180" t="s">
        <v>983</v>
      </c>
      <c r="F179" s="180" t="s">
        <v>376</v>
      </c>
      <c r="G179" s="180" t="s">
        <v>1026</v>
      </c>
      <c r="H179" s="182">
        <v>421.8</v>
      </c>
      <c r="I179" s="182">
        <v>472.41</v>
      </c>
      <c r="J179" s="180">
        <v>12</v>
      </c>
      <c r="AL179" s="182">
        <v>421.8</v>
      </c>
      <c r="AM179" s="182">
        <v>0</v>
      </c>
      <c r="AP179" s="182">
        <v>421.8</v>
      </c>
      <c r="AQ179" s="182">
        <v>66</v>
      </c>
      <c r="AR179" s="182">
        <v>0</v>
      </c>
      <c r="AV179" s="182">
        <v>355.8</v>
      </c>
      <c r="AW179" s="182">
        <v>50.61</v>
      </c>
      <c r="AX179" s="182">
        <v>0</v>
      </c>
      <c r="AY179" s="182">
        <v>0</v>
      </c>
    </row>
    <row r="180" spans="1:51" x14ac:dyDescent="0.25">
      <c r="A180" s="490" t="s">
        <v>1272</v>
      </c>
      <c r="B180" s="180">
        <v>10875145</v>
      </c>
      <c r="C180" s="180" t="s">
        <v>1027</v>
      </c>
      <c r="D180" s="180" t="s">
        <v>1028</v>
      </c>
      <c r="E180" s="180" t="s">
        <v>983</v>
      </c>
      <c r="F180" s="180" t="s">
        <v>376</v>
      </c>
      <c r="G180" s="180" t="s">
        <v>1026</v>
      </c>
      <c r="H180" s="182">
        <v>140.6</v>
      </c>
      <c r="I180" s="182">
        <v>157.47</v>
      </c>
      <c r="J180" s="180">
        <v>4</v>
      </c>
      <c r="AL180" s="182">
        <v>140.6</v>
      </c>
      <c r="AM180" s="182">
        <v>0</v>
      </c>
      <c r="AP180" s="182">
        <v>140.6</v>
      </c>
      <c r="AQ180" s="182">
        <v>22</v>
      </c>
      <c r="AR180" s="182">
        <v>0</v>
      </c>
      <c r="AV180" s="182">
        <v>118.6</v>
      </c>
      <c r="AW180" s="182">
        <v>16.87</v>
      </c>
      <c r="AX180" s="182">
        <v>0</v>
      </c>
      <c r="AY180" s="182">
        <v>0</v>
      </c>
    </row>
    <row r="181" spans="1:51" x14ac:dyDescent="0.25">
      <c r="A181" s="490" t="s">
        <v>1273</v>
      </c>
      <c r="B181" s="180">
        <v>10875145</v>
      </c>
      <c r="C181" s="180" t="s">
        <v>1027</v>
      </c>
      <c r="D181" s="180" t="s">
        <v>1028</v>
      </c>
      <c r="E181" s="180" t="s">
        <v>983</v>
      </c>
      <c r="F181" s="180" t="s">
        <v>376</v>
      </c>
      <c r="G181" s="180" t="s">
        <v>1026</v>
      </c>
      <c r="H181" s="182">
        <v>1669.62</v>
      </c>
      <c r="I181" s="182">
        <v>1869.98</v>
      </c>
      <c r="J181" s="180">
        <v>47.5</v>
      </c>
      <c r="AL181" s="182">
        <v>1669.62</v>
      </c>
      <c r="AM181" s="182">
        <v>0</v>
      </c>
      <c r="AP181" s="182">
        <v>1669.62</v>
      </c>
      <c r="AQ181" s="182">
        <v>326</v>
      </c>
      <c r="AR181" s="182">
        <v>0</v>
      </c>
      <c r="AV181" s="182">
        <v>1343.62</v>
      </c>
      <c r="AW181" s="182">
        <v>200.36</v>
      </c>
      <c r="AX181" s="182">
        <v>0</v>
      </c>
      <c r="AY181" s="182">
        <v>0</v>
      </c>
    </row>
    <row r="182" spans="1:51" x14ac:dyDescent="0.25">
      <c r="A182" s="490" t="s">
        <v>1274</v>
      </c>
      <c r="B182" s="180">
        <v>10875145</v>
      </c>
      <c r="C182" s="180" t="s">
        <v>1027</v>
      </c>
      <c r="D182" s="180" t="s">
        <v>1028</v>
      </c>
      <c r="E182" s="180" t="s">
        <v>983</v>
      </c>
      <c r="F182" s="180" t="s">
        <v>376</v>
      </c>
      <c r="G182" s="180" t="s">
        <v>1026</v>
      </c>
      <c r="H182" s="182">
        <v>175.75</v>
      </c>
      <c r="I182" s="182">
        <v>196.84</v>
      </c>
      <c r="J182" s="180">
        <v>5</v>
      </c>
      <c r="AL182" s="182">
        <v>175.75</v>
      </c>
      <c r="AM182" s="182">
        <v>0</v>
      </c>
      <c r="AP182" s="182">
        <v>175.75</v>
      </c>
      <c r="AQ182" s="182">
        <v>28</v>
      </c>
      <c r="AR182" s="182">
        <v>0</v>
      </c>
      <c r="AV182" s="182">
        <v>147.75</v>
      </c>
      <c r="AW182" s="182">
        <v>21.09</v>
      </c>
      <c r="AX182" s="182">
        <v>0</v>
      </c>
      <c r="AY182" s="182">
        <v>0</v>
      </c>
    </row>
    <row r="183" spans="1:51" x14ac:dyDescent="0.25">
      <c r="A183" s="490" t="s">
        <v>1275</v>
      </c>
      <c r="B183" s="180">
        <v>9569711</v>
      </c>
      <c r="C183" s="180" t="s">
        <v>967</v>
      </c>
      <c r="D183" s="180" t="s">
        <v>968</v>
      </c>
      <c r="E183" s="180" t="s">
        <v>983</v>
      </c>
      <c r="F183" s="180" t="s">
        <v>376</v>
      </c>
      <c r="G183" s="180" t="s">
        <v>1298</v>
      </c>
      <c r="H183" s="182">
        <v>1295.27</v>
      </c>
      <c r="I183" s="182">
        <v>1450.69</v>
      </c>
      <c r="J183" s="180">
        <v>37.5</v>
      </c>
      <c r="AL183" s="182">
        <v>1295.27</v>
      </c>
      <c r="AM183" s="182">
        <v>0</v>
      </c>
      <c r="AP183" s="182">
        <v>1295.27</v>
      </c>
      <c r="AQ183" s="182">
        <v>228</v>
      </c>
      <c r="AR183" s="182">
        <v>0</v>
      </c>
      <c r="AV183" s="182">
        <v>1067.27</v>
      </c>
      <c r="AW183" s="182">
        <v>155.41999999999999</v>
      </c>
      <c r="AX183" s="182">
        <v>0</v>
      </c>
      <c r="AY183" s="182">
        <v>0</v>
      </c>
    </row>
    <row r="184" spans="1:51" x14ac:dyDescent="0.25">
      <c r="A184" s="490" t="s">
        <v>1277</v>
      </c>
      <c r="B184" s="180">
        <v>9569711</v>
      </c>
      <c r="C184" s="180" t="s">
        <v>967</v>
      </c>
      <c r="D184" s="180" t="s">
        <v>968</v>
      </c>
      <c r="E184" s="180" t="s">
        <v>983</v>
      </c>
      <c r="F184" s="180" t="s">
        <v>376</v>
      </c>
      <c r="G184" s="180" t="s">
        <v>1298</v>
      </c>
      <c r="H184" s="182">
        <v>703</v>
      </c>
      <c r="I184" s="182">
        <v>787.36</v>
      </c>
      <c r="J184" s="180">
        <v>20</v>
      </c>
      <c r="AL184" s="182">
        <v>703</v>
      </c>
      <c r="AM184" s="182">
        <v>0</v>
      </c>
      <c r="AP184" s="182">
        <v>703</v>
      </c>
      <c r="AQ184" s="182">
        <v>126</v>
      </c>
      <c r="AR184" s="182">
        <v>0</v>
      </c>
      <c r="AV184" s="182">
        <v>577</v>
      </c>
      <c r="AW184" s="182">
        <v>84.36</v>
      </c>
      <c r="AX184" s="182">
        <v>0</v>
      </c>
      <c r="AY184" s="182">
        <v>0</v>
      </c>
    </row>
    <row r="185" spans="1:51" x14ac:dyDescent="0.25">
      <c r="A185" s="490" t="s">
        <v>1266</v>
      </c>
      <c r="B185" s="180">
        <v>9569711</v>
      </c>
      <c r="C185" s="180" t="s">
        <v>967</v>
      </c>
      <c r="D185" s="180" t="s">
        <v>968</v>
      </c>
      <c r="E185" s="180" t="s">
        <v>983</v>
      </c>
      <c r="F185" s="180" t="s">
        <v>376</v>
      </c>
      <c r="G185" s="180" t="s">
        <v>1298</v>
      </c>
      <c r="H185" s="182">
        <v>281.2</v>
      </c>
      <c r="I185" s="182">
        <v>314.94</v>
      </c>
      <c r="J185" s="180">
        <v>8</v>
      </c>
      <c r="AL185" s="182">
        <v>281.2</v>
      </c>
      <c r="AM185" s="182">
        <v>0</v>
      </c>
      <c r="AP185" s="182">
        <v>281.2</v>
      </c>
      <c r="AQ185" s="182">
        <v>44</v>
      </c>
      <c r="AR185" s="182">
        <v>0</v>
      </c>
      <c r="AV185" s="182">
        <v>237.2</v>
      </c>
      <c r="AW185" s="182">
        <v>33.74</v>
      </c>
      <c r="AX185" s="182">
        <v>0</v>
      </c>
      <c r="AY185" s="182">
        <v>0</v>
      </c>
    </row>
    <row r="186" spans="1:51" x14ac:dyDescent="0.25">
      <c r="A186" s="490" t="s">
        <v>1275</v>
      </c>
      <c r="B186" s="180">
        <v>9682976</v>
      </c>
      <c r="C186" s="180" t="s">
        <v>969</v>
      </c>
      <c r="D186" s="180" t="s">
        <v>970</v>
      </c>
      <c r="E186" s="180" t="s">
        <v>983</v>
      </c>
      <c r="F186" s="180" t="s">
        <v>376</v>
      </c>
      <c r="G186" s="180" t="s">
        <v>1018</v>
      </c>
      <c r="H186" s="182">
        <v>287</v>
      </c>
      <c r="I186" s="182">
        <v>346.55</v>
      </c>
      <c r="J186" s="180">
        <v>8.5</v>
      </c>
      <c r="N186" s="182">
        <v>25.11</v>
      </c>
      <c r="AL186" s="182">
        <v>312.11</v>
      </c>
      <c r="AM186" s="182">
        <v>0</v>
      </c>
      <c r="AP186" s="182">
        <v>312.11</v>
      </c>
      <c r="AQ186" s="182">
        <v>0</v>
      </c>
      <c r="AR186" s="182">
        <v>0</v>
      </c>
      <c r="AV186" s="182">
        <v>312.11</v>
      </c>
      <c r="AW186" s="182">
        <v>34.44</v>
      </c>
      <c r="AX186" s="182">
        <v>0</v>
      </c>
      <c r="AY186" s="182">
        <v>0</v>
      </c>
    </row>
    <row r="187" spans="1:51" x14ac:dyDescent="0.25">
      <c r="A187" s="490" t="s">
        <v>1277</v>
      </c>
      <c r="B187" s="180">
        <v>9682976</v>
      </c>
      <c r="C187" s="180" t="s">
        <v>969</v>
      </c>
      <c r="D187" s="180" t="s">
        <v>970</v>
      </c>
      <c r="E187" s="180" t="s">
        <v>983</v>
      </c>
      <c r="F187" s="180" t="s">
        <v>376</v>
      </c>
      <c r="G187" s="180" t="s">
        <v>1018</v>
      </c>
      <c r="H187" s="182">
        <v>290</v>
      </c>
      <c r="I187" s="182">
        <v>324.8</v>
      </c>
      <c r="J187" s="180">
        <v>8</v>
      </c>
      <c r="AL187" s="182">
        <v>290</v>
      </c>
      <c r="AM187" s="182">
        <v>0</v>
      </c>
      <c r="AP187" s="182">
        <v>290</v>
      </c>
      <c r="AQ187" s="182">
        <v>0</v>
      </c>
      <c r="AR187" s="182">
        <v>0</v>
      </c>
      <c r="AV187" s="182">
        <v>290</v>
      </c>
      <c r="AW187" s="182">
        <v>34.799999999999997</v>
      </c>
      <c r="AX187" s="182">
        <v>0</v>
      </c>
      <c r="AY187" s="182">
        <v>0</v>
      </c>
    </row>
    <row r="188" spans="1:51" x14ac:dyDescent="0.25">
      <c r="A188" s="490" t="s">
        <v>1265</v>
      </c>
      <c r="B188" s="180">
        <v>9682976</v>
      </c>
      <c r="C188" s="180" t="s">
        <v>969</v>
      </c>
      <c r="D188" s="180" t="s">
        <v>970</v>
      </c>
      <c r="E188" s="180" t="s">
        <v>983</v>
      </c>
      <c r="F188" s="180" t="s">
        <v>376</v>
      </c>
      <c r="G188" s="180" t="s">
        <v>1264</v>
      </c>
      <c r="H188" s="182">
        <v>870</v>
      </c>
      <c r="I188" s="182">
        <v>974.4</v>
      </c>
      <c r="J188" s="180">
        <v>24</v>
      </c>
      <c r="AL188" s="182">
        <v>870</v>
      </c>
      <c r="AM188" s="182">
        <v>0</v>
      </c>
      <c r="AP188" s="182">
        <v>870</v>
      </c>
      <c r="AQ188" s="182">
        <v>24</v>
      </c>
      <c r="AR188" s="182">
        <v>0</v>
      </c>
      <c r="AV188" s="182">
        <v>846</v>
      </c>
      <c r="AW188" s="182">
        <v>104.4</v>
      </c>
      <c r="AX188" s="182">
        <v>0</v>
      </c>
      <c r="AY188" s="182">
        <v>0</v>
      </c>
    </row>
    <row r="189" spans="1:51" x14ac:dyDescent="0.25">
      <c r="A189" s="490" t="s">
        <v>1271</v>
      </c>
      <c r="B189" s="180">
        <v>9682976</v>
      </c>
      <c r="C189" s="180" t="s">
        <v>969</v>
      </c>
      <c r="D189" s="180" t="s">
        <v>970</v>
      </c>
      <c r="E189" s="180" t="s">
        <v>983</v>
      </c>
      <c r="F189" s="180" t="s">
        <v>376</v>
      </c>
      <c r="G189" s="180" t="s">
        <v>1264</v>
      </c>
      <c r="H189" s="182">
        <v>3190</v>
      </c>
      <c r="I189" s="182">
        <v>3572.8</v>
      </c>
      <c r="J189" s="180">
        <v>88</v>
      </c>
      <c r="AL189" s="182">
        <v>3190</v>
      </c>
      <c r="AM189" s="182">
        <v>0</v>
      </c>
      <c r="AP189" s="182">
        <v>3190</v>
      </c>
      <c r="AQ189" s="182">
        <v>348</v>
      </c>
      <c r="AR189" s="182">
        <v>0</v>
      </c>
      <c r="AV189" s="182">
        <v>2842</v>
      </c>
      <c r="AW189" s="182">
        <v>382.8</v>
      </c>
      <c r="AX189" s="182">
        <v>0</v>
      </c>
      <c r="AY189" s="182">
        <v>0</v>
      </c>
    </row>
    <row r="190" spans="1:51" x14ac:dyDescent="0.25">
      <c r="A190" s="490" t="s">
        <v>1272</v>
      </c>
      <c r="B190" s="180">
        <v>9682976</v>
      </c>
      <c r="C190" s="180" t="s">
        <v>969</v>
      </c>
      <c r="D190" s="180" t="s">
        <v>970</v>
      </c>
      <c r="E190" s="180" t="s">
        <v>983</v>
      </c>
      <c r="F190" s="180" t="s">
        <v>376</v>
      </c>
      <c r="G190" s="180" t="s">
        <v>1264</v>
      </c>
      <c r="H190" s="182">
        <v>2900</v>
      </c>
      <c r="I190" s="182">
        <v>3273.38</v>
      </c>
      <c r="J190" s="180">
        <v>80.5</v>
      </c>
      <c r="N190" s="182">
        <v>25.38</v>
      </c>
      <c r="AL190" s="182">
        <v>2925.38</v>
      </c>
      <c r="AM190" s="182">
        <v>0</v>
      </c>
      <c r="AP190" s="182">
        <v>2925.38</v>
      </c>
      <c r="AQ190" s="182">
        <v>296</v>
      </c>
      <c r="AR190" s="182">
        <v>0</v>
      </c>
      <c r="AV190" s="182">
        <v>2629.38</v>
      </c>
      <c r="AW190" s="182">
        <v>348</v>
      </c>
      <c r="AX190" s="182">
        <v>0</v>
      </c>
      <c r="AY190" s="182">
        <v>0</v>
      </c>
    </row>
    <row r="191" spans="1:51" x14ac:dyDescent="0.25">
      <c r="A191" s="490" t="s">
        <v>1273</v>
      </c>
      <c r="B191" s="180">
        <v>9682976</v>
      </c>
      <c r="C191" s="180" t="s">
        <v>969</v>
      </c>
      <c r="D191" s="180" t="s">
        <v>970</v>
      </c>
      <c r="E191" s="180" t="s">
        <v>983</v>
      </c>
      <c r="F191" s="180" t="s">
        <v>376</v>
      </c>
      <c r="G191" s="180" t="s">
        <v>1264</v>
      </c>
      <c r="H191" s="182">
        <v>3190</v>
      </c>
      <c r="I191" s="182">
        <v>3572.8</v>
      </c>
      <c r="J191" s="180">
        <v>88</v>
      </c>
      <c r="AL191" s="182">
        <v>3190</v>
      </c>
      <c r="AM191" s="182">
        <v>0</v>
      </c>
      <c r="AP191" s="182">
        <v>3190</v>
      </c>
      <c r="AQ191" s="182">
        <v>348</v>
      </c>
      <c r="AR191" s="182">
        <v>0</v>
      </c>
      <c r="AV191" s="182">
        <v>2842</v>
      </c>
      <c r="AW191" s="182">
        <v>382.8</v>
      </c>
      <c r="AX191" s="182">
        <v>0</v>
      </c>
      <c r="AY191" s="182">
        <v>0</v>
      </c>
    </row>
    <row r="192" spans="1:51" x14ac:dyDescent="0.25">
      <c r="A192" s="490" t="s">
        <v>1265</v>
      </c>
      <c r="B192" s="180">
        <v>12870012</v>
      </c>
      <c r="C192" s="180" t="s">
        <v>1303</v>
      </c>
      <c r="D192" s="180" t="s">
        <v>1304</v>
      </c>
      <c r="E192" s="180" t="s">
        <v>983</v>
      </c>
      <c r="F192" s="180" t="s">
        <v>712</v>
      </c>
      <c r="G192" s="180" t="s">
        <v>1276</v>
      </c>
      <c r="H192" s="182">
        <v>957.69</v>
      </c>
      <c r="I192" s="182">
        <v>1141.3699999999999</v>
      </c>
      <c r="J192" s="180">
        <v>20.5</v>
      </c>
      <c r="N192" s="182">
        <v>68.760000000000005</v>
      </c>
      <c r="AL192" s="182">
        <v>1026.45</v>
      </c>
      <c r="AM192" s="182">
        <v>0</v>
      </c>
      <c r="AP192" s="182">
        <v>1026.45</v>
      </c>
      <c r="AQ192" s="182">
        <v>196</v>
      </c>
      <c r="AR192" s="182">
        <v>0</v>
      </c>
      <c r="AV192" s="182">
        <v>830.45</v>
      </c>
      <c r="AW192" s="182">
        <v>114.92</v>
      </c>
      <c r="AX192" s="182">
        <v>0</v>
      </c>
      <c r="AY192" s="182">
        <v>0</v>
      </c>
    </row>
    <row r="193" spans="1:51" x14ac:dyDescent="0.25">
      <c r="A193" s="490" t="s">
        <v>1275</v>
      </c>
      <c r="B193" s="180">
        <v>11557039</v>
      </c>
      <c r="C193" s="180" t="s">
        <v>1305</v>
      </c>
      <c r="D193" s="180" t="s">
        <v>1306</v>
      </c>
      <c r="E193" s="180" t="s">
        <v>983</v>
      </c>
      <c r="F193" s="180" t="s">
        <v>712</v>
      </c>
      <c r="G193" s="180" t="s">
        <v>1307</v>
      </c>
      <c r="H193" s="182">
        <v>550</v>
      </c>
      <c r="I193" s="182">
        <v>616</v>
      </c>
      <c r="J193" s="180">
        <v>11</v>
      </c>
      <c r="AL193" s="182">
        <v>550</v>
      </c>
      <c r="AM193" s="182">
        <v>0</v>
      </c>
      <c r="AP193" s="182">
        <v>550</v>
      </c>
      <c r="AQ193" s="182">
        <v>102</v>
      </c>
      <c r="AR193" s="182">
        <v>0</v>
      </c>
      <c r="AV193" s="182">
        <v>448</v>
      </c>
      <c r="AW193" s="182">
        <v>66</v>
      </c>
      <c r="AX193" s="182">
        <v>0</v>
      </c>
      <c r="AY193" s="182">
        <v>0</v>
      </c>
    </row>
    <row r="194" spans="1:51" x14ac:dyDescent="0.25">
      <c r="A194" s="490" t="s">
        <v>1277</v>
      </c>
      <c r="B194" s="180">
        <v>11557039</v>
      </c>
      <c r="C194" s="180" t="s">
        <v>1305</v>
      </c>
      <c r="D194" s="180" t="s">
        <v>1306</v>
      </c>
      <c r="E194" s="180" t="s">
        <v>983</v>
      </c>
      <c r="F194" s="180" t="s">
        <v>712</v>
      </c>
      <c r="G194" s="180" t="s">
        <v>1307</v>
      </c>
      <c r="H194" s="182">
        <v>925</v>
      </c>
      <c r="I194" s="182">
        <v>1141</v>
      </c>
      <c r="J194" s="180">
        <v>20</v>
      </c>
      <c r="N194" s="182">
        <v>105</v>
      </c>
      <c r="AL194" s="182">
        <v>1030</v>
      </c>
      <c r="AM194" s="182">
        <v>0</v>
      </c>
      <c r="AP194" s="182">
        <v>1030</v>
      </c>
      <c r="AQ194" s="182">
        <v>190</v>
      </c>
      <c r="AR194" s="182">
        <v>0</v>
      </c>
      <c r="AV194" s="182">
        <v>840</v>
      </c>
      <c r="AW194" s="182">
        <v>111</v>
      </c>
      <c r="AX194" s="182">
        <v>0</v>
      </c>
      <c r="AY194" s="182">
        <v>0</v>
      </c>
    </row>
    <row r="195" spans="1:51" x14ac:dyDescent="0.25">
      <c r="A195" s="490" t="s">
        <v>1269</v>
      </c>
      <c r="B195" s="180">
        <v>11557039</v>
      </c>
      <c r="C195" s="180" t="s">
        <v>1305</v>
      </c>
      <c r="D195" s="180" t="s">
        <v>1306</v>
      </c>
      <c r="E195" s="180" t="s">
        <v>983</v>
      </c>
      <c r="F195" s="180" t="s">
        <v>712</v>
      </c>
      <c r="G195" s="180" t="s">
        <v>1307</v>
      </c>
      <c r="H195" s="182">
        <v>400</v>
      </c>
      <c r="I195" s="182">
        <v>448</v>
      </c>
      <c r="J195" s="180">
        <v>8</v>
      </c>
      <c r="AL195" s="182">
        <v>400</v>
      </c>
      <c r="AM195" s="182">
        <v>0</v>
      </c>
      <c r="AP195" s="182">
        <v>400</v>
      </c>
      <c r="AQ195" s="182">
        <v>70</v>
      </c>
      <c r="AR195" s="182">
        <v>0</v>
      </c>
      <c r="AV195" s="182">
        <v>330</v>
      </c>
      <c r="AW195" s="182">
        <v>48</v>
      </c>
      <c r="AX195" s="182">
        <v>0</v>
      </c>
      <c r="AY195" s="182">
        <v>0</v>
      </c>
    </row>
    <row r="196" spans="1:51" x14ac:dyDescent="0.25">
      <c r="A196" s="490" t="s">
        <v>1265</v>
      </c>
      <c r="B196" s="180">
        <v>11557039</v>
      </c>
      <c r="C196" s="180" t="s">
        <v>1305</v>
      </c>
      <c r="D196" s="180" t="s">
        <v>1306</v>
      </c>
      <c r="E196" s="180" t="s">
        <v>983</v>
      </c>
      <c r="F196" s="180" t="s">
        <v>712</v>
      </c>
      <c r="G196" s="180" t="s">
        <v>1307</v>
      </c>
      <c r="H196" s="182">
        <v>600</v>
      </c>
      <c r="I196" s="182">
        <v>672</v>
      </c>
      <c r="J196" s="180">
        <v>12</v>
      </c>
      <c r="AL196" s="182">
        <v>600</v>
      </c>
      <c r="AM196" s="182">
        <v>0</v>
      </c>
      <c r="AP196" s="182">
        <v>600</v>
      </c>
      <c r="AQ196" s="182">
        <v>112</v>
      </c>
      <c r="AR196" s="182">
        <v>0</v>
      </c>
      <c r="AV196" s="182">
        <v>488</v>
      </c>
      <c r="AW196" s="182">
        <v>72</v>
      </c>
      <c r="AX196" s="182">
        <v>0</v>
      </c>
      <c r="AY196" s="182">
        <v>0</v>
      </c>
    </row>
    <row r="197" spans="1:51" x14ac:dyDescent="0.25">
      <c r="A197" s="490" t="s">
        <v>1272</v>
      </c>
      <c r="B197" s="180">
        <v>11557039</v>
      </c>
      <c r="C197" s="180" t="s">
        <v>1305</v>
      </c>
      <c r="D197" s="180" t="s">
        <v>1306</v>
      </c>
      <c r="E197" s="180" t="s">
        <v>983</v>
      </c>
      <c r="F197" s="180" t="s">
        <v>712</v>
      </c>
      <c r="G197" s="180" t="s">
        <v>1307</v>
      </c>
      <c r="H197" s="182">
        <v>200</v>
      </c>
      <c r="I197" s="182">
        <v>224</v>
      </c>
      <c r="J197" s="180">
        <v>4</v>
      </c>
      <c r="AL197" s="182">
        <v>200</v>
      </c>
      <c r="AM197" s="182">
        <v>0</v>
      </c>
      <c r="AP197" s="182">
        <v>200</v>
      </c>
      <c r="AQ197" s="182">
        <v>32</v>
      </c>
      <c r="AR197" s="182">
        <v>0</v>
      </c>
      <c r="AV197" s="182">
        <v>168</v>
      </c>
      <c r="AW197" s="182">
        <v>24</v>
      </c>
      <c r="AX197" s="182">
        <v>0</v>
      </c>
      <c r="AY197" s="182">
        <v>0</v>
      </c>
    </row>
    <row r="198" spans="1:51" x14ac:dyDescent="0.25">
      <c r="A198" s="490" t="s">
        <v>1271</v>
      </c>
      <c r="B198" s="180">
        <v>4988501</v>
      </c>
      <c r="C198" s="180" t="s">
        <v>724</v>
      </c>
      <c r="D198" s="180" t="s">
        <v>725</v>
      </c>
      <c r="E198" s="180" t="s">
        <v>983</v>
      </c>
      <c r="F198" s="180" t="s">
        <v>376</v>
      </c>
      <c r="G198" s="180" t="s">
        <v>1018</v>
      </c>
      <c r="H198" s="182">
        <v>338.5</v>
      </c>
      <c r="I198" s="182">
        <v>379.12</v>
      </c>
      <c r="J198" s="180">
        <v>8</v>
      </c>
      <c r="AL198" s="182">
        <v>338.5</v>
      </c>
      <c r="AM198" s="182">
        <v>0</v>
      </c>
      <c r="AP198" s="182">
        <v>338.5</v>
      </c>
      <c r="AQ198" s="182">
        <v>56</v>
      </c>
      <c r="AR198" s="182">
        <v>0</v>
      </c>
      <c r="AV198" s="182">
        <v>282.5</v>
      </c>
      <c r="AW198" s="182">
        <v>40.619999999999997</v>
      </c>
      <c r="AX198" s="182">
        <v>0</v>
      </c>
      <c r="AY198" s="182">
        <v>0</v>
      </c>
    </row>
    <row r="199" spans="1:51" x14ac:dyDescent="0.25">
      <c r="A199" s="490" t="s">
        <v>1273</v>
      </c>
      <c r="B199" s="180">
        <v>4988501</v>
      </c>
      <c r="C199" s="180" t="s">
        <v>724</v>
      </c>
      <c r="D199" s="180" t="s">
        <v>725</v>
      </c>
      <c r="E199" s="180" t="s">
        <v>983</v>
      </c>
      <c r="F199" s="180" t="s">
        <v>376</v>
      </c>
      <c r="G199" s="180" t="s">
        <v>1018</v>
      </c>
      <c r="H199" s="182">
        <v>677</v>
      </c>
      <c r="I199" s="182">
        <v>758.24</v>
      </c>
      <c r="J199" s="180">
        <v>16</v>
      </c>
      <c r="AL199" s="182">
        <v>677</v>
      </c>
      <c r="AM199" s="182">
        <v>0</v>
      </c>
      <c r="AP199" s="182">
        <v>677</v>
      </c>
      <c r="AQ199" s="182">
        <v>128</v>
      </c>
      <c r="AR199" s="182">
        <v>0</v>
      </c>
      <c r="AV199" s="182">
        <v>549</v>
      </c>
      <c r="AW199" s="182">
        <v>81.239999999999995</v>
      </c>
      <c r="AX199" s="182">
        <v>0</v>
      </c>
      <c r="AY199" s="182">
        <v>0</v>
      </c>
    </row>
    <row r="200" spans="1:51" x14ac:dyDescent="0.25">
      <c r="A200" s="490" t="s">
        <v>1268</v>
      </c>
      <c r="B200" s="180">
        <v>5111974</v>
      </c>
      <c r="C200" s="180" t="s">
        <v>728</v>
      </c>
      <c r="D200" s="180" t="s">
        <v>729</v>
      </c>
      <c r="E200" s="180" t="s">
        <v>983</v>
      </c>
      <c r="F200" s="180" t="s">
        <v>712</v>
      </c>
      <c r="G200" s="180" t="s">
        <v>1308</v>
      </c>
      <c r="H200" s="182">
        <v>727.58</v>
      </c>
      <c r="I200" s="182">
        <v>814.89</v>
      </c>
      <c r="J200" s="180">
        <v>14.75</v>
      </c>
      <c r="AL200" s="182">
        <v>727.58</v>
      </c>
      <c r="AM200" s="182">
        <v>0</v>
      </c>
      <c r="AP200" s="182">
        <v>727.58</v>
      </c>
      <c r="AQ200" s="182">
        <v>138</v>
      </c>
      <c r="AR200" s="182">
        <v>0</v>
      </c>
      <c r="AV200" s="182">
        <v>589.58000000000004</v>
      </c>
      <c r="AW200" s="182">
        <v>87.31</v>
      </c>
      <c r="AX200" s="182">
        <v>0</v>
      </c>
      <c r="AY200" s="182">
        <v>0</v>
      </c>
    </row>
    <row r="201" spans="1:51" x14ac:dyDescent="0.25">
      <c r="A201" s="490" t="s">
        <v>1269</v>
      </c>
      <c r="B201" s="180">
        <v>5111974</v>
      </c>
      <c r="C201" s="180" t="s">
        <v>728</v>
      </c>
      <c r="D201" s="180" t="s">
        <v>729</v>
      </c>
      <c r="E201" s="180" t="s">
        <v>983</v>
      </c>
      <c r="F201" s="180" t="s">
        <v>712</v>
      </c>
      <c r="G201" s="180" t="s">
        <v>1308</v>
      </c>
      <c r="H201" s="182">
        <v>2799.33</v>
      </c>
      <c r="I201" s="182">
        <v>3135.25</v>
      </c>
      <c r="J201" s="180">
        <v>56.75</v>
      </c>
      <c r="AL201" s="182">
        <v>2799.33</v>
      </c>
      <c r="AM201" s="182">
        <v>0</v>
      </c>
      <c r="AP201" s="182">
        <v>2799.33</v>
      </c>
      <c r="AQ201" s="182">
        <v>580</v>
      </c>
      <c r="AR201" s="182">
        <v>0</v>
      </c>
      <c r="AV201" s="182">
        <v>2219.33</v>
      </c>
      <c r="AW201" s="182">
        <v>335.92</v>
      </c>
      <c r="AX201" s="182">
        <v>0</v>
      </c>
      <c r="AY201" s="182">
        <v>0</v>
      </c>
    </row>
    <row r="202" spans="1:51" x14ac:dyDescent="0.25">
      <c r="A202" s="490" t="s">
        <v>1265</v>
      </c>
      <c r="B202" s="180">
        <v>5111974</v>
      </c>
      <c r="C202" s="180" t="s">
        <v>728</v>
      </c>
      <c r="D202" s="180" t="s">
        <v>729</v>
      </c>
      <c r="E202" s="180" t="s">
        <v>983</v>
      </c>
      <c r="F202" s="180" t="s">
        <v>712</v>
      </c>
      <c r="G202" s="180" t="s">
        <v>1308</v>
      </c>
      <c r="H202" s="182">
        <v>1270.19</v>
      </c>
      <c r="I202" s="182">
        <v>1587.85</v>
      </c>
      <c r="J202" s="180">
        <v>28</v>
      </c>
      <c r="N202" s="182">
        <v>120.85</v>
      </c>
      <c r="R202" s="182">
        <v>44.39</v>
      </c>
      <c r="AL202" s="182">
        <v>1435.43</v>
      </c>
      <c r="AM202" s="182">
        <v>0</v>
      </c>
      <c r="AP202" s="182">
        <v>1435.43</v>
      </c>
      <c r="AQ202" s="182">
        <v>310</v>
      </c>
      <c r="AR202" s="182">
        <v>0</v>
      </c>
      <c r="AV202" s="182">
        <v>1125.43</v>
      </c>
      <c r="AW202" s="182">
        <v>152.41999999999999</v>
      </c>
      <c r="AX202" s="182">
        <v>0</v>
      </c>
      <c r="AY202" s="182">
        <v>0</v>
      </c>
    </row>
    <row r="203" spans="1:51" x14ac:dyDescent="0.25">
      <c r="A203" s="490" t="s">
        <v>1275</v>
      </c>
      <c r="B203" s="180">
        <v>7129294</v>
      </c>
      <c r="C203" s="180" t="s">
        <v>765</v>
      </c>
      <c r="D203" s="180" t="s">
        <v>766</v>
      </c>
      <c r="E203" s="180" t="s">
        <v>983</v>
      </c>
      <c r="F203" s="180" t="s">
        <v>376</v>
      </c>
      <c r="G203" s="180" t="s">
        <v>1298</v>
      </c>
      <c r="H203" s="182">
        <v>1035.8499999999999</v>
      </c>
      <c r="I203" s="182">
        <v>1207.7</v>
      </c>
      <c r="J203" s="180">
        <v>31.5</v>
      </c>
      <c r="N203" s="182">
        <v>47.55</v>
      </c>
      <c r="AL203" s="182">
        <v>1083.4000000000001</v>
      </c>
      <c r="AM203" s="182">
        <v>0</v>
      </c>
      <c r="AP203" s="182">
        <v>1083.4000000000001</v>
      </c>
      <c r="AQ203" s="182">
        <v>14</v>
      </c>
      <c r="AR203" s="182">
        <v>0</v>
      </c>
      <c r="AV203" s="182">
        <v>1069.4000000000001</v>
      </c>
      <c r="AW203" s="182">
        <v>124.3</v>
      </c>
      <c r="AX203" s="182">
        <v>0</v>
      </c>
      <c r="AY203" s="182">
        <v>0</v>
      </c>
    </row>
    <row r="204" spans="1:51" x14ac:dyDescent="0.25">
      <c r="A204" s="490" t="s">
        <v>1277</v>
      </c>
      <c r="B204" s="180">
        <v>7129294</v>
      </c>
      <c r="C204" s="180" t="s">
        <v>765</v>
      </c>
      <c r="D204" s="180" t="s">
        <v>766</v>
      </c>
      <c r="E204" s="180" t="s">
        <v>983</v>
      </c>
      <c r="F204" s="180" t="s">
        <v>376</v>
      </c>
      <c r="G204" s="180" t="s">
        <v>1298</v>
      </c>
      <c r="H204" s="182">
        <v>421.8</v>
      </c>
      <c r="I204" s="182">
        <v>472.41</v>
      </c>
      <c r="J204" s="180">
        <v>12</v>
      </c>
      <c r="AL204" s="182">
        <v>421.8</v>
      </c>
      <c r="AM204" s="182">
        <v>0</v>
      </c>
      <c r="AP204" s="182">
        <v>421.8</v>
      </c>
      <c r="AQ204" s="182">
        <v>0</v>
      </c>
      <c r="AR204" s="182">
        <v>0</v>
      </c>
      <c r="AV204" s="182">
        <v>421.8</v>
      </c>
      <c r="AW204" s="182">
        <v>50.61</v>
      </c>
      <c r="AX204" s="182">
        <v>0</v>
      </c>
      <c r="AY204" s="182">
        <v>0</v>
      </c>
    </row>
    <row r="205" spans="1:51" x14ac:dyDescent="0.25">
      <c r="A205" s="490" t="s">
        <v>1266</v>
      </c>
      <c r="B205" s="180">
        <v>7129294</v>
      </c>
      <c r="C205" s="180" t="s">
        <v>765</v>
      </c>
      <c r="D205" s="180" t="s">
        <v>766</v>
      </c>
      <c r="E205" s="180" t="s">
        <v>983</v>
      </c>
      <c r="F205" s="180" t="s">
        <v>376</v>
      </c>
      <c r="G205" s="180" t="s">
        <v>1298</v>
      </c>
      <c r="H205" s="182">
        <v>421.8</v>
      </c>
      <c r="I205" s="182">
        <v>472.42</v>
      </c>
      <c r="J205" s="180">
        <v>12</v>
      </c>
      <c r="AL205" s="182">
        <v>421.8</v>
      </c>
      <c r="AM205" s="182">
        <v>0</v>
      </c>
      <c r="AP205" s="182">
        <v>421.8</v>
      </c>
      <c r="AQ205" s="182">
        <v>0</v>
      </c>
      <c r="AR205" s="182">
        <v>0</v>
      </c>
      <c r="AV205" s="182">
        <v>421.8</v>
      </c>
      <c r="AW205" s="182">
        <v>50.62</v>
      </c>
      <c r="AX205" s="182">
        <v>0</v>
      </c>
      <c r="AY205" s="182">
        <v>0</v>
      </c>
    </row>
    <row r="206" spans="1:51" x14ac:dyDescent="0.25">
      <c r="A206" s="490" t="s">
        <v>1267</v>
      </c>
      <c r="B206" s="180">
        <v>7129294</v>
      </c>
      <c r="C206" s="180" t="s">
        <v>765</v>
      </c>
      <c r="D206" s="180" t="s">
        <v>766</v>
      </c>
      <c r="E206" s="180" t="s">
        <v>983</v>
      </c>
      <c r="F206" s="180" t="s">
        <v>376</v>
      </c>
      <c r="G206" s="180" t="s">
        <v>1298</v>
      </c>
      <c r="H206" s="182">
        <v>140.6</v>
      </c>
      <c r="I206" s="182">
        <v>157.47</v>
      </c>
      <c r="J206" s="180">
        <v>4</v>
      </c>
      <c r="AL206" s="182">
        <v>140.6</v>
      </c>
      <c r="AM206" s="182">
        <v>0</v>
      </c>
      <c r="AP206" s="182">
        <v>140.6</v>
      </c>
      <c r="AQ206" s="182">
        <v>0</v>
      </c>
      <c r="AR206" s="182">
        <v>0</v>
      </c>
      <c r="AV206" s="182">
        <v>140.6</v>
      </c>
      <c r="AW206" s="182">
        <v>16.87</v>
      </c>
      <c r="AX206" s="182">
        <v>0</v>
      </c>
      <c r="AY206" s="182">
        <v>0</v>
      </c>
    </row>
    <row r="207" spans="1:51" x14ac:dyDescent="0.25">
      <c r="A207" s="490" t="s">
        <v>1268</v>
      </c>
      <c r="B207" s="180">
        <v>7129294</v>
      </c>
      <c r="C207" s="180" t="s">
        <v>765</v>
      </c>
      <c r="D207" s="180" t="s">
        <v>766</v>
      </c>
      <c r="E207" s="180" t="s">
        <v>983</v>
      </c>
      <c r="F207" s="180" t="s">
        <v>376</v>
      </c>
      <c r="G207" s="180" t="s">
        <v>1298</v>
      </c>
      <c r="H207" s="182">
        <v>553.61</v>
      </c>
      <c r="I207" s="182">
        <v>620.04</v>
      </c>
      <c r="J207" s="180">
        <v>15.75</v>
      </c>
      <c r="AL207" s="182">
        <v>553.61</v>
      </c>
      <c r="AM207" s="182">
        <v>0</v>
      </c>
      <c r="AP207" s="182">
        <v>553.61</v>
      </c>
      <c r="AQ207" s="182">
        <v>0</v>
      </c>
      <c r="AR207" s="182">
        <v>0</v>
      </c>
      <c r="AV207" s="182">
        <v>553.61</v>
      </c>
      <c r="AW207" s="182">
        <v>66.430000000000007</v>
      </c>
      <c r="AX207" s="182">
        <v>0</v>
      </c>
      <c r="AY207" s="182">
        <v>0</v>
      </c>
    </row>
    <row r="208" spans="1:51" x14ac:dyDescent="0.25">
      <c r="A208" s="490" t="s">
        <v>1269</v>
      </c>
      <c r="B208" s="180">
        <v>7129294</v>
      </c>
      <c r="C208" s="180" t="s">
        <v>765</v>
      </c>
      <c r="D208" s="180" t="s">
        <v>766</v>
      </c>
      <c r="E208" s="180" t="s">
        <v>983</v>
      </c>
      <c r="F208" s="180" t="s">
        <v>376</v>
      </c>
      <c r="G208" s="180" t="s">
        <v>1298</v>
      </c>
      <c r="H208" s="182">
        <v>140.6</v>
      </c>
      <c r="I208" s="182">
        <v>157.47</v>
      </c>
      <c r="J208" s="180">
        <v>4</v>
      </c>
      <c r="AL208" s="182">
        <v>140.6</v>
      </c>
      <c r="AM208" s="182">
        <v>0</v>
      </c>
      <c r="AP208" s="182">
        <v>140.6</v>
      </c>
      <c r="AQ208" s="182">
        <v>0</v>
      </c>
      <c r="AR208" s="182">
        <v>0</v>
      </c>
      <c r="AV208" s="182">
        <v>140.6</v>
      </c>
      <c r="AW208" s="182">
        <v>16.87</v>
      </c>
      <c r="AX208" s="182">
        <v>0</v>
      </c>
      <c r="AY208" s="182">
        <v>0</v>
      </c>
    </row>
    <row r="209" spans="1:51" x14ac:dyDescent="0.25">
      <c r="A209" s="490" t="s">
        <v>1265</v>
      </c>
      <c r="B209" s="180">
        <v>7129294</v>
      </c>
      <c r="C209" s="180" t="s">
        <v>765</v>
      </c>
      <c r="D209" s="180" t="s">
        <v>766</v>
      </c>
      <c r="E209" s="180" t="s">
        <v>983</v>
      </c>
      <c r="F209" s="180" t="s">
        <v>376</v>
      </c>
      <c r="G209" s="180" t="s">
        <v>1298</v>
      </c>
      <c r="H209" s="182">
        <v>140.6</v>
      </c>
      <c r="I209" s="182">
        <v>157.47</v>
      </c>
      <c r="J209" s="180">
        <v>4</v>
      </c>
      <c r="AL209" s="182">
        <v>140.6</v>
      </c>
      <c r="AM209" s="182">
        <v>0</v>
      </c>
      <c r="AP209" s="182">
        <v>140.6</v>
      </c>
      <c r="AQ209" s="182">
        <v>0</v>
      </c>
      <c r="AR209" s="182">
        <v>0</v>
      </c>
      <c r="AV209" s="182">
        <v>140.6</v>
      </c>
      <c r="AW209" s="182">
        <v>16.87</v>
      </c>
      <c r="AX209" s="182">
        <v>0</v>
      </c>
      <c r="AY209" s="182">
        <v>0</v>
      </c>
    </row>
    <row r="210" spans="1:51" x14ac:dyDescent="0.25">
      <c r="A210" s="490" t="s">
        <v>1271</v>
      </c>
      <c r="B210" s="180">
        <v>7129294</v>
      </c>
      <c r="C210" s="180" t="s">
        <v>765</v>
      </c>
      <c r="D210" s="180" t="s">
        <v>766</v>
      </c>
      <c r="E210" s="180" t="s">
        <v>983</v>
      </c>
      <c r="F210" s="180" t="s">
        <v>376</v>
      </c>
      <c r="G210" s="180" t="s">
        <v>1298</v>
      </c>
      <c r="H210" s="182">
        <v>140.6</v>
      </c>
      <c r="I210" s="182">
        <v>157.47</v>
      </c>
      <c r="J210" s="180">
        <v>4</v>
      </c>
      <c r="AL210" s="182">
        <v>140.6</v>
      </c>
      <c r="AM210" s="182">
        <v>0</v>
      </c>
      <c r="AP210" s="182">
        <v>140.6</v>
      </c>
      <c r="AQ210" s="182">
        <v>0</v>
      </c>
      <c r="AR210" s="182">
        <v>0</v>
      </c>
      <c r="AV210" s="182">
        <v>140.6</v>
      </c>
      <c r="AW210" s="182">
        <v>16.87</v>
      </c>
      <c r="AX210" s="182">
        <v>0</v>
      </c>
      <c r="AY210" s="182">
        <v>0</v>
      </c>
    </row>
    <row r="211" spans="1:51" x14ac:dyDescent="0.25">
      <c r="A211" s="490" t="s">
        <v>1273</v>
      </c>
      <c r="B211" s="180">
        <v>7129294</v>
      </c>
      <c r="C211" s="180" t="s">
        <v>765</v>
      </c>
      <c r="D211" s="180" t="s">
        <v>766</v>
      </c>
      <c r="E211" s="180" t="s">
        <v>983</v>
      </c>
      <c r="F211" s="180" t="s">
        <v>376</v>
      </c>
      <c r="G211" s="180" t="s">
        <v>1298</v>
      </c>
      <c r="H211" s="182">
        <v>140.6</v>
      </c>
      <c r="I211" s="182">
        <v>157.47</v>
      </c>
      <c r="J211" s="180">
        <v>4</v>
      </c>
      <c r="AL211" s="182">
        <v>140.6</v>
      </c>
      <c r="AM211" s="182">
        <v>0</v>
      </c>
      <c r="AP211" s="182">
        <v>140.6</v>
      </c>
      <c r="AQ211" s="182">
        <v>0</v>
      </c>
      <c r="AR211" s="182">
        <v>0</v>
      </c>
      <c r="AV211" s="182">
        <v>140.6</v>
      </c>
      <c r="AW211" s="182">
        <v>16.87</v>
      </c>
      <c r="AX211" s="182">
        <v>0</v>
      </c>
      <c r="AY211" s="182">
        <v>0</v>
      </c>
    </row>
    <row r="212" spans="1:51" x14ac:dyDescent="0.25">
      <c r="A212" s="490" t="s">
        <v>1274</v>
      </c>
      <c r="B212" s="180">
        <v>7129294</v>
      </c>
      <c r="C212" s="180" t="s">
        <v>765</v>
      </c>
      <c r="D212" s="180" t="s">
        <v>766</v>
      </c>
      <c r="E212" s="180" t="s">
        <v>983</v>
      </c>
      <c r="F212" s="180" t="s">
        <v>376</v>
      </c>
      <c r="G212" s="180" t="s">
        <v>1298</v>
      </c>
      <c r="H212" s="182">
        <v>421.8</v>
      </c>
      <c r="I212" s="182">
        <v>472.42</v>
      </c>
      <c r="J212" s="180">
        <v>12</v>
      </c>
      <c r="AL212" s="182">
        <v>421.8</v>
      </c>
      <c r="AM212" s="182">
        <v>0</v>
      </c>
      <c r="AP212" s="182">
        <v>421.8</v>
      </c>
      <c r="AQ212" s="182">
        <v>0</v>
      </c>
      <c r="AR212" s="182">
        <v>0</v>
      </c>
      <c r="AV212" s="182">
        <v>421.8</v>
      </c>
      <c r="AW212" s="182">
        <v>50.62</v>
      </c>
      <c r="AX212" s="182">
        <v>0</v>
      </c>
      <c r="AY212" s="182">
        <v>0</v>
      </c>
    </row>
    <row r="213" spans="1:51" x14ac:dyDescent="0.25">
      <c r="A213" s="490" t="s">
        <v>1275</v>
      </c>
      <c r="B213" s="180">
        <v>4745738</v>
      </c>
      <c r="C213" s="180" t="s">
        <v>1309</v>
      </c>
      <c r="D213" s="180" t="s">
        <v>1310</v>
      </c>
      <c r="E213" s="180" t="s">
        <v>983</v>
      </c>
      <c r="F213" s="180" t="s">
        <v>376</v>
      </c>
      <c r="G213" s="180" t="s">
        <v>1031</v>
      </c>
      <c r="H213" s="182">
        <v>1260</v>
      </c>
      <c r="I213" s="182">
        <v>1411.2</v>
      </c>
      <c r="J213" s="180">
        <v>28</v>
      </c>
      <c r="AL213" s="182">
        <v>1260</v>
      </c>
      <c r="AM213" s="182">
        <v>0</v>
      </c>
      <c r="AP213" s="182">
        <v>1260</v>
      </c>
      <c r="AQ213" s="182">
        <v>44</v>
      </c>
      <c r="AR213" s="182">
        <v>0</v>
      </c>
      <c r="AV213" s="182">
        <v>1216</v>
      </c>
      <c r="AW213" s="182">
        <v>151.19999999999999</v>
      </c>
      <c r="AX213" s="182">
        <v>0</v>
      </c>
      <c r="AY213" s="182">
        <v>0</v>
      </c>
    </row>
    <row r="214" spans="1:51" x14ac:dyDescent="0.25">
      <c r="A214" s="490" t="s">
        <v>1275</v>
      </c>
      <c r="B214" s="180">
        <v>7163949</v>
      </c>
      <c r="C214" s="180" t="s">
        <v>768</v>
      </c>
      <c r="D214" s="180" t="s">
        <v>769</v>
      </c>
      <c r="E214" s="180" t="s">
        <v>983</v>
      </c>
      <c r="F214" s="180" t="s">
        <v>376</v>
      </c>
      <c r="G214" s="180" t="s">
        <v>1298</v>
      </c>
      <c r="H214" s="182">
        <v>451.01</v>
      </c>
      <c r="I214" s="182">
        <v>505.13</v>
      </c>
      <c r="J214" s="180">
        <v>13</v>
      </c>
      <c r="AL214" s="182">
        <v>451.01</v>
      </c>
      <c r="AM214" s="182">
        <v>0</v>
      </c>
      <c r="AP214" s="182">
        <v>451.01</v>
      </c>
      <c r="AQ214" s="182">
        <v>0</v>
      </c>
      <c r="AR214" s="182">
        <v>0</v>
      </c>
      <c r="AV214" s="182">
        <v>451.01</v>
      </c>
      <c r="AW214" s="182">
        <v>54.12</v>
      </c>
      <c r="AX214" s="182">
        <v>0</v>
      </c>
      <c r="AY214" s="182">
        <v>0</v>
      </c>
    </row>
    <row r="215" spans="1:51" x14ac:dyDescent="0.25">
      <c r="A215" s="490" t="s">
        <v>1277</v>
      </c>
      <c r="B215" s="180">
        <v>7163949</v>
      </c>
      <c r="C215" s="180" t="s">
        <v>768</v>
      </c>
      <c r="D215" s="180" t="s">
        <v>769</v>
      </c>
      <c r="E215" s="180" t="s">
        <v>983</v>
      </c>
      <c r="F215" s="180" t="s">
        <v>376</v>
      </c>
      <c r="G215" s="180" t="s">
        <v>1298</v>
      </c>
      <c r="H215" s="182">
        <v>386.65</v>
      </c>
      <c r="I215" s="182">
        <v>433.05</v>
      </c>
      <c r="J215" s="180">
        <v>11</v>
      </c>
      <c r="AL215" s="182">
        <v>386.65</v>
      </c>
      <c r="AM215" s="182">
        <v>0</v>
      </c>
      <c r="AP215" s="182">
        <v>386.65</v>
      </c>
      <c r="AQ215" s="182">
        <v>0</v>
      </c>
      <c r="AR215" s="182">
        <v>0</v>
      </c>
      <c r="AV215" s="182">
        <v>386.65</v>
      </c>
      <c r="AW215" s="182">
        <v>46.4</v>
      </c>
      <c r="AX215" s="182">
        <v>0</v>
      </c>
      <c r="AY215" s="182">
        <v>0</v>
      </c>
    </row>
    <row r="216" spans="1:51" x14ac:dyDescent="0.25">
      <c r="A216" s="490" t="s">
        <v>1266</v>
      </c>
      <c r="B216" s="180">
        <v>7163949</v>
      </c>
      <c r="C216" s="180" t="s">
        <v>768</v>
      </c>
      <c r="D216" s="180" t="s">
        <v>769</v>
      </c>
      <c r="E216" s="180" t="s">
        <v>983</v>
      </c>
      <c r="F216" s="180" t="s">
        <v>376</v>
      </c>
      <c r="G216" s="180" t="s">
        <v>1298</v>
      </c>
      <c r="H216" s="182">
        <v>1124.8</v>
      </c>
      <c r="I216" s="182">
        <v>1358.19</v>
      </c>
      <c r="J216" s="180">
        <v>34</v>
      </c>
      <c r="N216" s="182">
        <v>98.42</v>
      </c>
      <c r="AL216" s="182">
        <v>1223.22</v>
      </c>
      <c r="AM216" s="182">
        <v>0</v>
      </c>
      <c r="AP216" s="182">
        <v>1223.22</v>
      </c>
      <c r="AQ216" s="182">
        <v>36</v>
      </c>
      <c r="AR216" s="182">
        <v>0</v>
      </c>
      <c r="AV216" s="182">
        <v>1187.22</v>
      </c>
      <c r="AW216" s="182">
        <v>134.97</v>
      </c>
      <c r="AX216" s="182">
        <v>0</v>
      </c>
      <c r="AY216" s="182">
        <v>0</v>
      </c>
    </row>
    <row r="217" spans="1:51" x14ac:dyDescent="0.25">
      <c r="A217" s="490" t="s">
        <v>1267</v>
      </c>
      <c r="B217" s="180">
        <v>7163949</v>
      </c>
      <c r="C217" s="180" t="s">
        <v>768</v>
      </c>
      <c r="D217" s="180" t="s">
        <v>769</v>
      </c>
      <c r="E217" s="180" t="s">
        <v>983</v>
      </c>
      <c r="F217" s="180" t="s">
        <v>376</v>
      </c>
      <c r="G217" s="180" t="s">
        <v>1298</v>
      </c>
      <c r="H217" s="182">
        <v>2706.54</v>
      </c>
      <c r="I217" s="182">
        <v>3105.15</v>
      </c>
      <c r="J217" s="180">
        <v>78.5</v>
      </c>
      <c r="N217" s="182">
        <v>73.819999999999993</v>
      </c>
      <c r="AL217" s="182">
        <v>2780.36</v>
      </c>
      <c r="AM217" s="182">
        <v>0</v>
      </c>
      <c r="AP217" s="182">
        <v>2780.36</v>
      </c>
      <c r="AQ217" s="182">
        <v>258</v>
      </c>
      <c r="AR217" s="182">
        <v>0</v>
      </c>
      <c r="AV217" s="182">
        <v>2522.36</v>
      </c>
      <c r="AW217" s="182">
        <v>324.79000000000002</v>
      </c>
      <c r="AX217" s="182">
        <v>0</v>
      </c>
      <c r="AY217" s="182">
        <v>0</v>
      </c>
    </row>
    <row r="218" spans="1:51" x14ac:dyDescent="0.25">
      <c r="A218" s="490" t="s">
        <v>1268</v>
      </c>
      <c r="B218" s="180">
        <v>7163949</v>
      </c>
      <c r="C218" s="180" t="s">
        <v>768</v>
      </c>
      <c r="D218" s="180" t="s">
        <v>769</v>
      </c>
      <c r="E218" s="180" t="s">
        <v>983</v>
      </c>
      <c r="F218" s="180" t="s">
        <v>376</v>
      </c>
      <c r="G218" s="180" t="s">
        <v>1298</v>
      </c>
      <c r="H218" s="182">
        <v>1669.62</v>
      </c>
      <c r="I218" s="182">
        <v>1869.98</v>
      </c>
      <c r="J218" s="180">
        <v>47.5</v>
      </c>
      <c r="AL218" s="182">
        <v>1669.62</v>
      </c>
      <c r="AM218" s="182">
        <v>0</v>
      </c>
      <c r="AP218" s="182">
        <v>1669.62</v>
      </c>
      <c r="AQ218" s="182">
        <v>78</v>
      </c>
      <c r="AR218" s="182">
        <v>0</v>
      </c>
      <c r="AV218" s="182">
        <v>1591.62</v>
      </c>
      <c r="AW218" s="182">
        <v>200.36</v>
      </c>
      <c r="AX218" s="182">
        <v>0</v>
      </c>
      <c r="AY218" s="182">
        <v>0</v>
      </c>
    </row>
    <row r="219" spans="1:51" x14ac:dyDescent="0.25">
      <c r="A219" s="490" t="s">
        <v>1269</v>
      </c>
      <c r="B219" s="180">
        <v>7163949</v>
      </c>
      <c r="C219" s="180" t="s">
        <v>768</v>
      </c>
      <c r="D219" s="180" t="s">
        <v>769</v>
      </c>
      <c r="E219" s="180" t="s">
        <v>983</v>
      </c>
      <c r="F219" s="180" t="s">
        <v>376</v>
      </c>
      <c r="G219" s="180" t="s">
        <v>1298</v>
      </c>
      <c r="H219" s="182">
        <v>913.9</v>
      </c>
      <c r="I219" s="182">
        <v>1023.57</v>
      </c>
      <c r="J219" s="180">
        <v>26</v>
      </c>
      <c r="AL219" s="182">
        <v>913.9</v>
      </c>
      <c r="AM219" s="182">
        <v>0</v>
      </c>
      <c r="AP219" s="182">
        <v>913.9</v>
      </c>
      <c r="AQ219" s="182">
        <v>8</v>
      </c>
      <c r="AR219" s="182">
        <v>0</v>
      </c>
      <c r="AV219" s="182">
        <v>905.9</v>
      </c>
      <c r="AW219" s="182">
        <v>109.67</v>
      </c>
      <c r="AX219" s="182">
        <v>0</v>
      </c>
      <c r="AY219" s="182">
        <v>0</v>
      </c>
    </row>
    <row r="220" spans="1:51" x14ac:dyDescent="0.25">
      <c r="A220" s="490" t="s">
        <v>1263</v>
      </c>
      <c r="B220" s="180">
        <v>7163949</v>
      </c>
      <c r="C220" s="180" t="s">
        <v>768</v>
      </c>
      <c r="D220" s="180" t="s">
        <v>769</v>
      </c>
      <c r="E220" s="180" t="s">
        <v>983</v>
      </c>
      <c r="F220" s="180" t="s">
        <v>376</v>
      </c>
      <c r="G220" s="180" t="s">
        <v>1298</v>
      </c>
      <c r="H220" s="182">
        <v>615.12</v>
      </c>
      <c r="I220" s="182">
        <v>688.94</v>
      </c>
      <c r="J220" s="180">
        <v>17.5</v>
      </c>
      <c r="AL220" s="182">
        <v>615.12</v>
      </c>
      <c r="AM220" s="182">
        <v>0</v>
      </c>
      <c r="AP220" s="182">
        <v>615.12</v>
      </c>
      <c r="AQ220" s="182">
        <v>0</v>
      </c>
      <c r="AR220" s="182">
        <v>0</v>
      </c>
      <c r="AV220" s="182">
        <v>615.12</v>
      </c>
      <c r="AW220" s="182">
        <v>73.819999999999993</v>
      </c>
      <c r="AX220" s="182">
        <v>0</v>
      </c>
      <c r="AY220" s="182">
        <v>0</v>
      </c>
    </row>
    <row r="221" spans="1:51" x14ac:dyDescent="0.25">
      <c r="A221" s="490" t="s">
        <v>1265</v>
      </c>
      <c r="B221" s="180">
        <v>7163949</v>
      </c>
      <c r="C221" s="180" t="s">
        <v>768</v>
      </c>
      <c r="D221" s="180" t="s">
        <v>769</v>
      </c>
      <c r="E221" s="180" t="s">
        <v>983</v>
      </c>
      <c r="F221" s="180" t="s">
        <v>376</v>
      </c>
      <c r="G221" s="180" t="s">
        <v>1298</v>
      </c>
      <c r="H221" s="182">
        <v>1124.8</v>
      </c>
      <c r="I221" s="182">
        <v>1259.78</v>
      </c>
      <c r="J221" s="180">
        <v>32</v>
      </c>
      <c r="AL221" s="182">
        <v>1124.8</v>
      </c>
      <c r="AM221" s="182">
        <v>0</v>
      </c>
      <c r="AP221" s="182">
        <v>1124.8</v>
      </c>
      <c r="AQ221" s="182">
        <v>0</v>
      </c>
      <c r="AR221" s="182">
        <v>0</v>
      </c>
      <c r="AV221" s="182">
        <v>1124.8</v>
      </c>
      <c r="AW221" s="182">
        <v>134.97999999999999</v>
      </c>
      <c r="AX221" s="182">
        <v>0</v>
      </c>
      <c r="AY221" s="182">
        <v>0</v>
      </c>
    </row>
    <row r="222" spans="1:51" x14ac:dyDescent="0.25">
      <c r="A222" s="490" t="s">
        <v>1271</v>
      </c>
      <c r="B222" s="180">
        <v>7163949</v>
      </c>
      <c r="C222" s="180" t="s">
        <v>768</v>
      </c>
      <c r="D222" s="180" t="s">
        <v>769</v>
      </c>
      <c r="E222" s="180" t="s">
        <v>983</v>
      </c>
      <c r="F222" s="180" t="s">
        <v>376</v>
      </c>
      <c r="G222" s="180" t="s">
        <v>1298</v>
      </c>
      <c r="H222" s="182">
        <v>1827.8</v>
      </c>
      <c r="I222" s="182">
        <v>2047.13</v>
      </c>
      <c r="J222" s="180">
        <v>52</v>
      </c>
      <c r="AL222" s="182">
        <v>1827.8</v>
      </c>
      <c r="AM222" s="182">
        <v>0</v>
      </c>
      <c r="AP222" s="182">
        <v>1827.8</v>
      </c>
      <c r="AQ222" s="182">
        <v>62</v>
      </c>
      <c r="AR222" s="182">
        <v>0</v>
      </c>
      <c r="AV222" s="182">
        <v>1765.8</v>
      </c>
      <c r="AW222" s="182">
        <v>219.33</v>
      </c>
      <c r="AX222" s="182">
        <v>0</v>
      </c>
      <c r="AY222" s="182">
        <v>0</v>
      </c>
    </row>
    <row r="223" spans="1:51" x14ac:dyDescent="0.25">
      <c r="A223" s="490" t="s">
        <v>1272</v>
      </c>
      <c r="B223" s="180">
        <v>7163949</v>
      </c>
      <c r="C223" s="180" t="s">
        <v>768</v>
      </c>
      <c r="D223" s="180" t="s">
        <v>769</v>
      </c>
      <c r="E223" s="180" t="s">
        <v>983</v>
      </c>
      <c r="F223" s="180" t="s">
        <v>376</v>
      </c>
      <c r="G223" s="180" t="s">
        <v>1298</v>
      </c>
      <c r="H223" s="182">
        <v>1177.52</v>
      </c>
      <c r="I223" s="182">
        <v>1318.82</v>
      </c>
      <c r="J223" s="180">
        <v>33.5</v>
      </c>
      <c r="AL223" s="182">
        <v>1177.52</v>
      </c>
      <c r="AM223" s="182">
        <v>0</v>
      </c>
      <c r="AP223" s="182">
        <v>1177.52</v>
      </c>
      <c r="AQ223" s="182">
        <v>28</v>
      </c>
      <c r="AR223" s="182">
        <v>0</v>
      </c>
      <c r="AV223" s="182">
        <v>1149.52</v>
      </c>
      <c r="AW223" s="182">
        <v>141.30000000000001</v>
      </c>
      <c r="AX223" s="182">
        <v>0</v>
      </c>
      <c r="AY223" s="182">
        <v>0</v>
      </c>
    </row>
    <row r="224" spans="1:51" x14ac:dyDescent="0.25">
      <c r="A224" s="490" t="s">
        <v>1273</v>
      </c>
      <c r="B224" s="180">
        <v>7163949</v>
      </c>
      <c r="C224" s="180" t="s">
        <v>768</v>
      </c>
      <c r="D224" s="180" t="s">
        <v>769</v>
      </c>
      <c r="E224" s="180" t="s">
        <v>983</v>
      </c>
      <c r="F224" s="180" t="s">
        <v>376</v>
      </c>
      <c r="G224" s="180" t="s">
        <v>1298</v>
      </c>
      <c r="H224" s="182">
        <v>1546.6</v>
      </c>
      <c r="I224" s="182">
        <v>1732.2</v>
      </c>
      <c r="J224" s="180">
        <v>44</v>
      </c>
      <c r="AL224" s="182">
        <v>1546.6</v>
      </c>
      <c r="AM224" s="182">
        <v>0</v>
      </c>
      <c r="AP224" s="182">
        <v>1546.6</v>
      </c>
      <c r="AQ224" s="182">
        <v>78</v>
      </c>
      <c r="AR224" s="182">
        <v>0</v>
      </c>
      <c r="AV224" s="182">
        <v>1468.6</v>
      </c>
      <c r="AW224" s="182">
        <v>185.6</v>
      </c>
      <c r="AX224" s="182">
        <v>0</v>
      </c>
      <c r="AY224" s="182">
        <v>0</v>
      </c>
    </row>
    <row r="225" spans="1:51" x14ac:dyDescent="0.25">
      <c r="A225" s="490" t="s">
        <v>1267</v>
      </c>
      <c r="B225" s="180">
        <v>12101522</v>
      </c>
      <c r="C225" s="180" t="s">
        <v>1311</v>
      </c>
      <c r="D225" s="180" t="s">
        <v>1312</v>
      </c>
      <c r="E225" s="180" t="s">
        <v>983</v>
      </c>
      <c r="F225" s="180" t="s">
        <v>376</v>
      </c>
      <c r="G225" s="180" t="s">
        <v>1020</v>
      </c>
      <c r="H225" s="182">
        <v>140.6</v>
      </c>
      <c r="I225" s="182">
        <v>157.47</v>
      </c>
      <c r="J225" s="180">
        <v>4</v>
      </c>
      <c r="AL225" s="182">
        <v>140.6</v>
      </c>
      <c r="AM225" s="182">
        <v>0</v>
      </c>
      <c r="AP225" s="182">
        <v>140.6</v>
      </c>
      <c r="AQ225" s="182">
        <v>0</v>
      </c>
      <c r="AR225" s="182">
        <v>0</v>
      </c>
      <c r="AV225" s="182">
        <v>140.6</v>
      </c>
      <c r="AW225" s="182">
        <v>16.87</v>
      </c>
      <c r="AX225" s="182">
        <v>0</v>
      </c>
      <c r="AY225" s="182">
        <v>0</v>
      </c>
    </row>
    <row r="226" spans="1:51" x14ac:dyDescent="0.25">
      <c r="A226" s="490" t="s">
        <v>1268</v>
      </c>
      <c r="B226" s="180">
        <v>12101522</v>
      </c>
      <c r="C226" s="180" t="s">
        <v>1311</v>
      </c>
      <c r="D226" s="180" t="s">
        <v>1312</v>
      </c>
      <c r="E226" s="180" t="s">
        <v>983</v>
      </c>
      <c r="F226" s="180" t="s">
        <v>376</v>
      </c>
      <c r="G226" s="180" t="s">
        <v>1020</v>
      </c>
      <c r="H226" s="182">
        <v>210.9</v>
      </c>
      <c r="I226" s="182">
        <v>236.21</v>
      </c>
      <c r="J226" s="180">
        <v>6</v>
      </c>
      <c r="AL226" s="182">
        <v>210.9</v>
      </c>
      <c r="AM226" s="182">
        <v>0</v>
      </c>
      <c r="AP226" s="182">
        <v>210.9</v>
      </c>
      <c r="AQ226" s="182">
        <v>0</v>
      </c>
      <c r="AR226" s="182">
        <v>0</v>
      </c>
      <c r="AV226" s="182">
        <v>210.9</v>
      </c>
      <c r="AW226" s="182">
        <v>25.31</v>
      </c>
      <c r="AX226" s="182">
        <v>0</v>
      </c>
      <c r="AY226" s="182">
        <v>0</v>
      </c>
    </row>
    <row r="227" spans="1:51" x14ac:dyDescent="0.25">
      <c r="A227" s="490" t="s">
        <v>1269</v>
      </c>
      <c r="B227" s="180">
        <v>12101522</v>
      </c>
      <c r="C227" s="180" t="s">
        <v>1311</v>
      </c>
      <c r="D227" s="180" t="s">
        <v>1312</v>
      </c>
      <c r="E227" s="180" t="s">
        <v>983</v>
      </c>
      <c r="F227" s="180" t="s">
        <v>376</v>
      </c>
      <c r="G227" s="180" t="s">
        <v>1020</v>
      </c>
      <c r="H227" s="182">
        <v>1282.97</v>
      </c>
      <c r="I227" s="182">
        <v>1436.92</v>
      </c>
      <c r="J227" s="180">
        <v>36.5</v>
      </c>
      <c r="AL227" s="182">
        <v>1282.97</v>
      </c>
      <c r="AM227" s="182">
        <v>0</v>
      </c>
      <c r="AP227" s="182">
        <v>1282.97</v>
      </c>
      <c r="AQ227" s="182">
        <v>16</v>
      </c>
      <c r="AR227" s="182">
        <v>0</v>
      </c>
      <c r="AV227" s="182">
        <v>1266.97</v>
      </c>
      <c r="AW227" s="182">
        <v>153.94999999999999</v>
      </c>
      <c r="AX227" s="182">
        <v>0</v>
      </c>
      <c r="AY227" s="182">
        <v>0</v>
      </c>
    </row>
    <row r="228" spans="1:51" x14ac:dyDescent="0.25">
      <c r="A228" s="490" t="s">
        <v>1263</v>
      </c>
      <c r="B228" s="180">
        <v>12101522</v>
      </c>
      <c r="C228" s="180" t="s">
        <v>1311</v>
      </c>
      <c r="D228" s="180" t="s">
        <v>1312</v>
      </c>
      <c r="E228" s="180" t="s">
        <v>983</v>
      </c>
      <c r="F228" s="180" t="s">
        <v>376</v>
      </c>
      <c r="G228" s="180" t="s">
        <v>1020</v>
      </c>
      <c r="H228" s="182">
        <v>878.75</v>
      </c>
      <c r="I228" s="182">
        <v>984.2</v>
      </c>
      <c r="J228" s="180">
        <v>25</v>
      </c>
      <c r="AL228" s="182">
        <v>878.75</v>
      </c>
      <c r="AM228" s="182">
        <v>0</v>
      </c>
      <c r="AP228" s="182">
        <v>878.75</v>
      </c>
      <c r="AQ228" s="182">
        <v>26</v>
      </c>
      <c r="AR228" s="182">
        <v>0</v>
      </c>
      <c r="AV228" s="182">
        <v>852.75</v>
      </c>
      <c r="AW228" s="182">
        <v>105.45</v>
      </c>
      <c r="AX228" s="182">
        <v>0</v>
      </c>
      <c r="AY228" s="182">
        <v>0</v>
      </c>
    </row>
    <row r="229" spans="1:51" x14ac:dyDescent="0.25">
      <c r="A229" s="490" t="s">
        <v>1271</v>
      </c>
      <c r="B229" s="180">
        <v>12101522</v>
      </c>
      <c r="C229" s="180" t="s">
        <v>1311</v>
      </c>
      <c r="D229" s="180" t="s">
        <v>1312</v>
      </c>
      <c r="E229" s="180" t="s">
        <v>983</v>
      </c>
      <c r="F229" s="180" t="s">
        <v>376</v>
      </c>
      <c r="G229" s="180" t="s">
        <v>1020</v>
      </c>
      <c r="H229" s="182">
        <v>140.6</v>
      </c>
      <c r="I229" s="182">
        <v>157.47</v>
      </c>
      <c r="J229" s="180">
        <v>4</v>
      </c>
      <c r="AL229" s="182">
        <v>140.6</v>
      </c>
      <c r="AM229" s="182">
        <v>0</v>
      </c>
      <c r="AP229" s="182">
        <v>140.6</v>
      </c>
      <c r="AQ229" s="182">
        <v>0</v>
      </c>
      <c r="AR229" s="182">
        <v>0</v>
      </c>
      <c r="AV229" s="182">
        <v>140.6</v>
      </c>
      <c r="AW229" s="182">
        <v>16.87</v>
      </c>
      <c r="AX229" s="182">
        <v>0</v>
      </c>
      <c r="AY229" s="182">
        <v>0</v>
      </c>
    </row>
    <row r="230" spans="1:51" x14ac:dyDescent="0.25">
      <c r="A230" s="490" t="s">
        <v>1272</v>
      </c>
      <c r="B230" s="180">
        <v>12101522</v>
      </c>
      <c r="C230" s="180" t="s">
        <v>1311</v>
      </c>
      <c r="D230" s="180" t="s">
        <v>1312</v>
      </c>
      <c r="E230" s="180" t="s">
        <v>983</v>
      </c>
      <c r="F230" s="180" t="s">
        <v>376</v>
      </c>
      <c r="G230" s="180" t="s">
        <v>1020</v>
      </c>
      <c r="H230" s="182">
        <v>140.6</v>
      </c>
      <c r="I230" s="182">
        <v>157.47</v>
      </c>
      <c r="J230" s="180">
        <v>4</v>
      </c>
      <c r="AL230" s="182">
        <v>140.6</v>
      </c>
      <c r="AM230" s="182">
        <v>0</v>
      </c>
      <c r="AP230" s="182">
        <v>140.6</v>
      </c>
      <c r="AQ230" s="182">
        <v>0</v>
      </c>
      <c r="AR230" s="182">
        <v>0</v>
      </c>
      <c r="AV230" s="182">
        <v>140.6</v>
      </c>
      <c r="AW230" s="182">
        <v>16.87</v>
      </c>
      <c r="AX230" s="182">
        <v>0</v>
      </c>
      <c r="AY230" s="182">
        <v>0</v>
      </c>
    </row>
    <row r="231" spans="1:51" x14ac:dyDescent="0.25">
      <c r="A231" s="490" t="s">
        <v>1273</v>
      </c>
      <c r="B231" s="180">
        <v>12101522</v>
      </c>
      <c r="C231" s="180" t="s">
        <v>1311</v>
      </c>
      <c r="D231" s="180" t="s">
        <v>1312</v>
      </c>
      <c r="E231" s="180" t="s">
        <v>983</v>
      </c>
      <c r="F231" s="180" t="s">
        <v>376</v>
      </c>
      <c r="G231" s="180" t="s">
        <v>1020</v>
      </c>
      <c r="H231" s="182">
        <v>281.2</v>
      </c>
      <c r="I231" s="182">
        <v>314.94</v>
      </c>
      <c r="J231" s="180">
        <v>8</v>
      </c>
      <c r="AL231" s="182">
        <v>281.2</v>
      </c>
      <c r="AM231" s="182">
        <v>0</v>
      </c>
      <c r="AP231" s="182">
        <v>281.2</v>
      </c>
      <c r="AQ231" s="182">
        <v>0</v>
      </c>
      <c r="AR231" s="182">
        <v>0</v>
      </c>
      <c r="AV231" s="182">
        <v>281.2</v>
      </c>
      <c r="AW231" s="182">
        <v>33.74</v>
      </c>
      <c r="AX231" s="182">
        <v>0</v>
      </c>
      <c r="AY231" s="182">
        <v>0</v>
      </c>
    </row>
    <row r="232" spans="1:51" x14ac:dyDescent="0.25">
      <c r="A232" s="490" t="s">
        <v>1274</v>
      </c>
      <c r="B232" s="180">
        <v>12101522</v>
      </c>
      <c r="C232" s="180" t="s">
        <v>1311</v>
      </c>
      <c r="D232" s="180" t="s">
        <v>1312</v>
      </c>
      <c r="E232" s="180" t="s">
        <v>983</v>
      </c>
      <c r="F232" s="180" t="s">
        <v>376</v>
      </c>
      <c r="G232" s="180" t="s">
        <v>1020</v>
      </c>
      <c r="H232" s="182">
        <v>175.75</v>
      </c>
      <c r="I232" s="182">
        <v>196.84</v>
      </c>
      <c r="J232" s="180">
        <v>5</v>
      </c>
      <c r="AL232" s="182">
        <v>175.75</v>
      </c>
      <c r="AM232" s="182">
        <v>0</v>
      </c>
      <c r="AP232" s="182">
        <v>175.75</v>
      </c>
      <c r="AQ232" s="182">
        <v>0</v>
      </c>
      <c r="AR232" s="182">
        <v>0</v>
      </c>
      <c r="AV232" s="182">
        <v>175.75</v>
      </c>
      <c r="AW232" s="182">
        <v>21.09</v>
      </c>
      <c r="AX232" s="182">
        <v>0</v>
      </c>
      <c r="AY232" s="182">
        <v>0</v>
      </c>
    </row>
    <row r="233" spans="1:51" x14ac:dyDescent="0.25">
      <c r="A233" s="490" t="s">
        <v>1269</v>
      </c>
      <c r="B233" s="180">
        <v>4746026</v>
      </c>
      <c r="C233" s="180" t="s">
        <v>818</v>
      </c>
      <c r="D233" s="180" t="s">
        <v>971</v>
      </c>
      <c r="E233" s="180" t="s">
        <v>983</v>
      </c>
      <c r="F233" s="180" t="s">
        <v>376</v>
      </c>
      <c r="G233" s="180" t="s">
        <v>1313</v>
      </c>
      <c r="H233" s="182">
        <v>180</v>
      </c>
      <c r="I233" s="182">
        <v>201.6</v>
      </c>
      <c r="J233" s="180">
        <v>4</v>
      </c>
      <c r="AL233" s="182">
        <v>180</v>
      </c>
      <c r="AM233" s="182">
        <v>0</v>
      </c>
      <c r="AP233" s="182">
        <v>180</v>
      </c>
      <c r="AQ233" s="182">
        <v>0</v>
      </c>
      <c r="AR233" s="182">
        <v>0</v>
      </c>
      <c r="AV233" s="182">
        <v>180</v>
      </c>
      <c r="AW233" s="182">
        <v>21.6</v>
      </c>
      <c r="AX233" s="182">
        <v>0</v>
      </c>
      <c r="AY233" s="182">
        <v>0</v>
      </c>
    </row>
    <row r="234" spans="1:51" x14ac:dyDescent="0.25">
      <c r="A234" s="490" t="s">
        <v>1272</v>
      </c>
      <c r="B234" s="180">
        <v>12728703</v>
      </c>
      <c r="C234" s="180" t="s">
        <v>1314</v>
      </c>
      <c r="D234" s="180" t="s">
        <v>1315</v>
      </c>
      <c r="E234" s="180" t="s">
        <v>983</v>
      </c>
      <c r="F234" s="180" t="s">
        <v>712</v>
      </c>
      <c r="G234" s="180" t="s">
        <v>1276</v>
      </c>
      <c r="H234" s="182">
        <v>152</v>
      </c>
      <c r="I234" s="182">
        <v>170.24</v>
      </c>
      <c r="J234" s="180">
        <v>4</v>
      </c>
      <c r="AL234" s="182">
        <v>152</v>
      </c>
      <c r="AM234" s="182">
        <v>0</v>
      </c>
      <c r="AP234" s="182">
        <v>152</v>
      </c>
      <c r="AQ234" s="182">
        <v>24</v>
      </c>
      <c r="AR234" s="182">
        <v>0</v>
      </c>
      <c r="AV234" s="182">
        <v>128</v>
      </c>
      <c r="AW234" s="182">
        <v>18.239999999999998</v>
      </c>
      <c r="AX234" s="182">
        <v>0</v>
      </c>
      <c r="AY234" s="182">
        <v>0</v>
      </c>
    </row>
    <row r="235" spans="1:51" x14ac:dyDescent="0.25">
      <c r="A235" s="490" t="s">
        <v>1268</v>
      </c>
      <c r="B235" s="180">
        <v>12127216</v>
      </c>
      <c r="C235" s="180" t="s">
        <v>1316</v>
      </c>
      <c r="D235" s="180" t="s">
        <v>1317</v>
      </c>
      <c r="E235" s="180" t="s">
        <v>983</v>
      </c>
      <c r="F235" s="180" t="s">
        <v>376</v>
      </c>
      <c r="G235" s="180" t="s">
        <v>1031</v>
      </c>
      <c r="H235" s="182">
        <v>3498.12</v>
      </c>
      <c r="I235" s="182">
        <v>3917.9</v>
      </c>
      <c r="J235" s="180">
        <v>96.5</v>
      </c>
      <c r="AL235" s="182">
        <v>3498.12</v>
      </c>
      <c r="AM235" s="182">
        <v>0</v>
      </c>
      <c r="AP235" s="182">
        <v>3498.12</v>
      </c>
      <c r="AQ235" s="182">
        <v>438</v>
      </c>
      <c r="AR235" s="182">
        <v>0</v>
      </c>
      <c r="AV235" s="182">
        <v>3060.12</v>
      </c>
      <c r="AW235" s="182">
        <v>419.78</v>
      </c>
      <c r="AX235" s="182">
        <v>0</v>
      </c>
      <c r="AY235" s="182">
        <v>0</v>
      </c>
    </row>
    <row r="236" spans="1:51" x14ac:dyDescent="0.25">
      <c r="A236" s="490" t="s">
        <v>1269</v>
      </c>
      <c r="B236" s="180">
        <v>12127216</v>
      </c>
      <c r="C236" s="180" t="s">
        <v>1316</v>
      </c>
      <c r="D236" s="180" t="s">
        <v>1317</v>
      </c>
      <c r="E236" s="180" t="s">
        <v>983</v>
      </c>
      <c r="F236" s="180" t="s">
        <v>376</v>
      </c>
      <c r="G236" s="180" t="s">
        <v>1031</v>
      </c>
      <c r="H236" s="182">
        <v>3190</v>
      </c>
      <c r="I236" s="182">
        <v>3572.8</v>
      </c>
      <c r="J236" s="180">
        <v>88</v>
      </c>
      <c r="AL236" s="182">
        <v>3190</v>
      </c>
      <c r="AM236" s="182">
        <v>0</v>
      </c>
      <c r="AP236" s="182">
        <v>3190</v>
      </c>
      <c r="AQ236" s="182">
        <v>386</v>
      </c>
      <c r="AR236" s="182">
        <v>0</v>
      </c>
      <c r="AV236" s="182">
        <v>2804</v>
      </c>
      <c r="AW236" s="182">
        <v>382.8</v>
      </c>
      <c r="AX236" s="182">
        <v>0</v>
      </c>
      <c r="AY236" s="182">
        <v>0</v>
      </c>
    </row>
    <row r="237" spans="1:51" x14ac:dyDescent="0.25">
      <c r="A237" s="490" t="s">
        <v>1277</v>
      </c>
      <c r="B237" s="180">
        <v>11554172</v>
      </c>
      <c r="C237" s="180" t="s">
        <v>1318</v>
      </c>
      <c r="D237" s="180" t="s">
        <v>1319</v>
      </c>
      <c r="E237" s="180" t="s">
        <v>983</v>
      </c>
      <c r="F237" s="180" t="s">
        <v>376</v>
      </c>
      <c r="G237" s="180" t="s">
        <v>1019</v>
      </c>
      <c r="H237" s="182">
        <v>562.4</v>
      </c>
      <c r="I237" s="182">
        <v>629.89</v>
      </c>
      <c r="J237" s="180">
        <v>16</v>
      </c>
      <c r="AL237" s="182">
        <v>562.4</v>
      </c>
      <c r="AM237" s="182">
        <v>0</v>
      </c>
      <c r="AP237" s="182">
        <v>562.4</v>
      </c>
      <c r="AQ237" s="182">
        <v>0</v>
      </c>
      <c r="AR237" s="182">
        <v>0</v>
      </c>
      <c r="AV237" s="182">
        <v>562.4</v>
      </c>
      <c r="AW237" s="182">
        <v>67.489999999999995</v>
      </c>
      <c r="AX237" s="182">
        <v>0</v>
      </c>
      <c r="AY237" s="182">
        <v>0</v>
      </c>
    </row>
    <row r="238" spans="1:51" x14ac:dyDescent="0.25">
      <c r="A238" s="490" t="s">
        <v>1266</v>
      </c>
      <c r="B238" s="180">
        <v>11554172</v>
      </c>
      <c r="C238" s="180" t="s">
        <v>1318</v>
      </c>
      <c r="D238" s="180" t="s">
        <v>1319</v>
      </c>
      <c r="E238" s="180" t="s">
        <v>983</v>
      </c>
      <c r="F238" s="180" t="s">
        <v>376</v>
      </c>
      <c r="G238" s="180" t="s">
        <v>1019</v>
      </c>
      <c r="H238" s="182">
        <v>281.2</v>
      </c>
      <c r="I238" s="182">
        <v>314.94</v>
      </c>
      <c r="J238" s="180">
        <v>8</v>
      </c>
      <c r="AL238" s="182">
        <v>281.2</v>
      </c>
      <c r="AM238" s="182">
        <v>0</v>
      </c>
      <c r="AP238" s="182">
        <v>281.2</v>
      </c>
      <c r="AQ238" s="182">
        <v>0</v>
      </c>
      <c r="AR238" s="182">
        <v>0</v>
      </c>
      <c r="AV238" s="182">
        <v>281.2</v>
      </c>
      <c r="AW238" s="182">
        <v>33.74</v>
      </c>
      <c r="AX238" s="182">
        <v>0</v>
      </c>
      <c r="AY238" s="182">
        <v>0</v>
      </c>
    </row>
    <row r="239" spans="1:51" x14ac:dyDescent="0.25">
      <c r="A239" s="490" t="s">
        <v>1267</v>
      </c>
      <c r="B239" s="180">
        <v>11554172</v>
      </c>
      <c r="C239" s="180" t="s">
        <v>1318</v>
      </c>
      <c r="D239" s="180" t="s">
        <v>1319</v>
      </c>
      <c r="E239" s="180" t="s">
        <v>983</v>
      </c>
      <c r="F239" s="180" t="s">
        <v>376</v>
      </c>
      <c r="G239" s="180" t="s">
        <v>1019</v>
      </c>
      <c r="H239" s="182">
        <v>281.2</v>
      </c>
      <c r="I239" s="182">
        <v>314.94</v>
      </c>
      <c r="J239" s="180">
        <v>8</v>
      </c>
      <c r="AL239" s="182">
        <v>281.2</v>
      </c>
      <c r="AM239" s="182">
        <v>0</v>
      </c>
      <c r="AP239" s="182">
        <v>281.2</v>
      </c>
      <c r="AQ239" s="182">
        <v>0</v>
      </c>
      <c r="AR239" s="182">
        <v>0</v>
      </c>
      <c r="AV239" s="182">
        <v>281.2</v>
      </c>
      <c r="AW239" s="182">
        <v>33.74</v>
      </c>
      <c r="AX239" s="182">
        <v>0</v>
      </c>
      <c r="AY239" s="182">
        <v>0</v>
      </c>
    </row>
    <row r="240" spans="1:51" x14ac:dyDescent="0.25">
      <c r="A240" s="490" t="s">
        <v>1268</v>
      </c>
      <c r="B240" s="180">
        <v>11554172</v>
      </c>
      <c r="C240" s="180" t="s">
        <v>1318</v>
      </c>
      <c r="D240" s="180" t="s">
        <v>1319</v>
      </c>
      <c r="E240" s="180" t="s">
        <v>983</v>
      </c>
      <c r="F240" s="180" t="s">
        <v>376</v>
      </c>
      <c r="G240" s="180" t="s">
        <v>1019</v>
      </c>
      <c r="H240" s="182">
        <v>246.05</v>
      </c>
      <c r="I240" s="182">
        <v>275.58</v>
      </c>
      <c r="J240" s="180">
        <v>7</v>
      </c>
      <c r="AL240" s="182">
        <v>246.05</v>
      </c>
      <c r="AM240" s="182">
        <v>0</v>
      </c>
      <c r="AP240" s="182">
        <v>246.05</v>
      </c>
      <c r="AQ240" s="182">
        <v>0</v>
      </c>
      <c r="AR240" s="182">
        <v>0</v>
      </c>
      <c r="AV240" s="182">
        <v>246.05</v>
      </c>
      <c r="AW240" s="182">
        <v>29.53</v>
      </c>
      <c r="AX240" s="182">
        <v>0</v>
      </c>
      <c r="AY240" s="182">
        <v>0</v>
      </c>
    </row>
    <row r="241" spans="1:51" x14ac:dyDescent="0.25">
      <c r="A241" s="490" t="s">
        <v>1269</v>
      </c>
      <c r="B241" s="180">
        <v>11554172</v>
      </c>
      <c r="C241" s="180" t="s">
        <v>1318</v>
      </c>
      <c r="D241" s="180" t="s">
        <v>1319</v>
      </c>
      <c r="E241" s="180" t="s">
        <v>983</v>
      </c>
      <c r="F241" s="180" t="s">
        <v>376</v>
      </c>
      <c r="G241" s="180" t="s">
        <v>1019</v>
      </c>
      <c r="H241" s="182">
        <v>2899.88</v>
      </c>
      <c r="I241" s="182">
        <v>3247.86</v>
      </c>
      <c r="J241" s="180">
        <v>82.5</v>
      </c>
      <c r="AL241" s="182">
        <v>2899.88</v>
      </c>
      <c r="AM241" s="182">
        <v>0</v>
      </c>
      <c r="AP241" s="182">
        <v>2899.88</v>
      </c>
      <c r="AQ241" s="182">
        <v>190</v>
      </c>
      <c r="AR241" s="182">
        <v>0</v>
      </c>
      <c r="AV241" s="182">
        <v>2709.88</v>
      </c>
      <c r="AW241" s="182">
        <v>347.98</v>
      </c>
      <c r="AX241" s="182">
        <v>0</v>
      </c>
      <c r="AY241" s="182">
        <v>0</v>
      </c>
    </row>
    <row r="242" spans="1:51" x14ac:dyDescent="0.25">
      <c r="A242" s="490" t="s">
        <v>1272</v>
      </c>
      <c r="B242" s="180">
        <v>11554172</v>
      </c>
      <c r="C242" s="180" t="s">
        <v>1318</v>
      </c>
      <c r="D242" s="180" t="s">
        <v>1319</v>
      </c>
      <c r="E242" s="180" t="s">
        <v>983</v>
      </c>
      <c r="F242" s="180" t="s">
        <v>376</v>
      </c>
      <c r="G242" s="180" t="s">
        <v>1019</v>
      </c>
      <c r="H242" s="182">
        <v>263.62</v>
      </c>
      <c r="I242" s="182">
        <v>295.26</v>
      </c>
      <c r="J242" s="180">
        <v>7.5</v>
      </c>
      <c r="AL242" s="182">
        <v>263.62</v>
      </c>
      <c r="AM242" s="182">
        <v>0</v>
      </c>
      <c r="AP242" s="182">
        <v>263.62</v>
      </c>
      <c r="AQ242" s="182">
        <v>0</v>
      </c>
      <c r="AR242" s="182">
        <v>0</v>
      </c>
      <c r="AV242" s="182">
        <v>263.62</v>
      </c>
      <c r="AW242" s="182">
        <v>31.64</v>
      </c>
      <c r="AX242" s="182">
        <v>0</v>
      </c>
      <c r="AY242" s="182">
        <v>0</v>
      </c>
    </row>
    <row r="243" spans="1:51" x14ac:dyDescent="0.25">
      <c r="A243" s="490" t="s">
        <v>1273</v>
      </c>
      <c r="B243" s="180">
        <v>11554172</v>
      </c>
      <c r="C243" s="180" t="s">
        <v>1318</v>
      </c>
      <c r="D243" s="180" t="s">
        <v>1319</v>
      </c>
      <c r="E243" s="180" t="s">
        <v>983</v>
      </c>
      <c r="F243" s="180" t="s">
        <v>376</v>
      </c>
      <c r="G243" s="180" t="s">
        <v>1019</v>
      </c>
      <c r="H243" s="182">
        <v>509.68</v>
      </c>
      <c r="I243" s="182">
        <v>570.84</v>
      </c>
      <c r="J243" s="180">
        <v>14.5</v>
      </c>
      <c r="AL243" s="182">
        <v>509.68</v>
      </c>
      <c r="AM243" s="182">
        <v>0</v>
      </c>
      <c r="AP243" s="182">
        <v>509.68</v>
      </c>
      <c r="AQ243" s="182">
        <v>0</v>
      </c>
      <c r="AR243" s="182">
        <v>0</v>
      </c>
      <c r="AV243" s="182">
        <v>509.68</v>
      </c>
      <c r="AW243" s="182">
        <v>61.16</v>
      </c>
      <c r="AX243" s="182">
        <v>0</v>
      </c>
      <c r="AY243" s="182">
        <v>0</v>
      </c>
    </row>
    <row r="244" spans="1:51" x14ac:dyDescent="0.25">
      <c r="A244" s="490" t="s">
        <v>1273</v>
      </c>
      <c r="B244" s="180">
        <v>11554172</v>
      </c>
      <c r="C244" s="180" t="s">
        <v>1318</v>
      </c>
      <c r="D244" s="180" t="s">
        <v>1319</v>
      </c>
      <c r="E244" s="180" t="s">
        <v>983</v>
      </c>
      <c r="F244" s="180" t="s">
        <v>376</v>
      </c>
      <c r="G244" s="180" t="s">
        <v>1320</v>
      </c>
      <c r="H244" s="182">
        <v>1335.7</v>
      </c>
      <c r="I244" s="182">
        <v>1569.8</v>
      </c>
      <c r="J244" s="180">
        <v>39.5</v>
      </c>
      <c r="N244" s="182">
        <v>73.819999999999993</v>
      </c>
      <c r="AL244" s="182">
        <v>1409.52</v>
      </c>
      <c r="AM244" s="182">
        <v>0</v>
      </c>
      <c r="AP244" s="182">
        <v>1409.52</v>
      </c>
      <c r="AQ244" s="182">
        <v>138</v>
      </c>
      <c r="AR244" s="182">
        <v>0</v>
      </c>
      <c r="AV244" s="182">
        <v>1271.52</v>
      </c>
      <c r="AW244" s="182">
        <v>160.28</v>
      </c>
      <c r="AX244" s="182">
        <v>0</v>
      </c>
      <c r="AY244" s="182">
        <v>0</v>
      </c>
    </row>
    <row r="245" spans="1:51" x14ac:dyDescent="0.25">
      <c r="A245" s="490" t="s">
        <v>1274</v>
      </c>
      <c r="B245" s="180">
        <v>11554172</v>
      </c>
      <c r="C245" s="180" t="s">
        <v>1318</v>
      </c>
      <c r="D245" s="180" t="s">
        <v>1319</v>
      </c>
      <c r="E245" s="180" t="s">
        <v>983</v>
      </c>
      <c r="F245" s="180" t="s">
        <v>376</v>
      </c>
      <c r="G245" s="180" t="s">
        <v>1320</v>
      </c>
      <c r="H245" s="182">
        <v>1854.16</v>
      </c>
      <c r="I245" s="182">
        <v>2076.66</v>
      </c>
      <c r="J245" s="180">
        <v>52.75</v>
      </c>
      <c r="AL245" s="182">
        <v>1854.16</v>
      </c>
      <c r="AM245" s="182">
        <v>0</v>
      </c>
      <c r="AP245" s="182">
        <v>1854.16</v>
      </c>
      <c r="AQ245" s="182">
        <v>238</v>
      </c>
      <c r="AR245" s="182">
        <v>0</v>
      </c>
      <c r="AV245" s="182">
        <v>1616.16</v>
      </c>
      <c r="AW245" s="182">
        <v>222.5</v>
      </c>
      <c r="AX245" s="182">
        <v>0</v>
      </c>
      <c r="AY245" s="182">
        <v>0</v>
      </c>
    </row>
    <row r="246" spans="1:51" x14ac:dyDescent="0.25">
      <c r="A246" s="490" t="s">
        <v>1275</v>
      </c>
      <c r="B246" s="180">
        <v>11533654</v>
      </c>
      <c r="C246" s="180" t="s">
        <v>1321</v>
      </c>
      <c r="D246" s="180" t="s">
        <v>1322</v>
      </c>
      <c r="E246" s="180" t="s">
        <v>983</v>
      </c>
      <c r="F246" s="180" t="s">
        <v>376</v>
      </c>
      <c r="G246" s="180" t="s">
        <v>1292</v>
      </c>
      <c r="H246" s="182">
        <v>580</v>
      </c>
      <c r="I246" s="182">
        <v>649.6</v>
      </c>
      <c r="J246" s="180">
        <v>16</v>
      </c>
      <c r="AL246" s="182">
        <v>580</v>
      </c>
      <c r="AM246" s="182">
        <v>0</v>
      </c>
      <c r="AP246" s="182">
        <v>580</v>
      </c>
      <c r="AQ246" s="182">
        <v>0</v>
      </c>
      <c r="AR246" s="182">
        <v>0</v>
      </c>
      <c r="AV246" s="182">
        <v>580</v>
      </c>
      <c r="AW246" s="182">
        <v>69.599999999999994</v>
      </c>
      <c r="AX246" s="182">
        <v>0</v>
      </c>
      <c r="AY246" s="182">
        <v>0</v>
      </c>
    </row>
    <row r="247" spans="1:51" x14ac:dyDescent="0.25">
      <c r="A247" s="490" t="s">
        <v>1277</v>
      </c>
      <c r="B247" s="180">
        <v>11533654</v>
      </c>
      <c r="C247" s="180" t="s">
        <v>1321</v>
      </c>
      <c r="D247" s="180" t="s">
        <v>1322</v>
      </c>
      <c r="E247" s="180" t="s">
        <v>983</v>
      </c>
      <c r="F247" s="180" t="s">
        <v>376</v>
      </c>
      <c r="G247" s="180" t="s">
        <v>1292</v>
      </c>
      <c r="H247" s="182">
        <v>1450</v>
      </c>
      <c r="I247" s="182">
        <v>1624</v>
      </c>
      <c r="J247" s="180">
        <v>40</v>
      </c>
      <c r="AL247" s="182">
        <v>1450</v>
      </c>
      <c r="AM247" s="182">
        <v>0</v>
      </c>
      <c r="AP247" s="182">
        <v>1450</v>
      </c>
      <c r="AQ247" s="182">
        <v>86</v>
      </c>
      <c r="AR247" s="182">
        <v>0</v>
      </c>
      <c r="AV247" s="182">
        <v>1364</v>
      </c>
      <c r="AW247" s="182">
        <v>174</v>
      </c>
      <c r="AX247" s="182">
        <v>0</v>
      </c>
      <c r="AY247" s="182">
        <v>0</v>
      </c>
    </row>
    <row r="248" spans="1:51" x14ac:dyDescent="0.25">
      <c r="A248" s="490" t="s">
        <v>1266</v>
      </c>
      <c r="B248" s="180">
        <v>11533654</v>
      </c>
      <c r="C248" s="180" t="s">
        <v>1321</v>
      </c>
      <c r="D248" s="180" t="s">
        <v>1322</v>
      </c>
      <c r="E248" s="180" t="s">
        <v>983</v>
      </c>
      <c r="F248" s="180" t="s">
        <v>376</v>
      </c>
      <c r="G248" s="180" t="s">
        <v>1292</v>
      </c>
      <c r="H248" s="182">
        <v>870</v>
      </c>
      <c r="I248" s="182">
        <v>974.4</v>
      </c>
      <c r="J248" s="180">
        <v>24</v>
      </c>
      <c r="AL248" s="182">
        <v>870</v>
      </c>
      <c r="AM248" s="182">
        <v>0</v>
      </c>
      <c r="AP248" s="182">
        <v>870</v>
      </c>
      <c r="AQ248" s="182">
        <v>0</v>
      </c>
      <c r="AR248" s="182">
        <v>0</v>
      </c>
      <c r="AV248" s="182">
        <v>870</v>
      </c>
      <c r="AW248" s="182">
        <v>104.4</v>
      </c>
      <c r="AX248" s="182">
        <v>0</v>
      </c>
      <c r="AY248" s="182">
        <v>0</v>
      </c>
    </row>
    <row r="249" spans="1:51" x14ac:dyDescent="0.25">
      <c r="A249" s="490" t="s">
        <v>1267</v>
      </c>
      <c r="B249" s="180">
        <v>11533654</v>
      </c>
      <c r="C249" s="180" t="s">
        <v>1321</v>
      </c>
      <c r="D249" s="180" t="s">
        <v>1322</v>
      </c>
      <c r="E249" s="180" t="s">
        <v>983</v>
      </c>
      <c r="F249" s="180" t="s">
        <v>376</v>
      </c>
      <c r="G249" s="180" t="s">
        <v>1292</v>
      </c>
      <c r="H249" s="182">
        <v>1450</v>
      </c>
      <c r="I249" s="182">
        <v>1624</v>
      </c>
      <c r="J249" s="180">
        <v>40</v>
      </c>
      <c r="AL249" s="182">
        <v>1450</v>
      </c>
      <c r="AM249" s="182">
        <v>0</v>
      </c>
      <c r="AP249" s="182">
        <v>1450</v>
      </c>
      <c r="AQ249" s="182">
        <v>24</v>
      </c>
      <c r="AR249" s="182">
        <v>0</v>
      </c>
      <c r="AV249" s="182">
        <v>1426</v>
      </c>
      <c r="AW249" s="182">
        <v>174</v>
      </c>
      <c r="AX249" s="182">
        <v>0</v>
      </c>
      <c r="AY249" s="182">
        <v>0</v>
      </c>
    </row>
    <row r="250" spans="1:51" x14ac:dyDescent="0.25">
      <c r="A250" s="490" t="s">
        <v>1268</v>
      </c>
      <c r="B250" s="180">
        <v>11533654</v>
      </c>
      <c r="C250" s="180" t="s">
        <v>1321</v>
      </c>
      <c r="D250" s="180" t="s">
        <v>1322</v>
      </c>
      <c r="E250" s="180" t="s">
        <v>983</v>
      </c>
      <c r="F250" s="180" t="s">
        <v>376</v>
      </c>
      <c r="G250" s="180" t="s">
        <v>1292</v>
      </c>
      <c r="H250" s="182">
        <v>2011.88</v>
      </c>
      <c r="I250" s="182">
        <v>2253.3000000000002</v>
      </c>
      <c r="J250" s="180">
        <v>55.5</v>
      </c>
      <c r="AL250" s="182">
        <v>2011.88</v>
      </c>
      <c r="AM250" s="182">
        <v>0</v>
      </c>
      <c r="AP250" s="182">
        <v>2011.88</v>
      </c>
      <c r="AQ250" s="182">
        <v>120</v>
      </c>
      <c r="AR250" s="182">
        <v>0</v>
      </c>
      <c r="AV250" s="182">
        <v>1891.88</v>
      </c>
      <c r="AW250" s="182">
        <v>241.42</v>
      </c>
      <c r="AX250" s="182">
        <v>0</v>
      </c>
      <c r="AY250" s="182">
        <v>0</v>
      </c>
    </row>
    <row r="251" spans="1:51" x14ac:dyDescent="0.25">
      <c r="A251" s="490" t="s">
        <v>1269</v>
      </c>
      <c r="B251" s="180">
        <v>11533654</v>
      </c>
      <c r="C251" s="180" t="s">
        <v>1321</v>
      </c>
      <c r="D251" s="180" t="s">
        <v>1322</v>
      </c>
      <c r="E251" s="180" t="s">
        <v>983</v>
      </c>
      <c r="F251" s="180" t="s">
        <v>376</v>
      </c>
      <c r="G251" s="180" t="s">
        <v>1292</v>
      </c>
      <c r="H251" s="182">
        <v>870</v>
      </c>
      <c r="I251" s="182">
        <v>974.4</v>
      </c>
      <c r="J251" s="180">
        <v>24</v>
      </c>
      <c r="AL251" s="182">
        <v>870</v>
      </c>
      <c r="AM251" s="182">
        <v>0</v>
      </c>
      <c r="AP251" s="182">
        <v>870</v>
      </c>
      <c r="AQ251" s="182">
        <v>0</v>
      </c>
      <c r="AR251" s="182">
        <v>0</v>
      </c>
      <c r="AV251" s="182">
        <v>870</v>
      </c>
      <c r="AW251" s="182">
        <v>104.4</v>
      </c>
      <c r="AX251" s="182">
        <v>0</v>
      </c>
      <c r="AY251" s="182">
        <v>0</v>
      </c>
    </row>
    <row r="252" spans="1:51" x14ac:dyDescent="0.25">
      <c r="A252" s="490" t="s">
        <v>1263</v>
      </c>
      <c r="B252" s="180">
        <v>11533654</v>
      </c>
      <c r="C252" s="180" t="s">
        <v>1321</v>
      </c>
      <c r="D252" s="180" t="s">
        <v>1322</v>
      </c>
      <c r="E252" s="180" t="s">
        <v>983</v>
      </c>
      <c r="F252" s="180" t="s">
        <v>376</v>
      </c>
      <c r="G252" s="180" t="s">
        <v>1292</v>
      </c>
      <c r="H252" s="182">
        <v>344.38</v>
      </c>
      <c r="I252" s="182">
        <v>385.7</v>
      </c>
      <c r="J252" s="180">
        <v>9.5</v>
      </c>
      <c r="AL252" s="182">
        <v>344.38</v>
      </c>
      <c r="AM252" s="182">
        <v>0</v>
      </c>
      <c r="AP252" s="182">
        <v>344.38</v>
      </c>
      <c r="AQ252" s="182">
        <v>0</v>
      </c>
      <c r="AR252" s="182">
        <v>0</v>
      </c>
      <c r="AV252" s="182">
        <v>344.38</v>
      </c>
      <c r="AW252" s="182">
        <v>41.32</v>
      </c>
      <c r="AX252" s="182">
        <v>0</v>
      </c>
      <c r="AY252" s="182">
        <v>0</v>
      </c>
    </row>
    <row r="253" spans="1:51" x14ac:dyDescent="0.25">
      <c r="A253" s="490" t="s">
        <v>1271</v>
      </c>
      <c r="B253" s="180">
        <v>11533654</v>
      </c>
      <c r="C253" s="180" t="s">
        <v>1321</v>
      </c>
      <c r="D253" s="180" t="s">
        <v>1322</v>
      </c>
      <c r="E253" s="180" t="s">
        <v>983</v>
      </c>
      <c r="F253" s="180" t="s">
        <v>376</v>
      </c>
      <c r="G253" s="180" t="s">
        <v>1292</v>
      </c>
      <c r="H253" s="182">
        <v>290</v>
      </c>
      <c r="I253" s="182">
        <v>324.8</v>
      </c>
      <c r="J253" s="180">
        <v>8</v>
      </c>
      <c r="AL253" s="182">
        <v>290</v>
      </c>
      <c r="AM253" s="182">
        <v>0</v>
      </c>
      <c r="AP253" s="182">
        <v>290</v>
      </c>
      <c r="AQ253" s="182">
        <v>0</v>
      </c>
      <c r="AR253" s="182">
        <v>0</v>
      </c>
      <c r="AV253" s="182">
        <v>290</v>
      </c>
      <c r="AW253" s="182">
        <v>34.799999999999997</v>
      </c>
      <c r="AX253" s="182">
        <v>0</v>
      </c>
      <c r="AY253" s="182">
        <v>0</v>
      </c>
    </row>
    <row r="254" spans="1:51" x14ac:dyDescent="0.25">
      <c r="A254" s="490" t="s">
        <v>1272</v>
      </c>
      <c r="B254" s="180">
        <v>11533654</v>
      </c>
      <c r="C254" s="180" t="s">
        <v>1321</v>
      </c>
      <c r="D254" s="180" t="s">
        <v>1322</v>
      </c>
      <c r="E254" s="180" t="s">
        <v>983</v>
      </c>
      <c r="F254" s="180" t="s">
        <v>376</v>
      </c>
      <c r="G254" s="180" t="s">
        <v>1292</v>
      </c>
      <c r="H254" s="182">
        <v>2002.81</v>
      </c>
      <c r="I254" s="182">
        <v>2243.15</v>
      </c>
      <c r="J254" s="180">
        <v>55.25</v>
      </c>
      <c r="AL254" s="182">
        <v>2002.81</v>
      </c>
      <c r="AM254" s="182">
        <v>0</v>
      </c>
      <c r="AP254" s="182">
        <v>2002.81</v>
      </c>
      <c r="AQ254" s="182">
        <v>104</v>
      </c>
      <c r="AR254" s="182">
        <v>0</v>
      </c>
      <c r="AV254" s="182">
        <v>1898.81</v>
      </c>
      <c r="AW254" s="182">
        <v>240.34</v>
      </c>
      <c r="AX254" s="182">
        <v>0</v>
      </c>
      <c r="AY254" s="182">
        <v>0</v>
      </c>
    </row>
    <row r="255" spans="1:51" x14ac:dyDescent="0.25">
      <c r="A255" s="490" t="s">
        <v>1273</v>
      </c>
      <c r="B255" s="180">
        <v>11533654</v>
      </c>
      <c r="C255" s="180" t="s">
        <v>1321</v>
      </c>
      <c r="D255" s="180" t="s">
        <v>1322</v>
      </c>
      <c r="E255" s="180" t="s">
        <v>983</v>
      </c>
      <c r="F255" s="180" t="s">
        <v>376</v>
      </c>
      <c r="G255" s="180" t="s">
        <v>1292</v>
      </c>
      <c r="H255" s="182">
        <v>1848.75</v>
      </c>
      <c r="I255" s="182">
        <v>2070.6</v>
      </c>
      <c r="J255" s="180">
        <v>51</v>
      </c>
      <c r="AL255" s="182">
        <v>1848.75</v>
      </c>
      <c r="AM255" s="182">
        <v>0</v>
      </c>
      <c r="AP255" s="182">
        <v>1848.75</v>
      </c>
      <c r="AQ255" s="182">
        <v>66</v>
      </c>
      <c r="AR255" s="182">
        <v>0</v>
      </c>
      <c r="AV255" s="182">
        <v>1782.75</v>
      </c>
      <c r="AW255" s="182">
        <v>221.85</v>
      </c>
      <c r="AX255" s="182">
        <v>0</v>
      </c>
      <c r="AY255" s="182">
        <v>0</v>
      </c>
    </row>
    <row r="256" spans="1:51" x14ac:dyDescent="0.25">
      <c r="A256" s="180" t="s">
        <v>1274</v>
      </c>
      <c r="B256" s="180">
        <v>4745780</v>
      </c>
      <c r="C256" s="180" t="s">
        <v>733</v>
      </c>
      <c r="D256" s="180" t="s">
        <v>734</v>
      </c>
      <c r="E256" s="180" t="s">
        <v>983</v>
      </c>
      <c r="F256" s="180" t="s">
        <v>376</v>
      </c>
      <c r="H256" s="182">
        <v>2209.86</v>
      </c>
      <c r="I256" s="182">
        <v>2475.04</v>
      </c>
      <c r="J256" s="180">
        <v>56</v>
      </c>
      <c r="K256" s="641">
        <v>162933.49</v>
      </c>
      <c r="L256" s="641">
        <v>13035.7</v>
      </c>
      <c r="M256" s="641">
        <v>8801.9500000000007</v>
      </c>
      <c r="N256" s="641">
        <v>8440.49</v>
      </c>
      <c r="O256" s="641">
        <v>2278.7800000000002</v>
      </c>
      <c r="P256" s="641">
        <v>2415.9499999999998</v>
      </c>
      <c r="Q256" s="641">
        <v>63.27</v>
      </c>
      <c r="R256" s="641">
        <v>285.70999999999998</v>
      </c>
      <c r="S256" s="641">
        <v>516.44000000000005</v>
      </c>
      <c r="T256" s="641">
        <v>322.8</v>
      </c>
      <c r="U256" s="641">
        <v>900</v>
      </c>
      <c r="V256" s="641">
        <v>4950</v>
      </c>
      <c r="W256" s="641">
        <v>150</v>
      </c>
      <c r="X256" s="641">
        <v>378.61</v>
      </c>
      <c r="Y256" s="641">
        <v>5488.78</v>
      </c>
      <c r="Z256" s="641">
        <v>236</v>
      </c>
      <c r="AA256" s="641">
        <v>1299.07</v>
      </c>
      <c r="AB256" s="641">
        <v>1373.08</v>
      </c>
      <c r="AC256" s="641">
        <v>377.69</v>
      </c>
      <c r="AD256" s="641">
        <v>77589.02</v>
      </c>
      <c r="AE256" s="641">
        <v>2076696.15</v>
      </c>
      <c r="AF256" s="641">
        <v>746.67</v>
      </c>
      <c r="AG256" s="641">
        <v>56720.53</v>
      </c>
      <c r="AH256" s="641">
        <v>153.5</v>
      </c>
      <c r="AI256" s="641">
        <v>34368.58</v>
      </c>
      <c r="AJ256" s="641">
        <v>46689.53</v>
      </c>
      <c r="AK256" s="641">
        <v>797.27</v>
      </c>
      <c r="AL256" s="641">
        <v>2836632.69</v>
      </c>
      <c r="AM256" s="641">
        <v>6000</v>
      </c>
      <c r="AN256" s="641">
        <v>5903.86</v>
      </c>
      <c r="AO256" s="641">
        <v>25690.28</v>
      </c>
      <c r="AP256" s="641">
        <v>2799038.55</v>
      </c>
      <c r="AQ256" s="641">
        <v>583070.62</v>
      </c>
      <c r="AR256" s="641">
        <v>32158</v>
      </c>
      <c r="AS256" s="641">
        <v>747.42</v>
      </c>
      <c r="AT256" s="641">
        <v>678.03</v>
      </c>
      <c r="AU256" s="641">
        <v>133.30000000000001</v>
      </c>
      <c r="AV256" s="641">
        <v>2188251.1800000002</v>
      </c>
      <c r="AW256" s="641">
        <v>331760.46999999997</v>
      </c>
      <c r="AX256" s="641">
        <v>21540.5</v>
      </c>
      <c r="AY256" s="641">
        <v>0</v>
      </c>
    </row>
    <row r="257" spans="1:10" x14ac:dyDescent="0.25">
      <c r="A257" s="180" t="s">
        <v>1274</v>
      </c>
      <c r="B257" s="180">
        <v>4745780</v>
      </c>
      <c r="C257" s="180" t="s">
        <v>733</v>
      </c>
      <c r="D257" s="180" t="s">
        <v>734</v>
      </c>
      <c r="E257" s="180" t="s">
        <v>983</v>
      </c>
      <c r="F257" s="180" t="s">
        <v>376</v>
      </c>
      <c r="H257" s="180">
        <v>4104.03</v>
      </c>
      <c r="I257" s="180">
        <v>4596.51</v>
      </c>
      <c r="J257" s="180">
        <v>104</v>
      </c>
    </row>
    <row r="258" spans="1:10" x14ac:dyDescent="0.25">
      <c r="A258" s="180" t="s">
        <v>1274</v>
      </c>
      <c r="B258" s="180">
        <v>4745758</v>
      </c>
      <c r="C258" s="180" t="s">
        <v>662</v>
      </c>
      <c r="D258" s="180" t="s">
        <v>663</v>
      </c>
      <c r="E258" s="180" t="s">
        <v>983</v>
      </c>
      <c r="F258" s="180" t="s">
        <v>712</v>
      </c>
      <c r="H258" s="180">
        <v>2404.71</v>
      </c>
      <c r="I258" s="180">
        <v>2693.27</v>
      </c>
      <c r="J258" s="180">
        <v>41.25</v>
      </c>
    </row>
    <row r="259" spans="1:10" x14ac:dyDescent="0.25">
      <c r="A259" s="180" t="s">
        <v>1274</v>
      </c>
      <c r="B259" s="180">
        <v>11258447</v>
      </c>
      <c r="C259" s="180" t="s">
        <v>1278</v>
      </c>
      <c r="D259" s="180" t="s">
        <v>1279</v>
      </c>
      <c r="E259" s="180" t="s">
        <v>983</v>
      </c>
      <c r="F259" s="180" t="s">
        <v>712</v>
      </c>
      <c r="H259" s="180">
        <v>253.75</v>
      </c>
      <c r="I259" s="180">
        <v>284.2</v>
      </c>
      <c r="J259" s="180">
        <v>7</v>
      </c>
    </row>
    <row r="260" spans="1:10" x14ac:dyDescent="0.25">
      <c r="A260" s="180" t="s">
        <v>1274</v>
      </c>
      <c r="B260" s="180">
        <v>12726992</v>
      </c>
      <c r="C260" s="180" t="s">
        <v>1280</v>
      </c>
      <c r="D260" s="180" t="s">
        <v>1281</v>
      </c>
      <c r="E260" s="180" t="s">
        <v>983</v>
      </c>
      <c r="F260" s="180" t="s">
        <v>712</v>
      </c>
      <c r="H260" s="180">
        <v>1050</v>
      </c>
      <c r="I260" s="180">
        <v>1176</v>
      </c>
      <c r="J260" s="180">
        <v>21</v>
      </c>
    </row>
    <row r="261" spans="1:10" x14ac:dyDescent="0.25">
      <c r="A261" s="180" t="s">
        <v>1274</v>
      </c>
      <c r="B261" s="180">
        <v>12754705</v>
      </c>
      <c r="C261" s="180" t="s">
        <v>1282</v>
      </c>
      <c r="D261" s="180" t="s">
        <v>1283</v>
      </c>
      <c r="E261" s="180" t="s">
        <v>983</v>
      </c>
      <c r="F261" s="180" t="s">
        <v>712</v>
      </c>
      <c r="H261" s="180">
        <v>780</v>
      </c>
      <c r="I261" s="180">
        <v>873.6</v>
      </c>
      <c r="J261" s="180">
        <v>15</v>
      </c>
    </row>
    <row r="262" spans="1:10" x14ac:dyDescent="0.25">
      <c r="A262" s="180" t="s">
        <v>1274</v>
      </c>
      <c r="B262" s="180">
        <v>11950796</v>
      </c>
      <c r="C262" s="180" t="s">
        <v>1284</v>
      </c>
      <c r="D262" s="180" t="s">
        <v>1285</v>
      </c>
      <c r="E262" s="180" t="s">
        <v>983</v>
      </c>
      <c r="F262" s="180" t="s">
        <v>376</v>
      </c>
      <c r="H262" s="180">
        <v>5905.2</v>
      </c>
      <c r="I262" s="180">
        <v>6712.24</v>
      </c>
      <c r="J262" s="180">
        <v>170</v>
      </c>
    </row>
    <row r="263" spans="1:10" x14ac:dyDescent="0.25">
      <c r="A263" s="180" t="s">
        <v>1274</v>
      </c>
      <c r="B263" s="180">
        <v>7198283</v>
      </c>
      <c r="C263" s="180" t="s">
        <v>951</v>
      </c>
      <c r="D263" s="180" t="s">
        <v>952</v>
      </c>
      <c r="E263" s="180" t="s">
        <v>983</v>
      </c>
      <c r="F263" s="180" t="s">
        <v>712</v>
      </c>
      <c r="H263" s="180">
        <v>703</v>
      </c>
      <c r="I263" s="180">
        <v>861.18</v>
      </c>
      <c r="J263" s="180">
        <v>21.5</v>
      </c>
    </row>
    <row r="264" spans="1:10" x14ac:dyDescent="0.25">
      <c r="A264" s="180" t="s">
        <v>1274</v>
      </c>
      <c r="B264" s="180">
        <v>12097319</v>
      </c>
      <c r="C264" s="180" t="s">
        <v>786</v>
      </c>
      <c r="D264" s="180" t="s">
        <v>1287</v>
      </c>
      <c r="E264" s="180" t="s">
        <v>983</v>
      </c>
      <c r="F264" s="180" t="s">
        <v>376</v>
      </c>
      <c r="H264" s="180">
        <v>351.5</v>
      </c>
      <c r="I264" s="180">
        <v>393.68</v>
      </c>
      <c r="J264" s="180">
        <v>10</v>
      </c>
    </row>
    <row r="265" spans="1:10" x14ac:dyDescent="0.25">
      <c r="A265" s="180" t="s">
        <v>1274</v>
      </c>
      <c r="B265" s="180">
        <v>13135316</v>
      </c>
      <c r="C265" s="180" t="s">
        <v>1288</v>
      </c>
      <c r="D265" s="180" t="s">
        <v>1289</v>
      </c>
      <c r="E265" s="180" t="s">
        <v>983</v>
      </c>
      <c r="F265" s="180" t="s">
        <v>712</v>
      </c>
      <c r="H265" s="180">
        <v>3690.75</v>
      </c>
      <c r="I265" s="180">
        <v>4133.6400000000003</v>
      </c>
      <c r="J265" s="180">
        <v>105</v>
      </c>
    </row>
    <row r="266" spans="1:10" x14ac:dyDescent="0.25">
      <c r="A266" s="180" t="s">
        <v>1274</v>
      </c>
      <c r="B266" s="180">
        <v>12271906</v>
      </c>
      <c r="C266" s="180" t="s">
        <v>953</v>
      </c>
      <c r="D266" s="180" t="s">
        <v>1290</v>
      </c>
      <c r="E266" s="180" t="s">
        <v>983</v>
      </c>
      <c r="F266" s="180" t="s">
        <v>376</v>
      </c>
      <c r="H266" s="180">
        <v>263.62</v>
      </c>
      <c r="I266" s="180">
        <v>295.26</v>
      </c>
      <c r="J266" s="180">
        <v>7.5</v>
      </c>
    </row>
    <row r="267" spans="1:10" x14ac:dyDescent="0.25">
      <c r="A267" s="180" t="s">
        <v>1274</v>
      </c>
      <c r="B267" s="180">
        <v>9587203</v>
      </c>
      <c r="C267" s="180" t="s">
        <v>954</v>
      </c>
      <c r="D267" s="180" t="s">
        <v>955</v>
      </c>
      <c r="E267" s="180" t="s">
        <v>983</v>
      </c>
      <c r="F267" s="180" t="s">
        <v>376</v>
      </c>
      <c r="H267" s="180">
        <v>281.2</v>
      </c>
      <c r="I267" s="180">
        <v>314.94</v>
      </c>
      <c r="J267" s="180">
        <v>8</v>
      </c>
    </row>
    <row r="268" spans="1:10" x14ac:dyDescent="0.25">
      <c r="A268" s="180" t="s">
        <v>1274</v>
      </c>
      <c r="B268" s="180">
        <v>10749213</v>
      </c>
      <c r="C268" s="180" t="s">
        <v>1021</v>
      </c>
      <c r="D268" s="180" t="s">
        <v>1022</v>
      </c>
      <c r="E268" s="180" t="s">
        <v>983</v>
      </c>
      <c r="F268" s="180" t="s">
        <v>695</v>
      </c>
      <c r="H268" s="180">
        <v>838.56</v>
      </c>
      <c r="I268" s="180">
        <v>939.19</v>
      </c>
      <c r="J268" s="180">
        <v>17</v>
      </c>
    </row>
    <row r="269" spans="1:10" x14ac:dyDescent="0.25">
      <c r="A269" s="180" t="s">
        <v>1274</v>
      </c>
      <c r="B269" s="180">
        <v>13750237</v>
      </c>
      <c r="C269" s="180" t="s">
        <v>1374</v>
      </c>
      <c r="D269" s="180" t="s">
        <v>1375</v>
      </c>
      <c r="E269" s="180" t="s">
        <v>983</v>
      </c>
      <c r="F269" s="180" t="s">
        <v>376</v>
      </c>
      <c r="H269" s="180">
        <v>543.4</v>
      </c>
      <c r="I269" s="180">
        <v>608.61</v>
      </c>
      <c r="J269" s="180">
        <v>16</v>
      </c>
    </row>
    <row r="270" spans="1:10" x14ac:dyDescent="0.25">
      <c r="A270" s="180" t="s">
        <v>1274</v>
      </c>
      <c r="B270" s="180">
        <v>10563333</v>
      </c>
      <c r="C270" s="180" t="s">
        <v>1097</v>
      </c>
      <c r="D270" s="180" t="s">
        <v>1098</v>
      </c>
      <c r="E270" s="180" t="s">
        <v>983</v>
      </c>
      <c r="F270" s="180" t="s">
        <v>712</v>
      </c>
      <c r="H270" s="180">
        <v>149.38999999999999</v>
      </c>
      <c r="I270" s="180">
        <v>167.32</v>
      </c>
      <c r="J270" s="180">
        <v>4.25</v>
      </c>
    </row>
    <row r="271" spans="1:10" x14ac:dyDescent="0.25">
      <c r="A271" s="180" t="s">
        <v>1274</v>
      </c>
      <c r="B271" s="180">
        <v>4745971</v>
      </c>
      <c r="C271" s="180" t="s">
        <v>956</v>
      </c>
      <c r="D271" s="180" t="s">
        <v>957</v>
      </c>
      <c r="E271" s="180" t="s">
        <v>983</v>
      </c>
      <c r="F271" s="180" t="s">
        <v>376</v>
      </c>
      <c r="H271" s="180">
        <v>335.16</v>
      </c>
      <c r="I271" s="180">
        <v>375.38</v>
      </c>
      <c r="J271" s="180">
        <v>7.5</v>
      </c>
    </row>
    <row r="272" spans="1:10" x14ac:dyDescent="0.25">
      <c r="A272" s="180" t="s">
        <v>1274</v>
      </c>
      <c r="B272" s="180">
        <v>4745979</v>
      </c>
      <c r="C272" s="180" t="s">
        <v>804</v>
      </c>
      <c r="D272" s="180" t="s">
        <v>863</v>
      </c>
      <c r="E272" s="180" t="s">
        <v>983</v>
      </c>
      <c r="F272" s="180" t="s">
        <v>712</v>
      </c>
      <c r="H272" s="180">
        <v>1600</v>
      </c>
      <c r="I272" s="180">
        <v>1792</v>
      </c>
      <c r="J272" s="180">
        <v>32</v>
      </c>
    </row>
    <row r="273" spans="1:10" x14ac:dyDescent="0.25">
      <c r="A273" s="180" t="s">
        <v>1274</v>
      </c>
      <c r="B273" s="180">
        <v>12835159</v>
      </c>
      <c r="C273" s="180" t="s">
        <v>793</v>
      </c>
      <c r="D273" s="180" t="s">
        <v>1293</v>
      </c>
      <c r="E273" s="180" t="s">
        <v>983</v>
      </c>
      <c r="F273" s="180" t="s">
        <v>712</v>
      </c>
      <c r="H273" s="180">
        <v>281.2</v>
      </c>
      <c r="I273" s="180">
        <v>339.54</v>
      </c>
      <c r="J273" s="180">
        <v>8.5</v>
      </c>
    </row>
    <row r="274" spans="1:10" x14ac:dyDescent="0.25">
      <c r="A274" s="180" t="s">
        <v>1274</v>
      </c>
      <c r="B274" s="180">
        <v>12414219</v>
      </c>
      <c r="C274" s="180" t="s">
        <v>1295</v>
      </c>
      <c r="D274" s="180" t="s">
        <v>1296</v>
      </c>
      <c r="E274" s="180" t="s">
        <v>983</v>
      </c>
      <c r="F274" s="180" t="s">
        <v>376</v>
      </c>
      <c r="H274" s="180">
        <v>509.68</v>
      </c>
      <c r="I274" s="180">
        <v>570.84</v>
      </c>
      <c r="J274" s="180">
        <v>14.5</v>
      </c>
    </row>
    <row r="275" spans="1:10" x14ac:dyDescent="0.25">
      <c r="A275" s="180" t="s">
        <v>1274</v>
      </c>
      <c r="B275" s="180">
        <v>12951361</v>
      </c>
      <c r="C275" s="180" t="s">
        <v>960</v>
      </c>
      <c r="D275" s="180" t="s">
        <v>1297</v>
      </c>
      <c r="E275" s="180" t="s">
        <v>983</v>
      </c>
      <c r="F275" s="180" t="s">
        <v>376</v>
      </c>
      <c r="H275" s="180">
        <v>843.75</v>
      </c>
      <c r="I275" s="180">
        <v>945</v>
      </c>
      <c r="J275" s="180">
        <v>22.5</v>
      </c>
    </row>
    <row r="276" spans="1:10" x14ac:dyDescent="0.25">
      <c r="A276" s="180" t="s">
        <v>1274</v>
      </c>
      <c r="B276" s="180">
        <v>10429316</v>
      </c>
      <c r="C276" s="180" t="s">
        <v>960</v>
      </c>
      <c r="D276" s="180" t="s">
        <v>962</v>
      </c>
      <c r="E276" s="180" t="s">
        <v>983</v>
      </c>
      <c r="F276" s="180" t="s">
        <v>376</v>
      </c>
      <c r="H276" s="180">
        <v>632.70000000000005</v>
      </c>
      <c r="I276" s="180">
        <v>708.62</v>
      </c>
      <c r="J276" s="180">
        <v>18</v>
      </c>
    </row>
    <row r="277" spans="1:10" x14ac:dyDescent="0.25">
      <c r="A277" s="180" t="s">
        <v>1274</v>
      </c>
      <c r="B277" s="180">
        <v>10875145</v>
      </c>
      <c r="C277" s="180" t="s">
        <v>1027</v>
      </c>
      <c r="D277" s="180" t="s">
        <v>1028</v>
      </c>
      <c r="E277" s="180" t="s">
        <v>983</v>
      </c>
      <c r="F277" s="180" t="s">
        <v>376</v>
      </c>
      <c r="H277" s="180">
        <v>316.35000000000002</v>
      </c>
      <c r="I277" s="180">
        <v>354.31</v>
      </c>
      <c r="J277" s="180">
        <v>9</v>
      </c>
    </row>
    <row r="278" spans="1:10" x14ac:dyDescent="0.25">
      <c r="A278" s="180" t="s">
        <v>1274</v>
      </c>
      <c r="B278" s="180">
        <v>4745762</v>
      </c>
      <c r="C278" s="180" t="s">
        <v>762</v>
      </c>
      <c r="D278" s="180" t="s">
        <v>681</v>
      </c>
      <c r="E278" s="180" t="s">
        <v>983</v>
      </c>
      <c r="F278" s="180" t="s">
        <v>847</v>
      </c>
      <c r="H278" s="180">
        <v>410.4</v>
      </c>
      <c r="I278" s="180">
        <v>1789.18</v>
      </c>
      <c r="J278" s="180">
        <v>31.14</v>
      </c>
    </row>
    <row r="279" spans="1:10" x14ac:dyDescent="0.25">
      <c r="A279" s="180" t="s">
        <v>1274</v>
      </c>
      <c r="B279" s="180">
        <v>4988501</v>
      </c>
      <c r="C279" s="180" t="s">
        <v>724</v>
      </c>
      <c r="D279" s="180" t="s">
        <v>725</v>
      </c>
      <c r="E279" s="180" t="s">
        <v>983</v>
      </c>
      <c r="F279" s="180" t="s">
        <v>376</v>
      </c>
      <c r="H279" s="180">
        <v>338.5</v>
      </c>
      <c r="I279" s="180">
        <v>379.12</v>
      </c>
      <c r="J279" s="180">
        <v>8</v>
      </c>
    </row>
    <row r="280" spans="1:10" x14ac:dyDescent="0.25">
      <c r="A280" s="180" t="s">
        <v>1274</v>
      </c>
      <c r="B280" s="180">
        <v>7129294</v>
      </c>
      <c r="C280" s="180" t="s">
        <v>765</v>
      </c>
      <c r="D280" s="180" t="s">
        <v>766</v>
      </c>
      <c r="E280" s="180" t="s">
        <v>983</v>
      </c>
      <c r="F280" s="180" t="s">
        <v>376</v>
      </c>
      <c r="H280" s="180">
        <v>966.62</v>
      </c>
      <c r="I280" s="180">
        <v>1082.6199999999999</v>
      </c>
      <c r="J280" s="180">
        <v>27.5</v>
      </c>
    </row>
    <row r="281" spans="1:10" x14ac:dyDescent="0.25">
      <c r="A281" s="180" t="s">
        <v>1274</v>
      </c>
      <c r="B281" s="180">
        <v>12101522</v>
      </c>
      <c r="C281" s="180" t="s">
        <v>1311</v>
      </c>
      <c r="D281" s="180" t="s">
        <v>1312</v>
      </c>
      <c r="E281" s="180" t="s">
        <v>983</v>
      </c>
      <c r="F281" s="180" t="s">
        <v>376</v>
      </c>
      <c r="H281" s="180">
        <v>984.2</v>
      </c>
      <c r="I281" s="180">
        <v>1102.3</v>
      </c>
      <c r="J281" s="180">
        <v>28</v>
      </c>
    </row>
    <row r="282" spans="1:10" x14ac:dyDescent="0.25">
      <c r="A282" s="180" t="s">
        <v>1274</v>
      </c>
      <c r="B282" s="180">
        <v>12728703</v>
      </c>
      <c r="C282" s="180" t="s">
        <v>1314</v>
      </c>
      <c r="D282" s="180" t="s">
        <v>1315</v>
      </c>
      <c r="E282" s="180" t="s">
        <v>983</v>
      </c>
      <c r="F282" s="180" t="s">
        <v>712</v>
      </c>
      <c r="H282" s="180">
        <v>152</v>
      </c>
      <c r="I282" s="180">
        <v>170.24</v>
      </c>
      <c r="J282" s="180">
        <v>4</v>
      </c>
    </row>
    <row r="283" spans="1:10" x14ac:dyDescent="0.25">
      <c r="A283" s="180" t="s">
        <v>1274</v>
      </c>
      <c r="B283" s="180">
        <v>11554172</v>
      </c>
      <c r="C283" s="180" t="s">
        <v>1318</v>
      </c>
      <c r="D283" s="180" t="s">
        <v>1319</v>
      </c>
      <c r="E283" s="180" t="s">
        <v>983</v>
      </c>
      <c r="F283" s="180" t="s">
        <v>376</v>
      </c>
      <c r="H283" s="180">
        <v>2978.96</v>
      </c>
      <c r="I283" s="180">
        <v>3336.44</v>
      </c>
      <c r="J283" s="180">
        <v>84.75</v>
      </c>
    </row>
    <row r="284" spans="1:10" x14ac:dyDescent="0.25">
      <c r="A284" s="180" t="s">
        <v>1274</v>
      </c>
      <c r="B284" s="180">
        <v>11533654</v>
      </c>
      <c r="C284" s="180" t="s">
        <v>1321</v>
      </c>
      <c r="D284" s="180" t="s">
        <v>1322</v>
      </c>
      <c r="E284" s="180" t="s">
        <v>983</v>
      </c>
      <c r="F284" s="180" t="s">
        <v>376</v>
      </c>
      <c r="H284" s="180">
        <v>580</v>
      </c>
      <c r="I284" s="180">
        <v>649.6</v>
      </c>
      <c r="J284" s="180">
        <v>16</v>
      </c>
    </row>
  </sheetData>
  <autoFilter ref="A2:J2" xr:uid="{8501318B-9003-4052-B4E5-6DF545E5895F}"/>
  <mergeCells count="4">
    <mergeCell ref="AN1:AO1"/>
    <mergeCell ref="AQ1:AR1"/>
    <mergeCell ref="AS1:AU1"/>
    <mergeCell ref="AW1:AY1"/>
  </mergeCells>
  <pageMargins left="0.75" right="0.75" top="0.75" bottom="0.5" header="0.5" footer="0.75"/>
  <legacyDrawing r:id="rId4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9F75-1E2A-437B-AA2D-4060395CDDC6}">
  <sheetPr codeName="Sheet18"/>
  <dimension ref="A2:E9"/>
  <sheetViews>
    <sheetView zoomScale="118" zoomScaleNormal="118" workbookViewId="0">
      <selection activeCell="A9" sqref="A9"/>
    </sheetView>
  </sheetViews>
  <sheetFormatPr defaultColWidth="8.85546875" defaultRowHeight="12.75" x14ac:dyDescent="0.2"/>
  <cols>
    <col min="1" max="1" width="34.42578125" style="461" bestFit="1" customWidth="1"/>
    <col min="2" max="16384" width="8.85546875" style="461"/>
  </cols>
  <sheetData>
    <row r="2" spans="1:5" x14ac:dyDescent="0.2">
      <c r="A2" s="461" t="s">
        <v>917</v>
      </c>
      <c r="C2" s="461" t="s">
        <v>264</v>
      </c>
      <c r="E2" s="461" t="s">
        <v>171</v>
      </c>
    </row>
    <row r="3" spans="1:5" x14ac:dyDescent="0.2">
      <c r="A3" s="461" t="s">
        <v>916</v>
      </c>
      <c r="C3" s="461" t="s">
        <v>931</v>
      </c>
      <c r="E3" s="461" t="s">
        <v>170</v>
      </c>
    </row>
    <row r="4" spans="1:5" x14ac:dyDescent="0.2">
      <c r="A4" s="461" t="s">
        <v>918</v>
      </c>
      <c r="C4" s="461" t="s">
        <v>263</v>
      </c>
    </row>
    <row r="5" spans="1:5" x14ac:dyDescent="0.2">
      <c r="A5" s="461" t="s">
        <v>919</v>
      </c>
    </row>
    <row r="6" spans="1:5" x14ac:dyDescent="0.2">
      <c r="A6" s="462" t="s">
        <v>921</v>
      </c>
    </row>
    <row r="7" spans="1:5" x14ac:dyDescent="0.2">
      <c r="A7" s="462" t="s">
        <v>920</v>
      </c>
    </row>
    <row r="8" spans="1:5" x14ac:dyDescent="0.2">
      <c r="A8" s="461" t="s">
        <v>1206</v>
      </c>
    </row>
    <row r="9" spans="1:5" x14ac:dyDescent="0.2">
      <c r="A9" s="461" t="s">
        <v>1207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C0A04-C2FF-41D1-9766-313A2D465E23}">
  <sheetPr codeName="Sheet19" filterMode="1"/>
  <dimension ref="A1:R391"/>
  <sheetViews>
    <sheetView zoomScale="115" zoomScaleNormal="115" workbookViewId="0">
      <selection sqref="A1:XFD1"/>
    </sheetView>
  </sheetViews>
  <sheetFormatPr defaultColWidth="8.85546875" defaultRowHeight="15" x14ac:dyDescent="0.25"/>
  <cols>
    <col min="1" max="1" width="20.85546875" style="180" customWidth="1"/>
    <col min="2" max="2" width="15.42578125" style="180" customWidth="1"/>
    <col min="3" max="3" width="21.7109375" style="180" customWidth="1"/>
    <col min="4" max="4" width="26.28515625" style="180" customWidth="1"/>
    <col min="5" max="5" width="12" style="180" customWidth="1"/>
    <col min="6" max="6" width="12.5703125" style="180" customWidth="1"/>
    <col min="7" max="7" width="19.140625" style="180" customWidth="1"/>
    <col min="8" max="8" width="14.5703125" style="180" customWidth="1"/>
    <col min="9" max="9" width="10.7109375" style="180" customWidth="1"/>
    <col min="10" max="10" width="13.42578125" style="180" customWidth="1"/>
    <col min="11" max="11" width="7" style="180" customWidth="1"/>
    <col min="12" max="12" width="6.42578125" style="180" customWidth="1"/>
    <col min="13" max="13" width="8.7109375" style="180" customWidth="1"/>
    <col min="14" max="14" width="12.42578125" style="180" customWidth="1"/>
    <col min="15" max="15" width="11.42578125" style="180" customWidth="1"/>
    <col min="16" max="16384" width="8.85546875" style="180"/>
  </cols>
  <sheetData>
    <row r="1" spans="1:18" x14ac:dyDescent="0.25">
      <c r="A1" s="179" t="s">
        <v>644</v>
      </c>
      <c r="B1" s="179" t="s">
        <v>645</v>
      </c>
      <c r="C1" s="179" t="s">
        <v>646</v>
      </c>
      <c r="D1" s="179" t="s">
        <v>647</v>
      </c>
      <c r="E1" s="179" t="s">
        <v>648</v>
      </c>
      <c r="F1" s="179" t="s">
        <v>649</v>
      </c>
      <c r="G1" s="179" t="s">
        <v>650</v>
      </c>
      <c r="H1" s="179" t="s">
        <v>651</v>
      </c>
      <c r="I1" s="179" t="s">
        <v>652</v>
      </c>
      <c r="J1" s="179" t="s">
        <v>653</v>
      </c>
      <c r="K1" s="179" t="s">
        <v>443</v>
      </c>
      <c r="L1" s="179" t="s">
        <v>654</v>
      </c>
      <c r="M1" s="179" t="s">
        <v>655</v>
      </c>
      <c r="N1" s="179" t="s">
        <v>656</v>
      </c>
      <c r="O1" s="179" t="s">
        <v>657</v>
      </c>
      <c r="R1" s="180" t="s">
        <v>914</v>
      </c>
    </row>
    <row r="2" spans="1:18" hidden="1" x14ac:dyDescent="0.25">
      <c r="A2" s="180" t="s">
        <v>658</v>
      </c>
      <c r="B2" s="180" t="s">
        <v>659</v>
      </c>
      <c r="D2" s="180" t="s">
        <v>660</v>
      </c>
      <c r="E2" s="181">
        <v>45139</v>
      </c>
      <c r="F2" s="180" t="s">
        <v>661</v>
      </c>
      <c r="G2" s="180" t="s">
        <v>662</v>
      </c>
      <c r="H2" s="180" t="s">
        <v>663</v>
      </c>
      <c r="I2" s="180" t="s">
        <v>664</v>
      </c>
      <c r="J2" s="180" t="s">
        <v>665</v>
      </c>
      <c r="L2" s="180">
        <v>8.5</v>
      </c>
      <c r="M2" s="180">
        <v>58.558500000000002</v>
      </c>
      <c r="N2" s="182">
        <v>497.75</v>
      </c>
      <c r="O2" s="182">
        <v>54.75</v>
      </c>
    </row>
    <row r="3" spans="1:18" hidden="1" x14ac:dyDescent="0.25">
      <c r="A3" s="180" t="s">
        <v>658</v>
      </c>
      <c r="B3" s="180" t="s">
        <v>659</v>
      </c>
      <c r="D3" s="180" t="s">
        <v>660</v>
      </c>
      <c r="E3" s="181">
        <v>45139</v>
      </c>
      <c r="F3" s="180" t="s">
        <v>666</v>
      </c>
      <c r="G3" s="180" t="s">
        <v>667</v>
      </c>
      <c r="H3" s="180" t="s">
        <v>668</v>
      </c>
      <c r="J3" s="180" t="s">
        <v>376</v>
      </c>
      <c r="L3" s="180">
        <v>57</v>
      </c>
      <c r="M3" s="180">
        <v>31.531500000000001</v>
      </c>
      <c r="N3" s="182">
        <v>1797.3</v>
      </c>
      <c r="O3" s="182">
        <v>197.7</v>
      </c>
    </row>
    <row r="4" spans="1:18" hidden="1" x14ac:dyDescent="0.25">
      <c r="A4" s="180" t="s">
        <v>658</v>
      </c>
      <c r="B4" s="180" t="s">
        <v>659</v>
      </c>
      <c r="D4" s="180" t="s">
        <v>660</v>
      </c>
      <c r="E4" s="181">
        <v>45139</v>
      </c>
      <c r="F4" s="180" t="s">
        <v>669</v>
      </c>
      <c r="G4" s="180" t="s">
        <v>670</v>
      </c>
      <c r="H4" s="180" t="s">
        <v>671</v>
      </c>
      <c r="I4" s="180" t="s">
        <v>669</v>
      </c>
      <c r="J4" s="180" t="s">
        <v>376</v>
      </c>
      <c r="L4" s="180">
        <v>8</v>
      </c>
      <c r="M4" s="180">
        <v>36.036000000000001</v>
      </c>
      <c r="N4" s="182">
        <v>288.29000000000002</v>
      </c>
      <c r="O4" s="182">
        <v>31.71</v>
      </c>
    </row>
    <row r="5" spans="1:18" hidden="1" x14ac:dyDescent="0.25">
      <c r="A5" s="180" t="s">
        <v>658</v>
      </c>
      <c r="B5" s="180" t="s">
        <v>659</v>
      </c>
      <c r="D5" s="180" t="s">
        <v>660</v>
      </c>
      <c r="E5" s="181">
        <v>45139</v>
      </c>
      <c r="F5" s="180" t="s">
        <v>672</v>
      </c>
      <c r="G5" s="180" t="s">
        <v>673</v>
      </c>
      <c r="H5" s="180" t="s">
        <v>674</v>
      </c>
      <c r="I5" s="180" t="s">
        <v>672</v>
      </c>
      <c r="J5" s="180" t="s">
        <v>376</v>
      </c>
      <c r="L5" s="180">
        <v>16.25</v>
      </c>
      <c r="M5" s="180">
        <v>29.279199999999999</v>
      </c>
      <c r="N5" s="182">
        <v>475.79</v>
      </c>
      <c r="O5" s="182">
        <v>52.34</v>
      </c>
    </row>
    <row r="6" spans="1:18" hidden="1" x14ac:dyDescent="0.25">
      <c r="A6" s="180" t="s">
        <v>658</v>
      </c>
      <c r="B6" s="180" t="s">
        <v>659</v>
      </c>
      <c r="D6" s="180" t="s">
        <v>660</v>
      </c>
      <c r="E6" s="181">
        <v>45139</v>
      </c>
      <c r="F6" s="180" t="s">
        <v>675</v>
      </c>
      <c r="G6" s="180" t="s">
        <v>676</v>
      </c>
      <c r="H6" s="180" t="s">
        <v>677</v>
      </c>
      <c r="I6" s="180" t="s">
        <v>678</v>
      </c>
      <c r="J6" s="180" t="s">
        <v>665</v>
      </c>
      <c r="L6" s="180">
        <v>9.25</v>
      </c>
      <c r="M6" s="180">
        <v>49.549500000000002</v>
      </c>
      <c r="N6" s="182">
        <v>458.33</v>
      </c>
      <c r="O6" s="182">
        <v>50.42</v>
      </c>
    </row>
    <row r="7" spans="1:18" hidden="1" x14ac:dyDescent="0.25">
      <c r="A7" s="180" t="s">
        <v>658</v>
      </c>
      <c r="B7" s="180" t="s">
        <v>659</v>
      </c>
      <c r="D7" s="180" t="s">
        <v>660</v>
      </c>
      <c r="E7" s="181">
        <v>45139</v>
      </c>
      <c r="F7" s="180" t="s">
        <v>679</v>
      </c>
      <c r="G7" s="180" t="s">
        <v>680</v>
      </c>
      <c r="H7" s="180" t="s">
        <v>681</v>
      </c>
      <c r="I7" s="180" t="s">
        <v>682</v>
      </c>
      <c r="J7" s="180" t="s">
        <v>376</v>
      </c>
      <c r="L7" s="180">
        <v>16</v>
      </c>
      <c r="M7" s="180">
        <v>31.531500000000001</v>
      </c>
      <c r="N7" s="182">
        <v>504.5</v>
      </c>
      <c r="O7" s="182">
        <v>55.5</v>
      </c>
    </row>
    <row r="8" spans="1:18" hidden="1" x14ac:dyDescent="0.25">
      <c r="A8" s="180" t="s">
        <v>658</v>
      </c>
      <c r="B8" s="180" t="s">
        <v>659</v>
      </c>
      <c r="D8" s="180" t="s">
        <v>660</v>
      </c>
      <c r="E8" s="181">
        <v>45139</v>
      </c>
      <c r="F8" s="180" t="s">
        <v>683</v>
      </c>
      <c r="G8" s="180" t="s">
        <v>684</v>
      </c>
      <c r="H8" s="180" t="s">
        <v>685</v>
      </c>
      <c r="J8" s="180" t="s">
        <v>376</v>
      </c>
      <c r="L8" s="180">
        <v>15</v>
      </c>
      <c r="M8" s="180">
        <v>29.279199999999999</v>
      </c>
      <c r="N8" s="182">
        <v>439.19</v>
      </c>
      <c r="O8" s="182">
        <v>48.31</v>
      </c>
    </row>
    <row r="9" spans="1:18" hidden="1" x14ac:dyDescent="0.25">
      <c r="A9" s="180" t="s">
        <v>658</v>
      </c>
      <c r="B9" s="180" t="s">
        <v>659</v>
      </c>
      <c r="D9" s="180" t="s">
        <v>660</v>
      </c>
      <c r="E9" s="181">
        <v>45139</v>
      </c>
      <c r="F9" s="180" t="s">
        <v>686</v>
      </c>
      <c r="G9" s="180" t="s">
        <v>684</v>
      </c>
      <c r="H9" s="180" t="s">
        <v>687</v>
      </c>
      <c r="J9" s="180" t="s">
        <v>376</v>
      </c>
      <c r="L9" s="180">
        <v>24</v>
      </c>
      <c r="M9" s="180">
        <v>29.729700000000001</v>
      </c>
      <c r="N9" s="182">
        <v>713.51</v>
      </c>
      <c r="O9" s="182">
        <v>78.489999999999995</v>
      </c>
    </row>
    <row r="10" spans="1:18" hidden="1" x14ac:dyDescent="0.25">
      <c r="A10" s="180" t="s">
        <v>658</v>
      </c>
      <c r="B10" s="180" t="s">
        <v>659</v>
      </c>
      <c r="D10" s="180" t="s">
        <v>660</v>
      </c>
      <c r="E10" s="181">
        <v>45139</v>
      </c>
      <c r="F10" s="180" t="s">
        <v>688</v>
      </c>
      <c r="G10" s="180" t="s">
        <v>689</v>
      </c>
      <c r="H10" s="180" t="s">
        <v>690</v>
      </c>
      <c r="I10" s="180" t="s">
        <v>691</v>
      </c>
      <c r="J10" s="180" t="s">
        <v>665</v>
      </c>
      <c r="L10" s="180">
        <v>15.75</v>
      </c>
      <c r="M10" s="180">
        <v>33.783799999999999</v>
      </c>
      <c r="N10" s="182">
        <v>532.09</v>
      </c>
      <c r="O10" s="182">
        <v>58.53</v>
      </c>
    </row>
    <row r="11" spans="1:18" x14ac:dyDescent="0.25">
      <c r="A11" s="180" t="s">
        <v>658</v>
      </c>
      <c r="B11" s="180" t="s">
        <v>659</v>
      </c>
      <c r="D11" s="180" t="s">
        <v>660</v>
      </c>
      <c r="E11" s="181">
        <v>45139</v>
      </c>
      <c r="F11" s="180" t="s">
        <v>692</v>
      </c>
      <c r="G11" s="180" t="s">
        <v>693</v>
      </c>
      <c r="H11" s="180" t="s">
        <v>694</v>
      </c>
      <c r="I11" s="180" t="s">
        <v>692</v>
      </c>
      <c r="J11" s="180" t="s">
        <v>695</v>
      </c>
      <c r="L11" s="180">
        <v>13.5</v>
      </c>
      <c r="M11" s="180">
        <v>40.540500000000002</v>
      </c>
      <c r="N11" s="182">
        <v>547.29999999999995</v>
      </c>
      <c r="O11" s="182">
        <v>60.2</v>
      </c>
    </row>
    <row r="12" spans="1:18" hidden="1" x14ac:dyDescent="0.25">
      <c r="A12" s="180" t="s">
        <v>658</v>
      </c>
      <c r="B12" s="180" t="s">
        <v>659</v>
      </c>
      <c r="D12" s="180" t="s">
        <v>660</v>
      </c>
      <c r="E12" s="181">
        <v>45139</v>
      </c>
      <c r="F12" s="180" t="s">
        <v>696</v>
      </c>
      <c r="G12" s="180" t="s">
        <v>697</v>
      </c>
      <c r="H12" s="180" t="s">
        <v>698</v>
      </c>
      <c r="J12" s="180" t="s">
        <v>665</v>
      </c>
      <c r="L12" s="180">
        <v>9</v>
      </c>
      <c r="M12" s="180">
        <v>63.063099999999999</v>
      </c>
      <c r="N12" s="182">
        <v>567.57000000000005</v>
      </c>
      <c r="O12" s="182">
        <v>62.43</v>
      </c>
    </row>
    <row r="13" spans="1:18" hidden="1" x14ac:dyDescent="0.25">
      <c r="A13" s="180" t="s">
        <v>658</v>
      </c>
      <c r="B13" s="180" t="s">
        <v>659</v>
      </c>
      <c r="D13" s="180" t="s">
        <v>660</v>
      </c>
      <c r="E13" s="181">
        <v>45139</v>
      </c>
      <c r="F13" s="180" t="s">
        <v>699</v>
      </c>
      <c r="G13" s="180" t="s">
        <v>700</v>
      </c>
      <c r="H13" s="180" t="s">
        <v>701</v>
      </c>
      <c r="I13" s="180" t="s">
        <v>702</v>
      </c>
      <c r="J13" s="180" t="s">
        <v>376</v>
      </c>
      <c r="L13" s="180">
        <v>28.5</v>
      </c>
      <c r="M13" s="180">
        <v>29.279199999999999</v>
      </c>
      <c r="N13" s="182">
        <v>834.46</v>
      </c>
      <c r="O13" s="182">
        <v>91.79</v>
      </c>
    </row>
    <row r="14" spans="1:18" hidden="1" x14ac:dyDescent="0.25">
      <c r="A14" s="180" t="s">
        <v>658</v>
      </c>
      <c r="B14" s="180" t="s">
        <v>659</v>
      </c>
      <c r="D14" s="180" t="s">
        <v>660</v>
      </c>
      <c r="E14" s="181">
        <v>45139</v>
      </c>
      <c r="F14" s="180" t="s">
        <v>703</v>
      </c>
      <c r="G14" s="180" t="s">
        <v>704</v>
      </c>
      <c r="H14" s="180" t="s">
        <v>705</v>
      </c>
      <c r="I14" s="180" t="s">
        <v>706</v>
      </c>
      <c r="J14" s="180" t="s">
        <v>376</v>
      </c>
      <c r="L14" s="180">
        <v>8</v>
      </c>
      <c r="M14" s="180">
        <v>29.279199999999999</v>
      </c>
      <c r="N14" s="182">
        <v>234.23</v>
      </c>
      <c r="O14" s="182">
        <v>25.77</v>
      </c>
    </row>
    <row r="15" spans="1:18" hidden="1" x14ac:dyDescent="0.25">
      <c r="A15" s="180" t="s">
        <v>658</v>
      </c>
      <c r="B15" s="180" t="s">
        <v>659</v>
      </c>
      <c r="D15" s="180" t="s">
        <v>707</v>
      </c>
      <c r="E15" s="181">
        <v>45153</v>
      </c>
      <c r="F15" s="180" t="s">
        <v>661</v>
      </c>
      <c r="G15" s="180" t="s">
        <v>662</v>
      </c>
      <c r="H15" s="180" t="s">
        <v>663</v>
      </c>
      <c r="I15" s="180" t="s">
        <v>664</v>
      </c>
      <c r="J15" s="180" t="s">
        <v>665</v>
      </c>
      <c r="L15" s="180">
        <v>9</v>
      </c>
      <c r="M15" s="180">
        <v>58.558500000000002</v>
      </c>
      <c r="N15" s="182">
        <v>527.03</v>
      </c>
      <c r="O15" s="182">
        <v>57.97</v>
      </c>
    </row>
    <row r="16" spans="1:18" hidden="1" x14ac:dyDescent="0.25">
      <c r="A16" s="180" t="s">
        <v>658</v>
      </c>
      <c r="B16" s="180" t="s">
        <v>659</v>
      </c>
      <c r="D16" s="180" t="s">
        <v>707</v>
      </c>
      <c r="E16" s="181">
        <v>45153</v>
      </c>
      <c r="F16" s="180" t="s">
        <v>666</v>
      </c>
      <c r="G16" s="180" t="s">
        <v>667</v>
      </c>
      <c r="H16" s="180" t="s">
        <v>668</v>
      </c>
      <c r="J16" s="180" t="s">
        <v>376</v>
      </c>
      <c r="L16" s="180">
        <v>33.5</v>
      </c>
      <c r="M16" s="180">
        <v>31.531500000000001</v>
      </c>
      <c r="N16" s="182">
        <v>1056.31</v>
      </c>
      <c r="O16" s="182">
        <v>116.19</v>
      </c>
    </row>
    <row r="17" spans="1:15" hidden="1" x14ac:dyDescent="0.25">
      <c r="A17" s="180" t="s">
        <v>658</v>
      </c>
      <c r="B17" s="180" t="s">
        <v>659</v>
      </c>
      <c r="D17" s="180" t="s">
        <v>707</v>
      </c>
      <c r="E17" s="181">
        <v>45153</v>
      </c>
      <c r="F17" s="180" t="s">
        <v>669</v>
      </c>
      <c r="G17" s="180" t="s">
        <v>670</v>
      </c>
      <c r="H17" s="180" t="s">
        <v>671</v>
      </c>
      <c r="I17" s="180" t="s">
        <v>669</v>
      </c>
      <c r="J17" s="180" t="s">
        <v>376</v>
      </c>
      <c r="L17" s="180">
        <v>14.5</v>
      </c>
      <c r="M17" s="180">
        <v>36.036000000000001</v>
      </c>
      <c r="N17" s="182">
        <v>522.52</v>
      </c>
      <c r="O17" s="182">
        <v>57.48</v>
      </c>
    </row>
    <row r="18" spans="1:15" hidden="1" x14ac:dyDescent="0.25">
      <c r="A18" s="180" t="s">
        <v>658</v>
      </c>
      <c r="B18" s="180" t="s">
        <v>659</v>
      </c>
      <c r="D18" s="180" t="s">
        <v>707</v>
      </c>
      <c r="E18" s="181">
        <v>45153</v>
      </c>
      <c r="F18" s="180" t="s">
        <v>672</v>
      </c>
      <c r="G18" s="180" t="s">
        <v>673</v>
      </c>
      <c r="H18" s="180" t="s">
        <v>674</v>
      </c>
      <c r="I18" s="180" t="s">
        <v>672</v>
      </c>
      <c r="J18" s="180" t="s">
        <v>376</v>
      </c>
      <c r="L18" s="180">
        <v>12</v>
      </c>
      <c r="M18" s="180">
        <v>29.279199999999999</v>
      </c>
      <c r="N18" s="182">
        <v>351.35</v>
      </c>
      <c r="O18" s="182">
        <v>38.65</v>
      </c>
    </row>
    <row r="19" spans="1:15" hidden="1" x14ac:dyDescent="0.25">
      <c r="A19" s="180" t="s">
        <v>658</v>
      </c>
      <c r="B19" s="180" t="s">
        <v>659</v>
      </c>
      <c r="D19" s="180" t="s">
        <v>707</v>
      </c>
      <c r="E19" s="181">
        <v>45153</v>
      </c>
      <c r="F19" s="180" t="s">
        <v>679</v>
      </c>
      <c r="G19" s="180" t="s">
        <v>680</v>
      </c>
      <c r="H19" s="180" t="s">
        <v>681</v>
      </c>
      <c r="I19" s="180" t="s">
        <v>682</v>
      </c>
      <c r="J19" s="180" t="s">
        <v>376</v>
      </c>
      <c r="L19" s="180">
        <v>74.25</v>
      </c>
      <c r="M19" s="180">
        <v>31.531500000000001</v>
      </c>
      <c r="N19" s="182">
        <v>2341.21</v>
      </c>
      <c r="O19" s="182">
        <v>257.52999999999997</v>
      </c>
    </row>
    <row r="20" spans="1:15" hidden="1" x14ac:dyDescent="0.25">
      <c r="A20" s="180" t="s">
        <v>658</v>
      </c>
      <c r="B20" s="180" t="s">
        <v>659</v>
      </c>
      <c r="D20" s="180" t="s">
        <v>707</v>
      </c>
      <c r="E20" s="181">
        <v>45153</v>
      </c>
      <c r="F20" s="180" t="s">
        <v>683</v>
      </c>
      <c r="G20" s="180" t="s">
        <v>684</v>
      </c>
      <c r="H20" s="180" t="s">
        <v>685</v>
      </c>
      <c r="J20" s="180" t="s">
        <v>376</v>
      </c>
      <c r="L20" s="180">
        <v>7.5</v>
      </c>
      <c r="M20" s="180">
        <v>29.279199999999999</v>
      </c>
      <c r="N20" s="182">
        <v>219.59</v>
      </c>
      <c r="O20" s="182">
        <v>24.16</v>
      </c>
    </row>
    <row r="21" spans="1:15" hidden="1" x14ac:dyDescent="0.25">
      <c r="A21" s="180" t="s">
        <v>658</v>
      </c>
      <c r="B21" s="180" t="s">
        <v>659</v>
      </c>
      <c r="D21" s="180" t="s">
        <v>707</v>
      </c>
      <c r="E21" s="181">
        <v>45153</v>
      </c>
      <c r="F21" s="180" t="s">
        <v>686</v>
      </c>
      <c r="G21" s="180" t="s">
        <v>684</v>
      </c>
      <c r="H21" s="180" t="s">
        <v>687</v>
      </c>
      <c r="J21" s="180" t="s">
        <v>376</v>
      </c>
      <c r="L21" s="180">
        <v>16</v>
      </c>
      <c r="M21" s="180">
        <v>29.729700000000001</v>
      </c>
      <c r="N21" s="182">
        <v>475.68</v>
      </c>
      <c r="O21" s="182">
        <v>52.32</v>
      </c>
    </row>
    <row r="22" spans="1:15" x14ac:dyDescent="0.25">
      <c r="A22" s="180" t="s">
        <v>658</v>
      </c>
      <c r="B22" s="180" t="s">
        <v>659</v>
      </c>
      <c r="D22" s="180" t="s">
        <v>707</v>
      </c>
      <c r="E22" s="181">
        <v>45153</v>
      </c>
      <c r="F22" s="180" t="s">
        <v>708</v>
      </c>
      <c r="G22" s="180" t="s">
        <v>709</v>
      </c>
      <c r="H22" s="180" t="s">
        <v>710</v>
      </c>
      <c r="I22" s="180" t="s">
        <v>711</v>
      </c>
      <c r="J22" s="180" t="s">
        <v>712</v>
      </c>
      <c r="L22" s="180">
        <v>12.75</v>
      </c>
      <c r="M22" s="180">
        <v>32.432400000000001</v>
      </c>
      <c r="N22" s="182">
        <v>413.51</v>
      </c>
      <c r="O22" s="182">
        <v>45.49</v>
      </c>
    </row>
    <row r="23" spans="1:15" hidden="1" x14ac:dyDescent="0.25">
      <c r="A23" s="180" t="s">
        <v>658</v>
      </c>
      <c r="B23" s="180" t="s">
        <v>659</v>
      </c>
      <c r="D23" s="180" t="s">
        <v>707</v>
      </c>
      <c r="E23" s="181">
        <v>45153</v>
      </c>
      <c r="F23" s="180" t="s">
        <v>713</v>
      </c>
      <c r="G23" s="180" t="s">
        <v>714</v>
      </c>
      <c r="H23" s="180" t="s">
        <v>715</v>
      </c>
      <c r="I23" s="180" t="s">
        <v>716</v>
      </c>
      <c r="J23" s="180" t="s">
        <v>376</v>
      </c>
      <c r="L23" s="180">
        <v>12</v>
      </c>
      <c r="M23" s="180">
        <v>29.279199999999999</v>
      </c>
      <c r="N23" s="182">
        <v>351.35</v>
      </c>
      <c r="O23" s="182">
        <v>38.65</v>
      </c>
    </row>
    <row r="24" spans="1:15" hidden="1" x14ac:dyDescent="0.25">
      <c r="A24" s="180" t="s">
        <v>658</v>
      </c>
      <c r="B24" s="180" t="s">
        <v>659</v>
      </c>
      <c r="D24" s="180" t="s">
        <v>707</v>
      </c>
      <c r="E24" s="181">
        <v>45153</v>
      </c>
      <c r="F24" s="180" t="s">
        <v>688</v>
      </c>
      <c r="G24" s="180" t="s">
        <v>689</v>
      </c>
      <c r="H24" s="180" t="s">
        <v>690</v>
      </c>
      <c r="I24" s="180" t="s">
        <v>691</v>
      </c>
      <c r="J24" s="180" t="s">
        <v>665</v>
      </c>
      <c r="L24" s="180">
        <v>15.5</v>
      </c>
      <c r="M24" s="180">
        <v>33.783799999999999</v>
      </c>
      <c r="N24" s="182">
        <v>523.65</v>
      </c>
      <c r="O24" s="182">
        <v>57.6</v>
      </c>
    </row>
    <row r="25" spans="1:15" hidden="1" x14ac:dyDescent="0.25">
      <c r="A25" s="180" t="s">
        <v>658</v>
      </c>
      <c r="B25" s="180" t="s">
        <v>659</v>
      </c>
      <c r="D25" s="180" t="s">
        <v>707</v>
      </c>
      <c r="E25" s="181">
        <v>45153</v>
      </c>
      <c r="F25" s="180" t="s">
        <v>717</v>
      </c>
      <c r="G25" s="180" t="s">
        <v>718</v>
      </c>
      <c r="H25" s="180" t="s">
        <v>719</v>
      </c>
      <c r="J25" s="180" t="s">
        <v>376</v>
      </c>
      <c r="L25" s="180">
        <v>5.5</v>
      </c>
      <c r="M25" s="180">
        <v>29.279199999999999</v>
      </c>
      <c r="N25" s="182">
        <v>161.04</v>
      </c>
      <c r="O25" s="182">
        <v>17.71</v>
      </c>
    </row>
    <row r="26" spans="1:15" x14ac:dyDescent="0.25">
      <c r="A26" s="180" t="s">
        <v>658</v>
      </c>
      <c r="B26" s="180" t="s">
        <v>659</v>
      </c>
      <c r="D26" s="180" t="s">
        <v>707</v>
      </c>
      <c r="E26" s="181">
        <v>45153</v>
      </c>
      <c r="F26" s="180" t="s">
        <v>692</v>
      </c>
      <c r="G26" s="180" t="s">
        <v>693</v>
      </c>
      <c r="H26" s="180" t="s">
        <v>694</v>
      </c>
      <c r="I26" s="180" t="s">
        <v>692</v>
      </c>
      <c r="J26" s="180" t="s">
        <v>695</v>
      </c>
      <c r="L26" s="180">
        <v>93</v>
      </c>
      <c r="M26" s="180">
        <v>40.540500000000002</v>
      </c>
      <c r="N26" s="182">
        <v>3770.27</v>
      </c>
      <c r="O26" s="182">
        <v>414.73</v>
      </c>
    </row>
    <row r="27" spans="1:15" hidden="1" x14ac:dyDescent="0.25">
      <c r="A27" s="180" t="s">
        <v>658</v>
      </c>
      <c r="B27" s="180" t="s">
        <v>659</v>
      </c>
      <c r="D27" s="180" t="s">
        <v>707</v>
      </c>
      <c r="E27" s="181">
        <v>45153</v>
      </c>
      <c r="F27" s="180" t="s">
        <v>720</v>
      </c>
      <c r="G27" s="180" t="s">
        <v>721</v>
      </c>
      <c r="H27" s="180" t="s">
        <v>722</v>
      </c>
      <c r="J27" s="180" t="s">
        <v>376</v>
      </c>
      <c r="L27" s="180">
        <v>24</v>
      </c>
      <c r="M27" s="180">
        <v>29.279299999999999</v>
      </c>
      <c r="N27" s="182">
        <v>702.7</v>
      </c>
      <c r="O27" s="182">
        <v>77.3</v>
      </c>
    </row>
    <row r="28" spans="1:15" hidden="1" x14ac:dyDescent="0.25">
      <c r="A28" s="180" t="s">
        <v>658</v>
      </c>
      <c r="B28" s="180" t="s">
        <v>659</v>
      </c>
      <c r="D28" s="180" t="s">
        <v>707</v>
      </c>
      <c r="E28" s="181">
        <v>45153</v>
      </c>
      <c r="F28" s="180" t="s">
        <v>696</v>
      </c>
      <c r="G28" s="180" t="s">
        <v>697</v>
      </c>
      <c r="H28" s="180" t="s">
        <v>698</v>
      </c>
      <c r="J28" s="180" t="s">
        <v>665</v>
      </c>
      <c r="L28" s="180">
        <v>42</v>
      </c>
      <c r="M28" s="180">
        <v>63.063099999999999</v>
      </c>
      <c r="N28" s="182">
        <v>2648.65</v>
      </c>
      <c r="O28" s="182">
        <v>291.35000000000002</v>
      </c>
    </row>
    <row r="29" spans="1:15" hidden="1" x14ac:dyDescent="0.25">
      <c r="A29" s="180" t="s">
        <v>658</v>
      </c>
      <c r="B29" s="180" t="s">
        <v>659</v>
      </c>
      <c r="D29" s="180" t="s">
        <v>707</v>
      </c>
      <c r="E29" s="181">
        <v>45153</v>
      </c>
      <c r="F29" s="180" t="s">
        <v>723</v>
      </c>
      <c r="G29" s="180" t="s">
        <v>724</v>
      </c>
      <c r="H29" s="180" t="s">
        <v>725</v>
      </c>
      <c r="I29" s="180" t="s">
        <v>726</v>
      </c>
      <c r="J29" s="180" t="s">
        <v>376</v>
      </c>
      <c r="L29" s="180">
        <v>4</v>
      </c>
      <c r="M29" s="180">
        <v>36.036000000000001</v>
      </c>
      <c r="N29" s="182">
        <v>144.13999999999999</v>
      </c>
      <c r="O29" s="182">
        <v>15.86</v>
      </c>
    </row>
    <row r="30" spans="1:15" hidden="1" x14ac:dyDescent="0.25">
      <c r="A30" s="180" t="s">
        <v>658</v>
      </c>
      <c r="B30" s="180" t="s">
        <v>659</v>
      </c>
      <c r="D30" s="180" t="s">
        <v>707</v>
      </c>
      <c r="E30" s="181">
        <v>45153</v>
      </c>
      <c r="F30" s="180" t="s">
        <v>727</v>
      </c>
      <c r="G30" s="180" t="s">
        <v>728</v>
      </c>
      <c r="H30" s="180" t="s">
        <v>729</v>
      </c>
      <c r="I30" s="180" t="s">
        <v>730</v>
      </c>
      <c r="J30" s="180" t="s">
        <v>665</v>
      </c>
      <c r="L30" s="180">
        <v>5.5</v>
      </c>
      <c r="M30" s="180">
        <v>36.036000000000001</v>
      </c>
      <c r="N30" s="182">
        <v>198.2</v>
      </c>
      <c r="O30" s="182">
        <v>21.8</v>
      </c>
    </row>
    <row r="31" spans="1:15" hidden="1" x14ac:dyDescent="0.25">
      <c r="A31" s="180" t="s">
        <v>658</v>
      </c>
      <c r="B31" s="180" t="s">
        <v>659</v>
      </c>
      <c r="D31" s="180" t="s">
        <v>707</v>
      </c>
      <c r="E31" s="181">
        <v>45153</v>
      </c>
      <c r="F31" s="180" t="s">
        <v>703</v>
      </c>
      <c r="G31" s="180" t="s">
        <v>704</v>
      </c>
      <c r="H31" s="180" t="s">
        <v>705</v>
      </c>
      <c r="I31" s="180" t="s">
        <v>706</v>
      </c>
      <c r="J31" s="180" t="s">
        <v>376</v>
      </c>
      <c r="L31" s="180">
        <v>17</v>
      </c>
      <c r="M31" s="180">
        <v>29.279199999999999</v>
      </c>
      <c r="N31" s="182">
        <v>497.75</v>
      </c>
      <c r="O31" s="182">
        <v>54.75</v>
      </c>
    </row>
    <row r="32" spans="1:15" hidden="1" x14ac:dyDescent="0.25">
      <c r="A32" s="180" t="s">
        <v>658</v>
      </c>
      <c r="B32" s="180" t="s">
        <v>659</v>
      </c>
      <c r="D32" s="180" t="s">
        <v>731</v>
      </c>
      <c r="E32" s="181">
        <v>45265</v>
      </c>
      <c r="F32" s="180" t="s">
        <v>732</v>
      </c>
      <c r="G32" s="180" t="s">
        <v>733</v>
      </c>
      <c r="H32" s="180" t="s">
        <v>734</v>
      </c>
      <c r="I32" s="180" t="s">
        <v>735</v>
      </c>
      <c r="J32" s="180" t="s">
        <v>376</v>
      </c>
      <c r="L32" s="180">
        <v>26</v>
      </c>
      <c r="M32" s="180">
        <v>39.639600000000002</v>
      </c>
      <c r="N32" s="182">
        <v>1030.6300000000001</v>
      </c>
      <c r="O32" s="182">
        <v>113.37</v>
      </c>
    </row>
    <row r="33" spans="1:15" hidden="1" x14ac:dyDescent="0.25">
      <c r="A33" s="180" t="s">
        <v>658</v>
      </c>
      <c r="B33" s="180" t="s">
        <v>659</v>
      </c>
      <c r="D33" s="180" t="s">
        <v>731</v>
      </c>
      <c r="E33" s="181">
        <v>45265</v>
      </c>
      <c r="F33" s="180" t="s">
        <v>661</v>
      </c>
      <c r="G33" s="180" t="s">
        <v>662</v>
      </c>
      <c r="H33" s="180" t="s">
        <v>663</v>
      </c>
      <c r="I33" s="180" t="s">
        <v>664</v>
      </c>
      <c r="J33" s="180" t="s">
        <v>665</v>
      </c>
      <c r="L33" s="180">
        <v>30.75</v>
      </c>
      <c r="M33" s="180">
        <v>58.558500000000002</v>
      </c>
      <c r="N33" s="182">
        <v>1800.67</v>
      </c>
      <c r="O33" s="182">
        <v>198.07</v>
      </c>
    </row>
    <row r="34" spans="1:15" hidden="1" x14ac:dyDescent="0.25">
      <c r="A34" s="180" t="s">
        <v>658</v>
      </c>
      <c r="B34" s="180" t="s">
        <v>659</v>
      </c>
      <c r="D34" s="180" t="s">
        <v>731</v>
      </c>
      <c r="E34" s="181">
        <v>45265</v>
      </c>
      <c r="F34" s="180" t="s">
        <v>736</v>
      </c>
      <c r="G34" s="180" t="s">
        <v>737</v>
      </c>
      <c r="H34" s="180" t="s">
        <v>738</v>
      </c>
      <c r="J34" s="180" t="s">
        <v>376</v>
      </c>
      <c r="L34" s="180">
        <v>16</v>
      </c>
      <c r="M34" s="180">
        <v>29.729700000000001</v>
      </c>
      <c r="N34" s="182">
        <v>475.68</v>
      </c>
      <c r="O34" s="182">
        <v>52.32</v>
      </c>
    </row>
    <row r="35" spans="1:15" hidden="1" x14ac:dyDescent="0.25">
      <c r="A35" s="180" t="s">
        <v>658</v>
      </c>
      <c r="B35" s="180" t="s">
        <v>659</v>
      </c>
      <c r="D35" s="180" t="s">
        <v>731</v>
      </c>
      <c r="E35" s="181">
        <v>45265</v>
      </c>
      <c r="F35" s="180" t="s">
        <v>669</v>
      </c>
      <c r="G35" s="180" t="s">
        <v>670</v>
      </c>
      <c r="H35" s="180" t="s">
        <v>671</v>
      </c>
      <c r="I35" s="180" t="s">
        <v>669</v>
      </c>
      <c r="J35" s="180" t="s">
        <v>376</v>
      </c>
      <c r="L35" s="180">
        <v>55.25</v>
      </c>
      <c r="M35" s="180">
        <v>36.036000000000001</v>
      </c>
      <c r="N35" s="182">
        <v>1990.99</v>
      </c>
      <c r="O35" s="182">
        <v>219.01</v>
      </c>
    </row>
    <row r="36" spans="1:15" hidden="1" x14ac:dyDescent="0.25">
      <c r="A36" s="180" t="s">
        <v>658</v>
      </c>
      <c r="B36" s="180" t="s">
        <v>659</v>
      </c>
      <c r="D36" s="180" t="s">
        <v>731</v>
      </c>
      <c r="E36" s="181">
        <v>45265</v>
      </c>
      <c r="F36" s="180" t="s">
        <v>739</v>
      </c>
      <c r="G36" s="180" t="s">
        <v>740</v>
      </c>
      <c r="H36" s="180" t="s">
        <v>741</v>
      </c>
      <c r="I36" s="180" t="s">
        <v>739</v>
      </c>
      <c r="J36" s="180" t="s">
        <v>376</v>
      </c>
      <c r="L36" s="180">
        <v>8</v>
      </c>
      <c r="M36" s="180">
        <v>36.036000000000001</v>
      </c>
      <c r="N36" s="182">
        <v>288.29000000000002</v>
      </c>
      <c r="O36" s="182">
        <v>31.71</v>
      </c>
    </row>
    <row r="37" spans="1:15" hidden="1" x14ac:dyDescent="0.25">
      <c r="A37" s="180" t="s">
        <v>658</v>
      </c>
      <c r="B37" s="180" t="s">
        <v>659</v>
      </c>
      <c r="D37" s="180" t="s">
        <v>731</v>
      </c>
      <c r="E37" s="181">
        <v>45265</v>
      </c>
      <c r="F37" s="180" t="s">
        <v>672</v>
      </c>
      <c r="G37" s="180" t="s">
        <v>673</v>
      </c>
      <c r="H37" s="180" t="s">
        <v>674</v>
      </c>
      <c r="I37" s="180" t="s">
        <v>672</v>
      </c>
      <c r="J37" s="180" t="s">
        <v>376</v>
      </c>
      <c r="L37" s="180">
        <v>34.25</v>
      </c>
      <c r="M37" s="180">
        <v>29.279199999999999</v>
      </c>
      <c r="N37" s="182">
        <v>1002.81</v>
      </c>
      <c r="O37" s="182">
        <v>110.31</v>
      </c>
    </row>
    <row r="38" spans="1:15" hidden="1" x14ac:dyDescent="0.25">
      <c r="A38" s="180" t="s">
        <v>658</v>
      </c>
      <c r="B38" s="180" t="s">
        <v>659</v>
      </c>
      <c r="D38" s="180" t="s">
        <v>731</v>
      </c>
      <c r="E38" s="181">
        <v>45265</v>
      </c>
      <c r="F38" s="180" t="s">
        <v>679</v>
      </c>
      <c r="G38" s="180" t="s">
        <v>680</v>
      </c>
      <c r="H38" s="180" t="s">
        <v>681</v>
      </c>
      <c r="I38" s="180" t="s">
        <v>682</v>
      </c>
      <c r="J38" s="180" t="s">
        <v>376</v>
      </c>
      <c r="L38" s="180">
        <v>65.75</v>
      </c>
      <c r="M38" s="180">
        <v>31.531500000000001</v>
      </c>
      <c r="N38" s="182">
        <v>2073.1999999999998</v>
      </c>
      <c r="O38" s="182">
        <v>228.05</v>
      </c>
    </row>
    <row r="39" spans="1:15" x14ac:dyDescent="0.25">
      <c r="A39" s="180" t="s">
        <v>658</v>
      </c>
      <c r="B39" s="180" t="s">
        <v>659</v>
      </c>
      <c r="D39" s="180" t="s">
        <v>731</v>
      </c>
      <c r="E39" s="181">
        <v>45265</v>
      </c>
      <c r="F39" s="180" t="s">
        <v>742</v>
      </c>
      <c r="G39" s="180" t="s">
        <v>743</v>
      </c>
      <c r="H39" s="180" t="s">
        <v>744</v>
      </c>
      <c r="J39" s="180" t="s">
        <v>712</v>
      </c>
      <c r="L39" s="180">
        <v>5.5</v>
      </c>
      <c r="M39" s="180">
        <v>40.540500000000002</v>
      </c>
      <c r="N39" s="182">
        <v>222.97</v>
      </c>
      <c r="O39" s="182">
        <v>24.53</v>
      </c>
    </row>
    <row r="40" spans="1:15" x14ac:dyDescent="0.25">
      <c r="A40" s="180" t="s">
        <v>658</v>
      </c>
      <c r="B40" s="180" t="s">
        <v>659</v>
      </c>
      <c r="D40" s="180" t="s">
        <v>731</v>
      </c>
      <c r="E40" s="181">
        <v>45265</v>
      </c>
      <c r="F40" s="180" t="s">
        <v>745</v>
      </c>
      <c r="G40" s="180" t="s">
        <v>746</v>
      </c>
      <c r="H40" s="180" t="s">
        <v>747</v>
      </c>
      <c r="J40" s="180" t="s">
        <v>712</v>
      </c>
      <c r="L40" s="180">
        <v>7</v>
      </c>
      <c r="M40" s="180">
        <v>54.054000000000002</v>
      </c>
      <c r="N40" s="182">
        <v>378.38</v>
      </c>
      <c r="O40" s="182">
        <v>41.62</v>
      </c>
    </row>
    <row r="41" spans="1:15" hidden="1" x14ac:dyDescent="0.25">
      <c r="A41" s="180" t="s">
        <v>658</v>
      </c>
      <c r="B41" s="180" t="s">
        <v>659</v>
      </c>
      <c r="D41" s="180" t="s">
        <v>731</v>
      </c>
      <c r="E41" s="181">
        <v>45265</v>
      </c>
      <c r="F41" s="180" t="s">
        <v>748</v>
      </c>
      <c r="G41" s="180" t="s">
        <v>749</v>
      </c>
      <c r="H41" s="180" t="s">
        <v>750</v>
      </c>
      <c r="I41" s="180" t="s">
        <v>751</v>
      </c>
      <c r="J41" s="180" t="s">
        <v>376</v>
      </c>
      <c r="L41" s="180">
        <v>48.5</v>
      </c>
      <c r="M41" s="180">
        <v>35.135100000000001</v>
      </c>
      <c r="N41" s="182">
        <v>1704.05</v>
      </c>
      <c r="O41" s="182">
        <v>187.45</v>
      </c>
    </row>
    <row r="42" spans="1:15" hidden="1" x14ac:dyDescent="0.25">
      <c r="A42" s="180" t="s">
        <v>658</v>
      </c>
      <c r="B42" s="180" t="s">
        <v>659</v>
      </c>
      <c r="D42" s="180" t="s">
        <v>731</v>
      </c>
      <c r="E42" s="181">
        <v>45265</v>
      </c>
      <c r="F42" s="180" t="s">
        <v>686</v>
      </c>
      <c r="G42" s="180" t="s">
        <v>684</v>
      </c>
      <c r="H42" s="180" t="s">
        <v>687</v>
      </c>
      <c r="J42" s="180" t="s">
        <v>376</v>
      </c>
      <c r="L42" s="180">
        <v>38</v>
      </c>
      <c r="M42" s="180">
        <v>29.729700000000001</v>
      </c>
      <c r="N42" s="182">
        <v>1129.73</v>
      </c>
      <c r="O42" s="182">
        <v>124.27</v>
      </c>
    </row>
    <row r="43" spans="1:15" x14ac:dyDescent="0.25">
      <c r="A43" s="180" t="s">
        <v>658</v>
      </c>
      <c r="B43" s="180" t="s">
        <v>659</v>
      </c>
      <c r="D43" s="180" t="s">
        <v>731</v>
      </c>
      <c r="E43" s="181">
        <v>45265</v>
      </c>
      <c r="F43" s="180" t="s">
        <v>708</v>
      </c>
      <c r="G43" s="180" t="s">
        <v>709</v>
      </c>
      <c r="H43" s="180" t="s">
        <v>710</v>
      </c>
      <c r="I43" s="180" t="s">
        <v>711</v>
      </c>
      <c r="J43" s="180" t="s">
        <v>712</v>
      </c>
      <c r="L43" s="180">
        <v>23.75</v>
      </c>
      <c r="M43" s="180">
        <v>32.432400000000001</v>
      </c>
      <c r="N43" s="182">
        <v>770.27</v>
      </c>
      <c r="O43" s="182">
        <v>84.73</v>
      </c>
    </row>
    <row r="44" spans="1:15" hidden="1" x14ac:dyDescent="0.25">
      <c r="A44" s="180" t="s">
        <v>658</v>
      </c>
      <c r="B44" s="180" t="s">
        <v>659</v>
      </c>
      <c r="D44" s="180" t="s">
        <v>731</v>
      </c>
      <c r="E44" s="181">
        <v>45265</v>
      </c>
      <c r="F44" s="180" t="s">
        <v>713</v>
      </c>
      <c r="G44" s="180" t="s">
        <v>714</v>
      </c>
      <c r="H44" s="180" t="s">
        <v>715</v>
      </c>
      <c r="I44" s="180" t="s">
        <v>716</v>
      </c>
      <c r="J44" s="180" t="s">
        <v>376</v>
      </c>
      <c r="L44" s="180">
        <v>39.25</v>
      </c>
      <c r="M44" s="180">
        <v>29.279199999999999</v>
      </c>
      <c r="N44" s="182">
        <v>1149.21</v>
      </c>
      <c r="O44" s="182">
        <v>126.41</v>
      </c>
    </row>
    <row r="45" spans="1:15" hidden="1" x14ac:dyDescent="0.25">
      <c r="A45" s="180" t="s">
        <v>658</v>
      </c>
      <c r="B45" s="180" t="s">
        <v>659</v>
      </c>
      <c r="D45" s="180" t="s">
        <v>731</v>
      </c>
      <c r="E45" s="181">
        <v>45265</v>
      </c>
      <c r="F45" s="180" t="s">
        <v>688</v>
      </c>
      <c r="G45" s="180" t="s">
        <v>689</v>
      </c>
      <c r="H45" s="180" t="s">
        <v>690</v>
      </c>
      <c r="I45" s="180" t="s">
        <v>691</v>
      </c>
      <c r="J45" s="180" t="s">
        <v>665</v>
      </c>
      <c r="L45" s="180">
        <v>9.5</v>
      </c>
      <c r="M45" s="180">
        <v>33.783799999999999</v>
      </c>
      <c r="N45" s="182">
        <v>320.95</v>
      </c>
      <c r="O45" s="182">
        <v>35.299999999999997</v>
      </c>
    </row>
    <row r="46" spans="1:15" hidden="1" x14ac:dyDescent="0.25">
      <c r="A46" s="180" t="s">
        <v>658</v>
      </c>
      <c r="B46" s="180" t="s">
        <v>659</v>
      </c>
      <c r="D46" s="180" t="s">
        <v>731</v>
      </c>
      <c r="E46" s="181">
        <v>45265</v>
      </c>
      <c r="F46" s="180" t="s">
        <v>752</v>
      </c>
      <c r="G46" s="180" t="s">
        <v>753</v>
      </c>
      <c r="H46" s="180" t="s">
        <v>754</v>
      </c>
      <c r="I46" s="180" t="s">
        <v>752</v>
      </c>
      <c r="J46" s="180" t="s">
        <v>376</v>
      </c>
      <c r="L46" s="180">
        <v>28</v>
      </c>
      <c r="M46" s="180">
        <v>29.279299999999999</v>
      </c>
      <c r="N46" s="182">
        <v>819.82</v>
      </c>
      <c r="O46" s="182">
        <v>90.18</v>
      </c>
    </row>
    <row r="47" spans="1:15" x14ac:dyDescent="0.25">
      <c r="A47" s="180" t="s">
        <v>658</v>
      </c>
      <c r="B47" s="180" t="s">
        <v>659</v>
      </c>
      <c r="D47" s="180" t="s">
        <v>731</v>
      </c>
      <c r="E47" s="181">
        <v>45265</v>
      </c>
      <c r="F47" s="180" t="s">
        <v>692</v>
      </c>
      <c r="G47" s="180" t="s">
        <v>693</v>
      </c>
      <c r="H47" s="180" t="s">
        <v>694</v>
      </c>
      <c r="I47" s="180" t="s">
        <v>692</v>
      </c>
      <c r="J47" s="180" t="s">
        <v>695</v>
      </c>
      <c r="L47" s="180">
        <v>22.25</v>
      </c>
      <c r="M47" s="180">
        <v>40.540500000000002</v>
      </c>
      <c r="N47" s="182">
        <v>902.03</v>
      </c>
      <c r="O47" s="182">
        <v>99.22</v>
      </c>
    </row>
    <row r="48" spans="1:15" hidden="1" x14ac:dyDescent="0.25">
      <c r="A48" s="180" t="s">
        <v>658</v>
      </c>
      <c r="B48" s="180" t="s">
        <v>659</v>
      </c>
      <c r="D48" s="180" t="s">
        <v>731</v>
      </c>
      <c r="E48" s="181">
        <v>45265</v>
      </c>
      <c r="F48" s="180" t="s">
        <v>720</v>
      </c>
      <c r="G48" s="180" t="s">
        <v>721</v>
      </c>
      <c r="H48" s="180" t="s">
        <v>722</v>
      </c>
      <c r="J48" s="180" t="s">
        <v>376</v>
      </c>
      <c r="L48" s="180">
        <v>40.5</v>
      </c>
      <c r="M48" s="180">
        <v>29.279299999999999</v>
      </c>
      <c r="N48" s="182">
        <v>1185.81</v>
      </c>
      <c r="O48" s="182">
        <v>130.44</v>
      </c>
    </row>
    <row r="49" spans="1:15" hidden="1" x14ac:dyDescent="0.25">
      <c r="A49" s="180" t="s">
        <v>658</v>
      </c>
      <c r="B49" s="180" t="s">
        <v>659</v>
      </c>
      <c r="D49" s="180" t="s">
        <v>731</v>
      </c>
      <c r="E49" s="181">
        <v>45265</v>
      </c>
      <c r="F49" s="180" t="s">
        <v>755</v>
      </c>
      <c r="G49" s="180" t="s">
        <v>756</v>
      </c>
      <c r="H49" s="180" t="s">
        <v>757</v>
      </c>
      <c r="I49" s="180" t="s">
        <v>755</v>
      </c>
      <c r="J49" s="180" t="s">
        <v>376</v>
      </c>
      <c r="L49" s="180">
        <v>43.25</v>
      </c>
      <c r="M49" s="180">
        <v>36.036000000000001</v>
      </c>
      <c r="N49" s="182">
        <v>1558.56</v>
      </c>
      <c r="O49" s="182">
        <v>171.44</v>
      </c>
    </row>
    <row r="50" spans="1:15" hidden="1" x14ac:dyDescent="0.25">
      <c r="A50" s="180" t="s">
        <v>658</v>
      </c>
      <c r="B50" s="180" t="s">
        <v>659</v>
      </c>
      <c r="D50" s="180" t="s">
        <v>731</v>
      </c>
      <c r="E50" s="181">
        <v>45265</v>
      </c>
      <c r="F50" s="180" t="s">
        <v>758</v>
      </c>
      <c r="G50" s="180" t="s">
        <v>759</v>
      </c>
      <c r="H50" s="180" t="s">
        <v>760</v>
      </c>
      <c r="I50" s="180" t="s">
        <v>758</v>
      </c>
      <c r="J50" s="180" t="s">
        <v>376</v>
      </c>
      <c r="L50" s="180">
        <v>25.5</v>
      </c>
      <c r="M50" s="180">
        <v>29.729700000000001</v>
      </c>
      <c r="N50" s="182">
        <v>758.11</v>
      </c>
      <c r="O50" s="182">
        <v>83.4</v>
      </c>
    </row>
    <row r="51" spans="1:15" hidden="1" x14ac:dyDescent="0.25">
      <c r="A51" s="180" t="s">
        <v>658</v>
      </c>
      <c r="B51" s="180" t="s">
        <v>659</v>
      </c>
      <c r="D51" s="180" t="s">
        <v>731</v>
      </c>
      <c r="E51" s="181">
        <v>45265</v>
      </c>
      <c r="F51" s="180" t="s">
        <v>761</v>
      </c>
      <c r="G51" s="180" t="s">
        <v>762</v>
      </c>
      <c r="H51" s="180" t="s">
        <v>763</v>
      </c>
      <c r="J51" s="180" t="s">
        <v>376</v>
      </c>
      <c r="L51" s="180">
        <v>47.5</v>
      </c>
      <c r="M51" s="180">
        <v>36.936900000000001</v>
      </c>
      <c r="N51" s="182">
        <v>1754.5</v>
      </c>
      <c r="O51" s="182">
        <v>193</v>
      </c>
    </row>
    <row r="52" spans="1:15" hidden="1" x14ac:dyDescent="0.25">
      <c r="A52" s="180" t="s">
        <v>658</v>
      </c>
      <c r="B52" s="180" t="s">
        <v>659</v>
      </c>
      <c r="D52" s="180" t="s">
        <v>731</v>
      </c>
      <c r="E52" s="181">
        <v>45265</v>
      </c>
      <c r="F52" s="180" t="s">
        <v>723</v>
      </c>
      <c r="G52" s="180" t="s">
        <v>724</v>
      </c>
      <c r="H52" s="180" t="s">
        <v>725</v>
      </c>
      <c r="I52" s="180" t="s">
        <v>726</v>
      </c>
      <c r="J52" s="180" t="s">
        <v>376</v>
      </c>
      <c r="L52" s="180">
        <v>12</v>
      </c>
      <c r="M52" s="180">
        <v>36.036000000000001</v>
      </c>
      <c r="N52" s="182">
        <v>432.43</v>
      </c>
      <c r="O52" s="182">
        <v>47.57</v>
      </c>
    </row>
    <row r="53" spans="1:15" hidden="1" x14ac:dyDescent="0.25">
      <c r="A53" s="180" t="s">
        <v>658</v>
      </c>
      <c r="B53" s="180" t="s">
        <v>659</v>
      </c>
      <c r="D53" s="180" t="s">
        <v>731</v>
      </c>
      <c r="E53" s="181">
        <v>45265</v>
      </c>
      <c r="F53" s="180" t="s">
        <v>764</v>
      </c>
      <c r="G53" s="180" t="s">
        <v>765</v>
      </c>
      <c r="H53" s="180" t="s">
        <v>766</v>
      </c>
      <c r="J53" s="180" t="s">
        <v>376</v>
      </c>
      <c r="L53" s="180">
        <v>14</v>
      </c>
      <c r="M53" s="180">
        <v>29.279199999999999</v>
      </c>
      <c r="N53" s="182">
        <v>409.91</v>
      </c>
      <c r="O53" s="182">
        <v>45.09</v>
      </c>
    </row>
    <row r="54" spans="1:15" hidden="1" x14ac:dyDescent="0.25">
      <c r="A54" s="180" t="s">
        <v>658</v>
      </c>
      <c r="B54" s="180" t="s">
        <v>659</v>
      </c>
      <c r="D54" s="180" t="s">
        <v>731</v>
      </c>
      <c r="E54" s="181">
        <v>45265</v>
      </c>
      <c r="F54" s="180" t="s">
        <v>767</v>
      </c>
      <c r="G54" s="180" t="s">
        <v>768</v>
      </c>
      <c r="H54" s="180" t="s">
        <v>769</v>
      </c>
      <c r="I54" s="180" t="s">
        <v>767</v>
      </c>
      <c r="J54" s="180" t="s">
        <v>376</v>
      </c>
      <c r="L54" s="180">
        <v>26.75</v>
      </c>
      <c r="M54" s="180">
        <v>31.531500000000001</v>
      </c>
      <c r="N54" s="182">
        <v>843.47</v>
      </c>
      <c r="O54" s="182">
        <v>92.78</v>
      </c>
    </row>
    <row r="55" spans="1:15" x14ac:dyDescent="0.25">
      <c r="A55" s="180" t="s">
        <v>658</v>
      </c>
      <c r="B55" s="180" t="s">
        <v>659</v>
      </c>
      <c r="D55" s="180" t="s">
        <v>731</v>
      </c>
      <c r="E55" s="181">
        <v>45265</v>
      </c>
      <c r="F55" s="180" t="s">
        <v>770</v>
      </c>
      <c r="G55" s="180" t="s">
        <v>771</v>
      </c>
      <c r="H55" s="180" t="s">
        <v>772</v>
      </c>
      <c r="I55" s="180" t="s">
        <v>770</v>
      </c>
      <c r="J55" s="180" t="s">
        <v>712</v>
      </c>
      <c r="L55" s="180">
        <v>64.5</v>
      </c>
      <c r="M55" s="180">
        <v>32.579099999999997</v>
      </c>
      <c r="N55" s="182">
        <v>2101.35</v>
      </c>
      <c r="O55" s="182">
        <v>231.15</v>
      </c>
    </row>
    <row r="56" spans="1:15" hidden="1" x14ac:dyDescent="0.25">
      <c r="A56" s="180" t="s">
        <v>658</v>
      </c>
      <c r="B56" s="180" t="s">
        <v>659</v>
      </c>
      <c r="D56" s="180" t="s">
        <v>731</v>
      </c>
      <c r="E56" s="181">
        <v>45265</v>
      </c>
      <c r="F56" s="180" t="s">
        <v>773</v>
      </c>
      <c r="G56" s="180" t="s">
        <v>774</v>
      </c>
      <c r="H56" s="180" t="s">
        <v>775</v>
      </c>
      <c r="J56" s="180" t="s">
        <v>376</v>
      </c>
      <c r="L56" s="180">
        <v>11.25</v>
      </c>
      <c r="M56" s="180">
        <v>29.729700000000001</v>
      </c>
      <c r="N56" s="182">
        <v>334.46</v>
      </c>
      <c r="O56" s="182">
        <v>36.79</v>
      </c>
    </row>
    <row r="57" spans="1:15" hidden="1" x14ac:dyDescent="0.25">
      <c r="A57" s="180" t="s">
        <v>658</v>
      </c>
      <c r="B57" s="180" t="s">
        <v>659</v>
      </c>
      <c r="D57" s="180" t="s">
        <v>776</v>
      </c>
      <c r="E57" s="181">
        <v>45279</v>
      </c>
      <c r="F57" s="180" t="s">
        <v>732</v>
      </c>
      <c r="G57" s="180" t="s">
        <v>733</v>
      </c>
      <c r="H57" s="180" t="s">
        <v>734</v>
      </c>
      <c r="I57" s="180" t="s">
        <v>735</v>
      </c>
      <c r="J57" s="180" t="s">
        <v>376</v>
      </c>
      <c r="L57" s="180">
        <v>84</v>
      </c>
      <c r="M57" s="180">
        <v>39.639600000000002</v>
      </c>
      <c r="N57" s="182">
        <v>3329.73</v>
      </c>
      <c r="O57" s="182">
        <v>366.27</v>
      </c>
    </row>
    <row r="58" spans="1:15" hidden="1" x14ac:dyDescent="0.25">
      <c r="A58" s="180" t="s">
        <v>658</v>
      </c>
      <c r="B58" s="180" t="s">
        <v>659</v>
      </c>
      <c r="D58" s="180" t="s">
        <v>776</v>
      </c>
      <c r="E58" s="181">
        <v>45279</v>
      </c>
      <c r="F58" s="180" t="s">
        <v>661</v>
      </c>
      <c r="G58" s="180" t="s">
        <v>662</v>
      </c>
      <c r="H58" s="180" t="s">
        <v>663</v>
      </c>
      <c r="I58" s="180" t="s">
        <v>664</v>
      </c>
      <c r="J58" s="180" t="s">
        <v>665</v>
      </c>
      <c r="L58" s="180">
        <v>8</v>
      </c>
      <c r="M58" s="180">
        <v>58.558500000000002</v>
      </c>
      <c r="N58" s="182">
        <v>468.47</v>
      </c>
      <c r="O58" s="182">
        <v>51.53</v>
      </c>
    </row>
    <row r="59" spans="1:15" hidden="1" x14ac:dyDescent="0.25">
      <c r="A59" s="180" t="s">
        <v>658</v>
      </c>
      <c r="B59" s="180" t="s">
        <v>659</v>
      </c>
      <c r="D59" s="180" t="s">
        <v>776</v>
      </c>
      <c r="E59" s="181">
        <v>45279</v>
      </c>
      <c r="F59" s="180" t="s">
        <v>777</v>
      </c>
      <c r="G59" s="180" t="s">
        <v>778</v>
      </c>
      <c r="H59" s="180" t="s">
        <v>779</v>
      </c>
      <c r="I59" s="180" t="s">
        <v>780</v>
      </c>
      <c r="J59" s="180" t="s">
        <v>376</v>
      </c>
      <c r="L59" s="180">
        <v>16</v>
      </c>
      <c r="M59" s="180">
        <v>36.936900000000001</v>
      </c>
      <c r="N59" s="182">
        <v>590.99</v>
      </c>
      <c r="O59" s="182">
        <v>65.010000000000005</v>
      </c>
    </row>
    <row r="60" spans="1:15" x14ac:dyDescent="0.25">
      <c r="A60" s="180" t="s">
        <v>658</v>
      </c>
      <c r="B60" s="180" t="s">
        <v>659</v>
      </c>
      <c r="D60" s="180" t="s">
        <v>776</v>
      </c>
      <c r="E60" s="181">
        <v>45279</v>
      </c>
      <c r="F60" s="180" t="s">
        <v>781</v>
      </c>
      <c r="G60" s="180" t="s">
        <v>782</v>
      </c>
      <c r="H60" s="180" t="s">
        <v>783</v>
      </c>
      <c r="J60" s="180" t="s">
        <v>712</v>
      </c>
      <c r="L60" s="180">
        <v>16.25</v>
      </c>
      <c r="M60" s="180">
        <v>49.549500000000002</v>
      </c>
      <c r="N60" s="182">
        <v>805.18</v>
      </c>
      <c r="O60" s="182">
        <v>88.57</v>
      </c>
    </row>
    <row r="61" spans="1:15" hidden="1" x14ac:dyDescent="0.25">
      <c r="A61" s="180" t="s">
        <v>658</v>
      </c>
      <c r="B61" s="180" t="s">
        <v>659</v>
      </c>
      <c r="D61" s="180" t="s">
        <v>776</v>
      </c>
      <c r="E61" s="181">
        <v>45279</v>
      </c>
      <c r="F61" s="180" t="s">
        <v>669</v>
      </c>
      <c r="G61" s="180" t="s">
        <v>670</v>
      </c>
      <c r="H61" s="180" t="s">
        <v>671</v>
      </c>
      <c r="I61" s="180" t="s">
        <v>669</v>
      </c>
      <c r="J61" s="180" t="s">
        <v>376</v>
      </c>
      <c r="L61" s="180">
        <v>6.75</v>
      </c>
      <c r="M61" s="180">
        <v>36.036000000000001</v>
      </c>
      <c r="N61" s="182">
        <v>243.24</v>
      </c>
      <c r="O61" s="182">
        <v>26.76</v>
      </c>
    </row>
    <row r="62" spans="1:15" hidden="1" x14ac:dyDescent="0.25">
      <c r="A62" s="180" t="s">
        <v>658</v>
      </c>
      <c r="B62" s="180" t="s">
        <v>659</v>
      </c>
      <c r="D62" s="180" t="s">
        <v>776</v>
      </c>
      <c r="E62" s="181">
        <v>45279</v>
      </c>
      <c r="F62" s="180" t="s">
        <v>672</v>
      </c>
      <c r="G62" s="180" t="s">
        <v>673</v>
      </c>
      <c r="H62" s="180" t="s">
        <v>674</v>
      </c>
      <c r="I62" s="180" t="s">
        <v>672</v>
      </c>
      <c r="J62" s="180" t="s">
        <v>376</v>
      </c>
      <c r="L62" s="180">
        <v>4</v>
      </c>
      <c r="M62" s="180">
        <v>29.279199999999999</v>
      </c>
      <c r="N62" s="182">
        <v>117.12</v>
      </c>
      <c r="O62" s="182">
        <v>12.88</v>
      </c>
    </row>
    <row r="63" spans="1:15" hidden="1" x14ac:dyDescent="0.25">
      <c r="A63" s="180" t="s">
        <v>658</v>
      </c>
      <c r="B63" s="180" t="s">
        <v>659</v>
      </c>
      <c r="D63" s="180" t="s">
        <v>776</v>
      </c>
      <c r="E63" s="181">
        <v>45279</v>
      </c>
      <c r="F63" s="180" t="s">
        <v>679</v>
      </c>
      <c r="G63" s="180" t="s">
        <v>680</v>
      </c>
      <c r="H63" s="180" t="s">
        <v>681</v>
      </c>
      <c r="I63" s="180" t="s">
        <v>682</v>
      </c>
      <c r="J63" s="180" t="s">
        <v>376</v>
      </c>
      <c r="L63" s="180">
        <v>60</v>
      </c>
      <c r="M63" s="180">
        <v>31.531500000000001</v>
      </c>
      <c r="N63" s="182">
        <v>1891.89</v>
      </c>
      <c r="O63" s="182">
        <v>208.11</v>
      </c>
    </row>
    <row r="64" spans="1:15" x14ac:dyDescent="0.25">
      <c r="A64" s="180" t="s">
        <v>658</v>
      </c>
      <c r="B64" s="180" t="s">
        <v>659</v>
      </c>
      <c r="D64" s="180" t="s">
        <v>776</v>
      </c>
      <c r="E64" s="181">
        <v>45279</v>
      </c>
      <c r="F64" s="180" t="s">
        <v>708</v>
      </c>
      <c r="G64" s="180" t="s">
        <v>709</v>
      </c>
      <c r="H64" s="180" t="s">
        <v>710</v>
      </c>
      <c r="I64" s="180" t="s">
        <v>711</v>
      </c>
      <c r="J64" s="180" t="s">
        <v>712</v>
      </c>
      <c r="L64" s="180">
        <v>16.5</v>
      </c>
      <c r="M64" s="180">
        <v>32.432400000000001</v>
      </c>
      <c r="N64" s="182">
        <v>535.13</v>
      </c>
      <c r="O64" s="182">
        <v>58.86</v>
      </c>
    </row>
    <row r="65" spans="1:15" hidden="1" x14ac:dyDescent="0.25">
      <c r="A65" s="180" t="s">
        <v>658</v>
      </c>
      <c r="B65" s="180" t="s">
        <v>659</v>
      </c>
      <c r="D65" s="180" t="s">
        <v>776</v>
      </c>
      <c r="E65" s="181">
        <v>45279</v>
      </c>
      <c r="F65" s="180" t="s">
        <v>713</v>
      </c>
      <c r="G65" s="180" t="s">
        <v>714</v>
      </c>
      <c r="H65" s="180" t="s">
        <v>715</v>
      </c>
      <c r="I65" s="180" t="s">
        <v>716</v>
      </c>
      <c r="J65" s="180" t="s">
        <v>376</v>
      </c>
      <c r="L65" s="180">
        <v>32.25</v>
      </c>
      <c r="M65" s="180">
        <v>29.279199999999999</v>
      </c>
      <c r="N65" s="182">
        <v>944.25</v>
      </c>
      <c r="O65" s="182">
        <v>103.87</v>
      </c>
    </row>
    <row r="66" spans="1:15" hidden="1" x14ac:dyDescent="0.25">
      <c r="A66" s="180" t="s">
        <v>658</v>
      </c>
      <c r="B66" s="180" t="s">
        <v>659</v>
      </c>
      <c r="D66" s="180" t="s">
        <v>776</v>
      </c>
      <c r="E66" s="181">
        <v>45279</v>
      </c>
      <c r="F66" s="180" t="s">
        <v>688</v>
      </c>
      <c r="G66" s="180" t="s">
        <v>689</v>
      </c>
      <c r="H66" s="180" t="s">
        <v>690</v>
      </c>
      <c r="I66" s="180" t="s">
        <v>691</v>
      </c>
      <c r="J66" s="180" t="s">
        <v>665</v>
      </c>
      <c r="L66" s="180">
        <v>16.25</v>
      </c>
      <c r="M66" s="180">
        <v>33.783799999999999</v>
      </c>
      <c r="N66" s="182">
        <v>548.99</v>
      </c>
      <c r="O66" s="182">
        <v>60.39</v>
      </c>
    </row>
    <row r="67" spans="1:15" hidden="1" x14ac:dyDescent="0.25">
      <c r="A67" s="180" t="s">
        <v>658</v>
      </c>
      <c r="B67" s="180" t="s">
        <v>659</v>
      </c>
      <c r="D67" s="180" t="s">
        <v>776</v>
      </c>
      <c r="E67" s="181">
        <v>45279</v>
      </c>
      <c r="F67" s="180" t="s">
        <v>752</v>
      </c>
      <c r="G67" s="180" t="s">
        <v>753</v>
      </c>
      <c r="H67" s="180" t="s">
        <v>754</v>
      </c>
      <c r="I67" s="180" t="s">
        <v>752</v>
      </c>
      <c r="J67" s="180" t="s">
        <v>376</v>
      </c>
      <c r="L67" s="180">
        <v>41.25</v>
      </c>
      <c r="M67" s="180">
        <v>29.279299999999999</v>
      </c>
      <c r="N67" s="182">
        <v>1207.77</v>
      </c>
      <c r="O67" s="182">
        <v>132.85</v>
      </c>
    </row>
    <row r="68" spans="1:15" x14ac:dyDescent="0.25">
      <c r="A68" s="180" t="s">
        <v>658</v>
      </c>
      <c r="B68" s="180" t="s">
        <v>659</v>
      </c>
      <c r="D68" s="180" t="s">
        <v>776</v>
      </c>
      <c r="E68" s="181">
        <v>45279</v>
      </c>
      <c r="F68" s="180" t="s">
        <v>692</v>
      </c>
      <c r="G68" s="180" t="s">
        <v>693</v>
      </c>
      <c r="H68" s="180" t="s">
        <v>694</v>
      </c>
      <c r="I68" s="180" t="s">
        <v>692</v>
      </c>
      <c r="J68" s="180" t="s">
        <v>695</v>
      </c>
      <c r="L68" s="180">
        <v>17.75</v>
      </c>
      <c r="M68" s="180">
        <v>40.540500000000002</v>
      </c>
      <c r="N68" s="182">
        <v>719.59</v>
      </c>
      <c r="O68" s="182">
        <v>79.16</v>
      </c>
    </row>
    <row r="69" spans="1:15" hidden="1" x14ac:dyDescent="0.25">
      <c r="A69" s="180" t="s">
        <v>658</v>
      </c>
      <c r="B69" s="180" t="s">
        <v>659</v>
      </c>
      <c r="D69" s="180" t="s">
        <v>776</v>
      </c>
      <c r="E69" s="181">
        <v>45279</v>
      </c>
      <c r="F69" s="180" t="s">
        <v>720</v>
      </c>
      <c r="G69" s="180" t="s">
        <v>721</v>
      </c>
      <c r="H69" s="180" t="s">
        <v>722</v>
      </c>
      <c r="J69" s="180" t="s">
        <v>376</v>
      </c>
      <c r="L69" s="180">
        <v>32</v>
      </c>
      <c r="M69" s="180">
        <v>29.279299999999999</v>
      </c>
      <c r="N69" s="182">
        <v>936.94</v>
      </c>
      <c r="O69" s="182">
        <v>103.06</v>
      </c>
    </row>
    <row r="70" spans="1:15" hidden="1" x14ac:dyDescent="0.25">
      <c r="A70" s="180" t="s">
        <v>658</v>
      </c>
      <c r="B70" s="180" t="s">
        <v>659</v>
      </c>
      <c r="D70" s="180" t="s">
        <v>776</v>
      </c>
      <c r="E70" s="181">
        <v>45279</v>
      </c>
      <c r="F70" s="180" t="s">
        <v>755</v>
      </c>
      <c r="G70" s="180" t="s">
        <v>756</v>
      </c>
      <c r="H70" s="180" t="s">
        <v>757</v>
      </c>
      <c r="I70" s="180" t="s">
        <v>755</v>
      </c>
      <c r="J70" s="180" t="s">
        <v>376</v>
      </c>
      <c r="L70" s="180">
        <v>5.5</v>
      </c>
      <c r="M70" s="180">
        <v>36.036000000000001</v>
      </c>
      <c r="N70" s="182">
        <v>198.2</v>
      </c>
      <c r="O70" s="182">
        <v>21.8</v>
      </c>
    </row>
    <row r="71" spans="1:15" hidden="1" x14ac:dyDescent="0.25">
      <c r="A71" s="180" t="s">
        <v>658</v>
      </c>
      <c r="B71" s="180" t="s">
        <v>659</v>
      </c>
      <c r="D71" s="180" t="s">
        <v>776</v>
      </c>
      <c r="E71" s="181">
        <v>45279</v>
      </c>
      <c r="F71" s="180" t="s">
        <v>758</v>
      </c>
      <c r="G71" s="180" t="s">
        <v>759</v>
      </c>
      <c r="H71" s="180" t="s">
        <v>760</v>
      </c>
      <c r="I71" s="180" t="s">
        <v>758</v>
      </c>
      <c r="J71" s="180" t="s">
        <v>376</v>
      </c>
      <c r="L71" s="180">
        <v>8.5</v>
      </c>
      <c r="M71" s="180">
        <v>29.729700000000001</v>
      </c>
      <c r="N71" s="182">
        <v>252.7</v>
      </c>
      <c r="O71" s="182">
        <v>27.8</v>
      </c>
    </row>
    <row r="72" spans="1:15" hidden="1" x14ac:dyDescent="0.25">
      <c r="A72" s="180" t="s">
        <v>658</v>
      </c>
      <c r="B72" s="180" t="s">
        <v>659</v>
      </c>
      <c r="D72" s="180" t="s">
        <v>776</v>
      </c>
      <c r="E72" s="181">
        <v>45279</v>
      </c>
      <c r="F72" s="180" t="s">
        <v>699</v>
      </c>
      <c r="G72" s="180" t="s">
        <v>700</v>
      </c>
      <c r="H72" s="180" t="s">
        <v>701</v>
      </c>
      <c r="I72" s="180" t="s">
        <v>702</v>
      </c>
      <c r="J72" s="180" t="s">
        <v>376</v>
      </c>
      <c r="L72" s="180">
        <v>4</v>
      </c>
      <c r="M72" s="180">
        <v>29.279199999999999</v>
      </c>
      <c r="N72" s="182">
        <v>117.12</v>
      </c>
      <c r="O72" s="182">
        <v>12.88</v>
      </c>
    </row>
    <row r="73" spans="1:15" hidden="1" x14ac:dyDescent="0.25">
      <c r="A73" s="180" t="s">
        <v>658</v>
      </c>
      <c r="B73" s="180" t="s">
        <v>659</v>
      </c>
      <c r="D73" s="180" t="s">
        <v>776</v>
      </c>
      <c r="E73" s="181">
        <v>45279</v>
      </c>
      <c r="F73" s="180" t="s">
        <v>723</v>
      </c>
      <c r="G73" s="180" t="s">
        <v>724</v>
      </c>
      <c r="H73" s="180" t="s">
        <v>725</v>
      </c>
      <c r="I73" s="180" t="s">
        <v>726</v>
      </c>
      <c r="J73" s="180" t="s">
        <v>376</v>
      </c>
      <c r="L73" s="180">
        <v>18.5</v>
      </c>
      <c r="M73" s="180">
        <v>36.036000000000001</v>
      </c>
      <c r="N73" s="182">
        <v>666.67</v>
      </c>
      <c r="O73" s="182">
        <v>73.33</v>
      </c>
    </row>
    <row r="74" spans="1:15" hidden="1" x14ac:dyDescent="0.25">
      <c r="A74" s="180" t="s">
        <v>658</v>
      </c>
      <c r="B74" s="180" t="s">
        <v>659</v>
      </c>
      <c r="D74" s="180" t="s">
        <v>776</v>
      </c>
      <c r="E74" s="181">
        <v>45279</v>
      </c>
      <c r="F74" s="180" t="s">
        <v>764</v>
      </c>
      <c r="G74" s="180" t="s">
        <v>765</v>
      </c>
      <c r="H74" s="180" t="s">
        <v>766</v>
      </c>
      <c r="J74" s="180" t="s">
        <v>376</v>
      </c>
      <c r="L74" s="180">
        <v>8</v>
      </c>
      <c r="M74" s="180">
        <v>29.279199999999999</v>
      </c>
      <c r="N74" s="182">
        <v>234.23</v>
      </c>
      <c r="O74" s="182">
        <v>25.77</v>
      </c>
    </row>
    <row r="75" spans="1:15" hidden="1" x14ac:dyDescent="0.25">
      <c r="A75" s="180" t="s">
        <v>658</v>
      </c>
      <c r="B75" s="180" t="s">
        <v>659</v>
      </c>
      <c r="D75" s="180" t="s">
        <v>776</v>
      </c>
      <c r="E75" s="181">
        <v>45279</v>
      </c>
      <c r="F75" s="180" t="s">
        <v>767</v>
      </c>
      <c r="G75" s="180" t="s">
        <v>768</v>
      </c>
      <c r="H75" s="180" t="s">
        <v>769</v>
      </c>
      <c r="I75" s="180" t="s">
        <v>767</v>
      </c>
      <c r="J75" s="180" t="s">
        <v>376</v>
      </c>
      <c r="L75" s="180">
        <v>37</v>
      </c>
      <c r="M75" s="180">
        <v>31.531500000000001</v>
      </c>
      <c r="N75" s="182">
        <v>1166.67</v>
      </c>
      <c r="O75" s="182">
        <v>128.33000000000001</v>
      </c>
    </row>
    <row r="76" spans="1:15" x14ac:dyDescent="0.25">
      <c r="A76" s="180" t="s">
        <v>658</v>
      </c>
      <c r="B76" s="180" t="s">
        <v>659</v>
      </c>
      <c r="D76" s="180" t="s">
        <v>776</v>
      </c>
      <c r="E76" s="181">
        <v>45279</v>
      </c>
      <c r="F76" s="180" t="s">
        <v>770</v>
      </c>
      <c r="G76" s="180" t="s">
        <v>771</v>
      </c>
      <c r="H76" s="180" t="s">
        <v>772</v>
      </c>
      <c r="I76" s="180" t="s">
        <v>770</v>
      </c>
      <c r="J76" s="180" t="s">
        <v>712</v>
      </c>
      <c r="L76" s="180">
        <v>29.25</v>
      </c>
      <c r="M76" s="180">
        <v>32.579099999999997</v>
      </c>
      <c r="N76" s="182">
        <v>952.94</v>
      </c>
      <c r="O76" s="182">
        <v>104.82</v>
      </c>
    </row>
    <row r="77" spans="1:15" hidden="1" x14ac:dyDescent="0.25">
      <c r="A77" s="180" t="s">
        <v>658</v>
      </c>
      <c r="B77" s="180" t="s">
        <v>659</v>
      </c>
      <c r="D77" s="180" t="s">
        <v>776</v>
      </c>
      <c r="E77" s="181">
        <v>45279</v>
      </c>
      <c r="F77" s="180" t="s">
        <v>703</v>
      </c>
      <c r="G77" s="180" t="s">
        <v>704</v>
      </c>
      <c r="H77" s="180" t="s">
        <v>705</v>
      </c>
      <c r="I77" s="180" t="s">
        <v>706</v>
      </c>
      <c r="J77" s="180" t="s">
        <v>376</v>
      </c>
      <c r="L77" s="180">
        <v>5</v>
      </c>
      <c r="M77" s="180">
        <v>29.279199999999999</v>
      </c>
      <c r="N77" s="182">
        <v>146.4</v>
      </c>
      <c r="O77" s="182">
        <v>16.100000000000001</v>
      </c>
    </row>
    <row r="78" spans="1:15" hidden="1" x14ac:dyDescent="0.25">
      <c r="A78" s="180" t="s">
        <v>658</v>
      </c>
      <c r="B78" s="180" t="s">
        <v>659</v>
      </c>
      <c r="D78" s="180" t="s">
        <v>784</v>
      </c>
      <c r="E78" s="181">
        <v>45349</v>
      </c>
      <c r="F78" s="180" t="s">
        <v>732</v>
      </c>
      <c r="G78" s="180" t="s">
        <v>733</v>
      </c>
      <c r="H78" s="180" t="s">
        <v>734</v>
      </c>
      <c r="I78" s="180" t="s">
        <v>735</v>
      </c>
      <c r="J78" s="180" t="s">
        <v>376</v>
      </c>
      <c r="L78" s="180">
        <v>16</v>
      </c>
      <c r="M78" s="180">
        <v>39.639600000000002</v>
      </c>
      <c r="N78" s="182">
        <v>634.23</v>
      </c>
      <c r="O78" s="182">
        <v>69.77</v>
      </c>
    </row>
    <row r="79" spans="1:15" hidden="1" x14ac:dyDescent="0.25">
      <c r="A79" s="180" t="s">
        <v>658</v>
      </c>
      <c r="B79" s="180" t="s">
        <v>659</v>
      </c>
      <c r="D79" s="180" t="s">
        <v>784</v>
      </c>
      <c r="E79" s="181">
        <v>45349</v>
      </c>
      <c r="F79" s="180" t="s">
        <v>661</v>
      </c>
      <c r="G79" s="180" t="s">
        <v>662</v>
      </c>
      <c r="H79" s="180" t="s">
        <v>663</v>
      </c>
      <c r="I79" s="180" t="s">
        <v>664</v>
      </c>
      <c r="J79" s="180" t="s">
        <v>665</v>
      </c>
      <c r="L79" s="180">
        <v>19.25</v>
      </c>
      <c r="M79" s="180">
        <v>58.558500000000002</v>
      </c>
      <c r="N79" s="182">
        <v>1127.25</v>
      </c>
      <c r="O79" s="182">
        <v>124</v>
      </c>
    </row>
    <row r="80" spans="1:15" hidden="1" x14ac:dyDescent="0.25">
      <c r="A80" s="180" t="s">
        <v>658</v>
      </c>
      <c r="B80" s="180" t="s">
        <v>659</v>
      </c>
      <c r="D80" s="180" t="s">
        <v>784</v>
      </c>
      <c r="E80" s="181">
        <v>45349</v>
      </c>
      <c r="F80" s="180" t="s">
        <v>777</v>
      </c>
      <c r="G80" s="180" t="s">
        <v>778</v>
      </c>
      <c r="H80" s="180" t="s">
        <v>779</v>
      </c>
      <c r="I80" s="180" t="s">
        <v>780</v>
      </c>
      <c r="J80" s="180" t="s">
        <v>376</v>
      </c>
      <c r="L80" s="180">
        <v>32</v>
      </c>
      <c r="M80" s="180">
        <v>36.936900000000001</v>
      </c>
      <c r="N80" s="182">
        <v>1181.98</v>
      </c>
      <c r="O80" s="182">
        <v>130.02000000000001</v>
      </c>
    </row>
    <row r="81" spans="1:15" x14ac:dyDescent="0.25">
      <c r="A81" s="180" t="s">
        <v>658</v>
      </c>
      <c r="B81" s="180" t="s">
        <v>659</v>
      </c>
      <c r="D81" s="180" t="s">
        <v>784</v>
      </c>
      <c r="E81" s="181">
        <v>45349</v>
      </c>
      <c r="F81" s="180" t="s">
        <v>781</v>
      </c>
      <c r="G81" s="180" t="s">
        <v>782</v>
      </c>
      <c r="H81" s="180" t="s">
        <v>783</v>
      </c>
      <c r="J81" s="180" t="s">
        <v>712</v>
      </c>
      <c r="L81" s="180">
        <v>17.5</v>
      </c>
      <c r="M81" s="180">
        <v>49.549500000000002</v>
      </c>
      <c r="N81" s="182">
        <v>867.12</v>
      </c>
      <c r="O81" s="182">
        <v>95.38</v>
      </c>
    </row>
    <row r="82" spans="1:15" hidden="1" x14ac:dyDescent="0.25">
      <c r="A82" s="180" t="s">
        <v>658</v>
      </c>
      <c r="B82" s="180" t="s">
        <v>659</v>
      </c>
      <c r="D82" s="180" t="s">
        <v>784</v>
      </c>
      <c r="E82" s="181">
        <v>45349</v>
      </c>
      <c r="F82" s="180" t="s">
        <v>739</v>
      </c>
      <c r="G82" s="180" t="s">
        <v>740</v>
      </c>
      <c r="H82" s="180" t="s">
        <v>741</v>
      </c>
      <c r="I82" s="180" t="s">
        <v>739</v>
      </c>
      <c r="J82" s="180" t="s">
        <v>376</v>
      </c>
      <c r="L82" s="180">
        <v>24.25</v>
      </c>
      <c r="M82" s="180">
        <v>36.036000000000001</v>
      </c>
      <c r="N82" s="182">
        <v>873.87</v>
      </c>
      <c r="O82" s="182">
        <v>96.13</v>
      </c>
    </row>
    <row r="83" spans="1:15" hidden="1" x14ac:dyDescent="0.25">
      <c r="A83" s="180" t="s">
        <v>658</v>
      </c>
      <c r="B83" s="180" t="s">
        <v>659</v>
      </c>
      <c r="D83" s="180" t="s">
        <v>784</v>
      </c>
      <c r="E83" s="181">
        <v>45349</v>
      </c>
      <c r="F83" s="180" t="s">
        <v>672</v>
      </c>
      <c r="G83" s="180" t="s">
        <v>673</v>
      </c>
      <c r="H83" s="180" t="s">
        <v>674</v>
      </c>
      <c r="I83" s="180" t="s">
        <v>672</v>
      </c>
      <c r="J83" s="180" t="s">
        <v>376</v>
      </c>
      <c r="L83" s="180">
        <v>28.75</v>
      </c>
      <c r="M83" s="180">
        <v>29.279199999999999</v>
      </c>
      <c r="N83" s="182">
        <v>841.78</v>
      </c>
      <c r="O83" s="182">
        <v>92.6</v>
      </c>
    </row>
    <row r="84" spans="1:15" x14ac:dyDescent="0.25">
      <c r="A84" s="180" t="s">
        <v>658</v>
      </c>
      <c r="B84" s="180" t="s">
        <v>659</v>
      </c>
      <c r="D84" s="180" t="s">
        <v>784</v>
      </c>
      <c r="E84" s="181">
        <v>45349</v>
      </c>
      <c r="F84" s="180" t="s">
        <v>742</v>
      </c>
      <c r="G84" s="180" t="s">
        <v>743</v>
      </c>
      <c r="H84" s="180" t="s">
        <v>744</v>
      </c>
      <c r="J84" s="180" t="s">
        <v>712</v>
      </c>
      <c r="L84" s="180">
        <v>17.5</v>
      </c>
      <c r="M84" s="180">
        <v>40.540500000000002</v>
      </c>
      <c r="N84" s="182">
        <v>709.46</v>
      </c>
      <c r="O84" s="182">
        <v>78.040000000000006</v>
      </c>
    </row>
    <row r="85" spans="1:15" x14ac:dyDescent="0.25">
      <c r="A85" s="180" t="s">
        <v>658</v>
      </c>
      <c r="B85" s="180" t="s">
        <v>659</v>
      </c>
      <c r="D85" s="180" t="s">
        <v>784</v>
      </c>
      <c r="E85" s="181">
        <v>45349</v>
      </c>
      <c r="F85" s="180" t="s">
        <v>745</v>
      </c>
      <c r="G85" s="180" t="s">
        <v>746</v>
      </c>
      <c r="H85" s="180" t="s">
        <v>747</v>
      </c>
      <c r="J85" s="180" t="s">
        <v>712</v>
      </c>
      <c r="L85" s="180">
        <v>32</v>
      </c>
      <c r="M85" s="180">
        <v>54.054000000000002</v>
      </c>
      <c r="N85" s="182">
        <v>1729.73</v>
      </c>
      <c r="O85" s="182">
        <v>190.27</v>
      </c>
    </row>
    <row r="86" spans="1:15" x14ac:dyDescent="0.25">
      <c r="A86" s="180" t="s">
        <v>658</v>
      </c>
      <c r="B86" s="180" t="s">
        <v>659</v>
      </c>
      <c r="D86" s="180" t="s">
        <v>784</v>
      </c>
      <c r="E86" s="181">
        <v>45349</v>
      </c>
      <c r="F86" s="180" t="s">
        <v>785</v>
      </c>
      <c r="G86" s="180" t="s">
        <v>786</v>
      </c>
      <c r="H86" s="180" t="s">
        <v>787</v>
      </c>
      <c r="J86" s="180" t="s">
        <v>712</v>
      </c>
      <c r="L86" s="180">
        <v>8</v>
      </c>
      <c r="M86" s="180">
        <v>58.558500000000002</v>
      </c>
      <c r="N86" s="182">
        <v>468.47</v>
      </c>
      <c r="O86" s="182">
        <v>51.53</v>
      </c>
    </row>
    <row r="87" spans="1:15" x14ac:dyDescent="0.25">
      <c r="A87" s="180" t="s">
        <v>658</v>
      </c>
      <c r="B87" s="180" t="s">
        <v>659</v>
      </c>
      <c r="D87" s="180" t="s">
        <v>784</v>
      </c>
      <c r="E87" s="181">
        <v>45349</v>
      </c>
      <c r="F87" s="180" t="s">
        <v>708</v>
      </c>
      <c r="G87" s="180" t="s">
        <v>709</v>
      </c>
      <c r="H87" s="180" t="s">
        <v>710</v>
      </c>
      <c r="I87" s="180" t="s">
        <v>711</v>
      </c>
      <c r="J87" s="180" t="s">
        <v>712</v>
      </c>
      <c r="L87" s="180">
        <v>8.5</v>
      </c>
      <c r="M87" s="180">
        <v>32.432400000000001</v>
      </c>
      <c r="N87" s="182">
        <v>275.68</v>
      </c>
      <c r="O87" s="182">
        <v>30.32</v>
      </c>
    </row>
    <row r="88" spans="1:15" hidden="1" x14ac:dyDescent="0.25">
      <c r="A88" s="180" t="s">
        <v>658</v>
      </c>
      <c r="B88" s="180" t="s">
        <v>659</v>
      </c>
      <c r="D88" s="180" t="s">
        <v>784</v>
      </c>
      <c r="E88" s="181">
        <v>45349</v>
      </c>
      <c r="F88" s="180" t="s">
        <v>688</v>
      </c>
      <c r="G88" s="180" t="s">
        <v>689</v>
      </c>
      <c r="H88" s="180" t="s">
        <v>690</v>
      </c>
      <c r="I88" s="180" t="s">
        <v>691</v>
      </c>
      <c r="J88" s="180" t="s">
        <v>665</v>
      </c>
      <c r="L88" s="180">
        <v>16.5</v>
      </c>
      <c r="M88" s="180">
        <v>36.036000000000001</v>
      </c>
      <c r="N88" s="182">
        <v>594.59</v>
      </c>
      <c r="O88" s="182">
        <v>65.41</v>
      </c>
    </row>
    <row r="89" spans="1:15" hidden="1" x14ac:dyDescent="0.25">
      <c r="A89" s="180" t="s">
        <v>658</v>
      </c>
      <c r="B89" s="180" t="s">
        <v>659</v>
      </c>
      <c r="D89" s="180" t="s">
        <v>784</v>
      </c>
      <c r="E89" s="181">
        <v>45349</v>
      </c>
      <c r="F89" s="180" t="s">
        <v>752</v>
      </c>
      <c r="G89" s="180" t="s">
        <v>753</v>
      </c>
      <c r="H89" s="180" t="s">
        <v>754</v>
      </c>
      <c r="I89" s="180" t="s">
        <v>752</v>
      </c>
      <c r="J89" s="180" t="s">
        <v>376</v>
      </c>
      <c r="L89" s="180">
        <v>8</v>
      </c>
      <c r="M89" s="180">
        <v>29.279299999999999</v>
      </c>
      <c r="N89" s="182">
        <v>234.23</v>
      </c>
      <c r="O89" s="182">
        <v>25.77</v>
      </c>
    </row>
    <row r="90" spans="1:15" x14ac:dyDescent="0.25">
      <c r="A90" s="180" t="s">
        <v>658</v>
      </c>
      <c r="B90" s="180" t="s">
        <v>659</v>
      </c>
      <c r="D90" s="180" t="s">
        <v>784</v>
      </c>
      <c r="E90" s="181">
        <v>45349</v>
      </c>
      <c r="F90" s="180" t="s">
        <v>692</v>
      </c>
      <c r="G90" s="180" t="s">
        <v>693</v>
      </c>
      <c r="H90" s="180" t="s">
        <v>694</v>
      </c>
      <c r="I90" s="180" t="s">
        <v>692</v>
      </c>
      <c r="J90" s="180" t="s">
        <v>695</v>
      </c>
      <c r="L90" s="180">
        <v>16</v>
      </c>
      <c r="M90" s="180">
        <v>40.540500000000002</v>
      </c>
      <c r="N90" s="182">
        <v>648.65</v>
      </c>
      <c r="O90" s="182">
        <v>71.349999999999994</v>
      </c>
    </row>
    <row r="91" spans="1:15" hidden="1" x14ac:dyDescent="0.25">
      <c r="A91" s="180" t="s">
        <v>658</v>
      </c>
      <c r="B91" s="180" t="s">
        <v>659</v>
      </c>
      <c r="D91" s="180" t="s">
        <v>784</v>
      </c>
      <c r="E91" s="181">
        <v>45349</v>
      </c>
      <c r="F91" s="180" t="s">
        <v>720</v>
      </c>
      <c r="G91" s="180" t="s">
        <v>721</v>
      </c>
      <c r="H91" s="180" t="s">
        <v>722</v>
      </c>
      <c r="J91" s="180" t="s">
        <v>376</v>
      </c>
      <c r="L91" s="180">
        <v>42.25</v>
      </c>
      <c r="M91" s="180">
        <v>29.279299999999999</v>
      </c>
      <c r="N91" s="182">
        <v>1237.05</v>
      </c>
      <c r="O91" s="182">
        <v>136.08000000000001</v>
      </c>
    </row>
    <row r="92" spans="1:15" hidden="1" x14ac:dyDescent="0.25">
      <c r="A92" s="180" t="s">
        <v>658</v>
      </c>
      <c r="B92" s="180" t="s">
        <v>659</v>
      </c>
      <c r="D92" s="180" t="s">
        <v>784</v>
      </c>
      <c r="E92" s="181">
        <v>45349</v>
      </c>
      <c r="F92" s="180" t="s">
        <v>755</v>
      </c>
      <c r="G92" s="180" t="s">
        <v>756</v>
      </c>
      <c r="H92" s="180" t="s">
        <v>757</v>
      </c>
      <c r="I92" s="180" t="s">
        <v>755</v>
      </c>
      <c r="J92" s="180" t="s">
        <v>376</v>
      </c>
      <c r="L92" s="180">
        <v>23</v>
      </c>
      <c r="M92" s="180">
        <v>36.036000000000001</v>
      </c>
      <c r="N92" s="182">
        <v>828.83</v>
      </c>
      <c r="O92" s="182">
        <v>91.17</v>
      </c>
    </row>
    <row r="93" spans="1:15" hidden="1" x14ac:dyDescent="0.25">
      <c r="A93" s="180" t="s">
        <v>658</v>
      </c>
      <c r="B93" s="180" t="s">
        <v>659</v>
      </c>
      <c r="D93" s="180" t="s">
        <v>784</v>
      </c>
      <c r="E93" s="181">
        <v>45349</v>
      </c>
      <c r="F93" s="180" t="s">
        <v>758</v>
      </c>
      <c r="G93" s="180" t="s">
        <v>759</v>
      </c>
      <c r="H93" s="180" t="s">
        <v>760</v>
      </c>
      <c r="I93" s="180" t="s">
        <v>758</v>
      </c>
      <c r="J93" s="180" t="s">
        <v>376</v>
      </c>
      <c r="L93" s="180">
        <v>28.75</v>
      </c>
      <c r="M93" s="180">
        <v>29.729700000000001</v>
      </c>
      <c r="N93" s="182">
        <v>854.73</v>
      </c>
      <c r="O93" s="182">
        <v>94.02</v>
      </c>
    </row>
    <row r="94" spans="1:15" hidden="1" x14ac:dyDescent="0.25">
      <c r="A94" s="180" t="s">
        <v>658</v>
      </c>
      <c r="B94" s="180" t="s">
        <v>659</v>
      </c>
      <c r="D94" s="180" t="s">
        <v>784</v>
      </c>
      <c r="E94" s="181">
        <v>45349</v>
      </c>
      <c r="F94" s="180" t="s">
        <v>761</v>
      </c>
      <c r="G94" s="180" t="s">
        <v>762</v>
      </c>
      <c r="H94" s="180" t="s">
        <v>763</v>
      </c>
      <c r="J94" s="180" t="s">
        <v>376</v>
      </c>
      <c r="L94" s="180">
        <v>8.5</v>
      </c>
      <c r="M94" s="180">
        <v>36.936900000000001</v>
      </c>
      <c r="N94" s="182">
        <v>313.95999999999998</v>
      </c>
      <c r="O94" s="182">
        <v>34.54</v>
      </c>
    </row>
    <row r="95" spans="1:15" hidden="1" x14ac:dyDescent="0.25">
      <c r="A95" s="180" t="s">
        <v>658</v>
      </c>
      <c r="B95" s="180" t="s">
        <v>659</v>
      </c>
      <c r="D95" s="180" t="s">
        <v>784</v>
      </c>
      <c r="E95" s="181">
        <v>45349</v>
      </c>
      <c r="F95" s="180" t="s">
        <v>723</v>
      </c>
      <c r="G95" s="180" t="s">
        <v>724</v>
      </c>
      <c r="H95" s="180" t="s">
        <v>725</v>
      </c>
      <c r="I95" s="180" t="s">
        <v>726</v>
      </c>
      <c r="J95" s="180" t="s">
        <v>376</v>
      </c>
      <c r="L95" s="180">
        <v>32.5</v>
      </c>
      <c r="M95" s="180">
        <v>36.036000000000001</v>
      </c>
      <c r="N95" s="182">
        <v>1171.17</v>
      </c>
      <c r="O95" s="182">
        <v>128.83000000000001</v>
      </c>
    </row>
    <row r="96" spans="1:15" hidden="1" x14ac:dyDescent="0.25">
      <c r="A96" s="180" t="s">
        <v>658</v>
      </c>
      <c r="B96" s="180" t="s">
        <v>659</v>
      </c>
      <c r="D96" s="180" t="s">
        <v>784</v>
      </c>
      <c r="E96" s="181">
        <v>45349</v>
      </c>
      <c r="F96" s="180" t="s">
        <v>727</v>
      </c>
      <c r="G96" s="180" t="s">
        <v>728</v>
      </c>
      <c r="H96" s="180" t="s">
        <v>729</v>
      </c>
      <c r="I96" s="180" t="s">
        <v>730</v>
      </c>
      <c r="J96" s="180" t="s">
        <v>665</v>
      </c>
      <c r="L96" s="180">
        <v>9.25</v>
      </c>
      <c r="M96" s="180">
        <v>36.036000000000001</v>
      </c>
      <c r="N96" s="182">
        <v>333.33</v>
      </c>
      <c r="O96" s="182">
        <v>36.67</v>
      </c>
    </row>
    <row r="97" spans="1:15" hidden="1" x14ac:dyDescent="0.25">
      <c r="A97" s="180" t="s">
        <v>658</v>
      </c>
      <c r="B97" s="180" t="s">
        <v>659</v>
      </c>
      <c r="D97" s="180" t="s">
        <v>784</v>
      </c>
      <c r="E97" s="181">
        <v>45349</v>
      </c>
      <c r="F97" s="180" t="s">
        <v>764</v>
      </c>
      <c r="G97" s="180" t="s">
        <v>765</v>
      </c>
      <c r="H97" s="180" t="s">
        <v>766</v>
      </c>
      <c r="J97" s="180" t="s">
        <v>376</v>
      </c>
      <c r="L97" s="180">
        <v>15.75</v>
      </c>
      <c r="M97" s="180">
        <v>29.279199999999999</v>
      </c>
      <c r="N97" s="182">
        <v>461.15</v>
      </c>
      <c r="O97" s="182">
        <v>50.73</v>
      </c>
    </row>
    <row r="98" spans="1:15" x14ac:dyDescent="0.25">
      <c r="A98" s="180" t="s">
        <v>658</v>
      </c>
      <c r="B98" s="180" t="s">
        <v>659</v>
      </c>
      <c r="D98" s="180" t="s">
        <v>784</v>
      </c>
      <c r="E98" s="181">
        <v>45349</v>
      </c>
      <c r="F98" s="180" t="s">
        <v>788</v>
      </c>
      <c r="G98" s="180" t="s">
        <v>789</v>
      </c>
      <c r="H98" s="180" t="s">
        <v>674</v>
      </c>
      <c r="J98" s="180" t="s">
        <v>712</v>
      </c>
      <c r="L98" s="180">
        <v>4</v>
      </c>
      <c r="M98" s="180">
        <v>36.036000000000001</v>
      </c>
      <c r="N98" s="182">
        <v>144.13999999999999</v>
      </c>
      <c r="O98" s="182">
        <v>15.86</v>
      </c>
    </row>
    <row r="99" spans="1:15" hidden="1" x14ac:dyDescent="0.25">
      <c r="A99" s="180" t="s">
        <v>658</v>
      </c>
      <c r="B99" s="180" t="s">
        <v>659</v>
      </c>
      <c r="D99" s="180" t="s">
        <v>784</v>
      </c>
      <c r="E99" s="181">
        <v>45349</v>
      </c>
      <c r="F99" s="180" t="s">
        <v>767</v>
      </c>
      <c r="G99" s="180" t="s">
        <v>768</v>
      </c>
      <c r="H99" s="180" t="s">
        <v>769</v>
      </c>
      <c r="I99" s="180" t="s">
        <v>767</v>
      </c>
      <c r="J99" s="180" t="s">
        <v>376</v>
      </c>
      <c r="L99" s="180">
        <v>42.5</v>
      </c>
      <c r="M99" s="180">
        <v>31.531500000000001</v>
      </c>
      <c r="N99" s="182">
        <v>1340.09</v>
      </c>
      <c r="O99" s="182">
        <v>147.41</v>
      </c>
    </row>
    <row r="100" spans="1:15" hidden="1" x14ac:dyDescent="0.25">
      <c r="A100" s="180" t="s">
        <v>658</v>
      </c>
      <c r="B100" s="180" t="s">
        <v>659</v>
      </c>
      <c r="D100" s="180" t="s">
        <v>784</v>
      </c>
      <c r="E100" s="181">
        <v>45349</v>
      </c>
      <c r="F100" s="180" t="s">
        <v>703</v>
      </c>
      <c r="G100" s="180" t="s">
        <v>704</v>
      </c>
      <c r="H100" s="180" t="s">
        <v>705</v>
      </c>
      <c r="I100" s="180" t="s">
        <v>706</v>
      </c>
      <c r="J100" s="180" t="s">
        <v>376</v>
      </c>
      <c r="L100" s="180">
        <v>4</v>
      </c>
      <c r="M100" s="180">
        <v>29.279199999999999</v>
      </c>
      <c r="N100" s="182">
        <v>117.12</v>
      </c>
      <c r="O100" s="182">
        <v>12.88</v>
      </c>
    </row>
    <row r="101" spans="1:15" hidden="1" x14ac:dyDescent="0.25">
      <c r="A101" s="180" t="s">
        <v>658</v>
      </c>
      <c r="B101" s="180" t="s">
        <v>659</v>
      </c>
      <c r="D101" s="180" t="s">
        <v>790</v>
      </c>
      <c r="E101" s="181">
        <v>45377</v>
      </c>
      <c r="F101" s="180" t="s">
        <v>732</v>
      </c>
      <c r="G101" s="180" t="s">
        <v>733</v>
      </c>
      <c r="H101" s="180" t="s">
        <v>734</v>
      </c>
      <c r="I101" s="180" t="s">
        <v>735</v>
      </c>
      <c r="J101" s="180" t="s">
        <v>376</v>
      </c>
      <c r="L101" s="180">
        <v>16</v>
      </c>
      <c r="M101" s="180">
        <v>39.639600000000002</v>
      </c>
      <c r="N101" s="182">
        <v>634.23</v>
      </c>
      <c r="O101" s="182">
        <v>69.77</v>
      </c>
    </row>
    <row r="102" spans="1:15" hidden="1" x14ac:dyDescent="0.25">
      <c r="A102" s="180" t="s">
        <v>658</v>
      </c>
      <c r="B102" s="180" t="s">
        <v>659</v>
      </c>
      <c r="D102" s="180" t="s">
        <v>790</v>
      </c>
      <c r="E102" s="181">
        <v>45377</v>
      </c>
      <c r="F102" s="180" t="s">
        <v>661</v>
      </c>
      <c r="G102" s="180" t="s">
        <v>662</v>
      </c>
      <c r="H102" s="180" t="s">
        <v>663</v>
      </c>
      <c r="I102" s="180" t="s">
        <v>664</v>
      </c>
      <c r="J102" s="180" t="s">
        <v>665</v>
      </c>
      <c r="L102" s="180">
        <v>20</v>
      </c>
      <c r="M102" s="180">
        <v>58.558500000000002</v>
      </c>
      <c r="N102" s="182">
        <v>1171.17</v>
      </c>
      <c r="O102" s="182">
        <v>128.83000000000001</v>
      </c>
    </row>
    <row r="103" spans="1:15" hidden="1" x14ac:dyDescent="0.25">
      <c r="A103" s="180" t="s">
        <v>658</v>
      </c>
      <c r="B103" s="180" t="s">
        <v>659</v>
      </c>
      <c r="D103" s="180" t="s">
        <v>790</v>
      </c>
      <c r="E103" s="181">
        <v>45377</v>
      </c>
      <c r="F103" s="180" t="s">
        <v>669</v>
      </c>
      <c r="G103" s="180" t="s">
        <v>670</v>
      </c>
      <c r="H103" s="180" t="s">
        <v>671</v>
      </c>
      <c r="I103" s="180" t="s">
        <v>669</v>
      </c>
      <c r="J103" s="180" t="s">
        <v>376</v>
      </c>
      <c r="L103" s="180">
        <v>12.25</v>
      </c>
      <c r="M103" s="180">
        <v>36.036000000000001</v>
      </c>
      <c r="N103" s="182">
        <v>441.44</v>
      </c>
      <c r="O103" s="182">
        <v>48.56</v>
      </c>
    </row>
    <row r="104" spans="1:15" hidden="1" x14ac:dyDescent="0.25">
      <c r="A104" s="180" t="s">
        <v>658</v>
      </c>
      <c r="B104" s="180" t="s">
        <v>659</v>
      </c>
      <c r="D104" s="180" t="s">
        <v>790</v>
      </c>
      <c r="E104" s="181">
        <v>45377</v>
      </c>
      <c r="F104" s="180" t="s">
        <v>739</v>
      </c>
      <c r="G104" s="180" t="s">
        <v>740</v>
      </c>
      <c r="H104" s="180" t="s">
        <v>741</v>
      </c>
      <c r="I104" s="180" t="s">
        <v>739</v>
      </c>
      <c r="J104" s="180" t="s">
        <v>376</v>
      </c>
      <c r="L104" s="180">
        <v>17.5</v>
      </c>
      <c r="M104" s="180">
        <v>36.036000000000001</v>
      </c>
      <c r="N104" s="182">
        <v>630.63</v>
      </c>
      <c r="O104" s="182">
        <v>69.37</v>
      </c>
    </row>
    <row r="105" spans="1:15" hidden="1" x14ac:dyDescent="0.25">
      <c r="A105" s="180" t="s">
        <v>658</v>
      </c>
      <c r="B105" s="180" t="s">
        <v>659</v>
      </c>
      <c r="D105" s="180" t="s">
        <v>790</v>
      </c>
      <c r="E105" s="181">
        <v>45377</v>
      </c>
      <c r="F105" s="180" t="s">
        <v>672</v>
      </c>
      <c r="G105" s="180" t="s">
        <v>673</v>
      </c>
      <c r="H105" s="180" t="s">
        <v>674</v>
      </c>
      <c r="I105" s="180" t="s">
        <v>672</v>
      </c>
      <c r="J105" s="180" t="s">
        <v>376</v>
      </c>
      <c r="L105" s="180">
        <v>16</v>
      </c>
      <c r="M105" s="180">
        <v>29.279199999999999</v>
      </c>
      <c r="N105" s="182">
        <v>468.47</v>
      </c>
      <c r="O105" s="182">
        <v>51.53</v>
      </c>
    </row>
    <row r="106" spans="1:15" hidden="1" x14ac:dyDescent="0.25">
      <c r="A106" s="180" t="s">
        <v>658</v>
      </c>
      <c r="B106" s="180" t="s">
        <v>659</v>
      </c>
      <c r="D106" s="180" t="s">
        <v>790</v>
      </c>
      <c r="E106" s="181">
        <v>45377</v>
      </c>
      <c r="F106" s="180" t="s">
        <v>713</v>
      </c>
      <c r="G106" s="180" t="s">
        <v>714</v>
      </c>
      <c r="H106" s="180" t="s">
        <v>715</v>
      </c>
      <c r="I106" s="180" t="s">
        <v>716</v>
      </c>
      <c r="J106" s="180" t="s">
        <v>376</v>
      </c>
      <c r="L106" s="180">
        <v>58.25</v>
      </c>
      <c r="M106" s="180">
        <v>29.279199999999999</v>
      </c>
      <c r="N106" s="182">
        <v>1705.51</v>
      </c>
      <c r="O106" s="182">
        <v>187.61</v>
      </c>
    </row>
    <row r="107" spans="1:15" hidden="1" x14ac:dyDescent="0.25">
      <c r="A107" s="180" t="s">
        <v>658</v>
      </c>
      <c r="B107" s="180" t="s">
        <v>659</v>
      </c>
      <c r="D107" s="180" t="s">
        <v>790</v>
      </c>
      <c r="E107" s="181">
        <v>45377</v>
      </c>
      <c r="F107" s="180" t="s">
        <v>688</v>
      </c>
      <c r="G107" s="180" t="s">
        <v>689</v>
      </c>
      <c r="H107" s="180" t="s">
        <v>690</v>
      </c>
      <c r="I107" s="180" t="s">
        <v>691</v>
      </c>
      <c r="J107" s="180" t="s">
        <v>665</v>
      </c>
      <c r="L107" s="180">
        <v>20</v>
      </c>
      <c r="M107" s="180">
        <v>36.036000000000001</v>
      </c>
      <c r="N107" s="182">
        <v>720.72</v>
      </c>
      <c r="O107" s="182">
        <v>79.28</v>
      </c>
    </row>
    <row r="108" spans="1:15" hidden="1" x14ac:dyDescent="0.25">
      <c r="A108" s="180" t="s">
        <v>658</v>
      </c>
      <c r="B108" s="180" t="s">
        <v>659</v>
      </c>
      <c r="D108" s="180" t="s">
        <v>790</v>
      </c>
      <c r="E108" s="181">
        <v>45377</v>
      </c>
      <c r="F108" s="180" t="s">
        <v>752</v>
      </c>
      <c r="G108" s="180" t="s">
        <v>753</v>
      </c>
      <c r="H108" s="180" t="s">
        <v>754</v>
      </c>
      <c r="I108" s="180" t="s">
        <v>752</v>
      </c>
      <c r="J108" s="180" t="s">
        <v>376</v>
      </c>
      <c r="L108" s="180">
        <v>21.25</v>
      </c>
      <c r="M108" s="180">
        <v>29.279299999999999</v>
      </c>
      <c r="N108" s="182">
        <v>622.19000000000005</v>
      </c>
      <c r="O108" s="182">
        <v>68.44</v>
      </c>
    </row>
    <row r="109" spans="1:15" x14ac:dyDescent="0.25">
      <c r="A109" s="180" t="s">
        <v>658</v>
      </c>
      <c r="B109" s="180" t="s">
        <v>659</v>
      </c>
      <c r="D109" s="180" t="s">
        <v>790</v>
      </c>
      <c r="E109" s="181">
        <v>45377</v>
      </c>
      <c r="F109" s="180" t="s">
        <v>692</v>
      </c>
      <c r="G109" s="180" t="s">
        <v>693</v>
      </c>
      <c r="H109" s="180" t="s">
        <v>694</v>
      </c>
      <c r="I109" s="180" t="s">
        <v>692</v>
      </c>
      <c r="J109" s="180" t="s">
        <v>695</v>
      </c>
      <c r="L109" s="180">
        <v>28.5</v>
      </c>
      <c r="M109" s="180">
        <v>40.540500000000002</v>
      </c>
      <c r="N109" s="182">
        <v>1155.4000000000001</v>
      </c>
      <c r="O109" s="182">
        <v>127.09</v>
      </c>
    </row>
    <row r="110" spans="1:15" hidden="1" x14ac:dyDescent="0.25">
      <c r="A110" s="180" t="s">
        <v>658</v>
      </c>
      <c r="B110" s="180" t="s">
        <v>659</v>
      </c>
      <c r="D110" s="180" t="s">
        <v>790</v>
      </c>
      <c r="E110" s="181">
        <v>45377</v>
      </c>
      <c r="F110" s="180" t="s">
        <v>761</v>
      </c>
      <c r="G110" s="180" t="s">
        <v>762</v>
      </c>
      <c r="H110" s="180" t="s">
        <v>763</v>
      </c>
      <c r="J110" s="180" t="s">
        <v>376</v>
      </c>
      <c r="L110" s="180">
        <v>61</v>
      </c>
      <c r="M110" s="180">
        <v>36.936900000000001</v>
      </c>
      <c r="N110" s="182">
        <v>2253.15</v>
      </c>
      <c r="O110" s="182">
        <v>247.85</v>
      </c>
    </row>
    <row r="111" spans="1:15" hidden="1" x14ac:dyDescent="0.25">
      <c r="A111" s="180" t="s">
        <v>658</v>
      </c>
      <c r="B111" s="180" t="s">
        <v>659</v>
      </c>
      <c r="D111" s="180" t="s">
        <v>790</v>
      </c>
      <c r="E111" s="181">
        <v>45377</v>
      </c>
      <c r="F111" s="180" t="s">
        <v>723</v>
      </c>
      <c r="G111" s="180" t="s">
        <v>724</v>
      </c>
      <c r="H111" s="180" t="s">
        <v>725</v>
      </c>
      <c r="I111" s="180" t="s">
        <v>726</v>
      </c>
      <c r="J111" s="180" t="s">
        <v>376</v>
      </c>
      <c r="L111" s="180">
        <v>19.5</v>
      </c>
      <c r="M111" s="180">
        <v>36.036000000000001</v>
      </c>
      <c r="N111" s="182">
        <v>702.7</v>
      </c>
      <c r="O111" s="182">
        <v>77.3</v>
      </c>
    </row>
    <row r="112" spans="1:15" hidden="1" x14ac:dyDescent="0.25">
      <c r="A112" s="180" t="s">
        <v>658</v>
      </c>
      <c r="B112" s="180" t="s">
        <v>659</v>
      </c>
      <c r="D112" s="180" t="s">
        <v>790</v>
      </c>
      <c r="E112" s="181">
        <v>45377</v>
      </c>
      <c r="F112" s="180" t="s">
        <v>764</v>
      </c>
      <c r="G112" s="180" t="s">
        <v>765</v>
      </c>
      <c r="H112" s="180" t="s">
        <v>766</v>
      </c>
      <c r="J112" s="180" t="s">
        <v>376</v>
      </c>
      <c r="L112" s="180">
        <v>16.25</v>
      </c>
      <c r="M112" s="180">
        <v>29.279199999999999</v>
      </c>
      <c r="N112" s="182">
        <v>475.79</v>
      </c>
      <c r="O112" s="182">
        <v>52.34</v>
      </c>
    </row>
    <row r="113" spans="1:15" hidden="1" x14ac:dyDescent="0.25">
      <c r="A113" s="180" t="s">
        <v>658</v>
      </c>
      <c r="B113" s="180" t="s">
        <v>659</v>
      </c>
      <c r="D113" s="180" t="s">
        <v>790</v>
      </c>
      <c r="E113" s="181">
        <v>45377</v>
      </c>
      <c r="F113" s="180" t="s">
        <v>767</v>
      </c>
      <c r="G113" s="180" t="s">
        <v>768</v>
      </c>
      <c r="H113" s="180" t="s">
        <v>769</v>
      </c>
      <c r="I113" s="180" t="s">
        <v>767</v>
      </c>
      <c r="J113" s="180" t="s">
        <v>376</v>
      </c>
      <c r="L113" s="180">
        <v>16.25</v>
      </c>
      <c r="M113" s="180">
        <v>31.531500000000001</v>
      </c>
      <c r="N113" s="182">
        <v>512.39</v>
      </c>
      <c r="O113" s="182">
        <v>56.36</v>
      </c>
    </row>
    <row r="114" spans="1:15" hidden="1" x14ac:dyDescent="0.25">
      <c r="A114" s="180" t="s">
        <v>658</v>
      </c>
      <c r="B114" s="180" t="s">
        <v>659</v>
      </c>
      <c r="D114" s="180" t="s">
        <v>790</v>
      </c>
      <c r="E114" s="181">
        <v>45377</v>
      </c>
      <c r="F114" s="180" t="s">
        <v>703</v>
      </c>
      <c r="G114" s="180" t="s">
        <v>704</v>
      </c>
      <c r="H114" s="180" t="s">
        <v>705</v>
      </c>
      <c r="I114" s="180" t="s">
        <v>706</v>
      </c>
      <c r="J114" s="180" t="s">
        <v>376</v>
      </c>
      <c r="L114" s="180">
        <v>4</v>
      </c>
      <c r="M114" s="180">
        <v>29.279199999999999</v>
      </c>
      <c r="N114" s="182">
        <v>117.12</v>
      </c>
      <c r="O114" s="182">
        <v>12.88</v>
      </c>
    </row>
    <row r="115" spans="1:15" hidden="1" x14ac:dyDescent="0.25">
      <c r="A115" s="180" t="s">
        <v>658</v>
      </c>
      <c r="B115" s="180" t="s">
        <v>659</v>
      </c>
      <c r="D115" s="180" t="s">
        <v>791</v>
      </c>
      <c r="E115" s="181">
        <v>45391</v>
      </c>
      <c r="F115" s="180" t="s">
        <v>732</v>
      </c>
      <c r="G115" s="180" t="s">
        <v>733</v>
      </c>
      <c r="H115" s="180" t="s">
        <v>734</v>
      </c>
      <c r="I115" s="180" t="s">
        <v>735</v>
      </c>
      <c r="J115" s="180" t="s">
        <v>376</v>
      </c>
      <c r="L115" s="180">
        <v>64</v>
      </c>
      <c r="M115" s="180">
        <v>39.639600000000002</v>
      </c>
      <c r="N115" s="182">
        <v>2536.9299999999998</v>
      </c>
      <c r="O115" s="182">
        <v>279.06</v>
      </c>
    </row>
    <row r="116" spans="1:15" hidden="1" x14ac:dyDescent="0.25">
      <c r="A116" s="180" t="s">
        <v>658</v>
      </c>
      <c r="B116" s="180" t="s">
        <v>659</v>
      </c>
      <c r="D116" s="180" t="s">
        <v>791</v>
      </c>
      <c r="E116" s="181">
        <v>45391</v>
      </c>
      <c r="F116" s="180" t="s">
        <v>661</v>
      </c>
      <c r="G116" s="180" t="s">
        <v>662</v>
      </c>
      <c r="H116" s="180" t="s">
        <v>663</v>
      </c>
      <c r="I116" s="180" t="s">
        <v>664</v>
      </c>
      <c r="J116" s="180" t="s">
        <v>665</v>
      </c>
      <c r="L116" s="180">
        <v>19.75</v>
      </c>
      <c r="M116" s="180">
        <v>58.558500000000002</v>
      </c>
      <c r="N116" s="182">
        <v>1156.53</v>
      </c>
      <c r="O116" s="182">
        <v>127.22</v>
      </c>
    </row>
    <row r="117" spans="1:15" hidden="1" x14ac:dyDescent="0.25">
      <c r="A117" s="180" t="s">
        <v>658</v>
      </c>
      <c r="B117" s="180" t="s">
        <v>659</v>
      </c>
      <c r="D117" s="180" t="s">
        <v>791</v>
      </c>
      <c r="E117" s="181">
        <v>45391</v>
      </c>
      <c r="F117" s="180" t="s">
        <v>777</v>
      </c>
      <c r="G117" s="180" t="s">
        <v>778</v>
      </c>
      <c r="H117" s="180" t="s">
        <v>779</v>
      </c>
      <c r="I117" s="180" t="s">
        <v>780</v>
      </c>
      <c r="J117" s="180" t="s">
        <v>376</v>
      </c>
      <c r="L117" s="180">
        <v>16</v>
      </c>
      <c r="M117" s="180">
        <v>36.936900000000001</v>
      </c>
      <c r="N117" s="182">
        <v>590.99</v>
      </c>
      <c r="O117" s="182">
        <v>65.010000000000005</v>
      </c>
    </row>
    <row r="118" spans="1:15" hidden="1" x14ac:dyDescent="0.25">
      <c r="A118" s="180" t="s">
        <v>658</v>
      </c>
      <c r="B118" s="180" t="s">
        <v>659</v>
      </c>
      <c r="D118" s="180" t="s">
        <v>791</v>
      </c>
      <c r="E118" s="181">
        <v>45391</v>
      </c>
      <c r="F118" s="180" t="s">
        <v>739</v>
      </c>
      <c r="G118" s="180" t="s">
        <v>740</v>
      </c>
      <c r="H118" s="180" t="s">
        <v>741</v>
      </c>
      <c r="I118" s="180" t="s">
        <v>739</v>
      </c>
      <c r="J118" s="180" t="s">
        <v>376</v>
      </c>
      <c r="L118" s="180">
        <v>43.75</v>
      </c>
      <c r="M118" s="180">
        <v>36.036000000000001</v>
      </c>
      <c r="N118" s="182">
        <v>1576.58</v>
      </c>
      <c r="O118" s="182">
        <v>173.42</v>
      </c>
    </row>
    <row r="119" spans="1:15" hidden="1" x14ac:dyDescent="0.25">
      <c r="A119" s="180" t="s">
        <v>658</v>
      </c>
      <c r="B119" s="180" t="s">
        <v>659</v>
      </c>
      <c r="D119" s="180" t="s">
        <v>791</v>
      </c>
      <c r="E119" s="181">
        <v>45391</v>
      </c>
      <c r="F119" s="180" t="s">
        <v>672</v>
      </c>
      <c r="G119" s="180" t="s">
        <v>673</v>
      </c>
      <c r="H119" s="180" t="s">
        <v>674</v>
      </c>
      <c r="I119" s="180" t="s">
        <v>672</v>
      </c>
      <c r="J119" s="180" t="s">
        <v>376</v>
      </c>
      <c r="L119" s="180">
        <v>8</v>
      </c>
      <c r="M119" s="180">
        <v>29.279199999999999</v>
      </c>
      <c r="N119" s="182">
        <v>234.23</v>
      </c>
      <c r="O119" s="182">
        <v>25.77</v>
      </c>
    </row>
    <row r="120" spans="1:15" hidden="1" x14ac:dyDescent="0.25">
      <c r="A120" s="180" t="s">
        <v>658</v>
      </c>
      <c r="B120" s="180" t="s">
        <v>659</v>
      </c>
      <c r="D120" s="180" t="s">
        <v>791</v>
      </c>
      <c r="E120" s="181">
        <v>45391</v>
      </c>
      <c r="F120" s="180" t="s">
        <v>713</v>
      </c>
      <c r="G120" s="180" t="s">
        <v>714</v>
      </c>
      <c r="H120" s="180" t="s">
        <v>715</v>
      </c>
      <c r="I120" s="180" t="s">
        <v>716</v>
      </c>
      <c r="J120" s="180" t="s">
        <v>376</v>
      </c>
      <c r="L120" s="180">
        <v>7.25</v>
      </c>
      <c r="M120" s="180">
        <v>29.279199999999999</v>
      </c>
      <c r="N120" s="182">
        <v>212.27</v>
      </c>
      <c r="O120" s="182">
        <v>23.35</v>
      </c>
    </row>
    <row r="121" spans="1:15" hidden="1" x14ac:dyDescent="0.25">
      <c r="A121" s="180" t="s">
        <v>658</v>
      </c>
      <c r="B121" s="180" t="s">
        <v>659</v>
      </c>
      <c r="D121" s="180" t="s">
        <v>791</v>
      </c>
      <c r="E121" s="181">
        <v>45391</v>
      </c>
      <c r="F121" s="180" t="s">
        <v>688</v>
      </c>
      <c r="G121" s="180" t="s">
        <v>689</v>
      </c>
      <c r="H121" s="180" t="s">
        <v>690</v>
      </c>
      <c r="I121" s="180" t="s">
        <v>691</v>
      </c>
      <c r="J121" s="180" t="s">
        <v>665</v>
      </c>
      <c r="L121" s="180">
        <v>21.25</v>
      </c>
      <c r="M121" s="180">
        <v>36.036000000000001</v>
      </c>
      <c r="N121" s="182">
        <v>765.76</v>
      </c>
      <c r="O121" s="182">
        <v>84.23</v>
      </c>
    </row>
    <row r="122" spans="1:15" hidden="1" x14ac:dyDescent="0.25">
      <c r="A122" s="180" t="s">
        <v>658</v>
      </c>
      <c r="B122" s="180" t="s">
        <v>659</v>
      </c>
      <c r="D122" s="180" t="s">
        <v>791</v>
      </c>
      <c r="E122" s="181">
        <v>45391</v>
      </c>
      <c r="F122" s="180" t="s">
        <v>792</v>
      </c>
      <c r="G122" s="180" t="s">
        <v>793</v>
      </c>
      <c r="H122" s="180" t="s">
        <v>698</v>
      </c>
      <c r="I122" s="180" t="s">
        <v>792</v>
      </c>
      <c r="J122" s="180" t="s">
        <v>376</v>
      </c>
      <c r="L122" s="180">
        <v>22</v>
      </c>
      <c r="M122" s="180">
        <v>36.036000000000001</v>
      </c>
      <c r="N122" s="182">
        <v>792.79</v>
      </c>
      <c r="O122" s="182">
        <v>87.21</v>
      </c>
    </row>
    <row r="123" spans="1:15" hidden="1" x14ac:dyDescent="0.25">
      <c r="A123" s="180" t="s">
        <v>658</v>
      </c>
      <c r="B123" s="180" t="s">
        <v>659</v>
      </c>
      <c r="D123" s="180" t="s">
        <v>791</v>
      </c>
      <c r="E123" s="181">
        <v>45391</v>
      </c>
      <c r="F123" s="180" t="s">
        <v>794</v>
      </c>
      <c r="G123" s="180" t="s">
        <v>795</v>
      </c>
      <c r="H123" s="180" t="s">
        <v>796</v>
      </c>
      <c r="I123" s="180" t="s">
        <v>794</v>
      </c>
      <c r="J123" s="180" t="s">
        <v>376</v>
      </c>
      <c r="L123" s="180">
        <v>16</v>
      </c>
      <c r="M123" s="180">
        <v>36.036000000000001</v>
      </c>
      <c r="N123" s="182">
        <v>576.58000000000004</v>
      </c>
      <c r="O123" s="182">
        <v>63.42</v>
      </c>
    </row>
    <row r="124" spans="1:15" hidden="1" x14ac:dyDescent="0.25">
      <c r="A124" s="180" t="s">
        <v>658</v>
      </c>
      <c r="B124" s="180" t="s">
        <v>659</v>
      </c>
      <c r="D124" s="180" t="s">
        <v>791</v>
      </c>
      <c r="E124" s="181">
        <v>45391</v>
      </c>
      <c r="F124" s="180" t="s">
        <v>761</v>
      </c>
      <c r="G124" s="180" t="s">
        <v>762</v>
      </c>
      <c r="H124" s="180" t="s">
        <v>763</v>
      </c>
      <c r="J124" s="180" t="s">
        <v>376</v>
      </c>
      <c r="L124" s="180">
        <v>24</v>
      </c>
      <c r="M124" s="180">
        <v>36.936900000000001</v>
      </c>
      <c r="N124" s="182">
        <v>886.49</v>
      </c>
      <c r="O124" s="182">
        <v>97.51</v>
      </c>
    </row>
    <row r="125" spans="1:15" hidden="1" x14ac:dyDescent="0.25">
      <c r="A125" s="180" t="s">
        <v>658</v>
      </c>
      <c r="B125" s="180" t="s">
        <v>659</v>
      </c>
      <c r="D125" s="180" t="s">
        <v>791</v>
      </c>
      <c r="E125" s="181">
        <v>45391</v>
      </c>
      <c r="F125" s="180" t="s">
        <v>723</v>
      </c>
      <c r="G125" s="180" t="s">
        <v>724</v>
      </c>
      <c r="H125" s="180" t="s">
        <v>725</v>
      </c>
      <c r="I125" s="180" t="s">
        <v>726</v>
      </c>
      <c r="J125" s="180" t="s">
        <v>376</v>
      </c>
      <c r="L125" s="180">
        <v>63.75</v>
      </c>
      <c r="M125" s="180">
        <v>36.036000000000001</v>
      </c>
      <c r="N125" s="182">
        <v>2297.29</v>
      </c>
      <c r="O125" s="182">
        <v>252.7</v>
      </c>
    </row>
    <row r="126" spans="1:15" hidden="1" x14ac:dyDescent="0.25">
      <c r="A126" s="180" t="s">
        <v>658</v>
      </c>
      <c r="B126" s="180" t="s">
        <v>659</v>
      </c>
      <c r="D126" s="180" t="s">
        <v>791</v>
      </c>
      <c r="E126" s="181">
        <v>45391</v>
      </c>
      <c r="F126" s="180" t="s">
        <v>767</v>
      </c>
      <c r="G126" s="180" t="s">
        <v>768</v>
      </c>
      <c r="H126" s="180" t="s">
        <v>769</v>
      </c>
      <c r="I126" s="180" t="s">
        <v>767</v>
      </c>
      <c r="J126" s="180" t="s">
        <v>376</v>
      </c>
      <c r="L126" s="180">
        <v>20.75</v>
      </c>
      <c r="M126" s="180">
        <v>31.531500000000001</v>
      </c>
      <c r="N126" s="182">
        <v>654.28</v>
      </c>
      <c r="O126" s="182">
        <v>71.97</v>
      </c>
    </row>
    <row r="127" spans="1:15" hidden="1" x14ac:dyDescent="0.25">
      <c r="A127" s="180" t="s">
        <v>658</v>
      </c>
      <c r="B127" s="180" t="s">
        <v>659</v>
      </c>
      <c r="D127" s="180" t="s">
        <v>791</v>
      </c>
      <c r="E127" s="181">
        <v>45391</v>
      </c>
      <c r="F127" s="180" t="s">
        <v>703</v>
      </c>
      <c r="G127" s="180" t="s">
        <v>704</v>
      </c>
      <c r="H127" s="180" t="s">
        <v>705</v>
      </c>
      <c r="I127" s="180" t="s">
        <v>706</v>
      </c>
      <c r="J127" s="180" t="s">
        <v>376</v>
      </c>
      <c r="L127" s="180">
        <v>8</v>
      </c>
      <c r="M127" s="180">
        <v>29.279199999999999</v>
      </c>
      <c r="N127" s="182">
        <v>234.23</v>
      </c>
      <c r="O127" s="182">
        <v>25.77</v>
      </c>
    </row>
    <row r="128" spans="1:15" hidden="1" x14ac:dyDescent="0.25">
      <c r="A128" s="180" t="s">
        <v>658</v>
      </c>
      <c r="B128" s="180" t="s">
        <v>659</v>
      </c>
      <c r="D128" s="180" t="s">
        <v>797</v>
      </c>
      <c r="E128" s="181">
        <v>45405</v>
      </c>
      <c r="F128" s="180" t="s">
        <v>732</v>
      </c>
      <c r="G128" s="180" t="s">
        <v>733</v>
      </c>
      <c r="H128" s="180" t="s">
        <v>734</v>
      </c>
      <c r="I128" s="180" t="s">
        <v>735</v>
      </c>
      <c r="J128" s="180" t="s">
        <v>376</v>
      </c>
      <c r="L128" s="180">
        <v>80</v>
      </c>
      <c r="M128" s="180">
        <v>39.639600000000002</v>
      </c>
      <c r="N128" s="182">
        <v>3171.17</v>
      </c>
      <c r="O128" s="182">
        <v>348.83</v>
      </c>
    </row>
    <row r="129" spans="1:15" hidden="1" x14ac:dyDescent="0.25">
      <c r="A129" s="180" t="s">
        <v>658</v>
      </c>
      <c r="B129" s="180" t="s">
        <v>659</v>
      </c>
      <c r="D129" s="180" t="s">
        <v>797</v>
      </c>
      <c r="E129" s="181">
        <v>45405</v>
      </c>
      <c r="F129" s="180" t="s">
        <v>661</v>
      </c>
      <c r="G129" s="180" t="s">
        <v>662</v>
      </c>
      <c r="H129" s="180" t="s">
        <v>663</v>
      </c>
      <c r="I129" s="180" t="s">
        <v>664</v>
      </c>
      <c r="J129" s="180" t="s">
        <v>665</v>
      </c>
      <c r="L129" s="180">
        <v>6</v>
      </c>
      <c r="M129" s="180">
        <v>58.558500000000002</v>
      </c>
      <c r="N129" s="182">
        <v>351.35</v>
      </c>
      <c r="O129" s="182">
        <v>38.65</v>
      </c>
    </row>
    <row r="130" spans="1:15" hidden="1" x14ac:dyDescent="0.25">
      <c r="A130" s="180" t="s">
        <v>658</v>
      </c>
      <c r="B130" s="180" t="s">
        <v>659</v>
      </c>
      <c r="D130" s="180" t="s">
        <v>797</v>
      </c>
      <c r="E130" s="181">
        <v>45405</v>
      </c>
      <c r="F130" s="180" t="s">
        <v>669</v>
      </c>
      <c r="G130" s="180" t="s">
        <v>670</v>
      </c>
      <c r="H130" s="180" t="s">
        <v>671</v>
      </c>
      <c r="I130" s="180" t="s">
        <v>669</v>
      </c>
      <c r="J130" s="180" t="s">
        <v>376</v>
      </c>
      <c r="L130" s="180">
        <v>13.5</v>
      </c>
      <c r="M130" s="180">
        <v>36.036000000000001</v>
      </c>
      <c r="N130" s="182">
        <v>486.49</v>
      </c>
      <c r="O130" s="182">
        <v>53.51</v>
      </c>
    </row>
    <row r="131" spans="1:15" hidden="1" x14ac:dyDescent="0.25">
      <c r="A131" s="180" t="s">
        <v>658</v>
      </c>
      <c r="B131" s="180" t="s">
        <v>659</v>
      </c>
      <c r="D131" s="180" t="s">
        <v>797</v>
      </c>
      <c r="E131" s="181">
        <v>45405</v>
      </c>
      <c r="F131" s="180" t="s">
        <v>739</v>
      </c>
      <c r="G131" s="180" t="s">
        <v>740</v>
      </c>
      <c r="H131" s="180" t="s">
        <v>741</v>
      </c>
      <c r="I131" s="180" t="s">
        <v>739</v>
      </c>
      <c r="J131" s="180" t="s">
        <v>376</v>
      </c>
      <c r="L131" s="180">
        <v>8</v>
      </c>
      <c r="M131" s="180">
        <v>36.036000000000001</v>
      </c>
      <c r="N131" s="182">
        <v>288.29000000000002</v>
      </c>
      <c r="O131" s="182">
        <v>31.71</v>
      </c>
    </row>
    <row r="132" spans="1:15" hidden="1" x14ac:dyDescent="0.25">
      <c r="A132" s="180" t="s">
        <v>658</v>
      </c>
      <c r="B132" s="180" t="s">
        <v>659</v>
      </c>
      <c r="D132" s="180" t="s">
        <v>797</v>
      </c>
      <c r="E132" s="181">
        <v>45405</v>
      </c>
      <c r="F132" s="180" t="s">
        <v>672</v>
      </c>
      <c r="G132" s="180" t="s">
        <v>673</v>
      </c>
      <c r="H132" s="180" t="s">
        <v>674</v>
      </c>
      <c r="I132" s="180" t="s">
        <v>672</v>
      </c>
      <c r="J132" s="180" t="s">
        <v>376</v>
      </c>
      <c r="L132" s="180">
        <v>16.25</v>
      </c>
      <c r="M132" s="180">
        <v>29.279199999999999</v>
      </c>
      <c r="N132" s="182">
        <v>475.79</v>
      </c>
      <c r="O132" s="182">
        <v>52.34</v>
      </c>
    </row>
    <row r="133" spans="1:15" hidden="1" x14ac:dyDescent="0.25">
      <c r="A133" s="180" t="s">
        <v>658</v>
      </c>
      <c r="B133" s="180" t="s">
        <v>659</v>
      </c>
      <c r="D133" s="180" t="s">
        <v>797</v>
      </c>
      <c r="E133" s="181">
        <v>45405</v>
      </c>
      <c r="F133" s="180" t="s">
        <v>688</v>
      </c>
      <c r="G133" s="180" t="s">
        <v>689</v>
      </c>
      <c r="H133" s="180" t="s">
        <v>690</v>
      </c>
      <c r="I133" s="180" t="s">
        <v>691</v>
      </c>
      <c r="J133" s="180" t="s">
        <v>665</v>
      </c>
      <c r="L133" s="180">
        <v>18.25</v>
      </c>
      <c r="M133" s="180">
        <v>36.036000000000001</v>
      </c>
      <c r="N133" s="182">
        <v>657.66</v>
      </c>
      <c r="O133" s="182">
        <v>72.34</v>
      </c>
    </row>
    <row r="134" spans="1:15" hidden="1" x14ac:dyDescent="0.25">
      <c r="A134" s="180" t="s">
        <v>658</v>
      </c>
      <c r="B134" s="180" t="s">
        <v>659</v>
      </c>
      <c r="D134" s="180" t="s">
        <v>797</v>
      </c>
      <c r="E134" s="181">
        <v>45405</v>
      </c>
      <c r="F134" s="180" t="s">
        <v>792</v>
      </c>
      <c r="G134" s="180" t="s">
        <v>793</v>
      </c>
      <c r="H134" s="180" t="s">
        <v>698</v>
      </c>
      <c r="I134" s="180" t="s">
        <v>792</v>
      </c>
      <c r="J134" s="180" t="s">
        <v>376</v>
      </c>
      <c r="L134" s="180">
        <v>25.5</v>
      </c>
      <c r="M134" s="180">
        <v>36.036000000000001</v>
      </c>
      <c r="N134" s="182">
        <v>918.92</v>
      </c>
      <c r="O134" s="182">
        <v>101.08</v>
      </c>
    </row>
    <row r="135" spans="1:15" hidden="1" x14ac:dyDescent="0.25">
      <c r="A135" s="180" t="s">
        <v>658</v>
      </c>
      <c r="B135" s="180" t="s">
        <v>659</v>
      </c>
      <c r="D135" s="180" t="s">
        <v>797</v>
      </c>
      <c r="E135" s="181">
        <v>45405</v>
      </c>
      <c r="F135" s="180" t="s">
        <v>752</v>
      </c>
      <c r="G135" s="180" t="s">
        <v>753</v>
      </c>
      <c r="H135" s="180" t="s">
        <v>754</v>
      </c>
      <c r="I135" s="180" t="s">
        <v>752</v>
      </c>
      <c r="J135" s="180" t="s">
        <v>376</v>
      </c>
      <c r="L135" s="180">
        <v>12.5</v>
      </c>
      <c r="M135" s="180">
        <v>29.279299999999999</v>
      </c>
      <c r="N135" s="182">
        <v>365.99</v>
      </c>
      <c r="O135" s="182">
        <v>40.26</v>
      </c>
    </row>
    <row r="136" spans="1:15" x14ac:dyDescent="0.25">
      <c r="A136" s="180" t="s">
        <v>658</v>
      </c>
      <c r="B136" s="180" t="s">
        <v>659</v>
      </c>
      <c r="D136" s="180" t="s">
        <v>797</v>
      </c>
      <c r="E136" s="181">
        <v>45405</v>
      </c>
      <c r="F136" s="180" t="s">
        <v>692</v>
      </c>
      <c r="G136" s="180" t="s">
        <v>693</v>
      </c>
      <c r="H136" s="180" t="s">
        <v>694</v>
      </c>
      <c r="I136" s="180" t="s">
        <v>692</v>
      </c>
      <c r="J136" s="180" t="s">
        <v>695</v>
      </c>
      <c r="L136" s="180">
        <v>4</v>
      </c>
      <c r="M136" s="180">
        <v>40.540500000000002</v>
      </c>
      <c r="N136" s="182">
        <v>162.16</v>
      </c>
      <c r="O136" s="182">
        <v>17.84</v>
      </c>
    </row>
    <row r="137" spans="1:15" hidden="1" x14ac:dyDescent="0.25">
      <c r="A137" s="180" t="s">
        <v>658</v>
      </c>
      <c r="B137" s="180" t="s">
        <v>659</v>
      </c>
      <c r="D137" s="180" t="s">
        <v>797</v>
      </c>
      <c r="E137" s="181">
        <v>45405</v>
      </c>
      <c r="F137" s="180" t="s">
        <v>755</v>
      </c>
      <c r="G137" s="180" t="s">
        <v>756</v>
      </c>
      <c r="H137" s="180" t="s">
        <v>757</v>
      </c>
      <c r="I137" s="180" t="s">
        <v>755</v>
      </c>
      <c r="J137" s="180" t="s">
        <v>376</v>
      </c>
      <c r="L137" s="180">
        <v>12.25</v>
      </c>
      <c r="M137" s="180">
        <v>36.036000000000001</v>
      </c>
      <c r="N137" s="182">
        <v>441.44</v>
      </c>
      <c r="O137" s="182">
        <v>48.56</v>
      </c>
    </row>
    <row r="138" spans="1:15" hidden="1" x14ac:dyDescent="0.25">
      <c r="A138" s="180" t="s">
        <v>658</v>
      </c>
      <c r="B138" s="180" t="s">
        <v>659</v>
      </c>
      <c r="D138" s="180" t="s">
        <v>797</v>
      </c>
      <c r="E138" s="181">
        <v>45405</v>
      </c>
      <c r="F138" s="180" t="s">
        <v>798</v>
      </c>
      <c r="G138" s="180" t="s">
        <v>799</v>
      </c>
      <c r="H138" s="180" t="s">
        <v>800</v>
      </c>
      <c r="I138" s="180" t="s">
        <v>798</v>
      </c>
      <c r="J138" s="180" t="s">
        <v>376</v>
      </c>
      <c r="L138" s="180">
        <v>4.5</v>
      </c>
      <c r="M138" s="180">
        <v>29.279199999999999</v>
      </c>
      <c r="N138" s="182">
        <v>131.76</v>
      </c>
      <c r="O138" s="182">
        <v>14.49</v>
      </c>
    </row>
    <row r="139" spans="1:15" hidden="1" x14ac:dyDescent="0.25">
      <c r="A139" s="180" t="s">
        <v>658</v>
      </c>
      <c r="B139" s="180" t="s">
        <v>659</v>
      </c>
      <c r="D139" s="180" t="s">
        <v>797</v>
      </c>
      <c r="E139" s="181">
        <v>45405</v>
      </c>
      <c r="F139" s="180" t="s">
        <v>794</v>
      </c>
      <c r="G139" s="180" t="s">
        <v>795</v>
      </c>
      <c r="H139" s="180" t="s">
        <v>796</v>
      </c>
      <c r="I139" s="180" t="s">
        <v>794</v>
      </c>
      <c r="J139" s="180" t="s">
        <v>376</v>
      </c>
      <c r="L139" s="180">
        <v>86</v>
      </c>
      <c r="M139" s="180">
        <v>36.036000000000001</v>
      </c>
      <c r="N139" s="182">
        <v>3099.1</v>
      </c>
      <c r="O139" s="182">
        <v>340.9</v>
      </c>
    </row>
    <row r="140" spans="1:15" hidden="1" x14ac:dyDescent="0.25">
      <c r="A140" s="180" t="s">
        <v>658</v>
      </c>
      <c r="B140" s="180" t="s">
        <v>659</v>
      </c>
      <c r="D140" s="180" t="s">
        <v>797</v>
      </c>
      <c r="E140" s="181">
        <v>45405</v>
      </c>
      <c r="F140" s="180" t="s">
        <v>761</v>
      </c>
      <c r="G140" s="180" t="s">
        <v>762</v>
      </c>
      <c r="H140" s="180" t="s">
        <v>763</v>
      </c>
      <c r="J140" s="180" t="s">
        <v>376</v>
      </c>
      <c r="L140" s="180">
        <v>80.25</v>
      </c>
      <c r="M140" s="180">
        <v>36.936900000000001</v>
      </c>
      <c r="N140" s="182">
        <v>2964.19</v>
      </c>
      <c r="O140" s="182">
        <v>326.06</v>
      </c>
    </row>
    <row r="141" spans="1:15" hidden="1" x14ac:dyDescent="0.25">
      <c r="A141" s="180" t="s">
        <v>658</v>
      </c>
      <c r="B141" s="180" t="s">
        <v>659</v>
      </c>
      <c r="D141" s="180" t="s">
        <v>797</v>
      </c>
      <c r="E141" s="181">
        <v>45405</v>
      </c>
      <c r="F141" s="180" t="s">
        <v>723</v>
      </c>
      <c r="G141" s="180" t="s">
        <v>724</v>
      </c>
      <c r="H141" s="180" t="s">
        <v>725</v>
      </c>
      <c r="I141" s="180" t="s">
        <v>726</v>
      </c>
      <c r="J141" s="180" t="s">
        <v>376</v>
      </c>
      <c r="L141" s="180">
        <v>36.5</v>
      </c>
      <c r="M141" s="180">
        <v>36.036000000000001</v>
      </c>
      <c r="N141" s="182">
        <v>1315.31</v>
      </c>
      <c r="O141" s="182">
        <v>144.68</v>
      </c>
    </row>
    <row r="142" spans="1:15" hidden="1" x14ac:dyDescent="0.25">
      <c r="A142" s="180" t="s">
        <v>658</v>
      </c>
      <c r="B142" s="180" t="s">
        <v>659</v>
      </c>
      <c r="D142" s="180" t="s">
        <v>797</v>
      </c>
      <c r="E142" s="181">
        <v>45405</v>
      </c>
      <c r="F142" s="180" t="s">
        <v>767</v>
      </c>
      <c r="G142" s="180" t="s">
        <v>768</v>
      </c>
      <c r="H142" s="180" t="s">
        <v>769</v>
      </c>
      <c r="I142" s="180" t="s">
        <v>767</v>
      </c>
      <c r="J142" s="180" t="s">
        <v>376</v>
      </c>
      <c r="L142" s="180">
        <v>8</v>
      </c>
      <c r="M142" s="180">
        <v>31.531500000000001</v>
      </c>
      <c r="N142" s="182">
        <v>252.25</v>
      </c>
      <c r="O142" s="182">
        <v>27.75</v>
      </c>
    </row>
    <row r="143" spans="1:15" hidden="1" x14ac:dyDescent="0.25">
      <c r="A143" s="180" t="s">
        <v>658</v>
      </c>
      <c r="B143" s="180" t="s">
        <v>659</v>
      </c>
      <c r="D143" s="180" t="s">
        <v>797</v>
      </c>
      <c r="E143" s="181">
        <v>45405</v>
      </c>
      <c r="F143" s="180" t="s">
        <v>703</v>
      </c>
      <c r="G143" s="180" t="s">
        <v>704</v>
      </c>
      <c r="H143" s="180" t="s">
        <v>705</v>
      </c>
      <c r="I143" s="180" t="s">
        <v>706</v>
      </c>
      <c r="J143" s="180" t="s">
        <v>376</v>
      </c>
      <c r="L143" s="180">
        <v>4</v>
      </c>
      <c r="M143" s="180">
        <v>29.279199999999999</v>
      </c>
      <c r="N143" s="182">
        <v>117.12</v>
      </c>
      <c r="O143" s="182">
        <v>12.88</v>
      </c>
    </row>
    <row r="144" spans="1:15" hidden="1" x14ac:dyDescent="0.25">
      <c r="A144" s="180" t="s">
        <v>658</v>
      </c>
      <c r="B144" s="180" t="s">
        <v>659</v>
      </c>
      <c r="D144" s="180" t="s">
        <v>801</v>
      </c>
      <c r="E144" s="181">
        <v>45433</v>
      </c>
      <c r="F144" s="180" t="s">
        <v>732</v>
      </c>
      <c r="G144" s="180" t="s">
        <v>733</v>
      </c>
      <c r="H144" s="180" t="s">
        <v>734</v>
      </c>
      <c r="I144" s="180" t="s">
        <v>735</v>
      </c>
      <c r="J144" s="180" t="s">
        <v>376</v>
      </c>
      <c r="L144" s="180">
        <v>72</v>
      </c>
      <c r="M144" s="180">
        <v>39.639600000000002</v>
      </c>
      <c r="N144" s="182">
        <v>2854.05</v>
      </c>
      <c r="O144" s="182">
        <v>313.95</v>
      </c>
    </row>
    <row r="145" spans="1:15" hidden="1" x14ac:dyDescent="0.25">
      <c r="A145" s="180" t="s">
        <v>658</v>
      </c>
      <c r="B145" s="180" t="s">
        <v>659</v>
      </c>
      <c r="D145" s="180" t="s">
        <v>801</v>
      </c>
      <c r="E145" s="181">
        <v>45433</v>
      </c>
      <c r="F145" s="180" t="s">
        <v>661</v>
      </c>
      <c r="G145" s="180" t="s">
        <v>662</v>
      </c>
      <c r="H145" s="180" t="s">
        <v>663</v>
      </c>
      <c r="I145" s="180" t="s">
        <v>664</v>
      </c>
      <c r="J145" s="180" t="s">
        <v>665</v>
      </c>
      <c r="L145" s="180">
        <v>8.5</v>
      </c>
      <c r="M145" s="180">
        <v>58.558500000000002</v>
      </c>
      <c r="N145" s="182">
        <v>497.75</v>
      </c>
      <c r="O145" s="182">
        <v>54.75</v>
      </c>
    </row>
    <row r="146" spans="1:15" hidden="1" x14ac:dyDescent="0.25">
      <c r="A146" s="180" t="s">
        <v>658</v>
      </c>
      <c r="B146" s="180" t="s">
        <v>659</v>
      </c>
      <c r="D146" s="180" t="s">
        <v>801</v>
      </c>
      <c r="E146" s="181">
        <v>45433</v>
      </c>
      <c r="F146" s="180" t="s">
        <v>669</v>
      </c>
      <c r="G146" s="180" t="s">
        <v>670</v>
      </c>
      <c r="H146" s="180" t="s">
        <v>671</v>
      </c>
      <c r="I146" s="180" t="s">
        <v>669</v>
      </c>
      <c r="J146" s="180" t="s">
        <v>376</v>
      </c>
      <c r="L146" s="180">
        <v>12.75</v>
      </c>
      <c r="M146" s="180">
        <v>36.036000000000001</v>
      </c>
      <c r="N146" s="182">
        <v>459.46</v>
      </c>
      <c r="O146" s="182">
        <v>50.54</v>
      </c>
    </row>
    <row r="147" spans="1:15" hidden="1" x14ac:dyDescent="0.25">
      <c r="A147" s="180" t="s">
        <v>658</v>
      </c>
      <c r="B147" s="180" t="s">
        <v>659</v>
      </c>
      <c r="D147" s="180" t="s">
        <v>801</v>
      </c>
      <c r="E147" s="181">
        <v>45433</v>
      </c>
      <c r="F147" s="180" t="s">
        <v>672</v>
      </c>
      <c r="G147" s="180" t="s">
        <v>673</v>
      </c>
      <c r="H147" s="180" t="s">
        <v>674</v>
      </c>
      <c r="I147" s="180" t="s">
        <v>672</v>
      </c>
      <c r="J147" s="180" t="s">
        <v>376</v>
      </c>
      <c r="L147" s="180">
        <v>20.75</v>
      </c>
      <c r="M147" s="180">
        <v>29.279199999999999</v>
      </c>
      <c r="N147" s="182">
        <v>607.54</v>
      </c>
      <c r="O147" s="182">
        <v>66.83</v>
      </c>
    </row>
    <row r="148" spans="1:15" hidden="1" x14ac:dyDescent="0.25">
      <c r="A148" s="180" t="s">
        <v>658</v>
      </c>
      <c r="B148" s="180" t="s">
        <v>659</v>
      </c>
      <c r="D148" s="180" t="s">
        <v>801</v>
      </c>
      <c r="E148" s="181">
        <v>45433</v>
      </c>
      <c r="F148" s="180" t="s">
        <v>688</v>
      </c>
      <c r="G148" s="180" t="s">
        <v>689</v>
      </c>
      <c r="H148" s="180" t="s">
        <v>690</v>
      </c>
      <c r="I148" s="180" t="s">
        <v>691</v>
      </c>
      <c r="J148" s="180" t="s">
        <v>665</v>
      </c>
      <c r="L148" s="180">
        <v>17</v>
      </c>
      <c r="M148" s="180">
        <v>36.036000000000001</v>
      </c>
      <c r="N148" s="182">
        <v>612.61</v>
      </c>
      <c r="O148" s="182">
        <v>67.39</v>
      </c>
    </row>
    <row r="149" spans="1:15" hidden="1" x14ac:dyDescent="0.25">
      <c r="A149" s="180" t="s">
        <v>658</v>
      </c>
      <c r="B149" s="180" t="s">
        <v>659</v>
      </c>
      <c r="D149" s="180" t="s">
        <v>801</v>
      </c>
      <c r="E149" s="181">
        <v>45433</v>
      </c>
      <c r="F149" s="180" t="s">
        <v>792</v>
      </c>
      <c r="G149" s="180" t="s">
        <v>793</v>
      </c>
      <c r="H149" s="180" t="s">
        <v>698</v>
      </c>
      <c r="I149" s="180" t="s">
        <v>792</v>
      </c>
      <c r="J149" s="180" t="s">
        <v>376</v>
      </c>
      <c r="L149" s="180">
        <v>12</v>
      </c>
      <c r="M149" s="180">
        <v>36.036000000000001</v>
      </c>
      <c r="N149" s="182">
        <v>432.43</v>
      </c>
      <c r="O149" s="182">
        <v>47.57</v>
      </c>
    </row>
    <row r="150" spans="1:15" hidden="1" x14ac:dyDescent="0.25">
      <c r="A150" s="180" t="s">
        <v>658</v>
      </c>
      <c r="B150" s="180" t="s">
        <v>659</v>
      </c>
      <c r="D150" s="180" t="s">
        <v>801</v>
      </c>
      <c r="E150" s="181">
        <v>45433</v>
      </c>
      <c r="F150" s="180" t="s">
        <v>752</v>
      </c>
      <c r="G150" s="180" t="s">
        <v>753</v>
      </c>
      <c r="H150" s="180" t="s">
        <v>754</v>
      </c>
      <c r="I150" s="180" t="s">
        <v>752</v>
      </c>
      <c r="J150" s="180" t="s">
        <v>376</v>
      </c>
      <c r="L150" s="180">
        <v>66.25</v>
      </c>
      <c r="M150" s="180">
        <v>29.279299999999999</v>
      </c>
      <c r="N150" s="182">
        <v>1939.75</v>
      </c>
      <c r="O150" s="182">
        <v>213.37</v>
      </c>
    </row>
    <row r="151" spans="1:15" x14ac:dyDescent="0.25">
      <c r="A151" s="180" t="s">
        <v>658</v>
      </c>
      <c r="B151" s="180" t="s">
        <v>659</v>
      </c>
      <c r="D151" s="180" t="s">
        <v>801</v>
      </c>
      <c r="E151" s="181">
        <v>45433</v>
      </c>
      <c r="F151" s="180" t="s">
        <v>692</v>
      </c>
      <c r="G151" s="180" t="s">
        <v>693</v>
      </c>
      <c r="H151" s="180" t="s">
        <v>694</v>
      </c>
      <c r="I151" s="180" t="s">
        <v>692</v>
      </c>
      <c r="J151" s="180" t="s">
        <v>695</v>
      </c>
      <c r="L151" s="180">
        <v>19.5</v>
      </c>
      <c r="M151" s="180">
        <v>40.540500000000002</v>
      </c>
      <c r="N151" s="182">
        <v>790.54</v>
      </c>
      <c r="O151" s="182">
        <v>86.96</v>
      </c>
    </row>
    <row r="152" spans="1:15" hidden="1" x14ac:dyDescent="0.25">
      <c r="A152" s="180" t="s">
        <v>658</v>
      </c>
      <c r="B152" s="180" t="s">
        <v>659</v>
      </c>
      <c r="D152" s="180" t="s">
        <v>801</v>
      </c>
      <c r="E152" s="181">
        <v>45433</v>
      </c>
      <c r="F152" s="180" t="s">
        <v>794</v>
      </c>
      <c r="G152" s="180" t="s">
        <v>795</v>
      </c>
      <c r="H152" s="180" t="s">
        <v>796</v>
      </c>
      <c r="I152" s="180" t="s">
        <v>794</v>
      </c>
      <c r="J152" s="180" t="s">
        <v>376</v>
      </c>
      <c r="L152" s="180">
        <v>80</v>
      </c>
      <c r="M152" s="180">
        <v>36.036000000000001</v>
      </c>
      <c r="N152" s="182">
        <v>2882.88</v>
      </c>
      <c r="O152" s="182">
        <v>317.12</v>
      </c>
    </row>
    <row r="153" spans="1:15" hidden="1" x14ac:dyDescent="0.25">
      <c r="A153" s="180" t="s">
        <v>658</v>
      </c>
      <c r="B153" s="180" t="s">
        <v>659</v>
      </c>
      <c r="D153" s="180" t="s">
        <v>801</v>
      </c>
      <c r="E153" s="181">
        <v>45433</v>
      </c>
      <c r="F153" s="180" t="s">
        <v>761</v>
      </c>
      <c r="G153" s="180" t="s">
        <v>762</v>
      </c>
      <c r="H153" s="180" t="s">
        <v>763</v>
      </c>
      <c r="J153" s="180" t="s">
        <v>376</v>
      </c>
      <c r="L153" s="180">
        <v>80.5</v>
      </c>
      <c r="M153" s="180">
        <v>36.936900000000001</v>
      </c>
      <c r="N153" s="182">
        <v>2973.42</v>
      </c>
      <c r="O153" s="182">
        <v>327.08</v>
      </c>
    </row>
    <row r="154" spans="1:15" hidden="1" x14ac:dyDescent="0.25">
      <c r="A154" s="180" t="s">
        <v>658</v>
      </c>
      <c r="B154" s="180" t="s">
        <v>659</v>
      </c>
      <c r="D154" s="180" t="s">
        <v>801</v>
      </c>
      <c r="E154" s="181">
        <v>45433</v>
      </c>
      <c r="F154" s="180" t="s">
        <v>723</v>
      </c>
      <c r="G154" s="180" t="s">
        <v>724</v>
      </c>
      <c r="H154" s="180" t="s">
        <v>725</v>
      </c>
      <c r="I154" s="180" t="s">
        <v>726</v>
      </c>
      <c r="J154" s="180" t="s">
        <v>376</v>
      </c>
      <c r="L154" s="180">
        <v>71.5</v>
      </c>
      <c r="M154" s="180">
        <v>36.036000000000001</v>
      </c>
      <c r="N154" s="182">
        <v>2576.5700000000002</v>
      </c>
      <c r="O154" s="182">
        <v>283.42</v>
      </c>
    </row>
    <row r="155" spans="1:15" hidden="1" x14ac:dyDescent="0.25">
      <c r="A155" s="180" t="s">
        <v>658</v>
      </c>
      <c r="B155" s="180" t="s">
        <v>659</v>
      </c>
      <c r="D155" s="180" t="s">
        <v>801</v>
      </c>
      <c r="E155" s="181">
        <v>45433</v>
      </c>
      <c r="F155" s="180" t="s">
        <v>764</v>
      </c>
      <c r="G155" s="180" t="s">
        <v>765</v>
      </c>
      <c r="H155" s="180" t="s">
        <v>766</v>
      </c>
      <c r="J155" s="180" t="s">
        <v>376</v>
      </c>
      <c r="L155" s="180">
        <v>11</v>
      </c>
      <c r="M155" s="180">
        <v>29.279199999999999</v>
      </c>
      <c r="N155" s="182">
        <v>322.07</v>
      </c>
      <c r="O155" s="182">
        <v>35.43</v>
      </c>
    </row>
    <row r="156" spans="1:15" hidden="1" x14ac:dyDescent="0.25">
      <c r="A156" s="180" t="s">
        <v>658</v>
      </c>
      <c r="B156" s="180" t="s">
        <v>659</v>
      </c>
      <c r="D156" s="180" t="s">
        <v>801</v>
      </c>
      <c r="E156" s="181">
        <v>45433</v>
      </c>
      <c r="F156" s="180" t="s">
        <v>767</v>
      </c>
      <c r="G156" s="180" t="s">
        <v>768</v>
      </c>
      <c r="H156" s="180" t="s">
        <v>769</v>
      </c>
      <c r="I156" s="180" t="s">
        <v>767</v>
      </c>
      <c r="J156" s="180" t="s">
        <v>376</v>
      </c>
      <c r="L156" s="180">
        <v>29</v>
      </c>
      <c r="M156" s="180">
        <v>31.531500000000001</v>
      </c>
      <c r="N156" s="182">
        <v>914.41</v>
      </c>
      <c r="O156" s="182">
        <v>100.59</v>
      </c>
    </row>
    <row r="157" spans="1:15" hidden="1" x14ac:dyDescent="0.25">
      <c r="A157" s="180" t="s">
        <v>658</v>
      </c>
      <c r="B157" s="180" t="s">
        <v>659</v>
      </c>
      <c r="D157" s="180" t="s">
        <v>801</v>
      </c>
      <c r="E157" s="181">
        <v>45433</v>
      </c>
      <c r="F157" s="180" t="s">
        <v>703</v>
      </c>
      <c r="G157" s="180" t="s">
        <v>704</v>
      </c>
      <c r="H157" s="180" t="s">
        <v>705</v>
      </c>
      <c r="I157" s="180" t="s">
        <v>706</v>
      </c>
      <c r="J157" s="180" t="s">
        <v>376</v>
      </c>
      <c r="L157" s="180">
        <v>25</v>
      </c>
      <c r="M157" s="180">
        <v>29.279199999999999</v>
      </c>
      <c r="N157" s="182">
        <v>731.98</v>
      </c>
      <c r="O157" s="182">
        <v>80.52</v>
      </c>
    </row>
    <row r="158" spans="1:15" hidden="1" x14ac:dyDescent="0.25">
      <c r="A158" s="180" t="s">
        <v>658</v>
      </c>
      <c r="B158" s="180" t="s">
        <v>659</v>
      </c>
      <c r="D158" s="180" t="s">
        <v>802</v>
      </c>
      <c r="E158" s="181">
        <v>45447</v>
      </c>
      <c r="F158" s="180" t="s">
        <v>732</v>
      </c>
      <c r="G158" s="180" t="s">
        <v>733</v>
      </c>
      <c r="H158" s="180" t="s">
        <v>734</v>
      </c>
      <c r="I158" s="180" t="s">
        <v>735</v>
      </c>
      <c r="J158" s="180" t="s">
        <v>376</v>
      </c>
      <c r="L158" s="180">
        <v>16</v>
      </c>
      <c r="M158" s="180">
        <v>39.639600000000002</v>
      </c>
      <c r="N158" s="182">
        <v>634.23</v>
      </c>
      <c r="O158" s="182">
        <v>69.77</v>
      </c>
    </row>
    <row r="159" spans="1:15" hidden="1" x14ac:dyDescent="0.25">
      <c r="A159" s="180" t="s">
        <v>658</v>
      </c>
      <c r="B159" s="180" t="s">
        <v>659</v>
      </c>
      <c r="D159" s="180" t="s">
        <v>802</v>
      </c>
      <c r="E159" s="181">
        <v>45447</v>
      </c>
      <c r="F159" s="180" t="s">
        <v>661</v>
      </c>
      <c r="G159" s="180" t="s">
        <v>662</v>
      </c>
      <c r="H159" s="180" t="s">
        <v>663</v>
      </c>
      <c r="I159" s="180" t="s">
        <v>664</v>
      </c>
      <c r="J159" s="180" t="s">
        <v>665</v>
      </c>
      <c r="L159" s="180">
        <v>7</v>
      </c>
      <c r="M159" s="180">
        <v>58.558500000000002</v>
      </c>
      <c r="N159" s="182">
        <v>409.91</v>
      </c>
      <c r="O159" s="182">
        <v>45.09</v>
      </c>
    </row>
    <row r="160" spans="1:15" hidden="1" x14ac:dyDescent="0.25">
      <c r="A160" s="180" t="s">
        <v>658</v>
      </c>
      <c r="B160" s="180" t="s">
        <v>659</v>
      </c>
      <c r="D160" s="180" t="s">
        <v>802</v>
      </c>
      <c r="E160" s="181">
        <v>45447</v>
      </c>
      <c r="F160" s="180" t="s">
        <v>669</v>
      </c>
      <c r="G160" s="180" t="s">
        <v>670</v>
      </c>
      <c r="H160" s="180" t="s">
        <v>671</v>
      </c>
      <c r="I160" s="180" t="s">
        <v>669</v>
      </c>
      <c r="J160" s="180" t="s">
        <v>376</v>
      </c>
      <c r="L160" s="180">
        <v>33.5</v>
      </c>
      <c r="M160" s="180">
        <v>36.036000000000001</v>
      </c>
      <c r="N160" s="182">
        <v>1207.21</v>
      </c>
      <c r="O160" s="182">
        <v>132.79</v>
      </c>
    </row>
    <row r="161" spans="1:15" hidden="1" x14ac:dyDescent="0.25">
      <c r="A161" s="180" t="s">
        <v>658</v>
      </c>
      <c r="B161" s="180" t="s">
        <v>659</v>
      </c>
      <c r="D161" s="180" t="s">
        <v>802</v>
      </c>
      <c r="E161" s="181">
        <v>45447</v>
      </c>
      <c r="F161" s="180" t="s">
        <v>739</v>
      </c>
      <c r="G161" s="180" t="s">
        <v>740</v>
      </c>
      <c r="H161" s="180" t="s">
        <v>741</v>
      </c>
      <c r="I161" s="180" t="s">
        <v>739</v>
      </c>
      <c r="J161" s="180" t="s">
        <v>376</v>
      </c>
      <c r="L161" s="180">
        <v>7.25</v>
      </c>
      <c r="M161" s="180">
        <v>36.036000000000001</v>
      </c>
      <c r="N161" s="182">
        <v>261.26</v>
      </c>
      <c r="O161" s="182">
        <v>28.74</v>
      </c>
    </row>
    <row r="162" spans="1:15" hidden="1" x14ac:dyDescent="0.25">
      <c r="A162" s="180" t="s">
        <v>658</v>
      </c>
      <c r="B162" s="180" t="s">
        <v>659</v>
      </c>
      <c r="D162" s="180" t="s">
        <v>802</v>
      </c>
      <c r="E162" s="181">
        <v>45447</v>
      </c>
      <c r="F162" s="180" t="s">
        <v>672</v>
      </c>
      <c r="G162" s="180" t="s">
        <v>673</v>
      </c>
      <c r="H162" s="180" t="s">
        <v>674</v>
      </c>
      <c r="I162" s="180" t="s">
        <v>672</v>
      </c>
      <c r="J162" s="180" t="s">
        <v>376</v>
      </c>
      <c r="L162" s="180">
        <v>24</v>
      </c>
      <c r="M162" s="180">
        <v>29.279199999999999</v>
      </c>
      <c r="N162" s="182">
        <v>702.7</v>
      </c>
      <c r="O162" s="182">
        <v>77.3</v>
      </c>
    </row>
    <row r="163" spans="1:15" hidden="1" x14ac:dyDescent="0.25">
      <c r="A163" s="180" t="s">
        <v>658</v>
      </c>
      <c r="B163" s="180" t="s">
        <v>659</v>
      </c>
      <c r="D163" s="180" t="s">
        <v>802</v>
      </c>
      <c r="E163" s="181">
        <v>45447</v>
      </c>
      <c r="F163" s="180" t="s">
        <v>713</v>
      </c>
      <c r="G163" s="180" t="s">
        <v>714</v>
      </c>
      <c r="H163" s="180" t="s">
        <v>715</v>
      </c>
      <c r="I163" s="180" t="s">
        <v>716</v>
      </c>
      <c r="J163" s="180" t="s">
        <v>376</v>
      </c>
      <c r="L163" s="180">
        <v>8</v>
      </c>
      <c r="M163" s="180">
        <v>29.279199999999999</v>
      </c>
      <c r="N163" s="182">
        <v>234.23</v>
      </c>
      <c r="O163" s="182">
        <v>25.77</v>
      </c>
    </row>
    <row r="164" spans="1:15" hidden="1" x14ac:dyDescent="0.25">
      <c r="A164" s="180" t="s">
        <v>658</v>
      </c>
      <c r="B164" s="180" t="s">
        <v>659</v>
      </c>
      <c r="D164" s="180" t="s">
        <v>802</v>
      </c>
      <c r="E164" s="181">
        <v>45447</v>
      </c>
      <c r="F164" s="180" t="s">
        <v>688</v>
      </c>
      <c r="G164" s="180" t="s">
        <v>689</v>
      </c>
      <c r="H164" s="180" t="s">
        <v>690</v>
      </c>
      <c r="I164" s="180" t="s">
        <v>691</v>
      </c>
      <c r="J164" s="180" t="s">
        <v>665</v>
      </c>
      <c r="L164" s="180">
        <v>16.5</v>
      </c>
      <c r="M164" s="180">
        <v>36.036000000000001</v>
      </c>
      <c r="N164" s="182">
        <v>594.59</v>
      </c>
      <c r="O164" s="182">
        <v>65.41</v>
      </c>
    </row>
    <row r="165" spans="1:15" hidden="1" x14ac:dyDescent="0.25">
      <c r="A165" s="180" t="s">
        <v>658</v>
      </c>
      <c r="B165" s="180" t="s">
        <v>659</v>
      </c>
      <c r="D165" s="180" t="s">
        <v>802</v>
      </c>
      <c r="E165" s="181">
        <v>45447</v>
      </c>
      <c r="F165" s="180" t="s">
        <v>803</v>
      </c>
      <c r="G165" s="180" t="s">
        <v>804</v>
      </c>
      <c r="H165" s="180" t="s">
        <v>805</v>
      </c>
      <c r="J165" s="180" t="s">
        <v>376</v>
      </c>
      <c r="L165" s="180">
        <v>4</v>
      </c>
      <c r="M165" s="180">
        <v>31.531500000000001</v>
      </c>
      <c r="N165" s="182">
        <v>126.13</v>
      </c>
      <c r="O165" s="182">
        <v>13.87</v>
      </c>
    </row>
    <row r="166" spans="1:15" hidden="1" x14ac:dyDescent="0.25">
      <c r="A166" s="180" t="s">
        <v>658</v>
      </c>
      <c r="B166" s="180" t="s">
        <v>659</v>
      </c>
      <c r="D166" s="180" t="s">
        <v>802</v>
      </c>
      <c r="E166" s="181">
        <v>45447</v>
      </c>
      <c r="F166" s="180" t="s">
        <v>792</v>
      </c>
      <c r="G166" s="180" t="s">
        <v>793</v>
      </c>
      <c r="H166" s="180" t="s">
        <v>698</v>
      </c>
      <c r="I166" s="180" t="s">
        <v>792</v>
      </c>
      <c r="J166" s="180" t="s">
        <v>376</v>
      </c>
      <c r="L166" s="180">
        <v>4</v>
      </c>
      <c r="M166" s="180">
        <v>36.036000000000001</v>
      </c>
      <c r="N166" s="182">
        <v>144.13999999999999</v>
      </c>
      <c r="O166" s="182">
        <v>15.86</v>
      </c>
    </row>
    <row r="167" spans="1:15" hidden="1" x14ac:dyDescent="0.25">
      <c r="A167" s="180" t="s">
        <v>658</v>
      </c>
      <c r="B167" s="180" t="s">
        <v>659</v>
      </c>
      <c r="D167" s="180" t="s">
        <v>802</v>
      </c>
      <c r="E167" s="181">
        <v>45447</v>
      </c>
      <c r="F167" s="180" t="s">
        <v>752</v>
      </c>
      <c r="G167" s="180" t="s">
        <v>753</v>
      </c>
      <c r="H167" s="180" t="s">
        <v>754</v>
      </c>
      <c r="I167" s="180" t="s">
        <v>752</v>
      </c>
      <c r="J167" s="180" t="s">
        <v>376</v>
      </c>
      <c r="L167" s="180">
        <v>53.75</v>
      </c>
      <c r="M167" s="180">
        <v>29.279299999999999</v>
      </c>
      <c r="N167" s="182">
        <v>1573.76</v>
      </c>
      <c r="O167" s="182">
        <v>173.11</v>
      </c>
    </row>
    <row r="168" spans="1:15" x14ac:dyDescent="0.25">
      <c r="A168" s="180" t="s">
        <v>658</v>
      </c>
      <c r="B168" s="180" t="s">
        <v>659</v>
      </c>
      <c r="D168" s="180" t="s">
        <v>802</v>
      </c>
      <c r="E168" s="181">
        <v>45447</v>
      </c>
      <c r="F168" s="180" t="s">
        <v>692</v>
      </c>
      <c r="G168" s="180" t="s">
        <v>693</v>
      </c>
      <c r="H168" s="180" t="s">
        <v>694</v>
      </c>
      <c r="I168" s="180" t="s">
        <v>692</v>
      </c>
      <c r="J168" s="180" t="s">
        <v>695</v>
      </c>
      <c r="L168" s="180">
        <v>7.5</v>
      </c>
      <c r="M168" s="180">
        <v>40.540500000000002</v>
      </c>
      <c r="N168" s="182">
        <v>304.05</v>
      </c>
      <c r="O168" s="182">
        <v>33.450000000000003</v>
      </c>
    </row>
    <row r="169" spans="1:15" hidden="1" x14ac:dyDescent="0.25">
      <c r="A169" s="180" t="s">
        <v>658</v>
      </c>
      <c r="B169" s="180" t="s">
        <v>659</v>
      </c>
      <c r="D169" s="180" t="s">
        <v>802</v>
      </c>
      <c r="E169" s="181">
        <v>45447</v>
      </c>
      <c r="F169" s="180" t="s">
        <v>755</v>
      </c>
      <c r="G169" s="180" t="s">
        <v>756</v>
      </c>
      <c r="H169" s="180" t="s">
        <v>757</v>
      </c>
      <c r="I169" s="180" t="s">
        <v>755</v>
      </c>
      <c r="J169" s="180" t="s">
        <v>376</v>
      </c>
      <c r="L169" s="180">
        <v>7.75</v>
      </c>
      <c r="M169" s="180">
        <v>36.036000000000001</v>
      </c>
      <c r="N169" s="182">
        <v>279.27999999999997</v>
      </c>
      <c r="O169" s="182">
        <v>30.72</v>
      </c>
    </row>
    <row r="170" spans="1:15" hidden="1" x14ac:dyDescent="0.25">
      <c r="A170" s="180" t="s">
        <v>658</v>
      </c>
      <c r="B170" s="180" t="s">
        <v>659</v>
      </c>
      <c r="D170" s="180" t="s">
        <v>802</v>
      </c>
      <c r="E170" s="181">
        <v>45447</v>
      </c>
      <c r="F170" s="180" t="s">
        <v>794</v>
      </c>
      <c r="G170" s="180" t="s">
        <v>795</v>
      </c>
      <c r="H170" s="180" t="s">
        <v>796</v>
      </c>
      <c r="I170" s="180" t="s">
        <v>794</v>
      </c>
      <c r="J170" s="180" t="s">
        <v>376</v>
      </c>
      <c r="L170" s="180">
        <v>55.75</v>
      </c>
      <c r="M170" s="180">
        <v>36.036000000000001</v>
      </c>
      <c r="N170" s="182">
        <v>2009.01</v>
      </c>
      <c r="O170" s="182">
        <v>220.99</v>
      </c>
    </row>
    <row r="171" spans="1:15" hidden="1" x14ac:dyDescent="0.25">
      <c r="A171" s="180" t="s">
        <v>658</v>
      </c>
      <c r="B171" s="180" t="s">
        <v>659</v>
      </c>
      <c r="D171" s="180" t="s">
        <v>802</v>
      </c>
      <c r="E171" s="181">
        <v>45447</v>
      </c>
      <c r="F171" s="180" t="s">
        <v>761</v>
      </c>
      <c r="G171" s="180" t="s">
        <v>762</v>
      </c>
      <c r="H171" s="180" t="s">
        <v>763</v>
      </c>
      <c r="J171" s="180" t="s">
        <v>376</v>
      </c>
      <c r="L171" s="180">
        <v>8</v>
      </c>
      <c r="M171" s="180">
        <v>36.936900000000001</v>
      </c>
      <c r="N171" s="182">
        <v>295.5</v>
      </c>
      <c r="O171" s="182">
        <v>32.5</v>
      </c>
    </row>
    <row r="172" spans="1:15" hidden="1" x14ac:dyDescent="0.25">
      <c r="A172" s="180" t="s">
        <v>658</v>
      </c>
      <c r="B172" s="180" t="s">
        <v>659</v>
      </c>
      <c r="D172" s="180" t="s">
        <v>802</v>
      </c>
      <c r="E172" s="181">
        <v>45447</v>
      </c>
      <c r="F172" s="180" t="s">
        <v>723</v>
      </c>
      <c r="G172" s="180" t="s">
        <v>724</v>
      </c>
      <c r="H172" s="180" t="s">
        <v>725</v>
      </c>
      <c r="I172" s="180" t="s">
        <v>726</v>
      </c>
      <c r="J172" s="180" t="s">
        <v>376</v>
      </c>
      <c r="L172" s="180">
        <v>12.25</v>
      </c>
      <c r="M172" s="180">
        <v>36.036000000000001</v>
      </c>
      <c r="N172" s="182">
        <v>441.44</v>
      </c>
      <c r="O172" s="182">
        <v>48.56</v>
      </c>
    </row>
    <row r="173" spans="1:15" hidden="1" x14ac:dyDescent="0.25">
      <c r="A173" s="180" t="s">
        <v>658</v>
      </c>
      <c r="B173" s="180" t="s">
        <v>659</v>
      </c>
      <c r="D173" s="180" t="s">
        <v>802</v>
      </c>
      <c r="E173" s="181">
        <v>45447</v>
      </c>
      <c r="F173" s="180" t="s">
        <v>764</v>
      </c>
      <c r="G173" s="180" t="s">
        <v>765</v>
      </c>
      <c r="H173" s="180" t="s">
        <v>766</v>
      </c>
      <c r="J173" s="180" t="s">
        <v>376</v>
      </c>
      <c r="L173" s="180">
        <v>3.75</v>
      </c>
      <c r="M173" s="180">
        <v>29.279199999999999</v>
      </c>
      <c r="N173" s="182">
        <v>109.8</v>
      </c>
      <c r="O173" s="182">
        <v>12.08</v>
      </c>
    </row>
    <row r="174" spans="1:15" hidden="1" x14ac:dyDescent="0.25">
      <c r="A174" s="180" t="s">
        <v>658</v>
      </c>
      <c r="B174" s="180" t="s">
        <v>659</v>
      </c>
      <c r="D174" s="180" t="s">
        <v>802</v>
      </c>
      <c r="E174" s="181">
        <v>45447</v>
      </c>
      <c r="F174" s="180" t="s">
        <v>767</v>
      </c>
      <c r="G174" s="180" t="s">
        <v>768</v>
      </c>
      <c r="H174" s="180" t="s">
        <v>769</v>
      </c>
      <c r="I174" s="180" t="s">
        <v>767</v>
      </c>
      <c r="J174" s="180" t="s">
        <v>376</v>
      </c>
      <c r="L174" s="180">
        <v>22</v>
      </c>
      <c r="M174" s="180">
        <v>31.531500000000001</v>
      </c>
      <c r="N174" s="182">
        <v>693.69</v>
      </c>
      <c r="O174" s="182">
        <v>76.31</v>
      </c>
    </row>
    <row r="175" spans="1:15" hidden="1" x14ac:dyDescent="0.25">
      <c r="A175" s="180" t="s">
        <v>658</v>
      </c>
      <c r="B175" s="180" t="s">
        <v>659</v>
      </c>
      <c r="D175" s="180" t="s">
        <v>802</v>
      </c>
      <c r="E175" s="181">
        <v>45447</v>
      </c>
      <c r="F175" s="180" t="s">
        <v>703</v>
      </c>
      <c r="G175" s="180" t="s">
        <v>704</v>
      </c>
      <c r="H175" s="180" t="s">
        <v>705</v>
      </c>
      <c r="I175" s="180" t="s">
        <v>706</v>
      </c>
      <c r="J175" s="180" t="s">
        <v>376</v>
      </c>
      <c r="L175" s="180">
        <v>6</v>
      </c>
      <c r="M175" s="180">
        <v>29.279199999999999</v>
      </c>
      <c r="N175" s="182">
        <v>175.68</v>
      </c>
      <c r="O175" s="182">
        <v>19.32</v>
      </c>
    </row>
    <row r="176" spans="1:15" x14ac:dyDescent="0.25">
      <c r="A176" s="180" t="s">
        <v>658</v>
      </c>
      <c r="B176" s="180" t="s">
        <v>659</v>
      </c>
      <c r="D176" s="180" t="s">
        <v>806</v>
      </c>
      <c r="E176" s="181">
        <v>45111</v>
      </c>
      <c r="F176" s="180" t="s">
        <v>781</v>
      </c>
      <c r="G176" s="180" t="s">
        <v>782</v>
      </c>
      <c r="H176" s="180" t="s">
        <v>783</v>
      </c>
      <c r="J176" s="180" t="s">
        <v>712</v>
      </c>
      <c r="L176" s="180">
        <v>4</v>
      </c>
      <c r="M176" s="180">
        <v>49.773699999999998</v>
      </c>
      <c r="N176" s="182">
        <v>199.09</v>
      </c>
      <c r="O176" s="182">
        <v>20.9</v>
      </c>
    </row>
    <row r="177" spans="1:15" hidden="1" x14ac:dyDescent="0.25">
      <c r="A177" s="180" t="s">
        <v>658</v>
      </c>
      <c r="B177" s="180" t="s">
        <v>659</v>
      </c>
      <c r="D177" s="180" t="s">
        <v>806</v>
      </c>
      <c r="E177" s="181">
        <v>45111</v>
      </c>
      <c r="F177" s="180" t="s">
        <v>666</v>
      </c>
      <c r="G177" s="180" t="s">
        <v>667</v>
      </c>
      <c r="H177" s="180" t="s">
        <v>668</v>
      </c>
      <c r="J177" s="180" t="s">
        <v>376</v>
      </c>
      <c r="L177" s="180">
        <v>41.75</v>
      </c>
      <c r="M177" s="180">
        <v>31.674199999999999</v>
      </c>
      <c r="N177" s="182">
        <v>1322.4</v>
      </c>
      <c r="O177" s="182">
        <v>138.85</v>
      </c>
    </row>
    <row r="178" spans="1:15" hidden="1" x14ac:dyDescent="0.25">
      <c r="A178" s="180" t="s">
        <v>658</v>
      </c>
      <c r="B178" s="180" t="s">
        <v>659</v>
      </c>
      <c r="D178" s="180" t="s">
        <v>806</v>
      </c>
      <c r="E178" s="181">
        <v>45111</v>
      </c>
      <c r="F178" s="180" t="s">
        <v>669</v>
      </c>
      <c r="G178" s="180" t="s">
        <v>670</v>
      </c>
      <c r="H178" s="180" t="s">
        <v>671</v>
      </c>
      <c r="I178" s="180" t="s">
        <v>669</v>
      </c>
      <c r="J178" s="180" t="s">
        <v>376</v>
      </c>
      <c r="L178" s="180">
        <v>8.75</v>
      </c>
      <c r="M178" s="180">
        <v>36.198999999999998</v>
      </c>
      <c r="N178" s="182">
        <v>316.74</v>
      </c>
      <c r="O178" s="182">
        <v>33.26</v>
      </c>
    </row>
    <row r="179" spans="1:15" hidden="1" x14ac:dyDescent="0.25">
      <c r="A179" s="180" t="s">
        <v>658</v>
      </c>
      <c r="B179" s="180" t="s">
        <v>659</v>
      </c>
      <c r="D179" s="180" t="s">
        <v>806</v>
      </c>
      <c r="E179" s="181">
        <v>45111</v>
      </c>
      <c r="F179" s="180" t="s">
        <v>672</v>
      </c>
      <c r="G179" s="180" t="s">
        <v>673</v>
      </c>
      <c r="H179" s="180" t="s">
        <v>674</v>
      </c>
      <c r="I179" s="180" t="s">
        <v>672</v>
      </c>
      <c r="J179" s="180" t="s">
        <v>376</v>
      </c>
      <c r="L179" s="180">
        <v>32</v>
      </c>
      <c r="M179" s="180">
        <v>28.959199999999999</v>
      </c>
      <c r="N179" s="182">
        <v>926.69</v>
      </c>
      <c r="O179" s="182">
        <v>97.3</v>
      </c>
    </row>
    <row r="180" spans="1:15" hidden="1" x14ac:dyDescent="0.25">
      <c r="A180" s="180" t="s">
        <v>658</v>
      </c>
      <c r="B180" s="180" t="s">
        <v>659</v>
      </c>
      <c r="D180" s="180" t="s">
        <v>806</v>
      </c>
      <c r="E180" s="181">
        <v>45111</v>
      </c>
      <c r="F180" s="180" t="s">
        <v>679</v>
      </c>
      <c r="G180" s="180" t="s">
        <v>680</v>
      </c>
      <c r="H180" s="180" t="s">
        <v>681</v>
      </c>
      <c r="I180" s="180" t="s">
        <v>682</v>
      </c>
      <c r="J180" s="180" t="s">
        <v>376</v>
      </c>
      <c r="L180" s="180">
        <v>17</v>
      </c>
      <c r="M180" s="180">
        <v>28.8688</v>
      </c>
      <c r="N180" s="182">
        <v>490.77</v>
      </c>
      <c r="O180" s="182">
        <v>51.53</v>
      </c>
    </row>
    <row r="181" spans="1:15" hidden="1" x14ac:dyDescent="0.25">
      <c r="A181" s="180" t="s">
        <v>658</v>
      </c>
      <c r="B181" s="180" t="s">
        <v>659</v>
      </c>
      <c r="D181" s="180" t="s">
        <v>806</v>
      </c>
      <c r="E181" s="181">
        <v>45111</v>
      </c>
      <c r="F181" s="180" t="s">
        <v>686</v>
      </c>
      <c r="G181" s="180" t="s">
        <v>684</v>
      </c>
      <c r="H181" s="180" t="s">
        <v>687</v>
      </c>
      <c r="J181" s="180" t="s">
        <v>376</v>
      </c>
      <c r="L181" s="180">
        <v>8</v>
      </c>
      <c r="M181" s="180">
        <v>29.8642</v>
      </c>
      <c r="N181" s="182">
        <v>238.91</v>
      </c>
      <c r="O181" s="182">
        <v>25.09</v>
      </c>
    </row>
    <row r="182" spans="1:15" hidden="1" x14ac:dyDescent="0.25">
      <c r="A182" s="180" t="s">
        <v>658</v>
      </c>
      <c r="B182" s="180" t="s">
        <v>659</v>
      </c>
      <c r="D182" s="180" t="s">
        <v>806</v>
      </c>
      <c r="E182" s="181">
        <v>45111</v>
      </c>
      <c r="F182" s="180" t="s">
        <v>688</v>
      </c>
      <c r="G182" s="180" t="s">
        <v>689</v>
      </c>
      <c r="H182" s="180" t="s">
        <v>690</v>
      </c>
      <c r="I182" s="180" t="s">
        <v>691</v>
      </c>
      <c r="J182" s="180" t="s">
        <v>665</v>
      </c>
      <c r="L182" s="180">
        <v>18</v>
      </c>
      <c r="M182" s="180">
        <v>33.936700000000002</v>
      </c>
      <c r="N182" s="182">
        <v>610.86</v>
      </c>
      <c r="O182" s="182">
        <v>64.14</v>
      </c>
    </row>
    <row r="183" spans="1:15" x14ac:dyDescent="0.25">
      <c r="A183" s="180" t="s">
        <v>658</v>
      </c>
      <c r="B183" s="180" t="s">
        <v>659</v>
      </c>
      <c r="D183" s="180" t="s">
        <v>806</v>
      </c>
      <c r="E183" s="181">
        <v>45111</v>
      </c>
      <c r="F183" s="180" t="s">
        <v>692</v>
      </c>
      <c r="G183" s="180" t="s">
        <v>693</v>
      </c>
      <c r="H183" s="180" t="s">
        <v>694</v>
      </c>
      <c r="I183" s="180" t="s">
        <v>692</v>
      </c>
      <c r="J183" s="180" t="s">
        <v>695</v>
      </c>
      <c r="L183" s="180">
        <v>10</v>
      </c>
      <c r="M183" s="180">
        <v>40.7239</v>
      </c>
      <c r="N183" s="182">
        <v>407.24</v>
      </c>
      <c r="O183" s="182">
        <v>42.76</v>
      </c>
    </row>
    <row r="184" spans="1:15" x14ac:dyDescent="0.25">
      <c r="A184" s="180" t="s">
        <v>658</v>
      </c>
      <c r="B184" s="180" t="s">
        <v>659</v>
      </c>
      <c r="D184" s="180" t="s">
        <v>806</v>
      </c>
      <c r="E184" s="181">
        <v>45111</v>
      </c>
      <c r="F184" s="180" t="s">
        <v>807</v>
      </c>
      <c r="G184" s="180" t="s">
        <v>808</v>
      </c>
      <c r="H184" s="180" t="s">
        <v>809</v>
      </c>
      <c r="I184" s="180" t="s">
        <v>807</v>
      </c>
      <c r="J184" s="180" t="s">
        <v>712</v>
      </c>
      <c r="L184" s="180">
        <v>23</v>
      </c>
      <c r="M184" s="180">
        <v>28.959299999999999</v>
      </c>
      <c r="N184" s="182">
        <v>666.06</v>
      </c>
      <c r="O184" s="182">
        <v>69.94</v>
      </c>
    </row>
    <row r="185" spans="1:15" hidden="1" x14ac:dyDescent="0.25">
      <c r="A185" s="180" t="s">
        <v>658</v>
      </c>
      <c r="B185" s="180" t="s">
        <v>659</v>
      </c>
      <c r="D185" s="180" t="s">
        <v>806</v>
      </c>
      <c r="E185" s="181">
        <v>45111</v>
      </c>
      <c r="F185" s="180" t="s">
        <v>810</v>
      </c>
      <c r="G185" s="180" t="s">
        <v>811</v>
      </c>
      <c r="H185" s="180" t="s">
        <v>812</v>
      </c>
      <c r="I185" s="180" t="s">
        <v>810</v>
      </c>
      <c r="J185" s="180" t="s">
        <v>376</v>
      </c>
      <c r="L185" s="180">
        <v>16</v>
      </c>
      <c r="M185" s="180">
        <v>27.1493</v>
      </c>
      <c r="N185" s="182">
        <v>434.39</v>
      </c>
      <c r="O185" s="182">
        <v>45.61</v>
      </c>
    </row>
    <row r="186" spans="1:15" hidden="1" x14ac:dyDescent="0.25">
      <c r="A186" s="180" t="s">
        <v>658</v>
      </c>
      <c r="B186" s="180" t="s">
        <v>659</v>
      </c>
      <c r="D186" s="180" t="s">
        <v>813</v>
      </c>
      <c r="E186" s="181">
        <v>45125</v>
      </c>
      <c r="F186" s="180" t="s">
        <v>666</v>
      </c>
      <c r="G186" s="180" t="s">
        <v>667</v>
      </c>
      <c r="H186" s="180" t="s">
        <v>668</v>
      </c>
      <c r="J186" s="180" t="s">
        <v>376</v>
      </c>
      <c r="L186" s="180">
        <v>22.5</v>
      </c>
      <c r="M186" s="180">
        <v>31.531500000000001</v>
      </c>
      <c r="N186" s="182">
        <v>709.46</v>
      </c>
      <c r="O186" s="182">
        <v>78.040000000000006</v>
      </c>
    </row>
    <row r="187" spans="1:15" hidden="1" x14ac:dyDescent="0.25">
      <c r="A187" s="180" t="s">
        <v>658</v>
      </c>
      <c r="B187" s="180" t="s">
        <v>659</v>
      </c>
      <c r="D187" s="180" t="s">
        <v>813</v>
      </c>
      <c r="E187" s="181">
        <v>45125</v>
      </c>
      <c r="F187" s="180" t="s">
        <v>672</v>
      </c>
      <c r="G187" s="180" t="s">
        <v>673</v>
      </c>
      <c r="H187" s="180" t="s">
        <v>674</v>
      </c>
      <c r="I187" s="180" t="s">
        <v>672</v>
      </c>
      <c r="J187" s="180" t="s">
        <v>376</v>
      </c>
      <c r="L187" s="180">
        <v>48.25</v>
      </c>
      <c r="M187" s="180">
        <v>29.279199999999999</v>
      </c>
      <c r="N187" s="182">
        <v>1412.72</v>
      </c>
      <c r="O187" s="182">
        <v>155.4</v>
      </c>
    </row>
    <row r="188" spans="1:15" hidden="1" x14ac:dyDescent="0.25">
      <c r="A188" s="180" t="s">
        <v>658</v>
      </c>
      <c r="B188" s="180" t="s">
        <v>659</v>
      </c>
      <c r="D188" s="180" t="s">
        <v>813</v>
      </c>
      <c r="E188" s="181">
        <v>45125</v>
      </c>
      <c r="F188" s="180" t="s">
        <v>679</v>
      </c>
      <c r="G188" s="180" t="s">
        <v>680</v>
      </c>
      <c r="H188" s="180" t="s">
        <v>681</v>
      </c>
      <c r="I188" s="180" t="s">
        <v>682</v>
      </c>
      <c r="J188" s="180" t="s">
        <v>376</v>
      </c>
      <c r="L188" s="180">
        <v>8.25</v>
      </c>
      <c r="M188" s="180">
        <v>29.279199999999999</v>
      </c>
      <c r="N188" s="182">
        <v>241.55</v>
      </c>
      <c r="O188" s="182">
        <v>26.57</v>
      </c>
    </row>
    <row r="189" spans="1:15" hidden="1" x14ac:dyDescent="0.25">
      <c r="A189" s="180" t="s">
        <v>658</v>
      </c>
      <c r="B189" s="180" t="s">
        <v>659</v>
      </c>
      <c r="D189" s="180" t="s">
        <v>813</v>
      </c>
      <c r="E189" s="181">
        <v>45125</v>
      </c>
      <c r="F189" s="180" t="s">
        <v>686</v>
      </c>
      <c r="G189" s="180" t="s">
        <v>684</v>
      </c>
      <c r="H189" s="180" t="s">
        <v>687</v>
      </c>
      <c r="J189" s="180" t="s">
        <v>376</v>
      </c>
      <c r="L189" s="180">
        <v>8</v>
      </c>
      <c r="M189" s="180">
        <v>29.729700000000001</v>
      </c>
      <c r="N189" s="182">
        <v>237.84</v>
      </c>
      <c r="O189" s="182">
        <v>26.16</v>
      </c>
    </row>
    <row r="190" spans="1:15" hidden="1" x14ac:dyDescent="0.25">
      <c r="A190" s="180" t="s">
        <v>658</v>
      </c>
      <c r="B190" s="180" t="s">
        <v>659</v>
      </c>
      <c r="D190" s="180" t="s">
        <v>813</v>
      </c>
      <c r="E190" s="181">
        <v>45125</v>
      </c>
      <c r="F190" s="180" t="s">
        <v>713</v>
      </c>
      <c r="G190" s="180" t="s">
        <v>714</v>
      </c>
      <c r="H190" s="180" t="s">
        <v>715</v>
      </c>
      <c r="I190" s="180" t="s">
        <v>716</v>
      </c>
      <c r="J190" s="180" t="s">
        <v>376</v>
      </c>
      <c r="L190" s="180">
        <v>4.25</v>
      </c>
      <c r="M190" s="180">
        <v>29.279199999999999</v>
      </c>
      <c r="N190" s="182">
        <v>124.44</v>
      </c>
      <c r="O190" s="182">
        <v>13.69</v>
      </c>
    </row>
    <row r="191" spans="1:15" hidden="1" x14ac:dyDescent="0.25">
      <c r="A191" s="180" t="s">
        <v>658</v>
      </c>
      <c r="B191" s="180" t="s">
        <v>659</v>
      </c>
      <c r="D191" s="180" t="s">
        <v>813</v>
      </c>
      <c r="E191" s="181">
        <v>45125</v>
      </c>
      <c r="F191" s="180" t="s">
        <v>688</v>
      </c>
      <c r="G191" s="180" t="s">
        <v>689</v>
      </c>
      <c r="H191" s="180" t="s">
        <v>690</v>
      </c>
      <c r="I191" s="180" t="s">
        <v>691</v>
      </c>
      <c r="J191" s="180" t="s">
        <v>665</v>
      </c>
      <c r="L191" s="180">
        <v>7</v>
      </c>
      <c r="M191" s="180">
        <v>33.783799999999999</v>
      </c>
      <c r="N191" s="182">
        <v>236.49</v>
      </c>
      <c r="O191" s="182">
        <v>26.01</v>
      </c>
    </row>
    <row r="192" spans="1:15" x14ac:dyDescent="0.25">
      <c r="A192" s="180" t="s">
        <v>658</v>
      </c>
      <c r="B192" s="180" t="s">
        <v>659</v>
      </c>
      <c r="D192" s="180" t="s">
        <v>813</v>
      </c>
      <c r="E192" s="181">
        <v>45125</v>
      </c>
      <c r="F192" s="180" t="s">
        <v>692</v>
      </c>
      <c r="G192" s="180" t="s">
        <v>693</v>
      </c>
      <c r="H192" s="180" t="s">
        <v>694</v>
      </c>
      <c r="I192" s="180" t="s">
        <v>692</v>
      </c>
      <c r="J192" s="180" t="s">
        <v>695</v>
      </c>
      <c r="L192" s="180">
        <v>4</v>
      </c>
      <c r="M192" s="180">
        <v>40.540500000000002</v>
      </c>
      <c r="N192" s="182">
        <v>162.16</v>
      </c>
      <c r="O192" s="182">
        <v>17.84</v>
      </c>
    </row>
    <row r="193" spans="1:15" x14ac:dyDescent="0.25">
      <c r="A193" s="180" t="s">
        <v>658</v>
      </c>
      <c r="B193" s="180" t="s">
        <v>659</v>
      </c>
      <c r="D193" s="180" t="s">
        <v>813</v>
      </c>
      <c r="E193" s="181">
        <v>45125</v>
      </c>
      <c r="F193" s="180" t="s">
        <v>814</v>
      </c>
      <c r="G193" s="180" t="s">
        <v>815</v>
      </c>
      <c r="H193" s="180" t="s">
        <v>816</v>
      </c>
      <c r="J193" s="180" t="s">
        <v>712</v>
      </c>
      <c r="L193" s="180">
        <v>4</v>
      </c>
      <c r="M193" s="180">
        <v>49.773699999999998</v>
      </c>
      <c r="N193" s="182">
        <v>199.09</v>
      </c>
      <c r="O193" s="182">
        <v>21.9</v>
      </c>
    </row>
    <row r="194" spans="1:15" x14ac:dyDescent="0.25">
      <c r="A194" s="180" t="s">
        <v>658</v>
      </c>
      <c r="B194" s="180" t="s">
        <v>659</v>
      </c>
      <c r="D194" s="180" t="s">
        <v>813</v>
      </c>
      <c r="E194" s="181">
        <v>45125</v>
      </c>
      <c r="F194" s="180" t="s">
        <v>817</v>
      </c>
      <c r="G194" s="180" t="s">
        <v>818</v>
      </c>
      <c r="H194" s="180" t="s">
        <v>819</v>
      </c>
      <c r="J194" s="180" t="s">
        <v>712</v>
      </c>
      <c r="L194" s="180">
        <v>4</v>
      </c>
      <c r="M194" s="180">
        <v>40.540500000000002</v>
      </c>
      <c r="N194" s="182">
        <v>162.16</v>
      </c>
      <c r="O194" s="182">
        <v>17.84</v>
      </c>
    </row>
    <row r="195" spans="1:15" hidden="1" x14ac:dyDescent="0.25">
      <c r="A195" s="180" t="s">
        <v>658</v>
      </c>
      <c r="B195" s="180" t="s">
        <v>659</v>
      </c>
      <c r="D195" s="180" t="s">
        <v>813</v>
      </c>
      <c r="E195" s="181">
        <v>45125</v>
      </c>
      <c r="F195" s="180" t="s">
        <v>703</v>
      </c>
      <c r="G195" s="180" t="s">
        <v>704</v>
      </c>
      <c r="H195" s="180" t="s">
        <v>705</v>
      </c>
      <c r="I195" s="180" t="s">
        <v>706</v>
      </c>
      <c r="J195" s="180" t="s">
        <v>376</v>
      </c>
      <c r="L195" s="180">
        <v>20.5</v>
      </c>
      <c r="M195" s="180">
        <v>29.279199999999999</v>
      </c>
      <c r="N195" s="182">
        <v>600.22</v>
      </c>
      <c r="O195" s="182">
        <v>66.02</v>
      </c>
    </row>
    <row r="196" spans="1:15" hidden="1" x14ac:dyDescent="0.25">
      <c r="A196" s="180" t="s">
        <v>658</v>
      </c>
      <c r="B196" s="180" t="s">
        <v>659</v>
      </c>
      <c r="D196" s="180" t="s">
        <v>820</v>
      </c>
      <c r="E196" s="181">
        <v>45167</v>
      </c>
      <c r="F196" s="180" t="s">
        <v>732</v>
      </c>
      <c r="G196" s="180" t="s">
        <v>733</v>
      </c>
      <c r="H196" s="180" t="s">
        <v>734</v>
      </c>
      <c r="I196" s="180" t="s">
        <v>735</v>
      </c>
      <c r="J196" s="180" t="s">
        <v>376</v>
      </c>
      <c r="L196" s="180">
        <v>4</v>
      </c>
      <c r="M196" s="180">
        <v>39.639600000000002</v>
      </c>
      <c r="N196" s="182">
        <v>158.56</v>
      </c>
      <c r="O196" s="182">
        <v>17.440000000000001</v>
      </c>
    </row>
    <row r="197" spans="1:15" hidden="1" x14ac:dyDescent="0.25">
      <c r="A197" s="180" t="s">
        <v>658</v>
      </c>
      <c r="B197" s="180" t="s">
        <v>659</v>
      </c>
      <c r="D197" s="180" t="s">
        <v>820</v>
      </c>
      <c r="E197" s="181">
        <v>45167</v>
      </c>
      <c r="F197" s="180" t="s">
        <v>666</v>
      </c>
      <c r="G197" s="180" t="s">
        <v>667</v>
      </c>
      <c r="H197" s="180" t="s">
        <v>668</v>
      </c>
      <c r="J197" s="180" t="s">
        <v>376</v>
      </c>
      <c r="L197" s="180">
        <v>40</v>
      </c>
      <c r="M197" s="180">
        <v>31.531500000000001</v>
      </c>
      <c r="N197" s="182">
        <v>1261.26</v>
      </c>
      <c r="O197" s="182">
        <v>138.74</v>
      </c>
    </row>
    <row r="198" spans="1:15" hidden="1" x14ac:dyDescent="0.25">
      <c r="A198" s="180" t="s">
        <v>658</v>
      </c>
      <c r="B198" s="180" t="s">
        <v>659</v>
      </c>
      <c r="D198" s="180" t="s">
        <v>820</v>
      </c>
      <c r="E198" s="181">
        <v>45167</v>
      </c>
      <c r="F198" s="180" t="s">
        <v>669</v>
      </c>
      <c r="G198" s="180" t="s">
        <v>670</v>
      </c>
      <c r="H198" s="180" t="s">
        <v>671</v>
      </c>
      <c r="I198" s="180" t="s">
        <v>669</v>
      </c>
      <c r="J198" s="180" t="s">
        <v>376</v>
      </c>
      <c r="L198" s="180">
        <v>18</v>
      </c>
      <c r="M198" s="180">
        <v>36.036000000000001</v>
      </c>
      <c r="N198" s="182">
        <v>648.65</v>
      </c>
      <c r="O198" s="182">
        <v>71.349999999999994</v>
      </c>
    </row>
    <row r="199" spans="1:15" hidden="1" x14ac:dyDescent="0.25">
      <c r="A199" s="180" t="s">
        <v>658</v>
      </c>
      <c r="B199" s="180" t="s">
        <v>659</v>
      </c>
      <c r="D199" s="180" t="s">
        <v>820</v>
      </c>
      <c r="E199" s="181">
        <v>45167</v>
      </c>
      <c r="F199" s="180" t="s">
        <v>672</v>
      </c>
      <c r="G199" s="180" t="s">
        <v>673</v>
      </c>
      <c r="H199" s="180" t="s">
        <v>674</v>
      </c>
      <c r="I199" s="180" t="s">
        <v>672</v>
      </c>
      <c r="J199" s="180" t="s">
        <v>376</v>
      </c>
      <c r="L199" s="180">
        <v>40.75</v>
      </c>
      <c r="M199" s="180">
        <v>29.279199999999999</v>
      </c>
      <c r="N199" s="182">
        <v>1193.1300000000001</v>
      </c>
      <c r="O199" s="182">
        <v>131.24</v>
      </c>
    </row>
    <row r="200" spans="1:15" hidden="1" x14ac:dyDescent="0.25">
      <c r="A200" s="180" t="s">
        <v>658</v>
      </c>
      <c r="B200" s="180" t="s">
        <v>659</v>
      </c>
      <c r="D200" s="180" t="s">
        <v>820</v>
      </c>
      <c r="E200" s="181">
        <v>45167</v>
      </c>
      <c r="F200" s="180" t="s">
        <v>679</v>
      </c>
      <c r="G200" s="180" t="s">
        <v>680</v>
      </c>
      <c r="H200" s="180" t="s">
        <v>681</v>
      </c>
      <c r="I200" s="180" t="s">
        <v>682</v>
      </c>
      <c r="J200" s="180" t="s">
        <v>376</v>
      </c>
      <c r="L200" s="180">
        <v>67.5</v>
      </c>
      <c r="M200" s="180">
        <v>31.531500000000001</v>
      </c>
      <c r="N200" s="182">
        <v>2128.38</v>
      </c>
      <c r="O200" s="182">
        <v>234.12</v>
      </c>
    </row>
    <row r="201" spans="1:15" x14ac:dyDescent="0.25">
      <c r="A201" s="180" t="s">
        <v>658</v>
      </c>
      <c r="B201" s="180" t="s">
        <v>659</v>
      </c>
      <c r="D201" s="180" t="s">
        <v>820</v>
      </c>
      <c r="E201" s="181">
        <v>45167</v>
      </c>
      <c r="F201" s="180" t="s">
        <v>708</v>
      </c>
      <c r="G201" s="180" t="s">
        <v>709</v>
      </c>
      <c r="H201" s="180" t="s">
        <v>710</v>
      </c>
      <c r="I201" s="180" t="s">
        <v>711</v>
      </c>
      <c r="J201" s="180" t="s">
        <v>712</v>
      </c>
      <c r="L201" s="180">
        <v>8</v>
      </c>
      <c r="M201" s="180">
        <v>32.432400000000001</v>
      </c>
      <c r="N201" s="182">
        <v>259.45999999999998</v>
      </c>
      <c r="O201" s="182">
        <v>28.54</v>
      </c>
    </row>
    <row r="202" spans="1:15" hidden="1" x14ac:dyDescent="0.25">
      <c r="A202" s="180" t="s">
        <v>658</v>
      </c>
      <c r="B202" s="180" t="s">
        <v>659</v>
      </c>
      <c r="D202" s="180" t="s">
        <v>820</v>
      </c>
      <c r="E202" s="181">
        <v>45167</v>
      </c>
      <c r="F202" s="180" t="s">
        <v>688</v>
      </c>
      <c r="G202" s="180" t="s">
        <v>689</v>
      </c>
      <c r="H202" s="180" t="s">
        <v>690</v>
      </c>
      <c r="I202" s="180" t="s">
        <v>691</v>
      </c>
      <c r="J202" s="180" t="s">
        <v>665</v>
      </c>
      <c r="L202" s="180">
        <v>8.25</v>
      </c>
      <c r="M202" s="180">
        <v>33.783799999999999</v>
      </c>
      <c r="N202" s="182">
        <v>278.72000000000003</v>
      </c>
      <c r="O202" s="182">
        <v>30.66</v>
      </c>
    </row>
    <row r="203" spans="1:15" x14ac:dyDescent="0.25">
      <c r="A203" s="180" t="s">
        <v>658</v>
      </c>
      <c r="B203" s="180" t="s">
        <v>659</v>
      </c>
      <c r="D203" s="180" t="s">
        <v>820</v>
      </c>
      <c r="E203" s="181">
        <v>45167</v>
      </c>
      <c r="F203" s="180" t="s">
        <v>692</v>
      </c>
      <c r="G203" s="180" t="s">
        <v>693</v>
      </c>
      <c r="H203" s="180" t="s">
        <v>694</v>
      </c>
      <c r="I203" s="180" t="s">
        <v>692</v>
      </c>
      <c r="J203" s="180" t="s">
        <v>695</v>
      </c>
      <c r="L203" s="180">
        <v>48</v>
      </c>
      <c r="M203" s="180">
        <v>40.540500000000002</v>
      </c>
      <c r="N203" s="182">
        <v>1945.94</v>
      </c>
      <c r="O203" s="182">
        <v>214.05</v>
      </c>
    </row>
    <row r="204" spans="1:15" hidden="1" x14ac:dyDescent="0.25">
      <c r="A204" s="180" t="s">
        <v>658</v>
      </c>
      <c r="B204" s="180" t="s">
        <v>659</v>
      </c>
      <c r="D204" s="180" t="s">
        <v>820</v>
      </c>
      <c r="E204" s="181">
        <v>45167</v>
      </c>
      <c r="F204" s="180" t="s">
        <v>720</v>
      </c>
      <c r="G204" s="180" t="s">
        <v>721</v>
      </c>
      <c r="H204" s="180" t="s">
        <v>722</v>
      </c>
      <c r="J204" s="180" t="s">
        <v>376</v>
      </c>
      <c r="L204" s="180">
        <v>28.25</v>
      </c>
      <c r="M204" s="180">
        <v>29.279299999999999</v>
      </c>
      <c r="N204" s="182">
        <v>827.14</v>
      </c>
      <c r="O204" s="182">
        <v>90.99</v>
      </c>
    </row>
    <row r="205" spans="1:15" hidden="1" x14ac:dyDescent="0.25">
      <c r="A205" s="180" t="s">
        <v>658</v>
      </c>
      <c r="B205" s="180" t="s">
        <v>659</v>
      </c>
      <c r="D205" s="180" t="s">
        <v>820</v>
      </c>
      <c r="E205" s="181">
        <v>45167</v>
      </c>
      <c r="F205" s="180" t="s">
        <v>696</v>
      </c>
      <c r="G205" s="180" t="s">
        <v>697</v>
      </c>
      <c r="H205" s="180" t="s">
        <v>698</v>
      </c>
      <c r="J205" s="180" t="s">
        <v>665</v>
      </c>
      <c r="L205" s="180">
        <v>38</v>
      </c>
      <c r="M205" s="180">
        <v>63.063099999999999</v>
      </c>
      <c r="N205" s="182">
        <v>2396.4</v>
      </c>
      <c r="O205" s="182">
        <v>263.60000000000002</v>
      </c>
    </row>
    <row r="206" spans="1:15" hidden="1" x14ac:dyDescent="0.25">
      <c r="A206" s="180" t="s">
        <v>658</v>
      </c>
      <c r="B206" s="180" t="s">
        <v>659</v>
      </c>
      <c r="D206" s="180" t="s">
        <v>820</v>
      </c>
      <c r="E206" s="181">
        <v>45167</v>
      </c>
      <c r="F206" s="180" t="s">
        <v>723</v>
      </c>
      <c r="G206" s="180" t="s">
        <v>724</v>
      </c>
      <c r="H206" s="180" t="s">
        <v>725</v>
      </c>
      <c r="I206" s="180" t="s">
        <v>726</v>
      </c>
      <c r="J206" s="180" t="s">
        <v>376</v>
      </c>
      <c r="L206" s="180">
        <v>13.25</v>
      </c>
      <c r="M206" s="180">
        <v>36.036000000000001</v>
      </c>
      <c r="N206" s="182">
        <v>477.48</v>
      </c>
      <c r="O206" s="182">
        <v>52.52</v>
      </c>
    </row>
    <row r="207" spans="1:15" hidden="1" x14ac:dyDescent="0.25">
      <c r="A207" s="180" t="s">
        <v>658</v>
      </c>
      <c r="B207" s="180" t="s">
        <v>659</v>
      </c>
      <c r="D207" s="180" t="s">
        <v>821</v>
      </c>
      <c r="E207" s="181">
        <v>45181</v>
      </c>
      <c r="F207" s="180" t="s">
        <v>732</v>
      </c>
      <c r="G207" s="180" t="s">
        <v>733</v>
      </c>
      <c r="H207" s="180" t="s">
        <v>734</v>
      </c>
      <c r="I207" s="180" t="s">
        <v>735</v>
      </c>
      <c r="J207" s="180" t="s">
        <v>376</v>
      </c>
      <c r="L207" s="180">
        <v>14.25</v>
      </c>
      <c r="M207" s="180">
        <v>39.639600000000002</v>
      </c>
      <c r="N207" s="182">
        <v>564.86</v>
      </c>
      <c r="O207" s="182">
        <v>62.14</v>
      </c>
    </row>
    <row r="208" spans="1:15" hidden="1" x14ac:dyDescent="0.25">
      <c r="A208" s="180" t="s">
        <v>658</v>
      </c>
      <c r="B208" s="180" t="s">
        <v>659</v>
      </c>
      <c r="D208" s="180" t="s">
        <v>821</v>
      </c>
      <c r="E208" s="181">
        <v>45181</v>
      </c>
      <c r="F208" s="180" t="s">
        <v>666</v>
      </c>
      <c r="G208" s="180" t="s">
        <v>667</v>
      </c>
      <c r="H208" s="180" t="s">
        <v>668</v>
      </c>
      <c r="J208" s="180" t="s">
        <v>376</v>
      </c>
      <c r="L208" s="180">
        <v>31.25</v>
      </c>
      <c r="M208" s="180">
        <v>31.531500000000001</v>
      </c>
      <c r="N208" s="182">
        <v>985.36</v>
      </c>
      <c r="O208" s="182">
        <v>108.39</v>
      </c>
    </row>
    <row r="209" spans="1:15" hidden="1" x14ac:dyDescent="0.25">
      <c r="A209" s="180" t="s">
        <v>658</v>
      </c>
      <c r="B209" s="180" t="s">
        <v>659</v>
      </c>
      <c r="D209" s="180" t="s">
        <v>821</v>
      </c>
      <c r="E209" s="181">
        <v>45181</v>
      </c>
      <c r="F209" s="180" t="s">
        <v>672</v>
      </c>
      <c r="G209" s="180" t="s">
        <v>673</v>
      </c>
      <c r="H209" s="180" t="s">
        <v>674</v>
      </c>
      <c r="I209" s="180" t="s">
        <v>672</v>
      </c>
      <c r="J209" s="180" t="s">
        <v>376</v>
      </c>
      <c r="L209" s="180">
        <v>15</v>
      </c>
      <c r="M209" s="180">
        <v>29.279199999999999</v>
      </c>
      <c r="N209" s="182">
        <v>439.19</v>
      </c>
      <c r="O209" s="182">
        <v>48.31</v>
      </c>
    </row>
    <row r="210" spans="1:15" hidden="1" x14ac:dyDescent="0.25">
      <c r="A210" s="180" t="s">
        <v>658</v>
      </c>
      <c r="B210" s="180" t="s">
        <v>659</v>
      </c>
      <c r="D210" s="180" t="s">
        <v>821</v>
      </c>
      <c r="E210" s="181">
        <v>45181</v>
      </c>
      <c r="F210" s="180" t="s">
        <v>679</v>
      </c>
      <c r="G210" s="180" t="s">
        <v>680</v>
      </c>
      <c r="H210" s="180" t="s">
        <v>681</v>
      </c>
      <c r="I210" s="180" t="s">
        <v>682</v>
      </c>
      <c r="J210" s="180" t="s">
        <v>376</v>
      </c>
      <c r="L210" s="180">
        <v>49</v>
      </c>
      <c r="M210" s="180">
        <v>31.531500000000001</v>
      </c>
      <c r="N210" s="182">
        <v>1545.04</v>
      </c>
      <c r="O210" s="182">
        <v>169.95</v>
      </c>
    </row>
    <row r="211" spans="1:15" x14ac:dyDescent="0.25">
      <c r="A211" s="180" t="s">
        <v>658</v>
      </c>
      <c r="B211" s="180" t="s">
        <v>659</v>
      </c>
      <c r="D211" s="180" t="s">
        <v>821</v>
      </c>
      <c r="E211" s="181">
        <v>45181</v>
      </c>
      <c r="F211" s="180" t="s">
        <v>708</v>
      </c>
      <c r="G211" s="180" t="s">
        <v>709</v>
      </c>
      <c r="H211" s="180" t="s">
        <v>710</v>
      </c>
      <c r="I211" s="180" t="s">
        <v>711</v>
      </c>
      <c r="J211" s="180" t="s">
        <v>712</v>
      </c>
      <c r="L211" s="180">
        <v>10.25</v>
      </c>
      <c r="M211" s="180">
        <v>32.432400000000001</v>
      </c>
      <c r="N211" s="182">
        <v>332.43</v>
      </c>
      <c r="O211" s="182">
        <v>36.57</v>
      </c>
    </row>
    <row r="212" spans="1:15" hidden="1" x14ac:dyDescent="0.25">
      <c r="A212" s="180" t="s">
        <v>658</v>
      </c>
      <c r="B212" s="180" t="s">
        <v>659</v>
      </c>
      <c r="D212" s="180" t="s">
        <v>821</v>
      </c>
      <c r="E212" s="181">
        <v>45181</v>
      </c>
      <c r="F212" s="180" t="s">
        <v>713</v>
      </c>
      <c r="G212" s="180" t="s">
        <v>714</v>
      </c>
      <c r="H212" s="180" t="s">
        <v>715</v>
      </c>
      <c r="I212" s="180" t="s">
        <v>716</v>
      </c>
      <c r="J212" s="180" t="s">
        <v>376</v>
      </c>
      <c r="L212" s="180">
        <v>16</v>
      </c>
      <c r="M212" s="180">
        <v>29.279199999999999</v>
      </c>
      <c r="N212" s="182">
        <v>468.47</v>
      </c>
      <c r="O212" s="182">
        <v>51.53</v>
      </c>
    </row>
    <row r="213" spans="1:15" hidden="1" x14ac:dyDescent="0.25">
      <c r="A213" s="180" t="s">
        <v>658</v>
      </c>
      <c r="B213" s="180" t="s">
        <v>659</v>
      </c>
      <c r="D213" s="180" t="s">
        <v>821</v>
      </c>
      <c r="E213" s="181">
        <v>45181</v>
      </c>
      <c r="F213" s="180" t="s">
        <v>688</v>
      </c>
      <c r="G213" s="180" t="s">
        <v>689</v>
      </c>
      <c r="H213" s="180" t="s">
        <v>690</v>
      </c>
      <c r="I213" s="180" t="s">
        <v>691</v>
      </c>
      <c r="J213" s="180" t="s">
        <v>665</v>
      </c>
      <c r="L213" s="180">
        <v>12.5</v>
      </c>
      <c r="M213" s="180">
        <v>33.783799999999999</v>
      </c>
      <c r="N213" s="182">
        <v>422.3</v>
      </c>
      <c r="O213" s="182">
        <v>46.45</v>
      </c>
    </row>
    <row r="214" spans="1:15" x14ac:dyDescent="0.25">
      <c r="A214" s="180" t="s">
        <v>658</v>
      </c>
      <c r="B214" s="180" t="s">
        <v>659</v>
      </c>
      <c r="D214" s="180" t="s">
        <v>821</v>
      </c>
      <c r="E214" s="181">
        <v>45181</v>
      </c>
      <c r="F214" s="180" t="s">
        <v>692</v>
      </c>
      <c r="G214" s="180" t="s">
        <v>693</v>
      </c>
      <c r="H214" s="180" t="s">
        <v>694</v>
      </c>
      <c r="I214" s="180" t="s">
        <v>692</v>
      </c>
      <c r="J214" s="180" t="s">
        <v>695</v>
      </c>
      <c r="L214" s="180">
        <v>16.25</v>
      </c>
      <c r="M214" s="180">
        <v>40.540500000000002</v>
      </c>
      <c r="N214" s="182">
        <v>658.78</v>
      </c>
      <c r="O214" s="182">
        <v>72.47</v>
      </c>
    </row>
    <row r="215" spans="1:15" hidden="1" x14ac:dyDescent="0.25">
      <c r="A215" s="180" t="s">
        <v>658</v>
      </c>
      <c r="B215" s="180" t="s">
        <v>659</v>
      </c>
      <c r="D215" s="180" t="s">
        <v>821</v>
      </c>
      <c r="E215" s="181">
        <v>45181</v>
      </c>
      <c r="F215" s="180" t="s">
        <v>720</v>
      </c>
      <c r="G215" s="180" t="s">
        <v>721</v>
      </c>
      <c r="H215" s="180" t="s">
        <v>722</v>
      </c>
      <c r="J215" s="180" t="s">
        <v>376</v>
      </c>
      <c r="L215" s="180">
        <v>20.5</v>
      </c>
      <c r="M215" s="180">
        <v>29.279299999999999</v>
      </c>
      <c r="N215" s="182">
        <v>600.23</v>
      </c>
      <c r="O215" s="182">
        <v>66.02</v>
      </c>
    </row>
    <row r="216" spans="1:15" hidden="1" x14ac:dyDescent="0.25">
      <c r="A216" s="180" t="s">
        <v>658</v>
      </c>
      <c r="B216" s="180" t="s">
        <v>659</v>
      </c>
      <c r="D216" s="180" t="s">
        <v>821</v>
      </c>
      <c r="E216" s="181">
        <v>45181</v>
      </c>
      <c r="F216" s="180" t="s">
        <v>798</v>
      </c>
      <c r="G216" s="180" t="s">
        <v>799</v>
      </c>
      <c r="H216" s="180" t="s">
        <v>800</v>
      </c>
      <c r="I216" s="180" t="s">
        <v>798</v>
      </c>
      <c r="J216" s="180" t="s">
        <v>376</v>
      </c>
      <c r="L216" s="180">
        <v>8</v>
      </c>
      <c r="M216" s="180">
        <v>29.279199999999999</v>
      </c>
      <c r="N216" s="182">
        <v>234.23</v>
      </c>
      <c r="O216" s="182">
        <v>25.77</v>
      </c>
    </row>
    <row r="217" spans="1:15" hidden="1" x14ac:dyDescent="0.25">
      <c r="A217" s="180" t="s">
        <v>658</v>
      </c>
      <c r="B217" s="180" t="s">
        <v>659</v>
      </c>
      <c r="D217" s="180" t="s">
        <v>821</v>
      </c>
      <c r="E217" s="181">
        <v>45181</v>
      </c>
      <c r="F217" s="180" t="s">
        <v>696</v>
      </c>
      <c r="G217" s="180" t="s">
        <v>697</v>
      </c>
      <c r="H217" s="180" t="s">
        <v>698</v>
      </c>
      <c r="J217" s="180" t="s">
        <v>665</v>
      </c>
      <c r="L217" s="180">
        <v>16</v>
      </c>
      <c r="M217" s="180">
        <v>63.063099999999999</v>
      </c>
      <c r="N217" s="182">
        <v>1009.01</v>
      </c>
      <c r="O217" s="182">
        <v>110.99</v>
      </c>
    </row>
    <row r="218" spans="1:15" hidden="1" x14ac:dyDescent="0.25">
      <c r="A218" s="180" t="s">
        <v>658</v>
      </c>
      <c r="B218" s="180" t="s">
        <v>659</v>
      </c>
      <c r="D218" s="180" t="s">
        <v>821</v>
      </c>
      <c r="E218" s="181">
        <v>45181</v>
      </c>
      <c r="F218" s="180" t="s">
        <v>723</v>
      </c>
      <c r="G218" s="180" t="s">
        <v>724</v>
      </c>
      <c r="H218" s="180" t="s">
        <v>725</v>
      </c>
      <c r="I218" s="180" t="s">
        <v>726</v>
      </c>
      <c r="J218" s="180" t="s">
        <v>376</v>
      </c>
      <c r="L218" s="180">
        <v>17</v>
      </c>
      <c r="M218" s="180">
        <v>36.036000000000001</v>
      </c>
      <c r="N218" s="182">
        <v>612.61</v>
      </c>
      <c r="O218" s="182">
        <v>67.39</v>
      </c>
    </row>
    <row r="219" spans="1:15" hidden="1" x14ac:dyDescent="0.25">
      <c r="A219" s="180" t="s">
        <v>658</v>
      </c>
      <c r="B219" s="180" t="s">
        <v>659</v>
      </c>
      <c r="D219" s="180" t="s">
        <v>822</v>
      </c>
      <c r="E219" s="181">
        <v>45195</v>
      </c>
      <c r="F219" s="180" t="s">
        <v>732</v>
      </c>
      <c r="G219" s="180" t="s">
        <v>733</v>
      </c>
      <c r="H219" s="180" t="s">
        <v>734</v>
      </c>
      <c r="I219" s="180" t="s">
        <v>735</v>
      </c>
      <c r="J219" s="180" t="s">
        <v>376</v>
      </c>
      <c r="L219" s="180">
        <v>24</v>
      </c>
      <c r="M219" s="180">
        <v>39.639600000000002</v>
      </c>
      <c r="N219" s="182">
        <v>951.35</v>
      </c>
      <c r="O219" s="182">
        <v>104.65</v>
      </c>
    </row>
    <row r="220" spans="1:15" hidden="1" x14ac:dyDescent="0.25">
      <c r="A220" s="180" t="s">
        <v>658</v>
      </c>
      <c r="B220" s="180" t="s">
        <v>659</v>
      </c>
      <c r="D220" s="180" t="s">
        <v>822</v>
      </c>
      <c r="E220" s="181">
        <v>45195</v>
      </c>
      <c r="F220" s="180" t="s">
        <v>666</v>
      </c>
      <c r="G220" s="180" t="s">
        <v>667</v>
      </c>
      <c r="H220" s="180" t="s">
        <v>668</v>
      </c>
      <c r="J220" s="180" t="s">
        <v>376</v>
      </c>
      <c r="L220" s="180">
        <v>28.25</v>
      </c>
      <c r="M220" s="180">
        <v>31.531500000000001</v>
      </c>
      <c r="N220" s="182">
        <v>890.76</v>
      </c>
      <c r="O220" s="182">
        <v>97.98</v>
      </c>
    </row>
    <row r="221" spans="1:15" hidden="1" x14ac:dyDescent="0.25">
      <c r="A221" s="180" t="s">
        <v>658</v>
      </c>
      <c r="B221" s="180" t="s">
        <v>659</v>
      </c>
      <c r="D221" s="180" t="s">
        <v>822</v>
      </c>
      <c r="E221" s="181">
        <v>45195</v>
      </c>
      <c r="F221" s="180" t="s">
        <v>669</v>
      </c>
      <c r="G221" s="180" t="s">
        <v>670</v>
      </c>
      <c r="H221" s="180" t="s">
        <v>671</v>
      </c>
      <c r="I221" s="180" t="s">
        <v>669</v>
      </c>
      <c r="J221" s="180" t="s">
        <v>376</v>
      </c>
      <c r="L221" s="180">
        <v>12.25</v>
      </c>
      <c r="M221" s="180">
        <v>36.036000000000001</v>
      </c>
      <c r="N221" s="182">
        <v>441.44</v>
      </c>
      <c r="O221" s="182">
        <v>48.56</v>
      </c>
    </row>
    <row r="222" spans="1:15" hidden="1" x14ac:dyDescent="0.25">
      <c r="A222" s="180" t="s">
        <v>658</v>
      </c>
      <c r="B222" s="180" t="s">
        <v>659</v>
      </c>
      <c r="D222" s="180" t="s">
        <v>822</v>
      </c>
      <c r="E222" s="181">
        <v>45195</v>
      </c>
      <c r="F222" s="180" t="s">
        <v>672</v>
      </c>
      <c r="G222" s="180" t="s">
        <v>673</v>
      </c>
      <c r="H222" s="180" t="s">
        <v>674</v>
      </c>
      <c r="I222" s="180" t="s">
        <v>672</v>
      </c>
      <c r="J222" s="180" t="s">
        <v>376</v>
      </c>
      <c r="L222" s="180">
        <v>46.5</v>
      </c>
      <c r="M222" s="180">
        <v>29.279199999999999</v>
      </c>
      <c r="N222" s="182">
        <v>1361.48</v>
      </c>
      <c r="O222" s="182">
        <v>149.76</v>
      </c>
    </row>
    <row r="223" spans="1:15" hidden="1" x14ac:dyDescent="0.25">
      <c r="A223" s="180" t="s">
        <v>658</v>
      </c>
      <c r="B223" s="180" t="s">
        <v>659</v>
      </c>
      <c r="D223" s="180" t="s">
        <v>822</v>
      </c>
      <c r="E223" s="181">
        <v>45195</v>
      </c>
      <c r="F223" s="180" t="s">
        <v>679</v>
      </c>
      <c r="G223" s="180" t="s">
        <v>680</v>
      </c>
      <c r="H223" s="180" t="s">
        <v>681</v>
      </c>
      <c r="I223" s="180" t="s">
        <v>682</v>
      </c>
      <c r="J223" s="180" t="s">
        <v>376</v>
      </c>
      <c r="L223" s="180">
        <v>48</v>
      </c>
      <c r="M223" s="180">
        <v>31.531500000000001</v>
      </c>
      <c r="N223" s="182">
        <v>1513.51</v>
      </c>
      <c r="O223" s="182">
        <v>166.49</v>
      </c>
    </row>
    <row r="224" spans="1:15" hidden="1" x14ac:dyDescent="0.25">
      <c r="A224" s="180" t="s">
        <v>658</v>
      </c>
      <c r="B224" s="180" t="s">
        <v>659</v>
      </c>
      <c r="D224" s="180" t="s">
        <v>822</v>
      </c>
      <c r="E224" s="181">
        <v>45195</v>
      </c>
      <c r="F224" s="180" t="s">
        <v>683</v>
      </c>
      <c r="G224" s="180" t="s">
        <v>684</v>
      </c>
      <c r="H224" s="180" t="s">
        <v>685</v>
      </c>
      <c r="J224" s="180" t="s">
        <v>376</v>
      </c>
      <c r="L224" s="180">
        <v>16</v>
      </c>
      <c r="M224" s="180">
        <v>29.279199999999999</v>
      </c>
      <c r="N224" s="182">
        <v>468.47</v>
      </c>
      <c r="O224" s="182">
        <v>51.53</v>
      </c>
    </row>
    <row r="225" spans="1:15" hidden="1" x14ac:dyDescent="0.25">
      <c r="A225" s="180" t="s">
        <v>658</v>
      </c>
      <c r="B225" s="180" t="s">
        <v>659</v>
      </c>
      <c r="D225" s="180" t="s">
        <v>822</v>
      </c>
      <c r="E225" s="181">
        <v>45195</v>
      </c>
      <c r="F225" s="180" t="s">
        <v>686</v>
      </c>
      <c r="G225" s="180" t="s">
        <v>684</v>
      </c>
      <c r="H225" s="180" t="s">
        <v>687</v>
      </c>
      <c r="J225" s="180" t="s">
        <v>376</v>
      </c>
      <c r="L225" s="180">
        <v>11.5</v>
      </c>
      <c r="M225" s="180">
        <v>29.729700000000001</v>
      </c>
      <c r="N225" s="182">
        <v>341.89</v>
      </c>
      <c r="O225" s="182">
        <v>37.61</v>
      </c>
    </row>
    <row r="226" spans="1:15" x14ac:dyDescent="0.25">
      <c r="A226" s="180" t="s">
        <v>658</v>
      </c>
      <c r="B226" s="180" t="s">
        <v>659</v>
      </c>
      <c r="D226" s="180" t="s">
        <v>822</v>
      </c>
      <c r="E226" s="181">
        <v>45195</v>
      </c>
      <c r="F226" s="180" t="s">
        <v>708</v>
      </c>
      <c r="G226" s="180" t="s">
        <v>709</v>
      </c>
      <c r="H226" s="180" t="s">
        <v>710</v>
      </c>
      <c r="I226" s="180" t="s">
        <v>711</v>
      </c>
      <c r="J226" s="180" t="s">
        <v>712</v>
      </c>
      <c r="L226" s="180">
        <v>19</v>
      </c>
      <c r="M226" s="180">
        <v>32.432400000000001</v>
      </c>
      <c r="N226" s="182">
        <v>616.22</v>
      </c>
      <c r="O226" s="182">
        <v>67.78</v>
      </c>
    </row>
    <row r="227" spans="1:15" hidden="1" x14ac:dyDescent="0.25">
      <c r="A227" s="180" t="s">
        <v>658</v>
      </c>
      <c r="B227" s="180" t="s">
        <v>659</v>
      </c>
      <c r="D227" s="180" t="s">
        <v>822</v>
      </c>
      <c r="E227" s="181">
        <v>45195</v>
      </c>
      <c r="F227" s="180" t="s">
        <v>713</v>
      </c>
      <c r="G227" s="180" t="s">
        <v>714</v>
      </c>
      <c r="H227" s="180" t="s">
        <v>715</v>
      </c>
      <c r="I227" s="180" t="s">
        <v>716</v>
      </c>
      <c r="J227" s="180" t="s">
        <v>376</v>
      </c>
      <c r="L227" s="180">
        <v>10.5</v>
      </c>
      <c r="M227" s="180">
        <v>29.279199999999999</v>
      </c>
      <c r="N227" s="182">
        <v>307.43</v>
      </c>
      <c r="O227" s="182">
        <v>33.82</v>
      </c>
    </row>
    <row r="228" spans="1:15" hidden="1" x14ac:dyDescent="0.25">
      <c r="A228" s="180" t="s">
        <v>658</v>
      </c>
      <c r="B228" s="180" t="s">
        <v>659</v>
      </c>
      <c r="D228" s="180" t="s">
        <v>822</v>
      </c>
      <c r="E228" s="181">
        <v>45195</v>
      </c>
      <c r="F228" s="180" t="s">
        <v>688</v>
      </c>
      <c r="G228" s="180" t="s">
        <v>689</v>
      </c>
      <c r="H228" s="180" t="s">
        <v>690</v>
      </c>
      <c r="I228" s="180" t="s">
        <v>691</v>
      </c>
      <c r="J228" s="180" t="s">
        <v>665</v>
      </c>
      <c r="L228" s="180">
        <v>17.5</v>
      </c>
      <c r="M228" s="180">
        <v>33.783799999999999</v>
      </c>
      <c r="N228" s="182">
        <v>591.22</v>
      </c>
      <c r="O228" s="182">
        <v>65.03</v>
      </c>
    </row>
    <row r="229" spans="1:15" hidden="1" x14ac:dyDescent="0.25">
      <c r="A229" s="180" t="s">
        <v>658</v>
      </c>
      <c r="B229" s="180" t="s">
        <v>659</v>
      </c>
      <c r="D229" s="180" t="s">
        <v>822</v>
      </c>
      <c r="E229" s="181">
        <v>45195</v>
      </c>
      <c r="F229" s="180" t="s">
        <v>717</v>
      </c>
      <c r="G229" s="180" t="s">
        <v>718</v>
      </c>
      <c r="H229" s="180" t="s">
        <v>719</v>
      </c>
      <c r="J229" s="180" t="s">
        <v>376</v>
      </c>
      <c r="L229" s="180">
        <v>16.25</v>
      </c>
      <c r="M229" s="180">
        <v>29.279199999999999</v>
      </c>
      <c r="N229" s="182">
        <v>475.79</v>
      </c>
      <c r="O229" s="182">
        <v>52.34</v>
      </c>
    </row>
    <row r="230" spans="1:15" x14ac:dyDescent="0.25">
      <c r="A230" s="180" t="s">
        <v>658</v>
      </c>
      <c r="B230" s="180" t="s">
        <v>659</v>
      </c>
      <c r="D230" s="180" t="s">
        <v>822</v>
      </c>
      <c r="E230" s="181">
        <v>45195</v>
      </c>
      <c r="F230" s="180" t="s">
        <v>692</v>
      </c>
      <c r="G230" s="180" t="s">
        <v>693</v>
      </c>
      <c r="H230" s="180" t="s">
        <v>694</v>
      </c>
      <c r="I230" s="180" t="s">
        <v>692</v>
      </c>
      <c r="J230" s="180" t="s">
        <v>695</v>
      </c>
      <c r="L230" s="180">
        <v>25.75</v>
      </c>
      <c r="M230" s="180">
        <v>40.540500000000002</v>
      </c>
      <c r="N230" s="182">
        <v>1043.92</v>
      </c>
      <c r="O230" s="182">
        <v>114.83</v>
      </c>
    </row>
    <row r="231" spans="1:15" hidden="1" x14ac:dyDescent="0.25">
      <c r="A231" s="180" t="s">
        <v>658</v>
      </c>
      <c r="B231" s="180" t="s">
        <v>659</v>
      </c>
      <c r="D231" s="180" t="s">
        <v>822</v>
      </c>
      <c r="E231" s="181">
        <v>45195</v>
      </c>
      <c r="F231" s="180" t="s">
        <v>720</v>
      </c>
      <c r="G231" s="180" t="s">
        <v>721</v>
      </c>
      <c r="H231" s="180" t="s">
        <v>722</v>
      </c>
      <c r="J231" s="180" t="s">
        <v>376</v>
      </c>
      <c r="L231" s="180">
        <v>16</v>
      </c>
      <c r="M231" s="180">
        <v>29.279299999999999</v>
      </c>
      <c r="N231" s="182">
        <v>468.47</v>
      </c>
      <c r="O231" s="182">
        <v>51.53</v>
      </c>
    </row>
    <row r="232" spans="1:15" hidden="1" x14ac:dyDescent="0.25">
      <c r="A232" s="180" t="s">
        <v>658</v>
      </c>
      <c r="B232" s="180" t="s">
        <v>659</v>
      </c>
      <c r="D232" s="180" t="s">
        <v>822</v>
      </c>
      <c r="E232" s="181">
        <v>45195</v>
      </c>
      <c r="F232" s="180" t="s">
        <v>723</v>
      </c>
      <c r="G232" s="180" t="s">
        <v>724</v>
      </c>
      <c r="H232" s="180" t="s">
        <v>725</v>
      </c>
      <c r="I232" s="180" t="s">
        <v>726</v>
      </c>
      <c r="J232" s="180" t="s">
        <v>376</v>
      </c>
      <c r="L232" s="180">
        <v>49.5</v>
      </c>
      <c r="M232" s="180">
        <v>36.036000000000001</v>
      </c>
      <c r="N232" s="182">
        <v>1783.78</v>
      </c>
      <c r="O232" s="182">
        <v>196.22</v>
      </c>
    </row>
    <row r="233" spans="1:15" x14ac:dyDescent="0.25">
      <c r="A233" s="180" t="s">
        <v>658</v>
      </c>
      <c r="B233" s="180" t="s">
        <v>659</v>
      </c>
      <c r="D233" s="180" t="s">
        <v>822</v>
      </c>
      <c r="E233" s="181">
        <v>45195</v>
      </c>
      <c r="F233" s="180" t="s">
        <v>817</v>
      </c>
      <c r="G233" s="180" t="s">
        <v>818</v>
      </c>
      <c r="H233" s="180" t="s">
        <v>819</v>
      </c>
      <c r="J233" s="180" t="s">
        <v>712</v>
      </c>
      <c r="L233" s="180">
        <v>12.5</v>
      </c>
      <c r="M233" s="180">
        <v>40.540500000000002</v>
      </c>
      <c r="N233" s="182">
        <v>506.76</v>
      </c>
      <c r="O233" s="182">
        <v>55.74</v>
      </c>
    </row>
    <row r="234" spans="1:15" hidden="1" x14ac:dyDescent="0.25">
      <c r="A234" s="180" t="s">
        <v>658</v>
      </c>
      <c r="B234" s="180" t="s">
        <v>659</v>
      </c>
      <c r="D234" s="180" t="s">
        <v>823</v>
      </c>
      <c r="E234" s="181">
        <v>45209</v>
      </c>
      <c r="F234" s="180" t="s">
        <v>666</v>
      </c>
      <c r="G234" s="180" t="s">
        <v>667</v>
      </c>
      <c r="H234" s="180" t="s">
        <v>668</v>
      </c>
      <c r="J234" s="180" t="s">
        <v>376</v>
      </c>
      <c r="L234" s="180">
        <v>39.75</v>
      </c>
      <c r="M234" s="180">
        <v>31.531500000000001</v>
      </c>
      <c r="N234" s="182">
        <v>1253.3800000000001</v>
      </c>
      <c r="O234" s="182">
        <v>137.87</v>
      </c>
    </row>
    <row r="235" spans="1:15" hidden="1" x14ac:dyDescent="0.25">
      <c r="A235" s="180" t="s">
        <v>658</v>
      </c>
      <c r="B235" s="180" t="s">
        <v>659</v>
      </c>
      <c r="D235" s="180" t="s">
        <v>823</v>
      </c>
      <c r="E235" s="181">
        <v>45209</v>
      </c>
      <c r="F235" s="180" t="s">
        <v>669</v>
      </c>
      <c r="G235" s="180" t="s">
        <v>670</v>
      </c>
      <c r="H235" s="180" t="s">
        <v>671</v>
      </c>
      <c r="I235" s="180" t="s">
        <v>669</v>
      </c>
      <c r="J235" s="180" t="s">
        <v>376</v>
      </c>
      <c r="L235" s="180">
        <v>8.75</v>
      </c>
      <c r="M235" s="180">
        <v>36.036000000000001</v>
      </c>
      <c r="N235" s="182">
        <v>315.32</v>
      </c>
      <c r="O235" s="182">
        <v>34.68</v>
      </c>
    </row>
    <row r="236" spans="1:15" hidden="1" x14ac:dyDescent="0.25">
      <c r="A236" s="180" t="s">
        <v>658</v>
      </c>
      <c r="B236" s="180" t="s">
        <v>659</v>
      </c>
      <c r="D236" s="180" t="s">
        <v>823</v>
      </c>
      <c r="E236" s="181">
        <v>45209</v>
      </c>
      <c r="F236" s="180" t="s">
        <v>672</v>
      </c>
      <c r="G236" s="180" t="s">
        <v>673</v>
      </c>
      <c r="H236" s="180" t="s">
        <v>674</v>
      </c>
      <c r="I236" s="180" t="s">
        <v>672</v>
      </c>
      <c r="J236" s="180" t="s">
        <v>376</v>
      </c>
      <c r="L236" s="180">
        <v>11.75</v>
      </c>
      <c r="M236" s="180">
        <v>29.279199999999999</v>
      </c>
      <c r="N236" s="182">
        <v>344.03</v>
      </c>
      <c r="O236" s="182">
        <v>37.840000000000003</v>
      </c>
    </row>
    <row r="237" spans="1:15" hidden="1" x14ac:dyDescent="0.25">
      <c r="A237" s="180" t="s">
        <v>658</v>
      </c>
      <c r="B237" s="180" t="s">
        <v>659</v>
      </c>
      <c r="D237" s="180" t="s">
        <v>823</v>
      </c>
      <c r="E237" s="181">
        <v>45209</v>
      </c>
      <c r="F237" s="180" t="s">
        <v>683</v>
      </c>
      <c r="G237" s="180" t="s">
        <v>684</v>
      </c>
      <c r="H237" s="180" t="s">
        <v>685</v>
      </c>
      <c r="J237" s="180" t="s">
        <v>376</v>
      </c>
      <c r="L237" s="180">
        <v>46.5</v>
      </c>
      <c r="M237" s="180">
        <v>29.279199999999999</v>
      </c>
      <c r="N237" s="182">
        <v>1361.48</v>
      </c>
      <c r="O237" s="182">
        <v>149.76</v>
      </c>
    </row>
    <row r="238" spans="1:15" hidden="1" x14ac:dyDescent="0.25">
      <c r="A238" s="180" t="s">
        <v>658</v>
      </c>
      <c r="B238" s="180" t="s">
        <v>659</v>
      </c>
      <c r="D238" s="180" t="s">
        <v>823</v>
      </c>
      <c r="E238" s="181">
        <v>45209</v>
      </c>
      <c r="F238" s="180" t="s">
        <v>713</v>
      </c>
      <c r="G238" s="180" t="s">
        <v>714</v>
      </c>
      <c r="H238" s="180" t="s">
        <v>715</v>
      </c>
      <c r="I238" s="180" t="s">
        <v>716</v>
      </c>
      <c r="J238" s="180" t="s">
        <v>376</v>
      </c>
      <c r="L238" s="180">
        <v>8.5</v>
      </c>
      <c r="M238" s="180">
        <v>29.279199999999999</v>
      </c>
      <c r="N238" s="182">
        <v>248.87</v>
      </c>
      <c r="O238" s="182">
        <v>27.38</v>
      </c>
    </row>
    <row r="239" spans="1:15" hidden="1" x14ac:dyDescent="0.25">
      <c r="A239" s="180" t="s">
        <v>658</v>
      </c>
      <c r="B239" s="180" t="s">
        <v>659</v>
      </c>
      <c r="D239" s="180" t="s">
        <v>823</v>
      </c>
      <c r="E239" s="181">
        <v>45209</v>
      </c>
      <c r="F239" s="180" t="s">
        <v>688</v>
      </c>
      <c r="G239" s="180" t="s">
        <v>689</v>
      </c>
      <c r="H239" s="180" t="s">
        <v>690</v>
      </c>
      <c r="I239" s="180" t="s">
        <v>691</v>
      </c>
      <c r="J239" s="180" t="s">
        <v>665</v>
      </c>
      <c r="L239" s="180">
        <v>9.25</v>
      </c>
      <c r="M239" s="180">
        <v>33.783799999999999</v>
      </c>
      <c r="N239" s="182">
        <v>312.5</v>
      </c>
      <c r="O239" s="182">
        <v>34.380000000000003</v>
      </c>
    </row>
    <row r="240" spans="1:15" hidden="1" x14ac:dyDescent="0.25">
      <c r="A240" s="180" t="s">
        <v>658</v>
      </c>
      <c r="B240" s="180" t="s">
        <v>659</v>
      </c>
      <c r="D240" s="180" t="s">
        <v>823</v>
      </c>
      <c r="E240" s="181">
        <v>45209</v>
      </c>
      <c r="F240" s="180" t="s">
        <v>752</v>
      </c>
      <c r="G240" s="180" t="s">
        <v>753</v>
      </c>
      <c r="H240" s="180" t="s">
        <v>754</v>
      </c>
      <c r="I240" s="180" t="s">
        <v>752</v>
      </c>
      <c r="J240" s="180" t="s">
        <v>376</v>
      </c>
      <c r="L240" s="180">
        <v>33</v>
      </c>
      <c r="M240" s="180">
        <v>29.279299999999999</v>
      </c>
      <c r="N240" s="182">
        <v>966.22</v>
      </c>
      <c r="O240" s="182">
        <v>106.28</v>
      </c>
    </row>
    <row r="241" spans="1:15" x14ac:dyDescent="0.25">
      <c r="A241" s="180" t="s">
        <v>658</v>
      </c>
      <c r="B241" s="180" t="s">
        <v>659</v>
      </c>
      <c r="D241" s="180" t="s">
        <v>823</v>
      </c>
      <c r="E241" s="181">
        <v>45209</v>
      </c>
      <c r="F241" s="180" t="s">
        <v>692</v>
      </c>
      <c r="G241" s="180" t="s">
        <v>693</v>
      </c>
      <c r="H241" s="180" t="s">
        <v>694</v>
      </c>
      <c r="I241" s="180" t="s">
        <v>692</v>
      </c>
      <c r="J241" s="180" t="s">
        <v>695</v>
      </c>
      <c r="L241" s="180">
        <v>8.5</v>
      </c>
      <c r="M241" s="180">
        <v>40.540500000000002</v>
      </c>
      <c r="N241" s="182">
        <v>344.59</v>
      </c>
      <c r="O241" s="182">
        <v>37.909999999999997</v>
      </c>
    </row>
    <row r="242" spans="1:15" hidden="1" x14ac:dyDescent="0.25">
      <c r="A242" s="180" t="s">
        <v>658</v>
      </c>
      <c r="B242" s="180" t="s">
        <v>659</v>
      </c>
      <c r="D242" s="180" t="s">
        <v>823</v>
      </c>
      <c r="E242" s="181">
        <v>45209</v>
      </c>
      <c r="F242" s="180" t="s">
        <v>699</v>
      </c>
      <c r="G242" s="180" t="s">
        <v>700</v>
      </c>
      <c r="H242" s="180" t="s">
        <v>701</v>
      </c>
      <c r="I242" s="180" t="s">
        <v>702</v>
      </c>
      <c r="J242" s="180" t="s">
        <v>376</v>
      </c>
      <c r="L242" s="180">
        <v>16</v>
      </c>
      <c r="M242" s="180">
        <v>29.279199999999999</v>
      </c>
      <c r="N242" s="182">
        <v>468.47</v>
      </c>
      <c r="O242" s="182">
        <v>51.53</v>
      </c>
    </row>
    <row r="243" spans="1:15" hidden="1" x14ac:dyDescent="0.25">
      <c r="A243" s="180" t="s">
        <v>658</v>
      </c>
      <c r="B243" s="180" t="s">
        <v>659</v>
      </c>
      <c r="D243" s="180" t="s">
        <v>823</v>
      </c>
      <c r="E243" s="181">
        <v>45209</v>
      </c>
      <c r="F243" s="180" t="s">
        <v>723</v>
      </c>
      <c r="G243" s="180" t="s">
        <v>724</v>
      </c>
      <c r="H243" s="180" t="s">
        <v>725</v>
      </c>
      <c r="I243" s="180" t="s">
        <v>726</v>
      </c>
      <c r="J243" s="180" t="s">
        <v>376</v>
      </c>
      <c r="L243" s="180">
        <v>72.75</v>
      </c>
      <c r="M243" s="180">
        <v>36.036000000000001</v>
      </c>
      <c r="N243" s="182">
        <v>2621.62</v>
      </c>
      <c r="O243" s="182">
        <v>288.38</v>
      </c>
    </row>
    <row r="244" spans="1:15" x14ac:dyDescent="0.25">
      <c r="A244" s="180" t="s">
        <v>658</v>
      </c>
      <c r="B244" s="180" t="s">
        <v>659</v>
      </c>
      <c r="D244" s="180" t="s">
        <v>823</v>
      </c>
      <c r="E244" s="181">
        <v>45209</v>
      </c>
      <c r="F244" s="180" t="s">
        <v>767</v>
      </c>
      <c r="G244" s="180" t="s">
        <v>768</v>
      </c>
      <c r="H244" s="180" t="s">
        <v>769</v>
      </c>
      <c r="I244" s="180" t="s">
        <v>767</v>
      </c>
      <c r="J244" s="180" t="s">
        <v>712</v>
      </c>
      <c r="L244" s="180">
        <v>9</v>
      </c>
      <c r="M244" s="180">
        <v>31.531500000000001</v>
      </c>
      <c r="N244" s="182">
        <v>283.77999999999997</v>
      </c>
      <c r="O244" s="182">
        <v>31.22</v>
      </c>
    </row>
    <row r="245" spans="1:15" hidden="1" x14ac:dyDescent="0.25">
      <c r="A245" s="180" t="s">
        <v>658</v>
      </c>
      <c r="B245" s="180" t="s">
        <v>659</v>
      </c>
      <c r="D245" s="180" t="s">
        <v>824</v>
      </c>
      <c r="E245" s="181">
        <v>45223</v>
      </c>
      <c r="F245" s="180" t="s">
        <v>732</v>
      </c>
      <c r="G245" s="180" t="s">
        <v>733</v>
      </c>
      <c r="H245" s="180" t="s">
        <v>734</v>
      </c>
      <c r="I245" s="180" t="s">
        <v>735</v>
      </c>
      <c r="J245" s="180" t="s">
        <v>376</v>
      </c>
      <c r="L245" s="180">
        <v>9</v>
      </c>
      <c r="M245" s="180">
        <v>39.639600000000002</v>
      </c>
      <c r="N245" s="182">
        <v>356.76</v>
      </c>
      <c r="O245" s="182">
        <v>39.24</v>
      </c>
    </row>
    <row r="246" spans="1:15" hidden="1" x14ac:dyDescent="0.25">
      <c r="A246" s="180" t="s">
        <v>658</v>
      </c>
      <c r="B246" s="180" t="s">
        <v>659</v>
      </c>
      <c r="D246" s="180" t="s">
        <v>824</v>
      </c>
      <c r="E246" s="181">
        <v>45223</v>
      </c>
      <c r="F246" s="180" t="s">
        <v>777</v>
      </c>
      <c r="G246" s="180" t="s">
        <v>778</v>
      </c>
      <c r="H246" s="180" t="s">
        <v>779</v>
      </c>
      <c r="I246" s="180" t="s">
        <v>780</v>
      </c>
      <c r="J246" s="180" t="s">
        <v>376</v>
      </c>
      <c r="L246" s="180">
        <v>4.25</v>
      </c>
      <c r="M246" s="180">
        <v>36.936900000000001</v>
      </c>
      <c r="N246" s="182">
        <v>156.97999999999999</v>
      </c>
      <c r="O246" s="182">
        <v>17.27</v>
      </c>
    </row>
    <row r="247" spans="1:15" hidden="1" x14ac:dyDescent="0.25">
      <c r="A247" s="180" t="s">
        <v>658</v>
      </c>
      <c r="B247" s="180" t="s">
        <v>659</v>
      </c>
      <c r="D247" s="180" t="s">
        <v>824</v>
      </c>
      <c r="E247" s="181">
        <v>45223</v>
      </c>
      <c r="F247" s="180" t="s">
        <v>669</v>
      </c>
      <c r="G247" s="180" t="s">
        <v>670</v>
      </c>
      <c r="H247" s="180" t="s">
        <v>671</v>
      </c>
      <c r="I247" s="180" t="s">
        <v>669</v>
      </c>
      <c r="J247" s="180" t="s">
        <v>376</v>
      </c>
      <c r="L247" s="180">
        <v>35.25</v>
      </c>
      <c r="M247" s="180">
        <v>36.036000000000001</v>
      </c>
      <c r="N247" s="182">
        <v>1270.27</v>
      </c>
      <c r="O247" s="182">
        <v>139.72999999999999</v>
      </c>
    </row>
    <row r="248" spans="1:15" hidden="1" x14ac:dyDescent="0.25">
      <c r="A248" s="180" t="s">
        <v>658</v>
      </c>
      <c r="B248" s="180" t="s">
        <v>659</v>
      </c>
      <c r="D248" s="180" t="s">
        <v>824</v>
      </c>
      <c r="E248" s="181">
        <v>45223</v>
      </c>
      <c r="F248" s="180" t="s">
        <v>672</v>
      </c>
      <c r="G248" s="180" t="s">
        <v>673</v>
      </c>
      <c r="H248" s="180" t="s">
        <v>674</v>
      </c>
      <c r="I248" s="180" t="s">
        <v>672</v>
      </c>
      <c r="J248" s="180" t="s">
        <v>376</v>
      </c>
      <c r="L248" s="180">
        <v>11.75</v>
      </c>
      <c r="M248" s="180">
        <v>29.279199999999999</v>
      </c>
      <c r="N248" s="182">
        <v>344.03</v>
      </c>
      <c r="O248" s="182">
        <v>37.840000000000003</v>
      </c>
    </row>
    <row r="249" spans="1:15" hidden="1" x14ac:dyDescent="0.25">
      <c r="A249" s="180" t="s">
        <v>658</v>
      </c>
      <c r="B249" s="180" t="s">
        <v>659</v>
      </c>
      <c r="D249" s="180" t="s">
        <v>824</v>
      </c>
      <c r="E249" s="181">
        <v>45223</v>
      </c>
      <c r="F249" s="180" t="s">
        <v>825</v>
      </c>
      <c r="G249" s="180" t="s">
        <v>826</v>
      </c>
      <c r="H249" s="180" t="s">
        <v>827</v>
      </c>
      <c r="I249" s="180" t="s">
        <v>828</v>
      </c>
      <c r="J249" s="180" t="s">
        <v>376</v>
      </c>
      <c r="L249" s="180">
        <v>12</v>
      </c>
      <c r="M249" s="180">
        <v>28.959299999999999</v>
      </c>
      <c r="N249" s="182">
        <v>347.51</v>
      </c>
      <c r="O249" s="182">
        <v>38.229999999999997</v>
      </c>
    </row>
    <row r="250" spans="1:15" hidden="1" x14ac:dyDescent="0.25">
      <c r="A250" s="180" t="s">
        <v>658</v>
      </c>
      <c r="B250" s="180" t="s">
        <v>659</v>
      </c>
      <c r="D250" s="180" t="s">
        <v>824</v>
      </c>
      <c r="E250" s="181">
        <v>45223</v>
      </c>
      <c r="F250" s="180" t="s">
        <v>683</v>
      </c>
      <c r="G250" s="180" t="s">
        <v>684</v>
      </c>
      <c r="H250" s="180" t="s">
        <v>685</v>
      </c>
      <c r="J250" s="180" t="s">
        <v>376</v>
      </c>
      <c r="L250" s="180">
        <v>15.25</v>
      </c>
      <c r="M250" s="180">
        <v>29.279199999999999</v>
      </c>
      <c r="N250" s="182">
        <v>446.51</v>
      </c>
      <c r="O250" s="182">
        <v>49.12</v>
      </c>
    </row>
    <row r="251" spans="1:15" hidden="1" x14ac:dyDescent="0.25">
      <c r="A251" s="180" t="s">
        <v>658</v>
      </c>
      <c r="B251" s="180" t="s">
        <v>659</v>
      </c>
      <c r="D251" s="180" t="s">
        <v>824</v>
      </c>
      <c r="E251" s="181">
        <v>45223</v>
      </c>
      <c r="F251" s="180" t="s">
        <v>686</v>
      </c>
      <c r="G251" s="180" t="s">
        <v>684</v>
      </c>
      <c r="H251" s="180" t="s">
        <v>687</v>
      </c>
      <c r="J251" s="180" t="s">
        <v>376</v>
      </c>
      <c r="L251" s="180">
        <v>20.75</v>
      </c>
      <c r="M251" s="180">
        <v>29.729700000000001</v>
      </c>
      <c r="N251" s="182">
        <v>616.89</v>
      </c>
      <c r="O251" s="182">
        <v>67.86</v>
      </c>
    </row>
    <row r="252" spans="1:15" x14ac:dyDescent="0.25">
      <c r="A252" s="180" t="s">
        <v>658</v>
      </c>
      <c r="B252" s="180" t="s">
        <v>659</v>
      </c>
      <c r="D252" s="180" t="s">
        <v>824</v>
      </c>
      <c r="E252" s="181">
        <v>45223</v>
      </c>
      <c r="F252" s="180" t="s">
        <v>708</v>
      </c>
      <c r="G252" s="180" t="s">
        <v>709</v>
      </c>
      <c r="H252" s="180" t="s">
        <v>710</v>
      </c>
      <c r="I252" s="180" t="s">
        <v>711</v>
      </c>
      <c r="J252" s="180" t="s">
        <v>712</v>
      </c>
      <c r="L252" s="180">
        <v>28.5</v>
      </c>
      <c r="M252" s="180">
        <v>32.432400000000001</v>
      </c>
      <c r="N252" s="182">
        <v>924.32</v>
      </c>
      <c r="O252" s="182">
        <v>101.68</v>
      </c>
    </row>
    <row r="253" spans="1:15" hidden="1" x14ac:dyDescent="0.25">
      <c r="A253" s="180" t="s">
        <v>658</v>
      </c>
      <c r="B253" s="180" t="s">
        <v>659</v>
      </c>
      <c r="D253" s="180" t="s">
        <v>824</v>
      </c>
      <c r="E253" s="181">
        <v>45223</v>
      </c>
      <c r="F253" s="180" t="s">
        <v>713</v>
      </c>
      <c r="G253" s="180" t="s">
        <v>714</v>
      </c>
      <c r="H253" s="180" t="s">
        <v>715</v>
      </c>
      <c r="I253" s="180" t="s">
        <v>716</v>
      </c>
      <c r="J253" s="180" t="s">
        <v>376</v>
      </c>
      <c r="L253" s="180">
        <v>7.75</v>
      </c>
      <c r="M253" s="180">
        <v>29.279199999999999</v>
      </c>
      <c r="N253" s="182">
        <v>226.91</v>
      </c>
      <c r="O253" s="182">
        <v>24.96</v>
      </c>
    </row>
    <row r="254" spans="1:15" hidden="1" x14ac:dyDescent="0.25">
      <c r="A254" s="180" t="s">
        <v>658</v>
      </c>
      <c r="B254" s="180" t="s">
        <v>659</v>
      </c>
      <c r="D254" s="180" t="s">
        <v>824</v>
      </c>
      <c r="E254" s="181">
        <v>45223</v>
      </c>
      <c r="F254" s="180" t="s">
        <v>688</v>
      </c>
      <c r="G254" s="180" t="s">
        <v>689</v>
      </c>
      <c r="H254" s="180" t="s">
        <v>690</v>
      </c>
      <c r="I254" s="180" t="s">
        <v>691</v>
      </c>
      <c r="J254" s="180" t="s">
        <v>665</v>
      </c>
      <c r="L254" s="180">
        <v>11</v>
      </c>
      <c r="M254" s="180">
        <v>33.783799999999999</v>
      </c>
      <c r="N254" s="182">
        <v>371.62</v>
      </c>
      <c r="O254" s="182">
        <v>40.880000000000003</v>
      </c>
    </row>
    <row r="255" spans="1:15" hidden="1" x14ac:dyDescent="0.25">
      <c r="A255" s="180" t="s">
        <v>658</v>
      </c>
      <c r="B255" s="180" t="s">
        <v>659</v>
      </c>
      <c r="D255" s="180" t="s">
        <v>824</v>
      </c>
      <c r="E255" s="181">
        <v>45223</v>
      </c>
      <c r="F255" s="180" t="s">
        <v>752</v>
      </c>
      <c r="G255" s="180" t="s">
        <v>753</v>
      </c>
      <c r="H255" s="180" t="s">
        <v>754</v>
      </c>
      <c r="I255" s="180" t="s">
        <v>752</v>
      </c>
      <c r="J255" s="180" t="s">
        <v>376</v>
      </c>
      <c r="L255" s="180">
        <v>8.25</v>
      </c>
      <c r="M255" s="180">
        <v>29.279299999999999</v>
      </c>
      <c r="N255" s="182">
        <v>241.55</v>
      </c>
      <c r="O255" s="182">
        <v>26.57</v>
      </c>
    </row>
    <row r="256" spans="1:15" x14ac:dyDescent="0.25">
      <c r="A256" s="180" t="s">
        <v>658</v>
      </c>
      <c r="B256" s="180" t="s">
        <v>659</v>
      </c>
      <c r="D256" s="180" t="s">
        <v>824</v>
      </c>
      <c r="E256" s="181">
        <v>45223</v>
      </c>
      <c r="F256" s="180" t="s">
        <v>692</v>
      </c>
      <c r="G256" s="180" t="s">
        <v>693</v>
      </c>
      <c r="H256" s="180" t="s">
        <v>694</v>
      </c>
      <c r="I256" s="180" t="s">
        <v>692</v>
      </c>
      <c r="J256" s="180" t="s">
        <v>695</v>
      </c>
      <c r="L256" s="180">
        <v>1.25</v>
      </c>
      <c r="M256" s="180">
        <v>40.540500000000002</v>
      </c>
      <c r="N256" s="182">
        <v>50.68</v>
      </c>
      <c r="O256" s="182">
        <v>5.57</v>
      </c>
    </row>
    <row r="257" spans="1:15" hidden="1" x14ac:dyDescent="0.25">
      <c r="A257" s="180" t="s">
        <v>658</v>
      </c>
      <c r="B257" s="180" t="s">
        <v>659</v>
      </c>
      <c r="D257" s="180" t="s">
        <v>824</v>
      </c>
      <c r="E257" s="181">
        <v>45223</v>
      </c>
      <c r="F257" s="180" t="s">
        <v>723</v>
      </c>
      <c r="G257" s="180" t="s">
        <v>724</v>
      </c>
      <c r="H257" s="180" t="s">
        <v>725</v>
      </c>
      <c r="I257" s="180" t="s">
        <v>726</v>
      </c>
      <c r="J257" s="180" t="s">
        <v>376</v>
      </c>
      <c r="L257" s="180">
        <v>96</v>
      </c>
      <c r="M257" s="180">
        <v>36.036000000000001</v>
      </c>
      <c r="N257" s="182">
        <v>3459.46</v>
      </c>
      <c r="O257" s="182">
        <v>380.54</v>
      </c>
    </row>
    <row r="258" spans="1:15" hidden="1" x14ac:dyDescent="0.25">
      <c r="A258" s="180" t="s">
        <v>658</v>
      </c>
      <c r="B258" s="180" t="s">
        <v>659</v>
      </c>
      <c r="D258" s="180" t="s">
        <v>824</v>
      </c>
      <c r="E258" s="181">
        <v>45223</v>
      </c>
      <c r="F258" s="180" t="s">
        <v>764</v>
      </c>
      <c r="G258" s="180" t="s">
        <v>765</v>
      </c>
      <c r="H258" s="180" t="s">
        <v>766</v>
      </c>
      <c r="J258" s="180" t="s">
        <v>376</v>
      </c>
      <c r="L258" s="180">
        <v>8.25</v>
      </c>
      <c r="M258" s="180">
        <v>29.279199999999999</v>
      </c>
      <c r="N258" s="182">
        <v>241.55</v>
      </c>
      <c r="O258" s="182">
        <v>26.57</v>
      </c>
    </row>
    <row r="259" spans="1:15" x14ac:dyDescent="0.25">
      <c r="A259" s="180" t="s">
        <v>658</v>
      </c>
      <c r="B259" s="180" t="s">
        <v>659</v>
      </c>
      <c r="D259" s="180" t="s">
        <v>824</v>
      </c>
      <c r="E259" s="181">
        <v>45223</v>
      </c>
      <c r="F259" s="180" t="s">
        <v>767</v>
      </c>
      <c r="G259" s="180" t="s">
        <v>768</v>
      </c>
      <c r="H259" s="180" t="s">
        <v>769</v>
      </c>
      <c r="I259" s="180" t="s">
        <v>767</v>
      </c>
      <c r="J259" s="180" t="s">
        <v>712</v>
      </c>
      <c r="L259" s="180">
        <v>10</v>
      </c>
      <c r="M259" s="180">
        <v>31.531500000000001</v>
      </c>
      <c r="N259" s="182">
        <v>315.32</v>
      </c>
      <c r="O259" s="182">
        <v>34.68</v>
      </c>
    </row>
    <row r="260" spans="1:15" x14ac:dyDescent="0.25">
      <c r="A260" s="180" t="s">
        <v>658</v>
      </c>
      <c r="B260" s="180" t="s">
        <v>659</v>
      </c>
      <c r="D260" s="180" t="s">
        <v>824</v>
      </c>
      <c r="E260" s="181">
        <v>45223</v>
      </c>
      <c r="F260" s="180" t="s">
        <v>770</v>
      </c>
      <c r="G260" s="180" t="s">
        <v>771</v>
      </c>
      <c r="H260" s="180" t="s">
        <v>772</v>
      </c>
      <c r="I260" s="180" t="s">
        <v>770</v>
      </c>
      <c r="J260" s="180" t="s">
        <v>712</v>
      </c>
      <c r="L260" s="180">
        <v>65.25</v>
      </c>
      <c r="M260" s="180">
        <v>32.579099999999997</v>
      </c>
      <c r="N260" s="182">
        <v>2125.79</v>
      </c>
      <c r="O260" s="182">
        <v>233.84</v>
      </c>
    </row>
    <row r="261" spans="1:15" hidden="1" x14ac:dyDescent="0.25">
      <c r="A261" s="180" t="s">
        <v>658</v>
      </c>
      <c r="B261" s="180" t="s">
        <v>659</v>
      </c>
      <c r="D261" s="180" t="s">
        <v>824</v>
      </c>
      <c r="E261" s="181">
        <v>45223</v>
      </c>
      <c r="F261" s="180" t="s">
        <v>703</v>
      </c>
      <c r="G261" s="180" t="s">
        <v>704</v>
      </c>
      <c r="H261" s="180" t="s">
        <v>705</v>
      </c>
      <c r="I261" s="180" t="s">
        <v>706</v>
      </c>
      <c r="J261" s="180" t="s">
        <v>376</v>
      </c>
      <c r="L261" s="180">
        <v>4</v>
      </c>
      <c r="M261" s="180">
        <v>29.279199999999999</v>
      </c>
      <c r="N261" s="182">
        <v>117.12</v>
      </c>
      <c r="O261" s="182">
        <v>12.88</v>
      </c>
    </row>
    <row r="262" spans="1:15" x14ac:dyDescent="0.25">
      <c r="A262" s="180" t="s">
        <v>658</v>
      </c>
      <c r="B262" s="180" t="s">
        <v>659</v>
      </c>
      <c r="D262" s="180" t="s">
        <v>824</v>
      </c>
      <c r="E262" s="181">
        <v>45223</v>
      </c>
      <c r="F262" s="180" t="s">
        <v>773</v>
      </c>
      <c r="G262" s="180" t="s">
        <v>774</v>
      </c>
      <c r="H262" s="180" t="s">
        <v>775</v>
      </c>
      <c r="J262" s="180" t="s">
        <v>712</v>
      </c>
      <c r="L262" s="180">
        <v>12.5</v>
      </c>
      <c r="M262" s="180">
        <v>29.729700000000001</v>
      </c>
      <c r="N262" s="182">
        <v>371.62</v>
      </c>
      <c r="O262" s="182">
        <v>40.880000000000003</v>
      </c>
    </row>
    <row r="263" spans="1:15" hidden="1" x14ac:dyDescent="0.25">
      <c r="A263" s="180" t="s">
        <v>658</v>
      </c>
      <c r="B263" s="180" t="s">
        <v>659</v>
      </c>
      <c r="D263" s="180" t="s">
        <v>829</v>
      </c>
      <c r="E263" s="181">
        <v>45237</v>
      </c>
      <c r="F263" s="180" t="s">
        <v>732</v>
      </c>
      <c r="G263" s="180" t="s">
        <v>733</v>
      </c>
      <c r="H263" s="180" t="s">
        <v>734</v>
      </c>
      <c r="I263" s="180" t="s">
        <v>735</v>
      </c>
      <c r="J263" s="180" t="s">
        <v>376</v>
      </c>
      <c r="L263" s="180">
        <v>45.25</v>
      </c>
      <c r="M263" s="180">
        <v>39.639600000000002</v>
      </c>
      <c r="N263" s="182">
        <v>1793.69</v>
      </c>
      <c r="O263" s="182">
        <v>197.31</v>
      </c>
    </row>
    <row r="264" spans="1:15" hidden="1" x14ac:dyDescent="0.25">
      <c r="A264" s="180" t="s">
        <v>658</v>
      </c>
      <c r="B264" s="180" t="s">
        <v>659</v>
      </c>
      <c r="D264" s="180" t="s">
        <v>829</v>
      </c>
      <c r="E264" s="181">
        <v>45237</v>
      </c>
      <c r="F264" s="180" t="s">
        <v>777</v>
      </c>
      <c r="G264" s="180" t="s">
        <v>778</v>
      </c>
      <c r="H264" s="180" t="s">
        <v>779</v>
      </c>
      <c r="I264" s="180" t="s">
        <v>780</v>
      </c>
      <c r="J264" s="180" t="s">
        <v>376</v>
      </c>
      <c r="L264" s="180">
        <v>8.25</v>
      </c>
      <c r="M264" s="180">
        <v>36.936900000000001</v>
      </c>
      <c r="N264" s="182">
        <v>304.73</v>
      </c>
      <c r="O264" s="182">
        <v>33.520000000000003</v>
      </c>
    </row>
    <row r="265" spans="1:15" hidden="1" x14ac:dyDescent="0.25">
      <c r="A265" s="180" t="s">
        <v>658</v>
      </c>
      <c r="B265" s="180" t="s">
        <v>659</v>
      </c>
      <c r="D265" s="180" t="s">
        <v>829</v>
      </c>
      <c r="E265" s="181">
        <v>45237</v>
      </c>
      <c r="F265" s="180" t="s">
        <v>669</v>
      </c>
      <c r="G265" s="180" t="s">
        <v>670</v>
      </c>
      <c r="H265" s="180" t="s">
        <v>671</v>
      </c>
      <c r="I265" s="180" t="s">
        <v>669</v>
      </c>
      <c r="J265" s="180" t="s">
        <v>376</v>
      </c>
      <c r="L265" s="180">
        <v>59</v>
      </c>
      <c r="M265" s="180">
        <v>36.036000000000001</v>
      </c>
      <c r="N265" s="182">
        <v>2126.12</v>
      </c>
      <c r="O265" s="182">
        <v>233.87</v>
      </c>
    </row>
    <row r="266" spans="1:15" hidden="1" x14ac:dyDescent="0.25">
      <c r="A266" s="180" t="s">
        <v>658</v>
      </c>
      <c r="B266" s="180" t="s">
        <v>659</v>
      </c>
      <c r="D266" s="180" t="s">
        <v>829</v>
      </c>
      <c r="E266" s="181">
        <v>45237</v>
      </c>
      <c r="F266" s="180" t="s">
        <v>672</v>
      </c>
      <c r="G266" s="180" t="s">
        <v>673</v>
      </c>
      <c r="H266" s="180" t="s">
        <v>674</v>
      </c>
      <c r="I266" s="180" t="s">
        <v>672</v>
      </c>
      <c r="J266" s="180" t="s">
        <v>376</v>
      </c>
      <c r="L266" s="180">
        <v>30.5</v>
      </c>
      <c r="M266" s="180">
        <v>29.279199999999999</v>
      </c>
      <c r="N266" s="182">
        <v>893.02</v>
      </c>
      <c r="O266" s="182">
        <v>98.23</v>
      </c>
    </row>
    <row r="267" spans="1:15" hidden="1" x14ac:dyDescent="0.25">
      <c r="A267" s="180" t="s">
        <v>658</v>
      </c>
      <c r="B267" s="180" t="s">
        <v>659</v>
      </c>
      <c r="D267" s="180" t="s">
        <v>829</v>
      </c>
      <c r="E267" s="181">
        <v>45237</v>
      </c>
      <c r="F267" s="180" t="s">
        <v>679</v>
      </c>
      <c r="G267" s="180" t="s">
        <v>680</v>
      </c>
      <c r="H267" s="180" t="s">
        <v>681</v>
      </c>
      <c r="I267" s="180" t="s">
        <v>682</v>
      </c>
      <c r="J267" s="180" t="s">
        <v>376</v>
      </c>
      <c r="L267" s="180">
        <v>52</v>
      </c>
      <c r="M267" s="180">
        <v>31.531500000000001</v>
      </c>
      <c r="N267" s="182">
        <v>1639.64</v>
      </c>
      <c r="O267" s="182">
        <v>180.36</v>
      </c>
    </row>
    <row r="268" spans="1:15" hidden="1" x14ac:dyDescent="0.25">
      <c r="A268" s="180" t="s">
        <v>658</v>
      </c>
      <c r="B268" s="180" t="s">
        <v>659</v>
      </c>
      <c r="D268" s="180" t="s">
        <v>829</v>
      </c>
      <c r="E268" s="181">
        <v>45237</v>
      </c>
      <c r="F268" s="180" t="s">
        <v>686</v>
      </c>
      <c r="G268" s="180" t="s">
        <v>684</v>
      </c>
      <c r="H268" s="180" t="s">
        <v>687</v>
      </c>
      <c r="J268" s="180" t="s">
        <v>376</v>
      </c>
      <c r="L268" s="180">
        <v>15.25</v>
      </c>
      <c r="M268" s="180">
        <v>29.729700000000001</v>
      </c>
      <c r="N268" s="182">
        <v>453.38</v>
      </c>
      <c r="O268" s="182">
        <v>49.87</v>
      </c>
    </row>
    <row r="269" spans="1:15" x14ac:dyDescent="0.25">
      <c r="A269" s="180" t="s">
        <v>658</v>
      </c>
      <c r="B269" s="180" t="s">
        <v>659</v>
      </c>
      <c r="D269" s="180" t="s">
        <v>829</v>
      </c>
      <c r="E269" s="181">
        <v>45237</v>
      </c>
      <c r="F269" s="180" t="s">
        <v>708</v>
      </c>
      <c r="G269" s="180" t="s">
        <v>709</v>
      </c>
      <c r="H269" s="180" t="s">
        <v>710</v>
      </c>
      <c r="I269" s="180" t="s">
        <v>711</v>
      </c>
      <c r="J269" s="180" t="s">
        <v>712</v>
      </c>
      <c r="L269" s="180">
        <v>35.25</v>
      </c>
      <c r="M269" s="180">
        <v>32.432400000000001</v>
      </c>
      <c r="N269" s="182">
        <v>1143.24</v>
      </c>
      <c r="O269" s="182">
        <v>125.76</v>
      </c>
    </row>
    <row r="270" spans="1:15" hidden="1" x14ac:dyDescent="0.25">
      <c r="A270" s="180" t="s">
        <v>658</v>
      </c>
      <c r="B270" s="180" t="s">
        <v>659</v>
      </c>
      <c r="D270" s="180" t="s">
        <v>829</v>
      </c>
      <c r="E270" s="181">
        <v>45237</v>
      </c>
      <c r="F270" s="180" t="s">
        <v>713</v>
      </c>
      <c r="G270" s="180" t="s">
        <v>714</v>
      </c>
      <c r="H270" s="180" t="s">
        <v>715</v>
      </c>
      <c r="I270" s="180" t="s">
        <v>716</v>
      </c>
      <c r="J270" s="180" t="s">
        <v>376</v>
      </c>
      <c r="L270" s="180">
        <v>10.5</v>
      </c>
      <c r="M270" s="180">
        <v>29.279199999999999</v>
      </c>
      <c r="N270" s="182">
        <v>307.43</v>
      </c>
      <c r="O270" s="182">
        <v>33.82</v>
      </c>
    </row>
    <row r="271" spans="1:15" hidden="1" x14ac:dyDescent="0.25">
      <c r="A271" s="180" t="s">
        <v>658</v>
      </c>
      <c r="B271" s="180" t="s">
        <v>659</v>
      </c>
      <c r="D271" s="180" t="s">
        <v>829</v>
      </c>
      <c r="E271" s="181">
        <v>45237</v>
      </c>
      <c r="F271" s="180" t="s">
        <v>688</v>
      </c>
      <c r="G271" s="180" t="s">
        <v>689</v>
      </c>
      <c r="H271" s="180" t="s">
        <v>690</v>
      </c>
      <c r="I271" s="180" t="s">
        <v>691</v>
      </c>
      <c r="J271" s="180" t="s">
        <v>665</v>
      </c>
      <c r="L271" s="180">
        <v>10.75</v>
      </c>
      <c r="M271" s="180">
        <v>33.783799999999999</v>
      </c>
      <c r="N271" s="182">
        <v>363.18</v>
      </c>
      <c r="O271" s="182">
        <v>39.950000000000003</v>
      </c>
    </row>
    <row r="272" spans="1:15" x14ac:dyDescent="0.25">
      <c r="A272" s="180" t="s">
        <v>658</v>
      </c>
      <c r="B272" s="180" t="s">
        <v>659</v>
      </c>
      <c r="D272" s="180" t="s">
        <v>829</v>
      </c>
      <c r="E272" s="181">
        <v>45237</v>
      </c>
      <c r="F272" s="180" t="s">
        <v>692</v>
      </c>
      <c r="G272" s="180" t="s">
        <v>693</v>
      </c>
      <c r="H272" s="180" t="s">
        <v>694</v>
      </c>
      <c r="I272" s="180" t="s">
        <v>692</v>
      </c>
      <c r="J272" s="180" t="s">
        <v>695</v>
      </c>
      <c r="L272" s="180">
        <v>13</v>
      </c>
      <c r="M272" s="180">
        <v>40.540500000000002</v>
      </c>
      <c r="N272" s="182">
        <v>527.03</v>
      </c>
      <c r="O272" s="182">
        <v>57.97</v>
      </c>
    </row>
    <row r="273" spans="1:15" hidden="1" x14ac:dyDescent="0.25">
      <c r="A273" s="180" t="s">
        <v>658</v>
      </c>
      <c r="B273" s="180" t="s">
        <v>659</v>
      </c>
      <c r="D273" s="180" t="s">
        <v>829</v>
      </c>
      <c r="E273" s="181">
        <v>45237</v>
      </c>
      <c r="F273" s="180" t="s">
        <v>720</v>
      </c>
      <c r="G273" s="180" t="s">
        <v>721</v>
      </c>
      <c r="H273" s="180" t="s">
        <v>722</v>
      </c>
      <c r="J273" s="180" t="s">
        <v>376</v>
      </c>
      <c r="L273" s="180">
        <v>40.25</v>
      </c>
      <c r="M273" s="180">
        <v>29.279299999999999</v>
      </c>
      <c r="N273" s="182">
        <v>1178.49</v>
      </c>
      <c r="O273" s="182">
        <v>129.63</v>
      </c>
    </row>
    <row r="274" spans="1:15" hidden="1" x14ac:dyDescent="0.25">
      <c r="A274" s="180" t="s">
        <v>658</v>
      </c>
      <c r="B274" s="180" t="s">
        <v>659</v>
      </c>
      <c r="D274" s="180" t="s">
        <v>829</v>
      </c>
      <c r="E274" s="181">
        <v>45237</v>
      </c>
      <c r="F274" s="180" t="s">
        <v>758</v>
      </c>
      <c r="G274" s="180" t="s">
        <v>759</v>
      </c>
      <c r="H274" s="180" t="s">
        <v>760</v>
      </c>
      <c r="I274" s="180" t="s">
        <v>758</v>
      </c>
      <c r="J274" s="180" t="s">
        <v>376</v>
      </c>
      <c r="L274" s="180">
        <v>16</v>
      </c>
      <c r="M274" s="180">
        <v>29.729700000000001</v>
      </c>
      <c r="N274" s="182">
        <v>475.67</v>
      </c>
      <c r="O274" s="182">
        <v>52.33</v>
      </c>
    </row>
    <row r="275" spans="1:15" hidden="1" x14ac:dyDescent="0.25">
      <c r="A275" s="180" t="s">
        <v>658</v>
      </c>
      <c r="B275" s="180" t="s">
        <v>659</v>
      </c>
      <c r="D275" s="180" t="s">
        <v>829</v>
      </c>
      <c r="E275" s="181">
        <v>45237</v>
      </c>
      <c r="F275" s="180" t="s">
        <v>761</v>
      </c>
      <c r="G275" s="180" t="s">
        <v>762</v>
      </c>
      <c r="H275" s="180" t="s">
        <v>763</v>
      </c>
      <c r="J275" s="180" t="s">
        <v>376</v>
      </c>
      <c r="L275" s="180">
        <v>19.75</v>
      </c>
      <c r="M275" s="180">
        <v>36.936900000000001</v>
      </c>
      <c r="N275" s="182">
        <v>729.5</v>
      </c>
      <c r="O275" s="182">
        <v>80.25</v>
      </c>
    </row>
    <row r="276" spans="1:15" hidden="1" x14ac:dyDescent="0.25">
      <c r="A276" s="180" t="s">
        <v>658</v>
      </c>
      <c r="B276" s="180" t="s">
        <v>659</v>
      </c>
      <c r="D276" s="180" t="s">
        <v>829</v>
      </c>
      <c r="E276" s="181">
        <v>45237</v>
      </c>
      <c r="F276" s="180" t="s">
        <v>699</v>
      </c>
      <c r="G276" s="180" t="s">
        <v>700</v>
      </c>
      <c r="H276" s="180" t="s">
        <v>701</v>
      </c>
      <c r="I276" s="180" t="s">
        <v>702</v>
      </c>
      <c r="J276" s="180" t="s">
        <v>376</v>
      </c>
      <c r="L276" s="180">
        <v>13.75</v>
      </c>
      <c r="M276" s="180">
        <v>29.279199999999999</v>
      </c>
      <c r="N276" s="182">
        <v>402.59</v>
      </c>
      <c r="O276" s="182">
        <v>44.28</v>
      </c>
    </row>
    <row r="277" spans="1:15" hidden="1" x14ac:dyDescent="0.25">
      <c r="A277" s="180" t="s">
        <v>658</v>
      </c>
      <c r="B277" s="180" t="s">
        <v>659</v>
      </c>
      <c r="D277" s="180" t="s">
        <v>829</v>
      </c>
      <c r="E277" s="181">
        <v>45237</v>
      </c>
      <c r="F277" s="180" t="s">
        <v>723</v>
      </c>
      <c r="G277" s="180" t="s">
        <v>724</v>
      </c>
      <c r="H277" s="180" t="s">
        <v>725</v>
      </c>
      <c r="I277" s="180" t="s">
        <v>726</v>
      </c>
      <c r="J277" s="180" t="s">
        <v>376</v>
      </c>
      <c r="L277" s="180">
        <v>35</v>
      </c>
      <c r="M277" s="180">
        <v>36.036000000000001</v>
      </c>
      <c r="N277" s="182">
        <v>1261.26</v>
      </c>
      <c r="O277" s="182">
        <v>138.74</v>
      </c>
    </row>
    <row r="278" spans="1:15" hidden="1" x14ac:dyDescent="0.25">
      <c r="A278" s="180" t="s">
        <v>658</v>
      </c>
      <c r="B278" s="180" t="s">
        <v>659</v>
      </c>
      <c r="D278" s="180" t="s">
        <v>829</v>
      </c>
      <c r="E278" s="181">
        <v>45237</v>
      </c>
      <c r="F278" s="180" t="s">
        <v>764</v>
      </c>
      <c r="G278" s="180" t="s">
        <v>765</v>
      </c>
      <c r="H278" s="180" t="s">
        <v>766</v>
      </c>
      <c r="J278" s="180" t="s">
        <v>376</v>
      </c>
      <c r="L278" s="180">
        <v>15.25</v>
      </c>
      <c r="M278" s="180">
        <v>29.279199999999999</v>
      </c>
      <c r="N278" s="182">
        <v>446.51</v>
      </c>
      <c r="O278" s="182">
        <v>49.12</v>
      </c>
    </row>
    <row r="279" spans="1:15" x14ac:dyDescent="0.25">
      <c r="A279" s="180" t="s">
        <v>658</v>
      </c>
      <c r="B279" s="180" t="s">
        <v>659</v>
      </c>
      <c r="D279" s="180" t="s">
        <v>829</v>
      </c>
      <c r="E279" s="181">
        <v>45237</v>
      </c>
      <c r="F279" s="180" t="s">
        <v>767</v>
      </c>
      <c r="G279" s="180" t="s">
        <v>768</v>
      </c>
      <c r="H279" s="180" t="s">
        <v>769</v>
      </c>
      <c r="I279" s="180" t="s">
        <v>767</v>
      </c>
      <c r="J279" s="180" t="s">
        <v>712</v>
      </c>
      <c r="L279" s="180">
        <v>19</v>
      </c>
      <c r="M279" s="180">
        <v>31.531500000000001</v>
      </c>
      <c r="N279" s="182">
        <v>599.1</v>
      </c>
      <c r="O279" s="182">
        <v>65.900000000000006</v>
      </c>
    </row>
    <row r="280" spans="1:15" x14ac:dyDescent="0.25">
      <c r="A280" s="180" t="s">
        <v>658</v>
      </c>
      <c r="B280" s="180" t="s">
        <v>659</v>
      </c>
      <c r="D280" s="180" t="s">
        <v>829</v>
      </c>
      <c r="E280" s="181">
        <v>45237</v>
      </c>
      <c r="F280" s="180" t="s">
        <v>770</v>
      </c>
      <c r="G280" s="180" t="s">
        <v>771</v>
      </c>
      <c r="H280" s="180" t="s">
        <v>772</v>
      </c>
      <c r="I280" s="180" t="s">
        <v>770</v>
      </c>
      <c r="J280" s="180" t="s">
        <v>712</v>
      </c>
      <c r="L280" s="180">
        <v>50</v>
      </c>
      <c r="M280" s="180">
        <v>32.579099999999997</v>
      </c>
      <c r="N280" s="182">
        <v>1628.96</v>
      </c>
      <c r="O280" s="182">
        <v>179.19</v>
      </c>
    </row>
    <row r="281" spans="1:15" x14ac:dyDescent="0.25">
      <c r="A281" s="180" t="s">
        <v>658</v>
      </c>
      <c r="B281" s="180" t="s">
        <v>659</v>
      </c>
      <c r="D281" s="180" t="s">
        <v>829</v>
      </c>
      <c r="E281" s="181">
        <v>45237</v>
      </c>
      <c r="F281" s="180" t="s">
        <v>773</v>
      </c>
      <c r="G281" s="180" t="s">
        <v>774</v>
      </c>
      <c r="H281" s="180" t="s">
        <v>775</v>
      </c>
      <c r="J281" s="180" t="s">
        <v>712</v>
      </c>
      <c r="L281" s="180">
        <v>10.25</v>
      </c>
      <c r="M281" s="180">
        <v>29.729700000000001</v>
      </c>
      <c r="N281" s="182">
        <v>304.73</v>
      </c>
      <c r="O281" s="182">
        <v>33.520000000000003</v>
      </c>
    </row>
    <row r="282" spans="1:15" hidden="1" x14ac:dyDescent="0.25">
      <c r="A282" s="180" t="s">
        <v>658</v>
      </c>
      <c r="B282" s="180" t="s">
        <v>659</v>
      </c>
      <c r="D282" s="180" t="s">
        <v>830</v>
      </c>
      <c r="E282" s="181">
        <v>45251</v>
      </c>
      <c r="F282" s="180" t="s">
        <v>732</v>
      </c>
      <c r="G282" s="180" t="s">
        <v>733</v>
      </c>
      <c r="H282" s="180" t="s">
        <v>734</v>
      </c>
      <c r="I282" s="180" t="s">
        <v>735</v>
      </c>
      <c r="J282" s="180" t="s">
        <v>376</v>
      </c>
      <c r="L282" s="180">
        <v>14</v>
      </c>
      <c r="M282" s="180">
        <v>39.639600000000002</v>
      </c>
      <c r="N282" s="182">
        <v>554.96</v>
      </c>
      <c r="O282" s="182">
        <v>61.04</v>
      </c>
    </row>
    <row r="283" spans="1:15" hidden="1" x14ac:dyDescent="0.25">
      <c r="A283" s="180" t="s">
        <v>658</v>
      </c>
      <c r="B283" s="180" t="s">
        <v>659</v>
      </c>
      <c r="D283" s="180" t="s">
        <v>830</v>
      </c>
      <c r="E283" s="181">
        <v>45251</v>
      </c>
      <c r="F283" s="180" t="s">
        <v>669</v>
      </c>
      <c r="G283" s="180" t="s">
        <v>670</v>
      </c>
      <c r="H283" s="180" t="s">
        <v>671</v>
      </c>
      <c r="I283" s="180" t="s">
        <v>669</v>
      </c>
      <c r="J283" s="180" t="s">
        <v>376</v>
      </c>
      <c r="L283" s="180">
        <v>38.75</v>
      </c>
      <c r="M283" s="180">
        <v>36.036000000000001</v>
      </c>
      <c r="N283" s="182">
        <v>1396.4</v>
      </c>
      <c r="O283" s="182">
        <v>153.6</v>
      </c>
    </row>
    <row r="284" spans="1:15" hidden="1" x14ac:dyDescent="0.25">
      <c r="A284" s="180" t="s">
        <v>658</v>
      </c>
      <c r="B284" s="180" t="s">
        <v>659</v>
      </c>
      <c r="D284" s="180" t="s">
        <v>830</v>
      </c>
      <c r="E284" s="181">
        <v>45251</v>
      </c>
      <c r="F284" s="180" t="s">
        <v>672</v>
      </c>
      <c r="G284" s="180" t="s">
        <v>673</v>
      </c>
      <c r="H284" s="180" t="s">
        <v>674</v>
      </c>
      <c r="I284" s="180" t="s">
        <v>672</v>
      </c>
      <c r="J284" s="180" t="s">
        <v>376</v>
      </c>
      <c r="L284" s="180">
        <v>19</v>
      </c>
      <c r="M284" s="180">
        <v>29.279199999999999</v>
      </c>
      <c r="N284" s="182">
        <v>556.29999999999995</v>
      </c>
      <c r="O284" s="182">
        <v>61.19</v>
      </c>
    </row>
    <row r="285" spans="1:15" hidden="1" x14ac:dyDescent="0.25">
      <c r="A285" s="180" t="s">
        <v>658</v>
      </c>
      <c r="B285" s="180" t="s">
        <v>659</v>
      </c>
      <c r="D285" s="180" t="s">
        <v>830</v>
      </c>
      <c r="E285" s="181">
        <v>45251</v>
      </c>
      <c r="F285" s="180" t="s">
        <v>679</v>
      </c>
      <c r="G285" s="180" t="s">
        <v>680</v>
      </c>
      <c r="H285" s="180" t="s">
        <v>681</v>
      </c>
      <c r="I285" s="180" t="s">
        <v>682</v>
      </c>
      <c r="J285" s="180" t="s">
        <v>376</v>
      </c>
      <c r="L285" s="180">
        <v>70</v>
      </c>
      <c r="M285" s="180">
        <v>31.531500000000001</v>
      </c>
      <c r="N285" s="182">
        <v>2207.1999999999998</v>
      </c>
      <c r="O285" s="182">
        <v>242.79</v>
      </c>
    </row>
    <row r="286" spans="1:15" hidden="1" x14ac:dyDescent="0.25">
      <c r="A286" s="180" t="s">
        <v>658</v>
      </c>
      <c r="B286" s="180" t="s">
        <v>659</v>
      </c>
      <c r="D286" s="180" t="s">
        <v>830</v>
      </c>
      <c r="E286" s="181">
        <v>45251</v>
      </c>
      <c r="F286" s="180" t="s">
        <v>686</v>
      </c>
      <c r="G286" s="180" t="s">
        <v>684</v>
      </c>
      <c r="H286" s="180" t="s">
        <v>687</v>
      </c>
      <c r="J286" s="180" t="s">
        <v>376</v>
      </c>
      <c r="L286" s="180">
        <v>16.75</v>
      </c>
      <c r="M286" s="180">
        <v>29.729700000000001</v>
      </c>
      <c r="N286" s="182">
        <v>497.97</v>
      </c>
      <c r="O286" s="182">
        <v>54.78</v>
      </c>
    </row>
    <row r="287" spans="1:15" x14ac:dyDescent="0.25">
      <c r="A287" s="180" t="s">
        <v>658</v>
      </c>
      <c r="B287" s="180" t="s">
        <v>659</v>
      </c>
      <c r="D287" s="180" t="s">
        <v>830</v>
      </c>
      <c r="E287" s="181">
        <v>45251</v>
      </c>
      <c r="F287" s="180" t="s">
        <v>708</v>
      </c>
      <c r="G287" s="180" t="s">
        <v>709</v>
      </c>
      <c r="H287" s="180" t="s">
        <v>710</v>
      </c>
      <c r="I287" s="180" t="s">
        <v>711</v>
      </c>
      <c r="J287" s="180" t="s">
        <v>712</v>
      </c>
      <c r="L287" s="180">
        <v>23.5</v>
      </c>
      <c r="M287" s="180">
        <v>32.432400000000001</v>
      </c>
      <c r="N287" s="182">
        <v>762.16</v>
      </c>
      <c r="O287" s="182">
        <v>83.84</v>
      </c>
    </row>
    <row r="288" spans="1:15" hidden="1" x14ac:dyDescent="0.25">
      <c r="A288" s="180" t="s">
        <v>658</v>
      </c>
      <c r="B288" s="180" t="s">
        <v>659</v>
      </c>
      <c r="D288" s="180" t="s">
        <v>830</v>
      </c>
      <c r="E288" s="181">
        <v>45251</v>
      </c>
      <c r="F288" s="180" t="s">
        <v>713</v>
      </c>
      <c r="G288" s="180" t="s">
        <v>714</v>
      </c>
      <c r="H288" s="180" t="s">
        <v>715</v>
      </c>
      <c r="I288" s="180" t="s">
        <v>716</v>
      </c>
      <c r="J288" s="180" t="s">
        <v>376</v>
      </c>
      <c r="L288" s="180">
        <v>30</v>
      </c>
      <c r="M288" s="180">
        <v>29.279199999999999</v>
      </c>
      <c r="N288" s="182">
        <v>878.38</v>
      </c>
      <c r="O288" s="182">
        <v>96.62</v>
      </c>
    </row>
    <row r="289" spans="1:15" hidden="1" x14ac:dyDescent="0.25">
      <c r="A289" s="180" t="s">
        <v>658</v>
      </c>
      <c r="B289" s="180" t="s">
        <v>659</v>
      </c>
      <c r="D289" s="180" t="s">
        <v>830</v>
      </c>
      <c r="E289" s="181">
        <v>45251</v>
      </c>
      <c r="F289" s="180" t="s">
        <v>688</v>
      </c>
      <c r="G289" s="180" t="s">
        <v>689</v>
      </c>
      <c r="H289" s="180" t="s">
        <v>690</v>
      </c>
      <c r="I289" s="180" t="s">
        <v>691</v>
      </c>
      <c r="J289" s="180" t="s">
        <v>665</v>
      </c>
      <c r="L289" s="180">
        <v>4</v>
      </c>
      <c r="M289" s="180">
        <v>33.783799999999999</v>
      </c>
      <c r="N289" s="182">
        <v>135.13999999999999</v>
      </c>
      <c r="O289" s="182">
        <v>14.86</v>
      </c>
    </row>
    <row r="290" spans="1:15" hidden="1" x14ac:dyDescent="0.25">
      <c r="A290" s="180" t="s">
        <v>658</v>
      </c>
      <c r="B290" s="180" t="s">
        <v>659</v>
      </c>
      <c r="D290" s="180" t="s">
        <v>830</v>
      </c>
      <c r="E290" s="181">
        <v>45251</v>
      </c>
      <c r="F290" s="180" t="s">
        <v>752</v>
      </c>
      <c r="G290" s="180" t="s">
        <v>753</v>
      </c>
      <c r="H290" s="180" t="s">
        <v>754</v>
      </c>
      <c r="I290" s="180" t="s">
        <v>752</v>
      </c>
      <c r="J290" s="180" t="s">
        <v>376</v>
      </c>
      <c r="L290" s="180">
        <v>7.5</v>
      </c>
      <c r="M290" s="180">
        <v>29.279299999999999</v>
      </c>
      <c r="N290" s="182">
        <v>219.59</v>
      </c>
      <c r="O290" s="182">
        <v>24.16</v>
      </c>
    </row>
    <row r="291" spans="1:15" hidden="1" x14ac:dyDescent="0.25">
      <c r="A291" s="180" t="s">
        <v>658</v>
      </c>
      <c r="B291" s="180" t="s">
        <v>659</v>
      </c>
      <c r="D291" s="180" t="s">
        <v>830</v>
      </c>
      <c r="E291" s="181">
        <v>45251</v>
      </c>
      <c r="F291" s="180" t="s">
        <v>720</v>
      </c>
      <c r="G291" s="180" t="s">
        <v>721</v>
      </c>
      <c r="H291" s="180" t="s">
        <v>722</v>
      </c>
      <c r="J291" s="180" t="s">
        <v>376</v>
      </c>
      <c r="L291" s="180">
        <v>32</v>
      </c>
      <c r="M291" s="180">
        <v>29.279299999999999</v>
      </c>
      <c r="N291" s="182">
        <v>936.94</v>
      </c>
      <c r="O291" s="182">
        <v>103.06</v>
      </c>
    </row>
    <row r="292" spans="1:15" hidden="1" x14ac:dyDescent="0.25">
      <c r="A292" s="180" t="s">
        <v>658</v>
      </c>
      <c r="B292" s="180" t="s">
        <v>659</v>
      </c>
      <c r="D292" s="180" t="s">
        <v>830</v>
      </c>
      <c r="E292" s="181">
        <v>45251</v>
      </c>
      <c r="F292" s="180" t="s">
        <v>755</v>
      </c>
      <c r="G292" s="180" t="s">
        <v>756</v>
      </c>
      <c r="H292" s="180" t="s">
        <v>757</v>
      </c>
      <c r="I292" s="180" t="s">
        <v>755</v>
      </c>
      <c r="J292" s="180" t="s">
        <v>376</v>
      </c>
      <c r="L292" s="180">
        <v>8</v>
      </c>
      <c r="M292" s="180">
        <v>36.036000000000001</v>
      </c>
      <c r="N292" s="182">
        <v>288.29000000000002</v>
      </c>
      <c r="O292" s="182">
        <v>31.71</v>
      </c>
    </row>
    <row r="293" spans="1:15" hidden="1" x14ac:dyDescent="0.25">
      <c r="A293" s="180" t="s">
        <v>658</v>
      </c>
      <c r="B293" s="180" t="s">
        <v>659</v>
      </c>
      <c r="D293" s="180" t="s">
        <v>830</v>
      </c>
      <c r="E293" s="181">
        <v>45251</v>
      </c>
      <c r="F293" s="180" t="s">
        <v>831</v>
      </c>
      <c r="G293" s="180" t="s">
        <v>832</v>
      </c>
      <c r="H293" s="180" t="s">
        <v>833</v>
      </c>
      <c r="J293" s="180" t="s">
        <v>376</v>
      </c>
      <c r="L293" s="180">
        <v>13</v>
      </c>
      <c r="M293" s="180">
        <v>29.729700000000001</v>
      </c>
      <c r="N293" s="182">
        <v>386.49</v>
      </c>
      <c r="O293" s="182">
        <v>42.51</v>
      </c>
    </row>
    <row r="294" spans="1:15" hidden="1" x14ac:dyDescent="0.25">
      <c r="A294" s="180" t="s">
        <v>658</v>
      </c>
      <c r="B294" s="180" t="s">
        <v>659</v>
      </c>
      <c r="D294" s="180" t="s">
        <v>830</v>
      </c>
      <c r="E294" s="181">
        <v>45251</v>
      </c>
      <c r="F294" s="180" t="s">
        <v>758</v>
      </c>
      <c r="G294" s="180" t="s">
        <v>759</v>
      </c>
      <c r="H294" s="180" t="s">
        <v>760</v>
      </c>
      <c r="I294" s="180" t="s">
        <v>758</v>
      </c>
      <c r="J294" s="180" t="s">
        <v>376</v>
      </c>
      <c r="L294" s="180">
        <v>92.25</v>
      </c>
      <c r="M294" s="180">
        <v>29.729700000000001</v>
      </c>
      <c r="N294" s="182">
        <v>2742.56</v>
      </c>
      <c r="O294" s="182">
        <v>301.68</v>
      </c>
    </row>
    <row r="295" spans="1:15" hidden="1" x14ac:dyDescent="0.25">
      <c r="A295" s="180" t="s">
        <v>658</v>
      </c>
      <c r="B295" s="180" t="s">
        <v>659</v>
      </c>
      <c r="D295" s="180" t="s">
        <v>830</v>
      </c>
      <c r="E295" s="181">
        <v>45251</v>
      </c>
      <c r="F295" s="180" t="s">
        <v>699</v>
      </c>
      <c r="G295" s="180" t="s">
        <v>700</v>
      </c>
      <c r="H295" s="180" t="s">
        <v>701</v>
      </c>
      <c r="I295" s="180" t="s">
        <v>702</v>
      </c>
      <c r="J295" s="180" t="s">
        <v>376</v>
      </c>
      <c r="L295" s="180">
        <v>16</v>
      </c>
      <c r="M295" s="180">
        <v>29.279199999999999</v>
      </c>
      <c r="N295" s="182">
        <v>468.47</v>
      </c>
      <c r="O295" s="182">
        <v>51.53</v>
      </c>
    </row>
    <row r="296" spans="1:15" hidden="1" x14ac:dyDescent="0.25">
      <c r="A296" s="180" t="s">
        <v>658</v>
      </c>
      <c r="B296" s="180" t="s">
        <v>659</v>
      </c>
      <c r="D296" s="180" t="s">
        <v>830</v>
      </c>
      <c r="E296" s="181">
        <v>45251</v>
      </c>
      <c r="F296" s="180" t="s">
        <v>723</v>
      </c>
      <c r="G296" s="180" t="s">
        <v>724</v>
      </c>
      <c r="H296" s="180" t="s">
        <v>725</v>
      </c>
      <c r="I296" s="180" t="s">
        <v>726</v>
      </c>
      <c r="J296" s="180" t="s">
        <v>376</v>
      </c>
      <c r="L296" s="180">
        <v>12.5</v>
      </c>
      <c r="M296" s="180">
        <v>36.036000000000001</v>
      </c>
      <c r="N296" s="182">
        <v>450.45</v>
      </c>
      <c r="O296" s="182">
        <v>49.55</v>
      </c>
    </row>
    <row r="297" spans="1:15" hidden="1" x14ac:dyDescent="0.25">
      <c r="A297" s="180" t="s">
        <v>658</v>
      </c>
      <c r="B297" s="180" t="s">
        <v>659</v>
      </c>
      <c r="D297" s="180" t="s">
        <v>830</v>
      </c>
      <c r="E297" s="181">
        <v>45251</v>
      </c>
      <c r="F297" s="180" t="s">
        <v>764</v>
      </c>
      <c r="G297" s="180" t="s">
        <v>765</v>
      </c>
      <c r="H297" s="180" t="s">
        <v>766</v>
      </c>
      <c r="J297" s="180" t="s">
        <v>376</v>
      </c>
      <c r="L297" s="180">
        <v>8</v>
      </c>
      <c r="M297" s="180">
        <v>29.279199999999999</v>
      </c>
      <c r="N297" s="182">
        <v>234.23</v>
      </c>
      <c r="O297" s="182">
        <v>25.77</v>
      </c>
    </row>
    <row r="298" spans="1:15" x14ac:dyDescent="0.25">
      <c r="A298" s="180" t="s">
        <v>658</v>
      </c>
      <c r="B298" s="180" t="s">
        <v>659</v>
      </c>
      <c r="D298" s="180" t="s">
        <v>830</v>
      </c>
      <c r="E298" s="181">
        <v>45251</v>
      </c>
      <c r="F298" s="180" t="s">
        <v>767</v>
      </c>
      <c r="G298" s="180" t="s">
        <v>768</v>
      </c>
      <c r="H298" s="180" t="s">
        <v>769</v>
      </c>
      <c r="I298" s="180" t="s">
        <v>767</v>
      </c>
      <c r="J298" s="180" t="s">
        <v>712</v>
      </c>
      <c r="L298" s="180">
        <v>23.5</v>
      </c>
      <c r="M298" s="180">
        <v>31.531500000000001</v>
      </c>
      <c r="N298" s="182">
        <v>740.99</v>
      </c>
      <c r="O298" s="182">
        <v>81.510000000000005</v>
      </c>
    </row>
    <row r="299" spans="1:15" x14ac:dyDescent="0.25">
      <c r="A299" s="180" t="s">
        <v>658</v>
      </c>
      <c r="B299" s="180" t="s">
        <v>659</v>
      </c>
      <c r="D299" s="180" t="s">
        <v>830</v>
      </c>
      <c r="E299" s="181">
        <v>45251</v>
      </c>
      <c r="F299" s="180" t="s">
        <v>770</v>
      </c>
      <c r="G299" s="180" t="s">
        <v>771</v>
      </c>
      <c r="H299" s="180" t="s">
        <v>772</v>
      </c>
      <c r="I299" s="180" t="s">
        <v>770</v>
      </c>
      <c r="J299" s="180" t="s">
        <v>712</v>
      </c>
      <c r="L299" s="180">
        <v>52.75</v>
      </c>
      <c r="M299" s="180">
        <v>32.579099999999997</v>
      </c>
      <c r="N299" s="182">
        <v>1718.55</v>
      </c>
      <c r="O299" s="182">
        <v>189.04</v>
      </c>
    </row>
    <row r="300" spans="1:15" x14ac:dyDescent="0.25">
      <c r="A300" s="180" t="s">
        <v>658</v>
      </c>
      <c r="B300" s="180" t="s">
        <v>659</v>
      </c>
      <c r="D300" s="180" t="s">
        <v>830</v>
      </c>
      <c r="E300" s="181">
        <v>45251</v>
      </c>
      <c r="F300" s="180" t="s">
        <v>773</v>
      </c>
      <c r="G300" s="180" t="s">
        <v>774</v>
      </c>
      <c r="H300" s="180" t="s">
        <v>775</v>
      </c>
      <c r="J300" s="180" t="s">
        <v>712</v>
      </c>
      <c r="L300" s="180">
        <v>13.25</v>
      </c>
      <c r="M300" s="180">
        <v>29.729700000000001</v>
      </c>
      <c r="N300" s="182">
        <v>393.92</v>
      </c>
      <c r="O300" s="182">
        <v>43.33</v>
      </c>
    </row>
    <row r="301" spans="1:15" hidden="1" x14ac:dyDescent="0.25">
      <c r="A301" s="180" t="s">
        <v>658</v>
      </c>
      <c r="B301" s="180" t="s">
        <v>659</v>
      </c>
      <c r="D301" s="180" t="s">
        <v>834</v>
      </c>
      <c r="E301" s="181">
        <v>45293</v>
      </c>
      <c r="F301" s="180" t="s">
        <v>669</v>
      </c>
      <c r="G301" s="180" t="s">
        <v>670</v>
      </c>
      <c r="H301" s="180" t="s">
        <v>671</v>
      </c>
      <c r="I301" s="180" t="s">
        <v>669</v>
      </c>
      <c r="J301" s="180" t="s">
        <v>376</v>
      </c>
      <c r="L301" s="180">
        <v>18</v>
      </c>
      <c r="M301" s="180">
        <v>36.036000000000001</v>
      </c>
      <c r="N301" s="182">
        <v>648.65</v>
      </c>
      <c r="O301" s="182">
        <v>71.349999999999994</v>
      </c>
    </row>
    <row r="302" spans="1:15" hidden="1" x14ac:dyDescent="0.25">
      <c r="A302" s="180" t="s">
        <v>658</v>
      </c>
      <c r="B302" s="180" t="s">
        <v>659</v>
      </c>
      <c r="D302" s="180" t="s">
        <v>834</v>
      </c>
      <c r="E302" s="181">
        <v>45293</v>
      </c>
      <c r="F302" s="180" t="s">
        <v>739</v>
      </c>
      <c r="G302" s="180" t="s">
        <v>740</v>
      </c>
      <c r="H302" s="180" t="s">
        <v>741</v>
      </c>
      <c r="I302" s="180" t="s">
        <v>739</v>
      </c>
      <c r="J302" s="180" t="s">
        <v>376</v>
      </c>
      <c r="L302" s="180">
        <v>23.5</v>
      </c>
      <c r="M302" s="180">
        <v>36.036000000000001</v>
      </c>
      <c r="N302" s="182">
        <v>846.85</v>
      </c>
      <c r="O302" s="182">
        <v>93.15</v>
      </c>
    </row>
    <row r="303" spans="1:15" hidden="1" x14ac:dyDescent="0.25">
      <c r="A303" s="180" t="s">
        <v>658</v>
      </c>
      <c r="B303" s="180" t="s">
        <v>659</v>
      </c>
      <c r="D303" s="180" t="s">
        <v>834</v>
      </c>
      <c r="E303" s="181">
        <v>45293</v>
      </c>
      <c r="F303" s="180" t="s">
        <v>672</v>
      </c>
      <c r="G303" s="180" t="s">
        <v>673</v>
      </c>
      <c r="H303" s="180" t="s">
        <v>674</v>
      </c>
      <c r="I303" s="180" t="s">
        <v>672</v>
      </c>
      <c r="J303" s="180" t="s">
        <v>376</v>
      </c>
      <c r="L303" s="180">
        <v>35.25</v>
      </c>
      <c r="M303" s="180">
        <v>29.279199999999999</v>
      </c>
      <c r="N303" s="182">
        <v>1032.0899999999999</v>
      </c>
      <c r="O303" s="182">
        <v>113.53</v>
      </c>
    </row>
    <row r="304" spans="1:15" hidden="1" x14ac:dyDescent="0.25">
      <c r="A304" s="180" t="s">
        <v>658</v>
      </c>
      <c r="B304" s="180" t="s">
        <v>659</v>
      </c>
      <c r="D304" s="180" t="s">
        <v>834</v>
      </c>
      <c r="E304" s="181">
        <v>45293</v>
      </c>
      <c r="F304" s="180" t="s">
        <v>679</v>
      </c>
      <c r="G304" s="180" t="s">
        <v>680</v>
      </c>
      <c r="H304" s="180" t="s">
        <v>681</v>
      </c>
      <c r="I304" s="180" t="s">
        <v>682</v>
      </c>
      <c r="J304" s="180" t="s">
        <v>376</v>
      </c>
      <c r="L304" s="180">
        <v>32.5</v>
      </c>
      <c r="M304" s="180">
        <v>31.531500000000001</v>
      </c>
      <c r="N304" s="182">
        <v>1024.77</v>
      </c>
      <c r="O304" s="182">
        <v>112.73</v>
      </c>
    </row>
    <row r="305" spans="1:15" hidden="1" x14ac:dyDescent="0.25">
      <c r="A305" s="180" t="s">
        <v>658</v>
      </c>
      <c r="B305" s="180" t="s">
        <v>659</v>
      </c>
      <c r="D305" s="180" t="s">
        <v>834</v>
      </c>
      <c r="E305" s="181">
        <v>45293</v>
      </c>
      <c r="F305" s="180" t="s">
        <v>688</v>
      </c>
      <c r="G305" s="180" t="s">
        <v>689</v>
      </c>
      <c r="H305" s="180" t="s">
        <v>690</v>
      </c>
      <c r="I305" s="180" t="s">
        <v>691</v>
      </c>
      <c r="J305" s="180" t="s">
        <v>665</v>
      </c>
      <c r="L305" s="180">
        <v>17</v>
      </c>
      <c r="M305" s="180">
        <v>36.036000000000001</v>
      </c>
      <c r="N305" s="182">
        <v>612.61</v>
      </c>
      <c r="O305" s="182">
        <v>67.39</v>
      </c>
    </row>
    <row r="306" spans="1:15" hidden="1" x14ac:dyDescent="0.25">
      <c r="A306" s="180" t="s">
        <v>658</v>
      </c>
      <c r="B306" s="180" t="s">
        <v>659</v>
      </c>
      <c r="D306" s="180" t="s">
        <v>834</v>
      </c>
      <c r="E306" s="181">
        <v>45293</v>
      </c>
      <c r="F306" s="180" t="s">
        <v>723</v>
      </c>
      <c r="G306" s="180" t="s">
        <v>724</v>
      </c>
      <c r="H306" s="180" t="s">
        <v>725</v>
      </c>
      <c r="I306" s="180" t="s">
        <v>726</v>
      </c>
      <c r="J306" s="180" t="s">
        <v>376</v>
      </c>
      <c r="L306" s="180">
        <v>8.25</v>
      </c>
      <c r="M306" s="180">
        <v>36.036000000000001</v>
      </c>
      <c r="N306" s="182">
        <v>297.3</v>
      </c>
      <c r="O306" s="182">
        <v>32.700000000000003</v>
      </c>
    </row>
    <row r="307" spans="1:15" hidden="1" x14ac:dyDescent="0.25">
      <c r="A307" s="180" t="s">
        <v>658</v>
      </c>
      <c r="B307" s="180" t="s">
        <v>659</v>
      </c>
      <c r="D307" s="180" t="s">
        <v>835</v>
      </c>
      <c r="E307" s="181">
        <v>45307</v>
      </c>
      <c r="F307" s="180" t="s">
        <v>777</v>
      </c>
      <c r="G307" s="180" t="s">
        <v>778</v>
      </c>
      <c r="H307" s="180" t="s">
        <v>779</v>
      </c>
      <c r="I307" s="180" t="s">
        <v>780</v>
      </c>
      <c r="J307" s="180" t="s">
        <v>376</v>
      </c>
      <c r="L307" s="180">
        <v>40</v>
      </c>
      <c r="M307" s="180">
        <v>36.936900000000001</v>
      </c>
      <c r="N307" s="182">
        <v>1477.48</v>
      </c>
      <c r="O307" s="182">
        <v>162.52000000000001</v>
      </c>
    </row>
    <row r="308" spans="1:15" hidden="1" x14ac:dyDescent="0.25">
      <c r="A308" s="180" t="s">
        <v>658</v>
      </c>
      <c r="B308" s="180" t="s">
        <v>659</v>
      </c>
      <c r="D308" s="180" t="s">
        <v>835</v>
      </c>
      <c r="E308" s="181">
        <v>45307</v>
      </c>
      <c r="F308" s="180" t="s">
        <v>669</v>
      </c>
      <c r="G308" s="180" t="s">
        <v>670</v>
      </c>
      <c r="H308" s="180" t="s">
        <v>671</v>
      </c>
      <c r="I308" s="180" t="s">
        <v>669</v>
      </c>
      <c r="J308" s="180" t="s">
        <v>376</v>
      </c>
      <c r="L308" s="180">
        <v>1</v>
      </c>
      <c r="M308" s="180">
        <v>36.036000000000001</v>
      </c>
      <c r="N308" s="182">
        <v>36.04</v>
      </c>
      <c r="O308" s="182">
        <v>3.96</v>
      </c>
    </row>
    <row r="309" spans="1:15" hidden="1" x14ac:dyDescent="0.25">
      <c r="A309" s="180" t="s">
        <v>658</v>
      </c>
      <c r="B309" s="180" t="s">
        <v>659</v>
      </c>
      <c r="D309" s="180" t="s">
        <v>835</v>
      </c>
      <c r="E309" s="181">
        <v>45307</v>
      </c>
      <c r="F309" s="180" t="s">
        <v>739</v>
      </c>
      <c r="G309" s="180" t="s">
        <v>740</v>
      </c>
      <c r="H309" s="180" t="s">
        <v>741</v>
      </c>
      <c r="I309" s="180" t="s">
        <v>739</v>
      </c>
      <c r="J309" s="180" t="s">
        <v>376</v>
      </c>
      <c r="L309" s="180">
        <v>8</v>
      </c>
      <c r="M309" s="180">
        <v>36.036000000000001</v>
      </c>
      <c r="N309" s="182">
        <v>288.29000000000002</v>
      </c>
      <c r="O309" s="182">
        <v>31.71</v>
      </c>
    </row>
    <row r="310" spans="1:15" hidden="1" x14ac:dyDescent="0.25">
      <c r="A310" s="180" t="s">
        <v>658</v>
      </c>
      <c r="B310" s="180" t="s">
        <v>659</v>
      </c>
      <c r="D310" s="180" t="s">
        <v>835</v>
      </c>
      <c r="E310" s="181">
        <v>45307</v>
      </c>
      <c r="F310" s="180" t="s">
        <v>672</v>
      </c>
      <c r="G310" s="180" t="s">
        <v>673</v>
      </c>
      <c r="H310" s="180" t="s">
        <v>674</v>
      </c>
      <c r="I310" s="180" t="s">
        <v>672</v>
      </c>
      <c r="J310" s="180" t="s">
        <v>376</v>
      </c>
      <c r="L310" s="180">
        <v>38.75</v>
      </c>
      <c r="M310" s="180">
        <v>29.279199999999999</v>
      </c>
      <c r="N310" s="182">
        <v>1134.57</v>
      </c>
      <c r="O310" s="182">
        <v>124.8</v>
      </c>
    </row>
    <row r="311" spans="1:15" hidden="1" x14ac:dyDescent="0.25">
      <c r="A311" s="180" t="s">
        <v>658</v>
      </c>
      <c r="B311" s="180" t="s">
        <v>659</v>
      </c>
      <c r="D311" s="180" t="s">
        <v>835</v>
      </c>
      <c r="E311" s="181">
        <v>45307</v>
      </c>
      <c r="F311" s="180" t="s">
        <v>679</v>
      </c>
      <c r="G311" s="180" t="s">
        <v>680</v>
      </c>
      <c r="H311" s="180" t="s">
        <v>681</v>
      </c>
      <c r="I311" s="180" t="s">
        <v>682</v>
      </c>
      <c r="J311" s="180" t="s">
        <v>376</v>
      </c>
      <c r="L311" s="180">
        <v>40</v>
      </c>
      <c r="M311" s="180">
        <v>31.531500000000001</v>
      </c>
      <c r="N311" s="182">
        <v>1261.26</v>
      </c>
      <c r="O311" s="182">
        <v>138.74</v>
      </c>
    </row>
    <row r="312" spans="1:15" hidden="1" x14ac:dyDescent="0.25">
      <c r="A312" s="180" t="s">
        <v>658</v>
      </c>
      <c r="B312" s="180" t="s">
        <v>659</v>
      </c>
      <c r="D312" s="180" t="s">
        <v>835</v>
      </c>
      <c r="E312" s="181">
        <v>45307</v>
      </c>
      <c r="F312" s="180" t="s">
        <v>688</v>
      </c>
      <c r="G312" s="180" t="s">
        <v>689</v>
      </c>
      <c r="H312" s="180" t="s">
        <v>690</v>
      </c>
      <c r="I312" s="180" t="s">
        <v>691</v>
      </c>
      <c r="J312" s="180" t="s">
        <v>665</v>
      </c>
      <c r="L312" s="180">
        <v>5.25</v>
      </c>
      <c r="M312" s="180">
        <v>36.036000000000001</v>
      </c>
      <c r="N312" s="182">
        <v>189.19</v>
      </c>
      <c r="O312" s="182">
        <v>20.81</v>
      </c>
    </row>
    <row r="313" spans="1:15" x14ac:dyDescent="0.25">
      <c r="A313" s="180" t="s">
        <v>658</v>
      </c>
      <c r="B313" s="180" t="s">
        <v>659</v>
      </c>
      <c r="D313" s="180" t="s">
        <v>835</v>
      </c>
      <c r="E313" s="181">
        <v>45307</v>
      </c>
      <c r="F313" s="180" t="s">
        <v>836</v>
      </c>
      <c r="G313" s="180" t="s">
        <v>837</v>
      </c>
      <c r="H313" s="180" t="s">
        <v>838</v>
      </c>
      <c r="J313" s="180" t="s">
        <v>712</v>
      </c>
      <c r="L313" s="180">
        <v>5</v>
      </c>
      <c r="M313" s="180">
        <v>49.549500000000002</v>
      </c>
      <c r="N313" s="182">
        <v>247.75</v>
      </c>
      <c r="O313" s="182">
        <v>27.25</v>
      </c>
    </row>
    <row r="314" spans="1:15" hidden="1" x14ac:dyDescent="0.25">
      <c r="A314" s="180" t="s">
        <v>658</v>
      </c>
      <c r="B314" s="180" t="s">
        <v>659</v>
      </c>
      <c r="D314" s="180" t="s">
        <v>835</v>
      </c>
      <c r="E314" s="181">
        <v>45307</v>
      </c>
      <c r="F314" s="180" t="s">
        <v>752</v>
      </c>
      <c r="G314" s="180" t="s">
        <v>753</v>
      </c>
      <c r="H314" s="180" t="s">
        <v>754</v>
      </c>
      <c r="I314" s="180" t="s">
        <v>752</v>
      </c>
      <c r="J314" s="180" t="s">
        <v>376</v>
      </c>
      <c r="L314" s="180">
        <v>40</v>
      </c>
      <c r="M314" s="180">
        <v>29.279299999999999</v>
      </c>
      <c r="N314" s="182">
        <v>1171.17</v>
      </c>
      <c r="O314" s="182">
        <v>128.83000000000001</v>
      </c>
    </row>
    <row r="315" spans="1:15" hidden="1" x14ac:dyDescent="0.25">
      <c r="A315" s="180" t="s">
        <v>658</v>
      </c>
      <c r="B315" s="180" t="s">
        <v>659</v>
      </c>
      <c r="D315" s="180" t="s">
        <v>835</v>
      </c>
      <c r="E315" s="181">
        <v>45307</v>
      </c>
      <c r="F315" s="180" t="s">
        <v>720</v>
      </c>
      <c r="G315" s="180" t="s">
        <v>721</v>
      </c>
      <c r="H315" s="180" t="s">
        <v>722</v>
      </c>
      <c r="J315" s="180" t="s">
        <v>376</v>
      </c>
      <c r="L315" s="180">
        <v>8</v>
      </c>
      <c r="M315" s="180">
        <v>29.279299999999999</v>
      </c>
      <c r="N315" s="182">
        <v>234.23</v>
      </c>
      <c r="O315" s="182">
        <v>25.77</v>
      </c>
    </row>
    <row r="316" spans="1:15" hidden="1" x14ac:dyDescent="0.25">
      <c r="A316" s="180" t="s">
        <v>658</v>
      </c>
      <c r="B316" s="180" t="s">
        <v>659</v>
      </c>
      <c r="D316" s="180" t="s">
        <v>835</v>
      </c>
      <c r="E316" s="181">
        <v>45307</v>
      </c>
      <c r="F316" s="180" t="s">
        <v>767</v>
      </c>
      <c r="G316" s="180" t="s">
        <v>768</v>
      </c>
      <c r="H316" s="180" t="s">
        <v>769</v>
      </c>
      <c r="I316" s="180" t="s">
        <v>767</v>
      </c>
      <c r="J316" s="180" t="s">
        <v>376</v>
      </c>
      <c r="L316" s="180">
        <v>4.25</v>
      </c>
      <c r="M316" s="180">
        <v>31.531500000000001</v>
      </c>
      <c r="N316" s="182">
        <v>134.01</v>
      </c>
      <c r="O316" s="182">
        <v>14.74</v>
      </c>
    </row>
    <row r="317" spans="1:15" x14ac:dyDescent="0.25">
      <c r="A317" s="180" t="s">
        <v>658</v>
      </c>
      <c r="B317" s="180" t="s">
        <v>659</v>
      </c>
      <c r="D317" s="180" t="s">
        <v>835</v>
      </c>
      <c r="E317" s="181">
        <v>45307</v>
      </c>
      <c r="F317" s="180" t="s">
        <v>770</v>
      </c>
      <c r="G317" s="180" t="s">
        <v>771</v>
      </c>
      <c r="H317" s="180" t="s">
        <v>772</v>
      </c>
      <c r="I317" s="180" t="s">
        <v>770</v>
      </c>
      <c r="J317" s="180" t="s">
        <v>712</v>
      </c>
      <c r="L317" s="180">
        <v>6</v>
      </c>
      <c r="M317" s="180">
        <v>32.579099999999997</v>
      </c>
      <c r="N317" s="182">
        <v>195.47</v>
      </c>
      <c r="O317" s="182">
        <v>21.5</v>
      </c>
    </row>
    <row r="318" spans="1:15" hidden="1" x14ac:dyDescent="0.25">
      <c r="A318" s="180" t="s">
        <v>658</v>
      </c>
      <c r="B318" s="180" t="s">
        <v>659</v>
      </c>
      <c r="D318" s="180" t="s">
        <v>839</v>
      </c>
      <c r="E318" s="181">
        <v>45321</v>
      </c>
      <c r="F318" s="180" t="s">
        <v>739</v>
      </c>
      <c r="G318" s="180" t="s">
        <v>740</v>
      </c>
      <c r="H318" s="180" t="s">
        <v>741</v>
      </c>
      <c r="I318" s="180" t="s">
        <v>739</v>
      </c>
      <c r="J318" s="180" t="s">
        <v>376</v>
      </c>
      <c r="L318" s="180">
        <v>56</v>
      </c>
      <c r="M318" s="180">
        <v>36.036000000000001</v>
      </c>
      <c r="N318" s="182">
        <v>2018.02</v>
      </c>
      <c r="O318" s="182">
        <v>221.98</v>
      </c>
    </row>
    <row r="319" spans="1:15" hidden="1" x14ac:dyDescent="0.25">
      <c r="A319" s="180" t="s">
        <v>658</v>
      </c>
      <c r="B319" s="180" t="s">
        <v>659</v>
      </c>
      <c r="D319" s="180" t="s">
        <v>839</v>
      </c>
      <c r="E319" s="181">
        <v>45321</v>
      </c>
      <c r="F319" s="180" t="s">
        <v>840</v>
      </c>
      <c r="G319" s="180" t="s">
        <v>841</v>
      </c>
      <c r="H319" s="180" t="s">
        <v>842</v>
      </c>
      <c r="J319" s="180" t="s">
        <v>376</v>
      </c>
      <c r="L319" s="180">
        <v>17</v>
      </c>
      <c r="M319" s="180">
        <v>29.729700000000001</v>
      </c>
      <c r="N319" s="182">
        <v>505.4</v>
      </c>
      <c r="O319" s="182">
        <v>55.59</v>
      </c>
    </row>
    <row r="320" spans="1:15" hidden="1" x14ac:dyDescent="0.25">
      <c r="A320" s="180" t="s">
        <v>658</v>
      </c>
      <c r="B320" s="180" t="s">
        <v>659</v>
      </c>
      <c r="D320" s="180" t="s">
        <v>839</v>
      </c>
      <c r="E320" s="181">
        <v>45321</v>
      </c>
      <c r="F320" s="180" t="s">
        <v>672</v>
      </c>
      <c r="G320" s="180" t="s">
        <v>673</v>
      </c>
      <c r="H320" s="180" t="s">
        <v>674</v>
      </c>
      <c r="I320" s="180" t="s">
        <v>672</v>
      </c>
      <c r="J320" s="180" t="s">
        <v>376</v>
      </c>
      <c r="L320" s="180">
        <v>8</v>
      </c>
      <c r="M320" s="180">
        <v>29.279199999999999</v>
      </c>
      <c r="N320" s="182">
        <v>234.23</v>
      </c>
      <c r="O320" s="182">
        <v>25.77</v>
      </c>
    </row>
    <row r="321" spans="1:15" hidden="1" x14ac:dyDescent="0.25">
      <c r="A321" s="180" t="s">
        <v>658</v>
      </c>
      <c r="B321" s="180" t="s">
        <v>659</v>
      </c>
      <c r="D321" s="180" t="s">
        <v>839</v>
      </c>
      <c r="E321" s="181">
        <v>45321</v>
      </c>
      <c r="F321" s="180" t="s">
        <v>679</v>
      </c>
      <c r="G321" s="180" t="s">
        <v>680</v>
      </c>
      <c r="H321" s="180" t="s">
        <v>681</v>
      </c>
      <c r="I321" s="180" t="s">
        <v>682</v>
      </c>
      <c r="J321" s="180" t="s">
        <v>376</v>
      </c>
      <c r="L321" s="180">
        <v>61.25</v>
      </c>
      <c r="M321" s="180">
        <v>31.531500000000001</v>
      </c>
      <c r="N321" s="182">
        <v>1931.31</v>
      </c>
      <c r="O321" s="182">
        <v>212.46</v>
      </c>
    </row>
    <row r="322" spans="1:15" hidden="1" x14ac:dyDescent="0.25">
      <c r="A322" s="180" t="s">
        <v>658</v>
      </c>
      <c r="B322" s="180" t="s">
        <v>659</v>
      </c>
      <c r="D322" s="180" t="s">
        <v>839</v>
      </c>
      <c r="E322" s="181">
        <v>45321</v>
      </c>
      <c r="F322" s="180" t="s">
        <v>688</v>
      </c>
      <c r="G322" s="180" t="s">
        <v>689</v>
      </c>
      <c r="H322" s="180" t="s">
        <v>690</v>
      </c>
      <c r="I322" s="180" t="s">
        <v>691</v>
      </c>
      <c r="J322" s="180" t="s">
        <v>665</v>
      </c>
      <c r="L322" s="180">
        <v>16.75</v>
      </c>
      <c r="M322" s="180">
        <v>36.036000000000001</v>
      </c>
      <c r="N322" s="182">
        <v>603.6</v>
      </c>
      <c r="O322" s="182">
        <v>66.400000000000006</v>
      </c>
    </row>
    <row r="323" spans="1:15" hidden="1" x14ac:dyDescent="0.25">
      <c r="A323" s="180" t="s">
        <v>658</v>
      </c>
      <c r="B323" s="180" t="s">
        <v>659</v>
      </c>
      <c r="D323" s="180" t="s">
        <v>839</v>
      </c>
      <c r="E323" s="181">
        <v>45321</v>
      </c>
      <c r="F323" s="180" t="s">
        <v>752</v>
      </c>
      <c r="G323" s="180" t="s">
        <v>753</v>
      </c>
      <c r="H323" s="180" t="s">
        <v>754</v>
      </c>
      <c r="I323" s="180" t="s">
        <v>752</v>
      </c>
      <c r="J323" s="180" t="s">
        <v>376</v>
      </c>
      <c r="L323" s="180">
        <v>32</v>
      </c>
      <c r="M323" s="180">
        <v>29.279299999999999</v>
      </c>
      <c r="N323" s="182">
        <v>936.94</v>
      </c>
      <c r="O323" s="182">
        <v>103.06</v>
      </c>
    </row>
    <row r="324" spans="1:15" hidden="1" x14ac:dyDescent="0.25">
      <c r="A324" s="180" t="s">
        <v>658</v>
      </c>
      <c r="B324" s="180" t="s">
        <v>659</v>
      </c>
      <c r="D324" s="180" t="s">
        <v>839</v>
      </c>
      <c r="E324" s="181">
        <v>45321</v>
      </c>
      <c r="F324" s="180" t="s">
        <v>720</v>
      </c>
      <c r="G324" s="180" t="s">
        <v>721</v>
      </c>
      <c r="H324" s="180" t="s">
        <v>722</v>
      </c>
      <c r="J324" s="180" t="s">
        <v>376</v>
      </c>
      <c r="L324" s="180">
        <v>5.5</v>
      </c>
      <c r="M324" s="180">
        <v>29.279299999999999</v>
      </c>
      <c r="N324" s="182">
        <v>161.04</v>
      </c>
      <c r="O324" s="182">
        <v>17.71</v>
      </c>
    </row>
    <row r="325" spans="1:15" hidden="1" x14ac:dyDescent="0.25">
      <c r="A325" s="180" t="s">
        <v>658</v>
      </c>
      <c r="B325" s="180" t="s">
        <v>659</v>
      </c>
      <c r="D325" s="180" t="s">
        <v>839</v>
      </c>
      <c r="E325" s="181">
        <v>45321</v>
      </c>
      <c r="F325" s="180" t="s">
        <v>723</v>
      </c>
      <c r="G325" s="180" t="s">
        <v>724</v>
      </c>
      <c r="H325" s="180" t="s">
        <v>725</v>
      </c>
      <c r="I325" s="180" t="s">
        <v>726</v>
      </c>
      <c r="J325" s="180" t="s">
        <v>376</v>
      </c>
      <c r="L325" s="180">
        <v>12</v>
      </c>
      <c r="M325" s="180">
        <v>36.036000000000001</v>
      </c>
      <c r="N325" s="182">
        <v>432.43</v>
      </c>
      <c r="O325" s="182">
        <v>47.57</v>
      </c>
    </row>
    <row r="326" spans="1:15" hidden="1" x14ac:dyDescent="0.25">
      <c r="A326" s="180" t="s">
        <v>658</v>
      </c>
      <c r="B326" s="180" t="s">
        <v>659</v>
      </c>
      <c r="D326" s="180" t="s">
        <v>839</v>
      </c>
      <c r="E326" s="181">
        <v>45321</v>
      </c>
      <c r="F326" s="180" t="s">
        <v>764</v>
      </c>
      <c r="G326" s="180" t="s">
        <v>765</v>
      </c>
      <c r="H326" s="180" t="s">
        <v>766</v>
      </c>
      <c r="J326" s="180" t="s">
        <v>376</v>
      </c>
      <c r="L326" s="180">
        <v>24</v>
      </c>
      <c r="M326" s="180">
        <v>29.279199999999999</v>
      </c>
      <c r="N326" s="182">
        <v>702.7</v>
      </c>
      <c r="O326" s="182">
        <v>77.3</v>
      </c>
    </row>
    <row r="327" spans="1:15" hidden="1" x14ac:dyDescent="0.25">
      <c r="A327" s="180" t="s">
        <v>658</v>
      </c>
      <c r="B327" s="180" t="s">
        <v>659</v>
      </c>
      <c r="D327" s="180" t="s">
        <v>839</v>
      </c>
      <c r="E327" s="181">
        <v>45321</v>
      </c>
      <c r="F327" s="180" t="s">
        <v>767</v>
      </c>
      <c r="G327" s="180" t="s">
        <v>768</v>
      </c>
      <c r="H327" s="180" t="s">
        <v>769</v>
      </c>
      <c r="I327" s="180" t="s">
        <v>767</v>
      </c>
      <c r="J327" s="180" t="s">
        <v>376</v>
      </c>
      <c r="L327" s="180">
        <v>40</v>
      </c>
      <c r="M327" s="180">
        <v>31.531500000000001</v>
      </c>
      <c r="N327" s="182">
        <v>1261.26</v>
      </c>
      <c r="O327" s="182">
        <v>138.74</v>
      </c>
    </row>
    <row r="328" spans="1:15" x14ac:dyDescent="0.25">
      <c r="A328" s="180" t="s">
        <v>658</v>
      </c>
      <c r="B328" s="180" t="s">
        <v>659</v>
      </c>
      <c r="D328" s="180" t="s">
        <v>843</v>
      </c>
      <c r="E328" s="181">
        <v>45335</v>
      </c>
      <c r="F328" s="180" t="s">
        <v>781</v>
      </c>
      <c r="G328" s="180" t="s">
        <v>782</v>
      </c>
      <c r="H328" s="180" t="s">
        <v>783</v>
      </c>
      <c r="J328" s="180" t="s">
        <v>712</v>
      </c>
      <c r="L328" s="180">
        <v>18.25</v>
      </c>
      <c r="M328" s="180">
        <v>49.549500000000002</v>
      </c>
      <c r="N328" s="182">
        <v>904.28</v>
      </c>
      <c r="O328" s="182">
        <v>99.47</v>
      </c>
    </row>
    <row r="329" spans="1:15" x14ac:dyDescent="0.25">
      <c r="A329" s="180" t="s">
        <v>658</v>
      </c>
      <c r="B329" s="180" t="s">
        <v>659</v>
      </c>
      <c r="D329" s="180" t="s">
        <v>843</v>
      </c>
      <c r="E329" s="181">
        <v>45335</v>
      </c>
      <c r="F329" s="180" t="s">
        <v>844</v>
      </c>
      <c r="G329" s="180" t="s">
        <v>845</v>
      </c>
      <c r="H329" s="180" t="s">
        <v>846</v>
      </c>
      <c r="J329" s="180" t="s">
        <v>847</v>
      </c>
      <c r="L329" s="180">
        <v>12</v>
      </c>
      <c r="M329" s="180">
        <v>81.081000000000003</v>
      </c>
      <c r="N329" s="182">
        <v>972.97</v>
      </c>
      <c r="O329" s="182">
        <v>107.03</v>
      </c>
    </row>
    <row r="330" spans="1:15" hidden="1" x14ac:dyDescent="0.25">
      <c r="A330" s="180" t="s">
        <v>658</v>
      </c>
      <c r="B330" s="180" t="s">
        <v>659</v>
      </c>
      <c r="D330" s="180" t="s">
        <v>843</v>
      </c>
      <c r="E330" s="181">
        <v>45335</v>
      </c>
      <c r="F330" s="180" t="s">
        <v>739</v>
      </c>
      <c r="G330" s="180" t="s">
        <v>740</v>
      </c>
      <c r="H330" s="180" t="s">
        <v>741</v>
      </c>
      <c r="I330" s="180" t="s">
        <v>739</v>
      </c>
      <c r="J330" s="180" t="s">
        <v>376</v>
      </c>
      <c r="L330" s="180">
        <v>8</v>
      </c>
      <c r="M330" s="180">
        <v>36.036000000000001</v>
      </c>
      <c r="N330" s="182">
        <v>288.29000000000002</v>
      </c>
      <c r="O330" s="182">
        <v>31.71</v>
      </c>
    </row>
    <row r="331" spans="1:15" hidden="1" x14ac:dyDescent="0.25">
      <c r="A331" s="180" t="s">
        <v>658</v>
      </c>
      <c r="B331" s="180" t="s">
        <v>659</v>
      </c>
      <c r="D331" s="180" t="s">
        <v>843</v>
      </c>
      <c r="E331" s="181">
        <v>45335</v>
      </c>
      <c r="F331" s="180" t="s">
        <v>672</v>
      </c>
      <c r="G331" s="180" t="s">
        <v>673</v>
      </c>
      <c r="H331" s="180" t="s">
        <v>674</v>
      </c>
      <c r="I331" s="180" t="s">
        <v>672</v>
      </c>
      <c r="J331" s="180" t="s">
        <v>376</v>
      </c>
      <c r="L331" s="180">
        <v>65.75</v>
      </c>
      <c r="M331" s="180">
        <v>29.279199999999999</v>
      </c>
      <c r="N331" s="182">
        <v>1925.11</v>
      </c>
      <c r="O331" s="182">
        <v>211.76</v>
      </c>
    </row>
    <row r="332" spans="1:15" hidden="1" x14ac:dyDescent="0.25">
      <c r="A332" s="180" t="s">
        <v>658</v>
      </c>
      <c r="B332" s="180" t="s">
        <v>659</v>
      </c>
      <c r="D332" s="180" t="s">
        <v>843</v>
      </c>
      <c r="E332" s="181">
        <v>45335</v>
      </c>
      <c r="F332" s="180" t="s">
        <v>679</v>
      </c>
      <c r="G332" s="180" t="s">
        <v>680</v>
      </c>
      <c r="H332" s="180" t="s">
        <v>681</v>
      </c>
      <c r="I332" s="180" t="s">
        <v>682</v>
      </c>
      <c r="J332" s="180" t="s">
        <v>376</v>
      </c>
      <c r="L332" s="180">
        <v>70</v>
      </c>
      <c r="M332" s="180">
        <v>31.531500000000001</v>
      </c>
      <c r="N332" s="182">
        <v>2207.1999999999998</v>
      </c>
      <c r="O332" s="182">
        <v>242.79</v>
      </c>
    </row>
    <row r="333" spans="1:15" x14ac:dyDescent="0.25">
      <c r="A333" s="180" t="s">
        <v>658</v>
      </c>
      <c r="B333" s="180" t="s">
        <v>659</v>
      </c>
      <c r="D333" s="180" t="s">
        <v>843</v>
      </c>
      <c r="E333" s="181">
        <v>45335</v>
      </c>
      <c r="F333" s="180" t="s">
        <v>742</v>
      </c>
      <c r="G333" s="180" t="s">
        <v>743</v>
      </c>
      <c r="H333" s="180" t="s">
        <v>744</v>
      </c>
      <c r="J333" s="180" t="s">
        <v>712</v>
      </c>
      <c r="L333" s="180">
        <v>7</v>
      </c>
      <c r="M333" s="180">
        <v>40.540500000000002</v>
      </c>
      <c r="N333" s="182">
        <v>283.77999999999997</v>
      </c>
      <c r="O333" s="182">
        <v>31.22</v>
      </c>
    </row>
    <row r="334" spans="1:15" x14ac:dyDescent="0.25">
      <c r="A334" s="180" t="s">
        <v>658</v>
      </c>
      <c r="B334" s="180" t="s">
        <v>659</v>
      </c>
      <c r="D334" s="180" t="s">
        <v>843</v>
      </c>
      <c r="E334" s="181">
        <v>45335</v>
      </c>
      <c r="F334" s="180" t="s">
        <v>708</v>
      </c>
      <c r="G334" s="180" t="s">
        <v>709</v>
      </c>
      <c r="H334" s="180" t="s">
        <v>710</v>
      </c>
      <c r="I334" s="180" t="s">
        <v>711</v>
      </c>
      <c r="J334" s="180" t="s">
        <v>712</v>
      </c>
      <c r="L334" s="180">
        <v>17</v>
      </c>
      <c r="M334" s="180">
        <v>32.432400000000001</v>
      </c>
      <c r="N334" s="182">
        <v>551.35</v>
      </c>
      <c r="O334" s="182">
        <v>60.65</v>
      </c>
    </row>
    <row r="335" spans="1:15" hidden="1" x14ac:dyDescent="0.25">
      <c r="A335" s="180" t="s">
        <v>658</v>
      </c>
      <c r="B335" s="180" t="s">
        <v>659</v>
      </c>
      <c r="D335" s="180" t="s">
        <v>843</v>
      </c>
      <c r="E335" s="181">
        <v>45335</v>
      </c>
      <c r="F335" s="180" t="s">
        <v>688</v>
      </c>
      <c r="G335" s="180" t="s">
        <v>689</v>
      </c>
      <c r="H335" s="180" t="s">
        <v>690</v>
      </c>
      <c r="I335" s="180" t="s">
        <v>691</v>
      </c>
      <c r="J335" s="180" t="s">
        <v>665</v>
      </c>
      <c r="L335" s="180">
        <v>21</v>
      </c>
      <c r="M335" s="180">
        <v>36.036000000000001</v>
      </c>
      <c r="N335" s="182">
        <v>756.76</v>
      </c>
      <c r="O335" s="182">
        <v>83.24</v>
      </c>
    </row>
    <row r="336" spans="1:15" hidden="1" x14ac:dyDescent="0.25">
      <c r="A336" s="180" t="s">
        <v>658</v>
      </c>
      <c r="B336" s="180" t="s">
        <v>659</v>
      </c>
      <c r="D336" s="180" t="s">
        <v>843</v>
      </c>
      <c r="E336" s="181">
        <v>45335</v>
      </c>
      <c r="F336" s="180" t="s">
        <v>752</v>
      </c>
      <c r="G336" s="180" t="s">
        <v>753</v>
      </c>
      <c r="H336" s="180" t="s">
        <v>754</v>
      </c>
      <c r="I336" s="180" t="s">
        <v>752</v>
      </c>
      <c r="J336" s="180" t="s">
        <v>376</v>
      </c>
      <c r="L336" s="180">
        <v>33.25</v>
      </c>
      <c r="M336" s="180">
        <v>29.279299999999999</v>
      </c>
      <c r="N336" s="182">
        <v>973.54</v>
      </c>
      <c r="O336" s="182">
        <v>107.09</v>
      </c>
    </row>
    <row r="337" spans="1:15" x14ac:dyDescent="0.25">
      <c r="A337" s="180" t="s">
        <v>658</v>
      </c>
      <c r="B337" s="180" t="s">
        <v>659</v>
      </c>
      <c r="D337" s="180" t="s">
        <v>843</v>
      </c>
      <c r="E337" s="181">
        <v>45335</v>
      </c>
      <c r="F337" s="180" t="s">
        <v>692</v>
      </c>
      <c r="G337" s="180" t="s">
        <v>693</v>
      </c>
      <c r="H337" s="180" t="s">
        <v>694</v>
      </c>
      <c r="I337" s="180" t="s">
        <v>692</v>
      </c>
      <c r="J337" s="180" t="s">
        <v>695</v>
      </c>
      <c r="L337" s="180">
        <v>5.75</v>
      </c>
      <c r="M337" s="180">
        <v>40.540500000000002</v>
      </c>
      <c r="N337" s="182">
        <v>233.11</v>
      </c>
      <c r="O337" s="182">
        <v>25.64</v>
      </c>
    </row>
    <row r="338" spans="1:15" hidden="1" x14ac:dyDescent="0.25">
      <c r="A338" s="180" t="s">
        <v>658</v>
      </c>
      <c r="B338" s="180" t="s">
        <v>659</v>
      </c>
      <c r="D338" s="180" t="s">
        <v>843</v>
      </c>
      <c r="E338" s="181">
        <v>45335</v>
      </c>
      <c r="F338" s="180" t="s">
        <v>720</v>
      </c>
      <c r="G338" s="180" t="s">
        <v>721</v>
      </c>
      <c r="H338" s="180" t="s">
        <v>722</v>
      </c>
      <c r="J338" s="180" t="s">
        <v>376</v>
      </c>
      <c r="L338" s="180">
        <v>3</v>
      </c>
      <c r="M338" s="180">
        <v>29.279299999999999</v>
      </c>
      <c r="N338" s="182">
        <v>87.84</v>
      </c>
      <c r="O338" s="182">
        <v>9.66</v>
      </c>
    </row>
    <row r="339" spans="1:15" hidden="1" x14ac:dyDescent="0.25">
      <c r="A339" s="180" t="s">
        <v>658</v>
      </c>
      <c r="B339" s="180" t="s">
        <v>659</v>
      </c>
      <c r="D339" s="180" t="s">
        <v>843</v>
      </c>
      <c r="E339" s="181">
        <v>45335</v>
      </c>
      <c r="F339" s="180" t="s">
        <v>761</v>
      </c>
      <c r="G339" s="180" t="s">
        <v>762</v>
      </c>
      <c r="H339" s="180" t="s">
        <v>763</v>
      </c>
      <c r="J339" s="180" t="s">
        <v>376</v>
      </c>
      <c r="L339" s="180">
        <v>8</v>
      </c>
      <c r="M339" s="180">
        <v>36.936900000000001</v>
      </c>
      <c r="N339" s="182">
        <v>295.5</v>
      </c>
      <c r="O339" s="182">
        <v>32.5</v>
      </c>
    </row>
    <row r="340" spans="1:15" hidden="1" x14ac:dyDescent="0.25">
      <c r="A340" s="180" t="s">
        <v>658</v>
      </c>
      <c r="B340" s="180" t="s">
        <v>659</v>
      </c>
      <c r="D340" s="180" t="s">
        <v>843</v>
      </c>
      <c r="E340" s="181">
        <v>45335</v>
      </c>
      <c r="F340" s="180" t="s">
        <v>723</v>
      </c>
      <c r="G340" s="180" t="s">
        <v>724</v>
      </c>
      <c r="H340" s="180" t="s">
        <v>725</v>
      </c>
      <c r="I340" s="180" t="s">
        <v>726</v>
      </c>
      <c r="J340" s="180" t="s">
        <v>376</v>
      </c>
      <c r="L340" s="180">
        <v>16</v>
      </c>
      <c r="M340" s="180">
        <v>36.036000000000001</v>
      </c>
      <c r="N340" s="182">
        <v>576.58000000000004</v>
      </c>
      <c r="O340" s="182">
        <v>63.42</v>
      </c>
    </row>
    <row r="341" spans="1:15" hidden="1" x14ac:dyDescent="0.25">
      <c r="A341" s="180" t="s">
        <v>658</v>
      </c>
      <c r="B341" s="180" t="s">
        <v>659</v>
      </c>
      <c r="D341" s="180" t="s">
        <v>843</v>
      </c>
      <c r="E341" s="181">
        <v>45335</v>
      </c>
      <c r="F341" s="180" t="s">
        <v>764</v>
      </c>
      <c r="G341" s="180" t="s">
        <v>765</v>
      </c>
      <c r="H341" s="180" t="s">
        <v>766</v>
      </c>
      <c r="J341" s="180" t="s">
        <v>376</v>
      </c>
      <c r="L341" s="180">
        <v>5.75</v>
      </c>
      <c r="M341" s="180">
        <v>29.279199999999999</v>
      </c>
      <c r="N341" s="182">
        <v>168.36</v>
      </c>
      <c r="O341" s="182">
        <v>18.52</v>
      </c>
    </row>
    <row r="342" spans="1:15" hidden="1" x14ac:dyDescent="0.25">
      <c r="A342" s="180" t="s">
        <v>658</v>
      </c>
      <c r="B342" s="180" t="s">
        <v>659</v>
      </c>
      <c r="D342" s="180" t="s">
        <v>843</v>
      </c>
      <c r="E342" s="181">
        <v>45335</v>
      </c>
      <c r="F342" s="180" t="s">
        <v>767</v>
      </c>
      <c r="G342" s="180" t="s">
        <v>768</v>
      </c>
      <c r="H342" s="180" t="s">
        <v>769</v>
      </c>
      <c r="I342" s="180" t="s">
        <v>767</v>
      </c>
      <c r="J342" s="180" t="s">
        <v>376</v>
      </c>
      <c r="L342" s="180">
        <v>31.75</v>
      </c>
      <c r="M342" s="180">
        <v>31.531500000000001</v>
      </c>
      <c r="N342" s="182">
        <v>1001.13</v>
      </c>
      <c r="O342" s="182">
        <v>110.12</v>
      </c>
    </row>
    <row r="343" spans="1:15" hidden="1" x14ac:dyDescent="0.25">
      <c r="A343" s="180" t="s">
        <v>658</v>
      </c>
      <c r="B343" s="180" t="s">
        <v>659</v>
      </c>
      <c r="D343" s="180" t="s">
        <v>843</v>
      </c>
      <c r="E343" s="181">
        <v>45335</v>
      </c>
      <c r="F343" s="180" t="s">
        <v>773</v>
      </c>
      <c r="G343" s="180" t="s">
        <v>774</v>
      </c>
      <c r="H343" s="180" t="s">
        <v>775</v>
      </c>
      <c r="J343" s="180" t="s">
        <v>376</v>
      </c>
      <c r="L343" s="180">
        <v>13</v>
      </c>
      <c r="M343" s="180">
        <v>29.729700000000001</v>
      </c>
      <c r="N343" s="182">
        <v>386.49</v>
      </c>
      <c r="O343" s="182">
        <v>42.51</v>
      </c>
    </row>
    <row r="344" spans="1:15" hidden="1" x14ac:dyDescent="0.25">
      <c r="A344" s="180" t="s">
        <v>658</v>
      </c>
      <c r="B344" s="180" t="s">
        <v>659</v>
      </c>
      <c r="D344" s="180" t="s">
        <v>848</v>
      </c>
      <c r="E344" s="181">
        <v>45363</v>
      </c>
      <c r="F344" s="180" t="s">
        <v>777</v>
      </c>
      <c r="G344" s="180" t="s">
        <v>778</v>
      </c>
      <c r="H344" s="180" t="s">
        <v>779</v>
      </c>
      <c r="I344" s="180" t="s">
        <v>780</v>
      </c>
      <c r="J344" s="180" t="s">
        <v>376</v>
      </c>
      <c r="L344" s="180">
        <v>40</v>
      </c>
      <c r="M344" s="180">
        <v>36.936900000000001</v>
      </c>
      <c r="N344" s="182">
        <v>1477.48</v>
      </c>
      <c r="O344" s="182">
        <v>162.52000000000001</v>
      </c>
    </row>
    <row r="345" spans="1:15" hidden="1" x14ac:dyDescent="0.25">
      <c r="A345" s="180" t="s">
        <v>658</v>
      </c>
      <c r="B345" s="180" t="s">
        <v>659</v>
      </c>
      <c r="D345" s="180" t="s">
        <v>848</v>
      </c>
      <c r="E345" s="181">
        <v>45363</v>
      </c>
      <c r="F345" s="180" t="s">
        <v>739</v>
      </c>
      <c r="G345" s="180" t="s">
        <v>740</v>
      </c>
      <c r="H345" s="180" t="s">
        <v>741</v>
      </c>
      <c r="I345" s="180" t="s">
        <v>739</v>
      </c>
      <c r="J345" s="180" t="s">
        <v>376</v>
      </c>
      <c r="L345" s="180">
        <v>31</v>
      </c>
      <c r="M345" s="180">
        <v>36.036000000000001</v>
      </c>
      <c r="N345" s="182">
        <v>1117.1199999999999</v>
      </c>
      <c r="O345" s="182">
        <v>122.88</v>
      </c>
    </row>
    <row r="346" spans="1:15" hidden="1" x14ac:dyDescent="0.25">
      <c r="A346" s="180" t="s">
        <v>658</v>
      </c>
      <c r="B346" s="180" t="s">
        <v>659</v>
      </c>
      <c r="D346" s="180" t="s">
        <v>848</v>
      </c>
      <c r="E346" s="181">
        <v>45363</v>
      </c>
      <c r="F346" s="180" t="s">
        <v>840</v>
      </c>
      <c r="G346" s="180" t="s">
        <v>841</v>
      </c>
      <c r="H346" s="180" t="s">
        <v>842</v>
      </c>
      <c r="J346" s="180" t="s">
        <v>376</v>
      </c>
      <c r="L346" s="180">
        <v>31.75</v>
      </c>
      <c r="M346" s="180">
        <v>29.729700000000001</v>
      </c>
      <c r="N346" s="182">
        <v>943.92</v>
      </c>
      <c r="O346" s="182">
        <v>103.83</v>
      </c>
    </row>
    <row r="347" spans="1:15" hidden="1" x14ac:dyDescent="0.25">
      <c r="A347" s="180" t="s">
        <v>658</v>
      </c>
      <c r="B347" s="180" t="s">
        <v>659</v>
      </c>
      <c r="D347" s="180" t="s">
        <v>848</v>
      </c>
      <c r="E347" s="181">
        <v>45363</v>
      </c>
      <c r="F347" s="180" t="s">
        <v>672</v>
      </c>
      <c r="G347" s="180" t="s">
        <v>673</v>
      </c>
      <c r="H347" s="180" t="s">
        <v>674</v>
      </c>
      <c r="I347" s="180" t="s">
        <v>672</v>
      </c>
      <c r="J347" s="180" t="s">
        <v>376</v>
      </c>
      <c r="L347" s="180">
        <v>12</v>
      </c>
      <c r="M347" s="180">
        <v>29.279199999999999</v>
      </c>
      <c r="N347" s="182">
        <v>351.35</v>
      </c>
      <c r="O347" s="182">
        <v>38.65</v>
      </c>
    </row>
    <row r="348" spans="1:15" hidden="1" x14ac:dyDescent="0.25">
      <c r="A348" s="180" t="s">
        <v>658</v>
      </c>
      <c r="B348" s="180" t="s">
        <v>659</v>
      </c>
      <c r="D348" s="180" t="s">
        <v>848</v>
      </c>
      <c r="E348" s="181">
        <v>45363</v>
      </c>
      <c r="F348" s="180" t="s">
        <v>688</v>
      </c>
      <c r="G348" s="180" t="s">
        <v>689</v>
      </c>
      <c r="H348" s="180" t="s">
        <v>690</v>
      </c>
      <c r="I348" s="180" t="s">
        <v>691</v>
      </c>
      <c r="J348" s="180" t="s">
        <v>665</v>
      </c>
      <c r="L348" s="180">
        <v>16</v>
      </c>
      <c r="M348" s="180">
        <v>36.036000000000001</v>
      </c>
      <c r="N348" s="182">
        <v>576.58000000000004</v>
      </c>
      <c r="O348" s="182">
        <v>63.42</v>
      </c>
    </row>
    <row r="349" spans="1:15" hidden="1" x14ac:dyDescent="0.25">
      <c r="A349" s="180" t="s">
        <v>658</v>
      </c>
      <c r="B349" s="180" t="s">
        <v>659</v>
      </c>
      <c r="D349" s="180" t="s">
        <v>848</v>
      </c>
      <c r="E349" s="181">
        <v>45363</v>
      </c>
      <c r="F349" s="180" t="s">
        <v>752</v>
      </c>
      <c r="G349" s="180" t="s">
        <v>753</v>
      </c>
      <c r="H349" s="180" t="s">
        <v>754</v>
      </c>
      <c r="I349" s="180" t="s">
        <v>752</v>
      </c>
      <c r="J349" s="180" t="s">
        <v>376</v>
      </c>
      <c r="L349" s="180">
        <v>22.75</v>
      </c>
      <c r="M349" s="180">
        <v>29.279299999999999</v>
      </c>
      <c r="N349" s="182">
        <v>666.1</v>
      </c>
      <c r="O349" s="182">
        <v>73.27</v>
      </c>
    </row>
    <row r="350" spans="1:15" hidden="1" x14ac:dyDescent="0.25">
      <c r="A350" s="180" t="s">
        <v>658</v>
      </c>
      <c r="B350" s="180" t="s">
        <v>659</v>
      </c>
      <c r="D350" s="180" t="s">
        <v>848</v>
      </c>
      <c r="E350" s="181">
        <v>45363</v>
      </c>
      <c r="F350" s="180" t="s">
        <v>720</v>
      </c>
      <c r="G350" s="180" t="s">
        <v>721</v>
      </c>
      <c r="H350" s="180" t="s">
        <v>722</v>
      </c>
      <c r="J350" s="180" t="s">
        <v>376</v>
      </c>
      <c r="L350" s="180">
        <v>37</v>
      </c>
      <c r="M350" s="180">
        <v>29.279299999999999</v>
      </c>
      <c r="N350" s="182">
        <v>1083.33</v>
      </c>
      <c r="O350" s="182">
        <v>119.17</v>
      </c>
    </row>
    <row r="351" spans="1:15" hidden="1" x14ac:dyDescent="0.25">
      <c r="A351" s="180" t="s">
        <v>658</v>
      </c>
      <c r="B351" s="180" t="s">
        <v>659</v>
      </c>
      <c r="D351" s="180" t="s">
        <v>848</v>
      </c>
      <c r="E351" s="181">
        <v>45363</v>
      </c>
      <c r="F351" s="180" t="s">
        <v>755</v>
      </c>
      <c r="G351" s="180" t="s">
        <v>756</v>
      </c>
      <c r="H351" s="180" t="s">
        <v>757</v>
      </c>
      <c r="I351" s="180" t="s">
        <v>755</v>
      </c>
      <c r="J351" s="180" t="s">
        <v>376</v>
      </c>
      <c r="L351" s="180">
        <v>4</v>
      </c>
      <c r="M351" s="180">
        <v>36.036000000000001</v>
      </c>
      <c r="N351" s="182">
        <v>144.13999999999999</v>
      </c>
      <c r="O351" s="182">
        <v>15.86</v>
      </c>
    </row>
    <row r="352" spans="1:15" hidden="1" x14ac:dyDescent="0.25">
      <c r="A352" s="180" t="s">
        <v>658</v>
      </c>
      <c r="B352" s="180" t="s">
        <v>659</v>
      </c>
      <c r="D352" s="180" t="s">
        <v>848</v>
      </c>
      <c r="E352" s="181">
        <v>45363</v>
      </c>
      <c r="F352" s="180" t="s">
        <v>758</v>
      </c>
      <c r="G352" s="180" t="s">
        <v>759</v>
      </c>
      <c r="H352" s="180" t="s">
        <v>760</v>
      </c>
      <c r="I352" s="180" t="s">
        <v>758</v>
      </c>
      <c r="J352" s="180" t="s">
        <v>376</v>
      </c>
      <c r="L352" s="180">
        <v>78</v>
      </c>
      <c r="M352" s="180">
        <v>29.729700000000001</v>
      </c>
      <c r="N352" s="182">
        <v>2318.92</v>
      </c>
      <c r="O352" s="182">
        <v>255.08</v>
      </c>
    </row>
    <row r="353" spans="1:15" hidden="1" x14ac:dyDescent="0.25">
      <c r="A353" s="180" t="s">
        <v>658</v>
      </c>
      <c r="B353" s="180" t="s">
        <v>659</v>
      </c>
      <c r="D353" s="180" t="s">
        <v>848</v>
      </c>
      <c r="E353" s="181">
        <v>45363</v>
      </c>
      <c r="F353" s="180" t="s">
        <v>699</v>
      </c>
      <c r="G353" s="180" t="s">
        <v>700</v>
      </c>
      <c r="H353" s="180" t="s">
        <v>701</v>
      </c>
      <c r="I353" s="180" t="s">
        <v>702</v>
      </c>
      <c r="J353" s="180" t="s">
        <v>376</v>
      </c>
      <c r="L353" s="180">
        <v>4</v>
      </c>
      <c r="M353" s="180">
        <v>29.279199999999999</v>
      </c>
      <c r="N353" s="182">
        <v>117.12</v>
      </c>
      <c r="O353" s="182">
        <v>12.88</v>
      </c>
    </row>
    <row r="354" spans="1:15" hidden="1" x14ac:dyDescent="0.25">
      <c r="A354" s="180" t="s">
        <v>658</v>
      </c>
      <c r="B354" s="180" t="s">
        <v>659</v>
      </c>
      <c r="D354" s="180" t="s">
        <v>848</v>
      </c>
      <c r="E354" s="181">
        <v>45363</v>
      </c>
      <c r="F354" s="180" t="s">
        <v>723</v>
      </c>
      <c r="G354" s="180" t="s">
        <v>724</v>
      </c>
      <c r="H354" s="180" t="s">
        <v>725</v>
      </c>
      <c r="I354" s="180" t="s">
        <v>726</v>
      </c>
      <c r="J354" s="180" t="s">
        <v>376</v>
      </c>
      <c r="L354" s="180">
        <v>80</v>
      </c>
      <c r="M354" s="180">
        <v>36.036000000000001</v>
      </c>
      <c r="N354" s="182">
        <v>2882.88</v>
      </c>
      <c r="O354" s="182">
        <v>317.12</v>
      </c>
    </row>
    <row r="355" spans="1:15" hidden="1" x14ac:dyDescent="0.25">
      <c r="A355" s="180" t="s">
        <v>658</v>
      </c>
      <c r="B355" s="180" t="s">
        <v>659</v>
      </c>
      <c r="D355" s="180" t="s">
        <v>848</v>
      </c>
      <c r="E355" s="181">
        <v>45363</v>
      </c>
      <c r="F355" s="180" t="s">
        <v>764</v>
      </c>
      <c r="G355" s="180" t="s">
        <v>765</v>
      </c>
      <c r="H355" s="180" t="s">
        <v>766</v>
      </c>
      <c r="J355" s="180" t="s">
        <v>376</v>
      </c>
      <c r="L355" s="180">
        <v>8</v>
      </c>
      <c r="M355" s="180">
        <v>29.279199999999999</v>
      </c>
      <c r="N355" s="182">
        <v>234.23</v>
      </c>
      <c r="O355" s="182">
        <v>25.77</v>
      </c>
    </row>
    <row r="356" spans="1:15" hidden="1" x14ac:dyDescent="0.25">
      <c r="A356" s="180" t="s">
        <v>658</v>
      </c>
      <c r="B356" s="180" t="s">
        <v>659</v>
      </c>
      <c r="D356" s="180" t="s">
        <v>848</v>
      </c>
      <c r="E356" s="181">
        <v>45363</v>
      </c>
      <c r="F356" s="180" t="s">
        <v>767</v>
      </c>
      <c r="G356" s="180" t="s">
        <v>768</v>
      </c>
      <c r="H356" s="180" t="s">
        <v>769</v>
      </c>
      <c r="I356" s="180" t="s">
        <v>767</v>
      </c>
      <c r="J356" s="180" t="s">
        <v>376</v>
      </c>
      <c r="L356" s="180">
        <v>40.25</v>
      </c>
      <c r="M356" s="180">
        <v>31.531500000000001</v>
      </c>
      <c r="N356" s="182">
        <v>1269.1400000000001</v>
      </c>
      <c r="O356" s="182">
        <v>139.61000000000001</v>
      </c>
    </row>
    <row r="357" spans="1:15" hidden="1" x14ac:dyDescent="0.25">
      <c r="A357" s="180" t="s">
        <v>658</v>
      </c>
      <c r="B357" s="180" t="s">
        <v>659</v>
      </c>
      <c r="D357" s="180" t="s">
        <v>848</v>
      </c>
      <c r="E357" s="181">
        <v>45363</v>
      </c>
      <c r="F357" s="180" t="s">
        <v>703</v>
      </c>
      <c r="G357" s="180" t="s">
        <v>704</v>
      </c>
      <c r="H357" s="180" t="s">
        <v>705</v>
      </c>
      <c r="I357" s="180" t="s">
        <v>706</v>
      </c>
      <c r="J357" s="180" t="s">
        <v>376</v>
      </c>
      <c r="L357" s="180">
        <v>16</v>
      </c>
      <c r="M357" s="180">
        <v>29.279199999999999</v>
      </c>
      <c r="N357" s="182">
        <v>468.47</v>
      </c>
      <c r="O357" s="182">
        <v>51.53</v>
      </c>
    </row>
    <row r="358" spans="1:15" hidden="1" x14ac:dyDescent="0.25">
      <c r="A358" s="180" t="s">
        <v>658</v>
      </c>
      <c r="B358" s="180" t="s">
        <v>659</v>
      </c>
      <c r="D358" s="180" t="s">
        <v>849</v>
      </c>
      <c r="E358" s="181">
        <v>45419</v>
      </c>
      <c r="F358" s="180" t="s">
        <v>732</v>
      </c>
      <c r="G358" s="180" t="s">
        <v>733</v>
      </c>
      <c r="H358" s="180" t="s">
        <v>734</v>
      </c>
      <c r="I358" s="180" t="s">
        <v>735</v>
      </c>
      <c r="J358" s="180" t="s">
        <v>376</v>
      </c>
      <c r="L358" s="180">
        <v>72</v>
      </c>
      <c r="M358" s="180">
        <v>39.639600000000002</v>
      </c>
      <c r="N358" s="182">
        <v>2854.05</v>
      </c>
      <c r="O358" s="182">
        <v>313.95</v>
      </c>
    </row>
    <row r="359" spans="1:15" hidden="1" x14ac:dyDescent="0.25">
      <c r="A359" s="180" t="s">
        <v>658</v>
      </c>
      <c r="B359" s="180" t="s">
        <v>659</v>
      </c>
      <c r="D359" s="180" t="s">
        <v>849</v>
      </c>
      <c r="E359" s="181">
        <v>45419</v>
      </c>
      <c r="F359" s="180" t="s">
        <v>669</v>
      </c>
      <c r="G359" s="180" t="s">
        <v>670</v>
      </c>
      <c r="H359" s="180" t="s">
        <v>671</v>
      </c>
      <c r="I359" s="180" t="s">
        <v>669</v>
      </c>
      <c r="J359" s="180" t="s">
        <v>376</v>
      </c>
      <c r="L359" s="180">
        <v>8</v>
      </c>
      <c r="M359" s="180">
        <v>36.036000000000001</v>
      </c>
      <c r="N359" s="182">
        <v>288.29000000000002</v>
      </c>
      <c r="O359" s="182">
        <v>31.71</v>
      </c>
    </row>
    <row r="360" spans="1:15" hidden="1" x14ac:dyDescent="0.25">
      <c r="A360" s="180" t="s">
        <v>658</v>
      </c>
      <c r="B360" s="180" t="s">
        <v>659</v>
      </c>
      <c r="D360" s="180" t="s">
        <v>849</v>
      </c>
      <c r="E360" s="181">
        <v>45419</v>
      </c>
      <c r="F360" s="180" t="s">
        <v>739</v>
      </c>
      <c r="G360" s="180" t="s">
        <v>740</v>
      </c>
      <c r="H360" s="180" t="s">
        <v>741</v>
      </c>
      <c r="I360" s="180" t="s">
        <v>739</v>
      </c>
      <c r="J360" s="180" t="s">
        <v>376</v>
      </c>
      <c r="L360" s="180">
        <v>33</v>
      </c>
      <c r="M360" s="180">
        <v>36.036000000000001</v>
      </c>
      <c r="N360" s="182">
        <v>1189.19</v>
      </c>
      <c r="O360" s="182">
        <v>130.81</v>
      </c>
    </row>
    <row r="361" spans="1:15" hidden="1" x14ac:dyDescent="0.25">
      <c r="A361" s="180" t="s">
        <v>658</v>
      </c>
      <c r="B361" s="180" t="s">
        <v>659</v>
      </c>
      <c r="D361" s="180" t="s">
        <v>849</v>
      </c>
      <c r="E361" s="181">
        <v>45419</v>
      </c>
      <c r="F361" s="180" t="s">
        <v>672</v>
      </c>
      <c r="G361" s="180" t="s">
        <v>673</v>
      </c>
      <c r="H361" s="180" t="s">
        <v>674</v>
      </c>
      <c r="I361" s="180" t="s">
        <v>672</v>
      </c>
      <c r="J361" s="180" t="s">
        <v>376</v>
      </c>
      <c r="L361" s="180">
        <v>16</v>
      </c>
      <c r="M361" s="180">
        <v>29.279199999999999</v>
      </c>
      <c r="N361" s="182">
        <v>468.47</v>
      </c>
      <c r="O361" s="182">
        <v>51.53</v>
      </c>
    </row>
    <row r="362" spans="1:15" hidden="1" x14ac:dyDescent="0.25">
      <c r="A362" s="180" t="s">
        <v>658</v>
      </c>
      <c r="B362" s="180" t="s">
        <v>659</v>
      </c>
      <c r="D362" s="180" t="s">
        <v>849</v>
      </c>
      <c r="E362" s="181">
        <v>45419</v>
      </c>
      <c r="F362" s="180" t="s">
        <v>713</v>
      </c>
      <c r="G362" s="180" t="s">
        <v>714</v>
      </c>
      <c r="H362" s="180" t="s">
        <v>715</v>
      </c>
      <c r="I362" s="180" t="s">
        <v>716</v>
      </c>
      <c r="J362" s="180" t="s">
        <v>376</v>
      </c>
      <c r="L362" s="180">
        <v>42.25</v>
      </c>
      <c r="M362" s="180">
        <v>29.279199999999999</v>
      </c>
      <c r="N362" s="182">
        <v>1237.05</v>
      </c>
      <c r="O362" s="182">
        <v>136.08000000000001</v>
      </c>
    </row>
    <row r="363" spans="1:15" hidden="1" x14ac:dyDescent="0.25">
      <c r="A363" s="180" t="s">
        <v>658</v>
      </c>
      <c r="B363" s="180" t="s">
        <v>659</v>
      </c>
      <c r="D363" s="180" t="s">
        <v>849</v>
      </c>
      <c r="E363" s="181">
        <v>45419</v>
      </c>
      <c r="F363" s="180" t="s">
        <v>688</v>
      </c>
      <c r="G363" s="180" t="s">
        <v>689</v>
      </c>
      <c r="H363" s="180" t="s">
        <v>690</v>
      </c>
      <c r="I363" s="180" t="s">
        <v>691</v>
      </c>
      <c r="J363" s="180" t="s">
        <v>665</v>
      </c>
      <c r="L363" s="180">
        <v>12.75</v>
      </c>
      <c r="M363" s="180">
        <v>36.036000000000001</v>
      </c>
      <c r="N363" s="182">
        <v>459.46</v>
      </c>
      <c r="O363" s="182">
        <v>50.54</v>
      </c>
    </row>
    <row r="364" spans="1:15" hidden="1" x14ac:dyDescent="0.25">
      <c r="A364" s="180" t="s">
        <v>658</v>
      </c>
      <c r="B364" s="180" t="s">
        <v>659</v>
      </c>
      <c r="D364" s="180" t="s">
        <v>849</v>
      </c>
      <c r="E364" s="181">
        <v>45419</v>
      </c>
      <c r="F364" s="180" t="s">
        <v>792</v>
      </c>
      <c r="G364" s="180" t="s">
        <v>793</v>
      </c>
      <c r="H364" s="180" t="s">
        <v>698</v>
      </c>
      <c r="I364" s="180" t="s">
        <v>792</v>
      </c>
      <c r="J364" s="180" t="s">
        <v>376</v>
      </c>
      <c r="L364" s="180">
        <v>11</v>
      </c>
      <c r="M364" s="180">
        <v>36.036000000000001</v>
      </c>
      <c r="N364" s="182">
        <v>396.4</v>
      </c>
      <c r="O364" s="182">
        <v>43.6</v>
      </c>
    </row>
    <row r="365" spans="1:15" hidden="1" x14ac:dyDescent="0.25">
      <c r="A365" s="180" t="s">
        <v>658</v>
      </c>
      <c r="B365" s="180" t="s">
        <v>659</v>
      </c>
      <c r="D365" s="180" t="s">
        <v>849</v>
      </c>
      <c r="E365" s="181">
        <v>45419</v>
      </c>
      <c r="F365" s="180" t="s">
        <v>752</v>
      </c>
      <c r="G365" s="180" t="s">
        <v>753</v>
      </c>
      <c r="H365" s="180" t="s">
        <v>754</v>
      </c>
      <c r="I365" s="180" t="s">
        <v>752</v>
      </c>
      <c r="J365" s="180" t="s">
        <v>376</v>
      </c>
      <c r="L365" s="180">
        <v>20</v>
      </c>
      <c r="M365" s="180">
        <v>29.279299999999999</v>
      </c>
      <c r="N365" s="182">
        <v>585.59</v>
      </c>
      <c r="O365" s="182">
        <v>64.41</v>
      </c>
    </row>
    <row r="366" spans="1:15" x14ac:dyDescent="0.25">
      <c r="A366" s="180" t="s">
        <v>658</v>
      </c>
      <c r="B366" s="180" t="s">
        <v>659</v>
      </c>
      <c r="D366" s="180" t="s">
        <v>849</v>
      </c>
      <c r="E366" s="181">
        <v>45419</v>
      </c>
      <c r="F366" s="180" t="s">
        <v>692</v>
      </c>
      <c r="G366" s="180" t="s">
        <v>693</v>
      </c>
      <c r="H366" s="180" t="s">
        <v>694</v>
      </c>
      <c r="I366" s="180" t="s">
        <v>692</v>
      </c>
      <c r="J366" s="180" t="s">
        <v>695</v>
      </c>
      <c r="L366" s="180">
        <v>9</v>
      </c>
      <c r="M366" s="180">
        <v>40.540500000000002</v>
      </c>
      <c r="N366" s="182">
        <v>364.86</v>
      </c>
      <c r="O366" s="182">
        <v>40.14</v>
      </c>
    </row>
    <row r="367" spans="1:15" hidden="1" x14ac:dyDescent="0.25">
      <c r="A367" s="180" t="s">
        <v>658</v>
      </c>
      <c r="B367" s="180" t="s">
        <v>659</v>
      </c>
      <c r="D367" s="180" t="s">
        <v>849</v>
      </c>
      <c r="E367" s="181">
        <v>45419</v>
      </c>
      <c r="F367" s="180" t="s">
        <v>850</v>
      </c>
      <c r="G367" s="180" t="s">
        <v>851</v>
      </c>
      <c r="H367" s="180" t="s">
        <v>852</v>
      </c>
      <c r="I367" s="180" t="s">
        <v>850</v>
      </c>
      <c r="J367" s="180" t="s">
        <v>376</v>
      </c>
      <c r="L367" s="180">
        <v>32</v>
      </c>
      <c r="M367" s="180">
        <v>36.036000000000001</v>
      </c>
      <c r="N367" s="182">
        <v>1153.1500000000001</v>
      </c>
      <c r="O367" s="182">
        <v>126.85</v>
      </c>
    </row>
    <row r="368" spans="1:15" hidden="1" x14ac:dyDescent="0.25">
      <c r="A368" s="180" t="s">
        <v>658</v>
      </c>
      <c r="B368" s="180" t="s">
        <v>659</v>
      </c>
      <c r="D368" s="180" t="s">
        <v>849</v>
      </c>
      <c r="E368" s="181">
        <v>45419</v>
      </c>
      <c r="F368" s="180" t="s">
        <v>794</v>
      </c>
      <c r="G368" s="180" t="s">
        <v>795</v>
      </c>
      <c r="H368" s="180" t="s">
        <v>796</v>
      </c>
      <c r="I368" s="180" t="s">
        <v>794</v>
      </c>
      <c r="J368" s="180" t="s">
        <v>376</v>
      </c>
      <c r="L368" s="180">
        <v>70</v>
      </c>
      <c r="M368" s="180">
        <v>36.036000000000001</v>
      </c>
      <c r="N368" s="182">
        <v>2522.52</v>
      </c>
      <c r="O368" s="182">
        <v>277.48</v>
      </c>
    </row>
    <row r="369" spans="1:15" hidden="1" x14ac:dyDescent="0.25">
      <c r="A369" s="180" t="s">
        <v>658</v>
      </c>
      <c r="B369" s="180" t="s">
        <v>659</v>
      </c>
      <c r="D369" s="180" t="s">
        <v>849</v>
      </c>
      <c r="E369" s="181">
        <v>45419</v>
      </c>
      <c r="F369" s="180" t="s">
        <v>761</v>
      </c>
      <c r="G369" s="180" t="s">
        <v>762</v>
      </c>
      <c r="H369" s="180" t="s">
        <v>763</v>
      </c>
      <c r="J369" s="180" t="s">
        <v>376</v>
      </c>
      <c r="L369" s="180">
        <v>64</v>
      </c>
      <c r="M369" s="180">
        <v>36.936900000000001</v>
      </c>
      <c r="N369" s="182">
        <v>2363.96</v>
      </c>
      <c r="O369" s="182">
        <v>260.04000000000002</v>
      </c>
    </row>
    <row r="370" spans="1:15" hidden="1" x14ac:dyDescent="0.25">
      <c r="A370" s="180" t="s">
        <v>658</v>
      </c>
      <c r="B370" s="180" t="s">
        <v>659</v>
      </c>
      <c r="D370" s="180" t="s">
        <v>849</v>
      </c>
      <c r="E370" s="181">
        <v>45419</v>
      </c>
      <c r="F370" s="180" t="s">
        <v>723</v>
      </c>
      <c r="G370" s="180" t="s">
        <v>724</v>
      </c>
      <c r="H370" s="180" t="s">
        <v>725</v>
      </c>
      <c r="I370" s="180" t="s">
        <v>726</v>
      </c>
      <c r="J370" s="180" t="s">
        <v>376</v>
      </c>
      <c r="L370" s="180">
        <v>39</v>
      </c>
      <c r="M370" s="180">
        <v>36.036000000000001</v>
      </c>
      <c r="N370" s="182">
        <v>1405.4</v>
      </c>
      <c r="O370" s="182">
        <v>154.59</v>
      </c>
    </row>
    <row r="371" spans="1:15" hidden="1" x14ac:dyDescent="0.25">
      <c r="A371" s="180" t="s">
        <v>658</v>
      </c>
      <c r="B371" s="180" t="s">
        <v>659</v>
      </c>
      <c r="D371" s="180" t="s">
        <v>849</v>
      </c>
      <c r="E371" s="181">
        <v>45419</v>
      </c>
      <c r="F371" s="180" t="s">
        <v>764</v>
      </c>
      <c r="G371" s="180" t="s">
        <v>765</v>
      </c>
      <c r="H371" s="180" t="s">
        <v>766</v>
      </c>
      <c r="J371" s="180" t="s">
        <v>376</v>
      </c>
      <c r="L371" s="180">
        <v>8</v>
      </c>
      <c r="M371" s="180">
        <v>29.279199999999999</v>
      </c>
      <c r="N371" s="182">
        <v>234.23</v>
      </c>
      <c r="O371" s="182">
        <v>25.77</v>
      </c>
    </row>
    <row r="372" spans="1:15" hidden="1" x14ac:dyDescent="0.25">
      <c r="A372" s="180" t="s">
        <v>658</v>
      </c>
      <c r="B372" s="180" t="s">
        <v>659</v>
      </c>
      <c r="D372" s="180" t="s">
        <v>849</v>
      </c>
      <c r="E372" s="181">
        <v>45419</v>
      </c>
      <c r="F372" s="180" t="s">
        <v>703</v>
      </c>
      <c r="G372" s="180" t="s">
        <v>704</v>
      </c>
      <c r="H372" s="180" t="s">
        <v>705</v>
      </c>
      <c r="I372" s="180" t="s">
        <v>706</v>
      </c>
      <c r="J372" s="180" t="s">
        <v>376</v>
      </c>
      <c r="L372" s="180">
        <v>16</v>
      </c>
      <c r="M372" s="180">
        <v>29.279199999999999</v>
      </c>
      <c r="N372" s="182">
        <v>468.47</v>
      </c>
      <c r="O372" s="182">
        <v>51.53</v>
      </c>
    </row>
    <row r="373" spans="1:15" hidden="1" x14ac:dyDescent="0.25">
      <c r="A373" s="180" t="s">
        <v>658</v>
      </c>
      <c r="B373" s="180" t="s">
        <v>659</v>
      </c>
      <c r="D373" s="180" t="s">
        <v>853</v>
      </c>
      <c r="E373" s="181">
        <v>45461</v>
      </c>
      <c r="F373" s="180" t="s">
        <v>732</v>
      </c>
      <c r="G373" s="180" t="s">
        <v>733</v>
      </c>
      <c r="H373" s="180" t="s">
        <v>734</v>
      </c>
      <c r="I373" s="180" t="s">
        <v>735</v>
      </c>
      <c r="J373" s="180" t="s">
        <v>376</v>
      </c>
      <c r="L373" s="180">
        <v>16</v>
      </c>
      <c r="M373" s="180">
        <v>39.639600000000002</v>
      </c>
      <c r="N373" s="182">
        <v>634.23</v>
      </c>
      <c r="O373" s="182">
        <v>69.77</v>
      </c>
    </row>
    <row r="374" spans="1:15" hidden="1" x14ac:dyDescent="0.25">
      <c r="A374" s="180" t="s">
        <v>658</v>
      </c>
      <c r="B374" s="180" t="s">
        <v>659</v>
      </c>
      <c r="D374" s="180" t="s">
        <v>853</v>
      </c>
      <c r="E374" s="181">
        <v>45461</v>
      </c>
      <c r="F374" s="180" t="s">
        <v>669</v>
      </c>
      <c r="G374" s="180" t="s">
        <v>670</v>
      </c>
      <c r="H374" s="180" t="s">
        <v>671</v>
      </c>
      <c r="I374" s="180" t="s">
        <v>669</v>
      </c>
      <c r="J374" s="180" t="s">
        <v>376</v>
      </c>
      <c r="L374" s="180">
        <v>22.75</v>
      </c>
      <c r="M374" s="180">
        <v>36.036000000000001</v>
      </c>
      <c r="N374" s="182">
        <v>819.82</v>
      </c>
      <c r="O374" s="182">
        <v>90.18</v>
      </c>
    </row>
    <row r="375" spans="1:15" hidden="1" x14ac:dyDescent="0.25">
      <c r="A375" s="180" t="s">
        <v>658</v>
      </c>
      <c r="B375" s="180" t="s">
        <v>659</v>
      </c>
      <c r="D375" s="180" t="s">
        <v>853</v>
      </c>
      <c r="E375" s="181">
        <v>45461</v>
      </c>
      <c r="F375" s="180" t="s">
        <v>739</v>
      </c>
      <c r="G375" s="180" t="s">
        <v>740</v>
      </c>
      <c r="H375" s="180" t="s">
        <v>741</v>
      </c>
      <c r="I375" s="180" t="s">
        <v>739</v>
      </c>
      <c r="J375" s="180" t="s">
        <v>376</v>
      </c>
      <c r="L375" s="180">
        <v>24</v>
      </c>
      <c r="M375" s="180">
        <v>36.036000000000001</v>
      </c>
      <c r="N375" s="182">
        <v>864.86</v>
      </c>
      <c r="O375" s="182">
        <v>95.14</v>
      </c>
    </row>
    <row r="376" spans="1:15" hidden="1" x14ac:dyDescent="0.25">
      <c r="A376" s="180" t="s">
        <v>658</v>
      </c>
      <c r="B376" s="180" t="s">
        <v>659</v>
      </c>
      <c r="D376" s="180" t="s">
        <v>853</v>
      </c>
      <c r="E376" s="181">
        <v>45461</v>
      </c>
      <c r="F376" s="180" t="s">
        <v>672</v>
      </c>
      <c r="G376" s="180" t="s">
        <v>673</v>
      </c>
      <c r="H376" s="180" t="s">
        <v>674</v>
      </c>
      <c r="I376" s="180" t="s">
        <v>672</v>
      </c>
      <c r="J376" s="180" t="s">
        <v>376</v>
      </c>
      <c r="L376" s="180">
        <v>20.25</v>
      </c>
      <c r="M376" s="180">
        <v>29.279199999999999</v>
      </c>
      <c r="N376" s="182">
        <v>592.9</v>
      </c>
      <c r="O376" s="182">
        <v>65.22</v>
      </c>
    </row>
    <row r="377" spans="1:15" hidden="1" x14ac:dyDescent="0.25">
      <c r="A377" s="180" t="s">
        <v>658</v>
      </c>
      <c r="B377" s="180" t="s">
        <v>659</v>
      </c>
      <c r="D377" s="180" t="s">
        <v>853</v>
      </c>
      <c r="E377" s="181">
        <v>45461</v>
      </c>
      <c r="F377" s="180" t="s">
        <v>713</v>
      </c>
      <c r="G377" s="180" t="s">
        <v>714</v>
      </c>
      <c r="H377" s="180" t="s">
        <v>715</v>
      </c>
      <c r="I377" s="180" t="s">
        <v>716</v>
      </c>
      <c r="J377" s="180" t="s">
        <v>376</v>
      </c>
      <c r="L377" s="180">
        <v>28.5</v>
      </c>
      <c r="M377" s="180">
        <v>29.279199999999999</v>
      </c>
      <c r="N377" s="182">
        <v>834.46</v>
      </c>
      <c r="O377" s="182">
        <v>91.79</v>
      </c>
    </row>
    <row r="378" spans="1:15" hidden="1" x14ac:dyDescent="0.25">
      <c r="A378" s="180" t="s">
        <v>658</v>
      </c>
      <c r="B378" s="180" t="s">
        <v>659</v>
      </c>
      <c r="D378" s="180" t="s">
        <v>853</v>
      </c>
      <c r="E378" s="181">
        <v>45461</v>
      </c>
      <c r="F378" s="180" t="s">
        <v>688</v>
      </c>
      <c r="G378" s="180" t="s">
        <v>689</v>
      </c>
      <c r="H378" s="180" t="s">
        <v>690</v>
      </c>
      <c r="I378" s="180" t="s">
        <v>691</v>
      </c>
      <c r="J378" s="180" t="s">
        <v>665</v>
      </c>
      <c r="L378" s="180">
        <v>16.25</v>
      </c>
      <c r="M378" s="180">
        <v>36.036000000000001</v>
      </c>
      <c r="N378" s="182">
        <v>585.58000000000004</v>
      </c>
      <c r="O378" s="182">
        <v>64.41</v>
      </c>
    </row>
    <row r="379" spans="1:15" hidden="1" x14ac:dyDescent="0.25">
      <c r="A379" s="180" t="s">
        <v>658</v>
      </c>
      <c r="B379" s="180" t="s">
        <v>659</v>
      </c>
      <c r="D379" s="180" t="s">
        <v>853</v>
      </c>
      <c r="E379" s="181">
        <v>45461</v>
      </c>
      <c r="F379" s="180" t="s">
        <v>752</v>
      </c>
      <c r="G379" s="180" t="s">
        <v>753</v>
      </c>
      <c r="H379" s="180" t="s">
        <v>754</v>
      </c>
      <c r="I379" s="180" t="s">
        <v>752</v>
      </c>
      <c r="J379" s="180" t="s">
        <v>376</v>
      </c>
      <c r="L379" s="180">
        <v>24</v>
      </c>
      <c r="M379" s="180">
        <v>29.279299999999999</v>
      </c>
      <c r="N379" s="182">
        <v>702.7</v>
      </c>
      <c r="O379" s="182">
        <v>77.3</v>
      </c>
    </row>
    <row r="380" spans="1:15" hidden="1" x14ac:dyDescent="0.25">
      <c r="A380" s="180" t="s">
        <v>658</v>
      </c>
      <c r="B380" s="180" t="s">
        <v>659</v>
      </c>
      <c r="D380" s="180" t="s">
        <v>853</v>
      </c>
      <c r="E380" s="181">
        <v>45461</v>
      </c>
      <c r="F380" s="180" t="s">
        <v>794</v>
      </c>
      <c r="G380" s="180" t="s">
        <v>795</v>
      </c>
      <c r="H380" s="180" t="s">
        <v>796</v>
      </c>
      <c r="I380" s="180" t="s">
        <v>794</v>
      </c>
      <c r="J380" s="180" t="s">
        <v>376</v>
      </c>
      <c r="L380" s="180">
        <v>72</v>
      </c>
      <c r="M380" s="180">
        <v>36.036000000000001</v>
      </c>
      <c r="N380" s="182">
        <v>2594.59</v>
      </c>
      <c r="O380" s="182">
        <v>285.41000000000003</v>
      </c>
    </row>
    <row r="381" spans="1:15" hidden="1" x14ac:dyDescent="0.25">
      <c r="A381" s="180" t="s">
        <v>658</v>
      </c>
      <c r="B381" s="180" t="s">
        <v>659</v>
      </c>
      <c r="D381" s="180" t="s">
        <v>853</v>
      </c>
      <c r="E381" s="181">
        <v>45461</v>
      </c>
      <c r="F381" s="180" t="s">
        <v>764</v>
      </c>
      <c r="G381" s="180" t="s">
        <v>765</v>
      </c>
      <c r="H381" s="180" t="s">
        <v>766</v>
      </c>
      <c r="J381" s="180" t="s">
        <v>376</v>
      </c>
      <c r="L381" s="180">
        <v>20</v>
      </c>
      <c r="M381" s="180">
        <v>29.279199999999999</v>
      </c>
      <c r="N381" s="182">
        <v>585.58000000000004</v>
      </c>
      <c r="O381" s="182">
        <v>64.41</v>
      </c>
    </row>
    <row r="382" spans="1:15" hidden="1" x14ac:dyDescent="0.25">
      <c r="A382" s="180" t="s">
        <v>658</v>
      </c>
      <c r="B382" s="180" t="s">
        <v>659</v>
      </c>
      <c r="D382" s="180" t="s">
        <v>853</v>
      </c>
      <c r="E382" s="181">
        <v>45461</v>
      </c>
      <c r="F382" s="180" t="s">
        <v>767</v>
      </c>
      <c r="G382" s="180" t="s">
        <v>768</v>
      </c>
      <c r="H382" s="180" t="s">
        <v>769</v>
      </c>
      <c r="I382" s="180" t="s">
        <v>767</v>
      </c>
      <c r="J382" s="180" t="s">
        <v>376</v>
      </c>
      <c r="L382" s="180">
        <v>28.25</v>
      </c>
      <c r="M382" s="180">
        <v>31.531500000000001</v>
      </c>
      <c r="N382" s="182">
        <v>890.76</v>
      </c>
      <c r="O382" s="182">
        <v>97.98</v>
      </c>
    </row>
    <row r="383" spans="1:15" hidden="1" x14ac:dyDescent="0.25">
      <c r="A383" s="180" t="s">
        <v>658</v>
      </c>
      <c r="B383" s="180" t="s">
        <v>659</v>
      </c>
      <c r="D383" s="180" t="s">
        <v>853</v>
      </c>
      <c r="E383" s="181">
        <v>45461</v>
      </c>
      <c r="F383" s="180" t="s">
        <v>703</v>
      </c>
      <c r="G383" s="180" t="s">
        <v>704</v>
      </c>
      <c r="H383" s="180" t="s">
        <v>705</v>
      </c>
      <c r="I383" s="180" t="s">
        <v>706</v>
      </c>
      <c r="J383" s="180" t="s">
        <v>376</v>
      </c>
      <c r="L383" s="180">
        <v>16</v>
      </c>
      <c r="M383" s="180">
        <v>29.279199999999999</v>
      </c>
      <c r="N383" s="182">
        <v>468.47</v>
      </c>
      <c r="O383" s="182">
        <v>51.53</v>
      </c>
    </row>
    <row r="384" spans="1:15" hidden="1" x14ac:dyDescent="0.25">
      <c r="A384" s="180" t="s">
        <v>658</v>
      </c>
      <c r="B384" s="180" t="s">
        <v>659</v>
      </c>
      <c r="D384" s="180" t="s">
        <v>854</v>
      </c>
      <c r="E384" s="181">
        <v>45436</v>
      </c>
      <c r="F384" s="180" t="s">
        <v>840</v>
      </c>
      <c r="G384" s="180" t="s">
        <v>841</v>
      </c>
      <c r="H384" s="180" t="s">
        <v>842</v>
      </c>
      <c r="J384" s="180" t="s">
        <v>376</v>
      </c>
      <c r="L384" s="180">
        <v>8</v>
      </c>
      <c r="M384" s="180">
        <v>29.729700000000001</v>
      </c>
      <c r="N384" s="182">
        <v>237.84</v>
      </c>
      <c r="O384" s="182">
        <v>26.16</v>
      </c>
    </row>
    <row r="385" spans="1:15" hidden="1" x14ac:dyDescent="0.25">
      <c r="A385" s="180" t="s">
        <v>658</v>
      </c>
      <c r="B385" s="180" t="s">
        <v>659</v>
      </c>
      <c r="D385" s="180" t="s">
        <v>854</v>
      </c>
      <c r="E385" s="181">
        <v>45436</v>
      </c>
      <c r="F385" s="180" t="s">
        <v>803</v>
      </c>
      <c r="G385" s="180" t="s">
        <v>804</v>
      </c>
      <c r="H385" s="180" t="s">
        <v>805</v>
      </c>
      <c r="J385" s="180" t="s">
        <v>376</v>
      </c>
      <c r="L385" s="180">
        <v>6</v>
      </c>
      <c r="M385" s="180">
        <v>31.531500000000001</v>
      </c>
      <c r="N385" s="182">
        <v>189.19</v>
      </c>
      <c r="O385" s="182">
        <v>20.81</v>
      </c>
    </row>
    <row r="386" spans="1:15" hidden="1" x14ac:dyDescent="0.25">
      <c r="A386" s="180" t="s">
        <v>658</v>
      </c>
      <c r="B386" s="180" t="s">
        <v>659</v>
      </c>
      <c r="D386" s="180" t="s">
        <v>854</v>
      </c>
      <c r="E386" s="181">
        <v>45436</v>
      </c>
      <c r="F386" s="180" t="s">
        <v>764</v>
      </c>
      <c r="G386" s="180" t="s">
        <v>765</v>
      </c>
      <c r="H386" s="180" t="s">
        <v>766</v>
      </c>
      <c r="J386" s="180" t="s">
        <v>376</v>
      </c>
      <c r="L386" s="180">
        <v>8.5</v>
      </c>
      <c r="M386" s="180">
        <v>29.279199999999999</v>
      </c>
      <c r="N386" s="182">
        <v>248.87</v>
      </c>
      <c r="O386" s="182">
        <v>27.38</v>
      </c>
    </row>
    <row r="387" spans="1:15" x14ac:dyDescent="0.25">
      <c r="A387" s="180" t="s">
        <v>658</v>
      </c>
      <c r="B387" s="180" t="s">
        <v>659</v>
      </c>
      <c r="D387" s="180" t="s">
        <v>855</v>
      </c>
      <c r="E387" s="181">
        <v>45238</v>
      </c>
      <c r="F387" s="180" t="s">
        <v>767</v>
      </c>
      <c r="G387" s="180" t="s">
        <v>768</v>
      </c>
      <c r="H387" s="180" t="s">
        <v>769</v>
      </c>
      <c r="I387" s="180" t="s">
        <v>767</v>
      </c>
      <c r="J387" s="180" t="s">
        <v>712</v>
      </c>
      <c r="L387" s="180">
        <v>15</v>
      </c>
      <c r="M387" s="180">
        <v>31.531500000000001</v>
      </c>
      <c r="N387" s="182">
        <v>472.97</v>
      </c>
      <c r="O387" s="182">
        <v>52.03</v>
      </c>
    </row>
    <row r="388" spans="1:15" x14ac:dyDescent="0.25">
      <c r="A388" s="180" t="s">
        <v>856</v>
      </c>
      <c r="B388" s="180" t="s">
        <v>857</v>
      </c>
      <c r="D388" s="180" t="s">
        <v>824</v>
      </c>
      <c r="E388" s="181">
        <v>45223</v>
      </c>
      <c r="F388" s="180" t="s">
        <v>858</v>
      </c>
      <c r="G388" s="180" t="s">
        <v>859</v>
      </c>
      <c r="H388" s="180" t="s">
        <v>860</v>
      </c>
      <c r="I388" s="180" t="s">
        <v>861</v>
      </c>
      <c r="J388" s="180" t="s">
        <v>712</v>
      </c>
      <c r="L388" s="180">
        <v>5.5</v>
      </c>
      <c r="M388" s="180">
        <v>76.013599999999997</v>
      </c>
      <c r="N388" s="182">
        <v>418.07</v>
      </c>
      <c r="O388" s="182">
        <v>45.99</v>
      </c>
    </row>
    <row r="389" spans="1:15" x14ac:dyDescent="0.25">
      <c r="A389" s="180" t="s">
        <v>856</v>
      </c>
      <c r="B389" s="180" t="s">
        <v>857</v>
      </c>
      <c r="D389" s="180" t="s">
        <v>824</v>
      </c>
      <c r="E389" s="181">
        <v>45223</v>
      </c>
      <c r="F389" s="180" t="s">
        <v>862</v>
      </c>
      <c r="G389" s="180" t="s">
        <v>804</v>
      </c>
      <c r="H389" s="180" t="s">
        <v>863</v>
      </c>
      <c r="I389" s="180" t="s">
        <v>864</v>
      </c>
      <c r="J389" s="180" t="s">
        <v>712</v>
      </c>
      <c r="L389" s="180">
        <v>7</v>
      </c>
      <c r="M389" s="180">
        <v>61.720399999999998</v>
      </c>
      <c r="N389" s="182">
        <v>432.04</v>
      </c>
      <c r="O389" s="182">
        <v>47.52</v>
      </c>
    </row>
    <row r="390" spans="1:15" x14ac:dyDescent="0.25">
      <c r="A390" s="180" t="s">
        <v>856</v>
      </c>
      <c r="B390" s="180" t="s">
        <v>857</v>
      </c>
      <c r="D390" s="180" t="s">
        <v>824</v>
      </c>
      <c r="E390" s="181">
        <v>45223</v>
      </c>
      <c r="F390" s="180" t="s">
        <v>865</v>
      </c>
      <c r="G390" s="180" t="s">
        <v>753</v>
      </c>
      <c r="H390" s="180" t="s">
        <v>866</v>
      </c>
      <c r="I390" s="180" t="s">
        <v>867</v>
      </c>
      <c r="J390" s="180" t="s">
        <v>712</v>
      </c>
      <c r="L390" s="180">
        <v>9</v>
      </c>
      <c r="M390" s="180">
        <v>75.039000000000001</v>
      </c>
      <c r="N390" s="182">
        <v>675.35</v>
      </c>
      <c r="O390" s="182">
        <v>74.31</v>
      </c>
    </row>
    <row r="391" spans="1:15" ht="15.75" hidden="1" thickBot="1" x14ac:dyDescent="0.3">
      <c r="A391" s="183" t="s">
        <v>868</v>
      </c>
      <c r="B391" s="183"/>
      <c r="C391" s="183"/>
      <c r="D391" s="183"/>
      <c r="E391" s="183"/>
      <c r="F391" s="183"/>
      <c r="G391" s="183"/>
      <c r="H391" s="183"/>
      <c r="I391" s="183"/>
      <c r="J391" s="183"/>
      <c r="K391" s="183"/>
      <c r="L391" s="183"/>
      <c r="M391" s="183"/>
      <c r="N391" s="184">
        <f>SUM(N2:N390)</f>
        <v>316096.20000000007</v>
      </c>
      <c r="O391" s="184">
        <f>SUM(O2:O390)</f>
        <v>34742.570000000014</v>
      </c>
    </row>
  </sheetData>
  <autoFilter ref="A1:O391" xr:uid="{00000000-0001-0000-0000-000000000000}">
    <filterColumn colId="9">
      <filters>
        <filter val="CONSULTING"/>
        <filter val="PRODUCTION"/>
        <filter val="VIDEO"/>
      </filters>
    </filterColumn>
  </autoFilter>
  <pageMargins left="0.75" right="0.75" top="0.75" bottom="0.5" header="0.5" footer="0.7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0D219-1804-42FA-BDB0-23B18A2E6DF7}">
  <sheetPr codeName="Sheet20"/>
  <dimension ref="G16:V36"/>
  <sheetViews>
    <sheetView topLeftCell="E1" zoomScale="130" zoomScaleNormal="130" workbookViewId="0">
      <selection activeCell="I9" sqref="I9"/>
    </sheetView>
  </sheetViews>
  <sheetFormatPr defaultRowHeight="12.75" x14ac:dyDescent="0.2"/>
  <cols>
    <col min="8" max="8" width="28.7109375" bestFit="1" customWidth="1"/>
    <col min="9" max="9" width="11.28515625" style="6" bestFit="1" customWidth="1"/>
    <col min="10" max="10" width="13.85546875" bestFit="1" customWidth="1"/>
    <col min="11" max="11" width="16" bestFit="1" customWidth="1"/>
    <col min="12" max="12" width="28.7109375" bestFit="1" customWidth="1"/>
    <col min="13" max="13" width="11.28515625" style="6" bestFit="1" customWidth="1"/>
    <col min="16" max="16" width="10.85546875" bestFit="1" customWidth="1"/>
    <col min="17" max="17" width="12.42578125" bestFit="1" customWidth="1"/>
    <col min="19" max="19" width="10.140625" bestFit="1" customWidth="1"/>
    <col min="20" max="20" width="11.28515625" bestFit="1" customWidth="1"/>
    <col min="21" max="21" width="20" bestFit="1" customWidth="1"/>
    <col min="22" max="22" width="10.42578125" bestFit="1" customWidth="1"/>
  </cols>
  <sheetData>
    <row r="16" spans="19:20" x14ac:dyDescent="0.2">
      <c r="S16" s="11"/>
      <c r="T16" s="11"/>
    </row>
    <row r="17" spans="7:22" x14ac:dyDescent="0.2">
      <c r="G17" t="s">
        <v>1108</v>
      </c>
      <c r="H17" s="614" t="s">
        <v>1181</v>
      </c>
      <c r="I17" s="6">
        <v>334.46</v>
      </c>
      <c r="K17" t="s">
        <v>1182</v>
      </c>
      <c r="L17" s="614" t="s">
        <v>1181</v>
      </c>
      <c r="M17" s="6">
        <v>382.64</v>
      </c>
    </row>
    <row r="18" spans="7:22" x14ac:dyDescent="0.2">
      <c r="H18" s="614" t="s">
        <v>1183</v>
      </c>
      <c r="I18" s="6">
        <v>301.27</v>
      </c>
      <c r="K18" s="1"/>
      <c r="L18" s="614" t="s">
        <v>1183</v>
      </c>
      <c r="M18" s="6">
        <v>310.27</v>
      </c>
      <c r="S18" s="2" t="s">
        <v>1089</v>
      </c>
      <c r="T18" s="2" t="s">
        <v>1091</v>
      </c>
      <c r="U18" s="2" t="s">
        <v>1092</v>
      </c>
    </row>
    <row r="19" spans="7:22" ht="15" x14ac:dyDescent="0.25">
      <c r="H19" t="s">
        <v>1184</v>
      </c>
      <c r="I19" s="6">
        <v>22711.73</v>
      </c>
      <c r="L19" t="s">
        <v>1184</v>
      </c>
      <c r="M19" s="6">
        <f t="shared" ref="M19" si="0">I19*1.0375</f>
        <v>23563.419875000003</v>
      </c>
      <c r="P19" s="547" t="s">
        <v>172</v>
      </c>
      <c r="Q19" s="197">
        <v>1.7899999999999999E-2</v>
      </c>
      <c r="S19" s="87">
        <f>($M$17+$M$18)*Q19</f>
        <v>12.403089</v>
      </c>
      <c r="T19" s="87"/>
      <c r="U19" s="87">
        <f>SUM($M$19:$M$21)*Q19</f>
        <v>444.46684276249999</v>
      </c>
      <c r="V19" s="615">
        <f>SUM(S19:U19)</f>
        <v>456.86993176250002</v>
      </c>
    </row>
    <row r="20" spans="7:22" ht="15" x14ac:dyDescent="0.25">
      <c r="H20" s="614" t="s">
        <v>1185</v>
      </c>
      <c r="I20" s="6">
        <v>4663.32</v>
      </c>
      <c r="L20" s="614" t="s">
        <v>1185</v>
      </c>
      <c r="M20" s="6">
        <v>4894.76</v>
      </c>
      <c r="P20" s="548" t="s">
        <v>6</v>
      </c>
      <c r="Q20" s="197">
        <v>0.875</v>
      </c>
      <c r="S20" s="87">
        <f>($M$17+$M$18)*Q20</f>
        <v>606.29624999999999</v>
      </c>
      <c r="T20" s="87">
        <f>M22</f>
        <v>745.41262500000005</v>
      </c>
      <c r="U20" s="87">
        <f>SUM($M$19:$M$21)*Q20</f>
        <v>21726.731140625001</v>
      </c>
      <c r="V20" s="615">
        <f>SUM(S20:U20)</f>
        <v>23078.440015625001</v>
      </c>
    </row>
    <row r="21" spans="7:22" ht="15" x14ac:dyDescent="0.25">
      <c r="H21" s="614" t="s">
        <v>1186</v>
      </c>
      <c r="I21" s="6">
        <v>-3627.63</v>
      </c>
      <c r="L21" s="614" t="s">
        <v>1186</v>
      </c>
      <c r="M21" s="6">
        <v>-3627.63</v>
      </c>
      <c r="N21" t="s">
        <v>1358</v>
      </c>
      <c r="P21" s="548" t="s">
        <v>528</v>
      </c>
      <c r="Q21" s="197">
        <v>7.1300000000000002E-2</v>
      </c>
      <c r="S21" s="87">
        <f>($M$17+$M$18)*Q21</f>
        <v>49.404482999999999</v>
      </c>
      <c r="T21" s="87"/>
      <c r="U21" s="87">
        <f>SUM($M$19:$M$21)*Q21</f>
        <v>1770.4182060875</v>
      </c>
      <c r="V21" s="615">
        <f t="shared" ref="V21:V23" si="1">SUM(S21:U21)</f>
        <v>1819.8226890875001</v>
      </c>
    </row>
    <row r="22" spans="7:22" ht="15" x14ac:dyDescent="0.25">
      <c r="H22" t="s">
        <v>1187</v>
      </c>
      <c r="I22" s="6">
        <v>718.47</v>
      </c>
      <c r="L22" t="s">
        <v>1187</v>
      </c>
      <c r="M22" s="6">
        <f>I22*1.0375</f>
        <v>745.41262500000005</v>
      </c>
      <c r="P22" s="549" t="s">
        <v>5</v>
      </c>
      <c r="Q22" s="197">
        <v>1.7899999999999999E-2</v>
      </c>
      <c r="S22" s="87">
        <f>($M$17+$M$18)*Q22</f>
        <v>12.403089</v>
      </c>
      <c r="T22" s="87"/>
      <c r="U22" s="87">
        <f>SUM($M$19:$M$21)*Q22</f>
        <v>444.46684276249999</v>
      </c>
      <c r="V22" s="615">
        <f t="shared" si="1"/>
        <v>456.86993176250002</v>
      </c>
    </row>
    <row r="23" spans="7:22" ht="15" x14ac:dyDescent="0.25">
      <c r="I23" s="6">
        <v>25101.62</v>
      </c>
      <c r="M23" s="6">
        <f>SUM(M17:M22)</f>
        <v>26268.872500000005</v>
      </c>
      <c r="P23" s="549" t="s">
        <v>187</v>
      </c>
      <c r="Q23" s="197">
        <v>1.7899999999999999E-2</v>
      </c>
      <c r="S23" s="87">
        <f>($M$17+$M$18)*Q23</f>
        <v>12.403089</v>
      </c>
      <c r="T23" s="87"/>
      <c r="U23" s="87">
        <f>SUM($M$19:$M$21)*Q23</f>
        <v>444.46684276249999</v>
      </c>
      <c r="V23" s="615">
        <f t="shared" si="1"/>
        <v>456.86993176250002</v>
      </c>
    </row>
    <row r="26" spans="7:22" x14ac:dyDescent="0.2">
      <c r="U26" s="615">
        <f>SUM(S19:U23)</f>
        <v>26268.872499999998</v>
      </c>
    </row>
    <row r="30" spans="7:22" ht="15" x14ac:dyDescent="0.25">
      <c r="P30" s="685" t="s">
        <v>1347</v>
      </c>
      <c r="Q30" s="686">
        <v>5</v>
      </c>
      <c r="R30" s="687">
        <f>Q30/Q$36</f>
        <v>0.35714285714285715</v>
      </c>
      <c r="S30" s="687"/>
      <c r="T30" s="688"/>
    </row>
    <row r="31" spans="7:22" ht="15" x14ac:dyDescent="0.25">
      <c r="P31" s="547" t="s">
        <v>172</v>
      </c>
      <c r="Q31" s="686">
        <v>1</v>
      </c>
      <c r="R31" s="687">
        <f t="shared" ref="R31:R35" si="2">Q31/Q$36</f>
        <v>7.1428571428571425E-2</v>
      </c>
      <c r="S31" s="689">
        <f>R31+R30/3</f>
        <v>0.19047619047619047</v>
      </c>
      <c r="U31" s="690"/>
    </row>
    <row r="32" spans="7:22" ht="15" x14ac:dyDescent="0.25">
      <c r="P32" s="548" t="s">
        <v>6</v>
      </c>
      <c r="Q32" s="686">
        <v>5</v>
      </c>
      <c r="R32" s="687">
        <f t="shared" si="2"/>
        <v>0.35714285714285715</v>
      </c>
      <c r="S32" s="689"/>
      <c r="T32" s="693"/>
    </row>
    <row r="33" spans="16:20" ht="15" x14ac:dyDescent="0.25">
      <c r="P33" s="548" t="s">
        <v>528</v>
      </c>
      <c r="Q33" s="686">
        <v>1</v>
      </c>
      <c r="R33" s="687">
        <f t="shared" si="2"/>
        <v>7.1428571428571425E-2</v>
      </c>
      <c r="S33" s="689"/>
      <c r="T33" s="693"/>
    </row>
    <row r="34" spans="16:20" ht="15" x14ac:dyDescent="0.25">
      <c r="P34" s="549" t="s">
        <v>5</v>
      </c>
      <c r="Q34" s="686">
        <v>1</v>
      </c>
      <c r="R34" s="687">
        <f t="shared" si="2"/>
        <v>7.1428571428571425E-2</v>
      </c>
      <c r="S34" s="689"/>
      <c r="T34" s="693"/>
    </row>
    <row r="35" spans="16:20" ht="15" x14ac:dyDescent="0.25">
      <c r="P35" s="549" t="s">
        <v>187</v>
      </c>
      <c r="Q35" s="686">
        <v>1</v>
      </c>
      <c r="R35" s="687">
        <f t="shared" si="2"/>
        <v>7.1428571428571425E-2</v>
      </c>
      <c r="S35" s="689"/>
      <c r="T35" s="686"/>
    </row>
    <row r="36" spans="16:20" x14ac:dyDescent="0.2">
      <c r="Q36" s="691">
        <f>SUM(Q30:Q35)</f>
        <v>14</v>
      </c>
      <c r="R36" s="692">
        <f>SUM(R30:R35)</f>
        <v>1</v>
      </c>
      <c r="S36" s="692">
        <f>SUM(S30:S35)</f>
        <v>0.19047619047619047</v>
      </c>
      <c r="T36" s="68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D8E4D2559E924A87A79F54B9BAD5BE" ma:contentTypeVersion="16" ma:contentTypeDescription="Create a new document." ma:contentTypeScope="" ma:versionID="ba53b6c843234409b40c8f59a9b7c6b9">
  <xsd:schema xmlns:xsd="http://www.w3.org/2001/XMLSchema" xmlns:xs="http://www.w3.org/2001/XMLSchema" xmlns:p="http://schemas.microsoft.com/office/2006/metadata/properties" xmlns:ns2="3a6658fd-f367-467d-85f1-98b3d34a9a42" xmlns:ns3="1a8adb4b-2ec4-4c17-a363-a3f920aacb8a" targetNamespace="http://schemas.microsoft.com/office/2006/metadata/properties" ma:root="true" ma:fieldsID="00f5d55f7ac0385ca13a055e2e5b8cec" ns2:_="" ns3:_="">
    <xsd:import namespace="3a6658fd-f367-467d-85f1-98b3d34a9a42"/>
    <xsd:import namespace="1a8adb4b-2ec4-4c17-a363-a3f920aacb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6658fd-f367-467d-85f1-98b3d34a9a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8cf84ce-b2ab-4159-a03e-ca606f13e1b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8adb4b-2ec4-4c17-a363-a3f920aacb8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1642b46-bdf7-49d6-b716-f7a6fda9bc69}" ma:internalName="TaxCatchAll" ma:showField="CatchAllData" ma:web="1a8adb4b-2ec4-4c17-a363-a3f920aacb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a8adb4b-2ec4-4c17-a363-a3f920aacb8a" xsi:nil="true"/>
    <lcf76f155ced4ddcb4097134ff3c332f xmlns="3a6658fd-f367-467d-85f1-98b3d34a9a4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F7789BA-A6DE-462D-AA32-7B5F5B21DC6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CC620E6-2B2E-4F50-8640-0D05D1D166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a6658fd-f367-467d-85f1-98b3d34a9a42"/>
    <ds:schemaRef ds:uri="1a8adb4b-2ec4-4c17-a363-a3f920aacb8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2D0B834-D356-4421-88AF-50DC0196EBF3}">
  <ds:schemaRefs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purl.org/dc/dcmitype/"/>
    <ds:schemaRef ds:uri="1a8adb4b-2ec4-4c17-a363-a3f920aacb8a"/>
    <ds:schemaRef ds:uri="3a6658fd-f367-467d-85f1-98b3d34a9a42"/>
    <ds:schemaRef ds:uri="http://schemas.microsoft.com/office/2006/documentManagement/type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1</vt:i4>
      </vt:variant>
    </vt:vector>
  </HeadingPairs>
  <TitlesOfParts>
    <vt:vector size="22" baseType="lpstr">
      <vt:lpstr>FY25 Forecast summary - Main</vt:lpstr>
      <vt:lpstr>Sheet1</vt:lpstr>
      <vt:lpstr>TO DO</vt:lpstr>
      <vt:lpstr>FY27 Budget - Actuals</vt:lpstr>
      <vt:lpstr>FY27 Budget</vt:lpstr>
      <vt:lpstr>FY27 Budget - detailed</vt:lpstr>
      <vt:lpstr>CTS Overheads</vt:lpstr>
      <vt:lpstr>Sheet2</vt:lpstr>
      <vt:lpstr>CONS</vt:lpstr>
      <vt:lpstr>CONS Fixed Costs</vt:lpstr>
      <vt:lpstr>CONS Sales Forecast</vt:lpstr>
      <vt:lpstr>ONS</vt:lpstr>
      <vt:lpstr>ONS Fixed Costs</vt:lpstr>
      <vt:lpstr>ONS Sales Forecast</vt:lpstr>
      <vt:lpstr>PRD</vt:lpstr>
      <vt:lpstr>PRD Fixed Costs</vt:lpstr>
      <vt:lpstr>PRD Sales Forecast</vt:lpstr>
      <vt:lpstr>Casual Pays FY26</vt:lpstr>
      <vt:lpstr>Data Validation</vt:lpstr>
      <vt:lpstr>Casual Pays FY24</vt:lpstr>
      <vt:lpstr>Rental Breakdown</vt:lpstr>
      <vt:lpstr>'CTS Overheads'!Print_Area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Profit &amp; Loss [Spreadsheet]</dc:title>
  <dc:subject/>
  <dc:creator>MYOB Technology Pty Ltd</dc:creator>
  <cp:keywords/>
  <dc:description/>
  <cp:lastModifiedBy>Danica Nelson</cp:lastModifiedBy>
  <cp:revision/>
  <dcterms:created xsi:type="dcterms:W3CDTF">2000-09-06T18:26:44Z</dcterms:created>
  <dcterms:modified xsi:type="dcterms:W3CDTF">2026-09-16T10:24:46Z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0x01010095D8E4D2559E924A87A79F54B9BAD5BE</vt:lpwstr>
  </property>
  <property fmtid="{D5CDD505-2E9C-101B-9397-08002B2CF9AE}" pid="3" name="MediaServiceImageTags">
    <vt:lpwstr/>
  </property>
</Properties>
</file>