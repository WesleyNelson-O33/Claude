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025" yWindow="-16320" windowWidth="29040" windowHeight="15720" tabRatio="600" firstSheet="0" activeTab="0" autoFilterDateGrouping="1"/>
  </bookViews>
  <sheets>
    <sheet name="Summary " sheetId="1" state="visible" r:id="rId1"/>
    <sheet name="22 Sep 2026" sheetId="2" state="visible" r:id="rId2"/>
    <sheet name="20 Sept 2026 " sheetId="3" state="visible" r:id="rId3"/>
    <sheet name="21 Aug 2026" sheetId="4" state="visible" r:id="rId4"/>
    <sheet name="07 Aug 2026" sheetId="5" state="visible" r:id="rId5"/>
  </sheets>
  <definedNames>
    <definedName name="_xlnm._FilterDatabase" localSheetId="1" hidden="1">'22 Sep 2026'!$A$2:$Q$11</definedName>
    <definedName name="_xlnm._FilterDatabase" localSheetId="2" hidden="1">'20 Sept 2026 '!$A$2:$Q$14</definedName>
    <definedName name="_xlnm._FilterDatabase" localSheetId="3" hidden="1">'21 Aug 2026'!$A$2:$Q$7</definedName>
    <definedName name="_xlnm._FilterDatabase" localSheetId="4" hidden="1">'07 Aug 2026'!$A$2:$T$6</definedName>
  </definedNames>
  <calcPr calcId="191029" fullCalcOnLoad="1"/>
</workbook>
</file>

<file path=xl/styles.xml><?xml version="1.0" encoding="utf-8"?>
<styleSheet xmlns="http://schemas.openxmlformats.org/spreadsheetml/2006/main">
  <numFmts count="5">
    <numFmt numFmtId="164" formatCode="\$#,##0.00###"/>
    <numFmt numFmtId="165" formatCode="\$#,##0.00"/>
    <numFmt numFmtId="166" formatCode="dd/mm/yyyy"/>
    <numFmt numFmtId="167" formatCode="yyyy-mm-dd"/>
    <numFmt numFmtId="168" formatCode="$#,##0.00"/>
  </numFmts>
  <fonts count="11">
    <font>
      <name val="Aptos Narrow"/>
      <family val="2"/>
      <color theme="1"/>
      <sz val="11"/>
      <scheme val="minor"/>
    </font>
    <font>
      <name val="Aptos Narrow"/>
      <family val="2"/>
      <color theme="0"/>
      <sz val="11"/>
      <scheme val="minor"/>
    </font>
    <font>
      <name val="Calibri"/>
      <family val="2"/>
      <b val="1"/>
      <color rgb="FF000000"/>
      <sz val="11"/>
    </font>
    <font/>
    <font>
      <b val="1"/>
      <color rgb="00FFFFFF"/>
      <sz val="10"/>
    </font>
    <font>
      <b val="1"/>
      <color rgb="001F3864"/>
      <sz val="14"/>
    </font>
    <font>
      <i val="1"/>
      <color rgb="00595959"/>
      <sz val="9"/>
    </font>
    <font>
      <b val="1"/>
      <color rgb="00FFFFFF"/>
      <sz val="11"/>
    </font>
    <font>
      <color rgb="00404040"/>
      <sz val="9"/>
    </font>
    <font>
      <b val="1"/>
    </font>
    <font>
      <b val="1"/>
      <color rgb="009C0006"/>
      <sz val="9"/>
    </font>
  </fonts>
  <fills count="12">
    <fill>
      <patternFill/>
    </fill>
    <fill>
      <patternFill patternType="gray125"/>
    </fill>
    <fill>
      <patternFill patternType="solid">
        <fgColor theme="0"/>
        <bgColor indexed="64"/>
      </patternFill>
    </fill>
    <fill>
      <patternFill patternType="solid">
        <fgColor rgb="FF002060"/>
        <bgColor indexed="64"/>
      </patternFill>
    </fill>
    <fill>
      <patternFill patternType="solid">
        <fgColor theme="6" tint="0.7999816888943144"/>
        <bgColor indexed="64"/>
      </patternFill>
    </fill>
    <fill>
      <patternFill patternType="solid">
        <fgColor theme="2" tint="-0.09997863704336681"/>
        <bgColor indexed="64"/>
      </patternFill>
    </fill>
    <fill>
      <patternFill patternType="solid">
        <fgColor rgb="0044546A"/>
      </patternFill>
    </fill>
    <fill>
      <patternFill patternType="solid">
        <fgColor rgb="00C00000"/>
      </patternFill>
    </fill>
    <fill>
      <patternFill patternType="solid">
        <fgColor rgb="00FFE699"/>
      </patternFill>
    </fill>
    <fill>
      <patternFill patternType="solid">
        <fgColor rgb="00C6EFCE"/>
      </patternFill>
    </fill>
    <fill>
      <patternFill patternType="solid">
        <fgColor rgb="001F3864"/>
      </patternFill>
    </fill>
    <fill>
      <patternFill patternType="solid">
        <fgColor rgb="00D9E2F3"/>
      </patternFill>
    </fill>
  </fills>
  <borders count="3">
    <border>
      <left/>
      <right/>
      <top/>
      <bottom/>
      <diagonal/>
    </border>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pivotButton="0" quotePrefix="0" xfId="0"/>
    <xf numFmtId="0" fontId="2" fillId="0" borderId="0" pivotButton="0" quotePrefix="0" xfId="0"/>
    <xf numFmtId="2" fontId="2" fillId="0" borderId="0" pivotButton="0" quotePrefix="0" xfId="0"/>
    <xf numFmtId="164" fontId="2" fillId="0" borderId="0" pivotButton="0" quotePrefix="0" xfId="0"/>
    <xf numFmtId="165" fontId="2" fillId="0" borderId="0" pivotButton="0" quotePrefix="0" xfId="0"/>
    <xf numFmtId="2" fontId="0" fillId="0" borderId="0" pivotButton="0" quotePrefix="0" xfId="0"/>
    <xf numFmtId="164" fontId="0" fillId="0" borderId="0" pivotButton="0" quotePrefix="0" xfId="0"/>
    <xf numFmtId="165" fontId="0" fillId="0" borderId="0" pivotButton="0" quotePrefix="0" xfId="0"/>
    <xf numFmtId="0" fontId="2" fillId="0" borderId="0" pivotButton="0" quotePrefix="0" xfId="0"/>
    <xf numFmtId="2" fontId="2" fillId="0" borderId="0" pivotButton="0" quotePrefix="0" xfId="0"/>
    <xf numFmtId="164" fontId="2" fillId="0" borderId="0" pivotButton="0" quotePrefix="0" xfId="0"/>
    <xf numFmtId="165" fontId="2" fillId="0" borderId="0" pivotButton="0" quotePrefix="0" xfId="0"/>
    <xf numFmtId="0"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4" fontId="0" fillId="0" borderId="0" pivotButton="0" quotePrefix="0" xfId="0"/>
    <xf numFmtId="0" fontId="0" fillId="2" borderId="0" pivotButton="0" quotePrefix="0" xfId="0"/>
    <xf numFmtId="0" fontId="1" fillId="3" borderId="0" pivotButton="0" quotePrefix="0" xfId="0"/>
    <xf numFmtId="0" fontId="1" fillId="2" borderId="0" pivotButton="0" quotePrefix="0" xfId="0"/>
    <xf numFmtId="0" fontId="0" fillId="4" borderId="0" pivotButton="0" quotePrefix="0" xfId="0"/>
    <xf numFmtId="0" fontId="0" fillId="5" borderId="0" pivotButton="0" quotePrefix="0" xfId="0"/>
    <xf numFmtId="2" fontId="0" fillId="2" borderId="0" pivotButton="0" quotePrefix="0" xfId="0"/>
    <xf numFmtId="0" fontId="5" fillId="0" borderId="1" pivotButton="0" quotePrefix="0" xfId="0"/>
    <xf numFmtId="0" fontId="3" fillId="0" borderId="1" pivotButton="0" quotePrefix="0" xfId="0"/>
    <xf numFmtId="0" fontId="6" fillId="0" borderId="1" applyAlignment="1" pivotButton="0" quotePrefix="0" xfId="0">
      <alignment vertical="top" wrapText="1"/>
    </xf>
    <xf numFmtId="0" fontId="7" fillId="7" borderId="1" pivotButton="0" quotePrefix="0" xfId="0"/>
    <xf numFmtId="0" fontId="4" fillId="6" borderId="2" applyAlignment="1" pivotButton="0" quotePrefix="0" xfId="0">
      <alignment horizontal="center" vertical="center" wrapText="1"/>
    </xf>
    <xf numFmtId="166" fontId="3" fillId="8" borderId="2" pivotButton="0" quotePrefix="0" xfId="0"/>
    <xf numFmtId="0" fontId="3" fillId="8" borderId="2" applyAlignment="1" pivotButton="0" quotePrefix="0" xfId="0">
      <alignment horizontal="center"/>
    </xf>
    <xf numFmtId="0" fontId="3" fillId="8" borderId="2" pivotButton="0" quotePrefix="0" xfId="0"/>
    <xf numFmtId="4" fontId="3" fillId="8" borderId="2" pivotButton="0" quotePrefix="0" xfId="0"/>
    <xf numFmtId="0" fontId="8" fillId="8" borderId="2" applyAlignment="1" pivotButton="0" quotePrefix="0" xfId="0">
      <alignment vertical="top" wrapText="1"/>
    </xf>
    <xf numFmtId="168" fontId="3" fillId="8" borderId="2" pivotButton="0" quotePrefix="0" xfId="0"/>
    <xf numFmtId="0" fontId="9" fillId="9" borderId="2" pivotButton="0" quotePrefix="0" xfId="0"/>
    <xf numFmtId="4" fontId="9" fillId="9" borderId="2" pivotButton="0" quotePrefix="0" xfId="0"/>
    <xf numFmtId="168" fontId="9" fillId="9" borderId="2" pivotButton="0" quotePrefix="0" xfId="0"/>
    <xf numFmtId="0" fontId="10" fillId="0" borderId="1" applyAlignment="1" pivotButton="0" quotePrefix="0" xfId="0">
      <alignment vertical="top" wrapText="1"/>
    </xf>
    <xf numFmtId="0" fontId="7" fillId="10" borderId="1" pivotButton="0" quotePrefix="0" xfId="0"/>
    <xf numFmtId="166" fontId="3" fillId="0" borderId="2" pivotButton="0" quotePrefix="0" xfId="0"/>
    <xf numFmtId="0" fontId="3" fillId="0" borderId="2" applyAlignment="1" pivotButton="0" quotePrefix="0" xfId="0">
      <alignment horizontal="center"/>
    </xf>
    <xf numFmtId="4" fontId="3" fillId="0" borderId="2" pivotButton="0" quotePrefix="0" xfId="0"/>
    <xf numFmtId="168" fontId="3" fillId="0" borderId="2" pivotButton="0" quotePrefix="0" xfId="0"/>
    <xf numFmtId="0" fontId="3" fillId="0" borderId="2" pivotButton="0" quotePrefix="0" xfId="0"/>
    <xf numFmtId="0" fontId="9" fillId="11" borderId="2" pivotButton="0" quotePrefix="0" xfId="0"/>
    <xf numFmtId="0" fontId="9" fillId="11" borderId="2" applyAlignment="1" pivotButton="0" quotePrefix="0" xfId="0">
      <alignment horizontal="center"/>
    </xf>
    <xf numFmtId="4" fontId="9" fillId="11" borderId="2" pivotButton="0" quotePrefix="0" xfId="0"/>
    <xf numFmtId="168" fontId="9" fillId="11" borderId="2" pivotButton="0" quotePrefix="0" xfId="0"/>
    <xf numFmtId="0" fontId="8" fillId="0" borderId="2" applyAlignment="1" pivotButton="0" quotePrefix="0" xfId="0">
      <alignment vertical="top" wrapText="1"/>
    </xf>
    <xf numFmtId="0" fontId="10" fillId="8" borderId="2" applyAlignment="1" pivotButton="0" quotePrefix="0" xfId="0">
      <alignment vertical="top" wrapText="1"/>
    </xf>
    <xf numFmtId="0" fontId="9" fillId="0" borderId="2" pivotButton="0" quotePrefix="0" xfId="0"/>
    <xf numFmtId="4" fontId="9" fillId="0" borderId="2" pivotButton="0" quotePrefix="0" xfId="0"/>
    <xf numFmtId="168" fontId="9" fillId="0" borderId="2" pivotButton="0" quotePrefix="0" xfId="0"/>
    <xf numFmtId="0" fontId="9" fillId="0" borderId="2" applyAlignment="1" pivotButton="0" quotePrefix="0" xfId="0">
      <alignment vertical="top" wrapText="1"/>
    </xf>
    <xf numFmtId="0" fontId="9" fillId="11" borderId="2" applyAlignment="1" pivotButton="0" quotePrefix="0" xfId="0">
      <alignment vertical="top" wrapText="1"/>
    </xf>
    <xf numFmtId="0" fontId="9" fillId="0" borderId="1" applyAlignment="1" pivotButton="0" quotePrefix="0" xfId="0">
      <alignment vertical="top"/>
    </xf>
    <xf numFmtId="0" fontId="9" fillId="0" borderId="1" applyAlignment="1" pivotButton="0" quotePrefix="0" xfId="0">
      <alignment vertical="top" wrapText="1"/>
    </xf>
    <xf numFmtId="0" fontId="8" fillId="0" borderId="1" applyAlignment="1" pivotButton="0" quotePrefix="0" xfId="0">
      <alignment vertical="top" wrapText="1"/>
    </xf>
    <xf numFmtId="0" fontId="4" fillId="6" borderId="0" pivotButton="0" quotePrefix="0" xfId="0"/>
    <xf numFmtId="166" fontId="0" fillId="0" borderId="0" pivotButton="0" quotePrefix="0" xfId="0"/>
  </cellXfs>
  <cellStyles count="1">
    <cellStyle name="Normal" xfId="0" builtinId="0"/>
  </cellStyles>
  <dxfs count="2">
    <dxf>
      <font>
        <b val="1"/>
        <color rgb="009C0006"/>
      </font>
      <fill>
        <patternFill patternType="solid">
          <fgColor rgb="00FFC7CE"/>
        </patternFill>
      </fill>
    </dxf>
    <dxf>
      <font>
        <color rgb="00006100"/>
      </font>
      <fill>
        <patternFill patternType="solid">
          <fgColor rgb="00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90"/>
  <sheetViews>
    <sheetView showGridLines="0" tabSelected="1" workbookViewId="0">
      <pane ySplit="2" topLeftCell="A3" activePane="bottomLeft" state="frozen"/>
      <selection pane="bottomLeft" activeCell="E18" sqref="E18"/>
    </sheetView>
  </sheetViews>
  <sheetFormatPr baseColWidth="8" defaultRowHeight="15"/>
  <cols>
    <col width="34" customWidth="1" style="17" min="1" max="1"/>
    <col width="11" bestFit="1" customWidth="1" style="17" min="2" max="2"/>
    <col width="13" customWidth="1" style="17" min="3" max="4"/>
    <col width="34" customWidth="1" style="12" min="4" max="4"/>
    <col width="10" bestFit="1" customWidth="1" style="17" min="5" max="5"/>
    <col width="10" customWidth="1" style="17" min="6" max="16384"/>
    <col width="12" customWidth="1" style="12" min="7" max="7"/>
    <col width="11" customWidth="1" style="12" min="8" max="8"/>
    <col width="10" customWidth="1" style="12" min="9" max="9"/>
    <col width="10" customWidth="1" style="12" min="10" max="10"/>
    <col width="14" customWidth="1" style="12" min="11" max="11"/>
    <col width="11" customWidth="1" style="12" min="12" max="12"/>
    <col width="12" customWidth="1" style="12" min="13" max="13"/>
    <col width="16" customWidth="1" style="12" min="14" max="14"/>
    <col width="40" customWidth="1" style="12" min="15" max="15"/>
  </cols>
  <sheetData>
    <row r="1" ht="4.5" customHeight="1" s="12">
      <c r="A1" s="23" t="inlineStr">
        <is>
          <t>TIMESHEET TO PAYROLL RECONCILIATION - Jonathan Hendratno (Employee ID 12414219)</t>
        </is>
      </c>
      <c r="B1" s="24" t="n"/>
      <c r="C1" s="24" t="n"/>
      <c r="D1" s="24" t="n"/>
      <c r="E1" s="24" t="n"/>
      <c r="F1" s="24" t="n"/>
      <c r="G1" s="24" t="n"/>
      <c r="H1" s="24" t="n"/>
      <c r="I1" s="24" t="n"/>
      <c r="J1" s="24" t="n"/>
      <c r="K1" s="24" t="n"/>
      <c r="L1" s="24" t="n"/>
      <c r="M1" s="24" t="n"/>
      <c r="N1" s="24" t="n"/>
      <c r="O1" s="24" t="n"/>
      <c r="P1" s="24" t="n"/>
      <c r="Q1" s="24" t="n"/>
      <c r="R1" s="24" t="n"/>
      <c r="S1" s="24" t="n"/>
      <c r="T1" s="24" t="n"/>
    </row>
    <row r="2" ht="28" customHeight="1" s="12">
      <c r="A2" s="25" t="inlineStr">
        <is>
          <t>Timesheet hours transcribed from the timesheet screenshots (fortnights ending 07/08/2026, 21/08/2026, 04/09/2026 and 18/09/2026). Paid hours are pulled live by formula from the pay-run tabs in this workbook, matched on work date AND location. Prepared 22/09/2026.</t>
        </is>
      </c>
      <c r="P2" s="24" t="n"/>
      <c r="Q2" s="24" t="n"/>
      <c r="R2" s="24" t="n"/>
      <c r="S2" s="24" t="n"/>
      <c r="T2" s="24" t="n"/>
    </row>
    <row r="3">
      <c r="A3" s="24" t="n"/>
      <c r="B3" s="24" t="n"/>
      <c r="C3" s="24" t="n"/>
      <c r="D3" s="24" t="n"/>
      <c r="E3" s="24" t="n"/>
      <c r="F3" s="24" t="n"/>
      <c r="G3" s="24" t="n"/>
      <c r="H3" s="24" t="n"/>
      <c r="I3" s="24" t="n"/>
      <c r="J3" s="24" t="n"/>
      <c r="K3" s="24" t="n"/>
      <c r="L3" s="24" t="n"/>
      <c r="M3" s="24" t="n"/>
      <c r="N3" s="24" t="n"/>
      <c r="O3" s="24" t="n"/>
      <c r="P3" s="24" t="n"/>
      <c r="Q3" s="24" t="n"/>
      <c r="R3" s="24" t="n"/>
      <c r="S3" s="24" t="n"/>
      <c r="T3" s="24" t="n"/>
    </row>
    <row r="4">
      <c r="A4" s="26" t="inlineStr">
        <is>
          <t>A.  QUERY RESPONSE  -  the 16 hours claimed missing WERE paid.  Nothing is owing.</t>
        </is>
      </c>
      <c r="B4" s="26" t="n"/>
      <c r="C4" s="26" t="n"/>
      <c r="D4" s="26" t="n"/>
      <c r="E4" s="26" t="n"/>
      <c r="F4" s="26" t="n"/>
      <c r="G4" s="26" t="n"/>
      <c r="H4" s="26" t="n"/>
      <c r="I4" s="26" t="n"/>
      <c r="J4" s="26" t="n"/>
      <c r="K4" s="26" t="n"/>
      <c r="L4" s="26" t="n"/>
      <c r="M4" s="26" t="n"/>
      <c r="N4" s="26" t="n"/>
      <c r="O4" s="26" t="n"/>
      <c r="P4" s="24" t="n"/>
      <c r="Q4" s="24" t="n"/>
      <c r="R4" s="24" t="n"/>
      <c r="S4" s="24" t="n"/>
      <c r="T4" s="24" t="n"/>
    </row>
    <row r="5" ht="30" customHeight="1" s="12">
      <c r="A5" s="27" t="inlineStr">
        <is>
          <t>Date</t>
        </is>
      </c>
      <c r="B5" s="27" t="inlineStr">
        <is>
          <t>Day</t>
        </is>
      </c>
      <c r="C5" s="27" t="inlineStr">
        <is>
          <t>Location / Client</t>
        </is>
      </c>
      <c r="D5" s="27" t="inlineStr">
        <is>
          <t>Hours
Claimed Missing</t>
        </is>
      </c>
      <c r="E5" s="27" t="inlineStr">
        <is>
          <t>Hours
Actually Paid</t>
        </is>
      </c>
      <c r="F5" s="27" t="inlineStr">
        <is>
          <t>Shortfall
(Hrs)</t>
        </is>
      </c>
      <c r="G5" s="27" t="inlineStr">
        <is>
          <t>Paid in
Pay Run</t>
        </is>
      </c>
      <c r="H5" s="27" t="inlineStr">
        <is>
          <t>Where to find it
on that tab</t>
        </is>
      </c>
      <c r="I5" s="27" t="inlineStr">
        <is>
          <t>Rate
$/hr</t>
        </is>
      </c>
      <c r="J5" s="27" t="inlineStr">
        <is>
          <t>Gross Paid
$</t>
        </is>
      </c>
      <c r="K5" s="27" t="inlineStr">
        <is>
          <t>Outcome</t>
        </is>
      </c>
      <c r="L5" s="24" t="n"/>
      <c r="M5" s="24" t="n"/>
      <c r="N5" s="24" t="n"/>
      <c r="O5" s="24" t="n"/>
      <c r="P5" s="24" t="n"/>
      <c r="Q5" s="24" t="n"/>
      <c r="R5" s="24" t="n"/>
      <c r="S5" s="24" t="n"/>
      <c r="T5" s="24" t="n"/>
    </row>
    <row r="6">
      <c r="A6" s="28" t="n">
        <v>46258</v>
      </c>
      <c r="B6" s="29" t="inlineStr">
        <is>
          <t>Mon</t>
        </is>
      </c>
      <c r="C6" s="30" t="inlineStr">
        <is>
          <t>DTTL Mel Tech FT 1 [ONS]</t>
        </is>
      </c>
      <c r="D6" s="31" t="n">
        <v>8</v>
      </c>
      <c r="E6" s="31">
        <f>SUMIFS('07 Aug 2026'!$G$3:$G$6,'07 Aug 2026'!$S$3:$S$6,$A6,'07 Aug 2026'!$K$3:$K$6,$C6)+SUMIFS('21 Aug 2026'!$G$3:$G$7,'21 Aug 2026'!$S$3:$S$7,$A6,'21 Aug 2026'!$K$3:$K$7,$C6)+SUMIFS('20 Sept 2026 '!$G$3:$G$14,'20 Sept 2026 '!$S$3:$S$14,$A6,'20 Sept 2026 '!$K$3:$K$14,$C6)+SUMIFS('22 Sep 2026'!$G$3:$G$11,'22 Sep 2026'!$S$3:$S$11,$A6,'22 Sep 2026'!$K$3:$K$11,$C6)</f>
        <v/>
      </c>
      <c r="F6" s="31">
        <f>D6-E6</f>
        <v/>
      </c>
      <c r="G6" s="29">
        <f>IF(SUMIFS('07 Aug 2026'!$G$3:$G$6,'07 Aug 2026'!$S$3:$S$6,$A6,'07 Aug 2026'!$K$3:$K$6,$C6)&lt;&gt;0,"07 Aug 2026",IF(SUMIFS('21 Aug 2026'!$G$3:$G$7,'21 Aug 2026'!$S$3:$S$7,$A6,'21 Aug 2026'!$K$3:$K$7,$C6)&lt;&gt;0,"21 Aug 2026",IF(SUMIFS('20 Sept 2026 '!$G$3:$G$14,'20 Sept 2026 '!$S$3:$S$14,$A6,'20 Sept 2026 '!$K$3:$K$14,$C6)&lt;&gt;0,"20 Sep 2026",IF(SUMIFS('22 Sep 2026'!$G$3:$G$11,'22 Sep 2026'!$S$3:$S$11,$A6,'22 Sep 2026'!$K$3:$K$11,$C6)&lt;&gt;0,"22 Sep 2026","NOT PAID"))))</f>
        <v/>
      </c>
      <c r="H6" s="32" t="inlineStr">
        <is>
          <t>'20 Sept 2026 ' rows 3 and 4  (3.5 hrs 08:30-12:00  +  4.5 hrs 12:30-17:00)</t>
        </is>
      </c>
      <c r="I6" s="33">
        <f>IFERROR(J6/E6,"")</f>
        <v/>
      </c>
      <c r="J6" s="33">
        <f>SUMIFS('07 Aug 2026'!$O$3:$O$6,'07 Aug 2026'!$S$3:$S$6,$A6,'07 Aug 2026'!$K$3:$K$6,$C6)+SUMIFS('21 Aug 2026'!$O$3:$O$7,'21 Aug 2026'!$S$3:$S$7,$A6,'21 Aug 2026'!$K$3:$K$7,$C6)+SUMIFS('20 Sept 2026 '!$O$3:$O$14,'20 Sept 2026 '!$S$3:$S$14,$A6,'20 Sept 2026 '!$K$3:$K$14,$C6)+SUMIFS('22 Sep 2026'!$O$3:$O$11,'22 Sep 2026'!$S$3:$S$11,$A6,'22 Sep 2026'!$K$3:$K$11,$C6)</f>
        <v/>
      </c>
      <c r="K6" s="29">
        <f>IF(ROUND(F6,2)=0,"PAID IN FULL - nothing owing","SHORTFALL - investigate")</f>
        <v/>
      </c>
      <c r="L6" s="24" t="n"/>
      <c r="M6" s="24" t="n"/>
      <c r="N6" s="24" t="n"/>
      <c r="O6" s="24" t="n"/>
      <c r="P6" s="24" t="n"/>
      <c r="Q6" s="24" t="n"/>
      <c r="R6" s="24" t="n"/>
      <c r="S6" s="24" t="n"/>
      <c r="T6" s="24" t="n"/>
    </row>
    <row r="7">
      <c r="A7" s="28" t="n">
        <v>46262</v>
      </c>
      <c r="B7" s="29" t="inlineStr">
        <is>
          <t>Fri</t>
        </is>
      </c>
      <c r="C7" s="30" t="inlineStr">
        <is>
          <t>DTTL Mel Tech FT 1 [ONS]</t>
        </is>
      </c>
      <c r="D7" s="31" t="n">
        <v>8</v>
      </c>
      <c r="E7" s="31">
        <f>SUMIFS('07 Aug 2026'!$G$3:$G$6,'07 Aug 2026'!$S$3:$S$6,$A7,'07 Aug 2026'!$K$3:$K$6,$C7)+SUMIFS('21 Aug 2026'!$G$3:$G$7,'21 Aug 2026'!$S$3:$S$7,$A7,'21 Aug 2026'!$K$3:$K$7,$C7)+SUMIFS('20 Sept 2026 '!$G$3:$G$14,'20 Sept 2026 '!$S$3:$S$14,$A7,'20 Sept 2026 '!$K$3:$K$14,$C7)+SUMIFS('22 Sep 2026'!$G$3:$G$11,'22 Sep 2026'!$S$3:$S$11,$A7,'22 Sep 2026'!$K$3:$K$11,$C7)</f>
        <v/>
      </c>
      <c r="F7" s="31">
        <f>D7-E7</f>
        <v/>
      </c>
      <c r="G7" s="29">
        <f>IF(SUMIFS('07 Aug 2026'!$G$3:$G$6,'07 Aug 2026'!$S$3:$S$6,$A7,'07 Aug 2026'!$K$3:$K$6,$C7)&lt;&gt;0,"07 Aug 2026",IF(SUMIFS('21 Aug 2026'!$G$3:$G$7,'21 Aug 2026'!$S$3:$S$7,$A7,'21 Aug 2026'!$K$3:$K$7,$C7)&lt;&gt;0,"21 Aug 2026",IF(SUMIFS('20 Sept 2026 '!$G$3:$G$14,'20 Sept 2026 '!$S$3:$S$14,$A7,'20 Sept 2026 '!$K$3:$K$14,$C7)&lt;&gt;0,"20 Sep 2026",IF(SUMIFS('22 Sep 2026'!$G$3:$G$11,'22 Sep 2026'!$S$3:$S$11,$A7,'22 Sep 2026'!$K$3:$K$11,$C7)&lt;&gt;0,"22 Sep 2026","NOT PAID"))))</f>
        <v/>
      </c>
      <c r="H7" s="32" t="inlineStr">
        <is>
          <t>'20 Sept 2026 ' rows 5 and 6  (3.5 hrs 08:30-12:00  +  4.5 hrs 12:30-17:00)</t>
        </is>
      </c>
      <c r="I7" s="33">
        <f>IFERROR(J7/E7,"")</f>
        <v/>
      </c>
      <c r="J7" s="33">
        <f>SUMIFS('07 Aug 2026'!$O$3:$O$6,'07 Aug 2026'!$S$3:$S$6,$A7,'07 Aug 2026'!$K$3:$K$6,$C7)+SUMIFS('21 Aug 2026'!$O$3:$O$7,'21 Aug 2026'!$S$3:$S$7,$A7,'21 Aug 2026'!$K$3:$K$7,$C7)+SUMIFS('20 Sept 2026 '!$O$3:$O$14,'20 Sept 2026 '!$S$3:$S$14,$A7,'20 Sept 2026 '!$K$3:$K$14,$C7)+SUMIFS('22 Sep 2026'!$O$3:$O$11,'22 Sep 2026'!$S$3:$S$11,$A7,'22 Sep 2026'!$K$3:$K$11,$C7)</f>
        <v/>
      </c>
      <c r="K7" s="29">
        <f>IF(ROUND(F7,2)=0,"PAID IN FULL - nothing owing","SHORTFALL - investigate")</f>
        <v/>
      </c>
      <c r="L7" s="24" t="n"/>
      <c r="M7" s="24" t="n"/>
      <c r="N7" s="24" t="n"/>
      <c r="O7" s="24" t="n"/>
      <c r="P7" s="24" t="n"/>
      <c r="Q7" s="24" t="n"/>
      <c r="R7" s="24" t="n"/>
      <c r="S7" s="24" t="n"/>
      <c r="T7" s="24" t="n"/>
    </row>
    <row r="8">
      <c r="A8" s="34" t="inlineStr">
        <is>
          <t>TOTAL CLAIMED</t>
        </is>
      </c>
      <c r="B8" s="34" t="n"/>
      <c r="C8" s="34" t="n"/>
      <c r="D8" s="35">
        <f>SUM(D6:D7)</f>
        <v/>
      </c>
      <c r="E8" s="35">
        <f>SUM(E6:E7)</f>
        <v/>
      </c>
      <c r="F8" s="35">
        <f>SUM(F6:F7)</f>
        <v/>
      </c>
      <c r="G8" s="34" t="n"/>
      <c r="H8" s="34" t="n"/>
      <c r="I8" s="34" t="n"/>
      <c r="J8" s="36">
        <f>SUM(J6:J7)</f>
        <v/>
      </c>
      <c r="K8" s="34">
        <f>IF(ROUND(F8,2)=0,"NIL OWING - all "&amp;TEXT(D8,"0")&amp;" hrs paid ($"&amp;TEXT(J8,"#,##0.00")&amp;" gross)","AMOUNT OWING - investigate")</f>
        <v/>
      </c>
      <c r="L8" s="24" t="n"/>
      <c r="M8" s="24" t="n"/>
      <c r="N8" s="24" t="n"/>
      <c r="O8" s="24" t="n"/>
      <c r="P8" s="24" t="n"/>
      <c r="Q8" s="24" t="n"/>
      <c r="R8" s="24" t="n"/>
      <c r="S8" s="24" t="n"/>
      <c r="T8" s="24" t="n"/>
    </row>
    <row r="9" ht="46" customHeight="1" s="12">
      <c r="A9" s="37" t="inlineStr">
        <is>
          <t>WHY IT LOOKED MISSING:  (1) Each day is split across two pay lines, either side of the lunch break - 3.5 hrs + 4.5 hrs - so neither line ever shows as "8 hours" when you scan the payslip.  (2) Both days sit in the fortnight ending 04/09/2026, but that fortnight was paid across TWO pay runs: the 48 hrs of DTTL work went through the 20 Sep 2026 run, while the 23.5 hrs of PwC work went through the 22 Sep 2026 run. Looking at only one of those payslips shows only part of the fortnight.</t>
        </is>
      </c>
      <c r="P9" s="24" t="n"/>
      <c r="Q9" s="24" t="n"/>
      <c r="R9" s="24" t="n"/>
      <c r="S9" s="24" t="n"/>
      <c r="T9" s="24"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row>
    <row r="11">
      <c r="A11" s="38" t="inlineStr">
        <is>
          <t>B.  FORTNIGHT SUMMARY  -  timesheet hours vs hours actually paid</t>
        </is>
      </c>
      <c r="B11" s="38" t="n"/>
      <c r="C11" s="38" t="n"/>
      <c r="D11" s="38" t="n"/>
      <c r="E11" s="38" t="n"/>
      <c r="F11" s="38" t="n"/>
      <c r="G11" s="38" t="n"/>
      <c r="H11" s="38" t="n"/>
      <c r="I11" s="38" t="n"/>
      <c r="J11" s="38" t="n"/>
      <c r="K11" s="38" t="n"/>
      <c r="L11" s="38" t="n"/>
      <c r="M11" s="38" t="n"/>
      <c r="N11" s="38" t="n"/>
      <c r="O11" s="38" t="n"/>
      <c r="P11" s="24" t="n"/>
      <c r="Q11" s="24" t="n"/>
      <c r="R11" s="24" t="n"/>
      <c r="S11" s="24" t="n"/>
      <c r="T11" s="24" t="n"/>
    </row>
    <row r="12" ht="30" customHeight="1" s="12">
      <c r="A12" s="27" t="inlineStr">
        <is>
          <t>Fortnight Ending</t>
        </is>
      </c>
      <c r="B12" s="27" t="inlineStr">
        <is>
          <t>Timesheets
(count)</t>
        </is>
      </c>
      <c r="C12" s="27" t="inlineStr">
        <is>
          <t>Timesheet
Hours</t>
        </is>
      </c>
      <c r="D12" s="27" t="inlineStr">
        <is>
          <t>Paid
Hours</t>
        </is>
      </c>
      <c r="E12" s="27" t="inlineStr">
        <is>
          <t>Variance
(Hrs)</t>
        </is>
      </c>
      <c r="F12" s="27" t="inlineStr">
        <is>
          <t>Variance
($ @ $37.50)</t>
        </is>
      </c>
      <c r="G12" s="27" t="inlineStr">
        <is>
          <t>Status</t>
        </is>
      </c>
      <c r="H12" s="27" t="inlineStr">
        <is>
          <t>Paid in Pay Run(s)</t>
        </is>
      </c>
      <c r="I12" s="24" t="n"/>
      <c r="J12" s="24" t="n"/>
      <c r="K12" s="24" t="n"/>
      <c r="L12" s="24" t="n"/>
      <c r="M12" s="24" t="n"/>
      <c r="N12" s="24" t="n"/>
      <c r="O12" s="24" t="n"/>
      <c r="P12" s="24" t="n"/>
      <c r="Q12" s="24" t="n"/>
      <c r="R12" s="24" t="n"/>
      <c r="S12" s="24" t="n"/>
      <c r="T12" s="24" t="n"/>
    </row>
    <row r="13">
      <c r="A13" s="39" t="n">
        <v>46241</v>
      </c>
      <c r="B13" s="40">
        <f>COUNTIFS($C$21:$C$36,$A13)</f>
        <v/>
      </c>
      <c r="C13" s="41">
        <f>SUMIFS($H$21:$H$36,$C$21:$C$36,$A13)</f>
        <v/>
      </c>
      <c r="D13" s="41">
        <f>SUMIFS($I$21:$I$36,$C$21:$C$36,$A13)</f>
        <v/>
      </c>
      <c r="E13" s="41">
        <f>C13-D13</f>
        <v/>
      </c>
      <c r="F13" s="42">
        <f>E13*37.5</f>
        <v/>
      </c>
      <c r="G13" s="43">
        <f>IF(ROUND(E13,2)=0,"Reconciled","VARIANCE - investigate")</f>
        <v/>
      </c>
      <c r="H13" s="43" t="inlineStr">
        <is>
          <t>07 Aug 2026</t>
        </is>
      </c>
      <c r="I13" s="24" t="n"/>
      <c r="J13" s="24" t="n"/>
      <c r="K13" s="24" t="n"/>
      <c r="L13" s="24" t="n"/>
      <c r="M13" s="24" t="n"/>
      <c r="N13" s="24" t="n"/>
      <c r="O13" s="24" t="n"/>
      <c r="P13" s="24" t="n"/>
      <c r="Q13" s="24" t="n"/>
      <c r="R13" s="24" t="n"/>
      <c r="S13" s="24" t="n"/>
      <c r="T13" s="24" t="n"/>
    </row>
    <row r="14">
      <c r="A14" s="39" t="n">
        <v>46255</v>
      </c>
      <c r="B14" s="40">
        <f>COUNTIFS($C$21:$C$36,$A14)</f>
        <v/>
      </c>
      <c r="C14" s="41">
        <f>SUMIFS($H$21:$H$36,$C$21:$C$36,$A14)</f>
        <v/>
      </c>
      <c r="D14" s="41">
        <f>SUMIFS($I$21:$I$36,$C$21:$C$36,$A14)</f>
        <v/>
      </c>
      <c r="E14" s="41">
        <f>C14-D14</f>
        <v/>
      </c>
      <c r="F14" s="42">
        <f>E14*37.5</f>
        <v/>
      </c>
      <c r="G14" s="43">
        <f>IF(ROUND(E14,2)=0,"Reconciled","VARIANCE - investigate")</f>
        <v/>
      </c>
      <c r="H14" s="43" t="inlineStr">
        <is>
          <t>21 Aug 2026</t>
        </is>
      </c>
      <c r="I14" s="24" t="n"/>
      <c r="J14" s="24" t="n"/>
      <c r="K14" s="24" t="n"/>
      <c r="L14" s="24" t="n"/>
      <c r="M14" s="24" t="n"/>
      <c r="N14" s="24" t="n"/>
      <c r="O14" s="24" t="n"/>
      <c r="P14" s="24" t="n"/>
      <c r="Q14" s="24" t="n"/>
      <c r="R14" s="24" t="n"/>
      <c r="S14" s="24" t="n"/>
      <c r="T14" s="24" t="n"/>
    </row>
    <row r="15">
      <c r="A15" s="39" t="n">
        <v>46269</v>
      </c>
      <c r="B15" s="40">
        <f>COUNTIFS($C$21:$C$36,$A15)</f>
        <v/>
      </c>
      <c r="C15" s="41">
        <f>SUMIFS($H$21:$H$36,$C$21:$C$36,$A15)</f>
        <v/>
      </c>
      <c r="D15" s="41">
        <f>SUMIFS($I$21:$I$36,$C$21:$C$36,$A15)</f>
        <v/>
      </c>
      <c r="E15" s="41">
        <f>C15-D15</f>
        <v/>
      </c>
      <c r="F15" s="42">
        <f>E15*37.5</f>
        <v/>
      </c>
      <c r="G15" s="43">
        <f>IF(ROUND(E15,2)=0,"Reconciled","VARIANCE - investigate")</f>
        <v/>
      </c>
      <c r="H15" s="43" t="inlineStr">
        <is>
          <t>20 Sep 2026 (DTTL 48 hrs) + 22 Sep 2026 (PwC 23.5 hrs)</t>
        </is>
      </c>
      <c r="I15" s="24" t="n"/>
      <c r="J15" s="24" t="n"/>
      <c r="K15" s="24" t="n"/>
      <c r="L15" s="24" t="n"/>
      <c r="M15" s="24" t="n"/>
      <c r="N15" s="24" t="n"/>
      <c r="O15" s="24" t="n"/>
      <c r="P15" s="24" t="n"/>
      <c r="Q15" s="24" t="n"/>
      <c r="R15" s="24" t="n"/>
      <c r="S15" s="24" t="n"/>
      <c r="T15" s="24" t="n"/>
    </row>
    <row r="16">
      <c r="A16" s="39" t="n">
        <v>46283</v>
      </c>
      <c r="B16" s="40">
        <f>COUNTIFS($C$21:$C$36,$A16)</f>
        <v/>
      </c>
      <c r="C16" s="41">
        <f>SUMIFS($H$21:$H$36,$C$21:$C$36,$A16)</f>
        <v/>
      </c>
      <c r="D16" s="41">
        <f>SUMIFS($I$21:$I$36,$C$21:$C$36,$A16)</f>
        <v/>
      </c>
      <c r="E16" s="41">
        <f>C16-D16</f>
        <v/>
      </c>
      <c r="F16" s="42">
        <f>E16*37.5</f>
        <v/>
      </c>
      <c r="G16" s="43">
        <f>IF(ROUND(E16,2)=0,"Reconciled","VARIANCE - investigate")</f>
        <v/>
      </c>
      <c r="H16" s="43" t="inlineStr">
        <is>
          <t>22 Sep 2026</t>
        </is>
      </c>
      <c r="I16" s="24" t="n"/>
      <c r="J16" s="24" t="n"/>
      <c r="K16" s="24" t="n"/>
      <c r="L16" s="24" t="n"/>
      <c r="M16" s="24" t="n"/>
      <c r="N16" s="24" t="n"/>
      <c r="O16" s="24" t="n"/>
      <c r="P16" s="24" t="n"/>
      <c r="Q16" s="24" t="n"/>
      <c r="R16" s="24" t="n"/>
      <c r="S16" s="24" t="n"/>
      <c r="T16" s="24" t="n"/>
    </row>
    <row r="17">
      <c r="A17" s="44" t="inlineStr">
        <is>
          <t>TOTAL</t>
        </is>
      </c>
      <c r="B17" s="45">
        <f>SUM(B13:B16)</f>
        <v/>
      </c>
      <c r="C17" s="46">
        <f>SUM(C13:C16)</f>
        <v/>
      </c>
      <c r="D17" s="46">
        <f>SUM(D13:D16)</f>
        <v/>
      </c>
      <c r="E17" s="46">
        <f>SUM(E13:E16)</f>
        <v/>
      </c>
      <c r="F17" s="47">
        <f>SUM(F13:F16)</f>
        <v/>
      </c>
      <c r="G17" s="44">
        <f>IF(ROUND(E17,2)=0,"FULLY RECONCILED","VARIANCE - investigate")</f>
        <v/>
      </c>
      <c r="H17" s="44" t="n"/>
      <c r="I17" s="24" t="n"/>
      <c r="J17" s="24" t="n"/>
      <c r="K17" s="24" t="n"/>
      <c r="L17" s="24" t="n"/>
      <c r="M17" s="24" t="n"/>
      <c r="N17" s="24" t="n"/>
      <c r="O17" s="24" t="n"/>
      <c r="P17" s="24" t="n"/>
      <c r="Q17" s="24" t="n"/>
      <c r="R17" s="24" t="n"/>
      <c r="S17" s="24" t="n"/>
      <c r="T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row>
    <row r="19">
      <c r="A19" s="38" t="inlineStr">
        <is>
          <t>C.  DAY-BY-DAY RECONCILIATION  -  every timesheet line matched to the pay run that paid it</t>
        </is>
      </c>
      <c r="B19" s="38" t="n"/>
      <c r="C19" s="38" t="n"/>
      <c r="D19" s="38" t="n"/>
      <c r="E19" s="38" t="n"/>
      <c r="F19" s="38" t="n"/>
      <c r="G19" s="38" t="n"/>
      <c r="H19" s="38" t="n"/>
      <c r="I19" s="38" t="n"/>
      <c r="J19" s="38" t="n"/>
      <c r="K19" s="38" t="n"/>
      <c r="L19" s="38" t="n"/>
      <c r="M19" s="38" t="n"/>
      <c r="N19" s="38" t="n"/>
      <c r="O19" s="38" t="n"/>
      <c r="P19" s="24" t="n"/>
      <c r="Q19" s="24" t="n"/>
      <c r="R19" s="24" t="n"/>
      <c r="S19" s="24" t="n"/>
      <c r="T19" s="24" t="n"/>
    </row>
    <row r="20" ht="30" customHeight="1" s="12">
      <c r="A20" s="27" t="inlineStr">
        <is>
          <t>Date</t>
        </is>
      </c>
      <c r="B20" s="27" t="inlineStr">
        <is>
          <t>Day</t>
        </is>
      </c>
      <c r="C20" s="27" t="inlineStr">
        <is>
          <t>Fortnight
Ending</t>
        </is>
      </c>
      <c r="D20" s="27" t="inlineStr">
        <is>
          <t>Location / Client (per timesheet)</t>
        </is>
      </c>
      <c r="E20" s="27" t="inlineStr">
        <is>
          <t>Start</t>
        </is>
      </c>
      <c r="F20" s="27" t="inlineStr">
        <is>
          <t>End</t>
        </is>
      </c>
      <c r="G20" s="27" t="inlineStr">
        <is>
          <t>Break</t>
        </is>
      </c>
      <c r="H20" s="27" t="inlineStr">
        <is>
          <t>Timesheet
Hours</t>
        </is>
      </c>
      <c r="I20" s="27" t="inlineStr">
        <is>
          <t>Paid
Hours</t>
        </is>
      </c>
      <c r="J20" s="27" t="inlineStr">
        <is>
          <t>Variance
(Hrs)</t>
        </is>
      </c>
      <c r="K20" s="27" t="inlineStr">
        <is>
          <t>Paid in
Pay Run</t>
        </is>
      </c>
      <c r="L20" s="27" t="inlineStr">
        <is>
          <t>Rate Paid
$/hr</t>
        </is>
      </c>
      <c r="M20" s="27" t="inlineStr">
        <is>
          <t>Gross Paid
$</t>
        </is>
      </c>
      <c r="N20" s="27" t="inlineStr">
        <is>
          <t>Rate
Check</t>
        </is>
      </c>
      <c r="O20" s="27" t="inlineStr">
        <is>
          <t>Notes</t>
        </is>
      </c>
      <c r="P20" s="24" t="n"/>
      <c r="Q20" s="24" t="n"/>
      <c r="R20" s="24" t="n"/>
      <c r="S20" s="24" t="n"/>
      <c r="T20" s="24" t="n"/>
    </row>
    <row r="21">
      <c r="A21" s="39" t="n">
        <v>46232</v>
      </c>
      <c r="B21" s="40" t="inlineStr">
        <is>
          <t>Wed</t>
        </is>
      </c>
      <c r="C21" s="39" t="n">
        <v>46241</v>
      </c>
      <c r="D21" s="43" t="inlineStr">
        <is>
          <t>CBA FT Tech MEL - 12 months [ONS]</t>
        </is>
      </c>
      <c r="E21" s="40" t="inlineStr">
        <is>
          <t>7:00 AM</t>
        </is>
      </c>
      <c r="F21" s="40" t="inlineStr">
        <is>
          <t>4:00 PM</t>
        </is>
      </c>
      <c r="G21" s="40" t="inlineStr">
        <is>
          <t>12:30-1:30</t>
        </is>
      </c>
      <c r="H21" s="41" t="n">
        <v>8</v>
      </c>
      <c r="I21" s="41">
        <f>SUMIFS('07 Aug 2026'!$G$3:$G$6,'07 Aug 2026'!$S$3:$S$6,$A21,'07 Aug 2026'!$K$3:$K$6,$D21)+SUMIFS('21 Aug 2026'!$G$3:$G$7,'21 Aug 2026'!$S$3:$S$7,$A21,'21 Aug 2026'!$K$3:$K$7,$D21)+SUMIFS('20 Sept 2026 '!$G$3:$G$14,'20 Sept 2026 '!$S$3:$S$14,$A21,'20 Sept 2026 '!$K$3:$K$14,$D21)+SUMIFS('22 Sep 2026'!$G$3:$G$11,'22 Sep 2026'!$S$3:$S$11,$A21,'22 Sep 2026'!$K$3:$K$11,$D21)</f>
        <v/>
      </c>
      <c r="J21" s="41">
        <f>H21-I21</f>
        <v/>
      </c>
      <c r="K21" s="40">
        <f>IF(SUMIFS('07 Aug 2026'!$G$3:$G$6,'07 Aug 2026'!$S$3:$S$6,$A21,'07 Aug 2026'!$K$3:$K$6,$D21)&lt;&gt;0,"07 Aug 2026",IF(SUMIFS('21 Aug 2026'!$G$3:$G$7,'21 Aug 2026'!$S$3:$S$7,$A21,'21 Aug 2026'!$K$3:$K$7,$D21)&lt;&gt;0,"21 Aug 2026",IF(SUMIFS('20 Sept 2026 '!$G$3:$G$14,'20 Sept 2026 '!$S$3:$S$14,$A21,'20 Sept 2026 '!$K$3:$K$14,$D21)&lt;&gt;0,"20 Sep 2026",IF(SUMIFS('22 Sep 2026'!$G$3:$G$11,'22 Sep 2026'!$S$3:$S$11,$A21,'22 Sep 2026'!$K$3:$K$11,$D21)&lt;&gt;0,"22 Sep 2026","NOT PAID"))))</f>
        <v/>
      </c>
      <c r="L21" s="42">
        <f>IFERROR(M21/I21,"")</f>
        <v/>
      </c>
      <c r="M21" s="42">
        <f>SUMIFS('07 Aug 2026'!$O$3:$O$6,'07 Aug 2026'!$S$3:$S$6,$A21,'07 Aug 2026'!$K$3:$K$6,$D21)+SUMIFS('21 Aug 2026'!$O$3:$O$7,'21 Aug 2026'!$S$3:$S$7,$A21,'21 Aug 2026'!$K$3:$K$7,$D21)+SUMIFS('20 Sept 2026 '!$O$3:$O$14,'20 Sept 2026 '!$S$3:$S$14,$A21,'20 Sept 2026 '!$K$3:$K$14,$D21)+SUMIFS('22 Sep 2026'!$O$3:$O$11,'22 Sep 2026'!$S$3:$S$11,$A21,'22 Sep 2026'!$K$3:$K$11,$D21)</f>
        <v/>
      </c>
      <c r="N21" s="40">
        <f>IF(I21=0,"",IF(ROUND(L21,2)=37.5,"OK","UNDER - $"&amp;TEXT((37.5-L21)*I21,"0.00")))</f>
        <v/>
      </c>
      <c r="O21" s="48" t="inlineStr">
        <is>
          <t>Paid as 5.5 + 2.5 hrs either side of break</t>
        </is>
      </c>
      <c r="P21" s="24" t="n"/>
      <c r="Q21" s="24" t="n"/>
      <c r="R21" s="24" t="n"/>
      <c r="S21" s="24" t="n"/>
      <c r="T21" s="24" t="n"/>
    </row>
    <row r="22">
      <c r="A22" s="39" t="n">
        <v>46233</v>
      </c>
      <c r="B22" s="40" t="inlineStr">
        <is>
          <t>Thu</t>
        </is>
      </c>
      <c r="C22" s="39" t="n">
        <v>46241</v>
      </c>
      <c r="D22" s="43" t="inlineStr">
        <is>
          <t>PWC – MEL Technician [ONS]</t>
        </is>
      </c>
      <c r="E22" s="40" t="inlineStr">
        <is>
          <t>8:00 AM</t>
        </is>
      </c>
      <c r="F22" s="40" t="inlineStr">
        <is>
          <t>12:00 PM</t>
        </is>
      </c>
      <c r="G22" s="40" t="inlineStr">
        <is>
          <t>-</t>
        </is>
      </c>
      <c r="H22" s="41" t="n">
        <v>4</v>
      </c>
      <c r="I22" s="41">
        <f>SUMIFS('07 Aug 2026'!$G$3:$G$6,'07 Aug 2026'!$S$3:$S$6,$A22,'07 Aug 2026'!$K$3:$K$6,$D22)+SUMIFS('21 Aug 2026'!$G$3:$G$7,'21 Aug 2026'!$S$3:$S$7,$A22,'21 Aug 2026'!$K$3:$K$7,$D22)+SUMIFS('20 Sept 2026 '!$G$3:$G$14,'20 Sept 2026 '!$S$3:$S$14,$A22,'20 Sept 2026 '!$K$3:$K$14,$D22)+SUMIFS('22 Sep 2026'!$G$3:$G$11,'22 Sep 2026'!$S$3:$S$11,$A22,'22 Sep 2026'!$K$3:$K$11,$D22)</f>
        <v/>
      </c>
      <c r="J22" s="41">
        <f>H22-I22</f>
        <v/>
      </c>
      <c r="K22" s="40">
        <f>IF(SUMIFS('07 Aug 2026'!$G$3:$G$6,'07 Aug 2026'!$S$3:$S$6,$A22,'07 Aug 2026'!$K$3:$K$6,$D22)&lt;&gt;0,"07 Aug 2026",IF(SUMIFS('21 Aug 2026'!$G$3:$G$7,'21 Aug 2026'!$S$3:$S$7,$A22,'21 Aug 2026'!$K$3:$K$7,$D22)&lt;&gt;0,"21 Aug 2026",IF(SUMIFS('20 Sept 2026 '!$G$3:$G$14,'20 Sept 2026 '!$S$3:$S$14,$A22,'20 Sept 2026 '!$K$3:$K$14,$D22)&lt;&gt;0,"20 Sep 2026",IF(SUMIFS('22 Sep 2026'!$G$3:$G$11,'22 Sep 2026'!$S$3:$S$11,$A22,'22 Sep 2026'!$K$3:$K$11,$D22)&lt;&gt;0,"22 Sep 2026","NOT PAID"))))</f>
        <v/>
      </c>
      <c r="L22" s="42">
        <f>IFERROR(M22/I22,"")</f>
        <v/>
      </c>
      <c r="M22" s="42">
        <f>SUMIFS('07 Aug 2026'!$O$3:$O$6,'07 Aug 2026'!$S$3:$S$6,$A22,'07 Aug 2026'!$K$3:$K$6,$D22)+SUMIFS('21 Aug 2026'!$O$3:$O$7,'21 Aug 2026'!$S$3:$S$7,$A22,'21 Aug 2026'!$K$3:$K$7,$D22)+SUMIFS('20 Sept 2026 '!$O$3:$O$14,'20 Sept 2026 '!$S$3:$S$14,$A22,'20 Sept 2026 '!$K$3:$K$14,$D22)+SUMIFS('22 Sep 2026'!$O$3:$O$11,'22 Sep 2026'!$S$3:$S$11,$A22,'22 Sep 2026'!$K$3:$K$11,$D22)</f>
        <v/>
      </c>
      <c r="N22" s="40">
        <f>IF(I22=0,"",IF(ROUND(L22,2)=37.5,"OK","UNDER - $"&amp;TEXT((37.5-L22)*I22,"0.00")))</f>
        <v/>
      </c>
      <c r="O22" s="48" t="inlineStr">
        <is>
          <t>Two separate timesheets this day - matched by location</t>
        </is>
      </c>
      <c r="P22" s="24" t="n"/>
      <c r="Q22" s="24" t="n"/>
      <c r="R22" s="24" t="n"/>
      <c r="S22" s="24" t="n"/>
      <c r="T22" s="24" t="n"/>
    </row>
    <row r="23">
      <c r="A23" s="39" t="n">
        <v>46233</v>
      </c>
      <c r="B23" s="40" t="inlineStr">
        <is>
          <t>Thu</t>
        </is>
      </c>
      <c r="C23" s="39" t="n">
        <v>46241</v>
      </c>
      <c r="D23" s="43" t="inlineStr">
        <is>
          <t>Aware Super AV Maintenance [ONS]</t>
        </is>
      </c>
      <c r="E23" s="40" t="inlineStr">
        <is>
          <t>2:25 PM</t>
        </is>
      </c>
      <c r="F23" s="40" t="inlineStr">
        <is>
          <t>6:25 PM</t>
        </is>
      </c>
      <c r="G23" s="40" t="inlineStr">
        <is>
          <t>-</t>
        </is>
      </c>
      <c r="H23" s="41" t="n">
        <v>4</v>
      </c>
      <c r="I23" s="41">
        <f>SUMIFS('07 Aug 2026'!$G$3:$G$6,'07 Aug 2026'!$S$3:$S$6,$A23,'07 Aug 2026'!$K$3:$K$6,$D23)+SUMIFS('21 Aug 2026'!$G$3:$G$7,'21 Aug 2026'!$S$3:$S$7,$A23,'21 Aug 2026'!$K$3:$K$7,$D23)+SUMIFS('20 Sept 2026 '!$G$3:$G$14,'20 Sept 2026 '!$S$3:$S$14,$A23,'20 Sept 2026 '!$K$3:$K$14,$D23)+SUMIFS('22 Sep 2026'!$G$3:$G$11,'22 Sep 2026'!$S$3:$S$11,$A23,'22 Sep 2026'!$K$3:$K$11,$D23)</f>
        <v/>
      </c>
      <c r="J23" s="41">
        <f>H23-I23</f>
        <v/>
      </c>
      <c r="K23" s="40">
        <f>IF(SUMIFS('07 Aug 2026'!$G$3:$G$6,'07 Aug 2026'!$S$3:$S$6,$A23,'07 Aug 2026'!$K$3:$K$6,$D23)&lt;&gt;0,"07 Aug 2026",IF(SUMIFS('21 Aug 2026'!$G$3:$G$7,'21 Aug 2026'!$S$3:$S$7,$A23,'21 Aug 2026'!$K$3:$K$7,$D23)&lt;&gt;0,"21 Aug 2026",IF(SUMIFS('20 Sept 2026 '!$G$3:$G$14,'20 Sept 2026 '!$S$3:$S$14,$A23,'20 Sept 2026 '!$K$3:$K$14,$D23)&lt;&gt;0,"20 Sep 2026",IF(SUMIFS('22 Sep 2026'!$G$3:$G$11,'22 Sep 2026'!$S$3:$S$11,$A23,'22 Sep 2026'!$K$3:$K$11,$D23)&lt;&gt;0,"22 Sep 2026","NOT PAID"))))</f>
        <v/>
      </c>
      <c r="L23" s="42">
        <f>IFERROR(M23/I23,"")</f>
        <v/>
      </c>
      <c r="M23" s="42">
        <f>SUMIFS('07 Aug 2026'!$O$3:$O$6,'07 Aug 2026'!$S$3:$S$6,$A23,'07 Aug 2026'!$K$3:$K$6,$D23)+SUMIFS('21 Aug 2026'!$O$3:$O$7,'21 Aug 2026'!$S$3:$S$7,$A23,'21 Aug 2026'!$K$3:$K$7,$D23)+SUMIFS('20 Sept 2026 '!$O$3:$O$14,'20 Sept 2026 '!$S$3:$S$14,$A23,'20 Sept 2026 '!$K$3:$K$14,$D23)+SUMIFS('22 Sep 2026'!$O$3:$O$11,'22 Sep 2026'!$S$3:$S$11,$A23,'22 Sep 2026'!$K$3:$K$11,$D23)</f>
        <v/>
      </c>
      <c r="N23" s="40">
        <f>IF(I23=0,"",IF(ROUND(L23,2)=37.5,"OK","UNDER - $"&amp;TEXT((37.5-L23)*I23,"0.00")))</f>
        <v/>
      </c>
      <c r="O23" s="48" t="inlineStr">
        <is>
          <t>Two separate timesheets this day - matched by location</t>
        </is>
      </c>
      <c r="P23" s="24" t="n"/>
      <c r="Q23" s="24" t="n"/>
      <c r="R23" s="24" t="n"/>
      <c r="S23" s="24" t="n"/>
      <c r="T23" s="24" t="n"/>
    </row>
    <row r="24">
      <c r="A24" s="39" t="n">
        <v>46252</v>
      </c>
      <c r="B24" s="40" t="inlineStr">
        <is>
          <t>Tue</t>
        </is>
      </c>
      <c r="C24" s="39" t="n">
        <v>46255</v>
      </c>
      <c r="D24" s="43" t="inlineStr">
        <is>
          <t>CBA FT Tech MEL - 12 months [ONS]</t>
        </is>
      </c>
      <c r="E24" s="40" t="inlineStr">
        <is>
          <t>7:00 AM</t>
        </is>
      </c>
      <c r="F24" s="40" t="inlineStr">
        <is>
          <t>4:00 PM</t>
        </is>
      </c>
      <c r="G24" s="40" t="inlineStr">
        <is>
          <t>12:00-1:00</t>
        </is>
      </c>
      <c r="H24" s="41" t="n">
        <v>8</v>
      </c>
      <c r="I24" s="41">
        <f>SUMIFS('07 Aug 2026'!$G$3:$G$6,'07 Aug 2026'!$S$3:$S$6,$A24,'07 Aug 2026'!$K$3:$K$6,$D24)+SUMIFS('21 Aug 2026'!$G$3:$G$7,'21 Aug 2026'!$S$3:$S$7,$A24,'21 Aug 2026'!$K$3:$K$7,$D24)+SUMIFS('20 Sept 2026 '!$G$3:$G$14,'20 Sept 2026 '!$S$3:$S$14,$A24,'20 Sept 2026 '!$K$3:$K$14,$D24)+SUMIFS('22 Sep 2026'!$G$3:$G$11,'22 Sep 2026'!$S$3:$S$11,$A24,'22 Sep 2026'!$K$3:$K$11,$D24)</f>
        <v/>
      </c>
      <c r="J24" s="41">
        <f>H24-I24</f>
        <v/>
      </c>
      <c r="K24" s="40">
        <f>IF(SUMIFS('07 Aug 2026'!$G$3:$G$6,'07 Aug 2026'!$S$3:$S$6,$A24,'07 Aug 2026'!$K$3:$K$6,$D24)&lt;&gt;0,"07 Aug 2026",IF(SUMIFS('21 Aug 2026'!$G$3:$G$7,'21 Aug 2026'!$S$3:$S$7,$A24,'21 Aug 2026'!$K$3:$K$7,$D24)&lt;&gt;0,"21 Aug 2026",IF(SUMIFS('20 Sept 2026 '!$G$3:$G$14,'20 Sept 2026 '!$S$3:$S$14,$A24,'20 Sept 2026 '!$K$3:$K$14,$D24)&lt;&gt;0,"20 Sep 2026",IF(SUMIFS('22 Sep 2026'!$G$3:$G$11,'22 Sep 2026'!$S$3:$S$11,$A24,'22 Sep 2026'!$K$3:$K$11,$D24)&lt;&gt;0,"22 Sep 2026","NOT PAID"))))</f>
        <v/>
      </c>
      <c r="L24" s="42">
        <f>IFERROR(M24/I24,"")</f>
        <v/>
      </c>
      <c r="M24" s="42">
        <f>SUMIFS('07 Aug 2026'!$O$3:$O$6,'07 Aug 2026'!$S$3:$S$6,$A24,'07 Aug 2026'!$K$3:$K$6,$D24)+SUMIFS('21 Aug 2026'!$O$3:$O$7,'21 Aug 2026'!$S$3:$S$7,$A24,'21 Aug 2026'!$K$3:$K$7,$D24)+SUMIFS('20 Sept 2026 '!$O$3:$O$14,'20 Sept 2026 '!$S$3:$S$14,$A24,'20 Sept 2026 '!$K$3:$K$14,$D24)+SUMIFS('22 Sep 2026'!$O$3:$O$11,'22 Sep 2026'!$S$3:$S$11,$A24,'22 Sep 2026'!$K$3:$K$11,$D24)</f>
        <v/>
      </c>
      <c r="N24" s="40">
        <f>IF(I24=0,"",IF(ROUND(L24,2)=37.5,"OK","UNDER - $"&amp;TEXT((37.5-L24)*I24,"0.00")))</f>
        <v/>
      </c>
      <c r="O24" s="48" t="inlineStr">
        <is>
          <t>Paid as 5 + 3 hrs either side of break</t>
        </is>
      </c>
      <c r="P24" s="24" t="n"/>
      <c r="Q24" s="24" t="n"/>
      <c r="R24" s="24" t="n"/>
      <c r="S24" s="24" t="n"/>
      <c r="T24" s="24" t="n"/>
    </row>
    <row r="25">
      <c r="A25" s="39" t="n">
        <v>46254</v>
      </c>
      <c r="B25" s="40" t="inlineStr">
        <is>
          <t>Thu</t>
        </is>
      </c>
      <c r="C25" s="39" t="n">
        <v>46255</v>
      </c>
      <c r="D25" s="43" t="inlineStr">
        <is>
          <t>PWC National Pool of Hours [ONS]</t>
        </is>
      </c>
      <c r="E25" s="40" t="inlineStr">
        <is>
          <t>1:00 PM</t>
        </is>
      </c>
      <c r="F25" s="40" t="inlineStr">
        <is>
          <t>5:00 PM</t>
        </is>
      </c>
      <c r="G25" s="40" t="inlineStr">
        <is>
          <t>-</t>
        </is>
      </c>
      <c r="H25" s="41" t="n">
        <v>4</v>
      </c>
      <c r="I25" s="41">
        <f>SUMIFS('07 Aug 2026'!$G$3:$G$6,'07 Aug 2026'!$S$3:$S$6,$A25,'07 Aug 2026'!$K$3:$K$6,$D25)+SUMIFS('21 Aug 2026'!$G$3:$G$7,'21 Aug 2026'!$S$3:$S$7,$A25,'21 Aug 2026'!$K$3:$K$7,$D25)+SUMIFS('20 Sept 2026 '!$G$3:$G$14,'20 Sept 2026 '!$S$3:$S$14,$A25,'20 Sept 2026 '!$K$3:$K$14,$D25)+SUMIFS('22 Sep 2026'!$G$3:$G$11,'22 Sep 2026'!$S$3:$S$11,$A25,'22 Sep 2026'!$K$3:$K$11,$D25)</f>
        <v/>
      </c>
      <c r="J25" s="41">
        <f>H25-I25</f>
        <v/>
      </c>
      <c r="K25" s="40">
        <f>IF(SUMIFS('07 Aug 2026'!$G$3:$G$6,'07 Aug 2026'!$S$3:$S$6,$A25,'07 Aug 2026'!$K$3:$K$6,$D25)&lt;&gt;0,"07 Aug 2026",IF(SUMIFS('21 Aug 2026'!$G$3:$G$7,'21 Aug 2026'!$S$3:$S$7,$A25,'21 Aug 2026'!$K$3:$K$7,$D25)&lt;&gt;0,"21 Aug 2026",IF(SUMIFS('20 Sept 2026 '!$G$3:$G$14,'20 Sept 2026 '!$S$3:$S$14,$A25,'20 Sept 2026 '!$K$3:$K$14,$D25)&lt;&gt;0,"20 Sep 2026",IF(SUMIFS('22 Sep 2026'!$G$3:$G$11,'22 Sep 2026'!$S$3:$S$11,$A25,'22 Sep 2026'!$K$3:$K$11,$D25)&lt;&gt;0,"22 Sep 2026","NOT PAID"))))</f>
        <v/>
      </c>
      <c r="L25" s="42">
        <f>IFERROR(M25/I25,"")</f>
        <v/>
      </c>
      <c r="M25" s="42">
        <f>SUMIFS('07 Aug 2026'!$O$3:$O$6,'07 Aug 2026'!$S$3:$S$6,$A25,'07 Aug 2026'!$K$3:$K$6,$D25)+SUMIFS('21 Aug 2026'!$O$3:$O$7,'21 Aug 2026'!$S$3:$S$7,$A25,'21 Aug 2026'!$K$3:$K$7,$D25)+SUMIFS('20 Sept 2026 '!$O$3:$O$14,'20 Sept 2026 '!$S$3:$S$14,$A25,'20 Sept 2026 '!$K$3:$K$14,$D25)+SUMIFS('22 Sep 2026'!$O$3:$O$11,'22 Sep 2026'!$S$3:$S$11,$A25,'22 Sep 2026'!$K$3:$K$11,$D25)</f>
        <v/>
      </c>
      <c r="N25" s="40">
        <f>IF(I25=0,"",IF(ROUND(L25,2)=37.5,"OK","UNDER - $"&amp;TEXT((37.5-L25)*I25,"0.00")))</f>
        <v/>
      </c>
      <c r="O25" s="48" t="inlineStr"/>
      <c r="P25" s="24" t="n"/>
      <c r="Q25" s="24" t="n"/>
      <c r="R25" s="24" t="n"/>
      <c r="S25" s="24" t="n"/>
      <c r="T25" s="24" t="n"/>
    </row>
    <row r="26" ht="30" customHeight="1" s="12">
      <c r="A26" s="28" t="n">
        <v>46258</v>
      </c>
      <c r="B26" s="29" t="inlineStr">
        <is>
          <t>Mon</t>
        </is>
      </c>
      <c r="C26" s="28" t="n">
        <v>46269</v>
      </c>
      <c r="D26" s="30" t="inlineStr">
        <is>
          <t>DTTL Mel Tech FT 1 [ONS]</t>
        </is>
      </c>
      <c r="E26" s="29" t="inlineStr">
        <is>
          <t>8:30 AM</t>
        </is>
      </c>
      <c r="F26" s="29" t="inlineStr">
        <is>
          <t>5:00 PM</t>
        </is>
      </c>
      <c r="G26" s="29" t="inlineStr">
        <is>
          <t>12:00-12:30</t>
        </is>
      </c>
      <c r="H26" s="31" t="n">
        <v>8</v>
      </c>
      <c r="I26" s="31">
        <f>SUMIFS('07 Aug 2026'!$G$3:$G$6,'07 Aug 2026'!$S$3:$S$6,$A26,'07 Aug 2026'!$K$3:$K$6,$D26)+SUMIFS('21 Aug 2026'!$G$3:$G$7,'21 Aug 2026'!$S$3:$S$7,$A26,'21 Aug 2026'!$K$3:$K$7,$D26)+SUMIFS('20 Sept 2026 '!$G$3:$G$14,'20 Sept 2026 '!$S$3:$S$14,$A26,'20 Sept 2026 '!$K$3:$K$14,$D26)+SUMIFS('22 Sep 2026'!$G$3:$G$11,'22 Sep 2026'!$S$3:$S$11,$A26,'22 Sep 2026'!$K$3:$K$11,$D26)</f>
        <v/>
      </c>
      <c r="J26" s="31">
        <f>H26-I26</f>
        <v/>
      </c>
      <c r="K26" s="29">
        <f>IF(SUMIFS('07 Aug 2026'!$G$3:$G$6,'07 Aug 2026'!$S$3:$S$6,$A26,'07 Aug 2026'!$K$3:$K$6,$D26)&lt;&gt;0,"07 Aug 2026",IF(SUMIFS('21 Aug 2026'!$G$3:$G$7,'21 Aug 2026'!$S$3:$S$7,$A26,'21 Aug 2026'!$K$3:$K$7,$D26)&lt;&gt;0,"21 Aug 2026",IF(SUMIFS('20 Sept 2026 '!$G$3:$G$14,'20 Sept 2026 '!$S$3:$S$14,$A26,'20 Sept 2026 '!$K$3:$K$14,$D26)&lt;&gt;0,"20 Sep 2026",IF(SUMIFS('22 Sep 2026'!$G$3:$G$11,'22 Sep 2026'!$S$3:$S$11,$A26,'22 Sep 2026'!$K$3:$K$11,$D26)&lt;&gt;0,"22 Sep 2026","NOT PAID"))))</f>
        <v/>
      </c>
      <c r="L26" s="33">
        <f>IFERROR(M26/I26,"")</f>
        <v/>
      </c>
      <c r="M26" s="33">
        <f>SUMIFS('07 Aug 2026'!$O$3:$O$6,'07 Aug 2026'!$S$3:$S$6,$A26,'07 Aug 2026'!$K$3:$K$6,$D26)+SUMIFS('21 Aug 2026'!$O$3:$O$7,'21 Aug 2026'!$S$3:$S$7,$A26,'21 Aug 2026'!$K$3:$K$7,$D26)+SUMIFS('20 Sept 2026 '!$O$3:$O$14,'20 Sept 2026 '!$S$3:$S$14,$A26,'20 Sept 2026 '!$K$3:$K$14,$D26)+SUMIFS('22 Sep 2026'!$O$3:$O$11,'22 Sep 2026'!$S$3:$S$11,$A26,'22 Sep 2026'!$K$3:$K$11,$D26)</f>
        <v/>
      </c>
      <c r="N26" s="29">
        <f>IF(I26=0,"",IF(ROUND(L26,2)=37.5,"OK","UNDER - $"&amp;TEXT((37.5-L26)*I26,"0.00")))</f>
        <v/>
      </c>
      <c r="O26" s="49" t="inlineStr">
        <is>
          <t>QUERY - claimed missing. PAID IN FULL in the 20 Sep 2026 run as 3.5 + 4.5 hrs, $300.00 gross. See Section A.</t>
        </is>
      </c>
      <c r="P26" s="24" t="n"/>
      <c r="Q26" s="24" t="n"/>
      <c r="R26" s="24" t="n"/>
      <c r="S26" s="24" t="n"/>
      <c r="T26" s="24" t="n"/>
    </row>
    <row r="27">
      <c r="A27" s="39" t="n">
        <v>46259</v>
      </c>
      <c r="B27" s="40" t="inlineStr">
        <is>
          <t>Tue</t>
        </is>
      </c>
      <c r="C27" s="39" t="n">
        <v>46269</v>
      </c>
      <c r="D27" s="43" t="inlineStr">
        <is>
          <t>PWC National Pool of Hours [ONS]</t>
        </is>
      </c>
      <c r="E27" s="40" t="inlineStr">
        <is>
          <t>8:00 AM</t>
        </is>
      </c>
      <c r="F27" s="40" t="inlineStr">
        <is>
          <t>5:00 PM</t>
        </is>
      </c>
      <c r="G27" s="40" t="inlineStr">
        <is>
          <t>12:00-1:00</t>
        </is>
      </c>
      <c r="H27" s="41" t="n">
        <v>8</v>
      </c>
      <c r="I27" s="41">
        <f>SUMIFS('07 Aug 2026'!$G$3:$G$6,'07 Aug 2026'!$S$3:$S$6,$A27,'07 Aug 2026'!$K$3:$K$6,$D27)+SUMIFS('21 Aug 2026'!$G$3:$G$7,'21 Aug 2026'!$S$3:$S$7,$A27,'21 Aug 2026'!$K$3:$K$7,$D27)+SUMIFS('20 Sept 2026 '!$G$3:$G$14,'20 Sept 2026 '!$S$3:$S$14,$A27,'20 Sept 2026 '!$K$3:$K$14,$D27)+SUMIFS('22 Sep 2026'!$G$3:$G$11,'22 Sep 2026'!$S$3:$S$11,$A27,'22 Sep 2026'!$K$3:$K$11,$D27)</f>
        <v/>
      </c>
      <c r="J27" s="41">
        <f>H27-I27</f>
        <v/>
      </c>
      <c r="K27" s="40">
        <f>IF(SUMIFS('07 Aug 2026'!$G$3:$G$6,'07 Aug 2026'!$S$3:$S$6,$A27,'07 Aug 2026'!$K$3:$K$6,$D27)&lt;&gt;0,"07 Aug 2026",IF(SUMIFS('21 Aug 2026'!$G$3:$G$7,'21 Aug 2026'!$S$3:$S$7,$A27,'21 Aug 2026'!$K$3:$K$7,$D27)&lt;&gt;0,"21 Aug 2026",IF(SUMIFS('20 Sept 2026 '!$G$3:$G$14,'20 Sept 2026 '!$S$3:$S$14,$A27,'20 Sept 2026 '!$K$3:$K$14,$D27)&lt;&gt;0,"20 Sep 2026",IF(SUMIFS('22 Sep 2026'!$G$3:$G$11,'22 Sep 2026'!$S$3:$S$11,$A27,'22 Sep 2026'!$K$3:$K$11,$D27)&lt;&gt;0,"22 Sep 2026","NOT PAID"))))</f>
        <v/>
      </c>
      <c r="L27" s="42">
        <f>IFERROR(M27/I27,"")</f>
        <v/>
      </c>
      <c r="M27" s="42">
        <f>SUMIFS('07 Aug 2026'!$O$3:$O$6,'07 Aug 2026'!$S$3:$S$6,$A27,'07 Aug 2026'!$K$3:$K$6,$D27)+SUMIFS('21 Aug 2026'!$O$3:$O$7,'21 Aug 2026'!$S$3:$S$7,$A27,'21 Aug 2026'!$K$3:$K$7,$D27)+SUMIFS('20 Sept 2026 '!$O$3:$O$14,'20 Sept 2026 '!$S$3:$S$14,$A27,'20 Sept 2026 '!$K$3:$K$14,$D27)+SUMIFS('22 Sep 2026'!$O$3:$O$11,'22 Sep 2026'!$S$3:$S$11,$A27,'22 Sep 2026'!$K$3:$K$11,$D27)</f>
        <v/>
      </c>
      <c r="N27" s="40">
        <f>IF(I27=0,"",IF(ROUND(L27,2)=37.5,"OK","UNDER - $"&amp;TEXT((37.5-L27)*I27,"0.00")))</f>
        <v/>
      </c>
      <c r="O27" s="48" t="inlineStr">
        <is>
          <t>Paid as 4 + 4 hrs</t>
        </is>
      </c>
      <c r="P27" s="24" t="n"/>
      <c r="Q27" s="24" t="n"/>
      <c r="R27" s="24" t="n"/>
      <c r="S27" s="24" t="n"/>
      <c r="T27" s="24" t="n"/>
    </row>
    <row r="28">
      <c r="A28" s="39" t="n">
        <v>46260</v>
      </c>
      <c r="B28" s="40" t="inlineStr">
        <is>
          <t>Wed</t>
        </is>
      </c>
      <c r="C28" s="39" t="n">
        <v>46269</v>
      </c>
      <c r="D28" s="43" t="inlineStr">
        <is>
          <t>PWC National Pool of Hours [ONS]</t>
        </is>
      </c>
      <c r="E28" s="40" t="inlineStr">
        <is>
          <t>8:00 AM</t>
        </is>
      </c>
      <c r="F28" s="40" t="inlineStr">
        <is>
          <t>4:00 PM</t>
        </is>
      </c>
      <c r="G28" s="40" t="inlineStr">
        <is>
          <t>12:00-12:30</t>
        </is>
      </c>
      <c r="H28" s="41" t="n">
        <v>7.5</v>
      </c>
      <c r="I28" s="41">
        <f>SUMIFS('07 Aug 2026'!$G$3:$G$6,'07 Aug 2026'!$S$3:$S$6,$A28,'07 Aug 2026'!$K$3:$K$6,$D28)+SUMIFS('21 Aug 2026'!$G$3:$G$7,'21 Aug 2026'!$S$3:$S$7,$A28,'21 Aug 2026'!$K$3:$K$7,$D28)+SUMIFS('20 Sept 2026 '!$G$3:$G$14,'20 Sept 2026 '!$S$3:$S$14,$A28,'20 Sept 2026 '!$K$3:$K$14,$D28)+SUMIFS('22 Sep 2026'!$G$3:$G$11,'22 Sep 2026'!$S$3:$S$11,$A28,'22 Sep 2026'!$K$3:$K$11,$D28)</f>
        <v/>
      </c>
      <c r="J28" s="41">
        <f>H28-I28</f>
        <v/>
      </c>
      <c r="K28" s="40">
        <f>IF(SUMIFS('07 Aug 2026'!$G$3:$G$6,'07 Aug 2026'!$S$3:$S$6,$A28,'07 Aug 2026'!$K$3:$K$6,$D28)&lt;&gt;0,"07 Aug 2026",IF(SUMIFS('21 Aug 2026'!$G$3:$G$7,'21 Aug 2026'!$S$3:$S$7,$A28,'21 Aug 2026'!$K$3:$K$7,$D28)&lt;&gt;0,"21 Aug 2026",IF(SUMIFS('20 Sept 2026 '!$G$3:$G$14,'20 Sept 2026 '!$S$3:$S$14,$A28,'20 Sept 2026 '!$K$3:$K$14,$D28)&lt;&gt;0,"20 Sep 2026",IF(SUMIFS('22 Sep 2026'!$G$3:$G$11,'22 Sep 2026'!$S$3:$S$11,$A28,'22 Sep 2026'!$K$3:$K$11,$D28)&lt;&gt;0,"22 Sep 2026","NOT PAID"))))</f>
        <v/>
      </c>
      <c r="L28" s="42">
        <f>IFERROR(M28/I28,"")</f>
        <v/>
      </c>
      <c r="M28" s="42">
        <f>SUMIFS('07 Aug 2026'!$O$3:$O$6,'07 Aug 2026'!$S$3:$S$6,$A28,'07 Aug 2026'!$K$3:$K$6,$D28)+SUMIFS('21 Aug 2026'!$O$3:$O$7,'21 Aug 2026'!$S$3:$S$7,$A28,'21 Aug 2026'!$K$3:$K$7,$D28)+SUMIFS('20 Sept 2026 '!$O$3:$O$14,'20 Sept 2026 '!$S$3:$S$14,$A28,'20 Sept 2026 '!$K$3:$K$14,$D28)+SUMIFS('22 Sep 2026'!$O$3:$O$11,'22 Sep 2026'!$S$3:$S$11,$A28,'22 Sep 2026'!$K$3:$K$11,$D28)</f>
        <v/>
      </c>
      <c r="N28" s="40">
        <f>IF(I28=0,"",IF(ROUND(L28,2)=37.5,"OK","UNDER - $"&amp;TEXT((37.5-L28)*I28,"0.00")))</f>
        <v/>
      </c>
      <c r="O28" s="48" t="inlineStr">
        <is>
          <t>Paid as 4 + 3.5 hrs</t>
        </is>
      </c>
      <c r="P28" s="24" t="n"/>
      <c r="Q28" s="24" t="n"/>
      <c r="R28" s="24" t="n"/>
      <c r="S28" s="24" t="n"/>
      <c r="T28" s="24" t="n"/>
    </row>
    <row r="29">
      <c r="A29" s="39" t="n">
        <v>46261</v>
      </c>
      <c r="B29" s="40" t="inlineStr">
        <is>
          <t>Thu</t>
        </is>
      </c>
      <c r="C29" s="39" t="n">
        <v>46269</v>
      </c>
      <c r="D29" s="43" t="inlineStr">
        <is>
          <t>PWC National Pool of Hours [ONS]</t>
        </is>
      </c>
      <c r="E29" s="40" t="inlineStr">
        <is>
          <t>8:00 AM</t>
        </is>
      </c>
      <c r="F29" s="40" t="inlineStr">
        <is>
          <t>5:00 PM</t>
        </is>
      </c>
      <c r="G29" s="40" t="inlineStr">
        <is>
          <t>12:00-1:00</t>
        </is>
      </c>
      <c r="H29" s="41" t="n">
        <v>8</v>
      </c>
      <c r="I29" s="41">
        <f>SUMIFS('07 Aug 2026'!$G$3:$G$6,'07 Aug 2026'!$S$3:$S$6,$A29,'07 Aug 2026'!$K$3:$K$6,$D29)+SUMIFS('21 Aug 2026'!$G$3:$G$7,'21 Aug 2026'!$S$3:$S$7,$A29,'21 Aug 2026'!$K$3:$K$7,$D29)+SUMIFS('20 Sept 2026 '!$G$3:$G$14,'20 Sept 2026 '!$S$3:$S$14,$A29,'20 Sept 2026 '!$K$3:$K$14,$D29)+SUMIFS('22 Sep 2026'!$G$3:$G$11,'22 Sep 2026'!$S$3:$S$11,$A29,'22 Sep 2026'!$K$3:$K$11,$D29)</f>
        <v/>
      </c>
      <c r="J29" s="41">
        <f>H29-I29</f>
        <v/>
      </c>
      <c r="K29" s="40">
        <f>IF(SUMIFS('07 Aug 2026'!$G$3:$G$6,'07 Aug 2026'!$S$3:$S$6,$A29,'07 Aug 2026'!$K$3:$K$6,$D29)&lt;&gt;0,"07 Aug 2026",IF(SUMIFS('21 Aug 2026'!$G$3:$G$7,'21 Aug 2026'!$S$3:$S$7,$A29,'21 Aug 2026'!$K$3:$K$7,$D29)&lt;&gt;0,"21 Aug 2026",IF(SUMIFS('20 Sept 2026 '!$G$3:$G$14,'20 Sept 2026 '!$S$3:$S$14,$A29,'20 Sept 2026 '!$K$3:$K$14,$D29)&lt;&gt;0,"20 Sep 2026",IF(SUMIFS('22 Sep 2026'!$G$3:$G$11,'22 Sep 2026'!$S$3:$S$11,$A29,'22 Sep 2026'!$K$3:$K$11,$D29)&lt;&gt;0,"22 Sep 2026","NOT PAID"))))</f>
        <v/>
      </c>
      <c r="L29" s="42">
        <f>IFERROR(M29/I29,"")</f>
        <v/>
      </c>
      <c r="M29" s="42">
        <f>SUMIFS('07 Aug 2026'!$O$3:$O$6,'07 Aug 2026'!$S$3:$S$6,$A29,'07 Aug 2026'!$K$3:$K$6,$D29)+SUMIFS('21 Aug 2026'!$O$3:$O$7,'21 Aug 2026'!$S$3:$S$7,$A29,'21 Aug 2026'!$K$3:$K$7,$D29)+SUMIFS('20 Sept 2026 '!$O$3:$O$14,'20 Sept 2026 '!$S$3:$S$14,$A29,'20 Sept 2026 '!$K$3:$K$14,$D29)+SUMIFS('22 Sep 2026'!$O$3:$O$11,'22 Sep 2026'!$S$3:$S$11,$A29,'22 Sep 2026'!$K$3:$K$11,$D29)</f>
        <v/>
      </c>
      <c r="N29" s="40">
        <f>IF(I29=0,"",IF(ROUND(L29,2)=37.5,"OK","UNDER - $"&amp;TEXT((37.5-L29)*I29,"0.00")))</f>
        <v/>
      </c>
      <c r="O29" s="48" t="inlineStr">
        <is>
          <t>Paid as 4 + 4 hrs</t>
        </is>
      </c>
      <c r="P29" s="24" t="n"/>
      <c r="Q29" s="24" t="n"/>
      <c r="R29" s="24" t="n"/>
      <c r="S29" s="24" t="n"/>
      <c r="T29" s="24" t="n"/>
    </row>
    <row r="30" ht="30" customHeight="1" s="12">
      <c r="A30" s="28" t="n">
        <v>46262</v>
      </c>
      <c r="B30" s="29" t="inlineStr">
        <is>
          <t>Fri</t>
        </is>
      </c>
      <c r="C30" s="28" t="n">
        <v>46269</v>
      </c>
      <c r="D30" s="30" t="inlineStr">
        <is>
          <t>DTTL Mel Tech FT 1 [ONS]</t>
        </is>
      </c>
      <c r="E30" s="29" t="inlineStr">
        <is>
          <t>8:30 AM</t>
        </is>
      </c>
      <c r="F30" s="29" t="inlineStr">
        <is>
          <t>5:00 PM</t>
        </is>
      </c>
      <c r="G30" s="29" t="inlineStr">
        <is>
          <t>12:00-12:30</t>
        </is>
      </c>
      <c r="H30" s="31" t="n">
        <v>8</v>
      </c>
      <c r="I30" s="31">
        <f>SUMIFS('07 Aug 2026'!$G$3:$G$6,'07 Aug 2026'!$S$3:$S$6,$A30,'07 Aug 2026'!$K$3:$K$6,$D30)+SUMIFS('21 Aug 2026'!$G$3:$G$7,'21 Aug 2026'!$S$3:$S$7,$A30,'21 Aug 2026'!$K$3:$K$7,$D30)+SUMIFS('20 Sept 2026 '!$G$3:$G$14,'20 Sept 2026 '!$S$3:$S$14,$A30,'20 Sept 2026 '!$K$3:$K$14,$D30)+SUMIFS('22 Sep 2026'!$G$3:$G$11,'22 Sep 2026'!$S$3:$S$11,$A30,'22 Sep 2026'!$K$3:$K$11,$D30)</f>
        <v/>
      </c>
      <c r="J30" s="31">
        <f>H30-I30</f>
        <v/>
      </c>
      <c r="K30" s="29">
        <f>IF(SUMIFS('07 Aug 2026'!$G$3:$G$6,'07 Aug 2026'!$S$3:$S$6,$A30,'07 Aug 2026'!$K$3:$K$6,$D30)&lt;&gt;0,"07 Aug 2026",IF(SUMIFS('21 Aug 2026'!$G$3:$G$7,'21 Aug 2026'!$S$3:$S$7,$A30,'21 Aug 2026'!$K$3:$K$7,$D30)&lt;&gt;0,"21 Aug 2026",IF(SUMIFS('20 Sept 2026 '!$G$3:$G$14,'20 Sept 2026 '!$S$3:$S$14,$A30,'20 Sept 2026 '!$K$3:$K$14,$D30)&lt;&gt;0,"20 Sep 2026",IF(SUMIFS('22 Sep 2026'!$G$3:$G$11,'22 Sep 2026'!$S$3:$S$11,$A30,'22 Sep 2026'!$K$3:$K$11,$D30)&lt;&gt;0,"22 Sep 2026","NOT PAID"))))</f>
        <v/>
      </c>
      <c r="L30" s="33">
        <f>IFERROR(M30/I30,"")</f>
        <v/>
      </c>
      <c r="M30" s="33">
        <f>SUMIFS('07 Aug 2026'!$O$3:$O$6,'07 Aug 2026'!$S$3:$S$6,$A30,'07 Aug 2026'!$K$3:$K$6,$D30)+SUMIFS('21 Aug 2026'!$O$3:$O$7,'21 Aug 2026'!$S$3:$S$7,$A30,'21 Aug 2026'!$K$3:$K$7,$D30)+SUMIFS('20 Sept 2026 '!$O$3:$O$14,'20 Sept 2026 '!$S$3:$S$14,$A30,'20 Sept 2026 '!$K$3:$K$14,$D30)+SUMIFS('22 Sep 2026'!$O$3:$O$11,'22 Sep 2026'!$S$3:$S$11,$A30,'22 Sep 2026'!$K$3:$K$11,$D30)</f>
        <v/>
      </c>
      <c r="N30" s="29">
        <f>IF(I30=0,"",IF(ROUND(L30,2)=37.5,"OK","UNDER - $"&amp;TEXT((37.5-L30)*I30,"0.00")))</f>
        <v/>
      </c>
      <c r="O30" s="49" t="inlineStr">
        <is>
          <t>QUERY - claimed missing. PAID IN FULL in the 20 Sep 2026 run as 3.5 + 4.5 hrs, $300.00 gross. See Section A.</t>
        </is>
      </c>
      <c r="P30" s="24" t="n"/>
      <c r="Q30" s="24" t="n"/>
      <c r="R30" s="24" t="n"/>
      <c r="S30" s="24" t="n"/>
      <c r="T30" s="24" t="n"/>
    </row>
    <row r="31">
      <c r="A31" s="39" t="n">
        <v>46265</v>
      </c>
      <c r="B31" s="40" t="inlineStr">
        <is>
          <t>Mon</t>
        </is>
      </c>
      <c r="C31" s="39" t="n">
        <v>46269</v>
      </c>
      <c r="D31" s="43" t="inlineStr">
        <is>
          <t>DTTL Mel Tech FT 1 [ONS]</t>
        </is>
      </c>
      <c r="E31" s="40" t="inlineStr">
        <is>
          <t>8:30 AM</t>
        </is>
      </c>
      <c r="F31" s="40" t="inlineStr">
        <is>
          <t>5:00 PM</t>
        </is>
      </c>
      <c r="G31" s="40" t="inlineStr">
        <is>
          <t>12:00-12:30</t>
        </is>
      </c>
      <c r="H31" s="41" t="n">
        <v>8</v>
      </c>
      <c r="I31" s="41">
        <f>SUMIFS('07 Aug 2026'!$G$3:$G$6,'07 Aug 2026'!$S$3:$S$6,$A31,'07 Aug 2026'!$K$3:$K$6,$D31)+SUMIFS('21 Aug 2026'!$G$3:$G$7,'21 Aug 2026'!$S$3:$S$7,$A31,'21 Aug 2026'!$K$3:$K$7,$D31)+SUMIFS('20 Sept 2026 '!$G$3:$G$14,'20 Sept 2026 '!$S$3:$S$14,$A31,'20 Sept 2026 '!$K$3:$K$14,$D31)+SUMIFS('22 Sep 2026'!$G$3:$G$11,'22 Sep 2026'!$S$3:$S$11,$A31,'22 Sep 2026'!$K$3:$K$11,$D31)</f>
        <v/>
      </c>
      <c r="J31" s="41">
        <f>H31-I31</f>
        <v/>
      </c>
      <c r="K31" s="40">
        <f>IF(SUMIFS('07 Aug 2026'!$G$3:$G$6,'07 Aug 2026'!$S$3:$S$6,$A31,'07 Aug 2026'!$K$3:$K$6,$D31)&lt;&gt;0,"07 Aug 2026",IF(SUMIFS('21 Aug 2026'!$G$3:$G$7,'21 Aug 2026'!$S$3:$S$7,$A31,'21 Aug 2026'!$K$3:$K$7,$D31)&lt;&gt;0,"21 Aug 2026",IF(SUMIFS('20 Sept 2026 '!$G$3:$G$14,'20 Sept 2026 '!$S$3:$S$14,$A31,'20 Sept 2026 '!$K$3:$K$14,$D31)&lt;&gt;0,"20 Sep 2026",IF(SUMIFS('22 Sep 2026'!$G$3:$G$11,'22 Sep 2026'!$S$3:$S$11,$A31,'22 Sep 2026'!$K$3:$K$11,$D31)&lt;&gt;0,"22 Sep 2026","NOT PAID"))))</f>
        <v/>
      </c>
      <c r="L31" s="42">
        <f>IFERROR(M31/I31,"")</f>
        <v/>
      </c>
      <c r="M31" s="42">
        <f>SUMIFS('07 Aug 2026'!$O$3:$O$6,'07 Aug 2026'!$S$3:$S$6,$A31,'07 Aug 2026'!$K$3:$K$6,$D31)+SUMIFS('21 Aug 2026'!$O$3:$O$7,'21 Aug 2026'!$S$3:$S$7,$A31,'21 Aug 2026'!$K$3:$K$7,$D31)+SUMIFS('20 Sept 2026 '!$O$3:$O$14,'20 Sept 2026 '!$S$3:$S$14,$A31,'20 Sept 2026 '!$K$3:$K$14,$D31)+SUMIFS('22 Sep 2026'!$O$3:$O$11,'22 Sep 2026'!$S$3:$S$11,$A31,'22 Sep 2026'!$K$3:$K$11,$D31)</f>
        <v/>
      </c>
      <c r="N31" s="40">
        <f>IF(I31=0,"",IF(ROUND(L31,2)=37.5,"OK","UNDER - $"&amp;TEXT((37.5-L31)*I31,"0.00")))</f>
        <v/>
      </c>
      <c r="O31" s="48" t="inlineStr">
        <is>
          <t>Paid as 3.5 + 4.5 hrs</t>
        </is>
      </c>
      <c r="P31" s="24" t="n"/>
      <c r="Q31" s="24" t="n"/>
      <c r="R31" s="24" t="n"/>
      <c r="S31" s="24" t="n"/>
      <c r="T31" s="24" t="n"/>
    </row>
    <row r="32">
      <c r="A32" s="39" t="n">
        <v>46266</v>
      </c>
      <c r="B32" s="40" t="inlineStr">
        <is>
          <t>Tue</t>
        </is>
      </c>
      <c r="C32" s="39" t="n">
        <v>46269</v>
      </c>
      <c r="D32" s="43" t="inlineStr">
        <is>
          <t>DTTL Mel Tech FT 1 [ONS]</t>
        </is>
      </c>
      <c r="E32" s="40" t="inlineStr">
        <is>
          <t>9:00 AM</t>
        </is>
      </c>
      <c r="F32" s="40" t="inlineStr">
        <is>
          <t>5:30 PM</t>
        </is>
      </c>
      <c r="G32" s="40" t="inlineStr">
        <is>
          <t>12:00-12:30</t>
        </is>
      </c>
      <c r="H32" s="41" t="n">
        <v>8</v>
      </c>
      <c r="I32" s="41">
        <f>SUMIFS('07 Aug 2026'!$G$3:$G$6,'07 Aug 2026'!$S$3:$S$6,$A32,'07 Aug 2026'!$K$3:$K$6,$D32)+SUMIFS('21 Aug 2026'!$G$3:$G$7,'21 Aug 2026'!$S$3:$S$7,$A32,'21 Aug 2026'!$K$3:$K$7,$D32)+SUMIFS('20 Sept 2026 '!$G$3:$G$14,'20 Sept 2026 '!$S$3:$S$14,$A32,'20 Sept 2026 '!$K$3:$K$14,$D32)+SUMIFS('22 Sep 2026'!$G$3:$G$11,'22 Sep 2026'!$S$3:$S$11,$A32,'22 Sep 2026'!$K$3:$K$11,$D32)</f>
        <v/>
      </c>
      <c r="J32" s="41">
        <f>H32-I32</f>
        <v/>
      </c>
      <c r="K32" s="40">
        <f>IF(SUMIFS('07 Aug 2026'!$G$3:$G$6,'07 Aug 2026'!$S$3:$S$6,$A32,'07 Aug 2026'!$K$3:$K$6,$D32)&lt;&gt;0,"07 Aug 2026",IF(SUMIFS('21 Aug 2026'!$G$3:$G$7,'21 Aug 2026'!$S$3:$S$7,$A32,'21 Aug 2026'!$K$3:$K$7,$D32)&lt;&gt;0,"21 Aug 2026",IF(SUMIFS('20 Sept 2026 '!$G$3:$G$14,'20 Sept 2026 '!$S$3:$S$14,$A32,'20 Sept 2026 '!$K$3:$K$14,$D32)&lt;&gt;0,"20 Sep 2026",IF(SUMIFS('22 Sep 2026'!$G$3:$G$11,'22 Sep 2026'!$S$3:$S$11,$A32,'22 Sep 2026'!$K$3:$K$11,$D32)&lt;&gt;0,"22 Sep 2026","NOT PAID"))))</f>
        <v/>
      </c>
      <c r="L32" s="42">
        <f>IFERROR(M32/I32,"")</f>
        <v/>
      </c>
      <c r="M32" s="42">
        <f>SUMIFS('07 Aug 2026'!$O$3:$O$6,'07 Aug 2026'!$S$3:$S$6,$A32,'07 Aug 2026'!$K$3:$K$6,$D32)+SUMIFS('21 Aug 2026'!$O$3:$O$7,'21 Aug 2026'!$S$3:$S$7,$A32,'21 Aug 2026'!$K$3:$K$7,$D32)+SUMIFS('20 Sept 2026 '!$O$3:$O$14,'20 Sept 2026 '!$S$3:$S$14,$A32,'20 Sept 2026 '!$K$3:$K$14,$D32)+SUMIFS('22 Sep 2026'!$O$3:$O$11,'22 Sep 2026'!$S$3:$S$11,$A32,'22 Sep 2026'!$K$3:$K$11,$D32)</f>
        <v/>
      </c>
      <c r="N32" s="40">
        <f>IF(I32=0,"",IF(ROUND(L32,2)=37.5,"OK","UNDER - $"&amp;TEXT((37.5-L32)*I32,"0.00")))</f>
        <v/>
      </c>
      <c r="O32" s="48" t="inlineStr">
        <is>
          <t>Paid as 3 + 5 hrs</t>
        </is>
      </c>
      <c r="P32" s="24" t="n"/>
      <c r="Q32" s="24" t="n"/>
      <c r="R32" s="24" t="n"/>
      <c r="S32" s="24" t="n"/>
      <c r="T32" s="24" t="n"/>
    </row>
    <row r="33">
      <c r="A33" s="39" t="n">
        <v>46267</v>
      </c>
      <c r="B33" s="40" t="inlineStr">
        <is>
          <t>Wed</t>
        </is>
      </c>
      <c r="C33" s="39" t="n">
        <v>46269</v>
      </c>
      <c r="D33" s="43" t="inlineStr">
        <is>
          <t>DTTL Mel Tech FT 1 [ONS]</t>
        </is>
      </c>
      <c r="E33" s="40" t="inlineStr">
        <is>
          <t>9:00 AM</t>
        </is>
      </c>
      <c r="F33" s="40" t="inlineStr">
        <is>
          <t>5:30 PM</t>
        </is>
      </c>
      <c r="G33" s="40" t="inlineStr">
        <is>
          <t>12:00-12:30</t>
        </is>
      </c>
      <c r="H33" s="41" t="n">
        <v>8</v>
      </c>
      <c r="I33" s="41">
        <f>SUMIFS('07 Aug 2026'!$G$3:$G$6,'07 Aug 2026'!$S$3:$S$6,$A33,'07 Aug 2026'!$K$3:$K$6,$D33)+SUMIFS('21 Aug 2026'!$G$3:$G$7,'21 Aug 2026'!$S$3:$S$7,$A33,'21 Aug 2026'!$K$3:$K$7,$D33)+SUMIFS('20 Sept 2026 '!$G$3:$G$14,'20 Sept 2026 '!$S$3:$S$14,$A33,'20 Sept 2026 '!$K$3:$K$14,$D33)+SUMIFS('22 Sep 2026'!$G$3:$G$11,'22 Sep 2026'!$S$3:$S$11,$A33,'22 Sep 2026'!$K$3:$K$11,$D33)</f>
        <v/>
      </c>
      <c r="J33" s="41">
        <f>H33-I33</f>
        <v/>
      </c>
      <c r="K33" s="40">
        <f>IF(SUMIFS('07 Aug 2026'!$G$3:$G$6,'07 Aug 2026'!$S$3:$S$6,$A33,'07 Aug 2026'!$K$3:$K$6,$D33)&lt;&gt;0,"07 Aug 2026",IF(SUMIFS('21 Aug 2026'!$G$3:$G$7,'21 Aug 2026'!$S$3:$S$7,$A33,'21 Aug 2026'!$K$3:$K$7,$D33)&lt;&gt;0,"21 Aug 2026",IF(SUMIFS('20 Sept 2026 '!$G$3:$G$14,'20 Sept 2026 '!$S$3:$S$14,$A33,'20 Sept 2026 '!$K$3:$K$14,$D33)&lt;&gt;0,"20 Sep 2026",IF(SUMIFS('22 Sep 2026'!$G$3:$G$11,'22 Sep 2026'!$S$3:$S$11,$A33,'22 Sep 2026'!$K$3:$K$11,$D33)&lt;&gt;0,"22 Sep 2026","NOT PAID"))))</f>
        <v/>
      </c>
      <c r="L33" s="42">
        <f>IFERROR(M33/I33,"")</f>
        <v/>
      </c>
      <c r="M33" s="42">
        <f>SUMIFS('07 Aug 2026'!$O$3:$O$6,'07 Aug 2026'!$S$3:$S$6,$A33,'07 Aug 2026'!$K$3:$K$6,$D33)+SUMIFS('21 Aug 2026'!$O$3:$O$7,'21 Aug 2026'!$S$3:$S$7,$A33,'21 Aug 2026'!$K$3:$K$7,$D33)+SUMIFS('20 Sept 2026 '!$O$3:$O$14,'20 Sept 2026 '!$S$3:$S$14,$A33,'20 Sept 2026 '!$K$3:$K$14,$D33)+SUMIFS('22 Sep 2026'!$O$3:$O$11,'22 Sep 2026'!$S$3:$S$11,$A33,'22 Sep 2026'!$K$3:$K$11,$D33)</f>
        <v/>
      </c>
      <c r="N33" s="40">
        <f>IF(I33=0,"",IF(ROUND(L33,2)=37.5,"OK","UNDER - $"&amp;TEXT((37.5-L33)*I33,"0.00")))</f>
        <v/>
      </c>
      <c r="O33" s="48" t="inlineStr">
        <is>
          <t>Paid as 3 + 5 hrs</t>
        </is>
      </c>
      <c r="P33" s="24" t="n"/>
      <c r="Q33" s="24" t="n"/>
      <c r="R33" s="24" t="n"/>
      <c r="S33" s="24" t="n"/>
      <c r="T33" s="24" t="n"/>
    </row>
    <row r="34">
      <c r="A34" s="39" t="n">
        <v>46269</v>
      </c>
      <c r="B34" s="40" t="inlineStr">
        <is>
          <t>Fri</t>
        </is>
      </c>
      <c r="C34" s="39" t="n">
        <v>46269</v>
      </c>
      <c r="D34" s="43" t="inlineStr">
        <is>
          <t>DTTL Mel Tech FT 1 [ONS]</t>
        </is>
      </c>
      <c r="E34" s="40" t="inlineStr">
        <is>
          <t>8:30 AM</t>
        </is>
      </c>
      <c r="F34" s="40" t="inlineStr">
        <is>
          <t>5:00 PM</t>
        </is>
      </c>
      <c r="G34" s="40" t="inlineStr">
        <is>
          <t>12:00-12:30</t>
        </is>
      </c>
      <c r="H34" s="41" t="n">
        <v>8</v>
      </c>
      <c r="I34" s="41">
        <f>SUMIFS('07 Aug 2026'!$G$3:$G$6,'07 Aug 2026'!$S$3:$S$6,$A34,'07 Aug 2026'!$K$3:$K$6,$D34)+SUMIFS('21 Aug 2026'!$G$3:$G$7,'21 Aug 2026'!$S$3:$S$7,$A34,'21 Aug 2026'!$K$3:$K$7,$D34)+SUMIFS('20 Sept 2026 '!$G$3:$G$14,'20 Sept 2026 '!$S$3:$S$14,$A34,'20 Sept 2026 '!$K$3:$K$14,$D34)+SUMIFS('22 Sep 2026'!$G$3:$G$11,'22 Sep 2026'!$S$3:$S$11,$A34,'22 Sep 2026'!$K$3:$K$11,$D34)</f>
        <v/>
      </c>
      <c r="J34" s="41">
        <f>H34-I34</f>
        <v/>
      </c>
      <c r="K34" s="40">
        <f>IF(SUMIFS('07 Aug 2026'!$G$3:$G$6,'07 Aug 2026'!$S$3:$S$6,$A34,'07 Aug 2026'!$K$3:$K$6,$D34)&lt;&gt;0,"07 Aug 2026",IF(SUMIFS('21 Aug 2026'!$G$3:$G$7,'21 Aug 2026'!$S$3:$S$7,$A34,'21 Aug 2026'!$K$3:$K$7,$D34)&lt;&gt;0,"21 Aug 2026",IF(SUMIFS('20 Sept 2026 '!$G$3:$G$14,'20 Sept 2026 '!$S$3:$S$14,$A34,'20 Sept 2026 '!$K$3:$K$14,$D34)&lt;&gt;0,"20 Sep 2026",IF(SUMIFS('22 Sep 2026'!$G$3:$G$11,'22 Sep 2026'!$S$3:$S$11,$A34,'22 Sep 2026'!$K$3:$K$11,$D34)&lt;&gt;0,"22 Sep 2026","NOT PAID"))))</f>
        <v/>
      </c>
      <c r="L34" s="42">
        <f>IFERROR(M34/I34,"")</f>
        <v/>
      </c>
      <c r="M34" s="42">
        <f>SUMIFS('07 Aug 2026'!$O$3:$O$6,'07 Aug 2026'!$S$3:$S$6,$A34,'07 Aug 2026'!$K$3:$K$6,$D34)+SUMIFS('21 Aug 2026'!$O$3:$O$7,'21 Aug 2026'!$S$3:$S$7,$A34,'21 Aug 2026'!$K$3:$K$7,$D34)+SUMIFS('20 Sept 2026 '!$O$3:$O$14,'20 Sept 2026 '!$S$3:$S$14,$A34,'20 Sept 2026 '!$K$3:$K$14,$D34)+SUMIFS('22 Sep 2026'!$O$3:$O$11,'22 Sep 2026'!$S$3:$S$11,$A34,'22 Sep 2026'!$K$3:$K$11,$D34)</f>
        <v/>
      </c>
      <c r="N34" s="40">
        <f>IF(I34=0,"",IF(ROUND(L34,2)=37.5,"OK","UNDER - $"&amp;TEXT((37.5-L34)*I34,"0.00")))</f>
        <v/>
      </c>
      <c r="O34" s="48" t="inlineStr">
        <is>
          <t>Paid as 3.5 + 4.5 hrs</t>
        </is>
      </c>
      <c r="P34" s="24" t="n"/>
      <c r="Q34" s="24" t="n"/>
      <c r="R34" s="24" t="n"/>
      <c r="S34" s="24" t="n"/>
      <c r="T34" s="24" t="n"/>
    </row>
    <row r="35">
      <c r="A35" s="39" t="n">
        <v>46275</v>
      </c>
      <c r="B35" s="40" t="inlineStr">
        <is>
          <t>Thu</t>
        </is>
      </c>
      <c r="C35" s="39" t="n">
        <v>46283</v>
      </c>
      <c r="D35" s="43" t="inlineStr">
        <is>
          <t>PWC National Pool of Hours [ONS]</t>
        </is>
      </c>
      <c r="E35" s="40" t="inlineStr">
        <is>
          <t>8:00 AM</t>
        </is>
      </c>
      <c r="F35" s="40" t="inlineStr">
        <is>
          <t>5:00 PM</t>
        </is>
      </c>
      <c r="G35" s="40" t="inlineStr">
        <is>
          <t>12:00-1:00</t>
        </is>
      </c>
      <c r="H35" s="41" t="n">
        <v>8</v>
      </c>
      <c r="I35" s="41">
        <f>SUMIFS('07 Aug 2026'!$G$3:$G$6,'07 Aug 2026'!$S$3:$S$6,$A35,'07 Aug 2026'!$K$3:$K$6,$D35)+SUMIFS('21 Aug 2026'!$G$3:$G$7,'21 Aug 2026'!$S$3:$S$7,$A35,'21 Aug 2026'!$K$3:$K$7,$D35)+SUMIFS('20 Sept 2026 '!$G$3:$G$14,'20 Sept 2026 '!$S$3:$S$14,$A35,'20 Sept 2026 '!$K$3:$K$14,$D35)+SUMIFS('22 Sep 2026'!$G$3:$G$11,'22 Sep 2026'!$S$3:$S$11,$A35,'22 Sep 2026'!$K$3:$K$11,$D35)</f>
        <v/>
      </c>
      <c r="J35" s="41">
        <f>H35-I35</f>
        <v/>
      </c>
      <c r="K35" s="40">
        <f>IF(SUMIFS('07 Aug 2026'!$G$3:$G$6,'07 Aug 2026'!$S$3:$S$6,$A35,'07 Aug 2026'!$K$3:$K$6,$D35)&lt;&gt;0,"07 Aug 2026",IF(SUMIFS('21 Aug 2026'!$G$3:$G$7,'21 Aug 2026'!$S$3:$S$7,$A35,'21 Aug 2026'!$K$3:$K$7,$D35)&lt;&gt;0,"21 Aug 2026",IF(SUMIFS('20 Sept 2026 '!$G$3:$G$14,'20 Sept 2026 '!$S$3:$S$14,$A35,'20 Sept 2026 '!$K$3:$K$14,$D35)&lt;&gt;0,"20 Sep 2026",IF(SUMIFS('22 Sep 2026'!$G$3:$G$11,'22 Sep 2026'!$S$3:$S$11,$A35,'22 Sep 2026'!$K$3:$K$11,$D35)&lt;&gt;0,"22 Sep 2026","NOT PAID"))))</f>
        <v/>
      </c>
      <c r="L35" s="42">
        <f>IFERROR(M35/I35,"")</f>
        <v/>
      </c>
      <c r="M35" s="42">
        <f>SUMIFS('07 Aug 2026'!$O$3:$O$6,'07 Aug 2026'!$S$3:$S$6,$A35,'07 Aug 2026'!$K$3:$K$6,$D35)+SUMIFS('21 Aug 2026'!$O$3:$O$7,'21 Aug 2026'!$S$3:$S$7,$A35,'21 Aug 2026'!$K$3:$K$7,$D35)+SUMIFS('20 Sept 2026 '!$O$3:$O$14,'20 Sept 2026 '!$S$3:$S$14,$A35,'20 Sept 2026 '!$K$3:$K$14,$D35)+SUMIFS('22 Sep 2026'!$O$3:$O$11,'22 Sep 2026'!$S$3:$S$11,$A35,'22 Sep 2026'!$K$3:$K$11,$D35)</f>
        <v/>
      </c>
      <c r="N35" s="40">
        <f>IF(I35=0,"",IF(ROUND(L35,2)=37.5,"OK","UNDER - $"&amp;TEXT((37.5-L35)*I35,"0.00")))</f>
        <v/>
      </c>
      <c r="O35" s="48" t="inlineStr">
        <is>
          <t>Paid as 4 + 4 hrs</t>
        </is>
      </c>
      <c r="P35" s="24" t="n"/>
      <c r="Q35" s="24" t="n"/>
      <c r="R35" s="24" t="n"/>
      <c r="S35" s="24" t="n"/>
      <c r="T35" s="24" t="n"/>
    </row>
    <row r="36">
      <c r="A36" s="39" t="n">
        <v>46282</v>
      </c>
      <c r="B36" s="40" t="inlineStr">
        <is>
          <t>Thu</t>
        </is>
      </c>
      <c r="C36" s="39" t="n">
        <v>46283</v>
      </c>
      <c r="D36" s="43" t="inlineStr">
        <is>
          <t>Aware Super AV Maintenance [ONS]</t>
        </is>
      </c>
      <c r="E36" s="40" t="inlineStr">
        <is>
          <t>11:30 AM</t>
        </is>
      </c>
      <c r="F36" s="40" t="inlineStr">
        <is>
          <t>3:30 PM</t>
        </is>
      </c>
      <c r="G36" s="40" t="inlineStr">
        <is>
          <t>-</t>
        </is>
      </c>
      <c r="H36" s="41" t="n">
        <v>4</v>
      </c>
      <c r="I36" s="41">
        <f>SUMIFS('07 Aug 2026'!$G$3:$G$6,'07 Aug 2026'!$S$3:$S$6,$A36,'07 Aug 2026'!$K$3:$K$6,$D36)+SUMIFS('21 Aug 2026'!$G$3:$G$7,'21 Aug 2026'!$S$3:$S$7,$A36,'21 Aug 2026'!$K$3:$K$7,$D36)+SUMIFS('20 Sept 2026 '!$G$3:$G$14,'20 Sept 2026 '!$S$3:$S$14,$A36,'20 Sept 2026 '!$K$3:$K$14,$D36)+SUMIFS('22 Sep 2026'!$G$3:$G$11,'22 Sep 2026'!$S$3:$S$11,$A36,'22 Sep 2026'!$K$3:$K$11,$D36)</f>
        <v/>
      </c>
      <c r="J36" s="41">
        <f>H36-I36</f>
        <v/>
      </c>
      <c r="K36" s="40">
        <f>IF(SUMIFS('07 Aug 2026'!$G$3:$G$6,'07 Aug 2026'!$S$3:$S$6,$A36,'07 Aug 2026'!$K$3:$K$6,$D36)&lt;&gt;0,"07 Aug 2026",IF(SUMIFS('21 Aug 2026'!$G$3:$G$7,'21 Aug 2026'!$S$3:$S$7,$A36,'21 Aug 2026'!$K$3:$K$7,$D36)&lt;&gt;0,"21 Aug 2026",IF(SUMIFS('20 Sept 2026 '!$G$3:$G$14,'20 Sept 2026 '!$S$3:$S$14,$A36,'20 Sept 2026 '!$K$3:$K$14,$D36)&lt;&gt;0,"20 Sep 2026",IF(SUMIFS('22 Sep 2026'!$G$3:$G$11,'22 Sep 2026'!$S$3:$S$11,$A36,'22 Sep 2026'!$K$3:$K$11,$D36)&lt;&gt;0,"22 Sep 2026","NOT PAID"))))</f>
        <v/>
      </c>
      <c r="L36" s="42">
        <f>IFERROR(M36/I36,"")</f>
        <v/>
      </c>
      <c r="M36" s="42">
        <f>SUMIFS('07 Aug 2026'!$O$3:$O$6,'07 Aug 2026'!$S$3:$S$6,$A36,'07 Aug 2026'!$K$3:$K$6,$D36)+SUMIFS('21 Aug 2026'!$O$3:$O$7,'21 Aug 2026'!$S$3:$S$7,$A36,'21 Aug 2026'!$K$3:$K$7,$D36)+SUMIFS('20 Sept 2026 '!$O$3:$O$14,'20 Sept 2026 '!$S$3:$S$14,$A36,'20 Sept 2026 '!$K$3:$K$14,$D36)+SUMIFS('22 Sep 2026'!$O$3:$O$11,'22 Sep 2026'!$S$3:$S$11,$A36,'22 Sep 2026'!$K$3:$K$11,$D36)</f>
        <v/>
      </c>
      <c r="N36" s="40">
        <f>IF(I36=0,"",IF(ROUND(L36,2)=37.5,"OK","UNDER - $"&amp;TEXT((37.5-L36)*I36,"0.00")))</f>
        <v/>
      </c>
      <c r="O36" s="48" t="inlineStr"/>
      <c r="P36" s="24" t="n"/>
      <c r="Q36" s="24" t="n"/>
      <c r="R36" s="24" t="n"/>
      <c r="S36" s="24" t="n"/>
      <c r="T36" s="24" t="n"/>
    </row>
    <row r="37">
      <c r="A37" s="44" t="inlineStr">
        <is>
          <t>TOTAL</t>
        </is>
      </c>
      <c r="B37" s="44" t="n"/>
      <c r="C37" s="44" t="n"/>
      <c r="D37" s="44" t="n"/>
      <c r="E37" s="44" t="n"/>
      <c r="F37" s="44" t="n"/>
      <c r="G37" s="44" t="n"/>
      <c r="H37" s="46">
        <f>SUM(H21:H36)</f>
        <v/>
      </c>
      <c r="I37" s="46">
        <f>SUM(I21:I36)</f>
        <v/>
      </c>
      <c r="J37" s="46">
        <f>SUM(J21:J36)</f>
        <v/>
      </c>
      <c r="K37" s="44" t="n"/>
      <c r="L37" s="44" t="n"/>
      <c r="M37" s="47">
        <f>SUM(M21:M36)</f>
        <v/>
      </c>
      <c r="N37" s="44">
        <f>IF(ROUND(J37,2)=0,"HOURS AGREE","VARIANCE")</f>
        <v/>
      </c>
      <c r="O37" s="44" t="n"/>
      <c r="P37" s="24" t="n"/>
      <c r="Q37" s="24" t="n"/>
      <c r="R37" s="24" t="n"/>
      <c r="S37" s="24" t="n"/>
      <c r="T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row>
    <row r="39">
      <c r="A39" s="38" t="inlineStr">
        <is>
          <t>D.  PAY RATE ERROR AND CORRECTION  -  fortnight ending 07/08/2026</t>
        </is>
      </c>
      <c r="B39" s="38" t="n"/>
      <c r="C39" s="38" t="n"/>
      <c r="D39" s="38" t="n"/>
      <c r="E39" s="38" t="n"/>
      <c r="F39" s="38" t="n"/>
      <c r="G39" s="38" t="n"/>
      <c r="H39" s="38" t="n"/>
      <c r="I39" s="38" t="n"/>
      <c r="J39" s="38" t="n"/>
      <c r="K39" s="38" t="n"/>
      <c r="L39" s="38" t="n"/>
      <c r="M39" s="38" t="n"/>
      <c r="N39" s="38" t="n"/>
      <c r="O39" s="38" t="n"/>
      <c r="P39" s="24" t="n"/>
      <c r="Q39" s="24" t="n"/>
      <c r="R39" s="24" t="n"/>
      <c r="S39" s="24" t="n"/>
      <c r="T39" s="24" t="n"/>
    </row>
    <row r="40" ht="30" customHeight="1" s="12">
      <c r="A40" s="27" t="inlineStr">
        <is>
          <t>Item</t>
        </is>
      </c>
      <c r="B40" s="27" t="inlineStr">
        <is>
          <t>Pay Run</t>
        </is>
      </c>
      <c r="C40" s="27" t="inlineStr">
        <is>
          <t>Hours</t>
        </is>
      </c>
      <c r="D40" s="27" t="inlineStr">
        <is>
          <t>Rate
$/hr</t>
        </is>
      </c>
      <c r="E40" s="27" t="inlineStr">
        <is>
          <t>Gross $</t>
        </is>
      </c>
      <c r="F40" s="27" t="inlineStr">
        <is>
          <t>Comment</t>
        </is>
      </c>
      <c r="G40" s="24" t="n"/>
      <c r="H40" s="24" t="n"/>
      <c r="I40" s="24" t="n"/>
      <c r="J40" s="24" t="n"/>
      <c r="K40" s="24" t="n"/>
      <c r="L40" s="24" t="n"/>
      <c r="M40" s="24" t="n"/>
      <c r="N40" s="24" t="n"/>
      <c r="O40" s="24" t="n"/>
      <c r="P40" s="24" t="n"/>
      <c r="Q40" s="24" t="n"/>
      <c r="R40" s="24" t="n"/>
      <c r="S40" s="24" t="n"/>
      <c r="T40" s="24" t="n"/>
    </row>
    <row r="41">
      <c r="A41" s="43" t="inlineStr">
        <is>
          <t>Paid at incorrect rate</t>
        </is>
      </c>
      <c r="B41" s="43" t="inlineStr">
        <is>
          <t>07 Aug 2026</t>
        </is>
      </c>
      <c r="C41" s="41">
        <f>'07 Aug 2026'!G3+'07 Aug 2026'!G4+'07 Aug 2026'!G5+'07 Aug 2026'!G6</f>
        <v/>
      </c>
      <c r="D41" s="42" t="n">
        <v>35.15</v>
      </c>
      <c r="E41" s="42">
        <f>SUM('07 Aug 2026'!O3:O6)</f>
        <v/>
      </c>
      <c r="F41" s="48" t="inlineStr">
        <is>
          <t>Original payment - rate used was $35.15/hr</t>
        </is>
      </c>
      <c r="G41" s="24" t="n"/>
      <c r="H41" s="24" t="n"/>
      <c r="I41" s="24" t="n"/>
      <c r="J41" s="24" t="n"/>
      <c r="K41" s="24" t="n"/>
      <c r="L41" s="24" t="n"/>
      <c r="M41" s="24" t="n"/>
      <c r="N41" s="24" t="n"/>
      <c r="O41" s="24" t="n"/>
      <c r="P41" s="24" t="n"/>
      <c r="Q41" s="24" t="n"/>
      <c r="R41" s="24" t="n"/>
      <c r="S41" s="24" t="n"/>
      <c r="T41" s="24" t="n"/>
    </row>
    <row r="42">
      <c r="A42" s="43" t="inlineStr">
        <is>
          <t>Should have been paid</t>
        </is>
      </c>
      <c r="B42" s="43" t="inlineStr">
        <is>
          <t>07 Aug 2026</t>
        </is>
      </c>
      <c r="C42" s="41">
        <f>C41</f>
        <v/>
      </c>
      <c r="D42" s="42" t="n">
        <v>37.5</v>
      </c>
      <c r="E42" s="42">
        <f>C42*D42</f>
        <v/>
      </c>
      <c r="F42" s="48" t="inlineStr">
        <is>
          <t>Correct casual ordinary rate is $37.50/hr</t>
        </is>
      </c>
      <c r="G42" s="24" t="n"/>
      <c r="H42" s="24" t="n"/>
      <c r="I42" s="24" t="n"/>
      <c r="J42" s="24" t="n"/>
      <c r="K42" s="24" t="n"/>
      <c r="L42" s="24" t="n"/>
      <c r="M42" s="24" t="n"/>
      <c r="N42" s="24" t="n"/>
      <c r="O42" s="24" t="n"/>
      <c r="P42" s="24" t="n"/>
      <c r="Q42" s="24" t="n"/>
      <c r="R42" s="24" t="n"/>
      <c r="S42" s="24" t="n"/>
      <c r="T42" s="24" t="n"/>
    </row>
    <row r="43">
      <c r="A43" s="50" t="inlineStr">
        <is>
          <t>Underpayment</t>
        </is>
      </c>
      <c r="B43" s="50" t="inlineStr"/>
      <c r="C43" s="51" t="inlineStr"/>
      <c r="D43" s="52" t="inlineStr"/>
      <c r="E43" s="52">
        <f>E42-E41</f>
        <v/>
      </c>
      <c r="F43" s="53" t="inlineStr">
        <is>
          <t>Shortfall on the first fortnight</t>
        </is>
      </c>
      <c r="G43" s="24" t="n"/>
      <c r="H43" s="24" t="n"/>
      <c r="I43" s="24" t="n"/>
      <c r="J43" s="24" t="n"/>
      <c r="K43" s="24" t="n"/>
      <c r="L43" s="24" t="n"/>
      <c r="M43" s="24" t="n"/>
      <c r="N43" s="24" t="n"/>
      <c r="O43" s="24" t="n"/>
      <c r="P43" s="24" t="n"/>
      <c r="Q43" s="24" t="n"/>
      <c r="R43" s="24" t="n"/>
      <c r="S43" s="24" t="n"/>
      <c r="T43" s="24" t="n"/>
    </row>
    <row r="44">
      <c r="A44" s="43" t="inlineStr">
        <is>
          <t>Reversal of incorrect rate</t>
        </is>
      </c>
      <c r="B44" s="43" t="inlineStr">
        <is>
          <t>21 Aug 2026</t>
        </is>
      </c>
      <c r="C44" s="41">
        <f>'21 Aug 2026'!G3</f>
        <v/>
      </c>
      <c r="D44" s="42">
        <f>'21 Aug 2026'!M3</f>
        <v/>
      </c>
      <c r="E44" s="42">
        <f>'21 Aug 2026'!O3</f>
        <v/>
      </c>
      <c r="F44" s="48" t="inlineStr">
        <is>
          <t>Payroll reversed the full 16 hrs at $35.15</t>
        </is>
      </c>
      <c r="G44" s="24" t="n"/>
      <c r="H44" s="24" t="n"/>
      <c r="I44" s="24" t="n"/>
      <c r="J44" s="24" t="n"/>
      <c r="K44" s="24" t="n"/>
      <c r="L44" s="24" t="n"/>
      <c r="M44" s="24" t="n"/>
      <c r="N44" s="24" t="n"/>
      <c r="O44" s="24" t="n"/>
      <c r="P44" s="24" t="n"/>
      <c r="Q44" s="24" t="n"/>
      <c r="R44" s="24" t="n"/>
      <c r="S44" s="24" t="n"/>
      <c r="T44" s="24" t="n"/>
    </row>
    <row r="45">
      <c r="A45" s="43" t="inlineStr">
        <is>
          <t>Re-paid at correct rate</t>
        </is>
      </c>
      <c r="B45" s="43" t="inlineStr">
        <is>
          <t>21 Aug 2026</t>
        </is>
      </c>
      <c r="C45" s="41">
        <f>'21 Aug 2026'!G4</f>
        <v/>
      </c>
      <c r="D45" s="42">
        <f>'21 Aug 2026'!M4</f>
        <v/>
      </c>
      <c r="E45" s="42">
        <f>'21 Aug 2026'!O4</f>
        <v/>
      </c>
      <c r="F45" s="48" t="inlineStr">
        <is>
          <t>Re-paid the same 16 hrs at $37.50</t>
        </is>
      </c>
      <c r="G45" s="24" t="n"/>
      <c r="H45" s="24" t="n"/>
      <c r="I45" s="24" t="n"/>
      <c r="J45" s="24" t="n"/>
      <c r="K45" s="24" t="n"/>
      <c r="L45" s="24" t="n"/>
      <c r="M45" s="24" t="n"/>
      <c r="N45" s="24" t="n"/>
      <c r="O45" s="24" t="n"/>
      <c r="P45" s="24" t="n"/>
      <c r="Q45" s="24" t="n"/>
      <c r="R45" s="24" t="n"/>
      <c r="S45" s="24" t="n"/>
      <c r="T45" s="24" t="n"/>
    </row>
    <row r="46">
      <c r="A46" s="43" t="inlineStr">
        <is>
          <t>Net correction received</t>
        </is>
      </c>
      <c r="B46" s="43" t="inlineStr">
        <is>
          <t>21 Aug 2026</t>
        </is>
      </c>
      <c r="C46" s="41">
        <f>C44+C45</f>
        <v/>
      </c>
      <c r="D46" s="42" t="inlineStr"/>
      <c r="E46" s="42">
        <f>E44+E45</f>
        <v/>
      </c>
      <c r="F46" s="48" t="inlineStr">
        <is>
          <t>Net hours effect is nil - this is a rate top-up only</t>
        </is>
      </c>
      <c r="G46" s="24" t="n"/>
      <c r="H46" s="24" t="n"/>
      <c r="I46" s="24" t="n"/>
      <c r="J46" s="24" t="n"/>
      <c r="K46" s="24" t="n"/>
      <c r="L46" s="24" t="n"/>
      <c r="M46" s="24" t="n"/>
      <c r="N46" s="24" t="n"/>
      <c r="O46" s="24" t="n"/>
      <c r="P46" s="24" t="n"/>
      <c r="Q46" s="24" t="n"/>
      <c r="R46" s="24" t="n"/>
      <c r="S46" s="24" t="n"/>
      <c r="T46" s="24" t="n"/>
    </row>
    <row r="47">
      <c r="A47" s="44" t="inlineStr">
        <is>
          <t>AMOUNT STILL OWING</t>
        </is>
      </c>
      <c r="B47" s="44" t="inlineStr"/>
      <c r="C47" s="46" t="inlineStr"/>
      <c r="D47" s="47" t="inlineStr"/>
      <c r="E47" s="47">
        <f>E43-E46</f>
        <v/>
      </c>
      <c r="F47" s="54" t="inlineStr">
        <is>
          <t>Nil = the underpayment has been fully corrected</t>
        </is>
      </c>
      <c r="G47" s="24" t="n"/>
      <c r="H47" s="24" t="n"/>
      <c r="I47" s="24" t="n"/>
      <c r="J47" s="24" t="n"/>
      <c r="K47" s="24" t="n"/>
      <c r="L47" s="24" t="n"/>
      <c r="M47" s="24" t="n"/>
      <c r="N47" s="24" t="n"/>
      <c r="O47" s="24" t="n"/>
      <c r="P47" s="24" t="n"/>
      <c r="Q47" s="24" t="n"/>
      <c r="R47" s="24" t="n"/>
      <c r="S47" s="24" t="n"/>
      <c r="T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row>
    <row r="49">
      <c r="A49" s="38" t="inlineStr">
        <is>
          <t>E.  COMPLETENESS CHECK  -  proves nothing paid sits outside this reconciliation, on hours and on dollars</t>
        </is>
      </c>
      <c r="B49" s="38" t="n"/>
      <c r="C49" s="38" t="n"/>
      <c r="D49" s="38" t="n"/>
      <c r="E49" s="38" t="n"/>
      <c r="F49" s="38" t="n"/>
      <c r="G49" s="38" t="n"/>
      <c r="H49" s="38" t="n"/>
      <c r="I49" s="38" t="n"/>
      <c r="J49" s="38" t="n"/>
      <c r="K49" s="38" t="n"/>
      <c r="L49" s="38" t="n"/>
      <c r="M49" s="38" t="n"/>
      <c r="N49" s="38" t="n"/>
      <c r="O49" s="38" t="n"/>
      <c r="P49" s="24" t="n"/>
      <c r="Q49" s="24" t="n"/>
      <c r="R49" s="24" t="n"/>
      <c r="S49" s="24" t="n"/>
      <c r="T49" s="24" t="n"/>
    </row>
    <row r="50" ht="30" customHeight="1" s="12">
      <c r="A50" s="27" t="inlineStr">
        <is>
          <t>Check</t>
        </is>
      </c>
      <c r="B50" s="27" t="inlineStr">
        <is>
          <t>Hours</t>
        </is>
      </c>
      <c r="C50" s="27" t="inlineStr">
        <is>
          <t>Gross $</t>
        </is>
      </c>
      <c r="D50" s="27" t="inlineStr">
        <is>
          <t>Result</t>
        </is>
      </c>
      <c r="E50" s="24" t="n"/>
      <c r="F50" s="24" t="n"/>
      <c r="G50" s="24" t="n"/>
      <c r="H50" s="24" t="n"/>
      <c r="I50" s="24" t="n"/>
      <c r="J50" s="24" t="n"/>
      <c r="K50" s="24" t="n"/>
      <c r="L50" s="24" t="n"/>
      <c r="M50" s="24" t="n"/>
      <c r="N50" s="24" t="n"/>
      <c r="O50" s="24" t="n"/>
      <c r="P50" s="24" t="n"/>
      <c r="Q50" s="24" t="n"/>
      <c r="R50" s="24" t="n"/>
      <c r="S50" s="24" t="n"/>
      <c r="T50" s="24" t="n"/>
    </row>
    <row r="51">
      <c r="A51" s="43" t="inlineStr">
        <is>
          <t>Total on all four pay-run tabs (including the +/-16 hr rate reversal)</t>
        </is>
      </c>
      <c r="B51" s="41">
        <f>SUM('07 Aug 2026'!$G$3:$G$6)+SUM('21 Aug 2026'!$G$3:$G$7)+SUM('20 Sept 2026 '!$G$3:$G$14)+SUM('22 Sep 2026'!$G$3:$G$11)</f>
        <v/>
      </c>
      <c r="C51" s="42">
        <f>SUM('07 Aug 2026'!$O$3:$O$6)+SUM('21 Aug 2026'!$O$3:$O$7)+SUM('20 Sept 2026 '!$O$3:$O$14)+SUM('22 Sep 2026'!$O$3:$O$11)</f>
        <v/>
      </c>
      <c r="D51" s="48" t="inlineStr"/>
      <c r="E51" s="24" t="n"/>
      <c r="F51" s="24" t="n"/>
      <c r="G51" s="24" t="n"/>
      <c r="H51" s="24" t="n"/>
      <c r="I51" s="24" t="n"/>
      <c r="J51" s="24" t="n"/>
      <c r="K51" s="24" t="n"/>
      <c r="L51" s="24" t="n"/>
      <c r="M51" s="24" t="n"/>
      <c r="N51" s="24" t="n"/>
      <c r="O51" s="24" t="n"/>
      <c r="P51" s="24" t="n"/>
      <c r="Q51" s="24" t="n"/>
      <c r="R51" s="24" t="n"/>
      <c r="S51" s="24" t="n"/>
      <c r="T51" s="24" t="n"/>
    </row>
    <row r="52">
      <c r="A52" s="43" t="inlineStr">
        <is>
          <t>Total matched to a timesheet line in Section C</t>
        </is>
      </c>
      <c r="B52" s="41">
        <f>I37</f>
        <v/>
      </c>
      <c r="C52" s="42">
        <f>M37</f>
        <v/>
      </c>
      <c r="D52" s="48" t="inlineStr"/>
      <c r="E52" s="24" t="n"/>
      <c r="F52" s="24" t="n"/>
      <c r="G52" s="24" t="n"/>
      <c r="H52" s="24" t="n"/>
      <c r="I52" s="24" t="n"/>
      <c r="J52" s="24" t="n"/>
      <c r="K52" s="24" t="n"/>
      <c r="L52" s="24" t="n"/>
      <c r="M52" s="24" t="n"/>
      <c r="N52" s="24" t="n"/>
      <c r="O52" s="24" t="n"/>
      <c r="P52" s="24" t="n"/>
      <c r="Q52" s="24" t="n"/>
      <c r="R52" s="24" t="n"/>
      <c r="S52" s="24" t="n"/>
      <c r="T52" s="24" t="n"/>
    </row>
    <row r="53">
      <c r="A53" s="43" t="inlineStr">
        <is>
          <t>Difference - rate-correction adjustment, no work date attached</t>
        </is>
      </c>
      <c r="B53" s="41">
        <f>B51-B52</f>
        <v/>
      </c>
      <c r="C53" s="42">
        <f>C51-C52</f>
        <v/>
      </c>
      <c r="D53" s="48">
        <f>IF(ROUND(B53,2)=0,"OK - nil unmatched hours; $"&amp;TEXT(C53,"0.00")&amp;" is the rate top-up per Section D","INVESTIGATE - unmatched paid hours")</f>
        <v/>
      </c>
      <c r="E53" s="24" t="n"/>
      <c r="F53" s="24" t="n"/>
      <c r="G53" s="24" t="n"/>
      <c r="H53" s="24" t="n"/>
      <c r="I53" s="24" t="n"/>
      <c r="J53" s="24" t="n"/>
      <c r="K53" s="24" t="n"/>
      <c r="L53" s="24" t="n"/>
      <c r="M53" s="24" t="n"/>
      <c r="N53" s="24" t="n"/>
      <c r="O53" s="24" t="n"/>
      <c r="P53" s="24" t="n"/>
      <c r="Q53" s="24" t="n"/>
      <c r="R53" s="24" t="n"/>
      <c r="S53" s="24" t="n"/>
      <c r="T53" s="24" t="n"/>
    </row>
    <row r="54">
      <c r="A54" s="43" t="inlineStr">
        <is>
          <t>Total timesheet hours per the screenshots</t>
        </is>
      </c>
      <c r="B54" s="41">
        <f>H37</f>
        <v/>
      </c>
      <c r="C54" s="42" t="inlineStr"/>
      <c r="D54" s="48" t="inlineStr"/>
      <c r="E54" s="24" t="n"/>
      <c r="F54" s="24" t="n"/>
      <c r="G54" s="24" t="n"/>
      <c r="H54" s="24" t="n"/>
      <c r="I54" s="24" t="n"/>
      <c r="J54" s="24" t="n"/>
      <c r="K54" s="24" t="n"/>
      <c r="L54" s="24" t="n"/>
      <c r="M54" s="24" t="n"/>
      <c r="N54" s="24" t="n"/>
      <c r="O54" s="24" t="n"/>
      <c r="P54" s="24" t="n"/>
      <c r="Q54" s="24" t="n"/>
      <c r="R54" s="24" t="n"/>
      <c r="S54" s="24" t="n"/>
      <c r="T54" s="24" t="n"/>
    </row>
    <row r="55">
      <c r="A55" s="44" t="inlineStr">
        <is>
          <t>HOURS VARIANCE (timesheet less paid)</t>
        </is>
      </c>
      <c r="B55" s="46">
        <f>B54-B52</f>
        <v/>
      </c>
      <c r="C55" s="47" t="inlineStr"/>
      <c r="D55" s="54">
        <f>IF(ROUND(B55,2)=0,"FULLY RECONCILED - nil hours variance","VARIANCE - investigate")</f>
        <v/>
      </c>
      <c r="E55" s="24" t="n"/>
      <c r="F55" s="24" t="n"/>
      <c r="G55" s="24" t="n"/>
      <c r="H55" s="24" t="n"/>
      <c r="I55" s="24" t="n"/>
      <c r="J55" s="24" t="n"/>
      <c r="K55" s="24" t="n"/>
      <c r="L55" s="24" t="n"/>
      <c r="M55" s="24" t="n"/>
      <c r="N55" s="24" t="n"/>
      <c r="O55" s="24" t="n"/>
      <c r="P55" s="24" t="n"/>
      <c r="Q55" s="24" t="n"/>
      <c r="R55" s="24" t="n"/>
      <c r="S55" s="24" t="n"/>
      <c r="T55" s="24" t="n"/>
    </row>
    <row r="56">
      <c r="A56" s="43" t="inlineStr">
        <is>
          <t>Gross that should have been paid (timesheet hours x $37.50)</t>
        </is>
      </c>
      <c r="B56" s="41" t="inlineStr"/>
      <c r="C56" s="42">
        <f>B54*37.5</f>
        <v/>
      </c>
      <c r="D56" s="48" t="inlineStr"/>
      <c r="E56" s="24" t="n"/>
      <c r="F56" s="24" t="n"/>
      <c r="G56" s="24" t="n"/>
      <c r="H56" s="24" t="n"/>
      <c r="I56" s="24" t="n"/>
      <c r="J56" s="24" t="n"/>
      <c r="K56" s="24" t="n"/>
      <c r="L56" s="24" t="n"/>
      <c r="M56" s="24" t="n"/>
      <c r="N56" s="24" t="n"/>
      <c r="O56" s="24" t="n"/>
      <c r="P56" s="24" t="n"/>
      <c r="Q56" s="24" t="n"/>
      <c r="R56" s="24" t="n"/>
      <c r="S56" s="24" t="n"/>
      <c r="T56" s="24" t="n"/>
    </row>
    <row r="57">
      <c r="A57" s="43" t="inlineStr">
        <is>
          <t>Gross actually paid across all pay runs (after the rate correction)</t>
        </is>
      </c>
      <c r="B57" s="41" t="inlineStr"/>
      <c r="C57" s="42">
        <f>C51</f>
        <v/>
      </c>
      <c r="D57" s="48" t="inlineStr"/>
      <c r="E57" s="24" t="n"/>
      <c r="F57" s="24" t="n"/>
      <c r="G57" s="24" t="n"/>
      <c r="H57" s="24" t="n"/>
      <c r="I57" s="24" t="n"/>
      <c r="J57" s="24" t="n"/>
      <c r="K57" s="24" t="n"/>
      <c r="L57" s="24" t="n"/>
      <c r="M57" s="24" t="n"/>
      <c r="N57" s="24" t="n"/>
      <c r="O57" s="24" t="n"/>
      <c r="P57" s="24" t="n"/>
      <c r="Q57" s="24" t="n"/>
      <c r="R57" s="24" t="n"/>
      <c r="S57" s="24" t="n"/>
      <c r="T57" s="24" t="n"/>
    </row>
    <row r="58">
      <c r="A58" s="44" t="inlineStr">
        <is>
          <t>DOLLAR VARIANCE (should have been paid less actually paid)</t>
        </is>
      </c>
      <c r="B58" s="46" t="inlineStr"/>
      <c r="C58" s="47">
        <f>C56-C57</f>
        <v/>
      </c>
      <c r="D58" s="54">
        <f>IF(ROUND(C58,2)=0,"FULLY RECONCILED - nil dollar variance","VARIANCE - investigate")</f>
        <v/>
      </c>
      <c r="E58" s="24" t="n"/>
      <c r="F58" s="24" t="n"/>
      <c r="G58" s="24" t="n"/>
      <c r="H58" s="24" t="n"/>
      <c r="I58" s="24" t="n"/>
      <c r="J58" s="24" t="n"/>
      <c r="K58" s="24" t="n"/>
      <c r="L58" s="24" t="n"/>
      <c r="M58" s="24" t="n"/>
      <c r="N58" s="24" t="n"/>
      <c r="O58" s="24" t="n"/>
      <c r="P58" s="24" t="n"/>
      <c r="Q58" s="24" t="n"/>
      <c r="R58" s="24" t="n"/>
      <c r="S58" s="24" t="n"/>
      <c r="T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row>
    <row r="60">
      <c r="A60" s="38" t="inlineStr">
        <is>
          <t>F.  FINDINGS</t>
        </is>
      </c>
      <c r="B60" s="38" t="n"/>
      <c r="C60" s="38" t="n"/>
      <c r="D60" s="38" t="n"/>
      <c r="E60" s="38" t="n"/>
      <c r="F60" s="38" t="n"/>
      <c r="G60" s="38" t="n"/>
      <c r="H60" s="38" t="n"/>
      <c r="I60" s="38" t="n"/>
      <c r="J60" s="38" t="n"/>
      <c r="K60" s="38" t="n"/>
      <c r="L60" s="38" t="n"/>
      <c r="M60" s="38" t="n"/>
      <c r="N60" s="38" t="n"/>
      <c r="O60" s="38" t="n"/>
      <c r="P60" s="24" t="n"/>
      <c r="Q60" s="24" t="n"/>
      <c r="R60" s="24" t="n"/>
      <c r="S60" s="24" t="n"/>
      <c r="T60" s="24" t="n"/>
    </row>
    <row r="61">
      <c r="A61" s="55" t="inlineStr">
        <is>
          <t>1.</t>
        </is>
      </c>
      <c r="B61" s="56" t="inlineStr">
        <is>
          <t>The 16 hours queried (24 Aug and 28 Aug, DTTL) are NOT missing - they were paid in full.</t>
        </is>
      </c>
      <c r="I61" s="24" t="n"/>
      <c r="J61" s="24" t="n"/>
      <c r="K61" s="24" t="n"/>
      <c r="L61" s="24" t="n"/>
      <c r="M61" s="24" t="n"/>
      <c r="N61" s="24" t="n"/>
      <c r="O61" s="24" t="n"/>
      <c r="P61" s="24" t="n"/>
      <c r="Q61" s="24" t="n"/>
      <c r="R61" s="24" t="n"/>
      <c r="S61" s="24" t="n"/>
      <c r="T61" s="24" t="n"/>
    </row>
    <row r="62" ht="34" customHeight="1" s="12">
      <c r="A62" s="24" t="n"/>
      <c r="B62" s="57" t="inlineStr">
        <is>
          <t>Both days were paid in the 20 Sep 2026 pay run at $37.50/hr: 24/08 as 3.5 + 4.5 hrs ($131.25 + $168.75 = $300.00) and 28/08 as 3.5 + 4.5 hrs ($131.25 + $168.75 = $300.00). $600.00 gross in total. Nothing is owing. See Section A for the exact pay-run lines, and the two highlighted rows in Section C.</t>
        </is>
      </c>
      <c r="P62" s="24" t="n"/>
      <c r="Q62" s="24" t="n"/>
      <c r="R62" s="24" t="n"/>
      <c r="S62" s="24" t="n"/>
      <c r="T62" s="24" t="n"/>
    </row>
    <row r="63">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row>
    <row r="64">
      <c r="A64" s="55" t="inlineStr">
        <is>
          <t>2.</t>
        </is>
      </c>
      <c r="B64" s="56" t="inlineStr">
        <is>
          <t>Hours and dollars both reconcile in full.</t>
        </is>
      </c>
      <c r="I64" s="24" t="n"/>
      <c r="J64" s="24" t="n"/>
      <c r="K64" s="24" t="n"/>
      <c r="L64" s="24" t="n"/>
      <c r="M64" s="24" t="n"/>
      <c r="N64" s="24" t="n"/>
      <c r="O64" s="24" t="n"/>
      <c r="P64" s="24" t="n"/>
      <c r="Q64" s="24" t="n"/>
      <c r="R64" s="24" t="n"/>
      <c r="S64" s="24" t="n"/>
      <c r="T64" s="24" t="n"/>
    </row>
    <row r="65" ht="34" customHeight="1" s="12">
      <c r="A65" s="24" t="n"/>
      <c r="B65" s="57" t="inlineStr">
        <is>
          <t>All 111.50 timesheet hours across the four fortnights have been paid, and total gross of $4,181.25 equals 111.50 hrs x $37.50 exactly. Nil variance at day level, fortnight level and in total.</t>
        </is>
      </c>
      <c r="P65" s="24" t="n"/>
      <c r="Q65" s="24" t="n"/>
      <c r="R65" s="24" t="n"/>
      <c r="S65" s="24" t="n"/>
      <c r="T65" s="24" t="n"/>
    </row>
    <row r="66">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row>
    <row r="67">
      <c r="A67" s="55" t="inlineStr">
        <is>
          <t>3.</t>
        </is>
      </c>
      <c r="B67" s="56" t="inlineStr">
        <is>
          <t>Rate error on fortnight ending 07/08/2026 - already corrected.</t>
        </is>
      </c>
      <c r="I67" s="24" t="n"/>
      <c r="J67" s="24" t="n"/>
      <c r="K67" s="24" t="n"/>
      <c r="L67" s="24" t="n"/>
      <c r="M67" s="24" t="n"/>
      <c r="N67" s="24" t="n"/>
      <c r="O67" s="24" t="n"/>
      <c r="P67" s="24" t="n"/>
      <c r="Q67" s="24" t="n"/>
      <c r="R67" s="24" t="n"/>
      <c r="S67" s="24" t="n"/>
      <c r="T67" s="24" t="n"/>
    </row>
    <row r="68" ht="34" customHeight="1" s="12">
      <c r="A68" s="24" t="n"/>
      <c r="B68" s="57" t="inlineStr">
        <is>
          <t>16 hrs were paid at $35.15/hr instead of $37.50/hr, a shortfall of $37.60 ($18.80 on 29 Jul and $9.40 on each of the two 30 Jul shifts). Payroll reversed and re-paid those 16 hrs in the 21 Aug 2026 run. Nothing further is owing. See Section D.</t>
        </is>
      </c>
      <c r="P68" s="24" t="n"/>
      <c r="Q68" s="24" t="n"/>
      <c r="R68" s="24" t="n"/>
      <c r="S68" s="24" t="n"/>
      <c r="T68" s="24" t="n"/>
    </row>
    <row r="69">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row>
    <row r="70">
      <c r="A70" s="55" t="inlineStr">
        <is>
          <t>4.</t>
        </is>
      </c>
      <c r="B70" s="56" t="inlineStr">
        <is>
          <t>The rate correction was booked to the wrong location.</t>
        </is>
      </c>
      <c r="I70" s="24" t="n"/>
      <c r="J70" s="24" t="n"/>
      <c r="K70" s="24" t="n"/>
      <c r="L70" s="24" t="n"/>
      <c r="M70" s="24" t="n"/>
      <c r="N70" s="24" t="n"/>
      <c r="O70" s="24" t="n"/>
      <c r="P70" s="24" t="n"/>
      <c r="Q70" s="24" t="n"/>
      <c r="R70" s="24" t="n"/>
      <c r="S70" s="24" t="n"/>
      <c r="T70" s="24" t="n"/>
    </row>
    <row r="71" ht="34" customHeight="1" s="12">
      <c r="A71" s="24" t="n"/>
      <c r="B71" s="57" t="inlineStr">
        <is>
          <t>The original 16 hrs were split CBA 8 hrs, PwC - MEL Technician 4 hrs and Aware Super 4 hrs. The reversal and re-payment put all 16 hrs against CBA FT Tech MEL. Take-home pay is correct, but job costing for PwC and Aware Super is understated by 4 hrs each and CBA is overstated by 8 hrs. Worth raising with payroll if client recharges run off this data.</t>
        </is>
      </c>
      <c r="P71" s="24" t="n"/>
      <c r="Q71" s="24" t="n"/>
      <c r="R71" s="24" t="n"/>
      <c r="S71" s="24" t="n"/>
      <c r="T71" s="24" t="n"/>
    </row>
    <row r="72">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row>
    <row r="73">
      <c r="A73" s="55" t="inlineStr">
        <is>
          <t>5.</t>
        </is>
      </c>
      <c r="B73" s="56" t="inlineStr">
        <is>
          <t>Fortnight ending 04/09/2026 was paid across two pay runs - this is the likely cause of the query.</t>
        </is>
      </c>
      <c r="I73" s="24" t="n"/>
      <c r="J73" s="24" t="n"/>
      <c r="K73" s="24" t="n"/>
      <c r="L73" s="24" t="n"/>
      <c r="M73" s="24" t="n"/>
      <c r="N73" s="24" t="n"/>
      <c r="O73" s="24" t="n"/>
      <c r="P73" s="24" t="n"/>
      <c r="Q73" s="24" t="n"/>
      <c r="R73" s="24" t="n"/>
      <c r="S73" s="24" t="n"/>
      <c r="T73" s="24" t="n"/>
    </row>
    <row r="74" ht="34" customHeight="1" s="12">
      <c r="A74" s="24" t="n"/>
      <c r="B74" s="57" t="inlineStr">
        <is>
          <t>48 hrs of DTTL work (including the two days queried) went through the 20 Sep 2026 run, and 23.50 hrs of PwC National Pool work went through the 22 Sep 2026 run. Total 71.50 hrs, which agrees to the timesheet. Anyone checking a single payslip for that fortnight would only see part of it.</t>
        </is>
      </c>
      <c r="P74" s="24" t="n"/>
      <c r="Q74" s="24" t="n"/>
      <c r="R74" s="24" t="n"/>
      <c r="S74" s="24" t="n"/>
      <c r="T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row>
    <row r="76">
      <c r="A76" s="55" t="inlineStr">
        <is>
          <t>6.</t>
        </is>
      </c>
      <c r="B76" s="56" t="inlineStr">
        <is>
          <t>Payment lag worth checking.</t>
        </is>
      </c>
      <c r="I76" s="24" t="n"/>
      <c r="J76" s="24" t="n"/>
      <c r="K76" s="24" t="n"/>
      <c r="L76" s="24" t="n"/>
      <c r="M76" s="24" t="n"/>
      <c r="N76" s="24" t="n"/>
      <c r="O76" s="24" t="n"/>
      <c r="P76" s="24" t="n"/>
      <c r="Q76" s="24" t="n"/>
      <c r="R76" s="24" t="n"/>
      <c r="S76" s="24" t="n"/>
      <c r="T76" s="24" t="n"/>
    </row>
    <row r="77" ht="34" customHeight="1" s="12">
      <c r="A77" s="24" t="n"/>
      <c r="B77" s="57" t="inlineStr">
        <is>
          <t>Work from 25-27 Aug was not paid until the 22 Sep 2026 run, roughly four weeks after it was worked. Check this against the payroll calendar if it was not expected.</t>
        </is>
      </c>
      <c r="P77" s="24" t="n"/>
      <c r="Q77" s="24" t="n"/>
      <c r="R77" s="24" t="n"/>
      <c r="S77" s="24" t="n"/>
      <c r="T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row>
    <row r="79">
      <c r="A79" s="55" t="inlineStr">
        <is>
          <t>7.</t>
        </is>
      </c>
      <c r="B79" s="56" t="inlineStr">
        <is>
          <t>Superannuation.</t>
        </is>
      </c>
      <c r="I79" s="24" t="n"/>
      <c r="J79" s="24" t="n"/>
      <c r="K79" s="24" t="n"/>
      <c r="L79" s="24" t="n"/>
      <c r="M79" s="24" t="n"/>
      <c r="N79" s="24" t="n"/>
      <c r="O79" s="24" t="n"/>
      <c r="P79" s="24" t="n"/>
      <c r="Q79" s="24" t="n"/>
      <c r="R79" s="24" t="n"/>
      <c r="S79" s="24" t="n"/>
      <c r="T79" s="24" t="n"/>
    </row>
    <row r="80" ht="34" customHeight="1" s="12">
      <c r="A80" s="24" t="n"/>
      <c r="B80" s="57" t="inlineStr">
        <is>
          <t>SG has been calculated at 12% of gross on every line, which is the correct rate. The reversal also reversed the super, so no over or under contribution arises.</t>
        </is>
      </c>
      <c r="P80" s="24" t="n"/>
      <c r="Q80" s="24" t="n"/>
      <c r="R80" s="24" t="n"/>
      <c r="S80" s="24" t="n"/>
      <c r="T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row>
    <row r="83" ht="44" customHeight="1" s="12">
      <c r="A83" s="25" t="inlineStr">
        <is>
          <t>Source of timesheet data: the timesheet screenshots for the fortnights ending 07/08/2026, 21/08/2026, 04/09/2026 and 18/09/2026, all showing status PROCESSED. Source of paid data: the Earnings Details tabs in this workbook. Paid figures are live formulas - if a pay-run tab is updated, this reconciliation updates with it. Columns S and T were added to each pay-run tab: S pulls the work date out of the Notes text, T confirms the line was matched here.</t>
        </is>
      </c>
      <c r="P83" s="24" t="n"/>
      <c r="Q83" s="24" t="n"/>
      <c r="R83" s="24" t="n"/>
      <c r="S83" s="24" t="n"/>
      <c r="T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row>
  </sheetData>
  <mergeCells count="17">
    <mergeCell ref="A83:O83"/>
    <mergeCell ref="B71:O71"/>
    <mergeCell ref="B74:O74"/>
    <mergeCell ref="B65:O65"/>
    <mergeCell ref="A2:O2"/>
    <mergeCell ref="B79:H79"/>
    <mergeCell ref="B77:O77"/>
    <mergeCell ref="B68:O68"/>
    <mergeCell ref="B62:O62"/>
    <mergeCell ref="B73:H73"/>
    <mergeCell ref="B70:H70"/>
    <mergeCell ref="B64:H64"/>
    <mergeCell ref="B76:H76"/>
    <mergeCell ref="B80:O80"/>
    <mergeCell ref="A9:O9"/>
    <mergeCell ref="B67:H67"/>
    <mergeCell ref="B61:H61"/>
  </mergeCells>
  <conditionalFormatting sqref="E13:E17">
    <cfRule type="cellIs" priority="1" operator="notEqual" dxfId="0">
      <formula>0</formula>
    </cfRule>
  </conditionalFormatting>
  <conditionalFormatting sqref="J21:J37">
    <cfRule type="cellIs" priority="2" operator="notEqual" dxfId="0">
      <formula>0</formula>
    </cfRule>
  </conditionalFormatting>
  <conditionalFormatting sqref="F6:F8">
    <cfRule type="cellIs" priority="3" operator="notEqual" dxfId="0">
      <formula>0</formula>
    </cfRule>
  </conditionalFormatting>
  <conditionalFormatting sqref="G13:G17">
    <cfRule type="expression" priority="4" dxfId="1">
      <formula>ISNUMBER(SEARCH("Reconciled",G13))&gt;0</formula>
    </cfRule>
    <cfRule type="expression" priority="5" dxfId="0">
      <formula>ISNUMBER(SEARCH("VARIANCE",G13))&gt;0</formula>
    </cfRule>
  </conditionalFormatting>
  <conditionalFormatting sqref="N21:N37">
    <cfRule type="expression" priority="6" dxfId="1">
      <formula>ISNUMBER(SEARCH("OK",N21))+ISNUMBER(SEARCH("AGREE",N21))&gt;0</formula>
    </cfRule>
    <cfRule type="expression" priority="7" dxfId="0">
      <formula>ISNUMBER(SEARCH("UNDER",N21))&gt;0</formula>
    </cfRule>
  </conditionalFormatting>
  <conditionalFormatting sqref="D51:D58">
    <cfRule type="expression" priority="8" dxfId="1">
      <formula>ISNUMBER(SEARCH("OK",D51))+ISNUMBER(SEARCH("FULLY",D51))&gt;0</formula>
    </cfRule>
    <cfRule type="expression" priority="9" dxfId="0">
      <formula>ISNUMBER(SEARCH("INVESTIGATE",D51))+ISNUMBER(SEARCH("VARIANCE",D51))&gt;0</formula>
    </cfRule>
  </conditionalFormatting>
  <conditionalFormatting sqref="K6:K8">
    <cfRule type="expression" priority="10" dxfId="1">
      <formula>ISNUMBER(SEARCH("PAID IN FULL",K6))+ISNUMBER(SEARCH("NIL OWING",K6))&gt;0</formula>
    </cfRule>
    <cfRule type="expression" priority="11" dxfId="0">
      <formula>ISNUMBER(SEARCH("SHORTFALL",K6))+ISNUMBER(SEARCH("OWING - ",K6))&gt;0</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F2" sqref="F2"/>
    </sheetView>
  </sheetViews>
  <sheetFormatPr baseColWidth="8" defaultRowHeight="15"/>
  <cols>
    <col width="15" customWidth="1" style="12" min="1" max="1"/>
    <col width="19.7109375" customWidth="1" style="12" min="2" max="2"/>
    <col width="19.85546875" customWidth="1" style="12" min="3" max="3"/>
    <col width="15" customWidth="1" style="12" min="4" max="4"/>
    <col width="22.85546875" customWidth="1" style="12" min="5" max="5"/>
    <col width="27.140625" customWidth="1" style="12" min="6" max="6"/>
    <col width="8" bestFit="1" customWidth="1" style="13" min="7" max="7"/>
    <col width="9.42578125" customWidth="1" style="12" min="8" max="8"/>
    <col width="10.7109375" customWidth="1" style="12" min="9" max="9"/>
    <col width="18.5703125" customWidth="1" style="12" min="10" max="10"/>
    <col width="56.5703125" customWidth="1" style="12" min="11" max="11"/>
    <col width="229" customWidth="1" style="12" min="12" max="12"/>
    <col width="9.85546875" customWidth="1" style="14" min="13" max="13"/>
    <col width="9.7109375" customWidth="1" style="12" min="14" max="14"/>
    <col width="14.140625" customWidth="1" style="15" min="15" max="15"/>
    <col width="15.7109375" customWidth="1" style="15" min="16" max="16"/>
    <col width="9" customWidth="1" style="15" min="17" max="17"/>
    <col width="9.140625" customWidth="1" style="12" min="18" max="16384"/>
    <col width="18" customWidth="1" style="12" min="19" max="19"/>
    <col width="32" customWidth="1" style="12" min="20" max="20"/>
  </cols>
  <sheetData>
    <row r="1" customFormat="1" s="8">
      <c r="A1" s="8" t="inlineStr">
        <is>
          <t>Earnings Details</t>
        </is>
      </c>
      <c r="G1" s="9" t="n"/>
      <c r="M1" s="10" t="n"/>
      <c r="O1" s="11" t="n"/>
      <c r="P1" s="11" t="n"/>
      <c r="Q1" s="11"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10" t="inlineStr">
        <is>
          <t>Rate</t>
        </is>
      </c>
      <c r="N2" s="8" t="inlineStr">
        <is>
          <t>Rate Type</t>
        </is>
      </c>
      <c r="O2" s="11" t="inlineStr">
        <is>
          <t>Gross Earnings</t>
        </is>
      </c>
      <c r="P2" s="11" t="inlineStr">
        <is>
          <t>Taxable Earnings</t>
        </is>
      </c>
      <c r="Q2" s="11" t="inlineStr">
        <is>
          <t>SG Super</t>
        </is>
      </c>
      <c r="S2" s="58" t="inlineStr">
        <is>
          <t>Work Date (helper)</t>
        </is>
      </c>
      <c r="T2" s="58" t="inlineStr">
        <is>
          <t>Matched to Timesheet?</t>
        </is>
      </c>
    </row>
    <row r="3">
      <c r="A3" t="n">
        <v>12414219</v>
      </c>
      <c r="C3" t="inlineStr">
        <is>
          <t>Jonathan Hendratno</t>
        </is>
      </c>
      <c r="D3" t="n">
        <v>2856297</v>
      </c>
      <c r="E3" t="inlineStr">
        <is>
          <t>2286634</t>
        </is>
      </c>
      <c r="F3" t="inlineStr">
        <is>
          <t>Casual Ordinary Hours</t>
        </is>
      </c>
      <c r="G3" s="13" t="n">
        <v>4</v>
      </c>
      <c r="H3" t="inlineStr">
        <is>
          <t>Hours</t>
        </is>
      </c>
      <c r="I3" t="n">
        <v>731888</v>
      </c>
      <c r="J3" t="inlineStr">
        <is>
          <t>20250731</t>
        </is>
      </c>
      <c r="K3" t="inlineStr">
        <is>
          <t>PWC National Pool of Hours [ONS]</t>
        </is>
      </c>
      <c r="L3" t="inlineStr">
        <is>
          <t>25/08/2026 - 08:00 to 12:00</t>
        </is>
      </c>
      <c r="M3" s="14" t="n">
        <v>37.5</v>
      </c>
      <c r="N3" t="inlineStr">
        <is>
          <t>per Hour</t>
        </is>
      </c>
      <c r="O3" s="15" t="n">
        <v>150</v>
      </c>
      <c r="P3" s="15" t="n">
        <v>150</v>
      </c>
      <c r="Q3" s="15" t="n">
        <v>18</v>
      </c>
      <c r="S3" s="59">
        <f>IFERROR(DATE(VALUE(MID(L3,FIND("/",L3,FIND("/",L3)+1)+1,4)),VALUE(MID(L3,FIND("/",L3)+1,FIND("/",L3,FIND("/",L3)+1)-FIND("/",L3)-1)),VALUE(LEFT(L3,FIND("/",L3)-1))),IF(ISNUMBER(L3),L3,""))</f>
        <v/>
      </c>
      <c r="T3">
        <f>IF(S3="","No - adjustment/reversal (no work date)",IF(COUNTIFS('Summary '!$A$21:$A$36,S3,'Summary '!$D$21:$D$36,K3)&gt;0,"Yes","NO MATCH - INVESTIGATE"))</f>
        <v/>
      </c>
    </row>
    <row r="4">
      <c r="A4" t="n">
        <v>12414219</v>
      </c>
      <c r="C4" t="inlineStr">
        <is>
          <t>Jonathan Hendratno</t>
        </is>
      </c>
      <c r="D4" t="n">
        <v>2856297</v>
      </c>
      <c r="E4" t="inlineStr">
        <is>
          <t>2286634</t>
        </is>
      </c>
      <c r="F4" t="inlineStr">
        <is>
          <t>Casual Ordinary Hours</t>
        </is>
      </c>
      <c r="G4" s="13" t="n">
        <v>4</v>
      </c>
      <c r="H4" t="inlineStr">
        <is>
          <t>Hours</t>
        </is>
      </c>
      <c r="I4" t="n">
        <v>731888</v>
      </c>
      <c r="J4" t="inlineStr">
        <is>
          <t>20250731</t>
        </is>
      </c>
      <c r="K4" t="inlineStr">
        <is>
          <t>PWC National Pool of Hours [ONS]</t>
        </is>
      </c>
      <c r="L4" t="inlineStr">
        <is>
          <t>25/08/2026 - 13:00 to 17:00</t>
        </is>
      </c>
      <c r="M4" s="14" t="n">
        <v>37.5</v>
      </c>
      <c r="N4" t="inlineStr">
        <is>
          <t>per Hour</t>
        </is>
      </c>
      <c r="O4" s="15" t="n">
        <v>150</v>
      </c>
      <c r="P4" s="15" t="n">
        <v>150</v>
      </c>
      <c r="Q4" s="15" t="n">
        <v>18</v>
      </c>
      <c r="S4" s="59">
        <f>IFERROR(DATE(VALUE(MID(L4,FIND("/",L4,FIND("/",L4)+1)+1,4)),VALUE(MID(L4,FIND("/",L4)+1,FIND("/",L4,FIND("/",L4)+1)-FIND("/",L4)-1)),VALUE(LEFT(L4,FIND("/",L4)-1))),IF(ISNUMBER(L4),L4,""))</f>
        <v/>
      </c>
      <c r="T4">
        <f>IF(S4="","No - adjustment/reversal (no work date)",IF(COUNTIFS('Summary '!$A$21:$A$36,S4,'Summary '!$D$21:$D$36,K4)&gt;0,"Yes","NO MATCH - INVESTIGATE"))</f>
        <v/>
      </c>
    </row>
    <row r="5">
      <c r="A5" t="n">
        <v>12414219</v>
      </c>
      <c r="C5" t="inlineStr">
        <is>
          <t>Jonathan Hendratno</t>
        </is>
      </c>
      <c r="D5" t="n">
        <v>2856297</v>
      </c>
      <c r="E5" t="inlineStr">
        <is>
          <t>2286634</t>
        </is>
      </c>
      <c r="F5" t="inlineStr">
        <is>
          <t>Casual Ordinary Hours</t>
        </is>
      </c>
      <c r="G5" s="13" t="n">
        <v>4</v>
      </c>
      <c r="H5" t="inlineStr">
        <is>
          <t>Hours</t>
        </is>
      </c>
      <c r="I5" t="n">
        <v>731888</v>
      </c>
      <c r="J5" t="inlineStr">
        <is>
          <t>20250731</t>
        </is>
      </c>
      <c r="K5" t="inlineStr">
        <is>
          <t>PWC National Pool of Hours [ONS]</t>
        </is>
      </c>
      <c r="L5" t="inlineStr">
        <is>
          <t>26/08/2026 - 08:00 to 12:00</t>
        </is>
      </c>
      <c r="M5" s="14" t="n">
        <v>37.5</v>
      </c>
      <c r="N5" t="inlineStr">
        <is>
          <t>per Hour</t>
        </is>
      </c>
      <c r="O5" s="15" t="n">
        <v>150</v>
      </c>
      <c r="P5" s="15" t="n">
        <v>150</v>
      </c>
      <c r="Q5" s="15" t="n">
        <v>18</v>
      </c>
      <c r="S5" s="59">
        <f>IFERROR(DATE(VALUE(MID(L5,FIND("/",L5,FIND("/",L5)+1)+1,4)),VALUE(MID(L5,FIND("/",L5)+1,FIND("/",L5,FIND("/",L5)+1)-FIND("/",L5)-1)),VALUE(LEFT(L5,FIND("/",L5)-1))),IF(ISNUMBER(L5),L5,""))</f>
        <v/>
      </c>
      <c r="T5">
        <f>IF(S5="","No - adjustment/reversal (no work date)",IF(COUNTIFS('Summary '!$A$21:$A$36,S5,'Summary '!$D$21:$D$36,K5)&gt;0,"Yes","NO MATCH - INVESTIGATE"))</f>
        <v/>
      </c>
    </row>
    <row r="6">
      <c r="A6" t="n">
        <v>12414219</v>
      </c>
      <c r="C6" t="inlineStr">
        <is>
          <t>Jonathan Hendratno</t>
        </is>
      </c>
      <c r="D6" t="n">
        <v>2856297</v>
      </c>
      <c r="E6" t="inlineStr">
        <is>
          <t>2286634</t>
        </is>
      </c>
      <c r="F6" t="inlineStr">
        <is>
          <t>Casual Ordinary Hours</t>
        </is>
      </c>
      <c r="G6" s="13" t="n">
        <v>3.5</v>
      </c>
      <c r="H6" t="inlineStr">
        <is>
          <t>Hours</t>
        </is>
      </c>
      <c r="I6" t="n">
        <v>731888</v>
      </c>
      <c r="J6" t="inlineStr">
        <is>
          <t>20250731</t>
        </is>
      </c>
      <c r="K6" t="inlineStr">
        <is>
          <t>PWC National Pool of Hours [ONS]</t>
        </is>
      </c>
      <c r="L6" t="inlineStr">
        <is>
          <t>26/08/2026 - 12:30 to 16:00</t>
        </is>
      </c>
      <c r="M6" s="14" t="n">
        <v>37.5</v>
      </c>
      <c r="N6" t="inlineStr">
        <is>
          <t>per Hour</t>
        </is>
      </c>
      <c r="O6" s="15" t="n">
        <v>131.25</v>
      </c>
      <c r="P6" s="15" t="n">
        <v>131.25</v>
      </c>
      <c r="Q6" s="15" t="n">
        <v>15.75</v>
      </c>
      <c r="S6" s="59">
        <f>IFERROR(DATE(VALUE(MID(L6,FIND("/",L6,FIND("/",L6)+1)+1,4)),VALUE(MID(L6,FIND("/",L6)+1,FIND("/",L6,FIND("/",L6)+1)-FIND("/",L6)-1)),VALUE(LEFT(L6,FIND("/",L6)-1))),IF(ISNUMBER(L6),L6,""))</f>
        <v/>
      </c>
      <c r="T6">
        <f>IF(S6="","No - adjustment/reversal (no work date)",IF(COUNTIFS('Summary '!$A$21:$A$36,S6,'Summary '!$D$21:$D$36,K6)&gt;0,"Yes","NO MATCH - INVESTIGATE"))</f>
        <v/>
      </c>
    </row>
    <row r="7">
      <c r="A7" t="n">
        <v>12414219</v>
      </c>
      <c r="C7" t="inlineStr">
        <is>
          <t>Jonathan Hendratno</t>
        </is>
      </c>
      <c r="D7" t="n">
        <v>2856297</v>
      </c>
      <c r="E7" t="inlineStr">
        <is>
          <t>2286634</t>
        </is>
      </c>
      <c r="F7" t="inlineStr">
        <is>
          <t>Casual Ordinary Hours</t>
        </is>
      </c>
      <c r="G7" s="13" t="n">
        <v>4</v>
      </c>
      <c r="H7" t="inlineStr">
        <is>
          <t>Hours</t>
        </is>
      </c>
      <c r="I7" t="n">
        <v>731888</v>
      </c>
      <c r="J7" t="inlineStr">
        <is>
          <t>20250731</t>
        </is>
      </c>
      <c r="K7" t="inlineStr">
        <is>
          <t>PWC National Pool of Hours [ONS]</t>
        </is>
      </c>
      <c r="L7" t="inlineStr">
        <is>
          <t>27/08/2026 - 08:00 to 12:00</t>
        </is>
      </c>
      <c r="M7" s="14" t="n">
        <v>37.5</v>
      </c>
      <c r="N7" t="inlineStr">
        <is>
          <t>per Hour</t>
        </is>
      </c>
      <c r="O7" s="15" t="n">
        <v>150</v>
      </c>
      <c r="P7" s="15" t="n">
        <v>150</v>
      </c>
      <c r="Q7" s="15" t="n">
        <v>18</v>
      </c>
      <c r="S7" s="59">
        <f>IFERROR(DATE(VALUE(MID(L7,FIND("/",L7,FIND("/",L7)+1)+1,4)),VALUE(MID(L7,FIND("/",L7)+1,FIND("/",L7,FIND("/",L7)+1)-FIND("/",L7)-1)),VALUE(LEFT(L7,FIND("/",L7)-1))),IF(ISNUMBER(L7),L7,""))</f>
        <v/>
      </c>
      <c r="T7">
        <f>IF(S7="","No - adjustment/reversal (no work date)",IF(COUNTIFS('Summary '!$A$21:$A$36,S7,'Summary '!$D$21:$D$36,K7)&gt;0,"Yes","NO MATCH - INVESTIGATE"))</f>
        <v/>
      </c>
    </row>
    <row r="8">
      <c r="A8" t="n">
        <v>12414219</v>
      </c>
      <c r="C8" t="inlineStr">
        <is>
          <t>Jonathan Hendratno</t>
        </is>
      </c>
      <c r="D8" t="n">
        <v>2856297</v>
      </c>
      <c r="E8" t="inlineStr">
        <is>
          <t>2286634</t>
        </is>
      </c>
      <c r="F8" t="inlineStr">
        <is>
          <t>Casual Ordinary Hours</t>
        </is>
      </c>
      <c r="G8" s="13" t="n">
        <v>4</v>
      </c>
      <c r="H8" t="inlineStr">
        <is>
          <t>Hours</t>
        </is>
      </c>
      <c r="I8" t="n">
        <v>731888</v>
      </c>
      <c r="J8" t="inlineStr">
        <is>
          <t>20250731</t>
        </is>
      </c>
      <c r="K8" t="inlineStr">
        <is>
          <t>PWC National Pool of Hours [ONS]</t>
        </is>
      </c>
      <c r="L8" t="inlineStr">
        <is>
          <t>27/08/2026 - 13:00 to 17:00</t>
        </is>
      </c>
      <c r="M8" s="14" t="n">
        <v>37.5</v>
      </c>
      <c r="N8" t="inlineStr">
        <is>
          <t>per Hour</t>
        </is>
      </c>
      <c r="O8" s="15" t="n">
        <v>150</v>
      </c>
      <c r="P8" s="15" t="n">
        <v>150</v>
      </c>
      <c r="Q8" s="15" t="n">
        <v>18</v>
      </c>
      <c r="S8" s="59">
        <f>IFERROR(DATE(VALUE(MID(L8,FIND("/",L8,FIND("/",L8)+1)+1,4)),VALUE(MID(L8,FIND("/",L8)+1,FIND("/",L8,FIND("/",L8)+1)-FIND("/",L8)-1)),VALUE(LEFT(L8,FIND("/",L8)-1))),IF(ISNUMBER(L8),L8,""))</f>
        <v/>
      </c>
      <c r="T8">
        <f>IF(S8="","No - adjustment/reversal (no work date)",IF(COUNTIFS('Summary '!$A$21:$A$36,S8,'Summary '!$D$21:$D$36,K8)&gt;0,"Yes","NO MATCH - INVESTIGATE"))</f>
        <v/>
      </c>
    </row>
    <row r="9">
      <c r="A9" t="n">
        <v>12414219</v>
      </c>
      <c r="C9" t="inlineStr">
        <is>
          <t>Jonathan Hendratno</t>
        </is>
      </c>
      <c r="D9" t="n">
        <v>2856297</v>
      </c>
      <c r="E9" t="inlineStr">
        <is>
          <t>2286634</t>
        </is>
      </c>
      <c r="F9" t="inlineStr">
        <is>
          <t>Casual Ordinary Hours</t>
        </is>
      </c>
      <c r="G9" s="13" t="n">
        <v>4</v>
      </c>
      <c r="H9" t="inlineStr">
        <is>
          <t>Hours</t>
        </is>
      </c>
      <c r="I9" t="n">
        <v>731888</v>
      </c>
      <c r="J9" t="inlineStr">
        <is>
          <t>20250731</t>
        </is>
      </c>
      <c r="K9" t="inlineStr">
        <is>
          <t>PWC National Pool of Hours [ONS]</t>
        </is>
      </c>
      <c r="L9" t="inlineStr">
        <is>
          <t>10/09/2026 - 08:00 to 12:00</t>
        </is>
      </c>
      <c r="M9" s="14" t="n">
        <v>37.5</v>
      </c>
      <c r="N9" t="inlineStr">
        <is>
          <t>per Hour</t>
        </is>
      </c>
      <c r="O9" s="15" t="n">
        <v>150</v>
      </c>
      <c r="P9" s="15" t="n">
        <v>150</v>
      </c>
      <c r="Q9" s="15" t="n">
        <v>18</v>
      </c>
      <c r="S9" s="59">
        <f>IFERROR(DATE(VALUE(MID(L9,FIND("/",L9,FIND("/",L9)+1)+1,4)),VALUE(MID(L9,FIND("/",L9)+1,FIND("/",L9,FIND("/",L9)+1)-FIND("/",L9)-1)),VALUE(LEFT(L9,FIND("/",L9)-1))),IF(ISNUMBER(L9),L9,""))</f>
        <v/>
      </c>
      <c r="T9">
        <f>IF(S9="","No - adjustment/reversal (no work date)",IF(COUNTIFS('Summary '!$A$21:$A$36,S9,'Summary '!$D$21:$D$36,K9)&gt;0,"Yes","NO MATCH - INVESTIGATE"))</f>
        <v/>
      </c>
    </row>
    <row r="10">
      <c r="A10" t="n">
        <v>12414219</v>
      </c>
      <c r="C10" t="inlineStr">
        <is>
          <t>Jonathan Hendratno</t>
        </is>
      </c>
      <c r="D10" t="n">
        <v>2856297</v>
      </c>
      <c r="E10" t="inlineStr">
        <is>
          <t>2286634</t>
        </is>
      </c>
      <c r="F10" t="inlineStr">
        <is>
          <t>Casual Ordinary Hours</t>
        </is>
      </c>
      <c r="G10" s="13" t="n">
        <v>4</v>
      </c>
      <c r="H10" t="inlineStr">
        <is>
          <t>Hours</t>
        </is>
      </c>
      <c r="I10" t="n">
        <v>731888</v>
      </c>
      <c r="J10" t="inlineStr">
        <is>
          <t>20250731</t>
        </is>
      </c>
      <c r="K10" t="inlineStr">
        <is>
          <t>PWC National Pool of Hours [ONS]</t>
        </is>
      </c>
      <c r="L10" t="inlineStr">
        <is>
          <t>10/09/2026 - 13:00 to 17:00</t>
        </is>
      </c>
      <c r="M10" s="14" t="n">
        <v>37.5</v>
      </c>
      <c r="N10" t="inlineStr">
        <is>
          <t>per Hour</t>
        </is>
      </c>
      <c r="O10" s="15" t="n">
        <v>150</v>
      </c>
      <c r="P10" s="15" t="n">
        <v>150</v>
      </c>
      <c r="Q10" s="15" t="n">
        <v>18</v>
      </c>
      <c r="S10" s="59">
        <f>IFERROR(DATE(VALUE(MID(L10,FIND("/",L10,FIND("/",L10)+1)+1,4)),VALUE(MID(L10,FIND("/",L10)+1,FIND("/",L10,FIND("/",L10)+1)-FIND("/",L10)-1)),VALUE(LEFT(L10,FIND("/",L10)-1))),IF(ISNUMBER(L10),L10,""))</f>
        <v/>
      </c>
      <c r="T10">
        <f>IF(S10="","No - adjustment/reversal (no work date)",IF(COUNTIFS('Summary '!$A$21:$A$36,S10,'Summary '!$D$21:$D$36,K10)&gt;0,"Yes","NO MATCH - INVESTIGATE"))</f>
        <v/>
      </c>
    </row>
    <row r="11">
      <c r="A11" t="n">
        <v>12414219</v>
      </c>
      <c r="C11" t="inlineStr">
        <is>
          <t>Jonathan Hendratno</t>
        </is>
      </c>
      <c r="D11" t="n">
        <v>2856297</v>
      </c>
      <c r="E11" t="inlineStr">
        <is>
          <t>2286634</t>
        </is>
      </c>
      <c r="F11" t="inlineStr">
        <is>
          <t>Casual Ordinary Hours</t>
        </is>
      </c>
      <c r="G11" s="13" t="n">
        <v>4</v>
      </c>
      <c r="H11" t="inlineStr">
        <is>
          <t>Hours</t>
        </is>
      </c>
      <c r="I11" t="n">
        <v>777409</v>
      </c>
      <c r="J11" t="inlineStr">
        <is>
          <t>26022301</t>
        </is>
      </c>
      <c r="K11" t="inlineStr">
        <is>
          <t>Aware Super AV Maintenance [ONS]</t>
        </is>
      </c>
      <c r="L11" t="inlineStr">
        <is>
          <t>17/09/2026 - 11:30 to 15:30</t>
        </is>
      </c>
      <c r="M11" s="14" t="n">
        <v>37.5</v>
      </c>
      <c r="N11" t="inlineStr">
        <is>
          <t>per Hour</t>
        </is>
      </c>
      <c r="O11" s="15" t="n">
        <v>150</v>
      </c>
      <c r="P11" s="15" t="n">
        <v>150</v>
      </c>
      <c r="Q11" s="15" t="n">
        <v>18</v>
      </c>
      <c r="S11" s="59">
        <f>IFERROR(DATE(VALUE(MID(L11,FIND("/",L11,FIND("/",L11)+1)+1,4)),VALUE(MID(L11,FIND("/",L11)+1,FIND("/",L11,FIND("/",L11)+1)-FIND("/",L11)-1)),VALUE(LEFT(L11,FIND("/",L11)-1))),IF(ISNUMBER(L11),L11,""))</f>
        <v/>
      </c>
      <c r="T11">
        <f>IF(S11="","No - adjustment/reversal (no work date)",IF(COUNTIFS('Summary '!$A$21:$A$36,S11,'Summary '!$D$21:$D$36,K11)&gt;0,"Yes","NO MATCH - INVESTIGATE"))</f>
        <v/>
      </c>
    </row>
  </sheetData>
  <autoFilter ref="A2:Q1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4"/>
  <sheetViews>
    <sheetView workbookViewId="0">
      <selection activeCell="F32" sqref="F32"/>
    </sheetView>
  </sheetViews>
  <sheetFormatPr baseColWidth="8" defaultRowHeight="15"/>
  <cols>
    <col width="15" customWidth="1" style="12" min="1" max="1"/>
    <col width="19.7109375" customWidth="1" style="12" min="2" max="2"/>
    <col width="20" customWidth="1" style="12" min="3" max="3"/>
    <col width="15" customWidth="1" style="12" min="4" max="4"/>
    <col width="22.85546875" customWidth="1" style="12" min="5" max="5"/>
    <col width="27.140625" customWidth="1" style="12" min="6" max="6"/>
    <col width="5.5703125" customWidth="1" style="13" min="7" max="7"/>
    <col width="9.42578125" customWidth="1" style="12" min="8" max="8"/>
    <col width="10.7109375" customWidth="1" style="12" min="9" max="9"/>
    <col width="18.5703125" customWidth="1" style="12" min="10" max="10"/>
    <col width="69.7109375" customWidth="1" style="12" min="11" max="11"/>
    <col width="161.7109375" customWidth="1" style="12" min="12" max="12"/>
    <col width="9.85546875" customWidth="1" style="14" min="13" max="13"/>
    <col width="9.7109375" customWidth="1" style="12" min="14" max="14"/>
    <col width="14.140625" customWidth="1" style="15" min="15" max="15"/>
    <col width="15.7109375" customWidth="1" style="15" min="16" max="16"/>
    <col width="9" customWidth="1" style="15" min="17" max="17"/>
    <col width="9.140625" customWidth="1" style="12" min="18" max="16384"/>
    <col width="18" customWidth="1" style="12" min="19" max="19"/>
    <col width="32" customWidth="1" style="12" min="20" max="20"/>
  </cols>
  <sheetData>
    <row r="1" customFormat="1" s="8">
      <c r="A1" s="8" t="inlineStr">
        <is>
          <t>Earnings Details</t>
        </is>
      </c>
      <c r="G1" s="9" t="n"/>
      <c r="M1" s="10" t="n"/>
      <c r="O1" s="11" t="n"/>
      <c r="P1" s="11" t="n"/>
      <c r="Q1" s="11"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10" t="inlineStr">
        <is>
          <t>Rate</t>
        </is>
      </c>
      <c r="N2" s="8" t="inlineStr">
        <is>
          <t>Rate Type</t>
        </is>
      </c>
      <c r="O2" s="11" t="inlineStr">
        <is>
          <t>Gross Earnings</t>
        </is>
      </c>
      <c r="P2" s="11" t="inlineStr">
        <is>
          <t>Taxable Earnings</t>
        </is>
      </c>
      <c r="Q2" s="11" t="inlineStr">
        <is>
          <t>SG Super</t>
        </is>
      </c>
      <c r="S2" s="58" t="inlineStr">
        <is>
          <t>Work Date (helper)</t>
        </is>
      </c>
      <c r="T2" s="58" t="inlineStr">
        <is>
          <t>Matched to Timesheet?</t>
        </is>
      </c>
    </row>
    <row r="3">
      <c r="A3" t="n">
        <v>12414219</v>
      </c>
      <c r="C3" t="inlineStr">
        <is>
          <t>Jonathan Hendratno</t>
        </is>
      </c>
      <c r="D3" t="n">
        <v>2856297</v>
      </c>
      <c r="E3" t="inlineStr">
        <is>
          <t>2286634</t>
        </is>
      </c>
      <c r="F3" t="inlineStr">
        <is>
          <t>Casual Ordinary Hours</t>
        </is>
      </c>
      <c r="G3" s="13" t="n">
        <v>3.5</v>
      </c>
      <c r="H3" t="inlineStr">
        <is>
          <t>Hours</t>
        </is>
      </c>
      <c r="I3" t="n">
        <v>441224</v>
      </c>
      <c r="J3" t="inlineStr">
        <is>
          <t>725</t>
        </is>
      </c>
      <c r="K3" t="inlineStr">
        <is>
          <t>DTTL Mel Tech FT 1 [ONS]</t>
        </is>
      </c>
      <c r="L3" t="inlineStr">
        <is>
          <t>24/08/2026 - 08:30 to 12:00</t>
        </is>
      </c>
      <c r="M3" s="14" t="n">
        <v>37.5</v>
      </c>
      <c r="N3" t="inlineStr">
        <is>
          <t>per Hour</t>
        </is>
      </c>
      <c r="O3" s="15" t="n">
        <v>131.25</v>
      </c>
      <c r="P3" s="15" t="n">
        <v>131.25</v>
      </c>
      <c r="Q3" s="15" t="n">
        <v>15.75</v>
      </c>
      <c r="S3" s="59">
        <f>IFERROR(DATE(VALUE(MID(L3,FIND("/",L3,FIND("/",L3)+1)+1,4)),VALUE(MID(L3,FIND("/",L3)+1,FIND("/",L3,FIND("/",L3)+1)-FIND("/",L3)-1)),VALUE(LEFT(L3,FIND("/",L3)-1))),IF(ISNUMBER(L3),L3,""))</f>
        <v/>
      </c>
      <c r="T3">
        <f>IF(S3="","No - adjustment/reversal (no work date)",IF(COUNTIFS('Summary '!$A$21:$A$36,S3,'Summary '!$D$21:$D$36,K3)&gt;0,"Yes","NO MATCH - INVESTIGATE"))</f>
        <v/>
      </c>
    </row>
    <row r="4">
      <c r="A4" t="n">
        <v>12414219</v>
      </c>
      <c r="C4" t="inlineStr">
        <is>
          <t>Jonathan Hendratno</t>
        </is>
      </c>
      <c r="D4" t="n">
        <v>2856297</v>
      </c>
      <c r="E4" t="inlineStr">
        <is>
          <t>2286634</t>
        </is>
      </c>
      <c r="F4" t="inlineStr">
        <is>
          <t>Casual Ordinary Hours</t>
        </is>
      </c>
      <c r="G4" s="13" t="n">
        <v>4.5</v>
      </c>
      <c r="H4" t="inlineStr">
        <is>
          <t>Hours</t>
        </is>
      </c>
      <c r="I4" t="n">
        <v>441224</v>
      </c>
      <c r="J4" t="inlineStr">
        <is>
          <t>725</t>
        </is>
      </c>
      <c r="K4" t="inlineStr">
        <is>
          <t>DTTL Mel Tech FT 1 [ONS]</t>
        </is>
      </c>
      <c r="L4" t="inlineStr">
        <is>
          <t>24/08/2026 - 12:30 to 17:00</t>
        </is>
      </c>
      <c r="M4" s="14" t="n">
        <v>37.5</v>
      </c>
      <c r="N4" t="inlineStr">
        <is>
          <t>per Hour</t>
        </is>
      </c>
      <c r="O4" s="15" t="n">
        <v>168.75</v>
      </c>
      <c r="P4" s="15" t="n">
        <v>168.75</v>
      </c>
      <c r="Q4" s="15" t="n">
        <v>20.25</v>
      </c>
      <c r="S4" s="59">
        <f>IFERROR(DATE(VALUE(MID(L4,FIND("/",L4,FIND("/",L4)+1)+1,4)),VALUE(MID(L4,FIND("/",L4)+1,FIND("/",L4,FIND("/",L4)+1)-FIND("/",L4)-1)),VALUE(LEFT(L4,FIND("/",L4)-1))),IF(ISNUMBER(L4),L4,""))</f>
        <v/>
      </c>
      <c r="T4">
        <f>IF(S4="","No - adjustment/reversal (no work date)",IF(COUNTIFS('Summary '!$A$21:$A$36,S4,'Summary '!$D$21:$D$36,K4)&gt;0,"Yes","NO MATCH - INVESTIGATE"))</f>
        <v/>
      </c>
    </row>
    <row r="5">
      <c r="A5" t="n">
        <v>12414219</v>
      </c>
      <c r="C5" t="inlineStr">
        <is>
          <t>Jonathan Hendratno</t>
        </is>
      </c>
      <c r="D5" t="n">
        <v>2856297</v>
      </c>
      <c r="E5" t="inlineStr">
        <is>
          <t>2286634</t>
        </is>
      </c>
      <c r="F5" t="inlineStr">
        <is>
          <t>Casual Ordinary Hours</t>
        </is>
      </c>
      <c r="G5" s="13" t="n">
        <v>3.5</v>
      </c>
      <c r="H5" t="inlineStr">
        <is>
          <t>Hours</t>
        </is>
      </c>
      <c r="I5" t="n">
        <v>441224</v>
      </c>
      <c r="J5" t="inlineStr">
        <is>
          <t>725</t>
        </is>
      </c>
      <c r="K5" t="inlineStr">
        <is>
          <t>DTTL Mel Tech FT 1 [ONS]</t>
        </is>
      </c>
      <c r="L5" t="inlineStr">
        <is>
          <t>28/08/2026 - 08:30 to 12:00</t>
        </is>
      </c>
      <c r="M5" s="14" t="n">
        <v>37.5</v>
      </c>
      <c r="N5" t="inlineStr">
        <is>
          <t>per Hour</t>
        </is>
      </c>
      <c r="O5" s="15" t="n">
        <v>131.25</v>
      </c>
      <c r="P5" s="15" t="n">
        <v>131.25</v>
      </c>
      <c r="Q5" s="15" t="n">
        <v>15.75</v>
      </c>
      <c r="S5" s="59">
        <f>IFERROR(DATE(VALUE(MID(L5,FIND("/",L5,FIND("/",L5)+1)+1,4)),VALUE(MID(L5,FIND("/",L5)+1,FIND("/",L5,FIND("/",L5)+1)-FIND("/",L5)-1)),VALUE(LEFT(L5,FIND("/",L5)-1))),IF(ISNUMBER(L5),L5,""))</f>
        <v/>
      </c>
      <c r="T5">
        <f>IF(S5="","No - adjustment/reversal (no work date)",IF(COUNTIFS('Summary '!$A$21:$A$36,S5,'Summary '!$D$21:$D$36,K5)&gt;0,"Yes","NO MATCH - INVESTIGATE"))</f>
        <v/>
      </c>
    </row>
    <row r="6">
      <c r="A6" t="n">
        <v>12414219</v>
      </c>
      <c r="C6" t="inlineStr">
        <is>
          <t>Jonathan Hendratno</t>
        </is>
      </c>
      <c r="D6" t="n">
        <v>2856297</v>
      </c>
      <c r="E6" t="inlineStr">
        <is>
          <t>2286634</t>
        </is>
      </c>
      <c r="F6" t="inlineStr">
        <is>
          <t>Casual Ordinary Hours</t>
        </is>
      </c>
      <c r="G6" s="13" t="n">
        <v>4.5</v>
      </c>
      <c r="H6" t="inlineStr">
        <is>
          <t>Hours</t>
        </is>
      </c>
      <c r="I6" t="n">
        <v>441224</v>
      </c>
      <c r="J6" t="inlineStr">
        <is>
          <t>725</t>
        </is>
      </c>
      <c r="K6" t="inlineStr">
        <is>
          <t>DTTL Mel Tech FT 1 [ONS]</t>
        </is>
      </c>
      <c r="L6" t="inlineStr">
        <is>
          <t>28/08/2026 - 12:30 to 17:00</t>
        </is>
      </c>
      <c r="M6" s="14" t="n">
        <v>37.5</v>
      </c>
      <c r="N6" t="inlineStr">
        <is>
          <t>per Hour</t>
        </is>
      </c>
      <c r="O6" s="15" t="n">
        <v>168.75</v>
      </c>
      <c r="P6" s="15" t="n">
        <v>168.75</v>
      </c>
      <c r="Q6" s="15" t="n">
        <v>20.25</v>
      </c>
      <c r="S6" s="59">
        <f>IFERROR(DATE(VALUE(MID(L6,FIND("/",L6,FIND("/",L6)+1)+1,4)),VALUE(MID(L6,FIND("/",L6)+1,FIND("/",L6,FIND("/",L6)+1)-FIND("/",L6)-1)),VALUE(LEFT(L6,FIND("/",L6)-1))),IF(ISNUMBER(L6),L6,""))</f>
        <v/>
      </c>
      <c r="T6">
        <f>IF(S6="","No - adjustment/reversal (no work date)",IF(COUNTIFS('Summary '!$A$21:$A$36,S6,'Summary '!$D$21:$D$36,K6)&gt;0,"Yes","NO MATCH - INVESTIGATE"))</f>
        <v/>
      </c>
    </row>
    <row r="7">
      <c r="A7" t="n">
        <v>12414219</v>
      </c>
      <c r="C7" t="inlineStr">
        <is>
          <t>Jonathan Hendratno</t>
        </is>
      </c>
      <c r="D7" t="n">
        <v>2856297</v>
      </c>
      <c r="E7" t="inlineStr">
        <is>
          <t>2286634</t>
        </is>
      </c>
      <c r="F7" t="inlineStr">
        <is>
          <t>Casual Ordinary Hours</t>
        </is>
      </c>
      <c r="G7" s="13" t="n">
        <v>3.5</v>
      </c>
      <c r="H7" t="inlineStr">
        <is>
          <t>Hours</t>
        </is>
      </c>
      <c r="I7" t="n">
        <v>441224</v>
      </c>
      <c r="J7" t="inlineStr">
        <is>
          <t>725</t>
        </is>
      </c>
      <c r="K7" t="inlineStr">
        <is>
          <t>DTTL Mel Tech FT 1 [ONS]</t>
        </is>
      </c>
      <c r="L7" t="inlineStr">
        <is>
          <t>31/08/2026 - 08:30 to 12:00</t>
        </is>
      </c>
      <c r="M7" s="14" t="n">
        <v>37.5</v>
      </c>
      <c r="N7" t="inlineStr">
        <is>
          <t>per Hour</t>
        </is>
      </c>
      <c r="O7" s="15" t="n">
        <v>131.25</v>
      </c>
      <c r="P7" s="15" t="n">
        <v>131.25</v>
      </c>
      <c r="Q7" s="15" t="n">
        <v>15.75</v>
      </c>
      <c r="S7" s="59">
        <f>IFERROR(DATE(VALUE(MID(L7,FIND("/",L7,FIND("/",L7)+1)+1,4)),VALUE(MID(L7,FIND("/",L7)+1,FIND("/",L7,FIND("/",L7)+1)-FIND("/",L7)-1)),VALUE(LEFT(L7,FIND("/",L7)-1))),IF(ISNUMBER(L7),L7,""))</f>
        <v/>
      </c>
      <c r="T7">
        <f>IF(S7="","No - adjustment/reversal (no work date)",IF(COUNTIFS('Summary '!$A$21:$A$36,S7,'Summary '!$D$21:$D$36,K7)&gt;0,"Yes","NO MATCH - INVESTIGATE"))</f>
        <v/>
      </c>
    </row>
    <row r="8">
      <c r="A8" t="n">
        <v>12414219</v>
      </c>
      <c r="C8" t="inlineStr">
        <is>
          <t>Jonathan Hendratno</t>
        </is>
      </c>
      <c r="D8" t="n">
        <v>2856297</v>
      </c>
      <c r="E8" t="inlineStr">
        <is>
          <t>2286634</t>
        </is>
      </c>
      <c r="F8" t="inlineStr">
        <is>
          <t>Casual Ordinary Hours</t>
        </is>
      </c>
      <c r="G8" s="13" t="n">
        <v>4.5</v>
      </c>
      <c r="H8" t="inlineStr">
        <is>
          <t>Hours</t>
        </is>
      </c>
      <c r="I8" t="n">
        <v>441224</v>
      </c>
      <c r="J8" t="inlineStr">
        <is>
          <t>725</t>
        </is>
      </c>
      <c r="K8" t="inlineStr">
        <is>
          <t>DTTL Mel Tech FT 1 [ONS]</t>
        </is>
      </c>
      <c r="L8" t="inlineStr">
        <is>
          <t>31/08/2026 - 12:30 to 17:00</t>
        </is>
      </c>
      <c r="M8" s="14" t="n">
        <v>37.5</v>
      </c>
      <c r="N8" t="inlineStr">
        <is>
          <t>per Hour</t>
        </is>
      </c>
      <c r="O8" s="15" t="n">
        <v>168.75</v>
      </c>
      <c r="P8" s="15" t="n">
        <v>168.75</v>
      </c>
      <c r="Q8" s="15" t="n">
        <v>20.25</v>
      </c>
      <c r="S8" s="59">
        <f>IFERROR(DATE(VALUE(MID(L8,FIND("/",L8,FIND("/",L8)+1)+1,4)),VALUE(MID(L8,FIND("/",L8)+1,FIND("/",L8,FIND("/",L8)+1)-FIND("/",L8)-1)),VALUE(LEFT(L8,FIND("/",L8)-1))),IF(ISNUMBER(L8),L8,""))</f>
        <v/>
      </c>
      <c r="T8">
        <f>IF(S8="","No - adjustment/reversal (no work date)",IF(COUNTIFS('Summary '!$A$21:$A$36,S8,'Summary '!$D$21:$D$36,K8)&gt;0,"Yes","NO MATCH - INVESTIGATE"))</f>
        <v/>
      </c>
    </row>
    <row r="9">
      <c r="A9" t="n">
        <v>12414219</v>
      </c>
      <c r="C9" t="inlineStr">
        <is>
          <t>Jonathan Hendratno</t>
        </is>
      </c>
      <c r="D9" t="n">
        <v>2856297</v>
      </c>
      <c r="E9" t="inlineStr">
        <is>
          <t>2286634</t>
        </is>
      </c>
      <c r="F9" t="inlineStr">
        <is>
          <t>Casual Ordinary Hours</t>
        </is>
      </c>
      <c r="G9" s="13" t="n">
        <v>3</v>
      </c>
      <c r="H9" t="inlineStr">
        <is>
          <t>Hours</t>
        </is>
      </c>
      <c r="I9" t="n">
        <v>441224</v>
      </c>
      <c r="J9" t="inlineStr">
        <is>
          <t>725</t>
        </is>
      </c>
      <c r="K9" t="inlineStr">
        <is>
          <t>DTTL Mel Tech FT 1 [ONS]</t>
        </is>
      </c>
      <c r="L9" t="inlineStr">
        <is>
          <t>1/09/2026 - 09:00 to 12:00</t>
        </is>
      </c>
      <c r="M9" s="14" t="n">
        <v>37.5</v>
      </c>
      <c r="N9" t="inlineStr">
        <is>
          <t>per Hour</t>
        </is>
      </c>
      <c r="O9" s="15" t="n">
        <v>112.5</v>
      </c>
      <c r="P9" s="15" t="n">
        <v>112.5</v>
      </c>
      <c r="Q9" s="15" t="n">
        <v>13.5</v>
      </c>
      <c r="S9" s="59">
        <f>IFERROR(DATE(VALUE(MID(L9,FIND("/",L9,FIND("/",L9)+1)+1,4)),VALUE(MID(L9,FIND("/",L9)+1,FIND("/",L9,FIND("/",L9)+1)-FIND("/",L9)-1)),VALUE(LEFT(L9,FIND("/",L9)-1))),IF(ISNUMBER(L9),L9,""))</f>
        <v/>
      </c>
      <c r="T9">
        <f>IF(S9="","No - adjustment/reversal (no work date)",IF(COUNTIFS('Summary '!$A$21:$A$36,S9,'Summary '!$D$21:$D$36,K9)&gt;0,"Yes","NO MATCH - INVESTIGATE"))</f>
        <v/>
      </c>
    </row>
    <row r="10">
      <c r="A10" t="n">
        <v>12414219</v>
      </c>
      <c r="C10" t="inlineStr">
        <is>
          <t>Jonathan Hendratno</t>
        </is>
      </c>
      <c r="D10" t="n">
        <v>2856297</v>
      </c>
      <c r="E10" t="inlineStr">
        <is>
          <t>2286634</t>
        </is>
      </c>
      <c r="F10" t="inlineStr">
        <is>
          <t>Casual Ordinary Hours</t>
        </is>
      </c>
      <c r="G10" s="13" t="n">
        <v>5</v>
      </c>
      <c r="H10" t="inlineStr">
        <is>
          <t>Hours</t>
        </is>
      </c>
      <c r="I10" t="n">
        <v>441224</v>
      </c>
      <c r="J10" t="inlineStr">
        <is>
          <t>725</t>
        </is>
      </c>
      <c r="K10" t="inlineStr">
        <is>
          <t>DTTL Mel Tech FT 1 [ONS]</t>
        </is>
      </c>
      <c r="L10" t="inlineStr">
        <is>
          <t>1/09/2026 - 12:30 to 17:30</t>
        </is>
      </c>
      <c r="M10" s="14" t="n">
        <v>37.5</v>
      </c>
      <c r="N10" t="inlineStr">
        <is>
          <t>per Hour</t>
        </is>
      </c>
      <c r="O10" s="15" t="n">
        <v>187.5</v>
      </c>
      <c r="P10" s="15" t="n">
        <v>187.5</v>
      </c>
      <c r="Q10" s="15" t="n">
        <v>22.5</v>
      </c>
      <c r="S10" s="59">
        <f>IFERROR(DATE(VALUE(MID(L10,FIND("/",L10,FIND("/",L10)+1)+1,4)),VALUE(MID(L10,FIND("/",L10)+1,FIND("/",L10,FIND("/",L10)+1)-FIND("/",L10)-1)),VALUE(LEFT(L10,FIND("/",L10)-1))),IF(ISNUMBER(L10),L10,""))</f>
        <v/>
      </c>
      <c r="T10">
        <f>IF(S10="","No - adjustment/reversal (no work date)",IF(COUNTIFS('Summary '!$A$21:$A$36,S10,'Summary '!$D$21:$D$36,K10)&gt;0,"Yes","NO MATCH - INVESTIGATE"))</f>
        <v/>
      </c>
    </row>
    <row r="11">
      <c r="A11" t="n">
        <v>12414219</v>
      </c>
      <c r="C11" t="inlineStr">
        <is>
          <t>Jonathan Hendratno</t>
        </is>
      </c>
      <c r="D11" t="n">
        <v>2856297</v>
      </c>
      <c r="E11" t="inlineStr">
        <is>
          <t>2286634</t>
        </is>
      </c>
      <c r="F11" t="inlineStr">
        <is>
          <t>Casual Ordinary Hours</t>
        </is>
      </c>
      <c r="G11" s="13" t="n">
        <v>3</v>
      </c>
      <c r="H11" t="inlineStr">
        <is>
          <t>Hours</t>
        </is>
      </c>
      <c r="I11" t="n">
        <v>441224</v>
      </c>
      <c r="J11" t="inlineStr">
        <is>
          <t>725</t>
        </is>
      </c>
      <c r="K11" t="inlineStr">
        <is>
          <t>DTTL Mel Tech FT 1 [ONS]</t>
        </is>
      </c>
      <c r="L11" t="inlineStr">
        <is>
          <t>2/09/2026 - 09:00 to 12:00</t>
        </is>
      </c>
      <c r="M11" s="14" t="n">
        <v>37.5</v>
      </c>
      <c r="N11" t="inlineStr">
        <is>
          <t>per Hour</t>
        </is>
      </c>
      <c r="O11" s="15" t="n">
        <v>112.5</v>
      </c>
      <c r="P11" s="15" t="n">
        <v>112.5</v>
      </c>
      <c r="Q11" s="15" t="n">
        <v>13.5</v>
      </c>
      <c r="S11" s="59">
        <f>IFERROR(DATE(VALUE(MID(L11,FIND("/",L11,FIND("/",L11)+1)+1,4)),VALUE(MID(L11,FIND("/",L11)+1,FIND("/",L11,FIND("/",L11)+1)-FIND("/",L11)-1)),VALUE(LEFT(L11,FIND("/",L11)-1))),IF(ISNUMBER(L11),L11,""))</f>
        <v/>
      </c>
      <c r="T11">
        <f>IF(S11="","No - adjustment/reversal (no work date)",IF(COUNTIFS('Summary '!$A$21:$A$36,S11,'Summary '!$D$21:$D$36,K11)&gt;0,"Yes","NO MATCH - INVESTIGATE"))</f>
        <v/>
      </c>
    </row>
    <row r="12">
      <c r="A12" t="n">
        <v>12414219</v>
      </c>
      <c r="C12" t="inlineStr">
        <is>
          <t>Jonathan Hendratno</t>
        </is>
      </c>
      <c r="D12" t="n">
        <v>2856297</v>
      </c>
      <c r="E12" t="inlineStr">
        <is>
          <t>2286634</t>
        </is>
      </c>
      <c r="F12" t="inlineStr">
        <is>
          <t>Casual Ordinary Hours</t>
        </is>
      </c>
      <c r="G12" s="13" t="n">
        <v>5</v>
      </c>
      <c r="H12" t="inlineStr">
        <is>
          <t>Hours</t>
        </is>
      </c>
      <c r="I12" t="n">
        <v>441224</v>
      </c>
      <c r="J12" t="inlineStr">
        <is>
          <t>725</t>
        </is>
      </c>
      <c r="K12" t="inlineStr">
        <is>
          <t>DTTL Mel Tech FT 1 [ONS]</t>
        </is>
      </c>
      <c r="L12" t="inlineStr">
        <is>
          <t>2/09/2026 - 12:30 to 17:30</t>
        </is>
      </c>
      <c r="M12" s="14" t="n">
        <v>37.5</v>
      </c>
      <c r="N12" t="inlineStr">
        <is>
          <t>per Hour</t>
        </is>
      </c>
      <c r="O12" s="15" t="n">
        <v>187.5</v>
      </c>
      <c r="P12" s="15" t="n">
        <v>187.5</v>
      </c>
      <c r="Q12" s="15" t="n">
        <v>22.5</v>
      </c>
      <c r="S12" s="59">
        <f>IFERROR(DATE(VALUE(MID(L12,FIND("/",L12,FIND("/",L12)+1)+1,4)),VALUE(MID(L12,FIND("/",L12)+1,FIND("/",L12,FIND("/",L12)+1)-FIND("/",L12)-1)),VALUE(LEFT(L12,FIND("/",L12)-1))),IF(ISNUMBER(L12),L12,""))</f>
        <v/>
      </c>
      <c r="T12">
        <f>IF(S12="","No - adjustment/reversal (no work date)",IF(COUNTIFS('Summary '!$A$21:$A$36,S12,'Summary '!$D$21:$D$36,K12)&gt;0,"Yes","NO MATCH - INVESTIGATE"))</f>
        <v/>
      </c>
    </row>
    <row r="13">
      <c r="A13" t="n">
        <v>12414219</v>
      </c>
      <c r="C13" t="inlineStr">
        <is>
          <t>Jonathan Hendratno</t>
        </is>
      </c>
      <c r="D13" t="n">
        <v>2856297</v>
      </c>
      <c r="E13" t="inlineStr">
        <is>
          <t>2286634</t>
        </is>
      </c>
      <c r="F13" t="inlineStr">
        <is>
          <t>Casual Ordinary Hours</t>
        </is>
      </c>
      <c r="G13" s="13" t="n">
        <v>3.5</v>
      </c>
      <c r="H13" t="inlineStr">
        <is>
          <t>Hours</t>
        </is>
      </c>
      <c r="I13" t="n">
        <v>441224</v>
      </c>
      <c r="J13" t="inlineStr">
        <is>
          <t>725</t>
        </is>
      </c>
      <c r="K13" t="inlineStr">
        <is>
          <t>DTTL Mel Tech FT 1 [ONS]</t>
        </is>
      </c>
      <c r="L13" t="inlineStr">
        <is>
          <t>4/09/2026 - 08:30 to 12:00</t>
        </is>
      </c>
      <c r="M13" s="14" t="n">
        <v>37.5</v>
      </c>
      <c r="N13" t="inlineStr">
        <is>
          <t>per Hour</t>
        </is>
      </c>
      <c r="O13" s="15" t="n">
        <v>131.25</v>
      </c>
      <c r="P13" s="15" t="n">
        <v>131.25</v>
      </c>
      <c r="Q13" s="15" t="n">
        <v>15.75</v>
      </c>
      <c r="S13" s="59">
        <f>IFERROR(DATE(VALUE(MID(L13,FIND("/",L13,FIND("/",L13)+1)+1,4)),VALUE(MID(L13,FIND("/",L13)+1,FIND("/",L13,FIND("/",L13)+1)-FIND("/",L13)-1)),VALUE(LEFT(L13,FIND("/",L13)-1))),IF(ISNUMBER(L13),L13,""))</f>
        <v/>
      </c>
      <c r="T13">
        <f>IF(S13="","No - adjustment/reversal (no work date)",IF(COUNTIFS('Summary '!$A$21:$A$36,S13,'Summary '!$D$21:$D$36,K13)&gt;0,"Yes","NO MATCH - INVESTIGATE"))</f>
        <v/>
      </c>
    </row>
    <row r="14">
      <c r="A14" t="n">
        <v>12414219</v>
      </c>
      <c r="C14" t="inlineStr">
        <is>
          <t>Jonathan Hendratno</t>
        </is>
      </c>
      <c r="D14" t="n">
        <v>2856297</v>
      </c>
      <c r="E14" t="inlineStr">
        <is>
          <t>2286634</t>
        </is>
      </c>
      <c r="F14" t="inlineStr">
        <is>
          <t>Casual Ordinary Hours</t>
        </is>
      </c>
      <c r="G14" s="13" t="n">
        <v>4.5</v>
      </c>
      <c r="H14" t="inlineStr">
        <is>
          <t>Hours</t>
        </is>
      </c>
      <c r="I14" t="n">
        <v>441224</v>
      </c>
      <c r="J14" t="inlineStr">
        <is>
          <t>725</t>
        </is>
      </c>
      <c r="K14" t="inlineStr">
        <is>
          <t>DTTL Mel Tech FT 1 [ONS]</t>
        </is>
      </c>
      <c r="L14" t="inlineStr">
        <is>
          <t>4/09/2026 - 12:30 to 17:00</t>
        </is>
      </c>
      <c r="M14" s="14" t="n">
        <v>37.5</v>
      </c>
      <c r="N14" t="inlineStr">
        <is>
          <t>per Hour</t>
        </is>
      </c>
      <c r="O14" s="15" t="n">
        <v>168.75</v>
      </c>
      <c r="P14" s="15" t="n">
        <v>168.75</v>
      </c>
      <c r="Q14" s="15" t="n">
        <v>20.25</v>
      </c>
      <c r="S14" s="59">
        <f>IFERROR(DATE(VALUE(MID(L14,FIND("/",L14,FIND("/",L14)+1)+1,4)),VALUE(MID(L14,FIND("/",L14)+1,FIND("/",L14,FIND("/",L14)+1)-FIND("/",L14)-1)),VALUE(LEFT(L14,FIND("/",L14)-1))),IF(ISNUMBER(L14),L14,""))</f>
        <v/>
      </c>
      <c r="T14">
        <f>IF(S14="","No - adjustment/reversal (no work date)",IF(COUNTIFS('Summary '!$A$21:$A$36,S14,'Summary '!$D$21:$D$36,K14)&gt;0,"Yes","NO MATCH - INVESTIGATE"))</f>
        <v/>
      </c>
    </row>
  </sheetData>
  <autoFilter ref="A2:Q1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T7"/>
  <sheetViews>
    <sheetView workbookViewId="0">
      <selection activeCell="E30" sqref="E30"/>
    </sheetView>
  </sheetViews>
  <sheetFormatPr baseColWidth="8" defaultRowHeight="15"/>
  <cols>
    <col width="15" customWidth="1" style="12" min="1" max="1"/>
    <col width="19.7109375" customWidth="1" style="12" min="2" max="2"/>
    <col width="30.28515625" customWidth="1" style="12" min="3" max="3"/>
    <col width="15" customWidth="1" style="12" min="4" max="4"/>
    <col width="22.85546875" customWidth="1" style="12" min="5" max="5"/>
    <col width="36" customWidth="1" style="12" min="6" max="6"/>
    <col width="6.140625" customWidth="1" style="13" min="7" max="7"/>
    <col width="9.42578125" customWidth="1" style="12" min="8" max="8"/>
    <col width="10.7109375" customWidth="1" style="12" min="9" max="9"/>
    <col width="18.5703125" customWidth="1" style="12" min="10" max="10"/>
    <col width="55.140625" customWidth="1" style="12" min="11" max="11"/>
    <col width="185.140625" customWidth="1" style="12" min="12" max="12"/>
    <col width="9.85546875" customWidth="1" style="14" min="13" max="13"/>
    <col width="9.7109375" customWidth="1" style="12" min="14" max="14"/>
    <col width="14.140625" customWidth="1" style="15" min="15" max="15"/>
    <col width="15.7109375" customWidth="1" style="15" min="16" max="16"/>
    <col width="9" customWidth="1" style="15" min="17" max="17"/>
    <col width="9.140625" customWidth="1" style="12" min="18" max="16384"/>
    <col width="18" customWidth="1" style="12" min="19" max="19"/>
    <col width="32" customWidth="1" style="12" min="20" max="20"/>
  </cols>
  <sheetData>
    <row r="1" customFormat="1" s="8">
      <c r="A1" s="8" t="inlineStr">
        <is>
          <t>Earnings Details</t>
        </is>
      </c>
      <c r="G1" s="9" t="n"/>
      <c r="M1" s="10" t="n"/>
      <c r="O1" s="11" t="n"/>
      <c r="P1" s="11" t="n"/>
      <c r="Q1" s="11"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10" t="inlineStr">
        <is>
          <t>Rate</t>
        </is>
      </c>
      <c r="N2" s="8" t="inlineStr">
        <is>
          <t>Rate Type</t>
        </is>
      </c>
      <c r="O2" s="11" t="inlineStr">
        <is>
          <t>Gross Earnings</t>
        </is>
      </c>
      <c r="P2" s="11" t="inlineStr">
        <is>
          <t>Taxable Earnings</t>
        </is>
      </c>
      <c r="Q2" s="11" t="inlineStr">
        <is>
          <t>SG Super</t>
        </is>
      </c>
      <c r="S2" s="58" t="inlineStr">
        <is>
          <t>Work Date (helper)</t>
        </is>
      </c>
      <c r="T2" s="58" t="inlineStr">
        <is>
          <t>Matched to Timesheet?</t>
        </is>
      </c>
    </row>
    <row r="3">
      <c r="A3" t="n">
        <v>12414219</v>
      </c>
      <c r="C3" t="inlineStr">
        <is>
          <t>Jonathan Hendratno</t>
        </is>
      </c>
      <c r="D3" t="n">
        <v>2856297</v>
      </c>
      <c r="E3" t="inlineStr">
        <is>
          <t>2286634</t>
        </is>
      </c>
      <c r="F3" t="inlineStr">
        <is>
          <t>Casual Ordinary Hours</t>
        </is>
      </c>
      <c r="G3" s="13" t="n">
        <v>-16</v>
      </c>
      <c r="H3" t="inlineStr">
        <is>
          <t>Hours</t>
        </is>
      </c>
      <c r="I3" t="n">
        <v>770681</v>
      </c>
      <c r="J3" t="inlineStr">
        <is>
          <t>26043001</t>
        </is>
      </c>
      <c r="K3" t="inlineStr">
        <is>
          <t>CBA FT Tech MEL - 12 months [ONS]</t>
        </is>
      </c>
      <c r="L3" t="inlineStr">
        <is>
          <t>Reversal of incorrect rate for fortnight ending 07/08/2026</t>
        </is>
      </c>
      <c r="M3" s="14" t="n">
        <v>35.15</v>
      </c>
      <c r="N3" t="inlineStr">
        <is>
          <t>per Hour</t>
        </is>
      </c>
      <c r="O3" s="15" t="n">
        <v>-562.4</v>
      </c>
      <c r="P3" s="15" t="n">
        <v>-562.4</v>
      </c>
      <c r="Q3" s="15" t="n">
        <v>-67.48569000000001</v>
      </c>
      <c r="S3" s="59">
        <f>IFERROR(DATE(VALUE(MID(L3,FIND("/",L3,FIND("/",L3)+1)+1,4)),VALUE(MID(L3,FIND("/",L3)+1,FIND("/",L3,FIND("/",L3)+1)-FIND("/",L3)-1)),VALUE(LEFT(L3,FIND("/",L3)-1))),IF(ISNUMBER(L3),L3,""))</f>
        <v/>
      </c>
      <c r="T3">
        <f>IF(S3="","No - adjustment/reversal (no work date)",IF(COUNTIFS('Summary '!$A$21:$A$36,S3,'Summary '!$D$21:$D$36,K3)&gt;0,"Yes","NO MATCH - INVESTIGATE"))</f>
        <v/>
      </c>
    </row>
    <row r="4">
      <c r="A4" t="n">
        <v>12414219</v>
      </c>
      <c r="C4" t="inlineStr">
        <is>
          <t>Jonathan Hendratno</t>
        </is>
      </c>
      <c r="D4" t="n">
        <v>2856297</v>
      </c>
      <c r="E4" t="inlineStr">
        <is>
          <t>2286634</t>
        </is>
      </c>
      <c r="F4" t="inlineStr">
        <is>
          <t>Casual Ordinary Hours</t>
        </is>
      </c>
      <c r="G4" s="13" t="n">
        <v>16</v>
      </c>
      <c r="H4" t="inlineStr">
        <is>
          <t>Hours</t>
        </is>
      </c>
      <c r="I4" t="n">
        <v>770681</v>
      </c>
      <c r="J4" t="inlineStr">
        <is>
          <t>26043001</t>
        </is>
      </c>
      <c r="K4" t="inlineStr">
        <is>
          <t>CBA FT Tech MEL - 12 months [ONS]</t>
        </is>
      </c>
      <c r="L4" t="inlineStr">
        <is>
          <t>Reversal of incorrect rate for fortnight ending 07/08/2026</t>
        </is>
      </c>
      <c r="M4" s="14" t="n">
        <v>37.5</v>
      </c>
      <c r="N4" t="inlineStr">
        <is>
          <t>per Hour</t>
        </is>
      </c>
      <c r="O4" s="15" t="n">
        <v>600</v>
      </c>
      <c r="P4" s="15" t="n">
        <v>600</v>
      </c>
      <c r="Q4" s="15" t="n">
        <v>71.99754</v>
      </c>
      <c r="S4" s="59">
        <f>IFERROR(DATE(VALUE(MID(L4,FIND("/",L4,FIND("/",L4)+1)+1,4)),VALUE(MID(L4,FIND("/",L4)+1,FIND("/",L4,FIND("/",L4)+1)-FIND("/",L4)-1)),VALUE(LEFT(L4,FIND("/",L4)-1))),IF(ISNUMBER(L4),L4,""))</f>
        <v/>
      </c>
      <c r="T4">
        <f>IF(S4="","No - adjustment/reversal (no work date)",IF(COUNTIFS('Summary '!$A$21:$A$36,S4,'Summary '!$D$21:$D$36,K4)&gt;0,"Yes","NO MATCH - INVESTIGATE"))</f>
        <v/>
      </c>
    </row>
    <row r="5">
      <c r="A5" t="n">
        <v>12414219</v>
      </c>
      <c r="C5" t="inlineStr">
        <is>
          <t>Jonathan Hendratno</t>
        </is>
      </c>
      <c r="D5" t="n">
        <v>2856297</v>
      </c>
      <c r="E5" t="inlineStr">
        <is>
          <t>2286634</t>
        </is>
      </c>
      <c r="F5" t="inlineStr">
        <is>
          <t>Casual Ordinary Hours</t>
        </is>
      </c>
      <c r="G5" s="13" t="n">
        <v>5</v>
      </c>
      <c r="H5" t="inlineStr">
        <is>
          <t>Hours</t>
        </is>
      </c>
      <c r="I5" t="n">
        <v>770681</v>
      </c>
      <c r="J5" t="inlineStr">
        <is>
          <t>26043001</t>
        </is>
      </c>
      <c r="K5" t="inlineStr">
        <is>
          <t>CBA FT Tech MEL - 12 months [ONS]</t>
        </is>
      </c>
      <c r="L5" t="inlineStr">
        <is>
          <t xml:space="preserve">18/08/2026 - 07:00 to 12:00. 435 Bourke St - CBA </t>
        </is>
      </c>
      <c r="M5" s="14" t="n">
        <v>37.5</v>
      </c>
      <c r="N5" t="inlineStr">
        <is>
          <t>per Hour</t>
        </is>
      </c>
      <c r="O5" s="15" t="n">
        <v>187.5</v>
      </c>
      <c r="P5" s="15" t="n">
        <v>187.5</v>
      </c>
      <c r="Q5" s="15" t="n">
        <v>22.49923</v>
      </c>
      <c r="S5" s="59">
        <f>IFERROR(DATE(VALUE(MID(L5,FIND("/",L5,FIND("/",L5)+1)+1,4)),VALUE(MID(L5,FIND("/",L5)+1,FIND("/",L5,FIND("/",L5)+1)-FIND("/",L5)-1)),VALUE(LEFT(L5,FIND("/",L5)-1))),IF(ISNUMBER(L5),L5,""))</f>
        <v/>
      </c>
      <c r="T5">
        <f>IF(S5="","No - adjustment/reversal (no work date)",IF(COUNTIFS('Summary '!$A$21:$A$36,S5,'Summary '!$D$21:$D$36,K5)&gt;0,"Yes","NO MATCH - INVESTIGATE"))</f>
        <v/>
      </c>
    </row>
    <row r="6">
      <c r="A6" t="n">
        <v>12414219</v>
      </c>
      <c r="C6" t="inlineStr">
        <is>
          <t>Jonathan Hendratno</t>
        </is>
      </c>
      <c r="D6" t="n">
        <v>2856297</v>
      </c>
      <c r="E6" t="inlineStr">
        <is>
          <t>2286634</t>
        </is>
      </c>
      <c r="F6" t="inlineStr">
        <is>
          <t>Casual Ordinary Hours</t>
        </is>
      </c>
      <c r="G6" s="13" t="n">
        <v>3</v>
      </c>
      <c r="H6" t="inlineStr">
        <is>
          <t>Hours</t>
        </is>
      </c>
      <c r="I6" t="n">
        <v>770681</v>
      </c>
      <c r="J6" t="inlineStr">
        <is>
          <t>26043001</t>
        </is>
      </c>
      <c r="K6" t="inlineStr">
        <is>
          <t>CBA FT Tech MEL - 12 months [ONS]</t>
        </is>
      </c>
      <c r="L6" t="inlineStr">
        <is>
          <t xml:space="preserve">18/08/2026 - 13:00 to 16:00. 435 Bourke St - CBA </t>
        </is>
      </c>
      <c r="M6" s="14" t="n">
        <v>37.5</v>
      </c>
      <c r="N6" t="inlineStr">
        <is>
          <t>per Hour</t>
        </is>
      </c>
      <c r="O6" s="15" t="n">
        <v>112.5</v>
      </c>
      <c r="P6" s="15" t="n">
        <v>112.5</v>
      </c>
      <c r="Q6" s="15" t="n">
        <v>13.49954</v>
      </c>
      <c r="S6" s="59">
        <f>IFERROR(DATE(VALUE(MID(L6,FIND("/",L6,FIND("/",L6)+1)+1,4)),VALUE(MID(L6,FIND("/",L6)+1,FIND("/",L6,FIND("/",L6)+1)-FIND("/",L6)-1)),VALUE(LEFT(L6,FIND("/",L6)-1))),IF(ISNUMBER(L6),L6,""))</f>
        <v/>
      </c>
      <c r="T6">
        <f>IF(S6="","No - adjustment/reversal (no work date)",IF(COUNTIFS('Summary '!$A$21:$A$36,S6,'Summary '!$D$21:$D$36,K6)&gt;0,"Yes","NO MATCH - INVESTIGATE"))</f>
        <v/>
      </c>
    </row>
    <row r="7">
      <c r="A7" t="n">
        <v>12414219</v>
      </c>
      <c r="C7" t="inlineStr">
        <is>
          <t>Jonathan Hendratno</t>
        </is>
      </c>
      <c r="D7" t="n">
        <v>2856297</v>
      </c>
      <c r="E7" t="inlineStr">
        <is>
          <t>2286634</t>
        </is>
      </c>
      <c r="F7" t="inlineStr">
        <is>
          <t>Casual Ordinary Hours</t>
        </is>
      </c>
      <c r="G7" s="13" t="n">
        <v>4</v>
      </c>
      <c r="H7" t="inlineStr">
        <is>
          <t>Hours</t>
        </is>
      </c>
      <c r="I7" t="n">
        <v>731888</v>
      </c>
      <c r="J7" t="inlineStr">
        <is>
          <t>20250731</t>
        </is>
      </c>
      <c r="K7" t="inlineStr">
        <is>
          <t>PWC National Pool of Hours [ONS]</t>
        </is>
      </c>
      <c r="L7" t="inlineStr">
        <is>
          <t>20/08/2026 - 13:00 to 17:00</t>
        </is>
      </c>
      <c r="M7" s="14" t="n">
        <v>37.5</v>
      </c>
      <c r="N7" t="inlineStr">
        <is>
          <t>per Hour</t>
        </is>
      </c>
      <c r="O7" s="15" t="n">
        <v>150</v>
      </c>
      <c r="P7" s="15" t="n">
        <v>150</v>
      </c>
      <c r="Q7" s="15" t="n">
        <v>17.99938</v>
      </c>
      <c r="S7" s="59">
        <f>IFERROR(DATE(VALUE(MID(L7,FIND("/",L7,FIND("/",L7)+1)+1,4)),VALUE(MID(L7,FIND("/",L7)+1,FIND("/",L7,FIND("/",L7)+1)-FIND("/",L7)-1)),VALUE(LEFT(L7,FIND("/",L7)-1))),IF(ISNUMBER(L7),L7,""))</f>
        <v/>
      </c>
      <c r="T7">
        <f>IF(S7="","No - adjustment/reversal (no work date)",IF(COUNTIFS('Summary '!$A$21:$A$36,S7,'Summary '!$D$21:$D$36,K7)&gt;0,"Yes","NO MATCH - INVESTIGATE"))</f>
        <v/>
      </c>
    </row>
  </sheetData>
  <autoFilter ref="A2:Q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T6"/>
  <sheetViews>
    <sheetView workbookViewId="0">
      <selection activeCell="C25" sqref="C25"/>
    </sheetView>
  </sheetViews>
  <sheetFormatPr baseColWidth="8" defaultRowHeight="15"/>
  <cols>
    <col width="15" customWidth="1" style="12" min="1" max="1"/>
    <col width="19.7109375" customWidth="1" style="12" min="2" max="2"/>
    <col width="23.7109375" customWidth="1" style="12" min="3" max="3"/>
    <col width="15" customWidth="1" style="12" min="4" max="4"/>
    <col width="22.85546875" customWidth="1" style="12" min="5" max="5"/>
    <col width="27.140625" customWidth="1" style="12" min="6" max="6"/>
    <col width="5.5703125" customWidth="1" style="13" min="7" max="7"/>
    <col width="9.42578125" customWidth="1" style="12" min="8" max="8"/>
    <col width="10.7109375" customWidth="1" style="12" min="9" max="9"/>
    <col width="18.5703125" customWidth="1" style="12" min="10" max="10"/>
    <col width="55.42578125" customWidth="1" style="12" min="11" max="11"/>
    <col width="70.28515625" customWidth="1" style="12" min="12" max="12"/>
    <col width="9.85546875" customWidth="1" style="14" min="13" max="13"/>
    <col width="9.7109375" customWidth="1" style="12" min="14" max="14"/>
    <col width="14.140625" customWidth="1" style="15" min="15" max="15"/>
    <col width="15.7109375" customWidth="1" style="15" min="16" max="16"/>
    <col width="9" customWidth="1" style="15" min="17" max="17"/>
    <col width="18" customWidth="1" style="12" min="19" max="19"/>
    <col width="32" customWidth="1" style="12" min="20" max="20"/>
  </cols>
  <sheetData>
    <row r="1" customFormat="1" s="8">
      <c r="A1" s="8" t="inlineStr">
        <is>
          <t>Earnings Details</t>
        </is>
      </c>
      <c r="G1" s="9" t="n"/>
      <c r="M1" s="10" t="n"/>
      <c r="O1" s="11" t="n"/>
      <c r="P1" s="11" t="n"/>
      <c r="Q1" s="11"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10" t="inlineStr">
        <is>
          <t>Rate</t>
        </is>
      </c>
      <c r="N2" s="8" t="inlineStr">
        <is>
          <t>Rate Type</t>
        </is>
      </c>
      <c r="O2" s="11" t="inlineStr">
        <is>
          <t>Gross Earnings</t>
        </is>
      </c>
      <c r="P2" s="11" t="inlineStr">
        <is>
          <t>Taxable Earnings</t>
        </is>
      </c>
      <c r="Q2" s="11" t="inlineStr">
        <is>
          <t>SG Super</t>
        </is>
      </c>
      <c r="S2" s="58" t="inlineStr">
        <is>
          <t>Work Date (helper)</t>
        </is>
      </c>
      <c r="T2" s="58" t="inlineStr">
        <is>
          <t>Matched to Timesheet?</t>
        </is>
      </c>
    </row>
    <row r="3">
      <c r="A3" t="n">
        <v>12414219</v>
      </c>
      <c r="C3" t="inlineStr">
        <is>
          <t>Jonathan Hendratno</t>
        </is>
      </c>
      <c r="D3" t="n">
        <v>2856297</v>
      </c>
      <c r="E3" t="inlineStr">
        <is>
          <t>2286634</t>
        </is>
      </c>
      <c r="F3" t="inlineStr">
        <is>
          <t>Casual Ordinary Hours</t>
        </is>
      </c>
      <c r="G3" s="13" t="n">
        <v>5.5</v>
      </c>
      <c r="H3" t="inlineStr">
        <is>
          <t>Hours</t>
        </is>
      </c>
      <c r="I3" t="n">
        <v>770681</v>
      </c>
      <c r="J3" t="inlineStr">
        <is>
          <t>26043001</t>
        </is>
      </c>
      <c r="K3" t="inlineStr">
        <is>
          <t>CBA FT Tech MEL - 12 months [ONS]</t>
        </is>
      </c>
      <c r="L3" s="16" t="n">
        <v>46232</v>
      </c>
      <c r="M3" s="14" t="n">
        <v>35.15</v>
      </c>
      <c r="N3" t="inlineStr">
        <is>
          <t>per Hour</t>
        </is>
      </c>
      <c r="O3" s="15" t="n">
        <v>193.32</v>
      </c>
      <c r="P3" s="15" t="n">
        <v>193.325</v>
      </c>
      <c r="Q3" s="15" t="n">
        <v>23.19969</v>
      </c>
      <c r="S3" s="59">
        <f>IFERROR(DATE(VALUE(MID(L3,FIND("/",L3,FIND("/",L3)+1)+1,4)),VALUE(MID(L3,FIND("/",L3)+1,FIND("/",L3,FIND("/",L3)+1)-FIND("/",L3)-1)),VALUE(LEFT(L3,FIND("/",L3)-1))),IF(ISNUMBER(L3),L3,""))</f>
        <v/>
      </c>
      <c r="T3">
        <f>IF(S3="","No - adjustment/reversal (no work date)",IF(COUNTIFS('Summary '!$A$21:$A$36,S3,'Summary '!$D$21:$D$36,K3)&gt;0,"Yes","NO MATCH - INVESTIGATE"))</f>
        <v/>
      </c>
    </row>
    <row r="4">
      <c r="A4" t="n">
        <v>12414219</v>
      </c>
      <c r="C4" t="inlineStr">
        <is>
          <t>Jonathan Hendratno</t>
        </is>
      </c>
      <c r="D4" t="n">
        <v>2856297</v>
      </c>
      <c r="E4" t="inlineStr">
        <is>
          <t>2286634</t>
        </is>
      </c>
      <c r="F4" t="inlineStr">
        <is>
          <t>Casual Ordinary Hours</t>
        </is>
      </c>
      <c r="G4" s="13" t="n">
        <v>2.5</v>
      </c>
      <c r="H4" t="inlineStr">
        <is>
          <t>Hours</t>
        </is>
      </c>
      <c r="I4" t="n">
        <v>770681</v>
      </c>
      <c r="J4" t="inlineStr">
        <is>
          <t>26043001</t>
        </is>
      </c>
      <c r="K4" t="inlineStr">
        <is>
          <t>CBA FT Tech MEL - 12 months [ONS]</t>
        </is>
      </c>
      <c r="L4" s="16" t="n">
        <v>46232</v>
      </c>
      <c r="M4" s="14" t="n">
        <v>35.15</v>
      </c>
      <c r="N4" t="inlineStr">
        <is>
          <t>per Hour</t>
        </is>
      </c>
      <c r="O4" s="15" t="n">
        <v>87.88</v>
      </c>
      <c r="P4" s="15" t="n">
        <v>87.875</v>
      </c>
      <c r="Q4" s="15" t="n">
        <v>10.54531</v>
      </c>
      <c r="S4" s="59">
        <f>IFERROR(DATE(VALUE(MID(L4,FIND("/",L4,FIND("/",L4)+1)+1,4)),VALUE(MID(L4,FIND("/",L4)+1,FIND("/",L4,FIND("/",L4)+1)-FIND("/",L4)-1)),VALUE(LEFT(L4,FIND("/",L4)-1))),IF(ISNUMBER(L4),L4,""))</f>
        <v/>
      </c>
      <c r="T4">
        <f>IF(S4="","No - adjustment/reversal (no work date)",IF(COUNTIFS('Summary '!$A$21:$A$36,S4,'Summary '!$D$21:$D$36,K4)&gt;0,"Yes","NO MATCH - INVESTIGATE"))</f>
        <v/>
      </c>
    </row>
    <row r="5">
      <c r="A5" t="n">
        <v>12414219</v>
      </c>
      <c r="C5" t="inlineStr">
        <is>
          <t>Jonathan Hendratno</t>
        </is>
      </c>
      <c r="D5" t="n">
        <v>2856297</v>
      </c>
      <c r="E5" t="inlineStr">
        <is>
          <t>2286634</t>
        </is>
      </c>
      <c r="F5" t="inlineStr">
        <is>
          <t>Casual Ordinary Hours</t>
        </is>
      </c>
      <c r="G5" s="13" t="n">
        <v>4</v>
      </c>
      <c r="H5" t="inlineStr">
        <is>
          <t>Hours</t>
        </is>
      </c>
      <c r="I5" t="n">
        <v>441184</v>
      </c>
      <c r="J5" t="inlineStr">
        <is>
          <t>2392</t>
        </is>
      </c>
      <c r="K5" t="inlineStr">
        <is>
          <t>PWC – MEL Technician [ONS]</t>
        </is>
      </c>
      <c r="L5" s="16" t="n">
        <v>46233</v>
      </c>
      <c r="M5" s="14" t="n">
        <v>35.15</v>
      </c>
      <c r="N5" t="inlineStr">
        <is>
          <t>per Hour</t>
        </is>
      </c>
      <c r="O5" s="15" t="n">
        <v>140.6</v>
      </c>
      <c r="P5" s="15" t="n">
        <v>140.6</v>
      </c>
      <c r="Q5" s="15" t="n">
        <v>16.8725</v>
      </c>
      <c r="S5" s="59">
        <f>IFERROR(DATE(VALUE(MID(L5,FIND("/",L5,FIND("/",L5)+1)+1,4)),VALUE(MID(L5,FIND("/",L5)+1,FIND("/",L5,FIND("/",L5)+1)-FIND("/",L5)-1)),VALUE(LEFT(L5,FIND("/",L5)-1))),IF(ISNUMBER(L5),L5,""))</f>
        <v/>
      </c>
      <c r="T5">
        <f>IF(S5="","No - adjustment/reversal (no work date)",IF(COUNTIFS('Summary '!$A$21:$A$36,S5,'Summary '!$D$21:$D$36,K5)&gt;0,"Yes","NO MATCH - INVESTIGATE"))</f>
        <v/>
      </c>
    </row>
    <row r="6">
      <c r="A6" t="n">
        <v>12414219</v>
      </c>
      <c r="C6" t="inlineStr">
        <is>
          <t>Jonathan Hendratno</t>
        </is>
      </c>
      <c r="D6" t="n">
        <v>2856297</v>
      </c>
      <c r="E6" t="inlineStr">
        <is>
          <t>2286634</t>
        </is>
      </c>
      <c r="F6" t="inlineStr">
        <is>
          <t>Casual Ordinary Hours</t>
        </is>
      </c>
      <c r="G6" s="13" t="n">
        <v>4</v>
      </c>
      <c r="H6" t="inlineStr">
        <is>
          <t>Hours</t>
        </is>
      </c>
      <c r="I6" t="n">
        <v>777409</v>
      </c>
      <c r="J6" t="inlineStr">
        <is>
          <t>26022301</t>
        </is>
      </c>
      <c r="K6" t="inlineStr">
        <is>
          <t>Aware Super AV Maintenance [ONS]</t>
        </is>
      </c>
      <c r="L6" s="16" t="n">
        <v>46233</v>
      </c>
      <c r="M6" s="14" t="n">
        <v>35.15</v>
      </c>
      <c r="N6" t="inlineStr">
        <is>
          <t>per Hour</t>
        </is>
      </c>
      <c r="O6" s="15" t="n">
        <v>140.6</v>
      </c>
      <c r="P6" s="15" t="n">
        <v>140.6</v>
      </c>
      <c r="Q6" s="15" t="n">
        <v>16.8725</v>
      </c>
      <c r="S6" s="59">
        <f>IFERROR(DATE(VALUE(MID(L6,FIND("/",L6,FIND("/",L6)+1)+1,4)),VALUE(MID(L6,FIND("/",L6)+1,FIND("/",L6,FIND("/",L6)+1)-FIND("/",L6)-1)),VALUE(LEFT(L6,FIND("/",L6)-1))),IF(ISNUMBER(L6),L6,""))</f>
        <v/>
      </c>
      <c r="T6">
        <f>IF(S6="","No - adjustment/reversal (no work date)",IF(COUNTIFS('Summary '!$A$21:$A$36,S6,'Summary '!$D$21:$D$36,K6)&gt;0,"Yes","NO MATCH - INVESTIGATE"))</f>
        <v/>
      </c>
    </row>
  </sheetData>
  <autoFilter ref="A2:T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Danica Nelson</dc:creator>
  <dcterms:created xsi:type="dcterms:W3CDTF">2026-09-22T05:04:15Z</dcterms:created>
  <dcterms:modified xsi:type="dcterms:W3CDTF">2026-09-22T05:44:43Z</dcterms:modified>
  <cp:lastModifiedBy>Danica Nelson</cp:lastModifiedBy>
</cp:coreProperties>
</file>