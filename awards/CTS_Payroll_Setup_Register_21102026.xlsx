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Casual Rate Check" sheetId="4" state="visible" r:id="rId6"/>
    <sheet name="EH Export (Raw Data)" sheetId="5" state="visible" r:id="rId7"/>
  </sheets>
  <definedNames>
    <definedName function="false" hidden="true" localSheetId="3" name="_xlnm._FilterDatabase" vbProcedure="false">'Casual Rate Check'!$A$10:$I$60</definedName>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<sst xmlns="http://schemas.openxmlformats.org/spreadsheetml/2006/main" count="2364" uniqueCount="501">
  <si>
    <t xml:space="preserve">CTS Payroll Setup Review: Employee Details Report 21/10/2026</t>
  </si>
  <si>
    <t xml:space="preserve">Source: EH Employee Details Report, generated 21/10/2026, 79 currently employed staff.</t>
  </si>
  <si>
    <t xml:space="preserve">1. Casual loading: CHECKED 21/10/2026</t>
  </si>
  <si>
    <t xml:space="preserve">EH adds the 25% casual loading on top of the rate in column G. Checked every casual paid in pay run 8 (fortnight ending 16/10/2026): all 19 with ordinary hours were paid exactly their column G rate plus 25%. See the Casual Rate Check tab.</t>
  </si>
  <si>
    <t xml:space="preserve">Compare column G to the Live Performance Award base rate, not the casual rate. Base rates from 1 July 2026: Level 3 $28.89, Level 4 $29.45, Level 5 $30.37, Level 6 $31.30.</t>
  </si>
  <si>
    <t xml:space="preserve">Four casuals are below the award base rate: Emmett Todd, Jeffrey Kempin, Morgan Palmer, Zed Norrie. Zed was paid in pay run 8 at $36.25, which is $29.00 plus loading. See column U on the Register tab.</t>
  </si>
  <si>
    <t xml:space="preserve">Column Q (below lowest permanent) compares to permanent rates, not the award. Use column U for the award check.</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</si>
  <si>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</si>
  <si>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</si>
  <si>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</si>
  <si>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</si>
  <si>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 Confirmed in EH 21/10/2026: Employment Agreements shows "Live Performance Award 2020 (MA000081): Production and Support Staff".</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</si>
  <si>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</si>
  <si>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</si>
  <si>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</si>
  <si>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</si>
  <si>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</si>
  <si>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</si>
  <si>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</si>
  <si>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</si>
  <si>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</si>
  <si>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</si>
  <si>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</si>
  <si>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</si>
  <si>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</si>
  <si>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</si>
  <si>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</si>
  <si>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</si>
  <si>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</si>
  <si>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</si>
  <si>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</si>
  <si>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</si>
  <si>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</si>
  <si>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</si>
  <si>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</si>
  <si>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</si>
  <si>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</si>
  <si>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</si>
  <si>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</si>
  <si>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</si>
  <si>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</si>
  <si>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</si>
  <si>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</si>
  <si>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</si>
  <si>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</si>
  <si>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</si>
  <si>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</si>
  <si>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</si>
  <si>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</si>
  <si>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</si>
  <si>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</si>
  <si>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</si>
  <si>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</si>
  <si>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</si>
  <si>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</si>
  <si>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</si>
  <si>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</si>
  <si>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</si>
  <si>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</si>
  <si>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</si>
  <si>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</si>
  <si>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</si>
  <si>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</si>
  <si>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</si>
  <si>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</si>
  <si>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</si>
  <si>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</si>
  <si>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</si>
  <si>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</si>
  <si>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</si>
  <si>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</si>
  <si>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</si>
  <si>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</si>
  <si>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</si>
  <si>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</si>
  <si>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</si>
  <si>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</si>
  <si>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</si>
  <si>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</si>
  <si>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</si>
  <si>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</si>
  <si>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</si>
  <si>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</si>
  <si>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</si>
  <si>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</si>
  <si>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</si>
  <si>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</si>
  <si>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</si>
  <si>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</si>
  <si>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</si>
  <si>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</si>
  <si>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</si>
  <si>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</si>
  <si>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</si>
  <si>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</si>
  <si>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</si>
  <si>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</si>
  <si>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</si>
  <si>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</si>
  <si>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</si>
  <si>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</si>
  <si>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</si>
  <si>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</si>
  <si>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</si>
  <si>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</si>
  <si>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</si>
  <si>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</si>
  <si>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</si>
  <si>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</si>
  <si>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</si>
  <si>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</si>
  <si>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</si>
  <si>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</si>
  <si>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</si>
  <si>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</si>
  <si>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</si>
  <si>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</si>
  <si>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</si>
  <si>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</si>
  <si>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</si>
  <si>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</si>
  <si>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</si>
  <si>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</si>
  <si>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</si>
  <si>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</si>
  <si>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</si>
  <si>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</si>
  <si>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</si>
  <si>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</si>
  <si>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</si>
  <si>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</si>
  <si>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</si>
  <si>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</si>
  <si>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</si>
  <si>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</si>
  <si>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</si>
  <si>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</si>
  <si>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</si>
  <si>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</si>
  <si>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</si>
  <si>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</si>
  <si>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</si>
  <si>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</si>
  <si>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</si>
  <si>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</si>
  <si>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</si>
  <si>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</si>
  <si>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</si>
  <si>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</si>
  <si>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</si>
  <si>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</si>
  <si>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</si>
  <si>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</si>
  <si>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</si>
  <si>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</si>
  <si>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</si>
  <si>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</si>
  <si>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</si>
  <si>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</si>
  <si>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</si>
  <si>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</si>
  <si>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</si>
  <si>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</si>
  <si>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</si>
  <si>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</si>
  <si>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</si>
  <si>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</si>
  <si>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</si>
  <si>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</si>
  <si>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</si>
  <si>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</si>
  <si>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</si>
  <si>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</si>
  <si>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</si>
  <si>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</si>
  <si>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</si>
  <si>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</si>
  <si>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</si>
  <si>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</si>
  <si>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</si>
  <si>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</si>
  <si>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</si>
  <si>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</si>
  <si>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</si>
  <si>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</si>
  <si>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</si>
  <si>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</si>
  <si>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</si>
  <si>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</si>
  <si>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</si>
  <si>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</si>
  <si>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</si>
  <si>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</si>
  <si>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</si>
  <si>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</si>
  <si>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</si>
  <si>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</si>
  <si>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</si>
  <si>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</si>
  <si>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</si>
  <si>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</si>
  <si>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</si>
  <si>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</si>
  <si>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</si>
  <si>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BELOW AWARD. EH rate $27.17 is the base before the 25% loading. Live Performance Award Level 4 base is $29.45 from 1 July 2026. Change the EH rate to at least $29.45 and work out back pay from the first pay period on or after 1 July 2026. Confirmed from payslip, period 5/09/2026 to 18/09/2026: paid $33.96 per hour including $6.79 loading, so base $27.17. Award casual rate is $36.81. Shortfall to 18/09/2026 (year to date 70 hours): $199.50 wages plus $23.94 super. Pay run ending 2/10/2026 not yet checked; not paid in pay run ending 16/10/2026.</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</si>
  <si>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</si>
  <si>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</si>
  <si>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</si>
  <si>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</si>
  <si>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</si>
  <si>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</si>
  <si>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</si>
  <si>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</si>
  <si>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</si>
  <si>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</si>
  <si>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</si>
  <si>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</si>
  <si>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</si>
  <si>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</si>
  <si>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</si>
  <si>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</si>
  <si>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</si>
  <si>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</si>
  <si>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</si>
  <si>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</si>
  <si>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</si>
  <si>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</si>
  <si>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</si>
  <si>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</si>
  <si>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</si>
  <si>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</si>
  <si>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</si>
  <si>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</si>
  <si>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</si>
  <si>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</si>
  <si>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</si>
  <si>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</si>
  <si>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</si>
  <si>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</si>
  <si>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</si>
  <si>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</si>
  <si>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</si>
  <si>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</si>
  <si>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</si>
  <si>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</si>
  <si>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</si>
  <si>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</si>
  <si>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</si>
  <si>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BELOW AWARD. EH rate $28.12 is the base before the 25% loading. Live Performance Award Level 4 base is $29.45 from 1 July 2026. Change the EH rate to at least $29.45 and work out back pay from the first pay period on or after 1 July 2026.</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</si>
  <si>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</si>
  <si>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</si>
  <si>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</si>
  <si>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</si>
  <si>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</si>
  <si>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</si>
  <si>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</si>
  <si>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</si>
  <si>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</si>
  <si>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</si>
  <si>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</si>
  <si>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</si>
  <si>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</si>
  <si>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</si>
  <si>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</si>
  <si>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</si>
  <si>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</si>
  <si>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</si>
  <si>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</si>
  <si>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</si>
  <si>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</si>
  <si>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</si>
  <si>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</si>
  <si>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</si>
  <si>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</si>
  <si>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</si>
  <si>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</si>
  <si>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</si>
  <si>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</si>
  <si>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</si>
  <si>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</si>
  <si>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</si>
  <si>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</si>
  <si>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</si>
  <si>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</si>
  <si>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</si>
  <si>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</si>
  <si>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</si>
  <si>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</si>
  <si>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</si>
  <si>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</si>
  <si>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</si>
  <si>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</si>
  <si>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</si>
  <si>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</si>
  <si>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</si>
  <si>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</si>
  <si>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</si>
  <si>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</si>
  <si>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</si>
  <si>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</si>
  <si>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</si>
  <si>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</si>
  <si>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</si>
  <si>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BELOW AWARD. EH rate $29.00 is the base before the 25% loading. Live Performance Award Level 5 base is $30.37 from 1 July 2026. Change the EH rate to at least $30.37 and work out back pay from the first pay period on or after 1 July 2026.</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</si>
  <si>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</si>
  <si>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</si>
  <si>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</si>
  <si>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</si>
  <si>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</si>
  <si>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</si>
  <si>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</si>
  <si>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</si>
  <si>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</si>
  <si>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</si>
  <si>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</si>
  <si>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</si>
  <si>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</si>
  <si>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</si>
  <si>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</si>
  <si>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</si>
  <si>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</si>
  <si>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</si>
  <si>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</si>
  <si>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</si>
  <si>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</si>
  <si>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</si>
  <si>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</si>
  <si>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</si>
  <si>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</si>
  <si>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</si>
  <si>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</si>
  <si>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</si>
  <si>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</si>
  <si>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</si>
  <si>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</si>
  <si>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</si>
  <si>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</si>
  <si>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</si>
  <si>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</si>
  <si>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</si>
  <si>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</si>
  <si>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</si>
  <si>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</si>
  <si>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</si>
  <si>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</si>
  <si>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</si>
  <si>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</si>
  <si>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</si>
  <si>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</si>
  <si>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</si>
  <si>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</si>
  <si>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</si>
  <si>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</si>
  <si>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</si>
  <si>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</si>
  <si>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</si>
  <si>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</si>
  <si>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</si>
  <si>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</si>
  <si>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</si>
  <si>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</si>
  <si>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</si>
  <si>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</si>
  <si>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</si>
  <si>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</si>
  <si>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</si>
  <si>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</si>
  <si>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</si>
  <si>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</si>
  <si>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</si>
  <si>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</si>
  <si>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</si>
  <si>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</si>
  <si>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</si>
  <si>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Casual rate check: pay run 8, fortnight ending 16/10/2026</t>
  </si>
  <si>
    <t xml:space="preserve">Source: EH Pay Run Audit report, Earnings Details tab, "Casual Ordinary Hours" lines. Award base rates: Live Performance Award 2020 [MA000081] clause 11.1, from first pay period on or after 1 July 2026.</t>
  </si>
  <si>
    <t xml:space="preserve">Award base rate per hour</t>
  </si>
  <si>
    <t xml:space="preserve">Level 3</t>
  </si>
  <si>
    <t xml:space="preserve">Level 4</t>
  </si>
  <si>
    <t xml:space="preserve">Level 5</t>
  </si>
  <si>
    <t xml:space="preserve">Level 6</t>
  </si>
  <si>
    <t xml:space="preserve">Level 7</t>
  </si>
  <si>
    <t xml:space="preserve">EH rate (base, Register G)</t>
  </si>
  <si>
    <t xml:space="preserve">Rate EH paid in pay run 8</t>
  </si>
  <si>
    <t xml:space="preserve">Loading check (paid = base x 1.25)</t>
  </si>
  <si>
    <t xml:space="preserve">Award base rate</t>
  </si>
  <si>
    <t xml:space="preserve">Award check</t>
  </si>
  <si>
    <t xml:space="preserve">Result</t>
  </si>
  <si>
    <t xml:space="preserve">Not in pay run 8</t>
  </si>
  <si>
    <t xml:space="preserve">Not tested</t>
  </si>
  <si>
    <t xml:space="preserve">Sunday hours only (paid $67.50 = 2.25 x $30.00)</t>
  </si>
  <si>
    <t xml:space="preserve">Casuals paid in pay run 8</t>
  </si>
  <si>
    <t xml:space="preserve">Loading added correctly</t>
  </si>
  <si>
    <t xml:space="preserve">Below award base rate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</si>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</sst>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5">
    <numFmt numFmtId="164" formatCode="General"/>
    <numFmt numFmtId="165" formatCode="\$#,##0.00000"/>
    <numFmt numFmtId="166" formatCode="dd/mm/yyyy"/>
    <numFmt numFmtId="167" formatCode="\$#,##0.00##"/>
    <numFmt numFmtId="168" formatCode="yyyy\-mm\-dd\ 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i val="true"/>
      <sz val="9"/>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
      <fill>
        <patternFill patternType="solid">
          <fgColor rgb="FFFFC7CE"/>
          <bgColor rgb="FF000000"/>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100</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100</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6" width="14"/>
    <col collapsed="false" customWidth="true" hidden="false" outlineLevel="0" max="2" min="2" style="6" width="22"/>
    <col collapsed="false" customWidth="true" hidden="false" outlineLevel="0" max="3" min="3" style="6" width="7"/>
    <col collapsed="false" customWidth="true" hidden="false" outlineLevel="0" max="5" min="4" style="6" width="14"/>
    <col collapsed="false" customWidth="true" hidden="false" outlineLevel="0" max="6" min="6" style="6" width="16"/>
    <col collapsed="false" customWidth="true" hidden="false" outlineLevel="0" max="7" min="7" style="6" width="12"/>
    <col collapsed="false" customWidth="true" hidden="false" outlineLevel="0" max="8" min="8" style="6" width="13"/>
    <col collapsed="false" customWidth="true" hidden="false" outlineLevel="0" max="9" min="9" style="6" width="52"/>
  </cols>
  <sheetData>
    <row r="1" customFormat="false" ht="15" hidden="false" customHeight="true" outlineLevel="0" collapsed="false">
      <c r="A1" s="13" t="s">
        <v>374</v>
      </c>
    </row>
    <row r="2" customFormat="false" ht="15" hidden="false" customHeight="true" outlineLevel="0" collapsed="false">
      <c r="A2" s="26" t="s">
        <v>375</v>
      </c>
    </row>
    <row r="3" customFormat="false" ht="15" hidden="false" customHeight="true" outlineLevel="0" collapsed="false">
      <c r="A3" s="27" t="s">
        <v>376</v>
      </c>
    </row>
    <row r="4" customFormat="false" ht="15" hidden="false" customHeight="true" outlineLevel="0" collapsed="false">
      <c r="A4" s="28" t="s">
        <v>377</v>
      </c>
      <c r="B4" s="29" t="n">
        <v>28.89</v>
      </c>
    </row>
    <row r="5" customFormat="false" ht="15" hidden="false" customHeight="true" outlineLevel="0" collapsed="false">
      <c r="A5" s="28" t="s">
        <v>378</v>
      </c>
      <c r="B5" s="29" t="n">
        <v>29.45</v>
      </c>
    </row>
    <row r="6" customFormat="false" ht="15" hidden="false" customHeight="true" outlineLevel="0" collapsed="false">
      <c r="A6" s="28" t="s">
        <v>379</v>
      </c>
      <c r="B6" s="29" t="n">
        <v>30.37</v>
      </c>
    </row>
    <row r="7" customFormat="false" ht="15" hidden="false" customHeight="true" outlineLevel="0" collapsed="false">
      <c r="A7" s="28" t="s">
        <v>380</v>
      </c>
      <c r="B7" s="29" t="n">
        <v>31.3</v>
      </c>
    </row>
    <row r="8" customFormat="false" ht="15" hidden="false" customHeight="true" outlineLevel="0" collapsed="false">
      <c r="A8" s="28" t="s">
        <v>381</v>
      </c>
      <c r="B8" s="29" t="n">
        <v>33.311</v>
      </c>
    </row>
    <row r="10" customFormat="false" ht="51.75" hidden="false" customHeight="true" outlineLevel="0" collapsed="false">
      <c r="A10" s="30" t="s">
        <v>47</v>
      </c>
      <c r="B10" s="30" t="s">
        <v>48</v>
      </c>
      <c r="C10" s="30" t="s">
        <v>59</v>
      </c>
      <c r="D10" s="30" t="s">
        <v>382</v>
      </c>
      <c r="E10" s="30" t="s">
        <v>383</v>
      </c>
      <c r="F10" s="30" t="s">
        <v>384</v>
      </c>
      <c r="G10" s="30" t="s">
        <v>385</v>
      </c>
      <c r="H10" s="30" t="s">
        <v>386</v>
      </c>
      <c r="I10" s="30" t="s">
        <v>387</v>
      </c>
    </row>
    <row r="11" customFormat="false" ht="15" hidden="false" customHeight="true" outlineLevel="0" collapsed="false">
      <c r="A11" s="28" t="s">
        <v>74</v>
      </c>
      <c r="B11" s="28" t="s">
        <v>75</v>
      </c>
      <c r="C11" s="28" t="n">
        <v>5</v>
      </c>
      <c r="D11" s="31" t="n">
        <f aca="false">Register!G2</f>
        <v>31.56944</v>
      </c>
      <c r="E11" s="29" t="n">
        <v>39.4618</v>
      </c>
      <c r="F11" s="28" t="str">
        <f aca="false">IF(ABS(E11-D11*1.25)&lt;0.01,"Loading added","CHECK")</f>
        <v>Loading added</v>
      </c>
      <c r="G11" s="31" t="n">
        <f aca="false">INDEX($B$4:$B$8,MATCH("Level "&amp;C11,$A$4:$A$8,0))</f>
        <v>30.37</v>
      </c>
      <c r="H11" s="28" t="str">
        <f aca="false">IF(D11&lt;G11-0.005,"BELOW AWARD","OK")</f>
        <v>OK</v>
      </c>
      <c r="I11" s="28" t="str">
        <f aca="false">IF(H11="BELOW AWARD","Underpaid. Raise EH rate to at least "&amp;TEXT(G11,"$0.00")&amp;" and back pay",IF(F11="CHECK","Loading not applied","OK"))</f>
        <v>OK</v>
      </c>
    </row>
    <row r="12" customFormat="false" ht="15" hidden="false" customHeight="true" outlineLevel="0" collapsed="false">
      <c r="A12" s="28" t="s">
        <v>86</v>
      </c>
      <c r="B12" s="28" t="s">
        <v>87</v>
      </c>
      <c r="C12" s="28" t="n">
        <v>6</v>
      </c>
      <c r="D12" s="31" t="n">
        <f aca="false">Register!G3</f>
        <v>46.63672</v>
      </c>
      <c r="E12" s="29" t="n">
        <v>58.2959</v>
      </c>
      <c r="F12" s="28" t="str">
        <f aca="false">IF(ABS(E12-D12*1.25)&lt;0.01,"Loading added","CHECK")</f>
        <v>Loading added</v>
      </c>
      <c r="G12" s="31" t="n">
        <f aca="false">INDEX($B$4:$B$8,MATCH("Level "&amp;C12,$A$4:$A$8,0))</f>
        <v>31.3</v>
      </c>
      <c r="H12" s="28" t="str">
        <f aca="false">IF(D12&lt;G12-0.005,"BELOW AWARD","OK")</f>
        <v>OK</v>
      </c>
      <c r="I12" s="28" t="str">
        <f aca="false">IF(H12="BELOW AWARD","Underpaid. Raise EH rate to at least "&amp;TEXT(G12,"$0.00")&amp;" and back pay",IF(F12="CHECK","Loading not applied","OK"))</f>
        <v>OK</v>
      </c>
    </row>
    <row r="13" customFormat="false" ht="15" hidden="false" customHeight="true" outlineLevel="0" collapsed="false">
      <c r="A13" s="28" t="s">
        <v>102</v>
      </c>
      <c r="B13" s="28" t="s">
        <v>103</v>
      </c>
      <c r="C13" s="28" t="n">
        <v>6</v>
      </c>
      <c r="D13" s="31" t="n">
        <f aca="false">Register!G5</f>
        <v>46.6364</v>
      </c>
      <c r="E13" s="28" t="s">
        <v>388</v>
      </c>
      <c r="F13" s="28" t="s">
        <v>389</v>
      </c>
      <c r="G13" s="31" t="n">
        <f aca="false">INDEX($B$4:$B$8,MATCH("Level "&amp;C13,$A$4:$A$8,0))</f>
        <v>31.3</v>
      </c>
      <c r="H13" s="28" t="str">
        <f aca="false">IF(D13&lt;G13-0.005,"BELOW AWARD","OK")</f>
        <v>OK</v>
      </c>
      <c r="I13" s="28" t="str">
        <f aca="false">IF(H13="BELOW AWARD","Underpaid. Raise EH rate to at least "&amp;TEXT(G13,"$0.00")&amp;" and back pay",IF(F13="CHECK","Loading not applied","OK"))</f>
        <v>OK</v>
      </c>
    </row>
    <row r="14" customFormat="false" ht="15" hidden="false" customHeight="true" outlineLevel="0" collapsed="false">
      <c r="A14" s="28" t="s">
        <v>105</v>
      </c>
      <c r="B14" s="28" t="s">
        <v>106</v>
      </c>
      <c r="C14" s="28" t="n">
        <v>5</v>
      </c>
      <c r="D14" s="31" t="n">
        <f aca="false">Register!G6</f>
        <v>40</v>
      </c>
      <c r="E14" s="28" t="s">
        <v>388</v>
      </c>
      <c r="F14" s="28" t="s">
        <v>389</v>
      </c>
      <c r="G14" s="31" t="n">
        <f aca="false">INDEX($B$4:$B$8,MATCH("Level "&amp;C14,$A$4:$A$8,0))</f>
        <v>30.37</v>
      </c>
      <c r="H14" s="28" t="str">
        <f aca="false">IF(D14&lt;G14-0.005,"BELOW AWARD","OK")</f>
        <v>OK</v>
      </c>
      <c r="I14" s="28" t="str">
        <f aca="false">IF(H14="BELOW AWARD","Underpaid. Raise EH rate to at least "&amp;TEXT(G14,"$0.00")&amp;" and back pay",IF(F14="CHECK","Loading not applied","OK"))</f>
        <v>OK</v>
      </c>
    </row>
    <row r="15" customFormat="false" ht="15" hidden="false" customHeight="true" outlineLevel="0" collapsed="false">
      <c r="A15" s="28" t="s">
        <v>107</v>
      </c>
      <c r="B15" s="28" t="s">
        <v>108</v>
      </c>
      <c r="C15" s="28" t="n">
        <v>4</v>
      </c>
      <c r="D15" s="31" t="n">
        <f aca="false">Register!G7</f>
        <v>30</v>
      </c>
      <c r="E15" s="28" t="s">
        <v>388</v>
      </c>
      <c r="F15" s="28" t="s">
        <v>389</v>
      </c>
      <c r="G15" s="31" t="n">
        <f aca="false">INDEX($B$4:$B$8,MATCH("Level "&amp;C15,$A$4:$A$8,0))</f>
        <v>29.45</v>
      </c>
      <c r="H15" s="28" t="str">
        <f aca="false">IF(D15&lt;G15-0.005,"BELOW AWARD","OK")</f>
        <v>OK</v>
      </c>
      <c r="I15" s="28" t="str">
        <f aca="false">IF(H15="BELOW AWARD","Underpaid. Raise EH rate to at least "&amp;TEXT(G15,"$0.00")&amp;" and back pay",IF(F15="CHECK","Loading not applied","OK"))</f>
        <v>OK</v>
      </c>
    </row>
    <row r="16" customFormat="false" ht="15" hidden="false" customHeight="true" outlineLevel="0" collapsed="false">
      <c r="A16" s="28" t="s">
        <v>114</v>
      </c>
      <c r="B16" s="28" t="s">
        <v>115</v>
      </c>
      <c r="C16" s="28" t="n">
        <v>6</v>
      </c>
      <c r="D16" s="31" t="n">
        <f aca="false">Register!G8</f>
        <v>41.6</v>
      </c>
      <c r="E16" s="28" t="s">
        <v>388</v>
      </c>
      <c r="F16" s="28" t="s">
        <v>389</v>
      </c>
      <c r="G16" s="31" t="n">
        <f aca="false">INDEX($B$4:$B$8,MATCH("Level "&amp;C16,$A$4:$A$8,0))</f>
        <v>31.3</v>
      </c>
      <c r="H16" s="28" t="str">
        <f aca="false">IF(D16&lt;G16-0.005,"BELOW AWARD","OK")</f>
        <v>OK</v>
      </c>
      <c r="I16" s="28" t="str">
        <f aca="false">IF(H16="BELOW AWARD","Underpaid. Raise EH rate to at least "&amp;TEXT(G16,"$0.00")&amp;" and back pay",IF(F16="CHECK","Loading not applied","OK"))</f>
        <v>OK</v>
      </c>
    </row>
    <row r="17" customFormat="false" ht="15" hidden="false" customHeight="true" outlineLevel="0" collapsed="false">
      <c r="A17" s="28" t="s">
        <v>121</v>
      </c>
      <c r="B17" s="28" t="s">
        <v>122</v>
      </c>
      <c r="C17" s="28" t="n">
        <v>4</v>
      </c>
      <c r="D17" s="31" t="n">
        <f aca="false">Register!G10</f>
        <v>30</v>
      </c>
      <c r="E17" s="29" t="n">
        <v>37.5</v>
      </c>
      <c r="F17" s="28" t="str">
        <f aca="false">IF(ABS(E17-D17*1.25)&lt;0.01,"Loading added","CHECK")</f>
        <v>Loading added</v>
      </c>
      <c r="G17" s="31" t="n">
        <f aca="false">INDEX($B$4:$B$8,MATCH("Level "&amp;C17,$A$4:$A$8,0))</f>
        <v>29.45</v>
      </c>
      <c r="H17" s="28" t="str">
        <f aca="false">IF(D17&lt;G17-0.005,"BELOW AWARD","OK")</f>
        <v>OK</v>
      </c>
      <c r="I17" s="28" t="str">
        <f aca="false">IF(H17="BELOW AWARD","Underpaid. Raise EH rate to at least "&amp;TEXT(G17,"$0.00")&amp;" and back pay",IF(F17="CHECK","Loading not applied","OK"))</f>
        <v>OK</v>
      </c>
    </row>
    <row r="18" customFormat="false" ht="15" hidden="false" customHeight="true" outlineLevel="0" collapsed="false">
      <c r="A18" s="28" t="s">
        <v>129</v>
      </c>
      <c r="B18" s="28" t="s">
        <v>130</v>
      </c>
      <c r="C18" s="28" t="n">
        <v>4</v>
      </c>
      <c r="D18" s="31" t="n">
        <f aca="false">Register!G12</f>
        <v>30</v>
      </c>
      <c r="E18" s="28" t="s">
        <v>388</v>
      </c>
      <c r="F18" s="28" t="s">
        <v>389</v>
      </c>
      <c r="G18" s="31" t="n">
        <f aca="false">INDEX($B$4:$B$8,MATCH("Level "&amp;C18,$A$4:$A$8,0))</f>
        <v>29.45</v>
      </c>
      <c r="H18" s="28" t="str">
        <f aca="false">IF(D18&lt;G18-0.005,"BELOW AWARD","OK")</f>
        <v>OK</v>
      </c>
      <c r="I18" s="28" t="str">
        <f aca="false">IF(H18="BELOW AWARD","Underpaid. Raise EH rate to at least "&amp;TEXT(G18,"$0.00")&amp;" and back pay",IF(F18="CHECK","Loading not applied","OK"))</f>
        <v>OK</v>
      </c>
    </row>
    <row r="19" customFormat="false" ht="15" hidden="false" customHeight="true" outlineLevel="0" collapsed="false">
      <c r="A19" s="28" t="s">
        <v>131</v>
      </c>
      <c r="B19" s="28" t="s">
        <v>132</v>
      </c>
      <c r="C19" s="28" t="n">
        <v>5</v>
      </c>
      <c r="D19" s="31" t="n">
        <f aca="false">Register!G13</f>
        <v>36</v>
      </c>
      <c r="E19" s="28" t="s">
        <v>388</v>
      </c>
      <c r="F19" s="28" t="s">
        <v>389</v>
      </c>
      <c r="G19" s="31" t="n">
        <f aca="false">INDEX($B$4:$B$8,MATCH("Level "&amp;C19,$A$4:$A$8,0))</f>
        <v>30.37</v>
      </c>
      <c r="H19" s="28" t="str">
        <f aca="false">IF(D19&lt;G19-0.005,"BELOW AWARD","OK")</f>
        <v>OK</v>
      </c>
      <c r="I19" s="28" t="str">
        <f aca="false">IF(H19="BELOW AWARD","Underpaid. Raise EH rate to at least "&amp;TEXT(G19,"$0.00")&amp;" and back pay",IF(F19="CHECK","Loading not applied","OK"))</f>
        <v>OK</v>
      </c>
    </row>
    <row r="20" customFormat="false" ht="15" hidden="false" customHeight="true" outlineLevel="0" collapsed="false">
      <c r="A20" s="28" t="s">
        <v>141</v>
      </c>
      <c r="B20" s="28" t="s">
        <v>142</v>
      </c>
      <c r="C20" s="28" t="n">
        <v>5</v>
      </c>
      <c r="D20" s="31" t="n">
        <f aca="false">Register!G15</f>
        <v>32.8</v>
      </c>
      <c r="E20" s="31" t="n">
        <v>41</v>
      </c>
      <c r="F20" s="28" t="str">
        <f aca="false">IF(ABS(E20-D20*1.25)&lt;0.01,"Loading added","CHECK")</f>
        <v>Loading added</v>
      </c>
      <c r="G20" s="31" t="n">
        <f aca="false">INDEX($B$4:$B$8,MATCH("Level "&amp;C20,$A$4:$A$8,0))</f>
        <v>30.37</v>
      </c>
      <c r="H20" s="28" t="str">
        <f aca="false">IF(D20&lt;G20-0.005,"BELOW AWARD","OK")</f>
        <v>OK</v>
      </c>
      <c r="I20" s="28" t="str">
        <f aca="false">IF(H20="BELOW AWARD","Underpaid. Raise EH rate to at least "&amp;TEXT(G20,"$0.00")&amp;" and back pay",IF(F20="CHECK","Loading not applied","OK"))</f>
        <v>OK</v>
      </c>
    </row>
    <row r="21" customFormat="false" ht="15" hidden="false" customHeight="true" outlineLevel="0" collapsed="false">
      <c r="A21" s="28" t="s">
        <v>143</v>
      </c>
      <c r="B21" s="28" t="s">
        <v>144</v>
      </c>
      <c r="C21" s="28" t="n">
        <v>6</v>
      </c>
      <c r="D21" s="31" t="n">
        <f aca="false">Register!G16</f>
        <v>44</v>
      </c>
      <c r="E21" s="28" t="s">
        <v>388</v>
      </c>
      <c r="F21" s="28" t="s">
        <v>389</v>
      </c>
      <c r="G21" s="31" t="n">
        <f aca="false">INDEX($B$4:$B$8,MATCH("Level "&amp;C21,$A$4:$A$8,0))</f>
        <v>31.3</v>
      </c>
      <c r="H21" s="28" t="str">
        <f aca="false">IF(D21&lt;G21-0.005,"BELOW AWARD","OK")</f>
        <v>OK</v>
      </c>
      <c r="I21" s="28" t="str">
        <f aca="false">IF(H21="BELOW AWARD","Underpaid. Raise EH rate to at least "&amp;TEXT(G21,"$0.00")&amp;" and back pay",IF(F21="CHECK","Loading not applied","OK"))</f>
        <v>OK</v>
      </c>
    </row>
    <row r="22" customFormat="false" ht="15" hidden="false" customHeight="true" outlineLevel="0" collapsed="false">
      <c r="A22" s="28" t="s">
        <v>149</v>
      </c>
      <c r="B22" s="28" t="s">
        <v>150</v>
      </c>
      <c r="C22" s="28" t="n">
        <v>6</v>
      </c>
      <c r="D22" s="31" t="n">
        <f aca="false">Register!G17</f>
        <v>46.43</v>
      </c>
      <c r="E22" s="28" t="s">
        <v>388</v>
      </c>
      <c r="F22" s="28" t="s">
        <v>389</v>
      </c>
      <c r="G22" s="31" t="n">
        <f aca="false">INDEX($B$4:$B$8,MATCH("Level "&amp;C22,$A$4:$A$8,0))</f>
        <v>31.3</v>
      </c>
      <c r="H22" s="28" t="str">
        <f aca="false">IF(D22&lt;G22-0.005,"BELOW AWARD","OK")</f>
        <v>OK</v>
      </c>
      <c r="I22" s="28" t="str">
        <f aca="false">IF(H22="BELOW AWARD","Underpaid. Raise EH rate to at least "&amp;TEXT(G22,"$0.00")&amp;" and back pay",IF(F22="CHECK","Loading not applied","OK"))</f>
        <v>OK</v>
      </c>
    </row>
    <row r="23" customFormat="false" ht="15" hidden="false" customHeight="true" outlineLevel="0" collapsed="false">
      <c r="A23" s="28" t="s">
        <v>172</v>
      </c>
      <c r="B23" s="28" t="s">
        <v>173</v>
      </c>
      <c r="C23" s="28" t="n">
        <v>4</v>
      </c>
      <c r="D23" s="31" t="n">
        <f aca="false">Register!G21</f>
        <v>30</v>
      </c>
      <c r="E23" s="29" t="n">
        <v>37.5</v>
      </c>
      <c r="F23" s="28" t="str">
        <f aca="false">IF(ABS(E23-D23*1.25)&lt;0.01,"Loading added","CHECK")</f>
        <v>Loading added</v>
      </c>
      <c r="G23" s="31" t="n">
        <f aca="false">INDEX($B$4:$B$8,MATCH("Level "&amp;C23,$A$4:$A$8,0))</f>
        <v>29.45</v>
      </c>
      <c r="H23" s="28" t="str">
        <f aca="false">IF(D23&lt;G23-0.005,"BELOW AWARD","OK")</f>
        <v>OK</v>
      </c>
      <c r="I23" s="28" t="str">
        <f aca="false">IF(H23="BELOW AWARD","Underpaid. Raise EH rate to at least "&amp;TEXT(G23,"$0.00")&amp;" and back pay",IF(F23="CHECK","Loading not applied","OK"))</f>
        <v>OK</v>
      </c>
    </row>
    <row r="24" customFormat="false" ht="15" hidden="false" customHeight="true" outlineLevel="0" collapsed="false">
      <c r="A24" s="28" t="s">
        <v>175</v>
      </c>
      <c r="B24" s="28" t="s">
        <v>176</v>
      </c>
      <c r="C24" s="28" t="n">
        <v>4</v>
      </c>
      <c r="D24" s="31" t="n">
        <f aca="false">Register!G22</f>
        <v>30</v>
      </c>
      <c r="E24" s="29" t="n">
        <v>37.5</v>
      </c>
      <c r="F24" s="28" t="str">
        <f aca="false">IF(ABS(E24-D24*1.25)&lt;0.01,"Loading added","CHECK")</f>
        <v>Loading added</v>
      </c>
      <c r="G24" s="31" t="n">
        <f aca="false">INDEX($B$4:$B$8,MATCH("Level "&amp;C24,$A$4:$A$8,0))</f>
        <v>29.45</v>
      </c>
      <c r="H24" s="28" t="str">
        <f aca="false">IF(D24&lt;G24-0.005,"BELOW AWARD","OK")</f>
        <v>OK</v>
      </c>
      <c r="I24" s="28" t="str">
        <f aca="false">IF(H24="BELOW AWARD","Underpaid. Raise EH rate to at least "&amp;TEXT(G24,"$0.00")&amp;" and back pay",IF(F24="CHECK","Loading not applied","OK"))</f>
        <v>OK</v>
      </c>
    </row>
    <row r="25" customFormat="false" ht="15" hidden="false" customHeight="true" outlineLevel="0" collapsed="false">
      <c r="A25" s="28" t="s">
        <v>183</v>
      </c>
      <c r="B25" s="28" t="s">
        <v>184</v>
      </c>
      <c r="C25" s="28" t="n">
        <v>4</v>
      </c>
      <c r="D25" s="31" t="n">
        <f aca="false">Register!G24</f>
        <v>30</v>
      </c>
      <c r="E25" s="28" t="s">
        <v>388</v>
      </c>
      <c r="F25" s="28" t="s">
        <v>389</v>
      </c>
      <c r="G25" s="31" t="n">
        <f aca="false">INDEX($B$4:$B$8,MATCH("Level "&amp;C25,$A$4:$A$8,0))</f>
        <v>29.45</v>
      </c>
      <c r="H25" s="28" t="str">
        <f aca="false">IF(D25&lt;G25-0.005,"BELOW AWARD","OK")</f>
        <v>OK</v>
      </c>
      <c r="I25" s="28" t="str">
        <f aca="false">IF(H25="BELOW AWARD","Underpaid. Raise EH rate to at least "&amp;TEXT(G25,"$0.00")&amp;" and back pay",IF(F25="CHECK","Loading not applied","OK"))</f>
        <v>OK</v>
      </c>
    </row>
    <row r="26" customFormat="false" ht="15" hidden="false" customHeight="true" outlineLevel="0" collapsed="false">
      <c r="A26" s="28" t="s">
        <v>185</v>
      </c>
      <c r="B26" s="28" t="s">
        <v>186</v>
      </c>
      <c r="C26" s="28" t="n">
        <v>4</v>
      </c>
      <c r="D26" s="31" t="n">
        <f aca="false">Register!G25</f>
        <v>30</v>
      </c>
      <c r="E26" s="29" t="n">
        <v>37.5</v>
      </c>
      <c r="F26" s="28" t="str">
        <f aca="false">IF(ABS(E26-D26*1.25)&lt;0.01,"Loading added","CHECK")</f>
        <v>Loading added</v>
      </c>
      <c r="G26" s="31" t="n">
        <f aca="false">INDEX($B$4:$B$8,MATCH("Level "&amp;C26,$A$4:$A$8,0))</f>
        <v>29.45</v>
      </c>
      <c r="H26" s="28" t="str">
        <f aca="false">IF(D26&lt;G26-0.005,"BELOW AWARD","OK")</f>
        <v>OK</v>
      </c>
      <c r="I26" s="28" t="str">
        <f aca="false">IF(H26="BELOW AWARD","Underpaid. Raise EH rate to at least "&amp;TEXT(G26,"$0.00")&amp;" and back pay",IF(F26="CHECK","Loading not applied","OK"))</f>
        <v>OK</v>
      </c>
    </row>
    <row r="27" customFormat="false" ht="15" hidden="false" customHeight="true" outlineLevel="0" collapsed="false">
      <c r="A27" s="28" t="s">
        <v>187</v>
      </c>
      <c r="B27" s="28" t="s">
        <v>188</v>
      </c>
      <c r="C27" s="28" t="n">
        <v>5</v>
      </c>
      <c r="D27" s="31" t="n">
        <f aca="false">Register!G26</f>
        <v>31</v>
      </c>
      <c r="E27" s="29" t="n">
        <v>38.75</v>
      </c>
      <c r="F27" s="28" t="str">
        <f aca="false">IF(ABS(E27-D27*1.25)&lt;0.01,"Loading added","CHECK")</f>
        <v>Loading added</v>
      </c>
      <c r="G27" s="31" t="n">
        <f aca="false">INDEX($B$4:$B$8,MATCH("Level "&amp;C27,$A$4:$A$8,0))</f>
        <v>30.37</v>
      </c>
      <c r="H27" s="28" t="str">
        <f aca="false">IF(D27&lt;G27-0.005,"BELOW AWARD","OK")</f>
        <v>OK</v>
      </c>
      <c r="I27" s="28" t="str">
        <f aca="false">IF(H27="BELOW AWARD","Underpaid. Raise EH rate to at least "&amp;TEXT(G27,"$0.00")&amp;" and back pay",IF(F27="CHECK","Loading not applied","OK"))</f>
        <v>OK</v>
      </c>
    </row>
    <row r="28" customFormat="false" ht="15" hidden="false" customHeight="true" outlineLevel="0" collapsed="false">
      <c r="A28" s="28" t="s">
        <v>197</v>
      </c>
      <c r="B28" s="28" t="s">
        <v>198</v>
      </c>
      <c r="C28" s="28" t="n">
        <v>6</v>
      </c>
      <c r="D28" s="31" t="n">
        <f aca="false">Register!G28</f>
        <v>39.4618</v>
      </c>
      <c r="E28" s="28" t="s">
        <v>388</v>
      </c>
      <c r="F28" s="28" t="s">
        <v>389</v>
      </c>
      <c r="G28" s="31" t="n">
        <f aca="false">INDEX($B$4:$B$8,MATCH("Level "&amp;C28,$A$4:$A$8,0))</f>
        <v>31.3</v>
      </c>
      <c r="H28" s="28" t="str">
        <f aca="false">IF(D28&lt;G28-0.005,"BELOW AWARD","OK")</f>
        <v>OK</v>
      </c>
      <c r="I28" s="28" t="str">
        <f aca="false">IF(H28="BELOW AWARD","Underpaid. Raise EH rate to at least "&amp;TEXT(G28,"$0.00")&amp;" and back pay",IF(F28="CHECK","Loading not applied","OK"))</f>
        <v>OK</v>
      </c>
    </row>
    <row r="29" customFormat="false" ht="15" hidden="false" customHeight="true" outlineLevel="0" collapsed="false">
      <c r="A29" s="28" t="s">
        <v>200</v>
      </c>
      <c r="B29" s="28" t="s">
        <v>201</v>
      </c>
      <c r="C29" s="28" t="n">
        <v>4</v>
      </c>
      <c r="D29" s="31" t="n">
        <f aca="false">Register!G29</f>
        <v>27.17</v>
      </c>
      <c r="E29" s="28" t="s">
        <v>388</v>
      </c>
      <c r="F29" s="28" t="s">
        <v>389</v>
      </c>
      <c r="G29" s="31" t="n">
        <f aca="false">INDEX($B$4:$B$8,MATCH("Level "&amp;C29,$A$4:$A$8,0))</f>
        <v>29.45</v>
      </c>
      <c r="H29" s="28" t="str">
        <f aca="false">IF(D29&lt;G29-0.005,"BELOW AWARD","OK")</f>
        <v>BELOW AWARD</v>
      </c>
      <c r="I29" s="28" t="str">
        <f aca="false">IF(H29="BELOW AWARD","Underpaid. Raise EH rate to at least "&amp;TEXT(G29,"$0.00")&amp;" and back pay",IF(F29="CHECK","Loading not applied","OK"))</f>
        <v>Underpaid. Raise EH rate to at least $29.45 and back pay</v>
      </c>
    </row>
    <row r="30" customFormat="false" ht="15" hidden="false" customHeight="true" outlineLevel="0" collapsed="false">
      <c r="A30" s="28" t="s">
        <v>205</v>
      </c>
      <c r="B30" s="28" t="s">
        <v>206</v>
      </c>
      <c r="C30" s="28" t="n">
        <v>4</v>
      </c>
      <c r="D30" s="31" t="n">
        <f aca="false">Register!G30</f>
        <v>30</v>
      </c>
      <c r="E30" s="28" t="s">
        <v>390</v>
      </c>
      <c r="F30" s="28" t="s">
        <v>389</v>
      </c>
      <c r="G30" s="31" t="n">
        <f aca="false">INDEX($B$4:$B$8,MATCH("Level "&amp;C30,$A$4:$A$8,0))</f>
        <v>29.45</v>
      </c>
      <c r="H30" s="28" t="str">
        <f aca="false">IF(D30&lt;G30-0.005,"BELOW AWARD","OK")</f>
        <v>OK</v>
      </c>
      <c r="I30" s="28" t="str">
        <f aca="false">IF(H30="BELOW AWARD","Underpaid. Raise EH rate to at least "&amp;TEXT(G30,"$0.00")&amp;" and back pay",IF(F30="CHECK","Loading not applied","OK"))</f>
        <v>OK</v>
      </c>
    </row>
    <row r="31" customFormat="false" ht="15" hidden="false" customHeight="true" outlineLevel="0" collapsed="false">
      <c r="A31" s="28" t="s">
        <v>207</v>
      </c>
      <c r="B31" s="28" t="s">
        <v>208</v>
      </c>
      <c r="C31" s="28" t="n">
        <v>5</v>
      </c>
      <c r="D31" s="31" t="n">
        <f aca="false">Register!G31</f>
        <v>35.75</v>
      </c>
      <c r="E31" s="28" t="s">
        <v>388</v>
      </c>
      <c r="F31" s="28" t="s">
        <v>389</v>
      </c>
      <c r="G31" s="31" t="n">
        <f aca="false">INDEX($B$4:$B$8,MATCH("Level "&amp;C31,$A$4:$A$8,0))</f>
        <v>30.37</v>
      </c>
      <c r="H31" s="28" t="str">
        <f aca="false">IF(D31&lt;G31-0.005,"BELOW AWARD","OK")</f>
        <v>OK</v>
      </c>
      <c r="I31" s="28" t="str">
        <f aca="false">IF(H31="BELOW AWARD","Underpaid. Raise EH rate to at least "&amp;TEXT(G31,"$0.00")&amp;" and back pay",IF(F31="CHECK","Loading not applied","OK"))</f>
        <v>OK</v>
      </c>
    </row>
    <row r="32" customFormat="false" ht="15" hidden="false" customHeight="true" outlineLevel="0" collapsed="false">
      <c r="A32" s="28" t="s">
        <v>210</v>
      </c>
      <c r="B32" s="28" t="s">
        <v>211</v>
      </c>
      <c r="C32" s="28" t="n">
        <v>3</v>
      </c>
      <c r="D32" s="31" t="n">
        <f aca="false">Register!G32</f>
        <v>30</v>
      </c>
      <c r="E32" s="28" t="s">
        <v>388</v>
      </c>
      <c r="F32" s="28" t="s">
        <v>389</v>
      </c>
      <c r="G32" s="31" t="n">
        <f aca="false">INDEX($B$4:$B$8,MATCH("Level "&amp;C32,$A$4:$A$8,0))</f>
        <v>28.89</v>
      </c>
      <c r="H32" s="28" t="str">
        <f aca="false">IF(D32&lt;G32-0.005,"BELOW AWARD","OK")</f>
        <v>OK</v>
      </c>
      <c r="I32" s="28" t="str">
        <f aca="false">IF(H32="BELOW AWARD","Underpaid. Raise EH rate to at least "&amp;TEXT(G32,"$0.00")&amp;" and back pay",IF(F32="CHECK","Loading not applied","OK"))</f>
        <v>OK</v>
      </c>
    </row>
    <row r="33" customFormat="false" ht="15" hidden="false" customHeight="true" outlineLevel="0" collapsed="false">
      <c r="A33" s="28" t="s">
        <v>226</v>
      </c>
      <c r="B33" s="28" t="s">
        <v>227</v>
      </c>
      <c r="C33" s="28" t="n">
        <v>5</v>
      </c>
      <c r="D33" s="31" t="n">
        <f aca="false">Register!G36</f>
        <v>31</v>
      </c>
      <c r="E33" s="28" t="s">
        <v>388</v>
      </c>
      <c r="F33" s="28" t="s">
        <v>389</v>
      </c>
      <c r="G33" s="31" t="n">
        <f aca="false">INDEX($B$4:$B$8,MATCH("Level "&amp;C33,$A$4:$A$8,0))</f>
        <v>30.37</v>
      </c>
      <c r="H33" s="28" t="str">
        <f aca="false">IF(D33&lt;G33-0.005,"BELOW AWARD","OK")</f>
        <v>OK</v>
      </c>
      <c r="I33" s="28" t="str">
        <f aca="false">IF(H33="BELOW AWARD","Underpaid. Raise EH rate to at least "&amp;TEXT(G33,"$0.00")&amp;" and back pay",IF(F33="CHECK","Loading not applied","OK"))</f>
        <v>OK</v>
      </c>
    </row>
    <row r="34" customFormat="false" ht="15" hidden="false" customHeight="true" outlineLevel="0" collapsed="false">
      <c r="A34" s="28" t="s">
        <v>234</v>
      </c>
      <c r="B34" s="28" t="s">
        <v>235</v>
      </c>
      <c r="C34" s="28" t="n">
        <v>6</v>
      </c>
      <c r="D34" s="31" t="n">
        <f aca="false">Register!G38</f>
        <v>39.46184</v>
      </c>
      <c r="E34" s="28" t="s">
        <v>388</v>
      </c>
      <c r="F34" s="28" t="s">
        <v>389</v>
      </c>
      <c r="G34" s="31" t="n">
        <f aca="false">INDEX($B$4:$B$8,MATCH("Level "&amp;C34,$A$4:$A$8,0))</f>
        <v>31.3</v>
      </c>
      <c r="H34" s="28" t="str">
        <f aca="false">IF(D34&lt;G34-0.005,"BELOW AWARD","OK")</f>
        <v>OK</v>
      </c>
      <c r="I34" s="28" t="str">
        <f aca="false">IF(H34="BELOW AWARD","Underpaid. Raise EH rate to at least "&amp;TEXT(G34,"$0.00")&amp;" and back pay",IF(F34="CHECK","Loading not applied","OK"))</f>
        <v>OK</v>
      </c>
    </row>
    <row r="35" customFormat="false" ht="15" hidden="false" customHeight="true" outlineLevel="0" collapsed="false">
      <c r="A35" s="28" t="s">
        <v>237</v>
      </c>
      <c r="B35" s="28" t="s">
        <v>238</v>
      </c>
      <c r="C35" s="28" t="n">
        <v>6</v>
      </c>
      <c r="D35" s="31" t="n">
        <f aca="false">Register!G39</f>
        <v>40</v>
      </c>
      <c r="E35" s="31" t="n">
        <v>50</v>
      </c>
      <c r="F35" s="28" t="str">
        <f aca="false">IF(ABS(E35-D35*1.25)&lt;0.01,"Loading added","CHECK")</f>
        <v>Loading added</v>
      </c>
      <c r="G35" s="31" t="n">
        <f aca="false">INDEX($B$4:$B$8,MATCH("Level "&amp;C35,$A$4:$A$8,0))</f>
        <v>31.3</v>
      </c>
      <c r="H35" s="28" t="str">
        <f aca="false">IF(D35&lt;G35-0.005,"BELOW AWARD","OK")</f>
        <v>OK</v>
      </c>
      <c r="I35" s="28" t="str">
        <f aca="false">IF(H35="BELOW AWARD","Underpaid. Raise EH rate to at least "&amp;TEXT(G35,"$0.00")&amp;" and back pay",IF(F35="CHECK","Loading not applied","OK"))</f>
        <v>OK</v>
      </c>
    </row>
    <row r="36" customFormat="false" ht="15" hidden="false" customHeight="true" outlineLevel="0" collapsed="false">
      <c r="A36" s="28" t="s">
        <v>243</v>
      </c>
      <c r="B36" s="28" t="s">
        <v>244</v>
      </c>
      <c r="C36" s="28" t="n">
        <v>4</v>
      </c>
      <c r="D36" s="31" t="n">
        <f aca="false">Register!G41</f>
        <v>32</v>
      </c>
      <c r="E36" s="28" t="s">
        <v>388</v>
      </c>
      <c r="F36" s="28" t="s">
        <v>389</v>
      </c>
      <c r="G36" s="31" t="n">
        <f aca="false">INDEX($B$4:$B$8,MATCH("Level "&amp;C36,$A$4:$A$8,0))</f>
        <v>29.45</v>
      </c>
      <c r="H36" s="28" t="str">
        <f aca="false">IF(D36&lt;G36-0.005,"BELOW AWARD","OK")</f>
        <v>OK</v>
      </c>
      <c r="I36" s="28" t="str">
        <f aca="false">IF(H36="BELOW AWARD","Underpaid. Raise EH rate to at least "&amp;TEXT(G36,"$0.00")&amp;" and back pay",IF(F36="CHECK","Loading not applied","OK"))</f>
        <v>OK</v>
      </c>
    </row>
    <row r="37" customFormat="false" ht="15" hidden="false" customHeight="true" outlineLevel="0" collapsed="false">
      <c r="A37" s="28" t="s">
        <v>245</v>
      </c>
      <c r="B37" s="28" t="s">
        <v>246</v>
      </c>
      <c r="C37" s="28" t="n">
        <v>4</v>
      </c>
      <c r="D37" s="31" t="n">
        <f aca="false">Register!G42</f>
        <v>28.12</v>
      </c>
      <c r="E37" s="28" t="s">
        <v>388</v>
      </c>
      <c r="F37" s="28" t="s">
        <v>389</v>
      </c>
      <c r="G37" s="31" t="n">
        <f aca="false">INDEX($B$4:$B$8,MATCH("Level "&amp;C37,$A$4:$A$8,0))</f>
        <v>29.45</v>
      </c>
      <c r="H37" s="28" t="str">
        <f aca="false">IF(D37&lt;G37-0.005,"BELOW AWARD","OK")</f>
        <v>BELOW AWARD</v>
      </c>
      <c r="I37" s="28" t="str">
        <f aca="false">IF(H37="BELOW AWARD","Underpaid. Raise EH rate to at least "&amp;TEXT(G37,"$0.00")&amp;" and back pay",IF(F37="CHECK","Loading not applied","OK"))</f>
        <v>Underpaid. Raise EH rate to at least $29.45 and back pay</v>
      </c>
    </row>
    <row r="38" customFormat="false" ht="15" hidden="false" customHeight="true" outlineLevel="0" collapsed="false">
      <c r="A38" s="28" t="s">
        <v>249</v>
      </c>
      <c r="B38" s="28" t="s">
        <v>250</v>
      </c>
      <c r="C38" s="28" t="n">
        <v>4</v>
      </c>
      <c r="D38" s="31" t="n">
        <f aca="false">Register!G43</f>
        <v>30</v>
      </c>
      <c r="E38" s="28" t="s">
        <v>388</v>
      </c>
      <c r="F38" s="28" t="s">
        <v>389</v>
      </c>
      <c r="G38" s="31" t="n">
        <f aca="false">INDEX($B$4:$B$8,MATCH("Level "&amp;C38,$A$4:$A$8,0))</f>
        <v>29.45</v>
      </c>
      <c r="H38" s="28" t="str">
        <f aca="false">IF(D38&lt;G38-0.005,"BELOW AWARD","OK")</f>
        <v>OK</v>
      </c>
      <c r="I38" s="28" t="str">
        <f aca="false">IF(H38="BELOW AWARD","Underpaid. Raise EH rate to at least "&amp;TEXT(G38,"$0.00")&amp;" and back pay",IF(F38="CHECK","Loading not applied","OK"))</f>
        <v>OK</v>
      </c>
    </row>
    <row r="39" customFormat="false" ht="15" hidden="false" customHeight="true" outlineLevel="0" collapsed="false">
      <c r="A39" s="28" t="s">
        <v>252</v>
      </c>
      <c r="B39" s="28" t="s">
        <v>253</v>
      </c>
      <c r="C39" s="28" t="n">
        <v>6</v>
      </c>
      <c r="D39" s="31" t="n">
        <f aca="false">Register!G44</f>
        <v>46.7081</v>
      </c>
      <c r="E39" s="29" t="n">
        <v>58.3851</v>
      </c>
      <c r="F39" s="28" t="str">
        <f aca="false">IF(ABS(E39-D39*1.25)&lt;0.01,"Loading added","CHECK")</f>
        <v>Loading added</v>
      </c>
      <c r="G39" s="31" t="n">
        <f aca="false">INDEX($B$4:$B$8,MATCH("Level "&amp;C39,$A$4:$A$8,0))</f>
        <v>31.3</v>
      </c>
      <c r="H39" s="28" t="str">
        <f aca="false">IF(D39&lt;G39-0.005,"BELOW AWARD","OK")</f>
        <v>OK</v>
      </c>
      <c r="I39" s="28" t="str">
        <f aca="false">IF(H39="BELOW AWARD","Underpaid. Raise EH rate to at least "&amp;TEXT(G39,"$0.00")&amp;" and back pay",IF(F39="CHECK","Loading not applied","OK"))</f>
        <v>OK</v>
      </c>
    </row>
    <row r="40" customFormat="false" ht="15" hidden="false" customHeight="true" outlineLevel="0" collapsed="false">
      <c r="A40" s="28" t="s">
        <v>259</v>
      </c>
      <c r="B40" s="28" t="s">
        <v>260</v>
      </c>
      <c r="C40" s="28" t="n">
        <v>4</v>
      </c>
      <c r="D40" s="31" t="n">
        <f aca="false">Register!G46</f>
        <v>30</v>
      </c>
      <c r="E40" s="29" t="n">
        <v>37.5</v>
      </c>
      <c r="F40" s="28" t="str">
        <f aca="false">IF(ABS(E40-D40*1.25)&lt;0.01,"Loading added","CHECK")</f>
        <v>Loading added</v>
      </c>
      <c r="G40" s="31" t="n">
        <f aca="false">INDEX($B$4:$B$8,MATCH("Level "&amp;C40,$A$4:$A$8,0))</f>
        <v>29.45</v>
      </c>
      <c r="H40" s="28" t="str">
        <f aca="false">IF(D40&lt;G40-0.005,"BELOW AWARD","OK")</f>
        <v>OK</v>
      </c>
      <c r="I40" s="28" t="str">
        <f aca="false">IF(H40="BELOW AWARD","Underpaid. Raise EH rate to at least "&amp;TEXT(G40,"$0.00")&amp;" and back pay",IF(F40="CHECK","Loading not applied","OK"))</f>
        <v>OK</v>
      </c>
    </row>
    <row r="41" customFormat="false" ht="15" hidden="false" customHeight="true" outlineLevel="0" collapsed="false">
      <c r="A41" s="28" t="s">
        <v>266</v>
      </c>
      <c r="B41" s="28" t="s">
        <v>267</v>
      </c>
      <c r="C41" s="28" t="n">
        <v>5</v>
      </c>
      <c r="D41" s="31" t="n">
        <f aca="false">Register!G48</f>
        <v>31</v>
      </c>
      <c r="E41" s="29" t="n">
        <v>38.75</v>
      </c>
      <c r="F41" s="28" t="str">
        <f aca="false">IF(ABS(E41-D41*1.25)&lt;0.01,"Loading added","CHECK")</f>
        <v>Loading added</v>
      </c>
      <c r="G41" s="31" t="n">
        <f aca="false">INDEX($B$4:$B$8,MATCH("Level "&amp;C41,$A$4:$A$8,0))</f>
        <v>30.37</v>
      </c>
      <c r="H41" s="28" t="str">
        <f aca="false">IF(D41&lt;G41-0.005,"BELOW AWARD","OK")</f>
        <v>OK</v>
      </c>
      <c r="I41" s="28" t="str">
        <f aca="false">IF(H41="BELOW AWARD","Underpaid. Raise EH rate to at least "&amp;TEXT(G41,"$0.00")&amp;" and back pay",IF(F41="CHECK","Loading not applied","OK"))</f>
        <v>OK</v>
      </c>
    </row>
    <row r="42" customFormat="false" ht="15" hidden="false" customHeight="true" outlineLevel="0" collapsed="false">
      <c r="A42" s="28" t="s">
        <v>266</v>
      </c>
      <c r="B42" s="28" t="s">
        <v>270</v>
      </c>
      <c r="C42" s="28" t="n">
        <v>4</v>
      </c>
      <c r="D42" s="31" t="n">
        <f aca="false">Register!G49</f>
        <v>30</v>
      </c>
      <c r="E42" s="28" t="s">
        <v>388</v>
      </c>
      <c r="F42" s="28" t="s">
        <v>389</v>
      </c>
      <c r="G42" s="31" t="n">
        <f aca="false">INDEX($B$4:$B$8,MATCH("Level "&amp;C42,$A$4:$A$8,0))</f>
        <v>29.45</v>
      </c>
      <c r="H42" s="28" t="str">
        <f aca="false">IF(D42&lt;G42-0.005,"BELOW AWARD","OK")</f>
        <v>OK</v>
      </c>
      <c r="I42" s="28" t="str">
        <f aca="false">IF(H42="BELOW AWARD","Underpaid. Raise EH rate to at least "&amp;TEXT(G42,"$0.00")&amp;" and back pay",IF(F42="CHECK","Loading not applied","OK"))</f>
        <v>OK</v>
      </c>
    </row>
    <row r="43" customFormat="false" ht="15" hidden="false" customHeight="true" outlineLevel="0" collapsed="false">
      <c r="A43" s="28" t="s">
        <v>272</v>
      </c>
      <c r="B43" s="28" t="s">
        <v>273</v>
      </c>
      <c r="C43" s="28" t="n">
        <v>4</v>
      </c>
      <c r="D43" s="31" t="n">
        <f aca="false">Register!G50</f>
        <v>30</v>
      </c>
      <c r="E43" s="28" t="s">
        <v>388</v>
      </c>
      <c r="F43" s="28" t="s">
        <v>389</v>
      </c>
      <c r="G43" s="31" t="n">
        <f aca="false">INDEX($B$4:$B$8,MATCH("Level "&amp;C43,$A$4:$A$8,0))</f>
        <v>29.45</v>
      </c>
      <c r="H43" s="28" t="str">
        <f aca="false">IF(D43&lt;G43-0.005,"BELOW AWARD","OK")</f>
        <v>OK</v>
      </c>
      <c r="I43" s="28" t="str">
        <f aca="false">IF(H43="BELOW AWARD","Underpaid. Raise EH rate to at least "&amp;TEXT(G43,"$0.00")&amp;" and back pay",IF(F43="CHECK","Loading not applied","OK"))</f>
        <v>OK</v>
      </c>
    </row>
    <row r="44" customFormat="false" ht="15" hidden="false" customHeight="true" outlineLevel="0" collapsed="false">
      <c r="A44" s="28" t="s">
        <v>275</v>
      </c>
      <c r="B44" s="28" t="s">
        <v>276</v>
      </c>
      <c r="C44" s="28" t="n">
        <v>6</v>
      </c>
      <c r="D44" s="31" t="n">
        <f aca="false">Register!G51</f>
        <v>32.28696</v>
      </c>
      <c r="E44" s="29" t="n">
        <v>40.3587</v>
      </c>
      <c r="F44" s="28" t="str">
        <f aca="false">IF(ABS(E44-D44*1.25)&lt;0.01,"Loading added","CHECK")</f>
        <v>Loading added</v>
      </c>
      <c r="G44" s="31" t="n">
        <f aca="false">INDEX($B$4:$B$8,MATCH("Level "&amp;C44,$A$4:$A$8,0))</f>
        <v>31.3</v>
      </c>
      <c r="H44" s="28" t="str">
        <f aca="false">IF(D44&lt;G44-0.005,"BELOW AWARD","OK")</f>
        <v>OK</v>
      </c>
      <c r="I44" s="28" t="str">
        <f aca="false">IF(H44="BELOW AWARD","Underpaid. Raise EH rate to at least "&amp;TEXT(G44,"$0.00")&amp;" and back pay",IF(F44="CHECK","Loading not applied","OK"))</f>
        <v>OK</v>
      </c>
    </row>
    <row r="45" customFormat="false" ht="15" hidden="false" customHeight="true" outlineLevel="0" collapsed="false">
      <c r="A45" s="28" t="s">
        <v>288</v>
      </c>
      <c r="B45" s="28" t="s">
        <v>289</v>
      </c>
      <c r="C45" s="28" t="n">
        <v>4</v>
      </c>
      <c r="D45" s="31" t="n">
        <f aca="false">Register!G55</f>
        <v>30</v>
      </c>
      <c r="E45" s="28" t="s">
        <v>388</v>
      </c>
      <c r="F45" s="28" t="s">
        <v>389</v>
      </c>
      <c r="G45" s="31" t="n">
        <f aca="false">INDEX($B$4:$B$8,MATCH("Level "&amp;C45,$A$4:$A$8,0))</f>
        <v>29.45</v>
      </c>
      <c r="H45" s="28" t="str">
        <f aca="false">IF(D45&lt;G45-0.005,"BELOW AWARD","OK")</f>
        <v>OK</v>
      </c>
      <c r="I45" s="28" t="str">
        <f aca="false">IF(H45="BELOW AWARD","Underpaid. Raise EH rate to at least "&amp;TEXT(G45,"$0.00")&amp;" and back pay",IF(F45="CHECK","Loading not applied","OK"))</f>
        <v>OK</v>
      </c>
    </row>
    <row r="46" customFormat="false" ht="15" hidden="false" customHeight="true" outlineLevel="0" collapsed="false">
      <c r="A46" s="28" t="s">
        <v>290</v>
      </c>
      <c r="B46" s="28" t="s">
        <v>291</v>
      </c>
      <c r="C46" s="28" t="n">
        <v>4</v>
      </c>
      <c r="D46" s="31" t="n">
        <f aca="false">Register!G56</f>
        <v>30</v>
      </c>
      <c r="E46" s="29" t="n">
        <v>37.5</v>
      </c>
      <c r="F46" s="28" t="str">
        <f aca="false">IF(ABS(E46-D46*1.25)&lt;0.01,"Loading added","CHECK")</f>
        <v>Loading added</v>
      </c>
      <c r="G46" s="31" t="n">
        <f aca="false">INDEX($B$4:$B$8,MATCH("Level "&amp;C46,$A$4:$A$8,0))</f>
        <v>29.45</v>
      </c>
      <c r="H46" s="28" t="str">
        <f aca="false">IF(D46&lt;G46-0.005,"BELOW AWARD","OK")</f>
        <v>OK</v>
      </c>
      <c r="I46" s="28" t="str">
        <f aca="false">IF(H46="BELOW AWARD","Underpaid. Raise EH rate to at least "&amp;TEXT(G46,"$0.00")&amp;" and back pay",IF(F46="CHECK","Loading not applied","OK"))</f>
        <v>OK</v>
      </c>
    </row>
    <row r="47" customFormat="false" ht="15" hidden="false" customHeight="true" outlineLevel="0" collapsed="false">
      <c r="A47" s="28" t="s">
        <v>300</v>
      </c>
      <c r="B47" s="28" t="s">
        <v>301</v>
      </c>
      <c r="C47" s="28" t="n">
        <v>5</v>
      </c>
      <c r="D47" s="31" t="n">
        <f aca="false">Register!G59</f>
        <v>29</v>
      </c>
      <c r="E47" s="28" t="s">
        <v>388</v>
      </c>
      <c r="F47" s="28" t="s">
        <v>389</v>
      </c>
      <c r="G47" s="31" t="n">
        <f aca="false">INDEX($B$4:$B$8,MATCH("Level "&amp;C47,$A$4:$A$8,0))</f>
        <v>30.37</v>
      </c>
      <c r="H47" s="28" t="str">
        <f aca="false">IF(D47&lt;G47-0.005,"BELOW AWARD","OK")</f>
        <v>BELOW AWARD</v>
      </c>
      <c r="I47" s="28" t="str">
        <f aca="false">IF(H47="BELOW AWARD","Underpaid. Raise EH rate to at least "&amp;TEXT(G47,"$0.00")&amp;" and back pay",IF(F47="CHECK","Loading not applied","OK"))</f>
        <v>Underpaid. Raise EH rate to at least $30.37 and back pay</v>
      </c>
    </row>
    <row r="48" customFormat="false" ht="15" hidden="false" customHeight="true" outlineLevel="0" collapsed="false">
      <c r="A48" s="28" t="s">
        <v>307</v>
      </c>
      <c r="B48" s="28" t="s">
        <v>308</v>
      </c>
      <c r="C48" s="28" t="n">
        <v>6</v>
      </c>
      <c r="D48" s="31" t="n">
        <f aca="false">Register!G61</f>
        <v>41.04</v>
      </c>
      <c r="E48" s="29" t="n">
        <v>51.3</v>
      </c>
      <c r="F48" s="28" t="str">
        <f aca="false">IF(ABS(E48-D48*1.25)&lt;0.01,"Loading added","CHECK")</f>
        <v>Loading added</v>
      </c>
      <c r="G48" s="31" t="n">
        <f aca="false">INDEX($B$4:$B$8,MATCH("Level "&amp;C48,$A$4:$A$8,0))</f>
        <v>31.3</v>
      </c>
      <c r="H48" s="28" t="str">
        <f aca="false">IF(D48&lt;G48-0.005,"BELOW AWARD","OK")</f>
        <v>OK</v>
      </c>
      <c r="I48" s="28" t="str">
        <f aca="false">IF(H48="BELOW AWARD","Underpaid. Raise EH rate to at least "&amp;TEXT(G48,"$0.00")&amp;" and back pay",IF(F48="CHECK","Loading not applied","OK"))</f>
        <v>OK</v>
      </c>
    </row>
    <row r="49" customFormat="false" ht="15" hidden="false" customHeight="true" outlineLevel="0" collapsed="false">
      <c r="A49" s="28" t="s">
        <v>311</v>
      </c>
      <c r="B49" s="28" t="s">
        <v>312</v>
      </c>
      <c r="C49" s="28" t="n">
        <v>5</v>
      </c>
      <c r="D49" s="31" t="n">
        <f aca="false">Register!G62</f>
        <v>39.29</v>
      </c>
      <c r="E49" s="28" t="s">
        <v>388</v>
      </c>
      <c r="F49" s="28" t="s">
        <v>389</v>
      </c>
      <c r="G49" s="31" t="n">
        <f aca="false">INDEX($B$4:$B$8,MATCH("Level "&amp;C49,$A$4:$A$8,0))</f>
        <v>30.37</v>
      </c>
      <c r="H49" s="28" t="str">
        <f aca="false">IF(D49&lt;G49-0.005,"BELOW AWARD","OK")</f>
        <v>OK</v>
      </c>
      <c r="I49" s="28" t="str">
        <f aca="false">IF(H49="BELOW AWARD","Underpaid. Raise EH rate to at least "&amp;TEXT(G49,"$0.00")&amp;" and back pay",IF(F49="CHECK","Loading not applied","OK"))</f>
        <v>OK</v>
      </c>
    </row>
    <row r="50" customFormat="false" ht="15" hidden="false" customHeight="true" outlineLevel="0" collapsed="false">
      <c r="A50" s="28" t="s">
        <v>318</v>
      </c>
      <c r="B50" s="28" t="s">
        <v>319</v>
      </c>
      <c r="C50" s="28" t="n">
        <v>6</v>
      </c>
      <c r="D50" s="31" t="n">
        <f aca="false">Register!G64</f>
        <v>40</v>
      </c>
      <c r="E50" s="28" t="s">
        <v>388</v>
      </c>
      <c r="F50" s="28" t="s">
        <v>389</v>
      </c>
      <c r="G50" s="31" t="n">
        <f aca="false">INDEX($B$4:$B$8,MATCH("Level "&amp;C50,$A$4:$A$8,0))</f>
        <v>31.3</v>
      </c>
      <c r="H50" s="28" t="str">
        <f aca="false">IF(D50&lt;G50-0.005,"BELOW AWARD","OK")</f>
        <v>OK</v>
      </c>
      <c r="I50" s="28" t="str">
        <f aca="false">IF(H50="BELOW AWARD","Underpaid. Raise EH rate to at least "&amp;TEXT(G50,"$0.00")&amp;" and back pay",IF(F50="CHECK","Loading not applied","OK"))</f>
        <v>OK</v>
      </c>
    </row>
    <row r="51" customFormat="false" ht="15" hidden="false" customHeight="true" outlineLevel="0" collapsed="false">
      <c r="A51" s="28" t="s">
        <v>321</v>
      </c>
      <c r="B51" s="28" t="s">
        <v>322</v>
      </c>
      <c r="C51" s="28" t="n">
        <v>6</v>
      </c>
      <c r="D51" s="31" t="n">
        <f aca="false">Register!G65</f>
        <v>33.85</v>
      </c>
      <c r="E51" s="28" t="s">
        <v>388</v>
      </c>
      <c r="F51" s="28" t="s">
        <v>389</v>
      </c>
      <c r="G51" s="31" t="n">
        <f aca="false">INDEX($B$4:$B$8,MATCH("Level "&amp;C51,$A$4:$A$8,0))</f>
        <v>31.3</v>
      </c>
      <c r="H51" s="28" t="str">
        <f aca="false">IF(D51&lt;G51-0.005,"BELOW AWARD","OK")</f>
        <v>OK</v>
      </c>
      <c r="I51" s="28" t="str">
        <f aca="false">IF(H51="BELOW AWARD","Underpaid. Raise EH rate to at least "&amp;TEXT(G51,"$0.00")&amp;" and back pay",IF(F51="CHECK","Loading not applied","OK"))</f>
        <v>OK</v>
      </c>
    </row>
    <row r="52" customFormat="false" ht="15" hidden="false" customHeight="true" outlineLevel="0" collapsed="false">
      <c r="A52" s="28" t="s">
        <v>325</v>
      </c>
      <c r="B52" s="28" t="s">
        <v>326</v>
      </c>
      <c r="C52" s="28" t="n">
        <v>6</v>
      </c>
      <c r="D52" s="31" t="n">
        <f aca="false">Register!G66</f>
        <v>39.46184</v>
      </c>
      <c r="E52" s="28" t="s">
        <v>388</v>
      </c>
      <c r="F52" s="28" t="s">
        <v>389</v>
      </c>
      <c r="G52" s="31" t="n">
        <f aca="false">INDEX($B$4:$B$8,MATCH("Level "&amp;C52,$A$4:$A$8,0))</f>
        <v>31.3</v>
      </c>
      <c r="H52" s="28" t="str">
        <f aca="false">IF(D52&lt;G52-0.005,"BELOW AWARD","OK")</f>
        <v>OK</v>
      </c>
      <c r="I52" s="28" t="str">
        <f aca="false">IF(H52="BELOW AWARD","Underpaid. Raise EH rate to at least "&amp;TEXT(G52,"$0.00")&amp;" and back pay",IF(F52="CHECK","Loading not applied","OK"))</f>
        <v>OK</v>
      </c>
    </row>
    <row r="53" customFormat="false" ht="15" hidden="false" customHeight="true" outlineLevel="0" collapsed="false">
      <c r="A53" s="28" t="s">
        <v>329</v>
      </c>
      <c r="B53" s="28" t="s">
        <v>330</v>
      </c>
      <c r="C53" s="28" t="n">
        <v>4</v>
      </c>
      <c r="D53" s="31" t="n">
        <f aca="false">Register!G67</f>
        <v>30</v>
      </c>
      <c r="E53" s="29" t="n">
        <v>37.5</v>
      </c>
      <c r="F53" s="28" t="str">
        <f aca="false">IF(ABS(E53-D53*1.25)&lt;0.01,"Loading added","CHECK")</f>
        <v>Loading added</v>
      </c>
      <c r="G53" s="31" t="n">
        <f aca="false">INDEX($B$4:$B$8,MATCH("Level "&amp;C53,$A$4:$A$8,0))</f>
        <v>29.45</v>
      </c>
      <c r="H53" s="28" t="str">
        <f aca="false">IF(D53&lt;G53-0.005,"BELOW AWARD","OK")</f>
        <v>OK</v>
      </c>
      <c r="I53" s="28" t="str">
        <f aca="false">IF(H53="BELOW AWARD","Underpaid. Raise EH rate to at least "&amp;TEXT(G53,"$0.00")&amp;" and back pay",IF(F53="CHECK","Loading not applied","OK"))</f>
        <v>OK</v>
      </c>
    </row>
    <row r="54" customFormat="false" ht="15" hidden="false" customHeight="true" outlineLevel="0" collapsed="false">
      <c r="A54" s="28" t="s">
        <v>336</v>
      </c>
      <c r="B54" s="28" t="s">
        <v>337</v>
      </c>
      <c r="C54" s="28" t="n">
        <v>6</v>
      </c>
      <c r="D54" s="31" t="n">
        <f aca="false">Register!G70</f>
        <v>45</v>
      </c>
      <c r="E54" s="28" t="s">
        <v>388</v>
      </c>
      <c r="F54" s="28" t="s">
        <v>389</v>
      </c>
      <c r="G54" s="31" t="n">
        <f aca="false">INDEX($B$4:$B$8,MATCH("Level "&amp;C54,$A$4:$A$8,0))</f>
        <v>31.3</v>
      </c>
      <c r="H54" s="28" t="str">
        <f aca="false">IF(D54&lt;G54-0.005,"BELOW AWARD","OK")</f>
        <v>OK</v>
      </c>
      <c r="I54" s="28" t="str">
        <f aca="false">IF(H54="BELOW AWARD","Underpaid. Raise EH rate to at least "&amp;TEXT(G54,"$0.00")&amp;" and back pay",IF(F54="CHECK","Loading not applied","OK"))</f>
        <v>OK</v>
      </c>
    </row>
    <row r="55" customFormat="false" ht="15" hidden="false" customHeight="true" outlineLevel="0" collapsed="false">
      <c r="A55" s="28" t="s">
        <v>341</v>
      </c>
      <c r="B55" s="28" t="s">
        <v>342</v>
      </c>
      <c r="C55" s="28" t="n">
        <v>4</v>
      </c>
      <c r="D55" s="31" t="n">
        <f aca="false">Register!G71</f>
        <v>30</v>
      </c>
      <c r="E55" s="29" t="n">
        <v>37.5</v>
      </c>
      <c r="F55" s="28" t="str">
        <f aca="false">IF(ABS(E55-D55*1.25)&lt;0.01,"Loading added","CHECK")</f>
        <v>Loading added</v>
      </c>
      <c r="G55" s="31" t="n">
        <f aca="false">INDEX($B$4:$B$8,MATCH("Level "&amp;C55,$A$4:$A$8,0))</f>
        <v>29.45</v>
      </c>
      <c r="H55" s="28" t="str">
        <f aca="false">IF(D55&lt;G55-0.005,"BELOW AWARD","OK")</f>
        <v>OK</v>
      </c>
      <c r="I55" s="28" t="str">
        <f aca="false">IF(H55="BELOW AWARD","Underpaid. Raise EH rate to at least "&amp;TEXT(G55,"$0.00")&amp;" and back pay",IF(F55="CHECK","Loading not applied","OK"))</f>
        <v>OK</v>
      </c>
    </row>
    <row r="56" customFormat="false" ht="15" hidden="false" customHeight="true" outlineLevel="0" collapsed="false">
      <c r="A56" s="28" t="s">
        <v>343</v>
      </c>
      <c r="B56" s="28" t="s">
        <v>344</v>
      </c>
      <c r="C56" s="28" t="n">
        <v>6</v>
      </c>
      <c r="D56" s="31" t="n">
        <f aca="false">Register!G72</f>
        <v>36</v>
      </c>
      <c r="E56" s="28" t="s">
        <v>388</v>
      </c>
      <c r="F56" s="28" t="s">
        <v>389</v>
      </c>
      <c r="G56" s="31" t="n">
        <f aca="false">INDEX($B$4:$B$8,MATCH("Level "&amp;C56,$A$4:$A$8,0))</f>
        <v>31.3</v>
      </c>
      <c r="H56" s="28" t="str">
        <f aca="false">IF(D56&lt;G56-0.005,"BELOW AWARD","OK")</f>
        <v>OK</v>
      </c>
      <c r="I56" s="28" t="str">
        <f aca="false">IF(H56="BELOW AWARD","Underpaid. Raise EH rate to at least "&amp;TEXT(G56,"$0.00")&amp;" and back pay",IF(F56="CHECK","Loading not applied","OK"))</f>
        <v>OK</v>
      </c>
    </row>
    <row r="57" customFormat="false" ht="15" hidden="false" customHeight="true" outlineLevel="0" collapsed="false">
      <c r="A57" s="28" t="s">
        <v>346</v>
      </c>
      <c r="B57" s="28" t="s">
        <v>347</v>
      </c>
      <c r="C57" s="28" t="n">
        <v>5</v>
      </c>
      <c r="D57" s="31" t="n">
        <f aca="false">Register!G73</f>
        <v>30.4</v>
      </c>
      <c r="E57" s="28" t="s">
        <v>388</v>
      </c>
      <c r="F57" s="28" t="s">
        <v>389</v>
      </c>
      <c r="G57" s="31" t="n">
        <f aca="false">INDEX($B$4:$B$8,MATCH("Level "&amp;C57,$A$4:$A$8,0))</f>
        <v>30.37</v>
      </c>
      <c r="H57" s="28" t="str">
        <f aca="false">IF(D57&lt;G57-0.005,"BELOW AWARD","OK")</f>
        <v>OK</v>
      </c>
      <c r="I57" s="28" t="str">
        <f aca="false">IF(H57="BELOW AWARD","Underpaid. Raise EH rate to at least "&amp;TEXT(G57,"$0.00")&amp;" and back pay",IF(F57="CHECK","Loading not applied","OK"))</f>
        <v>OK</v>
      </c>
    </row>
    <row r="58" customFormat="false" ht="15" hidden="false" customHeight="true" outlineLevel="0" collapsed="false">
      <c r="A58" s="28" t="s">
        <v>366</v>
      </c>
      <c r="B58" s="28" t="s">
        <v>367</v>
      </c>
      <c r="C58" s="28" t="n">
        <v>4</v>
      </c>
      <c r="D58" s="31" t="n">
        <f aca="false">Register!G78</f>
        <v>30</v>
      </c>
      <c r="E58" s="29" t="n">
        <v>37.5</v>
      </c>
      <c r="F58" s="28" t="str">
        <f aca="false">IF(ABS(E58-D58*1.25)&lt;0.01,"Loading added","CHECK")</f>
        <v>Loading added</v>
      </c>
      <c r="G58" s="31" t="n">
        <f aca="false">INDEX($B$4:$B$8,MATCH("Level "&amp;C58,$A$4:$A$8,0))</f>
        <v>29.45</v>
      </c>
      <c r="H58" s="28" t="str">
        <f aca="false">IF(D58&lt;G58-0.005,"BELOW AWARD","OK")</f>
        <v>OK</v>
      </c>
      <c r="I58" s="28" t="str">
        <f aca="false">IF(H58="BELOW AWARD","Underpaid. Raise EH rate to at least "&amp;TEXT(G58,"$0.00")&amp;" and back pay",IF(F58="CHECK","Loading not applied","OK"))</f>
        <v>OK</v>
      </c>
    </row>
    <row r="59" customFormat="false" ht="15" hidden="false" customHeight="true" outlineLevel="0" collapsed="false">
      <c r="A59" s="28" t="s">
        <v>369</v>
      </c>
      <c r="B59" s="28" t="s">
        <v>370</v>
      </c>
      <c r="C59" s="28" t="n">
        <v>3</v>
      </c>
      <c r="D59" s="31" t="n">
        <f aca="false">Register!G79</f>
        <v>28.89</v>
      </c>
      <c r="E59" s="28" t="s">
        <v>388</v>
      </c>
      <c r="F59" s="28" t="s">
        <v>389</v>
      </c>
      <c r="G59" s="31" t="n">
        <f aca="false">INDEX($B$4:$B$8,MATCH("Level "&amp;C59,$A$4:$A$8,0))</f>
        <v>28.89</v>
      </c>
      <c r="H59" s="28" t="str">
        <f aca="false">IF(D59&lt;G59-0.005,"BELOW AWARD","OK")</f>
        <v>OK</v>
      </c>
      <c r="I59" s="28" t="str">
        <f aca="false">IF(H59="BELOW AWARD","Underpaid. Raise EH rate to at least "&amp;TEXT(G59,"$0.00")&amp;" and back pay",IF(F59="CHECK","Loading not applied","OK"))</f>
        <v>OK</v>
      </c>
    </row>
    <row r="60" customFormat="false" ht="15" hidden="false" customHeight="true" outlineLevel="0" collapsed="false">
      <c r="A60" s="28" t="s">
        <v>372</v>
      </c>
      <c r="B60" s="28" t="s">
        <v>373</v>
      </c>
      <c r="C60" s="28" t="n">
        <v>5</v>
      </c>
      <c r="D60" s="31" t="n">
        <f aca="false">Register!G80</f>
        <v>29</v>
      </c>
      <c r="E60" s="29" t="n">
        <v>36.25</v>
      </c>
      <c r="F60" s="28" t="str">
        <f aca="false">IF(ABS(E60-D60*1.25)&lt;0.01,"Loading added","CHECK")</f>
        <v>Loading added</v>
      </c>
      <c r="G60" s="31" t="n">
        <f aca="false">INDEX($B$4:$B$8,MATCH("Level "&amp;C60,$A$4:$A$8,0))</f>
        <v>30.37</v>
      </c>
      <c r="H60" s="28" t="str">
        <f aca="false">IF(D60&lt;G60-0.005,"BELOW AWARD","OK")</f>
        <v>BELOW AWARD</v>
      </c>
      <c r="I60" s="28" t="str">
        <f aca="false">IF(H60="BELOW AWARD","Underpaid. Raise EH rate to at least "&amp;TEXT(G60,"$0.00")&amp;" and back pay",IF(F60="CHECK","Loading not applied","OK"))</f>
        <v>Underpaid. Raise EH rate to at least $30.37 and back pay</v>
      </c>
    </row>
    <row r="62" customFormat="false" ht="15" hidden="false" customHeight="true" outlineLevel="0" collapsed="false">
      <c r="A62" s="27" t="s">
        <v>391</v>
      </c>
      <c r="D62" s="28" t="n">
        <f aca="false">COUNTIF(F11:F60,"Loading added")+COUNTIF(F11:F60,"CHECK")</f>
        <v>19</v>
      </c>
    </row>
    <row r="63" customFormat="false" ht="15" hidden="false" customHeight="true" outlineLevel="0" collapsed="false">
      <c r="A63" s="27" t="s">
        <v>392</v>
      </c>
      <c r="D63" s="28" t="n">
        <f aca="false">COUNTIF(F11:F60,"Loading added")</f>
        <v>19</v>
      </c>
    </row>
    <row r="64" customFormat="false" ht="15" hidden="false" customHeight="true" outlineLevel="0" collapsed="false">
      <c r="A64" s="27" t="s">
        <v>393</v>
      </c>
      <c r="D64" s="28" t="n">
        <f aca="false">COUNTIF(H11:H60,"BELOW AWARD")</f>
        <v>4</v>
      </c>
    </row>
  </sheetData>
  <autoFilter ref="A10:I60"/>
  <conditionalFormatting sqref="A11:I60">
    <cfRule type="expression" priority="2" aboveAverage="0" equalAverage="0" bottom="0" percent="0" rank="0" text="" dxfId="10">
      <formula>$H11="BELOW AWARD"</formula>
    </cfRule>
    <cfRule type="expression" priority="3" aboveAverage="0" equalAverage="0" bottom="0" percent="0" rank="0" text="" dxfId="10">
      <formula>$F11="CHECK"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8" t="s">
        <v>47</v>
      </c>
      <c r="B1" s="28" t="s">
        <v>48</v>
      </c>
      <c r="C1" s="28" t="s">
        <v>49</v>
      </c>
      <c r="D1" s="28" t="s">
        <v>50</v>
      </c>
      <c r="E1" s="28" t="s">
        <v>51</v>
      </c>
      <c r="F1" s="28" t="s">
        <v>52</v>
      </c>
      <c r="G1" s="28" t="s">
        <v>394</v>
      </c>
      <c r="H1" s="28" t="s">
        <v>395</v>
      </c>
      <c r="I1" s="28" t="s">
        <v>54</v>
      </c>
      <c r="J1" s="28" t="s">
        <v>55</v>
      </c>
      <c r="K1" s="28" t="s">
        <v>56</v>
      </c>
      <c r="L1" s="28" t="s">
        <v>57</v>
      </c>
      <c r="M1" s="28" t="s">
        <v>58</v>
      </c>
      <c r="N1" s="32" t="s">
        <v>396</v>
      </c>
    </row>
    <row r="2" customFormat="false" ht="15" hidden="false" customHeight="true" outlineLevel="0" collapsed="false">
      <c r="A2" s="28" t="s">
        <v>74</v>
      </c>
      <c r="B2" s="28" t="s">
        <v>75</v>
      </c>
      <c r="C2" s="28" t="s">
        <v>76</v>
      </c>
      <c r="D2" s="28" t="s">
        <v>77</v>
      </c>
      <c r="E2" s="28" t="s">
        <v>78</v>
      </c>
      <c r="F2" s="28" t="s">
        <v>79</v>
      </c>
      <c r="G2" s="28" t="s">
        <v>397</v>
      </c>
      <c r="H2" s="28" t="s">
        <v>398</v>
      </c>
      <c r="I2" s="28" t="s">
        <v>80</v>
      </c>
      <c r="J2" s="33" t="n">
        <v>44453</v>
      </c>
      <c r="K2" s="28" t="s">
        <v>81</v>
      </c>
      <c r="L2" s="28" t="s">
        <v>82</v>
      </c>
      <c r="M2" s="28" t="s">
        <v>83</v>
      </c>
      <c r="N2" s="6" t="s">
        <v>399</v>
      </c>
    </row>
    <row r="3" customFormat="false" ht="15" hidden="false" customHeight="true" outlineLevel="0" collapsed="false">
      <c r="A3" s="28" t="s">
        <v>86</v>
      </c>
      <c r="B3" s="28" t="s">
        <v>87</v>
      </c>
      <c r="C3" s="28" t="s">
        <v>76</v>
      </c>
      <c r="D3" s="28" t="s">
        <v>88</v>
      </c>
      <c r="E3" s="28" t="s">
        <v>89</v>
      </c>
      <c r="F3" s="28" t="s">
        <v>79</v>
      </c>
      <c r="G3" s="28" t="s">
        <v>400</v>
      </c>
      <c r="H3" s="28" t="s">
        <v>401</v>
      </c>
      <c r="I3" s="28" t="s">
        <v>80</v>
      </c>
      <c r="J3" s="33" t="n">
        <v>43696</v>
      </c>
      <c r="K3" s="28" t="s">
        <v>90</v>
      </c>
      <c r="L3" s="28" t="s">
        <v>91</v>
      </c>
      <c r="M3" s="28" t="s">
        <v>92</v>
      </c>
      <c r="N3" s="6" t="s">
        <v>399</v>
      </c>
    </row>
    <row r="4" customFormat="false" ht="15" hidden="false" customHeight="true" outlineLevel="0" collapsed="false">
      <c r="A4" s="28" t="s">
        <v>94</v>
      </c>
      <c r="B4" s="28" t="s">
        <v>95</v>
      </c>
      <c r="C4" s="28" t="s">
        <v>96</v>
      </c>
      <c r="D4" s="28" t="s">
        <v>77</v>
      </c>
      <c r="E4" s="28" t="s">
        <v>97</v>
      </c>
      <c r="F4" s="28" t="s">
        <v>98</v>
      </c>
      <c r="G4" s="28" t="s">
        <v>402</v>
      </c>
      <c r="H4" s="28" t="s">
        <v>403</v>
      </c>
      <c r="I4" s="28" t="s">
        <v>80</v>
      </c>
      <c r="J4" s="33" t="n">
        <v>45803</v>
      </c>
      <c r="K4" s="28" t="s">
        <v>99</v>
      </c>
      <c r="L4" s="28" t="s">
        <v>91</v>
      </c>
      <c r="M4" s="28" t="s">
        <v>92</v>
      </c>
      <c r="N4" s="6" t="s">
        <v>399</v>
      </c>
    </row>
    <row r="5" customFormat="false" ht="15" hidden="false" customHeight="true" outlineLevel="0" collapsed="false">
      <c r="A5" s="28" t="s">
        <v>102</v>
      </c>
      <c r="B5" s="28" t="s">
        <v>103</v>
      </c>
      <c r="C5" s="28" t="s">
        <v>76</v>
      </c>
      <c r="D5" s="28" t="s">
        <v>88</v>
      </c>
      <c r="E5" s="28" t="s">
        <v>89</v>
      </c>
      <c r="F5" s="28" t="s">
        <v>79</v>
      </c>
      <c r="G5" s="28" t="s">
        <v>404</v>
      </c>
      <c r="H5" s="28" t="s">
        <v>405</v>
      </c>
      <c r="I5" s="28" t="s">
        <v>80</v>
      </c>
      <c r="J5" s="33" t="n">
        <v>44858</v>
      </c>
      <c r="K5" s="28" t="s">
        <v>104</v>
      </c>
      <c r="L5" s="28" t="s">
        <v>91</v>
      </c>
      <c r="M5" s="28" t="s">
        <v>92</v>
      </c>
      <c r="N5" s="6" t="s">
        <v>399</v>
      </c>
    </row>
    <row r="6" customFormat="false" ht="15" hidden="false" customHeight="true" outlineLevel="0" collapsed="false">
      <c r="A6" s="28" t="s">
        <v>105</v>
      </c>
      <c r="B6" s="28" t="s">
        <v>106</v>
      </c>
      <c r="C6" s="28" t="s">
        <v>76</v>
      </c>
      <c r="D6" s="28" t="s">
        <v>77</v>
      </c>
      <c r="E6" s="28" t="s">
        <v>78</v>
      </c>
      <c r="F6" s="28" t="s">
        <v>79</v>
      </c>
      <c r="G6" s="28" t="s">
        <v>406</v>
      </c>
      <c r="H6" s="28" t="s">
        <v>407</v>
      </c>
      <c r="I6" s="28" t="s">
        <v>80</v>
      </c>
      <c r="J6" s="33" t="n">
        <v>46055</v>
      </c>
      <c r="K6" s="28" t="s">
        <v>99</v>
      </c>
      <c r="L6" s="28" t="s">
        <v>91</v>
      </c>
      <c r="M6" s="28" t="s">
        <v>92</v>
      </c>
      <c r="N6" s="6" t="s">
        <v>399</v>
      </c>
    </row>
    <row r="7" customFormat="false" ht="15" hidden="false" customHeight="true" outlineLevel="0" collapsed="false">
      <c r="A7" s="28" t="s">
        <v>107</v>
      </c>
      <c r="B7" s="28" t="s">
        <v>108</v>
      </c>
      <c r="C7" s="28" t="s">
        <v>76</v>
      </c>
      <c r="D7" s="28" t="s">
        <v>109</v>
      </c>
      <c r="E7" s="28" t="s">
        <v>110</v>
      </c>
      <c r="F7" s="28" t="s">
        <v>79</v>
      </c>
      <c r="G7" s="28" t="s">
        <v>408</v>
      </c>
      <c r="H7" s="28" t="s">
        <v>409</v>
      </c>
      <c r="I7" s="28" t="s">
        <v>80</v>
      </c>
      <c r="J7" s="33" t="n">
        <v>45747</v>
      </c>
      <c r="K7" s="28" t="s">
        <v>81</v>
      </c>
      <c r="L7" s="28" t="s">
        <v>111</v>
      </c>
      <c r="M7" s="28" t="s">
        <v>112</v>
      </c>
      <c r="N7" s="6" t="s">
        <v>399</v>
      </c>
    </row>
    <row r="8" customFormat="false" ht="15" hidden="false" customHeight="true" outlineLevel="0" collapsed="false">
      <c r="A8" s="28" t="s">
        <v>114</v>
      </c>
      <c r="B8" s="28" t="s">
        <v>115</v>
      </c>
      <c r="C8" s="28" t="s">
        <v>76</v>
      </c>
      <c r="D8" s="28" t="s">
        <v>88</v>
      </c>
      <c r="E8" s="28" t="s">
        <v>89</v>
      </c>
      <c r="F8" s="28" t="s">
        <v>79</v>
      </c>
      <c r="G8" s="28" t="s">
        <v>410</v>
      </c>
      <c r="H8" s="28" t="s">
        <v>411</v>
      </c>
      <c r="I8" s="28" t="s">
        <v>80</v>
      </c>
      <c r="J8" s="33" t="n">
        <v>46055</v>
      </c>
      <c r="K8" s="28" t="s">
        <v>81</v>
      </c>
      <c r="L8" s="28" t="s">
        <v>91</v>
      </c>
      <c r="M8" s="28" t="s">
        <v>92</v>
      </c>
      <c r="N8" s="6" t="s">
        <v>399</v>
      </c>
    </row>
    <row r="9" customFormat="false" ht="15" hidden="false" customHeight="true" outlineLevel="0" collapsed="false">
      <c r="A9" s="28" t="s">
        <v>116</v>
      </c>
      <c r="B9" s="28" t="s">
        <v>117</v>
      </c>
      <c r="C9" s="28" t="s">
        <v>118</v>
      </c>
      <c r="D9" s="28" t="s">
        <v>77</v>
      </c>
      <c r="E9" s="28" t="s">
        <v>97</v>
      </c>
      <c r="F9" s="28" t="s">
        <v>98</v>
      </c>
      <c r="G9" s="28" t="s">
        <v>412</v>
      </c>
      <c r="H9" s="28" t="s">
        <v>413</v>
      </c>
      <c r="I9" s="28" t="s">
        <v>80</v>
      </c>
      <c r="J9" s="33" t="n">
        <v>44971</v>
      </c>
      <c r="K9" s="28" t="s">
        <v>119</v>
      </c>
      <c r="L9" s="28" t="s">
        <v>91</v>
      </c>
      <c r="M9" s="28" t="s">
        <v>120</v>
      </c>
      <c r="N9" s="6" t="s">
        <v>399</v>
      </c>
    </row>
    <row r="10" customFormat="false" ht="15" hidden="false" customHeight="true" outlineLevel="0" collapsed="false">
      <c r="A10" s="28" t="s">
        <v>121</v>
      </c>
      <c r="B10" s="28" t="s">
        <v>122</v>
      </c>
      <c r="C10" s="28" t="s">
        <v>76</v>
      </c>
      <c r="D10" s="28" t="s">
        <v>109</v>
      </c>
      <c r="E10" s="28" t="s">
        <v>110</v>
      </c>
      <c r="F10" s="28" t="s">
        <v>79</v>
      </c>
      <c r="G10" s="28" t="s">
        <v>408</v>
      </c>
      <c r="H10" s="28" t="s">
        <v>409</v>
      </c>
      <c r="I10" s="28" t="s">
        <v>80</v>
      </c>
      <c r="J10" s="33" t="n">
        <v>45924</v>
      </c>
      <c r="K10" s="28" t="s">
        <v>81</v>
      </c>
      <c r="L10" s="28" t="s">
        <v>123</v>
      </c>
      <c r="M10" s="28" t="s">
        <v>124</v>
      </c>
      <c r="N10" s="6" t="s">
        <v>399</v>
      </c>
    </row>
    <row r="11" customFormat="false" ht="15" hidden="false" customHeight="true" outlineLevel="0" collapsed="false">
      <c r="A11" s="28" t="s">
        <v>125</v>
      </c>
      <c r="B11" s="28" t="s">
        <v>126</v>
      </c>
      <c r="C11" s="28" t="s">
        <v>118</v>
      </c>
      <c r="D11" s="28" t="s">
        <v>77</v>
      </c>
      <c r="E11" s="28" t="s">
        <v>97</v>
      </c>
      <c r="F11" s="28" t="s">
        <v>98</v>
      </c>
      <c r="G11" s="28" t="s">
        <v>414</v>
      </c>
      <c r="H11" s="28" t="s">
        <v>415</v>
      </c>
      <c r="I11" s="28" t="s">
        <v>80</v>
      </c>
      <c r="J11" s="33" t="n">
        <v>44742</v>
      </c>
      <c r="K11" s="28" t="s">
        <v>127</v>
      </c>
      <c r="L11" s="28" t="s">
        <v>111</v>
      </c>
      <c r="M11" s="28" t="s">
        <v>128</v>
      </c>
      <c r="N11" s="6" t="s">
        <v>399</v>
      </c>
    </row>
    <row r="12" customFormat="false" ht="15" hidden="false" customHeight="true" outlineLevel="0" collapsed="false">
      <c r="A12" s="28" t="s">
        <v>129</v>
      </c>
      <c r="B12" s="28" t="s">
        <v>130</v>
      </c>
      <c r="C12" s="28" t="s">
        <v>76</v>
      </c>
      <c r="D12" s="28" t="s">
        <v>109</v>
      </c>
      <c r="E12" s="28" t="s">
        <v>110</v>
      </c>
      <c r="F12" s="28" t="s">
        <v>79</v>
      </c>
      <c r="G12" s="28" t="s">
        <v>408</v>
      </c>
      <c r="H12" s="28" t="s">
        <v>409</v>
      </c>
      <c r="I12" s="28" t="s">
        <v>80</v>
      </c>
      <c r="J12" s="33" t="n">
        <v>45202</v>
      </c>
      <c r="K12" s="28" t="s">
        <v>81</v>
      </c>
      <c r="L12" s="28" t="s">
        <v>91</v>
      </c>
      <c r="M12" s="28" t="s">
        <v>92</v>
      </c>
      <c r="N12" s="6" t="s">
        <v>399</v>
      </c>
    </row>
    <row r="13" customFormat="false" ht="15" hidden="false" customHeight="true" outlineLevel="0" collapsed="false">
      <c r="A13" s="28" t="s">
        <v>131</v>
      </c>
      <c r="B13" s="28" t="s">
        <v>132</v>
      </c>
      <c r="C13" s="28" t="s">
        <v>76</v>
      </c>
      <c r="D13" s="28" t="s">
        <v>77</v>
      </c>
      <c r="E13" s="28" t="s">
        <v>78</v>
      </c>
      <c r="F13" s="28" t="s">
        <v>79</v>
      </c>
      <c r="G13" s="28" t="s">
        <v>416</v>
      </c>
      <c r="H13" s="28" t="s">
        <v>417</v>
      </c>
      <c r="I13" s="28" t="s">
        <v>80</v>
      </c>
      <c r="J13" s="33" t="n">
        <v>46230</v>
      </c>
      <c r="K13" s="28" t="s">
        <v>81</v>
      </c>
      <c r="L13" s="28" t="s">
        <v>133</v>
      </c>
      <c r="M13" s="28" t="s">
        <v>92</v>
      </c>
      <c r="N13" s="6" t="s">
        <v>399</v>
      </c>
    </row>
    <row r="14" customFormat="false" ht="15" hidden="false" customHeight="true" outlineLevel="0" collapsed="false">
      <c r="A14" s="28" t="s">
        <v>136</v>
      </c>
      <c r="B14" s="28" t="s">
        <v>137</v>
      </c>
      <c r="C14" s="28" t="s">
        <v>118</v>
      </c>
      <c r="D14" s="28" t="s">
        <v>109</v>
      </c>
      <c r="E14" s="28" t="s">
        <v>138</v>
      </c>
      <c r="F14" s="28" t="s">
        <v>98</v>
      </c>
      <c r="G14" s="28" t="s">
        <v>418</v>
      </c>
      <c r="H14" s="28" t="s">
        <v>419</v>
      </c>
      <c r="I14" s="28" t="s">
        <v>80</v>
      </c>
      <c r="J14" s="33" t="n">
        <v>45586</v>
      </c>
      <c r="K14" s="28" t="s">
        <v>139</v>
      </c>
      <c r="L14" s="28" t="s">
        <v>140</v>
      </c>
      <c r="M14" s="28" t="s">
        <v>120</v>
      </c>
      <c r="N14" s="6" t="s">
        <v>399</v>
      </c>
    </row>
    <row r="15" customFormat="false" ht="15" hidden="false" customHeight="true" outlineLevel="0" collapsed="false">
      <c r="A15" s="28" t="s">
        <v>141</v>
      </c>
      <c r="B15" s="28" t="s">
        <v>142</v>
      </c>
      <c r="C15" s="28" t="s">
        <v>76</v>
      </c>
      <c r="D15" s="28" t="s">
        <v>77</v>
      </c>
      <c r="E15" s="28" t="s">
        <v>78</v>
      </c>
      <c r="F15" s="28" t="s">
        <v>79</v>
      </c>
      <c r="G15" s="28" t="s">
        <v>420</v>
      </c>
      <c r="H15" s="28" t="s">
        <v>421</v>
      </c>
      <c r="I15" s="28" t="s">
        <v>80</v>
      </c>
      <c r="J15" s="33" t="n">
        <v>46307</v>
      </c>
      <c r="K15" s="28" t="s">
        <v>99</v>
      </c>
      <c r="L15" s="28" t="s">
        <v>91</v>
      </c>
      <c r="M15" s="28" t="s">
        <v>92</v>
      </c>
      <c r="N15" s="6" t="s">
        <v>399</v>
      </c>
    </row>
    <row r="16" customFormat="false" ht="15" hidden="false" customHeight="true" outlineLevel="0" collapsed="false">
      <c r="A16" s="28" t="s">
        <v>143</v>
      </c>
      <c r="B16" s="28" t="s">
        <v>144</v>
      </c>
      <c r="C16" s="28" t="s">
        <v>76</v>
      </c>
      <c r="D16" s="28" t="s">
        <v>88</v>
      </c>
      <c r="E16" s="28" t="s">
        <v>89</v>
      </c>
      <c r="F16" s="28" t="s">
        <v>79</v>
      </c>
      <c r="G16" s="28" t="s">
        <v>422</v>
      </c>
      <c r="H16" s="28" t="s">
        <v>423</v>
      </c>
      <c r="I16" s="28" t="s">
        <v>80</v>
      </c>
      <c r="J16" s="33" t="n">
        <v>46307</v>
      </c>
      <c r="K16" s="28" t="s">
        <v>145</v>
      </c>
      <c r="L16" s="28" t="s">
        <v>91</v>
      </c>
      <c r="M16" s="28" t="s">
        <v>146</v>
      </c>
      <c r="N16" s="6" t="s">
        <v>399</v>
      </c>
    </row>
    <row r="17" customFormat="false" ht="15" hidden="false" customHeight="true" outlineLevel="0" collapsed="false">
      <c r="A17" s="28" t="s">
        <v>149</v>
      </c>
      <c r="B17" s="28" t="s">
        <v>150</v>
      </c>
      <c r="C17" s="28" t="s">
        <v>76</v>
      </c>
      <c r="D17" s="28" t="s">
        <v>88</v>
      </c>
      <c r="E17" s="28" t="s">
        <v>151</v>
      </c>
      <c r="F17" s="28" t="s">
        <v>98</v>
      </c>
      <c r="G17" s="28" t="s">
        <v>424</v>
      </c>
      <c r="H17" s="28" t="s">
        <v>425</v>
      </c>
      <c r="I17" s="28" t="s">
        <v>80</v>
      </c>
      <c r="J17" s="33" t="n">
        <v>45250</v>
      </c>
      <c r="K17" s="28" t="s">
        <v>139</v>
      </c>
      <c r="L17" s="28" t="s">
        <v>91</v>
      </c>
      <c r="M17" s="28" t="s">
        <v>92</v>
      </c>
      <c r="N17" s="6" t="s">
        <v>399</v>
      </c>
    </row>
    <row r="18" customFormat="false" ht="15" hidden="false" customHeight="true" outlineLevel="0" collapsed="false">
      <c r="A18" s="28" t="s">
        <v>153</v>
      </c>
      <c r="B18" s="28" t="s">
        <v>154</v>
      </c>
      <c r="C18" s="28" t="s">
        <v>118</v>
      </c>
      <c r="D18" s="28"/>
      <c r="E18" s="28" t="s">
        <v>155</v>
      </c>
      <c r="F18" s="28" t="s">
        <v>98</v>
      </c>
      <c r="G18" s="28" t="s">
        <v>426</v>
      </c>
      <c r="H18" s="28" t="s">
        <v>427</v>
      </c>
      <c r="I18" s="28" t="s">
        <v>80</v>
      </c>
      <c r="J18" s="33" t="n">
        <v>46253</v>
      </c>
      <c r="K18" s="28" t="s">
        <v>156</v>
      </c>
      <c r="L18" s="28" t="s">
        <v>157</v>
      </c>
      <c r="M18" s="28" t="s">
        <v>120</v>
      </c>
      <c r="N18" s="6" t="s">
        <v>428</v>
      </c>
    </row>
    <row r="19" customFormat="false" ht="15" hidden="false" customHeight="true" outlineLevel="0" collapsed="false">
      <c r="A19" s="28" t="s">
        <v>161</v>
      </c>
      <c r="B19" s="28" t="s">
        <v>162</v>
      </c>
      <c r="C19" s="28" t="s">
        <v>118</v>
      </c>
      <c r="D19" s="28" t="s">
        <v>88</v>
      </c>
      <c r="E19" s="28" t="s">
        <v>151</v>
      </c>
      <c r="F19" s="28" t="s">
        <v>98</v>
      </c>
      <c r="G19" s="28" t="s">
        <v>429</v>
      </c>
      <c r="H19" s="28" t="s">
        <v>430</v>
      </c>
      <c r="I19" s="28" t="s">
        <v>80</v>
      </c>
      <c r="J19" s="33" t="n">
        <v>41484</v>
      </c>
      <c r="K19" s="28" t="s">
        <v>163</v>
      </c>
      <c r="L19" s="28" t="s">
        <v>164</v>
      </c>
      <c r="M19" s="28" t="s">
        <v>120</v>
      </c>
      <c r="N19" s="6" t="s">
        <v>399</v>
      </c>
    </row>
    <row r="20" customFormat="false" ht="15" hidden="false" customHeight="true" outlineLevel="0" collapsed="false">
      <c r="A20" s="28" t="s">
        <v>168</v>
      </c>
      <c r="B20" s="28" t="s">
        <v>169</v>
      </c>
      <c r="C20" s="28" t="s">
        <v>118</v>
      </c>
      <c r="D20" s="28" t="s">
        <v>88</v>
      </c>
      <c r="E20" s="28" t="s">
        <v>151</v>
      </c>
      <c r="F20" s="28" t="s">
        <v>98</v>
      </c>
      <c r="G20" s="28" t="s">
        <v>431</v>
      </c>
      <c r="H20" s="28" t="s">
        <v>432</v>
      </c>
      <c r="I20" s="28" t="s">
        <v>80</v>
      </c>
      <c r="J20" s="33" t="n">
        <v>44312</v>
      </c>
      <c r="K20" s="28" t="s">
        <v>170</v>
      </c>
      <c r="L20" s="28" t="s">
        <v>171</v>
      </c>
      <c r="M20" s="28" t="s">
        <v>120</v>
      </c>
      <c r="N20" s="6" t="s">
        <v>399</v>
      </c>
    </row>
    <row r="21" customFormat="false" ht="15" hidden="false" customHeight="true" outlineLevel="0" collapsed="false">
      <c r="A21" s="28" t="s">
        <v>172</v>
      </c>
      <c r="B21" s="28" t="s">
        <v>173</v>
      </c>
      <c r="C21" s="28" t="s">
        <v>76</v>
      </c>
      <c r="D21" s="28" t="s">
        <v>109</v>
      </c>
      <c r="E21" s="28" t="s">
        <v>110</v>
      </c>
      <c r="F21" s="28" t="s">
        <v>79</v>
      </c>
      <c r="G21" s="28" t="s">
        <v>408</v>
      </c>
      <c r="H21" s="28" t="s">
        <v>409</v>
      </c>
      <c r="I21" s="28" t="s">
        <v>80</v>
      </c>
      <c r="J21" s="33" t="n">
        <v>45943</v>
      </c>
      <c r="K21" s="28" t="s">
        <v>81</v>
      </c>
      <c r="L21" s="28" t="s">
        <v>174</v>
      </c>
      <c r="M21" s="28" t="s">
        <v>124</v>
      </c>
      <c r="N21" s="6" t="s">
        <v>399</v>
      </c>
    </row>
    <row r="22" customFormat="false" ht="15" hidden="false" customHeight="true" outlineLevel="0" collapsed="false">
      <c r="A22" s="28" t="s">
        <v>175</v>
      </c>
      <c r="B22" s="28" t="s">
        <v>176</v>
      </c>
      <c r="C22" s="28" t="s">
        <v>76</v>
      </c>
      <c r="D22" s="28" t="s">
        <v>109</v>
      </c>
      <c r="E22" s="28" t="s">
        <v>110</v>
      </c>
      <c r="F22" s="28" t="s">
        <v>79</v>
      </c>
      <c r="G22" s="28" t="s">
        <v>408</v>
      </c>
      <c r="H22" s="28" t="s">
        <v>409</v>
      </c>
      <c r="I22" s="28" t="s">
        <v>80</v>
      </c>
      <c r="J22" s="33" t="n">
        <v>46114</v>
      </c>
      <c r="K22" s="28" t="s">
        <v>81</v>
      </c>
      <c r="L22" s="28" t="s">
        <v>91</v>
      </c>
      <c r="M22" s="28" t="s">
        <v>155</v>
      </c>
      <c r="N22" s="6" t="s">
        <v>399</v>
      </c>
    </row>
    <row r="23" customFormat="false" ht="15" hidden="false" customHeight="true" outlineLevel="0" collapsed="false">
      <c r="A23" s="28" t="s">
        <v>178</v>
      </c>
      <c r="B23" s="28" t="s">
        <v>179</v>
      </c>
      <c r="C23" s="28" t="s">
        <v>118</v>
      </c>
      <c r="D23" s="28"/>
      <c r="E23" s="28" t="s">
        <v>155</v>
      </c>
      <c r="F23" s="28" t="s">
        <v>98</v>
      </c>
      <c r="G23" s="28" t="s">
        <v>433</v>
      </c>
      <c r="H23" s="28" t="s">
        <v>434</v>
      </c>
      <c r="I23" s="28" t="s">
        <v>80</v>
      </c>
      <c r="J23" s="33" t="n">
        <v>39006</v>
      </c>
      <c r="K23" s="28" t="s">
        <v>180</v>
      </c>
      <c r="L23" s="28" t="s">
        <v>157</v>
      </c>
      <c r="M23" s="28" t="s">
        <v>181</v>
      </c>
      <c r="N23" s="6" t="s">
        <v>428</v>
      </c>
    </row>
    <row r="24" customFormat="false" ht="15" hidden="false" customHeight="true" outlineLevel="0" collapsed="false">
      <c r="A24" s="28" t="s">
        <v>183</v>
      </c>
      <c r="B24" s="28" t="s">
        <v>184</v>
      </c>
      <c r="C24" s="28" t="s">
        <v>76</v>
      </c>
      <c r="D24" s="28" t="s">
        <v>109</v>
      </c>
      <c r="E24" s="28" t="s">
        <v>110</v>
      </c>
      <c r="F24" s="28" t="s">
        <v>79</v>
      </c>
      <c r="G24" s="28" t="s">
        <v>408</v>
      </c>
      <c r="H24" s="28" t="s">
        <v>409</v>
      </c>
      <c r="I24" s="28" t="s">
        <v>80</v>
      </c>
      <c r="J24" s="33" t="n">
        <v>45971</v>
      </c>
      <c r="K24" s="28" t="s">
        <v>81</v>
      </c>
      <c r="L24" s="28" t="s">
        <v>174</v>
      </c>
      <c r="M24" s="28" t="s">
        <v>124</v>
      </c>
      <c r="N24" s="6" t="s">
        <v>399</v>
      </c>
    </row>
    <row r="25" customFormat="false" ht="15" hidden="false" customHeight="true" outlineLevel="0" collapsed="false">
      <c r="A25" s="28" t="s">
        <v>185</v>
      </c>
      <c r="B25" s="28" t="s">
        <v>186</v>
      </c>
      <c r="C25" s="28" t="s">
        <v>76</v>
      </c>
      <c r="D25" s="28" t="s">
        <v>109</v>
      </c>
      <c r="E25" s="28" t="s">
        <v>110</v>
      </c>
      <c r="F25" s="28" t="s">
        <v>79</v>
      </c>
      <c r="G25" s="28" t="s">
        <v>408</v>
      </c>
      <c r="H25" s="28" t="s">
        <v>409</v>
      </c>
      <c r="I25" s="28" t="s">
        <v>80</v>
      </c>
      <c r="J25" s="33" t="n">
        <v>45551</v>
      </c>
      <c r="K25" s="28" t="s">
        <v>81</v>
      </c>
      <c r="L25" s="28" t="s">
        <v>174</v>
      </c>
      <c r="M25" s="28" t="s">
        <v>124</v>
      </c>
      <c r="N25" s="6" t="s">
        <v>399</v>
      </c>
    </row>
    <row r="26" customFormat="false" ht="15" hidden="false" customHeight="true" outlineLevel="0" collapsed="false">
      <c r="A26" s="28" t="s">
        <v>187</v>
      </c>
      <c r="B26" s="28" t="s">
        <v>188</v>
      </c>
      <c r="C26" s="28" t="s">
        <v>76</v>
      </c>
      <c r="D26" s="28" t="s">
        <v>77</v>
      </c>
      <c r="E26" s="28" t="s">
        <v>78</v>
      </c>
      <c r="F26" s="28" t="s">
        <v>79</v>
      </c>
      <c r="G26" s="28" t="s">
        <v>435</v>
      </c>
      <c r="H26" s="28" t="s">
        <v>436</v>
      </c>
      <c r="I26" s="28" t="s">
        <v>80</v>
      </c>
      <c r="J26" s="33" t="n">
        <v>46286</v>
      </c>
      <c r="K26" s="28" t="s">
        <v>99</v>
      </c>
      <c r="L26" s="28" t="s">
        <v>91</v>
      </c>
      <c r="M26" s="28" t="s">
        <v>92</v>
      </c>
      <c r="N26" s="6" t="s">
        <v>399</v>
      </c>
    </row>
    <row r="27" customFormat="false" ht="15" hidden="false" customHeight="true" outlineLevel="0" collapsed="false">
      <c r="A27" s="28" t="s">
        <v>189</v>
      </c>
      <c r="B27" s="28" t="s">
        <v>190</v>
      </c>
      <c r="C27" s="28" t="s">
        <v>96</v>
      </c>
      <c r="D27" s="28" t="s">
        <v>191</v>
      </c>
      <c r="E27" s="28" t="s">
        <v>192</v>
      </c>
      <c r="F27" s="28" t="s">
        <v>98</v>
      </c>
      <c r="G27" s="28" t="s">
        <v>437</v>
      </c>
      <c r="H27" s="28" t="s">
        <v>438</v>
      </c>
      <c r="I27" s="28" t="s">
        <v>80</v>
      </c>
      <c r="J27" s="33" t="n">
        <v>45476</v>
      </c>
      <c r="K27" s="28" t="s">
        <v>193</v>
      </c>
      <c r="L27" s="28" t="s">
        <v>157</v>
      </c>
      <c r="M27" s="28" t="s">
        <v>120</v>
      </c>
      <c r="N27" s="6" t="s">
        <v>399</v>
      </c>
    </row>
    <row r="28" customFormat="false" ht="15" hidden="false" customHeight="true" outlineLevel="0" collapsed="false">
      <c r="A28" s="28" t="s">
        <v>197</v>
      </c>
      <c r="B28" s="28" t="s">
        <v>198</v>
      </c>
      <c r="C28" s="28" t="s">
        <v>76</v>
      </c>
      <c r="D28" s="28" t="s">
        <v>88</v>
      </c>
      <c r="E28" s="28" t="s">
        <v>89</v>
      </c>
      <c r="F28" s="28" t="s">
        <v>79</v>
      </c>
      <c r="G28" s="28" t="s">
        <v>439</v>
      </c>
      <c r="H28" s="28" t="s">
        <v>440</v>
      </c>
      <c r="I28" s="28" t="s">
        <v>80</v>
      </c>
      <c r="J28" s="33" t="n">
        <v>45740</v>
      </c>
      <c r="K28" s="28" t="s">
        <v>90</v>
      </c>
      <c r="L28" s="28" t="s">
        <v>199</v>
      </c>
      <c r="M28" s="28" t="s">
        <v>92</v>
      </c>
      <c r="N28" s="6" t="s">
        <v>399</v>
      </c>
    </row>
    <row r="29" customFormat="false" ht="15" hidden="false" customHeight="true" outlineLevel="0" collapsed="false">
      <c r="A29" s="28" t="s">
        <v>200</v>
      </c>
      <c r="B29" s="28" t="s">
        <v>201</v>
      </c>
      <c r="C29" s="28" t="s">
        <v>76</v>
      </c>
      <c r="D29" s="28" t="s">
        <v>109</v>
      </c>
      <c r="E29" s="28" t="s">
        <v>110</v>
      </c>
      <c r="F29" s="28" t="s">
        <v>79</v>
      </c>
      <c r="G29" s="28" t="s">
        <v>441</v>
      </c>
      <c r="H29" s="28" t="s">
        <v>442</v>
      </c>
      <c r="I29" s="28" t="s">
        <v>80</v>
      </c>
      <c r="J29" s="33" t="n">
        <v>46171</v>
      </c>
      <c r="K29" s="28" t="s">
        <v>81</v>
      </c>
      <c r="L29" s="28" t="s">
        <v>202</v>
      </c>
      <c r="M29" s="28" t="s">
        <v>203</v>
      </c>
      <c r="N29" s="6" t="s">
        <v>399</v>
      </c>
    </row>
    <row r="30" customFormat="false" ht="15" hidden="false" customHeight="true" outlineLevel="0" collapsed="false">
      <c r="A30" s="28" t="s">
        <v>205</v>
      </c>
      <c r="B30" s="28" t="s">
        <v>206</v>
      </c>
      <c r="C30" s="28" t="s">
        <v>76</v>
      </c>
      <c r="D30" s="28" t="s">
        <v>109</v>
      </c>
      <c r="E30" s="28" t="s">
        <v>110</v>
      </c>
      <c r="F30" s="28" t="s">
        <v>79</v>
      </c>
      <c r="G30" s="28" t="s">
        <v>408</v>
      </c>
      <c r="H30" s="28" t="s">
        <v>409</v>
      </c>
      <c r="I30" s="28" t="s">
        <v>80</v>
      </c>
      <c r="J30" s="33" t="n">
        <v>45698</v>
      </c>
      <c r="K30" s="28" t="s">
        <v>81</v>
      </c>
      <c r="L30" s="28" t="s">
        <v>91</v>
      </c>
      <c r="M30" s="28" t="s">
        <v>92</v>
      </c>
      <c r="N30" s="6" t="s">
        <v>399</v>
      </c>
    </row>
    <row r="31" customFormat="false" ht="15" hidden="false" customHeight="true" outlineLevel="0" collapsed="false">
      <c r="A31" s="28" t="s">
        <v>207</v>
      </c>
      <c r="B31" s="28" t="s">
        <v>208</v>
      </c>
      <c r="C31" s="28" t="s">
        <v>76</v>
      </c>
      <c r="D31" s="28" t="s">
        <v>77</v>
      </c>
      <c r="E31" s="28" t="s">
        <v>78</v>
      </c>
      <c r="F31" s="28" t="s">
        <v>79</v>
      </c>
      <c r="G31" s="28" t="s">
        <v>443</v>
      </c>
      <c r="H31" s="28" t="s">
        <v>444</v>
      </c>
      <c r="I31" s="28" t="s">
        <v>80</v>
      </c>
      <c r="J31" s="33" t="n">
        <v>46140</v>
      </c>
      <c r="K31" s="28" t="s">
        <v>81</v>
      </c>
      <c r="L31" s="28" t="s">
        <v>209</v>
      </c>
      <c r="M31" s="28" t="s">
        <v>124</v>
      </c>
      <c r="N31" s="6" t="s">
        <v>399</v>
      </c>
    </row>
    <row r="32" customFormat="false" ht="15" hidden="false" customHeight="true" outlineLevel="0" collapsed="false">
      <c r="A32" s="28" t="s">
        <v>210</v>
      </c>
      <c r="B32" s="28" t="s">
        <v>211</v>
      </c>
      <c r="C32" s="28" t="s">
        <v>76</v>
      </c>
      <c r="D32" s="28" t="s">
        <v>191</v>
      </c>
      <c r="E32" s="28" t="s">
        <v>212</v>
      </c>
      <c r="F32" s="28" t="s">
        <v>79</v>
      </c>
      <c r="G32" s="28" t="s">
        <v>408</v>
      </c>
      <c r="H32" s="28" t="s">
        <v>409</v>
      </c>
      <c r="I32" s="28" t="s">
        <v>80</v>
      </c>
      <c r="J32" s="33" t="n">
        <v>46258</v>
      </c>
      <c r="K32" s="28" t="s">
        <v>191</v>
      </c>
      <c r="L32" s="28" t="s">
        <v>91</v>
      </c>
      <c r="M32" s="28" t="s">
        <v>92</v>
      </c>
      <c r="N32" s="6" t="s">
        <v>399</v>
      </c>
    </row>
    <row r="33" customFormat="false" ht="15" hidden="false" customHeight="true" outlineLevel="0" collapsed="false">
      <c r="A33" s="28" t="s">
        <v>215</v>
      </c>
      <c r="B33" s="28" t="s">
        <v>216</v>
      </c>
      <c r="C33" s="28" t="s">
        <v>118</v>
      </c>
      <c r="D33" s="28"/>
      <c r="E33" s="28" t="s">
        <v>155</v>
      </c>
      <c r="F33" s="28" t="s">
        <v>98</v>
      </c>
      <c r="G33" s="28" t="s">
        <v>445</v>
      </c>
      <c r="H33" s="28" t="s">
        <v>446</v>
      </c>
      <c r="I33" s="28" t="s">
        <v>80</v>
      </c>
      <c r="J33" s="33" t="n">
        <v>45302</v>
      </c>
      <c r="K33" s="28" t="s">
        <v>156</v>
      </c>
      <c r="L33" s="28" t="s">
        <v>157</v>
      </c>
      <c r="M33" s="28" t="s">
        <v>181</v>
      </c>
      <c r="N33" s="6" t="s">
        <v>428</v>
      </c>
    </row>
    <row r="34" customFormat="false" ht="15" hidden="false" customHeight="true" outlineLevel="0" collapsed="false">
      <c r="A34" s="28" t="s">
        <v>218</v>
      </c>
      <c r="B34" s="28" t="s">
        <v>219</v>
      </c>
      <c r="C34" s="28" t="s">
        <v>118</v>
      </c>
      <c r="D34" s="28"/>
      <c r="E34" s="28" t="s">
        <v>155</v>
      </c>
      <c r="F34" s="28" t="s">
        <v>98</v>
      </c>
      <c r="G34" s="28" t="s">
        <v>447</v>
      </c>
      <c r="H34" s="28" t="s">
        <v>448</v>
      </c>
      <c r="I34" s="28" t="s">
        <v>80</v>
      </c>
      <c r="J34" s="33" t="n">
        <v>46041</v>
      </c>
      <c r="K34" s="28" t="s">
        <v>220</v>
      </c>
      <c r="L34" s="28" t="s">
        <v>157</v>
      </c>
      <c r="M34" s="28" t="s">
        <v>120</v>
      </c>
    </row>
    <row r="35" customFormat="false" ht="15" hidden="false" customHeight="true" outlineLevel="0" collapsed="false">
      <c r="A35" s="28" t="s">
        <v>222</v>
      </c>
      <c r="B35" s="28" t="s">
        <v>223</v>
      </c>
      <c r="C35" s="28" t="s">
        <v>118</v>
      </c>
      <c r="D35" s="28" t="s">
        <v>77</v>
      </c>
      <c r="E35" s="28" t="s">
        <v>97</v>
      </c>
      <c r="F35" s="28" t="s">
        <v>98</v>
      </c>
      <c r="G35" s="28" t="s">
        <v>449</v>
      </c>
      <c r="H35" s="28" t="s">
        <v>450</v>
      </c>
      <c r="I35" s="28" t="s">
        <v>80</v>
      </c>
      <c r="J35" s="33" t="n">
        <v>43725</v>
      </c>
      <c r="K35" s="28" t="s">
        <v>224</v>
      </c>
      <c r="L35" s="28" t="s">
        <v>174</v>
      </c>
      <c r="M35" s="28" t="s">
        <v>225</v>
      </c>
      <c r="N35" s="6" t="s">
        <v>399</v>
      </c>
    </row>
    <row r="36" customFormat="false" ht="15" hidden="false" customHeight="true" outlineLevel="0" collapsed="false">
      <c r="A36" s="28" t="s">
        <v>226</v>
      </c>
      <c r="B36" s="28" t="s">
        <v>227</v>
      </c>
      <c r="C36" s="28" t="s">
        <v>76</v>
      </c>
      <c r="D36" s="28" t="s">
        <v>77</v>
      </c>
      <c r="E36" s="28" t="s">
        <v>78</v>
      </c>
      <c r="F36" s="28" t="s">
        <v>79</v>
      </c>
      <c r="G36" s="28" t="s">
        <v>435</v>
      </c>
      <c r="H36" s="28" t="s">
        <v>436</v>
      </c>
      <c r="I36" s="28" t="s">
        <v>80</v>
      </c>
      <c r="J36" s="33" t="n">
        <v>43921</v>
      </c>
      <c r="K36" s="28" t="s">
        <v>228</v>
      </c>
      <c r="L36" s="28" t="s">
        <v>157</v>
      </c>
      <c r="M36" s="28" t="s">
        <v>92</v>
      </c>
      <c r="N36" s="6" t="s">
        <v>399</v>
      </c>
    </row>
    <row r="37" customFormat="false" ht="15" hidden="false" customHeight="true" outlineLevel="0" collapsed="false">
      <c r="A37" s="28" t="s">
        <v>231</v>
      </c>
      <c r="B37" s="28" t="s">
        <v>232</v>
      </c>
      <c r="C37" s="28" t="s">
        <v>118</v>
      </c>
      <c r="D37" s="28" t="s">
        <v>88</v>
      </c>
      <c r="E37" s="28" t="s">
        <v>151</v>
      </c>
      <c r="F37" s="28" t="s">
        <v>98</v>
      </c>
      <c r="G37" s="28" t="s">
        <v>451</v>
      </c>
      <c r="H37" s="28" t="s">
        <v>452</v>
      </c>
      <c r="I37" s="28" t="s">
        <v>80</v>
      </c>
      <c r="J37" s="33" t="n">
        <v>46062</v>
      </c>
      <c r="K37" s="28" t="s">
        <v>233</v>
      </c>
      <c r="L37" s="28" t="s">
        <v>91</v>
      </c>
      <c r="M37" s="28" t="s">
        <v>120</v>
      </c>
      <c r="N37" s="6" t="s">
        <v>399</v>
      </c>
    </row>
    <row r="38" customFormat="false" ht="15" hidden="false" customHeight="true" outlineLevel="0" collapsed="false">
      <c r="A38" s="28" t="s">
        <v>234</v>
      </c>
      <c r="B38" s="28" t="s">
        <v>235</v>
      </c>
      <c r="C38" s="28" t="s">
        <v>76</v>
      </c>
      <c r="D38" s="28" t="s">
        <v>88</v>
      </c>
      <c r="E38" s="28" t="s">
        <v>89</v>
      </c>
      <c r="F38" s="28" t="s">
        <v>79</v>
      </c>
      <c r="G38" s="28" t="s">
        <v>453</v>
      </c>
      <c r="H38" s="28" t="s">
        <v>454</v>
      </c>
      <c r="I38" s="28" t="s">
        <v>80</v>
      </c>
      <c r="J38" s="33" t="n">
        <v>45222</v>
      </c>
      <c r="K38" s="28" t="s">
        <v>236</v>
      </c>
      <c r="L38" s="28" t="s">
        <v>91</v>
      </c>
      <c r="M38" s="28" t="s">
        <v>92</v>
      </c>
      <c r="N38" s="6" t="s">
        <v>399</v>
      </c>
    </row>
    <row r="39" customFormat="false" ht="15" hidden="false" customHeight="true" outlineLevel="0" collapsed="false">
      <c r="A39" s="28" t="s">
        <v>237</v>
      </c>
      <c r="B39" s="28" t="s">
        <v>238</v>
      </c>
      <c r="C39" s="28" t="s">
        <v>76</v>
      </c>
      <c r="D39" s="28" t="s">
        <v>88</v>
      </c>
      <c r="E39" s="28" t="s">
        <v>89</v>
      </c>
      <c r="F39" s="28" t="s">
        <v>79</v>
      </c>
      <c r="G39" s="28" t="s">
        <v>406</v>
      </c>
      <c r="H39" s="28" t="s">
        <v>407</v>
      </c>
      <c r="I39" s="28" t="s">
        <v>80</v>
      </c>
      <c r="J39" s="33" t="n">
        <v>46146</v>
      </c>
      <c r="K39" s="28" t="s">
        <v>81</v>
      </c>
      <c r="L39" s="28" t="s">
        <v>91</v>
      </c>
      <c r="M39" s="28" t="s">
        <v>92</v>
      </c>
      <c r="N39" s="6" t="s">
        <v>399</v>
      </c>
    </row>
    <row r="40" customFormat="false" ht="15" hidden="false" customHeight="true" outlineLevel="0" collapsed="false">
      <c r="A40" s="28" t="s">
        <v>239</v>
      </c>
      <c r="B40" s="28" t="s">
        <v>240</v>
      </c>
      <c r="C40" s="28" t="s">
        <v>118</v>
      </c>
      <c r="D40" s="28" t="s">
        <v>109</v>
      </c>
      <c r="E40" s="28" t="s">
        <v>138</v>
      </c>
      <c r="F40" s="28" t="s">
        <v>98</v>
      </c>
      <c r="G40" s="28" t="s">
        <v>455</v>
      </c>
      <c r="H40" s="28" t="s">
        <v>456</v>
      </c>
      <c r="I40" s="28" t="s">
        <v>80</v>
      </c>
      <c r="J40" s="33" t="n">
        <v>45756</v>
      </c>
      <c r="K40" s="28" t="s">
        <v>139</v>
      </c>
      <c r="L40" s="28" t="s">
        <v>241</v>
      </c>
      <c r="M40" s="28" t="s">
        <v>242</v>
      </c>
      <c r="N40" s="6" t="s">
        <v>399</v>
      </c>
    </row>
    <row r="41" customFormat="false" ht="15" hidden="false" customHeight="true" outlineLevel="0" collapsed="false">
      <c r="A41" s="28" t="s">
        <v>243</v>
      </c>
      <c r="B41" s="28" t="s">
        <v>244</v>
      </c>
      <c r="C41" s="28" t="s">
        <v>76</v>
      </c>
      <c r="D41" s="28" t="s">
        <v>109</v>
      </c>
      <c r="E41" s="28" t="s">
        <v>110</v>
      </c>
      <c r="F41" s="28" t="s">
        <v>79</v>
      </c>
      <c r="G41" s="28" t="s">
        <v>457</v>
      </c>
      <c r="H41" s="28" t="s">
        <v>458</v>
      </c>
      <c r="I41" s="28" t="s">
        <v>80</v>
      </c>
      <c r="J41" s="33" t="n">
        <v>46261</v>
      </c>
      <c r="K41" s="28" t="s">
        <v>139</v>
      </c>
      <c r="L41" s="28" t="s">
        <v>91</v>
      </c>
      <c r="M41" s="28" t="s">
        <v>92</v>
      </c>
      <c r="N41" s="6" t="s">
        <v>399</v>
      </c>
    </row>
    <row r="42" customFormat="false" ht="15" hidden="false" customHeight="true" outlineLevel="0" collapsed="false">
      <c r="A42" s="28" t="s">
        <v>245</v>
      </c>
      <c r="B42" s="28" t="s">
        <v>246</v>
      </c>
      <c r="C42" s="28" t="s">
        <v>76</v>
      </c>
      <c r="D42" s="28" t="s">
        <v>109</v>
      </c>
      <c r="E42" s="28" t="s">
        <v>110</v>
      </c>
      <c r="F42" s="28" t="s">
        <v>79</v>
      </c>
      <c r="G42" s="28" t="s">
        <v>459</v>
      </c>
      <c r="H42" s="28" t="s">
        <v>460</v>
      </c>
      <c r="I42" s="28" t="s">
        <v>80</v>
      </c>
      <c r="J42" s="33" t="n">
        <v>45573</v>
      </c>
      <c r="K42" s="28" t="s">
        <v>81</v>
      </c>
      <c r="L42" s="28" t="s">
        <v>247</v>
      </c>
      <c r="M42" s="28" t="s">
        <v>112</v>
      </c>
      <c r="N42" s="6" t="s">
        <v>399</v>
      </c>
    </row>
    <row r="43" customFormat="false" ht="15" hidden="false" customHeight="true" outlineLevel="0" collapsed="false">
      <c r="A43" s="28" t="s">
        <v>249</v>
      </c>
      <c r="B43" s="28" t="s">
        <v>250</v>
      </c>
      <c r="C43" s="28" t="s">
        <v>76</v>
      </c>
      <c r="D43" s="28" t="s">
        <v>109</v>
      </c>
      <c r="E43" s="28" t="s">
        <v>110</v>
      </c>
      <c r="F43" s="28" t="s">
        <v>79</v>
      </c>
      <c r="G43" s="28" t="s">
        <v>408</v>
      </c>
      <c r="H43" s="28" t="s">
        <v>409</v>
      </c>
      <c r="I43" s="28" t="s">
        <v>80</v>
      </c>
      <c r="J43" s="33" t="n">
        <v>46062</v>
      </c>
      <c r="K43" s="28" t="s">
        <v>81</v>
      </c>
      <c r="L43" s="28" t="s">
        <v>91</v>
      </c>
      <c r="M43" s="28" t="s">
        <v>155</v>
      </c>
      <c r="N43" s="6" t="s">
        <v>399</v>
      </c>
    </row>
    <row r="44" customFormat="false" ht="15" hidden="false" customHeight="true" outlineLevel="0" collapsed="false">
      <c r="A44" s="28" t="s">
        <v>252</v>
      </c>
      <c r="B44" s="28" t="s">
        <v>253</v>
      </c>
      <c r="C44" s="28" t="s">
        <v>76</v>
      </c>
      <c r="D44" s="28" t="s">
        <v>88</v>
      </c>
      <c r="E44" s="28" t="s">
        <v>89</v>
      </c>
      <c r="F44" s="28" t="s">
        <v>79</v>
      </c>
      <c r="G44" s="28" t="s">
        <v>461</v>
      </c>
      <c r="H44" s="28" t="s">
        <v>462</v>
      </c>
      <c r="I44" s="28" t="s">
        <v>80</v>
      </c>
      <c r="J44" s="33" t="n">
        <v>45698</v>
      </c>
      <c r="K44" s="28" t="s">
        <v>81</v>
      </c>
      <c r="L44" s="28" t="s">
        <v>91</v>
      </c>
      <c r="M44" s="28" t="s">
        <v>92</v>
      </c>
      <c r="N44" s="6" t="s">
        <v>399</v>
      </c>
    </row>
    <row r="45" customFormat="false" ht="15" hidden="false" customHeight="true" outlineLevel="0" collapsed="false">
      <c r="A45" s="28" t="s">
        <v>254</v>
      </c>
      <c r="B45" s="28" t="s">
        <v>255</v>
      </c>
      <c r="C45" s="28" t="s">
        <v>118</v>
      </c>
      <c r="D45" s="28" t="s">
        <v>109</v>
      </c>
      <c r="E45" s="28" t="s">
        <v>138</v>
      </c>
      <c r="F45" s="28" t="s">
        <v>98</v>
      </c>
      <c r="G45" s="28" t="s">
        <v>463</v>
      </c>
      <c r="H45" s="28" t="s">
        <v>464</v>
      </c>
      <c r="I45" s="28" t="s">
        <v>80</v>
      </c>
      <c r="J45" s="33" t="n">
        <v>45187</v>
      </c>
      <c r="K45" s="28" t="s">
        <v>256</v>
      </c>
      <c r="L45" s="28" t="s">
        <v>257</v>
      </c>
      <c r="M45" s="28" t="s">
        <v>120</v>
      </c>
      <c r="N45" s="6" t="s">
        <v>399</v>
      </c>
    </row>
    <row r="46" customFormat="false" ht="15" hidden="false" customHeight="true" outlineLevel="0" collapsed="false">
      <c r="A46" s="28" t="s">
        <v>259</v>
      </c>
      <c r="B46" s="28" t="s">
        <v>260</v>
      </c>
      <c r="C46" s="28" t="s">
        <v>76</v>
      </c>
      <c r="D46" s="28" t="s">
        <v>109</v>
      </c>
      <c r="E46" s="28" t="s">
        <v>110</v>
      </c>
      <c r="F46" s="28" t="s">
        <v>79</v>
      </c>
      <c r="G46" s="28" t="s">
        <v>408</v>
      </c>
      <c r="H46" s="28" t="s">
        <v>409</v>
      </c>
      <c r="I46" s="28" t="s">
        <v>80</v>
      </c>
      <c r="J46" s="33" t="n">
        <v>45992</v>
      </c>
      <c r="K46" s="28" t="s">
        <v>81</v>
      </c>
      <c r="L46" s="28" t="s">
        <v>261</v>
      </c>
      <c r="M46" s="28" t="s">
        <v>112</v>
      </c>
      <c r="N46" s="6" t="s">
        <v>399</v>
      </c>
    </row>
    <row r="47" customFormat="false" ht="15" hidden="false" customHeight="true" outlineLevel="0" collapsed="false">
      <c r="A47" s="28" t="s">
        <v>262</v>
      </c>
      <c r="B47" s="28" t="s">
        <v>263</v>
      </c>
      <c r="C47" s="28" t="s">
        <v>118</v>
      </c>
      <c r="D47" s="28"/>
      <c r="E47" s="28" t="s">
        <v>155</v>
      </c>
      <c r="F47" s="28" t="s">
        <v>98</v>
      </c>
      <c r="G47" s="28" t="s">
        <v>465</v>
      </c>
      <c r="H47" s="28" t="s">
        <v>466</v>
      </c>
      <c r="I47" s="28" t="s">
        <v>80</v>
      </c>
      <c r="J47" s="33" t="n">
        <v>42481</v>
      </c>
      <c r="K47" s="28" t="s">
        <v>264</v>
      </c>
      <c r="L47" s="28" t="s">
        <v>157</v>
      </c>
      <c r="M47" s="28" t="s">
        <v>120</v>
      </c>
      <c r="N47" s="6" t="s">
        <v>399</v>
      </c>
    </row>
    <row r="48" customFormat="false" ht="15" hidden="false" customHeight="true" outlineLevel="0" collapsed="false">
      <c r="A48" s="28" t="s">
        <v>266</v>
      </c>
      <c r="B48" s="28" t="s">
        <v>267</v>
      </c>
      <c r="C48" s="28" t="s">
        <v>76</v>
      </c>
      <c r="D48" s="28" t="s">
        <v>77</v>
      </c>
      <c r="E48" s="28" t="s">
        <v>78</v>
      </c>
      <c r="F48" s="28" t="s">
        <v>79</v>
      </c>
      <c r="G48" s="28" t="s">
        <v>435</v>
      </c>
      <c r="H48" s="28" t="s">
        <v>436</v>
      </c>
      <c r="I48" s="28" t="s">
        <v>80</v>
      </c>
      <c r="J48" s="33" t="n">
        <v>46083</v>
      </c>
      <c r="K48" s="28" t="s">
        <v>81</v>
      </c>
      <c r="L48" s="28" t="s">
        <v>268</v>
      </c>
      <c r="M48" s="28" t="s">
        <v>155</v>
      </c>
      <c r="N48" s="6" t="s">
        <v>399</v>
      </c>
    </row>
    <row r="49" customFormat="false" ht="15" hidden="false" customHeight="true" outlineLevel="0" collapsed="false">
      <c r="A49" s="28" t="s">
        <v>266</v>
      </c>
      <c r="B49" s="28" t="s">
        <v>270</v>
      </c>
      <c r="C49" s="28" t="s">
        <v>76</v>
      </c>
      <c r="D49" s="28" t="s">
        <v>109</v>
      </c>
      <c r="E49" s="28" t="s">
        <v>110</v>
      </c>
      <c r="F49" s="28" t="s">
        <v>79</v>
      </c>
      <c r="G49" s="28" t="s">
        <v>408</v>
      </c>
      <c r="H49" s="28" t="s">
        <v>409</v>
      </c>
      <c r="I49" s="28" t="s">
        <v>80</v>
      </c>
      <c r="J49" s="33" t="n">
        <v>45700</v>
      </c>
      <c r="K49" s="28" t="s">
        <v>81</v>
      </c>
      <c r="L49" s="28" t="s">
        <v>271</v>
      </c>
      <c r="M49" s="28" t="s">
        <v>92</v>
      </c>
      <c r="N49" s="6" t="s">
        <v>399</v>
      </c>
    </row>
    <row r="50" customFormat="false" ht="15" hidden="false" customHeight="true" outlineLevel="0" collapsed="false">
      <c r="A50" s="28" t="s">
        <v>272</v>
      </c>
      <c r="B50" s="28" t="s">
        <v>273</v>
      </c>
      <c r="C50" s="28" t="s">
        <v>76</v>
      </c>
      <c r="D50" s="28" t="s">
        <v>109</v>
      </c>
      <c r="E50" s="28" t="s">
        <v>110</v>
      </c>
      <c r="F50" s="28" t="s">
        <v>79</v>
      </c>
      <c r="G50" s="28" t="s">
        <v>408</v>
      </c>
      <c r="H50" s="28" t="s">
        <v>409</v>
      </c>
      <c r="I50" s="28" t="s">
        <v>80</v>
      </c>
      <c r="J50" s="33" t="n">
        <v>45033</v>
      </c>
      <c r="K50" s="28" t="s">
        <v>274</v>
      </c>
      <c r="L50" s="28" t="s">
        <v>202</v>
      </c>
      <c r="M50" s="28" t="s">
        <v>203</v>
      </c>
      <c r="N50" s="6" t="s">
        <v>399</v>
      </c>
    </row>
    <row r="51" customFormat="false" ht="15" hidden="false" customHeight="true" outlineLevel="0" collapsed="false">
      <c r="A51" s="28" t="s">
        <v>275</v>
      </c>
      <c r="B51" s="28" t="s">
        <v>276</v>
      </c>
      <c r="C51" s="28" t="s">
        <v>76</v>
      </c>
      <c r="D51" s="28" t="s">
        <v>88</v>
      </c>
      <c r="E51" s="28" t="s">
        <v>89</v>
      </c>
      <c r="F51" s="28" t="s">
        <v>79</v>
      </c>
      <c r="G51" s="28" t="s">
        <v>467</v>
      </c>
      <c r="H51" s="28" t="s">
        <v>468</v>
      </c>
      <c r="I51" s="28" t="s">
        <v>80</v>
      </c>
      <c r="J51" s="33" t="n">
        <v>44812</v>
      </c>
      <c r="K51" s="28" t="s">
        <v>104</v>
      </c>
      <c r="L51" s="28" t="s">
        <v>199</v>
      </c>
      <c r="M51" s="28" t="s">
        <v>92</v>
      </c>
      <c r="N51" s="6" t="s">
        <v>399</v>
      </c>
    </row>
    <row r="52" customFormat="false" ht="15" hidden="false" customHeight="true" outlineLevel="0" collapsed="false">
      <c r="A52" s="28" t="s">
        <v>278</v>
      </c>
      <c r="B52" s="28" t="s">
        <v>279</v>
      </c>
      <c r="C52" s="28" t="s">
        <v>96</v>
      </c>
      <c r="D52" s="28" t="s">
        <v>109</v>
      </c>
      <c r="E52" s="28" t="s">
        <v>138</v>
      </c>
      <c r="F52" s="28" t="s">
        <v>98</v>
      </c>
      <c r="G52" s="28" t="s">
        <v>469</v>
      </c>
      <c r="H52" s="28" t="s">
        <v>470</v>
      </c>
      <c r="I52" s="28" t="s">
        <v>80</v>
      </c>
      <c r="J52" s="33" t="n">
        <v>45138</v>
      </c>
      <c r="K52" s="28" t="s">
        <v>139</v>
      </c>
      <c r="L52" s="28" t="s">
        <v>280</v>
      </c>
      <c r="M52" s="28" t="s">
        <v>120</v>
      </c>
      <c r="N52" s="6" t="s">
        <v>399</v>
      </c>
    </row>
    <row r="53" customFormat="false" ht="15" hidden="false" customHeight="true" outlineLevel="0" collapsed="false">
      <c r="A53" s="28" t="s">
        <v>281</v>
      </c>
      <c r="B53" s="28" t="s">
        <v>282</v>
      </c>
      <c r="C53" s="28" t="s">
        <v>118</v>
      </c>
      <c r="D53" s="28" t="s">
        <v>109</v>
      </c>
      <c r="E53" s="28" t="s">
        <v>138</v>
      </c>
      <c r="F53" s="28" t="s">
        <v>98</v>
      </c>
      <c r="G53" s="28" t="s">
        <v>471</v>
      </c>
      <c r="H53" s="28" t="s">
        <v>472</v>
      </c>
      <c r="I53" s="28" t="s">
        <v>80</v>
      </c>
      <c r="J53" s="33" t="n">
        <v>44670</v>
      </c>
      <c r="K53" s="28" t="s">
        <v>283</v>
      </c>
      <c r="L53" s="28" t="s">
        <v>202</v>
      </c>
      <c r="M53" s="28" t="s">
        <v>284</v>
      </c>
      <c r="N53" s="6" t="s">
        <v>399</v>
      </c>
    </row>
    <row r="54" customFormat="false" ht="15" hidden="false" customHeight="true" outlineLevel="0" collapsed="false">
      <c r="A54" s="28" t="s">
        <v>285</v>
      </c>
      <c r="B54" s="28" t="s">
        <v>286</v>
      </c>
      <c r="C54" s="28" t="s">
        <v>118</v>
      </c>
      <c r="D54" s="28" t="s">
        <v>109</v>
      </c>
      <c r="E54" s="28" t="s">
        <v>138</v>
      </c>
      <c r="F54" s="28" t="s">
        <v>98</v>
      </c>
      <c r="G54" s="28" t="s">
        <v>418</v>
      </c>
      <c r="H54" s="28" t="s">
        <v>419</v>
      </c>
      <c r="I54" s="28" t="s">
        <v>80</v>
      </c>
      <c r="J54" s="33" t="n">
        <v>45950</v>
      </c>
      <c r="K54" s="28" t="s">
        <v>139</v>
      </c>
      <c r="L54" s="28" t="s">
        <v>287</v>
      </c>
      <c r="M54" s="28" t="s">
        <v>120</v>
      </c>
      <c r="N54" s="6" t="s">
        <v>399</v>
      </c>
    </row>
    <row r="55" customFormat="false" ht="15" hidden="false" customHeight="true" outlineLevel="0" collapsed="false">
      <c r="A55" s="28" t="s">
        <v>288</v>
      </c>
      <c r="B55" s="28" t="s">
        <v>289</v>
      </c>
      <c r="C55" s="28" t="s">
        <v>76</v>
      </c>
      <c r="D55" s="28" t="s">
        <v>109</v>
      </c>
      <c r="E55" s="28" t="s">
        <v>110</v>
      </c>
      <c r="F55" s="28" t="s">
        <v>79</v>
      </c>
      <c r="G55" s="28" t="s">
        <v>408</v>
      </c>
      <c r="H55" s="28" t="s">
        <v>409</v>
      </c>
      <c r="I55" s="28" t="s">
        <v>80</v>
      </c>
      <c r="J55" s="33" t="n">
        <v>45516</v>
      </c>
      <c r="K55" s="28" t="s">
        <v>81</v>
      </c>
      <c r="L55" s="28" t="s">
        <v>111</v>
      </c>
      <c r="M55" s="28" t="s">
        <v>112</v>
      </c>
      <c r="N55" s="6" t="s">
        <v>399</v>
      </c>
    </row>
    <row r="56" customFormat="false" ht="15" hidden="false" customHeight="true" outlineLevel="0" collapsed="false">
      <c r="A56" s="28" t="s">
        <v>290</v>
      </c>
      <c r="B56" s="28" t="s">
        <v>291</v>
      </c>
      <c r="C56" s="28" t="s">
        <v>76</v>
      </c>
      <c r="D56" s="28" t="s">
        <v>109</v>
      </c>
      <c r="E56" s="28" t="s">
        <v>110</v>
      </c>
      <c r="F56" s="28" t="s">
        <v>79</v>
      </c>
      <c r="G56" s="28" t="s">
        <v>408</v>
      </c>
      <c r="H56" s="28" t="s">
        <v>409</v>
      </c>
      <c r="I56" s="28" t="s">
        <v>80</v>
      </c>
      <c r="J56" s="33" t="n">
        <v>45763</v>
      </c>
      <c r="K56" s="28" t="s">
        <v>81</v>
      </c>
      <c r="L56" s="28" t="s">
        <v>202</v>
      </c>
      <c r="M56" s="28" t="s">
        <v>203</v>
      </c>
      <c r="N56" s="6" t="s">
        <v>399</v>
      </c>
    </row>
    <row r="57" customFormat="false" ht="15" hidden="false" customHeight="true" outlineLevel="0" collapsed="false">
      <c r="A57" s="28" t="s">
        <v>292</v>
      </c>
      <c r="B57" s="28" t="s">
        <v>293</v>
      </c>
      <c r="C57" s="28" t="s">
        <v>118</v>
      </c>
      <c r="D57" s="28" t="s">
        <v>88</v>
      </c>
      <c r="E57" s="28" t="s">
        <v>151</v>
      </c>
      <c r="F57" s="28" t="s">
        <v>98</v>
      </c>
      <c r="G57" s="28" t="s">
        <v>451</v>
      </c>
      <c r="H57" s="28" t="s">
        <v>452</v>
      </c>
      <c r="I57" s="28" t="s">
        <v>80</v>
      </c>
      <c r="J57" s="33" t="n">
        <v>43682</v>
      </c>
      <c r="K57" s="28" t="s">
        <v>233</v>
      </c>
      <c r="L57" s="28" t="s">
        <v>91</v>
      </c>
      <c r="M57" s="28" t="s">
        <v>120</v>
      </c>
      <c r="N57" s="6" t="s">
        <v>399</v>
      </c>
    </row>
    <row r="58" customFormat="false" ht="15" hidden="false" customHeight="true" outlineLevel="0" collapsed="false">
      <c r="A58" s="28" t="s">
        <v>294</v>
      </c>
      <c r="B58" s="28" t="s">
        <v>295</v>
      </c>
      <c r="C58" s="28" t="s">
        <v>118</v>
      </c>
      <c r="D58" s="28" t="s">
        <v>296</v>
      </c>
      <c r="E58" s="28" t="s">
        <v>297</v>
      </c>
      <c r="F58" s="28" t="s">
        <v>98</v>
      </c>
      <c r="G58" s="28" t="s">
        <v>473</v>
      </c>
      <c r="H58" s="28" t="s">
        <v>474</v>
      </c>
      <c r="I58" s="28" t="s">
        <v>80</v>
      </c>
      <c r="J58" s="33" t="n">
        <v>46031</v>
      </c>
      <c r="K58" s="28" t="s">
        <v>298</v>
      </c>
      <c r="L58" s="28" t="s">
        <v>91</v>
      </c>
      <c r="M58" s="28" t="s">
        <v>120</v>
      </c>
      <c r="N58" s="6" t="s">
        <v>399</v>
      </c>
    </row>
    <row r="59" customFormat="false" ht="15" hidden="false" customHeight="true" outlineLevel="0" collapsed="false">
      <c r="A59" s="28" t="s">
        <v>300</v>
      </c>
      <c r="B59" s="28" t="s">
        <v>301</v>
      </c>
      <c r="C59" s="28" t="s">
        <v>76</v>
      </c>
      <c r="D59" s="28" t="s">
        <v>77</v>
      </c>
      <c r="E59" s="28" t="s">
        <v>78</v>
      </c>
      <c r="F59" s="28" t="s">
        <v>79</v>
      </c>
      <c r="G59" s="28" t="s">
        <v>475</v>
      </c>
      <c r="H59" s="28" t="s">
        <v>476</v>
      </c>
      <c r="I59" s="28" t="s">
        <v>80</v>
      </c>
      <c r="J59" s="33" t="n">
        <v>45579</v>
      </c>
      <c r="K59" s="28" t="s">
        <v>81</v>
      </c>
      <c r="L59" s="28" t="s">
        <v>302</v>
      </c>
      <c r="M59" s="28" t="s">
        <v>83</v>
      </c>
      <c r="N59" s="6" t="s">
        <v>399</v>
      </c>
    </row>
    <row r="60" customFormat="false" ht="15" hidden="false" customHeight="true" outlineLevel="0" collapsed="false">
      <c r="A60" s="28" t="s">
        <v>304</v>
      </c>
      <c r="B60" s="28" t="s">
        <v>305</v>
      </c>
      <c r="C60" s="28" t="s">
        <v>118</v>
      </c>
      <c r="D60" s="28" t="s">
        <v>77</v>
      </c>
      <c r="E60" s="28" t="s">
        <v>97</v>
      </c>
      <c r="F60" s="28" t="s">
        <v>98</v>
      </c>
      <c r="G60" s="28" t="s">
        <v>477</v>
      </c>
      <c r="H60" s="28" t="s">
        <v>478</v>
      </c>
      <c r="I60" s="28" t="s">
        <v>80</v>
      </c>
      <c r="J60" s="33" t="n">
        <v>45355</v>
      </c>
      <c r="K60" s="28" t="s">
        <v>139</v>
      </c>
      <c r="L60" s="28" t="s">
        <v>306</v>
      </c>
      <c r="M60" s="28" t="s">
        <v>120</v>
      </c>
      <c r="N60" s="6" t="s">
        <v>399</v>
      </c>
    </row>
    <row r="61" customFormat="false" ht="15" hidden="false" customHeight="true" outlineLevel="0" collapsed="false">
      <c r="A61" s="28" t="s">
        <v>307</v>
      </c>
      <c r="B61" s="28" t="s">
        <v>308</v>
      </c>
      <c r="C61" s="28" t="s">
        <v>76</v>
      </c>
      <c r="D61" s="28" t="s">
        <v>88</v>
      </c>
      <c r="E61" s="28" t="s">
        <v>89</v>
      </c>
      <c r="F61" s="28" t="s">
        <v>79</v>
      </c>
      <c r="G61" s="28" t="s">
        <v>479</v>
      </c>
      <c r="H61" s="28" t="s">
        <v>480</v>
      </c>
      <c r="I61" s="28" t="s">
        <v>80</v>
      </c>
      <c r="J61" s="33" t="n">
        <v>43843</v>
      </c>
      <c r="K61" s="28" t="s">
        <v>309</v>
      </c>
      <c r="L61" s="28" t="s">
        <v>123</v>
      </c>
      <c r="M61" s="28" t="s">
        <v>112</v>
      </c>
      <c r="N61" s="6" t="s">
        <v>399</v>
      </c>
    </row>
    <row r="62" customFormat="false" ht="15" hidden="false" customHeight="true" outlineLevel="0" collapsed="false">
      <c r="A62" s="28" t="s">
        <v>311</v>
      </c>
      <c r="B62" s="28" t="s">
        <v>312</v>
      </c>
      <c r="C62" s="28" t="s">
        <v>76</v>
      </c>
      <c r="D62" s="28" t="s">
        <v>77</v>
      </c>
      <c r="E62" s="28" t="s">
        <v>78</v>
      </c>
      <c r="F62" s="28" t="s">
        <v>79</v>
      </c>
      <c r="G62" s="28" t="s">
        <v>481</v>
      </c>
      <c r="H62" s="28" t="s">
        <v>482</v>
      </c>
      <c r="I62" s="28" t="s">
        <v>80</v>
      </c>
      <c r="J62" s="33" t="n">
        <v>46062</v>
      </c>
      <c r="K62" s="28" t="s">
        <v>81</v>
      </c>
      <c r="L62" s="28" t="s">
        <v>91</v>
      </c>
      <c r="M62" s="28" t="s">
        <v>92</v>
      </c>
      <c r="N62" s="6" t="s">
        <v>399</v>
      </c>
    </row>
    <row r="63" customFormat="false" ht="15" hidden="false" customHeight="true" outlineLevel="0" collapsed="false">
      <c r="A63" s="28" t="s">
        <v>313</v>
      </c>
      <c r="B63" s="28" t="s">
        <v>179</v>
      </c>
      <c r="C63" s="28" t="s">
        <v>96</v>
      </c>
      <c r="D63" s="28" t="s">
        <v>77</v>
      </c>
      <c r="E63" s="28" t="s">
        <v>97</v>
      </c>
      <c r="F63" s="28" t="s">
        <v>98</v>
      </c>
      <c r="G63" s="28" t="s">
        <v>483</v>
      </c>
      <c r="H63" s="28" t="s">
        <v>484</v>
      </c>
      <c r="I63" s="28" t="s">
        <v>80</v>
      </c>
      <c r="J63" s="33" t="n">
        <v>40665</v>
      </c>
      <c r="K63" s="28" t="s">
        <v>314</v>
      </c>
      <c r="L63" s="28" t="s">
        <v>157</v>
      </c>
      <c r="M63" s="28" t="s">
        <v>120</v>
      </c>
      <c r="N63" s="6" t="s">
        <v>399</v>
      </c>
    </row>
    <row r="64" customFormat="false" ht="15" hidden="false" customHeight="true" outlineLevel="0" collapsed="false">
      <c r="A64" s="28" t="s">
        <v>318</v>
      </c>
      <c r="B64" s="28" t="s">
        <v>319</v>
      </c>
      <c r="C64" s="28" t="s">
        <v>76</v>
      </c>
      <c r="D64" s="28" t="s">
        <v>88</v>
      </c>
      <c r="E64" s="28" t="s">
        <v>89</v>
      </c>
      <c r="F64" s="28" t="s">
        <v>79</v>
      </c>
      <c r="G64" s="28" t="s">
        <v>406</v>
      </c>
      <c r="H64" s="28" t="s">
        <v>407</v>
      </c>
      <c r="I64" s="28" t="s">
        <v>80</v>
      </c>
      <c r="J64" s="33" t="n">
        <v>45775</v>
      </c>
      <c r="K64" s="28" t="s">
        <v>81</v>
      </c>
      <c r="L64" s="28" t="s">
        <v>320</v>
      </c>
      <c r="M64" s="28" t="s">
        <v>92</v>
      </c>
      <c r="N64" s="6" t="s">
        <v>399</v>
      </c>
    </row>
    <row r="65" customFormat="false" ht="15" hidden="false" customHeight="true" outlineLevel="0" collapsed="false">
      <c r="A65" s="28" t="s">
        <v>321</v>
      </c>
      <c r="B65" s="28" t="s">
        <v>322</v>
      </c>
      <c r="C65" s="28" t="s">
        <v>76</v>
      </c>
      <c r="D65" s="28" t="s">
        <v>88</v>
      </c>
      <c r="E65" s="28" t="s">
        <v>89</v>
      </c>
      <c r="F65" s="28" t="s">
        <v>79</v>
      </c>
      <c r="G65" s="28" t="s">
        <v>485</v>
      </c>
      <c r="H65" s="28" t="s">
        <v>486</v>
      </c>
      <c r="I65" s="28" t="s">
        <v>80</v>
      </c>
      <c r="J65" s="33" t="n">
        <v>44592</v>
      </c>
      <c r="K65" s="28" t="s">
        <v>323</v>
      </c>
      <c r="L65" s="28" t="s">
        <v>241</v>
      </c>
      <c r="M65" s="28" t="s">
        <v>83</v>
      </c>
      <c r="N65" s="6" t="s">
        <v>399</v>
      </c>
    </row>
    <row r="66" customFormat="false" ht="15" hidden="false" customHeight="true" outlineLevel="0" collapsed="false">
      <c r="A66" s="28" t="s">
        <v>325</v>
      </c>
      <c r="B66" s="28" t="s">
        <v>326</v>
      </c>
      <c r="C66" s="28" t="s">
        <v>76</v>
      </c>
      <c r="D66" s="28" t="s">
        <v>88</v>
      </c>
      <c r="E66" s="28" t="s">
        <v>89</v>
      </c>
      <c r="F66" s="28" t="s">
        <v>79</v>
      </c>
      <c r="G66" s="28" t="s">
        <v>453</v>
      </c>
      <c r="H66" s="28" t="s">
        <v>454</v>
      </c>
      <c r="I66" s="28" t="s">
        <v>80</v>
      </c>
      <c r="J66" s="33" t="n">
        <v>44677</v>
      </c>
      <c r="K66" s="28" t="s">
        <v>327</v>
      </c>
      <c r="L66" s="28" t="s">
        <v>328</v>
      </c>
      <c r="M66" s="28" t="s">
        <v>92</v>
      </c>
      <c r="N66" s="6" t="s">
        <v>399</v>
      </c>
    </row>
    <row r="67" customFormat="false" ht="15" hidden="false" customHeight="true" outlineLevel="0" collapsed="false">
      <c r="A67" s="28" t="s">
        <v>329</v>
      </c>
      <c r="B67" s="28" t="s">
        <v>330</v>
      </c>
      <c r="C67" s="28" t="s">
        <v>76</v>
      </c>
      <c r="D67" s="28" t="s">
        <v>109</v>
      </c>
      <c r="E67" s="28" t="s">
        <v>110</v>
      </c>
      <c r="F67" s="28" t="s">
        <v>79</v>
      </c>
      <c r="G67" s="28" t="s">
        <v>408</v>
      </c>
      <c r="H67" s="28" t="s">
        <v>409</v>
      </c>
      <c r="I67" s="28" t="s">
        <v>80</v>
      </c>
      <c r="J67" s="33" t="n">
        <v>45187</v>
      </c>
      <c r="K67" s="28" t="s">
        <v>81</v>
      </c>
      <c r="L67" s="28" t="s">
        <v>271</v>
      </c>
      <c r="M67" s="28" t="s">
        <v>92</v>
      </c>
      <c r="N67" s="6" t="s">
        <v>399</v>
      </c>
    </row>
    <row r="68" customFormat="false" ht="15" hidden="false" customHeight="true" outlineLevel="0" collapsed="false">
      <c r="A68" s="28" t="s">
        <v>331</v>
      </c>
      <c r="B68" s="28" t="s">
        <v>332</v>
      </c>
      <c r="C68" s="28" t="s">
        <v>118</v>
      </c>
      <c r="D68" s="28" t="s">
        <v>77</v>
      </c>
      <c r="E68" s="28" t="s">
        <v>97</v>
      </c>
      <c r="F68" s="28" t="s">
        <v>98</v>
      </c>
      <c r="G68" s="28" t="s">
        <v>487</v>
      </c>
      <c r="H68" s="28" t="s">
        <v>488</v>
      </c>
      <c r="I68" s="28" t="s">
        <v>80</v>
      </c>
      <c r="J68" s="33" t="n">
        <v>45202</v>
      </c>
      <c r="K68" s="28" t="s">
        <v>139</v>
      </c>
      <c r="L68" s="28" t="s">
        <v>271</v>
      </c>
      <c r="M68" s="28" t="s">
        <v>120</v>
      </c>
      <c r="N68" s="6" t="s">
        <v>399</v>
      </c>
    </row>
    <row r="69" customFormat="false" ht="15" hidden="false" customHeight="true" outlineLevel="0" collapsed="false">
      <c r="A69" s="28" t="s">
        <v>333</v>
      </c>
      <c r="B69" s="28" t="s">
        <v>334</v>
      </c>
      <c r="C69" s="28" t="s">
        <v>118</v>
      </c>
      <c r="D69" s="28" t="s">
        <v>88</v>
      </c>
      <c r="E69" s="28" t="s">
        <v>151</v>
      </c>
      <c r="F69" s="28" t="s">
        <v>98</v>
      </c>
      <c r="G69" s="28" t="s">
        <v>489</v>
      </c>
      <c r="H69" s="28" t="s">
        <v>490</v>
      </c>
      <c r="I69" s="28" t="s">
        <v>80</v>
      </c>
      <c r="J69" s="33" t="n">
        <v>45194</v>
      </c>
      <c r="K69" s="28" t="s">
        <v>335</v>
      </c>
      <c r="L69" s="28" t="s">
        <v>199</v>
      </c>
      <c r="M69" s="28" t="s">
        <v>120</v>
      </c>
      <c r="N69" s="6" t="s">
        <v>399</v>
      </c>
    </row>
    <row r="70" customFormat="false" ht="15" hidden="false" customHeight="true" outlineLevel="0" collapsed="false">
      <c r="A70" s="28" t="s">
        <v>336</v>
      </c>
      <c r="B70" s="28" t="s">
        <v>337</v>
      </c>
      <c r="C70" s="28" t="s">
        <v>76</v>
      </c>
      <c r="D70" s="28" t="s">
        <v>88</v>
      </c>
      <c r="E70" s="28" t="s">
        <v>89</v>
      </c>
      <c r="F70" s="28" t="s">
        <v>79</v>
      </c>
      <c r="G70" s="28" t="s">
        <v>491</v>
      </c>
      <c r="H70" s="28" t="s">
        <v>492</v>
      </c>
      <c r="I70" s="28" t="s">
        <v>80</v>
      </c>
      <c r="J70" s="33" t="n">
        <v>46272</v>
      </c>
      <c r="K70" s="28" t="s">
        <v>338</v>
      </c>
      <c r="L70" s="28" t="s">
        <v>268</v>
      </c>
      <c r="M70" s="28" t="s">
        <v>120</v>
      </c>
      <c r="N70" s="6" t="s">
        <v>399</v>
      </c>
    </row>
    <row r="71" customFormat="false" ht="15" hidden="false" customHeight="true" outlineLevel="0" collapsed="false">
      <c r="A71" s="28" t="s">
        <v>341</v>
      </c>
      <c r="B71" s="28" t="s">
        <v>342</v>
      </c>
      <c r="C71" s="28" t="s">
        <v>76</v>
      </c>
      <c r="D71" s="28" t="s">
        <v>109</v>
      </c>
      <c r="E71" s="28" t="s">
        <v>110</v>
      </c>
      <c r="F71" s="28" t="s">
        <v>79</v>
      </c>
      <c r="G71" s="28" t="s">
        <v>408</v>
      </c>
      <c r="H71" s="28" t="s">
        <v>409</v>
      </c>
      <c r="I71" s="28" t="s">
        <v>80</v>
      </c>
      <c r="J71" s="33" t="n">
        <v>45947</v>
      </c>
      <c r="K71" s="28" t="s">
        <v>81</v>
      </c>
      <c r="L71" s="28" t="s">
        <v>174</v>
      </c>
      <c r="M71" s="28" t="s">
        <v>124</v>
      </c>
      <c r="N71" s="6" t="s">
        <v>399</v>
      </c>
    </row>
    <row r="72" customFormat="false" ht="15" hidden="false" customHeight="true" outlineLevel="0" collapsed="false">
      <c r="A72" s="28" t="s">
        <v>343</v>
      </c>
      <c r="B72" s="28" t="s">
        <v>344</v>
      </c>
      <c r="C72" s="28" t="s">
        <v>76</v>
      </c>
      <c r="D72" s="28" t="s">
        <v>88</v>
      </c>
      <c r="E72" s="28" t="s">
        <v>89</v>
      </c>
      <c r="F72" s="28" t="s">
        <v>79</v>
      </c>
      <c r="G72" s="28" t="s">
        <v>416</v>
      </c>
      <c r="H72" s="28" t="s">
        <v>417</v>
      </c>
      <c r="I72" s="28" t="s">
        <v>80</v>
      </c>
      <c r="J72" s="33" t="n">
        <v>45985</v>
      </c>
      <c r="K72" s="28" t="s">
        <v>81</v>
      </c>
      <c r="L72" s="28" t="s">
        <v>345</v>
      </c>
      <c r="M72" s="28" t="s">
        <v>112</v>
      </c>
      <c r="N72" s="6" t="s">
        <v>399</v>
      </c>
    </row>
    <row r="73" customFormat="false" ht="15" hidden="false" customHeight="true" outlineLevel="0" collapsed="false">
      <c r="A73" s="28" t="s">
        <v>346</v>
      </c>
      <c r="B73" s="28" t="s">
        <v>347</v>
      </c>
      <c r="C73" s="28" t="s">
        <v>76</v>
      </c>
      <c r="D73" s="28" t="s">
        <v>77</v>
      </c>
      <c r="E73" s="28" t="s">
        <v>78</v>
      </c>
      <c r="F73" s="28" t="s">
        <v>79</v>
      </c>
      <c r="G73" s="28" t="s">
        <v>493</v>
      </c>
      <c r="H73" s="28" t="s">
        <v>494</v>
      </c>
      <c r="I73" s="28" t="s">
        <v>80</v>
      </c>
      <c r="J73" s="33" t="n">
        <v>46055</v>
      </c>
      <c r="K73" s="28" t="s">
        <v>81</v>
      </c>
      <c r="L73" s="28" t="s">
        <v>91</v>
      </c>
      <c r="M73" s="28" t="s">
        <v>155</v>
      </c>
      <c r="N73" s="6" t="s">
        <v>399</v>
      </c>
    </row>
    <row r="74" customFormat="false" ht="15" hidden="false" customHeight="true" outlineLevel="0" collapsed="false">
      <c r="A74" s="28" t="s">
        <v>348</v>
      </c>
      <c r="B74" s="28" t="s">
        <v>349</v>
      </c>
      <c r="C74" s="28" t="s">
        <v>118</v>
      </c>
      <c r="D74" s="28" t="s">
        <v>109</v>
      </c>
      <c r="E74" s="28" t="s">
        <v>138</v>
      </c>
      <c r="F74" s="28" t="s">
        <v>98</v>
      </c>
      <c r="G74" s="28" t="s">
        <v>455</v>
      </c>
      <c r="H74" s="28" t="s">
        <v>456</v>
      </c>
      <c r="I74" s="28" t="s">
        <v>80</v>
      </c>
      <c r="J74" s="33" t="n">
        <v>44967</v>
      </c>
      <c r="K74" s="28" t="s">
        <v>350</v>
      </c>
      <c r="L74" s="28" t="s">
        <v>351</v>
      </c>
      <c r="M74" s="28" t="s">
        <v>120</v>
      </c>
      <c r="N74" s="6" t="s">
        <v>399</v>
      </c>
    </row>
    <row r="75" customFormat="false" ht="15" hidden="false" customHeight="true" outlineLevel="0" collapsed="false">
      <c r="A75" s="28" t="s">
        <v>352</v>
      </c>
      <c r="B75" s="28" t="s">
        <v>353</v>
      </c>
      <c r="C75" s="28" t="s">
        <v>118</v>
      </c>
      <c r="D75" s="28" t="s">
        <v>354</v>
      </c>
      <c r="E75" s="28" t="s">
        <v>355</v>
      </c>
      <c r="F75" s="28" t="s">
        <v>98</v>
      </c>
      <c r="G75" s="28" t="s">
        <v>495</v>
      </c>
      <c r="H75" s="28" t="s">
        <v>496</v>
      </c>
      <c r="I75" s="28" t="s">
        <v>80</v>
      </c>
      <c r="J75" s="33" t="n">
        <v>42919</v>
      </c>
      <c r="K75" s="28" t="s">
        <v>356</v>
      </c>
      <c r="L75" s="28" t="s">
        <v>91</v>
      </c>
      <c r="M75" s="28" t="s">
        <v>120</v>
      </c>
      <c r="N75" s="6" t="s">
        <v>399</v>
      </c>
    </row>
    <row r="76" customFormat="false" ht="15" hidden="false" customHeight="true" outlineLevel="0" collapsed="false">
      <c r="A76" s="28" t="s">
        <v>358</v>
      </c>
      <c r="B76" s="28" t="s">
        <v>359</v>
      </c>
      <c r="C76" s="28" t="s">
        <v>96</v>
      </c>
      <c r="D76" s="28" t="s">
        <v>109</v>
      </c>
      <c r="E76" s="28" t="s">
        <v>138</v>
      </c>
      <c r="F76" s="28" t="s">
        <v>98</v>
      </c>
      <c r="G76" s="28" t="s">
        <v>455</v>
      </c>
      <c r="H76" s="28" t="s">
        <v>456</v>
      </c>
      <c r="I76" s="28" t="s">
        <v>80</v>
      </c>
      <c r="J76" s="33" t="n">
        <v>44439</v>
      </c>
      <c r="K76" s="28" t="s">
        <v>360</v>
      </c>
      <c r="L76" s="28" t="s">
        <v>361</v>
      </c>
      <c r="M76" s="28" t="s">
        <v>242</v>
      </c>
      <c r="N76" s="6" t="s">
        <v>399</v>
      </c>
    </row>
    <row r="77" customFormat="false" ht="15" hidden="false" customHeight="true" outlineLevel="0" collapsed="false">
      <c r="A77" s="28" t="s">
        <v>362</v>
      </c>
      <c r="B77" s="28" t="s">
        <v>363</v>
      </c>
      <c r="C77" s="28" t="s">
        <v>118</v>
      </c>
      <c r="D77" s="28" t="s">
        <v>88</v>
      </c>
      <c r="E77" s="28" t="s">
        <v>151</v>
      </c>
      <c r="F77" s="28" t="s">
        <v>98</v>
      </c>
      <c r="G77" s="28" t="s">
        <v>497</v>
      </c>
      <c r="H77" s="28" t="s">
        <v>498</v>
      </c>
      <c r="I77" s="28" t="s">
        <v>80</v>
      </c>
      <c r="J77" s="33" t="n">
        <v>43255</v>
      </c>
      <c r="K77" s="28" t="s">
        <v>364</v>
      </c>
      <c r="L77" s="28" t="s">
        <v>365</v>
      </c>
      <c r="M77" s="28" t="s">
        <v>120</v>
      </c>
      <c r="N77" s="6" t="s">
        <v>399</v>
      </c>
    </row>
    <row r="78" customFormat="false" ht="15" hidden="false" customHeight="true" outlineLevel="0" collapsed="false">
      <c r="A78" s="28" t="s">
        <v>366</v>
      </c>
      <c r="B78" s="28" t="s">
        <v>367</v>
      </c>
      <c r="C78" s="28" t="s">
        <v>76</v>
      </c>
      <c r="D78" s="28" t="s">
        <v>109</v>
      </c>
      <c r="E78" s="28" t="s">
        <v>110</v>
      </c>
      <c r="F78" s="28" t="s">
        <v>79</v>
      </c>
      <c r="G78" s="28" t="s">
        <v>408</v>
      </c>
      <c r="H78" s="28" t="s">
        <v>409</v>
      </c>
      <c r="I78" s="28" t="s">
        <v>80</v>
      </c>
      <c r="J78" s="33" t="n">
        <v>45859</v>
      </c>
      <c r="K78" s="28" t="s">
        <v>81</v>
      </c>
      <c r="L78" s="28" t="s">
        <v>368</v>
      </c>
      <c r="M78" s="28" t="s">
        <v>112</v>
      </c>
      <c r="N78" s="6" t="s">
        <v>399</v>
      </c>
    </row>
    <row r="79" customFormat="false" ht="15" hidden="false" customHeight="true" outlineLevel="0" collapsed="false">
      <c r="A79" s="28" t="s">
        <v>369</v>
      </c>
      <c r="B79" s="28" t="s">
        <v>370</v>
      </c>
      <c r="C79" s="28" t="s">
        <v>76</v>
      </c>
      <c r="D79" s="28" t="s">
        <v>191</v>
      </c>
      <c r="E79" s="28" t="s">
        <v>212</v>
      </c>
      <c r="F79" s="28" t="s">
        <v>79</v>
      </c>
      <c r="G79" s="28" t="s">
        <v>499</v>
      </c>
      <c r="H79" s="28" t="s">
        <v>500</v>
      </c>
      <c r="I79" s="28" t="s">
        <v>80</v>
      </c>
      <c r="J79" s="33" t="n">
        <v>46195</v>
      </c>
      <c r="K79" s="28" t="s">
        <v>191</v>
      </c>
      <c r="L79" s="28" t="s">
        <v>257</v>
      </c>
      <c r="M79" s="28" t="s">
        <v>112</v>
      </c>
      <c r="N79" s="6" t="s">
        <v>399</v>
      </c>
    </row>
    <row r="80" customFormat="false" ht="15" hidden="false" customHeight="true" outlineLevel="0" collapsed="false">
      <c r="A80" s="28" t="s">
        <v>372</v>
      </c>
      <c r="B80" s="28" t="s">
        <v>373</v>
      </c>
      <c r="C80" s="28" t="s">
        <v>76</v>
      </c>
      <c r="D80" s="28" t="s">
        <v>77</v>
      </c>
      <c r="E80" s="28" t="s">
        <v>78</v>
      </c>
      <c r="F80" s="28" t="s">
        <v>79</v>
      </c>
      <c r="G80" s="28" t="s">
        <v>475</v>
      </c>
      <c r="H80" s="28" t="s">
        <v>476</v>
      </c>
      <c r="I80" s="28" t="s">
        <v>80</v>
      </c>
      <c r="J80" s="33" t="n">
        <v>45859</v>
      </c>
      <c r="K80" s="28" t="s">
        <v>81</v>
      </c>
      <c r="L80" s="28" t="s">
        <v>247</v>
      </c>
      <c r="M80" s="28" t="s">
        <v>112</v>
      </c>
      <c r="N80" s="6" t="s">
        <v>399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2026-10-21T02:39:09Z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