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mmary" sheetId="1" state="visible" r:id="rId3"/>
    <sheet name="Award References" sheetId="2" state="visible" r:id="rId4"/>
    <sheet name="Register" sheetId="3" state="visible" r:id="rId5"/>
    <sheet name="EH Export (Raw Data)" sheetId="4" state="visible" r:id="rId6"/>
  </sheets>
  <definedNames>
    <definedName function="false" hidden="true" localSheetId="2" name="_xlnm._FilterDatabase" vbProcedure="false">Register!$A$1:$AA$80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<sst xmlns="http://schemas.openxmlformats.org/spreadsheetml/2006/main" count="2104" uniqueCount="477">
  <si>
    <t xml:space="preserve">CTS Payroll Setup Review: Employee Details Report 21/10/2026</t>
  </si>
  <si>
    <t xml:space="preserve">Source: EH Employee Details Report, generated 21/10/2026, 79 currently employed staff.</t>
  </si>
  <si>
    <t xml:space="preserve">1. CHECK THIS FIRST: casual loading</t>
  </si>
  <si>
    <t xml:space="preserve">Casual rates are at or below permanent rates at the same level (e.g. casual Level 4 mostly $30.00 vs permanent Level 4 $30.05 to $33.70).</t>
  </si>
  <si>
    <t xml:space="preserve">Either (a) the 25% casual loading is set on the "Casual Ordinary Hours" pay category in EH and added on top, or (b) casuals are not getting their loading.</t>
  </si>
  <si>
    <t xml:space="preserve">Check: Payroll Settings &gt; Pay Categories &gt; Casual Ordinary Hours &gt; look for a loading %. If there is no loading, this is the biggest risk in the file.</t>
  </si>
  <si>
    <t xml:space="preserve">See column Q on the Register tab.</t>
  </si>
  <si>
    <t xml:space="preserve">2. Employment type does not match setup</t>
  </si>
  <si>
    <t xml:space="preserve">Damien Suchy (Casual on permanent setup), Alana Carling (Part Time on casual leave), Simon Gruenefeld (Casual on permanent leave).</t>
  </si>
  <si>
    <t xml:space="preserve">These are the most likely to explain OT appearing wrongly and some people getting benefits others do not.</t>
  </si>
  <si>
    <t xml:space="preserve">3. Agreements are Live Performance Award classifications</t>
  </si>
  <si>
    <t xml:space="preserve">Everyone on "Production &amp; Support Staff - Level X" is on a Live Performance Award 2020 [MA000081] classification. The names match the award's clause 11.1 table.</t>
  </si>
  <si>
    <t xml:space="preserve">Check the rule set behind each agreement (Payroll Settings &gt; Employment Agreements) applies MA000081 correctly: 25% casual loading, overtime and penalties under clause 63, and the minimum rates from 1 July 2026.</t>
  </si>
  <si>
    <t xml:space="preserve">Full timers are paid overtime on the CTS internal matrix, not the award (payroll recordings). That is only compliant if it pays at least what the award would.</t>
  </si>
  <si>
    <t xml:space="preserve">4. Office staff on production agreement</t>
  </si>
  <si>
    <t xml:space="preserve">Emelda Waiya, Premila Lugstein, Isabella Nikodinovski: office roles on a production/technical agreement. Likely Clerks Private Sector Award [MA000002].</t>
  </si>
  <si>
    <t xml:space="preserve">5. Leave template / state problems</t>
  </si>
  <si>
    <t xml:space="preserve">4 casuals have no leave template. Dale Cohen has no state. John Abbas Rizvi is in Melbourne on an NSW template.</t>
  </si>
  <si>
    <t xml:space="preserve">Leave templates by state affect public holidays, so wrong state = wrong public holiday pay.</t>
  </si>
  <si>
    <t xml:space="preserve">6. Same level, very different rates</t>
  </si>
  <si>
    <t xml:space="preserve">Casual Level 6 ranges from $32.29 to $46.71. Casual Level 5 from $29.00 to $40.00. Some will be agreed above-award rates; the low end needs checking against the minimum.</t>
  </si>
  <si>
    <t xml:space="preserve">HOW TO USE THE REGISTER TAB</t>
  </si>
  <si>
    <t xml:space="preserve">Columns A to M: data from EH (do not edit). Columns N to S: formulas that flag issues automatically.</t>
  </si>
  <si>
    <t xml:space="preserve">Columns T to U: my priority and notes. Yellow columns V to Z: you fill in from contracts.</t>
  </si>
  <si>
    <t xml:space="preserve">Filter column T for High first.</t>
  </si>
  <si>
    <t xml:space="preserve">Fair Work award references for CTS payroll review</t>
  </si>
  <si>
    <t xml:space="preserve">Resource</t>
  </si>
  <si>
    <t xml:space="preserve">Use it for</t>
  </si>
  <si>
    <t xml:space="preserve">Link</t>
  </si>
  <si>
    <t xml:space="preserve">Pay guides: A to Z list of all awards</t>
  </si>
  <si>
    <t xml:space="preserve">One link covering every award. Download the PDF pay guides for MA000081 and MA000002. Compare minimum rates to Register column G.</t>
  </si>
  <si>
    <t xml:space="preserve">https://www.fairwork.gov.au/pay-and-wages/minimum-wages/pay-guides</t>
  </si>
  <si>
    <t xml:space="preserve">Electrical, Electronic and Communications Contracting Award [MA000025]</t>
  </si>
  <si>
    <t xml:space="preserve">Not the main award for CTS. Only relevant if a role is electrical installation work rather than AV production. Check Daniel Sobkowski (Integration).</t>
  </si>
  <si>
    <t xml:space="preserve">https://www.fairwork.gov.au/awards-and-agreements/awards/award-summary/ma000025-summary</t>
  </si>
  <si>
    <t xml:space="preserve">Clerks Private Sector Award [MA000002]</t>
  </si>
  <si>
    <t xml:space="preserve">Coverage summary. Likely award for office/admin staff (Emelda Waiya, Premila Lugstein, Isabella Nikodinovski).</t>
  </si>
  <si>
    <t xml:space="preserve">https://fairwork.gov.au/awards-and-agreements/awards/award-summary/ma000002-summary</t>
  </si>
  <si>
    <t xml:space="preserve">Full award text: Clerks Award [MA000002]</t>
  </si>
  <si>
    <t xml:space="preserve">Exact clauses for OT, casual loading, public holidays. Change MA000002 in the address to MA000081 for the Live Performance Award.</t>
  </si>
  <si>
    <t xml:space="preserve">https://library.fairwork.gov.au/award/?krn=MA000002</t>
  </si>
  <si>
    <t xml:space="preserve">Fair Work Ombudsman home</t>
  </si>
  <si>
    <t xml:space="preserve">Pay Calculator and Find my award tool. Use for roles not clearly covered (videographers, event crew, senior PMs).</t>
  </si>
  <si>
    <t xml:space="preserve">https://www.fairwork.gov.au</t>
  </si>
  <si>
    <t xml:space="preserve">Live Performance Award 2020 [MA000081]</t>
  </si>
  <si>
    <t xml:space="preserve">The award CTS already uses. The EH agreements "Production &amp; Support Staff - Level 1 to 8" are this award's classification names (clause 11.1, Schedule A). Casual production staff: Part 8, clauses 55 to 63. Overtime and penalties: clause 63. Rates from first pay period on or after 1 July 2026: Level 3 $28.89, Level 4 $29.45, Level 5 $30.37, Level 6 $31.30, Level 7 $33.311 per hour, before the 25% casual loading.</t>
  </si>
  <si>
    <t xml:space="preserve">https://awards.fairwork.gov.au/MA000081.html</t>
  </si>
  <si>
    <t xml:space="preserve">First name</t>
  </si>
  <si>
    <t xml:space="preserve">Surname</t>
  </si>
  <si>
    <t xml:space="preserve">Employment Type</t>
  </si>
  <si>
    <t xml:space="preserve">Employment agreement</t>
  </si>
  <si>
    <t xml:space="preserve">Pay rate template</t>
  </si>
  <si>
    <t xml:space="preserve">Primary pay category</t>
  </si>
  <si>
    <t xml:space="preserve">Rate ($/hr)</t>
  </si>
  <si>
    <t xml:space="preserve">Pay schedule</t>
  </si>
  <si>
    <t xml:space="preserve">Start date</t>
  </si>
  <si>
    <t xml:space="preserve">Job title</t>
  </si>
  <si>
    <t xml:space="preserve">Primary location</t>
  </si>
  <si>
    <t xml:space="preserve">Leave allowance template</t>
  </si>
  <si>
    <t xml:space="preserve">Level</t>
  </si>
  <si>
    <t xml:space="preserve">GEO (state)</t>
  </si>
  <si>
    <t xml:space="preserve">Type vs pay rate template</t>
  </si>
  <si>
    <t xml:space="preserve">Type vs leave template</t>
  </si>
  <si>
    <t xml:space="preserve">Casual rate below lowest permanent same level</t>
  </si>
  <si>
    <t xml:space="preserve">No leave template / no state</t>
  </si>
  <si>
    <t xml:space="preserve">Office role on production agreement</t>
  </si>
  <si>
    <t xml:space="preserve">Priority</t>
  </si>
  <si>
    <t xml:space="preserve">Notes / issue</t>
  </si>
  <si>
    <t xml:space="preserve">Award (should be)</t>
  </si>
  <si>
    <t xml:space="preserve">Classification (should be)</t>
  </si>
  <si>
    <t xml:space="preserve">Contracted hours</t>
  </si>
  <si>
    <t xml:space="preserve">Contract extras (above award)</t>
  </si>
  <si>
    <t xml:space="preserve">Action / status</t>
  </si>
  <si>
    <t xml:space="preserve">Under an award? (tick)</t>
  </si>
  <si>
    <t xml:space="preserve">Abel</t>
  </si>
  <si>
    <t xml:space="preserve">SAVIGE</t>
  </si>
  <si>
    <t xml:space="preserve">Casual</t>
  </si>
  <si>
    <t xml:space="preserve">Production &amp; Support Staff - Level 5</t>
  </si>
  <si>
    <t xml:space="preserve">Casual - Production &amp; Support Staff - Level 5</t>
  </si>
  <si>
    <t xml:space="preserve">Casual Ordinary Hours</t>
  </si>
  <si>
    <t xml:space="preserve">CTS - Fortnight</t>
  </si>
  <si>
    <t xml:space="preserve">Casual Technician</t>
  </si>
  <si>
    <t xml:space="preserve">PWC IT Support - Brisbane [ONS]</t>
  </si>
  <si>
    <t xml:space="preserve">Casual QLD</t>
  </si>
  <si>
    <t xml:space="preserve">Production and Support Staff Level 5 (as set up in EH)</t>
  </si>
  <si>
    <t xml:space="preserve">✓</t>
  </si>
  <si>
    <t xml:space="preserve">Adam</t>
  </si>
  <si>
    <t xml:space="preserve">Arnou</t>
  </si>
  <si>
    <t xml:space="preserve">Production &amp; Support Staff - Level 6</t>
  </si>
  <si>
    <t xml:space="preserve">Casual - Production &amp; Support Staff - Level 6</t>
  </si>
  <si>
    <t xml:space="preserve">Casual Videographer</t>
  </si>
  <si>
    <t xml:space="preserve">PRODUCTION [PRD]</t>
  </si>
  <si>
    <t xml:space="preserve">Casual NSW</t>
  </si>
  <si>
    <t xml:space="preserve">Production and Support Staff Level 6 (as set up in EH)</t>
  </si>
  <si>
    <t xml:space="preserve">Alana</t>
  </si>
  <si>
    <t xml:space="preserve">Carling</t>
  </si>
  <si>
    <t xml:space="preserve">Part Time</t>
  </si>
  <si>
    <t xml:space="preserve">Permanent - Production &amp; Support Staff - Level 5</t>
  </si>
  <si>
    <t xml:space="preserve">Permanent Ordinary Hours</t>
  </si>
  <si>
    <t xml:space="preserve">A/V Technician</t>
  </si>
  <si>
    <t xml:space="preserve">High</t>
  </si>
  <si>
    <t xml:space="preserve">Part Time permanent but on a CASUAL NSW leave template. She may not be accruing annual and personal leave. Possible underpayment of leave entitlements. Change leave template to Permanent NSW and check accrual history since 26/05/2025.</t>
  </si>
  <si>
    <t xml:space="preserve">Alex</t>
  </si>
  <si>
    <t xml:space="preserve">Gage</t>
  </si>
  <si>
    <t xml:space="preserve">Casual Videographer (SYD)</t>
  </si>
  <si>
    <t xml:space="preserve">Alexander</t>
  </si>
  <si>
    <t xml:space="preserve">Mattock</t>
  </si>
  <si>
    <t xml:space="preserve">Amadeus</t>
  </si>
  <si>
    <t xml:space="preserve">Anggaraksa</t>
  </si>
  <si>
    <t xml:space="preserve">Production &amp; Support Staff - Level 4</t>
  </si>
  <si>
    <t xml:space="preserve">Casual - Production &amp; Support Staff - Level 4</t>
  </si>
  <si>
    <t xml:space="preserve">DTTL Mel Tech FT 2 [ONS]</t>
  </si>
  <si>
    <t xml:space="preserve">Casual VIC</t>
  </si>
  <si>
    <t xml:space="preserve">Production and Support Staff Level 4 (as set up in EH)</t>
  </si>
  <si>
    <t xml:space="preserve">Anton</t>
  </si>
  <si>
    <t xml:space="preserve">Khumala</t>
  </si>
  <si>
    <t xml:space="preserve">Blake</t>
  </si>
  <si>
    <t xml:space="preserve">Crisford</t>
  </si>
  <si>
    <t xml:space="preserve">Full Time</t>
  </si>
  <si>
    <t xml:space="preserve">Technician (SYD)</t>
  </si>
  <si>
    <t xml:space="preserve">Permanent NSW</t>
  </si>
  <si>
    <t xml:space="preserve">Cai</t>
  </si>
  <si>
    <t xml:space="preserve">Neilson</t>
  </si>
  <si>
    <t xml:space="preserve">DTTL National STL [ONS]</t>
  </si>
  <si>
    <t xml:space="preserve">Casual WA</t>
  </si>
  <si>
    <t xml:space="preserve">Carlo</t>
  </si>
  <si>
    <t xml:space="preserve">Daru</t>
  </si>
  <si>
    <t xml:space="preserve">Technician (DTTL MEL)</t>
  </si>
  <si>
    <t xml:space="preserve">Permanent VIC</t>
  </si>
  <si>
    <t xml:space="preserve">Caspar</t>
  </si>
  <si>
    <t xml:space="preserve">Nivison-Smith</t>
  </si>
  <si>
    <t xml:space="preserve">Charlotte</t>
  </si>
  <si>
    <t xml:space="preserve">Owens</t>
  </si>
  <si>
    <t xml:space="preserve">PRODUCTION</t>
  </si>
  <si>
    <t xml:space="preserve">Low</t>
  </si>
  <si>
    <t xml:space="preserve">Location shows "PRODUCTION" without the [PRD] code, different to everyone else in Production. May be a duplicate location. Check reporting and cost centre.</t>
  </si>
  <si>
    <t xml:space="preserve">Chloe</t>
  </si>
  <si>
    <t xml:space="preserve">Landayan</t>
  </si>
  <si>
    <t xml:space="preserve">Permanent - Production &amp; Support Staff - Level 4</t>
  </si>
  <si>
    <t xml:space="preserve">Technician</t>
  </si>
  <si>
    <t xml:space="preserve">DTTL SYD FT Tech 1 [ONS]</t>
  </si>
  <si>
    <t xml:space="preserve">Chris</t>
  </si>
  <si>
    <t xml:space="preserve">Doherty</t>
  </si>
  <si>
    <t xml:space="preserve">Dale</t>
  </si>
  <si>
    <t xml:space="preserve">COHEN</t>
  </si>
  <si>
    <t xml:space="preserve">Casual Technician (Melbourne)</t>
  </si>
  <si>
    <t xml:space="preserve">Casual Leave</t>
  </si>
  <si>
    <t xml:space="preserve">Medium</t>
  </si>
  <si>
    <t xml:space="preserve">Leave template is "Casual Leave" with no state. Title says Melbourne but location is PRODUCTION (Sydney). Public holidays may be applied for the wrong state. Confirm where he works. Started 12/10/2026, so fix before first full pay run.</t>
  </si>
  <si>
    <t xml:space="preserve">Damien</t>
  </si>
  <si>
    <t xml:space="preserve">Suchy</t>
  </si>
  <si>
    <t xml:space="preserve">Permanent - Production &amp; Support Staff - Level 6</t>
  </si>
  <si>
    <t xml:space="preserve">Set up as Casual but on a PERMANENT agreement, permanent pay rate template and Permanent Ordinary Hours, with a CASUAL leave template. Conflicting setup. Confirm his real employment type from his contract, then fix all four fields to match. Likely cause of wrong OT/loading.</t>
  </si>
  <si>
    <t xml:space="preserve">Danica</t>
  </si>
  <si>
    <t xml:space="preserve">Nelson</t>
  </si>
  <si>
    <t xml:space="preserve">None</t>
  </si>
  <si>
    <t xml:space="preserve">Finance Operations Manager</t>
  </si>
  <si>
    <t xml:space="preserve">OFFICE / ADMIN [CTS]</t>
  </si>
  <si>
    <t xml:space="preserve">No employment agreement (award-free/salaried). Fine if intended. Confirm no rule set is triggering OT.</t>
  </si>
  <si>
    <t xml:space="preserve">Award free (no agreement in EH)</t>
  </si>
  <si>
    <t xml:space="preserve">Senior or salaried role. National Employment Standards and minimum wage still apply.</t>
  </si>
  <si>
    <t xml:space="preserve">Daniel</t>
  </si>
  <si>
    <t xml:space="preserve">SOBKOWSKI</t>
  </si>
  <si>
    <t xml:space="preserve">Associate Consultant</t>
  </si>
  <si>
    <t xml:space="preserve">INTEGRATION [INT]</t>
  </si>
  <si>
    <t xml:space="preserve">CHECK: Live Performance Award 2020 [MA000081]</t>
  </si>
  <si>
    <t xml:space="preserve">Production and Support Staff Level 6 (as set up in EH). Integration role. Check the duties are AV production work and not installation, which may fall under the Electrical award [MA000025].</t>
  </si>
  <si>
    <t xml:space="preserve">✓ check</t>
  </si>
  <si>
    <t xml:space="preserve">Danielle</t>
  </si>
  <si>
    <t xml:space="preserve">HURLEY</t>
  </si>
  <si>
    <t xml:space="preserve">National Site Team Leader</t>
  </si>
  <si>
    <t xml:space="preserve">DTTL SYD NTSL [ONS]</t>
  </si>
  <si>
    <t xml:space="preserve">David</t>
  </si>
  <si>
    <t xml:space="preserve">Milios</t>
  </si>
  <si>
    <t xml:space="preserve">Bank West Contract [ONS]</t>
  </si>
  <si>
    <t xml:space="preserve">Dimitri</t>
  </si>
  <si>
    <t xml:space="preserve">Gerakios</t>
  </si>
  <si>
    <t xml:space="preserve">Casual with NO leave allowance template. No state set for public holidays or long service leave tracking. Assign the correct Casual [state] template.</t>
  </si>
  <si>
    <t xml:space="preserve">Duncan</t>
  </si>
  <si>
    <t xml:space="preserve">LUGSTEIN</t>
  </si>
  <si>
    <t xml:space="preserve">Managing Director</t>
  </si>
  <si>
    <t xml:space="preserve">Permanent Leave - No Loading</t>
  </si>
  <si>
    <t xml:space="preserve">Managing Director at $26.08/hr with no agreement. Very low for an MD. May be a deliberate nominal director wage. Confirm the rate is intended and meets minimum wage obligations if he is paid as an employee.</t>
  </si>
  <si>
    <t xml:space="preserve">Dylan</t>
  </si>
  <si>
    <t xml:space="preserve">Motsi</t>
  </si>
  <si>
    <t xml:space="preserve">Ebrahim</t>
  </si>
  <si>
    <t xml:space="preserve">Seedat</t>
  </si>
  <si>
    <t xml:space="preserve">Elena</t>
  </si>
  <si>
    <t xml:space="preserve">Almaraz Ruiz</t>
  </si>
  <si>
    <t xml:space="preserve">Emelda</t>
  </si>
  <si>
    <t xml:space="preserve">Waiya</t>
  </si>
  <si>
    <t xml:space="preserve">Production &amp; Support Staff - Level 3</t>
  </si>
  <si>
    <t xml:space="preserve">Permanent - Production &amp; Support Staff - Level 3</t>
  </si>
  <si>
    <t xml:space="preserve">Accounts Assistant</t>
  </si>
  <si>
    <t xml:space="preserve">Accounts Assistant (OFFICE / ADMIN) on a Production &amp; Support Level 3 agreement. Likely should be under the Clerks Private Sector Award [MA000002]. Check correct award and classification.</t>
  </si>
  <si>
    <t xml:space="preserve">Clerks Private Sector Award 2020 [MA000002]</t>
  </si>
  <si>
    <t xml:space="preserve">Clerks level 1 to 5 to be set from duties. Currently on LPA Production &amp; Support Staff Level 3</t>
  </si>
  <si>
    <t xml:space="preserve">Emily</t>
  </si>
  <si>
    <t xml:space="preserve">Cooper</t>
  </si>
  <si>
    <t xml:space="preserve">VIDEO DEPT [VID]</t>
  </si>
  <si>
    <t xml:space="preserve">Emmett</t>
  </si>
  <si>
    <t xml:space="preserve">Todd</t>
  </si>
  <si>
    <t xml:space="preserve">DTTL ADL Onsite [ONS]</t>
  </si>
  <si>
    <t xml:space="preserve">Casual SA</t>
  </si>
  <si>
    <t xml:space="preserve">Casual Level 4 at $27.17, lower than other casual Level 4s ($30.00) and below every permanent Level 4. Check against agreement/award minimum for Level 4.</t>
  </si>
  <si>
    <t xml:space="preserve">Gabriela</t>
  </si>
  <si>
    <t xml:space="preserve">Panza Romanini Alchaar</t>
  </si>
  <si>
    <t xml:space="preserve">Gary</t>
  </si>
  <si>
    <t xml:space="preserve">CARTER</t>
  </si>
  <si>
    <t xml:space="preserve">PWC - PER Tech [ONS]</t>
  </si>
  <si>
    <t xml:space="preserve">George</t>
  </si>
  <si>
    <t xml:space="preserve">Gildon-Davis</t>
  </si>
  <si>
    <t xml:space="preserve">Casual - Production &amp; Support Staff - Level 3</t>
  </si>
  <si>
    <t xml:space="preserve">Job title not set (shows the level name). Update title.</t>
  </si>
  <si>
    <t xml:space="preserve">Production and Support Staff Level 3 (as set up in EH)</t>
  </si>
  <si>
    <t xml:space="preserve">Gianmaria</t>
  </si>
  <si>
    <t xml:space="preserve">Yao</t>
  </si>
  <si>
    <t xml:space="preserve">Still showing as currently employed with the same title as you (Finance Operations Manager). If he has left, terminate in EH so he is not picked up in pay runs or reports. On "Permanent Leave - No Loading" template.</t>
  </si>
  <si>
    <t xml:space="preserve">Graham</t>
  </si>
  <si>
    <t xml:space="preserve">Cherry</t>
  </si>
  <si>
    <t xml:space="preserve">Executive General Manager</t>
  </si>
  <si>
    <t xml:space="preserve">No employment agreement (award-free/salaried). Fine if intended.</t>
  </si>
  <si>
    <t xml:space="preserve">Isaac</t>
  </si>
  <si>
    <t xml:space="preserve">BUTTERWORTH</t>
  </si>
  <si>
    <t xml:space="preserve">Site Team Coordinator</t>
  </si>
  <si>
    <t xml:space="preserve">Permanent WA</t>
  </si>
  <si>
    <t xml:space="preserve">Isabella</t>
  </si>
  <si>
    <t xml:space="preserve">NIKODINOVSKI</t>
  </si>
  <si>
    <t xml:space="preserve">Casual Office Assistant</t>
  </si>
  <si>
    <t xml:space="preserve">Casual Office Assistant (OFFICE / ADMIN) on a Production &amp; Support agreement. Office work is usually covered by the Clerks Private Sector Award [MA000002], not a production/technical classification. Check correct award.</t>
  </si>
  <si>
    <t xml:space="preserve">Clerks level 1 to 5 to be set from duties. Currently on LPA Production &amp; Support Staff Level 5</t>
  </si>
  <si>
    <t xml:space="preserve">Jaazaniah</t>
  </si>
  <si>
    <t xml:space="preserve">SALANOA</t>
  </si>
  <si>
    <t xml:space="preserve">AV Production Project Manager</t>
  </si>
  <si>
    <t xml:space="preserve">Jack</t>
  </si>
  <si>
    <t xml:space="preserve">Sankey</t>
  </si>
  <si>
    <t xml:space="preserve">Casual Audio Visual Technician Sydney</t>
  </si>
  <si>
    <t xml:space="preserve">James</t>
  </si>
  <si>
    <t xml:space="preserve">BUTLER</t>
  </si>
  <si>
    <t xml:space="preserve">Jason</t>
  </si>
  <si>
    <t xml:space="preserve">Ng</t>
  </si>
  <si>
    <t xml:space="preserve">DTTL BNE Onsite [ONS]</t>
  </si>
  <si>
    <t xml:space="preserve">Permanent QLD</t>
  </si>
  <si>
    <t xml:space="preserve">Jayden</t>
  </si>
  <si>
    <t xml:space="preserve">Naidu</t>
  </si>
  <si>
    <t xml:space="preserve">Jeffrey</t>
  </si>
  <si>
    <t xml:space="preserve">Kempin</t>
  </si>
  <si>
    <t xml:space="preserve">PWC - MEL Tech [ONS]</t>
  </si>
  <si>
    <t xml:space="preserve">Casual Level 4 at $28.12, lower than other casual Level 4s ($30.00) and below every permanent Level 4. Check against agreement/award minimum for Level 4.</t>
  </si>
  <si>
    <t xml:space="preserve">Jeremy</t>
  </si>
  <si>
    <t xml:space="preserve">Alysandratos</t>
  </si>
  <si>
    <t xml:space="preserve">Casual with NO leave allowance template. Assign the correct Casual [state] template.</t>
  </si>
  <si>
    <t xml:space="preserve">John</t>
  </si>
  <si>
    <t xml:space="preserve">CHAE</t>
  </si>
  <si>
    <t xml:space="preserve">John Abbas</t>
  </si>
  <si>
    <t xml:space="preserve">Rizvi</t>
  </si>
  <si>
    <t xml:space="preserve">Multimedia Designer and AV Technician</t>
  </si>
  <si>
    <t xml:space="preserve">DTTL Mel Tech FT 1 [ONS]</t>
  </si>
  <si>
    <t xml:space="preserve">Location is DTTL Mel Tech (Melbourne) but leave template is Permanent NSW. Public holidays may be applied for NSW instead of VIC. Confirm work state.</t>
  </si>
  <si>
    <t xml:space="preserve">Jonathan</t>
  </si>
  <si>
    <t xml:space="preserve">Hendratno</t>
  </si>
  <si>
    <t xml:space="preserve">CBA Dedicated Tech [ONS]</t>
  </si>
  <si>
    <t xml:space="preserve">Jordan</t>
  </si>
  <si>
    <t xml:space="preserve">SEXTY</t>
  </si>
  <si>
    <t xml:space="preserve">General Manager - Commercial Operations</t>
  </si>
  <si>
    <t xml:space="preserve">Joshua</t>
  </si>
  <si>
    <t xml:space="preserve">Velarde</t>
  </si>
  <si>
    <t xml:space="preserve">ONSITE (including PROD backup)</t>
  </si>
  <si>
    <t xml:space="preserve">Casual with NO leave allowance template, and location is generic "ONSITE". Confirm work state and assign template.</t>
  </si>
  <si>
    <t xml:space="preserve">Zekic</t>
  </si>
  <si>
    <t xml:space="preserve">DTTL SYD FT Tech 2 [ONS]</t>
  </si>
  <si>
    <t xml:space="preserve">Juan Gabriel</t>
  </si>
  <si>
    <t xml:space="preserve">Lopez</t>
  </si>
  <si>
    <t xml:space="preserve">Casual AV Concierge (ADL)</t>
  </si>
  <si>
    <t xml:space="preserve">Karl</t>
  </si>
  <si>
    <t xml:space="preserve">Jenner</t>
  </si>
  <si>
    <t xml:space="preserve">Casual Level 6 at $32.29, far below other casual Level 6s ($36 to $46.71) and below every permanent Level 6. Check classification and minimum rate.</t>
  </si>
  <si>
    <t xml:space="preserve">Kent Vincent</t>
  </si>
  <si>
    <t xml:space="preserve">Dejos</t>
  </si>
  <si>
    <t xml:space="preserve">DTTL SYD Internal [ONS]</t>
  </si>
  <si>
    <t xml:space="preserve">Kyle</t>
  </si>
  <si>
    <t xml:space="preserve">Krishnappa</t>
  </si>
  <si>
    <t xml:space="preserve">Technician (DTTL ADL)</t>
  </si>
  <si>
    <t xml:space="preserve">Permanent SA</t>
  </si>
  <si>
    <t xml:space="preserve">Layla</t>
  </si>
  <si>
    <t xml:space="preserve">Phillips</t>
  </si>
  <si>
    <t xml:space="preserve">PWC - SYD Tech [ONS]</t>
  </si>
  <si>
    <t xml:space="preserve">Mark</t>
  </si>
  <si>
    <t xml:space="preserve">Brooks</t>
  </si>
  <si>
    <t xml:space="preserve">Maximus</t>
  </si>
  <si>
    <t xml:space="preserve">Juckes</t>
  </si>
  <si>
    <t xml:space="preserve">Milo</t>
  </si>
  <si>
    <t xml:space="preserve">RANKIN</t>
  </si>
  <si>
    <t xml:space="preserve">Mitchell</t>
  </si>
  <si>
    <t xml:space="preserve">Healey</t>
  </si>
  <si>
    <t xml:space="preserve">Production &amp; Support Staff - Level 8</t>
  </si>
  <si>
    <t xml:space="preserve">Permanent - Production &amp; Support Staff - Level 8</t>
  </si>
  <si>
    <t xml:space="preserve">Production Manager</t>
  </si>
  <si>
    <t xml:space="preserve">Production and Support Staff Level 8 (as set up in EH). Production Manager. May be award free if the role is truly managerial. Contract decides.</t>
  </si>
  <si>
    <t xml:space="preserve">Morgan</t>
  </si>
  <si>
    <t xml:space="preserve">Palmer</t>
  </si>
  <si>
    <t xml:space="preserve">PWC IT P/T BNE [ONS]</t>
  </si>
  <si>
    <t xml:space="preserve">Casual Level 5 at $29.00, lowest casual Level 5 and lower than most casual Level 4s. Check classification and minimum rate.</t>
  </si>
  <si>
    <t xml:space="preserve">Nicholas</t>
  </si>
  <si>
    <t xml:space="preserve">Pinnington</t>
  </si>
  <si>
    <t xml:space="preserve">CBA Tech NP [ONS]</t>
  </si>
  <si>
    <t xml:space="preserve">Patrick</t>
  </si>
  <si>
    <t xml:space="preserve">LEE</t>
  </si>
  <si>
    <t xml:space="preserve">Workplace Technology Specialist</t>
  </si>
  <si>
    <t xml:space="preserve">Production and Support Staff Level 6 (as set up in EH). Workplace technology role. Check the duties are production and support work.</t>
  </si>
  <si>
    <t xml:space="preserve">Peter</t>
  </si>
  <si>
    <t xml:space="preserve">Kiernan</t>
  </si>
  <si>
    <t xml:space="preserve">Premila</t>
  </si>
  <si>
    <t xml:space="preserve">Accountant</t>
  </si>
  <si>
    <t xml:space="preserve">Accountant (OFFICE / ADMIN) on a Production &amp; Support Level 5 agreement. Could be Clerks award or award-free depending on duties and pay. Check.</t>
  </si>
  <si>
    <t xml:space="preserve">CHECK: Clerks Private Sector Award 2020 [MA000002] or award free</t>
  </si>
  <si>
    <t xml:space="preserve">Clerks award if the work is accounts clerk work. Award free if it is professional accounting work. Contract and duties decide.</t>
  </si>
  <si>
    <t xml:space="preserve">Raigardas</t>
  </si>
  <si>
    <t xml:space="preserve">Breskys</t>
  </si>
  <si>
    <t xml:space="preserve">Dimensional Audio Operator FEB 2025 [PRD]</t>
  </si>
  <si>
    <t xml:space="preserve">Roberto</t>
  </si>
  <si>
    <t xml:space="preserve">Serritelli</t>
  </si>
  <si>
    <t xml:space="preserve">Casual Technician (BNE)</t>
  </si>
  <si>
    <t xml:space="preserve">Casual Level 6 at $33.85, well below most casual Level 6s and below every permanent Level 6. Check classification and minimum rate.</t>
  </si>
  <si>
    <t xml:space="preserve">Roger</t>
  </si>
  <si>
    <t xml:space="preserve">Wehbe</t>
  </si>
  <si>
    <t xml:space="preserve">Casual Technician/Project Manager</t>
  </si>
  <si>
    <t xml:space="preserve">MARKETING / COMMS [CTS]</t>
  </si>
  <si>
    <t xml:space="preserve">Ruairidh</t>
  </si>
  <si>
    <t xml:space="preserve">Howard</t>
  </si>
  <si>
    <t xml:space="preserve">Sangeeta</t>
  </si>
  <si>
    <t xml:space="preserve">Lachmaiya</t>
  </si>
  <si>
    <t xml:space="preserve">Sebastien</t>
  </si>
  <si>
    <t xml:space="preserve">Hathaway</t>
  </si>
  <si>
    <t xml:space="preserve">Videographer</t>
  </si>
  <si>
    <t xml:space="preserve">Simon</t>
  </si>
  <si>
    <t xml:space="preserve">GRUENEFELD</t>
  </si>
  <si>
    <t xml:space="preserve">Support Account Manager</t>
  </si>
  <si>
    <t xml:space="preserve">Casual on casual agreement but on a PERMANENT NSW leave template. He may be accruing annual/personal leave he is not entitled to as a casual. Job title Support Account Manager suggests he may actually be meant to be permanent. Confirm contract.</t>
  </si>
  <si>
    <t xml:space="preserve">Production and Support Staff Level 6 (as set up in EH). Account manager title. Check the duties are production and support work.</t>
  </si>
  <si>
    <t xml:space="preserve">Simone</t>
  </si>
  <si>
    <t xml:space="preserve">Citrani</t>
  </si>
  <si>
    <t xml:space="preserve">Stephen</t>
  </si>
  <si>
    <t xml:space="preserve">ADAM</t>
  </si>
  <si>
    <t xml:space="preserve">DTTL MEL Tech (PT) [ONS]</t>
  </si>
  <si>
    <t xml:space="preserve">Timothy</t>
  </si>
  <si>
    <t xml:space="preserve">Camden</t>
  </si>
  <si>
    <t xml:space="preserve">Tina</t>
  </si>
  <si>
    <t xml:space="preserve">Nguyen</t>
  </si>
  <si>
    <t xml:space="preserve">Full Time Technician</t>
  </si>
  <si>
    <t xml:space="preserve">CBA Tech TN [ONS]</t>
  </si>
  <si>
    <t xml:space="preserve">Tyler</t>
  </si>
  <si>
    <t xml:space="preserve">WOOD</t>
  </si>
  <si>
    <t xml:space="preserve">Production &amp; Support Staff - Level 7</t>
  </si>
  <si>
    <t xml:space="preserve">Permanent - Production &amp; Support Staff - Level 7</t>
  </si>
  <si>
    <t xml:space="preserve">Senior AV Production Project Manager</t>
  </si>
  <si>
    <t xml:space="preserve">Production and Support Staff Level 7 (as set up in EH). Senior project manager. May be award free if the role is truly managerial. Contract decides.</t>
  </si>
  <si>
    <t xml:space="preserve">Tyrell</t>
  </si>
  <si>
    <t xml:space="preserve">SHORTT</t>
  </si>
  <si>
    <t xml:space="preserve">Technician (CBA BNE)</t>
  </si>
  <si>
    <t xml:space="preserve">CBA Brisbane ONS [ONS]</t>
  </si>
  <si>
    <t xml:space="preserve">Wade</t>
  </si>
  <si>
    <t xml:space="preserve">TONNA</t>
  </si>
  <si>
    <t xml:space="preserve">Site Team Leader</t>
  </si>
  <si>
    <t xml:space="preserve">CBA Team Leader [ONS]</t>
  </si>
  <si>
    <t xml:space="preserve">Zach</t>
  </si>
  <si>
    <t xml:space="preserve">Lecher</t>
  </si>
  <si>
    <t xml:space="preserve">CBA FT Tech MEL - 12 months [ONS]</t>
  </si>
  <si>
    <t xml:space="preserve">Zain</t>
  </si>
  <si>
    <t xml:space="preserve">Zaidi</t>
  </si>
  <si>
    <t xml:space="preserve">Casual Level 3 at $28.89, below other casual Level 3 ($30.00). Job title not set (shows the level name). Check minimum rate and update title.</t>
  </si>
  <si>
    <t xml:space="preserve">Zed</t>
  </si>
  <si>
    <t xml:space="preserve">Norrie</t>
  </si>
  <si>
    <t xml:space="preserve">Rate of pay</t>
  </si>
  <si>
    <t xml:space="preserve">Ordinary rate of pay</t>
  </si>
  <si>
    <t xml:space="preserve">$31.56944 per hour</t>
  </si>
  <si>
    <t xml:space="preserve">$31.56944</t>
  </si>
  <si>
    <t xml:space="preserve">$46.63672 per hour</t>
  </si>
  <si>
    <t xml:space="preserve">$46.63672</t>
  </si>
  <si>
    <t xml:space="preserve">$35.87440 per hour</t>
  </si>
  <si>
    <t xml:space="preserve">$35.87440</t>
  </si>
  <si>
    <t xml:space="preserve">$46.63640 per hour</t>
  </si>
  <si>
    <t xml:space="preserve">$46.63640</t>
  </si>
  <si>
    <t xml:space="preserve">$40.00000 per hour</t>
  </si>
  <si>
    <t xml:space="preserve">$40.00000</t>
  </si>
  <si>
    <t xml:space="preserve">$30.00000 per hour</t>
  </si>
  <si>
    <t xml:space="preserve">$30.00000</t>
  </si>
  <si>
    <t xml:space="preserve">$41.60000 per hour</t>
  </si>
  <si>
    <t xml:space="preserve">$41.60000</t>
  </si>
  <si>
    <t xml:space="preserve">$34.34066 per hour</t>
  </si>
  <si>
    <t xml:space="preserve">$34.34066</t>
  </si>
  <si>
    <t xml:space="preserve">$38.63320 per hour</t>
  </si>
  <si>
    <t xml:space="preserve">$38.63320</t>
  </si>
  <si>
    <t xml:space="preserve">$36.00000 per hour</t>
  </si>
  <si>
    <t xml:space="preserve">$36.00000</t>
  </si>
  <si>
    <t xml:space="preserve">$30.26270 per hour</t>
  </si>
  <si>
    <t xml:space="preserve">$30.26270</t>
  </si>
  <si>
    <t xml:space="preserve">$32.80000 per hour</t>
  </si>
  <si>
    <t xml:space="preserve">$32.80000</t>
  </si>
  <si>
    <t xml:space="preserve">$44.00000 per hour</t>
  </si>
  <si>
    <t xml:space="preserve">$44.00000</t>
  </si>
  <si>
    <t xml:space="preserve">$46.43000 per hour</t>
  </si>
  <si>
    <t xml:space="preserve">$46.43000</t>
  </si>
  <si>
    <t xml:space="preserve">$55.28850 per hour</t>
  </si>
  <si>
    <t xml:space="preserve">$55.28850</t>
  </si>
  <si>
    <t xml:space="preserve">$42.92582 per hour</t>
  </si>
  <si>
    <t xml:space="preserve">$42.92582</t>
  </si>
  <si>
    <t xml:space="preserve">$44.53550 per hour</t>
  </si>
  <si>
    <t xml:space="preserve">$44.53550</t>
  </si>
  <si>
    <t xml:space="preserve">$26.07740 per hour</t>
  </si>
  <si>
    <t xml:space="preserve">$26.07740</t>
  </si>
  <si>
    <t xml:space="preserve">$31.00000 per hour</t>
  </si>
  <si>
    <t xml:space="preserve">$31.00000</t>
  </si>
  <si>
    <t xml:space="preserve">$35.05610 per hour</t>
  </si>
  <si>
    <t xml:space="preserve">$35.05610</t>
  </si>
  <si>
    <t xml:space="preserve">$39.46180 per hour</t>
  </si>
  <si>
    <t xml:space="preserve">$39.46180</t>
  </si>
  <si>
    <t xml:space="preserve">$27.17000 per hour</t>
  </si>
  <si>
    <t xml:space="preserve">$27.17000</t>
  </si>
  <si>
    <t xml:space="preserve">$35.75000 per hour</t>
  </si>
  <si>
    <t xml:space="preserve">$35.75000</t>
  </si>
  <si>
    <t xml:space="preserve">$53.22800 per hour</t>
  </si>
  <si>
    <t xml:space="preserve">$53.22800</t>
  </si>
  <si>
    <t xml:space="preserve">$104.03390 per hour</t>
  </si>
  <si>
    <t xml:space="preserve">$104.03390</t>
  </si>
  <si>
    <t xml:space="preserve">$34.34070 per hour</t>
  </si>
  <si>
    <t xml:space="preserve">$34.34070</t>
  </si>
  <si>
    <t xml:space="preserve">$45.71600 per hour</t>
  </si>
  <si>
    <t xml:space="preserve">$45.71600</t>
  </si>
  <si>
    <t xml:space="preserve">$39.46184 per hour</t>
  </si>
  <si>
    <t xml:space="preserve">$39.46184</t>
  </si>
  <si>
    <t xml:space="preserve">$30.90660 per hour</t>
  </si>
  <si>
    <t xml:space="preserve">$30.90660</t>
  </si>
  <si>
    <t xml:space="preserve">$32.00000 per hour</t>
  </si>
  <si>
    <t xml:space="preserve">$32.00000</t>
  </si>
  <si>
    <t xml:space="preserve">$28.12000 per hour</t>
  </si>
  <si>
    <t xml:space="preserve">$28.12000</t>
  </si>
  <si>
    <t xml:space="preserve">$46.70810 per hour</t>
  </si>
  <si>
    <t xml:space="preserve">$46.70810</t>
  </si>
  <si>
    <t xml:space="preserve">$33.69680 per hour</t>
  </si>
  <si>
    <t xml:space="preserve">$33.69680</t>
  </si>
  <si>
    <t xml:space="preserve">$66.53500 per hour</t>
  </si>
  <si>
    <t xml:space="preserve">$66.53500</t>
  </si>
  <si>
    <t xml:space="preserve">$32.28696 per hour</t>
  </si>
  <si>
    <t xml:space="preserve">$32.28696</t>
  </si>
  <si>
    <t xml:space="preserve">$30.04810 per hour</t>
  </si>
  <si>
    <t xml:space="preserve">$30.04810</t>
  </si>
  <si>
    <t xml:space="preserve">$33.48210 per hour</t>
  </si>
  <si>
    <t xml:space="preserve">$33.48210</t>
  </si>
  <si>
    <t xml:space="preserve">$55.80357 per hour</t>
  </si>
  <si>
    <t xml:space="preserve">$55.80357</t>
  </si>
  <si>
    <t xml:space="preserve">$29.00000 per hour</t>
  </si>
  <si>
    <t xml:space="preserve">$29.00000</t>
  </si>
  <si>
    <t xml:space="preserve">$35.62840 per hour</t>
  </si>
  <si>
    <t xml:space="preserve">$35.62840</t>
  </si>
  <si>
    <t xml:space="preserve">$41.04000 per hour</t>
  </si>
  <si>
    <t xml:space="preserve">$41.04000</t>
  </si>
  <si>
    <t xml:space="preserve">$39.29000 per hour</t>
  </si>
  <si>
    <t xml:space="preserve">$39.29000</t>
  </si>
  <si>
    <t xml:space="preserve">$31.76510 per hour</t>
  </si>
  <si>
    <t xml:space="preserve">$31.76510</t>
  </si>
  <si>
    <t xml:space="preserve">$33.85000 per hour</t>
  </si>
  <si>
    <t xml:space="preserve">$33.85000</t>
  </si>
  <si>
    <t xml:space="preserve">$31.76511 per hour</t>
  </si>
  <si>
    <t xml:space="preserve">$31.76511</t>
  </si>
  <si>
    <t xml:space="preserve">$41.42340 per hour</t>
  </si>
  <si>
    <t xml:space="preserve">$41.42340</t>
  </si>
  <si>
    <t xml:space="preserve">$45.00000 per hour</t>
  </si>
  <si>
    <t xml:space="preserve">$45.00000</t>
  </si>
  <si>
    <t xml:space="preserve">$30.40000 per hour</t>
  </si>
  <si>
    <t xml:space="preserve">$30.40000</t>
  </si>
  <si>
    <t xml:space="preserve">$53.65730 per hour</t>
  </si>
  <si>
    <t xml:space="preserve">$53.65730</t>
  </si>
  <si>
    <t xml:space="preserve">$40.56490 per hour</t>
  </si>
  <si>
    <t xml:space="preserve">$40.56490</t>
  </si>
  <si>
    <t xml:space="preserve">$28.89000 per hour</t>
  </si>
  <si>
    <t xml:space="preserve">$28.89000</t>
  </si>
</sst>
</file>

<file path=xl/styles.xml><?xml version="1.0" encoding="utf-8"?>
<styleSheet xmlns="http://schemas.openxmlformats.org/spreadsheetml/2006/main">
  <numFmts count="4">
    <numFmt numFmtId="164" formatCode="General"/>
    <numFmt numFmtId="165" formatCode="\$#,##0.00000"/>
    <numFmt numFmtId="166" formatCode="dd/mm/yyyy"/>
    <numFmt numFmtId="167" formatCode="yyyy\-mm\-dd\ h:mm:ss"/>
  </numFmts>
  <fonts count="1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color theme="0"/>
      <name val="Arial"/>
      <family val="2"/>
      <charset val="1"/>
    </font>
    <font>
      <b val="true"/>
      <sz val="11"/>
      <name val="Arial"/>
      <family val="0"/>
      <charset val="1"/>
    </font>
    <font>
      <i val="true"/>
      <sz val="11"/>
      <name val="Arial"/>
      <family val="0"/>
      <charset val="1"/>
    </font>
    <font>
      <b val="true"/>
      <sz val="11"/>
      <color rgb="FFFFFFFF"/>
      <name val="Arial"/>
      <family val="0"/>
      <charset val="1"/>
    </font>
    <font>
      <u val="single"/>
      <sz val="11"/>
      <color rgb="FF0563C1"/>
      <name val="Arial"/>
      <family val="0"/>
      <charset val="1"/>
    </font>
    <font>
      <b val="true"/>
      <sz val="12"/>
      <name val="Arial"/>
      <family val="0"/>
      <charset val="1"/>
    </font>
    <font>
      <b val="true"/>
      <sz val="11"/>
      <color rgb="FFFFFFFF"/>
      <name val="Arial"/>
      <family val="2"/>
      <charset val="1"/>
    </font>
    <font>
      <b val="true"/>
      <sz val="11"/>
      <color rgb="FF000000"/>
      <name val="Arial"/>
      <family val="0"/>
      <charset val="1"/>
    </font>
    <font>
      <sz val="11"/>
      <color rgb="FF0000FF"/>
      <name val="Arial"/>
      <family val="0"/>
      <charset val="1"/>
    </font>
    <font>
      <b val="true"/>
      <sz val="11"/>
      <color rgb="FFC00000"/>
      <name val="Arial"/>
      <family val="0"/>
      <charset val="1"/>
    </font>
    <font>
      <b val="true"/>
      <sz val="11"/>
      <color rgb="FF7F7F7F"/>
      <name val="Arial"/>
      <family val="0"/>
      <charset val="1"/>
    </font>
    <font>
      <b val="true"/>
      <sz val="11"/>
      <color rgb="FFC65911"/>
      <name val="Arial"/>
      <family val="0"/>
      <charset val="1"/>
    </font>
  </fonts>
  <fills count="6">
    <fill>
      <patternFill patternType="none"/>
    </fill>
    <fill>
      <patternFill patternType="gray125"/>
    </fill>
    <fill>
      <patternFill patternType="solid">
        <fgColor theme="0"/>
        <bgColor rgb="FFF2F2F2"/>
      </patternFill>
    </fill>
    <fill>
      <patternFill patternType="solid">
        <fgColor rgb="FF002060"/>
        <bgColor rgb="FF1F3864"/>
      </patternFill>
    </fill>
    <fill>
      <patternFill patternType="solid">
        <fgColor rgb="FF1F3864"/>
        <bgColor rgb="FF333399"/>
      </patternFill>
    </fill>
    <fill>
      <patternFill patternType="solid">
        <fgColor theme="0" tint="-0.05"/>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2" fillId="4"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7F7F7F"/>
          <bgColor rgb="FF000000"/>
        </patternFill>
      </fill>
    </dxf>
    <dxf>
      <fill>
        <patternFill patternType="solid">
          <fgColor rgb="FFC00000"/>
          <bgColor rgb="FF000000"/>
        </patternFill>
      </fill>
    </dxf>
    <dxf>
      <fill>
        <patternFill patternType="solid">
          <fgColor rgb="FFC65911"/>
          <bgColor rgb="FF000000"/>
        </patternFill>
      </fill>
    </dxf>
    <dxf>
      <fill>
        <patternFill patternType="solid">
          <fgColor rgb="FFF2F2F2"/>
          <bgColor rgb="FF000000"/>
        </patternFill>
      </fill>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65911"/>
      <rgbColor rgb="FF666699"/>
      <rgbColor rgb="FF969696"/>
      <rgbColor rgb="FF002060"/>
      <rgbColor rgb="FF339966"/>
      <rgbColor rgb="FF003300"/>
      <rgbColor rgb="FF333300"/>
      <rgbColor rgb="FF993300"/>
      <rgbColor rgb="FF993366"/>
      <rgbColor rgb="FF33339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fairwork.gov.au/pay-and-wages/minimum-wages/pay-guides" TargetMode="External"/><Relationship Id="rId2" Type="http://schemas.openxmlformats.org/officeDocument/2006/relationships/hyperlink" Target="https://www.fairwork.gov.au/awards-and-agreements/awards/award-summary/ma000025-summary" TargetMode="External"/><Relationship Id="rId3" Type="http://schemas.openxmlformats.org/officeDocument/2006/relationships/hyperlink" Target="https://fairwork.gov.au/awards-and-agreements/awards/award-summary/ma000002-summary" TargetMode="External"/><Relationship Id="rId4" Type="http://schemas.openxmlformats.org/officeDocument/2006/relationships/hyperlink" Target="https://library.fairwork.gov.au/award/?krn=MA000002" TargetMode="External"/><Relationship Id="rId5" Type="http://schemas.openxmlformats.org/officeDocument/2006/relationships/hyperlink" Target="https://www.fairwork.gov.au/"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A43" activeCellId="0" sqref="A43"/>
    </sheetView>
  </sheetViews>
  <sheetFormatPr defaultColWidth="8.71484375" defaultRowHeight="15" zeroHeight="false" outlineLevelRow="0" outlineLevelCol="0"/>
  <cols>
    <col collapsed="false" customWidth="true" hidden="false" outlineLevel="0" max="1" min="1" style="1" width="150"/>
    <col collapsed="false" customWidth="false" hidden="false" outlineLevel="0" max="16384" min="2" style="1" width="8.71"/>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1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row>
    <row r="10" customFormat="false" ht="15" hidden="false" customHeight="true" outlineLevel="0" collapsed="false">
      <c r="A10" s="4" t="s">
        <v>7</v>
      </c>
    </row>
    <row r="11" customFormat="false" ht="1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3"/>
    </row>
    <row r="14" customFormat="false" ht="15" hidden="false" customHeight="true" outlineLevel="0" collapsed="false">
      <c r="A14" s="4" t="s">
        <v>10</v>
      </c>
    </row>
    <row r="15" customFormat="false" ht="15" hidden="false" customHeight="true" outlineLevel="0" collapsed="false">
      <c r="A15" s="3" t="s">
        <v>11</v>
      </c>
    </row>
    <row r="16" customFormat="false" ht="15" hidden="false" customHeight="true" outlineLevel="0" collapsed="false">
      <c r="A16" s="3" t="s">
        <v>12</v>
      </c>
    </row>
    <row r="17" customFormat="false" ht="15" hidden="false" customHeight="true" outlineLevel="0" collapsed="false">
      <c r="A17" s="3" t="s">
        <v>13</v>
      </c>
    </row>
    <row r="18" customFormat="false" ht="15" hidden="false" customHeight="true" outlineLevel="0" collapsed="false">
      <c r="A18" s="3"/>
    </row>
    <row r="19" customFormat="false" ht="15" hidden="false" customHeight="true" outlineLevel="0" collapsed="false">
      <c r="A19" s="4" t="s">
        <v>14</v>
      </c>
    </row>
    <row r="20" customFormat="false" ht="15" hidden="false" customHeight="true" outlineLevel="0" collapsed="false">
      <c r="A20" s="3" t="s">
        <v>15</v>
      </c>
    </row>
    <row r="21" customFormat="false" ht="15" hidden="false" customHeight="true" outlineLevel="0" collapsed="false">
      <c r="A21" s="3"/>
    </row>
    <row r="22" customFormat="false" ht="15" hidden="false" customHeight="true" outlineLevel="0" collapsed="false">
      <c r="A22" s="4" t="s">
        <v>16</v>
      </c>
    </row>
    <row r="23" customFormat="false" ht="15" hidden="false" customHeight="true" outlineLevel="0" collapsed="false">
      <c r="A23" s="3" t="s">
        <v>17</v>
      </c>
    </row>
    <row r="24" customFormat="false" ht="15" hidden="false" customHeight="true" outlineLevel="0" collapsed="false">
      <c r="A24" s="3" t="s">
        <v>18</v>
      </c>
    </row>
    <row r="25" customFormat="false" ht="15" hidden="false" customHeight="true" outlineLevel="0" collapsed="false">
      <c r="A25" s="3"/>
    </row>
    <row r="26" customFormat="false" ht="15" hidden="false" customHeight="true" outlineLevel="0" collapsed="false">
      <c r="A26" s="4" t="s">
        <v>19</v>
      </c>
    </row>
    <row r="27" customFormat="false" ht="15" hidden="false" customHeight="true" outlineLevel="0" collapsed="false">
      <c r="A27" s="3" t="s">
        <v>20</v>
      </c>
    </row>
    <row r="28" customFormat="false" ht="15" hidden="false" customHeight="true" outlineLevel="0" collapsed="false">
      <c r="A28" s="3"/>
    </row>
    <row r="29" customFormat="false" ht="15" hidden="false" customHeight="true" outlineLevel="0" collapsed="false">
      <c r="A29" s="4" t="s">
        <v>21</v>
      </c>
    </row>
    <row r="30" customFormat="false" ht="15" hidden="false" customHeight="true" outlineLevel="0" collapsed="false">
      <c r="A30" s="3" t="s">
        <v>22</v>
      </c>
    </row>
    <row r="31" customFormat="false" ht="15" hidden="false" customHeight="true" outlineLevel="0" collapsed="false">
      <c r="A31" s="3" t="s">
        <v>23</v>
      </c>
    </row>
    <row r="32" customFormat="false" ht="15" hidden="false" customHeight="true" outlineLevel="0" collapsed="false">
      <c r="A32" s="3" t="s">
        <v>24</v>
      </c>
    </row>
    <row r="34" customFormat="false" ht="15" hidden="false" customHeight="true" outlineLevel="0" collapsed="false">
      <c r="A34"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71484375" defaultRowHeight="15" zeroHeight="false" outlineLevelRow="0" outlineLevelCol="0"/>
  <cols>
    <col collapsed="false" customWidth="true" hidden="false" outlineLevel="0" max="1" min="1" style="6" width="48"/>
    <col collapsed="false" customWidth="true" hidden="false" outlineLevel="0" max="2" min="2" style="6" width="70"/>
    <col collapsed="false" customWidth="true" hidden="false" outlineLevel="0" max="3" min="3" style="6" width="75"/>
  </cols>
  <sheetData>
    <row r="1" customFormat="false" ht="18" hidden="false" customHeight="true" outlineLevel="0" collapsed="false">
      <c r="A1" s="7" t="s">
        <v>25</v>
      </c>
    </row>
    <row r="2" customFormat="false" ht="15" hidden="false" customHeight="true" outlineLevel="0" collapsed="false">
      <c r="A2" s="8"/>
    </row>
    <row r="4" customFormat="false" ht="15" hidden="false" customHeight="true" outlineLevel="0" collapsed="false">
      <c r="A4" s="9" t="s">
        <v>26</v>
      </c>
      <c r="B4" s="9" t="s">
        <v>27</v>
      </c>
      <c r="C4" s="9" t="s">
        <v>28</v>
      </c>
    </row>
    <row r="5" customFormat="false" ht="42.75" hidden="false" customHeight="true" outlineLevel="0" collapsed="false">
      <c r="A5" s="10" t="s">
        <v>29</v>
      </c>
      <c r="B5" s="11" t="s">
        <v>30</v>
      </c>
      <c r="C5" s="12" t="s">
        <v>31</v>
      </c>
    </row>
    <row r="6" customFormat="false" ht="30" hidden="false" customHeight="true" outlineLevel="0" collapsed="false">
      <c r="A6" s="10" t="s">
        <v>32</v>
      </c>
      <c r="B6" s="11" t="s">
        <v>33</v>
      </c>
      <c r="C6" s="12" t="s">
        <v>34</v>
      </c>
    </row>
    <row r="7" customFormat="false" ht="28.5" hidden="false" customHeight="true" outlineLevel="0" collapsed="false">
      <c r="A7" s="10" t="s">
        <v>35</v>
      </c>
      <c r="B7" s="11" t="s">
        <v>36</v>
      </c>
      <c r="C7" s="12" t="s">
        <v>37</v>
      </c>
    </row>
    <row r="8" customFormat="false" ht="28.5" hidden="false" customHeight="true" outlineLevel="0" collapsed="false">
      <c r="A8" s="10" t="s">
        <v>38</v>
      </c>
      <c r="B8" s="11" t="s">
        <v>39</v>
      </c>
      <c r="C8" s="12" t="s">
        <v>40</v>
      </c>
    </row>
    <row r="9" customFormat="false" ht="28.5" hidden="false" customHeight="true" outlineLevel="0" collapsed="false">
      <c r="A9" s="10" t="s">
        <v>41</v>
      </c>
      <c r="B9" s="11" t="s">
        <v>42</v>
      </c>
      <c r="C9" s="12" t="s">
        <v>43</v>
      </c>
    </row>
    <row r="11" customFormat="false" ht="15.75" hidden="false" customHeight="true" outlineLevel="0" collapsed="false">
      <c r="A11" s="13"/>
    </row>
    <row r="12" customFormat="false" ht="31.5" hidden="false" customHeight="true" outlineLevel="0" collapsed="false">
      <c r="A12" s="14"/>
      <c r="B12" s="14"/>
      <c r="C12" s="14"/>
    </row>
    <row r="13" customFormat="false" ht="31.5" hidden="false" customHeight="true" outlineLevel="0" collapsed="false">
      <c r="A13" s="14"/>
      <c r="B13" s="14"/>
      <c r="C13" s="14"/>
    </row>
    <row r="14" customFormat="false" ht="31.5" hidden="false" customHeight="true" outlineLevel="0" collapsed="false">
      <c r="A14" s="14"/>
      <c r="B14" s="14"/>
      <c r="C14" s="14"/>
    </row>
    <row r="15" customFormat="false" ht="31.5" hidden="false" customHeight="true" outlineLevel="0" collapsed="false">
      <c r="A15" s="14"/>
      <c r="B15" s="14"/>
      <c r="C15" s="14"/>
    </row>
    <row r="16" customFormat="false" ht="77.25" hidden="false" customHeight="true" outlineLevel="0" collapsed="false">
      <c r="A16" s="10" t="s">
        <v>44</v>
      </c>
      <c r="B16" s="11" t="s">
        <v>45</v>
      </c>
      <c r="C16" s="12" t="s">
        <v>46</v>
      </c>
    </row>
  </sheetData>
  <mergeCells count="4">
    <mergeCell ref="A12:C12"/>
    <mergeCell ref="A13:C13"/>
    <mergeCell ref="A14:C14"/>
    <mergeCell ref="A15:C15"/>
  </mergeCells>
  <hyperlinks>
    <hyperlink ref="C5" r:id="rId1" display="https://www.fairwork.gov.au/pay-and-wages/minimum-wages/pay-guides"/>
    <hyperlink ref="C6" r:id="rId2" display="https://www.fairwork.gov.au/awards-and-agreements/awards/award-summary/ma000025-summary"/>
    <hyperlink ref="C7" r:id="rId3" display="https://fairwork.gov.au/awards-and-agreements/awards/award-summary/ma000002-summary"/>
    <hyperlink ref="C8" r:id="rId4" display="https://library.fairwork.gov.au/award/?krn=MA000002"/>
    <hyperlink ref="C9" r:id="rId5" display="https://www.fairwork.gov.au"/>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E4" activeCellId="0" sqref="E4"/>
    </sheetView>
  </sheetViews>
  <sheetFormatPr defaultColWidth="8.71484375" defaultRowHeight="15" zeroHeight="false" outlineLevelRow="0" outlineLevelCol="0"/>
  <cols>
    <col collapsed="false" customWidth="true" hidden="false" outlineLevel="0" max="1" min="1" style="6" width="12"/>
    <col collapsed="false" customWidth="true" hidden="false" outlineLevel="0" max="2" min="2" style="6" width="16"/>
    <col collapsed="false" customWidth="true" hidden="false" outlineLevel="0" max="3" min="3" style="6" width="11"/>
    <col collapsed="false" customWidth="true" hidden="false" outlineLevel="0" max="4" min="4" style="6" width="34"/>
    <col collapsed="false" customWidth="true" hidden="false" outlineLevel="0" max="5" min="5" style="6" width="40"/>
    <col collapsed="false" customWidth="true" hidden="false" outlineLevel="0" max="6" min="6" style="6" width="22"/>
    <col collapsed="false" customWidth="true" hidden="false" outlineLevel="0" max="7" min="7" style="6" width="12"/>
    <col collapsed="false" customWidth="true" hidden="false" outlineLevel="0" max="8" min="8" style="6" width="15"/>
    <col collapsed="false" customWidth="true" hidden="false" outlineLevel="0" max="9" min="9" style="6" width="11"/>
    <col collapsed="false" customWidth="true" hidden="false" outlineLevel="0" max="11" min="10" style="6" width="30"/>
    <col collapsed="false" customWidth="true" hidden="false" outlineLevel="0" max="12" min="12" style="6" width="24"/>
    <col collapsed="false" customWidth="true" hidden="false" outlineLevel="0" max="13" min="13" style="6" width="7"/>
    <col collapsed="false" customWidth="true" hidden="false" outlineLevel="0" max="14" min="14" style="6" width="9"/>
    <col collapsed="false" customWidth="true" hidden="false" outlineLevel="0" max="16" min="15" style="6" width="14"/>
    <col collapsed="false" customWidth="true" hidden="false" outlineLevel="0" max="17" min="17" style="6" width="16"/>
    <col collapsed="false" customWidth="true" hidden="false" outlineLevel="0" max="19" min="18" style="6" width="14"/>
    <col collapsed="false" customWidth="true" hidden="false" outlineLevel="0" max="20" min="20" style="6" width="9"/>
    <col collapsed="false" customWidth="true" hidden="false" outlineLevel="0" max="21" min="21" style="6" width="70"/>
    <col collapsed="false" customWidth="true" hidden="false" outlineLevel="0" max="22" min="22" style="6" width="34"/>
    <col collapsed="false" customWidth="true" hidden="false" outlineLevel="0" max="23" min="23" style="6" width="46"/>
    <col collapsed="false" customWidth="true" hidden="false" outlineLevel="0" max="24" min="24" style="6" width="12"/>
    <col collapsed="false" customWidth="true" hidden="false" outlineLevel="0" max="25" min="25" style="6" width="24"/>
    <col collapsed="false" customWidth="true" hidden="false" outlineLevel="0" max="26" min="26" style="6" width="22"/>
    <col collapsed="false" customWidth="true" hidden="false" outlineLevel="0" max="27" min="27" style="6" width="14"/>
  </cols>
  <sheetData>
    <row r="1" customFormat="false" ht="60" hidden="false" customHeight="true" outlineLevel="0" collapsed="false">
      <c r="A1" s="15" t="s">
        <v>47</v>
      </c>
      <c r="B1" s="15" t="s">
        <v>48</v>
      </c>
      <c r="C1" s="15" t="s">
        <v>49</v>
      </c>
      <c r="D1" s="15" t="s">
        <v>50</v>
      </c>
      <c r="E1" s="15" t="s">
        <v>51</v>
      </c>
      <c r="F1" s="15" t="s">
        <v>52</v>
      </c>
      <c r="G1" s="16" t="s">
        <v>53</v>
      </c>
      <c r="H1" s="15" t="s">
        <v>54</v>
      </c>
      <c r="I1" s="15" t="s">
        <v>55</v>
      </c>
      <c r="J1" s="15" t="s">
        <v>56</v>
      </c>
      <c r="K1" s="15" t="s">
        <v>57</v>
      </c>
      <c r="L1" s="15" t="s">
        <v>58</v>
      </c>
      <c r="M1" s="15" t="s">
        <v>59</v>
      </c>
      <c r="N1" s="15" t="s">
        <v>60</v>
      </c>
      <c r="O1" s="15" t="s">
        <v>61</v>
      </c>
      <c r="P1" s="15" t="s">
        <v>62</v>
      </c>
      <c r="Q1" s="15" t="s">
        <v>63</v>
      </c>
      <c r="R1" s="15" t="s">
        <v>64</v>
      </c>
      <c r="S1" s="15" t="s">
        <v>65</v>
      </c>
      <c r="T1" s="15" t="s">
        <v>66</v>
      </c>
      <c r="U1" s="15" t="s">
        <v>67</v>
      </c>
      <c r="V1" s="15" t="s">
        <v>68</v>
      </c>
      <c r="W1" s="15" t="s">
        <v>69</v>
      </c>
      <c r="X1" s="15" t="s">
        <v>70</v>
      </c>
      <c r="Y1" s="15" t="s">
        <v>71</v>
      </c>
      <c r="Z1" s="15" t="s">
        <v>72</v>
      </c>
      <c r="AA1" s="15" t="s">
        <v>73</v>
      </c>
    </row>
    <row r="2" customFormat="false" ht="15" hidden="false" customHeight="true" outlineLevel="0" collapsed="false">
      <c r="A2" s="17" t="s">
        <v>74</v>
      </c>
      <c r="B2" s="17" t="s">
        <v>75</v>
      </c>
      <c r="C2" s="17" t="s">
        <v>76</v>
      </c>
      <c r="D2" s="17" t="s">
        <v>77</v>
      </c>
      <c r="E2" s="17" t="s">
        <v>78</v>
      </c>
      <c r="F2" s="17" t="s">
        <v>79</v>
      </c>
      <c r="G2" s="18" t="n">
        <v>31.56944</v>
      </c>
      <c r="H2" s="17" t="s">
        <v>80</v>
      </c>
      <c r="I2" s="19" t="n">
        <v>44453</v>
      </c>
      <c r="J2" s="17" t="s">
        <v>81</v>
      </c>
      <c r="K2" s="17" t="s">
        <v>82</v>
      </c>
      <c r="L2" s="17" t="s">
        <v>83</v>
      </c>
      <c r="M2" s="17" t="n">
        <f aca="false">IFERROR(VALUE(RIGHT(D2,1)),"")</f>
        <v>5</v>
      </c>
      <c r="N2" s="17" t="str">
        <f aca="false">IFERROR(LOOKUP(2,1/ISNUMBER(SEARCH(" "&amp;{"NSW","QLD","VIC","SA","WA","TAS","ACT","NT"}&amp;" "," "&amp;L2&amp;" ")),{"NSW","QLD","VIC","SA","WA","TAS","ACT","NT"}),"")</f>
        <v>QLD</v>
      </c>
      <c r="O2" s="17" t="str">
        <f aca="false">IF(E2="None","NO AGREEMENT",IF(LEFT(E2,6)="Casual",IF(C2="Casual","","MISMATCH"),IF(C2="Casual","MISMATCH","")))</f>
        <v/>
      </c>
      <c r="P2" s="17" t="str">
        <f aca="false">IF(LEFT(L2,6)="Casual",IF(C2="Casual","","MISMATCH"),IF(LEFT(L2,9)="Permanent",IF(C2="Casual","MISMATCH",""),""))</f>
        <v/>
      </c>
      <c r="Q2" s="17" t="str">
        <f aca="false">IF(AND(C2="Casual",M2&lt;&gt;""),IF(COUNTIFS($C$2:$C$80,"&lt;&gt;Casual",$M$2:$M$80,M2)=0,"NO PERM TO COMPARE",IF(G2&lt;_xlfn.MINIFS($G$2:$G$80,$C$2:$C$80,"&lt;&gt;Casual",$M$2:$M$80,M2),"BELOW PERM","")),"")</f>
        <v>BELOW PERM</v>
      </c>
      <c r="R2" s="17" t="str">
        <f aca="false">IF(OR(L2="None",N2=""),"CHECK","")</f>
        <v/>
      </c>
      <c r="S2" s="17" t="str">
        <f aca="false">IF(AND(ISNUMBER(SEARCH("OFFICE",K2)),ISNUMBER(SEARCH("Production",D2))),"CHECK","")</f>
        <v/>
      </c>
      <c r="T2" s="20"/>
      <c r="U2" s="21"/>
      <c r="V2" s="22" t="s">
        <v>44</v>
      </c>
      <c r="W2" s="22" t="s">
        <v>84</v>
      </c>
      <c r="X2" s="22"/>
      <c r="Y2" s="22"/>
      <c r="Z2" s="22"/>
      <c r="AA2" s="22" t="s">
        <v>85</v>
      </c>
    </row>
    <row r="3" customFormat="false" ht="15" hidden="false" customHeight="true" outlineLevel="0" collapsed="false">
      <c r="A3" s="17" t="s">
        <v>86</v>
      </c>
      <c r="B3" s="17" t="s">
        <v>87</v>
      </c>
      <c r="C3" s="17" t="s">
        <v>76</v>
      </c>
      <c r="D3" s="17" t="s">
        <v>88</v>
      </c>
      <c r="E3" s="17" t="s">
        <v>89</v>
      </c>
      <c r="F3" s="17" t="s">
        <v>79</v>
      </c>
      <c r="G3" s="18" t="n">
        <v>46.63672</v>
      </c>
      <c r="H3" s="17" t="s">
        <v>80</v>
      </c>
      <c r="I3" s="19" t="n">
        <v>43696</v>
      </c>
      <c r="J3" s="17" t="s">
        <v>90</v>
      </c>
      <c r="K3" s="17" t="s">
        <v>91</v>
      </c>
      <c r="L3" s="17" t="s">
        <v>92</v>
      </c>
      <c r="M3" s="17" t="n">
        <f aca="false">IFERROR(VALUE(RIGHT(D3,1)),"")</f>
        <v>6</v>
      </c>
      <c r="N3" s="17" t="str">
        <f aca="false">IFERROR(LOOKUP(2,1/ISNUMBER(SEARCH(" "&amp;{"NSW","QLD","VIC","SA","WA","TAS","ACT","NT"}&amp;" "," "&amp;L3&amp;" ")),{"NSW","QLD","VIC","SA","WA","TAS","ACT","NT"}),"")</f>
        <v>NSW</v>
      </c>
      <c r="O3" s="17" t="str">
        <f aca="false">IF(E3="None","NO AGREEMENT",IF(LEFT(E3,6)="Casual",IF(C3="Casual","","MISMATCH"),IF(C3="Casual","MISMATCH","")))</f>
        <v/>
      </c>
      <c r="P3" s="17" t="str">
        <f aca="false">IF(LEFT(L3,6)="Casual",IF(C3="Casual","","MISMATCH"),IF(LEFT(L3,9)="Permanent",IF(C3="Casual","MISMATCH",""),""))</f>
        <v/>
      </c>
      <c r="Q3" s="17" t="str">
        <f aca="false">IF(AND(C3="Casual",M3&lt;&gt;""),IF(COUNTIFS($C$2:$C$80,"&lt;&gt;Casual",$M$2:$M$80,M3)=0,"NO PERM TO COMPARE",IF(G3&lt;_xlfn.MINIFS($G$2:$G$80,$C$2:$C$80,"&lt;&gt;Casual",$M$2:$M$80,M3),"BELOW PERM","")),"")</f>
        <v/>
      </c>
      <c r="R3" s="17" t="str">
        <f aca="false">IF(OR(L3="None",N3=""),"CHECK","")</f>
        <v/>
      </c>
      <c r="S3" s="17" t="str">
        <f aca="false">IF(AND(ISNUMBER(SEARCH("OFFICE",K3)),ISNUMBER(SEARCH("Production",D3))),"CHECK","")</f>
        <v/>
      </c>
      <c r="T3" s="20"/>
      <c r="U3" s="21"/>
      <c r="V3" s="22" t="s">
        <v>44</v>
      </c>
      <c r="W3" s="22" t="s">
        <v>93</v>
      </c>
      <c r="X3" s="22"/>
      <c r="Y3" s="22"/>
      <c r="Z3" s="22"/>
      <c r="AA3" s="22" t="s">
        <v>85</v>
      </c>
    </row>
    <row r="4" customFormat="false" ht="57" hidden="false" customHeight="true" outlineLevel="0" collapsed="false">
      <c r="A4" s="17" t="s">
        <v>94</v>
      </c>
      <c r="B4" s="17" t="s">
        <v>95</v>
      </c>
      <c r="C4" s="17" t="s">
        <v>96</v>
      </c>
      <c r="D4" s="17" t="s">
        <v>77</v>
      </c>
      <c r="E4" s="17" t="s">
        <v>97</v>
      </c>
      <c r="F4" s="17" t="s">
        <v>98</v>
      </c>
      <c r="G4" s="18" t="n">
        <v>35.8744</v>
      </c>
      <c r="H4" s="17" t="s">
        <v>80</v>
      </c>
      <c r="I4" s="19" t="n">
        <v>45803</v>
      </c>
      <c r="J4" s="17" t="s">
        <v>99</v>
      </c>
      <c r="K4" s="17" t="s">
        <v>91</v>
      </c>
      <c r="L4" s="17" t="s">
        <v>92</v>
      </c>
      <c r="M4" s="17" t="n">
        <f aca="false">IFERROR(VALUE(RIGHT(D4,1)),"")</f>
        <v>5</v>
      </c>
      <c r="N4" s="17" t="str">
        <f aca="false">IFERROR(LOOKUP(2,1/ISNUMBER(SEARCH(" "&amp;{"NSW","QLD","VIC","SA","WA","TAS","ACT","NT"}&amp;" "," "&amp;L4&amp;" ")),{"NSW","QLD","VIC","SA","WA","TAS","ACT","NT"}),"")</f>
        <v>NSW</v>
      </c>
      <c r="O4" s="17" t="str">
        <f aca="false">IF(E4="None","NO AGREEMENT",IF(LEFT(E4,6)="Casual",IF(C4="Casual","","MISMATCH"),IF(C4="Casual","MISMATCH","")))</f>
        <v/>
      </c>
      <c r="P4" s="17" t="str">
        <f aca="false">IF(LEFT(L4,6)="Casual",IF(C4="Casual","","MISMATCH"),IF(LEFT(L4,9)="Permanent",IF(C4="Casual","MISMATCH",""),""))</f>
        <v>MISMATCH</v>
      </c>
      <c r="Q4" s="17" t="str">
        <f aca="false">IF(AND(C4="Casual",M4&lt;&gt;""),IF(COUNTIFS($C$2:$C$80,"&lt;&gt;Casual",$M$2:$M$80,M4)=0,"NO PERM TO COMPARE",IF(G4&lt;_xlfn.MINIFS($G$2:$G$80,$C$2:$C$80,"&lt;&gt;Casual",$M$2:$M$80,M4),"BELOW PERM","")),"")</f>
        <v/>
      </c>
      <c r="R4" s="17" t="str">
        <f aca="false">IF(OR(L4="None",N4=""),"CHECK","")</f>
        <v/>
      </c>
      <c r="S4" s="17" t="str">
        <f aca="false">IF(AND(ISNUMBER(SEARCH("OFFICE",K4)),ISNUMBER(SEARCH("Production",D4))),"CHECK","")</f>
        <v/>
      </c>
      <c r="T4" s="23" t="s">
        <v>100</v>
      </c>
      <c r="U4" s="21" t="s">
        <v>101</v>
      </c>
      <c r="V4" s="22" t="s">
        <v>44</v>
      </c>
      <c r="W4" s="22" t="s">
        <v>84</v>
      </c>
      <c r="X4" s="22"/>
      <c r="Y4" s="22"/>
      <c r="Z4" s="22"/>
      <c r="AA4" s="22" t="s">
        <v>85</v>
      </c>
    </row>
    <row r="5" customFormat="false" ht="15" hidden="false" customHeight="true" outlineLevel="0" collapsed="false">
      <c r="A5" s="17" t="s">
        <v>102</v>
      </c>
      <c r="B5" s="17" t="s">
        <v>103</v>
      </c>
      <c r="C5" s="17" t="s">
        <v>76</v>
      </c>
      <c r="D5" s="17" t="s">
        <v>88</v>
      </c>
      <c r="E5" s="17" t="s">
        <v>89</v>
      </c>
      <c r="F5" s="17" t="s">
        <v>79</v>
      </c>
      <c r="G5" s="18" t="n">
        <v>46.6364</v>
      </c>
      <c r="H5" s="17" t="s">
        <v>80</v>
      </c>
      <c r="I5" s="19" t="n">
        <v>44858</v>
      </c>
      <c r="J5" s="17" t="s">
        <v>104</v>
      </c>
      <c r="K5" s="17" t="s">
        <v>91</v>
      </c>
      <c r="L5" s="17" t="s">
        <v>92</v>
      </c>
      <c r="M5" s="17" t="n">
        <f aca="false">IFERROR(VALUE(RIGHT(D5,1)),"")</f>
        <v>6</v>
      </c>
      <c r="N5" s="17" t="str">
        <f aca="false">IFERROR(LOOKUP(2,1/ISNUMBER(SEARCH(" "&amp;{"NSW","QLD","VIC","SA","WA","TAS","ACT","NT"}&amp;" "," "&amp;L5&amp;" ")),{"NSW","QLD","VIC","SA","WA","TAS","ACT","NT"}),"")</f>
        <v>NSW</v>
      </c>
      <c r="O5" s="17" t="str">
        <f aca="false">IF(E5="None","NO AGREEMENT",IF(LEFT(E5,6)="Casual",IF(C5="Casual","","MISMATCH"),IF(C5="Casual","MISMATCH","")))</f>
        <v/>
      </c>
      <c r="P5" s="17" t="str">
        <f aca="false">IF(LEFT(L5,6)="Casual",IF(C5="Casual","","MISMATCH"),IF(LEFT(L5,9)="Permanent",IF(C5="Casual","MISMATCH",""),""))</f>
        <v/>
      </c>
      <c r="Q5" s="17" t="str">
        <f aca="false">IF(AND(C5="Casual",M5&lt;&gt;""),IF(COUNTIFS($C$2:$C$80,"&lt;&gt;Casual",$M$2:$M$80,M5)=0,"NO PERM TO COMPARE",IF(G5&lt;_xlfn.MINIFS($G$2:$G$80,$C$2:$C$80,"&lt;&gt;Casual",$M$2:$M$80,M5),"BELOW PERM","")),"")</f>
        <v/>
      </c>
      <c r="R5" s="17" t="str">
        <f aca="false">IF(OR(L5="None",N5=""),"CHECK","")</f>
        <v/>
      </c>
      <c r="S5" s="17" t="str">
        <f aca="false">IF(AND(ISNUMBER(SEARCH("OFFICE",K5)),ISNUMBER(SEARCH("Production",D5))),"CHECK","")</f>
        <v/>
      </c>
      <c r="T5" s="20"/>
      <c r="U5" s="21"/>
      <c r="V5" s="22" t="s">
        <v>44</v>
      </c>
      <c r="W5" s="22" t="s">
        <v>93</v>
      </c>
      <c r="X5" s="22"/>
      <c r="Y5" s="22"/>
      <c r="Z5" s="22"/>
      <c r="AA5" s="22" t="s">
        <v>85</v>
      </c>
    </row>
    <row r="6" customFormat="false" ht="15" hidden="false" customHeight="true" outlineLevel="0" collapsed="false">
      <c r="A6" s="17" t="s">
        <v>105</v>
      </c>
      <c r="B6" s="17" t="s">
        <v>106</v>
      </c>
      <c r="C6" s="17" t="s">
        <v>76</v>
      </c>
      <c r="D6" s="17" t="s">
        <v>77</v>
      </c>
      <c r="E6" s="17" t="s">
        <v>78</v>
      </c>
      <c r="F6" s="17" t="s">
        <v>79</v>
      </c>
      <c r="G6" s="18" t="n">
        <v>40</v>
      </c>
      <c r="H6" s="17" t="s">
        <v>80</v>
      </c>
      <c r="I6" s="19" t="n">
        <v>46055</v>
      </c>
      <c r="J6" s="17" t="s">
        <v>99</v>
      </c>
      <c r="K6" s="17" t="s">
        <v>91</v>
      </c>
      <c r="L6" s="17" t="s">
        <v>92</v>
      </c>
      <c r="M6" s="17" t="n">
        <f aca="false">IFERROR(VALUE(RIGHT(D6,1)),"")</f>
        <v>5</v>
      </c>
      <c r="N6" s="17" t="str">
        <f aca="false">IFERROR(LOOKUP(2,1/ISNUMBER(SEARCH(" "&amp;{"NSW","QLD","VIC","SA","WA","TAS","ACT","NT"}&amp;" "," "&amp;L6&amp;" ")),{"NSW","QLD","VIC","SA","WA","TAS","ACT","NT"}),"")</f>
        <v>NSW</v>
      </c>
      <c r="O6" s="17" t="str">
        <f aca="false">IF(E6="None","NO AGREEMENT",IF(LEFT(E6,6)="Casual",IF(C6="Casual","","MISMATCH"),IF(C6="Casual","MISMATCH","")))</f>
        <v/>
      </c>
      <c r="P6" s="17" t="str">
        <f aca="false">IF(LEFT(L6,6)="Casual",IF(C6="Casual","","MISMATCH"),IF(LEFT(L6,9)="Permanent",IF(C6="Casual","MISMATCH",""),""))</f>
        <v/>
      </c>
      <c r="Q6" s="17" t="str">
        <f aca="false">IF(AND(C6="Casual",M6&lt;&gt;""),IF(COUNTIFS($C$2:$C$80,"&lt;&gt;Casual",$M$2:$M$80,M6)=0,"NO PERM TO COMPARE",IF(G6&lt;_xlfn.MINIFS($G$2:$G$80,$C$2:$C$80,"&lt;&gt;Casual",$M$2:$M$80,M6),"BELOW PERM","")),"")</f>
        <v/>
      </c>
      <c r="R6" s="17" t="str">
        <f aca="false">IF(OR(L6="None",N6=""),"CHECK","")</f>
        <v/>
      </c>
      <c r="S6" s="17" t="str">
        <f aca="false">IF(AND(ISNUMBER(SEARCH("OFFICE",K6)),ISNUMBER(SEARCH("Production",D6))),"CHECK","")</f>
        <v/>
      </c>
      <c r="T6" s="20"/>
      <c r="U6" s="21"/>
      <c r="V6" s="22" t="s">
        <v>44</v>
      </c>
      <c r="W6" s="22" t="s">
        <v>84</v>
      </c>
      <c r="X6" s="22"/>
      <c r="Y6" s="22"/>
      <c r="Z6" s="22"/>
      <c r="AA6" s="22" t="s">
        <v>85</v>
      </c>
    </row>
    <row r="7" customFormat="false" ht="15" hidden="false" customHeight="true" outlineLevel="0" collapsed="false">
      <c r="A7" s="17" t="s">
        <v>107</v>
      </c>
      <c r="B7" s="17" t="s">
        <v>108</v>
      </c>
      <c r="C7" s="17" t="s">
        <v>76</v>
      </c>
      <c r="D7" s="17" t="s">
        <v>109</v>
      </c>
      <c r="E7" s="17" t="s">
        <v>110</v>
      </c>
      <c r="F7" s="17" t="s">
        <v>79</v>
      </c>
      <c r="G7" s="18" t="n">
        <v>30</v>
      </c>
      <c r="H7" s="17" t="s">
        <v>80</v>
      </c>
      <c r="I7" s="19" t="n">
        <v>45747</v>
      </c>
      <c r="J7" s="17" t="s">
        <v>81</v>
      </c>
      <c r="K7" s="17" t="s">
        <v>111</v>
      </c>
      <c r="L7" s="17" t="s">
        <v>112</v>
      </c>
      <c r="M7" s="17" t="n">
        <f aca="false">IFERROR(VALUE(RIGHT(D7,1)),"")</f>
        <v>4</v>
      </c>
      <c r="N7" s="17" t="str">
        <f aca="false">IFERROR(LOOKUP(2,1/ISNUMBER(SEARCH(" "&amp;{"NSW","QLD","VIC","SA","WA","TAS","ACT","NT"}&amp;" "," "&amp;L7&amp;" ")),{"NSW","QLD","VIC","SA","WA","TAS","ACT","NT"}),"")</f>
        <v>VIC</v>
      </c>
      <c r="O7" s="17" t="str">
        <f aca="false">IF(E7="None","NO AGREEMENT",IF(LEFT(E7,6)="Casual",IF(C7="Casual","","MISMATCH"),IF(C7="Casual","MISMATCH","")))</f>
        <v/>
      </c>
      <c r="P7" s="17" t="str">
        <f aca="false">IF(LEFT(L7,6)="Casual",IF(C7="Casual","","MISMATCH"),IF(LEFT(L7,9)="Permanent",IF(C7="Casual","MISMATCH",""),""))</f>
        <v/>
      </c>
      <c r="Q7" s="17" t="str">
        <f aca="false">IF(AND(C7="Casual",M7&lt;&gt;""),IF(COUNTIFS($C$2:$C$80,"&lt;&gt;Casual",$M$2:$M$80,M7)=0,"NO PERM TO COMPARE",IF(G7&lt;_xlfn.MINIFS($G$2:$G$80,$C$2:$C$80,"&lt;&gt;Casual",$M$2:$M$80,M7),"BELOW PERM","")),"")</f>
        <v>BELOW PERM</v>
      </c>
      <c r="R7" s="17" t="str">
        <f aca="false">IF(OR(L7="None",N7=""),"CHECK","")</f>
        <v/>
      </c>
      <c r="S7" s="17" t="str">
        <f aca="false">IF(AND(ISNUMBER(SEARCH("OFFICE",K7)),ISNUMBER(SEARCH("Production",D7))),"CHECK","")</f>
        <v/>
      </c>
      <c r="T7" s="20"/>
      <c r="U7" s="21"/>
      <c r="V7" s="22" t="s">
        <v>44</v>
      </c>
      <c r="W7" s="22" t="s">
        <v>113</v>
      </c>
      <c r="X7" s="22"/>
      <c r="Y7" s="22"/>
      <c r="Z7" s="22"/>
      <c r="AA7" s="22" t="s">
        <v>85</v>
      </c>
    </row>
    <row r="8" customFormat="false" ht="15" hidden="false" customHeight="true" outlineLevel="0" collapsed="false">
      <c r="A8" s="17" t="s">
        <v>114</v>
      </c>
      <c r="B8" s="17" t="s">
        <v>115</v>
      </c>
      <c r="C8" s="17" t="s">
        <v>76</v>
      </c>
      <c r="D8" s="17" t="s">
        <v>88</v>
      </c>
      <c r="E8" s="17" t="s">
        <v>89</v>
      </c>
      <c r="F8" s="17" t="s">
        <v>79</v>
      </c>
      <c r="G8" s="18" t="n">
        <v>41.6</v>
      </c>
      <c r="H8" s="17" t="s">
        <v>80</v>
      </c>
      <c r="I8" s="19" t="n">
        <v>46055</v>
      </c>
      <c r="J8" s="17" t="s">
        <v>81</v>
      </c>
      <c r="K8" s="17" t="s">
        <v>91</v>
      </c>
      <c r="L8" s="17" t="s">
        <v>92</v>
      </c>
      <c r="M8" s="17" t="n">
        <f aca="false">IFERROR(VALUE(RIGHT(D8,1)),"")</f>
        <v>6</v>
      </c>
      <c r="N8" s="17" t="str">
        <f aca="false">IFERROR(LOOKUP(2,1/ISNUMBER(SEARCH(" "&amp;{"NSW","QLD","VIC","SA","WA","TAS","ACT","NT"}&amp;" "," "&amp;L8&amp;" ")),{"NSW","QLD","VIC","SA","WA","TAS","ACT","NT"}),"")</f>
        <v>NSW</v>
      </c>
      <c r="O8" s="17" t="str">
        <f aca="false">IF(E8="None","NO AGREEMENT",IF(LEFT(E8,6)="Casual",IF(C8="Casual","","MISMATCH"),IF(C8="Casual","MISMATCH","")))</f>
        <v/>
      </c>
      <c r="P8" s="17" t="str">
        <f aca="false">IF(LEFT(L8,6)="Casual",IF(C8="Casual","","MISMATCH"),IF(LEFT(L8,9)="Permanent",IF(C8="Casual","MISMATCH",""),""))</f>
        <v/>
      </c>
      <c r="Q8" s="17" t="str">
        <f aca="false">IF(AND(C8="Casual",M8&lt;&gt;""),IF(COUNTIFS($C$2:$C$80,"&lt;&gt;Casual",$M$2:$M$80,M8)=0,"NO PERM TO COMPARE",IF(G8&lt;_xlfn.MINIFS($G$2:$G$80,$C$2:$C$80,"&lt;&gt;Casual",$M$2:$M$80,M8),"BELOW PERM","")),"")</f>
        <v/>
      </c>
      <c r="R8" s="17" t="str">
        <f aca="false">IF(OR(L8="None",N8=""),"CHECK","")</f>
        <v/>
      </c>
      <c r="S8" s="17" t="str">
        <f aca="false">IF(AND(ISNUMBER(SEARCH("OFFICE",K8)),ISNUMBER(SEARCH("Production",D8))),"CHECK","")</f>
        <v/>
      </c>
      <c r="T8" s="20"/>
      <c r="U8" s="21"/>
      <c r="V8" s="22" t="s">
        <v>44</v>
      </c>
      <c r="W8" s="22" t="s">
        <v>93</v>
      </c>
      <c r="X8" s="22"/>
      <c r="Y8" s="22"/>
      <c r="Z8" s="22"/>
      <c r="AA8" s="22" t="s">
        <v>85</v>
      </c>
    </row>
    <row r="9" customFormat="false" ht="15" hidden="false" customHeight="true" outlineLevel="0" collapsed="false">
      <c r="A9" s="17" t="s">
        <v>116</v>
      </c>
      <c r="B9" s="17" t="s">
        <v>117</v>
      </c>
      <c r="C9" s="17" t="s">
        <v>118</v>
      </c>
      <c r="D9" s="17" t="s">
        <v>77</v>
      </c>
      <c r="E9" s="17" t="s">
        <v>97</v>
      </c>
      <c r="F9" s="17" t="s">
        <v>98</v>
      </c>
      <c r="G9" s="18" t="n">
        <v>34.34066</v>
      </c>
      <c r="H9" s="17" t="s">
        <v>80</v>
      </c>
      <c r="I9" s="19" t="n">
        <v>44971</v>
      </c>
      <c r="J9" s="17" t="s">
        <v>119</v>
      </c>
      <c r="K9" s="17" t="s">
        <v>91</v>
      </c>
      <c r="L9" s="17" t="s">
        <v>120</v>
      </c>
      <c r="M9" s="17" t="n">
        <f aca="false">IFERROR(VALUE(RIGHT(D9,1)),"")</f>
        <v>5</v>
      </c>
      <c r="N9" s="17" t="str">
        <f aca="false">IFERROR(LOOKUP(2,1/ISNUMBER(SEARCH(" "&amp;{"NSW","QLD","VIC","SA","WA","TAS","ACT","NT"}&amp;" "," "&amp;L9&amp;" ")),{"NSW","QLD","VIC","SA","WA","TAS","ACT","NT"}),"")</f>
        <v>NSW</v>
      </c>
      <c r="O9" s="17" t="str">
        <f aca="false">IF(E9="None","NO AGREEMENT",IF(LEFT(E9,6)="Casual",IF(C9="Casual","","MISMATCH"),IF(C9="Casual","MISMATCH","")))</f>
        <v/>
      </c>
      <c r="P9" s="17" t="str">
        <f aca="false">IF(LEFT(L9,6)="Casual",IF(C9="Casual","","MISMATCH"),IF(LEFT(L9,9)="Permanent",IF(C9="Casual","MISMATCH",""),""))</f>
        <v/>
      </c>
      <c r="Q9" s="17" t="str">
        <f aca="false">IF(AND(C9="Casual",M9&lt;&gt;""),IF(COUNTIFS($C$2:$C$80,"&lt;&gt;Casual",$M$2:$M$80,M9)=0,"NO PERM TO COMPARE",IF(G9&lt;_xlfn.MINIFS($G$2:$G$80,$C$2:$C$80,"&lt;&gt;Casual",$M$2:$M$80,M9),"BELOW PERM","")),"")</f>
        <v/>
      </c>
      <c r="R9" s="17" t="str">
        <f aca="false">IF(OR(L9="None",N9=""),"CHECK","")</f>
        <v/>
      </c>
      <c r="S9" s="17" t="str">
        <f aca="false">IF(AND(ISNUMBER(SEARCH("OFFICE",K9)),ISNUMBER(SEARCH("Production",D9))),"CHECK","")</f>
        <v/>
      </c>
      <c r="T9" s="20"/>
      <c r="U9" s="21"/>
      <c r="V9" s="22" t="s">
        <v>44</v>
      </c>
      <c r="W9" s="22" t="s">
        <v>84</v>
      </c>
      <c r="X9" s="22"/>
      <c r="Y9" s="22"/>
      <c r="Z9" s="22"/>
      <c r="AA9" s="22" t="s">
        <v>85</v>
      </c>
    </row>
    <row r="10" customFormat="false" ht="15" hidden="false" customHeight="true" outlineLevel="0" collapsed="false">
      <c r="A10" s="17" t="s">
        <v>121</v>
      </c>
      <c r="B10" s="17" t="s">
        <v>122</v>
      </c>
      <c r="C10" s="17" t="s">
        <v>76</v>
      </c>
      <c r="D10" s="17" t="s">
        <v>109</v>
      </c>
      <c r="E10" s="17" t="s">
        <v>110</v>
      </c>
      <c r="F10" s="17" t="s">
        <v>79</v>
      </c>
      <c r="G10" s="18" t="n">
        <v>30</v>
      </c>
      <c r="H10" s="17" t="s">
        <v>80</v>
      </c>
      <c r="I10" s="19" t="n">
        <v>45924</v>
      </c>
      <c r="J10" s="17" t="s">
        <v>81</v>
      </c>
      <c r="K10" s="17" t="s">
        <v>123</v>
      </c>
      <c r="L10" s="17" t="s">
        <v>124</v>
      </c>
      <c r="M10" s="17" t="n">
        <f aca="false">IFERROR(VALUE(RIGHT(D10,1)),"")</f>
        <v>4</v>
      </c>
      <c r="N10" s="17" t="str">
        <f aca="false">IFERROR(LOOKUP(2,1/ISNUMBER(SEARCH(" "&amp;{"NSW","QLD","VIC","SA","WA","TAS","ACT","NT"}&amp;" "," "&amp;L10&amp;" ")),{"NSW","QLD","VIC","SA","WA","TAS","ACT","NT"}),"")</f>
        <v>WA</v>
      </c>
      <c r="O10" s="17" t="str">
        <f aca="false">IF(E10="None","NO AGREEMENT",IF(LEFT(E10,6)="Casual",IF(C10="Casual","","MISMATCH"),IF(C10="Casual","MISMATCH","")))</f>
        <v/>
      </c>
      <c r="P10" s="17" t="str">
        <f aca="false">IF(LEFT(L10,6)="Casual",IF(C10="Casual","","MISMATCH"),IF(LEFT(L10,9)="Permanent",IF(C10="Casual","MISMATCH",""),""))</f>
        <v/>
      </c>
      <c r="Q10" s="17" t="str">
        <f aca="false">IF(AND(C10="Casual",M10&lt;&gt;""),IF(COUNTIFS($C$2:$C$80,"&lt;&gt;Casual",$M$2:$M$80,M10)=0,"NO PERM TO COMPARE",IF(G10&lt;_xlfn.MINIFS($G$2:$G$80,$C$2:$C$80,"&lt;&gt;Casual",$M$2:$M$80,M10),"BELOW PERM","")),"")</f>
        <v>BELOW PERM</v>
      </c>
      <c r="R10" s="17" t="str">
        <f aca="false">IF(OR(L10="None",N10=""),"CHECK","")</f>
        <v/>
      </c>
      <c r="S10" s="17" t="str">
        <f aca="false">IF(AND(ISNUMBER(SEARCH("OFFICE",K10)),ISNUMBER(SEARCH("Production",D10))),"CHECK","")</f>
        <v/>
      </c>
      <c r="T10" s="20"/>
      <c r="U10" s="21"/>
      <c r="V10" s="22" t="s">
        <v>44</v>
      </c>
      <c r="W10" s="22" t="s">
        <v>113</v>
      </c>
      <c r="X10" s="22"/>
      <c r="Y10" s="22"/>
      <c r="Z10" s="22"/>
      <c r="AA10" s="22" t="s">
        <v>85</v>
      </c>
    </row>
    <row r="11" customFormat="false" ht="15" hidden="false" customHeight="true" outlineLevel="0" collapsed="false">
      <c r="A11" s="17" t="s">
        <v>125</v>
      </c>
      <c r="B11" s="17" t="s">
        <v>126</v>
      </c>
      <c r="C11" s="17" t="s">
        <v>118</v>
      </c>
      <c r="D11" s="17" t="s">
        <v>77</v>
      </c>
      <c r="E11" s="17" t="s">
        <v>97</v>
      </c>
      <c r="F11" s="17" t="s">
        <v>98</v>
      </c>
      <c r="G11" s="18" t="n">
        <v>38.6332</v>
      </c>
      <c r="H11" s="17" t="s">
        <v>80</v>
      </c>
      <c r="I11" s="19" t="n">
        <v>44742</v>
      </c>
      <c r="J11" s="17" t="s">
        <v>127</v>
      </c>
      <c r="K11" s="17" t="s">
        <v>111</v>
      </c>
      <c r="L11" s="17" t="s">
        <v>128</v>
      </c>
      <c r="M11" s="17" t="n">
        <f aca="false">IFERROR(VALUE(RIGHT(D11,1)),"")</f>
        <v>5</v>
      </c>
      <c r="N11" s="17" t="str">
        <f aca="false">IFERROR(LOOKUP(2,1/ISNUMBER(SEARCH(" "&amp;{"NSW","QLD","VIC","SA","WA","TAS","ACT","NT"}&amp;" "," "&amp;L11&amp;" ")),{"NSW","QLD","VIC","SA","WA","TAS","ACT","NT"}),"")</f>
        <v>VIC</v>
      </c>
      <c r="O11" s="17" t="str">
        <f aca="false">IF(E11="None","NO AGREEMENT",IF(LEFT(E11,6)="Casual",IF(C11="Casual","","MISMATCH"),IF(C11="Casual","MISMATCH","")))</f>
        <v/>
      </c>
      <c r="P11" s="17" t="str">
        <f aca="false">IF(LEFT(L11,6)="Casual",IF(C11="Casual","","MISMATCH"),IF(LEFT(L11,9)="Permanent",IF(C11="Casual","MISMATCH",""),""))</f>
        <v/>
      </c>
      <c r="Q11" s="17" t="str">
        <f aca="false">IF(AND(C11="Casual",M11&lt;&gt;""),IF(COUNTIFS($C$2:$C$80,"&lt;&gt;Casual",$M$2:$M$80,M11)=0,"NO PERM TO COMPARE",IF(G11&lt;_xlfn.MINIFS($G$2:$G$80,$C$2:$C$80,"&lt;&gt;Casual",$M$2:$M$80,M11),"BELOW PERM","")),"")</f>
        <v/>
      </c>
      <c r="R11" s="17" t="str">
        <f aca="false">IF(OR(L11="None",N11=""),"CHECK","")</f>
        <v/>
      </c>
      <c r="S11" s="17" t="str">
        <f aca="false">IF(AND(ISNUMBER(SEARCH("OFFICE",K11)),ISNUMBER(SEARCH("Production",D11))),"CHECK","")</f>
        <v/>
      </c>
      <c r="T11" s="20"/>
      <c r="U11" s="21"/>
      <c r="V11" s="22" t="s">
        <v>44</v>
      </c>
      <c r="W11" s="22" t="s">
        <v>84</v>
      </c>
      <c r="X11" s="22"/>
      <c r="Y11" s="22"/>
      <c r="Z11" s="22"/>
      <c r="AA11" s="22" t="s">
        <v>85</v>
      </c>
    </row>
    <row r="12" customFormat="false" ht="15" hidden="false" customHeight="true" outlineLevel="0" collapsed="false">
      <c r="A12" s="17" t="s">
        <v>129</v>
      </c>
      <c r="B12" s="17" t="s">
        <v>130</v>
      </c>
      <c r="C12" s="17" t="s">
        <v>76</v>
      </c>
      <c r="D12" s="17" t="s">
        <v>109</v>
      </c>
      <c r="E12" s="17" t="s">
        <v>110</v>
      </c>
      <c r="F12" s="17" t="s">
        <v>79</v>
      </c>
      <c r="G12" s="18" t="n">
        <v>30</v>
      </c>
      <c r="H12" s="17" t="s">
        <v>80</v>
      </c>
      <c r="I12" s="19" t="n">
        <v>45202</v>
      </c>
      <c r="J12" s="17" t="s">
        <v>81</v>
      </c>
      <c r="K12" s="17" t="s">
        <v>91</v>
      </c>
      <c r="L12" s="17" t="s">
        <v>92</v>
      </c>
      <c r="M12" s="17" t="n">
        <f aca="false">IFERROR(VALUE(RIGHT(D12,1)),"")</f>
        <v>4</v>
      </c>
      <c r="N12" s="17" t="str">
        <f aca="false">IFERROR(LOOKUP(2,1/ISNUMBER(SEARCH(" "&amp;{"NSW","QLD","VIC","SA","WA","TAS","ACT","NT"}&amp;" "," "&amp;L12&amp;" ")),{"NSW","QLD","VIC","SA","WA","TAS","ACT","NT"}),"")</f>
        <v>NSW</v>
      </c>
      <c r="O12" s="17" t="str">
        <f aca="false">IF(E12="None","NO AGREEMENT",IF(LEFT(E12,6)="Casual",IF(C12="Casual","","MISMATCH"),IF(C12="Casual","MISMATCH","")))</f>
        <v/>
      </c>
      <c r="P12" s="17" t="str">
        <f aca="false">IF(LEFT(L12,6)="Casual",IF(C12="Casual","","MISMATCH"),IF(LEFT(L12,9)="Permanent",IF(C12="Casual","MISMATCH",""),""))</f>
        <v/>
      </c>
      <c r="Q12" s="17" t="str">
        <f aca="false">IF(AND(C12="Casual",M12&lt;&gt;""),IF(COUNTIFS($C$2:$C$80,"&lt;&gt;Casual",$M$2:$M$80,M12)=0,"NO PERM TO COMPARE",IF(G12&lt;_xlfn.MINIFS($G$2:$G$80,$C$2:$C$80,"&lt;&gt;Casual",$M$2:$M$80,M12),"BELOW PERM","")),"")</f>
        <v>BELOW PERM</v>
      </c>
      <c r="R12" s="17" t="str">
        <f aca="false">IF(OR(L12="None",N12=""),"CHECK","")</f>
        <v/>
      </c>
      <c r="S12" s="17" t="str">
        <f aca="false">IF(AND(ISNUMBER(SEARCH("OFFICE",K12)),ISNUMBER(SEARCH("Production",D12))),"CHECK","")</f>
        <v/>
      </c>
      <c r="T12" s="20"/>
      <c r="U12" s="21"/>
      <c r="V12" s="22" t="s">
        <v>44</v>
      </c>
      <c r="W12" s="22" t="s">
        <v>113</v>
      </c>
      <c r="X12" s="22"/>
      <c r="Y12" s="22"/>
      <c r="Z12" s="22"/>
      <c r="AA12" s="22" t="s">
        <v>85</v>
      </c>
    </row>
    <row r="13" customFormat="false" ht="42.75" hidden="false" customHeight="true" outlineLevel="0" collapsed="false">
      <c r="A13" s="17" t="s">
        <v>131</v>
      </c>
      <c r="B13" s="17" t="s">
        <v>132</v>
      </c>
      <c r="C13" s="17" t="s">
        <v>76</v>
      </c>
      <c r="D13" s="17" t="s">
        <v>77</v>
      </c>
      <c r="E13" s="17" t="s">
        <v>78</v>
      </c>
      <c r="F13" s="17" t="s">
        <v>79</v>
      </c>
      <c r="G13" s="18" t="n">
        <v>36</v>
      </c>
      <c r="H13" s="17" t="s">
        <v>80</v>
      </c>
      <c r="I13" s="19" t="n">
        <v>46230</v>
      </c>
      <c r="J13" s="17" t="s">
        <v>81</v>
      </c>
      <c r="K13" s="17" t="s">
        <v>133</v>
      </c>
      <c r="L13" s="17" t="s">
        <v>92</v>
      </c>
      <c r="M13" s="17" t="n">
        <f aca="false">IFERROR(VALUE(RIGHT(D13,1)),"")</f>
        <v>5</v>
      </c>
      <c r="N13" s="17" t="str">
        <f aca="false">IFERROR(LOOKUP(2,1/ISNUMBER(SEARCH(" "&amp;{"NSW","QLD","VIC","SA","WA","TAS","ACT","NT"}&amp;" "," "&amp;L13&amp;" ")),{"NSW","QLD","VIC","SA","WA","TAS","ACT","NT"}),"")</f>
        <v>NSW</v>
      </c>
      <c r="O13" s="17" t="str">
        <f aca="false">IF(E13="None","NO AGREEMENT",IF(LEFT(E13,6)="Casual",IF(C13="Casual","","MISMATCH"),IF(C13="Casual","MISMATCH","")))</f>
        <v/>
      </c>
      <c r="P13" s="17" t="str">
        <f aca="false">IF(LEFT(L13,6)="Casual",IF(C13="Casual","","MISMATCH"),IF(LEFT(L13,9)="Permanent",IF(C13="Casual","MISMATCH",""),""))</f>
        <v/>
      </c>
      <c r="Q13" s="17" t="str">
        <f aca="false">IF(AND(C13="Casual",M13&lt;&gt;""),IF(COUNTIFS($C$2:$C$80,"&lt;&gt;Casual",$M$2:$M$80,M13)=0,"NO PERM TO COMPARE",IF(G13&lt;_xlfn.MINIFS($G$2:$G$80,$C$2:$C$80,"&lt;&gt;Casual",$M$2:$M$80,M13),"BELOW PERM","")),"")</f>
        <v/>
      </c>
      <c r="R13" s="17" t="str">
        <f aca="false">IF(OR(L13="None",N13=""),"CHECK","")</f>
        <v/>
      </c>
      <c r="S13" s="17" t="str">
        <f aca="false">IF(AND(ISNUMBER(SEARCH("OFFICE",K13)),ISNUMBER(SEARCH("Production",D13))),"CHECK","")</f>
        <v/>
      </c>
      <c r="T13" s="24" t="s">
        <v>134</v>
      </c>
      <c r="U13" s="21" t="s">
        <v>135</v>
      </c>
      <c r="V13" s="22" t="s">
        <v>44</v>
      </c>
      <c r="W13" s="22" t="s">
        <v>84</v>
      </c>
      <c r="X13" s="22"/>
      <c r="Y13" s="22"/>
      <c r="Z13" s="22"/>
      <c r="AA13" s="22" t="s">
        <v>85</v>
      </c>
    </row>
    <row r="14" customFormat="false" ht="15" hidden="false" customHeight="true" outlineLevel="0" collapsed="false">
      <c r="A14" s="17" t="s">
        <v>136</v>
      </c>
      <c r="B14" s="17" t="s">
        <v>137</v>
      </c>
      <c r="C14" s="17" t="s">
        <v>118</v>
      </c>
      <c r="D14" s="17" t="s">
        <v>109</v>
      </c>
      <c r="E14" s="17" t="s">
        <v>138</v>
      </c>
      <c r="F14" s="17" t="s">
        <v>98</v>
      </c>
      <c r="G14" s="18" t="n">
        <v>30.2627</v>
      </c>
      <c r="H14" s="17" t="s">
        <v>80</v>
      </c>
      <c r="I14" s="19" t="n">
        <v>45586</v>
      </c>
      <c r="J14" s="17" t="s">
        <v>139</v>
      </c>
      <c r="K14" s="17" t="s">
        <v>140</v>
      </c>
      <c r="L14" s="17" t="s">
        <v>120</v>
      </c>
      <c r="M14" s="17" t="n">
        <f aca="false">IFERROR(VALUE(RIGHT(D14,1)),"")</f>
        <v>4</v>
      </c>
      <c r="N14" s="17" t="str">
        <f aca="false">IFERROR(LOOKUP(2,1/ISNUMBER(SEARCH(" "&amp;{"NSW","QLD","VIC","SA","WA","TAS","ACT","NT"}&amp;" "," "&amp;L14&amp;" ")),{"NSW","QLD","VIC","SA","WA","TAS","ACT","NT"}),"")</f>
        <v>NSW</v>
      </c>
      <c r="O14" s="17" t="str">
        <f aca="false">IF(E14="None","NO AGREEMENT",IF(LEFT(E14,6)="Casual",IF(C14="Casual","","MISMATCH"),IF(C14="Casual","MISMATCH","")))</f>
        <v/>
      </c>
      <c r="P14" s="17" t="str">
        <f aca="false">IF(LEFT(L14,6)="Casual",IF(C14="Casual","","MISMATCH"),IF(LEFT(L14,9)="Permanent",IF(C14="Casual","MISMATCH",""),""))</f>
        <v/>
      </c>
      <c r="Q14" s="17" t="str">
        <f aca="false">IF(AND(C14="Casual",M14&lt;&gt;""),IF(COUNTIFS($C$2:$C$80,"&lt;&gt;Casual",$M$2:$M$80,M14)=0,"NO PERM TO COMPARE",IF(G14&lt;_xlfn.MINIFS($G$2:$G$80,$C$2:$C$80,"&lt;&gt;Casual",$M$2:$M$80,M14),"BELOW PERM","")),"")</f>
        <v/>
      </c>
      <c r="R14" s="17" t="str">
        <f aca="false">IF(OR(L14="None",N14=""),"CHECK","")</f>
        <v/>
      </c>
      <c r="S14" s="17" t="str">
        <f aca="false">IF(AND(ISNUMBER(SEARCH("OFFICE",K14)),ISNUMBER(SEARCH("Production",D14))),"CHECK","")</f>
        <v/>
      </c>
      <c r="T14" s="20"/>
      <c r="U14" s="21"/>
      <c r="V14" s="22" t="s">
        <v>44</v>
      </c>
      <c r="W14" s="22" t="s">
        <v>113</v>
      </c>
      <c r="X14" s="22"/>
      <c r="Y14" s="22"/>
      <c r="Z14" s="22"/>
      <c r="AA14" s="22" t="s">
        <v>85</v>
      </c>
    </row>
    <row r="15" customFormat="false" ht="15" hidden="false" customHeight="true" outlineLevel="0" collapsed="false">
      <c r="A15" s="17" t="s">
        <v>141</v>
      </c>
      <c r="B15" s="17" t="s">
        <v>142</v>
      </c>
      <c r="C15" s="17" t="s">
        <v>76</v>
      </c>
      <c r="D15" s="17" t="s">
        <v>77</v>
      </c>
      <c r="E15" s="17" t="s">
        <v>78</v>
      </c>
      <c r="F15" s="17" t="s">
        <v>79</v>
      </c>
      <c r="G15" s="18" t="n">
        <v>32.8</v>
      </c>
      <c r="H15" s="17" t="s">
        <v>80</v>
      </c>
      <c r="I15" s="19" t="n">
        <v>46307</v>
      </c>
      <c r="J15" s="17" t="s">
        <v>99</v>
      </c>
      <c r="K15" s="17" t="s">
        <v>91</v>
      </c>
      <c r="L15" s="17" t="s">
        <v>92</v>
      </c>
      <c r="M15" s="17" t="n">
        <f aca="false">IFERROR(VALUE(RIGHT(D15,1)),"")</f>
        <v>5</v>
      </c>
      <c r="N15" s="17" t="str">
        <f aca="false">IFERROR(LOOKUP(2,1/ISNUMBER(SEARCH(" "&amp;{"NSW","QLD","VIC","SA","WA","TAS","ACT","NT"}&amp;" "," "&amp;L15&amp;" ")),{"NSW","QLD","VIC","SA","WA","TAS","ACT","NT"}),"")</f>
        <v>NSW</v>
      </c>
      <c r="O15" s="17" t="str">
        <f aca="false">IF(E15="None","NO AGREEMENT",IF(LEFT(E15,6)="Casual",IF(C15="Casual","","MISMATCH"),IF(C15="Casual","MISMATCH","")))</f>
        <v/>
      </c>
      <c r="P15" s="17" t="str">
        <f aca="false">IF(LEFT(L15,6)="Casual",IF(C15="Casual","","MISMATCH"),IF(LEFT(L15,9)="Permanent",IF(C15="Casual","MISMATCH",""),""))</f>
        <v/>
      </c>
      <c r="Q15" s="17" t="str">
        <f aca="false">IF(AND(C15="Casual",M15&lt;&gt;""),IF(COUNTIFS($C$2:$C$80,"&lt;&gt;Casual",$M$2:$M$80,M15)=0,"NO PERM TO COMPARE",IF(G15&lt;_xlfn.MINIFS($G$2:$G$80,$C$2:$C$80,"&lt;&gt;Casual",$M$2:$M$80,M15),"BELOW PERM","")),"")</f>
        <v/>
      </c>
      <c r="R15" s="17" t="str">
        <f aca="false">IF(OR(L15="None",N15=""),"CHECK","")</f>
        <v/>
      </c>
      <c r="S15" s="17" t="str">
        <f aca="false">IF(AND(ISNUMBER(SEARCH("OFFICE",K15)),ISNUMBER(SEARCH("Production",D15))),"CHECK","")</f>
        <v/>
      </c>
      <c r="T15" s="20"/>
      <c r="U15" s="21"/>
      <c r="V15" s="22" t="s">
        <v>44</v>
      </c>
      <c r="W15" s="22" t="s">
        <v>84</v>
      </c>
      <c r="X15" s="22"/>
      <c r="Y15" s="22"/>
      <c r="Z15" s="22"/>
      <c r="AA15" s="22" t="s">
        <v>85</v>
      </c>
    </row>
    <row r="16" customFormat="false" ht="57" hidden="false" customHeight="true" outlineLevel="0" collapsed="false">
      <c r="A16" s="17" t="s">
        <v>143</v>
      </c>
      <c r="B16" s="17" t="s">
        <v>144</v>
      </c>
      <c r="C16" s="17" t="s">
        <v>76</v>
      </c>
      <c r="D16" s="17" t="s">
        <v>88</v>
      </c>
      <c r="E16" s="17" t="s">
        <v>89</v>
      </c>
      <c r="F16" s="17" t="s">
        <v>79</v>
      </c>
      <c r="G16" s="18" t="n">
        <v>44</v>
      </c>
      <c r="H16" s="17" t="s">
        <v>80</v>
      </c>
      <c r="I16" s="19" t="n">
        <v>46307</v>
      </c>
      <c r="J16" s="17" t="s">
        <v>145</v>
      </c>
      <c r="K16" s="17" t="s">
        <v>91</v>
      </c>
      <c r="L16" s="17" t="s">
        <v>146</v>
      </c>
      <c r="M16" s="17" t="n">
        <f aca="false">IFERROR(VALUE(RIGHT(D16,1)),"")</f>
        <v>6</v>
      </c>
      <c r="N16" s="17" t="str">
        <f aca="false">IFERROR(LOOKUP(2,1/ISNUMBER(SEARCH(" "&amp;{"NSW","QLD","VIC","SA","WA","TAS","ACT","NT"}&amp;" "," "&amp;L16&amp;" ")),{"NSW","QLD","VIC","SA","WA","TAS","ACT","NT"}),"")</f>
        <v/>
      </c>
      <c r="O16" s="17" t="str">
        <f aca="false">IF(E16="None","NO AGREEMENT",IF(LEFT(E16,6)="Casual",IF(C16="Casual","","MISMATCH"),IF(C16="Casual","MISMATCH","")))</f>
        <v/>
      </c>
      <c r="P16" s="17" t="str">
        <f aca="false">IF(LEFT(L16,6)="Casual",IF(C16="Casual","","MISMATCH"),IF(LEFT(L16,9)="Permanent",IF(C16="Casual","MISMATCH",""),""))</f>
        <v/>
      </c>
      <c r="Q16" s="17" t="str">
        <f aca="false">IF(AND(C16="Casual",M16&lt;&gt;""),IF(COUNTIFS($C$2:$C$80,"&lt;&gt;Casual",$M$2:$M$80,M16)=0,"NO PERM TO COMPARE",IF(G16&lt;_xlfn.MINIFS($G$2:$G$80,$C$2:$C$80,"&lt;&gt;Casual",$M$2:$M$80,M16),"BELOW PERM","")),"")</f>
        <v/>
      </c>
      <c r="R16" s="17" t="str">
        <f aca="false">IF(OR(L16="None",N16=""),"CHECK","")</f>
        <v>CHECK</v>
      </c>
      <c r="S16" s="17" t="str">
        <f aca="false">IF(AND(ISNUMBER(SEARCH("OFFICE",K16)),ISNUMBER(SEARCH("Production",D16))),"CHECK","")</f>
        <v/>
      </c>
      <c r="T16" s="25" t="s">
        <v>147</v>
      </c>
      <c r="U16" s="21" t="s">
        <v>148</v>
      </c>
      <c r="V16" s="22" t="s">
        <v>44</v>
      </c>
      <c r="W16" s="22" t="s">
        <v>93</v>
      </c>
      <c r="X16" s="22"/>
      <c r="Y16" s="22"/>
      <c r="Z16" s="22"/>
      <c r="AA16" s="22" t="s">
        <v>85</v>
      </c>
    </row>
    <row r="17" customFormat="false" ht="71.25" hidden="false" customHeight="true" outlineLevel="0" collapsed="false">
      <c r="A17" s="17" t="s">
        <v>149</v>
      </c>
      <c r="B17" s="17" t="s">
        <v>150</v>
      </c>
      <c r="C17" s="17" t="s">
        <v>76</v>
      </c>
      <c r="D17" s="17" t="s">
        <v>88</v>
      </c>
      <c r="E17" s="17" t="s">
        <v>151</v>
      </c>
      <c r="F17" s="17" t="s">
        <v>98</v>
      </c>
      <c r="G17" s="18" t="n">
        <v>46.43</v>
      </c>
      <c r="H17" s="17" t="s">
        <v>80</v>
      </c>
      <c r="I17" s="19" t="n">
        <v>45250</v>
      </c>
      <c r="J17" s="17" t="s">
        <v>139</v>
      </c>
      <c r="K17" s="17" t="s">
        <v>91</v>
      </c>
      <c r="L17" s="17" t="s">
        <v>92</v>
      </c>
      <c r="M17" s="17" t="n">
        <f aca="false">IFERROR(VALUE(RIGHT(D17,1)),"")</f>
        <v>6</v>
      </c>
      <c r="N17" s="17" t="str">
        <f aca="false">IFERROR(LOOKUP(2,1/ISNUMBER(SEARCH(" "&amp;{"NSW","QLD","VIC","SA","WA","TAS","ACT","NT"}&amp;" "," "&amp;L17&amp;" ")),{"NSW","QLD","VIC","SA","WA","TAS","ACT","NT"}),"")</f>
        <v>NSW</v>
      </c>
      <c r="O17" s="17" t="str">
        <f aca="false">IF(E17="None","NO AGREEMENT",IF(LEFT(E17,6)="Casual",IF(C17="Casual","","MISMATCH"),IF(C17="Casual","MISMATCH","")))</f>
        <v>MISMATCH</v>
      </c>
      <c r="P17" s="17" t="str">
        <f aca="false">IF(LEFT(L17,6)="Casual",IF(C17="Casual","","MISMATCH"),IF(LEFT(L17,9)="Permanent",IF(C17="Casual","MISMATCH",""),""))</f>
        <v/>
      </c>
      <c r="Q17" s="17" t="str">
        <f aca="false">IF(AND(C17="Casual",M17&lt;&gt;""),IF(COUNTIFS($C$2:$C$80,"&lt;&gt;Casual",$M$2:$M$80,M17)=0,"NO PERM TO COMPARE",IF(G17&lt;_xlfn.MINIFS($G$2:$G$80,$C$2:$C$80,"&lt;&gt;Casual",$M$2:$M$80,M17),"BELOW PERM","")),"")</f>
        <v/>
      </c>
      <c r="R17" s="17" t="str">
        <f aca="false">IF(OR(L17="None",N17=""),"CHECK","")</f>
        <v/>
      </c>
      <c r="S17" s="17" t="str">
        <f aca="false">IF(AND(ISNUMBER(SEARCH("OFFICE",K17)),ISNUMBER(SEARCH("Production",D17))),"CHECK","")</f>
        <v/>
      </c>
      <c r="T17" s="23" t="s">
        <v>100</v>
      </c>
      <c r="U17" s="21" t="s">
        <v>152</v>
      </c>
      <c r="V17" s="22" t="s">
        <v>44</v>
      </c>
      <c r="W17" s="22" t="s">
        <v>93</v>
      </c>
      <c r="X17" s="22"/>
      <c r="Y17" s="22"/>
      <c r="Z17" s="22"/>
      <c r="AA17" s="22" t="s">
        <v>85</v>
      </c>
    </row>
    <row r="18" customFormat="false" ht="28.5" hidden="false" customHeight="true" outlineLevel="0" collapsed="false">
      <c r="A18" s="17" t="s">
        <v>153</v>
      </c>
      <c r="B18" s="17" t="s">
        <v>154</v>
      </c>
      <c r="C18" s="17" t="s">
        <v>118</v>
      </c>
      <c r="D18" s="17" t="s">
        <v>155</v>
      </c>
      <c r="E18" s="17" t="s">
        <v>155</v>
      </c>
      <c r="F18" s="17" t="s">
        <v>98</v>
      </c>
      <c r="G18" s="18" t="n">
        <v>55.2885</v>
      </c>
      <c r="H18" s="17" t="s">
        <v>80</v>
      </c>
      <c r="I18" s="19" t="n">
        <v>46253</v>
      </c>
      <c r="J18" s="17" t="s">
        <v>156</v>
      </c>
      <c r="K18" s="17" t="s">
        <v>157</v>
      </c>
      <c r="L18" s="17" t="s">
        <v>120</v>
      </c>
      <c r="M18" s="17" t="str">
        <f aca="false">IFERROR(VALUE(RIGHT(D18,1)),"")</f>
        <v/>
      </c>
      <c r="N18" s="17" t="str">
        <f aca="false">IFERROR(LOOKUP(2,1/ISNUMBER(SEARCH(" "&amp;{"NSW","QLD","VIC","SA","WA","TAS","ACT","NT"}&amp;" "," "&amp;L18&amp;" ")),{"NSW","QLD","VIC","SA","WA","TAS","ACT","NT"}),"")</f>
        <v>NSW</v>
      </c>
      <c r="O18" s="17" t="str">
        <f aca="false">IF(E18="None","NO AGREEMENT",IF(LEFT(E18,6)="Casual",IF(C18="Casual","","MISMATCH"),IF(C18="Casual","MISMATCH","")))</f>
        <v>NO AGREEMENT</v>
      </c>
      <c r="P18" s="17" t="str">
        <f aca="false">IF(LEFT(L18,6)="Casual",IF(C18="Casual","","MISMATCH"),IF(LEFT(L18,9)="Permanent",IF(C18="Casual","MISMATCH",""),""))</f>
        <v/>
      </c>
      <c r="Q18" s="17" t="str">
        <f aca="false">IF(AND(C18="Casual",M18&lt;&gt;""),IF(COUNTIFS($C$2:$C$80,"&lt;&gt;Casual",$M$2:$M$80,M18)=0,"NO PERM TO COMPARE",IF(G18&lt;_xlfn.MINIFS($G$2:$G$80,$C$2:$C$80,"&lt;&gt;Casual",$M$2:$M$80,M18),"BELOW PERM","")),"")</f>
        <v/>
      </c>
      <c r="R18" s="17" t="str">
        <f aca="false">IF(OR(L18="None",N18=""),"CHECK","")</f>
        <v/>
      </c>
      <c r="S18" s="17" t="str">
        <f aca="false">IF(AND(ISNUMBER(SEARCH("OFFICE",K18)),ISNUMBER(SEARCH("Production",D18))),"CHECK","")</f>
        <v/>
      </c>
      <c r="T18" s="24" t="s">
        <v>134</v>
      </c>
      <c r="U18" s="21" t="s">
        <v>158</v>
      </c>
      <c r="V18" s="22" t="s">
        <v>159</v>
      </c>
      <c r="W18" s="22" t="s">
        <v>160</v>
      </c>
      <c r="X18" s="22"/>
      <c r="Y18" s="22"/>
      <c r="Z18" s="22"/>
      <c r="AA18" s="22"/>
    </row>
    <row r="19" customFormat="false" ht="15" hidden="false" customHeight="true" outlineLevel="0" collapsed="false">
      <c r="A19" s="17" t="s">
        <v>161</v>
      </c>
      <c r="B19" s="17" t="s">
        <v>162</v>
      </c>
      <c r="C19" s="17" t="s">
        <v>118</v>
      </c>
      <c r="D19" s="17" t="s">
        <v>88</v>
      </c>
      <c r="E19" s="17" t="s">
        <v>151</v>
      </c>
      <c r="F19" s="17" t="s">
        <v>98</v>
      </c>
      <c r="G19" s="18" t="n">
        <v>42.92582</v>
      </c>
      <c r="H19" s="17" t="s">
        <v>80</v>
      </c>
      <c r="I19" s="19" t="n">
        <v>41484</v>
      </c>
      <c r="J19" s="17" t="s">
        <v>163</v>
      </c>
      <c r="K19" s="17" t="s">
        <v>164</v>
      </c>
      <c r="L19" s="17" t="s">
        <v>120</v>
      </c>
      <c r="M19" s="17" t="n">
        <f aca="false">IFERROR(VALUE(RIGHT(D19,1)),"")</f>
        <v>6</v>
      </c>
      <c r="N19" s="17" t="str">
        <f aca="false">IFERROR(LOOKUP(2,1/ISNUMBER(SEARCH(" "&amp;{"NSW","QLD","VIC","SA","WA","TAS","ACT","NT"}&amp;" "," "&amp;L19&amp;" ")),{"NSW","QLD","VIC","SA","WA","TAS","ACT","NT"}),"")</f>
        <v>NSW</v>
      </c>
      <c r="O19" s="17" t="str">
        <f aca="false">IF(E19="None","NO AGREEMENT",IF(LEFT(E19,6)="Casual",IF(C19="Casual","","MISMATCH"),IF(C19="Casual","MISMATCH","")))</f>
        <v/>
      </c>
      <c r="P19" s="17" t="str">
        <f aca="false">IF(LEFT(L19,6)="Casual",IF(C19="Casual","","MISMATCH"),IF(LEFT(L19,9)="Permanent",IF(C19="Casual","MISMATCH",""),""))</f>
        <v/>
      </c>
      <c r="Q19" s="17" t="str">
        <f aca="false">IF(AND(C19="Casual",M19&lt;&gt;""),IF(COUNTIFS($C$2:$C$80,"&lt;&gt;Casual",$M$2:$M$80,M19)=0,"NO PERM TO COMPARE",IF(G19&lt;_xlfn.MINIFS($G$2:$G$80,$C$2:$C$80,"&lt;&gt;Casual",$M$2:$M$80,M19),"BELOW PERM","")),"")</f>
        <v/>
      </c>
      <c r="R19" s="17" t="str">
        <f aca="false">IF(OR(L19="None",N19=""),"CHECK","")</f>
        <v/>
      </c>
      <c r="S19" s="17" t="str">
        <f aca="false">IF(AND(ISNUMBER(SEARCH("OFFICE",K19)),ISNUMBER(SEARCH("Production",D19))),"CHECK","")</f>
        <v/>
      </c>
      <c r="T19" s="20"/>
      <c r="U19" s="21"/>
      <c r="V19" s="22" t="s">
        <v>165</v>
      </c>
      <c r="W19" s="22" t="s">
        <v>166</v>
      </c>
      <c r="X19" s="22"/>
      <c r="Y19" s="22"/>
      <c r="Z19" s="22"/>
      <c r="AA19" s="22" t="s">
        <v>167</v>
      </c>
    </row>
    <row r="20" customFormat="false" ht="15" hidden="false" customHeight="true" outlineLevel="0" collapsed="false">
      <c r="A20" s="17" t="s">
        <v>168</v>
      </c>
      <c r="B20" s="17" t="s">
        <v>169</v>
      </c>
      <c r="C20" s="17" t="s">
        <v>118</v>
      </c>
      <c r="D20" s="17" t="s">
        <v>88</v>
      </c>
      <c r="E20" s="17" t="s">
        <v>151</v>
      </c>
      <c r="F20" s="17" t="s">
        <v>98</v>
      </c>
      <c r="G20" s="18" t="n">
        <v>44.5355</v>
      </c>
      <c r="H20" s="17" t="s">
        <v>80</v>
      </c>
      <c r="I20" s="19" t="n">
        <v>44312</v>
      </c>
      <c r="J20" s="17" t="s">
        <v>170</v>
      </c>
      <c r="K20" s="17" t="s">
        <v>171</v>
      </c>
      <c r="L20" s="17" t="s">
        <v>120</v>
      </c>
      <c r="M20" s="17" t="n">
        <f aca="false">IFERROR(VALUE(RIGHT(D20,1)),"")</f>
        <v>6</v>
      </c>
      <c r="N20" s="17" t="str">
        <f aca="false">IFERROR(LOOKUP(2,1/ISNUMBER(SEARCH(" "&amp;{"NSW","QLD","VIC","SA","WA","TAS","ACT","NT"}&amp;" "," "&amp;L20&amp;" ")),{"NSW","QLD","VIC","SA","WA","TAS","ACT","NT"}),"")</f>
        <v>NSW</v>
      </c>
      <c r="O20" s="17" t="str">
        <f aca="false">IF(E20="None","NO AGREEMENT",IF(LEFT(E20,6)="Casual",IF(C20="Casual","","MISMATCH"),IF(C20="Casual","MISMATCH","")))</f>
        <v/>
      </c>
      <c r="P20" s="17" t="str">
        <f aca="false">IF(LEFT(L20,6)="Casual",IF(C20="Casual","","MISMATCH"),IF(LEFT(L20,9)="Permanent",IF(C20="Casual","MISMATCH",""),""))</f>
        <v/>
      </c>
      <c r="Q20" s="17" t="str">
        <f aca="false">IF(AND(C20="Casual",M20&lt;&gt;""),IF(COUNTIFS($C$2:$C$80,"&lt;&gt;Casual",$M$2:$M$80,M20)=0,"NO PERM TO COMPARE",IF(G20&lt;_xlfn.MINIFS($G$2:$G$80,$C$2:$C$80,"&lt;&gt;Casual",$M$2:$M$80,M20),"BELOW PERM","")),"")</f>
        <v/>
      </c>
      <c r="R20" s="17" t="str">
        <f aca="false">IF(OR(L20="None",N20=""),"CHECK","")</f>
        <v/>
      </c>
      <c r="S20" s="17" t="str">
        <f aca="false">IF(AND(ISNUMBER(SEARCH("OFFICE",K20)),ISNUMBER(SEARCH("Production",D20))),"CHECK","")</f>
        <v/>
      </c>
      <c r="T20" s="20"/>
      <c r="U20" s="21"/>
      <c r="V20" s="22" t="s">
        <v>44</v>
      </c>
      <c r="W20" s="22" t="s">
        <v>93</v>
      </c>
      <c r="X20" s="22"/>
      <c r="Y20" s="22"/>
      <c r="Z20" s="22"/>
      <c r="AA20" s="22" t="s">
        <v>85</v>
      </c>
    </row>
    <row r="21" customFormat="false" ht="15" hidden="false" customHeight="true" outlineLevel="0" collapsed="false">
      <c r="A21" s="17" t="s">
        <v>172</v>
      </c>
      <c r="B21" s="17" t="s">
        <v>173</v>
      </c>
      <c r="C21" s="17" t="s">
        <v>76</v>
      </c>
      <c r="D21" s="17" t="s">
        <v>109</v>
      </c>
      <c r="E21" s="17" t="s">
        <v>110</v>
      </c>
      <c r="F21" s="17" t="s">
        <v>79</v>
      </c>
      <c r="G21" s="18" t="n">
        <v>30</v>
      </c>
      <c r="H21" s="17" t="s">
        <v>80</v>
      </c>
      <c r="I21" s="19" t="n">
        <v>45943</v>
      </c>
      <c r="J21" s="17" t="s">
        <v>81</v>
      </c>
      <c r="K21" s="17" t="s">
        <v>174</v>
      </c>
      <c r="L21" s="17" t="s">
        <v>124</v>
      </c>
      <c r="M21" s="17" t="n">
        <f aca="false">IFERROR(VALUE(RIGHT(D21,1)),"")</f>
        <v>4</v>
      </c>
      <c r="N21" s="17" t="str">
        <f aca="false">IFERROR(LOOKUP(2,1/ISNUMBER(SEARCH(" "&amp;{"NSW","QLD","VIC","SA","WA","TAS","ACT","NT"}&amp;" "," "&amp;L21&amp;" ")),{"NSW","QLD","VIC","SA","WA","TAS","ACT","NT"}),"")</f>
        <v>WA</v>
      </c>
      <c r="O21" s="17" t="str">
        <f aca="false">IF(E21="None","NO AGREEMENT",IF(LEFT(E21,6)="Casual",IF(C21="Casual","","MISMATCH"),IF(C21="Casual","MISMATCH","")))</f>
        <v/>
      </c>
      <c r="P21" s="17" t="str">
        <f aca="false">IF(LEFT(L21,6)="Casual",IF(C21="Casual","","MISMATCH"),IF(LEFT(L21,9)="Permanent",IF(C21="Casual","MISMATCH",""),""))</f>
        <v/>
      </c>
      <c r="Q21" s="17" t="str">
        <f aca="false">IF(AND(C21="Casual",M21&lt;&gt;""),IF(COUNTIFS($C$2:$C$80,"&lt;&gt;Casual",$M$2:$M$80,M21)=0,"NO PERM TO COMPARE",IF(G21&lt;_xlfn.MINIFS($G$2:$G$80,$C$2:$C$80,"&lt;&gt;Casual",$M$2:$M$80,M21),"BELOW PERM","")),"")</f>
        <v>BELOW PERM</v>
      </c>
      <c r="R21" s="17" t="str">
        <f aca="false">IF(OR(L21="None",N21=""),"CHECK","")</f>
        <v/>
      </c>
      <c r="S21" s="17" t="str">
        <f aca="false">IF(AND(ISNUMBER(SEARCH("OFFICE",K21)),ISNUMBER(SEARCH("Production",D21))),"CHECK","")</f>
        <v/>
      </c>
      <c r="T21" s="20"/>
      <c r="U21" s="21"/>
      <c r="V21" s="22" t="s">
        <v>44</v>
      </c>
      <c r="W21" s="22" t="s">
        <v>113</v>
      </c>
      <c r="X21" s="22"/>
      <c r="Y21" s="22"/>
      <c r="Z21" s="22"/>
      <c r="AA21" s="22" t="s">
        <v>85</v>
      </c>
    </row>
    <row r="22" customFormat="false" ht="42.75" hidden="false" customHeight="true" outlineLevel="0" collapsed="false">
      <c r="A22" s="17" t="s">
        <v>175</v>
      </c>
      <c r="B22" s="17" t="s">
        <v>176</v>
      </c>
      <c r="C22" s="17" t="s">
        <v>76</v>
      </c>
      <c r="D22" s="17" t="s">
        <v>109</v>
      </c>
      <c r="E22" s="17" t="s">
        <v>110</v>
      </c>
      <c r="F22" s="17" t="s">
        <v>79</v>
      </c>
      <c r="G22" s="18" t="n">
        <v>30</v>
      </c>
      <c r="H22" s="17" t="s">
        <v>80</v>
      </c>
      <c r="I22" s="19" t="n">
        <v>46114</v>
      </c>
      <c r="J22" s="17" t="s">
        <v>81</v>
      </c>
      <c r="K22" s="17" t="s">
        <v>91</v>
      </c>
      <c r="L22" s="17" t="s">
        <v>155</v>
      </c>
      <c r="M22" s="17" t="n">
        <f aca="false">IFERROR(VALUE(RIGHT(D22,1)),"")</f>
        <v>4</v>
      </c>
      <c r="N22" s="17" t="str">
        <f aca="false">IFERROR(LOOKUP(2,1/ISNUMBER(SEARCH(" "&amp;{"NSW","QLD","VIC","SA","WA","TAS","ACT","NT"}&amp;" "," "&amp;L22&amp;" ")),{"NSW","QLD","VIC","SA","WA","TAS","ACT","NT"}),"")</f>
        <v/>
      </c>
      <c r="O22" s="17" t="str">
        <f aca="false">IF(E22="None","NO AGREEMENT",IF(LEFT(E22,6)="Casual",IF(C22="Casual","","MISMATCH"),IF(C22="Casual","MISMATCH","")))</f>
        <v/>
      </c>
      <c r="P22" s="17" t="str">
        <f aca="false">IF(LEFT(L22,6)="Casual",IF(C22="Casual","","MISMATCH"),IF(LEFT(L22,9)="Permanent",IF(C22="Casual","MISMATCH",""),""))</f>
        <v/>
      </c>
      <c r="Q22" s="17" t="str">
        <f aca="false">IF(AND(C22="Casual",M22&lt;&gt;""),IF(COUNTIFS($C$2:$C$80,"&lt;&gt;Casual",$M$2:$M$80,M22)=0,"NO PERM TO COMPARE",IF(G22&lt;_xlfn.MINIFS($G$2:$G$80,$C$2:$C$80,"&lt;&gt;Casual",$M$2:$M$80,M22),"BELOW PERM","")),"")</f>
        <v>BELOW PERM</v>
      </c>
      <c r="R22" s="17" t="str">
        <f aca="false">IF(OR(L22="None",N22=""),"CHECK","")</f>
        <v>CHECK</v>
      </c>
      <c r="S22" s="17" t="str">
        <f aca="false">IF(AND(ISNUMBER(SEARCH("OFFICE",K22)),ISNUMBER(SEARCH("Production",D22))),"CHECK","")</f>
        <v/>
      </c>
      <c r="T22" s="25" t="s">
        <v>147</v>
      </c>
      <c r="U22" s="21" t="s">
        <v>177</v>
      </c>
      <c r="V22" s="22" t="s">
        <v>44</v>
      </c>
      <c r="W22" s="22" t="s">
        <v>113</v>
      </c>
      <c r="X22" s="22"/>
      <c r="Y22" s="22"/>
      <c r="Z22" s="22"/>
      <c r="AA22" s="22" t="s">
        <v>85</v>
      </c>
    </row>
    <row r="23" customFormat="false" ht="42.75" hidden="false" customHeight="true" outlineLevel="0" collapsed="false">
      <c r="A23" s="17" t="s">
        <v>178</v>
      </c>
      <c r="B23" s="17" t="s">
        <v>179</v>
      </c>
      <c r="C23" s="17" t="s">
        <v>118</v>
      </c>
      <c r="D23" s="17" t="s">
        <v>155</v>
      </c>
      <c r="E23" s="17" t="s">
        <v>155</v>
      </c>
      <c r="F23" s="17" t="s">
        <v>98</v>
      </c>
      <c r="G23" s="18" t="n">
        <v>26.0774</v>
      </c>
      <c r="H23" s="17" t="s">
        <v>80</v>
      </c>
      <c r="I23" s="19" t="n">
        <v>39006</v>
      </c>
      <c r="J23" s="17" t="s">
        <v>180</v>
      </c>
      <c r="K23" s="17" t="s">
        <v>157</v>
      </c>
      <c r="L23" s="17" t="s">
        <v>181</v>
      </c>
      <c r="M23" s="17" t="str">
        <f aca="false">IFERROR(VALUE(RIGHT(D23,1)),"")</f>
        <v/>
      </c>
      <c r="N23" s="17" t="str">
        <f aca="false">IFERROR(LOOKUP(2,1/ISNUMBER(SEARCH(" "&amp;{"NSW","QLD","VIC","SA","WA","TAS","ACT","NT"}&amp;" "," "&amp;L23&amp;" ")),{"NSW","QLD","VIC","SA","WA","TAS","ACT","NT"}),"")</f>
        <v/>
      </c>
      <c r="O23" s="17" t="str">
        <f aca="false">IF(E23="None","NO AGREEMENT",IF(LEFT(E23,6)="Casual",IF(C23="Casual","","MISMATCH"),IF(C23="Casual","MISMATCH","")))</f>
        <v>NO AGREEMENT</v>
      </c>
      <c r="P23" s="17" t="str">
        <f aca="false">IF(LEFT(L23,6)="Casual",IF(C23="Casual","","MISMATCH"),IF(LEFT(L23,9)="Permanent",IF(C23="Casual","MISMATCH",""),""))</f>
        <v/>
      </c>
      <c r="Q23" s="17" t="str">
        <f aca="false">IF(AND(C23="Casual",M23&lt;&gt;""),IF(COUNTIFS($C$2:$C$80,"&lt;&gt;Casual",$M$2:$M$80,M23)=0,"NO PERM TO COMPARE",IF(G23&lt;_xlfn.MINIFS($G$2:$G$80,$C$2:$C$80,"&lt;&gt;Casual",$M$2:$M$80,M23),"BELOW PERM","")),"")</f>
        <v/>
      </c>
      <c r="R23" s="17" t="str">
        <f aca="false">IF(OR(L23="None",N23=""),"CHECK","")</f>
        <v>CHECK</v>
      </c>
      <c r="S23" s="17" t="str">
        <f aca="false">IF(AND(ISNUMBER(SEARCH("OFFICE",K23)),ISNUMBER(SEARCH("Production",D23))),"CHECK","")</f>
        <v/>
      </c>
      <c r="T23" s="25" t="s">
        <v>147</v>
      </c>
      <c r="U23" s="21" t="s">
        <v>182</v>
      </c>
      <c r="V23" s="22" t="s">
        <v>159</v>
      </c>
      <c r="W23" s="22" t="s">
        <v>160</v>
      </c>
      <c r="X23" s="22"/>
      <c r="Y23" s="22"/>
      <c r="Z23" s="22"/>
      <c r="AA23" s="22"/>
    </row>
    <row r="24" customFormat="false" ht="15" hidden="false" customHeight="true" outlineLevel="0" collapsed="false">
      <c r="A24" s="17" t="s">
        <v>183</v>
      </c>
      <c r="B24" s="17" t="s">
        <v>184</v>
      </c>
      <c r="C24" s="17" t="s">
        <v>76</v>
      </c>
      <c r="D24" s="17" t="s">
        <v>109</v>
      </c>
      <c r="E24" s="17" t="s">
        <v>110</v>
      </c>
      <c r="F24" s="17" t="s">
        <v>79</v>
      </c>
      <c r="G24" s="18" t="n">
        <v>30</v>
      </c>
      <c r="H24" s="17" t="s">
        <v>80</v>
      </c>
      <c r="I24" s="19" t="n">
        <v>45971</v>
      </c>
      <c r="J24" s="17" t="s">
        <v>81</v>
      </c>
      <c r="K24" s="17" t="s">
        <v>174</v>
      </c>
      <c r="L24" s="17" t="s">
        <v>124</v>
      </c>
      <c r="M24" s="17" t="n">
        <f aca="false">IFERROR(VALUE(RIGHT(D24,1)),"")</f>
        <v>4</v>
      </c>
      <c r="N24" s="17" t="str">
        <f aca="false">IFERROR(LOOKUP(2,1/ISNUMBER(SEARCH(" "&amp;{"NSW","QLD","VIC","SA","WA","TAS","ACT","NT"}&amp;" "," "&amp;L24&amp;" ")),{"NSW","QLD","VIC","SA","WA","TAS","ACT","NT"}),"")</f>
        <v>WA</v>
      </c>
      <c r="O24" s="17" t="str">
        <f aca="false">IF(E24="None","NO AGREEMENT",IF(LEFT(E24,6)="Casual",IF(C24="Casual","","MISMATCH"),IF(C24="Casual","MISMATCH","")))</f>
        <v/>
      </c>
      <c r="P24" s="17" t="str">
        <f aca="false">IF(LEFT(L24,6)="Casual",IF(C24="Casual","","MISMATCH"),IF(LEFT(L24,9)="Permanent",IF(C24="Casual","MISMATCH",""),""))</f>
        <v/>
      </c>
      <c r="Q24" s="17" t="str">
        <f aca="false">IF(AND(C24="Casual",M24&lt;&gt;""),IF(COUNTIFS($C$2:$C$80,"&lt;&gt;Casual",$M$2:$M$80,M24)=0,"NO PERM TO COMPARE",IF(G24&lt;_xlfn.MINIFS($G$2:$G$80,$C$2:$C$80,"&lt;&gt;Casual",$M$2:$M$80,M24),"BELOW PERM","")),"")</f>
        <v>BELOW PERM</v>
      </c>
      <c r="R24" s="17" t="str">
        <f aca="false">IF(OR(L24="None",N24=""),"CHECK","")</f>
        <v/>
      </c>
      <c r="S24" s="17" t="str">
        <f aca="false">IF(AND(ISNUMBER(SEARCH("OFFICE",K24)),ISNUMBER(SEARCH("Production",D24))),"CHECK","")</f>
        <v/>
      </c>
      <c r="T24" s="20"/>
      <c r="U24" s="21"/>
      <c r="V24" s="22" t="s">
        <v>44</v>
      </c>
      <c r="W24" s="22" t="s">
        <v>113</v>
      </c>
      <c r="X24" s="22"/>
      <c r="Y24" s="22"/>
      <c r="Z24" s="22"/>
      <c r="AA24" s="22" t="s">
        <v>85</v>
      </c>
    </row>
    <row r="25" customFormat="false" ht="15" hidden="false" customHeight="true" outlineLevel="0" collapsed="false">
      <c r="A25" s="17" t="s">
        <v>185</v>
      </c>
      <c r="B25" s="17" t="s">
        <v>186</v>
      </c>
      <c r="C25" s="17" t="s">
        <v>76</v>
      </c>
      <c r="D25" s="17" t="s">
        <v>109</v>
      </c>
      <c r="E25" s="17" t="s">
        <v>110</v>
      </c>
      <c r="F25" s="17" t="s">
        <v>79</v>
      </c>
      <c r="G25" s="18" t="n">
        <v>30</v>
      </c>
      <c r="H25" s="17" t="s">
        <v>80</v>
      </c>
      <c r="I25" s="19" t="n">
        <v>45551</v>
      </c>
      <c r="J25" s="17" t="s">
        <v>81</v>
      </c>
      <c r="K25" s="17" t="s">
        <v>174</v>
      </c>
      <c r="L25" s="17" t="s">
        <v>124</v>
      </c>
      <c r="M25" s="17" t="n">
        <f aca="false">IFERROR(VALUE(RIGHT(D25,1)),"")</f>
        <v>4</v>
      </c>
      <c r="N25" s="17" t="str">
        <f aca="false">IFERROR(LOOKUP(2,1/ISNUMBER(SEARCH(" "&amp;{"NSW","QLD","VIC","SA","WA","TAS","ACT","NT"}&amp;" "," "&amp;L25&amp;" ")),{"NSW","QLD","VIC","SA","WA","TAS","ACT","NT"}),"")</f>
        <v>WA</v>
      </c>
      <c r="O25" s="17" t="str">
        <f aca="false">IF(E25="None","NO AGREEMENT",IF(LEFT(E25,6)="Casual",IF(C25="Casual","","MISMATCH"),IF(C25="Casual","MISMATCH","")))</f>
        <v/>
      </c>
      <c r="P25" s="17" t="str">
        <f aca="false">IF(LEFT(L25,6)="Casual",IF(C25="Casual","","MISMATCH"),IF(LEFT(L25,9)="Permanent",IF(C25="Casual","MISMATCH",""),""))</f>
        <v/>
      </c>
      <c r="Q25" s="17" t="str">
        <f aca="false">IF(AND(C25="Casual",M25&lt;&gt;""),IF(COUNTIFS($C$2:$C$80,"&lt;&gt;Casual",$M$2:$M$80,M25)=0,"NO PERM TO COMPARE",IF(G25&lt;_xlfn.MINIFS($G$2:$G$80,$C$2:$C$80,"&lt;&gt;Casual",$M$2:$M$80,M25),"BELOW PERM","")),"")</f>
        <v>BELOW PERM</v>
      </c>
      <c r="R25" s="17" t="str">
        <f aca="false">IF(OR(L25="None",N25=""),"CHECK","")</f>
        <v/>
      </c>
      <c r="S25" s="17" t="str">
        <f aca="false">IF(AND(ISNUMBER(SEARCH("OFFICE",K25)),ISNUMBER(SEARCH("Production",D25))),"CHECK","")</f>
        <v/>
      </c>
      <c r="T25" s="20"/>
      <c r="U25" s="21"/>
      <c r="V25" s="22" t="s">
        <v>44</v>
      </c>
      <c r="W25" s="22" t="s">
        <v>113</v>
      </c>
      <c r="X25" s="22"/>
      <c r="Y25" s="22"/>
      <c r="Z25" s="22"/>
      <c r="AA25" s="22" t="s">
        <v>85</v>
      </c>
    </row>
    <row r="26" customFormat="false" ht="15" hidden="false" customHeight="true" outlineLevel="0" collapsed="false">
      <c r="A26" s="17" t="s">
        <v>187</v>
      </c>
      <c r="B26" s="17" t="s">
        <v>188</v>
      </c>
      <c r="C26" s="17" t="s">
        <v>76</v>
      </c>
      <c r="D26" s="17" t="s">
        <v>77</v>
      </c>
      <c r="E26" s="17" t="s">
        <v>78</v>
      </c>
      <c r="F26" s="17" t="s">
        <v>79</v>
      </c>
      <c r="G26" s="18" t="n">
        <v>31</v>
      </c>
      <c r="H26" s="17" t="s">
        <v>80</v>
      </c>
      <c r="I26" s="19" t="n">
        <v>46286</v>
      </c>
      <c r="J26" s="17" t="s">
        <v>99</v>
      </c>
      <c r="K26" s="17" t="s">
        <v>91</v>
      </c>
      <c r="L26" s="17" t="s">
        <v>92</v>
      </c>
      <c r="M26" s="17" t="n">
        <f aca="false">IFERROR(VALUE(RIGHT(D26,1)),"")</f>
        <v>5</v>
      </c>
      <c r="N26" s="17" t="str">
        <f aca="false">IFERROR(LOOKUP(2,1/ISNUMBER(SEARCH(" "&amp;{"NSW","QLD","VIC","SA","WA","TAS","ACT","NT"}&amp;" "," "&amp;L26&amp;" ")),{"NSW","QLD","VIC","SA","WA","TAS","ACT","NT"}),"")</f>
        <v>NSW</v>
      </c>
      <c r="O26" s="17" t="str">
        <f aca="false">IF(E26="None","NO AGREEMENT",IF(LEFT(E26,6)="Casual",IF(C26="Casual","","MISMATCH"),IF(C26="Casual","MISMATCH","")))</f>
        <v/>
      </c>
      <c r="P26" s="17" t="str">
        <f aca="false">IF(LEFT(L26,6)="Casual",IF(C26="Casual","","MISMATCH"),IF(LEFT(L26,9)="Permanent",IF(C26="Casual","MISMATCH",""),""))</f>
        <v/>
      </c>
      <c r="Q26" s="17" t="str">
        <f aca="false">IF(AND(C26="Casual",M26&lt;&gt;""),IF(COUNTIFS($C$2:$C$80,"&lt;&gt;Casual",$M$2:$M$80,M26)=0,"NO PERM TO COMPARE",IF(G26&lt;_xlfn.MINIFS($G$2:$G$80,$C$2:$C$80,"&lt;&gt;Casual",$M$2:$M$80,M26),"BELOW PERM","")),"")</f>
        <v>BELOW PERM</v>
      </c>
      <c r="R26" s="17" t="str">
        <f aca="false">IF(OR(L26="None",N26=""),"CHECK","")</f>
        <v/>
      </c>
      <c r="S26" s="17" t="str">
        <f aca="false">IF(AND(ISNUMBER(SEARCH("OFFICE",K26)),ISNUMBER(SEARCH("Production",D26))),"CHECK","")</f>
        <v/>
      </c>
      <c r="T26" s="20"/>
      <c r="U26" s="21"/>
      <c r="V26" s="22" t="s">
        <v>44</v>
      </c>
      <c r="W26" s="22" t="s">
        <v>84</v>
      </c>
      <c r="X26" s="22"/>
      <c r="Y26" s="22"/>
      <c r="Z26" s="22"/>
      <c r="AA26" s="22" t="s">
        <v>85</v>
      </c>
    </row>
    <row r="27" customFormat="false" ht="42.75" hidden="false" customHeight="true" outlineLevel="0" collapsed="false">
      <c r="A27" s="17" t="s">
        <v>189</v>
      </c>
      <c r="B27" s="17" t="s">
        <v>190</v>
      </c>
      <c r="C27" s="17" t="s">
        <v>96</v>
      </c>
      <c r="D27" s="17" t="s">
        <v>191</v>
      </c>
      <c r="E27" s="17" t="s">
        <v>192</v>
      </c>
      <c r="F27" s="17" t="s">
        <v>98</v>
      </c>
      <c r="G27" s="18" t="n">
        <v>35.0561</v>
      </c>
      <c r="H27" s="17" t="s">
        <v>80</v>
      </c>
      <c r="I27" s="19" t="n">
        <v>45476</v>
      </c>
      <c r="J27" s="17" t="s">
        <v>193</v>
      </c>
      <c r="K27" s="17" t="s">
        <v>157</v>
      </c>
      <c r="L27" s="17" t="s">
        <v>120</v>
      </c>
      <c r="M27" s="17" t="n">
        <f aca="false">IFERROR(VALUE(RIGHT(D27,1)),"")</f>
        <v>3</v>
      </c>
      <c r="N27" s="17" t="str">
        <f aca="false">IFERROR(LOOKUP(2,1/ISNUMBER(SEARCH(" "&amp;{"NSW","QLD","VIC","SA","WA","TAS","ACT","NT"}&amp;" "," "&amp;L27&amp;" ")),{"NSW","QLD","VIC","SA","WA","TAS","ACT","NT"}),"")</f>
        <v>NSW</v>
      </c>
      <c r="O27" s="17" t="str">
        <f aca="false">IF(E27="None","NO AGREEMENT",IF(LEFT(E27,6)="Casual",IF(C27="Casual","","MISMATCH"),IF(C27="Casual","MISMATCH","")))</f>
        <v/>
      </c>
      <c r="P27" s="17" t="str">
        <f aca="false">IF(LEFT(L27,6)="Casual",IF(C27="Casual","","MISMATCH"),IF(LEFT(L27,9)="Permanent",IF(C27="Casual","MISMATCH",""),""))</f>
        <v/>
      </c>
      <c r="Q27" s="17" t="str">
        <f aca="false">IF(AND(C27="Casual",M27&lt;&gt;""),IF(COUNTIFS($C$2:$C$80,"&lt;&gt;Casual",$M$2:$M$80,M27)=0,"NO PERM TO COMPARE",IF(G27&lt;_xlfn.MINIFS($G$2:$G$80,$C$2:$C$80,"&lt;&gt;Casual",$M$2:$M$80,M27),"BELOW PERM","")),"")</f>
        <v/>
      </c>
      <c r="R27" s="17" t="str">
        <f aca="false">IF(OR(L27="None",N27=""),"CHECK","")</f>
        <v/>
      </c>
      <c r="S27" s="17" t="str">
        <f aca="false">IF(AND(ISNUMBER(SEARCH("OFFICE",K27)),ISNUMBER(SEARCH("Production",D27))),"CHECK","")</f>
        <v>CHECK</v>
      </c>
      <c r="T27" s="25" t="s">
        <v>147</v>
      </c>
      <c r="U27" s="21" t="s">
        <v>194</v>
      </c>
      <c r="V27" s="22" t="s">
        <v>195</v>
      </c>
      <c r="W27" s="22" t="s">
        <v>196</v>
      </c>
      <c r="X27" s="22"/>
      <c r="Y27" s="22"/>
      <c r="Z27" s="22"/>
      <c r="AA27" s="22" t="s">
        <v>85</v>
      </c>
    </row>
    <row r="28" customFormat="false" ht="15" hidden="false" customHeight="true" outlineLevel="0" collapsed="false">
      <c r="A28" s="17" t="s">
        <v>197</v>
      </c>
      <c r="B28" s="17" t="s">
        <v>198</v>
      </c>
      <c r="C28" s="17" t="s">
        <v>76</v>
      </c>
      <c r="D28" s="17" t="s">
        <v>88</v>
      </c>
      <c r="E28" s="17" t="s">
        <v>89</v>
      </c>
      <c r="F28" s="17" t="s">
        <v>79</v>
      </c>
      <c r="G28" s="18" t="n">
        <v>39.4618</v>
      </c>
      <c r="H28" s="17" t="s">
        <v>80</v>
      </c>
      <c r="I28" s="19" t="n">
        <v>45740</v>
      </c>
      <c r="J28" s="17" t="s">
        <v>90</v>
      </c>
      <c r="K28" s="17" t="s">
        <v>199</v>
      </c>
      <c r="L28" s="17" t="s">
        <v>92</v>
      </c>
      <c r="M28" s="17" t="n">
        <f aca="false">IFERROR(VALUE(RIGHT(D28,1)),"")</f>
        <v>6</v>
      </c>
      <c r="N28" s="17" t="str">
        <f aca="false">IFERROR(LOOKUP(2,1/ISNUMBER(SEARCH(" "&amp;{"NSW","QLD","VIC","SA","WA","TAS","ACT","NT"}&amp;" "," "&amp;L28&amp;" ")),{"NSW","QLD","VIC","SA","WA","TAS","ACT","NT"}),"")</f>
        <v>NSW</v>
      </c>
      <c r="O28" s="17" t="str">
        <f aca="false">IF(E28="None","NO AGREEMENT",IF(LEFT(E28,6)="Casual",IF(C28="Casual","","MISMATCH"),IF(C28="Casual","MISMATCH","")))</f>
        <v/>
      </c>
      <c r="P28" s="17" t="str">
        <f aca="false">IF(LEFT(L28,6)="Casual",IF(C28="Casual","","MISMATCH"),IF(LEFT(L28,9)="Permanent",IF(C28="Casual","MISMATCH",""),""))</f>
        <v/>
      </c>
      <c r="Q28" s="17" t="str">
        <f aca="false">IF(AND(C28="Casual",M28&lt;&gt;""),IF(COUNTIFS($C$2:$C$80,"&lt;&gt;Casual",$M$2:$M$80,M28)=0,"NO PERM TO COMPARE",IF(G28&lt;_xlfn.MINIFS($G$2:$G$80,$C$2:$C$80,"&lt;&gt;Casual",$M$2:$M$80,M28),"BELOW PERM","")),"")</f>
        <v>BELOW PERM</v>
      </c>
      <c r="R28" s="17" t="str">
        <f aca="false">IF(OR(L28="None",N28=""),"CHECK","")</f>
        <v/>
      </c>
      <c r="S28" s="17" t="str">
        <f aca="false">IF(AND(ISNUMBER(SEARCH("OFFICE",K28)),ISNUMBER(SEARCH("Production",D28))),"CHECK","")</f>
        <v/>
      </c>
      <c r="T28" s="20"/>
      <c r="U28" s="21"/>
      <c r="V28" s="22" t="s">
        <v>44</v>
      </c>
      <c r="W28" s="22" t="s">
        <v>93</v>
      </c>
      <c r="X28" s="22"/>
      <c r="Y28" s="22"/>
      <c r="Z28" s="22"/>
      <c r="AA28" s="22" t="s">
        <v>85</v>
      </c>
    </row>
    <row r="29" customFormat="false" ht="42.75" hidden="false" customHeight="true" outlineLevel="0" collapsed="false">
      <c r="A29" s="17" t="s">
        <v>200</v>
      </c>
      <c r="B29" s="17" t="s">
        <v>201</v>
      </c>
      <c r="C29" s="17" t="s">
        <v>76</v>
      </c>
      <c r="D29" s="17" t="s">
        <v>109</v>
      </c>
      <c r="E29" s="17" t="s">
        <v>110</v>
      </c>
      <c r="F29" s="17" t="s">
        <v>79</v>
      </c>
      <c r="G29" s="18" t="n">
        <v>27.17</v>
      </c>
      <c r="H29" s="17" t="s">
        <v>80</v>
      </c>
      <c r="I29" s="19" t="n">
        <v>46171</v>
      </c>
      <c r="J29" s="17" t="s">
        <v>81</v>
      </c>
      <c r="K29" s="17" t="s">
        <v>202</v>
      </c>
      <c r="L29" s="17" t="s">
        <v>203</v>
      </c>
      <c r="M29" s="17" t="n">
        <f aca="false">IFERROR(VALUE(RIGHT(D29,1)),"")</f>
        <v>4</v>
      </c>
      <c r="N29" s="17" t="str">
        <f aca="false">IFERROR(LOOKUP(2,1/ISNUMBER(SEARCH(" "&amp;{"NSW","QLD","VIC","SA","WA","TAS","ACT","NT"}&amp;" "," "&amp;L29&amp;" ")),{"NSW","QLD","VIC","SA","WA","TAS","ACT","NT"}),"")</f>
        <v>SA</v>
      </c>
      <c r="O29" s="17" t="str">
        <f aca="false">IF(E29="None","NO AGREEMENT",IF(LEFT(E29,6)="Casual",IF(C29="Casual","","MISMATCH"),IF(C29="Casual","MISMATCH","")))</f>
        <v/>
      </c>
      <c r="P29" s="17" t="str">
        <f aca="false">IF(LEFT(L29,6)="Casual",IF(C29="Casual","","MISMATCH"),IF(LEFT(L29,9)="Permanent",IF(C29="Casual","MISMATCH",""),""))</f>
        <v/>
      </c>
      <c r="Q29" s="17" t="str">
        <f aca="false">IF(AND(C29="Casual",M29&lt;&gt;""),IF(COUNTIFS($C$2:$C$80,"&lt;&gt;Casual",$M$2:$M$80,M29)=0,"NO PERM TO COMPARE",IF(G29&lt;_xlfn.MINIFS($G$2:$G$80,$C$2:$C$80,"&lt;&gt;Casual",$M$2:$M$80,M29),"BELOW PERM","")),"")</f>
        <v>BELOW PERM</v>
      </c>
      <c r="R29" s="17" t="str">
        <f aca="false">IF(OR(L29="None",N29=""),"CHECK","")</f>
        <v/>
      </c>
      <c r="S29" s="17" t="str">
        <f aca="false">IF(AND(ISNUMBER(SEARCH("OFFICE",K29)),ISNUMBER(SEARCH("Production",D29))),"CHECK","")</f>
        <v/>
      </c>
      <c r="T29" s="23" t="s">
        <v>100</v>
      </c>
      <c r="U29" s="21" t="s">
        <v>204</v>
      </c>
      <c r="V29" s="22" t="s">
        <v>44</v>
      </c>
      <c r="W29" s="22" t="s">
        <v>113</v>
      </c>
      <c r="X29" s="22"/>
      <c r="Y29" s="22"/>
      <c r="Z29" s="22"/>
      <c r="AA29" s="22" t="s">
        <v>85</v>
      </c>
    </row>
    <row r="30" customFormat="false" ht="15" hidden="false" customHeight="true" outlineLevel="0" collapsed="false">
      <c r="A30" s="17" t="s">
        <v>205</v>
      </c>
      <c r="B30" s="17" t="s">
        <v>206</v>
      </c>
      <c r="C30" s="17" t="s">
        <v>76</v>
      </c>
      <c r="D30" s="17" t="s">
        <v>109</v>
      </c>
      <c r="E30" s="17" t="s">
        <v>110</v>
      </c>
      <c r="F30" s="17" t="s">
        <v>79</v>
      </c>
      <c r="G30" s="18" t="n">
        <v>30</v>
      </c>
      <c r="H30" s="17" t="s">
        <v>80</v>
      </c>
      <c r="I30" s="19" t="n">
        <v>45698</v>
      </c>
      <c r="J30" s="17" t="s">
        <v>81</v>
      </c>
      <c r="K30" s="17" t="s">
        <v>91</v>
      </c>
      <c r="L30" s="17" t="s">
        <v>92</v>
      </c>
      <c r="M30" s="17" t="n">
        <f aca="false">IFERROR(VALUE(RIGHT(D30,1)),"")</f>
        <v>4</v>
      </c>
      <c r="N30" s="17" t="str">
        <f aca="false">IFERROR(LOOKUP(2,1/ISNUMBER(SEARCH(" "&amp;{"NSW","QLD","VIC","SA","WA","TAS","ACT","NT"}&amp;" "," "&amp;L30&amp;" ")),{"NSW","QLD","VIC","SA","WA","TAS","ACT","NT"}),"")</f>
        <v>NSW</v>
      </c>
      <c r="O30" s="17" t="str">
        <f aca="false">IF(E30="None","NO AGREEMENT",IF(LEFT(E30,6)="Casual",IF(C30="Casual","","MISMATCH"),IF(C30="Casual","MISMATCH","")))</f>
        <v/>
      </c>
      <c r="P30" s="17" t="str">
        <f aca="false">IF(LEFT(L30,6)="Casual",IF(C30="Casual","","MISMATCH"),IF(LEFT(L30,9)="Permanent",IF(C30="Casual","MISMATCH",""),""))</f>
        <v/>
      </c>
      <c r="Q30" s="17" t="str">
        <f aca="false">IF(AND(C30="Casual",M30&lt;&gt;""),IF(COUNTIFS($C$2:$C$80,"&lt;&gt;Casual",$M$2:$M$80,M30)=0,"NO PERM TO COMPARE",IF(G30&lt;_xlfn.MINIFS($G$2:$G$80,$C$2:$C$80,"&lt;&gt;Casual",$M$2:$M$80,M30),"BELOW PERM","")),"")</f>
        <v>BELOW PERM</v>
      </c>
      <c r="R30" s="17" t="str">
        <f aca="false">IF(OR(L30="None",N30=""),"CHECK","")</f>
        <v/>
      </c>
      <c r="S30" s="17" t="str">
        <f aca="false">IF(AND(ISNUMBER(SEARCH("OFFICE",K30)),ISNUMBER(SEARCH("Production",D30))),"CHECK","")</f>
        <v/>
      </c>
      <c r="T30" s="20"/>
      <c r="U30" s="21"/>
      <c r="V30" s="22" t="s">
        <v>44</v>
      </c>
      <c r="W30" s="22" t="s">
        <v>113</v>
      </c>
      <c r="X30" s="22"/>
      <c r="Y30" s="22"/>
      <c r="Z30" s="22"/>
      <c r="AA30" s="22" t="s">
        <v>85</v>
      </c>
    </row>
    <row r="31" customFormat="false" ht="15" hidden="false" customHeight="true" outlineLevel="0" collapsed="false">
      <c r="A31" s="17" t="s">
        <v>207</v>
      </c>
      <c r="B31" s="17" t="s">
        <v>208</v>
      </c>
      <c r="C31" s="17" t="s">
        <v>76</v>
      </c>
      <c r="D31" s="17" t="s">
        <v>77</v>
      </c>
      <c r="E31" s="17" t="s">
        <v>78</v>
      </c>
      <c r="F31" s="17" t="s">
        <v>79</v>
      </c>
      <c r="G31" s="18" t="n">
        <v>35.75</v>
      </c>
      <c r="H31" s="17" t="s">
        <v>80</v>
      </c>
      <c r="I31" s="19" t="n">
        <v>46140</v>
      </c>
      <c r="J31" s="17" t="s">
        <v>81</v>
      </c>
      <c r="K31" s="17" t="s">
        <v>209</v>
      </c>
      <c r="L31" s="17" t="s">
        <v>124</v>
      </c>
      <c r="M31" s="17" t="n">
        <f aca="false">IFERROR(VALUE(RIGHT(D31,1)),"")</f>
        <v>5</v>
      </c>
      <c r="N31" s="17" t="str">
        <f aca="false">IFERROR(LOOKUP(2,1/ISNUMBER(SEARCH(" "&amp;{"NSW","QLD","VIC","SA","WA","TAS","ACT","NT"}&amp;" "," "&amp;L31&amp;" ")),{"NSW","QLD","VIC","SA","WA","TAS","ACT","NT"}),"")</f>
        <v>WA</v>
      </c>
      <c r="O31" s="17" t="str">
        <f aca="false">IF(E31="None","NO AGREEMENT",IF(LEFT(E31,6)="Casual",IF(C31="Casual","","MISMATCH"),IF(C31="Casual","MISMATCH","")))</f>
        <v/>
      </c>
      <c r="P31" s="17" t="str">
        <f aca="false">IF(LEFT(L31,6)="Casual",IF(C31="Casual","","MISMATCH"),IF(LEFT(L31,9)="Permanent",IF(C31="Casual","MISMATCH",""),""))</f>
        <v/>
      </c>
      <c r="Q31" s="17" t="str">
        <f aca="false">IF(AND(C31="Casual",M31&lt;&gt;""),IF(COUNTIFS($C$2:$C$80,"&lt;&gt;Casual",$M$2:$M$80,M31)=0,"NO PERM TO COMPARE",IF(G31&lt;_xlfn.MINIFS($G$2:$G$80,$C$2:$C$80,"&lt;&gt;Casual",$M$2:$M$80,M31),"BELOW PERM","")),"")</f>
        <v/>
      </c>
      <c r="R31" s="17" t="str">
        <f aca="false">IF(OR(L31="None",N31=""),"CHECK","")</f>
        <v/>
      </c>
      <c r="S31" s="17" t="str">
        <f aca="false">IF(AND(ISNUMBER(SEARCH("OFFICE",K31)),ISNUMBER(SEARCH("Production",D31))),"CHECK","")</f>
        <v/>
      </c>
      <c r="T31" s="20"/>
      <c r="U31" s="21"/>
      <c r="V31" s="22" t="s">
        <v>44</v>
      </c>
      <c r="W31" s="22" t="s">
        <v>84</v>
      </c>
      <c r="X31" s="22"/>
      <c r="Y31" s="22"/>
      <c r="Z31" s="22"/>
      <c r="AA31" s="22" t="s">
        <v>85</v>
      </c>
    </row>
    <row r="32" customFormat="false" ht="15" hidden="false" customHeight="true" outlineLevel="0" collapsed="false">
      <c r="A32" s="17" t="s">
        <v>210</v>
      </c>
      <c r="B32" s="17" t="s">
        <v>211</v>
      </c>
      <c r="C32" s="17" t="s">
        <v>76</v>
      </c>
      <c r="D32" s="17" t="s">
        <v>191</v>
      </c>
      <c r="E32" s="17" t="s">
        <v>212</v>
      </c>
      <c r="F32" s="17" t="s">
        <v>79</v>
      </c>
      <c r="G32" s="18" t="n">
        <v>30</v>
      </c>
      <c r="H32" s="17" t="s">
        <v>80</v>
      </c>
      <c r="I32" s="19" t="n">
        <v>46258</v>
      </c>
      <c r="J32" s="17" t="s">
        <v>191</v>
      </c>
      <c r="K32" s="17" t="s">
        <v>91</v>
      </c>
      <c r="L32" s="17" t="s">
        <v>92</v>
      </c>
      <c r="M32" s="17" t="n">
        <f aca="false">IFERROR(VALUE(RIGHT(D32,1)),"")</f>
        <v>3</v>
      </c>
      <c r="N32" s="17" t="str">
        <f aca="false">IFERROR(LOOKUP(2,1/ISNUMBER(SEARCH(" "&amp;{"NSW","QLD","VIC","SA","WA","TAS","ACT","NT"}&amp;" "," "&amp;L32&amp;" ")),{"NSW","QLD","VIC","SA","WA","TAS","ACT","NT"}),"")</f>
        <v>NSW</v>
      </c>
      <c r="O32" s="17" t="str">
        <f aca="false">IF(E32="None","NO AGREEMENT",IF(LEFT(E32,6)="Casual",IF(C32="Casual","","MISMATCH"),IF(C32="Casual","MISMATCH","")))</f>
        <v/>
      </c>
      <c r="P32" s="17" t="str">
        <f aca="false">IF(LEFT(L32,6)="Casual",IF(C32="Casual","","MISMATCH"),IF(LEFT(L32,9)="Permanent",IF(C32="Casual","MISMATCH",""),""))</f>
        <v/>
      </c>
      <c r="Q32" s="17" t="str">
        <f aca="false">IF(AND(C32="Casual",M32&lt;&gt;""),IF(COUNTIFS($C$2:$C$80,"&lt;&gt;Casual",$M$2:$M$80,M32)=0,"NO PERM TO COMPARE",IF(G32&lt;_xlfn.MINIFS($G$2:$G$80,$C$2:$C$80,"&lt;&gt;Casual",$M$2:$M$80,M32),"BELOW PERM","")),"")</f>
        <v>BELOW PERM</v>
      </c>
      <c r="R32" s="17" t="str">
        <f aca="false">IF(OR(L32="None",N32=""),"CHECK","")</f>
        <v/>
      </c>
      <c r="S32" s="17" t="str">
        <f aca="false">IF(AND(ISNUMBER(SEARCH("OFFICE",K32)),ISNUMBER(SEARCH("Production",D32))),"CHECK","")</f>
        <v/>
      </c>
      <c r="T32" s="24" t="s">
        <v>134</v>
      </c>
      <c r="U32" s="21" t="s">
        <v>213</v>
      </c>
      <c r="V32" s="22" t="s">
        <v>44</v>
      </c>
      <c r="W32" s="22" t="s">
        <v>214</v>
      </c>
      <c r="X32" s="22"/>
      <c r="Y32" s="22"/>
      <c r="Z32" s="22"/>
      <c r="AA32" s="22" t="s">
        <v>85</v>
      </c>
    </row>
    <row r="33" customFormat="false" ht="42.75" hidden="false" customHeight="true" outlineLevel="0" collapsed="false">
      <c r="A33" s="17" t="s">
        <v>215</v>
      </c>
      <c r="B33" s="17" t="s">
        <v>216</v>
      </c>
      <c r="C33" s="17" t="s">
        <v>118</v>
      </c>
      <c r="D33" s="17" t="s">
        <v>155</v>
      </c>
      <c r="E33" s="17" t="s">
        <v>155</v>
      </c>
      <c r="F33" s="17" t="s">
        <v>98</v>
      </c>
      <c r="G33" s="18" t="n">
        <v>53.228</v>
      </c>
      <c r="H33" s="17" t="s">
        <v>80</v>
      </c>
      <c r="I33" s="19" t="n">
        <v>45302</v>
      </c>
      <c r="J33" s="17" t="s">
        <v>156</v>
      </c>
      <c r="K33" s="17" t="s">
        <v>157</v>
      </c>
      <c r="L33" s="17" t="s">
        <v>181</v>
      </c>
      <c r="M33" s="17" t="str">
        <f aca="false">IFERROR(VALUE(RIGHT(D33,1)),"")</f>
        <v/>
      </c>
      <c r="N33" s="17" t="str">
        <f aca="false">IFERROR(LOOKUP(2,1/ISNUMBER(SEARCH(" "&amp;{"NSW","QLD","VIC","SA","WA","TAS","ACT","NT"}&amp;" "," "&amp;L33&amp;" ")),{"NSW","QLD","VIC","SA","WA","TAS","ACT","NT"}),"")</f>
        <v/>
      </c>
      <c r="O33" s="17" t="str">
        <f aca="false">IF(E33="None","NO AGREEMENT",IF(LEFT(E33,6)="Casual",IF(C33="Casual","","MISMATCH"),IF(C33="Casual","MISMATCH","")))</f>
        <v>NO AGREEMENT</v>
      </c>
      <c r="P33" s="17" t="str">
        <f aca="false">IF(LEFT(L33,6)="Casual",IF(C33="Casual","","MISMATCH"),IF(LEFT(L33,9)="Permanent",IF(C33="Casual","MISMATCH",""),""))</f>
        <v/>
      </c>
      <c r="Q33" s="17" t="str">
        <f aca="false">IF(AND(C33="Casual",M33&lt;&gt;""),IF(COUNTIFS($C$2:$C$80,"&lt;&gt;Casual",$M$2:$M$80,M33)=0,"NO PERM TO COMPARE",IF(G33&lt;_xlfn.MINIFS($G$2:$G$80,$C$2:$C$80,"&lt;&gt;Casual",$M$2:$M$80,M33),"BELOW PERM","")),"")</f>
        <v/>
      </c>
      <c r="R33" s="17" t="str">
        <f aca="false">IF(OR(L33="None",N33=""),"CHECK","")</f>
        <v>CHECK</v>
      </c>
      <c r="S33" s="17" t="str">
        <f aca="false">IF(AND(ISNUMBER(SEARCH("OFFICE",K33)),ISNUMBER(SEARCH("Production",D33))),"CHECK","")</f>
        <v/>
      </c>
      <c r="T33" s="25" t="s">
        <v>147</v>
      </c>
      <c r="U33" s="21" t="s">
        <v>217</v>
      </c>
      <c r="V33" s="22" t="s">
        <v>159</v>
      </c>
      <c r="W33" s="22" t="s">
        <v>160</v>
      </c>
      <c r="X33" s="22"/>
      <c r="Y33" s="22"/>
      <c r="Z33" s="22"/>
      <c r="AA33" s="22"/>
    </row>
    <row r="34" customFormat="false" ht="15" hidden="false" customHeight="true" outlineLevel="0" collapsed="false">
      <c r="A34" s="17" t="s">
        <v>218</v>
      </c>
      <c r="B34" s="17" t="s">
        <v>219</v>
      </c>
      <c r="C34" s="17" t="s">
        <v>118</v>
      </c>
      <c r="D34" s="17" t="s">
        <v>155</v>
      </c>
      <c r="E34" s="17" t="s">
        <v>155</v>
      </c>
      <c r="F34" s="17" t="s">
        <v>98</v>
      </c>
      <c r="G34" s="18" t="n">
        <v>104.0339</v>
      </c>
      <c r="H34" s="17" t="s">
        <v>80</v>
      </c>
      <c r="I34" s="19" t="n">
        <v>46041</v>
      </c>
      <c r="J34" s="17" t="s">
        <v>220</v>
      </c>
      <c r="K34" s="17" t="s">
        <v>157</v>
      </c>
      <c r="L34" s="17" t="s">
        <v>120</v>
      </c>
      <c r="M34" s="17" t="str">
        <f aca="false">IFERROR(VALUE(RIGHT(D34,1)),"")</f>
        <v/>
      </c>
      <c r="N34" s="17" t="str">
        <f aca="false">IFERROR(LOOKUP(2,1/ISNUMBER(SEARCH(" "&amp;{"NSW","QLD","VIC","SA","WA","TAS","ACT","NT"}&amp;" "," "&amp;L34&amp;" ")),{"NSW","QLD","VIC","SA","WA","TAS","ACT","NT"}),"")</f>
        <v>NSW</v>
      </c>
      <c r="O34" s="17" t="str">
        <f aca="false">IF(E34="None","NO AGREEMENT",IF(LEFT(E34,6)="Casual",IF(C34="Casual","","MISMATCH"),IF(C34="Casual","MISMATCH","")))</f>
        <v>NO AGREEMENT</v>
      </c>
      <c r="P34" s="17" t="str">
        <f aca="false">IF(LEFT(L34,6)="Casual",IF(C34="Casual","","MISMATCH"),IF(LEFT(L34,9)="Permanent",IF(C34="Casual","MISMATCH",""),""))</f>
        <v/>
      </c>
      <c r="Q34" s="17" t="str">
        <f aca="false">IF(AND(C34="Casual",M34&lt;&gt;""),IF(COUNTIFS($C$2:$C$80,"&lt;&gt;Casual",$M$2:$M$80,M34)=0,"NO PERM TO COMPARE",IF(G34&lt;_xlfn.MINIFS($G$2:$G$80,$C$2:$C$80,"&lt;&gt;Casual",$M$2:$M$80,M34),"BELOW PERM","")),"")</f>
        <v/>
      </c>
      <c r="R34" s="17" t="str">
        <f aca="false">IF(OR(L34="None",N34=""),"CHECK","")</f>
        <v/>
      </c>
      <c r="S34" s="17" t="str">
        <f aca="false">IF(AND(ISNUMBER(SEARCH("OFFICE",K34)),ISNUMBER(SEARCH("Production",D34))),"CHECK","")</f>
        <v/>
      </c>
      <c r="T34" s="24" t="s">
        <v>134</v>
      </c>
      <c r="U34" s="21" t="s">
        <v>221</v>
      </c>
      <c r="V34" s="22" t="s">
        <v>159</v>
      </c>
      <c r="W34" s="22" t="s">
        <v>160</v>
      </c>
      <c r="X34" s="22"/>
      <c r="Y34" s="22"/>
      <c r="Z34" s="22"/>
      <c r="AA34" s="22"/>
    </row>
    <row r="35" customFormat="false" ht="15" hidden="false" customHeight="true" outlineLevel="0" collapsed="false">
      <c r="A35" s="17" t="s">
        <v>222</v>
      </c>
      <c r="B35" s="17" t="s">
        <v>223</v>
      </c>
      <c r="C35" s="17" t="s">
        <v>118</v>
      </c>
      <c r="D35" s="17" t="s">
        <v>77</v>
      </c>
      <c r="E35" s="17" t="s">
        <v>97</v>
      </c>
      <c r="F35" s="17" t="s">
        <v>98</v>
      </c>
      <c r="G35" s="18" t="n">
        <v>34.3407</v>
      </c>
      <c r="H35" s="17" t="s">
        <v>80</v>
      </c>
      <c r="I35" s="19" t="n">
        <v>43725</v>
      </c>
      <c r="J35" s="17" t="s">
        <v>224</v>
      </c>
      <c r="K35" s="17" t="s">
        <v>174</v>
      </c>
      <c r="L35" s="17" t="s">
        <v>225</v>
      </c>
      <c r="M35" s="17" t="n">
        <f aca="false">IFERROR(VALUE(RIGHT(D35,1)),"")</f>
        <v>5</v>
      </c>
      <c r="N35" s="17" t="str">
        <f aca="false">IFERROR(LOOKUP(2,1/ISNUMBER(SEARCH(" "&amp;{"NSW","QLD","VIC","SA","WA","TAS","ACT","NT"}&amp;" "," "&amp;L35&amp;" ")),{"NSW","QLD","VIC","SA","WA","TAS","ACT","NT"}),"")</f>
        <v>WA</v>
      </c>
      <c r="O35" s="17" t="str">
        <f aca="false">IF(E35="None","NO AGREEMENT",IF(LEFT(E35,6)="Casual",IF(C35="Casual","","MISMATCH"),IF(C35="Casual","MISMATCH","")))</f>
        <v/>
      </c>
      <c r="P35" s="17" t="str">
        <f aca="false">IF(LEFT(L35,6)="Casual",IF(C35="Casual","","MISMATCH"),IF(LEFT(L35,9)="Permanent",IF(C35="Casual","MISMATCH",""),""))</f>
        <v/>
      </c>
      <c r="Q35" s="17" t="str">
        <f aca="false">IF(AND(C35="Casual",M35&lt;&gt;""),IF(COUNTIFS($C$2:$C$80,"&lt;&gt;Casual",$M$2:$M$80,M35)=0,"NO PERM TO COMPARE",IF(G35&lt;_xlfn.MINIFS($G$2:$G$80,$C$2:$C$80,"&lt;&gt;Casual",$M$2:$M$80,M35),"BELOW PERM","")),"")</f>
        <v/>
      </c>
      <c r="R35" s="17" t="str">
        <f aca="false">IF(OR(L35="None",N35=""),"CHECK","")</f>
        <v/>
      </c>
      <c r="S35" s="17" t="str">
        <f aca="false">IF(AND(ISNUMBER(SEARCH("OFFICE",K35)),ISNUMBER(SEARCH("Production",D35))),"CHECK","")</f>
        <v/>
      </c>
      <c r="T35" s="20"/>
      <c r="U35" s="21"/>
      <c r="V35" s="22" t="s">
        <v>44</v>
      </c>
      <c r="W35" s="22" t="s">
        <v>84</v>
      </c>
      <c r="X35" s="22"/>
      <c r="Y35" s="22"/>
      <c r="Z35" s="22"/>
      <c r="AA35" s="22" t="s">
        <v>85</v>
      </c>
    </row>
    <row r="36" customFormat="false" ht="57" hidden="false" customHeight="true" outlineLevel="0" collapsed="false">
      <c r="A36" s="17" t="s">
        <v>226</v>
      </c>
      <c r="B36" s="17" t="s">
        <v>227</v>
      </c>
      <c r="C36" s="17" t="s">
        <v>76</v>
      </c>
      <c r="D36" s="17" t="s">
        <v>77</v>
      </c>
      <c r="E36" s="17" t="s">
        <v>78</v>
      </c>
      <c r="F36" s="17" t="s">
        <v>79</v>
      </c>
      <c r="G36" s="18" t="n">
        <v>31</v>
      </c>
      <c r="H36" s="17" t="s">
        <v>80</v>
      </c>
      <c r="I36" s="19" t="n">
        <v>43921</v>
      </c>
      <c r="J36" s="17" t="s">
        <v>228</v>
      </c>
      <c r="K36" s="17" t="s">
        <v>157</v>
      </c>
      <c r="L36" s="17" t="s">
        <v>92</v>
      </c>
      <c r="M36" s="17" t="n">
        <f aca="false">IFERROR(VALUE(RIGHT(D36,1)),"")</f>
        <v>5</v>
      </c>
      <c r="N36" s="17" t="str">
        <f aca="false">IFERROR(LOOKUP(2,1/ISNUMBER(SEARCH(" "&amp;{"NSW","QLD","VIC","SA","WA","TAS","ACT","NT"}&amp;" "," "&amp;L36&amp;" ")),{"NSW","QLD","VIC","SA","WA","TAS","ACT","NT"}),"")</f>
        <v>NSW</v>
      </c>
      <c r="O36" s="17" t="str">
        <f aca="false">IF(E36="None","NO AGREEMENT",IF(LEFT(E36,6)="Casual",IF(C36="Casual","","MISMATCH"),IF(C36="Casual","MISMATCH","")))</f>
        <v/>
      </c>
      <c r="P36" s="17" t="str">
        <f aca="false">IF(LEFT(L36,6)="Casual",IF(C36="Casual","","MISMATCH"),IF(LEFT(L36,9)="Permanent",IF(C36="Casual","MISMATCH",""),""))</f>
        <v/>
      </c>
      <c r="Q36" s="17" t="str">
        <f aca="false">IF(AND(C36="Casual",M36&lt;&gt;""),IF(COUNTIFS($C$2:$C$80,"&lt;&gt;Casual",$M$2:$M$80,M36)=0,"NO PERM TO COMPARE",IF(G36&lt;_xlfn.MINIFS($G$2:$G$80,$C$2:$C$80,"&lt;&gt;Casual",$M$2:$M$80,M36),"BELOW PERM","")),"")</f>
        <v>BELOW PERM</v>
      </c>
      <c r="R36" s="17" t="str">
        <f aca="false">IF(OR(L36="None",N36=""),"CHECK","")</f>
        <v/>
      </c>
      <c r="S36" s="17" t="str">
        <f aca="false">IF(AND(ISNUMBER(SEARCH("OFFICE",K36)),ISNUMBER(SEARCH("Production",D36))),"CHECK","")</f>
        <v>CHECK</v>
      </c>
      <c r="T36" s="25" t="s">
        <v>147</v>
      </c>
      <c r="U36" s="21" t="s">
        <v>229</v>
      </c>
      <c r="V36" s="22" t="s">
        <v>195</v>
      </c>
      <c r="W36" s="22" t="s">
        <v>230</v>
      </c>
      <c r="X36" s="22"/>
      <c r="Y36" s="22"/>
      <c r="Z36" s="22"/>
      <c r="AA36" s="22" t="s">
        <v>85</v>
      </c>
    </row>
    <row r="37" customFormat="false" ht="15" hidden="false" customHeight="true" outlineLevel="0" collapsed="false">
      <c r="A37" s="17" t="s">
        <v>231</v>
      </c>
      <c r="B37" s="17" t="s">
        <v>232</v>
      </c>
      <c r="C37" s="17" t="s">
        <v>118</v>
      </c>
      <c r="D37" s="17" t="s">
        <v>88</v>
      </c>
      <c r="E37" s="17" t="s">
        <v>151</v>
      </c>
      <c r="F37" s="17" t="s">
        <v>98</v>
      </c>
      <c r="G37" s="18" t="n">
        <v>45.716</v>
      </c>
      <c r="H37" s="17" t="s">
        <v>80</v>
      </c>
      <c r="I37" s="19" t="n">
        <v>46062</v>
      </c>
      <c r="J37" s="17" t="s">
        <v>233</v>
      </c>
      <c r="K37" s="17" t="s">
        <v>91</v>
      </c>
      <c r="L37" s="17" t="s">
        <v>120</v>
      </c>
      <c r="M37" s="17" t="n">
        <f aca="false">IFERROR(VALUE(RIGHT(D37,1)),"")</f>
        <v>6</v>
      </c>
      <c r="N37" s="17" t="str">
        <f aca="false">IFERROR(LOOKUP(2,1/ISNUMBER(SEARCH(" "&amp;{"NSW","QLD","VIC","SA","WA","TAS","ACT","NT"}&amp;" "," "&amp;L37&amp;" ")),{"NSW","QLD","VIC","SA","WA","TAS","ACT","NT"}),"")</f>
        <v>NSW</v>
      </c>
      <c r="O37" s="17" t="str">
        <f aca="false">IF(E37="None","NO AGREEMENT",IF(LEFT(E37,6)="Casual",IF(C37="Casual","","MISMATCH"),IF(C37="Casual","MISMATCH","")))</f>
        <v/>
      </c>
      <c r="P37" s="17" t="str">
        <f aca="false">IF(LEFT(L37,6)="Casual",IF(C37="Casual","","MISMATCH"),IF(LEFT(L37,9)="Permanent",IF(C37="Casual","MISMATCH",""),""))</f>
        <v/>
      </c>
      <c r="Q37" s="17" t="str">
        <f aca="false">IF(AND(C37="Casual",M37&lt;&gt;""),IF(COUNTIFS($C$2:$C$80,"&lt;&gt;Casual",$M$2:$M$80,M37)=0,"NO PERM TO COMPARE",IF(G37&lt;_xlfn.MINIFS($G$2:$G$80,$C$2:$C$80,"&lt;&gt;Casual",$M$2:$M$80,M37),"BELOW PERM","")),"")</f>
        <v/>
      </c>
      <c r="R37" s="17" t="str">
        <f aca="false">IF(OR(L37="None",N37=""),"CHECK","")</f>
        <v/>
      </c>
      <c r="S37" s="17" t="str">
        <f aca="false">IF(AND(ISNUMBER(SEARCH("OFFICE",K37)),ISNUMBER(SEARCH("Production",D37))),"CHECK","")</f>
        <v/>
      </c>
      <c r="T37" s="20"/>
      <c r="U37" s="21"/>
      <c r="V37" s="22" t="s">
        <v>44</v>
      </c>
      <c r="W37" s="22" t="s">
        <v>93</v>
      </c>
      <c r="X37" s="22"/>
      <c r="Y37" s="22"/>
      <c r="Z37" s="22"/>
      <c r="AA37" s="22" t="s">
        <v>85</v>
      </c>
    </row>
    <row r="38" customFormat="false" ht="15" hidden="false" customHeight="true" outlineLevel="0" collapsed="false">
      <c r="A38" s="17" t="s">
        <v>234</v>
      </c>
      <c r="B38" s="17" t="s">
        <v>235</v>
      </c>
      <c r="C38" s="17" t="s">
        <v>76</v>
      </c>
      <c r="D38" s="17" t="s">
        <v>88</v>
      </c>
      <c r="E38" s="17" t="s">
        <v>89</v>
      </c>
      <c r="F38" s="17" t="s">
        <v>79</v>
      </c>
      <c r="G38" s="18" t="n">
        <v>39.46184</v>
      </c>
      <c r="H38" s="17" t="s">
        <v>80</v>
      </c>
      <c r="I38" s="19" t="n">
        <v>45222</v>
      </c>
      <c r="J38" s="17" t="s">
        <v>236</v>
      </c>
      <c r="K38" s="17" t="s">
        <v>91</v>
      </c>
      <c r="L38" s="17" t="s">
        <v>92</v>
      </c>
      <c r="M38" s="17" t="n">
        <f aca="false">IFERROR(VALUE(RIGHT(D38,1)),"")</f>
        <v>6</v>
      </c>
      <c r="N38" s="17" t="str">
        <f aca="false">IFERROR(LOOKUP(2,1/ISNUMBER(SEARCH(" "&amp;{"NSW","QLD","VIC","SA","WA","TAS","ACT","NT"}&amp;" "," "&amp;L38&amp;" ")),{"NSW","QLD","VIC","SA","WA","TAS","ACT","NT"}),"")</f>
        <v>NSW</v>
      </c>
      <c r="O38" s="17" t="str">
        <f aca="false">IF(E38="None","NO AGREEMENT",IF(LEFT(E38,6)="Casual",IF(C38="Casual","","MISMATCH"),IF(C38="Casual","MISMATCH","")))</f>
        <v/>
      </c>
      <c r="P38" s="17" t="str">
        <f aca="false">IF(LEFT(L38,6)="Casual",IF(C38="Casual","","MISMATCH"),IF(LEFT(L38,9)="Permanent",IF(C38="Casual","MISMATCH",""),""))</f>
        <v/>
      </c>
      <c r="Q38" s="17" t="str">
        <f aca="false">IF(AND(C38="Casual",M38&lt;&gt;""),IF(COUNTIFS($C$2:$C$80,"&lt;&gt;Casual",$M$2:$M$80,M38)=0,"NO PERM TO COMPARE",IF(G38&lt;_xlfn.MINIFS($G$2:$G$80,$C$2:$C$80,"&lt;&gt;Casual",$M$2:$M$80,M38),"BELOW PERM","")),"")</f>
        <v>BELOW PERM</v>
      </c>
      <c r="R38" s="17" t="str">
        <f aca="false">IF(OR(L38="None",N38=""),"CHECK","")</f>
        <v/>
      </c>
      <c r="S38" s="17" t="str">
        <f aca="false">IF(AND(ISNUMBER(SEARCH("OFFICE",K38)),ISNUMBER(SEARCH("Production",D38))),"CHECK","")</f>
        <v/>
      </c>
      <c r="T38" s="20"/>
      <c r="U38" s="21"/>
      <c r="V38" s="22" t="s">
        <v>44</v>
      </c>
      <c r="W38" s="22" t="s">
        <v>93</v>
      </c>
      <c r="X38" s="22"/>
      <c r="Y38" s="22"/>
      <c r="Z38" s="22"/>
      <c r="AA38" s="22" t="s">
        <v>85</v>
      </c>
    </row>
    <row r="39" customFormat="false" ht="15" hidden="false" customHeight="true" outlineLevel="0" collapsed="false">
      <c r="A39" s="17" t="s">
        <v>237</v>
      </c>
      <c r="B39" s="17" t="s">
        <v>238</v>
      </c>
      <c r="C39" s="17" t="s">
        <v>76</v>
      </c>
      <c r="D39" s="17" t="s">
        <v>88</v>
      </c>
      <c r="E39" s="17" t="s">
        <v>89</v>
      </c>
      <c r="F39" s="17" t="s">
        <v>79</v>
      </c>
      <c r="G39" s="18" t="n">
        <v>40</v>
      </c>
      <c r="H39" s="17" t="s">
        <v>80</v>
      </c>
      <c r="I39" s="19" t="n">
        <v>46146</v>
      </c>
      <c r="J39" s="17" t="s">
        <v>81</v>
      </c>
      <c r="K39" s="17" t="s">
        <v>91</v>
      </c>
      <c r="L39" s="17" t="s">
        <v>92</v>
      </c>
      <c r="M39" s="17" t="n">
        <f aca="false">IFERROR(VALUE(RIGHT(D39,1)),"")</f>
        <v>6</v>
      </c>
      <c r="N39" s="17" t="str">
        <f aca="false">IFERROR(LOOKUP(2,1/ISNUMBER(SEARCH(" "&amp;{"NSW","QLD","VIC","SA","WA","TAS","ACT","NT"}&amp;" "," "&amp;L39&amp;" ")),{"NSW","QLD","VIC","SA","WA","TAS","ACT","NT"}),"")</f>
        <v>NSW</v>
      </c>
      <c r="O39" s="17" t="str">
        <f aca="false">IF(E39="None","NO AGREEMENT",IF(LEFT(E39,6)="Casual",IF(C39="Casual","","MISMATCH"),IF(C39="Casual","MISMATCH","")))</f>
        <v/>
      </c>
      <c r="P39" s="17" t="str">
        <f aca="false">IF(LEFT(L39,6)="Casual",IF(C39="Casual","","MISMATCH"),IF(LEFT(L39,9)="Permanent",IF(C39="Casual","MISMATCH",""),""))</f>
        <v/>
      </c>
      <c r="Q39" s="17" t="str">
        <f aca="false">IF(AND(C39="Casual",M39&lt;&gt;""),IF(COUNTIFS($C$2:$C$80,"&lt;&gt;Casual",$M$2:$M$80,M39)=0,"NO PERM TO COMPARE",IF(G39&lt;_xlfn.MINIFS($G$2:$G$80,$C$2:$C$80,"&lt;&gt;Casual",$M$2:$M$80,M39),"BELOW PERM","")),"")</f>
        <v>BELOW PERM</v>
      </c>
      <c r="R39" s="17" t="str">
        <f aca="false">IF(OR(L39="None",N39=""),"CHECK","")</f>
        <v/>
      </c>
      <c r="S39" s="17" t="str">
        <f aca="false">IF(AND(ISNUMBER(SEARCH("OFFICE",K39)),ISNUMBER(SEARCH("Production",D39))),"CHECK","")</f>
        <v/>
      </c>
      <c r="T39" s="20"/>
      <c r="U39" s="21"/>
      <c r="V39" s="22" t="s">
        <v>44</v>
      </c>
      <c r="W39" s="22" t="s">
        <v>93</v>
      </c>
      <c r="X39" s="22"/>
      <c r="Y39" s="22"/>
      <c r="Z39" s="22"/>
      <c r="AA39" s="22" t="s">
        <v>85</v>
      </c>
    </row>
    <row r="40" customFormat="false" ht="15" hidden="false" customHeight="true" outlineLevel="0" collapsed="false">
      <c r="A40" s="17" t="s">
        <v>239</v>
      </c>
      <c r="B40" s="17" t="s">
        <v>240</v>
      </c>
      <c r="C40" s="17" t="s">
        <v>118</v>
      </c>
      <c r="D40" s="17" t="s">
        <v>109</v>
      </c>
      <c r="E40" s="17" t="s">
        <v>138</v>
      </c>
      <c r="F40" s="17" t="s">
        <v>98</v>
      </c>
      <c r="G40" s="18" t="n">
        <v>30.9066</v>
      </c>
      <c r="H40" s="17" t="s">
        <v>80</v>
      </c>
      <c r="I40" s="19" t="n">
        <v>45756</v>
      </c>
      <c r="J40" s="17" t="s">
        <v>139</v>
      </c>
      <c r="K40" s="17" t="s">
        <v>241</v>
      </c>
      <c r="L40" s="17" t="s">
        <v>242</v>
      </c>
      <c r="M40" s="17" t="n">
        <f aca="false">IFERROR(VALUE(RIGHT(D40,1)),"")</f>
        <v>4</v>
      </c>
      <c r="N40" s="17" t="str">
        <f aca="false">IFERROR(LOOKUP(2,1/ISNUMBER(SEARCH(" "&amp;{"NSW","QLD","VIC","SA","WA","TAS","ACT","NT"}&amp;" "," "&amp;L40&amp;" ")),{"NSW","QLD","VIC","SA","WA","TAS","ACT","NT"}),"")</f>
        <v>QLD</v>
      </c>
      <c r="O40" s="17" t="str">
        <f aca="false">IF(E40="None","NO AGREEMENT",IF(LEFT(E40,6)="Casual",IF(C40="Casual","","MISMATCH"),IF(C40="Casual","MISMATCH","")))</f>
        <v/>
      </c>
      <c r="P40" s="17" t="str">
        <f aca="false">IF(LEFT(L40,6)="Casual",IF(C40="Casual","","MISMATCH"),IF(LEFT(L40,9)="Permanent",IF(C40="Casual","MISMATCH",""),""))</f>
        <v/>
      </c>
      <c r="Q40" s="17" t="str">
        <f aca="false">IF(AND(C40="Casual",M40&lt;&gt;""),IF(COUNTIFS($C$2:$C$80,"&lt;&gt;Casual",$M$2:$M$80,M40)=0,"NO PERM TO COMPARE",IF(G40&lt;_xlfn.MINIFS($G$2:$G$80,$C$2:$C$80,"&lt;&gt;Casual",$M$2:$M$80,M40),"BELOW PERM","")),"")</f>
        <v/>
      </c>
      <c r="R40" s="17" t="str">
        <f aca="false">IF(OR(L40="None",N40=""),"CHECK","")</f>
        <v/>
      </c>
      <c r="S40" s="17" t="str">
        <f aca="false">IF(AND(ISNUMBER(SEARCH("OFFICE",K40)),ISNUMBER(SEARCH("Production",D40))),"CHECK","")</f>
        <v/>
      </c>
      <c r="T40" s="20"/>
      <c r="U40" s="21"/>
      <c r="V40" s="22" t="s">
        <v>44</v>
      </c>
      <c r="W40" s="22" t="s">
        <v>113</v>
      </c>
      <c r="X40" s="22"/>
      <c r="Y40" s="22"/>
      <c r="Z40" s="22"/>
      <c r="AA40" s="22" t="s">
        <v>85</v>
      </c>
    </row>
    <row r="41" customFormat="false" ht="15" hidden="false" customHeight="true" outlineLevel="0" collapsed="false">
      <c r="A41" s="17" t="s">
        <v>243</v>
      </c>
      <c r="B41" s="17" t="s">
        <v>244</v>
      </c>
      <c r="C41" s="17" t="s">
        <v>76</v>
      </c>
      <c r="D41" s="17" t="s">
        <v>109</v>
      </c>
      <c r="E41" s="17" t="s">
        <v>110</v>
      </c>
      <c r="F41" s="17" t="s">
        <v>79</v>
      </c>
      <c r="G41" s="18" t="n">
        <v>32</v>
      </c>
      <c r="H41" s="17" t="s">
        <v>80</v>
      </c>
      <c r="I41" s="19" t="n">
        <v>46261</v>
      </c>
      <c r="J41" s="17" t="s">
        <v>139</v>
      </c>
      <c r="K41" s="17" t="s">
        <v>91</v>
      </c>
      <c r="L41" s="17" t="s">
        <v>92</v>
      </c>
      <c r="M41" s="17" t="n">
        <f aca="false">IFERROR(VALUE(RIGHT(D41,1)),"")</f>
        <v>4</v>
      </c>
      <c r="N41" s="17" t="str">
        <f aca="false">IFERROR(LOOKUP(2,1/ISNUMBER(SEARCH(" "&amp;{"NSW","QLD","VIC","SA","WA","TAS","ACT","NT"}&amp;" "," "&amp;L41&amp;" ")),{"NSW","QLD","VIC","SA","WA","TAS","ACT","NT"}),"")</f>
        <v>NSW</v>
      </c>
      <c r="O41" s="17" t="str">
        <f aca="false">IF(E41="None","NO AGREEMENT",IF(LEFT(E41,6)="Casual",IF(C41="Casual","","MISMATCH"),IF(C41="Casual","MISMATCH","")))</f>
        <v/>
      </c>
      <c r="P41" s="17" t="str">
        <f aca="false">IF(LEFT(L41,6)="Casual",IF(C41="Casual","","MISMATCH"),IF(LEFT(L41,9)="Permanent",IF(C41="Casual","MISMATCH",""),""))</f>
        <v/>
      </c>
      <c r="Q41" s="17" t="str">
        <f aca="false">IF(AND(C41="Casual",M41&lt;&gt;""),IF(COUNTIFS($C$2:$C$80,"&lt;&gt;Casual",$M$2:$M$80,M41)=0,"NO PERM TO COMPARE",IF(G41&lt;_xlfn.MINIFS($G$2:$G$80,$C$2:$C$80,"&lt;&gt;Casual",$M$2:$M$80,M41),"BELOW PERM","")),"")</f>
        <v/>
      </c>
      <c r="R41" s="17" t="str">
        <f aca="false">IF(OR(L41="None",N41=""),"CHECK","")</f>
        <v/>
      </c>
      <c r="S41" s="17" t="str">
        <f aca="false">IF(AND(ISNUMBER(SEARCH("OFFICE",K41)),ISNUMBER(SEARCH("Production",D41))),"CHECK","")</f>
        <v/>
      </c>
      <c r="T41" s="20"/>
      <c r="U41" s="21"/>
      <c r="V41" s="22" t="s">
        <v>44</v>
      </c>
      <c r="W41" s="22" t="s">
        <v>113</v>
      </c>
      <c r="X41" s="22"/>
      <c r="Y41" s="22"/>
      <c r="Z41" s="22"/>
      <c r="AA41" s="22" t="s">
        <v>85</v>
      </c>
    </row>
    <row r="42" customFormat="false" ht="42.75" hidden="false" customHeight="true" outlineLevel="0" collapsed="false">
      <c r="A42" s="17" t="s">
        <v>245</v>
      </c>
      <c r="B42" s="17" t="s">
        <v>246</v>
      </c>
      <c r="C42" s="17" t="s">
        <v>76</v>
      </c>
      <c r="D42" s="17" t="s">
        <v>109</v>
      </c>
      <c r="E42" s="17" t="s">
        <v>110</v>
      </c>
      <c r="F42" s="17" t="s">
        <v>79</v>
      </c>
      <c r="G42" s="18" t="n">
        <v>28.12</v>
      </c>
      <c r="H42" s="17" t="s">
        <v>80</v>
      </c>
      <c r="I42" s="19" t="n">
        <v>45573</v>
      </c>
      <c r="J42" s="17" t="s">
        <v>81</v>
      </c>
      <c r="K42" s="17" t="s">
        <v>247</v>
      </c>
      <c r="L42" s="17" t="s">
        <v>112</v>
      </c>
      <c r="M42" s="17" t="n">
        <f aca="false">IFERROR(VALUE(RIGHT(D42,1)),"")</f>
        <v>4</v>
      </c>
      <c r="N42" s="17" t="str">
        <f aca="false">IFERROR(LOOKUP(2,1/ISNUMBER(SEARCH(" "&amp;{"NSW","QLD","VIC","SA","WA","TAS","ACT","NT"}&amp;" "," "&amp;L42&amp;" ")),{"NSW","QLD","VIC","SA","WA","TAS","ACT","NT"}),"")</f>
        <v>VIC</v>
      </c>
      <c r="O42" s="17" t="str">
        <f aca="false">IF(E42="None","NO AGREEMENT",IF(LEFT(E42,6)="Casual",IF(C42="Casual","","MISMATCH"),IF(C42="Casual","MISMATCH","")))</f>
        <v/>
      </c>
      <c r="P42" s="17" t="str">
        <f aca="false">IF(LEFT(L42,6)="Casual",IF(C42="Casual","","MISMATCH"),IF(LEFT(L42,9)="Permanent",IF(C42="Casual","MISMATCH",""),""))</f>
        <v/>
      </c>
      <c r="Q42" s="17" t="str">
        <f aca="false">IF(AND(C42="Casual",M42&lt;&gt;""),IF(COUNTIFS($C$2:$C$80,"&lt;&gt;Casual",$M$2:$M$80,M42)=0,"NO PERM TO COMPARE",IF(G42&lt;_xlfn.MINIFS($G$2:$G$80,$C$2:$C$80,"&lt;&gt;Casual",$M$2:$M$80,M42),"BELOW PERM","")),"")</f>
        <v>BELOW PERM</v>
      </c>
      <c r="R42" s="17" t="str">
        <f aca="false">IF(OR(L42="None",N42=""),"CHECK","")</f>
        <v/>
      </c>
      <c r="S42" s="17" t="str">
        <f aca="false">IF(AND(ISNUMBER(SEARCH("OFFICE",K42)),ISNUMBER(SEARCH("Production",D42))),"CHECK","")</f>
        <v/>
      </c>
      <c r="T42" s="23" t="s">
        <v>100</v>
      </c>
      <c r="U42" s="21" t="s">
        <v>248</v>
      </c>
      <c r="V42" s="22" t="s">
        <v>44</v>
      </c>
      <c r="W42" s="22" t="s">
        <v>113</v>
      </c>
      <c r="X42" s="22"/>
      <c r="Y42" s="22"/>
      <c r="Z42" s="22"/>
      <c r="AA42" s="22" t="s">
        <v>85</v>
      </c>
    </row>
    <row r="43" customFormat="false" ht="28.5" hidden="false" customHeight="true" outlineLevel="0" collapsed="false">
      <c r="A43" s="17" t="s">
        <v>249</v>
      </c>
      <c r="B43" s="17" t="s">
        <v>250</v>
      </c>
      <c r="C43" s="17" t="s">
        <v>76</v>
      </c>
      <c r="D43" s="17" t="s">
        <v>109</v>
      </c>
      <c r="E43" s="17" t="s">
        <v>110</v>
      </c>
      <c r="F43" s="17" t="s">
        <v>79</v>
      </c>
      <c r="G43" s="18" t="n">
        <v>30</v>
      </c>
      <c r="H43" s="17" t="s">
        <v>80</v>
      </c>
      <c r="I43" s="19" t="n">
        <v>46062</v>
      </c>
      <c r="J43" s="17" t="s">
        <v>81</v>
      </c>
      <c r="K43" s="17" t="s">
        <v>91</v>
      </c>
      <c r="L43" s="17" t="s">
        <v>155</v>
      </c>
      <c r="M43" s="17" t="n">
        <f aca="false">IFERROR(VALUE(RIGHT(D43,1)),"")</f>
        <v>4</v>
      </c>
      <c r="N43" s="17" t="str">
        <f aca="false">IFERROR(LOOKUP(2,1/ISNUMBER(SEARCH(" "&amp;{"NSW","QLD","VIC","SA","WA","TAS","ACT","NT"}&amp;" "," "&amp;L43&amp;" ")),{"NSW","QLD","VIC","SA","WA","TAS","ACT","NT"}),"")</f>
        <v/>
      </c>
      <c r="O43" s="17" t="str">
        <f aca="false">IF(E43="None","NO AGREEMENT",IF(LEFT(E43,6)="Casual",IF(C43="Casual","","MISMATCH"),IF(C43="Casual","MISMATCH","")))</f>
        <v/>
      </c>
      <c r="P43" s="17" t="str">
        <f aca="false">IF(LEFT(L43,6)="Casual",IF(C43="Casual","","MISMATCH"),IF(LEFT(L43,9)="Permanent",IF(C43="Casual","MISMATCH",""),""))</f>
        <v/>
      </c>
      <c r="Q43" s="17" t="str">
        <f aca="false">IF(AND(C43="Casual",M43&lt;&gt;""),IF(COUNTIFS($C$2:$C$80,"&lt;&gt;Casual",$M$2:$M$80,M43)=0,"NO PERM TO COMPARE",IF(G43&lt;_xlfn.MINIFS($G$2:$G$80,$C$2:$C$80,"&lt;&gt;Casual",$M$2:$M$80,M43),"BELOW PERM","")),"")</f>
        <v>BELOW PERM</v>
      </c>
      <c r="R43" s="17" t="str">
        <f aca="false">IF(OR(L43="None",N43=""),"CHECK","")</f>
        <v>CHECK</v>
      </c>
      <c r="S43" s="17" t="str">
        <f aca="false">IF(AND(ISNUMBER(SEARCH("OFFICE",K43)),ISNUMBER(SEARCH("Production",D43))),"CHECK","")</f>
        <v/>
      </c>
      <c r="T43" s="25" t="s">
        <v>147</v>
      </c>
      <c r="U43" s="21" t="s">
        <v>251</v>
      </c>
      <c r="V43" s="22" t="s">
        <v>44</v>
      </c>
      <c r="W43" s="22" t="s">
        <v>113</v>
      </c>
      <c r="X43" s="22"/>
      <c r="Y43" s="22"/>
      <c r="Z43" s="22"/>
      <c r="AA43" s="22" t="s">
        <v>85</v>
      </c>
    </row>
    <row r="44" customFormat="false" ht="15" hidden="false" customHeight="true" outlineLevel="0" collapsed="false">
      <c r="A44" s="17" t="s">
        <v>252</v>
      </c>
      <c r="B44" s="17" t="s">
        <v>253</v>
      </c>
      <c r="C44" s="17" t="s">
        <v>76</v>
      </c>
      <c r="D44" s="17" t="s">
        <v>88</v>
      </c>
      <c r="E44" s="17" t="s">
        <v>89</v>
      </c>
      <c r="F44" s="17" t="s">
        <v>79</v>
      </c>
      <c r="G44" s="18" t="n">
        <v>46.7081</v>
      </c>
      <c r="H44" s="17" t="s">
        <v>80</v>
      </c>
      <c r="I44" s="19" t="n">
        <v>45698</v>
      </c>
      <c r="J44" s="17" t="s">
        <v>81</v>
      </c>
      <c r="K44" s="17" t="s">
        <v>91</v>
      </c>
      <c r="L44" s="17" t="s">
        <v>92</v>
      </c>
      <c r="M44" s="17" t="n">
        <f aca="false">IFERROR(VALUE(RIGHT(D44,1)),"")</f>
        <v>6</v>
      </c>
      <c r="N44" s="17" t="str">
        <f aca="false">IFERROR(LOOKUP(2,1/ISNUMBER(SEARCH(" "&amp;{"NSW","QLD","VIC","SA","WA","TAS","ACT","NT"}&amp;" "," "&amp;L44&amp;" ")),{"NSW","QLD","VIC","SA","WA","TAS","ACT","NT"}),"")</f>
        <v>NSW</v>
      </c>
      <c r="O44" s="17" t="str">
        <f aca="false">IF(E44="None","NO AGREEMENT",IF(LEFT(E44,6)="Casual",IF(C44="Casual","","MISMATCH"),IF(C44="Casual","MISMATCH","")))</f>
        <v/>
      </c>
      <c r="P44" s="17" t="str">
        <f aca="false">IF(LEFT(L44,6)="Casual",IF(C44="Casual","","MISMATCH"),IF(LEFT(L44,9)="Permanent",IF(C44="Casual","MISMATCH",""),""))</f>
        <v/>
      </c>
      <c r="Q44" s="17" t="str">
        <f aca="false">IF(AND(C44="Casual",M44&lt;&gt;""),IF(COUNTIFS($C$2:$C$80,"&lt;&gt;Casual",$M$2:$M$80,M44)=0,"NO PERM TO COMPARE",IF(G44&lt;_xlfn.MINIFS($G$2:$G$80,$C$2:$C$80,"&lt;&gt;Casual",$M$2:$M$80,M44),"BELOW PERM","")),"")</f>
        <v/>
      </c>
      <c r="R44" s="17" t="str">
        <f aca="false">IF(OR(L44="None",N44=""),"CHECK","")</f>
        <v/>
      </c>
      <c r="S44" s="17" t="str">
        <f aca="false">IF(AND(ISNUMBER(SEARCH("OFFICE",K44)),ISNUMBER(SEARCH("Production",D44))),"CHECK","")</f>
        <v/>
      </c>
      <c r="T44" s="20"/>
      <c r="U44" s="21"/>
      <c r="V44" s="22" t="s">
        <v>44</v>
      </c>
      <c r="W44" s="22" t="s">
        <v>93</v>
      </c>
      <c r="X44" s="22"/>
      <c r="Y44" s="22"/>
      <c r="Z44" s="22"/>
      <c r="AA44" s="22" t="s">
        <v>85</v>
      </c>
    </row>
    <row r="45" customFormat="false" ht="42.75" hidden="false" customHeight="true" outlineLevel="0" collapsed="false">
      <c r="A45" s="17" t="s">
        <v>254</v>
      </c>
      <c r="B45" s="17" t="s">
        <v>255</v>
      </c>
      <c r="C45" s="17" t="s">
        <v>118</v>
      </c>
      <c r="D45" s="17" t="s">
        <v>109</v>
      </c>
      <c r="E45" s="17" t="s">
        <v>138</v>
      </c>
      <c r="F45" s="17" t="s">
        <v>98</v>
      </c>
      <c r="G45" s="18" t="n">
        <v>33.6968</v>
      </c>
      <c r="H45" s="17" t="s">
        <v>80</v>
      </c>
      <c r="I45" s="19" t="n">
        <v>45187</v>
      </c>
      <c r="J45" s="17" t="s">
        <v>256</v>
      </c>
      <c r="K45" s="17" t="s">
        <v>257</v>
      </c>
      <c r="L45" s="17" t="s">
        <v>120</v>
      </c>
      <c r="M45" s="17" t="n">
        <f aca="false">IFERROR(VALUE(RIGHT(D45,1)),"")</f>
        <v>4</v>
      </c>
      <c r="N45" s="17" t="str">
        <f aca="false">IFERROR(LOOKUP(2,1/ISNUMBER(SEARCH(" "&amp;{"NSW","QLD","VIC","SA","WA","TAS","ACT","NT"}&amp;" "," "&amp;L45&amp;" ")),{"NSW","QLD","VIC","SA","WA","TAS","ACT","NT"}),"")</f>
        <v>NSW</v>
      </c>
      <c r="O45" s="17" t="str">
        <f aca="false">IF(E45="None","NO AGREEMENT",IF(LEFT(E45,6)="Casual",IF(C45="Casual","","MISMATCH"),IF(C45="Casual","MISMATCH","")))</f>
        <v/>
      </c>
      <c r="P45" s="17" t="str">
        <f aca="false">IF(LEFT(L45,6)="Casual",IF(C45="Casual","","MISMATCH"),IF(LEFT(L45,9)="Permanent",IF(C45="Casual","MISMATCH",""),""))</f>
        <v/>
      </c>
      <c r="Q45" s="17" t="str">
        <f aca="false">IF(AND(C45="Casual",M45&lt;&gt;""),IF(COUNTIFS($C$2:$C$80,"&lt;&gt;Casual",$M$2:$M$80,M45)=0,"NO PERM TO COMPARE",IF(G45&lt;_xlfn.MINIFS($G$2:$G$80,$C$2:$C$80,"&lt;&gt;Casual",$M$2:$M$80,M45),"BELOW PERM","")),"")</f>
        <v/>
      </c>
      <c r="R45" s="17" t="str">
        <f aca="false">IF(OR(L45="None",N45=""),"CHECK","")</f>
        <v/>
      </c>
      <c r="S45" s="17" t="str">
        <f aca="false">IF(AND(ISNUMBER(SEARCH("OFFICE",K45)),ISNUMBER(SEARCH("Production",D45))),"CHECK","")</f>
        <v/>
      </c>
      <c r="T45" s="25" t="s">
        <v>147</v>
      </c>
      <c r="U45" s="21" t="s">
        <v>258</v>
      </c>
      <c r="V45" s="22" t="s">
        <v>44</v>
      </c>
      <c r="W45" s="22" t="s">
        <v>113</v>
      </c>
      <c r="X45" s="22"/>
      <c r="Y45" s="22"/>
      <c r="Z45" s="22"/>
      <c r="AA45" s="22" t="s">
        <v>85</v>
      </c>
    </row>
    <row r="46" customFormat="false" ht="15" hidden="false" customHeight="true" outlineLevel="0" collapsed="false">
      <c r="A46" s="17" t="s">
        <v>259</v>
      </c>
      <c r="B46" s="17" t="s">
        <v>260</v>
      </c>
      <c r="C46" s="17" t="s">
        <v>76</v>
      </c>
      <c r="D46" s="17" t="s">
        <v>109</v>
      </c>
      <c r="E46" s="17" t="s">
        <v>110</v>
      </c>
      <c r="F46" s="17" t="s">
        <v>79</v>
      </c>
      <c r="G46" s="18" t="n">
        <v>30</v>
      </c>
      <c r="H46" s="17" t="s">
        <v>80</v>
      </c>
      <c r="I46" s="19" t="n">
        <v>45992</v>
      </c>
      <c r="J46" s="17" t="s">
        <v>81</v>
      </c>
      <c r="K46" s="17" t="s">
        <v>261</v>
      </c>
      <c r="L46" s="17" t="s">
        <v>112</v>
      </c>
      <c r="M46" s="17" t="n">
        <f aca="false">IFERROR(VALUE(RIGHT(D46,1)),"")</f>
        <v>4</v>
      </c>
      <c r="N46" s="17" t="str">
        <f aca="false">IFERROR(LOOKUP(2,1/ISNUMBER(SEARCH(" "&amp;{"NSW","QLD","VIC","SA","WA","TAS","ACT","NT"}&amp;" "," "&amp;L46&amp;" ")),{"NSW","QLD","VIC","SA","WA","TAS","ACT","NT"}),"")</f>
        <v>VIC</v>
      </c>
      <c r="O46" s="17" t="str">
        <f aca="false">IF(E46="None","NO AGREEMENT",IF(LEFT(E46,6)="Casual",IF(C46="Casual","","MISMATCH"),IF(C46="Casual","MISMATCH","")))</f>
        <v/>
      </c>
      <c r="P46" s="17" t="str">
        <f aca="false">IF(LEFT(L46,6)="Casual",IF(C46="Casual","","MISMATCH"),IF(LEFT(L46,9)="Permanent",IF(C46="Casual","MISMATCH",""),""))</f>
        <v/>
      </c>
      <c r="Q46" s="17" t="str">
        <f aca="false">IF(AND(C46="Casual",M46&lt;&gt;""),IF(COUNTIFS($C$2:$C$80,"&lt;&gt;Casual",$M$2:$M$80,M46)=0,"NO PERM TO COMPARE",IF(G46&lt;_xlfn.MINIFS($G$2:$G$80,$C$2:$C$80,"&lt;&gt;Casual",$M$2:$M$80,M46),"BELOW PERM","")),"")</f>
        <v>BELOW PERM</v>
      </c>
      <c r="R46" s="17" t="str">
        <f aca="false">IF(OR(L46="None",N46=""),"CHECK","")</f>
        <v/>
      </c>
      <c r="S46" s="17" t="str">
        <f aca="false">IF(AND(ISNUMBER(SEARCH("OFFICE",K46)),ISNUMBER(SEARCH("Production",D46))),"CHECK","")</f>
        <v/>
      </c>
      <c r="T46" s="20"/>
      <c r="U46" s="21"/>
      <c r="V46" s="22" t="s">
        <v>44</v>
      </c>
      <c r="W46" s="22" t="s">
        <v>113</v>
      </c>
      <c r="X46" s="22"/>
      <c r="Y46" s="22"/>
      <c r="Z46" s="22"/>
      <c r="AA46" s="22" t="s">
        <v>85</v>
      </c>
    </row>
    <row r="47" customFormat="false" ht="15" hidden="false" customHeight="true" outlineLevel="0" collapsed="false">
      <c r="A47" s="17" t="s">
        <v>262</v>
      </c>
      <c r="B47" s="17" t="s">
        <v>263</v>
      </c>
      <c r="C47" s="17" t="s">
        <v>118</v>
      </c>
      <c r="D47" s="17" t="s">
        <v>155</v>
      </c>
      <c r="E47" s="17" t="s">
        <v>155</v>
      </c>
      <c r="F47" s="17" t="s">
        <v>98</v>
      </c>
      <c r="G47" s="18" t="n">
        <v>66.535</v>
      </c>
      <c r="H47" s="17" t="s">
        <v>80</v>
      </c>
      <c r="I47" s="19" t="n">
        <v>42481</v>
      </c>
      <c r="J47" s="17" t="s">
        <v>264</v>
      </c>
      <c r="K47" s="17" t="s">
        <v>157</v>
      </c>
      <c r="L47" s="17" t="s">
        <v>120</v>
      </c>
      <c r="M47" s="17" t="str">
        <f aca="false">IFERROR(VALUE(RIGHT(D47,1)),"")</f>
        <v/>
      </c>
      <c r="N47" s="17" t="str">
        <f aca="false">IFERROR(LOOKUP(2,1/ISNUMBER(SEARCH(" "&amp;{"NSW","QLD","VIC","SA","WA","TAS","ACT","NT"}&amp;" "," "&amp;L47&amp;" ")),{"NSW","QLD","VIC","SA","WA","TAS","ACT","NT"}),"")</f>
        <v>NSW</v>
      </c>
      <c r="O47" s="17" t="str">
        <f aca="false">IF(E47="None","NO AGREEMENT",IF(LEFT(E47,6)="Casual",IF(C47="Casual","","MISMATCH"),IF(C47="Casual","MISMATCH","")))</f>
        <v>NO AGREEMENT</v>
      </c>
      <c r="P47" s="17" t="str">
        <f aca="false">IF(LEFT(L47,6)="Casual",IF(C47="Casual","","MISMATCH"),IF(LEFT(L47,9)="Permanent",IF(C47="Casual","MISMATCH",""),""))</f>
        <v/>
      </c>
      <c r="Q47" s="17" t="str">
        <f aca="false">IF(AND(C47="Casual",M47&lt;&gt;""),IF(COUNTIFS($C$2:$C$80,"&lt;&gt;Casual",$M$2:$M$80,M47)=0,"NO PERM TO COMPARE",IF(G47&lt;_xlfn.MINIFS($G$2:$G$80,$C$2:$C$80,"&lt;&gt;Casual",$M$2:$M$80,M47),"BELOW PERM","")),"")</f>
        <v/>
      </c>
      <c r="R47" s="17" t="str">
        <f aca="false">IF(OR(L47="None",N47=""),"CHECK","")</f>
        <v/>
      </c>
      <c r="S47" s="17" t="str">
        <f aca="false">IF(AND(ISNUMBER(SEARCH("OFFICE",K47)),ISNUMBER(SEARCH("Production",D47))),"CHECK","")</f>
        <v/>
      </c>
      <c r="T47" s="24" t="s">
        <v>134</v>
      </c>
      <c r="U47" s="21" t="s">
        <v>221</v>
      </c>
      <c r="V47" s="22" t="s">
        <v>159</v>
      </c>
      <c r="W47" s="22" t="s">
        <v>160</v>
      </c>
      <c r="X47" s="22"/>
      <c r="Y47" s="22"/>
      <c r="Z47" s="22"/>
      <c r="AA47" s="22"/>
    </row>
    <row r="48" customFormat="false" ht="28.5" hidden="false" customHeight="true" outlineLevel="0" collapsed="false">
      <c r="A48" s="17" t="s">
        <v>265</v>
      </c>
      <c r="B48" s="17" t="s">
        <v>266</v>
      </c>
      <c r="C48" s="17" t="s">
        <v>76</v>
      </c>
      <c r="D48" s="17" t="s">
        <v>77</v>
      </c>
      <c r="E48" s="17" t="s">
        <v>78</v>
      </c>
      <c r="F48" s="17" t="s">
        <v>79</v>
      </c>
      <c r="G48" s="18" t="n">
        <v>31</v>
      </c>
      <c r="H48" s="17" t="s">
        <v>80</v>
      </c>
      <c r="I48" s="19" t="n">
        <v>46083</v>
      </c>
      <c r="J48" s="17" t="s">
        <v>81</v>
      </c>
      <c r="K48" s="17" t="s">
        <v>267</v>
      </c>
      <c r="L48" s="17" t="s">
        <v>155</v>
      </c>
      <c r="M48" s="17" t="n">
        <f aca="false">IFERROR(VALUE(RIGHT(D48,1)),"")</f>
        <v>5</v>
      </c>
      <c r="N48" s="17" t="str">
        <f aca="false">IFERROR(LOOKUP(2,1/ISNUMBER(SEARCH(" "&amp;{"NSW","QLD","VIC","SA","WA","TAS","ACT","NT"}&amp;" "," "&amp;L48&amp;" ")),{"NSW","QLD","VIC","SA","WA","TAS","ACT","NT"}),"")</f>
        <v/>
      </c>
      <c r="O48" s="17" t="str">
        <f aca="false">IF(E48="None","NO AGREEMENT",IF(LEFT(E48,6)="Casual",IF(C48="Casual","","MISMATCH"),IF(C48="Casual","MISMATCH","")))</f>
        <v/>
      </c>
      <c r="P48" s="17" t="str">
        <f aca="false">IF(LEFT(L48,6)="Casual",IF(C48="Casual","","MISMATCH"),IF(LEFT(L48,9)="Permanent",IF(C48="Casual","MISMATCH",""),""))</f>
        <v/>
      </c>
      <c r="Q48" s="17" t="str">
        <f aca="false">IF(AND(C48="Casual",M48&lt;&gt;""),IF(COUNTIFS($C$2:$C$80,"&lt;&gt;Casual",$M$2:$M$80,M48)=0,"NO PERM TO COMPARE",IF(G48&lt;_xlfn.MINIFS($G$2:$G$80,$C$2:$C$80,"&lt;&gt;Casual",$M$2:$M$80,M48),"BELOW PERM","")),"")</f>
        <v>BELOW PERM</v>
      </c>
      <c r="R48" s="17" t="str">
        <f aca="false">IF(OR(L48="None",N48=""),"CHECK","")</f>
        <v>CHECK</v>
      </c>
      <c r="S48" s="17" t="str">
        <f aca="false">IF(AND(ISNUMBER(SEARCH("OFFICE",K48)),ISNUMBER(SEARCH("Production",D48))),"CHECK","")</f>
        <v/>
      </c>
      <c r="T48" s="25" t="s">
        <v>147</v>
      </c>
      <c r="U48" s="21" t="s">
        <v>268</v>
      </c>
      <c r="V48" s="22" t="s">
        <v>44</v>
      </c>
      <c r="W48" s="22" t="s">
        <v>84</v>
      </c>
      <c r="X48" s="22"/>
      <c r="Y48" s="22"/>
      <c r="Z48" s="22"/>
      <c r="AA48" s="22" t="s">
        <v>85</v>
      </c>
    </row>
    <row r="49" customFormat="false" ht="15" hidden="false" customHeight="true" outlineLevel="0" collapsed="false">
      <c r="A49" s="17" t="s">
        <v>265</v>
      </c>
      <c r="B49" s="17" t="s">
        <v>269</v>
      </c>
      <c r="C49" s="17" t="s">
        <v>76</v>
      </c>
      <c r="D49" s="17" t="s">
        <v>109</v>
      </c>
      <c r="E49" s="17" t="s">
        <v>110</v>
      </c>
      <c r="F49" s="17" t="s">
        <v>79</v>
      </c>
      <c r="G49" s="18" t="n">
        <v>30</v>
      </c>
      <c r="H49" s="17" t="s">
        <v>80</v>
      </c>
      <c r="I49" s="19" t="n">
        <v>45700</v>
      </c>
      <c r="J49" s="17" t="s">
        <v>81</v>
      </c>
      <c r="K49" s="17" t="s">
        <v>270</v>
      </c>
      <c r="L49" s="17" t="s">
        <v>92</v>
      </c>
      <c r="M49" s="17" t="n">
        <f aca="false">IFERROR(VALUE(RIGHT(D49,1)),"")</f>
        <v>4</v>
      </c>
      <c r="N49" s="17" t="str">
        <f aca="false">IFERROR(LOOKUP(2,1/ISNUMBER(SEARCH(" "&amp;{"NSW","QLD","VIC","SA","WA","TAS","ACT","NT"}&amp;" "," "&amp;L49&amp;" ")),{"NSW","QLD","VIC","SA","WA","TAS","ACT","NT"}),"")</f>
        <v>NSW</v>
      </c>
      <c r="O49" s="17" t="str">
        <f aca="false">IF(E49="None","NO AGREEMENT",IF(LEFT(E49,6)="Casual",IF(C49="Casual","","MISMATCH"),IF(C49="Casual","MISMATCH","")))</f>
        <v/>
      </c>
      <c r="P49" s="17" t="str">
        <f aca="false">IF(LEFT(L49,6)="Casual",IF(C49="Casual","","MISMATCH"),IF(LEFT(L49,9)="Permanent",IF(C49="Casual","MISMATCH",""),""))</f>
        <v/>
      </c>
      <c r="Q49" s="17" t="str">
        <f aca="false">IF(AND(C49="Casual",M49&lt;&gt;""),IF(COUNTIFS($C$2:$C$80,"&lt;&gt;Casual",$M$2:$M$80,M49)=0,"NO PERM TO COMPARE",IF(G49&lt;_xlfn.MINIFS($G$2:$G$80,$C$2:$C$80,"&lt;&gt;Casual",$M$2:$M$80,M49),"BELOW PERM","")),"")</f>
        <v>BELOW PERM</v>
      </c>
      <c r="R49" s="17" t="str">
        <f aca="false">IF(OR(L49="None",N49=""),"CHECK","")</f>
        <v/>
      </c>
      <c r="S49" s="17" t="str">
        <f aca="false">IF(AND(ISNUMBER(SEARCH("OFFICE",K49)),ISNUMBER(SEARCH("Production",D49))),"CHECK","")</f>
        <v/>
      </c>
      <c r="T49" s="20"/>
      <c r="U49" s="21"/>
      <c r="V49" s="22" t="s">
        <v>44</v>
      </c>
      <c r="W49" s="22" t="s">
        <v>113</v>
      </c>
      <c r="X49" s="22"/>
      <c r="Y49" s="22"/>
      <c r="Z49" s="22"/>
      <c r="AA49" s="22" t="s">
        <v>85</v>
      </c>
    </row>
    <row r="50" customFormat="false" ht="15" hidden="false" customHeight="true" outlineLevel="0" collapsed="false">
      <c r="A50" s="17" t="s">
        <v>271</v>
      </c>
      <c r="B50" s="17" t="s">
        <v>272</v>
      </c>
      <c r="C50" s="17" t="s">
        <v>76</v>
      </c>
      <c r="D50" s="17" t="s">
        <v>109</v>
      </c>
      <c r="E50" s="17" t="s">
        <v>110</v>
      </c>
      <c r="F50" s="17" t="s">
        <v>79</v>
      </c>
      <c r="G50" s="18" t="n">
        <v>30</v>
      </c>
      <c r="H50" s="17" t="s">
        <v>80</v>
      </c>
      <c r="I50" s="19" t="n">
        <v>45033</v>
      </c>
      <c r="J50" s="17" t="s">
        <v>273</v>
      </c>
      <c r="K50" s="17" t="s">
        <v>202</v>
      </c>
      <c r="L50" s="17" t="s">
        <v>203</v>
      </c>
      <c r="M50" s="17" t="n">
        <f aca="false">IFERROR(VALUE(RIGHT(D50,1)),"")</f>
        <v>4</v>
      </c>
      <c r="N50" s="17" t="str">
        <f aca="false">IFERROR(LOOKUP(2,1/ISNUMBER(SEARCH(" "&amp;{"NSW","QLD","VIC","SA","WA","TAS","ACT","NT"}&amp;" "," "&amp;L50&amp;" ")),{"NSW","QLD","VIC","SA","WA","TAS","ACT","NT"}),"")</f>
        <v>SA</v>
      </c>
      <c r="O50" s="17" t="str">
        <f aca="false">IF(E50="None","NO AGREEMENT",IF(LEFT(E50,6)="Casual",IF(C50="Casual","","MISMATCH"),IF(C50="Casual","MISMATCH","")))</f>
        <v/>
      </c>
      <c r="P50" s="17" t="str">
        <f aca="false">IF(LEFT(L50,6)="Casual",IF(C50="Casual","","MISMATCH"),IF(LEFT(L50,9)="Permanent",IF(C50="Casual","MISMATCH",""),""))</f>
        <v/>
      </c>
      <c r="Q50" s="17" t="str">
        <f aca="false">IF(AND(C50="Casual",M50&lt;&gt;""),IF(COUNTIFS($C$2:$C$80,"&lt;&gt;Casual",$M$2:$M$80,M50)=0,"NO PERM TO COMPARE",IF(G50&lt;_xlfn.MINIFS($G$2:$G$80,$C$2:$C$80,"&lt;&gt;Casual",$M$2:$M$80,M50),"BELOW PERM","")),"")</f>
        <v>BELOW PERM</v>
      </c>
      <c r="R50" s="17" t="str">
        <f aca="false">IF(OR(L50="None",N50=""),"CHECK","")</f>
        <v/>
      </c>
      <c r="S50" s="17" t="str">
        <f aca="false">IF(AND(ISNUMBER(SEARCH("OFFICE",K50)),ISNUMBER(SEARCH("Production",D50))),"CHECK","")</f>
        <v/>
      </c>
      <c r="T50" s="20"/>
      <c r="U50" s="21"/>
      <c r="V50" s="22" t="s">
        <v>44</v>
      </c>
      <c r="W50" s="22" t="s">
        <v>113</v>
      </c>
      <c r="X50" s="22"/>
      <c r="Y50" s="22"/>
      <c r="Z50" s="22"/>
      <c r="AA50" s="22" t="s">
        <v>85</v>
      </c>
    </row>
    <row r="51" customFormat="false" ht="42.75" hidden="false" customHeight="true" outlineLevel="0" collapsed="false">
      <c r="A51" s="17" t="s">
        <v>274</v>
      </c>
      <c r="B51" s="17" t="s">
        <v>275</v>
      </c>
      <c r="C51" s="17" t="s">
        <v>76</v>
      </c>
      <c r="D51" s="17" t="s">
        <v>88</v>
      </c>
      <c r="E51" s="17" t="s">
        <v>89</v>
      </c>
      <c r="F51" s="17" t="s">
        <v>79</v>
      </c>
      <c r="G51" s="18" t="n">
        <v>32.28696</v>
      </c>
      <c r="H51" s="17" t="s">
        <v>80</v>
      </c>
      <c r="I51" s="19" t="n">
        <v>44812</v>
      </c>
      <c r="J51" s="17" t="s">
        <v>104</v>
      </c>
      <c r="K51" s="17" t="s">
        <v>199</v>
      </c>
      <c r="L51" s="17" t="s">
        <v>92</v>
      </c>
      <c r="M51" s="17" t="n">
        <f aca="false">IFERROR(VALUE(RIGHT(D51,1)),"")</f>
        <v>6</v>
      </c>
      <c r="N51" s="17" t="str">
        <f aca="false">IFERROR(LOOKUP(2,1/ISNUMBER(SEARCH(" "&amp;{"NSW","QLD","VIC","SA","WA","TAS","ACT","NT"}&amp;" "," "&amp;L51&amp;" ")),{"NSW","QLD","VIC","SA","WA","TAS","ACT","NT"}),"")</f>
        <v>NSW</v>
      </c>
      <c r="O51" s="17" t="str">
        <f aca="false">IF(E51="None","NO AGREEMENT",IF(LEFT(E51,6)="Casual",IF(C51="Casual","","MISMATCH"),IF(C51="Casual","MISMATCH","")))</f>
        <v/>
      </c>
      <c r="P51" s="17" t="str">
        <f aca="false">IF(LEFT(L51,6)="Casual",IF(C51="Casual","","MISMATCH"),IF(LEFT(L51,9)="Permanent",IF(C51="Casual","MISMATCH",""),""))</f>
        <v/>
      </c>
      <c r="Q51" s="17" t="str">
        <f aca="false">IF(AND(C51="Casual",M51&lt;&gt;""),IF(COUNTIFS($C$2:$C$80,"&lt;&gt;Casual",$M$2:$M$80,M51)=0,"NO PERM TO COMPARE",IF(G51&lt;_xlfn.MINIFS($G$2:$G$80,$C$2:$C$80,"&lt;&gt;Casual",$M$2:$M$80,M51),"BELOW PERM","")),"")</f>
        <v>BELOW PERM</v>
      </c>
      <c r="R51" s="17" t="str">
        <f aca="false">IF(OR(L51="None",N51=""),"CHECK","")</f>
        <v/>
      </c>
      <c r="S51" s="17" t="str">
        <f aca="false">IF(AND(ISNUMBER(SEARCH("OFFICE",K51)),ISNUMBER(SEARCH("Production",D51))),"CHECK","")</f>
        <v/>
      </c>
      <c r="T51" s="25" t="s">
        <v>147</v>
      </c>
      <c r="U51" s="21" t="s">
        <v>276</v>
      </c>
      <c r="V51" s="22" t="s">
        <v>44</v>
      </c>
      <c r="W51" s="22" t="s">
        <v>93</v>
      </c>
      <c r="X51" s="22"/>
      <c r="Y51" s="22"/>
      <c r="Z51" s="22"/>
      <c r="AA51" s="22" t="s">
        <v>85</v>
      </c>
    </row>
    <row r="52" customFormat="false" ht="15" hidden="false" customHeight="true" outlineLevel="0" collapsed="false">
      <c r="A52" s="17" t="s">
        <v>277</v>
      </c>
      <c r="B52" s="17" t="s">
        <v>278</v>
      </c>
      <c r="C52" s="17" t="s">
        <v>96</v>
      </c>
      <c r="D52" s="17" t="s">
        <v>109</v>
      </c>
      <c r="E52" s="17" t="s">
        <v>138</v>
      </c>
      <c r="F52" s="17" t="s">
        <v>98</v>
      </c>
      <c r="G52" s="18" t="n">
        <v>30.0481</v>
      </c>
      <c r="H52" s="17" t="s">
        <v>80</v>
      </c>
      <c r="I52" s="19" t="n">
        <v>45138</v>
      </c>
      <c r="J52" s="17" t="s">
        <v>139</v>
      </c>
      <c r="K52" s="17" t="s">
        <v>279</v>
      </c>
      <c r="L52" s="17" t="s">
        <v>120</v>
      </c>
      <c r="M52" s="17" t="n">
        <f aca="false">IFERROR(VALUE(RIGHT(D52,1)),"")</f>
        <v>4</v>
      </c>
      <c r="N52" s="17" t="str">
        <f aca="false">IFERROR(LOOKUP(2,1/ISNUMBER(SEARCH(" "&amp;{"NSW","QLD","VIC","SA","WA","TAS","ACT","NT"}&amp;" "," "&amp;L52&amp;" ")),{"NSW","QLD","VIC","SA","WA","TAS","ACT","NT"}),"")</f>
        <v>NSW</v>
      </c>
      <c r="O52" s="17" t="str">
        <f aca="false">IF(E52="None","NO AGREEMENT",IF(LEFT(E52,6)="Casual",IF(C52="Casual","","MISMATCH"),IF(C52="Casual","MISMATCH","")))</f>
        <v/>
      </c>
      <c r="P52" s="17" t="str">
        <f aca="false">IF(LEFT(L52,6)="Casual",IF(C52="Casual","","MISMATCH"),IF(LEFT(L52,9)="Permanent",IF(C52="Casual","MISMATCH",""),""))</f>
        <v/>
      </c>
      <c r="Q52" s="17" t="str">
        <f aca="false">IF(AND(C52="Casual",M52&lt;&gt;""),IF(COUNTIFS($C$2:$C$80,"&lt;&gt;Casual",$M$2:$M$80,M52)=0,"NO PERM TO COMPARE",IF(G52&lt;_xlfn.MINIFS($G$2:$G$80,$C$2:$C$80,"&lt;&gt;Casual",$M$2:$M$80,M52),"BELOW PERM","")),"")</f>
        <v/>
      </c>
      <c r="R52" s="17" t="str">
        <f aca="false">IF(OR(L52="None",N52=""),"CHECK","")</f>
        <v/>
      </c>
      <c r="S52" s="17" t="str">
        <f aca="false">IF(AND(ISNUMBER(SEARCH("OFFICE",K52)),ISNUMBER(SEARCH("Production",D52))),"CHECK","")</f>
        <v/>
      </c>
      <c r="T52" s="20"/>
      <c r="U52" s="21"/>
      <c r="V52" s="22" t="s">
        <v>44</v>
      </c>
      <c r="W52" s="22" t="s">
        <v>113</v>
      </c>
      <c r="X52" s="22"/>
      <c r="Y52" s="22"/>
      <c r="Z52" s="22"/>
      <c r="AA52" s="22" t="s">
        <v>85</v>
      </c>
    </row>
    <row r="53" customFormat="false" ht="15" hidden="false" customHeight="true" outlineLevel="0" collapsed="false">
      <c r="A53" s="17" t="s">
        <v>280</v>
      </c>
      <c r="B53" s="17" t="s">
        <v>281</v>
      </c>
      <c r="C53" s="17" t="s">
        <v>118</v>
      </c>
      <c r="D53" s="17" t="s">
        <v>109</v>
      </c>
      <c r="E53" s="17" t="s">
        <v>138</v>
      </c>
      <c r="F53" s="17" t="s">
        <v>98</v>
      </c>
      <c r="G53" s="18" t="n">
        <v>33.4821</v>
      </c>
      <c r="H53" s="17" t="s">
        <v>80</v>
      </c>
      <c r="I53" s="19" t="n">
        <v>44670</v>
      </c>
      <c r="J53" s="17" t="s">
        <v>282</v>
      </c>
      <c r="K53" s="17" t="s">
        <v>202</v>
      </c>
      <c r="L53" s="17" t="s">
        <v>283</v>
      </c>
      <c r="M53" s="17" t="n">
        <f aca="false">IFERROR(VALUE(RIGHT(D53,1)),"")</f>
        <v>4</v>
      </c>
      <c r="N53" s="17" t="str">
        <f aca="false">IFERROR(LOOKUP(2,1/ISNUMBER(SEARCH(" "&amp;{"NSW","QLD","VIC","SA","WA","TAS","ACT","NT"}&amp;" "," "&amp;L53&amp;" ")),{"NSW","QLD","VIC","SA","WA","TAS","ACT","NT"}),"")</f>
        <v>SA</v>
      </c>
      <c r="O53" s="17" t="str">
        <f aca="false">IF(E53="None","NO AGREEMENT",IF(LEFT(E53,6)="Casual",IF(C53="Casual","","MISMATCH"),IF(C53="Casual","MISMATCH","")))</f>
        <v/>
      </c>
      <c r="P53" s="17" t="str">
        <f aca="false">IF(LEFT(L53,6)="Casual",IF(C53="Casual","","MISMATCH"),IF(LEFT(L53,9)="Permanent",IF(C53="Casual","MISMATCH",""),""))</f>
        <v/>
      </c>
      <c r="Q53" s="17" t="str">
        <f aca="false">IF(AND(C53="Casual",M53&lt;&gt;""),IF(COUNTIFS($C$2:$C$80,"&lt;&gt;Casual",$M$2:$M$80,M53)=0,"NO PERM TO COMPARE",IF(G53&lt;_xlfn.MINIFS($G$2:$G$80,$C$2:$C$80,"&lt;&gt;Casual",$M$2:$M$80,M53),"BELOW PERM","")),"")</f>
        <v/>
      </c>
      <c r="R53" s="17" t="str">
        <f aca="false">IF(OR(L53="None",N53=""),"CHECK","")</f>
        <v/>
      </c>
      <c r="S53" s="17" t="str">
        <f aca="false">IF(AND(ISNUMBER(SEARCH("OFFICE",K53)),ISNUMBER(SEARCH("Production",D53))),"CHECK","")</f>
        <v/>
      </c>
      <c r="T53" s="20"/>
      <c r="U53" s="21"/>
      <c r="V53" s="22" t="s">
        <v>44</v>
      </c>
      <c r="W53" s="22" t="s">
        <v>113</v>
      </c>
      <c r="X53" s="22"/>
      <c r="Y53" s="22"/>
      <c r="Z53" s="22"/>
      <c r="AA53" s="22" t="s">
        <v>85</v>
      </c>
    </row>
    <row r="54" customFormat="false" ht="15" hidden="false" customHeight="true" outlineLevel="0" collapsed="false">
      <c r="A54" s="17" t="s">
        <v>284</v>
      </c>
      <c r="B54" s="17" t="s">
        <v>285</v>
      </c>
      <c r="C54" s="17" t="s">
        <v>118</v>
      </c>
      <c r="D54" s="17" t="s">
        <v>109</v>
      </c>
      <c r="E54" s="17" t="s">
        <v>138</v>
      </c>
      <c r="F54" s="17" t="s">
        <v>98</v>
      </c>
      <c r="G54" s="18" t="n">
        <v>30.2627</v>
      </c>
      <c r="H54" s="17" t="s">
        <v>80</v>
      </c>
      <c r="I54" s="19" t="n">
        <v>45950</v>
      </c>
      <c r="J54" s="17" t="s">
        <v>139</v>
      </c>
      <c r="K54" s="17" t="s">
        <v>286</v>
      </c>
      <c r="L54" s="17" t="s">
        <v>120</v>
      </c>
      <c r="M54" s="17" t="n">
        <f aca="false">IFERROR(VALUE(RIGHT(D54,1)),"")</f>
        <v>4</v>
      </c>
      <c r="N54" s="17" t="str">
        <f aca="false">IFERROR(LOOKUP(2,1/ISNUMBER(SEARCH(" "&amp;{"NSW","QLD","VIC","SA","WA","TAS","ACT","NT"}&amp;" "," "&amp;L54&amp;" ")),{"NSW","QLD","VIC","SA","WA","TAS","ACT","NT"}),"")</f>
        <v>NSW</v>
      </c>
      <c r="O54" s="17" t="str">
        <f aca="false">IF(E54="None","NO AGREEMENT",IF(LEFT(E54,6)="Casual",IF(C54="Casual","","MISMATCH"),IF(C54="Casual","MISMATCH","")))</f>
        <v/>
      </c>
      <c r="P54" s="17" t="str">
        <f aca="false">IF(LEFT(L54,6)="Casual",IF(C54="Casual","","MISMATCH"),IF(LEFT(L54,9)="Permanent",IF(C54="Casual","MISMATCH",""),""))</f>
        <v/>
      </c>
      <c r="Q54" s="17" t="str">
        <f aca="false">IF(AND(C54="Casual",M54&lt;&gt;""),IF(COUNTIFS($C$2:$C$80,"&lt;&gt;Casual",$M$2:$M$80,M54)=0,"NO PERM TO COMPARE",IF(G54&lt;_xlfn.MINIFS($G$2:$G$80,$C$2:$C$80,"&lt;&gt;Casual",$M$2:$M$80,M54),"BELOW PERM","")),"")</f>
        <v/>
      </c>
      <c r="R54" s="17" t="str">
        <f aca="false">IF(OR(L54="None",N54=""),"CHECK","")</f>
        <v/>
      </c>
      <c r="S54" s="17" t="str">
        <f aca="false">IF(AND(ISNUMBER(SEARCH("OFFICE",K54)),ISNUMBER(SEARCH("Production",D54))),"CHECK","")</f>
        <v/>
      </c>
      <c r="T54" s="20"/>
      <c r="U54" s="21"/>
      <c r="V54" s="22" t="s">
        <v>44</v>
      </c>
      <c r="W54" s="22" t="s">
        <v>113</v>
      </c>
      <c r="X54" s="22"/>
      <c r="Y54" s="22"/>
      <c r="Z54" s="22"/>
      <c r="AA54" s="22" t="s">
        <v>85</v>
      </c>
    </row>
    <row r="55" customFormat="false" ht="15" hidden="false" customHeight="true" outlineLevel="0" collapsed="false">
      <c r="A55" s="17" t="s">
        <v>287</v>
      </c>
      <c r="B55" s="17" t="s">
        <v>288</v>
      </c>
      <c r="C55" s="17" t="s">
        <v>76</v>
      </c>
      <c r="D55" s="17" t="s">
        <v>109</v>
      </c>
      <c r="E55" s="17" t="s">
        <v>110</v>
      </c>
      <c r="F55" s="17" t="s">
        <v>79</v>
      </c>
      <c r="G55" s="18" t="n">
        <v>30</v>
      </c>
      <c r="H55" s="17" t="s">
        <v>80</v>
      </c>
      <c r="I55" s="19" t="n">
        <v>45516</v>
      </c>
      <c r="J55" s="17" t="s">
        <v>81</v>
      </c>
      <c r="K55" s="17" t="s">
        <v>111</v>
      </c>
      <c r="L55" s="17" t="s">
        <v>112</v>
      </c>
      <c r="M55" s="17" t="n">
        <f aca="false">IFERROR(VALUE(RIGHT(D55,1)),"")</f>
        <v>4</v>
      </c>
      <c r="N55" s="17" t="str">
        <f aca="false">IFERROR(LOOKUP(2,1/ISNUMBER(SEARCH(" "&amp;{"NSW","QLD","VIC","SA","WA","TAS","ACT","NT"}&amp;" "," "&amp;L55&amp;" ")),{"NSW","QLD","VIC","SA","WA","TAS","ACT","NT"}),"")</f>
        <v>VIC</v>
      </c>
      <c r="O55" s="17" t="str">
        <f aca="false">IF(E55="None","NO AGREEMENT",IF(LEFT(E55,6)="Casual",IF(C55="Casual","","MISMATCH"),IF(C55="Casual","MISMATCH","")))</f>
        <v/>
      </c>
      <c r="P55" s="17" t="str">
        <f aca="false">IF(LEFT(L55,6)="Casual",IF(C55="Casual","","MISMATCH"),IF(LEFT(L55,9)="Permanent",IF(C55="Casual","MISMATCH",""),""))</f>
        <v/>
      </c>
      <c r="Q55" s="17" t="str">
        <f aca="false">IF(AND(C55="Casual",M55&lt;&gt;""),IF(COUNTIFS($C$2:$C$80,"&lt;&gt;Casual",$M$2:$M$80,M55)=0,"NO PERM TO COMPARE",IF(G55&lt;_xlfn.MINIFS($G$2:$G$80,$C$2:$C$80,"&lt;&gt;Casual",$M$2:$M$80,M55),"BELOW PERM","")),"")</f>
        <v>BELOW PERM</v>
      </c>
      <c r="R55" s="17" t="str">
        <f aca="false">IF(OR(L55="None",N55=""),"CHECK","")</f>
        <v/>
      </c>
      <c r="S55" s="17" t="str">
        <f aca="false">IF(AND(ISNUMBER(SEARCH("OFFICE",K55)),ISNUMBER(SEARCH("Production",D55))),"CHECK","")</f>
        <v/>
      </c>
      <c r="T55" s="20"/>
      <c r="U55" s="21"/>
      <c r="V55" s="22" t="s">
        <v>44</v>
      </c>
      <c r="W55" s="22" t="s">
        <v>113</v>
      </c>
      <c r="X55" s="22"/>
      <c r="Y55" s="22"/>
      <c r="Z55" s="22"/>
      <c r="AA55" s="22" t="s">
        <v>85</v>
      </c>
    </row>
    <row r="56" customFormat="false" ht="15" hidden="false" customHeight="true" outlineLevel="0" collapsed="false">
      <c r="A56" s="17" t="s">
        <v>289</v>
      </c>
      <c r="B56" s="17" t="s">
        <v>290</v>
      </c>
      <c r="C56" s="17" t="s">
        <v>76</v>
      </c>
      <c r="D56" s="17" t="s">
        <v>109</v>
      </c>
      <c r="E56" s="17" t="s">
        <v>110</v>
      </c>
      <c r="F56" s="17" t="s">
        <v>79</v>
      </c>
      <c r="G56" s="18" t="n">
        <v>30</v>
      </c>
      <c r="H56" s="17" t="s">
        <v>80</v>
      </c>
      <c r="I56" s="19" t="n">
        <v>45763</v>
      </c>
      <c r="J56" s="17" t="s">
        <v>81</v>
      </c>
      <c r="K56" s="17" t="s">
        <v>202</v>
      </c>
      <c r="L56" s="17" t="s">
        <v>203</v>
      </c>
      <c r="M56" s="17" t="n">
        <f aca="false">IFERROR(VALUE(RIGHT(D56,1)),"")</f>
        <v>4</v>
      </c>
      <c r="N56" s="17" t="str">
        <f aca="false">IFERROR(LOOKUP(2,1/ISNUMBER(SEARCH(" "&amp;{"NSW","QLD","VIC","SA","WA","TAS","ACT","NT"}&amp;" "," "&amp;L56&amp;" ")),{"NSW","QLD","VIC","SA","WA","TAS","ACT","NT"}),"")</f>
        <v>SA</v>
      </c>
      <c r="O56" s="17" t="str">
        <f aca="false">IF(E56="None","NO AGREEMENT",IF(LEFT(E56,6)="Casual",IF(C56="Casual","","MISMATCH"),IF(C56="Casual","MISMATCH","")))</f>
        <v/>
      </c>
      <c r="P56" s="17" t="str">
        <f aca="false">IF(LEFT(L56,6)="Casual",IF(C56="Casual","","MISMATCH"),IF(LEFT(L56,9)="Permanent",IF(C56="Casual","MISMATCH",""),""))</f>
        <v/>
      </c>
      <c r="Q56" s="17" t="str">
        <f aca="false">IF(AND(C56="Casual",M56&lt;&gt;""),IF(COUNTIFS($C$2:$C$80,"&lt;&gt;Casual",$M$2:$M$80,M56)=0,"NO PERM TO COMPARE",IF(G56&lt;_xlfn.MINIFS($G$2:$G$80,$C$2:$C$80,"&lt;&gt;Casual",$M$2:$M$80,M56),"BELOW PERM","")),"")</f>
        <v>BELOW PERM</v>
      </c>
      <c r="R56" s="17" t="str">
        <f aca="false">IF(OR(L56="None",N56=""),"CHECK","")</f>
        <v/>
      </c>
      <c r="S56" s="17" t="str">
        <f aca="false">IF(AND(ISNUMBER(SEARCH("OFFICE",K56)),ISNUMBER(SEARCH("Production",D56))),"CHECK","")</f>
        <v/>
      </c>
      <c r="T56" s="20"/>
      <c r="U56" s="21"/>
      <c r="V56" s="22" t="s">
        <v>44</v>
      </c>
      <c r="W56" s="22" t="s">
        <v>113</v>
      </c>
      <c r="X56" s="22"/>
      <c r="Y56" s="22"/>
      <c r="Z56" s="22"/>
      <c r="AA56" s="22" t="s">
        <v>85</v>
      </c>
    </row>
    <row r="57" customFormat="false" ht="15" hidden="false" customHeight="true" outlineLevel="0" collapsed="false">
      <c r="A57" s="17" t="s">
        <v>291</v>
      </c>
      <c r="B57" s="17" t="s">
        <v>292</v>
      </c>
      <c r="C57" s="17" t="s">
        <v>118</v>
      </c>
      <c r="D57" s="17" t="s">
        <v>88</v>
      </c>
      <c r="E57" s="17" t="s">
        <v>151</v>
      </c>
      <c r="F57" s="17" t="s">
        <v>98</v>
      </c>
      <c r="G57" s="18" t="n">
        <v>45.716</v>
      </c>
      <c r="H57" s="17" t="s">
        <v>80</v>
      </c>
      <c r="I57" s="19" t="n">
        <v>43682</v>
      </c>
      <c r="J57" s="17" t="s">
        <v>233</v>
      </c>
      <c r="K57" s="17" t="s">
        <v>91</v>
      </c>
      <c r="L57" s="17" t="s">
        <v>120</v>
      </c>
      <c r="M57" s="17" t="n">
        <f aca="false">IFERROR(VALUE(RIGHT(D57,1)),"")</f>
        <v>6</v>
      </c>
      <c r="N57" s="17" t="str">
        <f aca="false">IFERROR(LOOKUP(2,1/ISNUMBER(SEARCH(" "&amp;{"NSW","QLD","VIC","SA","WA","TAS","ACT","NT"}&amp;" "," "&amp;L57&amp;" ")),{"NSW","QLD","VIC","SA","WA","TAS","ACT","NT"}),"")</f>
        <v>NSW</v>
      </c>
      <c r="O57" s="17" t="str">
        <f aca="false">IF(E57="None","NO AGREEMENT",IF(LEFT(E57,6)="Casual",IF(C57="Casual","","MISMATCH"),IF(C57="Casual","MISMATCH","")))</f>
        <v/>
      </c>
      <c r="P57" s="17" t="str">
        <f aca="false">IF(LEFT(L57,6)="Casual",IF(C57="Casual","","MISMATCH"),IF(LEFT(L57,9)="Permanent",IF(C57="Casual","MISMATCH",""),""))</f>
        <v/>
      </c>
      <c r="Q57" s="17" t="str">
        <f aca="false">IF(AND(C57="Casual",M57&lt;&gt;""),IF(COUNTIFS($C$2:$C$80,"&lt;&gt;Casual",$M$2:$M$80,M57)=0,"NO PERM TO COMPARE",IF(G57&lt;_xlfn.MINIFS($G$2:$G$80,$C$2:$C$80,"&lt;&gt;Casual",$M$2:$M$80,M57),"BELOW PERM","")),"")</f>
        <v/>
      </c>
      <c r="R57" s="17" t="str">
        <f aca="false">IF(OR(L57="None",N57=""),"CHECK","")</f>
        <v/>
      </c>
      <c r="S57" s="17" t="str">
        <f aca="false">IF(AND(ISNUMBER(SEARCH("OFFICE",K57)),ISNUMBER(SEARCH("Production",D57))),"CHECK","")</f>
        <v/>
      </c>
      <c r="T57" s="20"/>
      <c r="U57" s="21"/>
      <c r="V57" s="22" t="s">
        <v>44</v>
      </c>
      <c r="W57" s="22" t="s">
        <v>93</v>
      </c>
      <c r="X57" s="22"/>
      <c r="Y57" s="22"/>
      <c r="Z57" s="22"/>
      <c r="AA57" s="22" t="s">
        <v>85</v>
      </c>
    </row>
    <row r="58" customFormat="false" ht="15" hidden="false" customHeight="true" outlineLevel="0" collapsed="false">
      <c r="A58" s="17" t="s">
        <v>293</v>
      </c>
      <c r="B58" s="17" t="s">
        <v>294</v>
      </c>
      <c r="C58" s="17" t="s">
        <v>118</v>
      </c>
      <c r="D58" s="17" t="s">
        <v>295</v>
      </c>
      <c r="E58" s="17" t="s">
        <v>296</v>
      </c>
      <c r="F58" s="17" t="s">
        <v>98</v>
      </c>
      <c r="G58" s="18" t="n">
        <v>55.80357</v>
      </c>
      <c r="H58" s="17" t="s">
        <v>80</v>
      </c>
      <c r="I58" s="19" t="n">
        <v>46031</v>
      </c>
      <c r="J58" s="17" t="s">
        <v>297</v>
      </c>
      <c r="K58" s="17" t="s">
        <v>91</v>
      </c>
      <c r="L58" s="17" t="s">
        <v>120</v>
      </c>
      <c r="M58" s="17" t="n">
        <f aca="false">IFERROR(VALUE(RIGHT(D58,1)),"")</f>
        <v>8</v>
      </c>
      <c r="N58" s="17" t="str">
        <f aca="false">IFERROR(LOOKUP(2,1/ISNUMBER(SEARCH(" "&amp;{"NSW","QLD","VIC","SA","WA","TAS","ACT","NT"}&amp;" "," "&amp;L58&amp;" ")),{"NSW","QLD","VIC","SA","WA","TAS","ACT","NT"}),"")</f>
        <v>NSW</v>
      </c>
      <c r="O58" s="17" t="str">
        <f aca="false">IF(E58="None","NO AGREEMENT",IF(LEFT(E58,6)="Casual",IF(C58="Casual","","MISMATCH"),IF(C58="Casual","MISMATCH","")))</f>
        <v/>
      </c>
      <c r="P58" s="17" t="str">
        <f aca="false">IF(LEFT(L58,6)="Casual",IF(C58="Casual","","MISMATCH"),IF(LEFT(L58,9)="Permanent",IF(C58="Casual","MISMATCH",""),""))</f>
        <v/>
      </c>
      <c r="Q58" s="17" t="str">
        <f aca="false">IF(AND(C58="Casual",M58&lt;&gt;""),IF(COUNTIFS($C$2:$C$80,"&lt;&gt;Casual",$M$2:$M$80,M58)=0,"NO PERM TO COMPARE",IF(G58&lt;_xlfn.MINIFS($G$2:$G$80,$C$2:$C$80,"&lt;&gt;Casual",$M$2:$M$80,M58),"BELOW PERM","")),"")</f>
        <v/>
      </c>
      <c r="R58" s="17" t="str">
        <f aca="false">IF(OR(L58="None",N58=""),"CHECK","")</f>
        <v/>
      </c>
      <c r="S58" s="17" t="str">
        <f aca="false">IF(AND(ISNUMBER(SEARCH("OFFICE",K58)),ISNUMBER(SEARCH("Production",D58))),"CHECK","")</f>
        <v/>
      </c>
      <c r="T58" s="20"/>
      <c r="U58" s="21"/>
      <c r="V58" s="22" t="s">
        <v>165</v>
      </c>
      <c r="W58" s="22" t="s">
        <v>298</v>
      </c>
      <c r="X58" s="22"/>
      <c r="Y58" s="22"/>
      <c r="Z58" s="22"/>
      <c r="AA58" s="22" t="s">
        <v>167</v>
      </c>
    </row>
    <row r="59" customFormat="false" ht="28.5" hidden="false" customHeight="true" outlineLevel="0" collapsed="false">
      <c r="A59" s="17" t="s">
        <v>299</v>
      </c>
      <c r="B59" s="17" t="s">
        <v>300</v>
      </c>
      <c r="C59" s="17" t="s">
        <v>76</v>
      </c>
      <c r="D59" s="17" t="s">
        <v>77</v>
      </c>
      <c r="E59" s="17" t="s">
        <v>78</v>
      </c>
      <c r="F59" s="17" t="s">
        <v>79</v>
      </c>
      <c r="G59" s="18" t="n">
        <v>29</v>
      </c>
      <c r="H59" s="17" t="s">
        <v>80</v>
      </c>
      <c r="I59" s="19" t="n">
        <v>45579</v>
      </c>
      <c r="J59" s="17" t="s">
        <v>81</v>
      </c>
      <c r="K59" s="17" t="s">
        <v>301</v>
      </c>
      <c r="L59" s="17" t="s">
        <v>83</v>
      </c>
      <c r="M59" s="17" t="n">
        <f aca="false">IFERROR(VALUE(RIGHT(D59,1)),"")</f>
        <v>5</v>
      </c>
      <c r="N59" s="17" t="str">
        <f aca="false">IFERROR(LOOKUP(2,1/ISNUMBER(SEARCH(" "&amp;{"NSW","QLD","VIC","SA","WA","TAS","ACT","NT"}&amp;" "," "&amp;L59&amp;" ")),{"NSW","QLD","VIC","SA","WA","TAS","ACT","NT"}),"")</f>
        <v>QLD</v>
      </c>
      <c r="O59" s="17" t="str">
        <f aca="false">IF(E59="None","NO AGREEMENT",IF(LEFT(E59,6)="Casual",IF(C59="Casual","","MISMATCH"),IF(C59="Casual","MISMATCH","")))</f>
        <v/>
      </c>
      <c r="P59" s="17" t="str">
        <f aca="false">IF(LEFT(L59,6)="Casual",IF(C59="Casual","","MISMATCH"),IF(LEFT(L59,9)="Permanent",IF(C59="Casual","MISMATCH",""),""))</f>
        <v/>
      </c>
      <c r="Q59" s="17" t="str">
        <f aca="false">IF(AND(C59="Casual",M59&lt;&gt;""),IF(COUNTIFS($C$2:$C$80,"&lt;&gt;Casual",$M$2:$M$80,M59)=0,"NO PERM TO COMPARE",IF(G59&lt;_xlfn.MINIFS($G$2:$G$80,$C$2:$C$80,"&lt;&gt;Casual",$M$2:$M$80,M59),"BELOW PERM","")),"")</f>
        <v>BELOW PERM</v>
      </c>
      <c r="R59" s="17" t="str">
        <f aca="false">IF(OR(L59="None",N59=""),"CHECK","")</f>
        <v/>
      </c>
      <c r="S59" s="17" t="str">
        <f aca="false">IF(AND(ISNUMBER(SEARCH("OFFICE",K59)),ISNUMBER(SEARCH("Production",D59))),"CHECK","")</f>
        <v/>
      </c>
      <c r="T59" s="25" t="s">
        <v>147</v>
      </c>
      <c r="U59" s="21" t="s">
        <v>302</v>
      </c>
      <c r="V59" s="22" t="s">
        <v>44</v>
      </c>
      <c r="W59" s="22" t="s">
        <v>84</v>
      </c>
      <c r="X59" s="22"/>
      <c r="Y59" s="22"/>
      <c r="Z59" s="22"/>
      <c r="AA59" s="22" t="s">
        <v>85</v>
      </c>
    </row>
    <row r="60" customFormat="false" ht="15" hidden="false" customHeight="true" outlineLevel="0" collapsed="false">
      <c r="A60" s="17" t="s">
        <v>303</v>
      </c>
      <c r="B60" s="17" t="s">
        <v>304</v>
      </c>
      <c r="C60" s="17" t="s">
        <v>118</v>
      </c>
      <c r="D60" s="17" t="s">
        <v>77</v>
      </c>
      <c r="E60" s="17" t="s">
        <v>97</v>
      </c>
      <c r="F60" s="17" t="s">
        <v>98</v>
      </c>
      <c r="G60" s="18" t="n">
        <v>35.6284</v>
      </c>
      <c r="H60" s="17" t="s">
        <v>80</v>
      </c>
      <c r="I60" s="19" t="n">
        <v>45355</v>
      </c>
      <c r="J60" s="17" t="s">
        <v>139</v>
      </c>
      <c r="K60" s="17" t="s">
        <v>305</v>
      </c>
      <c r="L60" s="17" t="s">
        <v>120</v>
      </c>
      <c r="M60" s="17" t="n">
        <f aca="false">IFERROR(VALUE(RIGHT(D60,1)),"")</f>
        <v>5</v>
      </c>
      <c r="N60" s="17" t="str">
        <f aca="false">IFERROR(LOOKUP(2,1/ISNUMBER(SEARCH(" "&amp;{"NSW","QLD","VIC","SA","WA","TAS","ACT","NT"}&amp;" "," "&amp;L60&amp;" ")),{"NSW","QLD","VIC","SA","WA","TAS","ACT","NT"}),"")</f>
        <v>NSW</v>
      </c>
      <c r="O60" s="17" t="str">
        <f aca="false">IF(E60="None","NO AGREEMENT",IF(LEFT(E60,6)="Casual",IF(C60="Casual","","MISMATCH"),IF(C60="Casual","MISMATCH","")))</f>
        <v/>
      </c>
      <c r="P60" s="17" t="str">
        <f aca="false">IF(LEFT(L60,6)="Casual",IF(C60="Casual","","MISMATCH"),IF(LEFT(L60,9)="Permanent",IF(C60="Casual","MISMATCH",""),""))</f>
        <v/>
      </c>
      <c r="Q60" s="17" t="str">
        <f aca="false">IF(AND(C60="Casual",M60&lt;&gt;""),IF(COUNTIFS($C$2:$C$80,"&lt;&gt;Casual",$M$2:$M$80,M60)=0,"NO PERM TO COMPARE",IF(G60&lt;_xlfn.MINIFS($G$2:$G$80,$C$2:$C$80,"&lt;&gt;Casual",$M$2:$M$80,M60),"BELOW PERM","")),"")</f>
        <v/>
      </c>
      <c r="R60" s="17" t="str">
        <f aca="false">IF(OR(L60="None",N60=""),"CHECK","")</f>
        <v/>
      </c>
      <c r="S60" s="17" t="str">
        <f aca="false">IF(AND(ISNUMBER(SEARCH("OFFICE",K60)),ISNUMBER(SEARCH("Production",D60))),"CHECK","")</f>
        <v/>
      </c>
      <c r="T60" s="20"/>
      <c r="U60" s="21"/>
      <c r="V60" s="22" t="s">
        <v>44</v>
      </c>
      <c r="W60" s="22" t="s">
        <v>84</v>
      </c>
      <c r="X60" s="22"/>
      <c r="Y60" s="22"/>
      <c r="Z60" s="22"/>
      <c r="AA60" s="22" t="s">
        <v>85</v>
      </c>
    </row>
    <row r="61" customFormat="false" ht="15" hidden="false" customHeight="true" outlineLevel="0" collapsed="false">
      <c r="A61" s="17" t="s">
        <v>306</v>
      </c>
      <c r="B61" s="17" t="s">
        <v>307</v>
      </c>
      <c r="C61" s="17" t="s">
        <v>76</v>
      </c>
      <c r="D61" s="17" t="s">
        <v>88</v>
      </c>
      <c r="E61" s="17" t="s">
        <v>89</v>
      </c>
      <c r="F61" s="17" t="s">
        <v>79</v>
      </c>
      <c r="G61" s="18" t="n">
        <v>41.04</v>
      </c>
      <c r="H61" s="17" t="s">
        <v>80</v>
      </c>
      <c r="I61" s="19" t="n">
        <v>43843</v>
      </c>
      <c r="J61" s="17" t="s">
        <v>308</v>
      </c>
      <c r="K61" s="17" t="s">
        <v>123</v>
      </c>
      <c r="L61" s="17" t="s">
        <v>112</v>
      </c>
      <c r="M61" s="17" t="n">
        <f aca="false">IFERROR(VALUE(RIGHT(D61,1)),"")</f>
        <v>6</v>
      </c>
      <c r="N61" s="17" t="str">
        <f aca="false">IFERROR(LOOKUP(2,1/ISNUMBER(SEARCH(" "&amp;{"NSW","QLD","VIC","SA","WA","TAS","ACT","NT"}&amp;" "," "&amp;L61&amp;" ")),{"NSW","QLD","VIC","SA","WA","TAS","ACT","NT"}),"")</f>
        <v>VIC</v>
      </c>
      <c r="O61" s="17" t="str">
        <f aca="false">IF(E61="None","NO AGREEMENT",IF(LEFT(E61,6)="Casual",IF(C61="Casual","","MISMATCH"),IF(C61="Casual","MISMATCH","")))</f>
        <v/>
      </c>
      <c r="P61" s="17" t="str">
        <f aca="false">IF(LEFT(L61,6)="Casual",IF(C61="Casual","","MISMATCH"),IF(LEFT(L61,9)="Permanent",IF(C61="Casual","MISMATCH",""),""))</f>
        <v/>
      </c>
      <c r="Q61" s="17" t="str">
        <f aca="false">IF(AND(C61="Casual",M61&lt;&gt;""),IF(COUNTIFS($C$2:$C$80,"&lt;&gt;Casual",$M$2:$M$80,M61)=0,"NO PERM TO COMPARE",IF(G61&lt;_xlfn.MINIFS($G$2:$G$80,$C$2:$C$80,"&lt;&gt;Casual",$M$2:$M$80,M61),"BELOW PERM","")),"")</f>
        <v/>
      </c>
      <c r="R61" s="17" t="str">
        <f aca="false">IF(OR(L61="None",N61=""),"CHECK","")</f>
        <v/>
      </c>
      <c r="S61" s="17" t="str">
        <f aca="false">IF(AND(ISNUMBER(SEARCH("OFFICE",K61)),ISNUMBER(SEARCH("Production",D61))),"CHECK","")</f>
        <v/>
      </c>
      <c r="T61" s="20"/>
      <c r="U61" s="21"/>
      <c r="V61" s="22" t="s">
        <v>165</v>
      </c>
      <c r="W61" s="22" t="s">
        <v>309</v>
      </c>
      <c r="X61" s="22"/>
      <c r="Y61" s="22"/>
      <c r="Z61" s="22"/>
      <c r="AA61" s="22" t="s">
        <v>167</v>
      </c>
    </row>
    <row r="62" customFormat="false" ht="15" hidden="false" customHeight="true" outlineLevel="0" collapsed="false">
      <c r="A62" s="17" t="s">
        <v>310</v>
      </c>
      <c r="B62" s="17" t="s">
        <v>311</v>
      </c>
      <c r="C62" s="17" t="s">
        <v>76</v>
      </c>
      <c r="D62" s="17" t="s">
        <v>77</v>
      </c>
      <c r="E62" s="17" t="s">
        <v>78</v>
      </c>
      <c r="F62" s="17" t="s">
        <v>79</v>
      </c>
      <c r="G62" s="18" t="n">
        <v>39.29</v>
      </c>
      <c r="H62" s="17" t="s">
        <v>80</v>
      </c>
      <c r="I62" s="19" t="n">
        <v>46062</v>
      </c>
      <c r="J62" s="17" t="s">
        <v>81</v>
      </c>
      <c r="K62" s="17" t="s">
        <v>91</v>
      </c>
      <c r="L62" s="17" t="s">
        <v>92</v>
      </c>
      <c r="M62" s="17" t="n">
        <f aca="false">IFERROR(VALUE(RIGHT(D62,1)),"")</f>
        <v>5</v>
      </c>
      <c r="N62" s="17" t="str">
        <f aca="false">IFERROR(LOOKUP(2,1/ISNUMBER(SEARCH(" "&amp;{"NSW","QLD","VIC","SA","WA","TAS","ACT","NT"}&amp;" "," "&amp;L62&amp;" ")),{"NSW","QLD","VIC","SA","WA","TAS","ACT","NT"}),"")</f>
        <v>NSW</v>
      </c>
      <c r="O62" s="17" t="str">
        <f aca="false">IF(E62="None","NO AGREEMENT",IF(LEFT(E62,6)="Casual",IF(C62="Casual","","MISMATCH"),IF(C62="Casual","MISMATCH","")))</f>
        <v/>
      </c>
      <c r="P62" s="17" t="str">
        <f aca="false">IF(LEFT(L62,6)="Casual",IF(C62="Casual","","MISMATCH"),IF(LEFT(L62,9)="Permanent",IF(C62="Casual","MISMATCH",""),""))</f>
        <v/>
      </c>
      <c r="Q62" s="17" t="str">
        <f aca="false">IF(AND(C62="Casual",M62&lt;&gt;""),IF(COUNTIFS($C$2:$C$80,"&lt;&gt;Casual",$M$2:$M$80,M62)=0,"NO PERM TO COMPARE",IF(G62&lt;_xlfn.MINIFS($G$2:$G$80,$C$2:$C$80,"&lt;&gt;Casual",$M$2:$M$80,M62),"BELOW PERM","")),"")</f>
        <v/>
      </c>
      <c r="R62" s="17" t="str">
        <f aca="false">IF(OR(L62="None",N62=""),"CHECK","")</f>
        <v/>
      </c>
      <c r="S62" s="17" t="str">
        <f aca="false">IF(AND(ISNUMBER(SEARCH("OFFICE",K62)),ISNUMBER(SEARCH("Production",D62))),"CHECK","")</f>
        <v/>
      </c>
      <c r="T62" s="20"/>
      <c r="U62" s="21"/>
      <c r="V62" s="22" t="s">
        <v>44</v>
      </c>
      <c r="W62" s="22" t="s">
        <v>84</v>
      </c>
      <c r="X62" s="22"/>
      <c r="Y62" s="22"/>
      <c r="Z62" s="22"/>
      <c r="AA62" s="22" t="s">
        <v>85</v>
      </c>
    </row>
    <row r="63" customFormat="false" ht="42.75" hidden="false" customHeight="true" outlineLevel="0" collapsed="false">
      <c r="A63" s="17" t="s">
        <v>312</v>
      </c>
      <c r="B63" s="17" t="s">
        <v>179</v>
      </c>
      <c r="C63" s="17" t="s">
        <v>96</v>
      </c>
      <c r="D63" s="17" t="s">
        <v>77</v>
      </c>
      <c r="E63" s="17" t="s">
        <v>97</v>
      </c>
      <c r="F63" s="17" t="s">
        <v>98</v>
      </c>
      <c r="G63" s="18" t="n">
        <v>31.7651</v>
      </c>
      <c r="H63" s="17" t="s">
        <v>80</v>
      </c>
      <c r="I63" s="19" t="n">
        <v>40665</v>
      </c>
      <c r="J63" s="17" t="s">
        <v>313</v>
      </c>
      <c r="K63" s="17" t="s">
        <v>157</v>
      </c>
      <c r="L63" s="17" t="s">
        <v>120</v>
      </c>
      <c r="M63" s="17" t="n">
        <f aca="false">IFERROR(VALUE(RIGHT(D63,1)),"")</f>
        <v>5</v>
      </c>
      <c r="N63" s="17" t="str">
        <f aca="false">IFERROR(LOOKUP(2,1/ISNUMBER(SEARCH(" "&amp;{"NSW","QLD","VIC","SA","WA","TAS","ACT","NT"}&amp;" "," "&amp;L63&amp;" ")),{"NSW","QLD","VIC","SA","WA","TAS","ACT","NT"}),"")</f>
        <v>NSW</v>
      </c>
      <c r="O63" s="17" t="str">
        <f aca="false">IF(E63="None","NO AGREEMENT",IF(LEFT(E63,6)="Casual",IF(C63="Casual","","MISMATCH"),IF(C63="Casual","MISMATCH","")))</f>
        <v/>
      </c>
      <c r="P63" s="17" t="str">
        <f aca="false">IF(LEFT(L63,6)="Casual",IF(C63="Casual","","MISMATCH"),IF(LEFT(L63,9)="Permanent",IF(C63="Casual","MISMATCH",""),""))</f>
        <v/>
      </c>
      <c r="Q63" s="17" t="str">
        <f aca="false">IF(AND(C63="Casual",M63&lt;&gt;""),IF(COUNTIFS($C$2:$C$80,"&lt;&gt;Casual",$M$2:$M$80,M63)=0,"NO PERM TO COMPARE",IF(G63&lt;_xlfn.MINIFS($G$2:$G$80,$C$2:$C$80,"&lt;&gt;Casual",$M$2:$M$80,M63),"BELOW PERM","")),"")</f>
        <v/>
      </c>
      <c r="R63" s="17" t="str">
        <f aca="false">IF(OR(L63="None",N63=""),"CHECK","")</f>
        <v/>
      </c>
      <c r="S63" s="17" t="str">
        <f aca="false">IF(AND(ISNUMBER(SEARCH("OFFICE",K63)),ISNUMBER(SEARCH("Production",D63))),"CHECK","")</f>
        <v>CHECK</v>
      </c>
      <c r="T63" s="25" t="s">
        <v>147</v>
      </c>
      <c r="U63" s="21" t="s">
        <v>314</v>
      </c>
      <c r="V63" s="22" t="s">
        <v>315</v>
      </c>
      <c r="W63" s="22" t="s">
        <v>316</v>
      </c>
      <c r="X63" s="22"/>
      <c r="Y63" s="22"/>
      <c r="Z63" s="22"/>
      <c r="AA63" s="22" t="s">
        <v>167</v>
      </c>
    </row>
    <row r="64" customFormat="false" ht="15" hidden="false" customHeight="true" outlineLevel="0" collapsed="false">
      <c r="A64" s="17" t="s">
        <v>317</v>
      </c>
      <c r="B64" s="17" t="s">
        <v>318</v>
      </c>
      <c r="C64" s="17" t="s">
        <v>76</v>
      </c>
      <c r="D64" s="17" t="s">
        <v>88</v>
      </c>
      <c r="E64" s="17" t="s">
        <v>89</v>
      </c>
      <c r="F64" s="17" t="s">
        <v>79</v>
      </c>
      <c r="G64" s="18" t="n">
        <v>40</v>
      </c>
      <c r="H64" s="17" t="s">
        <v>80</v>
      </c>
      <c r="I64" s="19" t="n">
        <v>45775</v>
      </c>
      <c r="J64" s="17" t="s">
        <v>81</v>
      </c>
      <c r="K64" s="17" t="s">
        <v>319</v>
      </c>
      <c r="L64" s="17" t="s">
        <v>92</v>
      </c>
      <c r="M64" s="17" t="n">
        <f aca="false">IFERROR(VALUE(RIGHT(D64,1)),"")</f>
        <v>6</v>
      </c>
      <c r="N64" s="17" t="str">
        <f aca="false">IFERROR(LOOKUP(2,1/ISNUMBER(SEARCH(" "&amp;{"NSW","QLD","VIC","SA","WA","TAS","ACT","NT"}&amp;" "," "&amp;L64&amp;" ")),{"NSW","QLD","VIC","SA","WA","TAS","ACT","NT"}),"")</f>
        <v>NSW</v>
      </c>
      <c r="O64" s="17" t="str">
        <f aca="false">IF(E64="None","NO AGREEMENT",IF(LEFT(E64,6)="Casual",IF(C64="Casual","","MISMATCH"),IF(C64="Casual","MISMATCH","")))</f>
        <v/>
      </c>
      <c r="P64" s="17" t="str">
        <f aca="false">IF(LEFT(L64,6)="Casual",IF(C64="Casual","","MISMATCH"),IF(LEFT(L64,9)="Permanent",IF(C64="Casual","MISMATCH",""),""))</f>
        <v/>
      </c>
      <c r="Q64" s="17" t="str">
        <f aca="false">IF(AND(C64="Casual",M64&lt;&gt;""),IF(COUNTIFS($C$2:$C$80,"&lt;&gt;Casual",$M$2:$M$80,M64)=0,"NO PERM TO COMPARE",IF(G64&lt;_xlfn.MINIFS($G$2:$G$80,$C$2:$C$80,"&lt;&gt;Casual",$M$2:$M$80,M64),"BELOW PERM","")),"")</f>
        <v>BELOW PERM</v>
      </c>
      <c r="R64" s="17" t="str">
        <f aca="false">IF(OR(L64="None",N64=""),"CHECK","")</f>
        <v/>
      </c>
      <c r="S64" s="17" t="str">
        <f aca="false">IF(AND(ISNUMBER(SEARCH("OFFICE",K64)),ISNUMBER(SEARCH("Production",D64))),"CHECK","")</f>
        <v/>
      </c>
      <c r="T64" s="20"/>
      <c r="U64" s="21"/>
      <c r="V64" s="22" t="s">
        <v>44</v>
      </c>
      <c r="W64" s="22" t="s">
        <v>93</v>
      </c>
      <c r="X64" s="22"/>
      <c r="Y64" s="22"/>
      <c r="Z64" s="22"/>
      <c r="AA64" s="22" t="s">
        <v>85</v>
      </c>
    </row>
    <row r="65" customFormat="false" ht="28.5" hidden="false" customHeight="true" outlineLevel="0" collapsed="false">
      <c r="A65" s="17" t="s">
        <v>320</v>
      </c>
      <c r="B65" s="17" t="s">
        <v>321</v>
      </c>
      <c r="C65" s="17" t="s">
        <v>76</v>
      </c>
      <c r="D65" s="17" t="s">
        <v>88</v>
      </c>
      <c r="E65" s="17" t="s">
        <v>89</v>
      </c>
      <c r="F65" s="17" t="s">
        <v>79</v>
      </c>
      <c r="G65" s="18" t="n">
        <v>33.85</v>
      </c>
      <c r="H65" s="17" t="s">
        <v>80</v>
      </c>
      <c r="I65" s="19" t="n">
        <v>44592</v>
      </c>
      <c r="J65" s="17" t="s">
        <v>322</v>
      </c>
      <c r="K65" s="17" t="s">
        <v>241</v>
      </c>
      <c r="L65" s="17" t="s">
        <v>83</v>
      </c>
      <c r="M65" s="17" t="n">
        <f aca="false">IFERROR(VALUE(RIGHT(D65,1)),"")</f>
        <v>6</v>
      </c>
      <c r="N65" s="17" t="str">
        <f aca="false">IFERROR(LOOKUP(2,1/ISNUMBER(SEARCH(" "&amp;{"NSW","QLD","VIC","SA","WA","TAS","ACT","NT"}&amp;" "," "&amp;L65&amp;" ")),{"NSW","QLD","VIC","SA","WA","TAS","ACT","NT"}),"")</f>
        <v>QLD</v>
      </c>
      <c r="O65" s="17" t="str">
        <f aca="false">IF(E65="None","NO AGREEMENT",IF(LEFT(E65,6)="Casual",IF(C65="Casual","","MISMATCH"),IF(C65="Casual","MISMATCH","")))</f>
        <v/>
      </c>
      <c r="P65" s="17" t="str">
        <f aca="false">IF(LEFT(L65,6)="Casual",IF(C65="Casual","","MISMATCH"),IF(LEFT(L65,9)="Permanent",IF(C65="Casual","MISMATCH",""),""))</f>
        <v/>
      </c>
      <c r="Q65" s="17" t="str">
        <f aca="false">IF(AND(C65="Casual",M65&lt;&gt;""),IF(COUNTIFS($C$2:$C$80,"&lt;&gt;Casual",$M$2:$M$80,M65)=0,"NO PERM TO COMPARE",IF(G65&lt;_xlfn.MINIFS($G$2:$G$80,$C$2:$C$80,"&lt;&gt;Casual",$M$2:$M$80,M65),"BELOW PERM","")),"")</f>
        <v>BELOW PERM</v>
      </c>
      <c r="R65" s="17" t="str">
        <f aca="false">IF(OR(L65="None",N65=""),"CHECK","")</f>
        <v/>
      </c>
      <c r="S65" s="17" t="str">
        <f aca="false">IF(AND(ISNUMBER(SEARCH("OFFICE",K65)),ISNUMBER(SEARCH("Production",D65))),"CHECK","")</f>
        <v/>
      </c>
      <c r="T65" s="25" t="s">
        <v>147</v>
      </c>
      <c r="U65" s="21" t="s">
        <v>323</v>
      </c>
      <c r="V65" s="22" t="s">
        <v>44</v>
      </c>
      <c r="W65" s="22" t="s">
        <v>93</v>
      </c>
      <c r="X65" s="22"/>
      <c r="Y65" s="22"/>
      <c r="Z65" s="22"/>
      <c r="AA65" s="22" t="s">
        <v>85</v>
      </c>
    </row>
    <row r="66" customFormat="false" ht="15" hidden="false" customHeight="true" outlineLevel="0" collapsed="false">
      <c r="A66" s="17" t="s">
        <v>324</v>
      </c>
      <c r="B66" s="17" t="s">
        <v>325</v>
      </c>
      <c r="C66" s="17" t="s">
        <v>76</v>
      </c>
      <c r="D66" s="17" t="s">
        <v>88</v>
      </c>
      <c r="E66" s="17" t="s">
        <v>89</v>
      </c>
      <c r="F66" s="17" t="s">
        <v>79</v>
      </c>
      <c r="G66" s="18" t="n">
        <v>39.46184</v>
      </c>
      <c r="H66" s="17" t="s">
        <v>80</v>
      </c>
      <c r="I66" s="19" t="n">
        <v>44677</v>
      </c>
      <c r="J66" s="17" t="s">
        <v>326</v>
      </c>
      <c r="K66" s="17" t="s">
        <v>327</v>
      </c>
      <c r="L66" s="17" t="s">
        <v>92</v>
      </c>
      <c r="M66" s="17" t="n">
        <f aca="false">IFERROR(VALUE(RIGHT(D66,1)),"")</f>
        <v>6</v>
      </c>
      <c r="N66" s="17" t="str">
        <f aca="false">IFERROR(LOOKUP(2,1/ISNUMBER(SEARCH(" "&amp;{"NSW","QLD","VIC","SA","WA","TAS","ACT","NT"}&amp;" "," "&amp;L66&amp;" ")),{"NSW","QLD","VIC","SA","WA","TAS","ACT","NT"}),"")</f>
        <v>NSW</v>
      </c>
      <c r="O66" s="17" t="str">
        <f aca="false">IF(E66="None","NO AGREEMENT",IF(LEFT(E66,6)="Casual",IF(C66="Casual","","MISMATCH"),IF(C66="Casual","MISMATCH","")))</f>
        <v/>
      </c>
      <c r="P66" s="17" t="str">
        <f aca="false">IF(LEFT(L66,6)="Casual",IF(C66="Casual","","MISMATCH"),IF(LEFT(L66,9)="Permanent",IF(C66="Casual","MISMATCH",""),""))</f>
        <v/>
      </c>
      <c r="Q66" s="17" t="str">
        <f aca="false">IF(AND(C66="Casual",M66&lt;&gt;""),IF(COUNTIFS($C$2:$C$80,"&lt;&gt;Casual",$M$2:$M$80,M66)=0,"NO PERM TO COMPARE",IF(G66&lt;_xlfn.MINIFS($G$2:$G$80,$C$2:$C$80,"&lt;&gt;Casual",$M$2:$M$80,M66),"BELOW PERM","")),"")</f>
        <v>BELOW PERM</v>
      </c>
      <c r="R66" s="17" t="str">
        <f aca="false">IF(OR(L66="None",N66=""),"CHECK","")</f>
        <v/>
      </c>
      <c r="S66" s="17" t="str">
        <f aca="false">IF(AND(ISNUMBER(SEARCH("OFFICE",K66)),ISNUMBER(SEARCH("Production",D66))),"CHECK","")</f>
        <v/>
      </c>
      <c r="T66" s="20"/>
      <c r="U66" s="21"/>
      <c r="V66" s="22" t="s">
        <v>44</v>
      </c>
      <c r="W66" s="22" t="s">
        <v>93</v>
      </c>
      <c r="X66" s="22"/>
      <c r="Y66" s="22"/>
      <c r="Z66" s="22"/>
      <c r="AA66" s="22" t="s">
        <v>85</v>
      </c>
    </row>
    <row r="67" customFormat="false" ht="15" hidden="false" customHeight="true" outlineLevel="0" collapsed="false">
      <c r="A67" s="17" t="s">
        <v>328</v>
      </c>
      <c r="B67" s="17" t="s">
        <v>329</v>
      </c>
      <c r="C67" s="17" t="s">
        <v>76</v>
      </c>
      <c r="D67" s="17" t="s">
        <v>109</v>
      </c>
      <c r="E67" s="17" t="s">
        <v>110</v>
      </c>
      <c r="F67" s="17" t="s">
        <v>79</v>
      </c>
      <c r="G67" s="18" t="n">
        <v>30</v>
      </c>
      <c r="H67" s="17" t="s">
        <v>80</v>
      </c>
      <c r="I67" s="19" t="n">
        <v>45187</v>
      </c>
      <c r="J67" s="17" t="s">
        <v>81</v>
      </c>
      <c r="K67" s="17" t="s">
        <v>270</v>
      </c>
      <c r="L67" s="17" t="s">
        <v>92</v>
      </c>
      <c r="M67" s="17" t="n">
        <f aca="false">IFERROR(VALUE(RIGHT(D67,1)),"")</f>
        <v>4</v>
      </c>
      <c r="N67" s="17" t="str">
        <f aca="false">IFERROR(LOOKUP(2,1/ISNUMBER(SEARCH(" "&amp;{"NSW","QLD","VIC","SA","WA","TAS","ACT","NT"}&amp;" "," "&amp;L67&amp;" ")),{"NSW","QLD","VIC","SA","WA","TAS","ACT","NT"}),"")</f>
        <v>NSW</v>
      </c>
      <c r="O67" s="17" t="str">
        <f aca="false">IF(E67="None","NO AGREEMENT",IF(LEFT(E67,6)="Casual",IF(C67="Casual","","MISMATCH"),IF(C67="Casual","MISMATCH","")))</f>
        <v/>
      </c>
      <c r="P67" s="17" t="str">
        <f aca="false">IF(LEFT(L67,6)="Casual",IF(C67="Casual","","MISMATCH"),IF(LEFT(L67,9)="Permanent",IF(C67="Casual","MISMATCH",""),""))</f>
        <v/>
      </c>
      <c r="Q67" s="17" t="str">
        <f aca="false">IF(AND(C67="Casual",M67&lt;&gt;""),IF(COUNTIFS($C$2:$C$80,"&lt;&gt;Casual",$M$2:$M$80,M67)=0,"NO PERM TO COMPARE",IF(G67&lt;_xlfn.MINIFS($G$2:$G$80,$C$2:$C$80,"&lt;&gt;Casual",$M$2:$M$80,M67),"BELOW PERM","")),"")</f>
        <v>BELOW PERM</v>
      </c>
      <c r="R67" s="17" t="str">
        <f aca="false">IF(OR(L67="None",N67=""),"CHECK","")</f>
        <v/>
      </c>
      <c r="S67" s="17" t="str">
        <f aca="false">IF(AND(ISNUMBER(SEARCH("OFFICE",K67)),ISNUMBER(SEARCH("Production",D67))),"CHECK","")</f>
        <v/>
      </c>
      <c r="T67" s="20"/>
      <c r="U67" s="21"/>
      <c r="V67" s="22" t="s">
        <v>44</v>
      </c>
      <c r="W67" s="22" t="s">
        <v>113</v>
      </c>
      <c r="X67" s="22"/>
      <c r="Y67" s="22"/>
      <c r="Z67" s="22"/>
      <c r="AA67" s="22" t="s">
        <v>85</v>
      </c>
    </row>
    <row r="68" customFormat="false" ht="15" hidden="false" customHeight="true" outlineLevel="0" collapsed="false">
      <c r="A68" s="17" t="s">
        <v>330</v>
      </c>
      <c r="B68" s="17" t="s">
        <v>331</v>
      </c>
      <c r="C68" s="17" t="s">
        <v>118</v>
      </c>
      <c r="D68" s="17" t="s">
        <v>77</v>
      </c>
      <c r="E68" s="17" t="s">
        <v>97</v>
      </c>
      <c r="F68" s="17" t="s">
        <v>98</v>
      </c>
      <c r="G68" s="18" t="n">
        <v>31.76511</v>
      </c>
      <c r="H68" s="17" t="s">
        <v>80</v>
      </c>
      <c r="I68" s="19" t="n">
        <v>45202</v>
      </c>
      <c r="J68" s="17" t="s">
        <v>139</v>
      </c>
      <c r="K68" s="17" t="s">
        <v>270</v>
      </c>
      <c r="L68" s="17" t="s">
        <v>120</v>
      </c>
      <c r="M68" s="17" t="n">
        <f aca="false">IFERROR(VALUE(RIGHT(D68,1)),"")</f>
        <v>5</v>
      </c>
      <c r="N68" s="17" t="str">
        <f aca="false">IFERROR(LOOKUP(2,1/ISNUMBER(SEARCH(" "&amp;{"NSW","QLD","VIC","SA","WA","TAS","ACT","NT"}&amp;" "," "&amp;L68&amp;" ")),{"NSW","QLD","VIC","SA","WA","TAS","ACT","NT"}),"")</f>
        <v>NSW</v>
      </c>
      <c r="O68" s="17" t="str">
        <f aca="false">IF(E68="None","NO AGREEMENT",IF(LEFT(E68,6)="Casual",IF(C68="Casual","","MISMATCH"),IF(C68="Casual","MISMATCH","")))</f>
        <v/>
      </c>
      <c r="P68" s="17" t="str">
        <f aca="false">IF(LEFT(L68,6)="Casual",IF(C68="Casual","","MISMATCH"),IF(LEFT(L68,9)="Permanent",IF(C68="Casual","MISMATCH",""),""))</f>
        <v/>
      </c>
      <c r="Q68" s="17" t="str">
        <f aca="false">IF(AND(C68="Casual",M68&lt;&gt;""),IF(COUNTIFS($C$2:$C$80,"&lt;&gt;Casual",$M$2:$M$80,M68)=0,"NO PERM TO COMPARE",IF(G68&lt;_xlfn.MINIFS($G$2:$G$80,$C$2:$C$80,"&lt;&gt;Casual",$M$2:$M$80,M68),"BELOW PERM","")),"")</f>
        <v/>
      </c>
      <c r="R68" s="17" t="str">
        <f aca="false">IF(OR(L68="None",N68=""),"CHECK","")</f>
        <v/>
      </c>
      <c r="S68" s="17" t="str">
        <f aca="false">IF(AND(ISNUMBER(SEARCH("OFFICE",K68)),ISNUMBER(SEARCH("Production",D68))),"CHECK","")</f>
        <v/>
      </c>
      <c r="T68" s="20"/>
      <c r="U68" s="21"/>
      <c r="V68" s="22" t="s">
        <v>44</v>
      </c>
      <c r="W68" s="22" t="s">
        <v>84</v>
      </c>
      <c r="X68" s="22"/>
      <c r="Y68" s="22"/>
      <c r="Z68" s="22"/>
      <c r="AA68" s="22" t="s">
        <v>85</v>
      </c>
    </row>
    <row r="69" customFormat="false" ht="15" hidden="false" customHeight="true" outlineLevel="0" collapsed="false">
      <c r="A69" s="17" t="s">
        <v>332</v>
      </c>
      <c r="B69" s="17" t="s">
        <v>333</v>
      </c>
      <c r="C69" s="17" t="s">
        <v>118</v>
      </c>
      <c r="D69" s="17" t="s">
        <v>88</v>
      </c>
      <c r="E69" s="17" t="s">
        <v>151</v>
      </c>
      <c r="F69" s="17" t="s">
        <v>98</v>
      </c>
      <c r="G69" s="18" t="n">
        <v>41.4234</v>
      </c>
      <c r="H69" s="17" t="s">
        <v>80</v>
      </c>
      <c r="I69" s="19" t="n">
        <v>45194</v>
      </c>
      <c r="J69" s="17" t="s">
        <v>334</v>
      </c>
      <c r="K69" s="17" t="s">
        <v>199</v>
      </c>
      <c r="L69" s="17" t="s">
        <v>120</v>
      </c>
      <c r="M69" s="17" t="n">
        <f aca="false">IFERROR(VALUE(RIGHT(D69,1)),"")</f>
        <v>6</v>
      </c>
      <c r="N69" s="17" t="str">
        <f aca="false">IFERROR(LOOKUP(2,1/ISNUMBER(SEARCH(" "&amp;{"NSW","QLD","VIC","SA","WA","TAS","ACT","NT"}&amp;" "," "&amp;L69&amp;" ")),{"NSW","QLD","VIC","SA","WA","TAS","ACT","NT"}),"")</f>
        <v>NSW</v>
      </c>
      <c r="O69" s="17" t="str">
        <f aca="false">IF(E69="None","NO AGREEMENT",IF(LEFT(E69,6)="Casual",IF(C69="Casual","","MISMATCH"),IF(C69="Casual","MISMATCH","")))</f>
        <v/>
      </c>
      <c r="P69" s="17" t="str">
        <f aca="false">IF(LEFT(L69,6)="Casual",IF(C69="Casual","","MISMATCH"),IF(LEFT(L69,9)="Permanent",IF(C69="Casual","MISMATCH",""),""))</f>
        <v/>
      </c>
      <c r="Q69" s="17" t="str">
        <f aca="false">IF(AND(C69="Casual",M69&lt;&gt;""),IF(COUNTIFS($C$2:$C$80,"&lt;&gt;Casual",$M$2:$M$80,M69)=0,"NO PERM TO COMPARE",IF(G69&lt;_xlfn.MINIFS($G$2:$G$80,$C$2:$C$80,"&lt;&gt;Casual",$M$2:$M$80,M69),"BELOW PERM","")),"")</f>
        <v/>
      </c>
      <c r="R69" s="17" t="str">
        <f aca="false">IF(OR(L69="None",N69=""),"CHECK","")</f>
        <v/>
      </c>
      <c r="S69" s="17" t="str">
        <f aca="false">IF(AND(ISNUMBER(SEARCH("OFFICE",K69)),ISNUMBER(SEARCH("Production",D69))),"CHECK","")</f>
        <v/>
      </c>
      <c r="T69" s="20"/>
      <c r="U69" s="21"/>
      <c r="V69" s="22" t="s">
        <v>44</v>
      </c>
      <c r="W69" s="22" t="s">
        <v>93</v>
      </c>
      <c r="X69" s="22"/>
      <c r="Y69" s="22"/>
      <c r="Z69" s="22"/>
      <c r="AA69" s="22" t="s">
        <v>85</v>
      </c>
    </row>
    <row r="70" customFormat="false" ht="57" hidden="false" customHeight="true" outlineLevel="0" collapsed="false">
      <c r="A70" s="17" t="s">
        <v>335</v>
      </c>
      <c r="B70" s="17" t="s">
        <v>336</v>
      </c>
      <c r="C70" s="17" t="s">
        <v>76</v>
      </c>
      <c r="D70" s="17" t="s">
        <v>88</v>
      </c>
      <c r="E70" s="17" t="s">
        <v>89</v>
      </c>
      <c r="F70" s="17" t="s">
        <v>79</v>
      </c>
      <c r="G70" s="18" t="n">
        <v>45</v>
      </c>
      <c r="H70" s="17" t="s">
        <v>80</v>
      </c>
      <c r="I70" s="19" t="n">
        <v>46272</v>
      </c>
      <c r="J70" s="17" t="s">
        <v>337</v>
      </c>
      <c r="K70" s="17" t="s">
        <v>267</v>
      </c>
      <c r="L70" s="17" t="s">
        <v>120</v>
      </c>
      <c r="M70" s="17" t="n">
        <f aca="false">IFERROR(VALUE(RIGHT(D70,1)),"")</f>
        <v>6</v>
      </c>
      <c r="N70" s="17" t="str">
        <f aca="false">IFERROR(LOOKUP(2,1/ISNUMBER(SEARCH(" "&amp;{"NSW","QLD","VIC","SA","WA","TAS","ACT","NT"}&amp;" "," "&amp;L70&amp;" ")),{"NSW","QLD","VIC","SA","WA","TAS","ACT","NT"}),"")</f>
        <v>NSW</v>
      </c>
      <c r="O70" s="17" t="str">
        <f aca="false">IF(E70="None","NO AGREEMENT",IF(LEFT(E70,6)="Casual",IF(C70="Casual","","MISMATCH"),IF(C70="Casual","MISMATCH","")))</f>
        <v/>
      </c>
      <c r="P70" s="17" t="str">
        <f aca="false">IF(LEFT(L70,6)="Casual",IF(C70="Casual","","MISMATCH"),IF(LEFT(L70,9)="Permanent",IF(C70="Casual","MISMATCH",""),""))</f>
        <v>MISMATCH</v>
      </c>
      <c r="Q70" s="17" t="str">
        <f aca="false">IF(AND(C70="Casual",M70&lt;&gt;""),IF(COUNTIFS($C$2:$C$80,"&lt;&gt;Casual",$M$2:$M$80,M70)=0,"NO PERM TO COMPARE",IF(G70&lt;_xlfn.MINIFS($G$2:$G$80,$C$2:$C$80,"&lt;&gt;Casual",$M$2:$M$80,M70),"BELOW PERM","")),"")</f>
        <v/>
      </c>
      <c r="R70" s="17" t="str">
        <f aca="false">IF(OR(L70="None",N70=""),"CHECK","")</f>
        <v/>
      </c>
      <c r="S70" s="17" t="str">
        <f aca="false">IF(AND(ISNUMBER(SEARCH("OFFICE",K70)),ISNUMBER(SEARCH("Production",D70))),"CHECK","")</f>
        <v/>
      </c>
      <c r="T70" s="23" t="s">
        <v>100</v>
      </c>
      <c r="U70" s="21" t="s">
        <v>338</v>
      </c>
      <c r="V70" s="22" t="s">
        <v>165</v>
      </c>
      <c r="W70" s="22" t="s">
        <v>339</v>
      </c>
      <c r="X70" s="22"/>
      <c r="Y70" s="22"/>
      <c r="Z70" s="22"/>
      <c r="AA70" s="22" t="s">
        <v>167</v>
      </c>
    </row>
    <row r="71" customFormat="false" ht="15" hidden="false" customHeight="true" outlineLevel="0" collapsed="false">
      <c r="A71" s="17" t="s">
        <v>340</v>
      </c>
      <c r="B71" s="17" t="s">
        <v>341</v>
      </c>
      <c r="C71" s="17" t="s">
        <v>76</v>
      </c>
      <c r="D71" s="17" t="s">
        <v>109</v>
      </c>
      <c r="E71" s="17" t="s">
        <v>110</v>
      </c>
      <c r="F71" s="17" t="s">
        <v>79</v>
      </c>
      <c r="G71" s="18" t="n">
        <v>30</v>
      </c>
      <c r="H71" s="17" t="s">
        <v>80</v>
      </c>
      <c r="I71" s="19" t="n">
        <v>45947</v>
      </c>
      <c r="J71" s="17" t="s">
        <v>81</v>
      </c>
      <c r="K71" s="17" t="s">
        <v>174</v>
      </c>
      <c r="L71" s="17" t="s">
        <v>124</v>
      </c>
      <c r="M71" s="17" t="n">
        <f aca="false">IFERROR(VALUE(RIGHT(D71,1)),"")</f>
        <v>4</v>
      </c>
      <c r="N71" s="17" t="str">
        <f aca="false">IFERROR(LOOKUP(2,1/ISNUMBER(SEARCH(" "&amp;{"NSW","QLD","VIC","SA","WA","TAS","ACT","NT"}&amp;" "," "&amp;L71&amp;" ")),{"NSW","QLD","VIC","SA","WA","TAS","ACT","NT"}),"")</f>
        <v>WA</v>
      </c>
      <c r="O71" s="17" t="str">
        <f aca="false">IF(E71="None","NO AGREEMENT",IF(LEFT(E71,6)="Casual",IF(C71="Casual","","MISMATCH"),IF(C71="Casual","MISMATCH","")))</f>
        <v/>
      </c>
      <c r="P71" s="17" t="str">
        <f aca="false">IF(LEFT(L71,6)="Casual",IF(C71="Casual","","MISMATCH"),IF(LEFT(L71,9)="Permanent",IF(C71="Casual","MISMATCH",""),""))</f>
        <v/>
      </c>
      <c r="Q71" s="17" t="str">
        <f aca="false">IF(AND(C71="Casual",M71&lt;&gt;""),IF(COUNTIFS($C$2:$C$80,"&lt;&gt;Casual",$M$2:$M$80,M71)=0,"NO PERM TO COMPARE",IF(G71&lt;_xlfn.MINIFS($G$2:$G$80,$C$2:$C$80,"&lt;&gt;Casual",$M$2:$M$80,M71),"BELOW PERM","")),"")</f>
        <v>BELOW PERM</v>
      </c>
      <c r="R71" s="17" t="str">
        <f aca="false">IF(OR(L71="None",N71=""),"CHECK","")</f>
        <v/>
      </c>
      <c r="S71" s="17" t="str">
        <f aca="false">IF(AND(ISNUMBER(SEARCH("OFFICE",K71)),ISNUMBER(SEARCH("Production",D71))),"CHECK","")</f>
        <v/>
      </c>
      <c r="T71" s="20"/>
      <c r="U71" s="21"/>
      <c r="V71" s="22" t="s">
        <v>44</v>
      </c>
      <c r="W71" s="22" t="s">
        <v>113</v>
      </c>
      <c r="X71" s="22"/>
      <c r="Y71" s="22"/>
      <c r="Z71" s="22"/>
      <c r="AA71" s="22" t="s">
        <v>85</v>
      </c>
    </row>
    <row r="72" customFormat="false" ht="15" hidden="false" customHeight="true" outlineLevel="0" collapsed="false">
      <c r="A72" s="17" t="s">
        <v>342</v>
      </c>
      <c r="B72" s="17" t="s">
        <v>343</v>
      </c>
      <c r="C72" s="17" t="s">
        <v>76</v>
      </c>
      <c r="D72" s="17" t="s">
        <v>88</v>
      </c>
      <c r="E72" s="17" t="s">
        <v>89</v>
      </c>
      <c r="F72" s="17" t="s">
        <v>79</v>
      </c>
      <c r="G72" s="18" t="n">
        <v>36</v>
      </c>
      <c r="H72" s="17" t="s">
        <v>80</v>
      </c>
      <c r="I72" s="19" t="n">
        <v>45985</v>
      </c>
      <c r="J72" s="17" t="s">
        <v>81</v>
      </c>
      <c r="K72" s="17" t="s">
        <v>344</v>
      </c>
      <c r="L72" s="17" t="s">
        <v>112</v>
      </c>
      <c r="M72" s="17" t="n">
        <f aca="false">IFERROR(VALUE(RIGHT(D72,1)),"")</f>
        <v>6</v>
      </c>
      <c r="N72" s="17" t="str">
        <f aca="false">IFERROR(LOOKUP(2,1/ISNUMBER(SEARCH(" "&amp;{"NSW","QLD","VIC","SA","WA","TAS","ACT","NT"}&amp;" "," "&amp;L72&amp;" ")),{"NSW","QLD","VIC","SA","WA","TAS","ACT","NT"}),"")</f>
        <v>VIC</v>
      </c>
      <c r="O72" s="17" t="str">
        <f aca="false">IF(E72="None","NO AGREEMENT",IF(LEFT(E72,6)="Casual",IF(C72="Casual","","MISMATCH"),IF(C72="Casual","MISMATCH","")))</f>
        <v/>
      </c>
      <c r="P72" s="17" t="str">
        <f aca="false">IF(LEFT(L72,6)="Casual",IF(C72="Casual","","MISMATCH"),IF(LEFT(L72,9)="Permanent",IF(C72="Casual","MISMATCH",""),""))</f>
        <v/>
      </c>
      <c r="Q72" s="17" t="str">
        <f aca="false">IF(AND(C72="Casual",M72&lt;&gt;""),IF(COUNTIFS($C$2:$C$80,"&lt;&gt;Casual",$M$2:$M$80,M72)=0,"NO PERM TO COMPARE",IF(G72&lt;_xlfn.MINIFS($G$2:$G$80,$C$2:$C$80,"&lt;&gt;Casual",$M$2:$M$80,M72),"BELOW PERM","")),"")</f>
        <v>BELOW PERM</v>
      </c>
      <c r="R72" s="17" t="str">
        <f aca="false">IF(OR(L72="None",N72=""),"CHECK","")</f>
        <v/>
      </c>
      <c r="S72" s="17" t="str">
        <f aca="false">IF(AND(ISNUMBER(SEARCH("OFFICE",K72)),ISNUMBER(SEARCH("Production",D72))),"CHECK","")</f>
        <v/>
      </c>
      <c r="T72" s="20"/>
      <c r="U72" s="21"/>
      <c r="V72" s="22" t="s">
        <v>44</v>
      </c>
      <c r="W72" s="22" t="s">
        <v>93</v>
      </c>
      <c r="X72" s="22"/>
      <c r="Y72" s="22"/>
      <c r="Z72" s="22"/>
      <c r="AA72" s="22" t="s">
        <v>85</v>
      </c>
    </row>
    <row r="73" customFormat="false" ht="28.5" hidden="false" customHeight="true" outlineLevel="0" collapsed="false">
      <c r="A73" s="17" t="s">
        <v>345</v>
      </c>
      <c r="B73" s="17" t="s">
        <v>346</v>
      </c>
      <c r="C73" s="17" t="s">
        <v>76</v>
      </c>
      <c r="D73" s="17" t="s">
        <v>77</v>
      </c>
      <c r="E73" s="17" t="s">
        <v>78</v>
      </c>
      <c r="F73" s="17" t="s">
        <v>79</v>
      </c>
      <c r="G73" s="18" t="n">
        <v>30.4</v>
      </c>
      <c r="H73" s="17" t="s">
        <v>80</v>
      </c>
      <c r="I73" s="19" t="n">
        <v>46055</v>
      </c>
      <c r="J73" s="17" t="s">
        <v>81</v>
      </c>
      <c r="K73" s="17" t="s">
        <v>91</v>
      </c>
      <c r="L73" s="17" t="s">
        <v>155</v>
      </c>
      <c r="M73" s="17" t="n">
        <f aca="false">IFERROR(VALUE(RIGHT(D73,1)),"")</f>
        <v>5</v>
      </c>
      <c r="N73" s="17" t="str">
        <f aca="false">IFERROR(LOOKUP(2,1/ISNUMBER(SEARCH(" "&amp;{"NSW","QLD","VIC","SA","WA","TAS","ACT","NT"}&amp;" "," "&amp;L73&amp;" ")),{"NSW","QLD","VIC","SA","WA","TAS","ACT","NT"}),"")</f>
        <v/>
      </c>
      <c r="O73" s="17" t="str">
        <f aca="false">IF(E73="None","NO AGREEMENT",IF(LEFT(E73,6)="Casual",IF(C73="Casual","","MISMATCH"),IF(C73="Casual","MISMATCH","")))</f>
        <v/>
      </c>
      <c r="P73" s="17" t="str">
        <f aca="false">IF(LEFT(L73,6)="Casual",IF(C73="Casual","","MISMATCH"),IF(LEFT(L73,9)="Permanent",IF(C73="Casual","MISMATCH",""),""))</f>
        <v/>
      </c>
      <c r="Q73" s="17" t="str">
        <f aca="false">IF(AND(C73="Casual",M73&lt;&gt;""),IF(COUNTIFS($C$2:$C$80,"&lt;&gt;Casual",$M$2:$M$80,M73)=0,"NO PERM TO COMPARE",IF(G73&lt;_xlfn.MINIFS($G$2:$G$80,$C$2:$C$80,"&lt;&gt;Casual",$M$2:$M$80,M73),"BELOW PERM","")),"")</f>
        <v>BELOW PERM</v>
      </c>
      <c r="R73" s="17" t="str">
        <f aca="false">IF(OR(L73="None",N73=""),"CHECK","")</f>
        <v>CHECK</v>
      </c>
      <c r="S73" s="17" t="str">
        <f aca="false">IF(AND(ISNUMBER(SEARCH("OFFICE",K73)),ISNUMBER(SEARCH("Production",D73))),"CHECK","")</f>
        <v/>
      </c>
      <c r="T73" s="25" t="s">
        <v>147</v>
      </c>
      <c r="U73" s="21" t="s">
        <v>251</v>
      </c>
      <c r="V73" s="22" t="s">
        <v>44</v>
      </c>
      <c r="W73" s="22" t="s">
        <v>84</v>
      </c>
      <c r="X73" s="22"/>
      <c r="Y73" s="22"/>
      <c r="Z73" s="22"/>
      <c r="AA73" s="22" t="s">
        <v>85</v>
      </c>
    </row>
    <row r="74" customFormat="false" ht="15" hidden="false" customHeight="true" outlineLevel="0" collapsed="false">
      <c r="A74" s="17" t="s">
        <v>347</v>
      </c>
      <c r="B74" s="17" t="s">
        <v>348</v>
      </c>
      <c r="C74" s="17" t="s">
        <v>118</v>
      </c>
      <c r="D74" s="17" t="s">
        <v>109</v>
      </c>
      <c r="E74" s="17" t="s">
        <v>138</v>
      </c>
      <c r="F74" s="17" t="s">
        <v>98</v>
      </c>
      <c r="G74" s="18" t="n">
        <v>30.9066</v>
      </c>
      <c r="H74" s="17" t="s">
        <v>80</v>
      </c>
      <c r="I74" s="19" t="n">
        <v>44967</v>
      </c>
      <c r="J74" s="17" t="s">
        <v>349</v>
      </c>
      <c r="K74" s="17" t="s">
        <v>350</v>
      </c>
      <c r="L74" s="17" t="s">
        <v>120</v>
      </c>
      <c r="M74" s="17" t="n">
        <f aca="false">IFERROR(VALUE(RIGHT(D74,1)),"")</f>
        <v>4</v>
      </c>
      <c r="N74" s="17" t="str">
        <f aca="false">IFERROR(LOOKUP(2,1/ISNUMBER(SEARCH(" "&amp;{"NSW","QLD","VIC","SA","WA","TAS","ACT","NT"}&amp;" "," "&amp;L74&amp;" ")),{"NSW","QLD","VIC","SA","WA","TAS","ACT","NT"}),"")</f>
        <v>NSW</v>
      </c>
      <c r="O74" s="17" t="str">
        <f aca="false">IF(E74="None","NO AGREEMENT",IF(LEFT(E74,6)="Casual",IF(C74="Casual","","MISMATCH"),IF(C74="Casual","MISMATCH","")))</f>
        <v/>
      </c>
      <c r="P74" s="17" t="str">
        <f aca="false">IF(LEFT(L74,6)="Casual",IF(C74="Casual","","MISMATCH"),IF(LEFT(L74,9)="Permanent",IF(C74="Casual","MISMATCH",""),""))</f>
        <v/>
      </c>
      <c r="Q74" s="17" t="str">
        <f aca="false">IF(AND(C74="Casual",M74&lt;&gt;""),IF(COUNTIFS($C$2:$C$80,"&lt;&gt;Casual",$M$2:$M$80,M74)=0,"NO PERM TO COMPARE",IF(G74&lt;_xlfn.MINIFS($G$2:$G$80,$C$2:$C$80,"&lt;&gt;Casual",$M$2:$M$80,M74),"BELOW PERM","")),"")</f>
        <v/>
      </c>
      <c r="R74" s="17" t="str">
        <f aca="false">IF(OR(L74="None",N74=""),"CHECK","")</f>
        <v/>
      </c>
      <c r="S74" s="17" t="str">
        <f aca="false">IF(AND(ISNUMBER(SEARCH("OFFICE",K74)),ISNUMBER(SEARCH("Production",D74))),"CHECK","")</f>
        <v/>
      </c>
      <c r="T74" s="20"/>
      <c r="U74" s="21"/>
      <c r="V74" s="22" t="s">
        <v>44</v>
      </c>
      <c r="W74" s="22" t="s">
        <v>113</v>
      </c>
      <c r="X74" s="22"/>
      <c r="Y74" s="22"/>
      <c r="Z74" s="22"/>
      <c r="AA74" s="22" t="s">
        <v>85</v>
      </c>
    </row>
    <row r="75" customFormat="false" ht="15" hidden="false" customHeight="true" outlineLevel="0" collapsed="false">
      <c r="A75" s="17" t="s">
        <v>351</v>
      </c>
      <c r="B75" s="17" t="s">
        <v>352</v>
      </c>
      <c r="C75" s="17" t="s">
        <v>118</v>
      </c>
      <c r="D75" s="17" t="s">
        <v>353</v>
      </c>
      <c r="E75" s="17" t="s">
        <v>354</v>
      </c>
      <c r="F75" s="17" t="s">
        <v>98</v>
      </c>
      <c r="G75" s="18" t="n">
        <v>53.6573</v>
      </c>
      <c r="H75" s="17" t="s">
        <v>80</v>
      </c>
      <c r="I75" s="19" t="n">
        <v>42919</v>
      </c>
      <c r="J75" s="17" t="s">
        <v>355</v>
      </c>
      <c r="K75" s="17" t="s">
        <v>91</v>
      </c>
      <c r="L75" s="17" t="s">
        <v>120</v>
      </c>
      <c r="M75" s="17" t="n">
        <f aca="false">IFERROR(VALUE(RIGHT(D75,1)),"")</f>
        <v>7</v>
      </c>
      <c r="N75" s="17" t="str">
        <f aca="false">IFERROR(LOOKUP(2,1/ISNUMBER(SEARCH(" "&amp;{"NSW","QLD","VIC","SA","WA","TAS","ACT","NT"}&amp;" "," "&amp;L75&amp;" ")),{"NSW","QLD","VIC","SA","WA","TAS","ACT","NT"}),"")</f>
        <v>NSW</v>
      </c>
      <c r="O75" s="17" t="str">
        <f aca="false">IF(E75="None","NO AGREEMENT",IF(LEFT(E75,6)="Casual",IF(C75="Casual","","MISMATCH"),IF(C75="Casual","MISMATCH","")))</f>
        <v/>
      </c>
      <c r="P75" s="17" t="str">
        <f aca="false">IF(LEFT(L75,6)="Casual",IF(C75="Casual","","MISMATCH"),IF(LEFT(L75,9)="Permanent",IF(C75="Casual","MISMATCH",""),""))</f>
        <v/>
      </c>
      <c r="Q75" s="17" t="str">
        <f aca="false">IF(AND(C75="Casual",M75&lt;&gt;""),IF(COUNTIFS($C$2:$C$80,"&lt;&gt;Casual",$M$2:$M$80,M75)=0,"NO PERM TO COMPARE",IF(G75&lt;_xlfn.MINIFS($G$2:$G$80,$C$2:$C$80,"&lt;&gt;Casual",$M$2:$M$80,M75),"BELOW PERM","")),"")</f>
        <v/>
      </c>
      <c r="R75" s="17" t="str">
        <f aca="false">IF(OR(L75="None",N75=""),"CHECK","")</f>
        <v/>
      </c>
      <c r="S75" s="17" t="str">
        <f aca="false">IF(AND(ISNUMBER(SEARCH("OFFICE",K75)),ISNUMBER(SEARCH("Production",D75))),"CHECK","")</f>
        <v/>
      </c>
      <c r="T75" s="20"/>
      <c r="U75" s="21"/>
      <c r="V75" s="22" t="s">
        <v>165</v>
      </c>
      <c r="W75" s="22" t="s">
        <v>356</v>
      </c>
      <c r="X75" s="22"/>
      <c r="Y75" s="22"/>
      <c r="Z75" s="22"/>
      <c r="AA75" s="22" t="s">
        <v>167</v>
      </c>
    </row>
    <row r="76" customFormat="false" ht="15" hidden="false" customHeight="true" outlineLevel="0" collapsed="false">
      <c r="A76" s="17" t="s">
        <v>357</v>
      </c>
      <c r="B76" s="17" t="s">
        <v>358</v>
      </c>
      <c r="C76" s="17" t="s">
        <v>96</v>
      </c>
      <c r="D76" s="17" t="s">
        <v>109</v>
      </c>
      <c r="E76" s="17" t="s">
        <v>138</v>
      </c>
      <c r="F76" s="17" t="s">
        <v>98</v>
      </c>
      <c r="G76" s="18" t="n">
        <v>30.9066</v>
      </c>
      <c r="H76" s="17" t="s">
        <v>80</v>
      </c>
      <c r="I76" s="19" t="n">
        <v>44439</v>
      </c>
      <c r="J76" s="17" t="s">
        <v>359</v>
      </c>
      <c r="K76" s="17" t="s">
        <v>360</v>
      </c>
      <c r="L76" s="17" t="s">
        <v>242</v>
      </c>
      <c r="M76" s="17" t="n">
        <f aca="false">IFERROR(VALUE(RIGHT(D76,1)),"")</f>
        <v>4</v>
      </c>
      <c r="N76" s="17" t="str">
        <f aca="false">IFERROR(LOOKUP(2,1/ISNUMBER(SEARCH(" "&amp;{"NSW","QLD","VIC","SA","WA","TAS","ACT","NT"}&amp;" "," "&amp;L76&amp;" ")),{"NSW","QLD","VIC","SA","WA","TAS","ACT","NT"}),"")</f>
        <v>QLD</v>
      </c>
      <c r="O76" s="17" t="str">
        <f aca="false">IF(E76="None","NO AGREEMENT",IF(LEFT(E76,6)="Casual",IF(C76="Casual","","MISMATCH"),IF(C76="Casual","MISMATCH","")))</f>
        <v/>
      </c>
      <c r="P76" s="17" t="str">
        <f aca="false">IF(LEFT(L76,6)="Casual",IF(C76="Casual","","MISMATCH"),IF(LEFT(L76,9)="Permanent",IF(C76="Casual","MISMATCH",""),""))</f>
        <v/>
      </c>
      <c r="Q76" s="17" t="str">
        <f aca="false">IF(AND(C76="Casual",M76&lt;&gt;""),IF(COUNTIFS($C$2:$C$80,"&lt;&gt;Casual",$M$2:$M$80,M76)=0,"NO PERM TO COMPARE",IF(G76&lt;_xlfn.MINIFS($G$2:$G$80,$C$2:$C$80,"&lt;&gt;Casual",$M$2:$M$80,M76),"BELOW PERM","")),"")</f>
        <v/>
      </c>
      <c r="R76" s="17" t="str">
        <f aca="false">IF(OR(L76="None",N76=""),"CHECK","")</f>
        <v/>
      </c>
      <c r="S76" s="17" t="str">
        <f aca="false">IF(AND(ISNUMBER(SEARCH("OFFICE",K76)),ISNUMBER(SEARCH("Production",D76))),"CHECK","")</f>
        <v/>
      </c>
      <c r="T76" s="20"/>
      <c r="U76" s="21"/>
      <c r="V76" s="22" t="s">
        <v>44</v>
      </c>
      <c r="W76" s="22" t="s">
        <v>113</v>
      </c>
      <c r="X76" s="22"/>
      <c r="Y76" s="22"/>
      <c r="Z76" s="22"/>
      <c r="AA76" s="22" t="s">
        <v>85</v>
      </c>
    </row>
    <row r="77" customFormat="false" ht="15" hidden="false" customHeight="true" outlineLevel="0" collapsed="false">
      <c r="A77" s="17" t="s">
        <v>361</v>
      </c>
      <c r="B77" s="17" t="s">
        <v>362</v>
      </c>
      <c r="C77" s="17" t="s">
        <v>118</v>
      </c>
      <c r="D77" s="17" t="s">
        <v>88</v>
      </c>
      <c r="E77" s="17" t="s">
        <v>151</v>
      </c>
      <c r="F77" s="17" t="s">
        <v>98</v>
      </c>
      <c r="G77" s="18" t="n">
        <v>40.5649</v>
      </c>
      <c r="H77" s="17" t="s">
        <v>80</v>
      </c>
      <c r="I77" s="19" t="n">
        <v>43255</v>
      </c>
      <c r="J77" s="17" t="s">
        <v>363</v>
      </c>
      <c r="K77" s="17" t="s">
        <v>364</v>
      </c>
      <c r="L77" s="17" t="s">
        <v>120</v>
      </c>
      <c r="M77" s="17" t="n">
        <f aca="false">IFERROR(VALUE(RIGHT(D77,1)),"")</f>
        <v>6</v>
      </c>
      <c r="N77" s="17" t="str">
        <f aca="false">IFERROR(LOOKUP(2,1/ISNUMBER(SEARCH(" "&amp;{"NSW","QLD","VIC","SA","WA","TAS","ACT","NT"}&amp;" "," "&amp;L77&amp;" ")),{"NSW","QLD","VIC","SA","WA","TAS","ACT","NT"}),"")</f>
        <v>NSW</v>
      </c>
      <c r="O77" s="17" t="str">
        <f aca="false">IF(E77="None","NO AGREEMENT",IF(LEFT(E77,6)="Casual",IF(C77="Casual","","MISMATCH"),IF(C77="Casual","MISMATCH","")))</f>
        <v/>
      </c>
      <c r="P77" s="17" t="str">
        <f aca="false">IF(LEFT(L77,6)="Casual",IF(C77="Casual","","MISMATCH"),IF(LEFT(L77,9)="Permanent",IF(C77="Casual","MISMATCH",""),""))</f>
        <v/>
      </c>
      <c r="Q77" s="17" t="str">
        <f aca="false">IF(AND(C77="Casual",M77&lt;&gt;""),IF(COUNTIFS($C$2:$C$80,"&lt;&gt;Casual",$M$2:$M$80,M77)=0,"NO PERM TO COMPARE",IF(G77&lt;_xlfn.MINIFS($G$2:$G$80,$C$2:$C$80,"&lt;&gt;Casual",$M$2:$M$80,M77),"BELOW PERM","")),"")</f>
        <v/>
      </c>
      <c r="R77" s="17" t="str">
        <f aca="false">IF(OR(L77="None",N77=""),"CHECK","")</f>
        <v/>
      </c>
      <c r="S77" s="17" t="str">
        <f aca="false">IF(AND(ISNUMBER(SEARCH("OFFICE",K77)),ISNUMBER(SEARCH("Production",D77))),"CHECK","")</f>
        <v/>
      </c>
      <c r="T77" s="20"/>
      <c r="U77" s="21"/>
      <c r="V77" s="22" t="s">
        <v>44</v>
      </c>
      <c r="W77" s="22" t="s">
        <v>93</v>
      </c>
      <c r="X77" s="22"/>
      <c r="Y77" s="22"/>
      <c r="Z77" s="22"/>
      <c r="AA77" s="22" t="s">
        <v>85</v>
      </c>
    </row>
    <row r="78" customFormat="false" ht="15" hidden="false" customHeight="true" outlineLevel="0" collapsed="false">
      <c r="A78" s="17" t="s">
        <v>365</v>
      </c>
      <c r="B78" s="17" t="s">
        <v>366</v>
      </c>
      <c r="C78" s="17" t="s">
        <v>76</v>
      </c>
      <c r="D78" s="17" t="s">
        <v>109</v>
      </c>
      <c r="E78" s="17" t="s">
        <v>110</v>
      </c>
      <c r="F78" s="17" t="s">
        <v>79</v>
      </c>
      <c r="G78" s="18" t="n">
        <v>30</v>
      </c>
      <c r="H78" s="17" t="s">
        <v>80</v>
      </c>
      <c r="I78" s="19" t="n">
        <v>45859</v>
      </c>
      <c r="J78" s="17" t="s">
        <v>81</v>
      </c>
      <c r="K78" s="17" t="s">
        <v>367</v>
      </c>
      <c r="L78" s="17" t="s">
        <v>112</v>
      </c>
      <c r="M78" s="17" t="n">
        <f aca="false">IFERROR(VALUE(RIGHT(D78,1)),"")</f>
        <v>4</v>
      </c>
      <c r="N78" s="17" t="str">
        <f aca="false">IFERROR(LOOKUP(2,1/ISNUMBER(SEARCH(" "&amp;{"NSW","QLD","VIC","SA","WA","TAS","ACT","NT"}&amp;" "," "&amp;L78&amp;" ")),{"NSW","QLD","VIC","SA","WA","TAS","ACT","NT"}),"")</f>
        <v>VIC</v>
      </c>
      <c r="O78" s="17" t="str">
        <f aca="false">IF(E78="None","NO AGREEMENT",IF(LEFT(E78,6)="Casual",IF(C78="Casual","","MISMATCH"),IF(C78="Casual","MISMATCH","")))</f>
        <v/>
      </c>
      <c r="P78" s="17" t="str">
        <f aca="false">IF(LEFT(L78,6)="Casual",IF(C78="Casual","","MISMATCH"),IF(LEFT(L78,9)="Permanent",IF(C78="Casual","MISMATCH",""),""))</f>
        <v/>
      </c>
      <c r="Q78" s="17" t="str">
        <f aca="false">IF(AND(C78="Casual",M78&lt;&gt;""),IF(COUNTIFS($C$2:$C$80,"&lt;&gt;Casual",$M$2:$M$80,M78)=0,"NO PERM TO COMPARE",IF(G78&lt;_xlfn.MINIFS($G$2:$G$80,$C$2:$C$80,"&lt;&gt;Casual",$M$2:$M$80,M78),"BELOW PERM","")),"")</f>
        <v>BELOW PERM</v>
      </c>
      <c r="R78" s="17" t="str">
        <f aca="false">IF(OR(L78="None",N78=""),"CHECK","")</f>
        <v/>
      </c>
      <c r="S78" s="17" t="str">
        <f aca="false">IF(AND(ISNUMBER(SEARCH("OFFICE",K78)),ISNUMBER(SEARCH("Production",D78))),"CHECK","")</f>
        <v/>
      </c>
      <c r="T78" s="20"/>
      <c r="U78" s="21"/>
      <c r="V78" s="22" t="s">
        <v>44</v>
      </c>
      <c r="W78" s="22" t="s">
        <v>113</v>
      </c>
      <c r="X78" s="22"/>
      <c r="Y78" s="22"/>
      <c r="Z78" s="22"/>
      <c r="AA78" s="22" t="s">
        <v>85</v>
      </c>
    </row>
    <row r="79" customFormat="false" ht="28.5" hidden="false" customHeight="true" outlineLevel="0" collapsed="false">
      <c r="A79" s="17" t="s">
        <v>368</v>
      </c>
      <c r="B79" s="17" t="s">
        <v>369</v>
      </c>
      <c r="C79" s="17" t="s">
        <v>76</v>
      </c>
      <c r="D79" s="17" t="s">
        <v>191</v>
      </c>
      <c r="E79" s="17" t="s">
        <v>212</v>
      </c>
      <c r="F79" s="17" t="s">
        <v>79</v>
      </c>
      <c r="G79" s="18" t="n">
        <v>28.89</v>
      </c>
      <c r="H79" s="17" t="s">
        <v>80</v>
      </c>
      <c r="I79" s="19" t="n">
        <v>46195</v>
      </c>
      <c r="J79" s="17" t="s">
        <v>191</v>
      </c>
      <c r="K79" s="17" t="s">
        <v>257</v>
      </c>
      <c r="L79" s="17" t="s">
        <v>112</v>
      </c>
      <c r="M79" s="17" t="n">
        <f aca="false">IFERROR(VALUE(RIGHT(D79,1)),"")</f>
        <v>3</v>
      </c>
      <c r="N79" s="17" t="str">
        <f aca="false">IFERROR(LOOKUP(2,1/ISNUMBER(SEARCH(" "&amp;{"NSW","QLD","VIC","SA","WA","TAS","ACT","NT"}&amp;" "," "&amp;L79&amp;" ")),{"NSW","QLD","VIC","SA","WA","TAS","ACT","NT"}),"")</f>
        <v>VIC</v>
      </c>
      <c r="O79" s="17" t="str">
        <f aca="false">IF(E79="None","NO AGREEMENT",IF(LEFT(E79,6)="Casual",IF(C79="Casual","","MISMATCH"),IF(C79="Casual","MISMATCH","")))</f>
        <v/>
      </c>
      <c r="P79" s="17" t="str">
        <f aca="false">IF(LEFT(L79,6)="Casual",IF(C79="Casual","","MISMATCH"),IF(LEFT(L79,9)="Permanent",IF(C79="Casual","MISMATCH",""),""))</f>
        <v/>
      </c>
      <c r="Q79" s="17" t="str">
        <f aca="false">IF(AND(C79="Casual",M79&lt;&gt;""),IF(COUNTIFS($C$2:$C$80,"&lt;&gt;Casual",$M$2:$M$80,M79)=0,"NO PERM TO COMPARE",IF(G79&lt;_xlfn.MINIFS($G$2:$G$80,$C$2:$C$80,"&lt;&gt;Casual",$M$2:$M$80,M79),"BELOW PERM","")),"")</f>
        <v>BELOW PERM</v>
      </c>
      <c r="R79" s="17" t="str">
        <f aca="false">IF(OR(L79="None",N79=""),"CHECK","")</f>
        <v/>
      </c>
      <c r="S79" s="17" t="str">
        <f aca="false">IF(AND(ISNUMBER(SEARCH("OFFICE",K79)),ISNUMBER(SEARCH("Production",D79))),"CHECK","")</f>
        <v/>
      </c>
      <c r="T79" s="25" t="s">
        <v>147</v>
      </c>
      <c r="U79" s="21" t="s">
        <v>370</v>
      </c>
      <c r="V79" s="22" t="s">
        <v>44</v>
      </c>
      <c r="W79" s="22" t="s">
        <v>214</v>
      </c>
      <c r="X79" s="22"/>
      <c r="Y79" s="22"/>
      <c r="Z79" s="22"/>
      <c r="AA79" s="22" t="s">
        <v>85</v>
      </c>
    </row>
    <row r="80" customFormat="false" ht="28.5" hidden="false" customHeight="true" outlineLevel="0" collapsed="false">
      <c r="A80" s="17" t="s">
        <v>371</v>
      </c>
      <c r="B80" s="17" t="s">
        <v>372</v>
      </c>
      <c r="C80" s="17" t="s">
        <v>76</v>
      </c>
      <c r="D80" s="17" t="s">
        <v>77</v>
      </c>
      <c r="E80" s="17" t="s">
        <v>78</v>
      </c>
      <c r="F80" s="17" t="s">
        <v>79</v>
      </c>
      <c r="G80" s="18" t="n">
        <v>29</v>
      </c>
      <c r="H80" s="17" t="s">
        <v>80</v>
      </c>
      <c r="I80" s="19" t="n">
        <v>45859</v>
      </c>
      <c r="J80" s="17" t="s">
        <v>81</v>
      </c>
      <c r="K80" s="17" t="s">
        <v>247</v>
      </c>
      <c r="L80" s="17" t="s">
        <v>112</v>
      </c>
      <c r="M80" s="17" t="n">
        <f aca="false">IFERROR(VALUE(RIGHT(D80,1)),"")</f>
        <v>5</v>
      </c>
      <c r="N80" s="17" t="str">
        <f aca="false">IFERROR(LOOKUP(2,1/ISNUMBER(SEARCH(" "&amp;{"NSW","QLD","VIC","SA","WA","TAS","ACT","NT"}&amp;" "," "&amp;L80&amp;" ")),{"NSW","QLD","VIC","SA","WA","TAS","ACT","NT"}),"")</f>
        <v>VIC</v>
      </c>
      <c r="O80" s="17" t="str">
        <f aca="false">IF(E80="None","NO AGREEMENT",IF(LEFT(E80,6)="Casual",IF(C80="Casual","","MISMATCH"),IF(C80="Casual","MISMATCH","")))</f>
        <v/>
      </c>
      <c r="P80" s="17" t="str">
        <f aca="false">IF(LEFT(L80,6)="Casual",IF(C80="Casual","","MISMATCH"),IF(LEFT(L80,9)="Permanent",IF(C80="Casual","MISMATCH",""),""))</f>
        <v/>
      </c>
      <c r="Q80" s="17" t="str">
        <f aca="false">IF(AND(C80="Casual",M80&lt;&gt;""),IF(COUNTIFS($C$2:$C$80,"&lt;&gt;Casual",$M$2:$M$80,M80)=0,"NO PERM TO COMPARE",IF(G80&lt;_xlfn.MINIFS($G$2:$G$80,$C$2:$C$80,"&lt;&gt;Casual",$M$2:$M$80,M80),"BELOW PERM","")),"")</f>
        <v>BELOW PERM</v>
      </c>
      <c r="R80" s="17" t="str">
        <f aca="false">IF(OR(L80="None",N80=""),"CHECK","")</f>
        <v/>
      </c>
      <c r="S80" s="17" t="str">
        <f aca="false">IF(AND(ISNUMBER(SEARCH("OFFICE",K80)),ISNUMBER(SEARCH("Production",D80))),"CHECK","")</f>
        <v/>
      </c>
      <c r="T80" s="25" t="s">
        <v>147</v>
      </c>
      <c r="U80" s="21" t="s">
        <v>302</v>
      </c>
      <c r="V80" s="22" t="s">
        <v>44</v>
      </c>
      <c r="W80" s="22" t="s">
        <v>84</v>
      </c>
      <c r="X80" s="22"/>
      <c r="Y80" s="22"/>
      <c r="Z80" s="22"/>
      <c r="AA80" s="22" t="s">
        <v>85</v>
      </c>
    </row>
    <row r="82" customFormat="false" ht="15" hidden="false" customHeight="true" outlineLevel="0" collapsed="false">
      <c r="A82" s="8"/>
    </row>
    <row r="83" customFormat="false" ht="15" hidden="false" customHeight="true" outlineLevel="0" collapsed="false">
      <c r="A83" s="8"/>
    </row>
  </sheetData>
  <autoFilter ref="A1:AA80"/>
  <dataValidations count="2">
    <dataValidation allowBlank="true" errorStyle="stop" operator="between" showDropDown="false" showErrorMessage="false" showInputMessage="false" sqref="T2:T80" type="list">
      <formula1>"High,Medium,Low"</formula1>
      <formula2>0</formula2>
    </dataValidation>
    <dataValidation allowBlank="true" errorStyle="stop" operator="between" showDropDown="false" showErrorMessage="false" showInputMessage="false" sqref="V2:V80" type="list">
      <formula1>"MA000025 Electrical,MA000002 Clerks,Award-free,Enterprise agreement,Other - 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6" activeCellId="0" sqref="G26"/>
    </sheetView>
  </sheetViews>
  <sheetFormatPr defaultColWidth="8.71484375" defaultRowHeight="15" zeroHeight="false" outlineLevelRow="0" outlineLevelCol="0"/>
  <cols>
    <col collapsed="false" customWidth="true" hidden="false" outlineLevel="0" max="1" min="1" style="6" width="12.71"/>
    <col collapsed="false" customWidth="true" hidden="false" outlineLevel="0" max="2" min="2" style="6" width="24.42"/>
    <col collapsed="false" customWidth="true" hidden="false" outlineLevel="0" max="3" min="3" style="6" width="18.14"/>
    <col collapsed="false" customWidth="true" hidden="false" outlineLevel="0" max="4" min="4" style="6" width="35"/>
    <col collapsed="false" customWidth="true" hidden="false" outlineLevel="0" max="5" min="5" style="6" width="47.57"/>
    <col collapsed="false" customWidth="true" hidden="false" outlineLevel="0" max="6" min="6" style="6" width="26.57"/>
    <col collapsed="false" customWidth="true" hidden="false" outlineLevel="0" max="7" min="7" style="6" width="20.42"/>
    <col collapsed="false" customWidth="true" hidden="false" outlineLevel="0" max="8" min="8" style="6" width="19.57"/>
    <col collapsed="false" customWidth="true" hidden="false" outlineLevel="0" max="9" min="9" style="6" width="15.42"/>
    <col collapsed="false" customWidth="true" hidden="false" outlineLevel="0" max="10" min="10" style="6" width="19.29"/>
    <col collapsed="false" customWidth="true" hidden="false" outlineLevel="0" max="11" min="11" style="6" width="42.14"/>
    <col collapsed="false" customWidth="true" hidden="false" outlineLevel="0" max="12" min="12" style="6" width="44.42"/>
    <col collapsed="false" customWidth="true" hidden="false" outlineLevel="0" max="13" min="13" style="6" width="30.43"/>
  </cols>
  <sheetData>
    <row r="1" customFormat="false" ht="15" hidden="false" customHeight="true" outlineLevel="0" collapsed="false">
      <c r="A1" s="26" t="s">
        <v>47</v>
      </c>
      <c r="B1" s="26" t="s">
        <v>48</v>
      </c>
      <c r="C1" s="26" t="s">
        <v>49</v>
      </c>
      <c r="D1" s="26" t="s">
        <v>50</v>
      </c>
      <c r="E1" s="26" t="s">
        <v>51</v>
      </c>
      <c r="F1" s="26" t="s">
        <v>52</v>
      </c>
      <c r="G1" s="26" t="s">
        <v>373</v>
      </c>
      <c r="H1" s="26" t="s">
        <v>374</v>
      </c>
      <c r="I1" s="26" t="s">
        <v>54</v>
      </c>
      <c r="J1" s="26" t="s">
        <v>55</v>
      </c>
      <c r="K1" s="26" t="s">
        <v>56</v>
      </c>
      <c r="L1" s="26" t="s">
        <v>57</v>
      </c>
      <c r="M1" s="26" t="s">
        <v>58</v>
      </c>
    </row>
    <row r="2" customFormat="false" ht="15" hidden="false" customHeight="true" outlineLevel="0" collapsed="false">
      <c r="A2" s="26" t="s">
        <v>74</v>
      </c>
      <c r="B2" s="26" t="s">
        <v>75</v>
      </c>
      <c r="C2" s="26" t="s">
        <v>76</v>
      </c>
      <c r="D2" s="26" t="s">
        <v>77</v>
      </c>
      <c r="E2" s="26" t="s">
        <v>78</v>
      </c>
      <c r="F2" s="26" t="s">
        <v>79</v>
      </c>
      <c r="G2" s="26" t="s">
        <v>375</v>
      </c>
      <c r="H2" s="26" t="s">
        <v>376</v>
      </c>
      <c r="I2" s="26" t="s">
        <v>80</v>
      </c>
      <c r="J2" s="27" t="n">
        <v>44453</v>
      </c>
      <c r="K2" s="26" t="s">
        <v>81</v>
      </c>
      <c r="L2" s="26" t="s">
        <v>82</v>
      </c>
      <c r="M2" s="26" t="s">
        <v>83</v>
      </c>
    </row>
    <row r="3" customFormat="false" ht="15" hidden="false" customHeight="true" outlineLevel="0" collapsed="false">
      <c r="A3" s="26" t="s">
        <v>86</v>
      </c>
      <c r="B3" s="26" t="s">
        <v>87</v>
      </c>
      <c r="C3" s="26" t="s">
        <v>76</v>
      </c>
      <c r="D3" s="26" t="s">
        <v>88</v>
      </c>
      <c r="E3" s="26" t="s">
        <v>89</v>
      </c>
      <c r="F3" s="26" t="s">
        <v>79</v>
      </c>
      <c r="G3" s="26" t="s">
        <v>377</v>
      </c>
      <c r="H3" s="26" t="s">
        <v>378</v>
      </c>
      <c r="I3" s="26" t="s">
        <v>80</v>
      </c>
      <c r="J3" s="27" t="n">
        <v>43696</v>
      </c>
      <c r="K3" s="26" t="s">
        <v>90</v>
      </c>
      <c r="L3" s="26" t="s">
        <v>91</v>
      </c>
      <c r="M3" s="26" t="s">
        <v>92</v>
      </c>
    </row>
    <row r="4" customFormat="false" ht="15" hidden="false" customHeight="true" outlineLevel="0" collapsed="false">
      <c r="A4" s="26" t="s">
        <v>94</v>
      </c>
      <c r="B4" s="26" t="s">
        <v>95</v>
      </c>
      <c r="C4" s="26" t="s">
        <v>96</v>
      </c>
      <c r="D4" s="26" t="s">
        <v>77</v>
      </c>
      <c r="E4" s="26" t="s">
        <v>97</v>
      </c>
      <c r="F4" s="26" t="s">
        <v>98</v>
      </c>
      <c r="G4" s="26" t="s">
        <v>379</v>
      </c>
      <c r="H4" s="26" t="s">
        <v>380</v>
      </c>
      <c r="I4" s="26" t="s">
        <v>80</v>
      </c>
      <c r="J4" s="27" t="n">
        <v>45803</v>
      </c>
      <c r="K4" s="26" t="s">
        <v>99</v>
      </c>
      <c r="L4" s="26" t="s">
        <v>91</v>
      </c>
      <c r="M4" s="26" t="s">
        <v>92</v>
      </c>
    </row>
    <row r="5" customFormat="false" ht="15" hidden="false" customHeight="true" outlineLevel="0" collapsed="false">
      <c r="A5" s="26" t="s">
        <v>102</v>
      </c>
      <c r="B5" s="26" t="s">
        <v>103</v>
      </c>
      <c r="C5" s="26" t="s">
        <v>76</v>
      </c>
      <c r="D5" s="26" t="s">
        <v>88</v>
      </c>
      <c r="E5" s="26" t="s">
        <v>89</v>
      </c>
      <c r="F5" s="26" t="s">
        <v>79</v>
      </c>
      <c r="G5" s="26" t="s">
        <v>381</v>
      </c>
      <c r="H5" s="26" t="s">
        <v>382</v>
      </c>
      <c r="I5" s="26" t="s">
        <v>80</v>
      </c>
      <c r="J5" s="27" t="n">
        <v>44858</v>
      </c>
      <c r="K5" s="26" t="s">
        <v>104</v>
      </c>
      <c r="L5" s="26" t="s">
        <v>91</v>
      </c>
      <c r="M5" s="26" t="s">
        <v>92</v>
      </c>
    </row>
    <row r="6" customFormat="false" ht="15" hidden="false" customHeight="true" outlineLevel="0" collapsed="false">
      <c r="A6" s="26" t="s">
        <v>105</v>
      </c>
      <c r="B6" s="26" t="s">
        <v>106</v>
      </c>
      <c r="C6" s="26" t="s">
        <v>76</v>
      </c>
      <c r="D6" s="26" t="s">
        <v>77</v>
      </c>
      <c r="E6" s="26" t="s">
        <v>78</v>
      </c>
      <c r="F6" s="26" t="s">
        <v>79</v>
      </c>
      <c r="G6" s="26" t="s">
        <v>383</v>
      </c>
      <c r="H6" s="26" t="s">
        <v>384</v>
      </c>
      <c r="I6" s="26" t="s">
        <v>80</v>
      </c>
      <c r="J6" s="27" t="n">
        <v>46055</v>
      </c>
      <c r="K6" s="26" t="s">
        <v>99</v>
      </c>
      <c r="L6" s="26" t="s">
        <v>91</v>
      </c>
      <c r="M6" s="26" t="s">
        <v>92</v>
      </c>
    </row>
    <row r="7" customFormat="false" ht="15" hidden="false" customHeight="true" outlineLevel="0" collapsed="false">
      <c r="A7" s="26" t="s">
        <v>107</v>
      </c>
      <c r="B7" s="26" t="s">
        <v>108</v>
      </c>
      <c r="C7" s="26" t="s">
        <v>76</v>
      </c>
      <c r="D7" s="26" t="s">
        <v>109</v>
      </c>
      <c r="E7" s="26" t="s">
        <v>110</v>
      </c>
      <c r="F7" s="26" t="s">
        <v>79</v>
      </c>
      <c r="G7" s="26" t="s">
        <v>385</v>
      </c>
      <c r="H7" s="26" t="s">
        <v>386</v>
      </c>
      <c r="I7" s="26" t="s">
        <v>80</v>
      </c>
      <c r="J7" s="27" t="n">
        <v>45747</v>
      </c>
      <c r="K7" s="26" t="s">
        <v>81</v>
      </c>
      <c r="L7" s="26" t="s">
        <v>111</v>
      </c>
      <c r="M7" s="26" t="s">
        <v>112</v>
      </c>
    </row>
    <row r="8" customFormat="false" ht="15" hidden="false" customHeight="true" outlineLevel="0" collapsed="false">
      <c r="A8" s="26" t="s">
        <v>114</v>
      </c>
      <c r="B8" s="26" t="s">
        <v>115</v>
      </c>
      <c r="C8" s="26" t="s">
        <v>76</v>
      </c>
      <c r="D8" s="26" t="s">
        <v>88</v>
      </c>
      <c r="E8" s="26" t="s">
        <v>89</v>
      </c>
      <c r="F8" s="26" t="s">
        <v>79</v>
      </c>
      <c r="G8" s="26" t="s">
        <v>387</v>
      </c>
      <c r="H8" s="26" t="s">
        <v>388</v>
      </c>
      <c r="I8" s="26" t="s">
        <v>80</v>
      </c>
      <c r="J8" s="27" t="n">
        <v>46055</v>
      </c>
      <c r="K8" s="26" t="s">
        <v>81</v>
      </c>
      <c r="L8" s="26" t="s">
        <v>91</v>
      </c>
      <c r="M8" s="26" t="s">
        <v>92</v>
      </c>
    </row>
    <row r="9" customFormat="false" ht="15" hidden="false" customHeight="true" outlineLevel="0" collapsed="false">
      <c r="A9" s="26" t="s">
        <v>116</v>
      </c>
      <c r="B9" s="26" t="s">
        <v>117</v>
      </c>
      <c r="C9" s="26" t="s">
        <v>118</v>
      </c>
      <c r="D9" s="26" t="s">
        <v>77</v>
      </c>
      <c r="E9" s="26" t="s">
        <v>97</v>
      </c>
      <c r="F9" s="26" t="s">
        <v>98</v>
      </c>
      <c r="G9" s="26" t="s">
        <v>389</v>
      </c>
      <c r="H9" s="26" t="s">
        <v>390</v>
      </c>
      <c r="I9" s="26" t="s">
        <v>80</v>
      </c>
      <c r="J9" s="27" t="n">
        <v>44971</v>
      </c>
      <c r="K9" s="26" t="s">
        <v>119</v>
      </c>
      <c r="L9" s="26" t="s">
        <v>91</v>
      </c>
      <c r="M9" s="26" t="s">
        <v>120</v>
      </c>
    </row>
    <row r="10" customFormat="false" ht="15" hidden="false" customHeight="true" outlineLevel="0" collapsed="false">
      <c r="A10" s="26" t="s">
        <v>121</v>
      </c>
      <c r="B10" s="26" t="s">
        <v>122</v>
      </c>
      <c r="C10" s="26" t="s">
        <v>76</v>
      </c>
      <c r="D10" s="26" t="s">
        <v>109</v>
      </c>
      <c r="E10" s="26" t="s">
        <v>110</v>
      </c>
      <c r="F10" s="26" t="s">
        <v>79</v>
      </c>
      <c r="G10" s="26" t="s">
        <v>385</v>
      </c>
      <c r="H10" s="26" t="s">
        <v>386</v>
      </c>
      <c r="I10" s="26" t="s">
        <v>80</v>
      </c>
      <c r="J10" s="27" t="n">
        <v>45924</v>
      </c>
      <c r="K10" s="26" t="s">
        <v>81</v>
      </c>
      <c r="L10" s="26" t="s">
        <v>123</v>
      </c>
      <c r="M10" s="26" t="s">
        <v>124</v>
      </c>
    </row>
    <row r="11" customFormat="false" ht="15" hidden="false" customHeight="true" outlineLevel="0" collapsed="false">
      <c r="A11" s="26" t="s">
        <v>125</v>
      </c>
      <c r="B11" s="26" t="s">
        <v>126</v>
      </c>
      <c r="C11" s="26" t="s">
        <v>118</v>
      </c>
      <c r="D11" s="26" t="s">
        <v>77</v>
      </c>
      <c r="E11" s="26" t="s">
        <v>97</v>
      </c>
      <c r="F11" s="26" t="s">
        <v>98</v>
      </c>
      <c r="G11" s="26" t="s">
        <v>391</v>
      </c>
      <c r="H11" s="26" t="s">
        <v>392</v>
      </c>
      <c r="I11" s="26" t="s">
        <v>80</v>
      </c>
      <c r="J11" s="27" t="n">
        <v>44742</v>
      </c>
      <c r="K11" s="26" t="s">
        <v>127</v>
      </c>
      <c r="L11" s="26" t="s">
        <v>111</v>
      </c>
      <c r="M11" s="26" t="s">
        <v>128</v>
      </c>
    </row>
    <row r="12" customFormat="false" ht="15" hidden="false" customHeight="true" outlineLevel="0" collapsed="false">
      <c r="A12" s="26" t="s">
        <v>129</v>
      </c>
      <c r="B12" s="26" t="s">
        <v>130</v>
      </c>
      <c r="C12" s="26" t="s">
        <v>76</v>
      </c>
      <c r="D12" s="26" t="s">
        <v>109</v>
      </c>
      <c r="E12" s="26" t="s">
        <v>110</v>
      </c>
      <c r="F12" s="26" t="s">
        <v>79</v>
      </c>
      <c r="G12" s="26" t="s">
        <v>385</v>
      </c>
      <c r="H12" s="26" t="s">
        <v>386</v>
      </c>
      <c r="I12" s="26" t="s">
        <v>80</v>
      </c>
      <c r="J12" s="27" t="n">
        <v>45202</v>
      </c>
      <c r="K12" s="26" t="s">
        <v>81</v>
      </c>
      <c r="L12" s="26" t="s">
        <v>91</v>
      </c>
      <c r="M12" s="26" t="s">
        <v>92</v>
      </c>
    </row>
    <row r="13" customFormat="false" ht="15" hidden="false" customHeight="true" outlineLevel="0" collapsed="false">
      <c r="A13" s="26" t="s">
        <v>131</v>
      </c>
      <c r="B13" s="26" t="s">
        <v>132</v>
      </c>
      <c r="C13" s="26" t="s">
        <v>76</v>
      </c>
      <c r="D13" s="26" t="s">
        <v>77</v>
      </c>
      <c r="E13" s="26" t="s">
        <v>78</v>
      </c>
      <c r="F13" s="26" t="s">
        <v>79</v>
      </c>
      <c r="G13" s="26" t="s">
        <v>393</v>
      </c>
      <c r="H13" s="26" t="s">
        <v>394</v>
      </c>
      <c r="I13" s="26" t="s">
        <v>80</v>
      </c>
      <c r="J13" s="27" t="n">
        <v>46230</v>
      </c>
      <c r="K13" s="26" t="s">
        <v>81</v>
      </c>
      <c r="L13" s="26" t="s">
        <v>133</v>
      </c>
      <c r="M13" s="26" t="s">
        <v>92</v>
      </c>
    </row>
    <row r="14" customFormat="false" ht="15" hidden="false" customHeight="true" outlineLevel="0" collapsed="false">
      <c r="A14" s="26" t="s">
        <v>136</v>
      </c>
      <c r="B14" s="26" t="s">
        <v>137</v>
      </c>
      <c r="C14" s="26" t="s">
        <v>118</v>
      </c>
      <c r="D14" s="26" t="s">
        <v>109</v>
      </c>
      <c r="E14" s="26" t="s">
        <v>138</v>
      </c>
      <c r="F14" s="26" t="s">
        <v>98</v>
      </c>
      <c r="G14" s="26" t="s">
        <v>395</v>
      </c>
      <c r="H14" s="26" t="s">
        <v>396</v>
      </c>
      <c r="I14" s="26" t="s">
        <v>80</v>
      </c>
      <c r="J14" s="27" t="n">
        <v>45586</v>
      </c>
      <c r="K14" s="26" t="s">
        <v>139</v>
      </c>
      <c r="L14" s="26" t="s">
        <v>140</v>
      </c>
      <c r="M14" s="26" t="s">
        <v>120</v>
      </c>
    </row>
    <row r="15" customFormat="false" ht="15" hidden="false" customHeight="true" outlineLevel="0" collapsed="false">
      <c r="A15" s="26" t="s">
        <v>141</v>
      </c>
      <c r="B15" s="26" t="s">
        <v>142</v>
      </c>
      <c r="C15" s="26" t="s">
        <v>76</v>
      </c>
      <c r="D15" s="26" t="s">
        <v>77</v>
      </c>
      <c r="E15" s="26" t="s">
        <v>78</v>
      </c>
      <c r="F15" s="26" t="s">
        <v>79</v>
      </c>
      <c r="G15" s="26" t="s">
        <v>397</v>
      </c>
      <c r="H15" s="26" t="s">
        <v>398</v>
      </c>
      <c r="I15" s="26" t="s">
        <v>80</v>
      </c>
      <c r="J15" s="27" t="n">
        <v>46307</v>
      </c>
      <c r="K15" s="26" t="s">
        <v>99</v>
      </c>
      <c r="L15" s="26" t="s">
        <v>91</v>
      </c>
      <c r="M15" s="26" t="s">
        <v>92</v>
      </c>
    </row>
    <row r="16" customFormat="false" ht="15" hidden="false" customHeight="true" outlineLevel="0" collapsed="false">
      <c r="A16" s="26" t="s">
        <v>143</v>
      </c>
      <c r="B16" s="26" t="s">
        <v>144</v>
      </c>
      <c r="C16" s="26" t="s">
        <v>76</v>
      </c>
      <c r="D16" s="26" t="s">
        <v>88</v>
      </c>
      <c r="E16" s="26" t="s">
        <v>89</v>
      </c>
      <c r="F16" s="26" t="s">
        <v>79</v>
      </c>
      <c r="G16" s="26" t="s">
        <v>399</v>
      </c>
      <c r="H16" s="26" t="s">
        <v>400</v>
      </c>
      <c r="I16" s="26" t="s">
        <v>80</v>
      </c>
      <c r="J16" s="27" t="n">
        <v>46307</v>
      </c>
      <c r="K16" s="26" t="s">
        <v>145</v>
      </c>
      <c r="L16" s="26" t="s">
        <v>91</v>
      </c>
      <c r="M16" s="26" t="s">
        <v>146</v>
      </c>
    </row>
    <row r="17" customFormat="false" ht="15" hidden="false" customHeight="true" outlineLevel="0" collapsed="false">
      <c r="A17" s="26" t="s">
        <v>149</v>
      </c>
      <c r="B17" s="26" t="s">
        <v>150</v>
      </c>
      <c r="C17" s="26" t="s">
        <v>76</v>
      </c>
      <c r="D17" s="26" t="s">
        <v>88</v>
      </c>
      <c r="E17" s="26" t="s">
        <v>151</v>
      </c>
      <c r="F17" s="26" t="s">
        <v>98</v>
      </c>
      <c r="G17" s="26" t="s">
        <v>401</v>
      </c>
      <c r="H17" s="26" t="s">
        <v>402</v>
      </c>
      <c r="I17" s="26" t="s">
        <v>80</v>
      </c>
      <c r="J17" s="27" t="n">
        <v>45250</v>
      </c>
      <c r="K17" s="26" t="s">
        <v>139</v>
      </c>
      <c r="L17" s="26" t="s">
        <v>91</v>
      </c>
      <c r="M17" s="26" t="s">
        <v>92</v>
      </c>
    </row>
    <row r="18" customFormat="false" ht="15" hidden="false" customHeight="true" outlineLevel="0" collapsed="false">
      <c r="A18" s="26" t="s">
        <v>153</v>
      </c>
      <c r="B18" s="26" t="s">
        <v>154</v>
      </c>
      <c r="C18" s="26" t="s">
        <v>118</v>
      </c>
      <c r="D18" s="26"/>
      <c r="E18" s="26" t="s">
        <v>155</v>
      </c>
      <c r="F18" s="26" t="s">
        <v>98</v>
      </c>
      <c r="G18" s="26" t="s">
        <v>403</v>
      </c>
      <c r="H18" s="26" t="s">
        <v>404</v>
      </c>
      <c r="I18" s="26" t="s">
        <v>80</v>
      </c>
      <c r="J18" s="27" t="n">
        <v>46253</v>
      </c>
      <c r="K18" s="26" t="s">
        <v>156</v>
      </c>
      <c r="L18" s="26" t="s">
        <v>157</v>
      </c>
      <c r="M18" s="26" t="s">
        <v>120</v>
      </c>
    </row>
    <row r="19" customFormat="false" ht="15" hidden="false" customHeight="true" outlineLevel="0" collapsed="false">
      <c r="A19" s="26" t="s">
        <v>161</v>
      </c>
      <c r="B19" s="26" t="s">
        <v>162</v>
      </c>
      <c r="C19" s="26" t="s">
        <v>118</v>
      </c>
      <c r="D19" s="26" t="s">
        <v>88</v>
      </c>
      <c r="E19" s="26" t="s">
        <v>151</v>
      </c>
      <c r="F19" s="26" t="s">
        <v>98</v>
      </c>
      <c r="G19" s="26" t="s">
        <v>405</v>
      </c>
      <c r="H19" s="26" t="s">
        <v>406</v>
      </c>
      <c r="I19" s="26" t="s">
        <v>80</v>
      </c>
      <c r="J19" s="27" t="n">
        <v>41484</v>
      </c>
      <c r="K19" s="26" t="s">
        <v>163</v>
      </c>
      <c r="L19" s="26" t="s">
        <v>164</v>
      </c>
      <c r="M19" s="26" t="s">
        <v>120</v>
      </c>
    </row>
    <row r="20" customFormat="false" ht="15" hidden="false" customHeight="true" outlineLevel="0" collapsed="false">
      <c r="A20" s="26" t="s">
        <v>168</v>
      </c>
      <c r="B20" s="26" t="s">
        <v>169</v>
      </c>
      <c r="C20" s="26" t="s">
        <v>118</v>
      </c>
      <c r="D20" s="26" t="s">
        <v>88</v>
      </c>
      <c r="E20" s="26" t="s">
        <v>151</v>
      </c>
      <c r="F20" s="26" t="s">
        <v>98</v>
      </c>
      <c r="G20" s="26" t="s">
        <v>407</v>
      </c>
      <c r="H20" s="26" t="s">
        <v>408</v>
      </c>
      <c r="I20" s="26" t="s">
        <v>80</v>
      </c>
      <c r="J20" s="27" t="n">
        <v>44312</v>
      </c>
      <c r="K20" s="26" t="s">
        <v>170</v>
      </c>
      <c r="L20" s="26" t="s">
        <v>171</v>
      </c>
      <c r="M20" s="26" t="s">
        <v>120</v>
      </c>
    </row>
    <row r="21" customFormat="false" ht="15" hidden="false" customHeight="true" outlineLevel="0" collapsed="false">
      <c r="A21" s="26" t="s">
        <v>172</v>
      </c>
      <c r="B21" s="26" t="s">
        <v>173</v>
      </c>
      <c r="C21" s="26" t="s">
        <v>76</v>
      </c>
      <c r="D21" s="26" t="s">
        <v>109</v>
      </c>
      <c r="E21" s="26" t="s">
        <v>110</v>
      </c>
      <c r="F21" s="26" t="s">
        <v>79</v>
      </c>
      <c r="G21" s="26" t="s">
        <v>385</v>
      </c>
      <c r="H21" s="26" t="s">
        <v>386</v>
      </c>
      <c r="I21" s="26" t="s">
        <v>80</v>
      </c>
      <c r="J21" s="27" t="n">
        <v>45943</v>
      </c>
      <c r="K21" s="26" t="s">
        <v>81</v>
      </c>
      <c r="L21" s="26" t="s">
        <v>174</v>
      </c>
      <c r="M21" s="26" t="s">
        <v>124</v>
      </c>
    </row>
    <row r="22" customFormat="false" ht="15" hidden="false" customHeight="true" outlineLevel="0" collapsed="false">
      <c r="A22" s="26" t="s">
        <v>175</v>
      </c>
      <c r="B22" s="26" t="s">
        <v>176</v>
      </c>
      <c r="C22" s="26" t="s">
        <v>76</v>
      </c>
      <c r="D22" s="26" t="s">
        <v>109</v>
      </c>
      <c r="E22" s="26" t="s">
        <v>110</v>
      </c>
      <c r="F22" s="26" t="s">
        <v>79</v>
      </c>
      <c r="G22" s="26" t="s">
        <v>385</v>
      </c>
      <c r="H22" s="26" t="s">
        <v>386</v>
      </c>
      <c r="I22" s="26" t="s">
        <v>80</v>
      </c>
      <c r="J22" s="27" t="n">
        <v>46114</v>
      </c>
      <c r="K22" s="26" t="s">
        <v>81</v>
      </c>
      <c r="L22" s="26" t="s">
        <v>91</v>
      </c>
      <c r="M22" s="26" t="s">
        <v>155</v>
      </c>
    </row>
    <row r="23" customFormat="false" ht="15" hidden="false" customHeight="true" outlineLevel="0" collapsed="false">
      <c r="A23" s="26" t="s">
        <v>178</v>
      </c>
      <c r="B23" s="26" t="s">
        <v>179</v>
      </c>
      <c r="C23" s="26" t="s">
        <v>118</v>
      </c>
      <c r="D23" s="26"/>
      <c r="E23" s="26" t="s">
        <v>155</v>
      </c>
      <c r="F23" s="26" t="s">
        <v>98</v>
      </c>
      <c r="G23" s="26" t="s">
        <v>409</v>
      </c>
      <c r="H23" s="26" t="s">
        <v>410</v>
      </c>
      <c r="I23" s="26" t="s">
        <v>80</v>
      </c>
      <c r="J23" s="27" t="n">
        <v>39006</v>
      </c>
      <c r="K23" s="26" t="s">
        <v>180</v>
      </c>
      <c r="L23" s="26" t="s">
        <v>157</v>
      </c>
      <c r="M23" s="26" t="s">
        <v>181</v>
      </c>
    </row>
    <row r="24" customFormat="false" ht="15" hidden="false" customHeight="true" outlineLevel="0" collapsed="false">
      <c r="A24" s="26" t="s">
        <v>183</v>
      </c>
      <c r="B24" s="26" t="s">
        <v>184</v>
      </c>
      <c r="C24" s="26" t="s">
        <v>76</v>
      </c>
      <c r="D24" s="26" t="s">
        <v>109</v>
      </c>
      <c r="E24" s="26" t="s">
        <v>110</v>
      </c>
      <c r="F24" s="26" t="s">
        <v>79</v>
      </c>
      <c r="G24" s="26" t="s">
        <v>385</v>
      </c>
      <c r="H24" s="26" t="s">
        <v>386</v>
      </c>
      <c r="I24" s="26" t="s">
        <v>80</v>
      </c>
      <c r="J24" s="27" t="n">
        <v>45971</v>
      </c>
      <c r="K24" s="26" t="s">
        <v>81</v>
      </c>
      <c r="L24" s="26" t="s">
        <v>174</v>
      </c>
      <c r="M24" s="26" t="s">
        <v>124</v>
      </c>
    </row>
    <row r="25" customFormat="false" ht="15" hidden="false" customHeight="true" outlineLevel="0" collapsed="false">
      <c r="A25" s="26" t="s">
        <v>185</v>
      </c>
      <c r="B25" s="26" t="s">
        <v>186</v>
      </c>
      <c r="C25" s="26" t="s">
        <v>76</v>
      </c>
      <c r="D25" s="26" t="s">
        <v>109</v>
      </c>
      <c r="E25" s="26" t="s">
        <v>110</v>
      </c>
      <c r="F25" s="26" t="s">
        <v>79</v>
      </c>
      <c r="G25" s="26" t="s">
        <v>385</v>
      </c>
      <c r="H25" s="26" t="s">
        <v>386</v>
      </c>
      <c r="I25" s="26" t="s">
        <v>80</v>
      </c>
      <c r="J25" s="27" t="n">
        <v>45551</v>
      </c>
      <c r="K25" s="26" t="s">
        <v>81</v>
      </c>
      <c r="L25" s="26" t="s">
        <v>174</v>
      </c>
      <c r="M25" s="26" t="s">
        <v>124</v>
      </c>
    </row>
    <row r="26" customFormat="false" ht="15" hidden="false" customHeight="true" outlineLevel="0" collapsed="false">
      <c r="A26" s="26" t="s">
        <v>187</v>
      </c>
      <c r="B26" s="26" t="s">
        <v>188</v>
      </c>
      <c r="C26" s="26" t="s">
        <v>76</v>
      </c>
      <c r="D26" s="26" t="s">
        <v>77</v>
      </c>
      <c r="E26" s="26" t="s">
        <v>78</v>
      </c>
      <c r="F26" s="26" t="s">
        <v>79</v>
      </c>
      <c r="G26" s="26" t="s">
        <v>411</v>
      </c>
      <c r="H26" s="26" t="s">
        <v>412</v>
      </c>
      <c r="I26" s="26" t="s">
        <v>80</v>
      </c>
      <c r="J26" s="27" t="n">
        <v>46286</v>
      </c>
      <c r="K26" s="26" t="s">
        <v>99</v>
      </c>
      <c r="L26" s="26" t="s">
        <v>91</v>
      </c>
      <c r="M26" s="26" t="s">
        <v>92</v>
      </c>
    </row>
    <row r="27" customFormat="false" ht="15" hidden="false" customHeight="true" outlineLevel="0" collapsed="false">
      <c r="A27" s="26" t="s">
        <v>189</v>
      </c>
      <c r="B27" s="26" t="s">
        <v>190</v>
      </c>
      <c r="C27" s="26" t="s">
        <v>96</v>
      </c>
      <c r="D27" s="26" t="s">
        <v>191</v>
      </c>
      <c r="E27" s="26" t="s">
        <v>192</v>
      </c>
      <c r="F27" s="26" t="s">
        <v>98</v>
      </c>
      <c r="G27" s="26" t="s">
        <v>413</v>
      </c>
      <c r="H27" s="26" t="s">
        <v>414</v>
      </c>
      <c r="I27" s="26" t="s">
        <v>80</v>
      </c>
      <c r="J27" s="27" t="n">
        <v>45476</v>
      </c>
      <c r="K27" s="26" t="s">
        <v>193</v>
      </c>
      <c r="L27" s="26" t="s">
        <v>157</v>
      </c>
      <c r="M27" s="26" t="s">
        <v>120</v>
      </c>
    </row>
    <row r="28" customFormat="false" ht="15" hidden="false" customHeight="true" outlineLevel="0" collapsed="false">
      <c r="A28" s="26" t="s">
        <v>197</v>
      </c>
      <c r="B28" s="26" t="s">
        <v>198</v>
      </c>
      <c r="C28" s="26" t="s">
        <v>76</v>
      </c>
      <c r="D28" s="26" t="s">
        <v>88</v>
      </c>
      <c r="E28" s="26" t="s">
        <v>89</v>
      </c>
      <c r="F28" s="26" t="s">
        <v>79</v>
      </c>
      <c r="G28" s="26" t="s">
        <v>415</v>
      </c>
      <c r="H28" s="26" t="s">
        <v>416</v>
      </c>
      <c r="I28" s="26" t="s">
        <v>80</v>
      </c>
      <c r="J28" s="27" t="n">
        <v>45740</v>
      </c>
      <c r="K28" s="26" t="s">
        <v>90</v>
      </c>
      <c r="L28" s="26" t="s">
        <v>199</v>
      </c>
      <c r="M28" s="26" t="s">
        <v>92</v>
      </c>
    </row>
    <row r="29" customFormat="false" ht="15" hidden="false" customHeight="true" outlineLevel="0" collapsed="false">
      <c r="A29" s="26" t="s">
        <v>200</v>
      </c>
      <c r="B29" s="26" t="s">
        <v>201</v>
      </c>
      <c r="C29" s="26" t="s">
        <v>76</v>
      </c>
      <c r="D29" s="26" t="s">
        <v>109</v>
      </c>
      <c r="E29" s="26" t="s">
        <v>110</v>
      </c>
      <c r="F29" s="26" t="s">
        <v>79</v>
      </c>
      <c r="G29" s="26" t="s">
        <v>417</v>
      </c>
      <c r="H29" s="26" t="s">
        <v>418</v>
      </c>
      <c r="I29" s="26" t="s">
        <v>80</v>
      </c>
      <c r="J29" s="27" t="n">
        <v>46171</v>
      </c>
      <c r="K29" s="26" t="s">
        <v>81</v>
      </c>
      <c r="L29" s="26" t="s">
        <v>202</v>
      </c>
      <c r="M29" s="26" t="s">
        <v>203</v>
      </c>
    </row>
    <row r="30" customFormat="false" ht="15" hidden="false" customHeight="true" outlineLevel="0" collapsed="false">
      <c r="A30" s="26" t="s">
        <v>205</v>
      </c>
      <c r="B30" s="26" t="s">
        <v>206</v>
      </c>
      <c r="C30" s="26" t="s">
        <v>76</v>
      </c>
      <c r="D30" s="26" t="s">
        <v>109</v>
      </c>
      <c r="E30" s="26" t="s">
        <v>110</v>
      </c>
      <c r="F30" s="26" t="s">
        <v>79</v>
      </c>
      <c r="G30" s="26" t="s">
        <v>385</v>
      </c>
      <c r="H30" s="26" t="s">
        <v>386</v>
      </c>
      <c r="I30" s="26" t="s">
        <v>80</v>
      </c>
      <c r="J30" s="27" t="n">
        <v>45698</v>
      </c>
      <c r="K30" s="26" t="s">
        <v>81</v>
      </c>
      <c r="L30" s="26" t="s">
        <v>91</v>
      </c>
      <c r="M30" s="26" t="s">
        <v>92</v>
      </c>
    </row>
    <row r="31" customFormat="false" ht="15" hidden="false" customHeight="true" outlineLevel="0" collapsed="false">
      <c r="A31" s="26" t="s">
        <v>207</v>
      </c>
      <c r="B31" s="26" t="s">
        <v>208</v>
      </c>
      <c r="C31" s="26" t="s">
        <v>76</v>
      </c>
      <c r="D31" s="26" t="s">
        <v>77</v>
      </c>
      <c r="E31" s="26" t="s">
        <v>78</v>
      </c>
      <c r="F31" s="26" t="s">
        <v>79</v>
      </c>
      <c r="G31" s="26" t="s">
        <v>419</v>
      </c>
      <c r="H31" s="26" t="s">
        <v>420</v>
      </c>
      <c r="I31" s="26" t="s">
        <v>80</v>
      </c>
      <c r="J31" s="27" t="n">
        <v>46140</v>
      </c>
      <c r="K31" s="26" t="s">
        <v>81</v>
      </c>
      <c r="L31" s="26" t="s">
        <v>209</v>
      </c>
      <c r="M31" s="26" t="s">
        <v>124</v>
      </c>
    </row>
    <row r="32" customFormat="false" ht="15" hidden="false" customHeight="true" outlineLevel="0" collapsed="false">
      <c r="A32" s="26" t="s">
        <v>210</v>
      </c>
      <c r="B32" s="26" t="s">
        <v>211</v>
      </c>
      <c r="C32" s="26" t="s">
        <v>76</v>
      </c>
      <c r="D32" s="26" t="s">
        <v>191</v>
      </c>
      <c r="E32" s="26" t="s">
        <v>212</v>
      </c>
      <c r="F32" s="26" t="s">
        <v>79</v>
      </c>
      <c r="G32" s="26" t="s">
        <v>385</v>
      </c>
      <c r="H32" s="26" t="s">
        <v>386</v>
      </c>
      <c r="I32" s="26" t="s">
        <v>80</v>
      </c>
      <c r="J32" s="27" t="n">
        <v>46258</v>
      </c>
      <c r="K32" s="26" t="s">
        <v>191</v>
      </c>
      <c r="L32" s="26" t="s">
        <v>91</v>
      </c>
      <c r="M32" s="26" t="s">
        <v>92</v>
      </c>
    </row>
    <row r="33" customFormat="false" ht="15" hidden="false" customHeight="true" outlineLevel="0" collapsed="false">
      <c r="A33" s="26" t="s">
        <v>215</v>
      </c>
      <c r="B33" s="26" t="s">
        <v>216</v>
      </c>
      <c r="C33" s="26" t="s">
        <v>118</v>
      </c>
      <c r="D33" s="26"/>
      <c r="E33" s="26" t="s">
        <v>155</v>
      </c>
      <c r="F33" s="26" t="s">
        <v>98</v>
      </c>
      <c r="G33" s="26" t="s">
        <v>421</v>
      </c>
      <c r="H33" s="26" t="s">
        <v>422</v>
      </c>
      <c r="I33" s="26" t="s">
        <v>80</v>
      </c>
      <c r="J33" s="27" t="n">
        <v>45302</v>
      </c>
      <c r="K33" s="26" t="s">
        <v>156</v>
      </c>
      <c r="L33" s="26" t="s">
        <v>157</v>
      </c>
      <c r="M33" s="26" t="s">
        <v>181</v>
      </c>
    </row>
    <row r="34" customFormat="false" ht="15" hidden="false" customHeight="true" outlineLevel="0" collapsed="false">
      <c r="A34" s="26" t="s">
        <v>218</v>
      </c>
      <c r="B34" s="26" t="s">
        <v>219</v>
      </c>
      <c r="C34" s="26" t="s">
        <v>118</v>
      </c>
      <c r="D34" s="26"/>
      <c r="E34" s="26" t="s">
        <v>155</v>
      </c>
      <c r="F34" s="26" t="s">
        <v>98</v>
      </c>
      <c r="G34" s="26" t="s">
        <v>423</v>
      </c>
      <c r="H34" s="26" t="s">
        <v>424</v>
      </c>
      <c r="I34" s="26" t="s">
        <v>80</v>
      </c>
      <c r="J34" s="27" t="n">
        <v>46041</v>
      </c>
      <c r="K34" s="26" t="s">
        <v>220</v>
      </c>
      <c r="L34" s="26" t="s">
        <v>157</v>
      </c>
      <c r="M34" s="26" t="s">
        <v>120</v>
      </c>
    </row>
    <row r="35" customFormat="false" ht="15" hidden="false" customHeight="true" outlineLevel="0" collapsed="false">
      <c r="A35" s="26" t="s">
        <v>222</v>
      </c>
      <c r="B35" s="26" t="s">
        <v>223</v>
      </c>
      <c r="C35" s="26" t="s">
        <v>118</v>
      </c>
      <c r="D35" s="26" t="s">
        <v>77</v>
      </c>
      <c r="E35" s="26" t="s">
        <v>97</v>
      </c>
      <c r="F35" s="26" t="s">
        <v>98</v>
      </c>
      <c r="G35" s="26" t="s">
        <v>425</v>
      </c>
      <c r="H35" s="26" t="s">
        <v>426</v>
      </c>
      <c r="I35" s="26" t="s">
        <v>80</v>
      </c>
      <c r="J35" s="27" t="n">
        <v>43725</v>
      </c>
      <c r="K35" s="26" t="s">
        <v>224</v>
      </c>
      <c r="L35" s="26" t="s">
        <v>174</v>
      </c>
      <c r="M35" s="26" t="s">
        <v>225</v>
      </c>
    </row>
    <row r="36" customFormat="false" ht="15" hidden="false" customHeight="true" outlineLevel="0" collapsed="false">
      <c r="A36" s="26" t="s">
        <v>226</v>
      </c>
      <c r="B36" s="26" t="s">
        <v>227</v>
      </c>
      <c r="C36" s="26" t="s">
        <v>76</v>
      </c>
      <c r="D36" s="26" t="s">
        <v>77</v>
      </c>
      <c r="E36" s="26" t="s">
        <v>78</v>
      </c>
      <c r="F36" s="26" t="s">
        <v>79</v>
      </c>
      <c r="G36" s="26" t="s">
        <v>411</v>
      </c>
      <c r="H36" s="26" t="s">
        <v>412</v>
      </c>
      <c r="I36" s="26" t="s">
        <v>80</v>
      </c>
      <c r="J36" s="27" t="n">
        <v>43921</v>
      </c>
      <c r="K36" s="26" t="s">
        <v>228</v>
      </c>
      <c r="L36" s="26" t="s">
        <v>157</v>
      </c>
      <c r="M36" s="26" t="s">
        <v>92</v>
      </c>
    </row>
    <row r="37" customFormat="false" ht="15" hidden="false" customHeight="true" outlineLevel="0" collapsed="false">
      <c r="A37" s="26" t="s">
        <v>231</v>
      </c>
      <c r="B37" s="26" t="s">
        <v>232</v>
      </c>
      <c r="C37" s="26" t="s">
        <v>118</v>
      </c>
      <c r="D37" s="26" t="s">
        <v>88</v>
      </c>
      <c r="E37" s="26" t="s">
        <v>151</v>
      </c>
      <c r="F37" s="26" t="s">
        <v>98</v>
      </c>
      <c r="G37" s="26" t="s">
        <v>427</v>
      </c>
      <c r="H37" s="26" t="s">
        <v>428</v>
      </c>
      <c r="I37" s="26" t="s">
        <v>80</v>
      </c>
      <c r="J37" s="27" t="n">
        <v>46062</v>
      </c>
      <c r="K37" s="26" t="s">
        <v>233</v>
      </c>
      <c r="L37" s="26" t="s">
        <v>91</v>
      </c>
      <c r="M37" s="26" t="s">
        <v>120</v>
      </c>
    </row>
    <row r="38" customFormat="false" ht="15" hidden="false" customHeight="true" outlineLevel="0" collapsed="false">
      <c r="A38" s="26" t="s">
        <v>234</v>
      </c>
      <c r="B38" s="26" t="s">
        <v>235</v>
      </c>
      <c r="C38" s="26" t="s">
        <v>76</v>
      </c>
      <c r="D38" s="26" t="s">
        <v>88</v>
      </c>
      <c r="E38" s="26" t="s">
        <v>89</v>
      </c>
      <c r="F38" s="26" t="s">
        <v>79</v>
      </c>
      <c r="G38" s="26" t="s">
        <v>429</v>
      </c>
      <c r="H38" s="26" t="s">
        <v>430</v>
      </c>
      <c r="I38" s="26" t="s">
        <v>80</v>
      </c>
      <c r="J38" s="27" t="n">
        <v>45222</v>
      </c>
      <c r="K38" s="26" t="s">
        <v>236</v>
      </c>
      <c r="L38" s="26" t="s">
        <v>91</v>
      </c>
      <c r="M38" s="26" t="s">
        <v>92</v>
      </c>
    </row>
    <row r="39" customFormat="false" ht="15" hidden="false" customHeight="true" outlineLevel="0" collapsed="false">
      <c r="A39" s="26" t="s">
        <v>237</v>
      </c>
      <c r="B39" s="26" t="s">
        <v>238</v>
      </c>
      <c r="C39" s="26" t="s">
        <v>76</v>
      </c>
      <c r="D39" s="26" t="s">
        <v>88</v>
      </c>
      <c r="E39" s="26" t="s">
        <v>89</v>
      </c>
      <c r="F39" s="26" t="s">
        <v>79</v>
      </c>
      <c r="G39" s="26" t="s">
        <v>383</v>
      </c>
      <c r="H39" s="26" t="s">
        <v>384</v>
      </c>
      <c r="I39" s="26" t="s">
        <v>80</v>
      </c>
      <c r="J39" s="27" t="n">
        <v>46146</v>
      </c>
      <c r="K39" s="26" t="s">
        <v>81</v>
      </c>
      <c r="L39" s="26" t="s">
        <v>91</v>
      </c>
      <c r="M39" s="26" t="s">
        <v>92</v>
      </c>
    </row>
    <row r="40" customFormat="false" ht="15" hidden="false" customHeight="true" outlineLevel="0" collapsed="false">
      <c r="A40" s="26" t="s">
        <v>239</v>
      </c>
      <c r="B40" s="26" t="s">
        <v>240</v>
      </c>
      <c r="C40" s="26" t="s">
        <v>118</v>
      </c>
      <c r="D40" s="26" t="s">
        <v>109</v>
      </c>
      <c r="E40" s="26" t="s">
        <v>138</v>
      </c>
      <c r="F40" s="26" t="s">
        <v>98</v>
      </c>
      <c r="G40" s="26" t="s">
        <v>431</v>
      </c>
      <c r="H40" s="26" t="s">
        <v>432</v>
      </c>
      <c r="I40" s="26" t="s">
        <v>80</v>
      </c>
      <c r="J40" s="27" t="n">
        <v>45756</v>
      </c>
      <c r="K40" s="26" t="s">
        <v>139</v>
      </c>
      <c r="L40" s="26" t="s">
        <v>241</v>
      </c>
      <c r="M40" s="26" t="s">
        <v>242</v>
      </c>
    </row>
    <row r="41" customFormat="false" ht="15" hidden="false" customHeight="true" outlineLevel="0" collapsed="false">
      <c r="A41" s="26" t="s">
        <v>243</v>
      </c>
      <c r="B41" s="26" t="s">
        <v>244</v>
      </c>
      <c r="C41" s="26" t="s">
        <v>76</v>
      </c>
      <c r="D41" s="26" t="s">
        <v>109</v>
      </c>
      <c r="E41" s="26" t="s">
        <v>110</v>
      </c>
      <c r="F41" s="26" t="s">
        <v>79</v>
      </c>
      <c r="G41" s="26" t="s">
        <v>433</v>
      </c>
      <c r="H41" s="26" t="s">
        <v>434</v>
      </c>
      <c r="I41" s="26" t="s">
        <v>80</v>
      </c>
      <c r="J41" s="27" t="n">
        <v>46261</v>
      </c>
      <c r="K41" s="26" t="s">
        <v>139</v>
      </c>
      <c r="L41" s="26" t="s">
        <v>91</v>
      </c>
      <c r="M41" s="26" t="s">
        <v>92</v>
      </c>
    </row>
    <row r="42" customFormat="false" ht="15" hidden="false" customHeight="true" outlineLevel="0" collapsed="false">
      <c r="A42" s="26" t="s">
        <v>245</v>
      </c>
      <c r="B42" s="26" t="s">
        <v>246</v>
      </c>
      <c r="C42" s="26" t="s">
        <v>76</v>
      </c>
      <c r="D42" s="26" t="s">
        <v>109</v>
      </c>
      <c r="E42" s="26" t="s">
        <v>110</v>
      </c>
      <c r="F42" s="26" t="s">
        <v>79</v>
      </c>
      <c r="G42" s="26" t="s">
        <v>435</v>
      </c>
      <c r="H42" s="26" t="s">
        <v>436</v>
      </c>
      <c r="I42" s="26" t="s">
        <v>80</v>
      </c>
      <c r="J42" s="27" t="n">
        <v>45573</v>
      </c>
      <c r="K42" s="26" t="s">
        <v>81</v>
      </c>
      <c r="L42" s="26" t="s">
        <v>247</v>
      </c>
      <c r="M42" s="26" t="s">
        <v>112</v>
      </c>
    </row>
    <row r="43" customFormat="false" ht="15" hidden="false" customHeight="true" outlineLevel="0" collapsed="false">
      <c r="A43" s="26" t="s">
        <v>249</v>
      </c>
      <c r="B43" s="26" t="s">
        <v>250</v>
      </c>
      <c r="C43" s="26" t="s">
        <v>76</v>
      </c>
      <c r="D43" s="26" t="s">
        <v>109</v>
      </c>
      <c r="E43" s="26" t="s">
        <v>110</v>
      </c>
      <c r="F43" s="26" t="s">
        <v>79</v>
      </c>
      <c r="G43" s="26" t="s">
        <v>385</v>
      </c>
      <c r="H43" s="26" t="s">
        <v>386</v>
      </c>
      <c r="I43" s="26" t="s">
        <v>80</v>
      </c>
      <c r="J43" s="27" t="n">
        <v>46062</v>
      </c>
      <c r="K43" s="26" t="s">
        <v>81</v>
      </c>
      <c r="L43" s="26" t="s">
        <v>91</v>
      </c>
      <c r="M43" s="26" t="s">
        <v>155</v>
      </c>
    </row>
    <row r="44" customFormat="false" ht="15" hidden="false" customHeight="true" outlineLevel="0" collapsed="false">
      <c r="A44" s="26" t="s">
        <v>252</v>
      </c>
      <c r="B44" s="26" t="s">
        <v>253</v>
      </c>
      <c r="C44" s="26" t="s">
        <v>76</v>
      </c>
      <c r="D44" s="26" t="s">
        <v>88</v>
      </c>
      <c r="E44" s="26" t="s">
        <v>89</v>
      </c>
      <c r="F44" s="26" t="s">
        <v>79</v>
      </c>
      <c r="G44" s="26" t="s">
        <v>437</v>
      </c>
      <c r="H44" s="26" t="s">
        <v>438</v>
      </c>
      <c r="I44" s="26" t="s">
        <v>80</v>
      </c>
      <c r="J44" s="27" t="n">
        <v>45698</v>
      </c>
      <c r="K44" s="26" t="s">
        <v>81</v>
      </c>
      <c r="L44" s="26" t="s">
        <v>91</v>
      </c>
      <c r="M44" s="26" t="s">
        <v>92</v>
      </c>
    </row>
    <row r="45" customFormat="false" ht="15" hidden="false" customHeight="true" outlineLevel="0" collapsed="false">
      <c r="A45" s="26" t="s">
        <v>254</v>
      </c>
      <c r="B45" s="26" t="s">
        <v>255</v>
      </c>
      <c r="C45" s="26" t="s">
        <v>118</v>
      </c>
      <c r="D45" s="26" t="s">
        <v>109</v>
      </c>
      <c r="E45" s="26" t="s">
        <v>138</v>
      </c>
      <c r="F45" s="26" t="s">
        <v>98</v>
      </c>
      <c r="G45" s="26" t="s">
        <v>439</v>
      </c>
      <c r="H45" s="26" t="s">
        <v>440</v>
      </c>
      <c r="I45" s="26" t="s">
        <v>80</v>
      </c>
      <c r="J45" s="27" t="n">
        <v>45187</v>
      </c>
      <c r="K45" s="26" t="s">
        <v>256</v>
      </c>
      <c r="L45" s="26" t="s">
        <v>257</v>
      </c>
      <c r="M45" s="26" t="s">
        <v>120</v>
      </c>
    </row>
    <row r="46" customFormat="false" ht="15" hidden="false" customHeight="true" outlineLevel="0" collapsed="false">
      <c r="A46" s="26" t="s">
        <v>259</v>
      </c>
      <c r="B46" s="26" t="s">
        <v>260</v>
      </c>
      <c r="C46" s="26" t="s">
        <v>76</v>
      </c>
      <c r="D46" s="26" t="s">
        <v>109</v>
      </c>
      <c r="E46" s="26" t="s">
        <v>110</v>
      </c>
      <c r="F46" s="26" t="s">
        <v>79</v>
      </c>
      <c r="G46" s="26" t="s">
        <v>385</v>
      </c>
      <c r="H46" s="26" t="s">
        <v>386</v>
      </c>
      <c r="I46" s="26" t="s">
        <v>80</v>
      </c>
      <c r="J46" s="27" t="n">
        <v>45992</v>
      </c>
      <c r="K46" s="26" t="s">
        <v>81</v>
      </c>
      <c r="L46" s="26" t="s">
        <v>261</v>
      </c>
      <c r="M46" s="26" t="s">
        <v>112</v>
      </c>
    </row>
    <row r="47" customFormat="false" ht="15" hidden="false" customHeight="true" outlineLevel="0" collapsed="false">
      <c r="A47" s="26" t="s">
        <v>262</v>
      </c>
      <c r="B47" s="26" t="s">
        <v>263</v>
      </c>
      <c r="C47" s="26" t="s">
        <v>118</v>
      </c>
      <c r="D47" s="26"/>
      <c r="E47" s="26" t="s">
        <v>155</v>
      </c>
      <c r="F47" s="26" t="s">
        <v>98</v>
      </c>
      <c r="G47" s="26" t="s">
        <v>441</v>
      </c>
      <c r="H47" s="26" t="s">
        <v>442</v>
      </c>
      <c r="I47" s="26" t="s">
        <v>80</v>
      </c>
      <c r="J47" s="27" t="n">
        <v>42481</v>
      </c>
      <c r="K47" s="26" t="s">
        <v>264</v>
      </c>
      <c r="L47" s="26" t="s">
        <v>157</v>
      </c>
      <c r="M47" s="26" t="s">
        <v>120</v>
      </c>
    </row>
    <row r="48" customFormat="false" ht="15" hidden="false" customHeight="true" outlineLevel="0" collapsed="false">
      <c r="A48" s="26" t="s">
        <v>265</v>
      </c>
      <c r="B48" s="26" t="s">
        <v>266</v>
      </c>
      <c r="C48" s="26" t="s">
        <v>76</v>
      </c>
      <c r="D48" s="26" t="s">
        <v>77</v>
      </c>
      <c r="E48" s="26" t="s">
        <v>78</v>
      </c>
      <c r="F48" s="26" t="s">
        <v>79</v>
      </c>
      <c r="G48" s="26" t="s">
        <v>411</v>
      </c>
      <c r="H48" s="26" t="s">
        <v>412</v>
      </c>
      <c r="I48" s="26" t="s">
        <v>80</v>
      </c>
      <c r="J48" s="27" t="n">
        <v>46083</v>
      </c>
      <c r="K48" s="26" t="s">
        <v>81</v>
      </c>
      <c r="L48" s="26" t="s">
        <v>267</v>
      </c>
      <c r="M48" s="26" t="s">
        <v>155</v>
      </c>
    </row>
    <row r="49" customFormat="false" ht="15" hidden="false" customHeight="true" outlineLevel="0" collapsed="false">
      <c r="A49" s="26" t="s">
        <v>265</v>
      </c>
      <c r="B49" s="26" t="s">
        <v>269</v>
      </c>
      <c r="C49" s="26" t="s">
        <v>76</v>
      </c>
      <c r="D49" s="26" t="s">
        <v>109</v>
      </c>
      <c r="E49" s="26" t="s">
        <v>110</v>
      </c>
      <c r="F49" s="26" t="s">
        <v>79</v>
      </c>
      <c r="G49" s="26" t="s">
        <v>385</v>
      </c>
      <c r="H49" s="26" t="s">
        <v>386</v>
      </c>
      <c r="I49" s="26" t="s">
        <v>80</v>
      </c>
      <c r="J49" s="27" t="n">
        <v>45700</v>
      </c>
      <c r="K49" s="26" t="s">
        <v>81</v>
      </c>
      <c r="L49" s="26" t="s">
        <v>270</v>
      </c>
      <c r="M49" s="26" t="s">
        <v>92</v>
      </c>
    </row>
    <row r="50" customFormat="false" ht="15" hidden="false" customHeight="true" outlineLevel="0" collapsed="false">
      <c r="A50" s="26" t="s">
        <v>271</v>
      </c>
      <c r="B50" s="26" t="s">
        <v>272</v>
      </c>
      <c r="C50" s="26" t="s">
        <v>76</v>
      </c>
      <c r="D50" s="26" t="s">
        <v>109</v>
      </c>
      <c r="E50" s="26" t="s">
        <v>110</v>
      </c>
      <c r="F50" s="26" t="s">
        <v>79</v>
      </c>
      <c r="G50" s="26" t="s">
        <v>385</v>
      </c>
      <c r="H50" s="26" t="s">
        <v>386</v>
      </c>
      <c r="I50" s="26" t="s">
        <v>80</v>
      </c>
      <c r="J50" s="27" t="n">
        <v>45033</v>
      </c>
      <c r="K50" s="26" t="s">
        <v>273</v>
      </c>
      <c r="L50" s="26" t="s">
        <v>202</v>
      </c>
      <c r="M50" s="26" t="s">
        <v>203</v>
      </c>
    </row>
    <row r="51" customFormat="false" ht="15" hidden="false" customHeight="true" outlineLevel="0" collapsed="false">
      <c r="A51" s="26" t="s">
        <v>274</v>
      </c>
      <c r="B51" s="26" t="s">
        <v>275</v>
      </c>
      <c r="C51" s="26" t="s">
        <v>76</v>
      </c>
      <c r="D51" s="26" t="s">
        <v>88</v>
      </c>
      <c r="E51" s="26" t="s">
        <v>89</v>
      </c>
      <c r="F51" s="26" t="s">
        <v>79</v>
      </c>
      <c r="G51" s="26" t="s">
        <v>443</v>
      </c>
      <c r="H51" s="26" t="s">
        <v>444</v>
      </c>
      <c r="I51" s="26" t="s">
        <v>80</v>
      </c>
      <c r="J51" s="27" t="n">
        <v>44812</v>
      </c>
      <c r="K51" s="26" t="s">
        <v>104</v>
      </c>
      <c r="L51" s="26" t="s">
        <v>199</v>
      </c>
      <c r="M51" s="26" t="s">
        <v>92</v>
      </c>
    </row>
    <row r="52" customFormat="false" ht="15" hidden="false" customHeight="true" outlineLevel="0" collapsed="false">
      <c r="A52" s="26" t="s">
        <v>277</v>
      </c>
      <c r="B52" s="26" t="s">
        <v>278</v>
      </c>
      <c r="C52" s="26" t="s">
        <v>96</v>
      </c>
      <c r="D52" s="26" t="s">
        <v>109</v>
      </c>
      <c r="E52" s="26" t="s">
        <v>138</v>
      </c>
      <c r="F52" s="26" t="s">
        <v>98</v>
      </c>
      <c r="G52" s="26" t="s">
        <v>445</v>
      </c>
      <c r="H52" s="26" t="s">
        <v>446</v>
      </c>
      <c r="I52" s="26" t="s">
        <v>80</v>
      </c>
      <c r="J52" s="27" t="n">
        <v>45138</v>
      </c>
      <c r="K52" s="26" t="s">
        <v>139</v>
      </c>
      <c r="L52" s="26" t="s">
        <v>279</v>
      </c>
      <c r="M52" s="26" t="s">
        <v>120</v>
      </c>
    </row>
    <row r="53" customFormat="false" ht="15" hidden="false" customHeight="true" outlineLevel="0" collapsed="false">
      <c r="A53" s="26" t="s">
        <v>280</v>
      </c>
      <c r="B53" s="26" t="s">
        <v>281</v>
      </c>
      <c r="C53" s="26" t="s">
        <v>118</v>
      </c>
      <c r="D53" s="26" t="s">
        <v>109</v>
      </c>
      <c r="E53" s="26" t="s">
        <v>138</v>
      </c>
      <c r="F53" s="26" t="s">
        <v>98</v>
      </c>
      <c r="G53" s="26" t="s">
        <v>447</v>
      </c>
      <c r="H53" s="26" t="s">
        <v>448</v>
      </c>
      <c r="I53" s="26" t="s">
        <v>80</v>
      </c>
      <c r="J53" s="27" t="n">
        <v>44670</v>
      </c>
      <c r="K53" s="26" t="s">
        <v>282</v>
      </c>
      <c r="L53" s="26" t="s">
        <v>202</v>
      </c>
      <c r="M53" s="26" t="s">
        <v>283</v>
      </c>
    </row>
    <row r="54" customFormat="false" ht="15" hidden="false" customHeight="true" outlineLevel="0" collapsed="false">
      <c r="A54" s="26" t="s">
        <v>284</v>
      </c>
      <c r="B54" s="26" t="s">
        <v>285</v>
      </c>
      <c r="C54" s="26" t="s">
        <v>118</v>
      </c>
      <c r="D54" s="26" t="s">
        <v>109</v>
      </c>
      <c r="E54" s="26" t="s">
        <v>138</v>
      </c>
      <c r="F54" s="26" t="s">
        <v>98</v>
      </c>
      <c r="G54" s="26" t="s">
        <v>395</v>
      </c>
      <c r="H54" s="26" t="s">
        <v>396</v>
      </c>
      <c r="I54" s="26" t="s">
        <v>80</v>
      </c>
      <c r="J54" s="27" t="n">
        <v>45950</v>
      </c>
      <c r="K54" s="26" t="s">
        <v>139</v>
      </c>
      <c r="L54" s="26" t="s">
        <v>286</v>
      </c>
      <c r="M54" s="26" t="s">
        <v>120</v>
      </c>
    </row>
    <row r="55" customFormat="false" ht="15" hidden="false" customHeight="true" outlineLevel="0" collapsed="false">
      <c r="A55" s="26" t="s">
        <v>287</v>
      </c>
      <c r="B55" s="26" t="s">
        <v>288</v>
      </c>
      <c r="C55" s="26" t="s">
        <v>76</v>
      </c>
      <c r="D55" s="26" t="s">
        <v>109</v>
      </c>
      <c r="E55" s="26" t="s">
        <v>110</v>
      </c>
      <c r="F55" s="26" t="s">
        <v>79</v>
      </c>
      <c r="G55" s="26" t="s">
        <v>385</v>
      </c>
      <c r="H55" s="26" t="s">
        <v>386</v>
      </c>
      <c r="I55" s="26" t="s">
        <v>80</v>
      </c>
      <c r="J55" s="27" t="n">
        <v>45516</v>
      </c>
      <c r="K55" s="26" t="s">
        <v>81</v>
      </c>
      <c r="L55" s="26" t="s">
        <v>111</v>
      </c>
      <c r="M55" s="26" t="s">
        <v>112</v>
      </c>
    </row>
    <row r="56" customFormat="false" ht="15" hidden="false" customHeight="true" outlineLevel="0" collapsed="false">
      <c r="A56" s="26" t="s">
        <v>289</v>
      </c>
      <c r="B56" s="26" t="s">
        <v>290</v>
      </c>
      <c r="C56" s="26" t="s">
        <v>76</v>
      </c>
      <c r="D56" s="26" t="s">
        <v>109</v>
      </c>
      <c r="E56" s="26" t="s">
        <v>110</v>
      </c>
      <c r="F56" s="26" t="s">
        <v>79</v>
      </c>
      <c r="G56" s="26" t="s">
        <v>385</v>
      </c>
      <c r="H56" s="26" t="s">
        <v>386</v>
      </c>
      <c r="I56" s="26" t="s">
        <v>80</v>
      </c>
      <c r="J56" s="27" t="n">
        <v>45763</v>
      </c>
      <c r="K56" s="26" t="s">
        <v>81</v>
      </c>
      <c r="L56" s="26" t="s">
        <v>202</v>
      </c>
      <c r="M56" s="26" t="s">
        <v>203</v>
      </c>
    </row>
    <row r="57" customFormat="false" ht="15" hidden="false" customHeight="true" outlineLevel="0" collapsed="false">
      <c r="A57" s="26" t="s">
        <v>291</v>
      </c>
      <c r="B57" s="26" t="s">
        <v>292</v>
      </c>
      <c r="C57" s="26" t="s">
        <v>118</v>
      </c>
      <c r="D57" s="26" t="s">
        <v>88</v>
      </c>
      <c r="E57" s="26" t="s">
        <v>151</v>
      </c>
      <c r="F57" s="26" t="s">
        <v>98</v>
      </c>
      <c r="G57" s="26" t="s">
        <v>427</v>
      </c>
      <c r="H57" s="26" t="s">
        <v>428</v>
      </c>
      <c r="I57" s="26" t="s">
        <v>80</v>
      </c>
      <c r="J57" s="27" t="n">
        <v>43682</v>
      </c>
      <c r="K57" s="26" t="s">
        <v>233</v>
      </c>
      <c r="L57" s="26" t="s">
        <v>91</v>
      </c>
      <c r="M57" s="26" t="s">
        <v>120</v>
      </c>
    </row>
    <row r="58" customFormat="false" ht="15" hidden="false" customHeight="true" outlineLevel="0" collapsed="false">
      <c r="A58" s="26" t="s">
        <v>293</v>
      </c>
      <c r="B58" s="26" t="s">
        <v>294</v>
      </c>
      <c r="C58" s="26" t="s">
        <v>118</v>
      </c>
      <c r="D58" s="26" t="s">
        <v>295</v>
      </c>
      <c r="E58" s="26" t="s">
        <v>296</v>
      </c>
      <c r="F58" s="26" t="s">
        <v>98</v>
      </c>
      <c r="G58" s="26" t="s">
        <v>449</v>
      </c>
      <c r="H58" s="26" t="s">
        <v>450</v>
      </c>
      <c r="I58" s="26" t="s">
        <v>80</v>
      </c>
      <c r="J58" s="27" t="n">
        <v>46031</v>
      </c>
      <c r="K58" s="26" t="s">
        <v>297</v>
      </c>
      <c r="L58" s="26" t="s">
        <v>91</v>
      </c>
      <c r="M58" s="26" t="s">
        <v>120</v>
      </c>
    </row>
    <row r="59" customFormat="false" ht="15" hidden="false" customHeight="true" outlineLevel="0" collapsed="false">
      <c r="A59" s="26" t="s">
        <v>299</v>
      </c>
      <c r="B59" s="26" t="s">
        <v>300</v>
      </c>
      <c r="C59" s="26" t="s">
        <v>76</v>
      </c>
      <c r="D59" s="26" t="s">
        <v>77</v>
      </c>
      <c r="E59" s="26" t="s">
        <v>78</v>
      </c>
      <c r="F59" s="26" t="s">
        <v>79</v>
      </c>
      <c r="G59" s="26" t="s">
        <v>451</v>
      </c>
      <c r="H59" s="26" t="s">
        <v>452</v>
      </c>
      <c r="I59" s="26" t="s">
        <v>80</v>
      </c>
      <c r="J59" s="27" t="n">
        <v>45579</v>
      </c>
      <c r="K59" s="26" t="s">
        <v>81</v>
      </c>
      <c r="L59" s="26" t="s">
        <v>301</v>
      </c>
      <c r="M59" s="26" t="s">
        <v>83</v>
      </c>
    </row>
    <row r="60" customFormat="false" ht="15" hidden="false" customHeight="true" outlineLevel="0" collapsed="false">
      <c r="A60" s="26" t="s">
        <v>303</v>
      </c>
      <c r="B60" s="26" t="s">
        <v>304</v>
      </c>
      <c r="C60" s="26" t="s">
        <v>118</v>
      </c>
      <c r="D60" s="26" t="s">
        <v>77</v>
      </c>
      <c r="E60" s="26" t="s">
        <v>97</v>
      </c>
      <c r="F60" s="26" t="s">
        <v>98</v>
      </c>
      <c r="G60" s="26" t="s">
        <v>453</v>
      </c>
      <c r="H60" s="26" t="s">
        <v>454</v>
      </c>
      <c r="I60" s="26" t="s">
        <v>80</v>
      </c>
      <c r="J60" s="27" t="n">
        <v>45355</v>
      </c>
      <c r="K60" s="26" t="s">
        <v>139</v>
      </c>
      <c r="L60" s="26" t="s">
        <v>305</v>
      </c>
      <c r="M60" s="26" t="s">
        <v>120</v>
      </c>
    </row>
    <row r="61" customFormat="false" ht="15" hidden="false" customHeight="true" outlineLevel="0" collapsed="false">
      <c r="A61" s="26" t="s">
        <v>306</v>
      </c>
      <c r="B61" s="26" t="s">
        <v>307</v>
      </c>
      <c r="C61" s="26" t="s">
        <v>76</v>
      </c>
      <c r="D61" s="26" t="s">
        <v>88</v>
      </c>
      <c r="E61" s="26" t="s">
        <v>89</v>
      </c>
      <c r="F61" s="26" t="s">
        <v>79</v>
      </c>
      <c r="G61" s="26" t="s">
        <v>455</v>
      </c>
      <c r="H61" s="26" t="s">
        <v>456</v>
      </c>
      <c r="I61" s="26" t="s">
        <v>80</v>
      </c>
      <c r="J61" s="27" t="n">
        <v>43843</v>
      </c>
      <c r="K61" s="26" t="s">
        <v>308</v>
      </c>
      <c r="L61" s="26" t="s">
        <v>123</v>
      </c>
      <c r="M61" s="26" t="s">
        <v>112</v>
      </c>
    </row>
    <row r="62" customFormat="false" ht="15" hidden="false" customHeight="true" outlineLevel="0" collapsed="false">
      <c r="A62" s="26" t="s">
        <v>310</v>
      </c>
      <c r="B62" s="26" t="s">
        <v>311</v>
      </c>
      <c r="C62" s="26" t="s">
        <v>76</v>
      </c>
      <c r="D62" s="26" t="s">
        <v>77</v>
      </c>
      <c r="E62" s="26" t="s">
        <v>78</v>
      </c>
      <c r="F62" s="26" t="s">
        <v>79</v>
      </c>
      <c r="G62" s="26" t="s">
        <v>457</v>
      </c>
      <c r="H62" s="26" t="s">
        <v>458</v>
      </c>
      <c r="I62" s="26" t="s">
        <v>80</v>
      </c>
      <c r="J62" s="27" t="n">
        <v>46062</v>
      </c>
      <c r="K62" s="26" t="s">
        <v>81</v>
      </c>
      <c r="L62" s="26" t="s">
        <v>91</v>
      </c>
      <c r="M62" s="26" t="s">
        <v>92</v>
      </c>
    </row>
    <row r="63" customFormat="false" ht="15" hidden="false" customHeight="true" outlineLevel="0" collapsed="false">
      <c r="A63" s="26" t="s">
        <v>312</v>
      </c>
      <c r="B63" s="26" t="s">
        <v>179</v>
      </c>
      <c r="C63" s="26" t="s">
        <v>96</v>
      </c>
      <c r="D63" s="26" t="s">
        <v>77</v>
      </c>
      <c r="E63" s="26" t="s">
        <v>97</v>
      </c>
      <c r="F63" s="26" t="s">
        <v>98</v>
      </c>
      <c r="G63" s="26" t="s">
        <v>459</v>
      </c>
      <c r="H63" s="26" t="s">
        <v>460</v>
      </c>
      <c r="I63" s="26" t="s">
        <v>80</v>
      </c>
      <c r="J63" s="27" t="n">
        <v>40665</v>
      </c>
      <c r="K63" s="26" t="s">
        <v>313</v>
      </c>
      <c r="L63" s="26" t="s">
        <v>157</v>
      </c>
      <c r="M63" s="26" t="s">
        <v>120</v>
      </c>
    </row>
    <row r="64" customFormat="false" ht="15" hidden="false" customHeight="true" outlineLevel="0" collapsed="false">
      <c r="A64" s="26" t="s">
        <v>317</v>
      </c>
      <c r="B64" s="26" t="s">
        <v>318</v>
      </c>
      <c r="C64" s="26" t="s">
        <v>76</v>
      </c>
      <c r="D64" s="26" t="s">
        <v>88</v>
      </c>
      <c r="E64" s="26" t="s">
        <v>89</v>
      </c>
      <c r="F64" s="26" t="s">
        <v>79</v>
      </c>
      <c r="G64" s="26" t="s">
        <v>383</v>
      </c>
      <c r="H64" s="26" t="s">
        <v>384</v>
      </c>
      <c r="I64" s="26" t="s">
        <v>80</v>
      </c>
      <c r="J64" s="27" t="n">
        <v>45775</v>
      </c>
      <c r="K64" s="26" t="s">
        <v>81</v>
      </c>
      <c r="L64" s="26" t="s">
        <v>319</v>
      </c>
      <c r="M64" s="26" t="s">
        <v>92</v>
      </c>
    </row>
    <row r="65" customFormat="false" ht="15" hidden="false" customHeight="true" outlineLevel="0" collapsed="false">
      <c r="A65" s="26" t="s">
        <v>320</v>
      </c>
      <c r="B65" s="26" t="s">
        <v>321</v>
      </c>
      <c r="C65" s="26" t="s">
        <v>76</v>
      </c>
      <c r="D65" s="26" t="s">
        <v>88</v>
      </c>
      <c r="E65" s="26" t="s">
        <v>89</v>
      </c>
      <c r="F65" s="26" t="s">
        <v>79</v>
      </c>
      <c r="G65" s="26" t="s">
        <v>461</v>
      </c>
      <c r="H65" s="26" t="s">
        <v>462</v>
      </c>
      <c r="I65" s="26" t="s">
        <v>80</v>
      </c>
      <c r="J65" s="27" t="n">
        <v>44592</v>
      </c>
      <c r="K65" s="26" t="s">
        <v>322</v>
      </c>
      <c r="L65" s="26" t="s">
        <v>241</v>
      </c>
      <c r="M65" s="26" t="s">
        <v>83</v>
      </c>
    </row>
    <row r="66" customFormat="false" ht="15" hidden="false" customHeight="true" outlineLevel="0" collapsed="false">
      <c r="A66" s="26" t="s">
        <v>324</v>
      </c>
      <c r="B66" s="26" t="s">
        <v>325</v>
      </c>
      <c r="C66" s="26" t="s">
        <v>76</v>
      </c>
      <c r="D66" s="26" t="s">
        <v>88</v>
      </c>
      <c r="E66" s="26" t="s">
        <v>89</v>
      </c>
      <c r="F66" s="26" t="s">
        <v>79</v>
      </c>
      <c r="G66" s="26" t="s">
        <v>429</v>
      </c>
      <c r="H66" s="26" t="s">
        <v>430</v>
      </c>
      <c r="I66" s="26" t="s">
        <v>80</v>
      </c>
      <c r="J66" s="27" t="n">
        <v>44677</v>
      </c>
      <c r="K66" s="26" t="s">
        <v>326</v>
      </c>
      <c r="L66" s="26" t="s">
        <v>327</v>
      </c>
      <c r="M66" s="26" t="s">
        <v>92</v>
      </c>
    </row>
    <row r="67" customFormat="false" ht="15" hidden="false" customHeight="true" outlineLevel="0" collapsed="false">
      <c r="A67" s="26" t="s">
        <v>328</v>
      </c>
      <c r="B67" s="26" t="s">
        <v>329</v>
      </c>
      <c r="C67" s="26" t="s">
        <v>76</v>
      </c>
      <c r="D67" s="26" t="s">
        <v>109</v>
      </c>
      <c r="E67" s="26" t="s">
        <v>110</v>
      </c>
      <c r="F67" s="26" t="s">
        <v>79</v>
      </c>
      <c r="G67" s="26" t="s">
        <v>385</v>
      </c>
      <c r="H67" s="26" t="s">
        <v>386</v>
      </c>
      <c r="I67" s="26" t="s">
        <v>80</v>
      </c>
      <c r="J67" s="27" t="n">
        <v>45187</v>
      </c>
      <c r="K67" s="26" t="s">
        <v>81</v>
      </c>
      <c r="L67" s="26" t="s">
        <v>270</v>
      </c>
      <c r="M67" s="26" t="s">
        <v>92</v>
      </c>
    </row>
    <row r="68" customFormat="false" ht="15" hidden="false" customHeight="true" outlineLevel="0" collapsed="false">
      <c r="A68" s="26" t="s">
        <v>330</v>
      </c>
      <c r="B68" s="26" t="s">
        <v>331</v>
      </c>
      <c r="C68" s="26" t="s">
        <v>118</v>
      </c>
      <c r="D68" s="26" t="s">
        <v>77</v>
      </c>
      <c r="E68" s="26" t="s">
        <v>97</v>
      </c>
      <c r="F68" s="26" t="s">
        <v>98</v>
      </c>
      <c r="G68" s="26" t="s">
        <v>463</v>
      </c>
      <c r="H68" s="26" t="s">
        <v>464</v>
      </c>
      <c r="I68" s="26" t="s">
        <v>80</v>
      </c>
      <c r="J68" s="27" t="n">
        <v>45202</v>
      </c>
      <c r="K68" s="26" t="s">
        <v>139</v>
      </c>
      <c r="L68" s="26" t="s">
        <v>270</v>
      </c>
      <c r="M68" s="26" t="s">
        <v>120</v>
      </c>
    </row>
    <row r="69" customFormat="false" ht="15" hidden="false" customHeight="true" outlineLevel="0" collapsed="false">
      <c r="A69" s="26" t="s">
        <v>332</v>
      </c>
      <c r="B69" s="26" t="s">
        <v>333</v>
      </c>
      <c r="C69" s="26" t="s">
        <v>118</v>
      </c>
      <c r="D69" s="26" t="s">
        <v>88</v>
      </c>
      <c r="E69" s="26" t="s">
        <v>151</v>
      </c>
      <c r="F69" s="26" t="s">
        <v>98</v>
      </c>
      <c r="G69" s="26" t="s">
        <v>465</v>
      </c>
      <c r="H69" s="26" t="s">
        <v>466</v>
      </c>
      <c r="I69" s="26" t="s">
        <v>80</v>
      </c>
      <c r="J69" s="27" t="n">
        <v>45194</v>
      </c>
      <c r="K69" s="26" t="s">
        <v>334</v>
      </c>
      <c r="L69" s="26" t="s">
        <v>199</v>
      </c>
      <c r="M69" s="26" t="s">
        <v>120</v>
      </c>
    </row>
    <row r="70" customFormat="false" ht="15" hidden="false" customHeight="true" outlineLevel="0" collapsed="false">
      <c r="A70" s="26" t="s">
        <v>335</v>
      </c>
      <c r="B70" s="26" t="s">
        <v>336</v>
      </c>
      <c r="C70" s="26" t="s">
        <v>76</v>
      </c>
      <c r="D70" s="26" t="s">
        <v>88</v>
      </c>
      <c r="E70" s="26" t="s">
        <v>89</v>
      </c>
      <c r="F70" s="26" t="s">
        <v>79</v>
      </c>
      <c r="G70" s="26" t="s">
        <v>467</v>
      </c>
      <c r="H70" s="26" t="s">
        <v>468</v>
      </c>
      <c r="I70" s="26" t="s">
        <v>80</v>
      </c>
      <c r="J70" s="27" t="n">
        <v>46272</v>
      </c>
      <c r="K70" s="26" t="s">
        <v>337</v>
      </c>
      <c r="L70" s="26" t="s">
        <v>267</v>
      </c>
      <c r="M70" s="26" t="s">
        <v>120</v>
      </c>
    </row>
    <row r="71" customFormat="false" ht="15" hidden="false" customHeight="true" outlineLevel="0" collapsed="false">
      <c r="A71" s="26" t="s">
        <v>340</v>
      </c>
      <c r="B71" s="26" t="s">
        <v>341</v>
      </c>
      <c r="C71" s="26" t="s">
        <v>76</v>
      </c>
      <c r="D71" s="26" t="s">
        <v>109</v>
      </c>
      <c r="E71" s="26" t="s">
        <v>110</v>
      </c>
      <c r="F71" s="26" t="s">
        <v>79</v>
      </c>
      <c r="G71" s="26" t="s">
        <v>385</v>
      </c>
      <c r="H71" s="26" t="s">
        <v>386</v>
      </c>
      <c r="I71" s="26" t="s">
        <v>80</v>
      </c>
      <c r="J71" s="27" t="n">
        <v>45947</v>
      </c>
      <c r="K71" s="26" t="s">
        <v>81</v>
      </c>
      <c r="L71" s="26" t="s">
        <v>174</v>
      </c>
      <c r="M71" s="26" t="s">
        <v>124</v>
      </c>
    </row>
    <row r="72" customFormat="false" ht="15" hidden="false" customHeight="true" outlineLevel="0" collapsed="false">
      <c r="A72" s="26" t="s">
        <v>342</v>
      </c>
      <c r="B72" s="26" t="s">
        <v>343</v>
      </c>
      <c r="C72" s="26" t="s">
        <v>76</v>
      </c>
      <c r="D72" s="26" t="s">
        <v>88</v>
      </c>
      <c r="E72" s="26" t="s">
        <v>89</v>
      </c>
      <c r="F72" s="26" t="s">
        <v>79</v>
      </c>
      <c r="G72" s="26" t="s">
        <v>393</v>
      </c>
      <c r="H72" s="26" t="s">
        <v>394</v>
      </c>
      <c r="I72" s="26" t="s">
        <v>80</v>
      </c>
      <c r="J72" s="27" t="n">
        <v>45985</v>
      </c>
      <c r="K72" s="26" t="s">
        <v>81</v>
      </c>
      <c r="L72" s="26" t="s">
        <v>344</v>
      </c>
      <c r="M72" s="26" t="s">
        <v>112</v>
      </c>
    </row>
    <row r="73" customFormat="false" ht="15" hidden="false" customHeight="true" outlineLevel="0" collapsed="false">
      <c r="A73" s="26" t="s">
        <v>345</v>
      </c>
      <c r="B73" s="26" t="s">
        <v>346</v>
      </c>
      <c r="C73" s="26" t="s">
        <v>76</v>
      </c>
      <c r="D73" s="26" t="s">
        <v>77</v>
      </c>
      <c r="E73" s="26" t="s">
        <v>78</v>
      </c>
      <c r="F73" s="26" t="s">
        <v>79</v>
      </c>
      <c r="G73" s="26" t="s">
        <v>469</v>
      </c>
      <c r="H73" s="26" t="s">
        <v>470</v>
      </c>
      <c r="I73" s="26" t="s">
        <v>80</v>
      </c>
      <c r="J73" s="27" t="n">
        <v>46055</v>
      </c>
      <c r="K73" s="26" t="s">
        <v>81</v>
      </c>
      <c r="L73" s="26" t="s">
        <v>91</v>
      </c>
      <c r="M73" s="26" t="s">
        <v>155</v>
      </c>
    </row>
    <row r="74" customFormat="false" ht="15" hidden="false" customHeight="true" outlineLevel="0" collapsed="false">
      <c r="A74" s="26" t="s">
        <v>347</v>
      </c>
      <c r="B74" s="26" t="s">
        <v>348</v>
      </c>
      <c r="C74" s="26" t="s">
        <v>118</v>
      </c>
      <c r="D74" s="26" t="s">
        <v>109</v>
      </c>
      <c r="E74" s="26" t="s">
        <v>138</v>
      </c>
      <c r="F74" s="26" t="s">
        <v>98</v>
      </c>
      <c r="G74" s="26" t="s">
        <v>431</v>
      </c>
      <c r="H74" s="26" t="s">
        <v>432</v>
      </c>
      <c r="I74" s="26" t="s">
        <v>80</v>
      </c>
      <c r="J74" s="27" t="n">
        <v>44967</v>
      </c>
      <c r="K74" s="26" t="s">
        <v>349</v>
      </c>
      <c r="L74" s="26" t="s">
        <v>350</v>
      </c>
      <c r="M74" s="26" t="s">
        <v>120</v>
      </c>
    </row>
    <row r="75" customFormat="false" ht="15" hidden="false" customHeight="true" outlineLevel="0" collapsed="false">
      <c r="A75" s="26" t="s">
        <v>351</v>
      </c>
      <c r="B75" s="26" t="s">
        <v>352</v>
      </c>
      <c r="C75" s="26" t="s">
        <v>118</v>
      </c>
      <c r="D75" s="26" t="s">
        <v>353</v>
      </c>
      <c r="E75" s="26" t="s">
        <v>354</v>
      </c>
      <c r="F75" s="26" t="s">
        <v>98</v>
      </c>
      <c r="G75" s="26" t="s">
        <v>471</v>
      </c>
      <c r="H75" s="26" t="s">
        <v>472</v>
      </c>
      <c r="I75" s="26" t="s">
        <v>80</v>
      </c>
      <c r="J75" s="27" t="n">
        <v>42919</v>
      </c>
      <c r="K75" s="26" t="s">
        <v>355</v>
      </c>
      <c r="L75" s="26" t="s">
        <v>91</v>
      </c>
      <c r="M75" s="26" t="s">
        <v>120</v>
      </c>
    </row>
    <row r="76" customFormat="false" ht="15" hidden="false" customHeight="true" outlineLevel="0" collapsed="false">
      <c r="A76" s="26" t="s">
        <v>357</v>
      </c>
      <c r="B76" s="26" t="s">
        <v>358</v>
      </c>
      <c r="C76" s="26" t="s">
        <v>96</v>
      </c>
      <c r="D76" s="26" t="s">
        <v>109</v>
      </c>
      <c r="E76" s="26" t="s">
        <v>138</v>
      </c>
      <c r="F76" s="26" t="s">
        <v>98</v>
      </c>
      <c r="G76" s="26" t="s">
        <v>431</v>
      </c>
      <c r="H76" s="26" t="s">
        <v>432</v>
      </c>
      <c r="I76" s="26" t="s">
        <v>80</v>
      </c>
      <c r="J76" s="27" t="n">
        <v>44439</v>
      </c>
      <c r="K76" s="26" t="s">
        <v>359</v>
      </c>
      <c r="L76" s="26" t="s">
        <v>360</v>
      </c>
      <c r="M76" s="26" t="s">
        <v>242</v>
      </c>
    </row>
    <row r="77" customFormat="false" ht="15" hidden="false" customHeight="true" outlineLevel="0" collapsed="false">
      <c r="A77" s="26" t="s">
        <v>361</v>
      </c>
      <c r="B77" s="26" t="s">
        <v>362</v>
      </c>
      <c r="C77" s="26" t="s">
        <v>118</v>
      </c>
      <c r="D77" s="26" t="s">
        <v>88</v>
      </c>
      <c r="E77" s="26" t="s">
        <v>151</v>
      </c>
      <c r="F77" s="26" t="s">
        <v>98</v>
      </c>
      <c r="G77" s="26" t="s">
        <v>473</v>
      </c>
      <c r="H77" s="26" t="s">
        <v>474</v>
      </c>
      <c r="I77" s="26" t="s">
        <v>80</v>
      </c>
      <c r="J77" s="27" t="n">
        <v>43255</v>
      </c>
      <c r="K77" s="26" t="s">
        <v>363</v>
      </c>
      <c r="L77" s="26" t="s">
        <v>364</v>
      </c>
      <c r="M77" s="26" t="s">
        <v>120</v>
      </c>
    </row>
    <row r="78" customFormat="false" ht="15" hidden="false" customHeight="true" outlineLevel="0" collapsed="false">
      <c r="A78" s="26" t="s">
        <v>365</v>
      </c>
      <c r="B78" s="26" t="s">
        <v>366</v>
      </c>
      <c r="C78" s="26" t="s">
        <v>76</v>
      </c>
      <c r="D78" s="26" t="s">
        <v>109</v>
      </c>
      <c r="E78" s="26" t="s">
        <v>110</v>
      </c>
      <c r="F78" s="26" t="s">
        <v>79</v>
      </c>
      <c r="G78" s="26" t="s">
        <v>385</v>
      </c>
      <c r="H78" s="26" t="s">
        <v>386</v>
      </c>
      <c r="I78" s="26" t="s">
        <v>80</v>
      </c>
      <c r="J78" s="27" t="n">
        <v>45859</v>
      </c>
      <c r="K78" s="26" t="s">
        <v>81</v>
      </c>
      <c r="L78" s="26" t="s">
        <v>367</v>
      </c>
      <c r="M78" s="26" t="s">
        <v>112</v>
      </c>
    </row>
    <row r="79" customFormat="false" ht="15" hidden="false" customHeight="true" outlineLevel="0" collapsed="false">
      <c r="A79" s="26" t="s">
        <v>368</v>
      </c>
      <c r="B79" s="26" t="s">
        <v>369</v>
      </c>
      <c r="C79" s="26" t="s">
        <v>76</v>
      </c>
      <c r="D79" s="26" t="s">
        <v>191</v>
      </c>
      <c r="E79" s="26" t="s">
        <v>212</v>
      </c>
      <c r="F79" s="26" t="s">
        <v>79</v>
      </c>
      <c r="G79" s="26" t="s">
        <v>475</v>
      </c>
      <c r="H79" s="26" t="s">
        <v>476</v>
      </c>
      <c r="I79" s="26" t="s">
        <v>80</v>
      </c>
      <c r="J79" s="27" t="n">
        <v>46195</v>
      </c>
      <c r="K79" s="26" t="s">
        <v>191</v>
      </c>
      <c r="L79" s="26" t="s">
        <v>257</v>
      </c>
      <c r="M79" s="26" t="s">
        <v>112</v>
      </c>
    </row>
    <row r="80" customFormat="false" ht="15" hidden="false" customHeight="true" outlineLevel="0" collapsed="false">
      <c r="A80" s="26" t="s">
        <v>371</v>
      </c>
      <c r="B80" s="26" t="s">
        <v>372</v>
      </c>
      <c r="C80" s="26" t="s">
        <v>76</v>
      </c>
      <c r="D80" s="26" t="s">
        <v>77</v>
      </c>
      <c r="E80" s="26" t="s">
        <v>78</v>
      </c>
      <c r="F80" s="26" t="s">
        <v>79</v>
      </c>
      <c r="G80" s="26" t="s">
        <v>451</v>
      </c>
      <c r="H80" s="26" t="s">
        <v>452</v>
      </c>
      <c r="I80" s="26" t="s">
        <v>80</v>
      </c>
      <c r="J80" s="27" t="n">
        <v>45859</v>
      </c>
      <c r="K80" s="26" t="s">
        <v>81</v>
      </c>
      <c r="L80" s="26" t="s">
        <v>247</v>
      </c>
      <c r="M80" s="26"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2026-10-20T23:20:53Z</dcterms:created>
  <dc:creator>openpyxl</dc:creator>
  <dc:description/>
  <dc:language>en-US</dc:language>
  <cp:lastModifiedBy>Danica Nelson</cp:lastModifiedBy>
  <dcterms:modified xsi:type="dcterms:W3CDTF">2026-10-20T23:44:56Z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0x01010095D8E4D2559E924A87A79F54B9BAD5BE</vt:lpwstr>
  </property>
</Properties>
</file>