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4-09-2025"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<sst xmlns="http://schemas.openxmlformats.org/spreadsheetml/2006/main" count="172" uniqueCount="100">
  <si>
    <t xml:space="preserve">Date</t>
  </si>
  <si>
    <t xml:space="preserve">Description</t>
  </si>
  <si>
    <t xml:space="preserve">Amount</t>
  </si>
  <si>
    <t xml:space="preserve">Notes</t>
  </si>
  <si>
    <t xml:space="preserve">DN </t>
  </si>
  <si>
    <t xml:space="preserve">Woolworths Online        BellaVista</t>
  </si>
  <si>
    <t xml:space="preserve">a</t>
  </si>
  <si>
    <t xml:space="preserve">VIRGIN AU                BRISBANE    QLD</t>
  </si>
  <si>
    <t xml:space="preserve">Return September 2026 flights for Dani Hurley SYD&gt;PER for 26082704 DTTL Travel for National STL &amp; Coverage</t>
  </si>
  <si>
    <t xml:space="preserve">GOGET                    SYDNEY</t>
  </si>
  <si>
    <t xml:space="preserve">VIRGIN AU7952126596256   BRISBANE    QLD</t>
  </si>
  <si>
    <t xml:space="preserve">Rescheduled Departure Flight September 2026 flights for Dani Hurley SYD&gt;PER for 26082704 DTTL Travel for National STL &amp; Coverage </t>
  </si>
  <si>
    <t xml:space="preserve">GST wrong. Bill SYMUMZ-2 claims 124.79 GST on a 14.69 charge. The credit line for the original flight has no GST. Put minus 123.45 GST on that credit line so the bill claims 1.34.</t>
  </si>
  <si>
    <t xml:space="preserve">EXPEDIA 73535394957638   EXPEDIACOMAUAUS</t>
  </si>
  <si>
    <t xml:space="preserve">October 2026 Accommodation for Dani Hurley for 26082704 DTTL Travel for National STL &amp; Coverage</t>
  </si>
  <si>
    <t xml:space="preserve">EXPEDIA 73535242035475   EXPEDIACOMAUAUS</t>
  </si>
  <si>
    <t xml:space="preserve">September 2026 Accommodation for Dani Hurley for 26082704 DTTL Travel for National STL &amp; Coverage</t>
  </si>
  <si>
    <t xml:space="preserve">Return October 2026 flights for Dani Hurley for 26082704 DTTL Travel for National STL &amp; Coverage </t>
  </si>
  <si>
    <t xml:space="preserve">MITTI BY SAFETYCULTURE   SURRY HILLS NSW</t>
  </si>
  <si>
    <t xml:space="preserve">Mitti Holdings</t>
  </si>
  <si>
    <t xml:space="preserve">FWS INC                  PRINCETON   NJ ## USA MERCHANT</t>
  </si>
  <si>
    <t xml:space="preserve">Flatworld Solutions</t>
  </si>
  <si>
    <t xml:space="preserve">LIVEU, INC               HACKENSACK  NJ ##0926          45.00 US DOLLAR</t>
  </si>
  <si>
    <t xml:space="preserve">Serial number: 201706-23900</t>
  </si>
  <si>
    <t xml:space="preserve">Serial number: 201706-23902</t>
  </si>
  <si>
    <t xml:space="preserve">Employment Hero Pty Lt   0280308888  NSW</t>
  </si>
  <si>
    <t xml:space="preserve">TRANSPORTFORNSW OPAL     CHIPPENDALE</t>
  </si>
  <si>
    <t xml:space="preserve">Mitch H opal top-up</t>
  </si>
  <si>
    <t xml:space="preserve">ADDEVENT.COM             SAN FRANCISCCA ##0926         348.00 US DOLLAR</t>
  </si>
  <si>
    <t xml:space="preserve">Annual Renewal</t>
  </si>
  <si>
    <t xml:space="preserve">2CO.COM!WWW.VMIX.COM     AMSTERDAM   NLD ##0926          55.00 US DOLLAR</t>
  </si>
  <si>
    <t xml:space="preserve">Avangate BV (License 1/3)</t>
  </si>
  <si>
    <t xml:space="preserve">Avangate BV  (License 2/3)</t>
  </si>
  <si>
    <t xml:space="preserve">AU* SEEK AU 157957944    MELBOURNE   VIC</t>
  </si>
  <si>
    <t xml:space="preserve">Job ad for Casual Audio Visual Technician </t>
  </si>
  <si>
    <t xml:space="preserve">PAYMENT RECEIVED, THANK YOU</t>
  </si>
  <si>
    <t xml:space="preserve">TELSTRA PREPAID          MELBOURNE</t>
  </si>
  <si>
    <t xml:space="preserve">0477 318 485 (PROD Tech 6)</t>
  </si>
  <si>
    <t xml:space="preserve">0477 188 994 (PROD Tech 5)</t>
  </si>
  <si>
    <t xml:space="preserve">0477 739 237 (PROD Tech 3)</t>
  </si>
  <si>
    <t xml:space="preserve">0477 483 319 (PROD Tech 4)</t>
  </si>
  <si>
    <t xml:space="preserve">Avangate BV (License 3/3)</t>
  </si>
  <si>
    <t xml:space="preserve">WEBFLOW.COM              SAN FRANCISCCA ##0926         192.00 US DOLLAR</t>
  </si>
  <si>
    <t xml:space="preserve">Annual Workspace plans Freelancer Plan Sept 2026-Sept 2027</t>
  </si>
  <si>
    <t xml:space="preserve">Jaaz S opal top-up</t>
  </si>
  <si>
    <t xml:space="preserve">INSPHIRE LTD             HUNGERFORD  LND ## GBR MERCHANT</t>
  </si>
  <si>
    <t xml:space="preserve">VIRGIN AU7952127165357   BRISBANE    QLD</t>
  </si>
  <si>
    <t xml:space="preserve">Rescheduled Return September 2026 flights for Dani Hurley SYD&gt;PER for 26082704 DTTL Travel for National STL &amp; Coverage </t>
  </si>
  <si>
    <t xml:space="preserve">GST wrong. Bill SYMUMZ-3 claims 170.42 GST on a 501.91 charge. The credit line for the original flight has no GST. Put minus 124.79 GST on that credit line so the bill claims 45.63.</t>
  </si>
  <si>
    <t xml:space="preserve">Intuit                   Sydney      AUS</t>
  </si>
  <si>
    <t xml:space="preserve">AU* SEEK AU 158457598    MELBOURNE   VIC</t>
  </si>
  <si>
    <t xml:space="preserve">Tyler W opal top-up</t>
  </si>
  <si>
    <t xml:space="preserve">LinkedIn P3090156444     North SydneyAUS</t>
  </si>
  <si>
    <t xml:space="preserve">JS/GC to provide reciept/tax invoice for this</t>
  </si>
  <si>
    <t xml:space="preserve">Not in Xero. Waiting on the receipt from JS/GC before it can be entered.</t>
  </si>
  <si>
    <t xml:space="preserve">OPENAI *CHATGPT SUBSCR   SAN FRANCISCCA ##0926           6.98 US DOLLAR</t>
  </si>
  <si>
    <t xml:space="preserve">EXPEDIA 73550041732636   EXPEDIACOMAUAUS</t>
  </si>
  <si>
    <t xml:space="preserve">Rescheduled September 2026 Accommodation for Dani Hurley for 26082704 DTTL Travel for National STL &amp; Coverage</t>
  </si>
  <si>
    <t xml:space="preserve">TECART* O #136603        NORTHCOTE   VIC</t>
  </si>
  <si>
    <t xml:space="preserve">PRD Asset purchase</t>
  </si>
  <si>
    <t xml:space="preserve">Adobe                    Sydney      AUS</t>
  </si>
  <si>
    <t xml:space="preserve">Adobe Stock </t>
  </si>
  <si>
    <t xml:space="preserve">Adobe AI Assistance for Acrobat </t>
  </si>
  <si>
    <t xml:space="preserve">Optus Billing            MacquarieParNSW</t>
  </si>
  <si>
    <t xml:space="preserve">PRD Asset purchase [Refunded because item was out of stock]</t>
  </si>
  <si>
    <t xml:space="preserve">OPENAI *CHATGPT SUBSCR   SAN FRANCISCCA ##0926          23.27 US DOLLAR</t>
  </si>
  <si>
    <t xml:space="preserve">XERO AU INV-56302114     HAWTHORN    VIC</t>
  </si>
  <si>
    <t xml:space="preserve">CRAZYDOMAINS             WEBSITE HOSTSG ## SGP MERCHANT</t>
  </si>
  <si>
    <t xml:space="preserve"> CTS Domain licenses renewal</t>
  </si>
  <si>
    <t xml:space="preserve">LinkedIn*P3094641577     lnkd.in/billAUS</t>
  </si>
  <si>
    <t xml:space="preserve">JS LinkedIn </t>
  </si>
  <si>
    <t xml:space="preserve">In Xero but no invoice attached. Same as August.</t>
  </si>
  <si>
    <t xml:space="preserve">Spotify P47431C891       Sydney      AUS</t>
  </si>
  <si>
    <t xml:space="preserve">PRD Spotify </t>
  </si>
  <si>
    <t xml:space="preserve">In Xero, dated 24 Sep. Bank shows 25 Sep. Will still match.</t>
  </si>
  <si>
    <t xml:space="preserve">CRAZYDOMAINS             WEBSITE HOSTSG</t>
  </si>
  <si>
    <t xml:space="preserve">Not in Xero. Refund from Crazy Domains. Needs a credit note and refund entered.</t>
  </si>
  <si>
    <t xml:space="preserve">ASTERON LIFE             SYDNEY</t>
  </si>
  <si>
    <t xml:space="preserve">EW emailed to request for tax invoice</t>
  </si>
  <si>
    <t xml:space="preserve">Bill is in Xero (PR67217125241) but still unpaid, so it is not on the PL CC yet. Also it claims 198.77 GST. Life insurance has no GST. Check the invoice before paying it off.</t>
  </si>
  <si>
    <t xml:space="preserve">AUSTRALIAN TENDERS       FREMANTLE   WA</t>
  </si>
  <si>
    <t xml:space="preserve">In Xero, dated 28 Sep. Bank shows 27 Sep. Will still match.</t>
  </si>
  <si>
    <t xml:space="preserve">RESOLUTION X             NOBLE PARK  VIC</t>
  </si>
  <si>
    <t xml:space="preserve">Equipment &amp; Services hire for 26092701 ASX Lighting $ Confetti Test 29.9.26</t>
  </si>
  <si>
    <t xml:space="preserve">In Xero, dated 25 Sep. Bank shows 28 Sep. Will still match. The 31.57 card surcharge has no GST on it. Minor.</t>
  </si>
  <si>
    <t xml:space="preserve">ZOOM.COM 888-799-9666    SAN JOSE    CA ## USA MERCHANT</t>
  </si>
  <si>
    <t xml:space="preserve">Creative Cloud Pro for Team </t>
  </si>
  <si>
    <t xml:space="preserve">867Pin* DJ Warehouse H   ire Pty Ltd</t>
  </si>
  <si>
    <t xml:space="preserve">Equipment hire for 26092701 ASX Lighting &amp; Confetti Test 29.9.26 </t>
  </si>
  <si>
    <t xml:space="preserve">ENERGYAUSTRALIA PTY LT   MELBOURNE</t>
  </si>
  <si>
    <t xml:space="preserve">Energy Usage: 23/07/2026-22/08/2026</t>
  </si>
  <si>
    <t xml:space="preserve">SWAMP INDUSTRIES         FYSHWICK    ACT</t>
  </si>
  <si>
    <t xml:space="preserve">PRD Asset purchases</t>
  </si>
  <si>
    <t xml:space="preserve">Spotify P477523AF6       Sydney      AUS</t>
  </si>
  <si>
    <t xml:space="preserve">CBA Spotify</t>
  </si>
  <si>
    <t xml:space="preserve">LIVEU, INC               HACKENSACK  NJ ##1026          45.00 US DOLLAR</t>
  </si>
  <si>
    <t xml:space="preserve">Serial number: 202120-23120</t>
  </si>
  <si>
    <t xml:space="preserve">Serial number: 202120-23123</t>
  </si>
  <si>
    <t xml:space="preserve">In Xero on PL CC but not on this statement: Crave Mart 11.00 on 4 Sep (Office pantry top-up). Check which card paid it.</t>
  </si>
  <si>
    <t xml:space="preserve">In Xero as paid via PL CC but not on this statement and still unpaid: Woolworths 44.40 on 22 Sep (INV22092026). Check which card paid it.</t>
  </si>
</sst>
</file>

<file path=xl/styles.xml><?xml version="1.0" encoding="utf-8"?>
<styleSheet xmlns="http://schemas.openxmlformats.org/spreadsheetml/2006/main">
  <numFmts count="3">
    <numFmt numFmtId="164" formatCode="General"/>
    <numFmt numFmtId="165" formatCode="_-* #,##0.00_-;\-* #,##0.00_-;_-* \-??_-;_-@_-"/>
    <numFmt numFmtId="166" formatCode="m/d/yyyy"/>
  </numFmts>
  <fonts count="10">
    <font>
      <sz val="11"/>
      <color theme="1"/>
      <name val="Aptos Narrow"/>
      <family val="2"/>
      <charset val="1"/>
    </font>
    <font>
      <sz val="10"/>
      <name val="Arial"/>
      <family val="0"/>
    </font>
    <font>
      <sz val="10"/>
      <name val="Arial"/>
      <family val="0"/>
    </font>
    <font>
      <sz val="10"/>
      <name val="Arial"/>
      <family val="0"/>
    </font>
    <font>
      <b val="true"/>
      <sz val="11"/>
      <color theme="1"/>
      <name val="Aptos Narrow"/>
      <family val="2"/>
      <charset val="1"/>
    </font>
    <font>
      <sz val="11"/>
      <name val="Webdings"/>
      <family val="0"/>
      <charset val="1"/>
    </font>
    <font>
      <sz val="11"/>
      <name val="Aptos Narrow"/>
      <family val="0"/>
      <charset val="1"/>
    </font>
    <font>
      <sz val="11"/>
      <name val="Aptos Narrow"/>
      <family val="2"/>
      <charset val="1"/>
    </font>
    <font>
      <sz val="11"/>
      <color rgb="FFFF0000"/>
      <name val="Aptos Narrow"/>
      <family val="2"/>
      <charset val="1"/>
    </font>
    <font>
      <sz val="11"/>
      <color theme="1"/>
      <name val="Webdings"/>
      <family val="1"/>
      <charset val="2"/>
    </font>
  </fonts>
  <fills count="5">
    <fill>
      <patternFill patternType="none"/>
    </fill>
    <fill>
      <patternFill patternType="gray125"/>
    </fill>
    <fill>
      <patternFill patternType="solid">
        <fgColor theme="3" tint="0.8999"/>
        <bgColor rgb="FFCCFFFF"/>
      </patternFill>
    </fill>
    <fill>
      <patternFill patternType="solid">
        <fgColor rgb="FF92D050"/>
        <bgColor rgb="FFC0C0C0"/>
      </patternFill>
    </fill>
    <fill>
      <patternFill patternType="solid">
        <fgColor rgb="FFCCFF66"/>
        <bgColor rgb="FFCC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5" fontId="4" fillId="0" borderId="0" xfId="0" applyFont="true" applyBorder="false" applyAlignment="true" applyProtection="false">
      <alignment horizontal="general" vertical="bottom" textRotation="0" wrapText="false" indent="0" shrinkToFit="false"/>
      <protection locked="true" hidden="false"/>
    </xf>
    <xf numFmtId="166" fontId="0" fillId="2" borderId="0" xfId="0" applyFont="false" applyBorder="false" applyAlignment="true" applyProtection="false">
      <alignment horizontal="left" vertical="bottom" textRotation="0" wrapText="false" indent="0" shrinkToFit="false"/>
      <protection locked="true" hidden="false"/>
    </xf>
    <xf numFmtId="164" fontId="0" fillId="2" borderId="0" xfId="0" applyFont="true" applyBorder="false" applyAlignment="true" applyProtection="false">
      <alignment horizontal="general" vertical="bottom" textRotation="0" wrapText="false" indent="0" shrinkToFit="false"/>
      <protection locked="true" hidden="false"/>
    </xf>
    <xf numFmtId="165" fontId="0" fillId="2" borderId="0" xfId="0" applyFont="fals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6" fontId="7" fillId="2" borderId="0" xfId="0" applyFont="true" applyBorder="false" applyAlignment="true" applyProtection="false">
      <alignment horizontal="left"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5" fontId="7" fillId="2" borderId="0" xfId="0" applyFont="true" applyBorder="false" applyAlignment="true" applyProtection="false">
      <alignment horizontal="general" vertical="bottom" textRotation="0" wrapText="false" indent="0" shrinkToFit="false"/>
      <protection locked="true" hidden="false"/>
    </xf>
    <xf numFmtId="166" fontId="0" fillId="4" borderId="0" xfId="0" applyFont="false" applyBorder="false" applyAlignment="true" applyProtection="false">
      <alignment horizontal="left" vertical="bottom" textRotation="0" wrapText="false" indent="0" shrinkToFit="false"/>
      <protection locked="true" hidden="false"/>
    </xf>
    <xf numFmtId="164" fontId="0" fillId="4" borderId="0" xfId="0" applyFont="true" applyBorder="false" applyAlignment="true" applyProtection="false">
      <alignment horizontal="general" vertical="bottom" textRotation="0" wrapText="false" indent="0" shrinkToFit="false"/>
      <protection locked="true" hidden="false"/>
    </xf>
    <xf numFmtId="165" fontId="0" fillId="4" borderId="0" xfId="0" applyFont="false" applyBorder="false" applyAlignment="true" applyProtection="false">
      <alignment horizontal="general" vertical="bottom" textRotation="0" wrapText="false" indent="0" shrinkToFit="false"/>
      <protection locked="true" hidden="false"/>
    </xf>
    <xf numFmtId="166" fontId="8" fillId="0" borderId="0" xfId="0" applyFont="true" applyBorder="false" applyAlignment="true" applyProtection="false">
      <alignment horizontal="left"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5" fontId="5" fillId="3"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CEA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CCFF66"/>
      <rgbColor rgb="FF99CCFF"/>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18" activeCellId="0" sqref="D18"/>
    </sheetView>
  </sheetViews>
  <sheetFormatPr defaultColWidth="11.140625" defaultRowHeight="15" zeroHeight="false" outlineLevelRow="0" outlineLevelCol="0"/>
  <cols>
    <col collapsed="false" customWidth="false" hidden="false" outlineLevel="0" max="1" min="1" style="1" width="11.14"/>
    <col collapsed="false" customWidth="true" hidden="false" outlineLevel="0" max="2" min="2" style="2" width="72.71"/>
    <col collapsed="false" customWidth="false" hidden="false" outlineLevel="0" max="3" min="3" style="3" width="11.14"/>
    <col collapsed="false" customWidth="true" hidden="false" outlineLevel="0" max="4" min="4" style="2" width="115"/>
    <col collapsed="false" customWidth="true" hidden="false" outlineLevel="0" max="5" min="5" style="2" width="15.57"/>
    <col collapsed="false" customWidth="true" hidden="false" outlineLevel="0" max="6" min="6" style="2" width="10.4"/>
    <col collapsed="false" customWidth="true" hidden="false" outlineLevel="0" max="7" min="7" style="2" width="70"/>
  </cols>
  <sheetData>
    <row r="1" s="5" customFormat="true" ht="16.5" hidden="false" customHeight="true" outlineLevel="0" collapsed="false">
      <c r="A1" s="4" t="s">
        <v>0</v>
      </c>
      <c r="B1" s="5" t="s">
        <v>1</v>
      </c>
      <c r="C1" s="6" t="s">
        <v>2</v>
      </c>
      <c r="D1" s="5" t="s">
        <v>3</v>
      </c>
      <c r="F1" s="5" t="s">
        <v>4</v>
      </c>
    </row>
    <row r="2" customFormat="false" ht="15.75" hidden="false" customHeight="true" outlineLevel="0" collapsed="false">
      <c r="A2" s="7" t="n">
        <v>46266</v>
      </c>
      <c r="B2" s="8" t="s">
        <v>5</v>
      </c>
      <c r="C2" s="9" t="n">
        <v>-94.6</v>
      </c>
      <c r="F2" s="10" t="s">
        <v>6</v>
      </c>
    </row>
    <row r="3" customFormat="false" ht="15.75" hidden="false" customHeight="true" outlineLevel="0" collapsed="false">
      <c r="A3" s="7" t="n">
        <v>46266</v>
      </c>
      <c r="B3" s="8" t="s">
        <v>7</v>
      </c>
      <c r="C3" s="9" t="n">
        <v>-1374.57</v>
      </c>
      <c r="D3" s="2" t="s">
        <v>8</v>
      </c>
      <c r="F3" s="10" t="s">
        <v>6</v>
      </c>
    </row>
    <row r="4" customFormat="false" ht="15.75" hidden="false" customHeight="true" outlineLevel="0" collapsed="false">
      <c r="A4" s="7" t="n">
        <v>46266</v>
      </c>
      <c r="B4" s="8" t="s">
        <v>9</v>
      </c>
      <c r="C4" s="9" t="n">
        <v>-1755.94</v>
      </c>
      <c r="F4" s="10" t="s">
        <v>6</v>
      </c>
    </row>
    <row r="5" customFormat="false" ht="15.75" hidden="false" customHeight="true" outlineLevel="0" collapsed="false">
      <c r="A5" s="7" t="n">
        <v>46267</v>
      </c>
      <c r="B5" s="8" t="s">
        <v>10</v>
      </c>
      <c r="C5" s="9" t="n">
        <v>-14.69</v>
      </c>
      <c r="D5" s="2" t="s">
        <v>11</v>
      </c>
      <c r="F5" s="11"/>
      <c r="G5" s="12" t="s">
        <v>12</v>
      </c>
    </row>
    <row r="6" customFormat="false" ht="15.75" hidden="false" customHeight="true" outlineLevel="0" collapsed="false">
      <c r="A6" s="7" t="n">
        <v>46267</v>
      </c>
      <c r="B6" s="8" t="s">
        <v>13</v>
      </c>
      <c r="C6" s="9" t="n">
        <v>-1081.64</v>
      </c>
      <c r="D6" s="2" t="s">
        <v>14</v>
      </c>
      <c r="F6" s="10" t="s">
        <v>6</v>
      </c>
    </row>
    <row r="7" customFormat="false" ht="15.75" hidden="false" customHeight="true" outlineLevel="0" collapsed="false">
      <c r="A7" s="7" t="n">
        <v>46267</v>
      </c>
      <c r="B7" s="8" t="s">
        <v>15</v>
      </c>
      <c r="C7" s="9" t="n">
        <v>-846.89</v>
      </c>
      <c r="D7" s="2" t="s">
        <v>16</v>
      </c>
      <c r="F7" s="10" t="s">
        <v>6</v>
      </c>
    </row>
    <row r="8" customFormat="false" ht="15.75" hidden="false" customHeight="true" outlineLevel="0" collapsed="false">
      <c r="A8" s="7" t="n">
        <v>46267</v>
      </c>
      <c r="B8" s="8" t="s">
        <v>7</v>
      </c>
      <c r="C8" s="9" t="n">
        <v>-1384.7</v>
      </c>
      <c r="D8" s="2" t="s">
        <v>17</v>
      </c>
      <c r="F8" s="10" t="s">
        <v>6</v>
      </c>
    </row>
    <row r="9" customFormat="false" ht="15.75" hidden="false" customHeight="true" outlineLevel="0" collapsed="false">
      <c r="A9" s="7" t="n">
        <v>46269</v>
      </c>
      <c r="B9" s="8" t="s">
        <v>18</v>
      </c>
      <c r="C9" s="9" t="n">
        <v>-110</v>
      </c>
      <c r="D9" s="2" t="s">
        <v>19</v>
      </c>
      <c r="F9" s="10" t="s">
        <v>6</v>
      </c>
    </row>
    <row r="10" customFormat="false" ht="15.75" hidden="false" customHeight="true" outlineLevel="0" collapsed="false">
      <c r="A10" s="7" t="n">
        <v>46271</v>
      </c>
      <c r="B10" s="8" t="s">
        <v>20</v>
      </c>
      <c r="C10" s="9" t="n">
        <v>-81.64</v>
      </c>
      <c r="D10" s="2" t="s">
        <v>21</v>
      </c>
      <c r="F10" s="10" t="s">
        <v>6</v>
      </c>
    </row>
    <row r="11" customFormat="false" ht="15.75" hidden="false" customHeight="true" outlineLevel="0" collapsed="false">
      <c r="A11" s="7" t="n">
        <v>46271</v>
      </c>
      <c r="B11" s="8" t="s">
        <v>22</v>
      </c>
      <c r="C11" s="9" t="n">
        <v>-62.74</v>
      </c>
      <c r="D11" s="2" t="s">
        <v>23</v>
      </c>
      <c r="F11" s="10" t="s">
        <v>6</v>
      </c>
    </row>
    <row r="12" customFormat="false" ht="15.75" hidden="false" customHeight="true" outlineLevel="0" collapsed="false">
      <c r="A12" s="7" t="n">
        <v>46271</v>
      </c>
      <c r="B12" s="8" t="s">
        <v>22</v>
      </c>
      <c r="C12" s="9" t="n">
        <v>-62.74</v>
      </c>
      <c r="D12" s="2" t="s">
        <v>24</v>
      </c>
      <c r="F12" s="10" t="s">
        <v>6</v>
      </c>
    </row>
    <row r="13" customFormat="false" ht="15.75" hidden="false" customHeight="true" outlineLevel="0" collapsed="false">
      <c r="A13" s="7" t="n">
        <v>46272</v>
      </c>
      <c r="B13" s="8" t="s">
        <v>25</v>
      </c>
      <c r="C13" s="9" t="n">
        <v>-2233.88</v>
      </c>
      <c r="F13" s="10" t="s">
        <v>6</v>
      </c>
    </row>
    <row r="14" customFormat="false" ht="15.75" hidden="false" customHeight="true" outlineLevel="0" collapsed="false">
      <c r="A14" s="7" t="n">
        <v>46272</v>
      </c>
      <c r="B14" s="8" t="s">
        <v>26</v>
      </c>
      <c r="C14" s="9" t="n">
        <v>-20</v>
      </c>
      <c r="D14" s="2" t="s">
        <v>27</v>
      </c>
      <c r="F14" s="10" t="s">
        <v>6</v>
      </c>
    </row>
    <row r="15" customFormat="false" ht="15.75" hidden="false" customHeight="true" outlineLevel="0" collapsed="false">
      <c r="A15" s="13" t="n">
        <v>46273</v>
      </c>
      <c r="B15" s="14" t="s">
        <v>28</v>
      </c>
      <c r="C15" s="15" t="n">
        <v>-483.2</v>
      </c>
      <c r="D15" s="2" t="s">
        <v>29</v>
      </c>
      <c r="F15" s="10" t="s">
        <v>6</v>
      </c>
    </row>
    <row r="16" customFormat="false" ht="15.75" hidden="false" customHeight="true" outlineLevel="0" collapsed="false">
      <c r="A16" s="7" t="n">
        <v>46273</v>
      </c>
      <c r="B16" s="8" t="s">
        <v>30</v>
      </c>
      <c r="C16" s="9" t="n">
        <v>-76.52</v>
      </c>
      <c r="D16" s="2" t="s">
        <v>31</v>
      </c>
      <c r="F16" s="10" t="s">
        <v>6</v>
      </c>
    </row>
    <row r="17" customFormat="false" ht="15.75" hidden="false" customHeight="true" outlineLevel="0" collapsed="false">
      <c r="A17" s="7" t="n">
        <v>46273</v>
      </c>
      <c r="B17" s="8" t="s">
        <v>30</v>
      </c>
      <c r="C17" s="9" t="n">
        <v>-76.52</v>
      </c>
      <c r="D17" s="2" t="s">
        <v>32</v>
      </c>
      <c r="F17" s="10" t="s">
        <v>6</v>
      </c>
    </row>
    <row r="18" customFormat="false" ht="15.75" hidden="false" customHeight="true" outlineLevel="0" collapsed="false">
      <c r="A18" s="7" t="n">
        <v>46273</v>
      </c>
      <c r="B18" s="8" t="s">
        <v>33</v>
      </c>
      <c r="C18" s="9" t="n">
        <v>-660</v>
      </c>
      <c r="D18" s="2" t="s">
        <v>34</v>
      </c>
      <c r="F18" s="10" t="s">
        <v>6</v>
      </c>
    </row>
    <row r="19" customFormat="false" ht="15.75" hidden="false" customHeight="true" outlineLevel="0" collapsed="false">
      <c r="A19" s="16" t="n">
        <v>46273</v>
      </c>
      <c r="B19" s="17" t="s">
        <v>35</v>
      </c>
      <c r="C19" s="18" t="n">
        <v>15000</v>
      </c>
      <c r="F19" s="10" t="s">
        <v>6</v>
      </c>
    </row>
    <row r="20" customFormat="false" ht="15.75" hidden="false" customHeight="true" outlineLevel="0" collapsed="false">
      <c r="A20" s="7" t="n">
        <v>46273</v>
      </c>
      <c r="B20" s="8" t="s">
        <v>36</v>
      </c>
      <c r="C20" s="9" t="n">
        <v>-44</v>
      </c>
      <c r="D20" s="2" t="s">
        <v>37</v>
      </c>
      <c r="F20" s="10" t="s">
        <v>6</v>
      </c>
    </row>
    <row r="21" customFormat="false" ht="15.75" hidden="false" customHeight="true" outlineLevel="0" collapsed="false">
      <c r="A21" s="7" t="n">
        <v>46273</v>
      </c>
      <c r="B21" s="8" t="s">
        <v>36</v>
      </c>
      <c r="C21" s="9" t="n">
        <v>-44</v>
      </c>
      <c r="D21" s="2" t="s">
        <v>38</v>
      </c>
      <c r="F21" s="10" t="s">
        <v>6</v>
      </c>
    </row>
    <row r="22" customFormat="false" ht="15.75" hidden="false" customHeight="true" outlineLevel="0" collapsed="false">
      <c r="A22" s="7" t="n">
        <v>46273</v>
      </c>
      <c r="B22" s="8" t="s">
        <v>36</v>
      </c>
      <c r="C22" s="9" t="n">
        <v>-44</v>
      </c>
      <c r="D22" s="2" t="s">
        <v>39</v>
      </c>
      <c r="F22" s="10" t="s">
        <v>6</v>
      </c>
    </row>
    <row r="23" customFormat="false" ht="15.75" hidden="false" customHeight="true" outlineLevel="0" collapsed="false">
      <c r="A23" s="7" t="n">
        <v>46274</v>
      </c>
      <c r="B23" s="8" t="s">
        <v>36</v>
      </c>
      <c r="C23" s="9" t="n">
        <v>-44</v>
      </c>
      <c r="D23" s="2" t="s">
        <v>40</v>
      </c>
      <c r="F23" s="10" t="s">
        <v>6</v>
      </c>
    </row>
    <row r="24" customFormat="false" ht="15.75" hidden="false" customHeight="true" outlineLevel="0" collapsed="false">
      <c r="A24" s="7" t="n">
        <v>46278</v>
      </c>
      <c r="B24" s="8" t="s">
        <v>30</v>
      </c>
      <c r="C24" s="9" t="n">
        <v>-76.94</v>
      </c>
      <c r="D24" s="2" t="s">
        <v>41</v>
      </c>
      <c r="F24" s="10" t="s">
        <v>6</v>
      </c>
    </row>
    <row r="25" customFormat="false" ht="15.75" hidden="false" customHeight="true" outlineLevel="0" collapsed="false">
      <c r="A25" s="7" t="n">
        <v>46280</v>
      </c>
      <c r="B25" s="8" t="s">
        <v>42</v>
      </c>
      <c r="C25" s="9" t="n">
        <v>-270.19</v>
      </c>
      <c r="D25" s="2" t="s">
        <v>43</v>
      </c>
      <c r="F25" s="10" t="s">
        <v>6</v>
      </c>
    </row>
    <row r="26" customFormat="false" ht="15.75" hidden="false" customHeight="true" outlineLevel="0" collapsed="false">
      <c r="A26" s="7" t="n">
        <v>46280</v>
      </c>
      <c r="B26" s="8" t="s">
        <v>26</v>
      </c>
      <c r="C26" s="9" t="n">
        <v>-20</v>
      </c>
      <c r="D26" s="2" t="s">
        <v>44</v>
      </c>
      <c r="F26" s="10" t="s">
        <v>6</v>
      </c>
    </row>
    <row r="27" customFormat="false" ht="15.75" hidden="false" customHeight="true" outlineLevel="0" collapsed="false">
      <c r="A27" s="7" t="n">
        <v>46281</v>
      </c>
      <c r="B27" s="8" t="s">
        <v>45</v>
      </c>
      <c r="C27" s="9" t="n">
        <v>-431</v>
      </c>
      <c r="F27" s="10" t="s">
        <v>6</v>
      </c>
    </row>
    <row r="28" customFormat="false" ht="15.75" hidden="false" customHeight="true" outlineLevel="0" collapsed="false">
      <c r="A28" s="16" t="n">
        <v>46282</v>
      </c>
      <c r="B28" s="17" t="s">
        <v>35</v>
      </c>
      <c r="C28" s="18" t="n">
        <v>4224.75</v>
      </c>
      <c r="F28" s="10" t="s">
        <v>6</v>
      </c>
    </row>
    <row r="29" customFormat="false" ht="15.75" hidden="false" customHeight="true" outlineLevel="0" collapsed="false">
      <c r="A29" s="7" t="n">
        <v>46282</v>
      </c>
      <c r="B29" s="8" t="s">
        <v>46</v>
      </c>
      <c r="C29" s="9" t="n">
        <v>-501.91</v>
      </c>
      <c r="D29" s="2" t="s">
        <v>47</v>
      </c>
      <c r="F29" s="11"/>
      <c r="G29" s="12" t="s">
        <v>48</v>
      </c>
    </row>
    <row r="30" customFormat="false" ht="15.75" hidden="false" customHeight="true" outlineLevel="0" collapsed="false">
      <c r="A30" s="7" t="n">
        <v>46283</v>
      </c>
      <c r="B30" s="8" t="s">
        <v>49</v>
      </c>
      <c r="C30" s="9" t="n">
        <v>-37.62</v>
      </c>
      <c r="F30" s="10" t="s">
        <v>6</v>
      </c>
    </row>
    <row r="31" customFormat="false" ht="15.75" hidden="false" customHeight="true" outlineLevel="0" collapsed="false">
      <c r="A31" s="7" t="n">
        <v>46283</v>
      </c>
      <c r="B31" s="8" t="s">
        <v>50</v>
      </c>
      <c r="C31" s="9" t="n">
        <v>-550</v>
      </c>
      <c r="F31" s="10" t="s">
        <v>6</v>
      </c>
    </row>
    <row r="32" customFormat="false" ht="15.75" hidden="false" customHeight="true" outlineLevel="0" collapsed="false">
      <c r="A32" s="7" t="n">
        <v>46283</v>
      </c>
      <c r="B32" s="8" t="s">
        <v>26</v>
      </c>
      <c r="C32" s="9" t="n">
        <v>-20</v>
      </c>
      <c r="D32" s="2" t="s">
        <v>51</v>
      </c>
      <c r="F32" s="10" t="s">
        <v>6</v>
      </c>
    </row>
    <row r="33" customFormat="false" ht="15.75" hidden="false" customHeight="true" outlineLevel="0" collapsed="false">
      <c r="A33" s="19" t="n">
        <v>46284</v>
      </c>
      <c r="B33" s="20" t="s">
        <v>52</v>
      </c>
      <c r="C33" s="21" t="n">
        <v>-165.86</v>
      </c>
      <c r="D33" s="20" t="s">
        <v>53</v>
      </c>
      <c r="F33" s="22"/>
      <c r="G33" s="23" t="s">
        <v>54</v>
      </c>
    </row>
    <row r="34" customFormat="false" ht="15.75" hidden="false" customHeight="true" outlineLevel="0" collapsed="false">
      <c r="A34" s="19" t="n">
        <v>46287</v>
      </c>
      <c r="B34" s="20" t="s">
        <v>55</v>
      </c>
      <c r="C34" s="21" t="n">
        <v>-9.83</v>
      </c>
      <c r="D34" s="20" t="s">
        <v>53</v>
      </c>
      <c r="F34" s="22"/>
      <c r="G34" s="23" t="s">
        <v>54</v>
      </c>
    </row>
    <row r="35" customFormat="false" ht="15.75" hidden="false" customHeight="true" outlineLevel="0" collapsed="false">
      <c r="A35" s="7" t="n">
        <v>46287</v>
      </c>
      <c r="B35" s="8" t="s">
        <v>56</v>
      </c>
      <c r="C35" s="9" t="n">
        <v>-808.95</v>
      </c>
      <c r="D35" s="2" t="s">
        <v>57</v>
      </c>
      <c r="F35" s="10" t="s">
        <v>6</v>
      </c>
    </row>
    <row r="36" customFormat="false" ht="15.75" hidden="false" customHeight="true" outlineLevel="0" collapsed="false">
      <c r="A36" s="7" t="n">
        <v>46287</v>
      </c>
      <c r="B36" s="8" t="s">
        <v>58</v>
      </c>
      <c r="C36" s="9" t="n">
        <v>-657.5</v>
      </c>
      <c r="D36" s="2" t="s">
        <v>59</v>
      </c>
      <c r="F36" s="10" t="s">
        <v>6</v>
      </c>
    </row>
    <row r="37" customFormat="false" ht="15.75" hidden="false" customHeight="true" outlineLevel="0" collapsed="false">
      <c r="A37" s="7" t="n">
        <v>46287</v>
      </c>
      <c r="B37" s="8" t="s">
        <v>60</v>
      </c>
      <c r="C37" s="9" t="n">
        <v>-43.99</v>
      </c>
      <c r="D37" s="2" t="s">
        <v>61</v>
      </c>
      <c r="F37" s="10" t="s">
        <v>6</v>
      </c>
    </row>
    <row r="38" customFormat="false" ht="15.75" hidden="false" customHeight="true" outlineLevel="0" collapsed="false">
      <c r="A38" s="7" t="n">
        <v>46287</v>
      </c>
      <c r="B38" s="8" t="s">
        <v>60</v>
      </c>
      <c r="C38" s="9" t="n">
        <v>-7.99</v>
      </c>
      <c r="D38" s="2" t="s">
        <v>62</v>
      </c>
      <c r="F38" s="10" t="s">
        <v>6</v>
      </c>
    </row>
    <row r="39" customFormat="false" ht="15.75" hidden="false" customHeight="true" outlineLevel="0" collapsed="false">
      <c r="A39" s="7" t="n">
        <v>46288</v>
      </c>
      <c r="B39" s="8" t="s">
        <v>63</v>
      </c>
      <c r="C39" s="9" t="n">
        <v>-629.66</v>
      </c>
      <c r="F39" s="10" t="s">
        <v>6</v>
      </c>
    </row>
    <row r="40" customFormat="false" ht="15.75" hidden="false" customHeight="true" outlineLevel="0" collapsed="false">
      <c r="A40" s="16" t="n">
        <v>46289</v>
      </c>
      <c r="B40" s="17" t="s">
        <v>58</v>
      </c>
      <c r="C40" s="18" t="n">
        <v>657.5</v>
      </c>
      <c r="D40" s="2" t="s">
        <v>64</v>
      </c>
      <c r="F40" s="10" t="s">
        <v>6</v>
      </c>
    </row>
    <row r="41" customFormat="false" ht="15.75" hidden="false" customHeight="true" outlineLevel="0" collapsed="false">
      <c r="A41" s="19" t="n">
        <v>46289</v>
      </c>
      <c r="B41" s="20" t="s">
        <v>65</v>
      </c>
      <c r="C41" s="21" t="n">
        <v>-33.1</v>
      </c>
      <c r="D41" s="20" t="s">
        <v>53</v>
      </c>
      <c r="F41" s="22"/>
      <c r="G41" s="23" t="s">
        <v>54</v>
      </c>
    </row>
    <row r="42" customFormat="false" ht="15.75" hidden="false" customHeight="true" outlineLevel="0" collapsed="false">
      <c r="A42" s="7" t="n">
        <v>46289</v>
      </c>
      <c r="B42" s="8" t="s">
        <v>66</v>
      </c>
      <c r="C42" s="9" t="n">
        <v>-107</v>
      </c>
      <c r="F42" s="10" t="s">
        <v>6</v>
      </c>
    </row>
    <row r="43" customFormat="false" ht="15.75" hidden="false" customHeight="true" outlineLevel="0" collapsed="false">
      <c r="A43" s="7" t="n">
        <v>46290</v>
      </c>
      <c r="B43" s="8" t="s">
        <v>67</v>
      </c>
      <c r="C43" s="9" t="n">
        <v>-611.32</v>
      </c>
      <c r="D43" s="2" t="s">
        <v>68</v>
      </c>
      <c r="F43" s="10" t="s">
        <v>6</v>
      </c>
    </row>
    <row r="44" customFormat="false" ht="15.75" hidden="false" customHeight="true" outlineLevel="0" collapsed="false">
      <c r="A44" s="7" t="n">
        <v>46290</v>
      </c>
      <c r="B44" s="8" t="s">
        <v>69</v>
      </c>
      <c r="C44" s="9" t="n">
        <v>-39.99</v>
      </c>
      <c r="D44" s="2" t="s">
        <v>70</v>
      </c>
      <c r="F44" s="10" t="s">
        <v>6</v>
      </c>
      <c r="G44" s="12" t="s">
        <v>71</v>
      </c>
    </row>
    <row r="45" customFormat="false" ht="15.75" hidden="false" customHeight="true" outlineLevel="0" collapsed="false">
      <c r="A45" s="7" t="n">
        <v>46290</v>
      </c>
      <c r="B45" s="8" t="s">
        <v>72</v>
      </c>
      <c r="C45" s="9" t="n">
        <v>-27.99</v>
      </c>
      <c r="D45" s="2" t="s">
        <v>73</v>
      </c>
      <c r="F45" s="10" t="s">
        <v>6</v>
      </c>
      <c r="G45" s="23" t="s">
        <v>74</v>
      </c>
    </row>
    <row r="46" customFormat="false" ht="15.75" hidden="false" customHeight="true" outlineLevel="0" collapsed="false">
      <c r="A46" s="16" t="n">
        <v>46290</v>
      </c>
      <c r="B46" s="17" t="s">
        <v>75</v>
      </c>
      <c r="C46" s="18" t="n">
        <v>16.49</v>
      </c>
      <c r="F46" s="22"/>
      <c r="G46" s="23" t="s">
        <v>76</v>
      </c>
    </row>
    <row r="47" customFormat="false" ht="15.75" hidden="false" customHeight="true" outlineLevel="0" collapsed="false">
      <c r="A47" s="16" t="n">
        <v>46290</v>
      </c>
      <c r="B47" s="17" t="s">
        <v>75</v>
      </c>
      <c r="C47" s="18" t="n">
        <v>16.49</v>
      </c>
      <c r="F47" s="22"/>
      <c r="G47" s="23" t="s">
        <v>76</v>
      </c>
    </row>
    <row r="48" customFormat="false" ht="15.75" hidden="false" customHeight="true" outlineLevel="0" collapsed="false">
      <c r="A48" s="16" t="n">
        <v>46290</v>
      </c>
      <c r="B48" s="17" t="s">
        <v>75</v>
      </c>
      <c r="C48" s="18" t="n">
        <v>16.49</v>
      </c>
      <c r="F48" s="22"/>
      <c r="G48" s="23" t="s">
        <v>76</v>
      </c>
    </row>
    <row r="49" customFormat="false" ht="15.75" hidden="false" customHeight="true" outlineLevel="0" collapsed="false">
      <c r="A49" s="16" t="n">
        <v>46290</v>
      </c>
      <c r="B49" s="17" t="s">
        <v>75</v>
      </c>
      <c r="C49" s="18" t="n">
        <v>16.49</v>
      </c>
      <c r="F49" s="22"/>
      <c r="G49" s="23" t="s">
        <v>76</v>
      </c>
    </row>
    <row r="50" customFormat="false" ht="15.75" hidden="false" customHeight="true" outlineLevel="0" collapsed="false">
      <c r="A50" s="19" t="n">
        <v>46290</v>
      </c>
      <c r="B50" s="20" t="s">
        <v>77</v>
      </c>
      <c r="C50" s="21" t="n">
        <v>-2186.52</v>
      </c>
      <c r="D50" s="20" t="s">
        <v>78</v>
      </c>
      <c r="F50" s="22"/>
      <c r="G50" s="23" t="s">
        <v>79</v>
      </c>
    </row>
    <row r="51" customFormat="false" ht="15.75" hidden="false" customHeight="true" outlineLevel="0" collapsed="false">
      <c r="A51" s="7" t="n">
        <v>46292</v>
      </c>
      <c r="B51" s="8" t="s">
        <v>80</v>
      </c>
      <c r="C51" s="9" t="n">
        <v>-99</v>
      </c>
      <c r="F51" s="10" t="s">
        <v>6</v>
      </c>
      <c r="G51" s="23" t="s">
        <v>81</v>
      </c>
    </row>
    <row r="52" customFormat="false" ht="15.75" hidden="false" customHeight="true" outlineLevel="0" collapsed="false">
      <c r="A52" s="7" t="n">
        <v>46293</v>
      </c>
      <c r="B52" s="8" t="s">
        <v>82</v>
      </c>
      <c r="C52" s="9" t="n">
        <v>-1835.3</v>
      </c>
      <c r="D52" s="2" t="s">
        <v>83</v>
      </c>
      <c r="F52" s="10" t="s">
        <v>6</v>
      </c>
      <c r="G52" s="23" t="s">
        <v>84</v>
      </c>
    </row>
    <row r="53" customFormat="false" ht="15.75" hidden="false" customHeight="true" outlineLevel="0" collapsed="false">
      <c r="A53" s="7" t="n">
        <v>46293</v>
      </c>
      <c r="B53" s="8" t="s">
        <v>85</v>
      </c>
      <c r="C53" s="9" t="n">
        <v>-323.97</v>
      </c>
      <c r="F53" s="10" t="s">
        <v>6</v>
      </c>
    </row>
    <row r="54" customFormat="false" ht="15.75" hidden="false" customHeight="true" outlineLevel="0" collapsed="false">
      <c r="A54" s="7" t="n">
        <v>46294</v>
      </c>
      <c r="B54" s="8" t="s">
        <v>60</v>
      </c>
      <c r="C54" s="9" t="n">
        <v>-95.99</v>
      </c>
      <c r="D54" s="2" t="s">
        <v>86</v>
      </c>
      <c r="F54" s="24" t="s">
        <v>6</v>
      </c>
    </row>
    <row r="55" customFormat="false" ht="15.75" hidden="false" customHeight="true" outlineLevel="0" collapsed="false">
      <c r="A55" s="7" t="n">
        <v>46294</v>
      </c>
      <c r="B55" s="8" t="s">
        <v>87</v>
      </c>
      <c r="C55" s="9" t="n">
        <v>-100</v>
      </c>
      <c r="D55" s="2" t="s">
        <v>88</v>
      </c>
      <c r="F55" s="10" t="s">
        <v>6</v>
      </c>
    </row>
    <row r="56" customFormat="false" ht="15.75" hidden="false" customHeight="true" outlineLevel="0" collapsed="false">
      <c r="A56" s="7" t="n">
        <v>46294</v>
      </c>
      <c r="B56" s="8" t="s">
        <v>89</v>
      </c>
      <c r="C56" s="9" t="n">
        <v>-377.13</v>
      </c>
      <c r="D56" s="2" t="s">
        <v>90</v>
      </c>
      <c r="F56" s="10" t="s">
        <v>6</v>
      </c>
    </row>
    <row r="57" customFormat="false" ht="15.75" hidden="false" customHeight="true" outlineLevel="0" collapsed="false">
      <c r="A57" s="7" t="n">
        <v>46294</v>
      </c>
      <c r="B57" s="8" t="s">
        <v>91</v>
      </c>
      <c r="C57" s="9" t="n">
        <v>-202.47</v>
      </c>
      <c r="D57" s="2" t="s">
        <v>92</v>
      </c>
      <c r="F57" s="10" t="s">
        <v>6</v>
      </c>
    </row>
    <row r="58" customFormat="false" ht="15.75" hidden="false" customHeight="true" outlineLevel="0" collapsed="false">
      <c r="A58" s="7" t="n">
        <v>46295</v>
      </c>
      <c r="B58" s="8" t="s">
        <v>93</v>
      </c>
      <c r="C58" s="9" t="n">
        <v>-27.99</v>
      </c>
      <c r="D58" s="2" t="s">
        <v>94</v>
      </c>
      <c r="F58" s="10" t="s">
        <v>6</v>
      </c>
    </row>
    <row r="59" customFormat="false" ht="15.75" hidden="false" customHeight="true" outlineLevel="0" collapsed="false">
      <c r="A59" s="7" t="n">
        <v>46295</v>
      </c>
      <c r="B59" s="8" t="s">
        <v>95</v>
      </c>
      <c r="C59" s="9" t="n">
        <v>-64.78</v>
      </c>
      <c r="D59" s="2" t="s">
        <v>96</v>
      </c>
      <c r="F59" s="10" t="s">
        <v>6</v>
      </c>
    </row>
    <row r="60" customFormat="false" ht="15.75" hidden="false" customHeight="true" outlineLevel="0" collapsed="false">
      <c r="A60" s="7" t="n">
        <v>46295</v>
      </c>
      <c r="B60" s="8" t="s">
        <v>95</v>
      </c>
      <c r="C60" s="9" t="n">
        <v>-64.78</v>
      </c>
      <c r="D60" s="2" t="s">
        <v>97</v>
      </c>
      <c r="F60" s="10" t="s">
        <v>6</v>
      </c>
    </row>
    <row r="61" customFormat="false" ht="15.75" hidden="false" customHeight="true" outlineLevel="0" collapsed="false">
      <c r="C61" s="3" t="n">
        <f aca="false">SUM(C2:C60)</f>
        <v>-1076.83</v>
      </c>
      <c r="F61" s="22"/>
    </row>
    <row r="62" customFormat="false" ht="15.75" hidden="false" customHeight="true" outlineLevel="0" collapsed="false">
      <c r="F62" s="22"/>
    </row>
    <row r="63" customFormat="false" ht="15.75" hidden="false" customHeight="true" outlineLevel="0" collapsed="false">
      <c r="B63" s="23" t="s">
        <v>98</v>
      </c>
      <c r="F63" s="22"/>
    </row>
    <row r="64" customFormat="false" ht="15.75" hidden="false" customHeight="true" outlineLevel="0" collapsed="false">
      <c r="A64" s="19"/>
      <c r="B64" s="23" t="s">
        <v>99</v>
      </c>
      <c r="C64" s="21"/>
      <c r="F64" s="22"/>
    </row>
    <row r="65" customFormat="false" ht="15.75" hidden="false" customHeight="true" outlineLevel="0" collapsed="false">
      <c r="A65" s="19"/>
      <c r="B65" s="20"/>
      <c r="C65" s="21"/>
      <c r="F65" s="22"/>
    </row>
    <row r="66" customFormat="false" ht="15.75" hidden="false" customHeight="true" outlineLevel="0" collapsed="false">
      <c r="A66" s="19"/>
      <c r="B66" s="20"/>
      <c r="C66" s="21"/>
      <c r="F66" s="22"/>
    </row>
    <row r="67" customFormat="false" ht="15.75" hidden="false" customHeight="true" outlineLevel="0" collapsed="false">
      <c r="F67" s="22"/>
    </row>
    <row r="68" customFormat="false" ht="15.75" hidden="false" customHeight="true" outlineLevel="0" collapsed="false">
      <c r="F68" s="22"/>
    </row>
    <row r="69" customFormat="false" ht="15.75" hidden="false" customHeight="true" outlineLevel="0" collapsed="false">
      <c r="F69" s="22"/>
    </row>
    <row r="70" customFormat="false" ht="15.75" hidden="false" customHeight="true" outlineLevel="0" collapsed="false">
      <c r="F70" s="22"/>
    </row>
    <row r="71" customFormat="false" ht="15.75" hidden="false" customHeight="true" outlineLevel="0" collapsed="false">
      <c r="F71" s="22"/>
    </row>
    <row r="72" customFormat="false" ht="15.75" hidden="false" customHeight="true" outlineLevel="0" collapsed="false">
      <c r="F72" s="22"/>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2026-09-15T05:10:46Z</dcterms:created>
  <dc:creator>Emelda Waiya</dc:creator>
  <dc:description/>
  <dc:language>en-US</dc:language>
  <cp:lastModifiedBy>Danica Nelson</cp:lastModifiedBy>
  <dcterms:modified xsi:type="dcterms:W3CDTF">2026-10-07T10:08:41Z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0x01010095D8E4D2559E924A87A79F54B9BAD5BE</vt:lpwstr>
  </property>
  <property fmtid="{D5CDD505-2E9C-101B-9397-08002B2CF9AE}" pid="3" name="MediaServiceImageTags">
    <vt:lpwstr/>
  </property>
</Properties>
</file>