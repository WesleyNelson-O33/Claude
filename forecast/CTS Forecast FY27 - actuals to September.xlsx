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ONS" sheetId="2" state="visible" r:id="rId4"/>
    <sheet name="PRD" sheetId="3" state="visible" r:id="rId5"/>
    <sheet name="C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<sst xmlns="http://schemas.openxmlformats.org/spreadsheetml/2006/main" count="180" uniqueCount="87">
  <si>
    <t xml:space="preserve">CTS forecast FY27</t>
  </si>
  <si>
    <t xml:space="preserve">July to September are actual, taken from the controller pack, which is the Xero GL.</t>
  </si>
  <si>
    <t xml:space="preserve">The overhead charged to each department uses the controller pack's split, the same three keys that drive the ONS, PRD and CONS management pages.</t>
  </si>
  <si>
    <t xml:space="preserve">October to June are her budget, carried over unchanged from the forecast workbook.</t>
  </si>
  <si>
    <t xml:space="preserve">October has not been closed. There is a Xero snapshot of it further down, at company level only.</t>
  </si>
  <si>
    <t xml:space="preserve">1. THE THREE GROUPS, BY MONTH</t>
  </si>
  <si>
    <t xml:space="preserve">Group</t>
  </si>
  <si>
    <t xml:space="preserve">July</t>
  </si>
  <si>
    <t xml:space="preserve">August</t>
  </si>
  <si>
    <t xml:space="preserve">September</t>
  </si>
  <si>
    <t xml:space="preserve">October</t>
  </si>
  <si>
    <t xml:space="preserve">November</t>
  </si>
  <si>
    <t xml:space="preserve">December</t>
  </si>
  <si>
    <t xml:space="preserve">January</t>
  </si>
  <si>
    <t xml:space="preserve">February</t>
  </si>
  <si>
    <t xml:space="preserve">March</t>
  </si>
  <si>
    <t xml:space="preserve">April</t>
  </si>
  <si>
    <t xml:space="preserve">May</t>
  </si>
  <si>
    <t xml:space="preserve">June</t>
  </si>
  <si>
    <t xml:space="preserve">Total</t>
  </si>
  <si>
    <t xml:space="preserve">YTD actual</t>
  </si>
  <si>
    <t xml:space="preserve">Total Revenue</t>
  </si>
  <si>
    <t xml:space="preserve">   ONS</t>
  </si>
  <si>
    <t xml:space="preserve">   PRD</t>
  </si>
  <si>
    <t xml:space="preserve">   CONS</t>
  </si>
  <si>
    <t xml:space="preserve">   CTS</t>
  </si>
  <si>
    <t xml:space="preserve">Total COGs</t>
  </si>
  <si>
    <t xml:space="preserve">Total overhead</t>
  </si>
  <si>
    <t xml:space="preserve">Net Profit</t>
  </si>
  <si>
    <t xml:space="preserve">2. OCTOBER SNAPSHOT FROM XERO, 1 TO 26 OCTOBER 2026</t>
  </si>
  <si>
    <t xml:space="preserve">This is not a closed month and not a forecast input.</t>
  </si>
  <si>
    <t xml:space="preserve">The month's invoicing is not raised, so revenue is well short. The Xero report data was last refreshed 23 October 2026.</t>
  </si>
  <si>
    <t xml:space="preserve">Line</t>
  </si>
  <si>
    <t xml:space="preserve">Per Xero</t>
  </si>
  <si>
    <t xml:space="preserve">October budget</t>
  </si>
  <si>
    <t xml:space="preserve">Difference</t>
  </si>
  <si>
    <t xml:space="preserve">Total income</t>
  </si>
  <si>
    <t xml:space="preserve">Cost of sales</t>
  </si>
  <si>
    <t xml:space="preserve">Overheads</t>
  </si>
  <si>
    <t xml:space="preserve">Other income</t>
  </si>
  <si>
    <t xml:space="preserve">Net profit</t>
  </si>
  <si>
    <t xml:space="preserve">3. WHAT IS NOT IN THE ACTUAL MONTHS</t>
  </si>
  <si>
    <t xml:space="preserve">Four forecast lines carry nothing in July to September, because nothing in the GL identifies them on its own:</t>
  </si>
  <si>
    <t xml:space="preserve">   ONS, PWC IT Nat. Pool of Hrs COS. It is a job number, not an account.</t>
  </si>
  <si>
    <t xml:space="preserve">   ONS, Discretionary Bonuses.</t>
  </si>
  <si>
    <t xml:space="preserve">   PRD, Salaries FT Fixed Term.</t>
  </si>
  <si>
    <t xml:space="preserve">   CONS, Aware Super (COS).</t>
  </si>
  <si>
    <t xml:space="preserve">The cost itself is in the line that carries it, so every total is right. Tell me which accounts or jobs feed those four and I will split them out.</t>
  </si>
  <si>
    <t xml:space="preserve">October by department needs the October GL export, the same file that goes into the controller pack. Xero on its own cannot split it, because the largest October accounts carry no department in the name.</t>
  </si>
  <si>
    <t xml:space="preserve">ONS  forecast FY27</t>
  </si>
  <si>
    <t xml:space="preserve">July to September are actual, from the controller pack. October to June are her budget, unchanged.</t>
  </si>
  <si>
    <t xml:space="preserve">Mobile</t>
  </si>
  <si>
    <t xml:space="preserve">Hotline</t>
  </si>
  <si>
    <t xml:space="preserve">Spotify</t>
  </si>
  <si>
    <t xml:space="preserve">Revenue</t>
  </si>
  <si>
    <t xml:space="preserve">Direct Salaries</t>
  </si>
  <si>
    <t xml:space="preserve">Direct Superannuation</t>
  </si>
  <si>
    <t xml:space="preserve">PWC IT Nat. Pool of Hrs COS</t>
  </si>
  <si>
    <t xml:space="preserve">Salaries (Casual + Super + Spacera)</t>
  </si>
  <si>
    <t xml:space="preserve">Discretionary Bonuses</t>
  </si>
  <si>
    <t xml:space="preserve">Equipment &amp; Services</t>
  </si>
  <si>
    <t xml:space="preserve">Transport</t>
  </si>
  <si>
    <t xml:space="preserve">OVERHEAD CHARGED TO THE DEPARTMENT</t>
  </si>
  <si>
    <t xml:space="preserve">Business Insurances</t>
  </si>
  <si>
    <t xml:space="preserve">Employment Expenses</t>
  </si>
  <si>
    <t xml:space="preserve">General &amp; Administrative Exp</t>
  </si>
  <si>
    <t xml:space="preserve">Operating Expenses</t>
  </si>
  <si>
    <t xml:space="preserve">RESULT</t>
  </si>
  <si>
    <t xml:space="preserve">Gross Profit</t>
  </si>
  <si>
    <t xml:space="preserve">Gross Profit Margin</t>
  </si>
  <si>
    <t xml:space="preserve">Net Profit Margin</t>
  </si>
  <si>
    <t xml:space="preserve">PRD  forecast FY27</t>
  </si>
  <si>
    <t xml:space="preserve">Direct Salaries (Production)</t>
  </si>
  <si>
    <t xml:space="preserve">Direct Salaries (Video)</t>
  </si>
  <si>
    <t xml:space="preserve">Direct Superannuation (Production)</t>
  </si>
  <si>
    <t xml:space="preserve">Direct Superannuation (Video)</t>
  </si>
  <si>
    <t xml:space="preserve">Salaries FT Fixed Term (Gross + Super)</t>
  </si>
  <si>
    <t xml:space="preserve">Salaries Casual Production (Gross + Super)</t>
  </si>
  <si>
    <t xml:space="preserve">Salaries Casual Video (Gross + Super)</t>
  </si>
  <si>
    <t xml:space="preserve">Equipment (Production)</t>
  </si>
  <si>
    <t xml:space="preserve">Equipment (Video)</t>
  </si>
  <si>
    <t xml:space="preserve">Transportation (Production)</t>
  </si>
  <si>
    <t xml:space="preserve">Transportation (Video)</t>
  </si>
  <si>
    <t xml:space="preserve">CONS  forecast FY27</t>
  </si>
  <si>
    <t xml:space="preserve">INT- Equip/Sub-Contract/Licenses</t>
  </si>
  <si>
    <t xml:space="preserve">Aware Super (COS)</t>
  </si>
  <si>
    <t xml:space="preserve">Transport (INT &amp; CONS)</t>
  </si>
</sst>
</file>

<file path=xl/styles.xml><?xml version="1.0" encoding="utf-8"?>
<styleSheet xmlns="http://schemas.openxmlformats.org/spreadsheetml/2006/main">
  <numFmts count="3">
    <numFmt numFmtId="164" formatCode="General"/>
    <numFmt numFmtId="165" formatCode="#,##0;[RED]\(#,##0\);\-"/>
    <numFmt numFmtId="166" formatCode="0.0%;[RED]\(0.0%\);\-"/>
  </numFmts>
  <fonts count="9">
    <font>
      <sz val="11"/>
      <color theme="1"/>
      <name val="Calibri"/>
      <family val="2"/>
      <charset val="1"/>
    </font>
    <font>
      <sz val="10"/>
      <name val="Arial"/>
      <family val="0"/>
    </font>
    <font>
      <sz val="10"/>
      <name val="Arial"/>
      <family val="0"/>
    </font>
    <font>
      <sz val="10"/>
      <name val="Arial"/>
      <family val="0"/>
    </font>
    <font>
      <b val="true"/>
      <sz val="14"/>
      <color rgb="FF242C39"/>
      <name val="Calibri"/>
      <family val="0"/>
      <charset val="1"/>
    </font>
    <font>
      <sz val="10"/>
      <color rgb="FF6B7585"/>
      <name val="Calibri"/>
      <family val="0"/>
      <charset val="1"/>
    </font>
    <font>
      <b val="true"/>
      <sz val="11"/>
      <color rgb="FFFFFFFF"/>
      <name val="Calibri"/>
      <family val="0"/>
      <charset val="1"/>
    </font>
    <font>
      <b val="true"/>
      <sz val="11"/>
      <color rgb="FF242C39"/>
      <name val="Calibri"/>
      <family val="0"/>
      <charset val="1"/>
    </font>
    <font>
      <sz val="11"/>
      <color rgb="FF242C39"/>
      <name val="Calibri"/>
      <family val="0"/>
      <charset val="1"/>
    </font>
  </fonts>
  <fills count="5">
    <fill>
      <patternFill patternType="none"/>
    </fill>
    <fill>
      <patternFill patternType="gray125"/>
    </fill>
    <fill>
      <patternFill patternType="solid">
        <fgColor rgb="FF242C39"/>
        <bgColor rgb="FF333300"/>
      </patternFill>
    </fill>
    <fill>
      <patternFill patternType="solid">
        <fgColor rgb="FFE8F4F3"/>
        <bgColor rgb="FFF4F4F4"/>
      </patternFill>
    </fill>
    <fill>
      <patternFill patternType="solid">
        <fgColor rgb="FFF4F4F4"/>
        <bgColor rgb="FFE8F4F3"/>
      </patternFill>
    </fill>
  </fills>
  <borders count="2">
    <border diagonalUp="false" diagonalDown="false">
      <left/>
      <right/>
      <top/>
      <bottom/>
      <diagonal/>
    </border>
    <border diagonalUp="false" diagonalDown="false">
      <left/>
      <right/>
      <top/>
      <bottom style="medium">
        <color rgb="FF242C3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5" fontId="7" fillId="3" borderId="0" xfId="0" applyFont="true" applyBorder="false" applyAlignment="false" applyProtection="false">
      <alignment horizontal="general" vertical="bottom" textRotation="0" wrapText="false" indent="0" shrinkToFit="false"/>
      <protection locked="true" hidden="false"/>
    </xf>
    <xf numFmtId="166" fontId="7" fillId="3"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4F4"/>
      <rgbColor rgb="FFE8F4F3"/>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585"/>
      <rgbColor rgb="FF969696"/>
      <rgbColor rgb="FF003366"/>
      <rgbColor rgb="FF339966"/>
      <rgbColor rgb="FF003300"/>
      <rgbColor rgb="FF333300"/>
      <rgbColor rgb="FF993300"/>
      <rgbColor rgb="FF993366"/>
      <rgbColor rgb="FF333399"/>
      <rgbColor rgb="FF242C3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15" min="2" style="0" width="13"/>
  </cols>
  <sheetData>
    <row r="1" customFormat="false" ht="17.3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8" customFormat="false" ht="15" hidden="false" customHeight="false" outlineLevel="0" collapsed="false">
      <c r="A8" s="3" t="s">
        <v>5</v>
      </c>
      <c r="B8" s="4"/>
      <c r="C8" s="4"/>
      <c r="D8" s="4"/>
      <c r="E8" s="4"/>
      <c r="F8" s="4"/>
      <c r="G8" s="4"/>
      <c r="H8" s="4"/>
      <c r="I8" s="4"/>
      <c r="J8" s="4"/>
      <c r="K8" s="4"/>
      <c r="L8" s="4"/>
      <c r="M8" s="4"/>
      <c r="N8" s="4"/>
      <c r="O8" s="4"/>
    </row>
    <row r="9" customFormat="false" ht="15" hidden="false" customHeight="false" outlineLevel="0" collapsed="false">
      <c r="A9" s="5" t="s">
        <v>6</v>
      </c>
      <c r="B9" s="6" t="s">
        <v>7</v>
      </c>
      <c r="C9" s="6" t="s">
        <v>8</v>
      </c>
      <c r="D9" s="6" t="s">
        <v>9</v>
      </c>
      <c r="E9" s="7" t="s">
        <v>10</v>
      </c>
      <c r="F9" s="7" t="s">
        <v>11</v>
      </c>
      <c r="G9" s="7" t="s">
        <v>12</v>
      </c>
      <c r="H9" s="7" t="s">
        <v>13</v>
      </c>
      <c r="I9" s="7" t="s">
        <v>14</v>
      </c>
      <c r="J9" s="7" t="s">
        <v>15</v>
      </c>
      <c r="K9" s="7" t="s">
        <v>16</v>
      </c>
      <c r="L9" s="7" t="s">
        <v>17</v>
      </c>
      <c r="M9" s="7" t="s">
        <v>18</v>
      </c>
      <c r="N9" s="5" t="s">
        <v>19</v>
      </c>
      <c r="O9" s="5" t="s">
        <v>20</v>
      </c>
    </row>
    <row r="10" customFormat="false" ht="15" hidden="false" customHeight="false" outlineLevel="0" collapsed="false">
      <c r="A10" s="3" t="s">
        <v>21</v>
      </c>
      <c r="B10" s="4"/>
      <c r="C10" s="4"/>
      <c r="D10" s="4"/>
      <c r="E10" s="4"/>
      <c r="F10" s="4"/>
      <c r="G10" s="4"/>
      <c r="H10" s="4"/>
      <c r="I10" s="4"/>
      <c r="J10" s="4"/>
      <c r="K10" s="4"/>
      <c r="L10" s="4"/>
      <c r="M10" s="4"/>
      <c r="N10" s="4"/>
      <c r="O10" s="4"/>
    </row>
    <row r="11" customFormat="false" ht="15" hidden="false" customHeight="false" outlineLevel="0" collapsed="false">
      <c r="A11" s="8" t="s">
        <v>22</v>
      </c>
      <c r="B11" s="9" t="n">
        <f aca="false">ONS!B9</f>
        <v>235402.94</v>
      </c>
      <c r="C11" s="9" t="n">
        <f aca="false">ONS!C9</f>
        <v>240235.93</v>
      </c>
      <c r="D11" s="9" t="n">
        <f aca="false">ONS!D9</f>
        <v>242948.43</v>
      </c>
      <c r="E11" s="10" t="n">
        <f aca="false">ONS!E9</f>
        <v>263046.77</v>
      </c>
      <c r="F11" s="10" t="n">
        <f aca="false">ONS!F9</f>
        <v>262366.77</v>
      </c>
      <c r="G11" s="10" t="n">
        <f aca="false">ONS!G9</f>
        <v>251316.77</v>
      </c>
      <c r="H11" s="10" t="n">
        <f aca="false">ONS!H9</f>
        <v>262366.77</v>
      </c>
      <c r="I11" s="10" t="n">
        <f aca="false">ONS!I9</f>
        <v>262366.77</v>
      </c>
      <c r="J11" s="10" t="n">
        <f aca="false">ONS!J9</f>
        <v>253016.77</v>
      </c>
      <c r="K11" s="10" t="n">
        <f aca="false">ONS!K9</f>
        <v>261266.77</v>
      </c>
      <c r="L11" s="10" t="n">
        <f aca="false">ONS!L9</f>
        <v>258950.11</v>
      </c>
      <c r="M11" s="10" t="n">
        <f aca="false">ONS!M9</f>
        <v>242443.11</v>
      </c>
      <c r="N11" s="11" t="n">
        <f aca="false">SUM(B11:M11)</f>
        <v>3035727.91</v>
      </c>
      <c r="O11" s="11" t="n">
        <f aca="false">SUM(B11:D11)</f>
        <v>718587.3</v>
      </c>
    </row>
    <row r="12" customFormat="false" ht="15" hidden="false" customHeight="false" outlineLevel="0" collapsed="false">
      <c r="A12" s="8" t="s">
        <v>23</v>
      </c>
      <c r="B12" s="9" t="n">
        <f aca="false">PRD!B6</f>
        <v>110842.53</v>
      </c>
      <c r="C12" s="9" t="n">
        <f aca="false">PRD!C6</f>
        <v>268942.12</v>
      </c>
      <c r="D12" s="9" t="n">
        <f aca="false">PRD!D6</f>
        <v>80606.62</v>
      </c>
      <c r="E12" s="10" t="n">
        <f aca="false">PRD!E6</f>
        <v>587307.02</v>
      </c>
      <c r="F12" s="10" t="n">
        <f aca="false">PRD!F6</f>
        <v>241601.02</v>
      </c>
      <c r="G12" s="10" t="n">
        <f aca="false">PRD!G6</f>
        <v>62316.02</v>
      </c>
      <c r="H12" s="10" t="n">
        <f aca="false">PRD!H6</f>
        <v>64261.94</v>
      </c>
      <c r="I12" s="10" t="n">
        <f aca="false">PRD!I6</f>
        <v>281912.02</v>
      </c>
      <c r="J12" s="10" t="n">
        <f aca="false">PRD!J6</f>
        <v>128882.02</v>
      </c>
      <c r="K12" s="10" t="n">
        <f aca="false">PRD!K6</f>
        <v>98752.02</v>
      </c>
      <c r="L12" s="10" t="n">
        <f aca="false">PRD!L6</f>
        <v>135511.94</v>
      </c>
      <c r="M12" s="10" t="n">
        <f aca="false">PRD!M6</f>
        <v>82637.02</v>
      </c>
      <c r="N12" s="11" t="n">
        <f aca="false">SUM(B12:M12)</f>
        <v>2143572.29</v>
      </c>
      <c r="O12" s="11" t="n">
        <f aca="false">SUM(B12:D12)</f>
        <v>460391.27</v>
      </c>
    </row>
    <row r="13" customFormat="false" ht="15" hidden="false" customHeight="false" outlineLevel="0" collapsed="false">
      <c r="A13" s="8" t="s">
        <v>24</v>
      </c>
      <c r="B13" s="9" t="n">
        <f aca="false">CONS!B6</f>
        <v>112803.24</v>
      </c>
      <c r="C13" s="9" t="n">
        <f aca="false">CONS!C6</f>
        <v>94288.49</v>
      </c>
      <c r="D13" s="9" t="n">
        <f aca="false">CONS!D6</f>
        <v>238389.48</v>
      </c>
      <c r="E13" s="10" t="n">
        <f aca="false">CONS!E6</f>
        <v>100061.89</v>
      </c>
      <c r="F13" s="10" t="n">
        <f aca="false">CONS!F6</f>
        <v>36337.39</v>
      </c>
      <c r="G13" s="10" t="n">
        <f aca="false">CONS!G6</f>
        <v>31337.39</v>
      </c>
      <c r="H13" s="10" t="n">
        <f aca="false">CONS!H6</f>
        <v>27340.65</v>
      </c>
      <c r="I13" s="10" t="n">
        <f aca="false">CONS!I6</f>
        <v>32340.65</v>
      </c>
      <c r="J13" s="10" t="n">
        <f aca="false">CONS!J6</f>
        <v>32340.65</v>
      </c>
      <c r="K13" s="10" t="n">
        <f aca="false">CONS!K6</f>
        <v>32340.65</v>
      </c>
      <c r="L13" s="10" t="n">
        <f aca="false">CONS!L6</f>
        <v>8035.07</v>
      </c>
      <c r="M13" s="10" t="n">
        <f aca="false">CONS!M6</f>
        <v>8035.07</v>
      </c>
      <c r="N13" s="11" t="n">
        <f aca="false">SUM(B13:M13)</f>
        <v>753650.62</v>
      </c>
      <c r="O13" s="11" t="n">
        <f aca="false">SUM(B13:D13)</f>
        <v>445481.21</v>
      </c>
    </row>
    <row r="14" customFormat="false" ht="15" hidden="false" customHeight="false" outlineLevel="0" collapsed="false">
      <c r="A14" s="12" t="s">
        <v>25</v>
      </c>
      <c r="B14" s="13" t="n">
        <f aca="false">SUM(B11:B13)</f>
        <v>459048.71</v>
      </c>
      <c r="C14" s="13" t="n">
        <f aca="false">SUM(C11:C13)</f>
        <v>603466.54</v>
      </c>
      <c r="D14" s="13" t="n">
        <f aca="false">SUM(D11:D13)</f>
        <v>561944.53</v>
      </c>
      <c r="E14" s="13" t="n">
        <f aca="false">SUM(E11:E13)</f>
        <v>950415.68</v>
      </c>
      <c r="F14" s="13" t="n">
        <f aca="false">SUM(F11:F13)</f>
        <v>540305.18</v>
      </c>
      <c r="G14" s="13" t="n">
        <f aca="false">SUM(G11:G13)</f>
        <v>344970.18</v>
      </c>
      <c r="H14" s="13" t="n">
        <f aca="false">SUM(H11:H13)</f>
        <v>353969.36</v>
      </c>
      <c r="I14" s="13" t="n">
        <f aca="false">SUM(I11:I13)</f>
        <v>576619.44</v>
      </c>
      <c r="J14" s="13" t="n">
        <f aca="false">SUM(J11:J13)</f>
        <v>414239.44</v>
      </c>
      <c r="K14" s="13" t="n">
        <f aca="false">SUM(K11:K13)</f>
        <v>392359.44</v>
      </c>
      <c r="L14" s="13" t="n">
        <f aca="false">SUM(L11:L13)</f>
        <v>402497.12</v>
      </c>
      <c r="M14" s="13" t="n">
        <f aca="false">SUM(M11:M13)</f>
        <v>333115.2</v>
      </c>
      <c r="N14" s="14" t="n">
        <f aca="false">SUM(N11:N13)</f>
        <v>5932950.82</v>
      </c>
      <c r="O14" s="14" t="n">
        <f aca="false">SUM(O11:O13)</f>
        <v>1624459.78</v>
      </c>
    </row>
    <row r="16" customFormat="false" ht="15" hidden="false" customHeight="false" outlineLevel="0" collapsed="false">
      <c r="A16" s="3" t="s">
        <v>26</v>
      </c>
      <c r="B16" s="4"/>
      <c r="C16" s="4"/>
      <c r="D16" s="4"/>
      <c r="E16" s="4"/>
      <c r="F16" s="4"/>
      <c r="G16" s="4"/>
      <c r="H16" s="4"/>
      <c r="I16" s="4"/>
      <c r="J16" s="4"/>
      <c r="K16" s="4"/>
      <c r="L16" s="4"/>
      <c r="M16" s="4"/>
      <c r="N16" s="4"/>
      <c r="O16" s="4"/>
    </row>
    <row r="17" customFormat="false" ht="15" hidden="false" customHeight="false" outlineLevel="0" collapsed="false">
      <c r="A17" s="8" t="s">
        <v>22</v>
      </c>
      <c r="B17" s="9" t="n">
        <f aca="false">ONS!B17</f>
        <v>-131411.69</v>
      </c>
      <c r="C17" s="9" t="n">
        <f aca="false">ONS!C17</f>
        <v>-134597.55</v>
      </c>
      <c r="D17" s="9" t="n">
        <f aca="false">ONS!D17</f>
        <v>-141658.68</v>
      </c>
      <c r="E17" s="10" t="n">
        <f aca="false">ONS!E17</f>
        <v>-130158.67</v>
      </c>
      <c r="F17" s="10" t="n">
        <f aca="false">ONS!F17</f>
        <v>-127598.95</v>
      </c>
      <c r="G17" s="10" t="n">
        <f aca="false">ONS!G17</f>
        <v>-134912.18</v>
      </c>
      <c r="H17" s="10" t="n">
        <f aca="false">ONS!H17</f>
        <v>-112466.56</v>
      </c>
      <c r="I17" s="10" t="n">
        <f aca="false">ONS!I17</f>
        <v>-116012.63</v>
      </c>
      <c r="J17" s="10" t="n">
        <f aca="false">ONS!J17</f>
        <v>-142206.77</v>
      </c>
      <c r="K17" s="10" t="n">
        <f aca="false">ONS!K17</f>
        <v>-134804.11</v>
      </c>
      <c r="L17" s="10" t="n">
        <f aca="false">ONS!L17</f>
        <v>-141480.1</v>
      </c>
      <c r="M17" s="10" t="n">
        <f aca="false">ONS!M17</f>
        <v>-139270</v>
      </c>
      <c r="N17" s="11" t="n">
        <f aca="false">SUM(B17:M17)</f>
        <v>-1586577.89</v>
      </c>
      <c r="O17" s="11" t="n">
        <f aca="false">SUM(B17:D17)</f>
        <v>-407667.92</v>
      </c>
    </row>
    <row r="18" customFormat="false" ht="15" hidden="false" customHeight="false" outlineLevel="0" collapsed="false">
      <c r="A18" s="8" t="s">
        <v>23</v>
      </c>
      <c r="B18" s="9" t="n">
        <f aca="false">PRD!B18</f>
        <v>-44738.1</v>
      </c>
      <c r="C18" s="9" t="n">
        <f aca="false">PRD!C18</f>
        <v>-125113.08</v>
      </c>
      <c r="D18" s="9" t="n">
        <f aca="false">PRD!D18</f>
        <v>-17912.33</v>
      </c>
      <c r="E18" s="10" t="n">
        <f aca="false">PRD!E18</f>
        <v>-285683.94</v>
      </c>
      <c r="F18" s="10" t="n">
        <f aca="false">PRD!F18</f>
        <v>-104223.85</v>
      </c>
      <c r="G18" s="10" t="n">
        <f aca="false">PRD!G18</f>
        <v>-83048.46</v>
      </c>
      <c r="H18" s="10" t="n">
        <f aca="false">PRD!H18</f>
        <v>-45343.16</v>
      </c>
      <c r="I18" s="10" t="n">
        <f aca="false">PRD!I18</f>
        <v>-109744.54</v>
      </c>
      <c r="J18" s="10" t="n">
        <f aca="false">PRD!J18</f>
        <v>-59313.38</v>
      </c>
      <c r="K18" s="10" t="n">
        <f aca="false">PRD!K18</f>
        <v>-48118.51</v>
      </c>
      <c r="L18" s="10" t="n">
        <f aca="false">PRD!L18</f>
        <v>-60551.39</v>
      </c>
      <c r="M18" s="10" t="n">
        <f aca="false">PRD!M18</f>
        <v>-85630.23</v>
      </c>
      <c r="N18" s="11" t="n">
        <f aca="false">SUM(B18:M18)</f>
        <v>-1069420.97</v>
      </c>
      <c r="O18" s="11" t="n">
        <f aca="false">SUM(B18:D18)</f>
        <v>-187763.51</v>
      </c>
    </row>
    <row r="19" customFormat="false" ht="15" hidden="false" customHeight="false" outlineLevel="0" collapsed="false">
      <c r="A19" s="8" t="s">
        <v>24</v>
      </c>
      <c r="B19" s="9" t="n">
        <f aca="false">CONS!B12</f>
        <v>-106364.37</v>
      </c>
      <c r="C19" s="9" t="n">
        <f aca="false">CONS!C12</f>
        <v>-75775.53</v>
      </c>
      <c r="D19" s="9" t="n">
        <f aca="false">CONS!D12</f>
        <v>-214559.11</v>
      </c>
      <c r="E19" s="10" t="n">
        <f aca="false">CONS!E12</f>
        <v>-58336.61</v>
      </c>
      <c r="F19" s="10" t="n">
        <f aca="false">CONS!F12</f>
        <v>-27394.36</v>
      </c>
      <c r="G19" s="10" t="n">
        <f aca="false">CONS!G12</f>
        <v>-23963.88</v>
      </c>
      <c r="H19" s="10" t="n">
        <f aca="false">CONS!H12</f>
        <v>-21263.51</v>
      </c>
      <c r="I19" s="10" t="n">
        <f aca="false">CONS!I12</f>
        <v>-24080.81</v>
      </c>
      <c r="J19" s="10" t="n">
        <f aca="false">CONS!J12</f>
        <v>-25062.92</v>
      </c>
      <c r="K19" s="10" t="n">
        <f aca="false">CONS!K12</f>
        <v>-24323.32</v>
      </c>
      <c r="L19" s="10" t="n">
        <f aca="false">CONS!L12</f>
        <v>-12517.15</v>
      </c>
      <c r="M19" s="10" t="n">
        <f aca="false">CONS!M12</f>
        <v>-17919.3</v>
      </c>
      <c r="N19" s="11" t="n">
        <f aca="false">SUM(B19:M19)</f>
        <v>-631560.87</v>
      </c>
      <c r="O19" s="11" t="n">
        <f aca="false">SUM(B19:D19)</f>
        <v>-396699.01</v>
      </c>
    </row>
    <row r="20" customFormat="false" ht="15" hidden="false" customHeight="false" outlineLevel="0" collapsed="false">
      <c r="A20" s="12" t="s">
        <v>25</v>
      </c>
      <c r="B20" s="13" t="n">
        <f aca="false">SUM(B17:B19)</f>
        <v>-282514.16</v>
      </c>
      <c r="C20" s="13" t="n">
        <f aca="false">SUM(C17:C19)</f>
        <v>-335486.16</v>
      </c>
      <c r="D20" s="13" t="n">
        <f aca="false">SUM(D17:D19)</f>
        <v>-374130.12</v>
      </c>
      <c r="E20" s="13" t="n">
        <f aca="false">SUM(E17:E19)</f>
        <v>-474179.22</v>
      </c>
      <c r="F20" s="13" t="n">
        <f aca="false">SUM(F17:F19)</f>
        <v>-259217.16</v>
      </c>
      <c r="G20" s="13" t="n">
        <f aca="false">SUM(G17:G19)</f>
        <v>-241924.52</v>
      </c>
      <c r="H20" s="13" t="n">
        <f aca="false">SUM(H17:H19)</f>
        <v>-179073.23</v>
      </c>
      <c r="I20" s="13" t="n">
        <f aca="false">SUM(I17:I19)</f>
        <v>-249837.98</v>
      </c>
      <c r="J20" s="13" t="n">
        <f aca="false">SUM(J17:J19)</f>
        <v>-226583.07</v>
      </c>
      <c r="K20" s="13" t="n">
        <f aca="false">SUM(K17:K19)</f>
        <v>-207245.94</v>
      </c>
      <c r="L20" s="13" t="n">
        <f aca="false">SUM(L17:L19)</f>
        <v>-214548.64</v>
      </c>
      <c r="M20" s="13" t="n">
        <f aca="false">SUM(M17:M19)</f>
        <v>-242819.53</v>
      </c>
      <c r="N20" s="14" t="n">
        <f aca="false">SUM(N17:N19)</f>
        <v>-3287559.73</v>
      </c>
      <c r="O20" s="14" t="n">
        <f aca="false">SUM(O17:O19)</f>
        <v>-992130.44</v>
      </c>
    </row>
    <row r="22" customFormat="false" ht="15" hidden="false" customHeight="false" outlineLevel="0" collapsed="false">
      <c r="A22" s="3" t="s">
        <v>27</v>
      </c>
      <c r="B22" s="4"/>
      <c r="C22" s="4"/>
      <c r="D22" s="4"/>
      <c r="E22" s="4"/>
      <c r="F22" s="4"/>
      <c r="G22" s="4"/>
      <c r="H22" s="4"/>
      <c r="I22" s="4"/>
      <c r="J22" s="4"/>
      <c r="K22" s="4"/>
      <c r="L22" s="4"/>
      <c r="M22" s="4"/>
      <c r="N22" s="4"/>
      <c r="O22" s="4"/>
    </row>
    <row r="23" customFormat="false" ht="15" hidden="false" customHeight="false" outlineLevel="0" collapsed="false">
      <c r="A23" s="8" t="s">
        <v>22</v>
      </c>
      <c r="B23" s="9" t="n">
        <f aca="false">ONS!B24</f>
        <v>-70735.47</v>
      </c>
      <c r="C23" s="9" t="n">
        <f aca="false">ONS!C24</f>
        <v>-88990.44</v>
      </c>
      <c r="D23" s="9" t="n">
        <f aca="false">ONS!D24</f>
        <v>-80457.84</v>
      </c>
      <c r="E23" s="10" t="n">
        <f aca="false">ONS!E24</f>
        <v>-93854.08</v>
      </c>
      <c r="F23" s="10" t="n">
        <f aca="false">ONS!F24</f>
        <v>-91774.56</v>
      </c>
      <c r="G23" s="10" t="n">
        <f aca="false">ONS!G24</f>
        <v>-92814.32</v>
      </c>
      <c r="H23" s="10" t="n">
        <f aca="false">ONS!H24</f>
        <v>-91774.56</v>
      </c>
      <c r="I23" s="10" t="n">
        <f aca="false">ONS!I24</f>
        <v>-91774.56</v>
      </c>
      <c r="J23" s="10" t="n">
        <f aca="false">ONS!J24</f>
        <v>-93854.08</v>
      </c>
      <c r="K23" s="10" t="n">
        <f aca="false">ONS!K24</f>
        <v>-91774.56</v>
      </c>
      <c r="L23" s="10" t="n">
        <f aca="false">ONS!L24</f>
        <v>-92814.32</v>
      </c>
      <c r="M23" s="10" t="n">
        <f aca="false">ONS!M24</f>
        <v>-92814.32</v>
      </c>
      <c r="N23" s="11" t="n">
        <f aca="false">SUM(B23:M23)</f>
        <v>-1073433.11</v>
      </c>
      <c r="O23" s="11" t="n">
        <f aca="false">SUM(B23:D23)</f>
        <v>-240183.75</v>
      </c>
    </row>
    <row r="24" customFormat="false" ht="15" hidden="false" customHeight="false" outlineLevel="0" collapsed="false">
      <c r="A24" s="8" t="s">
        <v>23</v>
      </c>
      <c r="B24" s="9" t="n">
        <f aca="false">PRD!B25</f>
        <v>-110189.34</v>
      </c>
      <c r="C24" s="9" t="n">
        <f aca="false">PRD!C25</f>
        <v>-99694.18</v>
      </c>
      <c r="D24" s="9" t="n">
        <f aca="false">PRD!D25</f>
        <v>-115816.62</v>
      </c>
      <c r="E24" s="10" t="n">
        <f aca="false">PRD!E25</f>
        <v>-97172.11</v>
      </c>
      <c r="F24" s="10" t="n">
        <f aca="false">PRD!F25</f>
        <v>-98147.41</v>
      </c>
      <c r="G24" s="10" t="n">
        <f aca="false">PRD!G25</f>
        <v>-94037.61</v>
      </c>
      <c r="H24" s="10" t="n">
        <f aca="false">PRD!H25</f>
        <v>-93018.7</v>
      </c>
      <c r="I24" s="10" t="n">
        <f aca="false">PRD!I25</f>
        <v>-93018.7</v>
      </c>
      <c r="J24" s="10" t="n">
        <f aca="false">PRD!J25</f>
        <v>-95056.52</v>
      </c>
      <c r="K24" s="10" t="n">
        <f aca="false">PRD!K25</f>
        <v>-93018.7</v>
      </c>
      <c r="L24" s="10" t="n">
        <f aca="false">PRD!L25</f>
        <v>-94037.61</v>
      </c>
      <c r="M24" s="10" t="n">
        <f aca="false">PRD!M25</f>
        <v>-94037.61</v>
      </c>
      <c r="N24" s="11" t="n">
        <f aca="false">SUM(B24:M24)</f>
        <v>-1177245.11</v>
      </c>
      <c r="O24" s="11" t="n">
        <f aca="false">SUM(B24:D24)</f>
        <v>-325700.14</v>
      </c>
    </row>
    <row r="25" customFormat="false" ht="15" hidden="false" customHeight="false" outlineLevel="0" collapsed="false">
      <c r="A25" s="8" t="s">
        <v>24</v>
      </c>
      <c r="B25" s="9" t="n">
        <f aca="false">CONS!B19</f>
        <v>-21473.13</v>
      </c>
      <c r="C25" s="9" t="n">
        <f aca="false">CONS!C19</f>
        <v>-20221.4</v>
      </c>
      <c r="D25" s="9" t="n">
        <f aca="false">CONS!D19</f>
        <v>-33958.91</v>
      </c>
      <c r="E25" s="10" t="n">
        <f aca="false">CONS!E19</f>
        <v>-29303.29</v>
      </c>
      <c r="F25" s="10" t="n">
        <f aca="false">CONS!F19</f>
        <v>-28574.37</v>
      </c>
      <c r="G25" s="10" t="n">
        <f aca="false">CONS!G19</f>
        <v>-28938.83</v>
      </c>
      <c r="H25" s="10" t="n">
        <f aca="false">CONS!H19</f>
        <v>-28574.37</v>
      </c>
      <c r="I25" s="10" t="n">
        <f aca="false">CONS!I19</f>
        <v>-28574.37</v>
      </c>
      <c r="J25" s="10" t="n">
        <f aca="false">CONS!J19</f>
        <v>-29303.29</v>
      </c>
      <c r="K25" s="10" t="n">
        <f aca="false">CONS!K19</f>
        <v>-28574.37</v>
      </c>
      <c r="L25" s="10" t="n">
        <f aca="false">CONS!L19</f>
        <v>-28938.83</v>
      </c>
      <c r="M25" s="10" t="n">
        <f aca="false">CONS!M19</f>
        <v>-28938.83</v>
      </c>
      <c r="N25" s="11" t="n">
        <f aca="false">SUM(B25:M25)</f>
        <v>-335373.99</v>
      </c>
      <c r="O25" s="11" t="n">
        <f aca="false">SUM(B25:D25)</f>
        <v>-75653.44</v>
      </c>
    </row>
    <row r="26" customFormat="false" ht="15" hidden="false" customHeight="false" outlineLevel="0" collapsed="false">
      <c r="A26" s="12" t="s">
        <v>25</v>
      </c>
      <c r="B26" s="13" t="n">
        <f aca="false">SUM(B23:B25)</f>
        <v>-202397.94</v>
      </c>
      <c r="C26" s="13" t="n">
        <f aca="false">SUM(C23:C25)</f>
        <v>-208906.02</v>
      </c>
      <c r="D26" s="13" t="n">
        <f aca="false">SUM(D23:D25)</f>
        <v>-230233.37</v>
      </c>
      <c r="E26" s="13" t="n">
        <f aca="false">SUM(E23:E25)</f>
        <v>-220329.48</v>
      </c>
      <c r="F26" s="13" t="n">
        <f aca="false">SUM(F23:F25)</f>
        <v>-218496.34</v>
      </c>
      <c r="G26" s="13" t="n">
        <f aca="false">SUM(G23:G25)</f>
        <v>-215790.76</v>
      </c>
      <c r="H26" s="13" t="n">
        <f aca="false">SUM(H23:H25)</f>
        <v>-213367.63</v>
      </c>
      <c r="I26" s="13" t="n">
        <f aca="false">SUM(I23:I25)</f>
        <v>-213367.63</v>
      </c>
      <c r="J26" s="13" t="n">
        <f aca="false">SUM(J23:J25)</f>
        <v>-218213.89</v>
      </c>
      <c r="K26" s="13" t="n">
        <f aca="false">SUM(K23:K25)</f>
        <v>-213367.63</v>
      </c>
      <c r="L26" s="13" t="n">
        <f aca="false">SUM(L23:L25)</f>
        <v>-215790.76</v>
      </c>
      <c r="M26" s="13" t="n">
        <f aca="false">SUM(M23:M25)</f>
        <v>-215790.76</v>
      </c>
      <c r="N26" s="14" t="n">
        <f aca="false">SUM(N23:N25)</f>
        <v>-2586052.21</v>
      </c>
      <c r="O26" s="14" t="n">
        <f aca="false">SUM(O23:O25)</f>
        <v>-641537.33</v>
      </c>
    </row>
    <row r="28" customFormat="false" ht="15" hidden="false" customHeight="false" outlineLevel="0" collapsed="false">
      <c r="A28" s="3" t="s">
        <v>28</v>
      </c>
      <c r="B28" s="4"/>
      <c r="C28" s="4"/>
      <c r="D28" s="4"/>
      <c r="E28" s="4"/>
      <c r="F28" s="4"/>
      <c r="G28" s="4"/>
      <c r="H28" s="4"/>
      <c r="I28" s="4"/>
      <c r="J28" s="4"/>
      <c r="K28" s="4"/>
      <c r="L28" s="4"/>
      <c r="M28" s="4"/>
      <c r="N28" s="4"/>
      <c r="O28" s="4"/>
    </row>
    <row r="29" customFormat="false" ht="15" hidden="false" customHeight="false" outlineLevel="0" collapsed="false">
      <c r="A29" s="8" t="s">
        <v>22</v>
      </c>
      <c r="B29" s="9" t="n">
        <f aca="false">ONS!B29</f>
        <v>33255.78</v>
      </c>
      <c r="C29" s="9" t="n">
        <f aca="false">ONS!C29</f>
        <v>16647.94</v>
      </c>
      <c r="D29" s="9" t="n">
        <f aca="false">ONS!D29</f>
        <v>20831.91</v>
      </c>
      <c r="E29" s="10" t="n">
        <f aca="false">ONS!E29</f>
        <v>39034.02</v>
      </c>
      <c r="F29" s="10" t="n">
        <f aca="false">ONS!F29</f>
        <v>42993.26</v>
      </c>
      <c r="G29" s="10" t="n">
        <f aca="false">ONS!G29</f>
        <v>23590.27</v>
      </c>
      <c r="H29" s="10" t="n">
        <f aca="false">ONS!H29</f>
        <v>58125.65</v>
      </c>
      <c r="I29" s="10" t="n">
        <f aca="false">ONS!I29</f>
        <v>54579.58</v>
      </c>
      <c r="J29" s="10" t="n">
        <f aca="false">ONS!J29</f>
        <v>16955.92</v>
      </c>
      <c r="K29" s="10" t="n">
        <f aca="false">ONS!K29</f>
        <v>34688.1</v>
      </c>
      <c r="L29" s="10" t="n">
        <f aca="false">ONS!L29</f>
        <v>24655.69</v>
      </c>
      <c r="M29" s="10" t="n">
        <f aca="false">ONS!M29</f>
        <v>10358.79</v>
      </c>
      <c r="N29" s="11" t="n">
        <f aca="false">SUM(B29:M29)</f>
        <v>375716.91</v>
      </c>
      <c r="O29" s="11" t="n">
        <f aca="false">SUM(B29:D29)</f>
        <v>70735.63</v>
      </c>
    </row>
    <row r="30" customFormat="false" ht="15" hidden="false" customHeight="false" outlineLevel="0" collapsed="false">
      <c r="A30" s="8" t="s">
        <v>23</v>
      </c>
      <c r="B30" s="9" t="n">
        <f aca="false">PRD!B30</f>
        <v>-44084.91</v>
      </c>
      <c r="C30" s="9" t="n">
        <f aca="false">PRD!C30</f>
        <v>44134.86</v>
      </c>
      <c r="D30" s="9" t="n">
        <f aca="false">PRD!D30</f>
        <v>-53122.33</v>
      </c>
      <c r="E30" s="10" t="n">
        <f aca="false">PRD!E30</f>
        <v>204450.97</v>
      </c>
      <c r="F30" s="10" t="n">
        <f aca="false">PRD!F30</f>
        <v>39229.76</v>
      </c>
      <c r="G30" s="10" t="n">
        <f aca="false">PRD!G30</f>
        <v>-114770.05</v>
      </c>
      <c r="H30" s="10" t="n">
        <f aca="false">PRD!H30</f>
        <v>-74099.92</v>
      </c>
      <c r="I30" s="10" t="n">
        <f aca="false">PRD!I30</f>
        <v>79148.78</v>
      </c>
      <c r="J30" s="10" t="n">
        <f aca="false">PRD!J30</f>
        <v>-25487.88</v>
      </c>
      <c r="K30" s="10" t="n">
        <f aca="false">PRD!K30</f>
        <v>-42385.19</v>
      </c>
      <c r="L30" s="10" t="n">
        <f aca="false">PRD!L30</f>
        <v>-19077.06</v>
      </c>
      <c r="M30" s="10" t="n">
        <f aca="false">PRD!M30</f>
        <v>-97030.82</v>
      </c>
      <c r="N30" s="11" t="n">
        <f aca="false">SUM(B30:M30)</f>
        <v>-103093.79</v>
      </c>
      <c r="O30" s="11" t="n">
        <f aca="false">SUM(B30:D30)</f>
        <v>-53072.38</v>
      </c>
    </row>
    <row r="31" customFormat="false" ht="15" hidden="false" customHeight="false" outlineLevel="0" collapsed="false">
      <c r="A31" s="8" t="s">
        <v>24</v>
      </c>
      <c r="B31" s="9" t="n">
        <f aca="false">CONS!B24</f>
        <v>-15034.26</v>
      </c>
      <c r="C31" s="9" t="n">
        <f aca="false">CONS!C24</f>
        <v>-1708.44</v>
      </c>
      <c r="D31" s="9" t="n">
        <f aca="false">CONS!D24</f>
        <v>-10128.54</v>
      </c>
      <c r="E31" s="10" t="n">
        <f aca="false">CONS!E24</f>
        <v>12421.99</v>
      </c>
      <c r="F31" s="10" t="n">
        <f aca="false">CONS!F24</f>
        <v>-19631.34</v>
      </c>
      <c r="G31" s="10" t="n">
        <f aca="false">CONS!G24</f>
        <v>-21565.32</v>
      </c>
      <c r="H31" s="10" t="n">
        <f aca="false">CONS!H24</f>
        <v>-22497.23</v>
      </c>
      <c r="I31" s="10" t="n">
        <f aca="false">CONS!I24</f>
        <v>-20314.53</v>
      </c>
      <c r="J31" s="10" t="n">
        <f aca="false">CONS!J24</f>
        <v>-22025.56</v>
      </c>
      <c r="K31" s="10" t="n">
        <f aca="false">CONS!K24</f>
        <v>-20557.04</v>
      </c>
      <c r="L31" s="10" t="n">
        <f aca="false">CONS!L24</f>
        <v>-33420.91</v>
      </c>
      <c r="M31" s="10" t="n">
        <f aca="false">CONS!M24</f>
        <v>-38823.06</v>
      </c>
      <c r="N31" s="11" t="n">
        <f aca="false">SUM(B31:M31)</f>
        <v>-213284.24</v>
      </c>
      <c r="O31" s="11" t="n">
        <f aca="false">SUM(B31:D31)</f>
        <v>-26871.2399999999</v>
      </c>
    </row>
    <row r="32" customFormat="false" ht="15" hidden="false" customHeight="false" outlineLevel="0" collapsed="false">
      <c r="A32" s="12" t="s">
        <v>25</v>
      </c>
      <c r="B32" s="13" t="n">
        <f aca="false">SUM(B29:B31)</f>
        <v>-25863.39</v>
      </c>
      <c r="C32" s="13" t="n">
        <f aca="false">SUM(C29:C31)</f>
        <v>59074.36</v>
      </c>
      <c r="D32" s="13" t="n">
        <f aca="false">SUM(D29:D31)</f>
        <v>-42418.96</v>
      </c>
      <c r="E32" s="13" t="n">
        <f aca="false">SUM(E29:E31)</f>
        <v>255906.98</v>
      </c>
      <c r="F32" s="13" t="n">
        <f aca="false">SUM(F29:F31)</f>
        <v>62591.68</v>
      </c>
      <c r="G32" s="13" t="n">
        <f aca="false">SUM(G29:G31)</f>
        <v>-112745.1</v>
      </c>
      <c r="H32" s="13" t="n">
        <f aca="false">SUM(H29:H31)</f>
        <v>-38471.4999999999</v>
      </c>
      <c r="I32" s="13" t="n">
        <f aca="false">SUM(I29:I31)</f>
        <v>113413.83</v>
      </c>
      <c r="J32" s="13" t="n">
        <f aca="false">SUM(J29:J31)</f>
        <v>-30557.52</v>
      </c>
      <c r="K32" s="13" t="n">
        <f aca="false">SUM(K29:K31)</f>
        <v>-28254.13</v>
      </c>
      <c r="L32" s="13" t="n">
        <f aca="false">SUM(L29:L31)</f>
        <v>-27842.28</v>
      </c>
      <c r="M32" s="13" t="n">
        <f aca="false">SUM(M29:M31)</f>
        <v>-125495.09</v>
      </c>
      <c r="N32" s="14" t="n">
        <f aca="false">SUM(N29:N31)</f>
        <v>59338.8800000001</v>
      </c>
      <c r="O32" s="14" t="n">
        <f aca="false">SUM(O29:O31)</f>
        <v>-9207.98999999998</v>
      </c>
    </row>
    <row r="34" customFormat="false" ht="15" hidden="false" customHeight="false" outlineLevel="0" collapsed="false">
      <c r="A34" s="3" t="s">
        <v>29</v>
      </c>
      <c r="B34" s="4"/>
      <c r="C34" s="4"/>
      <c r="D34" s="4"/>
      <c r="E34" s="4"/>
      <c r="F34" s="4"/>
    </row>
    <row r="35" customFormat="false" ht="15" hidden="false" customHeight="false" outlineLevel="0" collapsed="false">
      <c r="A35" s="2" t="s">
        <v>30</v>
      </c>
    </row>
    <row r="36" customFormat="false" ht="15" hidden="false" customHeight="false" outlineLevel="0" collapsed="false">
      <c r="A36" s="2" t="s">
        <v>31</v>
      </c>
    </row>
    <row r="38" customFormat="false" ht="15" hidden="false" customHeight="false" outlineLevel="0" collapsed="false">
      <c r="A38" s="15" t="s">
        <v>32</v>
      </c>
      <c r="B38" s="7" t="s">
        <v>33</v>
      </c>
      <c r="C38" s="7" t="s">
        <v>34</v>
      </c>
      <c r="D38" s="7" t="s">
        <v>35</v>
      </c>
    </row>
    <row r="39" customFormat="false" ht="15" hidden="false" customHeight="false" outlineLevel="0" collapsed="false">
      <c r="A39" s="8" t="s">
        <v>36</v>
      </c>
      <c r="B39" s="10" t="n">
        <v>96489.15</v>
      </c>
      <c r="C39" s="10" t="n">
        <f aca="false">ONS!E9+PRD!E6+CONS!E6</f>
        <v>950415.68</v>
      </c>
      <c r="D39" s="10" t="n">
        <f aca="false">B39-C39</f>
        <v>-853926.53</v>
      </c>
    </row>
    <row r="40" customFormat="false" ht="15" hidden="false" customHeight="false" outlineLevel="0" collapsed="false">
      <c r="A40" s="8" t="s">
        <v>37</v>
      </c>
      <c r="B40" s="10" t="n">
        <v>-267594.63</v>
      </c>
      <c r="C40" s="10" t="n">
        <f aca="false">ONS!E17+PRD!E18+CONS!E12</f>
        <v>-474179.22</v>
      </c>
      <c r="D40" s="10" t="n">
        <f aca="false">B40-C40</f>
        <v>206584.59</v>
      </c>
    </row>
    <row r="41" customFormat="false" ht="15" hidden="false" customHeight="false" outlineLevel="0" collapsed="false">
      <c r="A41" s="8" t="s">
        <v>38</v>
      </c>
      <c r="B41" s="10" t="n">
        <v>-126105.28</v>
      </c>
      <c r="C41" s="10" t="n">
        <f aca="false">ONS!E24+PRD!E25+CONS!E19</f>
        <v>-220329.48</v>
      </c>
      <c r="D41" s="10" t="n">
        <f aca="false">B41-C41</f>
        <v>94224.2</v>
      </c>
    </row>
    <row r="42" customFormat="false" ht="15" hidden="false" customHeight="false" outlineLevel="0" collapsed="false">
      <c r="A42" s="8" t="s">
        <v>39</v>
      </c>
      <c r="B42" s="10" t="n">
        <v>430.17</v>
      </c>
    </row>
    <row r="43" customFormat="false" ht="15" hidden="false" customHeight="false" outlineLevel="0" collapsed="false">
      <c r="A43" s="12" t="s">
        <v>40</v>
      </c>
      <c r="B43" s="14" t="n">
        <v>-296780.59</v>
      </c>
      <c r="C43" s="10" t="n">
        <f aca="false">ONS!E29+PRD!E30+CONS!E24</f>
        <v>255906.98</v>
      </c>
      <c r="D43" s="10" t="n">
        <f aca="false">B43-C43</f>
        <v>-552687.57</v>
      </c>
    </row>
    <row r="46" customFormat="false" ht="15" hidden="false" customHeight="false" outlineLevel="0" collapsed="false">
      <c r="A46" s="3" t="s">
        <v>41</v>
      </c>
      <c r="B46" s="4"/>
      <c r="C46" s="4"/>
      <c r="D46" s="4"/>
      <c r="E46" s="4"/>
      <c r="F46" s="4"/>
    </row>
    <row r="47" customFormat="false" ht="15" hidden="false" customHeight="false" outlineLevel="0" collapsed="false">
      <c r="A47" s="2" t="s">
        <v>42</v>
      </c>
    </row>
    <row r="48" customFormat="false" ht="15" hidden="false" customHeight="false" outlineLevel="0" collapsed="false">
      <c r="A48" s="2" t="s">
        <v>43</v>
      </c>
    </row>
    <row r="49" customFormat="false" ht="15" hidden="false" customHeight="false" outlineLevel="0" collapsed="false">
      <c r="A49" s="2" t="s">
        <v>44</v>
      </c>
    </row>
    <row r="50" customFormat="false" ht="15" hidden="false" customHeight="false" outlineLevel="0" collapsed="false">
      <c r="A50" s="2" t="s">
        <v>45</v>
      </c>
    </row>
    <row r="51" customFormat="false" ht="15" hidden="false" customHeight="false" outlineLevel="0" collapsed="false">
      <c r="A51" s="2" t="s">
        <v>46</v>
      </c>
    </row>
    <row r="52" customFormat="false" ht="15" hidden="false" customHeight="false" outlineLevel="0" collapsed="false">
      <c r="A52" s="2" t="s">
        <v>47</v>
      </c>
    </row>
    <row r="53" customFormat="false" ht="15" hidden="false" customHeight="false" outlineLevel="0" collapsed="false">
      <c r="A53" s="2"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15" min="2" style="0" width="13"/>
  </cols>
  <sheetData>
    <row r="1" customFormat="false" ht="17.35" hidden="false" customHeight="false" outlineLevel="0" collapsed="false">
      <c r="A1" s="1" t="s">
        <v>49</v>
      </c>
    </row>
    <row r="2" customFormat="false" ht="15" hidden="false" customHeight="false" outlineLevel="0" collapsed="false">
      <c r="A2" s="2" t="s">
        <v>50</v>
      </c>
    </row>
    <row r="4" customFormat="false" ht="15" hidden="false" customHeight="false" outlineLevel="0" collapsed="false">
      <c r="A4" s="5" t="s">
        <v>32</v>
      </c>
      <c r="B4" s="6" t="s">
        <v>7</v>
      </c>
      <c r="C4" s="6" t="s">
        <v>8</v>
      </c>
      <c r="D4" s="6" t="s">
        <v>9</v>
      </c>
      <c r="E4" s="7" t="s">
        <v>10</v>
      </c>
      <c r="F4" s="7" t="s">
        <v>11</v>
      </c>
      <c r="G4" s="7" t="s">
        <v>12</v>
      </c>
      <c r="H4" s="7" t="s">
        <v>13</v>
      </c>
      <c r="I4" s="7" t="s">
        <v>14</v>
      </c>
      <c r="J4" s="7" t="s">
        <v>15</v>
      </c>
      <c r="K4" s="7" t="s">
        <v>16</v>
      </c>
      <c r="L4" s="7" t="s">
        <v>17</v>
      </c>
      <c r="M4" s="7" t="s">
        <v>18</v>
      </c>
      <c r="N4" s="5" t="s">
        <v>19</v>
      </c>
      <c r="O4" s="5" t="s">
        <v>20</v>
      </c>
    </row>
    <row r="5" customFormat="false" ht="15" hidden="false" customHeight="false" outlineLevel="0" collapsed="false">
      <c r="A5" s="8" t="s">
        <v>51</v>
      </c>
      <c r="B5" s="9" t="n">
        <v>1182.5</v>
      </c>
      <c r="C5" s="9" t="n">
        <v>1110</v>
      </c>
      <c r="D5" s="9" t="n">
        <v>820</v>
      </c>
      <c r="E5" s="10" t="n">
        <v>780</v>
      </c>
      <c r="F5" s="10" t="n">
        <v>780</v>
      </c>
      <c r="G5" s="10" t="n">
        <v>780</v>
      </c>
      <c r="H5" s="10" t="n">
        <v>780</v>
      </c>
      <c r="I5" s="10" t="n">
        <v>780</v>
      </c>
      <c r="J5" s="10" t="n">
        <v>780</v>
      </c>
      <c r="K5" s="10" t="n">
        <v>780</v>
      </c>
      <c r="L5" s="10" t="n">
        <v>780</v>
      </c>
      <c r="M5" s="10" t="n">
        <v>780</v>
      </c>
      <c r="N5" s="14" t="n">
        <f aca="false">SUM(B5:M5)</f>
        <v>10132.5</v>
      </c>
      <c r="O5" s="14" t="n">
        <f aca="false">SUM(B5:D5)</f>
        <v>3112.5</v>
      </c>
    </row>
    <row r="6" customFormat="false" ht="15" hidden="false" customHeight="false" outlineLevel="0" collapsed="false">
      <c r="A6" s="8" t="s">
        <v>52</v>
      </c>
      <c r="B6" s="9" t="n">
        <v>0</v>
      </c>
      <c r="C6" s="9" t="n">
        <v>0</v>
      </c>
      <c r="D6" s="9" t="n">
        <v>0</v>
      </c>
      <c r="E6" s="10" t="n">
        <v>100</v>
      </c>
      <c r="F6" s="10" t="n">
        <v>100</v>
      </c>
      <c r="G6" s="10" t="n">
        <v>100</v>
      </c>
      <c r="H6" s="10" t="n">
        <v>100</v>
      </c>
      <c r="I6" s="10" t="n">
        <v>100</v>
      </c>
      <c r="J6" s="10" t="n">
        <v>100</v>
      </c>
      <c r="K6" s="10" t="n">
        <v>100</v>
      </c>
      <c r="L6" s="10" t="n">
        <v>100</v>
      </c>
      <c r="M6" s="10" t="n">
        <v>100</v>
      </c>
      <c r="N6" s="14" t="n">
        <f aca="false">SUM(B6:M6)</f>
        <v>900</v>
      </c>
      <c r="O6" s="14" t="n">
        <f aca="false">SUM(B6:D6)</f>
        <v>0</v>
      </c>
    </row>
    <row r="7" customFormat="false" ht="15" hidden="false" customHeight="false" outlineLevel="0" collapsed="false">
      <c r="A7" s="8" t="s">
        <v>53</v>
      </c>
      <c r="B7" s="9" t="n">
        <v>0</v>
      </c>
      <c r="C7" s="9" t="n">
        <v>0</v>
      </c>
      <c r="D7" s="9" t="n">
        <v>0</v>
      </c>
      <c r="E7" s="10" t="n">
        <v>28</v>
      </c>
      <c r="F7" s="10" t="n">
        <v>28</v>
      </c>
      <c r="G7" s="10" t="n">
        <v>28</v>
      </c>
      <c r="H7" s="10" t="n">
        <v>28</v>
      </c>
      <c r="I7" s="10" t="n">
        <v>28</v>
      </c>
      <c r="J7" s="10" t="n">
        <v>28</v>
      </c>
      <c r="K7" s="10" t="n">
        <v>28</v>
      </c>
      <c r="L7" s="10" t="n">
        <v>28</v>
      </c>
      <c r="M7" s="10" t="n">
        <v>28</v>
      </c>
      <c r="N7" s="14" t="n">
        <f aca="false">SUM(B7:M7)</f>
        <v>252</v>
      </c>
      <c r="O7" s="14" t="n">
        <f aca="false">SUM(B7:D7)</f>
        <v>0</v>
      </c>
    </row>
    <row r="8" customFormat="false" ht="15" hidden="false" customHeight="false" outlineLevel="0" collapsed="false">
      <c r="A8" s="8" t="s">
        <v>54</v>
      </c>
      <c r="B8" s="9" t="n">
        <v>234220.44</v>
      </c>
      <c r="C8" s="9" t="n">
        <v>239125.93</v>
      </c>
      <c r="D8" s="9" t="n">
        <v>242128.43</v>
      </c>
      <c r="E8" s="10" t="n">
        <v>262138.77</v>
      </c>
      <c r="F8" s="10" t="n">
        <v>261458.77</v>
      </c>
      <c r="G8" s="10" t="n">
        <v>250408.77</v>
      </c>
      <c r="H8" s="10" t="n">
        <v>261458.77</v>
      </c>
      <c r="I8" s="10" t="n">
        <v>261458.77</v>
      </c>
      <c r="J8" s="10" t="n">
        <v>252108.77</v>
      </c>
      <c r="K8" s="10" t="n">
        <v>260358.77</v>
      </c>
      <c r="L8" s="10" t="n">
        <v>258042.11</v>
      </c>
      <c r="M8" s="10" t="n">
        <v>241535.11</v>
      </c>
      <c r="N8" s="14" t="n">
        <f aca="false">SUM(B8:M8)</f>
        <v>3024443.41</v>
      </c>
      <c r="O8" s="14" t="n">
        <f aca="false">SUM(B8:D8)</f>
        <v>715474.8</v>
      </c>
    </row>
    <row r="9" customFormat="false" ht="15" hidden="false" customHeight="false" outlineLevel="0" collapsed="false">
      <c r="A9" s="12" t="s">
        <v>21</v>
      </c>
      <c r="B9" s="13" t="n">
        <f aca="false">B5+B6+B7+B8</f>
        <v>235402.94</v>
      </c>
      <c r="C9" s="13" t="n">
        <f aca="false">C5+C6+C7+C8</f>
        <v>240235.93</v>
      </c>
      <c r="D9" s="13" t="n">
        <f aca="false">D5+D6+D7+D8</f>
        <v>242948.43</v>
      </c>
      <c r="E9" s="13" t="n">
        <f aca="false">E5+E6+E7+E8</f>
        <v>263046.77</v>
      </c>
      <c r="F9" s="13" t="n">
        <f aca="false">F5+F6+F7+F8</f>
        <v>262366.77</v>
      </c>
      <c r="G9" s="13" t="n">
        <f aca="false">G5+G6+G7+G8</f>
        <v>251316.77</v>
      </c>
      <c r="H9" s="13" t="n">
        <f aca="false">H5+H6+H7+H8</f>
        <v>262366.77</v>
      </c>
      <c r="I9" s="13" t="n">
        <f aca="false">I5+I6+I7+I8</f>
        <v>262366.77</v>
      </c>
      <c r="J9" s="13" t="n">
        <f aca="false">J5+J6+J7+J8</f>
        <v>253016.77</v>
      </c>
      <c r="K9" s="13" t="n">
        <f aca="false">K5+K6+K7+K8</f>
        <v>261266.77</v>
      </c>
      <c r="L9" s="13" t="n">
        <f aca="false">L5+L6+L7+L8</f>
        <v>258950.11</v>
      </c>
      <c r="M9" s="13" t="n">
        <f aca="false">M5+M6+M7+M8</f>
        <v>242443.11</v>
      </c>
      <c r="N9" s="14" t="n">
        <f aca="false">SUM(B9:M9)</f>
        <v>3035727.91</v>
      </c>
      <c r="O9" s="14" t="n">
        <f aca="false">SUM(B9:D9)</f>
        <v>718587.3</v>
      </c>
    </row>
    <row r="10" customFormat="false" ht="15" hidden="false" customHeight="false" outlineLevel="0" collapsed="false">
      <c r="A10" s="8" t="s">
        <v>55</v>
      </c>
      <c r="B10" s="9" t="n">
        <v>-86363.88</v>
      </c>
      <c r="C10" s="9" t="n">
        <v>-92093.64</v>
      </c>
      <c r="D10" s="9" t="n">
        <v>-73977.83</v>
      </c>
      <c r="E10" s="10" t="n">
        <v>-85762.77</v>
      </c>
      <c r="F10" s="10" t="n">
        <v>-77966.16</v>
      </c>
      <c r="G10" s="10" t="n">
        <v>-81864.46</v>
      </c>
      <c r="H10" s="10" t="n">
        <v>-77966.16</v>
      </c>
      <c r="I10" s="10" t="n">
        <v>-77966.16</v>
      </c>
      <c r="J10" s="10" t="n">
        <v>-85762.77</v>
      </c>
      <c r="K10" s="10" t="n">
        <v>-77966.16</v>
      </c>
      <c r="L10" s="10" t="n">
        <v>-81864.46</v>
      </c>
      <c r="M10" s="10" t="n">
        <v>-81864.46</v>
      </c>
      <c r="N10" s="14" t="n">
        <f aca="false">SUM(B10:M10)</f>
        <v>-981418.91</v>
      </c>
      <c r="O10" s="14" t="n">
        <f aca="false">SUM(B10:D10)</f>
        <v>-252435.35</v>
      </c>
    </row>
    <row r="11" customFormat="false" ht="15" hidden="false" customHeight="false" outlineLevel="0" collapsed="false">
      <c r="A11" s="8" t="s">
        <v>56</v>
      </c>
      <c r="B11" s="9" t="n">
        <v>-13094.97</v>
      </c>
      <c r="C11" s="9" t="n">
        <v>-12480.57</v>
      </c>
      <c r="D11" s="9" t="n">
        <v>-14911.46</v>
      </c>
      <c r="E11" s="10" t="n">
        <v>-10291.53</v>
      </c>
      <c r="F11" s="10" t="n">
        <v>-9355.94</v>
      </c>
      <c r="G11" s="10" t="n">
        <v>-9823.74</v>
      </c>
      <c r="H11" s="10" t="n">
        <v>-9355.94</v>
      </c>
      <c r="I11" s="10" t="n">
        <v>-9355.94</v>
      </c>
      <c r="J11" s="10" t="n">
        <v>-10291.53</v>
      </c>
      <c r="K11" s="10" t="n">
        <v>-9355.94</v>
      </c>
      <c r="L11" s="10" t="n">
        <v>-9823.74</v>
      </c>
      <c r="M11" s="10" t="n">
        <v>-9823.74</v>
      </c>
      <c r="N11" s="14" t="n">
        <f aca="false">SUM(B11:M11)</f>
        <v>-127965.04</v>
      </c>
      <c r="O11" s="14" t="n">
        <f aca="false">SUM(B11:D11)</f>
        <v>-40487</v>
      </c>
    </row>
    <row r="12" customFormat="false" ht="15" hidden="false" customHeight="false" outlineLevel="0" collapsed="false">
      <c r="A12" s="8" t="s">
        <v>57</v>
      </c>
      <c r="B12" s="9" t="n">
        <v>0</v>
      </c>
      <c r="C12" s="9" t="n">
        <v>0</v>
      </c>
      <c r="D12" s="9" t="n">
        <v>0</v>
      </c>
      <c r="E12" s="10" t="n">
        <v>-4250</v>
      </c>
      <c r="F12" s="10" t="n">
        <v>-4250</v>
      </c>
      <c r="G12" s="10" t="n">
        <v>0</v>
      </c>
      <c r="H12" s="10" t="n">
        <v>-4250</v>
      </c>
      <c r="I12" s="10" t="n">
        <v>-4250</v>
      </c>
      <c r="J12" s="10" t="n">
        <v>-4250</v>
      </c>
      <c r="K12" s="10" t="n">
        <v>-4250</v>
      </c>
      <c r="L12" s="10" t="n">
        <v>-4250</v>
      </c>
      <c r="M12" s="10" t="n">
        <v>-4250</v>
      </c>
      <c r="N12" s="14" t="n">
        <f aca="false">SUM(B12:M12)</f>
        <v>-34000</v>
      </c>
      <c r="O12" s="14" t="n">
        <f aca="false">SUM(B12:D12)</f>
        <v>0</v>
      </c>
    </row>
    <row r="13" customFormat="false" ht="15" hidden="false" customHeight="false" outlineLevel="0" collapsed="false">
      <c r="A13" s="8" t="s">
        <v>58</v>
      </c>
      <c r="B13" s="9" t="n">
        <v>-24965.6</v>
      </c>
      <c r="C13" s="9" t="n">
        <v>-24208.11</v>
      </c>
      <c r="D13" s="9" t="n">
        <v>-38879.44</v>
      </c>
      <c r="E13" s="10" t="n">
        <v>-26997.24</v>
      </c>
      <c r="F13" s="10" t="n">
        <v>-34656.33</v>
      </c>
      <c r="G13" s="10" t="n">
        <v>-41853.48</v>
      </c>
      <c r="H13" s="10" t="n">
        <v>-19439.65</v>
      </c>
      <c r="I13" s="10" t="n">
        <v>-23070.02</v>
      </c>
      <c r="J13" s="10" t="n">
        <v>-40473.32</v>
      </c>
      <c r="K13" s="10" t="n">
        <v>-41813.69</v>
      </c>
      <c r="L13" s="10" t="n">
        <v>-44203.24</v>
      </c>
      <c r="M13" s="10" t="n">
        <v>-42143.71</v>
      </c>
      <c r="N13" s="14" t="n">
        <f aca="false">SUM(B13:M13)</f>
        <v>-402703.83</v>
      </c>
      <c r="O13" s="14" t="n">
        <f aca="false">SUM(B13:D13)</f>
        <v>-88053.15</v>
      </c>
    </row>
    <row r="14" customFormat="false" ht="15" hidden="false" customHeight="false" outlineLevel="0" collapsed="false">
      <c r="A14" s="8" t="s">
        <v>59</v>
      </c>
      <c r="B14" s="9" t="n">
        <v>0</v>
      </c>
      <c r="C14" s="9" t="n">
        <v>0</v>
      </c>
      <c r="D14" s="9" t="n">
        <v>0</v>
      </c>
      <c r="E14" s="10" t="n">
        <v>-200</v>
      </c>
      <c r="F14" s="10" t="n">
        <v>-200</v>
      </c>
      <c r="G14" s="10" t="n">
        <v>-200</v>
      </c>
      <c r="H14" s="10" t="n">
        <v>-200</v>
      </c>
      <c r="I14" s="10" t="n">
        <v>-200</v>
      </c>
      <c r="J14" s="10" t="n">
        <v>-200</v>
      </c>
      <c r="K14" s="10" t="n">
        <v>-200</v>
      </c>
      <c r="L14" s="10" t="n">
        <v>-200</v>
      </c>
      <c r="M14" s="10" t="n">
        <v>-200</v>
      </c>
      <c r="N14" s="14" t="n">
        <f aca="false">SUM(B14:M14)</f>
        <v>-1800</v>
      </c>
      <c r="O14" s="14" t="n">
        <f aca="false">SUM(B14:D14)</f>
        <v>0</v>
      </c>
    </row>
    <row r="15" customFormat="false" ht="15" hidden="false" customHeight="false" outlineLevel="0" collapsed="false">
      <c r="A15" s="8" t="s">
        <v>60</v>
      </c>
      <c r="B15" s="9" t="n">
        <v>-5866.01</v>
      </c>
      <c r="C15" s="9" t="n">
        <v>-5332.62</v>
      </c>
      <c r="D15" s="9" t="n">
        <v>-5893.5</v>
      </c>
      <c r="E15" s="10" t="n">
        <v>-1026.67</v>
      </c>
      <c r="F15" s="10" t="n">
        <v>-1170.52</v>
      </c>
      <c r="G15" s="10" t="n">
        <v>-1170.5</v>
      </c>
      <c r="H15" s="10" t="n">
        <v>-1254.81</v>
      </c>
      <c r="I15" s="10" t="n">
        <v>-1170.51</v>
      </c>
      <c r="J15" s="10" t="n">
        <v>-1104.34</v>
      </c>
      <c r="K15" s="10" t="n">
        <v>-1104.44</v>
      </c>
      <c r="L15" s="10" t="n">
        <v>-1070.77</v>
      </c>
      <c r="M15" s="10" t="n">
        <v>-988.09</v>
      </c>
      <c r="N15" s="14" t="n">
        <f aca="false">SUM(B15:M15)</f>
        <v>-27152.78</v>
      </c>
      <c r="O15" s="14" t="n">
        <f aca="false">SUM(B15:D15)</f>
        <v>-17092.13</v>
      </c>
    </row>
    <row r="16" customFormat="false" ht="15" hidden="false" customHeight="false" outlineLevel="0" collapsed="false">
      <c r="A16" s="8" t="s">
        <v>61</v>
      </c>
      <c r="B16" s="9" t="n">
        <v>-1121.23</v>
      </c>
      <c r="C16" s="9" t="n">
        <v>-482.61</v>
      </c>
      <c r="D16" s="9" t="n">
        <v>-7996.45</v>
      </c>
      <c r="E16" s="10" t="n">
        <v>-1630.46</v>
      </c>
      <c r="F16" s="10" t="n">
        <v>0</v>
      </c>
      <c r="G16" s="10" t="n">
        <v>0</v>
      </c>
      <c r="H16" s="10" t="n">
        <v>0</v>
      </c>
      <c r="I16" s="10" t="n">
        <v>0</v>
      </c>
      <c r="J16" s="10" t="n">
        <v>-124.81</v>
      </c>
      <c r="K16" s="10" t="n">
        <v>-113.88</v>
      </c>
      <c r="L16" s="10" t="n">
        <v>-67.89</v>
      </c>
      <c r="M16" s="10" t="n">
        <v>0</v>
      </c>
      <c r="N16" s="14" t="n">
        <f aca="false">SUM(B16:M16)</f>
        <v>-11537.33</v>
      </c>
      <c r="O16" s="14" t="n">
        <f aca="false">SUM(B16:D16)</f>
        <v>-9600.29</v>
      </c>
    </row>
    <row r="17" customFormat="false" ht="15" hidden="false" customHeight="false" outlineLevel="0" collapsed="false">
      <c r="A17" s="12" t="s">
        <v>26</v>
      </c>
      <c r="B17" s="13" t="n">
        <f aca="false">B10+B11+B12+B13+B14+B15+B16</f>
        <v>-131411.69</v>
      </c>
      <c r="C17" s="13" t="n">
        <f aca="false">C10+C11+C12+C13+C14+C15+C16</f>
        <v>-134597.55</v>
      </c>
      <c r="D17" s="13" t="n">
        <f aca="false">D10+D11+D12+D13+D14+D15+D16</f>
        <v>-141658.68</v>
      </c>
      <c r="E17" s="13" t="n">
        <f aca="false">E10+E11+E12+E13+E14+E15+E16</f>
        <v>-130158.67</v>
      </c>
      <c r="F17" s="13" t="n">
        <f aca="false">F10+F11+F12+F13+F14+F15+F16</f>
        <v>-127598.95</v>
      </c>
      <c r="G17" s="13" t="n">
        <f aca="false">G10+G11+G12+G13+G14+G15+G16</f>
        <v>-134912.18</v>
      </c>
      <c r="H17" s="13" t="n">
        <f aca="false">H10+H11+H12+H13+H14+H15+H16</f>
        <v>-112466.56</v>
      </c>
      <c r="I17" s="13" t="n">
        <f aca="false">I10+I11+I12+I13+I14+I15+I16</f>
        <v>-116012.63</v>
      </c>
      <c r="J17" s="13" t="n">
        <f aca="false">J10+J11+J12+J13+J14+J15+J16</f>
        <v>-142206.77</v>
      </c>
      <c r="K17" s="13" t="n">
        <f aca="false">K10+K11+K12+K13+K14+K15+K16</f>
        <v>-134804.11</v>
      </c>
      <c r="L17" s="13" t="n">
        <f aca="false">L10+L11+L12+L13+L14+L15+L16</f>
        <v>-141480.1</v>
      </c>
      <c r="M17" s="13" t="n">
        <f aca="false">M10+M11+M12+M13+M14+M15+M16</f>
        <v>-139270</v>
      </c>
      <c r="N17" s="14" t="n">
        <f aca="false">SUM(B17:M17)</f>
        <v>-1586577.89</v>
      </c>
      <c r="O17" s="14" t="n">
        <f aca="false">SUM(B17:D17)</f>
        <v>-407667.92</v>
      </c>
    </row>
    <row r="19" customFormat="false" ht="15" hidden="false" customHeight="false" outlineLevel="0" collapsed="false">
      <c r="A19" s="3" t="s">
        <v>62</v>
      </c>
      <c r="B19" s="4"/>
      <c r="C19" s="4"/>
      <c r="D19" s="4"/>
      <c r="E19" s="4"/>
      <c r="F19" s="4"/>
      <c r="G19" s="4"/>
      <c r="H19" s="4"/>
      <c r="I19" s="4"/>
      <c r="J19" s="4"/>
      <c r="K19" s="4"/>
      <c r="L19" s="4"/>
      <c r="M19" s="4"/>
      <c r="N19" s="4"/>
      <c r="O19" s="4"/>
    </row>
    <row r="20" customFormat="false" ht="15" hidden="false" customHeight="false" outlineLevel="0" collapsed="false">
      <c r="A20" s="8" t="s">
        <v>63</v>
      </c>
      <c r="B20" s="9" t="n">
        <v>-1923.67</v>
      </c>
      <c r="C20" s="9" t="n">
        <v>-1870.84</v>
      </c>
      <c r="D20" s="9" t="n">
        <v>-4121.99</v>
      </c>
      <c r="E20" s="10" t="n">
        <v>-1229.15</v>
      </c>
      <c r="F20" s="10" t="n">
        <v>-1229.15</v>
      </c>
      <c r="G20" s="10" t="n">
        <v>-1229.15</v>
      </c>
      <c r="H20" s="10" t="n">
        <v>-1229.15</v>
      </c>
      <c r="I20" s="10" t="n">
        <v>-1229.15</v>
      </c>
      <c r="J20" s="10" t="n">
        <v>-1229.15</v>
      </c>
      <c r="K20" s="10" t="n">
        <v>-1229.15</v>
      </c>
      <c r="L20" s="10" t="n">
        <v>-1229.15</v>
      </c>
      <c r="M20" s="10" t="n">
        <v>-1229.15</v>
      </c>
      <c r="N20" s="14" t="n">
        <f aca="false">SUM(B20:M20)</f>
        <v>-18978.85</v>
      </c>
      <c r="O20" s="14" t="n">
        <f aca="false">SUM(B20:D20)</f>
        <v>-7916.5</v>
      </c>
    </row>
    <row r="21" customFormat="false" ht="15" hidden="false" customHeight="false" outlineLevel="0" collapsed="false">
      <c r="A21" s="8" t="s">
        <v>64</v>
      </c>
      <c r="B21" s="9" t="n">
        <v>-44895.42</v>
      </c>
      <c r="C21" s="9" t="n">
        <v>-65554.35</v>
      </c>
      <c r="D21" s="9" t="n">
        <v>-51784.73</v>
      </c>
      <c r="E21" s="10" t="n">
        <v>-71289.72</v>
      </c>
      <c r="F21" s="10" t="n">
        <v>-69210.2</v>
      </c>
      <c r="G21" s="10" t="n">
        <v>-70249.96</v>
      </c>
      <c r="H21" s="10" t="n">
        <v>-69210.2</v>
      </c>
      <c r="I21" s="10" t="n">
        <v>-69210.2</v>
      </c>
      <c r="J21" s="10" t="n">
        <v>-71289.72</v>
      </c>
      <c r="K21" s="10" t="n">
        <v>-69210.2</v>
      </c>
      <c r="L21" s="10" t="n">
        <v>-70249.96</v>
      </c>
      <c r="M21" s="10" t="n">
        <v>-70249.96</v>
      </c>
      <c r="N21" s="14" t="n">
        <f aca="false">SUM(B21:M21)</f>
        <v>-792404.62</v>
      </c>
      <c r="O21" s="14" t="n">
        <f aca="false">SUM(B21:D21)</f>
        <v>-162234.5</v>
      </c>
    </row>
    <row r="22" customFormat="false" ht="15" hidden="false" customHeight="false" outlineLevel="0" collapsed="false">
      <c r="A22" s="8" t="s">
        <v>65</v>
      </c>
      <c r="B22" s="9" t="n">
        <v>-6229.43</v>
      </c>
      <c r="C22" s="9" t="n">
        <v>-6426.32</v>
      </c>
      <c r="D22" s="9" t="n">
        <v>-11233.31</v>
      </c>
      <c r="E22" s="10" t="n">
        <v>-9644.73</v>
      </c>
      <c r="F22" s="10" t="n">
        <v>-9644.73</v>
      </c>
      <c r="G22" s="10" t="n">
        <v>-9644.73</v>
      </c>
      <c r="H22" s="10" t="n">
        <v>-9644.73</v>
      </c>
      <c r="I22" s="10" t="n">
        <v>-9644.73</v>
      </c>
      <c r="J22" s="10" t="n">
        <v>-9644.73</v>
      </c>
      <c r="K22" s="10" t="n">
        <v>-9644.73</v>
      </c>
      <c r="L22" s="10" t="n">
        <v>-9644.73</v>
      </c>
      <c r="M22" s="10" t="n">
        <v>-9644.73</v>
      </c>
      <c r="N22" s="14" t="n">
        <f aca="false">SUM(B22:M22)</f>
        <v>-110691.63</v>
      </c>
      <c r="O22" s="14" t="n">
        <f aca="false">SUM(B22:D22)</f>
        <v>-23889.06</v>
      </c>
    </row>
    <row r="23" customFormat="false" ht="15" hidden="false" customHeight="false" outlineLevel="0" collapsed="false">
      <c r="A23" s="8" t="s">
        <v>66</v>
      </c>
      <c r="B23" s="9" t="n">
        <v>-17686.95</v>
      </c>
      <c r="C23" s="9" t="n">
        <v>-15138.93</v>
      </c>
      <c r="D23" s="9" t="n">
        <v>-13317.81</v>
      </c>
      <c r="E23" s="10" t="n">
        <v>-11690.48</v>
      </c>
      <c r="F23" s="10" t="n">
        <v>-11690.48</v>
      </c>
      <c r="G23" s="10" t="n">
        <v>-11690.48</v>
      </c>
      <c r="H23" s="10" t="n">
        <v>-11690.48</v>
      </c>
      <c r="I23" s="10" t="n">
        <v>-11690.48</v>
      </c>
      <c r="J23" s="10" t="n">
        <v>-11690.48</v>
      </c>
      <c r="K23" s="10" t="n">
        <v>-11690.48</v>
      </c>
      <c r="L23" s="10" t="n">
        <v>-11690.48</v>
      </c>
      <c r="M23" s="10" t="n">
        <v>-11690.48</v>
      </c>
      <c r="N23" s="14" t="n">
        <f aca="false">SUM(B23:M23)</f>
        <v>-151358.01</v>
      </c>
      <c r="O23" s="14" t="n">
        <f aca="false">SUM(B23:D23)</f>
        <v>-46143.69</v>
      </c>
    </row>
    <row r="24" customFormat="false" ht="15" hidden="false" customHeight="false" outlineLevel="0" collapsed="false">
      <c r="A24" s="12" t="s">
        <v>27</v>
      </c>
      <c r="B24" s="13" t="n">
        <f aca="false">B20+B21+B22+B23</f>
        <v>-70735.47</v>
      </c>
      <c r="C24" s="13" t="n">
        <f aca="false">C20+C21+C22+C23</f>
        <v>-88990.44</v>
      </c>
      <c r="D24" s="13" t="n">
        <f aca="false">D20+D21+D22+D23</f>
        <v>-80457.84</v>
      </c>
      <c r="E24" s="13" t="n">
        <f aca="false">E20+E21+E22+E23</f>
        <v>-93854.08</v>
      </c>
      <c r="F24" s="13" t="n">
        <f aca="false">F20+F21+F22+F23</f>
        <v>-91774.56</v>
      </c>
      <c r="G24" s="13" t="n">
        <f aca="false">G20+G21+G22+G23</f>
        <v>-92814.32</v>
      </c>
      <c r="H24" s="13" t="n">
        <f aca="false">H20+H21+H22+H23</f>
        <v>-91774.56</v>
      </c>
      <c r="I24" s="13" t="n">
        <f aca="false">I20+I21+I22+I23</f>
        <v>-91774.56</v>
      </c>
      <c r="J24" s="13" t="n">
        <f aca="false">J20+J21+J22+J23</f>
        <v>-93854.08</v>
      </c>
      <c r="K24" s="13" t="n">
        <f aca="false">K20+K21+K22+K23</f>
        <v>-91774.56</v>
      </c>
      <c r="L24" s="13" t="n">
        <f aca="false">L20+L21+L22+L23</f>
        <v>-92814.32</v>
      </c>
      <c r="M24" s="13" t="n">
        <f aca="false">M20+M21+M22+M23</f>
        <v>-92814.32</v>
      </c>
      <c r="N24" s="14" t="n">
        <f aca="false">SUM(B24:M24)</f>
        <v>-1073433.11</v>
      </c>
      <c r="O24" s="14" t="n">
        <f aca="false">SUM(B24:D24)</f>
        <v>-240183.75</v>
      </c>
    </row>
    <row r="26" customFormat="false" ht="15" hidden="false" customHeight="false" outlineLevel="0" collapsed="false">
      <c r="A26" s="3" t="s">
        <v>67</v>
      </c>
      <c r="B26" s="4"/>
      <c r="C26" s="4"/>
      <c r="D26" s="4"/>
      <c r="E26" s="4"/>
      <c r="F26" s="4"/>
      <c r="G26" s="4"/>
      <c r="H26" s="4"/>
      <c r="I26" s="4"/>
      <c r="J26" s="4"/>
      <c r="K26" s="4"/>
      <c r="L26" s="4"/>
      <c r="M26" s="4"/>
      <c r="N26" s="4"/>
      <c r="O26" s="4"/>
    </row>
    <row r="27" customFormat="false" ht="15" hidden="false" customHeight="false" outlineLevel="0" collapsed="false">
      <c r="A27" s="12" t="s">
        <v>68</v>
      </c>
      <c r="B27" s="16" t="n">
        <f aca="false">B9+B17</f>
        <v>103991.25</v>
      </c>
      <c r="C27" s="16" t="n">
        <f aca="false">C9+C17</f>
        <v>105638.38</v>
      </c>
      <c r="D27" s="16" t="n">
        <f aca="false">D9+D17</f>
        <v>101289.75</v>
      </c>
      <c r="E27" s="14" t="n">
        <f aca="false">E9+E17</f>
        <v>132888.1</v>
      </c>
      <c r="F27" s="14" t="n">
        <f aca="false">F9+F17</f>
        <v>134767.82</v>
      </c>
      <c r="G27" s="14" t="n">
        <f aca="false">G9+G17</f>
        <v>116404.59</v>
      </c>
      <c r="H27" s="14" t="n">
        <f aca="false">H9+H17</f>
        <v>149900.21</v>
      </c>
      <c r="I27" s="14" t="n">
        <f aca="false">I9+I17</f>
        <v>146354.14</v>
      </c>
      <c r="J27" s="14" t="n">
        <f aca="false">J9+J17</f>
        <v>110810</v>
      </c>
      <c r="K27" s="14" t="n">
        <f aca="false">K9+K17</f>
        <v>126462.66</v>
      </c>
      <c r="L27" s="14" t="n">
        <f aca="false">L9+L17</f>
        <v>117470.01</v>
      </c>
      <c r="M27" s="14" t="n">
        <f aca="false">M9+M17</f>
        <v>103173.11</v>
      </c>
      <c r="N27" s="14" t="n">
        <f aca="false">SUM(B27:M27)</f>
        <v>1449150.02</v>
      </c>
      <c r="O27" s="14" t="n">
        <f aca="false">SUM(B27:D27)</f>
        <v>310919.38</v>
      </c>
    </row>
    <row r="28" customFormat="false" ht="15" hidden="false" customHeight="false" outlineLevel="0" collapsed="false">
      <c r="A28" s="12" t="s">
        <v>69</v>
      </c>
      <c r="B28" s="17" t="n">
        <f aca="false">IFERROR((B9+B17)/B9,"")</f>
        <v>0.441758501401894</v>
      </c>
      <c r="C28" s="17" t="n">
        <f aca="false">IFERROR((C9+C17)/C9,"")</f>
        <v>0.439727646068596</v>
      </c>
      <c r="D28" s="17" t="n">
        <f aca="false">IFERROR((D9+D17)/D9,"")</f>
        <v>0.416918726332168</v>
      </c>
      <c r="E28" s="18" t="n">
        <f aca="false">IFERROR((E9+E17)/E9,"")</f>
        <v>0.505188107803034</v>
      </c>
      <c r="F28" s="18" t="n">
        <f aca="false">IFERROR((F9+F17)/F9,"")</f>
        <v>0.513661924488379</v>
      </c>
      <c r="G28" s="18" t="n">
        <f aca="false">IFERROR((G9+G17)/G9,"")</f>
        <v>0.463178760414595</v>
      </c>
      <c r="H28" s="18" t="n">
        <f aca="false">IFERROR((H9+H17)/H9,"")</f>
        <v>0.571338397770419</v>
      </c>
      <c r="I28" s="18" t="n">
        <f aca="false">IFERROR((I9+I17)/I9,"")</f>
        <v>0.557822699879257</v>
      </c>
      <c r="J28" s="18" t="n">
        <f aca="false">IFERROR((J9+J17)/J9,"")</f>
        <v>0.437955160047297</v>
      </c>
      <c r="K28" s="18" t="n">
        <f aca="false">IFERROR((K9+K17)/K9,"")</f>
        <v>0.48403652710982</v>
      </c>
      <c r="L28" s="18" t="n">
        <f aca="false">IFERROR((L9+L17)/L9,"")</f>
        <v>0.453639544698398</v>
      </c>
      <c r="M28" s="18" t="n">
        <f aca="false">IFERROR((M9+M17)/M9,"")</f>
        <v>0.425555958261713</v>
      </c>
      <c r="N28" s="18" t="n">
        <f aca="false">IFERROR(N27/N9,"")</f>
        <v>0.47736492299799</v>
      </c>
      <c r="O28" s="18" t="n">
        <f aca="false">IFERROR(O27/O9,"")</f>
        <v>0.432681429243183</v>
      </c>
    </row>
    <row r="29" customFormat="false" ht="15" hidden="false" customHeight="false" outlineLevel="0" collapsed="false">
      <c r="A29" s="12" t="s">
        <v>28</v>
      </c>
      <c r="B29" s="16" t="n">
        <f aca="false">B9+B17+B24</f>
        <v>33255.78</v>
      </c>
      <c r="C29" s="16" t="n">
        <f aca="false">C9+C17+C24</f>
        <v>16647.94</v>
      </c>
      <c r="D29" s="16" t="n">
        <f aca="false">D9+D17+D24</f>
        <v>20831.91</v>
      </c>
      <c r="E29" s="14" t="n">
        <f aca="false">E9+E17+E24</f>
        <v>39034.02</v>
      </c>
      <c r="F29" s="14" t="n">
        <f aca="false">F9+F17+F24</f>
        <v>42993.26</v>
      </c>
      <c r="G29" s="14" t="n">
        <f aca="false">G9+G17+G24</f>
        <v>23590.27</v>
      </c>
      <c r="H29" s="14" t="n">
        <f aca="false">H9+H17+H24</f>
        <v>58125.65</v>
      </c>
      <c r="I29" s="14" t="n">
        <f aca="false">I9+I17+I24</f>
        <v>54579.58</v>
      </c>
      <c r="J29" s="14" t="n">
        <f aca="false">J9+J17+J24</f>
        <v>16955.92</v>
      </c>
      <c r="K29" s="14" t="n">
        <f aca="false">K9+K17+K24</f>
        <v>34688.1</v>
      </c>
      <c r="L29" s="14" t="n">
        <f aca="false">L9+L17+L24</f>
        <v>24655.69</v>
      </c>
      <c r="M29" s="14" t="n">
        <f aca="false">M9+M17+M24</f>
        <v>10358.79</v>
      </c>
      <c r="N29" s="14" t="n">
        <f aca="false">SUM(B29:M29)</f>
        <v>375716.91</v>
      </c>
      <c r="O29" s="14" t="n">
        <f aca="false">SUM(B29:D29)</f>
        <v>70735.63</v>
      </c>
    </row>
    <row r="30" customFormat="false" ht="15" hidden="false" customHeight="false" outlineLevel="0" collapsed="false">
      <c r="A30" s="12" t="s">
        <v>70</v>
      </c>
      <c r="B30" s="17" t="n">
        <f aca="false">IFERROR((B9+B17+B24)/B9,"")</f>
        <v>0.141271727532375</v>
      </c>
      <c r="C30" s="17" t="n">
        <f aca="false">IFERROR((C9+C17+C24)/C9,"")</f>
        <v>0.0692982935566716</v>
      </c>
      <c r="D30" s="17" t="n">
        <f aca="false">IFERROR((D9+D17+D24)/D9,"")</f>
        <v>0.0857462219451263</v>
      </c>
      <c r="E30" s="18" t="n">
        <f aca="false">IFERROR((E9+E17+E24)/E9,"")</f>
        <v>0.148391938057251</v>
      </c>
      <c r="F30" s="18" t="n">
        <f aca="false">IFERROR((F9+F17+F24)/F9,"")</f>
        <v>0.163867017153125</v>
      </c>
      <c r="G30" s="18" t="n">
        <f aca="false">IFERROR((G9+G17+G24)/G9,"")</f>
        <v>0.0938666767044634</v>
      </c>
      <c r="H30" s="18" t="n">
        <f aca="false">IFERROR((H9+H17+H24)/H9,"")</f>
        <v>0.221543490435165</v>
      </c>
      <c r="I30" s="18" t="n">
        <f aca="false">IFERROR((I9+I17+I24)/I9,"")</f>
        <v>0.208027792544003</v>
      </c>
      <c r="J30" s="18" t="n">
        <f aca="false">IFERROR((J9+J17+J24)/J9,"")</f>
        <v>0.0670150045785503</v>
      </c>
      <c r="K30" s="18" t="n">
        <f aca="false">IFERROR((K9+K17+K24)/K9,"")</f>
        <v>0.132768893648434</v>
      </c>
      <c r="L30" s="18" t="n">
        <f aca="false">IFERROR((L9+L17+L24)/L9,"")</f>
        <v>0.0952140549389996</v>
      </c>
      <c r="M30" s="18" t="n">
        <f aca="false">IFERROR((M9+M17+M24)/M9,"")</f>
        <v>0.0427266833856404</v>
      </c>
      <c r="N30" s="18" t="n">
        <f aca="false">IFERROR(N29/N9,"")</f>
        <v>0.123765014895554</v>
      </c>
      <c r="O30" s="18" t="n">
        <f aca="false">IFERROR(O29/O9,"")</f>
        <v>0.0984370722944867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15" min="2" style="0" width="13"/>
  </cols>
  <sheetData>
    <row r="1" customFormat="false" ht="17.35" hidden="false" customHeight="false" outlineLevel="0" collapsed="false">
      <c r="A1" s="1" t="s">
        <v>71</v>
      </c>
    </row>
    <row r="2" customFormat="false" ht="15" hidden="false" customHeight="false" outlineLevel="0" collapsed="false">
      <c r="A2" s="2" t="s">
        <v>50</v>
      </c>
    </row>
    <row r="4" customFormat="false" ht="15" hidden="false" customHeight="false" outlineLevel="0" collapsed="false">
      <c r="A4" s="5" t="s">
        <v>32</v>
      </c>
      <c r="B4" s="6" t="s">
        <v>7</v>
      </c>
      <c r="C4" s="6" t="s">
        <v>8</v>
      </c>
      <c r="D4" s="6" t="s">
        <v>9</v>
      </c>
      <c r="E4" s="7" t="s">
        <v>10</v>
      </c>
      <c r="F4" s="7" t="s">
        <v>11</v>
      </c>
      <c r="G4" s="7" t="s">
        <v>12</v>
      </c>
      <c r="H4" s="7" t="s">
        <v>13</v>
      </c>
      <c r="I4" s="7" t="s">
        <v>14</v>
      </c>
      <c r="J4" s="7" t="s">
        <v>15</v>
      </c>
      <c r="K4" s="7" t="s">
        <v>16</v>
      </c>
      <c r="L4" s="7" t="s">
        <v>17</v>
      </c>
      <c r="M4" s="7" t="s">
        <v>18</v>
      </c>
      <c r="N4" s="5" t="s">
        <v>19</v>
      </c>
      <c r="O4" s="5" t="s">
        <v>20</v>
      </c>
    </row>
    <row r="5" customFormat="false" ht="15" hidden="false" customHeight="false" outlineLevel="0" collapsed="false">
      <c r="A5" s="8" t="s">
        <v>54</v>
      </c>
      <c r="B5" s="9" t="n">
        <v>110842.53</v>
      </c>
      <c r="C5" s="9" t="n">
        <v>268942.12</v>
      </c>
      <c r="D5" s="9" t="n">
        <v>80606.62</v>
      </c>
      <c r="E5" s="10" t="n">
        <v>587307.02</v>
      </c>
      <c r="F5" s="10" t="n">
        <v>241601.02</v>
      </c>
      <c r="G5" s="10" t="n">
        <v>62316.02</v>
      </c>
      <c r="H5" s="10" t="n">
        <v>64261.94</v>
      </c>
      <c r="I5" s="10" t="n">
        <v>281912.02</v>
      </c>
      <c r="J5" s="10" t="n">
        <v>128882.02</v>
      </c>
      <c r="K5" s="10" t="n">
        <v>98752.02</v>
      </c>
      <c r="L5" s="10" t="n">
        <v>135511.94</v>
      </c>
      <c r="M5" s="10" t="n">
        <v>82637.02</v>
      </c>
      <c r="N5" s="14" t="n">
        <f aca="false">SUM(B5:M5)</f>
        <v>2143572.29</v>
      </c>
      <c r="O5" s="14" t="n">
        <f aca="false">SUM(B5:D5)</f>
        <v>460391.27</v>
      </c>
    </row>
    <row r="6" customFormat="false" ht="15" hidden="false" customHeight="false" outlineLevel="0" collapsed="false">
      <c r="A6" s="12" t="s">
        <v>21</v>
      </c>
      <c r="B6" s="13" t="n">
        <f aca="false">B5</f>
        <v>110842.53</v>
      </c>
      <c r="C6" s="13" t="n">
        <f aca="false">C5</f>
        <v>268942.12</v>
      </c>
      <c r="D6" s="13" t="n">
        <f aca="false">D5</f>
        <v>80606.62</v>
      </c>
      <c r="E6" s="13" t="n">
        <f aca="false">E5</f>
        <v>587307.02</v>
      </c>
      <c r="F6" s="13" t="n">
        <f aca="false">F5</f>
        <v>241601.02</v>
      </c>
      <c r="G6" s="13" t="n">
        <f aca="false">G5</f>
        <v>62316.02</v>
      </c>
      <c r="H6" s="13" t="n">
        <f aca="false">H5</f>
        <v>64261.94</v>
      </c>
      <c r="I6" s="13" t="n">
        <f aca="false">I5</f>
        <v>281912.02</v>
      </c>
      <c r="J6" s="13" t="n">
        <f aca="false">J5</f>
        <v>128882.02</v>
      </c>
      <c r="K6" s="13" t="n">
        <f aca="false">K5</f>
        <v>98752.02</v>
      </c>
      <c r="L6" s="13" t="n">
        <f aca="false">L5</f>
        <v>135511.94</v>
      </c>
      <c r="M6" s="13" t="n">
        <f aca="false">M5</f>
        <v>82637.02</v>
      </c>
      <c r="N6" s="14" t="n">
        <f aca="false">SUM(B6:M6)</f>
        <v>2143572.29</v>
      </c>
      <c r="O6" s="14" t="n">
        <f aca="false">SUM(B6:D6)</f>
        <v>460391.27</v>
      </c>
    </row>
    <row r="7" customFormat="false" ht="15" hidden="false" customHeight="false" outlineLevel="0" collapsed="false">
      <c r="A7" s="8" t="s">
        <v>72</v>
      </c>
      <c r="B7" s="9" t="n">
        <v>-10096.74</v>
      </c>
      <c r="C7" s="9" t="n">
        <v>-29119.07</v>
      </c>
      <c r="D7" s="9" t="n">
        <v>-5791.88</v>
      </c>
      <c r="E7" s="10" t="n">
        <v>-20870.24</v>
      </c>
      <c r="F7" s="10" t="n">
        <v>-18972.95</v>
      </c>
      <c r="G7" s="10" t="n">
        <v>-19921.59</v>
      </c>
      <c r="H7" s="10" t="n">
        <v>-18972.95</v>
      </c>
      <c r="I7" s="10" t="n">
        <v>-18972.95</v>
      </c>
      <c r="J7" s="10" t="n">
        <v>-20870.24</v>
      </c>
      <c r="K7" s="10" t="n">
        <v>-18972.95</v>
      </c>
      <c r="L7" s="10" t="n">
        <v>-19921.59</v>
      </c>
      <c r="M7" s="10" t="n">
        <v>-19921.59</v>
      </c>
      <c r="N7" s="14" t="n">
        <f aca="false">SUM(B7:M7)</f>
        <v>-222404.74</v>
      </c>
      <c r="O7" s="14" t="n">
        <f aca="false">SUM(B7:D7)</f>
        <v>-45007.69</v>
      </c>
    </row>
    <row r="8" customFormat="false" ht="15" hidden="false" customHeight="false" outlineLevel="0" collapsed="false">
      <c r="A8" s="8" t="s">
        <v>73</v>
      </c>
      <c r="B8" s="9" t="n">
        <v>-424.53</v>
      </c>
      <c r="C8" s="9" t="n">
        <v>-3502.18</v>
      </c>
      <c r="D8" s="9" t="n">
        <v>-774.69</v>
      </c>
      <c r="E8" s="10" t="n">
        <v>-9418.83</v>
      </c>
      <c r="F8" s="10" t="n">
        <v>-15240.57</v>
      </c>
      <c r="G8" s="10" t="n">
        <v>-4783.56</v>
      </c>
      <c r="H8" s="10" t="n">
        <v>-4555.77</v>
      </c>
      <c r="I8" s="10" t="n">
        <v>-4555.77</v>
      </c>
      <c r="J8" s="10" t="n">
        <v>-5011.35</v>
      </c>
      <c r="K8" s="10" t="n">
        <v>-4555.77</v>
      </c>
      <c r="L8" s="10" t="n">
        <v>-4783.56</v>
      </c>
      <c r="M8" s="10" t="n">
        <v>-4783.56</v>
      </c>
      <c r="N8" s="14" t="n">
        <f aca="false">SUM(B8:M8)</f>
        <v>-62390.14</v>
      </c>
      <c r="O8" s="14" t="n">
        <f aca="false">SUM(B8:D8)</f>
        <v>-4701.4</v>
      </c>
    </row>
    <row r="9" customFormat="false" ht="15" hidden="false" customHeight="false" outlineLevel="0" collapsed="false">
      <c r="A9" s="8" t="s">
        <v>74</v>
      </c>
      <c r="B9" s="9" t="n">
        <v>-1611.44</v>
      </c>
      <c r="C9" s="9" t="n">
        <v>-5026.96</v>
      </c>
      <c r="D9" s="9" t="n">
        <v>-3381.07</v>
      </c>
      <c r="E9" s="10" t="n">
        <v>-2504.43</v>
      </c>
      <c r="F9" s="10" t="n">
        <v>-2276.75</v>
      </c>
      <c r="G9" s="10" t="n">
        <v>-2390.59</v>
      </c>
      <c r="H9" s="10" t="n">
        <v>-2276.75</v>
      </c>
      <c r="I9" s="10" t="n">
        <v>-2276.75</v>
      </c>
      <c r="J9" s="10" t="n">
        <v>-2504.43</v>
      </c>
      <c r="K9" s="10" t="n">
        <v>-2276.75</v>
      </c>
      <c r="L9" s="10" t="n">
        <v>-2390.59</v>
      </c>
      <c r="M9" s="10" t="n">
        <v>-2390.59</v>
      </c>
      <c r="N9" s="14" t="n">
        <f aca="false">SUM(B9:M9)</f>
        <v>-31307.1</v>
      </c>
      <c r="O9" s="14" t="n">
        <f aca="false">SUM(B9:D9)</f>
        <v>-10019.47</v>
      </c>
    </row>
    <row r="10" customFormat="false" ht="15" hidden="false" customHeight="false" outlineLevel="0" collapsed="false">
      <c r="A10" s="8" t="s">
        <v>75</v>
      </c>
      <c r="B10" s="9" t="n">
        <v>-331.62</v>
      </c>
      <c r="C10" s="9" t="n">
        <v>-507.42</v>
      </c>
      <c r="D10" s="9" t="n">
        <v>-978.23</v>
      </c>
      <c r="E10" s="10" t="n">
        <v>-1130.26</v>
      </c>
      <c r="F10" s="10" t="n">
        <v>-1828.87</v>
      </c>
      <c r="G10" s="10" t="n">
        <v>-574.03</v>
      </c>
      <c r="H10" s="10" t="n">
        <v>-546.69</v>
      </c>
      <c r="I10" s="10" t="n">
        <v>-546.69</v>
      </c>
      <c r="J10" s="10" t="n">
        <v>-601.36</v>
      </c>
      <c r="K10" s="10" t="n">
        <v>-546.69</v>
      </c>
      <c r="L10" s="10" t="n">
        <v>-574.03</v>
      </c>
      <c r="M10" s="10" t="n">
        <v>-574.03</v>
      </c>
      <c r="N10" s="14" t="n">
        <f aca="false">SUM(B10:M10)</f>
        <v>-8739.92</v>
      </c>
      <c r="O10" s="14" t="n">
        <f aca="false">SUM(B10:D10)</f>
        <v>-1817.27</v>
      </c>
    </row>
    <row r="11" customFormat="false" ht="15" hidden="false" customHeight="false" outlineLevel="0" collapsed="false">
      <c r="A11" s="8" t="s">
        <v>76</v>
      </c>
      <c r="B11" s="9" t="n">
        <v>0</v>
      </c>
      <c r="C11" s="9" t="n">
        <v>0</v>
      </c>
      <c r="D11" s="9" t="n">
        <v>0</v>
      </c>
      <c r="E11" s="10" t="n">
        <v>-3326.4</v>
      </c>
      <c r="F11" s="10" t="n">
        <v>-8064</v>
      </c>
      <c r="G11" s="10" t="n">
        <v>0</v>
      </c>
      <c r="H11" s="10" t="n">
        <v>0</v>
      </c>
      <c r="I11" s="10" t="n">
        <v>0</v>
      </c>
      <c r="J11" s="10" t="n">
        <v>0</v>
      </c>
      <c r="K11" s="10" t="n">
        <v>0</v>
      </c>
      <c r="L11" s="10" t="n">
        <v>0</v>
      </c>
      <c r="M11" s="10" t="n">
        <v>0</v>
      </c>
      <c r="N11" s="14" t="n">
        <f aca="false">SUM(B11:M11)</f>
        <v>-11390.4</v>
      </c>
      <c r="O11" s="14" t="n">
        <f aca="false">SUM(B11:D11)</f>
        <v>0</v>
      </c>
    </row>
    <row r="12" customFormat="false" ht="15" hidden="false" customHeight="false" outlineLevel="0" collapsed="false">
      <c r="A12" s="8" t="s">
        <v>77</v>
      </c>
      <c r="B12" s="9" t="n">
        <v>-3414.34</v>
      </c>
      <c r="C12" s="9" t="n">
        <v>-14287.98</v>
      </c>
      <c r="D12" s="9" t="n">
        <v>-2131.06</v>
      </c>
      <c r="E12" s="10" t="n">
        <v>-6531.41</v>
      </c>
      <c r="F12" s="10" t="n">
        <v>-4420.73</v>
      </c>
      <c r="G12" s="10" t="n">
        <v>-21556.22</v>
      </c>
      <c r="H12" s="10" t="n">
        <v>-500</v>
      </c>
      <c r="I12" s="10" t="n">
        <v>-12506.42</v>
      </c>
      <c r="J12" s="10" t="n">
        <v>-4362.73</v>
      </c>
      <c r="K12" s="10" t="n">
        <v>-2129.49</v>
      </c>
      <c r="L12" s="10" t="n">
        <v>-8377.21</v>
      </c>
      <c r="M12" s="10" t="n">
        <v>-19210.92</v>
      </c>
      <c r="N12" s="14" t="n">
        <f aca="false">SUM(B12:M12)</f>
        <v>-99428.51</v>
      </c>
      <c r="O12" s="14" t="n">
        <f aca="false">SUM(B12:D12)</f>
        <v>-19833.38</v>
      </c>
    </row>
    <row r="13" customFormat="false" ht="15" hidden="false" customHeight="false" outlineLevel="0" collapsed="false">
      <c r="A13" s="8" t="s">
        <v>78</v>
      </c>
      <c r="B13" s="9" t="n">
        <v>-2339.02</v>
      </c>
      <c r="C13" s="9" t="n">
        <v>-820.37</v>
      </c>
      <c r="D13" s="9" t="n">
        <v>263.6</v>
      </c>
      <c r="E13" s="10" t="n">
        <v>0</v>
      </c>
      <c r="F13" s="10" t="n">
        <v>-497.15</v>
      </c>
      <c r="G13" s="10" t="n">
        <v>-497.15</v>
      </c>
      <c r="H13" s="10" t="n">
        <v>-189.39</v>
      </c>
      <c r="I13" s="10" t="n">
        <v>-4188.15</v>
      </c>
      <c r="J13" s="10" t="n">
        <v>-2651.03</v>
      </c>
      <c r="K13" s="10" t="n">
        <v>0</v>
      </c>
      <c r="L13" s="10" t="n">
        <v>-1127.48</v>
      </c>
      <c r="M13" s="10" t="n">
        <v>-1874.67</v>
      </c>
      <c r="N13" s="14" t="n">
        <f aca="false">SUM(B13:M13)</f>
        <v>-13920.81</v>
      </c>
      <c r="O13" s="14" t="n">
        <f aca="false">SUM(B13:D13)</f>
        <v>-2895.79</v>
      </c>
    </row>
    <row r="14" customFormat="false" ht="15" hidden="false" customHeight="false" outlineLevel="0" collapsed="false">
      <c r="A14" s="8" t="s">
        <v>79</v>
      </c>
      <c r="B14" s="9" t="n">
        <v>-22897.92</v>
      </c>
      <c r="C14" s="9" t="n">
        <v>-64436.16</v>
      </c>
      <c r="D14" s="9" t="n">
        <v>-2861.3</v>
      </c>
      <c r="E14" s="10" t="n">
        <v>-222259.63</v>
      </c>
      <c r="F14" s="10" t="n">
        <v>-47487.38</v>
      </c>
      <c r="G14" s="10" t="n">
        <v>-29486.69</v>
      </c>
      <c r="H14" s="10" t="n">
        <v>-17314.12</v>
      </c>
      <c r="I14" s="10" t="n">
        <v>-58917.73</v>
      </c>
      <c r="J14" s="10" t="n">
        <v>-19339.16</v>
      </c>
      <c r="K14" s="10" t="n">
        <v>-18365.51</v>
      </c>
      <c r="L14" s="10" t="n">
        <v>-21368.11</v>
      </c>
      <c r="M14" s="10" t="n">
        <v>-32615.71</v>
      </c>
      <c r="N14" s="14" t="n">
        <f aca="false">SUM(B14:M14)</f>
        <v>-557349.42</v>
      </c>
      <c r="O14" s="14" t="n">
        <f aca="false">SUM(B14:D14)</f>
        <v>-90195.38</v>
      </c>
    </row>
    <row r="15" customFormat="false" ht="15" hidden="false" customHeight="false" outlineLevel="0" collapsed="false">
      <c r="A15" s="8" t="s">
        <v>80</v>
      </c>
      <c r="B15" s="9" t="n">
        <v>0</v>
      </c>
      <c r="C15" s="9" t="n">
        <v>-95</v>
      </c>
      <c r="D15" s="9" t="n">
        <v>0</v>
      </c>
      <c r="E15" s="10" t="n">
        <v>-1258.67</v>
      </c>
      <c r="F15" s="10" t="n">
        <v>-346.41</v>
      </c>
      <c r="G15" s="10" t="n">
        <v>-893.95</v>
      </c>
      <c r="H15" s="10" t="n">
        <v>-460.65</v>
      </c>
      <c r="I15" s="10" t="n">
        <v>-1133.99</v>
      </c>
      <c r="J15" s="10" t="n">
        <v>-446.84</v>
      </c>
      <c r="K15" s="10" t="n">
        <v>-345</v>
      </c>
      <c r="L15" s="10" t="n">
        <v>-345</v>
      </c>
      <c r="M15" s="10" t="n">
        <v>-345</v>
      </c>
      <c r="N15" s="14" t="n">
        <f aca="false">SUM(B15:M15)</f>
        <v>-5670.51</v>
      </c>
      <c r="O15" s="14" t="n">
        <f aca="false">SUM(B15:D15)</f>
        <v>-95</v>
      </c>
    </row>
    <row r="16" customFormat="false" ht="15" hidden="false" customHeight="false" outlineLevel="0" collapsed="false">
      <c r="A16" s="8" t="s">
        <v>81</v>
      </c>
      <c r="B16" s="9" t="n">
        <v>-3622.49</v>
      </c>
      <c r="C16" s="9" t="n">
        <v>-7317.94</v>
      </c>
      <c r="D16" s="9" t="n">
        <v>-2257.7</v>
      </c>
      <c r="E16" s="10" t="n">
        <v>-18324.81</v>
      </c>
      <c r="F16" s="10" t="n">
        <v>-4971.24</v>
      </c>
      <c r="G16" s="10" t="n">
        <v>-2944.68</v>
      </c>
      <c r="H16" s="10" t="n">
        <v>-526.84</v>
      </c>
      <c r="I16" s="10" t="n">
        <v>-6582.96</v>
      </c>
      <c r="J16" s="10" t="n">
        <v>-3452.44</v>
      </c>
      <c r="K16" s="10" t="n">
        <v>-782.63</v>
      </c>
      <c r="L16" s="10" t="n">
        <v>-1663.82</v>
      </c>
      <c r="M16" s="10" t="n">
        <v>-3866.46</v>
      </c>
      <c r="N16" s="14" t="n">
        <f aca="false">SUM(B16:M16)</f>
        <v>-56314.01</v>
      </c>
      <c r="O16" s="14" t="n">
        <f aca="false">SUM(B16:D16)</f>
        <v>-13198.13</v>
      </c>
    </row>
    <row r="17" customFormat="false" ht="15" hidden="false" customHeight="false" outlineLevel="0" collapsed="false">
      <c r="A17" s="8" t="s">
        <v>82</v>
      </c>
      <c r="B17" s="9" t="n">
        <v>0</v>
      </c>
      <c r="C17" s="9" t="n">
        <v>0</v>
      </c>
      <c r="D17" s="9" t="n">
        <v>0</v>
      </c>
      <c r="E17" s="10" t="n">
        <v>-59.26</v>
      </c>
      <c r="F17" s="10" t="n">
        <v>-117.8</v>
      </c>
      <c r="G17" s="10" t="n">
        <v>0</v>
      </c>
      <c r="H17" s="10" t="n">
        <v>0</v>
      </c>
      <c r="I17" s="10" t="n">
        <v>-63.13</v>
      </c>
      <c r="J17" s="10" t="n">
        <v>-73.8</v>
      </c>
      <c r="K17" s="10" t="n">
        <v>-143.72</v>
      </c>
      <c r="L17" s="10" t="n">
        <v>0</v>
      </c>
      <c r="M17" s="10" t="n">
        <v>-47.7</v>
      </c>
      <c r="N17" s="14" t="n">
        <f aca="false">SUM(B17:M17)</f>
        <v>-505.41</v>
      </c>
      <c r="O17" s="14" t="n">
        <f aca="false">SUM(B17:D17)</f>
        <v>0</v>
      </c>
    </row>
    <row r="18" customFormat="false" ht="15" hidden="false" customHeight="false" outlineLevel="0" collapsed="false">
      <c r="A18" s="12" t="s">
        <v>26</v>
      </c>
      <c r="B18" s="13" t="n">
        <f aca="false">B7+B8+B9+B10+B11+B12+B13+B14+B15+B16+B17</f>
        <v>-44738.1</v>
      </c>
      <c r="C18" s="13" t="n">
        <f aca="false">C7+C8+C9+C10+C11+C12+C13+C14+C15+C16+C17</f>
        <v>-125113.08</v>
      </c>
      <c r="D18" s="13" t="n">
        <f aca="false">D7+D8+D9+D10+D11+D12+D13+D14+D15+D16+D17</f>
        <v>-17912.33</v>
      </c>
      <c r="E18" s="13" t="n">
        <f aca="false">E7+E8+E9+E10+E11+E12+E13+E14+E15+E16+E17</f>
        <v>-285683.94</v>
      </c>
      <c r="F18" s="13" t="n">
        <f aca="false">F7+F8+F9+F10+F11+F12+F13+F14+F15+F16+F17</f>
        <v>-104223.85</v>
      </c>
      <c r="G18" s="13" t="n">
        <f aca="false">G7+G8+G9+G10+G11+G12+G13+G14+G15+G16+G17</f>
        <v>-83048.46</v>
      </c>
      <c r="H18" s="13" t="n">
        <f aca="false">H7+H8+H9+H10+H11+H12+H13+H14+H15+H16+H17</f>
        <v>-45343.16</v>
      </c>
      <c r="I18" s="13" t="n">
        <f aca="false">I7+I8+I9+I10+I11+I12+I13+I14+I15+I16+I17</f>
        <v>-109744.54</v>
      </c>
      <c r="J18" s="13" t="n">
        <f aca="false">J7+J8+J9+J10+J11+J12+J13+J14+J15+J16+J17</f>
        <v>-59313.38</v>
      </c>
      <c r="K18" s="13" t="n">
        <f aca="false">K7+K8+K9+K10+K11+K12+K13+K14+K15+K16+K17</f>
        <v>-48118.51</v>
      </c>
      <c r="L18" s="13" t="n">
        <f aca="false">L7+L8+L9+L10+L11+L12+L13+L14+L15+L16+L17</f>
        <v>-60551.39</v>
      </c>
      <c r="M18" s="13" t="n">
        <f aca="false">M7+M8+M9+M10+M11+M12+M13+M14+M15+M16+M17</f>
        <v>-85630.23</v>
      </c>
      <c r="N18" s="14" t="n">
        <f aca="false">SUM(B18:M18)</f>
        <v>-1069420.97</v>
      </c>
      <c r="O18" s="14" t="n">
        <f aca="false">SUM(B18:D18)</f>
        <v>-187763.51</v>
      </c>
    </row>
    <row r="20" customFormat="false" ht="15" hidden="false" customHeight="false" outlineLevel="0" collapsed="false">
      <c r="A20" s="3" t="s">
        <v>62</v>
      </c>
      <c r="B20" s="4"/>
      <c r="C20" s="4"/>
      <c r="D20" s="4"/>
      <c r="E20" s="4"/>
      <c r="F20" s="4"/>
      <c r="G20" s="4"/>
      <c r="H20" s="4"/>
      <c r="I20" s="4"/>
      <c r="J20" s="4"/>
      <c r="K20" s="4"/>
      <c r="L20" s="4"/>
      <c r="M20" s="4"/>
      <c r="N20" s="4"/>
      <c r="O20" s="4"/>
    </row>
    <row r="21" customFormat="false" ht="15" hidden="false" customHeight="false" outlineLevel="0" collapsed="false">
      <c r="A21" s="8" t="s">
        <v>63</v>
      </c>
      <c r="B21" s="9" t="n">
        <v>-2433.51</v>
      </c>
      <c r="C21" s="9" t="n">
        <v>-1628.91</v>
      </c>
      <c r="D21" s="9" t="n">
        <v>-4889.08</v>
      </c>
      <c r="E21" s="10" t="n">
        <v>-1824.91</v>
      </c>
      <c r="F21" s="10" t="n">
        <v>-1824.91</v>
      </c>
      <c r="G21" s="10" t="n">
        <v>-1824.91</v>
      </c>
      <c r="H21" s="10" t="n">
        <v>-1824.91</v>
      </c>
      <c r="I21" s="10" t="n">
        <v>-1824.91</v>
      </c>
      <c r="J21" s="10" t="n">
        <v>-1824.91</v>
      </c>
      <c r="K21" s="10" t="n">
        <v>-1824.91</v>
      </c>
      <c r="L21" s="10" t="n">
        <v>-1824.91</v>
      </c>
      <c r="M21" s="10" t="n">
        <v>-1824.91</v>
      </c>
      <c r="N21" s="14" t="n">
        <f aca="false">SUM(B21:M21)</f>
        <v>-25375.69</v>
      </c>
      <c r="O21" s="14" t="n">
        <f aca="false">SUM(B21:D21)</f>
        <v>-8951.5</v>
      </c>
    </row>
    <row r="22" customFormat="false" ht="15" hidden="false" customHeight="false" outlineLevel="0" collapsed="false">
      <c r="A22" s="8" t="s">
        <v>64</v>
      </c>
      <c r="B22" s="9" t="n">
        <v>-59287.64</v>
      </c>
      <c r="C22" s="9" t="n">
        <v>-56244.15</v>
      </c>
      <c r="D22" s="9" t="n">
        <v>-56843.99</v>
      </c>
      <c r="E22" s="10" t="n">
        <v>-57798.28</v>
      </c>
      <c r="F22" s="10" t="n">
        <v>-58773.58</v>
      </c>
      <c r="G22" s="10" t="n">
        <v>-54663.78</v>
      </c>
      <c r="H22" s="10" t="n">
        <v>-53644.87</v>
      </c>
      <c r="I22" s="10" t="n">
        <v>-53644.87</v>
      </c>
      <c r="J22" s="10" t="n">
        <v>-55682.69</v>
      </c>
      <c r="K22" s="10" t="n">
        <v>-53644.87</v>
      </c>
      <c r="L22" s="10" t="n">
        <v>-54663.78</v>
      </c>
      <c r="M22" s="10" t="n">
        <v>-54663.78</v>
      </c>
      <c r="N22" s="14" t="n">
        <f aca="false">SUM(B22:M22)</f>
        <v>-669556.28</v>
      </c>
      <c r="O22" s="14" t="n">
        <f aca="false">SUM(B22:D22)</f>
        <v>-172375.78</v>
      </c>
    </row>
    <row r="23" customFormat="false" ht="15" hidden="false" customHeight="false" outlineLevel="0" collapsed="false">
      <c r="A23" s="8" t="s">
        <v>65</v>
      </c>
      <c r="B23" s="9" t="n">
        <v>-11944.33</v>
      </c>
      <c r="C23" s="9" t="n">
        <v>-7367.77</v>
      </c>
      <c r="D23" s="9" t="n">
        <v>-17886.68</v>
      </c>
      <c r="E23" s="10" t="n">
        <v>-12988.16</v>
      </c>
      <c r="F23" s="10" t="n">
        <v>-12988.16</v>
      </c>
      <c r="G23" s="10" t="n">
        <v>-12988.16</v>
      </c>
      <c r="H23" s="10" t="n">
        <v>-12988.16</v>
      </c>
      <c r="I23" s="10" t="n">
        <v>-12988.16</v>
      </c>
      <c r="J23" s="10" t="n">
        <v>-12988.16</v>
      </c>
      <c r="K23" s="10" t="n">
        <v>-12988.16</v>
      </c>
      <c r="L23" s="10" t="n">
        <v>-12988.16</v>
      </c>
      <c r="M23" s="10" t="n">
        <v>-12988.16</v>
      </c>
      <c r="N23" s="14" t="n">
        <f aca="false">SUM(B23:M23)</f>
        <v>-154092.22</v>
      </c>
      <c r="O23" s="14" t="n">
        <f aca="false">SUM(B23:D23)</f>
        <v>-37198.78</v>
      </c>
    </row>
    <row r="24" customFormat="false" ht="15" hidden="false" customHeight="false" outlineLevel="0" collapsed="false">
      <c r="A24" s="8" t="s">
        <v>66</v>
      </c>
      <c r="B24" s="9" t="n">
        <v>-36523.86</v>
      </c>
      <c r="C24" s="9" t="n">
        <v>-34453.35</v>
      </c>
      <c r="D24" s="9" t="n">
        <v>-36196.87</v>
      </c>
      <c r="E24" s="10" t="n">
        <v>-24560.76</v>
      </c>
      <c r="F24" s="10" t="n">
        <v>-24560.76</v>
      </c>
      <c r="G24" s="10" t="n">
        <v>-24560.76</v>
      </c>
      <c r="H24" s="10" t="n">
        <v>-24560.76</v>
      </c>
      <c r="I24" s="10" t="n">
        <v>-24560.76</v>
      </c>
      <c r="J24" s="10" t="n">
        <v>-24560.76</v>
      </c>
      <c r="K24" s="10" t="n">
        <v>-24560.76</v>
      </c>
      <c r="L24" s="10" t="n">
        <v>-24560.76</v>
      </c>
      <c r="M24" s="10" t="n">
        <v>-24560.76</v>
      </c>
      <c r="N24" s="14" t="n">
        <f aca="false">SUM(B24:M24)</f>
        <v>-328220.92</v>
      </c>
      <c r="O24" s="14" t="n">
        <f aca="false">SUM(B24:D24)</f>
        <v>-107174.08</v>
      </c>
    </row>
    <row r="25" customFormat="false" ht="15" hidden="false" customHeight="false" outlineLevel="0" collapsed="false">
      <c r="A25" s="12" t="s">
        <v>27</v>
      </c>
      <c r="B25" s="13" t="n">
        <f aca="false">B21+B22+B23+B24</f>
        <v>-110189.34</v>
      </c>
      <c r="C25" s="13" t="n">
        <f aca="false">C21+C22+C23+C24</f>
        <v>-99694.18</v>
      </c>
      <c r="D25" s="13" t="n">
        <f aca="false">D21+D22+D23+D24</f>
        <v>-115816.62</v>
      </c>
      <c r="E25" s="13" t="n">
        <f aca="false">E21+E22+E23+E24</f>
        <v>-97172.11</v>
      </c>
      <c r="F25" s="13" t="n">
        <f aca="false">F21+F22+F23+F24</f>
        <v>-98147.41</v>
      </c>
      <c r="G25" s="13" t="n">
        <f aca="false">G21+G22+G23+G24</f>
        <v>-94037.61</v>
      </c>
      <c r="H25" s="13" t="n">
        <f aca="false">H21+H22+H23+H24</f>
        <v>-93018.7</v>
      </c>
      <c r="I25" s="13" t="n">
        <f aca="false">I21+I22+I23+I24</f>
        <v>-93018.7</v>
      </c>
      <c r="J25" s="13" t="n">
        <f aca="false">J21+J22+J23+J24</f>
        <v>-95056.52</v>
      </c>
      <c r="K25" s="13" t="n">
        <f aca="false">K21+K22+K23+K24</f>
        <v>-93018.7</v>
      </c>
      <c r="L25" s="13" t="n">
        <f aca="false">L21+L22+L23+L24</f>
        <v>-94037.61</v>
      </c>
      <c r="M25" s="13" t="n">
        <f aca="false">M21+M22+M23+M24</f>
        <v>-94037.61</v>
      </c>
      <c r="N25" s="14" t="n">
        <f aca="false">SUM(B25:M25)</f>
        <v>-1177245.11</v>
      </c>
      <c r="O25" s="14" t="n">
        <f aca="false">SUM(B25:D25)</f>
        <v>-325700.14</v>
      </c>
    </row>
    <row r="27" customFormat="false" ht="15" hidden="false" customHeight="false" outlineLevel="0" collapsed="false">
      <c r="A27" s="3" t="s">
        <v>67</v>
      </c>
      <c r="B27" s="4"/>
      <c r="C27" s="4"/>
      <c r="D27" s="4"/>
      <c r="E27" s="4"/>
      <c r="F27" s="4"/>
      <c r="G27" s="4"/>
      <c r="H27" s="4"/>
      <c r="I27" s="4"/>
      <c r="J27" s="4"/>
      <c r="K27" s="4"/>
      <c r="L27" s="4"/>
      <c r="M27" s="4"/>
      <c r="N27" s="4"/>
      <c r="O27" s="4"/>
    </row>
    <row r="28" customFormat="false" ht="15" hidden="false" customHeight="false" outlineLevel="0" collapsed="false">
      <c r="A28" s="12" t="s">
        <v>68</v>
      </c>
      <c r="B28" s="16" t="n">
        <f aca="false">B6+B18</f>
        <v>66104.43</v>
      </c>
      <c r="C28" s="16" t="n">
        <f aca="false">C6+C18</f>
        <v>143829.04</v>
      </c>
      <c r="D28" s="16" t="n">
        <f aca="false">D6+D18</f>
        <v>62694.29</v>
      </c>
      <c r="E28" s="14" t="n">
        <f aca="false">E6+E18</f>
        <v>301623.08</v>
      </c>
      <c r="F28" s="14" t="n">
        <f aca="false">F6+F18</f>
        <v>137377.17</v>
      </c>
      <c r="G28" s="14" t="n">
        <f aca="false">G6+G18</f>
        <v>-20732.44</v>
      </c>
      <c r="H28" s="14" t="n">
        <f aca="false">H6+H18</f>
        <v>18918.78</v>
      </c>
      <c r="I28" s="14" t="n">
        <f aca="false">I6+I18</f>
        <v>172167.48</v>
      </c>
      <c r="J28" s="14" t="n">
        <f aca="false">J6+J18</f>
        <v>69568.64</v>
      </c>
      <c r="K28" s="14" t="n">
        <f aca="false">K6+K18</f>
        <v>50633.51</v>
      </c>
      <c r="L28" s="14" t="n">
        <f aca="false">L6+L18</f>
        <v>74960.55</v>
      </c>
      <c r="M28" s="14" t="n">
        <f aca="false">M6+M18</f>
        <v>-2993.21000000001</v>
      </c>
      <c r="N28" s="14" t="n">
        <f aca="false">SUM(B28:M28)</f>
        <v>1074151.32</v>
      </c>
      <c r="O28" s="14" t="n">
        <f aca="false">SUM(B28:D28)</f>
        <v>272627.76</v>
      </c>
    </row>
    <row r="29" customFormat="false" ht="15" hidden="false" customHeight="false" outlineLevel="0" collapsed="false">
      <c r="A29" s="12" t="s">
        <v>69</v>
      </c>
      <c r="B29" s="17" t="n">
        <f aca="false">IFERROR((B6+B18)/B6,"")</f>
        <v>0.596381461159358</v>
      </c>
      <c r="C29" s="17" t="n">
        <f aca="false">IFERROR((C6+C18)/C6,"")</f>
        <v>0.534795516596657</v>
      </c>
      <c r="D29" s="17" t="n">
        <f aca="false">IFERROR((D6+D18)/D6,"")</f>
        <v>0.777780906828744</v>
      </c>
      <c r="E29" s="18" t="n">
        <f aca="false">IFERROR((E6+E18)/E6,"")</f>
        <v>0.513569682855145</v>
      </c>
      <c r="F29" s="18" t="n">
        <f aca="false">IFERROR((F6+F18)/F6,"")</f>
        <v>0.5686117136426</v>
      </c>
      <c r="G29" s="18" t="n">
        <f aca="false">IFERROR((G6+G18)/G6,"")</f>
        <v>-0.332698397619103</v>
      </c>
      <c r="H29" s="18" t="n">
        <f aca="false">IFERROR((H6+H18)/H6,"")</f>
        <v>0.294401009368843</v>
      </c>
      <c r="I29" s="18" t="n">
        <f aca="false">IFERROR((I6+I18)/I6,"")</f>
        <v>0.610713512676756</v>
      </c>
      <c r="J29" s="18" t="n">
        <f aca="false">IFERROR((J6+J18)/J6,"")</f>
        <v>0.539785456497345</v>
      </c>
      <c r="K29" s="18" t="n">
        <f aca="false">IFERROR((K6+K18)/K6,"")</f>
        <v>0.512733916734058</v>
      </c>
      <c r="L29" s="18" t="n">
        <f aca="false">IFERROR((L6+L18)/L6,"")</f>
        <v>0.553165647248501</v>
      </c>
      <c r="M29" s="18" t="n">
        <f aca="false">IFERROR((M6+M18)/M6,"")</f>
        <v>-0.0362211754489696</v>
      </c>
      <c r="N29" s="18" t="n">
        <f aca="false">IFERROR(N28/N6,"")</f>
        <v>0.501103380096409</v>
      </c>
      <c r="O29" s="18" t="n">
        <f aca="false">IFERROR(O28/O6,"")</f>
        <v>0.592165355350895</v>
      </c>
    </row>
    <row r="30" customFormat="false" ht="15" hidden="false" customHeight="false" outlineLevel="0" collapsed="false">
      <c r="A30" s="12" t="s">
        <v>28</v>
      </c>
      <c r="B30" s="16" t="n">
        <f aca="false">B6+B18+B25</f>
        <v>-44084.91</v>
      </c>
      <c r="C30" s="16" t="n">
        <f aca="false">C6+C18+C25</f>
        <v>44134.86</v>
      </c>
      <c r="D30" s="16" t="n">
        <f aca="false">D6+D18+D25</f>
        <v>-53122.33</v>
      </c>
      <c r="E30" s="14" t="n">
        <f aca="false">E6+E18+E25</f>
        <v>204450.97</v>
      </c>
      <c r="F30" s="14" t="n">
        <f aca="false">F6+F18+F25</f>
        <v>39229.76</v>
      </c>
      <c r="G30" s="14" t="n">
        <f aca="false">G6+G18+G25</f>
        <v>-114770.05</v>
      </c>
      <c r="H30" s="14" t="n">
        <f aca="false">H6+H18+H25</f>
        <v>-74099.92</v>
      </c>
      <c r="I30" s="14" t="n">
        <f aca="false">I6+I18+I25</f>
        <v>79148.78</v>
      </c>
      <c r="J30" s="14" t="n">
        <f aca="false">J6+J18+J25</f>
        <v>-25487.88</v>
      </c>
      <c r="K30" s="14" t="n">
        <f aca="false">K6+K18+K25</f>
        <v>-42385.19</v>
      </c>
      <c r="L30" s="14" t="n">
        <f aca="false">L6+L18+L25</f>
        <v>-19077.06</v>
      </c>
      <c r="M30" s="14" t="n">
        <f aca="false">M6+M18+M25</f>
        <v>-97030.82</v>
      </c>
      <c r="N30" s="14" t="n">
        <f aca="false">SUM(B30:M30)</f>
        <v>-103093.79</v>
      </c>
      <c r="O30" s="14" t="n">
        <f aca="false">SUM(B30:D30)</f>
        <v>-53072.38</v>
      </c>
    </row>
    <row r="31" customFormat="false" ht="15" hidden="false" customHeight="false" outlineLevel="0" collapsed="false">
      <c r="A31" s="12" t="s">
        <v>70</v>
      </c>
      <c r="B31" s="17" t="n">
        <f aca="false">IFERROR((B6+B18+B25)/B6,"")</f>
        <v>-0.397725584213929</v>
      </c>
      <c r="C31" s="17" t="n">
        <f aca="false">IFERROR((C6+C18+C25)/C6,"")</f>
        <v>0.164105421642396</v>
      </c>
      <c r="D31" s="17" t="n">
        <f aca="false">IFERROR((D6+D18+D25)/D6,"")</f>
        <v>-0.659031851230085</v>
      </c>
      <c r="E31" s="18" t="n">
        <f aca="false">IFERROR((E6+E18+E25)/E6,"")</f>
        <v>0.348115999022113</v>
      </c>
      <c r="F31" s="18" t="n">
        <f aca="false">IFERROR((F6+F18+F25)/F6,"")</f>
        <v>0.162374148917086</v>
      </c>
      <c r="G31" s="18" t="n">
        <f aca="false">IFERROR((G6+G18+G25)/G6,"")</f>
        <v>-1.84174229997359</v>
      </c>
      <c r="H31" s="18" t="n">
        <f aca="false">IFERROR((H6+H18+H25)/H6,"")</f>
        <v>-1.15309186121676</v>
      </c>
      <c r="I31" s="18" t="n">
        <f aca="false">IFERROR((I6+I18+I25)/I6,"")</f>
        <v>0.280757024833492</v>
      </c>
      <c r="J31" s="18" t="n">
        <f aca="false">IFERROR((J6+J18+J25)/J6,"")</f>
        <v>-0.197761332418595</v>
      </c>
      <c r="K31" s="18" t="n">
        <f aca="false">IFERROR((K6+K18+K25)/K6,"")</f>
        <v>-0.429208334168759</v>
      </c>
      <c r="L31" s="18" t="n">
        <f aca="false">IFERROR((L6+L18+L25)/L6,"")</f>
        <v>-0.140777705639813</v>
      </c>
      <c r="M31" s="18" t="n">
        <f aca="false">IFERROR((M6+M18+M25)/M6,"")</f>
        <v>-1.17418101475586</v>
      </c>
      <c r="N31" s="18" t="n">
        <f aca="false">IFERROR(N30/N6,"")</f>
        <v>-0.0480943845378781</v>
      </c>
      <c r="O31" s="18" t="n">
        <f aca="false">IFERROR(O30/O6,"")</f>
        <v>-0.11527668628469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15" min="2" style="0" width="13"/>
  </cols>
  <sheetData>
    <row r="1" customFormat="false" ht="17.35" hidden="false" customHeight="false" outlineLevel="0" collapsed="false">
      <c r="A1" s="1" t="s">
        <v>83</v>
      </c>
    </row>
    <row r="2" customFormat="false" ht="15" hidden="false" customHeight="false" outlineLevel="0" collapsed="false">
      <c r="A2" s="2" t="s">
        <v>50</v>
      </c>
    </row>
    <row r="4" customFormat="false" ht="15" hidden="false" customHeight="false" outlineLevel="0" collapsed="false">
      <c r="A4" s="5" t="s">
        <v>32</v>
      </c>
      <c r="B4" s="6" t="s">
        <v>7</v>
      </c>
      <c r="C4" s="6" t="s">
        <v>8</v>
      </c>
      <c r="D4" s="6" t="s">
        <v>9</v>
      </c>
      <c r="E4" s="7" t="s">
        <v>10</v>
      </c>
      <c r="F4" s="7" t="s">
        <v>11</v>
      </c>
      <c r="G4" s="7" t="s">
        <v>12</v>
      </c>
      <c r="H4" s="7" t="s">
        <v>13</v>
      </c>
      <c r="I4" s="7" t="s">
        <v>14</v>
      </c>
      <c r="J4" s="7" t="s">
        <v>15</v>
      </c>
      <c r="K4" s="7" t="s">
        <v>16</v>
      </c>
      <c r="L4" s="7" t="s">
        <v>17</v>
      </c>
      <c r="M4" s="7" t="s">
        <v>18</v>
      </c>
      <c r="N4" s="5" t="s">
        <v>19</v>
      </c>
      <c r="O4" s="5" t="s">
        <v>20</v>
      </c>
    </row>
    <row r="5" customFormat="false" ht="15" hidden="false" customHeight="false" outlineLevel="0" collapsed="false">
      <c r="A5" s="8" t="s">
        <v>54</v>
      </c>
      <c r="B5" s="9" t="n">
        <v>112803.24</v>
      </c>
      <c r="C5" s="9" t="n">
        <v>94288.49</v>
      </c>
      <c r="D5" s="9" t="n">
        <v>238389.48</v>
      </c>
      <c r="E5" s="10" t="n">
        <v>100061.89</v>
      </c>
      <c r="F5" s="10" t="n">
        <v>36337.39</v>
      </c>
      <c r="G5" s="10" t="n">
        <v>31337.39</v>
      </c>
      <c r="H5" s="10" t="n">
        <v>27340.65</v>
      </c>
      <c r="I5" s="10" t="n">
        <v>32340.65</v>
      </c>
      <c r="J5" s="10" t="n">
        <v>32340.65</v>
      </c>
      <c r="K5" s="10" t="n">
        <v>32340.65</v>
      </c>
      <c r="L5" s="10" t="n">
        <v>8035.07</v>
      </c>
      <c r="M5" s="10" t="n">
        <v>8035.07</v>
      </c>
      <c r="N5" s="14" t="n">
        <f aca="false">SUM(B5:M5)</f>
        <v>753650.62</v>
      </c>
      <c r="O5" s="14" t="n">
        <f aca="false">SUM(B5:D5)</f>
        <v>445481.21</v>
      </c>
    </row>
    <row r="6" customFormat="false" ht="15" hidden="false" customHeight="false" outlineLevel="0" collapsed="false">
      <c r="A6" s="12" t="s">
        <v>21</v>
      </c>
      <c r="B6" s="13" t="n">
        <f aca="false">B5</f>
        <v>112803.24</v>
      </c>
      <c r="C6" s="13" t="n">
        <f aca="false">C5</f>
        <v>94288.49</v>
      </c>
      <c r="D6" s="13" t="n">
        <f aca="false">D5</f>
        <v>238389.48</v>
      </c>
      <c r="E6" s="13" t="n">
        <f aca="false">E5</f>
        <v>100061.89</v>
      </c>
      <c r="F6" s="13" t="n">
        <f aca="false">F5</f>
        <v>36337.39</v>
      </c>
      <c r="G6" s="13" t="n">
        <f aca="false">G5</f>
        <v>31337.39</v>
      </c>
      <c r="H6" s="13" t="n">
        <f aca="false">H5</f>
        <v>27340.65</v>
      </c>
      <c r="I6" s="13" t="n">
        <f aca="false">I5</f>
        <v>32340.65</v>
      </c>
      <c r="J6" s="13" t="n">
        <f aca="false">J5</f>
        <v>32340.65</v>
      </c>
      <c r="K6" s="13" t="n">
        <f aca="false">K5</f>
        <v>32340.65</v>
      </c>
      <c r="L6" s="13" t="n">
        <f aca="false">L5</f>
        <v>8035.07</v>
      </c>
      <c r="M6" s="13" t="n">
        <f aca="false">M5</f>
        <v>8035.07</v>
      </c>
      <c r="N6" s="14" t="n">
        <f aca="false">SUM(B6:M6)</f>
        <v>753650.62</v>
      </c>
      <c r="O6" s="14" t="n">
        <f aca="false">SUM(B6:D6)</f>
        <v>445481.21</v>
      </c>
    </row>
    <row r="7" customFormat="false" ht="15" hidden="false" customHeight="false" outlineLevel="0" collapsed="false">
      <c r="A7" s="8" t="s">
        <v>55</v>
      </c>
      <c r="B7" s="9" t="n">
        <v>-6593.62</v>
      </c>
      <c r="C7" s="9" t="n">
        <v>-6058</v>
      </c>
      <c r="D7" s="9" t="n">
        <v>-202.41</v>
      </c>
      <c r="E7" s="10" t="n">
        <v>-7159.07</v>
      </c>
      <c r="F7" s="10" t="n">
        <v>-6508.24</v>
      </c>
      <c r="G7" s="10" t="n">
        <v>-6833.65</v>
      </c>
      <c r="H7" s="10" t="n">
        <v>-6508.24</v>
      </c>
      <c r="I7" s="10" t="n">
        <v>-6508.24</v>
      </c>
      <c r="J7" s="10" t="n">
        <v>-7159.07</v>
      </c>
      <c r="K7" s="10" t="n">
        <v>-6508.24</v>
      </c>
      <c r="L7" s="10" t="n">
        <v>-6833.65</v>
      </c>
      <c r="M7" s="10" t="n">
        <v>-6833.65</v>
      </c>
      <c r="N7" s="14" t="n">
        <f aca="false">SUM(B7:M7)</f>
        <v>-73706.08</v>
      </c>
      <c r="O7" s="14" t="n">
        <f aca="false">SUM(B7:D7)</f>
        <v>-12854.03</v>
      </c>
    </row>
    <row r="8" customFormat="false" ht="15" hidden="false" customHeight="false" outlineLevel="0" collapsed="false">
      <c r="A8" s="8" t="s">
        <v>56</v>
      </c>
      <c r="B8" s="9" t="n">
        <v>-849.03</v>
      </c>
      <c r="C8" s="9" t="n">
        <v>-711.83</v>
      </c>
      <c r="D8" s="9" t="n">
        <v>-355</v>
      </c>
      <c r="E8" s="10" t="n">
        <v>-859.09</v>
      </c>
      <c r="F8" s="10" t="n">
        <v>-780.99</v>
      </c>
      <c r="G8" s="10" t="n">
        <v>-820.04</v>
      </c>
      <c r="H8" s="10" t="n">
        <v>-780.99</v>
      </c>
      <c r="I8" s="10" t="n">
        <v>-780.99</v>
      </c>
      <c r="J8" s="10" t="n">
        <v>-859.09</v>
      </c>
      <c r="K8" s="10" t="n">
        <v>-780.99</v>
      </c>
      <c r="L8" s="10" t="n">
        <v>-820.04</v>
      </c>
      <c r="M8" s="10" t="n">
        <v>-820.04</v>
      </c>
      <c r="N8" s="14" t="n">
        <f aca="false">SUM(B8:M8)</f>
        <v>-9218.12</v>
      </c>
      <c r="O8" s="14" t="n">
        <f aca="false">SUM(B8:D8)</f>
        <v>-1915.86</v>
      </c>
    </row>
    <row r="9" customFormat="false" ht="15" hidden="false" customHeight="false" outlineLevel="0" collapsed="false">
      <c r="A9" s="8" t="s">
        <v>84</v>
      </c>
      <c r="B9" s="9" t="n">
        <v>-98640.79</v>
      </c>
      <c r="C9" s="9" t="n">
        <v>-68727.42</v>
      </c>
      <c r="D9" s="9" t="n">
        <v>-213242.37</v>
      </c>
      <c r="E9" s="10" t="n">
        <v>-50030.95</v>
      </c>
      <c r="F9" s="10" t="n">
        <v>-18168.7</v>
      </c>
      <c r="G9" s="10" t="n">
        <v>-15668.7</v>
      </c>
      <c r="H9" s="10" t="n">
        <v>-13670.33</v>
      </c>
      <c r="I9" s="10" t="n">
        <v>-16170.33</v>
      </c>
      <c r="J9" s="10" t="n">
        <v>-16170.33</v>
      </c>
      <c r="K9" s="10" t="n">
        <v>-16170.33</v>
      </c>
      <c r="L9" s="10" t="n">
        <v>-4017.54</v>
      </c>
      <c r="M9" s="10" t="n">
        <v>-4017.54</v>
      </c>
      <c r="N9" s="14" t="n">
        <f aca="false">SUM(B9:M9)</f>
        <v>-534695.33</v>
      </c>
      <c r="O9" s="14" t="n">
        <f aca="false">SUM(B9:D9)</f>
        <v>-380610.58</v>
      </c>
    </row>
    <row r="10" customFormat="false" ht="15" hidden="false" customHeight="false" outlineLevel="0" collapsed="false">
      <c r="A10" s="8" t="s">
        <v>85</v>
      </c>
      <c r="B10" s="9" t="n">
        <v>0</v>
      </c>
      <c r="C10" s="9" t="n">
        <v>0</v>
      </c>
      <c r="D10" s="9" t="n">
        <v>0</v>
      </c>
      <c r="E10" s="10" t="n">
        <v>-287.5</v>
      </c>
      <c r="F10" s="10" t="n">
        <v>-287.5</v>
      </c>
      <c r="G10" s="10" t="n">
        <v>-287.5</v>
      </c>
      <c r="H10" s="10" t="n">
        <v>-287.5</v>
      </c>
      <c r="I10" s="10" t="n">
        <v>-287.5</v>
      </c>
      <c r="J10" s="10" t="n">
        <v>-287.5</v>
      </c>
      <c r="K10" s="10" t="n">
        <v>-287.5</v>
      </c>
      <c r="L10" s="10" t="n">
        <v>-287.5</v>
      </c>
      <c r="M10" s="10" t="n">
        <v>-287.5</v>
      </c>
      <c r="N10" s="14" t="n">
        <f aca="false">SUM(B10:M10)</f>
        <v>-2587.5</v>
      </c>
      <c r="O10" s="14" t="n">
        <f aca="false">SUM(B10:D10)</f>
        <v>0</v>
      </c>
    </row>
    <row r="11" customFormat="false" ht="15" hidden="false" customHeight="false" outlineLevel="0" collapsed="false">
      <c r="A11" s="8" t="s">
        <v>86</v>
      </c>
      <c r="B11" s="9" t="n">
        <v>-280.93</v>
      </c>
      <c r="C11" s="9" t="n">
        <v>-278.28</v>
      </c>
      <c r="D11" s="9" t="n">
        <v>-759.33</v>
      </c>
      <c r="E11" s="10" t="n">
        <v>0</v>
      </c>
      <c r="F11" s="10" t="n">
        <v>-1648.93</v>
      </c>
      <c r="G11" s="10" t="n">
        <v>-353.99</v>
      </c>
      <c r="H11" s="10" t="n">
        <v>-16.45</v>
      </c>
      <c r="I11" s="10" t="n">
        <v>-333.75</v>
      </c>
      <c r="J11" s="10" t="n">
        <v>-586.93</v>
      </c>
      <c r="K11" s="10" t="n">
        <v>-576.26</v>
      </c>
      <c r="L11" s="10" t="n">
        <v>-558.42</v>
      </c>
      <c r="M11" s="10" t="n">
        <v>-5960.57</v>
      </c>
      <c r="N11" s="14" t="n">
        <f aca="false">SUM(B11:M11)</f>
        <v>-11353.84</v>
      </c>
      <c r="O11" s="14" t="n">
        <f aca="false">SUM(B11:D11)</f>
        <v>-1318.54</v>
      </c>
    </row>
    <row r="12" customFormat="false" ht="15" hidden="false" customHeight="false" outlineLevel="0" collapsed="false">
      <c r="A12" s="12" t="s">
        <v>26</v>
      </c>
      <c r="B12" s="13" t="n">
        <f aca="false">B7+B8+B9+B10+B11</f>
        <v>-106364.37</v>
      </c>
      <c r="C12" s="13" t="n">
        <f aca="false">C7+C8+C9+C10+C11</f>
        <v>-75775.53</v>
      </c>
      <c r="D12" s="13" t="n">
        <f aca="false">D7+D8+D9+D10+D11</f>
        <v>-214559.11</v>
      </c>
      <c r="E12" s="13" t="n">
        <f aca="false">E7+E8+E9+E10+E11</f>
        <v>-58336.61</v>
      </c>
      <c r="F12" s="13" t="n">
        <f aca="false">F7+F8+F9+F10+F11</f>
        <v>-27394.36</v>
      </c>
      <c r="G12" s="13" t="n">
        <f aca="false">G7+G8+G9+G10+G11</f>
        <v>-23963.88</v>
      </c>
      <c r="H12" s="13" t="n">
        <f aca="false">H7+H8+H9+H10+H11</f>
        <v>-21263.51</v>
      </c>
      <c r="I12" s="13" t="n">
        <f aca="false">I7+I8+I9+I10+I11</f>
        <v>-24080.81</v>
      </c>
      <c r="J12" s="13" t="n">
        <f aca="false">J7+J8+J9+J10+J11</f>
        <v>-25062.92</v>
      </c>
      <c r="K12" s="13" t="n">
        <f aca="false">K7+K8+K9+K10+K11</f>
        <v>-24323.32</v>
      </c>
      <c r="L12" s="13" t="n">
        <f aca="false">L7+L8+L9+L10+L11</f>
        <v>-12517.15</v>
      </c>
      <c r="M12" s="13" t="n">
        <f aca="false">M7+M8+M9+M10+M11</f>
        <v>-17919.3</v>
      </c>
      <c r="N12" s="14" t="n">
        <f aca="false">SUM(B12:M12)</f>
        <v>-631560.87</v>
      </c>
      <c r="O12" s="14" t="n">
        <f aca="false">SUM(B12:D12)</f>
        <v>-396699.01</v>
      </c>
    </row>
    <row r="14" customFormat="false" ht="15" hidden="false" customHeight="false" outlineLevel="0" collapsed="false">
      <c r="A14" s="3" t="s">
        <v>62</v>
      </c>
      <c r="B14" s="4"/>
      <c r="C14" s="4"/>
      <c r="D14" s="4"/>
      <c r="E14" s="4"/>
      <c r="F14" s="4"/>
      <c r="G14" s="4"/>
      <c r="H14" s="4"/>
      <c r="I14" s="4"/>
      <c r="J14" s="4"/>
      <c r="K14" s="4"/>
      <c r="L14" s="4"/>
      <c r="M14" s="4"/>
      <c r="N14" s="4"/>
      <c r="O14" s="4"/>
    </row>
    <row r="15" customFormat="false" ht="15" hidden="false" customHeight="false" outlineLevel="0" collapsed="false">
      <c r="A15" s="8" t="s">
        <v>63</v>
      </c>
      <c r="B15" s="9" t="n">
        <v>-2192.62</v>
      </c>
      <c r="C15" s="9" t="n">
        <v>-1617.74</v>
      </c>
      <c r="D15" s="9" t="n">
        <v>-4549.04</v>
      </c>
      <c r="E15" s="10" t="n">
        <v>-1569.03</v>
      </c>
      <c r="F15" s="10" t="n">
        <v>-1569.03</v>
      </c>
      <c r="G15" s="10" t="n">
        <v>-1569.03</v>
      </c>
      <c r="H15" s="10" t="n">
        <v>-1569.03</v>
      </c>
      <c r="I15" s="10" t="n">
        <v>-1569.03</v>
      </c>
      <c r="J15" s="10" t="n">
        <v>-1569.03</v>
      </c>
      <c r="K15" s="10" t="n">
        <v>-1569.03</v>
      </c>
      <c r="L15" s="10" t="n">
        <v>-1569.03</v>
      </c>
      <c r="M15" s="10" t="n">
        <v>-1569.03</v>
      </c>
      <c r="N15" s="14" t="n">
        <f aca="false">SUM(B15:M15)</f>
        <v>-22480.67</v>
      </c>
      <c r="O15" s="14" t="n">
        <f aca="false">SUM(B15:D15)</f>
        <v>-8359.4</v>
      </c>
    </row>
    <row r="16" customFormat="false" ht="15" hidden="false" customHeight="false" outlineLevel="0" collapsed="false">
      <c r="A16" s="8" t="s">
        <v>64</v>
      </c>
      <c r="B16" s="9" t="n">
        <v>-9939.18</v>
      </c>
      <c r="C16" s="9" t="n">
        <v>-9055.2</v>
      </c>
      <c r="D16" s="9" t="n">
        <v>-15861.72</v>
      </c>
      <c r="E16" s="10" t="n">
        <v>-9445.32</v>
      </c>
      <c r="F16" s="10" t="n">
        <v>-8716.4</v>
      </c>
      <c r="G16" s="10" t="n">
        <v>-9080.86</v>
      </c>
      <c r="H16" s="10" t="n">
        <v>-8716.4</v>
      </c>
      <c r="I16" s="10" t="n">
        <v>-8716.4</v>
      </c>
      <c r="J16" s="10" t="n">
        <v>-9445.32</v>
      </c>
      <c r="K16" s="10" t="n">
        <v>-8716.4</v>
      </c>
      <c r="L16" s="10" t="n">
        <v>-9080.86</v>
      </c>
      <c r="M16" s="10" t="n">
        <v>-9080.86</v>
      </c>
      <c r="N16" s="14" t="n">
        <f aca="false">SUM(B16:M16)</f>
        <v>-115854.92</v>
      </c>
      <c r="O16" s="14" t="n">
        <f aca="false">SUM(B16:D16)</f>
        <v>-34856.1</v>
      </c>
    </row>
    <row r="17" customFormat="false" ht="15" hidden="false" customHeight="false" outlineLevel="0" collapsed="false">
      <c r="A17" s="8" t="s">
        <v>65</v>
      </c>
      <c r="B17" s="9" t="n">
        <v>-4550.12</v>
      </c>
      <c r="C17" s="9" t="n">
        <v>-4274.76</v>
      </c>
      <c r="D17" s="9" t="n">
        <v>-6059.7</v>
      </c>
      <c r="E17" s="10" t="n">
        <v>-5229.41</v>
      </c>
      <c r="F17" s="10" t="n">
        <v>-5229.41</v>
      </c>
      <c r="G17" s="10" t="n">
        <v>-5229.41</v>
      </c>
      <c r="H17" s="10" t="n">
        <v>-5229.41</v>
      </c>
      <c r="I17" s="10" t="n">
        <v>-5229.41</v>
      </c>
      <c r="J17" s="10" t="n">
        <v>-5229.41</v>
      </c>
      <c r="K17" s="10" t="n">
        <v>-5229.41</v>
      </c>
      <c r="L17" s="10" t="n">
        <v>-5229.41</v>
      </c>
      <c r="M17" s="10" t="n">
        <v>-5229.41</v>
      </c>
      <c r="N17" s="14" t="n">
        <f aca="false">SUM(B17:M17)</f>
        <v>-61949.27</v>
      </c>
      <c r="O17" s="14" t="n">
        <f aca="false">SUM(B17:D17)</f>
        <v>-14884.58</v>
      </c>
    </row>
    <row r="18" customFormat="false" ht="15" hidden="false" customHeight="false" outlineLevel="0" collapsed="false">
      <c r="A18" s="8" t="s">
        <v>66</v>
      </c>
      <c r="B18" s="9" t="n">
        <v>-4791.21</v>
      </c>
      <c r="C18" s="9" t="n">
        <v>-5273.7</v>
      </c>
      <c r="D18" s="9" t="n">
        <v>-7488.45</v>
      </c>
      <c r="E18" s="10" t="n">
        <v>-13059.53</v>
      </c>
      <c r="F18" s="10" t="n">
        <v>-13059.53</v>
      </c>
      <c r="G18" s="10" t="n">
        <v>-13059.53</v>
      </c>
      <c r="H18" s="10" t="n">
        <v>-13059.53</v>
      </c>
      <c r="I18" s="10" t="n">
        <v>-13059.53</v>
      </c>
      <c r="J18" s="10" t="n">
        <v>-13059.53</v>
      </c>
      <c r="K18" s="10" t="n">
        <v>-13059.53</v>
      </c>
      <c r="L18" s="10" t="n">
        <v>-13059.53</v>
      </c>
      <c r="M18" s="10" t="n">
        <v>-13059.53</v>
      </c>
      <c r="N18" s="14" t="n">
        <f aca="false">SUM(B18:M18)</f>
        <v>-135089.13</v>
      </c>
      <c r="O18" s="14" t="n">
        <f aca="false">SUM(B18:D18)</f>
        <v>-17553.36</v>
      </c>
    </row>
    <row r="19" customFormat="false" ht="15" hidden="false" customHeight="false" outlineLevel="0" collapsed="false">
      <c r="A19" s="12" t="s">
        <v>27</v>
      </c>
      <c r="B19" s="13" t="n">
        <f aca="false">B15+B16+B17+B18</f>
        <v>-21473.13</v>
      </c>
      <c r="C19" s="13" t="n">
        <f aca="false">C15+C16+C17+C18</f>
        <v>-20221.4</v>
      </c>
      <c r="D19" s="13" t="n">
        <f aca="false">D15+D16+D17+D18</f>
        <v>-33958.91</v>
      </c>
      <c r="E19" s="13" t="n">
        <f aca="false">E15+E16+E17+E18</f>
        <v>-29303.29</v>
      </c>
      <c r="F19" s="13" t="n">
        <f aca="false">F15+F16+F17+F18</f>
        <v>-28574.37</v>
      </c>
      <c r="G19" s="13" t="n">
        <f aca="false">G15+G16+G17+G18</f>
        <v>-28938.83</v>
      </c>
      <c r="H19" s="13" t="n">
        <f aca="false">H15+H16+H17+H18</f>
        <v>-28574.37</v>
      </c>
      <c r="I19" s="13" t="n">
        <f aca="false">I15+I16+I17+I18</f>
        <v>-28574.37</v>
      </c>
      <c r="J19" s="13" t="n">
        <f aca="false">J15+J16+J17+J18</f>
        <v>-29303.29</v>
      </c>
      <c r="K19" s="13" t="n">
        <f aca="false">K15+K16+K17+K18</f>
        <v>-28574.37</v>
      </c>
      <c r="L19" s="13" t="n">
        <f aca="false">L15+L16+L17+L18</f>
        <v>-28938.83</v>
      </c>
      <c r="M19" s="13" t="n">
        <f aca="false">M15+M16+M17+M18</f>
        <v>-28938.83</v>
      </c>
      <c r="N19" s="14" t="n">
        <f aca="false">SUM(B19:M19)</f>
        <v>-335373.99</v>
      </c>
      <c r="O19" s="14" t="n">
        <f aca="false">SUM(B19:D19)</f>
        <v>-75653.44</v>
      </c>
    </row>
    <row r="21" customFormat="false" ht="15" hidden="false" customHeight="false" outlineLevel="0" collapsed="false">
      <c r="A21" s="3" t="s">
        <v>67</v>
      </c>
      <c r="B21" s="4"/>
      <c r="C21" s="4"/>
      <c r="D21" s="4"/>
      <c r="E21" s="4"/>
      <c r="F21" s="4"/>
      <c r="G21" s="4"/>
      <c r="H21" s="4"/>
      <c r="I21" s="4"/>
      <c r="J21" s="4"/>
      <c r="K21" s="4"/>
      <c r="L21" s="4"/>
      <c r="M21" s="4"/>
      <c r="N21" s="4"/>
      <c r="O21" s="4"/>
    </row>
    <row r="22" customFormat="false" ht="15" hidden="false" customHeight="false" outlineLevel="0" collapsed="false">
      <c r="A22" s="12" t="s">
        <v>68</v>
      </c>
      <c r="B22" s="16" t="n">
        <f aca="false">B6+B12</f>
        <v>6438.87000000002</v>
      </c>
      <c r="C22" s="16" t="n">
        <f aca="false">C6+C12</f>
        <v>18512.96</v>
      </c>
      <c r="D22" s="16" t="n">
        <f aca="false">D6+D12</f>
        <v>23830.37</v>
      </c>
      <c r="E22" s="14" t="n">
        <f aca="false">E6+E12</f>
        <v>41725.28</v>
      </c>
      <c r="F22" s="14" t="n">
        <f aca="false">F6+F12</f>
        <v>8943.03</v>
      </c>
      <c r="G22" s="14" t="n">
        <f aca="false">G6+G12</f>
        <v>7373.51</v>
      </c>
      <c r="H22" s="14" t="n">
        <f aca="false">H6+H12</f>
        <v>6077.14</v>
      </c>
      <c r="I22" s="14" t="n">
        <f aca="false">I6+I12</f>
        <v>8259.84</v>
      </c>
      <c r="J22" s="14" t="n">
        <f aca="false">J6+J12</f>
        <v>7277.73</v>
      </c>
      <c r="K22" s="14" t="n">
        <f aca="false">K6+K12</f>
        <v>8017.33000000001</v>
      </c>
      <c r="L22" s="14" t="n">
        <f aca="false">L6+L12</f>
        <v>-4482.08</v>
      </c>
      <c r="M22" s="14" t="n">
        <f aca="false">M6+M12</f>
        <v>-9884.23</v>
      </c>
      <c r="N22" s="14" t="n">
        <f aca="false">SUM(B22:M22)</f>
        <v>122089.75</v>
      </c>
      <c r="O22" s="14" t="n">
        <f aca="false">SUM(B22:D22)</f>
        <v>48782.2000000001</v>
      </c>
    </row>
    <row r="23" customFormat="false" ht="15" hidden="false" customHeight="false" outlineLevel="0" collapsed="false">
      <c r="A23" s="12" t="s">
        <v>69</v>
      </c>
      <c r="B23" s="17" t="n">
        <f aca="false">IFERROR((B6+B12)/B6,"")</f>
        <v>0.0570805413036011</v>
      </c>
      <c r="C23" s="17" t="n">
        <f aca="false">IFERROR((C6+C12)/C6,"")</f>
        <v>0.196343795515232</v>
      </c>
      <c r="D23" s="17" t="n">
        <f aca="false">IFERROR((D6+D12)/D6,"")</f>
        <v>0.0999640168685297</v>
      </c>
      <c r="E23" s="18" t="n">
        <f aca="false">IFERROR((E6+E12)/E6,"")</f>
        <v>0.416994721966575</v>
      </c>
      <c r="F23" s="18" t="n">
        <f aca="false">IFERROR((F6+F12)/F6,"")</f>
        <v>0.246110961739409</v>
      </c>
      <c r="G23" s="18" t="n">
        <f aca="false">IFERROR((G6+G12)/G6,"")</f>
        <v>0.235294324128461</v>
      </c>
      <c r="H23" s="18" t="n">
        <f aca="false">IFERROR((H6+H12)/H6,"")</f>
        <v>0.222274891050506</v>
      </c>
      <c r="I23" s="18" t="n">
        <f aca="false">IFERROR((I6+I12)/I6,"")</f>
        <v>0.255401174682636</v>
      </c>
      <c r="J23" s="18" t="n">
        <f aca="false">IFERROR((J6+J12)/J6,"")</f>
        <v>0.225033510458201</v>
      </c>
      <c r="K23" s="18" t="n">
        <f aca="false">IFERROR((K6+K12)/K6,"")</f>
        <v>0.247902562255242</v>
      </c>
      <c r="L23" s="18" t="n">
        <f aca="false">IFERROR((L6+L12)/L6,"")</f>
        <v>-0.557814679897002</v>
      </c>
      <c r="M23" s="18" t="n">
        <f aca="false">IFERROR((M6+M12)/M6,"")</f>
        <v>-1.23013614069324</v>
      </c>
      <c r="N23" s="18" t="n">
        <f aca="false">IFERROR(N22/N6,"")</f>
        <v>0.16199781007279</v>
      </c>
      <c r="O23" s="18" t="n">
        <f aca="false">IFERROR(O22/O6,"")</f>
        <v>0.10950450637413</v>
      </c>
    </row>
    <row r="24" customFormat="false" ht="15" hidden="false" customHeight="false" outlineLevel="0" collapsed="false">
      <c r="A24" s="12" t="s">
        <v>28</v>
      </c>
      <c r="B24" s="16" t="n">
        <f aca="false">B6+B12+B19</f>
        <v>-15034.26</v>
      </c>
      <c r="C24" s="16" t="n">
        <f aca="false">C6+C12+C19</f>
        <v>-1708.44</v>
      </c>
      <c r="D24" s="16" t="n">
        <f aca="false">D6+D12+D19</f>
        <v>-10128.54</v>
      </c>
      <c r="E24" s="14" t="n">
        <f aca="false">E6+E12+E19</f>
        <v>12421.99</v>
      </c>
      <c r="F24" s="14" t="n">
        <f aca="false">F6+F12+F19</f>
        <v>-19631.34</v>
      </c>
      <c r="G24" s="14" t="n">
        <f aca="false">G6+G12+G19</f>
        <v>-21565.32</v>
      </c>
      <c r="H24" s="14" t="n">
        <f aca="false">H6+H12+H19</f>
        <v>-22497.23</v>
      </c>
      <c r="I24" s="14" t="n">
        <f aca="false">I6+I12+I19</f>
        <v>-20314.53</v>
      </c>
      <c r="J24" s="14" t="n">
        <f aca="false">J6+J12+J19</f>
        <v>-22025.56</v>
      </c>
      <c r="K24" s="14" t="n">
        <f aca="false">K6+K12+K19</f>
        <v>-20557.04</v>
      </c>
      <c r="L24" s="14" t="n">
        <f aca="false">L6+L12+L19</f>
        <v>-33420.91</v>
      </c>
      <c r="M24" s="14" t="n">
        <f aca="false">M6+M12+M19</f>
        <v>-38823.06</v>
      </c>
      <c r="N24" s="14" t="n">
        <f aca="false">SUM(B24:M24)</f>
        <v>-213284.24</v>
      </c>
      <c r="O24" s="14" t="n">
        <f aca="false">SUM(B24:D24)</f>
        <v>-26871.2399999999</v>
      </c>
    </row>
    <row r="25" customFormat="false" ht="15" hidden="false" customHeight="false" outlineLevel="0" collapsed="false">
      <c r="A25" s="12" t="s">
        <v>70</v>
      </c>
      <c r="B25" s="17" t="n">
        <f aca="false">IFERROR((B6+B12+B19)/B6,"")</f>
        <v>-0.13327861859287</v>
      </c>
      <c r="C25" s="17" t="n">
        <f aca="false">IFERROR((C6+C12+C19)/C6,"")</f>
        <v>-0.0181192847610561</v>
      </c>
      <c r="D25" s="17" t="n">
        <f aca="false">IFERROR((D6+D12+D19)/D6,"")</f>
        <v>-0.0424873614389359</v>
      </c>
      <c r="E25" s="18" t="n">
        <f aca="false">IFERROR((E6+E12+E19)/E6,"")</f>
        <v>0.124143067855304</v>
      </c>
      <c r="F25" s="18" t="n">
        <f aca="false">IFERROR((F6+F12+F19)/F6,"")</f>
        <v>-0.540251790235898</v>
      </c>
      <c r="G25" s="18" t="n">
        <f aca="false">IFERROR((G6+G12+G19)/G6,"")</f>
        <v>-0.688165798108905</v>
      </c>
      <c r="H25" s="18" t="n">
        <f aca="false">IFERROR((H6+H12+H19)/H6,"")</f>
        <v>-0.822849127581093</v>
      </c>
      <c r="I25" s="18" t="n">
        <f aca="false">IFERROR((I6+I12+I19)/I6,"")</f>
        <v>-0.628142291512385</v>
      </c>
      <c r="J25" s="18" t="n">
        <f aca="false">IFERROR((J6+J12+J19)/J6,"")</f>
        <v>-0.681048772983845</v>
      </c>
      <c r="K25" s="18" t="n">
        <f aca="false">IFERROR((K6+K12+K19)/K6,"")</f>
        <v>-0.635640903939779</v>
      </c>
      <c r="L25" s="18" t="n">
        <f aca="false">IFERROR((L6+L12+L19)/L6,"")</f>
        <v>-4.15938006762853</v>
      </c>
      <c r="M25" s="18" t="n">
        <f aca="false">IFERROR((M6+M12+M19)/M6,"")</f>
        <v>-4.83170152842477</v>
      </c>
      <c r="N25" s="18" t="n">
        <f aca="false">IFERROR(N24/N6,"")</f>
        <v>-0.283001478855016</v>
      </c>
      <c r="O25" s="18" t="n">
        <f aca="false">IFERROR(O24/O6,"")</f>
        <v>-0.060319581155847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2026-10-26T22:07:27Z</dcterms:created>
  <dc:creator>openpyxl</dc:creator>
  <dc:description/>
  <dc:language>en-US</dc:language>
  <cp:lastModifiedBy/>
  <dcterms:modified xsi:type="dcterms:W3CDTF">2026-10-26T22:07:27Z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