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S" sheetId="1" state="visible" r:id="rId3"/>
    <sheet name="ONS" sheetId="2" state="visible" r:id="rId4"/>
    <sheet name="PRD" sheetId="3" state="visible" r:id="rId5"/>
    <sheet name="October Xero" sheetId="4" state="visible" r:id="rId6"/>
  </sheets>
  <definedNames>
    <definedName function="false" hidden="false" name="AcctName" vbProcedure="false">#REF!</definedName>
    <definedName function="false" hidden="false" name="AcctSubCat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Based on pivot table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79</xdr:colOff>
                <xdr:row>0</xdr:row>
                <xdr:rowOff>2</xdr:rowOff>
              </xdr:from>
              <xdr:to>
                <xdr:col>3</xdr:col>
                <xdr:colOff>79</xdr:colOff>
                <xdr:row>14</xdr:row>
                <xdr:rowOff>10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<sst xmlns="http://schemas.openxmlformats.org/spreadsheetml/2006/main" count="417" uniqueCount="219">
  <si>
    <t xml:space="preserve">ACTUAL FY23</t>
  </si>
  <si>
    <t xml:space="preserve">BUDGET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</si>
  <si>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</si>
  <si>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</si>
  <si>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</si>
  <si>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</si>
  <si>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</si>
  <si>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</si>
  <si>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</si>
  <si>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</si>
  <si>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</si>
  <si>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</si>
  <si>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</si>
  <si>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</si>
  <si>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Total</t>
  </si>
  <si>
    <t xml:space="preserve">July, August and September are actual, from the controller pack. October to June are the budget as it stood. The own OpEx block is budget in every month; the GL does not map to those line labels. It does not feed gross profit or net profit.</t>
  </si>
  <si>
    <t xml:space="preserve">Integration</t>
  </si>
  <si>
    <t xml:space="preserve">Consulting</t>
  </si>
  <si>
    <t xml:space="preserve">Revenue</t>
  </si>
  <si>
    <t xml:space="preserve">As per Forecast</t>
  </si>
  <si>
    <t xml:space="preserve">Contract Support Staff</t>
  </si>
  <si>
    <t xml:space="preserve">ADDITIONAL - Breakeven</t>
  </si>
  <si>
    <t xml:space="preserve">Subscriptions &amp; Licences - Income</t>
  </si>
  <si>
    <t xml:space="preserve">Total Revenue</t>
  </si>
  <si>
    <t xml:space="preserve">Freight &amp;Travel - WORKTECH</t>
  </si>
  <si>
    <t xml:space="preserve">Direct Salaries</t>
  </si>
  <si>
    <t xml:space="preserve">Direct Superannuation</t>
  </si>
  <si>
    <t xml:space="preserve">Production Labour</t>
  </si>
  <si>
    <t xml:space="preserve">COGs</t>
  </si>
  <si>
    <t xml:space="preserve">INT- Equip/Sub-Contract/Licenses (50% of revenue)</t>
  </si>
  <si>
    <t xml:space="preserve">Aware Super (COS)</t>
  </si>
  <si>
    <t xml:space="preserve">Transport (INT &amp; CONS)</t>
  </si>
  <si>
    <t xml:space="preserve">Ad Hoc Service Labour</t>
  </si>
  <si>
    <t xml:space="preserve">Total COGs</t>
  </si>
  <si>
    <t xml:space="preserve">Installation Labour</t>
  </si>
  <si>
    <t xml:space="preserve">Gen Ad</t>
  </si>
  <si>
    <t xml:space="preserve">Dues &amp; Subscriptions</t>
  </si>
  <si>
    <t xml:space="preserve">Equipment Sales</t>
  </si>
  <si>
    <t xml:space="preserve">Bus Ins</t>
  </si>
  <si>
    <t xml:space="preserve">Insurance</t>
  </si>
  <si>
    <t xml:space="preserve">Tech Consulting/Project Manage</t>
  </si>
  <si>
    <t xml:space="preserve">OpEx</t>
  </si>
  <si>
    <t xml:space="preserve">Rent/Rental Outgoings/Cleaning</t>
  </si>
  <si>
    <t xml:space="preserve">Tech Event Management</t>
  </si>
  <si>
    <t xml:space="preserve">Mobile Phones</t>
  </si>
  <si>
    <t xml:space="preserve">Emp</t>
  </si>
  <si>
    <t xml:space="preserve">Discretionary Bonuses</t>
  </si>
  <si>
    <t xml:space="preserve">Indirect Salaries</t>
  </si>
  <si>
    <t xml:space="preserve">Indirect Superannuation</t>
  </si>
  <si>
    <t xml:space="preserve">Workers Comp</t>
  </si>
  <si>
    <t xml:space="preserve">Equipment - Purchase</t>
  </si>
  <si>
    <t xml:space="preserve">Miscellaneous Expenses</t>
  </si>
  <si>
    <t xml:space="preserve">Sub-Contract Labour - WORKTECH</t>
  </si>
  <si>
    <t xml:space="preserve">Total OpEx</t>
  </si>
  <si>
    <t xml:space="preserve">Sub-Contract Labour - CONS</t>
  </si>
  <si>
    <t xml:space="preserve">Gross Profit</t>
  </si>
  <si>
    <t xml:space="preserve">Service - hires</t>
  </si>
  <si>
    <t xml:space="preserve">Gross Profit Margin</t>
  </si>
  <si>
    <t xml:space="preserve">Damage Waiver</t>
  </si>
  <si>
    <t xml:space="preserve">Net Profit</t>
  </si>
  <si>
    <t xml:space="preserve">Direct Salaries - WORKTECH</t>
  </si>
  <si>
    <t xml:space="preserve">NetProfit Margin</t>
  </si>
  <si>
    <t xml:space="preserve">Direct Salaries - CONS</t>
  </si>
  <si>
    <t xml:space="preserve">Direct Wages - CONS</t>
  </si>
  <si>
    <t xml:space="preserve">Total Direct Costs</t>
  </si>
  <si>
    <t xml:space="preserve">Direct Superannuation-WORKTECH</t>
  </si>
  <si>
    <t xml:space="preserve">Direct Superannuation - CONS</t>
  </si>
  <si>
    <t xml:space="preserve">Business Insurances</t>
  </si>
  <si>
    <t xml:space="preserve">Direct Travel - PRD</t>
  </si>
  <si>
    <t xml:space="preserve">Employment Expenses</t>
  </si>
  <si>
    <t xml:space="preserve">Direct Travel - CONS</t>
  </si>
  <si>
    <t xml:space="preserve">General &amp; Administrative Exp</t>
  </si>
  <si>
    <t xml:space="preserve">Direct Freight - ONS</t>
  </si>
  <si>
    <t xml:space="preserve">Operating Expenses</t>
  </si>
  <si>
    <t xml:space="preserve">Direct Freight - WORKTECH</t>
  </si>
  <si>
    <t xml:space="preserve">Total COGS</t>
  </si>
  <si>
    <t xml:space="preserve">Bank Charges</t>
  </si>
  <si>
    <t xml:space="preserve">Freight Paid</t>
  </si>
  <si>
    <t xml:space="preserve">Credit Card Fees Paid</t>
  </si>
  <si>
    <t xml:space="preserve">Notes: </t>
  </si>
  <si>
    <t xml:space="preserve">Taxis/Parking</t>
  </si>
  <si>
    <t xml:space="preserve">Do we keep 15% for COGS</t>
  </si>
  <si>
    <t xml:space="preserve">Other Insurance</t>
  </si>
  <si>
    <t xml:space="preserve">Do we keep 20% for overhead calc or perhaps 5% based on 'staff' category in opex split</t>
  </si>
  <si>
    <t xml:space="preserve">Postage</t>
  </si>
  <si>
    <t xml:space="preserve">Rent</t>
  </si>
  <si>
    <t xml:space="preserve">Rental Outgoings</t>
  </si>
  <si>
    <t xml:space="preserve">Travel &amp; Per Diems</t>
  </si>
  <si>
    <t xml:space="preserve">Client Entertainment</t>
  </si>
  <si>
    <t xml:space="preserve">Payroll Tax</t>
  </si>
  <si>
    <t xml:space="preserve">Staff Amenities</t>
  </si>
  <si>
    <t xml:space="preserve">Staff Entertainment</t>
  </si>
  <si>
    <t xml:space="preserve">Superannuation</t>
  </si>
  <si>
    <t xml:space="preserve">Indirect Salaries - WORKTECH</t>
  </si>
  <si>
    <t xml:space="preserve">Indirect Salaries - CONS</t>
  </si>
  <si>
    <t xml:space="preserve">Workers' Compensation</t>
  </si>
  <si>
    <t xml:space="preserve">Training Material &amp; Courses</t>
  </si>
  <si>
    <t xml:space="preserve">Recruitment</t>
  </si>
  <si>
    <t xml:space="preserve">Indirect Wages - CONS</t>
  </si>
  <si>
    <t xml:space="preserve">Leave expense (Annual)</t>
  </si>
  <si>
    <t xml:space="preserve">Leave expense (Long Service)</t>
  </si>
  <si>
    <t xml:space="preserve">Total Gross Profit</t>
  </si>
  <si>
    <t xml:space="preserve">ONSITE</t>
  </si>
  <si>
    <t xml:space="preserve">FORECAST</t>
  </si>
  <si>
    <t xml:space="preserve">Mobile</t>
  </si>
  <si>
    <t xml:space="preserve">Hotline</t>
  </si>
  <si>
    <t xml:space="preserve">Spotify</t>
  </si>
  <si>
    <t xml:space="preserve">Mobile Phone Plans</t>
  </si>
  <si>
    <t xml:space="preserve">PWC IT Nat. Pool of Hrs COS</t>
  </si>
  <si>
    <t xml:space="preserve">Reduce by 10%</t>
  </si>
  <si>
    <t xml:space="preserve">Salaries (Casual + Super + Spacera)</t>
  </si>
  <si>
    <t xml:space="preserve">Equipment &amp; Services (LH Licences &amp; Mobile Phone)</t>
  </si>
  <si>
    <t xml:space="preserve">Transport</t>
  </si>
  <si>
    <t xml:space="preserve">Freight &amp;Travel - ONS</t>
  </si>
  <si>
    <t xml:space="preserve">*based on OpEx split</t>
  </si>
  <si>
    <t xml:space="preserve">Dues &amp; Subscriptions &amp; Legal</t>
  </si>
  <si>
    <t xml:space="preserve">Freight &amp;Travel - PRD</t>
  </si>
  <si>
    <t xml:space="preserve">Ins</t>
  </si>
  <si>
    <t xml:space="preserve">Insurance (Avetta)</t>
  </si>
  <si>
    <t xml:space="preserve">Meal &amp; Travel - ONS</t>
  </si>
  <si>
    <t xml:space="preserve">Rent/Rental Outgoings</t>
  </si>
  <si>
    <t xml:space="preserve">Meal &amp; Travel - PRD</t>
  </si>
  <si>
    <t xml:space="preserve">Telecommunication</t>
  </si>
  <si>
    <t xml:space="preserve">Worker's Compensation</t>
  </si>
  <si>
    <t xml:space="preserve">Subscriptions &amp; Licences</t>
  </si>
  <si>
    <t xml:space="preserve">Direct Salaries - ONS</t>
  </si>
  <si>
    <t xml:space="preserve">Direct Wages - ONS</t>
  </si>
  <si>
    <t xml:space="preserve">Direct Wages - PRD</t>
  </si>
  <si>
    <t xml:space="preserve">Direct Superannuation - ONS</t>
  </si>
  <si>
    <t xml:space="preserve">Direct Travel - ONS</t>
  </si>
  <si>
    <t xml:space="preserve">Net Profit Margin</t>
  </si>
  <si>
    <t xml:space="preserve">Direct Freight - PRD</t>
  </si>
  <si>
    <t xml:space="preserve">Direct Mobile - ONS</t>
  </si>
  <si>
    <t xml:space="preserve">Legal Fees</t>
  </si>
  <si>
    <t xml:space="preserve">Notes: Check if the direct costs are correct</t>
  </si>
  <si>
    <t xml:space="preserve">Advertising</t>
  </si>
  <si>
    <t xml:space="preserve">Office Supplies</t>
  </si>
  <si>
    <t xml:space="preserve">1300 Number</t>
  </si>
  <si>
    <t xml:space="preserve">Indirect Salaries - ONS</t>
  </si>
  <si>
    <t xml:space="preserve">Indirect Wages - ONS</t>
  </si>
  <si>
    <t xml:space="preserve">Other Expenses</t>
  </si>
  <si>
    <t xml:space="preserve">Production</t>
  </si>
  <si>
    <t xml:space="preserve">Video</t>
  </si>
  <si>
    <t xml:space="preserve">COS</t>
  </si>
  <si>
    <t xml:space="preserve">Direct Salaries (Production)</t>
  </si>
  <si>
    <t xml:space="preserve">Direct Salaries (Video)</t>
  </si>
  <si>
    <t xml:space="preserve">Direct Superannuation (Production)</t>
  </si>
  <si>
    <t xml:space="preserve">Direct Superannuation (Video)</t>
  </si>
  <si>
    <t xml:space="preserve">Salaries FT Fixed Term (Gross + Super)</t>
  </si>
  <si>
    <t xml:space="preserve">Freight &amp;Travel - VID</t>
  </si>
  <si>
    <t xml:space="preserve">Salaries Casual Production (Gross + Super + Spacera)</t>
  </si>
  <si>
    <t xml:space="preserve">*update as month finishes</t>
  </si>
  <si>
    <t xml:space="preserve">Salaries Casual Video (Gross + Super)</t>
  </si>
  <si>
    <t xml:space="preserve">Video Labour</t>
  </si>
  <si>
    <t xml:space="preserve">Equipment (Production)</t>
  </si>
  <si>
    <t xml:space="preserve">Equipment (Video)</t>
  </si>
  <si>
    <t xml:space="preserve">Transportation (Production)</t>
  </si>
  <si>
    <t xml:space="preserve">Transportation (Video)</t>
  </si>
  <si>
    <t xml:space="preserve">Equipment Hires</t>
  </si>
  <si>
    <t xml:space="preserve">Conference Call Charge</t>
  </si>
  <si>
    <t xml:space="preserve">Dues/Subscriptions/Insurance</t>
  </si>
  <si>
    <t xml:space="preserve">Freight &amp;Travel - ADMIN</t>
  </si>
  <si>
    <t xml:space="preserve">Rent/Outgoings/Cleaning</t>
  </si>
  <si>
    <t xml:space="preserve">Updated per GC Calc's</t>
  </si>
  <si>
    <t xml:space="preserve">Equipment - Hires</t>
  </si>
  <si>
    <t xml:space="preserve">Sub-Contract Labour - PRD</t>
  </si>
  <si>
    <t xml:space="preserve">Total OpEx (Prod/Vid Only)</t>
  </si>
  <si>
    <t xml:space="preserve">Sub-Contract Labour - VID</t>
  </si>
  <si>
    <t xml:space="preserve">Total OpEx incl. Overhead split</t>
  </si>
  <si>
    <t xml:space="preserve">Direct Salaries - PRD</t>
  </si>
  <si>
    <t xml:space="preserve">Direct Salaries - VID</t>
  </si>
  <si>
    <t xml:space="preserve">Direct Wages - VID</t>
  </si>
  <si>
    <t xml:space="preserve">Direct Superannuation - PRD</t>
  </si>
  <si>
    <t xml:space="preserve">Direct Superannuation - VID</t>
  </si>
  <si>
    <t xml:space="preserve">Total Overhead</t>
  </si>
  <si>
    <t xml:space="preserve"> PA Breakeven</t>
  </si>
  <si>
    <t xml:space="preserve">Assumed GP %</t>
  </si>
  <si>
    <t xml:space="preserve">Monthly Breakeven</t>
  </si>
  <si>
    <t xml:space="preserve">Direct Travel - VID</t>
  </si>
  <si>
    <t xml:space="preserve">Direct Freight - VID</t>
  </si>
  <si>
    <t xml:space="preserve">Direct Mobile - PRD</t>
  </si>
  <si>
    <t xml:space="preserve">Credit Card Paid - PRD</t>
  </si>
  <si>
    <t xml:space="preserve">Credit Card Paid - ADMIN</t>
  </si>
  <si>
    <t xml:space="preserve">Instant Asset Write Off</t>
  </si>
  <si>
    <t xml:space="preserve">Stamp Duty (Indirect)</t>
  </si>
  <si>
    <t xml:space="preserve">Indirect Salaries - PRD</t>
  </si>
  <si>
    <t xml:space="preserve">Indirect Salaries - VID</t>
  </si>
  <si>
    <t xml:space="preserve">Indirect Wages - PRD</t>
  </si>
  <si>
    <t xml:space="preserve">Indirect Wages - VID</t>
  </si>
  <si>
    <t xml:space="preserve">October 2026, straight from Xero</t>
  </si>
  <si>
    <t xml:space="preserve">Period 1 to 26 October 2026, accrual basis. Xero report data last refreshed 23 October 2026.</t>
  </si>
  <si>
    <t xml:space="preserve">October is not closed and the month's invoicing is not raised, so this is a position and not a result.</t>
  </si>
  <si>
    <t xml:space="preserve">Company level only. It cannot be split ONS, PRD and CONS: the largest lines on both sides carry no department in the account name, and the Xero tracking categories are not available through this connection.</t>
  </si>
  <si>
    <t xml:space="preserve">October on the ONS, PRD and CONS sheets is still the budget. This tab does not feed those sheets.</t>
  </si>
  <si>
    <t xml:space="preserve">COMPANY RESULT</t>
  </si>
  <si>
    <t xml:space="preserve">Income</t>
  </si>
  <si>
    <t xml:space="preserve">Cost of sales</t>
  </si>
  <si>
    <t xml:space="preserve">Gross profit</t>
  </si>
  <si>
    <t xml:space="preserve">Overheads</t>
  </si>
  <si>
    <t xml:space="preserve">Other income</t>
  </si>
  <si>
    <t xml:space="preserve">Net profit</t>
  </si>
  <si>
    <t xml:space="preserve">INCOME</t>
  </si>
  <si>
    <t xml:space="preserve">Freight &amp; Travel - PRD</t>
  </si>
  <si>
    <t xml:space="preserve">Total income</t>
  </si>
  <si>
    <t xml:space="preserve">COST OF SALES</t>
  </si>
  <si>
    <t xml:space="preserve">Subscriptions &amp; Licences - Expense</t>
  </si>
  <si>
    <t xml:space="preserve">Sub-Contract Labour - INTEGRATION</t>
  </si>
  <si>
    <t xml:space="preserve">Direct Freight - INTEGRATION</t>
  </si>
  <si>
    <t xml:space="preserve">All other cost of sales accounts</t>
  </si>
  <si>
    <t xml:space="preserve">Total cost of sales</t>
  </si>
  <si>
    <t xml:space="preserve">OVERHEADS</t>
  </si>
  <si>
    <t xml:space="preserve">Indirect Salaries - ADMIN</t>
  </si>
  <si>
    <t xml:space="preserve">IT Network Service &amp; Support</t>
  </si>
  <si>
    <t xml:space="preserve">Indirect Salaries - INTEGRATION</t>
  </si>
  <si>
    <t xml:space="preserve">All other overhead accounts</t>
  </si>
  <si>
    <t xml:space="preserve">Total overheads</t>
  </si>
  <si>
    <t xml:space="preserve">OTHER INCOME</t>
  </si>
  <si>
    <t xml:space="preserve">Interest Received</t>
  </si>
  <si>
    <t xml:space="preserve">Total other income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</si>
</sst>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\$* #,##0.00_);_(\$* \(#,##0.00\);_(\$* \-??_);_(@_)"/>
    <numFmt numFmtId="166" formatCode="_(\$* #,##0_);_(\$* \(#,##0\);_(\$* \-??_);_(@_)"/>
    <numFmt numFmtId="167" formatCode="General"/>
    <numFmt numFmtId="168" formatCode="_-\$* #,##0.00_-;&quot;-$&quot;* #,##0.00_-;_-\$* \-??_-;_-@_-"/>
    <numFmt numFmtId="169" formatCode="0%"/>
    <numFmt numFmtId="170" formatCode="_(* #,##0.00_);_(* \(#,##0.00\);_(* \-??_);_(@_)"/>
    <numFmt numFmtId="171" formatCode="_-* #,##0_-;\-* #,##0_-;_-* \-??_-;_-@_-"/>
    <numFmt numFmtId="172" formatCode="0.00"/>
    <numFmt numFmtId="173" formatCode="0.0%"/>
    <numFmt numFmtId="174" formatCode="#,##0"/>
    <numFmt numFmtId="175" formatCode="0"/>
    <numFmt numFmtId="176" formatCode="0.00%"/>
    <numFmt numFmtId="177" formatCode="#,##0;[RED]\(#,##0\);\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color rgb="FF6B7585"/>
      <name val="Calibri"/>
      <family val="0"/>
      <charset val="1"/>
    </font>
    <font>
      <sz val="10"/>
      <color rgb="FF0070C0"/>
      <name val="Arial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4"/>
      <color rgb="FF242C3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242C39"/>
      <name val="Calibri"/>
      <family val="0"/>
      <charset val="1"/>
    </font>
    <font>
      <b val="true"/>
      <sz val="11"/>
      <color rgb="FF242C3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theme="6"/>
        <bgColor rgb="FF969696"/>
      </patternFill>
    </fill>
    <fill>
      <patternFill patternType="solid">
        <fgColor rgb="FFE8F4F3"/>
        <bgColor rgb="FFF4F4F4"/>
      </patternFill>
    </fill>
    <fill>
      <patternFill patternType="solid">
        <fgColor theme="5" tint="0.5999"/>
        <bgColor rgb="FFFAC090"/>
      </patternFill>
    </fill>
    <fill>
      <patternFill patternType="solid">
        <fgColor theme="4" tint="0.7999"/>
        <bgColor rgb="FFE8F4F3"/>
      </patternFill>
    </fill>
    <fill>
      <patternFill patternType="solid">
        <fgColor theme="0" tint="-0.25"/>
        <bgColor rgb="FFE6B9B8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E6B9B8"/>
      </patternFill>
    </fill>
    <fill>
      <patternFill patternType="solid">
        <fgColor theme="6" tint="0.7999"/>
        <bgColor rgb="FFE8F4F3"/>
      </patternFill>
    </fill>
    <fill>
      <patternFill patternType="solid">
        <fgColor rgb="FF242C39"/>
        <bgColor rgb="FF333300"/>
      </patternFill>
    </fill>
    <fill>
      <patternFill patternType="solid">
        <fgColor rgb="FFF4F4F4"/>
        <bgColor rgb="FFE8F4F3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8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9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E8F4F3"/>
      <rgbColor rgb="FF660066"/>
      <rgbColor rgb="FFFF8080"/>
      <rgbColor rgb="FF0070C0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4F4F4"/>
      <rgbColor rgb="FF99CCFF"/>
      <rgbColor rgb="FFE6B9B8"/>
      <rgbColor rgb="FFCC99FF"/>
      <rgbColor rgb="FFFAC090"/>
      <rgbColor rgb="FF3366FF"/>
      <rgbColor rgb="FF33CCCC"/>
      <rgbColor rgb="FF9BBB59"/>
      <rgbColor rgb="FFFFCC00"/>
      <rgbColor rgb="FFFF9900"/>
      <rgbColor rgb="FFFF6600"/>
      <rgbColor rgb="FF6B75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C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true" showOutlineSymbols="true" defaultGridColor="true" view="normal" topLeftCell="H1" colorId="64" zoomScale="145" zoomScaleNormal="145" zoomScalePageLayoutView="100" workbookViewId="0">
      <selection pane="topLeft" activeCell="V13" activeCellId="0" sqref="V13"/>
    </sheetView>
  </sheetViews>
  <sheetFormatPr defaultColWidth="9.1484375" defaultRowHeight="12.75" zeroHeight="false" outlineLevelRow="0" outlineLevelCol="0"/>
  <cols>
    <col collapsed="false" customWidth="true" hidden="true" outlineLevel="0" max="1" min="1" style="1" width="32.42"/>
    <col collapsed="false" customWidth="true" hidden="true" outlineLevel="0" max="3" min="2" style="2" width="10.85"/>
    <col collapsed="false" customWidth="true" hidden="true" outlineLevel="0" max="4" min="4" style="2" width="10.71"/>
    <col collapsed="false" customWidth="true" hidden="false" outlineLevel="0" max="5" min="5" style="1" width="11.43"/>
    <col collapsed="false" customWidth="true" hidden="false" outlineLevel="0" max="6" min="6" style="1" width="48.29"/>
    <col collapsed="false" customWidth="true" hidden="false" outlineLevel="0" max="18" min="7" style="1" width="12.29"/>
    <col collapsed="false" customWidth="true" hidden="false" outlineLevel="0" max="19" min="19" style="1" width="11.71"/>
    <col collapsed="false" customWidth="false" hidden="false" outlineLevel="0" max="16384" min="20" style="1" width="9.14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F1" s="4" t="s">
        <v>1</v>
      </c>
      <c r="G1" s="5" t="s">
        <v>2</v>
      </c>
      <c r="H1" s="5" t="s">
        <v>3</v>
      </c>
      <c r="I1" s="5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6" t="s">
        <v>15</v>
      </c>
    </row>
    <row r="2" customFormat="false" ht="12.75" hidden="false" customHeight="false" outlineLevel="0" collapsed="false">
      <c r="B2" s="4" t="s">
        <v>16</v>
      </c>
      <c r="C2" s="4" t="s">
        <v>17</v>
      </c>
      <c r="D2" s="4" t="s">
        <v>14</v>
      </c>
      <c r="E2" s="1" t="s">
        <v>18</v>
      </c>
      <c r="F2" s="1" t="s">
        <v>19</v>
      </c>
      <c r="G2" s="7" t="n">
        <v>112803.24</v>
      </c>
      <c r="H2" s="7" t="n">
        <v>94288.49</v>
      </c>
      <c r="I2" s="7" t="n">
        <v>238389.48</v>
      </c>
      <c r="J2" s="8" t="n">
        <v>100061.891666667</v>
      </c>
      <c r="K2" s="8" t="n">
        <v>36337.3916666667</v>
      </c>
      <c r="L2" s="8" t="n">
        <v>31337.3916666667</v>
      </c>
      <c r="M2" s="8" t="n">
        <v>27340.6516666667</v>
      </c>
      <c r="N2" s="8" t="n">
        <v>32340.6516666667</v>
      </c>
      <c r="O2" s="8" t="n">
        <v>32340.6516666667</v>
      </c>
      <c r="P2" s="8" t="n">
        <v>32340.6516666667</v>
      </c>
      <c r="Q2" s="8" t="n">
        <v>8035.07166666667</v>
      </c>
      <c r="R2" s="8" t="n">
        <v>8035.07166666667</v>
      </c>
      <c r="S2" s="8" t="n">
        <f aca="false">SUM(G2:R2)</f>
        <v>753650.635</v>
      </c>
      <c r="T2" s="9" t="b">
        <f aca="false">TRUE()</f>
        <v>1</v>
      </c>
    </row>
    <row r="3" customFormat="false" ht="12.75" hidden="false" customHeight="false" outlineLevel="0" collapsed="false">
      <c r="A3" s="10" t="s">
        <v>20</v>
      </c>
      <c r="B3" s="8" t="n">
        <v>0</v>
      </c>
      <c r="C3" s="8" t="n">
        <v>2699</v>
      </c>
      <c r="D3" s="8" t="n">
        <f aca="false">B3+C3</f>
        <v>2699</v>
      </c>
      <c r="F3" s="1" t="s">
        <v>21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 t="n">
        <f aca="false">SUM(G3:R3)</f>
        <v>0</v>
      </c>
    </row>
    <row r="4" customFormat="false" ht="12.75" hidden="false" customHeight="false" outlineLevel="0" collapsed="false">
      <c r="A4" s="10" t="s">
        <v>22</v>
      </c>
      <c r="B4" s="8" t="n">
        <v>106533.74</v>
      </c>
      <c r="C4" s="8" t="n">
        <v>3500</v>
      </c>
      <c r="D4" s="8" t="n">
        <f aca="false">B4+C4</f>
        <v>110033.74</v>
      </c>
      <c r="E4" s="11"/>
      <c r="F4" s="12" t="s">
        <v>23</v>
      </c>
      <c r="G4" s="13" t="n">
        <f aca="false">SUM(G2:G3)</f>
        <v>112803.24</v>
      </c>
      <c r="H4" s="13" t="n">
        <f aca="false">SUM(H2:H3)</f>
        <v>94288.49</v>
      </c>
      <c r="I4" s="13" t="n">
        <f aca="false">SUM(I2:I3)</f>
        <v>238389.48</v>
      </c>
      <c r="J4" s="13" t="n">
        <f aca="false">SUM(J2:J3)</f>
        <v>100061.891666667</v>
      </c>
      <c r="K4" s="13" t="n">
        <f aca="false">SUM(K2:K3)</f>
        <v>36337.3916666667</v>
      </c>
      <c r="L4" s="13" t="n">
        <f aca="false">SUM(L2:L3)</f>
        <v>31337.3916666667</v>
      </c>
      <c r="M4" s="13" t="n">
        <f aca="false">SUM(M2:M3)</f>
        <v>27340.6516666667</v>
      </c>
      <c r="N4" s="13" t="n">
        <f aca="false">SUM(N2:N3)</f>
        <v>32340.6516666667</v>
      </c>
      <c r="O4" s="13" t="n">
        <f aca="false">SUM(O2:O3)</f>
        <v>32340.6516666667</v>
      </c>
      <c r="P4" s="13" t="n">
        <f aca="false">SUM(P2:P3)</f>
        <v>32340.6516666667</v>
      </c>
      <c r="Q4" s="13" t="n">
        <f aca="false">SUM(Q2:Q3)</f>
        <v>8035.07166666667</v>
      </c>
      <c r="R4" s="13" t="n">
        <f aca="false">SUM(R2:R3)</f>
        <v>8035.07166666667</v>
      </c>
      <c r="S4" s="13" t="n">
        <f aca="false">SUM(S2:S3)</f>
        <v>753650.635</v>
      </c>
    </row>
    <row r="5" customFormat="false" ht="12.75" hidden="false" customHeight="false" outlineLevel="0" collapsed="false">
      <c r="A5" s="10" t="s">
        <v>24</v>
      </c>
      <c r="B5" s="8" t="n">
        <v>710.53</v>
      </c>
      <c r="C5" s="8" t="n">
        <v>0</v>
      </c>
      <c r="D5" s="8" t="n">
        <f aca="false">B5+C5</f>
        <v>710.53</v>
      </c>
      <c r="E5" s="14"/>
      <c r="F5" s="1" t="s">
        <v>25</v>
      </c>
      <c r="G5" s="15" t="n">
        <v>-6593.62</v>
      </c>
      <c r="H5" s="15" t="n">
        <v>-6058</v>
      </c>
      <c r="I5" s="15" t="n">
        <v>-202.41</v>
      </c>
      <c r="J5" s="2" t="n">
        <v>-7159.06555556923</v>
      </c>
      <c r="K5" s="2" t="n">
        <v>-6508.24141415385</v>
      </c>
      <c r="L5" s="2" t="n">
        <v>-6833.65348486154</v>
      </c>
      <c r="M5" s="2" t="n">
        <v>-6508.24141415385</v>
      </c>
      <c r="N5" s="2" t="n">
        <v>-6508.24141415385</v>
      </c>
      <c r="O5" s="2" t="n">
        <v>-7159.06555556923</v>
      </c>
      <c r="P5" s="2" t="n">
        <v>-6508.24141415385</v>
      </c>
      <c r="Q5" s="2" t="n">
        <v>-6833.65348486154</v>
      </c>
      <c r="R5" s="2" t="n">
        <v>-6833.65348486154</v>
      </c>
      <c r="S5" s="14" t="n">
        <f aca="false">SUM(G5:R5)</f>
        <v>-73706.0872223385</v>
      </c>
    </row>
    <row r="6" customFormat="false" ht="12.75" hidden="false" customHeight="false" outlineLevel="0" collapsed="false">
      <c r="A6" s="10"/>
      <c r="B6" s="8"/>
      <c r="C6" s="8"/>
      <c r="D6" s="8"/>
      <c r="F6" s="1" t="s">
        <v>26</v>
      </c>
      <c r="G6" s="15" t="n">
        <v>-849.03</v>
      </c>
      <c r="H6" s="15" t="n">
        <v>-711.83</v>
      </c>
      <c r="I6" s="15" t="n">
        <v>-355</v>
      </c>
      <c r="J6" s="2" t="n">
        <v>-859.087866668308</v>
      </c>
      <c r="K6" s="2" t="n">
        <v>-780.988969698462</v>
      </c>
      <c r="L6" s="2" t="n">
        <v>-820.038418183385</v>
      </c>
      <c r="M6" s="2" t="n">
        <v>-780.988969698462</v>
      </c>
      <c r="N6" s="2" t="n">
        <v>-780.988969698462</v>
      </c>
      <c r="O6" s="2" t="n">
        <v>-859.087866668308</v>
      </c>
      <c r="P6" s="2" t="n">
        <v>-780.988969698462</v>
      </c>
      <c r="Q6" s="2" t="n">
        <v>-820.038418183385</v>
      </c>
      <c r="R6" s="2" t="n">
        <v>-820.038418183385</v>
      </c>
      <c r="S6" s="14" t="n">
        <f aca="false">SUM(G6:R6)</f>
        <v>-9218.10686668062</v>
      </c>
    </row>
    <row r="7" customFormat="false" ht="12.75" hidden="false" customHeight="false" outlineLevel="0" collapsed="false">
      <c r="A7" s="10" t="s">
        <v>27</v>
      </c>
      <c r="B7" s="8" t="n">
        <v>375</v>
      </c>
      <c r="C7" s="8" t="n">
        <v>0</v>
      </c>
      <c r="D7" s="8" t="n">
        <f aca="false">B7+C7</f>
        <v>375</v>
      </c>
      <c r="E7" s="1" t="s">
        <v>28</v>
      </c>
      <c r="F7" s="16" t="s">
        <v>29</v>
      </c>
      <c r="G7" s="7" t="n">
        <v>-98640.79</v>
      </c>
      <c r="H7" s="7" t="n">
        <v>-68727.42</v>
      </c>
      <c r="I7" s="7" t="n">
        <v>-213242.37</v>
      </c>
      <c r="J7" s="8" t="n">
        <v>-50030.9458333333</v>
      </c>
      <c r="K7" s="8" t="n">
        <v>-18168.6958333333</v>
      </c>
      <c r="L7" s="8" t="n">
        <v>-15668.6958333333</v>
      </c>
      <c r="M7" s="8" t="n">
        <v>-13670.3258333333</v>
      </c>
      <c r="N7" s="8" t="n">
        <v>-16170.3258333333</v>
      </c>
      <c r="O7" s="8" t="n">
        <v>-16170.3258333333</v>
      </c>
      <c r="P7" s="8" t="n">
        <v>-16170.3258333333</v>
      </c>
      <c r="Q7" s="8" t="n">
        <v>-4017.53583333333</v>
      </c>
      <c r="R7" s="8" t="n">
        <v>-4017.53583333333</v>
      </c>
      <c r="S7" s="8" t="n">
        <f aca="false">SUM(G7:R7)</f>
        <v>-534695.2925</v>
      </c>
    </row>
    <row r="8" customFormat="false" ht="12.75" hidden="false" customHeight="false" outlineLevel="0" collapsed="false">
      <c r="A8" s="10"/>
      <c r="B8" s="8"/>
      <c r="C8" s="8"/>
      <c r="D8" s="8"/>
      <c r="F8" s="16" t="s">
        <v>30</v>
      </c>
      <c r="G8" s="7" t="n">
        <v>0</v>
      </c>
      <c r="H8" s="7" t="n">
        <v>0</v>
      </c>
      <c r="I8" s="7" t="n">
        <v>0</v>
      </c>
      <c r="J8" s="8" t="n">
        <v>-287.5</v>
      </c>
      <c r="K8" s="8" t="n">
        <v>-287.5</v>
      </c>
      <c r="L8" s="8" t="n">
        <v>-287.5</v>
      </c>
      <c r="M8" s="8" t="n">
        <v>-287.5</v>
      </c>
      <c r="N8" s="8" t="n">
        <v>-287.5</v>
      </c>
      <c r="O8" s="8" t="n">
        <v>-287.5</v>
      </c>
      <c r="P8" s="8" t="n">
        <v>-287.5</v>
      </c>
      <c r="Q8" s="8" t="n">
        <v>-287.5</v>
      </c>
      <c r="R8" s="8" t="n">
        <v>-287.5</v>
      </c>
      <c r="S8" s="8" t="n">
        <f aca="false">SUM(G8:R8)</f>
        <v>-2587.5</v>
      </c>
    </row>
    <row r="9" customFormat="false" ht="12.75" hidden="false" customHeight="false" outlineLevel="0" collapsed="false">
      <c r="A9" s="10"/>
      <c r="B9" s="8"/>
      <c r="C9" s="8"/>
      <c r="D9" s="8"/>
      <c r="F9" s="16" t="s">
        <v>31</v>
      </c>
      <c r="G9" s="7" t="n">
        <v>-280.93</v>
      </c>
      <c r="H9" s="7" t="n">
        <v>-278.28</v>
      </c>
      <c r="I9" s="7" t="n">
        <v>-759.33</v>
      </c>
      <c r="J9" s="8" t="n">
        <v>0</v>
      </c>
      <c r="K9" s="8" t="n">
        <v>-1648.92561630832</v>
      </c>
      <c r="L9" s="8" t="n">
        <v>-353.9918</v>
      </c>
      <c r="M9" s="8" t="n">
        <v>-16.448</v>
      </c>
      <c r="N9" s="8" t="n">
        <v>-333.75048</v>
      </c>
      <c r="O9" s="8" t="n">
        <v>-586.92951968661</v>
      </c>
      <c r="P9" s="8" t="n">
        <v>-576.261471352271</v>
      </c>
      <c r="Q9" s="8" t="n">
        <v>-558.41988</v>
      </c>
      <c r="R9" s="8" t="n">
        <v>-5960.57016</v>
      </c>
      <c r="S9" s="8" t="n">
        <f aca="false">SUM(G9:R9)</f>
        <v>-11353.8369273472</v>
      </c>
    </row>
    <row r="10" customFormat="false" ht="12.75" hidden="false" customHeight="false" outlineLevel="0" collapsed="false">
      <c r="A10" s="10" t="s">
        <v>32</v>
      </c>
      <c r="B10" s="8" t="n">
        <v>11089.8</v>
      </c>
      <c r="C10" s="8" t="n">
        <v>998</v>
      </c>
      <c r="D10" s="8" t="n">
        <f aca="false">B10+C10</f>
        <v>12087.8</v>
      </c>
      <c r="E10" s="11"/>
      <c r="F10" s="12" t="s">
        <v>33</v>
      </c>
      <c r="G10" s="17" t="n">
        <f aca="false">+SUM(G5:G9)</f>
        <v>-106364.37</v>
      </c>
      <c r="H10" s="17" t="n">
        <f aca="false">+SUM(H5:H9)</f>
        <v>-75775.53</v>
      </c>
      <c r="I10" s="17" t="n">
        <f aca="false">+SUM(I5:I9)</f>
        <v>-214559.11</v>
      </c>
      <c r="J10" s="17" t="n">
        <f aca="false">+SUM(J5:J9)</f>
        <v>-58336.5992555709</v>
      </c>
      <c r="K10" s="17" t="n">
        <f aca="false">+SUM(K5:K9)</f>
        <v>-27394.351833494</v>
      </c>
      <c r="L10" s="17" t="n">
        <f aca="false">+SUM(L5:L9)</f>
        <v>-23963.8795363783</v>
      </c>
      <c r="M10" s="17" t="n">
        <f aca="false">+SUM(M5:M9)</f>
        <v>-21263.5042171856</v>
      </c>
      <c r="N10" s="17" t="n">
        <f aca="false">+SUM(N5:N9)</f>
        <v>-24080.8066971856</v>
      </c>
      <c r="O10" s="17" t="n">
        <f aca="false">+SUM(O5:O9)</f>
        <v>-25062.9087752575</v>
      </c>
      <c r="P10" s="17" t="n">
        <f aca="false">+SUM(P5:P9)</f>
        <v>-24323.3176885379</v>
      </c>
      <c r="Q10" s="17" t="n">
        <f aca="false">+SUM(Q5:Q9)</f>
        <v>-12517.1476163783</v>
      </c>
      <c r="R10" s="17" t="n">
        <f aca="false">+SUM(R5:R9)</f>
        <v>-17919.2978963783</v>
      </c>
      <c r="S10" s="17" t="n">
        <f aca="false">SUM(G10:R10)</f>
        <v>-631560.823516366</v>
      </c>
      <c r="T10" s="9" t="b">
        <f aca="false">FALSE()</f>
        <v>0</v>
      </c>
    </row>
    <row r="11" customFormat="false" ht="12.75" hidden="false" customHeight="false" outlineLevel="0" collapsed="false">
      <c r="A11" s="10" t="s">
        <v>34</v>
      </c>
      <c r="B11" s="8" t="n">
        <v>22594</v>
      </c>
      <c r="C11" s="8" t="n">
        <v>400</v>
      </c>
      <c r="D11" s="8" t="n">
        <f aca="false">B11+C11</f>
        <v>22994</v>
      </c>
      <c r="E11" s="1" t="s">
        <v>35</v>
      </c>
      <c r="F11" s="1" t="s">
        <v>36</v>
      </c>
      <c r="G11" s="2" t="n">
        <v>-339.388333333333</v>
      </c>
      <c r="H11" s="2" t="n">
        <f aca="false">G11</f>
        <v>-339.388333333333</v>
      </c>
      <c r="I11" s="2" t="n">
        <f aca="false">H11</f>
        <v>-339.388333333333</v>
      </c>
      <c r="J11" s="2" t="n">
        <v>-339.388333333333</v>
      </c>
      <c r="K11" s="2" t="n">
        <v>-339.388333333333</v>
      </c>
      <c r="L11" s="2" t="n">
        <v>-339.388333333333</v>
      </c>
      <c r="M11" s="2" t="n">
        <v>-339.388333333333</v>
      </c>
      <c r="N11" s="2" t="n">
        <v>-339.388333333333</v>
      </c>
      <c r="O11" s="2" t="n">
        <v>-339.388333333333</v>
      </c>
      <c r="P11" s="2" t="n">
        <v>-339.388333333333</v>
      </c>
      <c r="Q11" s="2" t="n">
        <v>-339.388333333333</v>
      </c>
      <c r="R11" s="2" t="n">
        <v>-339.388333333333</v>
      </c>
      <c r="S11" s="14" t="n">
        <f aca="false">SUM(G11:R11)</f>
        <v>-4072.66</v>
      </c>
      <c r="V11" s="14"/>
    </row>
    <row r="12" customFormat="false" ht="12.75" hidden="false" customHeight="false" outlineLevel="0" collapsed="false">
      <c r="A12" s="10" t="s">
        <v>37</v>
      </c>
      <c r="B12" s="8" t="n">
        <v>86019.07</v>
      </c>
      <c r="C12" s="8" t="n">
        <v>0</v>
      </c>
      <c r="D12" s="8" t="n">
        <f aca="false">B12+C12</f>
        <v>86019.07</v>
      </c>
      <c r="E12" s="1" t="s">
        <v>38</v>
      </c>
      <c r="F12" s="1" t="s">
        <v>39</v>
      </c>
      <c r="G12" s="2" t="n">
        <v>-407.455</v>
      </c>
      <c r="H12" s="2" t="n">
        <f aca="false">G12</f>
        <v>-407.455</v>
      </c>
      <c r="I12" s="2" t="n">
        <f aca="false">H12</f>
        <v>-407.455</v>
      </c>
      <c r="J12" s="2" t="n">
        <v>-407.455</v>
      </c>
      <c r="K12" s="2" t="n">
        <v>-407.455</v>
      </c>
      <c r="L12" s="2" t="n">
        <v>-407.455</v>
      </c>
      <c r="M12" s="2" t="n">
        <v>-407.455</v>
      </c>
      <c r="N12" s="2" t="n">
        <v>-407.455</v>
      </c>
      <c r="O12" s="2" t="n">
        <v>-407.455</v>
      </c>
      <c r="P12" s="2" t="n">
        <v>-407.455</v>
      </c>
      <c r="Q12" s="2" t="n">
        <v>-407.455</v>
      </c>
      <c r="R12" s="2" t="n">
        <v>-407.455</v>
      </c>
      <c r="S12" s="14" t="n">
        <f aca="false">SUM(G12:R12)</f>
        <v>-4889.46</v>
      </c>
    </row>
    <row r="13" customFormat="false" ht="12.75" hidden="false" customHeight="false" outlineLevel="0" collapsed="false">
      <c r="A13" s="10" t="s">
        <v>40</v>
      </c>
      <c r="B13" s="8" t="n">
        <v>32579.72</v>
      </c>
      <c r="C13" s="8" t="n">
        <v>89929</v>
      </c>
      <c r="D13" s="8" t="n">
        <f aca="false">B13+C13</f>
        <v>122508.72</v>
      </c>
      <c r="E13" s="1" t="s">
        <v>41</v>
      </c>
      <c r="F13" s="1" t="s">
        <v>42</v>
      </c>
      <c r="G13" s="18" t="n">
        <v>-6684.71568154762</v>
      </c>
      <c r="H13" s="18" t="n">
        <v>-6684.71568154762</v>
      </c>
      <c r="I13" s="18" t="n">
        <v>-6684.71568154762</v>
      </c>
      <c r="J13" s="18" t="n">
        <v>-6684.71568154762</v>
      </c>
      <c r="K13" s="18" t="n">
        <v>-6684.71568154762</v>
      </c>
      <c r="L13" s="18" t="n">
        <v>-6684.71568154762</v>
      </c>
      <c r="M13" s="18" t="n">
        <v>-6684.71568154762</v>
      </c>
      <c r="N13" s="18" t="n">
        <v>-6684.71568154762</v>
      </c>
      <c r="O13" s="18" t="n">
        <v>-6684.71568154762</v>
      </c>
      <c r="P13" s="18" t="n">
        <v>-6684.71568154762</v>
      </c>
      <c r="Q13" s="18" t="n">
        <v>-6684.71568154762</v>
      </c>
      <c r="R13" s="18" t="n">
        <v>-6684.71568154762</v>
      </c>
      <c r="S13" s="14" t="n">
        <f aca="false">SUM(G13:R13)</f>
        <v>-80216.5881785714</v>
      </c>
    </row>
    <row r="14" customFormat="false" ht="12.75" hidden="false" customHeight="false" outlineLevel="0" collapsed="false">
      <c r="A14" s="10" t="s">
        <v>43</v>
      </c>
      <c r="B14" s="8" t="n">
        <v>0</v>
      </c>
      <c r="C14" s="8" t="n">
        <v>2702.32</v>
      </c>
      <c r="D14" s="8" t="n">
        <f aca="false">B14+C14</f>
        <v>2702.32</v>
      </c>
      <c r="E14" s="1" t="s">
        <v>41</v>
      </c>
      <c r="F14" s="1" t="s">
        <v>44</v>
      </c>
      <c r="G14" s="2" t="n">
        <v>-70</v>
      </c>
      <c r="H14" s="2" t="n">
        <v>-70</v>
      </c>
      <c r="I14" s="2" t="n">
        <v>-70</v>
      </c>
      <c r="J14" s="2" t="n">
        <v>-70</v>
      </c>
      <c r="K14" s="2" t="n">
        <v>-70</v>
      </c>
      <c r="L14" s="2" t="n">
        <v>-70</v>
      </c>
      <c r="M14" s="2" t="n">
        <v>-70</v>
      </c>
      <c r="N14" s="2" t="n">
        <v>-70</v>
      </c>
      <c r="O14" s="2" t="n">
        <v>-70</v>
      </c>
      <c r="P14" s="2" t="n">
        <v>-70</v>
      </c>
      <c r="Q14" s="2" t="n">
        <v>-70</v>
      </c>
      <c r="R14" s="2" t="n">
        <v>-70</v>
      </c>
      <c r="S14" s="14" t="n">
        <f aca="false">SUM(G14:R14)</f>
        <v>-840</v>
      </c>
    </row>
    <row r="15" customFormat="false" ht="12.75" hidden="false" customHeight="false" outlineLevel="0" collapsed="false">
      <c r="A15" s="10"/>
      <c r="B15" s="8"/>
      <c r="C15" s="8"/>
      <c r="D15" s="8" t="n">
        <f aca="false">B15+C15</f>
        <v>0</v>
      </c>
      <c r="E15" s="1" t="s">
        <v>45</v>
      </c>
      <c r="F15" s="16" t="s">
        <v>46</v>
      </c>
      <c r="G15" s="2" t="n">
        <v>-200</v>
      </c>
      <c r="H15" s="2" t="n">
        <v>-200</v>
      </c>
      <c r="I15" s="2" t="n">
        <v>-200</v>
      </c>
      <c r="J15" s="2" t="n">
        <v>-200</v>
      </c>
      <c r="K15" s="2" t="n">
        <v>-200</v>
      </c>
      <c r="L15" s="2" t="n">
        <v>-200</v>
      </c>
      <c r="M15" s="2" t="n">
        <v>-200</v>
      </c>
      <c r="N15" s="2" t="n">
        <v>-200</v>
      </c>
      <c r="O15" s="2" t="n">
        <v>-200</v>
      </c>
      <c r="P15" s="2" t="n">
        <v>-200</v>
      </c>
      <c r="Q15" s="2" t="n">
        <v>-200</v>
      </c>
      <c r="R15" s="2" t="n">
        <v>-200</v>
      </c>
      <c r="S15" s="14" t="n">
        <f aca="false">SUM(G15:R15)</f>
        <v>-2400</v>
      </c>
    </row>
    <row r="16" customFormat="false" ht="12.75" hidden="false" customHeight="false" outlineLevel="0" collapsed="false">
      <c r="A16" s="19"/>
      <c r="B16" s="20"/>
      <c r="C16" s="20"/>
      <c r="D16" s="20"/>
      <c r="E16" s="1" t="s">
        <v>45</v>
      </c>
      <c r="F16" s="1" t="s">
        <v>47</v>
      </c>
      <c r="G16" s="2" t="n">
        <v>-6437.15620923077</v>
      </c>
      <c r="H16" s="2" t="n">
        <v>-5765.45295261539</v>
      </c>
      <c r="I16" s="2" t="n">
        <v>-7159.06555556923</v>
      </c>
      <c r="J16" s="2" t="n">
        <v>-7159.06555556923</v>
      </c>
      <c r="K16" s="2" t="n">
        <v>-6508.24141415385</v>
      </c>
      <c r="L16" s="2" t="n">
        <v>-6833.65348486154</v>
      </c>
      <c r="M16" s="2" t="n">
        <v>-6508.24141415385</v>
      </c>
      <c r="N16" s="2" t="n">
        <v>-6508.24141415385</v>
      </c>
      <c r="O16" s="2" t="n">
        <v>-7159.06555556923</v>
      </c>
      <c r="P16" s="2" t="n">
        <v>-6508.24141415385</v>
      </c>
      <c r="Q16" s="2" t="n">
        <v>-6833.65348486154</v>
      </c>
      <c r="R16" s="2" t="n">
        <v>-6833.65348486154</v>
      </c>
      <c r="S16" s="14" t="n">
        <f aca="false">SUM(G16:R16)</f>
        <v>-80213.7319397539</v>
      </c>
    </row>
    <row r="17" customFormat="false" ht="12.75" hidden="false" customHeight="false" outlineLevel="0" collapsed="false">
      <c r="A17" s="19"/>
      <c r="B17" s="20"/>
      <c r="C17" s="20"/>
      <c r="D17" s="20"/>
      <c r="E17" s="1" t="s">
        <v>45</v>
      </c>
      <c r="F17" s="1" t="s">
        <v>48</v>
      </c>
      <c r="G17" s="2" t="n">
        <v>-772.458745107692</v>
      </c>
      <c r="H17" s="2" t="n">
        <v>-691.854354313846</v>
      </c>
      <c r="I17" s="2" t="n">
        <v>-859.087866668308</v>
      </c>
      <c r="J17" s="2" t="n">
        <v>-859.087866668308</v>
      </c>
      <c r="K17" s="2" t="n">
        <v>-780.988969698462</v>
      </c>
      <c r="L17" s="2" t="n">
        <v>-820.038418183385</v>
      </c>
      <c r="M17" s="2" t="n">
        <v>-780.988969698462</v>
      </c>
      <c r="N17" s="2" t="n">
        <v>-780.988969698462</v>
      </c>
      <c r="O17" s="2" t="n">
        <v>-859.087866668308</v>
      </c>
      <c r="P17" s="2" t="n">
        <v>-780.988969698462</v>
      </c>
      <c r="Q17" s="2" t="n">
        <v>-820.038418183385</v>
      </c>
      <c r="R17" s="2" t="n">
        <v>-820.038418183385</v>
      </c>
      <c r="S17" s="14" t="n">
        <f aca="false">SUM(G17:R17)</f>
        <v>-9625.64783277046</v>
      </c>
    </row>
    <row r="18" customFormat="false" ht="12.75" hidden="false" customHeight="false" outlineLevel="0" collapsed="false">
      <c r="A18" s="19"/>
      <c r="B18" s="20"/>
      <c r="C18" s="20"/>
      <c r="D18" s="20"/>
      <c r="E18" s="1" t="s">
        <v>41</v>
      </c>
      <c r="F18" s="1" t="s">
        <v>49</v>
      </c>
      <c r="G18" s="2" t="n">
        <f aca="false">-((5054.65/65)*1)/12</f>
        <v>-6.48032051282051</v>
      </c>
      <c r="H18" s="2" t="n">
        <f aca="false">G18</f>
        <v>-6.48032051282051</v>
      </c>
      <c r="I18" s="2" t="n">
        <f aca="false">H18</f>
        <v>-6.48032051282051</v>
      </c>
      <c r="J18" s="2" t="n">
        <v>-6.48032051282051</v>
      </c>
      <c r="K18" s="2" t="n">
        <v>-6.48032051282051</v>
      </c>
      <c r="L18" s="2" t="n">
        <v>-6.48032051282051</v>
      </c>
      <c r="M18" s="2" t="n">
        <v>-6.48032051282051</v>
      </c>
      <c r="N18" s="2" t="n">
        <v>-6.48032051282051</v>
      </c>
      <c r="O18" s="2" t="n">
        <v>-6.48032051282051</v>
      </c>
      <c r="P18" s="2" t="n">
        <v>-6.48032051282051</v>
      </c>
      <c r="Q18" s="2" t="n">
        <v>-6.48032051282051</v>
      </c>
      <c r="R18" s="2" t="n">
        <v>-6.48032051282051</v>
      </c>
      <c r="S18" s="14" t="n">
        <f aca="false">SUM(G18:R18)</f>
        <v>-77.7638461538462</v>
      </c>
    </row>
    <row r="19" customFormat="false" ht="12.75" hidden="false" customHeight="false" outlineLevel="0" collapsed="false">
      <c r="A19" s="19" t="s">
        <v>50</v>
      </c>
      <c r="B19" s="20" t="n">
        <v>-81167.06</v>
      </c>
      <c r="C19" s="20" t="n">
        <v>0</v>
      </c>
      <c r="D19" s="20" t="n">
        <f aca="false">B19+C19</f>
        <v>-81167.06</v>
      </c>
      <c r="E19" s="1" t="s">
        <v>41</v>
      </c>
      <c r="F19" s="1" t="s">
        <v>51</v>
      </c>
      <c r="G19" s="2" t="n">
        <v>-250</v>
      </c>
      <c r="H19" s="2" t="n">
        <v>-250</v>
      </c>
      <c r="I19" s="2" t="n">
        <v>-250</v>
      </c>
      <c r="J19" s="2" t="n">
        <v>-250</v>
      </c>
      <c r="K19" s="2" t="n">
        <v>-250</v>
      </c>
      <c r="L19" s="2" t="n">
        <v>-250</v>
      </c>
      <c r="M19" s="2" t="n">
        <v>-250</v>
      </c>
      <c r="N19" s="2" t="n">
        <v>-250</v>
      </c>
      <c r="O19" s="2" t="n">
        <v>-250</v>
      </c>
      <c r="P19" s="2" t="n">
        <v>-250</v>
      </c>
      <c r="Q19" s="2" t="n">
        <v>-250</v>
      </c>
      <c r="R19" s="2" t="n">
        <v>-250</v>
      </c>
      <c r="S19" s="14" t="n">
        <f aca="false">SUM(G19:R19)</f>
        <v>-3000</v>
      </c>
    </row>
    <row r="20" customFormat="false" ht="12.75" hidden="false" customHeight="false" outlineLevel="0" collapsed="false">
      <c r="A20" s="10" t="s">
        <v>52</v>
      </c>
      <c r="B20" s="8" t="n">
        <v>-25305.04</v>
      </c>
      <c r="C20" s="8" t="n">
        <v>-17540</v>
      </c>
      <c r="D20" s="8" t="n">
        <f aca="false">B20+C20</f>
        <v>-42845.04</v>
      </c>
      <c r="E20" s="21"/>
      <c r="F20" s="12" t="s">
        <v>53</v>
      </c>
      <c r="G20" s="13" t="n">
        <f aca="false">SUM(G11:G19)</f>
        <v>-15167.6542897322</v>
      </c>
      <c r="H20" s="13" t="n">
        <f aca="false">SUM(H11:H19)</f>
        <v>-14415.346642323</v>
      </c>
      <c r="I20" s="13" t="n">
        <f aca="false">SUM(I11:I19)</f>
        <v>-15976.1927576313</v>
      </c>
      <c r="J20" s="13" t="n">
        <f aca="false">SUM(J11:J19)</f>
        <v>-15976.1927576313</v>
      </c>
      <c r="K20" s="13" t="n">
        <f aca="false">SUM(K11:K19)</f>
        <v>-15247.2697192461</v>
      </c>
      <c r="L20" s="13" t="n">
        <f aca="false">SUM(L11:L19)</f>
        <v>-15611.7312384387</v>
      </c>
      <c r="M20" s="13" t="n">
        <f aca="false">SUM(M11:M19)</f>
        <v>-15247.2697192461</v>
      </c>
      <c r="N20" s="13" t="n">
        <f aca="false">SUM(N11:N19)</f>
        <v>-15247.2697192461</v>
      </c>
      <c r="O20" s="13" t="n">
        <f aca="false">SUM(O11:O19)</f>
        <v>-15976.1927576313</v>
      </c>
      <c r="P20" s="13" t="n">
        <f aca="false">SUM(P11:P19)</f>
        <v>-15247.2697192461</v>
      </c>
      <c r="Q20" s="13" t="n">
        <f aca="false">SUM(Q11:Q19)</f>
        <v>-15611.7312384387</v>
      </c>
      <c r="R20" s="13" t="n">
        <f aca="false">SUM(R11:R19)</f>
        <v>-15611.7312384387</v>
      </c>
      <c r="S20" s="13" t="n">
        <f aca="false">SUM(G20:R20)</f>
        <v>-185335.85179725</v>
      </c>
    </row>
    <row r="21" customFormat="false" ht="12.75" hidden="false" customHeight="false" outlineLevel="0" collapsed="false">
      <c r="A21" s="10" t="s">
        <v>54</v>
      </c>
      <c r="B21" s="8" t="n">
        <v>-4495</v>
      </c>
      <c r="C21" s="8" t="n">
        <v>0</v>
      </c>
      <c r="D21" s="8" t="n">
        <f aca="false">B21+C21</f>
        <v>-4495</v>
      </c>
      <c r="F21" s="12" t="s">
        <v>55</v>
      </c>
      <c r="G21" s="13" t="n">
        <f aca="false">+G4+G10</f>
        <v>6438.87000000001</v>
      </c>
      <c r="H21" s="13" t="n">
        <f aca="false">+H4+H10</f>
        <v>18512.96</v>
      </c>
      <c r="I21" s="13" t="n">
        <f aca="false">+I4+I10</f>
        <v>23830.37</v>
      </c>
      <c r="J21" s="13" t="n">
        <f aca="false">+J4+J10</f>
        <v>41725.2924110958</v>
      </c>
      <c r="K21" s="13" t="n">
        <f aca="false">+K4+K10</f>
        <v>8943.03983317271</v>
      </c>
      <c r="L21" s="13" t="n">
        <f aca="false">+L4+L10</f>
        <v>7373.51213028841</v>
      </c>
      <c r="M21" s="13" t="n">
        <f aca="false">+M4+M10</f>
        <v>6077.14744948103</v>
      </c>
      <c r="N21" s="13" t="n">
        <f aca="false">+N4+N10</f>
        <v>8259.84496948103</v>
      </c>
      <c r="O21" s="13" t="n">
        <f aca="false">+O4+O10</f>
        <v>7277.74289140919</v>
      </c>
      <c r="P21" s="13" t="n">
        <f aca="false">+P4+P10</f>
        <v>8017.33397812876</v>
      </c>
      <c r="Q21" s="13" t="n">
        <f aca="false">+Q4+Q10</f>
        <v>-4482.07594971159</v>
      </c>
      <c r="R21" s="13" t="n">
        <f aca="false">+R4+R10</f>
        <v>-9884.22622971159</v>
      </c>
      <c r="S21" s="13" t="n">
        <f aca="false">SUM(G21:R21)</f>
        <v>122089.811483634</v>
      </c>
    </row>
    <row r="22" customFormat="false" ht="12.75" hidden="false" customHeight="false" outlineLevel="0" collapsed="false">
      <c r="A22" s="10" t="s">
        <v>56</v>
      </c>
      <c r="B22" s="8" t="n">
        <v>-150</v>
      </c>
      <c r="C22" s="8" t="n">
        <v>0</v>
      </c>
      <c r="D22" s="8" t="n">
        <f aca="false">B22+C22</f>
        <v>-150</v>
      </c>
      <c r="E22" s="22"/>
      <c r="F22" s="23" t="s">
        <v>57</v>
      </c>
      <c r="G22" s="24" t="n">
        <f aca="false">+G21/G4</f>
        <v>0.0570805413036009</v>
      </c>
      <c r="H22" s="24" t="n">
        <f aca="false">+H21/H4</f>
        <v>0.196343795515232</v>
      </c>
      <c r="I22" s="24" t="n">
        <f aca="false">+I21/I4</f>
        <v>0.0999640168685297</v>
      </c>
      <c r="J22" s="24" t="n">
        <f aca="false">+J21/J4</f>
        <v>0.416994839055153</v>
      </c>
      <c r="K22" s="24" t="n">
        <f aca="false">+K21/K4</f>
        <v>0.246111221058731</v>
      </c>
      <c r="L22" s="24" t="n">
        <f aca="false">+L21/L4</f>
        <v>0.23529437959355</v>
      </c>
      <c r="M22" s="24" t="n">
        <f aca="false">+M21/M4</f>
        <v>0.222275149969823</v>
      </c>
      <c r="N22" s="24" t="n">
        <f aca="false">+N21/N4</f>
        <v>0.255401315181116</v>
      </c>
      <c r="O22" s="24" t="n">
        <f aca="false">+O21/O4</f>
        <v>0.225033897474315</v>
      </c>
      <c r="P22" s="24" t="n">
        <f aca="false">+P21/P4</f>
        <v>0.24790267248672</v>
      </c>
      <c r="Q22" s="24" t="n">
        <f aca="false">+Q21/Q4</f>
        <v>-0.55781406011665</v>
      </c>
      <c r="R22" s="24" t="n">
        <f aca="false">+R21/R4</f>
        <v>-1.23013541630451</v>
      </c>
      <c r="S22" s="24" t="n">
        <f aca="false">+S21/S4</f>
        <v>0.161997888429609</v>
      </c>
    </row>
    <row r="23" customFormat="false" ht="12.75" hidden="false" customHeight="false" outlineLevel="0" collapsed="false">
      <c r="A23" s="10" t="s">
        <v>58</v>
      </c>
      <c r="B23" s="8" t="n">
        <v>-43.41</v>
      </c>
      <c r="C23" s="8" t="n">
        <v>0</v>
      </c>
      <c r="D23" s="8" t="n">
        <f aca="false">B23+C23</f>
        <v>-43.41</v>
      </c>
      <c r="F23" s="23" t="s">
        <v>59</v>
      </c>
      <c r="G23" s="2" t="n">
        <f aca="false">G21-G33</f>
        <v>-15034.26</v>
      </c>
      <c r="H23" s="2" t="n">
        <f aca="false">H21-H33</f>
        <v>-1708.44</v>
      </c>
      <c r="I23" s="2" t="n">
        <f aca="false">I21-I33</f>
        <v>-10128.54</v>
      </c>
      <c r="J23" s="2" t="n">
        <f aca="false">J21-J33</f>
        <v>12422.0052119817</v>
      </c>
      <c r="K23" s="2" t="n">
        <f aca="false">K21-K33</f>
        <v>-19631.3243275562</v>
      </c>
      <c r="L23" s="2" t="n">
        <f aca="false">L21-L33</f>
        <v>-21565.3135496332</v>
      </c>
      <c r="M23" s="2" t="n">
        <f aca="false">M21-M33</f>
        <v>-22497.2167112479</v>
      </c>
      <c r="N23" s="2" t="n">
        <f aca="false">N21-N33</f>
        <v>-20314.5191912479</v>
      </c>
      <c r="O23" s="2" t="n">
        <f aca="false">O21-O33</f>
        <v>-22025.544307705</v>
      </c>
      <c r="P23" s="2" t="n">
        <f aca="false">P21-P33</f>
        <v>-20557.0301826002</v>
      </c>
      <c r="Q23" s="2" t="n">
        <f aca="false">Q21-Q33</f>
        <v>-33420.9016296332</v>
      </c>
      <c r="R23" s="2" t="n">
        <f aca="false">R21-R33</f>
        <v>-38823.0519096331</v>
      </c>
      <c r="S23" s="25" t="n">
        <f aca="false">SUM(G23:R23)</f>
        <v>-213284.136597275</v>
      </c>
    </row>
    <row r="24" customFormat="false" ht="12.75" hidden="false" customHeight="false" outlineLevel="0" collapsed="false">
      <c r="A24" s="10" t="s">
        <v>60</v>
      </c>
      <c r="B24" s="8" t="n">
        <v>-5451.8</v>
      </c>
      <c r="C24" s="8" t="n">
        <v>-2974.51</v>
      </c>
      <c r="D24" s="8" t="n">
        <f aca="false">B24+C24</f>
        <v>-8426.31</v>
      </c>
      <c r="F24" s="23" t="s">
        <v>61</v>
      </c>
      <c r="G24" s="24" t="n">
        <f aca="false">+G23/G4</f>
        <v>-0.13327861859287</v>
      </c>
      <c r="H24" s="24" t="n">
        <f aca="false">+H23/H4</f>
        <v>-0.0181192847610561</v>
      </c>
      <c r="I24" s="24" t="n">
        <f aca="false">+I23/I4</f>
        <v>-0.0424873614389359</v>
      </c>
      <c r="J24" s="24" t="n">
        <f aca="false">+J23/J4</f>
        <v>0.124143217813258</v>
      </c>
      <c r="K24" s="24" t="n">
        <f aca="false">K23/K2</f>
        <v>-0.540251334152985</v>
      </c>
      <c r="L24" s="24" t="n">
        <f aca="false">+L23/L4</f>
        <v>-0.688165555672969</v>
      </c>
      <c r="M24" s="24" t="n">
        <f aca="false">+M23/M4</f>
        <v>-0.822848591377074</v>
      </c>
      <c r="N24" s="24" t="n">
        <f aca="false">+N23/N4</f>
        <v>-0.628141924925588</v>
      </c>
      <c r="O24" s="24" t="n">
        <f aca="false">+O23/O4</f>
        <v>-0.681048252667295</v>
      </c>
      <c r="P24" s="24" t="n">
        <f aca="false">+P23/P4</f>
        <v>-0.635640567619984</v>
      </c>
      <c r="Q24" s="24" t="n">
        <f aca="false">+Q23/Q4</f>
        <v>-4.15937816314434</v>
      </c>
      <c r="R24" s="24" t="n">
        <f aca="false">+R23/R4</f>
        <v>-4.8316995193322</v>
      </c>
      <c r="S24" s="24" t="n">
        <f aca="false">+S23/S4</f>
        <v>-0.283001336019938</v>
      </c>
    </row>
    <row r="25" customFormat="false" ht="12.75" hidden="false" customHeight="false" outlineLevel="0" collapsed="false">
      <c r="A25" s="10" t="s">
        <v>62</v>
      </c>
      <c r="B25" s="8" t="n">
        <v>-728.11</v>
      </c>
      <c r="C25" s="8" t="n">
        <v>-31205.26</v>
      </c>
      <c r="D25" s="8" t="n">
        <f aca="false">B25+C25</f>
        <v>-31933.37</v>
      </c>
    </row>
    <row r="26" customFormat="false" ht="12.75" hidden="false" customHeight="false" outlineLevel="0" collapsed="false">
      <c r="A26" s="10" t="s">
        <v>63</v>
      </c>
      <c r="B26" s="8" t="n">
        <v>0</v>
      </c>
      <c r="C26" s="8" t="n">
        <v>-115.84</v>
      </c>
      <c r="D26" s="8" t="n">
        <f aca="false">B26+C26</f>
        <v>-115.84</v>
      </c>
      <c r="F26" s="23" t="s">
        <v>64</v>
      </c>
      <c r="G26" s="14" t="n">
        <f aca="false">+G7+G20</f>
        <v>-113808.444289732</v>
      </c>
      <c r="H26" s="14" t="n">
        <f aca="false">+H7+H20</f>
        <v>-83142.766642323</v>
      </c>
      <c r="I26" s="14" t="n">
        <f aca="false">+I7+I20</f>
        <v>-229218.562757631</v>
      </c>
      <c r="J26" s="14" t="n">
        <f aca="false">+J7+J20</f>
        <v>-66007.1385909647</v>
      </c>
      <c r="K26" s="14" t="n">
        <f aca="false">+K7+K20</f>
        <v>-33415.9655525794</v>
      </c>
      <c r="L26" s="14" t="n">
        <f aca="false">+L7+L20</f>
        <v>-31280.427071772</v>
      </c>
      <c r="M26" s="14" t="n">
        <f aca="false">+M7+M20</f>
        <v>-28917.5955525794</v>
      </c>
      <c r="N26" s="14" t="n">
        <f aca="false">+N7+N20</f>
        <v>-31417.5955525794</v>
      </c>
      <c r="O26" s="14" t="n">
        <f aca="false">+O7+O20</f>
        <v>-32146.5185909646</v>
      </c>
      <c r="P26" s="14" t="n">
        <f aca="false">+P7+P20</f>
        <v>-31417.5955525794</v>
      </c>
      <c r="Q26" s="14" t="n">
        <f aca="false">+Q7+Q20</f>
        <v>-19629.267071772</v>
      </c>
      <c r="R26" s="14" t="n">
        <f aca="false">+R7+R20</f>
        <v>-19629.267071772</v>
      </c>
      <c r="S26" s="14" t="n">
        <f aca="false">+S7+S20</f>
        <v>-720031.14429725</v>
      </c>
    </row>
    <row r="27" customFormat="false" ht="12.75" hidden="false" customHeight="false" outlineLevel="0" collapsed="false">
      <c r="A27" s="10" t="s">
        <v>65</v>
      </c>
      <c r="B27" s="8" t="n">
        <v>-572.46</v>
      </c>
      <c r="C27" s="8" t="n">
        <v>-312.34</v>
      </c>
      <c r="D27" s="8" t="n">
        <f aca="false">B27+C27</f>
        <v>-884.8</v>
      </c>
    </row>
    <row r="28" customFormat="false" ht="12.75" hidden="false" customHeight="false" outlineLevel="0" collapsed="false">
      <c r="A28" s="10" t="s">
        <v>66</v>
      </c>
      <c r="B28" s="8" t="n">
        <v>-76.46</v>
      </c>
      <c r="C28" s="8" t="n">
        <v>-3244.7</v>
      </c>
      <c r="D28" s="8" t="n">
        <f aca="false">B28+C28</f>
        <v>-3321.16</v>
      </c>
      <c r="F28" s="1" t="s">
        <v>67</v>
      </c>
      <c r="G28" s="26" t="n">
        <v>2192.62</v>
      </c>
      <c r="H28" s="26" t="n">
        <v>1617.74</v>
      </c>
      <c r="I28" s="26" t="n">
        <v>4549.04</v>
      </c>
      <c r="J28" s="27" t="n">
        <v>1569.025575</v>
      </c>
      <c r="K28" s="27" t="n">
        <v>1569.025575</v>
      </c>
      <c r="L28" s="27" t="n">
        <v>1569.025575</v>
      </c>
      <c r="M28" s="27" t="n">
        <v>1569.025575</v>
      </c>
      <c r="N28" s="27" t="n">
        <v>1569.025575</v>
      </c>
      <c r="O28" s="27" t="n">
        <v>1569.025575</v>
      </c>
      <c r="P28" s="27" t="n">
        <v>1569.025575</v>
      </c>
      <c r="Q28" s="27" t="n">
        <v>1569.025575</v>
      </c>
      <c r="R28" s="27" t="n">
        <v>1569.025575</v>
      </c>
      <c r="S28" s="27"/>
    </row>
    <row r="29" customFormat="false" ht="12.75" hidden="false" customHeight="false" outlineLevel="0" collapsed="false">
      <c r="A29" s="10" t="s">
        <v>68</v>
      </c>
      <c r="B29" s="8" t="n">
        <v>-51.27</v>
      </c>
      <c r="C29" s="8" t="n">
        <v>0</v>
      </c>
      <c r="D29" s="8" t="n">
        <f aca="false">B29+C29</f>
        <v>-51.27</v>
      </c>
      <c r="F29" s="1" t="s">
        <v>69</v>
      </c>
      <c r="G29" s="26" t="n">
        <v>9939.18</v>
      </c>
      <c r="H29" s="26" t="n">
        <v>9055.2</v>
      </c>
      <c r="I29" s="26" t="n">
        <v>15861.72</v>
      </c>
      <c r="J29" s="27" t="n">
        <v>9445.32196736755</v>
      </c>
      <c r="K29" s="27" t="n">
        <v>8716.39892898231</v>
      </c>
      <c r="L29" s="27" t="n">
        <v>9080.86044817493</v>
      </c>
      <c r="M29" s="27" t="n">
        <v>8716.39892898231</v>
      </c>
      <c r="N29" s="27" t="n">
        <v>8716.39892898231</v>
      </c>
      <c r="O29" s="27" t="n">
        <v>9445.32196736755</v>
      </c>
      <c r="P29" s="27" t="n">
        <v>8716.39892898231</v>
      </c>
      <c r="Q29" s="27" t="n">
        <v>9080.86044817493</v>
      </c>
      <c r="R29" s="27" t="n">
        <v>9080.86044817493</v>
      </c>
      <c r="S29" s="27"/>
    </row>
    <row r="30" customFormat="false" ht="12.75" hidden="false" customHeight="false" outlineLevel="0" collapsed="false">
      <c r="A30" s="1" t="s">
        <v>70</v>
      </c>
      <c r="B30" s="8" t="n">
        <v>0</v>
      </c>
      <c r="C30" s="8" t="n">
        <v>-26.83</v>
      </c>
      <c r="D30" s="8" t="n">
        <f aca="false">B30+C30</f>
        <v>-26.83</v>
      </c>
      <c r="F30" s="1" t="s">
        <v>71</v>
      </c>
      <c r="G30" s="28" t="n">
        <v>4550.12</v>
      </c>
      <c r="H30" s="28" t="n">
        <v>4274.76</v>
      </c>
      <c r="I30" s="28" t="n">
        <v>6059.7</v>
      </c>
      <c r="J30" s="18" t="n">
        <v>5229.40881057214</v>
      </c>
      <c r="K30" s="18" t="n">
        <v>5229.40881057214</v>
      </c>
      <c r="L30" s="18" t="n">
        <v>5229.40881057214</v>
      </c>
      <c r="M30" s="18" t="n">
        <v>5229.40881057214</v>
      </c>
      <c r="N30" s="18" t="n">
        <v>5229.40881057214</v>
      </c>
      <c r="O30" s="18" t="n">
        <v>5229.40881057214</v>
      </c>
      <c r="P30" s="18" t="n">
        <v>5229.40881057214</v>
      </c>
      <c r="Q30" s="18" t="n">
        <v>5229.40881057214</v>
      </c>
      <c r="R30" s="18" t="n">
        <v>5229.40881057214</v>
      </c>
      <c r="S30" s="27"/>
    </row>
    <row r="31" customFormat="false" ht="12.75" hidden="false" customHeight="false" outlineLevel="0" collapsed="false">
      <c r="A31" s="1" t="s">
        <v>72</v>
      </c>
      <c r="B31" s="8" t="n">
        <v>-144</v>
      </c>
      <c r="C31" s="8" t="n">
        <v>0</v>
      </c>
      <c r="D31" s="8" t="n">
        <f aca="false">B31+C31</f>
        <v>-144</v>
      </c>
      <c r="F31" s="1" t="s">
        <v>73</v>
      </c>
      <c r="G31" s="28" t="n">
        <v>4791.21</v>
      </c>
      <c r="H31" s="28" t="n">
        <v>5273.7</v>
      </c>
      <c r="I31" s="28" t="n">
        <v>7488.45</v>
      </c>
      <c r="J31" s="18" t="n">
        <v>13059.5308461745</v>
      </c>
      <c r="K31" s="18" t="n">
        <v>13059.5308461745</v>
      </c>
      <c r="L31" s="18" t="n">
        <v>13059.5308461745</v>
      </c>
      <c r="M31" s="18" t="n">
        <v>13059.5308461745</v>
      </c>
      <c r="N31" s="18" t="n">
        <v>13059.5308461745</v>
      </c>
      <c r="O31" s="18" t="n">
        <v>13059.5308461745</v>
      </c>
      <c r="P31" s="18" t="n">
        <v>13059.5308461745</v>
      </c>
      <c r="Q31" s="18" t="n">
        <v>13059.5308461745</v>
      </c>
      <c r="R31" s="18" t="n">
        <v>13059.5308461745</v>
      </c>
      <c r="S31" s="22"/>
    </row>
    <row r="32" customFormat="false" ht="12.75" hidden="false" customHeight="false" outlineLevel="0" collapsed="false">
      <c r="A32" s="1" t="s">
        <v>74</v>
      </c>
      <c r="B32" s="8" t="n">
        <v>-2203.14</v>
      </c>
      <c r="C32" s="8" t="n">
        <v>0</v>
      </c>
      <c r="D32" s="8" t="n">
        <f aca="false">B32+C32</f>
        <v>-2203.14</v>
      </c>
    </row>
    <row r="33" customFormat="false" ht="12.75" hidden="false" customHeight="false" outlineLevel="0" collapsed="false">
      <c r="A33" s="19" t="s">
        <v>75</v>
      </c>
      <c r="B33" s="20" t="n">
        <f aca="false">SUM(B19:B32)</f>
        <v>-120387.75</v>
      </c>
      <c r="C33" s="20" t="n">
        <f aca="false">SUM(C19:C32)</f>
        <v>-55419.48</v>
      </c>
      <c r="D33" s="20" t="n">
        <f aca="false">SUM(D19:D32)</f>
        <v>-175807.23</v>
      </c>
      <c r="G33" s="22" t="n">
        <f aca="false">SUM(G28:G32)</f>
        <v>21473.13</v>
      </c>
      <c r="H33" s="22" t="n">
        <f aca="false">SUM(H28:H32)</f>
        <v>20221.4</v>
      </c>
      <c r="I33" s="22" t="n">
        <f aca="false">SUM(I28:I32)</f>
        <v>33958.91</v>
      </c>
      <c r="J33" s="22" t="n">
        <f aca="false">SUM(J28:J32)</f>
        <v>29303.2871991142</v>
      </c>
      <c r="K33" s="22" t="n">
        <f aca="false">SUM(K28:K32)</f>
        <v>28574.3641607289</v>
      </c>
      <c r="L33" s="22" t="n">
        <f aca="false">SUM(L28:L32)</f>
        <v>28938.8256799216</v>
      </c>
      <c r="M33" s="22" t="n">
        <f aca="false">SUM(M28:M32)</f>
        <v>28574.3641607289</v>
      </c>
      <c r="N33" s="22" t="n">
        <f aca="false">SUM(N28:N32)</f>
        <v>28574.3641607289</v>
      </c>
      <c r="O33" s="22" t="n">
        <f aca="false">SUM(O28:O32)</f>
        <v>29303.2871991142</v>
      </c>
      <c r="P33" s="22" t="n">
        <f aca="false">SUM(P28:P32)</f>
        <v>28574.3641607289</v>
      </c>
      <c r="Q33" s="22" t="n">
        <f aca="false">SUM(Q28:Q32)</f>
        <v>28938.8256799216</v>
      </c>
      <c r="R33" s="22" t="n">
        <f aca="false">SUM(R28:R32)</f>
        <v>28938.8256799216</v>
      </c>
      <c r="S33" s="22"/>
    </row>
    <row r="34" customFormat="false" ht="12.75" hidden="false" customHeight="false" outlineLevel="0" collapsed="false">
      <c r="A34" s="1" t="s">
        <v>76</v>
      </c>
      <c r="B34" s="8" t="n">
        <v>-2.61</v>
      </c>
      <c r="C34" s="8" t="n">
        <v>0</v>
      </c>
      <c r="D34" s="8" t="n">
        <f aca="false">B34+C34</f>
        <v>-2.61</v>
      </c>
    </row>
    <row r="35" customFormat="false" ht="12.75" hidden="false" customHeight="false" outlineLevel="0" collapsed="false">
      <c r="A35" s="1" t="s">
        <v>36</v>
      </c>
      <c r="B35" s="8" t="n">
        <v>-6468.86</v>
      </c>
      <c r="C35" s="8" t="n">
        <v>-89.69</v>
      </c>
      <c r="D35" s="8" t="n">
        <f aca="false">B35+C35</f>
        <v>-6558.55</v>
      </c>
      <c r="G35" s="22"/>
      <c r="K35" s="22"/>
    </row>
    <row r="36" customFormat="false" ht="12.75" hidden="false" customHeight="false" outlineLevel="0" collapsed="false">
      <c r="A36" s="1" t="s">
        <v>77</v>
      </c>
      <c r="B36" s="8" t="n">
        <v>-9.1</v>
      </c>
      <c r="C36" s="8" t="n">
        <v>-13.57</v>
      </c>
      <c r="D36" s="8" t="n">
        <f aca="false">B36+C36</f>
        <v>-22.67</v>
      </c>
      <c r="G36" s="22"/>
      <c r="H36" s="22"/>
      <c r="K36" s="29"/>
      <c r="L36" s="30"/>
      <c r="M36" s="22"/>
    </row>
    <row r="37" customFormat="false" ht="12.75" hidden="false" customHeight="false" outlineLevel="0" collapsed="false">
      <c r="A37" s="1" t="s">
        <v>78</v>
      </c>
      <c r="B37" s="8" t="n">
        <v>-2.48</v>
      </c>
      <c r="C37" s="8" t="n">
        <v>-11.84</v>
      </c>
      <c r="D37" s="8" t="n">
        <f aca="false">B37+C37</f>
        <v>-14.32</v>
      </c>
      <c r="F37" s="1" t="s">
        <v>79</v>
      </c>
      <c r="L37" s="22"/>
    </row>
    <row r="38" customFormat="false" ht="12.75" hidden="false" customHeight="false" outlineLevel="0" collapsed="false">
      <c r="A38" s="1" t="s">
        <v>80</v>
      </c>
      <c r="B38" s="8" t="n">
        <v>-20.91</v>
      </c>
      <c r="C38" s="8" t="n">
        <v>-287.23</v>
      </c>
      <c r="D38" s="8" t="n">
        <f aca="false">B38+C38</f>
        <v>-308.14</v>
      </c>
      <c r="F38" s="1" t="s">
        <v>81</v>
      </c>
    </row>
    <row r="39" customFormat="false" ht="12.75" hidden="false" customHeight="false" outlineLevel="0" collapsed="false">
      <c r="A39" s="1" t="s">
        <v>82</v>
      </c>
      <c r="B39" s="8" t="n">
        <v>-4324.27</v>
      </c>
      <c r="C39" s="8" t="n">
        <v>0</v>
      </c>
      <c r="D39" s="8" t="n">
        <f aca="false">B39+C39</f>
        <v>-4324.27</v>
      </c>
      <c r="F39" s="1" t="s">
        <v>83</v>
      </c>
    </row>
    <row r="40" customFormat="false" ht="12.75" hidden="false" customHeight="false" outlineLevel="0" collapsed="false">
      <c r="A40" s="1" t="s">
        <v>84</v>
      </c>
      <c r="B40" s="8" t="n">
        <v>0</v>
      </c>
      <c r="C40" s="8" t="n">
        <v>-14.08</v>
      </c>
      <c r="D40" s="8" t="n">
        <f aca="false">B40+C40</f>
        <v>-14.08</v>
      </c>
      <c r="G40" s="14"/>
      <c r="H40" s="14"/>
    </row>
    <row r="41" customFormat="false" ht="12.75" hidden="false" customHeight="false" outlineLevel="0" collapsed="false">
      <c r="A41" s="1" t="s">
        <v>85</v>
      </c>
      <c r="B41" s="8" t="n">
        <v>-18258.7</v>
      </c>
      <c r="C41" s="8" t="n">
        <v>-44442.41</v>
      </c>
      <c r="D41" s="8" t="n">
        <f aca="false">B41+C41</f>
        <v>-62701.11</v>
      </c>
      <c r="G41" s="14"/>
      <c r="H41" s="14"/>
    </row>
    <row r="42" customFormat="false" ht="12.75" hidden="false" customHeight="false" outlineLevel="0" collapsed="false">
      <c r="A42" s="1" t="s">
        <v>86</v>
      </c>
      <c r="B42" s="8" t="n">
        <v>-3221.87</v>
      </c>
      <c r="C42" s="8" t="n">
        <v>-7280.51</v>
      </c>
      <c r="D42" s="8" t="n">
        <f aca="false">B42+C42</f>
        <v>-10502.38</v>
      </c>
      <c r="G42" s="14" t="n">
        <f aca="false">G33-G20</f>
        <v>36640.7842897322</v>
      </c>
      <c r="H42" s="14" t="n">
        <f aca="false">H33-H20</f>
        <v>34636.746642323</v>
      </c>
      <c r="I42" s="14" t="n">
        <f aca="false">I33-I20</f>
        <v>49935.1027576313</v>
      </c>
      <c r="J42" s="14" t="n">
        <f aca="false">J33-J20</f>
        <v>45279.4799567455</v>
      </c>
      <c r="K42" s="14" t="n">
        <f aca="false">K33-K20</f>
        <v>43821.633879975</v>
      </c>
      <c r="L42" s="14" t="n">
        <f aca="false">L33-L20</f>
        <v>44550.5569183603</v>
      </c>
      <c r="M42" s="14" t="n">
        <f aca="false">M33-M20</f>
        <v>43821.633879975</v>
      </c>
      <c r="N42" s="14" t="n">
        <f aca="false">N33-N20</f>
        <v>43821.633879975</v>
      </c>
      <c r="O42" s="14" t="n">
        <f aca="false">O33-O20</f>
        <v>45279.4799567455</v>
      </c>
      <c r="P42" s="14" t="n">
        <f aca="false">P33-P20</f>
        <v>43821.633879975</v>
      </c>
      <c r="Q42" s="14" t="n">
        <f aca="false">Q33-Q20</f>
        <v>44550.5569183603</v>
      </c>
      <c r="R42" s="14" t="n">
        <f aca="false">R33-R20</f>
        <v>44550.5569183603</v>
      </c>
      <c r="S42" s="14" t="n">
        <f aca="false">S33-S20</f>
        <v>185335.85179725</v>
      </c>
    </row>
    <row r="43" customFormat="false" ht="12.75" hidden="false" customHeight="false" outlineLevel="0" collapsed="false">
      <c r="A43" s="1" t="s">
        <v>44</v>
      </c>
      <c r="B43" s="8" t="n">
        <v>-631.69</v>
      </c>
      <c r="C43" s="8" t="n">
        <v>-631.68</v>
      </c>
      <c r="D43" s="8" t="n">
        <f aca="false">B43+C43</f>
        <v>-1263.37</v>
      </c>
      <c r="G43" s="14" t="n">
        <f aca="false">G21-G42</f>
        <v>-30201.9142897322</v>
      </c>
      <c r="H43" s="14" t="n">
        <f aca="false">H21-H42</f>
        <v>-16123.786642323</v>
      </c>
      <c r="I43" s="14" t="n">
        <f aca="false">I21-I42</f>
        <v>-26104.7327576313</v>
      </c>
      <c r="J43" s="14" t="n">
        <f aca="false">J21-J42</f>
        <v>-3554.18754564966</v>
      </c>
      <c r="K43" s="14" t="n">
        <f aca="false">K21-K42</f>
        <v>-34878.5940468023</v>
      </c>
      <c r="L43" s="14" t="n">
        <f aca="false">L21-L42</f>
        <v>-37177.0447880719</v>
      </c>
      <c r="M43" s="14" t="n">
        <f aca="false">M21-M42</f>
        <v>-37744.486430494</v>
      </c>
      <c r="N43" s="14" t="n">
        <f aca="false">N21-N42</f>
        <v>-35561.788910494</v>
      </c>
      <c r="O43" s="14" t="n">
        <f aca="false">O21-O42</f>
        <v>-38001.7370653363</v>
      </c>
      <c r="P43" s="14" t="n">
        <f aca="false">P21-P42</f>
        <v>-35804.2999018463</v>
      </c>
      <c r="Q43" s="14" t="n">
        <f aca="false">Q21-Q42</f>
        <v>-49032.6328680718</v>
      </c>
      <c r="R43" s="14" t="n">
        <f aca="false">R21-R42</f>
        <v>-54434.7831480718</v>
      </c>
      <c r="S43" s="14" t="n">
        <f aca="false">S21-S42</f>
        <v>-63246.0403136158</v>
      </c>
    </row>
    <row r="44" customFormat="false" ht="12.75" hidden="false" customHeight="false" outlineLevel="0" collapsed="false">
      <c r="A44" s="1" t="s">
        <v>87</v>
      </c>
      <c r="B44" s="8" t="n">
        <v>-73.37</v>
      </c>
      <c r="C44" s="8" t="n">
        <v>-39.72</v>
      </c>
      <c r="D44" s="8" t="n">
        <f aca="false">B44+C44</f>
        <v>-113.09</v>
      </c>
    </row>
    <row r="45" customFormat="false" ht="12.75" hidden="false" customHeight="false" outlineLevel="0" collapsed="false">
      <c r="A45" s="1" t="s">
        <v>88</v>
      </c>
      <c r="B45" s="8" t="n">
        <v>-47.62</v>
      </c>
      <c r="C45" s="8" t="n">
        <v>-2340.6</v>
      </c>
      <c r="D45" s="8" t="n">
        <f aca="false">B45+C45</f>
        <v>-2388.22</v>
      </c>
    </row>
    <row r="46" customFormat="false" ht="12.75" hidden="false" customHeight="false" outlineLevel="0" collapsed="false">
      <c r="A46" s="1" t="s">
        <v>89</v>
      </c>
      <c r="B46" s="8" t="n">
        <v>-1724.37</v>
      </c>
      <c r="C46" s="8" t="n">
        <v>-7997.88</v>
      </c>
      <c r="D46" s="8" t="n">
        <f aca="false">B46+C46</f>
        <v>-9722.25</v>
      </c>
      <c r="G46" s="14"/>
    </row>
    <row r="47" customFormat="false" ht="12.75" hidden="false" customHeight="false" outlineLevel="0" collapsed="false">
      <c r="A47" s="1" t="s">
        <v>90</v>
      </c>
      <c r="B47" s="8" t="n">
        <v>0</v>
      </c>
      <c r="C47" s="8" t="n">
        <v>-27.97</v>
      </c>
      <c r="D47" s="8" t="n">
        <f aca="false">B47+C47</f>
        <v>-27.97</v>
      </c>
      <c r="G47" s="14"/>
    </row>
    <row r="48" customFormat="false" ht="12.75" hidden="false" customHeight="false" outlineLevel="0" collapsed="false">
      <c r="A48" s="1" t="s">
        <v>91</v>
      </c>
      <c r="B48" s="8" t="n">
        <v>0</v>
      </c>
      <c r="C48" s="8" t="n">
        <v>-376.07</v>
      </c>
      <c r="D48" s="8" t="n">
        <f aca="false">B48+C48</f>
        <v>-376.07</v>
      </c>
      <c r="G48" s="14"/>
    </row>
    <row r="49" customFormat="false" ht="12.75" hidden="false" customHeight="false" outlineLevel="0" collapsed="false">
      <c r="A49" s="1" t="s">
        <v>92</v>
      </c>
      <c r="B49" s="8" t="n">
        <v>-5726.58</v>
      </c>
      <c r="C49" s="8" t="n">
        <v>-22921.38</v>
      </c>
      <c r="D49" s="8" t="n">
        <f aca="false">B49+C49</f>
        <v>-28647.96</v>
      </c>
    </row>
    <row r="50" customFormat="false" ht="12.75" hidden="false" customHeight="false" outlineLevel="0" collapsed="false">
      <c r="A50" s="1" t="s">
        <v>93</v>
      </c>
      <c r="B50" s="8" t="n">
        <v>-24830.24</v>
      </c>
      <c r="C50" s="8" t="n">
        <v>0</v>
      </c>
      <c r="D50" s="8" t="n">
        <f aca="false">B50+C50</f>
        <v>-24830.24</v>
      </c>
    </row>
    <row r="51" customFormat="false" ht="12.75" hidden="false" customHeight="false" outlineLevel="0" collapsed="false">
      <c r="A51" s="1" t="s">
        <v>94</v>
      </c>
      <c r="B51" s="8" t="n">
        <v>0</v>
      </c>
      <c r="C51" s="8" t="n">
        <v>-207234.94</v>
      </c>
      <c r="D51" s="8" t="n">
        <f aca="false">B51+C51</f>
        <v>-207234.94</v>
      </c>
    </row>
    <row r="52" customFormat="false" ht="12.75" hidden="false" customHeight="false" outlineLevel="0" collapsed="false">
      <c r="A52" s="1" t="s">
        <v>95</v>
      </c>
      <c r="B52" s="8" t="n">
        <v>-42.84</v>
      </c>
      <c r="C52" s="8" t="n">
        <v>-42.84</v>
      </c>
      <c r="D52" s="8" t="n">
        <f aca="false">B52+C52</f>
        <v>-85.68</v>
      </c>
    </row>
    <row r="53" customFormat="false" ht="12.75" hidden="false" customHeight="false" outlineLevel="0" collapsed="false">
      <c r="A53" s="1" t="s">
        <v>96</v>
      </c>
      <c r="B53" s="8" t="n">
        <v>-95</v>
      </c>
      <c r="C53" s="8" t="n">
        <v>-1955.66</v>
      </c>
      <c r="D53" s="8" t="n">
        <f aca="false">B53+C53</f>
        <v>-2050.66</v>
      </c>
    </row>
    <row r="54" customFormat="false" ht="12.75" hidden="false" customHeight="false" outlineLevel="0" collapsed="false">
      <c r="A54" s="1" t="s">
        <v>97</v>
      </c>
      <c r="B54" s="8" t="n">
        <v>0</v>
      </c>
      <c r="C54" s="8" t="n">
        <v>-365</v>
      </c>
      <c r="D54" s="8" t="n">
        <f aca="false">B54+C54</f>
        <v>-365</v>
      </c>
    </row>
    <row r="55" customFormat="false" ht="12.75" hidden="false" customHeight="false" outlineLevel="0" collapsed="false">
      <c r="A55" s="1" t="s">
        <v>98</v>
      </c>
      <c r="B55" s="8" t="n">
        <v>0</v>
      </c>
      <c r="C55" s="8" t="n">
        <v>-570.13</v>
      </c>
      <c r="D55" s="8" t="n">
        <f aca="false">B55+C55</f>
        <v>-570.13</v>
      </c>
    </row>
    <row r="56" customFormat="false" ht="12.75" hidden="false" customHeight="false" outlineLevel="0" collapsed="false">
      <c r="A56" s="1" t="s">
        <v>99</v>
      </c>
      <c r="B56" s="8" t="n">
        <v>1968.71</v>
      </c>
      <c r="C56" s="8" t="n">
        <v>1650.14</v>
      </c>
      <c r="D56" s="8" t="n">
        <f aca="false">B56+C56</f>
        <v>3618.85</v>
      </c>
    </row>
    <row r="57" customFormat="false" ht="12.75" hidden="false" customHeight="false" outlineLevel="0" collapsed="false">
      <c r="A57" s="1" t="s">
        <v>100</v>
      </c>
      <c r="B57" s="8" t="n">
        <v>-1120.31</v>
      </c>
      <c r="C57" s="8" t="n">
        <v>0</v>
      </c>
      <c r="D57" s="8" t="n">
        <f aca="false">B57+C57</f>
        <v>-1120.31</v>
      </c>
    </row>
    <row r="58" customFormat="false" ht="12.75" hidden="false" customHeight="false" outlineLevel="0" collapsed="false">
      <c r="B58" s="8"/>
      <c r="C58" s="8"/>
      <c r="D58" s="8" t="n">
        <f aca="false">B58+C58</f>
        <v>0</v>
      </c>
    </row>
    <row r="59" customFormat="false" ht="12.75" hidden="false" customHeight="false" outlineLevel="0" collapsed="false">
      <c r="B59" s="8"/>
      <c r="C59" s="8"/>
      <c r="D59" s="8" t="n">
        <f aca="false">B59+C59</f>
        <v>0</v>
      </c>
    </row>
    <row r="60" customFormat="false" ht="12.75" hidden="false" customHeight="false" outlineLevel="0" collapsed="false">
      <c r="B60" s="8"/>
      <c r="C60" s="8"/>
      <c r="D60" s="8" t="n">
        <f aca="false">B60+C60</f>
        <v>0</v>
      </c>
    </row>
    <row r="61" customFormat="false" ht="12.75" hidden="false" customHeight="false" outlineLevel="0" collapsed="false">
      <c r="B61" s="8"/>
      <c r="C61" s="8"/>
      <c r="D61" s="8" t="n">
        <f aca="false">B61+C61</f>
        <v>0</v>
      </c>
    </row>
    <row r="62" customFormat="false" ht="12.75" hidden="false" customHeight="false" outlineLevel="0" collapsed="false">
      <c r="B62" s="8"/>
      <c r="C62" s="8"/>
      <c r="D62" s="8" t="n">
        <f aca="false">B62+C62</f>
        <v>0</v>
      </c>
    </row>
    <row r="63" customFormat="false" ht="12.75" hidden="false" customHeight="false" outlineLevel="0" collapsed="false">
      <c r="B63" s="8"/>
      <c r="C63" s="8"/>
      <c r="D63" s="8" t="n">
        <f aca="false">B63+C63</f>
        <v>0</v>
      </c>
    </row>
    <row r="64" customFormat="false" ht="12.75" hidden="false" customHeight="false" outlineLevel="0" collapsed="false">
      <c r="A64" s="19" t="s">
        <v>53</v>
      </c>
      <c r="B64" s="20" t="n">
        <f aca="false">SUM(B34:B63)</f>
        <v>-64632.11</v>
      </c>
      <c r="C64" s="20" t="n">
        <f aca="false">SUM(C34:C63)</f>
        <v>-294993.06</v>
      </c>
      <c r="D64" s="20" t="n">
        <f aca="false">SUM(D34:D63)</f>
        <v>-359625.17</v>
      </c>
    </row>
    <row r="65" customFormat="false" ht="12.75" hidden="false" customHeight="false" outlineLevel="0" collapsed="false">
      <c r="A65" s="1" t="s">
        <v>101</v>
      </c>
      <c r="B65" s="8" t="e">
        <f aca="false">+#REF!+B33+B64</f>
        <v>#REF!</v>
      </c>
      <c r="C65" s="8" t="e">
        <f aca="false">+#REF!+C33+C64</f>
        <v>#REF!</v>
      </c>
      <c r="D65" s="8" t="e">
        <f aca="false">+#REF!+D33+D64</f>
        <v>#REF!</v>
      </c>
    </row>
  </sheetData>
  <mergeCells count="1">
    <mergeCell ref="A1:D1"/>
  </mergeCells>
  <conditionalFormatting sqref="F24:S2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F22:S22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41" activeCellId="0" sqref="E41"/>
    </sheetView>
  </sheetViews>
  <sheetFormatPr defaultColWidth="9.1484375" defaultRowHeight="12.75" zeroHeight="false" outlineLevelRow="0" outlineLevelCol="0"/>
  <cols>
    <col collapsed="false" customWidth="true" hidden="true" outlineLevel="0" max="1" min="1" style="1" width="31.29"/>
    <col collapsed="false" customWidth="true" hidden="true" outlineLevel="0" max="2" min="2" style="2" width="15.14"/>
    <col collapsed="false" customWidth="true" hidden="false" outlineLevel="0" max="3" min="3" style="31" width="19.42"/>
    <col collapsed="false" customWidth="true" hidden="false" outlineLevel="0" max="4" min="4" style="0" width="14.14"/>
    <col collapsed="false" customWidth="true" hidden="false" outlineLevel="0" max="5" min="5" style="0" width="47.14"/>
    <col collapsed="false" customWidth="true" hidden="false" outlineLevel="0" max="11" min="6" style="0" width="11.85"/>
    <col collapsed="false" customWidth="true" hidden="false" outlineLevel="0" max="15" min="12" style="0" width="11.57"/>
    <col collapsed="false" customWidth="true" hidden="false" outlineLevel="0" max="16" min="16" style="0" width="12.29"/>
    <col collapsed="false" customWidth="true" hidden="false" outlineLevel="0" max="17" min="17" style="0" width="11.29"/>
    <col collapsed="false" customWidth="true" hidden="false" outlineLevel="0" max="18" min="18" style="0" width="14.57"/>
    <col collapsed="false" customWidth="true" hidden="false" outlineLevel="0" max="19" min="19" style="0" width="12.42"/>
  </cols>
  <sheetData>
    <row r="1" customFormat="false" ht="12.75" hidden="false" customHeight="false" outlineLevel="0" collapsed="false">
      <c r="A1" s="32" t="s">
        <v>0</v>
      </c>
      <c r="B1" s="33" t="s">
        <v>102</v>
      </c>
      <c r="D1" s="1"/>
      <c r="E1" s="4" t="s">
        <v>103</v>
      </c>
      <c r="F1" s="5" t="s">
        <v>2</v>
      </c>
      <c r="G1" s="5" t="s">
        <v>3</v>
      </c>
      <c r="H1" s="5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6" t="s">
        <v>15</v>
      </c>
    </row>
    <row r="2" customFormat="false" ht="12.75" hidden="false" customHeight="false" outlineLevel="0" collapsed="false">
      <c r="A2" s="34"/>
      <c r="B2" s="34"/>
      <c r="D2" s="1" t="s">
        <v>104</v>
      </c>
      <c r="E2" s="4"/>
      <c r="F2" s="35" t="n">
        <v>1182.5</v>
      </c>
      <c r="G2" s="35" t="n">
        <v>1110</v>
      </c>
      <c r="H2" s="35" t="n">
        <v>820</v>
      </c>
      <c r="I2" s="1" t="n">
        <v>780</v>
      </c>
      <c r="J2" s="1" t="n">
        <v>780</v>
      </c>
      <c r="K2" s="1" t="n">
        <v>780</v>
      </c>
      <c r="L2" s="1" t="n">
        <v>780</v>
      </c>
      <c r="M2" s="1" t="n">
        <v>780</v>
      </c>
      <c r="N2" s="1" t="n">
        <v>780</v>
      </c>
      <c r="O2" s="1" t="n">
        <v>780</v>
      </c>
      <c r="P2" s="1" t="n">
        <v>780</v>
      </c>
      <c r="Q2" s="1" t="n">
        <v>780</v>
      </c>
      <c r="R2" s="8" t="n">
        <f aca="false">SUM(F2:Q2)</f>
        <v>10132.5</v>
      </c>
    </row>
    <row r="3" customFormat="false" ht="12.75" hidden="false" customHeight="false" outlineLevel="0" collapsed="false">
      <c r="A3" s="34"/>
      <c r="B3" s="34"/>
      <c r="D3" s="1" t="s">
        <v>105</v>
      </c>
      <c r="E3" s="4"/>
      <c r="F3" s="35" t="n">
        <v>0</v>
      </c>
      <c r="G3" s="35" t="n">
        <v>0</v>
      </c>
      <c r="H3" s="35" t="n">
        <v>0</v>
      </c>
      <c r="I3" s="1" t="n">
        <v>100</v>
      </c>
      <c r="J3" s="1" t="n">
        <v>100</v>
      </c>
      <c r="K3" s="1" t="n">
        <v>100</v>
      </c>
      <c r="L3" s="1" t="n">
        <v>100</v>
      </c>
      <c r="M3" s="1" t="n">
        <v>100</v>
      </c>
      <c r="N3" s="1" t="n">
        <v>100</v>
      </c>
      <c r="O3" s="1" t="n">
        <v>100</v>
      </c>
      <c r="P3" s="1" t="n">
        <v>100</v>
      </c>
      <c r="Q3" s="1" t="n">
        <v>100</v>
      </c>
      <c r="R3" s="8" t="n">
        <f aca="false">SUM(F3:Q3)</f>
        <v>900</v>
      </c>
    </row>
    <row r="4" customFormat="false" ht="12.75" hidden="false" customHeight="false" outlineLevel="0" collapsed="false">
      <c r="A4" s="34"/>
      <c r="B4" s="34"/>
      <c r="D4" s="1" t="s">
        <v>106</v>
      </c>
      <c r="E4" s="4"/>
      <c r="F4" s="35" t="n">
        <v>0</v>
      </c>
      <c r="G4" s="35" t="n">
        <v>0</v>
      </c>
      <c r="H4" s="35" t="n">
        <v>0</v>
      </c>
      <c r="I4" s="1" t="n">
        <v>28</v>
      </c>
      <c r="J4" s="1" t="n">
        <v>28</v>
      </c>
      <c r="K4" s="1" t="n">
        <v>28</v>
      </c>
      <c r="L4" s="1" t="n">
        <v>28</v>
      </c>
      <c r="M4" s="1" t="n">
        <v>28</v>
      </c>
      <c r="N4" s="1" t="n">
        <v>28</v>
      </c>
      <c r="O4" s="1" t="n">
        <v>28</v>
      </c>
      <c r="P4" s="1" t="n">
        <v>28</v>
      </c>
      <c r="Q4" s="1" t="n">
        <v>28</v>
      </c>
      <c r="R4" s="8" t="n">
        <f aca="false">SUM(F4:Q4)</f>
        <v>252</v>
      </c>
    </row>
    <row r="5" customFormat="false" ht="12.75" hidden="false" customHeight="false" outlineLevel="0" collapsed="false">
      <c r="A5" s="10" t="s">
        <v>20</v>
      </c>
      <c r="B5" s="8" t="n">
        <v>2430539.4</v>
      </c>
      <c r="D5" s="1" t="s">
        <v>18</v>
      </c>
      <c r="E5" s="1"/>
      <c r="F5" s="36" t="n">
        <v>234220.44</v>
      </c>
      <c r="G5" s="36" t="n">
        <v>239125.93</v>
      </c>
      <c r="H5" s="36" t="n">
        <v>242128.43</v>
      </c>
      <c r="I5" s="14" t="n">
        <v>262138.77</v>
      </c>
      <c r="J5" s="14" t="n">
        <v>261458.77</v>
      </c>
      <c r="K5" s="14" t="n">
        <v>250408.77</v>
      </c>
      <c r="L5" s="14" t="n">
        <v>261458.77</v>
      </c>
      <c r="M5" s="14" t="n">
        <v>261458.77</v>
      </c>
      <c r="N5" s="14" t="n">
        <v>252108.77</v>
      </c>
      <c r="O5" s="14" t="n">
        <v>260358.77</v>
      </c>
      <c r="P5" s="14" t="n">
        <v>258042.11</v>
      </c>
      <c r="Q5" s="14" t="n">
        <v>241535.11</v>
      </c>
      <c r="R5" s="8" t="n">
        <f aca="false">SUM(F5:Q5)</f>
        <v>3024443.41</v>
      </c>
    </row>
    <row r="6" customFormat="false" ht="12.75" hidden="false" customHeight="false" outlineLevel="0" collapsed="false">
      <c r="A6" s="10" t="s">
        <v>107</v>
      </c>
      <c r="B6" s="8" t="n">
        <v>10680</v>
      </c>
      <c r="D6" s="11"/>
      <c r="E6" s="12" t="s">
        <v>23</v>
      </c>
      <c r="F6" s="13" t="n">
        <f aca="false">SUM(F2:F5)</f>
        <v>235402.94</v>
      </c>
      <c r="G6" s="13" t="n">
        <f aca="false">SUM(G2:G5)</f>
        <v>240235.93</v>
      </c>
      <c r="H6" s="13" t="n">
        <f aca="false">SUM(H2:H5)</f>
        <v>242948.43</v>
      </c>
      <c r="I6" s="13" t="n">
        <f aca="false">SUM(I2:I5)</f>
        <v>263046.77</v>
      </c>
      <c r="J6" s="13" t="n">
        <f aca="false">SUM(J2:J5)</f>
        <v>262366.77</v>
      </c>
      <c r="K6" s="13" t="n">
        <f aca="false">SUM(K2:K5)</f>
        <v>251316.77</v>
      </c>
      <c r="L6" s="13" t="n">
        <f aca="false">SUM(L2:L5)</f>
        <v>262366.77</v>
      </c>
      <c r="M6" s="13" t="n">
        <f aca="false">SUM(M2:M5)</f>
        <v>262366.77</v>
      </c>
      <c r="N6" s="13" t="n">
        <f aca="false">SUM(N2:N5)</f>
        <v>253016.77</v>
      </c>
      <c r="O6" s="13" t="n">
        <f aca="false">SUM(O2:O5)</f>
        <v>261266.77</v>
      </c>
      <c r="P6" s="13" t="n">
        <f aca="false">SUM(P2:P5)</f>
        <v>258950.11</v>
      </c>
      <c r="Q6" s="13" t="n">
        <f aca="false">SUM(Q2:Q5)</f>
        <v>242443.11</v>
      </c>
      <c r="R6" s="13" t="n">
        <f aca="false">SUM(R2:R5)</f>
        <v>3035727.91</v>
      </c>
      <c r="S6" s="37" t="b">
        <f aca="false">TRUE()</f>
        <v>1</v>
      </c>
    </row>
    <row r="7" customFormat="false" ht="12.75" hidden="false" customHeight="false" outlineLevel="0" collapsed="false">
      <c r="A7" s="10" t="s">
        <v>22</v>
      </c>
      <c r="B7" s="8" t="n">
        <v>917.24</v>
      </c>
      <c r="D7" s="1" t="s">
        <v>28</v>
      </c>
      <c r="E7" s="1" t="s">
        <v>25</v>
      </c>
      <c r="F7" s="7" t="n">
        <v>-86363.88</v>
      </c>
      <c r="G7" s="7" t="n">
        <v>-92093.64</v>
      </c>
      <c r="H7" s="7" t="n">
        <v>-73977.83</v>
      </c>
      <c r="I7" s="8" t="n">
        <v>-85762.770925568</v>
      </c>
      <c r="J7" s="8" t="n">
        <v>-77966.15538688</v>
      </c>
      <c r="K7" s="8" t="n">
        <v>-81864.463156224</v>
      </c>
      <c r="L7" s="8" t="n">
        <v>-77966.15538688</v>
      </c>
      <c r="M7" s="8" t="n">
        <v>-77966.15538688</v>
      </c>
      <c r="N7" s="8" t="n">
        <v>-85762.770925568</v>
      </c>
      <c r="O7" s="8" t="n">
        <v>-77966.15538688</v>
      </c>
      <c r="P7" s="8" t="n">
        <v>-81864.463156224</v>
      </c>
      <c r="Q7" s="8" t="n">
        <v>-81864.463156224</v>
      </c>
      <c r="R7" s="8" t="n">
        <f aca="false">SUM(F7:Q7)</f>
        <v>-981418.902867328</v>
      </c>
      <c r="S7" s="4"/>
    </row>
    <row r="8" customFormat="false" ht="12.75" hidden="false" customHeight="false" outlineLevel="0" collapsed="false">
      <c r="A8" s="10" t="s">
        <v>27</v>
      </c>
      <c r="B8" s="8" t="n">
        <v>39040</v>
      </c>
      <c r="D8" s="1"/>
      <c r="E8" s="1" t="s">
        <v>26</v>
      </c>
      <c r="F8" s="7" t="n">
        <v>-13094.97</v>
      </c>
      <c r="G8" s="7" t="n">
        <v>-12480.57</v>
      </c>
      <c r="H8" s="7" t="n">
        <v>-14911.46</v>
      </c>
      <c r="I8" s="8" t="n">
        <v>-10291.5325110682</v>
      </c>
      <c r="J8" s="8" t="n">
        <v>-9355.9386464256</v>
      </c>
      <c r="K8" s="8" t="n">
        <v>-9823.73557874688</v>
      </c>
      <c r="L8" s="8" t="n">
        <v>-9355.9386464256</v>
      </c>
      <c r="M8" s="8" t="n">
        <v>-9355.9386464256</v>
      </c>
      <c r="N8" s="8" t="n">
        <v>-10291.5325110682</v>
      </c>
      <c r="O8" s="8" t="n">
        <v>-9355.9386464256</v>
      </c>
      <c r="P8" s="8" t="n">
        <v>-9823.73557874688</v>
      </c>
      <c r="Q8" s="8" t="n">
        <v>-9823.73557874688</v>
      </c>
      <c r="R8" s="8" t="n">
        <f aca="false">SUM(F8:Q8)</f>
        <v>-127965.026344079</v>
      </c>
      <c r="S8" s="4"/>
    </row>
    <row r="9" customFormat="false" ht="12.75" hidden="false" customHeight="false" outlineLevel="0" collapsed="false">
      <c r="A9" s="10"/>
      <c r="B9" s="8"/>
      <c r="D9" s="1"/>
      <c r="E9" s="1" t="s">
        <v>108</v>
      </c>
      <c r="F9" s="7" t="n">
        <v>0</v>
      </c>
      <c r="G9" s="7" t="n">
        <v>0</v>
      </c>
      <c r="H9" s="7" t="n">
        <v>0</v>
      </c>
      <c r="I9" s="38" t="n">
        <v>-4250</v>
      </c>
      <c r="J9" s="38" t="n">
        <v>-4250</v>
      </c>
      <c r="K9" s="38" t="n">
        <v>0</v>
      </c>
      <c r="L9" s="38" t="n">
        <v>-4250</v>
      </c>
      <c r="M9" s="38" t="n">
        <v>-4250</v>
      </c>
      <c r="N9" s="38" t="n">
        <v>-4250</v>
      </c>
      <c r="O9" s="38" t="n">
        <v>-4250</v>
      </c>
      <c r="P9" s="38" t="n">
        <v>-4250</v>
      </c>
      <c r="Q9" s="38" t="n">
        <v>-4250</v>
      </c>
      <c r="R9" s="8" t="n">
        <f aca="false">SUM(F9:Q9)</f>
        <v>-34000</v>
      </c>
      <c r="S9" s="4"/>
    </row>
    <row r="10" customFormat="false" ht="12.75" hidden="false" customHeight="false" outlineLevel="0" collapsed="false">
      <c r="A10" s="10"/>
      <c r="B10" s="8"/>
      <c r="D10" s="4" t="s">
        <v>109</v>
      </c>
      <c r="E10" s="1" t="s">
        <v>110</v>
      </c>
      <c r="F10" s="7" t="n">
        <v>-24965.6</v>
      </c>
      <c r="G10" s="7" t="n">
        <v>-24208.11</v>
      </c>
      <c r="H10" s="7" t="n">
        <v>-38879.44</v>
      </c>
      <c r="I10" s="8" t="n">
        <v>-26997.240075</v>
      </c>
      <c r="J10" s="8" t="n">
        <v>-34656.329625</v>
      </c>
      <c r="K10" s="8" t="n">
        <v>-41853.48215</v>
      </c>
      <c r="L10" s="8" t="n">
        <v>-19439.653275</v>
      </c>
      <c r="M10" s="8" t="n">
        <v>-23070.015925</v>
      </c>
      <c r="N10" s="8" t="n">
        <v>-40473.3171</v>
      </c>
      <c r="O10" s="8" t="n">
        <v>-41813.687625</v>
      </c>
      <c r="P10" s="8" t="n">
        <v>-44203.244625</v>
      </c>
      <c r="Q10" s="8" t="n">
        <v>-42143.712975</v>
      </c>
      <c r="R10" s="8" t="n">
        <f aca="false">SUM(F10:Q10)</f>
        <v>-402703.833375</v>
      </c>
      <c r="S10" s="4"/>
      <c r="T10" s="39" t="n">
        <v>1.0475</v>
      </c>
    </row>
    <row r="11" customFormat="false" ht="12.75" hidden="false" customHeight="false" outlineLevel="0" collapsed="false">
      <c r="A11" s="10" t="s">
        <v>32</v>
      </c>
      <c r="B11" s="8" t="n">
        <v>307644.5</v>
      </c>
      <c r="D11" s="1"/>
      <c r="E11" s="1" t="s">
        <v>46</v>
      </c>
      <c r="F11" s="7" t="n">
        <v>0</v>
      </c>
      <c r="G11" s="7" t="n">
        <v>0</v>
      </c>
      <c r="H11" s="7" t="n">
        <v>0</v>
      </c>
      <c r="I11" s="8" t="n">
        <v>-200</v>
      </c>
      <c r="J11" s="8" t="n">
        <v>-200</v>
      </c>
      <c r="K11" s="8" t="n">
        <v>-200</v>
      </c>
      <c r="L11" s="8" t="n">
        <v>-200</v>
      </c>
      <c r="M11" s="8" t="n">
        <v>-200</v>
      </c>
      <c r="N11" s="8" t="n">
        <v>-200</v>
      </c>
      <c r="O11" s="40" t="n">
        <v>-200</v>
      </c>
      <c r="P11" s="8" t="n">
        <v>-200</v>
      </c>
      <c r="Q11" s="8" t="n">
        <v>-200</v>
      </c>
      <c r="R11" s="8" t="n">
        <f aca="false">SUM(F11:Q11)</f>
        <v>-1800</v>
      </c>
      <c r="S11" s="4"/>
    </row>
    <row r="12" customFormat="false" ht="12.75" hidden="false" customHeight="false" outlineLevel="0" collapsed="false">
      <c r="A12" s="10"/>
      <c r="B12" s="8"/>
      <c r="D12" s="1"/>
      <c r="E12" s="1" t="s">
        <v>111</v>
      </c>
      <c r="F12" s="7" t="n">
        <v>-5866.01</v>
      </c>
      <c r="G12" s="7" t="n">
        <v>-5332.62</v>
      </c>
      <c r="H12" s="7" t="n">
        <v>-5893.5</v>
      </c>
      <c r="I12" s="8" t="n">
        <v>-1026.6731</v>
      </c>
      <c r="J12" s="8" t="n">
        <v>-1170.51775</v>
      </c>
      <c r="K12" s="8" t="n">
        <v>-1170.49715</v>
      </c>
      <c r="L12" s="8" t="n">
        <v>-1254.81295</v>
      </c>
      <c r="M12" s="8" t="n">
        <v>-1170.5126</v>
      </c>
      <c r="N12" s="8" t="n">
        <v>-1104.34025</v>
      </c>
      <c r="O12" s="40" t="n">
        <v>-1104.44325</v>
      </c>
      <c r="P12" s="8" t="n">
        <v>-1070.77255</v>
      </c>
      <c r="Q12" s="8" t="n">
        <v>-988.0893</v>
      </c>
      <c r="R12" s="8" t="n">
        <f aca="false">SUM(F12:Q12)</f>
        <v>-27152.7889</v>
      </c>
      <c r="S12" s="4"/>
    </row>
    <row r="13" customFormat="false" ht="12.75" hidden="false" customHeight="false" outlineLevel="0" collapsed="false">
      <c r="A13" s="10"/>
      <c r="B13" s="8"/>
      <c r="D13" s="1"/>
      <c r="E13" s="1" t="s">
        <v>112</v>
      </c>
      <c r="F13" s="7" t="n">
        <v>-1121.23</v>
      </c>
      <c r="G13" s="7" t="n">
        <v>-482.61</v>
      </c>
      <c r="H13" s="7" t="n">
        <v>-7996.45</v>
      </c>
      <c r="I13" s="8" t="n">
        <v>-1630.46425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-124.81025</v>
      </c>
      <c r="O13" s="40" t="n">
        <v>-113.88195</v>
      </c>
      <c r="P13" s="8" t="n">
        <v>-67.8873</v>
      </c>
      <c r="Q13" s="8" t="n">
        <v>0</v>
      </c>
      <c r="R13" s="8" t="n">
        <f aca="false">SUM(F13:Q13)</f>
        <v>-11537.33375</v>
      </c>
      <c r="S13" s="4"/>
    </row>
    <row r="14" customFormat="false" ht="12.75" hidden="false" customHeight="false" outlineLevel="0" collapsed="false">
      <c r="A14" s="10" t="s">
        <v>40</v>
      </c>
      <c r="B14" s="8" t="n">
        <v>2416.83</v>
      </c>
      <c r="D14" s="11"/>
      <c r="E14" s="12" t="s">
        <v>33</v>
      </c>
      <c r="F14" s="13" t="n">
        <f aca="false">SUM(F7:F13)</f>
        <v>-131411.69</v>
      </c>
      <c r="G14" s="13" t="n">
        <f aca="false">SUM(G7:G13)</f>
        <v>-134597.55</v>
      </c>
      <c r="H14" s="13" t="n">
        <f aca="false">SUM(H7:H13)</f>
        <v>-141658.68</v>
      </c>
      <c r="I14" s="13" t="n">
        <f aca="false">SUM(I7:I13)</f>
        <v>-130158.680861636</v>
      </c>
      <c r="J14" s="13" t="n">
        <f aca="false">SUM(J7:J13)</f>
        <v>-127598.941408306</v>
      </c>
      <c r="K14" s="13" t="n">
        <f aca="false">SUM(K7:K13)</f>
        <v>-134912.178034971</v>
      </c>
      <c r="L14" s="13" t="n">
        <f aca="false">SUM(L7:L13)</f>
        <v>-112466.560258306</v>
      </c>
      <c r="M14" s="13" t="n">
        <f aca="false">SUM(M7:M13)</f>
        <v>-116012.622558306</v>
      </c>
      <c r="N14" s="13" t="n">
        <f aca="false">SUM(N7:N13)</f>
        <v>-142206.771036636</v>
      </c>
      <c r="O14" s="13" t="n">
        <f aca="false">SUM(O7:O13)</f>
        <v>-134804.106858306</v>
      </c>
      <c r="P14" s="13" t="n">
        <f aca="false">SUM(P7:P13)</f>
        <v>-141480.103209971</v>
      </c>
      <c r="Q14" s="13" t="n">
        <f aca="false">SUM(Q7:Q13)</f>
        <v>-139270.001009971</v>
      </c>
      <c r="R14" s="13" t="n">
        <f aca="false">SUM(F14:Q14)</f>
        <v>-1586577.88523641</v>
      </c>
      <c r="S14" s="41" t="n">
        <f aca="false">TRUE()</f>
        <v>1</v>
      </c>
    </row>
    <row r="15" customFormat="false" ht="12.75" hidden="false" customHeight="false" outlineLevel="0" collapsed="false">
      <c r="A15" s="10" t="s">
        <v>113</v>
      </c>
      <c r="B15" s="8" t="n">
        <v>2000</v>
      </c>
      <c r="C15" s="31" t="s">
        <v>114</v>
      </c>
      <c r="D15" s="1" t="s">
        <v>35</v>
      </c>
      <c r="E15" s="1" t="s">
        <v>115</v>
      </c>
      <c r="F15" s="14" t="n">
        <v>-3624.80666666667</v>
      </c>
      <c r="G15" s="14" t="n">
        <f aca="false">F15</f>
        <v>-3624.80666666667</v>
      </c>
      <c r="H15" s="14" t="n">
        <f aca="false">G15</f>
        <v>-3624.80666666667</v>
      </c>
      <c r="I15" s="14" t="n">
        <v>-3624.80666666667</v>
      </c>
      <c r="J15" s="14" t="n">
        <v>-3624.80666666667</v>
      </c>
      <c r="K15" s="14" t="n">
        <v>-3624.80666666667</v>
      </c>
      <c r="L15" s="14" t="n">
        <v>-3624.80666666667</v>
      </c>
      <c r="M15" s="14" t="n">
        <v>-3624.80666666667</v>
      </c>
      <c r="N15" s="14" t="n">
        <v>-3624.80666666667</v>
      </c>
      <c r="O15" s="14" t="n">
        <v>-3624.80666666667</v>
      </c>
      <c r="P15" s="14" t="n">
        <v>-3624.80666666667</v>
      </c>
      <c r="Q15" s="14" t="n">
        <v>-3624.80666666667</v>
      </c>
      <c r="R15" s="14" t="n">
        <f aca="false">SUM(F15:Q15)</f>
        <v>-43497.68</v>
      </c>
      <c r="S15" s="4"/>
    </row>
    <row r="16" customFormat="false" ht="12.75" hidden="false" customHeight="false" outlineLevel="0" collapsed="false">
      <c r="A16" s="10" t="s">
        <v>116</v>
      </c>
      <c r="B16" s="8" t="n">
        <v>1775.5</v>
      </c>
      <c r="D16" s="42" t="s">
        <v>117</v>
      </c>
      <c r="E16" s="1" t="s">
        <v>118</v>
      </c>
      <c r="F16" s="14" t="n">
        <v>-67.5758333333333</v>
      </c>
      <c r="G16" s="14" t="n">
        <f aca="false">F16</f>
        <v>-67.5758333333333</v>
      </c>
      <c r="H16" s="14" t="n">
        <f aca="false">G16</f>
        <v>-67.5758333333333</v>
      </c>
      <c r="I16" s="14" t="n">
        <v>-67.5758333333333</v>
      </c>
      <c r="J16" s="14" t="n">
        <v>-67.5758333333333</v>
      </c>
      <c r="K16" s="14" t="n">
        <v>-67.5758333333333</v>
      </c>
      <c r="L16" s="14" t="n">
        <v>-67.5758333333333</v>
      </c>
      <c r="M16" s="14" t="n">
        <v>-67.5758333333333</v>
      </c>
      <c r="N16" s="14" t="n">
        <v>-67.5758333333333</v>
      </c>
      <c r="O16" s="14" t="n">
        <v>-67.5758333333333</v>
      </c>
      <c r="P16" s="14" t="n">
        <v>-67.5758333333333</v>
      </c>
      <c r="Q16" s="14" t="n">
        <v>-67.5758333333333</v>
      </c>
      <c r="R16" s="14" t="n">
        <f aca="false">SUM(F16:Q16)</f>
        <v>-810.91</v>
      </c>
    </row>
    <row r="17" customFormat="false" ht="12.75" hidden="false" customHeight="false" outlineLevel="0" collapsed="false">
      <c r="A17" s="10" t="s">
        <v>119</v>
      </c>
      <c r="B17" s="8" t="n">
        <v>1000</v>
      </c>
      <c r="D17" s="1" t="s">
        <v>41</v>
      </c>
      <c r="E17" s="43" t="s">
        <v>120</v>
      </c>
      <c r="F17" s="44" t="n">
        <v>-4861.61140476191</v>
      </c>
      <c r="G17" s="44" t="n">
        <v>-4861.61140476191</v>
      </c>
      <c r="H17" s="44" t="n">
        <v>-4861.61140476191</v>
      </c>
      <c r="I17" s="44" t="n">
        <v>-4861.61140476191</v>
      </c>
      <c r="J17" s="44" t="n">
        <v>-4861.61140476191</v>
      </c>
      <c r="K17" s="44" t="n">
        <v>-4861.61140476191</v>
      </c>
      <c r="L17" s="44" t="n">
        <v>-4861.61140476191</v>
      </c>
      <c r="M17" s="44" t="n">
        <v>-4861.61140476191</v>
      </c>
      <c r="N17" s="44" t="n">
        <v>-4861.61140476191</v>
      </c>
      <c r="O17" s="44" t="n">
        <v>-4861.61140476191</v>
      </c>
      <c r="P17" s="44" t="n">
        <v>-4861.61140476191</v>
      </c>
      <c r="Q17" s="44" t="n">
        <v>-4861.61140476191</v>
      </c>
      <c r="R17" s="14" t="n">
        <f aca="false">SUM(F17:Q17)</f>
        <v>-58339.3368571429</v>
      </c>
    </row>
    <row r="18" customFormat="false" ht="12.75" hidden="false" customHeight="false" outlineLevel="0" collapsed="false">
      <c r="A18" s="10" t="s">
        <v>121</v>
      </c>
      <c r="B18" s="8" t="n">
        <v>9629.25</v>
      </c>
      <c r="D18" s="1" t="s">
        <v>41</v>
      </c>
      <c r="E18" s="16" t="s">
        <v>122</v>
      </c>
      <c r="F18" s="14" t="n">
        <v>-490</v>
      </c>
      <c r="G18" s="14" t="n">
        <f aca="false">F18</f>
        <v>-490</v>
      </c>
      <c r="H18" s="14" t="n">
        <f aca="false">G18</f>
        <v>-490</v>
      </c>
      <c r="I18" s="14" t="n">
        <v>-490</v>
      </c>
      <c r="J18" s="14" t="n">
        <v>-490</v>
      </c>
      <c r="K18" s="14" t="n">
        <v>-490</v>
      </c>
      <c r="L18" s="14" t="n">
        <v>-490</v>
      </c>
      <c r="M18" s="14" t="n">
        <v>-490</v>
      </c>
      <c r="N18" s="14" t="n">
        <v>-490</v>
      </c>
      <c r="O18" s="14" t="n">
        <v>-490</v>
      </c>
      <c r="P18" s="14" t="n">
        <v>-490</v>
      </c>
      <c r="Q18" s="14" t="n">
        <v>-490</v>
      </c>
      <c r="R18" s="14" t="n">
        <f aca="false">SUM(F18:Q18)</f>
        <v>-5880</v>
      </c>
    </row>
    <row r="19" customFormat="false" ht="12.75" hidden="false" customHeight="false" outlineLevel="0" collapsed="false">
      <c r="A19" s="10"/>
      <c r="B19" s="8"/>
      <c r="D19" s="1" t="s">
        <v>45</v>
      </c>
      <c r="E19" s="1" t="s">
        <v>47</v>
      </c>
      <c r="F19" s="14" t="n">
        <v>-21013.173704</v>
      </c>
      <c r="G19" s="14" t="n">
        <v>-18567.16718912</v>
      </c>
      <c r="H19" s="14" t="n">
        <v>-20423.883908032</v>
      </c>
      <c r="I19" s="14" t="n">
        <v>-20423.883908032</v>
      </c>
      <c r="J19" s="14" t="n">
        <v>-18567.16718912</v>
      </c>
      <c r="K19" s="14" t="n">
        <v>-19495.525548576</v>
      </c>
      <c r="L19" s="14" t="n">
        <v>-18567.16718912</v>
      </c>
      <c r="M19" s="14" t="n">
        <v>-18567.16718912</v>
      </c>
      <c r="N19" s="14" t="n">
        <v>-20423.883908032</v>
      </c>
      <c r="O19" s="14" t="n">
        <v>-18567.16718912</v>
      </c>
      <c r="P19" s="14" t="n">
        <v>-19495.525548576</v>
      </c>
      <c r="Q19" s="14" t="n">
        <v>-19495.525548576</v>
      </c>
      <c r="R19" s="14" t="n">
        <f aca="false">SUM(F19:Q19)</f>
        <v>-233607.238019424</v>
      </c>
    </row>
    <row r="20" customFormat="false" ht="12.75" hidden="false" customHeight="false" outlineLevel="0" collapsed="false">
      <c r="A20" s="10"/>
      <c r="B20" s="8"/>
      <c r="D20" s="1" t="s">
        <v>45</v>
      </c>
      <c r="E20" s="1" t="s">
        <v>48</v>
      </c>
      <c r="F20" s="14" t="n">
        <v>-2521.58084448</v>
      </c>
      <c r="G20" s="14" t="n">
        <v>-2228.0600626944</v>
      </c>
      <c r="H20" s="14" t="n">
        <v>-2450.86606896384</v>
      </c>
      <c r="I20" s="14" t="n">
        <v>-2450.86606896384</v>
      </c>
      <c r="J20" s="14" t="n">
        <v>-2228.0600626944</v>
      </c>
      <c r="K20" s="14" t="n">
        <v>-2339.46306582912</v>
      </c>
      <c r="L20" s="14" t="n">
        <v>-2228.0600626944</v>
      </c>
      <c r="M20" s="14" t="n">
        <v>-2228.0600626944</v>
      </c>
      <c r="N20" s="14" t="n">
        <v>-2450.86606896384</v>
      </c>
      <c r="O20" s="14" t="n">
        <v>-2228.0600626944</v>
      </c>
      <c r="P20" s="14" t="n">
        <v>-2339.46306582912</v>
      </c>
      <c r="Q20" s="14" t="n">
        <v>-2339.46306582912</v>
      </c>
      <c r="R20" s="14" t="n">
        <f aca="false">SUM(F20:Q20)</f>
        <v>-28032.8685623309</v>
      </c>
    </row>
    <row r="21" customFormat="false" ht="12.75" hidden="false" customHeight="false" outlineLevel="0" collapsed="false">
      <c r="A21" s="10"/>
      <c r="B21" s="8"/>
      <c r="D21" s="1" t="s">
        <v>45</v>
      </c>
      <c r="E21" s="1" t="s">
        <v>123</v>
      </c>
      <c r="F21" s="14" t="n">
        <v>-945.958461538462</v>
      </c>
      <c r="G21" s="14" t="n">
        <v>-945.958461538462</v>
      </c>
      <c r="H21" s="14" t="n">
        <v>-945.958461538462</v>
      </c>
      <c r="I21" s="14" t="n">
        <v>-945.958461538462</v>
      </c>
      <c r="J21" s="14" t="n">
        <v>-945.958461538462</v>
      </c>
      <c r="K21" s="14" t="n">
        <v>-945.958461538462</v>
      </c>
      <c r="L21" s="14" t="n">
        <v>-945.958461538462</v>
      </c>
      <c r="M21" s="14" t="n">
        <v>-945.958461538462</v>
      </c>
      <c r="N21" s="14" t="n">
        <v>-945.958461538462</v>
      </c>
      <c r="O21" s="14" t="n">
        <v>-945.958461538462</v>
      </c>
      <c r="P21" s="14" t="n">
        <v>-945.958461538462</v>
      </c>
      <c r="Q21" s="14" t="n">
        <v>-945.958461538462</v>
      </c>
      <c r="R21" s="14" t="n">
        <f aca="false">SUM(F21:Q21)</f>
        <v>-11351.5015384615</v>
      </c>
    </row>
    <row r="22" customFormat="false" ht="12.75" hidden="false" customHeight="false" outlineLevel="0" collapsed="false">
      <c r="A22" s="10" t="s">
        <v>124</v>
      </c>
      <c r="B22" s="8" t="n">
        <v>-6684.53</v>
      </c>
      <c r="D22" s="1" t="s">
        <v>41</v>
      </c>
      <c r="E22" s="1" t="s">
        <v>51</v>
      </c>
      <c r="F22" s="14" t="n">
        <v>-200</v>
      </c>
      <c r="G22" s="14" t="n">
        <v>-200</v>
      </c>
      <c r="H22" s="14" t="n">
        <v>-200</v>
      </c>
      <c r="I22" s="14" t="n">
        <v>-200</v>
      </c>
      <c r="J22" s="14" t="n">
        <v>-200</v>
      </c>
      <c r="K22" s="14" t="n">
        <v>-200</v>
      </c>
      <c r="L22" s="14" t="n">
        <v>-200</v>
      </c>
      <c r="M22" s="14" t="n">
        <v>-200</v>
      </c>
      <c r="N22" s="14" t="n">
        <v>-200</v>
      </c>
      <c r="O22" s="14" t="n">
        <v>-200</v>
      </c>
      <c r="P22" s="14" t="n">
        <v>-200</v>
      </c>
      <c r="Q22" s="14" t="n">
        <v>-200</v>
      </c>
      <c r="R22" s="14" t="n">
        <f aca="false">SUM(F22:Q22)</f>
        <v>-2400</v>
      </c>
    </row>
    <row r="23" customFormat="false" ht="12.75" hidden="false" customHeight="false" outlineLevel="0" collapsed="false">
      <c r="A23" s="10" t="s">
        <v>125</v>
      </c>
      <c r="B23" s="8" t="n">
        <v>-1243504.14</v>
      </c>
      <c r="D23" s="21"/>
      <c r="E23" s="12" t="s">
        <v>53</v>
      </c>
      <c r="F23" s="13" t="n">
        <f aca="false">SUM(F15:F22)</f>
        <v>-33724.7069147804</v>
      </c>
      <c r="G23" s="13" t="n">
        <f aca="false">SUM(G15:G22)</f>
        <v>-30985.1796181148</v>
      </c>
      <c r="H23" s="13" t="n">
        <f aca="false">SUM(H15:H22)</f>
        <v>-33064.7023432962</v>
      </c>
      <c r="I23" s="13" t="n">
        <f aca="false">SUM(I15:I22)</f>
        <v>-33064.7023432962</v>
      </c>
      <c r="J23" s="13" t="n">
        <f aca="false">SUM(J15:J22)</f>
        <v>-30985.1796181148</v>
      </c>
      <c r="K23" s="13" t="n">
        <f aca="false">SUM(K15:K22)</f>
        <v>-32024.9409807055</v>
      </c>
      <c r="L23" s="13" t="n">
        <f aca="false">SUM(L15:L22)</f>
        <v>-30985.1796181148</v>
      </c>
      <c r="M23" s="13" t="n">
        <f aca="false">SUM(M15:M22)</f>
        <v>-30985.1796181148</v>
      </c>
      <c r="N23" s="13" t="n">
        <f aca="false">SUM(N15:N22)</f>
        <v>-33064.7023432962</v>
      </c>
      <c r="O23" s="13" t="n">
        <f aca="false">SUM(O15:O22)</f>
        <v>-30985.1796181148</v>
      </c>
      <c r="P23" s="13" t="n">
        <f aca="false">SUM(P15:P22)</f>
        <v>-32024.9409807055</v>
      </c>
      <c r="Q23" s="13" t="n">
        <f aca="false">SUM(Q15:Q22)</f>
        <v>-32024.9409807055</v>
      </c>
      <c r="R23" s="13" t="n">
        <f aca="false">SUM(F23:Q23)</f>
        <v>-383919.534977359</v>
      </c>
    </row>
    <row r="24" customFormat="false" ht="12.75" hidden="false" customHeight="false" outlineLevel="0" collapsed="false">
      <c r="A24" s="10" t="s">
        <v>126</v>
      </c>
      <c r="B24" s="8" t="n">
        <v>-142399.11</v>
      </c>
      <c r="D24" s="1"/>
      <c r="E24" s="12" t="s">
        <v>55</v>
      </c>
      <c r="F24" s="13" t="n">
        <f aca="false">+F6+F14</f>
        <v>103991.25</v>
      </c>
      <c r="G24" s="13" t="n">
        <f aca="false">+G6+G14</f>
        <v>105638.38</v>
      </c>
      <c r="H24" s="13" t="n">
        <f aca="false">+H6+H14</f>
        <v>101289.75</v>
      </c>
      <c r="I24" s="13" t="n">
        <f aca="false">+I6+I14</f>
        <v>132888.089138364</v>
      </c>
      <c r="J24" s="13" t="n">
        <f aca="false">+J6+J14</f>
        <v>134767.828591694</v>
      </c>
      <c r="K24" s="13" t="n">
        <f aca="false">+K6+K14</f>
        <v>116404.591965029</v>
      </c>
      <c r="L24" s="13" t="n">
        <f aca="false">+L6+L14</f>
        <v>149900.209741694</v>
      </c>
      <c r="M24" s="13" t="n">
        <f aca="false">+M6+M14</f>
        <v>146354.147441694</v>
      </c>
      <c r="N24" s="13" t="n">
        <f aca="false">+N6+N14</f>
        <v>110809.998963364</v>
      </c>
      <c r="O24" s="13" t="n">
        <f aca="false">+O6+O14</f>
        <v>126462.663141694</v>
      </c>
      <c r="P24" s="13" t="n">
        <f aca="false">+P6+P14</f>
        <v>117470.006790029</v>
      </c>
      <c r="Q24" s="13" t="n">
        <f aca="false">+Q6+Q14</f>
        <v>103173.108990029</v>
      </c>
      <c r="R24" s="45" t="n">
        <f aca="false">ROUND(+R6+R14,2)</f>
        <v>1449150.02</v>
      </c>
      <c r="S24" s="41" t="n">
        <f aca="false">FALSE()</f>
        <v>0</v>
      </c>
      <c r="U24" s="46"/>
    </row>
    <row r="25" customFormat="false" ht="12.75" hidden="false" customHeight="false" outlineLevel="0" collapsed="false">
      <c r="A25" s="10" t="s">
        <v>127</v>
      </c>
      <c r="B25" s="8" t="n">
        <v>-470.59</v>
      </c>
      <c r="D25" s="47"/>
      <c r="E25" s="23" t="s">
        <v>57</v>
      </c>
      <c r="F25" s="24" t="n">
        <f aca="false">+F24/F6</f>
        <v>0.441758501401894</v>
      </c>
      <c r="G25" s="24" t="n">
        <f aca="false">+G24/G6</f>
        <v>0.439727646068596</v>
      </c>
      <c r="H25" s="24" t="n">
        <f aca="false">+H24/H6</f>
        <v>0.416918726332169</v>
      </c>
      <c r="I25" s="24" t="n">
        <f aca="false">+I24/I6</f>
        <v>0.505188066511381</v>
      </c>
      <c r="J25" s="24" t="n">
        <f aca="false">+J24/J6</f>
        <v>0.513661957235264</v>
      </c>
      <c r="K25" s="24" t="n">
        <f aca="false">+K24/K6</f>
        <v>0.463178768233529</v>
      </c>
      <c r="L25" s="24" t="n">
        <f aca="false">+L24/L6</f>
        <v>0.571338396785898</v>
      </c>
      <c r="M25" s="24" t="n">
        <f aca="false">+M24/M6</f>
        <v>0.557822728242965</v>
      </c>
      <c r="N25" s="24" t="n">
        <f aca="false">+N24/N6</f>
        <v>0.437955155950192</v>
      </c>
      <c r="O25" s="24" t="n">
        <f aca="false">+O24/O6</f>
        <v>0.484036539134672</v>
      </c>
      <c r="P25" s="24" t="n">
        <f aca="false">+P24/P6</f>
        <v>0.4536395323023</v>
      </c>
      <c r="Q25" s="24" t="n">
        <f aca="false">+Q24/Q6</f>
        <v>0.425555954095908</v>
      </c>
      <c r="R25" s="24" t="n">
        <f aca="false">+R24/R6</f>
        <v>0.47736492299799</v>
      </c>
    </row>
    <row r="26" customFormat="false" ht="12.75" hidden="false" customHeight="false" outlineLevel="0" collapsed="false">
      <c r="A26" s="10" t="s">
        <v>128</v>
      </c>
      <c r="B26" s="8" t="n">
        <v>-149126.33</v>
      </c>
      <c r="D26" s="1"/>
      <c r="E26" s="12" t="s">
        <v>59</v>
      </c>
      <c r="F26" s="13" t="n">
        <f aca="false">F24-F40</f>
        <v>33255.78</v>
      </c>
      <c r="G26" s="13" t="n">
        <f aca="false">G24-G40</f>
        <v>16647.94</v>
      </c>
      <c r="H26" s="13" t="n">
        <f aca="false">H24-H40</f>
        <v>20831.91</v>
      </c>
      <c r="I26" s="13" t="n">
        <f aca="false">I24-I40</f>
        <v>39034.0087922363</v>
      </c>
      <c r="J26" s="13" t="n">
        <f aca="false">J24-J40</f>
        <v>42993.2709707483</v>
      </c>
      <c r="K26" s="13" t="n">
        <f aca="false">K24-K40</f>
        <v>23590.2729814923</v>
      </c>
      <c r="L26" s="13" t="n">
        <f aca="false">L24-L40</f>
        <v>58125.6521207483</v>
      </c>
      <c r="M26" s="13" t="n">
        <f aca="false">M24-M40</f>
        <v>54579.5898207483</v>
      </c>
      <c r="N26" s="13" t="n">
        <f aca="false">N24-N40</f>
        <v>16955.9186172363</v>
      </c>
      <c r="O26" s="13" t="n">
        <f aca="false">O24-O40</f>
        <v>34688.1055207483</v>
      </c>
      <c r="P26" s="13" t="n">
        <f aca="false">P24-P40</f>
        <v>24655.6878064922</v>
      </c>
      <c r="Q26" s="13" t="n">
        <f aca="false">Q24-Q40</f>
        <v>10358.7900064923</v>
      </c>
      <c r="R26" s="13" t="n">
        <f aca="false">SUM(F26:Q26)</f>
        <v>375716.926636942</v>
      </c>
    </row>
    <row r="27" customFormat="false" ht="12.75" hidden="false" customHeight="false" outlineLevel="0" collapsed="false">
      <c r="A27" s="10" t="s">
        <v>129</v>
      </c>
      <c r="B27" s="8" t="n">
        <v>-13288.52</v>
      </c>
      <c r="E27" s="23" t="s">
        <v>130</v>
      </c>
      <c r="F27" s="48" t="n">
        <f aca="false">+F26/F6</f>
        <v>0.141271727532375</v>
      </c>
      <c r="G27" s="48" t="n">
        <f aca="false">+G26/G6</f>
        <v>0.0692982935566716</v>
      </c>
      <c r="H27" s="48" t="n">
        <f aca="false">+H26/H6</f>
        <v>0.0857462219451264</v>
      </c>
      <c r="I27" s="48" t="n">
        <f aca="false">+I26/I6</f>
        <v>0.148391895449757</v>
      </c>
      <c r="J27" s="48" t="n">
        <f aca="false">+J26/J6</f>
        <v>0.163867058967674</v>
      </c>
      <c r="K27" s="48" t="n">
        <f aca="false">+K26/K6</f>
        <v>0.0938666885679465</v>
      </c>
      <c r="L27" s="48" t="n">
        <f aca="false">+L26/L6</f>
        <v>0.221543498518308</v>
      </c>
      <c r="M27" s="48" t="n">
        <f aca="false">+M26/M6</f>
        <v>0.208027829975375</v>
      </c>
      <c r="N27" s="48" t="n">
        <f aca="false">+N26/N6</f>
        <v>0.0670149991134432</v>
      </c>
      <c r="O27" s="48" t="n">
        <f aca="false">+O26/O6</f>
        <v>0.132768914779129</v>
      </c>
      <c r="P27" s="48" t="n">
        <f aca="false">+P26/P6</f>
        <v>0.095214046468226</v>
      </c>
      <c r="Q27" s="48" t="n">
        <f aca="false">+Q26/Q6</f>
        <v>0.0427266834124189</v>
      </c>
      <c r="R27" s="48" t="n">
        <f aca="false">+R26/R6</f>
        <v>0.123765020375934</v>
      </c>
    </row>
    <row r="28" customFormat="false" ht="12.75" hidden="false" customHeight="false" outlineLevel="0" collapsed="false">
      <c r="A28" s="10" t="s">
        <v>68</v>
      </c>
      <c r="B28" s="8" t="n">
        <v>-566.68</v>
      </c>
    </row>
    <row r="29" customFormat="false" ht="12.75" hidden="false" customHeight="false" outlineLevel="0" collapsed="false">
      <c r="A29" s="1" t="s">
        <v>131</v>
      </c>
      <c r="B29" s="8" t="n">
        <v>-150</v>
      </c>
    </row>
    <row r="30" customFormat="false" ht="12.75" hidden="false" customHeight="false" outlineLevel="0" collapsed="false">
      <c r="A30" s="1" t="s">
        <v>132</v>
      </c>
      <c r="B30" s="8" t="n">
        <v>-5366.69</v>
      </c>
      <c r="E30" s="46"/>
      <c r="F30" s="46" t="n">
        <f aca="false">+F23+F14</f>
        <v>-165136.39691478</v>
      </c>
      <c r="G30" s="46" t="n">
        <f aca="false">+G23+G14</f>
        <v>-165582.729618115</v>
      </c>
      <c r="H30" s="46" t="n">
        <f aca="false">+H23+H14</f>
        <v>-174723.382343296</v>
      </c>
      <c r="I30" s="46" t="n">
        <f aca="false">+I23+I14</f>
        <v>-163223.383204932</v>
      </c>
      <c r="J30" s="46" t="n">
        <f aca="false">+J23+J14</f>
        <v>-158584.12102642</v>
      </c>
      <c r="K30" s="46" t="n">
        <f aca="false">+K23+K14</f>
        <v>-166937.119015676</v>
      </c>
      <c r="L30" s="46" t="n">
        <f aca="false">+L23+L14</f>
        <v>-143451.73987642</v>
      </c>
      <c r="M30" s="46" t="n">
        <f aca="false">+M23+M14</f>
        <v>-146997.80217642</v>
      </c>
      <c r="N30" s="46" t="n">
        <f aca="false">+N23+N14</f>
        <v>-175271.473379932</v>
      </c>
      <c r="O30" s="46" t="n">
        <f aca="false">+O23+O14</f>
        <v>-165789.28647642</v>
      </c>
      <c r="P30" s="46" t="n">
        <f aca="false">+P23+P14</f>
        <v>-173505.044190676</v>
      </c>
      <c r="Q30" s="46" t="n">
        <f aca="false">+Q23+Q14</f>
        <v>-171294.941990676</v>
      </c>
      <c r="R30" s="46" t="n">
        <f aca="false">SUM(F30:Q30)</f>
        <v>-1970497.42021377</v>
      </c>
      <c r="S30" s="1"/>
    </row>
    <row r="31" customFormat="false" ht="12.75" hidden="false" customHeight="false" outlineLevel="0" collapsed="false">
      <c r="B31" s="8"/>
    </row>
    <row r="32" customFormat="false" ht="12.75" hidden="false" customHeight="false" outlineLevel="0" collapsed="false">
      <c r="A32" s="19" t="s">
        <v>75</v>
      </c>
      <c r="B32" s="20" t="n">
        <f aca="false">SUM(B19:B31)</f>
        <v>-1561556.59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customFormat="false" ht="12.75" hidden="false" customHeight="false" outlineLevel="0" collapsed="false">
      <c r="A33" s="1" t="s">
        <v>133</v>
      </c>
      <c r="B33" s="8" t="n">
        <v>-7700</v>
      </c>
      <c r="D33" s="49"/>
      <c r="E33" s="50" t="s">
        <v>134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46"/>
    </row>
    <row r="34" customFormat="false" ht="12.75" hidden="false" customHeight="false" outlineLevel="0" collapsed="false">
      <c r="A34" s="1" t="s">
        <v>36</v>
      </c>
      <c r="B34" s="8" t="n">
        <v>-2136.51</v>
      </c>
      <c r="E34" s="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46"/>
    </row>
    <row r="35" customFormat="false" ht="12.75" hidden="false" customHeight="false" outlineLevel="0" collapsed="false">
      <c r="A35" s="1" t="s">
        <v>77</v>
      </c>
      <c r="B35" s="8" t="n">
        <v>-76.14</v>
      </c>
      <c r="D35" s="46"/>
      <c r="E35" s="42" t="s">
        <v>67</v>
      </c>
      <c r="F35" s="52" t="n">
        <v>1923.67</v>
      </c>
      <c r="G35" s="52" t="n">
        <v>1870.84</v>
      </c>
      <c r="H35" s="52" t="n">
        <v>4121.99</v>
      </c>
      <c r="I35" s="51" t="n">
        <v>1229.14640833333</v>
      </c>
      <c r="J35" s="51" t="n">
        <v>1229.14640833333</v>
      </c>
      <c r="K35" s="51" t="n">
        <v>1229.14640833333</v>
      </c>
      <c r="L35" s="51" t="n">
        <v>1229.14640833333</v>
      </c>
      <c r="M35" s="51" t="n">
        <v>1229.14640833333</v>
      </c>
      <c r="N35" s="51" t="n">
        <v>1229.14640833333</v>
      </c>
      <c r="O35" s="51" t="n">
        <v>1229.14640833333</v>
      </c>
      <c r="P35" s="51" t="n">
        <v>1229.14640833333</v>
      </c>
      <c r="Q35" s="51" t="n">
        <v>1229.14640833333</v>
      </c>
    </row>
    <row r="36" customFormat="false" ht="12.75" hidden="false" customHeight="false" outlineLevel="0" collapsed="false">
      <c r="A36" s="1" t="s">
        <v>80</v>
      </c>
      <c r="B36" s="8" t="n">
        <v>-183.28</v>
      </c>
      <c r="E36" s="42" t="s">
        <v>69</v>
      </c>
      <c r="F36" s="52" t="n">
        <v>44895.42</v>
      </c>
      <c r="G36" s="52" t="n">
        <v>65554.35</v>
      </c>
      <c r="H36" s="52" t="n">
        <v>51784.73</v>
      </c>
      <c r="I36" s="51" t="n">
        <v>71289.7191986045</v>
      </c>
      <c r="J36" s="51" t="n">
        <v>69210.196473423</v>
      </c>
      <c r="K36" s="51" t="n">
        <v>70249.9578360138</v>
      </c>
      <c r="L36" s="51" t="n">
        <v>69210.196473423</v>
      </c>
      <c r="M36" s="51" t="n">
        <v>69210.196473423</v>
      </c>
      <c r="N36" s="51" t="n">
        <v>71289.7191986045</v>
      </c>
      <c r="O36" s="51" t="n">
        <v>69210.196473423</v>
      </c>
      <c r="P36" s="51" t="n">
        <v>70249.9578360138</v>
      </c>
      <c r="Q36" s="51" t="n">
        <v>70249.9578360138</v>
      </c>
    </row>
    <row r="37" customFormat="false" ht="12.75" hidden="false" customHeight="false" outlineLevel="0" collapsed="false">
      <c r="A37" s="1" t="s">
        <v>82</v>
      </c>
      <c r="B37" s="8" t="n">
        <v>-726.96</v>
      </c>
      <c r="E37" s="42" t="s">
        <v>71</v>
      </c>
      <c r="F37" s="53" t="n">
        <v>6229.43</v>
      </c>
      <c r="G37" s="53" t="n">
        <v>6426.32</v>
      </c>
      <c r="H37" s="53" t="n">
        <v>11233.31</v>
      </c>
      <c r="I37" s="44" t="n">
        <v>9644.7301289801</v>
      </c>
      <c r="J37" s="44" t="n">
        <v>9644.7301289801</v>
      </c>
      <c r="K37" s="44" t="n">
        <v>9644.7301289801</v>
      </c>
      <c r="L37" s="44" t="n">
        <v>9644.7301289801</v>
      </c>
      <c r="M37" s="44" t="n">
        <v>9644.7301289801</v>
      </c>
      <c r="N37" s="44" t="n">
        <v>9644.7301289801</v>
      </c>
      <c r="O37" s="44" t="n">
        <v>9644.7301289801</v>
      </c>
      <c r="P37" s="44" t="n">
        <v>9644.7301289801</v>
      </c>
      <c r="Q37" s="44" t="n">
        <v>9644.7301289801</v>
      </c>
    </row>
    <row r="38" customFormat="false" ht="12.75" hidden="false" customHeight="false" outlineLevel="0" collapsed="false">
      <c r="A38" s="1" t="s">
        <v>135</v>
      </c>
      <c r="B38" s="8" t="n">
        <v>-19.08</v>
      </c>
      <c r="E38" s="42" t="s">
        <v>73</v>
      </c>
      <c r="F38" s="53" t="n">
        <v>17686.95</v>
      </c>
      <c r="G38" s="53" t="n">
        <v>15138.93</v>
      </c>
      <c r="H38" s="53" t="n">
        <v>13317.81</v>
      </c>
      <c r="I38" s="44" t="n">
        <v>11690.4846102097</v>
      </c>
      <c r="J38" s="44" t="n">
        <v>11690.4846102097</v>
      </c>
      <c r="K38" s="44" t="n">
        <v>11690.4846102097</v>
      </c>
      <c r="L38" s="44" t="n">
        <v>11690.4846102097</v>
      </c>
      <c r="M38" s="44" t="n">
        <v>11690.4846102097</v>
      </c>
      <c r="N38" s="44" t="n">
        <v>11690.4846102097</v>
      </c>
      <c r="O38" s="44" t="n">
        <v>11690.4846102097</v>
      </c>
      <c r="P38" s="44" t="n">
        <v>11690.4846102097</v>
      </c>
      <c r="Q38" s="44" t="n">
        <v>11690.4846102097</v>
      </c>
    </row>
    <row r="39" customFormat="false" ht="12.75" hidden="false" customHeight="false" outlineLevel="0" collapsed="false">
      <c r="A39" s="1" t="s">
        <v>136</v>
      </c>
      <c r="B39" s="8" t="n">
        <v>-17.4</v>
      </c>
      <c r="E39" s="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customFormat="false" ht="12.75" hidden="false" customHeight="false" outlineLevel="0" collapsed="false">
      <c r="A40" s="1" t="s">
        <v>84</v>
      </c>
      <c r="B40" s="8" t="n">
        <v>-23.6</v>
      </c>
      <c r="E40" s="1"/>
      <c r="F40" s="51" t="n">
        <f aca="false">SUM(F35:F39)</f>
        <v>70735.47</v>
      </c>
      <c r="G40" s="51" t="n">
        <f aca="false">SUM(G35:G39)</f>
        <v>88990.44</v>
      </c>
      <c r="H40" s="51" t="n">
        <f aca="false">SUM(H35:H39)</f>
        <v>80457.84</v>
      </c>
      <c r="I40" s="51" t="n">
        <f aca="false">SUM(I35:I39)</f>
        <v>93854.0803461276</v>
      </c>
      <c r="J40" s="51" t="n">
        <f aca="false">SUM(J35:J39)</f>
        <v>91774.5576209461</v>
      </c>
      <c r="K40" s="51" t="n">
        <f aca="false">SUM(K35:K39)</f>
        <v>92814.3189835369</v>
      </c>
      <c r="L40" s="51" t="n">
        <f aca="false">SUM(L35:L39)</f>
        <v>91774.5576209461</v>
      </c>
      <c r="M40" s="51" t="n">
        <f aca="false">SUM(M35:M39)</f>
        <v>91774.5576209461</v>
      </c>
      <c r="N40" s="51" t="n">
        <f aca="false">SUM(N35:N39)</f>
        <v>93854.0803461276</v>
      </c>
      <c r="O40" s="51" t="n">
        <f aca="false">SUM(O35:O39)</f>
        <v>91774.5576209461</v>
      </c>
      <c r="P40" s="51" t="n">
        <f aca="false">SUM(P35:P39)</f>
        <v>92814.3189835369</v>
      </c>
      <c r="Q40" s="51" t="n">
        <f aca="false">SUM(Q35:Q39)</f>
        <v>92814.3189835369</v>
      </c>
    </row>
    <row r="41" customFormat="false" ht="12.75" hidden="false" customHeight="false" outlineLevel="0" collapsed="false">
      <c r="A41" s="1" t="s">
        <v>85</v>
      </c>
      <c r="B41" s="8" t="n">
        <v>-47440.7</v>
      </c>
      <c r="E41" s="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</row>
    <row r="42" customFormat="false" ht="12.75" hidden="false" customHeight="false" outlineLevel="0" collapsed="false">
      <c r="A42" s="1" t="s">
        <v>86</v>
      </c>
      <c r="B42" s="8" t="n">
        <v>-7582.75</v>
      </c>
      <c r="E42" s="1"/>
      <c r="F42" s="55"/>
      <c r="G42" s="55"/>
      <c r="H42" s="55"/>
      <c r="I42" s="55"/>
      <c r="J42" s="55"/>
      <c r="K42" s="55"/>
      <c r="L42" s="55"/>
      <c r="M42" s="55"/>
      <c r="N42" s="55"/>
      <c r="O42" s="55"/>
    </row>
    <row r="43" customFormat="false" ht="12.75" hidden="false" customHeight="false" outlineLevel="0" collapsed="false">
      <c r="A43" s="1" t="s">
        <v>137</v>
      </c>
      <c r="B43" s="8" t="n">
        <v>-321.67</v>
      </c>
      <c r="E43" s="1"/>
      <c r="F43" s="51"/>
      <c r="G43" s="51"/>
      <c r="H43" s="51"/>
      <c r="I43" s="51"/>
      <c r="J43" s="51"/>
      <c r="K43" s="51"/>
      <c r="L43" s="51"/>
      <c r="M43" s="51"/>
      <c r="N43" s="51"/>
      <c r="O43" s="51"/>
    </row>
    <row r="44" customFormat="false" ht="12.75" hidden="false" customHeight="false" outlineLevel="0" collapsed="false">
      <c r="A44" s="1" t="s">
        <v>44</v>
      </c>
      <c r="B44" s="8" t="n">
        <v>-981.99</v>
      </c>
      <c r="P44" s="46"/>
    </row>
    <row r="45" customFormat="false" ht="12.75" hidden="false" customHeight="false" outlineLevel="0" collapsed="false">
      <c r="A45" s="1" t="s">
        <v>87</v>
      </c>
      <c r="B45" s="8" t="n">
        <v>3051.93</v>
      </c>
      <c r="E45" s="14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customFormat="false" ht="12.75" hidden="false" customHeight="false" outlineLevel="0" collapsed="false">
      <c r="A46" s="1" t="s">
        <v>88</v>
      </c>
      <c r="B46" s="8" t="n">
        <v>-1014.78</v>
      </c>
      <c r="E46" s="1"/>
      <c r="F46" s="57"/>
      <c r="G46" s="57"/>
      <c r="H46" s="57"/>
      <c r="I46" s="57"/>
      <c r="J46" s="57"/>
      <c r="K46" s="57"/>
      <c r="L46" s="57"/>
      <c r="M46" s="57"/>
      <c r="N46" s="57"/>
      <c r="O46" s="57"/>
    </row>
    <row r="47" customFormat="false" ht="12.75" hidden="false" customHeight="false" outlineLevel="0" collapsed="false">
      <c r="A47" s="1" t="s">
        <v>89</v>
      </c>
      <c r="B47" s="8" t="n">
        <v>-69445.94</v>
      </c>
    </row>
    <row r="48" customFormat="false" ht="12.75" hidden="false" customHeight="false" outlineLevel="0" collapsed="false">
      <c r="A48" s="1" t="s">
        <v>90</v>
      </c>
      <c r="B48" s="8" t="n">
        <v>-382.43</v>
      </c>
    </row>
    <row r="49" customFormat="false" ht="12.75" hidden="false" customHeight="false" outlineLevel="0" collapsed="false">
      <c r="A49" s="1" t="s">
        <v>91</v>
      </c>
      <c r="B49" s="8" t="n">
        <v>-975.04</v>
      </c>
      <c r="E49" s="1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customFormat="false" ht="12.75" hidden="false" customHeight="false" outlineLevel="0" collapsed="false">
      <c r="A50" s="1" t="s">
        <v>92</v>
      </c>
      <c r="B50" s="8" t="n">
        <v>-16021.62</v>
      </c>
      <c r="E50" s="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</row>
    <row r="51" customFormat="false" ht="12.75" hidden="false" customHeight="false" outlineLevel="0" collapsed="false">
      <c r="A51" s="1" t="s">
        <v>138</v>
      </c>
      <c r="B51" s="8" t="n">
        <v>-123072.04</v>
      </c>
      <c r="E51" s="1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1"/>
    </row>
    <row r="52" customFormat="false" ht="12.75" hidden="false" customHeight="false" outlineLevel="0" collapsed="false">
      <c r="A52" s="1" t="s">
        <v>95</v>
      </c>
      <c r="B52" s="8" t="n">
        <v>-2036.52</v>
      </c>
      <c r="E52" s="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</row>
    <row r="53" customFormat="false" ht="12.75" hidden="false" customHeight="false" outlineLevel="0" collapsed="false">
      <c r="A53" s="1" t="s">
        <v>96</v>
      </c>
      <c r="B53" s="8" t="n">
        <v>-390</v>
      </c>
      <c r="E53" s="1"/>
      <c r="F53" s="56"/>
      <c r="G53" s="56"/>
      <c r="H53" s="56"/>
      <c r="I53" s="56"/>
      <c r="J53" s="56"/>
      <c r="K53" s="56"/>
      <c r="L53" s="56"/>
      <c r="M53" s="56"/>
      <c r="N53" s="56"/>
      <c r="O53" s="56"/>
    </row>
    <row r="54" customFormat="false" ht="12.75" hidden="false" customHeight="false" outlineLevel="0" collapsed="false">
      <c r="A54" s="1" t="s">
        <v>97</v>
      </c>
      <c r="B54" s="8" t="n">
        <v>-770</v>
      </c>
      <c r="E54" s="4"/>
      <c r="F54" s="54"/>
      <c r="G54" s="54"/>
      <c r="H54" s="54"/>
      <c r="I54" s="54"/>
      <c r="J54" s="54"/>
      <c r="K54" s="54"/>
      <c r="L54" s="54"/>
      <c r="M54" s="54"/>
      <c r="N54" s="54"/>
      <c r="O54" s="54"/>
    </row>
    <row r="55" customFormat="false" ht="12.75" hidden="false" customHeight="false" outlineLevel="0" collapsed="false">
      <c r="A55" s="1" t="s">
        <v>139</v>
      </c>
      <c r="B55" s="8" t="n">
        <v>-9808.21</v>
      </c>
    </row>
    <row r="56" customFormat="false" ht="12.75" hidden="false" customHeight="false" outlineLevel="0" collapsed="false">
      <c r="A56" s="1" t="s">
        <v>140</v>
      </c>
      <c r="B56" s="8" t="n">
        <v>-80</v>
      </c>
    </row>
    <row r="57" customFormat="false" ht="12.75" hidden="false" customHeight="false" outlineLevel="0" collapsed="false">
      <c r="A57" s="1" t="s">
        <v>99</v>
      </c>
      <c r="B57" s="8" t="n">
        <v>-17285.6</v>
      </c>
    </row>
    <row r="58" customFormat="false" ht="12.75" hidden="false" customHeight="false" outlineLevel="0" collapsed="false">
      <c r="A58" s="1" t="s">
        <v>100</v>
      </c>
      <c r="B58" s="8" t="n">
        <v>-4273.88</v>
      </c>
    </row>
    <row r="59" customFormat="false" ht="12.75" hidden="false" customHeight="false" outlineLevel="0" collapsed="false">
      <c r="B59" s="8"/>
    </row>
    <row r="60" customFormat="false" ht="12.75" hidden="false" customHeight="false" outlineLevel="0" collapsed="false">
      <c r="A60" s="19" t="s">
        <v>53</v>
      </c>
      <c r="B60" s="20" t="n">
        <f aca="false">SUM(B33:B59)</f>
        <v>-309714.21</v>
      </c>
    </row>
    <row r="61" customFormat="false" ht="12.75" hidden="false" customHeight="false" outlineLevel="0" collapsed="false">
      <c r="A61" s="1" t="s">
        <v>101</v>
      </c>
      <c r="B61" s="8" t="e">
        <f aca="false">+#REF!+B32+B60</f>
        <v>#REF!</v>
      </c>
    </row>
  </sheetData>
  <conditionalFormatting sqref="E25:R2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E27:R27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2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U31" activeCellId="0" sqref="U31"/>
    </sheetView>
  </sheetViews>
  <sheetFormatPr defaultColWidth="8.6796875" defaultRowHeight="12.75" zeroHeight="false" outlineLevelRow="0" outlineLevelCol="0"/>
  <cols>
    <col collapsed="false" customWidth="true" hidden="true" outlineLevel="0" max="1" min="1" style="1" width="31.29"/>
    <col collapsed="false" customWidth="true" hidden="true" outlineLevel="0" max="3" min="2" style="2" width="15.14"/>
    <col collapsed="false" customWidth="true" hidden="true" outlineLevel="0" max="4" min="4" style="2" width="13.15"/>
    <col collapsed="false" customWidth="true" hidden="false" outlineLevel="0" max="5" min="5" style="0" width="2.71"/>
    <col collapsed="false" customWidth="true" hidden="false" outlineLevel="0" max="6" min="6" style="0" width="8"/>
    <col collapsed="false" customWidth="true" hidden="false" outlineLevel="0" max="7" min="7" style="0" width="36.57"/>
    <col collapsed="false" customWidth="true" hidden="false" outlineLevel="0" max="8" min="8" style="0" width="11.71"/>
    <col collapsed="false" customWidth="true" hidden="false" outlineLevel="0" max="9" min="9" style="0" width="12.42"/>
    <col collapsed="false" customWidth="true" hidden="false" outlineLevel="0" max="12" min="10" style="0" width="11.71"/>
    <col collapsed="false" customWidth="true" hidden="false" outlineLevel="0" max="13" min="13" style="0" width="12.42"/>
    <col collapsed="false" customWidth="true" hidden="false" outlineLevel="0" max="14" min="14" style="0" width="11.57"/>
    <col collapsed="false" customWidth="true" hidden="false" outlineLevel="0" max="15" min="15" style="0" width="11.85"/>
    <col collapsed="false" customWidth="true" hidden="false" outlineLevel="0" max="16" min="16" style="0" width="11.57"/>
    <col collapsed="false" customWidth="true" hidden="false" outlineLevel="0" max="17" min="17" style="0" width="13.29"/>
    <col collapsed="false" customWidth="true" hidden="false" outlineLevel="0" max="19" min="18" style="0" width="11.57"/>
    <col collapsed="false" customWidth="true" hidden="false" outlineLevel="0" max="20" min="20" style="0" width="14.57"/>
    <col collapsed="false" customWidth="true" hidden="false" outlineLevel="0" max="22" min="22" style="0" width="22.86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F1" s="1"/>
      <c r="G1" s="4" t="s">
        <v>103</v>
      </c>
      <c r="H1" s="5" t="s">
        <v>2</v>
      </c>
      <c r="I1" s="5" t="s">
        <v>3</v>
      </c>
      <c r="J1" s="5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6" t="s">
        <v>15</v>
      </c>
    </row>
    <row r="2" customFormat="false" ht="12.75" hidden="false" customHeight="false" outlineLevel="0" collapsed="false">
      <c r="B2" s="4" t="s">
        <v>141</v>
      </c>
      <c r="C2" s="4" t="s">
        <v>142</v>
      </c>
      <c r="D2" s="4" t="s">
        <v>14</v>
      </c>
      <c r="F2" s="1" t="s">
        <v>18</v>
      </c>
      <c r="G2" s="1"/>
      <c r="H2" s="36" t="n">
        <v>110842.53</v>
      </c>
      <c r="I2" s="36" t="n">
        <v>268942.12</v>
      </c>
      <c r="J2" s="36" t="n">
        <v>80606.62</v>
      </c>
      <c r="K2" s="14" t="n">
        <v>587307.02</v>
      </c>
      <c r="L2" s="14" t="n">
        <v>241601.02</v>
      </c>
      <c r="M2" s="14" t="n">
        <v>62316.02</v>
      </c>
      <c r="N2" s="14" t="n">
        <v>64261.936667</v>
      </c>
      <c r="O2" s="14" t="n">
        <v>281912.02</v>
      </c>
      <c r="P2" s="14" t="n">
        <v>128882.02</v>
      </c>
      <c r="Q2" s="14" t="n">
        <v>98752.02</v>
      </c>
      <c r="R2" s="14" t="n">
        <v>135511.936667</v>
      </c>
      <c r="S2" s="14" t="n">
        <v>82637.02</v>
      </c>
      <c r="T2" s="8" t="n">
        <f aca="false">SUM(H2:S2)</f>
        <v>2143572.283334</v>
      </c>
      <c r="U2" s="41" t="n">
        <f aca="false">TRUE()</f>
        <v>1</v>
      </c>
    </row>
    <row r="3" customFormat="false" ht="12.75" hidden="false" customHeight="false" outlineLevel="0" collapsed="false">
      <c r="A3" s="10" t="s">
        <v>20</v>
      </c>
      <c r="B3" s="8" t="n">
        <v>19800</v>
      </c>
      <c r="C3" s="8" t="n">
        <v>0</v>
      </c>
      <c r="D3" s="8" t="n">
        <f aca="false">B3+C3</f>
        <v>19800</v>
      </c>
      <c r="F3" s="21" t="s">
        <v>143</v>
      </c>
      <c r="G3" s="12" t="s">
        <v>23</v>
      </c>
      <c r="H3" s="58" t="n">
        <f aca="false">SUM(H2:H2)</f>
        <v>110842.53</v>
      </c>
      <c r="I3" s="58" t="n">
        <f aca="false">SUM(I2:I2)</f>
        <v>268942.12</v>
      </c>
      <c r="J3" s="58" t="n">
        <f aca="false">SUM(J2:J2)</f>
        <v>80606.62</v>
      </c>
      <c r="K3" s="58" t="n">
        <f aca="false">SUM(K2:K2)</f>
        <v>587307.02</v>
      </c>
      <c r="L3" s="58" t="n">
        <f aca="false">SUM(L2:L2)</f>
        <v>241601.02</v>
      </c>
      <c r="M3" s="58" t="n">
        <f aca="false">SUM(M2:M2)</f>
        <v>62316.02</v>
      </c>
      <c r="N3" s="58" t="n">
        <f aca="false">SUM(N2:N2)</f>
        <v>64261.936667</v>
      </c>
      <c r="O3" s="58" t="n">
        <f aca="false">SUM(O2:O2)</f>
        <v>281912.02</v>
      </c>
      <c r="P3" s="58" t="n">
        <f aca="false">SUM(P2:P2)</f>
        <v>128882.02</v>
      </c>
      <c r="Q3" s="58" t="n">
        <f aca="false">SUM(Q2:Q2)</f>
        <v>98752.02</v>
      </c>
      <c r="R3" s="58" t="n">
        <f aca="false">SUM(R2:R2)</f>
        <v>135511.936667</v>
      </c>
      <c r="S3" s="58" t="n">
        <f aca="false">SUM(S2:S2)</f>
        <v>82637.02</v>
      </c>
      <c r="T3" s="58" t="n">
        <f aca="false">SUM(H3:S3)</f>
        <v>2143572.283334</v>
      </c>
    </row>
    <row r="4" customFormat="false" ht="12.75" hidden="false" customHeight="false" outlineLevel="0" collapsed="false">
      <c r="A4" s="10" t="s">
        <v>22</v>
      </c>
      <c r="B4" s="8" t="n">
        <v>702</v>
      </c>
      <c r="C4" s="8" t="n">
        <v>17400</v>
      </c>
      <c r="D4" s="8" t="n">
        <f aca="false">B4+C4</f>
        <v>18102</v>
      </c>
      <c r="F4" s="1" t="s">
        <v>45</v>
      </c>
      <c r="G4" s="1" t="s">
        <v>144</v>
      </c>
      <c r="H4" s="7" t="n">
        <v>-10096.74</v>
      </c>
      <c r="I4" s="7" t="n">
        <v>-29119.07</v>
      </c>
      <c r="J4" s="7" t="n">
        <v>-5791.88</v>
      </c>
      <c r="K4" s="8" t="n">
        <v>-20870.24014416</v>
      </c>
      <c r="L4" s="8" t="n">
        <v>-18972.9455856</v>
      </c>
      <c r="M4" s="8" t="n">
        <v>-19921.59286488</v>
      </c>
      <c r="N4" s="8" t="n">
        <v>-18972.9455856</v>
      </c>
      <c r="O4" s="8" t="n">
        <v>-18972.9455856</v>
      </c>
      <c r="P4" s="8" t="n">
        <v>-20870.24014416</v>
      </c>
      <c r="Q4" s="8" t="n">
        <v>-18972.9455856</v>
      </c>
      <c r="R4" s="8" t="n">
        <v>-19921.59286488</v>
      </c>
      <c r="S4" s="8" t="n">
        <v>-19921.59286488</v>
      </c>
      <c r="T4" s="8" t="n">
        <f aca="false">SUM(H4:S4)</f>
        <v>-222404.73122536</v>
      </c>
    </row>
    <row r="5" customFormat="false" ht="12.75" hidden="false" customHeight="false" outlineLevel="0" collapsed="false">
      <c r="A5" s="10"/>
      <c r="B5" s="8"/>
      <c r="C5" s="8"/>
      <c r="D5" s="8"/>
      <c r="F5" s="1"/>
      <c r="G5" s="1" t="s">
        <v>145</v>
      </c>
      <c r="H5" s="7" t="n">
        <v>-424.53</v>
      </c>
      <c r="I5" s="7" t="n">
        <v>-3502.18</v>
      </c>
      <c r="J5" s="7" t="n">
        <v>-774.69</v>
      </c>
      <c r="K5" s="8" t="n">
        <v>-9418.8314528</v>
      </c>
      <c r="L5" s="8" t="n">
        <v>-15240.574048</v>
      </c>
      <c r="M5" s="8" t="n">
        <v>-4783.5627504</v>
      </c>
      <c r="N5" s="8" t="n">
        <v>-4555.774048</v>
      </c>
      <c r="O5" s="8" t="n">
        <v>-4555.774048</v>
      </c>
      <c r="P5" s="8" t="n">
        <v>-5011.3514528</v>
      </c>
      <c r="Q5" s="8" t="n">
        <v>-4555.774048</v>
      </c>
      <c r="R5" s="8" t="n">
        <v>-4783.5627504</v>
      </c>
      <c r="S5" s="8" t="n">
        <v>-4783.5627504</v>
      </c>
      <c r="T5" s="8" t="n">
        <f aca="false">SUM(H5:S5)</f>
        <v>-62390.1673488</v>
      </c>
    </row>
    <row r="6" customFormat="false" ht="12.75" hidden="false" customHeight="false" outlineLevel="0" collapsed="false">
      <c r="A6" s="10" t="s">
        <v>27</v>
      </c>
      <c r="B6" s="8" t="n">
        <v>765832.93</v>
      </c>
      <c r="C6" s="8" t="n">
        <v>10020</v>
      </c>
      <c r="D6" s="8" t="n">
        <f aca="false">B6+C6</f>
        <v>775852.93</v>
      </c>
      <c r="F6" s="1" t="s">
        <v>45</v>
      </c>
      <c r="G6" s="1" t="s">
        <v>146</v>
      </c>
      <c r="H6" s="7" t="n">
        <v>-1611.44</v>
      </c>
      <c r="I6" s="7" t="n">
        <v>-5026.96</v>
      </c>
      <c r="J6" s="7" t="n">
        <v>-3381.07</v>
      </c>
      <c r="K6" s="8" t="n">
        <v>-2504.4288172992</v>
      </c>
      <c r="L6" s="8" t="n">
        <v>-2276.753470272</v>
      </c>
      <c r="M6" s="8" t="n">
        <v>-2390.5911437856</v>
      </c>
      <c r="N6" s="8" t="n">
        <v>-2276.753470272</v>
      </c>
      <c r="O6" s="8" t="n">
        <v>-2276.753470272</v>
      </c>
      <c r="P6" s="8" t="n">
        <v>-2504.4288172992</v>
      </c>
      <c r="Q6" s="8" t="n">
        <v>-2276.753470272</v>
      </c>
      <c r="R6" s="8" t="n">
        <v>-2390.5911437856</v>
      </c>
      <c r="S6" s="8" t="n">
        <v>-2390.5911437856</v>
      </c>
      <c r="T6" s="8" t="n">
        <f aca="false">SUM(H6:S6)</f>
        <v>-31307.1149470432</v>
      </c>
    </row>
    <row r="7" customFormat="false" ht="12.75" hidden="false" customHeight="false" outlineLevel="0" collapsed="false">
      <c r="A7" s="10"/>
      <c r="B7" s="8"/>
      <c r="C7" s="8"/>
      <c r="D7" s="8"/>
      <c r="F7" s="1"/>
      <c r="G7" s="1" t="s">
        <v>147</v>
      </c>
      <c r="H7" s="7" t="n">
        <v>-331.62</v>
      </c>
      <c r="I7" s="7" t="n">
        <v>-507.42</v>
      </c>
      <c r="J7" s="7" t="n">
        <v>-978.23</v>
      </c>
      <c r="K7" s="8" t="n">
        <v>-1130.259774336</v>
      </c>
      <c r="L7" s="8" t="n">
        <v>-1828.86888576</v>
      </c>
      <c r="M7" s="8" t="n">
        <v>-574.027530048</v>
      </c>
      <c r="N7" s="8" t="n">
        <v>-546.69288576</v>
      </c>
      <c r="O7" s="8" t="n">
        <v>-546.69288576</v>
      </c>
      <c r="P7" s="8" t="n">
        <v>-601.362174336</v>
      </c>
      <c r="Q7" s="8" t="n">
        <v>-546.69288576</v>
      </c>
      <c r="R7" s="8" t="n">
        <v>-574.027530048</v>
      </c>
      <c r="S7" s="8" t="n">
        <v>-574.027530048</v>
      </c>
      <c r="T7" s="8" t="n">
        <f aca="false">SUM(H7:S7)</f>
        <v>-8739.922081856</v>
      </c>
    </row>
    <row r="8" customFormat="false" ht="12.75" hidden="false" customHeight="false" outlineLevel="0" collapsed="false">
      <c r="A8" s="10"/>
      <c r="B8" s="8"/>
      <c r="C8" s="8"/>
      <c r="D8" s="8"/>
      <c r="F8" s="1"/>
      <c r="G8" s="1" t="s">
        <v>148</v>
      </c>
      <c r="H8" s="7" t="n">
        <v>0</v>
      </c>
      <c r="I8" s="7" t="n">
        <v>0</v>
      </c>
      <c r="J8" s="7" t="n">
        <v>0</v>
      </c>
      <c r="K8" s="8" t="n">
        <v>-3326.4</v>
      </c>
      <c r="L8" s="8" t="n">
        <v>-8064</v>
      </c>
      <c r="M8" s="8"/>
      <c r="N8" s="8"/>
      <c r="O8" s="8"/>
      <c r="P8" s="8"/>
      <c r="Q8" s="8"/>
      <c r="R8" s="8"/>
      <c r="S8" s="8"/>
      <c r="T8" s="8" t="n">
        <f aca="false">SUM(H8:S8)</f>
        <v>-11390.4</v>
      </c>
    </row>
    <row r="9" customFormat="false" ht="12.75" hidden="false" customHeight="false" outlineLevel="0" collapsed="false">
      <c r="A9" s="10" t="s">
        <v>149</v>
      </c>
      <c r="B9" s="8" t="n">
        <v>0</v>
      </c>
      <c r="C9" s="8" t="n">
        <v>1500</v>
      </c>
      <c r="D9" s="8" t="n">
        <f aca="false">B9+C9</f>
        <v>1500</v>
      </c>
      <c r="F9" s="1" t="s">
        <v>45</v>
      </c>
      <c r="G9" s="1" t="s">
        <v>150</v>
      </c>
      <c r="H9" s="7" t="n">
        <v>-3414.34</v>
      </c>
      <c r="I9" s="7" t="n">
        <v>-14287.98</v>
      </c>
      <c r="J9" s="7" t="n">
        <v>-2131.06</v>
      </c>
      <c r="K9" s="8" t="n">
        <v>-6531.410725</v>
      </c>
      <c r="L9" s="8" t="n">
        <v>-4420.72965</v>
      </c>
      <c r="M9" s="8" t="n">
        <v>-21556.2165</v>
      </c>
      <c r="N9" s="8" t="n">
        <v>-500</v>
      </c>
      <c r="O9" s="8" t="n">
        <v>-12506.42405</v>
      </c>
      <c r="P9" s="8" t="n">
        <v>-4362.729575</v>
      </c>
      <c r="Q9" s="8" t="n">
        <v>-2129.491</v>
      </c>
      <c r="R9" s="8" t="n">
        <v>-8377.210475</v>
      </c>
      <c r="S9" s="8" t="n">
        <v>-19210.916375</v>
      </c>
      <c r="T9" s="14" t="n">
        <f aca="false">SUM(H9:S9)</f>
        <v>-99428.50835</v>
      </c>
      <c r="V9" s="1" t="s">
        <v>151</v>
      </c>
    </row>
    <row r="10" customFormat="false" ht="12.75" hidden="false" customHeight="false" outlineLevel="0" collapsed="false">
      <c r="A10" s="10"/>
      <c r="B10" s="8"/>
      <c r="C10" s="8"/>
      <c r="D10" s="8"/>
      <c r="F10" s="1"/>
      <c r="G10" s="1" t="s">
        <v>152</v>
      </c>
      <c r="H10" s="7" t="n">
        <v>-2339.02</v>
      </c>
      <c r="I10" s="7" t="n">
        <v>-820.37</v>
      </c>
      <c r="J10" s="7" t="n">
        <v>263.6</v>
      </c>
      <c r="K10" s="8" t="n">
        <v>0</v>
      </c>
      <c r="L10" s="8" t="n">
        <v>-497.153975</v>
      </c>
      <c r="M10" s="8" t="n">
        <v>-497.153975</v>
      </c>
      <c r="N10" s="8" t="n">
        <v>-189.388</v>
      </c>
      <c r="O10" s="8" t="n">
        <v>-4188.145925</v>
      </c>
      <c r="P10" s="8" t="n">
        <v>-2651.03395</v>
      </c>
      <c r="Q10" s="8" t="n">
        <v>0</v>
      </c>
      <c r="R10" s="8" t="n">
        <v>-1127.476625</v>
      </c>
      <c r="S10" s="8" t="n">
        <v>-1874.66885</v>
      </c>
      <c r="T10" s="14" t="n">
        <f aca="false">SUM(H10:S10)</f>
        <v>-13920.8113</v>
      </c>
      <c r="V10" s="1" t="n">
        <v>1.0475</v>
      </c>
    </row>
    <row r="11" customFormat="false" ht="12.75" hidden="false" customHeight="false" outlineLevel="0" collapsed="false">
      <c r="A11" s="10" t="s">
        <v>153</v>
      </c>
      <c r="B11" s="8" t="n">
        <v>31846</v>
      </c>
      <c r="C11" s="8" t="n">
        <v>375041.86</v>
      </c>
      <c r="D11" s="8" t="n">
        <f aca="false">B11+C11</f>
        <v>406887.86</v>
      </c>
      <c r="F11" s="1"/>
      <c r="G11" s="1" t="s">
        <v>154</v>
      </c>
      <c r="H11" s="7" t="n">
        <v>-22897.92</v>
      </c>
      <c r="I11" s="7" t="n">
        <v>-64436.16</v>
      </c>
      <c r="J11" s="7" t="n">
        <v>-2861.3</v>
      </c>
      <c r="K11" s="8" t="n">
        <v>-222259.632790303</v>
      </c>
      <c r="L11" s="8" t="n">
        <v>-47487.3772969866</v>
      </c>
      <c r="M11" s="8" t="n">
        <v>-29486.687830303</v>
      </c>
      <c r="N11" s="8" t="n">
        <v>-17314.124410303</v>
      </c>
      <c r="O11" s="8" t="n">
        <v>-58917.731590303</v>
      </c>
      <c r="P11" s="8" t="n">
        <v>-19339.1580849184</v>
      </c>
      <c r="Q11" s="8" t="n">
        <v>-18365.506270303</v>
      </c>
      <c r="R11" s="8" t="n">
        <v>-21368.109230303</v>
      </c>
      <c r="S11" s="8" t="n">
        <v>-32615.714230303</v>
      </c>
      <c r="T11" s="8" t="n">
        <f aca="false">SUM(H11:S11)</f>
        <v>-557349.421734026</v>
      </c>
    </row>
    <row r="12" customFormat="false" ht="12.75" hidden="false" customHeight="false" outlineLevel="0" collapsed="false">
      <c r="A12" s="10"/>
      <c r="B12" s="8"/>
      <c r="C12" s="8"/>
      <c r="D12" s="8"/>
      <c r="F12" s="1"/>
      <c r="G12" s="1" t="s">
        <v>155</v>
      </c>
      <c r="H12" s="7" t="n">
        <v>0</v>
      </c>
      <c r="I12" s="7" t="n">
        <v>-95</v>
      </c>
      <c r="J12" s="7" t="n">
        <v>0</v>
      </c>
      <c r="K12" s="8" t="n">
        <v>-1258.66584</v>
      </c>
      <c r="L12" s="8" t="n">
        <v>-346.410043793104</v>
      </c>
      <c r="M12" s="8" t="n">
        <v>-893.952</v>
      </c>
      <c r="N12" s="8" t="n">
        <v>-460.65</v>
      </c>
      <c r="O12" s="8" t="n">
        <v>-1133.99</v>
      </c>
      <c r="P12" s="8" t="n">
        <v>-446.836645384615</v>
      </c>
      <c r="Q12" s="8" t="n">
        <v>-345</v>
      </c>
      <c r="R12" s="8" t="n">
        <v>-345</v>
      </c>
      <c r="S12" s="8" t="n">
        <v>-345</v>
      </c>
      <c r="T12" s="8" t="n">
        <f aca="false">SUM(H12:S12)</f>
        <v>-5670.50452917772</v>
      </c>
    </row>
    <row r="13" customFormat="false" ht="12.75" hidden="false" customHeight="false" outlineLevel="0" collapsed="false">
      <c r="A13" s="10"/>
      <c r="B13" s="8"/>
      <c r="C13" s="8"/>
      <c r="D13" s="8"/>
      <c r="F13" s="1"/>
      <c r="G13" s="1" t="s">
        <v>156</v>
      </c>
      <c r="H13" s="7" t="n">
        <v>-3622.49</v>
      </c>
      <c r="I13" s="7" t="n">
        <v>-7317.94</v>
      </c>
      <c r="J13" s="7" t="n">
        <v>-2257.7</v>
      </c>
      <c r="K13" s="8" t="n">
        <v>-18324.80932</v>
      </c>
      <c r="L13" s="8" t="n">
        <v>-4971.23744557302</v>
      </c>
      <c r="M13" s="8" t="n">
        <v>-2944.67516</v>
      </c>
      <c r="N13" s="8" t="n">
        <v>-526.84486</v>
      </c>
      <c r="O13" s="8" t="n">
        <v>-6582.96248</v>
      </c>
      <c r="P13" s="8" t="n">
        <v>-3452.4359248718</v>
      </c>
      <c r="Q13" s="8" t="n">
        <v>-782.632852546351</v>
      </c>
      <c r="R13" s="8" t="n">
        <v>-1663.818</v>
      </c>
      <c r="S13" s="8" t="n">
        <v>-3866.4622</v>
      </c>
      <c r="T13" s="8" t="n">
        <f aca="false">SUM(H13:S13)</f>
        <v>-56314.0082429912</v>
      </c>
    </row>
    <row r="14" customFormat="false" ht="12.75" hidden="false" customHeight="false" outlineLevel="0" collapsed="false">
      <c r="A14" s="10"/>
      <c r="B14" s="8"/>
      <c r="C14" s="8"/>
      <c r="D14" s="8"/>
      <c r="F14" s="1"/>
      <c r="G14" s="1" t="s">
        <v>157</v>
      </c>
      <c r="H14" s="7" t="n">
        <v>0</v>
      </c>
      <c r="I14" s="7" t="n">
        <v>0</v>
      </c>
      <c r="J14" s="7" t="n">
        <v>0</v>
      </c>
      <c r="K14" s="8" t="n">
        <v>-59.2642</v>
      </c>
      <c r="L14" s="8" t="n">
        <v>-117.800602586207</v>
      </c>
      <c r="M14" s="8" t="n">
        <v>0</v>
      </c>
      <c r="N14" s="8" t="n">
        <v>0</v>
      </c>
      <c r="O14" s="8" t="n">
        <v>-63.12948</v>
      </c>
      <c r="P14" s="8" t="n">
        <v>-73.7976817948718</v>
      </c>
      <c r="Q14" s="8" t="n">
        <v>-143.716284987243</v>
      </c>
      <c r="R14" s="8" t="n">
        <v>0</v>
      </c>
      <c r="S14" s="8" t="n">
        <v>-47.6992</v>
      </c>
      <c r="T14" s="8" t="n">
        <f aca="false">SUM(H14:S14)</f>
        <v>-505.407449368321</v>
      </c>
    </row>
    <row r="15" customFormat="false" ht="12.75" hidden="false" customHeight="false" outlineLevel="0" collapsed="false">
      <c r="A15" s="10" t="s">
        <v>158</v>
      </c>
      <c r="B15" s="8" t="n">
        <v>917976.31</v>
      </c>
      <c r="C15" s="8" t="n">
        <v>147196.11</v>
      </c>
      <c r="D15" s="8" t="n">
        <f aca="false">B15+C15</f>
        <v>1065172.42</v>
      </c>
      <c r="F15" s="11"/>
      <c r="G15" s="12" t="s">
        <v>33</v>
      </c>
      <c r="H15" s="58" t="n">
        <f aca="false">SUM(H4:H14)</f>
        <v>-44738.1</v>
      </c>
      <c r="I15" s="58" t="n">
        <f aca="false">SUM(I4:I14)</f>
        <v>-125113.08</v>
      </c>
      <c r="J15" s="58" t="n">
        <f aca="false">SUM(J4:J14)</f>
        <v>-17912.33</v>
      </c>
      <c r="K15" s="58" t="n">
        <f aca="false">SUM(K4:K14)</f>
        <v>-285683.943063898</v>
      </c>
      <c r="L15" s="58" t="n">
        <f aca="false">SUM(L4:L14)</f>
        <v>-104223.851003571</v>
      </c>
      <c r="M15" s="58" t="n">
        <f aca="false">SUM(M4:M14)</f>
        <v>-83048.4597544166</v>
      </c>
      <c r="N15" s="58" t="n">
        <f aca="false">SUM(N4:N14)</f>
        <v>-45343.173259935</v>
      </c>
      <c r="O15" s="58" t="n">
        <f aca="false">SUM(O4:O14)</f>
        <v>-109744.549514935</v>
      </c>
      <c r="P15" s="58" t="n">
        <f aca="false">SUM(P4:P14)</f>
        <v>-59313.3744505649</v>
      </c>
      <c r="Q15" s="58" t="n">
        <f aca="false">SUM(Q4:Q14)</f>
        <v>-48118.5123974686</v>
      </c>
      <c r="R15" s="58" t="n">
        <f aca="false">SUM(R4:R14)</f>
        <v>-60551.3886194166</v>
      </c>
      <c r="S15" s="58" t="n">
        <f aca="false">SUM(S4:S14)</f>
        <v>-85630.2351444166</v>
      </c>
      <c r="T15" s="13" t="n">
        <f aca="false">SUM(H15:S15)</f>
        <v>-1069420.99720862</v>
      </c>
      <c r="U15" s="41" t="n">
        <f aca="false">TRUE()</f>
        <v>1</v>
      </c>
      <c r="V15" s="46"/>
    </row>
    <row r="16" customFormat="false" ht="12.75" hidden="false" customHeight="false" outlineLevel="0" collapsed="false">
      <c r="A16" s="10" t="s">
        <v>37</v>
      </c>
      <c r="B16" s="8" t="n">
        <v>25540.9</v>
      </c>
      <c r="C16" s="8" t="n">
        <v>100</v>
      </c>
      <c r="D16" s="8" t="n">
        <f aca="false">B16+C16</f>
        <v>25640.9</v>
      </c>
      <c r="F16" s="1" t="s">
        <v>41</v>
      </c>
      <c r="G16" s="1" t="s">
        <v>44</v>
      </c>
      <c r="H16" s="8" t="n">
        <v>-530</v>
      </c>
      <c r="I16" s="8" t="n">
        <v>-530</v>
      </c>
      <c r="J16" s="8" t="n">
        <v>-530</v>
      </c>
      <c r="K16" s="8" t="n">
        <v>-530</v>
      </c>
      <c r="L16" s="8" t="n">
        <v>-530</v>
      </c>
      <c r="M16" s="8" t="n">
        <v>-530</v>
      </c>
      <c r="N16" s="8" t="n">
        <v>-530</v>
      </c>
      <c r="O16" s="8" t="n">
        <v>-530</v>
      </c>
      <c r="P16" s="8" t="n">
        <v>-530</v>
      </c>
      <c r="Q16" s="8" t="n">
        <v>-530</v>
      </c>
      <c r="R16" s="8" t="n">
        <v>-530</v>
      </c>
      <c r="S16" s="8" t="n">
        <v>-530</v>
      </c>
      <c r="T16" s="14" t="n">
        <f aca="false">SUM(H16:S16)</f>
        <v>-6360</v>
      </c>
    </row>
    <row r="17" customFormat="false" ht="12.75" hidden="false" customHeight="false" outlineLevel="0" collapsed="false">
      <c r="A17" s="10" t="s">
        <v>159</v>
      </c>
      <c r="B17" s="8" t="n">
        <v>295595.8</v>
      </c>
      <c r="C17" s="8" t="n">
        <v>0</v>
      </c>
      <c r="D17" s="8" t="n">
        <f aca="false">B17+C17</f>
        <v>295595.8</v>
      </c>
      <c r="F17" s="42" t="s">
        <v>35</v>
      </c>
      <c r="G17" s="1" t="s">
        <v>160</v>
      </c>
      <c r="H17" s="8" t="n">
        <v>-3197.67204545455</v>
      </c>
      <c r="I17" s="8" t="n">
        <f aca="false">H17</f>
        <v>-3197.67204545455</v>
      </c>
      <c r="J17" s="8" t="n">
        <f aca="false">I17</f>
        <v>-3197.67204545455</v>
      </c>
      <c r="K17" s="8" t="n">
        <v>-3197.67204545455</v>
      </c>
      <c r="L17" s="8" t="n">
        <v>-3197.67204545455</v>
      </c>
      <c r="M17" s="8" t="n">
        <v>-3197.67204545455</v>
      </c>
      <c r="N17" s="8" t="n">
        <v>-3197.67204545455</v>
      </c>
      <c r="O17" s="8" t="n">
        <v>-3197.67204545455</v>
      </c>
      <c r="P17" s="8" t="n">
        <v>-3197.67204545455</v>
      </c>
      <c r="Q17" s="8" t="n">
        <v>-3197.67204545455</v>
      </c>
      <c r="R17" s="8" t="n">
        <v>-3197.67204545455</v>
      </c>
      <c r="S17" s="8" t="n">
        <v>-3197.67204545455</v>
      </c>
      <c r="T17" s="14" t="n">
        <f aca="false">SUM(H17:S17)</f>
        <v>-38372.0645454545</v>
      </c>
    </row>
    <row r="18" customFormat="false" ht="12.75" hidden="false" customHeight="false" outlineLevel="0" collapsed="false">
      <c r="A18" s="10" t="s">
        <v>161</v>
      </c>
      <c r="B18" s="8" t="n">
        <v>22.73</v>
      </c>
      <c r="C18" s="8" t="n">
        <v>0</v>
      </c>
      <c r="D18" s="8" t="n">
        <f aca="false">B18+C18</f>
        <v>22.73</v>
      </c>
      <c r="F18" s="1" t="s">
        <v>41</v>
      </c>
      <c r="G18" s="43" t="s">
        <v>162</v>
      </c>
      <c r="H18" s="59" t="n">
        <v>-14722.5454136905</v>
      </c>
      <c r="I18" s="59" t="n">
        <f aca="false">H18</f>
        <v>-14722.5454136905</v>
      </c>
      <c r="J18" s="59" t="n">
        <f aca="false">I18</f>
        <v>-14722.5454136905</v>
      </c>
      <c r="K18" s="59" t="n">
        <v>-14722.5454136905</v>
      </c>
      <c r="L18" s="59" t="n">
        <v>-14722.5454136905</v>
      </c>
      <c r="M18" s="59" t="n">
        <v>-14722.5454136905</v>
      </c>
      <c r="N18" s="59" t="n">
        <v>-14722.5454136905</v>
      </c>
      <c r="O18" s="59" t="n">
        <v>-14722.5454136905</v>
      </c>
      <c r="P18" s="59" t="n">
        <v>-14722.5454136905</v>
      </c>
      <c r="Q18" s="59" t="n">
        <v>-14722.5454136905</v>
      </c>
      <c r="R18" s="59" t="n">
        <v>-14722.5454136905</v>
      </c>
      <c r="S18" s="59" t="n">
        <v>-14722.5454136905</v>
      </c>
      <c r="T18" s="44" t="n">
        <f aca="false">SUM(H18:S18)</f>
        <v>-176670.544964286</v>
      </c>
      <c r="V18" s="43" t="s">
        <v>163</v>
      </c>
    </row>
    <row r="19" customFormat="false" ht="12.75" hidden="false" customHeight="false" outlineLevel="0" collapsed="false">
      <c r="A19" s="10" t="s">
        <v>116</v>
      </c>
      <c r="B19" s="8" t="n">
        <v>77985</v>
      </c>
      <c r="C19" s="8" t="n">
        <v>3450</v>
      </c>
      <c r="D19" s="8" t="n">
        <f aca="false">B19+C19</f>
        <v>81435</v>
      </c>
      <c r="F19" s="1" t="s">
        <v>45</v>
      </c>
      <c r="G19" s="1" t="s">
        <v>46</v>
      </c>
      <c r="H19" s="8" t="n">
        <v>-200</v>
      </c>
      <c r="I19" s="8" t="n">
        <v>-200</v>
      </c>
      <c r="J19" s="8" t="n">
        <v>-200</v>
      </c>
      <c r="K19" s="8" t="n">
        <v>-200</v>
      </c>
      <c r="L19" s="8" t="n">
        <v>-200</v>
      </c>
      <c r="M19" s="8" t="n">
        <v>-200</v>
      </c>
      <c r="N19" s="8" t="n">
        <v>-200</v>
      </c>
      <c r="O19" s="8" t="n">
        <v>-200</v>
      </c>
      <c r="P19" s="8" t="n">
        <v>-200</v>
      </c>
      <c r="Q19" s="8" t="n">
        <v>-200</v>
      </c>
      <c r="R19" s="8" t="n">
        <v>-200</v>
      </c>
      <c r="S19" s="8" t="n">
        <v>-200</v>
      </c>
      <c r="T19" s="14" t="n">
        <f aca="false">SUM(H19:S19)</f>
        <v>-2400</v>
      </c>
    </row>
    <row r="20" customFormat="false" ht="12.75" hidden="false" customHeight="false" outlineLevel="0" collapsed="false">
      <c r="A20" s="10"/>
      <c r="B20" s="8"/>
      <c r="C20" s="8"/>
      <c r="D20" s="8"/>
      <c r="F20" s="1" t="s">
        <v>45</v>
      </c>
      <c r="G20" s="1" t="s">
        <v>47</v>
      </c>
      <c r="H20" s="8" t="n">
        <v>-20314.563332</v>
      </c>
      <c r="I20" s="8" t="n">
        <v>-18194.7828104</v>
      </c>
      <c r="J20" s="8" t="n">
        <v>-21903.18109144</v>
      </c>
      <c r="K20" s="8" t="n">
        <v>-21903.18109144</v>
      </c>
      <c r="L20" s="8" t="n">
        <v>-22773.9828104</v>
      </c>
      <c r="M20" s="8" t="n">
        <v>-19104.52195092</v>
      </c>
      <c r="N20" s="8" t="n">
        <v>-18194.7828104</v>
      </c>
      <c r="O20" s="8" t="n">
        <v>-18194.7828104</v>
      </c>
      <c r="P20" s="8" t="n">
        <v>-20014.26109144</v>
      </c>
      <c r="Q20" s="8" t="n">
        <v>-18194.7828104</v>
      </c>
      <c r="R20" s="8" t="n">
        <v>-19104.52195092</v>
      </c>
      <c r="S20" s="8" t="n">
        <v>-19104.52195092</v>
      </c>
      <c r="T20" s="14" t="n">
        <f aca="false">SUM(H20:S20)</f>
        <v>-237001.86651108</v>
      </c>
    </row>
    <row r="21" customFormat="false" ht="12.75" hidden="false" customHeight="false" outlineLevel="0" collapsed="false">
      <c r="A21" s="10"/>
      <c r="B21" s="8"/>
      <c r="C21" s="8"/>
      <c r="D21" s="8"/>
      <c r="F21" s="1" t="s">
        <v>45</v>
      </c>
      <c r="G21" s="1" t="s">
        <v>48</v>
      </c>
      <c r="H21" s="8" t="n">
        <v>-2437.74759984</v>
      </c>
      <c r="I21" s="8" t="n">
        <v>-2183.373937248</v>
      </c>
      <c r="J21" s="8" t="n">
        <v>-2628.3817309728</v>
      </c>
      <c r="K21" s="8" t="n">
        <v>-2628.3817309728</v>
      </c>
      <c r="L21" s="8" t="n">
        <v>-2732.877937248</v>
      </c>
      <c r="M21" s="8" t="n">
        <v>-2292.5426341104</v>
      </c>
      <c r="N21" s="8" t="n">
        <v>-2183.373937248</v>
      </c>
      <c r="O21" s="8" t="n">
        <v>-2183.373937248</v>
      </c>
      <c r="P21" s="8" t="n">
        <v>-2401.7113309728</v>
      </c>
      <c r="Q21" s="8" t="n">
        <v>-2183.373937248</v>
      </c>
      <c r="R21" s="8" t="n">
        <v>-2292.5426341104</v>
      </c>
      <c r="S21" s="8" t="n">
        <v>-2292.5426341104</v>
      </c>
      <c r="T21" s="14" t="n">
        <f aca="false">SUM(H21:S21)</f>
        <v>-28440.2239813296</v>
      </c>
    </row>
    <row r="22" customFormat="false" ht="12.75" hidden="false" customHeight="false" outlineLevel="0" collapsed="false">
      <c r="A22" s="10"/>
      <c r="B22" s="8"/>
      <c r="C22" s="8"/>
      <c r="D22" s="8"/>
      <c r="F22" s="1" t="s">
        <v>45</v>
      </c>
      <c r="G22" s="1" t="s">
        <v>49</v>
      </c>
      <c r="H22" s="8" t="n">
        <f aca="false">-((5054.65/65)*17)/12</f>
        <v>-110.165448717949</v>
      </c>
      <c r="I22" s="8" t="n">
        <f aca="false">H22</f>
        <v>-110.165448717949</v>
      </c>
      <c r="J22" s="8" t="n">
        <f aca="false">I22</f>
        <v>-110.165448717949</v>
      </c>
      <c r="K22" s="8" t="n">
        <v>-110.165448717949</v>
      </c>
      <c r="L22" s="8" t="n">
        <v>-110.165448717949</v>
      </c>
      <c r="M22" s="8" t="n">
        <v>-110.165448717949</v>
      </c>
      <c r="N22" s="8" t="n">
        <v>-110.165448717949</v>
      </c>
      <c r="O22" s="8" t="n">
        <v>-110.165448717949</v>
      </c>
      <c r="P22" s="8" t="n">
        <v>-110.165448717949</v>
      </c>
      <c r="Q22" s="8" t="n">
        <v>-110.165448717949</v>
      </c>
      <c r="R22" s="8" t="n">
        <v>-110.165448717949</v>
      </c>
      <c r="S22" s="8" t="n">
        <v>-110.165448717949</v>
      </c>
      <c r="T22" s="14" t="n">
        <f aca="false">SUM(H22:S22)</f>
        <v>-1321.98538461538</v>
      </c>
    </row>
    <row r="23" customFormat="false" ht="12.75" hidden="false" customHeight="false" outlineLevel="0" collapsed="false">
      <c r="A23" s="10" t="s">
        <v>164</v>
      </c>
      <c r="B23" s="8" t="n">
        <v>-242930.55</v>
      </c>
      <c r="C23" s="8" t="n">
        <v>-5545</v>
      </c>
      <c r="D23" s="8" t="n">
        <f aca="false">B23+C23</f>
        <v>-248475.55</v>
      </c>
      <c r="F23" s="1" t="s">
        <v>41</v>
      </c>
      <c r="G23" s="1" t="s">
        <v>51</v>
      </c>
      <c r="H23" s="8" t="n">
        <v>-1500</v>
      </c>
      <c r="I23" s="8" t="n">
        <v>-1500</v>
      </c>
      <c r="J23" s="8" t="n">
        <v>-1500</v>
      </c>
      <c r="K23" s="8" t="n">
        <v>-1500</v>
      </c>
      <c r="L23" s="8" t="n">
        <v>-1500</v>
      </c>
      <c r="M23" s="8" t="n">
        <v>-1500</v>
      </c>
      <c r="N23" s="8" t="n">
        <v>-1500</v>
      </c>
      <c r="O23" s="8" t="n">
        <v>-1500</v>
      </c>
      <c r="P23" s="8" t="n">
        <v>-1500</v>
      </c>
      <c r="Q23" s="8" t="n">
        <v>-1500</v>
      </c>
      <c r="R23" s="8" t="n">
        <v>-1500</v>
      </c>
      <c r="S23" s="8" t="n">
        <v>-1500</v>
      </c>
      <c r="T23" s="14" t="n">
        <f aca="false">SUM(H23:S23)</f>
        <v>-18000</v>
      </c>
    </row>
    <row r="24" customFormat="false" ht="12.75" hidden="false" customHeight="false" outlineLevel="0" collapsed="false">
      <c r="A24" s="10" t="s">
        <v>165</v>
      </c>
      <c r="B24" s="8" t="n">
        <v>-48739.19</v>
      </c>
      <c r="C24" s="8" t="n">
        <v>0</v>
      </c>
      <c r="D24" s="8" t="n">
        <f aca="false">B24+C24</f>
        <v>-48739.19</v>
      </c>
      <c r="F24" s="11"/>
      <c r="G24" s="12" t="s">
        <v>166</v>
      </c>
      <c r="H24" s="58" t="n">
        <f aca="false">SUM(H16:H23)</f>
        <v>-43012.693839703</v>
      </c>
      <c r="I24" s="58" t="n">
        <f aca="false">SUM(I16:I23)</f>
        <v>-40638.539655511</v>
      </c>
      <c r="J24" s="58" t="n">
        <f aca="false">SUM(J16:J23)</f>
        <v>-44791.9457302758</v>
      </c>
      <c r="K24" s="58" t="n">
        <f aca="false">SUM(K16:K23)</f>
        <v>-44791.9457302758</v>
      </c>
      <c r="L24" s="58" t="n">
        <f aca="false">SUM(L16:L23)</f>
        <v>-45767.243655511</v>
      </c>
      <c r="M24" s="58" t="n">
        <f aca="false">SUM(M16:M23)</f>
        <v>-41657.4474928934</v>
      </c>
      <c r="N24" s="58" t="n">
        <f aca="false">SUM(N16:N23)</f>
        <v>-40638.539655511</v>
      </c>
      <c r="O24" s="58" t="n">
        <f aca="false">SUM(O16:O23)</f>
        <v>-40638.539655511</v>
      </c>
      <c r="P24" s="58" t="n">
        <f aca="false">SUM(P16:P23)</f>
        <v>-42676.3553302758</v>
      </c>
      <c r="Q24" s="58" t="n">
        <f aca="false">SUM(Q16:Q23)</f>
        <v>-40638.539655511</v>
      </c>
      <c r="R24" s="58" t="n">
        <f aca="false">SUM(R16:R23)</f>
        <v>-41657.4474928934</v>
      </c>
      <c r="S24" s="58" t="n">
        <f aca="false">SUM(S16:S23)</f>
        <v>-41657.4474928934</v>
      </c>
      <c r="T24" s="13" t="n">
        <f aca="false">SUM(H24:S24)</f>
        <v>-508566.685386765</v>
      </c>
    </row>
    <row r="25" customFormat="false" ht="12.75" hidden="false" customHeight="false" outlineLevel="0" collapsed="false">
      <c r="A25" s="10" t="s">
        <v>167</v>
      </c>
      <c r="B25" s="8" t="n">
        <v>-2700</v>
      </c>
      <c r="C25" s="8" t="n">
        <v>-20317.89</v>
      </c>
      <c r="D25" s="8" t="n">
        <f aca="false">B25+C25</f>
        <v>-23017.89</v>
      </c>
      <c r="F25" s="1"/>
      <c r="G25" s="12" t="s">
        <v>55</v>
      </c>
      <c r="H25" s="58" t="n">
        <f aca="false">+H3+H15</f>
        <v>66104.43</v>
      </c>
      <c r="I25" s="58" t="n">
        <f aca="false">+I3+I15</f>
        <v>143829.04</v>
      </c>
      <c r="J25" s="58" t="n">
        <f aca="false">+J3+J15</f>
        <v>62694.29</v>
      </c>
      <c r="K25" s="58" t="n">
        <f aca="false">+K3+K15</f>
        <v>301623.076936102</v>
      </c>
      <c r="L25" s="58" t="n">
        <f aca="false">+L3+L15</f>
        <v>137377.168996429</v>
      </c>
      <c r="M25" s="58" t="n">
        <f aca="false">+M3+M15</f>
        <v>-20732.4397544166</v>
      </c>
      <c r="N25" s="58" t="n">
        <f aca="false">+N3+N15</f>
        <v>18918.763407065</v>
      </c>
      <c r="O25" s="58" t="n">
        <f aca="false">+O3+O15</f>
        <v>172167.470485065</v>
      </c>
      <c r="P25" s="58" t="n">
        <f aca="false">+P3+P15</f>
        <v>69568.6455494351</v>
      </c>
      <c r="Q25" s="58" t="n">
        <f aca="false">+Q3+Q15</f>
        <v>50633.5076025314</v>
      </c>
      <c r="R25" s="58" t="n">
        <f aca="false">+R3+R15</f>
        <v>74960.5480475834</v>
      </c>
      <c r="S25" s="58" t="n">
        <f aca="false">+S3+S15</f>
        <v>-2993.21514441662</v>
      </c>
      <c r="T25" s="13" t="n">
        <f aca="false">SUM(H25:S25)</f>
        <v>1074151.28612538</v>
      </c>
    </row>
    <row r="26" customFormat="false" ht="12.75" hidden="false" customHeight="false" outlineLevel="0" collapsed="false">
      <c r="A26" s="10" t="s">
        <v>56</v>
      </c>
      <c r="B26" s="8" t="n">
        <v>-211290.73</v>
      </c>
      <c r="C26" s="8" t="n">
        <v>-2026.31</v>
      </c>
      <c r="D26" s="8" t="n">
        <f aca="false">B26+C26</f>
        <v>-213317.04</v>
      </c>
      <c r="G26" s="23" t="s">
        <v>57</v>
      </c>
      <c r="H26" s="24" t="n">
        <f aca="false">+H25/H3</f>
        <v>0.596381461159358</v>
      </c>
      <c r="I26" s="24" t="n">
        <f aca="false">+I25/I3</f>
        <v>0.534795516596657</v>
      </c>
      <c r="J26" s="24" t="n">
        <f aca="false">+J25/J3</f>
        <v>0.777780906828744</v>
      </c>
      <c r="K26" s="24" t="n">
        <f aca="false">+K25/K3</f>
        <v>0.513569677638285</v>
      </c>
      <c r="L26" s="24" t="n">
        <f aca="false">+L25/L3</f>
        <v>0.568611709488764</v>
      </c>
      <c r="M26" s="24" t="n">
        <f aca="false">+M25/M3</f>
        <v>-0.332698393678169</v>
      </c>
      <c r="N26" s="24" t="n">
        <f aca="false">+N25/N3</f>
        <v>0.294400766430374</v>
      </c>
      <c r="O26" s="24" t="n">
        <f aca="false">+O25/O3</f>
        <v>0.610713478925322</v>
      </c>
      <c r="P26" s="24" t="n">
        <f aca="false">+P25/P3</f>
        <v>0.539785499555602</v>
      </c>
      <c r="Q26" s="24" t="n">
        <f aca="false">+Q25/Q3</f>
        <v>0.512733892456391</v>
      </c>
      <c r="R26" s="24" t="n">
        <f aca="false">+R25/R3</f>
        <v>0.553165646446243</v>
      </c>
      <c r="S26" s="24" t="n">
        <f aca="false">+S25/S3</f>
        <v>-0.0362212377021415</v>
      </c>
      <c r="T26" s="24" t="n">
        <f aca="false">+T25/T3</f>
        <v>0.501103365851838</v>
      </c>
    </row>
    <row r="27" customFormat="false" ht="12.75" hidden="false" customHeight="false" outlineLevel="0" collapsed="false">
      <c r="A27" s="10" t="s">
        <v>58</v>
      </c>
      <c r="B27" s="8" t="n">
        <v>-1009.06</v>
      </c>
      <c r="C27" s="8" t="n">
        <v>0</v>
      </c>
      <c r="D27" s="8" t="n">
        <f aca="false">B27+C27</f>
        <v>-1009.06</v>
      </c>
      <c r="F27" s="1"/>
      <c r="G27" s="12" t="s">
        <v>59</v>
      </c>
      <c r="H27" s="58" t="n">
        <f aca="false">+H25-H38</f>
        <v>-44084.91</v>
      </c>
      <c r="I27" s="58" t="n">
        <f aca="false">+I25-I38</f>
        <v>44134.86</v>
      </c>
      <c r="J27" s="58" t="n">
        <f aca="false">+J25-J38</f>
        <v>-53122.33</v>
      </c>
      <c r="K27" s="58" t="n">
        <f aca="false">+K25-K38</f>
        <v>204450.96320685</v>
      </c>
      <c r="L27" s="58" t="n">
        <f aca="false">+L25-L38</f>
        <v>39229.7573419415</v>
      </c>
      <c r="M27" s="58" t="n">
        <f aca="false">+M25-M38</f>
        <v>-114770.055246287</v>
      </c>
      <c r="N27" s="58" t="n">
        <f aca="false">+N25-N38</f>
        <v>-74099.9442474225</v>
      </c>
      <c r="O27" s="58" t="n">
        <f aca="false">+O25-O38</f>
        <v>79148.7628305775</v>
      </c>
      <c r="P27" s="58" t="n">
        <f aca="false">+P25-P38</f>
        <v>-25487.8777798172</v>
      </c>
      <c r="Q27" s="58" t="n">
        <f aca="false">+Q25-Q38</f>
        <v>-42385.2000519561</v>
      </c>
      <c r="R27" s="58" t="n">
        <f aca="false">+R25-R38</f>
        <v>-19077.0674442865</v>
      </c>
      <c r="S27" s="58" t="n">
        <f aca="false">+S25-S38</f>
        <v>-97030.8306362865</v>
      </c>
      <c r="T27" s="58" t="n">
        <f aca="false">SUM(H27:S27)</f>
        <v>-103093.872026687</v>
      </c>
    </row>
    <row r="28" customFormat="false" ht="12.75" hidden="false" customHeight="false" outlineLevel="0" collapsed="false">
      <c r="A28" s="10" t="s">
        <v>125</v>
      </c>
      <c r="B28" s="8" t="n">
        <v>-211.25</v>
      </c>
      <c r="C28" s="8" t="n">
        <v>0</v>
      </c>
      <c r="D28" s="8" t="n">
        <f aca="false">B28+C28</f>
        <v>-211.25</v>
      </c>
      <c r="G28" s="23" t="s">
        <v>130</v>
      </c>
      <c r="H28" s="24" t="n">
        <f aca="false">+H27/H2</f>
        <v>-0.397725584213929</v>
      </c>
      <c r="I28" s="24" t="n">
        <f aca="false">+I27/I2</f>
        <v>0.164105421642396</v>
      </c>
      <c r="J28" s="24" t="n">
        <f aca="false">+J27/J2</f>
        <v>-0.659031851230085</v>
      </c>
      <c r="K28" s="24" t="n">
        <f aca="false">+K27/K2</f>
        <v>0.348115987455504</v>
      </c>
      <c r="L28" s="24" t="n">
        <f aca="false">+L27/L2</f>
        <v>0.162374137915235</v>
      </c>
      <c r="M28" s="24" t="n">
        <f aca="false">+M27/M2</f>
        <v>-1.84174238416199</v>
      </c>
      <c r="N28" s="24" t="n">
        <f aca="false">+N27/N2</f>
        <v>-1.15309229834454</v>
      </c>
      <c r="O28" s="24" t="n">
        <f aca="false">+O27/O2</f>
        <v>0.280756963930014</v>
      </c>
      <c r="P28" s="24" t="n">
        <f aca="false">+P27/P2</f>
        <v>-0.19776131519212</v>
      </c>
      <c r="Q28" s="24" t="n">
        <f aca="false">+Q27/Q2</f>
        <v>-0.429208435958638</v>
      </c>
      <c r="R28" s="24" t="n">
        <f aca="false">+R27/R2</f>
        <v>-0.140777764036872</v>
      </c>
      <c r="S28" s="24" t="n">
        <f aca="false">+S27/S2</f>
        <v>-1.17418114346677</v>
      </c>
      <c r="T28" s="24" t="n">
        <f aca="false">+T27/T2</f>
        <v>-0.0480944229537899</v>
      </c>
    </row>
    <row r="29" customFormat="false" ht="12.75" hidden="false" customHeight="false" outlineLevel="0" collapsed="false">
      <c r="A29" s="10"/>
      <c r="B29" s="8"/>
      <c r="C29" s="8"/>
      <c r="D29" s="8"/>
      <c r="G29" s="23" t="s">
        <v>168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customFormat="false" ht="12.75" hidden="false" customHeight="false" outlineLevel="0" collapsed="false">
      <c r="A30" s="10" t="s">
        <v>169</v>
      </c>
      <c r="B30" s="8" t="n">
        <v>-277279.99</v>
      </c>
      <c r="C30" s="8" t="n">
        <v>-846.71</v>
      </c>
      <c r="D30" s="8" t="n">
        <f aca="false">B30+C30</f>
        <v>-278126.7</v>
      </c>
      <c r="G30" s="42" t="s">
        <v>67</v>
      </c>
      <c r="H30" s="26" t="n">
        <v>2433.51</v>
      </c>
      <c r="I30" s="26" t="n">
        <v>1628.91</v>
      </c>
      <c r="J30" s="26" t="n">
        <v>4889.08</v>
      </c>
      <c r="K30" s="27" t="n">
        <v>1824.91301666667</v>
      </c>
      <c r="L30" s="27" t="n">
        <v>1824.91301666667</v>
      </c>
      <c r="M30" s="27" t="n">
        <v>1824.91301666667</v>
      </c>
      <c r="N30" s="27" t="n">
        <v>1824.91301666667</v>
      </c>
      <c r="O30" s="27" t="n">
        <v>1824.91301666667</v>
      </c>
      <c r="P30" s="27" t="n">
        <v>1824.91301666667</v>
      </c>
      <c r="Q30" s="27" t="n">
        <v>1824.91301666667</v>
      </c>
      <c r="R30" s="27" t="n">
        <v>1824.91301666667</v>
      </c>
      <c r="S30" s="27" t="n">
        <v>1824.91301666667</v>
      </c>
    </row>
    <row r="31" customFormat="false" ht="12.75" hidden="false" customHeight="false" outlineLevel="0" collapsed="false">
      <c r="A31" s="10" t="s">
        <v>170</v>
      </c>
      <c r="B31" s="8" t="n">
        <v>0</v>
      </c>
      <c r="C31" s="8" t="n">
        <v>-64034.73</v>
      </c>
      <c r="D31" s="8" t="n">
        <f aca="false">B31+C31</f>
        <v>-64034.73</v>
      </c>
      <c r="G31" s="42" t="s">
        <v>69</v>
      </c>
      <c r="H31" s="26" t="n">
        <v>59287.64</v>
      </c>
      <c r="I31" s="26" t="n">
        <v>56244.15</v>
      </c>
      <c r="J31" s="26" t="n">
        <v>56843.99</v>
      </c>
      <c r="K31" s="27" t="n">
        <v>57798.2803357947</v>
      </c>
      <c r="L31" s="27" t="n">
        <v>58773.5782610299</v>
      </c>
      <c r="M31" s="27" t="n">
        <v>54663.7820984123</v>
      </c>
      <c r="N31" s="27" t="n">
        <v>53644.8742610299</v>
      </c>
      <c r="O31" s="27" t="n">
        <v>53644.8742610299</v>
      </c>
      <c r="P31" s="27" t="n">
        <v>55682.6899357947</v>
      </c>
      <c r="Q31" s="27" t="n">
        <v>53644.8742610299</v>
      </c>
      <c r="R31" s="27" t="n">
        <v>54663.7820984123</v>
      </c>
      <c r="S31" s="27" t="n">
        <v>54663.7820984123</v>
      </c>
    </row>
    <row r="32" customFormat="false" ht="12.75" hidden="false" customHeight="false" outlineLevel="0" collapsed="false">
      <c r="A32" s="10" t="s">
        <v>62</v>
      </c>
      <c r="B32" s="8" t="n">
        <v>-1447.38</v>
      </c>
      <c r="C32" s="8" t="n">
        <v>0</v>
      </c>
      <c r="D32" s="8" t="n">
        <f aca="false">B32+C32</f>
        <v>-1447.38</v>
      </c>
      <c r="G32" s="42" t="s">
        <v>71</v>
      </c>
      <c r="H32" s="60" t="n">
        <v>11944.33</v>
      </c>
      <c r="I32" s="60" t="n">
        <v>7367.77</v>
      </c>
      <c r="J32" s="60" t="n">
        <v>17886.68</v>
      </c>
      <c r="K32" s="59" t="n">
        <v>12988.163333175</v>
      </c>
      <c r="L32" s="59" t="n">
        <v>12988.163333175</v>
      </c>
      <c r="M32" s="59" t="n">
        <v>12988.163333175</v>
      </c>
      <c r="N32" s="59" t="n">
        <v>12988.163333175</v>
      </c>
      <c r="O32" s="59" t="n">
        <v>12988.163333175</v>
      </c>
      <c r="P32" s="59" t="n">
        <v>12988.163333175</v>
      </c>
      <c r="Q32" s="59" t="n">
        <v>12988.163333175</v>
      </c>
      <c r="R32" s="59" t="n">
        <v>12988.163333175</v>
      </c>
      <c r="S32" s="59" t="n">
        <v>12988.163333175</v>
      </c>
    </row>
    <row r="33" customFormat="false" ht="12.75" hidden="false" customHeight="false" outlineLevel="0" collapsed="false">
      <c r="A33" s="10" t="s">
        <v>126</v>
      </c>
      <c r="B33" s="8" t="n">
        <v>0</v>
      </c>
      <c r="C33" s="8" t="n">
        <v>-1766.52</v>
      </c>
      <c r="D33" s="8" t="n">
        <f aca="false">B33+C33</f>
        <v>-1766.52</v>
      </c>
      <c r="G33" s="42" t="s">
        <v>73</v>
      </c>
      <c r="H33" s="60" t="n">
        <v>36523.86</v>
      </c>
      <c r="I33" s="60" t="n">
        <v>34453.35</v>
      </c>
      <c r="J33" s="60" t="n">
        <v>36196.87</v>
      </c>
      <c r="K33" s="59" t="n">
        <v>24560.7570436159</v>
      </c>
      <c r="L33" s="59" t="n">
        <v>24560.7570436159</v>
      </c>
      <c r="M33" s="59" t="n">
        <v>24560.7570436159</v>
      </c>
      <c r="N33" s="59" t="n">
        <v>24560.7570436159</v>
      </c>
      <c r="O33" s="59" t="n">
        <v>24560.7570436159</v>
      </c>
      <c r="P33" s="59" t="n">
        <v>24560.7570436159</v>
      </c>
      <c r="Q33" s="59" t="n">
        <v>24560.7570436159</v>
      </c>
      <c r="R33" s="59" t="n">
        <v>24560.7570436159</v>
      </c>
      <c r="S33" s="59" t="n">
        <v>24560.7570436159</v>
      </c>
    </row>
    <row r="34" customFormat="false" ht="12.75" hidden="false" customHeight="false" outlineLevel="0" collapsed="false">
      <c r="A34" s="10" t="s">
        <v>127</v>
      </c>
      <c r="B34" s="8" t="n">
        <v>-62569.81</v>
      </c>
      <c r="C34" s="8" t="n">
        <v>-398.19</v>
      </c>
      <c r="D34" s="8" t="n">
        <f aca="false">B34+C34</f>
        <v>-62968</v>
      </c>
      <c r="G34" s="61"/>
    </row>
    <row r="35" customFormat="false" ht="12.75" hidden="true" customHeight="false" outlineLevel="0" collapsed="false">
      <c r="A35" s="10" t="s">
        <v>171</v>
      </c>
      <c r="B35" s="8" t="n">
        <v>0</v>
      </c>
      <c r="C35" s="8" t="n">
        <v>-47026.12</v>
      </c>
      <c r="D35" s="8" t="n">
        <f aca="false">B35+C35</f>
        <v>-47026.12</v>
      </c>
      <c r="G35" s="1"/>
      <c r="H35" s="46" t="n">
        <v>-101429.801591217</v>
      </c>
      <c r="I35" s="46" t="n">
        <v>-133327.942732017</v>
      </c>
      <c r="J35" s="46" t="n">
        <v>-146241.385065064</v>
      </c>
      <c r="K35" s="46" t="n">
        <v>-325348.291668177</v>
      </c>
      <c r="L35" s="46" t="n">
        <v>-149991.094659082</v>
      </c>
      <c r="M35" s="46" t="n">
        <v>-124705.90724731</v>
      </c>
      <c r="N35" s="46" t="n">
        <v>-85981.712915446</v>
      </c>
      <c r="O35" s="46" t="n">
        <v>-150383.089170446</v>
      </c>
      <c r="P35" s="46" t="n">
        <v>-101989.729780841</v>
      </c>
      <c r="Q35" s="46" t="n">
        <v>-88757.0520529796</v>
      </c>
      <c r="R35" s="46" t="n">
        <v>-102208.83611231</v>
      </c>
      <c r="S35" s="46" t="n">
        <v>-127287.68263731</v>
      </c>
      <c r="T35" s="46" t="n">
        <f aca="false">+T15+T24</f>
        <v>-1577987.68259539</v>
      </c>
    </row>
    <row r="36" customFormat="false" ht="12.75" hidden="true" customHeight="false" outlineLevel="0" collapsed="false">
      <c r="A36" s="1" t="s">
        <v>128</v>
      </c>
      <c r="B36" s="8" t="n">
        <v>-22.18</v>
      </c>
      <c r="C36" s="8" t="n">
        <v>0</v>
      </c>
      <c r="D36" s="8" t="n">
        <f aca="false">B36+C36</f>
        <v>-22.18</v>
      </c>
      <c r="G36" s="1"/>
      <c r="H36" s="46" t="n">
        <v>-62766.7439428967</v>
      </c>
      <c r="I36" s="46" t="n">
        <v>-58723.0763313767</v>
      </c>
      <c r="J36" s="46" t="n">
        <v>-62359.9273234727</v>
      </c>
      <c r="K36" s="46" t="n">
        <v>-62359.9273234727</v>
      </c>
      <c r="L36" s="46" t="n">
        <v>-53356.421889751</v>
      </c>
      <c r="M36" s="46" t="n">
        <v>-49626.0846388454</v>
      </c>
      <c r="N36" s="46" t="n">
        <v>-48227.717889751</v>
      </c>
      <c r="O36" s="46" t="n">
        <v>-48227.717889751</v>
      </c>
      <c r="P36" s="46" t="n">
        <v>-51024.4513879398</v>
      </c>
      <c r="Q36" s="46" t="n">
        <v>-48227.717889751</v>
      </c>
      <c r="R36" s="46" t="n">
        <v>-49626.0846388454</v>
      </c>
      <c r="S36" s="46" t="n">
        <v>-49626.0846388454</v>
      </c>
    </row>
    <row r="37" customFormat="false" ht="12.75" hidden="true" customHeight="false" outlineLevel="0" collapsed="false">
      <c r="A37" s="1" t="s">
        <v>172</v>
      </c>
      <c r="B37" s="8" t="n">
        <v>-36453.84</v>
      </c>
      <c r="C37" s="8" t="n">
        <v>-60.41</v>
      </c>
      <c r="D37" s="8" t="n">
        <f aca="false">B37+C37</f>
        <v>-36514.25</v>
      </c>
      <c r="G37" s="1"/>
      <c r="H37" s="46" t="n">
        <v>12126.8475568</v>
      </c>
      <c r="I37" s="46" t="n">
        <v>11072.3390736</v>
      </c>
      <c r="J37" s="46" t="n">
        <v>12179.57298096</v>
      </c>
      <c r="K37" s="46" t="n">
        <v>12179.57298096</v>
      </c>
      <c r="L37" s="46" t="n">
        <v>7589.17823424</v>
      </c>
      <c r="M37" s="46" t="n">
        <v>7968.637145952</v>
      </c>
      <c r="N37" s="46" t="n">
        <v>7589.17823424</v>
      </c>
      <c r="O37" s="46" t="n">
        <v>7589.17823424</v>
      </c>
      <c r="P37" s="46" t="n">
        <v>8348.096057664</v>
      </c>
      <c r="Q37" s="46" t="n">
        <v>7589.17823424</v>
      </c>
      <c r="R37" s="46" t="n">
        <v>7968.637145952</v>
      </c>
      <c r="S37" s="46" t="n">
        <v>7968.637145952</v>
      </c>
    </row>
    <row r="38" customFormat="false" ht="12.75" hidden="false" customHeight="false" outlineLevel="0" collapsed="false">
      <c r="A38" s="1" t="s">
        <v>173</v>
      </c>
      <c r="B38" s="8" t="n">
        <v>-13.94</v>
      </c>
      <c r="C38" s="8" t="n">
        <v>-11551.82</v>
      </c>
      <c r="D38" s="8" t="n">
        <f aca="false">B38+C38</f>
        <v>-11565.76</v>
      </c>
      <c r="G38" s="1" t="s">
        <v>174</v>
      </c>
      <c r="H38" s="46" t="n">
        <f aca="false">SUM(H30:H33)</f>
        <v>110189.34</v>
      </c>
      <c r="I38" s="46" t="n">
        <f aca="false">SUM(I30:I33)</f>
        <v>99694.18</v>
      </c>
      <c r="J38" s="46" t="n">
        <f aca="false">SUM(J30:J33)</f>
        <v>115816.62</v>
      </c>
      <c r="K38" s="46" t="n">
        <f aca="false">SUM(K30:K33)</f>
        <v>97172.1137292523</v>
      </c>
      <c r="L38" s="46" t="n">
        <f aca="false">SUM(L30:L33)</f>
        <v>98147.4116544875</v>
      </c>
      <c r="M38" s="46" t="n">
        <f aca="false">SUM(M30:M33)</f>
        <v>94037.6154918699</v>
      </c>
      <c r="N38" s="46" t="n">
        <f aca="false">SUM(N30:N33)</f>
        <v>93018.7076544875</v>
      </c>
      <c r="O38" s="46" t="n">
        <f aca="false">SUM(O30:O33)</f>
        <v>93018.7076544875</v>
      </c>
      <c r="P38" s="46" t="n">
        <f aca="false">SUM(P30:P33)</f>
        <v>95056.5233292523</v>
      </c>
      <c r="Q38" s="46" t="n">
        <f aca="false">SUM(Q30:Q33)</f>
        <v>93018.7076544875</v>
      </c>
      <c r="R38" s="46" t="n">
        <f aca="false">SUM(R30:R33)</f>
        <v>94037.6154918699</v>
      </c>
      <c r="S38" s="46" t="n">
        <f aca="false">SUM(S30:S33)</f>
        <v>94037.6154918699</v>
      </c>
      <c r="T38" s="46" t="n">
        <f aca="false">SUM(H38:S38)</f>
        <v>1177245.15815206</v>
      </c>
    </row>
    <row r="39" customFormat="false" ht="12.75" hidden="false" customHeight="false" outlineLevel="0" collapsed="false">
      <c r="A39" s="1" t="s">
        <v>66</v>
      </c>
      <c r="B39" s="8" t="n">
        <v>-151.98</v>
      </c>
      <c r="C39" s="8" t="n">
        <v>0</v>
      </c>
      <c r="D39" s="8" t="n">
        <f aca="false">B39+C39</f>
        <v>-151.98</v>
      </c>
      <c r="H39" s="46"/>
      <c r="S39" s="62" t="s">
        <v>175</v>
      </c>
      <c r="T39" s="63" t="n">
        <f aca="false">T38/U39</f>
        <v>2354490.31630413</v>
      </c>
      <c r="U39" s="64" t="n">
        <v>0.5</v>
      </c>
      <c r="V39" s="1" t="s">
        <v>176</v>
      </c>
    </row>
    <row r="40" customFormat="false" ht="12.75" hidden="false" customHeight="false" outlineLevel="0" collapsed="false">
      <c r="A40" s="1" t="s">
        <v>129</v>
      </c>
      <c r="B40" s="8" t="n">
        <v>-2028.82</v>
      </c>
      <c r="C40" s="8" t="n">
        <v>0</v>
      </c>
      <c r="D40" s="8" t="n">
        <f aca="false">B40+C40</f>
        <v>-2028.82</v>
      </c>
      <c r="H40" s="57"/>
      <c r="I40" s="57"/>
      <c r="J40" s="57"/>
      <c r="K40" s="57"/>
      <c r="L40" s="57"/>
      <c r="N40" s="46"/>
      <c r="S40" s="62" t="s">
        <v>177</v>
      </c>
      <c r="T40" s="27" t="n">
        <f aca="false">T39/12</f>
        <v>196207.526358677</v>
      </c>
    </row>
    <row r="41" customFormat="false" ht="12.75" hidden="false" customHeight="false" outlineLevel="0" collapsed="false">
      <c r="A41" s="1" t="s">
        <v>68</v>
      </c>
      <c r="B41" s="8" t="n">
        <v>-33529.48</v>
      </c>
      <c r="C41" s="8" t="n">
        <v>-148.82</v>
      </c>
      <c r="D41" s="8" t="n">
        <f aca="false">B41+C41</f>
        <v>-33678.3</v>
      </c>
      <c r="H41" s="46"/>
      <c r="I41" s="27"/>
      <c r="M41" s="57"/>
      <c r="N41" s="46"/>
    </row>
    <row r="42" customFormat="false" ht="12.75" hidden="false" customHeight="false" outlineLevel="0" collapsed="false">
      <c r="A42" s="1" t="s">
        <v>178</v>
      </c>
      <c r="B42" s="8" t="n">
        <v>0</v>
      </c>
      <c r="C42" s="8" t="n">
        <v>-132.5</v>
      </c>
      <c r="D42" s="8" t="n">
        <f aca="false">B42+C42</f>
        <v>-132.5</v>
      </c>
      <c r="H42" s="46"/>
      <c r="M42" s="27"/>
      <c r="N42" s="46"/>
    </row>
    <row r="43" customFormat="false" ht="12.75" hidden="false" customHeight="false" outlineLevel="0" collapsed="false">
      <c r="A43" s="1" t="s">
        <v>70</v>
      </c>
      <c r="B43" s="8" t="n">
        <v>-35.99</v>
      </c>
      <c r="C43" s="8" t="n">
        <v>0</v>
      </c>
      <c r="D43" s="8" t="n">
        <f aca="false">B43+C43</f>
        <v>-35.99</v>
      </c>
      <c r="H43" s="65"/>
      <c r="I43" s="65"/>
      <c r="J43" s="65"/>
      <c r="K43" s="65"/>
      <c r="L43" s="65"/>
      <c r="M43" s="65"/>
    </row>
    <row r="44" customFormat="false" ht="12.75" hidden="false" customHeight="false" outlineLevel="0" collapsed="false">
      <c r="A44" s="1" t="s">
        <v>131</v>
      </c>
      <c r="B44" s="8" t="n">
        <v>-26920.94</v>
      </c>
      <c r="C44" s="8" t="n">
        <v>0</v>
      </c>
      <c r="D44" s="8" t="n">
        <f aca="false">B44+C44</f>
        <v>-26920.94</v>
      </c>
      <c r="G44" s="46"/>
      <c r="H44" s="65"/>
    </row>
    <row r="45" customFormat="false" ht="12.75" hidden="false" customHeight="false" outlineLevel="0" collapsed="false">
      <c r="A45" s="1" t="s">
        <v>179</v>
      </c>
      <c r="B45" s="8" t="n">
        <v>-319.86</v>
      </c>
      <c r="C45" s="8" t="n">
        <v>-36.58</v>
      </c>
      <c r="D45" s="8" t="n">
        <f aca="false">B45+C45</f>
        <v>-356.44</v>
      </c>
      <c r="G45" s="46"/>
    </row>
    <row r="46" customFormat="false" ht="12.75" hidden="false" customHeight="false" outlineLevel="0" collapsed="false">
      <c r="A46" s="1" t="s">
        <v>180</v>
      </c>
      <c r="B46" s="8" t="n">
        <v>-2932.38</v>
      </c>
      <c r="C46" s="8" t="n">
        <v>0</v>
      </c>
      <c r="D46" s="8" t="n">
        <f aca="false">B46+C46</f>
        <v>-2932.38</v>
      </c>
    </row>
    <row r="47" customFormat="false" ht="12.75" hidden="false" customHeight="false" outlineLevel="0" collapsed="false">
      <c r="A47" s="1" t="s">
        <v>181</v>
      </c>
      <c r="B47" s="8" t="n">
        <v>-271.99</v>
      </c>
      <c r="C47" s="8" t="n">
        <v>0</v>
      </c>
      <c r="D47" s="8"/>
    </row>
    <row r="48" customFormat="false" ht="12.75" hidden="false" customHeight="false" outlineLevel="0" collapsed="false">
      <c r="A48" s="1" t="s">
        <v>182</v>
      </c>
      <c r="B48" s="8" t="n">
        <v>-133.97</v>
      </c>
      <c r="C48" s="8" t="n">
        <v>0</v>
      </c>
      <c r="D48" s="8" t="n">
        <f aca="false">B48+C48</f>
        <v>-133.97</v>
      </c>
      <c r="E48" s="65"/>
    </row>
    <row r="49" customFormat="false" ht="12.75" hidden="false" customHeight="false" outlineLevel="0" collapsed="false">
      <c r="A49" s="19" t="s">
        <v>75</v>
      </c>
      <c r="B49" s="20" t="n">
        <f aca="false">SUM(B23:B48)</f>
        <v>-950993.33</v>
      </c>
      <c r="C49" s="20" t="n">
        <f aca="false">SUM(C23:C48)</f>
        <v>-153891.6</v>
      </c>
      <c r="D49" s="20" t="n">
        <f aca="false">SUM(D23:D48)</f>
        <v>-1104612.94</v>
      </c>
      <c r="E49" s="65"/>
    </row>
    <row r="50" customFormat="false" ht="12.75" hidden="false" customHeight="false" outlineLevel="0" collapsed="false">
      <c r="A50" s="1" t="s">
        <v>133</v>
      </c>
      <c r="B50" s="8" t="n">
        <v>-5320</v>
      </c>
      <c r="C50" s="8" t="n">
        <v>0</v>
      </c>
      <c r="D50" s="8" t="n">
        <f aca="false">B50+C50</f>
        <v>-5320</v>
      </c>
      <c r="E50" s="65"/>
    </row>
    <row r="51" customFormat="false" ht="12.75" hidden="false" customHeight="false" outlineLevel="0" collapsed="false">
      <c r="A51" s="1" t="s">
        <v>76</v>
      </c>
      <c r="B51" s="8" t="n">
        <v>-85.49</v>
      </c>
      <c r="C51" s="8" t="n">
        <v>-8.64</v>
      </c>
      <c r="D51" s="8" t="n">
        <f aca="false">B51+C51</f>
        <v>-94.13</v>
      </c>
      <c r="E51" s="65"/>
    </row>
    <row r="52" customFormat="false" ht="12.75" hidden="false" customHeight="false" outlineLevel="0" collapsed="false">
      <c r="A52" s="1" t="s">
        <v>36</v>
      </c>
      <c r="B52" s="8" t="n">
        <v>-23064.32</v>
      </c>
      <c r="C52" s="8" t="n">
        <v>-8085.04</v>
      </c>
      <c r="D52" s="8" t="n">
        <f aca="false">B52+C52</f>
        <v>-31149.36</v>
      </c>
      <c r="E52" s="65"/>
      <c r="G52" s="1"/>
      <c r="H52" s="46"/>
    </row>
    <row r="53" customFormat="false" ht="12.75" hidden="false" customHeight="false" outlineLevel="0" collapsed="false">
      <c r="A53" s="1" t="s">
        <v>77</v>
      </c>
      <c r="B53" s="8" t="n">
        <v>-559.9</v>
      </c>
      <c r="C53" s="8" t="n">
        <v>-14.54</v>
      </c>
      <c r="D53" s="8" t="n">
        <f aca="false">B53+C53</f>
        <v>-574.44</v>
      </c>
      <c r="E53" s="65"/>
      <c r="G53" s="1"/>
      <c r="H53" s="46"/>
      <c r="I53" s="46"/>
    </row>
    <row r="54" customFormat="false" ht="12.75" hidden="false" customHeight="false" outlineLevel="0" collapsed="false">
      <c r="A54" s="1" t="s">
        <v>183</v>
      </c>
      <c r="B54" s="8" t="n">
        <v>-25501.49</v>
      </c>
      <c r="C54" s="8" t="n">
        <v>-3417.72</v>
      </c>
      <c r="D54" s="8" t="n">
        <f aca="false">B54+C54</f>
        <v>-28919.21</v>
      </c>
      <c r="E54" s="65"/>
      <c r="G54" s="1"/>
      <c r="H54" s="46"/>
      <c r="I54" s="46"/>
    </row>
    <row r="55" customFormat="false" ht="12.75" hidden="false" customHeight="false" outlineLevel="0" collapsed="false">
      <c r="A55" s="1" t="s">
        <v>78</v>
      </c>
      <c r="B55" s="8" t="n">
        <v>-170.4</v>
      </c>
      <c r="C55" s="8" t="n">
        <v>-27.92</v>
      </c>
      <c r="D55" s="8" t="n">
        <f aca="false">B55+C55</f>
        <v>-198.32</v>
      </c>
      <c r="E55" s="65"/>
      <c r="G55" s="1"/>
      <c r="H55" s="46"/>
      <c r="I55" s="46"/>
    </row>
    <row r="56" customFormat="false" ht="12.75" hidden="false" customHeight="false" outlineLevel="0" collapsed="false">
      <c r="A56" s="1" t="s">
        <v>80</v>
      </c>
      <c r="B56" s="8" t="n">
        <v>-2995.65</v>
      </c>
      <c r="C56" s="8" t="n">
        <v>-368.02</v>
      </c>
      <c r="D56" s="8" t="n">
        <f aca="false">B56+C56</f>
        <v>-3363.67</v>
      </c>
      <c r="E56" s="65"/>
      <c r="H56" s="46"/>
    </row>
    <row r="57" customFormat="false" ht="12.75" hidden="false" customHeight="false" outlineLevel="0" collapsed="false">
      <c r="A57" s="1" t="s">
        <v>184</v>
      </c>
      <c r="B57" s="8" t="n">
        <v>-2284.97</v>
      </c>
      <c r="C57" s="8" t="n">
        <v>0</v>
      </c>
      <c r="D57" s="8" t="n">
        <f aca="false">B57+C57</f>
        <v>-2284.97</v>
      </c>
      <c r="E57" s="65"/>
      <c r="H57" s="46"/>
    </row>
    <row r="58" customFormat="false" ht="12.75" hidden="false" customHeight="false" outlineLevel="0" collapsed="false">
      <c r="A58" s="1" t="s">
        <v>82</v>
      </c>
      <c r="B58" s="8" t="n">
        <v>-15669.78</v>
      </c>
      <c r="C58" s="8" t="n">
        <v>-336.88</v>
      </c>
      <c r="D58" s="8" t="n">
        <f aca="false">B58+C58</f>
        <v>-16006.66</v>
      </c>
      <c r="E58" s="65"/>
    </row>
    <row r="59" customFormat="false" ht="12.75" hidden="false" customHeight="false" outlineLevel="0" collapsed="false">
      <c r="A59" s="1" t="s">
        <v>135</v>
      </c>
      <c r="B59" s="8" t="n">
        <v>-136.36</v>
      </c>
      <c r="C59" s="8" t="n">
        <v>0</v>
      </c>
      <c r="D59" s="8" t="n">
        <f aca="false">B59+C59</f>
        <v>-136.36</v>
      </c>
    </row>
    <row r="60" customFormat="false" ht="12.75" hidden="false" customHeight="false" outlineLevel="0" collapsed="false">
      <c r="A60" s="1" t="s">
        <v>136</v>
      </c>
      <c r="B60" s="8" t="n">
        <v>-763.34</v>
      </c>
      <c r="C60" s="8" t="n">
        <v>-146.15</v>
      </c>
      <c r="D60" s="8" t="n">
        <f aca="false">B60+C60</f>
        <v>-909.49</v>
      </c>
    </row>
    <row r="61" customFormat="false" ht="12.75" hidden="false" customHeight="false" outlineLevel="0" collapsed="false">
      <c r="A61" s="1" t="s">
        <v>84</v>
      </c>
      <c r="B61" s="8" t="n">
        <v>-92.64</v>
      </c>
      <c r="C61" s="8" t="n">
        <v>-22.41</v>
      </c>
      <c r="D61" s="8" t="n">
        <f aca="false">B61+C61</f>
        <v>-115.05</v>
      </c>
    </row>
    <row r="62" customFormat="false" ht="12.75" hidden="false" customHeight="false" outlineLevel="0" collapsed="false">
      <c r="A62" s="1" t="s">
        <v>85</v>
      </c>
      <c r="B62" s="8" t="n">
        <v>-61472.01</v>
      </c>
      <c r="C62" s="8" t="n">
        <v>-21661.43</v>
      </c>
      <c r="D62" s="8" t="n">
        <f aca="false">B62+C62</f>
        <v>-83133.44</v>
      </c>
    </row>
    <row r="63" customFormat="false" ht="12.75" hidden="false" customHeight="false" outlineLevel="0" collapsed="false">
      <c r="A63" s="1" t="s">
        <v>86</v>
      </c>
      <c r="B63" s="8" t="n">
        <v>-9244.27</v>
      </c>
      <c r="C63" s="8" t="n">
        <v>-3476.51</v>
      </c>
      <c r="D63" s="8" t="n">
        <f aca="false">B63+C63</f>
        <v>-12720.78</v>
      </c>
    </row>
    <row r="64" customFormat="false" ht="12.75" hidden="false" customHeight="false" outlineLevel="0" collapsed="false">
      <c r="A64" s="1" t="s">
        <v>44</v>
      </c>
      <c r="B64" s="8" t="n">
        <v>-2522.24</v>
      </c>
      <c r="C64" s="8" t="n">
        <v>-163.62</v>
      </c>
      <c r="D64" s="8" t="n">
        <f aca="false">B64+C64</f>
        <v>-2685.86</v>
      </c>
    </row>
    <row r="65" customFormat="false" ht="12.75" hidden="false" customHeight="false" outlineLevel="0" collapsed="false">
      <c r="A65" s="1" t="s">
        <v>87</v>
      </c>
      <c r="B65" s="8" t="n">
        <v>-5841.46</v>
      </c>
      <c r="C65" s="8" t="n">
        <v>0</v>
      </c>
      <c r="D65" s="8" t="n">
        <f aca="false">B65+C65</f>
        <v>-5841.46</v>
      </c>
    </row>
    <row r="66" customFormat="false" ht="12.75" hidden="false" customHeight="false" outlineLevel="0" collapsed="false">
      <c r="A66" s="1" t="s">
        <v>88</v>
      </c>
      <c r="B66" s="8" t="n">
        <v>-1526.3</v>
      </c>
      <c r="C66" s="8" t="n">
        <v>-302.22</v>
      </c>
      <c r="D66" s="8" t="n">
        <f aca="false">B66+C66</f>
        <v>-1828.52</v>
      </c>
    </row>
    <row r="67" customFormat="false" ht="12.75" hidden="false" customHeight="false" outlineLevel="0" collapsed="false">
      <c r="A67" s="1" t="s">
        <v>89</v>
      </c>
      <c r="B67" s="8" t="n">
        <v>-25563.17</v>
      </c>
      <c r="C67" s="8" t="n">
        <v>-5415.47</v>
      </c>
      <c r="D67" s="8" t="n">
        <f aca="false">B67+C67</f>
        <v>-30978.64</v>
      </c>
    </row>
    <row r="68" customFormat="false" ht="12.75" hidden="false" customHeight="false" outlineLevel="0" collapsed="false">
      <c r="A68" s="1" t="s">
        <v>90</v>
      </c>
      <c r="B68" s="8" t="n">
        <v>-751.3</v>
      </c>
      <c r="C68" s="8" t="n">
        <v>-90.99</v>
      </c>
      <c r="D68" s="8" t="n">
        <f aca="false">B68+C68</f>
        <v>-842.29</v>
      </c>
    </row>
    <row r="69" customFormat="false" ht="12.75" hidden="false" customHeight="false" outlineLevel="0" collapsed="false">
      <c r="A69" s="1" t="s">
        <v>91</v>
      </c>
      <c r="B69" s="8" t="n">
        <v>-910.74</v>
      </c>
      <c r="C69" s="8" t="n">
        <v>-143</v>
      </c>
      <c r="D69" s="8" t="n">
        <f aca="false">B69+C69</f>
        <v>-1053.74</v>
      </c>
    </row>
    <row r="70" customFormat="false" ht="12.75" hidden="false" customHeight="false" outlineLevel="0" collapsed="false">
      <c r="A70" s="1" t="s">
        <v>92</v>
      </c>
      <c r="B70" s="8" t="n">
        <v>-37771.89</v>
      </c>
      <c r="C70" s="8" t="n">
        <v>-7312.72</v>
      </c>
      <c r="D70" s="8" t="n">
        <f aca="false">B70+C70</f>
        <v>-45084.61</v>
      </c>
    </row>
    <row r="71" customFormat="false" ht="12.75" hidden="false" customHeight="false" outlineLevel="0" collapsed="false">
      <c r="A71" s="1" t="s">
        <v>185</v>
      </c>
      <c r="B71" s="8" t="n">
        <v>-350858.27</v>
      </c>
      <c r="C71" s="8" t="n">
        <v>0</v>
      </c>
      <c r="D71" s="8" t="n">
        <f aca="false">B71+C71</f>
        <v>-350858.27</v>
      </c>
    </row>
    <row r="72" customFormat="false" ht="12.75" hidden="false" customHeight="false" outlineLevel="0" collapsed="false">
      <c r="A72" s="1" t="s">
        <v>186</v>
      </c>
      <c r="B72" s="8" t="n">
        <v>0</v>
      </c>
      <c r="C72" s="8" t="n">
        <v>-78502</v>
      </c>
      <c r="D72" s="8" t="n">
        <f aca="false">B72+C72</f>
        <v>-78502</v>
      </c>
    </row>
    <row r="73" customFormat="false" ht="12.75" hidden="false" customHeight="false" outlineLevel="0" collapsed="false">
      <c r="A73" s="1" t="s">
        <v>96</v>
      </c>
      <c r="B73" s="8" t="n">
        <v>-202.72</v>
      </c>
      <c r="C73" s="8" t="n">
        <v>0</v>
      </c>
      <c r="D73" s="8" t="n">
        <f aca="false">B73+C73</f>
        <v>-202.72</v>
      </c>
    </row>
    <row r="74" customFormat="false" ht="12.75" hidden="false" customHeight="false" outlineLevel="0" collapsed="false">
      <c r="A74" s="1" t="s">
        <v>97</v>
      </c>
      <c r="B74" s="8" t="n">
        <v>-3008.05</v>
      </c>
      <c r="C74" s="8" t="n">
        <v>-740</v>
      </c>
      <c r="D74" s="8" t="n">
        <f aca="false">B74+C74</f>
        <v>-3748.05</v>
      </c>
    </row>
    <row r="75" customFormat="false" ht="12.75" hidden="false" customHeight="false" outlineLevel="0" collapsed="false">
      <c r="A75" s="1" t="s">
        <v>187</v>
      </c>
      <c r="B75" s="8" t="n">
        <v>-2939.38</v>
      </c>
      <c r="C75" s="8" t="n">
        <v>0</v>
      </c>
      <c r="D75" s="8" t="n">
        <f aca="false">B75+C75</f>
        <v>-2939.38</v>
      </c>
    </row>
    <row r="76" customFormat="false" ht="12.75" hidden="false" customHeight="false" outlineLevel="0" collapsed="false">
      <c r="A76" s="1" t="s">
        <v>188</v>
      </c>
      <c r="B76" s="8" t="n">
        <v>0</v>
      </c>
      <c r="C76" s="8" t="n">
        <v>-1096.76</v>
      </c>
      <c r="D76" s="8" t="n">
        <f aca="false">B76+C76</f>
        <v>-1096.76</v>
      </c>
    </row>
    <row r="77" customFormat="false" ht="12.75" hidden="false" customHeight="false" outlineLevel="0" collapsed="false">
      <c r="A77" s="1" t="s">
        <v>99</v>
      </c>
      <c r="B77" s="8" t="n">
        <v>-12940.4</v>
      </c>
      <c r="C77" s="8" t="n">
        <v>5238.3</v>
      </c>
      <c r="D77" s="8" t="n">
        <f aca="false">B77+C77</f>
        <v>-7702.1</v>
      </c>
      <c r="G77" s="46" t="n">
        <f aca="false">+D81-D80-D79-D78-D77-D74-D73-D72-D69-D62-D63</f>
        <v>-531227.45</v>
      </c>
    </row>
    <row r="78" customFormat="false" ht="12.75" hidden="false" customHeight="false" outlineLevel="0" collapsed="false">
      <c r="A78" s="1" t="s">
        <v>100</v>
      </c>
      <c r="B78" s="8" t="n">
        <v>-5661.77</v>
      </c>
      <c r="C78" s="8" t="n">
        <v>0</v>
      </c>
      <c r="D78" s="8" t="n">
        <f aca="false">B78+C78</f>
        <v>-5661.77</v>
      </c>
    </row>
    <row r="79" customFormat="false" ht="12.75" hidden="false" customHeight="false" outlineLevel="0" collapsed="false">
      <c r="A79" s="1" t="s">
        <v>99</v>
      </c>
      <c r="B79" s="8"/>
      <c r="C79" s="8"/>
      <c r="D79" s="8" t="n">
        <f aca="false">B79+C79</f>
        <v>0</v>
      </c>
    </row>
    <row r="80" customFormat="false" ht="12.75" hidden="false" customHeight="false" outlineLevel="0" collapsed="false">
      <c r="A80" s="1" t="s">
        <v>100</v>
      </c>
      <c r="B80" s="8"/>
      <c r="C80" s="8"/>
      <c r="D80" s="8" t="n">
        <f aca="false">B80+C80</f>
        <v>0</v>
      </c>
    </row>
    <row r="81" customFormat="false" ht="12.75" hidden="false" customHeight="false" outlineLevel="0" collapsed="false">
      <c r="A81" s="19" t="s">
        <v>53</v>
      </c>
      <c r="B81" s="20" t="n">
        <f aca="false">SUM(B50:B80)</f>
        <v>-597858.31</v>
      </c>
      <c r="C81" s="20" t="n">
        <f aca="false">SUM(C50:C80)</f>
        <v>-126093.74</v>
      </c>
      <c r="D81" s="20" t="n">
        <f aca="false">SUM(D50:D80)</f>
        <v>-723952.05</v>
      </c>
    </row>
    <row r="82" customFormat="false" ht="12.75" hidden="false" customHeight="false" outlineLevel="0" collapsed="false">
      <c r="A82" s="1" t="s">
        <v>101</v>
      </c>
      <c r="B82" s="8" t="e">
        <f aca="false">+#REF!+B49+B81</f>
        <v>#REF!</v>
      </c>
      <c r="C82" s="8" t="e">
        <f aca="false">+#REF!+C49+C81</f>
        <v>#REF!</v>
      </c>
      <c r="D82" s="8" t="e">
        <f aca="false">+#REF!+D49+D81</f>
        <v>#REF!</v>
      </c>
    </row>
  </sheetData>
  <mergeCells count="1">
    <mergeCell ref="A1:D1"/>
  </mergeCells>
  <conditionalFormatting sqref="H26:T26 H28:T2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66" t="s">
        <v>189</v>
      </c>
    </row>
    <row r="3" customFormat="false" ht="15" hidden="false" customHeight="false" outlineLevel="0" collapsed="false">
      <c r="A3" s="6" t="s">
        <v>190</v>
      </c>
    </row>
    <row r="4" customFormat="false" ht="15" hidden="false" customHeight="false" outlineLevel="0" collapsed="false">
      <c r="A4" s="6" t="s">
        <v>191</v>
      </c>
    </row>
    <row r="5" customFormat="false" ht="15" hidden="false" customHeight="false" outlineLevel="0" collapsed="false">
      <c r="A5" s="6" t="s">
        <v>192</v>
      </c>
    </row>
    <row r="6" customFormat="false" ht="15" hidden="false" customHeight="false" outlineLevel="0" collapsed="false">
      <c r="A6" s="6" t="s">
        <v>193</v>
      </c>
    </row>
    <row r="9" customFormat="false" ht="15" hidden="false" customHeight="false" outlineLevel="0" collapsed="false">
      <c r="A9" s="67" t="s">
        <v>194</v>
      </c>
      <c r="B9" s="68"/>
      <c r="C9" s="68"/>
    </row>
    <row r="10" customFormat="false" ht="15" hidden="false" customHeight="false" outlineLevel="0" collapsed="false">
      <c r="A10" s="69" t="s">
        <v>195</v>
      </c>
      <c r="C10" s="70" t="n">
        <v>96489.15</v>
      </c>
    </row>
    <row r="11" customFormat="false" ht="15" hidden="false" customHeight="false" outlineLevel="0" collapsed="false">
      <c r="A11" s="69" t="s">
        <v>196</v>
      </c>
      <c r="C11" s="70" t="n">
        <v>-267594.63</v>
      </c>
    </row>
    <row r="12" customFormat="false" ht="15" hidden="false" customHeight="false" outlineLevel="0" collapsed="false">
      <c r="A12" s="71" t="s">
        <v>197</v>
      </c>
      <c r="B12" s="72"/>
      <c r="C12" s="73" t="n">
        <v>-171105.48</v>
      </c>
    </row>
    <row r="13" customFormat="false" ht="15" hidden="false" customHeight="false" outlineLevel="0" collapsed="false">
      <c r="A13" s="69" t="s">
        <v>198</v>
      </c>
      <c r="C13" s="70" t="n">
        <v>-126105.28</v>
      </c>
    </row>
    <row r="14" customFormat="false" ht="15" hidden="false" customHeight="false" outlineLevel="0" collapsed="false">
      <c r="A14" s="69" t="s">
        <v>199</v>
      </c>
      <c r="C14" s="70" t="n">
        <v>430.17</v>
      </c>
    </row>
    <row r="15" customFormat="false" ht="15" hidden="false" customHeight="false" outlineLevel="0" collapsed="false">
      <c r="A15" s="71" t="s">
        <v>200</v>
      </c>
      <c r="B15" s="72"/>
      <c r="C15" s="73" t="n">
        <v>-296780.59</v>
      </c>
    </row>
    <row r="18" customFormat="false" ht="15" hidden="false" customHeight="false" outlineLevel="0" collapsed="false">
      <c r="A18" s="67" t="s">
        <v>201</v>
      </c>
      <c r="B18" s="68"/>
      <c r="C18" s="68"/>
    </row>
    <row r="19" customFormat="false" ht="15" hidden="false" customHeight="false" outlineLevel="0" collapsed="false">
      <c r="A19" s="69" t="s">
        <v>37</v>
      </c>
      <c r="C19" s="70" t="n">
        <v>107500</v>
      </c>
    </row>
    <row r="20" customFormat="false" ht="15" hidden="false" customHeight="false" outlineLevel="0" collapsed="false">
      <c r="A20" s="69" t="s">
        <v>27</v>
      </c>
      <c r="C20" s="70" t="n">
        <v>14108.75</v>
      </c>
    </row>
    <row r="21" customFormat="false" ht="15" hidden="false" customHeight="false" outlineLevel="0" collapsed="false">
      <c r="A21" s="69" t="s">
        <v>158</v>
      </c>
      <c r="C21" s="70" t="n">
        <v>4803</v>
      </c>
    </row>
    <row r="22" customFormat="false" ht="15" hidden="false" customHeight="false" outlineLevel="0" collapsed="false">
      <c r="A22" s="69" t="s">
        <v>153</v>
      </c>
      <c r="C22" s="70" t="n">
        <v>1905</v>
      </c>
    </row>
    <row r="23" customFormat="false" ht="15" hidden="false" customHeight="false" outlineLevel="0" collapsed="false">
      <c r="A23" s="69" t="s">
        <v>202</v>
      </c>
      <c r="C23" s="70" t="n">
        <v>600</v>
      </c>
    </row>
    <row r="24" customFormat="false" ht="15" hidden="false" customHeight="false" outlineLevel="0" collapsed="false">
      <c r="A24" s="69" t="s">
        <v>32</v>
      </c>
      <c r="C24" s="70" t="n">
        <v>-7650</v>
      </c>
    </row>
    <row r="25" customFormat="false" ht="15" hidden="false" customHeight="false" outlineLevel="0" collapsed="false">
      <c r="A25" s="69" t="s">
        <v>20</v>
      </c>
      <c r="C25" s="70" t="n">
        <v>-24777.6</v>
      </c>
    </row>
    <row r="26" customFormat="false" ht="15" hidden="false" customHeight="false" outlineLevel="0" collapsed="false">
      <c r="A26" s="71" t="s">
        <v>203</v>
      </c>
      <c r="B26" s="72"/>
      <c r="C26" s="73" t="n">
        <v>96489.15</v>
      </c>
    </row>
    <row r="28" customFormat="false" ht="15" hidden="false" customHeight="false" outlineLevel="0" collapsed="false">
      <c r="A28" s="67" t="s">
        <v>204</v>
      </c>
      <c r="B28" s="68"/>
      <c r="C28" s="68"/>
    </row>
    <row r="29" customFormat="false" ht="15" hidden="false" customHeight="false" outlineLevel="0" collapsed="false">
      <c r="A29" s="69" t="s">
        <v>50</v>
      </c>
      <c r="C29" s="70" t="n">
        <v>-86973.33</v>
      </c>
    </row>
    <row r="30" customFormat="false" ht="15" hidden="false" customHeight="false" outlineLevel="0" collapsed="false">
      <c r="A30" s="69" t="s">
        <v>125</v>
      </c>
      <c r="C30" s="70" t="n">
        <v>-45676.45</v>
      </c>
    </row>
    <row r="31" customFormat="false" ht="15" hidden="false" customHeight="false" outlineLevel="0" collapsed="false">
      <c r="A31" s="69" t="s">
        <v>164</v>
      </c>
      <c r="C31" s="70" t="n">
        <v>-31331.33</v>
      </c>
    </row>
    <row r="32" customFormat="false" ht="15" hidden="false" customHeight="false" outlineLevel="0" collapsed="false">
      <c r="A32" s="69" t="s">
        <v>205</v>
      </c>
      <c r="C32" s="70" t="n">
        <v>-20963.99</v>
      </c>
    </row>
    <row r="33" customFormat="false" ht="15" hidden="false" customHeight="false" outlineLevel="0" collapsed="false">
      <c r="A33" s="69" t="s">
        <v>126</v>
      </c>
      <c r="C33" s="70" t="n">
        <v>-14100.99</v>
      </c>
    </row>
    <row r="34" customFormat="false" ht="15" hidden="false" customHeight="false" outlineLevel="0" collapsed="false">
      <c r="A34" s="69" t="s">
        <v>165</v>
      </c>
      <c r="C34" s="70" t="n">
        <v>-12898.8</v>
      </c>
    </row>
    <row r="35" customFormat="false" ht="15" hidden="false" customHeight="false" outlineLevel="0" collapsed="false">
      <c r="A35" s="69" t="s">
        <v>169</v>
      </c>
      <c r="C35" s="70" t="n">
        <v>-9419.2</v>
      </c>
    </row>
    <row r="36" customFormat="false" ht="15" hidden="false" customHeight="false" outlineLevel="0" collapsed="false">
      <c r="A36" s="69" t="s">
        <v>206</v>
      </c>
      <c r="C36" s="70" t="n">
        <v>-9090</v>
      </c>
    </row>
    <row r="37" customFormat="false" ht="15" hidden="false" customHeight="false" outlineLevel="0" collapsed="false">
      <c r="A37" s="69" t="s">
        <v>56</v>
      </c>
      <c r="C37" s="70" t="n">
        <v>-7280.14</v>
      </c>
    </row>
    <row r="38" customFormat="false" ht="15" hidden="false" customHeight="false" outlineLevel="0" collapsed="false">
      <c r="A38" s="69" t="s">
        <v>127</v>
      </c>
      <c r="C38" s="70" t="n">
        <v>-6415.53</v>
      </c>
    </row>
    <row r="39" customFormat="false" ht="15" hidden="false" customHeight="false" outlineLevel="0" collapsed="false">
      <c r="A39" s="69" t="s">
        <v>128</v>
      </c>
      <c r="C39" s="70" t="n">
        <v>-5709.18</v>
      </c>
    </row>
    <row r="40" customFormat="false" ht="15" hidden="false" customHeight="false" outlineLevel="0" collapsed="false">
      <c r="A40" s="69" t="s">
        <v>131</v>
      </c>
      <c r="C40" s="70" t="n">
        <v>-3828.86</v>
      </c>
    </row>
    <row r="41" customFormat="false" ht="15" hidden="false" customHeight="false" outlineLevel="0" collapsed="false">
      <c r="A41" s="69" t="s">
        <v>207</v>
      </c>
      <c r="C41" s="70" t="n">
        <v>-3158</v>
      </c>
    </row>
    <row r="42" customFormat="false" ht="15" hidden="false" customHeight="false" outlineLevel="0" collapsed="false">
      <c r="A42" s="69" t="s">
        <v>129</v>
      </c>
      <c r="C42" s="70" t="n">
        <v>-2775.66</v>
      </c>
    </row>
    <row r="43" customFormat="false" ht="15" hidden="false" customHeight="false" outlineLevel="0" collapsed="false">
      <c r="A43" s="69" t="s">
        <v>68</v>
      </c>
      <c r="C43" s="70" t="n">
        <v>-1798.07</v>
      </c>
    </row>
    <row r="44" customFormat="false" ht="15" hidden="false" customHeight="false" outlineLevel="0" collapsed="false">
      <c r="A44" s="69" t="s">
        <v>62</v>
      </c>
      <c r="C44" s="70" t="n">
        <v>-1774.77</v>
      </c>
    </row>
    <row r="45" customFormat="false" ht="15" hidden="false" customHeight="false" outlineLevel="0" collapsed="false">
      <c r="A45" s="69" t="s">
        <v>172</v>
      </c>
      <c r="C45" s="70" t="n">
        <v>-1660.16</v>
      </c>
    </row>
    <row r="46" customFormat="false" ht="15" hidden="false" customHeight="false" outlineLevel="0" collapsed="false">
      <c r="A46" s="69" t="s">
        <v>208</v>
      </c>
      <c r="C46" s="70" t="n">
        <v>-2740.17</v>
      </c>
    </row>
    <row r="47" customFormat="false" ht="15" hidden="false" customHeight="false" outlineLevel="0" collapsed="false">
      <c r="A47" s="71" t="s">
        <v>209</v>
      </c>
      <c r="B47" s="72"/>
      <c r="C47" s="73" t="n">
        <v>-267594.63</v>
      </c>
    </row>
    <row r="49" customFormat="false" ht="15" hidden="false" customHeight="false" outlineLevel="0" collapsed="false">
      <c r="A49" s="67" t="s">
        <v>210</v>
      </c>
      <c r="B49" s="68"/>
      <c r="C49" s="68"/>
    </row>
    <row r="50" customFormat="false" ht="15" hidden="false" customHeight="false" outlineLevel="0" collapsed="false">
      <c r="A50" s="69" t="s">
        <v>211</v>
      </c>
      <c r="C50" s="70" t="n">
        <v>-27110.38</v>
      </c>
    </row>
    <row r="51" customFormat="false" ht="15" hidden="false" customHeight="false" outlineLevel="0" collapsed="false">
      <c r="A51" s="69" t="s">
        <v>185</v>
      </c>
      <c r="C51" s="70" t="n">
        <v>-23609.2</v>
      </c>
    </row>
    <row r="52" customFormat="false" ht="15" hidden="false" customHeight="false" outlineLevel="0" collapsed="false">
      <c r="A52" s="69" t="s">
        <v>85</v>
      </c>
      <c r="C52" s="70" t="n">
        <v>-20681.16</v>
      </c>
    </row>
    <row r="53" customFormat="false" ht="15" hidden="false" customHeight="false" outlineLevel="0" collapsed="false">
      <c r="A53" s="69" t="s">
        <v>212</v>
      </c>
      <c r="C53" s="70" t="n">
        <v>-9178.55</v>
      </c>
    </row>
    <row r="54" customFormat="false" ht="15" hidden="false" customHeight="false" outlineLevel="0" collapsed="false">
      <c r="A54" s="69" t="s">
        <v>92</v>
      </c>
      <c r="C54" s="70" t="n">
        <v>-8053.25</v>
      </c>
    </row>
    <row r="55" customFormat="false" ht="15" hidden="false" customHeight="false" outlineLevel="0" collapsed="false">
      <c r="A55" s="69" t="s">
        <v>86</v>
      </c>
      <c r="C55" s="70" t="n">
        <v>-5811.9</v>
      </c>
    </row>
    <row r="56" customFormat="false" ht="15" hidden="false" customHeight="false" outlineLevel="0" collapsed="false">
      <c r="A56" s="69" t="s">
        <v>187</v>
      </c>
      <c r="C56" s="70" t="n">
        <v>-4997.28</v>
      </c>
    </row>
    <row r="57" customFormat="false" ht="15" hidden="false" customHeight="false" outlineLevel="0" collapsed="false">
      <c r="A57" s="69" t="s">
        <v>135</v>
      </c>
      <c r="C57" s="70" t="n">
        <v>-4250</v>
      </c>
    </row>
    <row r="58" customFormat="false" ht="15" hidden="false" customHeight="false" outlineLevel="0" collapsed="false">
      <c r="A58" s="69" t="s">
        <v>213</v>
      </c>
      <c r="C58" s="70" t="n">
        <v>-3931.17</v>
      </c>
    </row>
    <row r="59" customFormat="false" ht="15" hidden="false" customHeight="false" outlineLevel="0" collapsed="false">
      <c r="A59" s="69" t="s">
        <v>36</v>
      </c>
      <c r="C59" s="70" t="n">
        <v>-3822.57</v>
      </c>
    </row>
    <row r="60" customFormat="false" ht="15" hidden="false" customHeight="false" outlineLevel="0" collapsed="false">
      <c r="A60" s="69" t="s">
        <v>138</v>
      </c>
      <c r="C60" s="70" t="n">
        <v>-3311.34</v>
      </c>
    </row>
    <row r="61" customFormat="false" ht="15" hidden="false" customHeight="false" outlineLevel="0" collapsed="false">
      <c r="A61" s="69" t="s">
        <v>186</v>
      </c>
      <c r="C61" s="70" t="n">
        <v>-2944.02</v>
      </c>
    </row>
    <row r="62" customFormat="false" ht="15" hidden="false" customHeight="false" outlineLevel="0" collapsed="false">
      <c r="A62" s="69" t="s">
        <v>94</v>
      </c>
      <c r="C62" s="70" t="n">
        <v>-1957.8</v>
      </c>
    </row>
    <row r="63" customFormat="false" ht="15" hidden="false" customHeight="false" outlineLevel="0" collapsed="false">
      <c r="A63" s="69" t="s">
        <v>139</v>
      </c>
      <c r="C63" s="70" t="n">
        <v>-1348.4</v>
      </c>
    </row>
    <row r="64" customFormat="false" ht="15" hidden="false" customHeight="false" outlineLevel="0" collapsed="false">
      <c r="A64" s="69" t="s">
        <v>214</v>
      </c>
      <c r="C64" s="70" t="n">
        <v>-5098.26</v>
      </c>
    </row>
    <row r="65" customFormat="false" ht="15" hidden="false" customHeight="false" outlineLevel="0" collapsed="false">
      <c r="A65" s="71" t="s">
        <v>215</v>
      </c>
      <c r="B65" s="72"/>
      <c r="C65" s="73" t="n">
        <v>-126105.28</v>
      </c>
    </row>
    <row r="67" customFormat="false" ht="15" hidden="false" customHeight="false" outlineLevel="0" collapsed="false">
      <c r="A67" s="67" t="s">
        <v>216</v>
      </c>
      <c r="B67" s="68"/>
      <c r="C67" s="68"/>
    </row>
    <row r="68" customFormat="false" ht="15" hidden="false" customHeight="false" outlineLevel="0" collapsed="false">
      <c r="A68" s="69" t="s">
        <v>217</v>
      </c>
      <c r="C68" s="70" t="n">
        <v>430.17</v>
      </c>
    </row>
    <row r="69" customFormat="false" ht="15" hidden="false" customHeight="false" outlineLevel="0" collapsed="false">
      <c r="A69" s="71" t="s">
        <v>218</v>
      </c>
      <c r="B69" s="72"/>
      <c r="C69" s="73" t="n">
        <v>430.17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2026-10-26T21:51:02Z</dcterms:created>
  <dc:creator>Danica Nelson</dc:creator>
  <dc:description/>
  <dc:language>en-US</dc:language>
  <cp:lastModifiedBy>Danica Nelson</cp:lastModifiedBy>
  <dcterms:modified xsi:type="dcterms:W3CDTF">2026-10-26T22:31:58Z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