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upplier Bill INV41565" sheetId="2" state="visible" r:id="rId2"/>
    <sheet name="Aware Invoice INV-10596" sheetId="3" state="visible" r:id="rId3"/>
    <sheet name="Variations" sheetId="4" state="visible" r:id="rId4"/>
    <sheet name="Section Margin" sheetId="5" state="visible" r:id="rId5"/>
    <sheet name="Notes &amp; Sources" sheetId="6" state="visible" r:id="rId6"/>
    <sheet name="Invoice Extracts" sheetId="7" state="visible" r:id="rId7"/>
  </sheets>
  <definedNames/>
  <calcPr calcId="124519" fullCalcOnLoad="1"/>
</workbook>
</file>

<file path=xl/styles.xml><?xml version="1.0" encoding="utf-8"?>
<styleSheet xmlns="http://schemas.openxmlformats.org/spreadsheetml/2006/main">
  <numFmts count="3">
    <numFmt numFmtId="164" formatCode="$#,##0.00;($#,##0.00);-"/>
    <numFmt numFmtId="165" formatCode="0.0%;(0.0%);-"/>
    <numFmt numFmtId="166" formatCode="0 &quot;days&quot;"/>
  </numFmts>
  <fonts count="8">
    <font>
      <name val="Calibri"/>
      <family val="2"/>
      <color theme="1"/>
      <sz val="11"/>
      <scheme val="minor"/>
    </font>
    <font>
      <name val="Arial"/>
      <b val="1"/>
      <sz val="14"/>
    </font>
    <font>
      <name val="Arial"/>
      <sz val="10"/>
    </font>
    <font>
      <name val="Arial"/>
      <i val="1"/>
      <sz val="9"/>
    </font>
    <font>
      <name val="Arial"/>
      <b val="1"/>
      <color rgb="00FFFFFF"/>
      <sz val="11"/>
    </font>
    <font>
      <name val="Arial"/>
      <color rgb="000000FF"/>
      <sz val="10"/>
    </font>
    <font>
      <name val="Arial"/>
      <b val="1"/>
      <sz val="10"/>
    </font>
    <font>
      <name val="Arial"/>
      <color rgb="00008000"/>
      <sz val="10"/>
    </font>
  </fonts>
  <fills count="7">
    <fill>
      <patternFill/>
    </fill>
    <fill>
      <patternFill patternType="gray125"/>
    </fill>
    <fill>
      <patternFill patternType="solid">
        <fgColor rgb="001F3864"/>
      </patternFill>
    </fill>
    <fill>
      <patternFill patternType="solid">
        <fgColor rgb="00D9E1F2"/>
      </patternFill>
    </fill>
    <fill>
      <patternFill patternType="solid">
        <fgColor rgb="00FFFF00"/>
      </patternFill>
    </fill>
    <fill>
      <patternFill patternType="solid">
        <fgColor rgb="00F8CBAD"/>
      </patternFill>
    </fill>
    <fill>
      <patternFill patternType="solid">
        <fgColor rgb="00C6EFCE"/>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3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4" fillId="2" borderId="1" applyAlignment="1" pivotButton="0" quotePrefix="0" xfId="0">
      <alignment vertical="center" wrapText="1"/>
    </xf>
    <xf numFmtId="0" fontId="2" fillId="0" borderId="1" applyAlignment="1" pivotButton="0" quotePrefix="0" xfId="0">
      <alignment vertical="top" wrapText="1"/>
    </xf>
    <xf numFmtId="164" fontId="7" fillId="0" borderId="1" pivotButton="0" quotePrefix="0" xfId="0"/>
    <xf numFmtId="0" fontId="2" fillId="0" borderId="1" pivotButton="0" quotePrefix="0" xfId="0"/>
    <xf numFmtId="0" fontId="6" fillId="0" borderId="1" applyAlignment="1" pivotButton="0" quotePrefix="0" xfId="0">
      <alignment vertical="top" wrapText="1"/>
    </xf>
    <xf numFmtId="164" fontId="2" fillId="0" borderId="1" pivotButton="0" quotePrefix="0" xfId="0"/>
    <xf numFmtId="165" fontId="6" fillId="0" borderId="1" pivotButton="0" quotePrefix="0" xfId="0"/>
    <xf numFmtId="164" fontId="7" fillId="4" borderId="1" pivotButton="0" quotePrefix="0" xfId="0"/>
    <xf numFmtId="165" fontId="6" fillId="4" borderId="1" pivotButton="0" quotePrefix="0" xfId="0"/>
    <xf numFmtId="0" fontId="0" fillId="0" borderId="4" pivotButton="0" quotePrefix="0" xfId="0"/>
    <xf numFmtId="0" fontId="0" fillId="0" borderId="5" pivotButton="0" quotePrefix="0" xfId="0"/>
    <xf numFmtId="0" fontId="6" fillId="0" borderId="1" pivotButton="0" quotePrefix="0" xfId="0"/>
    <xf numFmtId="164" fontId="6" fillId="0" borderId="1" pivotButton="0" quotePrefix="0" xfId="0"/>
    <xf numFmtId="164" fontId="5" fillId="0" borderId="1" pivotButton="0" quotePrefix="0" xfId="0"/>
    <xf numFmtId="0" fontId="7" fillId="0" borderId="1" pivotButton="0" quotePrefix="0" xfId="0"/>
    <xf numFmtId="165" fontId="7" fillId="0" borderId="1" pivotButton="0" quotePrefix="0" xfId="0"/>
    <xf numFmtId="164" fontId="7" fillId="5" borderId="1" pivotButton="0" quotePrefix="0" xfId="0"/>
    <xf numFmtId="164" fontId="7" fillId="6" borderId="1" pivotButton="0" quotePrefix="0" xfId="0"/>
    <xf numFmtId="0" fontId="5" fillId="0" borderId="1" pivotButton="0" quotePrefix="0" xfId="0"/>
    <xf numFmtId="166" fontId="2" fillId="0" borderId="1" pivotButton="0" quotePrefix="0" xfId="0"/>
    <xf numFmtId="0" fontId="3" fillId="0" borderId="0" pivotButton="0" quotePrefix="0" xfId="0"/>
    <xf numFmtId="0" fontId="5" fillId="0" borderId="1" applyAlignment="1" pivotButton="0" quotePrefix="0" xfId="0">
      <alignment vertical="top" wrapText="1"/>
    </xf>
    <xf numFmtId="1" fontId="5" fillId="0" borderId="1" pivotButton="0" quotePrefix="0" xfId="0"/>
    <xf numFmtId="0" fontId="6" fillId="3" borderId="1" applyAlignment="1" pivotButton="0" quotePrefix="0" xfId="0">
      <alignment vertical="center" wrapText="1"/>
    </xf>
    <xf numFmtId="164" fontId="6" fillId="4" borderId="1" pivotButton="0" quotePrefix="0" xfId="0"/>
    <xf numFmtId="0" fontId="2" fillId="0" borderId="0" pivotButton="0" quotePrefix="0" xfId="0"/>
    <xf numFmtId="165" fontId="2" fillId="0" borderId="1" pivotButton="0" quotePrefix="0" xfId="0"/>
    <xf numFmtId="164" fontId="2" fillId="5" borderId="1" pivotButton="0" quotePrefix="0" xfId="0"/>
    <xf numFmtId="164" fontId="2" fillId="6" borderId="1" pivotButton="0" quotePrefix="0" xfId="0"/>
    <xf numFmtId="164" fontId="5" fillId="4" borderId="1" pivotButton="0" quotePrefix="0" xfId="0"/>
    <xf numFmtId="2" fontId="2" fillId="0" borderId="1"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omments/comment1.xml><?xml version="1.0" encoding="utf-8"?>
<comments xmlns="http://schemas.openxmlformats.org/spreadsheetml/2006/main">
  <authors>
    <author>Analysis</author>
  </authors>
  <commentList>
    <comment ref="C14" authorId="0" shapeId="0">
      <text>
        <t>Xero PO-00016899 'Q-12140v1 - Audio Visual Proposal (PO 2/2)', Complete AV Solutions, dated 24 Jul 26, status Authorised, $17,700.52 ex GST / $19,470.57 inc GST. Line items not visible via the Xero connector. Confirm what it covers.</t>
      </text>
    </comment>
  </commentList>
</comment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3</row>
      <rowOff>0</rowOff>
    </from>
    <ext cx="13112591" cy="11425713"/>
    <pic>
      <nvPicPr>
        <cNvPr id="1" name="Image 1" descr="Picture"/>
        <cNvPicPr/>
      </nvPicPr>
      <blipFill>
        <a:blip cstate="print" r:embed="rId1"/>
        <a:stretch>
          <a:fillRect/>
        </a:stretch>
      </blipFill>
      <spPr>
        <a:prstGeom prst="rect"/>
      </spPr>
    </pic>
    <clientData/>
  </oneCellAnchor>
  <oneCellAnchor>
    <from>
      <col>0</col>
      <colOff>0</colOff>
      <row>66</row>
      <rowOff>0</rowOff>
    </from>
    <ext cx="10362247" cy="4578667"/>
    <pic>
      <nvPicPr>
        <cNvPr id="2" name="Image 2" descr="Picture"/>
        <cNvPicPr/>
      </nvPicPr>
      <blipFill>
        <a:blip cstate="print" r:embed="rId2"/>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D49"/>
  <sheetViews>
    <sheetView showGridLines="0" workbookViewId="0">
      <selection activeCell="A1" sqref="A1"/>
    </sheetView>
  </sheetViews>
  <sheetFormatPr baseColWidth="8" defaultRowHeight="15"/>
  <cols>
    <col width="70" customWidth="1" min="1" max="1"/>
    <col width="18" customWidth="1" min="2" max="2"/>
    <col width="18" customWidth="1" min="3" max="3"/>
    <col width="44" customWidth="1" min="4" max="4"/>
  </cols>
  <sheetData>
    <row r="1">
      <c r="A1" s="1" t="inlineStr">
        <is>
          <t>Aware Super Seminar Room AV Upgrade (Project 2604704) - Cost vs Sell</t>
        </is>
      </c>
    </row>
    <row r="2" ht="42" customHeight="1">
      <c r="A2" s="2" t="inlineStr">
        <is>
          <t>Complete AV Solutions bill INV41565 vs Aware Super invoice INV-10596. Source: Xero, Corporate Technology Services Pty Ltd, pulled 29 Sep 2026. Ex GST unless stated. Blue = hardcoded from Xero, black = formula, green = link to another tab, yellow = the number to confirm.</t>
        </is>
      </c>
    </row>
    <row r="4">
      <c r="A4" s="3" t="inlineStr">
        <is>
          <t>1. Headline</t>
        </is>
      </c>
      <c r="B4" s="3" t="inlineStr">
        <is>
          <t>Ex GST</t>
        </is>
      </c>
      <c r="C4" s="3" t="inlineStr">
        <is>
          <t>Inc GST</t>
        </is>
      </c>
      <c r="D4" s="3" t="inlineStr">
        <is>
          <t>Margin %</t>
        </is>
      </c>
    </row>
    <row r="5">
      <c r="A5" s="4" t="inlineStr">
        <is>
          <t>Sell to Aware (INV-10596)</t>
        </is>
      </c>
      <c r="B5" s="5">
        <f>'Aware Invoice INV-10596'!C18</f>
        <v/>
      </c>
      <c r="C5" s="5">
        <f>'Aware Invoice INV-10596'!E18</f>
        <v/>
      </c>
      <c r="D5" s="6" t="n"/>
    </row>
    <row r="6">
      <c r="A6" s="4" t="inlineStr">
        <is>
          <t>Cost billed so far by Complete AV (INV41565)</t>
        </is>
      </c>
      <c r="B6" s="5">
        <f>'Supplier Bill INV41565'!G47</f>
        <v/>
      </c>
      <c r="C6" s="5">
        <f>'Supplier Bill INV41565'!I47</f>
        <v/>
      </c>
      <c r="D6" s="6" t="n"/>
    </row>
    <row r="7">
      <c r="A7" s="7" t="inlineStr">
        <is>
          <t>Gross profit on what is billed today</t>
        </is>
      </c>
      <c r="B7" s="8">
        <f>B5-B6</f>
        <v/>
      </c>
      <c r="C7" s="6" t="n"/>
      <c r="D7" s="9">
        <f>IF(B5=0,0,B7/B5)</f>
        <v/>
      </c>
    </row>
    <row r="8">
      <c r="A8" s="4" t="inlineStr">
        <is>
          <t>Complete AV retention still to be billed</t>
        </is>
      </c>
      <c r="B8" s="5">
        <f>-'Supplier Bill INV41565'!G57</f>
        <v/>
      </c>
      <c r="C8" s="5">
        <f>-'Supplier Bill INV41565'!I57</f>
        <v/>
      </c>
      <c r="D8" s="6" t="n"/>
    </row>
    <row r="9">
      <c r="A9" s="7" t="inlineStr">
        <is>
          <t>Gross profit after retention</t>
        </is>
      </c>
      <c r="B9" s="8">
        <f>B7-B8</f>
        <v/>
      </c>
      <c r="C9" s="6" t="n"/>
      <c r="D9" s="9">
        <f>IF(B5=0,0,B9/B5)</f>
        <v/>
      </c>
    </row>
    <row r="10">
      <c r="A10" s="4" t="inlineStr">
        <is>
          <t>PO-00016899 (PO 2/2) to Complete AV, authorised, NOT yet billed, contents unconfirmed</t>
        </is>
      </c>
      <c r="B10" s="10">
        <f>'Section Margin'!C14</f>
        <v/>
      </c>
      <c r="C10" s="8">
        <f>ROUND(B10*1.1,2)</f>
        <v/>
      </c>
      <c r="D10" s="6" t="n"/>
    </row>
    <row r="11">
      <c r="A11" s="7" t="inlineStr">
        <is>
          <t>Gross profit if PO 2/2 is all cost for this job</t>
        </is>
      </c>
      <c r="B11" s="8">
        <f>B9-B10</f>
        <v/>
      </c>
      <c r="C11" s="6" t="n"/>
      <c r="D11" s="11">
        <f>IF(B5=0,0,B11/B5)</f>
        <v/>
      </c>
    </row>
    <row r="12" ht="42" customHeight="1">
      <c r="A12" s="4" t="inlineStr">
        <is>
          <t>Plain English: on paper the job makes about 21%. After the $4,848.68 retention it is 18.8%. If PO 2/2 ($17,700.52) is also cost for this job, the real margin is about 10%. Confirm PO 2/2 before calling this a 20% job.</t>
        </is>
      </c>
      <c r="B12" s="12" t="n"/>
      <c r="C12" s="12" t="n"/>
      <c r="D12" s="13" t="n"/>
    </row>
    <row r="14">
      <c r="A14" s="3" t="inlineStr">
        <is>
          <t>2. Tracker figure $136,163 reconciles</t>
        </is>
      </c>
      <c r="B14" s="3" t="inlineStr">
        <is>
          <t>Ex GST</t>
        </is>
      </c>
      <c r="C14" s="3" t="inlineStr">
        <is>
          <t>Inc GST</t>
        </is>
      </c>
      <c r="D14" s="3" t="inlineStr"/>
    </row>
    <row r="15">
      <c r="A15" s="6" t="inlineStr">
        <is>
          <t>Bill total INV41565</t>
        </is>
      </c>
      <c r="B15" s="5">
        <f>'Supplier Bill INV41565'!G47</f>
        <v/>
      </c>
      <c r="C15" s="5">
        <f>'Supplier Bill INV41565'!I47</f>
        <v/>
      </c>
    </row>
    <row r="16">
      <c r="A16" s="6" t="inlineStr">
        <is>
          <t>Less the four labour lines (23,320 + 7,196 + 6,561.80 + 1,064)</t>
        </is>
      </c>
      <c r="B16" s="5">
        <f>'Supplier Bill INV41565'!G71</f>
        <v/>
      </c>
      <c r="C16" s="5">
        <f>'Supplier Bill INV41565'!I71</f>
        <v/>
      </c>
    </row>
    <row r="17">
      <c r="A17" s="14" t="inlineStr">
        <is>
          <t>Materials portion = what the tracker calls 'Complete AV materials'</t>
        </is>
      </c>
      <c r="B17" s="15">
        <f>B15-B16</f>
        <v/>
      </c>
      <c r="C17" s="15">
        <f>C15-C16</f>
        <v/>
      </c>
    </row>
    <row r="18">
      <c r="A18" s="6" t="inlineStr">
        <is>
          <t>Tracker note</t>
        </is>
      </c>
      <c r="C18" s="16" t="n">
        <v>136163</v>
      </c>
    </row>
    <row r="19">
      <c r="A19" s="6" t="inlineStr">
        <is>
          <t>Difference (rounding only)</t>
        </is>
      </c>
      <c r="C19" s="8">
        <f>ROUND(C17-C18,0)</f>
        <v/>
      </c>
    </row>
    <row r="20" ht="30" customHeight="1">
      <c r="A20" s="4" t="inlineStr">
        <is>
          <t>Paying $136,163 this week is a PART payment of INV41565. The labour balance in C16 stays owing to Complete AV. Record it as a part payment in Xero so the balance stays visible.</t>
        </is>
      </c>
      <c r="B20" s="12" t="n"/>
      <c r="C20" s="12" t="n"/>
      <c r="D20" s="13" t="n"/>
    </row>
    <row r="22">
      <c r="A22" s="3" t="inlineStr">
        <is>
          <t>3. Section margin (best-fit mapping, see Section Margin tab)</t>
        </is>
      </c>
      <c r="B22" s="3" t="inlineStr">
        <is>
          <t>Sell</t>
        </is>
      </c>
      <c r="C22" s="3" t="inlineStr">
        <is>
          <t>Cost</t>
        </is>
      </c>
      <c r="D22" s="3" t="inlineStr">
        <is>
          <t>Margin %</t>
        </is>
      </c>
    </row>
    <row r="23">
      <c r="A23" s="17">
        <f>'Section Margin'!A5</f>
        <v/>
      </c>
      <c r="B23" s="5">
        <f>'Section Margin'!B5</f>
        <v/>
      </c>
      <c r="C23" s="5">
        <f>'Section Margin'!C5</f>
        <v/>
      </c>
      <c r="D23" s="18">
        <f>'Section Margin'!F5</f>
        <v/>
      </c>
    </row>
    <row r="24">
      <c r="A24" s="17">
        <f>'Section Margin'!A6</f>
        <v/>
      </c>
      <c r="B24" s="5">
        <f>'Section Margin'!B6</f>
        <v/>
      </c>
      <c r="C24" s="5">
        <f>'Section Margin'!C6</f>
        <v/>
      </c>
      <c r="D24" s="18">
        <f>'Section Margin'!F6</f>
        <v/>
      </c>
    </row>
    <row r="25">
      <c r="A25" s="17">
        <f>'Section Margin'!A7</f>
        <v/>
      </c>
      <c r="B25" s="5">
        <f>'Section Margin'!B7</f>
        <v/>
      </c>
      <c r="C25" s="5">
        <f>'Section Margin'!C7</f>
        <v/>
      </c>
      <c r="D25" s="18">
        <f>'Section Margin'!F7</f>
        <v/>
      </c>
    </row>
    <row r="26">
      <c r="A26" s="17">
        <f>'Section Margin'!A8</f>
        <v/>
      </c>
      <c r="B26" s="5">
        <f>'Section Margin'!B8</f>
        <v/>
      </c>
      <c r="C26" s="5">
        <f>'Section Margin'!C8</f>
        <v/>
      </c>
      <c r="D26" s="18">
        <f>'Section Margin'!F8</f>
        <v/>
      </c>
    </row>
    <row r="27">
      <c r="A27" s="17">
        <f>'Section Margin'!A9</f>
        <v/>
      </c>
      <c r="B27" s="5">
        <f>'Section Margin'!B9</f>
        <v/>
      </c>
      <c r="C27" s="5">
        <f>'Section Margin'!C9</f>
        <v/>
      </c>
      <c r="D27" s="18">
        <f>'Section Margin'!F9</f>
        <v/>
      </c>
    </row>
    <row r="28">
      <c r="A28" s="17">
        <f>'Section Margin'!A10</f>
        <v/>
      </c>
      <c r="B28" s="5">
        <f>'Section Margin'!B10</f>
        <v/>
      </c>
      <c r="C28" s="5">
        <f>'Section Margin'!C10</f>
        <v/>
      </c>
      <c r="D28" s="18">
        <f>'Section Margin'!F10</f>
        <v/>
      </c>
    </row>
    <row r="29" ht="42" customHeight="1">
      <c r="A29" s="4" t="inlineStr">
        <is>
          <t>Option A shows a small loss and the UE80 upgrade has no cost on this bill (probably PO 2/2). If the Sennheiser mics belong to Phase 2 instead of Option A, the loss moves to Phase 2. One of the two is priced at or below cost either way.</t>
        </is>
      </c>
      <c r="B29" s="12" t="n"/>
      <c r="C29" s="12" t="n"/>
      <c r="D29" s="13" t="n"/>
    </row>
    <row r="31">
      <c r="A31" s="3" t="inlineStr">
        <is>
          <t>4. Variations (see Variations tab)</t>
        </is>
      </c>
      <c r="B31" s="3" t="inlineStr">
        <is>
          <t>Complete AV</t>
        </is>
      </c>
      <c r="C31" s="3" t="inlineStr">
        <is>
          <t>Aware</t>
        </is>
      </c>
      <c r="D31" s="3" t="inlineStr">
        <is>
          <t>Effect on CTS</t>
        </is>
      </c>
    </row>
    <row r="32">
      <c r="A32" s="6" t="inlineStr">
        <is>
          <t>Net variations</t>
        </is>
      </c>
      <c r="B32" s="5">
        <f>Variations!B12</f>
        <v/>
      </c>
      <c r="C32" s="5">
        <f>Variations!C12</f>
        <v/>
      </c>
      <c r="D32" s="5">
        <f>Variations!E12</f>
        <v/>
      </c>
    </row>
    <row r="33">
      <c r="A33" s="6" t="inlineStr">
        <is>
          <t>Loss on the four ADDED items (sold below cost)</t>
        </is>
      </c>
      <c r="D33" s="19">
        <f>Variations!E14</f>
        <v/>
      </c>
    </row>
    <row r="34">
      <c r="A34" s="6" t="inlineStr">
        <is>
          <t>Kept on the three REMOVED items</t>
        </is>
      </c>
      <c r="D34" s="20">
        <f>Variations!E15</f>
        <v/>
      </c>
    </row>
    <row r="35" ht="55" customHeight="1">
      <c r="A35" s="4" t="inlineStr">
        <is>
          <t>Every variation was passed to Aware at exactly 85% (or 77%) of the supplier figure. That is a discount off cost, not a markup. The net is in CTS's favour only because the removals were bigger than the additions. Fix the method before the next Aware claim. Do not re-issue INV-10596 now; it would delay a $225k payment.</t>
        </is>
      </c>
      <c r="B35" s="12" t="n"/>
      <c r="C35" s="12" t="n"/>
      <c r="D35" s="13" t="n"/>
    </row>
    <row r="37">
      <c r="A37" s="3" t="inlineStr">
        <is>
          <t>5. Cash timing</t>
        </is>
      </c>
      <c r="B37" s="3" t="inlineStr">
        <is>
          <t>Date</t>
        </is>
      </c>
      <c r="C37" s="3" t="inlineStr">
        <is>
          <t>Inc GST</t>
        </is>
      </c>
      <c r="D37" s="3" t="inlineStr">
        <is>
          <t>Note</t>
        </is>
      </c>
    </row>
    <row r="38" ht="30" customHeight="1">
      <c r="A38" s="6" t="inlineStr">
        <is>
          <t>Complete AV bill INV41565 due</t>
        </is>
      </c>
      <c r="B38" s="21" t="inlineStr">
        <is>
          <t>26 Sep 26</t>
        </is>
      </c>
      <c r="C38" s="5">
        <f>'Supplier Bill INV41565'!I47</f>
        <v/>
      </c>
      <c r="D38" s="4" t="inlineStr">
        <is>
          <t>Already overdue at 29 Sep. Xero note says hold until Aware pays.</t>
        </is>
      </c>
    </row>
    <row r="39" ht="30" customHeight="1">
      <c r="A39" s="6" t="inlineStr">
        <is>
          <t>Planned materials payment</t>
        </is>
      </c>
      <c r="B39" s="21" t="inlineStr">
        <is>
          <t>w/c 28 Sep 26</t>
        </is>
      </c>
      <c r="C39" s="8">
        <f>C17</f>
        <v/>
      </c>
      <c r="D39" s="4" t="inlineStr">
        <is>
          <t>Part payment. Contradicts the Xero hold note, so make it a deliberate call.</t>
        </is>
      </c>
    </row>
    <row r="40" ht="42" customHeight="1">
      <c r="A40" s="6" t="inlineStr">
        <is>
          <t>Aware invoice INV-10596 due</t>
        </is>
      </c>
      <c r="B40" s="21" t="inlineStr">
        <is>
          <t>9 Oct 26</t>
        </is>
      </c>
      <c r="C40" s="5">
        <f>'Aware Invoice INV-10596'!E18</f>
        <v/>
      </c>
      <c r="D40" s="4" t="inlineStr">
        <is>
          <t>Aware paid its last two invoices in 6-7 days but took the full 30 in June. Confirm it is in the Converga approval queue now.</t>
        </is>
      </c>
    </row>
    <row r="41">
      <c r="A41" s="6" t="inlineStr">
        <is>
          <t>Days CTS is out of pocket if Aware pays on due date</t>
        </is>
      </c>
      <c r="C41" s="22">
        <f>DATE(2026,10,9)-DATE(2026,9,28)</f>
        <v/>
      </c>
    </row>
    <row r="43">
      <c r="A43" s="3" t="inlineStr">
        <is>
          <t>6. Actions, in order</t>
        </is>
      </c>
      <c r="B43" s="3" t="inlineStr"/>
      <c r="C43" s="3" t="inlineStr"/>
      <c r="D43" s="3" t="inlineStr"/>
    </row>
    <row r="44" ht="30" customHeight="1">
      <c r="A44" s="4" t="inlineStr">
        <is>
          <t>1. Open PO-00016899 (PO 2/2, $17,700.52) in Xero and confirm what it covers. If it is the UE80 upgrade, that line is sold for $12,042.88 against a $17,700.52 cost and the job is a 10% job, not 21%.</t>
        </is>
      </c>
      <c r="B44" s="12" t="n"/>
      <c r="C44" s="12" t="n"/>
      <c r="D44" s="13" t="n"/>
    </row>
    <row r="45" ht="30" customHeight="1">
      <c r="A45" s="4" t="inlineStr">
        <is>
          <t>2. Confirm with Aware's Converga inbox that INV-10596 is received and in approval.</t>
        </is>
      </c>
      <c r="B45" s="12" t="n"/>
      <c r="C45" s="12" t="n"/>
      <c r="D45" s="13" t="n"/>
    </row>
    <row r="46" ht="30" customHeight="1">
      <c r="A46" s="4" t="inlineStr">
        <is>
          <t>3. Ask Complete AV for the unit breakdown behind the three 'Removed' variation lines. None reconcile to whole units at the bill's prices.</t>
        </is>
      </c>
      <c r="B46" s="12" t="n"/>
      <c r="C46" s="12" t="n"/>
      <c r="D46" s="13" t="n"/>
    </row>
    <row r="47" ht="30" customHeight="1">
      <c r="A47" s="4" t="inlineStr">
        <is>
          <t>4. Fix the variation pricing method (cost x 0.85 / 0.77 should be cost x markup) before the retention claim and any further Aware variations are billed.</t>
        </is>
      </c>
      <c r="B47" s="12" t="n"/>
      <c r="C47" s="12" t="n"/>
      <c r="D47" s="13" t="n"/>
    </row>
    <row r="48" ht="30" customHeight="1">
      <c r="A48" s="4" t="inlineStr">
        <is>
          <t>5. Record the $136,163 as a part payment of INV41565 so the labour balance stays visible.</t>
        </is>
      </c>
      <c r="B48" s="12" t="n"/>
      <c r="C48" s="12" t="n"/>
      <c r="D48" s="13" t="n"/>
    </row>
    <row r="49" ht="30" customHeight="1">
      <c r="A49" s="4" t="inlineStr">
        <is>
          <t>6. Budget for the $4,848.68 retention and, if applicable, PO 2/2 when reporting this job's margin in the month-end pack.</t>
        </is>
      </c>
      <c r="B49" s="12" t="n"/>
      <c r="C49" s="12" t="n"/>
      <c r="D49" s="13" t="n"/>
    </row>
  </sheetData>
  <mergeCells count="11">
    <mergeCell ref="A45:D45"/>
    <mergeCell ref="A12:D12"/>
    <mergeCell ref="A35:D35"/>
    <mergeCell ref="A48:D48"/>
    <mergeCell ref="A20:D20"/>
    <mergeCell ref="A29:D29"/>
    <mergeCell ref="A2:D2"/>
    <mergeCell ref="A49:D49"/>
    <mergeCell ref="A47:D47"/>
    <mergeCell ref="A46:D46"/>
    <mergeCell ref="A44:D4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4"/>
  <sheetViews>
    <sheetView showGridLines="0" workbookViewId="0">
      <pane ySplit="5" topLeftCell="A6" activePane="bottomLeft" state="frozen"/>
      <selection pane="bottomLeft" activeCell="A1" sqref="A1"/>
    </sheetView>
  </sheetViews>
  <sheetFormatPr baseColWidth="8" defaultRowHeight="15"/>
  <cols>
    <col width="18" customWidth="1" min="1" max="1"/>
    <col width="16" customWidth="1" min="2" max="2"/>
    <col width="58" customWidth="1" min="3" max="3"/>
    <col width="11" customWidth="1" min="4" max="4"/>
    <col width="6" customWidth="1" min="5" max="5"/>
    <col width="16" customWidth="1" min="6" max="6"/>
    <col width="16" customWidth="1" min="7" max="7"/>
    <col width="13" customWidth="1" min="8" max="8"/>
    <col width="16" customWidth="1" min="9" max="9"/>
    <col width="12" customWidth="1" min="10" max="10"/>
  </cols>
  <sheetData>
    <row r="1">
      <c r="A1" s="1" t="inlineStr">
        <is>
          <t>Complete AV Solutions Pty Ltd - Bill INV41565 (ex GST line detail from Xero)</t>
        </is>
      </c>
    </row>
    <row r="2" ht="30" customHeight="1">
      <c r="A2" s="2" t="inlineStr">
        <is>
          <t>Bill date 1 Sep 26, due 26 Sep 26, status Authorised (unpaid). Xero note: 'Partial Equipment purchase &amp; Services hire for 2604704 Aware Super Seminar Room Audio Upgrade [Q-12140v1 - PO-00016902] Hold off until payment received from aware'.</t>
        </is>
      </c>
    </row>
    <row r="3">
      <c r="A3" s="23" t="inlineStr">
        <is>
          <t>Blue = hardcoded from Xero. Black = formula.</t>
        </is>
      </c>
    </row>
    <row r="5">
      <c r="A5" s="3" t="inlineStr">
        <is>
          <t>Block</t>
        </is>
      </c>
      <c r="B5" s="3" t="inlineStr">
        <is>
          <t>Maps to Aware line</t>
        </is>
      </c>
      <c r="C5" s="3" t="inlineStr">
        <is>
          <t>Description</t>
        </is>
      </c>
      <c r="D5" s="3" t="inlineStr">
        <is>
          <t>Type</t>
        </is>
      </c>
      <c r="E5" s="3" t="inlineStr">
        <is>
          <t>Qty</t>
        </is>
      </c>
      <c r="F5" s="3" t="inlineStr">
        <is>
          <t>Unit price ex GST</t>
        </is>
      </c>
      <c r="G5" s="3" t="inlineStr">
        <is>
          <t>Line ex GST</t>
        </is>
      </c>
      <c r="H5" s="3" t="inlineStr">
        <is>
          <t>GST</t>
        </is>
      </c>
      <c r="I5" s="3" t="inlineStr">
        <is>
          <t>Line inc GST</t>
        </is>
      </c>
      <c r="J5" s="3" t="inlineStr">
        <is>
          <t>Xero account</t>
        </is>
      </c>
    </row>
    <row r="6">
      <c r="A6" s="21" t="inlineStr">
        <is>
          <t>1 Core install</t>
        </is>
      </c>
      <c r="B6" s="21" t="inlineStr">
        <is>
          <t>Phase 2</t>
        </is>
      </c>
      <c r="C6" s="24" t="inlineStr">
        <is>
          <t>Crestron DM-NVX-E30 4K60 network AV encoder</t>
        </is>
      </c>
      <c r="D6" s="21" t="inlineStr">
        <is>
          <t>Equipment</t>
        </is>
      </c>
      <c r="E6" s="25" t="n">
        <v>6</v>
      </c>
      <c r="F6" s="16" t="n">
        <v>1345.56</v>
      </c>
      <c r="G6" s="8">
        <f>E6*F6</f>
        <v/>
      </c>
      <c r="H6" s="8">
        <f>ROUND(G6*0.1,2)</f>
        <v/>
      </c>
      <c r="I6" s="8">
        <f>G6+H6</f>
        <v/>
      </c>
      <c r="J6" s="21" t="inlineStr">
        <is>
          <t>51100</t>
        </is>
      </c>
    </row>
    <row r="7">
      <c r="A7" s="21" t="inlineStr">
        <is>
          <t>1 Core install</t>
        </is>
      </c>
      <c r="B7" s="21" t="inlineStr">
        <is>
          <t>Phase 2</t>
        </is>
      </c>
      <c r="C7" s="24" t="inlineStr">
        <is>
          <t>Crestron DM-NVX-385 AV-over-IP switcher HDMI/USB-C</t>
        </is>
      </c>
      <c r="D7" s="21" t="inlineStr">
        <is>
          <t>Equipment</t>
        </is>
      </c>
      <c r="E7" s="25" t="n">
        <v>2</v>
      </c>
      <c r="F7" s="16" t="n">
        <v>3390.25</v>
      </c>
      <c r="G7" s="8">
        <f>E7*F7</f>
        <v/>
      </c>
      <c r="H7" s="8">
        <f>ROUND(G7*0.1,2)</f>
        <v/>
      </c>
      <c r="I7" s="8">
        <f>G7+H7</f>
        <v/>
      </c>
      <c r="J7" s="21" t="inlineStr">
        <is>
          <t>51100</t>
        </is>
      </c>
    </row>
    <row r="8">
      <c r="A8" s="21" t="inlineStr">
        <is>
          <t>1 Core install</t>
        </is>
      </c>
      <c r="B8" s="21" t="inlineStr">
        <is>
          <t>Phase 2</t>
        </is>
      </c>
      <c r="C8" s="24" t="inlineStr">
        <is>
          <t>Crestron DM-NVX-360 4K60 encoder/decoder</t>
        </is>
      </c>
      <c r="D8" s="21" t="inlineStr">
        <is>
          <t>Equipment</t>
        </is>
      </c>
      <c r="E8" s="25" t="n">
        <v>8</v>
      </c>
      <c r="F8" s="16" t="n">
        <v>2144.14</v>
      </c>
      <c r="G8" s="8">
        <f>E8*F8</f>
        <v/>
      </c>
      <c r="H8" s="8">
        <f>ROUND(G8*0.1,2)</f>
        <v/>
      </c>
      <c r="I8" s="8">
        <f>G8+H8</f>
        <v/>
      </c>
      <c r="J8" s="21" t="inlineStr">
        <is>
          <t>51100</t>
        </is>
      </c>
    </row>
    <row r="9">
      <c r="A9" s="21" t="inlineStr">
        <is>
          <t>1 Core install</t>
        </is>
      </c>
      <c r="B9" s="21" t="inlineStr">
        <is>
          <t>Phase 2</t>
        </is>
      </c>
      <c r="C9" s="24" t="inlineStr">
        <is>
          <t>Panasonic AW-UE40WEJ 4K integrated camera, white</t>
        </is>
      </c>
      <c r="D9" s="21" t="inlineStr">
        <is>
          <t>Equipment</t>
        </is>
      </c>
      <c r="E9" s="25" t="n">
        <v>4</v>
      </c>
      <c r="F9" s="16" t="n">
        <v>4063.96</v>
      </c>
      <c r="G9" s="8">
        <f>E9*F9</f>
        <v/>
      </c>
      <c r="H9" s="8">
        <f>ROUND(G9*0.1,2)</f>
        <v/>
      </c>
      <c r="I9" s="8">
        <f>G9+H9</f>
        <v/>
      </c>
      <c r="J9" s="21" t="inlineStr">
        <is>
          <t>51100</t>
        </is>
      </c>
    </row>
    <row r="10">
      <c r="A10" s="21" t="inlineStr">
        <is>
          <t>1 Core install</t>
        </is>
      </c>
      <c r="B10" s="21" t="inlineStr">
        <is>
          <t>Phase 2</t>
        </is>
      </c>
      <c r="C10" s="24" t="inlineStr">
        <is>
          <t>Crestron UC-C100-T Flex Teams Rooms integrator kit</t>
        </is>
      </c>
      <c r="D10" s="21" t="inlineStr">
        <is>
          <t>Equipment</t>
        </is>
      </c>
      <c r="E10" s="25" t="n">
        <v>2</v>
      </c>
      <c r="F10" s="16" t="n">
        <v>5350.41</v>
      </c>
      <c r="G10" s="8">
        <f>E10*F10</f>
        <v/>
      </c>
      <c r="H10" s="8">
        <f>ROUND(G10*0.1,2)</f>
        <v/>
      </c>
      <c r="I10" s="8">
        <f>G10+H10</f>
        <v/>
      </c>
      <c r="J10" s="21" t="inlineStr">
        <is>
          <t>51100</t>
        </is>
      </c>
    </row>
    <row r="11">
      <c r="A11" s="21" t="inlineStr">
        <is>
          <t>1 Core install</t>
        </is>
      </c>
      <c r="B11" s="21" t="inlineStr">
        <is>
          <t>Phase 2</t>
        </is>
      </c>
      <c r="C11" s="24" t="inlineStr">
        <is>
          <t>Q-SYS Core 24f DSP core</t>
        </is>
      </c>
      <c r="D11" s="21" t="inlineStr">
        <is>
          <t>Equipment</t>
        </is>
      </c>
      <c r="E11" s="25" t="n">
        <v>2</v>
      </c>
      <c r="F11" s="16" t="n">
        <v>8295.67</v>
      </c>
      <c r="G11" s="8">
        <f>E11*F11</f>
        <v/>
      </c>
      <c r="H11" s="8">
        <f>ROUND(G11*0.1,2)</f>
        <v/>
      </c>
      <c r="I11" s="8">
        <f>G11+H11</f>
        <v/>
      </c>
      <c r="J11" s="21" t="inlineStr">
        <is>
          <t>51100</t>
        </is>
      </c>
    </row>
    <row r="12">
      <c r="A12" s="21" t="inlineStr">
        <is>
          <t>1 Core install</t>
        </is>
      </c>
      <c r="B12" s="21" t="inlineStr">
        <is>
          <t>Phase 2</t>
        </is>
      </c>
      <c r="C12" s="24" t="inlineStr">
        <is>
          <t>Crestron DM-NAX-BTIO-100-1G audio-over-IP wall plate</t>
        </is>
      </c>
      <c r="D12" s="21" t="inlineStr">
        <is>
          <t>Equipment</t>
        </is>
      </c>
      <c r="E12" s="25" t="n">
        <v>2</v>
      </c>
      <c r="F12" s="16" t="n">
        <v>815.49</v>
      </c>
      <c r="G12" s="8">
        <f>E12*F12</f>
        <v/>
      </c>
      <c r="H12" s="8">
        <f>ROUND(G12*0.1,2)</f>
        <v/>
      </c>
      <c r="I12" s="8">
        <f>G12+H12</f>
        <v/>
      </c>
      <c r="J12" s="21" t="inlineStr">
        <is>
          <t>51100</t>
        </is>
      </c>
    </row>
    <row r="13">
      <c r="A13" s="21" t="inlineStr">
        <is>
          <t>1 Core install</t>
        </is>
      </c>
      <c r="B13" s="21" t="inlineStr">
        <is>
          <t>Phase 2</t>
        </is>
      </c>
      <c r="C13" s="24" t="inlineStr">
        <is>
          <t>Crestron FP-G1-B-T faceplate 1 gang black</t>
        </is>
      </c>
      <c r="D13" s="21" t="inlineStr">
        <is>
          <t>Equipment</t>
        </is>
      </c>
      <c r="E13" s="25" t="n">
        <v>2</v>
      </c>
      <c r="F13" s="16" t="n">
        <v>21</v>
      </c>
      <c r="G13" s="8">
        <f>E13*F13</f>
        <v/>
      </c>
      <c r="H13" s="8">
        <f>ROUND(G13*0.1,2)</f>
        <v/>
      </c>
      <c r="I13" s="8">
        <f>G13+H13</f>
        <v/>
      </c>
      <c r="J13" s="21" t="inlineStr">
        <is>
          <t>51100</t>
        </is>
      </c>
    </row>
    <row r="14">
      <c r="A14" s="21" t="inlineStr">
        <is>
          <t>1 Core install</t>
        </is>
      </c>
      <c r="B14" s="21" t="inlineStr">
        <is>
          <t>Phase 2</t>
        </is>
      </c>
      <c r="C14" s="24" t="inlineStr">
        <is>
          <t>Crestron TSS-880-B 8.1in room scheduling touch screen</t>
        </is>
      </c>
      <c r="D14" s="21" t="inlineStr">
        <is>
          <t>Equipment</t>
        </is>
      </c>
      <c r="E14" s="25" t="n">
        <v>2</v>
      </c>
      <c r="F14" s="16" t="n">
        <v>1223.23</v>
      </c>
      <c r="G14" s="8">
        <f>E14*F14</f>
        <v/>
      </c>
      <c r="H14" s="8">
        <f>ROUND(G14*0.1,2)</f>
        <v/>
      </c>
      <c r="I14" s="8">
        <f>G14+H14</f>
        <v/>
      </c>
      <c r="J14" s="21" t="inlineStr">
        <is>
          <t>51100</t>
        </is>
      </c>
    </row>
    <row r="15">
      <c r="A15" s="21" t="inlineStr">
        <is>
          <t>1 Core install</t>
        </is>
      </c>
      <c r="B15" s="21" t="inlineStr">
        <is>
          <t>Phase 2</t>
        </is>
      </c>
      <c r="C15" s="24" t="inlineStr">
        <is>
          <t>Crestron TSW-1080-B 10.1in wall mount touch screen</t>
        </is>
      </c>
      <c r="D15" s="21" t="inlineStr">
        <is>
          <t>Equipment</t>
        </is>
      </c>
      <c r="E15" s="25" t="n">
        <v>2</v>
      </c>
      <c r="F15" s="16" t="n">
        <v>3186.38</v>
      </c>
      <c r="G15" s="8">
        <f>E15*F15</f>
        <v/>
      </c>
      <c r="H15" s="8">
        <f>ROUND(G15*0.1,2)</f>
        <v/>
      </c>
      <c r="I15" s="8">
        <f>G15+H15</f>
        <v/>
      </c>
      <c r="J15" s="21" t="inlineStr">
        <is>
          <t>51100</t>
        </is>
      </c>
    </row>
    <row r="16">
      <c r="A16" s="21" t="inlineStr">
        <is>
          <t>1 Core install</t>
        </is>
      </c>
      <c r="B16" s="21" t="inlineStr">
        <is>
          <t>Phase 2</t>
        </is>
      </c>
      <c r="C16" s="24" t="inlineStr">
        <is>
          <t>Crestron CP4N 4-series control system (later credited back)</t>
        </is>
      </c>
      <c r="D16" s="21" t="inlineStr">
        <is>
          <t>Equipment</t>
        </is>
      </c>
      <c r="E16" s="25" t="n">
        <v>1</v>
      </c>
      <c r="F16" s="16" t="n">
        <v>3032.23</v>
      </c>
      <c r="G16" s="8">
        <f>E16*F16</f>
        <v/>
      </c>
      <c r="H16" s="8">
        <f>ROUND(G16*0.1,2)</f>
        <v/>
      </c>
      <c r="I16" s="8">
        <f>G16+H16</f>
        <v/>
      </c>
      <c r="J16" s="21" t="inlineStr">
        <is>
          <t>51100</t>
        </is>
      </c>
    </row>
    <row r="17">
      <c r="A17" s="21" t="inlineStr">
        <is>
          <t>1 Core install</t>
        </is>
      </c>
      <c r="B17" s="21" t="inlineStr">
        <is>
          <t>Phase 2</t>
        </is>
      </c>
      <c r="C17" s="24" t="inlineStr">
        <is>
          <t>Netgear M4250-26G4XF-PoE+ managed switch</t>
        </is>
      </c>
      <c r="D17" s="21" t="inlineStr">
        <is>
          <t>Equipment</t>
        </is>
      </c>
      <c r="E17" s="25" t="n">
        <v>2</v>
      </c>
      <c r="F17" s="16" t="n">
        <v>3179.58</v>
      </c>
      <c r="G17" s="8">
        <f>E17*F17</f>
        <v/>
      </c>
      <c r="H17" s="8">
        <f>ROUND(G17*0.1,2)</f>
        <v/>
      </c>
      <c r="I17" s="8">
        <f>G17+H17</f>
        <v/>
      </c>
      <c r="J17" s="21" t="inlineStr">
        <is>
          <t>51100</t>
        </is>
      </c>
    </row>
    <row r="18">
      <c r="A18" s="21" t="inlineStr">
        <is>
          <t>1 Core install</t>
        </is>
      </c>
      <c r="B18" s="21" t="inlineStr">
        <is>
          <t>Phase 2</t>
        </is>
      </c>
      <c r="C18" s="24" t="inlineStr">
        <is>
          <t>Netgear AXC761 10GBASE-SR SFP+ transceiver</t>
        </is>
      </c>
      <c r="D18" s="21" t="inlineStr">
        <is>
          <t>Equipment</t>
        </is>
      </c>
      <c r="E18" s="25" t="n">
        <v>2</v>
      </c>
      <c r="F18" s="16" t="n">
        <v>121.46</v>
      </c>
      <c r="G18" s="8">
        <f>E18*F18</f>
        <v/>
      </c>
      <c r="H18" s="8">
        <f>ROUND(G18*0.1,2)</f>
        <v/>
      </c>
      <c r="I18" s="8">
        <f>G18+H18</f>
        <v/>
      </c>
      <c r="J18" s="21" t="inlineStr">
        <is>
          <t>51100</t>
        </is>
      </c>
    </row>
    <row r="19">
      <c r="A19" s="21" t="inlineStr">
        <is>
          <t>1 Core install</t>
        </is>
      </c>
      <c r="B19" s="21" t="inlineStr">
        <is>
          <t>Phase 2</t>
        </is>
      </c>
      <c r="C19" s="24" t="inlineStr">
        <is>
          <t>Freight &amp; handling - bulky</t>
        </is>
      </c>
      <c r="D19" s="21" t="inlineStr">
        <is>
          <t>Freight</t>
        </is>
      </c>
      <c r="E19" s="25" t="n">
        <v>1</v>
      </c>
      <c r="F19" s="16" t="n">
        <v>100</v>
      </c>
      <c r="G19" s="8">
        <f>E19*F19</f>
        <v/>
      </c>
      <c r="H19" s="8">
        <f>ROUND(G19*0.1,2)</f>
        <v/>
      </c>
      <c r="I19" s="8">
        <f>G19+H19</f>
        <v/>
      </c>
      <c r="J19" s="21" t="inlineStr">
        <is>
          <t>58225</t>
        </is>
      </c>
    </row>
    <row r="20">
      <c r="A20" s="21" t="inlineStr">
        <is>
          <t>1 Core install</t>
        </is>
      </c>
      <c r="B20" s="21" t="inlineStr">
        <is>
          <t>Phase 2</t>
        </is>
      </c>
      <c r="C20" s="24" t="inlineStr">
        <is>
          <t>E-waste recycling &amp; waste management</t>
        </is>
      </c>
      <c r="D20" s="21" t="inlineStr">
        <is>
          <t>Misc</t>
        </is>
      </c>
      <c r="E20" s="25" t="n">
        <v>1</v>
      </c>
      <c r="F20" s="16" t="n">
        <v>59.85</v>
      </c>
      <c r="G20" s="8">
        <f>E20*F20</f>
        <v/>
      </c>
      <c r="H20" s="8">
        <f>ROUND(G20*0.1,2)</f>
        <v/>
      </c>
      <c r="I20" s="8">
        <f>G20+H20</f>
        <v/>
      </c>
      <c r="J20" s="21" t="inlineStr">
        <is>
          <t>51100</t>
        </is>
      </c>
    </row>
    <row r="21">
      <c r="A21" s="21" t="inlineStr">
        <is>
          <t>1 Core install</t>
        </is>
      </c>
      <c r="B21" s="21" t="inlineStr">
        <is>
          <t>Phase 2</t>
        </is>
      </c>
      <c r="C21" s="24" t="inlineStr">
        <is>
          <t>Cables, fixings and hardware</t>
        </is>
      </c>
      <c r="D21" s="21" t="inlineStr">
        <is>
          <t>Misc</t>
        </is>
      </c>
      <c r="E21" s="25" t="n">
        <v>1</v>
      </c>
      <c r="F21" s="16" t="n">
        <v>1515.3</v>
      </c>
      <c r="G21" s="8">
        <f>E21*F21</f>
        <v/>
      </c>
      <c r="H21" s="8">
        <f>ROUND(G21*0.1,2)</f>
        <v/>
      </c>
      <c r="I21" s="8">
        <f>G21+H21</f>
        <v/>
      </c>
      <c r="J21" s="21" t="inlineStr">
        <is>
          <t>51100</t>
        </is>
      </c>
    </row>
    <row r="22">
      <c r="A22" s="21" t="inlineStr">
        <is>
          <t>1 Core install</t>
        </is>
      </c>
      <c r="B22" s="21" t="inlineStr">
        <is>
          <t>Phase 2</t>
        </is>
      </c>
      <c r="C22" s="24" t="inlineStr">
        <is>
          <t>Labour &amp; programming</t>
        </is>
      </c>
      <c r="D22" s="21" t="inlineStr">
        <is>
          <t>Labour</t>
        </is>
      </c>
      <c r="E22" s="25" t="n">
        <v>1</v>
      </c>
      <c r="F22" s="16" t="n">
        <v>23320</v>
      </c>
      <c r="G22" s="8">
        <f>E22*F22</f>
        <v/>
      </c>
      <c r="H22" s="8">
        <f>ROUND(G22*0.1,2)</f>
        <v/>
      </c>
      <c r="I22" s="8">
        <f>G22+H22</f>
        <v/>
      </c>
      <c r="J22" s="21" t="inlineStr">
        <is>
          <t>51325</t>
        </is>
      </c>
    </row>
    <row r="23">
      <c r="A23" s="21" t="inlineStr">
        <is>
          <t>2 Extra encoders</t>
        </is>
      </c>
      <c r="B23" s="21" t="inlineStr">
        <is>
          <t>Option B</t>
        </is>
      </c>
      <c r="C23" s="24" t="inlineStr">
        <is>
          <t>Crestron DM-NVX-E30 encoder (2nd batch, higher unit price)</t>
        </is>
      </c>
      <c r="D23" s="21" t="inlineStr">
        <is>
          <t>Equipment</t>
        </is>
      </c>
      <c r="E23" s="25" t="n">
        <v>2</v>
      </c>
      <c r="F23" s="16" t="n">
        <v>1517.06</v>
      </c>
      <c r="G23" s="8">
        <f>E23*F23</f>
        <v/>
      </c>
      <c r="H23" s="8">
        <f>ROUND(G23*0.1,2)</f>
        <v/>
      </c>
      <c r="I23" s="8">
        <f>G23+H23</f>
        <v/>
      </c>
      <c r="J23" s="21" t="inlineStr">
        <is>
          <t>51100</t>
        </is>
      </c>
    </row>
    <row r="24">
      <c r="A24" s="21" t="inlineStr">
        <is>
          <t>2 Extra encoders</t>
        </is>
      </c>
      <c r="B24" s="21" t="inlineStr">
        <is>
          <t>Option B</t>
        </is>
      </c>
      <c r="C24" s="24" t="inlineStr">
        <is>
          <t>Freight &amp; handling - bulky</t>
        </is>
      </c>
      <c r="D24" s="21" t="inlineStr">
        <is>
          <t>Freight</t>
        </is>
      </c>
      <c r="E24" s="25" t="n">
        <v>1</v>
      </c>
      <c r="F24" s="16" t="n">
        <v>53.2</v>
      </c>
      <c r="G24" s="8">
        <f>E24*F24</f>
        <v/>
      </c>
      <c r="H24" s="8">
        <f>ROUND(G24*0.1,2)</f>
        <v/>
      </c>
      <c r="I24" s="8">
        <f>G24+H24</f>
        <v/>
      </c>
      <c r="J24" s="21" t="inlineStr">
        <is>
          <t>58225</t>
        </is>
      </c>
    </row>
    <row r="25">
      <c r="A25" s="21" t="inlineStr">
        <is>
          <t>2 Extra encoders</t>
        </is>
      </c>
      <c r="B25" s="21" t="inlineStr">
        <is>
          <t>Option B</t>
        </is>
      </c>
      <c r="C25" s="24" t="inlineStr">
        <is>
          <t>Waste management</t>
        </is>
      </c>
      <c r="D25" s="21" t="inlineStr">
        <is>
          <t>Misc</t>
        </is>
      </c>
      <c r="E25" s="25" t="n">
        <v>1</v>
      </c>
      <c r="F25" s="16" t="n">
        <v>39.9</v>
      </c>
      <c r="G25" s="8">
        <f>E25*F25</f>
        <v/>
      </c>
      <c r="H25" s="8">
        <f>ROUND(G25*0.1,2)</f>
        <v/>
      </c>
      <c r="I25" s="8">
        <f>G25+H25</f>
        <v/>
      </c>
      <c r="J25" s="21" t="inlineStr">
        <is>
          <t>51100</t>
        </is>
      </c>
    </row>
    <row r="26">
      <c r="A26" s="21" t="inlineStr">
        <is>
          <t>2 Extra encoders</t>
        </is>
      </c>
      <c r="B26" s="21" t="inlineStr">
        <is>
          <t>Option B</t>
        </is>
      </c>
      <c r="C26" s="24" t="inlineStr">
        <is>
          <t>Cables, fixings and hardware</t>
        </is>
      </c>
      <c r="D26" s="21" t="inlineStr">
        <is>
          <t>Misc</t>
        </is>
      </c>
      <c r="E26" s="25" t="n">
        <v>1</v>
      </c>
      <c r="F26" s="16" t="n">
        <v>696.24</v>
      </c>
      <c r="G26" s="8">
        <f>E26*F26</f>
        <v/>
      </c>
      <c r="H26" s="8">
        <f>ROUND(G26*0.1,2)</f>
        <v/>
      </c>
      <c r="I26" s="8">
        <f>G26+H26</f>
        <v/>
      </c>
      <c r="J26" s="21" t="inlineStr">
        <is>
          <t>51100</t>
        </is>
      </c>
    </row>
    <row r="27">
      <c r="A27" s="21" t="inlineStr">
        <is>
          <t>2 Extra encoders</t>
        </is>
      </c>
      <c r="B27" s="21" t="inlineStr">
        <is>
          <t>Option B</t>
        </is>
      </c>
      <c r="C27" s="24" t="inlineStr">
        <is>
          <t>Labour</t>
        </is>
      </c>
      <c r="D27" s="21" t="inlineStr">
        <is>
          <t>Labour</t>
        </is>
      </c>
      <c r="E27" s="25" t="n">
        <v>1</v>
      </c>
      <c r="F27" s="16" t="n">
        <v>7196</v>
      </c>
      <c r="G27" s="8">
        <f>E27*F27</f>
        <v/>
      </c>
      <c r="H27" s="8">
        <f>ROUND(G27*0.1,2)</f>
        <v/>
      </c>
      <c r="I27" s="8">
        <f>G27+H27</f>
        <v/>
      </c>
      <c r="J27" s="21" t="inlineStr">
        <is>
          <t>51325</t>
        </is>
      </c>
    </row>
    <row r="28">
      <c r="A28" s="21" t="inlineStr">
        <is>
          <t>3 Tracking &amp; audio</t>
        </is>
      </c>
      <c r="B28" s="21" t="inlineStr">
        <is>
          <t>Option A</t>
        </is>
      </c>
      <c r="C28" s="24" t="inlineStr">
        <is>
          <t>Panasonic AW-SF200Z auto tracking software</t>
        </is>
      </c>
      <c r="D28" s="21" t="inlineStr">
        <is>
          <t>Equipment</t>
        </is>
      </c>
      <c r="E28" s="25" t="n">
        <v>1</v>
      </c>
      <c r="F28" s="16" t="n">
        <v>2541.01</v>
      </c>
      <c r="G28" s="8">
        <f>E28*F28</f>
        <v/>
      </c>
      <c r="H28" s="8">
        <f>ROUND(G28*0.1,2)</f>
        <v/>
      </c>
      <c r="I28" s="8">
        <f>G28+H28</f>
        <v/>
      </c>
      <c r="J28" s="21" t="inlineStr">
        <is>
          <t>51100</t>
        </is>
      </c>
    </row>
    <row r="29">
      <c r="A29" s="21" t="inlineStr">
        <is>
          <t>3 Tracking &amp; audio</t>
        </is>
      </c>
      <c r="B29" s="21" t="inlineStr">
        <is>
          <t>Option A</t>
        </is>
      </c>
      <c r="C29" s="24" t="inlineStr">
        <is>
          <t>Panasonic AW-SF300Z visual preset software</t>
        </is>
      </c>
      <c r="D29" s="21" t="inlineStr">
        <is>
          <t>Equipment</t>
        </is>
      </c>
      <c r="E29" s="25" t="n">
        <v>1</v>
      </c>
      <c r="F29" s="16" t="n">
        <v>1921.47</v>
      </c>
      <c r="G29" s="8">
        <f>E29*F29</f>
        <v/>
      </c>
      <c r="H29" s="8">
        <f>ROUND(G29*0.1,2)</f>
        <v/>
      </c>
      <c r="I29" s="8">
        <f>G29+H29</f>
        <v/>
      </c>
      <c r="J29" s="21" t="inlineStr">
        <is>
          <t>51100</t>
        </is>
      </c>
    </row>
    <row r="30">
      <c r="A30" s="21" t="inlineStr">
        <is>
          <t>3 Tracking &amp; audio</t>
        </is>
      </c>
      <c r="B30" s="21" t="inlineStr">
        <is>
          <t>Option A</t>
        </is>
      </c>
      <c r="C30" s="24" t="inlineStr">
        <is>
          <t>Panasonic AW-SF501Z auto framing software</t>
        </is>
      </c>
      <c r="D30" s="21" t="inlineStr">
        <is>
          <t>Equipment</t>
        </is>
      </c>
      <c r="E30" s="25" t="n">
        <v>1</v>
      </c>
      <c r="F30" s="16" t="n">
        <v>5309.33</v>
      </c>
      <c r="G30" s="8">
        <f>E30*F30</f>
        <v/>
      </c>
      <c r="H30" s="8">
        <f>ROUND(G30*0.1,2)</f>
        <v/>
      </c>
      <c r="I30" s="8">
        <f>G30+H30</f>
        <v/>
      </c>
      <c r="J30" s="21" t="inlineStr">
        <is>
          <t>51100</t>
        </is>
      </c>
    </row>
    <row r="31">
      <c r="A31" s="21" t="inlineStr">
        <is>
          <t>3 Tracking &amp; audio</t>
        </is>
      </c>
      <c r="B31" s="21" t="inlineStr">
        <is>
          <t>Option A</t>
        </is>
      </c>
      <c r="C31" s="24" t="inlineStr">
        <is>
          <t>Precision Computers IND-14700K-4U rack PC i7 32GB 1TB</t>
        </is>
      </c>
      <c r="D31" s="21" t="inlineStr">
        <is>
          <t>Equipment</t>
        </is>
      </c>
      <c r="E31" s="25" t="n">
        <v>1</v>
      </c>
      <c r="F31" s="16" t="n">
        <v>3883.95</v>
      </c>
      <c r="G31" s="8">
        <f>E31*F31</f>
        <v/>
      </c>
      <c r="H31" s="8">
        <f>ROUND(G31*0.1,2)</f>
        <v/>
      </c>
      <c r="I31" s="8">
        <f>G31+H31</f>
        <v/>
      </c>
      <c r="J31" s="21" t="inlineStr">
        <is>
          <t>51100</t>
        </is>
      </c>
    </row>
    <row r="32">
      <c r="A32" s="21" t="inlineStr">
        <is>
          <t>3 Tracking &amp; audio</t>
        </is>
      </c>
      <c r="B32" s="21" t="inlineStr">
        <is>
          <t>Option A</t>
        </is>
      </c>
      <c r="C32" s="24" t="inlineStr">
        <is>
          <t>Sennheiser TeamConnect Ceiling 2 beamforming mic</t>
        </is>
      </c>
      <c r="D32" s="21" t="inlineStr">
        <is>
          <t>Equipment</t>
        </is>
      </c>
      <c r="E32" s="25" t="n">
        <v>4</v>
      </c>
      <c r="F32" s="16" t="n">
        <v>5946.65</v>
      </c>
      <c r="G32" s="8">
        <f>E32*F32</f>
        <v/>
      </c>
      <c r="H32" s="8">
        <f>ROUND(G32*0.1,2)</f>
        <v/>
      </c>
      <c r="I32" s="8">
        <f>G32+H32</f>
        <v/>
      </c>
      <c r="J32" s="21" t="inlineStr">
        <is>
          <t>51100</t>
        </is>
      </c>
    </row>
    <row r="33">
      <c r="A33" s="21" t="inlineStr">
        <is>
          <t>3 Tracking &amp; audio</t>
        </is>
      </c>
      <c r="B33" s="21" t="inlineStr">
        <is>
          <t>Option A</t>
        </is>
      </c>
      <c r="C33" s="24" t="inlineStr">
        <is>
          <t>Q-SYS SL-DAN-16-P Dante 16x16 licence</t>
        </is>
      </c>
      <c r="D33" s="21" t="inlineStr">
        <is>
          <t>Equipment</t>
        </is>
      </c>
      <c r="E33" s="25" t="n">
        <v>1</v>
      </c>
      <c r="F33" s="16" t="n">
        <v>743.84</v>
      </c>
      <c r="G33" s="8">
        <f>E33*F33</f>
        <v/>
      </c>
      <c r="H33" s="8">
        <f>ROUND(G33*0.1,2)</f>
        <v/>
      </c>
      <c r="I33" s="8">
        <f>G33+H33</f>
        <v/>
      </c>
      <c r="J33" s="21" t="inlineStr">
        <is>
          <t>51100</t>
        </is>
      </c>
    </row>
    <row r="34">
      <c r="A34" s="21" t="inlineStr">
        <is>
          <t>3 Tracking &amp; audio</t>
        </is>
      </c>
      <c r="B34" s="21" t="inlineStr">
        <is>
          <t>Option A</t>
        </is>
      </c>
      <c r="C34" s="24" t="inlineStr">
        <is>
          <t>Freight &amp; handling - bulky</t>
        </is>
      </c>
      <c r="D34" s="21" t="inlineStr">
        <is>
          <t>Freight</t>
        </is>
      </c>
      <c r="E34" s="25" t="n">
        <v>1</v>
      </c>
      <c r="F34" s="16" t="n">
        <v>59.85</v>
      </c>
      <c r="G34" s="8">
        <f>E34*F34</f>
        <v/>
      </c>
      <c r="H34" s="8">
        <f>ROUND(G34*0.1,2)</f>
        <v/>
      </c>
      <c r="I34" s="8">
        <f>G34+H34</f>
        <v/>
      </c>
      <c r="J34" s="21" t="inlineStr">
        <is>
          <t>58225</t>
        </is>
      </c>
    </row>
    <row r="35">
      <c r="A35" s="21" t="inlineStr">
        <is>
          <t>3 Tracking &amp; audio</t>
        </is>
      </c>
      <c r="B35" s="21" t="inlineStr">
        <is>
          <t>Option A</t>
        </is>
      </c>
      <c r="C35" s="24" t="inlineStr">
        <is>
          <t>Waste management</t>
        </is>
      </c>
      <c r="D35" s="21" t="inlineStr">
        <is>
          <t>Misc</t>
        </is>
      </c>
      <c r="E35" s="25" t="n">
        <v>1</v>
      </c>
      <c r="F35" s="16" t="n">
        <v>19.95</v>
      </c>
      <c r="G35" s="8">
        <f>E35*F35</f>
        <v/>
      </c>
      <c r="H35" s="8">
        <f>ROUND(G35*0.1,2)</f>
        <v/>
      </c>
      <c r="I35" s="8">
        <f>G35+H35</f>
        <v/>
      </c>
      <c r="J35" s="21" t="inlineStr">
        <is>
          <t>51100</t>
        </is>
      </c>
    </row>
    <row r="36">
      <c r="A36" s="21" t="inlineStr">
        <is>
          <t>3 Tracking &amp; audio</t>
        </is>
      </c>
      <c r="B36" s="21" t="inlineStr">
        <is>
          <t>Option A</t>
        </is>
      </c>
      <c r="C36" s="24" t="inlineStr">
        <is>
          <t>Cables, fixings and hardware</t>
        </is>
      </c>
      <c r="D36" s="21" t="inlineStr">
        <is>
          <t>Misc</t>
        </is>
      </c>
      <c r="E36" s="25" t="n">
        <v>1</v>
      </c>
      <c r="F36" s="16" t="n">
        <v>934.08</v>
      </c>
      <c r="G36" s="8">
        <f>E36*F36</f>
        <v/>
      </c>
      <c r="H36" s="8">
        <f>ROUND(G36*0.1,2)</f>
        <v/>
      </c>
      <c r="I36" s="8">
        <f>G36+H36</f>
        <v/>
      </c>
      <c r="J36" s="21" t="inlineStr">
        <is>
          <t>51100</t>
        </is>
      </c>
    </row>
    <row r="37">
      <c r="A37" s="21" t="inlineStr">
        <is>
          <t>3 Tracking &amp; audio</t>
        </is>
      </c>
      <c r="B37" s="21" t="inlineStr">
        <is>
          <t>Option A</t>
        </is>
      </c>
      <c r="C37" s="24" t="inlineStr">
        <is>
          <t>Labour</t>
        </is>
      </c>
      <c r="D37" s="21" t="inlineStr">
        <is>
          <t>Labour</t>
        </is>
      </c>
      <c r="E37" s="25" t="n">
        <v>1</v>
      </c>
      <c r="F37" s="16" t="n">
        <v>6561.8</v>
      </c>
      <c r="G37" s="8">
        <f>E37*F37</f>
        <v/>
      </c>
      <c r="H37" s="8">
        <f>ROUND(G37*0.1,2)</f>
        <v/>
      </c>
      <c r="I37" s="8">
        <f>G37+H37</f>
        <v/>
      </c>
      <c r="J37" s="21" t="inlineStr">
        <is>
          <t>51325</t>
        </is>
      </c>
    </row>
    <row r="38">
      <c r="A38" s="21" t="inlineStr">
        <is>
          <t>4 Variations</t>
        </is>
      </c>
      <c r="B38" s="21" t="inlineStr">
        <is>
          <t>Variations</t>
        </is>
      </c>
      <c r="C38" s="24" t="inlineStr">
        <is>
          <t>Removed Panasonic cameras &amp; licences</t>
        </is>
      </c>
      <c r="D38" s="21" t="inlineStr">
        <is>
          <t>Variation</t>
        </is>
      </c>
      <c r="E38" s="25" t="n">
        <v>1</v>
      </c>
      <c r="F38" s="16" t="n">
        <v>-7281.07</v>
      </c>
      <c r="G38" s="8">
        <f>E38*F38</f>
        <v/>
      </c>
      <c r="H38" s="8">
        <f>ROUND(G38*0.1,2)</f>
        <v/>
      </c>
      <c r="I38" s="8">
        <f>G38+H38</f>
        <v/>
      </c>
      <c r="J38" s="21" t="inlineStr">
        <is>
          <t>51100</t>
        </is>
      </c>
    </row>
    <row r="39">
      <c r="A39" s="21" t="inlineStr">
        <is>
          <t>4 Variations</t>
        </is>
      </c>
      <c r="B39" s="21" t="inlineStr">
        <is>
          <t>Variations</t>
        </is>
      </c>
      <c r="C39" s="24" t="inlineStr">
        <is>
          <t>RMB hardware added</t>
        </is>
      </c>
      <c r="D39" s="21" t="inlineStr">
        <is>
          <t>Variation</t>
        </is>
      </c>
      <c r="E39" s="25" t="n">
        <v>1</v>
      </c>
      <c r="F39" s="16" t="n">
        <v>321.5</v>
      </c>
      <c r="G39" s="8">
        <f>E39*F39</f>
        <v/>
      </c>
      <c r="H39" s="8">
        <f>ROUND(G39*0.1,2)</f>
        <v/>
      </c>
      <c r="I39" s="8">
        <f>G39+H39</f>
        <v/>
      </c>
      <c r="J39" s="21" t="inlineStr">
        <is>
          <t>51100</t>
        </is>
      </c>
    </row>
    <row r="40">
      <c r="A40" s="21" t="inlineStr">
        <is>
          <t>4 Variations</t>
        </is>
      </c>
      <c r="B40" s="21" t="inlineStr">
        <is>
          <t>Variations</t>
        </is>
      </c>
      <c r="C40" s="24" t="inlineStr">
        <is>
          <t>Removed control processor</t>
        </is>
      </c>
      <c r="D40" s="21" t="inlineStr">
        <is>
          <t>Variation</t>
        </is>
      </c>
      <c r="E40" s="25" t="n">
        <v>1</v>
      </c>
      <c r="F40" s="16" t="n">
        <v>-3032.23</v>
      </c>
      <c r="G40" s="8">
        <f>E40*F40</f>
        <v/>
      </c>
      <c r="H40" s="8">
        <f>ROUND(G40*0.1,2)</f>
        <v/>
      </c>
      <c r="I40" s="8">
        <f>G40+H40</f>
        <v/>
      </c>
      <c r="J40" s="21" t="inlineStr">
        <is>
          <t>51100</t>
        </is>
      </c>
    </row>
    <row r="41">
      <c r="A41" s="21" t="inlineStr">
        <is>
          <t>4 Variations</t>
        </is>
      </c>
      <c r="B41" s="21" t="inlineStr">
        <is>
          <t>Variations</t>
        </is>
      </c>
      <c r="C41" s="24" t="inlineStr">
        <is>
          <t>Removed camera Crestron decoder</t>
        </is>
      </c>
      <c r="D41" s="21" t="inlineStr">
        <is>
          <t>Variation</t>
        </is>
      </c>
      <c r="E41" s="25" t="n">
        <v>1</v>
      </c>
      <c r="F41" s="16" t="n">
        <v>-4600.2</v>
      </c>
      <c r="G41" s="8">
        <f>E41*F41</f>
        <v/>
      </c>
      <c r="H41" s="8">
        <f>ROUND(G41*0.1,2)</f>
        <v/>
      </c>
      <c r="I41" s="8">
        <f>G41+H41</f>
        <v/>
      </c>
      <c r="J41" s="21" t="inlineStr">
        <is>
          <t>51100</t>
        </is>
      </c>
    </row>
    <row r="42">
      <c r="A42" s="21" t="inlineStr">
        <is>
          <t>4 Variations</t>
        </is>
      </c>
      <c r="B42" s="21" t="inlineStr">
        <is>
          <t>Variations</t>
        </is>
      </c>
      <c r="C42" s="24" t="inlineStr">
        <is>
          <t>Cables</t>
        </is>
      </c>
      <c r="D42" s="21" t="inlineStr">
        <is>
          <t>Variation</t>
        </is>
      </c>
      <c r="E42" s="25" t="n">
        <v>1</v>
      </c>
      <c r="F42" s="16" t="n">
        <v>691.6</v>
      </c>
      <c r="G42" s="8">
        <f>E42*F42</f>
        <v/>
      </c>
      <c r="H42" s="8">
        <f>ROUND(G42*0.1,2)</f>
        <v/>
      </c>
      <c r="I42" s="8">
        <f>G42+H42</f>
        <v/>
      </c>
      <c r="J42" s="21" t="inlineStr">
        <is>
          <t>51100</t>
        </is>
      </c>
    </row>
    <row r="43">
      <c r="A43" s="21" t="inlineStr">
        <is>
          <t>4 Variations</t>
        </is>
      </c>
      <c r="B43" s="21" t="inlineStr">
        <is>
          <t>Variations</t>
        </is>
      </c>
      <c r="C43" s="24" t="inlineStr">
        <is>
          <t>Graphics card</t>
        </is>
      </c>
      <c r="D43" s="21" t="inlineStr">
        <is>
          <t>Variation</t>
        </is>
      </c>
      <c r="E43" s="25" t="n">
        <v>1</v>
      </c>
      <c r="F43" s="16" t="n">
        <v>2153.7</v>
      </c>
      <c r="G43" s="8">
        <f>E43*F43</f>
        <v/>
      </c>
      <c r="H43" s="8">
        <f>ROUND(G43*0.1,2)</f>
        <v/>
      </c>
      <c r="I43" s="8">
        <f>G43+H43</f>
        <v/>
      </c>
      <c r="J43" s="21" t="inlineStr">
        <is>
          <t>51100</t>
        </is>
      </c>
    </row>
    <row r="44">
      <c r="A44" s="21" t="inlineStr">
        <is>
          <t>4 Variations</t>
        </is>
      </c>
      <c r="B44" s="21" t="inlineStr">
        <is>
          <t>Variations</t>
        </is>
      </c>
      <c r="C44" s="24" t="inlineStr">
        <is>
          <t>Lighting integration programming</t>
        </is>
      </c>
      <c r="D44" s="21" t="inlineStr">
        <is>
          <t>Variation</t>
        </is>
      </c>
      <c r="E44" s="25" t="n">
        <v>1</v>
      </c>
      <c r="F44" s="16" t="n">
        <v>1064</v>
      </c>
      <c r="G44" s="8">
        <f>E44*F44</f>
        <v/>
      </c>
      <c r="H44" s="8">
        <f>ROUND(G44*0.1,2)</f>
        <v/>
      </c>
      <c r="I44" s="8">
        <f>G44+H44</f>
        <v/>
      </c>
      <c r="J44" s="21" t="inlineStr">
        <is>
          <t>51100</t>
        </is>
      </c>
    </row>
    <row r="45">
      <c r="A45" s="21" t="inlineStr">
        <is>
          <t>5 Retention</t>
        </is>
      </c>
      <c r="B45" s="21" t="inlineStr">
        <is>
          <t>Not yet billed</t>
        </is>
      </c>
      <c r="C45" s="24" t="inlineStr">
        <is>
          <t>Remaining claim balance $4,848.68 to be invoiced</t>
        </is>
      </c>
      <c r="D45" s="21" t="inlineStr">
        <is>
          <t>Retention</t>
        </is>
      </c>
      <c r="E45" s="25" t="n">
        <v>1</v>
      </c>
      <c r="F45" s="16" t="n">
        <v>-4848.68</v>
      </c>
      <c r="G45" s="8">
        <f>E45*F45</f>
        <v/>
      </c>
      <c r="H45" s="8">
        <f>ROUND(G45*0.1,2)</f>
        <v/>
      </c>
      <c r="I45" s="8">
        <f>G45+H45</f>
        <v/>
      </c>
      <c r="J45" s="21" t="inlineStr">
        <is>
          <t>51100</t>
        </is>
      </c>
    </row>
    <row r="47">
      <c r="C47" s="14" t="inlineStr">
        <is>
          <t>TOTAL BILL</t>
        </is>
      </c>
      <c r="G47" s="15">
        <f>SUM(G6:G45)</f>
        <v/>
      </c>
      <c r="H47" s="15">
        <f>SUM(H6:H45)</f>
        <v/>
      </c>
      <c r="I47" s="15">
        <f>SUM(I6:I45)</f>
        <v/>
      </c>
    </row>
    <row r="48">
      <c r="C48" s="6" t="inlineStr">
        <is>
          <t>Xero bill total ex GST (check)</t>
        </is>
      </c>
      <c r="G48" s="16" t="n">
        <v>161926.6</v>
      </c>
      <c r="I48" s="16" t="n">
        <v>178119.25</v>
      </c>
    </row>
    <row r="49">
      <c r="C49" s="6" t="inlineStr">
        <is>
          <t>Difference (line-level GST rounding only)</t>
        </is>
      </c>
      <c r="G49" s="8">
        <f>ROUND(G47-G48,2)</f>
        <v/>
      </c>
      <c r="I49" s="8">
        <f>ROUND(I47-I48,2)</f>
        <v/>
      </c>
    </row>
    <row r="51">
      <c r="C51" s="14" t="inlineStr">
        <is>
          <t>Subtotals by block</t>
        </is>
      </c>
    </row>
    <row r="52">
      <c r="A52" s="26" t="inlineStr"/>
      <c r="B52" s="26" t="inlineStr"/>
      <c r="C52" s="26" t="inlineStr">
        <is>
          <t>Block</t>
        </is>
      </c>
      <c r="D52" s="26" t="inlineStr"/>
      <c r="E52" s="26" t="inlineStr"/>
      <c r="F52" s="26" t="inlineStr"/>
      <c r="G52" s="26" t="inlineStr">
        <is>
          <t>Ex GST</t>
        </is>
      </c>
      <c r="H52" s="26" t="inlineStr">
        <is>
          <t>GST</t>
        </is>
      </c>
      <c r="I52" s="26" t="inlineStr">
        <is>
          <t>Inc GST</t>
        </is>
      </c>
    </row>
    <row r="53">
      <c r="C53" s="6" t="inlineStr">
        <is>
          <t>1 Core install</t>
        </is>
      </c>
      <c r="G53" s="8">
        <f>SUMIFS($G$6:$G$45,$A$6:$A$45,C53)</f>
        <v/>
      </c>
      <c r="H53" s="8">
        <f>SUMIFS($H$6:$H$45,$A$6:$A$45,C53)</f>
        <v/>
      </c>
      <c r="I53" s="8">
        <f>SUMIFS($I$6:$I$45,$A$6:$A$45,C53)</f>
        <v/>
      </c>
    </row>
    <row r="54">
      <c r="C54" s="6" t="inlineStr">
        <is>
          <t>2 Extra encoders</t>
        </is>
      </c>
      <c r="G54" s="8">
        <f>SUMIFS($G$6:$G$45,$A$6:$A$45,C54)</f>
        <v/>
      </c>
      <c r="H54" s="8">
        <f>SUMIFS($H$6:$H$45,$A$6:$A$45,C54)</f>
        <v/>
      </c>
      <c r="I54" s="8">
        <f>SUMIFS($I$6:$I$45,$A$6:$A$45,C54)</f>
        <v/>
      </c>
    </row>
    <row r="55">
      <c r="C55" s="6" t="inlineStr">
        <is>
          <t>3 Tracking &amp; audio</t>
        </is>
      </c>
      <c r="G55" s="8">
        <f>SUMIFS($G$6:$G$45,$A$6:$A$45,C55)</f>
        <v/>
      </c>
      <c r="H55" s="8">
        <f>SUMIFS($H$6:$H$45,$A$6:$A$45,C55)</f>
        <v/>
      </c>
      <c r="I55" s="8">
        <f>SUMIFS($I$6:$I$45,$A$6:$A$45,C55)</f>
        <v/>
      </c>
    </row>
    <row r="56">
      <c r="C56" s="6" t="inlineStr">
        <is>
          <t>4 Variations</t>
        </is>
      </c>
      <c r="G56" s="8">
        <f>SUMIFS($G$6:$G$45,$A$6:$A$45,C56)</f>
        <v/>
      </c>
      <c r="H56" s="8">
        <f>SUMIFS($H$6:$H$45,$A$6:$A$45,C56)</f>
        <v/>
      </c>
      <c r="I56" s="8">
        <f>SUMIFS($I$6:$I$45,$A$6:$A$45,C56)</f>
        <v/>
      </c>
    </row>
    <row r="57">
      <c r="C57" s="6" t="inlineStr">
        <is>
          <t>5 Retention</t>
        </is>
      </c>
      <c r="G57" s="8">
        <f>SUMIFS($G$6:$G$45,$A$6:$A$45,C57)</f>
        <v/>
      </c>
      <c r="H57" s="8">
        <f>SUMIFS($H$6:$H$45,$A$6:$A$45,C57)</f>
        <v/>
      </c>
      <c r="I57" s="8">
        <f>SUMIFS($I$6:$I$45,$A$6:$A$45,C57)</f>
        <v/>
      </c>
    </row>
    <row r="58">
      <c r="C58" s="14" t="inlineStr">
        <is>
          <t>Blocks 1-3 (should equal PO-00016902, PO 1/2)</t>
        </is>
      </c>
      <c r="G58" s="15">
        <f>SUM(G53:G55)</f>
        <v/>
      </c>
      <c r="I58" s="15">
        <f>SUM(I53:I55)</f>
        <v/>
      </c>
    </row>
    <row r="59">
      <c r="C59" s="6" t="inlineStr">
        <is>
          <t>PO-00016902 per Xero</t>
        </is>
      </c>
      <c r="G59" s="16" t="n">
        <v>177457.98</v>
      </c>
      <c r="I59" s="16" t="n">
        <v>195203.79</v>
      </c>
    </row>
    <row r="60">
      <c r="C60" s="6" t="inlineStr">
        <is>
          <t>Difference</t>
        </is>
      </c>
      <c r="G60" s="8">
        <f>ROUND(G58-G59,2)</f>
        <v/>
      </c>
      <c r="I60" s="8">
        <f>ROUND(I58-I59,2)</f>
        <v/>
      </c>
    </row>
    <row r="61">
      <c r="C61" s="14" t="inlineStr">
        <is>
          <t>Full claim value (blocks 1-4, before retention)</t>
        </is>
      </c>
      <c r="G61" s="15">
        <f>SUM(G53:G56)</f>
        <v/>
      </c>
      <c r="I61" s="15">
        <f>SUM(I53:I56)</f>
        <v/>
      </c>
    </row>
    <row r="63">
      <c r="C63" s="14" t="inlineStr">
        <is>
          <t>Subtotals by type</t>
        </is>
      </c>
    </row>
    <row r="64">
      <c r="A64" s="26" t="inlineStr"/>
      <c r="B64" s="26" t="inlineStr"/>
      <c r="C64" s="26" t="inlineStr">
        <is>
          <t>Type</t>
        </is>
      </c>
      <c r="D64" s="26" t="inlineStr"/>
      <c r="E64" s="26" t="inlineStr"/>
      <c r="F64" s="26" t="inlineStr"/>
      <c r="G64" s="26" t="inlineStr">
        <is>
          <t>Ex GST</t>
        </is>
      </c>
      <c r="H64" s="26" t="inlineStr">
        <is>
          <t>GST</t>
        </is>
      </c>
      <c r="I64" s="26" t="inlineStr">
        <is>
          <t>Inc GST</t>
        </is>
      </c>
    </row>
    <row r="65">
      <c r="C65" s="6" t="inlineStr">
        <is>
          <t>Equipment</t>
        </is>
      </c>
      <c r="G65" s="8">
        <f>SUMIFS($G$6:$G$45,$D$6:$D$45,C65)</f>
        <v/>
      </c>
      <c r="H65" s="8">
        <f>SUMIFS($H$6:$H$45,$D$6:$D$45,C65)</f>
        <v/>
      </c>
      <c r="I65" s="8">
        <f>SUMIFS($I$6:$I$45,$D$6:$D$45,C65)</f>
        <v/>
      </c>
    </row>
    <row r="66">
      <c r="C66" s="6" t="inlineStr">
        <is>
          <t>Labour</t>
        </is>
      </c>
      <c r="G66" s="8">
        <f>SUMIFS($G$6:$G$45,$D$6:$D$45,C66)</f>
        <v/>
      </c>
      <c r="H66" s="8">
        <f>SUMIFS($H$6:$H$45,$D$6:$D$45,C66)</f>
        <v/>
      </c>
      <c r="I66" s="8">
        <f>SUMIFS($I$6:$I$45,$D$6:$D$45,C66)</f>
        <v/>
      </c>
    </row>
    <row r="67">
      <c r="C67" s="6" t="inlineStr">
        <is>
          <t>Freight</t>
        </is>
      </c>
      <c r="G67" s="8">
        <f>SUMIFS($G$6:$G$45,$D$6:$D$45,C67)</f>
        <v/>
      </c>
      <c r="H67" s="8">
        <f>SUMIFS($H$6:$H$45,$D$6:$D$45,C67)</f>
        <v/>
      </c>
      <c r="I67" s="8">
        <f>SUMIFS($I$6:$I$45,$D$6:$D$45,C67)</f>
        <v/>
      </c>
    </row>
    <row r="68">
      <c r="C68" s="6" t="inlineStr">
        <is>
          <t>Misc</t>
        </is>
      </c>
      <c r="G68" s="8">
        <f>SUMIFS($G$6:$G$45,$D$6:$D$45,C68)</f>
        <v/>
      </c>
      <c r="H68" s="8">
        <f>SUMIFS($H$6:$H$45,$D$6:$D$45,C68)</f>
        <v/>
      </c>
      <c r="I68" s="8">
        <f>SUMIFS($I$6:$I$45,$D$6:$D$45,C68)</f>
        <v/>
      </c>
    </row>
    <row r="69">
      <c r="C69" s="6" t="inlineStr">
        <is>
          <t>Variation</t>
        </is>
      </c>
      <c r="G69" s="8">
        <f>SUMIFS($G$6:$G$45,$D$6:$D$45,C69)</f>
        <v/>
      </c>
      <c r="H69" s="8">
        <f>SUMIFS($H$6:$H$45,$D$6:$D$45,C69)</f>
        <v/>
      </c>
      <c r="I69" s="8">
        <f>SUMIFS($I$6:$I$45,$D$6:$D$45,C69)</f>
        <v/>
      </c>
    </row>
    <row r="70">
      <c r="C70" s="6" t="inlineStr">
        <is>
          <t>Retention</t>
        </is>
      </c>
      <c r="G70" s="8">
        <f>SUMIFS($G$6:$G$45,$D$6:$D$45,C70)</f>
        <v/>
      </c>
      <c r="H70" s="8">
        <f>SUMIFS($H$6:$H$45,$D$6:$D$45,C70)</f>
        <v/>
      </c>
      <c r="I70" s="8">
        <f>SUMIFS($I$6:$I$45,$D$6:$D$45,C70)</f>
        <v/>
      </c>
    </row>
    <row r="71">
      <c r="C71" s="6" t="inlineStr">
        <is>
          <t>Labour incl. lighting integration programming (variation line)</t>
        </is>
      </c>
      <c r="G71" s="8">
        <f>G66+G44</f>
        <v/>
      </c>
      <c r="H71" s="8">
        <f>H66+H44</f>
        <v/>
      </c>
      <c r="I71" s="8">
        <f>I66+I44</f>
        <v/>
      </c>
    </row>
    <row r="72">
      <c r="C72" s="14" t="inlineStr">
        <is>
          <t>Bill excluding all labour = 'materials' figure in tracker</t>
        </is>
      </c>
      <c r="G72" s="15">
        <f>G47-G71</f>
        <v/>
      </c>
      <c r="I72" s="27">
        <f>I47-I71</f>
        <v/>
      </c>
    </row>
    <row r="73">
      <c r="C73" s="6" t="inlineStr">
        <is>
          <t>Tracker note says $136,163 going out this week</t>
        </is>
      </c>
      <c r="I73" s="16" t="n">
        <v>136163</v>
      </c>
    </row>
    <row r="74">
      <c r="C74" s="6" t="inlineStr">
        <is>
          <t>Difference</t>
        </is>
      </c>
      <c r="I74" s="8">
        <f>ROUND(I72-I73,0)</f>
        <v/>
      </c>
    </row>
  </sheetData>
  <mergeCells count="1">
    <mergeCell ref="A2: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pane ySplit="4" topLeftCell="A5" activePane="bottomLeft" state="frozen"/>
      <selection pane="bottomLeft" activeCell="A1" sqref="A1"/>
    </sheetView>
  </sheetViews>
  <sheetFormatPr baseColWidth="8" defaultRowHeight="15"/>
  <cols>
    <col width="14" customWidth="1" min="1" max="1"/>
    <col width="80" customWidth="1" min="2" max="2"/>
    <col width="16" customWidth="1" min="3" max="3"/>
    <col width="13" customWidth="1" min="4" max="4"/>
    <col width="16" customWidth="1" min="5" max="5"/>
    <col width="12" customWidth="1" min="6" max="6"/>
  </cols>
  <sheetData>
    <row r="1">
      <c r="A1" s="1" t="inlineStr">
        <is>
          <t>Aware Super - Sales invoice INV-10596 'Aware Super Seminar Room AV Upgrade' (ex GST line detail from Xero)</t>
        </is>
      </c>
    </row>
    <row r="2">
      <c r="A2" s="28" t="inlineStr">
        <is>
          <t>Invoice date 9 Sep 26, due 9 Oct 26, status Authorised (unpaid). Project 2604704. Aware invoices go to awaresuper.invoices@converga.com.au.</t>
        </is>
      </c>
    </row>
    <row r="4">
      <c r="A4" s="3" t="inlineStr">
        <is>
          <t>Section</t>
        </is>
      </c>
      <c r="B4" s="3" t="inlineStr">
        <is>
          <t>Description</t>
        </is>
      </c>
      <c r="C4" s="3" t="inlineStr">
        <is>
          <t>Line ex GST</t>
        </is>
      </c>
      <c r="D4" s="3" t="inlineStr">
        <is>
          <t>GST</t>
        </is>
      </c>
      <c r="E4" s="3" t="inlineStr">
        <is>
          <t>Line inc GST</t>
        </is>
      </c>
      <c r="F4" s="3" t="inlineStr">
        <is>
          <t>Xero account</t>
        </is>
      </c>
    </row>
    <row r="5">
      <c r="A5" s="21" t="inlineStr">
        <is>
          <t>Phase 1</t>
        </is>
      </c>
      <c r="B5" s="24" t="inlineStr">
        <is>
          <t>Phase 1 - Audit</t>
        </is>
      </c>
      <c r="C5" s="16" t="n">
        <v>0</v>
      </c>
      <c r="D5" s="8">
        <f>ROUND(C5*0.1,2)</f>
        <v/>
      </c>
      <c r="E5" s="8">
        <f>C5+D5</f>
        <v/>
      </c>
      <c r="F5" s="21" t="inlineStr"/>
    </row>
    <row r="6">
      <c r="A6" s="21" t="inlineStr">
        <is>
          <t>Phase 2</t>
        </is>
      </c>
      <c r="B6" s="24" t="inlineStr">
        <is>
          <t>Phase 2 - Installation and Integration</t>
        </is>
      </c>
      <c r="C6" s="16" t="n">
        <v>144049</v>
      </c>
      <c r="D6" s="8">
        <f>ROUND(C6*0.1,2)</f>
        <v/>
      </c>
      <c r="E6" s="8">
        <f>C6+D6</f>
        <v/>
      </c>
      <c r="F6" s="21" t="inlineStr">
        <is>
          <t>42300</t>
        </is>
      </c>
    </row>
    <row r="7">
      <c r="A7" s="21" t="inlineStr">
        <is>
          <t>Option A</t>
        </is>
      </c>
      <c r="B7" s="24" t="inlineStr">
        <is>
          <t>Option A: Advanced Camera Tracking Features</t>
        </is>
      </c>
      <c r="C7" s="16" t="n">
        <v>45162</v>
      </c>
      <c r="D7" s="8">
        <f>ROUND(C7*0.1,2)</f>
        <v/>
      </c>
      <c r="E7" s="8">
        <f>C7+D7</f>
        <v/>
      </c>
      <c r="F7" s="21" t="inlineStr">
        <is>
          <t>42600</t>
        </is>
      </c>
    </row>
    <row r="8">
      <c r="A8" s="21" t="inlineStr">
        <is>
          <t>Option B</t>
        </is>
      </c>
      <c r="B8" s="24" t="inlineStr">
        <is>
          <t>Option B: Additional Presenter Cameras</t>
        </is>
      </c>
      <c r="C8" s="16" t="n">
        <v>13436</v>
      </c>
      <c r="D8" s="8">
        <f>ROUND(C8*0.1,2)</f>
        <v/>
      </c>
      <c r="E8" s="8">
        <f>C8+D8</f>
        <v/>
      </c>
      <c r="F8" s="21" t="inlineStr">
        <is>
          <t>42600</t>
        </is>
      </c>
    </row>
    <row r="9">
      <c r="A9" s="21" t="inlineStr">
        <is>
          <t>UE80 upgrade</t>
        </is>
      </c>
      <c r="B9" s="24" t="inlineStr">
        <is>
          <t>Upgrade Cost - Panasonic AW-UE40 to AW-UE80, Supply &amp; Removal of Loan AW-UE80. 2x Devices</t>
        </is>
      </c>
      <c r="C9" s="16" t="n">
        <v>12042.88</v>
      </c>
      <c r="D9" s="8">
        <f>ROUND(C9*0.1,2)</f>
        <v/>
      </c>
      <c r="E9" s="8">
        <f>C9+D9</f>
        <v/>
      </c>
      <c r="F9" s="21" t="inlineStr">
        <is>
          <t>42600</t>
        </is>
      </c>
    </row>
    <row r="10">
      <c r="A10" s="21" t="inlineStr">
        <is>
          <t>Variations</t>
        </is>
      </c>
      <c r="B10" s="24" t="inlineStr">
        <is>
          <t>Panasonic Cameras &amp; Licences. Underlying change: 4x AW-UE40WEJ; (+2) PA AW-UE40KEJ; AW-SF200z, 300z, (1) 501Z</t>
        </is>
      </c>
      <c r="C10" s="16" t="n">
        <v>-6188.91</v>
      </c>
      <c r="D10" s="8">
        <f>ROUND(C10*0.1,2)</f>
        <v/>
      </c>
      <c r="E10" s="8">
        <f>C10+D10</f>
        <v/>
      </c>
      <c r="F10" s="21" t="inlineStr">
        <is>
          <t>42600</t>
        </is>
      </c>
    </row>
    <row r="11">
      <c r="A11" s="21" t="inlineStr">
        <is>
          <t>Variations</t>
        </is>
      </c>
      <c r="B11" s="24" t="inlineStr">
        <is>
          <t>RMB Hardware. Crestron TSW-880/1080-MSMK-ANG-B multisurface mount kit, angled, black</t>
        </is>
      </c>
      <c r="C11" s="16" t="n">
        <v>273.28</v>
      </c>
      <c r="D11" s="8">
        <f>ROUND(C11*0.1,2)</f>
        <v/>
      </c>
      <c r="E11" s="8">
        <f>C11+D11</f>
        <v/>
      </c>
      <c r="F11" s="21" t="inlineStr">
        <is>
          <t>42600</t>
        </is>
      </c>
    </row>
    <row r="12">
      <c r="A12" s="21" t="inlineStr">
        <is>
          <t>Variations</t>
        </is>
      </c>
      <c r="B12" s="24" t="inlineStr">
        <is>
          <t>Control Processor. Crestron CP4N 4-series control system</t>
        </is>
      </c>
      <c r="C12" s="16" t="n">
        <v>-2577.4</v>
      </c>
      <c r="D12" s="8">
        <f>ROUND(C12*0.1,2)</f>
        <v/>
      </c>
      <c r="E12" s="8">
        <f>C12+D12</f>
        <v/>
      </c>
      <c r="F12" s="21" t="inlineStr">
        <is>
          <t>42600</t>
        </is>
      </c>
    </row>
    <row r="13">
      <c r="A13" s="21" t="inlineStr">
        <is>
          <t>Variations</t>
        </is>
      </c>
      <c r="B13" s="24" t="inlineStr">
        <is>
          <t>Camera Crestron Encoder. Crestron DM-NVX-E30 4K60 network AV encoder</t>
        </is>
      </c>
      <c r="C13" s="16" t="n">
        <v>-3910.17</v>
      </c>
      <c r="D13" s="8">
        <f>ROUND(C13*0.1,2)</f>
        <v/>
      </c>
      <c r="E13" s="8">
        <f>C13+D13</f>
        <v/>
      </c>
      <c r="F13" s="21" t="inlineStr">
        <is>
          <t>42600</t>
        </is>
      </c>
    </row>
    <row r="14">
      <c r="A14" s="21" t="inlineStr">
        <is>
          <t>Variations</t>
        </is>
      </c>
      <c r="B14" s="24" t="inlineStr">
        <is>
          <t>Cabling. Rack cabling</t>
        </is>
      </c>
      <c r="C14" s="16" t="n">
        <v>587.86</v>
      </c>
      <c r="D14" s="8">
        <f>ROUND(C14*0.1,2)</f>
        <v/>
      </c>
      <c r="E14" s="8">
        <f>C14+D14</f>
        <v/>
      </c>
      <c r="F14" s="21" t="inlineStr">
        <is>
          <t>42600</t>
        </is>
      </c>
    </row>
    <row r="15">
      <c r="A15" s="21" t="inlineStr">
        <is>
          <t>Variations</t>
        </is>
      </c>
      <c r="B15" s="24" t="inlineStr">
        <is>
          <t>Graphics Card. Palit GeForce RTX 3060 Infinity 2 OC 12GB</t>
        </is>
      </c>
      <c r="C15" s="16" t="n">
        <v>1658.35</v>
      </c>
      <c r="D15" s="8">
        <f>ROUND(C15*0.1,2)</f>
        <v/>
      </c>
      <c r="E15" s="8">
        <f>C15+D15</f>
        <v/>
      </c>
      <c r="F15" s="21" t="inlineStr">
        <is>
          <t>42600</t>
        </is>
      </c>
    </row>
    <row r="16">
      <c r="A16" s="21" t="inlineStr">
        <is>
          <t>Variations</t>
        </is>
      </c>
      <c r="B16" s="24" t="inlineStr">
        <is>
          <t>Lighting Integration Programming. Programming</t>
        </is>
      </c>
      <c r="C16" s="16" t="n">
        <v>819.28</v>
      </c>
      <c r="D16" s="8">
        <f>ROUND(C16*0.1,2)</f>
        <v/>
      </c>
      <c r="E16" s="8">
        <f>C16+D16</f>
        <v/>
      </c>
      <c r="F16" s="21" t="inlineStr">
        <is>
          <t>42600</t>
        </is>
      </c>
    </row>
    <row r="18">
      <c r="B18" s="14" t="inlineStr">
        <is>
          <t>TOTAL INVOICE</t>
        </is>
      </c>
      <c r="C18" s="15">
        <f>SUM(C5:C16)</f>
        <v/>
      </c>
      <c r="D18" s="15">
        <f>SUM(D5:D16)</f>
        <v/>
      </c>
      <c r="E18" s="15">
        <f>SUM(E5:E16)</f>
        <v/>
      </c>
    </row>
    <row r="19">
      <c r="B19" s="6" t="inlineStr">
        <is>
          <t>Xero invoice total (check)</t>
        </is>
      </c>
      <c r="C19" s="16" t="n">
        <v>205352.17</v>
      </c>
      <c r="E19" s="16" t="n">
        <v>225887.4</v>
      </c>
    </row>
    <row r="20">
      <c r="B20" s="6" t="inlineStr">
        <is>
          <t>Difference (should be zero)</t>
        </is>
      </c>
      <c r="C20" s="8">
        <f>ROUND(C18-C19,2)</f>
        <v/>
      </c>
      <c r="E20" s="8">
        <f>ROUND(E18-E19,2)</f>
        <v/>
      </c>
    </row>
    <row r="22">
      <c r="B22" s="14" t="inlineStr">
        <is>
          <t>Subtotals by section</t>
        </is>
      </c>
    </row>
    <row r="23">
      <c r="A23" s="26" t="inlineStr"/>
      <c r="B23" s="26" t="inlineStr">
        <is>
          <t>Section</t>
        </is>
      </c>
      <c r="C23" s="26" t="inlineStr">
        <is>
          <t>Ex GST</t>
        </is>
      </c>
      <c r="D23" s="26" t="inlineStr">
        <is>
          <t>GST</t>
        </is>
      </c>
      <c r="E23" s="26" t="inlineStr">
        <is>
          <t>Inc GST</t>
        </is>
      </c>
    </row>
    <row r="24">
      <c r="B24" s="6" t="inlineStr">
        <is>
          <t>Phase 1</t>
        </is>
      </c>
      <c r="C24" s="8">
        <f>SUMIFS($C$5:$C$16,$A$5:$A$16,B24)</f>
        <v/>
      </c>
      <c r="D24" s="8">
        <f>SUMIFS($D$5:$D$16,$A$5:$A$16,B24)</f>
        <v/>
      </c>
      <c r="E24" s="8">
        <f>SUMIFS($E$5:$E$16,$A$5:$A$16,B24)</f>
        <v/>
      </c>
    </row>
    <row r="25">
      <c r="B25" s="6" t="inlineStr">
        <is>
          <t>Phase 2</t>
        </is>
      </c>
      <c r="C25" s="8">
        <f>SUMIFS($C$5:$C$16,$A$5:$A$16,B25)</f>
        <v/>
      </c>
      <c r="D25" s="8">
        <f>SUMIFS($D$5:$D$16,$A$5:$A$16,B25)</f>
        <v/>
      </c>
      <c r="E25" s="8">
        <f>SUMIFS($E$5:$E$16,$A$5:$A$16,B25)</f>
        <v/>
      </c>
    </row>
    <row r="26">
      <c r="B26" s="6" t="inlineStr">
        <is>
          <t>Option A</t>
        </is>
      </c>
      <c r="C26" s="8">
        <f>SUMIFS($C$5:$C$16,$A$5:$A$16,B26)</f>
        <v/>
      </c>
      <c r="D26" s="8">
        <f>SUMIFS($D$5:$D$16,$A$5:$A$16,B26)</f>
        <v/>
      </c>
      <c r="E26" s="8">
        <f>SUMIFS($E$5:$E$16,$A$5:$A$16,B26)</f>
        <v/>
      </c>
    </row>
    <row r="27">
      <c r="B27" s="6" t="inlineStr">
        <is>
          <t>Option B</t>
        </is>
      </c>
      <c r="C27" s="8">
        <f>SUMIFS($C$5:$C$16,$A$5:$A$16,B27)</f>
        <v/>
      </c>
      <c r="D27" s="8">
        <f>SUMIFS($D$5:$D$16,$A$5:$A$16,B27)</f>
        <v/>
      </c>
      <c r="E27" s="8">
        <f>SUMIFS($E$5:$E$16,$A$5:$A$16,B27)</f>
        <v/>
      </c>
    </row>
    <row r="28">
      <c r="B28" s="6" t="inlineStr">
        <is>
          <t>UE80 upgrade</t>
        </is>
      </c>
      <c r="C28" s="8">
        <f>SUMIFS($C$5:$C$16,$A$5:$A$16,B28)</f>
        <v/>
      </c>
      <c r="D28" s="8">
        <f>SUMIFS($D$5:$D$16,$A$5:$A$16,B28)</f>
        <v/>
      </c>
      <c r="E28" s="8">
        <f>SUMIFS($E$5:$E$16,$A$5:$A$16,B28)</f>
        <v/>
      </c>
    </row>
    <row r="29">
      <c r="B29" s="6" t="inlineStr">
        <is>
          <t>Variations</t>
        </is>
      </c>
      <c r="C29" s="8">
        <f>SUMIFS($C$5:$C$16,$A$5:$A$16,B29)</f>
        <v/>
      </c>
      <c r="D29" s="8">
        <f>SUMIFS($D$5:$D$16,$A$5:$A$16,B29)</f>
        <v/>
      </c>
      <c r="E29" s="8">
        <f>SUMIFS($E$5:$E$16,$A$5:$A$16,B29)</f>
        <v/>
      </c>
    </row>
    <row r="30">
      <c r="B30" s="6" t="inlineStr">
        <is>
          <t>Invoice states 'Total Variations Amount Credited is $9,337.71'</t>
        </is>
      </c>
      <c r="C30" s="16" t="n">
        <v>-9337.709999999999</v>
      </c>
    </row>
    <row r="31">
      <c r="B31" s="6" t="inlineStr">
        <is>
          <t>Difference to variation lines</t>
        </is>
      </c>
      <c r="C31" s="8">
        <f>ROUND(C29-C30,2)</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8"/>
  <sheetViews>
    <sheetView showGridLines="0" workbookViewId="0">
      <selection activeCell="A1" sqref="A1"/>
    </sheetView>
  </sheetViews>
  <sheetFormatPr baseColWidth="8" defaultRowHeight="15"/>
  <cols>
    <col width="42" customWidth="1" min="1" max="1"/>
    <col width="18" customWidth="1" min="2" max="2"/>
    <col width="16" customWidth="1" min="3" max="3"/>
    <col width="14" customWidth="1" min="4" max="4"/>
    <col width="18" customWidth="1" min="5" max="5"/>
    <col width="16" customWidth="1" min="6" max="6"/>
    <col width="20" customWidth="1" min="7" max="7"/>
    <col width="18" customWidth="1" min="8" max="8"/>
  </cols>
  <sheetData>
    <row r="1">
      <c r="A1" s="1" t="inlineStr">
        <is>
          <t>Variations: what Complete AV charged/credited CTS vs what CTS charged/credited Aware</t>
        </is>
      </c>
    </row>
    <row r="2">
      <c r="A2" s="28" t="inlineStr">
        <is>
          <t>Green = pulled from the two invoice tabs. Every Aware figure is an exact 85% or 77% of the supplier figure, which is a discount off cost, not a markup.</t>
        </is>
      </c>
    </row>
    <row r="4">
      <c r="A4" s="3" t="inlineStr">
        <is>
          <t>Variation</t>
        </is>
      </c>
      <c r="B4" s="3" t="inlineStr">
        <is>
          <t>Complete AV (cost to CTS)</t>
        </is>
      </c>
      <c r="C4" s="3" t="inlineStr">
        <is>
          <t>Aware (sell)</t>
        </is>
      </c>
      <c r="D4" s="3" t="inlineStr">
        <is>
          <t>Aware as % of cost</t>
        </is>
      </c>
      <c r="E4" s="3" t="inlineStr">
        <is>
          <t>Effect on CTS (sell - cost)</t>
        </is>
      </c>
      <c r="F4" s="3" t="inlineStr">
        <is>
          <t>Add or Remove</t>
        </is>
      </c>
      <c r="G4" s="3" t="inlineStr">
        <is>
          <t>Should have been at Phase 2 markup</t>
        </is>
      </c>
      <c r="H4" s="3" t="inlineStr">
        <is>
          <t>Shortfall vs Phase 2 markup</t>
        </is>
      </c>
    </row>
    <row r="5">
      <c r="A5" s="6" t="inlineStr">
        <is>
          <t>Removed Panasonic cameras &amp; licences</t>
        </is>
      </c>
      <c r="B5" s="5">
        <f>'Supplier Bill INV41565'!G38</f>
        <v/>
      </c>
      <c r="C5" s="5">
        <f>'Aware Invoice INV-10596'!C10</f>
        <v/>
      </c>
      <c r="D5" s="29">
        <f>IF(B5=0,0,C5/B5)</f>
        <v/>
      </c>
      <c r="E5" s="8">
        <f>C5-B5</f>
        <v/>
      </c>
      <c r="F5" s="6">
        <f>IF(B5&lt;0,"Remove (credit)","Add (charge)")</f>
        <v/>
      </c>
      <c r="G5" s="8">
        <f>B5*'Section Margin'!$C$16</f>
        <v/>
      </c>
      <c r="H5" s="8">
        <f>C5-G5</f>
        <v/>
      </c>
    </row>
    <row r="6">
      <c r="A6" s="6" t="inlineStr">
        <is>
          <t>RMB hardware added (angled mount kit)</t>
        </is>
      </c>
      <c r="B6" s="5">
        <f>'Supplier Bill INV41565'!G39</f>
        <v/>
      </c>
      <c r="C6" s="5">
        <f>'Aware Invoice INV-10596'!C11</f>
        <v/>
      </c>
      <c r="D6" s="29">
        <f>IF(B6=0,0,C6/B6)</f>
        <v/>
      </c>
      <c r="E6" s="8">
        <f>C6-B6</f>
        <v/>
      </c>
      <c r="F6" s="6">
        <f>IF(B6&lt;0,"Remove (credit)","Add (charge)")</f>
        <v/>
      </c>
      <c r="G6" s="8">
        <f>B6*'Section Margin'!$C$16</f>
        <v/>
      </c>
      <c r="H6" s="8">
        <f>C6-G6</f>
        <v/>
      </c>
    </row>
    <row r="7">
      <c r="A7" s="6" t="inlineStr">
        <is>
          <t>Removed control processor CP4N</t>
        </is>
      </c>
      <c r="B7" s="5">
        <f>'Supplier Bill INV41565'!G40</f>
        <v/>
      </c>
      <c r="C7" s="5">
        <f>'Aware Invoice INV-10596'!C12</f>
        <v/>
      </c>
      <c r="D7" s="29">
        <f>IF(B7=0,0,C7/B7)</f>
        <v/>
      </c>
      <c r="E7" s="8">
        <f>C7-B7</f>
        <v/>
      </c>
      <c r="F7" s="6">
        <f>IF(B7&lt;0,"Remove (credit)","Add (charge)")</f>
        <v/>
      </c>
      <c r="G7" s="8">
        <f>B7*'Section Margin'!$C$16</f>
        <v/>
      </c>
      <c r="H7" s="8">
        <f>C7-G7</f>
        <v/>
      </c>
    </row>
    <row r="8">
      <c r="A8" s="6" t="inlineStr">
        <is>
          <t>Removed camera Crestron encoder/decoder</t>
        </is>
      </c>
      <c r="B8" s="5">
        <f>'Supplier Bill INV41565'!G41</f>
        <v/>
      </c>
      <c r="C8" s="5">
        <f>'Aware Invoice INV-10596'!C13</f>
        <v/>
      </c>
      <c r="D8" s="29">
        <f>IF(B8=0,0,C8/B8)</f>
        <v/>
      </c>
      <c r="E8" s="8">
        <f>C8-B8</f>
        <v/>
      </c>
      <c r="F8" s="6">
        <f>IF(B8&lt;0,"Remove (credit)","Add (charge)")</f>
        <v/>
      </c>
      <c r="G8" s="8">
        <f>B8*'Section Margin'!$C$16</f>
        <v/>
      </c>
      <c r="H8" s="8">
        <f>C8-G8</f>
        <v/>
      </c>
    </row>
    <row r="9">
      <c r="A9" s="6" t="inlineStr">
        <is>
          <t>Cables (rack cabling)</t>
        </is>
      </c>
      <c r="B9" s="5">
        <f>'Supplier Bill INV41565'!G42</f>
        <v/>
      </c>
      <c r="C9" s="5">
        <f>'Aware Invoice INV-10596'!C14</f>
        <v/>
      </c>
      <c r="D9" s="29">
        <f>IF(B9=0,0,C9/B9)</f>
        <v/>
      </c>
      <c r="E9" s="8">
        <f>C9-B9</f>
        <v/>
      </c>
      <c r="F9" s="6">
        <f>IF(B9&lt;0,"Remove (credit)","Add (charge)")</f>
        <v/>
      </c>
      <c r="G9" s="8">
        <f>B9*'Section Margin'!$C$16</f>
        <v/>
      </c>
      <c r="H9" s="8">
        <f>C9-G9</f>
        <v/>
      </c>
    </row>
    <row r="10">
      <c r="A10" s="6" t="inlineStr">
        <is>
          <t>Graphics card RTX 3060</t>
        </is>
      </c>
      <c r="B10" s="5">
        <f>'Supplier Bill INV41565'!G43</f>
        <v/>
      </c>
      <c r="C10" s="5">
        <f>'Aware Invoice INV-10596'!C15</f>
        <v/>
      </c>
      <c r="D10" s="29">
        <f>IF(B10=0,0,C10/B10)</f>
        <v/>
      </c>
      <c r="E10" s="8">
        <f>C10-B10</f>
        <v/>
      </c>
      <c r="F10" s="6">
        <f>IF(B10&lt;0,"Remove (credit)","Add (charge)")</f>
        <v/>
      </c>
      <c r="G10" s="8">
        <f>B10*'Section Margin'!$C$16</f>
        <v/>
      </c>
      <c r="H10" s="8">
        <f>C10-G10</f>
        <v/>
      </c>
    </row>
    <row r="11">
      <c r="A11" s="6" t="inlineStr">
        <is>
          <t>Lighting integration programming</t>
        </is>
      </c>
      <c r="B11" s="5">
        <f>'Supplier Bill INV41565'!G44</f>
        <v/>
      </c>
      <c r="C11" s="5">
        <f>'Aware Invoice INV-10596'!C16</f>
        <v/>
      </c>
      <c r="D11" s="29">
        <f>IF(B11=0,0,C11/B11)</f>
        <v/>
      </c>
      <c r="E11" s="8">
        <f>C11-B11</f>
        <v/>
      </c>
      <c r="F11" s="6">
        <f>IF(B11&lt;0,"Remove (credit)","Add (charge)")</f>
        <v/>
      </c>
      <c r="G11" s="8">
        <f>B11*'Section Margin'!$C$16</f>
        <v/>
      </c>
      <c r="H11" s="8">
        <f>C11-G11</f>
        <v/>
      </c>
    </row>
    <row r="12">
      <c r="A12" s="14" t="inlineStr">
        <is>
          <t>NET</t>
        </is>
      </c>
      <c r="B12" s="15">
        <f>SUM(B5:B11)</f>
        <v/>
      </c>
      <c r="C12" s="15">
        <f>SUM(C5:C11)</f>
        <v/>
      </c>
      <c r="D12" s="9">
        <f>IF(B12=0,0,C12/B12)</f>
        <v/>
      </c>
      <c r="E12" s="15">
        <f>SUM(E5:E11)</f>
        <v/>
      </c>
      <c r="G12" s="15">
        <f>SUM(G5:G11)</f>
        <v/>
      </c>
      <c r="H12" s="15">
        <f>SUM(H5:H11)</f>
        <v/>
      </c>
    </row>
    <row r="14">
      <c r="A14" s="6" t="inlineStr">
        <is>
          <t>Loss on ADDED items (Aware charged less than cost)</t>
        </is>
      </c>
      <c r="E14" s="30">
        <f>SUMIFS(E5:E11,F5:F11,"Add (charge)")</f>
        <v/>
      </c>
    </row>
    <row r="15">
      <c r="A15" s="6" t="inlineStr">
        <is>
          <t>Kept on REMOVED items (Aware credited less than CTS was credited)</t>
        </is>
      </c>
      <c r="E15" s="31">
        <f>SUMIFS(E5:E11,F5:F11,"Remove (credit)")</f>
        <v/>
      </c>
    </row>
    <row r="16">
      <c r="A16" s="14" t="inlineStr">
        <is>
          <t>Net effect on CTS</t>
        </is>
      </c>
      <c r="E16" s="15">
        <f>E14+E15</f>
        <v/>
      </c>
    </row>
    <row r="18" ht="45" customHeight="1">
      <c r="A18" s="4" t="inlineStr">
        <is>
          <t>Reading this: on the four added items CTS sells below cost. On the three removals CTS keeps part of the credit. The net is positive only because the removals happen to be bigger than the additions. The method (cost x 0.85 / 0.77) is a template or formula error and should be cost x markup. Column G shows what each line would have been at the Phase 2 sell/cost ratio.</t>
        </is>
      </c>
      <c r="B18" s="12" t="n"/>
      <c r="C18" s="12" t="n"/>
      <c r="D18" s="12" t="n"/>
      <c r="E18" s="12" t="n"/>
      <c r="F18" s="12" t="n"/>
      <c r="G18" s="12" t="n"/>
      <c r="H18" s="13" t="n"/>
    </row>
  </sheetData>
  <mergeCells count="1">
    <mergeCell ref="A18:H1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4"/>
  <sheetViews>
    <sheetView showGridLines="0" workbookViewId="0">
      <selection activeCell="A1" sqref="A1"/>
    </sheetView>
  </sheetViews>
  <sheetFormatPr baseColWidth="8" defaultRowHeight="15"/>
  <cols>
    <col width="58" customWidth="1" min="1" max="1"/>
    <col width="18" customWidth="1" min="2" max="2"/>
    <col width="20" customWidth="1" min="3" max="3"/>
    <col width="36" customWidth="1" min="4" max="4"/>
    <col width="16" customWidth="1" min="5" max="5"/>
    <col width="16" customWidth="1" min="6" max="6"/>
    <col width="16" customWidth="1" min="7" max="7"/>
  </cols>
  <sheetData>
    <row r="1">
      <c r="A1" s="1" t="inlineStr">
        <is>
          <t>Section margin: Aware sell vs Complete AV cost, best-fit mapping of bill blocks to invoice lines</t>
        </is>
      </c>
    </row>
    <row r="2" ht="30" customHeight="1">
      <c r="A2" s="2" t="inlineStr">
        <is>
          <t>Mapping caveat: the 4x Sennheiser ceiling mics ($23,786.60) sit in block 3 on the bill. If they belong to Phase 2 rather than Option A, the loss moves from Option A to Phase 2. Totals are unaffected. See the sensitivity below.</t>
        </is>
      </c>
    </row>
    <row r="4">
      <c r="A4" s="3" t="inlineStr">
        <is>
          <t>Aware invoice line</t>
        </is>
      </c>
      <c r="B4" s="3" t="inlineStr">
        <is>
          <t>Sell to Aware ex GST</t>
        </is>
      </c>
      <c r="C4" s="3" t="inlineStr">
        <is>
          <t>Complete AV cost ex GST</t>
        </is>
      </c>
      <c r="D4" s="3" t="inlineStr">
        <is>
          <t>Cost source (bill block)</t>
        </is>
      </c>
      <c r="E4" s="3" t="inlineStr">
        <is>
          <t>Gross profit</t>
        </is>
      </c>
      <c r="F4" s="3" t="inlineStr">
        <is>
          <t>Margin % (GP / sell)</t>
        </is>
      </c>
      <c r="G4" s="3" t="inlineStr">
        <is>
          <t>Markup % (GP / cost)</t>
        </is>
      </c>
    </row>
    <row r="5">
      <c r="A5" s="6" t="inlineStr">
        <is>
          <t>Phase 1 - Audit</t>
        </is>
      </c>
      <c r="B5" s="5">
        <f>'Aware Invoice INV-10596'!C24</f>
        <v/>
      </c>
      <c r="C5" s="16" t="n">
        <v>0</v>
      </c>
      <c r="D5" s="4" t="inlineStr">
        <is>
          <t>none billed</t>
        </is>
      </c>
      <c r="E5" s="8">
        <f>B5-C5</f>
        <v/>
      </c>
      <c r="F5" s="29">
        <f>IF(B5=0,0,E5/B5)</f>
        <v/>
      </c>
      <c r="G5" s="29">
        <f>IF(C5=0,0,E5/C5)</f>
        <v/>
      </c>
    </row>
    <row r="6">
      <c r="A6" s="6" t="inlineStr">
        <is>
          <t>Phase 2 - Installation and Integration</t>
        </is>
      </c>
      <c r="B6" s="5">
        <f>'Aware Invoice INV-10596'!C25</f>
        <v/>
      </c>
      <c r="C6" s="5">
        <f>'Supplier Bill INV41565'!G53</f>
        <v/>
      </c>
      <c r="D6" s="4" t="inlineStr">
        <is>
          <t>Block 1 core install</t>
        </is>
      </c>
      <c r="E6" s="8">
        <f>B6-C6</f>
        <v/>
      </c>
      <c r="F6" s="29">
        <f>IF(B6=0,0,E6/B6)</f>
        <v/>
      </c>
      <c r="G6" s="29">
        <f>IF(C6=0,0,E6/C6)</f>
        <v/>
      </c>
    </row>
    <row r="7">
      <c r="A7" s="6" t="inlineStr">
        <is>
          <t>Option A - Advanced Camera Tracking</t>
        </is>
      </c>
      <c r="B7" s="5">
        <f>'Aware Invoice INV-10596'!C26</f>
        <v/>
      </c>
      <c r="C7" s="5">
        <f>'Supplier Bill INV41565'!G55</f>
        <v/>
      </c>
      <c r="D7" s="4" t="inlineStr">
        <is>
          <t>Block 3 tracking &amp; audio</t>
        </is>
      </c>
      <c r="E7" s="8">
        <f>B7-C7</f>
        <v/>
      </c>
      <c r="F7" s="29">
        <f>IF(B7=0,0,E7/B7)</f>
        <v/>
      </c>
      <c r="G7" s="29">
        <f>IF(C7=0,0,E7/C7)</f>
        <v/>
      </c>
    </row>
    <row r="8">
      <c r="A8" s="6" t="inlineStr">
        <is>
          <t>Option B - Additional Presenter Cameras</t>
        </is>
      </c>
      <c r="B8" s="5">
        <f>'Aware Invoice INV-10596'!C27</f>
        <v/>
      </c>
      <c r="C8" s="5">
        <f>'Supplier Bill INV41565'!G54</f>
        <v/>
      </c>
      <c r="D8" s="4" t="inlineStr">
        <is>
          <t>Block 2 extra encoders</t>
        </is>
      </c>
      <c r="E8" s="8">
        <f>B8-C8</f>
        <v/>
      </c>
      <c r="F8" s="29">
        <f>IF(B8=0,0,E8/B8)</f>
        <v/>
      </c>
      <c r="G8" s="29">
        <f>IF(C8=0,0,E8/C8)</f>
        <v/>
      </c>
    </row>
    <row r="9">
      <c r="A9" s="6" t="inlineStr">
        <is>
          <t>Upgrade UE40 to UE80 (2 units)</t>
        </is>
      </c>
      <c r="B9" s="5">
        <f>'Aware Invoice INV-10596'!C28</f>
        <v/>
      </c>
      <c r="C9" s="16" t="n">
        <v>0</v>
      </c>
      <c r="D9" s="4" t="inlineStr">
        <is>
          <t>NOT on INV41565 - probably PO-00016899 (PO 2/2)</t>
        </is>
      </c>
      <c r="E9" s="8">
        <f>B9-C9</f>
        <v/>
      </c>
      <c r="F9" s="29">
        <f>IF(B9=0,0,E9/B9)</f>
        <v/>
      </c>
      <c r="G9" s="29">
        <f>IF(C9=0,0,E9/C9)</f>
        <v/>
      </c>
    </row>
    <row r="10">
      <c r="A10" s="6" t="inlineStr">
        <is>
          <t>Variations (net credit)</t>
        </is>
      </c>
      <c r="B10" s="5">
        <f>'Aware Invoice INV-10596'!C29</f>
        <v/>
      </c>
      <c r="C10" s="5">
        <f>'Supplier Bill INV41565'!G56</f>
        <v/>
      </c>
      <c r="D10" s="4" t="inlineStr">
        <is>
          <t>Block 4 variations</t>
        </is>
      </c>
      <c r="E10" s="8">
        <f>B10-C10</f>
        <v/>
      </c>
      <c r="F10" s="29">
        <f>IF(B10=0,0,E10/B10)</f>
        <v/>
      </c>
      <c r="G10" s="29">
        <f>IF(C10=0,0,E10/C10)</f>
        <v/>
      </c>
    </row>
    <row r="11">
      <c r="A11" s="14" t="inlineStr">
        <is>
          <t>Total full claim value (blocks 1-4, i.e. after retention is eventually billed)</t>
        </is>
      </c>
      <c r="B11" s="15">
        <f>SUM(B5:B10)</f>
        <v/>
      </c>
      <c r="C11" s="15">
        <f>SUM(C5:C10)</f>
        <v/>
      </c>
      <c r="E11" s="15">
        <f>B11-C11</f>
        <v/>
      </c>
      <c r="F11" s="9">
        <f>IF(B11=0,0,E11/B11)</f>
        <v/>
      </c>
      <c r="G11" s="9">
        <f>IF(C11=0,0,E11/C11)</f>
        <v/>
      </c>
    </row>
    <row r="12">
      <c r="A12" s="6" t="inlineStr">
        <is>
          <t>Less retention Complete AV has not billed yet (line on INV41565)</t>
        </is>
      </c>
      <c r="C12" s="5">
        <f>'Supplier Bill INV41565'!G57</f>
        <v/>
      </c>
    </row>
    <row r="13">
      <c r="A13" s="14" t="inlineStr">
        <is>
          <t>Total cost as billed today on INV41565</t>
        </is>
      </c>
      <c r="B13" s="15">
        <f>B11</f>
        <v/>
      </c>
      <c r="C13" s="15">
        <f>C11+C12</f>
        <v/>
      </c>
      <c r="E13" s="15">
        <f>B13-C13</f>
        <v/>
      </c>
      <c r="F13" s="9">
        <f>IF(B13=0,0,E13/B13)</f>
        <v/>
      </c>
      <c r="G13" s="9">
        <f>IF(C13=0,0,E13/C13)</f>
        <v/>
      </c>
    </row>
    <row r="14">
      <c r="A14" s="6" t="inlineStr">
        <is>
          <t>Add PO-00016899 (PO 2/2) if it is all cost for this job - UNCONFIRMED</t>
        </is>
      </c>
      <c r="C14" s="32" t="n">
        <v>17700.52</v>
      </c>
    </row>
    <row r="15">
      <c r="A15" s="14" t="inlineStr">
        <is>
          <t>Total if PO 2/2 is also project cost (full claim + PO 2/2)</t>
        </is>
      </c>
      <c r="B15" s="15">
        <f>B11</f>
        <v/>
      </c>
      <c r="C15" s="15">
        <f>C11+C14</f>
        <v/>
      </c>
      <c r="E15" s="15">
        <f>B15-C15</f>
        <v/>
      </c>
      <c r="F15" s="11">
        <f>IF(B15=0,0,E15/B15)</f>
        <v/>
      </c>
      <c r="G15" s="9">
        <f>IF(C15=0,0,E15/C15)</f>
        <v/>
      </c>
    </row>
    <row r="16">
      <c r="A16" s="6" t="inlineStr">
        <is>
          <t>Phase 2 implied sell / cost ratio (used on Variations tab)</t>
        </is>
      </c>
      <c r="C16" s="33">
        <f>IF(C6=0,0,B6/C6)</f>
        <v/>
      </c>
    </row>
    <row r="18">
      <c r="A18" s="14" t="inlineStr">
        <is>
          <t>Sensitivity: if the Sennheiser mics and Dante licence belong to Phase 2 instead of Option A</t>
        </is>
      </c>
    </row>
    <row r="19">
      <c r="A19" s="26" t="inlineStr">
        <is>
          <t>Line</t>
        </is>
      </c>
      <c r="B19" s="26" t="inlineStr">
        <is>
          <t>Sell</t>
        </is>
      </c>
      <c r="C19" s="26" t="inlineStr">
        <is>
          <t>Cost</t>
        </is>
      </c>
      <c r="D19" s="26" t="inlineStr"/>
      <c r="E19" s="26" t="inlineStr">
        <is>
          <t>Gross profit</t>
        </is>
      </c>
      <c r="F19" s="26" t="inlineStr">
        <is>
          <t>Margin %</t>
        </is>
      </c>
      <c r="G19" s="26" t="inlineStr"/>
    </row>
    <row r="20">
      <c r="A20" s="6" t="inlineStr">
        <is>
          <t>Phase 2 incl. mics + Dante licence</t>
        </is>
      </c>
      <c r="B20" s="8">
        <f>B6</f>
        <v/>
      </c>
      <c r="C20" s="5">
        <f>C6+'Supplier Bill INV41565'!G32+'Supplier Bill INV41565'!G33</f>
        <v/>
      </c>
      <c r="E20" s="8">
        <f>B20-C20</f>
        <v/>
      </c>
      <c r="F20" s="29">
        <f>IF(B20=0,0,E20/B20)</f>
        <v/>
      </c>
    </row>
    <row r="21">
      <c r="A21" s="6" t="inlineStr">
        <is>
          <t>Option A excl. mics + Dante licence</t>
        </is>
      </c>
      <c r="B21" s="8">
        <f>B7</f>
        <v/>
      </c>
      <c r="C21" s="5">
        <f>C7-('Supplier Bill INV41565'!G32+'Supplier Bill INV41565'!G33)</f>
        <v/>
      </c>
      <c r="E21" s="8">
        <f>B21-C21</f>
        <v/>
      </c>
      <c r="F21" s="29">
        <f>IF(B21=0,0,E21/B21)</f>
        <v/>
      </c>
    </row>
    <row r="23">
      <c r="A23" s="4" t="inlineStr">
        <is>
          <t>Labour on the bill incl. programming - Aware invoice does not split labour so labour margin cannot be isolated</t>
        </is>
      </c>
      <c r="C23" s="5">
        <f>'Supplier Bill INV41565'!G71</f>
        <v/>
      </c>
    </row>
    <row r="24">
      <c r="A24" s="6" t="inlineStr">
        <is>
          <t>Labour as % of full claim cost</t>
        </is>
      </c>
      <c r="C24" s="29">
        <f>IF(C11=0,0,C23/C11)</f>
        <v/>
      </c>
    </row>
  </sheetData>
  <mergeCells count="1">
    <mergeCell ref="A2:G2"/>
  </mergeCell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B13"/>
  <sheetViews>
    <sheetView showGridLines="0" workbookViewId="0">
      <selection activeCell="A1" sqref="A1"/>
    </sheetView>
  </sheetViews>
  <sheetFormatPr baseColWidth="8" defaultRowHeight="15"/>
  <cols>
    <col width="30" customWidth="1" min="1" max="1"/>
    <col width="120" customWidth="1" min="2" max="2"/>
  </cols>
  <sheetData>
    <row r="1">
      <c r="A1" s="1" t="inlineStr">
        <is>
          <t>Notes, sources and things that do not reconcile</t>
        </is>
      </c>
    </row>
    <row r="3">
      <c r="A3" s="3" t="inlineStr">
        <is>
          <t>Topic</t>
        </is>
      </c>
      <c r="B3" s="3" t="inlineStr">
        <is>
          <t>Detail</t>
        </is>
      </c>
    </row>
    <row r="4" ht="45" customHeight="1">
      <c r="A4" s="7" t="inlineStr">
        <is>
          <t>Sources</t>
        </is>
      </c>
      <c r="B4" s="4" t="inlineStr">
        <is>
          <t>Xero organisation Corporate Technology Services Pty Ltd. Bill INV41565 (Complete AV Solutions Pty Ltd, contact shaun@completeav.com.au). Invoice INV-10596 (Aware Super). Purchase orders PO-00016902 and PO-00016899. Data pulled 29 Sep 2026.</t>
        </is>
      </c>
    </row>
    <row r="5" ht="45" customHeight="1">
      <c r="A5" s="7" t="inlineStr">
        <is>
          <t>PO 1/2 ties exactly</t>
        </is>
      </c>
      <c r="B5" s="4" t="inlineStr">
        <is>
          <t>Blocks 1-3 of the bill = $177,457.98 = PO-00016902 exactly. Less variations $10,682.70 = $166,775.28 full claim. Less retention $4,848.68 = $161,926.60 billed. Everything ties to the cent.</t>
        </is>
      </c>
    </row>
    <row r="6" ht="45" customHeight="1">
      <c r="A6" s="7" t="inlineStr">
        <is>
          <t>PO 2/2 unknown</t>
        </is>
      </c>
      <c r="B6" s="4" t="inlineStr">
        <is>
          <t>PO-00016899 'Q-12140v1 Audio Visual Proposal (PO 2/2)' $17,700.52 ex GST, dated 24 Jul 26, status Authorised, not billed. PO line items are not visible through the Xero connector. This is the biggest unknown in the job.</t>
        </is>
      </c>
    </row>
    <row r="7" ht="45" customHeight="1">
      <c r="A7" s="7" t="inlineStr">
        <is>
          <t>UE80 upgrade has no cost on the bill</t>
        </is>
      </c>
      <c r="B7" s="4" t="inlineStr">
        <is>
          <t>Aware is charged $12,042.88 for upgrading 2 cameras from AW-UE40 to AW-UE80 plus loan units. Nothing on INV41565 relates to UE80. The cost is either in PO 2/2 or from another supplier not yet billed.</t>
        </is>
      </c>
    </row>
    <row r="8" ht="45" customHeight="1">
      <c r="A8" s="7" t="inlineStr">
        <is>
          <t>Option B cameras</t>
        </is>
      </c>
      <c r="B8" s="4" t="inlineStr">
        <is>
          <t>Aware's variation wording says the job added '(+2) PA AW-UE40KEJ' cameras, but the bill only has 4 cameras (block 1) and 2 extra encoders (block 2). The 2 extra cameras are either inside the 'Removed Panasonic cameras' credit or replaced by the UE80 upgrade. Confirm against Complete AV quote Q-12140v1.</t>
        </is>
      </c>
    </row>
    <row r="9" ht="45" customHeight="1">
      <c r="A9" s="7" t="inlineStr">
        <is>
          <t>Removed lines do not reconcile to units</t>
        </is>
      </c>
      <c r="B9" s="4" t="inlineStr">
        <is>
          <t>'Removed camera Crestron decoder' $4,600.20 is not a multiple of either E30 price (1,345.56 / 1,517.06) or the NVX-360 price (2,144.14). 'Removed Panasonic cameras &amp; licences' $7,281.07 vs 4 cameras at 16,255.84 and three licences at 9,771.81. Ask Complete AV for the breakdown.</t>
        </is>
      </c>
    </row>
    <row r="10" ht="45" customHeight="1">
      <c r="A10" s="7" t="inlineStr">
        <is>
          <t>Same part, two prices</t>
        </is>
      </c>
      <c r="B10" s="4" t="inlineStr">
        <is>
          <t>DM-NVX-E30 encoder is $1,345.56 each in block 1 and $1,517.06 each in block 2, $171.50 more per unit for the same part on the same bill.</t>
        </is>
      </c>
    </row>
    <row r="11" ht="45" customHeight="1">
      <c r="A11" s="7" t="inlineStr">
        <is>
          <t>Account coding</t>
        </is>
      </c>
      <c r="B11" s="4" t="inlineStr">
        <is>
          <t>Bill: equipment 51100, labour 51325, freight 58225. Aware: Phase 2 to 42300 (services), options and variations to 42600 (equipment). Phase 2 is mostly equipment on the cost side, so revenue and cost land in different categories and gross margin by category will look odd in the P&amp;L.</t>
        </is>
      </c>
    </row>
    <row r="12" ht="45" customHeight="1">
      <c r="A12" s="7" t="inlineStr">
        <is>
          <t>Mapping caveat</t>
        </is>
      </c>
      <c r="B12" s="4" t="inlineStr">
        <is>
          <t>Block-to-line mapping is best fit from the bill's structure and the Aware headings. The Sennheiser mics could belong to Phase 2 rather than Option A. Totals are unaffected; see Section Margin tab sensitivity.</t>
        </is>
      </c>
    </row>
    <row r="13" ht="45" customHeight="1">
      <c r="A13" s="7" t="inlineStr">
        <is>
          <t>Earlier claims</t>
        </is>
      </c>
      <c r="B13" s="4" t="inlineStr">
        <is>
          <t>No earlier Aware invoice exists for project 2604704. INV-10441 (29 May 26) is a different project, 555 Collins St Melbourne.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66"/>
  <sheetViews>
    <sheetView showGridLines="0" workbookViewId="0">
      <selection activeCell="A1" sqref="A1"/>
    </sheetView>
  </sheetViews>
  <sheetFormatPr baseColWidth="8" defaultRowHeight="15"/>
  <sheetData>
    <row r="1">
      <c r="A1" s="1" t="inlineStr">
        <is>
          <t>Line-item extracts of both documents as recorded in Xero (data extracts, not the original PDFs - the Xero connector cannot download attachments)</t>
        </is>
      </c>
    </row>
    <row r="3">
      <c r="A3" s="34" t="inlineStr">
        <is>
          <t>Complete AV Solutions bill INV41565</t>
        </is>
      </c>
    </row>
    <row r="66">
      <c r="A66" s="34" t="inlineStr">
        <is>
          <t>Aware Super sales invoice INV-10596</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2026-09-29T02:29:56Z</dcterms:created>
  <dcterms:modified xsi:type="dcterms:W3CDTF">2026-09-29T02:29:56Z</dcterms:modified>
</cp:coreProperties>
</file>